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7185f187e2180316/Documentos/Data Analyst/portfolio/outputs/project-review/"/>
    </mc:Choice>
  </mc:AlternateContent>
  <xr:revisionPtr revIDLastSave="17" documentId="11_539AC629E77B8B2409F0B62F82FD08705E1C5A21" xr6:coauthVersionLast="47" xr6:coauthVersionMax="47" xr10:uidLastSave="{25D15FC4-6819-4AB2-9035-53B58068345F}"/>
  <bookViews>
    <workbookView xWindow="-28920" yWindow="-120" windowWidth="29040" windowHeight="15720" firstSheet="6" activeTab="13" xr2:uid="{00000000-000D-0000-FFFF-FFFF00000000}"/>
  </bookViews>
  <sheets>
    <sheet name="Instructions" sheetId="1" r:id="rId1"/>
    <sheet name="Dashboard" sheetId="2" r:id="rId2"/>
    <sheet name="Supply_Dashboard" sheetId="3" r:id="rId3"/>
    <sheet name="Products" sheetId="4" r:id="rId4"/>
    <sheet name="Suppliers" sheetId="5" r:id="rId5"/>
    <sheet name="Supply_Links" sheetId="6" r:id="rId6"/>
    <sheet name="Purchases" sheetId="7" r:id="rId7"/>
    <sheet name="Batch_Outcomes" sheetId="8" r:id="rId8"/>
    <sheet name="Supplier_Scorecard" sheetId="9" r:id="rId9"/>
    <sheet name="Category_Summary" sheetId="10" r:id="rId10"/>
    <sheet name="Season_Demand" sheetId="11" r:id="rId11"/>
    <sheet name="Restock_Alerts" sheetId="12" r:id="rId12"/>
    <sheet name="Cohort_Pivot" sheetId="15" r:id="rId13"/>
    <sheet name="Decision" sheetId="13" r:id="rId14"/>
  </sheets>
  <calcPr calcId="191029"/>
  <pivotCaches>
    <pivotCache cacheId="1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10" l="1"/>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1003" i="8"/>
  <c r="Q1004" i="8"/>
  <c r="Q1005" i="8"/>
  <c r="Q1006" i="8"/>
  <c r="Q1007" i="8"/>
  <c r="Q1008" i="8"/>
  <c r="Q1009" i="8"/>
  <c r="Q1010" i="8"/>
  <c r="Q1011" i="8"/>
  <c r="Q1012" i="8"/>
  <c r="Q1013" i="8"/>
  <c r="Q1014" i="8"/>
  <c r="Q1015" i="8"/>
  <c r="Q1016" i="8"/>
  <c r="Q1017" i="8"/>
  <c r="Q1018" i="8"/>
  <c r="Q1019" i="8"/>
  <c r="Q1020" i="8"/>
  <c r="Q1021" i="8"/>
  <c r="Q1022" i="8"/>
  <c r="Q1023" i="8"/>
  <c r="Q1024" i="8"/>
  <c r="Q1025" i="8"/>
  <c r="Q1026" i="8"/>
  <c r="Q1027" i="8"/>
  <c r="Q1028" i="8"/>
  <c r="Q1029" i="8"/>
  <c r="Q1030" i="8"/>
  <c r="Q1031" i="8"/>
  <c r="Q1032" i="8"/>
  <c r="Q1033" i="8"/>
  <c r="Q1034" i="8"/>
  <c r="Q1035" i="8"/>
  <c r="Q1036" i="8"/>
  <c r="Q1037" i="8"/>
  <c r="Q1038" i="8"/>
  <c r="Q1039" i="8"/>
  <c r="Q1040" i="8"/>
  <c r="Q1041" i="8"/>
  <c r="Q1042" i="8"/>
  <c r="Q1043" i="8"/>
  <c r="Q1044" i="8"/>
  <c r="Q1045" i="8"/>
  <c r="Q1046" i="8"/>
  <c r="Q1047" i="8"/>
  <c r="Q1048" i="8"/>
  <c r="Q1049" i="8"/>
  <c r="Q1050" i="8"/>
  <c r="Q1051" i="8"/>
  <c r="Q1052" i="8"/>
  <c r="Q1053" i="8"/>
  <c r="Q1054" i="8"/>
  <c r="Q1055" i="8"/>
  <c r="Q1056" i="8"/>
  <c r="Q1057" i="8"/>
  <c r="Q1058" i="8"/>
  <c r="Q1059" i="8"/>
  <c r="Q1060" i="8"/>
  <c r="Q1061" i="8"/>
  <c r="Q1062" i="8"/>
  <c r="Q1063" i="8"/>
  <c r="Q1064" i="8"/>
  <c r="Q1065" i="8"/>
  <c r="Q1066" i="8"/>
  <c r="Q1067" i="8"/>
  <c r="Q1068" i="8"/>
  <c r="Q1069" i="8"/>
  <c r="Q1070" i="8"/>
  <c r="Q1071" i="8"/>
  <c r="Q1072" i="8"/>
  <c r="Q1073" i="8"/>
  <c r="Q1074" i="8"/>
  <c r="Q1075" i="8"/>
  <c r="Q1076" i="8"/>
  <c r="Q1077" i="8"/>
  <c r="Q1078" i="8"/>
  <c r="Q1079" i="8"/>
  <c r="Q1080" i="8"/>
  <c r="Q1081" i="8"/>
  <c r="Q1082" i="8"/>
  <c r="Q1083" i="8"/>
  <c r="Q1084" i="8"/>
  <c r="Q1085" i="8"/>
  <c r="Q1086" i="8"/>
  <c r="Q1087" i="8"/>
  <c r="Q1088" i="8"/>
  <c r="Q1089" i="8"/>
  <c r="Q1090" i="8"/>
  <c r="Q1091" i="8"/>
  <c r="Q1092" i="8"/>
  <c r="Q1093" i="8"/>
  <c r="Q1094" i="8"/>
  <c r="Q1095" i="8"/>
  <c r="Q1096" i="8"/>
  <c r="Q1097" i="8"/>
  <c r="Q1098" i="8"/>
  <c r="Q1099" i="8"/>
  <c r="Q1100" i="8"/>
  <c r="Q1101" i="8"/>
  <c r="Q1102" i="8"/>
  <c r="Q1103" i="8"/>
  <c r="Q1104" i="8"/>
  <c r="Q1105" i="8"/>
  <c r="Q1106" i="8"/>
  <c r="Q1107" i="8"/>
  <c r="Q1108" i="8"/>
  <c r="Q1109" i="8"/>
  <c r="Q1110" i="8"/>
  <c r="Q1111" i="8"/>
  <c r="Q1112" i="8"/>
  <c r="Q1113" i="8"/>
  <c r="Q1114" i="8"/>
  <c r="Q1115" i="8"/>
  <c r="Q1116" i="8"/>
  <c r="Q1117" i="8"/>
  <c r="Q1118" i="8"/>
  <c r="Q1119" i="8"/>
  <c r="Q1120" i="8"/>
  <c r="Q1121" i="8"/>
  <c r="Q1122" i="8"/>
  <c r="Q1123" i="8"/>
  <c r="Q1124" i="8"/>
  <c r="Q1125" i="8"/>
  <c r="Q1126" i="8"/>
  <c r="Q1127" i="8"/>
  <c r="Q1128" i="8"/>
  <c r="Q1129" i="8"/>
  <c r="Q1130" i="8"/>
  <c r="Q1131" i="8"/>
  <c r="Q1132" i="8"/>
  <c r="Q1133" i="8"/>
  <c r="Q1134" i="8"/>
  <c r="Q1135" i="8"/>
  <c r="Q1136" i="8"/>
  <c r="Q1137" i="8"/>
  <c r="Q1138" i="8"/>
  <c r="Q1139" i="8"/>
  <c r="Q1140" i="8"/>
  <c r="Q1141" i="8"/>
  <c r="Q1142" i="8"/>
  <c r="Q1143" i="8"/>
  <c r="Q1144" i="8"/>
  <c r="Q1145" i="8"/>
  <c r="Q1146" i="8"/>
  <c r="Q1147" i="8"/>
  <c r="Q1148" i="8"/>
  <c r="Q1149" i="8"/>
  <c r="Q1150" i="8"/>
  <c r="Q1151" i="8"/>
  <c r="Q1152" i="8"/>
  <c r="Q1153" i="8"/>
  <c r="Q1154" i="8"/>
  <c r="Q1155" i="8"/>
  <c r="Q1156" i="8"/>
  <c r="Q1157" i="8"/>
  <c r="Q1158" i="8"/>
  <c r="Q1159" i="8"/>
  <c r="Q1160" i="8"/>
  <c r="Q1161" i="8"/>
  <c r="Q1162" i="8"/>
  <c r="Q1163" i="8"/>
  <c r="Q1164" i="8"/>
  <c r="Q1165" i="8"/>
  <c r="Q1166" i="8"/>
  <c r="Q1167" i="8"/>
  <c r="Q1168" i="8"/>
  <c r="Q1169" i="8"/>
  <c r="Q1170" i="8"/>
  <c r="Q1171" i="8"/>
  <c r="Q1172" i="8"/>
  <c r="Q1173" i="8"/>
  <c r="Q1174" i="8"/>
  <c r="Q1175" i="8"/>
  <c r="Q1176" i="8"/>
  <c r="Q1177" i="8"/>
  <c r="Q1178" i="8"/>
  <c r="Q1179" i="8"/>
  <c r="Q1180" i="8"/>
  <c r="Q1181" i="8"/>
  <c r="Q1182" i="8"/>
  <c r="Q1183" i="8"/>
  <c r="Q1184" i="8"/>
  <c r="Q1185" i="8"/>
  <c r="Q1186" i="8"/>
  <c r="Q1187" i="8"/>
  <c r="Q1188" i="8"/>
  <c r="Q1189" i="8"/>
  <c r="Q1190" i="8"/>
  <c r="Q1191" i="8"/>
  <c r="Q1192" i="8"/>
  <c r="Q1193" i="8"/>
  <c r="Q1194" i="8"/>
  <c r="Q1195" i="8"/>
  <c r="Q1196" i="8"/>
  <c r="Q1197" i="8"/>
  <c r="Q1198" i="8"/>
  <c r="Q1199" i="8"/>
  <c r="Q1200" i="8"/>
  <c r="Q1201" i="8"/>
  <c r="Q1202" i="8"/>
  <c r="Q1203" i="8"/>
  <c r="Q1204" i="8"/>
  <c r="Q1205" i="8"/>
  <c r="Q1206" i="8"/>
  <c r="Q1207" i="8"/>
  <c r="Q1208" i="8"/>
  <c r="Q1209" i="8"/>
  <c r="Q1210" i="8"/>
  <c r="Q1211" i="8"/>
  <c r="Q1212" i="8"/>
  <c r="Q1213" i="8"/>
  <c r="Q1214" i="8"/>
  <c r="Q1215" i="8"/>
  <c r="Q1216" i="8"/>
  <c r="Q1217" i="8"/>
  <c r="Q1218" i="8"/>
  <c r="Q1219" i="8"/>
  <c r="Q1220" i="8"/>
  <c r="Q1221" i="8"/>
  <c r="Q1222" i="8"/>
  <c r="Q1223" i="8"/>
  <c r="Q1224" i="8"/>
  <c r="Q1225" i="8"/>
  <c r="Q1226" i="8"/>
  <c r="Q1227" i="8"/>
  <c r="Q1228" i="8"/>
  <c r="Q1229" i="8"/>
  <c r="Q1230" i="8"/>
  <c r="Q1231" i="8"/>
  <c r="Q1232" i="8"/>
  <c r="Q1233" i="8"/>
  <c r="Q1234" i="8"/>
  <c r="Q1235" i="8"/>
  <c r="Q1236" i="8"/>
  <c r="Q1237" i="8"/>
  <c r="Q1238" i="8"/>
  <c r="Q1239" i="8"/>
  <c r="Q1240" i="8"/>
  <c r="Q1241" i="8"/>
  <c r="Q1242" i="8"/>
  <c r="Q1243" i="8"/>
  <c r="Q1244" i="8"/>
  <c r="Q1245" i="8"/>
  <c r="Q1246" i="8"/>
  <c r="Q1247" i="8"/>
  <c r="Q1248" i="8"/>
  <c r="Q1249" i="8"/>
  <c r="Q1250" i="8"/>
  <c r="Q1251" i="8"/>
  <c r="Q1252" i="8"/>
  <c r="Q1253" i="8"/>
  <c r="Q1254" i="8"/>
  <c r="Q1255" i="8"/>
  <c r="Q1256" i="8"/>
  <c r="Q1257" i="8"/>
  <c r="Q1258" i="8"/>
  <c r="Q1259" i="8"/>
  <c r="Q1260" i="8"/>
  <c r="Q1261" i="8"/>
  <c r="Q1262" i="8"/>
  <c r="Q1263" i="8"/>
  <c r="Q1264" i="8"/>
  <c r="Q1265" i="8"/>
  <c r="Q1266" i="8"/>
  <c r="Q1267" i="8"/>
  <c r="Q1268" i="8"/>
  <c r="Q1269" i="8"/>
  <c r="Q1270" i="8"/>
  <c r="Q1271" i="8"/>
  <c r="Q1272" i="8"/>
  <c r="Q1273" i="8"/>
  <c r="Q1274" i="8"/>
  <c r="Q1275" i="8"/>
  <c r="Q1276" i="8"/>
  <c r="Q1277" i="8"/>
  <c r="Q1278" i="8"/>
  <c r="Q1279" i="8"/>
  <c r="Q1280" i="8"/>
  <c r="Q1281" i="8"/>
  <c r="Q1282" i="8"/>
  <c r="Q1283" i="8"/>
  <c r="Q1284" i="8"/>
  <c r="Q1285" i="8"/>
  <c r="Q1286" i="8"/>
  <c r="Q1287" i="8"/>
  <c r="Q1288" i="8"/>
  <c r="Q1289" i="8"/>
  <c r="Q1290" i="8"/>
  <c r="Q1291" i="8"/>
  <c r="Q1292" i="8"/>
  <c r="Q1293" i="8"/>
  <c r="Q1294" i="8"/>
  <c r="Q1295" i="8"/>
  <c r="Q1296" i="8"/>
  <c r="Q1297" i="8"/>
  <c r="Q1298" i="8"/>
  <c r="Q1299" i="8"/>
  <c r="Q1300" i="8"/>
  <c r="Q1301" i="8"/>
  <c r="Q1302" i="8"/>
  <c r="Q1303" i="8"/>
  <c r="Q1304" i="8"/>
  <c r="Q1305" i="8"/>
  <c r="Q1306" i="8"/>
  <c r="Q1307" i="8"/>
  <c r="Q1308" i="8"/>
  <c r="Q1309" i="8"/>
  <c r="Q1310" i="8"/>
  <c r="Q1311" i="8"/>
  <c r="Q1312" i="8"/>
  <c r="Q1313" i="8"/>
  <c r="Q1314" i="8"/>
  <c r="Q1315" i="8"/>
  <c r="Q1316" i="8"/>
  <c r="Q1317" i="8"/>
  <c r="Q1318" i="8"/>
  <c r="Q1319" i="8"/>
  <c r="Q1320" i="8"/>
  <c r="Q1321" i="8"/>
  <c r="Q1322" i="8"/>
  <c r="Q1323" i="8"/>
  <c r="Q1324" i="8"/>
  <c r="Q1325" i="8"/>
  <c r="Q1326" i="8"/>
  <c r="Q1327" i="8"/>
  <c r="Q1328" i="8"/>
  <c r="Q1329" i="8"/>
  <c r="Q1330" i="8"/>
  <c r="Q1331" i="8"/>
  <c r="Q1332" i="8"/>
  <c r="Q1333" i="8"/>
  <c r="Q1334" i="8"/>
  <c r="Q1335" i="8"/>
  <c r="Q1336" i="8"/>
  <c r="Q1337" i="8"/>
  <c r="Q1338" i="8"/>
  <c r="Q1339" i="8"/>
  <c r="Q1340" i="8"/>
  <c r="Q1341" i="8"/>
  <c r="Q1342" i="8"/>
  <c r="Q1343" i="8"/>
  <c r="Q1344" i="8"/>
  <c r="Q1345" i="8"/>
  <c r="Q1346" i="8"/>
  <c r="Q1347" i="8"/>
  <c r="Q1348" i="8"/>
  <c r="Q1349" i="8"/>
  <c r="Q1350" i="8"/>
  <c r="Q1351" i="8"/>
  <c r="Q1352" i="8"/>
  <c r="Q1353" i="8"/>
  <c r="Q1354" i="8"/>
  <c r="Q1355" i="8"/>
  <c r="Q1356" i="8"/>
  <c r="Q1357" i="8"/>
  <c r="Q1358" i="8"/>
  <c r="Q1359" i="8"/>
  <c r="Q1360" i="8"/>
  <c r="Q1361" i="8"/>
  <c r="Q1362" i="8"/>
  <c r="Q1363" i="8"/>
  <c r="Q1364" i="8"/>
  <c r="Q1365" i="8"/>
  <c r="Q1366" i="8"/>
  <c r="Q1367" i="8"/>
  <c r="Q1368" i="8"/>
  <c r="Q1369" i="8"/>
  <c r="Q1370" i="8"/>
  <c r="Q1371" i="8"/>
  <c r="Q1372" i="8"/>
  <c r="Q1373" i="8"/>
  <c r="Q1374" i="8"/>
  <c r="Q1375" i="8"/>
  <c r="Q1376" i="8"/>
  <c r="Q1377" i="8"/>
  <c r="Q1378" i="8"/>
  <c r="Q1379" i="8"/>
  <c r="Q1380" i="8"/>
  <c r="Q1381" i="8"/>
  <c r="Q1382" i="8"/>
  <c r="Q1383" i="8"/>
  <c r="Q1384" i="8"/>
  <c r="Q1385" i="8"/>
  <c r="Q1386" i="8"/>
  <c r="Q1387" i="8"/>
  <c r="Q1388" i="8"/>
  <c r="Q1389" i="8"/>
  <c r="Q1390" i="8"/>
  <c r="Q1391" i="8"/>
  <c r="Q1392" i="8"/>
  <c r="Q1393" i="8"/>
  <c r="Q1394" i="8"/>
  <c r="Q1395" i="8"/>
  <c r="Q1396" i="8"/>
  <c r="Q1397" i="8"/>
  <c r="Q1398" i="8"/>
  <c r="Q1399" i="8"/>
  <c r="Q1400" i="8"/>
  <c r="Q1401" i="8"/>
  <c r="Q1402" i="8"/>
  <c r="Q1403" i="8"/>
  <c r="Q1404" i="8"/>
  <c r="Q1405" i="8"/>
  <c r="Q1406" i="8"/>
  <c r="Q1407" i="8"/>
  <c r="Q1408" i="8"/>
  <c r="Q1409" i="8"/>
  <c r="Q1410" i="8"/>
  <c r="Q1411" i="8"/>
  <c r="Q1412" i="8"/>
  <c r="Q1413" i="8"/>
  <c r="Q1414" i="8"/>
  <c r="Q1415" i="8"/>
  <c r="Q1416" i="8"/>
  <c r="Q1417" i="8"/>
  <c r="Q1418" i="8"/>
  <c r="Q1419" i="8"/>
  <c r="Q1420" i="8"/>
  <c r="Q1421" i="8"/>
  <c r="Q1422" i="8"/>
  <c r="Q1423" i="8"/>
  <c r="Q1424" i="8"/>
  <c r="Q1425" i="8"/>
  <c r="Q1426" i="8"/>
  <c r="Q1427" i="8"/>
  <c r="Q1428" i="8"/>
  <c r="Q1429" i="8"/>
  <c r="Q1430" i="8"/>
  <c r="Q1431" i="8"/>
  <c r="Q1432" i="8"/>
  <c r="Q1433" i="8"/>
  <c r="Q1434" i="8"/>
  <c r="Q1435" i="8"/>
  <c r="Q1436" i="8"/>
  <c r="Q1437" i="8"/>
  <c r="Q1438" i="8"/>
  <c r="Q1439" i="8"/>
  <c r="Q1440" i="8"/>
  <c r="Q1441" i="8"/>
  <c r="Q1442" i="8"/>
  <c r="Q1443" i="8"/>
  <c r="Q1444" i="8"/>
  <c r="Q1445" i="8"/>
  <c r="Q1446" i="8"/>
  <c r="Q1447" i="8"/>
  <c r="Q1448" i="8"/>
  <c r="Q1449" i="8"/>
  <c r="Q1450" i="8"/>
  <c r="Q1451" i="8"/>
  <c r="Q1452" i="8"/>
  <c r="Q1453" i="8"/>
  <c r="Q1454" i="8"/>
  <c r="Q1455" i="8"/>
  <c r="Q1456" i="8"/>
  <c r="Q1457" i="8"/>
  <c r="Q1458" i="8"/>
  <c r="Q1459" i="8"/>
  <c r="Q1460" i="8"/>
  <c r="Q1461" i="8"/>
  <c r="Q1462" i="8"/>
  <c r="Q1463" i="8"/>
  <c r="Q1464" i="8"/>
  <c r="Q1465" i="8"/>
  <c r="Q1466" i="8"/>
  <c r="Q1467" i="8"/>
  <c r="Q1468" i="8"/>
  <c r="Q1469" i="8"/>
  <c r="Q1470" i="8"/>
  <c r="Q1471" i="8"/>
  <c r="Q1472" i="8"/>
  <c r="Q1473" i="8"/>
  <c r="Q1474" i="8"/>
  <c r="Q1475" i="8"/>
  <c r="Q1476" i="8"/>
  <c r="Q1477" i="8"/>
  <c r="Q1478" i="8"/>
  <c r="Q1479" i="8"/>
  <c r="Q1480" i="8"/>
  <c r="Q1481" i="8"/>
  <c r="Q1482" i="8"/>
  <c r="Q1483" i="8"/>
  <c r="Q1484" i="8"/>
  <c r="Q1485" i="8"/>
  <c r="Q1486" i="8"/>
  <c r="Q1487" i="8"/>
  <c r="Q1488" i="8"/>
  <c r="Q1489" i="8"/>
  <c r="Q1490" i="8"/>
  <c r="Q1491" i="8"/>
  <c r="Q1492" i="8"/>
  <c r="Q1493" i="8"/>
  <c r="Q1494" i="8"/>
  <c r="Q1495" i="8"/>
  <c r="Q1496" i="8"/>
  <c r="Q1497" i="8"/>
  <c r="Q1498" i="8"/>
  <c r="Q1499" i="8"/>
  <c r="Q1500" i="8"/>
  <c r="Q1501" i="8"/>
  <c r="Q1502" i="8"/>
  <c r="Q1503" i="8"/>
  <c r="Q1504" i="8"/>
  <c r="Q1505" i="8"/>
  <c r="Q1506" i="8"/>
  <c r="Q1507" i="8"/>
  <c r="Q1508" i="8"/>
  <c r="Q1509" i="8"/>
  <c r="Q1510" i="8"/>
  <c r="Q1511" i="8"/>
  <c r="Q1512" i="8"/>
  <c r="Q1513" i="8"/>
  <c r="Q1514" i="8"/>
  <c r="Q1515" i="8"/>
  <c r="Q1516" i="8"/>
  <c r="Q1517" i="8"/>
  <c r="Q1518" i="8"/>
  <c r="Q1519" i="8"/>
  <c r="Q1520" i="8"/>
  <c r="Q1521" i="8"/>
  <c r="Q1522" i="8"/>
  <c r="Q1523" i="8"/>
  <c r="Q1524" i="8"/>
  <c r="Q1525" i="8"/>
  <c r="Q1526" i="8"/>
  <c r="Q1527" i="8"/>
  <c r="Q1528" i="8"/>
  <c r="Q1529" i="8"/>
  <c r="Q1530" i="8"/>
  <c r="Q1531" i="8"/>
  <c r="Q1532" i="8"/>
  <c r="Q1533" i="8"/>
  <c r="Q1534" i="8"/>
  <c r="Q1535" i="8"/>
  <c r="Q1536" i="8"/>
  <c r="Q1537" i="8"/>
  <c r="Q1538" i="8"/>
  <c r="Q1539" i="8"/>
  <c r="Q1540" i="8"/>
  <c r="Q1541" i="8"/>
  <c r="Q1542" i="8"/>
  <c r="Q1543" i="8"/>
  <c r="Q1544" i="8"/>
  <c r="Q1545" i="8"/>
  <c r="Q1546" i="8"/>
  <c r="Q1547" i="8"/>
  <c r="Q1548" i="8"/>
  <c r="Q1549" i="8"/>
  <c r="Q1550" i="8"/>
  <c r="Q1551" i="8"/>
  <c r="Q1552" i="8"/>
  <c r="Q1553" i="8"/>
  <c r="Q1554" i="8"/>
  <c r="Q1555" i="8"/>
  <c r="Q1556" i="8"/>
  <c r="Q1557" i="8"/>
  <c r="Q1558" i="8"/>
  <c r="Q1559" i="8"/>
  <c r="Q1560" i="8"/>
  <c r="Q1561" i="8"/>
  <c r="Q1562" i="8"/>
  <c r="Q1563" i="8"/>
  <c r="Q1564" i="8"/>
  <c r="Q1565" i="8"/>
  <c r="Q1566" i="8"/>
  <c r="Q1567" i="8"/>
  <c r="Q1568" i="8"/>
  <c r="Q1569" i="8"/>
  <c r="Q1570" i="8"/>
  <c r="Q1571" i="8"/>
  <c r="Q1572" i="8"/>
  <c r="Q1573" i="8"/>
  <c r="Q1574" i="8"/>
  <c r="Q1575" i="8"/>
  <c r="Q1576" i="8"/>
  <c r="Q1577" i="8"/>
  <c r="Q1578" i="8"/>
  <c r="Q1579" i="8"/>
  <c r="Q1580" i="8"/>
  <c r="Q1581" i="8"/>
  <c r="Q1582" i="8"/>
  <c r="Q1583" i="8"/>
  <c r="Q1584" i="8"/>
  <c r="Q1585" i="8"/>
  <c r="Q1586" i="8"/>
  <c r="Q1587" i="8"/>
  <c r="Q1588" i="8"/>
  <c r="Q1589" i="8"/>
  <c r="Q1590" i="8"/>
  <c r="Q1591" i="8"/>
  <c r="Q1592" i="8"/>
  <c r="Q1593" i="8"/>
  <c r="Q1594" i="8"/>
  <c r="Q1595" i="8"/>
  <c r="Q1596" i="8"/>
  <c r="Q1597" i="8"/>
  <c r="Q1598" i="8"/>
  <c r="Q1599" i="8"/>
  <c r="Q1600" i="8"/>
  <c r="Q1601" i="8"/>
  <c r="Q1602" i="8"/>
  <c r="Q1603" i="8"/>
  <c r="Q1604" i="8"/>
  <c r="Q1605" i="8"/>
  <c r="Q1606" i="8"/>
  <c r="Q1607" i="8"/>
  <c r="Q1608" i="8"/>
  <c r="Q1609" i="8"/>
  <c r="Q1610" i="8"/>
  <c r="Q1611" i="8"/>
  <c r="Q1612" i="8"/>
  <c r="Q1613" i="8"/>
  <c r="Q1614" i="8"/>
  <c r="Q1615" i="8"/>
  <c r="Q1616" i="8"/>
  <c r="Q1617" i="8"/>
  <c r="Q1618" i="8"/>
  <c r="Q1619" i="8"/>
  <c r="Q1620" i="8"/>
  <c r="Q1621" i="8"/>
  <c r="Q1622" i="8"/>
  <c r="Q1623" i="8"/>
  <c r="Q1624" i="8"/>
  <c r="Q1625" i="8"/>
  <c r="Q1626" i="8"/>
  <c r="Q1627" i="8"/>
  <c r="Q1628" i="8"/>
  <c r="Q1629" i="8"/>
  <c r="Q1630" i="8"/>
  <c r="Q1631" i="8"/>
  <c r="Q1632" i="8"/>
  <c r="Q1633" i="8"/>
  <c r="Q1634" i="8"/>
  <c r="Q1635" i="8"/>
  <c r="Q1636" i="8"/>
  <c r="Q1637" i="8"/>
  <c r="Q1638" i="8"/>
  <c r="Q1639" i="8"/>
  <c r="Q1640" i="8"/>
  <c r="Q1641" i="8"/>
  <c r="Q1642" i="8"/>
  <c r="Q1643" i="8"/>
  <c r="Q1644" i="8"/>
  <c r="Q1645" i="8"/>
  <c r="Q1646" i="8"/>
  <c r="Q1647" i="8"/>
  <c r="Q1648" i="8"/>
  <c r="Q1649" i="8"/>
  <c r="Q1650" i="8"/>
  <c r="Q1651" i="8"/>
  <c r="Q1652" i="8"/>
  <c r="Q1653" i="8"/>
  <c r="Q1654" i="8"/>
  <c r="Q1655" i="8"/>
  <c r="Q1656" i="8"/>
  <c r="Q1657" i="8"/>
  <c r="Q1658" i="8"/>
  <c r="Q1659" i="8"/>
  <c r="Q1660" i="8"/>
  <c r="Q1661" i="8"/>
  <c r="Q1662" i="8"/>
  <c r="Q1663" i="8"/>
  <c r="Q1664" i="8"/>
  <c r="Q1665" i="8"/>
  <c r="Q1666" i="8"/>
  <c r="Q1667" i="8"/>
  <c r="Q1668" i="8"/>
  <c r="Q1669" i="8"/>
  <c r="Q1670" i="8"/>
  <c r="Q1671" i="8"/>
  <c r="Q1672" i="8"/>
  <c r="Q1673" i="8"/>
  <c r="Q1674" i="8"/>
  <c r="Q1675" i="8"/>
  <c r="Q1676" i="8"/>
  <c r="Q1677" i="8"/>
  <c r="Q1678" i="8"/>
  <c r="Q1679" i="8"/>
  <c r="Q1680" i="8"/>
  <c r="Q1681" i="8"/>
  <c r="Q1682" i="8"/>
  <c r="Q1683" i="8"/>
  <c r="Q1684" i="8"/>
  <c r="Q1685" i="8"/>
  <c r="Q1686" i="8"/>
  <c r="Q1687" i="8"/>
  <c r="Q1688" i="8"/>
  <c r="Q1689" i="8"/>
  <c r="Q1690" i="8"/>
  <c r="Q1691" i="8"/>
  <c r="Q1692" i="8"/>
  <c r="Q1693" i="8"/>
  <c r="Q1694" i="8"/>
  <c r="Q1695" i="8"/>
  <c r="Q1696" i="8"/>
  <c r="Q1697" i="8"/>
  <c r="Q1698" i="8"/>
  <c r="Q1699" i="8"/>
  <c r="Q1700" i="8"/>
  <c r="Q1701" i="8"/>
  <c r="Q1702" i="8"/>
  <c r="Q1703" i="8"/>
  <c r="Q1704" i="8"/>
  <c r="Q1705" i="8"/>
  <c r="Q1706" i="8"/>
  <c r="Q1707" i="8"/>
  <c r="Q1708" i="8"/>
  <c r="Q1709" i="8"/>
  <c r="Q1710" i="8"/>
  <c r="Q1711" i="8"/>
  <c r="Q1712" i="8"/>
  <c r="Q1713" i="8"/>
  <c r="Q1714" i="8"/>
  <c r="Q1715" i="8"/>
  <c r="Q1716" i="8"/>
  <c r="Q1717" i="8"/>
  <c r="Q1718" i="8"/>
  <c r="Q1719" i="8"/>
  <c r="Q1720" i="8"/>
  <c r="Q1721" i="8"/>
  <c r="Q1722" i="8"/>
  <c r="Q1723" i="8"/>
  <c r="Q1724" i="8"/>
  <c r="Q1725" i="8"/>
  <c r="Q1726" i="8"/>
  <c r="Q1727" i="8"/>
  <c r="Q1728" i="8"/>
  <c r="Q1729" i="8"/>
  <c r="Q1730" i="8"/>
  <c r="Q1731" i="8"/>
  <c r="Q1732" i="8"/>
  <c r="Q1733" i="8"/>
  <c r="Q1734" i="8"/>
  <c r="Q1735" i="8"/>
  <c r="Q1736" i="8"/>
  <c r="Q1737" i="8"/>
  <c r="Q1738" i="8"/>
  <c r="Q1739" i="8"/>
  <c r="Q1740" i="8"/>
  <c r="Q1741" i="8"/>
  <c r="Q1742" i="8"/>
  <c r="Q1743" i="8"/>
  <c r="Q1744" i="8"/>
  <c r="Q1745" i="8"/>
  <c r="Q1746" i="8"/>
  <c r="Q1747" i="8"/>
  <c r="Q1748" i="8"/>
  <c r="Q1749" i="8"/>
  <c r="Q1750" i="8"/>
  <c r="Q1751" i="8"/>
  <c r="Q1752" i="8"/>
  <c r="Q1753" i="8"/>
  <c r="Q1754" i="8"/>
  <c r="Q1755" i="8"/>
  <c r="Q1756" i="8"/>
  <c r="Q1757" i="8"/>
  <c r="Q1758" i="8"/>
  <c r="Q1759" i="8"/>
  <c r="Q1760" i="8"/>
  <c r="Q1761" i="8"/>
  <c r="Q1762" i="8"/>
  <c r="Q1763" i="8"/>
  <c r="Q1764" i="8"/>
  <c r="Q1765" i="8"/>
  <c r="Q1766" i="8"/>
  <c r="Q1767" i="8"/>
  <c r="Q1768" i="8"/>
  <c r="Q1769" i="8"/>
  <c r="Q1770" i="8"/>
  <c r="Q1771" i="8"/>
  <c r="Q1772" i="8"/>
  <c r="Q1773" i="8"/>
  <c r="Q1774" i="8"/>
  <c r="Q1775" i="8"/>
  <c r="Q1776" i="8"/>
  <c r="Q1777" i="8"/>
  <c r="Q1778" i="8"/>
  <c r="Q1779" i="8"/>
  <c r="Q1780" i="8"/>
  <c r="Q1781" i="8"/>
  <c r="Q1782" i="8"/>
  <c r="Q1783" i="8"/>
  <c r="Q1784" i="8"/>
  <c r="Q1785" i="8"/>
  <c r="Q1786" i="8"/>
  <c r="Q1787" i="8"/>
  <c r="Q1788" i="8"/>
  <c r="Q1789" i="8"/>
  <c r="Q1790" i="8"/>
  <c r="Q1791" i="8"/>
  <c r="Q1792" i="8"/>
  <c r="Q1793" i="8"/>
  <c r="Q1794" i="8"/>
  <c r="Q1795" i="8"/>
  <c r="Q1796" i="8"/>
  <c r="Q1797" i="8"/>
  <c r="Q1798" i="8"/>
  <c r="Q1799" i="8"/>
  <c r="Q1800" i="8"/>
  <c r="Q1801" i="8"/>
  <c r="Q1802" i="8"/>
  <c r="Q1803" i="8"/>
  <c r="Q1804" i="8"/>
  <c r="Q1805" i="8"/>
  <c r="Q1806" i="8"/>
  <c r="Q1807" i="8"/>
  <c r="Q1808" i="8"/>
  <c r="Q1809" i="8"/>
  <c r="Q1810" i="8"/>
  <c r="Q1811" i="8"/>
  <c r="Q1812" i="8"/>
  <c r="Q1813" i="8"/>
  <c r="Q1814" i="8"/>
  <c r="Q1815" i="8"/>
  <c r="Q1816" i="8"/>
  <c r="Q1817" i="8"/>
  <c r="Q1818" i="8"/>
  <c r="Q1819" i="8"/>
  <c r="Q1820" i="8"/>
  <c r="Q1821" i="8"/>
  <c r="Q1822" i="8"/>
  <c r="Q1823" i="8"/>
  <c r="Q1824" i="8"/>
  <c r="Q1825" i="8"/>
  <c r="Q1826" i="8"/>
  <c r="Q1827" i="8"/>
  <c r="Q1828" i="8"/>
  <c r="Q1829" i="8"/>
  <c r="Q1830" i="8"/>
  <c r="Q1831" i="8"/>
  <c r="Q1832" i="8"/>
  <c r="Q1833" i="8"/>
  <c r="Q1834" i="8"/>
  <c r="Q1835" i="8"/>
  <c r="Q1836" i="8"/>
  <c r="Q1837" i="8"/>
  <c r="Q1838" i="8"/>
  <c r="Q1839" i="8"/>
  <c r="Q1840" i="8"/>
  <c r="Q1841" i="8"/>
  <c r="Q1842" i="8"/>
  <c r="Q1843" i="8"/>
  <c r="Q1844" i="8"/>
  <c r="Q1845" i="8"/>
  <c r="Q1846" i="8"/>
  <c r="Q1847" i="8"/>
  <c r="Q1848" i="8"/>
  <c r="Q1849" i="8"/>
  <c r="Q1850" i="8"/>
  <c r="Q1851" i="8"/>
  <c r="Q1852" i="8"/>
  <c r="Q1853" i="8"/>
  <c r="Q1854" i="8"/>
  <c r="Q1855" i="8"/>
  <c r="Q1856" i="8"/>
  <c r="Q1857" i="8"/>
  <c r="Q1858" i="8"/>
  <c r="Q1859" i="8"/>
  <c r="Q1860" i="8"/>
  <c r="Q1861" i="8"/>
  <c r="Q1862" i="8"/>
  <c r="Q1863" i="8"/>
  <c r="Q1864" i="8"/>
  <c r="Q1865" i="8"/>
  <c r="Q1866" i="8"/>
  <c r="Q1867" i="8"/>
  <c r="Q1868" i="8"/>
  <c r="Q1869" i="8"/>
  <c r="Q1870" i="8"/>
  <c r="Q1871" i="8"/>
  <c r="Q1872" i="8"/>
  <c r="Q1873" i="8"/>
  <c r="Q1874" i="8"/>
  <c r="Q1875" i="8"/>
  <c r="Q1876" i="8"/>
  <c r="Q1877" i="8"/>
  <c r="Q1878" i="8"/>
  <c r="Q1879" i="8"/>
  <c r="Q1880" i="8"/>
  <c r="Q1881" i="8"/>
  <c r="Q1882" i="8"/>
  <c r="Q1883" i="8"/>
  <c r="Q1884" i="8"/>
  <c r="Q1885" i="8"/>
  <c r="Q1886" i="8"/>
  <c r="Q1887" i="8"/>
  <c r="Q1888" i="8"/>
  <c r="Q1889" i="8"/>
  <c r="Q1890" i="8"/>
  <c r="Q1891" i="8"/>
  <c r="Q1892" i="8"/>
  <c r="Q1893" i="8"/>
  <c r="Q1894" i="8"/>
  <c r="Q1895" i="8"/>
  <c r="Q1896" i="8"/>
  <c r="Q1897" i="8"/>
  <c r="Q1898" i="8"/>
  <c r="Q1899" i="8"/>
  <c r="Q1900" i="8"/>
  <c r="Q1901" i="8"/>
  <c r="Q1902" i="8"/>
  <c r="Q1903" i="8"/>
  <c r="Q1904" i="8"/>
  <c r="Q1905" i="8"/>
  <c r="Q1906" i="8"/>
  <c r="Q1907" i="8"/>
  <c r="Q1908" i="8"/>
  <c r="Q1909" i="8"/>
  <c r="Q1910" i="8"/>
  <c r="Q1911" i="8"/>
  <c r="Q1912" i="8"/>
  <c r="Q1913" i="8"/>
  <c r="Q1914" i="8"/>
  <c r="Q1915" i="8"/>
  <c r="Q1916" i="8"/>
  <c r="Q1917" i="8"/>
  <c r="Q1918" i="8"/>
  <c r="Q1919" i="8"/>
  <c r="Q1920" i="8"/>
  <c r="Q1921" i="8"/>
  <c r="Q1922" i="8"/>
  <c r="Q1923" i="8"/>
  <c r="Q1924" i="8"/>
  <c r="Q1925" i="8"/>
  <c r="Q1926" i="8"/>
  <c r="Q1927" i="8"/>
  <c r="Q1928" i="8"/>
  <c r="Q1929" i="8"/>
  <c r="Q1930" i="8"/>
  <c r="Q1931" i="8"/>
  <c r="Q1932" i="8"/>
  <c r="Q1933" i="8"/>
  <c r="Q1934" i="8"/>
  <c r="Q1935" i="8"/>
  <c r="Q1936" i="8"/>
  <c r="Q1937" i="8"/>
  <c r="Q1938" i="8"/>
  <c r="Q1939" i="8"/>
  <c r="Q1940" i="8"/>
  <c r="Q1941" i="8"/>
  <c r="Q1942" i="8"/>
  <c r="Q1943" i="8"/>
  <c r="Q1944" i="8"/>
  <c r="Q1945" i="8"/>
  <c r="Q1946" i="8"/>
  <c r="Q1947" i="8"/>
  <c r="Q1948" i="8"/>
  <c r="Q1949" i="8"/>
  <c r="Q1950" i="8"/>
  <c r="Q1951" i="8"/>
  <c r="Q1952" i="8"/>
  <c r="Q1953" i="8"/>
  <c r="Q1954" i="8"/>
  <c r="Q1955" i="8"/>
  <c r="Q1956" i="8"/>
  <c r="Q1957" i="8"/>
  <c r="Q1958" i="8"/>
  <c r="Q1959" i="8"/>
  <c r="Q1960" i="8"/>
  <c r="Q1961" i="8"/>
  <c r="Q1962" i="8"/>
  <c r="Q1963" i="8"/>
  <c r="Q1964" i="8"/>
  <c r="Q1965" i="8"/>
  <c r="Q1966" i="8"/>
  <c r="Q1967" i="8"/>
  <c r="Q1968" i="8"/>
  <c r="Q1969" i="8"/>
  <c r="Q1970" i="8"/>
  <c r="Q1971" i="8"/>
  <c r="Q1972" i="8"/>
  <c r="Q1973" i="8"/>
  <c r="Q1974" i="8"/>
  <c r="Q1975" i="8"/>
  <c r="Q1976" i="8"/>
  <c r="Q1977" i="8"/>
  <c r="Q1978" i="8"/>
  <c r="Q1979" i="8"/>
  <c r="Q1980" i="8"/>
  <c r="Q1981" i="8"/>
  <c r="Q1982" i="8"/>
  <c r="Q1983" i="8"/>
  <c r="Q1984" i="8"/>
  <c r="Q1985" i="8"/>
  <c r="Q1986" i="8"/>
  <c r="Q1987" i="8"/>
  <c r="Q1988" i="8"/>
  <c r="Q1989" i="8"/>
  <c r="Q1990" i="8"/>
  <c r="Q1991" i="8"/>
  <c r="Q1992" i="8"/>
  <c r="Q1993" i="8"/>
  <c r="Q1994" i="8"/>
  <c r="Q1995" i="8"/>
  <c r="Q1996" i="8"/>
  <c r="Q1997" i="8"/>
  <c r="Q1998" i="8"/>
  <c r="Q1999" i="8"/>
  <c r="Q2000" i="8"/>
  <c r="Q2001" i="8"/>
  <c r="Q2002" i="8"/>
  <c r="Q2003" i="8"/>
  <c r="Q2004" i="8"/>
  <c r="Q2005" i="8"/>
  <c r="Q2006" i="8"/>
  <c r="Q2007" i="8"/>
  <c r="Q2008" i="8"/>
  <c r="Q2009" i="8"/>
  <c r="Q2010" i="8"/>
  <c r="Q2011" i="8"/>
  <c r="Q2012" i="8"/>
  <c r="Q2013" i="8"/>
  <c r="Q2014" i="8"/>
  <c r="Q2015" i="8"/>
  <c r="Q2016" i="8"/>
  <c r="Q2017" i="8"/>
  <c r="Q2018" i="8"/>
  <c r="Q2019" i="8"/>
  <c r="Q2020" i="8"/>
  <c r="Q2021" i="8"/>
  <c r="Q2022" i="8"/>
  <c r="Q2023" i="8"/>
  <c r="Q2024" i="8"/>
  <c r="Q2025" i="8"/>
  <c r="Q2026" i="8"/>
  <c r="Q2027" i="8"/>
  <c r="Q2028" i="8"/>
  <c r="Q2029" i="8"/>
  <c r="Q2030" i="8"/>
  <c r="Q2031" i="8"/>
  <c r="Q2032" i="8"/>
  <c r="Q2033" i="8"/>
  <c r="Q2034" i="8"/>
  <c r="Q2035" i="8"/>
  <c r="Q2036" i="8"/>
  <c r="Q2037" i="8"/>
  <c r="Q2038" i="8"/>
  <c r="Q2039" i="8"/>
  <c r="Q2040" i="8"/>
  <c r="Q2041" i="8"/>
  <c r="Q2042" i="8"/>
  <c r="Q2043" i="8"/>
  <c r="Q2044" i="8"/>
  <c r="Q2045" i="8"/>
  <c r="Q2046" i="8"/>
  <c r="Q2047" i="8"/>
  <c r="Q2048" i="8"/>
  <c r="Q2049" i="8"/>
  <c r="Q2050" i="8"/>
  <c r="Q2051" i="8"/>
  <c r="Q2052" i="8"/>
  <c r="Q2053" i="8"/>
  <c r="Q2054" i="8"/>
  <c r="Q2055" i="8"/>
  <c r="Q2056" i="8"/>
  <c r="Q2057" i="8"/>
  <c r="Q2058" i="8"/>
  <c r="Q2059" i="8"/>
  <c r="Q2060" i="8"/>
  <c r="Q2061" i="8"/>
  <c r="Q2062" i="8"/>
  <c r="Q2063" i="8"/>
  <c r="Q2064" i="8"/>
  <c r="Q2065" i="8"/>
  <c r="Q2066" i="8"/>
  <c r="Q2067" i="8"/>
  <c r="Q2068" i="8"/>
  <c r="Q2069" i="8"/>
  <c r="Q2070" i="8"/>
  <c r="Q2071" i="8"/>
  <c r="Q2072" i="8"/>
  <c r="Q2073" i="8"/>
  <c r="Q2074" i="8"/>
  <c r="Q2075" i="8"/>
  <c r="Q2076" i="8"/>
  <c r="Q2077" i="8"/>
  <c r="Q2078" i="8"/>
  <c r="Q2079" i="8"/>
  <c r="Q2080" i="8"/>
  <c r="Q2081" i="8"/>
  <c r="Q2082" i="8"/>
  <c r="Q2083" i="8"/>
  <c r="Q2084" i="8"/>
  <c r="Q2085" i="8"/>
  <c r="Q2086" i="8"/>
  <c r="Q2087" i="8"/>
  <c r="Q2088" i="8"/>
  <c r="Q2089" i="8"/>
  <c r="Q2090" i="8"/>
  <c r="Q2091" i="8"/>
  <c r="Q2092" i="8"/>
  <c r="Q2093" i="8"/>
  <c r="Q2094" i="8"/>
  <c r="Q2095" i="8"/>
  <c r="Q2096" i="8"/>
  <c r="Q2097" i="8"/>
  <c r="Q2098" i="8"/>
  <c r="Q2099" i="8"/>
  <c r="Q2100" i="8"/>
  <c r="Q2101" i="8"/>
  <c r="Q2102" i="8"/>
  <c r="Q2103" i="8"/>
  <c r="Q2104" i="8"/>
  <c r="Q2105" i="8"/>
  <c r="Q2106" i="8"/>
  <c r="Q2107" i="8"/>
  <c r="Q2108" i="8"/>
  <c r="Q2109" i="8"/>
  <c r="Q2110" i="8"/>
  <c r="Q2111" i="8"/>
  <c r="Q2112" i="8"/>
  <c r="Q2113" i="8"/>
  <c r="Q2114" i="8"/>
  <c r="Q2115" i="8"/>
  <c r="Q2116" i="8"/>
  <c r="Q2117" i="8"/>
  <c r="Q2118" i="8"/>
  <c r="Q2119" i="8"/>
  <c r="Q2120" i="8"/>
  <c r="Q2121" i="8"/>
  <c r="Q2122" i="8"/>
  <c r="Q2123" i="8"/>
  <c r="Q2124" i="8"/>
  <c r="Q2125" i="8"/>
  <c r="Q2126" i="8"/>
  <c r="Q2127" i="8"/>
  <c r="Q2128" i="8"/>
  <c r="Q2129" i="8"/>
  <c r="Q2130" i="8"/>
  <c r="Q2131" i="8"/>
  <c r="Q2132" i="8"/>
  <c r="Q2133" i="8"/>
  <c r="Q2134" i="8"/>
  <c r="Q2135" i="8"/>
  <c r="Q2136" i="8"/>
  <c r="Q2137" i="8"/>
  <c r="Q2138" i="8"/>
  <c r="Q2139" i="8"/>
  <c r="Q2140" i="8"/>
  <c r="Q2141" i="8"/>
  <c r="Q2142" i="8"/>
  <c r="Q2143" i="8"/>
  <c r="Q2144" i="8"/>
  <c r="Q2145" i="8"/>
  <c r="Q2146" i="8"/>
  <c r="Q2147" i="8"/>
  <c r="Q2148" i="8"/>
  <c r="Q2149" i="8"/>
  <c r="Q2150" i="8"/>
  <c r="Q2151" i="8"/>
  <c r="Q2152" i="8"/>
  <c r="Q2153" i="8"/>
  <c r="Q2154" i="8"/>
  <c r="Q2155" i="8"/>
  <c r="Q2156" i="8"/>
  <c r="Q2157" i="8"/>
  <c r="Q2158" i="8"/>
  <c r="Q2159" i="8"/>
  <c r="Q2160" i="8"/>
  <c r="Q2161" i="8"/>
  <c r="Q2162" i="8"/>
  <c r="Q2163" i="8"/>
  <c r="Q2164" i="8"/>
  <c r="Q2165" i="8"/>
  <c r="Q2166" i="8"/>
  <c r="Q2167" i="8"/>
  <c r="Q2168" i="8"/>
  <c r="Q2169" i="8"/>
  <c r="Q2170" i="8"/>
  <c r="Q2171" i="8"/>
  <c r="Q2172" i="8"/>
  <c r="Q2173" i="8"/>
  <c r="Q2174" i="8"/>
  <c r="Q2175" i="8"/>
  <c r="Q2176" i="8"/>
  <c r="Q2177" i="8"/>
  <c r="Q2178" i="8"/>
  <c r="Q2179" i="8"/>
  <c r="Q2180" i="8"/>
  <c r="Q2181" i="8"/>
  <c r="Q2182" i="8"/>
  <c r="Q2183" i="8"/>
  <c r="Q2184" i="8"/>
  <c r="Q2185" i="8"/>
  <c r="Q2186" i="8"/>
  <c r="Q2187" i="8"/>
  <c r="Q2188" i="8"/>
  <c r="Q2189" i="8"/>
  <c r="Q2190" i="8"/>
  <c r="Q2191" i="8"/>
  <c r="Q2192" i="8"/>
  <c r="Q2193" i="8"/>
  <c r="Q2194" i="8"/>
  <c r="Q2195" i="8"/>
  <c r="Q2196" i="8"/>
  <c r="Q2197" i="8"/>
  <c r="Q2198" i="8"/>
  <c r="Q2199" i="8"/>
  <c r="Q2200" i="8"/>
  <c r="Q2201" i="8"/>
  <c r="Q2202" i="8"/>
  <c r="Q2203" i="8"/>
  <c r="Q2204" i="8"/>
  <c r="Q2205" i="8"/>
  <c r="Q2206" i="8"/>
  <c r="Q2207" i="8"/>
  <c r="Q2208" i="8"/>
  <c r="Q2209" i="8"/>
  <c r="Q2210" i="8"/>
  <c r="Q2211" i="8"/>
  <c r="Q2212" i="8"/>
  <c r="Q2213" i="8"/>
  <c r="Q2214" i="8"/>
  <c r="Q2215" i="8"/>
  <c r="Q2216" i="8"/>
  <c r="Q2217" i="8"/>
  <c r="Q2218" i="8"/>
  <c r="Q2219" i="8"/>
  <c r="Q2220" i="8"/>
  <c r="Q2221" i="8"/>
  <c r="Q2222" i="8"/>
  <c r="Q2223" i="8"/>
  <c r="Q2224" i="8"/>
  <c r="Q2225" i="8"/>
  <c r="Q2226" i="8"/>
  <c r="Q2227" i="8"/>
  <c r="Q2228" i="8"/>
  <c r="Q2229" i="8"/>
  <c r="Q2230" i="8"/>
  <c r="Q2231" i="8"/>
  <c r="Q2232" i="8"/>
  <c r="Q2233" i="8"/>
  <c r="Q2234" i="8"/>
  <c r="Q2235" i="8"/>
  <c r="Q2236" i="8"/>
  <c r="Q2237" i="8"/>
  <c r="Q2238" i="8"/>
  <c r="Q2239" i="8"/>
  <c r="Q2240" i="8"/>
  <c r="Q2241" i="8"/>
  <c r="Q2242" i="8"/>
  <c r="Q2243" i="8"/>
  <c r="Q2244" i="8"/>
  <c r="Q2245" i="8"/>
  <c r="Q2246" i="8"/>
  <c r="Q2247" i="8"/>
  <c r="Q2248" i="8"/>
  <c r="Q2249" i="8"/>
  <c r="Q2250" i="8"/>
  <c r="Q2251" i="8"/>
  <c r="Q2252" i="8"/>
  <c r="Q2253" i="8"/>
  <c r="Q2254" i="8"/>
  <c r="Q2255" i="8"/>
  <c r="Q2256" i="8"/>
  <c r="Q2257" i="8"/>
  <c r="Q2258" i="8"/>
  <c r="Q2259" i="8"/>
  <c r="Q2260" i="8"/>
  <c r="Q2261" i="8"/>
  <c r="Q2262" i="8"/>
  <c r="Q2263" i="8"/>
  <c r="Q2264" i="8"/>
  <c r="Q2265" i="8"/>
  <c r="Q2266" i="8"/>
  <c r="Q2267" i="8"/>
  <c r="Q2268" i="8"/>
  <c r="Q2269" i="8"/>
  <c r="Q2270" i="8"/>
  <c r="Q2271" i="8"/>
  <c r="Q2272" i="8"/>
  <c r="Q2273" i="8"/>
  <c r="Q2274" i="8"/>
  <c r="Q2275" i="8"/>
  <c r="Q2276" i="8"/>
  <c r="Q2277" i="8"/>
  <c r="Q2278" i="8"/>
  <c r="Q2279" i="8"/>
  <c r="Q2280" i="8"/>
  <c r="Q2281" i="8"/>
  <c r="Q2282" i="8"/>
  <c r="Q2283" i="8"/>
  <c r="Q2284" i="8"/>
  <c r="Q2285" i="8"/>
  <c r="Q2286" i="8"/>
  <c r="Q2287" i="8"/>
  <c r="Q2288" i="8"/>
  <c r="Q2289" i="8"/>
  <c r="Q2290" i="8"/>
  <c r="Q2291" i="8"/>
  <c r="Q2292" i="8"/>
  <c r="Q2293" i="8"/>
  <c r="Q2294" i="8"/>
  <c r="Q2295" i="8"/>
  <c r="Q2296" i="8"/>
  <c r="Q2297" i="8"/>
  <c r="Q2298" i="8"/>
  <c r="Q2299" i="8"/>
  <c r="Q2300" i="8"/>
  <c r="Q2301" i="8"/>
  <c r="Q2302" i="8"/>
  <c r="Q2303" i="8"/>
  <c r="Q2304" i="8"/>
  <c r="Q2305" i="8"/>
  <c r="Q2306" i="8"/>
  <c r="Q2307" i="8"/>
  <c r="Q2308" i="8"/>
  <c r="Q2309" i="8"/>
  <c r="Q2310" i="8"/>
  <c r="Q2311" i="8"/>
  <c r="Q2312" i="8"/>
  <c r="Q2313" i="8"/>
  <c r="Q2314" i="8"/>
  <c r="Q2315" i="8"/>
  <c r="Q2316" i="8"/>
  <c r="Q2317" i="8"/>
  <c r="Q2318" i="8"/>
  <c r="Q2319" i="8"/>
  <c r="Q2320" i="8"/>
  <c r="Q2321" i="8"/>
  <c r="Q2322" i="8"/>
  <c r="Q2323" i="8"/>
  <c r="Q2324" i="8"/>
  <c r="Q2325" i="8"/>
  <c r="Q2326" i="8"/>
  <c r="Q2327" i="8"/>
  <c r="Q2328" i="8"/>
  <c r="Q2329" i="8"/>
  <c r="Q2330" i="8"/>
  <c r="Q2331" i="8"/>
  <c r="Q2332" i="8"/>
  <c r="Q2333" i="8"/>
  <c r="Q2334" i="8"/>
  <c r="Q2335" i="8"/>
  <c r="Q2336" i="8"/>
  <c r="Q2337" i="8"/>
  <c r="Q2338" i="8"/>
  <c r="Q2339" i="8"/>
  <c r="Q2340" i="8"/>
  <c r="Q2341" i="8"/>
  <c r="Q2342" i="8"/>
  <c r="Q2343" i="8"/>
  <c r="Q2344" i="8"/>
  <c r="Q2345" i="8"/>
  <c r="Q2346" i="8"/>
  <c r="Q2347" i="8"/>
  <c r="Q2348" i="8"/>
  <c r="Q2349" i="8"/>
  <c r="Q2350" i="8"/>
  <c r="Q2351" i="8"/>
  <c r="Q2352" i="8"/>
  <c r="Q2353" i="8"/>
  <c r="Q2354" i="8"/>
  <c r="Q2355" i="8"/>
  <c r="Q2356" i="8"/>
  <c r="Q2357" i="8"/>
  <c r="Q2358" i="8"/>
  <c r="Q2359" i="8"/>
  <c r="Q2360" i="8"/>
  <c r="Q2361" i="8"/>
  <c r="Q2362" i="8"/>
  <c r="Q2363" i="8"/>
  <c r="Q2364" i="8"/>
  <c r="Q2365" i="8"/>
  <c r="Q2366" i="8"/>
  <c r="Q2367" i="8"/>
  <c r="Q2368" i="8"/>
  <c r="Q2369" i="8"/>
  <c r="Q2370" i="8"/>
  <c r="Q2371" i="8"/>
  <c r="Q2372" i="8"/>
  <c r="Q2373" i="8"/>
  <c r="Q2374" i="8"/>
  <c r="Q2375" i="8"/>
  <c r="Q2376" i="8"/>
  <c r="Q2377" i="8"/>
  <c r="Q2378" i="8"/>
  <c r="Q2379" i="8"/>
  <c r="Q2380" i="8"/>
  <c r="Q2381" i="8"/>
  <c r="Q2382" i="8"/>
  <c r="Q2383" i="8"/>
  <c r="Q2384" i="8"/>
  <c r="Q2385" i="8"/>
  <c r="Q2386" i="8"/>
  <c r="Q2387" i="8"/>
  <c r="Q2388" i="8"/>
  <c r="Q2389" i="8"/>
  <c r="Q2390" i="8"/>
  <c r="Q2391" i="8"/>
  <c r="Q2392" i="8"/>
  <c r="Q2393" i="8"/>
  <c r="Q2394" i="8"/>
  <c r="Q2395" i="8"/>
  <c r="Q2396" i="8"/>
  <c r="Q2397" i="8"/>
  <c r="Q2398" i="8"/>
  <c r="Q2399" i="8"/>
  <c r="Q2400" i="8"/>
  <c r="Q2401" i="8"/>
  <c r="Q2402" i="8"/>
  <c r="Q2403" i="8"/>
  <c r="Q2404" i="8"/>
  <c r="Q2405" i="8"/>
  <c r="Q2406" i="8"/>
  <c r="Q2407" i="8"/>
  <c r="Q2408" i="8"/>
  <c r="Q2409" i="8"/>
  <c r="Q2410" i="8"/>
  <c r="Q2411" i="8"/>
  <c r="Q2412" i="8"/>
  <c r="Q2413" i="8"/>
  <c r="Q2414" i="8"/>
  <c r="Q2415" i="8"/>
  <c r="Q2416" i="8"/>
  <c r="Q2417" i="8"/>
  <c r="Q2418" i="8"/>
  <c r="Q2419" i="8"/>
  <c r="Q2420" i="8"/>
  <c r="Q2421" i="8"/>
  <c r="Q2422" i="8"/>
  <c r="Q2423" i="8"/>
  <c r="Q2424" i="8"/>
  <c r="Q2425" i="8"/>
  <c r="Q2426" i="8"/>
  <c r="Q2427" i="8"/>
  <c r="Q2428" i="8"/>
  <c r="Q2429" i="8"/>
  <c r="Q2430" i="8"/>
  <c r="Q2431" i="8"/>
  <c r="Q2432" i="8"/>
  <c r="Q2433" i="8"/>
  <c r="Q2434" i="8"/>
  <c r="Q2435" i="8"/>
  <c r="Q2436" i="8"/>
  <c r="Q2437" i="8"/>
  <c r="Q2438" i="8"/>
  <c r="Q2439" i="8"/>
  <c r="Q2440" i="8"/>
  <c r="Q2441" i="8"/>
  <c r="Q2442" i="8"/>
  <c r="Q2443" i="8"/>
  <c r="Q2444" i="8"/>
  <c r="Q2445" i="8"/>
  <c r="Q2446" i="8"/>
  <c r="Q2447" i="8"/>
  <c r="Q2448" i="8"/>
  <c r="Q2449" i="8"/>
  <c r="Q2450" i="8"/>
  <c r="Q2451" i="8"/>
  <c r="Q2452" i="8"/>
  <c r="Q2453" i="8"/>
  <c r="Q2454" i="8"/>
  <c r="Q2455" i="8"/>
  <c r="Q2456" i="8"/>
  <c r="Q2457" i="8"/>
  <c r="Q2458" i="8"/>
  <c r="Q2459" i="8"/>
  <c r="Q2460" i="8"/>
  <c r="Q2461" i="8"/>
  <c r="Q2462" i="8"/>
  <c r="Q2463" i="8"/>
  <c r="Q2464" i="8"/>
  <c r="Q2465" i="8"/>
  <c r="Q2466" i="8"/>
  <c r="Q2467" i="8"/>
  <c r="Q2468" i="8"/>
  <c r="Q2469" i="8"/>
  <c r="Q2470" i="8"/>
  <c r="Q2471" i="8"/>
  <c r="Q2472" i="8"/>
  <c r="Q2473" i="8"/>
  <c r="Q2474" i="8"/>
  <c r="Q2475" i="8"/>
  <c r="Q2476" i="8"/>
  <c r="Q2477" i="8"/>
  <c r="Q2478" i="8"/>
  <c r="Q2479" i="8"/>
  <c r="Q2480" i="8"/>
  <c r="Q2481" i="8"/>
  <c r="Q2482" i="8"/>
  <c r="Q2483" i="8"/>
  <c r="Q2484" i="8"/>
  <c r="Q2485" i="8"/>
  <c r="Q2486" i="8"/>
  <c r="Q2487" i="8"/>
  <c r="Q2488" i="8"/>
  <c r="Q2489" i="8"/>
  <c r="Q2490" i="8"/>
  <c r="Q2491" i="8"/>
  <c r="Q2492" i="8"/>
  <c r="Q2493" i="8"/>
  <c r="Q2494" i="8"/>
  <c r="Q2495" i="8"/>
  <c r="Q2496" i="8"/>
  <c r="Q2497" i="8"/>
  <c r="Q2498" i="8"/>
  <c r="Q2499" i="8"/>
  <c r="Q2500" i="8"/>
  <c r="Q2501" i="8"/>
  <c r="Q2502" i="8"/>
  <c r="Q2503" i="8"/>
  <c r="Q2504" i="8"/>
  <c r="Q2505" i="8"/>
  <c r="Q2506" i="8"/>
  <c r="Q2507" i="8"/>
  <c r="Q2508" i="8"/>
  <c r="Q2509" i="8"/>
  <c r="Q2510" i="8"/>
  <c r="Q2511" i="8"/>
  <c r="Q2512" i="8"/>
  <c r="Q2513" i="8"/>
  <c r="Q2514" i="8"/>
  <c r="Q2515" i="8"/>
  <c r="Q2516" i="8"/>
  <c r="Q2517" i="8"/>
  <c r="Q2518" i="8"/>
  <c r="Q2519" i="8"/>
  <c r="Q2520" i="8"/>
  <c r="Q2521" i="8"/>
  <c r="Q2522" i="8"/>
  <c r="Q2523" i="8"/>
  <c r="Q2524" i="8"/>
  <c r="Q2525" i="8"/>
  <c r="Q2526" i="8"/>
  <c r="Q2527" i="8"/>
  <c r="Q2528" i="8"/>
  <c r="Q2529" i="8"/>
  <c r="Q2530" i="8"/>
  <c r="Q2531" i="8"/>
  <c r="Q2532" i="8"/>
  <c r="Q2533" i="8"/>
  <c r="Q2534" i="8"/>
  <c r="Q2535" i="8"/>
  <c r="Q2536" i="8"/>
  <c r="Q2537" i="8"/>
  <c r="Q2538" i="8"/>
  <c r="Q2539" i="8"/>
  <c r="Q2540" i="8"/>
  <c r="Q2541" i="8"/>
  <c r="Q2542" i="8"/>
  <c r="Q2543" i="8"/>
  <c r="Q2544" i="8"/>
  <c r="Q2545" i="8"/>
  <c r="Q2546" i="8"/>
  <c r="Q2547" i="8"/>
  <c r="Q2548" i="8"/>
  <c r="Q2549" i="8"/>
  <c r="Q2550" i="8"/>
  <c r="Q2551" i="8"/>
  <c r="Q2552" i="8"/>
  <c r="Q2553" i="8"/>
  <c r="Q2554" i="8"/>
  <c r="Q2555" i="8"/>
  <c r="Q2556" i="8"/>
  <c r="Q2557" i="8"/>
  <c r="Q2558" i="8"/>
  <c r="Q2559" i="8"/>
  <c r="Q2560" i="8"/>
  <c r="Q2561" i="8"/>
  <c r="Q2562" i="8"/>
  <c r="Q2563" i="8"/>
  <c r="Q2564" i="8"/>
  <c r="Q2565" i="8"/>
  <c r="Q2566" i="8"/>
  <c r="Q2567" i="8"/>
  <c r="Q2568" i="8"/>
  <c r="Q2569" i="8"/>
  <c r="Q2570" i="8"/>
  <c r="Q2571" i="8"/>
  <c r="Q2572" i="8"/>
  <c r="Q2573" i="8"/>
  <c r="Q2574" i="8"/>
  <c r="Q2575" i="8"/>
  <c r="Q2576" i="8"/>
  <c r="Q2577" i="8"/>
  <c r="Q2578" i="8"/>
  <c r="Q2579" i="8"/>
  <c r="Q2580" i="8"/>
  <c r="Q2581" i="8"/>
  <c r="Q2582" i="8"/>
  <c r="Q2583" i="8"/>
  <c r="Q2584" i="8"/>
  <c r="Q2585" i="8"/>
  <c r="Q2586" i="8"/>
  <c r="Q2587" i="8"/>
  <c r="Q2588" i="8"/>
  <c r="Q2589" i="8"/>
  <c r="Q2590" i="8"/>
  <c r="Q2591" i="8"/>
  <c r="Q2592" i="8"/>
  <c r="Q2593" i="8"/>
  <c r="Q2594" i="8"/>
  <c r="Q2595" i="8"/>
  <c r="Q2596" i="8"/>
  <c r="Q2597" i="8"/>
  <c r="Q2598" i="8"/>
  <c r="Q2599" i="8"/>
  <c r="Q2600" i="8"/>
  <c r="Q2601" i="8"/>
  <c r="Q2602" i="8"/>
  <c r="Q2603" i="8"/>
  <c r="Q2604" i="8"/>
  <c r="Q2605" i="8"/>
  <c r="Q2606" i="8"/>
  <c r="Q2607" i="8"/>
  <c r="Q2608" i="8"/>
  <c r="Q2609" i="8"/>
  <c r="Q2610" i="8"/>
  <c r="Q2611" i="8"/>
  <c r="Q2612" i="8"/>
  <c r="Q2613" i="8"/>
  <c r="Q2614" i="8"/>
  <c r="Q2615" i="8"/>
  <c r="Q2616" i="8"/>
  <c r="Q2617" i="8"/>
  <c r="Q2618" i="8"/>
  <c r="Q2619" i="8"/>
  <c r="Q2620" i="8"/>
  <c r="Q2621" i="8"/>
  <c r="Q2622" i="8"/>
  <c r="Q2623" i="8"/>
  <c r="Q2624" i="8"/>
  <c r="Q2625" i="8"/>
  <c r="Q2626" i="8"/>
  <c r="Q2627" i="8"/>
  <c r="Q2628" i="8"/>
  <c r="Q2629" i="8"/>
  <c r="Q2630" i="8"/>
  <c r="Q2631" i="8"/>
  <c r="Q2632" i="8"/>
  <c r="Q2633" i="8"/>
  <c r="Q2634" i="8"/>
  <c r="Q2635" i="8"/>
  <c r="Q2636" i="8"/>
  <c r="Q2637" i="8"/>
  <c r="Q2638" i="8"/>
  <c r="Q2639" i="8"/>
  <c r="Q2640" i="8"/>
  <c r="Q2641" i="8"/>
  <c r="Q2642" i="8"/>
  <c r="Q2643" i="8"/>
  <c r="Q2644" i="8"/>
  <c r="Q2645" i="8"/>
  <c r="Q2646" i="8"/>
  <c r="Q2647" i="8"/>
  <c r="Q2648" i="8"/>
  <c r="Q2649" i="8"/>
  <c r="Q2650" i="8"/>
  <c r="Q2651" i="8"/>
  <c r="Q2652" i="8"/>
  <c r="Q2653" i="8"/>
  <c r="Q2654" i="8"/>
  <c r="Q2655" i="8"/>
  <c r="Q2656" i="8"/>
  <c r="Q2657" i="8"/>
  <c r="Q2658" i="8"/>
  <c r="Q2659" i="8"/>
  <c r="Q2660" i="8"/>
  <c r="Q2661" i="8"/>
  <c r="Q2662" i="8"/>
  <c r="Q2663" i="8"/>
  <c r="Q2664" i="8"/>
  <c r="Q2665" i="8"/>
  <c r="Q2666" i="8"/>
  <c r="Q2667" i="8"/>
  <c r="Q2668" i="8"/>
  <c r="Q2669" i="8"/>
  <c r="Q2670" i="8"/>
  <c r="Q2671" i="8"/>
  <c r="Q2672" i="8"/>
  <c r="Q2673" i="8"/>
  <c r="Q2674" i="8"/>
  <c r="Q2675" i="8"/>
  <c r="Q2676" i="8"/>
  <c r="Q2677" i="8"/>
  <c r="Q2678" i="8"/>
  <c r="Q2679" i="8"/>
  <c r="Q2680" i="8"/>
  <c r="Q2681" i="8"/>
  <c r="Q2682" i="8"/>
  <c r="Q2683" i="8"/>
  <c r="Q2684" i="8"/>
  <c r="Q2685" i="8"/>
  <c r="Q2686" i="8"/>
  <c r="Q2687" i="8"/>
  <c r="Q2688" i="8"/>
  <c r="Q2689" i="8"/>
  <c r="Q2690" i="8"/>
  <c r="Q2691" i="8"/>
  <c r="Q2692" i="8"/>
  <c r="Q2693" i="8"/>
  <c r="Q2694" i="8"/>
  <c r="Q2695" i="8"/>
  <c r="Q2696" i="8"/>
  <c r="Q2697" i="8"/>
  <c r="Q2698" i="8"/>
  <c r="Q2699" i="8"/>
  <c r="Q2700" i="8"/>
  <c r="Q2701" i="8"/>
  <c r="Q2702" i="8"/>
  <c r="Q2703" i="8"/>
  <c r="Q2704" i="8"/>
  <c r="Q2705" i="8"/>
  <c r="Q2706" i="8"/>
  <c r="Q2707" i="8"/>
  <c r="Q2708" i="8"/>
  <c r="Q2709" i="8"/>
  <c r="Q2710" i="8"/>
  <c r="Q2711" i="8"/>
  <c r="Q2712" i="8"/>
  <c r="Q2713" i="8"/>
  <c r="Q2714" i="8"/>
  <c r="Q2715" i="8"/>
  <c r="Q2716" i="8"/>
  <c r="Q2717" i="8"/>
  <c r="Q2718" i="8"/>
  <c r="Q2719" i="8"/>
  <c r="Q2720" i="8"/>
  <c r="Q2721" i="8"/>
  <c r="Q2722" i="8"/>
  <c r="Q2723" i="8"/>
  <c r="Q2724" i="8"/>
  <c r="Q2725" i="8"/>
  <c r="Q2726" i="8"/>
  <c r="Q2727" i="8"/>
  <c r="Q2728" i="8"/>
  <c r="Q2729" i="8"/>
  <c r="Q2730" i="8"/>
  <c r="Q2731" i="8"/>
  <c r="Q2732" i="8"/>
  <c r="Q2733" i="8"/>
  <c r="Q2734" i="8"/>
  <c r="Q2735" i="8"/>
  <c r="Q2736" i="8"/>
  <c r="Q2737" i="8"/>
  <c r="Q2738" i="8"/>
  <c r="Q2739" i="8"/>
  <c r="Q2740" i="8"/>
  <c r="Q2741" i="8"/>
  <c r="Q2742" i="8"/>
  <c r="Q2743" i="8"/>
  <c r="Q2744" i="8"/>
  <c r="Q2745" i="8"/>
  <c r="Q2746" i="8"/>
  <c r="Q2747" i="8"/>
  <c r="Q2748" i="8"/>
  <c r="Q2749" i="8"/>
  <c r="Q2750" i="8"/>
  <c r="Q2751" i="8"/>
  <c r="Q2752" i="8"/>
  <c r="Q2753" i="8"/>
  <c r="Q2754" i="8"/>
  <c r="Q2755" i="8"/>
  <c r="Q2756" i="8"/>
  <c r="Q2757" i="8"/>
  <c r="Q2758" i="8"/>
  <c r="Q2759" i="8"/>
  <c r="Q2760" i="8"/>
  <c r="Q2761" i="8"/>
  <c r="Q2762" i="8"/>
  <c r="Q2763" i="8"/>
  <c r="Q2764" i="8"/>
  <c r="Q2765" i="8"/>
  <c r="Q2766" i="8"/>
  <c r="Q2767" i="8"/>
  <c r="Q2768" i="8"/>
  <c r="Q2769" i="8"/>
  <c r="Q2770" i="8"/>
  <c r="Q2771" i="8"/>
  <c r="Q2772" i="8"/>
  <c r="Q2773" i="8"/>
  <c r="Q2774" i="8"/>
  <c r="Q2775" i="8"/>
  <c r="Q2776" i="8"/>
  <c r="Q2777" i="8"/>
  <c r="Q2778" i="8"/>
  <c r="Q2779" i="8"/>
  <c r="Q2780" i="8"/>
  <c r="Q2781" i="8"/>
  <c r="Q2782" i="8"/>
  <c r="Q2783" i="8"/>
  <c r="Q2784" i="8"/>
  <c r="Q2785" i="8"/>
  <c r="Q2786" i="8"/>
  <c r="Q2787" i="8"/>
  <c r="Q2788" i="8"/>
  <c r="Q2789" i="8"/>
  <c r="Q2790" i="8"/>
  <c r="Q2791" i="8"/>
  <c r="Q2792" i="8"/>
  <c r="Q2793" i="8"/>
  <c r="Q2794" i="8"/>
  <c r="Q2795" i="8"/>
  <c r="Q2796" i="8"/>
  <c r="Q2797" i="8"/>
  <c r="Q2798" i="8"/>
  <c r="Q2799" i="8"/>
  <c r="Q2800" i="8"/>
  <c r="Q2801" i="8"/>
  <c r="Q2802" i="8"/>
  <c r="Q2803" i="8"/>
  <c r="Q2804" i="8"/>
  <c r="Q2805" i="8"/>
  <c r="Q2806" i="8"/>
  <c r="Q2807" i="8"/>
  <c r="Q2808" i="8"/>
  <c r="Q2809" i="8"/>
  <c r="Q2810" i="8"/>
  <c r="Q2811" i="8"/>
  <c r="Q2812" i="8"/>
  <c r="Q2813" i="8"/>
  <c r="Q2814" i="8"/>
  <c r="Q2815" i="8"/>
  <c r="Q2816" i="8"/>
  <c r="Q2817" i="8"/>
  <c r="Q2818" i="8"/>
  <c r="Q2819" i="8"/>
  <c r="Q2820" i="8"/>
  <c r="Q2821" i="8"/>
  <c r="Q2822" i="8"/>
  <c r="Q2823" i="8"/>
  <c r="Q2824" i="8"/>
  <c r="Q2825" i="8"/>
  <c r="Q2826" i="8"/>
  <c r="Q2827" i="8"/>
  <c r="Q2828" i="8"/>
  <c r="Q2829" i="8"/>
  <c r="Q2830" i="8"/>
  <c r="Q2831" i="8"/>
  <c r="Q2832" i="8"/>
  <c r="Q2833" i="8"/>
  <c r="Q2834" i="8"/>
  <c r="Q2835" i="8"/>
  <c r="Q2836" i="8"/>
  <c r="Q2837" i="8"/>
  <c r="Q2838" i="8"/>
  <c r="Q2839" i="8"/>
  <c r="Q2840" i="8"/>
  <c r="Q2841" i="8"/>
  <c r="Q2842" i="8"/>
  <c r="Q2843" i="8"/>
  <c r="Q2844" i="8"/>
  <c r="Q2845" i="8"/>
  <c r="Q2846" i="8"/>
  <c r="Q2847" i="8"/>
  <c r="Q2848" i="8"/>
  <c r="Q2849" i="8"/>
  <c r="Q2850" i="8"/>
  <c r="Q2851" i="8"/>
  <c r="Q2852" i="8"/>
  <c r="Q2853" i="8"/>
  <c r="Q2854" i="8"/>
  <c r="Q2855" i="8"/>
  <c r="Q2856" i="8"/>
  <c r="Q2857" i="8"/>
  <c r="Q2858" i="8"/>
  <c r="Q2859" i="8"/>
  <c r="Q2860" i="8"/>
  <c r="Q2861" i="8"/>
  <c r="Q2862" i="8"/>
  <c r="Q2863" i="8"/>
  <c r="Q2864" i="8"/>
  <c r="Q2865" i="8"/>
  <c r="Q2866" i="8"/>
  <c r="Q2867" i="8"/>
  <c r="Q2868" i="8"/>
  <c r="Q2869" i="8"/>
  <c r="Q2870" i="8"/>
  <c r="Q2871" i="8"/>
  <c r="Q2872" i="8"/>
  <c r="Q2873" i="8"/>
  <c r="Q2874" i="8"/>
  <c r="Q2875" i="8"/>
  <c r="Q2876" i="8"/>
  <c r="Q2877" i="8"/>
  <c r="Q2878" i="8"/>
  <c r="Q2879" i="8"/>
  <c r="Q2880" i="8"/>
  <c r="Q2881" i="8"/>
  <c r="Q2882" i="8"/>
  <c r="Q2883" i="8"/>
  <c r="Q2884" i="8"/>
  <c r="Q2885" i="8"/>
  <c r="Q2886" i="8"/>
  <c r="Q2887" i="8"/>
  <c r="Q2888" i="8"/>
  <c r="Q2889" i="8"/>
  <c r="Q2890" i="8"/>
  <c r="Q2891" i="8"/>
  <c r="Q2892" i="8"/>
  <c r="Q2893" i="8"/>
  <c r="Q2894" i="8"/>
  <c r="Q2895" i="8"/>
  <c r="Q2896" i="8"/>
  <c r="Q2897" i="8"/>
  <c r="Q2898" i="8"/>
  <c r="Q2899" i="8"/>
  <c r="Q2900" i="8"/>
  <c r="Q2901" i="8"/>
  <c r="Q2902" i="8"/>
  <c r="Q2903" i="8"/>
  <c r="Q2904" i="8"/>
  <c r="Q2905" i="8"/>
  <c r="Q2906" i="8"/>
  <c r="Q2907" i="8"/>
  <c r="Q2908" i="8"/>
  <c r="Q2909" i="8"/>
  <c r="Q2910" i="8"/>
  <c r="Q2911" i="8"/>
  <c r="Q2912" i="8"/>
  <c r="Q2913" i="8"/>
  <c r="Q2914" i="8"/>
  <c r="Q2915" i="8"/>
  <c r="Q2916" i="8"/>
  <c r="Q2917" i="8"/>
  <c r="Q2918" i="8"/>
  <c r="Q2919" i="8"/>
  <c r="Q2920" i="8"/>
  <c r="Q2921" i="8"/>
  <c r="Q2922" i="8"/>
  <c r="Q2923" i="8"/>
  <c r="Q2924" i="8"/>
  <c r="Q2925" i="8"/>
  <c r="Q2926" i="8"/>
  <c r="Q2927" i="8"/>
  <c r="Q2928" i="8"/>
  <c r="Q2929" i="8"/>
  <c r="Q2930" i="8"/>
  <c r="Q2931" i="8"/>
  <c r="Q2932" i="8"/>
  <c r="Q2933" i="8"/>
  <c r="Q2934" i="8"/>
  <c r="Q2935" i="8"/>
  <c r="Q2936" i="8"/>
  <c r="Q2937" i="8"/>
  <c r="Q2938" i="8"/>
  <c r="Q2939" i="8"/>
  <c r="Q2940" i="8"/>
  <c r="Q2941" i="8"/>
  <c r="Q2942" i="8"/>
  <c r="Q2943" i="8"/>
  <c r="Q2944" i="8"/>
  <c r="Q2945" i="8"/>
  <c r="Q2946" i="8"/>
  <c r="Q2947" i="8"/>
  <c r="Q2948" i="8"/>
  <c r="Q2949" i="8"/>
  <c r="Q2950" i="8"/>
  <c r="Q2951" i="8"/>
  <c r="Q2952" i="8"/>
  <c r="Q2953" i="8"/>
  <c r="Q2954" i="8"/>
  <c r="Q2955" i="8"/>
  <c r="Q2956" i="8"/>
  <c r="Q2957" i="8"/>
  <c r="Q2958" i="8"/>
  <c r="Q2959" i="8"/>
  <c r="Q2960" i="8"/>
  <c r="Q2961" i="8"/>
  <c r="Q2962" i="8"/>
  <c r="Q2963" i="8"/>
  <c r="Q2964" i="8"/>
  <c r="Q2965" i="8"/>
  <c r="Q2966" i="8"/>
  <c r="Q2967" i="8"/>
  <c r="Q2968" i="8"/>
  <c r="Q2969" i="8"/>
  <c r="Q2970" i="8"/>
  <c r="Q2971" i="8"/>
  <c r="Q2972" i="8"/>
  <c r="Q2973" i="8"/>
  <c r="Q2974" i="8"/>
  <c r="Q2975" i="8"/>
  <c r="Q2976" i="8"/>
  <c r="Q2977" i="8"/>
  <c r="Q2978" i="8"/>
  <c r="Q2979" i="8"/>
  <c r="Q2980" i="8"/>
  <c r="Q2981" i="8"/>
  <c r="Q2982" i="8"/>
  <c r="Q2983" i="8"/>
  <c r="Q2984" i="8"/>
  <c r="Q2985" i="8"/>
  <c r="Q2986" i="8"/>
  <c r="Q2987" i="8"/>
  <c r="Q2988" i="8"/>
  <c r="Q2989" i="8"/>
  <c r="Q2990" i="8"/>
  <c r="Q2991" i="8"/>
  <c r="Q2992" i="8"/>
  <c r="Q2993" i="8"/>
  <c r="Q2994" i="8"/>
  <c r="Q2995" i="8"/>
  <c r="Q2996" i="8"/>
  <c r="Q2997" i="8"/>
  <c r="Q2998" i="8"/>
  <c r="Q2999" i="8"/>
  <c r="Q3000" i="8"/>
  <c r="Q3001" i="8"/>
  <c r="Q3002" i="8"/>
  <c r="Q3003" i="8"/>
  <c r="Q3004" i="8"/>
  <c r="Q3005" i="8"/>
  <c r="Q3006" i="8"/>
  <c r="Q3007" i="8"/>
  <c r="Q3008" i="8"/>
  <c r="Q3009" i="8"/>
  <c r="Q3010" i="8"/>
  <c r="Q3011" i="8"/>
  <c r="Q3012" i="8"/>
  <c r="Q3013" i="8"/>
  <c r="Q3014" i="8"/>
  <c r="Q3015" i="8"/>
  <c r="Q3016" i="8"/>
  <c r="Q3017" i="8"/>
  <c r="Q3018" i="8"/>
  <c r="Q3019" i="8"/>
  <c r="Q3020" i="8"/>
  <c r="Q3021" i="8"/>
  <c r="Q3022" i="8"/>
  <c r="Q3023" i="8"/>
  <c r="Q3024" i="8"/>
  <c r="Q3025" i="8"/>
  <c r="Q3026" i="8"/>
  <c r="Q3027" i="8"/>
  <c r="Q3028" i="8"/>
  <c r="Q3029" i="8"/>
  <c r="Q3030" i="8"/>
  <c r="Q3031" i="8"/>
  <c r="Q3032" i="8"/>
  <c r="Q3033" i="8"/>
  <c r="Q3034" i="8"/>
  <c r="Q3035" i="8"/>
  <c r="Q3036" i="8"/>
  <c r="Q3037" i="8"/>
  <c r="Q3038" i="8"/>
  <c r="Q3039" i="8"/>
  <c r="Q3040" i="8"/>
  <c r="Q3041" i="8"/>
  <c r="Q3042" i="8"/>
  <c r="Q3043" i="8"/>
  <c r="Q3044" i="8"/>
  <c r="Q3045" i="8"/>
  <c r="Q3046" i="8"/>
  <c r="Q3047" i="8"/>
  <c r="Q3048" i="8"/>
  <c r="Q3049" i="8"/>
  <c r="Q3050" i="8"/>
  <c r="Q3051" i="8"/>
  <c r="Q3052" i="8"/>
  <c r="Q3053" i="8"/>
  <c r="Q3054" i="8"/>
  <c r="Q3055" i="8"/>
  <c r="Q3056" i="8"/>
  <c r="Q3057" i="8"/>
  <c r="Q3058" i="8"/>
  <c r="Q3059" i="8"/>
  <c r="Q3060" i="8"/>
  <c r="Q3061" i="8"/>
  <c r="Q3062" i="8"/>
  <c r="Q3063" i="8"/>
  <c r="Q3064" i="8"/>
  <c r="Q3065" i="8"/>
  <c r="Q3066" i="8"/>
  <c r="Q3067" i="8"/>
  <c r="Q3068" i="8"/>
  <c r="Q3069" i="8"/>
  <c r="Q3070" i="8"/>
  <c r="Q3071" i="8"/>
  <c r="Q3072" i="8"/>
  <c r="Q3073" i="8"/>
  <c r="Q3074" i="8"/>
  <c r="Q3075" i="8"/>
  <c r="Q3076" i="8"/>
  <c r="Q3077" i="8"/>
  <c r="Q3078" i="8"/>
  <c r="Q3079" i="8"/>
  <c r="Q3080" i="8"/>
  <c r="Q3081" i="8"/>
  <c r="Q3082" i="8"/>
  <c r="Q3083" i="8"/>
  <c r="Q3084" i="8"/>
  <c r="Q3085" i="8"/>
  <c r="Q3086" i="8"/>
  <c r="Q3087" i="8"/>
  <c r="Q3088" i="8"/>
  <c r="Q3089" i="8"/>
  <c r="Q3090" i="8"/>
  <c r="Q3091" i="8"/>
  <c r="Q3092" i="8"/>
  <c r="Q3093" i="8"/>
  <c r="Q3094" i="8"/>
  <c r="Q3095" i="8"/>
  <c r="Q3096" i="8"/>
  <c r="Q3097" i="8"/>
  <c r="Q3098" i="8"/>
  <c r="Q3099" i="8"/>
  <c r="Q3100" i="8"/>
  <c r="Q3101" i="8"/>
  <c r="Q3102" i="8"/>
  <c r="Q3103" i="8"/>
  <c r="Q3104" i="8"/>
  <c r="Q3105" i="8"/>
  <c r="Q3106" i="8"/>
  <c r="Q3107" i="8"/>
  <c r="Q3108" i="8"/>
  <c r="Q3109" i="8"/>
  <c r="Q3110" i="8"/>
  <c r="Q3111" i="8"/>
  <c r="Q3112" i="8"/>
  <c r="Q3113" i="8"/>
  <c r="Q3114" i="8"/>
  <c r="Q3115" i="8"/>
  <c r="Q3116" i="8"/>
  <c r="Q3117" i="8"/>
  <c r="Q3118" i="8"/>
  <c r="Q3119" i="8"/>
  <c r="Q3120" i="8"/>
  <c r="Q3121" i="8"/>
  <c r="Q3122" i="8"/>
  <c r="Q3123" i="8"/>
  <c r="Q3124" i="8"/>
  <c r="Q3125" i="8"/>
  <c r="Q3126" i="8"/>
  <c r="Q3127" i="8"/>
  <c r="Q3128" i="8"/>
  <c r="Q3129" i="8"/>
  <c r="Q3130" i="8"/>
  <c r="Q3131" i="8"/>
  <c r="Q3132" i="8"/>
  <c r="Q3133" i="8"/>
  <c r="Q3134" i="8"/>
  <c r="Q3135" i="8"/>
  <c r="Q3136" i="8"/>
  <c r="Q3137" i="8"/>
  <c r="Q3138" i="8"/>
  <c r="Q3139" i="8"/>
  <c r="Q3140" i="8"/>
  <c r="Q3141" i="8"/>
  <c r="Q3142" i="8"/>
  <c r="Q3143" i="8"/>
  <c r="Q3144" i="8"/>
  <c r="Q3145" i="8"/>
  <c r="Q3146" i="8"/>
  <c r="Q3147" i="8"/>
  <c r="Q3148" i="8"/>
  <c r="Q3149" i="8"/>
  <c r="Q3150" i="8"/>
  <c r="Q3151" i="8"/>
  <c r="Q3152" i="8"/>
  <c r="Q3153" i="8"/>
  <c r="Q3154" i="8"/>
  <c r="Q3155" i="8"/>
  <c r="Q3156" i="8"/>
  <c r="Q3157" i="8"/>
  <c r="Q3158" i="8"/>
  <c r="Q3159" i="8"/>
  <c r="Q3160" i="8"/>
  <c r="Q3161" i="8"/>
  <c r="Q3162" i="8"/>
  <c r="Q3163" i="8"/>
  <c r="Q3164" i="8"/>
  <c r="Q3165" i="8"/>
  <c r="Q3166" i="8"/>
  <c r="Q3167" i="8"/>
  <c r="Q3168" i="8"/>
  <c r="Q3169" i="8"/>
  <c r="Q3170" i="8"/>
  <c r="Q3171" i="8"/>
  <c r="Q3172" i="8"/>
  <c r="Q3173" i="8"/>
  <c r="Q3174" i="8"/>
  <c r="Q3175" i="8"/>
  <c r="Q3176" i="8"/>
  <c r="Q3177" i="8"/>
  <c r="Q3178" i="8"/>
  <c r="Q3179" i="8"/>
  <c r="Q3180" i="8"/>
  <c r="Q3181" i="8"/>
  <c r="Q3182" i="8"/>
  <c r="Q3183" i="8"/>
  <c r="Q3184" i="8"/>
  <c r="Q3185" i="8"/>
  <c r="Q3186" i="8"/>
  <c r="Q3187" i="8"/>
  <c r="Q3188" i="8"/>
  <c r="Q3189" i="8"/>
  <c r="Q3190" i="8"/>
  <c r="Q3191" i="8"/>
  <c r="Q3192" i="8"/>
  <c r="Q3193" i="8"/>
  <c r="Q3194" i="8"/>
  <c r="Q3195" i="8"/>
  <c r="Q3196" i="8"/>
  <c r="Q3197" i="8"/>
  <c r="Q3198" i="8"/>
  <c r="Q3199" i="8"/>
  <c r="Q3200" i="8"/>
  <c r="Q3201" i="8"/>
  <c r="Q3202" i="8"/>
  <c r="Q3203" i="8"/>
  <c r="Q3204" i="8"/>
  <c r="Q3205" i="8"/>
  <c r="Q3206" i="8"/>
  <c r="Q3207" i="8"/>
  <c r="Q3208" i="8"/>
  <c r="Q3209" i="8"/>
  <c r="Q3210" i="8"/>
  <c r="Q3211" i="8"/>
  <c r="Q3212" i="8"/>
  <c r="Q3213" i="8"/>
  <c r="Q3214" i="8"/>
  <c r="Q3215" i="8"/>
  <c r="Q3216" i="8"/>
  <c r="Q3217" i="8"/>
  <c r="Q3218" i="8"/>
  <c r="Q3219" i="8"/>
  <c r="Q3220" i="8"/>
  <c r="Q3221" i="8"/>
  <c r="Q3222" i="8"/>
  <c r="Q3223" i="8"/>
  <c r="Q3224" i="8"/>
  <c r="Q3225" i="8"/>
  <c r="Q3226" i="8"/>
  <c r="Q3227" i="8"/>
  <c r="Q3228" i="8"/>
  <c r="Q3229" i="8"/>
  <c r="Q3230" i="8"/>
  <c r="Q3231" i="8"/>
  <c r="Q3232" i="8"/>
  <c r="Q3233" i="8"/>
  <c r="Q3234" i="8"/>
  <c r="Q3235" i="8"/>
  <c r="Q3236" i="8"/>
  <c r="Q3237" i="8"/>
  <c r="Q3238" i="8"/>
  <c r="Q3239" i="8"/>
  <c r="Q3240" i="8"/>
  <c r="Q3241" i="8"/>
  <c r="Q3242" i="8"/>
  <c r="Q3243" i="8"/>
  <c r="Q3244" i="8"/>
  <c r="Q3245" i="8"/>
  <c r="Q3246" i="8"/>
  <c r="Q3247" i="8"/>
  <c r="Q3248" i="8"/>
  <c r="Q3249" i="8"/>
  <c r="Q3250" i="8"/>
  <c r="Q3251" i="8"/>
  <c r="Q3252" i="8"/>
  <c r="Q3253" i="8"/>
  <c r="Q3254" i="8"/>
  <c r="Q3255" i="8"/>
  <c r="Q3256" i="8"/>
  <c r="Q3257" i="8"/>
  <c r="Q3258" i="8"/>
  <c r="Q3259" i="8"/>
  <c r="Q3260" i="8"/>
  <c r="Q3261" i="8"/>
  <c r="Q3262" i="8"/>
  <c r="Q3263" i="8"/>
  <c r="Q3264" i="8"/>
  <c r="Q3265" i="8"/>
  <c r="Q3266" i="8"/>
  <c r="Q3267" i="8"/>
  <c r="Q3268" i="8"/>
  <c r="Q3269" i="8"/>
  <c r="Q3270" i="8"/>
  <c r="Q3271" i="8"/>
  <c r="Q3272" i="8"/>
  <c r="Q3273" i="8"/>
  <c r="Q3274" i="8"/>
  <c r="Q3275" i="8"/>
  <c r="Q3276" i="8"/>
  <c r="Q3277" i="8"/>
  <c r="Q3278" i="8"/>
  <c r="Q3279" i="8"/>
  <c r="Q3280" i="8"/>
  <c r="Q3281" i="8"/>
  <c r="Q3282" i="8"/>
  <c r="Q3283" i="8"/>
  <c r="Q3284" i="8"/>
  <c r="Q3285" i="8"/>
  <c r="Q3286" i="8"/>
  <c r="Q3287" i="8"/>
  <c r="Q3288" i="8"/>
  <c r="Q3289" i="8"/>
  <c r="Q3290" i="8"/>
  <c r="Q3291" i="8"/>
  <c r="Q3292" i="8"/>
  <c r="Q3293" i="8"/>
  <c r="Q3294" i="8"/>
  <c r="Q3295" i="8"/>
  <c r="Q3296" i="8"/>
  <c r="Q3297" i="8"/>
  <c r="Q3298" i="8"/>
  <c r="Q3299" i="8"/>
  <c r="Q3300" i="8"/>
  <c r="Q3301" i="8"/>
  <c r="Q3302" i="8"/>
  <c r="Q3303" i="8"/>
  <c r="Q3304" i="8"/>
  <c r="Q3305" i="8"/>
  <c r="Q3306" i="8"/>
  <c r="Q3307" i="8"/>
  <c r="Q3308" i="8"/>
  <c r="Q3309" i="8"/>
  <c r="Q3310" i="8"/>
  <c r="Q3311" i="8"/>
  <c r="Q3312" i="8"/>
  <c r="Q3313" i="8"/>
  <c r="Q3314" i="8"/>
  <c r="Q3315" i="8"/>
  <c r="Q3316" i="8"/>
  <c r="Q3317" i="8"/>
  <c r="Q3318" i="8"/>
  <c r="Q3319" i="8"/>
  <c r="Q3320" i="8"/>
  <c r="Q3321" i="8"/>
  <c r="Q3322" i="8"/>
  <c r="Q3323" i="8"/>
  <c r="Q3324" i="8"/>
  <c r="Q3325" i="8"/>
  <c r="Q3326" i="8"/>
  <c r="Q3327" i="8"/>
  <c r="Q3328" i="8"/>
  <c r="Q3329" i="8"/>
  <c r="Q3330" i="8"/>
  <c r="Q3331" i="8"/>
  <c r="Q3332" i="8"/>
  <c r="Q3333" i="8"/>
  <c r="Q3334" i="8"/>
  <c r="Q3335" i="8"/>
  <c r="Q3336" i="8"/>
  <c r="Q3337" i="8"/>
  <c r="Q3338" i="8"/>
  <c r="Q3339" i="8"/>
  <c r="Q3340" i="8"/>
  <c r="Q3341" i="8"/>
  <c r="Q3342" i="8"/>
  <c r="Q3343" i="8"/>
  <c r="Q3344" i="8"/>
  <c r="Q3345" i="8"/>
  <c r="Q3346" i="8"/>
  <c r="Q3347" i="8"/>
  <c r="Q3348" i="8"/>
  <c r="Q3349" i="8"/>
  <c r="Q3350" i="8"/>
  <c r="Q3351" i="8"/>
  <c r="Q3352" i="8"/>
  <c r="Q3353" i="8"/>
  <c r="Q3354" i="8"/>
  <c r="Q3355" i="8"/>
  <c r="Q3356" i="8"/>
  <c r="Q3357" i="8"/>
  <c r="Q3358" i="8"/>
  <c r="Q3359" i="8"/>
  <c r="Q3360" i="8"/>
  <c r="Q3361" i="8"/>
  <c r="Q3362" i="8"/>
  <c r="Q3363" i="8"/>
  <c r="Q3364" i="8"/>
  <c r="Q3365" i="8"/>
  <c r="Q3366" i="8"/>
  <c r="Q3367" i="8"/>
  <c r="Q3368" i="8"/>
  <c r="Q3369" i="8"/>
  <c r="Q3370" i="8"/>
  <c r="Q3371" i="8"/>
  <c r="Q3372" i="8"/>
  <c r="Q3373" i="8"/>
  <c r="Q3374" i="8"/>
  <c r="Q3375" i="8"/>
  <c r="Q3376" i="8"/>
  <c r="Q3377" i="8"/>
  <c r="Q3378" i="8"/>
  <c r="Q3379" i="8"/>
  <c r="Q3380" i="8"/>
  <c r="Q3381" i="8"/>
  <c r="Q3382" i="8"/>
  <c r="Q3383" i="8"/>
  <c r="Q3384" i="8"/>
  <c r="Q3385" i="8"/>
  <c r="Q3386" i="8"/>
  <c r="Q3387" i="8"/>
  <c r="Q3388" i="8"/>
  <c r="Q3389" i="8"/>
  <c r="Q3390" i="8"/>
  <c r="Q3391" i="8"/>
  <c r="Q3392" i="8"/>
  <c r="Q3393" i="8"/>
  <c r="Q3394" i="8"/>
  <c r="Q3395" i="8"/>
  <c r="Q3396" i="8"/>
  <c r="Q3397" i="8"/>
  <c r="Q3398" i="8"/>
  <c r="Q3399" i="8"/>
  <c r="Q3400" i="8"/>
  <c r="Q3401" i="8"/>
  <c r="Q3402" i="8"/>
  <c r="Q3403" i="8"/>
  <c r="Q3404" i="8"/>
  <c r="Q3405" i="8"/>
  <c r="Q3406" i="8"/>
  <c r="Q3407" i="8"/>
  <c r="Q3408" i="8"/>
  <c r="Q3409" i="8"/>
  <c r="Q3410" i="8"/>
  <c r="Q3411" i="8"/>
  <c r="Q3412" i="8"/>
  <c r="Q3413" i="8"/>
  <c r="Q3414" i="8"/>
  <c r="Q3415" i="8"/>
  <c r="Q3416" i="8"/>
  <c r="Q3417" i="8"/>
  <c r="Q3418" i="8"/>
  <c r="Q3419" i="8"/>
  <c r="Q3420" i="8"/>
  <c r="Q3421" i="8"/>
  <c r="Q3422" i="8"/>
  <c r="Q3423" i="8"/>
  <c r="Q3424" i="8"/>
  <c r="Q3425" i="8"/>
  <c r="Q3426" i="8"/>
  <c r="Q3427" i="8"/>
  <c r="Q3428" i="8"/>
  <c r="Q3429" i="8"/>
  <c r="Q3430" i="8"/>
  <c r="Q3431" i="8"/>
  <c r="Q3432" i="8"/>
  <c r="Q3433" i="8"/>
  <c r="Q3434" i="8"/>
  <c r="Q3435" i="8"/>
  <c r="Q3436" i="8"/>
  <c r="Q3437" i="8"/>
  <c r="Q3438" i="8"/>
  <c r="Q3439" i="8"/>
  <c r="Q3440" i="8"/>
  <c r="Q3441" i="8"/>
  <c r="Q3442" i="8"/>
  <c r="Q3443" i="8"/>
  <c r="Q3444" i="8"/>
  <c r="Q3445" i="8"/>
  <c r="Q3446" i="8"/>
  <c r="Q3447" i="8"/>
  <c r="Q3448" i="8"/>
  <c r="Q3449" i="8"/>
  <c r="Q3450" i="8"/>
  <c r="Q3451" i="8"/>
  <c r="Q3452" i="8"/>
  <c r="Q3453" i="8"/>
  <c r="Q3454" i="8"/>
  <c r="Q3455" i="8"/>
  <c r="Q3456" i="8"/>
  <c r="Q3457" i="8"/>
  <c r="Q3458" i="8"/>
  <c r="Q3459" i="8"/>
  <c r="Q3460" i="8"/>
  <c r="Q3461" i="8"/>
  <c r="Q3462" i="8"/>
  <c r="Q3463" i="8"/>
  <c r="Q3464" i="8"/>
  <c r="Q3465" i="8"/>
  <c r="Q3466" i="8"/>
  <c r="Q3467" i="8"/>
  <c r="Q3468" i="8"/>
  <c r="Q3469" i="8"/>
  <c r="Q3470" i="8"/>
  <c r="Q3471" i="8"/>
  <c r="Q3472" i="8"/>
  <c r="Q3473" i="8"/>
  <c r="Q3474" i="8"/>
  <c r="Q3475" i="8"/>
  <c r="Q3476" i="8"/>
  <c r="Q3477" i="8"/>
  <c r="Q3478" i="8"/>
  <c r="Q3479" i="8"/>
  <c r="Q3480" i="8"/>
  <c r="Q3481" i="8"/>
  <c r="Q3482" i="8"/>
  <c r="Q3483" i="8"/>
  <c r="Q3484" i="8"/>
  <c r="Q3485" i="8"/>
  <c r="Q3486" i="8"/>
  <c r="Q3487" i="8"/>
  <c r="Q3488" i="8"/>
  <c r="Q3489" i="8"/>
  <c r="Q3490" i="8"/>
  <c r="Q3491" i="8"/>
  <c r="Q3492" i="8"/>
  <c r="Q3493" i="8"/>
  <c r="Q3494" i="8"/>
  <c r="Q3495" i="8"/>
  <c r="Q3496" i="8"/>
  <c r="Q3497" i="8"/>
  <c r="Q3498" i="8"/>
  <c r="Q3499" i="8"/>
  <c r="Q3500" i="8"/>
  <c r="Q3501" i="8"/>
  <c r="Q3502" i="8"/>
  <c r="Q3503" i="8"/>
  <c r="Q3504" i="8"/>
  <c r="Q3505" i="8"/>
  <c r="Q3506" i="8"/>
  <c r="Q3507" i="8"/>
  <c r="Q3508" i="8"/>
  <c r="Q3509" i="8"/>
  <c r="Q3510" i="8"/>
  <c r="Q3511" i="8"/>
  <c r="Q3512" i="8"/>
  <c r="Q3513" i="8"/>
  <c r="Q3514" i="8"/>
  <c r="Q3515" i="8"/>
  <c r="Q3516" i="8"/>
  <c r="Q3517" i="8"/>
  <c r="Q3518" i="8"/>
  <c r="Q3519" i="8"/>
  <c r="Q3520" i="8"/>
  <c r="Q3521" i="8"/>
  <c r="Q3522" i="8"/>
  <c r="Q3523" i="8"/>
  <c r="Q3524" i="8"/>
  <c r="Q3525" i="8"/>
  <c r="Q3526" i="8"/>
  <c r="Q3527" i="8"/>
  <c r="Q3528" i="8"/>
  <c r="Q3529" i="8"/>
  <c r="Q3530" i="8"/>
  <c r="Q3531" i="8"/>
  <c r="Q3532" i="8"/>
  <c r="Q3533" i="8"/>
  <c r="Q3534" i="8"/>
  <c r="Q3535" i="8"/>
  <c r="Q3536" i="8"/>
  <c r="Q3537" i="8"/>
  <c r="Q3538" i="8"/>
  <c r="Q3539" i="8"/>
  <c r="Q3540" i="8"/>
  <c r="Q3541" i="8"/>
  <c r="Q3542" i="8"/>
  <c r="Q3543" i="8"/>
  <c r="Q3544" i="8"/>
  <c r="Q3545" i="8"/>
  <c r="Q3546" i="8"/>
  <c r="Q3547" i="8"/>
  <c r="Q3548" i="8"/>
  <c r="Q3549" i="8"/>
  <c r="Q3550" i="8"/>
  <c r="Q3551" i="8"/>
  <c r="Q3552" i="8"/>
  <c r="Q3553" i="8"/>
  <c r="Q3554" i="8"/>
  <c r="Q3555" i="8"/>
  <c r="Q3556" i="8"/>
  <c r="Q3557" i="8"/>
  <c r="Q3558" i="8"/>
  <c r="Q3559" i="8"/>
  <c r="Q3560" i="8"/>
  <c r="Q3561" i="8"/>
  <c r="Q3562" i="8"/>
  <c r="Q3563" i="8"/>
  <c r="Q3564" i="8"/>
  <c r="Q3565" i="8"/>
  <c r="Q3566" i="8"/>
  <c r="Q3567" i="8"/>
  <c r="Q3568" i="8"/>
  <c r="Q3569" i="8"/>
  <c r="Q3570" i="8"/>
  <c r="Q3571" i="8"/>
  <c r="Q3572" i="8"/>
  <c r="Q3573" i="8"/>
  <c r="Q3574" i="8"/>
  <c r="Q3575" i="8"/>
  <c r="Q3576" i="8"/>
  <c r="Q3577" i="8"/>
  <c r="Q3578" i="8"/>
  <c r="Q3579" i="8"/>
  <c r="Q3580" i="8"/>
  <c r="Q3581" i="8"/>
  <c r="Q3582" i="8"/>
  <c r="Q3583" i="8"/>
  <c r="Q3584" i="8"/>
  <c r="Q3585" i="8"/>
  <c r="Q3586" i="8"/>
  <c r="Q3587" i="8"/>
  <c r="Q3588" i="8"/>
  <c r="Q3589" i="8"/>
  <c r="Q3590" i="8"/>
  <c r="Q3591" i="8"/>
  <c r="Q3592" i="8"/>
  <c r="Q3593" i="8"/>
  <c r="Q3594" i="8"/>
  <c r="Q3595" i="8"/>
  <c r="Q3596" i="8"/>
  <c r="Q3597" i="8"/>
  <c r="Q3598" i="8"/>
  <c r="Q3599" i="8"/>
  <c r="Q3600" i="8"/>
  <c r="Q3601" i="8"/>
  <c r="Q3602" i="8"/>
  <c r="Q3603" i="8"/>
  <c r="Q3604" i="8"/>
  <c r="Q3605" i="8"/>
  <c r="Q3606" i="8"/>
  <c r="Q3607" i="8"/>
  <c r="Q3608" i="8"/>
  <c r="Q3609" i="8"/>
  <c r="Q3610" i="8"/>
  <c r="Q3611" i="8"/>
  <c r="Q3612" i="8"/>
  <c r="Q3613" i="8"/>
  <c r="Q3614" i="8"/>
  <c r="Q3615" i="8"/>
  <c r="Q3616" i="8"/>
  <c r="Q3617" i="8"/>
  <c r="Q3618" i="8"/>
  <c r="Q3619" i="8"/>
  <c r="Q3620" i="8"/>
  <c r="Q3621" i="8"/>
  <c r="Q3622" i="8"/>
  <c r="Q3623" i="8"/>
  <c r="Q3624" i="8"/>
  <c r="Q3625" i="8"/>
  <c r="Q3626" i="8"/>
  <c r="Q3627" i="8"/>
  <c r="Q3628" i="8"/>
  <c r="Q3629" i="8"/>
  <c r="Q3630" i="8"/>
  <c r="Q3631" i="8"/>
  <c r="Q3632" i="8"/>
  <c r="Q3633" i="8"/>
  <c r="Q3634" i="8"/>
  <c r="Q3635" i="8"/>
  <c r="Q3636" i="8"/>
  <c r="Q3637" i="8"/>
  <c r="Q3638" i="8"/>
  <c r="Q3639" i="8"/>
  <c r="Q3640" i="8"/>
  <c r="Q3641" i="8"/>
  <c r="Q3642" i="8"/>
  <c r="Q3643" i="8"/>
  <c r="Q3644" i="8"/>
  <c r="Q3645" i="8"/>
  <c r="Q3646" i="8"/>
  <c r="Q3647" i="8"/>
  <c r="Q3648" i="8"/>
  <c r="Q3649" i="8"/>
  <c r="Q3650" i="8"/>
  <c r="Q3651" i="8"/>
  <c r="Q3652" i="8"/>
  <c r="Q3653" i="8"/>
  <c r="Q3654" i="8"/>
  <c r="Q3655" i="8"/>
  <c r="Q3656" i="8"/>
  <c r="Q3657" i="8"/>
  <c r="Q3658" i="8"/>
  <c r="Q3659" i="8"/>
  <c r="Q3660" i="8"/>
  <c r="Q3661" i="8"/>
  <c r="Q3662" i="8"/>
  <c r="Q3663" i="8"/>
  <c r="Q3664" i="8"/>
  <c r="Q3665" i="8"/>
  <c r="Q3666" i="8"/>
  <c r="Q3667" i="8"/>
  <c r="Q3668" i="8"/>
  <c r="Q3669" i="8"/>
  <c r="Q3670" i="8"/>
  <c r="Q3671" i="8"/>
  <c r="Q3672" i="8"/>
  <c r="Q3673" i="8"/>
  <c r="Q3674" i="8"/>
  <c r="Q3675" i="8"/>
  <c r="Q3676" i="8"/>
  <c r="Q3677" i="8"/>
  <c r="Q3678" i="8"/>
  <c r="Q3679" i="8"/>
  <c r="Q3680" i="8"/>
  <c r="Q3681" i="8"/>
  <c r="Q3682" i="8"/>
  <c r="Q3683" i="8"/>
  <c r="Q3684" i="8"/>
  <c r="Q3685" i="8"/>
  <c r="Q3686" i="8"/>
  <c r="Q3687" i="8"/>
  <c r="Q3688" i="8"/>
  <c r="Q3689" i="8"/>
  <c r="Q3690" i="8"/>
  <c r="Q3691" i="8"/>
  <c r="Q3692" i="8"/>
  <c r="Q3693" i="8"/>
  <c r="Q3694" i="8"/>
  <c r="Q3695" i="8"/>
  <c r="Q3696" i="8"/>
  <c r="Q3697" i="8"/>
  <c r="Q3698" i="8"/>
  <c r="Q3699" i="8"/>
  <c r="Q3700" i="8"/>
  <c r="Q3701" i="8"/>
  <c r="Q3702" i="8"/>
  <c r="Q3703" i="8"/>
  <c r="Q3704" i="8"/>
  <c r="Q3705" i="8"/>
  <c r="Q3706" i="8"/>
  <c r="Q3707" i="8"/>
  <c r="Q3708" i="8"/>
  <c r="Q3709" i="8"/>
  <c r="Q3710" i="8"/>
  <c r="Q3711" i="8"/>
  <c r="Q3712" i="8"/>
  <c r="Q3713" i="8"/>
  <c r="Q3714" i="8"/>
  <c r="Q3715" i="8"/>
  <c r="Q3716" i="8"/>
  <c r="Q3717" i="8"/>
  <c r="Q3718" i="8"/>
  <c r="Q3719" i="8"/>
  <c r="Q3720" i="8"/>
  <c r="Q3721" i="8"/>
  <c r="Q3722" i="8"/>
  <c r="Q3723" i="8"/>
  <c r="Q3724" i="8"/>
  <c r="Q3725" i="8"/>
  <c r="Q3726" i="8"/>
  <c r="Q3727" i="8"/>
  <c r="Q3728" i="8"/>
  <c r="Q3729" i="8"/>
  <c r="Q3730" i="8"/>
  <c r="Q3731" i="8"/>
  <c r="Q3732" i="8"/>
  <c r="Q3733" i="8"/>
  <c r="Q3734" i="8"/>
  <c r="Q3735" i="8"/>
  <c r="Q3736" i="8"/>
  <c r="Q3737" i="8"/>
  <c r="Q3738" i="8"/>
  <c r="Q3739" i="8"/>
  <c r="Q3740" i="8"/>
  <c r="Q3741" i="8"/>
  <c r="Q3742" i="8"/>
  <c r="Q3743" i="8"/>
  <c r="Q3744" i="8"/>
  <c r="Q3745" i="8"/>
  <c r="Q3746" i="8"/>
  <c r="Q3747" i="8"/>
  <c r="Q3748" i="8"/>
  <c r="Q3749" i="8"/>
  <c r="Q3750" i="8"/>
  <c r="Q3751" i="8"/>
  <c r="Q3752" i="8"/>
  <c r="Q3753" i="8"/>
  <c r="Q3754" i="8"/>
  <c r="Q3755" i="8"/>
  <c r="Q3756" i="8"/>
  <c r="Q3757" i="8"/>
  <c r="Q3758" i="8"/>
  <c r="Q3759" i="8"/>
  <c r="Q3760" i="8"/>
  <c r="Q3761" i="8"/>
  <c r="Q3762" i="8"/>
  <c r="Q3763" i="8"/>
  <c r="Q3764" i="8"/>
  <c r="Q3765" i="8"/>
  <c r="Q3766" i="8"/>
  <c r="Q3767" i="8"/>
  <c r="Q3768" i="8"/>
  <c r="Q3769" i="8"/>
  <c r="Q3770" i="8"/>
  <c r="Q3771" i="8"/>
  <c r="Q3772" i="8"/>
  <c r="Q3773" i="8"/>
  <c r="Q3774" i="8"/>
  <c r="Q3775" i="8"/>
  <c r="Q3776" i="8"/>
  <c r="Q3777" i="8"/>
  <c r="Q3778" i="8"/>
  <c r="Q3779" i="8"/>
  <c r="Q3780" i="8"/>
  <c r="Q3781" i="8"/>
  <c r="Q3782" i="8"/>
  <c r="Q3783" i="8"/>
  <c r="Q3784" i="8"/>
  <c r="Q3785" i="8"/>
  <c r="Q3786" i="8"/>
  <c r="Q3787" i="8"/>
  <c r="Q3788" i="8"/>
  <c r="Q3789" i="8"/>
  <c r="Q3790" i="8"/>
  <c r="Q3791" i="8"/>
  <c r="Q3792" i="8"/>
  <c r="Q3793" i="8"/>
  <c r="Q3794" i="8"/>
  <c r="Q3795" i="8"/>
  <c r="Q3796" i="8"/>
  <c r="Q3797" i="8"/>
  <c r="Q3798" i="8"/>
  <c r="Q3799" i="8"/>
  <c r="Q3800" i="8"/>
  <c r="Q3801" i="8"/>
  <c r="Q3802" i="8"/>
  <c r="Q3803" i="8"/>
  <c r="Q3804" i="8"/>
  <c r="Q3805" i="8"/>
  <c r="Q3806" i="8"/>
  <c r="Q3807" i="8"/>
  <c r="Q3808" i="8"/>
  <c r="Q3809" i="8"/>
  <c r="Q3810" i="8"/>
  <c r="Q3811" i="8"/>
  <c r="Q3812" i="8"/>
  <c r="Q3813" i="8"/>
  <c r="Q3814" i="8"/>
  <c r="Q3815" i="8"/>
  <c r="Q3816" i="8"/>
  <c r="Q3817" i="8"/>
  <c r="Q3818" i="8"/>
  <c r="Q3819" i="8"/>
  <c r="Q3820" i="8"/>
  <c r="Q3821" i="8"/>
  <c r="Q3822" i="8"/>
  <c r="Q3823" i="8"/>
  <c r="Q3824" i="8"/>
  <c r="Q3825" i="8"/>
  <c r="Q3826" i="8"/>
  <c r="Q3827" i="8"/>
  <c r="Q3828" i="8"/>
  <c r="Q3829"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P2337" i="8"/>
  <c r="P2338" i="8"/>
  <c r="P2339" i="8"/>
  <c r="P2340" i="8"/>
  <c r="P2341" i="8"/>
  <c r="P2342" i="8"/>
  <c r="P2343" i="8"/>
  <c r="P2344" i="8"/>
  <c r="P2345" i="8"/>
  <c r="P2346" i="8"/>
  <c r="P2347" i="8"/>
  <c r="P2348" i="8"/>
  <c r="P2349" i="8"/>
  <c r="P2350" i="8"/>
  <c r="P2351" i="8"/>
  <c r="P2352" i="8"/>
  <c r="P2353" i="8"/>
  <c r="P2354" i="8"/>
  <c r="P2355" i="8"/>
  <c r="P2356" i="8"/>
  <c r="P2357" i="8"/>
  <c r="P2358" i="8"/>
  <c r="P2359" i="8"/>
  <c r="P2360" i="8"/>
  <c r="P2361" i="8"/>
  <c r="P2362" i="8"/>
  <c r="P2363" i="8"/>
  <c r="P2364" i="8"/>
  <c r="P2365" i="8"/>
  <c r="P2366" i="8"/>
  <c r="P2367" i="8"/>
  <c r="P2368" i="8"/>
  <c r="P2369" i="8"/>
  <c r="P2370" i="8"/>
  <c r="P2371" i="8"/>
  <c r="P2372" i="8"/>
  <c r="P2373" i="8"/>
  <c r="P2374" i="8"/>
  <c r="P2375" i="8"/>
  <c r="P2376" i="8"/>
  <c r="P2377" i="8"/>
  <c r="P2378" i="8"/>
  <c r="P2379" i="8"/>
  <c r="P2380" i="8"/>
  <c r="P2381" i="8"/>
  <c r="P2382" i="8"/>
  <c r="P2383" i="8"/>
  <c r="P2384" i="8"/>
  <c r="P2385" i="8"/>
  <c r="P2386" i="8"/>
  <c r="P2387" i="8"/>
  <c r="P2388" i="8"/>
  <c r="P2389" i="8"/>
  <c r="P2390" i="8"/>
  <c r="P2391" i="8"/>
  <c r="P2392" i="8"/>
  <c r="P2393" i="8"/>
  <c r="P2394" i="8"/>
  <c r="P2395" i="8"/>
  <c r="P2396" i="8"/>
  <c r="P2397" i="8"/>
  <c r="P2398" i="8"/>
  <c r="P2399" i="8"/>
  <c r="P2400" i="8"/>
  <c r="P2401" i="8"/>
  <c r="P2402" i="8"/>
  <c r="P2403" i="8"/>
  <c r="P2404" i="8"/>
  <c r="P2405" i="8"/>
  <c r="P2406" i="8"/>
  <c r="P2407" i="8"/>
  <c r="P2408" i="8"/>
  <c r="P2409" i="8"/>
  <c r="P2410" i="8"/>
  <c r="P2411" i="8"/>
  <c r="P2412" i="8"/>
  <c r="P2413" i="8"/>
  <c r="P2414" i="8"/>
  <c r="P2415" i="8"/>
  <c r="P2416" i="8"/>
  <c r="P2417" i="8"/>
  <c r="P2418" i="8"/>
  <c r="P2419" i="8"/>
  <c r="P2420" i="8"/>
  <c r="P2421" i="8"/>
  <c r="P2422" i="8"/>
  <c r="P2423" i="8"/>
  <c r="P2424" i="8"/>
  <c r="P2425" i="8"/>
  <c r="P2426" i="8"/>
  <c r="P2427" i="8"/>
  <c r="P2428" i="8"/>
  <c r="P2429" i="8"/>
  <c r="P2430" i="8"/>
  <c r="P2431" i="8"/>
  <c r="P2432" i="8"/>
  <c r="P2433" i="8"/>
  <c r="P2434" i="8"/>
  <c r="P2435" i="8"/>
  <c r="P2436" i="8"/>
  <c r="P2437" i="8"/>
  <c r="P2438" i="8"/>
  <c r="P2439" i="8"/>
  <c r="P2440" i="8"/>
  <c r="P2441" i="8"/>
  <c r="P2442" i="8"/>
  <c r="P2443" i="8"/>
  <c r="P2444" i="8"/>
  <c r="P2445" i="8"/>
  <c r="P2446" i="8"/>
  <c r="P2447" i="8"/>
  <c r="P2448" i="8"/>
  <c r="P2449" i="8"/>
  <c r="P2450" i="8"/>
  <c r="P2451" i="8"/>
  <c r="P2452" i="8"/>
  <c r="P2453" i="8"/>
  <c r="P2454" i="8"/>
  <c r="P2455" i="8"/>
  <c r="P2456" i="8"/>
  <c r="P2457" i="8"/>
  <c r="P2458" i="8"/>
  <c r="P2459" i="8"/>
  <c r="P2460" i="8"/>
  <c r="P2461" i="8"/>
  <c r="P2462" i="8"/>
  <c r="P2463" i="8"/>
  <c r="P2464" i="8"/>
  <c r="P2465" i="8"/>
  <c r="P2466" i="8"/>
  <c r="P2467" i="8"/>
  <c r="P2468" i="8"/>
  <c r="P2469" i="8"/>
  <c r="P2470" i="8"/>
  <c r="P2471" i="8"/>
  <c r="P2472" i="8"/>
  <c r="P2473" i="8"/>
  <c r="P2474" i="8"/>
  <c r="P2475" i="8"/>
  <c r="P2476" i="8"/>
  <c r="P2477" i="8"/>
  <c r="P2478" i="8"/>
  <c r="P2479" i="8"/>
  <c r="P2480" i="8"/>
  <c r="P2481" i="8"/>
  <c r="P2482" i="8"/>
  <c r="P2483" i="8"/>
  <c r="P2484" i="8"/>
  <c r="P2485" i="8"/>
  <c r="P2486" i="8"/>
  <c r="P2487" i="8"/>
  <c r="P2488" i="8"/>
  <c r="P2489" i="8"/>
  <c r="P2490" i="8"/>
  <c r="P2491" i="8"/>
  <c r="P2492" i="8"/>
  <c r="P2493" i="8"/>
  <c r="P2494" i="8"/>
  <c r="P2495" i="8"/>
  <c r="P2496" i="8"/>
  <c r="P2497" i="8"/>
  <c r="P2498" i="8"/>
  <c r="P2499" i="8"/>
  <c r="P2500" i="8"/>
  <c r="P2501" i="8"/>
  <c r="P2502" i="8"/>
  <c r="P2503" i="8"/>
  <c r="P2504" i="8"/>
  <c r="P2505" i="8"/>
  <c r="P2506" i="8"/>
  <c r="P2507" i="8"/>
  <c r="P2508" i="8"/>
  <c r="P2509" i="8"/>
  <c r="P2510" i="8"/>
  <c r="P2511" i="8"/>
  <c r="P2512" i="8"/>
  <c r="P2513" i="8"/>
  <c r="P2514" i="8"/>
  <c r="P2515" i="8"/>
  <c r="P2516" i="8"/>
  <c r="P2517" i="8"/>
  <c r="P2518" i="8"/>
  <c r="P2519" i="8"/>
  <c r="P2520" i="8"/>
  <c r="P2521" i="8"/>
  <c r="P2522" i="8"/>
  <c r="P2523" i="8"/>
  <c r="P2524" i="8"/>
  <c r="P2525" i="8"/>
  <c r="P2526" i="8"/>
  <c r="P2527" i="8"/>
  <c r="P2528" i="8"/>
  <c r="P2529" i="8"/>
  <c r="P2530" i="8"/>
  <c r="P2531" i="8"/>
  <c r="P2532" i="8"/>
  <c r="P2533" i="8"/>
  <c r="P2534" i="8"/>
  <c r="P2535" i="8"/>
  <c r="P2536" i="8"/>
  <c r="P2537" i="8"/>
  <c r="P2538" i="8"/>
  <c r="P2539" i="8"/>
  <c r="P2540" i="8"/>
  <c r="P2541" i="8"/>
  <c r="P2542" i="8"/>
  <c r="P2543" i="8"/>
  <c r="P2544" i="8"/>
  <c r="P2545" i="8"/>
  <c r="P2546" i="8"/>
  <c r="P2547" i="8"/>
  <c r="P2548" i="8"/>
  <c r="P2549" i="8"/>
  <c r="P2550" i="8"/>
  <c r="P2551" i="8"/>
  <c r="P2552" i="8"/>
  <c r="P2553" i="8"/>
  <c r="P2554" i="8"/>
  <c r="P2555" i="8"/>
  <c r="P2556" i="8"/>
  <c r="P2557" i="8"/>
  <c r="P2558" i="8"/>
  <c r="P2559" i="8"/>
  <c r="P2560" i="8"/>
  <c r="P2561" i="8"/>
  <c r="P2562" i="8"/>
  <c r="P2563" i="8"/>
  <c r="P2564" i="8"/>
  <c r="P2565" i="8"/>
  <c r="P2566" i="8"/>
  <c r="P2567" i="8"/>
  <c r="P2568" i="8"/>
  <c r="P2569" i="8"/>
  <c r="P2570" i="8"/>
  <c r="P2571" i="8"/>
  <c r="P2572" i="8"/>
  <c r="P2573" i="8"/>
  <c r="P2574" i="8"/>
  <c r="P2575" i="8"/>
  <c r="P2576" i="8"/>
  <c r="P2577" i="8"/>
  <c r="P2578" i="8"/>
  <c r="P2579" i="8"/>
  <c r="P2580" i="8"/>
  <c r="P2581" i="8"/>
  <c r="P2582" i="8"/>
  <c r="P2583" i="8"/>
  <c r="P2584" i="8"/>
  <c r="P2585" i="8"/>
  <c r="P2586" i="8"/>
  <c r="P2587" i="8"/>
  <c r="P2588" i="8"/>
  <c r="P2589" i="8"/>
  <c r="P2590" i="8"/>
  <c r="P2591" i="8"/>
  <c r="P2592" i="8"/>
  <c r="P2593" i="8"/>
  <c r="P2594" i="8"/>
  <c r="P2595" i="8"/>
  <c r="P2596" i="8"/>
  <c r="P2597" i="8"/>
  <c r="P2598" i="8"/>
  <c r="P2599" i="8"/>
  <c r="P2600" i="8"/>
  <c r="P2601" i="8"/>
  <c r="P2602" i="8"/>
  <c r="P2603" i="8"/>
  <c r="P2604" i="8"/>
  <c r="P2605" i="8"/>
  <c r="P2606" i="8"/>
  <c r="P2607" i="8"/>
  <c r="P2608" i="8"/>
  <c r="P2609" i="8"/>
  <c r="P2610" i="8"/>
  <c r="P2611" i="8"/>
  <c r="P2612" i="8"/>
  <c r="P2613" i="8"/>
  <c r="P2614" i="8"/>
  <c r="P2615" i="8"/>
  <c r="P2616" i="8"/>
  <c r="P2617" i="8"/>
  <c r="P2618" i="8"/>
  <c r="P2619" i="8"/>
  <c r="P2620" i="8"/>
  <c r="P2621" i="8"/>
  <c r="P2622" i="8"/>
  <c r="P2623" i="8"/>
  <c r="P2624" i="8"/>
  <c r="P2625" i="8"/>
  <c r="P2626" i="8"/>
  <c r="P2627" i="8"/>
  <c r="P2628" i="8"/>
  <c r="P2629" i="8"/>
  <c r="P2630" i="8"/>
  <c r="P2631" i="8"/>
  <c r="P2632" i="8"/>
  <c r="P2633" i="8"/>
  <c r="P2634" i="8"/>
  <c r="P2635" i="8"/>
  <c r="P2636" i="8"/>
  <c r="P2637" i="8"/>
  <c r="P2638" i="8"/>
  <c r="P2639" i="8"/>
  <c r="P2640" i="8"/>
  <c r="P2641" i="8"/>
  <c r="P2642" i="8"/>
  <c r="P2643" i="8"/>
  <c r="P2644" i="8"/>
  <c r="P2645" i="8"/>
  <c r="P2646" i="8"/>
  <c r="P2647" i="8"/>
  <c r="P2648" i="8"/>
  <c r="P2649" i="8"/>
  <c r="P2650" i="8"/>
  <c r="P2651" i="8"/>
  <c r="P2652" i="8"/>
  <c r="P2653" i="8"/>
  <c r="P2654" i="8"/>
  <c r="P2655" i="8"/>
  <c r="P2656" i="8"/>
  <c r="P2657" i="8"/>
  <c r="P2658" i="8"/>
  <c r="P2659" i="8"/>
  <c r="P2660" i="8"/>
  <c r="P2661" i="8"/>
  <c r="P2662" i="8"/>
  <c r="P2663" i="8"/>
  <c r="P2664" i="8"/>
  <c r="P2665" i="8"/>
  <c r="P2666" i="8"/>
  <c r="P2667" i="8"/>
  <c r="P2668" i="8"/>
  <c r="P2669" i="8"/>
  <c r="P2670" i="8"/>
  <c r="P2671" i="8"/>
  <c r="P2672" i="8"/>
  <c r="P2673" i="8"/>
  <c r="P2674" i="8"/>
  <c r="P2675" i="8"/>
  <c r="P2676" i="8"/>
  <c r="P2677" i="8"/>
  <c r="P2678" i="8"/>
  <c r="P2679" i="8"/>
  <c r="P2680" i="8"/>
  <c r="P2681" i="8"/>
  <c r="P2682" i="8"/>
  <c r="P2683" i="8"/>
  <c r="P2684" i="8"/>
  <c r="P2685" i="8"/>
  <c r="P2686" i="8"/>
  <c r="P2687" i="8"/>
  <c r="P2688" i="8"/>
  <c r="P2689" i="8"/>
  <c r="P2690" i="8"/>
  <c r="P2691" i="8"/>
  <c r="P2692" i="8"/>
  <c r="P2693" i="8"/>
  <c r="P2694" i="8"/>
  <c r="P2695" i="8"/>
  <c r="P2696" i="8"/>
  <c r="P2697" i="8"/>
  <c r="P2698" i="8"/>
  <c r="P2699" i="8"/>
  <c r="P2700" i="8"/>
  <c r="P2701" i="8"/>
  <c r="P2702" i="8"/>
  <c r="P2703" i="8"/>
  <c r="P2704" i="8"/>
  <c r="P2705" i="8"/>
  <c r="P2706" i="8"/>
  <c r="P2707" i="8"/>
  <c r="P2708" i="8"/>
  <c r="P2709" i="8"/>
  <c r="P2710" i="8"/>
  <c r="P2711" i="8"/>
  <c r="P2712" i="8"/>
  <c r="P2713" i="8"/>
  <c r="P2714" i="8"/>
  <c r="P2715" i="8"/>
  <c r="P2716" i="8"/>
  <c r="P2717" i="8"/>
  <c r="P2718" i="8"/>
  <c r="P2719" i="8"/>
  <c r="P2720" i="8"/>
  <c r="P2721" i="8"/>
  <c r="P2722" i="8"/>
  <c r="P2723" i="8"/>
  <c r="P2724" i="8"/>
  <c r="P2725" i="8"/>
  <c r="P2726" i="8"/>
  <c r="P2727" i="8"/>
  <c r="P2728" i="8"/>
  <c r="P2729" i="8"/>
  <c r="P2730" i="8"/>
  <c r="P2731" i="8"/>
  <c r="P2732" i="8"/>
  <c r="P2733" i="8"/>
  <c r="P2734" i="8"/>
  <c r="P2735" i="8"/>
  <c r="P2736" i="8"/>
  <c r="P2737" i="8"/>
  <c r="P2738" i="8"/>
  <c r="P2739" i="8"/>
  <c r="P2740" i="8"/>
  <c r="P2741" i="8"/>
  <c r="P2742" i="8"/>
  <c r="P2743" i="8"/>
  <c r="P2744" i="8"/>
  <c r="P2745" i="8"/>
  <c r="P2746" i="8"/>
  <c r="P2747" i="8"/>
  <c r="P2748" i="8"/>
  <c r="P2749" i="8"/>
  <c r="P2750" i="8"/>
  <c r="P2751" i="8"/>
  <c r="P2752" i="8"/>
  <c r="P2753" i="8"/>
  <c r="P2754" i="8"/>
  <c r="P2755" i="8"/>
  <c r="P2756" i="8"/>
  <c r="P2757" i="8"/>
  <c r="P2758" i="8"/>
  <c r="P2759" i="8"/>
  <c r="P2760" i="8"/>
  <c r="P2761" i="8"/>
  <c r="P2762" i="8"/>
  <c r="P2763" i="8"/>
  <c r="P2764" i="8"/>
  <c r="P2765" i="8"/>
  <c r="P2766" i="8"/>
  <c r="P2767" i="8"/>
  <c r="P2768" i="8"/>
  <c r="P2769" i="8"/>
  <c r="P2770" i="8"/>
  <c r="P2771" i="8"/>
  <c r="P2772" i="8"/>
  <c r="P2773" i="8"/>
  <c r="P2774" i="8"/>
  <c r="P2775" i="8"/>
  <c r="P2776" i="8"/>
  <c r="P2777" i="8"/>
  <c r="P2778" i="8"/>
  <c r="P2779" i="8"/>
  <c r="P2780" i="8"/>
  <c r="P2781" i="8"/>
  <c r="P2782" i="8"/>
  <c r="P2783" i="8"/>
  <c r="P2784" i="8"/>
  <c r="P2785" i="8"/>
  <c r="P2786" i="8"/>
  <c r="P2787" i="8"/>
  <c r="P2788" i="8"/>
  <c r="P2789" i="8"/>
  <c r="P2790" i="8"/>
  <c r="P2791" i="8"/>
  <c r="P2792" i="8"/>
  <c r="P2793" i="8"/>
  <c r="P2794" i="8"/>
  <c r="P2795" i="8"/>
  <c r="P2796" i="8"/>
  <c r="P2797" i="8"/>
  <c r="P2798" i="8"/>
  <c r="P2799" i="8"/>
  <c r="P2800" i="8"/>
  <c r="P2801" i="8"/>
  <c r="P2802" i="8"/>
  <c r="P2803" i="8"/>
  <c r="P2804" i="8"/>
  <c r="P2805" i="8"/>
  <c r="P2806" i="8"/>
  <c r="P2807" i="8"/>
  <c r="P2808" i="8"/>
  <c r="P2809" i="8"/>
  <c r="P2810" i="8"/>
  <c r="P2811" i="8"/>
  <c r="P2812" i="8"/>
  <c r="P2813" i="8"/>
  <c r="P2814" i="8"/>
  <c r="P2815" i="8"/>
  <c r="P2816" i="8"/>
  <c r="P2817" i="8"/>
  <c r="P2818" i="8"/>
  <c r="P2819" i="8"/>
  <c r="P2820" i="8"/>
  <c r="P2821" i="8"/>
  <c r="P2822" i="8"/>
  <c r="P2823" i="8"/>
  <c r="P2824" i="8"/>
  <c r="P2825" i="8"/>
  <c r="P2826" i="8"/>
  <c r="P2827" i="8"/>
  <c r="P2828" i="8"/>
  <c r="P2829" i="8"/>
  <c r="P2830" i="8"/>
  <c r="P2831" i="8"/>
  <c r="P2832" i="8"/>
  <c r="P2833" i="8"/>
  <c r="P2834" i="8"/>
  <c r="P2835" i="8"/>
  <c r="P2836" i="8"/>
  <c r="P2837" i="8"/>
  <c r="P2838" i="8"/>
  <c r="P2839" i="8"/>
  <c r="P2840" i="8"/>
  <c r="P2841" i="8"/>
  <c r="P2842" i="8"/>
  <c r="P2843" i="8"/>
  <c r="P2844" i="8"/>
  <c r="P2845" i="8"/>
  <c r="P2846" i="8"/>
  <c r="P2847" i="8"/>
  <c r="P2848" i="8"/>
  <c r="P2849" i="8"/>
  <c r="P2850" i="8"/>
  <c r="P2851" i="8"/>
  <c r="P2852" i="8"/>
  <c r="P2853" i="8"/>
  <c r="P2854" i="8"/>
  <c r="P2855" i="8"/>
  <c r="P2856" i="8"/>
  <c r="P2857" i="8"/>
  <c r="P2858" i="8"/>
  <c r="P2859" i="8"/>
  <c r="P2860" i="8"/>
  <c r="P2861" i="8"/>
  <c r="P2862" i="8"/>
  <c r="P2863" i="8"/>
  <c r="P2864" i="8"/>
  <c r="P2865" i="8"/>
  <c r="P2866" i="8"/>
  <c r="P2867" i="8"/>
  <c r="P2868" i="8"/>
  <c r="P2869" i="8"/>
  <c r="P2870" i="8"/>
  <c r="P2871" i="8"/>
  <c r="P2872" i="8"/>
  <c r="P2873" i="8"/>
  <c r="P2874" i="8"/>
  <c r="P2875" i="8"/>
  <c r="P2876" i="8"/>
  <c r="P2877" i="8"/>
  <c r="P2878" i="8"/>
  <c r="P2879" i="8"/>
  <c r="P2880" i="8"/>
  <c r="P2881" i="8"/>
  <c r="P2882" i="8"/>
  <c r="P2883" i="8"/>
  <c r="P2884" i="8"/>
  <c r="P2885" i="8"/>
  <c r="P2886" i="8"/>
  <c r="P2887" i="8"/>
  <c r="P2888" i="8"/>
  <c r="P2889" i="8"/>
  <c r="P2890" i="8"/>
  <c r="P2891" i="8"/>
  <c r="P2892" i="8"/>
  <c r="P2893" i="8"/>
  <c r="P2894" i="8"/>
  <c r="P2895" i="8"/>
  <c r="P2896" i="8"/>
  <c r="P2897" i="8"/>
  <c r="P2898" i="8"/>
  <c r="P2899" i="8"/>
  <c r="P2900" i="8"/>
  <c r="P2901" i="8"/>
  <c r="P2902" i="8"/>
  <c r="P2903" i="8"/>
  <c r="P2904" i="8"/>
  <c r="P2905" i="8"/>
  <c r="P2906" i="8"/>
  <c r="P2907" i="8"/>
  <c r="P2908" i="8"/>
  <c r="P2909" i="8"/>
  <c r="P2910" i="8"/>
  <c r="P2911" i="8"/>
  <c r="P2912" i="8"/>
  <c r="P2913" i="8"/>
  <c r="P2914" i="8"/>
  <c r="P2915" i="8"/>
  <c r="P2916" i="8"/>
  <c r="P2917" i="8"/>
  <c r="P2918" i="8"/>
  <c r="P2919" i="8"/>
  <c r="P2920" i="8"/>
  <c r="P2921" i="8"/>
  <c r="P2922" i="8"/>
  <c r="P2923" i="8"/>
  <c r="P2924" i="8"/>
  <c r="P2925" i="8"/>
  <c r="P2926" i="8"/>
  <c r="P2927" i="8"/>
  <c r="P2928" i="8"/>
  <c r="P2929" i="8"/>
  <c r="P2930" i="8"/>
  <c r="P2931" i="8"/>
  <c r="P2932" i="8"/>
  <c r="P2933" i="8"/>
  <c r="P2934" i="8"/>
  <c r="P2935" i="8"/>
  <c r="P2936" i="8"/>
  <c r="P2937" i="8"/>
  <c r="P2938" i="8"/>
  <c r="P2939" i="8"/>
  <c r="P2940" i="8"/>
  <c r="P2941" i="8"/>
  <c r="P2942" i="8"/>
  <c r="P2943" i="8"/>
  <c r="P2944" i="8"/>
  <c r="P2945" i="8"/>
  <c r="P2946" i="8"/>
  <c r="P2947" i="8"/>
  <c r="P2948" i="8"/>
  <c r="P2949" i="8"/>
  <c r="P2950" i="8"/>
  <c r="P2951" i="8"/>
  <c r="P2952" i="8"/>
  <c r="P2953" i="8"/>
  <c r="P2954" i="8"/>
  <c r="P2955" i="8"/>
  <c r="P2956" i="8"/>
  <c r="P2957" i="8"/>
  <c r="P2958" i="8"/>
  <c r="P2959" i="8"/>
  <c r="P2960" i="8"/>
  <c r="P2961" i="8"/>
  <c r="P2962" i="8"/>
  <c r="P2963" i="8"/>
  <c r="P2964" i="8"/>
  <c r="P2965" i="8"/>
  <c r="P2966" i="8"/>
  <c r="P2967" i="8"/>
  <c r="P2968" i="8"/>
  <c r="P2969" i="8"/>
  <c r="P2970" i="8"/>
  <c r="P2971" i="8"/>
  <c r="P2972" i="8"/>
  <c r="P2973" i="8"/>
  <c r="P2974" i="8"/>
  <c r="P2975" i="8"/>
  <c r="P2976" i="8"/>
  <c r="P2977" i="8"/>
  <c r="P2978" i="8"/>
  <c r="P2979" i="8"/>
  <c r="P2980" i="8"/>
  <c r="P2981" i="8"/>
  <c r="P2982" i="8"/>
  <c r="P2983" i="8"/>
  <c r="P2984" i="8"/>
  <c r="P2985" i="8"/>
  <c r="P2986" i="8"/>
  <c r="P2987" i="8"/>
  <c r="P2988" i="8"/>
  <c r="P2989" i="8"/>
  <c r="P2990" i="8"/>
  <c r="P2991" i="8"/>
  <c r="P2992" i="8"/>
  <c r="P2993" i="8"/>
  <c r="P2994" i="8"/>
  <c r="P2995" i="8"/>
  <c r="P2996" i="8"/>
  <c r="P2997" i="8"/>
  <c r="P2998" i="8"/>
  <c r="P2999" i="8"/>
  <c r="P3000" i="8"/>
  <c r="P3001" i="8"/>
  <c r="P3002" i="8"/>
  <c r="P3003" i="8"/>
  <c r="P3004" i="8"/>
  <c r="P3005" i="8"/>
  <c r="P3006" i="8"/>
  <c r="P3007" i="8"/>
  <c r="P3008" i="8"/>
  <c r="P3009" i="8"/>
  <c r="P3010" i="8"/>
  <c r="P3011" i="8"/>
  <c r="P3012" i="8"/>
  <c r="P3013" i="8"/>
  <c r="P3014" i="8"/>
  <c r="P3015" i="8"/>
  <c r="P3016" i="8"/>
  <c r="P3017" i="8"/>
  <c r="P3018" i="8"/>
  <c r="P3019" i="8"/>
  <c r="P3020" i="8"/>
  <c r="P3021" i="8"/>
  <c r="P3022" i="8"/>
  <c r="P3023" i="8"/>
  <c r="P3024" i="8"/>
  <c r="P3025" i="8"/>
  <c r="P3026" i="8"/>
  <c r="P3027" i="8"/>
  <c r="P3028" i="8"/>
  <c r="P3029" i="8"/>
  <c r="P3030" i="8"/>
  <c r="P3031" i="8"/>
  <c r="P3032" i="8"/>
  <c r="P3033" i="8"/>
  <c r="P3034" i="8"/>
  <c r="P3035" i="8"/>
  <c r="P3036" i="8"/>
  <c r="P3037" i="8"/>
  <c r="P3038" i="8"/>
  <c r="P3039" i="8"/>
  <c r="P3040" i="8"/>
  <c r="P3041" i="8"/>
  <c r="P3042" i="8"/>
  <c r="P3043" i="8"/>
  <c r="P3044" i="8"/>
  <c r="P3045" i="8"/>
  <c r="P3046" i="8"/>
  <c r="P3047" i="8"/>
  <c r="P3048" i="8"/>
  <c r="P3049" i="8"/>
  <c r="P3050" i="8"/>
  <c r="P3051" i="8"/>
  <c r="P3052" i="8"/>
  <c r="P3053" i="8"/>
  <c r="P3054" i="8"/>
  <c r="P3055" i="8"/>
  <c r="P3056" i="8"/>
  <c r="P3057" i="8"/>
  <c r="P3058" i="8"/>
  <c r="P3059" i="8"/>
  <c r="P3060" i="8"/>
  <c r="P3061" i="8"/>
  <c r="P3062" i="8"/>
  <c r="P3063" i="8"/>
  <c r="P3064" i="8"/>
  <c r="P3065" i="8"/>
  <c r="P3066" i="8"/>
  <c r="P3067" i="8"/>
  <c r="P3068" i="8"/>
  <c r="P3069" i="8"/>
  <c r="P3070" i="8"/>
  <c r="P3071" i="8"/>
  <c r="P3072" i="8"/>
  <c r="P3073" i="8"/>
  <c r="P3074" i="8"/>
  <c r="P3075" i="8"/>
  <c r="P3076" i="8"/>
  <c r="P3077" i="8"/>
  <c r="P3078" i="8"/>
  <c r="P3079" i="8"/>
  <c r="P3080" i="8"/>
  <c r="P3081" i="8"/>
  <c r="P3082" i="8"/>
  <c r="P3083" i="8"/>
  <c r="P3084" i="8"/>
  <c r="P3085" i="8"/>
  <c r="P3086" i="8"/>
  <c r="P3087" i="8"/>
  <c r="P3088" i="8"/>
  <c r="P3089" i="8"/>
  <c r="P3090" i="8"/>
  <c r="P3091" i="8"/>
  <c r="P3092" i="8"/>
  <c r="P3093" i="8"/>
  <c r="P3094" i="8"/>
  <c r="P3095" i="8"/>
  <c r="P3096" i="8"/>
  <c r="P3097" i="8"/>
  <c r="P3098" i="8"/>
  <c r="P3099" i="8"/>
  <c r="P3100" i="8"/>
  <c r="P3101" i="8"/>
  <c r="P3102" i="8"/>
  <c r="P3103" i="8"/>
  <c r="P3104" i="8"/>
  <c r="P3105" i="8"/>
  <c r="P3106" i="8"/>
  <c r="P3107" i="8"/>
  <c r="P3108" i="8"/>
  <c r="P3109" i="8"/>
  <c r="P3110" i="8"/>
  <c r="P3111" i="8"/>
  <c r="P3112" i="8"/>
  <c r="P3113" i="8"/>
  <c r="P3114" i="8"/>
  <c r="P3115" i="8"/>
  <c r="P3116" i="8"/>
  <c r="P3117" i="8"/>
  <c r="P3118" i="8"/>
  <c r="P3119" i="8"/>
  <c r="P3120" i="8"/>
  <c r="P3121" i="8"/>
  <c r="P3122" i="8"/>
  <c r="P3123" i="8"/>
  <c r="P3124" i="8"/>
  <c r="P3125" i="8"/>
  <c r="P3126" i="8"/>
  <c r="P3127" i="8"/>
  <c r="P3128" i="8"/>
  <c r="P3129" i="8"/>
  <c r="P3130" i="8"/>
  <c r="P3131" i="8"/>
  <c r="P3132" i="8"/>
  <c r="P3133" i="8"/>
  <c r="P3134" i="8"/>
  <c r="P3135" i="8"/>
  <c r="P3136" i="8"/>
  <c r="P3137" i="8"/>
  <c r="P3138" i="8"/>
  <c r="P3139" i="8"/>
  <c r="P3140" i="8"/>
  <c r="P3141" i="8"/>
  <c r="P3142" i="8"/>
  <c r="P3143" i="8"/>
  <c r="P3144" i="8"/>
  <c r="P3145" i="8"/>
  <c r="P3146" i="8"/>
  <c r="P3147" i="8"/>
  <c r="P3148" i="8"/>
  <c r="P3149" i="8"/>
  <c r="P3150" i="8"/>
  <c r="P3151" i="8"/>
  <c r="P3152" i="8"/>
  <c r="P3153" i="8"/>
  <c r="P3154" i="8"/>
  <c r="P3155" i="8"/>
  <c r="P3156" i="8"/>
  <c r="P3157" i="8"/>
  <c r="P3158" i="8"/>
  <c r="P3159" i="8"/>
  <c r="P3160" i="8"/>
  <c r="P3161" i="8"/>
  <c r="P3162" i="8"/>
  <c r="P3163" i="8"/>
  <c r="P3164" i="8"/>
  <c r="P3165" i="8"/>
  <c r="P3166" i="8"/>
  <c r="P3167" i="8"/>
  <c r="P3168" i="8"/>
  <c r="P3169" i="8"/>
  <c r="P3170" i="8"/>
  <c r="P3171" i="8"/>
  <c r="P3172" i="8"/>
  <c r="P3173" i="8"/>
  <c r="P3174" i="8"/>
  <c r="P3175" i="8"/>
  <c r="P3176" i="8"/>
  <c r="P3177" i="8"/>
  <c r="P3178" i="8"/>
  <c r="P3179" i="8"/>
  <c r="P3180" i="8"/>
  <c r="P3181" i="8"/>
  <c r="P3182" i="8"/>
  <c r="P3183" i="8"/>
  <c r="P3184" i="8"/>
  <c r="P3185" i="8"/>
  <c r="P3186" i="8"/>
  <c r="P3187" i="8"/>
  <c r="P3188" i="8"/>
  <c r="P3189" i="8"/>
  <c r="P3190" i="8"/>
  <c r="P3191" i="8"/>
  <c r="P3192" i="8"/>
  <c r="P3193" i="8"/>
  <c r="P3194" i="8"/>
  <c r="P3195" i="8"/>
  <c r="P3196" i="8"/>
  <c r="P3197" i="8"/>
  <c r="P3198" i="8"/>
  <c r="P3199" i="8"/>
  <c r="P3200" i="8"/>
  <c r="P3201" i="8"/>
  <c r="P3202" i="8"/>
  <c r="P3203" i="8"/>
  <c r="P3204" i="8"/>
  <c r="P3205" i="8"/>
  <c r="P3206" i="8"/>
  <c r="P3207" i="8"/>
  <c r="P3208" i="8"/>
  <c r="P3209" i="8"/>
  <c r="P3210" i="8"/>
  <c r="P3211" i="8"/>
  <c r="P3212" i="8"/>
  <c r="P3213" i="8"/>
  <c r="P3214" i="8"/>
  <c r="P3215" i="8"/>
  <c r="P3216" i="8"/>
  <c r="P3217" i="8"/>
  <c r="P3218" i="8"/>
  <c r="P3219" i="8"/>
  <c r="P3220" i="8"/>
  <c r="P3221" i="8"/>
  <c r="P3222" i="8"/>
  <c r="P3223" i="8"/>
  <c r="P3224" i="8"/>
  <c r="P3225" i="8"/>
  <c r="P3226" i="8"/>
  <c r="P3227" i="8"/>
  <c r="P3228" i="8"/>
  <c r="P3229" i="8"/>
  <c r="P3230" i="8"/>
  <c r="P3231" i="8"/>
  <c r="P3232" i="8"/>
  <c r="P3233" i="8"/>
  <c r="P3234" i="8"/>
  <c r="P3235" i="8"/>
  <c r="P3236" i="8"/>
  <c r="P3237" i="8"/>
  <c r="P3238" i="8"/>
  <c r="P3239" i="8"/>
  <c r="P3240" i="8"/>
  <c r="P3241" i="8"/>
  <c r="P3242" i="8"/>
  <c r="P3243" i="8"/>
  <c r="P3244" i="8"/>
  <c r="P3245" i="8"/>
  <c r="P3246" i="8"/>
  <c r="P3247" i="8"/>
  <c r="P3248" i="8"/>
  <c r="P3249" i="8"/>
  <c r="P3250" i="8"/>
  <c r="P3251" i="8"/>
  <c r="P3252" i="8"/>
  <c r="P3253" i="8"/>
  <c r="P3254" i="8"/>
  <c r="P3255" i="8"/>
  <c r="P3256" i="8"/>
  <c r="P3257" i="8"/>
  <c r="P3258" i="8"/>
  <c r="P3259" i="8"/>
  <c r="P3260" i="8"/>
  <c r="P3261" i="8"/>
  <c r="P3262" i="8"/>
  <c r="P3263" i="8"/>
  <c r="P3264" i="8"/>
  <c r="P3265" i="8"/>
  <c r="P3266" i="8"/>
  <c r="P3267" i="8"/>
  <c r="P3268" i="8"/>
  <c r="P3269" i="8"/>
  <c r="P3270" i="8"/>
  <c r="P3271" i="8"/>
  <c r="P3272" i="8"/>
  <c r="P3273" i="8"/>
  <c r="P3274" i="8"/>
  <c r="P3275" i="8"/>
  <c r="P3276" i="8"/>
  <c r="P3277" i="8"/>
  <c r="P3278" i="8"/>
  <c r="P3279" i="8"/>
  <c r="P3280" i="8"/>
  <c r="P3281" i="8"/>
  <c r="P3282" i="8"/>
  <c r="P3283" i="8"/>
  <c r="P3284" i="8"/>
  <c r="P3285" i="8"/>
  <c r="P3286" i="8"/>
  <c r="P3287" i="8"/>
  <c r="P3288" i="8"/>
  <c r="P3289" i="8"/>
  <c r="P3290" i="8"/>
  <c r="P3291" i="8"/>
  <c r="P3292" i="8"/>
  <c r="P3293" i="8"/>
  <c r="P3294" i="8"/>
  <c r="P3295" i="8"/>
  <c r="P3296" i="8"/>
  <c r="P3297" i="8"/>
  <c r="P3298" i="8"/>
  <c r="P3299" i="8"/>
  <c r="P3300" i="8"/>
  <c r="P3301" i="8"/>
  <c r="P3302" i="8"/>
  <c r="P3303" i="8"/>
  <c r="P3304" i="8"/>
  <c r="P3305" i="8"/>
  <c r="P3306" i="8"/>
  <c r="P3307" i="8"/>
  <c r="P3308" i="8"/>
  <c r="P3309" i="8"/>
  <c r="P3310" i="8"/>
  <c r="P3311" i="8"/>
  <c r="P3312" i="8"/>
  <c r="P3313" i="8"/>
  <c r="P3314" i="8"/>
  <c r="P3315" i="8"/>
  <c r="P3316" i="8"/>
  <c r="P3317" i="8"/>
  <c r="P3318" i="8"/>
  <c r="P3319" i="8"/>
  <c r="P3320" i="8"/>
  <c r="P3321" i="8"/>
  <c r="P3322" i="8"/>
  <c r="P3323" i="8"/>
  <c r="P3324" i="8"/>
  <c r="P3325" i="8"/>
  <c r="P3326" i="8"/>
  <c r="P3327" i="8"/>
  <c r="P3328" i="8"/>
  <c r="P3329" i="8"/>
  <c r="P3330" i="8"/>
  <c r="P3331" i="8"/>
  <c r="P3332" i="8"/>
  <c r="P3333" i="8"/>
  <c r="P3334" i="8"/>
  <c r="P3335" i="8"/>
  <c r="P3336" i="8"/>
  <c r="P3337" i="8"/>
  <c r="P3338" i="8"/>
  <c r="P3339" i="8"/>
  <c r="P3340" i="8"/>
  <c r="P3341" i="8"/>
  <c r="P3342" i="8"/>
  <c r="P3343" i="8"/>
  <c r="P3344" i="8"/>
  <c r="P3345" i="8"/>
  <c r="P3346" i="8"/>
  <c r="P3347" i="8"/>
  <c r="P3348" i="8"/>
  <c r="P3349" i="8"/>
  <c r="P3350" i="8"/>
  <c r="P3351" i="8"/>
  <c r="P3352" i="8"/>
  <c r="P3353" i="8"/>
  <c r="P3354" i="8"/>
  <c r="P3355" i="8"/>
  <c r="P3356" i="8"/>
  <c r="P3357" i="8"/>
  <c r="P3358" i="8"/>
  <c r="P3359" i="8"/>
  <c r="P3360" i="8"/>
  <c r="P3361" i="8"/>
  <c r="P3362" i="8"/>
  <c r="P3363" i="8"/>
  <c r="P3364" i="8"/>
  <c r="P3365" i="8"/>
  <c r="P3366" i="8"/>
  <c r="P3367" i="8"/>
  <c r="P3368" i="8"/>
  <c r="P3369" i="8"/>
  <c r="P3370" i="8"/>
  <c r="P3371" i="8"/>
  <c r="P3372" i="8"/>
  <c r="P3373" i="8"/>
  <c r="P3374" i="8"/>
  <c r="P3375" i="8"/>
  <c r="P3376" i="8"/>
  <c r="P3377" i="8"/>
  <c r="P3378" i="8"/>
  <c r="P3379" i="8"/>
  <c r="P3380" i="8"/>
  <c r="P3381" i="8"/>
  <c r="P3382" i="8"/>
  <c r="P3383" i="8"/>
  <c r="P3384" i="8"/>
  <c r="P3385" i="8"/>
  <c r="P3386" i="8"/>
  <c r="P3387" i="8"/>
  <c r="P3388" i="8"/>
  <c r="P3389" i="8"/>
  <c r="P3390" i="8"/>
  <c r="P3391" i="8"/>
  <c r="P3392" i="8"/>
  <c r="P3393" i="8"/>
  <c r="P3394" i="8"/>
  <c r="P3395" i="8"/>
  <c r="P3396" i="8"/>
  <c r="P3397" i="8"/>
  <c r="P3398" i="8"/>
  <c r="P3399" i="8"/>
  <c r="P3400" i="8"/>
  <c r="P3401" i="8"/>
  <c r="P3402" i="8"/>
  <c r="P3403" i="8"/>
  <c r="P3404" i="8"/>
  <c r="P3405" i="8"/>
  <c r="P3406" i="8"/>
  <c r="P3407" i="8"/>
  <c r="P3408" i="8"/>
  <c r="P3409" i="8"/>
  <c r="P3410" i="8"/>
  <c r="P3411" i="8"/>
  <c r="P3412" i="8"/>
  <c r="P3413" i="8"/>
  <c r="P3414" i="8"/>
  <c r="P3415" i="8"/>
  <c r="P3416" i="8"/>
  <c r="P3417" i="8"/>
  <c r="P3418" i="8"/>
  <c r="P3419" i="8"/>
  <c r="P3420" i="8"/>
  <c r="P3421" i="8"/>
  <c r="P3422" i="8"/>
  <c r="P3423" i="8"/>
  <c r="P3424" i="8"/>
  <c r="P3425" i="8"/>
  <c r="P3426" i="8"/>
  <c r="P3427" i="8"/>
  <c r="P3428" i="8"/>
  <c r="P3429" i="8"/>
  <c r="P3430" i="8"/>
  <c r="P3431" i="8"/>
  <c r="P3432" i="8"/>
  <c r="P3433" i="8"/>
  <c r="P3434" i="8"/>
  <c r="P3435" i="8"/>
  <c r="P3436" i="8"/>
  <c r="P3437" i="8"/>
  <c r="P3438" i="8"/>
  <c r="P3439" i="8"/>
  <c r="P3440" i="8"/>
  <c r="P3441" i="8"/>
  <c r="P3442" i="8"/>
  <c r="P3443" i="8"/>
  <c r="P3444" i="8"/>
  <c r="P3445" i="8"/>
  <c r="P3446" i="8"/>
  <c r="P3447" i="8"/>
  <c r="P3448" i="8"/>
  <c r="P3449" i="8"/>
  <c r="P3450" i="8"/>
  <c r="P3451" i="8"/>
  <c r="P3452" i="8"/>
  <c r="P3453" i="8"/>
  <c r="P3454" i="8"/>
  <c r="P3455" i="8"/>
  <c r="P3456" i="8"/>
  <c r="P3457" i="8"/>
  <c r="P3458" i="8"/>
  <c r="P3459" i="8"/>
  <c r="P3460" i="8"/>
  <c r="P3461" i="8"/>
  <c r="P3462" i="8"/>
  <c r="P3463" i="8"/>
  <c r="P3464" i="8"/>
  <c r="P3465" i="8"/>
  <c r="P3466" i="8"/>
  <c r="P3467" i="8"/>
  <c r="P3468" i="8"/>
  <c r="P3469" i="8"/>
  <c r="P3470" i="8"/>
  <c r="P3471" i="8"/>
  <c r="P3472" i="8"/>
  <c r="P3473" i="8"/>
  <c r="P3474" i="8"/>
  <c r="P3475" i="8"/>
  <c r="P3476" i="8"/>
  <c r="P3477" i="8"/>
  <c r="P3478" i="8"/>
  <c r="P3479" i="8"/>
  <c r="P3480" i="8"/>
  <c r="P3481" i="8"/>
  <c r="P3482" i="8"/>
  <c r="P3483" i="8"/>
  <c r="P3484" i="8"/>
  <c r="P3485" i="8"/>
  <c r="P3486" i="8"/>
  <c r="P3487" i="8"/>
  <c r="P3488" i="8"/>
  <c r="P3489" i="8"/>
  <c r="P3490" i="8"/>
  <c r="P3491" i="8"/>
  <c r="P3492" i="8"/>
  <c r="P3493" i="8"/>
  <c r="P3494" i="8"/>
  <c r="P3495" i="8"/>
  <c r="P3496" i="8"/>
  <c r="P3497" i="8"/>
  <c r="P3498" i="8"/>
  <c r="P3499" i="8"/>
  <c r="P3500" i="8"/>
  <c r="P3501" i="8"/>
  <c r="P3502" i="8"/>
  <c r="P3503" i="8"/>
  <c r="P3504" i="8"/>
  <c r="P3505" i="8"/>
  <c r="P3506" i="8"/>
  <c r="P3507" i="8"/>
  <c r="P3508" i="8"/>
  <c r="P3509" i="8"/>
  <c r="P3510" i="8"/>
  <c r="P3511" i="8"/>
  <c r="P3512" i="8"/>
  <c r="P3513" i="8"/>
  <c r="P3514" i="8"/>
  <c r="P3515" i="8"/>
  <c r="P3516" i="8"/>
  <c r="P3517" i="8"/>
  <c r="P3518" i="8"/>
  <c r="P3519" i="8"/>
  <c r="P3520" i="8"/>
  <c r="P3521" i="8"/>
  <c r="P3522" i="8"/>
  <c r="P3523" i="8"/>
  <c r="P3524" i="8"/>
  <c r="P3525" i="8"/>
  <c r="P3526" i="8"/>
  <c r="P3527" i="8"/>
  <c r="P3528" i="8"/>
  <c r="P3529" i="8"/>
  <c r="P3530" i="8"/>
  <c r="P3531" i="8"/>
  <c r="P3532" i="8"/>
  <c r="P3533" i="8"/>
  <c r="P3534" i="8"/>
  <c r="P3535" i="8"/>
  <c r="P3536" i="8"/>
  <c r="P3537" i="8"/>
  <c r="P3538" i="8"/>
  <c r="P3539" i="8"/>
  <c r="P3540" i="8"/>
  <c r="P3541" i="8"/>
  <c r="P3542" i="8"/>
  <c r="P3543" i="8"/>
  <c r="P3544" i="8"/>
  <c r="P3545" i="8"/>
  <c r="P3546" i="8"/>
  <c r="P3547" i="8"/>
  <c r="P3548" i="8"/>
  <c r="P3549" i="8"/>
  <c r="P3550" i="8"/>
  <c r="P3551" i="8"/>
  <c r="P3552" i="8"/>
  <c r="P3553" i="8"/>
  <c r="P3554" i="8"/>
  <c r="P3555" i="8"/>
  <c r="P3556" i="8"/>
  <c r="P3557" i="8"/>
  <c r="P3558" i="8"/>
  <c r="P3559" i="8"/>
  <c r="P3560" i="8"/>
  <c r="P3561" i="8"/>
  <c r="P3562" i="8"/>
  <c r="P3563" i="8"/>
  <c r="P3564" i="8"/>
  <c r="P3565" i="8"/>
  <c r="P3566" i="8"/>
  <c r="P3567" i="8"/>
  <c r="P3568" i="8"/>
  <c r="P3569" i="8"/>
  <c r="P3570" i="8"/>
  <c r="P3571" i="8"/>
  <c r="P3572" i="8"/>
  <c r="P3573" i="8"/>
  <c r="P3574" i="8"/>
  <c r="P3575" i="8"/>
  <c r="P3576" i="8"/>
  <c r="P3577" i="8"/>
  <c r="P3578" i="8"/>
  <c r="P3579" i="8"/>
  <c r="P3580" i="8"/>
  <c r="P3581" i="8"/>
  <c r="P3582" i="8"/>
  <c r="P3583" i="8"/>
  <c r="P3584" i="8"/>
  <c r="P3585" i="8"/>
  <c r="P3586" i="8"/>
  <c r="P3587" i="8"/>
  <c r="P3588" i="8"/>
  <c r="P3589" i="8"/>
  <c r="P3590" i="8"/>
  <c r="P3591" i="8"/>
  <c r="P3592" i="8"/>
  <c r="P3593" i="8"/>
  <c r="P3594" i="8"/>
  <c r="P3595" i="8"/>
  <c r="P3596" i="8"/>
  <c r="P3597" i="8"/>
  <c r="P3598" i="8"/>
  <c r="P3599" i="8"/>
  <c r="P3600" i="8"/>
  <c r="P3601" i="8"/>
  <c r="P3602" i="8"/>
  <c r="P3603" i="8"/>
  <c r="P3604" i="8"/>
  <c r="P3605" i="8"/>
  <c r="P3606" i="8"/>
  <c r="P3607" i="8"/>
  <c r="P3608" i="8"/>
  <c r="P3609" i="8"/>
  <c r="P3610" i="8"/>
  <c r="P3611" i="8"/>
  <c r="P3612" i="8"/>
  <c r="P3613" i="8"/>
  <c r="P3614" i="8"/>
  <c r="P3615" i="8"/>
  <c r="P3616" i="8"/>
  <c r="P3617" i="8"/>
  <c r="P3618" i="8"/>
  <c r="P3619" i="8"/>
  <c r="P3620" i="8"/>
  <c r="P3621" i="8"/>
  <c r="P3622" i="8"/>
  <c r="P3623" i="8"/>
  <c r="P3624" i="8"/>
  <c r="P3625" i="8"/>
  <c r="P3626" i="8"/>
  <c r="P3627" i="8"/>
  <c r="P3628" i="8"/>
  <c r="P3629" i="8"/>
  <c r="P3630" i="8"/>
  <c r="P3631" i="8"/>
  <c r="P3632" i="8"/>
  <c r="P3633" i="8"/>
  <c r="P3634" i="8"/>
  <c r="P3635" i="8"/>
  <c r="P3636" i="8"/>
  <c r="P3637" i="8"/>
  <c r="P3638" i="8"/>
  <c r="P3639" i="8"/>
  <c r="P3640" i="8"/>
  <c r="P3641" i="8"/>
  <c r="P3642" i="8"/>
  <c r="P3643" i="8"/>
  <c r="P3644" i="8"/>
  <c r="P3645" i="8"/>
  <c r="P3646" i="8"/>
  <c r="P3647" i="8"/>
  <c r="P3648" i="8"/>
  <c r="P3649" i="8"/>
  <c r="P3650" i="8"/>
  <c r="P3651" i="8"/>
  <c r="P3652" i="8"/>
  <c r="P3653" i="8"/>
  <c r="P3654" i="8"/>
  <c r="P3655" i="8"/>
  <c r="P3656" i="8"/>
  <c r="P3657" i="8"/>
  <c r="P3658" i="8"/>
  <c r="P3659" i="8"/>
  <c r="P3660" i="8"/>
  <c r="P3661" i="8"/>
  <c r="P3662" i="8"/>
  <c r="P3663" i="8"/>
  <c r="P3664" i="8"/>
  <c r="P3665" i="8"/>
  <c r="P3666" i="8"/>
  <c r="P3667" i="8"/>
  <c r="P3668" i="8"/>
  <c r="P3669" i="8"/>
  <c r="P3670" i="8"/>
  <c r="P3671" i="8"/>
  <c r="P3672" i="8"/>
  <c r="P3673" i="8"/>
  <c r="P3674" i="8"/>
  <c r="P3675" i="8"/>
  <c r="P3676" i="8"/>
  <c r="P3677" i="8"/>
  <c r="P3678" i="8"/>
  <c r="P3679" i="8"/>
  <c r="P3680" i="8"/>
  <c r="P3681" i="8"/>
  <c r="P3682" i="8"/>
  <c r="P3683" i="8"/>
  <c r="P3684" i="8"/>
  <c r="P3685" i="8"/>
  <c r="P3686" i="8"/>
  <c r="P3687" i="8"/>
  <c r="P3688" i="8"/>
  <c r="P3689" i="8"/>
  <c r="P3690" i="8"/>
  <c r="P3691" i="8"/>
  <c r="P3692" i="8"/>
  <c r="P3693" i="8"/>
  <c r="P3694" i="8"/>
  <c r="P3695" i="8"/>
  <c r="P3696" i="8"/>
  <c r="P3697" i="8"/>
  <c r="P3698" i="8"/>
  <c r="P3699" i="8"/>
  <c r="P3700" i="8"/>
  <c r="P3701" i="8"/>
  <c r="P3702" i="8"/>
  <c r="P3703" i="8"/>
  <c r="P3704" i="8"/>
  <c r="P3705" i="8"/>
  <c r="P3706" i="8"/>
  <c r="P3707" i="8"/>
  <c r="P3708" i="8"/>
  <c r="P3709" i="8"/>
  <c r="P3710" i="8"/>
  <c r="P3711" i="8"/>
  <c r="P3712" i="8"/>
  <c r="P3713" i="8"/>
  <c r="P3714" i="8"/>
  <c r="P3715" i="8"/>
  <c r="P3716" i="8"/>
  <c r="P3717" i="8"/>
  <c r="P3718" i="8"/>
  <c r="P3719" i="8"/>
  <c r="P3720" i="8"/>
  <c r="P3721" i="8"/>
  <c r="P3722" i="8"/>
  <c r="P3723" i="8"/>
  <c r="P3724" i="8"/>
  <c r="P3725" i="8"/>
  <c r="P3726" i="8"/>
  <c r="P3727" i="8"/>
  <c r="P3728" i="8"/>
  <c r="P3729" i="8"/>
  <c r="P3730" i="8"/>
  <c r="P3731" i="8"/>
  <c r="P3732" i="8"/>
  <c r="P3733" i="8"/>
  <c r="P3734" i="8"/>
  <c r="P3735" i="8"/>
  <c r="P3736" i="8"/>
  <c r="P3737" i="8"/>
  <c r="P3738" i="8"/>
  <c r="P3739" i="8"/>
  <c r="P3740" i="8"/>
  <c r="P3741" i="8"/>
  <c r="P3742" i="8"/>
  <c r="P3743" i="8"/>
  <c r="P3744" i="8"/>
  <c r="P3745" i="8"/>
  <c r="P3746" i="8"/>
  <c r="P3747" i="8"/>
  <c r="P3748" i="8"/>
  <c r="P3749" i="8"/>
  <c r="P3750" i="8"/>
  <c r="P3751" i="8"/>
  <c r="P3752" i="8"/>
  <c r="P3753" i="8"/>
  <c r="P3754" i="8"/>
  <c r="P3755" i="8"/>
  <c r="P3756" i="8"/>
  <c r="P3757" i="8"/>
  <c r="P3758" i="8"/>
  <c r="P3759" i="8"/>
  <c r="P3760" i="8"/>
  <c r="P3761" i="8"/>
  <c r="P3762" i="8"/>
  <c r="P3763" i="8"/>
  <c r="P3764" i="8"/>
  <c r="P3765" i="8"/>
  <c r="P3766" i="8"/>
  <c r="P3767" i="8"/>
  <c r="P3768" i="8"/>
  <c r="P3769" i="8"/>
  <c r="P3770" i="8"/>
  <c r="P3771" i="8"/>
  <c r="P3772" i="8"/>
  <c r="P3773" i="8"/>
  <c r="P3774" i="8"/>
  <c r="P3775" i="8"/>
  <c r="P3776" i="8"/>
  <c r="P3777" i="8"/>
  <c r="P3778" i="8"/>
  <c r="P3779" i="8"/>
  <c r="P3780" i="8"/>
  <c r="P3781" i="8"/>
  <c r="P3782" i="8"/>
  <c r="P3783" i="8"/>
  <c r="P3784" i="8"/>
  <c r="P3785" i="8"/>
  <c r="P3786" i="8"/>
  <c r="P3787" i="8"/>
  <c r="P3788" i="8"/>
  <c r="P3789" i="8"/>
  <c r="P3790" i="8"/>
  <c r="P3791" i="8"/>
  <c r="P3792" i="8"/>
  <c r="P3793" i="8"/>
  <c r="P3794" i="8"/>
  <c r="P3795" i="8"/>
  <c r="P3796" i="8"/>
  <c r="P3797" i="8"/>
  <c r="P3798" i="8"/>
  <c r="P3799" i="8"/>
  <c r="P3800" i="8"/>
  <c r="P3801" i="8"/>
  <c r="P3802" i="8"/>
  <c r="P3803" i="8"/>
  <c r="P3804" i="8"/>
  <c r="P3805" i="8"/>
  <c r="P3806" i="8"/>
  <c r="P3807" i="8"/>
  <c r="P3808" i="8"/>
  <c r="P3809" i="8"/>
  <c r="P3810" i="8"/>
  <c r="P3811" i="8"/>
  <c r="P3812" i="8"/>
  <c r="P3813" i="8"/>
  <c r="P3814" i="8"/>
  <c r="P3815" i="8"/>
  <c r="P3816" i="8"/>
  <c r="P3817" i="8"/>
  <c r="P3818" i="8"/>
  <c r="P3819" i="8"/>
  <c r="P3820" i="8"/>
  <c r="P3821" i="8"/>
  <c r="P3822" i="8"/>
  <c r="P3823" i="8"/>
  <c r="P3824" i="8"/>
  <c r="P3825" i="8"/>
  <c r="P3826" i="8"/>
  <c r="P3827" i="8"/>
  <c r="P3828" i="8"/>
  <c r="P3829" i="8"/>
  <c r="C13" i="13"/>
  <c r="C11" i="13"/>
  <c r="C9" i="13"/>
  <c r="C8" i="13"/>
  <c r="G132" i="12"/>
  <c r="F132" i="12"/>
  <c r="E132" i="12"/>
  <c r="H132" i="12" s="1"/>
  <c r="D132" i="12"/>
  <c r="C132" i="12"/>
  <c r="B132" i="12"/>
  <c r="I132" i="12" s="1"/>
  <c r="G131" i="12"/>
  <c r="F131" i="12"/>
  <c r="E131" i="12"/>
  <c r="H131" i="12" s="1"/>
  <c r="D131" i="12"/>
  <c r="C131" i="12"/>
  <c r="B131" i="12"/>
  <c r="I131" i="12" s="1"/>
  <c r="G130" i="12"/>
  <c r="F130" i="12"/>
  <c r="E130" i="12"/>
  <c r="H130" i="12" s="1"/>
  <c r="D130" i="12"/>
  <c r="C130" i="12"/>
  <c r="B130" i="12"/>
  <c r="I130" i="12" s="1"/>
  <c r="G129" i="12"/>
  <c r="F129" i="12"/>
  <c r="E129" i="12"/>
  <c r="H129" i="12" s="1"/>
  <c r="D129" i="12"/>
  <c r="C129" i="12"/>
  <c r="B129" i="12"/>
  <c r="I129" i="12" s="1"/>
  <c r="K129" i="12" s="1"/>
  <c r="G128" i="12"/>
  <c r="F128" i="12"/>
  <c r="E128" i="12"/>
  <c r="H128" i="12" s="1"/>
  <c r="D128" i="12"/>
  <c r="C128" i="12"/>
  <c r="B128" i="12"/>
  <c r="I128" i="12" s="1"/>
  <c r="K128" i="12" s="1"/>
  <c r="G127" i="12"/>
  <c r="F127" i="12"/>
  <c r="E127" i="12"/>
  <c r="H127" i="12" s="1"/>
  <c r="D127" i="12"/>
  <c r="C127" i="12"/>
  <c r="B127" i="12"/>
  <c r="I127" i="12" s="1"/>
  <c r="G126" i="12"/>
  <c r="F126" i="12"/>
  <c r="E126" i="12"/>
  <c r="H126" i="12" s="1"/>
  <c r="D126" i="12"/>
  <c r="C126" i="12"/>
  <c r="B126" i="12"/>
  <c r="I126" i="12" s="1"/>
  <c r="K126" i="12" s="1"/>
  <c r="G125" i="12"/>
  <c r="F125" i="12"/>
  <c r="E125" i="12"/>
  <c r="H125" i="12" s="1"/>
  <c r="D125" i="12"/>
  <c r="C125" i="12"/>
  <c r="B125" i="12"/>
  <c r="I125" i="12" s="1"/>
  <c r="G124" i="12"/>
  <c r="F124" i="12"/>
  <c r="E124" i="12"/>
  <c r="H124" i="12" s="1"/>
  <c r="D124" i="12"/>
  <c r="C124" i="12"/>
  <c r="B124" i="12"/>
  <c r="I124" i="12" s="1"/>
  <c r="K124" i="12" s="1"/>
  <c r="G123" i="12"/>
  <c r="F123" i="12"/>
  <c r="E123" i="12"/>
  <c r="H123" i="12" s="1"/>
  <c r="D123" i="12"/>
  <c r="C123" i="12"/>
  <c r="B123" i="12"/>
  <c r="I123" i="12" s="1"/>
  <c r="G122" i="12"/>
  <c r="F122" i="12"/>
  <c r="E122" i="12"/>
  <c r="H122" i="12" s="1"/>
  <c r="D122" i="12"/>
  <c r="C122" i="12"/>
  <c r="B122" i="12"/>
  <c r="I122" i="12" s="1"/>
  <c r="G121" i="12"/>
  <c r="F121" i="12"/>
  <c r="E121" i="12"/>
  <c r="H121" i="12" s="1"/>
  <c r="D121" i="12"/>
  <c r="C121" i="12"/>
  <c r="B121" i="12"/>
  <c r="I121" i="12" s="1"/>
  <c r="K121" i="12" s="1"/>
  <c r="G120" i="12"/>
  <c r="F120" i="12"/>
  <c r="E120" i="12"/>
  <c r="H120" i="12" s="1"/>
  <c r="D120" i="12"/>
  <c r="C120" i="12"/>
  <c r="B120" i="12"/>
  <c r="I120" i="12" s="1"/>
  <c r="K120" i="12" s="1"/>
  <c r="G119" i="12"/>
  <c r="F119" i="12"/>
  <c r="E119" i="12"/>
  <c r="H119" i="12" s="1"/>
  <c r="D119" i="12"/>
  <c r="C119" i="12"/>
  <c r="B119" i="12"/>
  <c r="I119" i="12" s="1"/>
  <c r="K119" i="12" s="1"/>
  <c r="G118" i="12"/>
  <c r="F118" i="12"/>
  <c r="E118" i="12"/>
  <c r="H118" i="12" s="1"/>
  <c r="D118" i="12"/>
  <c r="C118" i="12"/>
  <c r="B118" i="12"/>
  <c r="I118" i="12" s="1"/>
  <c r="K118" i="12" s="1"/>
  <c r="G117" i="12"/>
  <c r="F117" i="12"/>
  <c r="E117" i="12"/>
  <c r="H117" i="12" s="1"/>
  <c r="D117" i="12"/>
  <c r="C117" i="12"/>
  <c r="B117" i="12"/>
  <c r="I117" i="12" s="1"/>
  <c r="G116" i="12"/>
  <c r="F116" i="12"/>
  <c r="E116" i="12"/>
  <c r="H116" i="12" s="1"/>
  <c r="D116" i="12"/>
  <c r="C116" i="12"/>
  <c r="B116" i="12"/>
  <c r="I116" i="12" s="1"/>
  <c r="K116" i="12" s="1"/>
  <c r="G115" i="12"/>
  <c r="F115" i="12"/>
  <c r="E115" i="12"/>
  <c r="H115" i="12" s="1"/>
  <c r="D115" i="12"/>
  <c r="C115" i="12"/>
  <c r="B115" i="12"/>
  <c r="I115" i="12" s="1"/>
  <c r="G114" i="12"/>
  <c r="F114" i="12"/>
  <c r="E114" i="12"/>
  <c r="H114" i="12" s="1"/>
  <c r="D114" i="12"/>
  <c r="C114" i="12"/>
  <c r="B114" i="12"/>
  <c r="I114" i="12" s="1"/>
  <c r="G113" i="12"/>
  <c r="F113" i="12"/>
  <c r="E113" i="12"/>
  <c r="H113" i="12" s="1"/>
  <c r="D113" i="12"/>
  <c r="C113" i="12"/>
  <c r="B113" i="12"/>
  <c r="I113" i="12" s="1"/>
  <c r="K113" i="12" s="1"/>
  <c r="G112" i="12"/>
  <c r="F112" i="12"/>
  <c r="E112" i="12"/>
  <c r="H112" i="12" s="1"/>
  <c r="D112" i="12"/>
  <c r="C112" i="12"/>
  <c r="B112" i="12"/>
  <c r="I112" i="12" s="1"/>
  <c r="K112" i="12" s="1"/>
  <c r="G111" i="12"/>
  <c r="F111" i="12"/>
  <c r="E111" i="12"/>
  <c r="H111" i="12" s="1"/>
  <c r="D111" i="12"/>
  <c r="C111" i="12"/>
  <c r="B111" i="12"/>
  <c r="I111" i="12" s="1"/>
  <c r="K111" i="12" s="1"/>
  <c r="G110" i="12"/>
  <c r="F110" i="12"/>
  <c r="E110" i="12"/>
  <c r="H110" i="12" s="1"/>
  <c r="D110" i="12"/>
  <c r="C110" i="12"/>
  <c r="B110" i="12"/>
  <c r="I110" i="12" s="1"/>
  <c r="G109" i="12"/>
  <c r="F109" i="12"/>
  <c r="E109" i="12"/>
  <c r="H109" i="12" s="1"/>
  <c r="D109" i="12"/>
  <c r="C109" i="12"/>
  <c r="B109" i="12"/>
  <c r="I109" i="12" s="1"/>
  <c r="G108" i="12"/>
  <c r="F108" i="12"/>
  <c r="E108" i="12"/>
  <c r="H108" i="12" s="1"/>
  <c r="D108" i="12"/>
  <c r="C108" i="12"/>
  <c r="B108" i="12"/>
  <c r="I108" i="12" s="1"/>
  <c r="K108" i="12" s="1"/>
  <c r="G107" i="12"/>
  <c r="F107" i="12"/>
  <c r="E107" i="12"/>
  <c r="H107" i="12" s="1"/>
  <c r="D107" i="12"/>
  <c r="C107" i="12"/>
  <c r="B107" i="12"/>
  <c r="I107" i="12" s="1"/>
  <c r="G106" i="12"/>
  <c r="F106" i="12"/>
  <c r="E106" i="12"/>
  <c r="H106" i="12" s="1"/>
  <c r="D106" i="12"/>
  <c r="C106" i="12"/>
  <c r="B106" i="12"/>
  <c r="I106" i="12" s="1"/>
  <c r="G105" i="12"/>
  <c r="F105" i="12"/>
  <c r="E105" i="12"/>
  <c r="H105" i="12" s="1"/>
  <c r="D105" i="12"/>
  <c r="C105" i="12"/>
  <c r="B105" i="12"/>
  <c r="I105" i="12" s="1"/>
  <c r="K105" i="12" s="1"/>
  <c r="G104" i="12"/>
  <c r="F104" i="12"/>
  <c r="E104" i="12"/>
  <c r="H104" i="12" s="1"/>
  <c r="D104" i="12"/>
  <c r="C104" i="12"/>
  <c r="B104" i="12"/>
  <c r="I104" i="12" s="1"/>
  <c r="K104" i="12" s="1"/>
  <c r="G103" i="12"/>
  <c r="F103" i="12"/>
  <c r="E103" i="12"/>
  <c r="H103" i="12" s="1"/>
  <c r="D103" i="12"/>
  <c r="C103" i="12"/>
  <c r="B103" i="12"/>
  <c r="I103" i="12" s="1"/>
  <c r="K103" i="12" s="1"/>
  <c r="G102" i="12"/>
  <c r="F102" i="12"/>
  <c r="E102" i="12"/>
  <c r="H102" i="12" s="1"/>
  <c r="D102" i="12"/>
  <c r="C102" i="12"/>
  <c r="B102" i="12"/>
  <c r="I102" i="12" s="1"/>
  <c r="G101" i="12"/>
  <c r="F101" i="12"/>
  <c r="E101" i="12"/>
  <c r="D101" i="12"/>
  <c r="C101" i="12"/>
  <c r="B101" i="12"/>
  <c r="I101" i="12" s="1"/>
  <c r="G100" i="12"/>
  <c r="F100" i="12"/>
  <c r="E100" i="12"/>
  <c r="H100" i="12" s="1"/>
  <c r="D100" i="12"/>
  <c r="C100" i="12"/>
  <c r="B100" i="12"/>
  <c r="I100" i="12" s="1"/>
  <c r="K100" i="12" s="1"/>
  <c r="G99" i="12"/>
  <c r="F99" i="12"/>
  <c r="E99" i="12"/>
  <c r="D99" i="12"/>
  <c r="C99" i="12"/>
  <c r="B99" i="12"/>
  <c r="I99" i="12" s="1"/>
  <c r="G98" i="12"/>
  <c r="F98" i="12"/>
  <c r="E98" i="12"/>
  <c r="H98" i="12" s="1"/>
  <c r="D98" i="12"/>
  <c r="C98" i="12"/>
  <c r="B98" i="12"/>
  <c r="I98" i="12" s="1"/>
  <c r="G97" i="12"/>
  <c r="F97" i="12"/>
  <c r="E97" i="12"/>
  <c r="H97" i="12" s="1"/>
  <c r="D97" i="12"/>
  <c r="C97" i="12"/>
  <c r="B97" i="12"/>
  <c r="I97" i="12" s="1"/>
  <c r="K97" i="12" s="1"/>
  <c r="G96" i="12"/>
  <c r="F96" i="12"/>
  <c r="E96" i="12"/>
  <c r="D96" i="12"/>
  <c r="C96" i="12"/>
  <c r="B96" i="12"/>
  <c r="I96" i="12" s="1"/>
  <c r="K96" i="12" s="1"/>
  <c r="G95" i="12"/>
  <c r="F95" i="12"/>
  <c r="E95" i="12"/>
  <c r="H95" i="12" s="1"/>
  <c r="D95" i="12"/>
  <c r="C95" i="12"/>
  <c r="B95" i="12"/>
  <c r="I95" i="12" s="1"/>
  <c r="K95" i="12" s="1"/>
  <c r="G94" i="12"/>
  <c r="F94" i="12"/>
  <c r="E94" i="12"/>
  <c r="H94" i="12" s="1"/>
  <c r="D94" i="12"/>
  <c r="C94" i="12"/>
  <c r="B94" i="12"/>
  <c r="I94" i="12" s="1"/>
  <c r="K94" i="12" s="1"/>
  <c r="G93" i="12"/>
  <c r="F93" i="12"/>
  <c r="E93" i="12"/>
  <c r="H93" i="12" s="1"/>
  <c r="D93" i="12"/>
  <c r="C93" i="12"/>
  <c r="B93" i="12"/>
  <c r="I93" i="12" s="1"/>
  <c r="G92" i="12"/>
  <c r="F92" i="12"/>
  <c r="E92" i="12"/>
  <c r="H92" i="12" s="1"/>
  <c r="D92" i="12"/>
  <c r="C92" i="12"/>
  <c r="B92" i="12"/>
  <c r="I92" i="12" s="1"/>
  <c r="K92" i="12" s="1"/>
  <c r="G91" i="12"/>
  <c r="F91" i="12"/>
  <c r="E91" i="12"/>
  <c r="H91" i="12" s="1"/>
  <c r="D91" i="12"/>
  <c r="C91" i="12"/>
  <c r="B91" i="12"/>
  <c r="I91" i="12" s="1"/>
  <c r="G90" i="12"/>
  <c r="F90" i="12"/>
  <c r="E90" i="12"/>
  <c r="H90" i="12" s="1"/>
  <c r="D90" i="12"/>
  <c r="C90" i="12"/>
  <c r="B90" i="12"/>
  <c r="I90" i="12" s="1"/>
  <c r="G89" i="12"/>
  <c r="F89" i="12"/>
  <c r="E89" i="12"/>
  <c r="H89" i="12" s="1"/>
  <c r="D89" i="12"/>
  <c r="C89" i="12"/>
  <c r="B89" i="12"/>
  <c r="I89" i="12" s="1"/>
  <c r="K89" i="12" s="1"/>
  <c r="G88" i="12"/>
  <c r="F88" i="12"/>
  <c r="E88" i="12"/>
  <c r="H88" i="12" s="1"/>
  <c r="D88" i="12"/>
  <c r="C88" i="12"/>
  <c r="B88" i="12"/>
  <c r="I88" i="12" s="1"/>
  <c r="K88" i="12" s="1"/>
  <c r="G87" i="12"/>
  <c r="F87" i="12"/>
  <c r="E87" i="12"/>
  <c r="H87" i="12" s="1"/>
  <c r="D87" i="12"/>
  <c r="C87" i="12"/>
  <c r="B87" i="12"/>
  <c r="I87" i="12" s="1"/>
  <c r="K87" i="12" s="1"/>
  <c r="G86" i="12"/>
  <c r="F86" i="12"/>
  <c r="E86" i="12"/>
  <c r="H86" i="12" s="1"/>
  <c r="D86" i="12"/>
  <c r="C86" i="12"/>
  <c r="B86" i="12"/>
  <c r="I86" i="12" s="1"/>
  <c r="G85" i="12"/>
  <c r="F85" i="12"/>
  <c r="E85" i="12"/>
  <c r="H85" i="12" s="1"/>
  <c r="D85" i="12"/>
  <c r="C85" i="12"/>
  <c r="B85" i="12"/>
  <c r="I85" i="12" s="1"/>
  <c r="G84" i="12"/>
  <c r="F84" i="12"/>
  <c r="E84" i="12"/>
  <c r="H84" i="12" s="1"/>
  <c r="D84" i="12"/>
  <c r="C84" i="12"/>
  <c r="B84" i="12"/>
  <c r="I84" i="12" s="1"/>
  <c r="K84" i="12" s="1"/>
  <c r="G83" i="12"/>
  <c r="F83" i="12"/>
  <c r="E83" i="12"/>
  <c r="H83" i="12" s="1"/>
  <c r="D83" i="12"/>
  <c r="C83" i="12"/>
  <c r="B83" i="12"/>
  <c r="I83" i="12" s="1"/>
  <c r="J83" i="12" s="1"/>
  <c r="G82" i="12"/>
  <c r="F82" i="12"/>
  <c r="E82" i="12"/>
  <c r="H82" i="12" s="1"/>
  <c r="D82" i="12"/>
  <c r="C82" i="12"/>
  <c r="B82" i="12"/>
  <c r="I82" i="12" s="1"/>
  <c r="G81" i="12"/>
  <c r="F81" i="12"/>
  <c r="E81" i="12"/>
  <c r="H81" i="12" s="1"/>
  <c r="D81" i="12"/>
  <c r="C81" i="12"/>
  <c r="B81" i="12"/>
  <c r="I81" i="12" s="1"/>
  <c r="K81" i="12" s="1"/>
  <c r="G80" i="12"/>
  <c r="F80" i="12"/>
  <c r="E80" i="12"/>
  <c r="H80" i="12" s="1"/>
  <c r="D80" i="12"/>
  <c r="C80" i="12"/>
  <c r="B80" i="12"/>
  <c r="I80" i="12" s="1"/>
  <c r="K80" i="12" s="1"/>
  <c r="G79" i="12"/>
  <c r="F79" i="12"/>
  <c r="E79" i="12"/>
  <c r="H79" i="12" s="1"/>
  <c r="D79" i="12"/>
  <c r="C79" i="12"/>
  <c r="B79" i="12"/>
  <c r="I79" i="12" s="1"/>
  <c r="K79" i="12" s="1"/>
  <c r="G78" i="12"/>
  <c r="F78" i="12"/>
  <c r="E78" i="12"/>
  <c r="H78" i="12" s="1"/>
  <c r="D78" i="12"/>
  <c r="C78" i="12"/>
  <c r="B78" i="12"/>
  <c r="I78" i="12" s="1"/>
  <c r="K78" i="12" s="1"/>
  <c r="G77" i="12"/>
  <c r="F77" i="12"/>
  <c r="E77" i="12"/>
  <c r="H77" i="12" s="1"/>
  <c r="D77" i="12"/>
  <c r="C77" i="12"/>
  <c r="B77" i="12"/>
  <c r="I77" i="12" s="1"/>
  <c r="G76" i="12"/>
  <c r="F76" i="12"/>
  <c r="E76" i="12"/>
  <c r="H76" i="12" s="1"/>
  <c r="D76" i="12"/>
  <c r="C76" i="12"/>
  <c r="B76" i="12"/>
  <c r="I76" i="12" s="1"/>
  <c r="K76" i="12" s="1"/>
  <c r="G75" i="12"/>
  <c r="F75" i="12"/>
  <c r="E75" i="12"/>
  <c r="H75" i="12" s="1"/>
  <c r="D75" i="12"/>
  <c r="C75" i="12"/>
  <c r="B75" i="12"/>
  <c r="I75" i="12" s="1"/>
  <c r="G74" i="12"/>
  <c r="F74" i="12"/>
  <c r="E74" i="12"/>
  <c r="H74" i="12" s="1"/>
  <c r="D74" i="12"/>
  <c r="C74" i="12"/>
  <c r="B74" i="12"/>
  <c r="I74" i="12" s="1"/>
  <c r="G73" i="12"/>
  <c r="F73" i="12"/>
  <c r="E73" i="12"/>
  <c r="H73" i="12" s="1"/>
  <c r="D73" i="12"/>
  <c r="C73" i="12"/>
  <c r="B73" i="12"/>
  <c r="I73" i="12" s="1"/>
  <c r="K73" i="12" s="1"/>
  <c r="G72" i="12"/>
  <c r="F72" i="12"/>
  <c r="E72" i="12"/>
  <c r="H72" i="12" s="1"/>
  <c r="D72" i="12"/>
  <c r="C72" i="12"/>
  <c r="B72" i="12"/>
  <c r="I72" i="12" s="1"/>
  <c r="K72" i="12" s="1"/>
  <c r="G71" i="12"/>
  <c r="F71" i="12"/>
  <c r="E71" i="12"/>
  <c r="H71" i="12" s="1"/>
  <c r="D71" i="12"/>
  <c r="C71" i="12"/>
  <c r="B71" i="12"/>
  <c r="I71" i="12" s="1"/>
  <c r="K71" i="12" s="1"/>
  <c r="G70" i="12"/>
  <c r="F70" i="12"/>
  <c r="E70" i="12"/>
  <c r="H70" i="12" s="1"/>
  <c r="D70" i="12"/>
  <c r="C70" i="12"/>
  <c r="B70" i="12"/>
  <c r="I70" i="12" s="1"/>
  <c r="G69" i="12"/>
  <c r="F69" i="12"/>
  <c r="E69" i="12"/>
  <c r="H69" i="12" s="1"/>
  <c r="D69" i="12"/>
  <c r="C69" i="12"/>
  <c r="B69" i="12"/>
  <c r="I69" i="12" s="1"/>
  <c r="G68" i="12"/>
  <c r="F68" i="12"/>
  <c r="E68" i="12"/>
  <c r="H68" i="12" s="1"/>
  <c r="D68" i="12"/>
  <c r="C68" i="12"/>
  <c r="B68" i="12"/>
  <c r="I68" i="12" s="1"/>
  <c r="K68" i="12" s="1"/>
  <c r="G67" i="12"/>
  <c r="F67" i="12"/>
  <c r="E67" i="12"/>
  <c r="H67" i="12" s="1"/>
  <c r="D67" i="12"/>
  <c r="C67" i="12"/>
  <c r="B67" i="12"/>
  <c r="I67" i="12" s="1"/>
  <c r="J67" i="12" s="1"/>
  <c r="G66" i="12"/>
  <c r="F66" i="12"/>
  <c r="E66" i="12"/>
  <c r="H66" i="12" s="1"/>
  <c r="D66" i="12"/>
  <c r="C66" i="12"/>
  <c r="B66" i="12"/>
  <c r="I66" i="12" s="1"/>
  <c r="G65" i="12"/>
  <c r="F65" i="12"/>
  <c r="E65" i="12"/>
  <c r="H65" i="12" s="1"/>
  <c r="D65" i="12"/>
  <c r="C65" i="12"/>
  <c r="B65" i="12"/>
  <c r="I65" i="12" s="1"/>
  <c r="K65" i="12" s="1"/>
  <c r="G64" i="12"/>
  <c r="F64" i="12"/>
  <c r="E64" i="12"/>
  <c r="H64" i="12" s="1"/>
  <c r="D64" i="12"/>
  <c r="C64" i="12"/>
  <c r="B64" i="12"/>
  <c r="I64" i="12" s="1"/>
  <c r="K64" i="12" s="1"/>
  <c r="G63" i="12"/>
  <c r="F63" i="12"/>
  <c r="E63" i="12"/>
  <c r="H63" i="12" s="1"/>
  <c r="D63" i="12"/>
  <c r="C63" i="12"/>
  <c r="B63" i="12"/>
  <c r="I63" i="12" s="1"/>
  <c r="K63" i="12" s="1"/>
  <c r="G62" i="12"/>
  <c r="F62" i="12"/>
  <c r="E62" i="12"/>
  <c r="H62" i="12" s="1"/>
  <c r="D62" i="12"/>
  <c r="C62" i="12"/>
  <c r="B62" i="12"/>
  <c r="I62" i="12" s="1"/>
  <c r="G61" i="12"/>
  <c r="F61" i="12"/>
  <c r="E61" i="12"/>
  <c r="H61" i="12" s="1"/>
  <c r="D61" i="12"/>
  <c r="C61" i="12"/>
  <c r="B61" i="12"/>
  <c r="I61" i="12" s="1"/>
  <c r="G60" i="12"/>
  <c r="F60" i="12"/>
  <c r="E60" i="12"/>
  <c r="H60" i="12" s="1"/>
  <c r="D60" i="12"/>
  <c r="C60" i="12"/>
  <c r="B60" i="12"/>
  <c r="I60" i="12" s="1"/>
  <c r="K60" i="12" s="1"/>
  <c r="G59" i="12"/>
  <c r="F59" i="12"/>
  <c r="E59" i="12"/>
  <c r="D59" i="12"/>
  <c r="C59" i="12"/>
  <c r="B59" i="12"/>
  <c r="I59" i="12" s="1"/>
  <c r="G58" i="12"/>
  <c r="F58" i="12"/>
  <c r="E58" i="12"/>
  <c r="H58" i="12" s="1"/>
  <c r="D58" i="12"/>
  <c r="C58" i="12"/>
  <c r="B58" i="12"/>
  <c r="I58" i="12" s="1"/>
  <c r="G57" i="12"/>
  <c r="F57" i="12"/>
  <c r="E57" i="12"/>
  <c r="H57" i="12" s="1"/>
  <c r="D57" i="12"/>
  <c r="C57" i="12"/>
  <c r="B57" i="12"/>
  <c r="I57" i="12" s="1"/>
  <c r="K57" i="12" s="1"/>
  <c r="G56" i="12"/>
  <c r="F56" i="12"/>
  <c r="E56" i="12"/>
  <c r="H56" i="12" s="1"/>
  <c r="D56" i="12"/>
  <c r="C56" i="12"/>
  <c r="B56" i="12"/>
  <c r="I56" i="12" s="1"/>
  <c r="K56" i="12" s="1"/>
  <c r="G55" i="12"/>
  <c r="F55" i="12"/>
  <c r="E55" i="12"/>
  <c r="H55" i="12" s="1"/>
  <c r="D55" i="12"/>
  <c r="C55" i="12"/>
  <c r="B55" i="12"/>
  <c r="I55" i="12" s="1"/>
  <c r="K55" i="12" s="1"/>
  <c r="G54" i="12"/>
  <c r="F54" i="12"/>
  <c r="E54" i="12"/>
  <c r="H54" i="12" s="1"/>
  <c r="D54" i="12"/>
  <c r="C54" i="12"/>
  <c r="B54" i="12"/>
  <c r="I54" i="12" s="1"/>
  <c r="K54" i="12" s="1"/>
  <c r="G53" i="12"/>
  <c r="F53" i="12"/>
  <c r="E53" i="12"/>
  <c r="H53" i="12" s="1"/>
  <c r="D53" i="12"/>
  <c r="C53" i="12"/>
  <c r="B53" i="12"/>
  <c r="I53" i="12" s="1"/>
  <c r="G52" i="12"/>
  <c r="F52" i="12"/>
  <c r="E52" i="12"/>
  <c r="H52" i="12" s="1"/>
  <c r="D52" i="12"/>
  <c r="C52" i="12"/>
  <c r="B52" i="12"/>
  <c r="I52" i="12" s="1"/>
  <c r="K52" i="12" s="1"/>
  <c r="G51" i="12"/>
  <c r="F51" i="12"/>
  <c r="E51" i="12"/>
  <c r="H51" i="12" s="1"/>
  <c r="D51" i="12"/>
  <c r="C51" i="12"/>
  <c r="B51" i="12"/>
  <c r="I51" i="12" s="1"/>
  <c r="G50" i="12"/>
  <c r="F50" i="12"/>
  <c r="E50" i="12"/>
  <c r="D50" i="12"/>
  <c r="C50" i="12"/>
  <c r="B50" i="12"/>
  <c r="I50" i="12" s="1"/>
  <c r="G49" i="12"/>
  <c r="F49" i="12"/>
  <c r="E49" i="12"/>
  <c r="H49" i="12" s="1"/>
  <c r="D49" i="12"/>
  <c r="C49" i="12"/>
  <c r="B49" i="12"/>
  <c r="I49" i="12" s="1"/>
  <c r="K49" i="12" s="1"/>
  <c r="G48" i="12"/>
  <c r="F48" i="12"/>
  <c r="E48" i="12"/>
  <c r="H48" i="12" s="1"/>
  <c r="D48" i="12"/>
  <c r="C48" i="12"/>
  <c r="B48" i="12"/>
  <c r="I48" i="12" s="1"/>
  <c r="K48" i="12" s="1"/>
  <c r="G47" i="12"/>
  <c r="F47" i="12"/>
  <c r="E47" i="12"/>
  <c r="H47" i="12" s="1"/>
  <c r="D47" i="12"/>
  <c r="C47" i="12"/>
  <c r="B47" i="12"/>
  <c r="I47" i="12" s="1"/>
  <c r="K47" i="12" s="1"/>
  <c r="G46" i="12"/>
  <c r="F46" i="12"/>
  <c r="E46" i="12"/>
  <c r="H46" i="12" s="1"/>
  <c r="D46" i="12"/>
  <c r="C46" i="12"/>
  <c r="B46" i="12"/>
  <c r="I46" i="12" s="1"/>
  <c r="G45" i="12"/>
  <c r="F45" i="12"/>
  <c r="E45" i="12"/>
  <c r="D45" i="12"/>
  <c r="C45" i="12"/>
  <c r="B45" i="12"/>
  <c r="I45" i="12" s="1"/>
  <c r="G44" i="12"/>
  <c r="F44" i="12"/>
  <c r="E44" i="12"/>
  <c r="H44" i="12" s="1"/>
  <c r="D44" i="12"/>
  <c r="C44" i="12"/>
  <c r="B44" i="12"/>
  <c r="I44" i="12" s="1"/>
  <c r="K44" i="12" s="1"/>
  <c r="G43" i="12"/>
  <c r="F43" i="12"/>
  <c r="E43" i="12"/>
  <c r="H43" i="12" s="1"/>
  <c r="D43" i="12"/>
  <c r="C43" i="12"/>
  <c r="B43" i="12"/>
  <c r="I43" i="12" s="1"/>
  <c r="G42" i="12"/>
  <c r="F42" i="12"/>
  <c r="E42" i="12"/>
  <c r="H42" i="12" s="1"/>
  <c r="D42" i="12"/>
  <c r="C42" i="12"/>
  <c r="B42" i="12"/>
  <c r="I42" i="12" s="1"/>
  <c r="G41" i="12"/>
  <c r="F41" i="12"/>
  <c r="E41" i="12"/>
  <c r="H41" i="12" s="1"/>
  <c r="D41" i="12"/>
  <c r="C41" i="12"/>
  <c r="B41" i="12"/>
  <c r="I41" i="12" s="1"/>
  <c r="K41" i="12" s="1"/>
  <c r="G40" i="12"/>
  <c r="F40" i="12"/>
  <c r="E40" i="12"/>
  <c r="H40" i="12" s="1"/>
  <c r="D40" i="12"/>
  <c r="C40" i="12"/>
  <c r="B40" i="12"/>
  <c r="I40" i="12" s="1"/>
  <c r="K40" i="12" s="1"/>
  <c r="G39" i="12"/>
  <c r="F39" i="12"/>
  <c r="E39" i="12"/>
  <c r="H39" i="12" s="1"/>
  <c r="D39" i="12"/>
  <c r="C39" i="12"/>
  <c r="B39" i="12"/>
  <c r="I39" i="12" s="1"/>
  <c r="K39" i="12" s="1"/>
  <c r="G38" i="12"/>
  <c r="F38" i="12"/>
  <c r="E38" i="12"/>
  <c r="H38" i="12" s="1"/>
  <c r="D38" i="12"/>
  <c r="C38" i="12"/>
  <c r="B38" i="12"/>
  <c r="I38" i="12" s="1"/>
  <c r="G37" i="12"/>
  <c r="F37" i="12"/>
  <c r="E37" i="12"/>
  <c r="H37" i="12" s="1"/>
  <c r="D37" i="12"/>
  <c r="C37" i="12"/>
  <c r="B37" i="12"/>
  <c r="I37" i="12" s="1"/>
  <c r="G36" i="12"/>
  <c r="F36" i="12"/>
  <c r="E36" i="12"/>
  <c r="H36" i="12" s="1"/>
  <c r="D36" i="12"/>
  <c r="C36" i="12"/>
  <c r="B36" i="12"/>
  <c r="I36" i="12" s="1"/>
  <c r="J36" i="12" s="1"/>
  <c r="G35" i="12"/>
  <c r="F35" i="12"/>
  <c r="E35" i="12"/>
  <c r="D35" i="12"/>
  <c r="C35" i="12"/>
  <c r="B35" i="12"/>
  <c r="I35" i="12" s="1"/>
  <c r="G34" i="12"/>
  <c r="F34" i="12"/>
  <c r="E34" i="12"/>
  <c r="D34" i="12"/>
  <c r="C34" i="12"/>
  <c r="B34" i="12"/>
  <c r="I34" i="12" s="1"/>
  <c r="G33" i="12"/>
  <c r="F33" i="12"/>
  <c r="E33" i="12"/>
  <c r="H33" i="12" s="1"/>
  <c r="D33" i="12"/>
  <c r="C33" i="12"/>
  <c r="B33" i="12"/>
  <c r="I33" i="12" s="1"/>
  <c r="K33" i="12" s="1"/>
  <c r="G32" i="12"/>
  <c r="F32" i="12"/>
  <c r="E32" i="12"/>
  <c r="H32" i="12" s="1"/>
  <c r="D32" i="12"/>
  <c r="C32" i="12"/>
  <c r="B32" i="12"/>
  <c r="I32" i="12" s="1"/>
  <c r="K32" i="12" s="1"/>
  <c r="G31" i="12"/>
  <c r="F31" i="12"/>
  <c r="E31" i="12"/>
  <c r="H31" i="12" s="1"/>
  <c r="D31" i="12"/>
  <c r="C31" i="12"/>
  <c r="B31" i="12"/>
  <c r="I31" i="12" s="1"/>
  <c r="K31" i="12" s="1"/>
  <c r="G30" i="12"/>
  <c r="F30" i="12"/>
  <c r="E30" i="12"/>
  <c r="H30" i="12" s="1"/>
  <c r="D30" i="12"/>
  <c r="C30" i="12"/>
  <c r="B30" i="12"/>
  <c r="I30" i="12" s="1"/>
  <c r="J30" i="12" s="1"/>
  <c r="G29" i="12"/>
  <c r="F29" i="12"/>
  <c r="E29" i="12"/>
  <c r="H29" i="12" s="1"/>
  <c r="D29" i="12"/>
  <c r="C29" i="12"/>
  <c r="B29" i="12"/>
  <c r="I29" i="12" s="1"/>
  <c r="G28" i="12"/>
  <c r="F28" i="12"/>
  <c r="E28" i="12"/>
  <c r="H28" i="12" s="1"/>
  <c r="D28" i="12"/>
  <c r="C28" i="12"/>
  <c r="B28" i="12"/>
  <c r="I28" i="12" s="1"/>
  <c r="G27" i="12"/>
  <c r="F27" i="12"/>
  <c r="E27" i="12"/>
  <c r="H27" i="12" s="1"/>
  <c r="D27" i="12"/>
  <c r="C27" i="12"/>
  <c r="B27" i="12"/>
  <c r="I27" i="12" s="1"/>
  <c r="G26" i="12"/>
  <c r="F26" i="12"/>
  <c r="E26" i="12"/>
  <c r="D26" i="12"/>
  <c r="C26" i="12"/>
  <c r="B26" i="12"/>
  <c r="I26" i="12" s="1"/>
  <c r="G25" i="12"/>
  <c r="F25" i="12"/>
  <c r="E25" i="12"/>
  <c r="D25" i="12"/>
  <c r="C25" i="12"/>
  <c r="B25" i="12"/>
  <c r="I25" i="12" s="1"/>
  <c r="K25" i="12" s="1"/>
  <c r="G24" i="12"/>
  <c r="F24" i="12"/>
  <c r="E24" i="12"/>
  <c r="H24" i="12" s="1"/>
  <c r="D24" i="12"/>
  <c r="C24" i="12"/>
  <c r="B24" i="12"/>
  <c r="I24" i="12" s="1"/>
  <c r="K24" i="12" s="1"/>
  <c r="G23" i="12"/>
  <c r="F23" i="12"/>
  <c r="E23" i="12"/>
  <c r="H23" i="12" s="1"/>
  <c r="D23" i="12"/>
  <c r="C23" i="12"/>
  <c r="B23" i="12"/>
  <c r="I23" i="12" s="1"/>
  <c r="K23" i="12" s="1"/>
  <c r="G22" i="12"/>
  <c r="F22" i="12"/>
  <c r="E22" i="12"/>
  <c r="H22" i="12" s="1"/>
  <c r="D22" i="12"/>
  <c r="C22" i="12"/>
  <c r="B22" i="12"/>
  <c r="I22" i="12" s="1"/>
  <c r="G21" i="12"/>
  <c r="F21" i="12"/>
  <c r="E21" i="12"/>
  <c r="H21" i="12" s="1"/>
  <c r="D21" i="12"/>
  <c r="C21" i="12"/>
  <c r="B21" i="12"/>
  <c r="I21" i="12" s="1"/>
  <c r="G20" i="12"/>
  <c r="F20" i="12"/>
  <c r="E20" i="12"/>
  <c r="H20" i="12" s="1"/>
  <c r="D20" i="12"/>
  <c r="C20" i="12"/>
  <c r="B20" i="12"/>
  <c r="I20" i="12" s="1"/>
  <c r="G19" i="12"/>
  <c r="F19" i="12"/>
  <c r="E19" i="12"/>
  <c r="H19" i="12" s="1"/>
  <c r="D19" i="12"/>
  <c r="C19" i="12"/>
  <c r="B19" i="12"/>
  <c r="I19" i="12" s="1"/>
  <c r="G18" i="12"/>
  <c r="F18" i="12"/>
  <c r="E18" i="12"/>
  <c r="H18" i="12" s="1"/>
  <c r="D18" i="12"/>
  <c r="C18" i="12"/>
  <c r="B18" i="12"/>
  <c r="I18" i="12" s="1"/>
  <c r="G17" i="12"/>
  <c r="F17" i="12"/>
  <c r="E17" i="12"/>
  <c r="H17" i="12" s="1"/>
  <c r="D17" i="12"/>
  <c r="C17" i="12"/>
  <c r="B17" i="12"/>
  <c r="I17" i="12" s="1"/>
  <c r="K17" i="12" s="1"/>
  <c r="G16" i="12"/>
  <c r="F16" i="12"/>
  <c r="E16" i="12"/>
  <c r="D16" i="12"/>
  <c r="C16" i="12"/>
  <c r="B16" i="12"/>
  <c r="I16" i="12" s="1"/>
  <c r="K16" i="12" s="1"/>
  <c r="G15" i="12"/>
  <c r="F15" i="12"/>
  <c r="E15" i="12"/>
  <c r="H15" i="12" s="1"/>
  <c r="D15" i="12"/>
  <c r="C15" i="12"/>
  <c r="B15" i="12"/>
  <c r="I15" i="12" s="1"/>
  <c r="K15" i="12" s="1"/>
  <c r="G14" i="12"/>
  <c r="F14" i="12"/>
  <c r="E14" i="12"/>
  <c r="H14" i="12" s="1"/>
  <c r="D14" i="12"/>
  <c r="C14" i="12"/>
  <c r="B14" i="12"/>
  <c r="I14" i="12" s="1"/>
  <c r="G13" i="12"/>
  <c r="F13" i="12"/>
  <c r="E13" i="12"/>
  <c r="H13" i="12" s="1"/>
  <c r="D13" i="12"/>
  <c r="C13" i="12"/>
  <c r="B13" i="12"/>
  <c r="I13" i="12" s="1"/>
  <c r="G12" i="12"/>
  <c r="F12" i="12"/>
  <c r="E12" i="12"/>
  <c r="H12" i="12" s="1"/>
  <c r="D12" i="12"/>
  <c r="C12" i="12"/>
  <c r="B12" i="12"/>
  <c r="I12" i="12" s="1"/>
  <c r="J12" i="12" s="1"/>
  <c r="G11" i="12"/>
  <c r="F11" i="12"/>
  <c r="E11" i="12"/>
  <c r="H11" i="12" s="1"/>
  <c r="D11" i="12"/>
  <c r="C11" i="12"/>
  <c r="B11" i="12"/>
  <c r="I11" i="12" s="1"/>
  <c r="G10" i="12"/>
  <c r="F10" i="12"/>
  <c r="E10" i="12"/>
  <c r="H10" i="12" s="1"/>
  <c r="D10" i="12"/>
  <c r="C10" i="12"/>
  <c r="B10" i="12"/>
  <c r="I10" i="12" s="1"/>
  <c r="G9" i="12"/>
  <c r="F9" i="12"/>
  <c r="E9" i="12"/>
  <c r="D9" i="12"/>
  <c r="C9" i="12"/>
  <c r="B9" i="12"/>
  <c r="I9" i="12" s="1"/>
  <c r="K9" i="12" s="1"/>
  <c r="G8" i="12"/>
  <c r="F8" i="12"/>
  <c r="E8" i="12"/>
  <c r="H8" i="12" s="1"/>
  <c r="D8" i="12"/>
  <c r="C8" i="12"/>
  <c r="B8" i="12"/>
  <c r="I8" i="12" s="1"/>
  <c r="K8" i="12" s="1"/>
  <c r="G7" i="12"/>
  <c r="F7" i="12"/>
  <c r="E7" i="12"/>
  <c r="D7" i="12"/>
  <c r="C7" i="12"/>
  <c r="B7" i="12"/>
  <c r="I7" i="12" s="1"/>
  <c r="K7" i="12" s="1"/>
  <c r="G6" i="12"/>
  <c r="F6" i="12"/>
  <c r="E6" i="12"/>
  <c r="D6" i="12"/>
  <c r="C6" i="12"/>
  <c r="B6" i="12"/>
  <c r="I6" i="12" s="1"/>
  <c r="G5" i="12"/>
  <c r="F5" i="12"/>
  <c r="E5" i="12"/>
  <c r="D5" i="12"/>
  <c r="C5" i="12"/>
  <c r="B5" i="12"/>
  <c r="I5" i="12" s="1"/>
  <c r="J7" i="11"/>
  <c r="I7" i="11"/>
  <c r="H7" i="11"/>
  <c r="F7" i="11"/>
  <c r="D7" i="11"/>
  <c r="C7" i="11"/>
  <c r="E7" i="11" s="1"/>
  <c r="J6" i="11"/>
  <c r="I6" i="11"/>
  <c r="H6" i="11"/>
  <c r="F6" i="11"/>
  <c r="D6" i="11"/>
  <c r="C6" i="11"/>
  <c r="E6" i="11" s="1"/>
  <c r="J5" i="11"/>
  <c r="I56" i="2" s="1"/>
  <c r="I5" i="11"/>
  <c r="H56" i="2" s="1"/>
  <c r="H5" i="11"/>
  <c r="G56" i="2" s="1"/>
  <c r="F5" i="11"/>
  <c r="E56" i="2" s="1"/>
  <c r="D5" i="11"/>
  <c r="C56" i="2" s="1"/>
  <c r="C5" i="11"/>
  <c r="E5" i="11" s="1"/>
  <c r="D56" i="2" s="1"/>
  <c r="E19" i="10"/>
  <c r="K18" i="10"/>
  <c r="J18" i="10"/>
  <c r="I18" i="10"/>
  <c r="G18" i="10"/>
  <c r="E18" i="10"/>
  <c r="D18" i="10"/>
  <c r="C18" i="10"/>
  <c r="K17" i="10"/>
  <c r="J17" i="10"/>
  <c r="I17" i="10"/>
  <c r="G17" i="10"/>
  <c r="E17" i="10"/>
  <c r="D17" i="10"/>
  <c r="C17" i="10"/>
  <c r="K16" i="10"/>
  <c r="J16" i="10"/>
  <c r="I16" i="10"/>
  <c r="G16" i="10"/>
  <c r="E16" i="10"/>
  <c r="D16" i="10"/>
  <c r="C16" i="10"/>
  <c r="K15" i="10"/>
  <c r="J15" i="10"/>
  <c r="I15" i="10"/>
  <c r="G15" i="10"/>
  <c r="E15" i="10"/>
  <c r="D15" i="10"/>
  <c r="C15" i="10"/>
  <c r="K14" i="10"/>
  <c r="J14" i="10"/>
  <c r="I14" i="10"/>
  <c r="G14" i="10"/>
  <c r="E14" i="10"/>
  <c r="D14" i="10"/>
  <c r="C14" i="10"/>
  <c r="K13" i="10"/>
  <c r="J13" i="10"/>
  <c r="I13" i="10"/>
  <c r="G13" i="10"/>
  <c r="E13" i="10"/>
  <c r="D13" i="10"/>
  <c r="C13" i="10"/>
  <c r="K12" i="10"/>
  <c r="J12" i="10"/>
  <c r="I12" i="10"/>
  <c r="G12" i="10"/>
  <c r="E12" i="10"/>
  <c r="D12" i="10"/>
  <c r="C12" i="10"/>
  <c r="K11" i="10"/>
  <c r="J11" i="10"/>
  <c r="I11" i="10"/>
  <c r="G11" i="10"/>
  <c r="E11" i="10"/>
  <c r="D11" i="10"/>
  <c r="C11" i="10"/>
  <c r="K10" i="10"/>
  <c r="J10" i="10"/>
  <c r="I10" i="10"/>
  <c r="G10" i="10"/>
  <c r="E10" i="10"/>
  <c r="D10" i="10"/>
  <c r="C10" i="10"/>
  <c r="K9" i="10"/>
  <c r="J9" i="10"/>
  <c r="I9" i="10"/>
  <c r="G9" i="10"/>
  <c r="E9" i="10"/>
  <c r="D9" i="10"/>
  <c r="C9" i="10"/>
  <c r="K8" i="10"/>
  <c r="J8" i="10"/>
  <c r="I8" i="10"/>
  <c r="G8" i="10"/>
  <c r="E8" i="10"/>
  <c r="D8" i="10"/>
  <c r="C8" i="10"/>
  <c r="K7" i="10"/>
  <c r="J7" i="10"/>
  <c r="I7" i="10"/>
  <c r="G7" i="10"/>
  <c r="E7" i="10"/>
  <c r="D7" i="10"/>
  <c r="C7" i="10"/>
  <c r="K6" i="10"/>
  <c r="J6" i="10"/>
  <c r="I6" i="10"/>
  <c r="G6" i="10"/>
  <c r="E6" i="10"/>
  <c r="D6" i="10"/>
  <c r="C6" i="10"/>
  <c r="K5" i="10"/>
  <c r="J5" i="10"/>
  <c r="I49" i="2" s="1"/>
  <c r="I5" i="10"/>
  <c r="H49" i="2" s="1"/>
  <c r="G5" i="10"/>
  <c r="E5" i="10"/>
  <c r="D49" i="2" s="1"/>
  <c r="D5" i="10"/>
  <c r="C49" i="2" s="1"/>
  <c r="C5" i="10"/>
  <c r="B49" i="2" s="1"/>
  <c r="G14" i="9"/>
  <c r="E14" i="9"/>
  <c r="D14" i="9"/>
  <c r="H14" i="9" s="1"/>
  <c r="C14" i="9"/>
  <c r="G13" i="9"/>
  <c r="E13" i="9"/>
  <c r="D13" i="9"/>
  <c r="H13" i="9" s="1"/>
  <c r="C13" i="9"/>
  <c r="G12" i="9"/>
  <c r="E12" i="9"/>
  <c r="D12" i="9"/>
  <c r="H12" i="9" s="1"/>
  <c r="C12" i="9"/>
  <c r="G11" i="9"/>
  <c r="E11" i="9"/>
  <c r="D11" i="9"/>
  <c r="H11" i="9" s="1"/>
  <c r="C11" i="9"/>
  <c r="G10" i="9"/>
  <c r="E10" i="9"/>
  <c r="D10" i="9"/>
  <c r="H10" i="9" s="1"/>
  <c r="C10" i="9"/>
  <c r="G9" i="9"/>
  <c r="E9" i="9"/>
  <c r="D9" i="9"/>
  <c r="H9" i="9" s="1"/>
  <c r="C9" i="9"/>
  <c r="G8" i="9"/>
  <c r="E8" i="9"/>
  <c r="D8" i="9"/>
  <c r="H8" i="9" s="1"/>
  <c r="C8" i="9"/>
  <c r="G7" i="9"/>
  <c r="E7" i="9"/>
  <c r="D7" i="9"/>
  <c r="H7" i="9" s="1"/>
  <c r="C7" i="9"/>
  <c r="G6" i="9"/>
  <c r="E6" i="9"/>
  <c r="D6" i="9"/>
  <c r="H6" i="9" s="1"/>
  <c r="C6" i="9"/>
  <c r="G5" i="9"/>
  <c r="E5" i="9"/>
  <c r="D5" i="9"/>
  <c r="H5" i="9" s="1"/>
  <c r="C5" i="9"/>
  <c r="L131" i="4"/>
  <c r="M131" i="4" s="1"/>
  <c r="L130" i="4"/>
  <c r="M130" i="4" s="1"/>
  <c r="N130" i="4" s="1"/>
  <c r="L129" i="4"/>
  <c r="L128" i="4"/>
  <c r="M128" i="4" s="1"/>
  <c r="N128" i="4" s="1"/>
  <c r="L127" i="4"/>
  <c r="L126" i="4"/>
  <c r="M126" i="4" s="1"/>
  <c r="N126" i="4" s="1"/>
  <c r="L125" i="4"/>
  <c r="M125" i="4" s="1"/>
  <c r="N125" i="4" s="1"/>
  <c r="L124" i="4"/>
  <c r="M124" i="4" s="1"/>
  <c r="N124" i="4" s="1"/>
  <c r="L123" i="4"/>
  <c r="M123" i="4" s="1"/>
  <c r="N123" i="4" s="1"/>
  <c r="L122" i="4"/>
  <c r="M122" i="4" s="1"/>
  <c r="N122" i="4" s="1"/>
  <c r="L121" i="4"/>
  <c r="M121" i="4" s="1"/>
  <c r="L120" i="4"/>
  <c r="L119" i="4"/>
  <c r="L118" i="4"/>
  <c r="M118" i="4" s="1"/>
  <c r="L117" i="4"/>
  <c r="M117" i="4" s="1"/>
  <c r="N117" i="4" s="1"/>
  <c r="L116" i="4"/>
  <c r="M116" i="4" s="1"/>
  <c r="L115" i="4"/>
  <c r="M115" i="4" s="1"/>
  <c r="L114" i="4"/>
  <c r="M114" i="4" s="1"/>
  <c r="N114" i="4" s="1"/>
  <c r="L113" i="4"/>
  <c r="L112" i="4"/>
  <c r="M112" i="4" s="1"/>
  <c r="N112" i="4" s="1"/>
  <c r="L111" i="4"/>
  <c r="L110" i="4"/>
  <c r="M110" i="4" s="1"/>
  <c r="N110" i="4" s="1"/>
  <c r="L109" i="4"/>
  <c r="M109" i="4" s="1"/>
  <c r="N109" i="4" s="1"/>
  <c r="L108" i="4"/>
  <c r="M108" i="4" s="1"/>
  <c r="N108" i="4" s="1"/>
  <c r="L107" i="4"/>
  <c r="M107" i="4" s="1"/>
  <c r="N107" i="4" s="1"/>
  <c r="L106" i="4"/>
  <c r="M106" i="4" s="1"/>
  <c r="N106" i="4" s="1"/>
  <c r="L105" i="4"/>
  <c r="M105" i="4" s="1"/>
  <c r="L104" i="4"/>
  <c r="L103" i="4"/>
  <c r="L102" i="4"/>
  <c r="L101" i="4"/>
  <c r="M101" i="4" s="1"/>
  <c r="N101" i="4" s="1"/>
  <c r="L100" i="4"/>
  <c r="M100" i="4" s="1"/>
  <c r="L99" i="4"/>
  <c r="M99" i="4" s="1"/>
  <c r="L98" i="4"/>
  <c r="M98" i="4" s="1"/>
  <c r="N98" i="4" s="1"/>
  <c r="L97" i="4"/>
  <c r="L96" i="4"/>
  <c r="M96" i="4" s="1"/>
  <c r="N96" i="4" s="1"/>
  <c r="L95" i="4"/>
  <c r="L94" i="4"/>
  <c r="M94" i="4" s="1"/>
  <c r="N94" i="4" s="1"/>
  <c r="L93" i="4"/>
  <c r="M93" i="4" s="1"/>
  <c r="N93" i="4" s="1"/>
  <c r="L92" i="4"/>
  <c r="M92" i="4" s="1"/>
  <c r="N92" i="4" s="1"/>
  <c r="L91" i="4"/>
  <c r="M91" i="4" s="1"/>
  <c r="N91" i="4" s="1"/>
  <c r="L90" i="4"/>
  <c r="M90" i="4" s="1"/>
  <c r="N90" i="4" s="1"/>
  <c r="L89" i="4"/>
  <c r="M89" i="4" s="1"/>
  <c r="L88" i="4"/>
  <c r="L87" i="4"/>
  <c r="L86" i="4"/>
  <c r="M86" i="4" s="1"/>
  <c r="L85" i="4"/>
  <c r="M85" i="4" s="1"/>
  <c r="N85" i="4" s="1"/>
  <c r="L84" i="4"/>
  <c r="M84" i="4" s="1"/>
  <c r="L83" i="4"/>
  <c r="M83" i="4" s="1"/>
  <c r="L82" i="4"/>
  <c r="M82" i="4" s="1"/>
  <c r="N82" i="4" s="1"/>
  <c r="L81" i="4"/>
  <c r="L80" i="4"/>
  <c r="M80" i="4" s="1"/>
  <c r="N80" i="4" s="1"/>
  <c r="L79" i="4"/>
  <c r="L78" i="4"/>
  <c r="M78" i="4" s="1"/>
  <c r="N78" i="4" s="1"/>
  <c r="L77" i="4"/>
  <c r="M77" i="4" s="1"/>
  <c r="N77" i="4" s="1"/>
  <c r="L76" i="4"/>
  <c r="M76" i="4" s="1"/>
  <c r="N76" i="4" s="1"/>
  <c r="L75" i="4"/>
  <c r="M75" i="4" s="1"/>
  <c r="N75" i="4" s="1"/>
  <c r="L74" i="4"/>
  <c r="M74" i="4" s="1"/>
  <c r="N74" i="4" s="1"/>
  <c r="L73" i="4"/>
  <c r="M73" i="4" s="1"/>
  <c r="L72" i="4"/>
  <c r="L71" i="4"/>
  <c r="L70" i="4"/>
  <c r="L69" i="4"/>
  <c r="M69" i="4" s="1"/>
  <c r="N69" i="4" s="1"/>
  <c r="L68" i="4"/>
  <c r="M68" i="4" s="1"/>
  <c r="L67" i="4"/>
  <c r="M67" i="4" s="1"/>
  <c r="L66" i="4"/>
  <c r="M66" i="4" s="1"/>
  <c r="N66" i="4" s="1"/>
  <c r="L65" i="4"/>
  <c r="L64" i="4"/>
  <c r="M64" i="4" s="1"/>
  <c r="N64" i="4" s="1"/>
  <c r="L63" i="4"/>
  <c r="L62" i="4"/>
  <c r="M62" i="4" s="1"/>
  <c r="N62" i="4" s="1"/>
  <c r="L61" i="4"/>
  <c r="M61" i="4" s="1"/>
  <c r="N61" i="4" s="1"/>
  <c r="L60" i="4"/>
  <c r="M60" i="4" s="1"/>
  <c r="N60" i="4" s="1"/>
  <c r="L59" i="4"/>
  <c r="M59" i="4" s="1"/>
  <c r="N59" i="4" s="1"/>
  <c r="L58" i="4"/>
  <c r="M58" i="4" s="1"/>
  <c r="N58" i="4" s="1"/>
  <c r="L57" i="4"/>
  <c r="M57" i="4" s="1"/>
  <c r="L56" i="4"/>
  <c r="L55" i="4"/>
  <c r="L54" i="4"/>
  <c r="M54" i="4" s="1"/>
  <c r="L53" i="4"/>
  <c r="M53" i="4" s="1"/>
  <c r="N53" i="4" s="1"/>
  <c r="L52" i="4"/>
  <c r="M52" i="4" s="1"/>
  <c r="L51" i="4"/>
  <c r="M51" i="4" s="1"/>
  <c r="L50" i="4"/>
  <c r="M50" i="4" s="1"/>
  <c r="N50" i="4" s="1"/>
  <c r="L49" i="4"/>
  <c r="L48" i="4"/>
  <c r="M48" i="4" s="1"/>
  <c r="N48" i="4" s="1"/>
  <c r="L47" i="4"/>
  <c r="L46" i="4"/>
  <c r="M46" i="4" s="1"/>
  <c r="N46" i="4" s="1"/>
  <c r="L45" i="4"/>
  <c r="M45" i="4" s="1"/>
  <c r="N45" i="4" s="1"/>
  <c r="L44" i="4"/>
  <c r="M44" i="4" s="1"/>
  <c r="N44" i="4" s="1"/>
  <c r="L43" i="4"/>
  <c r="M43" i="4" s="1"/>
  <c r="N43" i="4" s="1"/>
  <c r="L42" i="4"/>
  <c r="M42" i="4" s="1"/>
  <c r="N42" i="4" s="1"/>
  <c r="L41" i="4"/>
  <c r="M41" i="4" s="1"/>
  <c r="L40" i="4"/>
  <c r="L39" i="4"/>
  <c r="L38" i="4"/>
  <c r="L37" i="4"/>
  <c r="M37" i="4" s="1"/>
  <c r="N37" i="4" s="1"/>
  <c r="L36" i="4"/>
  <c r="M36" i="4" s="1"/>
  <c r="L35" i="4"/>
  <c r="M35" i="4" s="1"/>
  <c r="L34" i="4"/>
  <c r="M34" i="4" s="1"/>
  <c r="N34" i="4" s="1"/>
  <c r="L33" i="4"/>
  <c r="L32" i="4"/>
  <c r="M32" i="4" s="1"/>
  <c r="N32" i="4" s="1"/>
  <c r="L31" i="4"/>
  <c r="L30" i="4"/>
  <c r="M30" i="4" s="1"/>
  <c r="N30" i="4" s="1"/>
  <c r="L29" i="4"/>
  <c r="M29" i="4" s="1"/>
  <c r="N29" i="4" s="1"/>
  <c r="L28" i="4"/>
  <c r="M28" i="4" s="1"/>
  <c r="N28" i="4" s="1"/>
  <c r="L27" i="4"/>
  <c r="M27" i="4" s="1"/>
  <c r="N27" i="4" s="1"/>
  <c r="L26" i="4"/>
  <c r="M26" i="4" s="1"/>
  <c r="N26" i="4" s="1"/>
  <c r="L25" i="4"/>
  <c r="M25" i="4" s="1"/>
  <c r="L24" i="4"/>
  <c r="L23" i="4"/>
  <c r="L22" i="4"/>
  <c r="M22" i="4" s="1"/>
  <c r="L21" i="4"/>
  <c r="M21" i="4" s="1"/>
  <c r="N21" i="4" s="1"/>
  <c r="L20" i="4"/>
  <c r="M20" i="4" s="1"/>
  <c r="L19" i="4"/>
  <c r="M19" i="4" s="1"/>
  <c r="L18" i="4"/>
  <c r="M18" i="4" s="1"/>
  <c r="N18" i="4" s="1"/>
  <c r="L17" i="4"/>
  <c r="L16" i="4"/>
  <c r="M16" i="4" s="1"/>
  <c r="N16" i="4" s="1"/>
  <c r="L15" i="4"/>
  <c r="L14" i="4"/>
  <c r="M14" i="4" s="1"/>
  <c r="N14" i="4" s="1"/>
  <c r="L13" i="4"/>
  <c r="M13" i="4" s="1"/>
  <c r="N13" i="4" s="1"/>
  <c r="L12" i="4"/>
  <c r="M12" i="4" s="1"/>
  <c r="N12" i="4" s="1"/>
  <c r="L11" i="4"/>
  <c r="M11" i="4" s="1"/>
  <c r="N11" i="4" s="1"/>
  <c r="L10" i="4"/>
  <c r="M10" i="4" s="1"/>
  <c r="N10" i="4" s="1"/>
  <c r="L9" i="4"/>
  <c r="M9" i="4" s="1"/>
  <c r="L8" i="4"/>
  <c r="L7" i="4"/>
  <c r="L6" i="4"/>
  <c r="L5" i="4"/>
  <c r="M5" i="4" s="1"/>
  <c r="N5" i="4" s="1"/>
  <c r="L4" i="4"/>
  <c r="M4" i="4" s="1"/>
  <c r="C49" i="3"/>
  <c r="C48" i="3"/>
  <c r="D23" i="3"/>
  <c r="D22" i="3"/>
  <c r="D21" i="3"/>
  <c r="D20" i="3"/>
  <c r="D19" i="3"/>
  <c r="D18" i="3"/>
  <c r="D17" i="3"/>
  <c r="D16" i="3"/>
  <c r="B9" i="3"/>
  <c r="H5" i="3"/>
  <c r="E5" i="3"/>
  <c r="B5" i="3"/>
  <c r="H13" i="2"/>
  <c r="B13" i="2"/>
  <c r="E9" i="2"/>
  <c r="B9" i="2"/>
  <c r="H5" i="2"/>
  <c r="E5" i="2"/>
  <c r="B5" i="2"/>
  <c r="H8" i="10" l="1"/>
  <c r="H7" i="10"/>
  <c r="H10" i="10"/>
  <c r="H9" i="10"/>
  <c r="H12" i="10"/>
  <c r="H13" i="10"/>
  <c r="H6" i="10"/>
  <c r="H15" i="10"/>
  <c r="H18" i="10"/>
  <c r="H17" i="10"/>
  <c r="H59" i="12"/>
  <c r="H16" i="10"/>
  <c r="D41" i="2"/>
  <c r="H9" i="2"/>
  <c r="H14" i="10"/>
  <c r="D40" i="2"/>
  <c r="H5" i="10"/>
  <c r="G49" i="2" s="1"/>
  <c r="D26" i="2"/>
  <c r="D42" i="2"/>
  <c r="D27" i="2"/>
  <c r="D28" i="2"/>
  <c r="D29" i="2"/>
  <c r="D30" i="2"/>
  <c r="D31" i="2"/>
  <c r="D32" i="2"/>
  <c r="D33" i="2"/>
  <c r="H11" i="10"/>
  <c r="D34" i="2"/>
  <c r="D19" i="2"/>
  <c r="D35" i="2"/>
  <c r="D20" i="2"/>
  <c r="D36" i="2"/>
  <c r="D21" i="2"/>
  <c r="D37" i="2"/>
  <c r="D22" i="2"/>
  <c r="D38" i="2"/>
  <c r="D23" i="2"/>
  <c r="D39" i="2"/>
  <c r="D24" i="2"/>
  <c r="D25" i="2"/>
  <c r="H101" i="12"/>
  <c r="H99" i="12"/>
  <c r="J11" i="12"/>
  <c r="K11" i="12"/>
  <c r="J27" i="12"/>
  <c r="K27" i="12"/>
  <c r="J91" i="12"/>
  <c r="K91" i="12"/>
  <c r="K38" i="12"/>
  <c r="J38" i="12"/>
  <c r="J102" i="12"/>
  <c r="K102" i="12"/>
  <c r="J20" i="12"/>
  <c r="K20" i="12"/>
  <c r="K67" i="12"/>
  <c r="H26" i="12"/>
  <c r="J126" i="12"/>
  <c r="I19" i="10"/>
  <c r="K19" i="10"/>
  <c r="B56" i="2"/>
  <c r="H35" i="12"/>
  <c r="G19" i="10"/>
  <c r="C10" i="13"/>
  <c r="J75" i="12"/>
  <c r="K75" i="12"/>
  <c r="J14" i="12"/>
  <c r="K14" i="12"/>
  <c r="K46" i="12"/>
  <c r="J46" i="12"/>
  <c r="J51" i="12"/>
  <c r="K51" i="12"/>
  <c r="K110" i="12"/>
  <c r="J110" i="12"/>
  <c r="J115" i="12"/>
  <c r="K115" i="12"/>
  <c r="J19" i="12"/>
  <c r="K19" i="12"/>
  <c r="K86" i="12"/>
  <c r="J86" i="12"/>
  <c r="J123" i="12"/>
  <c r="K123" i="12"/>
  <c r="J59" i="12"/>
  <c r="K59" i="12"/>
  <c r="J43" i="12"/>
  <c r="K43" i="12"/>
  <c r="K70" i="12"/>
  <c r="J70" i="12"/>
  <c r="J35" i="12"/>
  <c r="K35" i="12"/>
  <c r="K62" i="12"/>
  <c r="J62" i="12"/>
  <c r="J99" i="12"/>
  <c r="K99" i="12"/>
  <c r="J107" i="12"/>
  <c r="K107" i="12"/>
  <c r="J22" i="12"/>
  <c r="K22" i="12"/>
  <c r="J6" i="12"/>
  <c r="K6" i="12"/>
  <c r="J28" i="12"/>
  <c r="K28" i="12"/>
  <c r="J131" i="12"/>
  <c r="K131" i="12"/>
  <c r="N4" i="4"/>
  <c r="N36" i="4"/>
  <c r="N68" i="4"/>
  <c r="N100" i="4"/>
  <c r="H7" i="12"/>
  <c r="H16" i="12"/>
  <c r="H25" i="12"/>
  <c r="H34" i="12"/>
  <c r="H45" i="12"/>
  <c r="H5" i="12"/>
  <c r="K36" i="12"/>
  <c r="J78" i="12"/>
  <c r="H96" i="12"/>
  <c r="M6" i="4"/>
  <c r="N6" i="4" s="1"/>
  <c r="M38" i="4"/>
  <c r="N38" i="4" s="1"/>
  <c r="M70" i="4"/>
  <c r="N70" i="4" s="1"/>
  <c r="M102" i="4"/>
  <c r="N102" i="4" s="1"/>
  <c r="H50" i="12"/>
  <c r="J54" i="12"/>
  <c r="J118" i="12"/>
  <c r="E9" i="3"/>
  <c r="J94" i="12"/>
  <c r="F49" i="2"/>
  <c r="M8" i="4"/>
  <c r="N8" i="4" s="1"/>
  <c r="M40" i="4"/>
  <c r="N40" i="4" s="1"/>
  <c r="M72" i="4"/>
  <c r="N72" i="4" s="1"/>
  <c r="M104" i="4"/>
  <c r="N104" i="4" s="1"/>
  <c r="K12" i="12"/>
  <c r="K30" i="12"/>
  <c r="K83" i="12"/>
  <c r="N20" i="4"/>
  <c r="N52" i="4"/>
  <c r="N84" i="4"/>
  <c r="N116" i="4"/>
  <c r="H6" i="12"/>
  <c r="C19" i="10"/>
  <c r="D19" i="10"/>
  <c r="J49" i="2"/>
  <c r="N22" i="4"/>
  <c r="N54" i="4"/>
  <c r="N86" i="4"/>
  <c r="N118" i="4"/>
  <c r="C12" i="13"/>
  <c r="H9" i="12"/>
  <c r="M24" i="4"/>
  <c r="N24" i="4" s="1"/>
  <c r="M56" i="4"/>
  <c r="N56" i="4" s="1"/>
  <c r="M88" i="4"/>
  <c r="N88" i="4" s="1"/>
  <c r="M120" i="4"/>
  <c r="N120" i="4" s="1"/>
  <c r="J19" i="10"/>
  <c r="K122" i="12"/>
  <c r="J122" i="12"/>
  <c r="K5" i="12"/>
  <c r="J5" i="12"/>
  <c r="K61" i="12"/>
  <c r="J61" i="12"/>
  <c r="K10" i="12"/>
  <c r="J10" i="12"/>
  <c r="K125" i="12"/>
  <c r="J125" i="12"/>
  <c r="K127" i="12"/>
  <c r="J127" i="12"/>
  <c r="K101" i="12"/>
  <c r="J101" i="12"/>
  <c r="K114" i="12"/>
  <c r="J114" i="12"/>
  <c r="K90" i="12"/>
  <c r="J90" i="12"/>
  <c r="K26" i="12"/>
  <c r="J26" i="12"/>
  <c r="K37" i="12"/>
  <c r="J37" i="12"/>
  <c r="K66" i="12"/>
  <c r="J66" i="12"/>
  <c r="K77" i="12"/>
  <c r="J77" i="12"/>
  <c r="K132" i="12"/>
  <c r="J132" i="12"/>
  <c r="K21" i="12"/>
  <c r="J21" i="12"/>
  <c r="K53" i="12"/>
  <c r="J53" i="12"/>
  <c r="K117" i="12"/>
  <c r="J117" i="12"/>
  <c r="K130" i="12"/>
  <c r="J130" i="12"/>
  <c r="K42" i="12"/>
  <c r="J42" i="12"/>
  <c r="K106" i="12"/>
  <c r="J106" i="12"/>
  <c r="K13" i="12"/>
  <c r="J13" i="12"/>
  <c r="K50" i="12"/>
  <c r="J50" i="12"/>
  <c r="K82" i="12"/>
  <c r="J82" i="12"/>
  <c r="K93" i="12"/>
  <c r="J93" i="12"/>
  <c r="K29" i="12"/>
  <c r="J29" i="12"/>
  <c r="K18" i="12"/>
  <c r="J18" i="12"/>
  <c r="K58" i="12"/>
  <c r="J58" i="12"/>
  <c r="K69" i="12"/>
  <c r="J69" i="12"/>
  <c r="K34" i="12"/>
  <c r="J34" i="12"/>
  <c r="K45" i="12"/>
  <c r="J45" i="12"/>
  <c r="K98" i="12"/>
  <c r="J98" i="12"/>
  <c r="K109" i="12"/>
  <c r="J109" i="12"/>
  <c r="K74" i="12"/>
  <c r="J74" i="12"/>
  <c r="K85" i="12"/>
  <c r="J85" i="12"/>
  <c r="J8" i="12"/>
  <c r="J16" i="12"/>
  <c r="J24" i="12"/>
  <c r="J32" i="12"/>
  <c r="J40" i="12"/>
  <c r="J48" i="12"/>
  <c r="J56" i="12"/>
  <c r="J64" i="12"/>
  <c r="J72" i="12"/>
  <c r="J80" i="12"/>
  <c r="J88" i="12"/>
  <c r="J96" i="12"/>
  <c r="J104" i="12"/>
  <c r="J112" i="12"/>
  <c r="J120" i="12"/>
  <c r="J128" i="12"/>
  <c r="M15" i="4"/>
  <c r="N15" i="4" s="1"/>
  <c r="M31" i="4"/>
  <c r="N31" i="4" s="1"/>
  <c r="M47" i="4"/>
  <c r="N47" i="4" s="1"/>
  <c r="F9" i="10" s="1"/>
  <c r="M63" i="4"/>
  <c r="N63" i="4" s="1"/>
  <c r="M79" i="4"/>
  <c r="N79" i="4" s="1"/>
  <c r="M95" i="4"/>
  <c r="N95" i="4" s="1"/>
  <c r="M111" i="4"/>
  <c r="N111" i="4" s="1"/>
  <c r="F18" i="10" s="1"/>
  <c r="M127" i="4"/>
  <c r="N127" i="4" s="1"/>
  <c r="N9" i="4"/>
  <c r="N25" i="4"/>
  <c r="N41" i="4"/>
  <c r="N57" i="4"/>
  <c r="N73" i="4"/>
  <c r="F17" i="10" s="1"/>
  <c r="N89" i="4"/>
  <c r="N105" i="4"/>
  <c r="N121" i="4"/>
  <c r="N19" i="4"/>
  <c r="N35" i="4"/>
  <c r="N51" i="4"/>
  <c r="N67" i="4"/>
  <c r="N83" i="4"/>
  <c r="N99" i="4"/>
  <c r="N115" i="4"/>
  <c r="N131" i="4"/>
  <c r="H9" i="3"/>
  <c r="J7" i="12"/>
  <c r="J15" i="12"/>
  <c r="J23" i="12"/>
  <c r="J31" i="12"/>
  <c r="J39" i="12"/>
  <c r="J47" i="12"/>
  <c r="J55" i="12"/>
  <c r="J63" i="12"/>
  <c r="J71" i="12"/>
  <c r="J79" i="12"/>
  <c r="J87" i="12"/>
  <c r="J95" i="12"/>
  <c r="J103" i="12"/>
  <c r="J111" i="12"/>
  <c r="J119" i="12"/>
  <c r="M17" i="4"/>
  <c r="N17" i="4" s="1"/>
  <c r="M33" i="4"/>
  <c r="N33" i="4" s="1"/>
  <c r="M49" i="4"/>
  <c r="N49" i="4" s="1"/>
  <c r="M65" i="4"/>
  <c r="N65" i="4" s="1"/>
  <c r="M81" i="4"/>
  <c r="N81" i="4" s="1"/>
  <c r="M97" i="4"/>
  <c r="N97" i="4" s="1"/>
  <c r="M113" i="4"/>
  <c r="N113" i="4" s="1"/>
  <c r="M129" i="4"/>
  <c r="N129" i="4" s="1"/>
  <c r="J44" i="12"/>
  <c r="J52" i="12"/>
  <c r="J60" i="12"/>
  <c r="J68" i="12"/>
  <c r="J76" i="12"/>
  <c r="J84" i="12"/>
  <c r="J92" i="12"/>
  <c r="J100" i="12"/>
  <c r="J108" i="12"/>
  <c r="J116" i="12"/>
  <c r="J124" i="12"/>
  <c r="M7" i="4"/>
  <c r="N7" i="4" s="1"/>
  <c r="M23" i="4"/>
  <c r="N23" i="4" s="1"/>
  <c r="M39" i="4"/>
  <c r="N39" i="4" s="1"/>
  <c r="M55" i="4"/>
  <c r="N55" i="4" s="1"/>
  <c r="M71" i="4"/>
  <c r="N71" i="4" s="1"/>
  <c r="M87" i="4"/>
  <c r="N87" i="4" s="1"/>
  <c r="M103" i="4"/>
  <c r="N103" i="4" s="1"/>
  <c r="M119" i="4"/>
  <c r="N119" i="4" s="1"/>
  <c r="J9" i="12"/>
  <c r="J17" i="12"/>
  <c r="J25" i="12"/>
  <c r="J33" i="12"/>
  <c r="J41" i="12"/>
  <c r="J49" i="12"/>
  <c r="J57" i="12"/>
  <c r="J65" i="12"/>
  <c r="J73" i="12"/>
  <c r="J81" i="12"/>
  <c r="J89" i="12"/>
  <c r="J97" i="12"/>
  <c r="J105" i="12"/>
  <c r="J113" i="12"/>
  <c r="J121" i="12"/>
  <c r="J129" i="12"/>
  <c r="F8" i="10" l="1"/>
  <c r="E13" i="2"/>
  <c r="F6" i="10"/>
  <c r="F7" i="10"/>
  <c r="F10" i="10"/>
  <c r="F5" i="9"/>
  <c r="F10" i="9"/>
  <c r="F11" i="9"/>
  <c r="F6" i="9"/>
  <c r="F12" i="9"/>
  <c r="F11" i="10"/>
  <c r="F13" i="9"/>
  <c r="F7" i="9"/>
  <c r="F19" i="10"/>
  <c r="F9" i="9"/>
  <c r="G5" i="11"/>
  <c r="F56" i="2" s="1"/>
  <c r="F14" i="9"/>
  <c r="F8" i="9"/>
  <c r="F16" i="10"/>
  <c r="F5" i="10"/>
  <c r="E49" i="2" s="1"/>
  <c r="F13" i="10"/>
  <c r="G6" i="11"/>
  <c r="F14" i="10"/>
  <c r="F12" i="10"/>
  <c r="F15" i="10"/>
  <c r="G7" i="11"/>
</calcChain>
</file>

<file path=xl/sharedStrings.xml><?xml version="1.0" encoding="utf-8"?>
<sst xmlns="http://schemas.openxmlformats.org/spreadsheetml/2006/main" count="57600" uniqueCount="4704">
  <si>
    <t>Market Stall Management System — Artisanal &amp; Bulk Goods</t>
  </si>
  <si>
    <t>Catalog, supply chain, inventory and 2-year purchase/sell-through analysis</t>
  </si>
  <si>
    <t>About this portfolio project</t>
  </si>
  <si>
    <t>This workbook is a portfolio piece. The original project was built in Spanish for a real family market-stall ("feria") business; this English version is a full adaptation and translation of that work.</t>
  </si>
  <si>
    <t>IMPORTANT — all supplier names, contact details and locations are FICTITIOUS, and all monetary amounts are APPROXIMATE. Prices are grounded in real reference ranges from Chilean fairs and wholesale suppliers (2025-2026), but they are illustrative, not actual quotes. Town/region names are real (to keep the geography plausible) but the businesses located there are invented.</t>
  </si>
  <si>
    <t>Currency: amounts are shown in both CLP (Chilean peso) and USD. Conversion uses 1 USD = 935 CLP (observed rate, 21 Jul 2026). Consumer sale prices are rounded to whole or half units (in CLP, to the nearest 500) to match how prices are actually quoted at a stall.</t>
  </si>
  <si>
    <t>How the workbook is organized</t>
  </si>
  <si>
    <t>1. Products</t>
  </si>
  <si>
    <t>Master catalog (128 products): sale price in CLP and USD, unit, whether the price is by weight (kg) or by unit/package, current stock (High/Medium/Low), essential flag, peak season, and the auto-filled cost &amp; margin pulled from the primary supplier.</t>
  </si>
  <si>
    <t>2. Suppliers</t>
  </si>
  <si>
    <t>The 22 suppliers, each with contact details and whether they deliver or you must pick up.</t>
  </si>
  <si>
    <t>3. Supply_Links</t>
  </si>
  <si>
    <t>The heart of the supply-chain advice: every product is linked to a PRIMARY and a BACKUP supplier, each with its own purchase price and lead time — so if one supplier fails, the fallback is already documented.</t>
  </si>
  <si>
    <t>4. Purchases</t>
  </si>
  <si>
    <t>TWO YEARS of purchase batches (Jul 2023 - Jun 2025). Each row is one batch bought from a supplier: quantity (in kg / jars / bags / packs), purchase date, and expiry date (concrete when the shelf life is well-defined, estimated for variable perishables like olives and mote).</t>
  </si>
  <si>
    <t>5. Batch_Outcomes</t>
  </si>
  <si>
    <t>How each batch ended, keyed by BatchID: whether it sold out completely, or lost part of the product to spoilage/expiry (with the wasted %). This is what turns purchasing into a sales &amp; waste analysis without needing to record every single over-the-counter sale.</t>
  </si>
  <si>
    <t>6. Supplier_Scorecard</t>
  </si>
  <si>
    <t>Supply-chain view per supplier: how many products (incl. essential) depend on each, average lead time and margin, and a dependency-risk flag.</t>
  </si>
  <si>
    <t>7. Category_Summary</t>
  </si>
  <si>
    <t>Pivot-style summary by category: product counts, average price/margin, and stock split.</t>
  </si>
  <si>
    <t>8. Season_Demand</t>
  </si>
  <si>
    <t>Pivot-style summary by peak season, to prepare stock before each high-demand window.</t>
  </si>
  <si>
    <t>9. Restock_Alerts</t>
  </si>
  <si>
    <t>Reposition traffic-light: essential products at Low/Medium stock, with the primary supplier's contact to reorder fast.</t>
  </si>
  <si>
    <t>10. Dashboard</t>
  </si>
  <si>
    <t>Headline KPIs, a 2-year sales &amp; waste trend, and interactive panels (pick a category or season from a dropdown and the figures recalculate).</t>
  </si>
  <si>
    <t>11. Supply_Dashboard</t>
  </si>
  <si>
    <t>Supply-chain dashboard: supplier comparison and a quick supplier lookup card.</t>
  </si>
  <si>
    <t>Why is there no line-by-line sales log?</t>
  </si>
  <si>
    <t>At a fair, sales are fast and by the piece (weighing and charging on the spot), so recording every individual sale is not realistic. Instead, this model measures sales through SUPPLY: each batch bought is later closed as "sold out" or "partial loss (x%)". That gives revenue, gross profit and waste per batch, per product and per category over two years — the actionable numbers — without an unmaintainable sales log.</t>
  </si>
  <si>
    <t>Pivot tables &amp; interactive panels</t>
  </si>
  <si>
    <t>Products, Suppliers, Supply_Links, Purchases and Batch_Outcomes are Excel Tables (with autofilter), so you can drop in your own PivotTable in one click (Insert &gt; PivotTable). The Dashboard's yellow dropdown cells recalculate the panels below them automatically — no setup needed.</t>
  </si>
  <si>
    <t>Color code</t>
  </si>
  <si>
    <t>Blue text = a value you can edit freely (price, stock, contact, etc.).</t>
  </si>
  <si>
    <t>Black / green text = a formula or automatic calculation; don't overwrite it.</t>
  </si>
  <si>
    <t>Green / Yellow / Red on Stock = High / Medium / Low.</t>
  </si>
  <si>
    <t>Dashboard — Market Stall</t>
  </si>
  <si>
    <t>Total Products</t>
  </si>
  <si>
    <t>Essential Products</t>
  </si>
  <si>
    <t># Suppliers</t>
  </si>
  <si>
    <t>Urgent Stock Alerts</t>
  </si>
  <si>
    <t>Batches (2 years)</t>
  </si>
  <si>
    <t>Month</t>
  </si>
  <si>
    <t>Revenue (USD)</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</si>
  <si>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</si>
  <si>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</si>
  <si>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</si>
  <si>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</si>
  <si>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</si>
  <si>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</si>
  <si>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</si>
  <si>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</si>
  <si>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</si>
  <si>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</si>
  <si>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</si>
  <si>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</si>
  <si>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</si>
  <si>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</si>
  <si>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</si>
  <si>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</si>
  <si>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</si>
  <si>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</si>
  <si>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</si>
  <si>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</si>
  <si>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</si>
  <si>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</si>
  <si>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</si>
  <si>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</si>
  <si>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Quick Lookup — by Category</t>
  </si>
  <si>
    <t>Pick a category:</t>
  </si>
  <si>
    <t>Candy</t>
  </si>
  <si>
    <t># Products</t>
  </si>
  <si>
    <t># Essential</t>
  </si>
  <si>
    <t>Avg Price (CLP)</t>
  </si>
  <si>
    <t>Avg Margin %</t>
  </si>
  <si>
    <t>2Y Revenue (CLP)</t>
  </si>
  <si>
    <t>2Y Waste %</t>
  </si>
  <si>
    <t>Stk High</t>
  </si>
  <si>
    <t>Stk Med</t>
  </si>
  <si>
    <t>Stk Low</t>
  </si>
  <si>
    <t>Quick Lookup — by Season</t>
  </si>
  <si>
    <t>Pick a season:</t>
  </si>
  <si>
    <t>Spring-Summer</t>
  </si>
  <si>
    <t>% of Catalog</t>
  </si>
  <si>
    <t>Supply Chain Dashboard</t>
  </si>
  <si>
    <t>Supplier comparison, dependency risk and a quick supplier lookup card</t>
  </si>
  <si>
    <t>% Links w/ Delivery</t>
  </si>
  <si>
    <t>Avg Lead Time (days)</t>
  </si>
  <si>
    <t>Backup Coverage</t>
  </si>
  <si>
    <t>High-Dependency Suppliers</t>
  </si>
  <si>
    <t>Fastest Supplier</t>
  </si>
  <si>
    <t>Supplier Lookup — contact card</t>
  </si>
  <si>
    <t>Pick a supplier:</t>
  </si>
  <si>
    <t>El Olivar Olives Ltd.</t>
  </si>
  <si>
    <t>Address</t>
  </si>
  <si>
    <t>Phone</t>
  </si>
  <si>
    <t>Email</t>
  </si>
  <si>
    <t>Delivery?</t>
  </si>
  <si>
    <t># Products supplied (any role)</t>
  </si>
  <si>
    <t># as Primary</t>
  </si>
  <si>
    <t># as Backup</t>
  </si>
  <si>
    <t>Mode</t>
  </si>
  <si>
    <t># Links</t>
  </si>
  <si>
    <t>Delivery</t>
  </si>
  <si>
    <t>Pickup</t>
  </si>
  <si>
    <t>Product Catalog</t>
  </si>
  <si>
    <t>ID</t>
  </si>
  <si>
    <t>Product</t>
  </si>
  <si>
    <t>Category</t>
  </si>
  <si>
    <t>Sale Unit</t>
  </si>
  <si>
    <t>Price Type</t>
  </si>
  <si>
    <t>Essential</t>
  </si>
  <si>
    <t>Peak Season</t>
  </si>
  <si>
    <t>Current Stock</t>
  </si>
  <si>
    <t>Sale Price (CLP)</t>
  </si>
  <si>
    <t>Sale Price (USD)</t>
  </si>
  <si>
    <t>Cost (CLP)</t>
  </si>
  <si>
    <t>Margin (CLP)</t>
  </si>
  <si>
    <t>Margin (%)</t>
  </si>
  <si>
    <t>P001</t>
  </si>
  <si>
    <t>Olives 120/140 (extra large), brined</t>
  </si>
  <si>
    <t>Olives</t>
  </si>
  <si>
    <t>kg</t>
  </si>
  <si>
    <t>By Weight (kg)</t>
  </si>
  <si>
    <t>Yes</t>
  </si>
  <si>
    <t>High</t>
  </si>
  <si>
    <t>P002</t>
  </si>
  <si>
    <t>Olives 140/160 (large), brined</t>
  </si>
  <si>
    <t>Low</t>
  </si>
  <si>
    <t>P003</t>
  </si>
  <si>
    <t>Olives 160/180, brined</t>
  </si>
  <si>
    <t>Medium</t>
  </si>
  <si>
    <t>P004</t>
  </si>
  <si>
    <t>Olives 180/200, brined</t>
  </si>
  <si>
    <t>No</t>
  </si>
  <si>
    <t>P005</t>
  </si>
  <si>
    <t>Olives 200/220, brined</t>
  </si>
  <si>
    <t>P006</t>
  </si>
  <si>
    <t>Olives 220/240, brined</t>
  </si>
  <si>
    <t>P007</t>
  </si>
  <si>
    <t>Olives 240/260 (small), brined</t>
  </si>
  <si>
    <t>P008</t>
  </si>
  <si>
    <t>Pitted olives</t>
  </si>
  <si>
    <t>P009</t>
  </si>
  <si>
    <t>Sliced olives (for salads)</t>
  </si>
  <si>
    <t>P010</t>
  </si>
  <si>
    <t>Cracked green olives with garlic</t>
  </si>
  <si>
    <t>P011</t>
  </si>
  <si>
    <t>Black olive pate, jar 250g</t>
  </si>
  <si>
    <t>jar 250g</t>
  </si>
  <si>
    <t>By Unit/Package</t>
  </si>
  <si>
    <t>All year</t>
  </si>
  <si>
    <t>P012</t>
  </si>
  <si>
    <t>Cooked mote (hominy wheat)</t>
  </si>
  <si>
    <t>Grains</t>
  </si>
  <si>
    <t>P013</t>
  </si>
  <si>
    <t>Dry mote (raw)</t>
  </si>
  <si>
    <t>P014</t>
  </si>
  <si>
    <t>Premium pearled mote</t>
  </si>
  <si>
    <t>P015</t>
  </si>
  <si>
    <t>Pearl barley</t>
  </si>
  <si>
    <t>P016</t>
  </si>
  <si>
    <t>Mixed pickles, jar 500g</t>
  </si>
  <si>
    <t>Pickles</t>
  </si>
  <si>
    <t>jar 500g</t>
  </si>
  <si>
    <t>P017</t>
  </si>
  <si>
    <t>Pickled onions, jar 500g</t>
  </si>
  <si>
    <t>P018</t>
  </si>
  <si>
    <t>Pickled cauliflower, jar 500g</t>
  </si>
  <si>
    <t>P019</t>
  </si>
  <si>
    <t>Pickled gherkins, jar 500g</t>
  </si>
  <si>
    <t>P020</t>
  </si>
  <si>
    <t>Pickled jalapeños, jar 500g</t>
  </si>
  <si>
    <t>P021</t>
  </si>
  <si>
    <t>Ground golden chili (aji de color), bag 100g</t>
  </si>
  <si>
    <t>Chili</t>
  </si>
  <si>
    <t>bag 100g</t>
  </si>
  <si>
    <t>P022</t>
  </si>
  <si>
    <t>Bottled chili sauce, bottle 200ml</t>
  </si>
  <si>
    <t>bottle 200ml</t>
  </si>
  <si>
    <t>P023</t>
  </si>
  <si>
    <t>Chili paste, bag 250g</t>
  </si>
  <si>
    <t>bag 250g</t>
  </si>
  <si>
    <t>P024</t>
  </si>
  <si>
    <t>Chili paste, bottle 200ml</t>
  </si>
  <si>
    <t>P025</t>
  </si>
  <si>
    <t>Sliced green chili, bag 200g</t>
  </si>
  <si>
    <t>bag 200g</t>
  </si>
  <si>
    <t>Fall-Winter</t>
  </si>
  <si>
    <t>P026</t>
  </si>
  <si>
    <t>Dried cacho de cabra chili, bag 50g</t>
  </si>
  <si>
    <t>bag 50g</t>
  </si>
  <si>
    <t>P027</t>
  </si>
  <si>
    <t>Ground panca chili, bag 100g</t>
  </si>
  <si>
    <t>P028</t>
  </si>
  <si>
    <t>Merken (smoked chili), bag 100g</t>
  </si>
  <si>
    <t>P029</t>
  </si>
  <si>
    <t>Whole dried red chili, bag 100g</t>
  </si>
  <si>
    <t>P030</t>
  </si>
  <si>
    <t>All-purpose seasoning, bag 100g</t>
  </si>
  <si>
    <t>Seasonings</t>
  </si>
  <si>
    <t>P031</t>
  </si>
  <si>
    <t>Ground cumin, bag 100g</t>
  </si>
  <si>
    <t>P032</t>
  </si>
  <si>
    <t>Oregano, bag 50g</t>
  </si>
  <si>
    <t>P033</t>
  </si>
  <si>
    <t>Ground pepper, bag 100g</t>
  </si>
  <si>
    <t>P034</t>
  </si>
  <si>
    <t>Bay leaves, bag 50g</t>
  </si>
  <si>
    <t>P035</t>
  </si>
  <si>
    <t>Paprika, bag 100g</t>
  </si>
  <si>
    <t>P036</t>
  </si>
  <si>
    <t>Garlic powder, bag 100g</t>
  </si>
  <si>
    <t>P037</t>
  </si>
  <si>
    <t>Curry powder, bag 100g</t>
  </si>
  <si>
    <t>P038</t>
  </si>
  <si>
    <t>Ground cinnamon, bag 100g</t>
  </si>
  <si>
    <t>P039</t>
  </si>
  <si>
    <t>Ground turmeric, bag 100g</t>
  </si>
  <si>
    <t>P040</t>
  </si>
  <si>
    <t>Herbs de Provence mix, bag 50g</t>
  </si>
  <si>
    <t>P041</t>
  </si>
  <si>
    <t>Multiflora honey, bottle 500g</t>
  </si>
  <si>
    <t>Honey</t>
  </si>
  <si>
    <t>bottle 500g</t>
  </si>
  <si>
    <t>P042</t>
  </si>
  <si>
    <t>Ulmo honey, bottle 500g</t>
  </si>
  <si>
    <t>P043</t>
  </si>
  <si>
    <t>Quillay honey, bottle 500g</t>
  </si>
  <si>
    <t>P044</t>
  </si>
  <si>
    <t>Organic wildflower honey, bottle 500g</t>
  </si>
  <si>
    <t>P045</t>
  </si>
  <si>
    <t>Honeycomb, box 400g</t>
  </si>
  <si>
    <t>box 400g</t>
  </si>
  <si>
    <t>P046</t>
  </si>
  <si>
    <t>Roasted salted peanuts</t>
  </si>
  <si>
    <t>Peanuts</t>
  </si>
  <si>
    <t>P047</t>
  </si>
  <si>
    <t>Roasted unsalted peanuts</t>
  </si>
  <si>
    <t>P048</t>
  </si>
  <si>
    <t>Fried peanuts with salt</t>
  </si>
  <si>
    <t>P049</t>
  </si>
  <si>
    <t>Japanese peanuts</t>
  </si>
  <si>
    <t>P050</t>
  </si>
  <si>
    <t>Candied peanuts (natural)</t>
  </si>
  <si>
    <t>P051</t>
  </si>
  <si>
    <t>Chocolate-coated peanuts</t>
  </si>
  <si>
    <t>P052</t>
  </si>
  <si>
    <t>Peanuts with merken</t>
  </si>
  <si>
    <t>P053</t>
  </si>
  <si>
    <t>Honey-glazed peanuts</t>
  </si>
  <si>
    <t>P054</t>
  </si>
  <si>
    <t>Salted peanuts in shell</t>
  </si>
  <si>
    <t>P055</t>
  </si>
  <si>
    <t>Walnuts (shelled)</t>
  </si>
  <si>
    <t>Nuts</t>
  </si>
  <si>
    <t>P056</t>
  </si>
  <si>
    <t>Premium light-half walnuts</t>
  </si>
  <si>
    <t>P057</t>
  </si>
  <si>
    <t>Walnuts in shell</t>
  </si>
  <si>
    <t>P058</t>
  </si>
  <si>
    <t>Almonds (shelled)</t>
  </si>
  <si>
    <t>P059</t>
  </si>
  <si>
    <t>Sliced almonds</t>
  </si>
  <si>
    <t>P060</t>
  </si>
  <si>
    <t>Roasted salted almonds</t>
  </si>
  <si>
    <t>P061</t>
  </si>
  <si>
    <t>Hazelnuts</t>
  </si>
  <si>
    <t>P062</t>
  </si>
  <si>
    <t>European hazelnuts (premium)</t>
  </si>
  <si>
    <t>P063</t>
  </si>
  <si>
    <t>Cashews (salted)</t>
  </si>
  <si>
    <t>P064</t>
  </si>
  <si>
    <t>Cashews (unsalted)</t>
  </si>
  <si>
    <t>P065</t>
  </si>
  <si>
    <t>Pistachios (roasted, salted)</t>
  </si>
  <si>
    <t>P066</t>
  </si>
  <si>
    <t>Pistachios (unsalted)</t>
  </si>
  <si>
    <t>P067</t>
  </si>
  <si>
    <t>Pecans (shelled)</t>
  </si>
  <si>
    <t>P068</t>
  </si>
  <si>
    <t>Brazil nuts</t>
  </si>
  <si>
    <t>P069</t>
  </si>
  <si>
    <t>Macadamia nuts</t>
  </si>
  <si>
    <t>P070</t>
  </si>
  <si>
    <t>Sunflower seeds</t>
  </si>
  <si>
    <t>Seeds</t>
  </si>
  <si>
    <t>P071</t>
  </si>
  <si>
    <t>Pumpkin seeds</t>
  </si>
  <si>
    <t>P072</t>
  </si>
  <si>
    <t>Chia seeds</t>
  </si>
  <si>
    <t>P073</t>
  </si>
  <si>
    <t>Flax seeds</t>
  </si>
  <si>
    <t>P074</t>
  </si>
  <si>
    <t>Sesame seeds</t>
  </si>
  <si>
    <t>P075</t>
  </si>
  <si>
    <t>Artisanal alfajores</t>
  </si>
  <si>
    <t>unit</t>
  </si>
  <si>
    <t>P076</t>
  </si>
  <si>
    <t>Candied quince (membrillo)</t>
  </si>
  <si>
    <t>P077</t>
  </si>
  <si>
    <t>Homemade jam, jar 350g</t>
  </si>
  <si>
    <t>jar 350g</t>
  </si>
  <si>
    <t>P078</t>
  </si>
  <si>
    <t>Artisanal nougat (turron)</t>
  </si>
  <si>
    <t>P079</t>
  </si>
  <si>
    <t>Raw cane sugar loaf (chancaca)</t>
  </si>
  <si>
    <t>P080</t>
  </si>
  <si>
    <t>Gummy candy bag 100g</t>
  </si>
  <si>
    <t>P081</t>
  </si>
  <si>
    <t>Gummy candy bag 50g</t>
  </si>
  <si>
    <t>P082</t>
  </si>
  <si>
    <t>Sour gummy bag 100g</t>
  </si>
  <si>
    <t>P083</t>
  </si>
  <si>
    <t>Wine gums bag 50g</t>
  </si>
  <si>
    <t>P084</t>
  </si>
  <si>
    <t>Chocolate-coated raisins bag 100g</t>
  </si>
  <si>
    <t>P085</t>
  </si>
  <si>
    <t>Chocolate-coated peanuts bag 100g</t>
  </si>
  <si>
    <t>P086</t>
  </si>
  <si>
    <t>Toffee caramels bag 100g</t>
  </si>
  <si>
    <t>P087</t>
  </si>
  <si>
    <t>Mint candy bag 50g</t>
  </si>
  <si>
    <t>P088</t>
  </si>
  <si>
    <t>Licorice bag 100g</t>
  </si>
  <si>
    <t>P089</t>
  </si>
  <si>
    <t>Mixed hard candy bag 50g</t>
  </si>
  <si>
    <t>P090</t>
  </si>
  <si>
    <t>Coconut candy bag 100g</t>
  </si>
  <si>
    <t>P091</t>
  </si>
  <si>
    <t>Dulce de leche cookies bag 100g</t>
  </si>
  <si>
    <t>P092</t>
  </si>
  <si>
    <t>Golden raisins</t>
  </si>
  <si>
    <t>Raisins</t>
  </si>
  <si>
    <t>P093</t>
  </si>
  <si>
    <t>Brown raisins</t>
  </si>
  <si>
    <t>P094</t>
  </si>
  <si>
    <t>Jumbo raisins</t>
  </si>
  <si>
    <t>P095</t>
  </si>
  <si>
    <t>Dried prunes (with pit)</t>
  </si>
  <si>
    <t>Dried Fruit</t>
  </si>
  <si>
    <t>P096</t>
  </si>
  <si>
    <t>Pitted prunes</t>
  </si>
  <si>
    <t>P097</t>
  </si>
  <si>
    <t>Dried peaches (huesillos), large</t>
  </si>
  <si>
    <t>P098</t>
  </si>
  <si>
    <t>Dried peaches (huesillos), medium</t>
  </si>
  <si>
    <t>P099</t>
  </si>
  <si>
    <t>Dried apricots</t>
  </si>
  <si>
    <t>P100</t>
  </si>
  <si>
    <t>Dried figs</t>
  </si>
  <si>
    <t>P101</t>
  </si>
  <si>
    <t>Dried apple rings</t>
  </si>
  <si>
    <t>P102</t>
  </si>
  <si>
    <t>Dried pear halves</t>
  </si>
  <si>
    <t>P103</t>
  </si>
  <si>
    <t>Cranberries (dried)</t>
  </si>
  <si>
    <t>P104</t>
  </si>
  <si>
    <t>Dried dates</t>
  </si>
  <si>
    <t>P105</t>
  </si>
  <si>
    <t>Banana chips</t>
  </si>
  <si>
    <t>P106</t>
  </si>
  <si>
    <t>Dried mango</t>
  </si>
  <si>
    <t>P107</t>
  </si>
  <si>
    <t>Classic trail mix (nuts &amp; raisins)</t>
  </si>
  <si>
    <t>Trail Mix</t>
  </si>
  <si>
    <t>P108</t>
  </si>
  <si>
    <t>Tropical trail mix</t>
  </si>
  <si>
    <t>P109</t>
  </si>
  <si>
    <t>Energy mix (seeds &amp; fruit)</t>
  </si>
  <si>
    <t>P110</t>
  </si>
  <si>
    <t>Premium nut mix</t>
  </si>
  <si>
    <t>P111</t>
  </si>
  <si>
    <t>Student mix (peanut, raisin, choc)</t>
  </si>
  <si>
    <t>P112</t>
  </si>
  <si>
    <t>Empty PET bottle 200ml (pack of 10)</t>
  </si>
  <si>
    <t>Packaging</t>
  </si>
  <si>
    <t>pack 10</t>
  </si>
  <si>
    <t>P113</t>
  </si>
  <si>
    <t>Empty PET bottle 350ml (pack of 10)</t>
  </si>
  <si>
    <t>P114</t>
  </si>
  <si>
    <t>Empty PET bottle 500ml (pack of 10)</t>
  </si>
  <si>
    <t>P115</t>
  </si>
  <si>
    <t>Empty PET bottle 750ml (pack of 10)</t>
  </si>
  <si>
    <t>P116</t>
  </si>
  <si>
    <t>Empty PET bottle 1L (pack of 10)</t>
  </si>
  <si>
    <t>P117</t>
  </si>
  <si>
    <t>Empty PET bottle 1.5L (pack of 10)</t>
  </si>
  <si>
    <t>P118</t>
  </si>
  <si>
    <t>Empty PET bottle 2L (pack of 10)</t>
  </si>
  <si>
    <t>P119</t>
  </si>
  <si>
    <t>Poly bag 10x15cm (pack of 100)</t>
  </si>
  <si>
    <t>pack 100</t>
  </si>
  <si>
    <t>P120</t>
  </si>
  <si>
    <t>Poly bag 12x20cm (pack of 100)</t>
  </si>
  <si>
    <t>P121</t>
  </si>
  <si>
    <t>Poly bag 15x25cm (pack of 100)</t>
  </si>
  <si>
    <t>P122</t>
  </si>
  <si>
    <t>Poly bag 20x30cm (pack of 100)</t>
  </si>
  <si>
    <t>P123</t>
  </si>
  <si>
    <t>Poly bag 25x35cm (pack of 100)</t>
  </si>
  <si>
    <t>P124</t>
  </si>
  <si>
    <t>Poly bag 30x40cm (pack of 100)</t>
  </si>
  <si>
    <t>P125</t>
  </si>
  <si>
    <t>Poly bag 35x50cm (pack of 100)</t>
  </si>
  <si>
    <t>P126</t>
  </si>
  <si>
    <t>Zipper bag 12x18cm (pack of 50)</t>
  </si>
  <si>
    <t>pack 50</t>
  </si>
  <si>
    <t>P127</t>
  </si>
  <si>
    <t>Zipper bag 18x25cm (pack of 50)</t>
  </si>
  <si>
    <t>P128</t>
  </si>
  <si>
    <t>Vacuum bag 20x30cm (pack of 50)</t>
  </si>
  <si>
    <t>Suppliers</t>
  </si>
  <si>
    <t>Supplier</t>
  </si>
  <si>
    <t>Pickup?</t>
  </si>
  <si>
    <t>S001</t>
  </si>
  <si>
    <t>450 San Pedro Rd, Melipilla</t>
  </si>
  <si>
    <t>+56 9 5511 2233</t>
  </si>
  <si>
    <t>orders@elolivar.example</t>
  </si>
  <si>
    <t>S002</t>
  </si>
  <si>
    <t>Aceitunera Central SpA</t>
  </si>
  <si>
    <t>1220 Longitudinal Hwy, San Fernando</t>
  </si>
  <si>
    <t>+56 9 5610 8842</t>
  </si>
  <si>
    <t>ventas@aceituneracentral.example</t>
  </si>
  <si>
    <t>S003</t>
  </si>
  <si>
    <t>San Vicente Grains &amp; Legumes</t>
  </si>
  <si>
    <t>780 Freire Ave, San Vicente</t>
  </si>
  <si>
    <t>+56 9 4422 1188</t>
  </si>
  <si>
    <t>sales@svgrains.example</t>
  </si>
  <si>
    <t>S004</t>
  </si>
  <si>
    <t>Molino del Valle</t>
  </si>
  <si>
    <t>95 Estacion St, Rengo</t>
  </si>
  <si>
    <t>+56 9 4470 3319</t>
  </si>
  <si>
    <t>contacto@molinodelvalle.example</t>
  </si>
  <si>
    <t>S005</t>
  </si>
  <si>
    <t>Doña Rosa Pickles</t>
  </si>
  <si>
    <t>233 Los Aromos, Rancagua</t>
  </si>
  <si>
    <t>+56 9 6633 9944</t>
  </si>
  <si>
    <t>donarosa.pickles@example</t>
  </si>
  <si>
    <t>S006</t>
  </si>
  <si>
    <t>Conservas El Huerto</t>
  </si>
  <si>
    <t>410 Membrillar, Rancagua</t>
  </si>
  <si>
    <t>+56 9 6690 2255</t>
  </si>
  <si>
    <t>elhuerto.conservas@example</t>
  </si>
  <si>
    <t>S007</t>
  </si>
  <si>
    <t>Curico Chili &amp; Sauces</t>
  </si>
  <si>
    <t>Km 178 Route 5 South, Curico</t>
  </si>
  <si>
    <t>+56 9 7788 1122</t>
  </si>
  <si>
    <t>chili@curicosauces.example</t>
  </si>
  <si>
    <t>S008</t>
  </si>
  <si>
    <t>Merken del Sur</t>
  </si>
  <si>
    <t>67 Caupolican, Temuco</t>
  </si>
  <si>
    <t>+56 9 7810 4471</t>
  </si>
  <si>
    <t>ventas@merkendelsur.example</t>
  </si>
  <si>
    <t>S009</t>
  </si>
  <si>
    <t>Valley Spices SpA</t>
  </si>
  <si>
    <t>1560 Balmaceda Ave, Rancagua</t>
  </si>
  <si>
    <t>+56 9 3344 5566</t>
  </si>
  <si>
    <t>orders@valleyspices.example</t>
  </si>
  <si>
    <t>S010</t>
  </si>
  <si>
    <t>Especias Andinas</t>
  </si>
  <si>
    <t>330 Independencia, Santiago</t>
  </si>
  <si>
    <t>+56 9 3380 1190</t>
  </si>
  <si>
    <t>andinas.especias@example</t>
  </si>
  <si>
    <t>S011</t>
  </si>
  <si>
    <t>Los Ulmos Apiary</t>
  </si>
  <si>
    <t>Santa Elena Farm, Pichidegua</t>
  </si>
  <si>
    <t>+56 9 8899 0011</t>
  </si>
  <si>
    <t>apiary@losulmos.example</t>
  </si>
  <si>
    <t>S012</t>
  </si>
  <si>
    <t>Miel Nativa Ltda.</t>
  </si>
  <si>
    <t>km 8 Route H-30, Coltauco</t>
  </si>
  <si>
    <t>+56 9 8850 7723</t>
  </si>
  <si>
    <t>contacto@mielnativa.example</t>
  </si>
  <si>
    <t>S013</t>
  </si>
  <si>
    <t>Maipo Nuts Ltd.</t>
  </si>
  <si>
    <t>Km 22 Melipilla Rd, Buin</t>
  </si>
  <si>
    <t>+56 9 2211 3344</t>
  </si>
  <si>
    <t>orders@maiponuts.example</t>
  </si>
  <si>
    <t>S014</t>
  </si>
  <si>
    <t>El Palomo Nuts</t>
  </si>
  <si>
    <t>540 Gran Avenida, San Bernardo</t>
  </si>
  <si>
    <t>+56 9 2260 8891</t>
  </si>
  <si>
    <t>elpalomo.nuts@example</t>
  </si>
  <si>
    <t>S015</t>
  </si>
  <si>
    <t>Nogal Dryfruits</t>
  </si>
  <si>
    <t>78 OHiggins, Los Andes</t>
  </si>
  <si>
    <t>+56 9 2290 5560</t>
  </si>
  <si>
    <t>ventas@nogaldry.example</t>
  </si>
  <si>
    <t>S016</t>
  </si>
  <si>
    <t>Semillas del Campo</t>
  </si>
  <si>
    <t>150 Carampangue, Rancagua</t>
  </si>
  <si>
    <t>+56 9 2240 1177</t>
  </si>
  <si>
    <t>campo.semillas@example</t>
  </si>
  <si>
    <t>S017</t>
  </si>
  <si>
    <t>Molina Artisan Sweets</t>
  </si>
  <si>
    <t>340 Yungay St, Molina</t>
  </si>
  <si>
    <t>+56 9 9900 1122</t>
  </si>
  <si>
    <t>sweets@molina.example</t>
  </si>
  <si>
    <t>S018</t>
  </si>
  <si>
    <t>Dulces La Estrella</t>
  </si>
  <si>
    <t>220 Brasil, Curico</t>
  </si>
  <si>
    <t>+56 9 9940 6634</t>
  </si>
  <si>
    <t>laestrella.dulces@example</t>
  </si>
  <si>
    <t>S019</t>
  </si>
  <si>
    <t>San Fernando Dried Goods</t>
  </si>
  <si>
    <t>Km 5 Route J-60, San Fernando</t>
  </si>
  <si>
    <t>+56 9 5566 7788</t>
  </si>
  <si>
    <t>sales@sfdried.example</t>
  </si>
  <si>
    <t>S020</t>
  </si>
  <si>
    <t>Deshidratados Elqui</t>
  </si>
  <si>
    <t>1100 Ruta 5, Vicuña</t>
  </si>
  <si>
    <t>+56 9 5590 3312</t>
  </si>
  <si>
    <t>elqui.deshidratados@example</t>
  </si>
  <si>
    <t>S021</t>
  </si>
  <si>
    <t>PackChile Wholesale</t>
  </si>
  <si>
    <t>2200 Industrial Park, Maipu</t>
  </si>
  <si>
    <t>+56 9 3011 5567</t>
  </si>
  <si>
    <t>orders@packchile.example</t>
  </si>
  <si>
    <t>S022</t>
  </si>
  <si>
    <t>Envases del Pacifico</t>
  </si>
  <si>
    <t>88 Portales, Valparaiso</t>
  </si>
  <si>
    <t>+56 9 3060 2214</t>
  </si>
  <si>
    <t>ventas@envasespacifico.example</t>
  </si>
  <si>
    <t>Supply Links — Primary &amp; Backup suppliers per product</t>
  </si>
  <si>
    <t>Every product has a documented fallback supplier in case the primary one fails.</t>
  </si>
  <si>
    <t>ProductID</t>
  </si>
  <si>
    <t>SupplierRole</t>
  </si>
  <si>
    <t>SupplierID</t>
  </si>
  <si>
    <t>PurchasePrice_CLP</t>
  </si>
  <si>
    <t>Purchase (USD)</t>
  </si>
  <si>
    <t>Unit</t>
  </si>
  <si>
    <t>Lead Time (days)</t>
  </si>
  <si>
    <t>SUP0001</t>
  </si>
  <si>
    <t>Primary</t>
  </si>
  <si>
    <t>SUP0002</t>
  </si>
  <si>
    <t>Backup</t>
  </si>
  <si>
    <t>SUP0003</t>
  </si>
  <si>
    <t>SUP0004</t>
  </si>
  <si>
    <t>SUP0005</t>
  </si>
  <si>
    <t>SUP0006</t>
  </si>
  <si>
    <t>SUP0007</t>
  </si>
  <si>
    <t>SUP0008</t>
  </si>
  <si>
    <t>SUP0009</t>
  </si>
  <si>
    <t>SUP0010</t>
  </si>
  <si>
    <t>SUP0011</t>
  </si>
  <si>
    <t>SUP0012</t>
  </si>
  <si>
    <t>SUP0013</t>
  </si>
  <si>
    <t>SUP0014</t>
  </si>
  <si>
    <t>SUP0015</t>
  </si>
  <si>
    <t>SUP0016</t>
  </si>
  <si>
    <t>SUP0017</t>
  </si>
  <si>
    <t>SUP0018</t>
  </si>
  <si>
    <t>SUP0019</t>
  </si>
  <si>
    <t>SUP0020</t>
  </si>
  <si>
    <t>SUP0021</t>
  </si>
  <si>
    <t>SUP0022</t>
  </si>
  <si>
    <t>SUP0023</t>
  </si>
  <si>
    <t>SUP0024</t>
  </si>
  <si>
    <t>SUP0025</t>
  </si>
  <si>
    <t>SUP0026</t>
  </si>
  <si>
    <t>SUP0027</t>
  </si>
  <si>
    <t>SUP0028</t>
  </si>
  <si>
    <t>SUP0029</t>
  </si>
  <si>
    <t>SUP0030</t>
  </si>
  <si>
    <t>SUP0031</t>
  </si>
  <si>
    <t>SUP0032</t>
  </si>
  <si>
    <t>SUP0033</t>
  </si>
  <si>
    <t>SUP0034</t>
  </si>
  <si>
    <t>SUP0035</t>
  </si>
  <si>
    <t>SUP0036</t>
  </si>
  <si>
    <t>SUP0037</t>
  </si>
  <si>
    <t>SUP0038</t>
  </si>
  <si>
    <t>SUP0039</t>
  </si>
  <si>
    <t>SUP0040</t>
  </si>
  <si>
    <t>SUP0041</t>
  </si>
  <si>
    <t>SUP0042</t>
  </si>
  <si>
    <t>SUP0043</t>
  </si>
  <si>
    <t>SUP0044</t>
  </si>
  <si>
    <t>SUP0045</t>
  </si>
  <si>
    <t>SUP0046</t>
  </si>
  <si>
    <t>SUP0047</t>
  </si>
  <si>
    <t>SUP0048</t>
  </si>
  <si>
    <t>SUP0049</t>
  </si>
  <si>
    <t>SUP0050</t>
  </si>
  <si>
    <t>SUP0051</t>
  </si>
  <si>
    <t>SUP0052</t>
  </si>
  <si>
    <t>SUP0053</t>
  </si>
  <si>
    <t>SUP0054</t>
  </si>
  <si>
    <t>SUP0055</t>
  </si>
  <si>
    <t>SUP0056</t>
  </si>
  <si>
    <t>SUP0057</t>
  </si>
  <si>
    <t>SUP0058</t>
  </si>
  <si>
    <t>SUP0059</t>
  </si>
  <si>
    <t>SUP0060</t>
  </si>
  <si>
    <t>SUP0061</t>
  </si>
  <si>
    <t>SUP0062</t>
  </si>
  <si>
    <t>SUP0063</t>
  </si>
  <si>
    <t>SUP0064</t>
  </si>
  <si>
    <t>SUP0065</t>
  </si>
  <si>
    <t>SUP0066</t>
  </si>
  <si>
    <t>SUP0067</t>
  </si>
  <si>
    <t>SUP0068</t>
  </si>
  <si>
    <t>SUP0069</t>
  </si>
  <si>
    <t>SUP0070</t>
  </si>
  <si>
    <t>SUP0071</t>
  </si>
  <si>
    <t>SUP0072</t>
  </si>
  <si>
    <t>SUP0073</t>
  </si>
  <si>
    <t>SUP0074</t>
  </si>
  <si>
    <t>SUP0075</t>
  </si>
  <si>
    <t>SUP0076</t>
  </si>
  <si>
    <t>SUP0077</t>
  </si>
  <si>
    <t>SUP0078</t>
  </si>
  <si>
    <t>SUP0079</t>
  </si>
  <si>
    <t>SUP0080</t>
  </si>
  <si>
    <t>SUP0081</t>
  </si>
  <si>
    <t>SUP0082</t>
  </si>
  <si>
    <t>SUP0083</t>
  </si>
  <si>
    <t>SUP0084</t>
  </si>
  <si>
    <t>SUP0085</t>
  </si>
  <si>
    <t>SUP0086</t>
  </si>
  <si>
    <t>SUP0087</t>
  </si>
  <si>
    <t>SUP0088</t>
  </si>
  <si>
    <t>SUP0089</t>
  </si>
  <si>
    <t>SUP0090</t>
  </si>
  <si>
    <t>SUP0091</t>
  </si>
  <si>
    <t>SUP0092</t>
  </si>
  <si>
    <t>SUP0093</t>
  </si>
  <si>
    <t>SUP0094</t>
  </si>
  <si>
    <t>SUP0095</t>
  </si>
  <si>
    <t>SUP0096</t>
  </si>
  <si>
    <t>SUP0097</t>
  </si>
  <si>
    <t>SUP0098</t>
  </si>
  <si>
    <t>SUP0099</t>
  </si>
  <si>
    <t>SUP0100</t>
  </si>
  <si>
    <t>SUP0101</t>
  </si>
  <si>
    <t>SUP0102</t>
  </si>
  <si>
    <t>SUP0103</t>
  </si>
  <si>
    <t>SUP0104</t>
  </si>
  <si>
    <t>SUP0105</t>
  </si>
  <si>
    <t>SUP0106</t>
  </si>
  <si>
    <t>SUP0107</t>
  </si>
  <si>
    <t>SUP0108</t>
  </si>
  <si>
    <t>SUP0109</t>
  </si>
  <si>
    <t>SUP0110</t>
  </si>
  <si>
    <t>SUP0111</t>
  </si>
  <si>
    <t>SUP0112</t>
  </si>
  <si>
    <t>SUP0113</t>
  </si>
  <si>
    <t>SUP0114</t>
  </si>
  <si>
    <t>SUP0115</t>
  </si>
  <si>
    <t>SUP0116</t>
  </si>
  <si>
    <t>SUP0117</t>
  </si>
  <si>
    <t>SUP0118</t>
  </si>
  <si>
    <t>SUP0119</t>
  </si>
  <si>
    <t>SUP0120</t>
  </si>
  <si>
    <t>SUP0121</t>
  </si>
  <si>
    <t>SUP0122</t>
  </si>
  <si>
    <t>SUP0123</t>
  </si>
  <si>
    <t>SUP0124</t>
  </si>
  <si>
    <t>SUP0125</t>
  </si>
  <si>
    <t>SUP0126</t>
  </si>
  <si>
    <t>SUP0127</t>
  </si>
  <si>
    <t>SUP0128</t>
  </si>
  <si>
    <t>SUP0129</t>
  </si>
  <si>
    <t>SUP0130</t>
  </si>
  <si>
    <t>SUP0131</t>
  </si>
  <si>
    <t>SUP0132</t>
  </si>
  <si>
    <t>SUP0133</t>
  </si>
  <si>
    <t>SUP0134</t>
  </si>
  <si>
    <t>SUP0135</t>
  </si>
  <si>
    <t>SUP0136</t>
  </si>
  <si>
    <t>SUP0137</t>
  </si>
  <si>
    <t>SUP0138</t>
  </si>
  <si>
    <t>SUP0139</t>
  </si>
  <si>
    <t>SUP0140</t>
  </si>
  <si>
    <t>SUP0141</t>
  </si>
  <si>
    <t>SUP0142</t>
  </si>
  <si>
    <t>SUP0143</t>
  </si>
  <si>
    <t>SUP0144</t>
  </si>
  <si>
    <t>SUP0145</t>
  </si>
  <si>
    <t>SUP0146</t>
  </si>
  <si>
    <t>SUP0147</t>
  </si>
  <si>
    <t>SUP0148</t>
  </si>
  <si>
    <t>SUP0149</t>
  </si>
  <si>
    <t>SUP0150</t>
  </si>
  <si>
    <t>SUP0151</t>
  </si>
  <si>
    <t>SUP0152</t>
  </si>
  <si>
    <t>SUP0153</t>
  </si>
  <si>
    <t>SUP0154</t>
  </si>
  <si>
    <t>SUP0155</t>
  </si>
  <si>
    <t>SUP0156</t>
  </si>
  <si>
    <t>SUP0157</t>
  </si>
  <si>
    <t>SUP0158</t>
  </si>
  <si>
    <t>SUP0159</t>
  </si>
  <si>
    <t>SUP0160</t>
  </si>
  <si>
    <t>SUP0161</t>
  </si>
  <si>
    <t>SUP0162</t>
  </si>
  <si>
    <t>SUP0163</t>
  </si>
  <si>
    <t>SUP0164</t>
  </si>
  <si>
    <t>SUP0165</t>
  </si>
  <si>
    <t>SUP0166</t>
  </si>
  <si>
    <t>SUP0167</t>
  </si>
  <si>
    <t>SUP0168</t>
  </si>
  <si>
    <t>SUP0169</t>
  </si>
  <si>
    <t>SUP0170</t>
  </si>
  <si>
    <t>SUP0171</t>
  </si>
  <si>
    <t>SUP0172</t>
  </si>
  <si>
    <t>SUP0173</t>
  </si>
  <si>
    <t>SUP0174</t>
  </si>
  <si>
    <t>SUP0175</t>
  </si>
  <si>
    <t>SUP0176</t>
  </si>
  <si>
    <t>SUP0177</t>
  </si>
  <si>
    <t>SUP0178</t>
  </si>
  <si>
    <t>SUP0179</t>
  </si>
  <si>
    <t>SUP0180</t>
  </si>
  <si>
    <t>SUP0181</t>
  </si>
  <si>
    <t>SUP0182</t>
  </si>
  <si>
    <t>SUP0183</t>
  </si>
  <si>
    <t>SUP0184</t>
  </si>
  <si>
    <t>SUP0185</t>
  </si>
  <si>
    <t>SUP0186</t>
  </si>
  <si>
    <t>SUP0187</t>
  </si>
  <si>
    <t>SUP0188</t>
  </si>
  <si>
    <t>SUP0189</t>
  </si>
  <si>
    <t>SUP0190</t>
  </si>
  <si>
    <t>SUP0191</t>
  </si>
  <si>
    <t>SUP0192</t>
  </si>
  <si>
    <t>SUP0193</t>
  </si>
  <si>
    <t>SUP0194</t>
  </si>
  <si>
    <t>SUP0195</t>
  </si>
  <si>
    <t>SUP0196</t>
  </si>
  <si>
    <t>SUP0197</t>
  </si>
  <si>
    <t>SUP0198</t>
  </si>
  <si>
    <t>SUP0199</t>
  </si>
  <si>
    <t>SUP0200</t>
  </si>
  <si>
    <t>SUP0201</t>
  </si>
  <si>
    <t>SUP0202</t>
  </si>
  <si>
    <t>SUP0203</t>
  </si>
  <si>
    <t>SUP0204</t>
  </si>
  <si>
    <t>SUP0205</t>
  </si>
  <si>
    <t>SUP0206</t>
  </si>
  <si>
    <t>SUP0207</t>
  </si>
  <si>
    <t>SUP0208</t>
  </si>
  <si>
    <t>SUP0209</t>
  </si>
  <si>
    <t>SUP0210</t>
  </si>
  <si>
    <t>SUP0211</t>
  </si>
  <si>
    <t>SUP0212</t>
  </si>
  <si>
    <t>SUP0213</t>
  </si>
  <si>
    <t>SUP0214</t>
  </si>
  <si>
    <t>SUP0215</t>
  </si>
  <si>
    <t>SUP0216</t>
  </si>
  <si>
    <t>SUP0217</t>
  </si>
  <si>
    <t>SUP0218</t>
  </si>
  <si>
    <t>SUP0219</t>
  </si>
  <si>
    <t>SUP0220</t>
  </si>
  <si>
    <t>SUP0221</t>
  </si>
  <si>
    <t>SUP0222</t>
  </si>
  <si>
    <t>SUP0223</t>
  </si>
  <si>
    <t>SUP0224</t>
  </si>
  <si>
    <t>SUP0225</t>
  </si>
  <si>
    <t>SUP0226</t>
  </si>
  <si>
    <t>SUP0227</t>
  </si>
  <si>
    <t>SUP0228</t>
  </si>
  <si>
    <t>SUP0229</t>
  </si>
  <si>
    <t>SUP0230</t>
  </si>
  <si>
    <t>SUP0231</t>
  </si>
  <si>
    <t>SUP0232</t>
  </si>
  <si>
    <t>SUP0233</t>
  </si>
  <si>
    <t>SUP0234</t>
  </si>
  <si>
    <t>SUP0235</t>
  </si>
  <si>
    <t>SUP0236</t>
  </si>
  <si>
    <t>SUP0237</t>
  </si>
  <si>
    <t>SUP0238</t>
  </si>
  <si>
    <t>SUP0239</t>
  </si>
  <si>
    <t>SUP0240</t>
  </si>
  <si>
    <t>SUP0241</t>
  </si>
  <si>
    <t>SUP0242</t>
  </si>
  <si>
    <t>SUP0243</t>
  </si>
  <si>
    <t>SUP0244</t>
  </si>
  <si>
    <t>SUP0245</t>
  </si>
  <si>
    <t>SUP0246</t>
  </si>
  <si>
    <t>SUP0247</t>
  </si>
  <si>
    <t>SUP0248</t>
  </si>
  <si>
    <t>SUP0249</t>
  </si>
  <si>
    <t>SUP0250</t>
  </si>
  <si>
    <t>SUP0251</t>
  </si>
  <si>
    <t>SUP0252</t>
  </si>
  <si>
    <t>SUP0253</t>
  </si>
  <si>
    <t>SUP0254</t>
  </si>
  <si>
    <t>SUP0255</t>
  </si>
  <si>
    <t>SUP0256</t>
  </si>
  <si>
    <t>Purchases — 2 years of supply batches (Jul 2023 - Jun 2025)</t>
  </si>
  <si>
    <t>One row = one batch bought from a supplier, with quantity, purchase date and expiry date.</t>
  </si>
  <si>
    <t>BatchID</t>
  </si>
  <si>
    <t>Role</t>
  </si>
  <si>
    <t>Purchase Date</t>
  </si>
  <si>
    <t>Qty</t>
  </si>
  <si>
    <t>Unit Cost (CLP)</t>
  </si>
  <si>
    <t>Batch Cost (CLP)</t>
  </si>
  <si>
    <t>Batch Cost (USD)</t>
  </si>
  <si>
    <t>Expiry Date</t>
  </si>
  <si>
    <t>Expiry Type</t>
  </si>
  <si>
    <t>Season</t>
  </si>
  <si>
    <t>B00001</t>
  </si>
  <si>
    <t>Estimated</t>
  </si>
  <si>
    <t>Winter</t>
  </si>
  <si>
    <t>B00002</t>
  </si>
  <si>
    <t>B00003</t>
  </si>
  <si>
    <t>B00004</t>
  </si>
  <si>
    <t>B00005</t>
  </si>
  <si>
    <t>B00006</t>
  </si>
  <si>
    <t>B00007</t>
  </si>
  <si>
    <t>B00008</t>
  </si>
  <si>
    <t>Spring</t>
  </si>
  <si>
    <t>B00009</t>
  </si>
  <si>
    <t>B00010</t>
  </si>
  <si>
    <t>B00011</t>
  </si>
  <si>
    <t>B00012</t>
  </si>
  <si>
    <t>B00013</t>
  </si>
  <si>
    <t>B00014</t>
  </si>
  <si>
    <t>B00015</t>
  </si>
  <si>
    <t>B00016</t>
  </si>
  <si>
    <t>B00017</t>
  </si>
  <si>
    <t>B00018</t>
  </si>
  <si>
    <t>Summer</t>
  </si>
  <si>
    <t>B00019</t>
  </si>
  <si>
    <t>B00020</t>
  </si>
  <si>
    <t>B00021</t>
  </si>
  <si>
    <t>B00022</t>
  </si>
  <si>
    <t>B00023</t>
  </si>
  <si>
    <t>B00024</t>
  </si>
  <si>
    <t>B00025</t>
  </si>
  <si>
    <t>B00026</t>
  </si>
  <si>
    <t>B00027</t>
  </si>
  <si>
    <t>B00028</t>
  </si>
  <si>
    <t>Autumn</t>
  </si>
  <si>
    <t>B00029</t>
  </si>
  <si>
    <t>B00030</t>
  </si>
  <si>
    <t>B00031</t>
  </si>
  <si>
    <t>B00032</t>
  </si>
  <si>
    <t>B00033</t>
  </si>
  <si>
    <t>B00034</t>
  </si>
  <si>
    <t>B00035</t>
  </si>
  <si>
    <t>B00036</t>
  </si>
  <si>
    <t>B00037</t>
  </si>
  <si>
    <t>B00038</t>
  </si>
  <si>
    <t>B00039</t>
  </si>
  <si>
    <t>B00040</t>
  </si>
  <si>
    <t>B00041</t>
  </si>
  <si>
    <t>B00042</t>
  </si>
  <si>
    <t>B00043</t>
  </si>
  <si>
    <t>B00044</t>
  </si>
  <si>
    <t>B00045</t>
  </si>
  <si>
    <t>B00046</t>
  </si>
  <si>
    <t>B00047</t>
  </si>
  <si>
    <t>B00048</t>
  </si>
  <si>
    <t>B00049</t>
  </si>
  <si>
    <t>B00050</t>
  </si>
  <si>
    <t>B00051</t>
  </si>
  <si>
    <t>B00052</t>
  </si>
  <si>
    <t>B00053</t>
  </si>
  <si>
    <t>B00054</t>
  </si>
  <si>
    <t>B00055</t>
  </si>
  <si>
    <t>B00056</t>
  </si>
  <si>
    <t>B00057</t>
  </si>
  <si>
    <t>B00058</t>
  </si>
  <si>
    <t>B00059</t>
  </si>
  <si>
    <t>B00060</t>
  </si>
  <si>
    <t>B00061</t>
  </si>
  <si>
    <t>B00062</t>
  </si>
  <si>
    <t>B00063</t>
  </si>
  <si>
    <t>B00064</t>
  </si>
  <si>
    <t>B00065</t>
  </si>
  <si>
    <t>B00066</t>
  </si>
  <si>
    <t>B00067</t>
  </si>
  <si>
    <t>B00068</t>
  </si>
  <si>
    <t>B00069</t>
  </si>
  <si>
    <t>B00070</t>
  </si>
  <si>
    <t>B00071</t>
  </si>
  <si>
    <t>B00072</t>
  </si>
  <si>
    <t>B00073</t>
  </si>
  <si>
    <t>B00074</t>
  </si>
  <si>
    <t>B00075</t>
  </si>
  <si>
    <t>B00076</t>
  </si>
  <si>
    <t>B00077</t>
  </si>
  <si>
    <t>B00078</t>
  </si>
  <si>
    <t>B00079</t>
  </si>
  <si>
    <t>B00080</t>
  </si>
  <si>
    <t>B00081</t>
  </si>
  <si>
    <t>B00082</t>
  </si>
  <si>
    <t>B00083</t>
  </si>
  <si>
    <t>B00084</t>
  </si>
  <si>
    <t>B00085</t>
  </si>
  <si>
    <t>B00086</t>
  </si>
  <si>
    <t>B00087</t>
  </si>
  <si>
    <t>B00088</t>
  </si>
  <si>
    <t>B00089</t>
  </si>
  <si>
    <t>B00090</t>
  </si>
  <si>
    <t>B00091</t>
  </si>
  <si>
    <t>B00092</t>
  </si>
  <si>
    <t>B00093</t>
  </si>
  <si>
    <t>B00094</t>
  </si>
  <si>
    <t>B00095</t>
  </si>
  <si>
    <t>B00096</t>
  </si>
  <si>
    <t>B00097</t>
  </si>
  <si>
    <t>B00098</t>
  </si>
  <si>
    <t>B00099</t>
  </si>
  <si>
    <t>B00100</t>
  </si>
  <si>
    <t>B00101</t>
  </si>
  <si>
    <t>B00102</t>
  </si>
  <si>
    <t>B00103</t>
  </si>
  <si>
    <t>B00104</t>
  </si>
  <si>
    <t>B00105</t>
  </si>
  <si>
    <t>B00106</t>
  </si>
  <si>
    <t>B00107</t>
  </si>
  <si>
    <t>B00108</t>
  </si>
  <si>
    <t>B00109</t>
  </si>
  <si>
    <t>B00110</t>
  </si>
  <si>
    <t>B00111</t>
  </si>
  <si>
    <t>B00112</t>
  </si>
  <si>
    <t>B00113</t>
  </si>
  <si>
    <t>B00114</t>
  </si>
  <si>
    <t>B00115</t>
  </si>
  <si>
    <t>B00116</t>
  </si>
  <si>
    <t>B00117</t>
  </si>
  <si>
    <t>B00118</t>
  </si>
  <si>
    <t>B00119</t>
  </si>
  <si>
    <t>B00120</t>
  </si>
  <si>
    <t>B00121</t>
  </si>
  <si>
    <t>B00122</t>
  </si>
  <si>
    <t>B00123</t>
  </si>
  <si>
    <t>B00124</t>
  </si>
  <si>
    <t>B00125</t>
  </si>
  <si>
    <t>B00126</t>
  </si>
  <si>
    <t>B00127</t>
  </si>
  <si>
    <t>B00128</t>
  </si>
  <si>
    <t>B00129</t>
  </si>
  <si>
    <t>B00130</t>
  </si>
  <si>
    <t>B00131</t>
  </si>
  <si>
    <t>B00132</t>
  </si>
  <si>
    <t>B00133</t>
  </si>
  <si>
    <t>B00134</t>
  </si>
  <si>
    <t>B00135</t>
  </si>
  <si>
    <t>B00136</t>
  </si>
  <si>
    <t>B00137</t>
  </si>
  <si>
    <t>B00138</t>
  </si>
  <si>
    <t>B00139</t>
  </si>
  <si>
    <t>B00140</t>
  </si>
  <si>
    <t>B00141</t>
  </si>
  <si>
    <t>B00142</t>
  </si>
  <si>
    <t>B00143</t>
  </si>
  <si>
    <t>B00144</t>
  </si>
  <si>
    <t>B00145</t>
  </si>
  <si>
    <t>B00146</t>
  </si>
  <si>
    <t>B00147</t>
  </si>
  <si>
    <t>B00148</t>
  </si>
  <si>
    <t>B00149</t>
  </si>
  <si>
    <t>B00150</t>
  </si>
  <si>
    <t>B00151</t>
  </si>
  <si>
    <t>B00152</t>
  </si>
  <si>
    <t>B00153</t>
  </si>
  <si>
    <t>B00154</t>
  </si>
  <si>
    <t>B00155</t>
  </si>
  <si>
    <t>B00156</t>
  </si>
  <si>
    <t>B00157</t>
  </si>
  <si>
    <t>B00158</t>
  </si>
  <si>
    <t>B00159</t>
  </si>
  <si>
    <t>B00160</t>
  </si>
  <si>
    <t>B00161</t>
  </si>
  <si>
    <t>B00162</t>
  </si>
  <si>
    <t>B00163</t>
  </si>
  <si>
    <t>B00164</t>
  </si>
  <si>
    <t>B00165</t>
  </si>
  <si>
    <t>B00166</t>
  </si>
  <si>
    <t>B00167</t>
  </si>
  <si>
    <t>B00168</t>
  </si>
  <si>
    <t>B00169</t>
  </si>
  <si>
    <t>B00170</t>
  </si>
  <si>
    <t>B00171</t>
  </si>
  <si>
    <t>B00172</t>
  </si>
  <si>
    <t>B00173</t>
  </si>
  <si>
    <t>B00174</t>
  </si>
  <si>
    <t>B00175</t>
  </si>
  <si>
    <t>B00176</t>
  </si>
  <si>
    <t>B00177</t>
  </si>
  <si>
    <t>B00178</t>
  </si>
  <si>
    <t>B00179</t>
  </si>
  <si>
    <t>B00180</t>
  </si>
  <si>
    <t>B00181</t>
  </si>
  <si>
    <t>B00182</t>
  </si>
  <si>
    <t>B00183</t>
  </si>
  <si>
    <t>B00184</t>
  </si>
  <si>
    <t>B00185</t>
  </si>
  <si>
    <t>B00186</t>
  </si>
  <si>
    <t>B00187</t>
  </si>
  <si>
    <t>B00188</t>
  </si>
  <si>
    <t>B00189</t>
  </si>
  <si>
    <t>B00190</t>
  </si>
  <si>
    <t>B00191</t>
  </si>
  <si>
    <t>B00192</t>
  </si>
  <si>
    <t>B00193</t>
  </si>
  <si>
    <t>B00194</t>
  </si>
  <si>
    <t>B00195</t>
  </si>
  <si>
    <t>B00196</t>
  </si>
  <si>
    <t>B00197</t>
  </si>
  <si>
    <t>B00198</t>
  </si>
  <si>
    <t>B00199</t>
  </si>
  <si>
    <t>B00200</t>
  </si>
  <si>
    <t>B00201</t>
  </si>
  <si>
    <t>B00202</t>
  </si>
  <si>
    <t>B00203</t>
  </si>
  <si>
    <t>B00204</t>
  </si>
  <si>
    <t>B00205</t>
  </si>
  <si>
    <t>B00206</t>
  </si>
  <si>
    <t>B00207</t>
  </si>
  <si>
    <t>B00208</t>
  </si>
  <si>
    <t>B00209</t>
  </si>
  <si>
    <t>B00210</t>
  </si>
  <si>
    <t>B00211</t>
  </si>
  <si>
    <t>B00212</t>
  </si>
  <si>
    <t>B00213</t>
  </si>
  <si>
    <t>B00214</t>
  </si>
  <si>
    <t>B00215</t>
  </si>
  <si>
    <t>B00216</t>
  </si>
  <si>
    <t>B00217</t>
  </si>
  <si>
    <t>B00218</t>
  </si>
  <si>
    <t>B00219</t>
  </si>
  <si>
    <t>B00220</t>
  </si>
  <si>
    <t>B00221</t>
  </si>
  <si>
    <t>B00222</t>
  </si>
  <si>
    <t>B00223</t>
  </si>
  <si>
    <t>B00224</t>
  </si>
  <si>
    <t>B00225</t>
  </si>
  <si>
    <t>B00226</t>
  </si>
  <si>
    <t>B00227</t>
  </si>
  <si>
    <t>B00228</t>
  </si>
  <si>
    <t>B00229</t>
  </si>
  <si>
    <t>B00230</t>
  </si>
  <si>
    <t>B00231</t>
  </si>
  <si>
    <t>B00232</t>
  </si>
  <si>
    <t>B00233</t>
  </si>
  <si>
    <t>B00234</t>
  </si>
  <si>
    <t>B00235</t>
  </si>
  <si>
    <t>B00236</t>
  </si>
  <si>
    <t>B00237</t>
  </si>
  <si>
    <t>B00238</t>
  </si>
  <si>
    <t>B00239</t>
  </si>
  <si>
    <t>B00240</t>
  </si>
  <si>
    <t>B00241</t>
  </si>
  <si>
    <t>B00242</t>
  </si>
  <si>
    <t>B00243</t>
  </si>
  <si>
    <t>B00244</t>
  </si>
  <si>
    <t>B00245</t>
  </si>
  <si>
    <t>B00246</t>
  </si>
  <si>
    <t>B00247</t>
  </si>
  <si>
    <t>B00248</t>
  </si>
  <si>
    <t>B00249</t>
  </si>
  <si>
    <t>B00250</t>
  </si>
  <si>
    <t>B00251</t>
  </si>
  <si>
    <t>B00252</t>
  </si>
  <si>
    <t>B00253</t>
  </si>
  <si>
    <t>B00254</t>
  </si>
  <si>
    <t>B00255</t>
  </si>
  <si>
    <t>B00256</t>
  </si>
  <si>
    <t>B00257</t>
  </si>
  <si>
    <t>B00258</t>
  </si>
  <si>
    <t>B00259</t>
  </si>
  <si>
    <t>B00260</t>
  </si>
  <si>
    <t>B00261</t>
  </si>
  <si>
    <t>B00262</t>
  </si>
  <si>
    <t>B00263</t>
  </si>
  <si>
    <t>B00264</t>
  </si>
  <si>
    <t>B00265</t>
  </si>
  <si>
    <t>B00266</t>
  </si>
  <si>
    <t>B00267</t>
  </si>
  <si>
    <t>B00268</t>
  </si>
  <si>
    <t>B00269</t>
  </si>
  <si>
    <t>B00270</t>
  </si>
  <si>
    <t>B00271</t>
  </si>
  <si>
    <t>B00272</t>
  </si>
  <si>
    <t>B00273</t>
  </si>
  <si>
    <t>B00274</t>
  </si>
  <si>
    <t>B00275</t>
  </si>
  <si>
    <t>B00276</t>
  </si>
  <si>
    <t>B00277</t>
  </si>
  <si>
    <t>B00278</t>
  </si>
  <si>
    <t>B00279</t>
  </si>
  <si>
    <t>B00280</t>
  </si>
  <si>
    <t>B00281</t>
  </si>
  <si>
    <t>B00282</t>
  </si>
  <si>
    <t>B00283</t>
  </si>
  <si>
    <t>B00284</t>
  </si>
  <si>
    <t>B00285</t>
  </si>
  <si>
    <t>B00286</t>
  </si>
  <si>
    <t>B00287</t>
  </si>
  <si>
    <t>B00288</t>
  </si>
  <si>
    <t>B00289</t>
  </si>
  <si>
    <t>B00290</t>
  </si>
  <si>
    <t>B00291</t>
  </si>
  <si>
    <t>B00292</t>
  </si>
  <si>
    <t>B00293</t>
  </si>
  <si>
    <t>B00294</t>
  </si>
  <si>
    <t>B00295</t>
  </si>
  <si>
    <t>B00296</t>
  </si>
  <si>
    <t>B00297</t>
  </si>
  <si>
    <t>B00298</t>
  </si>
  <si>
    <t>B00299</t>
  </si>
  <si>
    <t>B00300</t>
  </si>
  <si>
    <t>B00301</t>
  </si>
  <si>
    <t>B00302</t>
  </si>
  <si>
    <t>B00303</t>
  </si>
  <si>
    <t>B00304</t>
  </si>
  <si>
    <t>B00305</t>
  </si>
  <si>
    <t>B00306</t>
  </si>
  <si>
    <t>B00307</t>
  </si>
  <si>
    <t>B00308</t>
  </si>
  <si>
    <t>B00309</t>
  </si>
  <si>
    <t>B00310</t>
  </si>
  <si>
    <t>B00311</t>
  </si>
  <si>
    <t>B00312</t>
  </si>
  <si>
    <t>B00313</t>
  </si>
  <si>
    <t>B00314</t>
  </si>
  <si>
    <t>B00315</t>
  </si>
  <si>
    <t>B00316</t>
  </si>
  <si>
    <t>B00317</t>
  </si>
  <si>
    <t>B00318</t>
  </si>
  <si>
    <t>B00319</t>
  </si>
  <si>
    <t>B00320</t>
  </si>
  <si>
    <t>B00321</t>
  </si>
  <si>
    <t>B00322</t>
  </si>
  <si>
    <t>B00323</t>
  </si>
  <si>
    <t>B00324</t>
  </si>
  <si>
    <t>B00325</t>
  </si>
  <si>
    <t>B00326</t>
  </si>
  <si>
    <t>B00327</t>
  </si>
  <si>
    <t>B00328</t>
  </si>
  <si>
    <t>B00329</t>
  </si>
  <si>
    <t>B00330</t>
  </si>
  <si>
    <t>B00331</t>
  </si>
  <si>
    <t>B00332</t>
  </si>
  <si>
    <t>B00333</t>
  </si>
  <si>
    <t>B00334</t>
  </si>
  <si>
    <t>B00335</t>
  </si>
  <si>
    <t>B00336</t>
  </si>
  <si>
    <t>B00337</t>
  </si>
  <si>
    <t>B00338</t>
  </si>
  <si>
    <t>B00339</t>
  </si>
  <si>
    <t>B00340</t>
  </si>
  <si>
    <t>B00341</t>
  </si>
  <si>
    <t>B00342</t>
  </si>
  <si>
    <t>B00343</t>
  </si>
  <si>
    <t>B00344</t>
  </si>
  <si>
    <t>B00345</t>
  </si>
  <si>
    <t>B00346</t>
  </si>
  <si>
    <t>B00347</t>
  </si>
  <si>
    <t>B00348</t>
  </si>
  <si>
    <t>B00349</t>
  </si>
  <si>
    <t>B00350</t>
  </si>
  <si>
    <t>B00351</t>
  </si>
  <si>
    <t>B00352</t>
  </si>
  <si>
    <t>B00353</t>
  </si>
  <si>
    <t>B00354</t>
  </si>
  <si>
    <t>B00355</t>
  </si>
  <si>
    <t>B00356</t>
  </si>
  <si>
    <t>B00357</t>
  </si>
  <si>
    <t>B00358</t>
  </si>
  <si>
    <t>B00359</t>
  </si>
  <si>
    <t>B00360</t>
  </si>
  <si>
    <t>B00361</t>
  </si>
  <si>
    <t>B00362</t>
  </si>
  <si>
    <t>B00363</t>
  </si>
  <si>
    <t>B00364</t>
  </si>
  <si>
    <t>B00365</t>
  </si>
  <si>
    <t>B00366</t>
  </si>
  <si>
    <t>B00367</t>
  </si>
  <si>
    <t>B00368</t>
  </si>
  <si>
    <t>B00369</t>
  </si>
  <si>
    <t>B00370</t>
  </si>
  <si>
    <t>B00371</t>
  </si>
  <si>
    <t>B00372</t>
  </si>
  <si>
    <t>B00373</t>
  </si>
  <si>
    <t>B00374</t>
  </si>
  <si>
    <t>B00375</t>
  </si>
  <si>
    <t>B00376</t>
  </si>
  <si>
    <t>B00377</t>
  </si>
  <si>
    <t>B00378</t>
  </si>
  <si>
    <t>B00379</t>
  </si>
  <si>
    <t>B00380</t>
  </si>
  <si>
    <t>B00381</t>
  </si>
  <si>
    <t>B00382</t>
  </si>
  <si>
    <t>B00383</t>
  </si>
  <si>
    <t>B00384</t>
  </si>
  <si>
    <t>B00385</t>
  </si>
  <si>
    <t>B00386</t>
  </si>
  <si>
    <t>B00387</t>
  </si>
  <si>
    <t>B00388</t>
  </si>
  <si>
    <t>B00389</t>
  </si>
  <si>
    <t>B00390</t>
  </si>
  <si>
    <t>B00391</t>
  </si>
  <si>
    <t>B00392</t>
  </si>
  <si>
    <t>B00393</t>
  </si>
  <si>
    <t>B00394</t>
  </si>
  <si>
    <t>B00395</t>
  </si>
  <si>
    <t>B00396</t>
  </si>
  <si>
    <t>B00397</t>
  </si>
  <si>
    <t>B00398</t>
  </si>
  <si>
    <t>B00399</t>
  </si>
  <si>
    <t>B00400</t>
  </si>
  <si>
    <t>B00401</t>
  </si>
  <si>
    <t>B00402</t>
  </si>
  <si>
    <t>B00403</t>
  </si>
  <si>
    <t>B00404</t>
  </si>
  <si>
    <t>B00405</t>
  </si>
  <si>
    <t>B00406</t>
  </si>
  <si>
    <t>B00407</t>
  </si>
  <si>
    <t>B00408</t>
  </si>
  <si>
    <t>B00409</t>
  </si>
  <si>
    <t>B00410</t>
  </si>
  <si>
    <t>B00411</t>
  </si>
  <si>
    <t>B00412</t>
  </si>
  <si>
    <t>B00413</t>
  </si>
  <si>
    <t>B00414</t>
  </si>
  <si>
    <t>B00415</t>
  </si>
  <si>
    <t>B00416</t>
  </si>
  <si>
    <t>B00417</t>
  </si>
  <si>
    <t>B00418</t>
  </si>
  <si>
    <t>B00419</t>
  </si>
  <si>
    <t>B00420</t>
  </si>
  <si>
    <t>B00421</t>
  </si>
  <si>
    <t>B00422</t>
  </si>
  <si>
    <t>B00423</t>
  </si>
  <si>
    <t>B00424</t>
  </si>
  <si>
    <t>B00425</t>
  </si>
  <si>
    <t>B00426</t>
  </si>
  <si>
    <t>B00427</t>
  </si>
  <si>
    <t>B00428</t>
  </si>
  <si>
    <t>B00429</t>
  </si>
  <si>
    <t>B00430</t>
  </si>
  <si>
    <t>B00431</t>
  </si>
  <si>
    <t>B00432</t>
  </si>
  <si>
    <t>B00433</t>
  </si>
  <si>
    <t>B00434</t>
  </si>
  <si>
    <t>B00435</t>
  </si>
  <si>
    <t>B00436</t>
  </si>
  <si>
    <t>B00437</t>
  </si>
  <si>
    <t>B00438</t>
  </si>
  <si>
    <t>B00439</t>
  </si>
  <si>
    <t>B00440</t>
  </si>
  <si>
    <t>B00441</t>
  </si>
  <si>
    <t>B00442</t>
  </si>
  <si>
    <t>B00443</t>
  </si>
  <si>
    <t>B00444</t>
  </si>
  <si>
    <t>B00445</t>
  </si>
  <si>
    <t>B00446</t>
  </si>
  <si>
    <t>B00447</t>
  </si>
  <si>
    <t>B00448</t>
  </si>
  <si>
    <t>B00449</t>
  </si>
  <si>
    <t>B00450</t>
  </si>
  <si>
    <t>B00451</t>
  </si>
  <si>
    <t>B00452</t>
  </si>
  <si>
    <t>B00453</t>
  </si>
  <si>
    <t>B00454</t>
  </si>
  <si>
    <t>B00455</t>
  </si>
  <si>
    <t>B00456</t>
  </si>
  <si>
    <t>B00457</t>
  </si>
  <si>
    <t>B00458</t>
  </si>
  <si>
    <t>B00459</t>
  </si>
  <si>
    <t>B00460</t>
  </si>
  <si>
    <t>B00461</t>
  </si>
  <si>
    <t>B00462</t>
  </si>
  <si>
    <t>B00463</t>
  </si>
  <si>
    <t>B00464</t>
  </si>
  <si>
    <t>B00465</t>
  </si>
  <si>
    <t>B00466</t>
  </si>
  <si>
    <t>B00467</t>
  </si>
  <si>
    <t>B00468</t>
  </si>
  <si>
    <t>B00469</t>
  </si>
  <si>
    <t>B00470</t>
  </si>
  <si>
    <t>B00471</t>
  </si>
  <si>
    <t>B00472</t>
  </si>
  <si>
    <t>B00473</t>
  </si>
  <si>
    <t>B00474</t>
  </si>
  <si>
    <t>B00475</t>
  </si>
  <si>
    <t>B00476</t>
  </si>
  <si>
    <t>B00477</t>
  </si>
  <si>
    <t>B00478</t>
  </si>
  <si>
    <t>B00479</t>
  </si>
  <si>
    <t>B00480</t>
  </si>
  <si>
    <t>B00481</t>
  </si>
  <si>
    <t>B00482</t>
  </si>
  <si>
    <t>B00483</t>
  </si>
  <si>
    <t>B00484</t>
  </si>
  <si>
    <t>B00485</t>
  </si>
  <si>
    <t>B00486</t>
  </si>
  <si>
    <t>B00487</t>
  </si>
  <si>
    <t>B00488</t>
  </si>
  <si>
    <t>B00489</t>
  </si>
  <si>
    <t>B00490</t>
  </si>
  <si>
    <t>B00491</t>
  </si>
  <si>
    <t>B00492</t>
  </si>
  <si>
    <t>B00493</t>
  </si>
  <si>
    <t>B00494</t>
  </si>
  <si>
    <t>B00495</t>
  </si>
  <si>
    <t>B00496</t>
  </si>
  <si>
    <t>B00497</t>
  </si>
  <si>
    <t>B00498</t>
  </si>
  <si>
    <t>B00499</t>
  </si>
  <si>
    <t>B00500</t>
  </si>
  <si>
    <t>B00501</t>
  </si>
  <si>
    <t>B00502</t>
  </si>
  <si>
    <t>B00503</t>
  </si>
  <si>
    <t>B00504</t>
  </si>
  <si>
    <t>B00505</t>
  </si>
  <si>
    <t>B00506</t>
  </si>
  <si>
    <t>B00507</t>
  </si>
  <si>
    <t>B00508</t>
  </si>
  <si>
    <t>B00509</t>
  </si>
  <si>
    <t>B00510</t>
  </si>
  <si>
    <t>B00511</t>
  </si>
  <si>
    <t>B00512</t>
  </si>
  <si>
    <t>B00513</t>
  </si>
  <si>
    <t>B00514</t>
  </si>
  <si>
    <t>B00515</t>
  </si>
  <si>
    <t>B00516</t>
  </si>
  <si>
    <t>B00517</t>
  </si>
  <si>
    <t>B00518</t>
  </si>
  <si>
    <t>B00519</t>
  </si>
  <si>
    <t>B00520</t>
  </si>
  <si>
    <t>B00521</t>
  </si>
  <si>
    <t>B00522</t>
  </si>
  <si>
    <t>B00523</t>
  </si>
  <si>
    <t>B00524</t>
  </si>
  <si>
    <t>B00525</t>
  </si>
  <si>
    <t>B00526</t>
  </si>
  <si>
    <t>B00527</t>
  </si>
  <si>
    <t>B00528</t>
  </si>
  <si>
    <t>B00529</t>
  </si>
  <si>
    <t>B00530</t>
  </si>
  <si>
    <t>B00531</t>
  </si>
  <si>
    <t>B00532</t>
  </si>
  <si>
    <t>B00533</t>
  </si>
  <si>
    <t>B00534</t>
  </si>
  <si>
    <t>B00535</t>
  </si>
  <si>
    <t>B00536</t>
  </si>
  <si>
    <t>B00537</t>
  </si>
  <si>
    <t>B00538</t>
  </si>
  <si>
    <t>B00539</t>
  </si>
  <si>
    <t>B00540</t>
  </si>
  <si>
    <t>B00541</t>
  </si>
  <si>
    <t>B00542</t>
  </si>
  <si>
    <t>B00543</t>
  </si>
  <si>
    <t>B00544</t>
  </si>
  <si>
    <t>B00545</t>
  </si>
  <si>
    <t>B00546</t>
  </si>
  <si>
    <t>B00547</t>
  </si>
  <si>
    <t>B00548</t>
  </si>
  <si>
    <t>B00549</t>
  </si>
  <si>
    <t>B00550</t>
  </si>
  <si>
    <t>B00551</t>
  </si>
  <si>
    <t>B00552</t>
  </si>
  <si>
    <t>B00553</t>
  </si>
  <si>
    <t>B00554</t>
  </si>
  <si>
    <t>B00555</t>
  </si>
  <si>
    <t>B00556</t>
  </si>
  <si>
    <t>B00557</t>
  </si>
  <si>
    <t>B00558</t>
  </si>
  <si>
    <t>B00559</t>
  </si>
  <si>
    <t>B00560</t>
  </si>
  <si>
    <t>B00561</t>
  </si>
  <si>
    <t>B00562</t>
  </si>
  <si>
    <t>B00563</t>
  </si>
  <si>
    <t>B00564</t>
  </si>
  <si>
    <t>B00565</t>
  </si>
  <si>
    <t>B00566</t>
  </si>
  <si>
    <t>B00567</t>
  </si>
  <si>
    <t>B00568</t>
  </si>
  <si>
    <t>B00569</t>
  </si>
  <si>
    <t>B00570</t>
  </si>
  <si>
    <t>B00571</t>
  </si>
  <si>
    <t>B00572</t>
  </si>
  <si>
    <t>B00573</t>
  </si>
  <si>
    <t>B00574</t>
  </si>
  <si>
    <t>B00575</t>
  </si>
  <si>
    <t>B00576</t>
  </si>
  <si>
    <t>B00577</t>
  </si>
  <si>
    <t>B00578</t>
  </si>
  <si>
    <t>B00579</t>
  </si>
  <si>
    <t>B00580</t>
  </si>
  <si>
    <t>B00581</t>
  </si>
  <si>
    <t>B00582</t>
  </si>
  <si>
    <t>B00583</t>
  </si>
  <si>
    <t>B00584</t>
  </si>
  <si>
    <t>B00585</t>
  </si>
  <si>
    <t>B00586</t>
  </si>
  <si>
    <t>B00587</t>
  </si>
  <si>
    <t>B00588</t>
  </si>
  <si>
    <t>B00589</t>
  </si>
  <si>
    <t>B00590</t>
  </si>
  <si>
    <t>B00591</t>
  </si>
  <si>
    <t>B00592</t>
  </si>
  <si>
    <t>B00593</t>
  </si>
  <si>
    <t>B00594</t>
  </si>
  <si>
    <t>B00595</t>
  </si>
  <si>
    <t>B00596</t>
  </si>
  <si>
    <t>B00597</t>
  </si>
  <si>
    <t>B00598</t>
  </si>
  <si>
    <t>B00599</t>
  </si>
  <si>
    <t>B00600</t>
  </si>
  <si>
    <t>B00601</t>
  </si>
  <si>
    <t>B00602</t>
  </si>
  <si>
    <t>B00603</t>
  </si>
  <si>
    <t>B00604</t>
  </si>
  <si>
    <t>B00605</t>
  </si>
  <si>
    <t>B00606</t>
  </si>
  <si>
    <t>B00607</t>
  </si>
  <si>
    <t>B00608</t>
  </si>
  <si>
    <t>B00609</t>
  </si>
  <si>
    <t>B00610</t>
  </si>
  <si>
    <t>B00611</t>
  </si>
  <si>
    <t>B00612</t>
  </si>
  <si>
    <t>B00613</t>
  </si>
  <si>
    <t>B00614</t>
  </si>
  <si>
    <t>B00615</t>
  </si>
  <si>
    <t>B00616</t>
  </si>
  <si>
    <t>B00617</t>
  </si>
  <si>
    <t>B00618</t>
  </si>
  <si>
    <t>B00619</t>
  </si>
  <si>
    <t>B00620</t>
  </si>
  <si>
    <t>B00621</t>
  </si>
  <si>
    <t>B00622</t>
  </si>
  <si>
    <t>B00623</t>
  </si>
  <si>
    <t>B00624</t>
  </si>
  <si>
    <t>B00625</t>
  </si>
  <si>
    <t>B00626</t>
  </si>
  <si>
    <t>B00627</t>
  </si>
  <si>
    <t>B00628</t>
  </si>
  <si>
    <t>B00629</t>
  </si>
  <si>
    <t>B00630</t>
  </si>
  <si>
    <t>B00631</t>
  </si>
  <si>
    <t>B00632</t>
  </si>
  <si>
    <t>B00633</t>
  </si>
  <si>
    <t>B00634</t>
  </si>
  <si>
    <t>B00635</t>
  </si>
  <si>
    <t>B00636</t>
  </si>
  <si>
    <t>B00637</t>
  </si>
  <si>
    <t>B00638</t>
  </si>
  <si>
    <t>B00639</t>
  </si>
  <si>
    <t>B00640</t>
  </si>
  <si>
    <t>B00641</t>
  </si>
  <si>
    <t>B00642</t>
  </si>
  <si>
    <t>B00643</t>
  </si>
  <si>
    <t>B00644</t>
  </si>
  <si>
    <t>B00645</t>
  </si>
  <si>
    <t>B00646</t>
  </si>
  <si>
    <t>B00647</t>
  </si>
  <si>
    <t>B00648</t>
  </si>
  <si>
    <t>B00649</t>
  </si>
  <si>
    <t>B00650</t>
  </si>
  <si>
    <t>B00651</t>
  </si>
  <si>
    <t>B00652</t>
  </si>
  <si>
    <t>B00653</t>
  </si>
  <si>
    <t>B00654</t>
  </si>
  <si>
    <t>B00655</t>
  </si>
  <si>
    <t>B00656</t>
  </si>
  <si>
    <t>B00657</t>
  </si>
  <si>
    <t>B00658</t>
  </si>
  <si>
    <t>B00659</t>
  </si>
  <si>
    <t>B00660</t>
  </si>
  <si>
    <t>B00661</t>
  </si>
  <si>
    <t>B00662</t>
  </si>
  <si>
    <t>B00663</t>
  </si>
  <si>
    <t>B00664</t>
  </si>
  <si>
    <t>B00665</t>
  </si>
  <si>
    <t>B00666</t>
  </si>
  <si>
    <t>B00667</t>
  </si>
  <si>
    <t>B00668</t>
  </si>
  <si>
    <t>B00669</t>
  </si>
  <si>
    <t>B00670</t>
  </si>
  <si>
    <t>B00671</t>
  </si>
  <si>
    <t>B00672</t>
  </si>
  <si>
    <t>B00673</t>
  </si>
  <si>
    <t>B00674</t>
  </si>
  <si>
    <t>B00675</t>
  </si>
  <si>
    <t>B00676</t>
  </si>
  <si>
    <t>B00677</t>
  </si>
  <si>
    <t>B00678</t>
  </si>
  <si>
    <t>B00679</t>
  </si>
  <si>
    <t>B00680</t>
  </si>
  <si>
    <t>B00681</t>
  </si>
  <si>
    <t>B00682</t>
  </si>
  <si>
    <t>B00683</t>
  </si>
  <si>
    <t>B00684</t>
  </si>
  <si>
    <t>B00685</t>
  </si>
  <si>
    <t>B00686</t>
  </si>
  <si>
    <t>B00687</t>
  </si>
  <si>
    <t>B00688</t>
  </si>
  <si>
    <t>B00689</t>
  </si>
  <si>
    <t>B00690</t>
  </si>
  <si>
    <t>B00691</t>
  </si>
  <si>
    <t>B00692</t>
  </si>
  <si>
    <t>B00693</t>
  </si>
  <si>
    <t>B00694</t>
  </si>
  <si>
    <t>B00695</t>
  </si>
  <si>
    <t>B00696</t>
  </si>
  <si>
    <t>B00697</t>
  </si>
  <si>
    <t>B00698</t>
  </si>
  <si>
    <t>B00699</t>
  </si>
  <si>
    <t>B00700</t>
  </si>
  <si>
    <t>B00701</t>
  </si>
  <si>
    <t>B00702</t>
  </si>
  <si>
    <t>B00703</t>
  </si>
  <si>
    <t>B00704</t>
  </si>
  <si>
    <t>B00705</t>
  </si>
  <si>
    <t>B00706</t>
  </si>
  <si>
    <t>B00707</t>
  </si>
  <si>
    <t>B00708</t>
  </si>
  <si>
    <t>B00709</t>
  </si>
  <si>
    <t>B00710</t>
  </si>
  <si>
    <t>B00711</t>
  </si>
  <si>
    <t>B00712</t>
  </si>
  <si>
    <t>B00713</t>
  </si>
  <si>
    <t>B00714</t>
  </si>
  <si>
    <t>B00715</t>
  </si>
  <si>
    <t>B00716</t>
  </si>
  <si>
    <t>B00717</t>
  </si>
  <si>
    <t>B00718</t>
  </si>
  <si>
    <t>B00719</t>
  </si>
  <si>
    <t>B00720</t>
  </si>
  <si>
    <t>B00721</t>
  </si>
  <si>
    <t>B00722</t>
  </si>
  <si>
    <t>B00723</t>
  </si>
  <si>
    <t>B00724</t>
  </si>
  <si>
    <t>B00725</t>
  </si>
  <si>
    <t>B00726</t>
  </si>
  <si>
    <t>B00727</t>
  </si>
  <si>
    <t>B00728</t>
  </si>
  <si>
    <t>B00729</t>
  </si>
  <si>
    <t>B00730</t>
  </si>
  <si>
    <t>B00731</t>
  </si>
  <si>
    <t>B00732</t>
  </si>
  <si>
    <t>B00733</t>
  </si>
  <si>
    <t>B00734</t>
  </si>
  <si>
    <t>B00735</t>
  </si>
  <si>
    <t>B00736</t>
  </si>
  <si>
    <t>B00737</t>
  </si>
  <si>
    <t>B00738</t>
  </si>
  <si>
    <t>B00739</t>
  </si>
  <si>
    <t>B00740</t>
  </si>
  <si>
    <t>B00741</t>
  </si>
  <si>
    <t>B00742</t>
  </si>
  <si>
    <t>B00743</t>
  </si>
  <si>
    <t>B00744</t>
  </si>
  <si>
    <t>B00745</t>
  </si>
  <si>
    <t>B00746</t>
  </si>
  <si>
    <t>B00747</t>
  </si>
  <si>
    <t>B00748</t>
  </si>
  <si>
    <t>B00749</t>
  </si>
  <si>
    <t>B00750</t>
  </si>
  <si>
    <t>B00751</t>
  </si>
  <si>
    <t>B00752</t>
  </si>
  <si>
    <t>B00753</t>
  </si>
  <si>
    <t>B00754</t>
  </si>
  <si>
    <t>B00755</t>
  </si>
  <si>
    <t>B00756</t>
  </si>
  <si>
    <t>B00757</t>
  </si>
  <si>
    <t>B00758</t>
  </si>
  <si>
    <t>B00759</t>
  </si>
  <si>
    <t>B00760</t>
  </si>
  <si>
    <t>B00761</t>
  </si>
  <si>
    <t>B00762</t>
  </si>
  <si>
    <t>B00763</t>
  </si>
  <si>
    <t>B00764</t>
  </si>
  <si>
    <t>B00765</t>
  </si>
  <si>
    <t>B00766</t>
  </si>
  <si>
    <t>B00767</t>
  </si>
  <si>
    <t>B00768</t>
  </si>
  <si>
    <t>B00769</t>
  </si>
  <si>
    <t>B00770</t>
  </si>
  <si>
    <t>B00771</t>
  </si>
  <si>
    <t>B00772</t>
  </si>
  <si>
    <t>B00773</t>
  </si>
  <si>
    <t>B00774</t>
  </si>
  <si>
    <t>B00775</t>
  </si>
  <si>
    <t>B00776</t>
  </si>
  <si>
    <t>B00777</t>
  </si>
  <si>
    <t>B00778</t>
  </si>
  <si>
    <t>B00779</t>
  </si>
  <si>
    <t>B00780</t>
  </si>
  <si>
    <t>B00781</t>
  </si>
  <si>
    <t>B00782</t>
  </si>
  <si>
    <t>B00783</t>
  </si>
  <si>
    <t>B00784</t>
  </si>
  <si>
    <t>B00785</t>
  </si>
  <si>
    <t>B00786</t>
  </si>
  <si>
    <t>B00787</t>
  </si>
  <si>
    <t>B00788</t>
  </si>
  <si>
    <t>B00789</t>
  </si>
  <si>
    <t>B00790</t>
  </si>
  <si>
    <t>B00791</t>
  </si>
  <si>
    <t>B00792</t>
  </si>
  <si>
    <t>B00793</t>
  </si>
  <si>
    <t>B00794</t>
  </si>
  <si>
    <t>B00795</t>
  </si>
  <si>
    <t>B00796</t>
  </si>
  <si>
    <t>B00797</t>
  </si>
  <si>
    <t>B00798</t>
  </si>
  <si>
    <t>B00799</t>
  </si>
  <si>
    <t>B00800</t>
  </si>
  <si>
    <t>B00801</t>
  </si>
  <si>
    <t>B00802</t>
  </si>
  <si>
    <t>B00803</t>
  </si>
  <si>
    <t>B00804</t>
  </si>
  <si>
    <t>B00805</t>
  </si>
  <si>
    <t>B00806</t>
  </si>
  <si>
    <t>B00807</t>
  </si>
  <si>
    <t>B00808</t>
  </si>
  <si>
    <t>B00809</t>
  </si>
  <si>
    <t>B00810</t>
  </si>
  <si>
    <t>B00811</t>
  </si>
  <si>
    <t>B00812</t>
  </si>
  <si>
    <t>B00813</t>
  </si>
  <si>
    <t>B00814</t>
  </si>
  <si>
    <t>B00815</t>
  </si>
  <si>
    <t>B00816</t>
  </si>
  <si>
    <t>B00817</t>
  </si>
  <si>
    <t>B00818</t>
  </si>
  <si>
    <t>B00819</t>
  </si>
  <si>
    <t>B00820</t>
  </si>
  <si>
    <t>B00821</t>
  </si>
  <si>
    <t>B00822</t>
  </si>
  <si>
    <t>B00823</t>
  </si>
  <si>
    <t>B00824</t>
  </si>
  <si>
    <t>B00825</t>
  </si>
  <si>
    <t>B00826</t>
  </si>
  <si>
    <t>B00827</t>
  </si>
  <si>
    <t>B00828</t>
  </si>
  <si>
    <t>B00829</t>
  </si>
  <si>
    <t>B00830</t>
  </si>
  <si>
    <t>B00831</t>
  </si>
  <si>
    <t>B00832</t>
  </si>
  <si>
    <t>B00833</t>
  </si>
  <si>
    <t>B00834</t>
  </si>
  <si>
    <t>B00835</t>
  </si>
  <si>
    <t>B00836</t>
  </si>
  <si>
    <t>B00837</t>
  </si>
  <si>
    <t>B00838</t>
  </si>
  <si>
    <t>B00839</t>
  </si>
  <si>
    <t>B00840</t>
  </si>
  <si>
    <t>B00841</t>
  </si>
  <si>
    <t>B00842</t>
  </si>
  <si>
    <t>B00843</t>
  </si>
  <si>
    <t>B00844</t>
  </si>
  <si>
    <t>B00845</t>
  </si>
  <si>
    <t>B00846</t>
  </si>
  <si>
    <t>B00847</t>
  </si>
  <si>
    <t>B00848</t>
  </si>
  <si>
    <t>B00849</t>
  </si>
  <si>
    <t>B00850</t>
  </si>
  <si>
    <t>B00851</t>
  </si>
  <si>
    <t>B00852</t>
  </si>
  <si>
    <t>B00853</t>
  </si>
  <si>
    <t>B00854</t>
  </si>
  <si>
    <t>B00855</t>
  </si>
  <si>
    <t>B00856</t>
  </si>
  <si>
    <t>B00857</t>
  </si>
  <si>
    <t>B00858</t>
  </si>
  <si>
    <t>B00859</t>
  </si>
  <si>
    <t>B00860</t>
  </si>
  <si>
    <t>B00861</t>
  </si>
  <si>
    <t>B00862</t>
  </si>
  <si>
    <t>B00863</t>
  </si>
  <si>
    <t>B00864</t>
  </si>
  <si>
    <t>B00865</t>
  </si>
  <si>
    <t>B00866</t>
  </si>
  <si>
    <t>B00867</t>
  </si>
  <si>
    <t>B00868</t>
  </si>
  <si>
    <t>B00869</t>
  </si>
  <si>
    <t>B00870</t>
  </si>
  <si>
    <t>B00871</t>
  </si>
  <si>
    <t>B00872</t>
  </si>
  <si>
    <t>B00873</t>
  </si>
  <si>
    <t>B00874</t>
  </si>
  <si>
    <t>B00875</t>
  </si>
  <si>
    <t>B00876</t>
  </si>
  <si>
    <t>B00877</t>
  </si>
  <si>
    <t>B00878</t>
  </si>
  <si>
    <t>B00879</t>
  </si>
  <si>
    <t>B00880</t>
  </si>
  <si>
    <t>B00881</t>
  </si>
  <si>
    <t>B00882</t>
  </si>
  <si>
    <t>B00883</t>
  </si>
  <si>
    <t>B00884</t>
  </si>
  <si>
    <t>B00885</t>
  </si>
  <si>
    <t>B00886</t>
  </si>
  <si>
    <t>B00887</t>
  </si>
  <si>
    <t>B00888</t>
  </si>
  <si>
    <t>B00889</t>
  </si>
  <si>
    <t>B00890</t>
  </si>
  <si>
    <t>B00891</t>
  </si>
  <si>
    <t>B00892</t>
  </si>
  <si>
    <t>B00893</t>
  </si>
  <si>
    <t>B00894</t>
  </si>
  <si>
    <t>B00895</t>
  </si>
  <si>
    <t>B00896</t>
  </si>
  <si>
    <t>B00897</t>
  </si>
  <si>
    <t>B00898</t>
  </si>
  <si>
    <t>B00899</t>
  </si>
  <si>
    <t>B00900</t>
  </si>
  <si>
    <t>B00901</t>
  </si>
  <si>
    <t>B00902</t>
  </si>
  <si>
    <t>B00903</t>
  </si>
  <si>
    <t>B00904</t>
  </si>
  <si>
    <t>B00905</t>
  </si>
  <si>
    <t>B00906</t>
  </si>
  <si>
    <t>B00907</t>
  </si>
  <si>
    <t>B00908</t>
  </si>
  <si>
    <t>B00909</t>
  </si>
  <si>
    <t>B00910</t>
  </si>
  <si>
    <t>B00911</t>
  </si>
  <si>
    <t>B00912</t>
  </si>
  <si>
    <t>B00913</t>
  </si>
  <si>
    <t>B00914</t>
  </si>
  <si>
    <t>B00915</t>
  </si>
  <si>
    <t>B00916</t>
  </si>
  <si>
    <t>B00917</t>
  </si>
  <si>
    <t>B00918</t>
  </si>
  <si>
    <t>B00919</t>
  </si>
  <si>
    <t>B00920</t>
  </si>
  <si>
    <t>B00921</t>
  </si>
  <si>
    <t>B00922</t>
  </si>
  <si>
    <t>B00923</t>
  </si>
  <si>
    <t>B00924</t>
  </si>
  <si>
    <t>B00925</t>
  </si>
  <si>
    <t>B00926</t>
  </si>
  <si>
    <t>B00927</t>
  </si>
  <si>
    <t>B00928</t>
  </si>
  <si>
    <t>B00929</t>
  </si>
  <si>
    <t>B00930</t>
  </si>
  <si>
    <t>B00931</t>
  </si>
  <si>
    <t>B00932</t>
  </si>
  <si>
    <t>B00933</t>
  </si>
  <si>
    <t>B00934</t>
  </si>
  <si>
    <t>B00935</t>
  </si>
  <si>
    <t>B00936</t>
  </si>
  <si>
    <t>B00937</t>
  </si>
  <si>
    <t>B00938</t>
  </si>
  <si>
    <t>B00939</t>
  </si>
  <si>
    <t>B00940</t>
  </si>
  <si>
    <t>B00941</t>
  </si>
  <si>
    <t>B00942</t>
  </si>
  <si>
    <t>B00943</t>
  </si>
  <si>
    <t>B00944</t>
  </si>
  <si>
    <t>B00945</t>
  </si>
  <si>
    <t>B00946</t>
  </si>
  <si>
    <t>B00947</t>
  </si>
  <si>
    <t>B00948</t>
  </si>
  <si>
    <t>B00949</t>
  </si>
  <si>
    <t>B00950</t>
  </si>
  <si>
    <t>B00951</t>
  </si>
  <si>
    <t>B00952</t>
  </si>
  <si>
    <t>B00953</t>
  </si>
  <si>
    <t>B00954</t>
  </si>
  <si>
    <t>B00955</t>
  </si>
  <si>
    <t>B00956</t>
  </si>
  <si>
    <t>B00957</t>
  </si>
  <si>
    <t>B00958</t>
  </si>
  <si>
    <t>B00959</t>
  </si>
  <si>
    <t>B00960</t>
  </si>
  <si>
    <t>B00961</t>
  </si>
  <si>
    <t>B00962</t>
  </si>
  <si>
    <t>B00963</t>
  </si>
  <si>
    <t>B00964</t>
  </si>
  <si>
    <t>B00965</t>
  </si>
  <si>
    <t>B00966</t>
  </si>
  <si>
    <t>B00967</t>
  </si>
  <si>
    <t>B00968</t>
  </si>
  <si>
    <t>B00969</t>
  </si>
  <si>
    <t>B00970</t>
  </si>
  <si>
    <t>B00971</t>
  </si>
  <si>
    <t>B00972</t>
  </si>
  <si>
    <t>B00973</t>
  </si>
  <si>
    <t>B00974</t>
  </si>
  <si>
    <t>B00975</t>
  </si>
  <si>
    <t>B00976</t>
  </si>
  <si>
    <t>B00977</t>
  </si>
  <si>
    <t>B00978</t>
  </si>
  <si>
    <t>B00979</t>
  </si>
  <si>
    <t>B00980</t>
  </si>
  <si>
    <t>B00981</t>
  </si>
  <si>
    <t>B00982</t>
  </si>
  <si>
    <t>B00983</t>
  </si>
  <si>
    <t>B00984</t>
  </si>
  <si>
    <t>B00985</t>
  </si>
  <si>
    <t>B00986</t>
  </si>
  <si>
    <t>B00987</t>
  </si>
  <si>
    <t>B00988</t>
  </si>
  <si>
    <t>B00989</t>
  </si>
  <si>
    <t>B00990</t>
  </si>
  <si>
    <t>B00991</t>
  </si>
  <si>
    <t>B00992</t>
  </si>
  <si>
    <t>B00993</t>
  </si>
  <si>
    <t>B00994</t>
  </si>
  <si>
    <t>B00995</t>
  </si>
  <si>
    <t>B00996</t>
  </si>
  <si>
    <t>B00997</t>
  </si>
  <si>
    <t>B00998</t>
  </si>
  <si>
    <t>B00999</t>
  </si>
  <si>
    <t>B01000</t>
  </si>
  <si>
    <t>B01001</t>
  </si>
  <si>
    <t>B01002</t>
  </si>
  <si>
    <t>B01003</t>
  </si>
  <si>
    <t>B01004</t>
  </si>
  <si>
    <t>B01005</t>
  </si>
  <si>
    <t>B01006</t>
  </si>
  <si>
    <t>B01007</t>
  </si>
  <si>
    <t>B01008</t>
  </si>
  <si>
    <t>B01009</t>
  </si>
  <si>
    <t>B01010</t>
  </si>
  <si>
    <t>B01011</t>
  </si>
  <si>
    <t>B01012</t>
  </si>
  <si>
    <t>B01013</t>
  </si>
  <si>
    <t>B01014</t>
  </si>
  <si>
    <t>B01015</t>
  </si>
  <si>
    <t>B01016</t>
  </si>
  <si>
    <t>B01017</t>
  </si>
  <si>
    <t>B01018</t>
  </si>
  <si>
    <t>B01019</t>
  </si>
  <si>
    <t>B01020</t>
  </si>
  <si>
    <t>B01021</t>
  </si>
  <si>
    <t>B01022</t>
  </si>
  <si>
    <t>B01023</t>
  </si>
  <si>
    <t>B01024</t>
  </si>
  <si>
    <t>B01025</t>
  </si>
  <si>
    <t>B01026</t>
  </si>
  <si>
    <t>B01027</t>
  </si>
  <si>
    <t>B01028</t>
  </si>
  <si>
    <t>B01029</t>
  </si>
  <si>
    <t>B01030</t>
  </si>
  <si>
    <t>B01031</t>
  </si>
  <si>
    <t>B01032</t>
  </si>
  <si>
    <t>B01033</t>
  </si>
  <si>
    <t>B01034</t>
  </si>
  <si>
    <t>B01035</t>
  </si>
  <si>
    <t>B01036</t>
  </si>
  <si>
    <t>B01037</t>
  </si>
  <si>
    <t>B01038</t>
  </si>
  <si>
    <t>B01039</t>
  </si>
  <si>
    <t>B01040</t>
  </si>
  <si>
    <t>B01041</t>
  </si>
  <si>
    <t>B01042</t>
  </si>
  <si>
    <t>B01043</t>
  </si>
  <si>
    <t>B01044</t>
  </si>
  <si>
    <t>B01045</t>
  </si>
  <si>
    <t>B01046</t>
  </si>
  <si>
    <t>B01047</t>
  </si>
  <si>
    <t>B01048</t>
  </si>
  <si>
    <t>B01049</t>
  </si>
  <si>
    <t>B01050</t>
  </si>
  <si>
    <t>B01051</t>
  </si>
  <si>
    <t>B01052</t>
  </si>
  <si>
    <t>B01053</t>
  </si>
  <si>
    <t>B01054</t>
  </si>
  <si>
    <t>B01055</t>
  </si>
  <si>
    <t>B01056</t>
  </si>
  <si>
    <t>B01057</t>
  </si>
  <si>
    <t>B01058</t>
  </si>
  <si>
    <t>B01059</t>
  </si>
  <si>
    <t>B01060</t>
  </si>
  <si>
    <t>B01061</t>
  </si>
  <si>
    <t>B01062</t>
  </si>
  <si>
    <t>B01063</t>
  </si>
  <si>
    <t>B01064</t>
  </si>
  <si>
    <t>B01065</t>
  </si>
  <si>
    <t>B01066</t>
  </si>
  <si>
    <t>B01067</t>
  </si>
  <si>
    <t>B01068</t>
  </si>
  <si>
    <t>B01069</t>
  </si>
  <si>
    <t>B01070</t>
  </si>
  <si>
    <t>B01071</t>
  </si>
  <si>
    <t>B01072</t>
  </si>
  <si>
    <t>B01073</t>
  </si>
  <si>
    <t>B01074</t>
  </si>
  <si>
    <t>B01075</t>
  </si>
  <si>
    <t>B01076</t>
  </si>
  <si>
    <t>B01077</t>
  </si>
  <si>
    <t>B01078</t>
  </si>
  <si>
    <t>B01079</t>
  </si>
  <si>
    <t>B01080</t>
  </si>
  <si>
    <t>B01081</t>
  </si>
  <si>
    <t>B01082</t>
  </si>
  <si>
    <t>B01083</t>
  </si>
  <si>
    <t>B01084</t>
  </si>
  <si>
    <t>B01085</t>
  </si>
  <si>
    <t>B01086</t>
  </si>
  <si>
    <t>B01087</t>
  </si>
  <si>
    <t>B01088</t>
  </si>
  <si>
    <t>B01089</t>
  </si>
  <si>
    <t>B01090</t>
  </si>
  <si>
    <t>B01091</t>
  </si>
  <si>
    <t>B01092</t>
  </si>
  <si>
    <t>B01093</t>
  </si>
  <si>
    <t>B01094</t>
  </si>
  <si>
    <t>B01095</t>
  </si>
  <si>
    <t>B01096</t>
  </si>
  <si>
    <t>B01097</t>
  </si>
  <si>
    <t>B01098</t>
  </si>
  <si>
    <t>B01099</t>
  </si>
  <si>
    <t>B01100</t>
  </si>
  <si>
    <t>B01101</t>
  </si>
  <si>
    <t>B01102</t>
  </si>
  <si>
    <t>B01103</t>
  </si>
  <si>
    <t>B01104</t>
  </si>
  <si>
    <t>B01105</t>
  </si>
  <si>
    <t>B01106</t>
  </si>
  <si>
    <t>B01107</t>
  </si>
  <si>
    <t>B01108</t>
  </si>
  <si>
    <t>B01109</t>
  </si>
  <si>
    <t>B01110</t>
  </si>
  <si>
    <t>B01111</t>
  </si>
  <si>
    <t>B01112</t>
  </si>
  <si>
    <t>B01113</t>
  </si>
  <si>
    <t>B01114</t>
  </si>
  <si>
    <t>B01115</t>
  </si>
  <si>
    <t>B01116</t>
  </si>
  <si>
    <t>B01117</t>
  </si>
  <si>
    <t>B01118</t>
  </si>
  <si>
    <t>B01119</t>
  </si>
  <si>
    <t>B01120</t>
  </si>
  <si>
    <t>B01121</t>
  </si>
  <si>
    <t>B01122</t>
  </si>
  <si>
    <t>B01123</t>
  </si>
  <si>
    <t>B01124</t>
  </si>
  <si>
    <t>B01125</t>
  </si>
  <si>
    <t>B01126</t>
  </si>
  <si>
    <t>B01127</t>
  </si>
  <si>
    <t>B01128</t>
  </si>
  <si>
    <t>B01129</t>
  </si>
  <si>
    <t>B01130</t>
  </si>
  <si>
    <t>B01131</t>
  </si>
  <si>
    <t>B01132</t>
  </si>
  <si>
    <t>B01133</t>
  </si>
  <si>
    <t>B01134</t>
  </si>
  <si>
    <t>B01135</t>
  </si>
  <si>
    <t>B01136</t>
  </si>
  <si>
    <t>B01137</t>
  </si>
  <si>
    <t>B01138</t>
  </si>
  <si>
    <t>B01139</t>
  </si>
  <si>
    <t>B01140</t>
  </si>
  <si>
    <t>B01141</t>
  </si>
  <si>
    <t>B01142</t>
  </si>
  <si>
    <t>B01143</t>
  </si>
  <si>
    <t>B01144</t>
  </si>
  <si>
    <t>B01145</t>
  </si>
  <si>
    <t>B01146</t>
  </si>
  <si>
    <t>B01147</t>
  </si>
  <si>
    <t>B01148</t>
  </si>
  <si>
    <t>B01149</t>
  </si>
  <si>
    <t>B01150</t>
  </si>
  <si>
    <t>B01151</t>
  </si>
  <si>
    <t>B01152</t>
  </si>
  <si>
    <t>B01153</t>
  </si>
  <si>
    <t>B01154</t>
  </si>
  <si>
    <t>B01155</t>
  </si>
  <si>
    <t>B01156</t>
  </si>
  <si>
    <t>B01157</t>
  </si>
  <si>
    <t>B01158</t>
  </si>
  <si>
    <t>B01159</t>
  </si>
  <si>
    <t>B01160</t>
  </si>
  <si>
    <t>B01161</t>
  </si>
  <si>
    <t>B01162</t>
  </si>
  <si>
    <t>B01163</t>
  </si>
  <si>
    <t>B01164</t>
  </si>
  <si>
    <t>B01165</t>
  </si>
  <si>
    <t>B01166</t>
  </si>
  <si>
    <t>B01167</t>
  </si>
  <si>
    <t>B01168</t>
  </si>
  <si>
    <t>B01169</t>
  </si>
  <si>
    <t>B01170</t>
  </si>
  <si>
    <t>B01171</t>
  </si>
  <si>
    <t>B01172</t>
  </si>
  <si>
    <t>B01173</t>
  </si>
  <si>
    <t>B01174</t>
  </si>
  <si>
    <t>B01175</t>
  </si>
  <si>
    <t>B01176</t>
  </si>
  <si>
    <t>B01177</t>
  </si>
  <si>
    <t>B01178</t>
  </si>
  <si>
    <t>B01179</t>
  </si>
  <si>
    <t>B01180</t>
  </si>
  <si>
    <t>B01181</t>
  </si>
  <si>
    <t>B01182</t>
  </si>
  <si>
    <t>B01183</t>
  </si>
  <si>
    <t>B01184</t>
  </si>
  <si>
    <t>B01185</t>
  </si>
  <si>
    <t>B01186</t>
  </si>
  <si>
    <t>B01187</t>
  </si>
  <si>
    <t>B01188</t>
  </si>
  <si>
    <t>B01189</t>
  </si>
  <si>
    <t>B01190</t>
  </si>
  <si>
    <t>B01191</t>
  </si>
  <si>
    <t>B01192</t>
  </si>
  <si>
    <t>B01193</t>
  </si>
  <si>
    <t>B01194</t>
  </si>
  <si>
    <t>B01195</t>
  </si>
  <si>
    <t>B01196</t>
  </si>
  <si>
    <t>B01197</t>
  </si>
  <si>
    <t>B01198</t>
  </si>
  <si>
    <t>B01199</t>
  </si>
  <si>
    <t>B01200</t>
  </si>
  <si>
    <t>B01201</t>
  </si>
  <si>
    <t>B01202</t>
  </si>
  <si>
    <t>B01203</t>
  </si>
  <si>
    <t>B01204</t>
  </si>
  <si>
    <t>B01205</t>
  </si>
  <si>
    <t>B01206</t>
  </si>
  <si>
    <t>B01207</t>
  </si>
  <si>
    <t>B01208</t>
  </si>
  <si>
    <t>B01209</t>
  </si>
  <si>
    <t>B01210</t>
  </si>
  <si>
    <t>B01211</t>
  </si>
  <si>
    <t>B01212</t>
  </si>
  <si>
    <t>B01213</t>
  </si>
  <si>
    <t>B01214</t>
  </si>
  <si>
    <t>B01215</t>
  </si>
  <si>
    <t>B01216</t>
  </si>
  <si>
    <t>B01217</t>
  </si>
  <si>
    <t>B01218</t>
  </si>
  <si>
    <t>B01219</t>
  </si>
  <si>
    <t>B01220</t>
  </si>
  <si>
    <t>B01221</t>
  </si>
  <si>
    <t>B01222</t>
  </si>
  <si>
    <t>B01223</t>
  </si>
  <si>
    <t>B01224</t>
  </si>
  <si>
    <t>B01225</t>
  </si>
  <si>
    <t>B01226</t>
  </si>
  <si>
    <t>B01227</t>
  </si>
  <si>
    <t>B01228</t>
  </si>
  <si>
    <t>B01229</t>
  </si>
  <si>
    <t>B01230</t>
  </si>
  <si>
    <t>B01231</t>
  </si>
  <si>
    <t>B01232</t>
  </si>
  <si>
    <t>B01233</t>
  </si>
  <si>
    <t>B01234</t>
  </si>
  <si>
    <t>B01235</t>
  </si>
  <si>
    <t>B01236</t>
  </si>
  <si>
    <t>B01237</t>
  </si>
  <si>
    <t>B01238</t>
  </si>
  <si>
    <t>B01239</t>
  </si>
  <si>
    <t>B01240</t>
  </si>
  <si>
    <t>B01241</t>
  </si>
  <si>
    <t>B01242</t>
  </si>
  <si>
    <t>B01243</t>
  </si>
  <si>
    <t>B01244</t>
  </si>
  <si>
    <t>B01245</t>
  </si>
  <si>
    <t>B01246</t>
  </si>
  <si>
    <t>B01247</t>
  </si>
  <si>
    <t>B01248</t>
  </si>
  <si>
    <t>B01249</t>
  </si>
  <si>
    <t>B01250</t>
  </si>
  <si>
    <t>B01251</t>
  </si>
  <si>
    <t>B01252</t>
  </si>
  <si>
    <t>B01253</t>
  </si>
  <si>
    <t>B01254</t>
  </si>
  <si>
    <t>B01255</t>
  </si>
  <si>
    <t>B01256</t>
  </si>
  <si>
    <t>B01257</t>
  </si>
  <si>
    <t>B01258</t>
  </si>
  <si>
    <t>B01259</t>
  </si>
  <si>
    <t>B01260</t>
  </si>
  <si>
    <t>B01261</t>
  </si>
  <si>
    <t>B01262</t>
  </si>
  <si>
    <t>B01263</t>
  </si>
  <si>
    <t>B01264</t>
  </si>
  <si>
    <t>B01265</t>
  </si>
  <si>
    <t>B01266</t>
  </si>
  <si>
    <t>B01267</t>
  </si>
  <si>
    <t>B01268</t>
  </si>
  <si>
    <t>B01269</t>
  </si>
  <si>
    <t>B01270</t>
  </si>
  <si>
    <t>B01271</t>
  </si>
  <si>
    <t>B01272</t>
  </si>
  <si>
    <t>B01273</t>
  </si>
  <si>
    <t>B01274</t>
  </si>
  <si>
    <t>B01275</t>
  </si>
  <si>
    <t>B01276</t>
  </si>
  <si>
    <t>B01277</t>
  </si>
  <si>
    <t>B01278</t>
  </si>
  <si>
    <t>B01279</t>
  </si>
  <si>
    <t>B01280</t>
  </si>
  <si>
    <t>B01281</t>
  </si>
  <si>
    <t>B01282</t>
  </si>
  <si>
    <t>B01283</t>
  </si>
  <si>
    <t>B01284</t>
  </si>
  <si>
    <t>B01285</t>
  </si>
  <si>
    <t>B01286</t>
  </si>
  <si>
    <t>B01287</t>
  </si>
  <si>
    <t>B01288</t>
  </si>
  <si>
    <t>B01289</t>
  </si>
  <si>
    <t>B01290</t>
  </si>
  <si>
    <t>B01291</t>
  </si>
  <si>
    <t>B01292</t>
  </si>
  <si>
    <t>B01293</t>
  </si>
  <si>
    <t>B01294</t>
  </si>
  <si>
    <t>B01295</t>
  </si>
  <si>
    <t>B01296</t>
  </si>
  <si>
    <t>Concrete</t>
  </si>
  <si>
    <t>B01297</t>
  </si>
  <si>
    <t>B01298</t>
  </si>
  <si>
    <t>B01299</t>
  </si>
  <si>
    <t>B01300</t>
  </si>
  <si>
    <t>B01301</t>
  </si>
  <si>
    <t>B01302</t>
  </si>
  <si>
    <t>B01303</t>
  </si>
  <si>
    <t>B01304</t>
  </si>
  <si>
    <t>B01305</t>
  </si>
  <si>
    <t>B01306</t>
  </si>
  <si>
    <t>B01307</t>
  </si>
  <si>
    <t>B01308</t>
  </si>
  <si>
    <t>B01309</t>
  </si>
  <si>
    <t>B01310</t>
  </si>
  <si>
    <t>B01311</t>
  </si>
  <si>
    <t>B01312</t>
  </si>
  <si>
    <t>B01313</t>
  </si>
  <si>
    <t>B01314</t>
  </si>
  <si>
    <t>B01315</t>
  </si>
  <si>
    <t>B01316</t>
  </si>
  <si>
    <t>B01317</t>
  </si>
  <si>
    <t>B01318</t>
  </si>
  <si>
    <t>B01319</t>
  </si>
  <si>
    <t>B01320</t>
  </si>
  <si>
    <t>B01321</t>
  </si>
  <si>
    <t>B01322</t>
  </si>
  <si>
    <t>B01323</t>
  </si>
  <si>
    <t>B01324</t>
  </si>
  <si>
    <t>B01325</t>
  </si>
  <si>
    <t>B01326</t>
  </si>
  <si>
    <t>B01327</t>
  </si>
  <si>
    <t>B01328</t>
  </si>
  <si>
    <t>B01329</t>
  </si>
  <si>
    <t>B01330</t>
  </si>
  <si>
    <t>B01331</t>
  </si>
  <si>
    <t>B01332</t>
  </si>
  <si>
    <t>B01333</t>
  </si>
  <si>
    <t>B01334</t>
  </si>
  <si>
    <t>B01335</t>
  </si>
  <si>
    <t>B01336</t>
  </si>
  <si>
    <t>B01337</t>
  </si>
  <si>
    <t>B01338</t>
  </si>
  <si>
    <t>B01339</t>
  </si>
  <si>
    <t>B01340</t>
  </si>
  <si>
    <t>B01341</t>
  </si>
  <si>
    <t>B01342</t>
  </si>
  <si>
    <t>B01343</t>
  </si>
  <si>
    <t>B01344</t>
  </si>
  <si>
    <t>B01345</t>
  </si>
  <si>
    <t>B01346</t>
  </si>
  <si>
    <t>B01347</t>
  </si>
  <si>
    <t>B01348</t>
  </si>
  <si>
    <t>B01349</t>
  </si>
  <si>
    <t>B01350</t>
  </si>
  <si>
    <t>B01351</t>
  </si>
  <si>
    <t>B01352</t>
  </si>
  <si>
    <t>B01353</t>
  </si>
  <si>
    <t>B01354</t>
  </si>
  <si>
    <t>B01355</t>
  </si>
  <si>
    <t>B01356</t>
  </si>
  <si>
    <t>B01357</t>
  </si>
  <si>
    <t>B01358</t>
  </si>
  <si>
    <t>B01359</t>
  </si>
  <si>
    <t>B01360</t>
  </si>
  <si>
    <t>B01361</t>
  </si>
  <si>
    <t>B01362</t>
  </si>
  <si>
    <t>B01363</t>
  </si>
  <si>
    <t>B01364</t>
  </si>
  <si>
    <t>B01365</t>
  </si>
  <si>
    <t>B01366</t>
  </si>
  <si>
    <t>B01367</t>
  </si>
  <si>
    <t>B01368</t>
  </si>
  <si>
    <t>B01369</t>
  </si>
  <si>
    <t>B01370</t>
  </si>
  <si>
    <t>B01371</t>
  </si>
  <si>
    <t>B01372</t>
  </si>
  <si>
    <t>B01373</t>
  </si>
  <si>
    <t>B01374</t>
  </si>
  <si>
    <t>B01375</t>
  </si>
  <si>
    <t>B01376</t>
  </si>
  <si>
    <t>B01377</t>
  </si>
  <si>
    <t>B01378</t>
  </si>
  <si>
    <t>B01379</t>
  </si>
  <si>
    <t>B01380</t>
  </si>
  <si>
    <t>B01381</t>
  </si>
  <si>
    <t>B01382</t>
  </si>
  <si>
    <t>B01383</t>
  </si>
  <si>
    <t>B01384</t>
  </si>
  <si>
    <t>B01385</t>
  </si>
  <si>
    <t>B01386</t>
  </si>
  <si>
    <t>B01387</t>
  </si>
  <si>
    <t>B01388</t>
  </si>
  <si>
    <t>B01389</t>
  </si>
  <si>
    <t>B01390</t>
  </si>
  <si>
    <t>B01391</t>
  </si>
  <si>
    <t>B01392</t>
  </si>
  <si>
    <t>B01393</t>
  </si>
  <si>
    <t>B01394</t>
  </si>
  <si>
    <t>B01395</t>
  </si>
  <si>
    <t>B01396</t>
  </si>
  <si>
    <t>B01397</t>
  </si>
  <si>
    <t>B01398</t>
  </si>
  <si>
    <t>B01399</t>
  </si>
  <si>
    <t>B01400</t>
  </si>
  <si>
    <t>B01401</t>
  </si>
  <si>
    <t>B01402</t>
  </si>
  <si>
    <t>B01403</t>
  </si>
  <si>
    <t>B01404</t>
  </si>
  <si>
    <t>B01405</t>
  </si>
  <si>
    <t>B01406</t>
  </si>
  <si>
    <t>B01407</t>
  </si>
  <si>
    <t>B01408</t>
  </si>
  <si>
    <t>B01409</t>
  </si>
  <si>
    <t>B01410</t>
  </si>
  <si>
    <t>B01411</t>
  </si>
  <si>
    <t>B01412</t>
  </si>
  <si>
    <t>B01413</t>
  </si>
  <si>
    <t>B01414</t>
  </si>
  <si>
    <t>B01415</t>
  </si>
  <si>
    <t>B01416</t>
  </si>
  <si>
    <t>B01417</t>
  </si>
  <si>
    <t>B01418</t>
  </si>
  <si>
    <t>B01419</t>
  </si>
  <si>
    <t>B01420</t>
  </si>
  <si>
    <t>B01421</t>
  </si>
  <si>
    <t>B01422</t>
  </si>
  <si>
    <t>B01423</t>
  </si>
  <si>
    <t>B01424</t>
  </si>
  <si>
    <t>B01425</t>
  </si>
  <si>
    <t>B01426</t>
  </si>
  <si>
    <t>B01427</t>
  </si>
  <si>
    <t>B01428</t>
  </si>
  <si>
    <t>B01429</t>
  </si>
  <si>
    <t>B01430</t>
  </si>
  <si>
    <t>B01431</t>
  </si>
  <si>
    <t>B01432</t>
  </si>
  <si>
    <t>B01433</t>
  </si>
  <si>
    <t>B01434</t>
  </si>
  <si>
    <t>B01435</t>
  </si>
  <si>
    <t>B01436</t>
  </si>
  <si>
    <t>B01437</t>
  </si>
  <si>
    <t>B01438</t>
  </si>
  <si>
    <t>B01439</t>
  </si>
  <si>
    <t>B01440</t>
  </si>
  <si>
    <t>B01441</t>
  </si>
  <si>
    <t>B01442</t>
  </si>
  <si>
    <t>B01443</t>
  </si>
  <si>
    <t>B01444</t>
  </si>
  <si>
    <t>B01445</t>
  </si>
  <si>
    <t>B01446</t>
  </si>
  <si>
    <t>B01447</t>
  </si>
  <si>
    <t>B01448</t>
  </si>
  <si>
    <t>B01449</t>
  </si>
  <si>
    <t>B01450</t>
  </si>
  <si>
    <t>B01451</t>
  </si>
  <si>
    <t>B01452</t>
  </si>
  <si>
    <t>B01453</t>
  </si>
  <si>
    <t>B01454</t>
  </si>
  <si>
    <t>B01455</t>
  </si>
  <si>
    <t>B01456</t>
  </si>
  <si>
    <t>B01457</t>
  </si>
  <si>
    <t>B01458</t>
  </si>
  <si>
    <t>B01459</t>
  </si>
  <si>
    <t>B01460</t>
  </si>
  <si>
    <t>B01461</t>
  </si>
  <si>
    <t>B01462</t>
  </si>
  <si>
    <t>B01463</t>
  </si>
  <si>
    <t>B01464</t>
  </si>
  <si>
    <t>B01465</t>
  </si>
  <si>
    <t>B01466</t>
  </si>
  <si>
    <t>B01467</t>
  </si>
  <si>
    <t>B01468</t>
  </si>
  <si>
    <t>B01469</t>
  </si>
  <si>
    <t>B01470</t>
  </si>
  <si>
    <t>B01471</t>
  </si>
  <si>
    <t>B01472</t>
  </si>
  <si>
    <t>B01473</t>
  </si>
  <si>
    <t>B01474</t>
  </si>
  <si>
    <t>B01475</t>
  </si>
  <si>
    <t>B01476</t>
  </si>
  <si>
    <t>B01477</t>
  </si>
  <si>
    <t>B01478</t>
  </si>
  <si>
    <t>B01479</t>
  </si>
  <si>
    <t>B01480</t>
  </si>
  <si>
    <t>B01481</t>
  </si>
  <si>
    <t>B01482</t>
  </si>
  <si>
    <t>B01483</t>
  </si>
  <si>
    <t>B01484</t>
  </si>
  <si>
    <t>B01485</t>
  </si>
  <si>
    <t>B01486</t>
  </si>
  <si>
    <t>B01487</t>
  </si>
  <si>
    <t>B01488</t>
  </si>
  <si>
    <t>B01489</t>
  </si>
  <si>
    <t>B01490</t>
  </si>
  <si>
    <t>B01491</t>
  </si>
  <si>
    <t>B01492</t>
  </si>
  <si>
    <t>B01493</t>
  </si>
  <si>
    <t>B01494</t>
  </si>
  <si>
    <t>B01495</t>
  </si>
  <si>
    <t>B01496</t>
  </si>
  <si>
    <t>B01497</t>
  </si>
  <si>
    <t>B01498</t>
  </si>
  <si>
    <t>B01499</t>
  </si>
  <si>
    <t>B01500</t>
  </si>
  <si>
    <t>B01501</t>
  </si>
  <si>
    <t>B01502</t>
  </si>
  <si>
    <t>B01503</t>
  </si>
  <si>
    <t>B01504</t>
  </si>
  <si>
    <t>B01505</t>
  </si>
  <si>
    <t>B01506</t>
  </si>
  <si>
    <t>B01507</t>
  </si>
  <si>
    <t>B01508</t>
  </si>
  <si>
    <t>B01509</t>
  </si>
  <si>
    <t>B01510</t>
  </si>
  <si>
    <t>B01511</t>
  </si>
  <si>
    <t>B01512</t>
  </si>
  <si>
    <t>B01513</t>
  </si>
  <si>
    <t>B01514</t>
  </si>
  <si>
    <t>B01515</t>
  </si>
  <si>
    <t>B01516</t>
  </si>
  <si>
    <t>B01517</t>
  </si>
  <si>
    <t>B01518</t>
  </si>
  <si>
    <t>B01519</t>
  </si>
  <si>
    <t>B01520</t>
  </si>
  <si>
    <t>B01521</t>
  </si>
  <si>
    <t>B01522</t>
  </si>
  <si>
    <t>B01523</t>
  </si>
  <si>
    <t>B01524</t>
  </si>
  <si>
    <t>B01525</t>
  </si>
  <si>
    <t>B01526</t>
  </si>
  <si>
    <t>B01527</t>
  </si>
  <si>
    <t>B01528</t>
  </si>
  <si>
    <t>B01529</t>
  </si>
  <si>
    <t>B01530</t>
  </si>
  <si>
    <t>B01531</t>
  </si>
  <si>
    <t>B01532</t>
  </si>
  <si>
    <t>B01533</t>
  </si>
  <si>
    <t>B01534</t>
  </si>
  <si>
    <t>B01535</t>
  </si>
  <si>
    <t>B01536</t>
  </si>
  <si>
    <t>B01537</t>
  </si>
  <si>
    <t>B01538</t>
  </si>
  <si>
    <t>B01539</t>
  </si>
  <si>
    <t>B01540</t>
  </si>
  <si>
    <t>B01541</t>
  </si>
  <si>
    <t>B01542</t>
  </si>
  <si>
    <t>B01543</t>
  </si>
  <si>
    <t>B01544</t>
  </si>
  <si>
    <t>B01545</t>
  </si>
  <si>
    <t>B01546</t>
  </si>
  <si>
    <t>B01547</t>
  </si>
  <si>
    <t>B01548</t>
  </si>
  <si>
    <t>B01549</t>
  </si>
  <si>
    <t>B01550</t>
  </si>
  <si>
    <t>B01551</t>
  </si>
  <si>
    <t>B01552</t>
  </si>
  <si>
    <t>B01553</t>
  </si>
  <si>
    <t>B01554</t>
  </si>
  <si>
    <t>B01555</t>
  </si>
  <si>
    <t>B01556</t>
  </si>
  <si>
    <t>B01557</t>
  </si>
  <si>
    <t>B01558</t>
  </si>
  <si>
    <t>B01559</t>
  </si>
  <si>
    <t>B01560</t>
  </si>
  <si>
    <t>B01561</t>
  </si>
  <si>
    <t>B01562</t>
  </si>
  <si>
    <t>B01563</t>
  </si>
  <si>
    <t>B01564</t>
  </si>
  <si>
    <t>B01565</t>
  </si>
  <si>
    <t>B01566</t>
  </si>
  <si>
    <t>B01567</t>
  </si>
  <si>
    <t>B01568</t>
  </si>
  <si>
    <t>B01569</t>
  </si>
  <si>
    <t>B01570</t>
  </si>
  <si>
    <t>B01571</t>
  </si>
  <si>
    <t>B01572</t>
  </si>
  <si>
    <t>B01573</t>
  </si>
  <si>
    <t>B01574</t>
  </si>
  <si>
    <t>B01575</t>
  </si>
  <si>
    <t>B01576</t>
  </si>
  <si>
    <t>B01577</t>
  </si>
  <si>
    <t>B01578</t>
  </si>
  <si>
    <t>B01579</t>
  </si>
  <si>
    <t>B01580</t>
  </si>
  <si>
    <t>B01581</t>
  </si>
  <si>
    <t>B01582</t>
  </si>
  <si>
    <t>B01583</t>
  </si>
  <si>
    <t>B01584</t>
  </si>
  <si>
    <t>B01585</t>
  </si>
  <si>
    <t>B01586</t>
  </si>
  <si>
    <t>B01587</t>
  </si>
  <si>
    <t>B01588</t>
  </si>
  <si>
    <t>B01589</t>
  </si>
  <si>
    <t>B01590</t>
  </si>
  <si>
    <t>B01591</t>
  </si>
  <si>
    <t>B01592</t>
  </si>
  <si>
    <t>B01593</t>
  </si>
  <si>
    <t>B01594</t>
  </si>
  <si>
    <t>B01595</t>
  </si>
  <si>
    <t>B01596</t>
  </si>
  <si>
    <t>B01597</t>
  </si>
  <si>
    <t>B01598</t>
  </si>
  <si>
    <t>B01599</t>
  </si>
  <si>
    <t>B01600</t>
  </si>
  <si>
    <t>B01601</t>
  </si>
  <si>
    <t>B01602</t>
  </si>
  <si>
    <t>B01603</t>
  </si>
  <si>
    <t>B01604</t>
  </si>
  <si>
    <t>B01605</t>
  </si>
  <si>
    <t>B01606</t>
  </si>
  <si>
    <t>B01607</t>
  </si>
  <si>
    <t>B01608</t>
  </si>
  <si>
    <t>B01609</t>
  </si>
  <si>
    <t>B01610</t>
  </si>
  <si>
    <t>B01611</t>
  </si>
  <si>
    <t>B01612</t>
  </si>
  <si>
    <t>B01613</t>
  </si>
  <si>
    <t>B01614</t>
  </si>
  <si>
    <t>B01615</t>
  </si>
  <si>
    <t>B01616</t>
  </si>
  <si>
    <t>B01617</t>
  </si>
  <si>
    <t>B01618</t>
  </si>
  <si>
    <t>B01619</t>
  </si>
  <si>
    <t>B01620</t>
  </si>
  <si>
    <t>B01621</t>
  </si>
  <si>
    <t>B01622</t>
  </si>
  <si>
    <t>B01623</t>
  </si>
  <si>
    <t>B01624</t>
  </si>
  <si>
    <t>B01625</t>
  </si>
  <si>
    <t>B01626</t>
  </si>
  <si>
    <t>B01627</t>
  </si>
  <si>
    <t>B01628</t>
  </si>
  <si>
    <t>B01629</t>
  </si>
  <si>
    <t>B01630</t>
  </si>
  <si>
    <t>B01631</t>
  </si>
  <si>
    <t>B01632</t>
  </si>
  <si>
    <t>B01633</t>
  </si>
  <si>
    <t>B01634</t>
  </si>
  <si>
    <t>B01635</t>
  </si>
  <si>
    <t>B01636</t>
  </si>
  <si>
    <t>B01637</t>
  </si>
  <si>
    <t>B01638</t>
  </si>
  <si>
    <t>B01639</t>
  </si>
  <si>
    <t>B01640</t>
  </si>
  <si>
    <t>B01641</t>
  </si>
  <si>
    <t>B01642</t>
  </si>
  <si>
    <t>B01643</t>
  </si>
  <si>
    <t>B01644</t>
  </si>
  <si>
    <t>B01645</t>
  </si>
  <si>
    <t>B01646</t>
  </si>
  <si>
    <t>B01647</t>
  </si>
  <si>
    <t>B01648</t>
  </si>
  <si>
    <t>B01649</t>
  </si>
  <si>
    <t>B01650</t>
  </si>
  <si>
    <t>B01651</t>
  </si>
  <si>
    <t>B01652</t>
  </si>
  <si>
    <t>B01653</t>
  </si>
  <si>
    <t>B01654</t>
  </si>
  <si>
    <t>B01655</t>
  </si>
  <si>
    <t>B01656</t>
  </si>
  <si>
    <t>B01657</t>
  </si>
  <si>
    <t>B01658</t>
  </si>
  <si>
    <t>B01659</t>
  </si>
  <si>
    <t>B01660</t>
  </si>
  <si>
    <t>B01661</t>
  </si>
  <si>
    <t>B01662</t>
  </si>
  <si>
    <t>B01663</t>
  </si>
  <si>
    <t>B01664</t>
  </si>
  <si>
    <t>B01665</t>
  </si>
  <si>
    <t>B01666</t>
  </si>
  <si>
    <t>B01667</t>
  </si>
  <si>
    <t>B01668</t>
  </si>
  <si>
    <t>B01669</t>
  </si>
  <si>
    <t>B01670</t>
  </si>
  <si>
    <t>B01671</t>
  </si>
  <si>
    <t>B01672</t>
  </si>
  <si>
    <t>B01673</t>
  </si>
  <si>
    <t>B01674</t>
  </si>
  <si>
    <t>B01675</t>
  </si>
  <si>
    <t>B01676</t>
  </si>
  <si>
    <t>B01677</t>
  </si>
  <si>
    <t>B01678</t>
  </si>
  <si>
    <t>B01679</t>
  </si>
  <si>
    <t>B01680</t>
  </si>
  <si>
    <t>B01681</t>
  </si>
  <si>
    <t>B01682</t>
  </si>
  <si>
    <t>B01683</t>
  </si>
  <si>
    <t>B01684</t>
  </si>
  <si>
    <t>B01685</t>
  </si>
  <si>
    <t>B01686</t>
  </si>
  <si>
    <t>B01687</t>
  </si>
  <si>
    <t>B01688</t>
  </si>
  <si>
    <t>B01689</t>
  </si>
  <si>
    <t>B01690</t>
  </si>
  <si>
    <t>B01691</t>
  </si>
  <si>
    <t>B01692</t>
  </si>
  <si>
    <t>B01693</t>
  </si>
  <si>
    <t>B01694</t>
  </si>
  <si>
    <t>B01695</t>
  </si>
  <si>
    <t>B01696</t>
  </si>
  <si>
    <t>B01697</t>
  </si>
  <si>
    <t>B01698</t>
  </si>
  <si>
    <t>B01699</t>
  </si>
  <si>
    <t>B01700</t>
  </si>
  <si>
    <t>B01701</t>
  </si>
  <si>
    <t>B01702</t>
  </si>
  <si>
    <t>B01703</t>
  </si>
  <si>
    <t>B01704</t>
  </si>
  <si>
    <t>B01705</t>
  </si>
  <si>
    <t>B01706</t>
  </si>
  <si>
    <t>B01707</t>
  </si>
  <si>
    <t>B01708</t>
  </si>
  <si>
    <t>B01709</t>
  </si>
  <si>
    <t>B01710</t>
  </si>
  <si>
    <t>B01711</t>
  </si>
  <si>
    <t>B01712</t>
  </si>
  <si>
    <t>B01713</t>
  </si>
  <si>
    <t>B01714</t>
  </si>
  <si>
    <t>B01715</t>
  </si>
  <si>
    <t>B01716</t>
  </si>
  <si>
    <t>B01717</t>
  </si>
  <si>
    <t>B01718</t>
  </si>
  <si>
    <t>B01719</t>
  </si>
  <si>
    <t>B01720</t>
  </si>
  <si>
    <t>B01721</t>
  </si>
  <si>
    <t>B01722</t>
  </si>
  <si>
    <t>B01723</t>
  </si>
  <si>
    <t>B01724</t>
  </si>
  <si>
    <t>B01725</t>
  </si>
  <si>
    <t>B01726</t>
  </si>
  <si>
    <t>B01727</t>
  </si>
  <si>
    <t>B01728</t>
  </si>
  <si>
    <t>B01729</t>
  </si>
  <si>
    <t>B01730</t>
  </si>
  <si>
    <t>B01731</t>
  </si>
  <si>
    <t>B01732</t>
  </si>
  <si>
    <t>B01733</t>
  </si>
  <si>
    <t>B01734</t>
  </si>
  <si>
    <t>B01735</t>
  </si>
  <si>
    <t>B01736</t>
  </si>
  <si>
    <t>B01737</t>
  </si>
  <si>
    <t>B01738</t>
  </si>
  <si>
    <t>B01739</t>
  </si>
  <si>
    <t>B01740</t>
  </si>
  <si>
    <t>B01741</t>
  </si>
  <si>
    <t>B01742</t>
  </si>
  <si>
    <t>B01743</t>
  </si>
  <si>
    <t>B01744</t>
  </si>
  <si>
    <t>B01745</t>
  </si>
  <si>
    <t>B01746</t>
  </si>
  <si>
    <t>B01747</t>
  </si>
  <si>
    <t>B01748</t>
  </si>
  <si>
    <t>B01749</t>
  </si>
  <si>
    <t>B01750</t>
  </si>
  <si>
    <t>B01751</t>
  </si>
  <si>
    <t>B01752</t>
  </si>
  <si>
    <t>B01753</t>
  </si>
  <si>
    <t>B01754</t>
  </si>
  <si>
    <t>B01755</t>
  </si>
  <si>
    <t>B01756</t>
  </si>
  <si>
    <t>B01757</t>
  </si>
  <si>
    <t>B01758</t>
  </si>
  <si>
    <t>B01759</t>
  </si>
  <si>
    <t>B01760</t>
  </si>
  <si>
    <t>B01761</t>
  </si>
  <si>
    <t>B01762</t>
  </si>
  <si>
    <t>B01763</t>
  </si>
  <si>
    <t>B01764</t>
  </si>
  <si>
    <t>B01765</t>
  </si>
  <si>
    <t>B01766</t>
  </si>
  <si>
    <t>B01767</t>
  </si>
  <si>
    <t>B01768</t>
  </si>
  <si>
    <t>B01769</t>
  </si>
  <si>
    <t>B01770</t>
  </si>
  <si>
    <t>B01771</t>
  </si>
  <si>
    <t>B01772</t>
  </si>
  <si>
    <t>B01773</t>
  </si>
  <si>
    <t>B01774</t>
  </si>
  <si>
    <t>B01775</t>
  </si>
  <si>
    <t>B01776</t>
  </si>
  <si>
    <t>B01777</t>
  </si>
  <si>
    <t>B01778</t>
  </si>
  <si>
    <t>B01779</t>
  </si>
  <si>
    <t>B01780</t>
  </si>
  <si>
    <t>B01781</t>
  </si>
  <si>
    <t>B01782</t>
  </si>
  <si>
    <t>B01783</t>
  </si>
  <si>
    <t>B01784</t>
  </si>
  <si>
    <t>B01785</t>
  </si>
  <si>
    <t>B01786</t>
  </si>
  <si>
    <t>B01787</t>
  </si>
  <si>
    <t>B01788</t>
  </si>
  <si>
    <t>B01789</t>
  </si>
  <si>
    <t>B01790</t>
  </si>
  <si>
    <t>B01791</t>
  </si>
  <si>
    <t>B01792</t>
  </si>
  <si>
    <t>B01793</t>
  </si>
  <si>
    <t>B01794</t>
  </si>
  <si>
    <t>B01795</t>
  </si>
  <si>
    <t>B01796</t>
  </si>
  <si>
    <t>B01797</t>
  </si>
  <si>
    <t>B01798</t>
  </si>
  <si>
    <t>B01799</t>
  </si>
  <si>
    <t>B01800</t>
  </si>
  <si>
    <t>B01801</t>
  </si>
  <si>
    <t>B01802</t>
  </si>
  <si>
    <t>B01803</t>
  </si>
  <si>
    <t>B01804</t>
  </si>
  <si>
    <t>B01805</t>
  </si>
  <si>
    <t>B01806</t>
  </si>
  <si>
    <t>B01807</t>
  </si>
  <si>
    <t>B01808</t>
  </si>
  <si>
    <t>B01809</t>
  </si>
  <si>
    <t>B01810</t>
  </si>
  <si>
    <t>B01811</t>
  </si>
  <si>
    <t>B01812</t>
  </si>
  <si>
    <t>B01813</t>
  </si>
  <si>
    <t>B01814</t>
  </si>
  <si>
    <t>B01815</t>
  </si>
  <si>
    <t>B01816</t>
  </si>
  <si>
    <t>B01817</t>
  </si>
  <si>
    <t>B01818</t>
  </si>
  <si>
    <t>B01819</t>
  </si>
  <si>
    <t>B01820</t>
  </si>
  <si>
    <t>B01821</t>
  </si>
  <si>
    <t>B01822</t>
  </si>
  <si>
    <t>B01823</t>
  </si>
  <si>
    <t>B01824</t>
  </si>
  <si>
    <t>B01825</t>
  </si>
  <si>
    <t>B01826</t>
  </si>
  <si>
    <t>B01827</t>
  </si>
  <si>
    <t>B01828</t>
  </si>
  <si>
    <t>B01829</t>
  </si>
  <si>
    <t>B01830</t>
  </si>
  <si>
    <t>B01831</t>
  </si>
  <si>
    <t>B01832</t>
  </si>
  <si>
    <t>B01833</t>
  </si>
  <si>
    <t>B01834</t>
  </si>
  <si>
    <t>B01835</t>
  </si>
  <si>
    <t>B01836</t>
  </si>
  <si>
    <t>B01837</t>
  </si>
  <si>
    <t>B01838</t>
  </si>
  <si>
    <t>B01839</t>
  </si>
  <si>
    <t>B01840</t>
  </si>
  <si>
    <t>B01841</t>
  </si>
  <si>
    <t>B01842</t>
  </si>
  <si>
    <t>B01843</t>
  </si>
  <si>
    <t>B01844</t>
  </si>
  <si>
    <t>B01845</t>
  </si>
  <si>
    <t>B01846</t>
  </si>
  <si>
    <t>B01847</t>
  </si>
  <si>
    <t>B01848</t>
  </si>
  <si>
    <t>B01849</t>
  </si>
  <si>
    <t>B01850</t>
  </si>
  <si>
    <t>B01851</t>
  </si>
  <si>
    <t>B01852</t>
  </si>
  <si>
    <t>B01853</t>
  </si>
  <si>
    <t>B01854</t>
  </si>
  <si>
    <t>B01855</t>
  </si>
  <si>
    <t>B01856</t>
  </si>
  <si>
    <t>B01857</t>
  </si>
  <si>
    <t>B01858</t>
  </si>
  <si>
    <t>B01859</t>
  </si>
  <si>
    <t>B01860</t>
  </si>
  <si>
    <t>B01861</t>
  </si>
  <si>
    <t>B01862</t>
  </si>
  <si>
    <t>B01863</t>
  </si>
  <si>
    <t>B01864</t>
  </si>
  <si>
    <t>B01865</t>
  </si>
  <si>
    <t>B01866</t>
  </si>
  <si>
    <t>B01867</t>
  </si>
  <si>
    <t>B01868</t>
  </si>
  <si>
    <t>B01869</t>
  </si>
  <si>
    <t>B01870</t>
  </si>
  <si>
    <t>B01871</t>
  </si>
  <si>
    <t>B01872</t>
  </si>
  <si>
    <t>B01873</t>
  </si>
  <si>
    <t>B01874</t>
  </si>
  <si>
    <t>B01875</t>
  </si>
  <si>
    <t>B01876</t>
  </si>
  <si>
    <t>B01877</t>
  </si>
  <si>
    <t>B01878</t>
  </si>
  <si>
    <t>B01879</t>
  </si>
  <si>
    <t>B01880</t>
  </si>
  <si>
    <t>B01881</t>
  </si>
  <si>
    <t>B01882</t>
  </si>
  <si>
    <t>B01883</t>
  </si>
  <si>
    <t>B01884</t>
  </si>
  <si>
    <t>B01885</t>
  </si>
  <si>
    <t>B01886</t>
  </si>
  <si>
    <t>B01887</t>
  </si>
  <si>
    <t>B01888</t>
  </si>
  <si>
    <t>B01889</t>
  </si>
  <si>
    <t>B01890</t>
  </si>
  <si>
    <t>B01891</t>
  </si>
  <si>
    <t>B01892</t>
  </si>
  <si>
    <t>B01893</t>
  </si>
  <si>
    <t>B01894</t>
  </si>
  <si>
    <t>B01895</t>
  </si>
  <si>
    <t>B01896</t>
  </si>
  <si>
    <t>B01897</t>
  </si>
  <si>
    <t>B01898</t>
  </si>
  <si>
    <t>B01899</t>
  </si>
  <si>
    <t>B01900</t>
  </si>
  <si>
    <t>B01901</t>
  </si>
  <si>
    <t>B01902</t>
  </si>
  <si>
    <t>B01903</t>
  </si>
  <si>
    <t>B01904</t>
  </si>
  <si>
    <t>B01905</t>
  </si>
  <si>
    <t>B01906</t>
  </si>
  <si>
    <t>B01907</t>
  </si>
  <si>
    <t>B01908</t>
  </si>
  <si>
    <t>B01909</t>
  </si>
  <si>
    <t>B01910</t>
  </si>
  <si>
    <t>B01911</t>
  </si>
  <si>
    <t>B01912</t>
  </si>
  <si>
    <t>B01913</t>
  </si>
  <si>
    <t>B01914</t>
  </si>
  <si>
    <t>B01915</t>
  </si>
  <si>
    <t>B01916</t>
  </si>
  <si>
    <t>B01917</t>
  </si>
  <si>
    <t>B01918</t>
  </si>
  <si>
    <t>B01919</t>
  </si>
  <si>
    <t>B01920</t>
  </si>
  <si>
    <t>B01921</t>
  </si>
  <si>
    <t>B01922</t>
  </si>
  <si>
    <t>B01923</t>
  </si>
  <si>
    <t>B01924</t>
  </si>
  <si>
    <t>B01925</t>
  </si>
  <si>
    <t>B01926</t>
  </si>
  <si>
    <t>B01927</t>
  </si>
  <si>
    <t>B01928</t>
  </si>
  <si>
    <t>B01929</t>
  </si>
  <si>
    <t>B01930</t>
  </si>
  <si>
    <t>B01931</t>
  </si>
  <si>
    <t>B01932</t>
  </si>
  <si>
    <t>B01933</t>
  </si>
  <si>
    <t>B01934</t>
  </si>
  <si>
    <t>B01935</t>
  </si>
  <si>
    <t>B01936</t>
  </si>
  <si>
    <t>B01937</t>
  </si>
  <si>
    <t>B01938</t>
  </si>
  <si>
    <t>B01939</t>
  </si>
  <si>
    <t>B01940</t>
  </si>
  <si>
    <t>B01941</t>
  </si>
  <si>
    <t>B01942</t>
  </si>
  <si>
    <t>B01943</t>
  </si>
  <si>
    <t>B01944</t>
  </si>
  <si>
    <t>B01945</t>
  </si>
  <si>
    <t>B01946</t>
  </si>
  <si>
    <t>B01947</t>
  </si>
  <si>
    <t>B01948</t>
  </si>
  <si>
    <t>B01949</t>
  </si>
  <si>
    <t>B01950</t>
  </si>
  <si>
    <t>B01951</t>
  </si>
  <si>
    <t>B01952</t>
  </si>
  <si>
    <t>B01953</t>
  </si>
  <si>
    <t>B01954</t>
  </si>
  <si>
    <t>B01955</t>
  </si>
  <si>
    <t>B01956</t>
  </si>
  <si>
    <t>B01957</t>
  </si>
  <si>
    <t>B01958</t>
  </si>
  <si>
    <t>B01959</t>
  </si>
  <si>
    <t>B01960</t>
  </si>
  <si>
    <t>B01961</t>
  </si>
  <si>
    <t>B01962</t>
  </si>
  <si>
    <t>B01963</t>
  </si>
  <si>
    <t>B01964</t>
  </si>
  <si>
    <t>B01965</t>
  </si>
  <si>
    <t>B01966</t>
  </si>
  <si>
    <t>B01967</t>
  </si>
  <si>
    <t>B01968</t>
  </si>
  <si>
    <t>B01969</t>
  </si>
  <si>
    <t>B01970</t>
  </si>
  <si>
    <t>B01971</t>
  </si>
  <si>
    <t>B01972</t>
  </si>
  <si>
    <t>B01973</t>
  </si>
  <si>
    <t>B01974</t>
  </si>
  <si>
    <t>B01975</t>
  </si>
  <si>
    <t>B01976</t>
  </si>
  <si>
    <t>B01977</t>
  </si>
  <si>
    <t>B01978</t>
  </si>
  <si>
    <t>B01979</t>
  </si>
  <si>
    <t>B01980</t>
  </si>
  <si>
    <t>B01981</t>
  </si>
  <si>
    <t>B01982</t>
  </si>
  <si>
    <t>B01983</t>
  </si>
  <si>
    <t>B01984</t>
  </si>
  <si>
    <t>B01985</t>
  </si>
  <si>
    <t>B01986</t>
  </si>
  <si>
    <t>B01987</t>
  </si>
  <si>
    <t>B01988</t>
  </si>
  <si>
    <t>B01989</t>
  </si>
  <si>
    <t>B01990</t>
  </si>
  <si>
    <t>B01991</t>
  </si>
  <si>
    <t>B01992</t>
  </si>
  <si>
    <t>B01993</t>
  </si>
  <si>
    <t>B01994</t>
  </si>
  <si>
    <t>B01995</t>
  </si>
  <si>
    <t>B01996</t>
  </si>
  <si>
    <t>B01997</t>
  </si>
  <si>
    <t>B01998</t>
  </si>
  <si>
    <t>B01999</t>
  </si>
  <si>
    <t>B02000</t>
  </si>
  <si>
    <t>B02001</t>
  </si>
  <si>
    <t>B02002</t>
  </si>
  <si>
    <t>B02003</t>
  </si>
  <si>
    <t>B02004</t>
  </si>
  <si>
    <t>B02005</t>
  </si>
  <si>
    <t>B02006</t>
  </si>
  <si>
    <t>B02007</t>
  </si>
  <si>
    <t>B02008</t>
  </si>
  <si>
    <t>B02009</t>
  </si>
  <si>
    <t>B02010</t>
  </si>
  <si>
    <t>B02011</t>
  </si>
  <si>
    <t>B02012</t>
  </si>
  <si>
    <t>B02013</t>
  </si>
  <si>
    <t>B02014</t>
  </si>
  <si>
    <t>B02015</t>
  </si>
  <si>
    <t>B02016</t>
  </si>
  <si>
    <t>B02017</t>
  </si>
  <si>
    <t>B02018</t>
  </si>
  <si>
    <t>B02019</t>
  </si>
  <si>
    <t>B02020</t>
  </si>
  <si>
    <t>B02021</t>
  </si>
  <si>
    <t>B02022</t>
  </si>
  <si>
    <t>B02023</t>
  </si>
  <si>
    <t>B02024</t>
  </si>
  <si>
    <t>B02025</t>
  </si>
  <si>
    <t>B02026</t>
  </si>
  <si>
    <t>B02027</t>
  </si>
  <si>
    <t>B02028</t>
  </si>
  <si>
    <t>B02029</t>
  </si>
  <si>
    <t>B02030</t>
  </si>
  <si>
    <t>B02031</t>
  </si>
  <si>
    <t>B02032</t>
  </si>
  <si>
    <t>B02033</t>
  </si>
  <si>
    <t>B02034</t>
  </si>
  <si>
    <t>B02035</t>
  </si>
  <si>
    <t>B02036</t>
  </si>
  <si>
    <t>B02037</t>
  </si>
  <si>
    <t>B02038</t>
  </si>
  <si>
    <t>B02039</t>
  </si>
  <si>
    <t>B02040</t>
  </si>
  <si>
    <t>B02041</t>
  </si>
  <si>
    <t>B02042</t>
  </si>
  <si>
    <t>B02043</t>
  </si>
  <si>
    <t>B02044</t>
  </si>
  <si>
    <t>B02045</t>
  </si>
  <si>
    <t>B02046</t>
  </si>
  <si>
    <t>B02047</t>
  </si>
  <si>
    <t>B02048</t>
  </si>
  <si>
    <t>B02049</t>
  </si>
  <si>
    <t>B02050</t>
  </si>
  <si>
    <t>B02051</t>
  </si>
  <si>
    <t>B02052</t>
  </si>
  <si>
    <t>B02053</t>
  </si>
  <si>
    <t>B02054</t>
  </si>
  <si>
    <t>B02055</t>
  </si>
  <si>
    <t>B02056</t>
  </si>
  <si>
    <t>B02057</t>
  </si>
  <si>
    <t>B02058</t>
  </si>
  <si>
    <t>B02059</t>
  </si>
  <si>
    <t>B02060</t>
  </si>
  <si>
    <t>B02061</t>
  </si>
  <si>
    <t>B02062</t>
  </si>
  <si>
    <t>B02063</t>
  </si>
  <si>
    <t>B02064</t>
  </si>
  <si>
    <t>B02065</t>
  </si>
  <si>
    <t>B02066</t>
  </si>
  <si>
    <t>B02067</t>
  </si>
  <si>
    <t>B02068</t>
  </si>
  <si>
    <t>B02069</t>
  </si>
  <si>
    <t>B02070</t>
  </si>
  <si>
    <t>B02071</t>
  </si>
  <si>
    <t>B02072</t>
  </si>
  <si>
    <t>B02073</t>
  </si>
  <si>
    <t>B02074</t>
  </si>
  <si>
    <t>B02075</t>
  </si>
  <si>
    <t>B02076</t>
  </si>
  <si>
    <t>B02077</t>
  </si>
  <si>
    <t>B02078</t>
  </si>
  <si>
    <t>B02079</t>
  </si>
  <si>
    <t>B02080</t>
  </si>
  <si>
    <t>B02081</t>
  </si>
  <si>
    <t>B02082</t>
  </si>
  <si>
    <t>B02083</t>
  </si>
  <si>
    <t>B02084</t>
  </si>
  <si>
    <t>B02085</t>
  </si>
  <si>
    <t>B02086</t>
  </si>
  <si>
    <t>B02087</t>
  </si>
  <si>
    <t>B02088</t>
  </si>
  <si>
    <t>B02089</t>
  </si>
  <si>
    <t>B02090</t>
  </si>
  <si>
    <t>B02091</t>
  </si>
  <si>
    <t>B02092</t>
  </si>
  <si>
    <t>B02093</t>
  </si>
  <si>
    <t>B02094</t>
  </si>
  <si>
    <t>B02095</t>
  </si>
  <si>
    <t>B02096</t>
  </si>
  <si>
    <t>B02097</t>
  </si>
  <si>
    <t>B02098</t>
  </si>
  <si>
    <t>B02099</t>
  </si>
  <si>
    <t>B02100</t>
  </si>
  <si>
    <t>B02101</t>
  </si>
  <si>
    <t>B02102</t>
  </si>
  <si>
    <t>B02103</t>
  </si>
  <si>
    <t>B02104</t>
  </si>
  <si>
    <t>B02105</t>
  </si>
  <si>
    <t>B02106</t>
  </si>
  <si>
    <t>B02107</t>
  </si>
  <si>
    <t>B02108</t>
  </si>
  <si>
    <t>B02109</t>
  </si>
  <si>
    <t>B02110</t>
  </si>
  <si>
    <t>B02111</t>
  </si>
  <si>
    <t>B02112</t>
  </si>
  <si>
    <t>B02113</t>
  </si>
  <si>
    <t>B02114</t>
  </si>
  <si>
    <t>B02115</t>
  </si>
  <si>
    <t>B02116</t>
  </si>
  <si>
    <t>B02117</t>
  </si>
  <si>
    <t>B02118</t>
  </si>
  <si>
    <t>B02119</t>
  </si>
  <si>
    <t>B02120</t>
  </si>
  <si>
    <t>B02121</t>
  </si>
  <si>
    <t>B02122</t>
  </si>
  <si>
    <t>B02123</t>
  </si>
  <si>
    <t>B02124</t>
  </si>
  <si>
    <t>B02125</t>
  </si>
  <si>
    <t>B02126</t>
  </si>
  <si>
    <t>B02127</t>
  </si>
  <si>
    <t>B02128</t>
  </si>
  <si>
    <t>B02129</t>
  </si>
  <si>
    <t>B02130</t>
  </si>
  <si>
    <t>B02131</t>
  </si>
  <si>
    <t>B02132</t>
  </si>
  <si>
    <t>B02133</t>
  </si>
  <si>
    <t>B02134</t>
  </si>
  <si>
    <t>B02135</t>
  </si>
  <si>
    <t>B02136</t>
  </si>
  <si>
    <t>B02137</t>
  </si>
  <si>
    <t>B02138</t>
  </si>
  <si>
    <t>B02139</t>
  </si>
  <si>
    <t>B02140</t>
  </si>
  <si>
    <t>B02141</t>
  </si>
  <si>
    <t>B02142</t>
  </si>
  <si>
    <t>B02143</t>
  </si>
  <si>
    <t>B02144</t>
  </si>
  <si>
    <t>B02145</t>
  </si>
  <si>
    <t>B02146</t>
  </si>
  <si>
    <t>B02147</t>
  </si>
  <si>
    <t>B02148</t>
  </si>
  <si>
    <t>B02149</t>
  </si>
  <si>
    <t>B02150</t>
  </si>
  <si>
    <t>B02151</t>
  </si>
  <si>
    <t>B02152</t>
  </si>
  <si>
    <t>B02153</t>
  </si>
  <si>
    <t>B02154</t>
  </si>
  <si>
    <t>B02155</t>
  </si>
  <si>
    <t>B02156</t>
  </si>
  <si>
    <t>B02157</t>
  </si>
  <si>
    <t>B02158</t>
  </si>
  <si>
    <t>B02159</t>
  </si>
  <si>
    <t>B02160</t>
  </si>
  <si>
    <t>B02161</t>
  </si>
  <si>
    <t>B02162</t>
  </si>
  <si>
    <t>B02163</t>
  </si>
  <si>
    <t>B02164</t>
  </si>
  <si>
    <t>B02165</t>
  </si>
  <si>
    <t>B02166</t>
  </si>
  <si>
    <t>B02167</t>
  </si>
  <si>
    <t>B02168</t>
  </si>
  <si>
    <t>B02169</t>
  </si>
  <si>
    <t>B02170</t>
  </si>
  <si>
    <t>B02171</t>
  </si>
  <si>
    <t>B02172</t>
  </si>
  <si>
    <t>B02173</t>
  </si>
  <si>
    <t>B02174</t>
  </si>
  <si>
    <t>B02175</t>
  </si>
  <si>
    <t>B02176</t>
  </si>
  <si>
    <t>B02177</t>
  </si>
  <si>
    <t>B02178</t>
  </si>
  <si>
    <t>B02179</t>
  </si>
  <si>
    <t>B02180</t>
  </si>
  <si>
    <t>B02181</t>
  </si>
  <si>
    <t>B02182</t>
  </si>
  <si>
    <t>B02183</t>
  </si>
  <si>
    <t>B02184</t>
  </si>
  <si>
    <t>B02185</t>
  </si>
  <si>
    <t>B02186</t>
  </si>
  <si>
    <t>B02187</t>
  </si>
  <si>
    <t>B02188</t>
  </si>
  <si>
    <t>B02189</t>
  </si>
  <si>
    <t>B02190</t>
  </si>
  <si>
    <t>B02191</t>
  </si>
  <si>
    <t>B02192</t>
  </si>
  <si>
    <t>B02193</t>
  </si>
  <si>
    <t>B02194</t>
  </si>
  <si>
    <t>B02195</t>
  </si>
  <si>
    <t>B02196</t>
  </si>
  <si>
    <t>B02197</t>
  </si>
  <si>
    <t>B02198</t>
  </si>
  <si>
    <t>B02199</t>
  </si>
  <si>
    <t>B02200</t>
  </si>
  <si>
    <t>B02201</t>
  </si>
  <si>
    <t>B02202</t>
  </si>
  <si>
    <t>B02203</t>
  </si>
  <si>
    <t>B02204</t>
  </si>
  <si>
    <t>B02205</t>
  </si>
  <si>
    <t>B02206</t>
  </si>
  <si>
    <t>B02207</t>
  </si>
  <si>
    <t>B02208</t>
  </si>
  <si>
    <t>B02209</t>
  </si>
  <si>
    <t>B02210</t>
  </si>
  <si>
    <t>B02211</t>
  </si>
  <si>
    <t>B02212</t>
  </si>
  <si>
    <t>B02213</t>
  </si>
  <si>
    <t>B02214</t>
  </si>
  <si>
    <t>B02215</t>
  </si>
  <si>
    <t>B02216</t>
  </si>
  <si>
    <t>B02217</t>
  </si>
  <si>
    <t>B02218</t>
  </si>
  <si>
    <t>B02219</t>
  </si>
  <si>
    <t>B02220</t>
  </si>
  <si>
    <t>B02221</t>
  </si>
  <si>
    <t>B02222</t>
  </si>
  <si>
    <t>B02223</t>
  </si>
  <si>
    <t>B02224</t>
  </si>
  <si>
    <t>B02225</t>
  </si>
  <si>
    <t>B02226</t>
  </si>
  <si>
    <t>B02227</t>
  </si>
  <si>
    <t>B02228</t>
  </si>
  <si>
    <t>B02229</t>
  </si>
  <si>
    <t>B02230</t>
  </si>
  <si>
    <t>B02231</t>
  </si>
  <si>
    <t>B02232</t>
  </si>
  <si>
    <t>B02233</t>
  </si>
  <si>
    <t>B02234</t>
  </si>
  <si>
    <t>B02235</t>
  </si>
  <si>
    <t>B02236</t>
  </si>
  <si>
    <t>B02237</t>
  </si>
  <si>
    <t>B02238</t>
  </si>
  <si>
    <t>B02239</t>
  </si>
  <si>
    <t>B02240</t>
  </si>
  <si>
    <t>B02241</t>
  </si>
  <si>
    <t>B02242</t>
  </si>
  <si>
    <t>B02243</t>
  </si>
  <si>
    <t>B02244</t>
  </si>
  <si>
    <t>B02245</t>
  </si>
  <si>
    <t>B02246</t>
  </si>
  <si>
    <t>B02247</t>
  </si>
  <si>
    <t>B02248</t>
  </si>
  <si>
    <t>B02249</t>
  </si>
  <si>
    <t>B02250</t>
  </si>
  <si>
    <t>B02251</t>
  </si>
  <si>
    <t>B02252</t>
  </si>
  <si>
    <t>B02253</t>
  </si>
  <si>
    <t>B02254</t>
  </si>
  <si>
    <t>B02255</t>
  </si>
  <si>
    <t>B02256</t>
  </si>
  <si>
    <t>B02257</t>
  </si>
  <si>
    <t>B02258</t>
  </si>
  <si>
    <t>B02259</t>
  </si>
  <si>
    <t>B02260</t>
  </si>
  <si>
    <t>B02261</t>
  </si>
  <si>
    <t>B02262</t>
  </si>
  <si>
    <t>B02263</t>
  </si>
  <si>
    <t>B02264</t>
  </si>
  <si>
    <t>B02265</t>
  </si>
  <si>
    <t>B02266</t>
  </si>
  <si>
    <t>B02267</t>
  </si>
  <si>
    <t>B02268</t>
  </si>
  <si>
    <t>B02269</t>
  </si>
  <si>
    <t>B02270</t>
  </si>
  <si>
    <t>B02271</t>
  </si>
  <si>
    <t>B02272</t>
  </si>
  <si>
    <t>B02273</t>
  </si>
  <si>
    <t>B02274</t>
  </si>
  <si>
    <t>B02275</t>
  </si>
  <si>
    <t>B02276</t>
  </si>
  <si>
    <t>B02277</t>
  </si>
  <si>
    <t>B02278</t>
  </si>
  <si>
    <t>B02279</t>
  </si>
  <si>
    <t>B02280</t>
  </si>
  <si>
    <t>B02281</t>
  </si>
  <si>
    <t>B02282</t>
  </si>
  <si>
    <t>B02283</t>
  </si>
  <si>
    <t>B02284</t>
  </si>
  <si>
    <t>B02285</t>
  </si>
  <si>
    <t>B02286</t>
  </si>
  <si>
    <t>B02287</t>
  </si>
  <si>
    <t>B02288</t>
  </si>
  <si>
    <t>B02289</t>
  </si>
  <si>
    <t>B02290</t>
  </si>
  <si>
    <t>B02291</t>
  </si>
  <si>
    <t>B02292</t>
  </si>
  <si>
    <t>B02293</t>
  </si>
  <si>
    <t>B02294</t>
  </si>
  <si>
    <t>B02295</t>
  </si>
  <si>
    <t>B02296</t>
  </si>
  <si>
    <t>B02297</t>
  </si>
  <si>
    <t>B02298</t>
  </si>
  <si>
    <t>B02299</t>
  </si>
  <si>
    <t>B02300</t>
  </si>
  <si>
    <t>B02301</t>
  </si>
  <si>
    <t>B02302</t>
  </si>
  <si>
    <t>B02303</t>
  </si>
  <si>
    <t>B02304</t>
  </si>
  <si>
    <t>B02305</t>
  </si>
  <si>
    <t>B02306</t>
  </si>
  <si>
    <t>B02307</t>
  </si>
  <si>
    <t>B02308</t>
  </si>
  <si>
    <t>B02309</t>
  </si>
  <si>
    <t>B02310</t>
  </si>
  <si>
    <t>B02311</t>
  </si>
  <si>
    <t>B02312</t>
  </si>
  <si>
    <t>B02313</t>
  </si>
  <si>
    <t>B02314</t>
  </si>
  <si>
    <t>B02315</t>
  </si>
  <si>
    <t>B02316</t>
  </si>
  <si>
    <t>B02317</t>
  </si>
  <si>
    <t>B02318</t>
  </si>
  <si>
    <t>B02319</t>
  </si>
  <si>
    <t>B02320</t>
  </si>
  <si>
    <t>B02321</t>
  </si>
  <si>
    <t>B02322</t>
  </si>
  <si>
    <t>B02323</t>
  </si>
  <si>
    <t>B02324</t>
  </si>
  <si>
    <t>B02325</t>
  </si>
  <si>
    <t>B02326</t>
  </si>
  <si>
    <t>B02327</t>
  </si>
  <si>
    <t>B02328</t>
  </si>
  <si>
    <t>B02329</t>
  </si>
  <si>
    <t>B02330</t>
  </si>
  <si>
    <t>B02331</t>
  </si>
  <si>
    <t>B02332</t>
  </si>
  <si>
    <t>B02333</t>
  </si>
  <si>
    <t>B02334</t>
  </si>
  <si>
    <t>B02335</t>
  </si>
  <si>
    <t>B02336</t>
  </si>
  <si>
    <t>B02337</t>
  </si>
  <si>
    <t>B02338</t>
  </si>
  <si>
    <t>B02339</t>
  </si>
  <si>
    <t>B02340</t>
  </si>
  <si>
    <t>B02341</t>
  </si>
  <si>
    <t>B02342</t>
  </si>
  <si>
    <t>B02343</t>
  </si>
  <si>
    <t>B02344</t>
  </si>
  <si>
    <t>B02345</t>
  </si>
  <si>
    <t>B02346</t>
  </si>
  <si>
    <t>B02347</t>
  </si>
  <si>
    <t>B02348</t>
  </si>
  <si>
    <t>B02349</t>
  </si>
  <si>
    <t>B02350</t>
  </si>
  <si>
    <t>B02351</t>
  </si>
  <si>
    <t>B02352</t>
  </si>
  <si>
    <t>B02353</t>
  </si>
  <si>
    <t>B02354</t>
  </si>
  <si>
    <t>B02355</t>
  </si>
  <si>
    <t>B02356</t>
  </si>
  <si>
    <t>B02357</t>
  </si>
  <si>
    <t>B02358</t>
  </si>
  <si>
    <t>B02359</t>
  </si>
  <si>
    <t>B02360</t>
  </si>
  <si>
    <t>B02361</t>
  </si>
  <si>
    <t>B02362</t>
  </si>
  <si>
    <t>B02363</t>
  </si>
  <si>
    <t>B02364</t>
  </si>
  <si>
    <t>B02365</t>
  </si>
  <si>
    <t>B02366</t>
  </si>
  <si>
    <t>B02367</t>
  </si>
  <si>
    <t>B02368</t>
  </si>
  <si>
    <t>B02369</t>
  </si>
  <si>
    <t>B02370</t>
  </si>
  <si>
    <t>B02371</t>
  </si>
  <si>
    <t>B02372</t>
  </si>
  <si>
    <t>B02373</t>
  </si>
  <si>
    <t>B02374</t>
  </si>
  <si>
    <t>B02375</t>
  </si>
  <si>
    <t>B02376</t>
  </si>
  <si>
    <t>B02377</t>
  </si>
  <si>
    <t>B02378</t>
  </si>
  <si>
    <t>B02379</t>
  </si>
  <si>
    <t>B02380</t>
  </si>
  <si>
    <t>B02381</t>
  </si>
  <si>
    <t>B02382</t>
  </si>
  <si>
    <t>B02383</t>
  </si>
  <si>
    <t>B02384</t>
  </si>
  <si>
    <t>B02385</t>
  </si>
  <si>
    <t>B02386</t>
  </si>
  <si>
    <t>B02387</t>
  </si>
  <si>
    <t>B02388</t>
  </si>
  <si>
    <t>B02389</t>
  </si>
  <si>
    <t>B02390</t>
  </si>
  <si>
    <t>B02391</t>
  </si>
  <si>
    <t>B02392</t>
  </si>
  <si>
    <t>B02393</t>
  </si>
  <si>
    <t>B02394</t>
  </si>
  <si>
    <t>B02395</t>
  </si>
  <si>
    <t>B02396</t>
  </si>
  <si>
    <t>B02397</t>
  </si>
  <si>
    <t>B02398</t>
  </si>
  <si>
    <t>B02399</t>
  </si>
  <si>
    <t>B02400</t>
  </si>
  <si>
    <t>B02401</t>
  </si>
  <si>
    <t>B02402</t>
  </si>
  <si>
    <t>B02403</t>
  </si>
  <si>
    <t>B02404</t>
  </si>
  <si>
    <t>B02405</t>
  </si>
  <si>
    <t>B02406</t>
  </si>
  <si>
    <t>B02407</t>
  </si>
  <si>
    <t>B02408</t>
  </si>
  <si>
    <t>B02409</t>
  </si>
  <si>
    <t>B02410</t>
  </si>
  <si>
    <t>B02411</t>
  </si>
  <si>
    <t>B02412</t>
  </si>
  <si>
    <t>B02413</t>
  </si>
  <si>
    <t>B02414</t>
  </si>
  <si>
    <t>B02415</t>
  </si>
  <si>
    <t>B02416</t>
  </si>
  <si>
    <t>B02417</t>
  </si>
  <si>
    <t>B02418</t>
  </si>
  <si>
    <t>B02419</t>
  </si>
  <si>
    <t>B02420</t>
  </si>
  <si>
    <t>B02421</t>
  </si>
  <si>
    <t>B02422</t>
  </si>
  <si>
    <t>B02423</t>
  </si>
  <si>
    <t>B02424</t>
  </si>
  <si>
    <t>B02425</t>
  </si>
  <si>
    <t>B02426</t>
  </si>
  <si>
    <t>B02427</t>
  </si>
  <si>
    <t>B02428</t>
  </si>
  <si>
    <t>B02429</t>
  </si>
  <si>
    <t>B02430</t>
  </si>
  <si>
    <t>B02431</t>
  </si>
  <si>
    <t>B02432</t>
  </si>
  <si>
    <t>B02433</t>
  </si>
  <si>
    <t>B02434</t>
  </si>
  <si>
    <t>B02435</t>
  </si>
  <si>
    <t>B02436</t>
  </si>
  <si>
    <t>B02437</t>
  </si>
  <si>
    <t>B02438</t>
  </si>
  <si>
    <t>B02439</t>
  </si>
  <si>
    <t>B02440</t>
  </si>
  <si>
    <t>B02441</t>
  </si>
  <si>
    <t>B02442</t>
  </si>
  <si>
    <t>B02443</t>
  </si>
  <si>
    <t>B02444</t>
  </si>
  <si>
    <t>B02445</t>
  </si>
  <si>
    <t>B02446</t>
  </si>
  <si>
    <t>B02447</t>
  </si>
  <si>
    <t>B02448</t>
  </si>
  <si>
    <t>B02449</t>
  </si>
  <si>
    <t>B02450</t>
  </si>
  <si>
    <t>B02451</t>
  </si>
  <si>
    <t>B02452</t>
  </si>
  <si>
    <t>B02453</t>
  </si>
  <si>
    <t>B02454</t>
  </si>
  <si>
    <t>B02455</t>
  </si>
  <si>
    <t>B02456</t>
  </si>
  <si>
    <t>B02457</t>
  </si>
  <si>
    <t>B02458</t>
  </si>
  <si>
    <t>B02459</t>
  </si>
  <si>
    <t>B02460</t>
  </si>
  <si>
    <t>B02461</t>
  </si>
  <si>
    <t>B02462</t>
  </si>
  <si>
    <t>B02463</t>
  </si>
  <si>
    <t>B02464</t>
  </si>
  <si>
    <t>B02465</t>
  </si>
  <si>
    <t>B02466</t>
  </si>
  <si>
    <t>B02467</t>
  </si>
  <si>
    <t>B02468</t>
  </si>
  <si>
    <t>B02469</t>
  </si>
  <si>
    <t>B02470</t>
  </si>
  <si>
    <t>B02471</t>
  </si>
  <si>
    <t>B02472</t>
  </si>
  <si>
    <t>B02473</t>
  </si>
  <si>
    <t>B02474</t>
  </si>
  <si>
    <t>B02475</t>
  </si>
  <si>
    <t>B02476</t>
  </si>
  <si>
    <t>B02477</t>
  </si>
  <si>
    <t>B02478</t>
  </si>
  <si>
    <t>B02479</t>
  </si>
  <si>
    <t>B02480</t>
  </si>
  <si>
    <t>B02481</t>
  </si>
  <si>
    <t>B02482</t>
  </si>
  <si>
    <t>B02483</t>
  </si>
  <si>
    <t>B02484</t>
  </si>
  <si>
    <t>B02485</t>
  </si>
  <si>
    <t>B02486</t>
  </si>
  <si>
    <t>B02487</t>
  </si>
  <si>
    <t>B02488</t>
  </si>
  <si>
    <t>B02489</t>
  </si>
  <si>
    <t>B02490</t>
  </si>
  <si>
    <t>B02491</t>
  </si>
  <si>
    <t>B02492</t>
  </si>
  <si>
    <t>B02493</t>
  </si>
  <si>
    <t>B02494</t>
  </si>
  <si>
    <t>B02495</t>
  </si>
  <si>
    <t>B02496</t>
  </si>
  <si>
    <t>B02497</t>
  </si>
  <si>
    <t>B02498</t>
  </si>
  <si>
    <t>B02499</t>
  </si>
  <si>
    <t>B02500</t>
  </si>
  <si>
    <t>B02501</t>
  </si>
  <si>
    <t>B02502</t>
  </si>
  <si>
    <t>B02503</t>
  </si>
  <si>
    <t>B02504</t>
  </si>
  <si>
    <t>B02505</t>
  </si>
  <si>
    <t>B02506</t>
  </si>
  <si>
    <t>B02507</t>
  </si>
  <si>
    <t>B02508</t>
  </si>
  <si>
    <t>B02509</t>
  </si>
  <si>
    <t>B02510</t>
  </si>
  <si>
    <t>B02511</t>
  </si>
  <si>
    <t>B02512</t>
  </si>
  <si>
    <t>B02513</t>
  </si>
  <si>
    <t>B02514</t>
  </si>
  <si>
    <t>B02515</t>
  </si>
  <si>
    <t>B02516</t>
  </si>
  <si>
    <t>B02517</t>
  </si>
  <si>
    <t>B02518</t>
  </si>
  <si>
    <t>B02519</t>
  </si>
  <si>
    <t>B02520</t>
  </si>
  <si>
    <t>B02521</t>
  </si>
  <si>
    <t>B02522</t>
  </si>
  <si>
    <t>B02523</t>
  </si>
  <si>
    <t>B02524</t>
  </si>
  <si>
    <t>B02525</t>
  </si>
  <si>
    <t>B02526</t>
  </si>
  <si>
    <t>B02527</t>
  </si>
  <si>
    <t>B02528</t>
  </si>
  <si>
    <t>B02529</t>
  </si>
  <si>
    <t>B02530</t>
  </si>
  <si>
    <t>B02531</t>
  </si>
  <si>
    <t>B02532</t>
  </si>
  <si>
    <t>B02533</t>
  </si>
  <si>
    <t>B02534</t>
  </si>
  <si>
    <t>B02535</t>
  </si>
  <si>
    <t>B02536</t>
  </si>
  <si>
    <t>B02537</t>
  </si>
  <si>
    <t>B02538</t>
  </si>
  <si>
    <t>B02539</t>
  </si>
  <si>
    <t>B02540</t>
  </si>
  <si>
    <t>B02541</t>
  </si>
  <si>
    <t>B02542</t>
  </si>
  <si>
    <t>B02543</t>
  </si>
  <si>
    <t>B02544</t>
  </si>
  <si>
    <t>B02545</t>
  </si>
  <si>
    <t>B02546</t>
  </si>
  <si>
    <t>B02547</t>
  </si>
  <si>
    <t>B02548</t>
  </si>
  <si>
    <t>B02549</t>
  </si>
  <si>
    <t>B02550</t>
  </si>
  <si>
    <t>B02551</t>
  </si>
  <si>
    <t>B02552</t>
  </si>
  <si>
    <t>B02553</t>
  </si>
  <si>
    <t>B02554</t>
  </si>
  <si>
    <t>B02555</t>
  </si>
  <si>
    <t>B02556</t>
  </si>
  <si>
    <t>B02557</t>
  </si>
  <si>
    <t>B02558</t>
  </si>
  <si>
    <t>B02559</t>
  </si>
  <si>
    <t>B02560</t>
  </si>
  <si>
    <t>B02561</t>
  </si>
  <si>
    <t>B02562</t>
  </si>
  <si>
    <t>B02563</t>
  </si>
  <si>
    <t>B02564</t>
  </si>
  <si>
    <t>B02565</t>
  </si>
  <si>
    <t>B02566</t>
  </si>
  <si>
    <t>B02567</t>
  </si>
  <si>
    <t>B02568</t>
  </si>
  <si>
    <t>B02569</t>
  </si>
  <si>
    <t>B02570</t>
  </si>
  <si>
    <t>B02571</t>
  </si>
  <si>
    <t>B02572</t>
  </si>
  <si>
    <t>B02573</t>
  </si>
  <si>
    <t>B02574</t>
  </si>
  <si>
    <t>B02575</t>
  </si>
  <si>
    <t>B02576</t>
  </si>
  <si>
    <t>B02577</t>
  </si>
  <si>
    <t>B02578</t>
  </si>
  <si>
    <t>B02579</t>
  </si>
  <si>
    <t>B02580</t>
  </si>
  <si>
    <t>B02581</t>
  </si>
  <si>
    <t>B02582</t>
  </si>
  <si>
    <t>B02583</t>
  </si>
  <si>
    <t>B02584</t>
  </si>
  <si>
    <t>B02585</t>
  </si>
  <si>
    <t>B02586</t>
  </si>
  <si>
    <t>B02587</t>
  </si>
  <si>
    <t>B02588</t>
  </si>
  <si>
    <t>B02589</t>
  </si>
  <si>
    <t>B02590</t>
  </si>
  <si>
    <t>B02591</t>
  </si>
  <si>
    <t>B02592</t>
  </si>
  <si>
    <t>B02593</t>
  </si>
  <si>
    <t>B02594</t>
  </si>
  <si>
    <t>B02595</t>
  </si>
  <si>
    <t>B02596</t>
  </si>
  <si>
    <t>B02597</t>
  </si>
  <si>
    <t>B02598</t>
  </si>
  <si>
    <t>B02599</t>
  </si>
  <si>
    <t>B02600</t>
  </si>
  <si>
    <t>B02601</t>
  </si>
  <si>
    <t>B02602</t>
  </si>
  <si>
    <t>B02603</t>
  </si>
  <si>
    <t>B02604</t>
  </si>
  <si>
    <t>B02605</t>
  </si>
  <si>
    <t>B02606</t>
  </si>
  <si>
    <t>B02607</t>
  </si>
  <si>
    <t>B02608</t>
  </si>
  <si>
    <t>B02609</t>
  </si>
  <si>
    <t>B02610</t>
  </si>
  <si>
    <t>B02611</t>
  </si>
  <si>
    <t>B02612</t>
  </si>
  <si>
    <t>B02613</t>
  </si>
  <si>
    <t>B02614</t>
  </si>
  <si>
    <t>B02615</t>
  </si>
  <si>
    <t>B02616</t>
  </si>
  <si>
    <t>B02617</t>
  </si>
  <si>
    <t>B02618</t>
  </si>
  <si>
    <t>B02619</t>
  </si>
  <si>
    <t>B02620</t>
  </si>
  <si>
    <t>B02621</t>
  </si>
  <si>
    <t>B02622</t>
  </si>
  <si>
    <t>B02623</t>
  </si>
  <si>
    <t>B02624</t>
  </si>
  <si>
    <t>B02625</t>
  </si>
  <si>
    <t>B02626</t>
  </si>
  <si>
    <t>B02627</t>
  </si>
  <si>
    <t>B02628</t>
  </si>
  <si>
    <t>B02629</t>
  </si>
  <si>
    <t>B02630</t>
  </si>
  <si>
    <t>B02631</t>
  </si>
  <si>
    <t>B02632</t>
  </si>
  <si>
    <t>B02633</t>
  </si>
  <si>
    <t>B02634</t>
  </si>
  <si>
    <t>B02635</t>
  </si>
  <si>
    <t>B02636</t>
  </si>
  <si>
    <t>B02637</t>
  </si>
  <si>
    <t>B02638</t>
  </si>
  <si>
    <t>B02639</t>
  </si>
  <si>
    <t>B02640</t>
  </si>
  <si>
    <t>B02641</t>
  </si>
  <si>
    <t>B02642</t>
  </si>
  <si>
    <t>B02643</t>
  </si>
  <si>
    <t>B02644</t>
  </si>
  <si>
    <t>B02645</t>
  </si>
  <si>
    <t>B02646</t>
  </si>
  <si>
    <t>B02647</t>
  </si>
  <si>
    <t>B02648</t>
  </si>
  <si>
    <t>B02649</t>
  </si>
  <si>
    <t>B02650</t>
  </si>
  <si>
    <t>B02651</t>
  </si>
  <si>
    <t>B02652</t>
  </si>
  <si>
    <t>B02653</t>
  </si>
  <si>
    <t>B02654</t>
  </si>
  <si>
    <t>B02655</t>
  </si>
  <si>
    <t>B02656</t>
  </si>
  <si>
    <t>B02657</t>
  </si>
  <si>
    <t>B02658</t>
  </si>
  <si>
    <t>B02659</t>
  </si>
  <si>
    <t>B02660</t>
  </si>
  <si>
    <t>B02661</t>
  </si>
  <si>
    <t>B02662</t>
  </si>
  <si>
    <t>B02663</t>
  </si>
  <si>
    <t>B02664</t>
  </si>
  <si>
    <t>B02665</t>
  </si>
  <si>
    <t>B02666</t>
  </si>
  <si>
    <t>B02667</t>
  </si>
  <si>
    <t>B02668</t>
  </si>
  <si>
    <t>B02669</t>
  </si>
  <si>
    <t>B02670</t>
  </si>
  <si>
    <t>B02671</t>
  </si>
  <si>
    <t>B02672</t>
  </si>
  <si>
    <t>B02673</t>
  </si>
  <si>
    <t>B02674</t>
  </si>
  <si>
    <t>B02675</t>
  </si>
  <si>
    <t>B02676</t>
  </si>
  <si>
    <t>B02677</t>
  </si>
  <si>
    <t>B02678</t>
  </si>
  <si>
    <t>B02679</t>
  </si>
  <si>
    <t>B02680</t>
  </si>
  <si>
    <t>B02681</t>
  </si>
  <si>
    <t>B02682</t>
  </si>
  <si>
    <t>B02683</t>
  </si>
  <si>
    <t>B02684</t>
  </si>
  <si>
    <t>B02685</t>
  </si>
  <si>
    <t>B02686</t>
  </si>
  <si>
    <t>B02687</t>
  </si>
  <si>
    <t>B02688</t>
  </si>
  <si>
    <t>B02689</t>
  </si>
  <si>
    <t>B02690</t>
  </si>
  <si>
    <t>B02691</t>
  </si>
  <si>
    <t>B02692</t>
  </si>
  <si>
    <t>B02693</t>
  </si>
  <si>
    <t>B02694</t>
  </si>
  <si>
    <t>B02695</t>
  </si>
  <si>
    <t>B02696</t>
  </si>
  <si>
    <t>B02697</t>
  </si>
  <si>
    <t>B02698</t>
  </si>
  <si>
    <t>B02699</t>
  </si>
  <si>
    <t>B02700</t>
  </si>
  <si>
    <t>B02701</t>
  </si>
  <si>
    <t>B02702</t>
  </si>
  <si>
    <t>B02703</t>
  </si>
  <si>
    <t>B02704</t>
  </si>
  <si>
    <t>B02705</t>
  </si>
  <si>
    <t>B02706</t>
  </si>
  <si>
    <t>B02707</t>
  </si>
  <si>
    <t>B02708</t>
  </si>
  <si>
    <t>B02709</t>
  </si>
  <si>
    <t>B02710</t>
  </si>
  <si>
    <t>B02711</t>
  </si>
  <si>
    <t>B02712</t>
  </si>
  <si>
    <t>B02713</t>
  </si>
  <si>
    <t>B02714</t>
  </si>
  <si>
    <t>B02715</t>
  </si>
  <si>
    <t>B02716</t>
  </si>
  <si>
    <t>B02717</t>
  </si>
  <si>
    <t>B02718</t>
  </si>
  <si>
    <t>B02719</t>
  </si>
  <si>
    <t>B02720</t>
  </si>
  <si>
    <t>B02721</t>
  </si>
  <si>
    <t>B02722</t>
  </si>
  <si>
    <t>B02723</t>
  </si>
  <si>
    <t>B02724</t>
  </si>
  <si>
    <t>B02725</t>
  </si>
  <si>
    <t>B02726</t>
  </si>
  <si>
    <t>B02727</t>
  </si>
  <si>
    <t>B02728</t>
  </si>
  <si>
    <t>B02729</t>
  </si>
  <si>
    <t>B02730</t>
  </si>
  <si>
    <t>B02731</t>
  </si>
  <si>
    <t>B02732</t>
  </si>
  <si>
    <t>B02733</t>
  </si>
  <si>
    <t>B02734</t>
  </si>
  <si>
    <t>B02735</t>
  </si>
  <si>
    <t>B02736</t>
  </si>
  <si>
    <t>B02737</t>
  </si>
  <si>
    <t>B02738</t>
  </si>
  <si>
    <t>B02739</t>
  </si>
  <si>
    <t>B02740</t>
  </si>
  <si>
    <t>B02741</t>
  </si>
  <si>
    <t>B02742</t>
  </si>
  <si>
    <t>B02743</t>
  </si>
  <si>
    <t>B02744</t>
  </si>
  <si>
    <t>B02745</t>
  </si>
  <si>
    <t>B02746</t>
  </si>
  <si>
    <t>B02747</t>
  </si>
  <si>
    <t>B02748</t>
  </si>
  <si>
    <t>B02749</t>
  </si>
  <si>
    <t>B02750</t>
  </si>
  <si>
    <t>B02751</t>
  </si>
  <si>
    <t>B02752</t>
  </si>
  <si>
    <t>B02753</t>
  </si>
  <si>
    <t>B02754</t>
  </si>
  <si>
    <t>B02755</t>
  </si>
  <si>
    <t>B02756</t>
  </si>
  <si>
    <t>B02757</t>
  </si>
  <si>
    <t>B02758</t>
  </si>
  <si>
    <t>B02759</t>
  </si>
  <si>
    <t>B02760</t>
  </si>
  <si>
    <t>B02761</t>
  </si>
  <si>
    <t>B02762</t>
  </si>
  <si>
    <t>B02763</t>
  </si>
  <si>
    <t>B02764</t>
  </si>
  <si>
    <t>B02765</t>
  </si>
  <si>
    <t>B02766</t>
  </si>
  <si>
    <t>B02767</t>
  </si>
  <si>
    <t>B02768</t>
  </si>
  <si>
    <t>B02769</t>
  </si>
  <si>
    <t>B02770</t>
  </si>
  <si>
    <t>B02771</t>
  </si>
  <si>
    <t>B02772</t>
  </si>
  <si>
    <t>B02773</t>
  </si>
  <si>
    <t>B02774</t>
  </si>
  <si>
    <t>B02775</t>
  </si>
  <si>
    <t>B02776</t>
  </si>
  <si>
    <t>B02777</t>
  </si>
  <si>
    <t>B02778</t>
  </si>
  <si>
    <t>B02779</t>
  </si>
  <si>
    <t>B02780</t>
  </si>
  <si>
    <t>B02781</t>
  </si>
  <si>
    <t>B02782</t>
  </si>
  <si>
    <t>B02783</t>
  </si>
  <si>
    <t>B02784</t>
  </si>
  <si>
    <t>B02785</t>
  </si>
  <si>
    <t>B02786</t>
  </si>
  <si>
    <t>B02787</t>
  </si>
  <si>
    <t>B02788</t>
  </si>
  <si>
    <t>B02789</t>
  </si>
  <si>
    <t>B02790</t>
  </si>
  <si>
    <t>B02791</t>
  </si>
  <si>
    <t>B02792</t>
  </si>
  <si>
    <t>B02793</t>
  </si>
  <si>
    <t>B02794</t>
  </si>
  <si>
    <t>B02795</t>
  </si>
  <si>
    <t>B02796</t>
  </si>
  <si>
    <t>B02797</t>
  </si>
  <si>
    <t>B02798</t>
  </si>
  <si>
    <t>B02799</t>
  </si>
  <si>
    <t>B02800</t>
  </si>
  <si>
    <t>B02801</t>
  </si>
  <si>
    <t>B02802</t>
  </si>
  <si>
    <t>B02803</t>
  </si>
  <si>
    <t>B02804</t>
  </si>
  <si>
    <t>B02805</t>
  </si>
  <si>
    <t>B02806</t>
  </si>
  <si>
    <t>B02807</t>
  </si>
  <si>
    <t>B02808</t>
  </si>
  <si>
    <t>B02809</t>
  </si>
  <si>
    <t>B02810</t>
  </si>
  <si>
    <t>B02811</t>
  </si>
  <si>
    <t>B02812</t>
  </si>
  <si>
    <t>B02813</t>
  </si>
  <si>
    <t>B02814</t>
  </si>
  <si>
    <t>B02815</t>
  </si>
  <si>
    <t>B02816</t>
  </si>
  <si>
    <t>B02817</t>
  </si>
  <si>
    <t>B02818</t>
  </si>
  <si>
    <t>B02819</t>
  </si>
  <si>
    <t>B02820</t>
  </si>
  <si>
    <t>B02821</t>
  </si>
  <si>
    <t>B02822</t>
  </si>
  <si>
    <t>B02823</t>
  </si>
  <si>
    <t>B02824</t>
  </si>
  <si>
    <t>B02825</t>
  </si>
  <si>
    <t>B02826</t>
  </si>
  <si>
    <t>B02827</t>
  </si>
  <si>
    <t>B02828</t>
  </si>
  <si>
    <t>B02829</t>
  </si>
  <si>
    <t>B02830</t>
  </si>
  <si>
    <t>B02831</t>
  </si>
  <si>
    <t>B02832</t>
  </si>
  <si>
    <t>B02833</t>
  </si>
  <si>
    <t>B02834</t>
  </si>
  <si>
    <t>B02835</t>
  </si>
  <si>
    <t>B02836</t>
  </si>
  <si>
    <t>B02837</t>
  </si>
  <si>
    <t>B02838</t>
  </si>
  <si>
    <t>B02839</t>
  </si>
  <si>
    <t>B02840</t>
  </si>
  <si>
    <t>B02841</t>
  </si>
  <si>
    <t>B02842</t>
  </si>
  <si>
    <t>B02843</t>
  </si>
  <si>
    <t>B02844</t>
  </si>
  <si>
    <t>B02845</t>
  </si>
  <si>
    <t>B02846</t>
  </si>
  <si>
    <t>B02847</t>
  </si>
  <si>
    <t>B02848</t>
  </si>
  <si>
    <t>B02849</t>
  </si>
  <si>
    <t>B02850</t>
  </si>
  <si>
    <t>B02851</t>
  </si>
  <si>
    <t>B02852</t>
  </si>
  <si>
    <t>B02853</t>
  </si>
  <si>
    <t>B02854</t>
  </si>
  <si>
    <t>B02855</t>
  </si>
  <si>
    <t>B02856</t>
  </si>
  <si>
    <t>B02857</t>
  </si>
  <si>
    <t>B02858</t>
  </si>
  <si>
    <t>B02859</t>
  </si>
  <si>
    <t>B02860</t>
  </si>
  <si>
    <t>B02861</t>
  </si>
  <si>
    <t>B02862</t>
  </si>
  <si>
    <t>B02863</t>
  </si>
  <si>
    <t>B02864</t>
  </si>
  <si>
    <t>B02865</t>
  </si>
  <si>
    <t>B02866</t>
  </si>
  <si>
    <t>B02867</t>
  </si>
  <si>
    <t>B02868</t>
  </si>
  <si>
    <t>B02869</t>
  </si>
  <si>
    <t>B02870</t>
  </si>
  <si>
    <t>B02871</t>
  </si>
  <si>
    <t>B02872</t>
  </si>
  <si>
    <t>B02873</t>
  </si>
  <si>
    <t>B02874</t>
  </si>
  <si>
    <t>B02875</t>
  </si>
  <si>
    <t>B02876</t>
  </si>
  <si>
    <t>B02877</t>
  </si>
  <si>
    <t>B02878</t>
  </si>
  <si>
    <t>B02879</t>
  </si>
  <si>
    <t>B02880</t>
  </si>
  <si>
    <t>B02881</t>
  </si>
  <si>
    <t>B02882</t>
  </si>
  <si>
    <t>B02883</t>
  </si>
  <si>
    <t>B02884</t>
  </si>
  <si>
    <t>B02885</t>
  </si>
  <si>
    <t>B02886</t>
  </si>
  <si>
    <t>B02887</t>
  </si>
  <si>
    <t>B02888</t>
  </si>
  <si>
    <t>B02889</t>
  </si>
  <si>
    <t>B02890</t>
  </si>
  <si>
    <t>B02891</t>
  </si>
  <si>
    <t>B02892</t>
  </si>
  <si>
    <t>B02893</t>
  </si>
  <si>
    <t>B02894</t>
  </si>
  <si>
    <t>B02895</t>
  </si>
  <si>
    <t>B02896</t>
  </si>
  <si>
    <t>B02897</t>
  </si>
  <si>
    <t>B02898</t>
  </si>
  <si>
    <t>B02899</t>
  </si>
  <si>
    <t>B02900</t>
  </si>
  <si>
    <t>B02901</t>
  </si>
  <si>
    <t>B02902</t>
  </si>
  <si>
    <t>B02903</t>
  </si>
  <si>
    <t>B02904</t>
  </si>
  <si>
    <t>B02905</t>
  </si>
  <si>
    <t>B02906</t>
  </si>
  <si>
    <t>B02907</t>
  </si>
  <si>
    <t>B02908</t>
  </si>
  <si>
    <t>B02909</t>
  </si>
  <si>
    <t>B02910</t>
  </si>
  <si>
    <t>B02911</t>
  </si>
  <si>
    <t>B02912</t>
  </si>
  <si>
    <t>B02913</t>
  </si>
  <si>
    <t>B02914</t>
  </si>
  <si>
    <t>B02915</t>
  </si>
  <si>
    <t>B02916</t>
  </si>
  <si>
    <t>B02917</t>
  </si>
  <si>
    <t>B02918</t>
  </si>
  <si>
    <t>B02919</t>
  </si>
  <si>
    <t>B02920</t>
  </si>
  <si>
    <t>B02921</t>
  </si>
  <si>
    <t>B02922</t>
  </si>
  <si>
    <t>B02923</t>
  </si>
  <si>
    <t>B02924</t>
  </si>
  <si>
    <t>B02925</t>
  </si>
  <si>
    <t>B02926</t>
  </si>
  <si>
    <t>B02927</t>
  </si>
  <si>
    <t>B02928</t>
  </si>
  <si>
    <t>B02929</t>
  </si>
  <si>
    <t>B02930</t>
  </si>
  <si>
    <t>B02931</t>
  </si>
  <si>
    <t>B02932</t>
  </si>
  <si>
    <t>B02933</t>
  </si>
  <si>
    <t>B02934</t>
  </si>
  <si>
    <t>B02935</t>
  </si>
  <si>
    <t>B02936</t>
  </si>
  <si>
    <t>B02937</t>
  </si>
  <si>
    <t>B02938</t>
  </si>
  <si>
    <t>B02939</t>
  </si>
  <si>
    <t>B02940</t>
  </si>
  <si>
    <t>B02941</t>
  </si>
  <si>
    <t>B02942</t>
  </si>
  <si>
    <t>B02943</t>
  </si>
  <si>
    <t>B02944</t>
  </si>
  <si>
    <t>B02945</t>
  </si>
  <si>
    <t>B02946</t>
  </si>
  <si>
    <t>B02947</t>
  </si>
  <si>
    <t>B02948</t>
  </si>
  <si>
    <t>B02949</t>
  </si>
  <si>
    <t>B02950</t>
  </si>
  <si>
    <t>B02951</t>
  </si>
  <si>
    <t>B02952</t>
  </si>
  <si>
    <t>B02953</t>
  </si>
  <si>
    <t>B02954</t>
  </si>
  <si>
    <t>B02955</t>
  </si>
  <si>
    <t>B02956</t>
  </si>
  <si>
    <t>B02957</t>
  </si>
  <si>
    <t>B02958</t>
  </si>
  <si>
    <t>B02959</t>
  </si>
  <si>
    <t>B02960</t>
  </si>
  <si>
    <t>B02961</t>
  </si>
  <si>
    <t>B02962</t>
  </si>
  <si>
    <t>B02963</t>
  </si>
  <si>
    <t>B02964</t>
  </si>
  <si>
    <t>B02965</t>
  </si>
  <si>
    <t>B02966</t>
  </si>
  <si>
    <t>B02967</t>
  </si>
  <si>
    <t>B02968</t>
  </si>
  <si>
    <t>B02969</t>
  </si>
  <si>
    <t>B02970</t>
  </si>
  <si>
    <t>B02971</t>
  </si>
  <si>
    <t>B02972</t>
  </si>
  <si>
    <t>B02973</t>
  </si>
  <si>
    <t>B02974</t>
  </si>
  <si>
    <t>B02975</t>
  </si>
  <si>
    <t>B02976</t>
  </si>
  <si>
    <t>B02977</t>
  </si>
  <si>
    <t>B02978</t>
  </si>
  <si>
    <t>B02979</t>
  </si>
  <si>
    <t>B02980</t>
  </si>
  <si>
    <t>B02981</t>
  </si>
  <si>
    <t>B02982</t>
  </si>
  <si>
    <t>B02983</t>
  </si>
  <si>
    <t>B02984</t>
  </si>
  <si>
    <t>B02985</t>
  </si>
  <si>
    <t>B02986</t>
  </si>
  <si>
    <t>B02987</t>
  </si>
  <si>
    <t>B02988</t>
  </si>
  <si>
    <t>B02989</t>
  </si>
  <si>
    <t>B02990</t>
  </si>
  <si>
    <t>B02991</t>
  </si>
  <si>
    <t>B02992</t>
  </si>
  <si>
    <t>B02993</t>
  </si>
  <si>
    <t>B02994</t>
  </si>
  <si>
    <t>B02995</t>
  </si>
  <si>
    <t>B02996</t>
  </si>
  <si>
    <t>B02997</t>
  </si>
  <si>
    <t>B02998</t>
  </si>
  <si>
    <t>B02999</t>
  </si>
  <si>
    <t>B03000</t>
  </si>
  <si>
    <t>B03001</t>
  </si>
  <si>
    <t>B03002</t>
  </si>
  <si>
    <t>B03003</t>
  </si>
  <si>
    <t>B03004</t>
  </si>
  <si>
    <t>B03005</t>
  </si>
  <si>
    <t>B03006</t>
  </si>
  <si>
    <t>B03007</t>
  </si>
  <si>
    <t>B03008</t>
  </si>
  <si>
    <t>B03009</t>
  </si>
  <si>
    <t>B03010</t>
  </si>
  <si>
    <t>B03011</t>
  </si>
  <si>
    <t>B03012</t>
  </si>
  <si>
    <t>B03013</t>
  </si>
  <si>
    <t>B03014</t>
  </si>
  <si>
    <t>B03015</t>
  </si>
  <si>
    <t>B03016</t>
  </si>
  <si>
    <t>B03017</t>
  </si>
  <si>
    <t>B03018</t>
  </si>
  <si>
    <t>B03019</t>
  </si>
  <si>
    <t>B03020</t>
  </si>
  <si>
    <t>B03021</t>
  </si>
  <si>
    <t>B03022</t>
  </si>
  <si>
    <t>B03023</t>
  </si>
  <si>
    <t>B03024</t>
  </si>
  <si>
    <t>B03025</t>
  </si>
  <si>
    <t>B03026</t>
  </si>
  <si>
    <t>B03027</t>
  </si>
  <si>
    <t>B03028</t>
  </si>
  <si>
    <t>B03029</t>
  </si>
  <si>
    <t>B03030</t>
  </si>
  <si>
    <t>B03031</t>
  </si>
  <si>
    <t>B03032</t>
  </si>
  <si>
    <t>B03033</t>
  </si>
  <si>
    <t>B03034</t>
  </si>
  <si>
    <t>B03035</t>
  </si>
  <si>
    <t>B03036</t>
  </si>
  <si>
    <t>B03037</t>
  </si>
  <si>
    <t>B03038</t>
  </si>
  <si>
    <t>B03039</t>
  </si>
  <si>
    <t>B03040</t>
  </si>
  <si>
    <t>B03041</t>
  </si>
  <si>
    <t>B03042</t>
  </si>
  <si>
    <t>B03043</t>
  </si>
  <si>
    <t>B03044</t>
  </si>
  <si>
    <t>B03045</t>
  </si>
  <si>
    <t>B03046</t>
  </si>
  <si>
    <t>B03047</t>
  </si>
  <si>
    <t>B03048</t>
  </si>
  <si>
    <t>B03049</t>
  </si>
  <si>
    <t>B03050</t>
  </si>
  <si>
    <t>B03051</t>
  </si>
  <si>
    <t>B03052</t>
  </si>
  <si>
    <t>B03053</t>
  </si>
  <si>
    <t>B03054</t>
  </si>
  <si>
    <t>B03055</t>
  </si>
  <si>
    <t>B03056</t>
  </si>
  <si>
    <t>B03057</t>
  </si>
  <si>
    <t>B03058</t>
  </si>
  <si>
    <t>B03059</t>
  </si>
  <si>
    <t>B03060</t>
  </si>
  <si>
    <t>B03061</t>
  </si>
  <si>
    <t>B03062</t>
  </si>
  <si>
    <t>B03063</t>
  </si>
  <si>
    <t>B03064</t>
  </si>
  <si>
    <t>B03065</t>
  </si>
  <si>
    <t>B03066</t>
  </si>
  <si>
    <t>B03067</t>
  </si>
  <si>
    <t>B03068</t>
  </si>
  <si>
    <t>B03069</t>
  </si>
  <si>
    <t>B03070</t>
  </si>
  <si>
    <t>B03071</t>
  </si>
  <si>
    <t>B03072</t>
  </si>
  <si>
    <t>B03073</t>
  </si>
  <si>
    <t>B03074</t>
  </si>
  <si>
    <t>B03075</t>
  </si>
  <si>
    <t>B03076</t>
  </si>
  <si>
    <t>B03077</t>
  </si>
  <si>
    <t>B03078</t>
  </si>
  <si>
    <t>B03079</t>
  </si>
  <si>
    <t>B03080</t>
  </si>
  <si>
    <t>B03081</t>
  </si>
  <si>
    <t>B03082</t>
  </si>
  <si>
    <t>B03083</t>
  </si>
  <si>
    <t>B03084</t>
  </si>
  <si>
    <t>B03085</t>
  </si>
  <si>
    <t>B03086</t>
  </si>
  <si>
    <t>B03087</t>
  </si>
  <si>
    <t>B03088</t>
  </si>
  <si>
    <t>B03089</t>
  </si>
  <si>
    <t>B03090</t>
  </si>
  <si>
    <t>B03091</t>
  </si>
  <si>
    <t>B03092</t>
  </si>
  <si>
    <t>B03093</t>
  </si>
  <si>
    <t>B03094</t>
  </si>
  <si>
    <t>B03095</t>
  </si>
  <si>
    <t>B03096</t>
  </si>
  <si>
    <t>B03097</t>
  </si>
  <si>
    <t>B03098</t>
  </si>
  <si>
    <t>B03099</t>
  </si>
  <si>
    <t>B03100</t>
  </si>
  <si>
    <t>B03101</t>
  </si>
  <si>
    <t>B03102</t>
  </si>
  <si>
    <t>B03103</t>
  </si>
  <si>
    <t>B03104</t>
  </si>
  <si>
    <t>B03105</t>
  </si>
  <si>
    <t>B03106</t>
  </si>
  <si>
    <t>B03107</t>
  </si>
  <si>
    <t>B03108</t>
  </si>
  <si>
    <t>B03109</t>
  </si>
  <si>
    <t>B03110</t>
  </si>
  <si>
    <t>B03111</t>
  </si>
  <si>
    <t>B03112</t>
  </si>
  <si>
    <t>B03113</t>
  </si>
  <si>
    <t>B03114</t>
  </si>
  <si>
    <t>B03115</t>
  </si>
  <si>
    <t>B03116</t>
  </si>
  <si>
    <t>B03117</t>
  </si>
  <si>
    <t>B03118</t>
  </si>
  <si>
    <t>B03119</t>
  </si>
  <si>
    <t>B03120</t>
  </si>
  <si>
    <t>B03121</t>
  </si>
  <si>
    <t>B03122</t>
  </si>
  <si>
    <t>B03123</t>
  </si>
  <si>
    <t>B03124</t>
  </si>
  <si>
    <t>B03125</t>
  </si>
  <si>
    <t>B03126</t>
  </si>
  <si>
    <t>B03127</t>
  </si>
  <si>
    <t>B03128</t>
  </si>
  <si>
    <t>B03129</t>
  </si>
  <si>
    <t>B03130</t>
  </si>
  <si>
    <t>B03131</t>
  </si>
  <si>
    <t>B03132</t>
  </si>
  <si>
    <t>B03133</t>
  </si>
  <si>
    <t>B03134</t>
  </si>
  <si>
    <t>B03135</t>
  </si>
  <si>
    <t>B03136</t>
  </si>
  <si>
    <t>B03137</t>
  </si>
  <si>
    <t>B03138</t>
  </si>
  <si>
    <t>B03139</t>
  </si>
  <si>
    <t>B03140</t>
  </si>
  <si>
    <t>B03141</t>
  </si>
  <si>
    <t>B03142</t>
  </si>
  <si>
    <t>B03143</t>
  </si>
  <si>
    <t>B03144</t>
  </si>
  <si>
    <t>B03145</t>
  </si>
  <si>
    <t>B03146</t>
  </si>
  <si>
    <t>B03147</t>
  </si>
  <si>
    <t>B03148</t>
  </si>
  <si>
    <t>B03149</t>
  </si>
  <si>
    <t>B03150</t>
  </si>
  <si>
    <t>B03151</t>
  </si>
  <si>
    <t>B03152</t>
  </si>
  <si>
    <t>B03153</t>
  </si>
  <si>
    <t>B03154</t>
  </si>
  <si>
    <t>B03155</t>
  </si>
  <si>
    <t>B03156</t>
  </si>
  <si>
    <t>B03157</t>
  </si>
  <si>
    <t>B03158</t>
  </si>
  <si>
    <t>B03159</t>
  </si>
  <si>
    <t>B03160</t>
  </si>
  <si>
    <t>B03161</t>
  </si>
  <si>
    <t>B03162</t>
  </si>
  <si>
    <t>B03163</t>
  </si>
  <si>
    <t>B03164</t>
  </si>
  <si>
    <t>B03165</t>
  </si>
  <si>
    <t>B03166</t>
  </si>
  <si>
    <t>B03167</t>
  </si>
  <si>
    <t>B03168</t>
  </si>
  <si>
    <t>B03169</t>
  </si>
  <si>
    <t>B03170</t>
  </si>
  <si>
    <t>B03171</t>
  </si>
  <si>
    <t>B03172</t>
  </si>
  <si>
    <t>B03173</t>
  </si>
  <si>
    <t>B03174</t>
  </si>
  <si>
    <t>B03175</t>
  </si>
  <si>
    <t>B03176</t>
  </si>
  <si>
    <t>B03177</t>
  </si>
  <si>
    <t>B03178</t>
  </si>
  <si>
    <t>B03179</t>
  </si>
  <si>
    <t>B03180</t>
  </si>
  <si>
    <t>B03181</t>
  </si>
  <si>
    <t>B03182</t>
  </si>
  <si>
    <t>B03183</t>
  </si>
  <si>
    <t>B03184</t>
  </si>
  <si>
    <t>B03185</t>
  </si>
  <si>
    <t>B03186</t>
  </si>
  <si>
    <t>B03187</t>
  </si>
  <si>
    <t>B03188</t>
  </si>
  <si>
    <t>B03189</t>
  </si>
  <si>
    <t>B03190</t>
  </si>
  <si>
    <t>B03191</t>
  </si>
  <si>
    <t>B03192</t>
  </si>
  <si>
    <t>B03193</t>
  </si>
  <si>
    <t>B03194</t>
  </si>
  <si>
    <t>B03195</t>
  </si>
  <si>
    <t>B03196</t>
  </si>
  <si>
    <t>B03197</t>
  </si>
  <si>
    <t>B03198</t>
  </si>
  <si>
    <t>B03199</t>
  </si>
  <si>
    <t>B03200</t>
  </si>
  <si>
    <t>B03201</t>
  </si>
  <si>
    <t>B03202</t>
  </si>
  <si>
    <t>B03203</t>
  </si>
  <si>
    <t>B03204</t>
  </si>
  <si>
    <t>B03205</t>
  </si>
  <si>
    <t>B03206</t>
  </si>
  <si>
    <t>B03207</t>
  </si>
  <si>
    <t>B03208</t>
  </si>
  <si>
    <t>B03209</t>
  </si>
  <si>
    <t>B03210</t>
  </si>
  <si>
    <t>B03211</t>
  </si>
  <si>
    <t>B03212</t>
  </si>
  <si>
    <t>B03213</t>
  </si>
  <si>
    <t>B03214</t>
  </si>
  <si>
    <t>B03215</t>
  </si>
  <si>
    <t>B03216</t>
  </si>
  <si>
    <t>B03217</t>
  </si>
  <si>
    <t>B03218</t>
  </si>
  <si>
    <t>B03219</t>
  </si>
  <si>
    <t>B03220</t>
  </si>
  <si>
    <t>B03221</t>
  </si>
  <si>
    <t>B03222</t>
  </si>
  <si>
    <t>B03223</t>
  </si>
  <si>
    <t>B03224</t>
  </si>
  <si>
    <t>B03225</t>
  </si>
  <si>
    <t>B03226</t>
  </si>
  <si>
    <t>B03227</t>
  </si>
  <si>
    <t>B03228</t>
  </si>
  <si>
    <t>B03229</t>
  </si>
  <si>
    <t>B03230</t>
  </si>
  <si>
    <t>B03231</t>
  </si>
  <si>
    <t>B03232</t>
  </si>
  <si>
    <t>B03233</t>
  </si>
  <si>
    <t>B03234</t>
  </si>
  <si>
    <t>B03235</t>
  </si>
  <si>
    <t>B03236</t>
  </si>
  <si>
    <t>B03237</t>
  </si>
  <si>
    <t>B03238</t>
  </si>
  <si>
    <t>B03239</t>
  </si>
  <si>
    <t>B03240</t>
  </si>
  <si>
    <t>B03241</t>
  </si>
  <si>
    <t>B03242</t>
  </si>
  <si>
    <t>B03243</t>
  </si>
  <si>
    <t>B03244</t>
  </si>
  <si>
    <t>B03245</t>
  </si>
  <si>
    <t>B03246</t>
  </si>
  <si>
    <t>B03247</t>
  </si>
  <si>
    <t>B03248</t>
  </si>
  <si>
    <t>B03249</t>
  </si>
  <si>
    <t>B03250</t>
  </si>
  <si>
    <t>B03251</t>
  </si>
  <si>
    <t>B03252</t>
  </si>
  <si>
    <t>B03253</t>
  </si>
  <si>
    <t>B03254</t>
  </si>
  <si>
    <t>B03255</t>
  </si>
  <si>
    <t>B03256</t>
  </si>
  <si>
    <t>B03257</t>
  </si>
  <si>
    <t>B03258</t>
  </si>
  <si>
    <t>B03259</t>
  </si>
  <si>
    <t>B03260</t>
  </si>
  <si>
    <t>B03261</t>
  </si>
  <si>
    <t>B03262</t>
  </si>
  <si>
    <t>B03263</t>
  </si>
  <si>
    <t>B03264</t>
  </si>
  <si>
    <t>B03265</t>
  </si>
  <si>
    <t>B03266</t>
  </si>
  <si>
    <t>B03267</t>
  </si>
  <si>
    <t>B03268</t>
  </si>
  <si>
    <t>B03269</t>
  </si>
  <si>
    <t>B03270</t>
  </si>
  <si>
    <t>B03271</t>
  </si>
  <si>
    <t>B03272</t>
  </si>
  <si>
    <t>B03273</t>
  </si>
  <si>
    <t>B03274</t>
  </si>
  <si>
    <t>B03275</t>
  </si>
  <si>
    <t>B03276</t>
  </si>
  <si>
    <t>B03277</t>
  </si>
  <si>
    <t>B03278</t>
  </si>
  <si>
    <t>B03279</t>
  </si>
  <si>
    <t>B03280</t>
  </si>
  <si>
    <t>B03281</t>
  </si>
  <si>
    <t>B03282</t>
  </si>
  <si>
    <t>B03283</t>
  </si>
  <si>
    <t>B03284</t>
  </si>
  <si>
    <t>B03285</t>
  </si>
  <si>
    <t>B03286</t>
  </si>
  <si>
    <t>B03287</t>
  </si>
  <si>
    <t>B03288</t>
  </si>
  <si>
    <t>B03289</t>
  </si>
  <si>
    <t>B03290</t>
  </si>
  <si>
    <t>B03291</t>
  </si>
  <si>
    <t>B03292</t>
  </si>
  <si>
    <t>B03293</t>
  </si>
  <si>
    <t>B03294</t>
  </si>
  <si>
    <t>B03295</t>
  </si>
  <si>
    <t>B03296</t>
  </si>
  <si>
    <t>B03297</t>
  </si>
  <si>
    <t>B03298</t>
  </si>
  <si>
    <t>B03299</t>
  </si>
  <si>
    <t>B03300</t>
  </si>
  <si>
    <t>B03301</t>
  </si>
  <si>
    <t>B03302</t>
  </si>
  <si>
    <t>B03303</t>
  </si>
  <si>
    <t>B03304</t>
  </si>
  <si>
    <t>B03305</t>
  </si>
  <si>
    <t>B03306</t>
  </si>
  <si>
    <t>B03307</t>
  </si>
  <si>
    <t>B03308</t>
  </si>
  <si>
    <t>B03309</t>
  </si>
  <si>
    <t>B03310</t>
  </si>
  <si>
    <t>B03311</t>
  </si>
  <si>
    <t>B03312</t>
  </si>
  <si>
    <t>B03313</t>
  </si>
  <si>
    <t>B03314</t>
  </si>
  <si>
    <t>B03315</t>
  </si>
  <si>
    <t>B03316</t>
  </si>
  <si>
    <t>B03317</t>
  </si>
  <si>
    <t>B03318</t>
  </si>
  <si>
    <t>B03319</t>
  </si>
  <si>
    <t>B03320</t>
  </si>
  <si>
    <t>B03321</t>
  </si>
  <si>
    <t>B03322</t>
  </si>
  <si>
    <t>B03323</t>
  </si>
  <si>
    <t>B03324</t>
  </si>
  <si>
    <t>B03325</t>
  </si>
  <si>
    <t>B03326</t>
  </si>
  <si>
    <t>B03327</t>
  </si>
  <si>
    <t>B03328</t>
  </si>
  <si>
    <t>B03329</t>
  </si>
  <si>
    <t>B03330</t>
  </si>
  <si>
    <t>B03331</t>
  </si>
  <si>
    <t>B03332</t>
  </si>
  <si>
    <t>B03333</t>
  </si>
  <si>
    <t>B03334</t>
  </si>
  <si>
    <t>B03335</t>
  </si>
  <si>
    <t>B03336</t>
  </si>
  <si>
    <t>B03337</t>
  </si>
  <si>
    <t>B03338</t>
  </si>
  <si>
    <t>B03339</t>
  </si>
  <si>
    <t>B03340</t>
  </si>
  <si>
    <t>B03341</t>
  </si>
  <si>
    <t>B03342</t>
  </si>
  <si>
    <t>B03343</t>
  </si>
  <si>
    <t>B03344</t>
  </si>
  <si>
    <t>B03345</t>
  </si>
  <si>
    <t>B03346</t>
  </si>
  <si>
    <t>B03347</t>
  </si>
  <si>
    <t>B03348</t>
  </si>
  <si>
    <t>B03349</t>
  </si>
  <si>
    <t>B03350</t>
  </si>
  <si>
    <t>B03351</t>
  </si>
  <si>
    <t>B03352</t>
  </si>
  <si>
    <t>B03353</t>
  </si>
  <si>
    <t>B03354</t>
  </si>
  <si>
    <t>B03355</t>
  </si>
  <si>
    <t>B03356</t>
  </si>
  <si>
    <t>B03357</t>
  </si>
  <si>
    <t>B03358</t>
  </si>
  <si>
    <t>B03359</t>
  </si>
  <si>
    <t>B03360</t>
  </si>
  <si>
    <t>B03361</t>
  </si>
  <si>
    <t>B03362</t>
  </si>
  <si>
    <t>B03363</t>
  </si>
  <si>
    <t>B03364</t>
  </si>
  <si>
    <t>B03365</t>
  </si>
  <si>
    <t>B03366</t>
  </si>
  <si>
    <t>B03367</t>
  </si>
  <si>
    <t>B03368</t>
  </si>
  <si>
    <t>B03369</t>
  </si>
  <si>
    <t>B03370</t>
  </si>
  <si>
    <t>B03371</t>
  </si>
  <si>
    <t>B03372</t>
  </si>
  <si>
    <t>B03373</t>
  </si>
  <si>
    <t>B03374</t>
  </si>
  <si>
    <t>B03375</t>
  </si>
  <si>
    <t>B03376</t>
  </si>
  <si>
    <t>B03377</t>
  </si>
  <si>
    <t>B03378</t>
  </si>
  <si>
    <t>B03379</t>
  </si>
  <si>
    <t>B03380</t>
  </si>
  <si>
    <t>B03381</t>
  </si>
  <si>
    <t>B03382</t>
  </si>
  <si>
    <t>B03383</t>
  </si>
  <si>
    <t>B03384</t>
  </si>
  <si>
    <t>B03385</t>
  </si>
  <si>
    <t>B03386</t>
  </si>
  <si>
    <t>B03387</t>
  </si>
  <si>
    <t>B03388</t>
  </si>
  <si>
    <t>B03389</t>
  </si>
  <si>
    <t>B03390</t>
  </si>
  <si>
    <t>B03391</t>
  </si>
  <si>
    <t>B03392</t>
  </si>
  <si>
    <t>B03393</t>
  </si>
  <si>
    <t>B03394</t>
  </si>
  <si>
    <t>B03395</t>
  </si>
  <si>
    <t>B03396</t>
  </si>
  <si>
    <t>B03397</t>
  </si>
  <si>
    <t>B03398</t>
  </si>
  <si>
    <t>B03399</t>
  </si>
  <si>
    <t>B03400</t>
  </si>
  <si>
    <t>B03401</t>
  </si>
  <si>
    <t>B03402</t>
  </si>
  <si>
    <t>B03403</t>
  </si>
  <si>
    <t>B03404</t>
  </si>
  <si>
    <t>B03405</t>
  </si>
  <si>
    <t>B03406</t>
  </si>
  <si>
    <t>B03407</t>
  </si>
  <si>
    <t>B03408</t>
  </si>
  <si>
    <t>B03409</t>
  </si>
  <si>
    <t>B03410</t>
  </si>
  <si>
    <t>B03411</t>
  </si>
  <si>
    <t>B03412</t>
  </si>
  <si>
    <t>B03413</t>
  </si>
  <si>
    <t>B03414</t>
  </si>
  <si>
    <t>B03415</t>
  </si>
  <si>
    <t>B03416</t>
  </si>
  <si>
    <t>B03417</t>
  </si>
  <si>
    <t>B03418</t>
  </si>
  <si>
    <t>B03419</t>
  </si>
  <si>
    <t>B03420</t>
  </si>
  <si>
    <t>B03421</t>
  </si>
  <si>
    <t>B03422</t>
  </si>
  <si>
    <t>B03423</t>
  </si>
  <si>
    <t>B03424</t>
  </si>
  <si>
    <t>B03425</t>
  </si>
  <si>
    <t>B03426</t>
  </si>
  <si>
    <t>B03427</t>
  </si>
  <si>
    <t>B03428</t>
  </si>
  <si>
    <t>B03429</t>
  </si>
  <si>
    <t>B03430</t>
  </si>
  <si>
    <t>B03431</t>
  </si>
  <si>
    <t>B03432</t>
  </si>
  <si>
    <t>B03433</t>
  </si>
  <si>
    <t>B03434</t>
  </si>
  <si>
    <t>B03435</t>
  </si>
  <si>
    <t>B03436</t>
  </si>
  <si>
    <t>B03437</t>
  </si>
  <si>
    <t>B03438</t>
  </si>
  <si>
    <t>B03439</t>
  </si>
  <si>
    <t>B03440</t>
  </si>
  <si>
    <t>B03441</t>
  </si>
  <si>
    <t>B03442</t>
  </si>
  <si>
    <t>B03443</t>
  </si>
  <si>
    <t>B03444</t>
  </si>
  <si>
    <t>B03445</t>
  </si>
  <si>
    <t>B03446</t>
  </si>
  <si>
    <t>B03447</t>
  </si>
  <si>
    <t>B03448</t>
  </si>
  <si>
    <t>B03449</t>
  </si>
  <si>
    <t>B03450</t>
  </si>
  <si>
    <t>B03451</t>
  </si>
  <si>
    <t>B03452</t>
  </si>
  <si>
    <t>B03453</t>
  </si>
  <si>
    <t>B03454</t>
  </si>
  <si>
    <t>B03455</t>
  </si>
  <si>
    <t>B03456</t>
  </si>
  <si>
    <t>B03457</t>
  </si>
  <si>
    <t>B03458</t>
  </si>
  <si>
    <t>B03459</t>
  </si>
  <si>
    <t>B03460</t>
  </si>
  <si>
    <t>B03461</t>
  </si>
  <si>
    <t>B03462</t>
  </si>
  <si>
    <t>B03463</t>
  </si>
  <si>
    <t>B03464</t>
  </si>
  <si>
    <t>B03465</t>
  </si>
  <si>
    <t>B03466</t>
  </si>
  <si>
    <t>B03467</t>
  </si>
  <si>
    <t>B03468</t>
  </si>
  <si>
    <t>B03469</t>
  </si>
  <si>
    <t>B03470</t>
  </si>
  <si>
    <t>B03471</t>
  </si>
  <si>
    <t>B03472</t>
  </si>
  <si>
    <t>B03473</t>
  </si>
  <si>
    <t>B03474</t>
  </si>
  <si>
    <t>B03475</t>
  </si>
  <si>
    <t>B03476</t>
  </si>
  <si>
    <t>B03477</t>
  </si>
  <si>
    <t>B03478</t>
  </si>
  <si>
    <t>B03479</t>
  </si>
  <si>
    <t>B03480</t>
  </si>
  <si>
    <t>B03481</t>
  </si>
  <si>
    <t>B03482</t>
  </si>
  <si>
    <t>B03483</t>
  </si>
  <si>
    <t>B03484</t>
  </si>
  <si>
    <t>B03485</t>
  </si>
  <si>
    <t>B03486</t>
  </si>
  <si>
    <t>B03487</t>
  </si>
  <si>
    <t>B03488</t>
  </si>
  <si>
    <t>B03489</t>
  </si>
  <si>
    <t>B03490</t>
  </si>
  <si>
    <t>B03491</t>
  </si>
  <si>
    <t>B03492</t>
  </si>
  <si>
    <t>B03493</t>
  </si>
  <si>
    <t>B03494</t>
  </si>
  <si>
    <t>B03495</t>
  </si>
  <si>
    <t>B03496</t>
  </si>
  <si>
    <t>B03497</t>
  </si>
  <si>
    <t>B03498</t>
  </si>
  <si>
    <t>B03499</t>
  </si>
  <si>
    <t>B03500</t>
  </si>
  <si>
    <t>B03501</t>
  </si>
  <si>
    <t>B03502</t>
  </si>
  <si>
    <t>B03503</t>
  </si>
  <si>
    <t>B03504</t>
  </si>
  <si>
    <t>B03505</t>
  </si>
  <si>
    <t>B03506</t>
  </si>
  <si>
    <t>B03507</t>
  </si>
  <si>
    <t>B03508</t>
  </si>
  <si>
    <t>B03509</t>
  </si>
  <si>
    <t>B03510</t>
  </si>
  <si>
    <t>B03511</t>
  </si>
  <si>
    <t>B03512</t>
  </si>
  <si>
    <t>B03513</t>
  </si>
  <si>
    <t>B03514</t>
  </si>
  <si>
    <t>B03515</t>
  </si>
  <si>
    <t>B03516</t>
  </si>
  <si>
    <t>B03517</t>
  </si>
  <si>
    <t>B03518</t>
  </si>
  <si>
    <t>B03519</t>
  </si>
  <si>
    <t>B03520</t>
  </si>
  <si>
    <t>B03521</t>
  </si>
  <si>
    <t>B03522</t>
  </si>
  <si>
    <t>B03523</t>
  </si>
  <si>
    <t>B03524</t>
  </si>
  <si>
    <t>B03525</t>
  </si>
  <si>
    <t>B03526</t>
  </si>
  <si>
    <t>B03527</t>
  </si>
  <si>
    <t>B03528</t>
  </si>
  <si>
    <t>B03529</t>
  </si>
  <si>
    <t>B03530</t>
  </si>
  <si>
    <t>B03531</t>
  </si>
  <si>
    <t>B03532</t>
  </si>
  <si>
    <t>B03533</t>
  </si>
  <si>
    <t>B03534</t>
  </si>
  <si>
    <t>B03535</t>
  </si>
  <si>
    <t>B03536</t>
  </si>
  <si>
    <t>B03537</t>
  </si>
  <si>
    <t>B03538</t>
  </si>
  <si>
    <t>B03539</t>
  </si>
  <si>
    <t>B03540</t>
  </si>
  <si>
    <t>B03541</t>
  </si>
  <si>
    <t>B03542</t>
  </si>
  <si>
    <t>B03543</t>
  </si>
  <si>
    <t>B03544</t>
  </si>
  <si>
    <t>B03545</t>
  </si>
  <si>
    <t>B03546</t>
  </si>
  <si>
    <t>B03547</t>
  </si>
  <si>
    <t>B03548</t>
  </si>
  <si>
    <t>B03549</t>
  </si>
  <si>
    <t>B03550</t>
  </si>
  <si>
    <t>B03551</t>
  </si>
  <si>
    <t>B03552</t>
  </si>
  <si>
    <t>B03553</t>
  </si>
  <si>
    <t>B03554</t>
  </si>
  <si>
    <t>B03555</t>
  </si>
  <si>
    <t>B03556</t>
  </si>
  <si>
    <t>B03557</t>
  </si>
  <si>
    <t>B03558</t>
  </si>
  <si>
    <t>B03559</t>
  </si>
  <si>
    <t>B03560</t>
  </si>
  <si>
    <t>B03561</t>
  </si>
  <si>
    <t>B03562</t>
  </si>
  <si>
    <t>B03563</t>
  </si>
  <si>
    <t>B03564</t>
  </si>
  <si>
    <t>B03565</t>
  </si>
  <si>
    <t>B03566</t>
  </si>
  <si>
    <t>B03567</t>
  </si>
  <si>
    <t>B03568</t>
  </si>
  <si>
    <t>B03569</t>
  </si>
  <si>
    <t>B03570</t>
  </si>
  <si>
    <t>B03571</t>
  </si>
  <si>
    <t>B03572</t>
  </si>
  <si>
    <t>B03573</t>
  </si>
  <si>
    <t>B03574</t>
  </si>
  <si>
    <t>B03575</t>
  </si>
  <si>
    <t>B03576</t>
  </si>
  <si>
    <t>B03577</t>
  </si>
  <si>
    <t>B03578</t>
  </si>
  <si>
    <t>B03579</t>
  </si>
  <si>
    <t>B03580</t>
  </si>
  <si>
    <t>B03581</t>
  </si>
  <si>
    <t>B03582</t>
  </si>
  <si>
    <t>B03583</t>
  </si>
  <si>
    <t>B03584</t>
  </si>
  <si>
    <t>B03585</t>
  </si>
  <si>
    <t>B03586</t>
  </si>
  <si>
    <t>B03587</t>
  </si>
  <si>
    <t>B03588</t>
  </si>
  <si>
    <t>B03589</t>
  </si>
  <si>
    <t>B03590</t>
  </si>
  <si>
    <t>B03591</t>
  </si>
  <si>
    <t>B03592</t>
  </si>
  <si>
    <t>B03593</t>
  </si>
  <si>
    <t>B03594</t>
  </si>
  <si>
    <t>B03595</t>
  </si>
  <si>
    <t>B03596</t>
  </si>
  <si>
    <t>B03597</t>
  </si>
  <si>
    <t>B03598</t>
  </si>
  <si>
    <t>B03599</t>
  </si>
  <si>
    <t>B03600</t>
  </si>
  <si>
    <t>B03601</t>
  </si>
  <si>
    <t>B03602</t>
  </si>
  <si>
    <t>B03603</t>
  </si>
  <si>
    <t>B03604</t>
  </si>
  <si>
    <t>B03605</t>
  </si>
  <si>
    <t>B03606</t>
  </si>
  <si>
    <t>B03607</t>
  </si>
  <si>
    <t>B03608</t>
  </si>
  <si>
    <t>B03609</t>
  </si>
  <si>
    <t>B03610</t>
  </si>
  <si>
    <t>B03611</t>
  </si>
  <si>
    <t>B03612</t>
  </si>
  <si>
    <t>B03613</t>
  </si>
  <si>
    <t>B03614</t>
  </si>
  <si>
    <t>B03615</t>
  </si>
  <si>
    <t>B03616</t>
  </si>
  <si>
    <t>B03617</t>
  </si>
  <si>
    <t>B03618</t>
  </si>
  <si>
    <t>B03619</t>
  </si>
  <si>
    <t>B03620</t>
  </si>
  <si>
    <t>B03621</t>
  </si>
  <si>
    <t>B03622</t>
  </si>
  <si>
    <t>B03623</t>
  </si>
  <si>
    <t>B03624</t>
  </si>
  <si>
    <t>B03625</t>
  </si>
  <si>
    <t>B03626</t>
  </si>
  <si>
    <t>B03627</t>
  </si>
  <si>
    <t>B03628</t>
  </si>
  <si>
    <t>B03629</t>
  </si>
  <si>
    <t>B03630</t>
  </si>
  <si>
    <t>B03631</t>
  </si>
  <si>
    <t>B03632</t>
  </si>
  <si>
    <t>B03633</t>
  </si>
  <si>
    <t>B03634</t>
  </si>
  <si>
    <t>B03635</t>
  </si>
  <si>
    <t>B03636</t>
  </si>
  <si>
    <t>B03637</t>
  </si>
  <si>
    <t>B03638</t>
  </si>
  <si>
    <t>B03639</t>
  </si>
  <si>
    <t>B03640</t>
  </si>
  <si>
    <t>B03641</t>
  </si>
  <si>
    <t>B03642</t>
  </si>
  <si>
    <t>B03643</t>
  </si>
  <si>
    <t>B03644</t>
  </si>
  <si>
    <t>B03645</t>
  </si>
  <si>
    <t>B03646</t>
  </si>
  <si>
    <t>B03647</t>
  </si>
  <si>
    <t>B03648</t>
  </si>
  <si>
    <t>B03649</t>
  </si>
  <si>
    <t>B03650</t>
  </si>
  <si>
    <t>B03651</t>
  </si>
  <si>
    <t>B03652</t>
  </si>
  <si>
    <t>B03653</t>
  </si>
  <si>
    <t>B03654</t>
  </si>
  <si>
    <t>B03655</t>
  </si>
  <si>
    <t>B03656</t>
  </si>
  <si>
    <t>B03657</t>
  </si>
  <si>
    <t>B03658</t>
  </si>
  <si>
    <t>B03659</t>
  </si>
  <si>
    <t>B03660</t>
  </si>
  <si>
    <t>B03661</t>
  </si>
  <si>
    <t>B03662</t>
  </si>
  <si>
    <t>B03663</t>
  </si>
  <si>
    <t>B03664</t>
  </si>
  <si>
    <t>B03665</t>
  </si>
  <si>
    <t>B03666</t>
  </si>
  <si>
    <t>B03667</t>
  </si>
  <si>
    <t>B03668</t>
  </si>
  <si>
    <t>B03669</t>
  </si>
  <si>
    <t>B03670</t>
  </si>
  <si>
    <t>B03671</t>
  </si>
  <si>
    <t>B03672</t>
  </si>
  <si>
    <t>B03673</t>
  </si>
  <si>
    <t>B03674</t>
  </si>
  <si>
    <t>B03675</t>
  </si>
  <si>
    <t>B03676</t>
  </si>
  <si>
    <t>B03677</t>
  </si>
  <si>
    <t>B03678</t>
  </si>
  <si>
    <t>B03679</t>
  </si>
  <si>
    <t>B03680</t>
  </si>
  <si>
    <t>B03681</t>
  </si>
  <si>
    <t>B03682</t>
  </si>
  <si>
    <t>B03683</t>
  </si>
  <si>
    <t>B03684</t>
  </si>
  <si>
    <t>B03685</t>
  </si>
  <si>
    <t>B03686</t>
  </si>
  <si>
    <t>B03687</t>
  </si>
  <si>
    <t>B03688</t>
  </si>
  <si>
    <t>B03689</t>
  </si>
  <si>
    <t>B03690</t>
  </si>
  <si>
    <t>B03691</t>
  </si>
  <si>
    <t>B03692</t>
  </si>
  <si>
    <t>B03693</t>
  </si>
  <si>
    <t>B03694</t>
  </si>
  <si>
    <t>B03695</t>
  </si>
  <si>
    <t>B03696</t>
  </si>
  <si>
    <t>B03697</t>
  </si>
  <si>
    <t>B03698</t>
  </si>
  <si>
    <t>B03699</t>
  </si>
  <si>
    <t>B03700</t>
  </si>
  <si>
    <t>B03701</t>
  </si>
  <si>
    <t>B03702</t>
  </si>
  <si>
    <t>B03703</t>
  </si>
  <si>
    <t>B03704</t>
  </si>
  <si>
    <t>B03705</t>
  </si>
  <si>
    <t>B03706</t>
  </si>
  <si>
    <t>B03707</t>
  </si>
  <si>
    <t>B03708</t>
  </si>
  <si>
    <t>B03709</t>
  </si>
  <si>
    <t>B03710</t>
  </si>
  <si>
    <t>B03711</t>
  </si>
  <si>
    <t>B03712</t>
  </si>
  <si>
    <t>B03713</t>
  </si>
  <si>
    <t>B03714</t>
  </si>
  <si>
    <t>B03715</t>
  </si>
  <si>
    <t>B03716</t>
  </si>
  <si>
    <t>B03717</t>
  </si>
  <si>
    <t>B03718</t>
  </si>
  <si>
    <t>B03719</t>
  </si>
  <si>
    <t>B03720</t>
  </si>
  <si>
    <t>B03721</t>
  </si>
  <si>
    <t>B03722</t>
  </si>
  <si>
    <t>B03723</t>
  </si>
  <si>
    <t>B03724</t>
  </si>
  <si>
    <t>B03725</t>
  </si>
  <si>
    <t>B03726</t>
  </si>
  <si>
    <t>B03727</t>
  </si>
  <si>
    <t>B03728</t>
  </si>
  <si>
    <t>B03729</t>
  </si>
  <si>
    <t>B03730</t>
  </si>
  <si>
    <t>B03731</t>
  </si>
  <si>
    <t>B03732</t>
  </si>
  <si>
    <t>B03733</t>
  </si>
  <si>
    <t>B03734</t>
  </si>
  <si>
    <t>B03735</t>
  </si>
  <si>
    <t>B03736</t>
  </si>
  <si>
    <t>B03737</t>
  </si>
  <si>
    <t>B03738</t>
  </si>
  <si>
    <t>B03739</t>
  </si>
  <si>
    <t>B03740</t>
  </si>
  <si>
    <t>B03741</t>
  </si>
  <si>
    <t>B03742</t>
  </si>
  <si>
    <t>B03743</t>
  </si>
  <si>
    <t>B03744</t>
  </si>
  <si>
    <t>B03745</t>
  </si>
  <si>
    <t>B03746</t>
  </si>
  <si>
    <t>B03747</t>
  </si>
  <si>
    <t>B03748</t>
  </si>
  <si>
    <t>B03749</t>
  </si>
  <si>
    <t>B03750</t>
  </si>
  <si>
    <t>B03751</t>
  </si>
  <si>
    <t>B03752</t>
  </si>
  <si>
    <t>B03753</t>
  </si>
  <si>
    <t>B03754</t>
  </si>
  <si>
    <t>B03755</t>
  </si>
  <si>
    <t>B03756</t>
  </si>
  <si>
    <t>B03757</t>
  </si>
  <si>
    <t>B03758</t>
  </si>
  <si>
    <t>B03759</t>
  </si>
  <si>
    <t>B03760</t>
  </si>
  <si>
    <t>B03761</t>
  </si>
  <si>
    <t>B03762</t>
  </si>
  <si>
    <t>B03763</t>
  </si>
  <si>
    <t>B03764</t>
  </si>
  <si>
    <t>B03765</t>
  </si>
  <si>
    <t>B03766</t>
  </si>
  <si>
    <t>B03767</t>
  </si>
  <si>
    <t>B03768</t>
  </si>
  <si>
    <t>B03769</t>
  </si>
  <si>
    <t>B03770</t>
  </si>
  <si>
    <t>B03771</t>
  </si>
  <si>
    <t>B03772</t>
  </si>
  <si>
    <t>B03773</t>
  </si>
  <si>
    <t>B03774</t>
  </si>
  <si>
    <t>B03775</t>
  </si>
  <si>
    <t>B03776</t>
  </si>
  <si>
    <t>B03777</t>
  </si>
  <si>
    <t>B03778</t>
  </si>
  <si>
    <t>B03779</t>
  </si>
  <si>
    <t>B03780</t>
  </si>
  <si>
    <t>B03781</t>
  </si>
  <si>
    <t>B03782</t>
  </si>
  <si>
    <t>B03783</t>
  </si>
  <si>
    <t>B03784</t>
  </si>
  <si>
    <t>B03785</t>
  </si>
  <si>
    <t>B03786</t>
  </si>
  <si>
    <t>B03787</t>
  </si>
  <si>
    <t>B03788</t>
  </si>
  <si>
    <t>B03789</t>
  </si>
  <si>
    <t>B03790</t>
  </si>
  <si>
    <t>B03791</t>
  </si>
  <si>
    <t>B03792</t>
  </si>
  <si>
    <t>B03793</t>
  </si>
  <si>
    <t>B03794</t>
  </si>
  <si>
    <t>B03795</t>
  </si>
  <si>
    <t>B03796</t>
  </si>
  <si>
    <t>B03797</t>
  </si>
  <si>
    <t>B03798</t>
  </si>
  <si>
    <t>B03799</t>
  </si>
  <si>
    <t>B03800</t>
  </si>
  <si>
    <t>B03801</t>
  </si>
  <si>
    <t>B03802</t>
  </si>
  <si>
    <t>B03803</t>
  </si>
  <si>
    <t>B03804</t>
  </si>
  <si>
    <t>B03805</t>
  </si>
  <si>
    <t>B03806</t>
  </si>
  <si>
    <t>B03807</t>
  </si>
  <si>
    <t>B03808</t>
  </si>
  <si>
    <t>B03809</t>
  </si>
  <si>
    <t>B03810</t>
  </si>
  <si>
    <t>B03811</t>
  </si>
  <si>
    <t>B03812</t>
  </si>
  <si>
    <t>B03813</t>
  </si>
  <si>
    <t>B03814</t>
  </si>
  <si>
    <t>B03815</t>
  </si>
  <si>
    <t>B03816</t>
  </si>
  <si>
    <t>B03817</t>
  </si>
  <si>
    <t>B03818</t>
  </si>
  <si>
    <t>B03819</t>
  </si>
  <si>
    <t>B03820</t>
  </si>
  <si>
    <t>B03821</t>
  </si>
  <si>
    <t>B03822</t>
  </si>
  <si>
    <t>B03823</t>
  </si>
  <si>
    <t>B03824</t>
  </si>
  <si>
    <t>B03825</t>
  </si>
  <si>
    <t>Batch Outcomes — how each batch was sold or lost</t>
  </si>
  <si>
    <t>Keyed by BatchID: fully sold out, or partial loss with the wasted %.</t>
  </si>
  <si>
    <t>Status</t>
  </si>
  <si>
    <t>Qty Purchased</t>
  </si>
  <si>
    <t>Qty Sold</t>
  </si>
  <si>
    <t>Qty Wasted</t>
  </si>
  <si>
    <t>Wasted %</t>
  </si>
  <si>
    <t>Close Date</t>
  </si>
  <si>
    <t>Revenue (CLP)</t>
  </si>
  <si>
    <t>Gross Profit (CLP)</t>
  </si>
  <si>
    <t>Gross Profit (USD)</t>
  </si>
  <si>
    <t>Partial Loss</t>
  </si>
  <si>
    <t>Sold Out</t>
  </si>
  <si>
    <t>Supplier Scorecard — supply-chain dependency &amp; performance</t>
  </si>
  <si>
    <t>Based on PRIMARY links. Updates automatically from Supply_Links / Products.</t>
  </si>
  <si>
    <t># Products (primary)</t>
  </si>
  <si>
    <t>Avg Margin (%)</t>
  </si>
  <si>
    <t>Dependency Risk</t>
  </si>
  <si>
    <t>Category Summary</t>
  </si>
  <si>
    <t>Pivot-style; recalculates from Products. Includes 2-year revenue &amp; waste from Batch_Outcomes.</t>
  </si>
  <si>
    <t>Stock High</t>
  </si>
  <si>
    <t>Stock Med</t>
  </si>
  <si>
    <t>Stock Low</t>
  </si>
  <si>
    <t>TOTAL</t>
  </si>
  <si>
    <t>Season Demand</t>
  </si>
  <si>
    <t>Restock Alerts</t>
  </si>
  <si>
    <t>Reorder Priority</t>
  </si>
  <si>
    <t>Primary Supplier</t>
  </si>
  <si>
    <t>Synthetic purchase cohorts Jul 2023–Jun 2025. Outcomes include future batch closures.</t>
  </si>
  <si>
    <t>Cohort gross margin</t>
  </si>
  <si>
    <t>Cohort revenue (CLP)</t>
  </si>
  <si>
    <t>Cohort gross profit (CLP)</t>
  </si>
  <si>
    <t>Waste cost / purchase cost</t>
  </si>
  <si>
    <t>Purchase-cohort outcomes (USD illustrative FX; waste cost %)</t>
  </si>
  <si>
    <t>Waste cost %</t>
  </si>
  <si>
    <t>Catalog seasonality assumptions. This is not measured sales demand.</t>
  </si>
  <si>
    <t>Qualitative stock triage only. Count on-hand and incoming stock before ordering.</t>
  </si>
  <si>
    <t>Merma y reposición / Waste and replenishment</t>
  </si>
  <si>
    <t>Datos simulados. Cohortes de compras jul 2023–jun 2025; cierres hasta 2035.</t>
  </si>
  <si>
    <t>Synthetic data. Purchase cohorts Jul 2023–Jun 2025; closures through 2035.</t>
  </si>
  <si>
    <t>Metric / Métrica</t>
  </si>
  <si>
    <t>CLP / value</t>
  </si>
  <si>
    <t>Cohort revenue / Ingreso total de cohortes</t>
  </si>
  <si>
    <t>Cohort gross profit / Utilidad bruta de cohortes</t>
  </si>
  <si>
    <t>Gross margin / Margen bruto</t>
  </si>
  <si>
    <t>Closed by 2025-06-30 / Ingreso de lotes cerrados</t>
  </si>
  <si>
    <t>Later closures / Ingreso de cierres posteriores</t>
  </si>
  <si>
    <t>Later closure batches / Lotes con cierre posterior</t>
  </si>
  <si>
    <t>Decisión / Decision</t>
  </si>
  <si>
    <t>Medir ventas diarias y merma por SKU antes de fijar cantidades de compra.</t>
  </si>
  <si>
    <t>Capture daily SKU sales and waste before setting order quantities.</t>
  </si>
  <si>
    <t>Priorizar un piloto en aceitunas. Comparar costo de merma por kg comprado.</t>
  </si>
  <si>
    <t>Prioritize an olives pilot. Compare waste cost per kg purchased.</t>
  </si>
  <si>
    <t>Freezer: aprobación pendiente / investment pending</t>
  </si>
  <si>
    <t>Validar productos aptos, ahorro incremental, electricidad y mantenimiento.</t>
  </si>
  <si>
    <t>Validate eligible products, incremental savings, electricity and maintenance.</t>
  </si>
  <si>
    <t>No se interpreta Close Date como fecha de venta ni se inventan fechas.</t>
  </si>
  <si>
    <t>Close Date is not a sales date. No dates have been fabricated.</t>
  </si>
  <si>
    <t>Fuente / Source: data/*.csv. Raw records retained; see DECISION_REVIEW.md.</t>
  </si>
  <si>
    <t>Resultados de cohortes simuladas / Synthetic cohort outcomes</t>
  </si>
  <si>
    <t>Filtrar Close Date para separar cierres posteriores. Refresh All tras editar datos.</t>
  </si>
  <si>
    <t>Row Labels</t>
  </si>
  <si>
    <t>Grand Total</t>
  </si>
  <si>
    <t>(All)</t>
  </si>
  <si>
    <t>Revenue CLP</t>
  </si>
  <si>
    <t>Purchase cost CLP</t>
  </si>
  <si>
    <t>Gross profit CLP</t>
  </si>
  <si>
    <t>Waste Cost (CLP)</t>
  </si>
  <si>
    <t>Cohort revenue CLP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</si>
</sst>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quot;US$&quot;#,##0"/>
    <numFmt numFmtId="166" formatCode="0.0"/>
    <numFmt numFmtId="167" formatCode="\$#,##0"/>
    <numFmt numFmtId="168" formatCode="&quot;US$&quot;#,##0.00"/>
    <numFmt numFmtId="169" formatCode="\$#,##0;&quot;($&quot;#,##0\);\-"/>
    <numFmt numFmtId="170" formatCode="yyyy\-mm\-dd"/>
    <numFmt numFmtId="171" formatCode="#,##0.0"/>
  </numFmts>
  <fonts count="18" x14ac:knownFonts="1">
    <font>
      <sz val="11"/>
      <color theme="1"/>
      <name val="Calibri"/>
    </font>
    <font>
      <sz val="10"/>
      <name val="Arial"/>
    </font>
    <font>
      <b/>
      <sz val="16"/>
      <color rgb="FF1F4E5F"/>
      <name val="Arial"/>
    </font>
    <font>
      <sz val="11"/>
      <color rgb="FF404040"/>
      <name val="Arial"/>
    </font>
    <font>
      <b/>
      <sz val="12"/>
      <color rgb="FF1F4E5F"/>
      <name val="Arial"/>
    </font>
    <font>
      <sz val="10"/>
      <name val="Arial"/>
    </font>
    <font>
      <b/>
      <sz val="10"/>
      <name val="Arial"/>
    </font>
    <font>
      <b/>
      <sz val="10"/>
      <color rgb="FFFFFFFF"/>
      <name val="Arial"/>
    </font>
    <font>
      <b/>
      <sz val="14"/>
      <color rgb="FF1F4E5F"/>
      <name val="Arial"/>
    </font>
    <font>
      <b/>
      <sz val="11"/>
      <color rgb="FFFFFFFF"/>
      <name val="Arial"/>
    </font>
    <font>
      <b/>
      <sz val="11"/>
      <color rgb="FFC00000"/>
      <name val="Arial"/>
    </font>
    <font>
      <b/>
      <sz val="11"/>
      <color rgb="FF1F4E5F"/>
      <name val="Arial"/>
    </font>
    <font>
      <b/>
      <sz val="13"/>
      <color rgb="FF1F4E5F"/>
      <name val="Arial"/>
    </font>
    <font>
      <sz val="10"/>
      <color rgb="FF0000FF"/>
      <name val="Arial"/>
    </font>
    <font>
      <sz val="10"/>
      <color rgb="FF008000"/>
      <name val="Arial"/>
    </font>
    <font>
      <sz val="11"/>
      <color theme="1"/>
      <name val="Arial"/>
    </font>
    <font>
      <b/>
      <sz val="16"/>
      <color rgb="FF20384A"/>
      <name val="Arial"/>
    </font>
    <font>
      <b/>
      <sz val="11"/>
      <color rgb="FF20384A"/>
      <name val="Arial"/>
    </font>
  </fonts>
  <fills count="6">
    <fill>
      <patternFill patternType="none"/>
    </fill>
    <fill>
      <patternFill patternType="gray125"/>
    </fill>
    <fill>
      <patternFill patternType="solid">
        <fgColor rgb="FF1F4E5F"/>
      </patternFill>
    </fill>
    <fill>
      <patternFill patternType="solid">
        <fgColor rgb="FFEAF1F5"/>
      </patternFill>
    </fill>
    <fill>
      <patternFill patternType="solid">
        <fgColor rgb="FFFFF2CC"/>
      </patternFill>
    </fill>
    <fill>
      <patternFill patternType="solid">
        <fgColor rgb="FF20384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53">
    <xf numFmtId="0" fontId="0" fillId="0" borderId="0" xfId="0"/>
    <xf numFmtId="166" fontId="5" fillId="0" borderId="1" xfId="0" applyNumberFormat="1" applyFont="1" applyBorder="1"/>
    <xf numFmtId="0" fontId="5" fillId="0" borderId="1" xfId="0" applyFont="1" applyBorder="1"/>
    <xf numFmtId="0" fontId="2" fillId="0" borderId="0" xfId="0" applyFont="1"/>
    <xf numFmtId="0" fontId="3" fillId="0" borderId="0" xfId="0" applyFont="1"/>
    <xf numFmtId="0" fontId="4" fillId="0" borderId="0" xfId="0" applyFont="1"/>
    <xf numFmtId="0" fontId="5" fillId="0" borderId="0" xfId="0" applyFont="1" applyAlignment="1">
      <alignment wrapText="1"/>
    </xf>
    <xf numFmtId="0" fontId="6" fillId="0" borderId="0" xfId="0" applyFont="1"/>
    <xf numFmtId="0" fontId="9" fillId="2" borderId="1" xfId="0" applyFont="1" applyFill="1" applyBorder="1" applyAlignment="1">
      <alignment horizontal="center" vertical="center" wrapText="1"/>
    </xf>
    <xf numFmtId="165" fontId="0" fillId="0" borderId="1" xfId="0" applyNumberFormat="1" applyBorder="1"/>
    <xf numFmtId="166" fontId="0" fillId="0" borderId="1" xfId="0" applyNumberFormat="1" applyBorder="1"/>
    <xf numFmtId="0" fontId="11" fillId="0" borderId="1" xfId="0" applyFont="1" applyBorder="1" applyAlignment="1">
      <alignment horizontal="center"/>
    </xf>
    <xf numFmtId="167" fontId="11" fillId="0" borderId="1" xfId="0" applyNumberFormat="1" applyFont="1" applyBorder="1" applyAlignment="1">
      <alignment horizontal="center"/>
    </xf>
    <xf numFmtId="164" fontId="11" fillId="0" borderId="1" xfId="0" applyNumberFormat="1" applyFont="1" applyBorder="1" applyAlignment="1">
      <alignment horizontal="center"/>
    </xf>
    <xf numFmtId="0" fontId="6" fillId="0" borderId="1" xfId="0" applyFont="1" applyBorder="1"/>
    <xf numFmtId="0" fontId="0" fillId="0" borderId="1" xfId="0" applyBorder="1"/>
    <xf numFmtId="0" fontId="13" fillId="0" borderId="1" xfId="0" applyFont="1" applyBorder="1"/>
    <xf numFmtId="167" fontId="13" fillId="0" borderId="1" xfId="0" applyNumberFormat="1" applyFont="1" applyBorder="1"/>
    <xf numFmtId="168" fontId="5" fillId="0" borderId="1" xfId="0" applyNumberFormat="1" applyFont="1" applyBorder="1"/>
    <xf numFmtId="167" fontId="14" fillId="0" borderId="1" xfId="0" applyNumberFormat="1" applyFont="1" applyBorder="1"/>
    <xf numFmtId="169" fontId="5" fillId="0" borderId="1" xfId="0" applyNumberFormat="1" applyFont="1" applyBorder="1"/>
    <xf numFmtId="164" fontId="5" fillId="0" borderId="1" xfId="0" applyNumberFormat="1" applyFont="1" applyBorder="1"/>
    <xf numFmtId="167" fontId="5" fillId="0" borderId="1" xfId="0" applyNumberFormat="1" applyFont="1" applyBorder="1"/>
    <xf numFmtId="0" fontId="7" fillId="2" borderId="0" xfId="0" applyFont="1" applyFill="1"/>
    <xf numFmtId="167" fontId="7" fillId="2" borderId="0" xfId="0" applyNumberFormat="1" applyFont="1" applyFill="1"/>
    <xf numFmtId="164" fontId="7" fillId="2" borderId="0" xfId="0" applyNumberFormat="1" applyFont="1" applyFill="1"/>
    <xf numFmtId="170" fontId="1" fillId="0" borderId="1" xfId="0" applyNumberFormat="1" applyFont="1" applyBorder="1"/>
    <xf numFmtId="0" fontId="15" fillId="0" borderId="0" xfId="0" applyFont="1"/>
    <xf numFmtId="0" fontId="16" fillId="0" borderId="0" xfId="0" applyFont="1"/>
    <xf numFmtId="3" fontId="15" fillId="0" borderId="0" xfId="0" applyNumberFormat="1" applyFont="1"/>
    <xf numFmtId="164" fontId="15" fillId="0" borderId="0" xfId="0" applyNumberFormat="1" applyFont="1"/>
    <xf numFmtId="0" fontId="9" fillId="5" borderId="0" xfId="0" applyFont="1" applyFill="1"/>
    <xf numFmtId="0" fontId="17" fillId="0" borderId="0" xfId="0" applyFont="1"/>
    <xf numFmtId="0" fontId="0" fillId="0" borderId="0" xfId="0" pivotButton="1"/>
    <xf numFmtId="0" fontId="0" fillId="0" borderId="0" xfId="0" applyAlignment="1">
      <alignment horizontal="left"/>
    </xf>
    <xf numFmtId="3" fontId="0" fillId="0" borderId="0" xfId="0" applyNumberFormat="1"/>
    <xf numFmtId="0" fontId="9" fillId="2" borderId="0" xfId="0" applyFont="1" applyFill="1" applyAlignment="1">
      <alignment horizontal="center" vertical="center" wrapText="1"/>
    </xf>
    <xf numFmtId="0" fontId="10" fillId="4" borderId="0" xfId="0" applyFont="1" applyFill="1" applyAlignment="1">
      <alignment horizontal="center"/>
    </xf>
    <xf numFmtId="0" fontId="7" fillId="2" borderId="0" xfId="0" applyFont="1" applyFill="1" applyAlignment="1">
      <alignment horizontal="center"/>
    </xf>
    <xf numFmtId="1" fontId="2" fillId="3" borderId="0" xfId="0" applyNumberFormat="1" applyFont="1" applyFill="1" applyAlignment="1">
      <alignment horizontal="center" vertical="center"/>
    </xf>
    <xf numFmtId="3" fontId="8" fillId="3" borderId="0" xfId="0" applyNumberFormat="1" applyFont="1" applyFill="1" applyAlignment="1">
      <alignment horizontal="center" vertical="center"/>
    </xf>
    <xf numFmtId="165" fontId="8" fillId="3" borderId="0" xfId="0" applyNumberFormat="1" applyFont="1" applyFill="1" applyAlignment="1">
      <alignment horizontal="center" vertical="center"/>
    </xf>
    <xf numFmtId="164" fontId="2" fillId="3" borderId="0" xfId="0" applyNumberFormat="1" applyFont="1" applyFill="1" applyAlignment="1">
      <alignment horizontal="center" vertical="center"/>
    </xf>
    <xf numFmtId="1" fontId="5" fillId="0" borderId="1" xfId="0" applyNumberFormat="1" applyFont="1" applyBorder="1"/>
    <xf numFmtId="166" fontId="5" fillId="0" borderId="1" xfId="0" applyNumberFormat="1" applyFont="1" applyBorder="1"/>
    <xf numFmtId="0" fontId="5" fillId="0" borderId="1" xfId="0" applyFont="1" applyBorder="1"/>
    <xf numFmtId="164" fontId="12" fillId="3" borderId="0" xfId="0" applyNumberFormat="1" applyFont="1" applyFill="1" applyAlignment="1">
      <alignment horizontal="center" vertical="center" wrapText="1"/>
    </xf>
    <xf numFmtId="1" fontId="2" fillId="3" borderId="0" xfId="0" applyNumberFormat="1" applyFont="1" applyFill="1" applyAlignment="1">
      <alignment horizontal="center" vertical="center" wrapText="1"/>
    </xf>
    <xf numFmtId="0" fontId="4" fillId="3" borderId="0" xfId="0" applyFont="1" applyFill="1" applyAlignment="1">
      <alignment horizontal="center" vertical="center" wrapText="1"/>
    </xf>
    <xf numFmtId="164" fontId="2" fillId="3" borderId="0" xfId="0" applyNumberFormat="1" applyFont="1" applyFill="1" applyAlignment="1">
      <alignment horizontal="center" vertical="center" wrapText="1"/>
    </xf>
    <xf numFmtId="166" fontId="2" fillId="3" borderId="0" xfId="0" applyNumberFormat="1" applyFont="1" applyFill="1" applyAlignment="1">
      <alignment horizontal="center" vertical="center" wrapText="1"/>
    </xf>
    <xf numFmtId="170" fontId="1" fillId="0" borderId="0" xfId="0" applyNumberFormat="1" applyFont="1"/>
    <xf numFmtId="171" fontId="5" fillId="0" borderId="0" xfId="0" applyNumberFormat="1" applyFont="1"/>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22">
    <dxf>
      <numFmt numFmtId="3" formatCode="#,##0"/>
    </dxf>
    <dxf>
      <font>
        <b val="0"/>
        <i val="0"/>
        <strike val="0"/>
        <condense val="0"/>
        <extend val="0"/>
        <outline val="0"/>
        <shadow val="0"/>
        <u val="none"/>
        <vertAlign val="baseline"/>
        <sz val="10"/>
        <color auto="1"/>
        <name val="Arial"/>
        <scheme val="none"/>
      </font>
      <numFmt numFmtId="171" formatCode="#,##0.0"/>
    </dxf>
    <dxf>
      <font>
        <b val="0"/>
        <i val="0"/>
        <strike val="0"/>
        <condense val="0"/>
        <extend val="0"/>
        <outline val="0"/>
        <shadow val="0"/>
        <u val="none"/>
        <vertAlign val="baseline"/>
        <sz val="10"/>
        <color auto="1"/>
        <name val="Arial"/>
        <scheme val="none"/>
      </font>
      <numFmt numFmtId="170" formatCode="yyyy\-mm\-dd"/>
    </dxf>
    <dxf>
      <font>
        <sz val="10"/>
        <color rgb="FF006100"/>
        <name val="Arial"/>
      </font>
      <fill>
        <patternFill>
          <bgColor rgb="FFC6EFCE"/>
        </patternFill>
      </fill>
    </dxf>
    <dxf>
      <font>
        <b/>
        <sz val="10"/>
        <color rgb="FF9C6500"/>
        <name val="Arial"/>
      </font>
      <fill>
        <patternFill>
          <bgColor rgb="FFFFEB9C"/>
        </patternFill>
      </fill>
    </dxf>
    <dxf>
      <font>
        <b/>
        <sz val="10"/>
        <color rgb="FF9C0006"/>
        <name val="Arial"/>
      </font>
      <fill>
        <patternFill>
          <bgColor rgb="FFFFC7CE"/>
        </patternFill>
      </fill>
    </dxf>
    <dxf>
      <font>
        <sz val="10"/>
        <color rgb="FF006100"/>
        <name val="Arial"/>
      </font>
      <fill>
        <patternFill>
          <bgColor rgb="FFC6EFCE"/>
        </patternFill>
      </fill>
    </dxf>
    <dxf>
      <font>
        <b/>
        <sz val="10"/>
        <color rgb="FF9C6500"/>
        <name val="Arial"/>
      </font>
      <fill>
        <patternFill>
          <bgColor rgb="FFFFEB9C"/>
        </patternFill>
      </fill>
    </dxf>
    <dxf>
      <font>
        <b/>
        <sz val="10"/>
        <color rgb="FF9C0006"/>
        <name val="Arial"/>
      </font>
      <fill>
        <patternFill>
          <bgColor rgb="FFFFC7CE"/>
        </patternFill>
      </fill>
    </dxf>
    <dxf>
      <font>
        <sz val="10"/>
        <color rgb="FF9C0006"/>
        <name val="Arial"/>
      </font>
      <fill>
        <patternFill>
          <bgColor rgb="FFFFC7CE"/>
        </patternFill>
      </fill>
    </dxf>
    <dxf>
      <font>
        <sz val="10"/>
        <color rgb="FF006100"/>
        <name val="Arial"/>
      </font>
      <fill>
        <patternFill>
          <bgColor rgb="FFC6EFCE"/>
        </patternFill>
      </fill>
    </dxf>
    <dxf>
      <font>
        <sz val="10"/>
        <color rgb="FF9C6500"/>
        <name val="Arial"/>
      </font>
      <fill>
        <patternFill>
          <bgColor rgb="FFFFF2CC"/>
        </patternFill>
      </fill>
    </dxf>
    <dxf>
      <font>
        <sz val="10"/>
        <color rgb="FF9C6500"/>
        <name val="Arial"/>
      </font>
      <fill>
        <patternFill>
          <bgColor rgb="FFFFF2CC"/>
        </patternFill>
      </fill>
    </dxf>
    <dxf>
      <font>
        <sz val="10"/>
        <color rgb="FF006100"/>
        <name val="Arial"/>
      </font>
      <fill>
        <patternFill>
          <bgColor rgb="FFD5E8D4"/>
        </patternFill>
      </fill>
    </dxf>
    <dxf>
      <font>
        <b/>
        <sz val="10"/>
        <color rgb="FF9C0006"/>
        <name val="Arial"/>
      </font>
      <fill>
        <patternFill>
          <bgColor rgb="FFFFC7CE"/>
        </patternFill>
      </fill>
    </dxf>
    <dxf>
      <font>
        <b/>
        <sz val="10"/>
        <color rgb="FF006100"/>
        <name val="Arial"/>
      </font>
      <fill>
        <patternFill>
          <bgColor rgb="FFC6EFCE"/>
        </patternFill>
      </fill>
    </dxf>
    <dxf>
      <font>
        <b/>
        <sz val="10"/>
        <color rgb="FF9C0006"/>
        <name val="Arial"/>
      </font>
      <fill>
        <patternFill>
          <bgColor rgb="FFFFC7CE"/>
        </patternFill>
      </fill>
    </dxf>
    <dxf>
      <font>
        <b/>
        <sz val="10"/>
        <color rgb="FF9C6500"/>
        <name val="Arial"/>
      </font>
      <fill>
        <patternFill>
          <bgColor rgb="FFFFEB9C"/>
        </patternFill>
      </fill>
    </dxf>
    <dxf>
      <font>
        <b/>
        <sz val="10"/>
        <color rgb="FF006100"/>
        <name val="Arial"/>
      </font>
      <fill>
        <patternFill>
          <bgColor rgb="FFC6EFCE"/>
        </patternFill>
      </fill>
    </dxf>
    <dxf>
      <fill>
        <patternFill>
          <bgColor rgb="FFD9E1F2"/>
        </patternFill>
      </fill>
    </dxf>
    <dxf>
      <fill>
        <patternFill>
          <bgColor rgb="FFFFE699"/>
        </patternFill>
      </fill>
    </dxf>
    <dxf>
      <font>
        <b/>
        <sz val="10"/>
        <color rgb="FF1F4E5F"/>
        <name val="Arial"/>
      </font>
      <fill>
        <patternFill>
          <bgColor rgb="FFBDD7EE"/>
        </patternFill>
      </fill>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00FFFF"/>
      <rgbColor rgb="FF9C0006"/>
      <rgbColor rgb="FF008000"/>
      <rgbColor rgb="FF000080"/>
      <rgbColor rgb="FF9C6500"/>
      <rgbColor rgb="FF800080"/>
      <rgbColor rgb="FF4F81BD"/>
      <rgbColor rgb="FFD9D9D9"/>
      <rgbColor rgb="FF808080"/>
      <rgbColor rgb="FF9999FF"/>
      <rgbColor rgb="FF7030A0"/>
      <rgbColor rgb="FFFFF2CC"/>
      <rgbColor rgb="FFEAF1F5"/>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5E8D4"/>
      <rgbColor rgb="FFC6EFCE"/>
      <rgbColor rgb="FFFFEB9C"/>
      <rgbColor rgb="FFD9E1F2"/>
      <rgbColor rgb="FFFF99CC"/>
      <rgbColor rgb="FFCC99FF"/>
      <rgbColor rgb="FFFFC7CE"/>
      <rgbColor rgb="FF2E75B6"/>
      <rgbColor rgb="FF33CCCC"/>
      <rgbColor rgb="FF9BBB59"/>
      <rgbColor rgb="FFFFCC00"/>
      <rgbColor rgb="FFFF9900"/>
      <rgbColor rgb="FFFF6600"/>
      <rgbColor rgb="FF4A7EBB"/>
      <rgbColor rgb="FF878787"/>
      <rgbColor rgb="FF1F4E5F"/>
      <rgbColor rgb="FF548235"/>
      <rgbColor rgb="FF006100"/>
      <rgbColor rgb="FF333300"/>
      <rgbColor rgb="FF993300"/>
      <rgbColor rgb="FFC0504D"/>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Monthly Revenue (USD) — 2 years</a:t>
            </a:r>
          </a:p>
        </c:rich>
      </c:tx>
      <c:overlay val="0"/>
    </c:title>
    <c:autoTitleDeleted val="0"/>
    <c:plotArea>
      <c:layout/>
      <c:lineChart>
        <c:grouping val="standard"/>
        <c:varyColors val="0"/>
        <c:ser>
          <c:idx val="0"/>
          <c:order val="0"/>
          <c:tx>
            <c:strRef>
              <c:f>Dashboard!$C$18</c:f>
              <c:strCache>
                <c:ptCount val="1"/>
                <c:pt idx="0">
                  <c:v>Revenue (USD)</c:v>
                </c:pt>
              </c:strCache>
            </c:strRef>
          </c:tx>
          <c:spPr>
            <a:ln w="28440">
              <a:solidFill>
                <a:srgbClr val="4A7EBB"/>
              </a:solidFill>
            </a:ln>
          </c:spPr>
          <c:marker>
            <c:symbol val="none"/>
          </c:marker>
          <c:dLbls>
            <c:spPr>
              <a:noFill/>
              <a:ln>
                <a:noFill/>
              </a:ln>
              <a:effectLst/>
            </c:spPr>
            <c:txPr>
              <a:bodyPr anchorCtr="1"/>
              <a:lstStyle/>
              <a:p>
                <a:pPr>
                  <a:defRPr sz="1000" b="0" spc="-1">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Dashboard!$B$19:$B$42</c:f>
              <c:strCache>
                <c:ptCount val="24"/>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strCache>
            </c:strRef>
          </c:cat>
          <c:val>
            <c:numRef>
              <c:f>Dashboard!$C$19:$C$42</c:f>
              <c:numCache>
                <c:formatCode>"US$"#,##0</c:formatCode>
                <c:ptCount val="24"/>
                <c:pt idx="0">
                  <c:v>19975</c:v>
                </c:pt>
                <c:pt idx="1">
                  <c:v>19974</c:v>
                </c:pt>
                <c:pt idx="2">
                  <c:v>22866</c:v>
                </c:pt>
                <c:pt idx="3">
                  <c:v>16117</c:v>
                </c:pt>
                <c:pt idx="4">
                  <c:v>15155</c:v>
                </c:pt>
                <c:pt idx="5">
                  <c:v>18974</c:v>
                </c:pt>
                <c:pt idx="6">
                  <c:v>15545</c:v>
                </c:pt>
                <c:pt idx="7">
                  <c:v>14415</c:v>
                </c:pt>
                <c:pt idx="8">
                  <c:v>15262</c:v>
                </c:pt>
                <c:pt idx="9">
                  <c:v>19516</c:v>
                </c:pt>
                <c:pt idx="10">
                  <c:v>21114</c:v>
                </c:pt>
                <c:pt idx="11">
                  <c:v>20107</c:v>
                </c:pt>
                <c:pt idx="12">
                  <c:v>19460</c:v>
                </c:pt>
                <c:pt idx="13">
                  <c:v>19379</c:v>
                </c:pt>
                <c:pt idx="14">
                  <c:v>23436</c:v>
                </c:pt>
                <c:pt idx="15">
                  <c:v>15918</c:v>
                </c:pt>
                <c:pt idx="16">
                  <c:v>15449</c:v>
                </c:pt>
                <c:pt idx="17">
                  <c:v>20349</c:v>
                </c:pt>
                <c:pt idx="18">
                  <c:v>16213</c:v>
                </c:pt>
                <c:pt idx="19">
                  <c:v>15367</c:v>
                </c:pt>
                <c:pt idx="20">
                  <c:v>16572</c:v>
                </c:pt>
                <c:pt idx="21">
                  <c:v>19382</c:v>
                </c:pt>
                <c:pt idx="22">
                  <c:v>20764</c:v>
                </c:pt>
                <c:pt idx="23">
                  <c:v>20324</c:v>
                </c:pt>
              </c:numCache>
            </c:numRef>
          </c:val>
          <c:smooth val="1"/>
          <c:extLst>
            <c:ext xmlns:c16="http://schemas.microsoft.com/office/drawing/2014/chart" uri="{C3380CC4-5D6E-409C-BE32-E72D297353CC}">
              <c16:uniqueId val="{00000000-83A2-4221-9E21-78CE177D1CE8}"/>
            </c:ext>
          </c:extLst>
        </c:ser>
        <c:dLbls>
          <c:showLegendKey val="0"/>
          <c:showVal val="0"/>
          <c:showCatName val="0"/>
          <c:showSerName val="0"/>
          <c:showPercent val="0"/>
          <c:showBubbleSize val="0"/>
        </c:dLbls>
        <c:smooth val="0"/>
        <c:axId val="99594485"/>
        <c:axId val="63300345"/>
      </c:lineChart>
      <c:catAx>
        <c:axId val="99594485"/>
        <c:scaling>
          <c:orientation val="minMax"/>
        </c:scaling>
        <c:delete val="0"/>
        <c:axPos val="b"/>
        <c:numFmt formatCode="General"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63300345"/>
        <c:crosses val="autoZero"/>
        <c:auto val="1"/>
        <c:lblAlgn val="ctr"/>
        <c:lblOffset val="100"/>
        <c:noMultiLvlLbl val="1"/>
      </c:catAx>
      <c:valAx>
        <c:axId val="63300345"/>
        <c:scaling>
          <c:orientation val="minMax"/>
        </c:scaling>
        <c:delete val="0"/>
        <c:axPos val="l"/>
        <c:majorGridlines>
          <c:spPr>
            <a:ln w="9360">
              <a:solidFill>
                <a:srgbClr val="878787"/>
              </a:solidFill>
            </a:ln>
          </c:spPr>
        </c:majorGridlines>
        <c:numFmt formatCode="&quot;US$&quot;#,##0"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99594485"/>
        <c:crosses val="autoZero"/>
        <c:crossBetween val="between"/>
      </c:valAx>
      <c:spPr>
        <a:noFill/>
        <a:ln w="0">
          <a:noFill/>
        </a:ln>
      </c:spPr>
    </c:plotArea>
    <c:legend>
      <c:legendPos val="r"/>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Monthly Waste % — 2 years</a:t>
            </a:r>
          </a:p>
        </c:rich>
      </c:tx>
      <c:overlay val="0"/>
    </c:title>
    <c:autoTitleDeleted val="0"/>
    <c:plotArea>
      <c:layout/>
      <c:lineChart>
        <c:grouping val="standard"/>
        <c:varyColors val="0"/>
        <c:ser>
          <c:idx val="0"/>
          <c:order val="0"/>
          <c:tx>
            <c:strRef>
              <c:f>Dashboard!$D$18</c:f>
              <c:strCache>
                <c:ptCount val="1"/>
                <c:pt idx="0">
                  <c:v>Waste cost %</c:v>
                </c:pt>
              </c:strCache>
            </c:strRef>
          </c:tx>
          <c:spPr>
            <a:ln w="28440">
              <a:solidFill>
                <a:srgbClr val="4A7EBB"/>
              </a:solidFill>
            </a:ln>
          </c:spPr>
          <c:marker>
            <c:symbol val="none"/>
          </c:marker>
          <c:dLbls>
            <c:spPr>
              <a:noFill/>
              <a:ln>
                <a:noFill/>
              </a:ln>
              <a:effectLst/>
            </c:spPr>
            <c:txPr>
              <a:bodyPr anchorCtr="1"/>
              <a:lstStyle/>
              <a:p>
                <a:pPr>
                  <a:defRPr sz="1000" b="0" spc="-1">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Dashboard!$B$19:$B$42</c:f>
              <c:strCache>
                <c:ptCount val="24"/>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strCache>
            </c:strRef>
          </c:cat>
          <c:val>
            <c:numRef>
              <c:f>Dashboard!$D$19:$D$42</c:f>
              <c:numCache>
                <c:formatCode>0.0</c:formatCode>
                <c:ptCount val="24"/>
                <c:pt idx="0">
                  <c:v>2.3249655281376578</c:v>
                </c:pt>
                <c:pt idx="1">
                  <c:v>2.2608264581133559</c:v>
                </c:pt>
                <c:pt idx="2">
                  <c:v>1.7697789618544655</c:v>
                </c:pt>
                <c:pt idx="3">
                  <c:v>3.3572784432065057</c:v>
                </c:pt>
                <c:pt idx="4">
                  <c:v>3.672648008662307</c:v>
                </c:pt>
                <c:pt idx="5">
                  <c:v>2.4653392470282922</c:v>
                </c:pt>
                <c:pt idx="6">
                  <c:v>4.7142079576174316</c:v>
                </c:pt>
                <c:pt idx="7">
                  <c:v>6.2422038969708904</c:v>
                </c:pt>
                <c:pt idx="8">
                  <c:v>3.3497307995347612</c:v>
                </c:pt>
                <c:pt idx="9">
                  <c:v>2.3999824924225015</c:v>
                </c:pt>
                <c:pt idx="10">
                  <c:v>2.4376556163588639</c:v>
                </c:pt>
                <c:pt idx="11">
                  <c:v>2.8308390389292692</c:v>
                </c:pt>
                <c:pt idx="12">
                  <c:v>2.9630605223698181</c:v>
                </c:pt>
                <c:pt idx="13">
                  <c:v>3.0331032818003272</c:v>
                </c:pt>
                <c:pt idx="14">
                  <c:v>1.9395097674928579</c:v>
                </c:pt>
                <c:pt idx="15">
                  <c:v>2.3454559507517718</c:v>
                </c:pt>
                <c:pt idx="16">
                  <c:v>2.7259016362899584</c:v>
                </c:pt>
                <c:pt idx="17">
                  <c:v>2.8212458674703464</c:v>
                </c:pt>
                <c:pt idx="18">
                  <c:v>4.0542414070422046</c:v>
                </c:pt>
                <c:pt idx="19">
                  <c:v>3.9841620405377989</c:v>
                </c:pt>
                <c:pt idx="20">
                  <c:v>3.9468417226189967</c:v>
                </c:pt>
                <c:pt idx="21">
                  <c:v>2.3150861160709333</c:v>
                </c:pt>
                <c:pt idx="22">
                  <c:v>2.2029064956557716</c:v>
                </c:pt>
                <c:pt idx="23">
                  <c:v>1.9721152691332209</c:v>
                </c:pt>
              </c:numCache>
            </c:numRef>
          </c:val>
          <c:smooth val="1"/>
          <c:extLst>
            <c:ext xmlns:c16="http://schemas.microsoft.com/office/drawing/2014/chart" uri="{C3380CC4-5D6E-409C-BE32-E72D297353CC}">
              <c16:uniqueId val="{00000000-EF74-44D5-B967-FC65E3580E45}"/>
            </c:ext>
          </c:extLst>
        </c:ser>
        <c:dLbls>
          <c:showLegendKey val="0"/>
          <c:showVal val="0"/>
          <c:showCatName val="0"/>
          <c:showSerName val="0"/>
          <c:showPercent val="0"/>
          <c:showBubbleSize val="0"/>
        </c:dLbls>
        <c:smooth val="0"/>
        <c:axId val="52343026"/>
        <c:axId val="44020266"/>
      </c:lineChart>
      <c:catAx>
        <c:axId val="52343026"/>
        <c:scaling>
          <c:orientation val="minMax"/>
        </c:scaling>
        <c:delete val="0"/>
        <c:axPos val="b"/>
        <c:numFmt formatCode="General"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44020266"/>
        <c:crosses val="autoZero"/>
        <c:auto val="1"/>
        <c:lblAlgn val="ctr"/>
        <c:lblOffset val="100"/>
        <c:noMultiLvlLbl val="1"/>
      </c:catAx>
      <c:valAx>
        <c:axId val="44020266"/>
        <c:scaling>
          <c:orientation val="minMax"/>
        </c:scaling>
        <c:delete val="0"/>
        <c:axPos val="l"/>
        <c:majorGridlines>
          <c:spPr>
            <a:ln w="9360">
              <a:solidFill>
                <a:srgbClr val="878787"/>
              </a:solidFill>
            </a:ln>
          </c:spPr>
        </c:majorGridlines>
        <c:numFmt formatCode="0.0"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52343026"/>
        <c:crosses val="autoZero"/>
        <c:crossBetween val="between"/>
      </c:valAx>
      <c:spPr>
        <a:noFill/>
        <a:ln w="0">
          <a:noFill/>
        </a:ln>
      </c:spPr>
    </c:plotArea>
    <c:legend>
      <c:legendPos val="r"/>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2-Year Revenue by Category (CLP)</a:t>
            </a:r>
          </a:p>
        </c:rich>
      </c:tx>
      <c:overlay val="0"/>
    </c:title>
    <c:autoTitleDeleted val="0"/>
    <c:plotArea>
      <c:layout/>
      <c:barChart>
        <c:barDir val="col"/>
        <c:grouping val="clustered"/>
        <c:varyColors val="0"/>
        <c:ser>
          <c:idx val="0"/>
          <c:order val="0"/>
          <c:tx>
            <c:strRef>
              <c:f>Category_Summary!$G$4</c:f>
              <c:strCache>
                <c:ptCount val="1"/>
                <c:pt idx="0">
                  <c:v>Cohort revenue CLP</c:v>
                </c:pt>
              </c:strCache>
            </c:strRef>
          </c:tx>
          <c:spPr>
            <a:solidFill>
              <a:srgbClr val="4F81BD"/>
            </a:solidFill>
            <a:ln w="0">
              <a:noFill/>
            </a:ln>
          </c:spPr>
          <c:invertIfNegative val="1"/>
          <c:dLbls>
            <c:spPr>
              <a:noFill/>
              <a:ln>
                <a:noFill/>
              </a:ln>
              <a:effectLst/>
            </c:spPr>
            <c:txPr>
              <a:bodyPr anchorCtr="1"/>
              <a:lstStyle/>
              <a:p>
                <a:pPr>
                  <a:defRPr sz="1000" b="0" spc="-1">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Category_Summary!$B$5:$B$18</c:f>
              <c:strCache>
                <c:ptCount val="14"/>
                <c:pt idx="0">
                  <c:v>Candy</c:v>
                </c:pt>
                <c:pt idx="1">
                  <c:v>Chili</c:v>
                </c:pt>
                <c:pt idx="2">
                  <c:v>Dried Fruit</c:v>
                </c:pt>
                <c:pt idx="3">
                  <c:v>Grains</c:v>
                </c:pt>
                <c:pt idx="4">
                  <c:v>Honey</c:v>
                </c:pt>
                <c:pt idx="5">
                  <c:v>Nuts</c:v>
                </c:pt>
                <c:pt idx="6">
                  <c:v>Olives</c:v>
                </c:pt>
                <c:pt idx="7">
                  <c:v>Packaging</c:v>
                </c:pt>
                <c:pt idx="8">
                  <c:v>Peanuts</c:v>
                </c:pt>
                <c:pt idx="9">
                  <c:v>Pickles</c:v>
                </c:pt>
                <c:pt idx="10">
                  <c:v>Raisins</c:v>
                </c:pt>
                <c:pt idx="11">
                  <c:v>Seasonings</c:v>
                </c:pt>
                <c:pt idx="12">
                  <c:v>Seeds</c:v>
                </c:pt>
                <c:pt idx="13">
                  <c:v>Trail Mix</c:v>
                </c:pt>
              </c:strCache>
            </c:strRef>
          </c:cat>
          <c:val>
            <c:numRef>
              <c:f>Category_Summary!$G$5:$G$18</c:f>
              <c:numCache>
                <c:formatCode>\$#,##0</c:formatCode>
                <c:ptCount val="14"/>
                <c:pt idx="0">
                  <c:v>15758630</c:v>
                </c:pt>
                <c:pt idx="1">
                  <c:v>17309965</c:v>
                </c:pt>
                <c:pt idx="2">
                  <c:v>29169700</c:v>
                </c:pt>
                <c:pt idx="3">
                  <c:v>22779295</c:v>
                </c:pt>
                <c:pt idx="4">
                  <c:v>8856595</c:v>
                </c:pt>
                <c:pt idx="5">
                  <c:v>127910830</c:v>
                </c:pt>
                <c:pt idx="6">
                  <c:v>74726140</c:v>
                </c:pt>
                <c:pt idx="7">
                  <c:v>13950000</c:v>
                </c:pt>
                <c:pt idx="8">
                  <c:v>54233565</c:v>
                </c:pt>
                <c:pt idx="9">
                  <c:v>7479415</c:v>
                </c:pt>
                <c:pt idx="10">
                  <c:v>8632580</c:v>
                </c:pt>
                <c:pt idx="11">
                  <c:v>10703465</c:v>
                </c:pt>
                <c:pt idx="12">
                  <c:v>5091555</c:v>
                </c:pt>
                <c:pt idx="13">
                  <c:v>16325210</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0-42DF-4834-B1CB-1270CD94FFA1}"/>
            </c:ext>
          </c:extLst>
        </c:ser>
        <c:dLbls>
          <c:showLegendKey val="0"/>
          <c:showVal val="0"/>
          <c:showCatName val="0"/>
          <c:showSerName val="0"/>
          <c:showPercent val="0"/>
          <c:showBubbleSize val="0"/>
        </c:dLbls>
        <c:gapWidth val="150"/>
        <c:axId val="64835487"/>
        <c:axId val="98625410"/>
      </c:barChart>
      <c:catAx>
        <c:axId val="64835487"/>
        <c:scaling>
          <c:orientation val="minMax"/>
        </c:scaling>
        <c:delete val="0"/>
        <c:axPos val="b"/>
        <c:numFmt formatCode="General"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98625410"/>
        <c:crosses val="autoZero"/>
        <c:auto val="1"/>
        <c:lblAlgn val="ctr"/>
        <c:lblOffset val="100"/>
        <c:noMultiLvlLbl val="1"/>
      </c:catAx>
      <c:valAx>
        <c:axId val="98625410"/>
        <c:scaling>
          <c:orientation val="minMax"/>
        </c:scaling>
        <c:delete val="0"/>
        <c:axPos val="l"/>
        <c:majorGridlines>
          <c:spPr>
            <a:ln w="9360">
              <a:solidFill>
                <a:srgbClr val="878787"/>
              </a:solidFill>
            </a:ln>
          </c:spPr>
        </c:majorGridlines>
        <c:numFmt formatCode="\$#,##0"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64835487"/>
        <c:crosses val="autoZero"/>
        <c:crossBetween val="between"/>
      </c:valAx>
      <c:spPr>
        <a:noFill/>
        <a:ln w="0">
          <a:noFill/>
        </a:ln>
      </c:spPr>
    </c:plotArea>
    <c:legend>
      <c:legendPos val="r"/>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Waste % by Category</a:t>
            </a:r>
          </a:p>
        </c:rich>
      </c:tx>
      <c:overlay val="0"/>
    </c:title>
    <c:autoTitleDeleted val="0"/>
    <c:plotArea>
      <c:layout/>
      <c:barChart>
        <c:barDir val="col"/>
        <c:grouping val="clustered"/>
        <c:varyColors val="0"/>
        <c:ser>
          <c:idx val="0"/>
          <c:order val="0"/>
          <c:tx>
            <c:strRef>
              <c:f>Category_Summary!$H$4</c:f>
              <c:strCache>
                <c:ptCount val="1"/>
                <c:pt idx="0">
                  <c:v>Waste cost %</c:v>
                </c:pt>
              </c:strCache>
            </c:strRef>
          </c:tx>
          <c:spPr>
            <a:solidFill>
              <a:srgbClr val="4F81BD"/>
            </a:solidFill>
            <a:ln w="0">
              <a:noFill/>
            </a:ln>
          </c:spPr>
          <c:invertIfNegative val="1"/>
          <c:dLbls>
            <c:spPr>
              <a:noFill/>
              <a:ln>
                <a:noFill/>
              </a:ln>
              <a:effectLst/>
            </c:spPr>
            <c:txPr>
              <a:bodyPr anchorCtr="1"/>
              <a:lstStyle/>
              <a:p>
                <a:pPr>
                  <a:defRPr sz="1000" b="0" spc="-1">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Category_Summary!$B$5:$B$18</c:f>
              <c:strCache>
                <c:ptCount val="14"/>
                <c:pt idx="0">
                  <c:v>Candy</c:v>
                </c:pt>
                <c:pt idx="1">
                  <c:v>Chili</c:v>
                </c:pt>
                <c:pt idx="2">
                  <c:v>Dried Fruit</c:v>
                </c:pt>
                <c:pt idx="3">
                  <c:v>Grains</c:v>
                </c:pt>
                <c:pt idx="4">
                  <c:v>Honey</c:v>
                </c:pt>
                <c:pt idx="5">
                  <c:v>Nuts</c:v>
                </c:pt>
                <c:pt idx="6">
                  <c:v>Olives</c:v>
                </c:pt>
                <c:pt idx="7">
                  <c:v>Packaging</c:v>
                </c:pt>
                <c:pt idx="8">
                  <c:v>Peanuts</c:v>
                </c:pt>
                <c:pt idx="9">
                  <c:v>Pickles</c:v>
                </c:pt>
                <c:pt idx="10">
                  <c:v>Raisins</c:v>
                </c:pt>
                <c:pt idx="11">
                  <c:v>Seasonings</c:v>
                </c:pt>
                <c:pt idx="12">
                  <c:v>Seeds</c:v>
                </c:pt>
                <c:pt idx="13">
                  <c:v>Trail Mix</c:v>
                </c:pt>
              </c:strCache>
            </c:strRef>
          </c:cat>
          <c:val>
            <c:numRef>
              <c:f>Category_Summary!$H$5:$H$18</c:f>
              <c:numCache>
                <c:formatCode>0.0%</c:formatCode>
                <c:ptCount val="14"/>
                <c:pt idx="0">
                  <c:v>1.4816193472918689E-2</c:v>
                </c:pt>
                <c:pt idx="1">
                  <c:v>7.1600042129824678E-3</c:v>
                </c:pt>
                <c:pt idx="2">
                  <c:v>1.4679420745167841E-2</c:v>
                </c:pt>
                <c:pt idx="3">
                  <c:v>9.1796683582417993E-2</c:v>
                </c:pt>
                <c:pt idx="4">
                  <c:v>8.7380766100033976E-3</c:v>
                </c:pt>
                <c:pt idx="5">
                  <c:v>1.9496347095956518E-2</c:v>
                </c:pt>
                <c:pt idx="6">
                  <c:v>5.2821244376165914E-2</c:v>
                </c:pt>
                <c:pt idx="7">
                  <c:v>0</c:v>
                </c:pt>
                <c:pt idx="8">
                  <c:v>2.8639709511474973E-2</c:v>
                </c:pt>
                <c:pt idx="9">
                  <c:v>1.1721292236628393E-2</c:v>
                </c:pt>
                <c:pt idx="10">
                  <c:v>8.8712807750700416E-3</c:v>
                </c:pt>
                <c:pt idx="11">
                  <c:v>4.1870371364173013E-3</c:v>
                </c:pt>
                <c:pt idx="12">
                  <c:v>2.0672014307831936E-2</c:v>
                </c:pt>
                <c:pt idx="13">
                  <c:v>3.0593672949812471E-2</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0-B3BB-4C19-A5E2-512587699D30}"/>
            </c:ext>
          </c:extLst>
        </c:ser>
        <c:dLbls>
          <c:showLegendKey val="0"/>
          <c:showVal val="0"/>
          <c:showCatName val="0"/>
          <c:showSerName val="0"/>
          <c:showPercent val="0"/>
          <c:showBubbleSize val="0"/>
        </c:dLbls>
        <c:gapWidth val="150"/>
        <c:axId val="16526343"/>
        <c:axId val="70582529"/>
      </c:barChart>
      <c:catAx>
        <c:axId val="16526343"/>
        <c:scaling>
          <c:orientation val="minMax"/>
        </c:scaling>
        <c:delete val="0"/>
        <c:axPos val="b"/>
        <c:numFmt formatCode="General"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70582529"/>
        <c:crosses val="autoZero"/>
        <c:auto val="1"/>
        <c:lblAlgn val="ctr"/>
        <c:lblOffset val="100"/>
        <c:noMultiLvlLbl val="1"/>
      </c:catAx>
      <c:valAx>
        <c:axId val="70582529"/>
        <c:scaling>
          <c:orientation val="minMax"/>
        </c:scaling>
        <c:delete val="0"/>
        <c:axPos val="l"/>
        <c:majorGridlines>
          <c:spPr>
            <a:ln w="9360">
              <a:solidFill>
                <a:srgbClr val="878787"/>
              </a:solidFill>
            </a:ln>
          </c:spPr>
        </c:majorGridlines>
        <c:numFmt formatCode="0.0%"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16526343"/>
        <c:crosses val="autoZero"/>
        <c:crossBetween val="between"/>
      </c:valAx>
      <c:spPr>
        <a:noFill/>
        <a:ln w="0">
          <a:noFill/>
        </a:ln>
      </c:spPr>
    </c:plotArea>
    <c:legend>
      <c:legendPos val="r"/>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Products by Season</a:t>
            </a:r>
          </a:p>
        </c:rich>
      </c:tx>
      <c:overlay val="0"/>
    </c:title>
    <c:autoTitleDeleted val="0"/>
    <c:plotArea>
      <c:layout/>
      <c:pieChart>
        <c:varyColors val="1"/>
        <c:ser>
          <c:idx val="0"/>
          <c:order val="0"/>
          <c:tx>
            <c:strRef>
              <c:f>Season_Demand!$C$4</c:f>
              <c:strCache>
                <c:ptCount val="1"/>
                <c:pt idx="0">
                  <c:v># Products</c:v>
                </c:pt>
              </c:strCache>
            </c:strRef>
          </c:tx>
          <c:spPr>
            <a:solidFill>
              <a:srgbClr val="4F81BD"/>
            </a:solidFill>
            <a:ln w="0">
              <a:noFill/>
            </a:ln>
          </c:spPr>
          <c:dPt>
            <c:idx val="0"/>
            <c:bubble3D val="0"/>
            <c:extLst>
              <c:ext xmlns:c16="http://schemas.microsoft.com/office/drawing/2014/chart" uri="{C3380CC4-5D6E-409C-BE32-E72D297353CC}">
                <c16:uniqueId val="{00000001-FB52-433A-8C03-29F7E9EC3430}"/>
              </c:ext>
            </c:extLst>
          </c:dPt>
          <c:dPt>
            <c:idx val="1"/>
            <c:bubble3D val="0"/>
            <c:spPr>
              <a:solidFill>
                <a:srgbClr val="C0504D"/>
              </a:solidFill>
              <a:ln w="0">
                <a:noFill/>
              </a:ln>
            </c:spPr>
            <c:extLst>
              <c:ext xmlns:c16="http://schemas.microsoft.com/office/drawing/2014/chart" uri="{C3380CC4-5D6E-409C-BE32-E72D297353CC}">
                <c16:uniqueId val="{00000003-FB52-433A-8C03-29F7E9EC3430}"/>
              </c:ext>
            </c:extLst>
          </c:dPt>
          <c:dPt>
            <c:idx val="2"/>
            <c:bubble3D val="0"/>
            <c:spPr>
              <a:solidFill>
                <a:srgbClr val="9BBB59"/>
              </a:solidFill>
              <a:ln w="0">
                <a:noFill/>
              </a:ln>
            </c:spPr>
            <c:extLst>
              <c:ext xmlns:c16="http://schemas.microsoft.com/office/drawing/2014/chart" uri="{C3380CC4-5D6E-409C-BE32-E72D297353CC}">
                <c16:uniqueId val="{00000005-FB52-433A-8C03-29F7E9EC3430}"/>
              </c:ext>
            </c:extLst>
          </c:dPt>
          <c:dLbls>
            <c:dLbl>
              <c:idx val="0"/>
              <c:spPr/>
              <c:txPr>
                <a:bodyPr anchorCtr="1"/>
                <a:lstStyle/>
                <a:p>
                  <a:pPr>
                    <a:defRPr sz="1000" b="0" spc="-1">
                      <a:solidFill>
                        <a:srgbClr val="000000"/>
                      </a:solidFill>
                      <a:latin typeface="Calibri"/>
                      <a:ea typeface="Calibri"/>
                      <a:cs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FB52-433A-8C03-29F7E9EC3430}"/>
                </c:ext>
              </c:extLst>
            </c:dLbl>
            <c:dLbl>
              <c:idx val="1"/>
              <c:spPr/>
              <c:txPr>
                <a:bodyPr anchorCtr="1"/>
                <a:lstStyle/>
                <a:p>
                  <a:pPr>
                    <a:defRPr sz="1000" b="0" spc="-1">
                      <a:solidFill>
                        <a:srgbClr val="000000"/>
                      </a:solidFill>
                      <a:latin typeface="Calibri"/>
                      <a:ea typeface="Calibri"/>
                      <a:cs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FB52-433A-8C03-29F7E9EC3430}"/>
                </c:ext>
              </c:extLst>
            </c:dLbl>
            <c:dLbl>
              <c:idx val="2"/>
              <c:spPr/>
              <c:txPr>
                <a:bodyPr anchorCtr="1"/>
                <a:lstStyle/>
                <a:p>
                  <a:pPr>
                    <a:defRPr sz="1000" b="0" spc="-1">
                      <a:solidFill>
                        <a:srgbClr val="000000"/>
                      </a:solidFill>
                      <a:latin typeface="Calibri"/>
                      <a:ea typeface="Calibri"/>
                      <a:cs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FB52-433A-8C03-29F7E9EC3430}"/>
                </c:ext>
              </c:extLst>
            </c:dLbl>
            <c:spPr>
              <a:noFill/>
              <a:ln>
                <a:noFill/>
              </a:ln>
              <a:effectLst/>
            </c:spPr>
            <c:txPr>
              <a:bodyPr anchorCtr="1"/>
              <a:lstStyle/>
              <a:p>
                <a:pPr>
                  <a:defRPr sz="1000" b="0" spc="-1">
                    <a:solidFill>
                      <a:srgbClr val="000000"/>
                    </a:solidFill>
                    <a:latin typeface="Calibri"/>
                    <a:ea typeface="Calibri"/>
                    <a:cs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Season_Demand!$B$5:$B$7</c:f>
              <c:strCache>
                <c:ptCount val="3"/>
                <c:pt idx="0">
                  <c:v>Spring-Summer</c:v>
                </c:pt>
                <c:pt idx="1">
                  <c:v>Fall-Winter</c:v>
                </c:pt>
                <c:pt idx="2">
                  <c:v>All year</c:v>
                </c:pt>
              </c:strCache>
            </c:strRef>
          </c:cat>
          <c:val>
            <c:numRef>
              <c:f>Season_Demand!$C$5:$C$7</c:f>
              <c:numCache>
                <c:formatCode>General</c:formatCode>
                <c:ptCount val="3"/>
                <c:pt idx="0">
                  <c:v>13</c:v>
                </c:pt>
                <c:pt idx="1">
                  <c:v>40</c:v>
                </c:pt>
                <c:pt idx="2">
                  <c:v>75</c:v>
                </c:pt>
              </c:numCache>
            </c:numRef>
          </c:val>
          <c:extLst>
            <c:ext xmlns:c16="http://schemas.microsoft.com/office/drawing/2014/chart" uri="{C3380CC4-5D6E-409C-BE32-E72D297353CC}">
              <c16:uniqueId val="{00000006-FB52-433A-8C03-29F7E9EC3430}"/>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Avg Lead Time by Supplier (days)</a:t>
            </a:r>
          </a:p>
        </c:rich>
      </c:tx>
      <c:overlay val="0"/>
    </c:title>
    <c:autoTitleDeleted val="0"/>
    <c:plotArea>
      <c:layout/>
      <c:barChart>
        <c:barDir val="col"/>
        <c:grouping val="clustered"/>
        <c:varyColors val="0"/>
        <c:ser>
          <c:idx val="0"/>
          <c:order val="0"/>
          <c:tx>
            <c:strRef>
              <c:f>Supplier_Scorecard!$E$4</c:f>
              <c:strCache>
                <c:ptCount val="1"/>
                <c:pt idx="0">
                  <c:v>Avg Lead Time (days)</c:v>
                </c:pt>
              </c:strCache>
            </c:strRef>
          </c:tx>
          <c:spPr>
            <a:solidFill>
              <a:srgbClr val="4F81BD"/>
            </a:solidFill>
            <a:ln w="0">
              <a:noFill/>
            </a:ln>
          </c:spPr>
          <c:invertIfNegative val="1"/>
          <c:dLbls>
            <c:spPr>
              <a:noFill/>
              <a:ln>
                <a:noFill/>
              </a:ln>
              <a:effectLst/>
            </c:spPr>
            <c:txPr>
              <a:bodyPr anchorCtr="1"/>
              <a:lstStyle/>
              <a:p>
                <a:pPr>
                  <a:defRPr sz="1000" b="0" spc="-1">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Supplier_Scorecard!$B$5:$B$14</c:f>
              <c:strCache>
                <c:ptCount val="10"/>
                <c:pt idx="0">
                  <c:v>Curico Chili &amp; Sauces</c:v>
                </c:pt>
                <c:pt idx="1">
                  <c:v>Doña Rosa Pickles</c:v>
                </c:pt>
                <c:pt idx="2">
                  <c:v>El Olivar Olives Ltd.</c:v>
                </c:pt>
                <c:pt idx="3">
                  <c:v>Los Ulmos Apiary</c:v>
                </c:pt>
                <c:pt idx="4">
                  <c:v>Maipo Nuts Ltd.</c:v>
                </c:pt>
                <c:pt idx="5">
                  <c:v>Molina Artisan Sweets</c:v>
                </c:pt>
                <c:pt idx="6">
                  <c:v>PackChile Wholesale</c:v>
                </c:pt>
                <c:pt idx="7">
                  <c:v>San Fernando Dried Goods</c:v>
                </c:pt>
                <c:pt idx="8">
                  <c:v>San Vicente Grains &amp; Legumes</c:v>
                </c:pt>
                <c:pt idx="9">
                  <c:v>Valley Spices SpA</c:v>
                </c:pt>
              </c:strCache>
            </c:strRef>
          </c:cat>
          <c:val>
            <c:numRef>
              <c:f>Supplier_Scorecard!$E$5:$E$14</c:f>
              <c:numCache>
                <c:formatCode>0.0</c:formatCode>
                <c:ptCount val="10"/>
                <c:pt idx="0">
                  <c:v>1.6666666666666667</c:v>
                </c:pt>
                <c:pt idx="1">
                  <c:v>2.2000000000000002</c:v>
                </c:pt>
                <c:pt idx="2">
                  <c:v>2.1818181818181817</c:v>
                </c:pt>
                <c:pt idx="3">
                  <c:v>2.2000000000000002</c:v>
                </c:pt>
                <c:pt idx="4">
                  <c:v>1.6176470588235294</c:v>
                </c:pt>
                <c:pt idx="5">
                  <c:v>2.1764705882352939</c:v>
                </c:pt>
                <c:pt idx="6">
                  <c:v>1.411764705882353</c:v>
                </c:pt>
                <c:pt idx="7">
                  <c:v>1.6</c:v>
                </c:pt>
                <c:pt idx="8">
                  <c:v>1.75</c:v>
                </c:pt>
                <c:pt idx="9">
                  <c:v>1.6363636363636365</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0-EE89-4D00-BFAA-BBE47D27FEC1}"/>
            </c:ext>
          </c:extLst>
        </c:ser>
        <c:dLbls>
          <c:showLegendKey val="0"/>
          <c:showVal val="0"/>
          <c:showCatName val="0"/>
          <c:showSerName val="0"/>
          <c:showPercent val="0"/>
          <c:showBubbleSize val="0"/>
        </c:dLbls>
        <c:gapWidth val="150"/>
        <c:axId val="30884075"/>
        <c:axId val="72589864"/>
      </c:barChart>
      <c:catAx>
        <c:axId val="30884075"/>
        <c:scaling>
          <c:orientation val="minMax"/>
        </c:scaling>
        <c:delete val="0"/>
        <c:axPos val="b"/>
        <c:numFmt formatCode="General"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72589864"/>
        <c:crosses val="autoZero"/>
        <c:auto val="1"/>
        <c:lblAlgn val="ctr"/>
        <c:lblOffset val="100"/>
        <c:noMultiLvlLbl val="1"/>
      </c:catAx>
      <c:valAx>
        <c:axId val="72589864"/>
        <c:scaling>
          <c:orientation val="minMax"/>
        </c:scaling>
        <c:delete val="0"/>
        <c:axPos val="l"/>
        <c:majorGridlines>
          <c:spPr>
            <a:ln w="9360">
              <a:solidFill>
                <a:srgbClr val="878787"/>
              </a:solidFill>
            </a:ln>
          </c:spPr>
        </c:majorGridlines>
        <c:numFmt formatCode="0.0"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30884075"/>
        <c:crosses val="autoZero"/>
        <c:crossBetween val="between"/>
      </c:valAx>
      <c:spPr>
        <a:noFill/>
        <a:ln w="0">
          <a:noFill/>
        </a:ln>
      </c:spPr>
    </c:plotArea>
    <c:legend>
      <c:legendPos val="r"/>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 Products (primary) by Supplier</a:t>
            </a:r>
          </a:p>
        </c:rich>
      </c:tx>
      <c:overlay val="0"/>
    </c:title>
    <c:autoTitleDeleted val="0"/>
    <c:plotArea>
      <c:layout/>
      <c:barChart>
        <c:barDir val="col"/>
        <c:grouping val="clustered"/>
        <c:varyColors val="0"/>
        <c:ser>
          <c:idx val="0"/>
          <c:order val="0"/>
          <c:tx>
            <c:strRef>
              <c:f>Supplier_Scorecard!$C$4</c:f>
              <c:strCache>
                <c:ptCount val="1"/>
                <c:pt idx="0">
                  <c:v># Products (primary)</c:v>
                </c:pt>
              </c:strCache>
            </c:strRef>
          </c:tx>
          <c:spPr>
            <a:solidFill>
              <a:srgbClr val="4F81BD"/>
            </a:solidFill>
            <a:ln w="0">
              <a:noFill/>
            </a:ln>
          </c:spPr>
          <c:invertIfNegative val="1"/>
          <c:dLbls>
            <c:spPr>
              <a:noFill/>
              <a:ln>
                <a:noFill/>
              </a:ln>
              <a:effectLst/>
            </c:spPr>
            <c:txPr>
              <a:bodyPr anchorCtr="1"/>
              <a:lstStyle/>
              <a:p>
                <a:pPr>
                  <a:defRPr sz="1000" b="0" spc="-1">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Supplier_Scorecard!$B$5:$B$14</c:f>
              <c:strCache>
                <c:ptCount val="10"/>
                <c:pt idx="0">
                  <c:v>Curico Chili &amp; Sauces</c:v>
                </c:pt>
                <c:pt idx="1">
                  <c:v>Doña Rosa Pickles</c:v>
                </c:pt>
                <c:pt idx="2">
                  <c:v>El Olivar Olives Ltd.</c:v>
                </c:pt>
                <c:pt idx="3">
                  <c:v>Los Ulmos Apiary</c:v>
                </c:pt>
                <c:pt idx="4">
                  <c:v>Maipo Nuts Ltd.</c:v>
                </c:pt>
                <c:pt idx="5">
                  <c:v>Molina Artisan Sweets</c:v>
                </c:pt>
                <c:pt idx="6">
                  <c:v>PackChile Wholesale</c:v>
                </c:pt>
                <c:pt idx="7">
                  <c:v>San Fernando Dried Goods</c:v>
                </c:pt>
                <c:pt idx="8">
                  <c:v>San Vicente Grains &amp; Legumes</c:v>
                </c:pt>
                <c:pt idx="9">
                  <c:v>Valley Spices SpA</c:v>
                </c:pt>
              </c:strCache>
            </c:strRef>
          </c:cat>
          <c:val>
            <c:numRef>
              <c:f>Supplier_Scorecard!$C$5:$C$14</c:f>
              <c:numCache>
                <c:formatCode>General</c:formatCode>
                <c:ptCount val="10"/>
                <c:pt idx="0">
                  <c:v>9</c:v>
                </c:pt>
                <c:pt idx="1">
                  <c:v>5</c:v>
                </c:pt>
                <c:pt idx="2">
                  <c:v>11</c:v>
                </c:pt>
                <c:pt idx="3">
                  <c:v>5</c:v>
                </c:pt>
                <c:pt idx="4">
                  <c:v>34</c:v>
                </c:pt>
                <c:pt idx="5">
                  <c:v>17</c:v>
                </c:pt>
                <c:pt idx="6">
                  <c:v>17</c:v>
                </c:pt>
                <c:pt idx="7">
                  <c:v>15</c:v>
                </c:pt>
                <c:pt idx="8">
                  <c:v>4</c:v>
                </c:pt>
                <c:pt idx="9">
                  <c:v>11</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0-03EB-4836-876C-3BE188004BC1}"/>
            </c:ext>
          </c:extLst>
        </c:ser>
        <c:dLbls>
          <c:showLegendKey val="0"/>
          <c:showVal val="0"/>
          <c:showCatName val="0"/>
          <c:showSerName val="0"/>
          <c:showPercent val="0"/>
          <c:showBubbleSize val="0"/>
        </c:dLbls>
        <c:gapWidth val="150"/>
        <c:axId val="54475886"/>
        <c:axId val="99445883"/>
      </c:barChart>
      <c:catAx>
        <c:axId val="54475886"/>
        <c:scaling>
          <c:orientation val="minMax"/>
        </c:scaling>
        <c:delete val="0"/>
        <c:axPos val="b"/>
        <c:numFmt formatCode="General"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99445883"/>
        <c:crosses val="autoZero"/>
        <c:auto val="1"/>
        <c:lblAlgn val="ctr"/>
        <c:lblOffset val="100"/>
        <c:noMultiLvlLbl val="1"/>
      </c:catAx>
      <c:valAx>
        <c:axId val="99445883"/>
        <c:scaling>
          <c:orientation val="minMax"/>
        </c:scaling>
        <c:delete val="0"/>
        <c:axPos val="l"/>
        <c:majorGridlines>
          <c:spPr>
            <a:ln w="9360">
              <a:solidFill>
                <a:srgbClr val="878787"/>
              </a:solidFill>
            </a:ln>
          </c:spPr>
        </c:majorGridlines>
        <c:numFmt formatCode="General" sourceLinked="1"/>
        <c:majorTickMark val="none"/>
        <c:minorTickMark val="none"/>
        <c:tickLblPos val="nextTo"/>
        <c:spPr>
          <a:ln w="9360">
            <a:solidFill>
              <a:srgbClr val="878787"/>
            </a:solidFill>
          </a:ln>
        </c:spPr>
        <c:txPr>
          <a:bodyPr anchorCtr="1"/>
          <a:lstStyle/>
          <a:p>
            <a:pPr>
              <a:defRPr sz="1000" b="0" spc="-1">
                <a:solidFill>
                  <a:srgbClr val="000000"/>
                </a:solidFill>
                <a:latin typeface="Calibri"/>
                <a:ea typeface="Calibri"/>
                <a:cs typeface="Calibri"/>
              </a:defRPr>
            </a:pPr>
            <a:endParaRPr lang="en-US"/>
          </a:p>
        </c:txPr>
        <c:crossAx val="54475886"/>
        <c:crosses val="autoZero"/>
        <c:crossBetween val="between"/>
      </c:valAx>
      <c:spPr>
        <a:noFill/>
        <a:ln w="0">
          <a:noFill/>
        </a:ln>
      </c:spPr>
    </c:plotArea>
    <c:legend>
      <c:legendPos val="r"/>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Delivery vs Pickup (supply links)</a:t>
            </a:r>
          </a:p>
        </c:rich>
      </c:tx>
      <c:overlay val="0"/>
    </c:title>
    <c:autoTitleDeleted val="0"/>
    <c:plotArea>
      <c:layout/>
      <c:pieChart>
        <c:varyColors val="1"/>
        <c:ser>
          <c:idx val="0"/>
          <c:order val="0"/>
          <c:tx>
            <c:strRef>
              <c:f>Supply_Dashboard!$C$47</c:f>
              <c:strCache>
                <c:ptCount val="1"/>
                <c:pt idx="0">
                  <c:v># Links</c:v>
                </c:pt>
              </c:strCache>
            </c:strRef>
          </c:tx>
          <c:spPr>
            <a:solidFill>
              <a:srgbClr val="4F81BD"/>
            </a:solidFill>
            <a:ln w="0">
              <a:noFill/>
            </a:ln>
          </c:spPr>
          <c:dPt>
            <c:idx val="0"/>
            <c:bubble3D val="0"/>
            <c:extLst>
              <c:ext xmlns:c16="http://schemas.microsoft.com/office/drawing/2014/chart" uri="{C3380CC4-5D6E-409C-BE32-E72D297353CC}">
                <c16:uniqueId val="{00000001-D9B0-43E6-B7B4-64FC29EA8A33}"/>
              </c:ext>
            </c:extLst>
          </c:dPt>
          <c:dPt>
            <c:idx val="1"/>
            <c:bubble3D val="0"/>
            <c:spPr>
              <a:solidFill>
                <a:srgbClr val="C0504D"/>
              </a:solidFill>
              <a:ln w="0">
                <a:noFill/>
              </a:ln>
            </c:spPr>
            <c:extLst>
              <c:ext xmlns:c16="http://schemas.microsoft.com/office/drawing/2014/chart" uri="{C3380CC4-5D6E-409C-BE32-E72D297353CC}">
                <c16:uniqueId val="{00000003-D9B0-43E6-B7B4-64FC29EA8A33}"/>
              </c:ext>
            </c:extLst>
          </c:dPt>
          <c:dLbls>
            <c:dLbl>
              <c:idx val="0"/>
              <c:spPr/>
              <c:txPr>
                <a:bodyPr anchorCtr="1"/>
                <a:lstStyle/>
                <a:p>
                  <a:pPr>
                    <a:defRPr sz="1000" b="0" spc="-1">
                      <a:solidFill>
                        <a:srgbClr val="000000"/>
                      </a:solidFill>
                      <a:latin typeface="Calibri"/>
                      <a:ea typeface="Calibri"/>
                      <a:cs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D9B0-43E6-B7B4-64FC29EA8A33}"/>
                </c:ext>
              </c:extLst>
            </c:dLbl>
            <c:dLbl>
              <c:idx val="1"/>
              <c:spPr/>
              <c:txPr>
                <a:bodyPr anchorCtr="1"/>
                <a:lstStyle/>
                <a:p>
                  <a:pPr>
                    <a:defRPr sz="1000" b="0" spc="-1">
                      <a:solidFill>
                        <a:srgbClr val="000000"/>
                      </a:solidFill>
                      <a:latin typeface="Calibri"/>
                      <a:ea typeface="Calibri"/>
                      <a:cs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D9B0-43E6-B7B4-64FC29EA8A33}"/>
                </c:ext>
              </c:extLst>
            </c:dLbl>
            <c:spPr>
              <a:noFill/>
              <a:ln>
                <a:noFill/>
              </a:ln>
              <a:effectLst/>
            </c:spPr>
            <c:txPr>
              <a:bodyPr anchorCtr="1"/>
              <a:lstStyle/>
              <a:p>
                <a:pPr>
                  <a:defRPr sz="1000" b="0" spc="-1">
                    <a:solidFill>
                      <a:srgbClr val="000000"/>
                    </a:solidFill>
                    <a:latin typeface="Calibri"/>
                    <a:ea typeface="Calibri"/>
                    <a:cs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Supply_Dashboard!$B$48:$B$49</c:f>
              <c:strCache>
                <c:ptCount val="2"/>
                <c:pt idx="0">
                  <c:v>Delivery</c:v>
                </c:pt>
                <c:pt idx="1">
                  <c:v>Pickup</c:v>
                </c:pt>
              </c:strCache>
            </c:strRef>
          </c:cat>
          <c:val>
            <c:numRef>
              <c:f>Supply_Dashboard!$C$48:$C$49</c:f>
              <c:numCache>
                <c:formatCode>General</c:formatCode>
                <c:ptCount val="2"/>
                <c:pt idx="0">
                  <c:v>170</c:v>
                </c:pt>
                <c:pt idx="1">
                  <c:v>86</c:v>
                </c:pt>
              </c:numCache>
            </c:numRef>
          </c:val>
          <c:extLst>
            <c:ext xmlns:c16="http://schemas.microsoft.com/office/drawing/2014/chart" uri="{C3380CC4-5D6E-409C-BE32-E72D297353CC}">
              <c16:uniqueId val="{00000004-D9B0-43E6-B7B4-64FC29EA8A33}"/>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0</xdr:colOff>
      <xdr:row>15</xdr:row>
      <xdr:rowOff>131040</xdr:rowOff>
    </xdr:from>
    <xdr:to>
      <xdr:col>13</xdr:col>
      <xdr:colOff>78840</xdr:colOff>
      <xdr:row>28</xdr:row>
      <xdr:rowOff>23400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29</xdr:row>
      <xdr:rowOff>170640</xdr:rowOff>
    </xdr:from>
    <xdr:to>
      <xdr:col>13</xdr:col>
      <xdr:colOff>78840</xdr:colOff>
      <xdr:row>43</xdr:row>
      <xdr:rowOff>23400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55</xdr:row>
      <xdr:rowOff>60480</xdr:rowOff>
    </xdr:from>
    <xdr:to>
      <xdr:col>7</xdr:col>
      <xdr:colOff>135720</xdr:colOff>
      <xdr:row>72</xdr:row>
      <xdr:rowOff>61560</xdr:rowOff>
    </xdr:to>
    <xdr:graphicFrame macro="">
      <xdr:nvGraphicFramePr>
        <xdr:cNvPr id="4" nam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55</xdr:row>
      <xdr:rowOff>60480</xdr:rowOff>
    </xdr:from>
    <xdr:to>
      <xdr:col>18</xdr:col>
      <xdr:colOff>530280</xdr:colOff>
      <xdr:row>72</xdr:row>
      <xdr:rowOff>61560</xdr:rowOff>
    </xdr:to>
    <xdr:graphicFrame macro="">
      <xdr:nvGraphicFramePr>
        <xdr:cNvPr id="5" name="Char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74</xdr:row>
      <xdr:rowOff>60480</xdr:rowOff>
    </xdr:from>
    <xdr:to>
      <xdr:col>5</xdr:col>
      <xdr:colOff>90360</xdr:colOff>
      <xdr:row>91</xdr:row>
      <xdr:rowOff>61560</xdr:rowOff>
    </xdr:to>
    <xdr:graphicFrame macro="">
      <xdr:nvGraphicFramePr>
        <xdr:cNvPr id="6" name="Chart">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24</xdr:row>
      <xdr:rowOff>130680</xdr:rowOff>
    </xdr:from>
    <xdr:to>
      <xdr:col>7</xdr:col>
      <xdr:colOff>135720</xdr:colOff>
      <xdr:row>43</xdr:row>
      <xdr:rowOff>110880</xdr:rowOff>
    </xdr:to>
    <xdr:graphicFrame macro="">
      <xdr:nvGraphicFramePr>
        <xdr:cNvPr id="2" nam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24</xdr:row>
      <xdr:rowOff>130680</xdr:rowOff>
    </xdr:from>
    <xdr:to>
      <xdr:col>18</xdr:col>
      <xdr:colOff>530280</xdr:colOff>
      <xdr:row>43</xdr:row>
      <xdr:rowOff>110880</xdr:rowOff>
    </xdr:to>
    <xdr:graphicFrame macro="">
      <xdr:nvGraphicFramePr>
        <xdr:cNvPr id="3" nam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50</xdr:row>
      <xdr:rowOff>131040</xdr:rowOff>
    </xdr:from>
    <xdr:to>
      <xdr:col>5</xdr:col>
      <xdr:colOff>90360</xdr:colOff>
      <xdr:row>67</xdr:row>
      <xdr:rowOff>132120</xdr:rowOff>
    </xdr:to>
    <xdr:graphicFrame macro="">
      <xdr:nvGraphicFramePr>
        <xdr:cNvPr id="4" nam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milo Vergara" refreshedDate="46273.951292824073" createdVersion="8" refreshedVersion="8" minRefreshableVersion="3" recordCount="3825" xr:uid="{31C96EF6-6639-4B29-9CE3-9ABC8AEF7E8A}">
  <cacheSource type="worksheet">
    <worksheetSource name="TblOutcomes"/>
  </cacheSource>
  <cacheFields count="16">
    <cacheField name="BatchID" numFmtId="0">
      <sharedItems/>
    </cacheField>
    <cacheField name="ProductID" numFmtId="0">
      <sharedItems/>
    </cacheField>
    <cacheField name="Category" numFmtId="0">
      <sharedItems count="14">
        <s v="Olives"/>
        <s v="Grains"/>
        <s v="Pickles"/>
        <s v="Chili"/>
        <s v="Seasonings"/>
        <s v="Honey"/>
        <s v="Peanuts"/>
        <s v="Nuts"/>
        <s v="Seeds"/>
        <s v="Candy"/>
        <s v="Raisins"/>
        <s v="Dried Fruit"/>
        <s v="Trail Mix"/>
        <s v="Packaging"/>
      </sharedItems>
    </cacheField>
    <cacheField name="Status" numFmtId="0">
      <sharedItems/>
    </cacheField>
    <cacheField name="Qty Purchased" numFmtId="0">
      <sharedItems containsSemiMixedTypes="0" containsString="0" containsNumber="1" containsInteger="1" minValue="4" maxValue="112"/>
    </cacheField>
    <cacheField name="Qty Sold" numFmtId="0">
      <sharedItems containsSemiMixedTypes="0" containsString="0" containsNumber="1" minValue="3.87" maxValue="112"/>
    </cacheField>
    <cacheField name="Qty Wasted" numFmtId="0">
      <sharedItems containsSemiMixedTypes="0" containsString="0" containsNumber="1" minValue="0" maxValue="28.36"/>
    </cacheField>
    <cacheField name="Wasted %" numFmtId="166">
      <sharedItems containsSemiMixedTypes="0" containsString="0" containsNumber="1" minValue="0" maxValue="48.2"/>
    </cacheField>
    <cacheField name="Close Date" numFmtId="170">
      <sharedItems containsSemiMixedTypes="0" containsNonDate="0" containsDate="1" containsString="0" minDate="2023-07-08T00:00:00" maxDate="2035-06-29T00:00:00" count="986">
        <d v="2023-08-23T00:00:00"/>
        <d v="2023-09-03T00:00:00"/>
        <d v="2023-09-12T00:00:00"/>
        <d v="2023-08-14T00:00:00"/>
        <d v="2023-09-27T00:00:00"/>
        <d v="2023-10-05T00:00:00"/>
        <d v="2023-09-02T00:00:00"/>
        <d v="2023-10-21T00:00:00"/>
        <d v="2023-10-31T00:00:00"/>
        <d v="2023-11-09T00:00:00"/>
        <d v="2023-10-11T00:00:00"/>
        <d v="2023-10-23T00:00:00"/>
        <d v="2023-10-26T00:00:00"/>
        <d v="2023-12-14T00:00:00"/>
        <d v="2023-11-18T00:00:00"/>
        <d v="2024-01-02T00:00:00"/>
        <d v="2023-12-03T00:00:00"/>
        <d v="2023-12-18T00:00:00"/>
        <d v="2023-12-23T00:00:00"/>
        <d v="2024-01-03T00:00:00"/>
        <d v="2024-01-15T00:00:00"/>
        <d v="2024-02-29T00:00:00"/>
        <d v="2024-03-09T00:00:00"/>
        <d v="2024-02-06T00:00:00"/>
        <d v="2024-02-21T00:00:00"/>
        <d v="2024-04-05T00:00:00"/>
        <d v="2024-04-14T00:00:00"/>
        <d v="2024-03-21T00:00:00"/>
        <d v="2024-05-05T00:00:00"/>
        <d v="2024-05-15T00:00:00"/>
        <d v="2024-05-24T00:00:00"/>
        <d v="2024-04-25T00:00:00"/>
        <d v="2024-06-13T00:00:00"/>
        <d v="2024-05-19T00:00:00"/>
        <d v="2024-05-29T00:00:00"/>
        <d v="2024-07-11T00:00:00"/>
        <d v="2024-07-19T00:00:00"/>
        <d v="2024-07-29T00:00:00"/>
        <d v="2024-06-27T00:00:00"/>
        <d v="2024-08-14T00:00:00"/>
        <d v="2024-08-25T00:00:00"/>
        <d v="2024-09-14T00:00:00"/>
        <d v="2024-09-25T00:00:00"/>
        <d v="2024-08-28T00:00:00"/>
        <d v="2024-10-17T00:00:00"/>
        <d v="2024-10-26T00:00:00"/>
        <d v="2024-11-04T00:00:00"/>
        <d v="2024-10-07T00:00:00"/>
        <d v="2024-11-24T00:00:00"/>
        <d v="2024-10-19T00:00:00"/>
        <d v="2024-11-05T00:00:00"/>
        <d v="2024-11-09T00:00:00"/>
        <d v="2024-12-29T00:00:00"/>
        <d v="2024-12-04T00:00:00"/>
        <d v="2024-12-17T00:00:00"/>
        <d v="2024-12-19T00:00:00"/>
        <d v="2024-12-30T00:00:00"/>
        <d v="2025-01-11T00:00:00"/>
        <d v="2025-01-15T00:00:00"/>
        <d v="2025-02-01T00:00:00"/>
        <d v="2025-03-14T00:00:00"/>
        <d v="2025-02-17T00:00:00"/>
        <d v="2025-02-28T00:00:00"/>
        <d v="2025-04-15T00:00:00"/>
        <d v="2025-03-19T00:00:00"/>
        <d v="2025-03-26T00:00:00"/>
        <d v="2025-05-10T00:00:00"/>
        <d v="2025-05-21T00:00:00"/>
        <d v="2025-04-25T00:00:00"/>
        <d v="2025-06-08T00:00:00"/>
        <d v="2025-06-16T00:00:00"/>
        <d v="2025-06-27T00:00:00"/>
        <d v="2025-07-05T00:00:00"/>
        <d v="2025-07-15T00:00:00"/>
        <d v="2025-07-27T00:00:00"/>
        <d v="2025-06-28T00:00:00"/>
        <d v="2025-07-06T00:00:00"/>
        <d v="2023-08-24T00:00:00"/>
        <d v="2023-07-29T00:00:00"/>
        <d v="2023-09-10T00:00:00"/>
        <d v="2023-09-17T00:00:00"/>
        <d v="2023-08-18T00:00:00"/>
        <d v="2023-10-09T00:00:00"/>
        <d v="2023-09-09T00:00:00"/>
        <d v="2023-09-24T00:00:00"/>
        <d v="2023-11-13T00:00:00"/>
        <d v="2023-10-17T00:00:00"/>
        <d v="2023-11-02T00:00:00"/>
        <d v="2023-11-15T00:00:00"/>
        <d v="2023-12-22T00:00:00"/>
        <d v="2024-01-14T00:00:00"/>
        <d v="2024-01-22T00:00:00"/>
        <d v="2024-02-15T00:00:00"/>
        <d v="2024-04-02T00:00:00"/>
        <d v="2024-04-12T00:00:00"/>
        <d v="2024-04-23T00:00:00"/>
        <d v="2024-03-25T00:00:00"/>
        <d v="2024-03-29T00:00:00"/>
        <d v="2024-05-21T00:00:00"/>
        <d v="2024-05-28T00:00:00"/>
        <d v="2024-06-05T00:00:00"/>
        <d v="2024-06-14T00:00:00"/>
        <d v="2024-06-21T00:00:00"/>
        <d v="2024-07-01T00:00:00"/>
        <d v="2024-06-10T00:00:00"/>
        <d v="2024-06-16T00:00:00"/>
        <d v="2024-06-24T00:00:00"/>
        <d v="2024-07-03T00:00:00"/>
        <d v="2024-07-28T00:00:00"/>
        <d v="2024-09-15T00:00:00"/>
        <d v="2024-10-05T00:00:00"/>
        <d v="2024-10-15T00:00:00"/>
        <d v="2024-09-20T00:00:00"/>
        <d v="2024-11-02T00:00:00"/>
        <d v="2024-10-08T00:00:00"/>
        <d v="2024-10-22T00:00:00"/>
        <d v="2024-10-30T00:00:00"/>
        <d v="2024-11-08T00:00:00"/>
        <d v="2024-11-18T00:00:00"/>
        <d v="2024-11-30T00:00:00"/>
        <d v="2024-12-13T00:00:00"/>
        <d v="2024-12-16T00:00:00"/>
        <d v="2024-12-25T00:00:00"/>
        <d v="2024-12-31T00:00:00"/>
        <d v="2025-01-09T00:00:00"/>
        <d v="2025-01-19T00:00:00"/>
        <d v="2025-01-23T00:00:00"/>
        <d v="2025-02-03T00:00:00"/>
        <d v="2025-02-18T00:00:00"/>
        <d v="2025-02-27T00:00:00"/>
        <d v="2025-03-10T00:00:00"/>
        <d v="2025-03-24T00:00:00"/>
        <d v="2025-05-09T00:00:00"/>
        <d v="2025-05-19T00:00:00"/>
        <d v="2025-04-17T00:00:00"/>
        <d v="2025-04-26T00:00:00"/>
        <d v="2025-05-05T00:00:00"/>
        <d v="2025-05-20T00:00:00"/>
        <d v="2025-06-01T00:00:00"/>
        <d v="2025-07-16T00:00:00"/>
        <d v="2025-08-04T00:00:00"/>
        <d v="2023-07-11T00:00:00"/>
        <d v="2023-08-26T00:00:00"/>
        <d v="2023-08-08T00:00:00"/>
        <d v="2023-09-21T00:00:00"/>
        <d v="2023-09-29T00:00:00"/>
        <d v="2023-10-27T00:00:00"/>
        <d v="2023-11-06T00:00:00"/>
        <d v="2023-10-19T00:00:00"/>
        <d v="2023-11-26T00:00:00"/>
        <d v="2023-12-07T00:00:00"/>
        <d v="2023-11-08T00:00:00"/>
        <d v="2023-11-20T00:00:00"/>
        <d v="2024-01-05T00:00:00"/>
        <d v="2023-12-10T00:00:00"/>
        <d v="2023-12-28T00:00:00"/>
        <d v="2024-01-09T00:00:00"/>
        <d v="2024-01-24T00:00:00"/>
        <d v="2024-01-31T00:00:00"/>
        <d v="2024-02-24T00:00:00"/>
        <d v="2024-03-02T00:00:00"/>
        <d v="2024-03-13T00:00:00"/>
        <d v="2024-04-27T00:00:00"/>
        <d v="2024-05-16T00:00:00"/>
        <d v="2024-05-25T00:00:00"/>
        <d v="2024-06-02T00:00:00"/>
        <d v="2024-05-03T00:00:00"/>
        <d v="2024-06-17T00:00:00"/>
        <d v="2024-07-12T00:00:00"/>
        <d v="2024-06-25T00:00:00"/>
        <d v="2024-08-18T00:00:00"/>
        <d v="2024-07-17T00:00:00"/>
        <d v="2024-09-04T00:00:00"/>
        <d v="2024-09-26T00:00:00"/>
        <d v="2024-09-01T00:00:00"/>
        <d v="2024-09-27T00:00:00"/>
        <d v="2024-11-14T00:00:00"/>
        <d v="2024-11-23T00:00:00"/>
        <d v="2024-10-25T00:00:00"/>
        <d v="2024-11-13T00:00:00"/>
        <d v="2024-11-20T00:00:00"/>
        <d v="2024-12-05T00:00:00"/>
        <d v="2025-01-31T00:00:00"/>
        <d v="2025-01-03T00:00:00"/>
        <d v="2025-01-22T00:00:00"/>
        <d v="2025-03-09T00:00:00"/>
        <d v="2025-02-12T00:00:00"/>
        <d v="2025-03-30T00:00:00"/>
        <d v="2025-03-12T00:00:00"/>
        <d v="2025-03-23T00:00:00"/>
        <d v="2025-04-11T00:00:00"/>
        <d v="2025-05-24T00:00:00"/>
        <d v="2025-06-04T00:00:00"/>
        <d v="2025-06-12T00:00:00"/>
        <d v="2025-06-22T00:00:00"/>
        <d v="2025-07-02T00:00:00"/>
        <d v="2025-07-13T00:00:00"/>
        <d v="2025-07-21T00:00:00"/>
        <d v="2025-06-19T00:00:00"/>
        <d v="2025-08-05T00:00:00"/>
        <d v="2025-07-09T00:00:00"/>
        <d v="2023-08-02T00:00:00"/>
        <d v="2023-08-10T00:00:00"/>
        <d v="2023-10-08T00:00:00"/>
        <d v="2023-10-18T00:00:00"/>
        <d v="2023-12-12T00:00:00"/>
        <d v="2023-11-17T00:00:00"/>
        <d v="2023-11-25T00:00:00"/>
        <d v="2024-02-04T00:00:00"/>
        <d v="2024-03-11T00:00:00"/>
        <d v="2024-03-22T00:00:00"/>
        <d v="2024-03-27T00:00:00"/>
        <d v="2024-04-07T00:00:00"/>
        <d v="2024-05-23T00:00:00"/>
        <d v="2024-05-02T00:00:00"/>
        <d v="2024-06-29T00:00:00"/>
        <d v="2024-05-31T00:00:00"/>
        <d v="2024-06-06T00:00:00"/>
        <d v="2024-08-17T00:00:00"/>
        <d v="2024-07-18T00:00:00"/>
        <d v="2024-08-10T00:00:00"/>
        <d v="2024-08-19T00:00:00"/>
        <d v="2024-10-13T00:00:00"/>
        <d v="2024-09-28T00:00:00"/>
        <d v="2024-10-04T00:00:00"/>
        <d v="2024-10-18T00:00:00"/>
        <d v="2024-11-12T00:00:00"/>
        <d v="2025-01-20T00:00:00"/>
        <d v="2024-12-22T00:00:00"/>
        <d v="2025-01-06T00:00:00"/>
        <d v="2025-03-04T00:00:00"/>
        <d v="2025-02-05T00:00:00"/>
        <d v="2025-02-14T00:00:00"/>
        <d v="2025-02-25T00:00:00"/>
        <d v="2025-03-06T00:00:00"/>
        <d v="2025-03-08T00:00:00"/>
        <d v="2025-03-21T00:00:00"/>
        <d v="2025-03-31T00:00:00"/>
        <d v="2025-05-12T00:00:00"/>
        <d v="2025-04-13T00:00:00"/>
        <d v="2025-04-24T00:00:00"/>
        <d v="2025-06-07T00:00:00"/>
        <d v="2025-05-16T00:00:00"/>
        <d v="2025-05-28T00:00:00"/>
        <d v="2025-07-25T00:00:00"/>
        <d v="2025-08-13T00:00:00"/>
        <d v="2023-08-16T00:00:00"/>
        <d v="2023-08-25T00:00:00"/>
        <d v="2023-07-31T00:00:00"/>
        <d v="2023-09-16T00:00:00"/>
        <d v="2023-09-22T00:00:00"/>
        <d v="2023-08-22T00:00:00"/>
        <d v="2023-09-04T00:00:00"/>
        <d v="2023-10-13T00:00:00"/>
        <d v="2023-11-10T00:00:00"/>
        <d v="2023-11-19T00:00:00"/>
        <d v="2024-01-07T00:00:00"/>
        <d v="2023-12-13T00:00:00"/>
        <d v="2024-01-04T00:00:00"/>
        <d v="2024-01-12T00:00:00"/>
        <d v="2024-01-19T00:00:00"/>
        <d v="2024-01-26T00:00:00"/>
        <d v="2024-02-18T00:00:00"/>
        <d v="2024-04-09T00:00:00"/>
        <d v="2024-03-20T00:00:00"/>
        <d v="2024-05-07T00:00:00"/>
        <d v="2024-04-22T00:00:00"/>
        <d v="2024-04-30T00:00:00"/>
        <d v="2024-07-04T00:00:00"/>
        <d v="2024-07-13T00:00:00"/>
        <d v="2024-07-22T00:00:00"/>
        <d v="2024-06-30T00:00:00"/>
        <d v="2024-08-26T00:00:00"/>
        <d v="2024-09-05T00:00:00"/>
        <d v="2024-09-23T00:00:00"/>
        <d v="2024-08-29T00:00:00"/>
        <d v="2024-10-24T00:00:00"/>
        <d v="2024-11-03T00:00:00"/>
        <d v="2024-11-15T00:00:00"/>
        <d v="2024-11-26T00:00:00"/>
        <d v="2024-12-08T00:00:00"/>
        <d v="2024-12-15T00:00:00"/>
        <d v="2025-01-07T00:00:00"/>
        <d v="2025-01-30T00:00:00"/>
        <d v="2025-02-15T00:00:00"/>
        <d v="2025-02-24T00:00:00"/>
        <d v="2025-03-05T00:00:00"/>
        <d v="2025-03-13T00:00:00"/>
        <d v="2025-03-22T00:00:00"/>
        <d v="2025-04-01T00:00:00"/>
        <d v="2025-04-12T00:00:00"/>
        <d v="2025-04-28T00:00:00"/>
        <d v="2025-06-24T00:00:00"/>
        <d v="2025-07-03T00:00:00"/>
        <d v="2025-07-12T00:00:00"/>
        <d v="2025-06-14T00:00:00"/>
        <d v="2023-07-12T00:00:00"/>
        <d v="2023-07-26T00:00:00"/>
        <d v="2023-09-14T00:00:00"/>
        <d v="2023-08-19T00:00:00"/>
        <d v="2023-09-06T00:00:00"/>
        <d v="2023-10-22T00:00:00"/>
        <d v="2023-11-01T00:00:00"/>
        <d v="2023-11-11T00:00:00"/>
        <d v="2023-11-28T00:00:00"/>
        <d v="2023-11-29T00:00:00"/>
        <d v="2023-12-19T00:00:00"/>
        <d v="2024-01-08T00:00:00"/>
        <d v="2024-02-26T00:00:00"/>
        <d v="2024-01-30T00:00:00"/>
        <d v="2024-02-09T00:00:00"/>
        <d v="2024-04-13T00:00:00"/>
        <d v="2024-03-15T00:00:00"/>
        <d v="2024-03-26T00:00:00"/>
        <d v="2024-05-20T00:00:00"/>
        <d v="2024-05-27T00:00:00"/>
        <d v="2024-05-01T00:00:00"/>
        <d v="2024-05-11T00:00:00"/>
        <d v="2024-06-22T00:00:00"/>
        <d v="2024-06-07T00:00:00"/>
        <d v="2024-08-05T00:00:00"/>
        <d v="2024-08-15T00:00:00"/>
        <d v="2024-08-23T00:00:00"/>
        <d v="2024-09-09T00:00:00"/>
        <d v="2024-08-12T00:00:00"/>
        <d v="2024-08-20T00:00:00"/>
        <d v="2024-09-07T00:00:00"/>
        <d v="2024-10-28T00:00:00"/>
        <d v="2024-09-29T00:00:00"/>
        <d v="2024-11-07T00:00:00"/>
        <d v="2024-12-18T00:00:00"/>
        <d v="2025-01-05T00:00:00"/>
        <d v="2025-02-06T00:00:00"/>
        <d v="2025-02-13T00:00:00"/>
        <d v="2025-02-20T00:00:00"/>
        <d v="2025-04-19T00:00:00"/>
        <d v="2025-05-14T00:00:00"/>
        <d v="2025-04-16T00:00:00"/>
        <d v="2025-06-13T00:00:00"/>
        <d v="2025-07-11T00:00:00"/>
        <d v="2025-06-11T00:00:00"/>
        <d v="2025-06-26T00:00:00"/>
        <d v="2025-08-08T00:00:00"/>
        <d v="2023-07-19T00:00:00"/>
        <d v="2023-08-31T00:00:00"/>
        <d v="2023-09-07T00:00:00"/>
        <d v="2023-10-03T00:00:00"/>
        <d v="2023-09-08T00:00:00"/>
        <d v="2023-09-18T00:00:00"/>
        <d v="2023-11-03T00:00:00"/>
        <d v="2023-10-04T00:00:00"/>
        <d v="2023-10-20T00:00:00"/>
        <d v="2023-12-11T00:00:00"/>
        <d v="2023-11-16T00:00:00"/>
        <d v="2023-12-21T00:00:00"/>
        <d v="2023-12-29T00:00:00"/>
        <d v="2024-02-13T00:00:00"/>
        <d v="2024-03-31T00:00:00"/>
        <d v="2024-03-08T00:00:00"/>
        <d v="2024-03-30T00:00:00"/>
        <d v="2024-05-04T00:00:00"/>
        <d v="2024-05-26T00:00:00"/>
        <d v="2024-07-14T00:00:00"/>
        <d v="2024-08-03T00:00:00"/>
        <d v="2024-08-13T00:00:00"/>
        <d v="2024-08-21T00:00:00"/>
        <d v="2024-09-16T00:00:00"/>
        <d v="2024-10-06T00:00:00"/>
        <d v="2024-09-24T00:00:00"/>
        <d v="2024-10-31T00:00:00"/>
        <d v="2024-11-06T00:00:00"/>
        <d v="2024-12-10T00:00:00"/>
        <d v="2025-01-08T00:00:00"/>
        <d v="2025-01-21T00:00:00"/>
        <d v="2025-02-11T00:00:00"/>
        <d v="2025-03-02T00:00:00"/>
        <d v="2025-04-06T00:00:00"/>
        <d v="2025-05-08T00:00:00"/>
        <d v="2025-05-27T00:00:00"/>
        <d v="2025-07-18T00:00:00"/>
        <d v="2025-07-28T00:00:00"/>
        <d v="2023-09-11T00:00:00"/>
        <d v="2023-10-28T00:00:00"/>
        <d v="2023-11-07T00:00:00"/>
        <d v="2023-11-24T00:00:00"/>
        <d v="2023-11-30T00:00:00"/>
        <d v="2023-12-15T00:00:00"/>
        <d v="2024-01-06T00:00:00"/>
        <d v="2024-02-07T00:00:00"/>
        <d v="2024-02-14T00:00:00"/>
        <d v="2024-02-28T00:00:00"/>
        <d v="2024-04-15T00:00:00"/>
        <d v="2024-03-19T00:00:00"/>
        <d v="2024-03-28T00:00:00"/>
        <d v="2024-04-04T00:00:00"/>
        <d v="2024-04-20T00:00:00"/>
        <d v="2024-06-09T00:00:00"/>
        <d v="2024-06-15T00:00:00"/>
        <d v="2024-07-31T00:00:00"/>
        <d v="2024-07-26T00:00:00"/>
        <d v="2024-10-14T00:00:00"/>
        <d v="2024-09-17T00:00:00"/>
        <d v="2024-12-11T00:00:00"/>
        <d v="2024-11-19T00:00:00"/>
        <d v="2024-11-27T00:00:00"/>
        <d v="2024-12-06T00:00:00"/>
        <d v="2024-12-28T00:00:00"/>
        <d v="2025-01-14T00:00:00"/>
        <d v="2025-01-18T00:00:00"/>
        <d v="2025-02-02T00:00:00"/>
        <d v="2025-02-09T00:00:00"/>
        <d v="2025-04-03T00:00:00"/>
        <d v="2025-03-16T00:00:00"/>
        <d v="2025-04-07T00:00:00"/>
        <d v="2025-04-29T00:00:00"/>
        <d v="2025-05-06T00:00:00"/>
        <d v="2025-06-15T00:00:00"/>
        <d v="2025-08-03T00:00:00"/>
        <d v="2023-08-28T00:00:00"/>
        <d v="2023-08-06T00:00:00"/>
        <d v="2023-08-27T00:00:00"/>
        <d v="2023-09-25T00:00:00"/>
        <d v="2023-11-23T00:00:00"/>
        <d v="2024-02-03T00:00:00"/>
        <d v="2024-05-12T00:00:00"/>
        <d v="2024-07-30T00:00:00"/>
        <d v="2024-08-09T00:00:00"/>
        <d v="2024-10-11T00:00:00"/>
        <d v="2024-10-23T00:00:00"/>
        <d v="2024-11-11T00:00:00"/>
        <d v="2024-11-25T00:00:00"/>
        <d v="2024-12-23T00:00:00"/>
        <d v="2024-12-27T00:00:00"/>
        <d v="2025-01-04T00:00:00"/>
        <d v="2025-01-12T00:00:00"/>
        <d v="2025-04-05T00:00:00"/>
        <d v="2025-04-14T00:00:00"/>
        <d v="2025-05-02T00:00:00"/>
        <d v="2025-04-09T00:00:00"/>
        <d v="2025-06-21T00:00:00"/>
        <d v="2025-07-01T00:00:00"/>
        <d v="2025-07-22T00:00:00"/>
        <d v="2025-08-02T00:00:00"/>
        <d v="2025-08-12T00:00:00"/>
        <d v="2023-10-01T00:00:00"/>
        <d v="2023-10-14T00:00:00"/>
        <d v="2023-11-21T00:00:00"/>
        <d v="2023-11-27T00:00:00"/>
        <d v="2023-12-05T00:00:00"/>
        <d v="2023-12-31T00:00:00"/>
        <d v="2024-01-23T00:00:00"/>
        <d v="2024-05-13T00:00:00"/>
        <d v="2024-04-19T00:00:00"/>
        <d v="2024-06-01T00:00:00"/>
        <d v="2024-06-12T00:00:00"/>
        <d v="2024-06-18T00:00:00"/>
        <d v="2024-08-06T00:00:00"/>
        <d v="2024-07-09T00:00:00"/>
        <d v="2024-07-16T00:00:00"/>
        <d v="2024-08-11T00:00:00"/>
        <d v="2024-10-10T00:00:00"/>
        <d v="2024-10-20T00:00:00"/>
        <d v="2024-10-27T00:00:00"/>
        <d v="2024-12-21T00:00:00"/>
        <d v="2024-12-26T00:00:00"/>
        <d v="2025-03-03T00:00:00"/>
        <d v="2025-02-22T00:00:00"/>
        <d v="2025-04-20T00:00:00"/>
        <d v="2025-05-04T00:00:00"/>
        <d v="2025-07-08T00:00:00"/>
        <d v="2025-07-20T00:00:00"/>
        <d v="2025-06-23T00:00:00"/>
        <d v="2023-08-15T00:00:00"/>
        <d v="2023-07-14T00:00:00"/>
        <d v="2023-08-04T00:00:00"/>
        <d v="2023-10-12T00:00:00"/>
        <d v="2023-10-02T00:00:00"/>
        <d v="2023-10-16T00:00:00"/>
        <d v="2024-01-10T00:00:00"/>
        <d v="2023-12-09T00:00:00"/>
        <d v="2023-12-30T00:00:00"/>
        <d v="2024-02-16T00:00:00"/>
        <d v="2024-01-18T00:00:00"/>
        <d v="2024-03-05T00:00:00"/>
        <d v="2024-04-21T00:00:00"/>
        <d v="2024-05-10T00:00:00"/>
        <d v="2024-06-08T00:00:00"/>
        <d v="2024-08-02T00:00:00"/>
        <d v="2024-08-01T00:00:00"/>
        <d v="2024-09-19T00:00:00"/>
        <d v="2025-03-01T00:00:00"/>
        <d v="2025-03-17T00:00:00"/>
        <d v="2025-03-27T00:00:00"/>
        <d v="2025-03-28T00:00:00"/>
        <d v="2025-05-22T00:00:00"/>
        <d v="2025-06-02T00:00:00"/>
        <d v="2025-07-04T00:00:00"/>
        <d v="2023-07-23T00:00:00"/>
        <d v="2023-07-28T00:00:00"/>
        <d v="2023-07-18T00:00:00"/>
        <d v="2023-08-17T00:00:00"/>
        <d v="2023-08-12T00:00:00"/>
        <d v="2023-08-30T00:00:00"/>
        <d v="2023-08-20T00:00:00"/>
        <d v="2023-09-15T00:00:00"/>
        <d v="2023-12-20T00:00:00"/>
        <d v="2023-12-24T00:00:00"/>
        <d v="2024-01-29T00:00:00"/>
        <d v="2024-02-02T00:00:00"/>
        <d v="2024-01-28T00:00:00"/>
        <d v="2024-02-27T00:00:00"/>
        <d v="2024-03-04T00:00:00"/>
        <d v="2024-03-17T00:00:00"/>
        <d v="2024-04-29T00:00:00"/>
        <d v="2024-05-06T00:00:00"/>
        <d v="2024-05-14T00:00:00"/>
        <d v="2024-07-27T00:00:00"/>
        <d v="2024-09-06T00:00:00"/>
        <d v="2024-09-21T00:00:00"/>
        <d v="2024-10-03T00:00:00"/>
        <d v="2024-10-21T00:00:00"/>
        <d v="2024-12-12T00:00:00"/>
        <d v="2025-01-10T00:00:00"/>
        <d v="2025-03-29T00:00:00"/>
        <d v="2025-04-04T00:00:00"/>
        <d v="2025-04-08T00:00:00"/>
        <d v="2025-04-27T00:00:00"/>
        <d v="2025-05-17T00:00:00"/>
        <d v="2025-06-20T00:00:00"/>
        <d v="2025-07-07T00:00:00"/>
        <d v="2023-08-01T00:00:00"/>
        <d v="2023-08-07T00:00:00"/>
        <d v="2023-08-09T00:00:00"/>
        <d v="2023-09-23T00:00:00"/>
        <d v="2023-10-06T00:00:00"/>
        <d v="2023-10-30T00:00:00"/>
        <d v="2023-12-01T00:00:00"/>
        <d v="2023-12-04T00:00:00"/>
        <d v="2023-12-25T00:00:00"/>
        <d v="2024-01-01T00:00:00"/>
        <d v="2024-01-17T00:00:00"/>
        <d v="2024-01-25T00:00:00"/>
        <d v="2024-02-12T00:00:00"/>
        <d v="2024-03-01T00:00:00"/>
        <d v="2024-02-23T00:00:00"/>
        <d v="2024-03-16T00:00:00"/>
        <d v="2024-04-11T00:00:00"/>
        <d v="2024-06-19T00:00:00"/>
        <d v="2024-07-06T00:00:00"/>
        <d v="2024-06-26T00:00:00"/>
        <d v="2024-07-23T00:00:00"/>
        <d v="2024-07-25T00:00:00"/>
        <d v="2024-08-24T00:00:00"/>
        <d v="2024-08-27T00:00:00"/>
        <d v="2024-09-18T00:00:00"/>
        <d v="2024-09-30T00:00:00"/>
        <d v="2024-12-02T00:00:00"/>
        <d v="2024-12-07T00:00:00"/>
        <d v="2025-01-17T00:00:00"/>
        <d v="2025-01-28T00:00:00"/>
        <d v="2025-02-10T00:00:00"/>
        <d v="2025-05-18T00:00:00"/>
        <d v="2025-06-10T00:00:00"/>
        <d v="2025-07-14T00:00:00"/>
        <d v="2023-07-22T00:00:00"/>
        <d v="2023-07-15T00:00:00"/>
        <d v="2023-09-05T00:00:00"/>
        <d v="2023-09-28T00:00:00"/>
        <d v="2023-10-15T00:00:00"/>
        <d v="2023-10-29T00:00:00"/>
        <d v="2023-11-14T00:00:00"/>
        <d v="2023-12-02T00:00:00"/>
        <d v="2024-03-06T00:00:00"/>
        <d v="2024-03-24T00:00:00"/>
        <d v="2024-05-22T00:00:00"/>
        <d v="2024-07-21T00:00:00"/>
        <d v="2024-08-08T00:00:00"/>
        <d v="2024-09-13T00:00:00"/>
        <d v="2024-10-16T00:00:00"/>
        <d v="2024-12-24T00:00:00"/>
        <d v="2025-02-16T00:00:00"/>
        <d v="2025-02-08T00:00:00"/>
        <d v="2025-03-07T00:00:00"/>
        <d v="2025-03-11T00:00:00"/>
        <d v="2025-05-01T00:00:00"/>
        <d v="2025-05-13T00:00:00"/>
        <d v="2025-06-09T00:00:00"/>
        <d v="2025-06-30T00:00:00"/>
        <d v="2023-07-08T00:00:00"/>
        <d v="2023-07-16T00:00:00"/>
        <d v="2023-07-24T00:00:00"/>
        <d v="2023-09-26T00:00:00"/>
        <d v="2023-10-07T00:00:00"/>
        <d v="2023-11-05T00:00:00"/>
        <d v="2023-12-16T00:00:00"/>
        <d v="2024-02-25T00:00:00"/>
        <d v="2024-03-10T00:00:00"/>
        <d v="2024-03-12T00:00:00"/>
        <d v="2024-04-06T00:00:00"/>
        <d v="2024-04-18T00:00:00"/>
        <d v="2024-05-18T00:00:00"/>
        <d v="2024-08-07T00:00:00"/>
        <d v="2024-08-31T00:00:00"/>
        <d v="2024-09-02T00:00:00"/>
        <d v="2024-09-12T00:00:00"/>
        <d v="2024-10-12T00:00:00"/>
        <d v="2024-11-01T00:00:00"/>
        <d v="2024-11-17T00:00:00"/>
        <d v="2024-11-10T00:00:00"/>
        <d v="2024-11-21T00:00:00"/>
        <d v="2024-12-01T00:00:00"/>
        <d v="2025-01-01T00:00:00"/>
        <d v="2025-03-20T00:00:00"/>
        <d v="2025-04-02T00:00:00"/>
        <d v="2025-05-07T00:00:00"/>
        <d v="2025-05-29T00:00:00"/>
        <d v="2025-06-06T00:00:00"/>
        <d v="2025-06-25T00:00:00"/>
        <d v="2024-12-20T00:00:00"/>
        <d v="2025-10-23T00:00:00"/>
        <d v="2023-09-01T00:00:00"/>
        <d v="2024-04-26T00:00:00"/>
        <d v="2024-06-20T00:00:00"/>
        <d v="2025-05-11T00:00:00"/>
        <d v="2025-01-02T00:00:00"/>
        <d v="2025-12-31T00:00:00"/>
        <d v="2024-07-20T00:00:00"/>
        <d v="2025-07-26T00:00:00"/>
        <d v="2025-01-16T00:00:00"/>
        <d v="2025-12-04T00:00:00"/>
        <d v="2026-01-13T00:00:00"/>
        <d v="2026-02-13T00:00:00"/>
        <d v="2023-07-27T00:00:00"/>
        <d v="2024-02-01T00:00:00"/>
        <d v="2024-03-18T00:00:00"/>
        <d v="2025-03-18T00:00:00"/>
        <d v="2025-10-29T00:00:00"/>
        <d v="2025-11-26T00:00:00"/>
        <d v="2024-01-27T00:00:00"/>
        <d v="2025-02-04T00:00:00"/>
        <d v="2025-02-21T00:00:00"/>
        <d v="2025-10-30T00:00:00"/>
        <d v="2025-11-28T00:00:00"/>
        <d v="2025-05-31T00:00:00"/>
        <d v="2025-01-25T00:00:00"/>
        <d v="2026-02-10T00:00:00"/>
        <d v="2025-06-29T00:00:00"/>
        <d v="2026-04-14T00:00:00"/>
        <d v="2025-08-09T00:00:00"/>
        <d v="2025-09-15T00:00:00"/>
        <d v="2025-11-15T00:00:00"/>
        <d v="2025-12-20T00:00:00"/>
        <d v="2024-04-28T00:00:00"/>
        <d v="2024-06-03T00:00:00"/>
        <d v="2023-10-10T00:00:00"/>
        <d v="2024-04-08T00:00:00"/>
        <d v="2025-04-21T00:00:00"/>
        <d v="2024-09-08T00:00:00"/>
        <d v="2025-11-14T00:00:00"/>
        <d v="2025-12-15T00:00:00"/>
        <d v="2025-04-23T00:00:00"/>
        <d v="2025-06-17T00:00:00"/>
        <d v="2025-01-26T00:00:00"/>
        <d v="2025-08-01T00:00:00"/>
        <d v="2025-10-18T00:00:00"/>
        <d v="2025-01-29T00:00:00"/>
        <d v="2024-07-24T00:00:00"/>
        <d v="2025-07-29T00:00:00"/>
        <d v="2025-08-31T00:00:00"/>
        <d v="2025-10-04T00:00:00"/>
        <d v="2025-11-11T00:00:00"/>
        <d v="2025-12-16T00:00:00"/>
        <d v="2026-03-22T00:00:00"/>
        <d v="2025-10-09T00:00:00"/>
        <d v="2025-11-10T00:00:00"/>
        <d v="2024-03-03T00:00:00"/>
        <d v="2024-07-02T00:00:00"/>
        <d v="2024-08-04T00:00:00"/>
        <d v="2025-08-23T00:00:00"/>
        <d v="2025-09-21T00:00:00"/>
        <d v="2026-01-12T00:00:00"/>
        <d v="2023-08-11T00:00:00"/>
        <d v="2024-06-28T00:00:00"/>
        <d v="2025-10-15T00:00:00"/>
        <d v="2025-01-27T00:00:00"/>
        <d v="2025-12-23T00:00:00"/>
        <d v="2026-01-25T00:00:00"/>
        <d v="2023-10-25T00:00:00"/>
        <d v="2025-01-13T00:00:00"/>
        <d v="2024-07-05T00:00:00"/>
        <d v="2025-06-18T00:00:00"/>
        <d v="2025-11-20T00:00:00"/>
        <d v="2025-07-19T00:00:00"/>
        <d v="2025-09-14T00:00:00"/>
        <d v="2026-03-07T00:00:00"/>
        <d v="2026-04-19T00:00:00"/>
        <d v="2026-06-21T00:00:00"/>
        <d v="2026-08-08T00:00:00"/>
        <d v="2025-10-08T00:00:00"/>
        <d v="2025-11-18T00:00:00"/>
        <d v="2026-10-10T00:00:00"/>
        <d v="2024-01-21T00:00:00"/>
        <d v="2024-03-07T00:00:00"/>
        <d v="2025-12-12T00:00:00"/>
        <d v="2026-05-25T00:00:00"/>
        <d v="2025-09-05T00:00:00"/>
        <d v="2026-10-30T00:00:00"/>
        <d v="2026-01-14T00:00:00"/>
        <d v="2026-03-15T00:00:00"/>
        <d v="2026-05-06T00:00:00"/>
        <d v="2026-06-16T00:00:00"/>
        <d v="2023-12-26T00:00:00"/>
        <d v="2025-10-14T00:00:00"/>
        <d v="2026-05-16T00:00:00"/>
        <d v="2026-11-14T00:00:00"/>
        <d v="2025-01-24T00:00:00"/>
        <d v="2025-09-24T00:00:00"/>
        <d v="2024-07-07T00:00:00"/>
        <d v="2026-02-22T00:00:00"/>
        <d v="2026-06-27T00:00:00"/>
        <d v="2026-08-21T00:00:00"/>
        <d v="2026-10-13T00:00:00"/>
        <d v="2025-04-30T00:00:00"/>
        <d v="2025-05-26T00:00:00"/>
        <d v="2025-07-24T00:00:00"/>
        <d v="2025-09-18T00:00:00"/>
        <d v="2025-12-29T00:00:00"/>
        <d v="2026-07-28T00:00:00"/>
        <d v="2026-10-05T00:00:00"/>
        <d v="2023-12-27T00:00:00"/>
        <d v="2025-11-19T00:00:00"/>
        <d v="2026-01-18T00:00:00"/>
        <d v="2026-03-19T00:00:00"/>
        <d v="2026-07-14T00:00:00"/>
        <d v="2026-10-28T00:00:00"/>
        <d v="2024-04-24T00:00:00"/>
        <d v="2025-12-22T00:00:00"/>
        <d v="2026-02-24T00:00:00"/>
        <d v="2026-04-24T00:00:00"/>
        <d v="2026-08-14T00:00:00"/>
        <d v="2023-11-22T00:00:00"/>
        <d v="2025-12-11T00:00:00"/>
        <d v="2026-02-12T00:00:00"/>
        <d v="2027-01-28T00:00:00"/>
        <d v="2027-05-26T00:00:00"/>
        <d v="2024-02-19T00:00:00"/>
        <d v="2026-06-22T00:00:00"/>
        <d v="2026-08-23T00:00:00"/>
        <d v="2027-06-21T00:00:00"/>
        <d v="2025-11-05T00:00:00"/>
        <d v="2026-04-02T00:00:00"/>
        <d v="2027-01-13T00:00:00"/>
        <d v="2027-03-04T00:00:00"/>
        <d v="2025-12-13T00:00:00"/>
        <d v="2024-04-01T00:00:00"/>
        <d v="2024-06-04T00:00:00"/>
        <d v="2026-10-09T00:00:00"/>
        <d v="2026-05-03T00:00:00"/>
        <d v="2026-06-24T00:00:00"/>
        <d v="2026-08-30T00:00:00"/>
        <d v="2027-02-18T00:00:00"/>
        <d v="2027-04-16T00:00:00"/>
        <d v="2024-02-08T00:00:00"/>
        <d v="2024-09-22T00:00:00"/>
        <d v="2024-11-22T00:00:00"/>
        <d v="2025-08-27T00:00:00"/>
        <d v="2025-09-13T00:00:00"/>
        <d v="2025-10-02T00:00:00"/>
        <d v="2025-12-03T00:00:00"/>
        <d v="2024-02-11T00:00:00"/>
        <d v="2023-09-30T00:00:00"/>
        <d v="2024-07-10T00:00:00"/>
        <d v="2024-12-14T00:00:00"/>
        <d v="2025-08-30T00:00:00"/>
        <d v="2025-12-27T00:00:00"/>
        <d v="2023-07-20T00:00:00"/>
        <d v="2024-03-14T00:00:00"/>
        <d v="2024-11-16T00:00:00"/>
        <d v="2025-09-10T00:00:00"/>
        <d v="2025-11-07T00:00:00"/>
        <d v="2024-09-11T00:00:00"/>
        <d v="2025-10-06T00:00:00"/>
        <d v="2025-11-21T00:00:00"/>
        <d v="2024-04-03T00:00:00"/>
        <d v="2024-05-17T00:00:00"/>
        <d v="2024-08-30T00:00:00"/>
        <d v="2025-05-03T00:00:00"/>
        <d v="2025-11-03T00:00:00"/>
        <d v="2023-09-13T00:00:00"/>
        <d v="2024-10-09T00:00:00"/>
        <d v="2025-05-30T00:00:00"/>
        <d v="2025-08-07T00:00:00"/>
        <d v="2025-08-22T00:00:00"/>
        <d v="2025-09-08T00:00:00"/>
        <d v="2025-09-25T00:00:00"/>
        <d v="2024-04-10T00:00:00"/>
        <d v="2024-08-22T00:00:00"/>
        <d v="2024-09-10T00:00:00"/>
        <d v="2025-04-22T00:00:00"/>
        <d v="2025-05-25T00:00:00"/>
        <d v="2025-12-19T00:00:00"/>
        <d v="2024-02-05T00:00:00"/>
        <d v="2025-08-14T00:00:00"/>
        <d v="2025-09-29T00:00:00"/>
        <d v="2025-11-04T00:00:00"/>
        <d v="2023-07-30T00:00:00"/>
        <d v="2024-02-20T00:00:00"/>
        <d v="2025-07-23T00:00:00"/>
        <d v="2025-09-07T00:00:00"/>
        <d v="2025-11-29T00:00:00"/>
        <d v="2023-09-20T00:00:00"/>
        <d v="2025-02-23T00:00:00"/>
        <d v="2025-07-10T00:00:00"/>
        <d v="2025-10-19T00:00:00"/>
        <d v="2024-10-01T00:00:00"/>
        <d v="2025-08-24T00:00:00"/>
        <d v="2025-10-03T00:00:00"/>
        <d v="2025-04-18T00:00:00"/>
        <d v="2025-12-07T00:00:00"/>
        <d v="2024-09-03T00:00:00"/>
        <d v="2025-07-30T00:00:00"/>
        <d v="2026-01-01T00:00:00"/>
        <d v="2024-04-17T00:00:00"/>
        <d v="2024-01-13T00:00:00"/>
        <d v="2024-05-30T00:00:00"/>
        <d v="2024-12-09T00:00:00"/>
        <d v="2025-08-06T00:00:00"/>
        <d v="2025-08-29T00:00:00"/>
        <d v="2025-09-17T00:00:00"/>
        <d v="2025-10-10T00:00:00"/>
        <d v="2024-02-22T00:00:00"/>
        <d v="2024-04-16T00:00:00"/>
        <d v="2025-10-21T00:00:00"/>
        <d v="2023-08-05T00:00:00"/>
        <d v="2023-08-21T00:00:00"/>
        <d v="2024-05-09T00:00:00"/>
        <d v="2025-09-23T00:00:00"/>
        <d v="2023-08-13T00:00:00"/>
        <d v="2024-05-08T00:00:00"/>
        <d v="2025-10-13T00:00:00"/>
        <d v="2025-08-28T00:00:00"/>
        <d v="2025-09-30T00:00:00"/>
        <d v="2025-10-25T00:00:00"/>
        <d v="2024-02-17T00:00:00"/>
        <d v="2025-02-07T00:00:00"/>
        <d v="2023-07-21T00:00:00"/>
        <d v="2024-01-11T00:00:00"/>
        <d v="2025-09-02T00:00:00"/>
        <d v="2023-12-06T00:00:00"/>
        <d v="2024-01-16T00:00:00"/>
        <d v="2025-08-21T00:00:00"/>
        <d v="2025-10-24T00:00:00"/>
        <d v="2025-11-17T00:00:00"/>
        <d v="2023-07-10T00:00:00"/>
        <d v="2023-10-24T00:00:00"/>
        <d v="2024-07-15T00:00:00"/>
        <d v="2025-04-10T00:00:00"/>
        <d v="2026-01-02T00:00:00"/>
        <d v="2023-07-25T00:00:00"/>
        <d v="2023-08-03T00:00:00"/>
        <d v="2024-06-23T00:00:00"/>
        <d v="2024-07-08T00:00:00"/>
        <d v="2025-08-10T00:00:00"/>
        <d v="2025-03-25T00:00:00"/>
        <d v="2023-09-19T00:00:00"/>
        <d v="2025-02-26T00:00:00"/>
        <d v="2025-09-22T00:00:00"/>
        <d v="2026-01-09T00:00:00"/>
        <d v="2024-02-10T00:00:00"/>
        <d v="2025-11-13T00:00:00"/>
        <d v="2026-01-30T00:00:00"/>
        <d v="2025-07-17T00:00:00"/>
        <d v="2025-03-15T00:00:00"/>
        <d v="2026-01-26T00:00:00"/>
        <d v="2026-02-25T00:00:00"/>
        <d v="2025-09-26T00:00:00"/>
        <d v="2025-10-26T00:00:00"/>
        <d v="2026-02-05T00:00:00"/>
        <d v="2024-06-11T00:00:00"/>
        <d v="2026-04-21T00:00:00"/>
        <d v="2025-12-14T00:00:00"/>
        <d v="2026-03-06T00:00:00"/>
        <d v="2026-04-03T00:00:00"/>
        <d v="2024-08-16T00:00:00"/>
        <d v="2024-10-29T00:00:00"/>
        <d v="2025-10-17T00:00:00"/>
        <d v="2026-01-17T00:00:00"/>
        <d v="2025-06-03T00:00:00"/>
        <d v="2026-03-05T00:00:00"/>
        <d v="2026-02-19T00:00:00"/>
        <d v="2025-09-12T00:00:00"/>
        <d v="2025-11-02T00:00:00"/>
        <d v="2026-01-11T00:00:00"/>
        <d v="2025-12-18T00:00:00"/>
        <d v="2026-02-26T00:00:00"/>
        <d v="2025-12-08T00:00:00"/>
        <d v="2026-01-15T00:00:00"/>
        <d v="2025-11-22T00:00:00"/>
        <d v="2026-02-11T00:00:00"/>
        <d v="2026-03-16T00:00:00"/>
        <d v="2026-04-18T00:00:00"/>
        <d v="2026-03-29T00:00:00"/>
        <d v="2026-02-17T00:00:00"/>
        <d v="2026-04-13T00:00:00"/>
        <d v="2025-06-05T00:00:00"/>
        <d v="2026-02-21T00:00:00"/>
        <d v="2023-12-17T00:00:00"/>
        <d v="2024-11-28T00:00:00"/>
        <d v="2025-11-23T00:00:00"/>
        <d v="2026-03-20T00:00:00"/>
        <d v="2025-08-25T00:00:00"/>
        <d v="2025-12-09T00:00:00"/>
        <d v="2025-12-30T00:00:00"/>
        <d v="2026-02-08T00:00:00"/>
        <d v="2025-12-17T00:00:00"/>
        <d v="2025-10-16T00:00:00"/>
        <d v="2025-11-09T00:00:00"/>
        <d v="2025-09-20T00:00:00"/>
        <d v="2025-10-20T00:00:00"/>
        <d v="2025-11-25T00:00:00"/>
        <d v="2026-01-31T00:00:00"/>
        <d v="2025-08-15T00:00:00"/>
        <d v="2025-12-01T00:00:00"/>
        <d v="2025-05-23T00:00:00"/>
        <d v="2025-09-04T00:00:00"/>
        <d v="2026-04-15T00:00:00"/>
        <d v="2026-04-25T00:00:00"/>
        <d v="2025-09-03T00:00:00"/>
        <d v="2026-01-16T00:00:00"/>
        <d v="2025-08-26T00:00:00"/>
        <d v="2024-12-03T00:00:00"/>
        <d v="2025-12-28T00:00:00"/>
        <d v="2026-03-02T00:00:00"/>
        <d v="2023-11-12T00:00:00"/>
        <d v="2025-11-12T00:00:00"/>
        <d v="2024-01-20T00:00:00"/>
        <d v="2026-03-03T00:00:00"/>
        <d v="2024-10-02T00:00:00"/>
        <d v="2023-11-04T00:00:00"/>
        <d v="2024-03-23T00:00:00"/>
        <d v="2025-02-19T00:00:00"/>
        <d v="2025-09-27T00:00:00"/>
        <d v="2025-11-24T00:00:00"/>
        <d v="2025-09-28T00:00:00"/>
        <d v="2025-08-17T00:00:00"/>
        <d v="2034-01-08T00:00:00"/>
        <d v="2034-08-15T00:00:00"/>
        <d v="2034-12-16T00:00:00"/>
        <d v="2035-02-26T00:00:00"/>
        <d v="2035-04-18T00:00:00"/>
        <d v="2033-08-14T00:00:00"/>
        <d v="2033-10-13T00:00:00"/>
        <d v="2034-06-23T00:00:00"/>
        <d v="2034-10-06T00:00:00"/>
        <d v="2033-11-14T00:00:00"/>
        <d v="2034-11-15T00:00:00"/>
        <d v="2035-01-17T00:00:00"/>
        <d v="2033-09-30T00:00:00"/>
        <d v="2034-01-25T00:00:00"/>
        <d v="2034-11-17T00:00:00"/>
        <d v="2035-05-18T00:00:00"/>
        <d v="2034-06-20T00:00:00"/>
        <d v="2035-03-03T00:00:00"/>
        <d v="2033-09-02T00:00:00"/>
        <d v="2035-05-24T00:00:00"/>
        <d v="2033-07-30T00:00:00"/>
        <d v="2034-07-24T00:00:00"/>
        <d v="2035-06-10T00:00:00"/>
        <d v="2033-09-10T00:00:00"/>
        <d v="2034-01-10T00:00:00"/>
        <d v="2034-08-31T00:00:00"/>
        <d v="2035-02-24T00:00:00"/>
        <d v="2035-04-15T00:00:00"/>
        <d v="2035-06-06T00:00:00"/>
        <d v="2033-08-23T00:00:00"/>
        <d v="2034-02-16T00:00:00"/>
        <d v="2034-01-01T00:00:00"/>
        <d v="2035-04-02T00:00:00"/>
        <d v="2035-06-02T00:00:00"/>
        <d v="2033-09-08T00:00:00"/>
        <d v="2033-08-15T00:00:00"/>
        <d v="2033-12-26T00:00:00"/>
        <d v="2035-03-31T00:00:00"/>
        <d v="2035-06-28T00:00:00"/>
        <d v="2033-09-23T00:00:00"/>
        <d v="2035-02-27T00:00:00"/>
      </sharedItems>
    </cacheField>
    <cacheField name="Revenue (CLP)" numFmtId="167">
      <sharedItems containsSemiMixedTypes="0" containsString="0" containsNumber="1" containsInteger="1" minValue="12555" maxValue="810000"/>
    </cacheField>
    <cacheField name="Revenue (USD)" numFmtId="168">
      <sharedItems containsSemiMixedTypes="0" containsString="0" containsNumber="1" minValue="13.43" maxValue="866.31"/>
    </cacheField>
    <cacheField name="Batch Cost (CLP)" numFmtId="167">
      <sharedItems containsSemiMixedTypes="0" containsString="0" containsNumber="1" containsInteger="1" minValue="9600" maxValue="606150"/>
    </cacheField>
    <cacheField name="Gross Profit (CLP)" numFmtId="167">
      <sharedItems containsSemiMixedTypes="0" containsString="0" containsNumber="1" containsInteger="1" minValue="-14675" maxValue="203850"/>
    </cacheField>
    <cacheField name="Gross Profit (USD)" numFmtId="168">
      <sharedItems containsSemiMixedTypes="0" containsString="0" containsNumber="1" minValue="-15.7" maxValue="218.02"/>
    </cacheField>
    <cacheField name="Waste Cost (CLP)" numFmtId="171">
      <sharedItems containsSemiMixedTypes="0" containsString="0" containsNumber="1" minValue="0" maxValue="45548"/>
    </cacheField>
    <cacheField name="Purchase Date" numFmtId="170">
      <sharedItems containsSemiMixedTypes="0" containsNonDate="0" containsDate="1" containsString="0" minDate="2023-07-01T00:00:00" maxDate="2025-07-0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25">
  <r>
    <s v="B00001"/>
    <s v="P001"/>
    <x v="0"/>
    <s v="Partial Loss"/>
    <n v="16"/>
    <n v="11.78"/>
    <n v="4.22"/>
    <n v="26.4"/>
    <x v="0"/>
    <n v="47120"/>
    <n v="50.4"/>
    <n v="47200"/>
    <n v="-80"/>
    <n v="-0.09"/>
    <n v="12449"/>
    <d v="2023-07-09T00:00:00"/>
  </r>
  <r>
    <s v="B00002"/>
    <s v="P001"/>
    <x v="0"/>
    <s v="Partial Loss"/>
    <n v="13"/>
    <n v="11.63"/>
    <n v="1.36"/>
    <n v="10.5"/>
    <x v="1"/>
    <n v="46520"/>
    <n v="49.75"/>
    <n v="38350"/>
    <n v="8170"/>
    <n v="8.74"/>
    <n v="4012.0000000000005"/>
    <d v="2023-07-20T00:00:00"/>
  </r>
  <r>
    <s v="B00003"/>
    <s v="P001"/>
    <x v="0"/>
    <s v="Partial Loss"/>
    <n v="13"/>
    <n v="11.63"/>
    <n v="1.36"/>
    <n v="10.5"/>
    <x v="2"/>
    <n v="46520"/>
    <n v="49.75"/>
    <n v="38350"/>
    <n v="8170"/>
    <n v="8.74"/>
    <n v="4012.0000000000005"/>
    <d v="2023-07-29T00:00:00"/>
  </r>
  <r>
    <s v="B00004"/>
    <s v="P001"/>
    <x v="0"/>
    <s v="Sold Out"/>
    <n v="16"/>
    <n v="16"/>
    <n v="0"/>
    <n v="0"/>
    <x v="3"/>
    <n v="64000"/>
    <n v="68.45"/>
    <n v="47200"/>
    <n v="16800"/>
    <n v="17.97"/>
    <n v="0"/>
    <d v="2023-08-05T00:00:00"/>
  </r>
  <r>
    <s v="B00005"/>
    <s v="P001"/>
    <x v="0"/>
    <s v="Partial Loss"/>
    <n v="15"/>
    <n v="10.52"/>
    <n v="4.4800000000000004"/>
    <n v="29.9"/>
    <x v="4"/>
    <n v="42080"/>
    <n v="45.01"/>
    <n v="44250"/>
    <n v="-2170"/>
    <n v="-2.3199999999999998"/>
    <n v="13216.000000000002"/>
    <d v="2023-08-13T00:00:00"/>
  </r>
  <r>
    <s v="B00006"/>
    <s v="P001"/>
    <x v="0"/>
    <s v="Partial Loss"/>
    <n v="16"/>
    <n v="13.58"/>
    <n v="2.42"/>
    <n v="15.1"/>
    <x v="5"/>
    <n v="54320"/>
    <n v="58.1"/>
    <n v="47200"/>
    <n v="7120"/>
    <n v="7.61"/>
    <n v="7139"/>
    <d v="2023-08-21T00:00:00"/>
  </r>
  <r>
    <s v="B00007"/>
    <s v="P001"/>
    <x v="0"/>
    <s v="Sold Out"/>
    <n v="17"/>
    <n v="17"/>
    <n v="0"/>
    <n v="0"/>
    <x v="6"/>
    <n v="68000"/>
    <n v="72.73"/>
    <n v="50150"/>
    <n v="17850"/>
    <n v="19.09"/>
    <n v="0"/>
    <d v="2023-08-28T00:00:00"/>
  </r>
  <r>
    <s v="B00008"/>
    <s v="P001"/>
    <x v="0"/>
    <s v="Partial Loss"/>
    <n v="19"/>
    <n v="16.72"/>
    <n v="2.2799999999999998"/>
    <n v="12"/>
    <x v="7"/>
    <n v="66880"/>
    <n v="71.53"/>
    <n v="57000"/>
    <n v="9880"/>
    <n v="10.57"/>
    <n v="6839.9999999999991"/>
    <d v="2023-09-06T00:00:00"/>
  </r>
  <r>
    <s v="B00009"/>
    <s v="P001"/>
    <x v="0"/>
    <s v="Partial Loss"/>
    <n v="18"/>
    <n v="14.89"/>
    <n v="3.11"/>
    <n v="17.3"/>
    <x v="8"/>
    <n v="59560"/>
    <n v="63.7"/>
    <n v="53100"/>
    <n v="6460"/>
    <n v="6.91"/>
    <n v="9174.5"/>
    <d v="2023-09-16T00:00:00"/>
  </r>
  <r>
    <s v="B00010"/>
    <s v="P001"/>
    <x v="0"/>
    <s v="Partial Loss"/>
    <n v="20"/>
    <n v="16.440000000000001"/>
    <n v="3.56"/>
    <n v="17.8"/>
    <x v="9"/>
    <n v="65760"/>
    <n v="70.33"/>
    <n v="59000"/>
    <n v="6760"/>
    <n v="7.23"/>
    <n v="10502"/>
    <d v="2023-09-25T00:00:00"/>
  </r>
  <r>
    <s v="B00011"/>
    <s v="P001"/>
    <x v="0"/>
    <s v="Sold Out"/>
    <n v="35"/>
    <n v="35"/>
    <n v="0"/>
    <n v="0"/>
    <x v="10"/>
    <n v="140000"/>
    <n v="149.72999999999999"/>
    <n v="103250"/>
    <n v="36750"/>
    <n v="39.299999999999997"/>
    <n v="0"/>
    <d v="2023-10-04T00:00:00"/>
  </r>
  <r>
    <s v="B00012"/>
    <s v="P001"/>
    <x v="0"/>
    <s v="Sold Out"/>
    <n v="34"/>
    <n v="34"/>
    <n v="0"/>
    <n v="0"/>
    <x v="11"/>
    <n v="136000"/>
    <n v="145.44999999999999"/>
    <n v="100300"/>
    <n v="35700"/>
    <n v="38.18"/>
    <n v="0"/>
    <d v="2023-10-12T00:00:00"/>
  </r>
  <r>
    <s v="B00013"/>
    <s v="P001"/>
    <x v="0"/>
    <s v="Sold Out"/>
    <n v="34"/>
    <n v="34"/>
    <n v="0"/>
    <n v="0"/>
    <x v="12"/>
    <n v="136000"/>
    <n v="145.44999999999999"/>
    <n v="100300"/>
    <n v="35700"/>
    <n v="38.18"/>
    <n v="0"/>
    <d v="2023-10-20T00:00:00"/>
  </r>
  <r>
    <s v="B00014"/>
    <s v="P001"/>
    <x v="0"/>
    <s v="Partial Loss"/>
    <n v="34"/>
    <n v="29.89"/>
    <n v="4.1100000000000003"/>
    <n v="12.1"/>
    <x v="13"/>
    <n v="119560"/>
    <n v="127.87"/>
    <n v="100300"/>
    <n v="19260"/>
    <n v="20.6"/>
    <n v="12124.500000000002"/>
    <d v="2023-10-30T00:00:00"/>
  </r>
  <r>
    <s v="B00015"/>
    <s v="P001"/>
    <x v="0"/>
    <s v="Sold Out"/>
    <n v="39"/>
    <n v="39"/>
    <n v="0"/>
    <n v="0"/>
    <x v="14"/>
    <n v="156000"/>
    <n v="166.84"/>
    <n v="115050"/>
    <n v="40950"/>
    <n v="43.8"/>
    <n v="0"/>
    <d v="2023-11-09T00:00:00"/>
  </r>
  <r>
    <s v="B00016"/>
    <s v="P001"/>
    <x v="0"/>
    <s v="Partial Loss"/>
    <n v="35"/>
    <n v="30.84"/>
    <n v="4.17"/>
    <n v="11.9"/>
    <x v="15"/>
    <n v="123360"/>
    <n v="131.94"/>
    <n v="103250"/>
    <n v="20110"/>
    <n v="21.51"/>
    <n v="12301.5"/>
    <d v="2023-11-18T00:00:00"/>
  </r>
  <r>
    <s v="B00017"/>
    <s v="P001"/>
    <x v="0"/>
    <s v="Sold Out"/>
    <n v="37"/>
    <n v="37"/>
    <n v="0"/>
    <n v="0"/>
    <x v="16"/>
    <n v="148000"/>
    <n v="158.29"/>
    <n v="109150"/>
    <n v="38850"/>
    <n v="41.55"/>
    <n v="0"/>
    <d v="2023-11-27T00:00:00"/>
  </r>
  <r>
    <s v="B00018"/>
    <s v="P001"/>
    <x v="0"/>
    <s v="Sold Out"/>
    <n v="48"/>
    <n v="48"/>
    <n v="0"/>
    <n v="0"/>
    <x v="17"/>
    <n v="192000"/>
    <n v="205.35"/>
    <n v="141600"/>
    <n v="50400"/>
    <n v="53.9"/>
    <n v="0"/>
    <d v="2023-12-09T00:00:00"/>
  </r>
  <r>
    <s v="B00019"/>
    <s v="P001"/>
    <x v="0"/>
    <s v="Sold Out"/>
    <n v="47"/>
    <n v="47"/>
    <n v="0"/>
    <n v="0"/>
    <x v="18"/>
    <n v="188000"/>
    <n v="201.07"/>
    <n v="141000"/>
    <n v="47000"/>
    <n v="50.27"/>
    <n v="0"/>
    <d v="2023-12-18T00:00:00"/>
  </r>
  <r>
    <s v="B00020"/>
    <s v="P001"/>
    <x v="0"/>
    <s v="Sold Out"/>
    <n v="53"/>
    <n v="53"/>
    <n v="0"/>
    <n v="0"/>
    <x v="19"/>
    <n v="212000"/>
    <n v="226.74"/>
    <n v="156350"/>
    <n v="55650"/>
    <n v="59.52"/>
    <n v="0"/>
    <d v="2023-12-27T00:00:00"/>
  </r>
  <r>
    <s v="B00021"/>
    <s v="P001"/>
    <x v="0"/>
    <s v="Sold Out"/>
    <n v="40"/>
    <n v="40"/>
    <n v="0"/>
    <n v="0"/>
    <x v="20"/>
    <n v="160000"/>
    <n v="171.12"/>
    <n v="118000"/>
    <n v="42000"/>
    <n v="44.92"/>
    <n v="0"/>
    <d v="2024-01-05T00:00:00"/>
  </r>
  <r>
    <s v="B00022"/>
    <s v="P001"/>
    <x v="0"/>
    <s v="Partial Loss"/>
    <n v="41"/>
    <n v="33.33"/>
    <n v="7.67"/>
    <n v="18.7"/>
    <x v="21"/>
    <n v="133320"/>
    <n v="142.59"/>
    <n v="123000"/>
    <n v="10320"/>
    <n v="11.04"/>
    <n v="23010"/>
    <d v="2024-01-15T00:00:00"/>
  </r>
  <r>
    <s v="B00023"/>
    <s v="P001"/>
    <x v="0"/>
    <s v="Partial Loss"/>
    <n v="35"/>
    <n v="25.97"/>
    <n v="9.0299999999999994"/>
    <n v="25.8"/>
    <x v="22"/>
    <n v="103880"/>
    <n v="111.1"/>
    <n v="103250"/>
    <n v="630"/>
    <n v="0.67"/>
    <n v="26638.499999999996"/>
    <d v="2024-01-24T00:00:00"/>
  </r>
  <r>
    <s v="B00024"/>
    <s v="P001"/>
    <x v="0"/>
    <s v="Sold Out"/>
    <n v="35"/>
    <n v="35"/>
    <n v="0"/>
    <n v="0"/>
    <x v="23"/>
    <n v="140000"/>
    <n v="149.72999999999999"/>
    <n v="103250"/>
    <n v="36750"/>
    <n v="39.299999999999997"/>
    <n v="0"/>
    <d v="2024-02-01T00:00:00"/>
  </r>
  <r>
    <s v="B00025"/>
    <s v="P001"/>
    <x v="0"/>
    <s v="Sold Out"/>
    <n v="40"/>
    <n v="40"/>
    <n v="0"/>
    <n v="0"/>
    <x v="24"/>
    <n v="160000"/>
    <n v="171.12"/>
    <n v="118000"/>
    <n v="42000"/>
    <n v="44.92"/>
    <n v="0"/>
    <d v="2024-02-11T00:00:00"/>
  </r>
  <r>
    <s v="B00026"/>
    <s v="P001"/>
    <x v="0"/>
    <s v="Partial Loss"/>
    <n v="45"/>
    <n v="36.85"/>
    <n v="8.14"/>
    <n v="18.100000000000001"/>
    <x v="25"/>
    <n v="147400"/>
    <n v="157.65"/>
    <n v="135000"/>
    <n v="12400"/>
    <n v="13.26"/>
    <n v="24420"/>
    <d v="2024-02-20T00:00:00"/>
  </r>
  <r>
    <s v="B00027"/>
    <s v="P001"/>
    <x v="0"/>
    <s v="Partial Loss"/>
    <n v="45"/>
    <n v="29.57"/>
    <n v="15.44"/>
    <n v="34.299999999999997"/>
    <x v="26"/>
    <n v="118280"/>
    <n v="126.5"/>
    <n v="132750"/>
    <n v="-14470"/>
    <n v="-15.48"/>
    <n v="45548"/>
    <d v="2024-02-29T00:00:00"/>
  </r>
  <r>
    <s v="B00028"/>
    <s v="P001"/>
    <x v="0"/>
    <s v="Sold Out"/>
    <n v="46"/>
    <n v="46"/>
    <n v="0"/>
    <n v="0"/>
    <x v="27"/>
    <n v="184000"/>
    <n v="196.79"/>
    <n v="135700"/>
    <n v="48300"/>
    <n v="51.66"/>
    <n v="0"/>
    <d v="2024-03-10T00:00:00"/>
  </r>
  <r>
    <s v="B00029"/>
    <s v="P001"/>
    <x v="0"/>
    <s v="Partial Loss"/>
    <n v="35"/>
    <n v="33.880000000000003"/>
    <n v="1.1200000000000001"/>
    <n v="3.2"/>
    <x v="28"/>
    <n v="135520"/>
    <n v="144.94"/>
    <n v="103250"/>
    <n v="32270"/>
    <n v="34.51"/>
    <n v="3304.0000000000005"/>
    <d v="2024-03-21T00:00:00"/>
  </r>
  <r>
    <s v="B00030"/>
    <s v="P001"/>
    <x v="0"/>
    <s v="Partial Loss"/>
    <n v="34"/>
    <n v="30.36"/>
    <n v="3.64"/>
    <n v="10.7"/>
    <x v="29"/>
    <n v="121440"/>
    <n v="129.88"/>
    <n v="100300"/>
    <n v="21140"/>
    <n v="22.61"/>
    <n v="10738"/>
    <d v="2024-03-31T00:00:00"/>
  </r>
  <r>
    <s v="B00031"/>
    <s v="P001"/>
    <x v="0"/>
    <s v="Partial Loss"/>
    <n v="13"/>
    <n v="10.59"/>
    <n v="2.4"/>
    <n v="18.5"/>
    <x v="30"/>
    <n v="42360"/>
    <n v="45.3"/>
    <n v="38350"/>
    <n v="4010"/>
    <n v="4.29"/>
    <n v="7080"/>
    <d v="2024-04-09T00:00:00"/>
  </r>
  <r>
    <s v="B00032"/>
    <s v="P001"/>
    <x v="0"/>
    <s v="Sold Out"/>
    <n v="14"/>
    <n v="14"/>
    <n v="0"/>
    <n v="0"/>
    <x v="31"/>
    <n v="56000"/>
    <n v="59.89"/>
    <n v="42000"/>
    <n v="14000"/>
    <n v="14.97"/>
    <n v="0"/>
    <d v="2024-04-20T00:00:00"/>
  </r>
  <r>
    <s v="B00033"/>
    <s v="P001"/>
    <x v="0"/>
    <s v="Partial Loss"/>
    <n v="16"/>
    <n v="14.1"/>
    <n v="1.9"/>
    <n v="11.9"/>
    <x v="32"/>
    <n v="56400"/>
    <n v="60.32"/>
    <n v="47200"/>
    <n v="9200"/>
    <n v="9.84"/>
    <n v="5605"/>
    <d v="2024-04-29T00:00:00"/>
  </r>
  <r>
    <s v="B00034"/>
    <s v="P001"/>
    <x v="0"/>
    <s v="Sold Out"/>
    <n v="15"/>
    <n v="15"/>
    <n v="0"/>
    <n v="0"/>
    <x v="33"/>
    <n v="60000"/>
    <n v="64.17"/>
    <n v="44250"/>
    <n v="15750"/>
    <n v="16.84"/>
    <n v="0"/>
    <d v="2024-05-09T00:00:00"/>
  </r>
  <r>
    <s v="B00035"/>
    <s v="P001"/>
    <x v="0"/>
    <s v="Sold Out"/>
    <n v="13"/>
    <n v="13"/>
    <n v="0"/>
    <n v="0"/>
    <x v="34"/>
    <n v="52000"/>
    <n v="55.61"/>
    <n v="39000"/>
    <n v="13000"/>
    <n v="13.9"/>
    <n v="0"/>
    <d v="2024-05-18T00:00:00"/>
  </r>
  <r>
    <s v="B00036"/>
    <s v="P001"/>
    <x v="0"/>
    <s v="Partial Loss"/>
    <n v="15"/>
    <n v="11.51"/>
    <n v="3.5"/>
    <n v="23.3"/>
    <x v="35"/>
    <n v="46040"/>
    <n v="49.24"/>
    <n v="44250"/>
    <n v="1790"/>
    <n v="1.91"/>
    <n v="10325"/>
    <d v="2024-05-27T00:00:00"/>
  </r>
  <r>
    <s v="B00037"/>
    <s v="P001"/>
    <x v="0"/>
    <s v="Partial Loss"/>
    <n v="15"/>
    <n v="11.27"/>
    <n v="3.73"/>
    <n v="24.9"/>
    <x v="36"/>
    <n v="45080"/>
    <n v="48.21"/>
    <n v="44250"/>
    <n v="830"/>
    <n v="0.89"/>
    <n v="11003.5"/>
    <d v="2024-06-04T00:00:00"/>
  </r>
  <r>
    <s v="B00038"/>
    <s v="P001"/>
    <x v="0"/>
    <s v="Partial Loss"/>
    <n v="15"/>
    <n v="11.8"/>
    <n v="3.19"/>
    <n v="21.3"/>
    <x v="37"/>
    <n v="47200"/>
    <n v="50.48"/>
    <n v="44250"/>
    <n v="2950"/>
    <n v="3.16"/>
    <n v="9410.5"/>
    <d v="2024-06-14T00:00:00"/>
  </r>
  <r>
    <s v="B00039"/>
    <s v="P001"/>
    <x v="0"/>
    <s v="Sold Out"/>
    <n v="13"/>
    <n v="13"/>
    <n v="0"/>
    <n v="0"/>
    <x v="38"/>
    <n v="52000"/>
    <n v="55.61"/>
    <n v="38350"/>
    <n v="13650"/>
    <n v="14.6"/>
    <n v="0"/>
    <d v="2024-06-21T00:00:00"/>
  </r>
  <r>
    <s v="B00040"/>
    <s v="P001"/>
    <x v="0"/>
    <s v="Partial Loss"/>
    <n v="15"/>
    <n v="12.25"/>
    <n v="2.75"/>
    <n v="18.3"/>
    <x v="39"/>
    <n v="49000"/>
    <n v="52.41"/>
    <n v="44250"/>
    <n v="4750"/>
    <n v="5.08"/>
    <n v="8112.5"/>
    <d v="2024-06-30T00:00:00"/>
  </r>
  <r>
    <s v="B00041"/>
    <s v="P001"/>
    <x v="0"/>
    <s v="Partial Loss"/>
    <n v="15"/>
    <n v="13.38"/>
    <n v="1.62"/>
    <n v="10.8"/>
    <x v="40"/>
    <n v="53520"/>
    <n v="57.24"/>
    <n v="44250"/>
    <n v="9270"/>
    <n v="9.91"/>
    <n v="4779"/>
    <d v="2024-07-11T00:00:00"/>
  </r>
  <r>
    <s v="B00042"/>
    <s v="P001"/>
    <x v="0"/>
    <s v="Sold Out"/>
    <n v="15"/>
    <n v="15"/>
    <n v="0"/>
    <n v="0"/>
    <x v="37"/>
    <n v="60000"/>
    <n v="64.17"/>
    <n v="44250"/>
    <n v="15750"/>
    <n v="16.84"/>
    <n v="0"/>
    <d v="2024-07-21T00:00:00"/>
  </r>
  <r>
    <s v="B00043"/>
    <s v="P001"/>
    <x v="0"/>
    <s v="Partial Loss"/>
    <n v="14"/>
    <n v="12.66"/>
    <n v="1.34"/>
    <n v="9.6"/>
    <x v="41"/>
    <n v="50640"/>
    <n v="54.16"/>
    <n v="41300"/>
    <n v="9340"/>
    <n v="9.99"/>
    <n v="3953.0000000000005"/>
    <d v="2024-07-31T00:00:00"/>
  </r>
  <r>
    <s v="B00044"/>
    <s v="P001"/>
    <x v="0"/>
    <s v="Partial Loss"/>
    <n v="16"/>
    <n v="13.04"/>
    <n v="2.96"/>
    <n v="18.5"/>
    <x v="42"/>
    <n v="52160"/>
    <n v="55.79"/>
    <n v="47200"/>
    <n v="4960"/>
    <n v="5.3"/>
    <n v="8732"/>
    <d v="2024-08-11T00:00:00"/>
  </r>
  <r>
    <s v="B00045"/>
    <s v="P001"/>
    <x v="0"/>
    <s v="Sold Out"/>
    <n v="14"/>
    <n v="14"/>
    <n v="0"/>
    <n v="0"/>
    <x v="43"/>
    <n v="56000"/>
    <n v="59.89"/>
    <n v="41300"/>
    <n v="14700"/>
    <n v="15.72"/>
    <n v="0"/>
    <d v="2024-08-22T00:00:00"/>
  </r>
  <r>
    <s v="B00046"/>
    <s v="P001"/>
    <x v="0"/>
    <s v="Partial Loss"/>
    <n v="21"/>
    <n v="19.38"/>
    <n v="1.62"/>
    <n v="7.7"/>
    <x v="44"/>
    <n v="77520"/>
    <n v="82.91"/>
    <n v="61950"/>
    <n v="15570"/>
    <n v="16.649999999999999"/>
    <n v="4779"/>
    <d v="2024-09-02T00:00:00"/>
  </r>
  <r>
    <s v="B00047"/>
    <s v="P001"/>
    <x v="0"/>
    <s v="Partial Loss"/>
    <n v="19"/>
    <n v="18.13"/>
    <n v="0.87"/>
    <n v="4.5999999999999996"/>
    <x v="45"/>
    <n v="72520"/>
    <n v="77.56"/>
    <n v="57000"/>
    <n v="15520"/>
    <n v="16.600000000000001"/>
    <n v="2610"/>
    <d v="2024-09-11T00:00:00"/>
  </r>
  <r>
    <s v="B00048"/>
    <s v="P001"/>
    <x v="0"/>
    <s v="Partial Loss"/>
    <n v="19"/>
    <n v="14.31"/>
    <n v="4.6900000000000004"/>
    <n v="24.7"/>
    <x v="46"/>
    <n v="57240"/>
    <n v="61.22"/>
    <n v="57000"/>
    <n v="240"/>
    <n v="0.26"/>
    <n v="14070.000000000002"/>
    <d v="2024-09-20T00:00:00"/>
  </r>
  <r>
    <s v="B00049"/>
    <s v="P001"/>
    <x v="0"/>
    <s v="Sold Out"/>
    <n v="36"/>
    <n v="36"/>
    <n v="0"/>
    <n v="0"/>
    <x v="47"/>
    <n v="144000"/>
    <n v="154.01"/>
    <n v="106200"/>
    <n v="37800"/>
    <n v="40.43"/>
    <n v="0"/>
    <d v="2024-10-01T00:00:00"/>
  </r>
  <r>
    <s v="B00050"/>
    <s v="P001"/>
    <x v="0"/>
    <s v="Partial Loss"/>
    <n v="36"/>
    <n v="31.75"/>
    <n v="4.25"/>
    <n v="11.8"/>
    <x v="48"/>
    <n v="127000"/>
    <n v="135.83000000000001"/>
    <n v="108000"/>
    <n v="19000"/>
    <n v="20.32"/>
    <n v="12750"/>
    <d v="2024-10-10T00:00:00"/>
  </r>
  <r>
    <s v="B00051"/>
    <s v="P001"/>
    <x v="0"/>
    <s v="Sold Out"/>
    <n v="39"/>
    <n v="39"/>
    <n v="0"/>
    <n v="0"/>
    <x v="49"/>
    <n v="156000"/>
    <n v="166.84"/>
    <n v="115050"/>
    <n v="40950"/>
    <n v="43.8"/>
    <n v="0"/>
    <d v="2024-10-17T00:00:00"/>
  </r>
  <r>
    <s v="B00052"/>
    <s v="P001"/>
    <x v="0"/>
    <s v="Sold Out"/>
    <n v="43"/>
    <n v="43"/>
    <n v="0"/>
    <n v="0"/>
    <x v="50"/>
    <n v="172000"/>
    <n v="183.96"/>
    <n v="126850"/>
    <n v="45150"/>
    <n v="48.29"/>
    <n v="0"/>
    <d v="2024-10-27T00:00:00"/>
  </r>
  <r>
    <s v="B00053"/>
    <s v="P001"/>
    <x v="0"/>
    <s v="Sold Out"/>
    <n v="41"/>
    <n v="41"/>
    <n v="0"/>
    <n v="0"/>
    <x v="51"/>
    <n v="164000"/>
    <n v="175.4"/>
    <n v="120950"/>
    <n v="43050"/>
    <n v="46.04"/>
    <n v="0"/>
    <d v="2024-11-04T00:00:00"/>
  </r>
  <r>
    <s v="B00054"/>
    <s v="P001"/>
    <x v="0"/>
    <s v="Partial Loss"/>
    <n v="38"/>
    <n v="30.13"/>
    <n v="7.87"/>
    <n v="20.7"/>
    <x v="52"/>
    <n v="120520"/>
    <n v="128.9"/>
    <n v="112100"/>
    <n v="8420"/>
    <n v="9.01"/>
    <n v="23216.5"/>
    <d v="2024-11-14T00:00:00"/>
  </r>
  <r>
    <s v="B00055"/>
    <s v="P001"/>
    <x v="0"/>
    <s v="Sold Out"/>
    <n v="46"/>
    <n v="46"/>
    <n v="0"/>
    <n v="0"/>
    <x v="53"/>
    <n v="184000"/>
    <n v="196.79"/>
    <n v="135700"/>
    <n v="48300"/>
    <n v="51.66"/>
    <n v="0"/>
    <d v="2024-11-27T00:00:00"/>
  </r>
  <r>
    <s v="B00056"/>
    <s v="P001"/>
    <x v="0"/>
    <s v="Sold Out"/>
    <n v="59"/>
    <n v="59"/>
    <n v="0"/>
    <n v="0"/>
    <x v="54"/>
    <n v="236000"/>
    <n v="252.41"/>
    <n v="174050"/>
    <n v="61950"/>
    <n v="66.260000000000005"/>
    <n v="0"/>
    <d v="2024-12-05T00:00:00"/>
  </r>
  <r>
    <s v="B00057"/>
    <s v="P001"/>
    <x v="0"/>
    <s v="Sold Out"/>
    <n v="53"/>
    <n v="53"/>
    <n v="0"/>
    <n v="0"/>
    <x v="55"/>
    <n v="212000"/>
    <n v="226.74"/>
    <n v="156350"/>
    <n v="55650"/>
    <n v="59.52"/>
    <n v="0"/>
    <d v="2024-12-13T00:00:00"/>
  </r>
  <r>
    <s v="B00058"/>
    <s v="P001"/>
    <x v="0"/>
    <s v="Sold Out"/>
    <n v="52"/>
    <n v="52"/>
    <n v="0"/>
    <n v="0"/>
    <x v="56"/>
    <n v="208000"/>
    <n v="222.46"/>
    <n v="153400"/>
    <n v="54600"/>
    <n v="58.4"/>
    <n v="0"/>
    <d v="2024-12-22T00:00:00"/>
  </r>
  <r>
    <s v="B00059"/>
    <s v="P001"/>
    <x v="0"/>
    <s v="Sold Out"/>
    <n v="41"/>
    <n v="41"/>
    <n v="0"/>
    <n v="0"/>
    <x v="57"/>
    <n v="164000"/>
    <n v="175.4"/>
    <n v="120950"/>
    <n v="43050"/>
    <n v="46.04"/>
    <n v="0"/>
    <d v="2025-01-01T00:00:00"/>
  </r>
  <r>
    <s v="B00060"/>
    <s v="P001"/>
    <x v="0"/>
    <s v="Sold Out"/>
    <n v="43"/>
    <n v="43"/>
    <n v="0"/>
    <n v="0"/>
    <x v="58"/>
    <n v="172000"/>
    <n v="183.96"/>
    <n v="126850"/>
    <n v="45150"/>
    <n v="48.29"/>
    <n v="0"/>
    <d v="2025-01-11T00:00:00"/>
  </r>
  <r>
    <s v="B00061"/>
    <s v="P001"/>
    <x v="0"/>
    <s v="Sold Out"/>
    <n v="44"/>
    <n v="44"/>
    <n v="0"/>
    <n v="0"/>
    <x v="59"/>
    <n v="176000"/>
    <n v="188.24"/>
    <n v="129800"/>
    <n v="46200"/>
    <n v="49.41"/>
    <n v="0"/>
    <d v="2025-01-22T00:00:00"/>
  </r>
  <r>
    <s v="B00062"/>
    <s v="P001"/>
    <x v="0"/>
    <s v="Partial Loss"/>
    <n v="39"/>
    <n v="33.03"/>
    <n v="5.97"/>
    <n v="15.3"/>
    <x v="60"/>
    <n v="132120"/>
    <n v="141.30000000000001"/>
    <n v="115050"/>
    <n v="17070"/>
    <n v="18.260000000000002"/>
    <n v="17611.5"/>
    <d v="2025-01-28T00:00:00"/>
  </r>
  <r>
    <s v="B00063"/>
    <s v="P001"/>
    <x v="0"/>
    <s v="Sold Out"/>
    <n v="49"/>
    <n v="49"/>
    <n v="0"/>
    <n v="0"/>
    <x v="61"/>
    <n v="196000"/>
    <n v="209.63"/>
    <n v="144550"/>
    <n v="51450"/>
    <n v="55.03"/>
    <n v="0"/>
    <d v="2025-02-09T00:00:00"/>
  </r>
  <r>
    <s v="B00064"/>
    <s v="P001"/>
    <x v="0"/>
    <s v="Sold Out"/>
    <n v="37"/>
    <n v="37"/>
    <n v="0"/>
    <n v="0"/>
    <x v="62"/>
    <n v="148000"/>
    <n v="158.29"/>
    <n v="109150"/>
    <n v="38850"/>
    <n v="41.55"/>
    <n v="0"/>
    <d v="2025-02-20T00:00:00"/>
  </r>
  <r>
    <s v="B00065"/>
    <s v="P001"/>
    <x v="0"/>
    <s v="Partial Loss"/>
    <n v="37"/>
    <n v="31.49"/>
    <n v="5.51"/>
    <n v="14.9"/>
    <x v="63"/>
    <n v="125960"/>
    <n v="134.72"/>
    <n v="109150"/>
    <n v="16810"/>
    <n v="17.98"/>
    <n v="16254.5"/>
    <d v="2025-03-01T00:00:00"/>
  </r>
  <r>
    <s v="B00066"/>
    <s v="P001"/>
    <x v="0"/>
    <s v="Sold Out"/>
    <n v="41"/>
    <n v="41"/>
    <n v="0"/>
    <n v="0"/>
    <x v="64"/>
    <n v="164000"/>
    <n v="175.4"/>
    <n v="120950"/>
    <n v="43050"/>
    <n v="46.04"/>
    <n v="0"/>
    <d v="2025-03-10T00:00:00"/>
  </r>
  <r>
    <s v="B00067"/>
    <s v="P001"/>
    <x v="0"/>
    <s v="Sold Out"/>
    <n v="50"/>
    <n v="50"/>
    <n v="0"/>
    <n v="0"/>
    <x v="65"/>
    <n v="200000"/>
    <n v="213.9"/>
    <n v="147500"/>
    <n v="52500"/>
    <n v="56.15"/>
    <n v="0"/>
    <d v="2025-03-19T00:00:00"/>
  </r>
  <r>
    <s v="B00068"/>
    <s v="P001"/>
    <x v="0"/>
    <s v="Partial Loss"/>
    <n v="47"/>
    <n v="39.29"/>
    <n v="7.71"/>
    <n v="16.399999999999999"/>
    <x v="66"/>
    <n v="157160"/>
    <n v="168.09"/>
    <n v="138650"/>
    <n v="18510"/>
    <n v="19.8"/>
    <n v="22744.5"/>
    <d v="2025-03-26T00:00:00"/>
  </r>
  <r>
    <s v="B00069"/>
    <s v="P001"/>
    <x v="0"/>
    <s v="Partial Loss"/>
    <n v="15"/>
    <n v="11.51"/>
    <n v="3.5"/>
    <n v="23.3"/>
    <x v="67"/>
    <n v="46040"/>
    <n v="49.24"/>
    <n v="44250"/>
    <n v="1790"/>
    <n v="1.91"/>
    <n v="10325"/>
    <d v="2025-04-06T00:00:00"/>
  </r>
  <r>
    <s v="B00070"/>
    <s v="P001"/>
    <x v="0"/>
    <s v="Sold Out"/>
    <n v="16"/>
    <n v="16"/>
    <n v="0"/>
    <n v="0"/>
    <x v="68"/>
    <n v="64000"/>
    <n v="68.45"/>
    <n v="47200"/>
    <n v="16800"/>
    <n v="17.97"/>
    <n v="0"/>
    <d v="2025-04-14T00:00:00"/>
  </r>
  <r>
    <s v="B00071"/>
    <s v="P001"/>
    <x v="0"/>
    <s v="Partial Loss"/>
    <n v="16"/>
    <n v="13.04"/>
    <n v="2.96"/>
    <n v="18.5"/>
    <x v="69"/>
    <n v="52160"/>
    <n v="55.79"/>
    <n v="47200"/>
    <n v="4960"/>
    <n v="5.3"/>
    <n v="8732"/>
    <d v="2025-04-24T00:00:00"/>
  </r>
  <r>
    <s v="B00072"/>
    <s v="P001"/>
    <x v="0"/>
    <s v="Partial Loss"/>
    <n v="18"/>
    <n v="14.72"/>
    <n v="3.28"/>
    <n v="18.2"/>
    <x v="70"/>
    <n v="58880"/>
    <n v="62.97"/>
    <n v="53100"/>
    <n v="5780"/>
    <n v="6.18"/>
    <n v="9676"/>
    <d v="2025-05-02T00:00:00"/>
  </r>
  <r>
    <s v="B00073"/>
    <s v="P001"/>
    <x v="0"/>
    <s v="Partial Loss"/>
    <n v="18"/>
    <n v="13.99"/>
    <n v="4.01"/>
    <n v="22.3"/>
    <x v="71"/>
    <n v="55960"/>
    <n v="59.85"/>
    <n v="53100"/>
    <n v="2860"/>
    <n v="3.06"/>
    <n v="11829.5"/>
    <d v="2025-05-13T00:00:00"/>
  </r>
  <r>
    <s v="B00074"/>
    <s v="P001"/>
    <x v="0"/>
    <s v="Partial Loss"/>
    <n v="18"/>
    <n v="14.22"/>
    <n v="3.78"/>
    <n v="21"/>
    <x v="72"/>
    <n v="56880"/>
    <n v="60.83"/>
    <n v="53100"/>
    <n v="3780"/>
    <n v="4.04"/>
    <n v="11151"/>
    <d v="2025-05-21T00:00:00"/>
  </r>
  <r>
    <s v="B00075"/>
    <s v="P001"/>
    <x v="0"/>
    <s v="Partial Loss"/>
    <n v="15"/>
    <n v="11.13"/>
    <n v="3.87"/>
    <n v="25.8"/>
    <x v="73"/>
    <n v="44520"/>
    <n v="47.61"/>
    <n v="44250"/>
    <n v="270"/>
    <n v="0.28999999999999998"/>
    <n v="11416.5"/>
    <d v="2025-05-31T00:00:00"/>
  </r>
  <r>
    <s v="B00076"/>
    <s v="P001"/>
    <x v="0"/>
    <s v="Partial Loss"/>
    <n v="15"/>
    <n v="13.08"/>
    <n v="1.92"/>
    <n v="12.8"/>
    <x v="74"/>
    <n v="52320"/>
    <n v="55.96"/>
    <n v="44250"/>
    <n v="8070"/>
    <n v="8.6300000000000008"/>
    <n v="5664"/>
    <d v="2025-06-12T00:00:00"/>
  </r>
  <r>
    <s v="B00077"/>
    <s v="P001"/>
    <x v="0"/>
    <s v="Sold Out"/>
    <n v="15"/>
    <n v="15"/>
    <n v="0"/>
    <n v="0"/>
    <x v="75"/>
    <n v="60000"/>
    <n v="64.17"/>
    <n v="44250"/>
    <n v="15750"/>
    <n v="16.84"/>
    <n v="0"/>
    <d v="2025-06-21T00:00:00"/>
  </r>
  <r>
    <s v="B00078"/>
    <s v="P001"/>
    <x v="0"/>
    <s v="Sold Out"/>
    <n v="16"/>
    <n v="16"/>
    <n v="0"/>
    <n v="0"/>
    <x v="76"/>
    <n v="64000"/>
    <n v="68.45"/>
    <n v="47200"/>
    <n v="16800"/>
    <n v="17.97"/>
    <n v="0"/>
    <d v="2025-06-29T00:00:00"/>
  </r>
  <r>
    <s v="B00079"/>
    <s v="P002"/>
    <x v="0"/>
    <s v="Partial Loss"/>
    <n v="15"/>
    <n v="12.78"/>
    <n v="2.2200000000000002"/>
    <n v="14.8"/>
    <x v="77"/>
    <n v="44730"/>
    <n v="47.84"/>
    <n v="37500"/>
    <n v="7230"/>
    <n v="7.73"/>
    <n v="5550.0000000000009"/>
    <d v="2023-07-10T00:00:00"/>
  </r>
  <r>
    <s v="B00080"/>
    <s v="P002"/>
    <x v="0"/>
    <s v="Sold Out"/>
    <n v="15"/>
    <n v="15"/>
    <n v="0"/>
    <n v="0"/>
    <x v="78"/>
    <n v="52500"/>
    <n v="56.15"/>
    <n v="40500"/>
    <n v="12000"/>
    <n v="12.83"/>
    <n v="0"/>
    <d v="2023-07-17T00:00:00"/>
  </r>
  <r>
    <s v="B00081"/>
    <s v="P002"/>
    <x v="0"/>
    <s v="Partial Loss"/>
    <n v="15"/>
    <n v="12.48"/>
    <n v="2.52"/>
    <n v="16.8"/>
    <x v="79"/>
    <n v="43680"/>
    <n v="46.72"/>
    <n v="37500"/>
    <n v="6180"/>
    <n v="6.61"/>
    <n v="6300"/>
    <d v="2023-07-27T00:00:00"/>
  </r>
  <r>
    <s v="B00082"/>
    <s v="P002"/>
    <x v="0"/>
    <s v="Partial Loss"/>
    <n v="15"/>
    <n v="10.58"/>
    <n v="4.42"/>
    <n v="29.5"/>
    <x v="80"/>
    <n v="37030"/>
    <n v="39.6"/>
    <n v="37500"/>
    <n v="-470"/>
    <n v="-0.5"/>
    <n v="11050"/>
    <d v="2023-08-03T00:00:00"/>
  </r>
  <r>
    <s v="B00083"/>
    <s v="P002"/>
    <x v="0"/>
    <s v="Sold Out"/>
    <n v="17"/>
    <n v="17"/>
    <n v="0"/>
    <n v="0"/>
    <x v="81"/>
    <n v="59500"/>
    <n v="63.64"/>
    <n v="42500"/>
    <n v="17000"/>
    <n v="18.18"/>
    <n v="0"/>
    <d v="2023-08-12T00:00:00"/>
  </r>
  <r>
    <s v="B00084"/>
    <s v="P002"/>
    <x v="0"/>
    <s v="Partial Loss"/>
    <n v="17"/>
    <n v="15.08"/>
    <n v="1.92"/>
    <n v="11.3"/>
    <x v="82"/>
    <n v="52780"/>
    <n v="56.45"/>
    <n v="42500"/>
    <n v="10280"/>
    <n v="10.99"/>
    <n v="4800"/>
    <d v="2023-08-25T00:00:00"/>
  </r>
  <r>
    <s v="B00085"/>
    <s v="P002"/>
    <x v="0"/>
    <s v="Sold Out"/>
    <n v="19"/>
    <n v="19"/>
    <n v="0"/>
    <n v="0"/>
    <x v="83"/>
    <n v="66500"/>
    <n v="71.12"/>
    <n v="47500"/>
    <n v="19000"/>
    <n v="20.32"/>
    <n v="0"/>
    <d v="2023-09-04T00:00:00"/>
  </r>
  <r>
    <s v="B00086"/>
    <s v="P002"/>
    <x v="0"/>
    <s v="Sold Out"/>
    <n v="19"/>
    <n v="19"/>
    <n v="0"/>
    <n v="0"/>
    <x v="84"/>
    <n v="66500"/>
    <n v="71.12"/>
    <n v="47500"/>
    <n v="19000"/>
    <n v="20.32"/>
    <n v="0"/>
    <d v="2023-09-17T00:00:00"/>
  </r>
  <r>
    <s v="B00087"/>
    <s v="P002"/>
    <x v="0"/>
    <s v="Partial Loss"/>
    <n v="18"/>
    <n v="15.16"/>
    <n v="2.84"/>
    <n v="15.8"/>
    <x v="85"/>
    <n v="53060"/>
    <n v="56.75"/>
    <n v="45000"/>
    <n v="8060"/>
    <n v="8.6199999999999992"/>
    <n v="7100"/>
    <d v="2023-09-29T00:00:00"/>
  </r>
  <r>
    <s v="B00088"/>
    <s v="P002"/>
    <x v="0"/>
    <s v="Sold Out"/>
    <n v="35"/>
    <n v="35"/>
    <n v="0"/>
    <n v="0"/>
    <x v="86"/>
    <n v="122500"/>
    <n v="131.02000000000001"/>
    <n v="94500"/>
    <n v="28000"/>
    <n v="29.95"/>
    <n v="0"/>
    <d v="2023-10-10T00:00:00"/>
  </r>
  <r>
    <s v="B00089"/>
    <s v="P002"/>
    <x v="0"/>
    <s v="Sold Out"/>
    <n v="45"/>
    <n v="45"/>
    <n v="0"/>
    <n v="0"/>
    <x v="12"/>
    <n v="157500"/>
    <n v="168.45"/>
    <n v="112500"/>
    <n v="45000"/>
    <n v="48.13"/>
    <n v="0"/>
    <d v="2023-10-18T00:00:00"/>
  </r>
  <r>
    <s v="B00090"/>
    <s v="P002"/>
    <x v="0"/>
    <s v="Sold Out"/>
    <n v="36"/>
    <n v="36"/>
    <n v="0"/>
    <n v="0"/>
    <x v="87"/>
    <n v="126000"/>
    <n v="134.76"/>
    <n v="90000"/>
    <n v="36000"/>
    <n v="38.5"/>
    <n v="0"/>
    <d v="2023-10-27T00:00:00"/>
  </r>
  <r>
    <s v="B00091"/>
    <s v="P002"/>
    <x v="0"/>
    <s v="Sold Out"/>
    <n v="37"/>
    <n v="37"/>
    <n v="0"/>
    <n v="0"/>
    <x v="88"/>
    <n v="129500"/>
    <n v="138.5"/>
    <n v="92500"/>
    <n v="37000"/>
    <n v="39.57"/>
    <n v="0"/>
    <d v="2023-11-07T00:00:00"/>
  </r>
  <r>
    <s v="B00092"/>
    <s v="P002"/>
    <x v="0"/>
    <s v="Partial Loss"/>
    <n v="42"/>
    <n v="37.21"/>
    <n v="4.79"/>
    <n v="11.4"/>
    <x v="15"/>
    <n v="130235"/>
    <n v="139.29"/>
    <n v="105000"/>
    <n v="25235"/>
    <n v="26.99"/>
    <n v="11975"/>
    <d v="2023-11-18T00:00:00"/>
  </r>
  <r>
    <s v="B00093"/>
    <s v="P002"/>
    <x v="0"/>
    <s v="Sold Out"/>
    <n v="42"/>
    <n v="42"/>
    <n v="0"/>
    <n v="0"/>
    <x v="13"/>
    <n v="147000"/>
    <n v="157.22"/>
    <n v="105000"/>
    <n v="42000"/>
    <n v="44.92"/>
    <n v="0"/>
    <d v="2023-11-29T00:00:00"/>
  </r>
  <r>
    <s v="B00094"/>
    <s v="P002"/>
    <x v="0"/>
    <s v="Sold Out"/>
    <n v="49"/>
    <n v="49"/>
    <n v="0"/>
    <n v="0"/>
    <x v="17"/>
    <n v="171500"/>
    <n v="183.42"/>
    <n v="122500"/>
    <n v="49000"/>
    <n v="52.41"/>
    <n v="0"/>
    <d v="2023-12-09T00:00:00"/>
  </r>
  <r>
    <s v="B00095"/>
    <s v="P002"/>
    <x v="0"/>
    <s v="Sold Out"/>
    <n v="54"/>
    <n v="54"/>
    <n v="0"/>
    <n v="0"/>
    <x v="89"/>
    <n v="189000"/>
    <n v="202.14"/>
    <n v="135000"/>
    <n v="54000"/>
    <n v="57.75"/>
    <n v="0"/>
    <d v="2023-12-17T00:00:00"/>
  </r>
  <r>
    <s v="B00096"/>
    <s v="P002"/>
    <x v="0"/>
    <s v="Sold Out"/>
    <n v="59"/>
    <n v="59"/>
    <n v="0"/>
    <n v="0"/>
    <x v="15"/>
    <n v="206500"/>
    <n v="220.86"/>
    <n v="147500"/>
    <n v="59000"/>
    <n v="63.1"/>
    <n v="0"/>
    <d v="2023-12-29T00:00:00"/>
  </r>
  <r>
    <s v="B00097"/>
    <s v="P002"/>
    <x v="0"/>
    <s v="Sold Out"/>
    <n v="37"/>
    <n v="37"/>
    <n v="0"/>
    <n v="0"/>
    <x v="90"/>
    <n v="129500"/>
    <n v="138.5"/>
    <n v="92500"/>
    <n v="37000"/>
    <n v="39.57"/>
    <n v="0"/>
    <d v="2024-01-06T00:00:00"/>
  </r>
  <r>
    <s v="B00098"/>
    <s v="P002"/>
    <x v="0"/>
    <s v="Sold Out"/>
    <n v="36"/>
    <n v="36"/>
    <n v="0"/>
    <n v="0"/>
    <x v="91"/>
    <n v="126000"/>
    <n v="134.76"/>
    <n v="90000"/>
    <n v="36000"/>
    <n v="38.5"/>
    <n v="0"/>
    <d v="2024-01-17T00:00:00"/>
  </r>
  <r>
    <s v="B00099"/>
    <s v="P002"/>
    <x v="0"/>
    <s v="Sold Out"/>
    <n v="39"/>
    <n v="39"/>
    <n v="0"/>
    <n v="0"/>
    <x v="23"/>
    <n v="136500"/>
    <n v="145.99"/>
    <n v="97500"/>
    <n v="39000"/>
    <n v="41.71"/>
    <n v="0"/>
    <d v="2024-01-28T00:00:00"/>
  </r>
  <r>
    <s v="B00100"/>
    <s v="P002"/>
    <x v="0"/>
    <s v="Sold Out"/>
    <n v="37"/>
    <n v="37"/>
    <n v="0"/>
    <n v="0"/>
    <x v="92"/>
    <n v="129500"/>
    <n v="138.5"/>
    <n v="92500"/>
    <n v="37000"/>
    <n v="39.57"/>
    <n v="0"/>
    <d v="2024-02-09T00:00:00"/>
  </r>
  <r>
    <s v="B00101"/>
    <s v="P002"/>
    <x v="0"/>
    <s v="Partial Loss"/>
    <n v="37"/>
    <n v="31.45"/>
    <n v="5.55"/>
    <n v="15"/>
    <x v="93"/>
    <n v="110075"/>
    <n v="117.73"/>
    <n v="99900"/>
    <n v="10175"/>
    <n v="10.88"/>
    <n v="14985"/>
    <d v="2024-02-17T00:00:00"/>
  </r>
  <r>
    <s v="B00102"/>
    <s v="P002"/>
    <x v="0"/>
    <s v="Partial Loss"/>
    <n v="40"/>
    <n v="33.479999999999997"/>
    <n v="6.52"/>
    <n v="16.3"/>
    <x v="94"/>
    <n v="117180"/>
    <n v="125.33"/>
    <n v="100000"/>
    <n v="17180"/>
    <n v="18.37"/>
    <n v="16299.999999999998"/>
    <d v="2024-02-27T00:00:00"/>
  </r>
  <r>
    <s v="B00103"/>
    <s v="P002"/>
    <x v="0"/>
    <s v="Partial Loss"/>
    <n v="38"/>
    <n v="33.020000000000003"/>
    <n v="4.9800000000000004"/>
    <n v="13.1"/>
    <x v="95"/>
    <n v="115570"/>
    <n v="123.6"/>
    <n v="95000"/>
    <n v="20570"/>
    <n v="22"/>
    <n v="12450.000000000002"/>
    <d v="2024-03-09T00:00:00"/>
  </r>
  <r>
    <s v="B00104"/>
    <s v="P002"/>
    <x v="0"/>
    <s v="Sold Out"/>
    <n v="43"/>
    <n v="43"/>
    <n v="0"/>
    <n v="0"/>
    <x v="96"/>
    <n v="150500"/>
    <n v="160.96"/>
    <n v="107500"/>
    <n v="43000"/>
    <n v="45.99"/>
    <n v="0"/>
    <d v="2024-03-17T00:00:00"/>
  </r>
  <r>
    <s v="B00105"/>
    <s v="P002"/>
    <x v="0"/>
    <s v="Sold Out"/>
    <n v="35"/>
    <n v="35"/>
    <n v="0"/>
    <n v="0"/>
    <x v="97"/>
    <n v="122500"/>
    <n v="131.02000000000001"/>
    <n v="87500"/>
    <n v="35000"/>
    <n v="37.43"/>
    <n v="0"/>
    <d v="2024-03-27T00:00:00"/>
  </r>
  <r>
    <s v="B00106"/>
    <s v="P002"/>
    <x v="0"/>
    <s v="Partial Loss"/>
    <n v="17"/>
    <n v="12.31"/>
    <n v="4.6900000000000004"/>
    <n v="27.6"/>
    <x v="98"/>
    <n v="43085"/>
    <n v="46.08"/>
    <n v="42500"/>
    <n v="585"/>
    <n v="0.63"/>
    <n v="11725.000000000002"/>
    <d v="2024-04-06T00:00:00"/>
  </r>
  <r>
    <s v="B00107"/>
    <s v="P002"/>
    <x v="0"/>
    <s v="Partial Loss"/>
    <n v="16"/>
    <n v="13.14"/>
    <n v="2.86"/>
    <n v="17.899999999999999"/>
    <x v="99"/>
    <n v="45990"/>
    <n v="49.19"/>
    <n v="40000"/>
    <n v="5990"/>
    <n v="6.41"/>
    <n v="7150"/>
    <d v="2024-04-13T00:00:00"/>
  </r>
  <r>
    <s v="B00108"/>
    <s v="P002"/>
    <x v="0"/>
    <s v="Partial Loss"/>
    <n v="13"/>
    <n v="11.88"/>
    <n v="1.1200000000000001"/>
    <n v="8.6"/>
    <x v="100"/>
    <n v="41580"/>
    <n v="44.47"/>
    <n v="32500"/>
    <n v="9080"/>
    <n v="9.7100000000000009"/>
    <n v="2800.0000000000005"/>
    <d v="2024-04-21T00:00:00"/>
  </r>
  <r>
    <s v="B00109"/>
    <s v="P002"/>
    <x v="0"/>
    <s v="Partial Loss"/>
    <n v="15"/>
    <n v="10.25"/>
    <n v="4.75"/>
    <n v="31.7"/>
    <x v="101"/>
    <n v="35875"/>
    <n v="38.369999999999997"/>
    <n v="37500"/>
    <n v="-1625"/>
    <n v="-1.74"/>
    <n v="11875"/>
    <d v="2024-04-30T00:00:00"/>
  </r>
  <r>
    <s v="B00110"/>
    <s v="P002"/>
    <x v="0"/>
    <s v="Partial Loss"/>
    <n v="17"/>
    <n v="13.7"/>
    <n v="3.3"/>
    <n v="19.399999999999999"/>
    <x v="102"/>
    <n v="47950"/>
    <n v="51.28"/>
    <n v="42500"/>
    <n v="5450"/>
    <n v="5.83"/>
    <n v="8250"/>
    <d v="2024-05-07T00:00:00"/>
  </r>
  <r>
    <s v="B00111"/>
    <s v="P002"/>
    <x v="0"/>
    <s v="Partial Loss"/>
    <n v="14"/>
    <n v="10.19"/>
    <n v="3.81"/>
    <n v="27.2"/>
    <x v="103"/>
    <n v="35665"/>
    <n v="38.14"/>
    <n v="35000"/>
    <n v="665"/>
    <n v="0.71"/>
    <n v="9525"/>
    <d v="2024-05-17T00:00:00"/>
  </r>
  <r>
    <s v="B00112"/>
    <s v="P002"/>
    <x v="0"/>
    <s v="Partial Loss"/>
    <n v="14"/>
    <n v="9.83"/>
    <n v="4.17"/>
    <n v="29.8"/>
    <x v="35"/>
    <n v="34405"/>
    <n v="36.799999999999997"/>
    <n v="35000"/>
    <n v="-595"/>
    <n v="-0.64"/>
    <n v="10425"/>
    <d v="2024-05-27T00:00:00"/>
  </r>
  <r>
    <s v="B00113"/>
    <s v="P002"/>
    <x v="0"/>
    <s v="Sold Out"/>
    <n v="16"/>
    <n v="16"/>
    <n v="0"/>
    <n v="0"/>
    <x v="104"/>
    <n v="56000"/>
    <n v="59.89"/>
    <n v="40000"/>
    <n v="16000"/>
    <n v="17.11"/>
    <n v="0"/>
    <d v="2024-06-04T00:00:00"/>
  </r>
  <r>
    <s v="B00114"/>
    <s v="P002"/>
    <x v="0"/>
    <s v="Sold Out"/>
    <n v="17"/>
    <n v="17"/>
    <n v="0"/>
    <n v="0"/>
    <x v="105"/>
    <n v="59500"/>
    <n v="63.64"/>
    <n v="42500"/>
    <n v="17000"/>
    <n v="18.18"/>
    <n v="0"/>
    <d v="2024-06-10T00:00:00"/>
  </r>
  <r>
    <s v="B00115"/>
    <s v="P002"/>
    <x v="0"/>
    <s v="Sold Out"/>
    <n v="14"/>
    <n v="14"/>
    <n v="0"/>
    <n v="0"/>
    <x v="106"/>
    <n v="49000"/>
    <n v="52.41"/>
    <n v="35000"/>
    <n v="14000"/>
    <n v="14.97"/>
    <n v="0"/>
    <d v="2024-06-20T00:00:00"/>
  </r>
  <r>
    <s v="B00116"/>
    <s v="P002"/>
    <x v="0"/>
    <s v="Sold Out"/>
    <n v="16"/>
    <n v="16"/>
    <n v="0"/>
    <n v="0"/>
    <x v="107"/>
    <n v="56000"/>
    <n v="59.89"/>
    <n v="40000"/>
    <n v="16000"/>
    <n v="17.11"/>
    <n v="0"/>
    <d v="2024-07-01T00:00:00"/>
  </r>
  <r>
    <s v="B00117"/>
    <s v="P002"/>
    <x v="0"/>
    <s v="Partial Loss"/>
    <n v="13"/>
    <n v="10.79"/>
    <n v="2.21"/>
    <n v="17"/>
    <x v="40"/>
    <n v="37765"/>
    <n v="40.39"/>
    <n v="32500"/>
    <n v="5265"/>
    <n v="5.63"/>
    <n v="5525"/>
    <d v="2024-07-11T00:00:00"/>
  </r>
  <r>
    <s v="B00118"/>
    <s v="P002"/>
    <x v="0"/>
    <s v="Sold Out"/>
    <n v="16"/>
    <n v="16"/>
    <n v="0"/>
    <n v="0"/>
    <x v="108"/>
    <n v="56000"/>
    <n v="59.89"/>
    <n v="40000"/>
    <n v="16000"/>
    <n v="17.11"/>
    <n v="0"/>
    <d v="2024-07-20T00:00:00"/>
  </r>
  <r>
    <s v="B00119"/>
    <s v="P002"/>
    <x v="0"/>
    <s v="Partial Loss"/>
    <n v="16"/>
    <n v="13.89"/>
    <n v="2.11"/>
    <n v="13.2"/>
    <x v="109"/>
    <n v="48615"/>
    <n v="51.99"/>
    <n v="40000"/>
    <n v="8615"/>
    <n v="9.2100000000000009"/>
    <n v="5275"/>
    <d v="2024-08-01T00:00:00"/>
  </r>
  <r>
    <s v="B00120"/>
    <s v="P002"/>
    <x v="0"/>
    <s v="Partial Loss"/>
    <n v="13"/>
    <n v="10.44"/>
    <n v="2.56"/>
    <n v="19.7"/>
    <x v="42"/>
    <n v="36540"/>
    <n v="39.08"/>
    <n v="32500"/>
    <n v="4040"/>
    <n v="4.32"/>
    <n v="6400"/>
    <d v="2024-08-11T00:00:00"/>
  </r>
  <r>
    <s v="B00121"/>
    <s v="P002"/>
    <x v="0"/>
    <s v="Partial Loss"/>
    <n v="15"/>
    <n v="10.94"/>
    <n v="4.07"/>
    <n v="27.1"/>
    <x v="110"/>
    <n v="38290"/>
    <n v="40.950000000000003"/>
    <n v="37500"/>
    <n v="790"/>
    <n v="0.84"/>
    <n v="10175"/>
    <d v="2024-08-21T00:00:00"/>
  </r>
  <r>
    <s v="B00122"/>
    <s v="P002"/>
    <x v="0"/>
    <s v="Partial Loss"/>
    <n v="14"/>
    <n v="10.35"/>
    <n v="3.65"/>
    <n v="26.1"/>
    <x v="111"/>
    <n v="36225"/>
    <n v="38.74"/>
    <n v="35000"/>
    <n v="1225"/>
    <n v="1.31"/>
    <n v="9125"/>
    <d v="2024-08-31T00:00:00"/>
  </r>
  <r>
    <s v="B00123"/>
    <s v="P002"/>
    <x v="0"/>
    <s v="Sold Out"/>
    <n v="18"/>
    <n v="18"/>
    <n v="0"/>
    <n v="0"/>
    <x v="112"/>
    <n v="63000"/>
    <n v="67.38"/>
    <n v="45000"/>
    <n v="18000"/>
    <n v="19.25"/>
    <n v="0"/>
    <d v="2024-09-10T00:00:00"/>
  </r>
  <r>
    <s v="B00124"/>
    <s v="P002"/>
    <x v="0"/>
    <s v="Partial Loss"/>
    <n v="19"/>
    <n v="14.54"/>
    <n v="4.46"/>
    <n v="23.5"/>
    <x v="113"/>
    <n v="50890"/>
    <n v="54.43"/>
    <n v="51300"/>
    <n v="-410"/>
    <n v="-0.44"/>
    <n v="12042"/>
    <d v="2024-09-18T00:00:00"/>
  </r>
  <r>
    <s v="B00125"/>
    <s v="P002"/>
    <x v="0"/>
    <s v="Sold Out"/>
    <n v="19"/>
    <n v="19"/>
    <n v="0"/>
    <n v="0"/>
    <x v="114"/>
    <n v="66500"/>
    <n v="71.12"/>
    <n v="47500"/>
    <n v="19000"/>
    <n v="20.32"/>
    <n v="0"/>
    <d v="2024-09-27T00:00:00"/>
  </r>
  <r>
    <s v="B00126"/>
    <s v="P002"/>
    <x v="0"/>
    <s v="Sold Out"/>
    <n v="36"/>
    <n v="36"/>
    <n v="0"/>
    <n v="0"/>
    <x v="114"/>
    <n v="126000"/>
    <n v="134.76"/>
    <n v="90000"/>
    <n v="36000"/>
    <n v="38.5"/>
    <n v="0"/>
    <d v="2024-10-04T00:00:00"/>
  </r>
  <r>
    <s v="B00127"/>
    <s v="P002"/>
    <x v="0"/>
    <s v="Sold Out"/>
    <n v="40"/>
    <n v="40"/>
    <n v="0"/>
    <n v="0"/>
    <x v="115"/>
    <n v="140000"/>
    <n v="149.72999999999999"/>
    <n v="100000"/>
    <n v="40000"/>
    <n v="42.78"/>
    <n v="0"/>
    <d v="2024-10-12T00:00:00"/>
  </r>
  <r>
    <s v="B00128"/>
    <s v="P002"/>
    <x v="0"/>
    <s v="Sold Out"/>
    <n v="35"/>
    <n v="35"/>
    <n v="0"/>
    <n v="0"/>
    <x v="116"/>
    <n v="122500"/>
    <n v="131.02000000000001"/>
    <n v="87500"/>
    <n v="35000"/>
    <n v="37.43"/>
    <n v="0"/>
    <d v="2024-10-22T00:00:00"/>
  </r>
  <r>
    <s v="B00129"/>
    <s v="P002"/>
    <x v="0"/>
    <s v="Sold Out"/>
    <n v="46"/>
    <n v="46"/>
    <n v="0"/>
    <n v="0"/>
    <x v="117"/>
    <n v="161000"/>
    <n v="172.19"/>
    <n v="115000"/>
    <n v="46000"/>
    <n v="49.2"/>
    <n v="0"/>
    <d v="2024-11-01T00:00:00"/>
  </r>
  <r>
    <s v="B00130"/>
    <s v="P002"/>
    <x v="0"/>
    <s v="Sold Out"/>
    <n v="37"/>
    <n v="37"/>
    <n v="0"/>
    <n v="0"/>
    <x v="118"/>
    <n v="129500"/>
    <n v="138.5"/>
    <n v="92500"/>
    <n v="37000"/>
    <n v="39.57"/>
    <n v="0"/>
    <d v="2024-11-10T00:00:00"/>
  </r>
  <r>
    <s v="B00131"/>
    <s v="P002"/>
    <x v="0"/>
    <s v="Sold Out"/>
    <n v="45"/>
    <n v="45"/>
    <n v="0"/>
    <n v="0"/>
    <x v="119"/>
    <n v="157500"/>
    <n v="168.45"/>
    <n v="112500"/>
    <n v="45000"/>
    <n v="48.13"/>
    <n v="0"/>
    <d v="2024-11-20T00:00:00"/>
  </r>
  <r>
    <s v="B00132"/>
    <s v="P002"/>
    <x v="0"/>
    <s v="Sold Out"/>
    <n v="44"/>
    <n v="44"/>
    <n v="0"/>
    <n v="0"/>
    <x v="120"/>
    <n v="154000"/>
    <n v="164.71"/>
    <n v="118800"/>
    <n v="35200"/>
    <n v="37.65"/>
    <n v="0"/>
    <d v="2024-11-30T00:00:00"/>
  </r>
  <r>
    <s v="B00133"/>
    <s v="P002"/>
    <x v="0"/>
    <s v="Sold Out"/>
    <n v="54"/>
    <n v="54"/>
    <n v="0"/>
    <n v="0"/>
    <x v="121"/>
    <n v="189000"/>
    <n v="202.14"/>
    <n v="135000"/>
    <n v="54000"/>
    <n v="57.75"/>
    <n v="0"/>
    <d v="2024-12-08T00:00:00"/>
  </r>
  <r>
    <s v="B00134"/>
    <s v="P002"/>
    <x v="0"/>
    <s v="Sold Out"/>
    <n v="57"/>
    <n v="57"/>
    <n v="0"/>
    <n v="0"/>
    <x v="122"/>
    <n v="199500"/>
    <n v="213.37"/>
    <n v="142500"/>
    <n v="57000"/>
    <n v="60.96"/>
    <n v="0"/>
    <d v="2024-12-16T00:00:00"/>
  </r>
  <r>
    <s v="B00135"/>
    <s v="P002"/>
    <x v="0"/>
    <s v="Sold Out"/>
    <n v="55"/>
    <n v="55"/>
    <n v="0"/>
    <n v="0"/>
    <x v="123"/>
    <n v="192500"/>
    <n v="205.88"/>
    <n v="137500"/>
    <n v="55000"/>
    <n v="58.82"/>
    <n v="0"/>
    <d v="2024-12-25T00:00:00"/>
  </r>
  <r>
    <s v="B00136"/>
    <s v="P002"/>
    <x v="0"/>
    <s v="Sold Out"/>
    <n v="40"/>
    <n v="40"/>
    <n v="0"/>
    <n v="0"/>
    <x v="124"/>
    <n v="140000"/>
    <n v="149.72999999999999"/>
    <n v="100000"/>
    <n v="40000"/>
    <n v="42.78"/>
    <n v="0"/>
    <d v="2025-01-02T00:00:00"/>
  </r>
  <r>
    <s v="B00137"/>
    <s v="P002"/>
    <x v="0"/>
    <s v="Sold Out"/>
    <n v="39"/>
    <n v="39"/>
    <n v="0"/>
    <n v="0"/>
    <x v="125"/>
    <n v="136500"/>
    <n v="145.99"/>
    <n v="97500"/>
    <n v="39000"/>
    <n v="41.71"/>
    <n v="0"/>
    <d v="2025-01-11T00:00:00"/>
  </r>
  <r>
    <s v="B00138"/>
    <s v="P002"/>
    <x v="0"/>
    <s v="Sold Out"/>
    <n v="39"/>
    <n v="39"/>
    <n v="0"/>
    <n v="0"/>
    <x v="126"/>
    <n v="136500"/>
    <n v="145.99"/>
    <n v="97500"/>
    <n v="39000"/>
    <n v="41.71"/>
    <n v="0"/>
    <d v="2025-01-20T00:00:00"/>
  </r>
  <r>
    <s v="B00139"/>
    <s v="P002"/>
    <x v="0"/>
    <s v="Sold Out"/>
    <n v="46"/>
    <n v="46"/>
    <n v="0"/>
    <n v="0"/>
    <x v="127"/>
    <n v="161000"/>
    <n v="172.19"/>
    <n v="115000"/>
    <n v="46000"/>
    <n v="49.2"/>
    <n v="0"/>
    <d v="2025-01-31T00:00:00"/>
  </r>
  <r>
    <s v="B00140"/>
    <s v="P002"/>
    <x v="0"/>
    <s v="Sold Out"/>
    <n v="49"/>
    <n v="49"/>
    <n v="0"/>
    <n v="0"/>
    <x v="128"/>
    <n v="171500"/>
    <n v="183.42"/>
    <n v="122500"/>
    <n v="49000"/>
    <n v="52.41"/>
    <n v="0"/>
    <d v="2025-02-11T00:00:00"/>
  </r>
  <r>
    <s v="B00141"/>
    <s v="P002"/>
    <x v="0"/>
    <s v="Sold Out"/>
    <n v="40"/>
    <n v="40"/>
    <n v="0"/>
    <n v="0"/>
    <x v="129"/>
    <n v="140000"/>
    <n v="149.72999999999999"/>
    <n v="100000"/>
    <n v="40000"/>
    <n v="42.78"/>
    <n v="0"/>
    <d v="2025-02-22T00:00:00"/>
  </r>
  <r>
    <s v="B00142"/>
    <s v="P002"/>
    <x v="0"/>
    <s v="Sold Out"/>
    <n v="43"/>
    <n v="43"/>
    <n v="0"/>
    <n v="0"/>
    <x v="130"/>
    <n v="150500"/>
    <n v="160.96"/>
    <n v="107500"/>
    <n v="43000"/>
    <n v="45.99"/>
    <n v="0"/>
    <d v="2025-03-06T00:00:00"/>
  </r>
  <r>
    <s v="B00143"/>
    <s v="P002"/>
    <x v="0"/>
    <s v="Sold Out"/>
    <n v="38"/>
    <n v="38"/>
    <n v="0"/>
    <n v="0"/>
    <x v="131"/>
    <n v="133000"/>
    <n v="142.25"/>
    <n v="95000"/>
    <n v="38000"/>
    <n v="40.64"/>
    <n v="0"/>
    <d v="2025-03-16T00:00:00"/>
  </r>
  <r>
    <s v="B00144"/>
    <s v="P002"/>
    <x v="0"/>
    <s v="Partial Loss"/>
    <n v="43"/>
    <n v="37.15"/>
    <n v="5.85"/>
    <n v="13.6"/>
    <x v="132"/>
    <n v="130025"/>
    <n v="139.06"/>
    <n v="107500"/>
    <n v="22525"/>
    <n v="24.09"/>
    <n v="14625"/>
    <d v="2025-03-25T00:00:00"/>
  </r>
  <r>
    <s v="B00145"/>
    <s v="P002"/>
    <x v="0"/>
    <s v="Partial Loss"/>
    <n v="16"/>
    <n v="12.11"/>
    <n v="3.89"/>
    <n v="24.3"/>
    <x v="133"/>
    <n v="42385"/>
    <n v="45.33"/>
    <n v="40000"/>
    <n v="2385"/>
    <n v="2.5499999999999998"/>
    <n v="9725"/>
    <d v="2025-04-04T00:00:00"/>
  </r>
  <r>
    <s v="B00146"/>
    <s v="P002"/>
    <x v="0"/>
    <s v="Sold Out"/>
    <n v="14"/>
    <n v="14"/>
    <n v="0"/>
    <n v="0"/>
    <x v="134"/>
    <n v="49000"/>
    <n v="52.41"/>
    <n v="37800"/>
    <n v="11200"/>
    <n v="11.98"/>
    <n v="0"/>
    <d v="2025-04-11T00:00:00"/>
  </r>
  <r>
    <s v="B00147"/>
    <s v="P002"/>
    <x v="0"/>
    <s v="Sold Out"/>
    <n v="16"/>
    <n v="16"/>
    <n v="0"/>
    <n v="0"/>
    <x v="135"/>
    <n v="56000"/>
    <n v="59.89"/>
    <n v="40000"/>
    <n v="16000"/>
    <n v="17.11"/>
    <n v="0"/>
    <d v="2025-04-18T00:00:00"/>
  </r>
  <r>
    <s v="B00148"/>
    <s v="P002"/>
    <x v="0"/>
    <s v="Sold Out"/>
    <n v="17"/>
    <n v="17"/>
    <n v="0"/>
    <n v="0"/>
    <x v="136"/>
    <n v="59500"/>
    <n v="63.64"/>
    <n v="42500"/>
    <n v="17000"/>
    <n v="18.18"/>
    <n v="0"/>
    <d v="2025-04-30T00:00:00"/>
  </r>
  <r>
    <s v="B00149"/>
    <s v="P002"/>
    <x v="0"/>
    <s v="Sold Out"/>
    <n v="15"/>
    <n v="15"/>
    <n v="0"/>
    <n v="0"/>
    <x v="137"/>
    <n v="52500"/>
    <n v="56.15"/>
    <n v="40500"/>
    <n v="12000"/>
    <n v="12.83"/>
    <n v="0"/>
    <d v="2025-05-12T00:00:00"/>
  </r>
  <r>
    <s v="B00150"/>
    <s v="P002"/>
    <x v="0"/>
    <s v="Sold Out"/>
    <n v="19"/>
    <n v="19"/>
    <n v="0"/>
    <n v="0"/>
    <x v="138"/>
    <n v="66500"/>
    <n v="71.12"/>
    <n v="47500"/>
    <n v="19000"/>
    <n v="20.32"/>
    <n v="0"/>
    <d v="2025-05-22T00:00:00"/>
  </r>
  <r>
    <s v="B00151"/>
    <s v="P002"/>
    <x v="0"/>
    <s v="Partial Loss"/>
    <n v="18"/>
    <n v="14.24"/>
    <n v="3.76"/>
    <n v="20.9"/>
    <x v="139"/>
    <n v="49840"/>
    <n v="53.3"/>
    <n v="48600"/>
    <n v="1240"/>
    <n v="1.33"/>
    <n v="10152"/>
    <d v="2025-06-01T00:00:00"/>
  </r>
  <r>
    <s v="B00152"/>
    <s v="P002"/>
    <x v="0"/>
    <s v="Sold Out"/>
    <n v="18"/>
    <n v="18"/>
    <n v="0"/>
    <n v="0"/>
    <x v="70"/>
    <n v="63000"/>
    <n v="67.38"/>
    <n v="45000"/>
    <n v="18000"/>
    <n v="19.25"/>
    <n v="0"/>
    <d v="2025-06-11T00:00:00"/>
  </r>
  <r>
    <s v="B00153"/>
    <s v="P002"/>
    <x v="0"/>
    <s v="Partial Loss"/>
    <n v="18"/>
    <n v="13.64"/>
    <n v="4.3600000000000003"/>
    <n v="24.2"/>
    <x v="140"/>
    <n v="47740"/>
    <n v="51.06"/>
    <n v="45000"/>
    <n v="2740"/>
    <n v="2.93"/>
    <n v="10900"/>
    <d v="2025-06-20T00:00:00"/>
  </r>
  <r>
    <s v="B00154"/>
    <s v="P002"/>
    <x v="0"/>
    <s v="Sold Out"/>
    <n v="15"/>
    <n v="15"/>
    <n v="0"/>
    <n v="0"/>
    <x v="76"/>
    <n v="52500"/>
    <n v="56.15"/>
    <n v="37500"/>
    <n v="15000"/>
    <n v="16.04"/>
    <n v="0"/>
    <d v="2025-06-29T00:00:00"/>
  </r>
  <r>
    <s v="B00155"/>
    <s v="P003"/>
    <x v="0"/>
    <s v="Sold Out"/>
    <n v="17"/>
    <n v="17"/>
    <n v="0"/>
    <n v="0"/>
    <x v="141"/>
    <n v="59500"/>
    <n v="63.64"/>
    <n v="41650"/>
    <n v="17850"/>
    <n v="19.09"/>
    <n v="0"/>
    <d v="2023-07-02T00:00:00"/>
  </r>
  <r>
    <s v="B00156"/>
    <s v="P003"/>
    <x v="0"/>
    <s v="Partial Loss"/>
    <n v="15"/>
    <n v="11.66"/>
    <n v="3.35"/>
    <n v="22.3"/>
    <x v="142"/>
    <n v="40810"/>
    <n v="43.65"/>
    <n v="36750"/>
    <n v="4060"/>
    <n v="4.34"/>
    <n v="8207.5"/>
    <d v="2023-07-12T00:00:00"/>
  </r>
  <r>
    <s v="B00157"/>
    <s v="P003"/>
    <x v="0"/>
    <s v="Partial Loss"/>
    <n v="15"/>
    <n v="12.67"/>
    <n v="2.33"/>
    <n v="15.5"/>
    <x v="1"/>
    <n v="44345"/>
    <n v="47.43"/>
    <n v="36750"/>
    <n v="7595"/>
    <n v="8.1199999999999992"/>
    <n v="5708.5"/>
    <d v="2023-07-20T00:00:00"/>
  </r>
  <r>
    <s v="B00158"/>
    <s v="P003"/>
    <x v="0"/>
    <s v="Sold Out"/>
    <n v="13"/>
    <n v="13"/>
    <n v="0"/>
    <n v="0"/>
    <x v="143"/>
    <n v="45500"/>
    <n v="48.66"/>
    <n v="31850"/>
    <n v="13650"/>
    <n v="14.6"/>
    <n v="0"/>
    <d v="2023-07-29T00:00:00"/>
  </r>
  <r>
    <s v="B00159"/>
    <s v="P003"/>
    <x v="0"/>
    <s v="Partial Loss"/>
    <n v="15"/>
    <n v="12.42"/>
    <n v="2.58"/>
    <n v="17.2"/>
    <x v="144"/>
    <n v="43470"/>
    <n v="46.49"/>
    <n v="36750"/>
    <n v="6720"/>
    <n v="7.19"/>
    <n v="6321"/>
    <d v="2023-08-07T00:00:00"/>
  </r>
  <r>
    <s v="B00160"/>
    <s v="P003"/>
    <x v="0"/>
    <s v="Partial Loss"/>
    <n v="16"/>
    <n v="13.26"/>
    <n v="2.74"/>
    <n v="17.100000000000001"/>
    <x v="145"/>
    <n v="46410"/>
    <n v="49.64"/>
    <n v="39200"/>
    <n v="7210"/>
    <n v="7.71"/>
    <n v="6713.0000000000009"/>
    <d v="2023-08-15T00:00:00"/>
  </r>
  <r>
    <s v="B00161"/>
    <s v="P003"/>
    <x v="0"/>
    <s v="Sold Out"/>
    <n v="15"/>
    <n v="15"/>
    <n v="0"/>
    <n v="0"/>
    <x v="6"/>
    <n v="52500"/>
    <n v="56.15"/>
    <n v="36750"/>
    <n v="15750"/>
    <n v="16.84"/>
    <n v="0"/>
    <d v="2023-08-24T00:00:00"/>
  </r>
  <r>
    <s v="B00162"/>
    <s v="P003"/>
    <x v="0"/>
    <s v="Sold Out"/>
    <n v="17"/>
    <n v="17"/>
    <n v="0"/>
    <n v="0"/>
    <x v="2"/>
    <n v="59500"/>
    <n v="63.64"/>
    <n v="41650"/>
    <n v="17850"/>
    <n v="19.09"/>
    <n v="0"/>
    <d v="2023-09-02T00:00:00"/>
  </r>
  <r>
    <s v="B00163"/>
    <s v="P003"/>
    <x v="0"/>
    <s v="Partial Loss"/>
    <n v="18"/>
    <n v="15.21"/>
    <n v="2.79"/>
    <n v="15.5"/>
    <x v="146"/>
    <n v="53235"/>
    <n v="56.94"/>
    <n v="44100"/>
    <n v="9135"/>
    <n v="9.77"/>
    <n v="6835.5"/>
    <d v="2023-09-12T00:00:00"/>
  </r>
  <r>
    <s v="B00164"/>
    <s v="P003"/>
    <x v="0"/>
    <s v="Partial Loss"/>
    <n v="17"/>
    <n v="13.89"/>
    <n v="3.11"/>
    <n v="18.3"/>
    <x v="147"/>
    <n v="48615"/>
    <n v="51.99"/>
    <n v="41650"/>
    <n v="6965"/>
    <n v="7.45"/>
    <n v="7619.5"/>
    <d v="2023-09-22T00:00:00"/>
  </r>
  <r>
    <s v="B00165"/>
    <s v="P003"/>
    <x v="0"/>
    <s v="Sold Out"/>
    <n v="36"/>
    <n v="36"/>
    <n v="0"/>
    <n v="0"/>
    <x v="148"/>
    <n v="126000"/>
    <n v="134.76"/>
    <n v="88200"/>
    <n v="37800"/>
    <n v="40.43"/>
    <n v="0"/>
    <d v="2023-10-03T00:00:00"/>
  </r>
  <r>
    <s v="B00166"/>
    <s v="P003"/>
    <x v="0"/>
    <s v="Partial Loss"/>
    <n v="43"/>
    <n v="37.71"/>
    <n v="5.29"/>
    <n v="12.3"/>
    <x v="149"/>
    <n v="131985"/>
    <n v="141.16"/>
    <n v="105350"/>
    <n v="26635"/>
    <n v="28.49"/>
    <n v="12960.5"/>
    <d v="2023-10-12T00:00:00"/>
  </r>
  <r>
    <s v="B00167"/>
    <s v="P003"/>
    <x v="0"/>
    <s v="Partial Loss"/>
    <n v="40"/>
    <n v="36.479999999999997"/>
    <n v="3.52"/>
    <n v="8.8000000000000007"/>
    <x v="150"/>
    <n v="127680"/>
    <n v="136.56"/>
    <n v="98000"/>
    <n v="29680"/>
    <n v="31.74"/>
    <n v="8624"/>
    <d v="2023-10-23T00:00:00"/>
  </r>
  <r>
    <s v="B00168"/>
    <s v="P003"/>
    <x v="0"/>
    <s v="Sold Out"/>
    <n v="45"/>
    <n v="45"/>
    <n v="0"/>
    <n v="0"/>
    <x v="151"/>
    <n v="157500"/>
    <n v="168.45"/>
    <n v="110250"/>
    <n v="47250"/>
    <n v="50.53"/>
    <n v="0"/>
    <d v="2023-11-02T00:00:00"/>
  </r>
  <r>
    <s v="B00169"/>
    <s v="P003"/>
    <x v="0"/>
    <s v="Sold Out"/>
    <n v="45"/>
    <n v="45"/>
    <n v="0"/>
    <n v="0"/>
    <x v="152"/>
    <n v="157500"/>
    <n v="168.45"/>
    <n v="110250"/>
    <n v="47250"/>
    <n v="50.53"/>
    <n v="0"/>
    <d v="2023-11-11T00:00:00"/>
  </r>
  <r>
    <s v="B00170"/>
    <s v="P003"/>
    <x v="0"/>
    <s v="Partial Loss"/>
    <n v="38"/>
    <n v="30.74"/>
    <n v="7.26"/>
    <n v="19.100000000000001"/>
    <x v="153"/>
    <n v="107590"/>
    <n v="115.07"/>
    <n v="93100"/>
    <n v="14490"/>
    <n v="15.5"/>
    <n v="17787"/>
    <d v="2023-11-21T00:00:00"/>
  </r>
  <r>
    <s v="B00171"/>
    <s v="P003"/>
    <x v="0"/>
    <s v="Sold Out"/>
    <n v="55"/>
    <n v="55"/>
    <n v="0"/>
    <n v="0"/>
    <x v="154"/>
    <n v="192500"/>
    <n v="205.88"/>
    <n v="134750"/>
    <n v="57750"/>
    <n v="61.76"/>
    <n v="0"/>
    <d v="2023-12-01T00:00:00"/>
  </r>
  <r>
    <s v="B00172"/>
    <s v="P003"/>
    <x v="0"/>
    <s v="Sold Out"/>
    <n v="51"/>
    <n v="51"/>
    <n v="0"/>
    <n v="0"/>
    <x v="89"/>
    <n v="178500"/>
    <n v="190.91"/>
    <n v="124950"/>
    <n v="53550"/>
    <n v="57.27"/>
    <n v="0"/>
    <d v="2023-12-11T00:00:00"/>
  </r>
  <r>
    <s v="B00173"/>
    <s v="P003"/>
    <x v="0"/>
    <s v="Sold Out"/>
    <n v="44"/>
    <n v="44"/>
    <n v="0"/>
    <n v="0"/>
    <x v="155"/>
    <n v="154000"/>
    <n v="164.71"/>
    <n v="107800"/>
    <n v="46200"/>
    <n v="49.41"/>
    <n v="0"/>
    <d v="2023-12-23T00:00:00"/>
  </r>
  <r>
    <s v="B00174"/>
    <s v="P003"/>
    <x v="0"/>
    <s v="Sold Out"/>
    <n v="44"/>
    <n v="44"/>
    <n v="0"/>
    <n v="0"/>
    <x v="156"/>
    <n v="154000"/>
    <n v="164.71"/>
    <n v="107800"/>
    <n v="46200"/>
    <n v="49.41"/>
    <n v="0"/>
    <d v="2024-01-01T00:00:00"/>
  </r>
  <r>
    <s v="B00175"/>
    <s v="P003"/>
    <x v="0"/>
    <s v="Sold Out"/>
    <n v="43"/>
    <n v="43"/>
    <n v="0"/>
    <n v="0"/>
    <x v="20"/>
    <n v="150500"/>
    <n v="160.96"/>
    <n v="105350"/>
    <n v="45150"/>
    <n v="48.29"/>
    <n v="0"/>
    <d v="2024-01-10T00:00:00"/>
  </r>
  <r>
    <s v="B00176"/>
    <s v="P003"/>
    <x v="0"/>
    <s v="Sold Out"/>
    <n v="37"/>
    <n v="37"/>
    <n v="0"/>
    <n v="0"/>
    <x v="157"/>
    <n v="129500"/>
    <n v="138.5"/>
    <n v="90650"/>
    <n v="38850"/>
    <n v="41.55"/>
    <n v="0"/>
    <d v="2024-01-21T00:00:00"/>
  </r>
  <r>
    <s v="B00177"/>
    <s v="P003"/>
    <x v="0"/>
    <s v="Sold Out"/>
    <n v="42"/>
    <n v="42"/>
    <n v="0"/>
    <n v="0"/>
    <x v="158"/>
    <n v="147000"/>
    <n v="157.22"/>
    <n v="102900"/>
    <n v="44100"/>
    <n v="47.17"/>
    <n v="0"/>
    <d v="2024-01-27T00:00:00"/>
  </r>
  <r>
    <s v="B00178"/>
    <s v="P003"/>
    <x v="0"/>
    <s v="Sold Out"/>
    <n v="44"/>
    <n v="44"/>
    <n v="0"/>
    <n v="0"/>
    <x v="92"/>
    <n v="154000"/>
    <n v="164.71"/>
    <n v="107800"/>
    <n v="46200"/>
    <n v="49.41"/>
    <n v="0"/>
    <d v="2024-02-06T00:00:00"/>
  </r>
  <r>
    <s v="B00179"/>
    <s v="P003"/>
    <x v="0"/>
    <s v="Sold Out"/>
    <n v="34"/>
    <n v="34"/>
    <n v="0"/>
    <n v="0"/>
    <x v="159"/>
    <n v="119000"/>
    <n v="127.27"/>
    <n v="83300"/>
    <n v="35700"/>
    <n v="38.18"/>
    <n v="0"/>
    <d v="2024-02-17T00:00:00"/>
  </r>
  <r>
    <s v="B00180"/>
    <s v="P003"/>
    <x v="0"/>
    <s v="Sold Out"/>
    <n v="45"/>
    <n v="45"/>
    <n v="0"/>
    <n v="0"/>
    <x v="160"/>
    <n v="157500"/>
    <n v="168.45"/>
    <n v="117000"/>
    <n v="40500"/>
    <n v="43.32"/>
    <n v="0"/>
    <d v="2024-02-24T00:00:00"/>
  </r>
  <r>
    <s v="B00181"/>
    <s v="P003"/>
    <x v="0"/>
    <s v="Sold Out"/>
    <n v="40"/>
    <n v="40"/>
    <n v="0"/>
    <n v="0"/>
    <x v="161"/>
    <n v="140000"/>
    <n v="149.72999999999999"/>
    <n v="98000"/>
    <n v="42000"/>
    <n v="44.92"/>
    <n v="0"/>
    <d v="2024-03-05T00:00:00"/>
  </r>
  <r>
    <s v="B00182"/>
    <s v="P003"/>
    <x v="0"/>
    <s v="Partial Loss"/>
    <n v="43"/>
    <n v="40.29"/>
    <n v="2.71"/>
    <n v="6.3"/>
    <x v="162"/>
    <n v="141015"/>
    <n v="150.82"/>
    <n v="105350"/>
    <n v="35665"/>
    <n v="38.14"/>
    <n v="6639.5"/>
    <d v="2024-03-13T00:00:00"/>
  </r>
  <r>
    <s v="B00183"/>
    <s v="P003"/>
    <x v="0"/>
    <s v="Sold Out"/>
    <n v="42"/>
    <n v="42"/>
    <n v="0"/>
    <n v="0"/>
    <x v="97"/>
    <n v="147000"/>
    <n v="157.22"/>
    <n v="102900"/>
    <n v="44100"/>
    <n v="47.17"/>
    <n v="0"/>
    <d v="2024-03-23T00:00:00"/>
  </r>
  <r>
    <s v="B00184"/>
    <s v="P003"/>
    <x v="0"/>
    <s v="Partial Loss"/>
    <n v="15"/>
    <n v="10.96"/>
    <n v="4.04"/>
    <n v="26.9"/>
    <x v="163"/>
    <n v="38360"/>
    <n v="41.03"/>
    <n v="36750"/>
    <n v="1610"/>
    <n v="1.72"/>
    <n v="9898"/>
    <d v="2024-04-01T00:00:00"/>
  </r>
  <r>
    <s v="B00185"/>
    <s v="P003"/>
    <x v="0"/>
    <s v="Partial Loss"/>
    <n v="17"/>
    <n v="13.58"/>
    <n v="3.42"/>
    <n v="20.100000000000001"/>
    <x v="164"/>
    <n v="47530"/>
    <n v="50.83"/>
    <n v="41650"/>
    <n v="5880"/>
    <n v="6.29"/>
    <n v="8379"/>
    <d v="2024-04-10T00:00:00"/>
  </r>
  <r>
    <s v="B00186"/>
    <s v="P003"/>
    <x v="0"/>
    <s v="Partial Loss"/>
    <n v="13"/>
    <n v="9.7799999999999994"/>
    <n v="3.22"/>
    <n v="24.8"/>
    <x v="165"/>
    <n v="34230"/>
    <n v="36.61"/>
    <n v="31850"/>
    <n v="2380"/>
    <n v="2.5499999999999998"/>
    <n v="7889.0000000000009"/>
    <d v="2024-04-18T00:00:00"/>
  </r>
  <r>
    <s v="B00187"/>
    <s v="P003"/>
    <x v="0"/>
    <s v="Sold Out"/>
    <n v="13"/>
    <n v="13"/>
    <n v="0"/>
    <n v="0"/>
    <x v="166"/>
    <n v="45500"/>
    <n v="48.66"/>
    <n v="31850"/>
    <n v="13650"/>
    <n v="14.6"/>
    <n v="0"/>
    <d v="2024-04-26T00:00:00"/>
  </r>
  <r>
    <s v="B00188"/>
    <s v="P003"/>
    <x v="0"/>
    <s v="Partial Loss"/>
    <n v="16"/>
    <n v="11.54"/>
    <n v="4.46"/>
    <n v="27.9"/>
    <x v="167"/>
    <n v="40390"/>
    <n v="43.2"/>
    <n v="39200"/>
    <n v="1190"/>
    <n v="1.27"/>
    <n v="10927"/>
    <d v="2024-05-03T00:00:00"/>
  </r>
  <r>
    <s v="B00189"/>
    <s v="P003"/>
    <x v="0"/>
    <s v="Sold Out"/>
    <n v="14"/>
    <n v="14"/>
    <n v="0"/>
    <n v="0"/>
    <x v="98"/>
    <n v="49000"/>
    <n v="52.41"/>
    <n v="34300"/>
    <n v="14700"/>
    <n v="15.72"/>
    <n v="0"/>
    <d v="2024-05-15T00:00:00"/>
  </r>
  <r>
    <s v="B00190"/>
    <s v="P003"/>
    <x v="0"/>
    <s v="Partial Loss"/>
    <n v="17"/>
    <n v="14.52"/>
    <n v="2.48"/>
    <n v="14.6"/>
    <x v="168"/>
    <n v="50820"/>
    <n v="54.35"/>
    <n v="41650"/>
    <n v="9170"/>
    <n v="9.81"/>
    <n v="6076"/>
    <d v="2024-05-28T00:00:00"/>
  </r>
  <r>
    <s v="B00191"/>
    <s v="P003"/>
    <x v="0"/>
    <s v="Sold Out"/>
    <n v="16"/>
    <n v="16"/>
    <n v="0"/>
    <n v="0"/>
    <x v="101"/>
    <n v="56000"/>
    <n v="59.89"/>
    <n v="39200"/>
    <n v="16800"/>
    <n v="17.97"/>
    <n v="0"/>
    <d v="2024-06-10T00:00:00"/>
  </r>
  <r>
    <s v="B00192"/>
    <s v="P003"/>
    <x v="0"/>
    <s v="Sold Out"/>
    <n v="17"/>
    <n v="17"/>
    <n v="0"/>
    <n v="0"/>
    <x v="169"/>
    <n v="59500"/>
    <n v="63.64"/>
    <n v="41650"/>
    <n v="17850"/>
    <n v="19.09"/>
    <n v="0"/>
    <d v="2024-06-16T00:00:00"/>
  </r>
  <r>
    <s v="B00193"/>
    <s v="P003"/>
    <x v="0"/>
    <s v="Sold Out"/>
    <n v="15"/>
    <n v="15"/>
    <n v="0"/>
    <n v="0"/>
    <x v="103"/>
    <n v="52500"/>
    <n v="56.15"/>
    <n v="36750"/>
    <n v="15750"/>
    <n v="16.84"/>
    <n v="0"/>
    <d v="2024-06-24T00:00:00"/>
  </r>
  <r>
    <s v="B00194"/>
    <s v="P003"/>
    <x v="0"/>
    <s v="Partial Loss"/>
    <n v="13"/>
    <n v="9.6199999999999992"/>
    <n v="3.38"/>
    <n v="26"/>
    <x v="170"/>
    <n v="33670"/>
    <n v="36.01"/>
    <n v="31850"/>
    <n v="1820"/>
    <n v="1.95"/>
    <n v="8281"/>
    <d v="2024-07-04T00:00:00"/>
  </r>
  <r>
    <s v="B00195"/>
    <s v="P003"/>
    <x v="0"/>
    <s v="Sold Out"/>
    <n v="14"/>
    <n v="14"/>
    <n v="0"/>
    <n v="0"/>
    <x v="171"/>
    <n v="49000"/>
    <n v="52.41"/>
    <n v="34300"/>
    <n v="14700"/>
    <n v="15.72"/>
    <n v="0"/>
    <d v="2024-07-10T00:00:00"/>
  </r>
  <r>
    <s v="B00196"/>
    <s v="P003"/>
    <x v="0"/>
    <s v="Partial Loss"/>
    <n v="17"/>
    <n v="13.28"/>
    <n v="3.72"/>
    <n v="21.9"/>
    <x v="172"/>
    <n v="46480"/>
    <n v="49.71"/>
    <n v="41650"/>
    <n v="4830"/>
    <n v="5.17"/>
    <n v="9114"/>
    <d v="2024-07-21T00:00:00"/>
  </r>
  <r>
    <s v="B00197"/>
    <s v="P003"/>
    <x v="0"/>
    <s v="Partial Loss"/>
    <n v="14"/>
    <n v="10.32"/>
    <n v="3.68"/>
    <n v="26.3"/>
    <x v="41"/>
    <n v="36120"/>
    <n v="38.630000000000003"/>
    <n v="34300"/>
    <n v="1820"/>
    <n v="1.95"/>
    <n v="9016"/>
    <d v="2024-07-31T00:00:00"/>
  </r>
  <r>
    <s v="B00198"/>
    <s v="P003"/>
    <x v="0"/>
    <s v="Partial Loss"/>
    <n v="14"/>
    <n v="10.53"/>
    <n v="3.47"/>
    <n v="24.8"/>
    <x v="173"/>
    <n v="36855"/>
    <n v="39.42"/>
    <n v="34300"/>
    <n v="2555"/>
    <n v="2.73"/>
    <n v="8501.5"/>
    <d v="2024-08-12T00:00:00"/>
  </r>
  <r>
    <s v="B00199"/>
    <s v="P003"/>
    <x v="0"/>
    <s v="Sold Out"/>
    <n v="14"/>
    <n v="14"/>
    <n v="0"/>
    <n v="0"/>
    <x v="174"/>
    <n v="49000"/>
    <n v="52.41"/>
    <n v="34300"/>
    <n v="14700"/>
    <n v="15.72"/>
    <n v="0"/>
    <d v="2024-08-22T00:00:00"/>
  </r>
  <r>
    <s v="B00200"/>
    <s v="P003"/>
    <x v="0"/>
    <s v="Partial Loss"/>
    <n v="17"/>
    <n v="12.87"/>
    <n v="4.13"/>
    <n v="24.3"/>
    <x v="111"/>
    <n v="45045"/>
    <n v="48.18"/>
    <n v="41650"/>
    <n v="3395"/>
    <n v="3.63"/>
    <n v="10118.5"/>
    <d v="2024-08-31T00:00:00"/>
  </r>
  <r>
    <s v="B00201"/>
    <s v="P003"/>
    <x v="0"/>
    <s v="Sold Out"/>
    <n v="22"/>
    <n v="22"/>
    <n v="0"/>
    <n v="0"/>
    <x v="112"/>
    <n v="77000"/>
    <n v="82.35"/>
    <n v="53900"/>
    <n v="23100"/>
    <n v="24.71"/>
    <n v="0"/>
    <d v="2024-09-10T00:00:00"/>
  </r>
  <r>
    <s v="B00202"/>
    <s v="P003"/>
    <x v="0"/>
    <s v="Sold Out"/>
    <n v="16"/>
    <n v="16"/>
    <n v="0"/>
    <n v="0"/>
    <x v="175"/>
    <n v="56000"/>
    <n v="59.89"/>
    <n v="39200"/>
    <n v="16800"/>
    <n v="17.97"/>
    <n v="0"/>
    <d v="2024-09-20T00:00:00"/>
  </r>
  <r>
    <s v="B00203"/>
    <s v="P003"/>
    <x v="0"/>
    <s v="Partial Loss"/>
    <n v="20"/>
    <n v="18.34"/>
    <n v="1.66"/>
    <n v="8.3000000000000007"/>
    <x v="176"/>
    <n v="64190"/>
    <n v="68.650000000000006"/>
    <n v="49000"/>
    <n v="15190"/>
    <n v="16.25"/>
    <n v="4067"/>
    <d v="2024-09-30T00:00:00"/>
  </r>
  <r>
    <s v="B00204"/>
    <s v="P003"/>
    <x v="0"/>
    <s v="Partial Loss"/>
    <n v="38"/>
    <n v="30.36"/>
    <n v="7.64"/>
    <n v="20.100000000000001"/>
    <x v="177"/>
    <n v="106260"/>
    <n v="113.65"/>
    <n v="98800"/>
    <n v="7460"/>
    <n v="7.98"/>
    <n v="19864"/>
    <d v="2024-10-09T00:00:00"/>
  </r>
  <r>
    <s v="B00205"/>
    <s v="P003"/>
    <x v="0"/>
    <s v="Sold Out"/>
    <n v="40"/>
    <n v="40"/>
    <n v="0"/>
    <n v="0"/>
    <x v="178"/>
    <n v="140000"/>
    <n v="149.72999999999999"/>
    <n v="98000"/>
    <n v="42000"/>
    <n v="44.92"/>
    <n v="0"/>
    <d v="2024-10-19T00:00:00"/>
  </r>
  <r>
    <s v="B00206"/>
    <s v="P003"/>
    <x v="0"/>
    <s v="Sold Out"/>
    <n v="36"/>
    <n v="36"/>
    <n v="0"/>
    <n v="0"/>
    <x v="50"/>
    <n v="126000"/>
    <n v="134.76"/>
    <n v="88200"/>
    <n v="37800"/>
    <n v="40.43"/>
    <n v="0"/>
    <d v="2024-10-28T00:00:00"/>
  </r>
  <r>
    <s v="B00207"/>
    <s v="P003"/>
    <x v="0"/>
    <s v="Sold Out"/>
    <n v="38"/>
    <n v="38"/>
    <n v="0"/>
    <n v="0"/>
    <x v="179"/>
    <n v="133000"/>
    <n v="142.25"/>
    <n v="93100"/>
    <n v="39900"/>
    <n v="42.67"/>
    <n v="0"/>
    <d v="2024-11-05T00:00:00"/>
  </r>
  <r>
    <s v="B00208"/>
    <s v="P003"/>
    <x v="0"/>
    <s v="Sold Out"/>
    <n v="42"/>
    <n v="42"/>
    <n v="0"/>
    <n v="0"/>
    <x v="180"/>
    <n v="147000"/>
    <n v="157.22"/>
    <n v="102900"/>
    <n v="44100"/>
    <n v="47.17"/>
    <n v="0"/>
    <d v="2024-11-14T00:00:00"/>
  </r>
  <r>
    <s v="B00209"/>
    <s v="P003"/>
    <x v="0"/>
    <s v="Sold Out"/>
    <n v="35"/>
    <n v="35"/>
    <n v="0"/>
    <n v="0"/>
    <x v="181"/>
    <n v="122500"/>
    <n v="131.02000000000001"/>
    <n v="85750"/>
    <n v="36750"/>
    <n v="39.299999999999997"/>
    <n v="0"/>
    <d v="2024-11-26T00:00:00"/>
  </r>
  <r>
    <s v="B00210"/>
    <s v="P003"/>
    <x v="0"/>
    <s v="Sold Out"/>
    <n v="48"/>
    <n v="48"/>
    <n v="0"/>
    <n v="0"/>
    <x v="121"/>
    <n v="168000"/>
    <n v="179.68"/>
    <n v="117600"/>
    <n v="50400"/>
    <n v="53.9"/>
    <n v="0"/>
    <d v="2024-12-07T00:00:00"/>
  </r>
  <r>
    <s v="B00211"/>
    <s v="P003"/>
    <x v="0"/>
    <s v="Partial Loss"/>
    <n v="53"/>
    <n v="41.45"/>
    <n v="11.55"/>
    <n v="21.8"/>
    <x v="182"/>
    <n v="145075"/>
    <n v="155.16"/>
    <n v="129850"/>
    <n v="15225"/>
    <n v="16.28"/>
    <n v="28297.5"/>
    <d v="2024-12-17T00:00:00"/>
  </r>
  <r>
    <s v="B00212"/>
    <s v="P003"/>
    <x v="0"/>
    <s v="Sold Out"/>
    <n v="58"/>
    <n v="58"/>
    <n v="0"/>
    <n v="0"/>
    <x v="183"/>
    <n v="203000"/>
    <n v="217.11"/>
    <n v="142100"/>
    <n v="60900"/>
    <n v="65.13"/>
    <n v="0"/>
    <d v="2024-12-29T00:00:00"/>
  </r>
  <r>
    <s v="B00213"/>
    <s v="P003"/>
    <x v="0"/>
    <s v="Sold Out"/>
    <n v="48"/>
    <n v="48"/>
    <n v="0"/>
    <n v="0"/>
    <x v="57"/>
    <n v="168000"/>
    <n v="179.68"/>
    <n v="117600"/>
    <n v="50400"/>
    <n v="53.9"/>
    <n v="0"/>
    <d v="2025-01-05T00:00:00"/>
  </r>
  <r>
    <s v="B00214"/>
    <s v="P003"/>
    <x v="0"/>
    <s v="Sold Out"/>
    <n v="48"/>
    <n v="48"/>
    <n v="0"/>
    <n v="0"/>
    <x v="184"/>
    <n v="168000"/>
    <n v="179.68"/>
    <n v="117600"/>
    <n v="50400"/>
    <n v="53.9"/>
    <n v="0"/>
    <d v="2025-01-15T00:00:00"/>
  </r>
  <r>
    <s v="B00215"/>
    <s v="P003"/>
    <x v="0"/>
    <s v="Partial Loss"/>
    <n v="41"/>
    <n v="27.51"/>
    <n v="13.49"/>
    <n v="32.9"/>
    <x v="185"/>
    <n v="96285"/>
    <n v="102.98"/>
    <n v="100450"/>
    <n v="-4165"/>
    <n v="-4.45"/>
    <n v="33050.5"/>
    <d v="2025-01-23T00:00:00"/>
  </r>
  <r>
    <s v="B00216"/>
    <s v="P003"/>
    <x v="0"/>
    <s v="Sold Out"/>
    <n v="37"/>
    <n v="37"/>
    <n v="0"/>
    <n v="0"/>
    <x v="186"/>
    <n v="129500"/>
    <n v="138.5"/>
    <n v="90650"/>
    <n v="38850"/>
    <n v="41.55"/>
    <n v="0"/>
    <d v="2025-02-02T00:00:00"/>
  </r>
  <r>
    <s v="B00217"/>
    <s v="P003"/>
    <x v="0"/>
    <s v="Partial Loss"/>
    <n v="43"/>
    <n v="37.840000000000003"/>
    <n v="5.16"/>
    <n v="12"/>
    <x v="187"/>
    <n v="132440"/>
    <n v="141.65"/>
    <n v="105350"/>
    <n v="27090"/>
    <n v="28.97"/>
    <n v="12642"/>
    <d v="2025-02-13T00:00:00"/>
  </r>
  <r>
    <s v="B00218"/>
    <s v="P003"/>
    <x v="0"/>
    <s v="Sold Out"/>
    <n v="42"/>
    <n v="42"/>
    <n v="0"/>
    <n v="0"/>
    <x v="129"/>
    <n v="147000"/>
    <n v="157.22"/>
    <n v="102900"/>
    <n v="44100"/>
    <n v="47.17"/>
    <n v="0"/>
    <d v="2025-02-21T00:00:00"/>
  </r>
  <r>
    <s v="B00219"/>
    <s v="P003"/>
    <x v="0"/>
    <s v="Sold Out"/>
    <n v="43"/>
    <n v="43"/>
    <n v="0"/>
    <n v="0"/>
    <x v="188"/>
    <n v="150500"/>
    <n v="160.96"/>
    <n v="105350"/>
    <n v="45150"/>
    <n v="48.29"/>
    <n v="0"/>
    <d v="2025-03-03T00:00:00"/>
  </r>
  <r>
    <s v="B00220"/>
    <s v="P003"/>
    <x v="0"/>
    <s v="Sold Out"/>
    <n v="37"/>
    <n v="37"/>
    <n v="0"/>
    <n v="0"/>
    <x v="189"/>
    <n v="129500"/>
    <n v="138.5"/>
    <n v="90650"/>
    <n v="38850"/>
    <n v="41.55"/>
    <n v="0"/>
    <d v="2025-03-11T00:00:00"/>
  </r>
  <r>
    <s v="B00221"/>
    <s v="P003"/>
    <x v="0"/>
    <s v="Sold Out"/>
    <n v="42"/>
    <n v="42"/>
    <n v="0"/>
    <n v="0"/>
    <x v="131"/>
    <n v="147000"/>
    <n v="157.22"/>
    <n v="102900"/>
    <n v="44100"/>
    <n v="47.17"/>
    <n v="0"/>
    <d v="2025-03-20T00:00:00"/>
  </r>
  <r>
    <s v="B00222"/>
    <s v="P003"/>
    <x v="0"/>
    <s v="Sold Out"/>
    <n v="44"/>
    <n v="44"/>
    <n v="0"/>
    <n v="0"/>
    <x v="190"/>
    <n v="154000"/>
    <n v="164.71"/>
    <n v="107800"/>
    <n v="46200"/>
    <n v="49.41"/>
    <n v="0"/>
    <d v="2025-03-30T00:00:00"/>
  </r>
  <r>
    <s v="B00223"/>
    <s v="P003"/>
    <x v="0"/>
    <s v="Partial Loss"/>
    <n v="15"/>
    <n v="11.78"/>
    <n v="3.23"/>
    <n v="21.5"/>
    <x v="191"/>
    <n v="41230"/>
    <n v="44.1"/>
    <n v="36750"/>
    <n v="4480"/>
    <n v="4.79"/>
    <n v="7913.5"/>
    <d v="2025-04-09T00:00:00"/>
  </r>
  <r>
    <s v="B00224"/>
    <s v="P003"/>
    <x v="0"/>
    <s v="Partial Loss"/>
    <n v="18"/>
    <n v="15.68"/>
    <n v="2.3199999999999998"/>
    <n v="12.9"/>
    <x v="192"/>
    <n v="54880"/>
    <n v="58.7"/>
    <n v="46800"/>
    <n v="8080"/>
    <n v="8.64"/>
    <n v="6032"/>
    <d v="2025-04-20T00:00:00"/>
  </r>
  <r>
    <s v="B00225"/>
    <s v="P003"/>
    <x v="0"/>
    <s v="Partial Loss"/>
    <n v="18"/>
    <n v="15.77"/>
    <n v="2.23"/>
    <n v="12.4"/>
    <x v="193"/>
    <n v="55195"/>
    <n v="59.03"/>
    <n v="44100"/>
    <n v="11095"/>
    <n v="11.87"/>
    <n v="5463.5"/>
    <d v="2025-04-28T00:00:00"/>
  </r>
  <r>
    <s v="B00226"/>
    <s v="P003"/>
    <x v="0"/>
    <s v="Partial Loss"/>
    <n v="15"/>
    <n v="12.15"/>
    <n v="2.85"/>
    <n v="19"/>
    <x v="194"/>
    <n v="42525"/>
    <n v="45.48"/>
    <n v="36750"/>
    <n v="5775"/>
    <n v="6.18"/>
    <n v="6982.5"/>
    <d v="2025-05-08T00:00:00"/>
  </r>
  <r>
    <s v="B00227"/>
    <s v="P003"/>
    <x v="0"/>
    <s v="Partial Loss"/>
    <n v="17"/>
    <n v="15.15"/>
    <n v="1.85"/>
    <n v="10.9"/>
    <x v="195"/>
    <n v="53025"/>
    <n v="56.71"/>
    <n v="41650"/>
    <n v="11375"/>
    <n v="12.17"/>
    <n v="4532.5"/>
    <d v="2025-05-18T00:00:00"/>
  </r>
  <r>
    <s v="B00228"/>
    <s v="P003"/>
    <x v="0"/>
    <s v="Partial Loss"/>
    <n v="15"/>
    <n v="12.64"/>
    <n v="2.35"/>
    <n v="15.7"/>
    <x v="196"/>
    <n v="44240"/>
    <n v="47.32"/>
    <n v="36750"/>
    <n v="7490"/>
    <n v="8.01"/>
    <n v="5757.5"/>
    <d v="2025-05-29T00:00:00"/>
  </r>
  <r>
    <s v="B00229"/>
    <s v="P003"/>
    <x v="0"/>
    <s v="Partial Loss"/>
    <n v="18"/>
    <n v="15.48"/>
    <n v="2.52"/>
    <n v="14"/>
    <x v="197"/>
    <n v="54180"/>
    <n v="57.95"/>
    <n v="44100"/>
    <n v="10080"/>
    <n v="10.78"/>
    <n v="6174"/>
    <d v="2025-06-06T00:00:00"/>
  </r>
  <r>
    <s v="B00230"/>
    <s v="P003"/>
    <x v="0"/>
    <s v="Sold Out"/>
    <n v="17"/>
    <n v="17"/>
    <n v="0"/>
    <n v="0"/>
    <x v="198"/>
    <n v="59500"/>
    <n v="63.64"/>
    <n v="41650"/>
    <n v="17850"/>
    <n v="19.09"/>
    <n v="0"/>
    <d v="2025-06-13T00:00:00"/>
  </r>
  <r>
    <s v="B00231"/>
    <s v="P003"/>
    <x v="0"/>
    <s v="Partial Loss"/>
    <n v="15"/>
    <n v="11.13"/>
    <n v="3.87"/>
    <n v="25.8"/>
    <x v="199"/>
    <n v="38955"/>
    <n v="41.66"/>
    <n v="39000"/>
    <n v="-45"/>
    <n v="-0.05"/>
    <n v="10062"/>
    <d v="2025-06-21T00:00:00"/>
  </r>
  <r>
    <s v="B00232"/>
    <s v="P003"/>
    <x v="0"/>
    <s v="Sold Out"/>
    <n v="17"/>
    <n v="17"/>
    <n v="0"/>
    <n v="0"/>
    <x v="200"/>
    <n v="59500"/>
    <n v="63.64"/>
    <n v="41650"/>
    <n v="17850"/>
    <n v="19.09"/>
    <n v="0"/>
    <d v="2025-06-30T00:00:00"/>
  </r>
  <r>
    <s v="B00233"/>
    <s v="P004"/>
    <x v="0"/>
    <s v="Partial Loss"/>
    <n v="13"/>
    <n v="9.4600000000000009"/>
    <n v="3.54"/>
    <n v="27.2"/>
    <x v="77"/>
    <n v="28380"/>
    <n v="30.35"/>
    <n v="26650"/>
    <n v="1730"/>
    <n v="1.85"/>
    <n v="7257"/>
    <d v="2023-07-10T00:00:00"/>
  </r>
  <r>
    <s v="B00234"/>
    <s v="P004"/>
    <x v="0"/>
    <s v="Partial Loss"/>
    <n v="14"/>
    <n v="11.52"/>
    <n v="2.48"/>
    <n v="17.7"/>
    <x v="1"/>
    <n v="34560"/>
    <n v="36.96"/>
    <n v="32200"/>
    <n v="2360"/>
    <n v="2.52"/>
    <n v="5704"/>
    <d v="2023-07-20T00:00:00"/>
  </r>
  <r>
    <s v="B00235"/>
    <s v="P004"/>
    <x v="0"/>
    <s v="Sold Out"/>
    <n v="15"/>
    <n v="15"/>
    <n v="0"/>
    <n v="0"/>
    <x v="201"/>
    <n v="45000"/>
    <n v="48.13"/>
    <n v="30750"/>
    <n v="14250"/>
    <n v="15.24"/>
    <n v="0"/>
    <d v="2023-07-27T00:00:00"/>
  </r>
  <r>
    <s v="B00236"/>
    <s v="P004"/>
    <x v="0"/>
    <s v="Sold Out"/>
    <n v="17"/>
    <n v="17"/>
    <n v="0"/>
    <n v="0"/>
    <x v="202"/>
    <n v="51000"/>
    <n v="54.55"/>
    <n v="34850"/>
    <n v="16150"/>
    <n v="17.27"/>
    <n v="0"/>
    <d v="2023-08-05T00:00:00"/>
  </r>
  <r>
    <s v="B00237"/>
    <s v="P004"/>
    <x v="0"/>
    <s v="Partial Loss"/>
    <n v="15"/>
    <n v="10.96"/>
    <n v="4.04"/>
    <n v="26.9"/>
    <x v="145"/>
    <n v="32880"/>
    <n v="35.17"/>
    <n v="30750"/>
    <n v="2130"/>
    <n v="2.2799999999999998"/>
    <n v="8282"/>
    <d v="2023-08-15T00:00:00"/>
  </r>
  <r>
    <s v="B00238"/>
    <s v="P004"/>
    <x v="0"/>
    <s v="Sold Out"/>
    <n v="15"/>
    <n v="15"/>
    <n v="0"/>
    <n v="0"/>
    <x v="1"/>
    <n v="45000"/>
    <n v="48.13"/>
    <n v="30750"/>
    <n v="14250"/>
    <n v="15.24"/>
    <n v="0"/>
    <d v="2023-08-25T00:00:00"/>
  </r>
  <r>
    <s v="B00239"/>
    <s v="P004"/>
    <x v="0"/>
    <s v="Partial Loss"/>
    <n v="19"/>
    <n v="13.4"/>
    <n v="5.6"/>
    <n v="29.5"/>
    <x v="148"/>
    <n v="40200"/>
    <n v="42.99"/>
    <n v="38950"/>
    <n v="1250"/>
    <n v="1.34"/>
    <n v="11480"/>
    <d v="2023-09-04T00:00:00"/>
  </r>
  <r>
    <s v="B00240"/>
    <s v="P004"/>
    <x v="0"/>
    <s v="Partial Loss"/>
    <n v="19"/>
    <n v="15.71"/>
    <n v="3.29"/>
    <n v="17.3"/>
    <x v="146"/>
    <n v="47130"/>
    <n v="50.41"/>
    <n v="38950"/>
    <n v="8180"/>
    <n v="8.75"/>
    <n v="6744.5"/>
    <d v="2023-09-12T00:00:00"/>
  </r>
  <r>
    <s v="B00241"/>
    <s v="P004"/>
    <x v="0"/>
    <s v="Sold Out"/>
    <n v="19"/>
    <n v="19"/>
    <n v="0"/>
    <n v="0"/>
    <x v="4"/>
    <n v="57000"/>
    <n v="60.96"/>
    <n v="38950"/>
    <n v="18050"/>
    <n v="19.3"/>
    <n v="0"/>
    <d v="2023-09-21T00:00:00"/>
  </r>
  <r>
    <s v="B00242"/>
    <s v="P004"/>
    <x v="0"/>
    <s v="Sold Out"/>
    <n v="35"/>
    <n v="35"/>
    <n v="0"/>
    <n v="0"/>
    <x v="203"/>
    <n v="105000"/>
    <n v="112.3"/>
    <n v="80500"/>
    <n v="24500"/>
    <n v="26.2"/>
    <n v="0"/>
    <d v="2023-10-01T00:00:00"/>
  </r>
  <r>
    <s v="B00243"/>
    <s v="P004"/>
    <x v="0"/>
    <s v="Sold Out"/>
    <n v="43"/>
    <n v="43"/>
    <n v="0"/>
    <n v="0"/>
    <x v="204"/>
    <n v="129000"/>
    <n v="137.97"/>
    <n v="88150"/>
    <n v="40850"/>
    <n v="43.69"/>
    <n v="0"/>
    <d v="2023-10-11T00:00:00"/>
  </r>
  <r>
    <s v="B00244"/>
    <s v="P004"/>
    <x v="0"/>
    <s v="Sold Out"/>
    <n v="44"/>
    <n v="44"/>
    <n v="0"/>
    <n v="0"/>
    <x v="146"/>
    <n v="132000"/>
    <n v="141.18"/>
    <n v="90200"/>
    <n v="41800"/>
    <n v="44.71"/>
    <n v="0"/>
    <d v="2023-10-19T00:00:00"/>
  </r>
  <r>
    <s v="B00245"/>
    <s v="P004"/>
    <x v="0"/>
    <s v="Partial Loss"/>
    <n v="44"/>
    <n v="36.39"/>
    <n v="7.61"/>
    <n v="17.3"/>
    <x v="205"/>
    <n v="109170"/>
    <n v="116.76"/>
    <n v="90200"/>
    <n v="18970"/>
    <n v="20.29"/>
    <n v="15600.5"/>
    <d v="2023-10-28T00:00:00"/>
  </r>
  <r>
    <s v="B00246"/>
    <s v="P004"/>
    <x v="0"/>
    <s v="Sold Out"/>
    <n v="36"/>
    <n v="36"/>
    <n v="0"/>
    <n v="0"/>
    <x v="85"/>
    <n v="108000"/>
    <n v="115.51"/>
    <n v="73800"/>
    <n v="34200"/>
    <n v="36.58"/>
    <n v="0"/>
    <d v="2023-11-04T00:00:00"/>
  </r>
  <r>
    <s v="B00247"/>
    <s v="P004"/>
    <x v="0"/>
    <s v="Sold Out"/>
    <n v="41"/>
    <n v="41"/>
    <n v="0"/>
    <n v="0"/>
    <x v="206"/>
    <n v="123000"/>
    <n v="131.55000000000001"/>
    <n v="84050"/>
    <n v="38950"/>
    <n v="41.66"/>
    <n v="0"/>
    <d v="2023-11-13T00:00:00"/>
  </r>
  <r>
    <s v="B00248"/>
    <s v="P004"/>
    <x v="0"/>
    <s v="Sold Out"/>
    <n v="42"/>
    <n v="42"/>
    <n v="0"/>
    <n v="0"/>
    <x v="207"/>
    <n v="126000"/>
    <n v="134.76"/>
    <n v="86100"/>
    <n v="39900"/>
    <n v="42.67"/>
    <n v="0"/>
    <d v="2023-11-19T00:00:00"/>
  </r>
  <r>
    <s v="B00249"/>
    <s v="P004"/>
    <x v="0"/>
    <s v="Sold Out"/>
    <n v="46"/>
    <n v="46"/>
    <n v="0"/>
    <n v="0"/>
    <x v="16"/>
    <n v="138000"/>
    <n v="147.59"/>
    <n v="94300"/>
    <n v="43700"/>
    <n v="46.74"/>
    <n v="0"/>
    <d v="2023-11-27T00:00:00"/>
  </r>
  <r>
    <s v="B00250"/>
    <s v="P004"/>
    <x v="0"/>
    <s v="Sold Out"/>
    <n v="59"/>
    <n v="59"/>
    <n v="0"/>
    <n v="0"/>
    <x v="13"/>
    <n v="177000"/>
    <n v="189.3"/>
    <n v="120950"/>
    <n v="56050"/>
    <n v="59.95"/>
    <n v="0"/>
    <d v="2023-12-09T00:00:00"/>
  </r>
  <r>
    <s v="B00251"/>
    <s v="P004"/>
    <x v="0"/>
    <s v="Sold Out"/>
    <n v="59"/>
    <n v="59"/>
    <n v="0"/>
    <n v="0"/>
    <x v="155"/>
    <n v="177000"/>
    <n v="189.3"/>
    <n v="135700"/>
    <n v="41300"/>
    <n v="44.17"/>
    <n v="0"/>
    <d v="2023-12-19T00:00:00"/>
  </r>
  <r>
    <s v="B00252"/>
    <s v="P004"/>
    <x v="0"/>
    <s v="Sold Out"/>
    <n v="56"/>
    <n v="56"/>
    <n v="0"/>
    <n v="0"/>
    <x v="153"/>
    <n v="168000"/>
    <n v="179.68"/>
    <n v="114800"/>
    <n v="53200"/>
    <n v="56.9"/>
    <n v="0"/>
    <d v="2023-12-27T00:00:00"/>
  </r>
  <r>
    <s v="B00253"/>
    <s v="P004"/>
    <x v="0"/>
    <s v="Sold Out"/>
    <n v="43"/>
    <n v="43"/>
    <n v="0"/>
    <n v="0"/>
    <x v="90"/>
    <n v="129000"/>
    <n v="137.97"/>
    <n v="98900"/>
    <n v="30100"/>
    <n v="32.19"/>
    <n v="0"/>
    <d v="2024-01-08T00:00:00"/>
  </r>
  <r>
    <s v="B00254"/>
    <s v="P004"/>
    <x v="0"/>
    <s v="Sold Out"/>
    <n v="46"/>
    <n v="46"/>
    <n v="0"/>
    <n v="0"/>
    <x v="157"/>
    <n v="138000"/>
    <n v="147.59"/>
    <n v="94300"/>
    <n v="43700"/>
    <n v="46.74"/>
    <n v="0"/>
    <d v="2024-01-19T00:00:00"/>
  </r>
  <r>
    <s v="B00255"/>
    <s v="P004"/>
    <x v="0"/>
    <s v="Sold Out"/>
    <n v="36"/>
    <n v="36"/>
    <n v="0"/>
    <n v="0"/>
    <x v="208"/>
    <n v="108000"/>
    <n v="115.51"/>
    <n v="73800"/>
    <n v="34200"/>
    <n v="36.58"/>
    <n v="0"/>
    <d v="2024-01-29T00:00:00"/>
  </r>
  <r>
    <s v="B00256"/>
    <s v="P004"/>
    <x v="0"/>
    <s v="Sold Out"/>
    <n v="38"/>
    <n v="38"/>
    <n v="0"/>
    <n v="0"/>
    <x v="92"/>
    <n v="114000"/>
    <n v="121.93"/>
    <n v="77900"/>
    <n v="36100"/>
    <n v="38.61"/>
    <n v="0"/>
    <d v="2024-02-06T00:00:00"/>
  </r>
  <r>
    <s v="B00257"/>
    <s v="P004"/>
    <x v="0"/>
    <s v="Partial Loss"/>
    <n v="40"/>
    <n v="30"/>
    <n v="10"/>
    <n v="25"/>
    <x v="97"/>
    <n v="90000"/>
    <n v="96.26"/>
    <n v="82000"/>
    <n v="8000"/>
    <n v="8.56"/>
    <n v="20500"/>
    <d v="2024-02-13T00:00:00"/>
  </r>
  <r>
    <s v="B00258"/>
    <s v="P004"/>
    <x v="0"/>
    <s v="Sold Out"/>
    <n v="35"/>
    <n v="35"/>
    <n v="0"/>
    <n v="0"/>
    <x v="160"/>
    <n v="105000"/>
    <n v="112.3"/>
    <n v="71750"/>
    <n v="33250"/>
    <n v="35.56"/>
    <n v="0"/>
    <d v="2024-02-23T00:00:00"/>
  </r>
  <r>
    <s v="B00259"/>
    <s v="P004"/>
    <x v="0"/>
    <s v="Sold Out"/>
    <n v="37"/>
    <n v="37"/>
    <n v="0"/>
    <n v="0"/>
    <x v="209"/>
    <n v="111000"/>
    <n v="118.72"/>
    <n v="85100"/>
    <n v="25900"/>
    <n v="27.7"/>
    <n v="0"/>
    <d v="2024-03-03T00:00:00"/>
  </r>
  <r>
    <s v="B00260"/>
    <s v="P004"/>
    <x v="0"/>
    <s v="Sold Out"/>
    <n v="34"/>
    <n v="34"/>
    <n v="0"/>
    <n v="0"/>
    <x v="210"/>
    <n v="102000"/>
    <n v="109.09"/>
    <n v="69700"/>
    <n v="32300"/>
    <n v="34.549999999999997"/>
    <n v="0"/>
    <d v="2024-03-11T00:00:00"/>
  </r>
  <r>
    <s v="B00261"/>
    <s v="P004"/>
    <x v="0"/>
    <s v="Sold Out"/>
    <n v="39"/>
    <n v="39"/>
    <n v="0"/>
    <n v="0"/>
    <x v="211"/>
    <n v="117000"/>
    <n v="125.13"/>
    <n v="79950"/>
    <n v="37050"/>
    <n v="39.630000000000003"/>
    <n v="0"/>
    <d v="2024-03-20T00:00:00"/>
  </r>
  <r>
    <s v="B00262"/>
    <s v="P004"/>
    <x v="0"/>
    <s v="Sold Out"/>
    <n v="40"/>
    <n v="40"/>
    <n v="0"/>
    <n v="0"/>
    <x v="212"/>
    <n v="120000"/>
    <n v="128.34"/>
    <n v="82000"/>
    <n v="38000"/>
    <n v="40.64"/>
    <n v="0"/>
    <d v="2024-03-31T00:00:00"/>
  </r>
  <r>
    <s v="B00263"/>
    <s v="P004"/>
    <x v="0"/>
    <s v="Partial Loss"/>
    <n v="15"/>
    <n v="12.27"/>
    <n v="2.73"/>
    <n v="18.2"/>
    <x v="213"/>
    <n v="36810"/>
    <n v="39.369999999999997"/>
    <n v="30750"/>
    <n v="6060"/>
    <n v="6.48"/>
    <n v="5596.5"/>
    <d v="2024-04-08T00:00:00"/>
  </r>
  <r>
    <s v="B00264"/>
    <s v="P004"/>
    <x v="0"/>
    <s v="Partial Loss"/>
    <n v="14"/>
    <n v="12.43"/>
    <n v="1.57"/>
    <n v="11.2"/>
    <x v="165"/>
    <n v="37290"/>
    <n v="39.880000000000003"/>
    <n v="28700"/>
    <n v="8590"/>
    <n v="9.19"/>
    <n v="3218.5"/>
    <d v="2024-04-18T00:00:00"/>
  </r>
  <r>
    <s v="B00265"/>
    <s v="P004"/>
    <x v="0"/>
    <s v="Sold Out"/>
    <n v="13"/>
    <n v="13"/>
    <n v="0"/>
    <n v="0"/>
    <x v="214"/>
    <n v="39000"/>
    <n v="41.71"/>
    <n v="26650"/>
    <n v="12350"/>
    <n v="13.21"/>
    <n v="0"/>
    <d v="2024-04-27T00:00:00"/>
  </r>
  <r>
    <s v="B00266"/>
    <s v="P004"/>
    <x v="0"/>
    <s v="Partial Loss"/>
    <n v="16"/>
    <n v="13.57"/>
    <n v="2.4300000000000002"/>
    <n v="15.2"/>
    <x v="102"/>
    <n v="40710"/>
    <n v="43.54"/>
    <n v="32800"/>
    <n v="7910"/>
    <n v="8.4600000000000009"/>
    <n v="4981.5"/>
    <d v="2024-05-07T00:00:00"/>
  </r>
  <r>
    <s v="B00267"/>
    <s v="P004"/>
    <x v="0"/>
    <s v="Partial Loss"/>
    <n v="17"/>
    <n v="13.09"/>
    <n v="3.91"/>
    <n v="23"/>
    <x v="215"/>
    <n v="39270"/>
    <n v="42"/>
    <n v="39100"/>
    <n v="170"/>
    <n v="0.18"/>
    <n v="8993"/>
    <d v="2024-05-15T00:00:00"/>
  </r>
  <r>
    <s v="B00268"/>
    <s v="P004"/>
    <x v="0"/>
    <s v="Sold Out"/>
    <n v="16"/>
    <n v="16"/>
    <n v="0"/>
    <n v="0"/>
    <x v="216"/>
    <n v="48000"/>
    <n v="51.34"/>
    <n v="32800"/>
    <n v="15200"/>
    <n v="16.260000000000002"/>
    <n v="0"/>
    <d v="2024-05-23T00:00:00"/>
  </r>
  <r>
    <s v="B00269"/>
    <s v="P004"/>
    <x v="0"/>
    <s v="Sold Out"/>
    <n v="15"/>
    <n v="15"/>
    <n v="0"/>
    <n v="0"/>
    <x v="217"/>
    <n v="45000"/>
    <n v="48.13"/>
    <n v="30750"/>
    <n v="14250"/>
    <n v="15.24"/>
    <n v="0"/>
    <d v="2024-06-01T00:00:00"/>
  </r>
  <r>
    <s v="B00270"/>
    <s v="P004"/>
    <x v="0"/>
    <s v="Sold Out"/>
    <n v="15"/>
    <n v="15"/>
    <n v="0"/>
    <n v="0"/>
    <x v="105"/>
    <n v="45000"/>
    <n v="48.13"/>
    <n v="30750"/>
    <n v="14250"/>
    <n v="15.24"/>
    <n v="0"/>
    <d v="2024-06-10T00:00:00"/>
  </r>
  <r>
    <s v="B00271"/>
    <s v="P004"/>
    <x v="0"/>
    <s v="Sold Out"/>
    <n v="16"/>
    <n v="16"/>
    <n v="0"/>
    <n v="0"/>
    <x v="103"/>
    <n v="48000"/>
    <n v="51.34"/>
    <n v="32800"/>
    <n v="15200"/>
    <n v="16.260000000000002"/>
    <n v="0"/>
    <d v="2024-06-21T00:00:00"/>
  </r>
  <r>
    <s v="B00272"/>
    <s v="P004"/>
    <x v="0"/>
    <s v="Partial Loss"/>
    <n v="15"/>
    <n v="10.56"/>
    <n v="4.4400000000000004"/>
    <n v="29.6"/>
    <x v="218"/>
    <n v="31680"/>
    <n v="33.880000000000003"/>
    <n v="30750"/>
    <n v="930"/>
    <n v="0.99"/>
    <n v="9102"/>
    <d v="2024-07-03T00:00:00"/>
  </r>
  <r>
    <s v="B00273"/>
    <s v="P004"/>
    <x v="0"/>
    <s v="Sold Out"/>
    <n v="16"/>
    <n v="16"/>
    <n v="0"/>
    <n v="0"/>
    <x v="219"/>
    <n v="48000"/>
    <n v="51.34"/>
    <n v="32800"/>
    <n v="15200"/>
    <n v="16.260000000000002"/>
    <n v="0"/>
    <d v="2024-07-12T00:00:00"/>
  </r>
  <r>
    <s v="B00274"/>
    <s v="P004"/>
    <x v="0"/>
    <s v="Sold Out"/>
    <n v="17"/>
    <n v="17"/>
    <n v="0"/>
    <n v="0"/>
    <x v="108"/>
    <n v="51000"/>
    <n v="54.55"/>
    <n v="34850"/>
    <n v="16150"/>
    <n v="17.27"/>
    <n v="0"/>
    <d v="2024-07-24T00:00:00"/>
  </r>
  <r>
    <s v="B00275"/>
    <s v="P004"/>
    <x v="0"/>
    <s v="Sold Out"/>
    <n v="14"/>
    <n v="14"/>
    <n v="0"/>
    <n v="0"/>
    <x v="220"/>
    <n v="42000"/>
    <n v="44.92"/>
    <n v="28700"/>
    <n v="13300"/>
    <n v="14.22"/>
    <n v="0"/>
    <d v="2024-08-03T00:00:00"/>
  </r>
  <r>
    <s v="B00276"/>
    <s v="P004"/>
    <x v="0"/>
    <s v="Sold Out"/>
    <n v="13"/>
    <n v="13"/>
    <n v="0"/>
    <n v="0"/>
    <x v="221"/>
    <n v="39000"/>
    <n v="41.71"/>
    <n v="26650"/>
    <n v="12350"/>
    <n v="13.21"/>
    <n v="0"/>
    <d v="2024-08-11T00:00:00"/>
  </r>
  <r>
    <s v="B00277"/>
    <s v="P004"/>
    <x v="0"/>
    <s v="Partial Loss"/>
    <n v="16"/>
    <n v="13.18"/>
    <n v="2.82"/>
    <n v="17.600000000000001"/>
    <x v="110"/>
    <n v="39540"/>
    <n v="42.29"/>
    <n v="32800"/>
    <n v="6740"/>
    <n v="7.21"/>
    <n v="5781"/>
    <d v="2024-08-21T00:00:00"/>
  </r>
  <r>
    <s v="B00278"/>
    <s v="P004"/>
    <x v="0"/>
    <s v="Partial Loss"/>
    <n v="14"/>
    <n v="10.75"/>
    <n v="3.25"/>
    <n v="23.2"/>
    <x v="222"/>
    <n v="32250"/>
    <n v="34.49"/>
    <n v="28700"/>
    <n v="3550"/>
    <n v="3.8"/>
    <n v="6662.5"/>
    <d v="2024-08-29T00:00:00"/>
  </r>
  <r>
    <s v="B00279"/>
    <s v="P004"/>
    <x v="0"/>
    <s v="Partial Loss"/>
    <n v="17"/>
    <n v="13.85"/>
    <n v="3.15"/>
    <n v="18.5"/>
    <x v="115"/>
    <n v="41550"/>
    <n v="44.44"/>
    <n v="34850"/>
    <n v="6700"/>
    <n v="7.17"/>
    <n v="6457.5"/>
    <d v="2024-09-07T00:00:00"/>
  </r>
  <r>
    <s v="B00280"/>
    <s v="P004"/>
    <x v="0"/>
    <s v="Sold Out"/>
    <n v="18"/>
    <n v="18"/>
    <n v="0"/>
    <n v="0"/>
    <x v="223"/>
    <n v="54000"/>
    <n v="57.75"/>
    <n v="36900"/>
    <n v="17100"/>
    <n v="18.29"/>
    <n v="0"/>
    <d v="2024-09-18T00:00:00"/>
  </r>
  <r>
    <s v="B00281"/>
    <s v="P004"/>
    <x v="0"/>
    <s v="Sold Out"/>
    <n v="19"/>
    <n v="19"/>
    <n v="0"/>
    <n v="0"/>
    <x v="224"/>
    <n v="57000"/>
    <n v="60.96"/>
    <n v="38950"/>
    <n v="18050"/>
    <n v="19.3"/>
    <n v="0"/>
    <d v="2024-09-26T00:00:00"/>
  </r>
  <r>
    <s v="B00282"/>
    <s v="P004"/>
    <x v="0"/>
    <s v="Partial Loss"/>
    <n v="39"/>
    <n v="33.58"/>
    <n v="5.42"/>
    <n v="13.9"/>
    <x v="118"/>
    <n v="100740"/>
    <n v="107.74"/>
    <n v="79950"/>
    <n v="20790"/>
    <n v="22.24"/>
    <n v="11111"/>
    <d v="2024-10-04T00:00:00"/>
  </r>
  <r>
    <s v="B00283"/>
    <s v="P004"/>
    <x v="0"/>
    <s v="Sold Out"/>
    <n v="40"/>
    <n v="40"/>
    <n v="0"/>
    <n v="0"/>
    <x v="225"/>
    <n v="120000"/>
    <n v="128.34"/>
    <n v="82000"/>
    <n v="38000"/>
    <n v="40.64"/>
    <n v="0"/>
    <d v="2024-10-13T00:00:00"/>
  </r>
  <r>
    <s v="B00284"/>
    <s v="P004"/>
    <x v="0"/>
    <s v="Sold Out"/>
    <n v="43"/>
    <n v="43"/>
    <n v="0"/>
    <n v="0"/>
    <x v="50"/>
    <n v="129000"/>
    <n v="137.97"/>
    <n v="88150"/>
    <n v="40850"/>
    <n v="43.69"/>
    <n v="0"/>
    <d v="2024-10-24T00:00:00"/>
  </r>
  <r>
    <s v="B00285"/>
    <s v="P004"/>
    <x v="0"/>
    <s v="Sold Out"/>
    <n v="36"/>
    <n v="36"/>
    <n v="0"/>
    <n v="0"/>
    <x v="226"/>
    <n v="108000"/>
    <n v="115.51"/>
    <n v="73800"/>
    <n v="34200"/>
    <n v="36.58"/>
    <n v="0"/>
    <d v="2024-11-04T00:00:00"/>
  </r>
  <r>
    <s v="B00286"/>
    <s v="P004"/>
    <x v="0"/>
    <s v="Sold Out"/>
    <n v="45"/>
    <n v="45"/>
    <n v="0"/>
    <n v="0"/>
    <x v="177"/>
    <n v="135000"/>
    <n v="144.38999999999999"/>
    <n v="92250"/>
    <n v="42750"/>
    <n v="45.72"/>
    <n v="0"/>
    <d v="2024-11-14T00:00:00"/>
  </r>
  <r>
    <s v="B00287"/>
    <s v="P004"/>
    <x v="0"/>
    <s v="Sold Out"/>
    <n v="40"/>
    <n v="40"/>
    <n v="0"/>
    <n v="0"/>
    <x v="53"/>
    <n v="120000"/>
    <n v="128.34"/>
    <n v="82000"/>
    <n v="38000"/>
    <n v="40.64"/>
    <n v="0"/>
    <d v="2024-11-24T00:00:00"/>
  </r>
  <r>
    <s v="B00288"/>
    <s v="P004"/>
    <x v="0"/>
    <s v="Partial Loss"/>
    <n v="47"/>
    <n v="32.380000000000003"/>
    <n v="14.62"/>
    <n v="31.1"/>
    <x v="227"/>
    <n v="97140"/>
    <n v="103.89"/>
    <n v="96350"/>
    <n v="790"/>
    <n v="0.84"/>
    <n v="29971"/>
    <d v="2024-12-06T00:00:00"/>
  </r>
  <r>
    <s v="B00289"/>
    <s v="P004"/>
    <x v="0"/>
    <s v="Sold Out"/>
    <n v="45"/>
    <n v="45"/>
    <n v="0"/>
    <n v="0"/>
    <x v="228"/>
    <n v="135000"/>
    <n v="144.38999999999999"/>
    <n v="92250"/>
    <n v="42750"/>
    <n v="45.72"/>
    <n v="0"/>
    <d v="2024-12-17T00:00:00"/>
  </r>
  <r>
    <s v="B00290"/>
    <s v="P004"/>
    <x v="0"/>
    <s v="Sold Out"/>
    <n v="58"/>
    <n v="58"/>
    <n v="0"/>
    <n v="0"/>
    <x v="229"/>
    <n v="174000"/>
    <n v="186.1"/>
    <n v="118900"/>
    <n v="55100"/>
    <n v="58.93"/>
    <n v="0"/>
    <d v="2024-12-26T00:00:00"/>
  </r>
  <r>
    <s v="B00291"/>
    <s v="P004"/>
    <x v="0"/>
    <s v="Sold Out"/>
    <n v="49"/>
    <n v="49"/>
    <n v="0"/>
    <n v="0"/>
    <x v="58"/>
    <n v="147000"/>
    <n v="157.22"/>
    <n v="100450"/>
    <n v="46550"/>
    <n v="49.79"/>
    <n v="0"/>
    <d v="2025-01-07T00:00:00"/>
  </r>
  <r>
    <s v="B00292"/>
    <s v="P004"/>
    <x v="0"/>
    <s v="Partial Loss"/>
    <n v="43"/>
    <n v="32.770000000000003"/>
    <n v="10.23"/>
    <n v="23.8"/>
    <x v="230"/>
    <n v="98310"/>
    <n v="105.14"/>
    <n v="88150"/>
    <n v="10160"/>
    <n v="10.87"/>
    <n v="20971.5"/>
    <d v="2025-01-18T00:00:00"/>
  </r>
  <r>
    <s v="B00293"/>
    <s v="P004"/>
    <x v="0"/>
    <s v="Sold Out"/>
    <n v="49"/>
    <n v="49"/>
    <n v="0"/>
    <n v="0"/>
    <x v="231"/>
    <n v="147000"/>
    <n v="157.22"/>
    <n v="100450"/>
    <n v="46550"/>
    <n v="49.79"/>
    <n v="0"/>
    <d v="2025-01-29T00:00:00"/>
  </r>
  <r>
    <s v="B00294"/>
    <s v="P004"/>
    <x v="0"/>
    <s v="Sold Out"/>
    <n v="39"/>
    <n v="39"/>
    <n v="0"/>
    <n v="0"/>
    <x v="232"/>
    <n v="117000"/>
    <n v="125.13"/>
    <n v="79950"/>
    <n v="37050"/>
    <n v="39.630000000000003"/>
    <n v="0"/>
    <d v="2025-02-06T00:00:00"/>
  </r>
  <r>
    <s v="B00295"/>
    <s v="P004"/>
    <x v="0"/>
    <s v="Sold Out"/>
    <n v="48"/>
    <n v="48"/>
    <n v="0"/>
    <n v="0"/>
    <x v="233"/>
    <n v="144000"/>
    <n v="154.01"/>
    <n v="98400"/>
    <n v="45600"/>
    <n v="48.77"/>
    <n v="0"/>
    <d v="2025-02-14T00:00:00"/>
  </r>
  <r>
    <s v="B00296"/>
    <s v="P004"/>
    <x v="0"/>
    <s v="Sold Out"/>
    <n v="40"/>
    <n v="40"/>
    <n v="0"/>
    <n v="0"/>
    <x v="234"/>
    <n v="120000"/>
    <n v="128.34"/>
    <n v="92000"/>
    <n v="28000"/>
    <n v="29.95"/>
    <n v="0"/>
    <d v="2025-02-23T00:00:00"/>
  </r>
  <r>
    <s v="B00297"/>
    <s v="P004"/>
    <x v="0"/>
    <s v="Sold Out"/>
    <n v="42"/>
    <n v="42"/>
    <n v="0"/>
    <n v="0"/>
    <x v="235"/>
    <n v="126000"/>
    <n v="134.76"/>
    <n v="96600"/>
    <n v="29400"/>
    <n v="31.44"/>
    <n v="0"/>
    <d v="2025-03-03T00:00:00"/>
  </r>
  <r>
    <s v="B00298"/>
    <s v="P004"/>
    <x v="0"/>
    <s v="Sold Out"/>
    <n v="44"/>
    <n v="44"/>
    <n v="0"/>
    <n v="0"/>
    <x v="236"/>
    <n v="132000"/>
    <n v="141.18"/>
    <n v="90200"/>
    <n v="41800"/>
    <n v="44.71"/>
    <n v="0"/>
    <d v="2025-03-11T00:00:00"/>
  </r>
  <r>
    <s v="B00299"/>
    <s v="P004"/>
    <x v="0"/>
    <s v="Sold Out"/>
    <n v="44"/>
    <n v="44"/>
    <n v="0"/>
    <n v="0"/>
    <x v="237"/>
    <n v="132000"/>
    <n v="141.18"/>
    <n v="90200"/>
    <n v="41800"/>
    <n v="44.71"/>
    <n v="0"/>
    <d v="2025-03-21T00:00:00"/>
  </r>
  <r>
    <s v="B00300"/>
    <s v="P004"/>
    <x v="0"/>
    <s v="Partial Loss"/>
    <n v="48"/>
    <n v="40.61"/>
    <n v="7.39"/>
    <n v="15.4"/>
    <x v="238"/>
    <n v="121830"/>
    <n v="130.30000000000001"/>
    <n v="110400"/>
    <n v="11430"/>
    <n v="12.22"/>
    <n v="16997"/>
    <d v="2025-03-28T00:00:00"/>
  </r>
  <r>
    <s v="B00301"/>
    <s v="P004"/>
    <x v="0"/>
    <s v="Sold Out"/>
    <n v="18"/>
    <n v="18"/>
    <n v="0"/>
    <n v="0"/>
    <x v="239"/>
    <n v="54000"/>
    <n v="57.75"/>
    <n v="36900"/>
    <n v="17100"/>
    <n v="18.29"/>
    <n v="0"/>
    <d v="2025-04-06T00:00:00"/>
  </r>
  <r>
    <s v="B00302"/>
    <s v="P004"/>
    <x v="0"/>
    <s v="Sold Out"/>
    <n v="17"/>
    <n v="17"/>
    <n v="0"/>
    <n v="0"/>
    <x v="240"/>
    <n v="51000"/>
    <n v="54.55"/>
    <n v="34850"/>
    <n v="16150"/>
    <n v="17.27"/>
    <n v="0"/>
    <d v="2025-04-14T00:00:00"/>
  </r>
  <r>
    <s v="B00303"/>
    <s v="P004"/>
    <x v="0"/>
    <s v="Partial Loss"/>
    <n v="15"/>
    <n v="11.84"/>
    <n v="3.17"/>
    <n v="21.1"/>
    <x v="241"/>
    <n v="35520"/>
    <n v="37.99"/>
    <n v="30750"/>
    <n v="4770"/>
    <n v="5.0999999999999996"/>
    <n v="6498.5"/>
    <d v="2025-04-23T00:00:00"/>
  </r>
  <r>
    <s v="B00304"/>
    <s v="P004"/>
    <x v="0"/>
    <s v="Partial Loss"/>
    <n v="16"/>
    <n v="13.74"/>
    <n v="2.2599999999999998"/>
    <n v="14.1"/>
    <x v="70"/>
    <n v="41220"/>
    <n v="44.09"/>
    <n v="32800"/>
    <n v="8420"/>
    <n v="9.01"/>
    <n v="4633"/>
    <d v="2025-05-02T00:00:00"/>
  </r>
  <r>
    <s v="B00305"/>
    <s v="P004"/>
    <x v="0"/>
    <s v="Sold Out"/>
    <n v="16"/>
    <n v="16"/>
    <n v="0"/>
    <n v="0"/>
    <x v="242"/>
    <n v="48000"/>
    <n v="51.34"/>
    <n v="32800"/>
    <n v="15200"/>
    <n v="16.260000000000002"/>
    <n v="0"/>
    <d v="2025-05-13T00:00:00"/>
  </r>
  <r>
    <s v="B00306"/>
    <s v="P004"/>
    <x v="0"/>
    <s v="Sold Out"/>
    <n v="18"/>
    <n v="18"/>
    <n v="0"/>
    <n v="0"/>
    <x v="243"/>
    <n v="54000"/>
    <n v="57.75"/>
    <n v="36900"/>
    <n v="17100"/>
    <n v="18.29"/>
    <n v="0"/>
    <d v="2025-05-22T00:00:00"/>
  </r>
  <r>
    <s v="B00307"/>
    <s v="P004"/>
    <x v="0"/>
    <s v="Partial Loss"/>
    <n v="18"/>
    <n v="14.94"/>
    <n v="3.06"/>
    <n v="17"/>
    <x v="73"/>
    <n v="44820"/>
    <n v="47.94"/>
    <n v="36900"/>
    <n v="7920"/>
    <n v="8.4700000000000006"/>
    <n v="6273"/>
    <d v="2025-05-31T00:00:00"/>
  </r>
  <r>
    <s v="B00308"/>
    <s v="P004"/>
    <x v="0"/>
    <s v="Partial Loss"/>
    <n v="15"/>
    <n v="12.04"/>
    <n v="2.96"/>
    <n v="19.7"/>
    <x v="244"/>
    <n v="36120"/>
    <n v="38.630000000000003"/>
    <n v="30750"/>
    <n v="5370"/>
    <n v="5.74"/>
    <n v="6068"/>
    <d v="2025-06-10T00:00:00"/>
  </r>
  <r>
    <s v="B00309"/>
    <s v="P004"/>
    <x v="0"/>
    <s v="Sold Out"/>
    <n v="17"/>
    <n v="17"/>
    <n v="0"/>
    <n v="0"/>
    <x v="71"/>
    <n v="51000"/>
    <n v="54.55"/>
    <n v="34850"/>
    <n v="16150"/>
    <n v="17.27"/>
    <n v="0"/>
    <d v="2025-06-19T00:00:00"/>
  </r>
  <r>
    <s v="B00310"/>
    <s v="P004"/>
    <x v="0"/>
    <s v="Partial Loss"/>
    <n v="18"/>
    <n v="14.02"/>
    <n v="3.98"/>
    <n v="22.1"/>
    <x v="245"/>
    <n v="42060"/>
    <n v="44.98"/>
    <n v="36900"/>
    <n v="5160"/>
    <n v="5.52"/>
    <n v="8159"/>
    <d v="2025-06-29T00:00:00"/>
  </r>
  <r>
    <s v="B00311"/>
    <s v="P005"/>
    <x v="0"/>
    <s v="Partial Loss"/>
    <n v="13"/>
    <n v="12.1"/>
    <n v="0.9"/>
    <n v="6.9"/>
    <x v="246"/>
    <n v="36300"/>
    <n v="38.82"/>
    <n v="27300"/>
    <n v="9000"/>
    <n v="9.6300000000000008"/>
    <n v="1890"/>
    <d v="2023-07-02T00:00:00"/>
  </r>
  <r>
    <s v="B00312"/>
    <s v="P005"/>
    <x v="0"/>
    <s v="Partial Loss"/>
    <n v="14"/>
    <n v="10.7"/>
    <n v="3.3"/>
    <n v="23.6"/>
    <x v="247"/>
    <n v="32100"/>
    <n v="34.33"/>
    <n v="29400"/>
    <n v="2700"/>
    <n v="2.89"/>
    <n v="6930"/>
    <d v="2023-07-11T00:00:00"/>
  </r>
  <r>
    <s v="B00313"/>
    <s v="P005"/>
    <x v="0"/>
    <s v="Sold Out"/>
    <n v="15"/>
    <n v="15"/>
    <n v="0"/>
    <n v="0"/>
    <x v="248"/>
    <n v="45000"/>
    <n v="48.13"/>
    <n v="31500"/>
    <n v="13500"/>
    <n v="14.44"/>
    <n v="0"/>
    <d v="2023-07-23T00:00:00"/>
  </r>
  <r>
    <s v="B00314"/>
    <s v="P005"/>
    <x v="0"/>
    <s v="Partial Loss"/>
    <n v="14"/>
    <n v="10.23"/>
    <n v="3.77"/>
    <n v="26.9"/>
    <x v="249"/>
    <n v="30690"/>
    <n v="32.82"/>
    <n v="29400"/>
    <n v="1290"/>
    <n v="1.38"/>
    <n v="7917"/>
    <d v="2023-08-02T00:00:00"/>
  </r>
  <r>
    <s v="B00315"/>
    <s v="P005"/>
    <x v="0"/>
    <s v="Partial Loss"/>
    <n v="15"/>
    <n v="13.54"/>
    <n v="1.46"/>
    <n v="9.6999999999999993"/>
    <x v="250"/>
    <n v="40620"/>
    <n v="43.44"/>
    <n v="31500"/>
    <n v="9120"/>
    <n v="9.75"/>
    <n v="3066"/>
    <d v="2023-08-08T00:00:00"/>
  </r>
  <r>
    <s v="B00316"/>
    <s v="P005"/>
    <x v="0"/>
    <s v="Sold Out"/>
    <n v="16"/>
    <n v="16"/>
    <n v="0"/>
    <n v="0"/>
    <x v="251"/>
    <n v="48000"/>
    <n v="51.34"/>
    <n v="33600"/>
    <n v="14400"/>
    <n v="15.4"/>
    <n v="0"/>
    <d v="2023-08-17T00:00:00"/>
  </r>
  <r>
    <s v="B00317"/>
    <s v="P005"/>
    <x v="0"/>
    <s v="Sold Out"/>
    <n v="14"/>
    <n v="14"/>
    <n v="0"/>
    <n v="0"/>
    <x v="252"/>
    <n v="42000"/>
    <n v="44.92"/>
    <n v="32200"/>
    <n v="9800"/>
    <n v="10.48"/>
    <n v="0"/>
    <d v="2023-08-25T00:00:00"/>
  </r>
  <r>
    <s v="B00318"/>
    <s v="P005"/>
    <x v="0"/>
    <s v="Partial Loss"/>
    <n v="16"/>
    <n v="12.78"/>
    <n v="3.22"/>
    <n v="20.100000000000001"/>
    <x v="148"/>
    <n v="38340"/>
    <n v="41.01"/>
    <n v="33600"/>
    <n v="4740"/>
    <n v="5.07"/>
    <n v="6762"/>
    <d v="2023-09-04T00:00:00"/>
  </r>
  <r>
    <s v="B00319"/>
    <s v="P005"/>
    <x v="0"/>
    <s v="Sold Out"/>
    <n v="21"/>
    <n v="21"/>
    <n v="0"/>
    <n v="0"/>
    <x v="80"/>
    <n v="63000"/>
    <n v="67.38"/>
    <n v="44100"/>
    <n v="18900"/>
    <n v="20.21"/>
    <n v="0"/>
    <d v="2023-09-15T00:00:00"/>
  </r>
  <r>
    <s v="B00320"/>
    <s v="P005"/>
    <x v="0"/>
    <s v="Partial Loss"/>
    <n v="19"/>
    <n v="16.09"/>
    <n v="2.91"/>
    <n v="15.3"/>
    <x v="9"/>
    <n v="48270"/>
    <n v="51.63"/>
    <n v="39900"/>
    <n v="8370"/>
    <n v="8.9499999999999993"/>
    <n v="6111"/>
    <d v="2023-09-25T00:00:00"/>
  </r>
  <r>
    <s v="B00321"/>
    <s v="P005"/>
    <x v="0"/>
    <s v="Sold Out"/>
    <n v="35"/>
    <n v="35"/>
    <n v="0"/>
    <n v="0"/>
    <x v="253"/>
    <n v="105000"/>
    <n v="112.3"/>
    <n v="73500"/>
    <n v="31500"/>
    <n v="33.69"/>
    <n v="0"/>
    <d v="2023-10-04T00:00:00"/>
  </r>
  <r>
    <s v="B00322"/>
    <s v="P005"/>
    <x v="0"/>
    <s v="Sold Out"/>
    <n v="40"/>
    <n v="40"/>
    <n v="0"/>
    <n v="0"/>
    <x v="7"/>
    <n v="120000"/>
    <n v="128.34"/>
    <n v="84000"/>
    <n v="36000"/>
    <n v="38.5"/>
    <n v="0"/>
    <d v="2023-10-14T00:00:00"/>
  </r>
  <r>
    <s v="B00323"/>
    <s v="P005"/>
    <x v="0"/>
    <s v="Sold Out"/>
    <n v="39"/>
    <n v="39"/>
    <n v="0"/>
    <n v="0"/>
    <x v="8"/>
    <n v="117000"/>
    <n v="125.13"/>
    <n v="81900"/>
    <n v="35100"/>
    <n v="37.54"/>
    <n v="0"/>
    <d v="2023-10-24T00:00:00"/>
  </r>
  <r>
    <s v="B00324"/>
    <s v="P005"/>
    <x v="0"/>
    <s v="Sold Out"/>
    <n v="40"/>
    <n v="40"/>
    <n v="0"/>
    <n v="0"/>
    <x v="254"/>
    <n v="120000"/>
    <n v="128.34"/>
    <n v="84000"/>
    <n v="36000"/>
    <n v="38.5"/>
    <n v="0"/>
    <d v="2023-11-03T00:00:00"/>
  </r>
  <r>
    <s v="B00325"/>
    <s v="P005"/>
    <x v="0"/>
    <s v="Sold Out"/>
    <n v="39"/>
    <n v="39"/>
    <n v="0"/>
    <n v="0"/>
    <x v="255"/>
    <n v="117000"/>
    <n v="125.13"/>
    <n v="81900"/>
    <n v="35100"/>
    <n v="37.54"/>
    <n v="0"/>
    <d v="2023-11-11T00:00:00"/>
  </r>
  <r>
    <s v="B00326"/>
    <s v="P005"/>
    <x v="0"/>
    <s v="Partial Loss"/>
    <n v="46"/>
    <n v="36.43"/>
    <n v="9.57"/>
    <n v="20.8"/>
    <x v="256"/>
    <n v="109290"/>
    <n v="116.89"/>
    <n v="96600"/>
    <n v="12690"/>
    <n v="13.57"/>
    <n v="20097"/>
    <d v="2023-11-23T00:00:00"/>
  </r>
  <r>
    <s v="B00327"/>
    <s v="P005"/>
    <x v="0"/>
    <s v="Sold Out"/>
    <n v="52"/>
    <n v="52"/>
    <n v="0"/>
    <n v="0"/>
    <x v="257"/>
    <n v="156000"/>
    <n v="166.84"/>
    <n v="109200"/>
    <n v="46800"/>
    <n v="50.05"/>
    <n v="0"/>
    <d v="2023-12-05T00:00:00"/>
  </r>
  <r>
    <s v="B00328"/>
    <s v="P005"/>
    <x v="0"/>
    <s v="Partial Loss"/>
    <n v="48"/>
    <n v="37.39"/>
    <n v="10.61"/>
    <n v="22.1"/>
    <x v="158"/>
    <n v="112170"/>
    <n v="119.97"/>
    <n v="100800"/>
    <n v="11370"/>
    <n v="12.16"/>
    <n v="22281"/>
    <d v="2023-12-17T00:00:00"/>
  </r>
  <r>
    <s v="B00329"/>
    <s v="P005"/>
    <x v="0"/>
    <s v="Sold Out"/>
    <n v="57"/>
    <n v="57"/>
    <n v="0"/>
    <n v="0"/>
    <x v="258"/>
    <n v="171000"/>
    <n v="182.89"/>
    <n v="119700"/>
    <n v="51300"/>
    <n v="54.87"/>
    <n v="0"/>
    <d v="2023-12-24T00:00:00"/>
  </r>
  <r>
    <s v="B00330"/>
    <s v="P005"/>
    <x v="0"/>
    <s v="Sold Out"/>
    <n v="42"/>
    <n v="42"/>
    <n v="0"/>
    <n v="0"/>
    <x v="259"/>
    <n v="126000"/>
    <n v="134.76"/>
    <n v="88200"/>
    <n v="37800"/>
    <n v="40.43"/>
    <n v="0"/>
    <d v="2024-01-03T00:00:00"/>
  </r>
  <r>
    <s v="B00331"/>
    <s v="P005"/>
    <x v="0"/>
    <s v="Sold Out"/>
    <n v="43"/>
    <n v="43"/>
    <n v="0"/>
    <n v="0"/>
    <x v="260"/>
    <n v="129000"/>
    <n v="137.97"/>
    <n v="90300"/>
    <n v="38700"/>
    <n v="41.39"/>
    <n v="0"/>
    <d v="2024-01-14T00:00:00"/>
  </r>
  <r>
    <s v="B00332"/>
    <s v="P005"/>
    <x v="0"/>
    <s v="Sold Out"/>
    <n v="34"/>
    <n v="34"/>
    <n v="0"/>
    <n v="0"/>
    <x v="261"/>
    <n v="102000"/>
    <n v="109.09"/>
    <n v="71400"/>
    <n v="30600"/>
    <n v="32.729999999999997"/>
    <n v="0"/>
    <d v="2024-01-23T00:00:00"/>
  </r>
  <r>
    <s v="B00333"/>
    <s v="P005"/>
    <x v="0"/>
    <s v="Sold Out"/>
    <n v="36"/>
    <n v="36"/>
    <n v="0"/>
    <n v="0"/>
    <x v="208"/>
    <n v="108000"/>
    <n v="115.51"/>
    <n v="75600"/>
    <n v="32400"/>
    <n v="34.65"/>
    <n v="0"/>
    <d v="2024-02-02T00:00:00"/>
  </r>
  <r>
    <s v="B00334"/>
    <s v="P005"/>
    <x v="0"/>
    <s v="Sold Out"/>
    <n v="45"/>
    <n v="45"/>
    <n v="0"/>
    <n v="0"/>
    <x v="262"/>
    <n v="135000"/>
    <n v="144.38999999999999"/>
    <n v="94500"/>
    <n v="40500"/>
    <n v="43.32"/>
    <n v="0"/>
    <d v="2024-02-13T00:00:00"/>
  </r>
  <r>
    <s v="B00335"/>
    <s v="P005"/>
    <x v="0"/>
    <s v="Partial Loss"/>
    <n v="36"/>
    <n v="28.62"/>
    <n v="7.38"/>
    <n v="20.5"/>
    <x v="263"/>
    <n v="85860"/>
    <n v="91.83"/>
    <n v="75600"/>
    <n v="10260"/>
    <n v="10.97"/>
    <n v="15498"/>
    <d v="2024-02-24T00:00:00"/>
  </r>
  <r>
    <s v="B00336"/>
    <s v="P005"/>
    <x v="0"/>
    <s v="Sold Out"/>
    <n v="34"/>
    <n v="34"/>
    <n v="0"/>
    <n v="0"/>
    <x v="209"/>
    <n v="102000"/>
    <n v="109.09"/>
    <n v="71400"/>
    <n v="30600"/>
    <n v="32.729999999999997"/>
    <n v="0"/>
    <d v="2024-03-03T00:00:00"/>
  </r>
  <r>
    <s v="B00337"/>
    <s v="P005"/>
    <x v="0"/>
    <s v="Sold Out"/>
    <n v="41"/>
    <n v="41"/>
    <n v="0"/>
    <n v="0"/>
    <x v="264"/>
    <n v="123000"/>
    <n v="131.55000000000001"/>
    <n v="86100"/>
    <n v="36900"/>
    <n v="39.47"/>
    <n v="0"/>
    <d v="2024-03-11T00:00:00"/>
  </r>
  <r>
    <s v="B00338"/>
    <s v="P005"/>
    <x v="0"/>
    <s v="Partial Loss"/>
    <n v="39"/>
    <n v="33.5"/>
    <n v="5.5"/>
    <n v="14.1"/>
    <x v="265"/>
    <n v="100500"/>
    <n v="107.49"/>
    <n v="81900"/>
    <n v="18600"/>
    <n v="19.89"/>
    <n v="11550"/>
    <d v="2024-03-23T00:00:00"/>
  </r>
  <r>
    <s v="B00339"/>
    <s v="P005"/>
    <x v="0"/>
    <s v="Sold Out"/>
    <n v="16"/>
    <n v="16"/>
    <n v="0"/>
    <n v="0"/>
    <x v="94"/>
    <n v="48000"/>
    <n v="51.34"/>
    <n v="33600"/>
    <n v="14400"/>
    <n v="15.4"/>
    <n v="0"/>
    <d v="2024-04-05T00:00:00"/>
  </r>
  <r>
    <s v="B00340"/>
    <s v="P005"/>
    <x v="0"/>
    <s v="Sold Out"/>
    <n v="15"/>
    <n v="15"/>
    <n v="0"/>
    <n v="0"/>
    <x v="266"/>
    <n v="45000"/>
    <n v="48.13"/>
    <n v="31500"/>
    <n v="13500"/>
    <n v="14.44"/>
    <n v="0"/>
    <d v="2024-04-13T00:00:00"/>
  </r>
  <r>
    <s v="B00341"/>
    <s v="P005"/>
    <x v="0"/>
    <s v="Sold Out"/>
    <n v="16"/>
    <n v="16"/>
    <n v="0"/>
    <n v="0"/>
    <x v="267"/>
    <n v="48000"/>
    <n v="51.34"/>
    <n v="33600"/>
    <n v="14400"/>
    <n v="15.4"/>
    <n v="0"/>
    <d v="2024-04-22T00:00:00"/>
  </r>
  <r>
    <s v="B00342"/>
    <s v="P005"/>
    <x v="0"/>
    <s v="Partial Loss"/>
    <n v="14"/>
    <n v="11.2"/>
    <n v="2.8"/>
    <n v="20"/>
    <x v="105"/>
    <n v="33600"/>
    <n v="35.94"/>
    <n v="29400"/>
    <n v="4200"/>
    <n v="4.49"/>
    <n v="5880"/>
    <d v="2024-05-02T00:00:00"/>
  </r>
  <r>
    <s v="B00343"/>
    <s v="P005"/>
    <x v="0"/>
    <s v="Partial Loss"/>
    <n v="15"/>
    <n v="14.52"/>
    <n v="0.48"/>
    <n v="3.2"/>
    <x v="169"/>
    <n v="43560"/>
    <n v="46.59"/>
    <n v="31500"/>
    <n v="12060"/>
    <n v="12.9"/>
    <n v="1008"/>
    <d v="2024-05-11T00:00:00"/>
  </r>
  <r>
    <s v="B00344"/>
    <s v="P005"/>
    <x v="0"/>
    <s v="Partial Loss"/>
    <n v="15"/>
    <n v="11.93"/>
    <n v="3.07"/>
    <n v="20.5"/>
    <x v="268"/>
    <n v="35790"/>
    <n v="38.28"/>
    <n v="34500"/>
    <n v="1290"/>
    <n v="1.38"/>
    <n v="7061"/>
    <d v="2024-05-20T00:00:00"/>
  </r>
  <r>
    <s v="B00345"/>
    <s v="P005"/>
    <x v="0"/>
    <s v="Partial Loss"/>
    <n v="16"/>
    <n v="12.85"/>
    <n v="3.15"/>
    <n v="19.7"/>
    <x v="269"/>
    <n v="38550"/>
    <n v="41.23"/>
    <n v="33600"/>
    <n v="4950"/>
    <n v="5.29"/>
    <n v="6615"/>
    <d v="2024-05-29T00:00:00"/>
  </r>
  <r>
    <s v="B00346"/>
    <s v="P005"/>
    <x v="0"/>
    <s v="Partial Loss"/>
    <n v="15"/>
    <n v="11.04"/>
    <n v="3.96"/>
    <n v="26.4"/>
    <x v="270"/>
    <n v="33120"/>
    <n v="35.42"/>
    <n v="31500"/>
    <n v="1620"/>
    <n v="1.73"/>
    <n v="8316"/>
    <d v="2024-06-07T00:00:00"/>
  </r>
  <r>
    <s v="B00347"/>
    <s v="P005"/>
    <x v="0"/>
    <s v="Partial Loss"/>
    <n v="16"/>
    <n v="12.56"/>
    <n v="3.44"/>
    <n v="21.5"/>
    <x v="37"/>
    <n v="37680"/>
    <n v="40.299999999999997"/>
    <n v="33600"/>
    <n v="4080"/>
    <n v="4.3600000000000003"/>
    <n v="7224"/>
    <d v="2024-06-14T00:00:00"/>
  </r>
  <r>
    <s v="B00348"/>
    <s v="P005"/>
    <x v="0"/>
    <s v="Sold Out"/>
    <n v="14"/>
    <n v="14"/>
    <n v="0"/>
    <n v="0"/>
    <x v="271"/>
    <n v="42000"/>
    <n v="44.92"/>
    <n v="29400"/>
    <n v="12600"/>
    <n v="13.48"/>
    <n v="0"/>
    <d v="2024-06-21T00:00:00"/>
  </r>
  <r>
    <s v="B00349"/>
    <s v="P005"/>
    <x v="0"/>
    <s v="Sold Out"/>
    <n v="13"/>
    <n v="13"/>
    <n v="0"/>
    <n v="0"/>
    <x v="168"/>
    <n v="39000"/>
    <n v="41.71"/>
    <n v="27300"/>
    <n v="11700"/>
    <n v="12.51"/>
    <n v="0"/>
    <d v="2024-07-01T00:00:00"/>
  </r>
  <r>
    <s v="B00350"/>
    <s v="P005"/>
    <x v="0"/>
    <s v="Partial Loss"/>
    <n v="16"/>
    <n v="15.07"/>
    <n v="0.93"/>
    <n v="5.8"/>
    <x v="272"/>
    <n v="45210"/>
    <n v="48.35"/>
    <n v="33600"/>
    <n v="11610"/>
    <n v="12.42"/>
    <n v="1953"/>
    <d v="2024-07-12T00:00:00"/>
  </r>
  <r>
    <s v="B00351"/>
    <s v="P005"/>
    <x v="0"/>
    <s v="Partial Loss"/>
    <n v="13"/>
    <n v="9.18"/>
    <n v="3.82"/>
    <n v="29.4"/>
    <x v="273"/>
    <n v="27540"/>
    <n v="29.45"/>
    <n v="27300"/>
    <n v="240"/>
    <n v="0.26"/>
    <n v="8022"/>
    <d v="2024-07-22T00:00:00"/>
  </r>
  <r>
    <s v="B00352"/>
    <s v="P005"/>
    <x v="0"/>
    <s v="Partial Loss"/>
    <n v="14"/>
    <n v="11.9"/>
    <n v="2.1"/>
    <n v="15"/>
    <x v="109"/>
    <n v="35700"/>
    <n v="38.18"/>
    <n v="29400"/>
    <n v="6300"/>
    <n v="6.74"/>
    <n v="4410"/>
    <d v="2024-08-01T00:00:00"/>
  </r>
  <r>
    <s v="B00353"/>
    <s v="P005"/>
    <x v="0"/>
    <s v="Partial Loss"/>
    <n v="16"/>
    <n v="14.03"/>
    <n v="1.97"/>
    <n v="12.3"/>
    <x v="274"/>
    <n v="42090"/>
    <n v="45.02"/>
    <n v="33600"/>
    <n v="8490"/>
    <n v="9.08"/>
    <n v="4137"/>
    <d v="2024-08-09T00:00:00"/>
  </r>
  <r>
    <s v="B00354"/>
    <s v="P005"/>
    <x v="0"/>
    <s v="Sold Out"/>
    <n v="15"/>
    <n v="15"/>
    <n v="0"/>
    <n v="0"/>
    <x v="275"/>
    <n v="45000"/>
    <n v="48.13"/>
    <n v="31500"/>
    <n v="13500"/>
    <n v="14.44"/>
    <n v="0"/>
    <d v="2024-08-19T00:00:00"/>
  </r>
  <r>
    <s v="B00355"/>
    <s v="P005"/>
    <x v="0"/>
    <s v="Partial Loss"/>
    <n v="13"/>
    <n v="10.46"/>
    <n v="2.54"/>
    <n v="19.5"/>
    <x v="111"/>
    <n v="31380"/>
    <n v="33.56"/>
    <n v="27300"/>
    <n v="4080"/>
    <n v="4.3600000000000003"/>
    <n v="5334"/>
    <d v="2024-08-31T00:00:00"/>
  </r>
  <r>
    <s v="B00356"/>
    <s v="P005"/>
    <x v="0"/>
    <s v="Partial Loss"/>
    <n v="20"/>
    <n v="16.82"/>
    <n v="3.18"/>
    <n v="15.9"/>
    <x v="276"/>
    <n v="50460"/>
    <n v="53.97"/>
    <n v="42000"/>
    <n v="8460"/>
    <n v="9.0500000000000007"/>
    <n v="6678"/>
    <d v="2024-09-09T00:00:00"/>
  </r>
  <r>
    <s v="B00357"/>
    <s v="P005"/>
    <x v="0"/>
    <s v="Sold Out"/>
    <n v="21"/>
    <n v="21"/>
    <n v="0"/>
    <n v="0"/>
    <x v="173"/>
    <n v="63000"/>
    <n v="67.38"/>
    <n v="44100"/>
    <n v="18900"/>
    <n v="20.21"/>
    <n v="0"/>
    <d v="2024-09-17T00:00:00"/>
  </r>
  <r>
    <s v="B00358"/>
    <s v="P005"/>
    <x v="0"/>
    <s v="Partial Loss"/>
    <n v="16"/>
    <n v="14.64"/>
    <n v="1.36"/>
    <n v="8.5"/>
    <x v="179"/>
    <n v="43920"/>
    <n v="46.97"/>
    <n v="33600"/>
    <n v="10320"/>
    <n v="11.04"/>
    <n v="2856"/>
    <d v="2024-09-29T00:00:00"/>
  </r>
  <r>
    <s v="B00359"/>
    <s v="P005"/>
    <x v="0"/>
    <s v="Sold Out"/>
    <n v="38"/>
    <n v="38"/>
    <n v="0"/>
    <n v="0"/>
    <x v="276"/>
    <n v="114000"/>
    <n v="121.93"/>
    <n v="79800"/>
    <n v="34200"/>
    <n v="36.58"/>
    <n v="0"/>
    <d v="2024-10-12T00:00:00"/>
  </r>
  <r>
    <s v="B00360"/>
    <s v="P005"/>
    <x v="0"/>
    <s v="Sold Out"/>
    <n v="43"/>
    <n v="43"/>
    <n v="0"/>
    <n v="0"/>
    <x v="277"/>
    <n v="129000"/>
    <n v="137.97"/>
    <n v="90300"/>
    <n v="38700"/>
    <n v="41.39"/>
    <n v="0"/>
    <d v="2024-10-22T00:00:00"/>
  </r>
  <r>
    <s v="B00361"/>
    <s v="P005"/>
    <x v="0"/>
    <s v="Sold Out"/>
    <n v="41"/>
    <n v="41"/>
    <n v="0"/>
    <n v="0"/>
    <x v="117"/>
    <n v="123000"/>
    <n v="131.55000000000001"/>
    <n v="86100"/>
    <n v="36900"/>
    <n v="39.47"/>
    <n v="0"/>
    <d v="2024-11-01T00:00:00"/>
  </r>
  <r>
    <s v="B00362"/>
    <s v="P005"/>
    <x v="0"/>
    <s v="Sold Out"/>
    <n v="40"/>
    <n v="40"/>
    <n v="0"/>
    <n v="0"/>
    <x v="278"/>
    <n v="120000"/>
    <n v="128.34"/>
    <n v="84000"/>
    <n v="36000"/>
    <n v="38.5"/>
    <n v="0"/>
    <d v="2024-11-08T00:00:00"/>
  </r>
  <r>
    <s v="B00363"/>
    <s v="P005"/>
    <x v="0"/>
    <s v="Sold Out"/>
    <n v="37"/>
    <n v="37"/>
    <n v="0"/>
    <n v="0"/>
    <x v="279"/>
    <n v="111000"/>
    <n v="118.72"/>
    <n v="77700"/>
    <n v="33300"/>
    <n v="35.61"/>
    <n v="0"/>
    <d v="2024-11-17T00:00:00"/>
  </r>
  <r>
    <s v="B00364"/>
    <s v="P005"/>
    <x v="0"/>
    <s v="Sold Out"/>
    <n v="35"/>
    <n v="35"/>
    <n v="0"/>
    <n v="0"/>
    <x v="280"/>
    <n v="105000"/>
    <n v="112.3"/>
    <n v="73500"/>
    <n v="31500"/>
    <n v="33.69"/>
    <n v="0"/>
    <d v="2024-11-26T00:00:00"/>
  </r>
  <r>
    <s v="B00365"/>
    <s v="P005"/>
    <x v="0"/>
    <s v="Sold Out"/>
    <n v="55"/>
    <n v="55"/>
    <n v="0"/>
    <n v="0"/>
    <x v="281"/>
    <n v="165000"/>
    <n v="176.47"/>
    <n v="115500"/>
    <n v="49500"/>
    <n v="52.94"/>
    <n v="0"/>
    <d v="2024-12-06T00:00:00"/>
  </r>
  <r>
    <s v="B00366"/>
    <s v="P005"/>
    <x v="0"/>
    <s v="Partial Loss"/>
    <n v="52"/>
    <n v="35.880000000000003"/>
    <n v="16.12"/>
    <n v="31"/>
    <x v="182"/>
    <n v="107640"/>
    <n v="115.12"/>
    <n v="109200"/>
    <n v="-1560"/>
    <n v="-1.67"/>
    <n v="33852"/>
    <d v="2024-12-17T00:00:00"/>
  </r>
  <r>
    <s v="B00367"/>
    <s v="P005"/>
    <x v="0"/>
    <s v="Sold Out"/>
    <n v="50"/>
    <n v="50"/>
    <n v="0"/>
    <n v="0"/>
    <x v="282"/>
    <n v="150000"/>
    <n v="160.43"/>
    <n v="105000"/>
    <n v="45000"/>
    <n v="48.13"/>
    <n v="0"/>
    <d v="2024-12-28T00:00:00"/>
  </r>
  <r>
    <s v="B00368"/>
    <s v="P005"/>
    <x v="0"/>
    <s v="Sold Out"/>
    <n v="40"/>
    <n v="40"/>
    <n v="0"/>
    <n v="0"/>
    <x v="227"/>
    <n v="120000"/>
    <n v="128.34"/>
    <n v="92000"/>
    <n v="28000"/>
    <n v="29.95"/>
    <n v="0"/>
    <d v="2025-01-10T00:00:00"/>
  </r>
  <r>
    <s v="B00369"/>
    <s v="P005"/>
    <x v="0"/>
    <s v="Sold Out"/>
    <n v="48"/>
    <n v="48"/>
    <n v="0"/>
    <n v="0"/>
    <x v="283"/>
    <n v="144000"/>
    <n v="154.01"/>
    <n v="100800"/>
    <n v="43200"/>
    <n v="46.2"/>
    <n v="0"/>
    <d v="2025-01-20T00:00:00"/>
  </r>
  <r>
    <s v="B00370"/>
    <s v="P005"/>
    <x v="0"/>
    <s v="Sold Out"/>
    <n v="41"/>
    <n v="41"/>
    <n v="0"/>
    <n v="0"/>
    <x v="59"/>
    <n v="123000"/>
    <n v="131.55000000000001"/>
    <n v="86100"/>
    <n v="36900"/>
    <n v="39.47"/>
    <n v="0"/>
    <d v="2025-01-27T00:00:00"/>
  </r>
  <r>
    <s v="B00371"/>
    <s v="P005"/>
    <x v="0"/>
    <s v="Sold Out"/>
    <n v="49"/>
    <n v="49"/>
    <n v="0"/>
    <n v="0"/>
    <x v="284"/>
    <n v="147000"/>
    <n v="157.22"/>
    <n v="102900"/>
    <n v="44100"/>
    <n v="47.17"/>
    <n v="0"/>
    <d v="2025-02-07T00:00:00"/>
  </r>
  <r>
    <s v="B00372"/>
    <s v="P005"/>
    <x v="0"/>
    <s v="Sold Out"/>
    <n v="37"/>
    <n v="37"/>
    <n v="0"/>
    <n v="0"/>
    <x v="285"/>
    <n v="111000"/>
    <n v="118.72"/>
    <n v="77700"/>
    <n v="33300"/>
    <n v="35.61"/>
    <n v="0"/>
    <d v="2025-02-17T00:00:00"/>
  </r>
  <r>
    <s v="B00373"/>
    <s v="P005"/>
    <x v="0"/>
    <s v="Sold Out"/>
    <n v="38"/>
    <n v="38"/>
    <n v="0"/>
    <n v="0"/>
    <x v="286"/>
    <n v="114000"/>
    <n v="121.93"/>
    <n v="79800"/>
    <n v="34200"/>
    <n v="36.58"/>
    <n v="0"/>
    <d v="2025-02-24T00:00:00"/>
  </r>
  <r>
    <s v="B00374"/>
    <s v="P005"/>
    <x v="0"/>
    <s v="Sold Out"/>
    <n v="48"/>
    <n v="48"/>
    <n v="0"/>
    <n v="0"/>
    <x v="287"/>
    <n v="144000"/>
    <n v="154.01"/>
    <n v="100800"/>
    <n v="43200"/>
    <n v="46.2"/>
    <n v="0"/>
    <d v="2025-03-06T00:00:00"/>
  </r>
  <r>
    <s v="B00375"/>
    <s v="P005"/>
    <x v="0"/>
    <s v="Sold Out"/>
    <n v="49"/>
    <n v="49"/>
    <n v="0"/>
    <n v="0"/>
    <x v="288"/>
    <n v="147000"/>
    <n v="157.22"/>
    <n v="102900"/>
    <n v="44100"/>
    <n v="47.17"/>
    <n v="0"/>
    <d v="2025-03-16T00:00:00"/>
  </r>
  <r>
    <s v="B00376"/>
    <s v="P005"/>
    <x v="0"/>
    <s v="Sold Out"/>
    <n v="38"/>
    <n v="38"/>
    <n v="0"/>
    <n v="0"/>
    <x v="289"/>
    <n v="114000"/>
    <n v="121.93"/>
    <n v="79800"/>
    <n v="34200"/>
    <n v="36.58"/>
    <n v="0"/>
    <d v="2025-03-24T00:00:00"/>
  </r>
  <r>
    <s v="B00377"/>
    <s v="P005"/>
    <x v="0"/>
    <s v="Sold Out"/>
    <n v="16"/>
    <n v="16"/>
    <n v="0"/>
    <n v="0"/>
    <x v="290"/>
    <n v="48000"/>
    <n v="51.34"/>
    <n v="36800"/>
    <n v="11200"/>
    <n v="11.98"/>
    <n v="0"/>
    <d v="2025-04-02T00:00:00"/>
  </r>
  <r>
    <s v="B00378"/>
    <s v="P005"/>
    <x v="0"/>
    <s v="Partial Loss"/>
    <n v="14"/>
    <n v="10.54"/>
    <n v="3.46"/>
    <n v="24.7"/>
    <x v="191"/>
    <n v="31620"/>
    <n v="33.82"/>
    <n v="29400"/>
    <n v="2220"/>
    <n v="2.37"/>
    <n v="7266"/>
    <d v="2025-04-09T00:00:00"/>
  </r>
  <r>
    <s v="B00379"/>
    <s v="P005"/>
    <x v="0"/>
    <s v="Sold Out"/>
    <n v="17"/>
    <n v="17"/>
    <n v="0"/>
    <n v="0"/>
    <x v="291"/>
    <n v="51000"/>
    <n v="54.55"/>
    <n v="39100"/>
    <n v="11900"/>
    <n v="12.73"/>
    <n v="0"/>
    <d v="2025-04-19T00:00:00"/>
  </r>
  <r>
    <s v="B00380"/>
    <s v="P005"/>
    <x v="0"/>
    <s v="Sold Out"/>
    <n v="14"/>
    <n v="14"/>
    <n v="0"/>
    <n v="0"/>
    <x v="66"/>
    <n v="42000"/>
    <n v="44.92"/>
    <n v="32200"/>
    <n v="9800"/>
    <n v="10.48"/>
    <n v="0"/>
    <d v="2025-04-30T00:00:00"/>
  </r>
  <r>
    <s v="B00381"/>
    <s v="P005"/>
    <x v="0"/>
    <s v="Partial Loss"/>
    <n v="16"/>
    <n v="13.41"/>
    <n v="2.59"/>
    <n v="16.2"/>
    <x v="292"/>
    <n v="40230"/>
    <n v="43.03"/>
    <n v="33600"/>
    <n v="6630"/>
    <n v="7.09"/>
    <n v="5439"/>
    <d v="2025-05-10T00:00:00"/>
  </r>
  <r>
    <s v="B00382"/>
    <s v="P005"/>
    <x v="0"/>
    <s v="Partial Loss"/>
    <n v="17"/>
    <n v="14.38"/>
    <n v="2.62"/>
    <n v="15.4"/>
    <x v="293"/>
    <n v="43140"/>
    <n v="46.14"/>
    <n v="35700"/>
    <n v="7440"/>
    <n v="7.96"/>
    <n v="5502"/>
    <d v="2025-05-19T00:00:00"/>
  </r>
  <r>
    <s v="B00383"/>
    <s v="P005"/>
    <x v="0"/>
    <s v="Partial Loss"/>
    <n v="15"/>
    <n v="11.56"/>
    <n v="3.44"/>
    <n v="22.9"/>
    <x v="294"/>
    <n v="34680"/>
    <n v="37.090000000000003"/>
    <n v="31500"/>
    <n v="3180"/>
    <n v="3.4"/>
    <n v="7224"/>
    <d v="2025-05-28T00:00:00"/>
  </r>
  <r>
    <s v="B00384"/>
    <s v="P005"/>
    <x v="0"/>
    <s v="Sold Out"/>
    <n v="19"/>
    <n v="19"/>
    <n v="0"/>
    <n v="0"/>
    <x v="295"/>
    <n v="57000"/>
    <n v="60.96"/>
    <n v="39900"/>
    <n v="17100"/>
    <n v="18.29"/>
    <n v="0"/>
    <d v="2025-06-08T00:00:00"/>
  </r>
  <r>
    <s v="B00385"/>
    <s v="P005"/>
    <x v="0"/>
    <s v="Sold Out"/>
    <n v="18"/>
    <n v="18"/>
    <n v="0"/>
    <n v="0"/>
    <x v="71"/>
    <n v="54000"/>
    <n v="57.75"/>
    <n v="37800"/>
    <n v="16200"/>
    <n v="17.329999999999998"/>
    <n v="0"/>
    <d v="2025-06-21T00:00:00"/>
  </r>
  <r>
    <s v="B00386"/>
    <s v="P006"/>
    <x v="0"/>
    <s v="Sold Out"/>
    <n v="15"/>
    <n v="15"/>
    <n v="0"/>
    <n v="0"/>
    <x v="296"/>
    <n v="45000"/>
    <n v="48.13"/>
    <n v="33000"/>
    <n v="12000"/>
    <n v="12.83"/>
    <n v="0"/>
    <d v="2023-07-01T00:00:00"/>
  </r>
  <r>
    <s v="B00387"/>
    <s v="P006"/>
    <x v="0"/>
    <s v="Partial Loss"/>
    <n v="15"/>
    <n v="10.38"/>
    <n v="4.62"/>
    <n v="30.8"/>
    <x v="0"/>
    <n v="31140"/>
    <n v="33.299999999999997"/>
    <n v="33000"/>
    <n v="-1860"/>
    <n v="-1.99"/>
    <n v="10164"/>
    <d v="2023-07-09T00:00:00"/>
  </r>
  <r>
    <s v="B00388"/>
    <s v="P006"/>
    <x v="0"/>
    <s v="Sold Out"/>
    <n v="17"/>
    <n v="17"/>
    <n v="0"/>
    <n v="0"/>
    <x v="297"/>
    <n v="51000"/>
    <n v="54.55"/>
    <n v="37400"/>
    <n v="13600"/>
    <n v="14.55"/>
    <n v="0"/>
    <d v="2023-07-20T00:00:00"/>
  </r>
  <r>
    <s v="B00389"/>
    <s v="P006"/>
    <x v="0"/>
    <s v="Partial Loss"/>
    <n v="16"/>
    <n v="13.41"/>
    <n v="2.59"/>
    <n v="16.2"/>
    <x v="298"/>
    <n v="40230"/>
    <n v="43.03"/>
    <n v="35200"/>
    <n v="5030"/>
    <n v="5.38"/>
    <n v="5698"/>
    <d v="2023-07-31T00:00:00"/>
  </r>
  <r>
    <s v="B00390"/>
    <s v="P006"/>
    <x v="0"/>
    <s v="Sold Out"/>
    <n v="15"/>
    <n v="15"/>
    <n v="0"/>
    <n v="0"/>
    <x v="299"/>
    <n v="45000"/>
    <n v="48.13"/>
    <n v="33000"/>
    <n v="12000"/>
    <n v="12.83"/>
    <n v="0"/>
    <d v="2023-08-07T00:00:00"/>
  </r>
  <r>
    <s v="B00391"/>
    <s v="P006"/>
    <x v="0"/>
    <s v="Sold Out"/>
    <n v="16"/>
    <n v="16"/>
    <n v="0"/>
    <n v="0"/>
    <x v="142"/>
    <n v="48000"/>
    <n v="51.34"/>
    <n v="35200"/>
    <n v="12800"/>
    <n v="13.69"/>
    <n v="0"/>
    <d v="2023-08-18T00:00:00"/>
  </r>
  <r>
    <s v="B00392"/>
    <s v="P006"/>
    <x v="0"/>
    <s v="Sold Out"/>
    <n v="16"/>
    <n v="16"/>
    <n v="0"/>
    <n v="0"/>
    <x v="300"/>
    <n v="48000"/>
    <n v="51.34"/>
    <n v="35200"/>
    <n v="12800"/>
    <n v="13.69"/>
    <n v="0"/>
    <d v="2023-08-28T00:00:00"/>
  </r>
  <r>
    <s v="B00393"/>
    <s v="P006"/>
    <x v="0"/>
    <s v="Partial Loss"/>
    <n v="20"/>
    <n v="16.559999999999999"/>
    <n v="3.44"/>
    <n v="17.2"/>
    <x v="301"/>
    <n v="49680"/>
    <n v="53.13"/>
    <n v="44000"/>
    <n v="5680"/>
    <n v="6.07"/>
    <n v="7568"/>
    <d v="2023-09-07T00:00:00"/>
  </r>
  <r>
    <s v="B00394"/>
    <s v="P006"/>
    <x v="0"/>
    <s v="Partial Loss"/>
    <n v="18"/>
    <n v="14.42"/>
    <n v="3.58"/>
    <n v="19.899999999999999"/>
    <x v="302"/>
    <n v="43260"/>
    <n v="46.27"/>
    <n v="39600"/>
    <n v="3660"/>
    <n v="3.91"/>
    <n v="7876"/>
    <d v="2023-09-17T00:00:00"/>
  </r>
  <r>
    <s v="B00395"/>
    <s v="P006"/>
    <x v="0"/>
    <s v="Partial Loss"/>
    <n v="18"/>
    <n v="13.86"/>
    <n v="4.1399999999999997"/>
    <n v="23"/>
    <x v="303"/>
    <n v="41580"/>
    <n v="44.47"/>
    <n v="39600"/>
    <n v="1980"/>
    <n v="2.12"/>
    <n v="9108"/>
    <d v="2023-09-27T00:00:00"/>
  </r>
  <r>
    <s v="B00396"/>
    <s v="P006"/>
    <x v="0"/>
    <s v="Sold Out"/>
    <n v="46"/>
    <n v="46"/>
    <n v="0"/>
    <n v="0"/>
    <x v="10"/>
    <n v="138000"/>
    <n v="147.59"/>
    <n v="101200"/>
    <n v="36800"/>
    <n v="39.36"/>
    <n v="0"/>
    <d v="2023-10-04T00:00:00"/>
  </r>
  <r>
    <s v="B00397"/>
    <s v="P006"/>
    <x v="0"/>
    <s v="Partial Loss"/>
    <n v="45"/>
    <n v="39.729999999999997"/>
    <n v="5.27"/>
    <n v="11.7"/>
    <x v="304"/>
    <n v="119190"/>
    <n v="127.48"/>
    <n v="99000"/>
    <n v="20190"/>
    <n v="21.59"/>
    <n v="11593.999999999998"/>
    <d v="2023-10-14T00:00:00"/>
  </r>
  <r>
    <s v="B00398"/>
    <s v="P006"/>
    <x v="0"/>
    <s v="Sold Out"/>
    <n v="44"/>
    <n v="44"/>
    <n v="0"/>
    <n v="0"/>
    <x v="8"/>
    <n v="132000"/>
    <n v="141.18"/>
    <n v="96800"/>
    <n v="35200"/>
    <n v="37.65"/>
    <n v="0"/>
    <d v="2023-10-21T00:00:00"/>
  </r>
  <r>
    <s v="B00399"/>
    <s v="P006"/>
    <x v="0"/>
    <s v="Sold Out"/>
    <n v="46"/>
    <n v="46"/>
    <n v="0"/>
    <n v="0"/>
    <x v="254"/>
    <n v="138000"/>
    <n v="147.59"/>
    <n v="101200"/>
    <n v="36800"/>
    <n v="39.36"/>
    <n v="0"/>
    <d v="2023-10-30T00:00:00"/>
  </r>
  <r>
    <s v="B00400"/>
    <s v="P006"/>
    <x v="0"/>
    <s v="Sold Out"/>
    <n v="36"/>
    <n v="36"/>
    <n v="0"/>
    <n v="0"/>
    <x v="255"/>
    <n v="108000"/>
    <n v="115.51"/>
    <n v="79200"/>
    <n v="28800"/>
    <n v="30.8"/>
    <n v="0"/>
    <d v="2023-11-08T00:00:00"/>
  </r>
  <r>
    <s v="B00401"/>
    <s v="P006"/>
    <x v="0"/>
    <s v="Partial Loss"/>
    <n v="46"/>
    <n v="35.47"/>
    <n v="10.53"/>
    <n v="22.9"/>
    <x v="15"/>
    <n v="106410"/>
    <n v="113.81"/>
    <n v="101200"/>
    <n v="5210"/>
    <n v="5.57"/>
    <n v="23166"/>
    <d v="2023-11-18T00:00:00"/>
  </r>
  <r>
    <s v="B00402"/>
    <s v="P006"/>
    <x v="0"/>
    <s v="Sold Out"/>
    <n v="38"/>
    <n v="38"/>
    <n v="0"/>
    <n v="0"/>
    <x v="305"/>
    <n v="114000"/>
    <n v="121.93"/>
    <n v="83600"/>
    <n v="30400"/>
    <n v="32.51"/>
    <n v="0"/>
    <d v="2023-11-26T00:00:00"/>
  </r>
  <r>
    <s v="B00403"/>
    <s v="P006"/>
    <x v="0"/>
    <s v="Sold Out"/>
    <n v="55"/>
    <n v="55"/>
    <n v="0"/>
    <n v="0"/>
    <x v="257"/>
    <n v="165000"/>
    <n v="176.47"/>
    <n v="121000"/>
    <n v="44000"/>
    <n v="47.06"/>
    <n v="0"/>
    <d v="2023-12-05T00:00:00"/>
  </r>
  <r>
    <s v="B00404"/>
    <s v="P006"/>
    <x v="0"/>
    <s v="Sold Out"/>
    <n v="45"/>
    <n v="45"/>
    <n v="0"/>
    <n v="0"/>
    <x v="306"/>
    <n v="135000"/>
    <n v="144.38999999999999"/>
    <n v="99000"/>
    <n v="36000"/>
    <n v="38.5"/>
    <n v="0"/>
    <d v="2023-12-15T00:00:00"/>
  </r>
  <r>
    <s v="B00405"/>
    <s v="P006"/>
    <x v="0"/>
    <s v="Sold Out"/>
    <n v="52"/>
    <n v="52"/>
    <n v="0"/>
    <n v="0"/>
    <x v="15"/>
    <n v="156000"/>
    <n v="166.84"/>
    <n v="114400"/>
    <n v="41600"/>
    <n v="44.49"/>
    <n v="0"/>
    <d v="2023-12-24T00:00:00"/>
  </r>
  <r>
    <s v="B00406"/>
    <s v="P006"/>
    <x v="0"/>
    <s v="Sold Out"/>
    <n v="38"/>
    <n v="38"/>
    <n v="0"/>
    <n v="0"/>
    <x v="307"/>
    <n v="114000"/>
    <n v="121.93"/>
    <n v="83600"/>
    <n v="30400"/>
    <n v="32.51"/>
    <n v="0"/>
    <d v="2024-01-03T00:00:00"/>
  </r>
  <r>
    <s v="B00407"/>
    <s v="P006"/>
    <x v="0"/>
    <s v="Partial Loss"/>
    <n v="39"/>
    <n v="28.24"/>
    <n v="10.76"/>
    <n v="27.6"/>
    <x v="308"/>
    <n v="84720"/>
    <n v="90.61"/>
    <n v="85800"/>
    <n v="-1080"/>
    <n v="-1.1599999999999999"/>
    <n v="23672"/>
    <d v="2024-01-12T00:00:00"/>
  </r>
  <r>
    <s v="B00408"/>
    <s v="P006"/>
    <x v="0"/>
    <s v="Sold Out"/>
    <n v="40"/>
    <n v="40"/>
    <n v="0"/>
    <n v="0"/>
    <x v="309"/>
    <n v="120000"/>
    <n v="128.34"/>
    <n v="88000"/>
    <n v="32000"/>
    <n v="34.22"/>
    <n v="0"/>
    <d v="2024-01-20T00:00:00"/>
  </r>
  <r>
    <s v="B00409"/>
    <s v="P006"/>
    <x v="0"/>
    <s v="Sold Out"/>
    <n v="39"/>
    <n v="39"/>
    <n v="0"/>
    <n v="0"/>
    <x v="310"/>
    <n v="117000"/>
    <n v="125.13"/>
    <n v="85800"/>
    <n v="31200"/>
    <n v="33.369999999999997"/>
    <n v="0"/>
    <d v="2024-01-30T00:00:00"/>
  </r>
  <r>
    <s v="B00410"/>
    <s v="P006"/>
    <x v="0"/>
    <s v="Partial Loss"/>
    <n v="42"/>
    <n v="30.74"/>
    <n v="11.26"/>
    <n v="26.8"/>
    <x v="96"/>
    <n v="92220"/>
    <n v="98.63"/>
    <n v="92400"/>
    <n v="-180"/>
    <n v="-0.19"/>
    <n v="24772"/>
    <d v="2024-02-09T00:00:00"/>
  </r>
  <r>
    <s v="B00411"/>
    <s v="P006"/>
    <x v="0"/>
    <s v="Sold Out"/>
    <n v="36"/>
    <n v="36"/>
    <n v="0"/>
    <n v="0"/>
    <x v="308"/>
    <n v="108000"/>
    <n v="115.51"/>
    <n v="79200"/>
    <n v="28800"/>
    <n v="30.8"/>
    <n v="0"/>
    <d v="2024-02-18T00:00:00"/>
  </r>
  <r>
    <s v="B00412"/>
    <s v="P006"/>
    <x v="0"/>
    <s v="Partial Loss"/>
    <n v="34"/>
    <n v="25.64"/>
    <n v="8.36"/>
    <n v="24.6"/>
    <x v="311"/>
    <n v="76920"/>
    <n v="82.27"/>
    <n v="74800"/>
    <n v="2120"/>
    <n v="2.27"/>
    <n v="18392"/>
    <d v="2024-02-28T00:00:00"/>
  </r>
  <r>
    <s v="B00413"/>
    <s v="P006"/>
    <x v="0"/>
    <s v="Sold Out"/>
    <n v="44"/>
    <n v="44"/>
    <n v="0"/>
    <n v="0"/>
    <x v="312"/>
    <n v="132000"/>
    <n v="141.18"/>
    <n v="96800"/>
    <n v="35200"/>
    <n v="37.65"/>
    <n v="0"/>
    <d v="2024-03-06T00:00:00"/>
  </r>
  <r>
    <s v="B00414"/>
    <s v="P006"/>
    <x v="0"/>
    <s v="Sold Out"/>
    <n v="37"/>
    <n v="37"/>
    <n v="0"/>
    <n v="0"/>
    <x v="313"/>
    <n v="111000"/>
    <n v="118.72"/>
    <n v="81400"/>
    <n v="29600"/>
    <n v="31.66"/>
    <n v="0"/>
    <d v="2024-03-16T00:00:00"/>
  </r>
  <r>
    <s v="B00415"/>
    <s v="P006"/>
    <x v="0"/>
    <s v="Sold Out"/>
    <n v="38"/>
    <n v="38"/>
    <n v="0"/>
    <n v="0"/>
    <x v="97"/>
    <n v="114000"/>
    <n v="121.93"/>
    <n v="83600"/>
    <n v="30400"/>
    <n v="32.51"/>
    <n v="0"/>
    <d v="2024-03-24T00:00:00"/>
  </r>
  <r>
    <s v="B00416"/>
    <s v="P006"/>
    <x v="0"/>
    <s v="Partial Loss"/>
    <n v="14"/>
    <n v="11.27"/>
    <n v="2.73"/>
    <n v="19.5"/>
    <x v="314"/>
    <n v="33810"/>
    <n v="36.159999999999997"/>
    <n v="30800"/>
    <n v="3010"/>
    <n v="3.22"/>
    <n v="6006"/>
    <d v="2024-04-05T00:00:00"/>
  </r>
  <r>
    <s v="B00417"/>
    <s v="P006"/>
    <x v="0"/>
    <s v="Partial Loss"/>
    <n v="13"/>
    <n v="10"/>
    <n v="3"/>
    <n v="23.1"/>
    <x v="315"/>
    <n v="30000"/>
    <n v="32.090000000000003"/>
    <n v="28600"/>
    <n v="1400"/>
    <n v="1.5"/>
    <n v="6600"/>
    <d v="2024-04-12T00:00:00"/>
  </r>
  <r>
    <s v="B00418"/>
    <s v="P006"/>
    <x v="0"/>
    <s v="Sold Out"/>
    <n v="16"/>
    <n v="16"/>
    <n v="0"/>
    <n v="0"/>
    <x v="316"/>
    <n v="48000"/>
    <n v="51.34"/>
    <n v="35200"/>
    <n v="12800"/>
    <n v="13.69"/>
    <n v="0"/>
    <d v="2024-04-23T00:00:00"/>
  </r>
  <r>
    <s v="B00419"/>
    <s v="P006"/>
    <x v="0"/>
    <s v="Sold Out"/>
    <n v="16"/>
    <n v="16"/>
    <n v="0"/>
    <n v="0"/>
    <x v="317"/>
    <n v="48000"/>
    <n v="51.34"/>
    <n v="35200"/>
    <n v="12800"/>
    <n v="13.69"/>
    <n v="0"/>
    <d v="2024-05-01T00:00:00"/>
  </r>
  <r>
    <s v="B00420"/>
    <s v="P006"/>
    <x v="0"/>
    <s v="Partial Loss"/>
    <n v="14"/>
    <n v="11.66"/>
    <n v="2.34"/>
    <n v="16.7"/>
    <x v="318"/>
    <n v="34980"/>
    <n v="37.409999999999997"/>
    <n v="30800"/>
    <n v="4180"/>
    <n v="4.47"/>
    <n v="5148"/>
    <d v="2024-05-08T00:00:00"/>
  </r>
  <r>
    <s v="B00421"/>
    <s v="P006"/>
    <x v="0"/>
    <s v="Partial Loss"/>
    <n v="17"/>
    <n v="12.48"/>
    <n v="4.5199999999999996"/>
    <n v="26.6"/>
    <x v="215"/>
    <n v="37440"/>
    <n v="40.04"/>
    <n v="37400"/>
    <n v="40"/>
    <n v="0.04"/>
    <n v="9943.9999999999982"/>
    <d v="2024-05-15T00:00:00"/>
  </r>
  <r>
    <s v="B00422"/>
    <s v="P006"/>
    <x v="0"/>
    <s v="Sold Out"/>
    <n v="16"/>
    <n v="16"/>
    <n v="0"/>
    <n v="0"/>
    <x v="165"/>
    <n v="48000"/>
    <n v="51.34"/>
    <n v="35200"/>
    <n v="12800"/>
    <n v="13.69"/>
    <n v="0"/>
    <d v="2024-05-26T00:00:00"/>
  </r>
  <r>
    <s v="B00423"/>
    <s v="P006"/>
    <x v="0"/>
    <s v="Sold Out"/>
    <n v="13"/>
    <n v="13"/>
    <n v="0"/>
    <n v="0"/>
    <x v="319"/>
    <n v="39000"/>
    <n v="41.71"/>
    <n v="28600"/>
    <n v="10400"/>
    <n v="11.12"/>
    <n v="0"/>
    <d v="2024-06-02T00:00:00"/>
  </r>
  <r>
    <s v="B00424"/>
    <s v="P006"/>
    <x v="0"/>
    <s v="Sold Out"/>
    <n v="13"/>
    <n v="13"/>
    <n v="0"/>
    <n v="0"/>
    <x v="105"/>
    <n v="39000"/>
    <n v="41.71"/>
    <n v="28600"/>
    <n v="10400"/>
    <n v="11.12"/>
    <n v="0"/>
    <d v="2024-06-11T00:00:00"/>
  </r>
  <r>
    <s v="B00425"/>
    <s v="P006"/>
    <x v="0"/>
    <s v="Partial Loss"/>
    <n v="15"/>
    <n v="10.61"/>
    <n v="4.3899999999999997"/>
    <n v="29.3"/>
    <x v="320"/>
    <n v="31830"/>
    <n v="34.04"/>
    <n v="33000"/>
    <n v="-1170"/>
    <n v="-1.25"/>
    <n v="9658"/>
    <d v="2024-06-21T00:00:00"/>
  </r>
  <r>
    <s v="B00426"/>
    <s v="P006"/>
    <x v="0"/>
    <s v="Partial Loss"/>
    <n v="16"/>
    <n v="11.39"/>
    <n v="4.6100000000000003"/>
    <n v="28.8"/>
    <x v="321"/>
    <n v="34170"/>
    <n v="36.549999999999997"/>
    <n v="35200"/>
    <n v="-1030"/>
    <n v="-1.1000000000000001"/>
    <n v="10142"/>
    <d v="2024-07-01T00:00:00"/>
  </r>
  <r>
    <s v="B00427"/>
    <s v="P006"/>
    <x v="0"/>
    <s v="Partial Loss"/>
    <n v="14"/>
    <n v="10.44"/>
    <n v="3.56"/>
    <n v="25.4"/>
    <x v="322"/>
    <n v="31320"/>
    <n v="33.5"/>
    <n v="30800"/>
    <n v="520"/>
    <n v="0.56000000000000005"/>
    <n v="7832"/>
    <d v="2024-07-09T00:00:00"/>
  </r>
  <r>
    <s v="B00428"/>
    <s v="P006"/>
    <x v="0"/>
    <s v="Sold Out"/>
    <n v="15"/>
    <n v="15"/>
    <n v="0"/>
    <n v="0"/>
    <x v="219"/>
    <n v="45000"/>
    <n v="48.13"/>
    <n v="33000"/>
    <n v="12000"/>
    <n v="12.83"/>
    <n v="0"/>
    <d v="2024-07-15T00:00:00"/>
  </r>
  <r>
    <s v="B00429"/>
    <s v="P006"/>
    <x v="0"/>
    <s v="Partial Loss"/>
    <n v="13"/>
    <n v="10.210000000000001"/>
    <n v="2.79"/>
    <n v="21.5"/>
    <x v="323"/>
    <n v="30630"/>
    <n v="32.76"/>
    <n v="28600"/>
    <n v="2030"/>
    <n v="2.17"/>
    <n v="6138"/>
    <d v="2024-07-26T00:00:00"/>
  </r>
  <r>
    <s v="B00430"/>
    <s v="P006"/>
    <x v="0"/>
    <s v="Sold Out"/>
    <n v="15"/>
    <n v="15"/>
    <n v="0"/>
    <n v="0"/>
    <x v="324"/>
    <n v="45000"/>
    <n v="48.13"/>
    <n v="33000"/>
    <n v="12000"/>
    <n v="12.83"/>
    <n v="0"/>
    <d v="2024-08-06T00:00:00"/>
  </r>
  <r>
    <s v="B00431"/>
    <s v="P006"/>
    <x v="0"/>
    <s v="Sold Out"/>
    <n v="17"/>
    <n v="17"/>
    <n v="0"/>
    <n v="0"/>
    <x v="325"/>
    <n v="51000"/>
    <n v="54.55"/>
    <n v="37400"/>
    <n v="13600"/>
    <n v="14.55"/>
    <n v="0"/>
    <d v="2024-08-17T00:00:00"/>
  </r>
  <r>
    <s v="B00432"/>
    <s v="P006"/>
    <x v="0"/>
    <s v="Sold Out"/>
    <n v="16"/>
    <n v="16"/>
    <n v="0"/>
    <n v="0"/>
    <x v="326"/>
    <n v="48000"/>
    <n v="51.34"/>
    <n v="35200"/>
    <n v="12800"/>
    <n v="13.69"/>
    <n v="0"/>
    <d v="2024-08-25T00:00:00"/>
  </r>
  <r>
    <s v="B00433"/>
    <s v="P006"/>
    <x v="0"/>
    <s v="Sold Out"/>
    <n v="19"/>
    <n v="19"/>
    <n v="0"/>
    <n v="0"/>
    <x v="323"/>
    <n v="57000"/>
    <n v="60.96"/>
    <n v="41800"/>
    <n v="15200"/>
    <n v="16.260000000000002"/>
    <n v="0"/>
    <d v="2024-09-03T00:00:00"/>
  </r>
  <r>
    <s v="B00434"/>
    <s v="P006"/>
    <x v="0"/>
    <s v="Partial Loss"/>
    <n v="18"/>
    <n v="14.11"/>
    <n v="3.89"/>
    <n v="21.6"/>
    <x v="327"/>
    <n v="42330"/>
    <n v="45.27"/>
    <n v="39600"/>
    <n v="2730"/>
    <n v="2.92"/>
    <n v="8558"/>
    <d v="2024-09-13T00:00:00"/>
  </r>
  <r>
    <s v="B00435"/>
    <s v="P006"/>
    <x v="0"/>
    <s v="Sold Out"/>
    <n v="20"/>
    <n v="20"/>
    <n v="0"/>
    <n v="0"/>
    <x v="328"/>
    <n v="60000"/>
    <n v="64.17"/>
    <n v="44000"/>
    <n v="16000"/>
    <n v="17.11"/>
    <n v="0"/>
    <d v="2024-09-21T00:00:00"/>
  </r>
  <r>
    <s v="B00436"/>
    <s v="P006"/>
    <x v="0"/>
    <s v="Sold Out"/>
    <n v="44"/>
    <n v="44"/>
    <n v="0"/>
    <n v="0"/>
    <x v="114"/>
    <n v="132000"/>
    <n v="141.18"/>
    <n v="96800"/>
    <n v="35200"/>
    <n v="37.65"/>
    <n v="0"/>
    <d v="2024-10-01T00:00:00"/>
  </r>
  <r>
    <s v="B00437"/>
    <s v="P006"/>
    <x v="0"/>
    <s v="Sold Out"/>
    <n v="39"/>
    <n v="39"/>
    <n v="0"/>
    <n v="0"/>
    <x v="222"/>
    <n v="117000"/>
    <n v="125.13"/>
    <n v="85800"/>
    <n v="31200"/>
    <n v="33.369999999999997"/>
    <n v="0"/>
    <d v="2024-10-08T00:00:00"/>
  </r>
  <r>
    <s v="B00438"/>
    <s v="P006"/>
    <x v="0"/>
    <s v="Sold Out"/>
    <n v="41"/>
    <n v="41"/>
    <n v="0"/>
    <n v="0"/>
    <x v="115"/>
    <n v="123000"/>
    <n v="131.55000000000001"/>
    <n v="90200"/>
    <n v="32800"/>
    <n v="35.08"/>
    <n v="0"/>
    <d v="2024-10-16T00:00:00"/>
  </r>
  <r>
    <s v="B00439"/>
    <s v="P006"/>
    <x v="0"/>
    <s v="Sold Out"/>
    <n v="38"/>
    <n v="38"/>
    <n v="0"/>
    <n v="0"/>
    <x v="116"/>
    <n v="114000"/>
    <n v="121.93"/>
    <n v="83600"/>
    <n v="30400"/>
    <n v="32.51"/>
    <n v="0"/>
    <d v="2024-10-24T00:00:00"/>
  </r>
  <r>
    <s v="B00440"/>
    <s v="P006"/>
    <x v="0"/>
    <s v="Sold Out"/>
    <n v="38"/>
    <n v="38"/>
    <n v="0"/>
    <n v="0"/>
    <x v="329"/>
    <n v="114000"/>
    <n v="121.93"/>
    <n v="83600"/>
    <n v="30400"/>
    <n v="32.51"/>
    <n v="0"/>
    <d v="2024-11-01T00:00:00"/>
  </r>
  <r>
    <s v="B00441"/>
    <s v="P006"/>
    <x v="0"/>
    <s v="Sold Out"/>
    <n v="41"/>
    <n v="41"/>
    <n v="0"/>
    <n v="0"/>
    <x v="118"/>
    <n v="123000"/>
    <n v="131.55000000000001"/>
    <n v="90200"/>
    <n v="32800"/>
    <n v="35.08"/>
    <n v="0"/>
    <d v="2024-11-10T00:00:00"/>
  </r>
  <r>
    <s v="B00442"/>
    <s v="P006"/>
    <x v="0"/>
    <s v="Sold Out"/>
    <n v="36"/>
    <n v="36"/>
    <n v="0"/>
    <n v="0"/>
    <x v="279"/>
    <n v="108000"/>
    <n v="115.51"/>
    <n v="79200"/>
    <n v="28800"/>
    <n v="30.8"/>
    <n v="0"/>
    <d v="2024-11-19T00:00:00"/>
  </r>
  <r>
    <s v="B00443"/>
    <s v="P006"/>
    <x v="0"/>
    <s v="Sold Out"/>
    <n v="45"/>
    <n v="45"/>
    <n v="0"/>
    <n v="0"/>
    <x v="280"/>
    <n v="135000"/>
    <n v="144.38999999999999"/>
    <n v="99000"/>
    <n v="36000"/>
    <n v="38.5"/>
    <n v="0"/>
    <d v="2024-11-30T00:00:00"/>
  </r>
  <r>
    <s v="B00444"/>
    <s v="P006"/>
    <x v="0"/>
    <s v="Sold Out"/>
    <n v="51"/>
    <n v="51"/>
    <n v="0"/>
    <n v="0"/>
    <x v="330"/>
    <n v="153000"/>
    <n v="163.63999999999999"/>
    <n v="112200"/>
    <n v="40800"/>
    <n v="43.64"/>
    <n v="0"/>
    <d v="2024-12-10T00:00:00"/>
  </r>
  <r>
    <s v="B00445"/>
    <s v="P006"/>
    <x v="0"/>
    <s v="Sold Out"/>
    <n v="46"/>
    <n v="46"/>
    <n v="0"/>
    <n v="0"/>
    <x v="122"/>
    <n v="138000"/>
    <n v="147.59"/>
    <n v="101200"/>
    <n v="36800"/>
    <n v="39.36"/>
    <n v="0"/>
    <d v="2024-12-19T00:00:00"/>
  </r>
  <r>
    <s v="B00446"/>
    <s v="P006"/>
    <x v="0"/>
    <s v="Sold Out"/>
    <n v="48"/>
    <n v="48"/>
    <n v="0"/>
    <n v="0"/>
    <x v="331"/>
    <n v="144000"/>
    <n v="154.01"/>
    <n v="105600"/>
    <n v="38400"/>
    <n v="41.07"/>
    <n v="0"/>
    <d v="2024-12-28T00:00:00"/>
  </r>
  <r>
    <s v="B00447"/>
    <s v="P006"/>
    <x v="0"/>
    <s v="Sold Out"/>
    <n v="45"/>
    <n v="45"/>
    <n v="0"/>
    <n v="0"/>
    <x v="58"/>
    <n v="135000"/>
    <n v="144.38999999999999"/>
    <n v="99000"/>
    <n v="36000"/>
    <n v="38.5"/>
    <n v="0"/>
    <d v="2025-01-07T00:00:00"/>
  </r>
  <r>
    <s v="B00448"/>
    <s v="P006"/>
    <x v="0"/>
    <s v="Sold Out"/>
    <n v="42"/>
    <n v="42"/>
    <n v="0"/>
    <n v="0"/>
    <x v="184"/>
    <n v="126000"/>
    <n v="134.76"/>
    <n v="92400"/>
    <n v="33600"/>
    <n v="35.94"/>
    <n v="0"/>
    <d v="2025-01-17T00:00:00"/>
  </r>
  <r>
    <s v="B00449"/>
    <s v="P006"/>
    <x v="0"/>
    <s v="Sold Out"/>
    <n v="44"/>
    <n v="44"/>
    <n v="0"/>
    <n v="0"/>
    <x v="332"/>
    <n v="132000"/>
    <n v="141.18"/>
    <n v="96800"/>
    <n v="35200"/>
    <n v="37.65"/>
    <n v="0"/>
    <d v="2025-01-26T00:00:00"/>
  </r>
  <r>
    <s v="B00450"/>
    <s v="P006"/>
    <x v="0"/>
    <s v="Sold Out"/>
    <n v="50"/>
    <n v="50"/>
    <n v="0"/>
    <n v="0"/>
    <x v="333"/>
    <n v="150000"/>
    <n v="160.43"/>
    <n v="110000"/>
    <n v="40000"/>
    <n v="42.78"/>
    <n v="0"/>
    <d v="2025-02-06T00:00:00"/>
  </r>
  <r>
    <s v="B00451"/>
    <s v="P006"/>
    <x v="0"/>
    <s v="Sold Out"/>
    <n v="39"/>
    <n v="39"/>
    <n v="0"/>
    <n v="0"/>
    <x v="334"/>
    <n v="117000"/>
    <n v="125.13"/>
    <n v="85800"/>
    <n v="31200"/>
    <n v="33.369999999999997"/>
    <n v="0"/>
    <d v="2025-02-15T00:00:00"/>
  </r>
  <r>
    <s v="B00452"/>
    <s v="P006"/>
    <x v="0"/>
    <s v="Sold Out"/>
    <n v="49"/>
    <n v="49"/>
    <n v="0"/>
    <n v="0"/>
    <x v="130"/>
    <n v="147000"/>
    <n v="157.22"/>
    <n v="107800"/>
    <n v="39200"/>
    <n v="41.93"/>
    <n v="0"/>
    <d v="2025-02-24T00:00:00"/>
  </r>
  <r>
    <s v="B00453"/>
    <s v="P006"/>
    <x v="0"/>
    <s v="Partial Loss"/>
    <n v="43"/>
    <n v="37.58"/>
    <n v="5.42"/>
    <n v="12.6"/>
    <x v="335"/>
    <n v="112740"/>
    <n v="120.58"/>
    <n v="94600"/>
    <n v="18140"/>
    <n v="19.399999999999999"/>
    <n v="11924"/>
    <d v="2025-03-05T00:00:00"/>
  </r>
  <r>
    <s v="B00454"/>
    <s v="P006"/>
    <x v="0"/>
    <s v="Sold Out"/>
    <n v="38"/>
    <n v="38"/>
    <n v="0"/>
    <n v="0"/>
    <x v="288"/>
    <n v="114000"/>
    <n v="121.93"/>
    <n v="83600"/>
    <n v="30400"/>
    <n v="32.51"/>
    <n v="0"/>
    <d v="2025-03-14T00:00:00"/>
  </r>
  <r>
    <s v="B00455"/>
    <s v="P006"/>
    <x v="0"/>
    <s v="Sold Out"/>
    <n v="49"/>
    <n v="49"/>
    <n v="0"/>
    <n v="0"/>
    <x v="237"/>
    <n v="147000"/>
    <n v="157.22"/>
    <n v="107800"/>
    <n v="39200"/>
    <n v="41.93"/>
    <n v="0"/>
    <d v="2025-03-23T00:00:00"/>
  </r>
  <r>
    <s v="B00456"/>
    <s v="P006"/>
    <x v="0"/>
    <s v="Partial Loss"/>
    <n v="49"/>
    <n v="43.81"/>
    <n v="5.19"/>
    <n v="10.6"/>
    <x v="336"/>
    <n v="131430"/>
    <n v="140.57"/>
    <n v="107800"/>
    <n v="23630"/>
    <n v="25.27"/>
    <n v="11418"/>
    <d v="2025-03-30T00:00:00"/>
  </r>
  <r>
    <s v="B00457"/>
    <s v="P006"/>
    <x v="0"/>
    <s v="Sold Out"/>
    <n v="15"/>
    <n v="15"/>
    <n v="0"/>
    <n v="0"/>
    <x v="337"/>
    <n v="45000"/>
    <n v="48.13"/>
    <n v="33000"/>
    <n v="12000"/>
    <n v="12.83"/>
    <n v="0"/>
    <d v="2025-04-12T00:00:00"/>
  </r>
  <r>
    <s v="B00458"/>
    <s v="P006"/>
    <x v="0"/>
    <s v="Sold Out"/>
    <n v="16"/>
    <n v="16"/>
    <n v="0"/>
    <n v="0"/>
    <x v="291"/>
    <n v="48000"/>
    <n v="51.34"/>
    <n v="35200"/>
    <n v="12800"/>
    <n v="13.69"/>
    <n v="0"/>
    <d v="2025-04-20T00:00:00"/>
  </r>
  <r>
    <s v="B00459"/>
    <s v="P006"/>
    <x v="0"/>
    <s v="Partial Loss"/>
    <n v="14"/>
    <n v="11.94"/>
    <n v="2.06"/>
    <n v="14.7"/>
    <x v="338"/>
    <n v="35820"/>
    <n v="38.31"/>
    <n v="30800"/>
    <n v="5020"/>
    <n v="5.37"/>
    <n v="4532"/>
    <d v="2025-04-29T00:00:00"/>
  </r>
  <r>
    <s v="B00460"/>
    <s v="P006"/>
    <x v="0"/>
    <s v="Sold Out"/>
    <n v="18"/>
    <n v="18"/>
    <n v="0"/>
    <n v="0"/>
    <x v="242"/>
    <n v="54000"/>
    <n v="57.75"/>
    <n v="39600"/>
    <n v="14400"/>
    <n v="15.4"/>
    <n v="0"/>
    <d v="2025-05-11T00:00:00"/>
  </r>
  <r>
    <s v="B00461"/>
    <s v="P006"/>
    <x v="0"/>
    <s v="Sold Out"/>
    <n v="14"/>
    <n v="14"/>
    <n v="0"/>
    <n v="0"/>
    <x v="191"/>
    <n v="42000"/>
    <n v="44.92"/>
    <n v="30800"/>
    <n v="11200"/>
    <n v="11.98"/>
    <n v="0"/>
    <d v="2025-05-19T00:00:00"/>
  </r>
  <r>
    <s v="B00462"/>
    <s v="P006"/>
    <x v="0"/>
    <s v="Partial Loss"/>
    <n v="15"/>
    <n v="11.6"/>
    <n v="3.41"/>
    <n v="22.7"/>
    <x v="339"/>
    <n v="34800"/>
    <n v="37.22"/>
    <n v="33000"/>
    <n v="1800"/>
    <n v="1.93"/>
    <n v="7502"/>
    <d v="2025-05-27T00:00:00"/>
  </r>
  <r>
    <s v="B00463"/>
    <s v="P006"/>
    <x v="0"/>
    <s v="Sold Out"/>
    <n v="17"/>
    <n v="17"/>
    <n v="0"/>
    <n v="0"/>
    <x v="340"/>
    <n v="51000"/>
    <n v="54.55"/>
    <n v="37400"/>
    <n v="13600"/>
    <n v="14.55"/>
    <n v="0"/>
    <d v="2025-06-04T00:00:00"/>
  </r>
  <r>
    <s v="B00464"/>
    <s v="P006"/>
    <x v="0"/>
    <s v="Sold Out"/>
    <n v="19"/>
    <n v="19"/>
    <n v="0"/>
    <n v="0"/>
    <x v="341"/>
    <n v="57000"/>
    <n v="60.96"/>
    <n v="41800"/>
    <n v="15200"/>
    <n v="16.260000000000002"/>
    <n v="0"/>
    <d v="2025-06-14T00:00:00"/>
  </r>
  <r>
    <s v="B00465"/>
    <s v="P006"/>
    <x v="0"/>
    <s v="Partial Loss"/>
    <n v="16"/>
    <n v="12.45"/>
    <n v="3.55"/>
    <n v="22.2"/>
    <x v="342"/>
    <n v="37350"/>
    <n v="39.950000000000003"/>
    <n v="35200"/>
    <n v="2150"/>
    <n v="2.2999999999999998"/>
    <n v="7810"/>
    <d v="2025-06-24T00:00:00"/>
  </r>
  <r>
    <s v="B00466"/>
    <s v="P007"/>
    <x v="0"/>
    <s v="Sold Out"/>
    <n v="13"/>
    <n v="13"/>
    <n v="0"/>
    <n v="0"/>
    <x v="343"/>
    <n v="32500"/>
    <n v="34.76"/>
    <n v="24050"/>
    <n v="8450"/>
    <n v="9.0399999999999991"/>
    <n v="0"/>
    <d v="2023-07-08T00:00:00"/>
  </r>
  <r>
    <s v="B00467"/>
    <s v="P007"/>
    <x v="0"/>
    <s v="Partial Loss"/>
    <n v="15"/>
    <n v="12.29"/>
    <n v="2.71"/>
    <n v="18.100000000000001"/>
    <x v="344"/>
    <n v="30725"/>
    <n v="32.86"/>
    <n v="27750"/>
    <n v="2975"/>
    <n v="3.18"/>
    <n v="5013.5"/>
    <d v="2023-07-17T00:00:00"/>
  </r>
  <r>
    <s v="B00468"/>
    <s v="P007"/>
    <x v="0"/>
    <s v="Partial Loss"/>
    <n v="15"/>
    <n v="12.58"/>
    <n v="2.42"/>
    <n v="16.100000000000001"/>
    <x v="345"/>
    <n v="31450"/>
    <n v="33.64"/>
    <n v="27750"/>
    <n v="3700"/>
    <n v="3.96"/>
    <n v="4477"/>
    <d v="2023-07-24T00:00:00"/>
  </r>
  <r>
    <s v="B00469"/>
    <s v="P007"/>
    <x v="0"/>
    <s v="Partial Loss"/>
    <n v="16"/>
    <n v="13.95"/>
    <n v="2.0499999999999998"/>
    <n v="12.8"/>
    <x v="80"/>
    <n v="34875"/>
    <n v="37.299999999999997"/>
    <n v="29600"/>
    <n v="5275"/>
    <n v="5.64"/>
    <n v="3792.4999999999995"/>
    <d v="2023-08-03T00:00:00"/>
  </r>
  <r>
    <s v="B00470"/>
    <s v="P007"/>
    <x v="0"/>
    <s v="Sold Out"/>
    <n v="15"/>
    <n v="15"/>
    <n v="0"/>
    <n v="0"/>
    <x v="247"/>
    <n v="37500"/>
    <n v="40.11"/>
    <n v="27750"/>
    <n v="9750"/>
    <n v="10.43"/>
    <n v="0"/>
    <d v="2023-08-11T00:00:00"/>
  </r>
  <r>
    <s v="B00471"/>
    <s v="P007"/>
    <x v="0"/>
    <s v="Partial Loss"/>
    <n v="17"/>
    <n v="13.84"/>
    <n v="3.16"/>
    <n v="18.600000000000001"/>
    <x v="346"/>
    <n v="34600"/>
    <n v="37.01"/>
    <n v="31450"/>
    <n v="3150"/>
    <n v="3.37"/>
    <n v="5846"/>
    <d v="2023-08-19T00:00:00"/>
  </r>
  <r>
    <s v="B00472"/>
    <s v="P007"/>
    <x v="0"/>
    <s v="Sold Out"/>
    <n v="17"/>
    <n v="17"/>
    <n v="0"/>
    <n v="0"/>
    <x v="347"/>
    <n v="42500"/>
    <n v="45.45"/>
    <n v="31450"/>
    <n v="11050"/>
    <n v="11.82"/>
    <n v="0"/>
    <d v="2023-08-30T00:00:00"/>
  </r>
  <r>
    <s v="B00473"/>
    <s v="P007"/>
    <x v="0"/>
    <s v="Sold Out"/>
    <n v="18"/>
    <n v="18"/>
    <n v="0"/>
    <n v="0"/>
    <x v="348"/>
    <n v="45000"/>
    <n v="48.13"/>
    <n v="33300"/>
    <n v="11700"/>
    <n v="12.51"/>
    <n v="0"/>
    <d v="2023-09-10T00:00:00"/>
  </r>
  <r>
    <s v="B00474"/>
    <s v="P007"/>
    <x v="0"/>
    <s v="Partial Loss"/>
    <n v="21"/>
    <n v="20.100000000000001"/>
    <n v="0.9"/>
    <n v="4.3"/>
    <x v="349"/>
    <n v="50250"/>
    <n v="53.74"/>
    <n v="39900"/>
    <n v="10350"/>
    <n v="11.07"/>
    <n v="1710"/>
    <d v="2023-09-19T00:00:00"/>
  </r>
  <r>
    <s v="B00475"/>
    <s v="P007"/>
    <x v="0"/>
    <s v="Sold Out"/>
    <n v="20"/>
    <n v="20"/>
    <n v="0"/>
    <n v="0"/>
    <x v="350"/>
    <n v="50000"/>
    <n v="53.48"/>
    <n v="38000"/>
    <n v="12000"/>
    <n v="12.83"/>
    <n v="0"/>
    <d v="2023-09-29T00:00:00"/>
  </r>
  <r>
    <s v="B00476"/>
    <s v="P007"/>
    <x v="0"/>
    <s v="Sold Out"/>
    <n v="42"/>
    <n v="42"/>
    <n v="0"/>
    <n v="0"/>
    <x v="351"/>
    <n v="105000"/>
    <n v="112.3"/>
    <n v="77700"/>
    <n v="27300"/>
    <n v="29.2"/>
    <n v="0"/>
    <d v="2023-10-09T00:00:00"/>
  </r>
  <r>
    <s v="B00477"/>
    <s v="P007"/>
    <x v="0"/>
    <s v="Sold Out"/>
    <n v="38"/>
    <n v="38"/>
    <n v="0"/>
    <n v="0"/>
    <x v="301"/>
    <n v="95000"/>
    <n v="101.6"/>
    <n v="70300"/>
    <n v="24700"/>
    <n v="26.42"/>
    <n v="0"/>
    <d v="2023-10-17T00:00:00"/>
  </r>
  <r>
    <s v="B00478"/>
    <s v="P007"/>
    <x v="0"/>
    <s v="Partial Loss"/>
    <n v="38"/>
    <n v="36.630000000000003"/>
    <n v="1.37"/>
    <n v="3.6"/>
    <x v="352"/>
    <n v="91575"/>
    <n v="97.94"/>
    <n v="72200"/>
    <n v="19375"/>
    <n v="20.72"/>
    <n v="2603"/>
    <d v="2023-10-27T00:00:00"/>
  </r>
  <r>
    <s v="B00479"/>
    <s v="P007"/>
    <x v="0"/>
    <s v="Sold Out"/>
    <n v="35"/>
    <n v="35"/>
    <n v="0"/>
    <n v="0"/>
    <x v="353"/>
    <n v="87500"/>
    <n v="93.58"/>
    <n v="64750"/>
    <n v="22750"/>
    <n v="24.33"/>
    <n v="0"/>
    <d v="2023-11-06T00:00:00"/>
  </r>
  <r>
    <s v="B00480"/>
    <s v="P007"/>
    <x v="0"/>
    <s v="Sold Out"/>
    <n v="41"/>
    <n v="41"/>
    <n v="0"/>
    <n v="0"/>
    <x v="255"/>
    <n v="102500"/>
    <n v="109.63"/>
    <n v="75850"/>
    <n v="26650"/>
    <n v="28.5"/>
    <n v="0"/>
    <d v="2023-11-15T00:00:00"/>
  </r>
  <r>
    <s v="B00481"/>
    <s v="P007"/>
    <x v="0"/>
    <s v="Sold Out"/>
    <n v="34"/>
    <n v="34"/>
    <n v="0"/>
    <n v="0"/>
    <x v="16"/>
    <n v="85000"/>
    <n v="90.91"/>
    <n v="62900"/>
    <n v="22100"/>
    <n v="23.64"/>
    <n v="0"/>
    <d v="2023-11-24T00:00:00"/>
  </r>
  <r>
    <s v="B00482"/>
    <s v="P007"/>
    <x v="0"/>
    <s v="Sold Out"/>
    <n v="56"/>
    <n v="56"/>
    <n v="0"/>
    <n v="0"/>
    <x v="205"/>
    <n v="140000"/>
    <n v="149.72999999999999"/>
    <n v="103600"/>
    <n v="36400"/>
    <n v="38.93"/>
    <n v="0"/>
    <d v="2023-12-04T00:00:00"/>
  </r>
  <r>
    <s v="B00483"/>
    <s v="P007"/>
    <x v="0"/>
    <s v="Sold Out"/>
    <n v="46"/>
    <n v="46"/>
    <n v="0"/>
    <n v="0"/>
    <x v="354"/>
    <n v="115000"/>
    <n v="122.99"/>
    <n v="85100"/>
    <n v="29900"/>
    <n v="31.98"/>
    <n v="0"/>
    <d v="2023-12-15T00:00:00"/>
  </r>
  <r>
    <s v="B00484"/>
    <s v="P007"/>
    <x v="0"/>
    <s v="Sold Out"/>
    <n v="50"/>
    <n v="50"/>
    <n v="0"/>
    <n v="0"/>
    <x v="355"/>
    <n v="125000"/>
    <n v="133.69"/>
    <n v="92500"/>
    <n v="32500"/>
    <n v="34.76"/>
    <n v="0"/>
    <d v="2023-12-24T00:00:00"/>
  </r>
  <r>
    <s v="B00485"/>
    <s v="P007"/>
    <x v="0"/>
    <s v="Sold Out"/>
    <n v="40"/>
    <n v="40"/>
    <n v="0"/>
    <n v="0"/>
    <x v="307"/>
    <n v="100000"/>
    <n v="106.95"/>
    <n v="74000"/>
    <n v="26000"/>
    <n v="27.81"/>
    <n v="0"/>
    <d v="2024-01-02T00:00:00"/>
  </r>
  <r>
    <s v="B00486"/>
    <s v="P007"/>
    <x v="0"/>
    <s v="Sold Out"/>
    <n v="41"/>
    <n v="41"/>
    <n v="0"/>
    <n v="0"/>
    <x v="260"/>
    <n v="102500"/>
    <n v="109.63"/>
    <n v="75850"/>
    <n v="26650"/>
    <n v="28.5"/>
    <n v="0"/>
    <d v="2024-01-13T00:00:00"/>
  </r>
  <r>
    <s v="B00487"/>
    <s v="P007"/>
    <x v="0"/>
    <s v="Partial Loss"/>
    <n v="44"/>
    <n v="38.72"/>
    <n v="5.28"/>
    <n v="12"/>
    <x v="209"/>
    <n v="96800"/>
    <n v="103.53"/>
    <n v="83600"/>
    <n v="13200"/>
    <n v="14.12"/>
    <n v="10032"/>
    <d v="2024-01-26T00:00:00"/>
  </r>
  <r>
    <s v="B00488"/>
    <s v="P007"/>
    <x v="0"/>
    <s v="Sold Out"/>
    <n v="36"/>
    <n v="36"/>
    <n v="0"/>
    <n v="0"/>
    <x v="356"/>
    <n v="90000"/>
    <n v="96.26"/>
    <n v="66600"/>
    <n v="23400"/>
    <n v="25.03"/>
    <n v="0"/>
    <d v="2024-02-05T00:00:00"/>
  </r>
  <r>
    <s v="B00489"/>
    <s v="P007"/>
    <x v="0"/>
    <s v="Partial Loss"/>
    <n v="44"/>
    <n v="33.31"/>
    <n v="10.69"/>
    <n v="24.3"/>
    <x v="357"/>
    <n v="83275"/>
    <n v="89.06"/>
    <n v="81400"/>
    <n v="1875"/>
    <n v="2.0099999999999998"/>
    <n v="19776.5"/>
    <d v="2024-02-15T00:00:00"/>
  </r>
  <r>
    <s v="B00490"/>
    <s v="P007"/>
    <x v="0"/>
    <s v="Sold Out"/>
    <n v="38"/>
    <n v="38"/>
    <n v="0"/>
    <n v="0"/>
    <x v="21"/>
    <n v="95000"/>
    <n v="101.6"/>
    <n v="70300"/>
    <n v="24700"/>
    <n v="26.42"/>
    <n v="0"/>
    <d v="2024-02-23T00:00:00"/>
  </r>
  <r>
    <s v="B00491"/>
    <s v="P007"/>
    <x v="0"/>
    <s v="Sold Out"/>
    <n v="34"/>
    <n v="34"/>
    <n v="0"/>
    <n v="0"/>
    <x v="358"/>
    <n v="85000"/>
    <n v="90.91"/>
    <n v="62900"/>
    <n v="22100"/>
    <n v="23.64"/>
    <n v="0"/>
    <d v="2024-03-01T00:00:00"/>
  </r>
  <r>
    <s v="B00492"/>
    <s v="P007"/>
    <x v="0"/>
    <s v="Partial Loss"/>
    <n v="41"/>
    <n v="33.369999999999997"/>
    <n v="7.63"/>
    <n v="18.600000000000001"/>
    <x v="31"/>
    <n v="83425"/>
    <n v="89.22"/>
    <n v="75850"/>
    <n v="7575"/>
    <n v="8.1"/>
    <n v="14115.5"/>
    <d v="2024-03-11T00:00:00"/>
  </r>
  <r>
    <s v="B00493"/>
    <s v="P007"/>
    <x v="0"/>
    <s v="Sold Out"/>
    <n v="45"/>
    <n v="45"/>
    <n v="0"/>
    <n v="0"/>
    <x v="359"/>
    <n v="112500"/>
    <n v="120.32"/>
    <n v="83250"/>
    <n v="29250"/>
    <n v="31.28"/>
    <n v="0"/>
    <d v="2024-03-21T00:00:00"/>
  </r>
  <r>
    <s v="B00494"/>
    <s v="P007"/>
    <x v="0"/>
    <s v="Sold Out"/>
    <n v="34"/>
    <n v="34"/>
    <n v="0"/>
    <n v="0"/>
    <x v="212"/>
    <n v="85000"/>
    <n v="90.91"/>
    <n v="62900"/>
    <n v="22100"/>
    <n v="23.64"/>
    <n v="0"/>
    <d v="2024-03-29T00:00:00"/>
  </r>
  <r>
    <s v="B00495"/>
    <s v="P007"/>
    <x v="0"/>
    <s v="Partial Loss"/>
    <n v="14"/>
    <n v="11.79"/>
    <n v="2.21"/>
    <n v="15.8"/>
    <x v="213"/>
    <n v="29475"/>
    <n v="31.52"/>
    <n v="25900"/>
    <n v="3575"/>
    <n v="3.82"/>
    <n v="4088.5"/>
    <d v="2024-04-08T00:00:00"/>
  </r>
  <r>
    <s v="B00496"/>
    <s v="P007"/>
    <x v="0"/>
    <s v="Partial Loss"/>
    <n v="13"/>
    <n v="11.88"/>
    <n v="1.1200000000000001"/>
    <n v="8.6"/>
    <x v="165"/>
    <n v="29700"/>
    <n v="31.76"/>
    <n v="24050"/>
    <n v="5650"/>
    <n v="6.04"/>
    <n v="2072"/>
    <d v="2024-04-18T00:00:00"/>
  </r>
  <r>
    <s v="B00497"/>
    <s v="P007"/>
    <x v="0"/>
    <s v="Sold Out"/>
    <n v="16"/>
    <n v="16"/>
    <n v="0"/>
    <n v="0"/>
    <x v="360"/>
    <n v="40000"/>
    <n v="42.78"/>
    <n v="29600"/>
    <n v="10400"/>
    <n v="11.12"/>
    <n v="0"/>
    <d v="2024-04-29T00:00:00"/>
  </r>
  <r>
    <s v="B00498"/>
    <s v="P007"/>
    <x v="0"/>
    <s v="Partial Loss"/>
    <n v="16"/>
    <n v="13.17"/>
    <n v="2.83"/>
    <n v="17.7"/>
    <x v="318"/>
    <n v="32925"/>
    <n v="35.21"/>
    <n v="29600"/>
    <n v="3325"/>
    <n v="3.56"/>
    <n v="5235.5"/>
    <d v="2024-05-08T00:00:00"/>
  </r>
  <r>
    <s v="B00499"/>
    <s v="P007"/>
    <x v="0"/>
    <s v="Sold Out"/>
    <n v="15"/>
    <n v="15"/>
    <n v="0"/>
    <n v="0"/>
    <x v="361"/>
    <n v="37500"/>
    <n v="40.11"/>
    <n v="28500"/>
    <n v="9000"/>
    <n v="9.6300000000000008"/>
    <n v="0"/>
    <d v="2024-05-20T00:00:00"/>
  </r>
  <r>
    <s v="B00500"/>
    <s v="P007"/>
    <x v="0"/>
    <s v="Partial Loss"/>
    <n v="14"/>
    <n v="12.78"/>
    <n v="1.22"/>
    <n v="8.6999999999999993"/>
    <x v="362"/>
    <n v="31950"/>
    <n v="34.17"/>
    <n v="25900"/>
    <n v="6050"/>
    <n v="6.47"/>
    <n v="2257"/>
    <d v="2024-05-30T00:00:00"/>
  </r>
  <r>
    <s v="B00501"/>
    <s v="P007"/>
    <x v="0"/>
    <s v="Partial Loss"/>
    <n v="17"/>
    <n v="13.82"/>
    <n v="3.18"/>
    <n v="18.7"/>
    <x v="270"/>
    <n v="34550"/>
    <n v="36.950000000000003"/>
    <n v="31450"/>
    <n v="3100"/>
    <n v="3.32"/>
    <n v="5883"/>
    <d v="2024-06-07T00:00:00"/>
  </r>
  <r>
    <s v="B00502"/>
    <s v="P007"/>
    <x v="0"/>
    <s v="Partial Loss"/>
    <n v="15"/>
    <n v="12.54"/>
    <n v="2.46"/>
    <n v="16.399999999999999"/>
    <x v="363"/>
    <n v="31350"/>
    <n v="33.53"/>
    <n v="27750"/>
    <n v="3600"/>
    <n v="3.85"/>
    <n v="4551"/>
    <d v="2024-06-19T00:00:00"/>
  </r>
  <r>
    <s v="B00503"/>
    <s v="P007"/>
    <x v="0"/>
    <s v="Partial Loss"/>
    <n v="14"/>
    <n v="11.09"/>
    <n v="2.91"/>
    <n v="20.8"/>
    <x v="364"/>
    <n v="27725"/>
    <n v="29.65"/>
    <n v="25900"/>
    <n v="1825"/>
    <n v="1.95"/>
    <n v="5383.5"/>
    <d v="2024-06-29T00:00:00"/>
  </r>
  <r>
    <s v="B00504"/>
    <s v="P007"/>
    <x v="0"/>
    <s v="Partial Loss"/>
    <n v="16"/>
    <n v="14"/>
    <n v="2"/>
    <n v="12.5"/>
    <x v="365"/>
    <n v="35000"/>
    <n v="37.43"/>
    <n v="29600"/>
    <n v="5400"/>
    <n v="5.78"/>
    <n v="3700"/>
    <d v="2024-07-07T00:00:00"/>
  </r>
  <r>
    <s v="B00505"/>
    <s v="P007"/>
    <x v="0"/>
    <s v="Partial Loss"/>
    <n v="15"/>
    <n v="10.59"/>
    <n v="4.41"/>
    <n v="29.4"/>
    <x v="43"/>
    <n v="26475"/>
    <n v="28.32"/>
    <n v="27750"/>
    <n v="-1275"/>
    <n v="-1.36"/>
    <n v="8158.5"/>
    <d v="2024-07-14T00:00:00"/>
  </r>
  <r>
    <s v="B00506"/>
    <s v="P007"/>
    <x v="0"/>
    <s v="Sold Out"/>
    <n v="15"/>
    <n v="15"/>
    <n v="0"/>
    <n v="0"/>
    <x v="37"/>
    <n v="37500"/>
    <n v="40.11"/>
    <n v="27750"/>
    <n v="9750"/>
    <n v="10.43"/>
    <n v="0"/>
    <d v="2024-07-25T00:00:00"/>
  </r>
  <r>
    <s v="B00507"/>
    <s v="P007"/>
    <x v="0"/>
    <s v="Partial Loss"/>
    <n v="16"/>
    <n v="12.56"/>
    <n v="3.44"/>
    <n v="21.5"/>
    <x v="366"/>
    <n v="31400"/>
    <n v="33.58"/>
    <n v="29600"/>
    <n v="1800"/>
    <n v="1.93"/>
    <n v="6364"/>
    <d v="2024-08-02T00:00:00"/>
  </r>
  <r>
    <s v="B00508"/>
    <s v="P007"/>
    <x v="0"/>
    <s v="Sold Out"/>
    <n v="14"/>
    <n v="14"/>
    <n v="0"/>
    <n v="0"/>
    <x v="218"/>
    <n v="35000"/>
    <n v="37.43"/>
    <n v="25900"/>
    <n v="9100"/>
    <n v="9.73"/>
    <n v="0"/>
    <d v="2024-08-11T00:00:00"/>
  </r>
  <r>
    <s v="B00509"/>
    <s v="P007"/>
    <x v="0"/>
    <s v="Partial Loss"/>
    <n v="16"/>
    <n v="12.88"/>
    <n v="3.12"/>
    <n v="19.5"/>
    <x v="367"/>
    <n v="32200"/>
    <n v="34.44"/>
    <n v="29600"/>
    <n v="2600"/>
    <n v="2.78"/>
    <n v="5772"/>
    <d v="2024-08-22T00:00:00"/>
  </r>
  <r>
    <s v="B00510"/>
    <s v="P007"/>
    <x v="0"/>
    <s v="Partial Loss"/>
    <n v="14"/>
    <n v="12.45"/>
    <n v="1.55"/>
    <n v="11.1"/>
    <x v="222"/>
    <n v="31125"/>
    <n v="33.29"/>
    <n v="26600"/>
    <n v="4525"/>
    <n v="4.84"/>
    <n v="2945"/>
    <d v="2024-08-29T00:00:00"/>
  </r>
  <r>
    <s v="B00511"/>
    <s v="P007"/>
    <x v="0"/>
    <s v="Partial Loss"/>
    <n v="17"/>
    <n v="14.86"/>
    <n v="2.14"/>
    <n v="12.6"/>
    <x v="49"/>
    <n v="37150"/>
    <n v="39.729999999999997"/>
    <n v="31450"/>
    <n v="5700"/>
    <n v="6.1"/>
    <n v="3959.0000000000005"/>
    <d v="2024-09-04T00:00:00"/>
  </r>
  <r>
    <s v="B00512"/>
    <s v="P007"/>
    <x v="0"/>
    <s v="Sold Out"/>
    <n v="19"/>
    <n v="19"/>
    <n v="0"/>
    <n v="0"/>
    <x v="368"/>
    <n v="47500"/>
    <n v="50.8"/>
    <n v="35150"/>
    <n v="12350"/>
    <n v="13.21"/>
    <n v="0"/>
    <d v="2024-09-15T00:00:00"/>
  </r>
  <r>
    <s v="B00513"/>
    <s v="P007"/>
    <x v="0"/>
    <s v="Sold Out"/>
    <n v="20"/>
    <n v="20"/>
    <n v="0"/>
    <n v="0"/>
    <x v="114"/>
    <n v="50000"/>
    <n v="53.48"/>
    <n v="37000"/>
    <n v="13000"/>
    <n v="13.9"/>
    <n v="0"/>
    <d v="2024-09-27T00:00:00"/>
  </r>
  <r>
    <s v="B00514"/>
    <s v="P007"/>
    <x v="0"/>
    <s v="Sold Out"/>
    <n v="45"/>
    <n v="45"/>
    <n v="0"/>
    <n v="0"/>
    <x v="111"/>
    <n v="112500"/>
    <n v="120.32"/>
    <n v="83250"/>
    <n v="29250"/>
    <n v="31.28"/>
    <n v="0"/>
    <d v="2024-10-11T00:00:00"/>
  </r>
  <r>
    <s v="B00515"/>
    <s v="P007"/>
    <x v="0"/>
    <s v="Sold Out"/>
    <n v="35"/>
    <n v="35"/>
    <n v="0"/>
    <n v="0"/>
    <x v="369"/>
    <n v="87500"/>
    <n v="93.58"/>
    <n v="64750"/>
    <n v="22750"/>
    <n v="24.33"/>
    <n v="0"/>
    <d v="2024-10-23T00:00:00"/>
  </r>
  <r>
    <s v="B00516"/>
    <s v="P007"/>
    <x v="0"/>
    <s v="Sold Out"/>
    <n v="46"/>
    <n v="46"/>
    <n v="0"/>
    <n v="0"/>
    <x v="370"/>
    <n v="115000"/>
    <n v="122.99"/>
    <n v="85100"/>
    <n v="29900"/>
    <n v="31.98"/>
    <n v="0"/>
    <d v="2024-11-01T00:00:00"/>
  </r>
  <r>
    <s v="B00517"/>
    <s v="P007"/>
    <x v="0"/>
    <s v="Sold Out"/>
    <n v="38"/>
    <n v="38"/>
    <n v="0"/>
    <n v="0"/>
    <x v="278"/>
    <n v="95000"/>
    <n v="101.6"/>
    <n v="70300"/>
    <n v="24700"/>
    <n v="26.42"/>
    <n v="0"/>
    <d v="2024-11-10T00:00:00"/>
  </r>
  <r>
    <s v="B00518"/>
    <s v="P007"/>
    <x v="0"/>
    <s v="Partial Loss"/>
    <n v="35"/>
    <n v="31.29"/>
    <n v="3.71"/>
    <n v="10.6"/>
    <x v="183"/>
    <n v="78225"/>
    <n v="83.66"/>
    <n v="64750"/>
    <n v="13475"/>
    <n v="14.41"/>
    <n v="6863.5"/>
    <d v="2024-11-19T00:00:00"/>
  </r>
  <r>
    <s v="B00519"/>
    <s v="P007"/>
    <x v="0"/>
    <s v="Sold Out"/>
    <n v="45"/>
    <n v="45"/>
    <n v="0"/>
    <n v="0"/>
    <x v="371"/>
    <n v="112500"/>
    <n v="120.32"/>
    <n v="83250"/>
    <n v="29250"/>
    <n v="31.28"/>
    <n v="0"/>
    <d v="2024-12-02T00:00:00"/>
  </r>
  <r>
    <s v="B00520"/>
    <s v="P007"/>
    <x v="0"/>
    <s v="Sold Out"/>
    <n v="50"/>
    <n v="50"/>
    <n v="0"/>
    <n v="0"/>
    <x v="55"/>
    <n v="125000"/>
    <n v="133.69"/>
    <n v="92500"/>
    <n v="32500"/>
    <n v="34.76"/>
    <n v="0"/>
    <d v="2024-12-14T00:00:00"/>
  </r>
  <r>
    <s v="B00521"/>
    <s v="P007"/>
    <x v="0"/>
    <s v="Sold Out"/>
    <n v="58"/>
    <n v="58"/>
    <n v="0"/>
    <n v="0"/>
    <x v="122"/>
    <n v="145000"/>
    <n v="155.08000000000001"/>
    <n v="107300"/>
    <n v="37700"/>
    <n v="40.32"/>
    <n v="0"/>
    <d v="2024-12-23T00:00:00"/>
  </r>
  <r>
    <s v="B00522"/>
    <s v="P007"/>
    <x v="0"/>
    <s v="Sold Out"/>
    <n v="41"/>
    <n v="41"/>
    <n v="0"/>
    <n v="0"/>
    <x v="372"/>
    <n v="102500"/>
    <n v="109.63"/>
    <n v="77900"/>
    <n v="24600"/>
    <n v="26.31"/>
    <n v="0"/>
    <d v="2025-01-01T00:00:00"/>
  </r>
  <r>
    <s v="B00523"/>
    <s v="P007"/>
    <x v="0"/>
    <s v="Sold Out"/>
    <n v="42"/>
    <n v="42"/>
    <n v="0"/>
    <n v="0"/>
    <x v="373"/>
    <n v="105000"/>
    <n v="112.3"/>
    <n v="77700"/>
    <n v="27300"/>
    <n v="29.2"/>
    <n v="0"/>
    <d v="2025-01-13T00:00:00"/>
  </r>
  <r>
    <s v="B00524"/>
    <s v="P007"/>
    <x v="0"/>
    <s v="Sold Out"/>
    <n v="40"/>
    <n v="40"/>
    <n v="0"/>
    <n v="0"/>
    <x v="127"/>
    <n v="100000"/>
    <n v="106.95"/>
    <n v="74000"/>
    <n v="26000"/>
    <n v="27.81"/>
    <n v="0"/>
    <d v="2025-01-22T00:00:00"/>
  </r>
  <r>
    <s v="B00525"/>
    <s v="P007"/>
    <x v="0"/>
    <s v="Sold Out"/>
    <n v="48"/>
    <n v="48"/>
    <n v="0"/>
    <n v="0"/>
    <x v="374"/>
    <n v="120000"/>
    <n v="128.34"/>
    <n v="88800"/>
    <n v="31200"/>
    <n v="33.369999999999997"/>
    <n v="0"/>
    <d v="2025-02-03T00:00:00"/>
  </r>
  <r>
    <s v="B00526"/>
    <s v="P007"/>
    <x v="0"/>
    <s v="Sold Out"/>
    <n v="40"/>
    <n v="40"/>
    <n v="0"/>
    <n v="0"/>
    <x v="61"/>
    <n v="100000"/>
    <n v="106.95"/>
    <n v="74000"/>
    <n v="26000"/>
    <n v="27.81"/>
    <n v="0"/>
    <d v="2025-02-14T00:00:00"/>
  </r>
  <r>
    <s v="B00527"/>
    <s v="P007"/>
    <x v="0"/>
    <s v="Sold Out"/>
    <n v="44"/>
    <n v="44"/>
    <n v="0"/>
    <n v="0"/>
    <x v="375"/>
    <n v="110000"/>
    <n v="117.65"/>
    <n v="81400"/>
    <n v="28600"/>
    <n v="30.59"/>
    <n v="0"/>
    <d v="2025-02-22T00:00:00"/>
  </r>
  <r>
    <s v="B00528"/>
    <s v="P007"/>
    <x v="0"/>
    <s v="Partial Loss"/>
    <n v="37"/>
    <n v="32.26"/>
    <n v="4.74"/>
    <n v="12.8"/>
    <x v="335"/>
    <n v="80650"/>
    <n v="86.26"/>
    <n v="68450"/>
    <n v="12200"/>
    <n v="13.05"/>
    <n v="8769"/>
    <d v="2025-03-05T00:00:00"/>
  </r>
  <r>
    <s v="B00529"/>
    <s v="P007"/>
    <x v="0"/>
    <s v="Sold Out"/>
    <n v="47"/>
    <n v="47"/>
    <n v="0"/>
    <n v="0"/>
    <x v="236"/>
    <n v="117500"/>
    <n v="125.67"/>
    <n v="86950"/>
    <n v="30550"/>
    <n v="32.67"/>
    <n v="0"/>
    <d v="2025-03-13T00:00:00"/>
  </r>
  <r>
    <s v="B00530"/>
    <s v="P007"/>
    <x v="0"/>
    <s v="Sold Out"/>
    <n v="42"/>
    <n v="42"/>
    <n v="0"/>
    <n v="0"/>
    <x v="237"/>
    <n v="105000"/>
    <n v="112.3"/>
    <n v="77700"/>
    <n v="27300"/>
    <n v="29.2"/>
    <n v="0"/>
    <d v="2025-03-23T00:00:00"/>
  </r>
  <r>
    <s v="B00531"/>
    <s v="P007"/>
    <x v="0"/>
    <s v="Sold Out"/>
    <n v="15"/>
    <n v="15"/>
    <n v="0"/>
    <n v="0"/>
    <x v="376"/>
    <n v="37500"/>
    <n v="40.11"/>
    <n v="27750"/>
    <n v="9750"/>
    <n v="10.43"/>
    <n v="0"/>
    <d v="2025-04-01T00:00:00"/>
  </r>
  <r>
    <s v="B00532"/>
    <s v="P007"/>
    <x v="0"/>
    <s v="Sold Out"/>
    <n v="18"/>
    <n v="18"/>
    <n v="0"/>
    <n v="0"/>
    <x v="63"/>
    <n v="45000"/>
    <n v="48.13"/>
    <n v="34200"/>
    <n v="10800"/>
    <n v="11.55"/>
    <n v="0"/>
    <d v="2025-04-10T00:00:00"/>
  </r>
  <r>
    <s v="B00533"/>
    <s v="P007"/>
    <x v="0"/>
    <s v="Partial Loss"/>
    <n v="14"/>
    <n v="12.57"/>
    <n v="1.43"/>
    <n v="10.199999999999999"/>
    <x v="192"/>
    <n v="31425"/>
    <n v="33.61"/>
    <n v="25900"/>
    <n v="5525"/>
    <n v="5.91"/>
    <n v="2645.5"/>
    <d v="2025-04-20T00:00:00"/>
  </r>
  <r>
    <s v="B00534"/>
    <s v="P007"/>
    <x v="0"/>
    <s v="Sold Out"/>
    <n v="14"/>
    <n v="14"/>
    <n v="0"/>
    <n v="0"/>
    <x v="377"/>
    <n v="35000"/>
    <n v="37.43"/>
    <n v="25900"/>
    <n v="9100"/>
    <n v="9.73"/>
    <n v="0"/>
    <d v="2025-04-30T00:00:00"/>
  </r>
  <r>
    <s v="B00535"/>
    <s v="P007"/>
    <x v="0"/>
    <s v="Sold Out"/>
    <n v="14"/>
    <n v="14"/>
    <n v="0"/>
    <n v="0"/>
    <x v="133"/>
    <n v="35000"/>
    <n v="37.43"/>
    <n v="25900"/>
    <n v="9100"/>
    <n v="9.73"/>
    <n v="0"/>
    <d v="2025-05-12T00:00:00"/>
  </r>
  <r>
    <s v="B00536"/>
    <s v="P007"/>
    <x v="0"/>
    <s v="Sold Out"/>
    <n v="15"/>
    <n v="15"/>
    <n v="0"/>
    <n v="0"/>
    <x v="378"/>
    <n v="37500"/>
    <n v="40.11"/>
    <n v="27750"/>
    <n v="9750"/>
    <n v="10.43"/>
    <n v="0"/>
    <d v="2025-05-21T00:00:00"/>
  </r>
  <r>
    <s v="B00537"/>
    <s v="P007"/>
    <x v="0"/>
    <s v="Partial Loss"/>
    <n v="17"/>
    <n v="10.88"/>
    <n v="6.12"/>
    <n v="36"/>
    <x v="379"/>
    <n v="27200"/>
    <n v="29.09"/>
    <n v="31450"/>
    <n v="-4250"/>
    <n v="-4.55"/>
    <n v="11322"/>
    <d v="2025-06-03T00:00:00"/>
  </r>
  <r>
    <s v="B00538"/>
    <s v="P007"/>
    <x v="0"/>
    <s v="Partial Loss"/>
    <n v="14"/>
    <n v="11.65"/>
    <n v="2.35"/>
    <n v="16.8"/>
    <x v="380"/>
    <n v="29125"/>
    <n v="31.15"/>
    <n v="25900"/>
    <n v="3225"/>
    <n v="3.45"/>
    <n v="4347.5"/>
    <d v="2025-06-13T00:00:00"/>
  </r>
  <r>
    <s v="B00539"/>
    <s v="P007"/>
    <x v="0"/>
    <s v="Sold Out"/>
    <n v="15"/>
    <n v="15"/>
    <n v="0"/>
    <n v="0"/>
    <x v="293"/>
    <n v="37500"/>
    <n v="40.11"/>
    <n v="27750"/>
    <n v="9750"/>
    <n v="10.43"/>
    <n v="0"/>
    <d v="2025-06-22T00:00:00"/>
  </r>
  <r>
    <s v="B00540"/>
    <s v="P008"/>
    <x v="0"/>
    <s v="Partial Loss"/>
    <n v="16"/>
    <n v="12.69"/>
    <n v="3.31"/>
    <n v="20.7"/>
    <x v="0"/>
    <n v="44415"/>
    <n v="47.5"/>
    <n v="39200"/>
    <n v="5215"/>
    <n v="5.58"/>
    <n v="8109.5"/>
    <d v="2023-07-09T00:00:00"/>
  </r>
  <r>
    <s v="B00541"/>
    <s v="P008"/>
    <x v="0"/>
    <s v="Partial Loss"/>
    <n v="17"/>
    <n v="14.6"/>
    <n v="2.4"/>
    <n v="14.1"/>
    <x v="6"/>
    <n v="51100"/>
    <n v="54.65"/>
    <n v="41650"/>
    <n v="9450"/>
    <n v="10.11"/>
    <n v="5880"/>
    <d v="2023-07-19T00:00:00"/>
  </r>
  <r>
    <s v="B00542"/>
    <s v="P008"/>
    <x v="0"/>
    <s v="Partial Loss"/>
    <n v="15"/>
    <n v="11.29"/>
    <n v="3.71"/>
    <n v="24.7"/>
    <x v="381"/>
    <n v="39515"/>
    <n v="42.26"/>
    <n v="36750"/>
    <n v="2765"/>
    <n v="2.96"/>
    <n v="9089.5"/>
    <d v="2023-07-28T00:00:00"/>
  </r>
  <r>
    <s v="B00543"/>
    <s v="P008"/>
    <x v="0"/>
    <s v="Sold Out"/>
    <n v="14"/>
    <n v="14"/>
    <n v="0"/>
    <n v="0"/>
    <x v="299"/>
    <n v="49000"/>
    <n v="52.41"/>
    <n v="34300"/>
    <n v="14700"/>
    <n v="15.72"/>
    <n v="0"/>
    <d v="2023-08-05T00:00:00"/>
  </r>
  <r>
    <s v="B00544"/>
    <s v="P008"/>
    <x v="0"/>
    <s v="Partial Loss"/>
    <n v="13"/>
    <n v="10.57"/>
    <n v="2.4300000000000002"/>
    <n v="18.7"/>
    <x v="4"/>
    <n v="36995"/>
    <n v="39.57"/>
    <n v="31850"/>
    <n v="5145"/>
    <n v="5.5"/>
    <n v="5953.5"/>
    <d v="2023-08-13T00:00:00"/>
  </r>
  <r>
    <s v="B00545"/>
    <s v="P008"/>
    <x v="0"/>
    <s v="Sold Out"/>
    <n v="13"/>
    <n v="13"/>
    <n v="0"/>
    <n v="0"/>
    <x v="6"/>
    <n v="45500"/>
    <n v="48.66"/>
    <n v="31850"/>
    <n v="13650"/>
    <n v="14.6"/>
    <n v="0"/>
    <d v="2023-08-22T00:00:00"/>
  </r>
  <r>
    <s v="B00546"/>
    <s v="P008"/>
    <x v="0"/>
    <s v="Partial Loss"/>
    <n v="19"/>
    <n v="14.97"/>
    <n v="4.03"/>
    <n v="21.2"/>
    <x v="204"/>
    <n v="52395"/>
    <n v="56.04"/>
    <n v="46550"/>
    <n v="5845"/>
    <n v="6.25"/>
    <n v="9873.5"/>
    <d v="2023-09-03T00:00:00"/>
  </r>
  <r>
    <s v="B00547"/>
    <s v="P008"/>
    <x v="0"/>
    <s v="Partial Loss"/>
    <n v="17"/>
    <n v="15.79"/>
    <n v="1.21"/>
    <n v="7.1"/>
    <x v="382"/>
    <n v="55265"/>
    <n v="59.11"/>
    <n v="41650"/>
    <n v="13615"/>
    <n v="14.56"/>
    <n v="2964.5"/>
    <d v="2023-09-13T00:00:00"/>
  </r>
  <r>
    <s v="B00548"/>
    <s v="P008"/>
    <x v="0"/>
    <s v="Partial Loss"/>
    <n v="18"/>
    <n v="17.05"/>
    <n v="0.95"/>
    <n v="5.3"/>
    <x v="383"/>
    <n v="59675"/>
    <n v="63.82"/>
    <n v="44100"/>
    <n v="15575"/>
    <n v="16.66"/>
    <n v="2327.5"/>
    <d v="2023-09-23T00:00:00"/>
  </r>
  <r>
    <s v="B00549"/>
    <s v="P008"/>
    <x v="0"/>
    <s v="Partial Loss"/>
    <n v="40"/>
    <n v="38"/>
    <n v="2"/>
    <n v="5"/>
    <x v="88"/>
    <n v="133000"/>
    <n v="142.25"/>
    <n v="106000"/>
    <n v="27000"/>
    <n v="28.88"/>
    <n v="5300"/>
    <d v="2023-10-01T00:00:00"/>
  </r>
  <r>
    <s v="B00550"/>
    <s v="P008"/>
    <x v="0"/>
    <s v="Partial Loss"/>
    <n v="43"/>
    <n v="35.39"/>
    <n v="7.61"/>
    <n v="17.7"/>
    <x v="384"/>
    <n v="123865"/>
    <n v="132.47999999999999"/>
    <n v="105350"/>
    <n v="18515"/>
    <n v="19.8"/>
    <n v="18644.5"/>
    <d v="2023-10-10T00:00:00"/>
  </r>
  <r>
    <s v="B00551"/>
    <s v="P008"/>
    <x v="0"/>
    <s v="Sold Out"/>
    <n v="41"/>
    <n v="41"/>
    <n v="0"/>
    <n v="0"/>
    <x v="8"/>
    <n v="143500"/>
    <n v="153.47999999999999"/>
    <n v="108650"/>
    <n v="34850"/>
    <n v="37.270000000000003"/>
    <n v="0"/>
    <d v="2023-10-23T00:00:00"/>
  </r>
  <r>
    <s v="B00552"/>
    <s v="P008"/>
    <x v="0"/>
    <s v="Partial Loss"/>
    <n v="38"/>
    <n v="33.44"/>
    <n v="4.5599999999999996"/>
    <n v="12"/>
    <x v="306"/>
    <n v="117040"/>
    <n v="125.18"/>
    <n v="93100"/>
    <n v="23940"/>
    <n v="25.6"/>
    <n v="11171.999999999998"/>
    <d v="2023-11-04T00:00:00"/>
  </r>
  <r>
    <s v="B00553"/>
    <s v="P008"/>
    <x v="0"/>
    <s v="Sold Out"/>
    <n v="40"/>
    <n v="40"/>
    <n v="0"/>
    <n v="0"/>
    <x v="152"/>
    <n v="140000"/>
    <n v="149.72999999999999"/>
    <n v="98000"/>
    <n v="42000"/>
    <n v="44.92"/>
    <n v="0"/>
    <d v="2023-11-16T00:00:00"/>
  </r>
  <r>
    <s v="B00554"/>
    <s v="P008"/>
    <x v="0"/>
    <s v="Sold Out"/>
    <n v="40"/>
    <n v="40"/>
    <n v="0"/>
    <n v="0"/>
    <x v="385"/>
    <n v="140000"/>
    <n v="149.72999999999999"/>
    <n v="98000"/>
    <n v="42000"/>
    <n v="44.92"/>
    <n v="0"/>
    <d v="2023-11-25T00:00:00"/>
  </r>
  <r>
    <s v="B00555"/>
    <s v="P008"/>
    <x v="0"/>
    <s v="Sold Out"/>
    <n v="49"/>
    <n v="49"/>
    <n v="0"/>
    <n v="0"/>
    <x v="386"/>
    <n v="171500"/>
    <n v="183.42"/>
    <n v="120050"/>
    <n v="51450"/>
    <n v="55.03"/>
    <n v="0"/>
    <d v="2023-12-06T00:00:00"/>
  </r>
  <r>
    <s v="B00556"/>
    <s v="P008"/>
    <x v="0"/>
    <s v="Sold Out"/>
    <n v="59"/>
    <n v="59"/>
    <n v="0"/>
    <n v="0"/>
    <x v="89"/>
    <n v="206500"/>
    <n v="220.86"/>
    <n v="144550"/>
    <n v="61950"/>
    <n v="66.260000000000005"/>
    <n v="0"/>
    <d v="2023-12-15T00:00:00"/>
  </r>
  <r>
    <s v="B00557"/>
    <s v="P008"/>
    <x v="0"/>
    <s v="Sold Out"/>
    <n v="46"/>
    <n v="46"/>
    <n v="0"/>
    <n v="0"/>
    <x v="387"/>
    <n v="161000"/>
    <n v="172.19"/>
    <n v="112700"/>
    <n v="48300"/>
    <n v="51.66"/>
    <n v="0"/>
    <d v="2023-12-26T00:00:00"/>
  </r>
  <r>
    <s v="B00558"/>
    <s v="P008"/>
    <x v="0"/>
    <s v="Partial Loss"/>
    <n v="45"/>
    <n v="38.119999999999997"/>
    <n v="6.88"/>
    <n v="15.3"/>
    <x v="92"/>
    <n v="133420"/>
    <n v="142.69999999999999"/>
    <n v="119250"/>
    <n v="14170"/>
    <n v="15.16"/>
    <n v="18232"/>
    <d v="2024-01-01T00:00:00"/>
  </r>
  <r>
    <s v="B00559"/>
    <s v="P008"/>
    <x v="0"/>
    <s v="Sold Out"/>
    <n v="36"/>
    <n v="36"/>
    <n v="0"/>
    <n v="0"/>
    <x v="259"/>
    <n v="126000"/>
    <n v="134.76"/>
    <n v="88200"/>
    <n v="37800"/>
    <n v="40.43"/>
    <n v="0"/>
    <d v="2024-01-10T00:00:00"/>
  </r>
  <r>
    <s v="B00560"/>
    <s v="P008"/>
    <x v="0"/>
    <s v="Sold Out"/>
    <n v="42"/>
    <n v="42"/>
    <n v="0"/>
    <n v="0"/>
    <x v="157"/>
    <n v="147000"/>
    <n v="157.22"/>
    <n v="102900"/>
    <n v="44100"/>
    <n v="47.17"/>
    <n v="0"/>
    <d v="2024-01-19T00:00:00"/>
  </r>
  <r>
    <s v="B00561"/>
    <s v="P008"/>
    <x v="0"/>
    <s v="Sold Out"/>
    <n v="44"/>
    <n v="44"/>
    <n v="0"/>
    <n v="0"/>
    <x v="388"/>
    <n v="154000"/>
    <n v="164.71"/>
    <n v="107800"/>
    <n v="46200"/>
    <n v="49.41"/>
    <n v="0"/>
    <d v="2024-01-31T00:00:00"/>
  </r>
  <r>
    <s v="B00562"/>
    <s v="P008"/>
    <x v="0"/>
    <s v="Sold Out"/>
    <n v="35"/>
    <n v="35"/>
    <n v="0"/>
    <n v="0"/>
    <x v="389"/>
    <n v="122500"/>
    <n v="131.02000000000001"/>
    <n v="85750"/>
    <n v="36750"/>
    <n v="39.299999999999997"/>
    <n v="0"/>
    <d v="2024-02-09T00:00:00"/>
  </r>
  <r>
    <s v="B00563"/>
    <s v="P008"/>
    <x v="0"/>
    <s v="Sold Out"/>
    <n v="44"/>
    <n v="44"/>
    <n v="0"/>
    <n v="0"/>
    <x v="390"/>
    <n v="154000"/>
    <n v="164.71"/>
    <n v="107800"/>
    <n v="46200"/>
    <n v="49.41"/>
    <n v="0"/>
    <d v="2024-02-20T00:00:00"/>
  </r>
  <r>
    <s v="B00564"/>
    <s v="P008"/>
    <x v="0"/>
    <s v="Partial Loss"/>
    <n v="37"/>
    <n v="29.45"/>
    <n v="7.55"/>
    <n v="20.399999999999999"/>
    <x v="391"/>
    <n v="103075"/>
    <n v="110.24"/>
    <n v="90650"/>
    <n v="12425"/>
    <n v="13.29"/>
    <n v="18497.5"/>
    <d v="2024-03-01T00:00:00"/>
  </r>
  <r>
    <s v="B00565"/>
    <s v="P008"/>
    <x v="0"/>
    <s v="Sold Out"/>
    <n v="44"/>
    <n v="44"/>
    <n v="0"/>
    <n v="0"/>
    <x v="392"/>
    <n v="154000"/>
    <n v="164.71"/>
    <n v="107800"/>
    <n v="46200"/>
    <n v="49.41"/>
    <n v="0"/>
    <d v="2024-03-10T00:00:00"/>
  </r>
  <r>
    <s v="B00566"/>
    <s v="P008"/>
    <x v="0"/>
    <s v="Sold Out"/>
    <n v="44"/>
    <n v="44"/>
    <n v="0"/>
    <n v="0"/>
    <x v="393"/>
    <n v="154000"/>
    <n v="164.71"/>
    <n v="107800"/>
    <n v="46200"/>
    <n v="49.41"/>
    <n v="0"/>
    <d v="2024-03-20T00:00:00"/>
  </r>
  <r>
    <s v="B00567"/>
    <s v="P008"/>
    <x v="0"/>
    <s v="Sold Out"/>
    <n v="41"/>
    <n v="41"/>
    <n v="0"/>
    <n v="0"/>
    <x v="394"/>
    <n v="143500"/>
    <n v="153.47999999999999"/>
    <n v="100450"/>
    <n v="43050"/>
    <n v="46.04"/>
    <n v="0"/>
    <d v="2024-03-29T00:00:00"/>
  </r>
  <r>
    <s v="B00568"/>
    <s v="P008"/>
    <x v="0"/>
    <s v="Sold Out"/>
    <n v="16"/>
    <n v="16"/>
    <n v="0"/>
    <n v="0"/>
    <x v="26"/>
    <n v="56000"/>
    <n v="59.89"/>
    <n v="39200"/>
    <n v="16800"/>
    <n v="17.97"/>
    <n v="0"/>
    <d v="2024-04-10T00:00:00"/>
  </r>
  <r>
    <s v="B00569"/>
    <s v="P008"/>
    <x v="0"/>
    <s v="Sold Out"/>
    <n v="15"/>
    <n v="15"/>
    <n v="0"/>
    <n v="0"/>
    <x v="395"/>
    <n v="52500"/>
    <n v="56.15"/>
    <n v="39750"/>
    <n v="12750"/>
    <n v="13.64"/>
    <n v="0"/>
    <d v="2024-04-17T00:00:00"/>
  </r>
  <r>
    <s v="B00570"/>
    <s v="P008"/>
    <x v="0"/>
    <s v="Partial Loss"/>
    <n v="15"/>
    <n v="10.08"/>
    <n v="4.92"/>
    <n v="32.799999999999997"/>
    <x v="396"/>
    <n v="35280"/>
    <n v="37.729999999999997"/>
    <n v="36750"/>
    <n v="-1470"/>
    <n v="-1.57"/>
    <n v="12054"/>
    <d v="2024-04-25T00:00:00"/>
  </r>
  <r>
    <s v="B00571"/>
    <s v="P008"/>
    <x v="0"/>
    <s v="Partial Loss"/>
    <n v="16"/>
    <n v="11.44"/>
    <n v="4.5599999999999996"/>
    <n v="28.5"/>
    <x v="397"/>
    <n v="40040"/>
    <n v="42.82"/>
    <n v="39200"/>
    <n v="840"/>
    <n v="0.9"/>
    <n v="11171.999999999998"/>
    <d v="2024-05-01T00:00:00"/>
  </r>
  <r>
    <s v="B00572"/>
    <s v="P008"/>
    <x v="0"/>
    <s v="Partial Loss"/>
    <n v="15"/>
    <n v="14.62"/>
    <n v="0.38"/>
    <n v="2.5"/>
    <x v="169"/>
    <n v="51170"/>
    <n v="54.73"/>
    <n v="36750"/>
    <n v="14420"/>
    <n v="15.42"/>
    <n v="931"/>
    <d v="2024-05-11T00:00:00"/>
  </r>
  <r>
    <s v="B00573"/>
    <s v="P008"/>
    <x v="0"/>
    <s v="Partial Loss"/>
    <n v="16"/>
    <n v="12.99"/>
    <n v="3.01"/>
    <n v="18.8"/>
    <x v="268"/>
    <n v="45465"/>
    <n v="48.63"/>
    <n v="42400"/>
    <n v="3065"/>
    <n v="3.28"/>
    <n v="7976.4999999999991"/>
    <d v="2024-05-20T00:00:00"/>
  </r>
  <r>
    <s v="B00574"/>
    <s v="P008"/>
    <x v="0"/>
    <s v="Sold Out"/>
    <n v="16"/>
    <n v="16"/>
    <n v="0"/>
    <n v="0"/>
    <x v="100"/>
    <n v="56000"/>
    <n v="59.89"/>
    <n v="39200"/>
    <n v="16800"/>
    <n v="17.97"/>
    <n v="0"/>
    <d v="2024-05-29T00:00:00"/>
  </r>
  <r>
    <s v="B00575"/>
    <s v="P008"/>
    <x v="0"/>
    <s v="Sold Out"/>
    <n v="14"/>
    <n v="14"/>
    <n v="0"/>
    <n v="0"/>
    <x v="105"/>
    <n v="49000"/>
    <n v="52.41"/>
    <n v="34300"/>
    <n v="14700"/>
    <n v="15.72"/>
    <n v="0"/>
    <d v="2024-06-08T00:00:00"/>
  </r>
  <r>
    <s v="B00576"/>
    <s v="P008"/>
    <x v="0"/>
    <s v="Partial Loss"/>
    <n v="13"/>
    <n v="9.91"/>
    <n v="3.09"/>
    <n v="23.8"/>
    <x v="398"/>
    <n v="34685"/>
    <n v="37.1"/>
    <n v="31850"/>
    <n v="2835"/>
    <n v="3.03"/>
    <n v="7570.5"/>
    <d v="2024-06-16T00:00:00"/>
  </r>
  <r>
    <s v="B00577"/>
    <s v="P008"/>
    <x v="0"/>
    <s v="Sold Out"/>
    <n v="16"/>
    <n v="16"/>
    <n v="0"/>
    <n v="0"/>
    <x v="271"/>
    <n v="56000"/>
    <n v="59.89"/>
    <n v="39200"/>
    <n v="16800"/>
    <n v="17.97"/>
    <n v="0"/>
    <d v="2024-06-24T00:00:00"/>
  </r>
  <r>
    <s v="B00578"/>
    <s v="P008"/>
    <x v="0"/>
    <s v="Partial Loss"/>
    <n v="13"/>
    <n v="11.17"/>
    <n v="1.83"/>
    <n v="14.1"/>
    <x v="170"/>
    <n v="39095"/>
    <n v="41.81"/>
    <n v="31850"/>
    <n v="7245"/>
    <n v="7.75"/>
    <n v="4483.5"/>
    <d v="2024-07-04T00:00:00"/>
  </r>
  <r>
    <s v="B00579"/>
    <s v="P008"/>
    <x v="0"/>
    <s v="Sold Out"/>
    <n v="15"/>
    <n v="15"/>
    <n v="0"/>
    <n v="0"/>
    <x v="399"/>
    <n v="52500"/>
    <n v="56.15"/>
    <n v="36750"/>
    <n v="15750"/>
    <n v="16.84"/>
    <n v="0"/>
    <d v="2024-07-14T00:00:00"/>
  </r>
  <r>
    <s v="B00580"/>
    <s v="P008"/>
    <x v="0"/>
    <s v="Sold Out"/>
    <n v="15"/>
    <n v="15"/>
    <n v="0"/>
    <n v="0"/>
    <x v="37"/>
    <n v="52500"/>
    <n v="56.15"/>
    <n v="36750"/>
    <n v="15750"/>
    <n v="16.84"/>
    <n v="0"/>
    <d v="2024-07-24T00:00:00"/>
  </r>
  <r>
    <s v="B00581"/>
    <s v="P008"/>
    <x v="0"/>
    <s v="Sold Out"/>
    <n v="13"/>
    <n v="13"/>
    <n v="0"/>
    <n v="0"/>
    <x v="324"/>
    <n v="45500"/>
    <n v="48.66"/>
    <n v="31850"/>
    <n v="13650"/>
    <n v="14.6"/>
    <n v="0"/>
    <d v="2024-08-02T00:00:00"/>
  </r>
  <r>
    <s v="B00582"/>
    <s v="P008"/>
    <x v="0"/>
    <s v="Partial Loss"/>
    <n v="16"/>
    <n v="14.58"/>
    <n v="1.42"/>
    <n v="8.9"/>
    <x v="175"/>
    <n v="51030"/>
    <n v="54.58"/>
    <n v="39200"/>
    <n v="11830"/>
    <n v="12.65"/>
    <n v="3479"/>
    <d v="2024-08-13T00:00:00"/>
  </r>
  <r>
    <s v="B00583"/>
    <s v="P008"/>
    <x v="0"/>
    <s v="Partial Loss"/>
    <n v="14"/>
    <n v="10.93"/>
    <n v="3.07"/>
    <n v="21.9"/>
    <x v="110"/>
    <n v="38255"/>
    <n v="40.909999999999997"/>
    <n v="34300"/>
    <n v="3955"/>
    <n v="4.2300000000000004"/>
    <n v="7521.5"/>
    <d v="2024-08-21T00:00:00"/>
  </r>
  <r>
    <s v="B00584"/>
    <s v="P008"/>
    <x v="0"/>
    <s v="Partial Loss"/>
    <n v="13"/>
    <n v="11.05"/>
    <n v="1.95"/>
    <n v="15"/>
    <x v="400"/>
    <n v="38675"/>
    <n v="41.36"/>
    <n v="31850"/>
    <n v="6825"/>
    <n v="7.3"/>
    <n v="4777.5"/>
    <d v="2024-08-30T00:00:00"/>
  </r>
  <r>
    <s v="B00585"/>
    <s v="P008"/>
    <x v="0"/>
    <s v="Sold Out"/>
    <n v="20"/>
    <n v="20"/>
    <n v="0"/>
    <n v="0"/>
    <x v="401"/>
    <n v="70000"/>
    <n v="74.87"/>
    <n v="49000"/>
    <n v="21000"/>
    <n v="22.46"/>
    <n v="0"/>
    <d v="2024-09-10T00:00:00"/>
  </r>
  <r>
    <s v="B00586"/>
    <s v="P008"/>
    <x v="0"/>
    <s v="Sold Out"/>
    <n v="20"/>
    <n v="20"/>
    <n v="0"/>
    <n v="0"/>
    <x v="42"/>
    <n v="70000"/>
    <n v="74.87"/>
    <n v="53000"/>
    <n v="17000"/>
    <n v="18.18"/>
    <n v="0"/>
    <d v="2024-09-17T00:00:00"/>
  </r>
  <r>
    <s v="B00587"/>
    <s v="P008"/>
    <x v="0"/>
    <s v="Partial Loss"/>
    <n v="20"/>
    <n v="16.66"/>
    <n v="3.34"/>
    <n v="16.7"/>
    <x v="179"/>
    <n v="58310"/>
    <n v="62.36"/>
    <n v="49000"/>
    <n v="9310"/>
    <n v="9.9600000000000009"/>
    <n v="8183"/>
    <d v="2024-09-29T00:00:00"/>
  </r>
  <r>
    <s v="B00588"/>
    <s v="P008"/>
    <x v="0"/>
    <s v="Sold Out"/>
    <n v="36"/>
    <n v="36"/>
    <n v="0"/>
    <n v="0"/>
    <x v="111"/>
    <n v="126000"/>
    <n v="134.76"/>
    <n v="88200"/>
    <n v="37800"/>
    <n v="40.43"/>
    <n v="0"/>
    <d v="2024-10-10T00:00:00"/>
  </r>
  <r>
    <s v="B00589"/>
    <s v="P008"/>
    <x v="0"/>
    <s v="Sold Out"/>
    <n v="46"/>
    <n v="46"/>
    <n v="0"/>
    <n v="0"/>
    <x v="276"/>
    <n v="161000"/>
    <n v="172.19"/>
    <n v="112700"/>
    <n v="48300"/>
    <n v="51.66"/>
    <n v="0"/>
    <d v="2024-10-19T00:00:00"/>
  </r>
  <r>
    <s v="B00590"/>
    <s v="P008"/>
    <x v="0"/>
    <s v="Partial Loss"/>
    <n v="35"/>
    <n v="29.71"/>
    <n v="5.29"/>
    <n v="15.1"/>
    <x v="402"/>
    <n v="103985"/>
    <n v="111.21"/>
    <n v="85750"/>
    <n v="18235"/>
    <n v="19.5"/>
    <n v="12960.5"/>
    <d v="2024-10-27T00:00:00"/>
  </r>
  <r>
    <s v="B00591"/>
    <s v="P008"/>
    <x v="0"/>
    <s v="Sold Out"/>
    <n v="43"/>
    <n v="43"/>
    <n v="0"/>
    <n v="0"/>
    <x v="403"/>
    <n v="150500"/>
    <n v="160.96"/>
    <n v="105350"/>
    <n v="45150"/>
    <n v="48.29"/>
    <n v="0"/>
    <d v="2024-11-05T00:00:00"/>
  </r>
  <r>
    <s v="B00592"/>
    <s v="P008"/>
    <x v="0"/>
    <s v="Sold Out"/>
    <n v="40"/>
    <n v="40"/>
    <n v="0"/>
    <n v="0"/>
    <x v="404"/>
    <n v="140000"/>
    <n v="149.72999999999999"/>
    <n v="98000"/>
    <n v="42000"/>
    <n v="44.92"/>
    <n v="0"/>
    <d v="2024-11-17T00:00:00"/>
  </r>
  <r>
    <s v="B00593"/>
    <s v="P008"/>
    <x v="0"/>
    <s v="Sold Out"/>
    <n v="45"/>
    <n v="45"/>
    <n v="0"/>
    <n v="0"/>
    <x v="53"/>
    <n v="157500"/>
    <n v="168.45"/>
    <n v="110250"/>
    <n v="47250"/>
    <n v="50.53"/>
    <n v="0"/>
    <d v="2024-11-26T00:00:00"/>
  </r>
  <r>
    <s v="B00594"/>
    <s v="P008"/>
    <x v="0"/>
    <s v="Sold Out"/>
    <n v="57"/>
    <n v="57"/>
    <n v="0"/>
    <n v="0"/>
    <x v="405"/>
    <n v="199500"/>
    <n v="213.37"/>
    <n v="139650"/>
    <n v="59850"/>
    <n v="64.010000000000005"/>
    <n v="0"/>
    <d v="2024-12-03T00:00:00"/>
  </r>
  <r>
    <s v="B00595"/>
    <s v="P008"/>
    <x v="0"/>
    <s v="Sold Out"/>
    <n v="53"/>
    <n v="53"/>
    <n v="0"/>
    <n v="0"/>
    <x v="228"/>
    <n v="185500"/>
    <n v="198.4"/>
    <n v="129850"/>
    <n v="55650"/>
    <n v="59.52"/>
    <n v="0"/>
    <d v="2024-12-13T00:00:00"/>
  </r>
  <r>
    <s v="B00596"/>
    <s v="P008"/>
    <x v="0"/>
    <s v="Sold Out"/>
    <n v="54"/>
    <n v="54"/>
    <n v="0"/>
    <n v="0"/>
    <x v="406"/>
    <n v="189000"/>
    <n v="202.14"/>
    <n v="132300"/>
    <n v="56700"/>
    <n v="60.64"/>
    <n v="0"/>
    <d v="2024-12-24T00:00:00"/>
  </r>
  <r>
    <s v="B00597"/>
    <s v="P008"/>
    <x v="0"/>
    <s v="Sold Out"/>
    <n v="45"/>
    <n v="45"/>
    <n v="0"/>
    <n v="0"/>
    <x v="407"/>
    <n v="157500"/>
    <n v="168.45"/>
    <n v="119250"/>
    <n v="38250"/>
    <n v="40.909999999999997"/>
    <n v="0"/>
    <d v="2025-01-02T00:00:00"/>
  </r>
  <r>
    <s v="B00598"/>
    <s v="P008"/>
    <x v="0"/>
    <s v="Sold Out"/>
    <n v="49"/>
    <n v="49"/>
    <n v="0"/>
    <n v="0"/>
    <x v="408"/>
    <n v="171500"/>
    <n v="183.42"/>
    <n v="120050"/>
    <n v="51450"/>
    <n v="55.03"/>
    <n v="0"/>
    <d v="2025-01-12T00:00:00"/>
  </r>
  <r>
    <s v="B00599"/>
    <s v="P008"/>
    <x v="0"/>
    <s v="Sold Out"/>
    <n v="40"/>
    <n v="40"/>
    <n v="0"/>
    <n v="0"/>
    <x v="409"/>
    <n v="140000"/>
    <n v="149.72999999999999"/>
    <n v="98000"/>
    <n v="42000"/>
    <n v="44.92"/>
    <n v="0"/>
    <d v="2025-01-23T00:00:00"/>
  </r>
  <r>
    <s v="B00600"/>
    <s v="P008"/>
    <x v="0"/>
    <s v="Sold Out"/>
    <n v="38"/>
    <n v="38"/>
    <n v="0"/>
    <n v="0"/>
    <x v="410"/>
    <n v="133000"/>
    <n v="142.25"/>
    <n v="93100"/>
    <n v="39900"/>
    <n v="42.67"/>
    <n v="0"/>
    <d v="2025-02-01T00:00:00"/>
  </r>
  <r>
    <s v="B00601"/>
    <s v="P008"/>
    <x v="0"/>
    <s v="Sold Out"/>
    <n v="46"/>
    <n v="46"/>
    <n v="0"/>
    <n v="0"/>
    <x v="128"/>
    <n v="161000"/>
    <n v="172.19"/>
    <n v="112700"/>
    <n v="48300"/>
    <n v="51.66"/>
    <n v="0"/>
    <d v="2025-02-11T00:00:00"/>
  </r>
  <r>
    <s v="B00602"/>
    <s v="P008"/>
    <x v="0"/>
    <s v="Partial Loss"/>
    <n v="39"/>
    <n v="30.73"/>
    <n v="8.27"/>
    <n v="21.2"/>
    <x v="411"/>
    <n v="107555"/>
    <n v="115.03"/>
    <n v="95550"/>
    <n v="12005"/>
    <n v="12.84"/>
    <n v="20261.5"/>
    <d v="2025-02-17T00:00:00"/>
  </r>
  <r>
    <s v="B00603"/>
    <s v="P008"/>
    <x v="0"/>
    <s v="Sold Out"/>
    <n v="45"/>
    <n v="45"/>
    <n v="0"/>
    <n v="0"/>
    <x v="235"/>
    <n v="157500"/>
    <n v="168.45"/>
    <n v="119250"/>
    <n v="38250"/>
    <n v="40.909999999999997"/>
    <n v="0"/>
    <d v="2025-02-24T00:00:00"/>
  </r>
  <r>
    <s v="B00604"/>
    <s v="P008"/>
    <x v="0"/>
    <s v="Sold Out"/>
    <n v="48"/>
    <n v="48"/>
    <n v="0"/>
    <n v="0"/>
    <x v="235"/>
    <n v="168000"/>
    <n v="179.68"/>
    <n v="117600"/>
    <n v="50400"/>
    <n v="53.9"/>
    <n v="0"/>
    <d v="2025-03-04T00:00:00"/>
  </r>
  <r>
    <s v="B00605"/>
    <s v="P008"/>
    <x v="0"/>
    <s v="Sold Out"/>
    <n v="50"/>
    <n v="50"/>
    <n v="0"/>
    <n v="0"/>
    <x v="412"/>
    <n v="175000"/>
    <n v="187.17"/>
    <n v="122500"/>
    <n v="52500"/>
    <n v="56.15"/>
    <n v="0"/>
    <d v="2025-03-12T00:00:00"/>
  </r>
  <r>
    <s v="B00606"/>
    <s v="P008"/>
    <x v="0"/>
    <s v="Sold Out"/>
    <n v="45"/>
    <n v="45"/>
    <n v="0"/>
    <n v="0"/>
    <x v="131"/>
    <n v="157500"/>
    <n v="168.45"/>
    <n v="110250"/>
    <n v="47250"/>
    <n v="50.53"/>
    <n v="0"/>
    <d v="2025-03-20T00:00:00"/>
  </r>
  <r>
    <s v="B00607"/>
    <s v="P008"/>
    <x v="0"/>
    <s v="Sold Out"/>
    <n v="42"/>
    <n v="42"/>
    <n v="0"/>
    <n v="0"/>
    <x v="413"/>
    <n v="147000"/>
    <n v="157.22"/>
    <n v="102900"/>
    <n v="44100"/>
    <n v="47.17"/>
    <n v="0"/>
    <d v="2025-03-31T00:00:00"/>
  </r>
  <r>
    <s v="B00608"/>
    <s v="P008"/>
    <x v="0"/>
    <s v="Partial Loss"/>
    <n v="14"/>
    <n v="12.25"/>
    <n v="1.75"/>
    <n v="12.5"/>
    <x v="191"/>
    <n v="42875"/>
    <n v="45.86"/>
    <n v="34300"/>
    <n v="8575"/>
    <n v="9.17"/>
    <n v="4287.5"/>
    <d v="2025-04-09T00:00:00"/>
  </r>
  <r>
    <s v="B00609"/>
    <s v="P008"/>
    <x v="0"/>
    <s v="Sold Out"/>
    <n v="14"/>
    <n v="14"/>
    <n v="0"/>
    <n v="0"/>
    <x v="414"/>
    <n v="49000"/>
    <n v="52.41"/>
    <n v="34300"/>
    <n v="14700"/>
    <n v="15.72"/>
    <n v="0"/>
    <d v="2025-04-18T00:00:00"/>
  </r>
  <r>
    <s v="B00610"/>
    <s v="P008"/>
    <x v="0"/>
    <s v="Sold Out"/>
    <n v="16"/>
    <n v="16"/>
    <n v="0"/>
    <n v="0"/>
    <x v="415"/>
    <n v="56000"/>
    <n v="59.89"/>
    <n v="39200"/>
    <n v="16800"/>
    <n v="17.97"/>
    <n v="0"/>
    <d v="2025-04-27T00:00:00"/>
  </r>
  <r>
    <s v="B00611"/>
    <s v="P008"/>
    <x v="0"/>
    <s v="Partial Loss"/>
    <n v="17"/>
    <n v="14.2"/>
    <n v="2.81"/>
    <n v="16.5"/>
    <x v="194"/>
    <n v="49700"/>
    <n v="53.16"/>
    <n v="41650"/>
    <n v="8050"/>
    <n v="8.61"/>
    <n v="6884.5"/>
    <d v="2025-05-08T00:00:00"/>
  </r>
  <r>
    <s v="B00612"/>
    <s v="P008"/>
    <x v="0"/>
    <s v="Partial Loss"/>
    <n v="18"/>
    <n v="14.65"/>
    <n v="3.35"/>
    <n v="18.600000000000001"/>
    <x v="195"/>
    <n v="51275"/>
    <n v="54.84"/>
    <n v="44100"/>
    <n v="7175"/>
    <n v="7.67"/>
    <n v="8207.5"/>
    <d v="2025-05-18T00:00:00"/>
  </r>
  <r>
    <s v="B00613"/>
    <s v="P008"/>
    <x v="0"/>
    <s v="Sold Out"/>
    <n v="15"/>
    <n v="15"/>
    <n v="0"/>
    <n v="0"/>
    <x v="192"/>
    <n v="52500"/>
    <n v="56.15"/>
    <n v="36750"/>
    <n v="15750"/>
    <n v="16.84"/>
    <n v="0"/>
    <d v="2025-05-28T00:00:00"/>
  </r>
  <r>
    <s v="B00614"/>
    <s v="P008"/>
    <x v="0"/>
    <s v="Sold Out"/>
    <n v="18"/>
    <n v="18"/>
    <n v="0"/>
    <n v="0"/>
    <x v="416"/>
    <n v="63000"/>
    <n v="67.38"/>
    <n v="44100"/>
    <n v="18900"/>
    <n v="20.21"/>
    <n v="0"/>
    <d v="2025-06-08T00:00:00"/>
  </r>
  <r>
    <s v="B00615"/>
    <s v="P008"/>
    <x v="0"/>
    <s v="Partial Loss"/>
    <n v="14"/>
    <n v="10.99"/>
    <n v="3.01"/>
    <n v="21.5"/>
    <x v="417"/>
    <n v="38465"/>
    <n v="41.14"/>
    <n v="34300"/>
    <n v="4165"/>
    <n v="4.45"/>
    <n v="7374.4999999999991"/>
    <d v="2025-06-19T00:00:00"/>
  </r>
  <r>
    <s v="B00616"/>
    <s v="P009"/>
    <x v="0"/>
    <s v="Sold Out"/>
    <n v="14"/>
    <n v="14"/>
    <n v="0"/>
    <n v="0"/>
    <x v="296"/>
    <n v="42000"/>
    <n v="44.92"/>
    <n v="30100"/>
    <n v="11900"/>
    <n v="12.73"/>
    <n v="0"/>
    <d v="2023-07-03T00:00:00"/>
  </r>
  <r>
    <s v="B00617"/>
    <s v="P009"/>
    <x v="0"/>
    <s v="Partial Loss"/>
    <n v="17"/>
    <n v="13.41"/>
    <n v="3.59"/>
    <n v="21.1"/>
    <x v="418"/>
    <n v="40230"/>
    <n v="43.03"/>
    <n v="36550"/>
    <n v="3680"/>
    <n v="3.94"/>
    <n v="7718.5"/>
    <d v="2023-07-14T00:00:00"/>
  </r>
  <r>
    <s v="B00618"/>
    <s v="P009"/>
    <x v="0"/>
    <s v="Partial Loss"/>
    <n v="14"/>
    <n v="12.57"/>
    <n v="1.43"/>
    <n v="10.199999999999999"/>
    <x v="1"/>
    <n v="37710"/>
    <n v="40.33"/>
    <n v="30100"/>
    <n v="7610"/>
    <n v="8.14"/>
    <n v="3074.5"/>
    <d v="2023-07-20T00:00:00"/>
  </r>
  <r>
    <s v="B00619"/>
    <s v="P009"/>
    <x v="0"/>
    <s v="Sold Out"/>
    <n v="16"/>
    <n v="16"/>
    <n v="0"/>
    <n v="0"/>
    <x v="419"/>
    <n v="48000"/>
    <n v="51.34"/>
    <n v="34400"/>
    <n v="13600"/>
    <n v="14.55"/>
    <n v="0"/>
    <d v="2023-07-31T00:00:00"/>
  </r>
  <r>
    <s v="B00620"/>
    <s v="P009"/>
    <x v="0"/>
    <s v="Partial Loss"/>
    <n v="14"/>
    <n v="12.5"/>
    <n v="1.5"/>
    <n v="10.7"/>
    <x v="84"/>
    <n v="37500"/>
    <n v="40.11"/>
    <n v="30100"/>
    <n v="7400"/>
    <n v="7.91"/>
    <n v="3225"/>
    <d v="2023-08-10T00:00:00"/>
  </r>
  <r>
    <s v="B00621"/>
    <s v="P009"/>
    <x v="0"/>
    <s v="Sold Out"/>
    <n v="17"/>
    <n v="17"/>
    <n v="0"/>
    <n v="0"/>
    <x v="420"/>
    <n v="51000"/>
    <n v="54.55"/>
    <n v="36550"/>
    <n v="14450"/>
    <n v="15.45"/>
    <n v="0"/>
    <d v="2023-08-18T00:00:00"/>
  </r>
  <r>
    <s v="B00622"/>
    <s v="P009"/>
    <x v="0"/>
    <s v="Partial Loss"/>
    <n v="16"/>
    <n v="12.3"/>
    <n v="3.7"/>
    <n v="23.1"/>
    <x v="10"/>
    <n v="36900"/>
    <n v="39.47"/>
    <n v="34400"/>
    <n v="2500"/>
    <n v="2.67"/>
    <n v="7955"/>
    <d v="2023-08-27T00:00:00"/>
  </r>
  <r>
    <s v="B00623"/>
    <s v="P009"/>
    <x v="0"/>
    <s v="Partial Loss"/>
    <n v="17"/>
    <n v="14.3"/>
    <n v="2.7"/>
    <n v="15.9"/>
    <x v="301"/>
    <n v="42900"/>
    <n v="45.88"/>
    <n v="36550"/>
    <n v="6350"/>
    <n v="6.79"/>
    <n v="5805"/>
    <d v="2023-09-07T00:00:00"/>
  </r>
  <r>
    <s v="B00624"/>
    <s v="P009"/>
    <x v="0"/>
    <s v="Sold Out"/>
    <n v="17"/>
    <n v="17"/>
    <n v="0"/>
    <n v="0"/>
    <x v="421"/>
    <n v="51000"/>
    <n v="54.55"/>
    <n v="36550"/>
    <n v="14450"/>
    <n v="15.45"/>
    <n v="0"/>
    <d v="2023-09-16T00:00:00"/>
  </r>
  <r>
    <s v="B00625"/>
    <s v="P009"/>
    <x v="0"/>
    <s v="Sold Out"/>
    <n v="19"/>
    <n v="19"/>
    <n v="0"/>
    <n v="0"/>
    <x v="346"/>
    <n v="57000"/>
    <n v="60.96"/>
    <n v="40850"/>
    <n v="16150"/>
    <n v="17.27"/>
    <n v="0"/>
    <d v="2023-09-27T00:00:00"/>
  </r>
  <r>
    <s v="B00626"/>
    <s v="P009"/>
    <x v="0"/>
    <s v="Sold Out"/>
    <n v="46"/>
    <n v="46"/>
    <n v="0"/>
    <n v="0"/>
    <x v="253"/>
    <n v="138000"/>
    <n v="147.59"/>
    <n v="98900"/>
    <n v="39100"/>
    <n v="41.82"/>
    <n v="0"/>
    <d v="2023-10-07T00:00:00"/>
  </r>
  <r>
    <s v="B00627"/>
    <s v="P009"/>
    <x v="0"/>
    <s v="Partial Loss"/>
    <n v="43"/>
    <n v="39.340000000000003"/>
    <n v="3.66"/>
    <n v="8.5"/>
    <x v="385"/>
    <n v="118020"/>
    <n v="126.22"/>
    <n v="92450"/>
    <n v="25570"/>
    <n v="27.35"/>
    <n v="7869"/>
    <d v="2023-10-16T00:00:00"/>
  </r>
  <r>
    <s v="B00628"/>
    <s v="P009"/>
    <x v="0"/>
    <s v="Sold Out"/>
    <n v="41"/>
    <n v="41"/>
    <n v="0"/>
    <n v="0"/>
    <x v="8"/>
    <n v="123000"/>
    <n v="131.55000000000001"/>
    <n v="88150"/>
    <n v="34850"/>
    <n v="37.270000000000003"/>
    <n v="0"/>
    <d v="2023-10-25T00:00:00"/>
  </r>
  <r>
    <s v="B00629"/>
    <s v="P009"/>
    <x v="0"/>
    <s v="Sold Out"/>
    <n v="42"/>
    <n v="42"/>
    <n v="0"/>
    <n v="0"/>
    <x v="151"/>
    <n v="126000"/>
    <n v="134.76"/>
    <n v="90300"/>
    <n v="35700"/>
    <n v="38.18"/>
    <n v="0"/>
    <d v="2023-11-01T00:00:00"/>
  </r>
  <r>
    <s v="B00630"/>
    <s v="P009"/>
    <x v="0"/>
    <s v="Sold Out"/>
    <n v="41"/>
    <n v="41"/>
    <n v="0"/>
    <n v="0"/>
    <x v="88"/>
    <n v="123000"/>
    <n v="131.55000000000001"/>
    <n v="88150"/>
    <n v="34850"/>
    <n v="37.270000000000003"/>
    <n v="0"/>
    <d v="2023-11-10T00:00:00"/>
  </r>
  <r>
    <s v="B00631"/>
    <s v="P009"/>
    <x v="0"/>
    <s v="Sold Out"/>
    <n v="44"/>
    <n v="44"/>
    <n v="0"/>
    <n v="0"/>
    <x v="422"/>
    <n v="132000"/>
    <n v="141.18"/>
    <n v="94600"/>
    <n v="37400"/>
    <n v="40"/>
    <n v="0"/>
    <d v="2023-11-21T00:00:00"/>
  </r>
  <r>
    <s v="B00632"/>
    <s v="P009"/>
    <x v="0"/>
    <s v="Sold Out"/>
    <n v="43"/>
    <n v="43"/>
    <n v="0"/>
    <n v="0"/>
    <x v="154"/>
    <n v="129000"/>
    <n v="137.97"/>
    <n v="92450"/>
    <n v="36550"/>
    <n v="39.090000000000003"/>
    <n v="0"/>
    <d v="2023-11-30T00:00:00"/>
  </r>
  <r>
    <s v="B00633"/>
    <s v="P009"/>
    <x v="0"/>
    <s v="Sold Out"/>
    <n v="54"/>
    <n v="54"/>
    <n v="0"/>
    <n v="0"/>
    <x v="17"/>
    <n v="162000"/>
    <n v="173.26"/>
    <n v="116100"/>
    <n v="45900"/>
    <n v="49.09"/>
    <n v="0"/>
    <d v="2023-12-10T00:00:00"/>
  </r>
  <r>
    <s v="B00634"/>
    <s v="P009"/>
    <x v="0"/>
    <s v="Sold Out"/>
    <n v="49"/>
    <n v="49"/>
    <n v="0"/>
    <n v="0"/>
    <x v="355"/>
    <n v="147000"/>
    <n v="157.22"/>
    <n v="105350"/>
    <n v="41650"/>
    <n v="44.55"/>
    <n v="0"/>
    <d v="2023-12-20T00:00:00"/>
  </r>
  <r>
    <s v="B00635"/>
    <s v="P009"/>
    <x v="0"/>
    <s v="Sold Out"/>
    <n v="57"/>
    <n v="57"/>
    <n v="0"/>
    <n v="0"/>
    <x v="258"/>
    <n v="171000"/>
    <n v="182.89"/>
    <n v="122550"/>
    <n v="48450"/>
    <n v="51.82"/>
    <n v="0"/>
    <d v="2023-12-29T00:00:00"/>
  </r>
  <r>
    <s v="B00636"/>
    <s v="P009"/>
    <x v="0"/>
    <s v="Sold Out"/>
    <n v="42"/>
    <n v="42"/>
    <n v="0"/>
    <n v="0"/>
    <x v="20"/>
    <n v="126000"/>
    <n v="134.76"/>
    <n v="92400"/>
    <n v="33600"/>
    <n v="35.94"/>
    <n v="0"/>
    <d v="2024-01-09T00:00:00"/>
  </r>
  <r>
    <s v="B00637"/>
    <s v="P009"/>
    <x v="0"/>
    <s v="Partial Loss"/>
    <n v="39"/>
    <n v="31.43"/>
    <n v="7.57"/>
    <n v="19.399999999999999"/>
    <x v="160"/>
    <n v="94290"/>
    <n v="100.84"/>
    <n v="83850"/>
    <n v="10440"/>
    <n v="11.17"/>
    <n v="16275.5"/>
    <d v="2024-01-17T00:00:00"/>
  </r>
  <r>
    <s v="B00638"/>
    <s v="P009"/>
    <x v="0"/>
    <s v="Sold Out"/>
    <n v="36"/>
    <n v="36"/>
    <n v="0"/>
    <n v="0"/>
    <x v="423"/>
    <n v="108000"/>
    <n v="115.51"/>
    <n v="77400"/>
    <n v="30600"/>
    <n v="32.729999999999997"/>
    <n v="0"/>
    <d v="2024-01-28T00:00:00"/>
  </r>
  <r>
    <s v="B00639"/>
    <s v="P009"/>
    <x v="0"/>
    <s v="Partial Loss"/>
    <n v="35"/>
    <n v="23.42"/>
    <n v="11.59"/>
    <n v="33.1"/>
    <x v="96"/>
    <n v="70260"/>
    <n v="75.14"/>
    <n v="75250"/>
    <n v="-4990"/>
    <n v="-5.34"/>
    <n v="24918.5"/>
    <d v="2024-02-09T00:00:00"/>
  </r>
  <r>
    <s v="B00640"/>
    <s v="P009"/>
    <x v="0"/>
    <s v="Sold Out"/>
    <n v="41"/>
    <n v="41"/>
    <n v="0"/>
    <n v="0"/>
    <x v="21"/>
    <n v="123000"/>
    <n v="131.55000000000001"/>
    <n v="88150"/>
    <n v="34850"/>
    <n v="37.270000000000003"/>
    <n v="0"/>
    <d v="2024-02-19T00:00:00"/>
  </r>
  <r>
    <s v="B00641"/>
    <s v="P009"/>
    <x v="0"/>
    <s v="Partial Loss"/>
    <n v="42"/>
    <n v="38.85"/>
    <n v="3.15"/>
    <n v="7.5"/>
    <x v="311"/>
    <n v="116550"/>
    <n v="124.65"/>
    <n v="90300"/>
    <n v="26250"/>
    <n v="28.07"/>
    <n v="6772.5"/>
    <d v="2024-02-28T00:00:00"/>
  </r>
  <r>
    <s v="B00642"/>
    <s v="P009"/>
    <x v="0"/>
    <s v="Sold Out"/>
    <n v="38"/>
    <n v="38"/>
    <n v="0"/>
    <n v="0"/>
    <x v="264"/>
    <n v="114000"/>
    <n v="121.93"/>
    <n v="81700"/>
    <n v="32300"/>
    <n v="34.549999999999997"/>
    <n v="0"/>
    <d v="2024-03-10T00:00:00"/>
  </r>
  <r>
    <s v="B00643"/>
    <s v="P009"/>
    <x v="0"/>
    <s v="Sold Out"/>
    <n v="35"/>
    <n v="35"/>
    <n v="0"/>
    <n v="0"/>
    <x v="313"/>
    <n v="105000"/>
    <n v="112.3"/>
    <n v="75250"/>
    <n v="29750"/>
    <n v="31.82"/>
    <n v="0"/>
    <d v="2024-03-21T00:00:00"/>
  </r>
  <r>
    <s v="B00644"/>
    <s v="P009"/>
    <x v="0"/>
    <s v="Sold Out"/>
    <n v="44"/>
    <n v="44"/>
    <n v="0"/>
    <n v="0"/>
    <x v="394"/>
    <n v="132000"/>
    <n v="141.18"/>
    <n v="94600"/>
    <n v="37400"/>
    <n v="40"/>
    <n v="0"/>
    <d v="2024-03-29T00:00:00"/>
  </r>
  <r>
    <s v="B00645"/>
    <s v="P009"/>
    <x v="0"/>
    <s v="Partial Loss"/>
    <n v="16"/>
    <n v="12.16"/>
    <n v="3.84"/>
    <n v="24"/>
    <x v="213"/>
    <n v="36480"/>
    <n v="39.020000000000003"/>
    <n v="34400"/>
    <n v="2080"/>
    <n v="2.2200000000000002"/>
    <n v="8256"/>
    <d v="2024-04-08T00:00:00"/>
  </r>
  <r>
    <s v="B00646"/>
    <s v="P009"/>
    <x v="0"/>
    <s v="Sold Out"/>
    <n v="17"/>
    <n v="17"/>
    <n v="0"/>
    <n v="0"/>
    <x v="162"/>
    <n v="51000"/>
    <n v="54.55"/>
    <n v="36550"/>
    <n v="14450"/>
    <n v="15.45"/>
    <n v="0"/>
    <d v="2024-04-18T00:00:00"/>
  </r>
  <r>
    <s v="B00647"/>
    <s v="P009"/>
    <x v="0"/>
    <s v="Sold Out"/>
    <n v="13"/>
    <n v="13"/>
    <n v="0"/>
    <n v="0"/>
    <x v="316"/>
    <n v="39000"/>
    <n v="41.71"/>
    <n v="27950"/>
    <n v="11050"/>
    <n v="11.82"/>
    <n v="0"/>
    <d v="2024-04-27T00:00:00"/>
  </r>
  <r>
    <s v="B00648"/>
    <s v="P009"/>
    <x v="0"/>
    <s v="Sold Out"/>
    <n v="13"/>
    <n v="13"/>
    <n v="0"/>
    <n v="0"/>
    <x v="424"/>
    <n v="39000"/>
    <n v="41.71"/>
    <n v="28600"/>
    <n v="10400"/>
    <n v="11.12"/>
    <n v="0"/>
    <d v="2024-05-07T00:00:00"/>
  </r>
  <r>
    <s v="B00649"/>
    <s v="P009"/>
    <x v="0"/>
    <s v="Sold Out"/>
    <n v="15"/>
    <n v="15"/>
    <n v="0"/>
    <n v="0"/>
    <x v="30"/>
    <n v="45000"/>
    <n v="48.13"/>
    <n v="33000"/>
    <n v="12000"/>
    <n v="12.83"/>
    <n v="0"/>
    <d v="2024-05-16T00:00:00"/>
  </r>
  <r>
    <s v="B00650"/>
    <s v="P009"/>
    <x v="0"/>
    <s v="Sold Out"/>
    <n v="15"/>
    <n v="15"/>
    <n v="0"/>
    <n v="0"/>
    <x v="315"/>
    <n v="45000"/>
    <n v="48.13"/>
    <n v="32250"/>
    <n v="12750"/>
    <n v="13.64"/>
    <n v="0"/>
    <d v="2024-05-22T00:00:00"/>
  </r>
  <r>
    <s v="B00651"/>
    <s v="P009"/>
    <x v="0"/>
    <s v="Partial Loss"/>
    <n v="14"/>
    <n v="11.82"/>
    <n v="2.1800000000000002"/>
    <n v="15.6"/>
    <x v="168"/>
    <n v="35460"/>
    <n v="37.93"/>
    <n v="30100"/>
    <n v="5360"/>
    <n v="5.73"/>
    <n v="4687"/>
    <d v="2024-05-28T00:00:00"/>
  </r>
  <r>
    <s v="B00652"/>
    <s v="P009"/>
    <x v="0"/>
    <s v="Sold Out"/>
    <n v="17"/>
    <n v="17"/>
    <n v="0"/>
    <n v="0"/>
    <x v="101"/>
    <n v="51000"/>
    <n v="54.55"/>
    <n v="36550"/>
    <n v="14450"/>
    <n v="15.45"/>
    <n v="0"/>
    <d v="2024-06-07T00:00:00"/>
  </r>
  <r>
    <s v="B00653"/>
    <s v="P009"/>
    <x v="0"/>
    <s v="Partial Loss"/>
    <n v="15"/>
    <n v="10.95"/>
    <n v="4.05"/>
    <n v="27"/>
    <x v="425"/>
    <n v="32850"/>
    <n v="35.130000000000003"/>
    <n v="32250"/>
    <n v="600"/>
    <n v="0.64"/>
    <n v="8707.5"/>
    <d v="2024-06-15T00:00:00"/>
  </r>
  <r>
    <s v="B00654"/>
    <s v="P009"/>
    <x v="0"/>
    <s v="Partial Loss"/>
    <n v="14"/>
    <n v="11.82"/>
    <n v="2.1800000000000002"/>
    <n v="15.6"/>
    <x v="426"/>
    <n v="35460"/>
    <n v="37.93"/>
    <n v="30100"/>
    <n v="5360"/>
    <n v="5.73"/>
    <n v="4687"/>
    <d v="2024-06-25T00:00:00"/>
  </r>
  <r>
    <s v="B00655"/>
    <s v="P009"/>
    <x v="0"/>
    <s v="Partial Loss"/>
    <n v="13"/>
    <n v="10.79"/>
    <n v="2.21"/>
    <n v="17"/>
    <x v="170"/>
    <n v="32370"/>
    <n v="34.619999999999997"/>
    <n v="27950"/>
    <n v="4420"/>
    <n v="4.7300000000000004"/>
    <n v="4751.5"/>
    <d v="2024-07-04T00:00:00"/>
  </r>
  <r>
    <s v="B00656"/>
    <s v="P009"/>
    <x v="0"/>
    <s v="Sold Out"/>
    <n v="17"/>
    <n v="17"/>
    <n v="0"/>
    <n v="0"/>
    <x v="270"/>
    <n v="51000"/>
    <n v="54.55"/>
    <n v="36550"/>
    <n v="14450"/>
    <n v="15.45"/>
    <n v="0"/>
    <d v="2024-07-12T00:00:00"/>
  </r>
  <r>
    <s v="B00657"/>
    <s v="P009"/>
    <x v="0"/>
    <s v="Sold Out"/>
    <n v="14"/>
    <n v="14"/>
    <n v="0"/>
    <n v="0"/>
    <x v="37"/>
    <n v="42000"/>
    <n v="44.92"/>
    <n v="30100"/>
    <n v="11900"/>
    <n v="12.73"/>
    <n v="0"/>
    <d v="2024-07-25T00:00:00"/>
  </r>
  <r>
    <s v="B00658"/>
    <s v="P009"/>
    <x v="0"/>
    <s v="Sold Out"/>
    <n v="17"/>
    <n v="17"/>
    <n v="0"/>
    <n v="0"/>
    <x v="426"/>
    <n v="51000"/>
    <n v="54.55"/>
    <n v="37400"/>
    <n v="13600"/>
    <n v="14.55"/>
    <n v="0"/>
    <d v="2024-08-02T00:00:00"/>
  </r>
  <r>
    <s v="B00659"/>
    <s v="P009"/>
    <x v="0"/>
    <s v="Partial Loss"/>
    <n v="14"/>
    <n v="11.14"/>
    <n v="2.86"/>
    <n v="20.399999999999999"/>
    <x v="368"/>
    <n v="33420"/>
    <n v="35.74"/>
    <n v="30100"/>
    <n v="3320"/>
    <n v="3.55"/>
    <n v="6149"/>
    <d v="2024-08-10T00:00:00"/>
  </r>
  <r>
    <s v="B00660"/>
    <s v="P009"/>
    <x v="0"/>
    <s v="Sold Out"/>
    <n v="17"/>
    <n v="17"/>
    <n v="0"/>
    <n v="0"/>
    <x v="272"/>
    <n v="51000"/>
    <n v="54.55"/>
    <n v="37400"/>
    <n v="13600"/>
    <n v="14.55"/>
    <n v="0"/>
    <d v="2024-08-19T00:00:00"/>
  </r>
  <r>
    <s v="B00661"/>
    <s v="P009"/>
    <x v="0"/>
    <s v="Partial Loss"/>
    <n v="17"/>
    <n v="12.14"/>
    <n v="4.8600000000000003"/>
    <n v="28.6"/>
    <x v="427"/>
    <n v="36420"/>
    <n v="38.950000000000003"/>
    <n v="36550"/>
    <n v="-130"/>
    <n v="-0.14000000000000001"/>
    <n v="10449"/>
    <d v="2024-08-27T00:00:00"/>
  </r>
  <r>
    <s v="B00662"/>
    <s v="P009"/>
    <x v="0"/>
    <s v="Partial Loss"/>
    <n v="20"/>
    <n v="17.64"/>
    <n v="2.36"/>
    <n v="11.8"/>
    <x v="428"/>
    <n v="52920"/>
    <n v="56.6"/>
    <n v="43000"/>
    <n v="9920"/>
    <n v="10.61"/>
    <n v="5074"/>
    <d v="2024-09-08T00:00:00"/>
  </r>
  <r>
    <s v="B00663"/>
    <s v="P009"/>
    <x v="0"/>
    <s v="Sold Out"/>
    <n v="16"/>
    <n v="16"/>
    <n v="0"/>
    <n v="0"/>
    <x v="175"/>
    <n v="48000"/>
    <n v="51.34"/>
    <n v="34400"/>
    <n v="13600"/>
    <n v="14.55"/>
    <n v="0"/>
    <d v="2024-09-18T00:00:00"/>
  </r>
  <r>
    <s v="B00664"/>
    <s v="P009"/>
    <x v="0"/>
    <s v="Partial Loss"/>
    <n v="20"/>
    <n v="18.48"/>
    <n v="1.52"/>
    <n v="7.6"/>
    <x v="429"/>
    <n v="55440"/>
    <n v="59.29"/>
    <n v="43000"/>
    <n v="12440"/>
    <n v="13.3"/>
    <n v="3268"/>
    <d v="2024-09-27T00:00:00"/>
  </r>
  <r>
    <s v="B00665"/>
    <s v="P009"/>
    <x v="0"/>
    <s v="Sold Out"/>
    <n v="34"/>
    <n v="34"/>
    <n v="0"/>
    <n v="0"/>
    <x v="427"/>
    <n v="102000"/>
    <n v="109.09"/>
    <n v="73100"/>
    <n v="28900"/>
    <n v="30.91"/>
    <n v="0"/>
    <d v="2024-10-06T00:00:00"/>
  </r>
  <r>
    <s v="B00666"/>
    <s v="P009"/>
    <x v="0"/>
    <s v="Sold Out"/>
    <n v="37"/>
    <n v="37"/>
    <n v="0"/>
    <n v="0"/>
    <x v="428"/>
    <n v="111000"/>
    <n v="118.72"/>
    <n v="79550"/>
    <n v="31450"/>
    <n v="33.64"/>
    <n v="0"/>
    <d v="2024-10-18T00:00:00"/>
  </r>
  <r>
    <s v="B00667"/>
    <s v="P009"/>
    <x v="0"/>
    <s v="Partial Loss"/>
    <n v="46"/>
    <n v="36.71"/>
    <n v="9.2899999999999991"/>
    <n v="20.2"/>
    <x v="120"/>
    <n v="110130"/>
    <n v="117.79"/>
    <n v="98900"/>
    <n v="11230"/>
    <n v="12.01"/>
    <n v="19973.499999999996"/>
    <d v="2024-10-29T00:00:00"/>
  </r>
  <r>
    <s v="B00668"/>
    <s v="P009"/>
    <x v="0"/>
    <s v="Sold Out"/>
    <n v="35"/>
    <n v="35"/>
    <n v="0"/>
    <n v="0"/>
    <x v="429"/>
    <n v="105000"/>
    <n v="112.3"/>
    <n v="77000"/>
    <n v="28000"/>
    <n v="29.95"/>
    <n v="0"/>
    <d v="2024-11-07T00:00:00"/>
  </r>
  <r>
    <s v="B00669"/>
    <s v="P009"/>
    <x v="0"/>
    <s v="Sold Out"/>
    <n v="36"/>
    <n v="36"/>
    <n v="0"/>
    <n v="0"/>
    <x v="430"/>
    <n v="108000"/>
    <n v="115.51"/>
    <n v="77400"/>
    <n v="30600"/>
    <n v="32.729999999999997"/>
    <n v="0"/>
    <d v="2024-11-20T00:00:00"/>
  </r>
  <r>
    <s v="B00670"/>
    <s v="P009"/>
    <x v="0"/>
    <s v="Sold Out"/>
    <n v="36"/>
    <n v="36"/>
    <n v="0"/>
    <n v="0"/>
    <x v="402"/>
    <n v="108000"/>
    <n v="115.51"/>
    <n v="77400"/>
    <n v="30600"/>
    <n v="32.729999999999997"/>
    <n v="0"/>
    <d v="2024-11-30T00:00:00"/>
  </r>
  <r>
    <s v="B00671"/>
    <s v="P009"/>
    <x v="0"/>
    <s v="Sold Out"/>
    <n v="44"/>
    <n v="44"/>
    <n v="0"/>
    <n v="0"/>
    <x v="431"/>
    <n v="132000"/>
    <n v="141.18"/>
    <n v="94600"/>
    <n v="37400"/>
    <n v="40"/>
    <n v="0"/>
    <d v="2024-12-10T00:00:00"/>
  </r>
  <r>
    <s v="B00672"/>
    <s v="P009"/>
    <x v="0"/>
    <s v="Sold Out"/>
    <n v="56"/>
    <n v="56"/>
    <n v="0"/>
    <n v="0"/>
    <x v="432"/>
    <n v="168000"/>
    <n v="179.68"/>
    <n v="120400"/>
    <n v="47600"/>
    <n v="50.91"/>
    <n v="0"/>
    <d v="2024-12-20T00:00:00"/>
  </r>
  <r>
    <s v="B00673"/>
    <s v="P009"/>
    <x v="0"/>
    <s v="Sold Out"/>
    <n v="45"/>
    <n v="45"/>
    <n v="0"/>
    <n v="0"/>
    <x v="433"/>
    <n v="135000"/>
    <n v="144.38999999999999"/>
    <n v="99000"/>
    <n v="36000"/>
    <n v="38.5"/>
    <n v="0"/>
    <d v="2024-12-28T00:00:00"/>
  </r>
  <r>
    <s v="B00674"/>
    <s v="P009"/>
    <x v="0"/>
    <s v="Sold Out"/>
    <n v="47"/>
    <n v="47"/>
    <n v="0"/>
    <n v="0"/>
    <x v="434"/>
    <n v="141000"/>
    <n v="150.80000000000001"/>
    <n v="101050"/>
    <n v="39950"/>
    <n v="42.73"/>
    <n v="0"/>
    <d v="2025-01-07T00:00:00"/>
  </r>
  <r>
    <s v="B00675"/>
    <s v="P009"/>
    <x v="0"/>
    <s v="Sold Out"/>
    <n v="39"/>
    <n v="39"/>
    <n v="0"/>
    <n v="0"/>
    <x v="126"/>
    <n v="117000"/>
    <n v="125.13"/>
    <n v="83850"/>
    <n v="33150"/>
    <n v="35.450000000000003"/>
    <n v="0"/>
    <d v="2025-01-15T00:00:00"/>
  </r>
  <r>
    <s v="B00676"/>
    <s v="P009"/>
    <x v="0"/>
    <s v="Sold Out"/>
    <n v="47"/>
    <n v="47"/>
    <n v="0"/>
    <n v="0"/>
    <x v="409"/>
    <n v="141000"/>
    <n v="150.80000000000001"/>
    <n v="101050"/>
    <n v="39950"/>
    <n v="42.73"/>
    <n v="0"/>
    <d v="2025-01-25T00:00:00"/>
  </r>
  <r>
    <s v="B00677"/>
    <s v="P009"/>
    <x v="0"/>
    <s v="Sold Out"/>
    <n v="46"/>
    <n v="46"/>
    <n v="0"/>
    <n v="0"/>
    <x v="61"/>
    <n v="138000"/>
    <n v="147.59"/>
    <n v="101200"/>
    <n v="36800"/>
    <n v="39.36"/>
    <n v="0"/>
    <d v="2025-02-03T00:00:00"/>
  </r>
  <r>
    <s v="B00678"/>
    <s v="P009"/>
    <x v="0"/>
    <s v="Sold Out"/>
    <n v="41"/>
    <n v="41"/>
    <n v="0"/>
    <n v="0"/>
    <x v="334"/>
    <n v="123000"/>
    <n v="131.55000000000001"/>
    <n v="90200"/>
    <n v="32800"/>
    <n v="35.08"/>
    <n v="0"/>
    <d v="2025-02-10T00:00:00"/>
  </r>
  <r>
    <s v="B00679"/>
    <s v="P009"/>
    <x v="0"/>
    <s v="Partial Loss"/>
    <n v="49"/>
    <n v="37.93"/>
    <n v="11.07"/>
    <n v="22.6"/>
    <x v="435"/>
    <n v="113790"/>
    <n v="121.7"/>
    <n v="105350"/>
    <n v="8440"/>
    <n v="9.0299999999999994"/>
    <n v="23800.5"/>
    <d v="2025-02-19T00:00:00"/>
  </r>
  <r>
    <s v="B00680"/>
    <s v="P009"/>
    <x v="0"/>
    <s v="Partial Loss"/>
    <n v="41"/>
    <n v="35.299999999999997"/>
    <n v="5.7"/>
    <n v="13.9"/>
    <x v="436"/>
    <n v="105900"/>
    <n v="113.26"/>
    <n v="88150"/>
    <n v="17750"/>
    <n v="18.98"/>
    <n v="12255"/>
    <d v="2025-02-28T00:00:00"/>
  </r>
  <r>
    <s v="B00681"/>
    <s v="P009"/>
    <x v="0"/>
    <s v="Partial Loss"/>
    <n v="38"/>
    <n v="32.15"/>
    <n v="5.85"/>
    <n v="15.4"/>
    <x v="240"/>
    <n v="96450"/>
    <n v="103.16"/>
    <n v="81700"/>
    <n v="14750"/>
    <n v="15.78"/>
    <n v="12577.5"/>
    <d v="2025-03-10T00:00:00"/>
  </r>
  <r>
    <s v="B00682"/>
    <s v="P009"/>
    <x v="0"/>
    <s v="Partial Loss"/>
    <n v="43"/>
    <n v="36.51"/>
    <n v="6.49"/>
    <n v="15.1"/>
    <x v="437"/>
    <n v="109530"/>
    <n v="117.14"/>
    <n v="92450"/>
    <n v="17080"/>
    <n v="18.27"/>
    <n v="13953.5"/>
    <d v="2025-03-18T00:00:00"/>
  </r>
  <r>
    <s v="B00683"/>
    <s v="P009"/>
    <x v="0"/>
    <s v="Sold Out"/>
    <n v="45"/>
    <n v="45"/>
    <n v="0"/>
    <n v="0"/>
    <x v="435"/>
    <n v="135000"/>
    <n v="144.38999999999999"/>
    <n v="96750"/>
    <n v="38250"/>
    <n v="40.909999999999997"/>
    <n v="0"/>
    <d v="2025-03-25T00:00:00"/>
  </r>
  <r>
    <s v="B00684"/>
    <s v="P009"/>
    <x v="0"/>
    <s v="Sold Out"/>
    <n v="17"/>
    <n v="17"/>
    <n v="0"/>
    <n v="0"/>
    <x v="438"/>
    <n v="51000"/>
    <n v="54.55"/>
    <n v="36550"/>
    <n v="14450"/>
    <n v="15.45"/>
    <n v="0"/>
    <d v="2025-04-05T00:00:00"/>
  </r>
  <r>
    <s v="B00685"/>
    <s v="P009"/>
    <x v="0"/>
    <s v="Partial Loss"/>
    <n v="18"/>
    <n v="13.59"/>
    <n v="4.41"/>
    <n v="24.5"/>
    <x v="138"/>
    <n v="40770"/>
    <n v="43.6"/>
    <n v="38700"/>
    <n v="2070"/>
    <n v="2.21"/>
    <n v="9481.5"/>
    <d v="2025-04-17T00:00:00"/>
  </r>
  <r>
    <s v="B00686"/>
    <s v="P009"/>
    <x v="0"/>
    <s v="Partial Loss"/>
    <n v="15"/>
    <n v="11.29"/>
    <n v="3.71"/>
    <n v="24.7"/>
    <x v="193"/>
    <n v="33870"/>
    <n v="36.22"/>
    <n v="32250"/>
    <n v="1620"/>
    <n v="1.73"/>
    <n v="7976.5"/>
    <d v="2025-04-28T00:00:00"/>
  </r>
  <r>
    <s v="B00687"/>
    <s v="P009"/>
    <x v="0"/>
    <s v="Partial Loss"/>
    <n v="16"/>
    <n v="14.48"/>
    <n v="1.52"/>
    <n v="9.5"/>
    <x v="439"/>
    <n v="43440"/>
    <n v="46.46"/>
    <n v="34400"/>
    <n v="9040"/>
    <n v="9.67"/>
    <n v="3268"/>
    <d v="2025-05-07T00:00:00"/>
  </r>
  <r>
    <s v="B00688"/>
    <s v="P009"/>
    <x v="0"/>
    <s v="Partial Loss"/>
    <n v="18"/>
    <n v="17.420000000000002"/>
    <n v="0.57999999999999996"/>
    <n v="3.2"/>
    <x v="440"/>
    <n v="52260"/>
    <n v="55.89"/>
    <n v="39600"/>
    <n v="12660"/>
    <n v="13.54"/>
    <n v="1276"/>
    <d v="2025-05-17T00:00:00"/>
  </r>
  <r>
    <s v="B00689"/>
    <s v="P009"/>
    <x v="0"/>
    <s v="Partial Loss"/>
    <n v="18"/>
    <n v="15.75"/>
    <n v="2.25"/>
    <n v="12.5"/>
    <x v="196"/>
    <n v="47250"/>
    <n v="50.53"/>
    <n v="38700"/>
    <n v="8550"/>
    <n v="9.14"/>
    <n v="4837.5"/>
    <d v="2025-05-29T00:00:00"/>
  </r>
  <r>
    <s v="B00690"/>
    <s v="P009"/>
    <x v="0"/>
    <s v="Partial Loss"/>
    <n v="18"/>
    <n v="15.32"/>
    <n v="2.68"/>
    <n v="14.9"/>
    <x v="441"/>
    <n v="45960"/>
    <n v="49.16"/>
    <n v="38700"/>
    <n v="7260"/>
    <n v="7.76"/>
    <n v="5762"/>
    <d v="2025-06-07T00:00:00"/>
  </r>
  <r>
    <s v="B00691"/>
    <s v="P009"/>
    <x v="0"/>
    <s v="Partial Loss"/>
    <n v="16"/>
    <n v="13.07"/>
    <n v="2.93"/>
    <n v="18.3"/>
    <x v="442"/>
    <n v="39210"/>
    <n v="41.94"/>
    <n v="34400"/>
    <n v="4810"/>
    <n v="5.14"/>
    <n v="6299.5"/>
    <d v="2025-06-18T00:00:00"/>
  </r>
  <r>
    <s v="B00692"/>
    <s v="P009"/>
    <x v="0"/>
    <s v="Partial Loss"/>
    <n v="16"/>
    <n v="13.87"/>
    <n v="2.13"/>
    <n v="13.3"/>
    <x v="443"/>
    <n v="41610"/>
    <n v="44.5"/>
    <n v="34400"/>
    <n v="7210"/>
    <n v="7.71"/>
    <n v="4579.5"/>
    <d v="2025-06-28T00:00:00"/>
  </r>
  <r>
    <s v="B00693"/>
    <s v="P010"/>
    <x v="0"/>
    <s v="Partial Loss"/>
    <n v="15"/>
    <n v="10.34"/>
    <n v="4.67"/>
    <n v="31.1"/>
    <x v="77"/>
    <n v="31020"/>
    <n v="33.18"/>
    <n v="31500"/>
    <n v="-480"/>
    <n v="-0.51"/>
    <n v="9807"/>
    <d v="2023-07-10T00:00:00"/>
  </r>
  <r>
    <s v="B00694"/>
    <s v="P010"/>
    <x v="0"/>
    <s v="Partial Loss"/>
    <n v="16"/>
    <n v="14.88"/>
    <n v="1.1200000000000001"/>
    <n v="7"/>
    <x v="6"/>
    <n v="44640"/>
    <n v="47.74"/>
    <n v="33600"/>
    <n v="11040"/>
    <n v="11.81"/>
    <n v="2352"/>
    <d v="2023-07-19T00:00:00"/>
  </r>
  <r>
    <s v="B00695"/>
    <s v="P010"/>
    <x v="0"/>
    <s v="Partial Loss"/>
    <n v="13"/>
    <n v="10.27"/>
    <n v="2.73"/>
    <n v="21"/>
    <x v="298"/>
    <n v="30810"/>
    <n v="32.950000000000003"/>
    <n v="27300"/>
    <n v="3510"/>
    <n v="3.75"/>
    <n v="5733"/>
    <d v="2023-07-31T00:00:00"/>
  </r>
  <r>
    <s v="B00696"/>
    <s v="P010"/>
    <x v="0"/>
    <s v="Partial Loss"/>
    <n v="13"/>
    <n v="11.74"/>
    <n v="1.26"/>
    <n v="9.6999999999999993"/>
    <x v="84"/>
    <n v="35220"/>
    <n v="37.67"/>
    <n v="27300"/>
    <n v="7920"/>
    <n v="8.4700000000000006"/>
    <n v="2646"/>
    <d v="2023-08-10T00:00:00"/>
  </r>
  <r>
    <s v="B00697"/>
    <s v="P010"/>
    <x v="0"/>
    <s v="Partial Loss"/>
    <n v="14"/>
    <n v="11.2"/>
    <n v="2.8"/>
    <n v="20"/>
    <x v="444"/>
    <n v="33600"/>
    <n v="35.94"/>
    <n v="29400"/>
    <n v="4200"/>
    <n v="4.49"/>
    <n v="5880"/>
    <d v="2023-08-17T00:00:00"/>
  </r>
  <r>
    <s v="B00698"/>
    <s v="P010"/>
    <x v="0"/>
    <s v="Sold Out"/>
    <n v="16"/>
    <n v="16"/>
    <n v="0"/>
    <n v="0"/>
    <x v="252"/>
    <n v="48000"/>
    <n v="51.34"/>
    <n v="33600"/>
    <n v="14400"/>
    <n v="15.4"/>
    <n v="0"/>
    <d v="2023-08-27T00:00:00"/>
  </r>
  <r>
    <s v="B00699"/>
    <s v="P010"/>
    <x v="0"/>
    <s v="Partial Loss"/>
    <n v="20"/>
    <n v="18.04"/>
    <n v="1.96"/>
    <n v="9.8000000000000007"/>
    <x v="7"/>
    <n v="54120"/>
    <n v="57.88"/>
    <n v="43000"/>
    <n v="11120"/>
    <n v="11.89"/>
    <n v="4214"/>
    <d v="2023-09-06T00:00:00"/>
  </r>
  <r>
    <s v="B00700"/>
    <s v="P010"/>
    <x v="0"/>
    <s v="Partial Loss"/>
    <n v="17"/>
    <n v="13.92"/>
    <n v="3.08"/>
    <n v="18.100000000000001"/>
    <x v="8"/>
    <n v="41760"/>
    <n v="44.66"/>
    <n v="35700"/>
    <n v="6060"/>
    <n v="6.48"/>
    <n v="6468"/>
    <d v="2023-09-16T00:00:00"/>
  </r>
  <r>
    <s v="B00701"/>
    <s v="P010"/>
    <x v="0"/>
    <s v="Partial Loss"/>
    <n v="19"/>
    <n v="17.63"/>
    <n v="1.37"/>
    <n v="7.2"/>
    <x v="151"/>
    <n v="52890"/>
    <n v="56.57"/>
    <n v="39900"/>
    <n v="12990"/>
    <n v="13.89"/>
    <n v="2877"/>
    <d v="2023-09-24T00:00:00"/>
  </r>
  <r>
    <s v="B00702"/>
    <s v="P010"/>
    <x v="0"/>
    <s v="Sold Out"/>
    <n v="41"/>
    <n v="41"/>
    <n v="0"/>
    <n v="0"/>
    <x v="445"/>
    <n v="123000"/>
    <n v="131.55000000000001"/>
    <n v="86100"/>
    <n v="36900"/>
    <n v="39.47"/>
    <n v="0"/>
    <d v="2023-10-06T00:00:00"/>
  </r>
  <r>
    <s v="B00703"/>
    <s v="P010"/>
    <x v="0"/>
    <s v="Sold Out"/>
    <n v="35"/>
    <n v="35"/>
    <n v="0"/>
    <n v="0"/>
    <x v="12"/>
    <n v="105000"/>
    <n v="112.3"/>
    <n v="73500"/>
    <n v="31500"/>
    <n v="33.69"/>
    <n v="0"/>
    <d v="2023-10-14T00:00:00"/>
  </r>
  <r>
    <s v="B00704"/>
    <s v="P010"/>
    <x v="0"/>
    <s v="Sold Out"/>
    <n v="39"/>
    <n v="39"/>
    <n v="0"/>
    <n v="0"/>
    <x v="87"/>
    <n v="117000"/>
    <n v="125.13"/>
    <n v="81900"/>
    <n v="35100"/>
    <n v="37.54"/>
    <n v="0"/>
    <d v="2023-10-25T00:00:00"/>
  </r>
  <r>
    <s v="B00705"/>
    <s v="P010"/>
    <x v="0"/>
    <s v="Partial Loss"/>
    <n v="44"/>
    <n v="38.24"/>
    <n v="5.76"/>
    <n v="13.1"/>
    <x v="17"/>
    <n v="114720"/>
    <n v="122.7"/>
    <n v="92400"/>
    <n v="22320"/>
    <n v="23.87"/>
    <n v="12096"/>
    <d v="2023-11-03T00:00:00"/>
  </r>
  <r>
    <s v="B00706"/>
    <s v="P010"/>
    <x v="0"/>
    <s v="Sold Out"/>
    <n v="42"/>
    <n v="42"/>
    <n v="0"/>
    <n v="0"/>
    <x v="446"/>
    <n v="126000"/>
    <n v="134.76"/>
    <n v="88200"/>
    <n v="37800"/>
    <n v="40.43"/>
    <n v="0"/>
    <d v="2023-11-12T00:00:00"/>
  </r>
  <r>
    <s v="B00707"/>
    <s v="P010"/>
    <x v="0"/>
    <s v="Sold Out"/>
    <n v="37"/>
    <n v="37"/>
    <n v="0"/>
    <n v="0"/>
    <x v="447"/>
    <n v="111000"/>
    <n v="118.72"/>
    <n v="77700"/>
    <n v="33300"/>
    <n v="35.61"/>
    <n v="0"/>
    <d v="2023-11-21T00:00:00"/>
  </r>
  <r>
    <s v="B00708"/>
    <s v="P010"/>
    <x v="0"/>
    <s v="Sold Out"/>
    <n v="59"/>
    <n v="59"/>
    <n v="0"/>
    <n v="0"/>
    <x v="448"/>
    <n v="177000"/>
    <n v="189.3"/>
    <n v="123900"/>
    <n v="53100"/>
    <n v="56.79"/>
    <n v="0"/>
    <d v="2023-12-01T00:00:00"/>
  </r>
  <r>
    <s v="B00709"/>
    <s v="P010"/>
    <x v="0"/>
    <s v="Sold Out"/>
    <n v="54"/>
    <n v="54"/>
    <n v="0"/>
    <n v="0"/>
    <x v="18"/>
    <n v="162000"/>
    <n v="173.26"/>
    <n v="113400"/>
    <n v="48600"/>
    <n v="51.98"/>
    <n v="0"/>
    <d v="2023-12-11T00:00:00"/>
  </r>
  <r>
    <s v="B00710"/>
    <s v="P010"/>
    <x v="0"/>
    <s v="Sold Out"/>
    <n v="50"/>
    <n v="50"/>
    <n v="0"/>
    <n v="0"/>
    <x v="449"/>
    <n v="150000"/>
    <n v="160.43"/>
    <n v="105000"/>
    <n v="45000"/>
    <n v="48.13"/>
    <n v="0"/>
    <d v="2023-12-21T00:00:00"/>
  </r>
  <r>
    <s v="B00711"/>
    <s v="P010"/>
    <x v="0"/>
    <s v="Partial Loss"/>
    <n v="58"/>
    <n v="50.81"/>
    <n v="7.19"/>
    <n v="12.4"/>
    <x v="389"/>
    <n v="152430"/>
    <n v="163.03"/>
    <n v="121800"/>
    <n v="30630"/>
    <n v="32.76"/>
    <n v="15099"/>
    <d v="2023-12-31T00:00:00"/>
  </r>
  <r>
    <s v="B00712"/>
    <s v="P010"/>
    <x v="0"/>
    <s v="Sold Out"/>
    <n v="34"/>
    <n v="34"/>
    <n v="0"/>
    <n v="0"/>
    <x v="450"/>
    <n v="102000"/>
    <n v="109.09"/>
    <n v="71400"/>
    <n v="30600"/>
    <n v="32.729999999999997"/>
    <n v="0"/>
    <d v="2024-01-12T00:00:00"/>
  </r>
  <r>
    <s v="B00713"/>
    <s v="P010"/>
    <x v="0"/>
    <s v="Sold Out"/>
    <n v="41"/>
    <n v="41"/>
    <n v="0"/>
    <n v="0"/>
    <x v="309"/>
    <n v="123000"/>
    <n v="131.55000000000001"/>
    <n v="86100"/>
    <n v="36900"/>
    <n v="39.47"/>
    <n v="0"/>
    <d v="2024-01-22T00:00:00"/>
  </r>
  <r>
    <s v="B00714"/>
    <s v="P010"/>
    <x v="0"/>
    <s v="Sold Out"/>
    <n v="35"/>
    <n v="35"/>
    <n v="0"/>
    <n v="0"/>
    <x v="23"/>
    <n v="105000"/>
    <n v="112.3"/>
    <n v="73500"/>
    <n v="31500"/>
    <n v="33.69"/>
    <n v="0"/>
    <d v="2024-01-30T00:00:00"/>
  </r>
  <r>
    <s v="B00715"/>
    <s v="P010"/>
    <x v="0"/>
    <s v="Partial Loss"/>
    <n v="46"/>
    <n v="32.89"/>
    <n v="13.11"/>
    <n v="28.5"/>
    <x v="96"/>
    <n v="98670"/>
    <n v="105.53"/>
    <n v="96600"/>
    <n v="2070"/>
    <n v="2.21"/>
    <n v="27531"/>
    <d v="2024-02-09T00:00:00"/>
  </r>
  <r>
    <s v="B00716"/>
    <s v="P010"/>
    <x v="0"/>
    <s v="Partial Loss"/>
    <n v="34"/>
    <n v="26.66"/>
    <n v="7.34"/>
    <n v="21.6"/>
    <x v="394"/>
    <n v="79980"/>
    <n v="85.54"/>
    <n v="71400"/>
    <n v="8580"/>
    <n v="9.18"/>
    <n v="15414"/>
    <d v="2024-02-19T00:00:00"/>
  </r>
  <r>
    <s v="B00717"/>
    <s v="P010"/>
    <x v="0"/>
    <s v="Sold Out"/>
    <n v="40"/>
    <n v="40"/>
    <n v="0"/>
    <n v="0"/>
    <x v="358"/>
    <n v="120000"/>
    <n v="128.34"/>
    <n v="84000"/>
    <n v="36000"/>
    <n v="38.5"/>
    <n v="0"/>
    <d v="2024-02-29T00:00:00"/>
  </r>
  <r>
    <s v="B00718"/>
    <s v="P010"/>
    <x v="0"/>
    <s v="Sold Out"/>
    <n v="45"/>
    <n v="45"/>
    <n v="0"/>
    <n v="0"/>
    <x v="392"/>
    <n v="135000"/>
    <n v="144.38999999999999"/>
    <n v="94500"/>
    <n v="40500"/>
    <n v="43.32"/>
    <n v="0"/>
    <d v="2024-03-10T00:00:00"/>
  </r>
  <r>
    <s v="B00719"/>
    <s v="P010"/>
    <x v="0"/>
    <s v="Partial Loss"/>
    <n v="38"/>
    <n v="31.88"/>
    <n v="6.12"/>
    <n v="16.100000000000001"/>
    <x v="166"/>
    <n v="95640"/>
    <n v="102.29"/>
    <n v="79800"/>
    <n v="15840"/>
    <n v="16.940000000000001"/>
    <n v="12852"/>
    <d v="2024-03-19T00:00:00"/>
  </r>
  <r>
    <s v="B00720"/>
    <s v="P010"/>
    <x v="0"/>
    <s v="Partial Loss"/>
    <n v="36"/>
    <n v="29.34"/>
    <n v="6.66"/>
    <n v="18.5"/>
    <x v="451"/>
    <n v="88020"/>
    <n v="94.14"/>
    <n v="75600"/>
    <n v="12420"/>
    <n v="13.28"/>
    <n v="13986"/>
    <d v="2024-03-29T00:00:00"/>
  </r>
  <r>
    <s v="B00721"/>
    <s v="P010"/>
    <x v="0"/>
    <s v="Sold Out"/>
    <n v="14"/>
    <n v="14"/>
    <n v="0"/>
    <n v="0"/>
    <x v="452"/>
    <n v="42000"/>
    <n v="44.92"/>
    <n v="29400"/>
    <n v="12600"/>
    <n v="13.48"/>
    <n v="0"/>
    <d v="2024-04-08T00:00:00"/>
  </r>
  <r>
    <s v="B00722"/>
    <s v="P010"/>
    <x v="0"/>
    <s v="Partial Loss"/>
    <n v="15"/>
    <n v="11.94"/>
    <n v="3.06"/>
    <n v="20.399999999999999"/>
    <x v="453"/>
    <n v="35820"/>
    <n v="38.31"/>
    <n v="32250"/>
    <n v="3570"/>
    <n v="3.82"/>
    <n v="6579"/>
    <d v="2024-04-17T00:00:00"/>
  </r>
  <r>
    <s v="B00723"/>
    <s v="P010"/>
    <x v="0"/>
    <s v="Partial Loss"/>
    <n v="13"/>
    <n v="10.8"/>
    <n v="2.2000000000000002"/>
    <n v="16.899999999999999"/>
    <x v="454"/>
    <n v="32400"/>
    <n v="34.65"/>
    <n v="27300"/>
    <n v="5100"/>
    <n v="5.45"/>
    <n v="4620"/>
    <d v="2024-04-28T00:00:00"/>
  </r>
  <r>
    <s v="B00724"/>
    <s v="P010"/>
    <x v="0"/>
    <s v="Partial Loss"/>
    <n v="14"/>
    <n v="11.69"/>
    <n v="2.31"/>
    <n v="16.5"/>
    <x v="318"/>
    <n v="35070"/>
    <n v="37.51"/>
    <n v="29400"/>
    <n v="5670"/>
    <n v="6.06"/>
    <n v="4851"/>
    <d v="2024-05-08T00:00:00"/>
  </r>
  <r>
    <s v="B00725"/>
    <s v="P010"/>
    <x v="0"/>
    <s v="Partial Loss"/>
    <n v="15"/>
    <n v="12.19"/>
    <n v="2.81"/>
    <n v="18.7"/>
    <x v="271"/>
    <n v="36570"/>
    <n v="39.11"/>
    <n v="32250"/>
    <n v="4320"/>
    <n v="4.62"/>
    <n v="6041.5"/>
    <d v="2024-05-16T00:00:00"/>
  </r>
  <r>
    <s v="B00726"/>
    <s v="P010"/>
    <x v="0"/>
    <s v="Sold Out"/>
    <n v="16"/>
    <n v="16"/>
    <n v="0"/>
    <n v="0"/>
    <x v="453"/>
    <n v="48000"/>
    <n v="51.34"/>
    <n v="33600"/>
    <n v="14400"/>
    <n v="15.4"/>
    <n v="0"/>
    <d v="2024-05-23T00:00:00"/>
  </r>
  <r>
    <s v="B00727"/>
    <s v="P010"/>
    <x v="0"/>
    <s v="Partial Loss"/>
    <n v="13"/>
    <n v="10.41"/>
    <n v="2.59"/>
    <n v="19.899999999999999"/>
    <x v="171"/>
    <n v="31230"/>
    <n v="33.4"/>
    <n v="27300"/>
    <n v="3930"/>
    <n v="4.2"/>
    <n v="5439"/>
    <d v="2024-06-02T00:00:00"/>
  </r>
  <r>
    <s v="B00728"/>
    <s v="P010"/>
    <x v="0"/>
    <s v="Sold Out"/>
    <n v="16"/>
    <n v="16"/>
    <n v="0"/>
    <n v="0"/>
    <x v="455"/>
    <n v="48000"/>
    <n v="51.34"/>
    <n v="33600"/>
    <n v="14400"/>
    <n v="15.4"/>
    <n v="0"/>
    <d v="2024-06-11T00:00:00"/>
  </r>
  <r>
    <s v="B00729"/>
    <s v="P010"/>
    <x v="0"/>
    <s v="Partial Loss"/>
    <n v="14"/>
    <n v="9.77"/>
    <n v="4.2300000000000004"/>
    <n v="30.2"/>
    <x v="456"/>
    <n v="29310"/>
    <n v="31.35"/>
    <n v="29400"/>
    <n v="-90"/>
    <n v="-0.1"/>
    <n v="8883"/>
    <d v="2024-06-22T00:00:00"/>
  </r>
  <r>
    <s v="B00730"/>
    <s v="P010"/>
    <x v="0"/>
    <s v="Sold Out"/>
    <n v="14"/>
    <n v="14"/>
    <n v="0"/>
    <n v="0"/>
    <x v="457"/>
    <n v="42000"/>
    <n v="44.92"/>
    <n v="30100"/>
    <n v="11900"/>
    <n v="12.73"/>
    <n v="0"/>
    <d v="2024-07-03T00:00:00"/>
  </r>
  <r>
    <s v="B00731"/>
    <s v="P010"/>
    <x v="0"/>
    <s v="Sold Out"/>
    <n v="14"/>
    <n v="14"/>
    <n v="0"/>
    <n v="0"/>
    <x v="458"/>
    <n v="42000"/>
    <n v="44.92"/>
    <n v="29400"/>
    <n v="12600"/>
    <n v="13.48"/>
    <n v="0"/>
    <d v="2024-07-12T00:00:00"/>
  </r>
  <r>
    <s v="B00732"/>
    <s v="P010"/>
    <x v="0"/>
    <s v="Partial Loss"/>
    <n v="15"/>
    <n v="12.38"/>
    <n v="2.62"/>
    <n v="17.5"/>
    <x v="273"/>
    <n v="37140"/>
    <n v="39.72"/>
    <n v="31500"/>
    <n v="5640"/>
    <n v="6.03"/>
    <n v="5502"/>
    <d v="2024-07-22T00:00:00"/>
  </r>
  <r>
    <s v="B00733"/>
    <s v="P010"/>
    <x v="0"/>
    <s v="Sold Out"/>
    <n v="14"/>
    <n v="14"/>
    <n v="0"/>
    <n v="0"/>
    <x v="459"/>
    <n v="42000"/>
    <n v="44.92"/>
    <n v="29400"/>
    <n v="12600"/>
    <n v="13.48"/>
    <n v="0"/>
    <d v="2024-07-31T00:00:00"/>
  </r>
  <r>
    <s v="B00734"/>
    <s v="P010"/>
    <x v="0"/>
    <s v="Sold Out"/>
    <n v="16"/>
    <n v="16"/>
    <n v="0"/>
    <n v="0"/>
    <x v="365"/>
    <n v="48000"/>
    <n v="51.34"/>
    <n v="33600"/>
    <n v="14400"/>
    <n v="15.4"/>
    <n v="0"/>
    <d v="2024-08-10T00:00:00"/>
  </r>
  <r>
    <s v="B00735"/>
    <s v="P010"/>
    <x v="0"/>
    <s v="Sold Out"/>
    <n v="14"/>
    <n v="14"/>
    <n v="0"/>
    <n v="0"/>
    <x v="40"/>
    <n v="42000"/>
    <n v="44.92"/>
    <n v="29400"/>
    <n v="12600"/>
    <n v="13.48"/>
    <n v="0"/>
    <d v="2024-08-16T00:00:00"/>
  </r>
  <r>
    <s v="B00736"/>
    <s v="P010"/>
    <x v="0"/>
    <s v="Partial Loss"/>
    <n v="16"/>
    <n v="10.45"/>
    <n v="5.55"/>
    <n v="34.700000000000003"/>
    <x v="460"/>
    <n v="31350"/>
    <n v="33.53"/>
    <n v="33600"/>
    <n v="-2250"/>
    <n v="-2.41"/>
    <n v="11655"/>
    <d v="2024-08-26T00:00:00"/>
  </r>
  <r>
    <s v="B00737"/>
    <s v="P010"/>
    <x v="0"/>
    <s v="Partial Loss"/>
    <n v="18"/>
    <n v="15.46"/>
    <n v="2.54"/>
    <n v="14.1"/>
    <x v="461"/>
    <n v="46380"/>
    <n v="49.6"/>
    <n v="37800"/>
    <n v="8580"/>
    <n v="9.18"/>
    <n v="5334"/>
    <d v="2024-09-05T00:00:00"/>
  </r>
  <r>
    <s v="B00738"/>
    <s v="P010"/>
    <x v="0"/>
    <s v="Partial Loss"/>
    <n v="19"/>
    <n v="18.3"/>
    <n v="0.7"/>
    <n v="3.7"/>
    <x v="369"/>
    <n v="54900"/>
    <n v="58.72"/>
    <n v="39900"/>
    <n v="15000"/>
    <n v="16.04"/>
    <n v="1470"/>
    <d v="2024-09-16T00:00:00"/>
  </r>
  <r>
    <s v="B00739"/>
    <s v="P010"/>
    <x v="0"/>
    <s v="Sold Out"/>
    <n v="20"/>
    <n v="20"/>
    <n v="0"/>
    <n v="0"/>
    <x v="367"/>
    <n v="60000"/>
    <n v="64.17"/>
    <n v="42000"/>
    <n v="18000"/>
    <n v="19.25"/>
    <n v="0"/>
    <d v="2024-09-28T00:00:00"/>
  </r>
  <r>
    <s v="B00740"/>
    <s v="P010"/>
    <x v="0"/>
    <s v="Sold Out"/>
    <n v="41"/>
    <n v="41"/>
    <n v="0"/>
    <n v="0"/>
    <x v="44"/>
    <n v="123000"/>
    <n v="131.55000000000001"/>
    <n v="86100"/>
    <n v="36900"/>
    <n v="39.47"/>
    <n v="0"/>
    <d v="2024-10-08T00:00:00"/>
  </r>
  <r>
    <s v="B00741"/>
    <s v="P010"/>
    <x v="0"/>
    <s v="Sold Out"/>
    <n v="44"/>
    <n v="44"/>
    <n v="0"/>
    <n v="0"/>
    <x v="462"/>
    <n v="132000"/>
    <n v="141.18"/>
    <n v="92400"/>
    <n v="39600"/>
    <n v="42.35"/>
    <n v="0"/>
    <d v="2024-10-20T00:00:00"/>
  </r>
  <r>
    <s v="B00742"/>
    <s v="P010"/>
    <x v="0"/>
    <s v="Sold Out"/>
    <n v="41"/>
    <n v="41"/>
    <n v="0"/>
    <n v="0"/>
    <x v="46"/>
    <n v="123000"/>
    <n v="131.55000000000001"/>
    <n v="86100"/>
    <n v="36900"/>
    <n v="39.47"/>
    <n v="0"/>
    <d v="2024-10-28T00:00:00"/>
  </r>
  <r>
    <s v="B00743"/>
    <s v="P010"/>
    <x v="0"/>
    <s v="Partial Loss"/>
    <n v="36"/>
    <n v="30.06"/>
    <n v="5.94"/>
    <n v="16.5"/>
    <x v="463"/>
    <n v="90180"/>
    <n v="96.45"/>
    <n v="75600"/>
    <n v="14580"/>
    <n v="15.59"/>
    <n v="12474"/>
    <d v="2024-11-06T00:00:00"/>
  </r>
  <r>
    <s v="B00744"/>
    <s v="P010"/>
    <x v="0"/>
    <s v="Sold Out"/>
    <n v="39"/>
    <n v="39"/>
    <n v="0"/>
    <n v="0"/>
    <x v="279"/>
    <n v="117000"/>
    <n v="125.13"/>
    <n v="81900"/>
    <n v="35100"/>
    <n v="37.54"/>
    <n v="0"/>
    <d v="2024-11-16T00:00:00"/>
  </r>
  <r>
    <s v="B00745"/>
    <s v="P010"/>
    <x v="0"/>
    <s v="Sold Out"/>
    <n v="35"/>
    <n v="35"/>
    <n v="0"/>
    <n v="0"/>
    <x v="405"/>
    <n v="105000"/>
    <n v="112.3"/>
    <n v="73500"/>
    <n v="31500"/>
    <n v="33.69"/>
    <n v="0"/>
    <d v="2024-11-24T00:00:00"/>
  </r>
  <r>
    <s v="B00746"/>
    <s v="P010"/>
    <x v="0"/>
    <s v="Sold Out"/>
    <n v="55"/>
    <n v="55"/>
    <n v="0"/>
    <n v="0"/>
    <x v="280"/>
    <n v="165000"/>
    <n v="176.47"/>
    <n v="115500"/>
    <n v="49500"/>
    <n v="52.94"/>
    <n v="0"/>
    <d v="2024-12-03T00:00:00"/>
  </r>
  <r>
    <s v="B00747"/>
    <s v="P010"/>
    <x v="0"/>
    <s v="Sold Out"/>
    <n v="59"/>
    <n v="59"/>
    <n v="0"/>
    <n v="0"/>
    <x v="121"/>
    <n v="177000"/>
    <n v="189.3"/>
    <n v="126850"/>
    <n v="50150"/>
    <n v="53.64"/>
    <n v="0"/>
    <d v="2024-12-09T00:00:00"/>
  </r>
  <r>
    <s v="B00748"/>
    <s v="P010"/>
    <x v="0"/>
    <s v="Sold Out"/>
    <n v="58"/>
    <n v="58"/>
    <n v="0"/>
    <n v="0"/>
    <x v="464"/>
    <n v="174000"/>
    <n v="186.1"/>
    <n v="124700"/>
    <n v="49300"/>
    <n v="52.73"/>
    <n v="0"/>
    <d v="2024-12-19T00:00:00"/>
  </r>
  <r>
    <s v="B00749"/>
    <s v="P010"/>
    <x v="0"/>
    <s v="Sold Out"/>
    <n v="44"/>
    <n v="44"/>
    <n v="0"/>
    <n v="0"/>
    <x v="433"/>
    <n v="132000"/>
    <n v="141.18"/>
    <n v="92400"/>
    <n v="39600"/>
    <n v="42.35"/>
    <n v="0"/>
    <d v="2024-12-29T00:00:00"/>
  </r>
  <r>
    <s v="B00750"/>
    <s v="P010"/>
    <x v="0"/>
    <s v="Sold Out"/>
    <n v="48"/>
    <n v="48"/>
    <n v="0"/>
    <n v="0"/>
    <x v="407"/>
    <n v="144000"/>
    <n v="154.01"/>
    <n v="100800"/>
    <n v="43200"/>
    <n v="46.2"/>
    <n v="0"/>
    <d v="2025-01-08T00:00:00"/>
  </r>
  <r>
    <s v="B00751"/>
    <s v="P010"/>
    <x v="0"/>
    <s v="Partial Loss"/>
    <n v="43"/>
    <n v="36.08"/>
    <n v="6.92"/>
    <n v="16.100000000000001"/>
    <x v="465"/>
    <n v="108240"/>
    <n v="115.76"/>
    <n v="90300"/>
    <n v="17940"/>
    <n v="19.190000000000001"/>
    <n v="14532"/>
    <d v="2025-01-17T00:00:00"/>
  </r>
  <r>
    <s v="B00752"/>
    <s v="P010"/>
    <x v="0"/>
    <s v="Sold Out"/>
    <n v="37"/>
    <n v="37"/>
    <n v="0"/>
    <n v="0"/>
    <x v="127"/>
    <n v="111000"/>
    <n v="118.72"/>
    <n v="79550"/>
    <n v="31450"/>
    <n v="33.64"/>
    <n v="0"/>
    <d v="2025-01-26T00:00:00"/>
  </r>
  <r>
    <s v="B00753"/>
    <s v="P010"/>
    <x v="0"/>
    <s v="Partial Loss"/>
    <n v="50"/>
    <n v="39.700000000000003"/>
    <n v="10.3"/>
    <n v="20.6"/>
    <x v="236"/>
    <n v="119100"/>
    <n v="127.38"/>
    <n v="105000"/>
    <n v="14100"/>
    <n v="15.08"/>
    <n v="21630"/>
    <d v="2025-02-04T00:00:00"/>
  </r>
  <r>
    <s v="B00754"/>
    <s v="P010"/>
    <x v="0"/>
    <s v="Sold Out"/>
    <n v="42"/>
    <n v="42"/>
    <n v="0"/>
    <n v="0"/>
    <x v="466"/>
    <n v="126000"/>
    <n v="134.76"/>
    <n v="88200"/>
    <n v="37800"/>
    <n v="40.43"/>
    <n v="0"/>
    <d v="2025-02-13T00:00:00"/>
  </r>
  <r>
    <s v="B00755"/>
    <s v="P010"/>
    <x v="0"/>
    <s v="Sold Out"/>
    <n v="42"/>
    <n v="42"/>
    <n v="0"/>
    <n v="0"/>
    <x v="230"/>
    <n v="126000"/>
    <n v="134.76"/>
    <n v="88200"/>
    <n v="37800"/>
    <n v="40.43"/>
    <n v="0"/>
    <d v="2025-02-25T00:00:00"/>
  </r>
  <r>
    <s v="B00756"/>
    <s v="P010"/>
    <x v="0"/>
    <s v="Sold Out"/>
    <n v="47"/>
    <n v="47"/>
    <n v="0"/>
    <n v="0"/>
    <x v="412"/>
    <n v="141000"/>
    <n v="150.80000000000001"/>
    <n v="98700"/>
    <n v="42300"/>
    <n v="45.24"/>
    <n v="0"/>
    <d v="2025-03-06T00:00:00"/>
  </r>
  <r>
    <s v="B00757"/>
    <s v="P010"/>
    <x v="0"/>
    <s v="Sold Out"/>
    <n v="40"/>
    <n v="40"/>
    <n v="0"/>
    <n v="0"/>
    <x v="288"/>
    <n v="120000"/>
    <n v="128.34"/>
    <n v="86000"/>
    <n v="34000"/>
    <n v="36.36"/>
    <n v="0"/>
    <d v="2025-03-15T00:00:00"/>
  </r>
  <r>
    <s v="B00758"/>
    <s v="P010"/>
    <x v="0"/>
    <s v="Sold Out"/>
    <n v="41"/>
    <n v="41"/>
    <n v="0"/>
    <n v="0"/>
    <x v="435"/>
    <n v="123000"/>
    <n v="131.55000000000001"/>
    <n v="86100"/>
    <n v="36900"/>
    <n v="39.47"/>
    <n v="0"/>
    <d v="2025-03-25T00:00:00"/>
  </r>
  <r>
    <s v="B00759"/>
    <s v="P010"/>
    <x v="0"/>
    <s v="Partial Loss"/>
    <n v="17"/>
    <n v="14.13"/>
    <n v="2.87"/>
    <n v="16.899999999999999"/>
    <x v="67"/>
    <n v="42390"/>
    <n v="45.34"/>
    <n v="35700"/>
    <n v="6690"/>
    <n v="7.16"/>
    <n v="6027"/>
    <d v="2025-04-06T00:00:00"/>
  </r>
  <r>
    <s v="B00760"/>
    <s v="P010"/>
    <x v="0"/>
    <s v="Sold Out"/>
    <n v="17"/>
    <n v="17"/>
    <n v="0"/>
    <n v="0"/>
    <x v="467"/>
    <n v="51000"/>
    <n v="54.55"/>
    <n v="35700"/>
    <n v="15300"/>
    <n v="16.36"/>
    <n v="0"/>
    <d v="2025-04-15T00:00:00"/>
  </r>
  <r>
    <s v="B00761"/>
    <s v="P010"/>
    <x v="0"/>
    <s v="Sold Out"/>
    <n v="18"/>
    <n v="18"/>
    <n v="0"/>
    <n v="0"/>
    <x v="468"/>
    <n v="54000"/>
    <n v="57.75"/>
    <n v="37800"/>
    <n v="16200"/>
    <n v="17.329999999999998"/>
    <n v="0"/>
    <d v="2025-04-24T00:00:00"/>
  </r>
  <r>
    <s v="B00762"/>
    <s v="P010"/>
    <x v="0"/>
    <s v="Sold Out"/>
    <n v="17"/>
    <n v="17"/>
    <n v="0"/>
    <n v="0"/>
    <x v="66"/>
    <n v="51000"/>
    <n v="54.55"/>
    <n v="35700"/>
    <n v="15300"/>
    <n v="16.36"/>
    <n v="0"/>
    <d v="2025-05-05T00:00:00"/>
  </r>
  <r>
    <s v="B00763"/>
    <s v="P010"/>
    <x v="0"/>
    <s v="Partial Loss"/>
    <n v="16"/>
    <n v="13.5"/>
    <n v="2.5"/>
    <n v="15.6"/>
    <x v="71"/>
    <n v="40500"/>
    <n v="43.32"/>
    <n v="33600"/>
    <n v="6900"/>
    <n v="7.38"/>
    <n v="5250"/>
    <d v="2025-05-13T00:00:00"/>
  </r>
  <r>
    <s v="B00764"/>
    <s v="P010"/>
    <x v="0"/>
    <s v="Partial Loss"/>
    <n v="15"/>
    <n v="11.95"/>
    <n v="3.05"/>
    <n v="20.3"/>
    <x v="469"/>
    <n v="35850"/>
    <n v="38.340000000000003"/>
    <n v="32250"/>
    <n v="3600"/>
    <n v="3.85"/>
    <n v="6557.5"/>
    <d v="2025-05-24T00:00:00"/>
  </r>
  <r>
    <s v="B00765"/>
    <s v="P010"/>
    <x v="0"/>
    <s v="Partial Loss"/>
    <n v="15"/>
    <n v="12.43"/>
    <n v="2.57"/>
    <n v="17.100000000000001"/>
    <x v="470"/>
    <n v="37290"/>
    <n v="39.880000000000003"/>
    <n v="32250"/>
    <n v="5040"/>
    <n v="5.39"/>
    <n v="5525.5"/>
    <d v="2025-06-05T00:00:00"/>
  </r>
  <r>
    <s v="B00766"/>
    <s v="P010"/>
    <x v="0"/>
    <s v="Sold Out"/>
    <n v="14"/>
    <n v="14"/>
    <n v="0"/>
    <n v="0"/>
    <x v="471"/>
    <n v="42000"/>
    <n v="44.92"/>
    <n v="29400"/>
    <n v="12600"/>
    <n v="13.48"/>
    <n v="0"/>
    <d v="2025-06-15T00:00:00"/>
  </r>
  <r>
    <s v="B00767"/>
    <s v="P010"/>
    <x v="0"/>
    <s v="Partial Loss"/>
    <n v="15"/>
    <n v="12.33"/>
    <n v="2.67"/>
    <n v="17.8"/>
    <x v="342"/>
    <n v="36990"/>
    <n v="39.56"/>
    <n v="31500"/>
    <n v="5490"/>
    <n v="5.87"/>
    <n v="5607"/>
    <d v="2025-06-24T00:00:00"/>
  </r>
  <r>
    <s v="B00768"/>
    <s v="P011"/>
    <x v="0"/>
    <s v="Partial Loss"/>
    <n v="28"/>
    <n v="26.52"/>
    <n v="1.48"/>
    <n v="5.3"/>
    <x v="472"/>
    <n v="92820"/>
    <n v="99.27"/>
    <n v="70000"/>
    <n v="22820"/>
    <n v="24.41"/>
    <n v="3700"/>
    <d v="2023-07-01T00:00:00"/>
  </r>
  <r>
    <s v="B00769"/>
    <s v="P011"/>
    <x v="0"/>
    <s v="Sold Out"/>
    <n v="27"/>
    <n v="27"/>
    <n v="0"/>
    <n v="0"/>
    <x v="473"/>
    <n v="94500"/>
    <n v="101.07"/>
    <n v="68850"/>
    <n v="25650"/>
    <n v="27.43"/>
    <n v="0"/>
    <d v="2023-07-07T00:00:00"/>
  </r>
  <r>
    <s v="B00770"/>
    <s v="P011"/>
    <x v="0"/>
    <s v="Partial Loss"/>
    <n v="24"/>
    <n v="20.93"/>
    <n v="3.07"/>
    <n v="12.8"/>
    <x v="344"/>
    <n v="73255"/>
    <n v="78.349999999999994"/>
    <n v="60000"/>
    <n v="13255"/>
    <n v="14.18"/>
    <n v="7675"/>
    <d v="2023-07-17T00:00:00"/>
  </r>
  <r>
    <s v="B00771"/>
    <s v="P011"/>
    <x v="0"/>
    <s v="Partial Loss"/>
    <n v="27"/>
    <n v="22.46"/>
    <n v="4.54"/>
    <n v="16.8"/>
    <x v="345"/>
    <n v="78610"/>
    <n v="84.07"/>
    <n v="67500"/>
    <n v="11110"/>
    <n v="11.88"/>
    <n v="11350"/>
    <d v="2023-07-24T00:00:00"/>
  </r>
  <r>
    <s v="B00772"/>
    <s v="P011"/>
    <x v="0"/>
    <s v="Sold Out"/>
    <n v="27"/>
    <n v="27"/>
    <n v="0"/>
    <n v="0"/>
    <x v="474"/>
    <n v="94500"/>
    <n v="101.07"/>
    <n v="67500"/>
    <n v="27000"/>
    <n v="28.88"/>
    <n v="0"/>
    <d v="2023-08-02T00:00:00"/>
  </r>
  <r>
    <s v="B00773"/>
    <s v="P011"/>
    <x v="0"/>
    <s v="Sold Out"/>
    <n v="23"/>
    <n v="23"/>
    <n v="0"/>
    <n v="0"/>
    <x v="81"/>
    <n v="80500"/>
    <n v="86.1"/>
    <n v="57500"/>
    <n v="23000"/>
    <n v="24.6"/>
    <n v="0"/>
    <d v="2023-08-10T00:00:00"/>
  </r>
  <r>
    <s v="B00774"/>
    <s v="P011"/>
    <x v="0"/>
    <s v="Partial Loss"/>
    <n v="27"/>
    <n v="25.25"/>
    <n v="1.76"/>
    <n v="6.5"/>
    <x v="346"/>
    <n v="88375"/>
    <n v="94.52"/>
    <n v="67500"/>
    <n v="20875"/>
    <n v="22.33"/>
    <n v="4400"/>
    <d v="2023-08-19T00:00:00"/>
  </r>
  <r>
    <s v="B00775"/>
    <s v="P011"/>
    <x v="0"/>
    <s v="Partial Loss"/>
    <n v="23"/>
    <n v="21.57"/>
    <n v="1.43"/>
    <n v="6.2"/>
    <x v="475"/>
    <n v="75495"/>
    <n v="80.739999999999995"/>
    <n v="57500"/>
    <n v="17995"/>
    <n v="19.25"/>
    <n v="3575"/>
    <d v="2023-08-28T00:00:00"/>
  </r>
  <r>
    <s v="B00776"/>
    <s v="P011"/>
    <x v="0"/>
    <s v="Partial Loss"/>
    <n v="28"/>
    <n v="25.76"/>
    <n v="2.2400000000000002"/>
    <n v="8"/>
    <x v="11"/>
    <n v="90160"/>
    <n v="96.43"/>
    <n v="70000"/>
    <n v="20160"/>
    <n v="21.56"/>
    <n v="5600.0000000000009"/>
    <d v="2023-09-08T00:00:00"/>
  </r>
  <r>
    <s v="B00777"/>
    <s v="P011"/>
    <x v="0"/>
    <s v="Sold Out"/>
    <n v="32"/>
    <n v="32"/>
    <n v="0"/>
    <n v="0"/>
    <x v="346"/>
    <n v="112000"/>
    <n v="119.79"/>
    <n v="80000"/>
    <n v="32000"/>
    <n v="34.22"/>
    <n v="0"/>
    <d v="2023-09-18T00:00:00"/>
  </r>
  <r>
    <s v="B00778"/>
    <s v="P011"/>
    <x v="0"/>
    <s v="Sold Out"/>
    <n v="32"/>
    <n v="32"/>
    <n v="0"/>
    <n v="0"/>
    <x v="476"/>
    <n v="112000"/>
    <n v="119.79"/>
    <n v="81600"/>
    <n v="30400"/>
    <n v="32.51"/>
    <n v="0"/>
    <d v="2023-09-28T00:00:00"/>
  </r>
  <r>
    <s v="B00779"/>
    <s v="P011"/>
    <x v="0"/>
    <s v="Sold Out"/>
    <n v="21"/>
    <n v="21"/>
    <n v="0"/>
    <n v="0"/>
    <x v="477"/>
    <n v="73500"/>
    <n v="78.61"/>
    <n v="52500"/>
    <n v="21000"/>
    <n v="22.46"/>
    <n v="0"/>
    <d v="2023-10-07T00:00:00"/>
  </r>
  <r>
    <s v="B00780"/>
    <s v="P011"/>
    <x v="0"/>
    <s v="Sold Out"/>
    <n v="24"/>
    <n v="24"/>
    <n v="0"/>
    <n v="0"/>
    <x v="11"/>
    <n v="84000"/>
    <n v="89.84"/>
    <n v="60000"/>
    <n v="24000"/>
    <n v="25.67"/>
    <n v="0"/>
    <d v="2023-10-15T00:00:00"/>
  </r>
  <r>
    <s v="B00781"/>
    <s v="P011"/>
    <x v="0"/>
    <s v="Sold Out"/>
    <n v="21"/>
    <n v="21"/>
    <n v="0"/>
    <n v="0"/>
    <x v="8"/>
    <n v="73500"/>
    <n v="78.61"/>
    <n v="53550"/>
    <n v="19950"/>
    <n v="21.34"/>
    <n v="0"/>
    <d v="2023-10-26T00:00:00"/>
  </r>
  <r>
    <s v="B00782"/>
    <s v="P011"/>
    <x v="0"/>
    <s v="Sold Out"/>
    <n v="26"/>
    <n v="26"/>
    <n v="0"/>
    <n v="0"/>
    <x v="353"/>
    <n v="91000"/>
    <n v="97.33"/>
    <n v="66300"/>
    <n v="24700"/>
    <n v="26.42"/>
    <n v="0"/>
    <d v="2023-11-07T00:00:00"/>
  </r>
  <r>
    <s v="B00783"/>
    <s v="P011"/>
    <x v="0"/>
    <s v="Sold Out"/>
    <n v="27"/>
    <n v="27"/>
    <n v="0"/>
    <n v="0"/>
    <x v="446"/>
    <n v="94500"/>
    <n v="101.07"/>
    <n v="68850"/>
    <n v="25650"/>
    <n v="27.43"/>
    <n v="0"/>
    <d v="2023-11-16T00:00:00"/>
  </r>
  <r>
    <s v="B00784"/>
    <s v="P011"/>
    <x v="0"/>
    <s v="Partial Loss"/>
    <n v="28"/>
    <n v="26.01"/>
    <n v="1.99"/>
    <n v="7.1"/>
    <x v="478"/>
    <n v="91035"/>
    <n v="97.36"/>
    <n v="71400"/>
    <n v="19635"/>
    <n v="21"/>
    <n v="5074.5"/>
    <d v="2023-11-26T00:00:00"/>
  </r>
  <r>
    <s v="B00785"/>
    <s v="P011"/>
    <x v="0"/>
    <s v="Sold Out"/>
    <n v="28"/>
    <n v="28"/>
    <n v="0"/>
    <n v="0"/>
    <x v="479"/>
    <n v="98000"/>
    <n v="104.81"/>
    <n v="70000"/>
    <n v="28000"/>
    <n v="29.95"/>
    <n v="0"/>
    <d v="2023-12-04T00:00:00"/>
  </r>
  <r>
    <s v="B00786"/>
    <s v="P011"/>
    <x v="0"/>
    <s v="Sold Out"/>
    <n v="30"/>
    <n v="30"/>
    <n v="0"/>
    <n v="0"/>
    <x v="17"/>
    <n v="105000"/>
    <n v="112.3"/>
    <n v="75000"/>
    <n v="30000"/>
    <n v="32.090000000000003"/>
    <n v="0"/>
    <d v="2023-12-12T00:00:00"/>
  </r>
  <r>
    <s v="B00787"/>
    <s v="P011"/>
    <x v="0"/>
    <s v="Sold Out"/>
    <n v="27"/>
    <n v="27"/>
    <n v="0"/>
    <n v="0"/>
    <x v="480"/>
    <n v="94500"/>
    <n v="101.07"/>
    <n v="67500"/>
    <n v="27000"/>
    <n v="28.88"/>
    <n v="0"/>
    <d v="2023-12-22T00:00:00"/>
  </r>
  <r>
    <s v="B00788"/>
    <s v="P011"/>
    <x v="0"/>
    <s v="Partial Loss"/>
    <n v="27"/>
    <n v="23.65"/>
    <n v="3.35"/>
    <n v="12.4"/>
    <x v="481"/>
    <n v="82775"/>
    <n v="88.53"/>
    <n v="67500"/>
    <n v="15275"/>
    <n v="16.34"/>
    <n v="8375"/>
    <d v="2024-01-02T00:00:00"/>
  </r>
  <r>
    <s v="B00789"/>
    <s v="P011"/>
    <x v="0"/>
    <s v="Sold Out"/>
    <n v="27"/>
    <n v="27"/>
    <n v="0"/>
    <n v="0"/>
    <x v="482"/>
    <n v="94500"/>
    <n v="101.07"/>
    <n v="67500"/>
    <n v="27000"/>
    <n v="28.88"/>
    <n v="0"/>
    <d v="2024-01-12T00:00:00"/>
  </r>
  <r>
    <s v="B00790"/>
    <s v="P011"/>
    <x v="0"/>
    <s v="Sold Out"/>
    <n v="23"/>
    <n v="23"/>
    <n v="0"/>
    <n v="0"/>
    <x v="261"/>
    <n v="80500"/>
    <n v="86.1"/>
    <n v="57500"/>
    <n v="23000"/>
    <n v="24.6"/>
    <n v="0"/>
    <d v="2024-01-20T00:00:00"/>
  </r>
  <r>
    <s v="B00791"/>
    <s v="P011"/>
    <x v="0"/>
    <s v="Sold Out"/>
    <n v="23"/>
    <n v="23"/>
    <n v="0"/>
    <n v="0"/>
    <x v="388"/>
    <n v="80500"/>
    <n v="86.1"/>
    <n v="57500"/>
    <n v="23000"/>
    <n v="24.6"/>
    <n v="0"/>
    <d v="2024-02-01T00:00:00"/>
  </r>
  <r>
    <s v="B00792"/>
    <s v="P011"/>
    <x v="0"/>
    <s v="Partial Loss"/>
    <n v="27"/>
    <n v="23.41"/>
    <n v="3.59"/>
    <n v="13.3"/>
    <x v="211"/>
    <n v="81935"/>
    <n v="87.63"/>
    <n v="67500"/>
    <n v="14435"/>
    <n v="15.44"/>
    <n v="8975"/>
    <d v="2024-02-11T00:00:00"/>
  </r>
  <r>
    <s v="B00793"/>
    <s v="P011"/>
    <x v="0"/>
    <s v="Sold Out"/>
    <n v="25"/>
    <n v="25"/>
    <n v="0"/>
    <n v="0"/>
    <x v="390"/>
    <n v="87500"/>
    <n v="93.58"/>
    <n v="62500"/>
    <n v="25000"/>
    <n v="26.74"/>
    <n v="0"/>
    <d v="2024-02-20T00:00:00"/>
  </r>
  <r>
    <s v="B00794"/>
    <s v="P011"/>
    <x v="0"/>
    <s v="Sold Out"/>
    <n v="26"/>
    <n v="26"/>
    <n v="0"/>
    <n v="0"/>
    <x v="483"/>
    <n v="91000"/>
    <n v="97.33"/>
    <n v="65000"/>
    <n v="26000"/>
    <n v="27.81"/>
    <n v="0"/>
    <d v="2024-02-28T00:00:00"/>
  </r>
  <r>
    <s v="B00795"/>
    <s v="P011"/>
    <x v="0"/>
    <s v="Partial Loss"/>
    <n v="27"/>
    <n v="24.27"/>
    <n v="2.73"/>
    <n v="10.1"/>
    <x v="484"/>
    <n v="84945"/>
    <n v="90.85"/>
    <n v="67500"/>
    <n v="17445"/>
    <n v="18.66"/>
    <n v="6825"/>
    <d v="2024-03-07T00:00:00"/>
  </r>
  <r>
    <s v="B00796"/>
    <s v="P011"/>
    <x v="0"/>
    <s v="Sold Out"/>
    <n v="25"/>
    <n v="25"/>
    <n v="0"/>
    <n v="0"/>
    <x v="96"/>
    <n v="87500"/>
    <n v="93.58"/>
    <n v="62500"/>
    <n v="25000"/>
    <n v="26.74"/>
    <n v="0"/>
    <d v="2024-03-14T00:00:00"/>
  </r>
  <r>
    <s v="B00797"/>
    <s v="P011"/>
    <x v="0"/>
    <s v="Partial Loss"/>
    <n v="25"/>
    <n v="21.5"/>
    <n v="3.5"/>
    <n v="14"/>
    <x v="485"/>
    <n v="75250"/>
    <n v="80.48"/>
    <n v="62500"/>
    <n v="12750"/>
    <n v="13.64"/>
    <n v="8750"/>
    <d v="2024-03-26T00:00:00"/>
  </r>
  <r>
    <s v="B00798"/>
    <s v="P011"/>
    <x v="0"/>
    <s v="Sold Out"/>
    <n v="22"/>
    <n v="22"/>
    <n v="0"/>
    <n v="0"/>
    <x v="94"/>
    <n v="77000"/>
    <n v="82.35"/>
    <n v="55000"/>
    <n v="22000"/>
    <n v="23.53"/>
    <n v="0"/>
    <d v="2024-04-04T00:00:00"/>
  </r>
  <r>
    <s v="B00799"/>
    <s v="P011"/>
    <x v="0"/>
    <s v="Sold Out"/>
    <n v="22"/>
    <n v="22"/>
    <n v="0"/>
    <n v="0"/>
    <x v="95"/>
    <n v="77000"/>
    <n v="82.35"/>
    <n v="55000"/>
    <n v="22000"/>
    <n v="23.53"/>
    <n v="0"/>
    <d v="2024-04-15T00:00:00"/>
  </r>
  <r>
    <s v="B00800"/>
    <s v="P011"/>
    <x v="0"/>
    <s v="Partial Loss"/>
    <n v="24"/>
    <n v="20.38"/>
    <n v="3.62"/>
    <n v="15.1"/>
    <x v="486"/>
    <n v="71330"/>
    <n v="76.290000000000006"/>
    <n v="60000"/>
    <n v="11330"/>
    <n v="12.12"/>
    <n v="9050"/>
    <d v="2024-04-24T00:00:00"/>
  </r>
  <r>
    <s v="B00801"/>
    <s v="P011"/>
    <x v="0"/>
    <s v="Sold Out"/>
    <n v="22"/>
    <n v="22"/>
    <n v="0"/>
    <n v="0"/>
    <x v="485"/>
    <n v="77000"/>
    <n v="82.35"/>
    <n v="55000"/>
    <n v="22000"/>
    <n v="23.53"/>
    <n v="0"/>
    <d v="2024-05-03T00:00:00"/>
  </r>
  <r>
    <s v="B00802"/>
    <s v="P011"/>
    <x v="0"/>
    <s v="Partial Loss"/>
    <n v="25"/>
    <n v="22.05"/>
    <n v="2.95"/>
    <n v="11.8"/>
    <x v="169"/>
    <n v="77175"/>
    <n v="82.54"/>
    <n v="62500"/>
    <n v="14675"/>
    <n v="15.7"/>
    <n v="7375"/>
    <d v="2024-05-11T00:00:00"/>
  </r>
  <r>
    <s v="B00803"/>
    <s v="P011"/>
    <x v="0"/>
    <s v="Partial Loss"/>
    <n v="21"/>
    <n v="18.670000000000002"/>
    <n v="2.33"/>
    <n v="11.1"/>
    <x v="268"/>
    <n v="65345"/>
    <n v="69.89"/>
    <n v="52500"/>
    <n v="12845"/>
    <n v="13.74"/>
    <n v="5825"/>
    <d v="2024-05-20T00:00:00"/>
  </r>
  <r>
    <s v="B00804"/>
    <s v="P011"/>
    <x v="0"/>
    <s v="Sold Out"/>
    <n v="25"/>
    <n v="25"/>
    <n v="0"/>
    <n v="0"/>
    <x v="319"/>
    <n v="87500"/>
    <n v="93.58"/>
    <n v="62500"/>
    <n v="25000"/>
    <n v="26.74"/>
    <n v="0"/>
    <d v="2024-06-01T00:00:00"/>
  </r>
  <r>
    <s v="B00805"/>
    <s v="P011"/>
    <x v="0"/>
    <s v="Sold Out"/>
    <n v="27"/>
    <n v="27"/>
    <n v="0"/>
    <n v="0"/>
    <x v="318"/>
    <n v="94500"/>
    <n v="101.07"/>
    <n v="67500"/>
    <n v="27000"/>
    <n v="28.88"/>
    <n v="0"/>
    <d v="2024-06-11T00:00:00"/>
  </r>
  <r>
    <s v="B00806"/>
    <s v="P011"/>
    <x v="0"/>
    <s v="Partial Loss"/>
    <n v="23"/>
    <n v="21.16"/>
    <n v="1.84"/>
    <n v="8"/>
    <x v="487"/>
    <n v="74060"/>
    <n v="79.209999999999994"/>
    <n v="57500"/>
    <n v="16560"/>
    <n v="17.71"/>
    <n v="4600"/>
    <d v="2024-06-18T00:00:00"/>
  </r>
  <r>
    <s v="B00807"/>
    <s v="P011"/>
    <x v="0"/>
    <s v="Sold Out"/>
    <n v="21"/>
    <n v="21"/>
    <n v="0"/>
    <n v="0"/>
    <x v="168"/>
    <n v="73500"/>
    <n v="78.61"/>
    <n v="52500"/>
    <n v="21000"/>
    <n v="22.46"/>
    <n v="0"/>
    <d v="2024-06-30T00:00:00"/>
  </r>
  <r>
    <s v="B00808"/>
    <s v="P011"/>
    <x v="0"/>
    <s v="Partial Loss"/>
    <n v="21"/>
    <n v="17.64"/>
    <n v="3.36"/>
    <n v="16"/>
    <x v="272"/>
    <n v="61740"/>
    <n v="66.03"/>
    <n v="52500"/>
    <n v="9240"/>
    <n v="9.8800000000000008"/>
    <n v="8400"/>
    <d v="2024-07-12T00:00:00"/>
  </r>
  <r>
    <s v="B00809"/>
    <s v="P011"/>
    <x v="0"/>
    <s v="Sold Out"/>
    <n v="24"/>
    <n v="24"/>
    <n v="0"/>
    <n v="0"/>
    <x v="488"/>
    <n v="84000"/>
    <n v="89.84"/>
    <n v="60000"/>
    <n v="24000"/>
    <n v="25.67"/>
    <n v="0"/>
    <d v="2024-07-22T00:00:00"/>
  </r>
  <r>
    <s v="B00810"/>
    <s v="P011"/>
    <x v="0"/>
    <s v="Sold Out"/>
    <n v="23"/>
    <n v="23"/>
    <n v="0"/>
    <n v="0"/>
    <x v="426"/>
    <n v="80500"/>
    <n v="86.1"/>
    <n v="57500"/>
    <n v="23000"/>
    <n v="24.6"/>
    <n v="0"/>
    <d v="2024-08-01T00:00:00"/>
  </r>
  <r>
    <s v="B00811"/>
    <s v="P011"/>
    <x v="0"/>
    <s v="Sold Out"/>
    <n v="22"/>
    <n v="22"/>
    <n v="0"/>
    <n v="0"/>
    <x v="218"/>
    <n v="77000"/>
    <n v="82.35"/>
    <n v="55000"/>
    <n v="22000"/>
    <n v="23.53"/>
    <n v="0"/>
    <d v="2024-08-12T00:00:00"/>
  </r>
  <r>
    <s v="B00812"/>
    <s v="P011"/>
    <x v="0"/>
    <s v="Partial Loss"/>
    <n v="26"/>
    <n v="22.49"/>
    <n v="3.51"/>
    <n v="13.5"/>
    <x v="367"/>
    <n v="78715"/>
    <n v="84.19"/>
    <n v="65000"/>
    <n v="13715"/>
    <n v="14.67"/>
    <n v="8775"/>
    <d v="2024-08-22T00:00:00"/>
  </r>
  <r>
    <s v="B00813"/>
    <s v="P011"/>
    <x v="0"/>
    <s v="Partial Loss"/>
    <n v="27"/>
    <n v="24.41"/>
    <n v="2.59"/>
    <n v="9.6"/>
    <x v="111"/>
    <n v="85435"/>
    <n v="91.37"/>
    <n v="68850"/>
    <n v="16585"/>
    <n v="17.739999999999998"/>
    <n v="6604.5"/>
    <d v="2024-08-31T00:00:00"/>
  </r>
  <r>
    <s v="B00814"/>
    <s v="P011"/>
    <x v="0"/>
    <s v="Sold Out"/>
    <n v="33"/>
    <n v="33"/>
    <n v="0"/>
    <n v="0"/>
    <x v="489"/>
    <n v="115500"/>
    <n v="123.53"/>
    <n v="84150"/>
    <n v="31350"/>
    <n v="33.53"/>
    <n v="0"/>
    <d v="2024-09-11T00:00:00"/>
  </r>
  <r>
    <s v="B00815"/>
    <s v="P011"/>
    <x v="0"/>
    <s v="Partial Loss"/>
    <n v="26"/>
    <n v="22.98"/>
    <n v="3.02"/>
    <n v="11.6"/>
    <x v="113"/>
    <n v="80430"/>
    <n v="86.02"/>
    <n v="65000"/>
    <n v="15430"/>
    <n v="16.5"/>
    <n v="7550"/>
    <d v="2024-09-18T00:00:00"/>
  </r>
  <r>
    <s v="B00816"/>
    <s v="P011"/>
    <x v="0"/>
    <s v="Partial Loss"/>
    <n v="31"/>
    <n v="28.58"/>
    <n v="2.42"/>
    <n v="7.8"/>
    <x v="51"/>
    <n v="100030"/>
    <n v="106.98"/>
    <n v="77500"/>
    <n v="22530"/>
    <n v="24.1"/>
    <n v="6050"/>
    <d v="2024-09-25T00:00:00"/>
  </r>
  <r>
    <s v="B00817"/>
    <s v="P011"/>
    <x v="0"/>
    <s v="Partial Loss"/>
    <n v="23"/>
    <n v="18.190000000000001"/>
    <n v="4.8099999999999996"/>
    <n v="20.9"/>
    <x v="118"/>
    <n v="63665"/>
    <n v="68.09"/>
    <n v="57500"/>
    <n v="6165"/>
    <n v="6.59"/>
    <n v="12024.999999999998"/>
    <d v="2024-10-04T00:00:00"/>
  </r>
  <r>
    <s v="B00818"/>
    <s v="P011"/>
    <x v="0"/>
    <s v="Partial Loss"/>
    <n v="24"/>
    <n v="22.46"/>
    <n v="1.54"/>
    <n v="6.4"/>
    <x v="279"/>
    <n v="78610"/>
    <n v="84.07"/>
    <n v="60000"/>
    <n v="18610"/>
    <n v="19.899999999999999"/>
    <n v="3850"/>
    <d v="2024-10-12T00:00:00"/>
  </r>
  <r>
    <s v="B00819"/>
    <s v="P011"/>
    <x v="0"/>
    <s v="Sold Out"/>
    <n v="27"/>
    <n v="27"/>
    <n v="0"/>
    <n v="0"/>
    <x v="277"/>
    <n v="94500"/>
    <n v="101.07"/>
    <n v="67500"/>
    <n v="27000"/>
    <n v="28.88"/>
    <n v="0"/>
    <d v="2024-10-23T00:00:00"/>
  </r>
  <r>
    <s v="B00820"/>
    <s v="P011"/>
    <x v="0"/>
    <s v="Partial Loss"/>
    <n v="24"/>
    <n v="22.61"/>
    <n v="1.39"/>
    <n v="5.8"/>
    <x v="55"/>
    <n v="79135"/>
    <n v="84.64"/>
    <n v="60000"/>
    <n v="19135"/>
    <n v="20.47"/>
    <n v="3474.9999999999995"/>
    <d v="2024-11-04T00:00:00"/>
  </r>
  <r>
    <s v="B00821"/>
    <s v="P011"/>
    <x v="0"/>
    <s v="Sold Out"/>
    <n v="23"/>
    <n v="23"/>
    <n v="0"/>
    <n v="0"/>
    <x v="180"/>
    <n v="80500"/>
    <n v="86.1"/>
    <n v="57500"/>
    <n v="23000"/>
    <n v="24.6"/>
    <n v="0"/>
    <d v="2024-11-12T00:00:00"/>
  </r>
  <r>
    <s v="B00822"/>
    <s v="P011"/>
    <x v="0"/>
    <s v="Partial Loss"/>
    <n v="23"/>
    <n v="17.04"/>
    <n v="5.96"/>
    <n v="25.9"/>
    <x v="331"/>
    <n v="59640"/>
    <n v="63.79"/>
    <n v="57500"/>
    <n v="2140"/>
    <n v="2.29"/>
    <n v="14900"/>
    <d v="2024-11-21T00:00:00"/>
  </r>
  <r>
    <s v="B00823"/>
    <s v="P011"/>
    <x v="0"/>
    <s v="Partial Loss"/>
    <n v="21"/>
    <n v="18.670000000000002"/>
    <n v="2.33"/>
    <n v="11.1"/>
    <x v="407"/>
    <n v="65345"/>
    <n v="69.89"/>
    <n v="52500"/>
    <n v="12845"/>
    <n v="13.74"/>
    <n v="5825"/>
    <d v="2024-11-30T00:00:00"/>
  </r>
  <r>
    <s v="B00824"/>
    <s v="P011"/>
    <x v="0"/>
    <s v="Partial Loss"/>
    <n v="31"/>
    <n v="24.86"/>
    <n v="6.14"/>
    <n v="19.8"/>
    <x v="126"/>
    <n v="87010"/>
    <n v="93.06"/>
    <n v="77500"/>
    <n v="9510"/>
    <n v="10.17"/>
    <n v="15350"/>
    <d v="2024-12-09T00:00:00"/>
  </r>
  <r>
    <s v="B00825"/>
    <s v="P011"/>
    <x v="0"/>
    <s v="Sold Out"/>
    <n v="29"/>
    <n v="29"/>
    <n v="0"/>
    <n v="0"/>
    <x v="122"/>
    <n v="101500"/>
    <n v="108.56"/>
    <n v="72500"/>
    <n v="29000"/>
    <n v="31.02"/>
    <n v="0"/>
    <d v="2024-12-18T00:00:00"/>
  </r>
  <r>
    <s v="B00826"/>
    <s v="P011"/>
    <x v="0"/>
    <s v="Sold Out"/>
    <n v="32"/>
    <n v="32"/>
    <n v="0"/>
    <n v="0"/>
    <x v="183"/>
    <n v="112000"/>
    <n v="119.79"/>
    <n v="80000"/>
    <n v="32000"/>
    <n v="34.22"/>
    <n v="0"/>
    <d v="2024-12-25T00:00:00"/>
  </r>
  <r>
    <s v="B00827"/>
    <s v="P011"/>
    <x v="0"/>
    <s v="Sold Out"/>
    <n v="29"/>
    <n v="29"/>
    <n v="0"/>
    <n v="0"/>
    <x v="434"/>
    <n v="101500"/>
    <n v="108.56"/>
    <n v="73950"/>
    <n v="27550"/>
    <n v="29.47"/>
    <n v="0"/>
    <d v="2025-01-04T00:00:00"/>
  </r>
  <r>
    <s v="B00828"/>
    <s v="P011"/>
    <x v="0"/>
    <s v="Partial Loss"/>
    <n v="25"/>
    <n v="18.649999999999999"/>
    <n v="6.35"/>
    <n v="25.4"/>
    <x v="490"/>
    <n v="65275"/>
    <n v="69.81"/>
    <n v="62500"/>
    <n v="2775"/>
    <n v="2.97"/>
    <n v="15875"/>
    <d v="2025-01-15T00:00:00"/>
  </r>
  <r>
    <s v="B00829"/>
    <s v="P011"/>
    <x v="0"/>
    <s v="Sold Out"/>
    <n v="25"/>
    <n v="25"/>
    <n v="0"/>
    <n v="0"/>
    <x v="283"/>
    <n v="87500"/>
    <n v="93.58"/>
    <n v="62500"/>
    <n v="25000"/>
    <n v="26.74"/>
    <n v="0"/>
    <d v="2025-01-23T00:00:00"/>
  </r>
  <r>
    <s v="B00830"/>
    <s v="P011"/>
    <x v="0"/>
    <s v="Partial Loss"/>
    <n v="25"/>
    <n v="18.75"/>
    <n v="6.25"/>
    <n v="25"/>
    <x v="491"/>
    <n v="65625"/>
    <n v="70.19"/>
    <n v="62500"/>
    <n v="3125"/>
    <n v="3.34"/>
    <n v="15625"/>
    <d v="2025-01-31T00:00:00"/>
  </r>
  <r>
    <s v="B00831"/>
    <s v="P011"/>
    <x v="0"/>
    <s v="Partial Loss"/>
    <n v="27"/>
    <n v="20.93"/>
    <n v="6.08"/>
    <n v="22.5"/>
    <x v="492"/>
    <n v="73255"/>
    <n v="78.349999999999994"/>
    <n v="67500"/>
    <n v="5755"/>
    <n v="6.16"/>
    <n v="15200"/>
    <d v="2025-02-10T00:00:00"/>
  </r>
  <r>
    <s v="B00832"/>
    <s v="P011"/>
    <x v="0"/>
    <s v="Sold Out"/>
    <n v="23"/>
    <n v="23"/>
    <n v="0"/>
    <n v="0"/>
    <x v="285"/>
    <n v="80500"/>
    <n v="86.1"/>
    <n v="57500"/>
    <n v="23000"/>
    <n v="24.6"/>
    <n v="0"/>
    <d v="2025-02-17T00:00:00"/>
  </r>
  <r>
    <s v="B00833"/>
    <s v="P011"/>
    <x v="0"/>
    <s v="Sold Out"/>
    <n v="26"/>
    <n v="26"/>
    <n v="0"/>
    <n v="0"/>
    <x v="230"/>
    <n v="91000"/>
    <n v="97.33"/>
    <n v="66300"/>
    <n v="24700"/>
    <n v="26.42"/>
    <n v="0"/>
    <d v="2025-02-27T00:00:00"/>
  </r>
  <r>
    <s v="B00834"/>
    <s v="P011"/>
    <x v="0"/>
    <s v="Sold Out"/>
    <n v="24"/>
    <n v="24"/>
    <n v="0"/>
    <n v="0"/>
    <x v="288"/>
    <n v="84000"/>
    <n v="89.84"/>
    <n v="60000"/>
    <n v="24000"/>
    <n v="25.67"/>
    <n v="0"/>
    <d v="2025-03-10T00:00:00"/>
  </r>
  <r>
    <s v="B00835"/>
    <s v="P011"/>
    <x v="0"/>
    <s v="Sold Out"/>
    <n v="29"/>
    <n v="29"/>
    <n v="0"/>
    <n v="0"/>
    <x v="493"/>
    <n v="101500"/>
    <n v="108.56"/>
    <n v="72500"/>
    <n v="29000"/>
    <n v="31.02"/>
    <n v="0"/>
    <d v="2025-03-20T00:00:00"/>
  </r>
  <r>
    <s v="B00836"/>
    <s v="P011"/>
    <x v="0"/>
    <s v="Sold Out"/>
    <n v="22"/>
    <n v="22"/>
    <n v="0"/>
    <n v="0"/>
    <x v="435"/>
    <n v="77000"/>
    <n v="82.35"/>
    <n v="55000"/>
    <n v="22000"/>
    <n v="23.53"/>
    <n v="0"/>
    <d v="2025-03-29T00:00:00"/>
  </r>
  <r>
    <s v="B00837"/>
    <s v="P011"/>
    <x v="0"/>
    <s v="Partial Loss"/>
    <n v="24"/>
    <n v="19.97"/>
    <n v="4.03"/>
    <n v="16.8"/>
    <x v="494"/>
    <n v="69895"/>
    <n v="74.75"/>
    <n v="60000"/>
    <n v="9895"/>
    <n v="10.58"/>
    <n v="10075"/>
    <d v="2025-04-07T00:00:00"/>
  </r>
  <r>
    <s v="B00838"/>
    <s v="P011"/>
    <x v="0"/>
    <s v="Partial Loss"/>
    <n v="29"/>
    <n v="26.65"/>
    <n v="2.35"/>
    <n v="8.1"/>
    <x v="495"/>
    <n v="93275"/>
    <n v="99.76"/>
    <n v="72500"/>
    <n v="20775"/>
    <n v="22.22"/>
    <n v="5875"/>
    <d v="2025-04-18T00:00:00"/>
  </r>
  <r>
    <s v="B00839"/>
    <s v="P011"/>
    <x v="0"/>
    <s v="Sold Out"/>
    <n v="26"/>
    <n v="26"/>
    <n v="0"/>
    <n v="0"/>
    <x v="468"/>
    <n v="91000"/>
    <n v="97.33"/>
    <n v="66300"/>
    <n v="24700"/>
    <n v="26.42"/>
    <n v="0"/>
    <d v="2025-04-27T00:00:00"/>
  </r>
  <r>
    <s v="B00840"/>
    <s v="P011"/>
    <x v="0"/>
    <s v="Sold Out"/>
    <n v="26"/>
    <n v="26"/>
    <n v="0"/>
    <n v="0"/>
    <x v="336"/>
    <n v="91000"/>
    <n v="97.33"/>
    <n v="65000"/>
    <n v="26000"/>
    <n v="27.81"/>
    <n v="0"/>
    <d v="2025-05-08T00:00:00"/>
  </r>
  <r>
    <s v="B00841"/>
    <s v="P011"/>
    <x v="0"/>
    <s v="Sold Out"/>
    <n v="30"/>
    <n v="30"/>
    <n v="0"/>
    <n v="0"/>
    <x v="191"/>
    <n v="105000"/>
    <n v="112.3"/>
    <n v="75000"/>
    <n v="30000"/>
    <n v="32.090000000000003"/>
    <n v="0"/>
    <d v="2025-05-19T00:00:00"/>
  </r>
  <r>
    <s v="B00842"/>
    <s v="P011"/>
    <x v="0"/>
    <s v="Partial Loss"/>
    <n v="27"/>
    <n v="23.68"/>
    <n v="3.32"/>
    <n v="12.3"/>
    <x v="339"/>
    <n v="82880"/>
    <n v="88.64"/>
    <n v="67500"/>
    <n v="15380"/>
    <n v="16.45"/>
    <n v="8300"/>
    <d v="2025-05-27T00:00:00"/>
  </r>
  <r>
    <s v="B00843"/>
    <s v="P011"/>
    <x v="0"/>
    <s v="Sold Out"/>
    <n v="28"/>
    <n v="28"/>
    <n v="0"/>
    <n v="0"/>
    <x v="338"/>
    <n v="98000"/>
    <n v="104.81"/>
    <n v="70000"/>
    <n v="28000"/>
    <n v="29.95"/>
    <n v="0"/>
    <d v="2025-06-05T00:00:00"/>
  </r>
  <r>
    <s v="B00844"/>
    <s v="P011"/>
    <x v="0"/>
    <s v="Sold Out"/>
    <n v="24"/>
    <n v="24"/>
    <n v="0"/>
    <n v="0"/>
    <x v="292"/>
    <n v="84000"/>
    <n v="89.84"/>
    <n v="60000"/>
    <n v="24000"/>
    <n v="25.67"/>
    <n v="0"/>
    <d v="2025-06-14T00:00:00"/>
  </r>
  <r>
    <s v="B00845"/>
    <s v="P011"/>
    <x v="0"/>
    <s v="Sold Out"/>
    <n v="23"/>
    <n v="23"/>
    <n v="0"/>
    <n v="0"/>
    <x v="496"/>
    <n v="80500"/>
    <n v="86.1"/>
    <n v="57500"/>
    <n v="23000"/>
    <n v="24.6"/>
    <n v="0"/>
    <d v="2025-06-25T00:00:00"/>
  </r>
  <r>
    <s v="B00846"/>
    <s v="P012"/>
    <x v="1"/>
    <s v="Partial Loss"/>
    <n v="16"/>
    <n v="9.1"/>
    <n v="6.9"/>
    <n v="43.1"/>
    <x v="497"/>
    <n v="13650"/>
    <n v="14.6"/>
    <n v="18400"/>
    <n v="-4750"/>
    <n v="-5.08"/>
    <n v="7935"/>
    <d v="2023-07-03T00:00:00"/>
  </r>
  <r>
    <s v="B00847"/>
    <s v="P012"/>
    <x v="1"/>
    <s v="Partial Loss"/>
    <n v="18"/>
    <n v="13.5"/>
    <n v="4.5"/>
    <n v="25"/>
    <x v="498"/>
    <n v="20250"/>
    <n v="21.66"/>
    <n v="20700"/>
    <n v="-450"/>
    <n v="-0.48"/>
    <n v="5175"/>
    <d v="2023-07-08T00:00:00"/>
  </r>
  <r>
    <s v="B00848"/>
    <s v="P012"/>
    <x v="1"/>
    <s v="Sold Out"/>
    <n v="21"/>
    <n v="21"/>
    <n v="0"/>
    <n v="0"/>
    <x v="499"/>
    <n v="31500"/>
    <n v="33.69"/>
    <n v="24150"/>
    <n v="7350"/>
    <n v="7.86"/>
    <n v="0"/>
    <d v="2023-07-15T00:00:00"/>
  </r>
  <r>
    <s v="B00849"/>
    <s v="P012"/>
    <x v="1"/>
    <s v="Sold Out"/>
    <n v="18"/>
    <n v="18"/>
    <n v="0"/>
    <n v="0"/>
    <x v="78"/>
    <n v="27000"/>
    <n v="28.88"/>
    <n v="20700"/>
    <n v="6300"/>
    <n v="6.74"/>
    <n v="0"/>
    <d v="2023-07-23T00:00:00"/>
  </r>
  <r>
    <s v="B00850"/>
    <s v="P012"/>
    <x v="1"/>
    <s v="Partial Loss"/>
    <n v="18"/>
    <n v="13.03"/>
    <n v="4.97"/>
    <n v="27.6"/>
    <x v="500"/>
    <n v="19545"/>
    <n v="20.9"/>
    <n v="20700"/>
    <n v="-1155"/>
    <n v="-1.24"/>
    <n v="5715.5"/>
    <d v="2023-07-28T00:00:00"/>
  </r>
  <r>
    <s v="B00851"/>
    <s v="P012"/>
    <x v="1"/>
    <s v="Sold Out"/>
    <n v="20"/>
    <n v="20"/>
    <n v="0"/>
    <n v="0"/>
    <x v="501"/>
    <n v="30000"/>
    <n v="32.090000000000003"/>
    <n v="23000"/>
    <n v="7000"/>
    <n v="7.49"/>
    <n v="0"/>
    <d v="2023-08-04T00:00:00"/>
  </r>
  <r>
    <s v="B00852"/>
    <s v="P012"/>
    <x v="1"/>
    <s v="Partial Loss"/>
    <n v="17"/>
    <n v="10.83"/>
    <n v="6.17"/>
    <n v="36.299999999999997"/>
    <x v="502"/>
    <n v="16245"/>
    <n v="17.37"/>
    <n v="19550"/>
    <n v="-3305"/>
    <n v="-3.53"/>
    <n v="7095.5"/>
    <d v="2023-08-10T00:00:00"/>
  </r>
  <r>
    <s v="B00853"/>
    <s v="P012"/>
    <x v="1"/>
    <s v="Sold Out"/>
    <n v="20"/>
    <n v="20"/>
    <n v="0"/>
    <n v="0"/>
    <x v="503"/>
    <n v="30000"/>
    <n v="32.090000000000003"/>
    <n v="23000"/>
    <n v="7000"/>
    <n v="7.49"/>
    <n v="0"/>
    <d v="2023-08-15T00:00:00"/>
  </r>
  <r>
    <s v="B00854"/>
    <s v="P012"/>
    <x v="1"/>
    <s v="Partial Loss"/>
    <n v="17"/>
    <n v="12.22"/>
    <n v="4.78"/>
    <n v="28.1"/>
    <x v="347"/>
    <n v="18330"/>
    <n v="19.600000000000001"/>
    <n v="19550"/>
    <n v="-1220"/>
    <n v="-1.3"/>
    <n v="5497"/>
    <d v="2023-08-19T00:00:00"/>
  </r>
  <r>
    <s v="B00855"/>
    <s v="P012"/>
    <x v="1"/>
    <s v="Partial Loss"/>
    <n v="18"/>
    <n v="14.09"/>
    <n v="3.91"/>
    <n v="21.7"/>
    <x v="504"/>
    <n v="21135"/>
    <n v="22.6"/>
    <n v="20700"/>
    <n v="435"/>
    <n v="0.47"/>
    <n v="4496.5"/>
    <d v="2023-08-26T00:00:00"/>
  </r>
  <r>
    <s v="B00856"/>
    <s v="P012"/>
    <x v="1"/>
    <s v="Sold Out"/>
    <n v="25"/>
    <n v="25"/>
    <n v="0"/>
    <n v="0"/>
    <x v="79"/>
    <n v="37500"/>
    <n v="40.11"/>
    <n v="28750"/>
    <n v="8750"/>
    <n v="9.36"/>
    <n v="0"/>
    <d v="2023-09-02T00:00:00"/>
  </r>
  <r>
    <s v="B00857"/>
    <s v="P012"/>
    <x v="1"/>
    <s v="Sold Out"/>
    <n v="22"/>
    <n v="22"/>
    <n v="0"/>
    <n v="0"/>
    <x v="249"/>
    <n v="33000"/>
    <n v="35.29"/>
    <n v="25300"/>
    <n v="7700"/>
    <n v="8.24"/>
    <n v="0"/>
    <d v="2023-09-09T00:00:00"/>
  </r>
  <r>
    <s v="B00858"/>
    <s v="P012"/>
    <x v="1"/>
    <s v="Partial Loss"/>
    <n v="21"/>
    <n v="17.77"/>
    <n v="3.23"/>
    <n v="15.4"/>
    <x v="5"/>
    <n v="26655"/>
    <n v="28.51"/>
    <n v="24150"/>
    <n v="2505"/>
    <n v="2.68"/>
    <n v="3714.5"/>
    <d v="2023-09-15T00:00:00"/>
  </r>
  <r>
    <s v="B00859"/>
    <s v="P012"/>
    <x v="1"/>
    <s v="Partial Loss"/>
    <n v="24"/>
    <n v="18.29"/>
    <n v="5.71"/>
    <n v="23.8"/>
    <x v="475"/>
    <n v="27435"/>
    <n v="29.34"/>
    <n v="27600"/>
    <n v="-165"/>
    <n v="-0.18"/>
    <n v="6566.5"/>
    <d v="2023-09-22T00:00:00"/>
  </r>
  <r>
    <s v="B00860"/>
    <s v="P012"/>
    <x v="1"/>
    <s v="Sold Out"/>
    <n v="26"/>
    <n v="26"/>
    <n v="0"/>
    <n v="0"/>
    <x v="5"/>
    <n v="39000"/>
    <n v="41.71"/>
    <n v="29900"/>
    <n v="9100"/>
    <n v="9.73"/>
    <n v="0"/>
    <d v="2023-09-29T00:00:00"/>
  </r>
  <r>
    <s v="B00861"/>
    <s v="P012"/>
    <x v="1"/>
    <s v="Sold Out"/>
    <n v="45"/>
    <n v="45"/>
    <n v="0"/>
    <n v="0"/>
    <x v="475"/>
    <n v="67500"/>
    <n v="72.19"/>
    <n v="51750"/>
    <n v="15750"/>
    <n v="16.84"/>
    <n v="0"/>
    <d v="2023-10-06T00:00:00"/>
  </r>
  <r>
    <s v="B00862"/>
    <s v="P012"/>
    <x v="1"/>
    <s v="Sold Out"/>
    <n v="44"/>
    <n v="44"/>
    <n v="0"/>
    <n v="0"/>
    <x v="86"/>
    <n v="66000"/>
    <n v="70.59"/>
    <n v="50600"/>
    <n v="15400"/>
    <n v="16.47"/>
    <n v="0"/>
    <d v="2023-10-13T00:00:00"/>
  </r>
  <r>
    <s v="B00863"/>
    <s v="P012"/>
    <x v="1"/>
    <s v="Sold Out"/>
    <n v="44"/>
    <n v="44"/>
    <n v="0"/>
    <n v="0"/>
    <x v="12"/>
    <n v="66000"/>
    <n v="70.59"/>
    <n v="50600"/>
    <n v="15400"/>
    <n v="16.47"/>
    <n v="0"/>
    <d v="2023-10-19T00:00:00"/>
  </r>
  <r>
    <s v="B00864"/>
    <s v="P012"/>
    <x v="1"/>
    <s v="Sold Out"/>
    <n v="47"/>
    <n v="47"/>
    <n v="0"/>
    <n v="0"/>
    <x v="8"/>
    <n v="70500"/>
    <n v="75.400000000000006"/>
    <n v="54050"/>
    <n v="16450"/>
    <n v="17.59"/>
    <n v="0"/>
    <d v="2023-10-25T00:00:00"/>
  </r>
  <r>
    <s v="B00865"/>
    <s v="P012"/>
    <x v="1"/>
    <s v="Partial Loss"/>
    <n v="50"/>
    <n v="39.299999999999997"/>
    <n v="10.7"/>
    <n v="21.4"/>
    <x v="446"/>
    <n v="58950"/>
    <n v="63.05"/>
    <n v="57500"/>
    <n v="1450"/>
    <n v="1.55"/>
    <n v="12305"/>
    <d v="2023-11-01T00:00:00"/>
  </r>
  <r>
    <s v="B00866"/>
    <s v="P012"/>
    <x v="1"/>
    <s v="Sold Out"/>
    <n v="48"/>
    <n v="48"/>
    <n v="0"/>
    <n v="0"/>
    <x v="85"/>
    <n v="72000"/>
    <n v="77.010000000000005"/>
    <n v="55200"/>
    <n v="16800"/>
    <n v="17.97"/>
    <n v="0"/>
    <d v="2023-11-08T00:00:00"/>
  </r>
  <r>
    <s v="B00867"/>
    <s v="P012"/>
    <x v="1"/>
    <s v="Partial Loss"/>
    <n v="43"/>
    <n v="35.26"/>
    <n v="7.74"/>
    <n v="18"/>
    <x v="448"/>
    <n v="52890"/>
    <n v="56.57"/>
    <n v="49450"/>
    <n v="3440"/>
    <n v="3.68"/>
    <n v="8901"/>
    <d v="2023-11-15T00:00:00"/>
  </r>
  <r>
    <s v="B00868"/>
    <s v="P012"/>
    <x v="1"/>
    <s v="Sold Out"/>
    <n v="52"/>
    <n v="52"/>
    <n v="0"/>
    <n v="0"/>
    <x v="304"/>
    <n v="78000"/>
    <n v="83.42"/>
    <n v="59800"/>
    <n v="18200"/>
    <n v="19.47"/>
    <n v="0"/>
    <d v="2023-11-22T00:00:00"/>
  </r>
  <r>
    <s v="B00869"/>
    <s v="P012"/>
    <x v="1"/>
    <s v="Partial Loss"/>
    <n v="50"/>
    <n v="37.15"/>
    <n v="12.85"/>
    <n v="25.7"/>
    <x v="505"/>
    <n v="55725"/>
    <n v="59.6"/>
    <n v="57500"/>
    <n v="-1775"/>
    <n v="-1.9"/>
    <n v="14777.5"/>
    <d v="2023-11-30T00:00:00"/>
  </r>
  <r>
    <s v="B00870"/>
    <s v="P012"/>
    <x v="1"/>
    <s v="Sold Out"/>
    <n v="69"/>
    <n v="69"/>
    <n v="0"/>
    <n v="0"/>
    <x v="154"/>
    <n v="103500"/>
    <n v="110.7"/>
    <n v="79350"/>
    <n v="24150"/>
    <n v="25.83"/>
    <n v="0"/>
    <d v="2023-12-06T00:00:00"/>
  </r>
  <r>
    <s v="B00871"/>
    <s v="P012"/>
    <x v="1"/>
    <s v="Sold Out"/>
    <n v="56"/>
    <n v="56"/>
    <n v="0"/>
    <n v="0"/>
    <x v="13"/>
    <n v="84000"/>
    <n v="89.84"/>
    <n v="64400"/>
    <n v="19600"/>
    <n v="20.96"/>
    <n v="0"/>
    <d v="2023-12-12T00:00:00"/>
  </r>
  <r>
    <s v="B00872"/>
    <s v="P012"/>
    <x v="1"/>
    <s v="Sold Out"/>
    <n v="60"/>
    <n v="60"/>
    <n v="0"/>
    <n v="0"/>
    <x v="506"/>
    <n v="90000"/>
    <n v="96.26"/>
    <n v="69000"/>
    <n v="21000"/>
    <n v="22.46"/>
    <n v="0"/>
    <d v="2023-12-18T00:00:00"/>
  </r>
  <r>
    <s v="B00873"/>
    <s v="P012"/>
    <x v="1"/>
    <s v="Sold Out"/>
    <n v="64"/>
    <n v="64"/>
    <n v="0"/>
    <n v="0"/>
    <x v="155"/>
    <n v="96000"/>
    <n v="102.67"/>
    <n v="73600"/>
    <n v="22400"/>
    <n v="23.96"/>
    <n v="0"/>
    <d v="2023-12-24T00:00:00"/>
  </r>
  <r>
    <s v="B00874"/>
    <s v="P012"/>
    <x v="1"/>
    <s v="Sold Out"/>
    <n v="54"/>
    <n v="54"/>
    <n v="0"/>
    <n v="0"/>
    <x v="258"/>
    <n v="81000"/>
    <n v="86.63"/>
    <n v="62100"/>
    <n v="18900"/>
    <n v="20.21"/>
    <n v="0"/>
    <d v="2023-12-29T00:00:00"/>
  </r>
  <r>
    <s v="B00875"/>
    <s v="P012"/>
    <x v="1"/>
    <s v="Partial Loss"/>
    <n v="42"/>
    <n v="28.64"/>
    <n v="13.36"/>
    <n v="31.8"/>
    <x v="157"/>
    <n v="42960"/>
    <n v="45.95"/>
    <n v="48300"/>
    <n v="-5340"/>
    <n v="-5.71"/>
    <n v="15364"/>
    <d v="2024-01-04T00:00:00"/>
  </r>
  <r>
    <s v="B00876"/>
    <s v="P012"/>
    <x v="1"/>
    <s v="Partial Loss"/>
    <n v="50"/>
    <n v="28.55"/>
    <n v="21.45"/>
    <n v="42.9"/>
    <x v="507"/>
    <n v="42825"/>
    <n v="45.8"/>
    <n v="57500"/>
    <n v="-14675"/>
    <n v="-15.7"/>
    <n v="24667.5"/>
    <d v="2024-01-09T00:00:00"/>
  </r>
  <r>
    <s v="B00877"/>
    <s v="P012"/>
    <x v="1"/>
    <s v="Partial Loss"/>
    <n v="51"/>
    <n v="36.31"/>
    <n v="14.69"/>
    <n v="28.8"/>
    <x v="508"/>
    <n v="54465"/>
    <n v="58.25"/>
    <n v="58650"/>
    <n v="-4185"/>
    <n v="-4.4800000000000004"/>
    <n v="16893.5"/>
    <d v="2024-01-13T00:00:00"/>
  </r>
  <r>
    <s v="B00878"/>
    <s v="P012"/>
    <x v="1"/>
    <s v="Sold Out"/>
    <n v="46"/>
    <n v="46"/>
    <n v="0"/>
    <n v="0"/>
    <x v="157"/>
    <n v="69000"/>
    <n v="73.8"/>
    <n v="52900"/>
    <n v="16100"/>
    <n v="17.22"/>
    <n v="0"/>
    <d v="2024-01-18T00:00:00"/>
  </r>
  <r>
    <s v="B00879"/>
    <s v="P012"/>
    <x v="1"/>
    <s v="Sold Out"/>
    <n v="53"/>
    <n v="53"/>
    <n v="0"/>
    <n v="0"/>
    <x v="509"/>
    <n v="79500"/>
    <n v="85.03"/>
    <n v="60950"/>
    <n v="18550"/>
    <n v="19.84"/>
    <n v="0"/>
    <d v="2024-01-24T00:00:00"/>
  </r>
  <r>
    <s v="B00880"/>
    <s v="P012"/>
    <x v="1"/>
    <s v="Partial Loss"/>
    <n v="54"/>
    <n v="34.4"/>
    <n v="19.600000000000001"/>
    <n v="36.299999999999997"/>
    <x v="24"/>
    <n v="51600"/>
    <n v="55.19"/>
    <n v="62100"/>
    <n v="-10500"/>
    <n v="-11.23"/>
    <n v="22540"/>
    <d v="2024-02-01T00:00:00"/>
  </r>
  <r>
    <s v="B00881"/>
    <s v="P012"/>
    <x v="1"/>
    <s v="Partial Loss"/>
    <n v="55"/>
    <n v="37.07"/>
    <n v="17.93"/>
    <n v="32.6"/>
    <x v="308"/>
    <n v="55605"/>
    <n v="59.47"/>
    <n v="63250"/>
    <n v="-7645"/>
    <n v="-8.18"/>
    <n v="20619.5"/>
    <d v="2024-02-06T00:00:00"/>
  </r>
  <r>
    <s v="B00882"/>
    <s v="P012"/>
    <x v="1"/>
    <s v="Sold Out"/>
    <n v="43"/>
    <n v="43"/>
    <n v="0"/>
    <n v="0"/>
    <x v="262"/>
    <n v="64500"/>
    <n v="68.98"/>
    <n v="49450"/>
    <n v="15050"/>
    <n v="16.100000000000001"/>
    <n v="0"/>
    <d v="2024-02-14T00:00:00"/>
  </r>
  <r>
    <s v="B00883"/>
    <s v="P012"/>
    <x v="1"/>
    <s v="Sold Out"/>
    <n v="41"/>
    <n v="41"/>
    <n v="0"/>
    <n v="0"/>
    <x v="510"/>
    <n v="61500"/>
    <n v="65.78"/>
    <n v="47150"/>
    <n v="14350"/>
    <n v="15.35"/>
    <n v="0"/>
    <d v="2024-02-22T00:00:00"/>
  </r>
  <r>
    <s v="B00884"/>
    <s v="P012"/>
    <x v="1"/>
    <s v="Sold Out"/>
    <n v="51"/>
    <n v="51"/>
    <n v="0"/>
    <n v="0"/>
    <x v="511"/>
    <n v="76500"/>
    <n v="81.819999999999993"/>
    <n v="58650"/>
    <n v="17850"/>
    <n v="19.09"/>
    <n v="0"/>
    <d v="2024-02-27T00:00:00"/>
  </r>
  <r>
    <s v="B00885"/>
    <s v="P012"/>
    <x v="1"/>
    <s v="Sold Out"/>
    <n v="51"/>
    <n v="51"/>
    <n v="0"/>
    <n v="0"/>
    <x v="209"/>
    <n v="76500"/>
    <n v="81.819999999999993"/>
    <n v="58650"/>
    <n v="17850"/>
    <n v="19.09"/>
    <n v="0"/>
    <d v="2024-03-05T00:00:00"/>
  </r>
  <r>
    <s v="B00886"/>
    <s v="P012"/>
    <x v="1"/>
    <s v="Sold Out"/>
    <n v="45"/>
    <n v="45"/>
    <n v="0"/>
    <n v="0"/>
    <x v="512"/>
    <n v="67500"/>
    <n v="72.19"/>
    <n v="51750"/>
    <n v="15750"/>
    <n v="16.84"/>
    <n v="0"/>
    <d v="2024-03-10T00:00:00"/>
  </r>
  <r>
    <s v="B00887"/>
    <s v="P012"/>
    <x v="1"/>
    <s v="Sold Out"/>
    <n v="43"/>
    <n v="43"/>
    <n v="0"/>
    <n v="0"/>
    <x v="27"/>
    <n v="64500"/>
    <n v="68.98"/>
    <n v="49450"/>
    <n v="15050"/>
    <n v="16.100000000000001"/>
    <n v="0"/>
    <d v="2024-03-17T00:00:00"/>
  </r>
  <r>
    <s v="B00888"/>
    <s v="P012"/>
    <x v="1"/>
    <s v="Sold Out"/>
    <n v="55"/>
    <n v="55"/>
    <n v="0"/>
    <n v="0"/>
    <x v="393"/>
    <n v="82500"/>
    <n v="88.24"/>
    <n v="63250"/>
    <n v="19250"/>
    <n v="20.59"/>
    <n v="0"/>
    <d v="2024-03-23T00:00:00"/>
  </r>
  <r>
    <s v="B00889"/>
    <s v="P012"/>
    <x v="1"/>
    <s v="Sold Out"/>
    <n v="53"/>
    <n v="53"/>
    <n v="0"/>
    <n v="0"/>
    <x v="357"/>
    <n v="79500"/>
    <n v="85.03"/>
    <n v="60950"/>
    <n v="18550"/>
    <n v="19.84"/>
    <n v="0"/>
    <d v="2024-03-29T00:00:00"/>
  </r>
  <r>
    <s v="B00890"/>
    <s v="P012"/>
    <x v="1"/>
    <s v="Partial Loss"/>
    <n v="18"/>
    <n v="14.13"/>
    <n v="3.87"/>
    <n v="21.5"/>
    <x v="95"/>
    <n v="21195"/>
    <n v="22.67"/>
    <n v="20700"/>
    <n v="495"/>
    <n v="0.53"/>
    <n v="4450.5"/>
    <d v="2024-04-03T00:00:00"/>
  </r>
  <r>
    <s v="B00891"/>
    <s v="P012"/>
    <x v="1"/>
    <s v="Partial Loss"/>
    <n v="19"/>
    <n v="15.75"/>
    <n v="3.25"/>
    <n v="17.100000000000001"/>
    <x v="267"/>
    <n v="23625"/>
    <n v="25.27"/>
    <n v="21850"/>
    <n v="1775"/>
    <n v="1.9"/>
    <n v="3737.5"/>
    <d v="2024-04-10T00:00:00"/>
  </r>
  <r>
    <s v="B00892"/>
    <s v="P012"/>
    <x v="1"/>
    <s v="Sold Out"/>
    <n v="19"/>
    <n v="19"/>
    <n v="0"/>
    <n v="0"/>
    <x v="95"/>
    <n v="28500"/>
    <n v="30.48"/>
    <n v="21850"/>
    <n v="6650"/>
    <n v="7.11"/>
    <n v="0"/>
    <d v="2024-04-17T00:00:00"/>
  </r>
  <r>
    <s v="B00893"/>
    <s v="P012"/>
    <x v="1"/>
    <s v="Sold Out"/>
    <n v="19"/>
    <n v="19"/>
    <n v="0"/>
    <n v="0"/>
    <x v="513"/>
    <n v="28500"/>
    <n v="30.48"/>
    <n v="21850"/>
    <n v="6650"/>
    <n v="7.11"/>
    <n v="0"/>
    <d v="2024-04-23T00:00:00"/>
  </r>
  <r>
    <s v="B00894"/>
    <s v="P012"/>
    <x v="1"/>
    <s v="Sold Out"/>
    <n v="16"/>
    <n v="16"/>
    <n v="0"/>
    <n v="0"/>
    <x v="514"/>
    <n v="24000"/>
    <n v="25.67"/>
    <n v="18400"/>
    <n v="5600"/>
    <n v="5.99"/>
    <n v="0"/>
    <d v="2024-05-02T00:00:00"/>
  </r>
  <r>
    <s v="B00895"/>
    <s v="P012"/>
    <x v="1"/>
    <s v="Sold Out"/>
    <n v="19"/>
    <n v="19"/>
    <n v="0"/>
    <n v="0"/>
    <x v="515"/>
    <n v="28500"/>
    <n v="30.48"/>
    <n v="21850"/>
    <n v="6650"/>
    <n v="7.11"/>
    <n v="0"/>
    <d v="2024-05-09T00:00:00"/>
  </r>
  <r>
    <s v="B00896"/>
    <s v="P012"/>
    <x v="1"/>
    <s v="Sold Out"/>
    <n v="17"/>
    <n v="17"/>
    <n v="0"/>
    <n v="0"/>
    <x v="164"/>
    <n v="25500"/>
    <n v="27.27"/>
    <n v="19550"/>
    <n v="5950"/>
    <n v="6.36"/>
    <n v="0"/>
    <d v="2024-05-15T00:00:00"/>
  </r>
  <r>
    <s v="B00897"/>
    <s v="P012"/>
    <x v="1"/>
    <s v="Partial Loss"/>
    <n v="15"/>
    <n v="11.79"/>
    <n v="3.21"/>
    <n v="21.4"/>
    <x v="104"/>
    <n v="17685"/>
    <n v="18.91"/>
    <n v="17250"/>
    <n v="435"/>
    <n v="0.47"/>
    <n v="3691.5"/>
    <d v="2024-05-21T00:00:00"/>
  </r>
  <r>
    <s v="B00898"/>
    <s v="P012"/>
    <x v="1"/>
    <s v="Partial Loss"/>
    <n v="20"/>
    <n v="12.98"/>
    <n v="7.02"/>
    <n v="35.1"/>
    <x v="397"/>
    <n v="19470"/>
    <n v="20.82"/>
    <n v="23000"/>
    <n v="-3530"/>
    <n v="-3.78"/>
    <n v="8072.9999999999991"/>
    <d v="2024-05-26T00:00:00"/>
  </r>
  <r>
    <s v="B00899"/>
    <s v="P012"/>
    <x v="1"/>
    <s v="Partial Loss"/>
    <n v="19"/>
    <n v="13.17"/>
    <n v="5.83"/>
    <n v="30.7"/>
    <x v="102"/>
    <n v="19755"/>
    <n v="21.13"/>
    <n v="21850"/>
    <n v="-2095"/>
    <n v="-2.2400000000000002"/>
    <n v="6704.5"/>
    <d v="2024-06-01T00:00:00"/>
  </r>
  <r>
    <s v="B00900"/>
    <s v="P012"/>
    <x v="1"/>
    <s v="Partial Loss"/>
    <n v="15"/>
    <n v="8.3800000000000008"/>
    <n v="6.62"/>
    <n v="44.1"/>
    <x v="38"/>
    <n v="12570"/>
    <n v="13.44"/>
    <n v="17250"/>
    <n v="-4680"/>
    <n v="-5.01"/>
    <n v="7613"/>
    <d v="2024-06-07T00:00:00"/>
  </r>
  <r>
    <s v="B00901"/>
    <s v="P012"/>
    <x v="1"/>
    <s v="Sold Out"/>
    <n v="17"/>
    <n v="17"/>
    <n v="0"/>
    <n v="0"/>
    <x v="102"/>
    <n v="25500"/>
    <n v="27.27"/>
    <n v="19550"/>
    <n v="5950"/>
    <n v="6.36"/>
    <n v="0"/>
    <d v="2024-06-15T00:00:00"/>
  </r>
  <r>
    <s v="B00902"/>
    <s v="P012"/>
    <x v="1"/>
    <s v="Partial Loss"/>
    <n v="18"/>
    <n v="11.43"/>
    <n v="6.57"/>
    <n v="36.5"/>
    <x v="457"/>
    <n v="17145"/>
    <n v="18.34"/>
    <n v="20700"/>
    <n v="-3555"/>
    <n v="-3.8"/>
    <n v="7555.5"/>
    <d v="2024-06-19T00:00:00"/>
  </r>
  <r>
    <s v="B00903"/>
    <s v="P012"/>
    <x v="1"/>
    <s v="Partial Loss"/>
    <n v="17"/>
    <n v="11.58"/>
    <n v="5.42"/>
    <n v="31.9"/>
    <x v="171"/>
    <n v="17370"/>
    <n v="18.579999999999998"/>
    <n v="19550"/>
    <n v="-2180"/>
    <n v="-2.33"/>
    <n v="6233"/>
    <d v="2024-06-27T00:00:00"/>
  </r>
  <r>
    <s v="B00904"/>
    <s v="P012"/>
    <x v="1"/>
    <s v="Sold Out"/>
    <n v="16"/>
    <n v="16"/>
    <n v="0"/>
    <n v="0"/>
    <x v="457"/>
    <n v="24000"/>
    <n v="25.67"/>
    <n v="18400"/>
    <n v="5600"/>
    <n v="5.99"/>
    <n v="0"/>
    <d v="2024-07-04T00:00:00"/>
  </r>
  <r>
    <s v="B00905"/>
    <s v="P012"/>
    <x v="1"/>
    <s v="Partial Loss"/>
    <n v="20"/>
    <n v="12.52"/>
    <n v="7.48"/>
    <n v="37.4"/>
    <x v="398"/>
    <n v="18780"/>
    <n v="20.09"/>
    <n v="23000"/>
    <n v="-4220"/>
    <n v="-4.51"/>
    <n v="8602"/>
    <d v="2024-07-11T00:00:00"/>
  </r>
  <r>
    <s v="B00906"/>
    <s v="P012"/>
    <x v="1"/>
    <s v="Sold Out"/>
    <n v="16"/>
    <n v="16"/>
    <n v="0"/>
    <n v="0"/>
    <x v="219"/>
    <n v="24000"/>
    <n v="25.67"/>
    <n v="18400"/>
    <n v="5600"/>
    <n v="5.99"/>
    <n v="0"/>
    <d v="2024-07-16T00:00:00"/>
  </r>
  <r>
    <s v="B00907"/>
    <s v="P012"/>
    <x v="1"/>
    <s v="Sold Out"/>
    <n v="19"/>
    <n v="19"/>
    <n v="0"/>
    <n v="0"/>
    <x v="516"/>
    <n v="28500"/>
    <n v="30.48"/>
    <n v="21850"/>
    <n v="6650"/>
    <n v="7.11"/>
    <n v="0"/>
    <d v="2024-07-22T00:00:00"/>
  </r>
  <r>
    <s v="B00908"/>
    <s v="P012"/>
    <x v="1"/>
    <s v="Sold Out"/>
    <n v="16"/>
    <n v="16"/>
    <n v="0"/>
    <n v="0"/>
    <x v="487"/>
    <n v="24000"/>
    <n v="25.67"/>
    <n v="18400"/>
    <n v="5600"/>
    <n v="5.99"/>
    <n v="0"/>
    <d v="2024-07-29T00:00:00"/>
  </r>
  <r>
    <s v="B00909"/>
    <s v="P012"/>
    <x v="1"/>
    <s v="Partial Loss"/>
    <n v="19"/>
    <n v="13.76"/>
    <n v="5.24"/>
    <n v="27.6"/>
    <x v="40"/>
    <n v="20640"/>
    <n v="22.07"/>
    <n v="21850"/>
    <n v="-1210"/>
    <n v="-1.29"/>
    <n v="6026"/>
    <d v="2024-08-05T00:00:00"/>
  </r>
  <r>
    <s v="B00910"/>
    <s v="P012"/>
    <x v="1"/>
    <s v="Partial Loss"/>
    <n v="20"/>
    <n v="14.76"/>
    <n v="5.24"/>
    <n v="26.2"/>
    <x v="174"/>
    <n v="22140"/>
    <n v="23.68"/>
    <n v="23000"/>
    <n v="-860"/>
    <n v="-0.92"/>
    <n v="6026"/>
    <d v="2024-08-12T00:00:00"/>
  </r>
  <r>
    <s v="B00911"/>
    <s v="P012"/>
    <x v="1"/>
    <s v="Partial Loss"/>
    <n v="18"/>
    <n v="11.29"/>
    <n v="6.71"/>
    <n v="37.299999999999997"/>
    <x v="517"/>
    <n v="16935"/>
    <n v="18.11"/>
    <n v="20700"/>
    <n v="-3765"/>
    <n v="-4.03"/>
    <n v="7716.5"/>
    <d v="2024-08-17T00:00:00"/>
  </r>
  <r>
    <s v="B00912"/>
    <s v="P012"/>
    <x v="1"/>
    <s v="Partial Loss"/>
    <n v="16"/>
    <n v="13.6"/>
    <n v="2.4"/>
    <n v="15"/>
    <x v="41"/>
    <n v="20400"/>
    <n v="21.82"/>
    <n v="18400"/>
    <n v="2000"/>
    <n v="2.14"/>
    <n v="2760"/>
    <d v="2024-08-25T00:00:00"/>
  </r>
  <r>
    <s v="B00913"/>
    <s v="P012"/>
    <x v="1"/>
    <s v="Partial Loss"/>
    <n v="20"/>
    <n v="16.059999999999999"/>
    <n v="3.94"/>
    <n v="19.7"/>
    <x v="518"/>
    <n v="24090"/>
    <n v="25.76"/>
    <n v="23000"/>
    <n v="1090"/>
    <n v="1.17"/>
    <n v="4531"/>
    <d v="2024-09-01T00:00:00"/>
  </r>
  <r>
    <s v="B00914"/>
    <s v="P012"/>
    <x v="1"/>
    <s v="Partial Loss"/>
    <n v="22"/>
    <n v="16.5"/>
    <n v="5.5"/>
    <n v="25"/>
    <x v="175"/>
    <n v="24750"/>
    <n v="26.47"/>
    <n v="25300"/>
    <n v="-550"/>
    <n v="-0.59"/>
    <n v="6325"/>
    <d v="2024-09-07T00:00:00"/>
  </r>
  <r>
    <s v="B00915"/>
    <s v="P012"/>
    <x v="1"/>
    <s v="Partial Loss"/>
    <n v="23"/>
    <n v="18.72"/>
    <n v="4.28"/>
    <n v="18.600000000000001"/>
    <x v="519"/>
    <n v="28080"/>
    <n v="30.03"/>
    <n v="26450"/>
    <n v="1630"/>
    <n v="1.74"/>
    <n v="4922"/>
    <d v="2024-09-13T00:00:00"/>
  </r>
  <r>
    <s v="B00916"/>
    <s v="P012"/>
    <x v="1"/>
    <s v="Partial Loss"/>
    <n v="24"/>
    <n v="21.41"/>
    <n v="2.59"/>
    <n v="10.8"/>
    <x v="460"/>
    <n v="32115"/>
    <n v="34.35"/>
    <n v="27600"/>
    <n v="4515"/>
    <n v="4.83"/>
    <n v="2978.5"/>
    <d v="2024-09-20T00:00:00"/>
  </r>
  <r>
    <s v="B00917"/>
    <s v="P012"/>
    <x v="1"/>
    <s v="Partial Loss"/>
    <n v="24"/>
    <n v="16.100000000000001"/>
    <n v="7.9"/>
    <n v="32.9"/>
    <x v="49"/>
    <n v="24150"/>
    <n v="25.83"/>
    <n v="27600"/>
    <n v="-3450"/>
    <n v="-3.69"/>
    <n v="9085"/>
    <d v="2024-09-29T00:00:00"/>
  </r>
  <r>
    <s v="B00918"/>
    <s v="P012"/>
    <x v="1"/>
    <s v="Partial Loss"/>
    <n v="52"/>
    <n v="49.24"/>
    <n v="2.76"/>
    <n v="5.3"/>
    <x v="462"/>
    <n v="73860"/>
    <n v="78.989999999999995"/>
    <n v="59800"/>
    <n v="14060"/>
    <n v="15.04"/>
    <n v="3173.9999999999995"/>
    <d v="2024-10-07T00:00:00"/>
  </r>
  <r>
    <s v="B00919"/>
    <s v="P012"/>
    <x v="1"/>
    <s v="Sold Out"/>
    <n v="52"/>
    <n v="52"/>
    <n v="0"/>
    <n v="0"/>
    <x v="520"/>
    <n v="78000"/>
    <n v="83.42"/>
    <n v="59800"/>
    <n v="18200"/>
    <n v="19.47"/>
    <n v="0"/>
    <d v="2024-10-13T00:00:00"/>
  </r>
  <r>
    <s v="B00920"/>
    <s v="P012"/>
    <x v="1"/>
    <s v="Sold Out"/>
    <n v="49"/>
    <n v="49"/>
    <n v="0"/>
    <n v="0"/>
    <x v="276"/>
    <n v="73500"/>
    <n v="78.61"/>
    <n v="56350"/>
    <n v="17150"/>
    <n v="18.34"/>
    <n v="0"/>
    <d v="2024-10-20T00:00:00"/>
  </r>
  <r>
    <s v="B00921"/>
    <s v="P012"/>
    <x v="1"/>
    <s v="Sold Out"/>
    <n v="55"/>
    <n v="55"/>
    <n v="0"/>
    <n v="0"/>
    <x v="369"/>
    <n v="82500"/>
    <n v="88.24"/>
    <n v="63250"/>
    <n v="19250"/>
    <n v="20.59"/>
    <n v="0"/>
    <d v="2024-10-25T00:00:00"/>
  </r>
  <r>
    <s v="B00922"/>
    <s v="P012"/>
    <x v="1"/>
    <s v="Sold Out"/>
    <n v="47"/>
    <n v="47"/>
    <n v="0"/>
    <n v="0"/>
    <x v="50"/>
    <n v="70500"/>
    <n v="75.400000000000006"/>
    <n v="54050"/>
    <n v="16450"/>
    <n v="17.59"/>
    <n v="0"/>
    <d v="2024-11-02T00:00:00"/>
  </r>
  <r>
    <s v="B00923"/>
    <s v="P012"/>
    <x v="1"/>
    <s v="Sold Out"/>
    <n v="54"/>
    <n v="54"/>
    <n v="0"/>
    <n v="0"/>
    <x v="176"/>
    <n v="81000"/>
    <n v="86.63"/>
    <n v="62100"/>
    <n v="18900"/>
    <n v="20.21"/>
    <n v="0"/>
    <d v="2024-11-08T00:00:00"/>
  </r>
  <r>
    <s v="B00924"/>
    <s v="P012"/>
    <x v="1"/>
    <s v="Sold Out"/>
    <n v="42"/>
    <n v="42"/>
    <n v="0"/>
    <n v="0"/>
    <x v="403"/>
    <n v="63000"/>
    <n v="67.38"/>
    <n v="48300"/>
    <n v="14700"/>
    <n v="15.72"/>
    <n v="0"/>
    <d v="2024-11-15T00:00:00"/>
  </r>
  <r>
    <s v="B00925"/>
    <s v="P012"/>
    <x v="1"/>
    <s v="Sold Out"/>
    <n v="50"/>
    <n v="50"/>
    <n v="0"/>
    <n v="0"/>
    <x v="48"/>
    <n v="75000"/>
    <n v="80.209999999999994"/>
    <n v="57500"/>
    <n v="17500"/>
    <n v="18.72"/>
    <n v="0"/>
    <d v="2024-11-22T00:00:00"/>
  </r>
  <r>
    <s v="B00926"/>
    <s v="P012"/>
    <x v="1"/>
    <s v="Sold Out"/>
    <n v="50"/>
    <n v="50"/>
    <n v="0"/>
    <n v="0"/>
    <x v="53"/>
    <n v="75000"/>
    <n v="80.209999999999994"/>
    <n v="57500"/>
    <n v="17500"/>
    <n v="18.72"/>
    <n v="0"/>
    <d v="2024-11-28T00:00:00"/>
  </r>
  <r>
    <s v="B00927"/>
    <s v="P012"/>
    <x v="1"/>
    <s v="Sold Out"/>
    <n v="62"/>
    <n v="62"/>
    <n v="0"/>
    <n v="0"/>
    <x v="521"/>
    <n v="93000"/>
    <n v="99.47"/>
    <n v="71300"/>
    <n v="21700"/>
    <n v="23.21"/>
    <n v="0"/>
    <d v="2024-12-06T00:00:00"/>
  </r>
  <r>
    <s v="B00928"/>
    <s v="P012"/>
    <x v="1"/>
    <s v="Sold Out"/>
    <n v="69"/>
    <n v="69"/>
    <n v="0"/>
    <n v="0"/>
    <x v="55"/>
    <n v="103500"/>
    <n v="110.7"/>
    <n v="79350"/>
    <n v="24150"/>
    <n v="25.83"/>
    <n v="0"/>
    <d v="2024-12-13T00:00:00"/>
  </r>
  <r>
    <s v="B00929"/>
    <s v="P012"/>
    <x v="1"/>
    <s v="Sold Out"/>
    <n v="65"/>
    <n v="65"/>
    <n v="0"/>
    <n v="0"/>
    <x v="431"/>
    <n v="97500"/>
    <n v="104.28"/>
    <n v="74750"/>
    <n v="22750"/>
    <n v="24.33"/>
    <n v="0"/>
    <d v="2024-12-19T00:00:00"/>
  </r>
  <r>
    <s v="B00930"/>
    <s v="P012"/>
    <x v="1"/>
    <s v="Sold Out"/>
    <n v="68"/>
    <n v="68"/>
    <n v="0"/>
    <n v="0"/>
    <x v="432"/>
    <n v="102000"/>
    <n v="109.09"/>
    <n v="78200"/>
    <n v="23800"/>
    <n v="25.45"/>
    <n v="0"/>
    <d v="2024-12-25T00:00:00"/>
  </r>
  <r>
    <s v="B00931"/>
    <s v="P012"/>
    <x v="1"/>
    <s v="Partial Loss"/>
    <n v="57"/>
    <n v="33.97"/>
    <n v="23.03"/>
    <n v="40.4"/>
    <x v="227"/>
    <n v="50955"/>
    <n v="54.5"/>
    <n v="65550"/>
    <n v="-14595"/>
    <n v="-15.61"/>
    <n v="26484.5"/>
    <d v="2024-12-31T00:00:00"/>
  </r>
  <r>
    <s v="B00932"/>
    <s v="P012"/>
    <x v="1"/>
    <s v="Sold Out"/>
    <n v="59"/>
    <n v="59"/>
    <n v="0"/>
    <n v="0"/>
    <x v="522"/>
    <n v="88500"/>
    <n v="94.65"/>
    <n v="67850"/>
    <n v="20650"/>
    <n v="22.09"/>
    <n v="0"/>
    <d v="2025-01-06T00:00:00"/>
  </r>
  <r>
    <s v="B00933"/>
    <s v="P012"/>
    <x v="1"/>
    <s v="Partial Loss"/>
    <n v="53"/>
    <n v="37.79"/>
    <n v="15.21"/>
    <n v="28.7"/>
    <x v="409"/>
    <n v="56685"/>
    <n v="60.63"/>
    <n v="60950"/>
    <n v="-4265"/>
    <n v="-4.5599999999999996"/>
    <n v="17491.5"/>
    <d v="2025-01-13T00:00:00"/>
  </r>
  <r>
    <s v="B00934"/>
    <s v="P012"/>
    <x v="1"/>
    <s v="Partial Loss"/>
    <n v="50"/>
    <n v="32.049999999999997"/>
    <n v="17.95"/>
    <n v="35.9"/>
    <x v="374"/>
    <n v="48075"/>
    <n v="51.42"/>
    <n v="57500"/>
    <n v="-9425"/>
    <n v="-10.08"/>
    <n v="20642.5"/>
    <d v="2025-01-22T00:00:00"/>
  </r>
  <r>
    <s v="B00935"/>
    <s v="P012"/>
    <x v="1"/>
    <s v="Sold Out"/>
    <n v="56"/>
    <n v="56"/>
    <n v="0"/>
    <n v="0"/>
    <x v="409"/>
    <n v="84000"/>
    <n v="89.84"/>
    <n v="64400"/>
    <n v="19600"/>
    <n v="20.96"/>
    <n v="0"/>
    <d v="2025-01-28T00:00:00"/>
  </r>
  <r>
    <s v="B00936"/>
    <s v="P012"/>
    <x v="1"/>
    <s v="Sold Out"/>
    <n v="54"/>
    <n v="54"/>
    <n v="0"/>
    <n v="0"/>
    <x v="410"/>
    <n v="81000"/>
    <n v="86.63"/>
    <n v="62100"/>
    <n v="18900"/>
    <n v="20.21"/>
    <n v="0"/>
    <d v="2025-02-04T00:00:00"/>
  </r>
  <r>
    <s v="B00937"/>
    <s v="P012"/>
    <x v="1"/>
    <s v="Sold Out"/>
    <n v="56"/>
    <n v="56"/>
    <n v="0"/>
    <n v="0"/>
    <x v="232"/>
    <n v="84000"/>
    <n v="89.84"/>
    <n v="64400"/>
    <n v="19600"/>
    <n v="20.96"/>
    <n v="0"/>
    <d v="2025-02-10T00:00:00"/>
  </r>
  <r>
    <s v="B00938"/>
    <s v="P012"/>
    <x v="1"/>
    <s v="Sold Out"/>
    <n v="50"/>
    <n v="50"/>
    <n v="0"/>
    <n v="0"/>
    <x v="466"/>
    <n v="75000"/>
    <n v="80.209999999999994"/>
    <n v="57500"/>
    <n v="17500"/>
    <n v="18.72"/>
    <n v="0"/>
    <d v="2025-02-17T00:00:00"/>
  </r>
  <r>
    <s v="B00939"/>
    <s v="P012"/>
    <x v="1"/>
    <s v="Sold Out"/>
    <n v="50"/>
    <n v="50"/>
    <n v="0"/>
    <n v="0"/>
    <x v="129"/>
    <n v="75000"/>
    <n v="80.209999999999994"/>
    <n v="57500"/>
    <n v="17500"/>
    <n v="18.72"/>
    <n v="0"/>
    <d v="2025-02-22T00:00:00"/>
  </r>
  <r>
    <s v="B00940"/>
    <s v="P012"/>
    <x v="1"/>
    <s v="Sold Out"/>
    <n v="51"/>
    <n v="51"/>
    <n v="0"/>
    <n v="0"/>
    <x v="235"/>
    <n v="76500"/>
    <n v="81.819999999999993"/>
    <n v="58650"/>
    <n v="17850"/>
    <n v="19.09"/>
    <n v="0"/>
    <d v="2025-03-02T00:00:00"/>
  </r>
  <r>
    <s v="B00941"/>
    <s v="P012"/>
    <x v="1"/>
    <s v="Partial Loss"/>
    <n v="48"/>
    <n v="46.18"/>
    <n v="1.82"/>
    <n v="3.8"/>
    <x v="493"/>
    <n v="69270"/>
    <n v="74.09"/>
    <n v="55200"/>
    <n v="14070"/>
    <n v="15.05"/>
    <n v="2093"/>
    <d v="2025-03-08T00:00:00"/>
  </r>
  <r>
    <s v="B00942"/>
    <s v="P012"/>
    <x v="1"/>
    <s v="Partial Loss"/>
    <n v="49"/>
    <n v="31.41"/>
    <n v="17.59"/>
    <n v="35.9"/>
    <x v="411"/>
    <n v="47115"/>
    <n v="50.39"/>
    <n v="56350"/>
    <n v="-9235"/>
    <n v="-9.8800000000000008"/>
    <n v="20228.5"/>
    <d v="2025-03-14T00:00:00"/>
  </r>
  <r>
    <s v="B00943"/>
    <s v="P012"/>
    <x v="1"/>
    <s v="Sold Out"/>
    <n v="50"/>
    <n v="50"/>
    <n v="0"/>
    <n v="0"/>
    <x v="523"/>
    <n v="75000"/>
    <n v="80.209999999999994"/>
    <n v="57500"/>
    <n v="17500"/>
    <n v="18.72"/>
    <n v="0"/>
    <d v="2025-03-21T00:00:00"/>
  </r>
  <r>
    <s v="B00944"/>
    <s v="P012"/>
    <x v="1"/>
    <s v="Sold Out"/>
    <n v="46"/>
    <n v="46"/>
    <n v="0"/>
    <n v="0"/>
    <x v="524"/>
    <n v="69000"/>
    <n v="73.8"/>
    <n v="52900"/>
    <n v="16100"/>
    <n v="17.22"/>
    <n v="0"/>
    <d v="2025-03-29T00:00:00"/>
  </r>
  <r>
    <s v="B00945"/>
    <s v="P012"/>
    <x v="1"/>
    <s v="Sold Out"/>
    <n v="20"/>
    <n v="20"/>
    <n v="0"/>
    <n v="0"/>
    <x v="525"/>
    <n v="30000"/>
    <n v="32.090000000000003"/>
    <n v="23000"/>
    <n v="7000"/>
    <n v="7.49"/>
    <n v="0"/>
    <d v="2025-04-04T00:00:00"/>
  </r>
  <r>
    <s v="B00946"/>
    <s v="P012"/>
    <x v="1"/>
    <s v="Partial Loss"/>
    <n v="17"/>
    <n v="13.62"/>
    <n v="3.38"/>
    <n v="19.899999999999999"/>
    <x v="414"/>
    <n v="20430"/>
    <n v="21.85"/>
    <n v="19550"/>
    <n v="880"/>
    <n v="0.94"/>
    <n v="3887"/>
    <d v="2025-04-09T00:00:00"/>
  </r>
  <r>
    <s v="B00947"/>
    <s v="P012"/>
    <x v="1"/>
    <s v="Partial Loss"/>
    <n v="22"/>
    <n v="14.19"/>
    <n v="7.81"/>
    <n v="35.5"/>
    <x v="468"/>
    <n v="21285"/>
    <n v="22.76"/>
    <n v="25300"/>
    <n v="-4015"/>
    <n v="-4.29"/>
    <n v="8981.5"/>
    <d v="2025-04-14T00:00:00"/>
  </r>
  <r>
    <s v="B00948"/>
    <s v="P012"/>
    <x v="1"/>
    <s v="Sold Out"/>
    <n v="18"/>
    <n v="18"/>
    <n v="0"/>
    <n v="0"/>
    <x v="526"/>
    <n v="27000"/>
    <n v="28.88"/>
    <n v="20700"/>
    <n v="6300"/>
    <n v="6.74"/>
    <n v="0"/>
    <d v="2025-04-21T00:00:00"/>
  </r>
  <r>
    <s v="B00949"/>
    <s v="P012"/>
    <x v="1"/>
    <s v="Partial Loss"/>
    <n v="20"/>
    <n v="12.64"/>
    <n v="7.36"/>
    <n v="36.799999999999997"/>
    <x v="527"/>
    <n v="18960"/>
    <n v="20.28"/>
    <n v="23000"/>
    <n v="-4040"/>
    <n v="-4.32"/>
    <n v="8464"/>
    <d v="2025-04-27T00:00:00"/>
  </r>
  <r>
    <s v="B00950"/>
    <s v="P012"/>
    <x v="1"/>
    <s v="Sold Out"/>
    <n v="17"/>
    <n v="17"/>
    <n v="0"/>
    <n v="0"/>
    <x v="238"/>
    <n v="25500"/>
    <n v="27.27"/>
    <n v="19550"/>
    <n v="5950"/>
    <n v="6.36"/>
    <n v="0"/>
    <d v="2025-05-04T00:00:00"/>
  </r>
  <r>
    <s v="B00951"/>
    <s v="P012"/>
    <x v="1"/>
    <s v="Sold Out"/>
    <n v="21"/>
    <n v="21"/>
    <n v="0"/>
    <n v="0"/>
    <x v="242"/>
    <n v="31500"/>
    <n v="33.69"/>
    <n v="24150"/>
    <n v="7350"/>
    <n v="7.86"/>
    <n v="0"/>
    <d v="2025-05-09T00:00:00"/>
  </r>
  <r>
    <s v="B00952"/>
    <s v="P012"/>
    <x v="1"/>
    <s v="Partial Loss"/>
    <n v="22"/>
    <n v="14.52"/>
    <n v="7.48"/>
    <n v="34"/>
    <x v="241"/>
    <n v="21780"/>
    <n v="23.29"/>
    <n v="25300"/>
    <n v="-3520"/>
    <n v="-3.76"/>
    <n v="8602"/>
    <d v="2025-05-18T00:00:00"/>
  </r>
  <r>
    <s v="B00953"/>
    <s v="P012"/>
    <x v="1"/>
    <s v="Partial Loss"/>
    <n v="18"/>
    <n v="14.2"/>
    <n v="3.8"/>
    <n v="21.1"/>
    <x v="338"/>
    <n v="21300"/>
    <n v="22.78"/>
    <n v="20700"/>
    <n v="600"/>
    <n v="0.64"/>
    <n v="4370"/>
    <d v="2025-05-24T00:00:00"/>
  </r>
  <r>
    <s v="B00954"/>
    <s v="P012"/>
    <x v="1"/>
    <s v="Partial Loss"/>
    <n v="19"/>
    <n v="15.24"/>
    <n v="3.76"/>
    <n v="19.8"/>
    <x v="528"/>
    <n v="22860"/>
    <n v="24.45"/>
    <n v="21850"/>
    <n v="1010"/>
    <n v="1.08"/>
    <n v="4324"/>
    <d v="2025-05-31T00:00:00"/>
  </r>
  <r>
    <s v="B00955"/>
    <s v="P012"/>
    <x v="1"/>
    <s v="Partial Loss"/>
    <n v="21"/>
    <n v="16.82"/>
    <n v="4.18"/>
    <n v="19.899999999999999"/>
    <x v="341"/>
    <n v="25230"/>
    <n v="26.98"/>
    <n v="24150"/>
    <n v="1080"/>
    <n v="1.1599999999999999"/>
    <n v="4807"/>
    <d v="2025-06-06T00:00:00"/>
  </r>
  <r>
    <s v="B00956"/>
    <s v="P012"/>
    <x v="1"/>
    <s v="Partial Loss"/>
    <n v="17"/>
    <n v="12.95"/>
    <n v="4.05"/>
    <n v="23.8"/>
    <x v="195"/>
    <n v="19425"/>
    <n v="20.78"/>
    <n v="19550"/>
    <n v="-125"/>
    <n v="-0.13"/>
    <n v="4657.5"/>
    <d v="2025-06-12T00:00:00"/>
  </r>
  <r>
    <s v="B00957"/>
    <s v="P012"/>
    <x v="1"/>
    <s v="Partial Loss"/>
    <n v="21"/>
    <n v="12.96"/>
    <n v="8.0399999999999991"/>
    <n v="38.299999999999997"/>
    <x v="529"/>
    <n v="19440"/>
    <n v="20.79"/>
    <n v="24150"/>
    <n v="-4710"/>
    <n v="-5.04"/>
    <n v="9245.9999999999982"/>
    <d v="2025-06-17T00:00:00"/>
  </r>
  <r>
    <s v="B00958"/>
    <s v="P012"/>
    <x v="1"/>
    <s v="Partial Loss"/>
    <n v="17"/>
    <n v="11.58"/>
    <n v="5.42"/>
    <n v="31.9"/>
    <x v="196"/>
    <n v="17370"/>
    <n v="18.579999999999998"/>
    <n v="19550"/>
    <n v="-2180"/>
    <n v="-2.33"/>
    <n v="6233"/>
    <d v="2025-06-23T00:00:00"/>
  </r>
  <r>
    <s v="B00959"/>
    <s v="P012"/>
    <x v="1"/>
    <s v="Sold Out"/>
    <n v="18"/>
    <n v="18"/>
    <n v="0"/>
    <n v="0"/>
    <x v="72"/>
    <n v="27000"/>
    <n v="28.88"/>
    <n v="20700"/>
    <n v="6300"/>
    <n v="6.74"/>
    <n v="0"/>
    <d v="2025-06-30T00:00:00"/>
  </r>
  <r>
    <s v="B00960"/>
    <s v="P013"/>
    <x v="1"/>
    <s v="Partial Loss"/>
    <n v="18"/>
    <n v="12.08"/>
    <n v="5.92"/>
    <n v="32.9"/>
    <x v="297"/>
    <n v="18120"/>
    <n v="19.38"/>
    <n v="18900"/>
    <n v="-780"/>
    <n v="-0.83"/>
    <n v="6216"/>
    <d v="2023-07-06T00:00:00"/>
  </r>
  <r>
    <s v="B00961"/>
    <s v="P013"/>
    <x v="1"/>
    <s v="Partial Loss"/>
    <n v="16"/>
    <n v="12.74"/>
    <n v="3.26"/>
    <n v="20.399999999999999"/>
    <x v="530"/>
    <n v="19110"/>
    <n v="20.440000000000001"/>
    <n v="19200"/>
    <n v="-90"/>
    <n v="-0.1"/>
    <n v="3911.9999999999995"/>
    <d v="2023-07-12T00:00:00"/>
  </r>
  <r>
    <s v="B00962"/>
    <s v="P013"/>
    <x v="1"/>
    <s v="Partial Loss"/>
    <n v="21"/>
    <n v="16.3"/>
    <n v="4.7"/>
    <n v="22.4"/>
    <x v="531"/>
    <n v="24450"/>
    <n v="26.15"/>
    <n v="25200"/>
    <n v="-750"/>
    <n v="-0.8"/>
    <n v="5640"/>
    <d v="2023-07-18T00:00:00"/>
  </r>
  <r>
    <s v="B00963"/>
    <s v="P013"/>
    <x v="1"/>
    <s v="Partial Loss"/>
    <n v="18"/>
    <n v="13.86"/>
    <n v="4.1399999999999997"/>
    <n v="23"/>
    <x v="3"/>
    <n v="20790"/>
    <n v="22.24"/>
    <n v="18900"/>
    <n v="1890"/>
    <n v="2.02"/>
    <n v="4347"/>
    <d v="2023-07-25T00:00:00"/>
  </r>
  <r>
    <s v="B00964"/>
    <s v="P013"/>
    <x v="1"/>
    <s v="Sold Out"/>
    <n v="17"/>
    <n v="17"/>
    <n v="0"/>
    <n v="0"/>
    <x v="474"/>
    <n v="25500"/>
    <n v="27.27"/>
    <n v="17850"/>
    <n v="7650"/>
    <n v="8.18"/>
    <n v="0"/>
    <d v="2023-08-01T00:00:00"/>
  </r>
  <r>
    <s v="B00965"/>
    <s v="P013"/>
    <x v="1"/>
    <s v="Sold Out"/>
    <n v="19"/>
    <n v="19"/>
    <n v="0"/>
    <n v="0"/>
    <x v="532"/>
    <n v="28500"/>
    <n v="30.48"/>
    <n v="19950"/>
    <n v="8550"/>
    <n v="9.14"/>
    <n v="0"/>
    <d v="2023-08-06T00:00:00"/>
  </r>
  <r>
    <s v="B00966"/>
    <s v="P013"/>
    <x v="1"/>
    <s v="Sold Out"/>
    <n v="20"/>
    <n v="20"/>
    <n v="0"/>
    <n v="0"/>
    <x v="81"/>
    <n v="30000"/>
    <n v="32.090000000000003"/>
    <n v="21000"/>
    <n v="9000"/>
    <n v="9.6300000000000008"/>
    <n v="0"/>
    <d v="2023-08-13T00:00:00"/>
  </r>
  <r>
    <s v="B00967"/>
    <s v="P013"/>
    <x v="1"/>
    <s v="Partial Loss"/>
    <n v="20"/>
    <n v="12"/>
    <n v="8"/>
    <n v="40"/>
    <x v="83"/>
    <n v="18000"/>
    <n v="19.25"/>
    <n v="21000"/>
    <n v="-3000"/>
    <n v="-3.21"/>
    <n v="8400"/>
    <d v="2023-08-20T00:00:00"/>
  </r>
  <r>
    <s v="B00968"/>
    <s v="P013"/>
    <x v="1"/>
    <s v="Sold Out"/>
    <n v="19"/>
    <n v="19"/>
    <n v="0"/>
    <n v="0"/>
    <x v="298"/>
    <n v="28500"/>
    <n v="30.48"/>
    <n v="19950"/>
    <n v="8550"/>
    <n v="9.14"/>
    <n v="0"/>
    <d v="2023-08-25T00:00:00"/>
  </r>
  <r>
    <s v="B00969"/>
    <s v="P013"/>
    <x v="1"/>
    <s v="Partial Loss"/>
    <n v="21"/>
    <n v="20.22"/>
    <n v="0.78"/>
    <n v="3.7"/>
    <x v="533"/>
    <n v="30330"/>
    <n v="32.44"/>
    <n v="22050"/>
    <n v="8280"/>
    <n v="8.86"/>
    <n v="819"/>
    <d v="2023-09-03T00:00:00"/>
  </r>
  <r>
    <s v="B00970"/>
    <s v="P013"/>
    <x v="1"/>
    <s v="Partial Loss"/>
    <n v="23"/>
    <n v="22.1"/>
    <n v="0.9"/>
    <n v="3.9"/>
    <x v="444"/>
    <n v="33150"/>
    <n v="35.450000000000003"/>
    <n v="27600"/>
    <n v="5550"/>
    <n v="5.94"/>
    <n v="1080"/>
    <d v="2023-09-11T00:00:00"/>
  </r>
  <r>
    <s v="B00971"/>
    <s v="P013"/>
    <x v="1"/>
    <s v="Partial Loss"/>
    <n v="24"/>
    <n v="19.27"/>
    <n v="4.7300000000000004"/>
    <n v="19.7"/>
    <x v="534"/>
    <n v="28905"/>
    <n v="30.91"/>
    <n v="25200"/>
    <n v="3705"/>
    <n v="3.96"/>
    <n v="4966.5"/>
    <d v="2023-09-16T00:00:00"/>
  </r>
  <r>
    <s v="B00972"/>
    <s v="P013"/>
    <x v="1"/>
    <s v="Partial Loss"/>
    <n v="20"/>
    <n v="15.94"/>
    <n v="4.0599999999999996"/>
    <n v="20.3"/>
    <x v="475"/>
    <n v="23910"/>
    <n v="25.57"/>
    <n v="21000"/>
    <n v="2910"/>
    <n v="3.11"/>
    <n v="4263"/>
    <d v="2023-09-22T00:00:00"/>
  </r>
  <r>
    <s v="B00973"/>
    <s v="P013"/>
    <x v="1"/>
    <s v="Partial Loss"/>
    <n v="21"/>
    <n v="15.69"/>
    <n v="5.31"/>
    <n v="25.3"/>
    <x v="86"/>
    <n v="23535"/>
    <n v="25.17"/>
    <n v="22050"/>
    <n v="1485"/>
    <n v="1.59"/>
    <n v="5575.5"/>
    <d v="2023-09-27T00:00:00"/>
  </r>
  <r>
    <s v="B00974"/>
    <s v="P013"/>
    <x v="1"/>
    <s v="Sold Out"/>
    <n v="50"/>
    <n v="50"/>
    <n v="0"/>
    <n v="0"/>
    <x v="203"/>
    <n v="75000"/>
    <n v="80.209999999999994"/>
    <n v="52500"/>
    <n v="22500"/>
    <n v="24.06"/>
    <n v="0"/>
    <d v="2023-10-03T00:00:00"/>
  </r>
  <r>
    <s v="B00975"/>
    <s v="P013"/>
    <x v="1"/>
    <s v="Sold Out"/>
    <n v="44"/>
    <n v="44"/>
    <n v="0"/>
    <n v="0"/>
    <x v="86"/>
    <n v="66000"/>
    <n v="70.59"/>
    <n v="46200"/>
    <n v="19800"/>
    <n v="21.18"/>
    <n v="0"/>
    <d v="2023-10-10T00:00:00"/>
  </r>
  <r>
    <s v="B00976"/>
    <s v="P013"/>
    <x v="1"/>
    <s v="Sold Out"/>
    <n v="42"/>
    <n v="42"/>
    <n v="0"/>
    <n v="0"/>
    <x v="301"/>
    <n v="63000"/>
    <n v="67.38"/>
    <n v="44100"/>
    <n v="18900"/>
    <n v="20.21"/>
    <n v="0"/>
    <d v="2023-10-17T00:00:00"/>
  </r>
  <r>
    <s v="B00977"/>
    <s v="P013"/>
    <x v="1"/>
    <s v="Sold Out"/>
    <n v="53"/>
    <n v="53"/>
    <n v="0"/>
    <n v="0"/>
    <x v="535"/>
    <n v="79500"/>
    <n v="85.03"/>
    <n v="55650"/>
    <n v="23850"/>
    <n v="25.51"/>
    <n v="0"/>
    <d v="2023-10-23T00:00:00"/>
  </r>
  <r>
    <s v="B00978"/>
    <s v="P013"/>
    <x v="1"/>
    <s v="Partial Loss"/>
    <n v="50"/>
    <n v="39"/>
    <n v="11"/>
    <n v="22"/>
    <x v="14"/>
    <n v="58500"/>
    <n v="62.57"/>
    <n v="52500"/>
    <n v="6000"/>
    <n v="6.42"/>
    <n v="11550"/>
    <d v="2023-10-29T00:00:00"/>
  </r>
  <r>
    <s v="B00979"/>
    <s v="P013"/>
    <x v="1"/>
    <s v="Sold Out"/>
    <n v="42"/>
    <n v="42"/>
    <n v="0"/>
    <n v="0"/>
    <x v="303"/>
    <n v="63000"/>
    <n v="67.38"/>
    <n v="44100"/>
    <n v="18900"/>
    <n v="20.21"/>
    <n v="0"/>
    <d v="2023-11-04T00:00:00"/>
  </r>
  <r>
    <s v="B00980"/>
    <s v="P013"/>
    <x v="1"/>
    <s v="Partial Loss"/>
    <n v="41"/>
    <n v="36.700000000000003"/>
    <n v="4.3"/>
    <n v="10.5"/>
    <x v="536"/>
    <n v="55050"/>
    <n v="58.88"/>
    <n v="43050"/>
    <n v="12000"/>
    <n v="12.83"/>
    <n v="4515"/>
    <d v="2023-11-11T00:00:00"/>
  </r>
  <r>
    <s v="B00981"/>
    <s v="P013"/>
    <x v="1"/>
    <s v="Sold Out"/>
    <n v="47"/>
    <n v="47"/>
    <n v="0"/>
    <n v="0"/>
    <x v="207"/>
    <n v="70500"/>
    <n v="75.400000000000006"/>
    <n v="49350"/>
    <n v="21150"/>
    <n v="22.62"/>
    <n v="0"/>
    <d v="2023-11-20T00:00:00"/>
  </r>
  <r>
    <s v="B00982"/>
    <s v="P013"/>
    <x v="1"/>
    <s v="Sold Out"/>
    <n v="47"/>
    <n v="47"/>
    <n v="0"/>
    <n v="0"/>
    <x v="537"/>
    <n v="70500"/>
    <n v="75.400000000000006"/>
    <n v="49350"/>
    <n v="21150"/>
    <n v="22.62"/>
    <n v="0"/>
    <d v="2023-11-27T00:00:00"/>
  </r>
  <r>
    <s v="B00983"/>
    <s v="P013"/>
    <x v="1"/>
    <s v="Sold Out"/>
    <n v="57"/>
    <n v="57"/>
    <n v="0"/>
    <n v="0"/>
    <x v="150"/>
    <n v="85500"/>
    <n v="91.44"/>
    <n v="59850"/>
    <n v="25650"/>
    <n v="27.43"/>
    <n v="0"/>
    <d v="2023-12-04T00:00:00"/>
  </r>
  <r>
    <s v="B00984"/>
    <s v="P013"/>
    <x v="1"/>
    <s v="Sold Out"/>
    <n v="61"/>
    <n v="61"/>
    <n v="0"/>
    <n v="0"/>
    <x v="386"/>
    <n v="91500"/>
    <n v="97.86"/>
    <n v="64050"/>
    <n v="27450"/>
    <n v="29.36"/>
    <n v="0"/>
    <d v="2023-12-09T00:00:00"/>
  </r>
  <r>
    <s v="B00985"/>
    <s v="P013"/>
    <x v="1"/>
    <s v="Partial Loss"/>
    <n v="55"/>
    <n v="43.45"/>
    <n v="11.55"/>
    <n v="21"/>
    <x v="153"/>
    <n v="65175"/>
    <n v="69.709999999999994"/>
    <n v="57750"/>
    <n v="7425"/>
    <n v="7.94"/>
    <n v="12127.5"/>
    <d v="2023-12-16T00:00:00"/>
  </r>
  <r>
    <s v="B00986"/>
    <s v="P013"/>
    <x v="1"/>
    <s v="Sold Out"/>
    <n v="67"/>
    <n v="67"/>
    <n v="0"/>
    <n v="0"/>
    <x v="538"/>
    <n v="100500"/>
    <n v="107.49"/>
    <n v="70350"/>
    <n v="30150"/>
    <n v="32.25"/>
    <n v="0"/>
    <d v="2023-12-22T00:00:00"/>
  </r>
  <r>
    <s v="B00987"/>
    <s v="P013"/>
    <x v="1"/>
    <s v="Sold Out"/>
    <n v="54"/>
    <n v="54"/>
    <n v="0"/>
    <n v="0"/>
    <x v="539"/>
    <n v="81000"/>
    <n v="86.63"/>
    <n v="56700"/>
    <n v="24300"/>
    <n v="25.99"/>
    <n v="0"/>
    <d v="2023-12-29T00:00:00"/>
  </r>
  <r>
    <s v="B00988"/>
    <s v="P013"/>
    <x v="1"/>
    <s v="Sold Out"/>
    <n v="52"/>
    <n v="52"/>
    <n v="0"/>
    <n v="0"/>
    <x v="307"/>
    <n v="78000"/>
    <n v="83.42"/>
    <n v="54600"/>
    <n v="23400"/>
    <n v="25.03"/>
    <n v="0"/>
    <d v="2024-01-05T00:00:00"/>
  </r>
  <r>
    <s v="B00989"/>
    <s v="P013"/>
    <x v="1"/>
    <s v="Sold Out"/>
    <n v="55"/>
    <n v="55"/>
    <n v="0"/>
    <n v="0"/>
    <x v="540"/>
    <n v="82500"/>
    <n v="88.24"/>
    <n v="66000"/>
    <n v="16500"/>
    <n v="17.649999999999999"/>
    <n v="0"/>
    <d v="2024-01-11T00:00:00"/>
  </r>
  <r>
    <s v="B00990"/>
    <s v="P013"/>
    <x v="1"/>
    <s v="Sold Out"/>
    <n v="46"/>
    <n v="46"/>
    <n v="0"/>
    <n v="0"/>
    <x v="450"/>
    <n v="69000"/>
    <n v="73.8"/>
    <n v="48300"/>
    <n v="20700"/>
    <n v="22.14"/>
    <n v="0"/>
    <d v="2024-01-18T00:00:00"/>
  </r>
  <r>
    <s v="B00991"/>
    <s v="P013"/>
    <x v="1"/>
    <s v="Sold Out"/>
    <n v="43"/>
    <n v="43"/>
    <n v="0"/>
    <n v="0"/>
    <x v="541"/>
    <n v="64500"/>
    <n v="68.98"/>
    <n v="45150"/>
    <n v="19350"/>
    <n v="20.7"/>
    <n v="0"/>
    <d v="2024-01-22T00:00:00"/>
  </r>
  <r>
    <s v="B00992"/>
    <s v="P013"/>
    <x v="1"/>
    <s v="Sold Out"/>
    <n v="52"/>
    <n v="52"/>
    <n v="0"/>
    <n v="0"/>
    <x v="508"/>
    <n v="78000"/>
    <n v="83.42"/>
    <n v="54600"/>
    <n v="23400"/>
    <n v="25.03"/>
    <n v="0"/>
    <d v="2024-01-28T00:00:00"/>
  </r>
  <r>
    <s v="B00993"/>
    <s v="P013"/>
    <x v="1"/>
    <s v="Sold Out"/>
    <n v="54"/>
    <n v="54"/>
    <n v="0"/>
    <n v="0"/>
    <x v="542"/>
    <n v="81000"/>
    <n v="86.63"/>
    <n v="56700"/>
    <n v="24300"/>
    <n v="25.99"/>
    <n v="0"/>
    <d v="2024-02-05T00:00:00"/>
  </r>
  <r>
    <s v="B00994"/>
    <s v="P013"/>
    <x v="1"/>
    <s v="Partial Loss"/>
    <n v="54"/>
    <n v="35.799999999999997"/>
    <n v="18.2"/>
    <n v="33.700000000000003"/>
    <x v="543"/>
    <n v="53700"/>
    <n v="57.43"/>
    <n v="56700"/>
    <n v="-3000"/>
    <n v="-3.21"/>
    <n v="19110"/>
    <d v="2024-02-10T00:00:00"/>
  </r>
  <r>
    <s v="B00995"/>
    <s v="P013"/>
    <x v="1"/>
    <s v="Sold Out"/>
    <n v="47"/>
    <n v="47"/>
    <n v="0"/>
    <n v="0"/>
    <x v="544"/>
    <n v="70500"/>
    <n v="75.400000000000006"/>
    <n v="49350"/>
    <n v="21150"/>
    <n v="22.62"/>
    <n v="0"/>
    <d v="2024-02-18T00:00:00"/>
  </r>
  <r>
    <s v="B00996"/>
    <s v="P013"/>
    <x v="1"/>
    <s v="Partial Loss"/>
    <n v="44"/>
    <n v="26.62"/>
    <n v="17.38"/>
    <n v="39.5"/>
    <x v="545"/>
    <n v="39930"/>
    <n v="42.71"/>
    <n v="46200"/>
    <n v="-6270"/>
    <n v="-6.71"/>
    <n v="18249"/>
    <d v="2024-02-25T00:00:00"/>
  </r>
  <r>
    <s v="B00997"/>
    <s v="P013"/>
    <x v="1"/>
    <s v="Sold Out"/>
    <n v="42"/>
    <n v="42"/>
    <n v="0"/>
    <n v="0"/>
    <x v="22"/>
    <n v="63000"/>
    <n v="67.38"/>
    <n v="44100"/>
    <n v="18900"/>
    <n v="20.21"/>
    <n v="0"/>
    <d v="2024-03-04T00:00:00"/>
  </r>
  <r>
    <s v="B00998"/>
    <s v="P013"/>
    <x v="1"/>
    <s v="Sold Out"/>
    <n v="53"/>
    <n v="53"/>
    <n v="0"/>
    <n v="0"/>
    <x v="512"/>
    <n v="79500"/>
    <n v="85.03"/>
    <n v="63600"/>
    <n v="15900"/>
    <n v="17.010000000000002"/>
    <n v="0"/>
    <d v="2024-03-09T00:00:00"/>
  </r>
  <r>
    <s v="B00999"/>
    <s v="P013"/>
    <x v="1"/>
    <s v="Sold Out"/>
    <n v="48"/>
    <n v="48"/>
    <n v="0"/>
    <n v="0"/>
    <x v="210"/>
    <n v="72000"/>
    <n v="77.010000000000005"/>
    <n v="50400"/>
    <n v="21600"/>
    <n v="23.1"/>
    <n v="0"/>
    <d v="2024-03-15T00:00:00"/>
  </r>
  <r>
    <s v="B01000"/>
    <s v="P013"/>
    <x v="1"/>
    <s v="Partial Loss"/>
    <n v="44"/>
    <n v="30.58"/>
    <n v="13.42"/>
    <n v="30.5"/>
    <x v="546"/>
    <n v="45870"/>
    <n v="49.06"/>
    <n v="46200"/>
    <n v="-330"/>
    <n v="-0.35"/>
    <n v="14091"/>
    <d v="2024-03-22T00:00:00"/>
  </r>
  <r>
    <s v="B01001"/>
    <s v="P013"/>
    <x v="1"/>
    <s v="Sold Out"/>
    <n v="52"/>
    <n v="52"/>
    <n v="0"/>
    <n v="0"/>
    <x v="357"/>
    <n v="78000"/>
    <n v="83.42"/>
    <n v="54600"/>
    <n v="23400"/>
    <n v="25.03"/>
    <n v="0"/>
    <d v="2024-03-29T00:00:00"/>
  </r>
  <r>
    <s v="B01002"/>
    <s v="P013"/>
    <x v="1"/>
    <s v="Partial Loss"/>
    <n v="17"/>
    <n v="11.19"/>
    <n v="5.81"/>
    <n v="34.200000000000003"/>
    <x v="31"/>
    <n v="16785"/>
    <n v="17.95"/>
    <n v="17850"/>
    <n v="-1065"/>
    <n v="-1.1399999999999999"/>
    <n v="6100.5"/>
    <d v="2024-04-05T00:00:00"/>
  </r>
  <r>
    <s v="B01003"/>
    <s v="P013"/>
    <x v="1"/>
    <s v="Partial Loss"/>
    <n v="20"/>
    <n v="15.12"/>
    <n v="4.88"/>
    <n v="24.4"/>
    <x v="166"/>
    <n v="22680"/>
    <n v="24.26"/>
    <n v="24000"/>
    <n v="-1320"/>
    <n v="-1.41"/>
    <n v="5856"/>
    <d v="2024-04-13T00:00:00"/>
  </r>
  <r>
    <s v="B01004"/>
    <s v="P013"/>
    <x v="1"/>
    <s v="Sold Out"/>
    <n v="17"/>
    <n v="17"/>
    <n v="0"/>
    <n v="0"/>
    <x v="162"/>
    <n v="25500"/>
    <n v="27.27"/>
    <n v="17850"/>
    <n v="7650"/>
    <n v="8.18"/>
    <n v="0"/>
    <d v="2024-04-19T00:00:00"/>
  </r>
  <r>
    <s v="B01005"/>
    <s v="P013"/>
    <x v="1"/>
    <s v="Sold Out"/>
    <n v="19"/>
    <n v="19"/>
    <n v="0"/>
    <n v="0"/>
    <x v="214"/>
    <n v="28500"/>
    <n v="30.48"/>
    <n v="19950"/>
    <n v="8550"/>
    <n v="9.14"/>
    <n v="0"/>
    <d v="2024-04-26T00:00:00"/>
  </r>
  <r>
    <s v="B01006"/>
    <s v="P013"/>
    <x v="1"/>
    <s v="Partial Loss"/>
    <n v="16"/>
    <n v="11.7"/>
    <n v="4.3"/>
    <n v="26.9"/>
    <x v="213"/>
    <n v="17550"/>
    <n v="18.77"/>
    <n v="16800"/>
    <n v="750"/>
    <n v="0.8"/>
    <n v="4515"/>
    <d v="2024-05-03T00:00:00"/>
  </r>
  <r>
    <s v="B01007"/>
    <s v="P013"/>
    <x v="1"/>
    <s v="Sold Out"/>
    <n v="21"/>
    <n v="21"/>
    <n v="0"/>
    <n v="0"/>
    <x v="163"/>
    <n v="31500"/>
    <n v="33.69"/>
    <n v="22050"/>
    <n v="9450"/>
    <n v="10.11"/>
    <n v="0"/>
    <d v="2024-05-11T00:00:00"/>
  </r>
  <r>
    <s v="B01008"/>
    <s v="P013"/>
    <x v="1"/>
    <s v="Sold Out"/>
    <n v="16"/>
    <n v="16"/>
    <n v="0"/>
    <n v="0"/>
    <x v="164"/>
    <n v="24000"/>
    <n v="25.67"/>
    <n v="16800"/>
    <n v="7200"/>
    <n v="7.7"/>
    <n v="0"/>
    <d v="2024-05-18T00:00:00"/>
  </r>
  <r>
    <s v="B01009"/>
    <s v="P013"/>
    <x v="1"/>
    <s v="Sold Out"/>
    <n v="18"/>
    <n v="18"/>
    <n v="0"/>
    <n v="0"/>
    <x v="216"/>
    <n v="27000"/>
    <n v="28.88"/>
    <n v="21600"/>
    <n v="5400"/>
    <n v="5.78"/>
    <n v="0"/>
    <d v="2024-05-24T00:00:00"/>
  </r>
  <r>
    <s v="B01010"/>
    <s v="P013"/>
    <x v="1"/>
    <s v="Partial Loss"/>
    <n v="20"/>
    <n v="13.3"/>
    <n v="6.7"/>
    <n v="33.5"/>
    <x v="547"/>
    <n v="19950"/>
    <n v="21.34"/>
    <n v="21000"/>
    <n v="-1050"/>
    <n v="-1.1200000000000001"/>
    <n v="7035"/>
    <d v="2024-05-30T00:00:00"/>
  </r>
  <r>
    <s v="B01011"/>
    <s v="P013"/>
    <x v="1"/>
    <s v="Partial Loss"/>
    <n v="19"/>
    <n v="11.82"/>
    <n v="7.18"/>
    <n v="37.799999999999997"/>
    <x v="169"/>
    <n v="17730"/>
    <n v="18.96"/>
    <n v="22800"/>
    <n v="-5070"/>
    <n v="-5.42"/>
    <n v="8616"/>
    <d v="2024-06-05T00:00:00"/>
  </r>
  <r>
    <s v="B01012"/>
    <s v="P013"/>
    <x v="1"/>
    <s v="Sold Out"/>
    <n v="17"/>
    <n v="17"/>
    <n v="0"/>
    <n v="0"/>
    <x v="105"/>
    <n v="25500"/>
    <n v="27.27"/>
    <n v="20400"/>
    <n v="5100"/>
    <n v="5.45"/>
    <n v="0"/>
    <d v="2024-06-11T00:00:00"/>
  </r>
  <r>
    <s v="B01013"/>
    <s v="P013"/>
    <x v="1"/>
    <s v="Partial Loss"/>
    <n v="16"/>
    <n v="12.05"/>
    <n v="3.95"/>
    <n v="24.7"/>
    <x v="548"/>
    <n v="18075"/>
    <n v="19.329999999999998"/>
    <n v="16800"/>
    <n v="1275"/>
    <n v="1.36"/>
    <n v="4147.5"/>
    <d v="2024-06-16T00:00:00"/>
  </r>
  <r>
    <s v="B01014"/>
    <s v="P013"/>
    <x v="1"/>
    <s v="Sold Out"/>
    <n v="19"/>
    <n v="19"/>
    <n v="0"/>
    <n v="0"/>
    <x v="549"/>
    <n v="28500"/>
    <n v="30.48"/>
    <n v="22800"/>
    <n v="5700"/>
    <n v="6.1"/>
    <n v="0"/>
    <d v="2024-06-22T00:00:00"/>
  </r>
  <r>
    <s v="B01015"/>
    <s v="P013"/>
    <x v="1"/>
    <s v="Sold Out"/>
    <n v="16"/>
    <n v="16"/>
    <n v="0"/>
    <n v="0"/>
    <x v="107"/>
    <n v="24000"/>
    <n v="25.67"/>
    <n v="19200"/>
    <n v="4800"/>
    <n v="5.13"/>
    <n v="0"/>
    <d v="2024-06-27T00:00:00"/>
  </r>
  <r>
    <s v="B01016"/>
    <s v="P013"/>
    <x v="1"/>
    <s v="Partial Loss"/>
    <n v="19"/>
    <n v="11.3"/>
    <n v="7.7"/>
    <n v="40.5"/>
    <x v="550"/>
    <n v="16950"/>
    <n v="18.13"/>
    <n v="19950"/>
    <n v="-3000"/>
    <n v="-3.21"/>
    <n v="8085"/>
    <d v="2024-07-03T00:00:00"/>
  </r>
  <r>
    <s v="B01017"/>
    <s v="P013"/>
    <x v="1"/>
    <s v="Partial Loss"/>
    <n v="15"/>
    <n v="10.81"/>
    <n v="4.1900000000000004"/>
    <n v="27.9"/>
    <x v="425"/>
    <n v="16215"/>
    <n v="17.34"/>
    <n v="15750"/>
    <n v="465"/>
    <n v="0.5"/>
    <n v="4399.5"/>
    <d v="2024-07-10T00:00:00"/>
  </r>
  <r>
    <s v="B01018"/>
    <s v="P013"/>
    <x v="1"/>
    <s v="Sold Out"/>
    <n v="18"/>
    <n v="18"/>
    <n v="0"/>
    <n v="0"/>
    <x v="551"/>
    <n v="27000"/>
    <n v="28.88"/>
    <n v="18900"/>
    <n v="8100"/>
    <n v="8.66"/>
    <n v="0"/>
    <d v="2024-07-18T00:00:00"/>
  </r>
  <r>
    <s v="B01019"/>
    <s v="P013"/>
    <x v="1"/>
    <s v="Partial Loss"/>
    <n v="17"/>
    <n v="13.72"/>
    <n v="3.28"/>
    <n v="19.3"/>
    <x v="324"/>
    <n v="20580"/>
    <n v="22.01"/>
    <n v="17850"/>
    <n v="2730"/>
    <n v="2.92"/>
    <n v="3444"/>
    <d v="2024-07-23T00:00:00"/>
  </r>
  <r>
    <s v="B01020"/>
    <s v="P013"/>
    <x v="1"/>
    <s v="Partial Loss"/>
    <n v="20"/>
    <n v="12.66"/>
    <n v="7.34"/>
    <n v="36.700000000000003"/>
    <x v="221"/>
    <n v="18990"/>
    <n v="20.309999999999999"/>
    <n v="21000"/>
    <n v="-2010"/>
    <n v="-2.15"/>
    <n v="7707"/>
    <d v="2024-07-30T00:00:00"/>
  </r>
  <r>
    <s v="B01021"/>
    <s v="P013"/>
    <x v="1"/>
    <s v="Partial Loss"/>
    <n v="16"/>
    <n v="13.89"/>
    <n v="2.11"/>
    <n v="13.2"/>
    <x v="552"/>
    <n v="20835"/>
    <n v="22.28"/>
    <n v="16800"/>
    <n v="4035"/>
    <n v="4.32"/>
    <n v="2215.5"/>
    <d v="2024-08-04T00:00:00"/>
  </r>
  <r>
    <s v="B01022"/>
    <s v="P013"/>
    <x v="1"/>
    <s v="Sold Out"/>
    <n v="16"/>
    <n v="16"/>
    <n v="0"/>
    <n v="0"/>
    <x v="218"/>
    <n v="24000"/>
    <n v="25.67"/>
    <n v="16800"/>
    <n v="7200"/>
    <n v="7.7"/>
    <n v="0"/>
    <d v="2024-08-11T00:00:00"/>
  </r>
  <r>
    <s v="B01023"/>
    <s v="P013"/>
    <x v="1"/>
    <s v="Partial Loss"/>
    <n v="16"/>
    <n v="11.01"/>
    <n v="4.99"/>
    <n v="31.2"/>
    <x v="517"/>
    <n v="16515"/>
    <n v="17.66"/>
    <n v="16800"/>
    <n v="-285"/>
    <n v="-0.3"/>
    <n v="5239.5"/>
    <d v="2024-08-17T00:00:00"/>
  </r>
  <r>
    <s v="B01024"/>
    <s v="P013"/>
    <x v="1"/>
    <s v="Sold Out"/>
    <n v="17"/>
    <n v="17"/>
    <n v="0"/>
    <n v="0"/>
    <x v="553"/>
    <n v="25500"/>
    <n v="27.27"/>
    <n v="17850"/>
    <n v="7650"/>
    <n v="8.18"/>
    <n v="0"/>
    <d v="2024-08-24T00:00:00"/>
  </r>
  <r>
    <s v="B01025"/>
    <s v="P013"/>
    <x v="1"/>
    <s v="Partial Loss"/>
    <n v="19"/>
    <n v="10.41"/>
    <n v="8.59"/>
    <n v="45.2"/>
    <x v="554"/>
    <n v="15615"/>
    <n v="16.7"/>
    <n v="19950"/>
    <n v="-4335"/>
    <n v="-4.6399999999999997"/>
    <n v="9019.5"/>
    <d v="2024-08-29T00:00:00"/>
  </r>
  <r>
    <s v="B01026"/>
    <s v="P013"/>
    <x v="1"/>
    <s v="Partial Loss"/>
    <n v="24"/>
    <n v="18.600000000000001"/>
    <n v="5.4"/>
    <n v="22.5"/>
    <x v="42"/>
    <n v="27900"/>
    <n v="29.84"/>
    <n v="25200"/>
    <n v="2700"/>
    <n v="2.89"/>
    <n v="5670"/>
    <d v="2024-09-05T00:00:00"/>
  </r>
  <r>
    <s v="B01027"/>
    <s v="P013"/>
    <x v="1"/>
    <s v="Sold Out"/>
    <n v="25"/>
    <n v="25"/>
    <n v="0"/>
    <n v="0"/>
    <x v="41"/>
    <n v="37500"/>
    <n v="40.11"/>
    <n v="26250"/>
    <n v="11250"/>
    <n v="12.03"/>
    <n v="0"/>
    <d v="2024-09-10T00:00:00"/>
  </r>
  <r>
    <s v="B01028"/>
    <s v="P013"/>
    <x v="1"/>
    <s v="Partial Loss"/>
    <n v="26"/>
    <n v="18.54"/>
    <n v="7.46"/>
    <n v="28.7"/>
    <x v="367"/>
    <n v="27810"/>
    <n v="29.74"/>
    <n v="31200"/>
    <n v="-3390"/>
    <n v="-3.63"/>
    <n v="8952"/>
    <d v="2024-09-16T00:00:00"/>
  </r>
  <r>
    <s v="B01029"/>
    <s v="P013"/>
    <x v="1"/>
    <s v="Sold Out"/>
    <n v="26"/>
    <n v="26"/>
    <n v="0"/>
    <n v="0"/>
    <x v="555"/>
    <n v="39000"/>
    <n v="41.71"/>
    <n v="27300"/>
    <n v="11700"/>
    <n v="12.51"/>
    <n v="0"/>
    <d v="2024-09-22T00:00:00"/>
  </r>
  <r>
    <s v="B01030"/>
    <s v="P013"/>
    <x v="1"/>
    <s v="Partial Loss"/>
    <n v="20"/>
    <n v="12.46"/>
    <n v="7.54"/>
    <n v="37.700000000000003"/>
    <x v="461"/>
    <n v="18690"/>
    <n v="19.989999999999998"/>
    <n v="21000"/>
    <n v="-2310"/>
    <n v="-2.4700000000000002"/>
    <n v="7917"/>
    <d v="2024-09-30T00:00:00"/>
  </r>
  <r>
    <s v="B01031"/>
    <s v="P013"/>
    <x v="1"/>
    <s v="Sold Out"/>
    <n v="49"/>
    <n v="49"/>
    <n v="0"/>
    <n v="0"/>
    <x v="427"/>
    <n v="73500"/>
    <n v="78.61"/>
    <n v="51450"/>
    <n v="22050"/>
    <n v="23.58"/>
    <n v="0"/>
    <d v="2024-10-07T00:00:00"/>
  </r>
  <r>
    <s v="B01032"/>
    <s v="P013"/>
    <x v="1"/>
    <s v="Sold Out"/>
    <n v="42"/>
    <n v="42"/>
    <n v="0"/>
    <n v="0"/>
    <x v="225"/>
    <n v="63000"/>
    <n v="67.38"/>
    <n v="44100"/>
    <n v="18900"/>
    <n v="20.21"/>
    <n v="0"/>
    <d v="2024-10-14T00:00:00"/>
  </r>
  <r>
    <s v="B01033"/>
    <s v="P013"/>
    <x v="1"/>
    <s v="Sold Out"/>
    <n v="41"/>
    <n v="41"/>
    <n v="0"/>
    <n v="0"/>
    <x v="327"/>
    <n v="61500"/>
    <n v="65.78"/>
    <n v="43050"/>
    <n v="18450"/>
    <n v="19.73"/>
    <n v="0"/>
    <d v="2024-10-22T00:00:00"/>
  </r>
  <r>
    <s v="B01034"/>
    <s v="P013"/>
    <x v="1"/>
    <s v="Sold Out"/>
    <n v="54"/>
    <n v="54"/>
    <n v="0"/>
    <n v="0"/>
    <x v="113"/>
    <n v="81000"/>
    <n v="86.63"/>
    <n v="56700"/>
    <n v="24300"/>
    <n v="25.99"/>
    <n v="0"/>
    <d v="2024-10-28T00:00:00"/>
  </r>
  <r>
    <s v="B01035"/>
    <s v="P013"/>
    <x v="1"/>
    <s v="Partial Loss"/>
    <n v="54"/>
    <n v="43.58"/>
    <n v="10.42"/>
    <n v="19.3"/>
    <x v="177"/>
    <n v="65370"/>
    <n v="69.91"/>
    <n v="56700"/>
    <n v="8670"/>
    <n v="9.27"/>
    <n v="10941"/>
    <d v="2024-11-03T00:00:00"/>
  </r>
  <r>
    <s v="B01036"/>
    <s v="P013"/>
    <x v="1"/>
    <s v="Sold Out"/>
    <n v="52"/>
    <n v="52"/>
    <n v="0"/>
    <n v="0"/>
    <x v="179"/>
    <n v="78000"/>
    <n v="83.42"/>
    <n v="54600"/>
    <n v="23400"/>
    <n v="25.03"/>
    <n v="0"/>
    <d v="2024-11-09T00:00:00"/>
  </r>
  <r>
    <s v="B01037"/>
    <s v="P013"/>
    <x v="1"/>
    <s v="Sold Out"/>
    <n v="48"/>
    <n v="48"/>
    <n v="0"/>
    <n v="0"/>
    <x v="180"/>
    <n v="72000"/>
    <n v="77.010000000000005"/>
    <n v="57600"/>
    <n v="14400"/>
    <n v="15.4"/>
    <n v="0"/>
    <d v="2024-11-15T00:00:00"/>
  </r>
  <r>
    <s v="B01038"/>
    <s v="P013"/>
    <x v="1"/>
    <s v="Partial Loss"/>
    <n v="52"/>
    <n v="42.74"/>
    <n v="9.26"/>
    <n v="17.8"/>
    <x v="402"/>
    <n v="64110"/>
    <n v="68.569999999999993"/>
    <n v="62400"/>
    <n v="1710"/>
    <n v="1.83"/>
    <n v="11112"/>
    <d v="2024-11-21T00:00:00"/>
  </r>
  <r>
    <s v="B01039"/>
    <s v="P013"/>
    <x v="1"/>
    <s v="Sold Out"/>
    <n v="44"/>
    <n v="44"/>
    <n v="0"/>
    <n v="0"/>
    <x v="556"/>
    <n v="66000"/>
    <n v="70.59"/>
    <n v="46200"/>
    <n v="19800"/>
    <n v="21.18"/>
    <n v="0"/>
    <d v="2024-11-27T00:00:00"/>
  </r>
  <r>
    <s v="B01040"/>
    <s v="P013"/>
    <x v="1"/>
    <s v="Sold Out"/>
    <n v="61"/>
    <n v="61"/>
    <n v="0"/>
    <n v="0"/>
    <x v="557"/>
    <n v="91500"/>
    <n v="97.86"/>
    <n v="64050"/>
    <n v="27450"/>
    <n v="29.36"/>
    <n v="0"/>
    <d v="2024-12-03T00:00:00"/>
  </r>
  <r>
    <s v="B01041"/>
    <s v="P013"/>
    <x v="1"/>
    <s v="Partial Loss"/>
    <n v="66"/>
    <n v="49.5"/>
    <n v="16.5"/>
    <n v="25"/>
    <x v="56"/>
    <n v="74250"/>
    <n v="79.41"/>
    <n v="69300"/>
    <n v="4950"/>
    <n v="5.29"/>
    <n v="17325"/>
    <d v="2024-12-10T00:00:00"/>
  </r>
  <r>
    <s v="B01042"/>
    <s v="P013"/>
    <x v="1"/>
    <s v="Partial Loss"/>
    <n v="68"/>
    <n v="39.64"/>
    <n v="28.36"/>
    <n v="41.7"/>
    <x v="331"/>
    <n v="59460"/>
    <n v="63.59"/>
    <n v="71400"/>
    <n v="-11940"/>
    <n v="-12.77"/>
    <n v="29778"/>
    <d v="2024-12-16T00:00:00"/>
  </r>
  <r>
    <s v="B01043"/>
    <s v="P013"/>
    <x v="1"/>
    <s v="Sold Out"/>
    <n v="60"/>
    <n v="60"/>
    <n v="0"/>
    <n v="0"/>
    <x v="432"/>
    <n v="90000"/>
    <n v="96.26"/>
    <n v="63000"/>
    <n v="27000"/>
    <n v="28.88"/>
    <n v="0"/>
    <d v="2024-12-21T00:00:00"/>
  </r>
  <r>
    <s v="B01044"/>
    <s v="P013"/>
    <x v="1"/>
    <s v="Sold Out"/>
    <n v="66"/>
    <n v="66"/>
    <n v="0"/>
    <n v="0"/>
    <x v="183"/>
    <n v="99000"/>
    <n v="105.88"/>
    <n v="69300"/>
    <n v="29700"/>
    <n v="31.76"/>
    <n v="0"/>
    <d v="2024-12-27T00:00:00"/>
  </r>
  <r>
    <s v="B01045"/>
    <s v="P013"/>
    <x v="1"/>
    <s v="Sold Out"/>
    <n v="51"/>
    <n v="51"/>
    <n v="0"/>
    <n v="0"/>
    <x v="282"/>
    <n v="76500"/>
    <n v="81.819999999999993"/>
    <n v="61200"/>
    <n v="15300"/>
    <n v="16.36"/>
    <n v="0"/>
    <d v="2025-01-03T00:00:00"/>
  </r>
  <r>
    <s v="B01046"/>
    <s v="P013"/>
    <x v="1"/>
    <s v="Sold Out"/>
    <n v="51"/>
    <n v="51"/>
    <n v="0"/>
    <n v="0"/>
    <x v="558"/>
    <n v="76500"/>
    <n v="81.819999999999993"/>
    <n v="53550"/>
    <n v="22950"/>
    <n v="24.55"/>
    <n v="0"/>
    <d v="2025-01-10T00:00:00"/>
  </r>
  <r>
    <s v="B01047"/>
    <s v="P013"/>
    <x v="1"/>
    <s v="Partial Loss"/>
    <n v="44"/>
    <n v="34.799999999999997"/>
    <n v="9.1999999999999993"/>
    <n v="20.9"/>
    <x v="332"/>
    <n v="52200"/>
    <n v="55.83"/>
    <n v="46200"/>
    <n v="6000"/>
    <n v="6.42"/>
    <n v="9660"/>
    <d v="2025-01-17T00:00:00"/>
  </r>
  <r>
    <s v="B01048"/>
    <s v="P013"/>
    <x v="1"/>
    <s v="Sold Out"/>
    <n v="50"/>
    <n v="50"/>
    <n v="0"/>
    <n v="0"/>
    <x v="559"/>
    <n v="75000"/>
    <n v="80.209999999999994"/>
    <n v="52500"/>
    <n v="22500"/>
    <n v="24.06"/>
    <n v="0"/>
    <d v="2025-01-22T00:00:00"/>
  </r>
  <r>
    <s v="B01049"/>
    <s v="P013"/>
    <x v="1"/>
    <s v="Partial Loss"/>
    <n v="48"/>
    <n v="32.4"/>
    <n v="15.6"/>
    <n v="32.5"/>
    <x v="128"/>
    <n v="48600"/>
    <n v="51.98"/>
    <n v="50400"/>
    <n v="-1800"/>
    <n v="-1.93"/>
    <n v="16380"/>
    <d v="2025-01-29T00:00:00"/>
  </r>
  <r>
    <s v="B01050"/>
    <s v="P013"/>
    <x v="1"/>
    <s v="Sold Out"/>
    <n v="52"/>
    <n v="52"/>
    <n v="0"/>
    <n v="0"/>
    <x v="560"/>
    <n v="78000"/>
    <n v="83.42"/>
    <n v="54600"/>
    <n v="23400"/>
    <n v="25.03"/>
    <n v="0"/>
    <d v="2025-02-04T00:00:00"/>
  </r>
  <r>
    <s v="B01051"/>
    <s v="P013"/>
    <x v="1"/>
    <s v="Sold Out"/>
    <n v="46"/>
    <n v="46"/>
    <n v="0"/>
    <n v="0"/>
    <x v="232"/>
    <n v="69000"/>
    <n v="73.8"/>
    <n v="48300"/>
    <n v="20700"/>
    <n v="22.14"/>
    <n v="0"/>
    <d v="2025-02-12T00:00:00"/>
  </r>
  <r>
    <s v="B01052"/>
    <s v="P013"/>
    <x v="1"/>
    <s v="Partial Loss"/>
    <n v="53"/>
    <n v="39.64"/>
    <n v="13.36"/>
    <n v="25.2"/>
    <x v="130"/>
    <n v="59460"/>
    <n v="63.59"/>
    <n v="55650"/>
    <n v="3810"/>
    <n v="4.07"/>
    <n v="14028"/>
    <d v="2025-02-18T00:00:00"/>
  </r>
  <r>
    <s v="B01053"/>
    <s v="P013"/>
    <x v="1"/>
    <s v="Sold Out"/>
    <n v="47"/>
    <n v="47"/>
    <n v="0"/>
    <n v="0"/>
    <x v="465"/>
    <n v="70500"/>
    <n v="75.400000000000006"/>
    <n v="49350"/>
    <n v="21150"/>
    <n v="22.62"/>
    <n v="0"/>
    <d v="2025-02-23T00:00:00"/>
  </r>
  <r>
    <s v="B01054"/>
    <s v="P013"/>
    <x v="1"/>
    <s v="Sold Out"/>
    <n v="54"/>
    <n v="54"/>
    <n v="0"/>
    <n v="0"/>
    <x v="286"/>
    <n v="81000"/>
    <n v="86.63"/>
    <n v="64800"/>
    <n v="16200"/>
    <n v="17.329999999999998"/>
    <n v="0"/>
    <d v="2025-03-02T00:00:00"/>
  </r>
  <r>
    <s v="B01055"/>
    <s v="P013"/>
    <x v="1"/>
    <s v="Sold Out"/>
    <n v="56"/>
    <n v="56"/>
    <n v="0"/>
    <n v="0"/>
    <x v="287"/>
    <n v="84000"/>
    <n v="89.84"/>
    <n v="67200"/>
    <n v="16800"/>
    <n v="17.97"/>
    <n v="0"/>
    <d v="2025-03-08T00:00:00"/>
  </r>
  <r>
    <s v="B01056"/>
    <s v="P013"/>
    <x v="1"/>
    <s v="Sold Out"/>
    <n v="54"/>
    <n v="54"/>
    <n v="0"/>
    <n v="0"/>
    <x v="236"/>
    <n v="81000"/>
    <n v="86.63"/>
    <n v="56700"/>
    <n v="24300"/>
    <n v="25.99"/>
    <n v="0"/>
    <d v="2025-03-15T00:00:00"/>
  </r>
  <r>
    <s v="B01057"/>
    <s v="P013"/>
    <x v="1"/>
    <s v="Partial Loss"/>
    <n v="58"/>
    <n v="41.47"/>
    <n v="16.53"/>
    <n v="28.5"/>
    <x v="190"/>
    <n v="62205"/>
    <n v="66.53"/>
    <n v="60900"/>
    <n v="1305"/>
    <n v="1.4"/>
    <n v="17356.5"/>
    <d v="2025-03-22T00:00:00"/>
  </r>
  <r>
    <s v="B01058"/>
    <s v="P013"/>
    <x v="1"/>
    <s v="Sold Out"/>
    <n v="49"/>
    <n v="49"/>
    <n v="0"/>
    <n v="0"/>
    <x v="435"/>
    <n v="73500"/>
    <n v="78.61"/>
    <n v="51450"/>
    <n v="22050"/>
    <n v="23.58"/>
    <n v="0"/>
    <d v="2025-03-30T00:00:00"/>
  </r>
  <r>
    <s v="B01059"/>
    <s v="P013"/>
    <x v="1"/>
    <s v="Sold Out"/>
    <n v="18"/>
    <n v="18"/>
    <n v="0"/>
    <n v="0"/>
    <x v="438"/>
    <n v="27000"/>
    <n v="28.88"/>
    <n v="18900"/>
    <n v="8100"/>
    <n v="8.66"/>
    <n v="0"/>
    <d v="2025-04-06T00:00:00"/>
  </r>
  <r>
    <s v="B01060"/>
    <s v="P013"/>
    <x v="1"/>
    <s v="Sold Out"/>
    <n v="18"/>
    <n v="18"/>
    <n v="0"/>
    <n v="0"/>
    <x v="467"/>
    <n v="27000"/>
    <n v="28.88"/>
    <n v="18900"/>
    <n v="8100"/>
    <n v="8.66"/>
    <n v="0"/>
    <d v="2025-04-14T00:00:00"/>
  </r>
  <r>
    <s v="B01061"/>
    <s v="P013"/>
    <x v="1"/>
    <s v="Sold Out"/>
    <n v="19"/>
    <n v="19"/>
    <n v="0"/>
    <n v="0"/>
    <x v="291"/>
    <n v="28500"/>
    <n v="30.48"/>
    <n v="19950"/>
    <n v="8550"/>
    <n v="9.14"/>
    <n v="0"/>
    <d v="2025-04-21T00:00:00"/>
  </r>
  <r>
    <s v="B01062"/>
    <s v="P013"/>
    <x v="1"/>
    <s v="Partial Loss"/>
    <n v="19"/>
    <n v="12.29"/>
    <n v="6.71"/>
    <n v="35.299999999999997"/>
    <x v="561"/>
    <n v="18435"/>
    <n v="19.72"/>
    <n v="19950"/>
    <n v="-1515"/>
    <n v="-1.62"/>
    <n v="7045.5"/>
    <d v="2025-04-28T00:00:00"/>
  </r>
  <r>
    <s v="B01063"/>
    <s v="P013"/>
    <x v="1"/>
    <s v="Sold Out"/>
    <n v="21"/>
    <n v="21"/>
    <n v="0"/>
    <n v="0"/>
    <x v="66"/>
    <n v="31500"/>
    <n v="33.69"/>
    <n v="22050"/>
    <n v="9450"/>
    <n v="10.11"/>
    <n v="0"/>
    <d v="2025-05-06T00:00:00"/>
  </r>
  <r>
    <s v="B01064"/>
    <s v="P013"/>
    <x v="1"/>
    <s v="Sold Out"/>
    <n v="17"/>
    <n v="17"/>
    <n v="0"/>
    <n v="0"/>
    <x v="137"/>
    <n v="25500"/>
    <n v="27.27"/>
    <n v="17850"/>
    <n v="7650"/>
    <n v="8.18"/>
    <n v="0"/>
    <d v="2025-05-13T00:00:00"/>
  </r>
  <r>
    <s v="B01065"/>
    <s v="P013"/>
    <x v="1"/>
    <s v="Partial Loss"/>
    <n v="22"/>
    <n v="19.510000000000002"/>
    <n v="2.4900000000000002"/>
    <n v="11.3"/>
    <x v="69"/>
    <n v="29265"/>
    <n v="31.3"/>
    <n v="23100"/>
    <n v="6165"/>
    <n v="6.59"/>
    <n v="2614.5"/>
    <d v="2025-05-19T00:00:00"/>
  </r>
  <r>
    <s v="B01066"/>
    <s v="P013"/>
    <x v="1"/>
    <s v="Partial Loss"/>
    <n v="22"/>
    <n v="11.4"/>
    <n v="10.6"/>
    <n v="48.2"/>
    <x v="295"/>
    <n v="17100"/>
    <n v="18.29"/>
    <n v="23100"/>
    <n v="-6000"/>
    <n v="-6.42"/>
    <n v="11130"/>
    <d v="2025-05-25T00:00:00"/>
  </r>
  <r>
    <s v="B01067"/>
    <s v="P013"/>
    <x v="1"/>
    <s v="Sold Out"/>
    <n v="21"/>
    <n v="21"/>
    <n v="0"/>
    <n v="0"/>
    <x v="562"/>
    <n v="31500"/>
    <n v="33.69"/>
    <n v="25200"/>
    <n v="6300"/>
    <n v="6.74"/>
    <n v="0"/>
    <d v="2025-05-31T00:00:00"/>
  </r>
  <r>
    <s v="B01068"/>
    <s v="P013"/>
    <x v="1"/>
    <s v="Sold Out"/>
    <n v="20"/>
    <n v="20"/>
    <n v="0"/>
    <n v="0"/>
    <x v="295"/>
    <n v="30000"/>
    <n v="32.090000000000003"/>
    <n v="24000"/>
    <n v="6000"/>
    <n v="6.42"/>
    <n v="0"/>
    <d v="2025-06-07T00:00:00"/>
  </r>
  <r>
    <s v="B01069"/>
    <s v="P013"/>
    <x v="1"/>
    <s v="Partial Loss"/>
    <n v="19"/>
    <n v="13.72"/>
    <n v="5.28"/>
    <n v="27.8"/>
    <x v="293"/>
    <n v="20580"/>
    <n v="22.01"/>
    <n v="19950"/>
    <n v="630"/>
    <n v="0.67"/>
    <n v="5544"/>
    <d v="2025-06-13T00:00:00"/>
  </r>
  <r>
    <s v="B01070"/>
    <s v="P013"/>
    <x v="1"/>
    <s v="Sold Out"/>
    <n v="22"/>
    <n v="22"/>
    <n v="0"/>
    <n v="0"/>
    <x v="292"/>
    <n v="33000"/>
    <n v="35.29"/>
    <n v="23100"/>
    <n v="9900"/>
    <n v="10.59"/>
    <n v="0"/>
    <d v="2025-06-18T00:00:00"/>
  </r>
  <r>
    <s v="B01071"/>
    <s v="P013"/>
    <x v="1"/>
    <s v="Partial Loss"/>
    <n v="19"/>
    <n v="15.28"/>
    <n v="3.72"/>
    <n v="19.600000000000001"/>
    <x v="563"/>
    <n v="22920"/>
    <n v="24.51"/>
    <n v="19950"/>
    <n v="2970"/>
    <n v="3.18"/>
    <n v="3906"/>
    <d v="2025-06-24T00:00:00"/>
  </r>
  <r>
    <s v="B01072"/>
    <s v="P014"/>
    <x v="1"/>
    <s v="Partial Loss"/>
    <n v="18"/>
    <n v="12.91"/>
    <n v="5.09"/>
    <n v="28.3"/>
    <x v="564"/>
    <n v="19365"/>
    <n v="20.71"/>
    <n v="20700"/>
    <n v="-1335"/>
    <n v="-1.43"/>
    <n v="5853.5"/>
    <d v="2023-07-02T00:00:00"/>
  </r>
  <r>
    <s v="B01073"/>
    <s v="P014"/>
    <x v="1"/>
    <s v="Sold Out"/>
    <n v="20"/>
    <n v="20"/>
    <n v="0"/>
    <n v="0"/>
    <x v="565"/>
    <n v="30000"/>
    <n v="32.090000000000003"/>
    <n v="23000"/>
    <n v="7000"/>
    <n v="7.49"/>
    <n v="0"/>
    <d v="2023-07-09T00:00:00"/>
  </r>
  <r>
    <s v="B01074"/>
    <s v="P014"/>
    <x v="1"/>
    <s v="Partial Loss"/>
    <n v="18"/>
    <n v="15.98"/>
    <n v="2.02"/>
    <n v="11.2"/>
    <x v="419"/>
    <n v="23970"/>
    <n v="25.64"/>
    <n v="20700"/>
    <n v="3270"/>
    <n v="3.5"/>
    <n v="2323"/>
    <d v="2023-07-17T00:00:00"/>
  </r>
  <r>
    <s v="B01075"/>
    <s v="P014"/>
    <x v="1"/>
    <s v="Partial Loss"/>
    <n v="17"/>
    <n v="12.77"/>
    <n v="4.2300000000000004"/>
    <n v="24.9"/>
    <x v="501"/>
    <n v="19155"/>
    <n v="20.49"/>
    <n v="19550"/>
    <n v="-395"/>
    <n v="-0.42"/>
    <n v="4864.5000000000009"/>
    <d v="2023-07-23T00:00:00"/>
  </r>
  <r>
    <s v="B01076"/>
    <s v="P014"/>
    <x v="1"/>
    <s v="Sold Out"/>
    <n v="19"/>
    <n v="19"/>
    <n v="0"/>
    <n v="0"/>
    <x v="474"/>
    <n v="28500"/>
    <n v="30.48"/>
    <n v="21850"/>
    <n v="6650"/>
    <n v="7.11"/>
    <n v="0"/>
    <d v="2023-07-29T00:00:00"/>
  </r>
  <r>
    <s v="B01077"/>
    <s v="P014"/>
    <x v="1"/>
    <s v="Sold Out"/>
    <n v="16"/>
    <n v="16"/>
    <n v="0"/>
    <n v="0"/>
    <x v="501"/>
    <n v="24000"/>
    <n v="25.67"/>
    <n v="18400"/>
    <n v="5600"/>
    <n v="5.99"/>
    <n v="0"/>
    <d v="2023-08-04T00:00:00"/>
  </r>
  <r>
    <s v="B01078"/>
    <s v="P014"/>
    <x v="1"/>
    <s v="Partial Loss"/>
    <n v="16"/>
    <n v="8.3699999999999992"/>
    <n v="7.63"/>
    <n v="47.7"/>
    <x v="502"/>
    <n v="12555"/>
    <n v="13.43"/>
    <n v="18400"/>
    <n v="-5845"/>
    <n v="-6.25"/>
    <n v="8774.5"/>
    <d v="2023-08-10T00:00:00"/>
  </r>
  <r>
    <s v="B01079"/>
    <s v="P014"/>
    <x v="1"/>
    <s v="Partial Loss"/>
    <n v="16"/>
    <n v="11.94"/>
    <n v="4.0599999999999996"/>
    <n v="25.4"/>
    <x v="566"/>
    <n v="17910"/>
    <n v="19.16"/>
    <n v="18400"/>
    <n v="-490"/>
    <n v="-0.52"/>
    <n v="4669"/>
    <d v="2023-08-16T00:00:00"/>
  </r>
  <r>
    <s v="B01080"/>
    <s v="P014"/>
    <x v="1"/>
    <s v="Sold Out"/>
    <n v="18"/>
    <n v="18"/>
    <n v="0"/>
    <n v="0"/>
    <x v="502"/>
    <n v="27000"/>
    <n v="28.88"/>
    <n v="20700"/>
    <n v="6300"/>
    <n v="6.74"/>
    <n v="0"/>
    <d v="2023-08-23T00:00:00"/>
  </r>
  <r>
    <s v="B01081"/>
    <s v="P014"/>
    <x v="1"/>
    <s v="Sold Out"/>
    <n v="19"/>
    <n v="19"/>
    <n v="0"/>
    <n v="0"/>
    <x v="1"/>
    <n v="28500"/>
    <n v="30.48"/>
    <n v="21850"/>
    <n v="6650"/>
    <n v="7.11"/>
    <n v="0"/>
    <d v="2023-08-29T00:00:00"/>
  </r>
  <r>
    <s v="B01082"/>
    <s v="P014"/>
    <x v="1"/>
    <s v="Partial Loss"/>
    <n v="20"/>
    <n v="18.48"/>
    <n v="1.52"/>
    <n v="7.6"/>
    <x v="84"/>
    <n v="27720"/>
    <n v="29.65"/>
    <n v="23000"/>
    <n v="4720"/>
    <n v="5.05"/>
    <n v="1748"/>
    <d v="2023-09-04T00:00:00"/>
  </r>
  <r>
    <s v="B01083"/>
    <s v="P014"/>
    <x v="1"/>
    <s v="Partial Loss"/>
    <n v="23"/>
    <n v="16.559999999999999"/>
    <n v="6.44"/>
    <n v="28"/>
    <x v="444"/>
    <n v="24840"/>
    <n v="26.57"/>
    <n v="26450"/>
    <n v="-1610"/>
    <n v="-1.72"/>
    <n v="7406"/>
    <d v="2023-09-11T00:00:00"/>
  </r>
  <r>
    <s v="B01084"/>
    <s v="P014"/>
    <x v="1"/>
    <s v="Sold Out"/>
    <n v="24"/>
    <n v="24"/>
    <n v="0"/>
    <n v="0"/>
    <x v="84"/>
    <n v="36000"/>
    <n v="38.5"/>
    <n v="26400"/>
    <n v="9600"/>
    <n v="10.27"/>
    <n v="0"/>
    <d v="2023-09-18T00:00:00"/>
  </r>
  <r>
    <s v="B01085"/>
    <s v="P014"/>
    <x v="1"/>
    <s v="Sold Out"/>
    <n v="23"/>
    <n v="23"/>
    <n v="0"/>
    <n v="0"/>
    <x v="567"/>
    <n v="34500"/>
    <n v="36.9"/>
    <n v="26450"/>
    <n v="8050"/>
    <n v="8.61"/>
    <n v="0"/>
    <d v="2023-09-24T00:00:00"/>
  </r>
  <r>
    <s v="B01086"/>
    <s v="P014"/>
    <x v="1"/>
    <s v="Partial Loss"/>
    <n v="19"/>
    <n v="15.41"/>
    <n v="3.59"/>
    <n v="18.899999999999999"/>
    <x v="351"/>
    <n v="23115"/>
    <n v="24.72"/>
    <n v="21850"/>
    <n v="1265"/>
    <n v="1.35"/>
    <n v="4128.5"/>
    <d v="2023-09-30T00:00:00"/>
  </r>
  <r>
    <s v="B01087"/>
    <s v="P014"/>
    <x v="1"/>
    <s v="Sold Out"/>
    <n v="47"/>
    <n v="47"/>
    <n v="0"/>
    <n v="0"/>
    <x v="568"/>
    <n v="70500"/>
    <n v="75.400000000000006"/>
    <n v="54050"/>
    <n v="16450"/>
    <n v="17.59"/>
    <n v="0"/>
    <d v="2023-10-07T00:00:00"/>
  </r>
  <r>
    <s v="B01088"/>
    <s v="P014"/>
    <x v="1"/>
    <s v="Sold Out"/>
    <n v="51"/>
    <n v="51"/>
    <n v="0"/>
    <n v="0"/>
    <x v="351"/>
    <n v="76500"/>
    <n v="81.819999999999993"/>
    <n v="58650"/>
    <n v="17850"/>
    <n v="19.09"/>
    <n v="0"/>
    <d v="2023-10-13T00:00:00"/>
  </r>
  <r>
    <s v="B01089"/>
    <s v="P014"/>
    <x v="1"/>
    <s v="Partial Loss"/>
    <n v="55"/>
    <n v="42.35"/>
    <n v="12.65"/>
    <n v="23"/>
    <x v="254"/>
    <n v="63525"/>
    <n v="67.94"/>
    <n v="63250"/>
    <n v="275"/>
    <n v="0.28999999999999998"/>
    <n v="14547.5"/>
    <d v="2023-10-21T00:00:00"/>
  </r>
  <r>
    <s v="B01090"/>
    <s v="P014"/>
    <x v="1"/>
    <s v="Sold Out"/>
    <n v="45"/>
    <n v="45"/>
    <n v="0"/>
    <n v="0"/>
    <x v="569"/>
    <n v="67500"/>
    <n v="72.19"/>
    <n v="51750"/>
    <n v="15750"/>
    <n v="16.84"/>
    <n v="0"/>
    <d v="2023-10-26T00:00:00"/>
  </r>
  <r>
    <s v="B01091"/>
    <s v="P014"/>
    <x v="1"/>
    <s v="Sold Out"/>
    <n v="44"/>
    <n v="44"/>
    <n v="0"/>
    <n v="0"/>
    <x v="349"/>
    <n v="66000"/>
    <n v="70.59"/>
    <n v="50600"/>
    <n v="15400"/>
    <n v="16.47"/>
    <n v="0"/>
    <d v="2023-10-31T00:00:00"/>
  </r>
  <r>
    <s v="B01092"/>
    <s v="P014"/>
    <x v="1"/>
    <s v="Sold Out"/>
    <n v="55"/>
    <n v="55"/>
    <n v="0"/>
    <n v="0"/>
    <x v="570"/>
    <n v="82500"/>
    <n v="88.24"/>
    <n v="63250"/>
    <n v="19250"/>
    <n v="20.59"/>
    <n v="0"/>
    <d v="2023-11-06T00:00:00"/>
  </r>
  <r>
    <s v="B01093"/>
    <s v="P014"/>
    <x v="1"/>
    <s v="Partial Loss"/>
    <n v="48"/>
    <n v="39.79"/>
    <n v="8.2100000000000009"/>
    <n v="17.100000000000001"/>
    <x v="571"/>
    <n v="59685"/>
    <n v="63.83"/>
    <n v="55200"/>
    <n v="4485"/>
    <n v="4.8"/>
    <n v="9441.5000000000018"/>
    <d v="2023-11-12T00:00:00"/>
  </r>
  <r>
    <s v="B01094"/>
    <s v="P014"/>
    <x v="1"/>
    <s v="Sold Out"/>
    <n v="53"/>
    <n v="53"/>
    <n v="0"/>
    <n v="0"/>
    <x v="152"/>
    <n v="79500"/>
    <n v="85.03"/>
    <n v="60950"/>
    <n v="18550"/>
    <n v="19.84"/>
    <n v="0"/>
    <d v="2023-11-17T00:00:00"/>
  </r>
  <r>
    <s v="B01095"/>
    <s v="P014"/>
    <x v="1"/>
    <s v="Sold Out"/>
    <n v="51"/>
    <n v="51"/>
    <n v="0"/>
    <n v="0"/>
    <x v="536"/>
    <n v="76500"/>
    <n v="81.819999999999993"/>
    <n v="58650"/>
    <n v="17850"/>
    <n v="19.09"/>
    <n v="0"/>
    <d v="2023-11-24T00:00:00"/>
  </r>
  <r>
    <s v="B01096"/>
    <s v="P014"/>
    <x v="1"/>
    <s v="Sold Out"/>
    <n v="51"/>
    <n v="51"/>
    <n v="0"/>
    <n v="0"/>
    <x v="448"/>
    <n v="76500"/>
    <n v="81.819999999999993"/>
    <n v="58650"/>
    <n v="17850"/>
    <n v="19.09"/>
    <n v="0"/>
    <d v="2023-11-30T00:00:00"/>
  </r>
  <r>
    <s v="B01097"/>
    <s v="P014"/>
    <x v="1"/>
    <s v="Sold Out"/>
    <n v="64"/>
    <n v="64"/>
    <n v="0"/>
    <n v="0"/>
    <x v="13"/>
    <n v="96000"/>
    <n v="102.67"/>
    <n v="73600"/>
    <n v="22400"/>
    <n v="23.96"/>
    <n v="0"/>
    <d v="2023-12-08T00:00:00"/>
  </r>
  <r>
    <s v="B01098"/>
    <s v="P014"/>
    <x v="1"/>
    <s v="Sold Out"/>
    <n v="64"/>
    <n v="64"/>
    <n v="0"/>
    <n v="0"/>
    <x v="505"/>
    <n v="96000"/>
    <n v="102.67"/>
    <n v="73600"/>
    <n v="22400"/>
    <n v="23.96"/>
    <n v="0"/>
    <d v="2023-12-15T00:00:00"/>
  </r>
  <r>
    <s v="B01099"/>
    <s v="P014"/>
    <x v="1"/>
    <s v="Sold Out"/>
    <n v="60"/>
    <n v="60"/>
    <n v="0"/>
    <n v="0"/>
    <x v="506"/>
    <n v="90000"/>
    <n v="96.26"/>
    <n v="69000"/>
    <n v="21000"/>
    <n v="22.46"/>
    <n v="0"/>
    <d v="2023-12-20T00:00:00"/>
  </r>
  <r>
    <s v="B01100"/>
    <s v="P014"/>
    <x v="1"/>
    <s v="Sold Out"/>
    <n v="68"/>
    <n v="68"/>
    <n v="0"/>
    <n v="0"/>
    <x v="355"/>
    <n v="102000"/>
    <n v="109.09"/>
    <n v="78200"/>
    <n v="23800"/>
    <n v="25.45"/>
    <n v="0"/>
    <d v="2023-12-25T00:00:00"/>
  </r>
  <r>
    <s v="B01101"/>
    <s v="P014"/>
    <x v="1"/>
    <s v="Sold Out"/>
    <n v="54"/>
    <n v="54"/>
    <n v="0"/>
    <n v="0"/>
    <x v="19"/>
    <n v="81000"/>
    <n v="86.63"/>
    <n v="62100"/>
    <n v="18900"/>
    <n v="20.21"/>
    <n v="0"/>
    <d v="2024-01-01T00:00:00"/>
  </r>
  <r>
    <s v="B01102"/>
    <s v="P014"/>
    <x v="1"/>
    <s v="Partial Loss"/>
    <n v="44"/>
    <n v="32.69"/>
    <n v="11.31"/>
    <n v="25.7"/>
    <x v="509"/>
    <n v="49035"/>
    <n v="52.44"/>
    <n v="50600"/>
    <n v="-1565"/>
    <n v="-1.67"/>
    <n v="13006.5"/>
    <d v="2024-01-08T00:00:00"/>
  </r>
  <r>
    <s v="B01103"/>
    <s v="P014"/>
    <x v="1"/>
    <s v="Partial Loss"/>
    <n v="45"/>
    <n v="29.66"/>
    <n v="15.35"/>
    <n v="34.1"/>
    <x v="423"/>
    <n v="44490"/>
    <n v="47.58"/>
    <n v="51750"/>
    <n v="-7260"/>
    <n v="-7.76"/>
    <n v="17652.5"/>
    <d v="2024-01-14T00:00:00"/>
  </r>
  <r>
    <s v="B01104"/>
    <s v="P014"/>
    <x v="1"/>
    <s v="Sold Out"/>
    <n v="43"/>
    <n v="43"/>
    <n v="0"/>
    <n v="0"/>
    <x v="91"/>
    <n v="64500"/>
    <n v="68.98"/>
    <n v="49450"/>
    <n v="15050"/>
    <n v="16.100000000000001"/>
    <n v="0"/>
    <d v="2024-01-20T00:00:00"/>
  </r>
  <r>
    <s v="B01105"/>
    <s v="P014"/>
    <x v="1"/>
    <s v="Sold Out"/>
    <n v="50"/>
    <n v="50"/>
    <n v="0"/>
    <n v="0"/>
    <x v="158"/>
    <n v="75000"/>
    <n v="80.209999999999994"/>
    <n v="57500"/>
    <n v="17500"/>
    <n v="18.72"/>
    <n v="0"/>
    <d v="2024-01-26T00:00:00"/>
  </r>
  <r>
    <s v="B01106"/>
    <s v="P014"/>
    <x v="1"/>
    <s v="Sold Out"/>
    <n v="43"/>
    <n v="43"/>
    <n v="0"/>
    <n v="0"/>
    <x v="23"/>
    <n v="64500"/>
    <n v="68.98"/>
    <n v="49450"/>
    <n v="15050"/>
    <n v="16.100000000000001"/>
    <n v="0"/>
    <d v="2024-02-01T00:00:00"/>
  </r>
  <r>
    <s v="B01107"/>
    <s v="P014"/>
    <x v="1"/>
    <s v="Sold Out"/>
    <n v="48"/>
    <n v="48"/>
    <n v="0"/>
    <n v="0"/>
    <x v="356"/>
    <n v="72000"/>
    <n v="77.010000000000005"/>
    <n v="55200"/>
    <n v="16800"/>
    <n v="17.97"/>
    <n v="0"/>
    <d v="2024-02-09T00:00:00"/>
  </r>
  <r>
    <s v="B01108"/>
    <s v="P014"/>
    <x v="1"/>
    <s v="Partial Loss"/>
    <n v="54"/>
    <n v="45.52"/>
    <n v="8.48"/>
    <n v="15.7"/>
    <x v="358"/>
    <n v="68280"/>
    <n v="73.03"/>
    <n v="62100"/>
    <n v="6180"/>
    <n v="6.61"/>
    <n v="9752"/>
    <d v="2024-02-17T00:00:00"/>
  </r>
  <r>
    <s v="B01109"/>
    <s v="P014"/>
    <x v="1"/>
    <s v="Partial Loss"/>
    <n v="44"/>
    <n v="32.869999999999997"/>
    <n v="11.13"/>
    <n v="25.3"/>
    <x v="312"/>
    <n v="49305"/>
    <n v="52.73"/>
    <n v="50600"/>
    <n v="-1295"/>
    <n v="-1.39"/>
    <n v="12799.5"/>
    <d v="2024-02-24T00:00:00"/>
  </r>
  <r>
    <s v="B01110"/>
    <s v="P014"/>
    <x v="1"/>
    <s v="Sold Out"/>
    <n v="44"/>
    <n v="44"/>
    <n v="0"/>
    <n v="0"/>
    <x v="572"/>
    <n v="66000"/>
    <n v="70.59"/>
    <n v="50600"/>
    <n v="15400"/>
    <n v="16.47"/>
    <n v="0"/>
    <d v="2024-02-29T00:00:00"/>
  </r>
  <r>
    <s v="B01111"/>
    <s v="P014"/>
    <x v="1"/>
    <s v="Partial Loss"/>
    <n v="47"/>
    <n v="37.369999999999997"/>
    <n v="9.6300000000000008"/>
    <n v="20.5"/>
    <x v="393"/>
    <n v="56055"/>
    <n v="59.95"/>
    <n v="54050"/>
    <n v="2005"/>
    <n v="2.14"/>
    <n v="11074.5"/>
    <d v="2024-03-08T00:00:00"/>
  </r>
  <r>
    <s v="B01112"/>
    <s v="P014"/>
    <x v="1"/>
    <s v="Sold Out"/>
    <n v="55"/>
    <n v="55"/>
    <n v="0"/>
    <n v="0"/>
    <x v="210"/>
    <n v="82500"/>
    <n v="88.24"/>
    <n v="60500"/>
    <n v="22000"/>
    <n v="23.53"/>
    <n v="0"/>
    <d v="2024-03-14T00:00:00"/>
  </r>
  <r>
    <s v="B01113"/>
    <s v="P014"/>
    <x v="1"/>
    <s v="Sold Out"/>
    <n v="47"/>
    <n v="47"/>
    <n v="0"/>
    <n v="0"/>
    <x v="573"/>
    <n v="70500"/>
    <n v="75.400000000000006"/>
    <n v="54050"/>
    <n v="16450"/>
    <n v="17.59"/>
    <n v="0"/>
    <d v="2024-03-19T00:00:00"/>
  </r>
  <r>
    <s v="B01114"/>
    <s v="P014"/>
    <x v="1"/>
    <s v="Sold Out"/>
    <n v="49"/>
    <n v="49"/>
    <n v="0"/>
    <n v="0"/>
    <x v="357"/>
    <n v="73500"/>
    <n v="78.61"/>
    <n v="56350"/>
    <n v="17150"/>
    <n v="18.34"/>
    <n v="0"/>
    <d v="2024-03-25T00:00:00"/>
  </r>
  <r>
    <s v="B01115"/>
    <s v="P014"/>
    <x v="1"/>
    <s v="Sold Out"/>
    <n v="16"/>
    <n v="16"/>
    <n v="0"/>
    <n v="0"/>
    <x v="212"/>
    <n v="24000"/>
    <n v="25.67"/>
    <n v="18400"/>
    <n v="5600"/>
    <n v="5.99"/>
    <n v="0"/>
    <d v="2024-04-01T00:00:00"/>
  </r>
  <r>
    <s v="B01116"/>
    <s v="P014"/>
    <x v="1"/>
    <s v="Partial Loss"/>
    <n v="19"/>
    <n v="13.15"/>
    <n v="5.85"/>
    <n v="30.8"/>
    <x v="162"/>
    <n v="19725"/>
    <n v="21.1"/>
    <n v="21850"/>
    <n v="-2125"/>
    <n v="-2.27"/>
    <n v="6727.5"/>
    <d v="2024-04-07T00:00:00"/>
  </r>
  <r>
    <s v="B01117"/>
    <s v="P014"/>
    <x v="1"/>
    <s v="Partial Loss"/>
    <n v="18"/>
    <n v="14.9"/>
    <n v="3.1"/>
    <n v="17.2"/>
    <x v="360"/>
    <n v="22350"/>
    <n v="23.9"/>
    <n v="20700"/>
    <n v="1650"/>
    <n v="1.76"/>
    <n v="3565"/>
    <d v="2024-04-14T00:00:00"/>
  </r>
  <r>
    <s v="B01118"/>
    <s v="P014"/>
    <x v="1"/>
    <s v="Sold Out"/>
    <n v="18"/>
    <n v="18"/>
    <n v="0"/>
    <n v="0"/>
    <x v="162"/>
    <n v="27000"/>
    <n v="28.88"/>
    <n v="19800"/>
    <n v="7200"/>
    <n v="7.7"/>
    <n v="0"/>
    <d v="2024-04-22T00:00:00"/>
  </r>
  <r>
    <s v="B01119"/>
    <s v="P014"/>
    <x v="1"/>
    <s v="Partial Loss"/>
    <n v="18"/>
    <n v="10.3"/>
    <n v="7.7"/>
    <n v="42.8"/>
    <x v="33"/>
    <n v="15450"/>
    <n v="16.52"/>
    <n v="20700"/>
    <n v="-5250"/>
    <n v="-5.61"/>
    <n v="8855"/>
    <d v="2024-04-29T00:00:00"/>
  </r>
  <r>
    <s v="B01120"/>
    <s v="P014"/>
    <x v="1"/>
    <s v="Partial Loss"/>
    <n v="20"/>
    <n v="13.78"/>
    <n v="6.22"/>
    <n v="31.1"/>
    <x v="164"/>
    <n v="20670"/>
    <n v="22.11"/>
    <n v="23000"/>
    <n v="-2330"/>
    <n v="-2.4900000000000002"/>
    <n v="7153"/>
    <d v="2024-05-05T00:00:00"/>
  </r>
  <r>
    <s v="B01121"/>
    <s v="P014"/>
    <x v="1"/>
    <s v="Partial Loss"/>
    <n v="19"/>
    <n v="16.23"/>
    <n v="2.77"/>
    <n v="14.6"/>
    <x v="453"/>
    <n v="24345"/>
    <n v="26.04"/>
    <n v="21850"/>
    <n v="2495"/>
    <n v="2.67"/>
    <n v="3185.5"/>
    <d v="2024-05-12T00:00:00"/>
  </r>
  <r>
    <s v="B01122"/>
    <s v="P014"/>
    <x v="1"/>
    <s v="Sold Out"/>
    <n v="17"/>
    <n v="17"/>
    <n v="0"/>
    <n v="0"/>
    <x v="574"/>
    <n v="25500"/>
    <n v="27.27"/>
    <n v="19550"/>
    <n v="5950"/>
    <n v="6.36"/>
    <n v="0"/>
    <d v="2024-05-17T00:00:00"/>
  </r>
  <r>
    <s v="B01123"/>
    <s v="P014"/>
    <x v="1"/>
    <s v="Partial Loss"/>
    <n v="18"/>
    <n v="12.67"/>
    <n v="5.33"/>
    <n v="29.6"/>
    <x v="101"/>
    <n v="19005"/>
    <n v="20.329999999999998"/>
    <n v="20700"/>
    <n v="-1695"/>
    <n v="-1.81"/>
    <n v="6129.5"/>
    <d v="2024-05-25T00:00:00"/>
  </r>
  <r>
    <s v="B01124"/>
    <s v="P014"/>
    <x v="1"/>
    <s v="Partial Loss"/>
    <n v="19"/>
    <n v="12.69"/>
    <n v="6.31"/>
    <n v="33.200000000000003"/>
    <x v="547"/>
    <n v="19035"/>
    <n v="20.36"/>
    <n v="20900"/>
    <n v="-1865"/>
    <n v="-1.99"/>
    <n v="6941"/>
    <d v="2024-05-30T00:00:00"/>
  </r>
  <r>
    <s v="B01125"/>
    <s v="P014"/>
    <x v="1"/>
    <s v="Partial Loss"/>
    <n v="20"/>
    <n v="17.36"/>
    <n v="2.64"/>
    <n v="13.2"/>
    <x v="549"/>
    <n v="26040"/>
    <n v="27.85"/>
    <n v="23000"/>
    <n v="3040"/>
    <n v="3.25"/>
    <n v="3036"/>
    <d v="2024-06-06T00:00:00"/>
  </r>
  <r>
    <s v="B01126"/>
    <s v="P014"/>
    <x v="1"/>
    <s v="Partial Loss"/>
    <n v="18"/>
    <n v="14.89"/>
    <n v="3.11"/>
    <n v="17.3"/>
    <x v="268"/>
    <n v="22335"/>
    <n v="23.89"/>
    <n v="20700"/>
    <n v="1635"/>
    <n v="1.75"/>
    <n v="3576.5"/>
    <d v="2024-06-14T00:00:00"/>
  </r>
  <r>
    <s v="B01127"/>
    <s v="P014"/>
    <x v="1"/>
    <s v="Sold Out"/>
    <n v="18"/>
    <n v="18"/>
    <n v="0"/>
    <n v="0"/>
    <x v="169"/>
    <n v="27000"/>
    <n v="28.88"/>
    <n v="20700"/>
    <n v="6300"/>
    <n v="6.74"/>
    <n v="0"/>
    <d v="2024-06-21T00:00:00"/>
  </r>
  <r>
    <s v="B01128"/>
    <s v="P014"/>
    <x v="1"/>
    <s v="Partial Loss"/>
    <n v="19"/>
    <n v="13.91"/>
    <n v="5.09"/>
    <n v="26.8"/>
    <x v="575"/>
    <n v="20865"/>
    <n v="22.32"/>
    <n v="21850"/>
    <n v="-985"/>
    <n v="-1.05"/>
    <n v="5853.5"/>
    <d v="2024-07-01T00:00:00"/>
  </r>
  <r>
    <s v="B01129"/>
    <s v="P014"/>
    <x v="1"/>
    <s v="Partial Loss"/>
    <n v="19"/>
    <n v="13.62"/>
    <n v="5.38"/>
    <n v="28.3"/>
    <x v="516"/>
    <n v="20430"/>
    <n v="21.85"/>
    <n v="21850"/>
    <n v="-1420"/>
    <n v="-1.52"/>
    <n v="6187"/>
    <d v="2024-07-07T00:00:00"/>
  </r>
  <r>
    <s v="B01130"/>
    <s v="P014"/>
    <x v="1"/>
    <s v="Partial Loss"/>
    <n v="16"/>
    <n v="10.18"/>
    <n v="5.82"/>
    <n v="36.4"/>
    <x v="363"/>
    <n v="15270"/>
    <n v="16.329999999999998"/>
    <n v="18400"/>
    <n v="-3130"/>
    <n v="-3.35"/>
    <n v="6693"/>
    <d v="2024-07-14T00:00:00"/>
  </r>
  <r>
    <s v="B01131"/>
    <s v="P014"/>
    <x v="1"/>
    <s v="Sold Out"/>
    <n v="17"/>
    <n v="17"/>
    <n v="0"/>
    <n v="0"/>
    <x v="551"/>
    <n v="25500"/>
    <n v="27.27"/>
    <n v="19550"/>
    <n v="5950"/>
    <n v="6.36"/>
    <n v="0"/>
    <d v="2024-07-21T00:00:00"/>
  </r>
  <r>
    <s v="B01132"/>
    <s v="P014"/>
    <x v="1"/>
    <s v="Partial Loss"/>
    <n v="19"/>
    <n v="14.78"/>
    <n v="4.22"/>
    <n v="22.2"/>
    <x v="218"/>
    <n v="22170"/>
    <n v="23.71"/>
    <n v="21850"/>
    <n v="320"/>
    <n v="0.34"/>
    <n v="4853"/>
    <d v="2024-07-28T00:00:00"/>
  </r>
  <r>
    <s v="B01133"/>
    <s v="P014"/>
    <x v="1"/>
    <s v="Partial Loss"/>
    <n v="19"/>
    <n v="14.36"/>
    <n v="4.6399999999999997"/>
    <n v="24.4"/>
    <x v="365"/>
    <n v="21540"/>
    <n v="23.04"/>
    <n v="21850"/>
    <n v="-310"/>
    <n v="-0.33"/>
    <n v="5336"/>
    <d v="2024-08-01T00:00:00"/>
  </r>
  <r>
    <s v="B01134"/>
    <s v="P014"/>
    <x v="1"/>
    <s v="Sold Out"/>
    <n v="20"/>
    <n v="20"/>
    <n v="0"/>
    <n v="0"/>
    <x v="576"/>
    <n v="30000"/>
    <n v="32.090000000000003"/>
    <n v="22000"/>
    <n v="8000"/>
    <n v="8.56"/>
    <n v="0"/>
    <d v="2024-08-06T00:00:00"/>
  </r>
  <r>
    <s v="B01135"/>
    <s v="P014"/>
    <x v="1"/>
    <s v="Sold Out"/>
    <n v="21"/>
    <n v="21"/>
    <n v="0"/>
    <n v="0"/>
    <x v="39"/>
    <n v="31500"/>
    <n v="33.69"/>
    <n v="24150"/>
    <n v="7350"/>
    <n v="7.86"/>
    <n v="0"/>
    <d v="2024-08-11T00:00:00"/>
  </r>
  <r>
    <s v="B01136"/>
    <s v="P014"/>
    <x v="1"/>
    <s v="Partial Loss"/>
    <n v="18"/>
    <n v="13.07"/>
    <n v="4.93"/>
    <n v="27.4"/>
    <x v="326"/>
    <n v="19605"/>
    <n v="20.97"/>
    <n v="20700"/>
    <n v="-1095"/>
    <n v="-1.17"/>
    <n v="5669.5"/>
    <d v="2024-08-18T00:00:00"/>
  </r>
  <r>
    <s v="B01137"/>
    <s v="P014"/>
    <x v="1"/>
    <s v="Partial Loss"/>
    <n v="17"/>
    <n v="12.66"/>
    <n v="4.33"/>
    <n v="25.5"/>
    <x v="577"/>
    <n v="18990"/>
    <n v="20.309999999999999"/>
    <n v="19550"/>
    <n v="-560"/>
    <n v="-0.6"/>
    <n v="4979.5"/>
    <d v="2024-08-24T00:00:00"/>
  </r>
  <r>
    <s v="B01138"/>
    <s v="P014"/>
    <x v="1"/>
    <s v="Partial Loss"/>
    <n v="15"/>
    <n v="10.38"/>
    <n v="4.62"/>
    <n v="30.8"/>
    <x v="112"/>
    <n v="15570"/>
    <n v="16.649999999999999"/>
    <n v="17250"/>
    <n v="-1680"/>
    <n v="-1.8"/>
    <n v="5313"/>
    <d v="2024-08-31T00:00:00"/>
  </r>
  <r>
    <s v="B01139"/>
    <s v="P014"/>
    <x v="1"/>
    <s v="Partial Loss"/>
    <n v="22"/>
    <n v="16.57"/>
    <n v="5.43"/>
    <n v="24.7"/>
    <x v="223"/>
    <n v="24855"/>
    <n v="26.58"/>
    <n v="25300"/>
    <n v="-445"/>
    <n v="-0.48"/>
    <n v="6244.5"/>
    <d v="2024-09-08T00:00:00"/>
  </r>
  <r>
    <s v="B01140"/>
    <s v="P014"/>
    <x v="1"/>
    <s v="Partial Loss"/>
    <n v="24"/>
    <n v="19.510000000000002"/>
    <n v="4.49"/>
    <n v="18.7"/>
    <x v="519"/>
    <n v="29265"/>
    <n v="31.3"/>
    <n v="27600"/>
    <n v="1665"/>
    <n v="1.78"/>
    <n v="5163.5"/>
    <d v="2024-09-13T00:00:00"/>
  </r>
  <r>
    <s v="B01141"/>
    <s v="P014"/>
    <x v="1"/>
    <s v="Partial Loss"/>
    <n v="24"/>
    <n v="16.63"/>
    <n v="7.37"/>
    <n v="30.7"/>
    <x v="460"/>
    <n v="24945"/>
    <n v="26.68"/>
    <n v="27600"/>
    <n v="-2655"/>
    <n v="-2.84"/>
    <n v="8475.5"/>
    <d v="2024-09-20T00:00:00"/>
  </r>
  <r>
    <s v="B01142"/>
    <s v="P014"/>
    <x v="1"/>
    <s v="Partial Loss"/>
    <n v="22"/>
    <n v="16.87"/>
    <n v="5.13"/>
    <n v="23.3"/>
    <x v="578"/>
    <n v="25305"/>
    <n v="27.06"/>
    <n v="25300"/>
    <n v="5"/>
    <n v="0.01"/>
    <n v="5899.5"/>
    <d v="2024-09-26T00:00:00"/>
  </r>
  <r>
    <s v="B01143"/>
    <s v="P014"/>
    <x v="1"/>
    <s v="Partial Loss"/>
    <n v="46"/>
    <n v="40.85"/>
    <n v="5.15"/>
    <n v="11.2"/>
    <x v="428"/>
    <n v="61275"/>
    <n v="65.53"/>
    <n v="52900"/>
    <n v="8375"/>
    <n v="8.9600000000000009"/>
    <n v="5922.5"/>
    <d v="2024-10-03T00:00:00"/>
  </r>
  <r>
    <s v="B01144"/>
    <s v="P014"/>
    <x v="1"/>
    <s v="Partial Loss"/>
    <n v="50"/>
    <n v="48.45"/>
    <n v="1.55"/>
    <n v="3.1"/>
    <x v="116"/>
    <n v="72675"/>
    <n v="77.73"/>
    <n v="57500"/>
    <n v="15175"/>
    <n v="16.23"/>
    <n v="1782.5"/>
    <d v="2024-10-10T00:00:00"/>
  </r>
  <r>
    <s v="B01145"/>
    <s v="P014"/>
    <x v="1"/>
    <s v="Sold Out"/>
    <n v="48"/>
    <n v="48"/>
    <n v="0"/>
    <n v="0"/>
    <x v="45"/>
    <n v="72000"/>
    <n v="77.010000000000005"/>
    <n v="52800"/>
    <n v="19200"/>
    <n v="20.53"/>
    <n v="0"/>
    <d v="2024-10-17T00:00:00"/>
  </r>
  <r>
    <s v="B01146"/>
    <s v="P014"/>
    <x v="1"/>
    <s v="Partial Loss"/>
    <n v="48"/>
    <n v="42.1"/>
    <n v="5.9"/>
    <n v="12.3"/>
    <x v="179"/>
    <n v="63150"/>
    <n v="67.540000000000006"/>
    <n v="55200"/>
    <n v="7950"/>
    <n v="8.5"/>
    <n v="6785"/>
    <d v="2024-10-24T00:00:00"/>
  </r>
  <r>
    <s v="B01147"/>
    <s v="P014"/>
    <x v="1"/>
    <s v="Sold Out"/>
    <n v="52"/>
    <n v="52"/>
    <n v="0"/>
    <n v="0"/>
    <x v="46"/>
    <n v="78000"/>
    <n v="83.42"/>
    <n v="57200"/>
    <n v="20800"/>
    <n v="22.25"/>
    <n v="0"/>
    <d v="2024-10-31T00:00:00"/>
  </r>
  <r>
    <s v="B01148"/>
    <s v="P014"/>
    <x v="1"/>
    <s v="Partial Loss"/>
    <n v="54"/>
    <n v="38.770000000000003"/>
    <n v="15.23"/>
    <n v="28.2"/>
    <x v="404"/>
    <n v="58155"/>
    <n v="62.2"/>
    <n v="62100"/>
    <n v="-3945"/>
    <n v="-4.22"/>
    <n v="17514.5"/>
    <d v="2024-11-07T00:00:00"/>
  </r>
  <r>
    <s v="B01149"/>
    <s v="P014"/>
    <x v="1"/>
    <s v="Sold Out"/>
    <n v="53"/>
    <n v="53"/>
    <n v="0"/>
    <n v="0"/>
    <x v="180"/>
    <n v="79500"/>
    <n v="85.03"/>
    <n v="58300"/>
    <n v="21200"/>
    <n v="22.67"/>
    <n v="0"/>
    <d v="2024-11-15T00:00:00"/>
  </r>
  <r>
    <s v="B01150"/>
    <s v="P014"/>
    <x v="1"/>
    <s v="Partial Loss"/>
    <n v="53"/>
    <n v="46.32"/>
    <n v="6.68"/>
    <n v="12.6"/>
    <x v="371"/>
    <n v="69480"/>
    <n v="74.31"/>
    <n v="60950"/>
    <n v="8530"/>
    <n v="9.1199999999999992"/>
    <n v="7682"/>
    <d v="2024-11-20T00:00:00"/>
  </r>
  <r>
    <s v="B01151"/>
    <s v="P014"/>
    <x v="1"/>
    <s v="Partial Loss"/>
    <n v="49"/>
    <n v="43.17"/>
    <n v="5.83"/>
    <n v="11.9"/>
    <x v="121"/>
    <n v="64755"/>
    <n v="69.260000000000005"/>
    <n v="56350"/>
    <n v="8405"/>
    <n v="8.99"/>
    <n v="6704.5"/>
    <d v="2024-11-26T00:00:00"/>
  </r>
  <r>
    <s v="B01152"/>
    <s v="P014"/>
    <x v="1"/>
    <s v="Sold Out"/>
    <n v="64"/>
    <n v="64"/>
    <n v="0"/>
    <n v="0"/>
    <x v="181"/>
    <n v="96000"/>
    <n v="102.67"/>
    <n v="70400"/>
    <n v="25600"/>
    <n v="27.38"/>
    <n v="0"/>
    <d v="2024-12-02T00:00:00"/>
  </r>
  <r>
    <s v="B01153"/>
    <s v="P014"/>
    <x v="1"/>
    <s v="Sold Out"/>
    <n v="68"/>
    <n v="68"/>
    <n v="0"/>
    <n v="0"/>
    <x v="121"/>
    <n v="102000"/>
    <n v="109.09"/>
    <n v="78200"/>
    <n v="23800"/>
    <n v="25.45"/>
    <n v="0"/>
    <d v="2024-12-10T00:00:00"/>
  </r>
  <r>
    <s v="B01154"/>
    <s v="P014"/>
    <x v="1"/>
    <s v="Sold Out"/>
    <n v="61"/>
    <n v="61"/>
    <n v="0"/>
    <n v="0"/>
    <x v="579"/>
    <n v="91500"/>
    <n v="97.86"/>
    <n v="70150"/>
    <n v="21350"/>
    <n v="22.83"/>
    <n v="0"/>
    <d v="2024-12-16T00:00:00"/>
  </r>
  <r>
    <s v="B01155"/>
    <s v="P014"/>
    <x v="1"/>
    <s v="Sold Out"/>
    <n v="59"/>
    <n v="59"/>
    <n v="0"/>
    <n v="0"/>
    <x v="432"/>
    <n v="88500"/>
    <n v="94.65"/>
    <n v="67850"/>
    <n v="20650"/>
    <n v="22.09"/>
    <n v="0"/>
    <d v="2024-12-23T00:00:00"/>
  </r>
  <r>
    <s v="B01156"/>
    <s v="P014"/>
    <x v="1"/>
    <s v="Sold Out"/>
    <n v="67"/>
    <n v="67"/>
    <n v="0"/>
    <n v="0"/>
    <x v="229"/>
    <n v="100500"/>
    <n v="107.49"/>
    <n v="77050"/>
    <n v="23450"/>
    <n v="25.08"/>
    <n v="0"/>
    <d v="2024-12-30T00:00:00"/>
  </r>
  <r>
    <s v="B01157"/>
    <s v="P014"/>
    <x v="1"/>
    <s v="Sold Out"/>
    <n v="54"/>
    <n v="54"/>
    <n v="0"/>
    <n v="0"/>
    <x v="282"/>
    <n v="81000"/>
    <n v="86.63"/>
    <n v="62100"/>
    <n v="18900"/>
    <n v="20.21"/>
    <n v="0"/>
    <d v="2025-01-04T00:00:00"/>
  </r>
  <r>
    <s v="B01158"/>
    <s v="P014"/>
    <x v="1"/>
    <s v="Sold Out"/>
    <n v="53"/>
    <n v="53"/>
    <n v="0"/>
    <n v="0"/>
    <x v="408"/>
    <n v="79500"/>
    <n v="85.03"/>
    <n v="58300"/>
    <n v="21200"/>
    <n v="22.67"/>
    <n v="0"/>
    <d v="2025-01-12T00:00:00"/>
  </r>
  <r>
    <s v="B01159"/>
    <s v="P014"/>
    <x v="1"/>
    <s v="Sold Out"/>
    <n v="59"/>
    <n v="59"/>
    <n v="0"/>
    <n v="0"/>
    <x v="184"/>
    <n v="88500"/>
    <n v="94.65"/>
    <n v="64900"/>
    <n v="23600"/>
    <n v="25.24"/>
    <n v="0"/>
    <d v="2025-01-19T00:00:00"/>
  </r>
  <r>
    <s v="B01160"/>
    <s v="P014"/>
    <x v="1"/>
    <s v="Partial Loss"/>
    <n v="47"/>
    <n v="31.77"/>
    <n v="15.23"/>
    <n v="32.4"/>
    <x v="580"/>
    <n v="47655"/>
    <n v="50.97"/>
    <n v="54050"/>
    <n v="-6395"/>
    <n v="-6.84"/>
    <n v="17514.5"/>
    <d v="2025-01-27T00:00:00"/>
  </r>
  <r>
    <s v="B01161"/>
    <s v="P014"/>
    <x v="1"/>
    <s v="Sold Out"/>
    <n v="58"/>
    <n v="58"/>
    <n v="0"/>
    <n v="0"/>
    <x v="581"/>
    <n v="87000"/>
    <n v="93.05"/>
    <n v="63800"/>
    <n v="23200"/>
    <n v="24.81"/>
    <n v="0"/>
    <d v="2025-02-02T00:00:00"/>
  </r>
  <r>
    <s v="B01162"/>
    <s v="P014"/>
    <x v="1"/>
    <s v="Sold Out"/>
    <n v="52"/>
    <n v="52"/>
    <n v="0"/>
    <n v="0"/>
    <x v="61"/>
    <n v="78000"/>
    <n v="83.42"/>
    <n v="59800"/>
    <n v="18200"/>
    <n v="19.47"/>
    <n v="0"/>
    <d v="2025-02-10T00:00:00"/>
  </r>
  <r>
    <s v="B01163"/>
    <s v="P014"/>
    <x v="1"/>
    <s v="Partial Loss"/>
    <n v="45"/>
    <n v="27.9"/>
    <n v="17.100000000000001"/>
    <n v="38"/>
    <x v="582"/>
    <n v="41850"/>
    <n v="44.76"/>
    <n v="51750"/>
    <n v="-9900"/>
    <n v="-10.59"/>
    <n v="19665"/>
    <d v="2025-02-15T00:00:00"/>
  </r>
  <r>
    <s v="B01164"/>
    <s v="P014"/>
    <x v="1"/>
    <s v="Sold Out"/>
    <n v="58"/>
    <n v="58"/>
    <n v="0"/>
    <n v="0"/>
    <x v="62"/>
    <n v="87000"/>
    <n v="93.05"/>
    <n v="66700"/>
    <n v="20300"/>
    <n v="21.71"/>
    <n v="0"/>
    <d v="2025-02-21T00:00:00"/>
  </r>
  <r>
    <s v="B01165"/>
    <s v="P014"/>
    <x v="1"/>
    <s v="Sold Out"/>
    <n v="57"/>
    <n v="57"/>
    <n v="0"/>
    <n v="0"/>
    <x v="375"/>
    <n v="85500"/>
    <n v="91.44"/>
    <n v="65550"/>
    <n v="19950"/>
    <n v="21.34"/>
    <n v="0"/>
    <d v="2025-02-28T00:00:00"/>
  </r>
  <r>
    <s v="B01166"/>
    <s v="P014"/>
    <x v="1"/>
    <s v="Sold Out"/>
    <n v="48"/>
    <n v="48"/>
    <n v="0"/>
    <n v="0"/>
    <x v="583"/>
    <n v="72000"/>
    <n v="77.010000000000005"/>
    <n v="55200"/>
    <n v="16800"/>
    <n v="17.97"/>
    <n v="0"/>
    <d v="2025-03-05T00:00:00"/>
  </r>
  <r>
    <s v="B01167"/>
    <s v="P014"/>
    <x v="1"/>
    <s v="Sold Out"/>
    <n v="58"/>
    <n v="58"/>
    <n v="0"/>
    <n v="0"/>
    <x v="64"/>
    <n v="87000"/>
    <n v="93.05"/>
    <n v="66700"/>
    <n v="20300"/>
    <n v="21.71"/>
    <n v="0"/>
    <d v="2025-03-12T00:00:00"/>
  </r>
  <r>
    <s v="B01168"/>
    <s v="P014"/>
    <x v="1"/>
    <s v="Sold Out"/>
    <n v="57"/>
    <n v="57"/>
    <n v="0"/>
    <n v="0"/>
    <x v="65"/>
    <n v="85500"/>
    <n v="91.44"/>
    <n v="65550"/>
    <n v="19950"/>
    <n v="21.34"/>
    <n v="0"/>
    <d v="2025-03-18T00:00:00"/>
  </r>
  <r>
    <s v="B01169"/>
    <s v="P014"/>
    <x v="1"/>
    <s v="Sold Out"/>
    <n v="51"/>
    <n v="51"/>
    <n v="0"/>
    <n v="0"/>
    <x v="289"/>
    <n v="76500"/>
    <n v="81.819999999999993"/>
    <n v="58650"/>
    <n v="17850"/>
    <n v="19.09"/>
    <n v="0"/>
    <d v="2025-03-27T00:00:00"/>
  </r>
  <r>
    <s v="B01170"/>
    <s v="P014"/>
    <x v="1"/>
    <s v="Sold Out"/>
    <n v="54"/>
    <n v="54"/>
    <n v="0"/>
    <n v="0"/>
    <x v="525"/>
    <n v="81000"/>
    <n v="86.63"/>
    <n v="62100"/>
    <n v="18900"/>
    <n v="20.21"/>
    <n v="0"/>
    <d v="2025-03-31T00:00:00"/>
  </r>
  <r>
    <s v="B01171"/>
    <s v="P014"/>
    <x v="1"/>
    <s v="Partial Loss"/>
    <n v="18"/>
    <n v="13.93"/>
    <n v="4.07"/>
    <n v="22.6"/>
    <x v="135"/>
    <n v="20895"/>
    <n v="22.35"/>
    <n v="20700"/>
    <n v="195"/>
    <n v="0.21"/>
    <n v="4680.5"/>
    <d v="2025-04-06T00:00:00"/>
  </r>
  <r>
    <s v="B01172"/>
    <s v="P014"/>
    <x v="1"/>
    <s v="Partial Loss"/>
    <n v="17"/>
    <n v="11.29"/>
    <n v="5.71"/>
    <n v="33.6"/>
    <x v="584"/>
    <n v="16935"/>
    <n v="18.11"/>
    <n v="19550"/>
    <n v="-2615"/>
    <n v="-2.8"/>
    <n v="6566.5"/>
    <d v="2025-04-11T00:00:00"/>
  </r>
  <r>
    <s v="B01173"/>
    <s v="P014"/>
    <x v="1"/>
    <s v="Partial Loss"/>
    <n v="22"/>
    <n v="16.260000000000002"/>
    <n v="5.74"/>
    <n v="26.1"/>
    <x v="415"/>
    <n v="24390"/>
    <n v="26.09"/>
    <n v="25300"/>
    <n v="-910"/>
    <n v="-0.97"/>
    <n v="6601"/>
    <d v="2025-04-16T00:00:00"/>
  </r>
  <r>
    <s v="B01174"/>
    <s v="P014"/>
    <x v="1"/>
    <s v="Partial Loss"/>
    <n v="22"/>
    <n v="14.32"/>
    <n v="7.68"/>
    <n v="34.9"/>
    <x v="238"/>
    <n v="21480"/>
    <n v="22.97"/>
    <n v="24200"/>
    <n v="-2720"/>
    <n v="-2.91"/>
    <n v="8448"/>
    <d v="2025-04-22T00:00:00"/>
  </r>
  <r>
    <s v="B01175"/>
    <s v="P014"/>
    <x v="1"/>
    <s v="Partial Loss"/>
    <n v="19"/>
    <n v="18.940000000000001"/>
    <n v="0.06"/>
    <n v="0.3"/>
    <x v="137"/>
    <n v="28410"/>
    <n v="30.39"/>
    <n v="20900"/>
    <n v="7510"/>
    <n v="8.0299999999999994"/>
    <n v="66"/>
    <d v="2025-04-30T00:00:00"/>
  </r>
  <r>
    <s v="B01176"/>
    <s v="P014"/>
    <x v="1"/>
    <s v="Sold Out"/>
    <n v="22"/>
    <n v="22"/>
    <n v="0"/>
    <n v="0"/>
    <x v="585"/>
    <n v="33000"/>
    <n v="35.29"/>
    <n v="25300"/>
    <n v="7700"/>
    <n v="8.24"/>
    <n v="0"/>
    <d v="2025-05-07T00:00:00"/>
  </r>
  <r>
    <s v="B01177"/>
    <s v="P014"/>
    <x v="1"/>
    <s v="Sold Out"/>
    <n v="19"/>
    <n v="19"/>
    <n v="0"/>
    <n v="0"/>
    <x v="67"/>
    <n v="28500"/>
    <n v="30.48"/>
    <n v="21850"/>
    <n v="6650"/>
    <n v="7.11"/>
    <n v="0"/>
    <d v="2025-05-14T00:00:00"/>
  </r>
  <r>
    <s v="B01178"/>
    <s v="P014"/>
    <x v="1"/>
    <s v="Partial Loss"/>
    <n v="21"/>
    <n v="15.16"/>
    <n v="5.84"/>
    <n v="27.8"/>
    <x v="586"/>
    <n v="22740"/>
    <n v="24.32"/>
    <n v="24150"/>
    <n v="-1410"/>
    <n v="-1.51"/>
    <n v="6716"/>
    <d v="2025-05-20T00:00:00"/>
  </r>
  <r>
    <s v="B01179"/>
    <s v="P014"/>
    <x v="1"/>
    <s v="Partial Loss"/>
    <n v="17"/>
    <n v="8.99"/>
    <n v="8.01"/>
    <n v="47.1"/>
    <x v="416"/>
    <n v="13485"/>
    <n v="14.42"/>
    <n v="19550"/>
    <n v="-6065"/>
    <n v="-6.49"/>
    <n v="9211.5"/>
    <d v="2025-05-26T00:00:00"/>
  </r>
  <r>
    <s v="B01180"/>
    <s v="P014"/>
    <x v="1"/>
    <s v="Partial Loss"/>
    <n v="22"/>
    <n v="16.100000000000001"/>
    <n v="5.9"/>
    <n v="26.8"/>
    <x v="528"/>
    <n v="24150"/>
    <n v="25.83"/>
    <n v="25300"/>
    <n v="-1150"/>
    <n v="-1.23"/>
    <n v="6785"/>
    <d v="2025-05-31T00:00:00"/>
  </r>
  <r>
    <s v="B01181"/>
    <s v="P014"/>
    <x v="1"/>
    <s v="Sold Out"/>
    <n v="21"/>
    <n v="21"/>
    <n v="0"/>
    <n v="0"/>
    <x v="586"/>
    <n v="31500"/>
    <n v="33.69"/>
    <n v="24150"/>
    <n v="7350"/>
    <n v="7.86"/>
    <n v="0"/>
    <d v="2025-06-06T00:00:00"/>
  </r>
  <r>
    <s v="B01182"/>
    <s v="P014"/>
    <x v="1"/>
    <s v="Partial Loss"/>
    <n v="20"/>
    <n v="15.4"/>
    <n v="4.5999999999999996"/>
    <n v="23"/>
    <x v="293"/>
    <n v="23100"/>
    <n v="24.71"/>
    <n v="23000"/>
    <n v="100"/>
    <n v="0.11"/>
    <n v="5290"/>
    <d v="2025-06-13T00:00:00"/>
  </r>
  <r>
    <s v="B01183"/>
    <s v="P014"/>
    <x v="1"/>
    <s v="Partial Loss"/>
    <n v="19"/>
    <n v="13.05"/>
    <n v="5.95"/>
    <n v="31.3"/>
    <x v="200"/>
    <n v="19575"/>
    <n v="20.94"/>
    <n v="21850"/>
    <n v="-2275"/>
    <n v="-2.4300000000000002"/>
    <n v="6842.5"/>
    <d v="2025-06-19T00:00:00"/>
  </r>
  <r>
    <s v="B01184"/>
    <s v="P014"/>
    <x v="1"/>
    <s v="Sold Out"/>
    <n v="17"/>
    <n v="17"/>
    <n v="0"/>
    <n v="0"/>
    <x v="587"/>
    <n v="25500"/>
    <n v="27.27"/>
    <n v="19550"/>
    <n v="5950"/>
    <n v="6.36"/>
    <n v="0"/>
    <d v="2025-06-25T00:00:00"/>
  </r>
  <r>
    <s v="B01185"/>
    <s v="P014"/>
    <x v="1"/>
    <s v="Partial Loss"/>
    <n v="17"/>
    <n v="12.32"/>
    <n v="4.68"/>
    <n v="27.5"/>
    <x v="470"/>
    <n v="18480"/>
    <n v="19.760000000000002"/>
    <n v="19550"/>
    <n v="-1070"/>
    <n v="-1.1399999999999999"/>
    <n v="5382"/>
    <d v="2025-06-30T00:00:00"/>
  </r>
  <r>
    <s v="B01186"/>
    <s v="P015"/>
    <x v="1"/>
    <s v="Sold Out"/>
    <n v="28"/>
    <n v="28"/>
    <n v="0"/>
    <n v="0"/>
    <x v="588"/>
    <n v="56000"/>
    <n v="59.89"/>
    <n v="40600"/>
    <n v="15400"/>
    <n v="16.47"/>
    <n v="0"/>
    <d v="2023-07-02T00:00:00"/>
  </r>
  <r>
    <s v="B01187"/>
    <s v="P015"/>
    <x v="1"/>
    <s v="Sold Out"/>
    <n v="29"/>
    <n v="29"/>
    <n v="0"/>
    <n v="0"/>
    <x v="589"/>
    <n v="58000"/>
    <n v="62.03"/>
    <n v="42050"/>
    <n v="15950"/>
    <n v="17.059999999999999"/>
    <n v="0"/>
    <d v="2023-07-08T00:00:00"/>
  </r>
  <r>
    <s v="B01188"/>
    <s v="P015"/>
    <x v="1"/>
    <s v="Sold Out"/>
    <n v="28"/>
    <n v="28"/>
    <n v="0"/>
    <n v="0"/>
    <x v="590"/>
    <n v="56000"/>
    <n v="59.89"/>
    <n v="40600"/>
    <n v="15400"/>
    <n v="16.47"/>
    <n v="0"/>
    <d v="2023-07-17T00:00:00"/>
  </r>
  <r>
    <s v="B01189"/>
    <s v="P015"/>
    <x v="1"/>
    <s v="Partial Loss"/>
    <n v="26"/>
    <n v="17"/>
    <n v="9"/>
    <n v="34.6"/>
    <x v="3"/>
    <n v="34000"/>
    <n v="36.36"/>
    <n v="37700"/>
    <n v="-3700"/>
    <n v="-3.96"/>
    <n v="13050"/>
    <d v="2023-07-25T00:00:00"/>
  </r>
  <r>
    <s v="B01190"/>
    <s v="P015"/>
    <x v="1"/>
    <s v="Partial Loss"/>
    <n v="32"/>
    <n v="28.38"/>
    <n v="3.62"/>
    <n v="11.3"/>
    <x v="81"/>
    <n v="56760"/>
    <n v="60.71"/>
    <n v="46400"/>
    <n v="10360"/>
    <n v="11.08"/>
    <n v="5249"/>
    <d v="2023-07-29T00:00:00"/>
  </r>
  <r>
    <s v="B01191"/>
    <s v="P015"/>
    <x v="1"/>
    <s v="Partial Loss"/>
    <n v="32"/>
    <n v="26.05"/>
    <n v="5.95"/>
    <n v="18.600000000000001"/>
    <x v="0"/>
    <n v="52100"/>
    <n v="55.72"/>
    <n v="49600"/>
    <n v="2500"/>
    <n v="2.67"/>
    <n v="9222.5"/>
    <d v="2023-08-03T00:00:00"/>
  </r>
  <r>
    <s v="B01192"/>
    <s v="P015"/>
    <x v="1"/>
    <s v="Sold Out"/>
    <n v="33"/>
    <n v="33"/>
    <n v="0"/>
    <n v="0"/>
    <x v="501"/>
    <n v="66000"/>
    <n v="70.59"/>
    <n v="47850"/>
    <n v="18150"/>
    <n v="19.41"/>
    <n v="0"/>
    <d v="2023-08-10T00:00:00"/>
  </r>
  <r>
    <s v="B01193"/>
    <s v="P015"/>
    <x v="1"/>
    <s v="Partial Loss"/>
    <n v="32"/>
    <n v="24.22"/>
    <n v="7.78"/>
    <n v="24.3"/>
    <x v="566"/>
    <n v="48440"/>
    <n v="51.81"/>
    <n v="46400"/>
    <n v="2040"/>
    <n v="2.1800000000000002"/>
    <n v="11281"/>
    <d v="2023-08-16T00:00:00"/>
  </r>
  <r>
    <s v="B01194"/>
    <s v="P015"/>
    <x v="1"/>
    <s v="Partial Loss"/>
    <n v="29"/>
    <n v="22.42"/>
    <n v="6.58"/>
    <n v="22.7"/>
    <x v="2"/>
    <n v="44840"/>
    <n v="47.96"/>
    <n v="42050"/>
    <n v="2790"/>
    <n v="2.98"/>
    <n v="9541"/>
    <d v="2023-08-23T00:00:00"/>
  </r>
  <r>
    <s v="B01195"/>
    <s v="P015"/>
    <x v="1"/>
    <s v="Sold Out"/>
    <n v="34"/>
    <n v="34"/>
    <n v="0"/>
    <n v="0"/>
    <x v="6"/>
    <n v="68000"/>
    <n v="72.73"/>
    <n v="49300"/>
    <n v="18700"/>
    <n v="20"/>
    <n v="0"/>
    <d v="2023-08-30T00:00:00"/>
  </r>
  <r>
    <s v="B01196"/>
    <s v="P015"/>
    <x v="1"/>
    <s v="Sold Out"/>
    <n v="34"/>
    <n v="34"/>
    <n v="0"/>
    <n v="0"/>
    <x v="381"/>
    <n v="68000"/>
    <n v="72.73"/>
    <n v="52700"/>
    <n v="15300"/>
    <n v="16.36"/>
    <n v="0"/>
    <d v="2023-09-06T00:00:00"/>
  </r>
  <r>
    <s v="B01197"/>
    <s v="P015"/>
    <x v="1"/>
    <s v="Sold Out"/>
    <n v="36"/>
    <n v="36"/>
    <n v="0"/>
    <n v="0"/>
    <x v="348"/>
    <n v="72000"/>
    <n v="77.010000000000005"/>
    <n v="52200"/>
    <n v="19800"/>
    <n v="21.18"/>
    <n v="0"/>
    <d v="2023-09-12T00:00:00"/>
  </r>
  <r>
    <s v="B01198"/>
    <s v="P015"/>
    <x v="1"/>
    <s v="Sold Out"/>
    <n v="36"/>
    <n v="36"/>
    <n v="0"/>
    <n v="0"/>
    <x v="591"/>
    <n v="72000"/>
    <n v="77.010000000000005"/>
    <n v="52200"/>
    <n v="19800"/>
    <n v="21.18"/>
    <n v="0"/>
    <d v="2023-09-21T00:00:00"/>
  </r>
  <r>
    <s v="B01199"/>
    <s v="P015"/>
    <x v="1"/>
    <s v="Partial Loss"/>
    <n v="35"/>
    <n v="28.45"/>
    <n v="6.54"/>
    <n v="18.7"/>
    <x v="477"/>
    <n v="56900"/>
    <n v="60.86"/>
    <n v="50750"/>
    <n v="6150"/>
    <n v="6.58"/>
    <n v="9483"/>
    <d v="2023-09-26T00:00:00"/>
  </r>
  <r>
    <s v="B01200"/>
    <s v="P015"/>
    <x v="1"/>
    <s v="Sold Out"/>
    <n v="31"/>
    <n v="31"/>
    <n v="0"/>
    <n v="0"/>
    <x v="592"/>
    <n v="62000"/>
    <n v="66.31"/>
    <n v="44950"/>
    <n v="17050"/>
    <n v="18.239999999999998"/>
    <n v="0"/>
    <d v="2023-10-02T00:00:00"/>
  </r>
  <r>
    <s v="B01201"/>
    <s v="P015"/>
    <x v="1"/>
    <s v="Sold Out"/>
    <n v="26"/>
    <n v="26"/>
    <n v="0"/>
    <n v="0"/>
    <x v="445"/>
    <n v="52000"/>
    <n v="55.61"/>
    <n v="37700"/>
    <n v="14300"/>
    <n v="15.29"/>
    <n v="0"/>
    <d v="2023-10-09T00:00:00"/>
  </r>
  <r>
    <s v="B01202"/>
    <s v="P015"/>
    <x v="1"/>
    <s v="Partial Loss"/>
    <n v="30"/>
    <n v="22.08"/>
    <n v="7.92"/>
    <n v="26.4"/>
    <x v="593"/>
    <n v="44160"/>
    <n v="47.23"/>
    <n v="43500"/>
    <n v="660"/>
    <n v="0.71"/>
    <n v="11484"/>
    <d v="2023-10-16T00:00:00"/>
  </r>
  <r>
    <s v="B01203"/>
    <s v="P015"/>
    <x v="1"/>
    <s v="Partial Loss"/>
    <n v="31"/>
    <n v="23.41"/>
    <n v="7.59"/>
    <n v="24.5"/>
    <x v="303"/>
    <n v="46820"/>
    <n v="50.07"/>
    <n v="44950"/>
    <n v="1870"/>
    <n v="2"/>
    <n v="11005.5"/>
    <d v="2023-10-22T00:00:00"/>
  </r>
  <r>
    <s v="B01204"/>
    <s v="P015"/>
    <x v="1"/>
    <s v="Sold Out"/>
    <n v="26"/>
    <n v="26"/>
    <n v="0"/>
    <n v="0"/>
    <x v="593"/>
    <n v="52000"/>
    <n v="55.61"/>
    <n v="37700"/>
    <n v="14300"/>
    <n v="15.29"/>
    <n v="0"/>
    <d v="2023-10-28T00:00:00"/>
  </r>
  <r>
    <s v="B01205"/>
    <s v="P015"/>
    <x v="1"/>
    <s v="Partial Loss"/>
    <n v="34"/>
    <n v="23.77"/>
    <n v="10.23"/>
    <n v="30.1"/>
    <x v="384"/>
    <n v="47540"/>
    <n v="50.84"/>
    <n v="49300"/>
    <n v="-1760"/>
    <n v="-1.88"/>
    <n v="14833.5"/>
    <d v="2023-11-04T00:00:00"/>
  </r>
  <r>
    <s v="B01206"/>
    <s v="P015"/>
    <x v="1"/>
    <s v="Sold Out"/>
    <n v="27"/>
    <n v="27"/>
    <n v="0"/>
    <n v="0"/>
    <x v="353"/>
    <n v="54000"/>
    <n v="57.75"/>
    <n v="39150"/>
    <n v="14850"/>
    <n v="15.88"/>
    <n v="0"/>
    <d v="2023-11-11T00:00:00"/>
  </r>
  <r>
    <s v="B01207"/>
    <s v="P015"/>
    <x v="1"/>
    <s v="Sold Out"/>
    <n v="31"/>
    <n v="31"/>
    <n v="0"/>
    <n v="0"/>
    <x v="422"/>
    <n v="62000"/>
    <n v="66.31"/>
    <n v="44950"/>
    <n v="17050"/>
    <n v="18.239999999999998"/>
    <n v="0"/>
    <d v="2023-11-17T00:00:00"/>
  </r>
  <r>
    <s v="B01208"/>
    <s v="P015"/>
    <x v="1"/>
    <s v="Sold Out"/>
    <n v="31"/>
    <n v="31"/>
    <n v="0"/>
    <n v="0"/>
    <x v="304"/>
    <n v="62000"/>
    <n v="66.31"/>
    <n v="44950"/>
    <n v="17050"/>
    <n v="18.239999999999998"/>
    <n v="0"/>
    <d v="2023-11-23T00:00:00"/>
  </r>
  <r>
    <s v="B01209"/>
    <s v="P015"/>
    <x v="1"/>
    <s v="Partial Loss"/>
    <n v="34"/>
    <n v="26.45"/>
    <n v="7.55"/>
    <n v="22.2"/>
    <x v="306"/>
    <n v="52900"/>
    <n v="56.58"/>
    <n v="49300"/>
    <n v="3600"/>
    <n v="3.85"/>
    <n v="10947.5"/>
    <d v="2023-11-29T00:00:00"/>
  </r>
  <r>
    <s v="B01210"/>
    <s v="P015"/>
    <x v="1"/>
    <s v="Partial Loss"/>
    <n v="40"/>
    <n v="30"/>
    <n v="10"/>
    <n v="25"/>
    <x v="18"/>
    <n v="60000"/>
    <n v="64.17"/>
    <n v="58000"/>
    <n v="2000"/>
    <n v="2.14"/>
    <n v="14500"/>
    <d v="2023-12-03T00:00:00"/>
  </r>
  <r>
    <s v="B01211"/>
    <s v="P015"/>
    <x v="1"/>
    <s v="Sold Out"/>
    <n v="45"/>
    <n v="45"/>
    <n v="0"/>
    <n v="0"/>
    <x v="594"/>
    <n v="90000"/>
    <n v="96.26"/>
    <n v="65250"/>
    <n v="24750"/>
    <n v="26.47"/>
    <n v="0"/>
    <d v="2023-12-11T00:00:00"/>
  </r>
  <r>
    <s v="B01212"/>
    <s v="P015"/>
    <x v="1"/>
    <s v="Sold Out"/>
    <n v="41"/>
    <n v="41"/>
    <n v="0"/>
    <n v="0"/>
    <x v="18"/>
    <n v="82000"/>
    <n v="87.7"/>
    <n v="59450"/>
    <n v="22550"/>
    <n v="24.12"/>
    <n v="0"/>
    <d v="2023-12-17T00:00:00"/>
  </r>
  <r>
    <s v="B01213"/>
    <s v="P015"/>
    <x v="1"/>
    <s v="Sold Out"/>
    <n v="36"/>
    <n v="36"/>
    <n v="0"/>
    <n v="0"/>
    <x v="155"/>
    <n v="72000"/>
    <n v="77.010000000000005"/>
    <n v="52200"/>
    <n v="19800"/>
    <n v="21.18"/>
    <n v="0"/>
    <d v="2023-12-24T00:00:00"/>
  </r>
  <r>
    <s v="B01214"/>
    <s v="P015"/>
    <x v="1"/>
    <s v="Sold Out"/>
    <n v="34"/>
    <n v="34"/>
    <n v="0"/>
    <n v="0"/>
    <x v="387"/>
    <n v="68000"/>
    <n v="72.73"/>
    <n v="49300"/>
    <n v="18700"/>
    <n v="20"/>
    <n v="0"/>
    <d v="2023-12-29T00:00:00"/>
  </r>
  <r>
    <s v="B01215"/>
    <s v="P015"/>
    <x v="1"/>
    <s v="Partial Loss"/>
    <n v="27"/>
    <n v="19.87"/>
    <n v="7.13"/>
    <n v="26.4"/>
    <x v="541"/>
    <n v="39740"/>
    <n v="42.5"/>
    <n v="39150"/>
    <n v="590"/>
    <n v="0.63"/>
    <n v="10338.5"/>
    <d v="2024-01-05T00:00:00"/>
  </r>
  <r>
    <s v="B01216"/>
    <s v="P015"/>
    <x v="1"/>
    <s v="Partial Loss"/>
    <n v="26"/>
    <n v="22.72"/>
    <n v="3.28"/>
    <n v="12.6"/>
    <x v="508"/>
    <n v="45440"/>
    <n v="48.6"/>
    <n v="37700"/>
    <n v="7740"/>
    <n v="8.2799999999999994"/>
    <n v="4756"/>
    <d v="2024-01-13T00:00:00"/>
  </r>
  <r>
    <s v="B01217"/>
    <s v="P015"/>
    <x v="1"/>
    <s v="Sold Out"/>
    <n v="32"/>
    <n v="32"/>
    <n v="0"/>
    <n v="0"/>
    <x v="541"/>
    <n v="64000"/>
    <n v="68.45"/>
    <n v="49600"/>
    <n v="14400"/>
    <n v="15.4"/>
    <n v="0"/>
    <d v="2024-01-21T00:00:00"/>
  </r>
  <r>
    <s v="B01218"/>
    <s v="P015"/>
    <x v="1"/>
    <s v="Sold Out"/>
    <n v="32"/>
    <n v="32"/>
    <n v="0"/>
    <n v="0"/>
    <x v="309"/>
    <n v="64000"/>
    <n v="68.45"/>
    <n v="46400"/>
    <n v="17600"/>
    <n v="18.82"/>
    <n v="0"/>
    <d v="2024-01-28T00:00:00"/>
  </r>
  <r>
    <s v="B01219"/>
    <s v="P015"/>
    <x v="1"/>
    <s v="Partial Loss"/>
    <n v="27"/>
    <n v="17.579999999999998"/>
    <n v="9.42"/>
    <n v="34.9"/>
    <x v="595"/>
    <n v="35160"/>
    <n v="37.6"/>
    <n v="39150"/>
    <n v="-3990"/>
    <n v="-4.2699999999999996"/>
    <n v="13659"/>
    <d v="2024-02-05T00:00:00"/>
  </r>
  <r>
    <s v="B01220"/>
    <s v="P015"/>
    <x v="1"/>
    <s v="Partial Loss"/>
    <n v="33"/>
    <n v="21.98"/>
    <n v="11.02"/>
    <n v="33.4"/>
    <x v="511"/>
    <n v="43960"/>
    <n v="47.02"/>
    <n v="47850"/>
    <n v="-3890"/>
    <n v="-4.16"/>
    <n v="15979"/>
    <d v="2024-02-13T00:00:00"/>
  </r>
  <r>
    <s v="B01221"/>
    <s v="P015"/>
    <x v="1"/>
    <s v="Partial Loss"/>
    <n v="34"/>
    <n v="23.02"/>
    <n v="10.98"/>
    <n v="32.299999999999997"/>
    <x v="596"/>
    <n v="46040"/>
    <n v="49.24"/>
    <n v="49300"/>
    <n v="-3260"/>
    <n v="-3.49"/>
    <n v="15921"/>
    <d v="2024-02-19T00:00:00"/>
  </r>
  <r>
    <s v="B01222"/>
    <s v="P015"/>
    <x v="1"/>
    <s v="Sold Out"/>
    <n v="33"/>
    <n v="33"/>
    <n v="0"/>
    <n v="0"/>
    <x v="510"/>
    <n v="66000"/>
    <n v="70.59"/>
    <n v="47850"/>
    <n v="18150"/>
    <n v="19.41"/>
    <n v="0"/>
    <d v="2024-02-25T00:00:00"/>
  </r>
  <r>
    <s v="B01223"/>
    <s v="P015"/>
    <x v="1"/>
    <s v="Sold Out"/>
    <n v="30"/>
    <n v="30"/>
    <n v="0"/>
    <n v="0"/>
    <x v="572"/>
    <n v="60000"/>
    <n v="64.17"/>
    <n v="43500"/>
    <n v="16500"/>
    <n v="17.649999999999999"/>
    <n v="0"/>
    <d v="2024-03-02T00:00:00"/>
  </r>
  <r>
    <s v="B01224"/>
    <s v="P015"/>
    <x v="1"/>
    <s v="Sold Out"/>
    <n v="33"/>
    <n v="33"/>
    <n v="0"/>
    <n v="0"/>
    <x v="597"/>
    <n v="66000"/>
    <n v="70.59"/>
    <n v="47850"/>
    <n v="18150"/>
    <n v="19.41"/>
    <n v="0"/>
    <d v="2024-03-08T00:00:00"/>
  </r>
  <r>
    <s v="B01225"/>
    <s v="P015"/>
    <x v="1"/>
    <s v="Sold Out"/>
    <n v="26"/>
    <n v="26"/>
    <n v="0"/>
    <n v="0"/>
    <x v="264"/>
    <n v="52000"/>
    <n v="55.61"/>
    <n v="37700"/>
    <n v="14300"/>
    <n v="15.29"/>
    <n v="0"/>
    <d v="2024-03-15T00:00:00"/>
  </r>
  <r>
    <s v="B01226"/>
    <s v="P015"/>
    <x v="1"/>
    <s v="Partial Loss"/>
    <n v="26"/>
    <n v="22.49"/>
    <n v="3.51"/>
    <n v="13.5"/>
    <x v="546"/>
    <n v="44980"/>
    <n v="48.11"/>
    <n v="37700"/>
    <n v="7280"/>
    <n v="7.79"/>
    <n v="5089.5"/>
    <d v="2024-03-22T00:00:00"/>
  </r>
  <r>
    <s v="B01227"/>
    <s v="P015"/>
    <x v="1"/>
    <s v="Sold Out"/>
    <n v="26"/>
    <n v="26"/>
    <n v="0"/>
    <n v="0"/>
    <x v="598"/>
    <n v="52000"/>
    <n v="55.61"/>
    <n v="40300"/>
    <n v="11700"/>
    <n v="12.51"/>
    <n v="0"/>
    <d v="2024-03-30T00:00:00"/>
  </r>
  <r>
    <s v="B01228"/>
    <s v="P015"/>
    <x v="1"/>
    <s v="Partial Loss"/>
    <n v="31"/>
    <n v="30.44"/>
    <n v="0.56000000000000005"/>
    <n v="1.8"/>
    <x v="95"/>
    <n v="60880"/>
    <n v="65.11"/>
    <n v="44950"/>
    <n v="15930"/>
    <n v="17.04"/>
    <n v="812.00000000000011"/>
    <d v="2024-04-03T00:00:00"/>
  </r>
  <r>
    <s v="B01229"/>
    <s v="P015"/>
    <x v="1"/>
    <s v="Sold Out"/>
    <n v="26"/>
    <n v="26"/>
    <n v="0"/>
    <n v="0"/>
    <x v="599"/>
    <n v="52000"/>
    <n v="55.61"/>
    <n v="37700"/>
    <n v="14300"/>
    <n v="15.29"/>
    <n v="0"/>
    <d v="2024-04-11T00:00:00"/>
  </r>
  <r>
    <s v="B01230"/>
    <s v="P015"/>
    <x v="1"/>
    <s v="Sold Out"/>
    <n v="27"/>
    <n v="27"/>
    <n v="0"/>
    <n v="0"/>
    <x v="266"/>
    <n v="54000"/>
    <n v="57.75"/>
    <n v="39150"/>
    <n v="14850"/>
    <n v="15.88"/>
    <n v="0"/>
    <d v="2024-04-16T00:00:00"/>
  </r>
  <r>
    <s v="B01231"/>
    <s v="P015"/>
    <x v="1"/>
    <s v="Sold Out"/>
    <n v="34"/>
    <n v="34"/>
    <n v="0"/>
    <n v="0"/>
    <x v="513"/>
    <n v="68000"/>
    <n v="72.73"/>
    <n v="49300"/>
    <n v="18700"/>
    <n v="20"/>
    <n v="0"/>
    <d v="2024-04-22T00:00:00"/>
  </r>
  <r>
    <s v="B01232"/>
    <s v="P015"/>
    <x v="1"/>
    <s v="Sold Out"/>
    <n v="32"/>
    <n v="32"/>
    <n v="0"/>
    <n v="0"/>
    <x v="316"/>
    <n v="64000"/>
    <n v="68.45"/>
    <n v="46400"/>
    <n v="17600"/>
    <n v="18.82"/>
    <n v="0"/>
    <d v="2024-04-28T00:00:00"/>
  </r>
  <r>
    <s v="B01233"/>
    <s v="P015"/>
    <x v="1"/>
    <s v="Partial Loss"/>
    <n v="32"/>
    <n v="25.34"/>
    <n v="6.66"/>
    <n v="20.8"/>
    <x v="30"/>
    <n v="50680"/>
    <n v="54.2"/>
    <n v="46400"/>
    <n v="4280"/>
    <n v="4.58"/>
    <n v="9657"/>
    <d v="2024-05-04T00:00:00"/>
  </r>
  <r>
    <s v="B01234"/>
    <s v="P015"/>
    <x v="1"/>
    <s v="Sold Out"/>
    <n v="33"/>
    <n v="33"/>
    <n v="0"/>
    <n v="0"/>
    <x v="600"/>
    <n v="66000"/>
    <n v="70.59"/>
    <n v="47850"/>
    <n v="18150"/>
    <n v="19.41"/>
    <n v="0"/>
    <d v="2024-05-11T00:00:00"/>
  </r>
  <r>
    <s v="B01235"/>
    <s v="P015"/>
    <x v="1"/>
    <s v="Partial Loss"/>
    <n v="30"/>
    <n v="21.3"/>
    <n v="8.6999999999999993"/>
    <n v="29"/>
    <x v="396"/>
    <n v="42600"/>
    <n v="45.56"/>
    <n v="46500"/>
    <n v="-3900"/>
    <n v="-4.17"/>
    <n v="13484.999999999998"/>
    <d v="2024-05-20T00:00:00"/>
  </r>
  <r>
    <s v="B01236"/>
    <s v="P015"/>
    <x v="1"/>
    <s v="Sold Out"/>
    <n v="34"/>
    <n v="34"/>
    <n v="0"/>
    <n v="0"/>
    <x v="99"/>
    <n v="68000"/>
    <n v="72.73"/>
    <n v="49300"/>
    <n v="18700"/>
    <n v="20"/>
    <n v="0"/>
    <d v="2024-05-26T00:00:00"/>
  </r>
  <r>
    <s v="B01237"/>
    <s v="P015"/>
    <x v="1"/>
    <s v="Partial Loss"/>
    <n v="30"/>
    <n v="21.27"/>
    <n v="8.73"/>
    <n v="29.1"/>
    <x v="318"/>
    <n v="42540"/>
    <n v="45.5"/>
    <n v="43500"/>
    <n v="-960"/>
    <n v="-1.03"/>
    <n v="12658.5"/>
    <d v="2024-06-02T00:00:00"/>
  </r>
  <r>
    <s v="B01238"/>
    <s v="P015"/>
    <x v="1"/>
    <s v="Partial Loss"/>
    <n v="29"/>
    <n v="23.46"/>
    <n v="5.54"/>
    <n v="19.100000000000001"/>
    <x v="38"/>
    <n v="46920"/>
    <n v="50.18"/>
    <n v="42050"/>
    <n v="4870"/>
    <n v="5.21"/>
    <n v="8033"/>
    <d v="2024-06-07T00:00:00"/>
  </r>
  <r>
    <s v="B01239"/>
    <s v="P015"/>
    <x v="1"/>
    <s v="Partial Loss"/>
    <n v="28"/>
    <n v="21.14"/>
    <n v="6.86"/>
    <n v="24.5"/>
    <x v="268"/>
    <n v="42280"/>
    <n v="45.22"/>
    <n v="40600"/>
    <n v="1680"/>
    <n v="1.8"/>
    <n v="9947"/>
    <d v="2024-06-14T00:00:00"/>
  </r>
  <r>
    <s v="B01240"/>
    <s v="P015"/>
    <x v="1"/>
    <s v="Partial Loss"/>
    <n v="30"/>
    <n v="25.38"/>
    <n v="4.62"/>
    <n v="15.4"/>
    <x v="168"/>
    <n v="50760"/>
    <n v="54.29"/>
    <n v="43500"/>
    <n v="7260"/>
    <n v="7.76"/>
    <n v="6699"/>
    <d v="2024-06-22T00:00:00"/>
  </r>
  <r>
    <s v="B01241"/>
    <s v="P015"/>
    <x v="1"/>
    <s v="Sold Out"/>
    <n v="33"/>
    <n v="33"/>
    <n v="0"/>
    <n v="0"/>
    <x v="268"/>
    <n v="66000"/>
    <n v="70.59"/>
    <n v="47850"/>
    <n v="18150"/>
    <n v="19.41"/>
    <n v="0"/>
    <d v="2024-06-29T00:00:00"/>
  </r>
  <r>
    <s v="B01242"/>
    <s v="P015"/>
    <x v="1"/>
    <s v="Partial Loss"/>
    <n v="34"/>
    <n v="27.13"/>
    <n v="6.87"/>
    <n v="20.2"/>
    <x v="516"/>
    <n v="54260"/>
    <n v="58.03"/>
    <n v="52700"/>
    <n v="1560"/>
    <n v="1.67"/>
    <n v="10648.5"/>
    <d v="2024-07-07T00:00:00"/>
  </r>
  <r>
    <s v="B01243"/>
    <s v="P015"/>
    <x v="1"/>
    <s v="Partial Loss"/>
    <n v="27"/>
    <n v="21.65"/>
    <n v="5.35"/>
    <n v="19.8"/>
    <x v="487"/>
    <n v="43300"/>
    <n v="46.31"/>
    <n v="39150"/>
    <n v="4150"/>
    <n v="4.4400000000000004"/>
    <n v="7757.4999999999991"/>
    <d v="2024-07-13T00:00:00"/>
  </r>
  <r>
    <s v="B01244"/>
    <s v="P015"/>
    <x v="1"/>
    <s v="Sold Out"/>
    <n v="31"/>
    <n v="31"/>
    <n v="0"/>
    <n v="0"/>
    <x v="551"/>
    <n v="62000"/>
    <n v="66.31"/>
    <n v="44950"/>
    <n v="17050"/>
    <n v="18.239999999999998"/>
    <n v="0"/>
    <d v="2024-07-19T00:00:00"/>
  </r>
  <r>
    <s v="B01245"/>
    <s v="P015"/>
    <x v="1"/>
    <s v="Sold Out"/>
    <n v="31"/>
    <n v="31"/>
    <n v="0"/>
    <n v="0"/>
    <x v="398"/>
    <n v="62000"/>
    <n v="66.31"/>
    <n v="44950"/>
    <n v="17050"/>
    <n v="18.239999999999998"/>
    <n v="0"/>
    <d v="2024-07-27T00:00:00"/>
  </r>
  <r>
    <s v="B01246"/>
    <s v="P015"/>
    <x v="1"/>
    <s v="Sold Out"/>
    <n v="34"/>
    <n v="34"/>
    <n v="0"/>
    <n v="0"/>
    <x v="601"/>
    <n v="68000"/>
    <n v="72.73"/>
    <n v="49300"/>
    <n v="18700"/>
    <n v="20"/>
    <n v="0"/>
    <d v="2024-08-04T00:00:00"/>
  </r>
  <r>
    <s v="B01247"/>
    <s v="P015"/>
    <x v="1"/>
    <s v="Partial Loss"/>
    <n v="27"/>
    <n v="23.73"/>
    <n v="3.27"/>
    <n v="12.1"/>
    <x v="602"/>
    <n v="47460"/>
    <n v="50.76"/>
    <n v="39150"/>
    <n v="8310"/>
    <n v="8.89"/>
    <n v="4741.5"/>
    <d v="2024-08-11T00:00:00"/>
  </r>
  <r>
    <s v="B01248"/>
    <s v="P015"/>
    <x v="1"/>
    <s v="Sold Out"/>
    <n v="27"/>
    <n v="27"/>
    <n v="0"/>
    <n v="0"/>
    <x v="552"/>
    <n v="54000"/>
    <n v="57.75"/>
    <n v="39150"/>
    <n v="14850"/>
    <n v="15.88"/>
    <n v="0"/>
    <d v="2024-08-19T00:00:00"/>
  </r>
  <r>
    <s v="B01249"/>
    <s v="P015"/>
    <x v="1"/>
    <s v="Sold Out"/>
    <n v="33"/>
    <n v="33"/>
    <n v="0"/>
    <n v="0"/>
    <x v="603"/>
    <n v="66000"/>
    <n v="70.59"/>
    <n v="47850"/>
    <n v="18150"/>
    <n v="19.41"/>
    <n v="0"/>
    <d v="2024-08-26T00:00:00"/>
  </r>
  <r>
    <s v="B01250"/>
    <s v="P015"/>
    <x v="1"/>
    <s v="Partial Loss"/>
    <n v="34"/>
    <n v="28.87"/>
    <n v="5.13"/>
    <n v="15.1"/>
    <x v="112"/>
    <n v="57740"/>
    <n v="61.75"/>
    <n v="52700"/>
    <n v="5040"/>
    <n v="5.39"/>
    <n v="7951.5"/>
    <d v="2024-08-31T00:00:00"/>
  </r>
  <r>
    <s v="B01251"/>
    <s v="P015"/>
    <x v="1"/>
    <s v="Sold Out"/>
    <n v="39"/>
    <n v="39"/>
    <n v="0"/>
    <n v="0"/>
    <x v="604"/>
    <n v="78000"/>
    <n v="83.42"/>
    <n v="56550"/>
    <n v="21450"/>
    <n v="22.94"/>
    <n v="0"/>
    <d v="2024-09-05T00:00:00"/>
  </r>
  <r>
    <s v="B01252"/>
    <s v="P015"/>
    <x v="1"/>
    <s v="Sold Out"/>
    <n v="39"/>
    <n v="39"/>
    <n v="0"/>
    <n v="0"/>
    <x v="401"/>
    <n v="78000"/>
    <n v="83.42"/>
    <n v="56550"/>
    <n v="21450"/>
    <n v="22.94"/>
    <n v="0"/>
    <d v="2024-09-11T00:00:00"/>
  </r>
  <r>
    <s v="B01253"/>
    <s v="P015"/>
    <x v="1"/>
    <s v="Sold Out"/>
    <n v="43"/>
    <n v="43"/>
    <n v="0"/>
    <n v="0"/>
    <x v="42"/>
    <n v="86000"/>
    <n v="91.98"/>
    <n v="62350"/>
    <n v="23650"/>
    <n v="25.29"/>
    <n v="0"/>
    <d v="2024-09-18T00:00:00"/>
  </r>
  <r>
    <s v="B01254"/>
    <s v="P015"/>
    <x v="1"/>
    <s v="Sold Out"/>
    <n v="33"/>
    <n v="33"/>
    <n v="0"/>
    <n v="0"/>
    <x v="328"/>
    <n v="66000"/>
    <n v="70.59"/>
    <n v="47850"/>
    <n v="18150"/>
    <n v="19.41"/>
    <n v="0"/>
    <d v="2024-09-24T00:00:00"/>
  </r>
  <r>
    <s v="B01255"/>
    <s v="P015"/>
    <x v="1"/>
    <s v="Partial Loss"/>
    <n v="36"/>
    <n v="25.02"/>
    <n v="10.98"/>
    <n v="30.5"/>
    <x v="461"/>
    <n v="50040"/>
    <n v="53.52"/>
    <n v="52200"/>
    <n v="-2160"/>
    <n v="-2.31"/>
    <n v="15921"/>
    <d v="2024-09-30T00:00:00"/>
  </r>
  <r>
    <s v="B01256"/>
    <s v="P015"/>
    <x v="1"/>
    <s v="Sold Out"/>
    <n v="31"/>
    <n v="31"/>
    <n v="0"/>
    <n v="0"/>
    <x v="605"/>
    <n v="62000"/>
    <n v="66.31"/>
    <n v="44950"/>
    <n v="17050"/>
    <n v="18.239999999999998"/>
    <n v="0"/>
    <d v="2024-10-07T00:00:00"/>
  </r>
  <r>
    <s v="B01257"/>
    <s v="P015"/>
    <x v="1"/>
    <s v="Partial Loss"/>
    <n v="29"/>
    <n v="24.21"/>
    <n v="4.79"/>
    <n v="16.5"/>
    <x v="606"/>
    <n v="48420"/>
    <n v="51.79"/>
    <n v="42050"/>
    <n v="6370"/>
    <n v="6.81"/>
    <n v="6945.5"/>
    <d v="2024-10-12T00:00:00"/>
  </r>
  <r>
    <s v="B01258"/>
    <s v="P015"/>
    <x v="1"/>
    <s v="Sold Out"/>
    <n v="31"/>
    <n v="31"/>
    <n v="0"/>
    <n v="0"/>
    <x v="276"/>
    <n v="62000"/>
    <n v="66.31"/>
    <n v="44950"/>
    <n v="17050"/>
    <n v="18.239999999999998"/>
    <n v="0"/>
    <d v="2024-10-21T00:00:00"/>
  </r>
  <r>
    <s v="B01259"/>
    <s v="P015"/>
    <x v="1"/>
    <s v="Partial Loss"/>
    <n v="33"/>
    <n v="30.92"/>
    <n v="2.08"/>
    <n v="6.3"/>
    <x v="607"/>
    <n v="61840"/>
    <n v="66.14"/>
    <n v="47850"/>
    <n v="13990"/>
    <n v="14.96"/>
    <n v="3016"/>
    <d v="2024-10-28T00:00:00"/>
  </r>
  <r>
    <s v="B01260"/>
    <s v="P015"/>
    <x v="1"/>
    <s v="Sold Out"/>
    <n v="31"/>
    <n v="31"/>
    <n v="0"/>
    <n v="0"/>
    <x v="608"/>
    <n v="62000"/>
    <n v="66.31"/>
    <n v="44950"/>
    <n v="17050"/>
    <n v="18.239999999999998"/>
    <n v="0"/>
    <d v="2024-11-05T00:00:00"/>
  </r>
  <r>
    <s v="B01261"/>
    <s v="P015"/>
    <x v="1"/>
    <s v="Sold Out"/>
    <n v="31"/>
    <n v="31"/>
    <n v="0"/>
    <n v="0"/>
    <x v="226"/>
    <n v="62000"/>
    <n v="66.31"/>
    <n v="44950"/>
    <n v="17050"/>
    <n v="18.239999999999998"/>
    <n v="0"/>
    <d v="2024-11-09T00:00:00"/>
  </r>
  <r>
    <s v="B01262"/>
    <s v="P015"/>
    <x v="1"/>
    <s v="Sold Out"/>
    <n v="29"/>
    <n v="29"/>
    <n v="0"/>
    <n v="0"/>
    <x v="609"/>
    <n v="58000"/>
    <n v="62.03"/>
    <n v="42050"/>
    <n v="15950"/>
    <n v="17.059999999999999"/>
    <n v="0"/>
    <d v="2024-11-16T00:00:00"/>
  </r>
  <r>
    <s v="B01263"/>
    <s v="P015"/>
    <x v="1"/>
    <s v="Sold Out"/>
    <n v="33"/>
    <n v="33"/>
    <n v="0"/>
    <n v="0"/>
    <x v="404"/>
    <n v="66000"/>
    <n v="70.59"/>
    <n v="47850"/>
    <n v="18150"/>
    <n v="19.41"/>
    <n v="0"/>
    <d v="2024-11-22T00:00:00"/>
  </r>
  <r>
    <s v="B01264"/>
    <s v="P015"/>
    <x v="1"/>
    <s v="Sold Out"/>
    <n v="26"/>
    <n v="26"/>
    <n v="0"/>
    <n v="0"/>
    <x v="610"/>
    <n v="52000"/>
    <n v="55.61"/>
    <n v="37700"/>
    <n v="14300"/>
    <n v="15.29"/>
    <n v="0"/>
    <d v="2024-11-27T00:00:00"/>
  </r>
  <r>
    <s v="B01265"/>
    <s v="P015"/>
    <x v="1"/>
    <s v="Partial Loss"/>
    <n v="44"/>
    <n v="31.02"/>
    <n v="12.98"/>
    <n v="29.5"/>
    <x v="122"/>
    <n v="62040"/>
    <n v="66.349999999999994"/>
    <n v="63800"/>
    <n v="-1760"/>
    <n v="-1.88"/>
    <n v="18821"/>
    <d v="2024-12-05T00:00:00"/>
  </r>
  <r>
    <s v="B01266"/>
    <s v="P015"/>
    <x v="1"/>
    <s v="Partial Loss"/>
    <n v="36"/>
    <n v="23.18"/>
    <n v="12.82"/>
    <n v="35.6"/>
    <x v="611"/>
    <n v="46360"/>
    <n v="49.58"/>
    <n v="55800"/>
    <n v="-9440"/>
    <n v="-10.1"/>
    <n v="19871"/>
    <d v="2024-12-12T00:00:00"/>
  </r>
  <r>
    <s v="B01267"/>
    <s v="P015"/>
    <x v="1"/>
    <s v="Sold Out"/>
    <n v="37"/>
    <n v="37"/>
    <n v="0"/>
    <n v="0"/>
    <x v="228"/>
    <n v="74000"/>
    <n v="79.14"/>
    <n v="53650"/>
    <n v="20350"/>
    <n v="21.76"/>
    <n v="0"/>
    <d v="2024-12-18T00:00:00"/>
  </r>
  <r>
    <s v="B01268"/>
    <s v="P015"/>
    <x v="1"/>
    <s v="Sold Out"/>
    <n v="36"/>
    <n v="36"/>
    <n v="0"/>
    <n v="0"/>
    <x v="611"/>
    <n v="72000"/>
    <n v="77.010000000000005"/>
    <n v="52200"/>
    <n v="19800"/>
    <n v="21.18"/>
    <n v="0"/>
    <d v="2024-12-27T00:00:00"/>
  </r>
  <r>
    <s v="B01269"/>
    <s v="P015"/>
    <x v="1"/>
    <s v="Sold Out"/>
    <n v="28"/>
    <n v="28"/>
    <n v="0"/>
    <n v="0"/>
    <x v="229"/>
    <n v="56000"/>
    <n v="59.89"/>
    <n v="40600"/>
    <n v="15400"/>
    <n v="16.47"/>
    <n v="0"/>
    <d v="2025-01-02T00:00:00"/>
  </r>
  <r>
    <s v="B01270"/>
    <s v="P015"/>
    <x v="1"/>
    <s v="Sold Out"/>
    <n v="28"/>
    <n v="28"/>
    <n v="0"/>
    <n v="0"/>
    <x v="407"/>
    <n v="56000"/>
    <n v="59.89"/>
    <n v="40600"/>
    <n v="15400"/>
    <n v="16.47"/>
    <n v="0"/>
    <d v="2025-01-09T00:00:00"/>
  </r>
  <r>
    <s v="B01271"/>
    <s v="P015"/>
    <x v="1"/>
    <s v="Sold Out"/>
    <n v="33"/>
    <n v="33"/>
    <n v="0"/>
    <n v="0"/>
    <x v="558"/>
    <n v="66000"/>
    <n v="70.59"/>
    <n v="47850"/>
    <n v="18150"/>
    <n v="19.41"/>
    <n v="0"/>
    <d v="2025-01-14T00:00:00"/>
  </r>
  <r>
    <s v="B01272"/>
    <s v="P015"/>
    <x v="1"/>
    <s v="Sold Out"/>
    <n v="29"/>
    <n v="29"/>
    <n v="0"/>
    <n v="0"/>
    <x v="182"/>
    <n v="58000"/>
    <n v="62.03"/>
    <n v="42050"/>
    <n v="15950"/>
    <n v="17.059999999999999"/>
    <n v="0"/>
    <d v="2025-01-23T00:00:00"/>
  </r>
  <r>
    <s v="B01273"/>
    <s v="P015"/>
    <x v="1"/>
    <s v="Sold Out"/>
    <n v="37"/>
    <n v="37"/>
    <n v="0"/>
    <n v="0"/>
    <x v="231"/>
    <n v="74000"/>
    <n v="79.14"/>
    <n v="53650"/>
    <n v="20350"/>
    <n v="21.76"/>
    <n v="0"/>
    <d v="2025-02-01T00:00:00"/>
  </r>
  <r>
    <s v="B01274"/>
    <s v="P015"/>
    <x v="1"/>
    <s v="Partial Loss"/>
    <n v="35"/>
    <n v="22.61"/>
    <n v="12.39"/>
    <n v="35.4"/>
    <x v="62"/>
    <n v="45220"/>
    <n v="48.36"/>
    <n v="50750"/>
    <n v="-5530"/>
    <n v="-5.91"/>
    <n v="17965.5"/>
    <d v="2025-02-08T00:00:00"/>
  </r>
  <r>
    <s v="B01275"/>
    <s v="P015"/>
    <x v="1"/>
    <s v="Partial Loss"/>
    <n v="33"/>
    <n v="23.23"/>
    <n v="9.77"/>
    <n v="29.6"/>
    <x v="235"/>
    <n v="46460"/>
    <n v="49.69"/>
    <n v="47850"/>
    <n v="-1390"/>
    <n v="-1.49"/>
    <n v="14166.5"/>
    <d v="2025-02-16T00:00:00"/>
  </r>
  <r>
    <s v="B01276"/>
    <s v="P015"/>
    <x v="1"/>
    <s v="Partial Loss"/>
    <n v="35"/>
    <n v="20.09"/>
    <n v="14.91"/>
    <n v="42.6"/>
    <x v="60"/>
    <n v="40180"/>
    <n v="42.97"/>
    <n v="50750"/>
    <n v="-10570"/>
    <n v="-11.3"/>
    <n v="21619.5"/>
    <d v="2025-02-22T00:00:00"/>
  </r>
  <r>
    <s v="B01277"/>
    <s v="P015"/>
    <x v="1"/>
    <s v="Partial Loss"/>
    <n v="29"/>
    <n v="20.79"/>
    <n v="8.2100000000000009"/>
    <n v="28.3"/>
    <x v="612"/>
    <n v="41580"/>
    <n v="44.47"/>
    <n v="42050"/>
    <n v="-470"/>
    <n v="-0.5"/>
    <n v="11904.500000000002"/>
    <d v="2025-02-28T00:00:00"/>
  </r>
  <r>
    <s v="B01278"/>
    <s v="P015"/>
    <x v="1"/>
    <s v="Partial Loss"/>
    <n v="35"/>
    <n v="26.74"/>
    <n v="8.26"/>
    <n v="23.6"/>
    <x v="493"/>
    <n v="53480"/>
    <n v="57.2"/>
    <n v="50750"/>
    <n v="2730"/>
    <n v="2.92"/>
    <n v="11977"/>
    <d v="2025-03-08T00:00:00"/>
  </r>
  <r>
    <s v="B01279"/>
    <s v="P015"/>
    <x v="1"/>
    <s v="Partial Loss"/>
    <n v="29"/>
    <n v="18.41"/>
    <n v="10.58"/>
    <n v="36.5"/>
    <x v="411"/>
    <n v="36820"/>
    <n v="39.380000000000003"/>
    <n v="42050"/>
    <n v="-5230"/>
    <n v="-5.59"/>
    <n v="15341"/>
    <d v="2025-03-14T00:00:00"/>
  </r>
  <r>
    <s v="B01280"/>
    <s v="P015"/>
    <x v="1"/>
    <s v="Partial Loss"/>
    <n v="34"/>
    <n v="29.17"/>
    <n v="4.83"/>
    <n v="14.2"/>
    <x v="438"/>
    <n v="58340"/>
    <n v="62.4"/>
    <n v="49300"/>
    <n v="9040"/>
    <n v="9.67"/>
    <n v="7003.5"/>
    <d v="2025-03-20T00:00:00"/>
  </r>
  <r>
    <s v="B01281"/>
    <s v="P015"/>
    <x v="1"/>
    <s v="Sold Out"/>
    <n v="30"/>
    <n v="30"/>
    <n v="0"/>
    <n v="0"/>
    <x v="613"/>
    <n v="60000"/>
    <n v="64.17"/>
    <n v="43500"/>
    <n v="16500"/>
    <n v="17.649999999999999"/>
    <n v="0"/>
    <d v="2025-03-26T00:00:00"/>
  </r>
  <r>
    <s v="B01282"/>
    <s v="P015"/>
    <x v="1"/>
    <s v="Sold Out"/>
    <n v="28"/>
    <n v="28"/>
    <n v="0"/>
    <n v="0"/>
    <x v="413"/>
    <n v="56000"/>
    <n v="59.89"/>
    <n v="43400"/>
    <n v="12600"/>
    <n v="13.48"/>
    <n v="0"/>
    <d v="2025-04-02T00:00:00"/>
  </r>
  <r>
    <s v="B01283"/>
    <s v="P015"/>
    <x v="1"/>
    <s v="Partial Loss"/>
    <n v="34"/>
    <n v="25.19"/>
    <n v="8.81"/>
    <n v="25.9"/>
    <x v="291"/>
    <n v="50380"/>
    <n v="53.88"/>
    <n v="49300"/>
    <n v="1080"/>
    <n v="1.1599999999999999"/>
    <n v="12774.5"/>
    <d v="2025-04-08T00:00:00"/>
  </r>
  <r>
    <s v="B01284"/>
    <s v="P015"/>
    <x v="1"/>
    <s v="Partial Loss"/>
    <n v="34"/>
    <n v="26.79"/>
    <n v="7.21"/>
    <n v="21.2"/>
    <x v="468"/>
    <n v="53580"/>
    <n v="57.3"/>
    <n v="49300"/>
    <n v="4280"/>
    <n v="4.58"/>
    <n v="10454.5"/>
    <d v="2025-04-14T00:00:00"/>
  </r>
  <r>
    <s v="B01285"/>
    <s v="P015"/>
    <x v="1"/>
    <s v="Sold Out"/>
    <n v="31"/>
    <n v="31"/>
    <n v="0"/>
    <n v="0"/>
    <x v="526"/>
    <n v="62000"/>
    <n v="66.31"/>
    <n v="44950"/>
    <n v="17050"/>
    <n v="18.239999999999998"/>
    <n v="0"/>
    <d v="2025-04-23T00:00:00"/>
  </r>
  <r>
    <s v="B01286"/>
    <s v="P015"/>
    <x v="1"/>
    <s v="Sold Out"/>
    <n v="28"/>
    <n v="28"/>
    <n v="0"/>
    <n v="0"/>
    <x v="614"/>
    <n v="56000"/>
    <n v="59.89"/>
    <n v="40600"/>
    <n v="15400"/>
    <n v="16.47"/>
    <n v="0"/>
    <d v="2025-05-01T00:00:00"/>
  </r>
  <r>
    <s v="B01287"/>
    <s v="P015"/>
    <x v="1"/>
    <s v="Partial Loss"/>
    <n v="36"/>
    <n v="25.78"/>
    <n v="10.220000000000001"/>
    <n v="28.4"/>
    <x v="615"/>
    <n v="51560"/>
    <n v="55.14"/>
    <n v="52200"/>
    <n v="-640"/>
    <n v="-0.68"/>
    <n v="14819.000000000002"/>
    <d v="2025-05-09T00:00:00"/>
  </r>
  <r>
    <s v="B01288"/>
    <s v="P015"/>
    <x v="1"/>
    <s v="Sold Out"/>
    <n v="36"/>
    <n v="36"/>
    <n v="0"/>
    <n v="0"/>
    <x v="133"/>
    <n v="72000"/>
    <n v="77.010000000000005"/>
    <n v="52200"/>
    <n v="19800"/>
    <n v="21.18"/>
    <n v="0"/>
    <d v="2025-05-16T00:00:00"/>
  </r>
  <r>
    <s v="B01289"/>
    <s v="P015"/>
    <x v="1"/>
    <s v="Partial Loss"/>
    <n v="36"/>
    <n v="30.92"/>
    <n v="5.08"/>
    <n v="14.1"/>
    <x v="338"/>
    <n v="61840"/>
    <n v="66.14"/>
    <n v="52200"/>
    <n v="9640"/>
    <n v="10.31"/>
    <n v="7366"/>
    <d v="2025-05-24T00:00:00"/>
  </r>
  <r>
    <s v="B01290"/>
    <s v="P015"/>
    <x v="1"/>
    <s v="Sold Out"/>
    <n v="31"/>
    <n v="31"/>
    <n v="0"/>
    <n v="0"/>
    <x v="616"/>
    <n v="62000"/>
    <n v="66.31"/>
    <n v="44950"/>
    <n v="17050"/>
    <n v="18.239999999999998"/>
    <n v="0"/>
    <d v="2025-05-30T00:00:00"/>
  </r>
  <r>
    <s v="B01291"/>
    <s v="P015"/>
    <x v="1"/>
    <s v="Sold Out"/>
    <n v="35"/>
    <n v="35"/>
    <n v="0"/>
    <n v="0"/>
    <x v="340"/>
    <n v="70000"/>
    <n v="74.87"/>
    <n v="50750"/>
    <n v="19250"/>
    <n v="20.59"/>
    <n v="0"/>
    <d v="2025-06-05T00:00:00"/>
  </r>
  <r>
    <s v="B01292"/>
    <s v="P015"/>
    <x v="1"/>
    <s v="Sold Out"/>
    <n v="32"/>
    <n v="32"/>
    <n v="0"/>
    <n v="0"/>
    <x v="295"/>
    <n v="64000"/>
    <n v="68.45"/>
    <n v="46400"/>
    <n v="17600"/>
    <n v="18.82"/>
    <n v="0"/>
    <d v="2025-06-11T00:00:00"/>
  </r>
  <r>
    <s v="B01293"/>
    <s v="P015"/>
    <x v="1"/>
    <s v="Sold Out"/>
    <n v="37"/>
    <n v="37"/>
    <n v="0"/>
    <n v="0"/>
    <x v="528"/>
    <n v="74000"/>
    <n v="79.14"/>
    <n v="53650"/>
    <n v="20350"/>
    <n v="21.76"/>
    <n v="0"/>
    <d v="2025-06-17T00:00:00"/>
  </r>
  <r>
    <s v="B01294"/>
    <s v="P015"/>
    <x v="1"/>
    <s v="Sold Out"/>
    <n v="31"/>
    <n v="31"/>
    <n v="0"/>
    <n v="0"/>
    <x v="617"/>
    <n v="62000"/>
    <n v="66.31"/>
    <n v="44950"/>
    <n v="17050"/>
    <n v="18.239999999999998"/>
    <n v="0"/>
    <d v="2025-06-22T00:00:00"/>
  </r>
  <r>
    <s v="B01295"/>
    <s v="P015"/>
    <x v="1"/>
    <s v="Sold Out"/>
    <n v="37"/>
    <n v="37"/>
    <n v="0"/>
    <n v="0"/>
    <x v="72"/>
    <n v="74000"/>
    <n v="79.14"/>
    <n v="53650"/>
    <n v="20350"/>
    <n v="21.76"/>
    <n v="0"/>
    <d v="2025-06-29T00:00:00"/>
  </r>
  <r>
    <s v="B01296"/>
    <s v="P016"/>
    <x v="2"/>
    <s v="Partial Loss"/>
    <n v="27"/>
    <n v="26.43"/>
    <n v="0.56999999999999995"/>
    <n v="2.1"/>
    <x v="209"/>
    <n v="79290"/>
    <n v="84.8"/>
    <n v="56700"/>
    <n v="22590"/>
    <n v="24.16"/>
    <n v="1197"/>
    <d v="2023-07-15T00:00:00"/>
  </r>
  <r>
    <s v="B01297"/>
    <s v="P016"/>
    <x v="2"/>
    <s v="Sold Out"/>
    <n v="26"/>
    <n v="26"/>
    <n v="0"/>
    <n v="0"/>
    <x v="2"/>
    <n v="78000"/>
    <n v="83.42"/>
    <n v="54600"/>
    <n v="23400"/>
    <n v="25.03"/>
    <n v="0"/>
    <d v="2023-08-20T00:00:00"/>
  </r>
  <r>
    <s v="B01298"/>
    <s v="P016"/>
    <x v="2"/>
    <s v="Sold Out"/>
    <n v="28"/>
    <n v="28"/>
    <n v="0"/>
    <n v="0"/>
    <x v="146"/>
    <n v="84000"/>
    <n v="89.84"/>
    <n v="58800"/>
    <n v="25200"/>
    <n v="26.95"/>
    <n v="0"/>
    <d v="2023-09-26T00:00:00"/>
  </r>
  <r>
    <s v="B01299"/>
    <s v="P016"/>
    <x v="2"/>
    <s v="Sold Out"/>
    <n v="27"/>
    <n v="27"/>
    <n v="0"/>
    <n v="0"/>
    <x v="446"/>
    <n v="81000"/>
    <n v="86.63"/>
    <n v="56700"/>
    <n v="24300"/>
    <n v="25.99"/>
    <n v="0"/>
    <d v="2023-11-04T00:00:00"/>
  </r>
  <r>
    <s v="B01300"/>
    <s v="P016"/>
    <x v="2"/>
    <s v="Sold Out"/>
    <n v="32"/>
    <n v="32"/>
    <n v="0"/>
    <n v="0"/>
    <x v="258"/>
    <n v="96000"/>
    <n v="102.67"/>
    <n v="67200"/>
    <n v="28800"/>
    <n v="30.8"/>
    <n v="0"/>
    <d v="2023-12-08T00:00:00"/>
  </r>
  <r>
    <s v="B01301"/>
    <s v="P016"/>
    <x v="2"/>
    <s v="Sold Out"/>
    <n v="21"/>
    <n v="21"/>
    <n v="0"/>
    <n v="0"/>
    <x v="356"/>
    <n v="63000"/>
    <n v="67.38"/>
    <n v="44100"/>
    <n v="18900"/>
    <n v="20.21"/>
    <n v="0"/>
    <d v="2024-01-14T00:00:00"/>
  </r>
  <r>
    <s v="B01302"/>
    <s v="P016"/>
    <x v="2"/>
    <s v="Sold Out"/>
    <n v="22"/>
    <n v="22"/>
    <n v="0"/>
    <n v="0"/>
    <x v="93"/>
    <n v="66000"/>
    <n v="70.59"/>
    <n v="46200"/>
    <n v="19800"/>
    <n v="21.18"/>
    <n v="0"/>
    <d v="2024-02-29T00:00:00"/>
  </r>
  <r>
    <s v="B01303"/>
    <s v="P016"/>
    <x v="2"/>
    <s v="Partial Loss"/>
    <n v="26"/>
    <n v="25.01"/>
    <n v="0.99"/>
    <n v="3.8"/>
    <x v="557"/>
    <n v="75030"/>
    <n v="80.25"/>
    <n v="54600"/>
    <n v="20430"/>
    <n v="21.85"/>
    <n v="2079"/>
    <d v="2024-04-11T00:00:00"/>
  </r>
  <r>
    <s v="B01304"/>
    <s v="P016"/>
    <x v="2"/>
    <s v="Partial Loss"/>
    <n v="23"/>
    <n v="22.33"/>
    <n v="0.67"/>
    <n v="2.9"/>
    <x v="229"/>
    <n v="66990"/>
    <n v="71.650000000000006"/>
    <n v="48300"/>
    <n v="18690"/>
    <n v="19.989999999999998"/>
    <n v="1407"/>
    <d v="2024-05-11T00:00:00"/>
  </r>
  <r>
    <s v="B01305"/>
    <s v="P016"/>
    <x v="2"/>
    <s v="Partial Loss"/>
    <n v="26"/>
    <n v="25.66"/>
    <n v="0.34"/>
    <n v="1.3"/>
    <x v="186"/>
    <n v="76980"/>
    <n v="82.33"/>
    <n v="54600"/>
    <n v="22380"/>
    <n v="23.94"/>
    <n v="714"/>
    <d v="2024-06-17T00:00:00"/>
  </r>
  <r>
    <s v="B01306"/>
    <s v="P016"/>
    <x v="2"/>
    <s v="Partial Loss"/>
    <n v="26"/>
    <n v="25.09"/>
    <n v="0.91"/>
    <n v="3.5"/>
    <x v="64"/>
    <n v="75270"/>
    <n v="80.5"/>
    <n v="54600"/>
    <n v="20670"/>
    <n v="22.11"/>
    <n v="1911"/>
    <d v="2024-07-22T00:00:00"/>
  </r>
  <r>
    <s v="B01307"/>
    <s v="P016"/>
    <x v="2"/>
    <s v="Sold Out"/>
    <n v="27"/>
    <n v="27"/>
    <n v="0"/>
    <n v="0"/>
    <x v="109"/>
    <n v="81000"/>
    <n v="86.63"/>
    <n v="56700"/>
    <n v="24300"/>
    <n v="25.99"/>
    <n v="0"/>
    <d v="2024-08-22T00:00:00"/>
  </r>
  <r>
    <s v="B01308"/>
    <s v="P016"/>
    <x v="2"/>
    <s v="Sold Out"/>
    <n v="27"/>
    <n v="27"/>
    <n v="0"/>
    <n v="0"/>
    <x v="462"/>
    <n v="81000"/>
    <n v="86.63"/>
    <n v="56700"/>
    <n v="24300"/>
    <n v="25.99"/>
    <n v="0"/>
    <d v="2024-09-20T00:00:00"/>
  </r>
  <r>
    <s v="B01309"/>
    <s v="P016"/>
    <x v="2"/>
    <s v="Partial Loss"/>
    <n v="22"/>
    <n v="21.12"/>
    <n v="0.88"/>
    <n v="4"/>
    <x v="70"/>
    <n v="63360"/>
    <n v="67.760000000000005"/>
    <n v="46200"/>
    <n v="17160"/>
    <n v="18.350000000000001"/>
    <n v="1848"/>
    <d v="2024-10-19T00:00:00"/>
  </r>
  <r>
    <s v="B01310"/>
    <s v="P016"/>
    <x v="2"/>
    <s v="Sold Out"/>
    <n v="27"/>
    <n v="27"/>
    <n v="0"/>
    <n v="0"/>
    <x v="618"/>
    <n v="81000"/>
    <n v="86.63"/>
    <n v="56700"/>
    <n v="24300"/>
    <n v="25.99"/>
    <n v="0"/>
    <d v="2024-11-13T00:00:00"/>
  </r>
  <r>
    <s v="B01311"/>
    <s v="P016"/>
    <x v="2"/>
    <s v="Partial Loss"/>
    <n v="30"/>
    <n v="28.77"/>
    <n v="1.23"/>
    <n v="4.0999999999999996"/>
    <x v="245"/>
    <n v="86310"/>
    <n v="92.31"/>
    <n v="63000"/>
    <n v="23310"/>
    <n v="24.93"/>
    <n v="2583"/>
    <d v="2024-12-16T00:00:00"/>
  </r>
  <r>
    <s v="B01312"/>
    <s v="P016"/>
    <x v="2"/>
    <s v="Sold Out"/>
    <n v="30"/>
    <n v="30"/>
    <n v="0"/>
    <n v="0"/>
    <x v="231"/>
    <n v="90000"/>
    <n v="96.26"/>
    <n v="63000"/>
    <n v="27000"/>
    <n v="28.88"/>
    <n v="0"/>
    <d v="2025-01-16T00:00:00"/>
  </r>
  <r>
    <s v="B01313"/>
    <s v="P016"/>
    <x v="2"/>
    <s v="Partial Loss"/>
    <n v="24"/>
    <n v="22.51"/>
    <n v="1.49"/>
    <n v="6.2"/>
    <x v="619"/>
    <n v="67530"/>
    <n v="72.22"/>
    <n v="52800"/>
    <n v="14730"/>
    <n v="15.75"/>
    <n v="3278"/>
    <d v="2025-02-25T00:00:00"/>
  </r>
  <r>
    <s v="B01314"/>
    <s v="P016"/>
    <x v="2"/>
    <s v="Sold Out"/>
    <n v="24"/>
    <n v="24"/>
    <n v="0"/>
    <n v="0"/>
    <x v="435"/>
    <n v="72000"/>
    <n v="77.010000000000005"/>
    <n v="50400"/>
    <n v="21600"/>
    <n v="23.1"/>
    <n v="0"/>
    <d v="2025-03-26T00:00:00"/>
  </r>
  <r>
    <s v="B01315"/>
    <s v="P016"/>
    <x v="2"/>
    <s v="Sold Out"/>
    <n v="27"/>
    <n v="27"/>
    <n v="0"/>
    <n v="0"/>
    <x v="527"/>
    <n v="81000"/>
    <n v="86.63"/>
    <n v="56700"/>
    <n v="24300"/>
    <n v="25.99"/>
    <n v="0"/>
    <d v="2025-04-24T00:00:00"/>
  </r>
  <r>
    <s v="B01316"/>
    <s v="P016"/>
    <x v="2"/>
    <s v="Sold Out"/>
    <n v="24"/>
    <n v="24"/>
    <n v="0"/>
    <n v="0"/>
    <x v="529"/>
    <n v="72000"/>
    <n v="77.010000000000005"/>
    <n v="50400"/>
    <n v="21600"/>
    <n v="23.1"/>
    <n v="0"/>
    <d v="2025-06-05T00:00:00"/>
  </r>
  <r>
    <s v="B01317"/>
    <s v="P017"/>
    <x v="2"/>
    <s v="Sold Out"/>
    <n v="21"/>
    <n v="21"/>
    <n v="0"/>
    <n v="0"/>
    <x v="620"/>
    <n v="52500"/>
    <n v="56.15"/>
    <n v="37800"/>
    <n v="14700"/>
    <n v="15.72"/>
    <n v="0"/>
    <d v="2023-07-22T00:00:00"/>
  </r>
  <r>
    <s v="B01318"/>
    <s v="P017"/>
    <x v="2"/>
    <s v="Partial Loss"/>
    <n v="26"/>
    <n v="25.45"/>
    <n v="0.55000000000000004"/>
    <n v="2.1"/>
    <x v="621"/>
    <n v="63625"/>
    <n v="68.05"/>
    <n v="46800"/>
    <n v="16825"/>
    <n v="17.989999999999998"/>
    <n v="990.00000000000011"/>
    <d v="2023-08-30T00:00:00"/>
  </r>
  <r>
    <s v="B01319"/>
    <s v="P017"/>
    <x v="2"/>
    <s v="Sold Out"/>
    <n v="25"/>
    <n v="25"/>
    <n v="0"/>
    <n v="0"/>
    <x v="382"/>
    <n v="62500"/>
    <n v="66.84"/>
    <n v="45000"/>
    <n v="17500"/>
    <n v="18.72"/>
    <n v="0"/>
    <d v="2023-10-09T00:00:00"/>
  </r>
  <r>
    <s v="B01320"/>
    <s v="P017"/>
    <x v="2"/>
    <s v="Sold Out"/>
    <n v="21"/>
    <n v="21"/>
    <n v="0"/>
    <n v="0"/>
    <x v="207"/>
    <n v="52500"/>
    <n v="56.15"/>
    <n v="37800"/>
    <n v="14700"/>
    <n v="15.72"/>
    <n v="0"/>
    <d v="2023-11-04T00:00:00"/>
  </r>
  <r>
    <s v="B01321"/>
    <s v="P017"/>
    <x v="2"/>
    <s v="Partial Loss"/>
    <n v="31"/>
    <n v="30.57"/>
    <n v="0.43"/>
    <n v="1.4"/>
    <x v="601"/>
    <n v="76425"/>
    <n v="81.739999999999995"/>
    <n v="55800"/>
    <n v="20625"/>
    <n v="22.06"/>
    <n v="774"/>
    <d v="2023-12-11T00:00:00"/>
  </r>
  <r>
    <s v="B01322"/>
    <s v="P017"/>
    <x v="2"/>
    <s v="Partial Loss"/>
    <n v="21"/>
    <n v="20.45"/>
    <n v="0.55000000000000004"/>
    <n v="2.6"/>
    <x v="489"/>
    <n v="51125"/>
    <n v="54.68"/>
    <n v="37800"/>
    <n v="13325"/>
    <n v="14.25"/>
    <n v="990.00000000000011"/>
    <d v="2024-01-23T00:00:00"/>
  </r>
  <r>
    <s v="B01323"/>
    <s v="P017"/>
    <x v="2"/>
    <s v="Sold Out"/>
    <n v="23"/>
    <n v="23"/>
    <n v="0"/>
    <n v="0"/>
    <x v="545"/>
    <n v="57500"/>
    <n v="61.5"/>
    <n v="41400"/>
    <n v="16100"/>
    <n v="17.22"/>
    <n v="0"/>
    <d v="2024-02-28T00:00:00"/>
  </r>
  <r>
    <s v="B01324"/>
    <s v="P017"/>
    <x v="2"/>
    <s v="Sold Out"/>
    <n v="20"/>
    <n v="20"/>
    <n v="0"/>
    <n v="0"/>
    <x v="513"/>
    <n v="50000"/>
    <n v="53.48"/>
    <n v="36000"/>
    <n v="14000"/>
    <n v="14.97"/>
    <n v="0"/>
    <d v="2024-03-27T00:00:00"/>
  </r>
  <r>
    <s v="B01325"/>
    <s v="P017"/>
    <x v="2"/>
    <s v="Partial Loss"/>
    <n v="26"/>
    <n v="25.17"/>
    <n v="0.83"/>
    <n v="3.2"/>
    <x v="618"/>
    <n v="62925"/>
    <n v="67.3"/>
    <n v="46800"/>
    <n v="16125"/>
    <n v="17.25"/>
    <n v="1494"/>
    <d v="2024-04-24T00:00:00"/>
  </r>
  <r>
    <s v="B01326"/>
    <s v="P017"/>
    <x v="2"/>
    <s v="Sold Out"/>
    <n v="26"/>
    <n v="26"/>
    <n v="0"/>
    <n v="0"/>
    <x v="622"/>
    <n v="65000"/>
    <n v="69.52"/>
    <n v="46800"/>
    <n v="18200"/>
    <n v="19.47"/>
    <n v="0"/>
    <d v="2024-06-02T00:00:00"/>
  </r>
  <r>
    <s v="B01327"/>
    <s v="P017"/>
    <x v="2"/>
    <s v="Partial Loss"/>
    <n v="28"/>
    <n v="27.13"/>
    <n v="0.87"/>
    <n v="3.1"/>
    <x v="235"/>
    <n v="67825"/>
    <n v="72.540000000000006"/>
    <n v="50400"/>
    <n v="17425"/>
    <n v="18.64"/>
    <n v="1566"/>
    <d v="2024-07-11T00:00:00"/>
  </r>
  <r>
    <s v="B01328"/>
    <s v="P017"/>
    <x v="2"/>
    <s v="Sold Out"/>
    <n v="26"/>
    <n v="26"/>
    <n v="0"/>
    <n v="0"/>
    <x v="518"/>
    <n v="65000"/>
    <n v="69.52"/>
    <n v="46800"/>
    <n v="18200"/>
    <n v="19.47"/>
    <n v="0"/>
    <d v="2024-08-15T00:00:00"/>
  </r>
  <r>
    <s v="B01329"/>
    <s v="P017"/>
    <x v="2"/>
    <s v="Partial Loss"/>
    <n v="27"/>
    <n v="26.49"/>
    <n v="0.51"/>
    <n v="1.9"/>
    <x v="623"/>
    <n v="66225"/>
    <n v="70.83"/>
    <n v="48600"/>
    <n v="17625"/>
    <n v="18.850000000000001"/>
    <n v="918"/>
    <d v="2024-09-13T00:00:00"/>
  </r>
  <r>
    <s v="B01330"/>
    <s v="P017"/>
    <x v="2"/>
    <s v="Sold Out"/>
    <n v="22"/>
    <n v="22"/>
    <n v="0"/>
    <n v="0"/>
    <x v="46"/>
    <n v="55000"/>
    <n v="58.82"/>
    <n v="39600"/>
    <n v="15400"/>
    <n v="16.47"/>
    <n v="0"/>
    <d v="2024-10-10T00:00:00"/>
  </r>
  <r>
    <s v="B01331"/>
    <s v="P017"/>
    <x v="2"/>
    <s v="Sold Out"/>
    <n v="25"/>
    <n v="25"/>
    <n v="0"/>
    <n v="0"/>
    <x v="371"/>
    <n v="62500"/>
    <n v="66.84"/>
    <n v="45000"/>
    <n v="17500"/>
    <n v="18.72"/>
    <n v="0"/>
    <d v="2024-11-03T00:00:00"/>
  </r>
  <r>
    <s v="B01332"/>
    <s v="P017"/>
    <x v="2"/>
    <s v="Sold Out"/>
    <n v="30"/>
    <n v="30"/>
    <n v="0"/>
    <n v="0"/>
    <x v="624"/>
    <n v="75000"/>
    <n v="80.209999999999994"/>
    <n v="54000"/>
    <n v="21000"/>
    <n v="22.46"/>
    <n v="0"/>
    <d v="2024-12-11T00:00:00"/>
  </r>
  <r>
    <s v="B01333"/>
    <s v="P017"/>
    <x v="2"/>
    <s v="Sold Out"/>
    <n v="26"/>
    <n v="26"/>
    <n v="0"/>
    <n v="0"/>
    <x v="127"/>
    <n v="65000"/>
    <n v="69.52"/>
    <n v="46800"/>
    <n v="18200"/>
    <n v="19.47"/>
    <n v="0"/>
    <d v="2025-01-12T00:00:00"/>
  </r>
  <r>
    <s v="B01334"/>
    <s v="P017"/>
    <x v="2"/>
    <s v="Sold Out"/>
    <n v="23"/>
    <n v="23"/>
    <n v="0"/>
    <n v="0"/>
    <x v="375"/>
    <n v="57500"/>
    <n v="61.5"/>
    <n v="41400"/>
    <n v="16100"/>
    <n v="17.22"/>
    <n v="0"/>
    <d v="2025-02-16T00:00:00"/>
  </r>
  <r>
    <s v="B01335"/>
    <s v="P017"/>
    <x v="2"/>
    <s v="Sold Out"/>
    <n v="27"/>
    <n v="27"/>
    <n v="0"/>
    <n v="0"/>
    <x v="239"/>
    <n v="67500"/>
    <n v="72.19"/>
    <n v="48600"/>
    <n v="18900"/>
    <n v="20.21"/>
    <n v="0"/>
    <d v="2025-03-29T00:00:00"/>
  </r>
  <r>
    <s v="B01336"/>
    <s v="P017"/>
    <x v="2"/>
    <s v="Partial Loss"/>
    <n v="30"/>
    <n v="29.52"/>
    <n v="0.48"/>
    <n v="1.6"/>
    <x v="625"/>
    <n v="73800"/>
    <n v="78.930000000000007"/>
    <n v="54000"/>
    <n v="19800"/>
    <n v="21.18"/>
    <n v="864"/>
    <d v="2025-05-05T00:00:00"/>
  </r>
  <r>
    <s v="B01337"/>
    <s v="P017"/>
    <x v="2"/>
    <s v="Sold Out"/>
    <n v="23"/>
    <n v="23"/>
    <n v="0"/>
    <n v="0"/>
    <x v="529"/>
    <n v="57500"/>
    <n v="61.5"/>
    <n v="41400"/>
    <n v="16100"/>
    <n v="17.22"/>
    <n v="0"/>
    <d v="2025-06-13T00:00:00"/>
  </r>
  <r>
    <s v="B01338"/>
    <s v="P018"/>
    <x v="2"/>
    <s v="Partial Loss"/>
    <n v="27"/>
    <n v="25.95"/>
    <n v="1.05"/>
    <n v="3.9"/>
    <x v="390"/>
    <n v="64875"/>
    <n v="69.39"/>
    <n v="47250"/>
    <n v="17625"/>
    <n v="18.850000000000001"/>
    <n v="1837.5"/>
    <d v="2023-07-03T00:00:00"/>
  </r>
  <r>
    <s v="B01339"/>
    <s v="P018"/>
    <x v="2"/>
    <s v="Partial Loss"/>
    <n v="23"/>
    <n v="22.75"/>
    <n v="0.25"/>
    <n v="1.1000000000000001"/>
    <x v="357"/>
    <n v="56875"/>
    <n v="60.83"/>
    <n v="40250"/>
    <n v="16625"/>
    <n v="17.78"/>
    <n v="437.5"/>
    <d v="2023-08-04T00:00:00"/>
  </r>
  <r>
    <s v="B01340"/>
    <s v="P018"/>
    <x v="2"/>
    <s v="Sold Out"/>
    <n v="32"/>
    <n v="32"/>
    <n v="0"/>
    <n v="0"/>
    <x v="148"/>
    <n v="80000"/>
    <n v="85.56"/>
    <n v="56000"/>
    <n v="24000"/>
    <n v="25.67"/>
    <n v="0"/>
    <d v="2023-09-08T00:00:00"/>
  </r>
  <r>
    <s v="B01341"/>
    <s v="P018"/>
    <x v="2"/>
    <s v="Sold Out"/>
    <n v="24"/>
    <n v="24"/>
    <n v="0"/>
    <n v="0"/>
    <x v="14"/>
    <n v="60000"/>
    <n v="64.17"/>
    <n v="42000"/>
    <n v="18000"/>
    <n v="19.25"/>
    <n v="0"/>
    <d v="2023-10-20T00:00:00"/>
  </r>
  <r>
    <s v="B01342"/>
    <s v="P018"/>
    <x v="2"/>
    <s v="Partial Loss"/>
    <n v="24"/>
    <n v="23.02"/>
    <n v="0.98"/>
    <n v="4.0999999999999996"/>
    <x v="626"/>
    <n v="57550"/>
    <n v="61.55"/>
    <n v="42000"/>
    <n v="15550"/>
    <n v="16.63"/>
    <n v="1715"/>
    <d v="2023-11-23T00:00:00"/>
  </r>
  <r>
    <s v="B01343"/>
    <s v="P018"/>
    <x v="2"/>
    <s v="Sold Out"/>
    <n v="27"/>
    <n v="27"/>
    <n v="0"/>
    <n v="0"/>
    <x v="309"/>
    <n v="67500"/>
    <n v="72.19"/>
    <n v="47250"/>
    <n v="20250"/>
    <n v="21.66"/>
    <n v="0"/>
    <d v="2023-12-30T00:00:00"/>
  </r>
  <r>
    <s v="B01344"/>
    <s v="P018"/>
    <x v="2"/>
    <s v="Sold Out"/>
    <n v="24"/>
    <n v="24"/>
    <n v="0"/>
    <n v="0"/>
    <x v="595"/>
    <n v="60000"/>
    <n v="64.17"/>
    <n v="42000"/>
    <n v="18000"/>
    <n v="19.25"/>
    <n v="0"/>
    <d v="2024-01-26T00:00:00"/>
  </r>
  <r>
    <s v="B01345"/>
    <s v="P018"/>
    <x v="2"/>
    <s v="Partial Loss"/>
    <n v="22"/>
    <n v="21.14"/>
    <n v="0.86"/>
    <n v="3.9"/>
    <x v="45"/>
    <n v="52850"/>
    <n v="56.52"/>
    <n v="38500"/>
    <n v="14350"/>
    <n v="15.35"/>
    <n v="1505"/>
    <d v="2024-02-29T00:00:00"/>
  </r>
  <r>
    <s v="B01346"/>
    <s v="P018"/>
    <x v="2"/>
    <s v="Sold Out"/>
    <n v="21"/>
    <n v="21"/>
    <n v="0"/>
    <n v="0"/>
    <x v="484"/>
    <n v="52500"/>
    <n v="56.15"/>
    <n v="36750"/>
    <n v="15750"/>
    <n v="16.84"/>
    <n v="0"/>
    <d v="2024-03-28T00:00:00"/>
  </r>
  <r>
    <s v="B01347"/>
    <s v="P018"/>
    <x v="2"/>
    <s v="Sold Out"/>
    <n v="25"/>
    <n v="25"/>
    <n v="0"/>
    <n v="0"/>
    <x v="216"/>
    <n v="62500"/>
    <n v="66.84"/>
    <n v="43750"/>
    <n v="18750"/>
    <n v="20.05"/>
    <n v="0"/>
    <d v="2024-05-08T00:00:00"/>
  </r>
  <r>
    <s v="B01348"/>
    <s v="P018"/>
    <x v="2"/>
    <s v="Partial Loss"/>
    <n v="24"/>
    <n v="23.47"/>
    <n v="0.53"/>
    <n v="2.2000000000000002"/>
    <x v="128"/>
    <n v="58675"/>
    <n v="62.75"/>
    <n v="42000"/>
    <n v="16675"/>
    <n v="17.829999999999998"/>
    <n v="927.5"/>
    <d v="2024-06-23T00:00:00"/>
  </r>
  <r>
    <s v="B01349"/>
    <s v="P018"/>
    <x v="2"/>
    <s v="Sold Out"/>
    <n v="22"/>
    <n v="22"/>
    <n v="0"/>
    <n v="0"/>
    <x v="426"/>
    <n v="55000"/>
    <n v="58.82"/>
    <n v="38500"/>
    <n v="16500"/>
    <n v="17.649999999999999"/>
    <n v="0"/>
    <d v="2024-07-15T00:00:00"/>
  </r>
  <r>
    <s v="B01350"/>
    <s v="P018"/>
    <x v="2"/>
    <s v="Sold Out"/>
    <n v="25"/>
    <n v="25"/>
    <n v="0"/>
    <n v="0"/>
    <x v="401"/>
    <n v="62500"/>
    <n v="66.84"/>
    <n v="45000"/>
    <n v="17500"/>
    <n v="18.72"/>
    <n v="0"/>
    <d v="2024-08-20T00:00:00"/>
  </r>
  <r>
    <s v="B01351"/>
    <s v="P018"/>
    <x v="2"/>
    <s v="Sold Out"/>
    <n v="31"/>
    <n v="31"/>
    <n v="0"/>
    <n v="0"/>
    <x v="117"/>
    <n v="77500"/>
    <n v="82.89"/>
    <n v="54250"/>
    <n v="23250"/>
    <n v="24.87"/>
    <n v="0"/>
    <d v="2024-09-20T00:00:00"/>
  </r>
  <r>
    <s v="B01352"/>
    <s v="P018"/>
    <x v="2"/>
    <s v="Sold Out"/>
    <n v="22"/>
    <n v="22"/>
    <n v="0"/>
    <n v="0"/>
    <x v="403"/>
    <n v="55000"/>
    <n v="58.82"/>
    <n v="38500"/>
    <n v="16500"/>
    <n v="17.649999999999999"/>
    <n v="0"/>
    <d v="2024-10-20T00:00:00"/>
  </r>
  <r>
    <s v="B01353"/>
    <s v="P018"/>
    <x v="2"/>
    <s v="Partial Loss"/>
    <n v="25"/>
    <n v="23.95"/>
    <n v="1.05"/>
    <n v="4.2"/>
    <x v="627"/>
    <n v="59875"/>
    <n v="64.040000000000006"/>
    <n v="43750"/>
    <n v="16125"/>
    <n v="17.25"/>
    <n v="1837.5"/>
    <d v="2024-11-28T00:00:00"/>
  </r>
  <r>
    <s v="B01354"/>
    <s v="P018"/>
    <x v="2"/>
    <s v="Sold Out"/>
    <n v="36"/>
    <n v="36"/>
    <n v="0"/>
    <n v="0"/>
    <x v="628"/>
    <n v="90000"/>
    <n v="96.26"/>
    <n v="63000"/>
    <n v="27000"/>
    <n v="28.88"/>
    <n v="0"/>
    <d v="2024-12-29T00:00:00"/>
  </r>
  <r>
    <s v="B01355"/>
    <s v="P018"/>
    <x v="2"/>
    <s v="Sold Out"/>
    <n v="26"/>
    <n v="26"/>
    <n v="0"/>
    <n v="0"/>
    <x v="129"/>
    <n v="65000"/>
    <n v="69.52"/>
    <n v="45500"/>
    <n v="19500"/>
    <n v="20.86"/>
    <n v="0"/>
    <d v="2025-01-22T00:00:00"/>
  </r>
  <r>
    <s v="B01356"/>
    <s v="P018"/>
    <x v="2"/>
    <s v="Partial Loss"/>
    <n v="28"/>
    <n v="26.66"/>
    <n v="1.34"/>
    <n v="4.8"/>
    <x v="619"/>
    <n v="66650"/>
    <n v="71.28"/>
    <n v="49000"/>
    <n v="17650"/>
    <n v="18.88"/>
    <n v="2345"/>
    <d v="2025-02-25T00:00:00"/>
  </r>
  <r>
    <s v="B01357"/>
    <s v="P018"/>
    <x v="2"/>
    <s v="Partial Loss"/>
    <n v="28"/>
    <n v="27.05"/>
    <n v="0.95"/>
    <n v="3.4"/>
    <x v="629"/>
    <n v="67625"/>
    <n v="72.33"/>
    <n v="49000"/>
    <n v="18625"/>
    <n v="19.920000000000002"/>
    <n v="1662.5"/>
    <d v="2025-04-08T00:00:00"/>
  </r>
  <r>
    <s v="B01358"/>
    <s v="P018"/>
    <x v="2"/>
    <s v="Partial Loss"/>
    <n v="24"/>
    <n v="23.74"/>
    <n v="0.26"/>
    <n v="1.1000000000000001"/>
    <x v="630"/>
    <n v="59350"/>
    <n v="63.48"/>
    <n v="42000"/>
    <n v="17350"/>
    <n v="18.559999999999999"/>
    <n v="455"/>
    <d v="2025-05-18T00:00:00"/>
  </r>
  <r>
    <s v="B01359"/>
    <s v="P018"/>
    <x v="2"/>
    <s v="Partial Loss"/>
    <n v="27"/>
    <n v="26.24"/>
    <n v="0.76"/>
    <n v="2.8"/>
    <x v="631"/>
    <n v="65600"/>
    <n v="70.16"/>
    <n v="47250"/>
    <n v="18350"/>
    <n v="19.63"/>
    <n v="1330"/>
    <d v="2025-06-18T00:00:00"/>
  </r>
  <r>
    <s v="B01360"/>
    <s v="P019"/>
    <x v="2"/>
    <s v="Sold Out"/>
    <n v="25"/>
    <n v="25"/>
    <n v="0"/>
    <n v="0"/>
    <x v="632"/>
    <n v="75000"/>
    <n v="80.209999999999994"/>
    <n v="51250"/>
    <n v="23750"/>
    <n v="25.4"/>
    <n v="0"/>
    <d v="2023-07-23T00:00:00"/>
  </r>
  <r>
    <s v="B01361"/>
    <s v="P019"/>
    <x v="2"/>
    <s v="Sold Out"/>
    <n v="21"/>
    <n v="21"/>
    <n v="0"/>
    <n v="0"/>
    <x v="592"/>
    <n v="63000"/>
    <n v="67.38"/>
    <n v="43050"/>
    <n v="19950"/>
    <n v="21.34"/>
    <n v="0"/>
    <d v="2023-08-31T00:00:00"/>
  </r>
  <r>
    <s v="B01362"/>
    <s v="P019"/>
    <x v="2"/>
    <s v="Partial Loss"/>
    <n v="26"/>
    <n v="24.8"/>
    <n v="1.2"/>
    <n v="4.5999999999999996"/>
    <x v="104"/>
    <n v="74400"/>
    <n v="79.569999999999993"/>
    <n v="59800"/>
    <n v="14600"/>
    <n v="15.61"/>
    <n v="2760"/>
    <d v="2023-10-14T00:00:00"/>
  </r>
  <r>
    <s v="B01363"/>
    <s v="P019"/>
    <x v="2"/>
    <s v="Sold Out"/>
    <n v="23"/>
    <n v="23"/>
    <n v="0"/>
    <n v="0"/>
    <x v="154"/>
    <n v="69000"/>
    <n v="73.8"/>
    <n v="47150"/>
    <n v="21850"/>
    <n v="23.37"/>
    <n v="0"/>
    <d v="2023-11-23T00:00:00"/>
  </r>
  <r>
    <s v="B01364"/>
    <s v="P019"/>
    <x v="2"/>
    <s v="Sold Out"/>
    <n v="29"/>
    <n v="29"/>
    <n v="0"/>
    <n v="0"/>
    <x v="633"/>
    <n v="87000"/>
    <n v="93.05"/>
    <n v="59450"/>
    <n v="27550"/>
    <n v="29.47"/>
    <n v="0"/>
    <d v="2023-12-31T00:00:00"/>
  </r>
  <r>
    <s v="B01365"/>
    <s v="P019"/>
    <x v="2"/>
    <s v="Sold Out"/>
    <n v="24"/>
    <n v="24"/>
    <n v="0"/>
    <n v="0"/>
    <x v="634"/>
    <n v="72000"/>
    <n v="77.010000000000005"/>
    <n v="49200"/>
    <n v="22800"/>
    <n v="24.39"/>
    <n v="0"/>
    <d v="2024-01-29T00:00:00"/>
  </r>
  <r>
    <s v="B01366"/>
    <s v="P019"/>
    <x v="2"/>
    <s v="Sold Out"/>
    <n v="21"/>
    <n v="21"/>
    <n v="0"/>
    <n v="0"/>
    <x v="27"/>
    <n v="63000"/>
    <n v="67.38"/>
    <n v="43050"/>
    <n v="19950"/>
    <n v="21.34"/>
    <n v="0"/>
    <d v="2024-03-03T00:00:00"/>
  </r>
  <r>
    <s v="B01367"/>
    <s v="P019"/>
    <x v="2"/>
    <s v="Sold Out"/>
    <n v="20"/>
    <n v="20"/>
    <n v="0"/>
    <n v="0"/>
    <x v="30"/>
    <n v="60000"/>
    <n v="64.17"/>
    <n v="41000"/>
    <n v="19000"/>
    <n v="20.32"/>
    <n v="0"/>
    <d v="2024-04-10T00:00:00"/>
  </r>
  <r>
    <s v="B01368"/>
    <s v="P019"/>
    <x v="2"/>
    <s v="Partial Loss"/>
    <n v="25"/>
    <n v="24.57"/>
    <n v="0.43"/>
    <n v="1.7"/>
    <x v="628"/>
    <n v="73710"/>
    <n v="78.83"/>
    <n v="51250"/>
    <n v="22460"/>
    <n v="24.02"/>
    <n v="881.5"/>
    <d v="2024-05-21T00:00:00"/>
  </r>
  <r>
    <s v="B01369"/>
    <s v="P019"/>
    <x v="2"/>
    <s v="Sold Out"/>
    <n v="23"/>
    <n v="23"/>
    <n v="0"/>
    <n v="0"/>
    <x v="550"/>
    <n v="69000"/>
    <n v="73.8"/>
    <n v="47150"/>
    <n v="21850"/>
    <n v="23.37"/>
    <n v="0"/>
    <d v="2024-06-24T00:00:00"/>
  </r>
  <r>
    <s v="B01370"/>
    <s v="P019"/>
    <x v="2"/>
    <s v="Partial Loss"/>
    <n v="23"/>
    <n v="21.62"/>
    <n v="1.38"/>
    <n v="6"/>
    <x v="635"/>
    <n v="64860"/>
    <n v="69.37"/>
    <n v="47150"/>
    <n v="17710"/>
    <n v="18.940000000000001"/>
    <n v="2829"/>
    <d v="2024-07-21T00:00:00"/>
  </r>
  <r>
    <s v="B01371"/>
    <s v="P019"/>
    <x v="2"/>
    <s v="Sold Out"/>
    <n v="22"/>
    <n v="22"/>
    <n v="0"/>
    <n v="0"/>
    <x v="63"/>
    <n v="66000"/>
    <n v="70.59"/>
    <n v="45100"/>
    <n v="20900"/>
    <n v="22.35"/>
    <n v="0"/>
    <d v="2024-08-18T00:00:00"/>
  </r>
  <r>
    <s v="B01372"/>
    <s v="P019"/>
    <x v="2"/>
    <s v="Sold Out"/>
    <n v="27"/>
    <n v="27"/>
    <n v="0"/>
    <n v="0"/>
    <x v="49"/>
    <n v="81000"/>
    <n v="86.63"/>
    <n v="55350"/>
    <n v="25650"/>
    <n v="27.43"/>
    <n v="0"/>
    <d v="2024-09-24T00:00:00"/>
  </r>
  <r>
    <s v="B01373"/>
    <s v="P019"/>
    <x v="2"/>
    <s v="Sold Out"/>
    <n v="25"/>
    <n v="25"/>
    <n v="0"/>
    <n v="0"/>
    <x v="277"/>
    <n v="75000"/>
    <n v="80.209999999999994"/>
    <n v="57500"/>
    <n v="17500"/>
    <n v="18.72"/>
    <n v="0"/>
    <d v="2024-10-20T00:00:00"/>
  </r>
  <r>
    <s v="B01374"/>
    <s v="P019"/>
    <x v="2"/>
    <s v="Partial Loss"/>
    <n v="23"/>
    <n v="22.56"/>
    <n v="0.44"/>
    <n v="1.9"/>
    <x v="139"/>
    <n v="67680"/>
    <n v="72.39"/>
    <n v="47150"/>
    <n v="20530"/>
    <n v="21.96"/>
    <n v="902"/>
    <d v="2024-11-18T00:00:00"/>
  </r>
  <r>
    <s v="B01375"/>
    <s v="P019"/>
    <x v="2"/>
    <s v="Sold Out"/>
    <n v="33"/>
    <n v="33"/>
    <n v="0"/>
    <n v="0"/>
    <x v="408"/>
    <n v="99000"/>
    <n v="105.88"/>
    <n v="75900"/>
    <n v="23100"/>
    <n v="24.71"/>
    <n v="0"/>
    <d v="2024-12-21T00:00:00"/>
  </r>
  <r>
    <s v="B01376"/>
    <s v="P019"/>
    <x v="2"/>
    <s v="Sold Out"/>
    <n v="29"/>
    <n v="29"/>
    <n v="0"/>
    <n v="0"/>
    <x v="188"/>
    <n v="87000"/>
    <n v="93.05"/>
    <n v="59450"/>
    <n v="27550"/>
    <n v="29.47"/>
    <n v="0"/>
    <d v="2025-02-01T00:00:00"/>
  </r>
  <r>
    <s v="B01377"/>
    <s v="P019"/>
    <x v="2"/>
    <s v="Partial Loss"/>
    <n v="23"/>
    <n v="21.57"/>
    <n v="1.43"/>
    <n v="6.2"/>
    <x v="636"/>
    <n v="64710"/>
    <n v="69.209999999999994"/>
    <n v="47150"/>
    <n v="17560"/>
    <n v="18.78"/>
    <n v="2931.5"/>
    <d v="2025-03-03T00:00:00"/>
  </r>
  <r>
    <s v="B01378"/>
    <s v="P019"/>
    <x v="2"/>
    <s v="Partial Loss"/>
    <n v="23"/>
    <n v="22.54"/>
    <n v="0.46"/>
    <n v="2"/>
    <x v="637"/>
    <n v="67620"/>
    <n v="72.319999999999993"/>
    <n v="47150"/>
    <n v="20470"/>
    <n v="21.89"/>
    <n v="943"/>
    <d v="2025-03-31T00:00:00"/>
  </r>
  <r>
    <s v="B01379"/>
    <s v="P019"/>
    <x v="2"/>
    <s v="Sold Out"/>
    <n v="27"/>
    <n v="27"/>
    <n v="0"/>
    <n v="0"/>
    <x v="562"/>
    <n v="81000"/>
    <n v="86.63"/>
    <n v="55350"/>
    <n v="25650"/>
    <n v="27.43"/>
    <n v="0"/>
    <d v="2025-05-07T00:00:00"/>
  </r>
  <r>
    <s v="B01380"/>
    <s v="P019"/>
    <x v="2"/>
    <s v="Sold Out"/>
    <n v="28"/>
    <n v="28"/>
    <n v="0"/>
    <n v="0"/>
    <x v="71"/>
    <n v="84000"/>
    <n v="89.84"/>
    <n v="57400"/>
    <n v="26600"/>
    <n v="28.45"/>
    <n v="0"/>
    <d v="2025-06-05T00:00:00"/>
  </r>
  <r>
    <s v="B01381"/>
    <s v="P020"/>
    <x v="2"/>
    <s v="Sold Out"/>
    <n v="21"/>
    <n v="21"/>
    <n v="0"/>
    <n v="0"/>
    <x v="299"/>
    <n v="63000"/>
    <n v="67.38"/>
    <n v="44100"/>
    <n v="18900"/>
    <n v="20.21"/>
    <n v="0"/>
    <d v="2023-07-07T00:00:00"/>
  </r>
  <r>
    <s v="B01382"/>
    <s v="P020"/>
    <x v="2"/>
    <s v="Partial Loss"/>
    <n v="24"/>
    <n v="23.4"/>
    <n v="0.6"/>
    <n v="2.5"/>
    <x v="93"/>
    <n v="70200"/>
    <n v="75.08"/>
    <n v="50400"/>
    <n v="19800"/>
    <n v="21.18"/>
    <n v="1260"/>
    <d v="2023-08-06T00:00:00"/>
  </r>
  <r>
    <s v="B01383"/>
    <s v="P020"/>
    <x v="2"/>
    <s v="Sold Out"/>
    <n v="30"/>
    <n v="30"/>
    <n v="0"/>
    <n v="0"/>
    <x v="82"/>
    <n v="90000"/>
    <n v="96.26"/>
    <n v="63000"/>
    <n v="27000"/>
    <n v="28.88"/>
    <n v="0"/>
    <d v="2023-09-22T00:00:00"/>
  </r>
  <r>
    <s v="B01384"/>
    <s v="P020"/>
    <x v="2"/>
    <s v="Partial Loss"/>
    <n v="24"/>
    <n v="22.87"/>
    <n v="1.1299999999999999"/>
    <n v="4.7"/>
    <x v="169"/>
    <n v="68610"/>
    <n v="73.38"/>
    <n v="50400"/>
    <n v="18210"/>
    <n v="19.48"/>
    <n v="2373"/>
    <d v="2023-10-29T00:00:00"/>
  </r>
  <r>
    <s v="B01385"/>
    <s v="P020"/>
    <x v="2"/>
    <s v="Sold Out"/>
    <n v="27"/>
    <n v="27"/>
    <n v="0"/>
    <n v="0"/>
    <x v="626"/>
    <n v="81000"/>
    <n v="86.63"/>
    <n v="56700"/>
    <n v="24300"/>
    <n v="25.99"/>
    <n v="0"/>
    <d v="2023-11-23T00:00:00"/>
  </r>
  <r>
    <s v="B01386"/>
    <s v="P020"/>
    <x v="2"/>
    <s v="Sold Out"/>
    <n v="27"/>
    <n v="27"/>
    <n v="0"/>
    <n v="0"/>
    <x v="638"/>
    <n v="81000"/>
    <n v="86.63"/>
    <n v="56700"/>
    <n v="24300"/>
    <n v="25.99"/>
    <n v="0"/>
    <d v="2023-12-26T00:00:00"/>
  </r>
  <r>
    <s v="B01387"/>
    <s v="P020"/>
    <x v="2"/>
    <s v="Partial Loss"/>
    <n v="24"/>
    <n v="22.94"/>
    <n v="1.06"/>
    <n v="4.4000000000000004"/>
    <x v="42"/>
    <n v="68820"/>
    <n v="73.599999999999994"/>
    <n v="50400"/>
    <n v="18420"/>
    <n v="19.7"/>
    <n v="2226"/>
    <d v="2024-01-29T00:00:00"/>
  </r>
  <r>
    <s v="B01388"/>
    <s v="P020"/>
    <x v="2"/>
    <s v="Sold Out"/>
    <n v="27"/>
    <n v="27"/>
    <n v="0"/>
    <n v="0"/>
    <x v="312"/>
    <n v="81000"/>
    <n v="86.63"/>
    <n v="56700"/>
    <n v="24300"/>
    <n v="25.99"/>
    <n v="0"/>
    <d v="2024-02-26T00:00:00"/>
  </r>
  <r>
    <s v="B01389"/>
    <s v="P020"/>
    <x v="2"/>
    <s v="Sold Out"/>
    <n v="24"/>
    <n v="24"/>
    <n v="0"/>
    <n v="0"/>
    <x v="94"/>
    <n v="72000"/>
    <n v="77.010000000000005"/>
    <n v="50400"/>
    <n v="21600"/>
    <n v="23.1"/>
    <n v="0"/>
    <d v="2024-03-29T00:00:00"/>
  </r>
  <r>
    <s v="B01390"/>
    <s v="P020"/>
    <x v="2"/>
    <s v="Sold Out"/>
    <n v="21"/>
    <n v="21"/>
    <n v="0"/>
    <n v="0"/>
    <x v="547"/>
    <n v="63000"/>
    <n v="67.38"/>
    <n v="44100"/>
    <n v="18900"/>
    <n v="20.21"/>
    <n v="0"/>
    <d v="2024-05-05T00:00:00"/>
  </r>
  <r>
    <s v="B01391"/>
    <s v="P020"/>
    <x v="2"/>
    <s v="Partial Loss"/>
    <n v="25"/>
    <n v="23.97"/>
    <n v="1.03"/>
    <n v="4.0999999999999996"/>
    <x v="560"/>
    <n v="71910"/>
    <n v="76.91"/>
    <n v="52500"/>
    <n v="19410"/>
    <n v="20.76"/>
    <n v="2163"/>
    <d v="2024-06-15T00:00:00"/>
  </r>
  <r>
    <s v="B01392"/>
    <s v="P020"/>
    <x v="2"/>
    <s v="Partial Loss"/>
    <n v="23"/>
    <n v="22.43"/>
    <n v="0.57999999999999996"/>
    <n v="2.5"/>
    <x v="65"/>
    <n v="67290"/>
    <n v="71.97"/>
    <n v="48300"/>
    <n v="18990"/>
    <n v="20.309999999999999"/>
    <n v="1218"/>
    <d v="2024-07-29T00:00:00"/>
  </r>
  <r>
    <s v="B01393"/>
    <s v="P020"/>
    <x v="2"/>
    <s v="Sold Out"/>
    <n v="34"/>
    <n v="34"/>
    <n v="0"/>
    <n v="0"/>
    <x v="461"/>
    <n v="102000"/>
    <n v="109.09"/>
    <n v="73100"/>
    <n v="28900"/>
    <n v="30.91"/>
    <n v="0"/>
    <d v="2024-09-05T00:00:00"/>
  </r>
  <r>
    <s v="B01394"/>
    <s v="P020"/>
    <x v="2"/>
    <s v="Sold Out"/>
    <n v="26"/>
    <n v="26"/>
    <n v="0"/>
    <n v="0"/>
    <x v="608"/>
    <n v="78000"/>
    <n v="83.42"/>
    <n v="54600"/>
    <n v="23400"/>
    <n v="25.03"/>
    <n v="0"/>
    <d v="2024-10-17T00:00:00"/>
  </r>
  <r>
    <s v="B01395"/>
    <s v="P020"/>
    <x v="2"/>
    <s v="Partial Loss"/>
    <n v="25"/>
    <n v="24.32"/>
    <n v="0.68"/>
    <n v="2.7"/>
    <x v="197"/>
    <n v="72960"/>
    <n v="78.03"/>
    <n v="52500"/>
    <n v="20460"/>
    <n v="21.88"/>
    <n v="1428"/>
    <d v="2024-11-23T00:00:00"/>
  </r>
  <r>
    <s v="B01396"/>
    <s v="P020"/>
    <x v="2"/>
    <s v="Sold Out"/>
    <n v="28"/>
    <n v="28"/>
    <n v="0"/>
    <n v="0"/>
    <x v="639"/>
    <n v="84000"/>
    <n v="89.84"/>
    <n v="58800"/>
    <n v="25200"/>
    <n v="26.95"/>
    <n v="0"/>
    <d v="2024-12-25T00:00:00"/>
  </r>
  <r>
    <s v="B01397"/>
    <s v="P020"/>
    <x v="2"/>
    <s v="Sold Out"/>
    <n v="24"/>
    <n v="24"/>
    <n v="0"/>
    <n v="0"/>
    <x v="640"/>
    <n v="72000"/>
    <n v="77.010000000000005"/>
    <n v="50400"/>
    <n v="21600"/>
    <n v="23.1"/>
    <n v="0"/>
    <d v="2025-01-30T00:00:00"/>
  </r>
  <r>
    <s v="B01398"/>
    <s v="P020"/>
    <x v="2"/>
    <s v="Partial Loss"/>
    <n v="26"/>
    <n v="25.4"/>
    <n v="0.6"/>
    <n v="2.2999999999999998"/>
    <x v="641"/>
    <n v="76200"/>
    <n v="81.5"/>
    <n v="54600"/>
    <n v="21600"/>
    <n v="23.1"/>
    <n v="1260"/>
    <d v="2025-03-04T00:00:00"/>
  </r>
  <r>
    <s v="B01399"/>
    <s v="P020"/>
    <x v="2"/>
    <s v="Partial Loss"/>
    <n v="28"/>
    <n v="26.77"/>
    <n v="1.23"/>
    <n v="4.4000000000000004"/>
    <x v="642"/>
    <n v="80310"/>
    <n v="85.89"/>
    <n v="58800"/>
    <n v="21510"/>
    <n v="23.01"/>
    <n v="2583"/>
    <d v="2025-04-02T00:00:00"/>
  </r>
  <r>
    <s v="B01400"/>
    <s v="P020"/>
    <x v="2"/>
    <s v="Sold Out"/>
    <n v="30"/>
    <n v="30"/>
    <n v="0"/>
    <n v="0"/>
    <x v="643"/>
    <n v="90000"/>
    <n v="96.26"/>
    <n v="63000"/>
    <n v="27000"/>
    <n v="28.88"/>
    <n v="0"/>
    <d v="2025-05-09T00:00:00"/>
  </r>
  <r>
    <s v="B01401"/>
    <s v="P020"/>
    <x v="2"/>
    <s v="Sold Out"/>
    <n v="27"/>
    <n v="27"/>
    <n v="0"/>
    <n v="0"/>
    <x v="294"/>
    <n v="81000"/>
    <n v="86.63"/>
    <n v="58050"/>
    <n v="22950"/>
    <n v="24.55"/>
    <n v="0"/>
    <d v="2025-06-08T00:00:00"/>
  </r>
  <r>
    <s v="B01402"/>
    <s v="P021"/>
    <x v="3"/>
    <s v="Sold Out"/>
    <n v="51"/>
    <n v="51"/>
    <n v="0"/>
    <n v="0"/>
    <x v="201"/>
    <n v="102000"/>
    <n v="109.09"/>
    <n v="73950"/>
    <n v="28050"/>
    <n v="30"/>
    <n v="0"/>
    <d v="2023-07-02T00:00:00"/>
  </r>
  <r>
    <s v="B01403"/>
    <s v="P021"/>
    <x v="3"/>
    <s v="Sold Out"/>
    <n v="44"/>
    <n v="44"/>
    <n v="0"/>
    <n v="0"/>
    <x v="77"/>
    <n v="88000"/>
    <n v="94.12"/>
    <n v="63800"/>
    <n v="24200"/>
    <n v="25.88"/>
    <n v="0"/>
    <d v="2023-08-01T00:00:00"/>
  </r>
  <r>
    <s v="B01404"/>
    <s v="P021"/>
    <x v="3"/>
    <s v="Sold Out"/>
    <n v="66"/>
    <n v="66"/>
    <n v="0"/>
    <n v="0"/>
    <x v="5"/>
    <n v="132000"/>
    <n v="141.18"/>
    <n v="95700"/>
    <n v="36300"/>
    <n v="38.82"/>
    <n v="0"/>
    <d v="2023-09-05T00:00:00"/>
  </r>
  <r>
    <s v="B01405"/>
    <s v="P021"/>
    <x v="3"/>
    <s v="Sold Out"/>
    <n v="47"/>
    <n v="47"/>
    <n v="0"/>
    <n v="0"/>
    <x v="353"/>
    <n v="94000"/>
    <n v="100.53"/>
    <n v="68150"/>
    <n v="25850"/>
    <n v="27.65"/>
    <n v="0"/>
    <d v="2023-10-17T00:00:00"/>
  </r>
  <r>
    <s v="B01406"/>
    <s v="P021"/>
    <x v="3"/>
    <s v="Sold Out"/>
    <n v="44"/>
    <n v="44"/>
    <n v="0"/>
    <n v="0"/>
    <x v="479"/>
    <n v="88000"/>
    <n v="94.12"/>
    <n v="61600"/>
    <n v="26400"/>
    <n v="28.24"/>
    <n v="0"/>
    <d v="2023-11-17T00:00:00"/>
  </r>
  <r>
    <s v="B01407"/>
    <s v="P021"/>
    <x v="3"/>
    <s v="Partial Loss"/>
    <n v="57"/>
    <n v="54.78"/>
    <n v="2.2200000000000002"/>
    <n v="3.9"/>
    <x v="400"/>
    <n v="109560"/>
    <n v="117.18"/>
    <n v="82650"/>
    <n v="26910"/>
    <n v="28.78"/>
    <n v="3219.0000000000005"/>
    <d v="2023-12-19T00:00:00"/>
  </r>
  <r>
    <s v="B01408"/>
    <s v="P021"/>
    <x v="3"/>
    <s v="Partial Loss"/>
    <n v="54"/>
    <n v="52.76"/>
    <n v="1.24"/>
    <n v="2.2999999999999998"/>
    <x v="430"/>
    <n v="105520"/>
    <n v="112.86"/>
    <n v="78300"/>
    <n v="27220"/>
    <n v="29.11"/>
    <n v="1798"/>
    <d v="2024-01-30T00:00:00"/>
  </r>
  <r>
    <s v="B01409"/>
    <s v="P021"/>
    <x v="3"/>
    <s v="Partial Loss"/>
    <n v="43"/>
    <n v="42.1"/>
    <n v="0.9"/>
    <n v="2.1"/>
    <x v="611"/>
    <n v="84200"/>
    <n v="90.05"/>
    <n v="60200"/>
    <n v="24000"/>
    <n v="25.67"/>
    <n v="1260"/>
    <d v="2024-03-07T00:00:00"/>
  </r>
  <r>
    <s v="B01410"/>
    <s v="P021"/>
    <x v="3"/>
    <s v="Sold Out"/>
    <n v="55"/>
    <n v="55"/>
    <n v="0"/>
    <n v="0"/>
    <x v="644"/>
    <n v="110000"/>
    <n v="117.65"/>
    <n v="79750"/>
    <n v="30250"/>
    <n v="32.35"/>
    <n v="0"/>
    <d v="2024-03-31T00:00:00"/>
  </r>
  <r>
    <s v="B01411"/>
    <s v="P021"/>
    <x v="3"/>
    <s v="Partial Loss"/>
    <n v="48"/>
    <n v="46.9"/>
    <n v="1.1000000000000001"/>
    <n v="2.2999999999999998"/>
    <x v="375"/>
    <n v="93800"/>
    <n v="100.32"/>
    <n v="69600"/>
    <n v="24200"/>
    <n v="25.88"/>
    <n v="1595.0000000000002"/>
    <d v="2024-05-06T00:00:00"/>
  </r>
  <r>
    <s v="B01412"/>
    <s v="P021"/>
    <x v="3"/>
    <s v="Sold Out"/>
    <n v="47"/>
    <n v="47"/>
    <n v="0"/>
    <n v="0"/>
    <x v="548"/>
    <n v="94000"/>
    <n v="100.53"/>
    <n v="68150"/>
    <n v="25850"/>
    <n v="27.65"/>
    <n v="0"/>
    <d v="2024-06-14T00:00:00"/>
  </r>
  <r>
    <s v="B01413"/>
    <s v="P021"/>
    <x v="3"/>
    <s v="Sold Out"/>
    <n v="45"/>
    <n v="45"/>
    <n v="0"/>
    <n v="0"/>
    <x v="66"/>
    <n v="90000"/>
    <n v="96.26"/>
    <n v="65250"/>
    <n v="24750"/>
    <n v="26.47"/>
    <n v="0"/>
    <d v="2024-07-14T00:00:00"/>
  </r>
  <r>
    <s v="B01414"/>
    <s v="P021"/>
    <x v="3"/>
    <s v="Partial Loss"/>
    <n v="53"/>
    <n v="51.89"/>
    <n v="1.1100000000000001"/>
    <n v="2.1"/>
    <x v="586"/>
    <n v="103780"/>
    <n v="110.99"/>
    <n v="76850"/>
    <n v="26930"/>
    <n v="28.8"/>
    <n v="1609.5000000000002"/>
    <d v="2024-08-13T00:00:00"/>
  </r>
  <r>
    <s v="B01415"/>
    <s v="P021"/>
    <x v="3"/>
    <s v="Sold Out"/>
    <n v="66"/>
    <n v="66"/>
    <n v="0"/>
    <n v="0"/>
    <x v="460"/>
    <n v="132000"/>
    <n v="141.18"/>
    <n v="95700"/>
    <n v="36300"/>
    <n v="38.82"/>
    <n v="0"/>
    <d v="2024-09-22T00:00:00"/>
  </r>
  <r>
    <s v="B01416"/>
    <s v="P021"/>
    <x v="3"/>
    <s v="Sold Out"/>
    <n v="47"/>
    <n v="47"/>
    <n v="0"/>
    <n v="0"/>
    <x v="278"/>
    <n v="94000"/>
    <n v="100.53"/>
    <n v="68150"/>
    <n v="25850"/>
    <n v="27.65"/>
    <n v="0"/>
    <d v="2024-10-24T00:00:00"/>
  </r>
  <r>
    <s v="B01417"/>
    <s v="P021"/>
    <x v="3"/>
    <s v="Sold Out"/>
    <n v="58"/>
    <n v="58"/>
    <n v="0"/>
    <n v="0"/>
    <x v="229"/>
    <n v="116000"/>
    <n v="124.06"/>
    <n v="81200"/>
    <n v="34800"/>
    <n v="37.22"/>
    <n v="0"/>
    <d v="2024-12-05T00:00:00"/>
  </r>
  <r>
    <s v="B01418"/>
    <s v="P021"/>
    <x v="3"/>
    <s v="Sold Out"/>
    <n v="54"/>
    <n v="54"/>
    <n v="0"/>
    <n v="0"/>
    <x v="58"/>
    <n v="108000"/>
    <n v="115.51"/>
    <n v="78300"/>
    <n v="29700"/>
    <n v="31.76"/>
    <n v="0"/>
    <d v="2025-01-01T00:00:00"/>
  </r>
  <r>
    <s v="B01419"/>
    <s v="P021"/>
    <x v="3"/>
    <s v="Partial Loss"/>
    <n v="53"/>
    <n v="52.15"/>
    <n v="0.85"/>
    <n v="1.6"/>
    <x v="642"/>
    <n v="104300"/>
    <n v="111.55"/>
    <n v="76850"/>
    <n v="27450"/>
    <n v="29.36"/>
    <n v="1232.5"/>
    <d v="2025-02-01T00:00:00"/>
  </r>
  <r>
    <s v="B01420"/>
    <s v="P021"/>
    <x v="3"/>
    <s v="Sold Out"/>
    <n v="48"/>
    <n v="48"/>
    <n v="0"/>
    <n v="0"/>
    <x v="337"/>
    <n v="96000"/>
    <n v="102.67"/>
    <n v="67200"/>
    <n v="28800"/>
    <n v="30.8"/>
    <n v="0"/>
    <d v="2025-03-13T00:00:00"/>
  </r>
  <r>
    <s v="B01421"/>
    <s v="P021"/>
    <x v="3"/>
    <s v="Partial Loss"/>
    <n v="48"/>
    <n v="46.99"/>
    <n v="1.01"/>
    <n v="2.1"/>
    <x v="645"/>
    <n v="93980"/>
    <n v="100.51"/>
    <n v="69600"/>
    <n v="24380"/>
    <n v="26.07"/>
    <n v="1464.5"/>
    <d v="2025-04-16T00:00:00"/>
  </r>
  <r>
    <s v="B01422"/>
    <s v="P021"/>
    <x v="3"/>
    <s v="Sold Out"/>
    <n v="50"/>
    <n v="50"/>
    <n v="0"/>
    <n v="0"/>
    <x v="646"/>
    <n v="100000"/>
    <n v="106.95"/>
    <n v="72500"/>
    <n v="27500"/>
    <n v="29.41"/>
    <n v="0"/>
    <d v="2025-05-19T00:00:00"/>
  </r>
  <r>
    <s v="B01423"/>
    <s v="P021"/>
    <x v="3"/>
    <s v="Partial Loss"/>
    <n v="61"/>
    <n v="59.84"/>
    <n v="1.1599999999999999"/>
    <n v="1.9"/>
    <x v="647"/>
    <n v="119680"/>
    <n v="128"/>
    <n v="88450"/>
    <n v="31230"/>
    <n v="33.4"/>
    <n v="1681.9999999999998"/>
    <d v="2025-06-18T00:00:00"/>
  </r>
  <r>
    <s v="B01424"/>
    <s v="P022"/>
    <x v="3"/>
    <s v="Sold Out"/>
    <n v="22"/>
    <n v="22"/>
    <n v="0"/>
    <n v="0"/>
    <x v="251"/>
    <n v="44000"/>
    <n v="47.06"/>
    <n v="29700"/>
    <n v="14300"/>
    <n v="15.29"/>
    <n v="0"/>
    <d v="2023-07-29T00:00:00"/>
  </r>
  <r>
    <s v="B01425"/>
    <s v="P022"/>
    <x v="3"/>
    <s v="Partial Loss"/>
    <n v="21"/>
    <n v="20.68"/>
    <n v="0.32"/>
    <n v="1.5"/>
    <x v="318"/>
    <n v="41360"/>
    <n v="44.24"/>
    <n v="28350"/>
    <n v="13010"/>
    <n v="13.91"/>
    <n v="432"/>
    <d v="2023-08-27T00:00:00"/>
  </r>
  <r>
    <s v="B01426"/>
    <s v="P022"/>
    <x v="3"/>
    <s v="Sold Out"/>
    <n v="26"/>
    <n v="26"/>
    <n v="0"/>
    <n v="0"/>
    <x v="9"/>
    <n v="52000"/>
    <n v="55.61"/>
    <n v="35100"/>
    <n v="16900"/>
    <n v="18.07"/>
    <n v="0"/>
    <d v="2023-10-08T00:00:00"/>
  </r>
  <r>
    <s v="B01427"/>
    <s v="P022"/>
    <x v="3"/>
    <s v="Partial Loss"/>
    <n v="21"/>
    <n v="20.329999999999998"/>
    <n v="0.67"/>
    <n v="3.2"/>
    <x v="326"/>
    <n v="40660"/>
    <n v="43.49"/>
    <n v="28350"/>
    <n v="12310"/>
    <n v="13.17"/>
    <n v="904.5"/>
    <d v="2023-11-12T00:00:00"/>
  </r>
  <r>
    <s v="B01428"/>
    <s v="P022"/>
    <x v="3"/>
    <s v="Partial Loss"/>
    <n v="23"/>
    <n v="22.26"/>
    <n v="0.74"/>
    <n v="3.2"/>
    <x v="462"/>
    <n v="44520"/>
    <n v="47.61"/>
    <n v="31050"/>
    <n v="13470"/>
    <n v="14.41"/>
    <n v="999"/>
    <d v="2024-01-01T00:00:00"/>
  </r>
  <r>
    <s v="B01429"/>
    <s v="P022"/>
    <x v="3"/>
    <s v="Partial Loss"/>
    <n v="26"/>
    <n v="25.58"/>
    <n v="0.42"/>
    <n v="1.6"/>
    <x v="181"/>
    <n v="51160"/>
    <n v="54.72"/>
    <n v="35100"/>
    <n v="16060"/>
    <n v="17.18"/>
    <n v="567"/>
    <d v="2024-02-09T00:00:00"/>
  </r>
  <r>
    <s v="B01430"/>
    <s v="P022"/>
    <x v="3"/>
    <s v="Sold Out"/>
    <n v="22"/>
    <n v="22"/>
    <n v="0"/>
    <n v="0"/>
    <x v="93"/>
    <n v="44000"/>
    <n v="47.06"/>
    <n v="29700"/>
    <n v="14300"/>
    <n v="15.29"/>
    <n v="0"/>
    <d v="2024-03-11T00:00:00"/>
  </r>
  <r>
    <s v="B01431"/>
    <s v="P022"/>
    <x v="3"/>
    <s v="Partial Loss"/>
    <n v="22"/>
    <n v="21.6"/>
    <n v="0.4"/>
    <n v="1.8"/>
    <x v="232"/>
    <n v="43200"/>
    <n v="46.2"/>
    <n v="29700"/>
    <n v="13500"/>
    <n v="14.44"/>
    <n v="540"/>
    <d v="2024-04-20T00:00:00"/>
  </r>
  <r>
    <s v="B01432"/>
    <s v="P022"/>
    <x v="3"/>
    <s v="Sold Out"/>
    <n v="23"/>
    <n v="23"/>
    <n v="0"/>
    <n v="0"/>
    <x v="103"/>
    <n v="46000"/>
    <n v="49.2"/>
    <n v="31050"/>
    <n v="14950"/>
    <n v="15.99"/>
    <n v="0"/>
    <d v="2024-05-29T00:00:00"/>
  </r>
  <r>
    <s v="B01433"/>
    <s v="P022"/>
    <x v="3"/>
    <s v="Sold Out"/>
    <n v="24"/>
    <n v="24"/>
    <n v="0"/>
    <n v="0"/>
    <x v="324"/>
    <n v="48000"/>
    <n v="51.34"/>
    <n v="32400"/>
    <n v="15600"/>
    <n v="16.68"/>
    <n v="0"/>
    <d v="2024-07-09T00:00:00"/>
  </r>
  <r>
    <s v="B01434"/>
    <s v="P022"/>
    <x v="3"/>
    <s v="Sold Out"/>
    <n v="22"/>
    <n v="22"/>
    <n v="0"/>
    <n v="0"/>
    <x v="603"/>
    <n v="44000"/>
    <n v="47.06"/>
    <n v="29700"/>
    <n v="14300"/>
    <n v="15.29"/>
    <n v="0"/>
    <d v="2024-08-08T00:00:00"/>
  </r>
  <r>
    <s v="B01435"/>
    <s v="P022"/>
    <x v="3"/>
    <s v="Sold Out"/>
    <n v="34"/>
    <n v="34"/>
    <n v="0"/>
    <n v="0"/>
    <x v="328"/>
    <n v="68000"/>
    <n v="72.73"/>
    <n v="45900"/>
    <n v="22100"/>
    <n v="23.64"/>
    <n v="0"/>
    <d v="2024-09-10T00:00:00"/>
  </r>
  <r>
    <s v="B01436"/>
    <s v="P022"/>
    <x v="3"/>
    <s v="Partial Loss"/>
    <n v="27"/>
    <n v="26.32"/>
    <n v="0.68"/>
    <n v="2.5"/>
    <x v="648"/>
    <n v="52640"/>
    <n v="56.3"/>
    <n v="36450"/>
    <n v="16190"/>
    <n v="17.32"/>
    <n v="918.00000000000011"/>
    <d v="2024-10-13T00:00:00"/>
  </r>
  <r>
    <s v="B01437"/>
    <s v="P022"/>
    <x v="3"/>
    <s v="Partial Loss"/>
    <n v="22"/>
    <n v="21.71"/>
    <n v="0.28999999999999998"/>
    <n v="1.3"/>
    <x v="649"/>
    <n v="43420"/>
    <n v="46.44"/>
    <n v="29700"/>
    <n v="13720"/>
    <n v="14.67"/>
    <n v="391.5"/>
    <d v="2024-11-19T00:00:00"/>
  </r>
  <r>
    <s v="B01438"/>
    <s v="P022"/>
    <x v="3"/>
    <s v="Sold Out"/>
    <n v="32"/>
    <n v="32"/>
    <n v="0"/>
    <n v="0"/>
    <x v="184"/>
    <n v="64000"/>
    <n v="68.45"/>
    <n v="43200"/>
    <n v="20800"/>
    <n v="22.25"/>
    <n v="0"/>
    <d v="2024-12-18T00:00:00"/>
  </r>
  <r>
    <s v="B01439"/>
    <s v="P022"/>
    <x v="3"/>
    <s v="Partial Loss"/>
    <n v="23"/>
    <n v="22.66"/>
    <n v="0.34"/>
    <n v="1.5"/>
    <x v="650"/>
    <n v="45320"/>
    <n v="48.47"/>
    <n v="32200"/>
    <n v="13120"/>
    <n v="14.03"/>
    <n v="476.00000000000006"/>
    <d v="2025-01-19T00:00:00"/>
  </r>
  <r>
    <s v="B01440"/>
    <s v="P022"/>
    <x v="3"/>
    <s v="Partial Loss"/>
    <n v="27"/>
    <n v="26.59"/>
    <n v="0.4"/>
    <n v="1.5"/>
    <x v="651"/>
    <n v="53180"/>
    <n v="56.88"/>
    <n v="36450"/>
    <n v="16730"/>
    <n v="17.89"/>
    <n v="540"/>
    <d v="2025-02-23T00:00:00"/>
  </r>
  <r>
    <s v="B01441"/>
    <s v="P022"/>
    <x v="3"/>
    <s v="Sold Out"/>
    <n v="27"/>
    <n v="27"/>
    <n v="0"/>
    <n v="0"/>
    <x v="135"/>
    <n v="54000"/>
    <n v="57.75"/>
    <n v="36450"/>
    <n v="17550"/>
    <n v="18.77"/>
    <n v="0"/>
    <d v="2025-03-30T00:00:00"/>
  </r>
  <r>
    <s v="B01442"/>
    <s v="P022"/>
    <x v="3"/>
    <s v="Sold Out"/>
    <n v="25"/>
    <n v="25"/>
    <n v="0"/>
    <n v="0"/>
    <x v="191"/>
    <n v="50000"/>
    <n v="53.48"/>
    <n v="33750"/>
    <n v="16250"/>
    <n v="17.38"/>
    <n v="0"/>
    <d v="2025-05-02T00:00:00"/>
  </r>
  <r>
    <s v="B01443"/>
    <s v="P022"/>
    <x v="3"/>
    <s v="Sold Out"/>
    <n v="24"/>
    <n v="24"/>
    <n v="0"/>
    <n v="0"/>
    <x v="339"/>
    <n v="48000"/>
    <n v="51.34"/>
    <n v="32400"/>
    <n v="15600"/>
    <n v="16.68"/>
    <n v="0"/>
    <d v="2025-06-09T00:00:00"/>
  </r>
  <r>
    <s v="B01444"/>
    <s v="P023"/>
    <x v="3"/>
    <s v="Partial Loss"/>
    <n v="48"/>
    <n v="47.09"/>
    <n v="0.91"/>
    <n v="1.9"/>
    <x v="652"/>
    <n v="94180"/>
    <n v="100.73"/>
    <n v="67200"/>
    <n v="26980"/>
    <n v="28.86"/>
    <n v="1274"/>
    <d v="2023-07-03T00:00:00"/>
  </r>
  <r>
    <s v="B01445"/>
    <s v="P023"/>
    <x v="3"/>
    <s v="Partial Loss"/>
    <n v="47"/>
    <n v="46.25"/>
    <n v="0.75"/>
    <n v="1.6"/>
    <x v="653"/>
    <n v="92500"/>
    <n v="98.93"/>
    <n v="65800"/>
    <n v="26700"/>
    <n v="28.56"/>
    <n v="1050"/>
    <d v="2023-08-08T00:00:00"/>
  </r>
  <r>
    <s v="B01446"/>
    <s v="P023"/>
    <x v="3"/>
    <s v="Sold Out"/>
    <n v="67"/>
    <n v="67"/>
    <n v="0"/>
    <n v="0"/>
    <x v="654"/>
    <n v="134000"/>
    <n v="143.32"/>
    <n v="93800"/>
    <n v="40200"/>
    <n v="42.99"/>
    <n v="0"/>
    <d v="2023-09-16T00:00:00"/>
  </r>
  <r>
    <s v="B01447"/>
    <s v="P023"/>
    <x v="3"/>
    <s v="Sold Out"/>
    <n v="54"/>
    <n v="54"/>
    <n v="0"/>
    <n v="0"/>
    <x v="570"/>
    <n v="108000"/>
    <n v="115.51"/>
    <n v="75600"/>
    <n v="32400"/>
    <n v="34.65"/>
    <n v="0"/>
    <d v="2023-10-16T00:00:00"/>
  </r>
  <r>
    <s v="B01448"/>
    <s v="P023"/>
    <x v="3"/>
    <s v="Sold Out"/>
    <n v="45"/>
    <n v="45"/>
    <n v="0"/>
    <n v="0"/>
    <x v="594"/>
    <n v="90000"/>
    <n v="96.26"/>
    <n v="63000"/>
    <n v="27000"/>
    <n v="28.88"/>
    <n v="0"/>
    <d v="2023-11-21T00:00:00"/>
  </r>
  <r>
    <s v="B01449"/>
    <s v="P023"/>
    <x v="3"/>
    <s v="Partial Loss"/>
    <n v="53"/>
    <n v="51.52"/>
    <n v="1.48"/>
    <n v="2.8"/>
    <x v="462"/>
    <n v="103040"/>
    <n v="110.2"/>
    <n v="76850"/>
    <n v="26190"/>
    <n v="28.01"/>
    <n v="2146"/>
    <d v="2024-01-01T00:00:00"/>
  </r>
  <r>
    <s v="B01450"/>
    <s v="P023"/>
    <x v="3"/>
    <s v="Partial Loss"/>
    <n v="50"/>
    <n v="49.8"/>
    <n v="0.2"/>
    <n v="0.4"/>
    <x v="119"/>
    <n v="99600"/>
    <n v="106.52"/>
    <n v="70000"/>
    <n v="29600"/>
    <n v="31.66"/>
    <n v="280"/>
    <d v="2024-02-04T00:00:00"/>
  </r>
  <r>
    <s v="B01451"/>
    <s v="P023"/>
    <x v="3"/>
    <s v="Sold Out"/>
    <n v="53"/>
    <n v="53"/>
    <n v="0"/>
    <n v="0"/>
    <x v="655"/>
    <n v="106000"/>
    <n v="113.37"/>
    <n v="74200"/>
    <n v="31800"/>
    <n v="34.01"/>
    <n v="0"/>
    <d v="2024-03-11T00:00:00"/>
  </r>
  <r>
    <s v="B01452"/>
    <s v="P023"/>
    <x v="3"/>
    <s v="Partial Loss"/>
    <n v="54"/>
    <n v="53.08"/>
    <n v="0.92"/>
    <n v="1.7"/>
    <x v="374"/>
    <n v="106160"/>
    <n v="113.54"/>
    <n v="75600"/>
    <n v="30560"/>
    <n v="32.68"/>
    <n v="1288"/>
    <d v="2024-04-17T00:00:00"/>
  </r>
  <r>
    <s v="B01453"/>
    <s v="P023"/>
    <x v="3"/>
    <s v="Sold Out"/>
    <n v="46"/>
    <n v="46"/>
    <n v="0"/>
    <n v="0"/>
    <x v="396"/>
    <n v="92000"/>
    <n v="98.4"/>
    <n v="64400"/>
    <n v="27600"/>
    <n v="29.52"/>
    <n v="0"/>
    <d v="2024-05-27T00:00:00"/>
  </r>
  <r>
    <s v="B01454"/>
    <s v="P023"/>
    <x v="3"/>
    <s v="Partial Loss"/>
    <n v="43"/>
    <n v="41.84"/>
    <n v="1.1599999999999999"/>
    <n v="2.7"/>
    <x v="656"/>
    <n v="83680"/>
    <n v="89.5"/>
    <n v="60200"/>
    <n v="23480"/>
    <n v="25.11"/>
    <n v="1624"/>
    <d v="2024-06-25T00:00:00"/>
  </r>
  <r>
    <s v="B01455"/>
    <s v="P023"/>
    <x v="3"/>
    <s v="Sold Out"/>
    <n v="45"/>
    <n v="45"/>
    <n v="0"/>
    <n v="0"/>
    <x v="657"/>
    <n v="90000"/>
    <n v="96.26"/>
    <n v="63000"/>
    <n v="27000"/>
    <n v="28.88"/>
    <n v="0"/>
    <d v="2024-07-29T00:00:00"/>
  </r>
  <r>
    <s v="B01456"/>
    <s v="P023"/>
    <x v="3"/>
    <s v="Partial Loss"/>
    <n v="60"/>
    <n v="59.76"/>
    <n v="0.24"/>
    <n v="0.4"/>
    <x v="496"/>
    <n v="119520"/>
    <n v="127.83"/>
    <n v="84000"/>
    <n v="35520"/>
    <n v="37.99"/>
    <n v="336"/>
    <d v="2024-09-07T00:00:00"/>
  </r>
  <r>
    <s v="B01457"/>
    <s v="P023"/>
    <x v="3"/>
    <s v="Sold Out"/>
    <n v="50"/>
    <n v="50"/>
    <n v="0"/>
    <n v="0"/>
    <x v="226"/>
    <n v="100000"/>
    <n v="106.95"/>
    <n v="70000"/>
    <n v="30000"/>
    <n v="32.090000000000003"/>
    <n v="0"/>
    <d v="2024-10-08T00:00:00"/>
  </r>
  <r>
    <s v="B01458"/>
    <s v="P023"/>
    <x v="3"/>
    <s v="Sold Out"/>
    <n v="51"/>
    <n v="51"/>
    <n v="0"/>
    <n v="0"/>
    <x v="579"/>
    <n v="102000"/>
    <n v="109.09"/>
    <n v="71400"/>
    <n v="30600"/>
    <n v="32.729999999999997"/>
    <n v="0"/>
    <d v="2024-11-10T00:00:00"/>
  </r>
  <r>
    <s v="B01459"/>
    <s v="P023"/>
    <x v="3"/>
    <s v="Sold Out"/>
    <n v="62"/>
    <n v="62"/>
    <n v="0"/>
    <n v="0"/>
    <x v="125"/>
    <n v="124000"/>
    <n v="132.62"/>
    <n v="86800"/>
    <n v="37200"/>
    <n v="39.79"/>
    <n v="0"/>
    <d v="2024-12-17T00:00:00"/>
  </r>
  <r>
    <s v="B01460"/>
    <s v="P023"/>
    <x v="3"/>
    <s v="Partial Loss"/>
    <n v="50"/>
    <n v="48.55"/>
    <n v="1.45"/>
    <n v="2.9"/>
    <x v="658"/>
    <n v="97100"/>
    <n v="103.85"/>
    <n v="70000"/>
    <n v="27100"/>
    <n v="28.98"/>
    <n v="2030"/>
    <d v="2025-01-18T00:00:00"/>
  </r>
  <r>
    <s v="B01461"/>
    <s v="P023"/>
    <x v="3"/>
    <s v="Partial Loss"/>
    <n v="48"/>
    <n v="47.33"/>
    <n v="0.67"/>
    <n v="1.4"/>
    <x v="659"/>
    <n v="94660"/>
    <n v="101.24"/>
    <n v="69600"/>
    <n v="25060"/>
    <n v="26.8"/>
    <n v="971.50000000000011"/>
    <d v="2025-02-18T00:00:00"/>
  </r>
  <r>
    <s v="B01462"/>
    <s v="P023"/>
    <x v="3"/>
    <s v="Sold Out"/>
    <n v="58"/>
    <n v="58"/>
    <n v="0"/>
    <n v="0"/>
    <x v="660"/>
    <n v="116000"/>
    <n v="124.06"/>
    <n v="81200"/>
    <n v="34800"/>
    <n v="37.22"/>
    <n v="0"/>
    <d v="2025-03-20T00:00:00"/>
  </r>
  <r>
    <s v="B01463"/>
    <s v="P023"/>
    <x v="3"/>
    <s v="Sold Out"/>
    <n v="58"/>
    <n v="58"/>
    <n v="0"/>
    <n v="0"/>
    <x v="238"/>
    <n v="116000"/>
    <n v="124.06"/>
    <n v="81200"/>
    <n v="34800"/>
    <n v="37.22"/>
    <n v="0"/>
    <d v="2025-04-22T00:00:00"/>
  </r>
  <r>
    <s v="B01464"/>
    <s v="P023"/>
    <x v="3"/>
    <s v="Sold Out"/>
    <n v="48"/>
    <n v="48"/>
    <n v="0"/>
    <n v="0"/>
    <x v="661"/>
    <n v="96000"/>
    <n v="102.67"/>
    <n v="67200"/>
    <n v="28800"/>
    <n v="30.8"/>
    <n v="0"/>
    <d v="2025-05-28T00:00:00"/>
  </r>
  <r>
    <s v="B01465"/>
    <s v="P024"/>
    <x v="3"/>
    <s v="Sold Out"/>
    <n v="24"/>
    <n v="24"/>
    <n v="0"/>
    <n v="0"/>
    <x v="0"/>
    <n v="48000"/>
    <n v="51.34"/>
    <n v="32400"/>
    <n v="15600"/>
    <n v="16.68"/>
    <n v="0"/>
    <d v="2023-07-20T00:00:00"/>
  </r>
  <r>
    <s v="B01466"/>
    <s v="P024"/>
    <x v="3"/>
    <s v="Partial Loss"/>
    <n v="23"/>
    <n v="22.61"/>
    <n v="0.39"/>
    <n v="1.7"/>
    <x v="455"/>
    <n v="45220"/>
    <n v="48.36"/>
    <n v="31050"/>
    <n v="14170"/>
    <n v="15.16"/>
    <n v="526.5"/>
    <d v="2023-08-23T00:00:00"/>
  </r>
  <r>
    <s v="B01467"/>
    <s v="P024"/>
    <x v="3"/>
    <s v="Partial Loss"/>
    <n v="33"/>
    <n v="32.14"/>
    <n v="0.86"/>
    <n v="2.6"/>
    <x v="550"/>
    <n v="64280"/>
    <n v="68.75"/>
    <n v="44550"/>
    <n v="19730"/>
    <n v="21.1"/>
    <n v="1161"/>
    <d v="2023-09-27T00:00:00"/>
  </r>
  <r>
    <s v="B01468"/>
    <s v="P024"/>
    <x v="3"/>
    <s v="Sold Out"/>
    <n v="27"/>
    <n v="27"/>
    <n v="0"/>
    <n v="0"/>
    <x v="537"/>
    <n v="54000"/>
    <n v="57.75"/>
    <n v="36450"/>
    <n v="17550"/>
    <n v="18.77"/>
    <n v="0"/>
    <d v="2023-11-03T00:00:00"/>
  </r>
  <r>
    <s v="B01469"/>
    <s v="P024"/>
    <x v="3"/>
    <s v="Partial Loss"/>
    <n v="32"/>
    <n v="31.23"/>
    <n v="0.77"/>
    <n v="2.4"/>
    <x v="555"/>
    <n v="62460"/>
    <n v="66.8"/>
    <n v="43200"/>
    <n v="19260"/>
    <n v="20.6"/>
    <n v="1039.5"/>
    <d v="2023-12-05T00:00:00"/>
  </r>
  <r>
    <s v="B01470"/>
    <s v="P024"/>
    <x v="3"/>
    <s v="Sold Out"/>
    <n v="27"/>
    <n v="27"/>
    <n v="0"/>
    <n v="0"/>
    <x v="356"/>
    <n v="54000"/>
    <n v="57.75"/>
    <n v="36450"/>
    <n v="17550"/>
    <n v="18.77"/>
    <n v="0"/>
    <d v="2024-01-14T00:00:00"/>
  </r>
  <r>
    <s v="B01471"/>
    <s v="P024"/>
    <x v="3"/>
    <s v="Partial Loss"/>
    <n v="25"/>
    <n v="24.45"/>
    <n v="0.55000000000000004"/>
    <n v="2.2000000000000002"/>
    <x v="120"/>
    <n v="48900"/>
    <n v="52.3"/>
    <n v="33750"/>
    <n v="15150"/>
    <n v="16.2"/>
    <n v="742.50000000000011"/>
    <d v="2024-02-17T00:00:00"/>
  </r>
  <r>
    <s v="B01472"/>
    <s v="P024"/>
    <x v="3"/>
    <s v="Partial Loss"/>
    <n v="26"/>
    <n v="25.48"/>
    <n v="0.52"/>
    <n v="2"/>
    <x v="662"/>
    <n v="50960"/>
    <n v="54.5"/>
    <n v="35100"/>
    <n v="15860"/>
    <n v="16.96"/>
    <n v="702"/>
    <d v="2024-04-01T00:00:00"/>
  </r>
  <r>
    <s v="B01473"/>
    <s v="P024"/>
    <x v="3"/>
    <s v="Partial Loss"/>
    <n v="24"/>
    <n v="23.69"/>
    <n v="0.31"/>
    <n v="1.3"/>
    <x v="62"/>
    <n v="47380"/>
    <n v="50.67"/>
    <n v="32400"/>
    <n v="14980"/>
    <n v="16.02"/>
    <n v="418.5"/>
    <d v="2024-05-04T00:00:00"/>
  </r>
  <r>
    <s v="B01474"/>
    <s v="P024"/>
    <x v="3"/>
    <s v="Sold Out"/>
    <n v="25"/>
    <n v="25"/>
    <n v="0"/>
    <n v="0"/>
    <x v="103"/>
    <n v="50000"/>
    <n v="53.48"/>
    <n v="33750"/>
    <n v="16250"/>
    <n v="17.38"/>
    <n v="0"/>
    <d v="2024-06-04T00:00:00"/>
  </r>
  <r>
    <s v="B01475"/>
    <s v="P024"/>
    <x v="3"/>
    <s v="Sold Out"/>
    <n v="22"/>
    <n v="22"/>
    <n v="0"/>
    <n v="0"/>
    <x v="320"/>
    <n v="44000"/>
    <n v="47.06"/>
    <n v="29700"/>
    <n v="14300"/>
    <n v="15.29"/>
    <n v="0"/>
    <d v="2024-07-09T00:00:00"/>
  </r>
  <r>
    <s v="B01476"/>
    <s v="P024"/>
    <x v="3"/>
    <s v="Partial Loss"/>
    <n v="24"/>
    <n v="23.26"/>
    <n v="0.74"/>
    <n v="3.1"/>
    <x v="495"/>
    <n v="46520"/>
    <n v="49.75"/>
    <n v="32400"/>
    <n v="14120"/>
    <n v="15.1"/>
    <n v="999"/>
    <d v="2024-08-06T00:00:00"/>
  </r>
  <r>
    <s v="B01477"/>
    <s v="P024"/>
    <x v="3"/>
    <s v="Sold Out"/>
    <n v="32"/>
    <n v="32"/>
    <n v="0"/>
    <n v="0"/>
    <x v="605"/>
    <n v="64000"/>
    <n v="68.45"/>
    <n v="43200"/>
    <n v="20800"/>
    <n v="22.25"/>
    <n v="0"/>
    <d v="2024-09-03T00:00:00"/>
  </r>
  <r>
    <s v="B01478"/>
    <s v="P024"/>
    <x v="3"/>
    <s v="Partial Loss"/>
    <n v="26"/>
    <n v="25.3"/>
    <n v="0.7"/>
    <n v="2.7"/>
    <x v="663"/>
    <n v="50600"/>
    <n v="54.12"/>
    <n v="35100"/>
    <n v="15500"/>
    <n v="16.579999999999998"/>
    <n v="944.99999999999989"/>
    <d v="2024-10-05T00:00:00"/>
  </r>
  <r>
    <s v="B01479"/>
    <s v="P024"/>
    <x v="3"/>
    <s v="Sold Out"/>
    <n v="23"/>
    <n v="23"/>
    <n v="0"/>
    <n v="0"/>
    <x v="180"/>
    <n v="46000"/>
    <n v="49.2"/>
    <n v="31050"/>
    <n v="14950"/>
    <n v="15.99"/>
    <n v="0"/>
    <d v="2024-11-08T00:00:00"/>
  </r>
  <r>
    <s v="B01480"/>
    <s v="P024"/>
    <x v="3"/>
    <s v="Partial Loss"/>
    <n v="30"/>
    <n v="29.37"/>
    <n v="0.63"/>
    <n v="2.1"/>
    <x v="664"/>
    <n v="58740"/>
    <n v="62.82"/>
    <n v="40500"/>
    <n v="18240"/>
    <n v="19.510000000000002"/>
    <n v="850.5"/>
    <d v="2024-12-22T00:00:00"/>
  </r>
  <r>
    <s v="B01481"/>
    <s v="P024"/>
    <x v="3"/>
    <s v="Sold Out"/>
    <n v="23"/>
    <n v="23"/>
    <n v="0"/>
    <n v="0"/>
    <x v="490"/>
    <n v="46000"/>
    <n v="49.2"/>
    <n v="31050"/>
    <n v="14950"/>
    <n v="15.99"/>
    <n v="0"/>
    <d v="2025-01-28T00:00:00"/>
  </r>
  <r>
    <s v="B01482"/>
    <s v="P024"/>
    <x v="3"/>
    <s v="Partial Loss"/>
    <n v="28"/>
    <n v="27.3"/>
    <n v="0.7"/>
    <n v="2.5"/>
    <x v="625"/>
    <n v="54600"/>
    <n v="58.4"/>
    <n v="37800"/>
    <n v="16800"/>
    <n v="17.97"/>
    <n v="944.99999999999989"/>
    <d v="2025-03-06T00:00:00"/>
  </r>
  <r>
    <s v="B01483"/>
    <s v="P024"/>
    <x v="3"/>
    <s v="Partial Loss"/>
    <n v="25"/>
    <n v="24.57"/>
    <n v="0.43"/>
    <n v="1.7"/>
    <x v="645"/>
    <n v="49140"/>
    <n v="52.56"/>
    <n v="37500"/>
    <n v="11640"/>
    <n v="12.45"/>
    <n v="645"/>
    <d v="2025-04-16T00:00:00"/>
  </r>
  <r>
    <s v="B01484"/>
    <s v="P024"/>
    <x v="3"/>
    <s v="Sold Out"/>
    <n v="23"/>
    <n v="23"/>
    <n v="0"/>
    <n v="0"/>
    <x v="439"/>
    <n v="46000"/>
    <n v="49.2"/>
    <n v="31050"/>
    <n v="14950"/>
    <n v="15.99"/>
    <n v="0"/>
    <d v="2025-05-25T00:00:00"/>
  </r>
  <r>
    <s v="B01485"/>
    <s v="P025"/>
    <x v="3"/>
    <s v="Sold Out"/>
    <n v="81"/>
    <n v="81"/>
    <n v="0"/>
    <n v="0"/>
    <x v="299"/>
    <n v="121500"/>
    <n v="129.94999999999999"/>
    <n v="89100"/>
    <n v="32400"/>
    <n v="34.65"/>
    <n v="0"/>
    <d v="2023-08-02T00:00:00"/>
  </r>
  <r>
    <s v="B01486"/>
    <s v="P025"/>
    <x v="3"/>
    <s v="Sold Out"/>
    <n v="112"/>
    <n v="112"/>
    <n v="0"/>
    <n v="0"/>
    <x v="203"/>
    <n v="168000"/>
    <n v="179.68"/>
    <n v="123200"/>
    <n v="44800"/>
    <n v="47.91"/>
    <n v="0"/>
    <d v="2023-09-16T00:00:00"/>
  </r>
  <r>
    <s v="B01487"/>
    <s v="P025"/>
    <x v="3"/>
    <s v="Partial Loss"/>
    <n v="32"/>
    <n v="31.04"/>
    <n v="0.96"/>
    <n v="3"/>
    <x v="459"/>
    <n v="46560"/>
    <n v="49.8"/>
    <n v="36800"/>
    <n v="9760"/>
    <n v="10.44"/>
    <n v="1104"/>
    <d v="2023-10-16T00:00:00"/>
  </r>
  <r>
    <s v="B01488"/>
    <s v="P025"/>
    <x v="3"/>
    <s v="Partial Loss"/>
    <n v="31"/>
    <n v="30.32"/>
    <n v="0.68"/>
    <n v="2.2000000000000002"/>
    <x v="657"/>
    <n v="45480"/>
    <n v="48.64"/>
    <n v="34100"/>
    <n v="11380"/>
    <n v="12.17"/>
    <n v="748"/>
    <d v="2023-11-13T00:00:00"/>
  </r>
  <r>
    <s v="B01489"/>
    <s v="P025"/>
    <x v="3"/>
    <s v="Sold Out"/>
    <n v="34"/>
    <n v="34"/>
    <n v="0"/>
    <n v="0"/>
    <x v="480"/>
    <n v="51000"/>
    <n v="54.55"/>
    <n v="37400"/>
    <n v="13600"/>
    <n v="14.55"/>
    <n v="0"/>
    <d v="2023-12-15T00:00:00"/>
  </r>
  <r>
    <s v="B01490"/>
    <s v="P025"/>
    <x v="3"/>
    <s v="Sold Out"/>
    <n v="26"/>
    <n v="26"/>
    <n v="0"/>
    <n v="0"/>
    <x v="633"/>
    <n v="39000"/>
    <n v="41.71"/>
    <n v="28600"/>
    <n v="10400"/>
    <n v="11.12"/>
    <n v="0"/>
    <d v="2024-01-23T00:00:00"/>
  </r>
  <r>
    <s v="B01491"/>
    <s v="P025"/>
    <x v="3"/>
    <s v="Partial Loss"/>
    <n v="34"/>
    <n v="33.15"/>
    <n v="0.85"/>
    <n v="2.5"/>
    <x v="122"/>
    <n v="49725"/>
    <n v="53.18"/>
    <n v="37400"/>
    <n v="12325"/>
    <n v="13.18"/>
    <n v="935"/>
    <d v="2024-02-29T00:00:00"/>
  </r>
  <r>
    <s v="B01492"/>
    <s v="P025"/>
    <x v="3"/>
    <s v="Partial Loss"/>
    <n v="87"/>
    <n v="84.22"/>
    <n v="2.78"/>
    <n v="3.2"/>
    <x v="665"/>
    <n v="126330"/>
    <n v="135.11000000000001"/>
    <n v="95700"/>
    <n v="30630"/>
    <n v="32.76"/>
    <n v="3058"/>
    <d v="2024-04-04T00:00:00"/>
  </r>
  <r>
    <s v="B01493"/>
    <s v="P025"/>
    <x v="3"/>
    <s v="Sold Out"/>
    <n v="89"/>
    <n v="89"/>
    <n v="0"/>
    <n v="0"/>
    <x v="486"/>
    <n v="133500"/>
    <n v="142.78"/>
    <n v="102350"/>
    <n v="31150"/>
    <n v="33.32"/>
    <n v="0"/>
    <d v="2024-05-17T00:00:00"/>
  </r>
  <r>
    <s v="B01494"/>
    <s v="P025"/>
    <x v="3"/>
    <s v="Sold Out"/>
    <n v="85"/>
    <n v="85"/>
    <n v="0"/>
    <n v="0"/>
    <x v="666"/>
    <n v="127500"/>
    <n v="136.36000000000001"/>
    <n v="93500"/>
    <n v="34000"/>
    <n v="36.36"/>
    <n v="0"/>
    <d v="2024-06-17T00:00:00"/>
  </r>
  <r>
    <s v="B01495"/>
    <s v="P025"/>
    <x v="3"/>
    <s v="Sold Out"/>
    <n v="82"/>
    <n v="82"/>
    <n v="0"/>
    <n v="0"/>
    <x v="325"/>
    <n v="123000"/>
    <n v="131.55000000000001"/>
    <n v="90200"/>
    <n v="32800"/>
    <n v="35.08"/>
    <n v="0"/>
    <d v="2024-07-30T00:00:00"/>
  </r>
  <r>
    <s v="B01496"/>
    <s v="P025"/>
    <x v="3"/>
    <s v="Sold Out"/>
    <n v="87"/>
    <n v="87"/>
    <n v="0"/>
    <n v="0"/>
    <x v="274"/>
    <n v="130500"/>
    <n v="139.57"/>
    <n v="95700"/>
    <n v="34800"/>
    <n v="37.22"/>
    <n v="0"/>
    <d v="2024-09-02T00:00:00"/>
  </r>
  <r>
    <s v="B01497"/>
    <s v="P025"/>
    <x v="3"/>
    <s v="Partial Loss"/>
    <n v="26"/>
    <n v="25.04"/>
    <n v="0.96"/>
    <n v="3.7"/>
    <x v="667"/>
    <n v="37560"/>
    <n v="40.17"/>
    <n v="28600"/>
    <n v="8960"/>
    <n v="9.58"/>
    <n v="1056"/>
    <d v="2024-10-02T00:00:00"/>
  </r>
  <r>
    <s v="B01498"/>
    <s v="P025"/>
    <x v="3"/>
    <s v="Partial Loss"/>
    <n v="32"/>
    <n v="30.88"/>
    <n v="1.1200000000000001"/>
    <n v="3.5"/>
    <x v="668"/>
    <n v="46320"/>
    <n v="49.54"/>
    <n v="35200"/>
    <n v="11120"/>
    <n v="11.89"/>
    <n v="1232.0000000000002"/>
    <d v="2024-11-04T00:00:00"/>
  </r>
  <r>
    <s v="B01499"/>
    <s v="P025"/>
    <x v="3"/>
    <s v="Partial Loss"/>
    <n v="35"/>
    <n v="33.880000000000003"/>
    <n v="1.1200000000000001"/>
    <n v="3.2"/>
    <x v="669"/>
    <n v="50820"/>
    <n v="54.35"/>
    <n v="38500"/>
    <n v="12320"/>
    <n v="13.18"/>
    <n v="1232.0000000000002"/>
    <d v="2024-12-08T00:00:00"/>
  </r>
  <r>
    <s v="B01500"/>
    <s v="P025"/>
    <x v="3"/>
    <s v="Partial Loss"/>
    <n v="32"/>
    <n v="31.68"/>
    <n v="0.32"/>
    <n v="1"/>
    <x v="670"/>
    <n v="47520"/>
    <n v="50.82"/>
    <n v="35200"/>
    <n v="12320"/>
    <n v="13.18"/>
    <n v="352"/>
    <d v="2025-01-15T00:00:00"/>
  </r>
  <r>
    <s v="B01501"/>
    <s v="P025"/>
    <x v="3"/>
    <s v="Partial Loss"/>
    <n v="35"/>
    <n v="33.35"/>
    <n v="1.65"/>
    <n v="4.7"/>
    <x v="671"/>
    <n v="50025"/>
    <n v="53.5"/>
    <n v="38500"/>
    <n v="11525"/>
    <n v="12.33"/>
    <n v="1815"/>
    <d v="2025-02-19T00:00:00"/>
  </r>
  <r>
    <s v="B01502"/>
    <s v="P025"/>
    <x v="3"/>
    <s v="Sold Out"/>
    <n v="35"/>
    <n v="35"/>
    <n v="0"/>
    <n v="0"/>
    <x v="525"/>
    <n v="52500"/>
    <n v="56.15"/>
    <n v="38500"/>
    <n v="14000"/>
    <n v="14.97"/>
    <n v="0"/>
    <d v="2025-03-19T00:00:00"/>
  </r>
  <r>
    <s v="B01503"/>
    <s v="P025"/>
    <x v="3"/>
    <s v="Sold Out"/>
    <n v="82"/>
    <n v="82"/>
    <n v="0"/>
    <n v="0"/>
    <x v="561"/>
    <n v="123000"/>
    <n v="131.55000000000001"/>
    <n v="90200"/>
    <n v="32800"/>
    <n v="35.08"/>
    <n v="0"/>
    <d v="2025-04-19T00:00:00"/>
  </r>
  <r>
    <s v="B01504"/>
    <s v="P025"/>
    <x v="3"/>
    <s v="Partial Loss"/>
    <n v="78"/>
    <n v="75.27"/>
    <n v="2.73"/>
    <n v="3.5"/>
    <x v="672"/>
    <n v="112905"/>
    <n v="120.75"/>
    <n v="85800"/>
    <n v="27105"/>
    <n v="28.99"/>
    <n v="3003"/>
    <d v="2025-05-26T00:00:00"/>
  </r>
  <r>
    <s v="B01505"/>
    <s v="P026"/>
    <x v="3"/>
    <s v="Sold Out"/>
    <n v="83"/>
    <n v="83"/>
    <n v="0"/>
    <n v="0"/>
    <x v="202"/>
    <n v="124500"/>
    <n v="133.16"/>
    <n v="91300"/>
    <n v="33200"/>
    <n v="35.51"/>
    <n v="0"/>
    <d v="2023-07-22T00:00:00"/>
  </r>
  <r>
    <s v="B01506"/>
    <s v="P026"/>
    <x v="3"/>
    <s v="Sold Out"/>
    <n v="81"/>
    <n v="81"/>
    <n v="0"/>
    <n v="0"/>
    <x v="145"/>
    <n v="121500"/>
    <n v="129.94999999999999"/>
    <n v="89100"/>
    <n v="32400"/>
    <n v="34.65"/>
    <n v="0"/>
    <d v="2023-08-25T00:00:00"/>
  </r>
  <r>
    <s v="B01507"/>
    <s v="P026"/>
    <x v="3"/>
    <s v="Sold Out"/>
    <n v="104"/>
    <n v="104"/>
    <n v="0"/>
    <n v="0"/>
    <x v="477"/>
    <n v="156000"/>
    <n v="166.84"/>
    <n v="114400"/>
    <n v="41600"/>
    <n v="44.49"/>
    <n v="0"/>
    <d v="2023-09-28T00:00:00"/>
  </r>
  <r>
    <s v="B01508"/>
    <s v="P026"/>
    <x v="3"/>
    <s v="Partial Loss"/>
    <n v="26"/>
    <n v="25.12"/>
    <n v="0.88"/>
    <n v="3.4"/>
    <x v="273"/>
    <n v="37680"/>
    <n v="40.299999999999997"/>
    <n v="28600"/>
    <n v="9080"/>
    <n v="9.7100000000000009"/>
    <n v="968"/>
    <d v="2023-11-10T00:00:00"/>
  </r>
  <r>
    <s v="B01509"/>
    <s v="P026"/>
    <x v="3"/>
    <s v="Partial Loss"/>
    <n v="40"/>
    <n v="39.44"/>
    <n v="0.56000000000000005"/>
    <n v="1.4"/>
    <x v="367"/>
    <n v="59160"/>
    <n v="63.27"/>
    <n v="44000"/>
    <n v="15160"/>
    <n v="16.21"/>
    <n v="616.00000000000011"/>
    <d v="2023-12-11T00:00:00"/>
  </r>
  <r>
    <s v="B01510"/>
    <s v="P026"/>
    <x v="3"/>
    <s v="Sold Out"/>
    <n v="34"/>
    <n v="34"/>
    <n v="0"/>
    <n v="0"/>
    <x v="450"/>
    <n v="51000"/>
    <n v="54.55"/>
    <n v="37400"/>
    <n v="13600"/>
    <n v="14.55"/>
    <n v="0"/>
    <d v="2024-01-19T00:00:00"/>
  </r>
  <r>
    <s v="B01511"/>
    <s v="P026"/>
    <x v="3"/>
    <s v="Sold Out"/>
    <n v="29"/>
    <n v="29"/>
    <n v="0"/>
    <n v="0"/>
    <x v="22"/>
    <n v="43500"/>
    <n v="46.52"/>
    <n v="31900"/>
    <n v="11600"/>
    <n v="12.41"/>
    <n v="0"/>
    <d v="2024-02-26T00:00:00"/>
  </r>
  <r>
    <s v="B01512"/>
    <s v="P026"/>
    <x v="3"/>
    <s v="Sold Out"/>
    <n v="80"/>
    <n v="80"/>
    <n v="0"/>
    <n v="0"/>
    <x v="451"/>
    <n v="120000"/>
    <n v="128.34"/>
    <n v="88000"/>
    <n v="32000"/>
    <n v="34.22"/>
    <n v="0"/>
    <d v="2024-04-01T00:00:00"/>
  </r>
  <r>
    <s v="B01513"/>
    <s v="P026"/>
    <x v="3"/>
    <s v="Sold Out"/>
    <n v="90"/>
    <n v="90"/>
    <n v="0"/>
    <n v="0"/>
    <x v="101"/>
    <n v="135000"/>
    <n v="144.38999999999999"/>
    <n v="99000"/>
    <n v="36000"/>
    <n v="38.5"/>
    <n v="0"/>
    <d v="2024-05-12T00:00:00"/>
  </r>
  <r>
    <s v="B01514"/>
    <s v="P026"/>
    <x v="3"/>
    <s v="Sold Out"/>
    <n v="70"/>
    <n v="70"/>
    <n v="0"/>
    <n v="0"/>
    <x v="456"/>
    <n v="105000"/>
    <n v="112.3"/>
    <n v="77000"/>
    <n v="28000"/>
    <n v="29.95"/>
    <n v="0"/>
    <d v="2024-06-14T00:00:00"/>
  </r>
  <r>
    <s v="B01515"/>
    <s v="P026"/>
    <x v="3"/>
    <s v="Sold Out"/>
    <n v="91"/>
    <n v="91"/>
    <n v="0"/>
    <n v="0"/>
    <x v="322"/>
    <n v="136500"/>
    <n v="145.99"/>
    <n v="100100"/>
    <n v="36400"/>
    <n v="38.93"/>
    <n v="0"/>
    <d v="2024-07-25T00:00:00"/>
  </r>
  <r>
    <s v="B01516"/>
    <s v="P026"/>
    <x v="3"/>
    <s v="Sold Out"/>
    <n v="97"/>
    <n v="97"/>
    <n v="0"/>
    <n v="0"/>
    <x v="173"/>
    <n v="145500"/>
    <n v="155.61000000000001"/>
    <n v="106700"/>
    <n v="38800"/>
    <n v="41.5"/>
    <n v="0"/>
    <d v="2024-09-02T00:00:00"/>
  </r>
  <r>
    <s v="B01517"/>
    <s v="P026"/>
    <x v="3"/>
    <s v="Sold Out"/>
    <n v="91"/>
    <n v="91"/>
    <n v="0"/>
    <n v="0"/>
    <x v="45"/>
    <n v="136500"/>
    <n v="145.99"/>
    <n v="100100"/>
    <n v="36400"/>
    <n v="38.93"/>
    <n v="0"/>
    <d v="2024-09-28T00:00:00"/>
  </r>
  <r>
    <s v="B01518"/>
    <s v="P026"/>
    <x v="3"/>
    <s v="Sold Out"/>
    <n v="29"/>
    <n v="29"/>
    <n v="0"/>
    <n v="0"/>
    <x v="556"/>
    <n v="43500"/>
    <n v="46.52"/>
    <n v="31900"/>
    <n v="11600"/>
    <n v="12.41"/>
    <n v="0"/>
    <d v="2024-11-10T00:00:00"/>
  </r>
  <r>
    <s v="B01519"/>
    <s v="P026"/>
    <x v="3"/>
    <s v="Partial Loss"/>
    <n v="45"/>
    <n v="43.29"/>
    <n v="1.71"/>
    <n v="3.8"/>
    <x v="673"/>
    <n v="64935"/>
    <n v="69.45"/>
    <n v="49500"/>
    <n v="15435"/>
    <n v="16.510000000000002"/>
    <n v="1881"/>
    <d v="2024-12-13T00:00:00"/>
  </r>
  <r>
    <s v="B01520"/>
    <s v="P026"/>
    <x v="3"/>
    <s v="Partial Loss"/>
    <n v="29"/>
    <n v="28.19"/>
    <n v="0.81"/>
    <n v="2.8"/>
    <x v="674"/>
    <n v="42285"/>
    <n v="45.22"/>
    <n v="31900"/>
    <n v="10385"/>
    <n v="11.11"/>
    <n v="891.00000000000011"/>
    <d v="2025-01-14T00:00:00"/>
  </r>
  <r>
    <s v="B01521"/>
    <s v="P026"/>
    <x v="3"/>
    <s v="Sold Out"/>
    <n v="28"/>
    <n v="28"/>
    <n v="0"/>
    <n v="0"/>
    <x v="236"/>
    <n v="42000"/>
    <n v="44.92"/>
    <n v="30800"/>
    <n v="11200"/>
    <n v="11.98"/>
    <n v="0"/>
    <d v="2025-02-25T00:00:00"/>
  </r>
  <r>
    <s v="B01522"/>
    <s v="P026"/>
    <x v="3"/>
    <s v="Sold Out"/>
    <n v="90"/>
    <n v="90"/>
    <n v="0"/>
    <n v="0"/>
    <x v="136"/>
    <n v="135000"/>
    <n v="144.38999999999999"/>
    <n v="99000"/>
    <n v="36000"/>
    <n v="38.5"/>
    <n v="0"/>
    <d v="2025-04-01T00:00:00"/>
  </r>
  <r>
    <s v="B01523"/>
    <s v="P026"/>
    <x v="3"/>
    <s v="Sold Out"/>
    <n v="97"/>
    <n v="97"/>
    <n v="0"/>
    <n v="0"/>
    <x v="615"/>
    <n v="145500"/>
    <n v="155.61000000000001"/>
    <n v="106700"/>
    <n v="38800"/>
    <n v="41.5"/>
    <n v="0"/>
    <d v="2025-05-02T00:00:00"/>
  </r>
  <r>
    <s v="B01524"/>
    <s v="P026"/>
    <x v="3"/>
    <s v="Sold Out"/>
    <n v="89"/>
    <n v="89"/>
    <n v="0"/>
    <n v="0"/>
    <x v="440"/>
    <n v="133500"/>
    <n v="142.78"/>
    <n v="97900"/>
    <n v="35600"/>
    <n v="38.07"/>
    <n v="0"/>
    <d v="2025-06-02T00:00:00"/>
  </r>
  <r>
    <s v="B01525"/>
    <s v="P027"/>
    <x v="3"/>
    <s v="Sold Out"/>
    <n v="71"/>
    <n v="71"/>
    <n v="0"/>
    <n v="0"/>
    <x v="345"/>
    <n v="142000"/>
    <n v="151.87"/>
    <n v="102950"/>
    <n v="39050"/>
    <n v="41.76"/>
    <n v="0"/>
    <d v="2023-07-31T00:00:00"/>
  </r>
  <r>
    <s v="B01526"/>
    <s v="P027"/>
    <x v="3"/>
    <s v="Sold Out"/>
    <n v="97"/>
    <n v="97"/>
    <n v="0"/>
    <n v="0"/>
    <x v="592"/>
    <n v="194000"/>
    <n v="207.49"/>
    <n v="140650"/>
    <n v="53350"/>
    <n v="57.06"/>
    <n v="0"/>
    <d v="2023-09-08T00:00:00"/>
  </r>
  <r>
    <s v="B01527"/>
    <s v="P027"/>
    <x v="3"/>
    <s v="Sold Out"/>
    <n v="34"/>
    <n v="34"/>
    <n v="0"/>
    <n v="0"/>
    <x v="14"/>
    <n v="68000"/>
    <n v="72.73"/>
    <n v="49300"/>
    <n v="18700"/>
    <n v="20"/>
    <n v="0"/>
    <d v="2023-10-16T00:00:00"/>
  </r>
  <r>
    <s v="B01528"/>
    <s v="P027"/>
    <x v="3"/>
    <s v="Partial Loss"/>
    <n v="28"/>
    <n v="26.82"/>
    <n v="1.18"/>
    <n v="4.2"/>
    <x v="577"/>
    <n v="53640"/>
    <n v="57.37"/>
    <n v="40600"/>
    <n v="13040"/>
    <n v="13.95"/>
    <n v="1711"/>
    <d v="2023-11-18T00:00:00"/>
  </r>
  <r>
    <s v="B01529"/>
    <s v="P027"/>
    <x v="3"/>
    <s v="Partial Loss"/>
    <n v="40"/>
    <n v="39.159999999999997"/>
    <n v="0.84"/>
    <n v="2.1"/>
    <x v="605"/>
    <n v="78320"/>
    <n v="83.76"/>
    <n v="56000"/>
    <n v="22320"/>
    <n v="23.87"/>
    <n v="1176"/>
    <d v="2023-12-17T00:00:00"/>
  </r>
  <r>
    <s v="B01530"/>
    <s v="P027"/>
    <x v="3"/>
    <s v="Sold Out"/>
    <n v="28"/>
    <n v="28"/>
    <n v="0"/>
    <n v="0"/>
    <x v="675"/>
    <n v="56000"/>
    <n v="59.89"/>
    <n v="39200"/>
    <n v="16800"/>
    <n v="17.97"/>
    <n v="0"/>
    <d v="2024-01-21T00:00:00"/>
  </r>
  <r>
    <s v="B01531"/>
    <s v="P027"/>
    <x v="3"/>
    <s v="Sold Out"/>
    <n v="33"/>
    <n v="33"/>
    <n v="0"/>
    <n v="0"/>
    <x v="211"/>
    <n v="66000"/>
    <n v="70.59"/>
    <n v="46200"/>
    <n v="19800"/>
    <n v="21.18"/>
    <n v="0"/>
    <d v="2024-02-25T00:00:00"/>
  </r>
  <r>
    <s v="B01532"/>
    <s v="P027"/>
    <x v="3"/>
    <s v="Sold Out"/>
    <n v="74"/>
    <n v="74"/>
    <n v="0"/>
    <n v="0"/>
    <x v="28"/>
    <n v="148000"/>
    <n v="158.29"/>
    <n v="107300"/>
    <n v="40700"/>
    <n v="43.53"/>
    <n v="0"/>
    <d v="2024-04-03T00:00:00"/>
  </r>
  <r>
    <s v="B01533"/>
    <s v="P027"/>
    <x v="3"/>
    <s v="Partial Loss"/>
    <n v="69"/>
    <n v="67"/>
    <n v="2"/>
    <n v="2.9"/>
    <x v="185"/>
    <n v="134000"/>
    <n v="143.32"/>
    <n v="100050"/>
    <n v="33950"/>
    <n v="36.31"/>
    <n v="2900"/>
    <d v="2024-05-13T00:00:00"/>
  </r>
  <r>
    <s v="B01534"/>
    <s v="P027"/>
    <x v="3"/>
    <s v="Sold Out"/>
    <n v="83"/>
    <n v="83"/>
    <n v="0"/>
    <n v="0"/>
    <x v="676"/>
    <n v="166000"/>
    <n v="177.54"/>
    <n v="120350"/>
    <n v="45650"/>
    <n v="48.82"/>
    <n v="0"/>
    <d v="2024-06-03T00:00:00"/>
  </r>
  <r>
    <s v="B01535"/>
    <s v="P027"/>
    <x v="3"/>
    <s v="Sold Out"/>
    <n v="85"/>
    <n v="85"/>
    <n v="0"/>
    <n v="0"/>
    <x v="677"/>
    <n v="170000"/>
    <n v="181.82"/>
    <n v="123250"/>
    <n v="46750"/>
    <n v="50"/>
    <n v="0"/>
    <d v="2024-07-13T00:00:00"/>
  </r>
  <r>
    <s v="B01536"/>
    <s v="P027"/>
    <x v="3"/>
    <s v="Sold Out"/>
    <n v="83"/>
    <n v="83"/>
    <n v="0"/>
    <n v="0"/>
    <x v="326"/>
    <n v="166000"/>
    <n v="177.54"/>
    <n v="120350"/>
    <n v="45650"/>
    <n v="48.82"/>
    <n v="0"/>
    <d v="2024-08-16T00:00:00"/>
  </r>
  <r>
    <s v="B01537"/>
    <s v="P027"/>
    <x v="3"/>
    <s v="Sold Out"/>
    <n v="112"/>
    <n v="112"/>
    <n v="0"/>
    <n v="0"/>
    <x v="462"/>
    <n v="224000"/>
    <n v="239.57"/>
    <n v="162400"/>
    <n v="61600"/>
    <n v="65.88"/>
    <n v="0"/>
    <d v="2024-09-22T00:00:00"/>
  </r>
  <r>
    <s v="B01538"/>
    <s v="P027"/>
    <x v="3"/>
    <s v="Partial Loss"/>
    <n v="27"/>
    <n v="25.95"/>
    <n v="1.05"/>
    <n v="3.9"/>
    <x v="678"/>
    <n v="51900"/>
    <n v="55.51"/>
    <n v="39150"/>
    <n v="12750"/>
    <n v="13.64"/>
    <n v="1522.5"/>
    <d v="2024-10-27T00:00:00"/>
  </r>
  <r>
    <s v="B01539"/>
    <s v="P027"/>
    <x v="3"/>
    <s v="Partial Loss"/>
    <n v="28"/>
    <n v="27.22"/>
    <n v="0.78"/>
    <n v="2.8"/>
    <x v="679"/>
    <n v="54440"/>
    <n v="58.22"/>
    <n v="40600"/>
    <n v="13840"/>
    <n v="14.8"/>
    <n v="1131"/>
    <d v="2024-11-25T00:00:00"/>
  </r>
  <r>
    <s v="B01540"/>
    <s v="P027"/>
    <x v="3"/>
    <s v="Sold Out"/>
    <n v="37"/>
    <n v="37"/>
    <n v="0"/>
    <n v="0"/>
    <x v="283"/>
    <n v="74000"/>
    <n v="79.14"/>
    <n v="51800"/>
    <n v="22200"/>
    <n v="23.74"/>
    <n v="0"/>
    <d v="2025-01-06T00:00:00"/>
  </r>
  <r>
    <s v="B01541"/>
    <s v="P027"/>
    <x v="3"/>
    <s v="Sold Out"/>
    <n v="30"/>
    <n v="30"/>
    <n v="0"/>
    <n v="0"/>
    <x v="287"/>
    <n v="60000"/>
    <n v="64.17"/>
    <n v="43500"/>
    <n v="16500"/>
    <n v="17.649999999999999"/>
    <n v="0"/>
    <d v="2025-02-11T00:00:00"/>
  </r>
  <r>
    <s v="B01542"/>
    <s v="P027"/>
    <x v="3"/>
    <s v="Partial Loss"/>
    <n v="35"/>
    <n v="34.58"/>
    <n v="0.42"/>
    <n v="1.2"/>
    <x v="680"/>
    <n v="69160"/>
    <n v="73.97"/>
    <n v="50750"/>
    <n v="18410"/>
    <n v="19.690000000000001"/>
    <n v="609"/>
    <d v="2025-03-18T00:00:00"/>
  </r>
  <r>
    <s v="B01543"/>
    <s v="P027"/>
    <x v="3"/>
    <s v="Sold Out"/>
    <n v="80"/>
    <n v="80"/>
    <n v="0"/>
    <n v="0"/>
    <x v="378"/>
    <n v="160000"/>
    <n v="171.12"/>
    <n v="116000"/>
    <n v="44000"/>
    <n v="47.06"/>
    <n v="0"/>
    <d v="2025-04-16T00:00:00"/>
  </r>
  <r>
    <s v="B01544"/>
    <s v="P027"/>
    <x v="3"/>
    <s v="Sold Out"/>
    <n v="94"/>
    <n v="94"/>
    <n v="0"/>
    <n v="0"/>
    <x v="471"/>
    <n v="188000"/>
    <n v="201.07"/>
    <n v="136300"/>
    <n v="51700"/>
    <n v="55.29"/>
    <n v="0"/>
    <d v="2025-06-01T00:00:00"/>
  </r>
  <r>
    <s v="B01545"/>
    <s v="P028"/>
    <x v="3"/>
    <s v="Sold Out"/>
    <n v="69"/>
    <n v="69"/>
    <n v="0"/>
    <n v="0"/>
    <x v="681"/>
    <n v="138000"/>
    <n v="147.59"/>
    <n v="93150"/>
    <n v="44850"/>
    <n v="47.97"/>
    <n v="0"/>
    <d v="2023-07-14T00:00:00"/>
  </r>
  <r>
    <s v="B01546"/>
    <s v="P028"/>
    <x v="3"/>
    <s v="Sold Out"/>
    <n v="84"/>
    <n v="84"/>
    <n v="0"/>
    <n v="0"/>
    <x v="347"/>
    <n v="168000"/>
    <n v="179.68"/>
    <n v="113400"/>
    <n v="54600"/>
    <n v="58.4"/>
    <n v="0"/>
    <d v="2023-08-18T00:00:00"/>
  </r>
  <r>
    <s v="B01547"/>
    <s v="P028"/>
    <x v="3"/>
    <s v="Sold Out"/>
    <n v="98"/>
    <n v="98"/>
    <n v="0"/>
    <n v="0"/>
    <x v="302"/>
    <n v="196000"/>
    <n v="209.63"/>
    <n v="132300"/>
    <n v="63700"/>
    <n v="68.13"/>
    <n v="0"/>
    <d v="2023-09-25T00:00:00"/>
  </r>
  <r>
    <s v="B01548"/>
    <s v="P028"/>
    <x v="3"/>
    <s v="Sold Out"/>
    <n v="33"/>
    <n v="33"/>
    <n v="0"/>
    <n v="0"/>
    <x v="14"/>
    <n v="66000"/>
    <n v="70.59"/>
    <n v="44550"/>
    <n v="21450"/>
    <n v="22.94"/>
    <n v="0"/>
    <d v="2023-10-26T00:00:00"/>
  </r>
  <r>
    <s v="B01549"/>
    <s v="P028"/>
    <x v="3"/>
    <s v="Partial Loss"/>
    <n v="32"/>
    <n v="31.17"/>
    <n v="0.83"/>
    <n v="2.6"/>
    <x v="42"/>
    <n v="62340"/>
    <n v="66.67"/>
    <n v="43200"/>
    <n v="19140"/>
    <n v="20.47"/>
    <n v="1120.5"/>
    <d v="2023-11-30T00:00:00"/>
  </r>
  <r>
    <s v="B01550"/>
    <s v="P028"/>
    <x v="3"/>
    <s v="Partial Loss"/>
    <n v="28"/>
    <n v="26.94"/>
    <n v="1.06"/>
    <n v="3.8"/>
    <x v="113"/>
    <n v="53880"/>
    <n v="57.63"/>
    <n v="37800"/>
    <n v="16080"/>
    <n v="17.2"/>
    <n v="1431"/>
    <d v="2024-01-07T00:00:00"/>
  </r>
  <r>
    <s v="B01551"/>
    <s v="P028"/>
    <x v="3"/>
    <s v="Partial Loss"/>
    <n v="28"/>
    <n v="27.27"/>
    <n v="0.73"/>
    <n v="2.6"/>
    <x v="371"/>
    <n v="54540"/>
    <n v="58.33"/>
    <n v="37800"/>
    <n v="16740"/>
    <n v="17.899999999999999"/>
    <n v="985.5"/>
    <d v="2024-02-14T00:00:00"/>
  </r>
  <r>
    <s v="B01552"/>
    <s v="P028"/>
    <x v="3"/>
    <s v="Partial Loss"/>
    <n v="28"/>
    <n v="27.19"/>
    <n v="0.81"/>
    <n v="2.9"/>
    <x v="407"/>
    <n v="54380"/>
    <n v="58.16"/>
    <n v="37800"/>
    <n v="16580"/>
    <n v="17.73"/>
    <n v="1093.5"/>
    <d v="2024-03-20T00:00:00"/>
  </r>
  <r>
    <s v="B01553"/>
    <s v="P028"/>
    <x v="3"/>
    <s v="Sold Out"/>
    <n v="68"/>
    <n v="68"/>
    <n v="0"/>
    <n v="0"/>
    <x v="316"/>
    <n v="136000"/>
    <n v="145.44999999999999"/>
    <n v="91800"/>
    <n v="44200"/>
    <n v="47.27"/>
    <n v="0"/>
    <d v="2024-04-15T00:00:00"/>
  </r>
  <r>
    <s v="B01554"/>
    <s v="P028"/>
    <x v="3"/>
    <s v="Sold Out"/>
    <n v="87"/>
    <n v="87"/>
    <n v="0"/>
    <n v="0"/>
    <x v="682"/>
    <n v="174000"/>
    <n v="186.1"/>
    <n v="117450"/>
    <n v="56550"/>
    <n v="60.48"/>
    <n v="0"/>
    <d v="2024-05-19T00:00:00"/>
  </r>
  <r>
    <s v="B01555"/>
    <s v="P028"/>
    <x v="3"/>
    <s v="Sold Out"/>
    <n v="90"/>
    <n v="90"/>
    <n v="0"/>
    <n v="0"/>
    <x v="269"/>
    <n v="180000"/>
    <n v="192.51"/>
    <n v="121500"/>
    <n v="58500"/>
    <n v="62.57"/>
    <n v="0"/>
    <d v="2024-06-30T00:00:00"/>
  </r>
  <r>
    <s v="B01556"/>
    <s v="P028"/>
    <x v="3"/>
    <s v="Sold Out"/>
    <n v="76"/>
    <n v="76"/>
    <n v="0"/>
    <n v="0"/>
    <x v="517"/>
    <n v="152000"/>
    <n v="162.57"/>
    <n v="102600"/>
    <n v="49400"/>
    <n v="52.83"/>
    <n v="0"/>
    <d v="2024-08-08T00:00:00"/>
  </r>
  <r>
    <s v="B01557"/>
    <s v="P028"/>
    <x v="3"/>
    <s v="Partial Loss"/>
    <n v="106"/>
    <n v="105.26"/>
    <n v="0.74"/>
    <n v="0.7"/>
    <x v="293"/>
    <n v="210520"/>
    <n v="225.16"/>
    <n v="143100"/>
    <n v="67420"/>
    <n v="72.11"/>
    <n v="999"/>
    <d v="2024-09-06T00:00:00"/>
  </r>
  <r>
    <s v="B01558"/>
    <s v="P028"/>
    <x v="3"/>
    <s v="Partial Loss"/>
    <n v="32"/>
    <n v="31.3"/>
    <n v="0.7"/>
    <n v="2.2000000000000002"/>
    <x v="140"/>
    <n v="62600"/>
    <n v="66.95"/>
    <n v="43200"/>
    <n v="19400"/>
    <n v="20.75"/>
    <n v="944.99999999999989"/>
    <d v="2024-10-08T00:00:00"/>
  </r>
  <r>
    <s v="B01559"/>
    <s v="P028"/>
    <x v="3"/>
    <s v="Sold Out"/>
    <n v="33"/>
    <n v="33"/>
    <n v="0"/>
    <n v="0"/>
    <x v="402"/>
    <n v="66000"/>
    <n v="70.59"/>
    <n v="44550"/>
    <n v="21450"/>
    <n v="22.94"/>
    <n v="0"/>
    <d v="2024-11-13T00:00:00"/>
  </r>
  <r>
    <s v="B01560"/>
    <s v="P028"/>
    <x v="3"/>
    <s v="Partial Loss"/>
    <n v="36"/>
    <n v="34.74"/>
    <n v="1.26"/>
    <n v="3.5"/>
    <x v="683"/>
    <n v="69480"/>
    <n v="74.31"/>
    <n v="48600"/>
    <n v="20880"/>
    <n v="22.33"/>
    <n v="1701"/>
    <d v="2024-12-19T00:00:00"/>
  </r>
  <r>
    <s v="B01561"/>
    <s v="P028"/>
    <x v="3"/>
    <s v="Sold Out"/>
    <n v="29"/>
    <n v="29"/>
    <n v="0"/>
    <n v="0"/>
    <x v="684"/>
    <n v="58000"/>
    <n v="62.03"/>
    <n v="39150"/>
    <n v="18850"/>
    <n v="20.16"/>
    <n v="0"/>
    <d v="2025-01-24T00:00:00"/>
  </r>
  <r>
    <s v="B01562"/>
    <s v="P028"/>
    <x v="3"/>
    <s v="Partial Loss"/>
    <n v="28"/>
    <n v="27.24"/>
    <n v="0.76"/>
    <n v="2.7"/>
    <x v="685"/>
    <n v="54480"/>
    <n v="58.27"/>
    <n v="37800"/>
    <n v="16680"/>
    <n v="17.84"/>
    <n v="1026"/>
    <d v="2025-02-26T00:00:00"/>
  </r>
  <r>
    <s v="B01563"/>
    <s v="P028"/>
    <x v="3"/>
    <s v="Partial Loss"/>
    <n v="30"/>
    <n v="29.04"/>
    <n v="0.96"/>
    <n v="3.2"/>
    <x v="686"/>
    <n v="58080"/>
    <n v="62.12"/>
    <n v="40500"/>
    <n v="17580"/>
    <n v="18.8"/>
    <n v="1296"/>
    <d v="2025-03-31T00:00:00"/>
  </r>
  <r>
    <s v="B01564"/>
    <s v="P028"/>
    <x v="3"/>
    <s v="Sold Out"/>
    <n v="99"/>
    <n v="99"/>
    <n v="0"/>
    <n v="0"/>
    <x v="340"/>
    <n v="198000"/>
    <n v="211.76"/>
    <n v="133650"/>
    <n v="64350"/>
    <n v="68.819999999999993"/>
    <n v="0"/>
    <d v="2025-05-12T00:00:00"/>
  </r>
  <r>
    <s v="B01565"/>
    <s v="P028"/>
    <x v="3"/>
    <s v="Sold Out"/>
    <n v="75"/>
    <n v="75"/>
    <n v="0"/>
    <n v="0"/>
    <x v="379"/>
    <n v="150000"/>
    <n v="160.43"/>
    <n v="101250"/>
    <n v="48750"/>
    <n v="52.14"/>
    <n v="0"/>
    <d v="2025-06-16T00:00:00"/>
  </r>
  <r>
    <s v="B01566"/>
    <s v="P029"/>
    <x v="3"/>
    <s v="Partial Loss"/>
    <n v="75"/>
    <n v="74.33"/>
    <n v="0.67"/>
    <n v="0.9"/>
    <x v="98"/>
    <n v="148660"/>
    <n v="158.99"/>
    <n v="105000"/>
    <n v="43660"/>
    <n v="46.7"/>
    <n v="938"/>
    <d v="2023-07-26T00:00:00"/>
  </r>
  <r>
    <s v="B01567"/>
    <s v="P029"/>
    <x v="3"/>
    <s v="Sold Out"/>
    <n v="84"/>
    <n v="84"/>
    <n v="0"/>
    <n v="0"/>
    <x v="346"/>
    <n v="168000"/>
    <n v="179.68"/>
    <n v="117600"/>
    <n v="50400"/>
    <n v="53.9"/>
    <n v="0"/>
    <d v="2023-08-25T00:00:00"/>
  </r>
  <r>
    <s v="B01568"/>
    <s v="P029"/>
    <x v="3"/>
    <s v="Sold Out"/>
    <n v="105"/>
    <n v="105"/>
    <n v="0"/>
    <n v="0"/>
    <x v="687"/>
    <n v="210000"/>
    <n v="224.6"/>
    <n v="147000"/>
    <n v="63000"/>
    <n v="67.38"/>
    <n v="0"/>
    <d v="2023-09-25T00:00:00"/>
  </r>
  <r>
    <s v="B01569"/>
    <s v="P029"/>
    <x v="3"/>
    <s v="Partial Loss"/>
    <n v="33"/>
    <n v="32.08"/>
    <n v="0.92"/>
    <n v="2.8"/>
    <x v="40"/>
    <n v="64160"/>
    <n v="68.62"/>
    <n v="46200"/>
    <n v="17960"/>
    <n v="19.21"/>
    <n v="1288"/>
    <d v="2023-10-30T00:00:00"/>
  </r>
  <r>
    <s v="B01570"/>
    <s v="P029"/>
    <x v="3"/>
    <s v="Sold Out"/>
    <n v="30"/>
    <n v="30"/>
    <n v="0"/>
    <n v="0"/>
    <x v="18"/>
    <n v="60000"/>
    <n v="64.17"/>
    <n v="42000"/>
    <n v="18000"/>
    <n v="19.25"/>
    <n v="0"/>
    <d v="2023-11-26T00:00:00"/>
  </r>
  <r>
    <s v="B01571"/>
    <s v="P029"/>
    <x v="3"/>
    <s v="Partial Loss"/>
    <n v="28"/>
    <n v="27.27"/>
    <n v="0.73"/>
    <n v="2.6"/>
    <x v="113"/>
    <n v="54540"/>
    <n v="58.33"/>
    <n v="39200"/>
    <n v="15340"/>
    <n v="16.41"/>
    <n v="1022"/>
    <d v="2024-01-07T00:00:00"/>
  </r>
  <r>
    <s v="B01572"/>
    <s v="P029"/>
    <x v="3"/>
    <s v="Partial Loss"/>
    <n v="33"/>
    <n v="32.57"/>
    <n v="0.43"/>
    <n v="1.3"/>
    <x v="181"/>
    <n v="65140"/>
    <n v="69.67"/>
    <n v="46200"/>
    <n v="18940"/>
    <n v="20.260000000000002"/>
    <n v="602"/>
    <d v="2024-02-09T00:00:00"/>
  </r>
  <r>
    <s v="B01573"/>
    <s v="P029"/>
    <x v="3"/>
    <s v="Partial Loss"/>
    <n v="33"/>
    <n v="31.88"/>
    <n v="1.1200000000000001"/>
    <n v="3.4"/>
    <x v="688"/>
    <n v="63760"/>
    <n v="68.19"/>
    <n v="46200"/>
    <n v="17560"/>
    <n v="18.78"/>
    <n v="1568.0000000000002"/>
    <d v="2024-03-19T00:00:00"/>
  </r>
  <r>
    <s v="B01574"/>
    <s v="P029"/>
    <x v="3"/>
    <s v="Sold Out"/>
    <n v="83"/>
    <n v="83"/>
    <n v="0"/>
    <n v="0"/>
    <x v="451"/>
    <n v="166000"/>
    <n v="177.54"/>
    <n v="116200"/>
    <n v="49800"/>
    <n v="53.26"/>
    <n v="0"/>
    <d v="2024-04-22T00:00:00"/>
  </r>
  <r>
    <s v="B01575"/>
    <s v="P029"/>
    <x v="3"/>
    <s v="Sold Out"/>
    <n v="70"/>
    <n v="70"/>
    <n v="0"/>
    <n v="0"/>
    <x v="105"/>
    <n v="140000"/>
    <n v="149.72999999999999"/>
    <n v="98000"/>
    <n v="42000"/>
    <n v="44.92"/>
    <n v="0"/>
    <d v="2024-05-17T00:00:00"/>
  </r>
  <r>
    <s v="B01576"/>
    <s v="P029"/>
    <x v="3"/>
    <s v="Sold Out"/>
    <n v="72"/>
    <n v="72"/>
    <n v="0"/>
    <n v="0"/>
    <x v="689"/>
    <n v="144000"/>
    <n v="154.01"/>
    <n v="100800"/>
    <n v="43200"/>
    <n v="46.2"/>
    <n v="0"/>
    <d v="2024-06-13T00:00:00"/>
  </r>
  <r>
    <s v="B01577"/>
    <s v="P029"/>
    <x v="3"/>
    <s v="Sold Out"/>
    <n v="69"/>
    <n v="69"/>
    <n v="0"/>
    <n v="0"/>
    <x v="322"/>
    <n v="138000"/>
    <n v="147.59"/>
    <n v="96600"/>
    <n v="41400"/>
    <n v="44.28"/>
    <n v="0"/>
    <d v="2024-07-21T00:00:00"/>
  </r>
  <r>
    <s v="B01578"/>
    <s v="P029"/>
    <x v="3"/>
    <s v="Partial Loss"/>
    <n v="75"/>
    <n v="73.12"/>
    <n v="1.88"/>
    <n v="2.5"/>
    <x v="690"/>
    <n v="146240"/>
    <n v="156.41"/>
    <n v="105000"/>
    <n v="41240"/>
    <n v="44.11"/>
    <n v="2632"/>
    <d v="2024-08-22T00:00:00"/>
  </r>
  <r>
    <s v="B01579"/>
    <s v="P029"/>
    <x v="3"/>
    <s v="Sold Out"/>
    <n v="108"/>
    <n v="108"/>
    <n v="0"/>
    <n v="0"/>
    <x v="111"/>
    <n v="216000"/>
    <n v="231.02"/>
    <n v="162000"/>
    <n v="54000"/>
    <n v="57.75"/>
    <n v="0"/>
    <d v="2024-09-25T00:00:00"/>
  </r>
  <r>
    <s v="B01580"/>
    <s v="P029"/>
    <x v="3"/>
    <s v="Sold Out"/>
    <n v="31"/>
    <n v="31"/>
    <n v="0"/>
    <n v="0"/>
    <x v="278"/>
    <n v="62000"/>
    <n v="66.31"/>
    <n v="43400"/>
    <n v="18600"/>
    <n v="19.89"/>
    <n v="0"/>
    <d v="2024-10-25T00:00:00"/>
  </r>
  <r>
    <s v="B01581"/>
    <s v="P029"/>
    <x v="3"/>
    <s v="Sold Out"/>
    <n v="34"/>
    <n v="34"/>
    <n v="0"/>
    <n v="0"/>
    <x v="406"/>
    <n v="68000"/>
    <n v="72.73"/>
    <n v="47600"/>
    <n v="20400"/>
    <n v="21.82"/>
    <n v="0"/>
    <d v="2024-12-02T00:00:00"/>
  </r>
  <r>
    <s v="B01582"/>
    <s v="P029"/>
    <x v="3"/>
    <s v="Sold Out"/>
    <n v="41"/>
    <n v="41"/>
    <n v="0"/>
    <n v="0"/>
    <x v="408"/>
    <n v="82000"/>
    <n v="87.7"/>
    <n v="57400"/>
    <n v="24600"/>
    <n v="26.31"/>
    <n v="0"/>
    <d v="2024-12-30T00:00:00"/>
  </r>
  <r>
    <s v="B01583"/>
    <s v="P029"/>
    <x v="3"/>
    <s v="Partial Loss"/>
    <n v="29"/>
    <n v="28.13"/>
    <n v="0.87"/>
    <n v="3"/>
    <x v="691"/>
    <n v="56260"/>
    <n v="60.17"/>
    <n v="40600"/>
    <n v="15660"/>
    <n v="16.75"/>
    <n v="1218"/>
    <d v="2025-01-24T00:00:00"/>
  </r>
  <r>
    <s v="B01584"/>
    <s v="P029"/>
    <x v="3"/>
    <s v="Sold Out"/>
    <n v="35"/>
    <n v="35"/>
    <n v="0"/>
    <n v="0"/>
    <x v="130"/>
    <n v="70000"/>
    <n v="74.87"/>
    <n v="49000"/>
    <n v="21000"/>
    <n v="22.46"/>
    <n v="0"/>
    <d v="2025-03-01T00:00:00"/>
  </r>
  <r>
    <s v="B01585"/>
    <s v="P029"/>
    <x v="3"/>
    <s v="Partial Loss"/>
    <n v="33"/>
    <n v="32.31"/>
    <n v="0.69"/>
    <n v="2.1"/>
    <x v="686"/>
    <n v="64620"/>
    <n v="69.11"/>
    <n v="46200"/>
    <n v="18420"/>
    <n v="19.7"/>
    <n v="965.99999999999989"/>
    <d v="2025-03-31T00:00:00"/>
  </r>
  <r>
    <s v="B01586"/>
    <s v="P029"/>
    <x v="3"/>
    <s v="Sold Out"/>
    <n v="94"/>
    <n v="94"/>
    <n v="0"/>
    <n v="0"/>
    <x v="67"/>
    <n v="188000"/>
    <n v="201.07"/>
    <n v="131600"/>
    <n v="56400"/>
    <n v="60.32"/>
    <n v="0"/>
    <d v="2025-04-30T00:00:00"/>
  </r>
  <r>
    <s v="B01587"/>
    <s v="P029"/>
    <x v="3"/>
    <s v="Sold Out"/>
    <n v="78"/>
    <n v="78"/>
    <n v="0"/>
    <n v="0"/>
    <x v="692"/>
    <n v="156000"/>
    <n v="166.84"/>
    <n v="109200"/>
    <n v="46800"/>
    <n v="50.05"/>
    <n v="0"/>
    <d v="2025-06-12T00:00:00"/>
  </r>
  <r>
    <s v="B01588"/>
    <s v="P030"/>
    <x v="4"/>
    <s v="Partial Loss"/>
    <n v="53"/>
    <n v="52.68"/>
    <n v="0.32"/>
    <n v="0.6"/>
    <x v="373"/>
    <n v="79020"/>
    <n v="84.51"/>
    <n v="55650"/>
    <n v="23370"/>
    <n v="24.99"/>
    <n v="336"/>
    <d v="2023-07-31T00:00:00"/>
  </r>
  <r>
    <s v="B01589"/>
    <s v="P030"/>
    <x v="4"/>
    <s v="Sold Out"/>
    <n v="44"/>
    <n v="44"/>
    <n v="0"/>
    <n v="0"/>
    <x v="9"/>
    <n v="66000"/>
    <n v="70.59"/>
    <n v="46200"/>
    <n v="19800"/>
    <n v="21.18"/>
    <n v="0"/>
    <d v="2023-10-04T00:00:00"/>
  </r>
  <r>
    <s v="B01590"/>
    <s v="P030"/>
    <x v="4"/>
    <s v="Partial Loss"/>
    <n v="43"/>
    <n v="42.48"/>
    <n v="0.52"/>
    <n v="1.2"/>
    <x v="527"/>
    <n v="63720"/>
    <n v="68.150000000000006"/>
    <n v="45150"/>
    <n v="18570"/>
    <n v="19.86"/>
    <n v="546"/>
    <d v="2023-11-24T00:00:00"/>
  </r>
  <r>
    <s v="B01591"/>
    <s v="P030"/>
    <x v="4"/>
    <s v="Partial Loss"/>
    <n v="52"/>
    <n v="51.22"/>
    <n v="0.78"/>
    <n v="1.5"/>
    <x v="197"/>
    <n v="76830"/>
    <n v="82.17"/>
    <n v="54600"/>
    <n v="22230"/>
    <n v="23.78"/>
    <n v="819"/>
    <d v="2024-01-28T00:00:00"/>
  </r>
  <r>
    <s v="B01592"/>
    <s v="P030"/>
    <x v="4"/>
    <s v="Partial Loss"/>
    <n v="52"/>
    <n v="51.64"/>
    <n v="0.36"/>
    <n v="0.7"/>
    <x v="693"/>
    <n v="77460"/>
    <n v="82.84"/>
    <n v="54600"/>
    <n v="22860"/>
    <n v="24.45"/>
    <n v="378"/>
    <d v="2024-03-23T00:00:00"/>
  </r>
  <r>
    <s v="B01593"/>
    <s v="P030"/>
    <x v="4"/>
    <s v="Sold Out"/>
    <n v="45"/>
    <n v="45"/>
    <n v="0"/>
    <n v="0"/>
    <x v="269"/>
    <n v="67500"/>
    <n v="72.19"/>
    <n v="47250"/>
    <n v="20250"/>
    <n v="21.66"/>
    <n v="0"/>
    <d v="2024-05-26T00:00:00"/>
  </r>
  <r>
    <s v="B01594"/>
    <s v="P030"/>
    <x v="4"/>
    <s v="Sold Out"/>
    <n v="43"/>
    <n v="43"/>
    <n v="0"/>
    <n v="0"/>
    <x v="323"/>
    <n v="64500"/>
    <n v="68.98"/>
    <n v="45150"/>
    <n v="19350"/>
    <n v="20.7"/>
    <n v="0"/>
    <d v="2024-07-27T00:00:00"/>
  </r>
  <r>
    <s v="B01595"/>
    <s v="P030"/>
    <x v="4"/>
    <s v="Partial Loss"/>
    <n v="65"/>
    <n v="63.89"/>
    <n v="1.1000000000000001"/>
    <n v="1.7"/>
    <x v="694"/>
    <n v="95835"/>
    <n v="102.5"/>
    <n v="68250"/>
    <n v="27585"/>
    <n v="29.5"/>
    <n v="1155"/>
    <d v="2024-09-13T00:00:00"/>
  </r>
  <r>
    <s v="B01596"/>
    <s v="P030"/>
    <x v="4"/>
    <s v="Partial Loss"/>
    <n v="44"/>
    <n v="43.52"/>
    <n v="0.48"/>
    <n v="1.1000000000000001"/>
    <x v="695"/>
    <n v="65280"/>
    <n v="69.819999999999993"/>
    <n v="46200"/>
    <n v="19080"/>
    <n v="20.41"/>
    <n v="504"/>
    <d v="2024-10-26T00:00:00"/>
  </r>
  <r>
    <s v="B01597"/>
    <s v="P030"/>
    <x v="4"/>
    <s v="Partial Loss"/>
    <n v="64"/>
    <n v="63.42"/>
    <n v="0.57999999999999996"/>
    <n v="0.9"/>
    <x v="696"/>
    <n v="95130"/>
    <n v="101.74"/>
    <n v="67200"/>
    <n v="27930"/>
    <n v="29.87"/>
    <n v="609"/>
    <d v="2024-12-28T00:00:00"/>
  </r>
  <r>
    <s v="B01598"/>
    <s v="P030"/>
    <x v="4"/>
    <s v="Partial Loss"/>
    <n v="52"/>
    <n v="51.84"/>
    <n v="0.16"/>
    <n v="0.3"/>
    <x v="697"/>
    <n v="77760"/>
    <n v="83.17"/>
    <n v="54600"/>
    <n v="23160"/>
    <n v="24.77"/>
    <n v="168"/>
    <d v="2025-02-14T00:00:00"/>
  </r>
  <r>
    <s v="B01599"/>
    <s v="P030"/>
    <x v="4"/>
    <s v="Sold Out"/>
    <n v="49"/>
    <n v="49"/>
    <n v="0"/>
    <n v="0"/>
    <x v="661"/>
    <n v="73500"/>
    <n v="78.61"/>
    <n v="51450"/>
    <n v="22050"/>
    <n v="23.58"/>
    <n v="0"/>
    <d v="2025-04-30T00:00:00"/>
  </r>
  <r>
    <s v="B01600"/>
    <s v="P031"/>
    <x v="4"/>
    <s v="Sold Out"/>
    <n v="44"/>
    <n v="44"/>
    <n v="0"/>
    <n v="0"/>
    <x v="345"/>
    <n v="66000"/>
    <n v="70.59"/>
    <n v="46200"/>
    <n v="19800"/>
    <n v="21.18"/>
    <n v="0"/>
    <d v="2023-07-20T00:00:00"/>
  </r>
  <r>
    <s v="B01601"/>
    <s v="P031"/>
    <x v="4"/>
    <s v="Sold Out"/>
    <n v="61"/>
    <n v="61"/>
    <n v="0"/>
    <n v="0"/>
    <x v="301"/>
    <n v="91500"/>
    <n v="97.86"/>
    <n v="64050"/>
    <n v="27450"/>
    <n v="29.36"/>
    <n v="0"/>
    <d v="2023-09-06T00:00:00"/>
  </r>
  <r>
    <s v="B01602"/>
    <s v="P031"/>
    <x v="4"/>
    <s v="Sold Out"/>
    <n v="44"/>
    <n v="44"/>
    <n v="0"/>
    <n v="0"/>
    <x v="450"/>
    <n v="66000"/>
    <n v="70.59"/>
    <n v="46200"/>
    <n v="19800"/>
    <n v="21.18"/>
    <n v="0"/>
    <d v="2023-11-02T00:00:00"/>
  </r>
  <r>
    <s v="B01603"/>
    <s v="P031"/>
    <x v="4"/>
    <s v="Sold Out"/>
    <n v="45"/>
    <n v="45"/>
    <n v="0"/>
    <n v="0"/>
    <x v="542"/>
    <n v="67500"/>
    <n v="72.19"/>
    <n v="47250"/>
    <n v="20250"/>
    <n v="21.66"/>
    <n v="0"/>
    <d v="2024-01-05T00:00:00"/>
  </r>
  <r>
    <s v="B01604"/>
    <s v="P031"/>
    <x v="4"/>
    <s v="Sold Out"/>
    <n v="48"/>
    <n v="48"/>
    <n v="0"/>
    <n v="0"/>
    <x v="391"/>
    <n v="72000"/>
    <n v="77.010000000000005"/>
    <n v="50400"/>
    <n v="21600"/>
    <n v="23.1"/>
    <n v="0"/>
    <d v="2024-02-25T00:00:00"/>
  </r>
  <r>
    <s v="B01605"/>
    <s v="P031"/>
    <x v="4"/>
    <s v="Partial Loss"/>
    <n v="56"/>
    <n v="55.5"/>
    <n v="0.5"/>
    <n v="0.9"/>
    <x v="698"/>
    <n v="83250"/>
    <n v="89.04"/>
    <n v="58800"/>
    <n v="24450"/>
    <n v="26.15"/>
    <n v="525"/>
    <d v="2024-04-16T00:00:00"/>
  </r>
  <r>
    <s v="B01606"/>
    <s v="P031"/>
    <x v="4"/>
    <s v="Partial Loss"/>
    <n v="57"/>
    <n v="56.94"/>
    <n v="0.06"/>
    <n v="0.1"/>
    <x v="699"/>
    <n v="85410"/>
    <n v="91.35"/>
    <n v="59850"/>
    <n v="25560"/>
    <n v="27.34"/>
    <n v="63"/>
    <d v="2024-05-27T00:00:00"/>
  </r>
  <r>
    <s v="B01607"/>
    <s v="P031"/>
    <x v="4"/>
    <s v="Sold Out"/>
    <n v="47"/>
    <n v="47"/>
    <n v="0"/>
    <n v="0"/>
    <x v="460"/>
    <n v="70500"/>
    <n v="75.400000000000006"/>
    <n v="49350"/>
    <n v="21150"/>
    <n v="22.62"/>
    <n v="0"/>
    <d v="2024-08-07T00:00:00"/>
  </r>
  <r>
    <s v="B01608"/>
    <s v="P031"/>
    <x v="4"/>
    <s v="Sold Out"/>
    <n v="44"/>
    <n v="44"/>
    <n v="0"/>
    <n v="0"/>
    <x v="46"/>
    <n v="66000"/>
    <n v="70.59"/>
    <n v="46200"/>
    <n v="19800"/>
    <n v="21.18"/>
    <n v="0"/>
    <d v="2024-10-06T00:00:00"/>
  </r>
  <r>
    <s v="B01609"/>
    <s v="P031"/>
    <x v="4"/>
    <s v="Sold Out"/>
    <n v="56"/>
    <n v="56"/>
    <n v="0"/>
    <n v="0"/>
    <x v="559"/>
    <n v="84000"/>
    <n v="89.84"/>
    <n v="58800"/>
    <n v="25200"/>
    <n v="26.95"/>
    <n v="0"/>
    <d v="2024-11-30T00:00:00"/>
  </r>
  <r>
    <s v="B01610"/>
    <s v="P031"/>
    <x v="4"/>
    <s v="Sold Out"/>
    <n v="52"/>
    <n v="52"/>
    <n v="0"/>
    <n v="0"/>
    <x v="656"/>
    <n v="78000"/>
    <n v="83.42"/>
    <n v="54600"/>
    <n v="23400"/>
    <n v="25.03"/>
    <n v="0"/>
    <d v="2025-02-08T00:00:00"/>
  </r>
  <r>
    <s v="B01611"/>
    <s v="P031"/>
    <x v="4"/>
    <s v="Partial Loss"/>
    <n v="50"/>
    <n v="49.45"/>
    <n v="0.55000000000000004"/>
    <n v="1.1000000000000001"/>
    <x v="700"/>
    <n v="74175"/>
    <n v="79.33"/>
    <n v="52500"/>
    <n v="21675"/>
    <n v="23.18"/>
    <n v="577.5"/>
    <d v="2025-04-18T00:00:00"/>
  </r>
  <r>
    <s v="B01612"/>
    <s v="P031"/>
    <x v="4"/>
    <s v="Sold Out"/>
    <n v="51"/>
    <n v="51"/>
    <n v="0"/>
    <n v="0"/>
    <x v="73"/>
    <n v="76500"/>
    <n v="81.819999999999993"/>
    <n v="53550"/>
    <n v="22950"/>
    <n v="24.55"/>
    <n v="0"/>
    <d v="2025-06-07T00:00:00"/>
  </r>
  <r>
    <s v="B01613"/>
    <s v="P032"/>
    <x v="4"/>
    <s v="Sold Out"/>
    <n v="55"/>
    <n v="55"/>
    <n v="0"/>
    <n v="0"/>
    <x v="476"/>
    <n v="55000"/>
    <n v="58.82"/>
    <n v="38500"/>
    <n v="16500"/>
    <n v="17.649999999999999"/>
    <n v="0"/>
    <d v="2023-08-13T00:00:00"/>
  </r>
  <r>
    <s v="B01614"/>
    <s v="P032"/>
    <x v="4"/>
    <s v="Sold Out"/>
    <n v="49"/>
    <n v="49"/>
    <n v="0"/>
    <n v="0"/>
    <x v="352"/>
    <n v="49000"/>
    <n v="52.41"/>
    <n v="34300"/>
    <n v="14700"/>
    <n v="15.72"/>
    <n v="0"/>
    <d v="2023-10-14T00:00:00"/>
  </r>
  <r>
    <s v="B01615"/>
    <s v="P032"/>
    <x v="4"/>
    <s v="Sold Out"/>
    <n v="51"/>
    <n v="51"/>
    <n v="0"/>
    <n v="0"/>
    <x v="701"/>
    <n v="51000"/>
    <n v="54.55"/>
    <n v="35700"/>
    <n v="15300"/>
    <n v="16.36"/>
    <n v="0"/>
    <d v="2023-11-24T00:00:00"/>
  </r>
  <r>
    <s v="B01616"/>
    <s v="P032"/>
    <x v="4"/>
    <s v="Sold Out"/>
    <n v="52"/>
    <n v="52"/>
    <n v="0"/>
    <n v="0"/>
    <x v="702"/>
    <n v="52000"/>
    <n v="55.61"/>
    <n v="36400"/>
    <n v="15600"/>
    <n v="16.68"/>
    <n v="0"/>
    <d v="2024-02-05T00:00:00"/>
  </r>
  <r>
    <s v="B01617"/>
    <s v="P032"/>
    <x v="4"/>
    <s v="Partial Loss"/>
    <n v="54"/>
    <n v="53.08"/>
    <n v="0.92"/>
    <n v="1.7"/>
    <x v="669"/>
    <n v="53080"/>
    <n v="56.77"/>
    <n v="37800"/>
    <n v="15280"/>
    <n v="16.34"/>
    <n v="644"/>
    <d v="2024-04-12T00:00:00"/>
  </r>
  <r>
    <s v="B01618"/>
    <s v="P032"/>
    <x v="4"/>
    <s v="Partial Loss"/>
    <n v="51"/>
    <n v="50.18"/>
    <n v="0.82"/>
    <n v="1.6"/>
    <x v="703"/>
    <n v="50180"/>
    <n v="53.67"/>
    <n v="35700"/>
    <n v="14480"/>
    <n v="15.49"/>
    <n v="574"/>
    <d v="2024-06-20T00:00:00"/>
  </r>
  <r>
    <s v="B01619"/>
    <s v="P032"/>
    <x v="4"/>
    <s v="Sold Out"/>
    <n v="44"/>
    <n v="44"/>
    <n v="0"/>
    <n v="0"/>
    <x v="428"/>
    <n v="44000"/>
    <n v="47.06"/>
    <n v="30800"/>
    <n v="13200"/>
    <n v="14.12"/>
    <n v="0"/>
    <d v="2024-08-15T00:00:00"/>
  </r>
  <r>
    <s v="B01620"/>
    <s v="P032"/>
    <x v="4"/>
    <s v="Sold Out"/>
    <n v="57"/>
    <n v="57"/>
    <n v="0"/>
    <n v="0"/>
    <x v="463"/>
    <n v="57000"/>
    <n v="60.96"/>
    <n v="39900"/>
    <n v="17100"/>
    <n v="18.29"/>
    <n v="0"/>
    <d v="2024-10-15T00:00:00"/>
  </r>
  <r>
    <s v="B01621"/>
    <s v="P032"/>
    <x v="4"/>
    <s v="Partial Loss"/>
    <n v="59"/>
    <n v="58.47"/>
    <n v="0.53"/>
    <n v="0.9"/>
    <x v="704"/>
    <n v="58470"/>
    <n v="62.53"/>
    <n v="41300"/>
    <n v="17170"/>
    <n v="18.36"/>
    <n v="371"/>
    <d v="2024-12-01T00:00:00"/>
  </r>
  <r>
    <s v="B01622"/>
    <s v="P032"/>
    <x v="4"/>
    <s v="Sold Out"/>
    <n v="56"/>
    <n v="56"/>
    <n v="0"/>
    <n v="0"/>
    <x v="64"/>
    <n v="56000"/>
    <n v="59.89"/>
    <n v="39200"/>
    <n v="16800"/>
    <n v="17.97"/>
    <n v="0"/>
    <d v="2025-01-25T00:00:00"/>
  </r>
  <r>
    <s v="B01623"/>
    <s v="P032"/>
    <x v="4"/>
    <s v="Sold Out"/>
    <n v="52"/>
    <n v="52"/>
    <n v="0"/>
    <n v="0"/>
    <x v="336"/>
    <n v="52000"/>
    <n v="55.61"/>
    <n v="36400"/>
    <n v="15600"/>
    <n v="16.68"/>
    <n v="0"/>
    <d v="2025-04-01T00:00:00"/>
  </r>
  <r>
    <s v="B01624"/>
    <s v="P032"/>
    <x v="4"/>
    <s v="Sold Out"/>
    <n v="48"/>
    <n v="48"/>
    <n v="0"/>
    <n v="0"/>
    <x v="439"/>
    <n v="48000"/>
    <n v="51.34"/>
    <n v="33600"/>
    <n v="14400"/>
    <n v="15.4"/>
    <n v="0"/>
    <d v="2025-05-20T00:00:00"/>
  </r>
  <r>
    <s v="B01625"/>
    <s v="P033"/>
    <x v="4"/>
    <s v="Sold Out"/>
    <n v="44"/>
    <n v="44"/>
    <n v="0"/>
    <n v="0"/>
    <x v="420"/>
    <n v="88000"/>
    <n v="94.12"/>
    <n v="63800"/>
    <n v="24200"/>
    <n v="25.88"/>
    <n v="0"/>
    <d v="2023-07-14T00:00:00"/>
  </r>
  <r>
    <s v="B01626"/>
    <s v="P033"/>
    <x v="4"/>
    <s v="Sold Out"/>
    <n v="58"/>
    <n v="58"/>
    <n v="0"/>
    <n v="0"/>
    <x v="535"/>
    <n v="116000"/>
    <n v="124.06"/>
    <n v="84100"/>
    <n v="31900"/>
    <n v="34.119999999999997"/>
    <n v="0"/>
    <d v="2023-09-09T00:00:00"/>
  </r>
  <r>
    <s v="B01627"/>
    <s v="P033"/>
    <x v="4"/>
    <s v="Sold Out"/>
    <n v="44"/>
    <n v="44"/>
    <n v="0"/>
    <n v="0"/>
    <x v="387"/>
    <n v="88000"/>
    <n v="94.12"/>
    <n v="63800"/>
    <n v="24200"/>
    <n v="25.88"/>
    <n v="0"/>
    <d v="2023-11-13T00:00:00"/>
  </r>
  <r>
    <s v="B01628"/>
    <s v="P033"/>
    <x v="4"/>
    <s v="Sold Out"/>
    <n v="57"/>
    <n v="57"/>
    <n v="0"/>
    <n v="0"/>
    <x v="390"/>
    <n v="114000"/>
    <n v="121.93"/>
    <n v="82650"/>
    <n v="31350"/>
    <n v="33.53"/>
    <n v="0"/>
    <d v="2024-01-21T00:00:00"/>
  </r>
  <r>
    <s v="B01629"/>
    <s v="P033"/>
    <x v="4"/>
    <s v="Partial Loss"/>
    <n v="53"/>
    <n v="52.31"/>
    <n v="0.69"/>
    <n v="1.3"/>
    <x v="705"/>
    <n v="104620"/>
    <n v="111.89"/>
    <n v="76850"/>
    <n v="27770"/>
    <n v="29.7"/>
    <n v="1000.4999999999999"/>
    <d v="2024-03-14T00:00:00"/>
  </r>
  <r>
    <s v="B01630"/>
    <s v="P033"/>
    <x v="4"/>
    <s v="Sold Out"/>
    <n v="44"/>
    <n v="44"/>
    <n v="0"/>
    <n v="0"/>
    <x v="689"/>
    <n v="88000"/>
    <n v="94.12"/>
    <n v="59400"/>
    <n v="28600"/>
    <n v="30.59"/>
    <n v="0"/>
    <d v="2024-05-27T00:00:00"/>
  </r>
  <r>
    <s v="B01631"/>
    <s v="P033"/>
    <x v="4"/>
    <s v="Sold Out"/>
    <n v="54"/>
    <n v="54"/>
    <n v="0"/>
    <n v="0"/>
    <x v="401"/>
    <n v="108000"/>
    <n v="115.51"/>
    <n v="78300"/>
    <n v="29700"/>
    <n v="31.76"/>
    <n v="0"/>
    <d v="2024-07-29T00:00:00"/>
  </r>
  <r>
    <s v="B01632"/>
    <s v="P033"/>
    <x v="4"/>
    <s v="Sold Out"/>
    <n v="59"/>
    <n v="59"/>
    <n v="0"/>
    <n v="0"/>
    <x v="608"/>
    <n v="118000"/>
    <n v="126.2"/>
    <n v="85550"/>
    <n v="32450"/>
    <n v="34.71"/>
    <n v="0"/>
    <d v="2024-09-22T00:00:00"/>
  </r>
  <r>
    <s v="B01633"/>
    <s v="P033"/>
    <x v="4"/>
    <s v="Sold Out"/>
    <n v="52"/>
    <n v="52"/>
    <n v="0"/>
    <n v="0"/>
    <x v="280"/>
    <n v="104000"/>
    <n v="111.23"/>
    <n v="75400"/>
    <n v="28600"/>
    <n v="30.59"/>
    <n v="0"/>
    <d v="2024-11-12T00:00:00"/>
  </r>
  <r>
    <s v="B01634"/>
    <s v="P033"/>
    <x v="4"/>
    <s v="Sold Out"/>
    <n v="53"/>
    <n v="53"/>
    <n v="0"/>
    <n v="0"/>
    <x v="491"/>
    <n v="106000"/>
    <n v="113.37"/>
    <n v="71550"/>
    <n v="34450"/>
    <n v="36.840000000000003"/>
    <n v="0"/>
    <d v="2025-01-18T00:00:00"/>
  </r>
  <r>
    <s v="B01635"/>
    <s v="P033"/>
    <x v="4"/>
    <s v="Sold Out"/>
    <n v="46"/>
    <n v="46"/>
    <n v="0"/>
    <n v="0"/>
    <x v="378"/>
    <n v="92000"/>
    <n v="98.4"/>
    <n v="66700"/>
    <n v="25300"/>
    <n v="27.06"/>
    <n v="0"/>
    <d v="2025-03-22T00:00:00"/>
  </r>
  <r>
    <s v="B01636"/>
    <s v="P033"/>
    <x v="4"/>
    <s v="Partial Loss"/>
    <n v="55"/>
    <n v="54.28"/>
    <n v="0.71"/>
    <n v="1.3"/>
    <x v="706"/>
    <n v="108560"/>
    <n v="116.11"/>
    <n v="79750"/>
    <n v="28810"/>
    <n v="30.81"/>
    <n v="1029.5"/>
    <d v="2025-05-08T00:00:00"/>
  </r>
  <r>
    <s v="B01637"/>
    <s v="P034"/>
    <x v="4"/>
    <s v="Partial Loss"/>
    <n v="43"/>
    <n v="42.61"/>
    <n v="0.39"/>
    <n v="0.9"/>
    <x v="431"/>
    <n v="42610"/>
    <n v="45.57"/>
    <n v="27950"/>
    <n v="14660"/>
    <n v="15.68"/>
    <n v="253.5"/>
    <d v="2023-07-02T00:00:00"/>
  </r>
  <r>
    <s v="B01638"/>
    <s v="P034"/>
    <x v="4"/>
    <s v="Partial Loss"/>
    <n v="47"/>
    <n v="46.77"/>
    <n v="0.24"/>
    <n v="0.5"/>
    <x v="128"/>
    <n v="46770"/>
    <n v="50.02"/>
    <n v="30550"/>
    <n v="16220"/>
    <n v="17.350000000000001"/>
    <n v="156"/>
    <d v="2023-08-28T00:00:00"/>
  </r>
  <r>
    <s v="B01639"/>
    <s v="P034"/>
    <x v="4"/>
    <s v="Partial Loss"/>
    <n v="43"/>
    <n v="42.4"/>
    <n v="0.6"/>
    <n v="1.4"/>
    <x v="411"/>
    <n v="42400"/>
    <n v="45.35"/>
    <n v="27950"/>
    <n v="14450"/>
    <n v="15.45"/>
    <n v="390"/>
    <d v="2023-10-11T00:00:00"/>
  </r>
  <r>
    <s v="B01640"/>
    <s v="P034"/>
    <x v="4"/>
    <s v="Sold Out"/>
    <n v="73"/>
    <n v="73"/>
    <n v="0"/>
    <n v="0"/>
    <x v="478"/>
    <n v="73000"/>
    <n v="78.069999999999993"/>
    <n v="47450"/>
    <n v="25550"/>
    <n v="27.33"/>
    <n v="0"/>
    <d v="2023-12-04T00:00:00"/>
  </r>
  <r>
    <s v="B01641"/>
    <s v="P034"/>
    <x v="4"/>
    <s v="Sold Out"/>
    <n v="57"/>
    <n v="57"/>
    <n v="0"/>
    <n v="0"/>
    <x v="394"/>
    <n v="57000"/>
    <n v="60.96"/>
    <n v="37050"/>
    <n v="19950"/>
    <n v="21.34"/>
    <n v="0"/>
    <d v="2024-02-01T00:00:00"/>
  </r>
  <r>
    <s v="B01642"/>
    <s v="P034"/>
    <x v="4"/>
    <s v="Sold Out"/>
    <n v="51"/>
    <n v="51"/>
    <n v="0"/>
    <n v="0"/>
    <x v="317"/>
    <n v="51000"/>
    <n v="54.55"/>
    <n v="33150"/>
    <n v="17850"/>
    <n v="19.09"/>
    <n v="0"/>
    <d v="2024-03-19T00:00:00"/>
  </r>
  <r>
    <s v="B01643"/>
    <s v="P034"/>
    <x v="4"/>
    <s v="Sold Out"/>
    <n v="50"/>
    <n v="50"/>
    <n v="0"/>
    <n v="0"/>
    <x v="105"/>
    <n v="50000"/>
    <n v="53.48"/>
    <n v="32500"/>
    <n v="17500"/>
    <n v="18.72"/>
    <n v="0"/>
    <d v="2024-05-29T00:00:00"/>
  </r>
  <r>
    <s v="B01644"/>
    <s v="P034"/>
    <x v="4"/>
    <s v="Partial Loss"/>
    <n v="57"/>
    <n v="56.14"/>
    <n v="0.85"/>
    <n v="1.5"/>
    <x v="707"/>
    <n v="56140"/>
    <n v="60.04"/>
    <n v="37050"/>
    <n v="19090"/>
    <n v="20.420000000000002"/>
    <n v="552.5"/>
    <d v="2024-07-23T00:00:00"/>
  </r>
  <r>
    <s v="B01645"/>
    <s v="P034"/>
    <x v="4"/>
    <s v="Partial Loss"/>
    <n v="66"/>
    <n v="65.34"/>
    <n v="0.66"/>
    <n v="1"/>
    <x v="708"/>
    <n v="65340"/>
    <n v="69.88"/>
    <n v="42900"/>
    <n v="22440"/>
    <n v="24"/>
    <n v="429"/>
    <d v="2024-09-21T00:00:00"/>
  </r>
  <r>
    <s v="B01646"/>
    <s v="P034"/>
    <x v="4"/>
    <s v="Partial Loss"/>
    <n v="57"/>
    <n v="56.14"/>
    <n v="0.85"/>
    <n v="1.5"/>
    <x v="709"/>
    <n v="56140"/>
    <n v="60.04"/>
    <n v="37050"/>
    <n v="19090"/>
    <n v="20.420000000000002"/>
    <n v="552.5"/>
    <d v="2024-11-12T00:00:00"/>
  </r>
  <r>
    <s v="B01647"/>
    <s v="P034"/>
    <x v="4"/>
    <s v="Partial Loss"/>
    <n v="58"/>
    <n v="57.25"/>
    <n v="0.75"/>
    <n v="1.3"/>
    <x v="710"/>
    <n v="57250"/>
    <n v="61.23"/>
    <n v="37700"/>
    <n v="19550"/>
    <n v="20.91"/>
    <n v="487.5"/>
    <d v="2024-12-23T00:00:00"/>
  </r>
  <r>
    <s v="B01648"/>
    <s v="P034"/>
    <x v="4"/>
    <s v="Sold Out"/>
    <n v="49"/>
    <n v="49"/>
    <n v="0"/>
    <n v="0"/>
    <x v="614"/>
    <n v="49000"/>
    <n v="52.41"/>
    <n v="31850"/>
    <n v="17150"/>
    <n v="18.34"/>
    <n v="0"/>
    <d v="2025-02-16T00:00:00"/>
  </r>
  <r>
    <s v="B01649"/>
    <s v="P034"/>
    <x v="4"/>
    <s v="Sold Out"/>
    <n v="50"/>
    <n v="50"/>
    <n v="0"/>
    <n v="0"/>
    <x v="66"/>
    <n v="50000"/>
    <n v="53.48"/>
    <n v="32500"/>
    <n v="17500"/>
    <n v="18.72"/>
    <n v="0"/>
    <d v="2025-04-12T00:00:00"/>
  </r>
  <r>
    <s v="B01650"/>
    <s v="P034"/>
    <x v="4"/>
    <s v="Sold Out"/>
    <n v="51"/>
    <n v="51"/>
    <n v="0"/>
    <n v="0"/>
    <x v="195"/>
    <n v="51000"/>
    <n v="54.55"/>
    <n v="33150"/>
    <n v="17850"/>
    <n v="19.09"/>
    <n v="0"/>
    <d v="2025-06-19T00:00:00"/>
  </r>
  <r>
    <s v="B01651"/>
    <s v="P035"/>
    <x v="4"/>
    <s v="Partial Loss"/>
    <n v="50"/>
    <n v="49.35"/>
    <n v="0.65"/>
    <n v="1.3"/>
    <x v="559"/>
    <n v="74025"/>
    <n v="79.17"/>
    <n v="52500"/>
    <n v="21525"/>
    <n v="23.02"/>
    <n v="682.5"/>
    <d v="2023-08-07T00:00:00"/>
  </r>
  <r>
    <s v="B01652"/>
    <s v="P035"/>
    <x v="4"/>
    <s v="Sold Out"/>
    <n v="54"/>
    <n v="54"/>
    <n v="0"/>
    <n v="0"/>
    <x v="711"/>
    <n v="81000"/>
    <n v="86.63"/>
    <n v="56700"/>
    <n v="24300"/>
    <n v="25.99"/>
    <n v="0"/>
    <d v="2023-10-08T00:00:00"/>
  </r>
  <r>
    <s v="B01653"/>
    <s v="P035"/>
    <x v="4"/>
    <s v="Sold Out"/>
    <n v="67"/>
    <n v="67"/>
    <n v="0"/>
    <n v="0"/>
    <x v="509"/>
    <n v="100500"/>
    <n v="107.49"/>
    <n v="70350"/>
    <n v="30150"/>
    <n v="32.25"/>
    <n v="0"/>
    <d v="2023-12-15T00:00:00"/>
  </r>
  <r>
    <s v="B01654"/>
    <s v="P035"/>
    <x v="4"/>
    <s v="Partial Loss"/>
    <n v="48"/>
    <n v="47.47"/>
    <n v="0.53"/>
    <n v="1.1000000000000001"/>
    <x v="648"/>
    <n v="71205"/>
    <n v="76.16"/>
    <n v="50400"/>
    <n v="20805"/>
    <n v="22.25"/>
    <n v="556.5"/>
    <d v="2024-02-16T00:00:00"/>
  </r>
  <r>
    <s v="B01655"/>
    <s v="P035"/>
    <x v="4"/>
    <s v="Partial Loss"/>
    <n v="45"/>
    <n v="44.69"/>
    <n v="0.32"/>
    <n v="0.7"/>
    <x v="712"/>
    <n v="67035"/>
    <n v="71.7"/>
    <n v="47250"/>
    <n v="19785"/>
    <n v="21.16"/>
    <n v="336"/>
    <d v="2024-04-22T00:00:00"/>
  </r>
  <r>
    <s v="B01656"/>
    <s v="P035"/>
    <x v="4"/>
    <s v="Sold Out"/>
    <n v="54"/>
    <n v="54"/>
    <n v="0"/>
    <n v="0"/>
    <x v="108"/>
    <n v="81000"/>
    <n v="86.63"/>
    <n v="56700"/>
    <n v="24300"/>
    <n v="25.99"/>
    <n v="0"/>
    <d v="2024-06-27T00:00:00"/>
  </r>
  <r>
    <s v="B01657"/>
    <s v="P035"/>
    <x v="4"/>
    <s v="Partial Loss"/>
    <n v="43"/>
    <n v="42.4"/>
    <n v="0.6"/>
    <n v="1.4"/>
    <x v="631"/>
    <n v="63600"/>
    <n v="68.02"/>
    <n v="45150"/>
    <n v="18450"/>
    <n v="19.73"/>
    <n v="630"/>
    <d v="2024-08-22T00:00:00"/>
  </r>
  <r>
    <s v="B01658"/>
    <s v="P035"/>
    <x v="4"/>
    <s v="Sold Out"/>
    <n v="45"/>
    <n v="45"/>
    <n v="0"/>
    <n v="0"/>
    <x v="557"/>
    <n v="67500"/>
    <n v="72.19"/>
    <n v="47250"/>
    <n v="20250"/>
    <n v="21.66"/>
    <n v="0"/>
    <d v="2024-10-03T00:00:00"/>
  </r>
  <r>
    <s v="B01659"/>
    <s v="P035"/>
    <x v="4"/>
    <s v="Partial Loss"/>
    <n v="52"/>
    <n v="51.43"/>
    <n v="0.56999999999999995"/>
    <n v="1.1000000000000001"/>
    <x v="713"/>
    <n v="77145"/>
    <n v="82.51"/>
    <n v="54600"/>
    <n v="22545"/>
    <n v="24.11"/>
    <n v="598.5"/>
    <d v="2024-11-22T00:00:00"/>
  </r>
  <r>
    <s v="B01660"/>
    <s v="P035"/>
    <x v="4"/>
    <s v="Sold Out"/>
    <n v="58"/>
    <n v="58"/>
    <n v="0"/>
    <n v="0"/>
    <x v="129"/>
    <n v="87000"/>
    <n v="93.05"/>
    <n v="60900"/>
    <n v="26100"/>
    <n v="27.91"/>
    <n v="0"/>
    <d v="2025-01-20T00:00:00"/>
  </r>
  <r>
    <s v="B01661"/>
    <s v="P035"/>
    <x v="4"/>
    <s v="Sold Out"/>
    <n v="52"/>
    <n v="52"/>
    <n v="0"/>
    <n v="0"/>
    <x v="494"/>
    <n v="78000"/>
    <n v="83.42"/>
    <n v="54600"/>
    <n v="23400"/>
    <n v="25.03"/>
    <n v="0"/>
    <d v="2025-03-24T00:00:00"/>
  </r>
  <r>
    <s v="B01662"/>
    <s v="P035"/>
    <x v="4"/>
    <s v="Partial Loss"/>
    <n v="52"/>
    <n v="51.01"/>
    <n v="0.99"/>
    <n v="1.9"/>
    <x v="714"/>
    <n v="76515"/>
    <n v="81.83"/>
    <n v="54600"/>
    <n v="21915"/>
    <n v="23.44"/>
    <n v="1039.5"/>
    <d v="2025-05-23T00:00:00"/>
  </r>
  <r>
    <s v="B01663"/>
    <s v="P036"/>
    <x v="4"/>
    <s v="Partial Loss"/>
    <n v="51"/>
    <n v="50.59"/>
    <n v="0.41"/>
    <n v="0.8"/>
    <x v="715"/>
    <n v="75885"/>
    <n v="81.16"/>
    <n v="53550"/>
    <n v="22335"/>
    <n v="23.89"/>
    <n v="430.5"/>
    <d v="2023-08-03T00:00:00"/>
  </r>
  <r>
    <s v="B01664"/>
    <s v="P036"/>
    <x v="4"/>
    <s v="Sold Out"/>
    <n v="54"/>
    <n v="54"/>
    <n v="0"/>
    <n v="0"/>
    <x v="535"/>
    <n v="81000"/>
    <n v="86.63"/>
    <n v="56700"/>
    <n v="24300"/>
    <n v="25.99"/>
    <n v="0"/>
    <d v="2023-09-27T00:00:00"/>
  </r>
  <r>
    <s v="B01665"/>
    <s v="P036"/>
    <x v="4"/>
    <s v="Sold Out"/>
    <n v="51"/>
    <n v="51"/>
    <n v="0"/>
    <n v="0"/>
    <x v="156"/>
    <n v="76500"/>
    <n v="81.819999999999993"/>
    <n v="53550"/>
    <n v="22950"/>
    <n v="24.55"/>
    <n v="0"/>
    <d v="2023-11-21T00:00:00"/>
  </r>
  <r>
    <s v="B01666"/>
    <s v="P036"/>
    <x v="4"/>
    <s v="Sold Out"/>
    <n v="56"/>
    <n v="56"/>
    <n v="0"/>
    <n v="0"/>
    <x v="390"/>
    <n v="84000"/>
    <n v="89.84"/>
    <n v="58800"/>
    <n v="25200"/>
    <n v="26.95"/>
    <n v="0"/>
    <d v="2024-02-06T00:00:00"/>
  </r>
  <r>
    <s v="B01667"/>
    <s v="P036"/>
    <x v="4"/>
    <s v="Partial Loss"/>
    <n v="48"/>
    <n v="47.28"/>
    <n v="0.72"/>
    <n v="1.5"/>
    <x v="716"/>
    <n v="70920"/>
    <n v="75.849999999999994"/>
    <n v="50400"/>
    <n v="20520"/>
    <n v="21.95"/>
    <n v="756"/>
    <d v="2024-04-02T00:00:00"/>
  </r>
  <r>
    <s v="B01668"/>
    <s v="P036"/>
    <x v="4"/>
    <s v="Sold Out"/>
    <n v="52"/>
    <n v="52"/>
    <n v="0"/>
    <n v="0"/>
    <x v="717"/>
    <n v="78000"/>
    <n v="83.42"/>
    <n v="54600"/>
    <n v="23400"/>
    <n v="25.03"/>
    <n v="0"/>
    <d v="2024-05-18T00:00:00"/>
  </r>
  <r>
    <s v="B01669"/>
    <s v="P036"/>
    <x v="4"/>
    <s v="Sold Out"/>
    <n v="46"/>
    <n v="46"/>
    <n v="0"/>
    <n v="0"/>
    <x v="272"/>
    <n v="69000"/>
    <n v="73.8"/>
    <n v="48300"/>
    <n v="20700"/>
    <n v="22.14"/>
    <n v="0"/>
    <d v="2024-07-14T00:00:00"/>
  </r>
  <r>
    <s v="B01670"/>
    <s v="P036"/>
    <x v="4"/>
    <s v="Partial Loss"/>
    <n v="44"/>
    <n v="43.34"/>
    <n v="0.66"/>
    <n v="1.5"/>
    <x v="718"/>
    <n v="65010"/>
    <n v="69.53"/>
    <n v="46200"/>
    <n v="18810"/>
    <n v="20.12"/>
    <n v="693"/>
    <d v="2024-08-31T00:00:00"/>
  </r>
  <r>
    <s v="B01671"/>
    <s v="P036"/>
    <x v="4"/>
    <s v="Sold Out"/>
    <n v="46"/>
    <n v="46"/>
    <n v="0"/>
    <n v="0"/>
    <x v="122"/>
    <n v="69000"/>
    <n v="73.8"/>
    <n v="48300"/>
    <n v="20700"/>
    <n v="22.14"/>
    <n v="0"/>
    <d v="2024-11-02T00:00:00"/>
  </r>
  <r>
    <s v="B01672"/>
    <s v="P036"/>
    <x v="4"/>
    <s v="Partial Loss"/>
    <n v="56"/>
    <n v="55.1"/>
    <n v="0.9"/>
    <n v="1.6"/>
    <x v="719"/>
    <n v="82650"/>
    <n v="88.4"/>
    <n v="58800"/>
    <n v="23850"/>
    <n v="25.51"/>
    <n v="945"/>
    <d v="2025-01-03T00:00:00"/>
  </r>
  <r>
    <s v="B01673"/>
    <s v="P036"/>
    <x v="4"/>
    <s v="Partial Loss"/>
    <n v="46"/>
    <n v="45.49"/>
    <n v="0.51"/>
    <n v="1.1000000000000001"/>
    <x v="720"/>
    <n v="68235"/>
    <n v="72.98"/>
    <n v="48300"/>
    <n v="19935"/>
    <n v="21.32"/>
    <n v="535.5"/>
    <d v="2025-02-27T00:00:00"/>
  </r>
  <r>
    <s v="B01674"/>
    <s v="P036"/>
    <x v="4"/>
    <s v="Partial Loss"/>
    <n v="56"/>
    <n v="55.44"/>
    <n v="0.56000000000000005"/>
    <n v="1"/>
    <x v="721"/>
    <n v="83160"/>
    <n v="88.94"/>
    <n v="58800"/>
    <n v="24360"/>
    <n v="26.05"/>
    <n v="588"/>
    <d v="2025-04-21T00:00:00"/>
  </r>
  <r>
    <s v="B01675"/>
    <s v="P037"/>
    <x v="4"/>
    <s v="Partial Loss"/>
    <n v="46"/>
    <n v="45.72"/>
    <n v="0.28000000000000003"/>
    <n v="0.6"/>
    <x v="644"/>
    <n v="68580"/>
    <n v="73.349999999999994"/>
    <n v="46000"/>
    <n v="22580"/>
    <n v="24.15"/>
    <n v="280"/>
    <d v="2023-08-04T00:00:00"/>
  </r>
  <r>
    <s v="B01676"/>
    <s v="P037"/>
    <x v="4"/>
    <s v="Partial Loss"/>
    <n v="58"/>
    <n v="57.48"/>
    <n v="0.52"/>
    <n v="0.9"/>
    <x v="236"/>
    <n v="86220"/>
    <n v="92.21"/>
    <n v="58000"/>
    <n v="28220"/>
    <n v="30.18"/>
    <n v="520"/>
    <d v="2023-09-28T00:00:00"/>
  </r>
  <r>
    <s v="B01677"/>
    <s v="P037"/>
    <x v="4"/>
    <s v="Sold Out"/>
    <n v="53"/>
    <n v="53"/>
    <n v="0"/>
    <n v="0"/>
    <x v="722"/>
    <n v="79500"/>
    <n v="85.03"/>
    <n v="53000"/>
    <n v="26500"/>
    <n v="28.34"/>
    <n v="0"/>
    <d v="2023-11-07T00:00:00"/>
  </r>
  <r>
    <s v="B01678"/>
    <s v="P037"/>
    <x v="4"/>
    <s v="Partial Loss"/>
    <n v="43"/>
    <n v="42.35"/>
    <n v="0.65"/>
    <n v="1.5"/>
    <x v="75"/>
    <n v="63525"/>
    <n v="67.94"/>
    <n v="43000"/>
    <n v="20525"/>
    <n v="21.95"/>
    <n v="650"/>
    <d v="2024-01-05T00:00:00"/>
  </r>
  <r>
    <s v="B01679"/>
    <s v="P037"/>
    <x v="4"/>
    <s v="Sold Out"/>
    <n v="49"/>
    <n v="49"/>
    <n v="0"/>
    <n v="0"/>
    <x v="95"/>
    <n v="73500"/>
    <n v="78.61"/>
    <n v="49000"/>
    <n v="24500"/>
    <n v="26.2"/>
    <n v="0"/>
    <d v="2024-03-12T00:00:00"/>
  </r>
  <r>
    <s v="B01680"/>
    <s v="P037"/>
    <x v="4"/>
    <s v="Sold Out"/>
    <n v="47"/>
    <n v="47"/>
    <n v="0"/>
    <n v="0"/>
    <x v="682"/>
    <n v="70500"/>
    <n v="75.400000000000006"/>
    <n v="47000"/>
    <n v="23500"/>
    <n v="25.13"/>
    <n v="0"/>
    <d v="2024-06-01T00:00:00"/>
  </r>
  <r>
    <s v="B01681"/>
    <s v="P037"/>
    <x v="4"/>
    <s v="Sold Out"/>
    <n v="45"/>
    <n v="45"/>
    <n v="0"/>
    <n v="0"/>
    <x v="604"/>
    <n v="67500"/>
    <n v="72.19"/>
    <n v="45000"/>
    <n v="22500"/>
    <n v="24.06"/>
    <n v="0"/>
    <d v="2024-08-02T00:00:00"/>
  </r>
  <r>
    <s v="B01682"/>
    <s v="P037"/>
    <x v="4"/>
    <s v="Sold Out"/>
    <n v="64"/>
    <n v="64"/>
    <n v="0"/>
    <n v="0"/>
    <x v="278"/>
    <n v="96000"/>
    <n v="102.67"/>
    <n v="64000"/>
    <n v="32000"/>
    <n v="34.22"/>
    <n v="0"/>
    <d v="2024-09-28T00:00:00"/>
  </r>
  <r>
    <s v="B01683"/>
    <s v="P037"/>
    <x v="4"/>
    <s v="Sold Out"/>
    <n v="70"/>
    <n v="70"/>
    <n v="0"/>
    <n v="0"/>
    <x v="408"/>
    <n v="105000"/>
    <n v="112.3"/>
    <n v="70000"/>
    <n v="35000"/>
    <n v="37.43"/>
    <n v="0"/>
    <d v="2024-12-15T00:00:00"/>
  </r>
  <r>
    <s v="B01684"/>
    <s v="P037"/>
    <x v="4"/>
    <s v="Sold Out"/>
    <n v="49"/>
    <n v="49"/>
    <n v="0"/>
    <n v="0"/>
    <x v="492"/>
    <n v="73500"/>
    <n v="78.61"/>
    <n v="49000"/>
    <n v="24500"/>
    <n v="26.2"/>
    <n v="0"/>
    <d v="2025-02-04T00:00:00"/>
  </r>
  <r>
    <s v="B01685"/>
    <s v="P037"/>
    <x v="4"/>
    <s v="Sold Out"/>
    <n v="48"/>
    <n v="48"/>
    <n v="0"/>
    <n v="0"/>
    <x v="723"/>
    <n v="72000"/>
    <n v="77.010000000000005"/>
    <n v="48000"/>
    <n v="24000"/>
    <n v="25.67"/>
    <n v="0"/>
    <d v="2025-04-06T00:00:00"/>
  </r>
  <r>
    <s v="B01686"/>
    <s v="P037"/>
    <x v="4"/>
    <s v="Sold Out"/>
    <n v="58"/>
    <n v="58"/>
    <n v="0"/>
    <n v="0"/>
    <x v="380"/>
    <n v="87000"/>
    <n v="93.05"/>
    <n v="58000"/>
    <n v="29000"/>
    <n v="31.02"/>
    <n v="0"/>
    <d v="2025-06-03T00:00:00"/>
  </r>
  <r>
    <s v="B01687"/>
    <s v="P038"/>
    <x v="4"/>
    <s v="Sold Out"/>
    <n v="73"/>
    <n v="73"/>
    <n v="0"/>
    <n v="0"/>
    <x v="3"/>
    <n v="109500"/>
    <n v="117.11"/>
    <n v="76650"/>
    <n v="32850"/>
    <n v="35.130000000000003"/>
    <n v="0"/>
    <d v="2023-07-18T00:00:00"/>
  </r>
  <r>
    <s v="B01688"/>
    <s v="P038"/>
    <x v="4"/>
    <s v="Sold Out"/>
    <n v="96"/>
    <n v="96"/>
    <n v="0"/>
    <n v="0"/>
    <x v="204"/>
    <n v="144000"/>
    <n v="154.01"/>
    <n v="100800"/>
    <n v="43200"/>
    <n v="46.2"/>
    <n v="0"/>
    <d v="2023-09-07T00:00:00"/>
  </r>
  <r>
    <s v="B01689"/>
    <s v="P038"/>
    <x v="4"/>
    <s v="Partial Loss"/>
    <n v="27"/>
    <n v="26.54"/>
    <n v="0.46"/>
    <n v="1.7"/>
    <x v="63"/>
    <n v="39810"/>
    <n v="42.58"/>
    <n v="28350"/>
    <n v="11460"/>
    <n v="12.26"/>
    <n v="483"/>
    <d v="2023-10-23T00:00:00"/>
  </r>
  <r>
    <s v="B01690"/>
    <s v="P038"/>
    <x v="4"/>
    <s v="Sold Out"/>
    <n v="43"/>
    <n v="43"/>
    <n v="0"/>
    <n v="0"/>
    <x v="539"/>
    <n v="64500"/>
    <n v="68.98"/>
    <n v="45150"/>
    <n v="19350"/>
    <n v="20.7"/>
    <n v="0"/>
    <d v="2023-12-02T00:00:00"/>
  </r>
  <r>
    <s v="B01691"/>
    <s v="P038"/>
    <x v="4"/>
    <s v="Partial Loss"/>
    <n v="27"/>
    <n v="26.65"/>
    <n v="0.35"/>
    <n v="1.3"/>
    <x v="724"/>
    <n v="39975"/>
    <n v="42.75"/>
    <n v="28350"/>
    <n v="11625"/>
    <n v="12.43"/>
    <n v="367.5"/>
    <d v="2024-01-31T00:00:00"/>
  </r>
  <r>
    <s v="B01692"/>
    <s v="P038"/>
    <x v="4"/>
    <s v="Partial Loss"/>
    <n v="32"/>
    <n v="31.26"/>
    <n v="0.74"/>
    <n v="2.2999999999999998"/>
    <x v="725"/>
    <n v="46890"/>
    <n v="50.15"/>
    <n v="33600"/>
    <n v="13290"/>
    <n v="14.21"/>
    <n v="777"/>
    <d v="2024-03-27T00:00:00"/>
  </r>
  <r>
    <s v="B01693"/>
    <s v="P038"/>
    <x v="4"/>
    <s v="Sold Out"/>
    <n v="78"/>
    <n v="78"/>
    <n v="0"/>
    <n v="0"/>
    <x v="689"/>
    <n v="117000"/>
    <n v="125.13"/>
    <n v="81900"/>
    <n v="35100"/>
    <n v="37.54"/>
    <n v="0"/>
    <d v="2024-05-09T00:00:00"/>
  </r>
  <r>
    <s v="B01694"/>
    <s v="P038"/>
    <x v="4"/>
    <s v="Partial Loss"/>
    <n v="68"/>
    <n v="67.180000000000007"/>
    <n v="0.82"/>
    <n v="1.2"/>
    <x v="726"/>
    <n v="100770"/>
    <n v="107.78"/>
    <n v="71400"/>
    <n v="29370"/>
    <n v="31.41"/>
    <n v="861"/>
    <d v="2024-07-07T00:00:00"/>
  </r>
  <r>
    <s v="B01695"/>
    <s v="P038"/>
    <x v="4"/>
    <s v="Sold Out"/>
    <n v="98"/>
    <n v="98"/>
    <n v="0"/>
    <n v="0"/>
    <x v="176"/>
    <n v="147000"/>
    <n v="157.22"/>
    <n v="102900"/>
    <n v="44100"/>
    <n v="47.17"/>
    <n v="0"/>
    <d v="2024-09-22T00:00:00"/>
  </r>
  <r>
    <s v="B01696"/>
    <s v="P038"/>
    <x v="4"/>
    <s v="Sold Out"/>
    <n v="42"/>
    <n v="42"/>
    <n v="0"/>
    <n v="0"/>
    <x v="410"/>
    <n v="63000"/>
    <n v="67.38"/>
    <n v="44100"/>
    <n v="18900"/>
    <n v="20.21"/>
    <n v="0"/>
    <d v="2024-12-07T00:00:00"/>
  </r>
  <r>
    <s v="B01697"/>
    <s v="P038"/>
    <x v="4"/>
    <s v="Partial Loss"/>
    <n v="36"/>
    <n v="35.71"/>
    <n v="0.28999999999999998"/>
    <n v="0.8"/>
    <x v="727"/>
    <n v="53565"/>
    <n v="57.29"/>
    <n v="37800"/>
    <n v="15765"/>
    <n v="16.86"/>
    <n v="304.5"/>
    <d v="2025-02-03T00:00:00"/>
  </r>
  <r>
    <s v="B01698"/>
    <s v="P038"/>
    <x v="4"/>
    <s v="Partial Loss"/>
    <n v="82"/>
    <n v="81.75"/>
    <n v="0.25"/>
    <n v="0.3"/>
    <x v="728"/>
    <n v="122625"/>
    <n v="131.15"/>
    <n v="86100"/>
    <n v="36525"/>
    <n v="39.06"/>
    <n v="262.5"/>
    <d v="2025-04-13T00:00:00"/>
  </r>
  <r>
    <s v="B01699"/>
    <s v="P038"/>
    <x v="4"/>
    <s v="Sold Out"/>
    <n v="82"/>
    <n v="82"/>
    <n v="0"/>
    <n v="0"/>
    <x v="668"/>
    <n v="123000"/>
    <n v="131.55000000000001"/>
    <n v="86100"/>
    <n v="36900"/>
    <n v="39.47"/>
    <n v="0"/>
    <d v="2025-06-20T00:00:00"/>
  </r>
  <r>
    <s v="B01700"/>
    <s v="P039"/>
    <x v="4"/>
    <s v="Sold Out"/>
    <n v="45"/>
    <n v="45"/>
    <n v="0"/>
    <n v="0"/>
    <x v="80"/>
    <n v="67500"/>
    <n v="72.19"/>
    <n v="47250"/>
    <n v="20250"/>
    <n v="21.66"/>
    <n v="0"/>
    <d v="2023-08-15T00:00:00"/>
  </r>
  <r>
    <s v="B01701"/>
    <s v="P039"/>
    <x v="4"/>
    <s v="Sold Out"/>
    <n v="49"/>
    <n v="49"/>
    <n v="0"/>
    <n v="0"/>
    <x v="729"/>
    <n v="73500"/>
    <n v="78.61"/>
    <n v="51450"/>
    <n v="22050"/>
    <n v="23.58"/>
    <n v="0"/>
    <d v="2023-10-22T00:00:00"/>
  </r>
  <r>
    <s v="B01702"/>
    <s v="P039"/>
    <x v="4"/>
    <s v="Sold Out"/>
    <n v="63"/>
    <n v="63"/>
    <n v="0"/>
    <n v="0"/>
    <x v="90"/>
    <n v="94500"/>
    <n v="101.07"/>
    <n v="66150"/>
    <n v="28350"/>
    <n v="30.32"/>
    <n v="0"/>
    <d v="2023-12-11T00:00:00"/>
  </r>
  <r>
    <s v="B01703"/>
    <s v="P039"/>
    <x v="4"/>
    <s v="Sold Out"/>
    <n v="55"/>
    <n v="55"/>
    <n v="0"/>
    <n v="0"/>
    <x v="652"/>
    <n v="82500"/>
    <n v="88.24"/>
    <n v="57750"/>
    <n v="24750"/>
    <n v="26.47"/>
    <n v="0"/>
    <d v="2024-02-06T00:00:00"/>
  </r>
  <r>
    <s v="B01704"/>
    <s v="P039"/>
    <x v="4"/>
    <s v="Sold Out"/>
    <n v="57"/>
    <n v="57"/>
    <n v="0"/>
    <n v="0"/>
    <x v="622"/>
    <n v="85500"/>
    <n v="91.44"/>
    <n v="59850"/>
    <n v="25650"/>
    <n v="27.43"/>
    <n v="0"/>
    <d v="2024-04-19T00:00:00"/>
  </r>
  <r>
    <s v="B01705"/>
    <s v="P039"/>
    <x v="4"/>
    <s v="Partial Loss"/>
    <n v="56"/>
    <n v="55.33"/>
    <n v="0.67"/>
    <n v="1.2"/>
    <x v="730"/>
    <n v="82995"/>
    <n v="88.76"/>
    <n v="58800"/>
    <n v="24195"/>
    <n v="25.88"/>
    <n v="703.5"/>
    <d v="2024-05-28T00:00:00"/>
  </r>
  <r>
    <s v="B01706"/>
    <s v="P039"/>
    <x v="4"/>
    <s v="Partial Loss"/>
    <n v="45"/>
    <n v="44.73"/>
    <n v="0.27"/>
    <n v="0.6"/>
    <x v="731"/>
    <n v="67095"/>
    <n v="71.760000000000005"/>
    <n v="47250"/>
    <n v="19845"/>
    <n v="21.22"/>
    <n v="283.5"/>
    <d v="2024-07-27T00:00:00"/>
  </r>
  <r>
    <s v="B01707"/>
    <s v="P039"/>
    <x v="4"/>
    <s v="Partial Loss"/>
    <n v="65"/>
    <n v="64.28"/>
    <n v="0.71"/>
    <n v="1.1000000000000001"/>
    <x v="732"/>
    <n v="96420"/>
    <n v="103.12"/>
    <n v="68250"/>
    <n v="28170"/>
    <n v="30.13"/>
    <n v="745.5"/>
    <d v="2024-09-25T00:00:00"/>
  </r>
  <r>
    <s v="B01708"/>
    <s v="P039"/>
    <x v="4"/>
    <s v="Sold Out"/>
    <n v="43"/>
    <n v="43"/>
    <n v="0"/>
    <n v="0"/>
    <x v="124"/>
    <n v="64500"/>
    <n v="68.98"/>
    <n v="45150"/>
    <n v="19350"/>
    <n v="20.7"/>
    <n v="0"/>
    <d v="2024-11-23T00:00:00"/>
  </r>
  <r>
    <s v="B01709"/>
    <s v="P039"/>
    <x v="4"/>
    <s v="Partial Loss"/>
    <n v="55"/>
    <n v="54.67"/>
    <n v="0.33"/>
    <n v="0.6"/>
    <x v="733"/>
    <n v="82005"/>
    <n v="87.71"/>
    <n v="57750"/>
    <n v="24255"/>
    <n v="25.94"/>
    <n v="346.5"/>
    <d v="2025-01-20T00:00:00"/>
  </r>
  <r>
    <s v="B01710"/>
    <s v="P039"/>
    <x v="4"/>
    <s v="Sold Out"/>
    <n v="54"/>
    <n v="54"/>
    <n v="0"/>
    <n v="0"/>
    <x v="290"/>
    <n v="81000"/>
    <n v="86.63"/>
    <n v="56700"/>
    <n v="24300"/>
    <n v="25.99"/>
    <n v="0"/>
    <d v="2025-03-15T00:00:00"/>
  </r>
  <r>
    <s v="B01711"/>
    <s v="P039"/>
    <x v="4"/>
    <s v="Partial Loss"/>
    <n v="55"/>
    <n v="54.45"/>
    <n v="0.55000000000000004"/>
    <n v="1"/>
    <x v="734"/>
    <n v="81675"/>
    <n v="87.35"/>
    <n v="57750"/>
    <n v="23925"/>
    <n v="25.59"/>
    <n v="577.5"/>
    <d v="2025-05-06T00:00:00"/>
  </r>
  <r>
    <s v="B01712"/>
    <s v="P040"/>
    <x v="4"/>
    <s v="Sold Out"/>
    <n v="54"/>
    <n v="54"/>
    <n v="0"/>
    <n v="0"/>
    <x v="203"/>
    <n v="108000"/>
    <n v="115.51"/>
    <n v="78300"/>
    <n v="29700"/>
    <n v="31.76"/>
    <n v="0"/>
    <d v="2023-08-19T00:00:00"/>
  </r>
  <r>
    <s v="B01713"/>
    <s v="P040"/>
    <x v="4"/>
    <s v="Sold Out"/>
    <n v="57"/>
    <n v="57"/>
    <n v="0"/>
    <n v="0"/>
    <x v="537"/>
    <n v="114000"/>
    <n v="121.93"/>
    <n v="76950"/>
    <n v="37050"/>
    <n v="39.630000000000003"/>
    <n v="0"/>
    <d v="2023-10-27T00:00:00"/>
  </r>
  <r>
    <s v="B01714"/>
    <s v="P040"/>
    <x v="4"/>
    <s v="Sold Out"/>
    <n v="46"/>
    <n v="46"/>
    <n v="0"/>
    <n v="0"/>
    <x v="675"/>
    <n v="92000"/>
    <n v="98.4"/>
    <n v="62100"/>
    <n v="29900"/>
    <n v="31.98"/>
    <n v="0"/>
    <d v="2024-01-04T00:00:00"/>
  </r>
  <r>
    <s v="B01715"/>
    <s v="P040"/>
    <x v="4"/>
    <s v="Sold Out"/>
    <n v="56"/>
    <n v="56"/>
    <n v="0"/>
    <n v="0"/>
    <x v="735"/>
    <n v="112000"/>
    <n v="119.79"/>
    <n v="75600"/>
    <n v="36400"/>
    <n v="38.93"/>
    <n v="0"/>
    <d v="2024-03-08T00:00:00"/>
  </r>
  <r>
    <s v="B01716"/>
    <s v="P040"/>
    <x v="4"/>
    <s v="Partial Loss"/>
    <n v="56"/>
    <n v="55.66"/>
    <n v="0.34"/>
    <n v="0.6"/>
    <x v="636"/>
    <n v="111320"/>
    <n v="119.06"/>
    <n v="75600"/>
    <n v="35720"/>
    <n v="38.200000000000003"/>
    <n v="459.00000000000006"/>
    <d v="2024-05-07T00:00:00"/>
  </r>
  <r>
    <s v="B01717"/>
    <s v="P040"/>
    <x v="4"/>
    <s v="Partial Loss"/>
    <n v="50"/>
    <n v="49.15"/>
    <n v="0.85"/>
    <n v="1.7"/>
    <x v="736"/>
    <n v="98300"/>
    <n v="105.13"/>
    <n v="72500"/>
    <n v="25800"/>
    <n v="27.59"/>
    <n v="1232.5"/>
    <d v="2024-06-30T00:00:00"/>
  </r>
  <r>
    <s v="B01718"/>
    <s v="P040"/>
    <x v="4"/>
    <s v="Partial Loss"/>
    <n v="56"/>
    <n v="55.61"/>
    <n v="0.39"/>
    <n v="0.7"/>
    <x v="737"/>
    <n v="111220"/>
    <n v="118.95"/>
    <n v="75600"/>
    <n v="35620"/>
    <n v="38.1"/>
    <n v="526.5"/>
    <d v="2024-09-02T00:00:00"/>
  </r>
  <r>
    <s v="B01719"/>
    <s v="P040"/>
    <x v="4"/>
    <s v="Partial Loss"/>
    <n v="55"/>
    <n v="54.45"/>
    <n v="0.55000000000000004"/>
    <n v="1"/>
    <x v="738"/>
    <n v="108900"/>
    <n v="116.47"/>
    <n v="74250"/>
    <n v="34650"/>
    <n v="37.06"/>
    <n v="742.50000000000011"/>
    <d v="2024-10-31T00:00:00"/>
  </r>
  <r>
    <s v="B01720"/>
    <s v="P040"/>
    <x v="4"/>
    <s v="Sold Out"/>
    <n v="73"/>
    <n v="73"/>
    <n v="0"/>
    <n v="0"/>
    <x v="235"/>
    <n v="146000"/>
    <n v="156.15"/>
    <n v="98550"/>
    <n v="47450"/>
    <n v="50.75"/>
    <n v="0"/>
    <d v="2024-12-29T00:00:00"/>
  </r>
  <r>
    <s v="B01721"/>
    <s v="P040"/>
    <x v="4"/>
    <s v="Partial Loss"/>
    <n v="51"/>
    <n v="50.13"/>
    <n v="0.87"/>
    <n v="1.7"/>
    <x v="739"/>
    <n v="100260"/>
    <n v="107.23"/>
    <n v="68850"/>
    <n v="31410"/>
    <n v="33.590000000000003"/>
    <n v="1174.5"/>
    <d v="2025-02-20T00:00:00"/>
  </r>
  <r>
    <s v="B01722"/>
    <s v="P040"/>
    <x v="4"/>
    <s v="Sold Out"/>
    <n v="58"/>
    <n v="58"/>
    <n v="0"/>
    <n v="0"/>
    <x v="494"/>
    <n v="116000"/>
    <n v="124.06"/>
    <n v="78300"/>
    <n v="37700"/>
    <n v="40.32"/>
    <n v="0"/>
    <d v="2025-04-16T00:00:00"/>
  </r>
  <r>
    <s v="B01723"/>
    <s v="P040"/>
    <x v="4"/>
    <s v="Sold Out"/>
    <n v="46"/>
    <n v="46"/>
    <n v="0"/>
    <n v="0"/>
    <x v="678"/>
    <n v="92000"/>
    <n v="98.4"/>
    <n v="62100"/>
    <n v="29900"/>
    <n v="31.98"/>
    <n v="0"/>
    <d v="2025-06-11T00:00:00"/>
  </r>
  <r>
    <s v="B01724"/>
    <s v="P041"/>
    <x v="5"/>
    <s v="Sold Out"/>
    <n v="24"/>
    <n v="24"/>
    <n v="0"/>
    <n v="0"/>
    <x v="303"/>
    <n v="108000"/>
    <n v="115.51"/>
    <n v="75600"/>
    <n v="32400"/>
    <n v="34.65"/>
    <n v="0"/>
    <d v="2023-08-29T00:00:00"/>
  </r>
  <r>
    <s v="B01725"/>
    <s v="P041"/>
    <x v="5"/>
    <s v="Sold Out"/>
    <n v="21"/>
    <n v="21"/>
    <n v="0"/>
    <n v="0"/>
    <x v="740"/>
    <n v="94500"/>
    <n v="101.07"/>
    <n v="66150"/>
    <n v="28350"/>
    <n v="30.32"/>
    <n v="0"/>
    <d v="2023-10-14T00:00:00"/>
  </r>
  <r>
    <s v="B01726"/>
    <s v="P041"/>
    <x v="5"/>
    <s v="Partial Loss"/>
    <n v="35"/>
    <n v="33.909999999999997"/>
    <n v="1.08"/>
    <n v="3.1"/>
    <x v="741"/>
    <n v="152595"/>
    <n v="163.19999999999999"/>
    <n v="110250"/>
    <n v="42345"/>
    <n v="45.29"/>
    <n v="3402"/>
    <d v="2023-12-12T00:00:00"/>
  </r>
  <r>
    <s v="B01727"/>
    <s v="P041"/>
    <x v="5"/>
    <s v="Partial Loss"/>
    <n v="27"/>
    <n v="25.84"/>
    <n v="1.1599999999999999"/>
    <n v="4.3"/>
    <x v="742"/>
    <n v="116280"/>
    <n v="124.36"/>
    <n v="85050"/>
    <n v="31230"/>
    <n v="33.4"/>
    <n v="3653.9999999999995"/>
    <d v="2024-02-13T00:00:00"/>
  </r>
  <r>
    <s v="B01728"/>
    <s v="P041"/>
    <x v="5"/>
    <s v="Sold Out"/>
    <n v="23"/>
    <n v="23"/>
    <n v="0"/>
    <n v="0"/>
    <x v="652"/>
    <n v="103500"/>
    <n v="110.7"/>
    <n v="72450"/>
    <n v="31050"/>
    <n v="33.21"/>
    <n v="0"/>
    <d v="2024-03-24T00:00:00"/>
  </r>
  <r>
    <s v="B01729"/>
    <s v="P041"/>
    <x v="5"/>
    <s v="Sold Out"/>
    <n v="26"/>
    <n v="26"/>
    <n v="0"/>
    <n v="0"/>
    <x v="549"/>
    <n v="117000"/>
    <n v="125.13"/>
    <n v="81900"/>
    <n v="35100"/>
    <n v="37.54"/>
    <n v="0"/>
    <d v="2024-05-20T00:00:00"/>
  </r>
  <r>
    <s v="B01730"/>
    <s v="P041"/>
    <x v="5"/>
    <s v="Sold Out"/>
    <n v="20"/>
    <n v="20"/>
    <n v="0"/>
    <n v="0"/>
    <x v="602"/>
    <n v="90000"/>
    <n v="96.26"/>
    <n v="67000"/>
    <n v="23000"/>
    <n v="24.6"/>
    <n v="0"/>
    <d v="2024-07-14T00:00:00"/>
  </r>
  <r>
    <s v="B01731"/>
    <s v="P041"/>
    <x v="5"/>
    <s v="Sold Out"/>
    <n v="32"/>
    <n v="32"/>
    <n v="0"/>
    <n v="0"/>
    <x v="49"/>
    <n v="144000"/>
    <n v="154.01"/>
    <n v="100800"/>
    <n v="43200"/>
    <n v="46.2"/>
    <n v="0"/>
    <d v="2024-09-26T00:00:00"/>
  </r>
  <r>
    <s v="B01732"/>
    <s v="P041"/>
    <x v="5"/>
    <s v="Partial Loss"/>
    <n v="24"/>
    <n v="23.11"/>
    <n v="0.89"/>
    <n v="3.7"/>
    <x v="714"/>
    <n v="103995"/>
    <n v="111.22"/>
    <n v="75600"/>
    <n v="28395"/>
    <n v="30.37"/>
    <n v="2803.5"/>
    <d v="2024-11-14T00:00:00"/>
  </r>
  <r>
    <s v="B01733"/>
    <s v="P041"/>
    <x v="5"/>
    <s v="Partial Loss"/>
    <n v="25"/>
    <n v="24.12"/>
    <n v="0.88"/>
    <n v="3.5"/>
    <x v="743"/>
    <n v="108540"/>
    <n v="116.09"/>
    <n v="78750"/>
    <n v="29790"/>
    <n v="31.86"/>
    <n v="2772"/>
    <d v="2025-01-28T00:00:00"/>
  </r>
  <r>
    <s v="B01734"/>
    <s v="P041"/>
    <x v="5"/>
    <s v="Sold Out"/>
    <n v="27"/>
    <n v="27"/>
    <n v="0"/>
    <n v="0"/>
    <x v="133"/>
    <n v="121500"/>
    <n v="129.94999999999999"/>
    <n v="90450"/>
    <n v="31050"/>
    <n v="33.21"/>
    <n v="0"/>
    <d v="2025-03-12T00:00:00"/>
  </r>
  <r>
    <s v="B01735"/>
    <s v="P041"/>
    <x v="5"/>
    <s v="Partial Loss"/>
    <n v="23"/>
    <n v="22.43"/>
    <n v="0.57999999999999996"/>
    <n v="2.5"/>
    <x v="744"/>
    <n v="100935"/>
    <n v="107.95"/>
    <n v="72450"/>
    <n v="28485"/>
    <n v="30.47"/>
    <n v="1826.9999999999998"/>
    <d v="2025-05-26T00:00:00"/>
  </r>
  <r>
    <s v="B01736"/>
    <s v="P042"/>
    <x v="5"/>
    <s v="Sold Out"/>
    <n v="26"/>
    <n v="26"/>
    <n v="0"/>
    <n v="0"/>
    <x v="476"/>
    <n v="143000"/>
    <n v="152.94"/>
    <n v="104000"/>
    <n v="39000"/>
    <n v="41.71"/>
    <n v="0"/>
    <d v="2023-08-03T00:00:00"/>
  </r>
  <r>
    <s v="B01737"/>
    <s v="P042"/>
    <x v="5"/>
    <s v="Sold Out"/>
    <n v="26"/>
    <n v="26"/>
    <n v="0"/>
    <n v="0"/>
    <x v="303"/>
    <n v="143000"/>
    <n v="152.94"/>
    <n v="104000"/>
    <n v="39000"/>
    <n v="41.71"/>
    <n v="0"/>
    <d v="2023-10-02T00:00:00"/>
  </r>
  <r>
    <s v="B01738"/>
    <s v="P042"/>
    <x v="5"/>
    <s v="Sold Out"/>
    <n v="30"/>
    <n v="30"/>
    <n v="0"/>
    <n v="0"/>
    <x v="745"/>
    <n v="165000"/>
    <n v="176.47"/>
    <n v="120000"/>
    <n v="45000"/>
    <n v="48.13"/>
    <n v="0"/>
    <d v="2023-12-02T00:00:00"/>
  </r>
  <r>
    <s v="B01739"/>
    <s v="P042"/>
    <x v="5"/>
    <s v="Sold Out"/>
    <n v="28"/>
    <n v="28"/>
    <n v="0"/>
    <n v="0"/>
    <x v="512"/>
    <n v="154000"/>
    <n v="164.71"/>
    <n v="112000"/>
    <n v="42000"/>
    <n v="44.92"/>
    <n v="0"/>
    <d v="2024-02-01T00:00:00"/>
  </r>
  <r>
    <s v="B01740"/>
    <s v="P042"/>
    <x v="5"/>
    <s v="Sold Out"/>
    <n v="27"/>
    <n v="27"/>
    <n v="0"/>
    <n v="0"/>
    <x v="99"/>
    <n v="148500"/>
    <n v="158.82"/>
    <n v="108000"/>
    <n v="40500"/>
    <n v="43.32"/>
    <n v="0"/>
    <d v="2024-04-11T00:00:00"/>
  </r>
  <r>
    <s v="B01741"/>
    <s v="P042"/>
    <x v="5"/>
    <s v="Partial Loss"/>
    <n v="25"/>
    <n v="24.77"/>
    <n v="0.22"/>
    <n v="0.9"/>
    <x v="746"/>
    <n v="136235"/>
    <n v="145.71"/>
    <n v="100000"/>
    <n v="36235"/>
    <n v="38.75"/>
    <n v="880"/>
    <d v="2024-06-22T00:00:00"/>
  </r>
  <r>
    <s v="B01742"/>
    <s v="P042"/>
    <x v="5"/>
    <s v="Partial Loss"/>
    <n v="25"/>
    <n v="24.4"/>
    <n v="0.6"/>
    <n v="2.4"/>
    <x v="747"/>
    <n v="134200"/>
    <n v="143.53"/>
    <n v="101250"/>
    <n v="32950"/>
    <n v="35.24"/>
    <n v="2430"/>
    <d v="2024-08-23T00:00:00"/>
  </r>
  <r>
    <s v="B01743"/>
    <s v="P042"/>
    <x v="5"/>
    <s v="Sold Out"/>
    <n v="20"/>
    <n v="20"/>
    <n v="0"/>
    <n v="0"/>
    <x v="608"/>
    <n v="110000"/>
    <n v="117.65"/>
    <n v="80000"/>
    <n v="30000"/>
    <n v="32.090000000000003"/>
    <n v="0"/>
    <d v="2024-10-07T00:00:00"/>
  </r>
  <r>
    <s v="B01744"/>
    <s v="P042"/>
    <x v="5"/>
    <s v="Sold Out"/>
    <n v="32"/>
    <n v="32"/>
    <n v="0"/>
    <n v="0"/>
    <x v="409"/>
    <n v="176000"/>
    <n v="188.24"/>
    <n v="128000"/>
    <n v="48000"/>
    <n v="51.34"/>
    <n v="0"/>
    <d v="2024-12-11T00:00:00"/>
  </r>
  <r>
    <s v="B01745"/>
    <s v="P042"/>
    <x v="5"/>
    <s v="Sold Out"/>
    <n v="26"/>
    <n v="26"/>
    <n v="0"/>
    <n v="0"/>
    <x v="376"/>
    <n v="143000"/>
    <n v="152.94"/>
    <n v="104000"/>
    <n v="39000"/>
    <n v="41.71"/>
    <n v="0"/>
    <d v="2025-02-10T00:00:00"/>
  </r>
  <r>
    <s v="B01746"/>
    <s v="P042"/>
    <x v="5"/>
    <s v="Sold Out"/>
    <n v="26"/>
    <n v="26"/>
    <n v="0"/>
    <n v="0"/>
    <x v="617"/>
    <n v="143000"/>
    <n v="152.94"/>
    <n v="104000"/>
    <n v="39000"/>
    <n v="41.71"/>
    <n v="0"/>
    <d v="2025-04-27T00:00:00"/>
  </r>
  <r>
    <s v="B01747"/>
    <s v="P042"/>
    <x v="5"/>
    <s v="Partial Loss"/>
    <n v="30"/>
    <n v="29.43"/>
    <n v="0.56999999999999995"/>
    <n v="1.9"/>
    <x v="748"/>
    <n v="161865"/>
    <n v="173.12"/>
    <n v="120000"/>
    <n v="41865"/>
    <n v="44.78"/>
    <n v="2280"/>
    <d v="2025-06-21T00:00:00"/>
  </r>
  <r>
    <s v="B01748"/>
    <s v="P043"/>
    <x v="5"/>
    <s v="Sold Out"/>
    <n v="22"/>
    <n v="22"/>
    <n v="0"/>
    <n v="0"/>
    <x v="531"/>
    <n v="110000"/>
    <n v="117.65"/>
    <n v="75900"/>
    <n v="34100"/>
    <n v="36.47"/>
    <n v="0"/>
    <d v="2023-07-05T00:00:00"/>
  </r>
  <r>
    <s v="B01749"/>
    <s v="P043"/>
    <x v="5"/>
    <s v="Sold Out"/>
    <n v="27"/>
    <n v="27"/>
    <n v="0"/>
    <n v="0"/>
    <x v="351"/>
    <n v="135000"/>
    <n v="144.38999999999999"/>
    <n v="93150"/>
    <n v="41850"/>
    <n v="44.76"/>
    <n v="0"/>
    <d v="2023-09-04T00:00:00"/>
  </r>
  <r>
    <s v="B01750"/>
    <s v="P043"/>
    <x v="5"/>
    <s v="Partial Loss"/>
    <n v="23"/>
    <n v="22.33"/>
    <n v="0.67"/>
    <n v="2.9"/>
    <x v="749"/>
    <n v="111650"/>
    <n v="119.41"/>
    <n v="79350"/>
    <n v="32300"/>
    <n v="34.549999999999997"/>
    <n v="2311.5"/>
    <d v="2023-11-06T00:00:00"/>
  </r>
  <r>
    <s v="B01751"/>
    <s v="P043"/>
    <x v="5"/>
    <s v="Sold Out"/>
    <n v="25"/>
    <n v="25"/>
    <n v="0"/>
    <n v="0"/>
    <x v="545"/>
    <n v="125000"/>
    <n v="133.69"/>
    <n v="86250"/>
    <n v="38750"/>
    <n v="41.44"/>
    <n v="0"/>
    <d v="2024-02-02T00:00:00"/>
  </r>
  <r>
    <s v="B01752"/>
    <s v="P043"/>
    <x v="5"/>
    <s v="Partial Loss"/>
    <n v="27"/>
    <n v="26"/>
    <n v="1"/>
    <n v="3.7"/>
    <x v="750"/>
    <n v="130000"/>
    <n v="139.04"/>
    <n v="93150"/>
    <n v="36850"/>
    <n v="39.409999999999997"/>
    <n v="3450"/>
    <d v="2024-04-02T00:00:00"/>
  </r>
  <r>
    <s v="B01753"/>
    <s v="P043"/>
    <x v="5"/>
    <s v="Sold Out"/>
    <n v="27"/>
    <n v="27"/>
    <n v="0"/>
    <n v="0"/>
    <x v="516"/>
    <n v="135000"/>
    <n v="144.38999999999999"/>
    <n v="93150"/>
    <n v="41850"/>
    <n v="44.76"/>
    <n v="0"/>
    <d v="2024-05-26T00:00:00"/>
  </r>
  <r>
    <s v="B01754"/>
    <s v="P043"/>
    <x v="5"/>
    <s v="Sold Out"/>
    <n v="24"/>
    <n v="24"/>
    <n v="0"/>
    <n v="0"/>
    <x v="173"/>
    <n v="120000"/>
    <n v="128.34"/>
    <n v="82800"/>
    <n v="37200"/>
    <n v="39.79"/>
    <n v="0"/>
    <d v="2024-08-07T00:00:00"/>
  </r>
  <r>
    <s v="B01755"/>
    <s v="P043"/>
    <x v="5"/>
    <s v="Sold Out"/>
    <n v="25"/>
    <n v="25"/>
    <n v="0"/>
    <n v="0"/>
    <x v="180"/>
    <n v="125000"/>
    <n v="133.69"/>
    <n v="86250"/>
    <n v="38750"/>
    <n v="41.44"/>
    <n v="0"/>
    <d v="2024-10-06T00:00:00"/>
  </r>
  <r>
    <s v="B01756"/>
    <s v="P043"/>
    <x v="5"/>
    <s v="Sold Out"/>
    <n v="26"/>
    <n v="26"/>
    <n v="0"/>
    <n v="0"/>
    <x v="57"/>
    <n v="130000"/>
    <n v="139.04"/>
    <n v="89700"/>
    <n v="40300"/>
    <n v="43.1"/>
    <n v="0"/>
    <d v="2024-11-24T00:00:00"/>
  </r>
  <r>
    <s v="B01757"/>
    <s v="P043"/>
    <x v="5"/>
    <s v="Partial Loss"/>
    <n v="26"/>
    <n v="24.83"/>
    <n v="1.17"/>
    <n v="4.5"/>
    <x v="751"/>
    <n v="124150"/>
    <n v="132.78"/>
    <n v="89700"/>
    <n v="34450"/>
    <n v="36.840000000000003"/>
    <n v="4036.4999999999995"/>
    <d v="2025-01-13T00:00:00"/>
  </r>
  <r>
    <s v="B01758"/>
    <s v="P043"/>
    <x v="5"/>
    <s v="Partial Loss"/>
    <n v="29"/>
    <n v="28.22"/>
    <n v="0.78"/>
    <n v="2.7"/>
    <x v="752"/>
    <n v="141100"/>
    <n v="150.91"/>
    <n v="100050"/>
    <n v="41050"/>
    <n v="43.9"/>
    <n v="2691"/>
    <d v="2025-03-04T00:00:00"/>
  </r>
  <r>
    <s v="B01759"/>
    <s v="P043"/>
    <x v="5"/>
    <s v="Sold Out"/>
    <n v="24"/>
    <n v="24"/>
    <n v="0"/>
    <n v="0"/>
    <x v="528"/>
    <n v="120000"/>
    <n v="128.34"/>
    <n v="82800"/>
    <n v="37200"/>
    <n v="39.79"/>
    <n v="0"/>
    <d v="2025-05-05T00:00:00"/>
  </r>
  <r>
    <s v="B01760"/>
    <s v="P044"/>
    <x v="5"/>
    <s v="Sold Out"/>
    <n v="23"/>
    <n v="23"/>
    <n v="0"/>
    <n v="0"/>
    <x v="2"/>
    <n v="138000"/>
    <n v="147.59"/>
    <n v="94300"/>
    <n v="43700"/>
    <n v="46.74"/>
    <n v="0"/>
    <d v="2023-07-26T00:00:00"/>
  </r>
  <r>
    <s v="B01761"/>
    <s v="P044"/>
    <x v="5"/>
    <s v="Sold Out"/>
    <n v="27"/>
    <n v="27"/>
    <n v="0"/>
    <n v="0"/>
    <x v="302"/>
    <n v="162000"/>
    <n v="173.26"/>
    <n v="110700"/>
    <n v="51300"/>
    <n v="54.87"/>
    <n v="0"/>
    <d v="2023-09-12T00:00:00"/>
  </r>
  <r>
    <s v="B01762"/>
    <s v="P044"/>
    <x v="5"/>
    <s v="Sold Out"/>
    <n v="23"/>
    <n v="23"/>
    <n v="0"/>
    <n v="0"/>
    <x v="306"/>
    <n v="138000"/>
    <n v="147.59"/>
    <n v="94300"/>
    <n v="43700"/>
    <n v="46.74"/>
    <n v="0"/>
    <d v="2023-10-30T00:00:00"/>
  </r>
  <r>
    <s v="B01763"/>
    <s v="P044"/>
    <x v="5"/>
    <s v="Partial Loss"/>
    <n v="28"/>
    <n v="27.44"/>
    <n v="0.56000000000000005"/>
    <n v="2"/>
    <x v="753"/>
    <n v="164640"/>
    <n v="176.09"/>
    <n v="114800"/>
    <n v="49840"/>
    <n v="53.3"/>
    <n v="2296"/>
    <d v="2023-12-14T00:00:00"/>
  </r>
  <r>
    <s v="B01764"/>
    <s v="P044"/>
    <x v="5"/>
    <s v="Sold Out"/>
    <n v="24"/>
    <n v="24"/>
    <n v="0"/>
    <n v="0"/>
    <x v="754"/>
    <n v="144000"/>
    <n v="154.01"/>
    <n v="106800"/>
    <n v="37200"/>
    <n v="39.79"/>
    <n v="0"/>
    <d v="2024-02-22T00:00:00"/>
  </r>
  <r>
    <s v="B01765"/>
    <s v="P044"/>
    <x v="5"/>
    <s v="Sold Out"/>
    <n v="22"/>
    <n v="22"/>
    <n v="0"/>
    <n v="0"/>
    <x v="755"/>
    <n v="132000"/>
    <n v="141.18"/>
    <n v="90200"/>
    <n v="41800"/>
    <n v="44.71"/>
    <n v="0"/>
    <d v="2024-04-25T00:00:00"/>
  </r>
  <r>
    <s v="B01766"/>
    <s v="P044"/>
    <x v="5"/>
    <s v="Sold Out"/>
    <n v="26"/>
    <n v="26"/>
    <n v="0"/>
    <n v="0"/>
    <x v="36"/>
    <n v="156000"/>
    <n v="166.84"/>
    <n v="106600"/>
    <n v="49400"/>
    <n v="52.83"/>
    <n v="0"/>
    <d v="2024-06-08T00:00:00"/>
  </r>
  <r>
    <s v="B01767"/>
    <s v="P044"/>
    <x v="5"/>
    <s v="Partial Loss"/>
    <n v="25"/>
    <n v="24.62"/>
    <n v="0.38"/>
    <n v="1.5"/>
    <x v="739"/>
    <n v="147720"/>
    <n v="157.99"/>
    <n v="102500"/>
    <n v="45220"/>
    <n v="48.36"/>
    <n v="1558"/>
    <d v="2024-08-14T00:00:00"/>
  </r>
  <r>
    <s v="B01768"/>
    <s v="P044"/>
    <x v="5"/>
    <s v="Partial Loss"/>
    <n v="25"/>
    <n v="24.45"/>
    <n v="0.55000000000000004"/>
    <n v="2.2000000000000002"/>
    <x v="756"/>
    <n v="146700"/>
    <n v="156.9"/>
    <n v="102500"/>
    <n v="44200"/>
    <n v="47.27"/>
    <n v="2255"/>
    <d v="2024-10-09T00:00:00"/>
  </r>
  <r>
    <s v="B01769"/>
    <s v="P044"/>
    <x v="5"/>
    <s v="Sold Out"/>
    <n v="29"/>
    <n v="29"/>
    <n v="0"/>
    <n v="0"/>
    <x v="558"/>
    <n v="174000"/>
    <n v="186.1"/>
    <n v="118900"/>
    <n v="55100"/>
    <n v="58.93"/>
    <n v="0"/>
    <d v="2024-12-06T00:00:00"/>
  </r>
  <r>
    <s v="B01770"/>
    <s v="P044"/>
    <x v="5"/>
    <s v="Sold Out"/>
    <n v="24"/>
    <n v="24"/>
    <n v="0"/>
    <n v="0"/>
    <x v="235"/>
    <n v="144000"/>
    <n v="154.01"/>
    <n v="98400"/>
    <n v="45600"/>
    <n v="48.77"/>
    <n v="0"/>
    <d v="2025-02-01T00:00:00"/>
  </r>
  <r>
    <s v="B01771"/>
    <s v="P044"/>
    <x v="5"/>
    <s v="Sold Out"/>
    <n v="24"/>
    <n v="24"/>
    <n v="0"/>
    <n v="0"/>
    <x v="561"/>
    <n v="144000"/>
    <n v="154.01"/>
    <n v="98400"/>
    <n v="45600"/>
    <n v="48.77"/>
    <n v="0"/>
    <d v="2025-04-02T00:00:00"/>
  </r>
  <r>
    <s v="B01772"/>
    <s v="P044"/>
    <x v="5"/>
    <s v="Sold Out"/>
    <n v="27"/>
    <n v="27"/>
    <n v="0"/>
    <n v="0"/>
    <x v="667"/>
    <n v="162000"/>
    <n v="173.26"/>
    <n v="110700"/>
    <n v="51300"/>
    <n v="54.87"/>
    <n v="0"/>
    <d v="2025-06-04T00:00:00"/>
  </r>
  <r>
    <s v="B01773"/>
    <s v="P045"/>
    <x v="5"/>
    <s v="Sold Out"/>
    <n v="26"/>
    <n v="26"/>
    <n v="0"/>
    <n v="0"/>
    <x v="681"/>
    <n v="169000"/>
    <n v="180.75"/>
    <n v="122200"/>
    <n v="46800"/>
    <n v="50.05"/>
    <n v="0"/>
    <d v="2023-07-28T00:00:00"/>
  </r>
  <r>
    <s v="B01774"/>
    <s v="P045"/>
    <x v="5"/>
    <s v="Sold Out"/>
    <n v="33"/>
    <n v="33"/>
    <n v="0"/>
    <n v="0"/>
    <x v="204"/>
    <n v="214500"/>
    <n v="229.41"/>
    <n v="155100"/>
    <n v="59400"/>
    <n v="63.53"/>
    <n v="0"/>
    <d v="2023-09-15T00:00:00"/>
  </r>
  <r>
    <s v="B01775"/>
    <s v="P045"/>
    <x v="5"/>
    <s v="Sold Out"/>
    <n v="25"/>
    <n v="25"/>
    <n v="0"/>
    <n v="0"/>
    <x v="509"/>
    <n v="162500"/>
    <n v="173.8"/>
    <n v="117500"/>
    <n v="45000"/>
    <n v="48.13"/>
    <n v="0"/>
    <d v="2023-11-11T00:00:00"/>
  </r>
  <r>
    <s v="B01776"/>
    <s v="P045"/>
    <x v="5"/>
    <s v="Sold Out"/>
    <n v="25"/>
    <n v="25"/>
    <n v="0"/>
    <n v="0"/>
    <x v="161"/>
    <n v="162500"/>
    <n v="173.8"/>
    <n v="117500"/>
    <n v="45000"/>
    <n v="48.13"/>
    <n v="0"/>
    <d v="2024-01-29T00:00:00"/>
  </r>
  <r>
    <s v="B01777"/>
    <s v="P045"/>
    <x v="5"/>
    <s v="Sold Out"/>
    <n v="25"/>
    <n v="25"/>
    <n v="0"/>
    <n v="0"/>
    <x v="267"/>
    <n v="162500"/>
    <n v="173.8"/>
    <n v="117500"/>
    <n v="45000"/>
    <n v="48.13"/>
    <n v="0"/>
    <d v="2024-03-14T00:00:00"/>
  </r>
  <r>
    <s v="B01778"/>
    <s v="P045"/>
    <x v="5"/>
    <s v="Partial Loss"/>
    <n v="23"/>
    <n v="22.75"/>
    <n v="0.25"/>
    <n v="1.1000000000000001"/>
    <x v="757"/>
    <n v="147875"/>
    <n v="158.16"/>
    <n v="108100"/>
    <n v="39775"/>
    <n v="42.54"/>
    <n v="1175"/>
    <d v="2024-05-03T00:00:00"/>
  </r>
  <r>
    <s v="B01779"/>
    <s v="P045"/>
    <x v="5"/>
    <s v="Partial Loss"/>
    <n v="26"/>
    <n v="25.53"/>
    <n v="0.47"/>
    <n v="1.8"/>
    <x v="758"/>
    <n v="165945"/>
    <n v="177.48"/>
    <n v="122200"/>
    <n v="43745"/>
    <n v="46.79"/>
    <n v="2209"/>
    <d v="2024-06-24T00:00:00"/>
  </r>
  <r>
    <s v="B01780"/>
    <s v="P045"/>
    <x v="5"/>
    <s v="Partial Loss"/>
    <n v="27"/>
    <n v="26.08"/>
    <n v="0.92"/>
    <n v="3.4"/>
    <x v="759"/>
    <n v="169520"/>
    <n v="181.3"/>
    <n v="126900"/>
    <n v="42620"/>
    <n v="45.58"/>
    <n v="4324"/>
    <d v="2024-08-30T00:00:00"/>
  </r>
  <r>
    <s v="B01781"/>
    <s v="P045"/>
    <x v="5"/>
    <s v="Sold Out"/>
    <n v="27"/>
    <n v="27"/>
    <n v="0"/>
    <n v="0"/>
    <x v="121"/>
    <n v="175500"/>
    <n v="187.7"/>
    <n v="126900"/>
    <n v="48600"/>
    <n v="51.98"/>
    <n v="0"/>
    <d v="2024-10-28T00:00:00"/>
  </r>
  <r>
    <s v="B01782"/>
    <s v="P045"/>
    <x v="5"/>
    <s v="Sold Out"/>
    <n v="35"/>
    <n v="35"/>
    <n v="0"/>
    <n v="0"/>
    <x v="61"/>
    <n v="227500"/>
    <n v="243.32"/>
    <n v="164500"/>
    <n v="63000"/>
    <n v="67.38"/>
    <n v="0"/>
    <d v="2024-12-28T00:00:00"/>
  </r>
  <r>
    <s v="B01783"/>
    <s v="P045"/>
    <x v="5"/>
    <s v="Partial Loss"/>
    <n v="26"/>
    <n v="24.91"/>
    <n v="1.0900000000000001"/>
    <n v="4.2"/>
    <x v="760"/>
    <n v="161915"/>
    <n v="173.17"/>
    <n v="122200"/>
    <n v="39715"/>
    <n v="42.48"/>
    <n v="5123"/>
    <d v="2025-02-18T00:00:00"/>
  </r>
  <r>
    <s v="B01784"/>
    <s v="P045"/>
    <x v="5"/>
    <s v="Partial Loss"/>
    <n v="26"/>
    <n v="25.19"/>
    <n v="0.81"/>
    <n v="3.1"/>
    <x v="761"/>
    <n v="163735"/>
    <n v="175.12"/>
    <n v="122200"/>
    <n v="41535"/>
    <n v="44.42"/>
    <n v="3807.0000000000005"/>
    <d v="2025-04-16T00:00:00"/>
  </r>
  <r>
    <s v="B01785"/>
    <s v="P045"/>
    <x v="5"/>
    <s v="Sold Out"/>
    <n v="30"/>
    <n v="30"/>
    <n v="0"/>
    <n v="0"/>
    <x v="379"/>
    <n v="195000"/>
    <n v="208.56"/>
    <n v="141000"/>
    <n v="54000"/>
    <n v="57.75"/>
    <n v="0"/>
    <d v="2025-06-09T00:00:00"/>
  </r>
  <r>
    <s v="B01786"/>
    <s v="P046"/>
    <x v="6"/>
    <s v="Sold Out"/>
    <n v="18"/>
    <n v="18"/>
    <n v="0"/>
    <n v="0"/>
    <x v="590"/>
    <n v="117000"/>
    <n v="125.13"/>
    <n v="85500"/>
    <n v="31500"/>
    <n v="33.69"/>
    <n v="0"/>
    <d v="2023-07-04T00:00:00"/>
  </r>
  <r>
    <s v="B01787"/>
    <s v="P046"/>
    <x v="6"/>
    <s v="Partial Loss"/>
    <n v="17"/>
    <n v="16.010000000000002"/>
    <n v="0.99"/>
    <n v="5.8"/>
    <x v="482"/>
    <n v="104065"/>
    <n v="111.3"/>
    <n v="80750"/>
    <n v="23315"/>
    <n v="24.94"/>
    <n v="4702.5"/>
    <d v="2023-07-22T00:00:00"/>
  </r>
  <r>
    <s v="B01788"/>
    <s v="P046"/>
    <x v="6"/>
    <s v="Partial Loss"/>
    <n v="23"/>
    <n v="21.55"/>
    <n v="1.45"/>
    <n v="6.3"/>
    <x v="762"/>
    <n v="140075"/>
    <n v="149.81"/>
    <n v="109250"/>
    <n v="30825"/>
    <n v="32.97"/>
    <n v="6887.5"/>
    <d v="2023-08-12T00:00:00"/>
  </r>
  <r>
    <s v="B01789"/>
    <s v="P046"/>
    <x v="6"/>
    <s v="Sold Out"/>
    <n v="28"/>
    <n v="28"/>
    <n v="0"/>
    <n v="0"/>
    <x v="591"/>
    <n v="182000"/>
    <n v="194.65"/>
    <n v="133000"/>
    <n v="49000"/>
    <n v="52.41"/>
    <n v="0"/>
    <d v="2023-09-04T00:00:00"/>
  </r>
  <r>
    <s v="B01790"/>
    <s v="P046"/>
    <x v="6"/>
    <s v="Sold Out"/>
    <n v="22"/>
    <n v="22"/>
    <n v="0"/>
    <n v="0"/>
    <x v="5"/>
    <n v="143000"/>
    <n v="152.94"/>
    <n v="104500"/>
    <n v="38500"/>
    <n v="41.18"/>
    <n v="0"/>
    <d v="2023-09-22T00:00:00"/>
  </r>
  <r>
    <s v="B01791"/>
    <s v="P046"/>
    <x v="6"/>
    <s v="Partial Loss"/>
    <n v="19"/>
    <n v="18.05"/>
    <n v="0.95"/>
    <n v="5"/>
    <x v="598"/>
    <n v="117325"/>
    <n v="125.48"/>
    <n v="90250"/>
    <n v="27075"/>
    <n v="28.96"/>
    <n v="4512.5"/>
    <d v="2023-10-09T00:00:00"/>
  </r>
  <r>
    <s v="B01792"/>
    <s v="P046"/>
    <x v="6"/>
    <s v="Partial Loss"/>
    <n v="18"/>
    <n v="16.940000000000001"/>
    <n v="1.06"/>
    <n v="5.9"/>
    <x v="513"/>
    <n v="110110"/>
    <n v="117.76"/>
    <n v="85500"/>
    <n v="24610"/>
    <n v="26.32"/>
    <n v="5035"/>
    <d v="2023-11-01T00:00:00"/>
  </r>
  <r>
    <s v="B01793"/>
    <s v="P046"/>
    <x v="6"/>
    <s v="Partial Loss"/>
    <n v="18"/>
    <n v="17.05"/>
    <n v="0.95"/>
    <n v="5.3"/>
    <x v="314"/>
    <n v="110825"/>
    <n v="118.53"/>
    <n v="85500"/>
    <n v="25325"/>
    <n v="27.09"/>
    <n v="4512.5"/>
    <d v="2023-11-22T00:00:00"/>
  </r>
  <r>
    <s v="B01794"/>
    <s v="P046"/>
    <x v="6"/>
    <s v="Sold Out"/>
    <n v="25"/>
    <n v="25"/>
    <n v="0"/>
    <n v="0"/>
    <x v="18"/>
    <n v="162500"/>
    <n v="173.8"/>
    <n v="118750"/>
    <n v="43750"/>
    <n v="46.79"/>
    <n v="0"/>
    <d v="2023-12-09T00:00:00"/>
  </r>
  <r>
    <s v="B01795"/>
    <s v="P046"/>
    <x v="6"/>
    <s v="Partial Loss"/>
    <n v="18"/>
    <n v="16.399999999999999"/>
    <n v="1.6"/>
    <n v="8.9"/>
    <x v="271"/>
    <n v="106600"/>
    <n v="114.01"/>
    <n v="85500"/>
    <n v="21100"/>
    <n v="22.57"/>
    <n v="7600"/>
    <d v="2024-01-02T00:00:00"/>
  </r>
  <r>
    <s v="B01796"/>
    <s v="P046"/>
    <x v="6"/>
    <s v="Partial Loss"/>
    <n v="22"/>
    <n v="19.91"/>
    <n v="2.09"/>
    <n v="9.5"/>
    <x v="666"/>
    <n v="129415"/>
    <n v="138.41"/>
    <n v="112200"/>
    <n v="17215"/>
    <n v="18.41"/>
    <n v="10659"/>
    <d v="2024-01-26T00:00:00"/>
  </r>
  <r>
    <s v="B01797"/>
    <s v="P046"/>
    <x v="6"/>
    <s v="Partial Loss"/>
    <n v="17"/>
    <n v="15.3"/>
    <n v="1.7"/>
    <n v="10"/>
    <x v="364"/>
    <n v="99450"/>
    <n v="106.36"/>
    <n v="86700"/>
    <n v="12750"/>
    <n v="13.64"/>
    <n v="8670"/>
    <d v="2024-02-15T00:00:00"/>
  </r>
  <r>
    <s v="B01798"/>
    <s v="P046"/>
    <x v="6"/>
    <s v="Sold Out"/>
    <n v="21"/>
    <n v="21"/>
    <n v="0"/>
    <n v="0"/>
    <x v="393"/>
    <n v="136500"/>
    <n v="145.99"/>
    <n v="99750"/>
    <n v="36750"/>
    <n v="39.299999999999997"/>
    <n v="0"/>
    <d v="2024-03-07T00:00:00"/>
  </r>
  <r>
    <s v="B01799"/>
    <s v="P046"/>
    <x v="6"/>
    <s v="Partial Loss"/>
    <n v="21"/>
    <n v="19.95"/>
    <n v="1.05"/>
    <n v="5"/>
    <x v="763"/>
    <n v="129675"/>
    <n v="138.69"/>
    <n v="99750"/>
    <n v="29925"/>
    <n v="32.01"/>
    <n v="4987.5"/>
    <d v="2024-03-26T00:00:00"/>
  </r>
  <r>
    <s v="B01800"/>
    <s v="P046"/>
    <x v="6"/>
    <s v="Sold Out"/>
    <n v="19"/>
    <n v="19"/>
    <n v="0"/>
    <n v="0"/>
    <x v="95"/>
    <n v="123500"/>
    <n v="132.09"/>
    <n v="90250"/>
    <n v="33250"/>
    <n v="35.56"/>
    <n v="0"/>
    <d v="2024-04-09T00:00:00"/>
  </r>
  <r>
    <s v="B01801"/>
    <s v="P046"/>
    <x v="6"/>
    <s v="Partial Loss"/>
    <n v="17"/>
    <n v="16.420000000000002"/>
    <n v="0.57999999999999996"/>
    <n v="3.4"/>
    <x v="45"/>
    <n v="106730"/>
    <n v="114.15"/>
    <n v="80750"/>
    <n v="25980"/>
    <n v="27.79"/>
    <n v="2755"/>
    <d v="2024-04-29T00:00:00"/>
  </r>
  <r>
    <s v="B01802"/>
    <s v="P046"/>
    <x v="6"/>
    <s v="Sold Out"/>
    <n v="21"/>
    <n v="21"/>
    <n v="0"/>
    <n v="0"/>
    <x v="453"/>
    <n v="136500"/>
    <n v="145.99"/>
    <n v="99750"/>
    <n v="36750"/>
    <n v="39.299999999999997"/>
    <n v="0"/>
    <d v="2024-05-14T00:00:00"/>
  </r>
  <r>
    <s v="B01803"/>
    <s v="P046"/>
    <x v="6"/>
    <s v="Sold Out"/>
    <n v="19"/>
    <n v="19"/>
    <n v="0"/>
    <n v="0"/>
    <x v="549"/>
    <n v="123500"/>
    <n v="132.09"/>
    <n v="90250"/>
    <n v="33250"/>
    <n v="35.56"/>
    <n v="0"/>
    <d v="2024-06-09T00:00:00"/>
  </r>
  <r>
    <s v="B01804"/>
    <s v="P046"/>
    <x v="6"/>
    <s v="Partial Loss"/>
    <n v="20"/>
    <n v="18.88"/>
    <n v="1.1200000000000001"/>
    <n v="5.6"/>
    <x v="431"/>
    <n v="122720"/>
    <n v="131.25"/>
    <n v="95000"/>
    <n v="27720"/>
    <n v="29.65"/>
    <n v="5320.0000000000009"/>
    <d v="2024-06-26T00:00:00"/>
  </r>
  <r>
    <s v="B01805"/>
    <s v="P046"/>
    <x v="6"/>
    <s v="Partial Loss"/>
    <n v="19"/>
    <n v="18.28"/>
    <n v="0.72"/>
    <n v="3.8"/>
    <x v="57"/>
    <n v="118820"/>
    <n v="127.08"/>
    <n v="90250"/>
    <n v="28570"/>
    <n v="30.56"/>
    <n v="3420"/>
    <d v="2024-07-15T00:00:00"/>
  </r>
  <r>
    <s v="B01806"/>
    <s v="P046"/>
    <x v="6"/>
    <s v="Sold Out"/>
    <n v="19"/>
    <n v="19"/>
    <n v="0"/>
    <n v="0"/>
    <x v="517"/>
    <n v="123500"/>
    <n v="132.09"/>
    <n v="90250"/>
    <n v="33250"/>
    <n v="35.56"/>
    <n v="0"/>
    <d v="2024-08-10T00:00:00"/>
  </r>
  <r>
    <s v="B01807"/>
    <s v="P046"/>
    <x v="6"/>
    <s v="Sold Out"/>
    <n v="23"/>
    <n v="23"/>
    <n v="0"/>
    <n v="0"/>
    <x v="517"/>
    <n v="149500"/>
    <n v="159.88999999999999"/>
    <n v="109250"/>
    <n v="40250"/>
    <n v="43.05"/>
    <n v="0"/>
    <d v="2024-09-04T00:00:00"/>
  </r>
  <r>
    <s v="B01808"/>
    <s v="P046"/>
    <x v="6"/>
    <s v="Partial Loss"/>
    <n v="29"/>
    <n v="27.2"/>
    <n v="1.8"/>
    <n v="6.2"/>
    <x v="288"/>
    <n v="176800"/>
    <n v="189.09"/>
    <n v="137750"/>
    <n v="39050"/>
    <n v="41.76"/>
    <n v="8550"/>
    <d v="2024-09-23T00:00:00"/>
  </r>
  <r>
    <s v="B01809"/>
    <s v="P046"/>
    <x v="6"/>
    <s v="Sold Out"/>
    <n v="19"/>
    <n v="19"/>
    <n v="0"/>
    <n v="0"/>
    <x v="113"/>
    <n v="123500"/>
    <n v="132.09"/>
    <n v="90250"/>
    <n v="33250"/>
    <n v="35.56"/>
    <n v="0"/>
    <d v="2024-10-14T00:00:00"/>
  </r>
  <r>
    <s v="B01810"/>
    <s v="P046"/>
    <x v="6"/>
    <s v="Sold Out"/>
    <n v="22"/>
    <n v="22"/>
    <n v="0"/>
    <n v="0"/>
    <x v="764"/>
    <n v="143000"/>
    <n v="152.94"/>
    <n v="104500"/>
    <n v="38500"/>
    <n v="41.18"/>
    <n v="0"/>
    <d v="2024-11-01T00:00:00"/>
  </r>
  <r>
    <s v="B01811"/>
    <s v="P046"/>
    <x v="6"/>
    <s v="Partial Loss"/>
    <n v="18"/>
    <n v="16.649999999999999"/>
    <n v="1.35"/>
    <n v="7.5"/>
    <x v="137"/>
    <n v="108225"/>
    <n v="115.75"/>
    <n v="85500"/>
    <n v="22725"/>
    <n v="24.3"/>
    <n v="6412.5"/>
    <d v="2024-11-21T00:00:00"/>
  </r>
  <r>
    <s v="B01812"/>
    <s v="P046"/>
    <x v="6"/>
    <s v="Sold Out"/>
    <n v="24"/>
    <n v="24"/>
    <n v="0"/>
    <n v="0"/>
    <x v="406"/>
    <n v="156000"/>
    <n v="166.84"/>
    <n v="122400"/>
    <n v="33600"/>
    <n v="35.94"/>
    <n v="0"/>
    <d v="2024-12-11T00:00:00"/>
  </r>
  <r>
    <s v="B01813"/>
    <s v="P046"/>
    <x v="6"/>
    <s v="Sold Out"/>
    <n v="27"/>
    <n v="27"/>
    <n v="0"/>
    <n v="0"/>
    <x v="126"/>
    <n v="175500"/>
    <n v="187.7"/>
    <n v="128250"/>
    <n v="47250"/>
    <n v="50.53"/>
    <n v="0"/>
    <d v="2024-12-28T00:00:00"/>
  </r>
  <r>
    <s v="B01814"/>
    <s v="P046"/>
    <x v="6"/>
    <s v="Sold Out"/>
    <n v="23"/>
    <n v="23"/>
    <n v="0"/>
    <n v="0"/>
    <x v="127"/>
    <n v="149500"/>
    <n v="159.88999999999999"/>
    <n v="109250"/>
    <n v="40250"/>
    <n v="43.05"/>
    <n v="0"/>
    <d v="2025-01-21T00:00:00"/>
  </r>
  <r>
    <s v="B01815"/>
    <s v="P046"/>
    <x v="6"/>
    <s v="Sold Out"/>
    <n v="21"/>
    <n v="21"/>
    <n v="0"/>
    <n v="0"/>
    <x v="129"/>
    <n v="136500"/>
    <n v="145.99"/>
    <n v="99750"/>
    <n v="36750"/>
    <n v="39.299999999999997"/>
    <n v="0"/>
    <d v="2025-02-07T00:00:00"/>
  </r>
  <r>
    <s v="B01816"/>
    <s v="P046"/>
    <x v="6"/>
    <s v="Partial Loss"/>
    <n v="20"/>
    <n v="18.12"/>
    <n v="1.88"/>
    <n v="9.4"/>
    <x v="765"/>
    <n v="117780"/>
    <n v="125.97"/>
    <n v="95000"/>
    <n v="22780"/>
    <n v="24.36"/>
    <n v="8930"/>
    <d v="2025-02-28T00:00:00"/>
  </r>
  <r>
    <s v="B01817"/>
    <s v="P046"/>
    <x v="6"/>
    <s v="Partial Loss"/>
    <n v="19"/>
    <n v="17.71"/>
    <n v="1.29"/>
    <n v="6.8"/>
    <x v="766"/>
    <n v="115115"/>
    <n v="123.12"/>
    <n v="96900"/>
    <n v="18215"/>
    <n v="19.48"/>
    <n v="6579"/>
    <d v="2025-03-17T00:00:00"/>
  </r>
  <r>
    <s v="B01818"/>
    <s v="P046"/>
    <x v="6"/>
    <s v="Partial Loss"/>
    <n v="22"/>
    <n v="20"/>
    <n v="2"/>
    <n v="9.1"/>
    <x v="767"/>
    <n v="130000"/>
    <n v="139.04"/>
    <n v="112200"/>
    <n v="17800"/>
    <n v="19.04"/>
    <n v="10200"/>
    <d v="2025-04-05T00:00:00"/>
  </r>
  <r>
    <s v="B01819"/>
    <s v="P046"/>
    <x v="6"/>
    <s v="Sold Out"/>
    <n v="23"/>
    <n v="23"/>
    <n v="0"/>
    <n v="0"/>
    <x v="585"/>
    <n v="149500"/>
    <n v="159.88999999999999"/>
    <n v="117300"/>
    <n v="32200"/>
    <n v="34.44"/>
    <n v="0"/>
    <d v="2025-04-24T00:00:00"/>
  </r>
  <r>
    <s v="B01820"/>
    <s v="P046"/>
    <x v="6"/>
    <s v="Sold Out"/>
    <n v="21"/>
    <n v="21"/>
    <n v="0"/>
    <n v="0"/>
    <x v="615"/>
    <n v="136500"/>
    <n v="145.99"/>
    <n v="107100"/>
    <n v="29400"/>
    <n v="31.44"/>
    <n v="0"/>
    <d v="2025-05-17T00:00:00"/>
  </r>
  <r>
    <s v="B01821"/>
    <s v="P046"/>
    <x v="6"/>
    <s v="Partial Loss"/>
    <n v="22"/>
    <n v="20.88"/>
    <n v="1.1200000000000001"/>
    <n v="5.0999999999999996"/>
    <x v="768"/>
    <n v="135720"/>
    <n v="145.16"/>
    <n v="104500"/>
    <n v="31220"/>
    <n v="33.39"/>
    <n v="5320.0000000000009"/>
    <d v="2025-06-06T00:00:00"/>
  </r>
  <r>
    <s v="B01822"/>
    <s v="P046"/>
    <x v="6"/>
    <s v="Sold Out"/>
    <n v="25"/>
    <n v="25"/>
    <n v="0"/>
    <n v="0"/>
    <x v="75"/>
    <n v="162500"/>
    <n v="173.8"/>
    <n v="118750"/>
    <n v="43750"/>
    <n v="46.79"/>
    <n v="0"/>
    <d v="2025-06-24T00:00:00"/>
  </r>
  <r>
    <s v="B01823"/>
    <s v="P047"/>
    <x v="6"/>
    <s v="Sold Out"/>
    <n v="17"/>
    <n v="17"/>
    <n v="0"/>
    <n v="0"/>
    <x v="296"/>
    <n v="110500"/>
    <n v="118.18"/>
    <n v="79050"/>
    <n v="31450"/>
    <n v="33.64"/>
    <n v="0"/>
    <d v="2023-07-04T00:00:00"/>
  </r>
  <r>
    <s v="B01824"/>
    <s v="P047"/>
    <x v="6"/>
    <s v="Sold Out"/>
    <n v="22"/>
    <n v="22"/>
    <n v="0"/>
    <n v="0"/>
    <x v="474"/>
    <n v="143000"/>
    <n v="152.94"/>
    <n v="103400"/>
    <n v="39600"/>
    <n v="42.35"/>
    <n v="0"/>
    <d v="2023-07-24T00:00:00"/>
  </r>
  <r>
    <s v="B01825"/>
    <s v="P047"/>
    <x v="6"/>
    <s v="Partial Loss"/>
    <n v="21"/>
    <n v="19.84"/>
    <n v="1.1599999999999999"/>
    <n v="5.5"/>
    <x v="769"/>
    <n v="128960"/>
    <n v="137.93"/>
    <n v="97650"/>
    <n v="31310"/>
    <n v="33.49"/>
    <n v="5394"/>
    <d v="2023-08-15T00:00:00"/>
  </r>
  <r>
    <s v="B01826"/>
    <s v="P047"/>
    <x v="6"/>
    <s v="Sold Out"/>
    <n v="24"/>
    <n v="24"/>
    <n v="0"/>
    <n v="0"/>
    <x v="770"/>
    <n v="156000"/>
    <n v="166.84"/>
    <n v="111600"/>
    <n v="44400"/>
    <n v="47.49"/>
    <n v="0"/>
    <d v="2023-09-07T00:00:00"/>
  </r>
  <r>
    <s v="B01827"/>
    <s v="P047"/>
    <x v="6"/>
    <s v="Sold Out"/>
    <n v="29"/>
    <n v="29"/>
    <n v="0"/>
    <n v="0"/>
    <x v="687"/>
    <n v="188500"/>
    <n v="201.6"/>
    <n v="134850"/>
    <n v="53650"/>
    <n v="57.38"/>
    <n v="0"/>
    <d v="2023-09-28T00:00:00"/>
  </r>
  <r>
    <s v="B01828"/>
    <s v="P047"/>
    <x v="6"/>
    <s v="Partial Loss"/>
    <n v="21"/>
    <n v="20.54"/>
    <n v="0.46"/>
    <n v="2.2000000000000002"/>
    <x v="452"/>
    <n v="133510"/>
    <n v="142.79"/>
    <n v="97650"/>
    <n v="35860"/>
    <n v="38.35"/>
    <n v="2139"/>
    <d v="2023-10-22T00:00:00"/>
  </r>
  <r>
    <s v="B01829"/>
    <s v="P047"/>
    <x v="6"/>
    <s v="Sold Out"/>
    <n v="19"/>
    <n v="19"/>
    <n v="0"/>
    <n v="0"/>
    <x v="304"/>
    <n v="123500"/>
    <n v="132.09"/>
    <n v="88350"/>
    <n v="35150"/>
    <n v="37.590000000000003"/>
    <n v="0"/>
    <d v="2023-11-12T00:00:00"/>
  </r>
  <r>
    <s v="B01830"/>
    <s v="P047"/>
    <x v="6"/>
    <s v="Sold Out"/>
    <n v="27"/>
    <n v="27"/>
    <n v="0"/>
    <n v="0"/>
    <x v="18"/>
    <n v="175500"/>
    <n v="187.7"/>
    <n v="125550"/>
    <n v="49950"/>
    <n v="53.42"/>
    <n v="0"/>
    <d v="2023-12-07T00:00:00"/>
  </r>
  <r>
    <s v="B01831"/>
    <s v="P047"/>
    <x v="6"/>
    <s v="Partial Loss"/>
    <n v="24"/>
    <n v="21.79"/>
    <n v="2.21"/>
    <n v="9.1999999999999993"/>
    <x v="549"/>
    <n v="141635"/>
    <n v="151.47999999999999"/>
    <n v="111600"/>
    <n v="30035"/>
    <n v="32.119999999999997"/>
    <n v="10276.5"/>
    <d v="2023-12-29T00:00:00"/>
  </r>
  <r>
    <s v="B01832"/>
    <s v="P047"/>
    <x v="6"/>
    <s v="Partial Loss"/>
    <n v="20"/>
    <n v="18.3"/>
    <n v="1.7"/>
    <n v="8.5"/>
    <x v="771"/>
    <n v="118950"/>
    <n v="127.22"/>
    <n v="94000"/>
    <n v="24950"/>
    <n v="26.68"/>
    <n v="7990"/>
    <d v="2024-01-12T00:00:00"/>
  </r>
  <r>
    <s v="B01833"/>
    <s v="P047"/>
    <x v="6"/>
    <s v="Sold Out"/>
    <n v="18"/>
    <n v="18"/>
    <n v="0"/>
    <n v="0"/>
    <x v="356"/>
    <n v="117000"/>
    <n v="125.13"/>
    <n v="83700"/>
    <n v="33300"/>
    <n v="35.61"/>
    <n v="0"/>
    <d v="2024-01-26T00:00:00"/>
  </r>
  <r>
    <s v="B01834"/>
    <s v="P047"/>
    <x v="6"/>
    <s v="Sold Out"/>
    <n v="22"/>
    <n v="22"/>
    <n v="0"/>
    <n v="0"/>
    <x v="675"/>
    <n v="143000"/>
    <n v="152.94"/>
    <n v="102300"/>
    <n v="40700"/>
    <n v="43.53"/>
    <n v="0"/>
    <d v="2024-02-16T00:00:00"/>
  </r>
  <r>
    <s v="B01835"/>
    <s v="P047"/>
    <x v="6"/>
    <s v="Sold Out"/>
    <n v="23"/>
    <n v="23"/>
    <n v="0"/>
    <n v="0"/>
    <x v="96"/>
    <n v="149500"/>
    <n v="159.88999999999999"/>
    <n v="108100"/>
    <n v="41400"/>
    <n v="44.28"/>
    <n v="0"/>
    <d v="2024-03-07T00:00:00"/>
  </r>
  <r>
    <s v="B01836"/>
    <s v="P047"/>
    <x v="6"/>
    <s v="Partial Loss"/>
    <n v="18"/>
    <n v="17.690000000000001"/>
    <n v="0.31"/>
    <n v="1.7"/>
    <x v="328"/>
    <n v="114985"/>
    <n v="122.98"/>
    <n v="83700"/>
    <n v="31285"/>
    <n v="33.46"/>
    <n v="1441.5"/>
    <d v="2024-04-02T00:00:00"/>
  </r>
  <r>
    <s v="B01837"/>
    <s v="P047"/>
    <x v="6"/>
    <s v="Sold Out"/>
    <n v="22"/>
    <n v="22"/>
    <n v="0"/>
    <n v="0"/>
    <x v="317"/>
    <n v="143000"/>
    <n v="152.94"/>
    <n v="102300"/>
    <n v="40700"/>
    <n v="43.53"/>
    <n v="0"/>
    <d v="2024-04-22T00:00:00"/>
  </r>
  <r>
    <s v="B01838"/>
    <s v="P047"/>
    <x v="6"/>
    <s v="Partial Loss"/>
    <n v="22"/>
    <n v="21.27"/>
    <n v="0.73"/>
    <n v="3.3"/>
    <x v="117"/>
    <n v="138255"/>
    <n v="147.87"/>
    <n v="102300"/>
    <n v="35955"/>
    <n v="38.450000000000003"/>
    <n v="3394.5"/>
    <d v="2024-05-12T00:00:00"/>
  </r>
  <r>
    <s v="B01839"/>
    <s v="P047"/>
    <x v="6"/>
    <s v="Sold Out"/>
    <n v="21"/>
    <n v="21"/>
    <n v="0"/>
    <n v="0"/>
    <x v="454"/>
    <n v="136500"/>
    <n v="145.99"/>
    <n v="97650"/>
    <n v="38850"/>
    <n v="41.55"/>
    <n v="0"/>
    <d v="2024-05-24T00:00:00"/>
  </r>
  <r>
    <s v="B01840"/>
    <s v="P047"/>
    <x v="6"/>
    <s v="Partial Loss"/>
    <n v="19"/>
    <n v="17.989999999999998"/>
    <n v="1.01"/>
    <n v="5.3"/>
    <x v="181"/>
    <n v="116935"/>
    <n v="125.06"/>
    <n v="88350"/>
    <n v="28585"/>
    <n v="30.57"/>
    <n v="4696.5"/>
    <d v="2024-06-08T00:00:00"/>
  </r>
  <r>
    <s v="B01841"/>
    <s v="P047"/>
    <x v="6"/>
    <s v="Partial Loss"/>
    <n v="19"/>
    <n v="17.57"/>
    <n v="1.43"/>
    <n v="7.5"/>
    <x v="579"/>
    <n v="114205"/>
    <n v="122.14"/>
    <n v="88350"/>
    <n v="25855"/>
    <n v="27.65"/>
    <n v="6649.5"/>
    <d v="2024-06-27T00:00:00"/>
  </r>
  <r>
    <s v="B01842"/>
    <s v="P047"/>
    <x v="6"/>
    <s v="Sold Out"/>
    <n v="17"/>
    <n v="17"/>
    <n v="0"/>
    <n v="0"/>
    <x v="551"/>
    <n v="110500"/>
    <n v="118.18"/>
    <n v="79050"/>
    <n v="31450"/>
    <n v="33.64"/>
    <n v="0"/>
    <d v="2024-07-17T00:00:00"/>
  </r>
  <r>
    <s v="B01843"/>
    <s v="P047"/>
    <x v="6"/>
    <s v="Partial Loss"/>
    <n v="23"/>
    <n v="22.63"/>
    <n v="0.37"/>
    <n v="1.6"/>
    <x v="182"/>
    <n v="147095"/>
    <n v="157.32"/>
    <n v="106950"/>
    <n v="40145"/>
    <n v="42.94"/>
    <n v="1720.5"/>
    <d v="2024-08-04T00:00:00"/>
  </r>
  <r>
    <s v="B01844"/>
    <s v="P047"/>
    <x v="6"/>
    <s v="Partial Loss"/>
    <n v="22"/>
    <n v="21.12"/>
    <n v="0.88"/>
    <n v="4"/>
    <x v="640"/>
    <n v="137280"/>
    <n v="146.82"/>
    <n v="102300"/>
    <n v="34980"/>
    <n v="37.409999999999997"/>
    <n v="4092"/>
    <d v="2024-08-25T00:00:00"/>
  </r>
  <r>
    <s v="B01845"/>
    <s v="P047"/>
    <x v="6"/>
    <s v="Sold Out"/>
    <n v="25"/>
    <n v="25"/>
    <n v="0"/>
    <n v="0"/>
    <x v="223"/>
    <n v="162500"/>
    <n v="173.8"/>
    <n v="116250"/>
    <n v="46250"/>
    <n v="49.47"/>
    <n v="0"/>
    <d v="2024-09-14T00:00:00"/>
  </r>
  <r>
    <s v="B01846"/>
    <s v="P047"/>
    <x v="6"/>
    <s v="Sold Out"/>
    <n v="24"/>
    <n v="24"/>
    <n v="0"/>
    <n v="0"/>
    <x v="428"/>
    <n v="156000"/>
    <n v="166.84"/>
    <n v="111600"/>
    <n v="44400"/>
    <n v="47.49"/>
    <n v="0"/>
    <d v="2024-09-29T00:00:00"/>
  </r>
  <r>
    <s v="B01847"/>
    <s v="P047"/>
    <x v="6"/>
    <s v="Sold Out"/>
    <n v="19"/>
    <n v="19"/>
    <n v="0"/>
    <n v="0"/>
    <x v="179"/>
    <n v="123500"/>
    <n v="132.09"/>
    <n v="88350"/>
    <n v="35150"/>
    <n v="37.590000000000003"/>
    <n v="0"/>
    <d v="2024-10-19T00:00:00"/>
  </r>
  <r>
    <s v="B01848"/>
    <s v="P047"/>
    <x v="6"/>
    <s v="Partial Loss"/>
    <n v="21"/>
    <n v="19.149999999999999"/>
    <n v="1.85"/>
    <n v="8.8000000000000007"/>
    <x v="468"/>
    <n v="124475"/>
    <n v="133.13"/>
    <n v="97650"/>
    <n v="26825"/>
    <n v="28.69"/>
    <n v="8602.5"/>
    <d v="2024-11-05T00:00:00"/>
  </r>
  <r>
    <s v="B01849"/>
    <s v="P047"/>
    <x v="6"/>
    <s v="Sold Out"/>
    <n v="18"/>
    <n v="18"/>
    <n v="0"/>
    <n v="0"/>
    <x v="772"/>
    <n v="117000"/>
    <n v="125.13"/>
    <n v="83700"/>
    <n v="33300"/>
    <n v="35.61"/>
    <n v="0"/>
    <d v="2024-11-27T00:00:00"/>
  </r>
  <r>
    <s v="B01850"/>
    <s v="P047"/>
    <x v="6"/>
    <s v="Partial Loss"/>
    <n v="24"/>
    <n v="21.62"/>
    <n v="2.38"/>
    <n v="9.9"/>
    <x v="690"/>
    <n v="140530"/>
    <n v="150.30000000000001"/>
    <n v="111600"/>
    <n v="28930"/>
    <n v="30.94"/>
    <n v="11067"/>
    <d v="2024-12-20T00:00:00"/>
  </r>
  <r>
    <s v="B01851"/>
    <s v="P047"/>
    <x v="6"/>
    <s v="Sold Out"/>
    <n v="22"/>
    <n v="22"/>
    <n v="0"/>
    <n v="0"/>
    <x v="126"/>
    <n v="143000"/>
    <n v="152.94"/>
    <n v="102300"/>
    <n v="40700"/>
    <n v="43.53"/>
    <n v="0"/>
    <d v="2025-01-13T00:00:00"/>
  </r>
  <r>
    <s v="B01852"/>
    <s v="P047"/>
    <x v="6"/>
    <s v="Sold Out"/>
    <n v="21"/>
    <n v="21"/>
    <n v="0"/>
    <n v="0"/>
    <x v="129"/>
    <n v="136500"/>
    <n v="145.99"/>
    <n v="97650"/>
    <n v="38850"/>
    <n v="41.55"/>
    <n v="0"/>
    <d v="2025-02-02T00:00:00"/>
  </r>
  <r>
    <s v="B01853"/>
    <s v="P047"/>
    <x v="6"/>
    <s v="Partial Loss"/>
    <n v="22"/>
    <n v="20.239999999999998"/>
    <n v="1.76"/>
    <n v="8"/>
    <x v="773"/>
    <n v="131560"/>
    <n v="140.71"/>
    <n v="102300"/>
    <n v="29260"/>
    <n v="31.29"/>
    <n v="8184"/>
    <d v="2025-03-03T00:00:00"/>
  </r>
  <r>
    <s v="B01854"/>
    <s v="P047"/>
    <x v="6"/>
    <s v="Sold Out"/>
    <n v="21"/>
    <n v="21"/>
    <n v="0"/>
    <n v="0"/>
    <x v="525"/>
    <n v="136500"/>
    <n v="145.99"/>
    <n v="97650"/>
    <n v="38850"/>
    <n v="41.55"/>
    <n v="0"/>
    <d v="2025-03-23T00:00:00"/>
  </r>
  <r>
    <s v="B01855"/>
    <s v="P047"/>
    <x v="6"/>
    <s v="Sold Out"/>
    <n v="20"/>
    <n v="20"/>
    <n v="0"/>
    <n v="0"/>
    <x v="68"/>
    <n v="130000"/>
    <n v="139.04"/>
    <n v="94000"/>
    <n v="36000"/>
    <n v="38.5"/>
    <n v="0"/>
    <d v="2025-04-10T00:00:00"/>
  </r>
  <r>
    <s v="B01856"/>
    <s v="P047"/>
    <x v="6"/>
    <s v="Sold Out"/>
    <n v="18"/>
    <n v="18"/>
    <n v="0"/>
    <n v="0"/>
    <x v="336"/>
    <n v="117000"/>
    <n v="125.13"/>
    <n v="83700"/>
    <n v="33300"/>
    <n v="35.61"/>
    <n v="0"/>
    <d v="2025-05-03T00:00:00"/>
  </r>
  <r>
    <s v="B01857"/>
    <s v="P047"/>
    <x v="6"/>
    <s v="Sold Out"/>
    <n v="19"/>
    <n v="19"/>
    <n v="0"/>
    <n v="0"/>
    <x v="69"/>
    <n v="123500"/>
    <n v="132.09"/>
    <n v="89300"/>
    <n v="34200"/>
    <n v="36.58"/>
    <n v="0"/>
    <d v="2025-05-18T00:00:00"/>
  </r>
  <r>
    <s v="B01858"/>
    <s v="P047"/>
    <x v="6"/>
    <s v="Sold Out"/>
    <n v="25"/>
    <n v="25"/>
    <n v="0"/>
    <n v="0"/>
    <x v="496"/>
    <n v="162500"/>
    <n v="173.8"/>
    <n v="116250"/>
    <n v="46250"/>
    <n v="49.47"/>
    <n v="0"/>
    <d v="2025-06-06T00:00:00"/>
  </r>
  <r>
    <s v="B01859"/>
    <s v="P047"/>
    <x v="6"/>
    <s v="Partial Loss"/>
    <n v="25"/>
    <n v="24.12"/>
    <n v="0.88"/>
    <n v="3.5"/>
    <x v="774"/>
    <n v="156780"/>
    <n v="167.68"/>
    <n v="116250"/>
    <n v="40530"/>
    <n v="43.35"/>
    <n v="4092"/>
    <d v="2025-06-30T00:00:00"/>
  </r>
  <r>
    <s v="B01860"/>
    <s v="P048"/>
    <x v="6"/>
    <s v="Sold Out"/>
    <n v="23"/>
    <n v="23"/>
    <n v="0"/>
    <n v="0"/>
    <x v="775"/>
    <n v="161000"/>
    <n v="172.19"/>
    <n v="116150"/>
    <n v="44850"/>
    <n v="47.97"/>
    <n v="0"/>
    <d v="2023-07-01T00:00:00"/>
  </r>
  <r>
    <s v="B01861"/>
    <s v="P048"/>
    <x v="6"/>
    <s v="Partial Loss"/>
    <n v="18"/>
    <n v="17.53"/>
    <n v="0.47"/>
    <n v="2.6"/>
    <x v="259"/>
    <n v="122710"/>
    <n v="131.24"/>
    <n v="90900"/>
    <n v="31810"/>
    <n v="34.020000000000003"/>
    <n v="2373.5"/>
    <d v="2023-07-16T00:00:00"/>
  </r>
  <r>
    <s v="B01862"/>
    <s v="P048"/>
    <x v="6"/>
    <s v="Partial Loss"/>
    <n v="22"/>
    <n v="20.92"/>
    <n v="1.08"/>
    <n v="4.9000000000000004"/>
    <x v="309"/>
    <n v="146440"/>
    <n v="156.62"/>
    <n v="111100"/>
    <n v="35340"/>
    <n v="37.799999999999997"/>
    <n v="5454"/>
    <d v="2023-08-03T00:00:00"/>
  </r>
  <r>
    <s v="B01863"/>
    <s v="P048"/>
    <x v="6"/>
    <s v="Partial Loss"/>
    <n v="23"/>
    <n v="22.54"/>
    <n v="0.46"/>
    <n v="2"/>
    <x v="595"/>
    <n v="157780"/>
    <n v="168.75"/>
    <n v="116150"/>
    <n v="41630"/>
    <n v="44.52"/>
    <n v="2323"/>
    <d v="2023-08-29T00:00:00"/>
  </r>
  <r>
    <s v="B01864"/>
    <s v="P048"/>
    <x v="6"/>
    <s v="Partial Loss"/>
    <n v="23"/>
    <n v="21.87"/>
    <n v="1.1299999999999999"/>
    <n v="4.9000000000000004"/>
    <x v="776"/>
    <n v="153090"/>
    <n v="163.72999999999999"/>
    <n v="116150"/>
    <n v="36940"/>
    <n v="39.51"/>
    <n v="5706.4999999999991"/>
    <d v="2023-09-16T00:00:00"/>
  </r>
  <r>
    <s v="B01865"/>
    <s v="P048"/>
    <x v="6"/>
    <s v="Partial Loss"/>
    <n v="23"/>
    <n v="22.7"/>
    <n v="0.3"/>
    <n v="1.3"/>
    <x v="598"/>
    <n v="158900"/>
    <n v="169.95"/>
    <n v="116150"/>
    <n v="42750"/>
    <n v="45.72"/>
    <n v="1515"/>
    <d v="2023-10-09T00:00:00"/>
  </r>
  <r>
    <s v="B01866"/>
    <s v="P048"/>
    <x v="6"/>
    <s v="Sold Out"/>
    <n v="21"/>
    <n v="21"/>
    <n v="0"/>
    <n v="0"/>
    <x v="353"/>
    <n v="147000"/>
    <n v="157.22"/>
    <n v="106050"/>
    <n v="40950"/>
    <n v="43.8"/>
    <n v="0"/>
    <d v="2023-11-02T00:00:00"/>
  </r>
  <r>
    <s v="B01867"/>
    <s v="P048"/>
    <x v="6"/>
    <s v="Sold Out"/>
    <n v="20"/>
    <n v="20"/>
    <n v="0"/>
    <n v="0"/>
    <x v="305"/>
    <n v="140000"/>
    <n v="149.72999999999999"/>
    <n v="101000"/>
    <n v="39000"/>
    <n v="41.71"/>
    <n v="0"/>
    <d v="2023-11-22T00:00:00"/>
  </r>
  <r>
    <s v="B01868"/>
    <s v="P048"/>
    <x v="6"/>
    <s v="Sold Out"/>
    <n v="26"/>
    <n v="26"/>
    <n v="0"/>
    <n v="0"/>
    <x v="478"/>
    <n v="182000"/>
    <n v="194.65"/>
    <n v="131300"/>
    <n v="50700"/>
    <n v="54.22"/>
    <n v="0"/>
    <d v="2023-12-13T00:00:00"/>
  </r>
  <r>
    <s v="B01869"/>
    <s v="P048"/>
    <x v="6"/>
    <s v="Sold Out"/>
    <n v="21"/>
    <n v="21"/>
    <n v="0"/>
    <n v="0"/>
    <x v="158"/>
    <n v="147000"/>
    <n v="157.22"/>
    <n v="111300"/>
    <n v="35700"/>
    <n v="38.18"/>
    <n v="0"/>
    <d v="2024-01-09T00:00:00"/>
  </r>
  <r>
    <s v="B01870"/>
    <s v="P048"/>
    <x v="6"/>
    <s v="Sold Out"/>
    <n v="18"/>
    <n v="18"/>
    <n v="0"/>
    <n v="0"/>
    <x v="23"/>
    <n v="126000"/>
    <n v="134.76"/>
    <n v="90900"/>
    <n v="35100"/>
    <n v="37.54"/>
    <n v="0"/>
    <d v="2024-01-26T00:00:00"/>
  </r>
  <r>
    <s v="B01871"/>
    <s v="P048"/>
    <x v="6"/>
    <s v="Partial Loss"/>
    <n v="18"/>
    <n v="16.09"/>
    <n v="1.91"/>
    <n v="10.6"/>
    <x v="218"/>
    <n v="112630"/>
    <n v="120.46"/>
    <n v="90900"/>
    <n v="21730"/>
    <n v="23.24"/>
    <n v="9645.5"/>
    <d v="2024-02-19T00:00:00"/>
  </r>
  <r>
    <s v="B01872"/>
    <s v="P048"/>
    <x v="6"/>
    <s v="Sold Out"/>
    <n v="21"/>
    <n v="21"/>
    <n v="0"/>
    <n v="0"/>
    <x v="754"/>
    <n v="147000"/>
    <n v="157.22"/>
    <n v="106050"/>
    <n v="40950"/>
    <n v="43.8"/>
    <n v="0"/>
    <d v="2024-03-18T00:00:00"/>
  </r>
  <r>
    <s v="B01873"/>
    <s v="P048"/>
    <x v="6"/>
    <s v="Sold Out"/>
    <n v="19"/>
    <n v="19"/>
    <n v="0"/>
    <n v="0"/>
    <x v="599"/>
    <n v="133000"/>
    <n v="142.25"/>
    <n v="95950"/>
    <n v="37050"/>
    <n v="39.630000000000003"/>
    <n v="0"/>
    <d v="2024-04-05T00:00:00"/>
  </r>
  <r>
    <s v="B01874"/>
    <s v="P048"/>
    <x v="6"/>
    <s v="Sold Out"/>
    <n v="18"/>
    <n v="18"/>
    <n v="0"/>
    <n v="0"/>
    <x v="214"/>
    <n v="126000"/>
    <n v="134.76"/>
    <n v="90900"/>
    <n v="35100"/>
    <n v="37.54"/>
    <n v="0"/>
    <d v="2024-04-24T00:00:00"/>
  </r>
  <r>
    <s v="B01875"/>
    <s v="P048"/>
    <x v="6"/>
    <s v="Sold Out"/>
    <n v="19"/>
    <n v="19"/>
    <n v="0"/>
    <n v="0"/>
    <x v="217"/>
    <n v="133000"/>
    <n v="142.25"/>
    <n v="95950"/>
    <n v="37050"/>
    <n v="39.630000000000003"/>
    <n v="0"/>
    <d v="2024-05-14T00:00:00"/>
  </r>
  <r>
    <s v="B01876"/>
    <s v="P048"/>
    <x v="6"/>
    <s v="Sold Out"/>
    <n v="21"/>
    <n v="21"/>
    <n v="0"/>
    <n v="0"/>
    <x v="167"/>
    <n v="147000"/>
    <n v="157.22"/>
    <n v="106050"/>
    <n v="40950"/>
    <n v="43.8"/>
    <n v="0"/>
    <d v="2024-06-04T00:00:00"/>
  </r>
  <r>
    <s v="B01877"/>
    <s v="P048"/>
    <x v="6"/>
    <s v="Partial Loss"/>
    <n v="23"/>
    <n v="20.98"/>
    <n v="2.02"/>
    <n v="8.8000000000000007"/>
    <x v="55"/>
    <n v="146860"/>
    <n v="157.07"/>
    <n v="116150"/>
    <n v="30710"/>
    <n v="32.840000000000003"/>
    <n v="10201"/>
    <d v="2024-06-22T00:00:00"/>
  </r>
  <r>
    <s v="B01878"/>
    <s v="P048"/>
    <x v="6"/>
    <s v="Partial Loss"/>
    <n v="23"/>
    <n v="22.33"/>
    <n v="0.67"/>
    <n v="2.9"/>
    <x v="124"/>
    <n v="156310"/>
    <n v="167.18"/>
    <n v="116150"/>
    <n v="40160"/>
    <n v="42.95"/>
    <n v="3383.5"/>
    <d v="2024-07-13T00:00:00"/>
  </r>
  <r>
    <s v="B01879"/>
    <s v="P048"/>
    <x v="6"/>
    <s v="Partial Loss"/>
    <n v="23"/>
    <n v="20.49"/>
    <n v="2.5099999999999998"/>
    <n v="10.9"/>
    <x v="283"/>
    <n v="143430"/>
    <n v="153.4"/>
    <n v="121900"/>
    <n v="21530"/>
    <n v="23.03"/>
    <n v="13302.999999999998"/>
    <d v="2024-08-03T00:00:00"/>
  </r>
  <r>
    <s v="B01880"/>
    <s v="P048"/>
    <x v="6"/>
    <s v="Sold Out"/>
    <n v="18"/>
    <n v="18"/>
    <n v="0"/>
    <n v="0"/>
    <x v="517"/>
    <n v="126000"/>
    <n v="134.76"/>
    <n v="95400"/>
    <n v="30600"/>
    <n v="32.729999999999997"/>
    <n v="0"/>
    <d v="2024-08-26T00:00:00"/>
  </r>
  <r>
    <s v="B01881"/>
    <s v="P048"/>
    <x v="6"/>
    <s v="Partial Loss"/>
    <n v="24"/>
    <n v="22.63"/>
    <n v="1.37"/>
    <n v="5.7"/>
    <x v="64"/>
    <n v="158410"/>
    <n v="169.42"/>
    <n v="121200"/>
    <n v="37210"/>
    <n v="39.799999999999997"/>
    <n v="6918.5000000000009"/>
    <d v="2024-09-20T00:00:00"/>
  </r>
  <r>
    <s v="B01882"/>
    <s v="P048"/>
    <x v="6"/>
    <s v="Sold Out"/>
    <n v="23"/>
    <n v="23"/>
    <n v="0"/>
    <n v="0"/>
    <x v="606"/>
    <n v="161000"/>
    <n v="172.19"/>
    <n v="121900"/>
    <n v="39100"/>
    <n v="41.82"/>
    <n v="0"/>
    <d v="2024-10-09T00:00:00"/>
  </r>
  <r>
    <s v="B01883"/>
    <s v="P048"/>
    <x v="6"/>
    <s v="Sold Out"/>
    <n v="19"/>
    <n v="19"/>
    <n v="0"/>
    <n v="0"/>
    <x v="777"/>
    <n v="133000"/>
    <n v="142.25"/>
    <n v="100700"/>
    <n v="32300"/>
    <n v="34.549999999999997"/>
    <n v="0"/>
    <d v="2024-10-29T00:00:00"/>
  </r>
  <r>
    <s v="B01884"/>
    <s v="P048"/>
    <x v="6"/>
    <s v="Sold Out"/>
    <n v="18"/>
    <n v="18"/>
    <n v="0"/>
    <n v="0"/>
    <x v="48"/>
    <n v="126000"/>
    <n v="134.76"/>
    <n v="90900"/>
    <n v="35100"/>
    <n v="37.54"/>
    <n v="0"/>
    <d v="2024-11-14T00:00:00"/>
  </r>
  <r>
    <s v="B01885"/>
    <s v="P048"/>
    <x v="6"/>
    <s v="Sold Out"/>
    <n v="27"/>
    <n v="27"/>
    <n v="0"/>
    <n v="0"/>
    <x v="579"/>
    <n v="189000"/>
    <n v="202.14"/>
    <n v="136350"/>
    <n v="52650"/>
    <n v="56.31"/>
    <n v="0"/>
    <d v="2024-12-02T00:00:00"/>
  </r>
  <r>
    <s v="B01886"/>
    <s v="P048"/>
    <x v="6"/>
    <s v="Partial Loss"/>
    <n v="28"/>
    <n v="25.37"/>
    <n v="2.63"/>
    <n v="9.4"/>
    <x v="198"/>
    <n v="177590"/>
    <n v="189.94"/>
    <n v="141400"/>
    <n v="36190"/>
    <n v="38.71"/>
    <n v="13281.5"/>
    <d v="2024-12-21T00:00:00"/>
  </r>
  <r>
    <s v="B01887"/>
    <s v="P048"/>
    <x v="6"/>
    <s v="Partial Loss"/>
    <n v="20"/>
    <n v="18.739999999999998"/>
    <n v="1.26"/>
    <n v="6.3"/>
    <x v="294"/>
    <n v="131180"/>
    <n v="140.30000000000001"/>
    <n v="106000"/>
    <n v="25180"/>
    <n v="26.93"/>
    <n v="6678"/>
    <d v="2025-01-13T00:00:00"/>
  </r>
  <r>
    <s v="B01888"/>
    <s v="P048"/>
    <x v="6"/>
    <s v="Partial Loss"/>
    <n v="23"/>
    <n v="19.89"/>
    <n v="3.11"/>
    <n v="13.5"/>
    <x v="417"/>
    <n v="139230"/>
    <n v="148.91"/>
    <n v="116150"/>
    <n v="23080"/>
    <n v="24.68"/>
    <n v="15705.5"/>
    <d v="2025-02-04T00:00:00"/>
  </r>
  <r>
    <s v="B01889"/>
    <s v="P048"/>
    <x v="6"/>
    <s v="Sold Out"/>
    <n v="22"/>
    <n v="22"/>
    <n v="0"/>
    <n v="0"/>
    <x v="188"/>
    <n v="154000"/>
    <n v="164.71"/>
    <n v="111100"/>
    <n v="42900"/>
    <n v="45.88"/>
    <n v="0"/>
    <d v="2025-02-19T00:00:00"/>
  </r>
  <r>
    <s v="B01890"/>
    <s v="P048"/>
    <x v="6"/>
    <s v="Partial Loss"/>
    <n v="22"/>
    <n v="20.68"/>
    <n v="1.32"/>
    <n v="6"/>
    <x v="778"/>
    <n v="144760"/>
    <n v="154.82"/>
    <n v="116600"/>
    <n v="28160"/>
    <n v="30.12"/>
    <n v="6996"/>
    <d v="2025-03-14T00:00:00"/>
  </r>
  <r>
    <s v="B01891"/>
    <s v="P048"/>
    <x v="6"/>
    <s v="Sold Out"/>
    <n v="23"/>
    <n v="23"/>
    <n v="0"/>
    <n v="0"/>
    <x v="239"/>
    <n v="161000"/>
    <n v="172.19"/>
    <n v="116150"/>
    <n v="44850"/>
    <n v="47.97"/>
    <n v="0"/>
    <d v="2025-04-03T00:00:00"/>
  </r>
  <r>
    <s v="B01892"/>
    <s v="P048"/>
    <x v="6"/>
    <s v="Sold Out"/>
    <n v="20"/>
    <n v="20"/>
    <n v="0"/>
    <n v="0"/>
    <x v="585"/>
    <n v="140000"/>
    <n v="149.72999999999999"/>
    <n v="101000"/>
    <n v="39000"/>
    <n v="41.71"/>
    <n v="0"/>
    <d v="2025-04-23T00:00:00"/>
  </r>
  <r>
    <s v="B01893"/>
    <s v="P048"/>
    <x v="6"/>
    <s v="Partial Loss"/>
    <n v="23"/>
    <n v="22.68"/>
    <n v="0.32"/>
    <n v="1.4"/>
    <x v="779"/>
    <n v="158760"/>
    <n v="169.8"/>
    <n v="116150"/>
    <n v="42610"/>
    <n v="45.57"/>
    <n v="1616"/>
    <d v="2025-05-11T00:00:00"/>
  </r>
  <r>
    <s v="B01894"/>
    <s v="P048"/>
    <x v="6"/>
    <s v="Sold Out"/>
    <n v="20"/>
    <n v="20"/>
    <n v="0"/>
    <n v="0"/>
    <x v="69"/>
    <n v="140000"/>
    <n v="149.72999999999999"/>
    <n v="101000"/>
    <n v="39000"/>
    <n v="41.71"/>
    <n v="0"/>
    <d v="2025-05-25T00:00:00"/>
  </r>
  <r>
    <s v="B01895"/>
    <s v="P048"/>
    <x v="6"/>
    <s v="Sold Out"/>
    <n v="21"/>
    <n v="21"/>
    <n v="0"/>
    <n v="0"/>
    <x v="194"/>
    <n v="147000"/>
    <n v="157.22"/>
    <n v="106050"/>
    <n v="40950"/>
    <n v="43.8"/>
    <n v="0"/>
    <d v="2025-06-12T00:00:00"/>
  </r>
  <r>
    <s v="B01896"/>
    <s v="P049"/>
    <x v="6"/>
    <s v="Partial Loss"/>
    <n v="23"/>
    <n v="21.71"/>
    <n v="1.29"/>
    <n v="5.6"/>
    <x v="387"/>
    <n v="217100"/>
    <n v="232.19"/>
    <n v="162150"/>
    <n v="54950"/>
    <n v="58.77"/>
    <n v="9094.5"/>
    <d v="2023-07-10T00:00:00"/>
  </r>
  <r>
    <s v="B01897"/>
    <s v="P049"/>
    <x v="6"/>
    <s v="Sold Out"/>
    <n v="18"/>
    <n v="18"/>
    <n v="0"/>
    <n v="0"/>
    <x v="91"/>
    <n v="180000"/>
    <n v="192.51"/>
    <n v="126900"/>
    <n v="53100"/>
    <n v="56.79"/>
    <n v="0"/>
    <d v="2023-07-26T00:00:00"/>
  </r>
  <r>
    <s v="B01898"/>
    <s v="P049"/>
    <x v="6"/>
    <s v="Partial Loss"/>
    <n v="21"/>
    <n v="19.68"/>
    <n v="1.32"/>
    <n v="6.3"/>
    <x v="762"/>
    <n v="196800"/>
    <n v="210.48"/>
    <n v="148050"/>
    <n v="48750"/>
    <n v="52.14"/>
    <n v="9306"/>
    <d v="2023-08-12T00:00:00"/>
  </r>
  <r>
    <s v="B01899"/>
    <s v="P049"/>
    <x v="6"/>
    <s v="Sold Out"/>
    <n v="27"/>
    <n v="27"/>
    <n v="0"/>
    <n v="0"/>
    <x v="421"/>
    <n v="270000"/>
    <n v="288.77"/>
    <n v="190350"/>
    <n v="79650"/>
    <n v="85.19"/>
    <n v="0"/>
    <d v="2023-09-07T00:00:00"/>
  </r>
  <r>
    <s v="B01900"/>
    <s v="P049"/>
    <x v="6"/>
    <s v="Sold Out"/>
    <n v="21"/>
    <n v="21"/>
    <n v="0"/>
    <n v="0"/>
    <x v="568"/>
    <n v="210000"/>
    <n v="224.6"/>
    <n v="148050"/>
    <n v="61950"/>
    <n v="66.260000000000005"/>
    <n v="0"/>
    <d v="2023-10-03T00:00:00"/>
  </r>
  <r>
    <s v="B01901"/>
    <s v="P049"/>
    <x v="6"/>
    <s v="Partial Loss"/>
    <n v="19"/>
    <n v="16.989999999999998"/>
    <n v="2.0099999999999998"/>
    <n v="10.6"/>
    <x v="31"/>
    <n v="169900"/>
    <n v="181.71"/>
    <n v="133950"/>
    <n v="35950"/>
    <n v="38.450000000000003"/>
    <n v="14170.499999999998"/>
    <d v="2023-10-28T00:00:00"/>
  </r>
  <r>
    <s v="B01902"/>
    <s v="P049"/>
    <x v="6"/>
    <s v="Sold Out"/>
    <n v="20"/>
    <n v="20"/>
    <n v="0"/>
    <n v="0"/>
    <x v="479"/>
    <n v="200000"/>
    <n v="213.9"/>
    <n v="141000"/>
    <n v="59000"/>
    <n v="63.1"/>
    <n v="0"/>
    <d v="2023-11-14T00:00:00"/>
  </r>
  <r>
    <s v="B01903"/>
    <s v="P049"/>
    <x v="6"/>
    <s v="Partial Loss"/>
    <n v="22"/>
    <n v="20.239999999999998"/>
    <n v="1.76"/>
    <n v="8"/>
    <x v="99"/>
    <n v="202400"/>
    <n v="216.47"/>
    <n v="155100"/>
    <n v="47300"/>
    <n v="50.59"/>
    <n v="12408"/>
    <d v="2023-11-30T00:00:00"/>
  </r>
  <r>
    <s v="B01904"/>
    <s v="P049"/>
    <x v="6"/>
    <s v="Partial Loss"/>
    <n v="25"/>
    <n v="22.48"/>
    <n v="2.5299999999999998"/>
    <n v="10.1"/>
    <x v="167"/>
    <n v="224800"/>
    <n v="240.43"/>
    <n v="176250"/>
    <n v="48550"/>
    <n v="51.93"/>
    <n v="17836.5"/>
    <d v="2023-12-20T00:00:00"/>
  </r>
  <r>
    <s v="B01905"/>
    <s v="P049"/>
    <x v="6"/>
    <s v="Partial Loss"/>
    <n v="22"/>
    <n v="19.29"/>
    <n v="2.71"/>
    <n v="12.3"/>
    <x v="168"/>
    <n v="192900"/>
    <n v="206.31"/>
    <n v="155100"/>
    <n v="37800"/>
    <n v="40.43"/>
    <n v="19105.5"/>
    <d v="2024-01-14T00:00:00"/>
  </r>
  <r>
    <s v="B01906"/>
    <s v="P049"/>
    <x v="6"/>
    <s v="Partial Loss"/>
    <n v="20"/>
    <n v="17.98"/>
    <n v="2.02"/>
    <n v="10.1"/>
    <x v="516"/>
    <n v="179800"/>
    <n v="192.3"/>
    <n v="141000"/>
    <n v="38800"/>
    <n v="41.5"/>
    <n v="14241"/>
    <d v="2024-01-29T00:00:00"/>
  </r>
  <r>
    <s v="B01907"/>
    <s v="P049"/>
    <x v="6"/>
    <s v="Sold Out"/>
    <n v="20"/>
    <n v="20"/>
    <n v="0"/>
    <n v="0"/>
    <x v="675"/>
    <n v="200000"/>
    <n v="213.9"/>
    <n v="141000"/>
    <n v="59000"/>
    <n v="63.1"/>
    <n v="0"/>
    <d v="2024-02-17T00:00:00"/>
  </r>
  <r>
    <s v="B01908"/>
    <s v="P049"/>
    <x v="6"/>
    <s v="Sold Out"/>
    <n v="19"/>
    <n v="19"/>
    <n v="0"/>
    <n v="0"/>
    <x v="359"/>
    <n v="190000"/>
    <n v="203.21"/>
    <n v="133950"/>
    <n v="56050"/>
    <n v="59.95"/>
    <n v="0"/>
    <d v="2024-03-11T00:00:00"/>
  </r>
  <r>
    <s v="B01909"/>
    <s v="P049"/>
    <x v="6"/>
    <s v="Sold Out"/>
    <n v="17"/>
    <n v="17"/>
    <n v="0"/>
    <n v="0"/>
    <x v="95"/>
    <n v="170000"/>
    <n v="181.82"/>
    <n v="119850"/>
    <n v="50150"/>
    <n v="53.64"/>
    <n v="0"/>
    <d v="2024-04-03T00:00:00"/>
  </r>
  <r>
    <s v="B01910"/>
    <s v="P049"/>
    <x v="6"/>
    <s v="Sold Out"/>
    <n v="19"/>
    <n v="19"/>
    <n v="0"/>
    <n v="0"/>
    <x v="317"/>
    <n v="190000"/>
    <n v="203.21"/>
    <n v="133950"/>
    <n v="56050"/>
    <n v="59.95"/>
    <n v="0"/>
    <d v="2024-04-22T00:00:00"/>
  </r>
  <r>
    <s v="B01911"/>
    <s v="P049"/>
    <x v="6"/>
    <s v="Sold Out"/>
    <n v="18"/>
    <n v="18"/>
    <n v="0"/>
    <n v="0"/>
    <x v="361"/>
    <n v="180000"/>
    <n v="192.51"/>
    <n v="126900"/>
    <n v="53100"/>
    <n v="56.79"/>
    <n v="0"/>
    <d v="2024-05-13T00:00:00"/>
  </r>
  <r>
    <s v="B01912"/>
    <s v="P049"/>
    <x v="6"/>
    <s v="Sold Out"/>
    <n v="22"/>
    <n v="22"/>
    <n v="0"/>
    <n v="0"/>
    <x v="169"/>
    <n v="220000"/>
    <n v="235.29"/>
    <n v="162800"/>
    <n v="57200"/>
    <n v="61.18"/>
    <n v="0"/>
    <d v="2024-06-08T00:00:00"/>
  </r>
  <r>
    <s v="B01913"/>
    <s v="P049"/>
    <x v="6"/>
    <s v="Sold Out"/>
    <n v="19"/>
    <n v="19"/>
    <n v="0"/>
    <n v="0"/>
    <x v="35"/>
    <n v="190000"/>
    <n v="203.21"/>
    <n v="133950"/>
    <n v="56050"/>
    <n v="59.95"/>
    <n v="0"/>
    <d v="2024-06-26T00:00:00"/>
  </r>
  <r>
    <s v="B01914"/>
    <s v="P049"/>
    <x v="6"/>
    <s v="Sold Out"/>
    <n v="20"/>
    <n v="20"/>
    <n v="0"/>
    <n v="0"/>
    <x v="575"/>
    <n v="200000"/>
    <n v="213.9"/>
    <n v="141000"/>
    <n v="59000"/>
    <n v="63.1"/>
    <n v="0"/>
    <d v="2024-07-15T00:00:00"/>
  </r>
  <r>
    <s v="B01915"/>
    <s v="P049"/>
    <x v="6"/>
    <s v="Partial Loss"/>
    <n v="21"/>
    <n v="19.36"/>
    <n v="1.64"/>
    <n v="7.8"/>
    <x v="182"/>
    <n v="193600"/>
    <n v="207.06"/>
    <n v="155400"/>
    <n v="38200"/>
    <n v="40.86"/>
    <n v="12136"/>
    <d v="2024-08-04T00:00:00"/>
  </r>
  <r>
    <s v="B01916"/>
    <s v="P049"/>
    <x v="6"/>
    <s v="Sold Out"/>
    <n v="22"/>
    <n v="22"/>
    <n v="0"/>
    <n v="0"/>
    <x v="780"/>
    <n v="220000"/>
    <n v="235.29"/>
    <n v="155100"/>
    <n v="64900"/>
    <n v="69.41"/>
    <n v="0"/>
    <d v="2024-08-23T00:00:00"/>
  </r>
  <r>
    <s v="B01917"/>
    <s v="P049"/>
    <x v="6"/>
    <s v="Sold Out"/>
    <n v="24"/>
    <n v="24"/>
    <n v="0"/>
    <n v="0"/>
    <x v="175"/>
    <n v="240000"/>
    <n v="256.68"/>
    <n v="169200"/>
    <n v="70800"/>
    <n v="75.72"/>
    <n v="0"/>
    <d v="2024-09-12T00:00:00"/>
  </r>
  <r>
    <s v="B01918"/>
    <s v="P049"/>
    <x v="6"/>
    <s v="Sold Out"/>
    <n v="19"/>
    <n v="19"/>
    <n v="0"/>
    <n v="0"/>
    <x v="237"/>
    <n v="190000"/>
    <n v="203.21"/>
    <n v="133950"/>
    <n v="56050"/>
    <n v="59.95"/>
    <n v="0"/>
    <d v="2024-10-02T00:00:00"/>
  </r>
  <r>
    <s v="B01919"/>
    <s v="P049"/>
    <x v="6"/>
    <s v="Partial Loss"/>
    <n v="21"/>
    <n v="20.03"/>
    <n v="0.97"/>
    <n v="4.5999999999999996"/>
    <x v="337"/>
    <n v="200300"/>
    <n v="214.22"/>
    <n v="155400"/>
    <n v="44900"/>
    <n v="48.02"/>
    <n v="7178"/>
    <d v="2024-10-18T00:00:00"/>
  </r>
  <r>
    <s v="B01920"/>
    <s v="P049"/>
    <x v="6"/>
    <s v="Partial Loss"/>
    <n v="18"/>
    <n v="16.399999999999999"/>
    <n v="1.6"/>
    <n v="8.9"/>
    <x v="415"/>
    <n v="164000"/>
    <n v="175.4"/>
    <n v="126900"/>
    <n v="37100"/>
    <n v="39.68"/>
    <n v="11280"/>
    <d v="2024-11-07T00:00:00"/>
  </r>
  <r>
    <s v="B01921"/>
    <s v="P049"/>
    <x v="6"/>
    <s v="Partial Loss"/>
    <n v="25"/>
    <n v="23.1"/>
    <n v="1.9"/>
    <n v="7.6"/>
    <x v="495"/>
    <n v="231000"/>
    <n v="247.06"/>
    <n v="176250"/>
    <n v="54750"/>
    <n v="58.56"/>
    <n v="13395"/>
    <d v="2024-12-04T00:00:00"/>
  </r>
  <r>
    <s v="B01922"/>
    <s v="P049"/>
    <x v="6"/>
    <s v="Sold Out"/>
    <n v="28"/>
    <n v="28"/>
    <n v="0"/>
    <n v="0"/>
    <x v="522"/>
    <n v="280000"/>
    <n v="299.47000000000003"/>
    <n v="197400"/>
    <n v="82600"/>
    <n v="88.34"/>
    <n v="0"/>
    <d v="2024-12-22T00:00:00"/>
  </r>
  <r>
    <s v="B01923"/>
    <s v="P049"/>
    <x v="6"/>
    <s v="Partial Loss"/>
    <n v="23"/>
    <n v="21.05"/>
    <n v="1.96"/>
    <n v="8.5"/>
    <x v="379"/>
    <n v="210500"/>
    <n v="225.13"/>
    <n v="162150"/>
    <n v="48350"/>
    <n v="51.71"/>
    <n v="13818"/>
    <d v="2025-01-19T00:00:00"/>
  </r>
  <r>
    <s v="B01924"/>
    <s v="P049"/>
    <x v="6"/>
    <s v="Sold Out"/>
    <n v="22"/>
    <n v="22"/>
    <n v="0"/>
    <n v="0"/>
    <x v="490"/>
    <n v="220000"/>
    <n v="235.29"/>
    <n v="162800"/>
    <n v="57200"/>
    <n v="61.18"/>
    <n v="0"/>
    <d v="2025-02-11T00:00:00"/>
  </r>
  <r>
    <s v="B01925"/>
    <s v="P049"/>
    <x v="6"/>
    <s v="Partial Loss"/>
    <n v="24"/>
    <n v="21.91"/>
    <n v="2.09"/>
    <n v="8.6999999999999993"/>
    <x v="668"/>
    <n v="219100"/>
    <n v="234.33"/>
    <n v="177600"/>
    <n v="41500"/>
    <n v="44.39"/>
    <n v="15465.999999999998"/>
    <d v="2025-03-04T00:00:00"/>
  </r>
  <r>
    <s v="B01926"/>
    <s v="P049"/>
    <x v="6"/>
    <s v="Sold Out"/>
    <n v="20"/>
    <n v="20"/>
    <n v="0"/>
    <n v="0"/>
    <x v="525"/>
    <n v="200000"/>
    <n v="213.9"/>
    <n v="141000"/>
    <n v="59000"/>
    <n v="63.1"/>
    <n v="0"/>
    <d v="2025-03-22T00:00:00"/>
  </r>
  <r>
    <s v="B01927"/>
    <s v="P049"/>
    <x v="6"/>
    <s v="Partial Loss"/>
    <n v="23"/>
    <n v="21.62"/>
    <n v="1.38"/>
    <n v="6"/>
    <x v="781"/>
    <n v="216200"/>
    <n v="231.23"/>
    <n v="162150"/>
    <n v="54050"/>
    <n v="57.81"/>
    <n v="9729"/>
    <d v="2025-04-09T00:00:00"/>
  </r>
  <r>
    <s v="B01928"/>
    <s v="P049"/>
    <x v="6"/>
    <s v="Sold Out"/>
    <n v="20"/>
    <n v="20"/>
    <n v="0"/>
    <n v="0"/>
    <x v="561"/>
    <n v="200000"/>
    <n v="213.9"/>
    <n v="141000"/>
    <n v="59000"/>
    <n v="63.1"/>
    <n v="0"/>
    <d v="2025-05-03T00:00:00"/>
  </r>
  <r>
    <s v="B01929"/>
    <s v="P049"/>
    <x v="6"/>
    <s v="Partial Loss"/>
    <n v="25"/>
    <n v="23.8"/>
    <n v="1.2"/>
    <n v="4.8"/>
    <x v="782"/>
    <n v="238000"/>
    <n v="254.55"/>
    <n v="176250"/>
    <n v="61750"/>
    <n v="66.040000000000006"/>
    <n v="8460"/>
    <d v="2025-05-25T00:00:00"/>
  </r>
  <r>
    <s v="B01930"/>
    <s v="P049"/>
    <x v="6"/>
    <s v="Partial Loss"/>
    <n v="23"/>
    <n v="22.17"/>
    <n v="0.83"/>
    <n v="3.6"/>
    <x v="753"/>
    <n v="221700"/>
    <n v="237.11"/>
    <n v="162150"/>
    <n v="59550"/>
    <n v="63.69"/>
    <n v="5851.5"/>
    <d v="2025-06-16T00:00:00"/>
  </r>
  <r>
    <s v="B01931"/>
    <s v="P050"/>
    <x v="6"/>
    <s v="Sold Out"/>
    <n v="20"/>
    <n v="20"/>
    <n v="0"/>
    <n v="0"/>
    <x v="297"/>
    <n v="180000"/>
    <n v="192.51"/>
    <n v="129000"/>
    <n v="51000"/>
    <n v="54.55"/>
    <n v="0"/>
    <d v="2023-07-11T00:00:00"/>
  </r>
  <r>
    <s v="B01932"/>
    <s v="P050"/>
    <x v="6"/>
    <s v="Sold Out"/>
    <n v="20"/>
    <n v="20"/>
    <n v="0"/>
    <n v="0"/>
    <x v="681"/>
    <n v="180000"/>
    <n v="192.51"/>
    <n v="129000"/>
    <n v="51000"/>
    <n v="54.55"/>
    <n v="0"/>
    <d v="2023-07-23T00:00:00"/>
  </r>
  <r>
    <s v="B01933"/>
    <s v="P050"/>
    <x v="6"/>
    <s v="Partial Loss"/>
    <n v="17"/>
    <n v="16.03"/>
    <n v="0.97"/>
    <n v="5.7"/>
    <x v="388"/>
    <n v="144270"/>
    <n v="154.30000000000001"/>
    <n v="109650"/>
    <n v="34620"/>
    <n v="37.03"/>
    <n v="6256.5"/>
    <d v="2023-08-11T00:00:00"/>
  </r>
  <r>
    <s v="B01934"/>
    <s v="P050"/>
    <x v="6"/>
    <s v="Sold Out"/>
    <n v="20"/>
    <n v="20"/>
    <n v="0"/>
    <n v="0"/>
    <x v="83"/>
    <n v="180000"/>
    <n v="192.51"/>
    <n v="129000"/>
    <n v="51000"/>
    <n v="54.55"/>
    <n v="0"/>
    <d v="2023-08-27T00:00:00"/>
  </r>
  <r>
    <s v="B01935"/>
    <s v="P050"/>
    <x v="6"/>
    <s v="Sold Out"/>
    <n v="22"/>
    <n v="22"/>
    <n v="0"/>
    <n v="0"/>
    <x v="5"/>
    <n v="198000"/>
    <n v="211.76"/>
    <n v="141900"/>
    <n v="56100"/>
    <n v="60"/>
    <n v="0"/>
    <d v="2023-09-18T00:00:00"/>
  </r>
  <r>
    <s v="B01936"/>
    <s v="P050"/>
    <x v="6"/>
    <s v="Partial Loss"/>
    <n v="18"/>
    <n v="16.78"/>
    <n v="1.22"/>
    <n v="6.8"/>
    <x v="783"/>
    <n v="151020"/>
    <n v="161.52000000000001"/>
    <n v="119700"/>
    <n v="31320"/>
    <n v="33.5"/>
    <n v="8113"/>
    <d v="2023-10-06T00:00:00"/>
  </r>
  <r>
    <s v="B01937"/>
    <s v="P050"/>
    <x v="6"/>
    <s v="Sold Out"/>
    <n v="21"/>
    <n v="21"/>
    <n v="0"/>
    <n v="0"/>
    <x v="353"/>
    <n v="189000"/>
    <n v="202.14"/>
    <n v="135450"/>
    <n v="53550"/>
    <n v="57.27"/>
    <n v="0"/>
    <d v="2023-10-26T00:00:00"/>
  </r>
  <r>
    <s v="B01938"/>
    <s v="P050"/>
    <x v="6"/>
    <s v="Partial Loss"/>
    <n v="18"/>
    <n v="17.55"/>
    <n v="0.45"/>
    <n v="2.5"/>
    <x v="784"/>
    <n v="157950"/>
    <n v="168.93"/>
    <n v="116100"/>
    <n v="41850"/>
    <n v="44.76"/>
    <n v="2902.5"/>
    <d v="2023-11-19T00:00:00"/>
  </r>
  <r>
    <s v="B01939"/>
    <s v="P050"/>
    <x v="6"/>
    <s v="Partial Loss"/>
    <n v="26"/>
    <n v="23.61"/>
    <n v="2.39"/>
    <n v="9.1999999999999993"/>
    <x v="32"/>
    <n v="212490"/>
    <n v="227.26"/>
    <n v="172900"/>
    <n v="39590"/>
    <n v="42.34"/>
    <n v="15893.5"/>
    <d v="2023-12-16T00:00:00"/>
  </r>
  <r>
    <s v="B01940"/>
    <s v="P050"/>
    <x v="6"/>
    <s v="Sold Out"/>
    <n v="18"/>
    <n v="18"/>
    <n v="0"/>
    <n v="0"/>
    <x v="157"/>
    <n v="162000"/>
    <n v="173.26"/>
    <n v="116100"/>
    <n v="45900"/>
    <n v="49.09"/>
    <n v="0"/>
    <d v="2024-01-02T00:00:00"/>
  </r>
  <r>
    <s v="B01941"/>
    <s v="P050"/>
    <x v="6"/>
    <s v="Partial Loss"/>
    <n v="20"/>
    <n v="19.38"/>
    <n v="0.62"/>
    <n v="3.1"/>
    <x v="171"/>
    <n v="174420"/>
    <n v="186.55"/>
    <n v="129000"/>
    <n v="45420"/>
    <n v="48.58"/>
    <n v="3999"/>
    <d v="2024-01-19T00:00:00"/>
  </r>
  <r>
    <s v="B01942"/>
    <s v="P050"/>
    <x v="6"/>
    <s v="Sold Out"/>
    <n v="20"/>
    <n v="20"/>
    <n v="0"/>
    <n v="0"/>
    <x v="595"/>
    <n v="180000"/>
    <n v="192.51"/>
    <n v="133000"/>
    <n v="47000"/>
    <n v="50.27"/>
    <n v="0"/>
    <d v="2024-02-08T00:00:00"/>
  </r>
  <r>
    <s v="B01943"/>
    <s v="P050"/>
    <x v="6"/>
    <s v="Sold Out"/>
    <n v="22"/>
    <n v="22"/>
    <n v="0"/>
    <n v="0"/>
    <x v="161"/>
    <n v="198000"/>
    <n v="211.76"/>
    <n v="146300"/>
    <n v="51700"/>
    <n v="55.29"/>
    <n v="0"/>
    <d v="2024-02-26T00:00:00"/>
  </r>
  <r>
    <s v="B01944"/>
    <s v="P050"/>
    <x v="6"/>
    <s v="Partial Loss"/>
    <n v="23"/>
    <n v="21.02"/>
    <n v="1.98"/>
    <n v="8.6"/>
    <x v="604"/>
    <n v="189180"/>
    <n v="202.33"/>
    <n v="148350"/>
    <n v="40830"/>
    <n v="43.67"/>
    <n v="12771"/>
    <d v="2024-03-16T00:00:00"/>
  </r>
  <r>
    <s v="B01945"/>
    <s v="P050"/>
    <x v="6"/>
    <s v="Partial Loss"/>
    <n v="18"/>
    <n v="16.600000000000001"/>
    <n v="1.4"/>
    <n v="7.8"/>
    <x v="175"/>
    <n v="149400"/>
    <n v="159.79"/>
    <n v="116100"/>
    <n v="33300"/>
    <n v="35.61"/>
    <n v="9030"/>
    <d v="2024-03-31T00:00:00"/>
  </r>
  <r>
    <s v="B01946"/>
    <s v="P050"/>
    <x v="6"/>
    <s v="Partial Loss"/>
    <n v="21"/>
    <n v="19.8"/>
    <n v="1.2"/>
    <n v="5.7"/>
    <x v="400"/>
    <n v="178200"/>
    <n v="190.59"/>
    <n v="135450"/>
    <n v="42750"/>
    <n v="45.72"/>
    <n v="7740"/>
    <d v="2024-04-17T00:00:00"/>
  </r>
  <r>
    <s v="B01947"/>
    <s v="P050"/>
    <x v="6"/>
    <s v="Partial Loss"/>
    <n v="20"/>
    <n v="19.7"/>
    <n v="0.3"/>
    <n v="1.5"/>
    <x v="117"/>
    <n v="177300"/>
    <n v="189.63"/>
    <n v="133000"/>
    <n v="44300"/>
    <n v="47.38"/>
    <n v="1995"/>
    <d v="2024-05-12T00:00:00"/>
  </r>
  <r>
    <s v="B01948"/>
    <s v="P050"/>
    <x v="6"/>
    <s v="Sold Out"/>
    <n v="20"/>
    <n v="20"/>
    <n v="0"/>
    <n v="0"/>
    <x v="547"/>
    <n v="180000"/>
    <n v="192.51"/>
    <n v="133000"/>
    <n v="47000"/>
    <n v="50.27"/>
    <n v="0"/>
    <d v="2024-05-31T00:00:00"/>
  </r>
  <r>
    <s v="B01949"/>
    <s v="P050"/>
    <x v="6"/>
    <s v="Partial Loss"/>
    <n v="18"/>
    <n v="17.75"/>
    <n v="0.25"/>
    <n v="1.4"/>
    <x v="772"/>
    <n v="159750"/>
    <n v="170.86"/>
    <n v="116100"/>
    <n v="43650"/>
    <n v="46.68"/>
    <n v="1612.5"/>
    <d v="2024-06-17T00:00:00"/>
  </r>
  <r>
    <s v="B01950"/>
    <s v="P050"/>
    <x v="6"/>
    <s v="Partial Loss"/>
    <n v="20"/>
    <n v="19.12"/>
    <n v="0.88"/>
    <n v="4.4000000000000004"/>
    <x v="522"/>
    <n v="172080"/>
    <n v="184.04"/>
    <n v="129000"/>
    <n v="43080"/>
    <n v="46.07"/>
    <n v="5676"/>
    <d v="2024-07-14T00:00:00"/>
  </r>
  <r>
    <s v="B01951"/>
    <s v="P050"/>
    <x v="6"/>
    <s v="Sold Out"/>
    <n v="20"/>
    <n v="20"/>
    <n v="0"/>
    <n v="0"/>
    <x v="218"/>
    <n v="180000"/>
    <n v="192.51"/>
    <n v="129000"/>
    <n v="51000"/>
    <n v="54.55"/>
    <n v="0"/>
    <d v="2024-08-01T00:00:00"/>
  </r>
  <r>
    <s v="B01952"/>
    <s v="P050"/>
    <x v="6"/>
    <s v="Sold Out"/>
    <n v="21"/>
    <n v="21"/>
    <n v="0"/>
    <n v="0"/>
    <x v="785"/>
    <n v="189000"/>
    <n v="202.14"/>
    <n v="135450"/>
    <n v="53550"/>
    <n v="57.27"/>
    <n v="0"/>
    <d v="2024-08-17T00:00:00"/>
  </r>
  <r>
    <s v="B01953"/>
    <s v="P050"/>
    <x v="6"/>
    <s v="Sold Out"/>
    <n v="25"/>
    <n v="25"/>
    <n v="0"/>
    <n v="0"/>
    <x v="328"/>
    <n v="225000"/>
    <n v="240.64"/>
    <n v="166250"/>
    <n v="58750"/>
    <n v="62.83"/>
    <n v="0"/>
    <d v="2024-09-09T00:00:00"/>
  </r>
  <r>
    <s v="B01954"/>
    <s v="P050"/>
    <x v="6"/>
    <s v="Partial Loss"/>
    <n v="21"/>
    <n v="20.18"/>
    <n v="0.82"/>
    <n v="3.9"/>
    <x v="411"/>
    <n v="181620"/>
    <n v="194.25"/>
    <n v="139650"/>
    <n v="41970"/>
    <n v="44.89"/>
    <n v="5453"/>
    <d v="2024-10-05T00:00:00"/>
  </r>
  <r>
    <s v="B01955"/>
    <s v="P050"/>
    <x v="6"/>
    <s v="Partial Loss"/>
    <n v="20"/>
    <n v="19.420000000000002"/>
    <n v="0.57999999999999996"/>
    <n v="2.9"/>
    <x v="135"/>
    <n v="174780"/>
    <n v="186.93"/>
    <n v="129000"/>
    <n v="45780"/>
    <n v="48.96"/>
    <n v="3740.9999999999995"/>
    <d v="2024-10-28T00:00:00"/>
  </r>
  <r>
    <s v="B01956"/>
    <s v="P050"/>
    <x v="6"/>
    <s v="Sold Out"/>
    <n v="18"/>
    <n v="18"/>
    <n v="0"/>
    <n v="0"/>
    <x v="371"/>
    <n v="162000"/>
    <n v="173.26"/>
    <n v="116100"/>
    <n v="45900"/>
    <n v="49.09"/>
    <n v="0"/>
    <d v="2024-11-22T00:00:00"/>
  </r>
  <r>
    <s v="B01957"/>
    <s v="P050"/>
    <x v="6"/>
    <s v="Partial Loss"/>
    <n v="27"/>
    <n v="24.95"/>
    <n v="2.0499999999999998"/>
    <n v="7.6"/>
    <x v="616"/>
    <n v="224550"/>
    <n v="240.16"/>
    <n v="174150"/>
    <n v="50400"/>
    <n v="53.9"/>
    <n v="13222.499999999998"/>
    <d v="2024-12-08T00:00:00"/>
  </r>
  <r>
    <s v="B01958"/>
    <s v="P050"/>
    <x v="6"/>
    <s v="Sold Out"/>
    <n v="24"/>
    <n v="24"/>
    <n v="0"/>
    <n v="0"/>
    <x v="227"/>
    <n v="216000"/>
    <n v="231.02"/>
    <n v="159600"/>
    <n v="56400"/>
    <n v="60.32"/>
    <n v="0"/>
    <d v="2024-12-28T00:00:00"/>
  </r>
  <r>
    <s v="B01959"/>
    <s v="P050"/>
    <x v="6"/>
    <s v="Partial Loss"/>
    <n v="22"/>
    <n v="19.649999999999999"/>
    <n v="2.35"/>
    <n v="10.7"/>
    <x v="196"/>
    <n v="176850"/>
    <n v="189.14"/>
    <n v="146300"/>
    <n v="30550"/>
    <n v="32.67"/>
    <n v="15627.5"/>
    <d v="2025-01-14T00:00:00"/>
  </r>
  <r>
    <s v="B01960"/>
    <s v="P050"/>
    <x v="6"/>
    <s v="Partial Loss"/>
    <n v="21"/>
    <n v="19.11"/>
    <n v="1.89"/>
    <n v="9"/>
    <x v="663"/>
    <n v="171990"/>
    <n v="183.95"/>
    <n v="135450"/>
    <n v="36540"/>
    <n v="39.08"/>
    <n v="12190.5"/>
    <d v="2025-02-02T00:00:00"/>
  </r>
  <r>
    <s v="B01961"/>
    <s v="P050"/>
    <x v="6"/>
    <s v="Sold Out"/>
    <n v="23"/>
    <n v="23"/>
    <n v="0"/>
    <n v="0"/>
    <x v="235"/>
    <n v="207000"/>
    <n v="221.39"/>
    <n v="152950"/>
    <n v="54050"/>
    <n v="57.81"/>
    <n v="0"/>
    <d v="2025-02-22T00:00:00"/>
  </r>
  <r>
    <s v="B01962"/>
    <s v="P050"/>
    <x v="6"/>
    <s v="Sold Out"/>
    <n v="24"/>
    <n v="24"/>
    <n v="0"/>
    <n v="0"/>
    <x v="288"/>
    <n v="216000"/>
    <n v="231.02"/>
    <n v="154800"/>
    <n v="61200"/>
    <n v="65.45"/>
    <n v="0"/>
    <d v="2025-03-08T00:00:00"/>
  </r>
  <r>
    <s v="B01963"/>
    <s v="P050"/>
    <x v="6"/>
    <s v="Sold Out"/>
    <n v="21"/>
    <n v="21"/>
    <n v="0"/>
    <n v="0"/>
    <x v="436"/>
    <n v="189000"/>
    <n v="202.14"/>
    <n v="139650"/>
    <n v="49350"/>
    <n v="52.78"/>
    <n v="0"/>
    <d v="2025-03-25T00:00:00"/>
  </r>
  <r>
    <s v="B01964"/>
    <s v="P050"/>
    <x v="6"/>
    <s v="Sold Out"/>
    <n v="19"/>
    <n v="19"/>
    <n v="0"/>
    <n v="0"/>
    <x v="786"/>
    <n v="171000"/>
    <n v="182.89"/>
    <n v="122550"/>
    <n v="48450"/>
    <n v="51.82"/>
    <n v="0"/>
    <d v="2025-04-16T00:00:00"/>
  </r>
  <r>
    <s v="B01965"/>
    <s v="P050"/>
    <x v="6"/>
    <s v="Sold Out"/>
    <n v="25"/>
    <n v="25"/>
    <n v="0"/>
    <n v="0"/>
    <x v="787"/>
    <n v="225000"/>
    <n v="240.64"/>
    <n v="166250"/>
    <n v="58750"/>
    <n v="62.83"/>
    <n v="0"/>
    <d v="2025-05-07T00:00:00"/>
  </r>
  <r>
    <s v="B01966"/>
    <s v="P050"/>
    <x v="6"/>
    <s v="Sold Out"/>
    <n v="22"/>
    <n v="22"/>
    <n v="0"/>
    <n v="0"/>
    <x v="193"/>
    <n v="198000"/>
    <n v="211.76"/>
    <n v="141900"/>
    <n v="56100"/>
    <n v="60"/>
    <n v="0"/>
    <d v="2025-05-27T00:00:00"/>
  </r>
  <r>
    <s v="B01967"/>
    <s v="P050"/>
    <x v="6"/>
    <s v="Partial Loss"/>
    <n v="20"/>
    <n v="19.02"/>
    <n v="0.98"/>
    <n v="4.9000000000000004"/>
    <x v="659"/>
    <n v="171180"/>
    <n v="183.08"/>
    <n v="129000"/>
    <n v="42180"/>
    <n v="45.11"/>
    <n v="6321"/>
    <d v="2025-06-18T00:00:00"/>
  </r>
  <r>
    <s v="B01968"/>
    <s v="P051"/>
    <x v="6"/>
    <s v="Sold Out"/>
    <n v="36"/>
    <n v="36"/>
    <n v="0"/>
    <n v="0"/>
    <x v="498"/>
    <n v="396000"/>
    <n v="423.53"/>
    <n v="277200"/>
    <n v="118800"/>
    <n v="127.06"/>
    <n v="0"/>
    <d v="2023-07-20T00:00:00"/>
  </r>
  <r>
    <s v="B01969"/>
    <s v="P051"/>
    <x v="6"/>
    <s v="Sold Out"/>
    <n v="30"/>
    <n v="30"/>
    <n v="0"/>
    <n v="0"/>
    <x v="418"/>
    <n v="330000"/>
    <n v="352.94"/>
    <n v="231000"/>
    <n v="99000"/>
    <n v="105.88"/>
    <n v="0"/>
    <d v="2023-08-07T00:00:00"/>
  </r>
  <r>
    <s v="B01970"/>
    <s v="P051"/>
    <x v="6"/>
    <s v="Sold Out"/>
    <n v="37"/>
    <n v="37"/>
    <n v="0"/>
    <n v="0"/>
    <x v="788"/>
    <n v="407000"/>
    <n v="435.29"/>
    <n v="284900"/>
    <n v="122100"/>
    <n v="130.59"/>
    <n v="0"/>
    <d v="2023-09-01T00:00:00"/>
  </r>
  <r>
    <s v="B01971"/>
    <s v="P051"/>
    <x v="6"/>
    <s v="Partial Loss"/>
    <n v="38"/>
    <n v="35.57"/>
    <n v="2.4300000000000002"/>
    <n v="6.4"/>
    <x v="210"/>
    <n v="391270"/>
    <n v="418.47"/>
    <n v="292600"/>
    <n v="98670"/>
    <n v="105.53"/>
    <n v="18711"/>
    <d v="2023-09-24T00:00:00"/>
  </r>
  <r>
    <s v="B01972"/>
    <s v="P051"/>
    <x v="6"/>
    <s v="Partial Loss"/>
    <n v="13"/>
    <n v="11.49"/>
    <n v="1.51"/>
    <n v="11.6"/>
    <x v="546"/>
    <n v="126390"/>
    <n v="135.18"/>
    <n v="100100"/>
    <n v="26290"/>
    <n v="28.12"/>
    <n v="11627"/>
    <d v="2023-10-14T00:00:00"/>
  </r>
  <r>
    <s v="B01973"/>
    <s v="P051"/>
    <x v="6"/>
    <s v="Partial Loss"/>
    <n v="12"/>
    <n v="10.74"/>
    <n v="1.26"/>
    <n v="10.5"/>
    <x v="162"/>
    <n v="118140"/>
    <n v="126.35"/>
    <n v="92400"/>
    <n v="25740"/>
    <n v="27.53"/>
    <n v="9702"/>
    <d v="2023-10-30T00:00:00"/>
  </r>
  <r>
    <s v="B01974"/>
    <s v="P051"/>
    <x v="6"/>
    <s v="Partial Loss"/>
    <n v="11"/>
    <n v="10"/>
    <n v="1"/>
    <n v="9.1"/>
    <x v="451"/>
    <n v="110000"/>
    <n v="117.65"/>
    <n v="84700"/>
    <n v="25300"/>
    <n v="27.06"/>
    <n v="7700"/>
    <d v="2023-11-15T00:00:00"/>
  </r>
  <r>
    <s v="B01975"/>
    <s v="P051"/>
    <x v="6"/>
    <s v="Partial Loss"/>
    <n v="16"/>
    <n v="15.14"/>
    <n v="0.86"/>
    <n v="5.4"/>
    <x v="100"/>
    <n v="166540"/>
    <n v="178.12"/>
    <n v="123200"/>
    <n v="43340"/>
    <n v="46.35"/>
    <n v="6622"/>
    <d v="2023-12-08T00:00:00"/>
  </r>
  <r>
    <s v="B01976"/>
    <s v="P051"/>
    <x v="6"/>
    <s v="Partial Loss"/>
    <n v="16"/>
    <n v="13.9"/>
    <n v="2.1"/>
    <n v="13.1"/>
    <x v="38"/>
    <n v="152900"/>
    <n v="163.53"/>
    <n v="123200"/>
    <n v="29700"/>
    <n v="31.76"/>
    <n v="16170"/>
    <d v="2023-12-30T00:00:00"/>
  </r>
  <r>
    <s v="B01977"/>
    <s v="P051"/>
    <x v="6"/>
    <s v="Partial Loss"/>
    <n v="11"/>
    <n v="9.2100000000000009"/>
    <n v="1.79"/>
    <n v="16.3"/>
    <x v="626"/>
    <n v="101310"/>
    <n v="108.35"/>
    <n v="84700"/>
    <n v="16610"/>
    <n v="17.760000000000002"/>
    <n v="13783"/>
    <d v="2024-01-22T00:00:00"/>
  </r>
  <r>
    <s v="B01978"/>
    <s v="P051"/>
    <x v="6"/>
    <s v="Partial Loss"/>
    <n v="13"/>
    <n v="11.13"/>
    <n v="1.87"/>
    <n v="14.4"/>
    <x v="220"/>
    <n v="122430"/>
    <n v="130.94"/>
    <n v="100100"/>
    <n v="22330"/>
    <n v="23.88"/>
    <n v="14399"/>
    <d v="2024-02-12T00:00:00"/>
  </r>
  <r>
    <s v="B01979"/>
    <s v="P051"/>
    <x v="6"/>
    <s v="Sold Out"/>
    <n v="13"/>
    <n v="13"/>
    <n v="0"/>
    <n v="0"/>
    <x v="22"/>
    <n v="143000"/>
    <n v="152.94"/>
    <n v="100100"/>
    <n v="42900"/>
    <n v="45.88"/>
    <n v="0"/>
    <d v="2024-02-28T00:00:00"/>
  </r>
  <r>
    <s v="B01980"/>
    <s v="P051"/>
    <x v="6"/>
    <s v="Partial Loss"/>
    <n v="13"/>
    <n v="11.87"/>
    <n v="1.1299999999999999"/>
    <n v="8.6999999999999993"/>
    <x v="577"/>
    <n v="130570"/>
    <n v="139.65"/>
    <n v="100100"/>
    <n v="30470"/>
    <n v="32.590000000000003"/>
    <n v="8701"/>
    <d v="2024-03-17T00:00:00"/>
  </r>
  <r>
    <s v="B01981"/>
    <s v="P051"/>
    <x v="6"/>
    <s v="Sold Out"/>
    <n v="35"/>
    <n v="35"/>
    <n v="0"/>
    <n v="0"/>
    <x v="484"/>
    <n v="385000"/>
    <n v="411.76"/>
    <n v="287000"/>
    <n v="98000"/>
    <n v="104.81"/>
    <n v="0"/>
    <d v="2024-04-02T00:00:00"/>
  </r>
  <r>
    <s v="B01982"/>
    <s v="P051"/>
    <x v="6"/>
    <s v="Partial Loss"/>
    <n v="30"/>
    <n v="29.31"/>
    <n v="0.69"/>
    <n v="2.2999999999999998"/>
    <x v="225"/>
    <n v="322410"/>
    <n v="344.82"/>
    <n v="231000"/>
    <n v="91410"/>
    <n v="97.76"/>
    <n v="5313"/>
    <d v="2024-04-21T00:00:00"/>
  </r>
  <r>
    <s v="B01983"/>
    <s v="P051"/>
    <x v="6"/>
    <s v="Sold Out"/>
    <n v="28"/>
    <n v="28"/>
    <n v="0"/>
    <n v="0"/>
    <x v="653"/>
    <n v="308000"/>
    <n v="329.41"/>
    <n v="215600"/>
    <n v="92400"/>
    <n v="98.82"/>
    <n v="0"/>
    <d v="2024-05-17T00:00:00"/>
  </r>
  <r>
    <s v="B01984"/>
    <s v="P051"/>
    <x v="6"/>
    <s v="Partial Loss"/>
    <n v="31"/>
    <n v="28.74"/>
    <n v="2.2599999999999998"/>
    <n v="7.3"/>
    <x v="556"/>
    <n v="316140"/>
    <n v="338.12"/>
    <n v="238700"/>
    <n v="77440"/>
    <n v="82.82"/>
    <n v="17402"/>
    <d v="2024-06-05T00:00:00"/>
  </r>
  <r>
    <s v="B01985"/>
    <s v="P051"/>
    <x v="6"/>
    <s v="Sold Out"/>
    <n v="27"/>
    <n v="27"/>
    <n v="0"/>
    <n v="0"/>
    <x v="771"/>
    <n v="297000"/>
    <n v="317.64999999999998"/>
    <n v="207900"/>
    <n v="89100"/>
    <n v="95.29"/>
    <n v="0"/>
    <d v="2024-06-25T00:00:00"/>
  </r>
  <r>
    <s v="B01986"/>
    <s v="P051"/>
    <x v="6"/>
    <s v="Partial Loss"/>
    <n v="28"/>
    <n v="27.61"/>
    <n v="0.39"/>
    <n v="1.4"/>
    <x v="522"/>
    <n v="303710"/>
    <n v="324.82"/>
    <n v="215600"/>
    <n v="88110"/>
    <n v="94.24"/>
    <n v="3003"/>
    <d v="2024-07-14T00:00:00"/>
  </r>
  <r>
    <s v="B01987"/>
    <s v="P051"/>
    <x v="6"/>
    <s v="Sold Out"/>
    <n v="31"/>
    <n v="31"/>
    <n v="0"/>
    <n v="0"/>
    <x v="40"/>
    <n v="341000"/>
    <n v="364.71"/>
    <n v="238700"/>
    <n v="102300"/>
    <n v="109.41"/>
    <n v="0"/>
    <d v="2024-08-05T00:00:00"/>
  </r>
  <r>
    <s v="B01988"/>
    <s v="P051"/>
    <x v="6"/>
    <s v="Sold Out"/>
    <n v="35"/>
    <n v="35"/>
    <n v="0"/>
    <n v="0"/>
    <x v="366"/>
    <n v="385000"/>
    <n v="411.76"/>
    <n v="269500"/>
    <n v="115500"/>
    <n v="123.53"/>
    <n v="0"/>
    <d v="2024-08-28T00:00:00"/>
  </r>
  <r>
    <s v="B01989"/>
    <s v="P051"/>
    <x v="6"/>
    <s v="Sold Out"/>
    <n v="45"/>
    <n v="45"/>
    <n v="0"/>
    <n v="0"/>
    <x v="789"/>
    <n v="495000"/>
    <n v="529.41"/>
    <n v="369000"/>
    <n v="126000"/>
    <n v="134.76"/>
    <n v="0"/>
    <d v="2024-09-20T00:00:00"/>
  </r>
  <r>
    <s v="B01990"/>
    <s v="P051"/>
    <x v="6"/>
    <s v="Sold Out"/>
    <n v="13"/>
    <n v="13"/>
    <n v="0"/>
    <n v="0"/>
    <x v="113"/>
    <n v="143000"/>
    <n v="152.94"/>
    <n v="100100"/>
    <n v="42900"/>
    <n v="45.88"/>
    <n v="0"/>
    <d v="2024-10-13T00:00:00"/>
  </r>
  <r>
    <s v="B01991"/>
    <s v="P051"/>
    <x v="6"/>
    <s v="Partial Loss"/>
    <n v="12"/>
    <n v="10.97"/>
    <n v="1.03"/>
    <n v="8.6"/>
    <x v="377"/>
    <n v="120670"/>
    <n v="129.06"/>
    <n v="98400"/>
    <n v="22270"/>
    <n v="23.82"/>
    <n v="8446"/>
    <d v="2024-11-09T00:00:00"/>
  </r>
  <r>
    <s v="B01992"/>
    <s v="P051"/>
    <x v="6"/>
    <s v="Partial Loss"/>
    <n v="14"/>
    <n v="12.67"/>
    <n v="1.33"/>
    <n v="9.5"/>
    <x v="790"/>
    <n v="139370"/>
    <n v="149.06"/>
    <n v="107800"/>
    <n v="31570"/>
    <n v="33.76"/>
    <n v="10241"/>
    <d v="2024-12-01T00:00:00"/>
  </r>
  <r>
    <s v="B01993"/>
    <s v="P051"/>
    <x v="6"/>
    <s v="Sold Out"/>
    <n v="14"/>
    <n v="14"/>
    <n v="0"/>
    <n v="0"/>
    <x v="124"/>
    <n v="154000"/>
    <n v="164.71"/>
    <n v="107800"/>
    <n v="46200"/>
    <n v="49.41"/>
    <n v="0"/>
    <d v="2024-12-23T00:00:00"/>
  </r>
  <r>
    <s v="B01994"/>
    <s v="P051"/>
    <x v="6"/>
    <s v="Partial Loss"/>
    <n v="11"/>
    <n v="9.0500000000000007"/>
    <n v="1.95"/>
    <n v="17.7"/>
    <x v="73"/>
    <n v="99550"/>
    <n v="106.47"/>
    <n v="84700"/>
    <n v="14850"/>
    <n v="15.88"/>
    <n v="15015"/>
    <d v="2025-01-16T00:00:00"/>
  </r>
  <r>
    <s v="B01995"/>
    <s v="P051"/>
    <x v="6"/>
    <s v="Partial Loss"/>
    <n v="14"/>
    <n v="12.11"/>
    <n v="1.89"/>
    <n v="13.5"/>
    <x v="791"/>
    <n v="133210"/>
    <n v="142.47"/>
    <n v="107800"/>
    <n v="25410"/>
    <n v="27.18"/>
    <n v="14553"/>
    <d v="2025-02-08T00:00:00"/>
  </r>
  <r>
    <s v="B01996"/>
    <s v="P051"/>
    <x v="6"/>
    <s v="Partial Loss"/>
    <n v="13"/>
    <n v="11.04"/>
    <n v="1.96"/>
    <n v="15.1"/>
    <x v="792"/>
    <n v="121440"/>
    <n v="129.88"/>
    <n v="100100"/>
    <n v="21340"/>
    <n v="22.82"/>
    <n v="15092"/>
    <d v="2025-02-23T00:00:00"/>
  </r>
  <r>
    <s v="B01997"/>
    <s v="P051"/>
    <x v="6"/>
    <s v="Partial Loss"/>
    <n v="12"/>
    <n v="10.57"/>
    <n v="1.43"/>
    <n v="11.9"/>
    <x v="793"/>
    <n v="116270"/>
    <n v="124.35"/>
    <n v="92400"/>
    <n v="23870"/>
    <n v="25.53"/>
    <n v="11011"/>
    <d v="2025-03-12T00:00:00"/>
  </r>
  <r>
    <s v="B01998"/>
    <s v="P051"/>
    <x v="6"/>
    <s v="Partial Loss"/>
    <n v="12"/>
    <n v="10.24"/>
    <n v="1.76"/>
    <n v="14.7"/>
    <x v="794"/>
    <n v="112640"/>
    <n v="120.47"/>
    <n v="92400"/>
    <n v="20240"/>
    <n v="21.65"/>
    <n v="13552"/>
    <d v="2025-03-29T00:00:00"/>
  </r>
  <r>
    <s v="B01999"/>
    <s v="P051"/>
    <x v="6"/>
    <s v="Sold Out"/>
    <n v="37"/>
    <n v="37"/>
    <n v="0"/>
    <n v="0"/>
    <x v="377"/>
    <n v="407000"/>
    <n v="435.29"/>
    <n v="284900"/>
    <n v="122100"/>
    <n v="130.59"/>
    <n v="0"/>
    <d v="2025-04-26T00:00:00"/>
  </r>
  <r>
    <s v="B02000"/>
    <s v="P051"/>
    <x v="6"/>
    <s v="Sold Out"/>
    <n v="37"/>
    <n v="37"/>
    <n v="0"/>
    <n v="0"/>
    <x v="378"/>
    <n v="407000"/>
    <n v="435.29"/>
    <n v="284900"/>
    <n v="122100"/>
    <n v="130.59"/>
    <n v="0"/>
    <d v="2025-05-12T00:00:00"/>
  </r>
  <r>
    <s v="B02001"/>
    <s v="P051"/>
    <x v="6"/>
    <s v="Sold Out"/>
    <n v="38"/>
    <n v="38"/>
    <n v="0"/>
    <n v="0"/>
    <x v="292"/>
    <n v="418000"/>
    <n v="447.06"/>
    <n v="292600"/>
    <n v="125400"/>
    <n v="134.12"/>
    <n v="0"/>
    <d v="2025-06-05T00:00:00"/>
  </r>
  <r>
    <s v="B02002"/>
    <s v="P051"/>
    <x v="6"/>
    <s v="Sold Out"/>
    <n v="36"/>
    <n v="36"/>
    <n v="0"/>
    <n v="0"/>
    <x v="294"/>
    <n v="396000"/>
    <n v="423.53"/>
    <n v="277200"/>
    <n v="118800"/>
    <n v="127.06"/>
    <n v="0"/>
    <d v="2025-06-29T00:00:00"/>
  </r>
  <r>
    <s v="B02003"/>
    <s v="P052"/>
    <x v="6"/>
    <s v="Sold Out"/>
    <n v="23"/>
    <n v="23"/>
    <n v="0"/>
    <n v="0"/>
    <x v="530"/>
    <n v="172500"/>
    <n v="184.49"/>
    <n v="121900"/>
    <n v="50600"/>
    <n v="54.12"/>
    <n v="0"/>
    <d v="2023-07-16T00:00:00"/>
  </r>
  <r>
    <s v="B02004"/>
    <s v="P052"/>
    <x v="6"/>
    <s v="Partial Loss"/>
    <n v="22"/>
    <n v="21.38"/>
    <n v="0.62"/>
    <n v="2.8"/>
    <x v="423"/>
    <n v="160350"/>
    <n v="171.5"/>
    <n v="116600"/>
    <n v="43750"/>
    <n v="46.79"/>
    <n v="3286"/>
    <d v="2023-08-07T00:00:00"/>
  </r>
  <r>
    <s v="B02005"/>
    <s v="P052"/>
    <x v="6"/>
    <s v="Partial Loss"/>
    <n v="23"/>
    <n v="22.68"/>
    <n v="0.32"/>
    <n v="1.4"/>
    <x v="543"/>
    <n v="170100"/>
    <n v="181.93"/>
    <n v="121900"/>
    <n v="48200"/>
    <n v="51.55"/>
    <n v="1696"/>
    <d v="2023-09-03T00:00:00"/>
  </r>
  <r>
    <s v="B02006"/>
    <s v="P052"/>
    <x v="6"/>
    <s v="Partial Loss"/>
    <n v="26"/>
    <n v="25.35"/>
    <n v="0.65"/>
    <n v="2.5"/>
    <x v="27"/>
    <n v="190125"/>
    <n v="203.34"/>
    <n v="137800"/>
    <n v="52325"/>
    <n v="55.96"/>
    <n v="3445"/>
    <d v="2023-09-23T00:00:00"/>
  </r>
  <r>
    <s v="B02007"/>
    <s v="P052"/>
    <x v="6"/>
    <s v="Partial Loss"/>
    <n v="19"/>
    <n v="18.09"/>
    <n v="0.91"/>
    <n v="4.8"/>
    <x v="795"/>
    <n v="135675"/>
    <n v="145.11000000000001"/>
    <n v="100700"/>
    <n v="34975"/>
    <n v="37.409999999999997"/>
    <n v="4823"/>
    <d v="2023-10-13T00:00:00"/>
  </r>
  <r>
    <s v="B02008"/>
    <s v="P052"/>
    <x v="6"/>
    <s v="Sold Out"/>
    <n v="22"/>
    <n v="22"/>
    <n v="0"/>
    <n v="0"/>
    <x v="305"/>
    <n v="165000"/>
    <n v="176.47"/>
    <n v="121000"/>
    <n v="44000"/>
    <n v="47.06"/>
    <n v="0"/>
    <d v="2023-11-07T00:00:00"/>
  </r>
  <r>
    <s v="B02009"/>
    <s v="P052"/>
    <x v="6"/>
    <s v="Sold Out"/>
    <n v="20"/>
    <n v="20"/>
    <n v="0"/>
    <n v="0"/>
    <x v="505"/>
    <n v="150000"/>
    <n v="160.43"/>
    <n v="106000"/>
    <n v="44000"/>
    <n v="47.06"/>
    <n v="0"/>
    <d v="2023-11-29T00:00:00"/>
  </r>
  <r>
    <s v="B02010"/>
    <s v="P052"/>
    <x v="6"/>
    <s v="Sold Out"/>
    <n v="29"/>
    <n v="29"/>
    <n v="0"/>
    <n v="0"/>
    <x v="307"/>
    <n v="217500"/>
    <n v="232.62"/>
    <n v="159500"/>
    <n v="58000"/>
    <n v="62.03"/>
    <n v="0"/>
    <d v="2023-12-16T00:00:00"/>
  </r>
  <r>
    <s v="B02011"/>
    <s v="P052"/>
    <x v="6"/>
    <s v="Partial Loss"/>
    <n v="23"/>
    <n v="21.14"/>
    <n v="1.86"/>
    <n v="8.1"/>
    <x v="107"/>
    <n v="158550"/>
    <n v="169.57"/>
    <n v="121900"/>
    <n v="36650"/>
    <n v="39.200000000000003"/>
    <n v="9858"/>
    <d v="2024-01-05T00:00:00"/>
  </r>
  <r>
    <s v="B02012"/>
    <s v="P052"/>
    <x v="6"/>
    <s v="Sold Out"/>
    <n v="21"/>
    <n v="21"/>
    <n v="0"/>
    <n v="0"/>
    <x v="423"/>
    <n v="157500"/>
    <n v="168.45"/>
    <n v="111300"/>
    <n v="46200"/>
    <n v="49.41"/>
    <n v="0"/>
    <d v="2024-01-20T00:00:00"/>
  </r>
  <r>
    <s v="B02013"/>
    <s v="P052"/>
    <x v="6"/>
    <s v="Partial Loss"/>
    <n v="19"/>
    <n v="16.97"/>
    <n v="2.0299999999999998"/>
    <n v="10.7"/>
    <x v="320"/>
    <n v="127275"/>
    <n v="136.12"/>
    <n v="100700"/>
    <n v="26575"/>
    <n v="28.42"/>
    <n v="10758.999999999998"/>
    <d v="2024-02-07T00:00:00"/>
  </r>
  <r>
    <s v="B02014"/>
    <s v="P052"/>
    <x v="6"/>
    <s v="Partial Loss"/>
    <n v="23"/>
    <n v="21.44"/>
    <n v="1.56"/>
    <n v="6.8"/>
    <x v="796"/>
    <n v="160800"/>
    <n v="171.98"/>
    <n v="121900"/>
    <n v="38900"/>
    <n v="41.6"/>
    <n v="8268"/>
    <d v="2024-02-24T00:00:00"/>
  </r>
  <r>
    <s v="B02015"/>
    <s v="P052"/>
    <x v="6"/>
    <s v="Partial Loss"/>
    <n v="22"/>
    <n v="20.239999999999998"/>
    <n v="1.76"/>
    <n v="8"/>
    <x v="797"/>
    <n v="151800"/>
    <n v="162.35"/>
    <n v="121000"/>
    <n v="30800"/>
    <n v="32.94"/>
    <n v="9680"/>
    <d v="2024-03-14T00:00:00"/>
  </r>
  <r>
    <s v="B02016"/>
    <s v="P052"/>
    <x v="6"/>
    <s v="Sold Out"/>
    <n v="21"/>
    <n v="21"/>
    <n v="0"/>
    <n v="0"/>
    <x v="484"/>
    <n v="157500"/>
    <n v="168.45"/>
    <n v="111300"/>
    <n v="46200"/>
    <n v="49.41"/>
    <n v="0"/>
    <d v="2024-04-01T00:00:00"/>
  </r>
  <r>
    <s v="B02017"/>
    <s v="P052"/>
    <x v="6"/>
    <s v="Partial Loss"/>
    <n v="18"/>
    <n v="16.690000000000001"/>
    <n v="1.31"/>
    <n v="7.3"/>
    <x v="44"/>
    <n v="125175"/>
    <n v="133.88"/>
    <n v="99000"/>
    <n v="26175"/>
    <n v="27.99"/>
    <n v="7205"/>
    <d v="2024-04-20T00:00:00"/>
  </r>
  <r>
    <s v="B02018"/>
    <s v="P052"/>
    <x v="6"/>
    <s v="Sold Out"/>
    <n v="22"/>
    <n v="22"/>
    <n v="0"/>
    <n v="0"/>
    <x v="486"/>
    <n v="165000"/>
    <n v="176.47"/>
    <n v="116600"/>
    <n v="48400"/>
    <n v="51.76"/>
    <n v="0"/>
    <d v="2024-05-11T00:00:00"/>
  </r>
  <r>
    <s v="B02019"/>
    <s v="P052"/>
    <x v="6"/>
    <s v="Partial Loss"/>
    <n v="20"/>
    <n v="19.600000000000001"/>
    <n v="0.4"/>
    <n v="2"/>
    <x v="48"/>
    <n v="147000"/>
    <n v="157.22"/>
    <n v="106000"/>
    <n v="41000"/>
    <n v="43.85"/>
    <n v="2120"/>
    <d v="2024-05-28T00:00:00"/>
  </r>
  <r>
    <s v="B02020"/>
    <s v="P052"/>
    <x v="6"/>
    <s v="Sold Out"/>
    <n v="18"/>
    <n v="18"/>
    <n v="0"/>
    <n v="0"/>
    <x v="717"/>
    <n v="135000"/>
    <n v="144.38999999999999"/>
    <n v="95400"/>
    <n v="39600"/>
    <n v="42.35"/>
    <n v="0"/>
    <d v="2024-06-19T00:00:00"/>
  </r>
  <r>
    <s v="B02021"/>
    <s v="P052"/>
    <x v="6"/>
    <s v="Sold Out"/>
    <n v="23"/>
    <n v="23"/>
    <n v="0"/>
    <n v="0"/>
    <x v="458"/>
    <n v="172500"/>
    <n v="184.49"/>
    <n v="121900"/>
    <n v="50600"/>
    <n v="54.12"/>
    <n v="0"/>
    <d v="2024-07-06T00:00:00"/>
  </r>
  <r>
    <s v="B02022"/>
    <s v="P052"/>
    <x v="6"/>
    <s v="Sold Out"/>
    <n v="19"/>
    <n v="19"/>
    <n v="0"/>
    <n v="0"/>
    <x v="39"/>
    <n v="142500"/>
    <n v="152.41"/>
    <n v="100700"/>
    <n v="41800"/>
    <n v="44.71"/>
    <n v="0"/>
    <d v="2024-07-25T00:00:00"/>
  </r>
  <r>
    <s v="B02023"/>
    <s v="P052"/>
    <x v="6"/>
    <s v="Partial Loss"/>
    <n v="23"/>
    <n v="21.76"/>
    <n v="1.24"/>
    <n v="5.4"/>
    <x v="186"/>
    <n v="163200"/>
    <n v="174.55"/>
    <n v="121900"/>
    <n v="41300"/>
    <n v="44.17"/>
    <n v="6572"/>
    <d v="2024-08-16T00:00:00"/>
  </r>
  <r>
    <s v="B02024"/>
    <s v="P052"/>
    <x v="6"/>
    <s v="Partial Loss"/>
    <n v="22"/>
    <n v="20.9"/>
    <n v="1.1000000000000001"/>
    <n v="5"/>
    <x v="287"/>
    <n v="156750"/>
    <n v="167.65"/>
    <n v="116600"/>
    <n v="40150"/>
    <n v="42.94"/>
    <n v="5830.0000000000009"/>
    <d v="2024-09-14T00:00:00"/>
  </r>
  <r>
    <s v="B02025"/>
    <s v="P052"/>
    <x v="6"/>
    <s v="Sold Out"/>
    <n v="22"/>
    <n v="22"/>
    <n v="0"/>
    <n v="0"/>
    <x v="276"/>
    <n v="165000"/>
    <n v="176.47"/>
    <n v="116600"/>
    <n v="48400"/>
    <n v="51.76"/>
    <n v="0"/>
    <d v="2024-10-04T00:00:00"/>
  </r>
  <r>
    <s v="B02026"/>
    <s v="P052"/>
    <x v="6"/>
    <s v="Partial Loss"/>
    <n v="23"/>
    <n v="21.92"/>
    <n v="1.08"/>
    <n v="4.7"/>
    <x v="68"/>
    <n v="164400"/>
    <n v="175.83"/>
    <n v="121900"/>
    <n v="42500"/>
    <n v="45.45"/>
    <n v="5724"/>
    <d v="2024-10-27T00:00:00"/>
  </r>
  <r>
    <s v="B02027"/>
    <s v="P052"/>
    <x v="6"/>
    <s v="Sold Out"/>
    <n v="21"/>
    <n v="21"/>
    <n v="0"/>
    <n v="0"/>
    <x v="557"/>
    <n v="157500"/>
    <n v="168.45"/>
    <n v="111300"/>
    <n v="46200"/>
    <n v="49.41"/>
    <n v="0"/>
    <d v="2024-11-19T00:00:00"/>
  </r>
  <r>
    <s v="B02028"/>
    <s v="P052"/>
    <x v="6"/>
    <s v="Sold Out"/>
    <n v="27"/>
    <n v="27"/>
    <n v="0"/>
    <n v="0"/>
    <x v="772"/>
    <n v="202500"/>
    <n v="216.58"/>
    <n v="143100"/>
    <n v="59400"/>
    <n v="63.53"/>
    <n v="0"/>
    <d v="2024-12-05T00:00:00"/>
  </r>
  <r>
    <s v="B02029"/>
    <s v="P052"/>
    <x v="6"/>
    <s v="Sold Out"/>
    <n v="28"/>
    <n v="28"/>
    <n v="0"/>
    <n v="0"/>
    <x v="229"/>
    <n v="210000"/>
    <n v="224.6"/>
    <n v="148400"/>
    <n v="61600"/>
    <n v="65.88"/>
    <n v="0"/>
    <d v="2024-12-27T00:00:00"/>
  </r>
  <r>
    <s v="B02030"/>
    <s v="P052"/>
    <x v="6"/>
    <s v="Partial Loss"/>
    <n v="19"/>
    <n v="17.59"/>
    <n v="1.41"/>
    <n v="7.4"/>
    <x v="563"/>
    <n v="131925"/>
    <n v="141.1"/>
    <n v="100700"/>
    <n v="31225"/>
    <n v="33.4"/>
    <n v="7473"/>
    <d v="2025-01-15T00:00:00"/>
  </r>
  <r>
    <s v="B02031"/>
    <s v="P052"/>
    <x v="6"/>
    <s v="Sold Out"/>
    <n v="21"/>
    <n v="21"/>
    <n v="0"/>
    <n v="0"/>
    <x v="186"/>
    <n v="157500"/>
    <n v="168.45"/>
    <n v="111300"/>
    <n v="46200"/>
    <n v="49.41"/>
    <n v="0"/>
    <d v="2025-02-04T00:00:00"/>
  </r>
  <r>
    <s v="B02032"/>
    <s v="P052"/>
    <x v="6"/>
    <s v="Sold Out"/>
    <n v="19"/>
    <n v="19"/>
    <n v="0"/>
    <n v="0"/>
    <x v="60"/>
    <n v="142500"/>
    <n v="152.41"/>
    <n v="100700"/>
    <n v="41800"/>
    <n v="44.71"/>
    <n v="0"/>
    <d v="2025-02-23T00:00:00"/>
  </r>
  <r>
    <s v="B02033"/>
    <s v="P052"/>
    <x v="6"/>
    <s v="Sold Out"/>
    <n v="22"/>
    <n v="22"/>
    <n v="0"/>
    <n v="0"/>
    <x v="131"/>
    <n v="165000"/>
    <n v="176.47"/>
    <n v="116600"/>
    <n v="48400"/>
    <n v="51.76"/>
    <n v="0"/>
    <d v="2025-03-18T00:00:00"/>
  </r>
  <r>
    <s v="B02034"/>
    <s v="P052"/>
    <x v="6"/>
    <s v="Sold Out"/>
    <n v="23"/>
    <n v="23"/>
    <n v="0"/>
    <n v="0"/>
    <x v="798"/>
    <n v="172500"/>
    <n v="184.49"/>
    <n v="121900"/>
    <n v="50600"/>
    <n v="54.12"/>
    <n v="0"/>
    <d v="2025-04-05T00:00:00"/>
  </r>
  <r>
    <s v="B02035"/>
    <s v="P052"/>
    <x v="6"/>
    <s v="Sold Out"/>
    <n v="21"/>
    <n v="21"/>
    <n v="0"/>
    <n v="0"/>
    <x v="494"/>
    <n v="157500"/>
    <n v="168.45"/>
    <n v="111300"/>
    <n v="46200"/>
    <n v="49.41"/>
    <n v="0"/>
    <d v="2025-04-27T00:00:00"/>
  </r>
  <r>
    <s v="B02036"/>
    <s v="P052"/>
    <x v="6"/>
    <s v="Sold Out"/>
    <n v="25"/>
    <n v="25"/>
    <n v="0"/>
    <n v="0"/>
    <x v="799"/>
    <n v="187500"/>
    <n v="200.53"/>
    <n v="132500"/>
    <n v="55000"/>
    <n v="58.82"/>
    <n v="0"/>
    <d v="2025-05-10T00:00:00"/>
  </r>
  <r>
    <s v="B02037"/>
    <s v="P052"/>
    <x v="6"/>
    <s v="Sold Out"/>
    <n v="21"/>
    <n v="21"/>
    <n v="0"/>
    <n v="0"/>
    <x v="340"/>
    <n v="157500"/>
    <n v="168.45"/>
    <n v="111300"/>
    <n v="46200"/>
    <n v="49.41"/>
    <n v="0"/>
    <d v="2025-05-28T00:00:00"/>
  </r>
  <r>
    <s v="B02038"/>
    <s v="P052"/>
    <x v="6"/>
    <s v="Partial Loss"/>
    <n v="18"/>
    <n v="16.760000000000002"/>
    <n v="1.24"/>
    <n v="6.9"/>
    <x v="800"/>
    <n v="125700"/>
    <n v="134.44"/>
    <n v="95400"/>
    <n v="30300"/>
    <n v="32.409999999999997"/>
    <n v="6572"/>
    <d v="2025-06-22T00:00:00"/>
  </r>
  <r>
    <s v="B02039"/>
    <s v="P053"/>
    <x v="6"/>
    <s v="Sold Out"/>
    <n v="21"/>
    <n v="21"/>
    <n v="0"/>
    <n v="0"/>
    <x v="473"/>
    <n v="178500"/>
    <n v="190.91"/>
    <n v="123900"/>
    <n v="54600"/>
    <n v="58.4"/>
    <n v="0"/>
    <d v="2023-07-03T00:00:00"/>
  </r>
  <r>
    <s v="B02040"/>
    <s v="P053"/>
    <x v="6"/>
    <s v="Sold Out"/>
    <n v="19"/>
    <n v="19"/>
    <n v="0"/>
    <n v="0"/>
    <x v="501"/>
    <n v="161500"/>
    <n v="172.73"/>
    <n v="112100"/>
    <n v="49400"/>
    <n v="52.83"/>
    <n v="0"/>
    <d v="2023-07-22T00:00:00"/>
  </r>
  <r>
    <s v="B02041"/>
    <s v="P053"/>
    <x v="6"/>
    <s v="Partial Loss"/>
    <n v="18"/>
    <n v="17.329999999999998"/>
    <n v="0.67"/>
    <n v="3.7"/>
    <x v="801"/>
    <n v="147305"/>
    <n v="157.55000000000001"/>
    <n v="106200"/>
    <n v="41105"/>
    <n v="43.96"/>
    <n v="3953.0000000000005"/>
    <d v="2023-08-09T00:00:00"/>
  </r>
  <r>
    <s v="B02042"/>
    <s v="P053"/>
    <x v="6"/>
    <s v="Partial Loss"/>
    <n v="26"/>
    <n v="24.67"/>
    <n v="1.33"/>
    <n v="5.0999999999999996"/>
    <x v="21"/>
    <n v="209695"/>
    <n v="224.27"/>
    <n v="153400"/>
    <n v="56295"/>
    <n v="60.21"/>
    <n v="7847"/>
    <d v="2023-09-02T00:00:00"/>
  </r>
  <r>
    <s v="B02043"/>
    <s v="P053"/>
    <x v="6"/>
    <s v="Sold Out"/>
    <n v="26"/>
    <n v="26"/>
    <n v="0"/>
    <n v="0"/>
    <x v="203"/>
    <n v="221000"/>
    <n v="236.36"/>
    <n v="153400"/>
    <n v="67600"/>
    <n v="72.3"/>
    <n v="0"/>
    <d v="2023-09-25T00:00:00"/>
  </r>
  <r>
    <s v="B02044"/>
    <s v="P053"/>
    <x v="6"/>
    <s v="Partial Loss"/>
    <n v="22"/>
    <n v="20.02"/>
    <n v="1.98"/>
    <n v="9"/>
    <x v="94"/>
    <n v="170170"/>
    <n v="182"/>
    <n v="129800"/>
    <n v="40370"/>
    <n v="43.18"/>
    <n v="11682"/>
    <d v="2023-10-15T00:00:00"/>
  </r>
  <r>
    <s v="B02045"/>
    <s v="P053"/>
    <x v="6"/>
    <s v="Sold Out"/>
    <n v="19"/>
    <n v="19"/>
    <n v="0"/>
    <n v="0"/>
    <x v="384"/>
    <n v="161500"/>
    <n v="172.73"/>
    <n v="112100"/>
    <n v="49400"/>
    <n v="52.83"/>
    <n v="0"/>
    <d v="2023-11-03T00:00:00"/>
  </r>
  <r>
    <s v="B02046"/>
    <s v="P053"/>
    <x v="6"/>
    <s v="Partial Loss"/>
    <n v="21"/>
    <n v="20.03"/>
    <n v="0.97"/>
    <n v="4.5999999999999996"/>
    <x v="163"/>
    <n v="170255"/>
    <n v="182.09"/>
    <n v="123900"/>
    <n v="46355"/>
    <n v="49.58"/>
    <n v="5723"/>
    <d v="2023-11-18T00:00:00"/>
  </r>
  <r>
    <s v="B02047"/>
    <s v="P053"/>
    <x v="6"/>
    <s v="Partial Loss"/>
    <n v="29"/>
    <n v="27.32"/>
    <n v="1.68"/>
    <n v="5.8"/>
    <x v="319"/>
    <n v="232220"/>
    <n v="248.36"/>
    <n v="171100"/>
    <n v="61120"/>
    <n v="65.37"/>
    <n v="9912"/>
    <d v="2023-12-10T00:00:00"/>
  </r>
  <r>
    <s v="B02048"/>
    <s v="P053"/>
    <x v="6"/>
    <s v="Partial Loss"/>
    <n v="28"/>
    <n v="26.04"/>
    <n v="1.96"/>
    <n v="7"/>
    <x v="106"/>
    <n v="221340"/>
    <n v="236.73"/>
    <n v="165200"/>
    <n v="56140"/>
    <n v="60.04"/>
    <n v="11564"/>
    <d v="2023-12-27T00:00:00"/>
  </r>
  <r>
    <s v="B02049"/>
    <s v="P053"/>
    <x v="6"/>
    <s v="Partial Loss"/>
    <n v="23"/>
    <n v="20.98"/>
    <n v="2.02"/>
    <n v="8.8000000000000007"/>
    <x v="269"/>
    <n v="178330"/>
    <n v="190.73"/>
    <n v="135700"/>
    <n v="42630"/>
    <n v="45.59"/>
    <n v="11918"/>
    <d v="2024-01-15T00:00:00"/>
  </r>
  <r>
    <s v="B02050"/>
    <s v="P053"/>
    <x v="6"/>
    <s v="Sold Out"/>
    <n v="18"/>
    <n v="18"/>
    <n v="0"/>
    <n v="0"/>
    <x v="745"/>
    <n v="153000"/>
    <n v="163.63999999999999"/>
    <n v="106200"/>
    <n v="46800"/>
    <n v="50.05"/>
    <n v="0"/>
    <d v="2024-02-07T00:00:00"/>
  </r>
  <r>
    <s v="B02051"/>
    <s v="P053"/>
    <x v="6"/>
    <s v="Partial Loss"/>
    <n v="21"/>
    <n v="19.05"/>
    <n v="1.95"/>
    <n v="9.3000000000000007"/>
    <x v="40"/>
    <n v="161925"/>
    <n v="173.18"/>
    <n v="123900"/>
    <n v="38025"/>
    <n v="40.67"/>
    <n v="11505"/>
    <d v="2024-02-27T00:00:00"/>
  </r>
  <r>
    <s v="B02052"/>
    <s v="P053"/>
    <x v="6"/>
    <s v="Sold Out"/>
    <n v="18"/>
    <n v="18"/>
    <n v="0"/>
    <n v="0"/>
    <x v="212"/>
    <n v="153000"/>
    <n v="163.63999999999999"/>
    <n v="106200"/>
    <n v="46800"/>
    <n v="50.05"/>
    <n v="0"/>
    <d v="2024-03-24T00:00:00"/>
  </r>
  <r>
    <s v="B02053"/>
    <s v="P053"/>
    <x v="6"/>
    <s v="Sold Out"/>
    <n v="19"/>
    <n v="19"/>
    <n v="0"/>
    <n v="0"/>
    <x v="166"/>
    <n v="161500"/>
    <n v="172.73"/>
    <n v="112100"/>
    <n v="49400"/>
    <n v="52.83"/>
    <n v="0"/>
    <d v="2024-04-12T00:00:00"/>
  </r>
  <r>
    <s v="B02054"/>
    <s v="P053"/>
    <x v="6"/>
    <s v="Sold Out"/>
    <n v="19"/>
    <n v="19"/>
    <n v="0"/>
    <n v="0"/>
    <x v="30"/>
    <n v="161500"/>
    <n v="172.73"/>
    <n v="112100"/>
    <n v="49400"/>
    <n v="52.83"/>
    <n v="0"/>
    <d v="2024-05-01T00:00:00"/>
  </r>
  <r>
    <s v="B02055"/>
    <s v="P053"/>
    <x v="6"/>
    <s v="Sold Out"/>
    <n v="17"/>
    <n v="17"/>
    <n v="0"/>
    <n v="0"/>
    <x v="653"/>
    <n v="144500"/>
    <n v="154.55000000000001"/>
    <n v="100300"/>
    <n v="44200"/>
    <n v="47.27"/>
    <n v="0"/>
    <d v="2024-05-25T00:00:00"/>
  </r>
  <r>
    <s v="B02056"/>
    <s v="P053"/>
    <x v="6"/>
    <s v="Sold Out"/>
    <n v="23"/>
    <n v="23"/>
    <n v="0"/>
    <n v="0"/>
    <x v="38"/>
    <n v="195500"/>
    <n v="209.09"/>
    <n v="135700"/>
    <n v="59800"/>
    <n v="63.96"/>
    <n v="0"/>
    <d v="2024-06-13T00:00:00"/>
  </r>
  <r>
    <s v="B02057"/>
    <s v="P053"/>
    <x v="6"/>
    <s v="Sold Out"/>
    <n v="20"/>
    <n v="20"/>
    <n v="0"/>
    <n v="0"/>
    <x v="575"/>
    <n v="170000"/>
    <n v="181.82"/>
    <n v="118000"/>
    <n v="52000"/>
    <n v="55.61"/>
    <n v="0"/>
    <d v="2024-07-02T00:00:00"/>
  </r>
  <r>
    <s v="B02058"/>
    <s v="P053"/>
    <x v="6"/>
    <s v="Sold Out"/>
    <n v="22"/>
    <n v="22"/>
    <n v="0"/>
    <n v="0"/>
    <x v="364"/>
    <n v="187000"/>
    <n v="200"/>
    <n v="129800"/>
    <n v="57200"/>
    <n v="61.18"/>
    <n v="0"/>
    <d v="2024-07-23T00:00:00"/>
  </r>
  <r>
    <s v="B02059"/>
    <s v="P053"/>
    <x v="6"/>
    <s v="Sold Out"/>
    <n v="18"/>
    <n v="18"/>
    <n v="0"/>
    <n v="0"/>
    <x v="785"/>
    <n v="153000"/>
    <n v="163.63999999999999"/>
    <n v="106200"/>
    <n v="46800"/>
    <n v="50.05"/>
    <n v="0"/>
    <d v="2024-08-16T00:00:00"/>
  </r>
  <r>
    <s v="B02060"/>
    <s v="P053"/>
    <x v="6"/>
    <s v="Partial Loss"/>
    <n v="28"/>
    <n v="27.16"/>
    <n v="0.84"/>
    <n v="3"/>
    <x v="235"/>
    <n v="230860"/>
    <n v="246.91"/>
    <n v="165200"/>
    <n v="65660"/>
    <n v="70.22"/>
    <n v="4956"/>
    <d v="2024-09-09T00:00:00"/>
  </r>
  <r>
    <s v="B02061"/>
    <s v="P053"/>
    <x v="6"/>
    <s v="Partial Loss"/>
    <n v="19"/>
    <n v="18.600000000000001"/>
    <n v="0.4"/>
    <n v="2.1"/>
    <x v="187"/>
    <n v="158100"/>
    <n v="169.09"/>
    <n v="112100"/>
    <n v="46000"/>
    <n v="49.2"/>
    <n v="2360"/>
    <d v="2024-10-01T00:00:00"/>
  </r>
  <r>
    <s v="B02062"/>
    <s v="P053"/>
    <x v="6"/>
    <s v="Sold Out"/>
    <n v="19"/>
    <n v="19"/>
    <n v="0"/>
    <n v="0"/>
    <x v="429"/>
    <n v="161500"/>
    <n v="172.73"/>
    <n v="112100"/>
    <n v="49400"/>
    <n v="52.83"/>
    <n v="0"/>
    <d v="2024-10-17T00:00:00"/>
  </r>
  <r>
    <s v="B02063"/>
    <s v="P053"/>
    <x v="6"/>
    <s v="Sold Out"/>
    <n v="19"/>
    <n v="19"/>
    <n v="0"/>
    <n v="0"/>
    <x v="403"/>
    <n v="161500"/>
    <n v="172.73"/>
    <n v="112100"/>
    <n v="49400"/>
    <n v="52.83"/>
    <n v="0"/>
    <d v="2024-10-29T00:00:00"/>
  </r>
  <r>
    <s v="B02064"/>
    <s v="P053"/>
    <x v="6"/>
    <s v="Partial Loss"/>
    <n v="23"/>
    <n v="20.98"/>
    <n v="2.02"/>
    <n v="8.8000000000000007"/>
    <x v="191"/>
    <n v="178330"/>
    <n v="190.73"/>
    <n v="135700"/>
    <n v="42630"/>
    <n v="45.59"/>
    <n v="11918"/>
    <d v="2024-11-25T00:00:00"/>
  </r>
  <r>
    <s v="B02065"/>
    <s v="P053"/>
    <x v="6"/>
    <s v="Sold Out"/>
    <n v="28"/>
    <n v="28"/>
    <n v="0"/>
    <n v="0"/>
    <x v="330"/>
    <n v="238000"/>
    <n v="254.55"/>
    <n v="165200"/>
    <n v="72800"/>
    <n v="77.86"/>
    <n v="0"/>
    <d v="2024-12-15T00:00:00"/>
  </r>
  <r>
    <s v="B02066"/>
    <s v="P053"/>
    <x v="6"/>
    <s v="Partial Loss"/>
    <n v="21"/>
    <n v="19.09"/>
    <n v="1.91"/>
    <n v="9.1"/>
    <x v="339"/>
    <n v="162265"/>
    <n v="173.55"/>
    <n v="123900"/>
    <n v="38365"/>
    <n v="41.03"/>
    <n v="11269"/>
    <d v="2025-01-12T00:00:00"/>
  </r>
  <r>
    <s v="B02067"/>
    <s v="P053"/>
    <x v="6"/>
    <s v="Sold Out"/>
    <n v="20"/>
    <n v="20"/>
    <n v="0"/>
    <n v="0"/>
    <x v="581"/>
    <n v="170000"/>
    <n v="181.82"/>
    <n v="118000"/>
    <n v="52000"/>
    <n v="55.61"/>
    <n v="0"/>
    <d v="2025-01-27T00:00:00"/>
  </r>
  <r>
    <s v="B02068"/>
    <s v="P053"/>
    <x v="6"/>
    <s v="Partial Loss"/>
    <n v="19"/>
    <n v="17.52"/>
    <n v="1.48"/>
    <n v="7.8"/>
    <x v="802"/>
    <n v="148920"/>
    <n v="159.27000000000001"/>
    <n v="112100"/>
    <n v="36820"/>
    <n v="39.380000000000003"/>
    <n v="8732"/>
    <d v="2025-02-15T00:00:00"/>
  </r>
  <r>
    <s v="B02069"/>
    <s v="P053"/>
    <x v="6"/>
    <s v="Sold Out"/>
    <n v="23"/>
    <n v="23"/>
    <n v="0"/>
    <n v="0"/>
    <x v="493"/>
    <n v="195500"/>
    <n v="209.09"/>
    <n v="135700"/>
    <n v="59800"/>
    <n v="63.96"/>
    <n v="0"/>
    <d v="2025-03-08T00:00:00"/>
  </r>
  <r>
    <s v="B02070"/>
    <s v="P053"/>
    <x v="6"/>
    <s v="Partial Loss"/>
    <n v="24"/>
    <n v="21.62"/>
    <n v="2.38"/>
    <n v="9.9"/>
    <x v="803"/>
    <n v="183770"/>
    <n v="196.55"/>
    <n v="141600"/>
    <n v="42170"/>
    <n v="45.1"/>
    <n v="14042"/>
    <d v="2025-04-02T00:00:00"/>
  </r>
  <r>
    <s v="B02071"/>
    <s v="P053"/>
    <x v="6"/>
    <s v="Sold Out"/>
    <n v="19"/>
    <n v="19"/>
    <n v="0"/>
    <n v="0"/>
    <x v="526"/>
    <n v="161500"/>
    <n v="172.73"/>
    <n v="112100"/>
    <n v="49400"/>
    <n v="52.83"/>
    <n v="0"/>
    <d v="2025-04-15T00:00:00"/>
  </r>
  <r>
    <s v="B02072"/>
    <s v="P053"/>
    <x v="6"/>
    <s v="Partial Loss"/>
    <n v="23"/>
    <n v="22.84"/>
    <n v="0.16"/>
    <n v="0.7"/>
    <x v="804"/>
    <n v="194140"/>
    <n v="207.64"/>
    <n v="135700"/>
    <n v="58440"/>
    <n v="62.5"/>
    <n v="944"/>
    <d v="2025-05-08T00:00:00"/>
  </r>
  <r>
    <s v="B02073"/>
    <s v="P053"/>
    <x v="6"/>
    <s v="Sold Out"/>
    <n v="21"/>
    <n v="21"/>
    <n v="0"/>
    <n v="0"/>
    <x v="338"/>
    <n v="178500"/>
    <n v="190.91"/>
    <n v="123900"/>
    <n v="54600"/>
    <n v="58.4"/>
    <n v="0"/>
    <d v="2025-05-25T00:00:00"/>
  </r>
  <r>
    <s v="B02074"/>
    <s v="P053"/>
    <x v="6"/>
    <s v="Sold Out"/>
    <n v="21"/>
    <n v="21"/>
    <n v="0"/>
    <n v="0"/>
    <x v="341"/>
    <n v="178500"/>
    <n v="190.91"/>
    <n v="123900"/>
    <n v="54600"/>
    <n v="58.4"/>
    <n v="0"/>
    <d v="2025-06-13T00:00:00"/>
  </r>
  <r>
    <s v="B02075"/>
    <s v="P054"/>
    <x v="6"/>
    <s v="Sold Out"/>
    <n v="23"/>
    <n v="23"/>
    <n v="0"/>
    <n v="0"/>
    <x v="499"/>
    <n v="126500"/>
    <n v="135.29"/>
    <n v="98900"/>
    <n v="27600"/>
    <n v="29.52"/>
    <n v="0"/>
    <d v="2023-07-05T00:00:00"/>
  </r>
  <r>
    <s v="B02076"/>
    <s v="P054"/>
    <x v="6"/>
    <s v="Sold Out"/>
    <n v="22"/>
    <n v="22"/>
    <n v="0"/>
    <n v="0"/>
    <x v="805"/>
    <n v="121000"/>
    <n v="129.41"/>
    <n v="89100"/>
    <n v="31900"/>
    <n v="34.119999999999997"/>
    <n v="0"/>
    <d v="2023-07-19T00:00:00"/>
  </r>
  <r>
    <s v="B02077"/>
    <s v="P054"/>
    <x v="6"/>
    <s v="Sold Out"/>
    <n v="19"/>
    <n v="19"/>
    <n v="0"/>
    <n v="0"/>
    <x v="420"/>
    <n v="104500"/>
    <n v="111.76"/>
    <n v="76950"/>
    <n v="27550"/>
    <n v="29.47"/>
    <n v="0"/>
    <d v="2023-08-11T00:00:00"/>
  </r>
  <r>
    <s v="B02078"/>
    <s v="P054"/>
    <x v="6"/>
    <s v="Sold Out"/>
    <n v="20"/>
    <n v="20"/>
    <n v="0"/>
    <n v="0"/>
    <x v="249"/>
    <n v="110000"/>
    <n v="117.65"/>
    <n v="81000"/>
    <n v="29000"/>
    <n v="31.02"/>
    <n v="0"/>
    <d v="2023-08-27T00:00:00"/>
  </r>
  <r>
    <s v="B02079"/>
    <s v="P054"/>
    <x v="6"/>
    <s v="Sold Out"/>
    <n v="23"/>
    <n v="23"/>
    <n v="0"/>
    <n v="0"/>
    <x v="350"/>
    <n v="126500"/>
    <n v="135.29"/>
    <n v="93150"/>
    <n v="33350"/>
    <n v="35.67"/>
    <n v="0"/>
    <d v="2023-09-17T00:00:00"/>
  </r>
  <r>
    <s v="B02080"/>
    <s v="P054"/>
    <x v="6"/>
    <s v="Sold Out"/>
    <n v="21"/>
    <n v="21"/>
    <n v="0"/>
    <n v="0"/>
    <x v="12"/>
    <n v="115500"/>
    <n v="123.53"/>
    <n v="85050"/>
    <n v="30450"/>
    <n v="32.57"/>
    <n v="0"/>
    <d v="2023-10-07T00:00:00"/>
  </r>
  <r>
    <s v="B02081"/>
    <s v="P054"/>
    <x v="6"/>
    <s v="Sold Out"/>
    <n v="18"/>
    <n v="18"/>
    <n v="0"/>
    <n v="0"/>
    <x v="593"/>
    <n v="99000"/>
    <n v="105.88"/>
    <n v="72900"/>
    <n v="26100"/>
    <n v="27.91"/>
    <n v="0"/>
    <d v="2023-10-26T00:00:00"/>
  </r>
  <r>
    <s v="B02082"/>
    <s v="P054"/>
    <x v="6"/>
    <s v="Partial Loss"/>
    <n v="19"/>
    <n v="17.309999999999999"/>
    <n v="1.69"/>
    <n v="8.9"/>
    <x v="424"/>
    <n v="95205"/>
    <n v="101.82"/>
    <n v="76950"/>
    <n v="18255"/>
    <n v="19.52"/>
    <n v="6844.5"/>
    <d v="2023-11-14T00:00:00"/>
  </r>
  <r>
    <s v="B02083"/>
    <s v="P054"/>
    <x v="6"/>
    <s v="Partial Loss"/>
    <n v="29"/>
    <n v="26.07"/>
    <n v="2.93"/>
    <n v="10.1"/>
    <x v="216"/>
    <n v="143385"/>
    <n v="153.35"/>
    <n v="117450"/>
    <n v="25935"/>
    <n v="27.74"/>
    <n v="11866.5"/>
    <d v="2023-12-03T00:00:00"/>
  </r>
  <r>
    <s v="B02084"/>
    <s v="P054"/>
    <x v="6"/>
    <s v="Partial Loss"/>
    <n v="23"/>
    <n v="21.87"/>
    <n v="1.1299999999999999"/>
    <n v="4.9000000000000004"/>
    <x v="102"/>
    <n v="120285"/>
    <n v="128.65"/>
    <n v="93150"/>
    <n v="27135"/>
    <n v="29.02"/>
    <n v="4576.5"/>
    <d v="2023-12-24T00:00:00"/>
  </r>
  <r>
    <s v="B02085"/>
    <s v="P054"/>
    <x v="6"/>
    <s v="Partial Loss"/>
    <n v="22"/>
    <n v="19.87"/>
    <n v="2.13"/>
    <n v="9.6999999999999993"/>
    <x v="771"/>
    <n v="109285"/>
    <n v="116.88"/>
    <n v="89100"/>
    <n v="20185"/>
    <n v="21.59"/>
    <n v="8626.5"/>
    <d v="2024-01-12T00:00:00"/>
  </r>
  <r>
    <s v="B02086"/>
    <s v="P054"/>
    <x v="6"/>
    <s v="Sold Out"/>
    <n v="18"/>
    <n v="18"/>
    <n v="0"/>
    <n v="0"/>
    <x v="806"/>
    <n v="99000"/>
    <n v="105.88"/>
    <n v="77400"/>
    <n v="21600"/>
    <n v="23.1"/>
    <n v="0"/>
    <d v="2024-02-04T00:00:00"/>
  </r>
  <r>
    <s v="B02087"/>
    <s v="P054"/>
    <x v="6"/>
    <s v="Sold Out"/>
    <n v="21"/>
    <n v="21"/>
    <n v="0"/>
    <n v="0"/>
    <x v="597"/>
    <n v="115500"/>
    <n v="123.53"/>
    <n v="85050"/>
    <n v="30450"/>
    <n v="32.57"/>
    <n v="0"/>
    <d v="2024-02-24T00:00:00"/>
  </r>
  <r>
    <s v="B02088"/>
    <s v="P054"/>
    <x v="6"/>
    <s v="Sold Out"/>
    <n v="19"/>
    <n v="19"/>
    <n v="0"/>
    <n v="0"/>
    <x v="25"/>
    <n v="104500"/>
    <n v="111.76"/>
    <n v="76950"/>
    <n v="27550"/>
    <n v="29.47"/>
    <n v="0"/>
    <d v="2024-03-21T00:00:00"/>
  </r>
  <r>
    <s v="B02089"/>
    <s v="P054"/>
    <x v="6"/>
    <s v="Partial Loss"/>
    <n v="17"/>
    <n v="15.86"/>
    <n v="1.1399999999999999"/>
    <n v="6.7"/>
    <x v="110"/>
    <n v="87230"/>
    <n v="93.29"/>
    <n v="68850"/>
    <n v="18380"/>
    <n v="19.66"/>
    <n v="4617"/>
    <d v="2024-04-08T00:00:00"/>
  </r>
  <r>
    <s v="B02090"/>
    <s v="P054"/>
    <x v="6"/>
    <s v="Sold Out"/>
    <n v="23"/>
    <n v="23"/>
    <n v="0"/>
    <n v="0"/>
    <x v="178"/>
    <n v="126500"/>
    <n v="135.29"/>
    <n v="93150"/>
    <n v="33350"/>
    <n v="35.67"/>
    <n v="0"/>
    <d v="2024-04-28T00:00:00"/>
  </r>
  <r>
    <s v="B02091"/>
    <s v="P054"/>
    <x v="6"/>
    <s v="Sold Out"/>
    <n v="19"/>
    <n v="19"/>
    <n v="0"/>
    <n v="0"/>
    <x v="486"/>
    <n v="104500"/>
    <n v="111.76"/>
    <n v="76950"/>
    <n v="27550"/>
    <n v="29.47"/>
    <n v="0"/>
    <d v="2024-05-16T00:00:00"/>
  </r>
  <r>
    <s v="B02092"/>
    <s v="P054"/>
    <x v="6"/>
    <s v="Sold Out"/>
    <n v="19"/>
    <n v="19"/>
    <n v="0"/>
    <n v="0"/>
    <x v="396"/>
    <n v="104500"/>
    <n v="111.76"/>
    <n v="76950"/>
    <n v="27550"/>
    <n v="29.47"/>
    <n v="0"/>
    <d v="2024-05-29T00:00:00"/>
  </r>
  <r>
    <s v="B02093"/>
    <s v="P054"/>
    <x v="6"/>
    <s v="Partial Loss"/>
    <n v="19"/>
    <n v="17.54"/>
    <n v="1.46"/>
    <n v="7.7"/>
    <x v="521"/>
    <n v="96470"/>
    <n v="103.18"/>
    <n v="76950"/>
    <n v="19520"/>
    <n v="20.88"/>
    <n v="5913"/>
    <d v="2024-06-15T00:00:00"/>
  </r>
  <r>
    <s v="B02094"/>
    <s v="P054"/>
    <x v="6"/>
    <s v="Sold Out"/>
    <n v="19"/>
    <n v="19"/>
    <n v="0"/>
    <n v="0"/>
    <x v="398"/>
    <n v="104500"/>
    <n v="111.76"/>
    <n v="76950"/>
    <n v="27550"/>
    <n v="29.47"/>
    <n v="0"/>
    <d v="2024-07-06T00:00:00"/>
  </r>
  <r>
    <s v="B02095"/>
    <s v="P054"/>
    <x v="6"/>
    <s v="Sold Out"/>
    <n v="23"/>
    <n v="23"/>
    <n v="0"/>
    <n v="0"/>
    <x v="320"/>
    <n v="126500"/>
    <n v="135.29"/>
    <n v="93150"/>
    <n v="33350"/>
    <n v="35.67"/>
    <n v="0"/>
    <d v="2024-07-24T00:00:00"/>
  </r>
  <r>
    <s v="B02096"/>
    <s v="P054"/>
    <x v="6"/>
    <s v="Sold Out"/>
    <n v="22"/>
    <n v="22"/>
    <n v="0"/>
    <n v="0"/>
    <x v="172"/>
    <n v="121000"/>
    <n v="129.41"/>
    <n v="89100"/>
    <n v="31900"/>
    <n v="34.119999999999997"/>
    <n v="0"/>
    <d v="2024-08-07T00:00:00"/>
  </r>
  <r>
    <s v="B02097"/>
    <s v="P054"/>
    <x v="6"/>
    <s v="Sold Out"/>
    <n v="21"/>
    <n v="21"/>
    <n v="0"/>
    <n v="0"/>
    <x v="401"/>
    <n v="115500"/>
    <n v="123.53"/>
    <n v="85050"/>
    <n v="30450"/>
    <n v="32.57"/>
    <n v="0"/>
    <d v="2024-08-30T00:00:00"/>
  </r>
  <r>
    <s v="B02098"/>
    <s v="P054"/>
    <x v="6"/>
    <s v="Sold Out"/>
    <n v="23"/>
    <n v="23"/>
    <n v="0"/>
    <n v="0"/>
    <x v="178"/>
    <n v="126500"/>
    <n v="135.29"/>
    <n v="98900"/>
    <n v="27600"/>
    <n v="29.52"/>
    <n v="0"/>
    <d v="2024-09-26T00:00:00"/>
  </r>
  <r>
    <s v="B02099"/>
    <s v="P054"/>
    <x v="6"/>
    <s v="Partial Loss"/>
    <n v="18"/>
    <n v="17.48"/>
    <n v="0.52"/>
    <n v="2.9"/>
    <x v="63"/>
    <n v="96140"/>
    <n v="102.82"/>
    <n v="72900"/>
    <n v="23240"/>
    <n v="24.86"/>
    <n v="2106"/>
    <d v="2024-10-17T00:00:00"/>
  </r>
  <r>
    <s v="B02100"/>
    <s v="P054"/>
    <x v="6"/>
    <s v="Partial Loss"/>
    <n v="22"/>
    <n v="20.22"/>
    <n v="1.78"/>
    <n v="8.1"/>
    <x v="136"/>
    <n v="111210"/>
    <n v="118.94"/>
    <n v="89100"/>
    <n v="22110"/>
    <n v="23.65"/>
    <n v="7209"/>
    <d v="2024-11-06T00:00:00"/>
  </r>
  <r>
    <s v="B02101"/>
    <s v="P054"/>
    <x v="6"/>
    <s v="Sold Out"/>
    <n v="19"/>
    <n v="19"/>
    <n v="0"/>
    <n v="0"/>
    <x v="120"/>
    <n v="104500"/>
    <n v="111.76"/>
    <n v="76950"/>
    <n v="27550"/>
    <n v="29.47"/>
    <n v="0"/>
    <d v="2024-11-29T00:00:00"/>
  </r>
  <r>
    <s v="B02102"/>
    <s v="P054"/>
    <x v="6"/>
    <s v="Sold Out"/>
    <n v="26"/>
    <n v="26"/>
    <n v="0"/>
    <n v="0"/>
    <x v="124"/>
    <n v="143000"/>
    <n v="152.94"/>
    <n v="105300"/>
    <n v="37700"/>
    <n v="40.32"/>
    <n v="0"/>
    <d v="2024-12-18T00:00:00"/>
  </r>
  <r>
    <s v="B02103"/>
    <s v="P054"/>
    <x v="6"/>
    <s v="Partial Loss"/>
    <n v="25"/>
    <n v="22.95"/>
    <n v="2.0499999999999998"/>
    <n v="8.1999999999999993"/>
    <x v="496"/>
    <n v="126225"/>
    <n v="135"/>
    <n v="101250"/>
    <n v="24975"/>
    <n v="26.71"/>
    <n v="8302.5"/>
    <d v="2025-01-05T00:00:00"/>
  </r>
  <r>
    <s v="B02104"/>
    <s v="P054"/>
    <x v="6"/>
    <s v="Partial Loss"/>
    <n v="21"/>
    <n v="18.690000000000001"/>
    <n v="2.31"/>
    <n v="11"/>
    <x v="807"/>
    <n v="102795"/>
    <n v="109.94"/>
    <n v="85050"/>
    <n v="17745"/>
    <n v="18.98"/>
    <n v="9355.5"/>
    <d v="2025-01-24T00:00:00"/>
  </r>
  <r>
    <s v="B02105"/>
    <s v="P054"/>
    <x v="6"/>
    <s v="Sold Out"/>
    <n v="20"/>
    <n v="20"/>
    <n v="0"/>
    <n v="0"/>
    <x v="582"/>
    <n v="110000"/>
    <n v="117.65"/>
    <n v="81000"/>
    <n v="29000"/>
    <n v="31.02"/>
    <n v="0"/>
    <d v="2025-02-19T00:00:00"/>
  </r>
  <r>
    <s v="B02106"/>
    <s v="P054"/>
    <x v="6"/>
    <s v="Partial Loss"/>
    <n v="20"/>
    <n v="18.899999999999999"/>
    <n v="1.1000000000000001"/>
    <n v="5.5"/>
    <x v="808"/>
    <n v="103950"/>
    <n v="111.18"/>
    <n v="81000"/>
    <n v="22950"/>
    <n v="24.55"/>
    <n v="4455"/>
    <d v="2025-03-11T00:00:00"/>
  </r>
  <r>
    <s v="B02107"/>
    <s v="P054"/>
    <x v="6"/>
    <s v="Sold Out"/>
    <n v="19"/>
    <n v="19"/>
    <n v="0"/>
    <n v="0"/>
    <x v="239"/>
    <n v="104500"/>
    <n v="111.76"/>
    <n v="76950"/>
    <n v="27550"/>
    <n v="29.47"/>
    <n v="0"/>
    <d v="2025-04-01T00:00:00"/>
  </r>
  <r>
    <s v="B02108"/>
    <s v="P054"/>
    <x v="6"/>
    <s v="Sold Out"/>
    <n v="21"/>
    <n v="21"/>
    <n v="0"/>
    <n v="0"/>
    <x v="377"/>
    <n v="115500"/>
    <n v="123.53"/>
    <n v="85050"/>
    <n v="30450"/>
    <n v="32.57"/>
    <n v="0"/>
    <d v="2025-04-20T00:00:00"/>
  </r>
  <r>
    <s v="B02109"/>
    <s v="P054"/>
    <x v="6"/>
    <s v="Partial Loss"/>
    <n v="25"/>
    <n v="24.12"/>
    <n v="0.88"/>
    <n v="3.5"/>
    <x v="779"/>
    <n v="132660"/>
    <n v="141.88"/>
    <n v="101250"/>
    <n v="31410"/>
    <n v="33.590000000000003"/>
    <n v="3564"/>
    <d v="2025-05-11T00:00:00"/>
  </r>
  <r>
    <s v="B02110"/>
    <s v="P054"/>
    <x v="6"/>
    <s v="Sold Out"/>
    <n v="21"/>
    <n v="21"/>
    <n v="0"/>
    <n v="0"/>
    <x v="809"/>
    <n v="115500"/>
    <n v="123.53"/>
    <n v="85050"/>
    <n v="30450"/>
    <n v="32.57"/>
    <n v="0"/>
    <d v="2025-06-02T00:00:00"/>
  </r>
  <r>
    <s v="B02111"/>
    <s v="P054"/>
    <x v="6"/>
    <s v="Sold Out"/>
    <n v="22"/>
    <n v="22"/>
    <n v="0"/>
    <n v="0"/>
    <x v="139"/>
    <n v="121000"/>
    <n v="129.41"/>
    <n v="89100"/>
    <n v="31900"/>
    <n v="34.119999999999997"/>
    <n v="0"/>
    <d v="2025-06-26T00:00:00"/>
  </r>
  <r>
    <s v="B02112"/>
    <s v="P055"/>
    <x v="7"/>
    <s v="Sold Out"/>
    <n v="22"/>
    <n v="22"/>
    <n v="0"/>
    <n v="0"/>
    <x v="78"/>
    <n v="198000"/>
    <n v="211.76"/>
    <n v="149600"/>
    <n v="48400"/>
    <n v="51.76"/>
    <n v="0"/>
    <d v="2023-07-13T00:00:00"/>
  </r>
  <r>
    <s v="B02113"/>
    <s v="P055"/>
    <x v="7"/>
    <s v="Sold Out"/>
    <n v="22"/>
    <n v="22"/>
    <n v="0"/>
    <n v="0"/>
    <x v="251"/>
    <n v="198000"/>
    <n v="211.76"/>
    <n v="149600"/>
    <n v="48400"/>
    <n v="51.76"/>
    <n v="0"/>
    <d v="2023-08-07T00:00:00"/>
  </r>
  <r>
    <s v="B02114"/>
    <s v="P055"/>
    <x v="7"/>
    <s v="Sold Out"/>
    <n v="21"/>
    <n v="21"/>
    <n v="0"/>
    <n v="0"/>
    <x v="810"/>
    <n v="189000"/>
    <n v="202.14"/>
    <n v="142800"/>
    <n v="46200"/>
    <n v="49.41"/>
    <n v="0"/>
    <d v="2023-08-30T00:00:00"/>
  </r>
  <r>
    <s v="B02115"/>
    <s v="P055"/>
    <x v="7"/>
    <s v="Partial Loss"/>
    <n v="22"/>
    <n v="20.99"/>
    <n v="1.01"/>
    <n v="4.5999999999999996"/>
    <x v="599"/>
    <n v="188910"/>
    <n v="202.04"/>
    <n v="149600"/>
    <n v="39310"/>
    <n v="42.04"/>
    <n v="6868"/>
    <d v="2023-09-21T00:00:00"/>
  </r>
  <r>
    <s v="B02116"/>
    <s v="P055"/>
    <x v="7"/>
    <s v="Sold Out"/>
    <n v="8"/>
    <n v="8"/>
    <n v="0"/>
    <n v="0"/>
    <x v="477"/>
    <n v="72000"/>
    <n v="77.010000000000005"/>
    <n v="54400"/>
    <n v="17600"/>
    <n v="18.82"/>
    <n v="0"/>
    <d v="2023-10-07T00:00:00"/>
  </r>
  <r>
    <s v="B02117"/>
    <s v="P055"/>
    <x v="7"/>
    <s v="Sold Out"/>
    <n v="6"/>
    <n v="6"/>
    <n v="0"/>
    <n v="0"/>
    <x v="85"/>
    <n v="54000"/>
    <n v="57.75"/>
    <n v="40800"/>
    <n v="13200"/>
    <n v="14.12"/>
    <n v="0"/>
    <d v="2023-10-27T00:00:00"/>
  </r>
  <r>
    <s v="B02118"/>
    <s v="P055"/>
    <x v="7"/>
    <s v="Partial Loss"/>
    <n v="6"/>
    <n v="5.39"/>
    <n v="0.61"/>
    <n v="10.1"/>
    <x v="397"/>
    <n v="48510"/>
    <n v="51.88"/>
    <n v="40800"/>
    <n v="7710"/>
    <n v="8.25"/>
    <n v="4148"/>
    <d v="2023-11-18T00:00:00"/>
  </r>
  <r>
    <s v="B02119"/>
    <s v="P055"/>
    <x v="7"/>
    <s v="Partial Loss"/>
    <n v="9"/>
    <n v="8.66"/>
    <n v="0.34"/>
    <n v="3.8"/>
    <x v="103"/>
    <n v="77940"/>
    <n v="83.36"/>
    <n v="61200"/>
    <n v="16740"/>
    <n v="17.899999999999999"/>
    <n v="2312"/>
    <d v="2023-12-04T00:00:00"/>
  </r>
  <r>
    <s v="B02120"/>
    <s v="P055"/>
    <x v="7"/>
    <s v="Sold Out"/>
    <n v="9"/>
    <n v="9"/>
    <n v="0"/>
    <n v="0"/>
    <x v="156"/>
    <n v="81000"/>
    <n v="86.63"/>
    <n v="61200"/>
    <n v="19800"/>
    <n v="21.18"/>
    <n v="0"/>
    <d v="2023-12-25T00:00:00"/>
  </r>
  <r>
    <s v="B02121"/>
    <s v="P055"/>
    <x v="7"/>
    <s v="Partial Loss"/>
    <n v="8"/>
    <n v="7.74"/>
    <n v="0.26"/>
    <n v="3.3"/>
    <x v="364"/>
    <n v="69660"/>
    <n v="74.5"/>
    <n v="54400"/>
    <n v="15260"/>
    <n v="16.32"/>
    <n v="1768"/>
    <d v="2024-01-16T00:00:00"/>
  </r>
  <r>
    <s v="B02122"/>
    <s v="P055"/>
    <x v="7"/>
    <s v="Partial Loss"/>
    <n v="7"/>
    <n v="6.12"/>
    <n v="0.88"/>
    <n v="12.5"/>
    <x v="323"/>
    <n v="55080"/>
    <n v="58.91"/>
    <n v="47600"/>
    <n v="7480"/>
    <n v="8"/>
    <n v="5984"/>
    <d v="2024-02-12T00:00:00"/>
  </r>
  <r>
    <s v="B02123"/>
    <s v="P055"/>
    <x v="7"/>
    <s v="Partial Loss"/>
    <n v="7"/>
    <n v="6.48"/>
    <n v="0.52"/>
    <n v="7.4"/>
    <x v="175"/>
    <n v="58320"/>
    <n v="62.37"/>
    <n v="47600"/>
    <n v="10720"/>
    <n v="11.47"/>
    <n v="3536"/>
    <d v="2024-03-01T00:00:00"/>
  </r>
  <r>
    <s v="B02124"/>
    <s v="P055"/>
    <x v="7"/>
    <s v="Sold Out"/>
    <n v="6"/>
    <n v="6"/>
    <n v="0"/>
    <n v="0"/>
    <x v="655"/>
    <n v="54000"/>
    <n v="57.75"/>
    <n v="40800"/>
    <n v="13200"/>
    <n v="14.12"/>
    <n v="0"/>
    <d v="2024-03-20T00:00:00"/>
  </r>
  <r>
    <s v="B02125"/>
    <s v="P055"/>
    <x v="7"/>
    <s v="Partial Loss"/>
    <n v="19"/>
    <n v="17.559999999999999"/>
    <n v="1.44"/>
    <n v="7.6"/>
    <x v="277"/>
    <n v="158040"/>
    <n v="169.03"/>
    <n v="129200"/>
    <n v="28840"/>
    <n v="30.84"/>
    <n v="9792"/>
    <d v="2024-04-07T00:00:00"/>
  </r>
  <r>
    <s v="B02126"/>
    <s v="P055"/>
    <x v="7"/>
    <s v="Partial Loss"/>
    <n v="20"/>
    <n v="19.14"/>
    <n v="0.86"/>
    <n v="4.3"/>
    <x v="609"/>
    <n v="172260"/>
    <n v="184.24"/>
    <n v="136000"/>
    <n v="36260"/>
    <n v="38.78"/>
    <n v="5848"/>
    <d v="2024-04-25T00:00:00"/>
  </r>
  <r>
    <s v="B02127"/>
    <s v="P055"/>
    <x v="7"/>
    <s v="Sold Out"/>
    <n v="20"/>
    <n v="20"/>
    <n v="0"/>
    <n v="0"/>
    <x v="217"/>
    <n v="180000"/>
    <n v="192.51"/>
    <n v="136000"/>
    <n v="44000"/>
    <n v="47.06"/>
    <n v="0"/>
    <d v="2024-05-19T00:00:00"/>
  </r>
  <r>
    <s v="B02128"/>
    <s v="P055"/>
    <x v="7"/>
    <s v="Sold Out"/>
    <n v="22"/>
    <n v="22"/>
    <n v="0"/>
    <n v="0"/>
    <x v="169"/>
    <n v="198000"/>
    <n v="211.76"/>
    <n v="149600"/>
    <n v="48400"/>
    <n v="51.76"/>
    <n v="0"/>
    <d v="2024-06-05T00:00:00"/>
  </r>
  <r>
    <s v="B02129"/>
    <s v="P055"/>
    <x v="7"/>
    <s v="Sold Out"/>
    <n v="20"/>
    <n v="20"/>
    <n v="0"/>
    <n v="0"/>
    <x v="717"/>
    <n v="180000"/>
    <n v="192.51"/>
    <n v="146000"/>
    <n v="34000"/>
    <n v="36.36"/>
    <n v="0"/>
    <d v="2024-06-28T00:00:00"/>
  </r>
  <r>
    <s v="B02130"/>
    <s v="P055"/>
    <x v="7"/>
    <s v="Sold Out"/>
    <n v="19"/>
    <n v="19"/>
    <n v="0"/>
    <n v="0"/>
    <x v="398"/>
    <n v="171000"/>
    <n v="182.89"/>
    <n v="138700"/>
    <n v="32300"/>
    <n v="34.549999999999997"/>
    <n v="0"/>
    <d v="2024-07-16T00:00:00"/>
  </r>
  <r>
    <s v="B02131"/>
    <s v="P055"/>
    <x v="7"/>
    <s v="Partial Loss"/>
    <n v="18"/>
    <n v="17.350000000000001"/>
    <n v="0.65"/>
    <n v="3.6"/>
    <x v="811"/>
    <n v="156150"/>
    <n v="167.01"/>
    <n v="122400"/>
    <n v="33750"/>
    <n v="36.1"/>
    <n v="4420"/>
    <d v="2024-07-28T00:00:00"/>
  </r>
  <r>
    <s v="B02132"/>
    <s v="P055"/>
    <x v="7"/>
    <s v="Sold Out"/>
    <n v="22"/>
    <n v="22"/>
    <n v="0"/>
    <n v="0"/>
    <x v="577"/>
    <n v="198000"/>
    <n v="211.76"/>
    <n v="149600"/>
    <n v="48400"/>
    <n v="51.76"/>
    <n v="0"/>
    <d v="2024-08-23T00:00:00"/>
  </r>
  <r>
    <s v="B02133"/>
    <s v="P055"/>
    <x v="7"/>
    <s v="Sold Out"/>
    <n v="28"/>
    <n v="28"/>
    <n v="0"/>
    <n v="0"/>
    <x v="368"/>
    <n v="252000"/>
    <n v="269.52"/>
    <n v="204400"/>
    <n v="47600"/>
    <n v="50.91"/>
    <n v="0"/>
    <d v="2024-09-12T00:00:00"/>
  </r>
  <r>
    <s v="B02134"/>
    <s v="P055"/>
    <x v="7"/>
    <s v="Sold Out"/>
    <n v="6"/>
    <n v="6"/>
    <n v="0"/>
    <n v="0"/>
    <x v="115"/>
    <n v="54000"/>
    <n v="57.75"/>
    <n v="40800"/>
    <n v="13200"/>
    <n v="14.12"/>
    <n v="0"/>
    <d v="2024-10-09T00:00:00"/>
  </r>
  <r>
    <s v="B02135"/>
    <s v="P055"/>
    <x v="7"/>
    <s v="Partial Loss"/>
    <n v="7"/>
    <n v="6.84"/>
    <n v="0.16"/>
    <n v="2.2999999999999998"/>
    <x v="243"/>
    <n v="61560"/>
    <n v="65.84"/>
    <n v="51100"/>
    <n v="10460"/>
    <n v="11.19"/>
    <n v="1168"/>
    <d v="2024-10-30T00:00:00"/>
  </r>
  <r>
    <s v="B02136"/>
    <s v="P055"/>
    <x v="7"/>
    <s v="Sold Out"/>
    <n v="8"/>
    <n v="8"/>
    <n v="0"/>
    <n v="0"/>
    <x v="53"/>
    <n v="72000"/>
    <n v="77.010000000000005"/>
    <n v="58400"/>
    <n v="13600"/>
    <n v="14.55"/>
    <n v="0"/>
    <d v="2024-11-20T00:00:00"/>
  </r>
  <r>
    <s v="B02137"/>
    <s v="P055"/>
    <x v="7"/>
    <s v="Partial Loss"/>
    <n v="10"/>
    <n v="9.11"/>
    <n v="0.89"/>
    <n v="8.9"/>
    <x v="812"/>
    <n v="81990"/>
    <n v="87.69"/>
    <n v="73000"/>
    <n v="8990"/>
    <n v="9.61"/>
    <n v="6497"/>
    <d v="2024-12-12T00:00:00"/>
  </r>
  <r>
    <s v="B02138"/>
    <s v="P055"/>
    <x v="7"/>
    <s v="Sold Out"/>
    <n v="7"/>
    <n v="7"/>
    <n v="0"/>
    <n v="0"/>
    <x v="372"/>
    <n v="63000"/>
    <n v="67.38"/>
    <n v="47600"/>
    <n v="15400"/>
    <n v="16.47"/>
    <n v="0"/>
    <d v="2025-01-01T00:00:00"/>
  </r>
  <r>
    <s v="B02139"/>
    <s v="P055"/>
    <x v="7"/>
    <s v="Sold Out"/>
    <n v="7"/>
    <n v="7"/>
    <n v="0"/>
    <n v="0"/>
    <x v="580"/>
    <n v="63000"/>
    <n v="67.38"/>
    <n v="47600"/>
    <n v="15400"/>
    <n v="16.47"/>
    <n v="0"/>
    <d v="2025-01-19T00:00:00"/>
  </r>
  <r>
    <s v="B02140"/>
    <s v="P055"/>
    <x v="7"/>
    <s v="Sold Out"/>
    <n v="7"/>
    <n v="7"/>
    <n v="0"/>
    <n v="0"/>
    <x v="286"/>
    <n v="63000"/>
    <n v="67.38"/>
    <n v="47600"/>
    <n v="15400"/>
    <n v="16.47"/>
    <n v="0"/>
    <d v="2025-02-13T00:00:00"/>
  </r>
  <r>
    <s v="B02141"/>
    <s v="P055"/>
    <x v="7"/>
    <s v="Sold Out"/>
    <n v="7"/>
    <n v="7"/>
    <n v="0"/>
    <n v="0"/>
    <x v="287"/>
    <n v="63000"/>
    <n v="67.38"/>
    <n v="47600"/>
    <n v="15400"/>
    <n v="16.47"/>
    <n v="0"/>
    <d v="2025-02-27T00:00:00"/>
  </r>
  <r>
    <s v="B02142"/>
    <s v="P055"/>
    <x v="7"/>
    <s v="Partial Loss"/>
    <n v="7"/>
    <n v="6.5"/>
    <n v="0.5"/>
    <n v="7.1"/>
    <x v="813"/>
    <n v="58500"/>
    <n v="62.57"/>
    <n v="47600"/>
    <n v="10900"/>
    <n v="11.66"/>
    <n v="3400"/>
    <d v="2025-03-23T00:00:00"/>
  </r>
  <r>
    <s v="B02143"/>
    <s v="P055"/>
    <x v="7"/>
    <s v="Sold Out"/>
    <n v="19"/>
    <n v="19"/>
    <n v="0"/>
    <n v="0"/>
    <x v="240"/>
    <n v="171000"/>
    <n v="182.89"/>
    <n v="129200"/>
    <n v="41800"/>
    <n v="44.71"/>
    <n v="0"/>
    <d v="2025-04-13T00:00:00"/>
  </r>
  <r>
    <s v="B02144"/>
    <s v="P055"/>
    <x v="7"/>
    <s v="Sold Out"/>
    <n v="18"/>
    <n v="18"/>
    <n v="0"/>
    <n v="0"/>
    <x v="723"/>
    <n v="162000"/>
    <n v="173.26"/>
    <n v="122400"/>
    <n v="39600"/>
    <n v="42.35"/>
    <n v="0"/>
    <d v="2025-05-05T00:00:00"/>
  </r>
  <r>
    <s v="B02145"/>
    <s v="P055"/>
    <x v="7"/>
    <s v="Sold Out"/>
    <n v="23"/>
    <n v="23"/>
    <n v="0"/>
    <n v="0"/>
    <x v="615"/>
    <n v="207000"/>
    <n v="221.39"/>
    <n v="156400"/>
    <n v="50600"/>
    <n v="54.12"/>
    <n v="0"/>
    <d v="2025-05-22T00:00:00"/>
  </r>
  <r>
    <s v="B02146"/>
    <s v="P055"/>
    <x v="7"/>
    <s v="Sold Out"/>
    <n v="22"/>
    <n v="22"/>
    <n v="0"/>
    <n v="0"/>
    <x v="76"/>
    <n v="198000"/>
    <n v="211.76"/>
    <n v="149600"/>
    <n v="48400"/>
    <n v="51.76"/>
    <n v="0"/>
    <d v="2025-06-14T00:00:00"/>
  </r>
  <r>
    <s v="B02147"/>
    <s v="P056"/>
    <x v="7"/>
    <s v="Sold Out"/>
    <n v="18"/>
    <n v="18"/>
    <n v="0"/>
    <n v="0"/>
    <x v="248"/>
    <n v="234000"/>
    <n v="250.27"/>
    <n v="180000"/>
    <n v="54000"/>
    <n v="57.75"/>
    <n v="0"/>
    <d v="2023-07-15T00:00:00"/>
  </r>
  <r>
    <s v="B02148"/>
    <s v="P056"/>
    <x v="7"/>
    <s v="Partial Loss"/>
    <n v="18"/>
    <n v="17.079999999999998"/>
    <n v="0.92"/>
    <n v="5.0999999999999996"/>
    <x v="702"/>
    <n v="222040"/>
    <n v="237.48"/>
    <n v="180000"/>
    <n v="42040"/>
    <n v="44.96"/>
    <n v="9200"/>
    <d v="2023-08-10T00:00:00"/>
  </r>
  <r>
    <s v="B02149"/>
    <s v="P056"/>
    <x v="7"/>
    <s v="Sold Out"/>
    <n v="28"/>
    <n v="28"/>
    <n v="0"/>
    <n v="0"/>
    <x v="83"/>
    <n v="364000"/>
    <n v="389.3"/>
    <n v="280000"/>
    <n v="84000"/>
    <n v="89.84"/>
    <n v="0"/>
    <d v="2023-09-02T00:00:00"/>
  </r>
  <r>
    <s v="B02150"/>
    <s v="P056"/>
    <x v="7"/>
    <s v="Partial Loss"/>
    <n v="22"/>
    <n v="21.69"/>
    <n v="0.31"/>
    <n v="1.4"/>
    <x v="391"/>
    <n v="281970"/>
    <n v="301.57"/>
    <n v="220000"/>
    <n v="61970"/>
    <n v="66.28"/>
    <n v="3100"/>
    <d v="2023-09-18T00:00:00"/>
  </r>
  <r>
    <s v="B02151"/>
    <s v="P056"/>
    <x v="7"/>
    <s v="Partial Loss"/>
    <n v="8"/>
    <n v="7.43"/>
    <n v="0.56999999999999995"/>
    <n v="7.1"/>
    <x v="514"/>
    <n v="96590"/>
    <n v="103.3"/>
    <n v="80000"/>
    <n v="16590"/>
    <n v="17.739999999999998"/>
    <n v="5699.9999999999991"/>
    <d v="2023-10-09T00:00:00"/>
  </r>
  <r>
    <s v="B02152"/>
    <s v="P056"/>
    <x v="7"/>
    <s v="Partial Loss"/>
    <n v="8"/>
    <n v="7.18"/>
    <n v="0.82"/>
    <n v="10.3"/>
    <x v="99"/>
    <n v="93340"/>
    <n v="99.83"/>
    <n v="80000"/>
    <n v="13340"/>
    <n v="14.27"/>
    <n v="8200"/>
    <d v="2023-10-31T00:00:00"/>
  </r>
  <r>
    <s v="B02153"/>
    <s v="P056"/>
    <x v="7"/>
    <s v="Sold Out"/>
    <n v="8"/>
    <n v="8"/>
    <n v="0"/>
    <n v="0"/>
    <x v="594"/>
    <n v="104000"/>
    <n v="111.23"/>
    <n v="80000"/>
    <n v="24000"/>
    <n v="25.67"/>
    <n v="0"/>
    <d v="2023-11-21T00:00:00"/>
  </r>
  <r>
    <s v="B02154"/>
    <s v="P056"/>
    <x v="7"/>
    <s v="Sold Out"/>
    <n v="10"/>
    <n v="10"/>
    <n v="0"/>
    <n v="0"/>
    <x v="478"/>
    <n v="130000"/>
    <n v="139.04"/>
    <n v="100000"/>
    <n v="30000"/>
    <n v="32.090000000000003"/>
    <n v="0"/>
    <d v="2023-12-16T00:00:00"/>
  </r>
  <r>
    <s v="B02155"/>
    <s v="P056"/>
    <x v="7"/>
    <s v="Sold Out"/>
    <n v="7"/>
    <n v="7"/>
    <n v="0"/>
    <n v="0"/>
    <x v="638"/>
    <n v="91000"/>
    <n v="97.33"/>
    <n v="70000"/>
    <n v="21000"/>
    <n v="22.46"/>
    <n v="0"/>
    <d v="2024-01-08T00:00:00"/>
  </r>
  <r>
    <s v="B02156"/>
    <s v="P056"/>
    <x v="7"/>
    <s v="Sold Out"/>
    <n v="7"/>
    <n v="7"/>
    <n v="0"/>
    <n v="0"/>
    <x v="262"/>
    <n v="91000"/>
    <n v="97.33"/>
    <n v="70000"/>
    <n v="21000"/>
    <n v="22.46"/>
    <n v="0"/>
    <d v="2024-01-25T00:00:00"/>
  </r>
  <r>
    <s v="B02157"/>
    <s v="P056"/>
    <x v="7"/>
    <s v="Partial Loss"/>
    <n v="7"/>
    <n v="6.04"/>
    <n v="0.96"/>
    <n v="13.7"/>
    <x v="797"/>
    <n v="78520"/>
    <n v="83.98"/>
    <n v="67550"/>
    <n v="10970"/>
    <n v="11.73"/>
    <n v="9264"/>
    <d v="2024-02-13T00:00:00"/>
  </r>
  <r>
    <s v="B02158"/>
    <s v="P056"/>
    <x v="7"/>
    <s v="Sold Out"/>
    <n v="8"/>
    <n v="8"/>
    <n v="0"/>
    <n v="0"/>
    <x v="597"/>
    <n v="104000"/>
    <n v="111.23"/>
    <n v="80000"/>
    <n v="24000"/>
    <n v="25.67"/>
    <n v="0"/>
    <d v="2024-02-28T00:00:00"/>
  </r>
  <r>
    <s v="B02159"/>
    <s v="P056"/>
    <x v="7"/>
    <s v="Partial Loss"/>
    <n v="6"/>
    <n v="5.58"/>
    <n v="0.42"/>
    <n v="7"/>
    <x v="111"/>
    <n v="72540"/>
    <n v="77.58"/>
    <n v="60000"/>
    <n v="12540"/>
    <n v="13.41"/>
    <n v="4200"/>
    <d v="2024-03-19T00:00:00"/>
  </r>
  <r>
    <s v="B02160"/>
    <s v="P056"/>
    <x v="7"/>
    <s v="Sold Out"/>
    <n v="20"/>
    <n v="20"/>
    <n v="0"/>
    <n v="0"/>
    <x v="484"/>
    <n v="260000"/>
    <n v="278.07"/>
    <n v="200000"/>
    <n v="60000"/>
    <n v="64.17"/>
    <n v="0"/>
    <d v="2024-04-11T00:00:00"/>
  </r>
  <r>
    <s v="B02161"/>
    <s v="P056"/>
    <x v="7"/>
    <s v="Sold Out"/>
    <n v="21"/>
    <n v="21"/>
    <n v="0"/>
    <n v="0"/>
    <x v="574"/>
    <n v="273000"/>
    <n v="291.98"/>
    <n v="210000"/>
    <n v="63000"/>
    <n v="67.38"/>
    <n v="0"/>
    <d v="2024-05-05T00:00:00"/>
  </r>
  <r>
    <s v="B02162"/>
    <s v="P056"/>
    <x v="7"/>
    <s v="Sold Out"/>
    <n v="22"/>
    <n v="22"/>
    <n v="0"/>
    <n v="0"/>
    <x v="165"/>
    <n v="286000"/>
    <n v="305.88"/>
    <n v="220000"/>
    <n v="66000"/>
    <n v="70.59"/>
    <n v="0"/>
    <d v="2024-05-25T00:00:00"/>
  </r>
  <r>
    <s v="B02163"/>
    <s v="P056"/>
    <x v="7"/>
    <s v="Sold Out"/>
    <n v="17"/>
    <n v="17"/>
    <n v="0"/>
    <n v="0"/>
    <x v="103"/>
    <n v="221000"/>
    <n v="236.36"/>
    <n v="170000"/>
    <n v="51000"/>
    <n v="54.55"/>
    <n v="0"/>
    <d v="2024-06-14T00:00:00"/>
  </r>
  <r>
    <s v="B02164"/>
    <s v="P056"/>
    <x v="7"/>
    <s v="Sold Out"/>
    <n v="22"/>
    <n v="22"/>
    <n v="0"/>
    <n v="0"/>
    <x v="575"/>
    <n v="286000"/>
    <n v="305.88"/>
    <n v="220000"/>
    <n v="66000"/>
    <n v="70.59"/>
    <n v="0"/>
    <d v="2024-06-28T00:00:00"/>
  </r>
  <r>
    <s v="B02165"/>
    <s v="P056"/>
    <x v="7"/>
    <s v="Sold Out"/>
    <n v="16"/>
    <n v="16"/>
    <n v="0"/>
    <n v="0"/>
    <x v="488"/>
    <n v="208000"/>
    <n v="222.46"/>
    <n v="160000"/>
    <n v="48000"/>
    <n v="51.34"/>
    <n v="0"/>
    <d v="2024-07-16T00:00:00"/>
  </r>
  <r>
    <s v="B02166"/>
    <s v="P056"/>
    <x v="7"/>
    <s v="Partial Loss"/>
    <n v="21"/>
    <n v="19.87"/>
    <n v="1.1299999999999999"/>
    <n v="5.4"/>
    <x v="234"/>
    <n v="258310"/>
    <n v="276.27"/>
    <n v="210000"/>
    <n v="48310"/>
    <n v="51.67"/>
    <n v="11299.999999999998"/>
    <d v="2024-08-08T00:00:00"/>
  </r>
  <r>
    <s v="B02167"/>
    <s v="P056"/>
    <x v="7"/>
    <s v="Sold Out"/>
    <n v="16"/>
    <n v="16"/>
    <n v="0"/>
    <n v="0"/>
    <x v="273"/>
    <n v="208000"/>
    <n v="222.46"/>
    <n v="160000"/>
    <n v="48000"/>
    <n v="51.34"/>
    <n v="0"/>
    <d v="2024-08-26T00:00:00"/>
  </r>
  <r>
    <s v="B02168"/>
    <s v="P056"/>
    <x v="7"/>
    <s v="Sold Out"/>
    <n v="28"/>
    <n v="28"/>
    <n v="0"/>
    <n v="0"/>
    <x v="814"/>
    <n v="364000"/>
    <n v="389.3"/>
    <n v="270200"/>
    <n v="93800"/>
    <n v="100.32"/>
    <n v="0"/>
    <d v="2024-09-16T00:00:00"/>
  </r>
  <r>
    <s v="B02169"/>
    <s v="P056"/>
    <x v="7"/>
    <s v="Sold Out"/>
    <n v="7"/>
    <n v="7"/>
    <n v="0"/>
    <n v="0"/>
    <x v="462"/>
    <n v="91000"/>
    <n v="97.33"/>
    <n v="70000"/>
    <n v="21000"/>
    <n v="22.46"/>
    <n v="0"/>
    <d v="2024-10-08T00:00:00"/>
  </r>
  <r>
    <s v="B02170"/>
    <s v="P056"/>
    <x v="7"/>
    <s v="Partial Loss"/>
    <n v="7"/>
    <n v="6.74"/>
    <n v="0.26"/>
    <n v="3.7"/>
    <x v="615"/>
    <n v="87620"/>
    <n v="93.71"/>
    <n v="70000"/>
    <n v="17620"/>
    <n v="18.84"/>
    <n v="2600"/>
    <d v="2024-10-31T00:00:00"/>
  </r>
  <r>
    <s v="B02171"/>
    <s v="P056"/>
    <x v="7"/>
    <s v="Partial Loss"/>
    <n v="8"/>
    <n v="7.35"/>
    <n v="0.65"/>
    <n v="8.1"/>
    <x v="528"/>
    <n v="95550"/>
    <n v="102.19"/>
    <n v="80000"/>
    <n v="15550"/>
    <n v="16.63"/>
    <n v="6500"/>
    <d v="2024-11-22T00:00:00"/>
  </r>
  <r>
    <s v="B02172"/>
    <s v="P056"/>
    <x v="7"/>
    <s v="Partial Loss"/>
    <n v="9"/>
    <n v="8.93"/>
    <n v="7.0000000000000007E-2"/>
    <n v="0.8"/>
    <x v="196"/>
    <n v="116090"/>
    <n v="124.16"/>
    <n v="90000"/>
    <n v="26090"/>
    <n v="27.9"/>
    <n v="700.00000000000011"/>
    <d v="2024-12-15T00:00:00"/>
  </r>
  <r>
    <s v="B02173"/>
    <s v="P056"/>
    <x v="7"/>
    <s v="Partial Loss"/>
    <n v="7"/>
    <n v="6.73"/>
    <n v="0.27"/>
    <n v="3.8"/>
    <x v="442"/>
    <n v="87490"/>
    <n v="93.57"/>
    <n v="67550"/>
    <n v="19940"/>
    <n v="21.33"/>
    <n v="2605.5"/>
    <d v="2025-01-04T00:00:00"/>
  </r>
  <r>
    <s v="B02174"/>
    <s v="P056"/>
    <x v="7"/>
    <s v="Partial Loss"/>
    <n v="8"/>
    <n v="7.41"/>
    <n v="0.59"/>
    <n v="7.4"/>
    <x v="815"/>
    <n v="96330"/>
    <n v="103.03"/>
    <n v="80000"/>
    <n v="16330"/>
    <n v="17.47"/>
    <n v="5900"/>
    <d v="2025-01-26T00:00:00"/>
  </r>
  <r>
    <s v="B02175"/>
    <s v="P056"/>
    <x v="7"/>
    <s v="Partial Loss"/>
    <n v="8"/>
    <n v="7.31"/>
    <n v="0.69"/>
    <n v="8.6"/>
    <x v="649"/>
    <n v="95030"/>
    <n v="101.64"/>
    <n v="80000"/>
    <n v="15030"/>
    <n v="16.07"/>
    <n v="6899.9999999999991"/>
    <d v="2025-02-17T00:00:00"/>
  </r>
  <r>
    <s v="B02176"/>
    <s v="P056"/>
    <x v="7"/>
    <s v="Partial Loss"/>
    <n v="8"/>
    <n v="7.45"/>
    <n v="0.55000000000000004"/>
    <n v="6.9"/>
    <x v="816"/>
    <n v="96850"/>
    <n v="103.58"/>
    <n v="80000"/>
    <n v="16850"/>
    <n v="18.02"/>
    <n v="5500"/>
    <d v="2025-03-07T00:00:00"/>
  </r>
  <r>
    <s v="B02177"/>
    <s v="P056"/>
    <x v="7"/>
    <s v="Sold Out"/>
    <n v="19"/>
    <n v="19"/>
    <n v="0"/>
    <n v="0"/>
    <x v="817"/>
    <n v="247000"/>
    <n v="264.17"/>
    <n v="190000"/>
    <n v="57000"/>
    <n v="60.96"/>
    <n v="0"/>
    <d v="2025-04-01T00:00:00"/>
  </r>
  <r>
    <s v="B02178"/>
    <s v="P056"/>
    <x v="7"/>
    <s v="Sold Out"/>
    <n v="21"/>
    <n v="21"/>
    <n v="0"/>
    <n v="0"/>
    <x v="585"/>
    <n v="273000"/>
    <n v="291.98"/>
    <n v="210000"/>
    <n v="63000"/>
    <n v="67.38"/>
    <n v="0"/>
    <d v="2025-04-23T00:00:00"/>
  </r>
  <r>
    <s v="B02179"/>
    <s v="P056"/>
    <x v="7"/>
    <s v="Partial Loss"/>
    <n v="22"/>
    <n v="21.52"/>
    <n v="0.48"/>
    <n v="2.2000000000000002"/>
    <x v="818"/>
    <n v="279760"/>
    <n v="299.20999999999998"/>
    <n v="220000"/>
    <n v="59760"/>
    <n v="63.91"/>
    <n v="4800"/>
    <d v="2025-05-11T00:00:00"/>
  </r>
  <r>
    <s v="B02180"/>
    <s v="P056"/>
    <x v="7"/>
    <s v="Sold Out"/>
    <n v="22"/>
    <n v="22"/>
    <n v="0"/>
    <n v="0"/>
    <x v="471"/>
    <n v="286000"/>
    <n v="305.88"/>
    <n v="220000"/>
    <n v="66000"/>
    <n v="70.59"/>
    <n v="0"/>
    <d v="2025-06-06T00:00:00"/>
  </r>
  <r>
    <s v="B02181"/>
    <s v="P056"/>
    <x v="7"/>
    <s v="Sold Out"/>
    <n v="23"/>
    <n v="23"/>
    <n v="0"/>
    <n v="0"/>
    <x v="294"/>
    <n v="299000"/>
    <n v="319.79000000000002"/>
    <n v="221950"/>
    <n v="77050"/>
    <n v="82.41"/>
    <n v="0"/>
    <d v="2025-06-26T00:00:00"/>
  </r>
  <r>
    <s v="B02182"/>
    <s v="P057"/>
    <x v="7"/>
    <s v="Sold Out"/>
    <n v="18"/>
    <n v="18"/>
    <n v="0"/>
    <n v="0"/>
    <x v="497"/>
    <n v="108000"/>
    <n v="115.51"/>
    <n v="83700"/>
    <n v="24300"/>
    <n v="25.99"/>
    <n v="0"/>
    <d v="2023-07-06T00:00:00"/>
  </r>
  <r>
    <s v="B02183"/>
    <s v="P057"/>
    <x v="7"/>
    <s v="Partial Loss"/>
    <n v="21"/>
    <n v="20.29"/>
    <n v="0.71"/>
    <n v="3.4"/>
    <x v="595"/>
    <n v="121740"/>
    <n v="130.19999999999999"/>
    <n v="97650"/>
    <n v="24090"/>
    <n v="25.76"/>
    <n v="3301.5"/>
    <d v="2023-07-30T00:00:00"/>
  </r>
  <r>
    <s v="B02184"/>
    <s v="P057"/>
    <x v="7"/>
    <s v="Sold Out"/>
    <n v="18"/>
    <n v="18"/>
    <n v="0"/>
    <n v="0"/>
    <x v="348"/>
    <n v="108000"/>
    <n v="115.51"/>
    <n v="83700"/>
    <n v="24300"/>
    <n v="25.99"/>
    <n v="0"/>
    <d v="2023-08-26T00:00:00"/>
  </r>
  <r>
    <s v="B02185"/>
    <s v="P057"/>
    <x v="7"/>
    <s v="Sold Out"/>
    <n v="22"/>
    <n v="22"/>
    <n v="0"/>
    <n v="0"/>
    <x v="770"/>
    <n v="132000"/>
    <n v="141.18"/>
    <n v="102300"/>
    <n v="29700"/>
    <n v="31.76"/>
    <n v="0"/>
    <d v="2023-09-10T00:00:00"/>
  </r>
  <r>
    <s v="B02186"/>
    <s v="P057"/>
    <x v="7"/>
    <s v="Sold Out"/>
    <n v="25"/>
    <n v="25"/>
    <n v="0"/>
    <n v="0"/>
    <x v="568"/>
    <n v="150000"/>
    <n v="160.43"/>
    <n v="116250"/>
    <n v="33750"/>
    <n v="36.1"/>
    <n v="0"/>
    <d v="2023-09-25T00:00:00"/>
  </r>
  <r>
    <s v="B02187"/>
    <s v="P057"/>
    <x v="7"/>
    <s v="Sold Out"/>
    <n v="7"/>
    <n v="7"/>
    <n v="0"/>
    <n v="0"/>
    <x v="151"/>
    <n v="42000"/>
    <n v="44.92"/>
    <n v="32550"/>
    <n v="9450"/>
    <n v="10.11"/>
    <n v="0"/>
    <d v="2023-10-15T00:00:00"/>
  </r>
  <r>
    <s v="B02188"/>
    <s v="P057"/>
    <x v="7"/>
    <s v="Partial Loss"/>
    <n v="6"/>
    <n v="5.69"/>
    <n v="0.31"/>
    <n v="5.0999999999999996"/>
    <x v="319"/>
    <n v="34140"/>
    <n v="36.51"/>
    <n v="27900"/>
    <n v="6240"/>
    <n v="6.67"/>
    <n v="1441.5"/>
    <d v="2023-11-10T00:00:00"/>
  </r>
  <r>
    <s v="B02189"/>
    <s v="P057"/>
    <x v="7"/>
    <s v="Partial Loss"/>
    <n v="7"/>
    <n v="6.42"/>
    <n v="0.57999999999999996"/>
    <n v="8.3000000000000007"/>
    <x v="549"/>
    <n v="38520"/>
    <n v="41.2"/>
    <n v="32200"/>
    <n v="6320"/>
    <n v="6.76"/>
    <n v="2668"/>
    <d v="2023-11-29T00:00:00"/>
  </r>
  <r>
    <s v="B02190"/>
    <s v="P057"/>
    <x v="7"/>
    <s v="Partial Loss"/>
    <n v="9"/>
    <n v="8.5"/>
    <n v="0.49"/>
    <n v="5.5"/>
    <x v="362"/>
    <n v="51000"/>
    <n v="54.55"/>
    <n v="41850"/>
    <n v="9150"/>
    <n v="9.7899999999999991"/>
    <n v="2278.5"/>
    <d v="2023-12-17T00:00:00"/>
  </r>
  <r>
    <s v="B02191"/>
    <s v="P057"/>
    <x v="7"/>
    <s v="Sold Out"/>
    <n v="8"/>
    <n v="8"/>
    <n v="0"/>
    <n v="0"/>
    <x v="450"/>
    <n v="48000"/>
    <n v="51.34"/>
    <n v="37200"/>
    <n v="10800"/>
    <n v="11.55"/>
    <n v="0"/>
    <d v="2024-01-04T00:00:00"/>
  </r>
  <r>
    <s v="B02192"/>
    <s v="P057"/>
    <x v="7"/>
    <s v="Partial Loss"/>
    <n v="8"/>
    <n v="7.54"/>
    <n v="0.46"/>
    <n v="5.8"/>
    <x v="325"/>
    <n v="45240"/>
    <n v="48.39"/>
    <n v="37200"/>
    <n v="8040"/>
    <n v="8.6"/>
    <n v="2139"/>
    <d v="2024-01-23T00:00:00"/>
  </r>
  <r>
    <s v="B02193"/>
    <s v="P057"/>
    <x v="7"/>
    <s v="Sold Out"/>
    <n v="8"/>
    <n v="8"/>
    <n v="0"/>
    <n v="0"/>
    <x v="543"/>
    <n v="48000"/>
    <n v="51.34"/>
    <n v="37200"/>
    <n v="10800"/>
    <n v="11.55"/>
    <n v="0"/>
    <d v="2024-02-13T00:00:00"/>
  </r>
  <r>
    <s v="B02194"/>
    <s v="P057"/>
    <x v="7"/>
    <s v="Partial Loss"/>
    <n v="7"/>
    <n v="6.69"/>
    <n v="0.31"/>
    <n v="4.4000000000000004"/>
    <x v="328"/>
    <n v="40140"/>
    <n v="42.93"/>
    <n v="32550"/>
    <n v="7590"/>
    <n v="8.1199999999999992"/>
    <n v="1441.5"/>
    <d v="2024-03-03T00:00:00"/>
  </r>
  <r>
    <s v="B02195"/>
    <s v="P057"/>
    <x v="7"/>
    <s v="Sold Out"/>
    <n v="7"/>
    <n v="7"/>
    <n v="0"/>
    <n v="0"/>
    <x v="313"/>
    <n v="42000"/>
    <n v="44.92"/>
    <n v="32200"/>
    <n v="9800"/>
    <n v="10.48"/>
    <n v="0"/>
    <d v="2024-03-21T00:00:00"/>
  </r>
  <r>
    <s v="B02196"/>
    <s v="P057"/>
    <x v="7"/>
    <s v="Sold Out"/>
    <n v="17"/>
    <n v="17"/>
    <n v="0"/>
    <n v="0"/>
    <x v="95"/>
    <n v="102000"/>
    <n v="109.09"/>
    <n v="79050"/>
    <n v="22950"/>
    <n v="24.55"/>
    <n v="0"/>
    <d v="2024-04-11T00:00:00"/>
  </r>
  <r>
    <s v="B02197"/>
    <s v="P057"/>
    <x v="7"/>
    <s v="Sold Out"/>
    <n v="20"/>
    <n v="20"/>
    <n v="0"/>
    <n v="0"/>
    <x v="163"/>
    <n v="120000"/>
    <n v="128.34"/>
    <n v="93000"/>
    <n v="27000"/>
    <n v="28.88"/>
    <n v="0"/>
    <d v="2024-05-04T00:00:00"/>
  </r>
  <r>
    <s v="B02198"/>
    <s v="P057"/>
    <x v="7"/>
    <s v="Sold Out"/>
    <n v="18"/>
    <n v="18"/>
    <n v="0"/>
    <n v="0"/>
    <x v="100"/>
    <n v="108000"/>
    <n v="115.51"/>
    <n v="83700"/>
    <n v="24300"/>
    <n v="25.99"/>
    <n v="0"/>
    <d v="2024-05-25T00:00:00"/>
  </r>
  <r>
    <s v="B02199"/>
    <s v="P057"/>
    <x v="7"/>
    <s v="Sold Out"/>
    <n v="17"/>
    <n v="17"/>
    <n v="0"/>
    <n v="0"/>
    <x v="38"/>
    <n v="102000"/>
    <n v="109.09"/>
    <n v="79050"/>
    <n v="22950"/>
    <n v="24.55"/>
    <n v="0"/>
    <d v="2024-06-14T00:00:00"/>
  </r>
  <r>
    <s v="B02200"/>
    <s v="P057"/>
    <x v="7"/>
    <s v="Sold Out"/>
    <n v="19"/>
    <n v="19"/>
    <n v="0"/>
    <n v="0"/>
    <x v="551"/>
    <n v="114000"/>
    <n v="121.93"/>
    <n v="88350"/>
    <n v="25650"/>
    <n v="27.43"/>
    <n v="0"/>
    <d v="2024-07-04T00:00:00"/>
  </r>
  <r>
    <s v="B02201"/>
    <s v="P057"/>
    <x v="7"/>
    <s v="Sold Out"/>
    <n v="19"/>
    <n v="19"/>
    <n v="0"/>
    <n v="0"/>
    <x v="456"/>
    <n v="114000"/>
    <n v="121.93"/>
    <n v="87400"/>
    <n v="26600"/>
    <n v="28.45"/>
    <n v="0"/>
    <d v="2024-07-19T00:00:00"/>
  </r>
  <r>
    <s v="B02202"/>
    <s v="P057"/>
    <x v="7"/>
    <s v="Sold Out"/>
    <n v="18"/>
    <n v="18"/>
    <n v="0"/>
    <n v="0"/>
    <x v="819"/>
    <n v="108000"/>
    <n v="115.51"/>
    <n v="83700"/>
    <n v="24300"/>
    <n v="25.99"/>
    <n v="0"/>
    <d v="2024-08-14T00:00:00"/>
  </r>
  <r>
    <s v="B02203"/>
    <s v="P057"/>
    <x v="7"/>
    <s v="Sold Out"/>
    <n v="22"/>
    <n v="22"/>
    <n v="0"/>
    <n v="0"/>
    <x v="366"/>
    <n v="132000"/>
    <n v="141.18"/>
    <n v="102300"/>
    <n v="29700"/>
    <n v="31.76"/>
    <n v="0"/>
    <d v="2024-09-01T00:00:00"/>
  </r>
  <r>
    <s v="B02204"/>
    <s v="P057"/>
    <x v="7"/>
    <s v="Sold Out"/>
    <n v="24"/>
    <n v="24"/>
    <n v="0"/>
    <n v="0"/>
    <x v="114"/>
    <n v="144000"/>
    <n v="154.01"/>
    <n v="111600"/>
    <n v="32400"/>
    <n v="34.65"/>
    <n v="0"/>
    <d v="2024-09-21T00:00:00"/>
  </r>
  <r>
    <s v="B02205"/>
    <s v="P057"/>
    <x v="7"/>
    <s v="Sold Out"/>
    <n v="6"/>
    <n v="6"/>
    <n v="0"/>
    <n v="0"/>
    <x v="176"/>
    <n v="36000"/>
    <n v="38.5"/>
    <n v="27900"/>
    <n v="8100"/>
    <n v="8.66"/>
    <n v="0"/>
    <d v="2024-10-18T00:00:00"/>
  </r>
  <r>
    <s v="B02206"/>
    <s v="P057"/>
    <x v="7"/>
    <s v="Sold Out"/>
    <n v="8"/>
    <n v="8"/>
    <n v="0"/>
    <n v="0"/>
    <x v="609"/>
    <n v="48000"/>
    <n v="51.34"/>
    <n v="37200"/>
    <n v="10800"/>
    <n v="11.55"/>
    <n v="0"/>
    <d v="2024-11-08T00:00:00"/>
  </r>
  <r>
    <s v="B02207"/>
    <s v="P057"/>
    <x v="7"/>
    <s v="Sold Out"/>
    <n v="8"/>
    <n v="8"/>
    <n v="0"/>
    <n v="0"/>
    <x v="521"/>
    <n v="48000"/>
    <n v="51.34"/>
    <n v="37200"/>
    <n v="10800"/>
    <n v="11.55"/>
    <n v="0"/>
    <d v="2024-11-29T00:00:00"/>
  </r>
  <r>
    <s v="B02208"/>
    <s v="P057"/>
    <x v="7"/>
    <s v="Partial Loss"/>
    <n v="9"/>
    <n v="8.33"/>
    <n v="0.67"/>
    <n v="7.4"/>
    <x v="812"/>
    <n v="49980"/>
    <n v="53.45"/>
    <n v="41850"/>
    <n v="8130"/>
    <n v="8.6999999999999993"/>
    <n v="3115.5"/>
    <d v="2024-12-12T00:00:00"/>
  </r>
  <r>
    <s v="B02209"/>
    <s v="P057"/>
    <x v="7"/>
    <s v="Partial Loss"/>
    <n v="8"/>
    <n v="7.54"/>
    <n v="0.46"/>
    <n v="5.8"/>
    <x v="820"/>
    <n v="45240"/>
    <n v="48.39"/>
    <n v="37200"/>
    <n v="8040"/>
    <n v="8.6"/>
    <n v="2139"/>
    <d v="2025-01-01T00:00:00"/>
  </r>
  <r>
    <s v="B02210"/>
    <s v="P057"/>
    <x v="7"/>
    <s v="Sold Out"/>
    <n v="9"/>
    <n v="9"/>
    <n v="0"/>
    <n v="0"/>
    <x v="639"/>
    <n v="54000"/>
    <n v="57.75"/>
    <n v="41850"/>
    <n v="12150"/>
    <n v="12.99"/>
    <n v="0"/>
    <d v="2025-01-23T00:00:00"/>
  </r>
  <r>
    <s v="B02211"/>
    <s v="P057"/>
    <x v="7"/>
    <s v="Sold Out"/>
    <n v="8"/>
    <n v="8"/>
    <n v="0"/>
    <n v="0"/>
    <x v="582"/>
    <n v="48000"/>
    <n v="51.34"/>
    <n v="36800"/>
    <n v="11200"/>
    <n v="11.98"/>
    <n v="0"/>
    <d v="2025-02-14T00:00:00"/>
  </r>
  <r>
    <s v="B02212"/>
    <s v="P057"/>
    <x v="7"/>
    <s v="Partial Loss"/>
    <n v="9"/>
    <n v="8.2899999999999991"/>
    <n v="0.71"/>
    <n v="7.9"/>
    <x v="781"/>
    <n v="49740"/>
    <n v="53.2"/>
    <n v="41850"/>
    <n v="7890"/>
    <n v="8.44"/>
    <n v="3301.5"/>
    <d v="2025-03-10T00:00:00"/>
  </r>
  <r>
    <s v="B02213"/>
    <s v="P057"/>
    <x v="7"/>
    <s v="Sold Out"/>
    <n v="21"/>
    <n v="21"/>
    <n v="0"/>
    <n v="0"/>
    <x v="722"/>
    <n v="126000"/>
    <n v="134.76"/>
    <n v="97650"/>
    <n v="28350"/>
    <n v="30.32"/>
    <n v="0"/>
    <d v="2025-04-06T00:00:00"/>
  </r>
  <r>
    <s v="B02214"/>
    <s v="P057"/>
    <x v="7"/>
    <s v="Sold Out"/>
    <n v="20"/>
    <n v="20"/>
    <n v="0"/>
    <n v="0"/>
    <x v="66"/>
    <n v="120000"/>
    <n v="128.34"/>
    <n v="93000"/>
    <n v="27000"/>
    <n v="28.88"/>
    <n v="0"/>
    <d v="2025-04-23T00:00:00"/>
  </r>
  <r>
    <s v="B02215"/>
    <s v="P057"/>
    <x v="7"/>
    <s v="Sold Out"/>
    <n v="19"/>
    <n v="19"/>
    <n v="0"/>
    <n v="0"/>
    <x v="643"/>
    <n v="114000"/>
    <n v="121.93"/>
    <n v="88350"/>
    <n v="25650"/>
    <n v="27.43"/>
    <n v="0"/>
    <d v="2025-05-14T00:00:00"/>
  </r>
  <r>
    <s v="B02216"/>
    <s v="P057"/>
    <x v="7"/>
    <s v="Partial Loss"/>
    <n v="22"/>
    <n v="19.670000000000002"/>
    <n v="2.33"/>
    <n v="10.6"/>
    <x v="821"/>
    <n v="118020"/>
    <n v="126.22"/>
    <n v="102300"/>
    <n v="15720"/>
    <n v="16.809999999999999"/>
    <n v="10834.5"/>
    <d v="2025-06-05T00:00:00"/>
  </r>
  <r>
    <s v="B02217"/>
    <s v="P057"/>
    <x v="7"/>
    <s v="Sold Out"/>
    <n v="23"/>
    <n v="23"/>
    <n v="0"/>
    <n v="0"/>
    <x v="196"/>
    <n v="138000"/>
    <n v="147.59"/>
    <n v="106950"/>
    <n v="31050"/>
    <n v="33.21"/>
    <n v="0"/>
    <d v="2025-06-21T00:00:00"/>
  </r>
  <r>
    <s v="B02218"/>
    <s v="P058"/>
    <x v="7"/>
    <s v="Partial Loss"/>
    <n v="19"/>
    <n v="17.77"/>
    <n v="1.24"/>
    <n v="6.5"/>
    <x v="509"/>
    <n v="177700"/>
    <n v="190.05"/>
    <n v="143450"/>
    <n v="34250"/>
    <n v="36.630000000000003"/>
    <n v="9362"/>
    <d v="2023-07-02T00:00:00"/>
  </r>
  <r>
    <s v="B02219"/>
    <s v="P058"/>
    <x v="7"/>
    <s v="Sold Out"/>
    <n v="22"/>
    <n v="22"/>
    <n v="0"/>
    <n v="0"/>
    <x v="143"/>
    <n v="220000"/>
    <n v="235.29"/>
    <n v="166100"/>
    <n v="53900"/>
    <n v="57.65"/>
    <n v="0"/>
    <d v="2023-07-27T00:00:00"/>
  </r>
  <r>
    <s v="B02220"/>
    <s v="P058"/>
    <x v="7"/>
    <s v="Sold Out"/>
    <n v="20"/>
    <n v="20"/>
    <n v="0"/>
    <n v="0"/>
    <x v="142"/>
    <n v="200000"/>
    <n v="213.9"/>
    <n v="151000"/>
    <n v="49000"/>
    <n v="52.41"/>
    <n v="0"/>
    <d v="2023-08-12T00:00:00"/>
  </r>
  <r>
    <s v="B02221"/>
    <s v="P058"/>
    <x v="7"/>
    <s v="Partial Loss"/>
    <n v="21"/>
    <n v="19.53"/>
    <n v="1.47"/>
    <n v="7"/>
    <x v="96"/>
    <n v="195300"/>
    <n v="208.88"/>
    <n v="160650"/>
    <n v="34650"/>
    <n v="37.06"/>
    <n v="11245.5"/>
    <d v="2023-08-28T00:00:00"/>
  </r>
  <r>
    <s v="B02222"/>
    <s v="P058"/>
    <x v="7"/>
    <s v="Partial Loss"/>
    <n v="26"/>
    <n v="25.79"/>
    <n v="0.21"/>
    <n v="0.8"/>
    <x v="822"/>
    <n v="257900"/>
    <n v="275.83"/>
    <n v="198900"/>
    <n v="59000"/>
    <n v="63.1"/>
    <n v="1606.5"/>
    <d v="2023-09-20T00:00:00"/>
  </r>
  <r>
    <s v="B02223"/>
    <s v="P058"/>
    <x v="7"/>
    <s v="Partial Loss"/>
    <n v="6"/>
    <n v="5.39"/>
    <n v="0.61"/>
    <n v="10.1"/>
    <x v="485"/>
    <n v="53900"/>
    <n v="57.65"/>
    <n v="45300"/>
    <n v="8600"/>
    <n v="9.1999999999999993"/>
    <n v="4605.5"/>
    <d v="2023-10-13T00:00:00"/>
  </r>
  <r>
    <s v="B02224"/>
    <s v="P058"/>
    <x v="7"/>
    <s v="Sold Out"/>
    <n v="7"/>
    <n v="7"/>
    <n v="0"/>
    <n v="0"/>
    <x v="14"/>
    <n v="70000"/>
    <n v="74.87"/>
    <n v="52850"/>
    <n v="17150"/>
    <n v="18.34"/>
    <n v="0"/>
    <d v="2023-11-07T00:00:00"/>
  </r>
  <r>
    <s v="B02225"/>
    <s v="P058"/>
    <x v="7"/>
    <s v="Partial Loss"/>
    <n v="7"/>
    <n v="6.56"/>
    <n v="0.44"/>
    <n v="6.3"/>
    <x v="549"/>
    <n v="65600"/>
    <n v="70.16"/>
    <n v="52850"/>
    <n v="12750"/>
    <n v="13.64"/>
    <n v="3322"/>
    <d v="2023-11-29T00:00:00"/>
  </r>
  <r>
    <s v="B02226"/>
    <s v="P058"/>
    <x v="7"/>
    <s v="Sold Out"/>
    <n v="10"/>
    <n v="10"/>
    <n v="0"/>
    <n v="0"/>
    <x v="823"/>
    <n v="100000"/>
    <n v="106.95"/>
    <n v="75500"/>
    <n v="24500"/>
    <n v="26.2"/>
    <n v="0"/>
    <d v="2023-12-21T00:00:00"/>
  </r>
  <r>
    <s v="B02227"/>
    <s v="P058"/>
    <x v="7"/>
    <s v="Partial Loss"/>
    <n v="7"/>
    <n v="6.45"/>
    <n v="0.55000000000000004"/>
    <n v="7.9"/>
    <x v="576"/>
    <n v="64500"/>
    <n v="68.98"/>
    <n v="52850"/>
    <n v="11650"/>
    <n v="12.46"/>
    <n v="4152.5"/>
    <d v="2024-01-11T00:00:00"/>
  </r>
  <r>
    <s v="B02228"/>
    <s v="P058"/>
    <x v="7"/>
    <s v="Sold Out"/>
    <n v="6"/>
    <n v="6"/>
    <n v="0"/>
    <n v="0"/>
    <x v="159"/>
    <n v="60000"/>
    <n v="64.17"/>
    <n v="45300"/>
    <n v="14700"/>
    <n v="15.72"/>
    <n v="0"/>
    <d v="2024-02-04T00:00:00"/>
  </r>
  <r>
    <s v="B02229"/>
    <s v="P058"/>
    <x v="7"/>
    <s v="Partial Loss"/>
    <n v="8"/>
    <n v="7.21"/>
    <n v="0.79"/>
    <n v="9.9"/>
    <x v="763"/>
    <n v="72100"/>
    <n v="77.11"/>
    <n v="60400"/>
    <n v="11700"/>
    <n v="12.51"/>
    <n v="5964.5"/>
    <d v="2024-02-25T00:00:00"/>
  </r>
  <r>
    <s v="B02230"/>
    <s v="P058"/>
    <x v="7"/>
    <s v="Sold Out"/>
    <n v="6"/>
    <n v="6"/>
    <n v="0"/>
    <n v="0"/>
    <x v="359"/>
    <n v="60000"/>
    <n v="64.17"/>
    <n v="45900"/>
    <n v="14100"/>
    <n v="15.08"/>
    <n v="0"/>
    <d v="2024-03-15T00:00:00"/>
  </r>
  <r>
    <s v="B02231"/>
    <s v="P058"/>
    <x v="7"/>
    <s v="Partial Loss"/>
    <n v="8"/>
    <n v="7.48"/>
    <n v="0.52"/>
    <n v="6.5"/>
    <x v="428"/>
    <n v="74800"/>
    <n v="80"/>
    <n v="60400"/>
    <n v="14400"/>
    <n v="15.4"/>
    <n v="3926"/>
    <d v="2024-03-27T00:00:00"/>
  </r>
  <r>
    <s v="B02232"/>
    <s v="P058"/>
    <x v="7"/>
    <s v="Sold Out"/>
    <n v="20"/>
    <n v="20"/>
    <n v="0"/>
    <n v="0"/>
    <x v="513"/>
    <n v="200000"/>
    <n v="213.9"/>
    <n v="151000"/>
    <n v="49000"/>
    <n v="52.41"/>
    <n v="0"/>
    <d v="2024-04-18T00:00:00"/>
  </r>
  <r>
    <s v="B02233"/>
    <s v="P058"/>
    <x v="7"/>
    <s v="Sold Out"/>
    <n v="21"/>
    <n v="21"/>
    <n v="0"/>
    <n v="0"/>
    <x v="824"/>
    <n v="210000"/>
    <n v="224.6"/>
    <n v="158550"/>
    <n v="51450"/>
    <n v="55.03"/>
    <n v="0"/>
    <d v="2024-05-14T00:00:00"/>
  </r>
  <r>
    <s v="B02234"/>
    <s v="P058"/>
    <x v="7"/>
    <s v="Partial Loss"/>
    <n v="19"/>
    <n v="17.48"/>
    <n v="1.52"/>
    <n v="8"/>
    <x v="56"/>
    <n v="174800"/>
    <n v="186.95"/>
    <n v="143450"/>
    <n v="31350"/>
    <n v="33.53"/>
    <n v="11476"/>
    <d v="2024-06-03T00:00:00"/>
  </r>
  <r>
    <s v="B02235"/>
    <s v="P058"/>
    <x v="7"/>
    <s v="Sold Out"/>
    <n v="19"/>
    <n v="19"/>
    <n v="0"/>
    <n v="0"/>
    <x v="717"/>
    <n v="190000"/>
    <n v="203.21"/>
    <n v="143450"/>
    <n v="46550"/>
    <n v="49.79"/>
    <n v="0"/>
    <d v="2024-06-19T00:00:00"/>
  </r>
  <r>
    <s v="B02236"/>
    <s v="P058"/>
    <x v="7"/>
    <s v="Partial Loss"/>
    <n v="20"/>
    <n v="18.84"/>
    <n v="1.1599999999999999"/>
    <n v="5.8"/>
    <x v="182"/>
    <n v="188400"/>
    <n v="201.5"/>
    <n v="151000"/>
    <n v="37400"/>
    <n v="40"/>
    <n v="8758"/>
    <d v="2024-07-05T00:00:00"/>
  </r>
  <r>
    <s v="B02237"/>
    <s v="P058"/>
    <x v="7"/>
    <s v="Sold Out"/>
    <n v="18"/>
    <n v="18"/>
    <n v="0"/>
    <n v="0"/>
    <x v="324"/>
    <n v="180000"/>
    <n v="192.51"/>
    <n v="135900"/>
    <n v="44100"/>
    <n v="47.17"/>
    <n v="0"/>
    <d v="2024-07-27T00:00:00"/>
  </r>
  <r>
    <s v="B02238"/>
    <s v="P058"/>
    <x v="7"/>
    <s v="Partial Loss"/>
    <n v="17"/>
    <n v="15.83"/>
    <n v="1.17"/>
    <n v="6.9"/>
    <x v="287"/>
    <n v="158300"/>
    <n v="169.3"/>
    <n v="128350"/>
    <n v="29950"/>
    <n v="32.03"/>
    <n v="8833.5"/>
    <d v="2024-08-15T00:00:00"/>
  </r>
  <r>
    <s v="B02239"/>
    <s v="P058"/>
    <x v="7"/>
    <s v="Sold Out"/>
    <n v="26"/>
    <n v="26"/>
    <n v="0"/>
    <n v="0"/>
    <x v="763"/>
    <n v="260000"/>
    <n v="278.07"/>
    <n v="196300"/>
    <n v="63700"/>
    <n v="68.13"/>
    <n v="0"/>
    <d v="2024-09-04T00:00:00"/>
  </r>
  <r>
    <s v="B02240"/>
    <s v="P058"/>
    <x v="7"/>
    <s v="Sold Out"/>
    <n v="21"/>
    <n v="21"/>
    <n v="0"/>
    <n v="0"/>
    <x v="49"/>
    <n v="210000"/>
    <n v="224.6"/>
    <n v="158550"/>
    <n v="51450"/>
    <n v="55.03"/>
    <n v="0"/>
    <d v="2024-09-28T00:00:00"/>
  </r>
  <r>
    <s v="B02241"/>
    <s v="P058"/>
    <x v="7"/>
    <s v="Sold Out"/>
    <n v="7"/>
    <n v="7"/>
    <n v="0"/>
    <n v="0"/>
    <x v="113"/>
    <n v="70000"/>
    <n v="74.87"/>
    <n v="52850"/>
    <n v="17150"/>
    <n v="18.34"/>
    <n v="0"/>
    <d v="2024-10-16T00:00:00"/>
  </r>
  <r>
    <s v="B02242"/>
    <s v="P058"/>
    <x v="7"/>
    <s v="Sold Out"/>
    <n v="7"/>
    <n v="7"/>
    <n v="0"/>
    <n v="0"/>
    <x v="48"/>
    <n v="70000"/>
    <n v="74.87"/>
    <n v="52850"/>
    <n v="17150"/>
    <n v="18.34"/>
    <n v="0"/>
    <d v="2024-11-04T00:00:00"/>
  </r>
  <r>
    <s v="B02243"/>
    <s v="P058"/>
    <x v="7"/>
    <s v="Sold Out"/>
    <n v="7"/>
    <n v="7"/>
    <n v="0"/>
    <n v="0"/>
    <x v="825"/>
    <n v="70000"/>
    <n v="74.87"/>
    <n v="52850"/>
    <n v="17150"/>
    <n v="18.34"/>
    <n v="0"/>
    <d v="2024-11-25T00:00:00"/>
  </r>
  <r>
    <s v="B02244"/>
    <s v="P058"/>
    <x v="7"/>
    <s v="Partial Loss"/>
    <n v="8"/>
    <n v="7.53"/>
    <n v="0.47"/>
    <n v="5.9"/>
    <x v="139"/>
    <n v="75300"/>
    <n v="80.53"/>
    <n v="60400"/>
    <n v="14900"/>
    <n v="15.94"/>
    <n v="3548.5"/>
    <d v="2024-12-18T00:00:00"/>
  </r>
  <r>
    <s v="B02245"/>
    <s v="P058"/>
    <x v="7"/>
    <s v="Partial Loss"/>
    <n v="7"/>
    <n v="6.42"/>
    <n v="0.57999999999999996"/>
    <n v="8.3000000000000007"/>
    <x v="826"/>
    <n v="64200"/>
    <n v="68.66"/>
    <n v="52850"/>
    <n v="11350"/>
    <n v="12.14"/>
    <n v="4379"/>
    <d v="2025-01-08T00:00:00"/>
  </r>
  <r>
    <s v="B02246"/>
    <s v="P058"/>
    <x v="7"/>
    <s v="Partial Loss"/>
    <n v="8"/>
    <n v="7.17"/>
    <n v="0.83"/>
    <n v="10.4"/>
    <x v="827"/>
    <n v="71700"/>
    <n v="76.680000000000007"/>
    <n v="60400"/>
    <n v="11300"/>
    <n v="12.09"/>
    <n v="6266.5"/>
    <d v="2025-01-31T00:00:00"/>
  </r>
  <r>
    <s v="B02247"/>
    <s v="P058"/>
    <x v="7"/>
    <s v="Partial Loss"/>
    <n v="7"/>
    <n v="6.34"/>
    <n v="0.66"/>
    <n v="9.4"/>
    <x v="828"/>
    <n v="63400"/>
    <n v="67.81"/>
    <n v="52850"/>
    <n v="10550"/>
    <n v="11.28"/>
    <n v="4983"/>
    <d v="2025-02-19T00:00:00"/>
  </r>
  <r>
    <s v="B02248"/>
    <s v="P058"/>
    <x v="7"/>
    <s v="Partial Loss"/>
    <n v="9"/>
    <n v="8.09"/>
    <n v="0.91"/>
    <n v="10.1"/>
    <x v="829"/>
    <n v="80900"/>
    <n v="86.52"/>
    <n v="67950"/>
    <n v="12950"/>
    <n v="13.85"/>
    <n v="6870.5"/>
    <d v="2025-03-14T00:00:00"/>
  </r>
  <r>
    <s v="B02249"/>
    <s v="P058"/>
    <x v="7"/>
    <s v="Sold Out"/>
    <n v="22"/>
    <n v="22"/>
    <n v="0"/>
    <n v="0"/>
    <x v="135"/>
    <n v="220000"/>
    <n v="235.29"/>
    <n v="166100"/>
    <n v="53900"/>
    <n v="57.65"/>
    <n v="0"/>
    <d v="2025-04-06T00:00:00"/>
  </r>
  <r>
    <s v="B02250"/>
    <s v="P058"/>
    <x v="7"/>
    <s v="Sold Out"/>
    <n v="23"/>
    <n v="23"/>
    <n v="0"/>
    <n v="0"/>
    <x v="377"/>
    <n v="230000"/>
    <n v="245.99"/>
    <n v="173650"/>
    <n v="56350"/>
    <n v="60.27"/>
    <n v="0"/>
    <d v="2025-04-26T00:00:00"/>
  </r>
  <r>
    <s v="B02251"/>
    <s v="P058"/>
    <x v="7"/>
    <s v="Sold Out"/>
    <n v="20"/>
    <n v="20"/>
    <n v="0"/>
    <n v="0"/>
    <x v="192"/>
    <n v="200000"/>
    <n v="213.9"/>
    <n v="151000"/>
    <n v="49000"/>
    <n v="52.41"/>
    <n v="0"/>
    <d v="2025-05-17T00:00:00"/>
  </r>
  <r>
    <s v="B02252"/>
    <s v="P058"/>
    <x v="7"/>
    <s v="Sold Out"/>
    <n v="22"/>
    <n v="22"/>
    <n v="0"/>
    <n v="0"/>
    <x v="471"/>
    <n v="220000"/>
    <n v="235.29"/>
    <n v="166100"/>
    <n v="53900"/>
    <n v="57.65"/>
    <n v="0"/>
    <d v="2025-06-02T00:00:00"/>
  </r>
  <r>
    <s v="B02253"/>
    <s v="P058"/>
    <x v="7"/>
    <s v="Sold Out"/>
    <n v="19"/>
    <n v="19"/>
    <n v="0"/>
    <n v="0"/>
    <x v="587"/>
    <n v="190000"/>
    <n v="203.21"/>
    <n v="143450"/>
    <n v="46550"/>
    <n v="49.79"/>
    <n v="0"/>
    <d v="2025-06-22T00:00:00"/>
  </r>
  <r>
    <s v="B02254"/>
    <s v="P059"/>
    <x v="7"/>
    <s v="Sold Out"/>
    <n v="20"/>
    <n v="20"/>
    <n v="0"/>
    <n v="0"/>
    <x v="632"/>
    <n v="240000"/>
    <n v="256.68"/>
    <n v="185000"/>
    <n v="55000"/>
    <n v="58.82"/>
    <n v="0"/>
    <d v="2023-07-14T00:00:00"/>
  </r>
  <r>
    <s v="B02255"/>
    <s v="P059"/>
    <x v="7"/>
    <s v="Sold Out"/>
    <n v="21"/>
    <n v="21"/>
    <n v="0"/>
    <n v="0"/>
    <x v="418"/>
    <n v="252000"/>
    <n v="269.52"/>
    <n v="194250"/>
    <n v="57750"/>
    <n v="61.76"/>
    <n v="0"/>
    <d v="2023-08-02T00:00:00"/>
  </r>
  <r>
    <s v="B02256"/>
    <s v="P059"/>
    <x v="7"/>
    <s v="Sold Out"/>
    <n v="18"/>
    <n v="18"/>
    <n v="0"/>
    <n v="0"/>
    <x v="79"/>
    <n v="216000"/>
    <n v="231.02"/>
    <n v="166500"/>
    <n v="49500"/>
    <n v="52.94"/>
    <n v="0"/>
    <d v="2023-08-24T00:00:00"/>
  </r>
  <r>
    <s v="B02257"/>
    <s v="P059"/>
    <x v="7"/>
    <s v="Sold Out"/>
    <n v="27"/>
    <n v="27"/>
    <n v="0"/>
    <n v="0"/>
    <x v="476"/>
    <n v="324000"/>
    <n v="346.52"/>
    <n v="249750"/>
    <n v="74250"/>
    <n v="79.41"/>
    <n v="0"/>
    <d v="2023-09-14T00:00:00"/>
  </r>
  <r>
    <s v="B02258"/>
    <s v="P059"/>
    <x v="7"/>
    <s v="Partial Loss"/>
    <n v="8"/>
    <n v="7.64"/>
    <n v="0.36"/>
    <n v="4.5"/>
    <x v="214"/>
    <n v="91680"/>
    <n v="98.05"/>
    <n v="74000"/>
    <n v="17680"/>
    <n v="18.91"/>
    <n v="3330"/>
    <d v="2023-10-05T00:00:00"/>
  </r>
  <r>
    <s v="B02259"/>
    <s v="P059"/>
    <x v="7"/>
    <s v="Partial Loss"/>
    <n v="7"/>
    <n v="6.45"/>
    <n v="0.55000000000000004"/>
    <n v="7.8"/>
    <x v="33"/>
    <n v="77400"/>
    <n v="82.78"/>
    <n v="64750"/>
    <n v="12650"/>
    <n v="13.53"/>
    <n v="5087.5"/>
    <d v="2023-10-22T00:00:00"/>
  </r>
  <r>
    <s v="B02260"/>
    <s v="P059"/>
    <x v="7"/>
    <s v="Sold Out"/>
    <n v="7"/>
    <n v="7"/>
    <n v="0"/>
    <n v="0"/>
    <x v="255"/>
    <n v="84000"/>
    <n v="89.84"/>
    <n v="64750"/>
    <n v="19250"/>
    <n v="20.59"/>
    <n v="0"/>
    <d v="2023-11-10T00:00:00"/>
  </r>
  <r>
    <s v="B02261"/>
    <s v="P059"/>
    <x v="7"/>
    <s v="Partial Loss"/>
    <n v="8"/>
    <n v="7.14"/>
    <n v="0.86"/>
    <n v="10.8"/>
    <x v="549"/>
    <n v="85680"/>
    <n v="91.64"/>
    <n v="74000"/>
    <n v="11680"/>
    <n v="12.49"/>
    <n v="7955"/>
    <d v="2023-11-29T00:00:00"/>
  </r>
  <r>
    <s v="B02262"/>
    <s v="P059"/>
    <x v="7"/>
    <s v="Sold Out"/>
    <n v="8"/>
    <n v="8"/>
    <n v="0"/>
    <n v="0"/>
    <x v="478"/>
    <n v="96000"/>
    <n v="102.67"/>
    <n v="74000"/>
    <n v="22000"/>
    <n v="23.53"/>
    <n v="0"/>
    <d v="2023-12-18T00:00:00"/>
  </r>
  <r>
    <s v="B02263"/>
    <s v="P059"/>
    <x v="7"/>
    <s v="Sold Out"/>
    <n v="8"/>
    <n v="8"/>
    <n v="0"/>
    <n v="0"/>
    <x v="507"/>
    <n v="96000"/>
    <n v="102.67"/>
    <n v="74000"/>
    <n v="22000"/>
    <n v="23.53"/>
    <n v="0"/>
    <d v="2024-01-06T00:00:00"/>
  </r>
  <r>
    <s v="B02264"/>
    <s v="P059"/>
    <x v="7"/>
    <s v="Partial Loss"/>
    <n v="7"/>
    <n v="6.25"/>
    <n v="0.75"/>
    <n v="10.7"/>
    <x v="365"/>
    <n v="75000"/>
    <n v="80.209999999999994"/>
    <n v="66850"/>
    <n v="8150"/>
    <n v="8.7200000000000006"/>
    <n v="7162.5"/>
    <d v="2024-01-24T00:00:00"/>
  </r>
  <r>
    <s v="B02265"/>
    <s v="P059"/>
    <x v="7"/>
    <s v="Sold Out"/>
    <n v="7"/>
    <n v="7"/>
    <n v="0"/>
    <n v="0"/>
    <x v="830"/>
    <n v="84000"/>
    <n v="89.84"/>
    <n v="64750"/>
    <n v="19250"/>
    <n v="20.59"/>
    <n v="0"/>
    <d v="2024-02-11T00:00:00"/>
  </r>
  <r>
    <s v="B02266"/>
    <s v="P059"/>
    <x v="7"/>
    <s v="Sold Out"/>
    <n v="7"/>
    <n v="7"/>
    <n v="0"/>
    <n v="0"/>
    <x v="597"/>
    <n v="84000"/>
    <n v="89.84"/>
    <n v="64750"/>
    <n v="19250"/>
    <n v="20.59"/>
    <n v="0"/>
    <d v="2024-03-02T00:00:00"/>
  </r>
  <r>
    <s v="B02267"/>
    <s v="P059"/>
    <x v="7"/>
    <s v="Sold Out"/>
    <n v="8"/>
    <n v="8"/>
    <n v="0"/>
    <n v="0"/>
    <x v="831"/>
    <n v="96000"/>
    <n v="102.67"/>
    <n v="74000"/>
    <n v="22000"/>
    <n v="23.53"/>
    <n v="0"/>
    <d v="2024-03-30T00:00:00"/>
  </r>
  <r>
    <s v="B02268"/>
    <s v="P059"/>
    <x v="7"/>
    <s v="Sold Out"/>
    <n v="18"/>
    <n v="18"/>
    <n v="0"/>
    <n v="0"/>
    <x v="485"/>
    <n v="216000"/>
    <n v="231.02"/>
    <n v="171900"/>
    <n v="44100"/>
    <n v="47.17"/>
    <n v="0"/>
    <d v="2024-04-19T00:00:00"/>
  </r>
  <r>
    <s v="B02269"/>
    <s v="P059"/>
    <x v="7"/>
    <s v="Sold Out"/>
    <n v="20"/>
    <n v="20"/>
    <n v="0"/>
    <n v="0"/>
    <x v="98"/>
    <n v="240000"/>
    <n v="256.68"/>
    <n v="185000"/>
    <n v="55000"/>
    <n v="58.82"/>
    <n v="0"/>
    <d v="2024-05-10T00:00:00"/>
  </r>
  <r>
    <s v="B02270"/>
    <s v="P059"/>
    <x v="7"/>
    <s v="Sold Out"/>
    <n v="21"/>
    <n v="21"/>
    <n v="0"/>
    <n v="0"/>
    <x v="105"/>
    <n v="252000"/>
    <n v="269.52"/>
    <n v="200550"/>
    <n v="51450"/>
    <n v="55.03"/>
    <n v="0"/>
    <d v="2024-05-25T00:00:00"/>
  </r>
  <r>
    <s v="B02271"/>
    <s v="P059"/>
    <x v="7"/>
    <s v="Sold Out"/>
    <n v="18"/>
    <n v="18"/>
    <n v="0"/>
    <n v="0"/>
    <x v="271"/>
    <n v="216000"/>
    <n v="231.02"/>
    <n v="166500"/>
    <n v="49500"/>
    <n v="52.94"/>
    <n v="0"/>
    <d v="2024-06-13T00:00:00"/>
  </r>
  <r>
    <s v="B02272"/>
    <s v="P059"/>
    <x v="7"/>
    <s v="Sold Out"/>
    <n v="19"/>
    <n v="19"/>
    <n v="0"/>
    <n v="0"/>
    <x v="362"/>
    <n v="228000"/>
    <n v="243.85"/>
    <n v="175750"/>
    <n v="52250"/>
    <n v="55.88"/>
    <n v="0"/>
    <d v="2024-06-30T00:00:00"/>
  </r>
  <r>
    <s v="B02273"/>
    <s v="P059"/>
    <x v="7"/>
    <s v="Sold Out"/>
    <n v="21"/>
    <n v="21"/>
    <n v="0"/>
    <n v="0"/>
    <x v="487"/>
    <n v="252000"/>
    <n v="269.52"/>
    <n v="194250"/>
    <n v="57750"/>
    <n v="61.76"/>
    <n v="0"/>
    <d v="2024-07-21T00:00:00"/>
  </r>
  <r>
    <s v="B02274"/>
    <s v="P059"/>
    <x v="7"/>
    <s v="Sold Out"/>
    <n v="20"/>
    <n v="20"/>
    <n v="0"/>
    <n v="0"/>
    <x v="553"/>
    <n v="240000"/>
    <n v="256.68"/>
    <n v="185000"/>
    <n v="55000"/>
    <n v="58.82"/>
    <n v="0"/>
    <d v="2024-08-09T00:00:00"/>
  </r>
  <r>
    <s v="B02275"/>
    <s v="P059"/>
    <x v="7"/>
    <s v="Partial Loss"/>
    <n v="24"/>
    <n v="21.98"/>
    <n v="2.02"/>
    <n v="8.4"/>
    <x v="237"/>
    <n v="263760"/>
    <n v="282.10000000000002"/>
    <n v="229200"/>
    <n v="34560"/>
    <n v="36.96"/>
    <n v="19291"/>
    <d v="2024-09-02T00:00:00"/>
  </r>
  <r>
    <s v="B02276"/>
    <s v="P059"/>
    <x v="7"/>
    <s v="Sold Out"/>
    <n v="21"/>
    <n v="21"/>
    <n v="0"/>
    <n v="0"/>
    <x v="605"/>
    <n v="252000"/>
    <n v="269.52"/>
    <n v="194250"/>
    <n v="57750"/>
    <n v="61.76"/>
    <n v="0"/>
    <d v="2024-09-30T00:00:00"/>
  </r>
  <r>
    <s v="B02277"/>
    <s v="P059"/>
    <x v="7"/>
    <s v="Sold Out"/>
    <n v="6"/>
    <n v="6"/>
    <n v="0"/>
    <n v="0"/>
    <x v="50"/>
    <n v="72000"/>
    <n v="77.010000000000005"/>
    <n v="55500"/>
    <n v="16500"/>
    <n v="17.649999999999999"/>
    <n v="0"/>
    <d v="2024-10-18T00:00:00"/>
  </r>
  <r>
    <s v="B02278"/>
    <s v="P059"/>
    <x v="7"/>
    <s v="Partial Loss"/>
    <n v="7"/>
    <n v="6.52"/>
    <n v="0.48"/>
    <n v="6.8"/>
    <x v="138"/>
    <n v="78240"/>
    <n v="83.68"/>
    <n v="64750"/>
    <n v="13490"/>
    <n v="14.43"/>
    <n v="4440"/>
    <d v="2024-11-03T00:00:00"/>
  </r>
  <r>
    <s v="B02279"/>
    <s v="P059"/>
    <x v="7"/>
    <s v="Partial Loss"/>
    <n v="7"/>
    <n v="6.33"/>
    <n v="0.67"/>
    <n v="9.5"/>
    <x v="70"/>
    <n v="75960"/>
    <n v="81.239999999999995"/>
    <n v="64750"/>
    <n v="11210"/>
    <n v="11.99"/>
    <n v="6197.5"/>
    <d v="2024-11-18T00:00:00"/>
  </r>
  <r>
    <s v="B02280"/>
    <s v="P059"/>
    <x v="7"/>
    <s v="Sold Out"/>
    <n v="8"/>
    <n v="8"/>
    <n v="0"/>
    <n v="0"/>
    <x v="330"/>
    <n v="96000"/>
    <n v="102.67"/>
    <n v="74000"/>
    <n v="22000"/>
    <n v="23.53"/>
    <n v="0"/>
    <d v="2024-12-07T00:00:00"/>
  </r>
  <r>
    <s v="B02281"/>
    <s v="P059"/>
    <x v="7"/>
    <s v="Partial Loss"/>
    <n v="8"/>
    <n v="7.38"/>
    <n v="0.62"/>
    <n v="7.7"/>
    <x v="724"/>
    <n v="88560"/>
    <n v="94.72"/>
    <n v="76400"/>
    <n v="12160"/>
    <n v="13.01"/>
    <n v="5921"/>
    <d v="2024-12-26T00:00:00"/>
  </r>
  <r>
    <s v="B02282"/>
    <s v="P059"/>
    <x v="7"/>
    <s v="Sold Out"/>
    <n v="7"/>
    <n v="7"/>
    <n v="0"/>
    <n v="0"/>
    <x v="409"/>
    <n v="84000"/>
    <n v="89.84"/>
    <n v="64750"/>
    <n v="19250"/>
    <n v="20.59"/>
    <n v="0"/>
    <d v="2025-01-14T00:00:00"/>
  </r>
  <r>
    <s v="B02283"/>
    <s v="P059"/>
    <x v="7"/>
    <s v="Sold Out"/>
    <n v="8"/>
    <n v="8"/>
    <n v="0"/>
    <n v="0"/>
    <x v="580"/>
    <n v="96000"/>
    <n v="102.67"/>
    <n v="74000"/>
    <n v="22000"/>
    <n v="23.53"/>
    <n v="0"/>
    <d v="2025-02-02T00:00:00"/>
  </r>
  <r>
    <s v="B02284"/>
    <s v="P059"/>
    <x v="7"/>
    <s v="Sold Out"/>
    <n v="8"/>
    <n v="8"/>
    <n v="0"/>
    <n v="0"/>
    <x v="130"/>
    <n v="96000"/>
    <n v="102.67"/>
    <n v="74000"/>
    <n v="22000"/>
    <n v="23.53"/>
    <n v="0"/>
    <d v="2025-02-27T00:00:00"/>
  </r>
  <r>
    <s v="B02285"/>
    <s v="P059"/>
    <x v="7"/>
    <s v="Partial Loss"/>
    <n v="7"/>
    <n v="6.12"/>
    <n v="0.88"/>
    <n v="12.6"/>
    <x v="832"/>
    <n v="73440"/>
    <n v="78.55"/>
    <n v="64750"/>
    <n v="8690"/>
    <n v="9.2899999999999991"/>
    <n v="8140"/>
    <d v="2025-03-25T00:00:00"/>
  </r>
  <r>
    <s v="B02286"/>
    <s v="P059"/>
    <x v="7"/>
    <s v="Sold Out"/>
    <n v="21"/>
    <n v="21"/>
    <n v="0"/>
    <n v="0"/>
    <x v="585"/>
    <n v="252000"/>
    <n v="269.52"/>
    <n v="194250"/>
    <n v="57750"/>
    <n v="61.76"/>
    <n v="0"/>
    <d v="2025-04-21T00:00:00"/>
  </r>
  <r>
    <s v="B02287"/>
    <s v="P059"/>
    <x v="7"/>
    <s v="Sold Out"/>
    <n v="19"/>
    <n v="19"/>
    <n v="0"/>
    <n v="0"/>
    <x v="723"/>
    <n v="228000"/>
    <n v="243.85"/>
    <n v="175750"/>
    <n v="52250"/>
    <n v="55.88"/>
    <n v="0"/>
    <d v="2025-05-17T00:00:00"/>
  </r>
  <r>
    <s v="B02288"/>
    <s v="P059"/>
    <x v="7"/>
    <s v="Sold Out"/>
    <n v="22"/>
    <n v="22"/>
    <n v="0"/>
    <n v="0"/>
    <x v="646"/>
    <n v="264000"/>
    <n v="282.35000000000002"/>
    <n v="203500"/>
    <n v="60500"/>
    <n v="64.709999999999994"/>
    <n v="0"/>
    <d v="2025-06-08T00:00:00"/>
  </r>
  <r>
    <s v="B02289"/>
    <s v="P059"/>
    <x v="7"/>
    <s v="Sold Out"/>
    <n v="23"/>
    <n v="23"/>
    <n v="0"/>
    <n v="0"/>
    <x v="294"/>
    <n v="276000"/>
    <n v="295.19"/>
    <n v="212750"/>
    <n v="63250"/>
    <n v="67.650000000000006"/>
    <n v="0"/>
    <d v="2025-06-24T00:00:00"/>
  </r>
  <r>
    <s v="B02290"/>
    <s v="P060"/>
    <x v="7"/>
    <s v="Sold Out"/>
    <n v="20"/>
    <n v="20"/>
    <n v="0"/>
    <n v="0"/>
    <x v="833"/>
    <n v="220000"/>
    <n v="235.29"/>
    <n v="170000"/>
    <n v="50000"/>
    <n v="53.48"/>
    <n v="0"/>
    <d v="2023-07-21T00:00:00"/>
  </r>
  <r>
    <s v="B02291"/>
    <s v="P060"/>
    <x v="7"/>
    <s v="Sold Out"/>
    <n v="22"/>
    <n v="22"/>
    <n v="0"/>
    <n v="0"/>
    <x v="834"/>
    <n v="242000"/>
    <n v="258.82"/>
    <n v="187000"/>
    <n v="55000"/>
    <n v="58.82"/>
    <n v="0"/>
    <d v="2023-08-12T00:00:00"/>
  </r>
  <r>
    <s v="B02292"/>
    <s v="P060"/>
    <x v="7"/>
    <s v="Sold Out"/>
    <n v="19"/>
    <n v="19"/>
    <n v="0"/>
    <n v="0"/>
    <x v="348"/>
    <n v="209000"/>
    <n v="223.53"/>
    <n v="161500"/>
    <n v="47500"/>
    <n v="50.8"/>
    <n v="0"/>
    <d v="2023-08-31T00:00:00"/>
  </r>
  <r>
    <s v="B02293"/>
    <s v="P060"/>
    <x v="7"/>
    <s v="Sold Out"/>
    <n v="23"/>
    <n v="23"/>
    <n v="0"/>
    <n v="0"/>
    <x v="346"/>
    <n v="253000"/>
    <n v="270.58999999999997"/>
    <n v="202400"/>
    <n v="50600"/>
    <n v="54.12"/>
    <n v="0"/>
    <d v="2023-09-27T00:00:00"/>
  </r>
  <r>
    <s v="B02294"/>
    <s v="P060"/>
    <x v="7"/>
    <s v="Partial Loss"/>
    <n v="8"/>
    <n v="7.34"/>
    <n v="0.66"/>
    <n v="8.3000000000000007"/>
    <x v="835"/>
    <n v="80740"/>
    <n v="86.35"/>
    <n v="68000"/>
    <n v="12740"/>
    <n v="13.63"/>
    <n v="5610"/>
    <d v="2023-10-12T00:00:00"/>
  </r>
  <r>
    <s v="B02295"/>
    <s v="P060"/>
    <x v="7"/>
    <s v="Partial Loss"/>
    <n v="8"/>
    <n v="7.39"/>
    <n v="0.61"/>
    <n v="7.6"/>
    <x v="30"/>
    <n v="81290"/>
    <n v="86.94"/>
    <n v="70400"/>
    <n v="10890"/>
    <n v="11.65"/>
    <n v="5368"/>
    <d v="2023-10-27T00:00:00"/>
  </r>
  <r>
    <s v="B02296"/>
    <s v="P060"/>
    <x v="7"/>
    <s v="Sold Out"/>
    <n v="8"/>
    <n v="8"/>
    <n v="0"/>
    <n v="0"/>
    <x v="479"/>
    <n v="88000"/>
    <n v="94.12"/>
    <n v="68000"/>
    <n v="20000"/>
    <n v="21.39"/>
    <n v="0"/>
    <d v="2023-11-20T00:00:00"/>
  </r>
  <r>
    <s v="B02297"/>
    <s v="P060"/>
    <x v="7"/>
    <s v="Sold Out"/>
    <n v="8"/>
    <n v="8"/>
    <n v="0"/>
    <n v="0"/>
    <x v="449"/>
    <n v="88000"/>
    <n v="94.12"/>
    <n v="68000"/>
    <n v="20000"/>
    <n v="21.39"/>
    <n v="0"/>
    <d v="2023-12-12T00:00:00"/>
  </r>
  <r>
    <s v="B02298"/>
    <s v="P060"/>
    <x v="7"/>
    <s v="Partial Loss"/>
    <n v="10"/>
    <n v="9.19"/>
    <n v="0.81"/>
    <n v="8.1"/>
    <x v="108"/>
    <n v="101090"/>
    <n v="108.12"/>
    <n v="85000"/>
    <n v="16090"/>
    <n v="17.21"/>
    <n v="6885"/>
    <d v="2023-12-31T00:00:00"/>
  </r>
  <r>
    <s v="B02299"/>
    <s v="P060"/>
    <x v="7"/>
    <s v="Partial Loss"/>
    <n v="6"/>
    <n v="5.5"/>
    <n v="0.5"/>
    <n v="8.3000000000000007"/>
    <x v="364"/>
    <n v="60500"/>
    <n v="64.709999999999994"/>
    <n v="51000"/>
    <n v="9500"/>
    <n v="10.16"/>
    <n v="4250"/>
    <d v="2024-01-16T00:00:00"/>
  </r>
  <r>
    <s v="B02300"/>
    <s v="P060"/>
    <x v="7"/>
    <s v="Partial Loss"/>
    <n v="7"/>
    <n v="6.36"/>
    <n v="0.64"/>
    <n v="9.1"/>
    <x v="172"/>
    <n v="69960"/>
    <n v="74.819999999999993"/>
    <n v="59500"/>
    <n v="10460"/>
    <n v="11.19"/>
    <n v="5440"/>
    <d v="2024-02-07T00:00:00"/>
  </r>
  <r>
    <s v="B02301"/>
    <s v="P060"/>
    <x v="7"/>
    <s v="Partial Loss"/>
    <n v="8"/>
    <n v="7.25"/>
    <n v="0.75"/>
    <n v="9.4"/>
    <x v="223"/>
    <n v="79750"/>
    <n v="85.29"/>
    <n v="68000"/>
    <n v="11750"/>
    <n v="12.57"/>
    <n v="6375"/>
    <d v="2024-03-02T00:00:00"/>
  </r>
  <r>
    <s v="B02302"/>
    <s v="P060"/>
    <x v="7"/>
    <s v="Partial Loss"/>
    <n v="7"/>
    <n v="6.76"/>
    <n v="0.24"/>
    <n v="3.4"/>
    <x v="578"/>
    <n v="74360"/>
    <n v="79.53"/>
    <n v="59500"/>
    <n v="14860"/>
    <n v="15.89"/>
    <n v="2040"/>
    <d v="2024-03-20T00:00:00"/>
  </r>
  <r>
    <s v="B02303"/>
    <s v="P060"/>
    <x v="7"/>
    <s v="Sold Out"/>
    <n v="20"/>
    <n v="20"/>
    <n v="0"/>
    <n v="0"/>
    <x v="162"/>
    <n v="220000"/>
    <n v="235.29"/>
    <n v="170000"/>
    <n v="50000"/>
    <n v="53.48"/>
    <n v="0"/>
    <d v="2024-04-08T00:00:00"/>
  </r>
  <r>
    <s v="B02304"/>
    <s v="P060"/>
    <x v="7"/>
    <s v="Sold Out"/>
    <n v="22"/>
    <n v="22"/>
    <n v="0"/>
    <n v="0"/>
    <x v="600"/>
    <n v="242000"/>
    <n v="258.82"/>
    <n v="187000"/>
    <n v="55000"/>
    <n v="58.82"/>
    <n v="0"/>
    <d v="2024-04-29T00:00:00"/>
  </r>
  <r>
    <s v="B02305"/>
    <s v="P060"/>
    <x v="7"/>
    <s v="Sold Out"/>
    <n v="22"/>
    <n v="22"/>
    <n v="0"/>
    <n v="0"/>
    <x v="315"/>
    <n v="242000"/>
    <n v="258.82"/>
    <n v="187000"/>
    <n v="55000"/>
    <n v="58.82"/>
    <n v="0"/>
    <d v="2024-05-17T00:00:00"/>
  </r>
  <r>
    <s v="B02306"/>
    <s v="P060"/>
    <x v="7"/>
    <s v="Sold Out"/>
    <n v="19"/>
    <n v="19"/>
    <n v="0"/>
    <n v="0"/>
    <x v="682"/>
    <n v="209000"/>
    <n v="223.53"/>
    <n v="161500"/>
    <n v="47500"/>
    <n v="50.8"/>
    <n v="0"/>
    <d v="2024-06-06T00:00:00"/>
  </r>
  <r>
    <s v="B02307"/>
    <s v="P060"/>
    <x v="7"/>
    <s v="Sold Out"/>
    <n v="19"/>
    <n v="19"/>
    <n v="0"/>
    <n v="0"/>
    <x v="626"/>
    <n v="209000"/>
    <n v="223.53"/>
    <n v="161500"/>
    <n v="47500"/>
    <n v="50.8"/>
    <n v="0"/>
    <d v="2024-06-26T00:00:00"/>
  </r>
  <r>
    <s v="B02308"/>
    <s v="P060"/>
    <x v="7"/>
    <s v="Sold Out"/>
    <n v="19"/>
    <n v="19"/>
    <n v="0"/>
    <n v="0"/>
    <x v="516"/>
    <n v="209000"/>
    <n v="223.53"/>
    <n v="161500"/>
    <n v="47500"/>
    <n v="50.8"/>
    <n v="0"/>
    <d v="2024-07-16T00:00:00"/>
  </r>
  <r>
    <s v="B02309"/>
    <s v="P060"/>
    <x v="7"/>
    <s v="Sold Out"/>
    <n v="19"/>
    <n v="19"/>
    <n v="0"/>
    <n v="0"/>
    <x v="40"/>
    <n v="209000"/>
    <n v="223.53"/>
    <n v="161500"/>
    <n v="47500"/>
    <n v="50.8"/>
    <n v="0"/>
    <d v="2024-08-09T00:00:00"/>
  </r>
  <r>
    <s v="B02310"/>
    <s v="P060"/>
    <x v="7"/>
    <s v="Sold Out"/>
    <n v="20"/>
    <n v="20"/>
    <n v="0"/>
    <n v="0"/>
    <x v="797"/>
    <n v="220000"/>
    <n v="235.29"/>
    <n v="170000"/>
    <n v="50000"/>
    <n v="53.48"/>
    <n v="0"/>
    <d v="2024-08-31T00:00:00"/>
  </r>
  <r>
    <s v="B02311"/>
    <s v="P060"/>
    <x v="7"/>
    <s v="Sold Out"/>
    <n v="27"/>
    <n v="27"/>
    <n v="0"/>
    <n v="0"/>
    <x v="814"/>
    <n v="297000"/>
    <n v="317.64999999999998"/>
    <n v="229500"/>
    <n v="67500"/>
    <n v="72.19"/>
    <n v="0"/>
    <d v="2024-09-20T00:00:00"/>
  </r>
  <r>
    <s v="B02312"/>
    <s v="P060"/>
    <x v="7"/>
    <s v="Sold Out"/>
    <n v="7"/>
    <n v="7"/>
    <n v="0"/>
    <n v="0"/>
    <x v="115"/>
    <n v="77000"/>
    <n v="82.35"/>
    <n v="59500"/>
    <n v="17500"/>
    <n v="18.72"/>
    <n v="0"/>
    <d v="2024-10-11T00:00:00"/>
  </r>
  <r>
    <s v="B02313"/>
    <s v="P060"/>
    <x v="7"/>
    <s v="Sold Out"/>
    <n v="7"/>
    <n v="7"/>
    <n v="0"/>
    <n v="0"/>
    <x v="329"/>
    <n v="77000"/>
    <n v="82.35"/>
    <n v="59500"/>
    <n v="17500"/>
    <n v="18.72"/>
    <n v="0"/>
    <d v="2024-10-30T00:00:00"/>
  </r>
  <r>
    <s v="B02314"/>
    <s v="P060"/>
    <x v="7"/>
    <s v="Sold Out"/>
    <n v="7"/>
    <n v="7"/>
    <n v="0"/>
    <n v="0"/>
    <x v="402"/>
    <n v="77000"/>
    <n v="82.35"/>
    <n v="59500"/>
    <n v="17500"/>
    <n v="18.72"/>
    <n v="0"/>
    <d v="2024-11-20T00:00:00"/>
  </r>
  <r>
    <s v="B02315"/>
    <s v="P060"/>
    <x v="7"/>
    <s v="Partial Loss"/>
    <n v="10"/>
    <n v="9.56"/>
    <n v="0.44"/>
    <n v="4.4000000000000004"/>
    <x v="76"/>
    <n v="105160"/>
    <n v="112.47"/>
    <n v="85000"/>
    <n v="20160"/>
    <n v="21.56"/>
    <n v="3740"/>
    <d v="2024-12-08T00:00:00"/>
  </r>
  <r>
    <s v="B02316"/>
    <s v="P060"/>
    <x v="7"/>
    <s v="Partial Loss"/>
    <n v="8"/>
    <n v="7.08"/>
    <n v="0.92"/>
    <n v="11.5"/>
    <x v="807"/>
    <n v="77880"/>
    <n v="83.29"/>
    <n v="68000"/>
    <n v="9880"/>
    <n v="10.57"/>
    <n v="7820"/>
    <d v="2024-12-25T00:00:00"/>
  </r>
  <r>
    <s v="B02317"/>
    <s v="P060"/>
    <x v="7"/>
    <s v="Sold Out"/>
    <n v="7"/>
    <n v="7"/>
    <n v="0"/>
    <n v="0"/>
    <x v="662"/>
    <n v="77000"/>
    <n v="82.35"/>
    <n v="59500"/>
    <n v="17500"/>
    <n v="18.72"/>
    <n v="0"/>
    <d v="2025-01-12T00:00:00"/>
  </r>
  <r>
    <s v="B02318"/>
    <s v="P060"/>
    <x v="7"/>
    <s v="Partial Loss"/>
    <n v="7"/>
    <n v="6.71"/>
    <n v="0.28999999999999998"/>
    <n v="4.2"/>
    <x v="668"/>
    <n v="73810"/>
    <n v="78.94"/>
    <n v="59500"/>
    <n v="14310"/>
    <n v="15.3"/>
    <n v="2465"/>
    <d v="2025-02-02T00:00:00"/>
  </r>
  <r>
    <s v="B02319"/>
    <s v="P060"/>
    <x v="7"/>
    <s v="Partial Loss"/>
    <n v="7"/>
    <n v="6.52"/>
    <n v="0.48"/>
    <n v="6.8"/>
    <x v="836"/>
    <n v="71720"/>
    <n v="76.709999999999994"/>
    <n v="59500"/>
    <n v="12220"/>
    <n v="13.07"/>
    <n v="4080"/>
    <d v="2025-02-25T00:00:00"/>
  </r>
  <r>
    <s v="B02320"/>
    <s v="P060"/>
    <x v="7"/>
    <s v="Partial Loss"/>
    <n v="8"/>
    <n v="7.26"/>
    <n v="0.74"/>
    <n v="9.1999999999999993"/>
    <x v="664"/>
    <n v="79860"/>
    <n v="85.41"/>
    <n v="68000"/>
    <n v="11860"/>
    <n v="12.68"/>
    <n v="6290"/>
    <d v="2025-03-22T00:00:00"/>
  </r>
  <r>
    <s v="B02321"/>
    <s v="P060"/>
    <x v="7"/>
    <s v="Sold Out"/>
    <n v="20"/>
    <n v="20"/>
    <n v="0"/>
    <n v="0"/>
    <x v="415"/>
    <n v="220000"/>
    <n v="235.29"/>
    <n v="170000"/>
    <n v="50000"/>
    <n v="53.48"/>
    <n v="0"/>
    <d v="2025-04-13T00:00:00"/>
  </r>
  <r>
    <s v="B02322"/>
    <s v="P060"/>
    <x v="7"/>
    <s v="Sold Out"/>
    <n v="20"/>
    <n v="20"/>
    <n v="0"/>
    <n v="0"/>
    <x v="137"/>
    <n v="220000"/>
    <n v="235.29"/>
    <n v="170000"/>
    <n v="50000"/>
    <n v="53.48"/>
    <n v="0"/>
    <d v="2025-05-02T00:00:00"/>
  </r>
  <r>
    <s v="B02323"/>
    <s v="P060"/>
    <x v="7"/>
    <s v="Sold Out"/>
    <n v="20"/>
    <n v="20"/>
    <n v="0"/>
    <n v="0"/>
    <x v="338"/>
    <n v="220000"/>
    <n v="235.29"/>
    <n v="170000"/>
    <n v="50000"/>
    <n v="53.48"/>
    <n v="0"/>
    <d v="2025-05-28T00:00:00"/>
  </r>
  <r>
    <s v="B02324"/>
    <s v="P060"/>
    <x v="7"/>
    <s v="Sold Out"/>
    <n v="21"/>
    <n v="21"/>
    <n v="0"/>
    <n v="0"/>
    <x v="200"/>
    <n v="231000"/>
    <n v="247.06"/>
    <n v="178500"/>
    <n v="52500"/>
    <n v="56.15"/>
    <n v="0"/>
    <d v="2025-06-16T00:00:00"/>
  </r>
  <r>
    <s v="B02325"/>
    <s v="P061"/>
    <x v="7"/>
    <s v="Sold Out"/>
    <n v="17"/>
    <n v="17"/>
    <n v="0"/>
    <n v="0"/>
    <x v="590"/>
    <n v="127500"/>
    <n v="136.36000000000001"/>
    <n v="91800"/>
    <n v="35700"/>
    <n v="38.18"/>
    <n v="0"/>
    <d v="2023-07-13T00:00:00"/>
  </r>
  <r>
    <s v="B02326"/>
    <s v="P061"/>
    <x v="7"/>
    <s v="Sold Out"/>
    <n v="18"/>
    <n v="18"/>
    <n v="0"/>
    <n v="0"/>
    <x v="837"/>
    <n v="135000"/>
    <n v="144.38999999999999"/>
    <n v="97200"/>
    <n v="37800"/>
    <n v="40.43"/>
    <n v="0"/>
    <d v="2023-07-31T00:00:00"/>
  </r>
  <r>
    <s v="B02327"/>
    <s v="P061"/>
    <x v="7"/>
    <s v="Sold Out"/>
    <n v="19"/>
    <n v="19"/>
    <n v="0"/>
    <n v="0"/>
    <x v="345"/>
    <n v="142500"/>
    <n v="152.41"/>
    <n v="118750"/>
    <n v="23750"/>
    <n v="25.4"/>
    <n v="0"/>
    <d v="2023-08-22T00:00:00"/>
  </r>
  <r>
    <s v="B02328"/>
    <s v="P061"/>
    <x v="7"/>
    <s v="Partial Loss"/>
    <n v="23"/>
    <n v="22.15"/>
    <n v="0.85"/>
    <n v="3.7"/>
    <x v="795"/>
    <n v="166125"/>
    <n v="177.67"/>
    <n v="124200"/>
    <n v="41925"/>
    <n v="44.84"/>
    <n v="4590"/>
    <d v="2023-09-13T00:00:00"/>
  </r>
  <r>
    <s v="B02329"/>
    <s v="P061"/>
    <x v="7"/>
    <s v="Partial Loss"/>
    <n v="8"/>
    <n v="7.42"/>
    <n v="0.57999999999999996"/>
    <n v="7.2"/>
    <x v="267"/>
    <n v="55650"/>
    <n v="59.52"/>
    <n v="43200"/>
    <n v="12450"/>
    <n v="13.32"/>
    <n v="3132"/>
    <d v="2023-10-03T00:00:00"/>
  </r>
  <r>
    <s v="B02330"/>
    <s v="P061"/>
    <x v="7"/>
    <s v="Sold Out"/>
    <n v="7"/>
    <n v="7"/>
    <n v="0"/>
    <n v="0"/>
    <x v="8"/>
    <n v="52500"/>
    <n v="56.15"/>
    <n v="37800"/>
    <n v="14700"/>
    <n v="15.72"/>
    <n v="0"/>
    <d v="2023-10-24T00:00:00"/>
  </r>
  <r>
    <s v="B02331"/>
    <s v="P061"/>
    <x v="7"/>
    <s v="Sold Out"/>
    <n v="8"/>
    <n v="8"/>
    <n v="0"/>
    <n v="0"/>
    <x v="150"/>
    <n v="60000"/>
    <n v="64.17"/>
    <n v="43200"/>
    <n v="16800"/>
    <n v="17.97"/>
    <n v="0"/>
    <d v="2023-11-18T00:00:00"/>
  </r>
  <r>
    <s v="B02332"/>
    <s v="P061"/>
    <x v="7"/>
    <s v="Sold Out"/>
    <n v="10"/>
    <n v="10"/>
    <n v="0"/>
    <n v="0"/>
    <x v="15"/>
    <n v="75000"/>
    <n v="80.209999999999994"/>
    <n v="54000"/>
    <n v="21000"/>
    <n v="22.46"/>
    <n v="0"/>
    <d v="2023-12-14T00:00:00"/>
  </r>
  <r>
    <s v="B02333"/>
    <s v="P061"/>
    <x v="7"/>
    <s v="Partial Loss"/>
    <n v="6"/>
    <n v="5.46"/>
    <n v="0.54"/>
    <n v="9"/>
    <x v="487"/>
    <n v="40950"/>
    <n v="43.8"/>
    <n v="32400"/>
    <n v="8550"/>
    <n v="9.14"/>
    <n v="2916"/>
    <d v="2024-01-05T00:00:00"/>
  </r>
  <r>
    <s v="B02334"/>
    <s v="P061"/>
    <x v="7"/>
    <s v="Sold Out"/>
    <n v="7"/>
    <n v="7"/>
    <n v="0"/>
    <n v="0"/>
    <x v="745"/>
    <n v="52500"/>
    <n v="56.15"/>
    <n v="37800"/>
    <n v="14700"/>
    <n v="15.72"/>
    <n v="0"/>
    <d v="2024-01-28T00:00:00"/>
  </r>
  <r>
    <s v="B02335"/>
    <s v="P061"/>
    <x v="7"/>
    <s v="Partial Loss"/>
    <n v="8"/>
    <n v="7.06"/>
    <n v="0.94"/>
    <n v="11.7"/>
    <x v="518"/>
    <n v="52950"/>
    <n v="56.63"/>
    <n v="43200"/>
    <n v="9750"/>
    <n v="10.43"/>
    <n v="5076"/>
    <d v="2024-02-24T00:00:00"/>
  </r>
  <r>
    <s v="B02336"/>
    <s v="P061"/>
    <x v="7"/>
    <s v="Sold Out"/>
    <n v="6"/>
    <n v="6"/>
    <n v="0"/>
    <n v="0"/>
    <x v="26"/>
    <n v="45000"/>
    <n v="48.13"/>
    <n v="32400"/>
    <n v="12600"/>
    <n v="13.48"/>
    <n v="0"/>
    <d v="2024-03-19T00:00:00"/>
  </r>
  <r>
    <s v="B02337"/>
    <s v="P061"/>
    <x v="7"/>
    <s v="Partial Loss"/>
    <n v="17"/>
    <n v="15.66"/>
    <n v="1.34"/>
    <n v="7.9"/>
    <x v="51"/>
    <n v="117450"/>
    <n v="125.61"/>
    <n v="91800"/>
    <n v="25650"/>
    <n v="27.43"/>
    <n v="7236"/>
    <d v="2024-04-13T00:00:00"/>
  </r>
  <r>
    <s v="B02338"/>
    <s v="P061"/>
    <x v="7"/>
    <s v="Sold Out"/>
    <n v="18"/>
    <n v="18"/>
    <n v="0"/>
    <n v="0"/>
    <x v="838"/>
    <n v="135000"/>
    <n v="144.38999999999999"/>
    <n v="97200"/>
    <n v="37800"/>
    <n v="40.43"/>
    <n v="0"/>
    <d v="2024-04-30T00:00:00"/>
  </r>
  <r>
    <s v="B02339"/>
    <s v="P061"/>
    <x v="7"/>
    <s v="Sold Out"/>
    <n v="19"/>
    <n v="19"/>
    <n v="0"/>
    <n v="0"/>
    <x v="105"/>
    <n v="142500"/>
    <n v="152.41"/>
    <n v="118750"/>
    <n v="23750"/>
    <n v="25.4"/>
    <n v="0"/>
    <d v="2024-05-25T00:00:00"/>
  </r>
  <r>
    <s v="B02340"/>
    <s v="P061"/>
    <x v="7"/>
    <s v="Sold Out"/>
    <n v="17"/>
    <n v="17"/>
    <n v="0"/>
    <n v="0"/>
    <x v="169"/>
    <n v="127500"/>
    <n v="136.36000000000001"/>
    <n v="91800"/>
    <n v="35700"/>
    <n v="38.18"/>
    <n v="0"/>
    <d v="2024-06-16T00:00:00"/>
  </r>
  <r>
    <s v="B02341"/>
    <s v="P061"/>
    <x v="7"/>
    <s v="Partial Loss"/>
    <n v="17"/>
    <n v="15.78"/>
    <n v="1.22"/>
    <n v="7.2"/>
    <x v="665"/>
    <n v="118350"/>
    <n v="126.58"/>
    <n v="91800"/>
    <n v="26550"/>
    <n v="28.4"/>
    <n v="6588"/>
    <d v="2024-07-03T00:00:00"/>
  </r>
  <r>
    <s v="B02342"/>
    <s v="P061"/>
    <x v="7"/>
    <s v="Sold Out"/>
    <n v="19"/>
    <n v="19"/>
    <n v="0"/>
    <n v="0"/>
    <x v="325"/>
    <n v="142500"/>
    <n v="152.41"/>
    <n v="102600"/>
    <n v="39900"/>
    <n v="42.67"/>
    <n v="0"/>
    <d v="2024-07-26T00:00:00"/>
  </r>
  <r>
    <s v="B02343"/>
    <s v="P061"/>
    <x v="7"/>
    <s v="Sold Out"/>
    <n v="21"/>
    <n v="21"/>
    <n v="0"/>
    <n v="0"/>
    <x v="603"/>
    <n v="157500"/>
    <n v="168.45"/>
    <n v="113400"/>
    <n v="44100"/>
    <n v="47.17"/>
    <n v="0"/>
    <d v="2024-08-16T00:00:00"/>
  </r>
  <r>
    <s v="B02344"/>
    <s v="P061"/>
    <x v="7"/>
    <s v="Sold Out"/>
    <n v="26"/>
    <n v="26"/>
    <n v="0"/>
    <n v="0"/>
    <x v="112"/>
    <n v="195000"/>
    <n v="208.56"/>
    <n v="140400"/>
    <n v="54600"/>
    <n v="58.4"/>
    <n v="0"/>
    <d v="2024-09-05T00:00:00"/>
  </r>
  <r>
    <s v="B02345"/>
    <s v="P061"/>
    <x v="7"/>
    <s v="Partial Loss"/>
    <n v="8"/>
    <n v="7.57"/>
    <n v="0.43"/>
    <n v="5.4"/>
    <x v="414"/>
    <n v="56775"/>
    <n v="60.72"/>
    <n v="43200"/>
    <n v="13575"/>
    <n v="14.52"/>
    <n v="2322"/>
    <d v="2024-10-01T00:00:00"/>
  </r>
  <r>
    <s v="B02346"/>
    <s v="P061"/>
    <x v="7"/>
    <s v="Sold Out"/>
    <n v="8"/>
    <n v="8"/>
    <n v="0"/>
    <n v="0"/>
    <x v="329"/>
    <n v="60000"/>
    <n v="64.17"/>
    <n v="43200"/>
    <n v="16800"/>
    <n v="17.97"/>
    <n v="0"/>
    <d v="2024-10-19T00:00:00"/>
  </r>
  <r>
    <s v="B02347"/>
    <s v="P061"/>
    <x v="7"/>
    <s v="Partial Loss"/>
    <n v="7"/>
    <n v="6.38"/>
    <n v="0.62"/>
    <n v="8.8000000000000007"/>
    <x v="586"/>
    <n v="47850"/>
    <n v="51.18"/>
    <n v="37800"/>
    <n v="10050"/>
    <n v="10.75"/>
    <n v="3348"/>
    <d v="2024-11-11T00:00:00"/>
  </r>
  <r>
    <s v="B02348"/>
    <s v="P061"/>
    <x v="7"/>
    <s v="Sold Out"/>
    <n v="7"/>
    <n v="7"/>
    <n v="0"/>
    <n v="0"/>
    <x v="521"/>
    <n v="52500"/>
    <n v="56.15"/>
    <n v="37800"/>
    <n v="14700"/>
    <n v="15.72"/>
    <n v="0"/>
    <d v="2024-11-30T00:00:00"/>
  </r>
  <r>
    <s v="B02349"/>
    <s v="P061"/>
    <x v="7"/>
    <s v="Sold Out"/>
    <n v="11"/>
    <n v="11"/>
    <n v="0"/>
    <n v="0"/>
    <x v="183"/>
    <n v="82500"/>
    <n v="88.24"/>
    <n v="68750"/>
    <n v="13750"/>
    <n v="14.71"/>
    <n v="0"/>
    <d v="2024-12-21T00:00:00"/>
  </r>
  <r>
    <s v="B02350"/>
    <s v="P061"/>
    <x v="7"/>
    <s v="Sold Out"/>
    <n v="7"/>
    <n v="7"/>
    <n v="0"/>
    <n v="0"/>
    <x v="182"/>
    <n v="52500"/>
    <n v="56.15"/>
    <n v="37800"/>
    <n v="14700"/>
    <n v="15.72"/>
    <n v="0"/>
    <d v="2025-01-12T00:00:00"/>
  </r>
  <r>
    <s v="B02351"/>
    <s v="P061"/>
    <x v="7"/>
    <s v="Partial Loss"/>
    <n v="7"/>
    <n v="6.31"/>
    <n v="0.69"/>
    <n v="9.8000000000000007"/>
    <x v="827"/>
    <n v="47325"/>
    <n v="50.61"/>
    <n v="37800"/>
    <n v="9525"/>
    <n v="10.19"/>
    <n v="3725.9999999999995"/>
    <d v="2025-01-31T00:00:00"/>
  </r>
  <r>
    <s v="B02352"/>
    <s v="P061"/>
    <x v="7"/>
    <s v="Sold Out"/>
    <n v="7"/>
    <n v="7"/>
    <n v="0"/>
    <n v="0"/>
    <x v="287"/>
    <n v="52500"/>
    <n v="56.15"/>
    <n v="37800"/>
    <n v="14700"/>
    <n v="15.72"/>
    <n v="0"/>
    <d v="2025-02-23T00:00:00"/>
  </r>
  <r>
    <s v="B02353"/>
    <s v="P061"/>
    <x v="7"/>
    <s v="Partial Loss"/>
    <n v="8"/>
    <n v="7.59"/>
    <n v="0.41"/>
    <n v="5.0999999999999996"/>
    <x v="839"/>
    <n v="56925"/>
    <n v="60.88"/>
    <n v="43200"/>
    <n v="13725"/>
    <n v="14.68"/>
    <n v="2214"/>
    <d v="2025-03-17T00:00:00"/>
  </r>
  <r>
    <s v="B02354"/>
    <s v="P061"/>
    <x v="7"/>
    <s v="Sold Out"/>
    <n v="22"/>
    <n v="22"/>
    <n v="0"/>
    <n v="0"/>
    <x v="656"/>
    <n v="165000"/>
    <n v="176.47"/>
    <n v="118800"/>
    <n v="46200"/>
    <n v="49.41"/>
    <n v="0"/>
    <d v="2025-04-07T00:00:00"/>
  </r>
  <r>
    <s v="B02355"/>
    <s v="P061"/>
    <x v="7"/>
    <s v="Sold Out"/>
    <n v="23"/>
    <n v="23"/>
    <n v="0"/>
    <n v="0"/>
    <x v="67"/>
    <n v="172500"/>
    <n v="184.49"/>
    <n v="124200"/>
    <n v="48300"/>
    <n v="51.66"/>
    <n v="0"/>
    <d v="2025-05-03T00:00:00"/>
  </r>
  <r>
    <s v="B02356"/>
    <s v="P061"/>
    <x v="7"/>
    <s v="Partial Loss"/>
    <n v="20"/>
    <n v="19.38"/>
    <n v="0.62"/>
    <n v="3.1"/>
    <x v="685"/>
    <n v="145350"/>
    <n v="155.44999999999999"/>
    <n v="108000"/>
    <n v="37350"/>
    <n v="39.950000000000003"/>
    <n v="3348"/>
    <d v="2025-05-27T00:00:00"/>
  </r>
  <r>
    <s v="B02357"/>
    <s v="P061"/>
    <x v="7"/>
    <s v="Sold Out"/>
    <n v="22"/>
    <n v="22"/>
    <n v="0"/>
    <n v="0"/>
    <x v="440"/>
    <n v="165000"/>
    <n v="176.47"/>
    <n v="118800"/>
    <n v="46200"/>
    <n v="49.41"/>
    <n v="0"/>
    <d v="2025-06-17T00:00:00"/>
  </r>
  <r>
    <s v="B02358"/>
    <s v="P062"/>
    <x v="7"/>
    <s v="Sold Out"/>
    <n v="20"/>
    <n v="20"/>
    <n v="0"/>
    <n v="0"/>
    <x v="78"/>
    <n v="440000"/>
    <n v="470.59"/>
    <n v="334000"/>
    <n v="106000"/>
    <n v="113.37"/>
    <n v="0"/>
    <d v="2023-07-18T00:00:00"/>
  </r>
  <r>
    <s v="B02359"/>
    <s v="P062"/>
    <x v="7"/>
    <s v="Partial Loss"/>
    <n v="18"/>
    <n v="17.100000000000001"/>
    <n v="0.9"/>
    <n v="5"/>
    <x v="209"/>
    <n v="376200"/>
    <n v="402.35"/>
    <n v="298800"/>
    <n v="77400"/>
    <n v="82.78"/>
    <n v="14940"/>
    <d v="2023-08-14T00:00:00"/>
  </r>
  <r>
    <s v="B02360"/>
    <s v="P062"/>
    <x v="7"/>
    <s v="Sold Out"/>
    <n v="18"/>
    <n v="18"/>
    <n v="0"/>
    <n v="0"/>
    <x v="80"/>
    <n v="396000"/>
    <n v="423.53"/>
    <n v="298800"/>
    <n v="97200"/>
    <n v="103.96"/>
    <n v="0"/>
    <d v="2023-08-29T00:00:00"/>
  </r>
  <r>
    <s v="B02361"/>
    <s v="P062"/>
    <x v="7"/>
    <s v="Sold Out"/>
    <n v="27"/>
    <n v="27"/>
    <n v="0"/>
    <n v="0"/>
    <x v="350"/>
    <n v="594000"/>
    <n v="635.29"/>
    <n v="448200"/>
    <n v="145800"/>
    <n v="155.94"/>
    <n v="0"/>
    <d v="2023-09-12T00:00:00"/>
  </r>
  <r>
    <s v="B02362"/>
    <s v="P062"/>
    <x v="7"/>
    <s v="Sold Out"/>
    <n v="7"/>
    <n v="7"/>
    <n v="0"/>
    <n v="0"/>
    <x v="12"/>
    <n v="154000"/>
    <n v="164.71"/>
    <n v="116200"/>
    <n v="37800"/>
    <n v="40.43"/>
    <n v="0"/>
    <d v="2023-10-05T00:00:00"/>
  </r>
  <r>
    <s v="B02363"/>
    <s v="P062"/>
    <x v="7"/>
    <s v="Partial Loss"/>
    <n v="7"/>
    <n v="6.22"/>
    <n v="0.78"/>
    <n v="11.2"/>
    <x v="30"/>
    <n v="136840"/>
    <n v="146.35"/>
    <n v="116200"/>
    <n v="20640"/>
    <n v="22.07"/>
    <n v="12948"/>
    <d v="2023-10-27T00:00:00"/>
  </r>
  <r>
    <s v="B02364"/>
    <s v="P062"/>
    <x v="7"/>
    <s v="Sold Out"/>
    <n v="6"/>
    <n v="6"/>
    <n v="0"/>
    <n v="0"/>
    <x v="305"/>
    <n v="132000"/>
    <n v="141.18"/>
    <n v="99600"/>
    <n v="32400"/>
    <n v="34.65"/>
    <n v="0"/>
    <d v="2023-11-17T00:00:00"/>
  </r>
  <r>
    <s v="B02365"/>
    <s v="P062"/>
    <x v="7"/>
    <s v="Partial Loss"/>
    <n v="10"/>
    <n v="9.82"/>
    <n v="0.18"/>
    <n v="1.8"/>
    <x v="103"/>
    <n v="216040"/>
    <n v="231.06"/>
    <n v="166000"/>
    <n v="50040"/>
    <n v="53.52"/>
    <n v="2988"/>
    <d v="2023-12-04T00:00:00"/>
  </r>
  <r>
    <s v="B02366"/>
    <s v="P062"/>
    <x v="7"/>
    <s v="Partial Loss"/>
    <n v="10"/>
    <n v="9.18"/>
    <n v="0.82"/>
    <n v="8.1999999999999993"/>
    <x v="516"/>
    <n v="201960"/>
    <n v="216"/>
    <n v="166000"/>
    <n v="35960"/>
    <n v="38.46"/>
    <n v="13612"/>
    <d v="2023-12-30T00:00:00"/>
  </r>
  <r>
    <s v="B02367"/>
    <s v="P062"/>
    <x v="7"/>
    <s v="Sold Out"/>
    <n v="8"/>
    <n v="8"/>
    <n v="0"/>
    <n v="0"/>
    <x v="762"/>
    <n v="176000"/>
    <n v="188.24"/>
    <n v="132800"/>
    <n v="43200"/>
    <n v="46.2"/>
    <n v="0"/>
    <d v="2024-01-18T00:00:00"/>
  </r>
  <r>
    <s v="B02368"/>
    <s v="P062"/>
    <x v="7"/>
    <s v="Sold Out"/>
    <n v="7"/>
    <n v="7"/>
    <n v="0"/>
    <n v="0"/>
    <x v="745"/>
    <n v="154000"/>
    <n v="164.71"/>
    <n v="116200"/>
    <n v="37800"/>
    <n v="40.43"/>
    <n v="0"/>
    <d v="2024-02-08T00:00:00"/>
  </r>
  <r>
    <s v="B02369"/>
    <s v="P062"/>
    <x v="7"/>
    <s v="Partial Loss"/>
    <n v="8"/>
    <n v="7.32"/>
    <n v="0.68"/>
    <n v="8.5"/>
    <x v="175"/>
    <n v="161040"/>
    <n v="172.24"/>
    <n v="132800"/>
    <n v="28240"/>
    <n v="30.2"/>
    <n v="11288"/>
    <d v="2024-03-01T00:00:00"/>
  </r>
  <r>
    <s v="B02370"/>
    <s v="P062"/>
    <x v="7"/>
    <s v="Partial Loss"/>
    <n v="7"/>
    <n v="6.41"/>
    <n v="0.59"/>
    <n v="8.4"/>
    <x v="44"/>
    <n v="141020"/>
    <n v="150.82"/>
    <n v="116200"/>
    <n v="24820"/>
    <n v="26.55"/>
    <n v="9794"/>
    <d v="2024-03-21T00:00:00"/>
  </r>
  <r>
    <s v="B02371"/>
    <s v="P062"/>
    <x v="7"/>
    <s v="Sold Out"/>
    <n v="18"/>
    <n v="18"/>
    <n v="0"/>
    <n v="0"/>
    <x v="835"/>
    <n v="396000"/>
    <n v="423.53"/>
    <n v="298800"/>
    <n v="97200"/>
    <n v="103.96"/>
    <n v="0"/>
    <d v="2024-04-16T00:00:00"/>
  </r>
  <r>
    <s v="B02372"/>
    <s v="P062"/>
    <x v="7"/>
    <s v="Sold Out"/>
    <n v="22"/>
    <n v="22"/>
    <n v="0"/>
    <n v="0"/>
    <x v="164"/>
    <n v="484000"/>
    <n v="517.65"/>
    <n v="367400"/>
    <n v="116600"/>
    <n v="124.71"/>
    <n v="0"/>
    <d v="2024-05-06T00:00:00"/>
  </r>
  <r>
    <s v="B02373"/>
    <s v="P062"/>
    <x v="7"/>
    <s v="Sold Out"/>
    <n v="19"/>
    <n v="19"/>
    <n v="0"/>
    <n v="0"/>
    <x v="319"/>
    <n v="418000"/>
    <n v="447.06"/>
    <n v="317300"/>
    <n v="100700"/>
    <n v="107.7"/>
    <n v="0"/>
    <d v="2024-05-22T00:00:00"/>
  </r>
  <r>
    <s v="B02374"/>
    <s v="P062"/>
    <x v="7"/>
    <s v="Sold Out"/>
    <n v="21"/>
    <n v="21"/>
    <n v="0"/>
    <n v="0"/>
    <x v="676"/>
    <n v="462000"/>
    <n v="494.12"/>
    <n v="348600"/>
    <n v="113400"/>
    <n v="121.28"/>
    <n v="0"/>
    <d v="2024-06-11T00:00:00"/>
  </r>
  <r>
    <s v="B02375"/>
    <s v="P062"/>
    <x v="7"/>
    <s v="Partial Loss"/>
    <n v="20"/>
    <n v="18.38"/>
    <n v="1.62"/>
    <n v="8.1"/>
    <x v="715"/>
    <n v="404360"/>
    <n v="432.47"/>
    <n v="332000"/>
    <n v="72360"/>
    <n v="77.39"/>
    <n v="26892"/>
    <d v="2024-06-28T00:00:00"/>
  </r>
  <r>
    <s v="B02376"/>
    <s v="P062"/>
    <x v="7"/>
    <s v="Partial Loss"/>
    <n v="21"/>
    <n v="18.84"/>
    <n v="2.16"/>
    <n v="10.3"/>
    <x v="332"/>
    <n v="414480"/>
    <n v="443.29"/>
    <n v="348600"/>
    <n v="65880"/>
    <n v="70.459999999999994"/>
    <n v="35856"/>
    <d v="2024-07-11T00:00:00"/>
  </r>
  <r>
    <s v="B02377"/>
    <s v="P062"/>
    <x v="7"/>
    <s v="Partial Loss"/>
    <n v="20"/>
    <n v="18.940000000000001"/>
    <n v="1.06"/>
    <n v="5.3"/>
    <x v="233"/>
    <n v="416680"/>
    <n v="445.65"/>
    <n v="332000"/>
    <n v="84680"/>
    <n v="90.57"/>
    <n v="17596"/>
    <d v="2024-07-30T00:00:00"/>
  </r>
  <r>
    <s v="B02378"/>
    <s v="P062"/>
    <x v="7"/>
    <s v="Partial Loss"/>
    <n v="21"/>
    <n v="19.399999999999999"/>
    <n v="1.6"/>
    <n v="7.6"/>
    <x v="412"/>
    <n v="426800"/>
    <n v="456.47"/>
    <n v="348600"/>
    <n v="78200"/>
    <n v="83.64"/>
    <n v="26560"/>
    <d v="2024-08-18T00:00:00"/>
  </r>
  <r>
    <s v="B02379"/>
    <s v="P062"/>
    <x v="7"/>
    <s v="Sold Out"/>
    <n v="24"/>
    <n v="24"/>
    <n v="0"/>
    <n v="0"/>
    <x v="763"/>
    <n v="528000"/>
    <n v="564.71"/>
    <n v="398400"/>
    <n v="129600"/>
    <n v="138.61000000000001"/>
    <n v="0"/>
    <d v="2024-09-08T00:00:00"/>
  </r>
  <r>
    <s v="B02380"/>
    <s v="P062"/>
    <x v="7"/>
    <s v="Partial Loss"/>
    <n v="8"/>
    <n v="7.51"/>
    <n v="0.49"/>
    <n v="6.1"/>
    <x v="414"/>
    <n v="165220"/>
    <n v="176.71"/>
    <n v="132800"/>
    <n v="32420"/>
    <n v="34.67"/>
    <n v="8134"/>
    <d v="2024-10-01T00:00:00"/>
  </r>
  <r>
    <s v="B02381"/>
    <s v="P062"/>
    <x v="7"/>
    <s v="Sold Out"/>
    <n v="8"/>
    <n v="8"/>
    <n v="0"/>
    <n v="0"/>
    <x v="277"/>
    <n v="176000"/>
    <n v="188.24"/>
    <n v="133600"/>
    <n v="42400"/>
    <n v="45.35"/>
    <n v="0"/>
    <d v="2024-10-25T00:00:00"/>
  </r>
  <r>
    <s v="B02382"/>
    <s v="P062"/>
    <x v="7"/>
    <s v="Sold Out"/>
    <n v="8"/>
    <n v="8"/>
    <n v="0"/>
    <n v="0"/>
    <x v="825"/>
    <n v="176000"/>
    <n v="188.24"/>
    <n v="132800"/>
    <n v="43200"/>
    <n v="46.2"/>
    <n v="0"/>
    <d v="2024-11-17T00:00:00"/>
  </r>
  <r>
    <s v="B02383"/>
    <s v="P062"/>
    <x v="7"/>
    <s v="Partial Loss"/>
    <n v="8"/>
    <n v="7.74"/>
    <n v="0.26"/>
    <n v="3.3"/>
    <x v="293"/>
    <n v="170280"/>
    <n v="182.12"/>
    <n v="132800"/>
    <n v="37480"/>
    <n v="40.090000000000003"/>
    <n v="4316"/>
    <d v="2024-12-05T00:00:00"/>
  </r>
  <r>
    <s v="B02384"/>
    <s v="P062"/>
    <x v="7"/>
    <s v="Sold Out"/>
    <n v="10"/>
    <n v="10"/>
    <n v="0"/>
    <n v="0"/>
    <x v="434"/>
    <n v="220000"/>
    <n v="235.29"/>
    <n v="166000"/>
    <n v="54000"/>
    <n v="57.75"/>
    <n v="0"/>
    <d v="2024-12-23T00:00:00"/>
  </r>
  <r>
    <s v="B02385"/>
    <s v="P062"/>
    <x v="7"/>
    <s v="Sold Out"/>
    <n v="8"/>
    <n v="8"/>
    <n v="0"/>
    <n v="0"/>
    <x v="283"/>
    <n v="176000"/>
    <n v="188.24"/>
    <n v="132800"/>
    <n v="43200"/>
    <n v="46.2"/>
    <n v="0"/>
    <d v="2025-01-13T00:00:00"/>
  </r>
  <r>
    <s v="B02386"/>
    <s v="P062"/>
    <x v="7"/>
    <s v="Partial Loss"/>
    <n v="8"/>
    <n v="7.33"/>
    <n v="0.67"/>
    <n v="8.4"/>
    <x v="840"/>
    <n v="161260"/>
    <n v="172.47"/>
    <n v="132800"/>
    <n v="28460"/>
    <n v="30.44"/>
    <n v="11122"/>
    <d v="2025-01-30T00:00:00"/>
  </r>
  <r>
    <s v="B02387"/>
    <s v="P062"/>
    <x v="7"/>
    <s v="Sold Out"/>
    <n v="7"/>
    <n v="7"/>
    <n v="0"/>
    <n v="0"/>
    <x v="233"/>
    <n v="154000"/>
    <n v="164.71"/>
    <n v="116200"/>
    <n v="37800"/>
    <n v="40.43"/>
    <n v="0"/>
    <d v="2025-02-16T00:00:00"/>
  </r>
  <r>
    <s v="B02388"/>
    <s v="P062"/>
    <x v="7"/>
    <s v="Partial Loss"/>
    <n v="7"/>
    <n v="6.68"/>
    <n v="0.32"/>
    <n v="4.5999999999999996"/>
    <x v="841"/>
    <n v="146960"/>
    <n v="157.18"/>
    <n v="116200"/>
    <n v="30760"/>
    <n v="32.9"/>
    <n v="5312"/>
    <d v="2025-03-04T00:00:00"/>
  </r>
  <r>
    <s v="B02389"/>
    <s v="P062"/>
    <x v="7"/>
    <s v="Partial Loss"/>
    <n v="8"/>
    <n v="7.2"/>
    <n v="0.8"/>
    <n v="10"/>
    <x v="842"/>
    <n v="158400"/>
    <n v="169.41"/>
    <n v="133600"/>
    <n v="24800"/>
    <n v="26.52"/>
    <n v="13360"/>
    <d v="2025-03-29T00:00:00"/>
  </r>
  <r>
    <s v="B02390"/>
    <s v="P062"/>
    <x v="7"/>
    <s v="Sold Out"/>
    <n v="18"/>
    <n v="18"/>
    <n v="0"/>
    <n v="0"/>
    <x v="561"/>
    <n v="396000"/>
    <n v="423.53"/>
    <n v="298800"/>
    <n v="97200"/>
    <n v="103.96"/>
    <n v="0"/>
    <d v="2025-04-22T00:00:00"/>
  </r>
  <r>
    <s v="B02391"/>
    <s v="P062"/>
    <x v="7"/>
    <s v="Sold Out"/>
    <n v="23"/>
    <n v="23"/>
    <n v="0"/>
    <n v="0"/>
    <x v="67"/>
    <n v="506000"/>
    <n v="541.17999999999995"/>
    <n v="381800"/>
    <n v="124200"/>
    <n v="132.83000000000001"/>
    <n v="0"/>
    <d v="2025-05-10T00:00:00"/>
  </r>
  <r>
    <s v="B02392"/>
    <s v="P062"/>
    <x v="7"/>
    <s v="Partial Loss"/>
    <n v="19"/>
    <n v="17.399999999999999"/>
    <n v="1.6"/>
    <n v="8.4"/>
    <x v="685"/>
    <n v="382800"/>
    <n v="409.41"/>
    <n v="315400"/>
    <n v="67400"/>
    <n v="72.09"/>
    <n v="26560"/>
    <d v="2025-05-27T00:00:00"/>
  </r>
  <r>
    <s v="B02393"/>
    <s v="P062"/>
    <x v="7"/>
    <s v="Partial Loss"/>
    <n v="22"/>
    <n v="20.22"/>
    <n v="1.78"/>
    <n v="8.1"/>
    <x v="630"/>
    <n v="444840"/>
    <n v="475.76"/>
    <n v="365200"/>
    <n v="79640"/>
    <n v="85.18"/>
    <n v="29548"/>
    <d v="2025-06-17T00:00:00"/>
  </r>
  <r>
    <s v="B02394"/>
    <s v="P063"/>
    <x v="7"/>
    <s v="Partial Loss"/>
    <n v="19"/>
    <n v="18.010000000000002"/>
    <n v="0.99"/>
    <n v="5.2"/>
    <x v="481"/>
    <n v="468260"/>
    <n v="500.81"/>
    <n v="377150"/>
    <n v="91110"/>
    <n v="97.44"/>
    <n v="19651.5"/>
    <d v="2023-07-21T00:00:00"/>
  </r>
  <r>
    <s v="B02395"/>
    <s v="P063"/>
    <x v="7"/>
    <s v="Sold Out"/>
    <n v="17"/>
    <n v="17"/>
    <n v="0"/>
    <n v="0"/>
    <x v="81"/>
    <n v="442000"/>
    <n v="472.73"/>
    <n v="333200"/>
    <n v="108800"/>
    <n v="116.36"/>
    <n v="0"/>
    <d v="2023-08-09T00:00:00"/>
  </r>
  <r>
    <s v="B02396"/>
    <s v="P063"/>
    <x v="7"/>
    <s v="Sold Out"/>
    <n v="17"/>
    <n v="17"/>
    <n v="0"/>
    <n v="0"/>
    <x v="347"/>
    <n v="442000"/>
    <n v="472.73"/>
    <n v="333200"/>
    <n v="108800"/>
    <n v="116.36"/>
    <n v="0"/>
    <d v="2023-08-27T00:00:00"/>
  </r>
  <r>
    <s v="B02397"/>
    <s v="P063"/>
    <x v="7"/>
    <s v="Sold Out"/>
    <n v="26"/>
    <n v="26"/>
    <n v="0"/>
    <n v="0"/>
    <x v="145"/>
    <n v="676000"/>
    <n v="722.99"/>
    <n v="509600"/>
    <n v="166400"/>
    <n v="177.97"/>
    <n v="0"/>
    <d v="2023-09-19T00:00:00"/>
  </r>
  <r>
    <s v="B02398"/>
    <s v="P063"/>
    <x v="7"/>
    <s v="Partial Loss"/>
    <n v="8"/>
    <n v="7.33"/>
    <n v="0.67"/>
    <n v="8.4"/>
    <x v="166"/>
    <n v="190580"/>
    <n v="203.83"/>
    <n v="156800"/>
    <n v="33780"/>
    <n v="36.130000000000003"/>
    <n v="13132"/>
    <d v="2023-10-06T00:00:00"/>
  </r>
  <r>
    <s v="B02399"/>
    <s v="P063"/>
    <x v="7"/>
    <s v="Partial Loss"/>
    <n v="7"/>
    <n v="6.43"/>
    <n v="0.56999999999999995"/>
    <n v="8.1"/>
    <x v="361"/>
    <n v="167180"/>
    <n v="178.8"/>
    <n v="137200"/>
    <n v="29980"/>
    <n v="32.06"/>
    <n v="11171.999999999998"/>
    <d v="2023-10-29T00:00:00"/>
  </r>
  <r>
    <s v="B02400"/>
    <s v="P063"/>
    <x v="7"/>
    <s v="Sold Out"/>
    <n v="8"/>
    <n v="8"/>
    <n v="0"/>
    <n v="0"/>
    <x v="352"/>
    <n v="208000"/>
    <n v="222.46"/>
    <n v="156800"/>
    <n v="51200"/>
    <n v="54.76"/>
    <n v="0"/>
    <d v="2023-11-18T00:00:00"/>
  </r>
  <r>
    <s v="B02401"/>
    <s v="P063"/>
    <x v="7"/>
    <s v="Sold Out"/>
    <n v="9"/>
    <n v="9"/>
    <n v="0"/>
    <n v="0"/>
    <x v="306"/>
    <n v="234000"/>
    <n v="250.27"/>
    <n v="176400"/>
    <n v="57600"/>
    <n v="61.6"/>
    <n v="0"/>
    <d v="2023-12-05T00:00:00"/>
  </r>
  <r>
    <s v="B02402"/>
    <s v="P063"/>
    <x v="7"/>
    <s v="Partial Loss"/>
    <n v="9"/>
    <n v="8.3000000000000007"/>
    <n v="0.7"/>
    <n v="7.8"/>
    <x v="270"/>
    <n v="215800"/>
    <n v="230.8"/>
    <n v="178650"/>
    <n v="37150"/>
    <n v="39.729999999999997"/>
    <n v="13895"/>
    <d v="2023-12-25T00:00:00"/>
  </r>
  <r>
    <s v="B02403"/>
    <s v="P063"/>
    <x v="7"/>
    <s v="Partial Loss"/>
    <n v="8"/>
    <n v="7.21"/>
    <n v="0.79"/>
    <n v="9.9"/>
    <x v="321"/>
    <n v="187460"/>
    <n v="200.49"/>
    <n v="156800"/>
    <n v="30660"/>
    <n v="32.79"/>
    <n v="15484"/>
    <d v="2024-01-18T00:00:00"/>
  </r>
  <r>
    <s v="B02404"/>
    <s v="P063"/>
    <x v="7"/>
    <s v="Sold Out"/>
    <n v="6"/>
    <n v="6"/>
    <n v="0"/>
    <n v="0"/>
    <x v="843"/>
    <n v="156000"/>
    <n v="166.84"/>
    <n v="117600"/>
    <n v="38400"/>
    <n v="41.07"/>
    <n v="0"/>
    <d v="2024-02-04T00:00:00"/>
  </r>
  <r>
    <s v="B02405"/>
    <s v="P063"/>
    <x v="7"/>
    <s v="Partial Loss"/>
    <n v="8"/>
    <n v="7.58"/>
    <n v="0.42"/>
    <n v="5.2"/>
    <x v="42"/>
    <n v="197080"/>
    <n v="210.78"/>
    <n v="156800"/>
    <n v="40280"/>
    <n v="43.08"/>
    <n v="8232"/>
    <d v="2024-02-28T00:00:00"/>
  </r>
  <r>
    <s v="B02406"/>
    <s v="P063"/>
    <x v="7"/>
    <s v="Partial Loss"/>
    <n v="8"/>
    <n v="7.56"/>
    <n v="0.44"/>
    <n v="5.5"/>
    <x v="460"/>
    <n v="196560"/>
    <n v="210.22"/>
    <n v="156800"/>
    <n v="39760"/>
    <n v="42.52"/>
    <n v="8624"/>
    <d v="2024-03-14T00:00:00"/>
  </r>
  <r>
    <s v="B02407"/>
    <s v="P063"/>
    <x v="7"/>
    <s v="Sold Out"/>
    <n v="18"/>
    <n v="18"/>
    <n v="0"/>
    <n v="0"/>
    <x v="162"/>
    <n v="468000"/>
    <n v="500.53"/>
    <n v="352800"/>
    <n v="115200"/>
    <n v="123.21"/>
    <n v="0"/>
    <d v="2024-04-10T00:00:00"/>
  </r>
  <r>
    <s v="B02408"/>
    <s v="P063"/>
    <x v="7"/>
    <s v="Sold Out"/>
    <n v="20"/>
    <n v="20"/>
    <n v="0"/>
    <n v="0"/>
    <x v="515"/>
    <n v="520000"/>
    <n v="556.15"/>
    <n v="392000"/>
    <n v="128000"/>
    <n v="136.9"/>
    <n v="0"/>
    <d v="2024-04-29T00:00:00"/>
  </r>
  <r>
    <s v="B02409"/>
    <s v="P063"/>
    <x v="7"/>
    <s v="Sold Out"/>
    <n v="21"/>
    <n v="21"/>
    <n v="0"/>
    <n v="0"/>
    <x v="396"/>
    <n v="546000"/>
    <n v="583.96"/>
    <n v="411600"/>
    <n v="134400"/>
    <n v="143.74"/>
    <n v="0"/>
    <d v="2024-05-23T00:00:00"/>
  </r>
  <r>
    <s v="B02410"/>
    <s v="P063"/>
    <x v="7"/>
    <s v="Sold Out"/>
    <n v="20"/>
    <n v="20"/>
    <n v="0"/>
    <n v="0"/>
    <x v="318"/>
    <n v="520000"/>
    <n v="556.15"/>
    <n v="392000"/>
    <n v="128000"/>
    <n v="136.9"/>
    <n v="0"/>
    <d v="2024-06-11T00:00:00"/>
  </r>
  <r>
    <s v="B02411"/>
    <s v="P063"/>
    <x v="7"/>
    <s v="Partial Loss"/>
    <n v="20"/>
    <n v="19.02"/>
    <n v="0.98"/>
    <n v="4.9000000000000004"/>
    <x v="715"/>
    <n v="494520"/>
    <n v="528.9"/>
    <n v="397000"/>
    <n v="97520"/>
    <n v="104.3"/>
    <n v="19453"/>
    <d v="2024-06-28T00:00:00"/>
  </r>
  <r>
    <s v="B02412"/>
    <s v="P063"/>
    <x v="7"/>
    <s v="Partial Loss"/>
    <n v="20"/>
    <n v="19.18"/>
    <n v="0.82"/>
    <n v="4.0999999999999996"/>
    <x v="61"/>
    <n v="498680"/>
    <n v="533.35"/>
    <n v="392000"/>
    <n v="106680"/>
    <n v="114.1"/>
    <n v="16071.999999999998"/>
    <d v="2024-07-22T00:00:00"/>
  </r>
  <r>
    <s v="B02413"/>
    <s v="P063"/>
    <x v="7"/>
    <s v="Sold Out"/>
    <n v="22"/>
    <n v="22"/>
    <n v="0"/>
    <n v="0"/>
    <x v="517"/>
    <n v="572000"/>
    <n v="611.76"/>
    <n v="431200"/>
    <n v="140800"/>
    <n v="150.59"/>
    <n v="0"/>
    <d v="2024-08-13T00:00:00"/>
  </r>
  <r>
    <s v="B02414"/>
    <s v="P063"/>
    <x v="7"/>
    <s v="Sold Out"/>
    <n v="24"/>
    <n v="24"/>
    <n v="0"/>
    <n v="0"/>
    <x v="42"/>
    <n v="624000"/>
    <n v="667.38"/>
    <n v="470400"/>
    <n v="153600"/>
    <n v="164.28"/>
    <n v="0"/>
    <d v="2024-09-07T00:00:00"/>
  </r>
  <r>
    <s v="B02415"/>
    <s v="P063"/>
    <x v="7"/>
    <s v="Sold Out"/>
    <n v="23"/>
    <n v="23"/>
    <n v="0"/>
    <n v="0"/>
    <x v="400"/>
    <n v="598000"/>
    <n v="639.57000000000005"/>
    <n v="450800"/>
    <n v="147200"/>
    <n v="157.43"/>
    <n v="0"/>
    <d v="2024-09-28T00:00:00"/>
  </r>
  <r>
    <s v="B02416"/>
    <s v="P063"/>
    <x v="7"/>
    <s v="Sold Out"/>
    <n v="7"/>
    <n v="7"/>
    <n v="0"/>
    <n v="0"/>
    <x v="51"/>
    <n v="182000"/>
    <n v="194.65"/>
    <n v="137200"/>
    <n v="44800"/>
    <n v="47.91"/>
    <n v="0"/>
    <d v="2024-10-16T00:00:00"/>
  </r>
  <r>
    <s v="B02417"/>
    <s v="P063"/>
    <x v="7"/>
    <s v="Sold Out"/>
    <n v="8"/>
    <n v="8"/>
    <n v="0"/>
    <n v="0"/>
    <x v="226"/>
    <n v="208000"/>
    <n v="222.46"/>
    <n v="156800"/>
    <n v="51200"/>
    <n v="54.76"/>
    <n v="0"/>
    <d v="2024-11-05T00:00:00"/>
  </r>
  <r>
    <s v="B02418"/>
    <s v="P063"/>
    <x v="7"/>
    <s v="Partial Loss"/>
    <n v="8"/>
    <n v="7.24"/>
    <n v="0.76"/>
    <n v="9.5"/>
    <x v="341"/>
    <n v="188240"/>
    <n v="201.33"/>
    <n v="156800"/>
    <n v="31440"/>
    <n v="33.630000000000003"/>
    <n v="14896"/>
    <d v="2024-11-28T00:00:00"/>
  </r>
  <r>
    <s v="B02419"/>
    <s v="P063"/>
    <x v="7"/>
    <s v="Sold Out"/>
    <n v="8"/>
    <n v="8"/>
    <n v="0"/>
    <n v="0"/>
    <x v="228"/>
    <n v="208000"/>
    <n v="222.46"/>
    <n v="156800"/>
    <n v="51200"/>
    <n v="54.76"/>
    <n v="0"/>
    <d v="2024-12-13T00:00:00"/>
  </r>
  <r>
    <s v="B02420"/>
    <s v="P063"/>
    <x v="7"/>
    <s v="Sold Out"/>
    <n v="10"/>
    <n v="10"/>
    <n v="0"/>
    <n v="0"/>
    <x v="126"/>
    <n v="260000"/>
    <n v="278.07"/>
    <n v="196000"/>
    <n v="64000"/>
    <n v="68.45"/>
    <n v="0"/>
    <d v="2024-12-30T00:00:00"/>
  </r>
  <r>
    <s v="B02421"/>
    <s v="P063"/>
    <x v="7"/>
    <s v="Sold Out"/>
    <n v="9"/>
    <n v="9"/>
    <n v="0"/>
    <n v="0"/>
    <x v="844"/>
    <n v="234000"/>
    <n v="250.27"/>
    <n v="178650"/>
    <n v="55350"/>
    <n v="59.2"/>
    <n v="0"/>
    <d v="2025-01-20T00:00:00"/>
  </r>
  <r>
    <s v="B02422"/>
    <s v="P063"/>
    <x v="7"/>
    <s v="Partial Loss"/>
    <n v="8"/>
    <n v="7.15"/>
    <n v="0.85"/>
    <n v="10.6"/>
    <x v="705"/>
    <n v="185900"/>
    <n v="198.82"/>
    <n v="156800"/>
    <n v="29100"/>
    <n v="31.12"/>
    <n v="16660"/>
    <d v="2025-02-07T00:00:00"/>
  </r>
  <r>
    <s v="B02423"/>
    <s v="P063"/>
    <x v="7"/>
    <s v="Sold Out"/>
    <n v="7"/>
    <n v="7"/>
    <n v="0"/>
    <n v="0"/>
    <x v="130"/>
    <n v="182000"/>
    <n v="194.65"/>
    <n v="137200"/>
    <n v="44800"/>
    <n v="47.91"/>
    <n v="0"/>
    <d v="2025-02-24T00:00:00"/>
  </r>
  <r>
    <s v="B02424"/>
    <s v="P063"/>
    <x v="7"/>
    <s v="Sold Out"/>
    <n v="7"/>
    <n v="7"/>
    <n v="0"/>
    <n v="0"/>
    <x v="523"/>
    <n v="182000"/>
    <n v="194.65"/>
    <n v="137200"/>
    <n v="44800"/>
    <n v="47.91"/>
    <n v="0"/>
    <d v="2025-03-12T00:00:00"/>
  </r>
  <r>
    <s v="B02425"/>
    <s v="P063"/>
    <x v="7"/>
    <s v="Sold Out"/>
    <n v="20"/>
    <n v="20"/>
    <n v="0"/>
    <n v="0"/>
    <x v="240"/>
    <n v="520000"/>
    <n v="556.15"/>
    <n v="397000"/>
    <n v="123000"/>
    <n v="131.55000000000001"/>
    <n v="0"/>
    <d v="2025-04-05T00:00:00"/>
  </r>
  <r>
    <s v="B02426"/>
    <s v="P063"/>
    <x v="7"/>
    <s v="Sold Out"/>
    <n v="18"/>
    <n v="18"/>
    <n v="0"/>
    <n v="0"/>
    <x v="561"/>
    <n v="468000"/>
    <n v="500.53"/>
    <n v="352800"/>
    <n v="115200"/>
    <n v="123.21"/>
    <n v="0"/>
    <d v="2025-04-26T00:00:00"/>
  </r>
  <r>
    <s v="B02427"/>
    <s v="P063"/>
    <x v="7"/>
    <s v="Sold Out"/>
    <n v="18"/>
    <n v="18"/>
    <n v="0"/>
    <n v="0"/>
    <x v="243"/>
    <n v="468000"/>
    <n v="500.53"/>
    <n v="352800"/>
    <n v="115200"/>
    <n v="123.21"/>
    <n v="0"/>
    <d v="2025-05-14T00:00:00"/>
  </r>
  <r>
    <s v="B02428"/>
    <s v="P063"/>
    <x v="7"/>
    <s v="Sold Out"/>
    <n v="22"/>
    <n v="22"/>
    <n v="0"/>
    <n v="0"/>
    <x v="646"/>
    <n v="572000"/>
    <n v="611.76"/>
    <n v="431200"/>
    <n v="140800"/>
    <n v="150.59"/>
    <n v="0"/>
    <d v="2025-06-02T00:00:00"/>
  </r>
  <r>
    <s v="B02429"/>
    <s v="P063"/>
    <x v="7"/>
    <s v="Sold Out"/>
    <n v="19"/>
    <n v="19"/>
    <n v="0"/>
    <n v="0"/>
    <x v="496"/>
    <n v="494000"/>
    <n v="528.34"/>
    <n v="372400"/>
    <n v="121600"/>
    <n v="130.05000000000001"/>
    <n v="0"/>
    <d v="2025-06-24T00:00:00"/>
  </r>
  <r>
    <s v="B02430"/>
    <s v="P064"/>
    <x v="7"/>
    <s v="Sold Out"/>
    <n v="22"/>
    <n v="22"/>
    <n v="0"/>
    <n v="0"/>
    <x v="845"/>
    <n v="572000"/>
    <n v="611.76"/>
    <n v="443300"/>
    <n v="128700"/>
    <n v="137.65"/>
    <n v="0"/>
    <d v="2023-07-02T00:00:00"/>
  </r>
  <r>
    <s v="B02431"/>
    <s v="P064"/>
    <x v="7"/>
    <s v="Sold Out"/>
    <n v="21"/>
    <n v="21"/>
    <n v="0"/>
    <n v="0"/>
    <x v="143"/>
    <n v="546000"/>
    <n v="583.96"/>
    <n v="423150"/>
    <n v="122850"/>
    <n v="131.38999999999999"/>
    <n v="0"/>
    <d v="2023-07-25T00:00:00"/>
  </r>
  <r>
    <s v="B02432"/>
    <s v="P064"/>
    <x v="7"/>
    <s v="Sold Out"/>
    <n v="17"/>
    <n v="17"/>
    <n v="0"/>
    <n v="0"/>
    <x v="83"/>
    <n v="442000"/>
    <n v="472.73"/>
    <n v="342550"/>
    <n v="99450"/>
    <n v="106.36"/>
    <n v="0"/>
    <d v="2023-08-20T00:00:00"/>
  </r>
  <r>
    <s v="B02433"/>
    <s v="P064"/>
    <x v="7"/>
    <s v="Sold Out"/>
    <n v="23"/>
    <n v="23"/>
    <n v="0"/>
    <n v="0"/>
    <x v="346"/>
    <n v="598000"/>
    <n v="639.57000000000005"/>
    <n v="463450"/>
    <n v="134550"/>
    <n v="143.9"/>
    <n v="0"/>
    <d v="2023-09-10T00:00:00"/>
  </r>
  <r>
    <s v="B02434"/>
    <s v="P064"/>
    <x v="7"/>
    <s v="Sold Out"/>
    <n v="6"/>
    <n v="6"/>
    <n v="0"/>
    <n v="0"/>
    <x v="204"/>
    <n v="156000"/>
    <n v="166.84"/>
    <n v="120900"/>
    <n v="35100"/>
    <n v="37.54"/>
    <n v="0"/>
    <d v="2023-10-04T00:00:00"/>
  </r>
  <r>
    <s v="B02435"/>
    <s v="P064"/>
    <x v="7"/>
    <s v="Partial Loss"/>
    <n v="8"/>
    <n v="7.7"/>
    <n v="0.3"/>
    <n v="3.8"/>
    <x v="98"/>
    <n v="200200"/>
    <n v="214.12"/>
    <n v="161200"/>
    <n v="39000"/>
    <n v="41.71"/>
    <n v="6045"/>
    <d v="2023-10-24T00:00:00"/>
  </r>
  <r>
    <s v="B02436"/>
    <s v="P064"/>
    <x v="7"/>
    <s v="Partial Loss"/>
    <n v="6"/>
    <n v="5.36"/>
    <n v="0.64"/>
    <n v="10.6"/>
    <x v="653"/>
    <n v="139360"/>
    <n v="149.05000000000001"/>
    <n v="121500"/>
    <n v="17860"/>
    <n v="19.100000000000001"/>
    <n v="12960"/>
    <d v="2023-11-06T00:00:00"/>
  </r>
  <r>
    <s v="B02437"/>
    <s v="P064"/>
    <x v="7"/>
    <s v="Partial Loss"/>
    <n v="7"/>
    <n v="6.33"/>
    <n v="0.67"/>
    <n v="9.5"/>
    <x v="318"/>
    <n v="164580"/>
    <n v="176.02"/>
    <n v="141050"/>
    <n v="23530"/>
    <n v="25.17"/>
    <n v="13500.5"/>
    <d v="2023-11-25T00:00:00"/>
  </r>
  <r>
    <s v="B02438"/>
    <s v="P064"/>
    <x v="7"/>
    <s v="Sold Out"/>
    <n v="11"/>
    <n v="11"/>
    <n v="0"/>
    <n v="0"/>
    <x v="846"/>
    <n v="286000"/>
    <n v="305.88"/>
    <n v="221650"/>
    <n v="64350"/>
    <n v="68.819999999999993"/>
    <n v="0"/>
    <d v="2023-12-22T00:00:00"/>
  </r>
  <r>
    <s v="B02439"/>
    <s v="P064"/>
    <x v="7"/>
    <s v="Partial Loss"/>
    <n v="7"/>
    <n v="6.31"/>
    <n v="0.69"/>
    <n v="9.8000000000000007"/>
    <x v="601"/>
    <n v="164060"/>
    <n v="175.47"/>
    <n v="141050"/>
    <n v="23010"/>
    <n v="24.61"/>
    <n v="13903.499999999998"/>
    <d v="2024-01-10T00:00:00"/>
  </r>
  <r>
    <s v="B02440"/>
    <s v="P064"/>
    <x v="7"/>
    <s v="Partial Loss"/>
    <n v="7"/>
    <n v="6.61"/>
    <n v="0.39"/>
    <n v="5.6"/>
    <x v="785"/>
    <n v="171860"/>
    <n v="183.81"/>
    <n v="141050"/>
    <n v="30810"/>
    <n v="32.950000000000003"/>
    <n v="7858.5"/>
    <d v="2024-02-02T00:00:00"/>
  </r>
  <r>
    <s v="B02441"/>
    <s v="P064"/>
    <x v="7"/>
    <s v="Partial Loss"/>
    <n v="7"/>
    <n v="6.31"/>
    <n v="0.69"/>
    <n v="9.8000000000000007"/>
    <x v="274"/>
    <n v="164060"/>
    <n v="175.47"/>
    <n v="141050"/>
    <n v="23010"/>
    <n v="24.61"/>
    <n v="13903.499999999998"/>
    <d v="2024-02-26T00:00:00"/>
  </r>
  <r>
    <s v="B02442"/>
    <s v="P064"/>
    <x v="7"/>
    <s v="Sold Out"/>
    <n v="6"/>
    <n v="6"/>
    <n v="0"/>
    <n v="0"/>
    <x v="394"/>
    <n v="156000"/>
    <n v="166.84"/>
    <n v="120900"/>
    <n v="35100"/>
    <n v="37.54"/>
    <n v="0"/>
    <d v="2024-03-17T00:00:00"/>
  </r>
  <r>
    <s v="B02443"/>
    <s v="P064"/>
    <x v="7"/>
    <s v="Sold Out"/>
    <n v="19"/>
    <n v="19"/>
    <n v="0"/>
    <n v="0"/>
    <x v="162"/>
    <n v="494000"/>
    <n v="528.34"/>
    <n v="382850"/>
    <n v="111150"/>
    <n v="118.88"/>
    <n v="0"/>
    <d v="2024-04-02T00:00:00"/>
  </r>
  <r>
    <s v="B02444"/>
    <s v="P064"/>
    <x v="7"/>
    <s v="Partial Loss"/>
    <n v="18"/>
    <n v="16.899999999999999"/>
    <n v="1.1000000000000001"/>
    <n v="6.1"/>
    <x v="403"/>
    <n v="439400"/>
    <n v="469.95"/>
    <n v="362700"/>
    <n v="76700"/>
    <n v="82.03"/>
    <n v="22165"/>
    <d v="2024-04-23T00:00:00"/>
  </r>
  <r>
    <s v="B02445"/>
    <s v="P064"/>
    <x v="7"/>
    <s v="Sold Out"/>
    <n v="20"/>
    <n v="20"/>
    <n v="0"/>
    <n v="0"/>
    <x v="32"/>
    <n v="520000"/>
    <n v="556.15"/>
    <n v="403000"/>
    <n v="117000"/>
    <n v="125.13"/>
    <n v="0"/>
    <d v="2024-05-17T00:00:00"/>
  </r>
  <r>
    <s v="B02446"/>
    <s v="P064"/>
    <x v="7"/>
    <s v="Sold Out"/>
    <n v="20"/>
    <n v="20"/>
    <n v="0"/>
    <n v="0"/>
    <x v="105"/>
    <n v="520000"/>
    <n v="556.15"/>
    <n v="403000"/>
    <n v="117000"/>
    <n v="125.13"/>
    <n v="0"/>
    <d v="2024-06-04T00:00:00"/>
  </r>
  <r>
    <s v="B02447"/>
    <s v="P064"/>
    <x v="7"/>
    <s v="Sold Out"/>
    <n v="19"/>
    <n v="19"/>
    <n v="0"/>
    <n v="0"/>
    <x v="171"/>
    <n v="494000"/>
    <n v="528.34"/>
    <n v="382850"/>
    <n v="111150"/>
    <n v="118.88"/>
    <n v="0"/>
    <d v="2024-06-26T00:00:00"/>
  </r>
  <r>
    <s v="B02448"/>
    <s v="P064"/>
    <x v="7"/>
    <s v="Partial Loss"/>
    <n v="21"/>
    <n v="19.38"/>
    <n v="1.62"/>
    <n v="7.7"/>
    <x v="232"/>
    <n v="503880"/>
    <n v="538.91"/>
    <n v="425250"/>
    <n v="78630"/>
    <n v="84.1"/>
    <n v="32805"/>
    <d v="2024-07-19T00:00:00"/>
  </r>
  <r>
    <s v="B02449"/>
    <s v="P064"/>
    <x v="7"/>
    <s v="Sold Out"/>
    <n v="19"/>
    <n v="19"/>
    <n v="0"/>
    <n v="0"/>
    <x v="796"/>
    <n v="494000"/>
    <n v="528.34"/>
    <n v="382850"/>
    <n v="111150"/>
    <n v="118.88"/>
    <n v="0"/>
    <d v="2024-08-07T00:00:00"/>
  </r>
  <r>
    <s v="B02450"/>
    <s v="P064"/>
    <x v="7"/>
    <s v="Sold Out"/>
    <n v="19"/>
    <n v="19"/>
    <n v="0"/>
    <n v="0"/>
    <x v="797"/>
    <n v="494000"/>
    <n v="528.34"/>
    <n v="382850"/>
    <n v="111150"/>
    <n v="118.88"/>
    <n v="0"/>
    <d v="2024-08-28T00:00:00"/>
  </r>
  <r>
    <s v="B02451"/>
    <s v="P064"/>
    <x v="7"/>
    <s v="Sold Out"/>
    <n v="27"/>
    <n v="27"/>
    <n v="0"/>
    <n v="0"/>
    <x v="519"/>
    <n v="702000"/>
    <n v="750.8"/>
    <n v="544050"/>
    <n v="157950"/>
    <n v="168.93"/>
    <n v="0"/>
    <d v="2024-09-13T00:00:00"/>
  </r>
  <r>
    <s v="B02452"/>
    <s v="P064"/>
    <x v="7"/>
    <s v="Partial Loss"/>
    <n v="6"/>
    <n v="5.71"/>
    <n v="0.28999999999999998"/>
    <n v="4.9000000000000004"/>
    <x v="468"/>
    <n v="148460"/>
    <n v="158.78"/>
    <n v="120900"/>
    <n v="27560"/>
    <n v="29.48"/>
    <n v="5843.5"/>
    <d v="2024-10-06T00:00:00"/>
  </r>
  <r>
    <s v="B02453"/>
    <s v="P064"/>
    <x v="7"/>
    <s v="Sold Out"/>
    <n v="7"/>
    <n v="7"/>
    <n v="0"/>
    <n v="0"/>
    <x v="176"/>
    <n v="182000"/>
    <n v="194.65"/>
    <n v="141050"/>
    <n v="40950"/>
    <n v="43.8"/>
    <n v="0"/>
    <d v="2024-10-26T00:00:00"/>
  </r>
  <r>
    <s v="B02454"/>
    <s v="P064"/>
    <x v="7"/>
    <s v="Sold Out"/>
    <n v="8"/>
    <n v="8"/>
    <n v="0"/>
    <n v="0"/>
    <x v="521"/>
    <n v="208000"/>
    <n v="222.46"/>
    <n v="161200"/>
    <n v="46800"/>
    <n v="50.05"/>
    <n v="0"/>
    <d v="2024-11-17T00:00:00"/>
  </r>
  <r>
    <s v="B02455"/>
    <s v="P064"/>
    <x v="7"/>
    <s v="Sold Out"/>
    <n v="9"/>
    <n v="9"/>
    <n v="0"/>
    <n v="0"/>
    <x v="55"/>
    <n v="234000"/>
    <n v="250.27"/>
    <n v="181350"/>
    <n v="52650"/>
    <n v="56.31"/>
    <n v="0"/>
    <d v="2024-12-07T00:00:00"/>
  </r>
  <r>
    <s v="B02456"/>
    <s v="P064"/>
    <x v="7"/>
    <s v="Sold Out"/>
    <n v="9"/>
    <n v="9"/>
    <n v="0"/>
    <n v="0"/>
    <x v="74"/>
    <n v="234000"/>
    <n v="250.27"/>
    <n v="182250"/>
    <n v="51750"/>
    <n v="55.35"/>
    <n v="0"/>
    <d v="2024-12-29T00:00:00"/>
  </r>
  <r>
    <s v="B02457"/>
    <s v="P064"/>
    <x v="7"/>
    <s v="Partial Loss"/>
    <n v="9"/>
    <n v="8.23"/>
    <n v="0.77"/>
    <n v="8.5"/>
    <x v="245"/>
    <n v="213980"/>
    <n v="228.86"/>
    <n v="181350"/>
    <n v="32630"/>
    <n v="34.9"/>
    <n v="15515.5"/>
    <d v="2025-01-15T00:00:00"/>
  </r>
  <r>
    <s v="B02458"/>
    <s v="P064"/>
    <x v="7"/>
    <s v="Partial Loss"/>
    <n v="7"/>
    <n v="6.17"/>
    <n v="0.83"/>
    <n v="11.8"/>
    <x v="847"/>
    <n v="160420"/>
    <n v="171.57"/>
    <n v="141050"/>
    <n v="19370"/>
    <n v="20.72"/>
    <n v="16724.5"/>
    <d v="2025-02-04T00:00:00"/>
  </r>
  <r>
    <s v="B02459"/>
    <s v="P064"/>
    <x v="7"/>
    <s v="Partial Loss"/>
    <n v="8"/>
    <n v="7.4"/>
    <n v="0.6"/>
    <n v="7.5"/>
    <x v="716"/>
    <n v="192400"/>
    <n v="205.78"/>
    <n v="161200"/>
    <n v="31200"/>
    <n v="33.369999999999997"/>
    <n v="12090"/>
    <d v="2025-02-26T00:00:00"/>
  </r>
  <r>
    <s v="B02460"/>
    <s v="P064"/>
    <x v="7"/>
    <s v="Sold Out"/>
    <n v="7"/>
    <n v="7"/>
    <n v="0"/>
    <n v="0"/>
    <x v="376"/>
    <n v="182000"/>
    <n v="194.65"/>
    <n v="141050"/>
    <n v="40950"/>
    <n v="43.8"/>
    <n v="0"/>
    <d v="2025-03-16T00:00:00"/>
  </r>
  <r>
    <s v="B02461"/>
    <s v="P064"/>
    <x v="7"/>
    <s v="Sold Out"/>
    <n v="21"/>
    <n v="21"/>
    <n v="0"/>
    <n v="0"/>
    <x v="656"/>
    <n v="546000"/>
    <n v="583.96"/>
    <n v="423150"/>
    <n v="122850"/>
    <n v="131.38999999999999"/>
    <n v="0"/>
    <d v="2025-04-12T00:00:00"/>
  </r>
  <r>
    <s v="B02462"/>
    <s v="P064"/>
    <x v="7"/>
    <s v="Sold Out"/>
    <n v="21"/>
    <n v="21"/>
    <n v="0"/>
    <n v="0"/>
    <x v="623"/>
    <n v="546000"/>
    <n v="583.96"/>
    <n v="423150"/>
    <n v="122850"/>
    <n v="131.38999999999999"/>
    <n v="0"/>
    <d v="2025-05-03T00:00:00"/>
  </r>
  <r>
    <s v="B02463"/>
    <s v="P064"/>
    <x v="7"/>
    <s v="Sold Out"/>
    <n v="22"/>
    <n v="22"/>
    <n v="0"/>
    <n v="0"/>
    <x v="439"/>
    <n v="572000"/>
    <n v="611.76"/>
    <n v="443300"/>
    <n v="128700"/>
    <n v="137.65"/>
    <n v="0"/>
    <d v="2025-05-27T00:00:00"/>
  </r>
  <r>
    <s v="B02464"/>
    <s v="P064"/>
    <x v="7"/>
    <s v="Sold Out"/>
    <n v="22"/>
    <n v="22"/>
    <n v="0"/>
    <n v="0"/>
    <x v="440"/>
    <n v="572000"/>
    <n v="611.76"/>
    <n v="443300"/>
    <n v="128700"/>
    <n v="137.65"/>
    <n v="0"/>
    <d v="2025-06-16T00:00:00"/>
  </r>
  <r>
    <s v="B02465"/>
    <s v="P065"/>
    <x v="7"/>
    <s v="Partial Loss"/>
    <n v="21"/>
    <n v="20.58"/>
    <n v="0.42"/>
    <n v="2"/>
    <x v="769"/>
    <n v="617400"/>
    <n v="660.32"/>
    <n v="481950"/>
    <n v="135450"/>
    <n v="144.87"/>
    <n v="9639"/>
    <d v="2023-07-16T00:00:00"/>
  </r>
  <r>
    <s v="B02466"/>
    <s v="P065"/>
    <x v="7"/>
    <s v="Sold Out"/>
    <n v="21"/>
    <n v="21"/>
    <n v="0"/>
    <n v="0"/>
    <x v="77"/>
    <n v="630000"/>
    <n v="673.8"/>
    <n v="481950"/>
    <n v="148050"/>
    <n v="158.34"/>
    <n v="0"/>
    <d v="2023-08-05T00:00:00"/>
  </r>
  <r>
    <s v="B02467"/>
    <s v="P065"/>
    <x v="7"/>
    <s v="Sold Out"/>
    <n v="20"/>
    <n v="20"/>
    <n v="0"/>
    <n v="0"/>
    <x v="1"/>
    <n v="600000"/>
    <n v="641.71"/>
    <n v="459000"/>
    <n v="141000"/>
    <n v="150.80000000000001"/>
    <n v="0"/>
    <d v="2023-08-21T00:00:00"/>
  </r>
  <r>
    <s v="B02468"/>
    <s v="P065"/>
    <x v="7"/>
    <s v="Sold Out"/>
    <n v="23"/>
    <n v="23"/>
    <n v="0"/>
    <n v="0"/>
    <x v="533"/>
    <n v="690000"/>
    <n v="737.97"/>
    <n v="527850"/>
    <n v="162150"/>
    <n v="173.42"/>
    <n v="0"/>
    <d v="2023-09-11T00:00:00"/>
  </r>
  <r>
    <s v="B02469"/>
    <s v="P065"/>
    <x v="7"/>
    <s v="Sold Out"/>
    <n v="7"/>
    <n v="7"/>
    <n v="0"/>
    <n v="0"/>
    <x v="475"/>
    <n v="210000"/>
    <n v="224.6"/>
    <n v="160650"/>
    <n v="49350"/>
    <n v="52.78"/>
    <n v="0"/>
    <d v="2023-10-01T00:00:00"/>
  </r>
  <r>
    <s v="B02470"/>
    <s v="P065"/>
    <x v="7"/>
    <s v="Sold Out"/>
    <n v="8"/>
    <n v="8"/>
    <n v="0"/>
    <n v="0"/>
    <x v="254"/>
    <n v="240000"/>
    <n v="256.68"/>
    <n v="183600"/>
    <n v="56400"/>
    <n v="60.32"/>
    <n v="0"/>
    <d v="2023-10-24T00:00:00"/>
  </r>
  <r>
    <s v="B02471"/>
    <s v="P065"/>
    <x v="7"/>
    <s v="Sold Out"/>
    <n v="7"/>
    <n v="7"/>
    <n v="0"/>
    <n v="0"/>
    <x v="848"/>
    <n v="210000"/>
    <n v="224.6"/>
    <n v="160650"/>
    <n v="49350"/>
    <n v="52.78"/>
    <n v="0"/>
    <d v="2023-11-13T00:00:00"/>
  </r>
  <r>
    <s v="B02472"/>
    <s v="P065"/>
    <x v="7"/>
    <s v="Partial Loss"/>
    <n v="9"/>
    <n v="8.69"/>
    <n v="0.31"/>
    <n v="3.4"/>
    <x v="215"/>
    <n v="260700"/>
    <n v="278.82"/>
    <n v="206550"/>
    <n v="54150"/>
    <n v="57.91"/>
    <n v="7114.5"/>
    <d v="2023-12-02T00:00:00"/>
  </r>
  <r>
    <s v="B02473"/>
    <s v="P065"/>
    <x v="7"/>
    <s v="Sold Out"/>
    <n v="10"/>
    <n v="10"/>
    <n v="0"/>
    <n v="0"/>
    <x v="849"/>
    <n v="300000"/>
    <n v="320.86"/>
    <n v="229500"/>
    <n v="70500"/>
    <n v="75.400000000000006"/>
    <n v="0"/>
    <d v="2023-12-21T00:00:00"/>
  </r>
  <r>
    <s v="B02474"/>
    <s v="P065"/>
    <x v="7"/>
    <s v="Sold Out"/>
    <n v="7"/>
    <n v="7"/>
    <n v="0"/>
    <n v="0"/>
    <x v="509"/>
    <n v="210000"/>
    <n v="224.6"/>
    <n v="160650"/>
    <n v="49350"/>
    <n v="52.78"/>
    <n v="0"/>
    <d v="2024-01-06T00:00:00"/>
  </r>
  <r>
    <s v="B02475"/>
    <s v="P065"/>
    <x v="7"/>
    <s v="Partial Loss"/>
    <n v="8"/>
    <n v="7.27"/>
    <n v="0.73"/>
    <n v="9.1"/>
    <x v="218"/>
    <n v="218100"/>
    <n v="233.26"/>
    <n v="183600"/>
    <n v="34500"/>
    <n v="36.9"/>
    <n v="16753.5"/>
    <d v="2024-01-20T00:00:00"/>
  </r>
  <r>
    <s v="B02476"/>
    <s v="P065"/>
    <x v="7"/>
    <s v="Partial Loss"/>
    <n v="8"/>
    <n v="7.46"/>
    <n v="0.54"/>
    <n v="6.8"/>
    <x v="273"/>
    <n v="223800"/>
    <n v="239.36"/>
    <n v="183600"/>
    <n v="40200"/>
    <n v="42.99"/>
    <n v="12393"/>
    <d v="2024-02-08T00:00:00"/>
  </r>
  <r>
    <s v="B02477"/>
    <s v="P065"/>
    <x v="7"/>
    <s v="Sold Out"/>
    <n v="7"/>
    <n v="7"/>
    <n v="0"/>
    <n v="0"/>
    <x v="312"/>
    <n v="210000"/>
    <n v="224.6"/>
    <n v="160650"/>
    <n v="49350"/>
    <n v="52.78"/>
    <n v="0"/>
    <d v="2024-03-03T00:00:00"/>
  </r>
  <r>
    <s v="B02478"/>
    <s v="P065"/>
    <x v="7"/>
    <s v="Partial Loss"/>
    <n v="7"/>
    <n v="6.5"/>
    <n v="0.5"/>
    <n v="7.2"/>
    <x v="115"/>
    <n v="195000"/>
    <n v="208.56"/>
    <n v="160650"/>
    <n v="34350"/>
    <n v="36.74"/>
    <n v="11475"/>
    <d v="2024-03-26T00:00:00"/>
  </r>
  <r>
    <s v="B02479"/>
    <s v="P065"/>
    <x v="7"/>
    <s v="Sold Out"/>
    <n v="20"/>
    <n v="20"/>
    <n v="0"/>
    <n v="0"/>
    <x v="166"/>
    <n v="600000"/>
    <n v="641.71"/>
    <n v="478000"/>
    <n v="122000"/>
    <n v="130.47999999999999"/>
    <n v="0"/>
    <d v="2024-04-16T00:00:00"/>
  </r>
  <r>
    <s v="B02480"/>
    <s v="P065"/>
    <x v="7"/>
    <s v="Sold Out"/>
    <n v="20"/>
    <n v="20"/>
    <n v="0"/>
    <n v="0"/>
    <x v="163"/>
    <n v="600000"/>
    <n v="641.71"/>
    <n v="459000"/>
    <n v="141000"/>
    <n v="150.80000000000001"/>
    <n v="0"/>
    <d v="2024-05-06T00:00:00"/>
  </r>
  <r>
    <s v="B02481"/>
    <s v="P065"/>
    <x v="7"/>
    <s v="Partial Loss"/>
    <n v="20"/>
    <n v="18.3"/>
    <n v="1.7"/>
    <n v="8.5"/>
    <x v="55"/>
    <n v="549000"/>
    <n v="587.16999999999996"/>
    <n v="478000"/>
    <n v="71000"/>
    <n v="75.94"/>
    <n v="40630"/>
    <d v="2024-05-23T00:00:00"/>
  </r>
  <r>
    <s v="B02482"/>
    <s v="P065"/>
    <x v="7"/>
    <s v="Partial Loss"/>
    <n v="19"/>
    <n v="17.78"/>
    <n v="1.22"/>
    <n v="6.4"/>
    <x v="123"/>
    <n v="533400"/>
    <n v="570.48"/>
    <n v="436050"/>
    <n v="97350"/>
    <n v="104.12"/>
    <n v="27999"/>
    <d v="2024-06-04T00:00:00"/>
  </r>
  <r>
    <s v="B02483"/>
    <s v="P065"/>
    <x v="7"/>
    <s v="Sold Out"/>
    <n v="22"/>
    <n v="22"/>
    <n v="0"/>
    <n v="0"/>
    <x v="35"/>
    <n v="660000"/>
    <n v="705.88"/>
    <n v="504900"/>
    <n v="155100"/>
    <n v="165.88"/>
    <n v="0"/>
    <d v="2024-06-25T00:00:00"/>
  </r>
  <r>
    <s v="B02484"/>
    <s v="P065"/>
    <x v="7"/>
    <s v="Sold Out"/>
    <n v="21"/>
    <n v="21"/>
    <n v="0"/>
    <n v="0"/>
    <x v="771"/>
    <n v="630000"/>
    <n v="673.8"/>
    <n v="481950"/>
    <n v="148050"/>
    <n v="158.34"/>
    <n v="0"/>
    <d v="2024-07-07T00:00:00"/>
  </r>
  <r>
    <s v="B02485"/>
    <s v="P065"/>
    <x v="7"/>
    <s v="Sold Out"/>
    <n v="20"/>
    <n v="20"/>
    <n v="0"/>
    <n v="0"/>
    <x v="320"/>
    <n v="600000"/>
    <n v="641.71"/>
    <n v="459000"/>
    <n v="141000"/>
    <n v="150.80000000000001"/>
    <n v="0"/>
    <d v="2024-07-25T00:00:00"/>
  </r>
  <r>
    <s v="B02486"/>
    <s v="P065"/>
    <x v="7"/>
    <s v="Sold Out"/>
    <n v="19"/>
    <n v="19"/>
    <n v="0"/>
    <n v="0"/>
    <x v="275"/>
    <n v="570000"/>
    <n v="609.63"/>
    <n v="436050"/>
    <n v="133950"/>
    <n v="143.26"/>
    <n v="0"/>
    <d v="2024-08-17T00:00:00"/>
  </r>
  <r>
    <s v="B02487"/>
    <s v="P065"/>
    <x v="7"/>
    <s v="Sold Out"/>
    <n v="25"/>
    <n v="25"/>
    <n v="0"/>
    <n v="0"/>
    <x v="489"/>
    <n v="750000"/>
    <n v="802.14"/>
    <n v="573750"/>
    <n v="176250"/>
    <n v="188.5"/>
    <n v="0"/>
    <d v="2024-09-01T00:00:00"/>
  </r>
  <r>
    <s v="B02488"/>
    <s v="P065"/>
    <x v="7"/>
    <s v="Sold Out"/>
    <n v="23"/>
    <n v="23"/>
    <n v="0"/>
    <n v="0"/>
    <x v="460"/>
    <n v="690000"/>
    <n v="737.97"/>
    <n v="527850"/>
    <n v="162150"/>
    <n v="173.42"/>
    <n v="0"/>
    <d v="2024-09-23T00:00:00"/>
  </r>
  <r>
    <s v="B02489"/>
    <s v="P065"/>
    <x v="7"/>
    <s v="Sold Out"/>
    <n v="7"/>
    <n v="7"/>
    <n v="0"/>
    <n v="0"/>
    <x v="276"/>
    <n v="210000"/>
    <n v="224.6"/>
    <n v="160650"/>
    <n v="49350"/>
    <n v="52.78"/>
    <n v="0"/>
    <d v="2024-10-15T00:00:00"/>
  </r>
  <r>
    <s v="B02490"/>
    <s v="P065"/>
    <x v="7"/>
    <s v="Sold Out"/>
    <n v="7"/>
    <n v="7"/>
    <n v="0"/>
    <n v="0"/>
    <x v="404"/>
    <n v="210000"/>
    <n v="224.6"/>
    <n v="160650"/>
    <n v="49350"/>
    <n v="52.78"/>
    <n v="0"/>
    <d v="2024-11-07T00:00:00"/>
  </r>
  <r>
    <s v="B02491"/>
    <s v="P065"/>
    <x v="7"/>
    <s v="Partial Loss"/>
    <n v="8"/>
    <n v="7.71"/>
    <n v="0.28999999999999998"/>
    <n v="3.6"/>
    <x v="471"/>
    <n v="231300"/>
    <n v="247.38"/>
    <n v="183600"/>
    <n v="47700"/>
    <n v="51.02"/>
    <n v="6655.4999999999991"/>
    <d v="2024-11-25T00:00:00"/>
  </r>
  <r>
    <s v="B02492"/>
    <s v="P065"/>
    <x v="7"/>
    <s v="Sold Out"/>
    <n v="9"/>
    <n v="9"/>
    <n v="0"/>
    <n v="0"/>
    <x v="331"/>
    <n v="270000"/>
    <n v="288.77"/>
    <n v="206550"/>
    <n v="63450"/>
    <n v="67.86"/>
    <n v="0"/>
    <d v="2024-12-16T00:00:00"/>
  </r>
  <r>
    <s v="B02493"/>
    <s v="P065"/>
    <x v="7"/>
    <s v="Sold Out"/>
    <n v="9"/>
    <n v="9"/>
    <n v="0"/>
    <n v="0"/>
    <x v="628"/>
    <n v="270000"/>
    <n v="288.77"/>
    <n v="206550"/>
    <n v="63450"/>
    <n v="67.86"/>
    <n v="0"/>
    <d v="2025-01-02T00:00:00"/>
  </r>
  <r>
    <s v="B02494"/>
    <s v="P065"/>
    <x v="7"/>
    <s v="Partial Loss"/>
    <n v="8"/>
    <n v="7.18"/>
    <n v="0.82"/>
    <n v="10.3"/>
    <x v="678"/>
    <n v="215400"/>
    <n v="230.37"/>
    <n v="183600"/>
    <n v="31800"/>
    <n v="34.01"/>
    <n v="18819"/>
    <d v="2025-01-25T00:00:00"/>
  </r>
  <r>
    <s v="B02495"/>
    <s v="P065"/>
    <x v="7"/>
    <s v="Sold Out"/>
    <n v="7"/>
    <n v="7"/>
    <n v="0"/>
    <n v="0"/>
    <x v="285"/>
    <n v="210000"/>
    <n v="224.6"/>
    <n v="160650"/>
    <n v="49350"/>
    <n v="52.78"/>
    <n v="0"/>
    <d v="2025-02-15T00:00:00"/>
  </r>
  <r>
    <s v="B02496"/>
    <s v="P065"/>
    <x v="7"/>
    <s v="Partial Loss"/>
    <n v="7"/>
    <n v="6.45"/>
    <n v="0.55000000000000004"/>
    <n v="7.9"/>
    <x v="669"/>
    <n v="193500"/>
    <n v="206.95"/>
    <n v="160650"/>
    <n v="32850"/>
    <n v="35.130000000000003"/>
    <n v="12622.500000000002"/>
    <d v="2025-03-08T00:00:00"/>
  </r>
  <r>
    <s v="B02497"/>
    <s v="P065"/>
    <x v="7"/>
    <s v="Partial Loss"/>
    <n v="9"/>
    <n v="8.27"/>
    <n v="0.73"/>
    <n v="8.1"/>
    <x v="619"/>
    <n v="248100"/>
    <n v="265.35000000000002"/>
    <n v="206550"/>
    <n v="41550"/>
    <n v="44.44"/>
    <n v="16753.5"/>
    <d v="2025-03-27T00:00:00"/>
  </r>
  <r>
    <s v="B02498"/>
    <s v="P065"/>
    <x v="7"/>
    <s v="Partial Loss"/>
    <n v="22"/>
    <n v="20.55"/>
    <n v="1.45"/>
    <n v="6.6"/>
    <x v="658"/>
    <n v="616500"/>
    <n v="659.36"/>
    <n v="504900"/>
    <n v="111600"/>
    <n v="119.36"/>
    <n v="33277.5"/>
    <d v="2025-04-18T00:00:00"/>
  </r>
  <r>
    <s v="B02499"/>
    <s v="P065"/>
    <x v="7"/>
    <s v="Sold Out"/>
    <n v="19"/>
    <n v="19"/>
    <n v="0"/>
    <n v="0"/>
    <x v="615"/>
    <n v="570000"/>
    <n v="609.63"/>
    <n v="454100"/>
    <n v="115900"/>
    <n v="123.96"/>
    <n v="0"/>
    <d v="2025-05-08T00:00:00"/>
  </r>
  <r>
    <s v="B02500"/>
    <s v="P065"/>
    <x v="7"/>
    <s v="Sold Out"/>
    <n v="23"/>
    <n v="23"/>
    <n v="0"/>
    <n v="0"/>
    <x v="439"/>
    <n v="690000"/>
    <n v="737.97"/>
    <n v="527850"/>
    <n v="162150"/>
    <n v="173.42"/>
    <n v="0"/>
    <d v="2025-06-03T00:00:00"/>
  </r>
  <r>
    <s v="B02501"/>
    <s v="P065"/>
    <x v="7"/>
    <s v="Sold Out"/>
    <n v="22"/>
    <n v="22"/>
    <n v="0"/>
    <n v="0"/>
    <x v="72"/>
    <n v="660000"/>
    <n v="705.88"/>
    <n v="504900"/>
    <n v="155100"/>
    <n v="165.88"/>
    <n v="0"/>
    <d v="2025-06-22T00:00:00"/>
  </r>
  <r>
    <s v="B02502"/>
    <s v="P066"/>
    <x v="7"/>
    <s v="Sold Out"/>
    <n v="21"/>
    <n v="21"/>
    <n v="0"/>
    <n v="0"/>
    <x v="530"/>
    <n v="630000"/>
    <n v="673.8"/>
    <n v="471450"/>
    <n v="158550"/>
    <n v="169.57"/>
    <n v="0"/>
    <d v="2023-07-18T00:00:00"/>
  </r>
  <r>
    <s v="B02503"/>
    <s v="P066"/>
    <x v="7"/>
    <s v="Sold Out"/>
    <n v="17"/>
    <n v="17"/>
    <n v="0"/>
    <n v="0"/>
    <x v="246"/>
    <n v="510000"/>
    <n v="545.45000000000005"/>
    <n v="381650"/>
    <n v="128350"/>
    <n v="137.27000000000001"/>
    <n v="0"/>
    <d v="2023-08-11T00:00:00"/>
  </r>
  <r>
    <s v="B02504"/>
    <s v="P066"/>
    <x v="7"/>
    <s v="Sold Out"/>
    <n v="18"/>
    <n v="18"/>
    <n v="0"/>
    <n v="0"/>
    <x v="347"/>
    <n v="540000"/>
    <n v="577.54"/>
    <n v="404100"/>
    <n v="135900"/>
    <n v="145.35"/>
    <n v="0"/>
    <d v="2023-08-30T00:00:00"/>
  </r>
  <r>
    <s v="B02505"/>
    <s v="P066"/>
    <x v="7"/>
    <s v="Sold Out"/>
    <n v="25"/>
    <n v="25"/>
    <n v="0"/>
    <n v="0"/>
    <x v="346"/>
    <n v="750000"/>
    <n v="802.14"/>
    <n v="561250"/>
    <n v="188750"/>
    <n v="201.87"/>
    <n v="0"/>
    <d v="2023-09-16T00:00:00"/>
  </r>
  <r>
    <s v="B02506"/>
    <s v="P066"/>
    <x v="7"/>
    <s v="Partial Loss"/>
    <n v="6"/>
    <n v="5.48"/>
    <n v="0.52"/>
    <n v="8.6999999999999993"/>
    <x v="166"/>
    <n v="164400"/>
    <n v="175.83"/>
    <n v="134700"/>
    <n v="29700"/>
    <n v="31.76"/>
    <n v="11674"/>
    <d v="2023-10-06T00:00:00"/>
  </r>
  <r>
    <s v="B02507"/>
    <s v="P066"/>
    <x v="7"/>
    <s v="Sold Out"/>
    <n v="8"/>
    <n v="8"/>
    <n v="0"/>
    <n v="0"/>
    <x v="152"/>
    <n v="240000"/>
    <n v="256.68"/>
    <n v="179600"/>
    <n v="60400"/>
    <n v="64.599999999999994"/>
    <n v="0"/>
    <d v="2023-10-28T00:00:00"/>
  </r>
  <r>
    <s v="B02508"/>
    <s v="P066"/>
    <x v="7"/>
    <s v="Partial Loss"/>
    <n v="6"/>
    <n v="5.36"/>
    <n v="0.64"/>
    <n v="10.7"/>
    <x v="101"/>
    <n v="160800"/>
    <n v="171.98"/>
    <n v="134700"/>
    <n v="26100"/>
    <n v="27.91"/>
    <n v="14368"/>
    <d v="2023-11-17T00:00:00"/>
  </r>
  <r>
    <s v="B02509"/>
    <s v="P066"/>
    <x v="7"/>
    <s v="Partial Loss"/>
    <n v="10"/>
    <n v="9.32"/>
    <n v="0.68"/>
    <n v="6.8"/>
    <x v="689"/>
    <n v="279600"/>
    <n v="299.04000000000002"/>
    <n v="224500"/>
    <n v="55100"/>
    <n v="58.93"/>
    <n v="15266.000000000002"/>
    <d v="2023-12-08T00:00:00"/>
  </r>
  <r>
    <s v="B02510"/>
    <s v="P066"/>
    <x v="7"/>
    <s v="Partial Loss"/>
    <n v="9"/>
    <n v="8.43"/>
    <n v="0.56999999999999995"/>
    <n v="6.3"/>
    <x v="399"/>
    <n v="252900"/>
    <n v="270.48"/>
    <n v="202050"/>
    <n v="50850"/>
    <n v="54.39"/>
    <n v="12796.499999999998"/>
    <d v="2023-12-29T00:00:00"/>
  </r>
  <r>
    <s v="B02511"/>
    <s v="P066"/>
    <x v="7"/>
    <s v="Partial Loss"/>
    <n v="7"/>
    <n v="6.39"/>
    <n v="0.61"/>
    <n v="8.6999999999999993"/>
    <x v="364"/>
    <n v="191700"/>
    <n v="205.03"/>
    <n v="157150"/>
    <n v="34550"/>
    <n v="36.950000000000003"/>
    <n v="13694.5"/>
    <d v="2024-01-16T00:00:00"/>
  </r>
  <r>
    <s v="B02512"/>
    <s v="P066"/>
    <x v="7"/>
    <s v="Partial Loss"/>
    <n v="7"/>
    <n v="6.44"/>
    <n v="0.56000000000000005"/>
    <n v="8"/>
    <x v="785"/>
    <n v="193200"/>
    <n v="206.63"/>
    <n v="157150"/>
    <n v="36050"/>
    <n v="38.56"/>
    <n v="12572.000000000002"/>
    <d v="2024-02-02T00:00:00"/>
  </r>
  <r>
    <s v="B02513"/>
    <s v="P066"/>
    <x v="7"/>
    <s v="Partial Loss"/>
    <n v="7"/>
    <n v="6.14"/>
    <n v="0.86"/>
    <n v="12.3"/>
    <x v="175"/>
    <n v="184200"/>
    <n v="197.01"/>
    <n v="157150"/>
    <n v="27050"/>
    <n v="28.93"/>
    <n v="19307"/>
    <d v="2024-03-01T00:00:00"/>
  </r>
  <r>
    <s v="B02514"/>
    <s v="P066"/>
    <x v="7"/>
    <s v="Partial Loss"/>
    <n v="8"/>
    <n v="7.06"/>
    <n v="0.94"/>
    <n v="11.7"/>
    <x v="427"/>
    <n v="211800"/>
    <n v="226.52"/>
    <n v="179600"/>
    <n v="32200"/>
    <n v="34.44"/>
    <n v="21103"/>
    <d v="2024-03-15T00:00:00"/>
  </r>
  <r>
    <s v="B02515"/>
    <s v="P066"/>
    <x v="7"/>
    <s v="Sold Out"/>
    <n v="18"/>
    <n v="18"/>
    <n v="0"/>
    <n v="0"/>
    <x v="395"/>
    <n v="540000"/>
    <n v="577.54"/>
    <n v="404100"/>
    <n v="135900"/>
    <n v="145.35"/>
    <n v="0"/>
    <d v="2024-04-04T00:00:00"/>
  </r>
  <r>
    <s v="B02516"/>
    <s v="P066"/>
    <x v="7"/>
    <s v="Sold Out"/>
    <n v="20"/>
    <n v="20"/>
    <n v="0"/>
    <n v="0"/>
    <x v="29"/>
    <n v="600000"/>
    <n v="641.71"/>
    <n v="449000"/>
    <n v="151000"/>
    <n v="161.5"/>
    <n v="0"/>
    <d v="2024-04-21T00:00:00"/>
  </r>
  <r>
    <s v="B02517"/>
    <s v="P066"/>
    <x v="7"/>
    <s v="Sold Out"/>
    <n v="19"/>
    <n v="19"/>
    <n v="0"/>
    <n v="0"/>
    <x v="213"/>
    <n v="570000"/>
    <n v="609.63"/>
    <n v="426550"/>
    <n v="143450"/>
    <n v="153.41999999999999"/>
    <n v="0"/>
    <d v="2024-05-10T00:00:00"/>
  </r>
  <r>
    <s v="B02518"/>
    <s v="P066"/>
    <x v="7"/>
    <s v="Sold Out"/>
    <n v="21"/>
    <n v="21"/>
    <n v="0"/>
    <n v="0"/>
    <x v="397"/>
    <n v="630000"/>
    <n v="673.8"/>
    <n v="471450"/>
    <n v="158550"/>
    <n v="169.57"/>
    <n v="0"/>
    <d v="2024-05-27T00:00:00"/>
  </r>
  <r>
    <s v="B02519"/>
    <s v="P066"/>
    <x v="7"/>
    <s v="Partial Loss"/>
    <n v="18"/>
    <n v="17.41"/>
    <n v="0.59"/>
    <n v="3.3"/>
    <x v="124"/>
    <n v="522300"/>
    <n v="558.61"/>
    <n v="439200"/>
    <n v="83100"/>
    <n v="88.88"/>
    <n v="14396"/>
    <d v="2024-06-13T00:00:00"/>
  </r>
  <r>
    <s v="B02520"/>
    <s v="P066"/>
    <x v="7"/>
    <s v="Sold Out"/>
    <n v="21"/>
    <n v="21"/>
    <n v="0"/>
    <n v="0"/>
    <x v="108"/>
    <n v="630000"/>
    <n v="673.8"/>
    <n v="471450"/>
    <n v="158550"/>
    <n v="169.57"/>
    <n v="0"/>
    <d v="2024-07-03T00:00:00"/>
  </r>
  <r>
    <s v="B02521"/>
    <s v="P066"/>
    <x v="7"/>
    <s v="Sold Out"/>
    <n v="22"/>
    <n v="22"/>
    <n v="0"/>
    <n v="0"/>
    <x v="170"/>
    <n v="660000"/>
    <n v="705.88"/>
    <n v="493900"/>
    <n v="166100"/>
    <n v="177.65"/>
    <n v="0"/>
    <d v="2024-07-27T00:00:00"/>
  </r>
  <r>
    <s v="B02522"/>
    <s v="P066"/>
    <x v="7"/>
    <s v="Sold Out"/>
    <n v="22"/>
    <n v="22"/>
    <n v="0"/>
    <n v="0"/>
    <x v="43"/>
    <n v="660000"/>
    <n v="705.88"/>
    <n v="536800"/>
    <n v="123200"/>
    <n v="131.76"/>
    <n v="0"/>
    <d v="2024-08-15T00:00:00"/>
  </r>
  <r>
    <s v="B02523"/>
    <s v="P066"/>
    <x v="7"/>
    <s v="Sold Out"/>
    <n v="26"/>
    <n v="26"/>
    <n v="0"/>
    <n v="0"/>
    <x v="368"/>
    <n v="780000"/>
    <n v="834.22"/>
    <n v="583700"/>
    <n v="196300"/>
    <n v="209.95"/>
    <n v="0"/>
    <d v="2024-09-09T00:00:00"/>
  </r>
  <r>
    <s v="B02524"/>
    <s v="P066"/>
    <x v="7"/>
    <s v="Sold Out"/>
    <n v="27"/>
    <n v="27"/>
    <n v="0"/>
    <n v="0"/>
    <x v="578"/>
    <n v="810000"/>
    <n v="866.31"/>
    <n v="606150"/>
    <n v="203850"/>
    <n v="218.02"/>
    <n v="0"/>
    <d v="2024-09-30T00:00:00"/>
  </r>
  <r>
    <s v="B02525"/>
    <s v="P066"/>
    <x v="7"/>
    <s v="Partial Loss"/>
    <n v="6"/>
    <n v="5.57"/>
    <n v="0.43"/>
    <n v="7.1"/>
    <x v="242"/>
    <n v="167100"/>
    <n v="178.72"/>
    <n v="134700"/>
    <n v="32400"/>
    <n v="34.65"/>
    <n v="9653.5"/>
    <d v="2024-10-18T00:00:00"/>
  </r>
  <r>
    <s v="B02526"/>
    <s v="P066"/>
    <x v="7"/>
    <s v="Sold Out"/>
    <n v="7"/>
    <n v="7"/>
    <n v="0"/>
    <n v="0"/>
    <x v="48"/>
    <n v="210000"/>
    <n v="224.6"/>
    <n v="157150"/>
    <n v="52850"/>
    <n v="56.52"/>
    <n v="0"/>
    <d v="2024-11-06T00:00:00"/>
  </r>
  <r>
    <s v="B02527"/>
    <s v="P066"/>
    <x v="7"/>
    <s v="Partial Loss"/>
    <n v="8"/>
    <n v="7.61"/>
    <n v="0.39"/>
    <n v="4.9000000000000004"/>
    <x v="617"/>
    <n v="228300"/>
    <n v="244.17"/>
    <n v="179600"/>
    <n v="48700"/>
    <n v="52.09"/>
    <n v="8755.5"/>
    <d v="2024-11-27T00:00:00"/>
  </r>
  <r>
    <s v="B02528"/>
    <s v="P066"/>
    <x v="7"/>
    <s v="Sold Out"/>
    <n v="10"/>
    <n v="10"/>
    <n v="0"/>
    <n v="0"/>
    <x v="432"/>
    <n v="300000"/>
    <n v="320.86"/>
    <n v="224500"/>
    <n v="75500"/>
    <n v="80.75"/>
    <n v="0"/>
    <d v="2024-12-13T00:00:00"/>
  </r>
  <r>
    <s v="B02529"/>
    <s v="P066"/>
    <x v="7"/>
    <s v="Sold Out"/>
    <n v="7"/>
    <n v="7"/>
    <n v="0"/>
    <n v="0"/>
    <x v="628"/>
    <n v="210000"/>
    <n v="224.6"/>
    <n v="157150"/>
    <n v="52850"/>
    <n v="56.52"/>
    <n v="0"/>
    <d v="2025-01-05T00:00:00"/>
  </r>
  <r>
    <s v="B02530"/>
    <s v="P066"/>
    <x v="7"/>
    <s v="Partial Loss"/>
    <n v="8"/>
    <n v="7.06"/>
    <n v="0.94"/>
    <n v="11.8"/>
    <x v="850"/>
    <n v="211800"/>
    <n v="226.52"/>
    <n v="195200"/>
    <n v="16600"/>
    <n v="17.75"/>
    <n v="22936"/>
    <d v="2025-01-23T00:00:00"/>
  </r>
  <r>
    <s v="B02531"/>
    <s v="P066"/>
    <x v="7"/>
    <s v="Sold Out"/>
    <n v="7"/>
    <n v="7"/>
    <n v="0"/>
    <n v="0"/>
    <x v="285"/>
    <n v="210000"/>
    <n v="224.6"/>
    <n v="157150"/>
    <n v="52850"/>
    <n v="56.52"/>
    <n v="0"/>
    <d v="2025-02-11T00:00:00"/>
  </r>
  <r>
    <s v="B02532"/>
    <s v="P066"/>
    <x v="7"/>
    <s v="Partial Loss"/>
    <n v="9"/>
    <n v="8.3800000000000008"/>
    <n v="0.62"/>
    <n v="6.9"/>
    <x v="669"/>
    <n v="251400"/>
    <n v="268.88"/>
    <n v="202050"/>
    <n v="49350"/>
    <n v="52.78"/>
    <n v="13919"/>
    <d v="2025-03-08T00:00:00"/>
  </r>
  <r>
    <s v="B02533"/>
    <s v="P066"/>
    <x v="7"/>
    <s v="Partial Loss"/>
    <n v="9"/>
    <n v="8.34"/>
    <n v="0.66"/>
    <n v="7.3"/>
    <x v="851"/>
    <n v="250200"/>
    <n v="267.58999999999997"/>
    <n v="202050"/>
    <n v="48150"/>
    <n v="51.5"/>
    <n v="14817"/>
    <d v="2025-03-28T00:00:00"/>
  </r>
  <r>
    <s v="B02534"/>
    <s v="P066"/>
    <x v="7"/>
    <s v="Partial Loss"/>
    <n v="19"/>
    <n v="18.34"/>
    <n v="0.67"/>
    <n v="3.5"/>
    <x v="852"/>
    <n v="550200"/>
    <n v="588.45000000000005"/>
    <n v="426550"/>
    <n v="123650"/>
    <n v="132.25"/>
    <n v="15041.5"/>
    <d v="2025-04-21T00:00:00"/>
  </r>
  <r>
    <s v="B02535"/>
    <s v="P066"/>
    <x v="7"/>
    <s v="Sold Out"/>
    <n v="20"/>
    <n v="20"/>
    <n v="0"/>
    <n v="0"/>
    <x v="723"/>
    <n v="600000"/>
    <n v="641.71"/>
    <n v="449000"/>
    <n v="151000"/>
    <n v="161.5"/>
    <n v="0"/>
    <d v="2025-05-10T00:00:00"/>
  </r>
  <r>
    <s v="B02536"/>
    <s v="P066"/>
    <x v="7"/>
    <s v="Sold Out"/>
    <n v="22"/>
    <n v="22"/>
    <n v="0"/>
    <n v="0"/>
    <x v="338"/>
    <n v="660000"/>
    <n v="705.88"/>
    <n v="493900"/>
    <n v="166100"/>
    <n v="177.65"/>
    <n v="0"/>
    <d v="2025-05-31T00:00:00"/>
  </r>
  <r>
    <s v="B02537"/>
    <s v="P066"/>
    <x v="7"/>
    <s v="Sold Out"/>
    <n v="20"/>
    <n v="20"/>
    <n v="0"/>
    <n v="0"/>
    <x v="200"/>
    <n v="600000"/>
    <n v="641.71"/>
    <n v="449000"/>
    <n v="151000"/>
    <n v="161.5"/>
    <n v="0"/>
    <d v="2025-06-17T00:00:00"/>
  </r>
  <r>
    <s v="B02538"/>
    <s v="P067"/>
    <x v="7"/>
    <s v="Sold Out"/>
    <n v="17"/>
    <n v="17"/>
    <n v="0"/>
    <n v="0"/>
    <x v="853"/>
    <n v="306000"/>
    <n v="327.27"/>
    <n v="221000"/>
    <n v="85000"/>
    <n v="90.91"/>
    <n v="0"/>
    <d v="2023-07-06T00:00:00"/>
  </r>
  <r>
    <s v="B02539"/>
    <s v="P067"/>
    <x v="7"/>
    <s v="Sold Out"/>
    <n v="19"/>
    <n v="19"/>
    <n v="0"/>
    <n v="0"/>
    <x v="419"/>
    <n v="342000"/>
    <n v="365.78"/>
    <n v="247000"/>
    <n v="95000"/>
    <n v="101.6"/>
    <n v="0"/>
    <d v="2023-07-18T00:00:00"/>
  </r>
  <r>
    <s v="B02540"/>
    <s v="P067"/>
    <x v="7"/>
    <s v="Sold Out"/>
    <n v="19"/>
    <n v="19"/>
    <n v="0"/>
    <n v="0"/>
    <x v="503"/>
    <n v="342000"/>
    <n v="365.78"/>
    <n v="247000"/>
    <n v="95000"/>
    <n v="101.6"/>
    <n v="0"/>
    <d v="2023-08-07T00:00:00"/>
  </r>
  <r>
    <s v="B02541"/>
    <s v="P067"/>
    <x v="7"/>
    <s v="Sold Out"/>
    <n v="18"/>
    <n v="18"/>
    <n v="0"/>
    <n v="0"/>
    <x v="770"/>
    <n v="324000"/>
    <n v="346.52"/>
    <n v="234000"/>
    <n v="90000"/>
    <n v="96.26"/>
    <n v="0"/>
    <d v="2023-08-31T00:00:00"/>
  </r>
  <r>
    <s v="B02542"/>
    <s v="P067"/>
    <x v="7"/>
    <s v="Sold Out"/>
    <n v="26"/>
    <n v="26"/>
    <n v="0"/>
    <n v="0"/>
    <x v="5"/>
    <n v="468000"/>
    <n v="500.53"/>
    <n v="338000"/>
    <n v="130000"/>
    <n v="139.04"/>
    <n v="0"/>
    <d v="2023-09-20T00:00:00"/>
  </r>
  <r>
    <s v="B02543"/>
    <s v="P067"/>
    <x v="7"/>
    <s v="Sold Out"/>
    <n v="7"/>
    <n v="7"/>
    <n v="0"/>
    <n v="0"/>
    <x v="854"/>
    <n v="126000"/>
    <n v="134.76"/>
    <n v="91000"/>
    <n v="35000"/>
    <n v="37.43"/>
    <n v="0"/>
    <d v="2023-10-10T00:00:00"/>
  </r>
  <r>
    <s v="B02544"/>
    <s v="P067"/>
    <x v="7"/>
    <s v="Partial Loss"/>
    <n v="8"/>
    <n v="6.94"/>
    <n v="1.06"/>
    <n v="13.3"/>
    <x v="213"/>
    <n v="124920"/>
    <n v="133.6"/>
    <n v="104000"/>
    <n v="20920"/>
    <n v="22.37"/>
    <n v="13780"/>
    <d v="2023-10-26T00:00:00"/>
  </r>
  <r>
    <s v="B02545"/>
    <s v="P067"/>
    <x v="7"/>
    <s v="Partial Loss"/>
    <n v="7"/>
    <n v="6.18"/>
    <n v="0.82"/>
    <n v="11.7"/>
    <x v="101"/>
    <n v="111240"/>
    <n v="118.97"/>
    <n v="91000"/>
    <n v="20240"/>
    <n v="21.65"/>
    <n v="10660"/>
    <d v="2023-11-17T00:00:00"/>
  </r>
  <r>
    <s v="B02546"/>
    <s v="P067"/>
    <x v="7"/>
    <s v="Partial Loss"/>
    <n v="7"/>
    <n v="6.33"/>
    <n v="0.67"/>
    <n v="9.6"/>
    <x v="38"/>
    <n v="113940"/>
    <n v="121.86"/>
    <n v="91000"/>
    <n v="22940"/>
    <n v="24.53"/>
    <n v="8710"/>
    <d v="2023-11-30T00:00:00"/>
  </r>
  <r>
    <s v="B02547"/>
    <s v="P067"/>
    <x v="7"/>
    <s v="Partial Loss"/>
    <n v="10"/>
    <n v="9.65"/>
    <n v="0.35"/>
    <n v="3.5"/>
    <x v="362"/>
    <n v="173700"/>
    <n v="185.78"/>
    <n v="130000"/>
    <n v="43700"/>
    <n v="46.74"/>
    <n v="4550"/>
    <d v="2023-12-17T00:00:00"/>
  </r>
  <r>
    <s v="B02548"/>
    <s v="P067"/>
    <x v="7"/>
    <s v="Partial Loss"/>
    <n v="8"/>
    <n v="7.26"/>
    <n v="0.74"/>
    <n v="9.3000000000000007"/>
    <x v="320"/>
    <n v="130680"/>
    <n v="139.76"/>
    <n v="104000"/>
    <n v="26680"/>
    <n v="28.53"/>
    <n v="9620"/>
    <d v="2024-01-08T00:00:00"/>
  </r>
  <r>
    <s v="B02549"/>
    <s v="P067"/>
    <x v="7"/>
    <s v="Sold Out"/>
    <n v="7"/>
    <n v="7"/>
    <n v="0"/>
    <n v="0"/>
    <x v="208"/>
    <n v="126000"/>
    <n v="134.76"/>
    <n v="91000"/>
    <n v="35000"/>
    <n v="37.43"/>
    <n v="0"/>
    <d v="2024-01-26T00:00:00"/>
  </r>
  <r>
    <s v="B02550"/>
    <s v="P067"/>
    <x v="7"/>
    <s v="Partial Loss"/>
    <n v="6"/>
    <n v="5.72"/>
    <n v="0.28000000000000003"/>
    <n v="4.5999999999999996"/>
    <x v="604"/>
    <n v="102960"/>
    <n v="110.12"/>
    <n v="88800"/>
    <n v="14160"/>
    <n v="15.14"/>
    <n v="4144"/>
    <d v="2024-02-15T00:00:00"/>
  </r>
  <r>
    <s v="B02551"/>
    <s v="P067"/>
    <x v="7"/>
    <s v="Sold Out"/>
    <n v="7"/>
    <n v="7"/>
    <n v="0"/>
    <n v="0"/>
    <x v="359"/>
    <n v="126000"/>
    <n v="134.76"/>
    <n v="91000"/>
    <n v="35000"/>
    <n v="37.43"/>
    <n v="0"/>
    <d v="2024-03-06T00:00:00"/>
  </r>
  <r>
    <s v="B02552"/>
    <s v="P067"/>
    <x v="7"/>
    <s v="Sold Out"/>
    <n v="8"/>
    <n v="8"/>
    <n v="0"/>
    <n v="0"/>
    <x v="598"/>
    <n v="144000"/>
    <n v="154.01"/>
    <n v="104000"/>
    <n v="40000"/>
    <n v="42.78"/>
    <n v="0"/>
    <d v="2024-03-23T00:00:00"/>
  </r>
  <r>
    <s v="B02553"/>
    <s v="P067"/>
    <x v="7"/>
    <s v="Partial Loss"/>
    <n v="22"/>
    <n v="21.41"/>
    <n v="0.59"/>
    <n v="2.7"/>
    <x v="608"/>
    <n v="385380"/>
    <n v="412.17"/>
    <n v="286000"/>
    <n v="99380"/>
    <n v="106.29"/>
    <n v="7670"/>
    <d v="2024-04-14T00:00:00"/>
  </r>
  <r>
    <s v="B02554"/>
    <s v="P067"/>
    <x v="7"/>
    <s v="Sold Out"/>
    <n v="18"/>
    <n v="18"/>
    <n v="0"/>
    <n v="0"/>
    <x v="653"/>
    <n v="324000"/>
    <n v="346.52"/>
    <n v="234000"/>
    <n v="90000"/>
    <n v="96.26"/>
    <n v="0"/>
    <d v="2024-05-07T00:00:00"/>
  </r>
  <r>
    <s v="B02555"/>
    <s v="P067"/>
    <x v="7"/>
    <s v="Sold Out"/>
    <n v="19"/>
    <n v="19"/>
    <n v="0"/>
    <n v="0"/>
    <x v="104"/>
    <n v="342000"/>
    <n v="365.78"/>
    <n v="247000"/>
    <n v="95000"/>
    <n v="101.6"/>
    <n v="0"/>
    <d v="2024-05-25T00:00:00"/>
  </r>
  <r>
    <s v="B02556"/>
    <s v="P067"/>
    <x v="7"/>
    <s v="Partial Loss"/>
    <n v="21"/>
    <n v="20.52"/>
    <n v="0.48"/>
    <n v="2.2999999999999998"/>
    <x v="522"/>
    <n v="369360"/>
    <n v="395.04"/>
    <n v="273000"/>
    <n v="96360"/>
    <n v="103.06"/>
    <n v="6240"/>
    <d v="2024-06-14T00:00:00"/>
  </r>
  <r>
    <s v="B02557"/>
    <s v="P067"/>
    <x v="7"/>
    <s v="Sold Out"/>
    <n v="16"/>
    <n v="16"/>
    <n v="0"/>
    <n v="0"/>
    <x v="855"/>
    <n v="288000"/>
    <n v="308.02"/>
    <n v="208000"/>
    <n v="80000"/>
    <n v="85.56"/>
    <n v="0"/>
    <d v="2024-07-01T00:00:00"/>
  </r>
  <r>
    <s v="B02558"/>
    <s v="P067"/>
    <x v="7"/>
    <s v="Sold Out"/>
    <n v="19"/>
    <n v="19"/>
    <n v="0"/>
    <n v="0"/>
    <x v="516"/>
    <n v="342000"/>
    <n v="365.78"/>
    <n v="247000"/>
    <n v="95000"/>
    <n v="101.6"/>
    <n v="0"/>
    <d v="2024-07-17T00:00:00"/>
  </r>
  <r>
    <s v="B02559"/>
    <s v="P067"/>
    <x v="7"/>
    <s v="Sold Out"/>
    <n v="22"/>
    <n v="22"/>
    <n v="0"/>
    <n v="0"/>
    <x v="796"/>
    <n v="396000"/>
    <n v="423.53"/>
    <n v="286000"/>
    <n v="110000"/>
    <n v="117.65"/>
    <n v="0"/>
    <d v="2024-08-07T00:00:00"/>
  </r>
  <r>
    <s v="B02560"/>
    <s v="P067"/>
    <x v="7"/>
    <s v="Sold Out"/>
    <n v="17"/>
    <n v="17"/>
    <n v="0"/>
    <n v="0"/>
    <x v="489"/>
    <n v="306000"/>
    <n v="327.27"/>
    <n v="221000"/>
    <n v="85000"/>
    <n v="90.91"/>
    <n v="0"/>
    <d v="2024-08-28T00:00:00"/>
  </r>
  <r>
    <s v="B02561"/>
    <s v="P067"/>
    <x v="7"/>
    <s v="Partial Loss"/>
    <n v="25"/>
    <n v="22.3"/>
    <n v="2.7"/>
    <n v="10.8"/>
    <x v="856"/>
    <n v="401400"/>
    <n v="429.3"/>
    <n v="325000"/>
    <n v="76400"/>
    <n v="81.709999999999994"/>
    <n v="35100"/>
    <d v="2024-09-12T00:00:00"/>
  </r>
  <r>
    <s v="B02562"/>
    <s v="P067"/>
    <x v="7"/>
    <s v="Sold Out"/>
    <n v="8"/>
    <n v="8"/>
    <n v="0"/>
    <n v="0"/>
    <x v="115"/>
    <n v="144000"/>
    <n v="154.01"/>
    <n v="118400"/>
    <n v="25600"/>
    <n v="27.38"/>
    <n v="0"/>
    <d v="2024-10-03T00:00:00"/>
  </r>
  <r>
    <s v="B02563"/>
    <s v="P067"/>
    <x v="7"/>
    <s v="Partial Loss"/>
    <n v="6"/>
    <n v="5.27"/>
    <n v="0.73"/>
    <n v="12.2"/>
    <x v="133"/>
    <n v="94860"/>
    <n v="101.45"/>
    <n v="78000"/>
    <n v="16860"/>
    <n v="18.03"/>
    <n v="9490"/>
    <d v="2024-10-21T00:00:00"/>
  </r>
  <r>
    <s v="B02564"/>
    <s v="P067"/>
    <x v="7"/>
    <s v="Sold Out"/>
    <n v="7"/>
    <n v="7"/>
    <n v="0"/>
    <n v="0"/>
    <x v="430"/>
    <n v="126000"/>
    <n v="134.76"/>
    <n v="91000"/>
    <n v="35000"/>
    <n v="37.43"/>
    <n v="0"/>
    <d v="2024-11-14T00:00:00"/>
  </r>
  <r>
    <s v="B02565"/>
    <s v="P067"/>
    <x v="7"/>
    <s v="Partial Loss"/>
    <n v="10"/>
    <n v="9.4600000000000009"/>
    <n v="0.54"/>
    <n v="5.4"/>
    <x v="812"/>
    <n v="170280"/>
    <n v="182.12"/>
    <n v="130000"/>
    <n v="40280"/>
    <n v="43.08"/>
    <n v="7020.0000000000009"/>
    <d v="2024-12-12T00:00:00"/>
  </r>
  <r>
    <s v="B02566"/>
    <s v="P067"/>
    <x v="7"/>
    <s v="Sold Out"/>
    <n v="10"/>
    <n v="10"/>
    <n v="0"/>
    <n v="0"/>
    <x v="408"/>
    <n v="180000"/>
    <n v="192.51"/>
    <n v="148000"/>
    <n v="32000"/>
    <n v="34.22"/>
    <n v="0"/>
    <d v="2024-12-31T00:00:00"/>
  </r>
  <r>
    <s v="B02567"/>
    <s v="P067"/>
    <x v="7"/>
    <s v="Sold Out"/>
    <n v="8"/>
    <n v="8"/>
    <n v="0"/>
    <n v="0"/>
    <x v="580"/>
    <n v="144000"/>
    <n v="154.01"/>
    <n v="104000"/>
    <n v="40000"/>
    <n v="42.78"/>
    <n v="0"/>
    <d v="2025-01-22T00:00:00"/>
  </r>
  <r>
    <s v="B02568"/>
    <s v="P067"/>
    <x v="7"/>
    <s v="Partial Loss"/>
    <n v="8"/>
    <n v="7.19"/>
    <n v="0.81"/>
    <n v="10.1"/>
    <x v="808"/>
    <n v="129420"/>
    <n v="138.41999999999999"/>
    <n v="104000"/>
    <n v="25420"/>
    <n v="27.19"/>
    <n v="10530"/>
    <d v="2025-02-09T00:00:00"/>
  </r>
  <r>
    <s v="B02569"/>
    <s v="P067"/>
    <x v="7"/>
    <s v="Sold Out"/>
    <n v="9"/>
    <n v="9"/>
    <n v="0"/>
    <n v="0"/>
    <x v="234"/>
    <n v="162000"/>
    <n v="173.26"/>
    <n v="117000"/>
    <n v="45000"/>
    <n v="48.13"/>
    <n v="0"/>
    <d v="2025-02-28T00:00:00"/>
  </r>
  <r>
    <s v="B02570"/>
    <s v="P067"/>
    <x v="7"/>
    <s v="Partial Loss"/>
    <n v="8"/>
    <n v="7.37"/>
    <n v="0.63"/>
    <n v="7.9"/>
    <x v="851"/>
    <n v="132660"/>
    <n v="141.88"/>
    <n v="104000"/>
    <n v="28660"/>
    <n v="30.65"/>
    <n v="8190"/>
    <d v="2025-03-28T00:00:00"/>
  </r>
  <r>
    <s v="B02571"/>
    <s v="P067"/>
    <x v="7"/>
    <s v="Sold Out"/>
    <n v="18"/>
    <n v="18"/>
    <n v="0"/>
    <n v="0"/>
    <x v="414"/>
    <n v="324000"/>
    <n v="346.52"/>
    <n v="234000"/>
    <n v="90000"/>
    <n v="96.26"/>
    <n v="0"/>
    <d v="2025-04-17T00:00:00"/>
  </r>
  <r>
    <s v="B02572"/>
    <s v="P067"/>
    <x v="7"/>
    <s v="Sold Out"/>
    <n v="18"/>
    <n v="18"/>
    <n v="0"/>
    <n v="0"/>
    <x v="191"/>
    <n v="324000"/>
    <n v="346.52"/>
    <n v="234000"/>
    <n v="90000"/>
    <n v="96.26"/>
    <n v="0"/>
    <d v="2025-05-10T00:00:00"/>
  </r>
  <r>
    <s v="B02573"/>
    <s v="P067"/>
    <x v="7"/>
    <s v="Partial Loss"/>
    <n v="18"/>
    <n v="16.920000000000002"/>
    <n v="1.08"/>
    <n v="6"/>
    <x v="857"/>
    <n v="304560"/>
    <n v="325.73"/>
    <n v="234000"/>
    <n v="70560"/>
    <n v="75.47"/>
    <n v="14040.000000000002"/>
    <d v="2025-06-06T00:00:00"/>
  </r>
  <r>
    <s v="B02574"/>
    <s v="P067"/>
    <x v="7"/>
    <s v="Sold Out"/>
    <n v="21"/>
    <n v="21"/>
    <n v="0"/>
    <n v="0"/>
    <x v="139"/>
    <n v="378000"/>
    <n v="404.28"/>
    <n v="273000"/>
    <n v="105000"/>
    <n v="112.3"/>
    <n v="0"/>
    <d v="2025-06-26T00:00:00"/>
  </r>
  <r>
    <s v="B02575"/>
    <s v="P068"/>
    <x v="7"/>
    <s v="Sold Out"/>
    <n v="21"/>
    <n v="21"/>
    <n v="0"/>
    <n v="0"/>
    <x v="858"/>
    <n v="336000"/>
    <n v="359.36"/>
    <n v="243600"/>
    <n v="92400"/>
    <n v="98.82"/>
    <n v="0"/>
    <d v="2023-07-09T00:00:00"/>
  </r>
  <r>
    <s v="B02576"/>
    <s v="P068"/>
    <x v="7"/>
    <s v="Sold Out"/>
    <n v="18"/>
    <n v="18"/>
    <n v="0"/>
    <n v="0"/>
    <x v="859"/>
    <n v="288000"/>
    <n v="308.02"/>
    <n v="208800"/>
    <n v="79200"/>
    <n v="84.71"/>
    <n v="0"/>
    <d v="2023-07-25T00:00:00"/>
  </r>
  <r>
    <s v="B02577"/>
    <s v="P068"/>
    <x v="7"/>
    <s v="Partial Loss"/>
    <n v="21"/>
    <n v="19.59"/>
    <n v="1.41"/>
    <n v="6.7"/>
    <x v="161"/>
    <n v="313440"/>
    <n v="335.23"/>
    <n v="243600"/>
    <n v="69840"/>
    <n v="74.7"/>
    <n v="16355.999999999998"/>
    <d v="2023-08-16T00:00:00"/>
  </r>
  <r>
    <s v="B02578"/>
    <s v="P068"/>
    <x v="7"/>
    <s v="Sold Out"/>
    <n v="25"/>
    <n v="25"/>
    <n v="0"/>
    <n v="0"/>
    <x v="250"/>
    <n v="400000"/>
    <n v="427.81"/>
    <n v="302500"/>
    <n v="97500"/>
    <n v="104.28"/>
    <n v="0"/>
    <d v="2023-09-10T00:00:00"/>
  </r>
  <r>
    <s v="B02579"/>
    <s v="P068"/>
    <x v="7"/>
    <s v="Partial Loss"/>
    <n v="24"/>
    <n v="23.18"/>
    <n v="0.82"/>
    <n v="3.4"/>
    <x v="452"/>
    <n v="370880"/>
    <n v="396.66"/>
    <n v="278400"/>
    <n v="92480"/>
    <n v="98.91"/>
    <n v="9512"/>
    <d v="2023-09-22T00:00:00"/>
  </r>
  <r>
    <s v="B02580"/>
    <s v="P068"/>
    <x v="7"/>
    <s v="Partial Loss"/>
    <n v="6"/>
    <n v="5.52"/>
    <n v="0.48"/>
    <n v="8"/>
    <x v="451"/>
    <n v="88320"/>
    <n v="94.46"/>
    <n v="69600"/>
    <n v="18720"/>
    <n v="20.02"/>
    <n v="5568"/>
    <d v="2023-10-16T00:00:00"/>
  </r>
  <r>
    <s v="B02581"/>
    <s v="P068"/>
    <x v="7"/>
    <s v="Sold Out"/>
    <n v="7"/>
    <n v="7"/>
    <n v="0"/>
    <n v="0"/>
    <x v="304"/>
    <n v="112000"/>
    <n v="119.79"/>
    <n v="81200"/>
    <n v="30800"/>
    <n v="32.94"/>
    <n v="0"/>
    <d v="2023-11-07T00:00:00"/>
  </r>
  <r>
    <s v="B02582"/>
    <s v="P068"/>
    <x v="7"/>
    <s v="Partial Loss"/>
    <n v="7"/>
    <n v="6.23"/>
    <n v="0.77"/>
    <n v="11"/>
    <x v="860"/>
    <n v="99680"/>
    <n v="106.61"/>
    <n v="81200"/>
    <n v="18480"/>
    <n v="19.760000000000002"/>
    <n v="8932"/>
    <d v="2023-11-26T00:00:00"/>
  </r>
  <r>
    <s v="B02583"/>
    <s v="P068"/>
    <x v="7"/>
    <s v="Sold Out"/>
    <n v="8"/>
    <n v="8"/>
    <n v="0"/>
    <n v="0"/>
    <x v="307"/>
    <n v="128000"/>
    <n v="136.9"/>
    <n v="92800"/>
    <n v="35200"/>
    <n v="37.65"/>
    <n v="0"/>
    <d v="2023-12-19T00:00:00"/>
  </r>
  <r>
    <s v="B02584"/>
    <s v="P068"/>
    <x v="7"/>
    <s v="Partial Loss"/>
    <n v="8"/>
    <n v="7.22"/>
    <n v="0.78"/>
    <n v="9.6999999999999993"/>
    <x v="459"/>
    <n v="115520"/>
    <n v="123.55"/>
    <n v="92800"/>
    <n v="22720"/>
    <n v="24.3"/>
    <n v="9048"/>
    <d v="2024-01-14T00:00:00"/>
  </r>
  <r>
    <s v="B02585"/>
    <s v="P068"/>
    <x v="7"/>
    <s v="Sold Out"/>
    <n v="7"/>
    <n v="7"/>
    <n v="0"/>
    <n v="0"/>
    <x v="262"/>
    <n v="112000"/>
    <n v="119.79"/>
    <n v="81200"/>
    <n v="30800"/>
    <n v="32.94"/>
    <n v="0"/>
    <d v="2024-02-03T00:00:00"/>
  </r>
  <r>
    <s v="B02586"/>
    <s v="P068"/>
    <x v="7"/>
    <s v="Sold Out"/>
    <n v="7"/>
    <n v="7"/>
    <n v="0"/>
    <n v="0"/>
    <x v="511"/>
    <n v="112000"/>
    <n v="119.79"/>
    <n v="81200"/>
    <n v="30800"/>
    <n v="32.94"/>
    <n v="0"/>
    <d v="2024-02-27T00:00:00"/>
  </r>
  <r>
    <s v="B02587"/>
    <s v="P068"/>
    <x v="7"/>
    <s v="Partial Loss"/>
    <n v="7"/>
    <n v="6.5"/>
    <n v="0.5"/>
    <n v="7.2"/>
    <x v="400"/>
    <n v="104000"/>
    <n v="111.23"/>
    <n v="81200"/>
    <n v="22800"/>
    <n v="24.39"/>
    <n v="5800"/>
    <d v="2024-03-18T00:00:00"/>
  </r>
  <r>
    <s v="B02588"/>
    <s v="P068"/>
    <x v="7"/>
    <s v="Sold Out"/>
    <n v="17"/>
    <n v="17"/>
    <n v="0"/>
    <n v="0"/>
    <x v="29"/>
    <n v="272000"/>
    <n v="290.91000000000003"/>
    <n v="197200"/>
    <n v="74800"/>
    <n v="80"/>
    <n v="0"/>
    <d v="2024-04-11T00:00:00"/>
  </r>
  <r>
    <s v="B02589"/>
    <s v="P068"/>
    <x v="7"/>
    <s v="Partial Loss"/>
    <n v="18"/>
    <n v="16.25"/>
    <n v="1.75"/>
    <n v="9.6999999999999993"/>
    <x v="119"/>
    <n v="260000"/>
    <n v="278.07"/>
    <n v="208800"/>
    <n v="51200"/>
    <n v="54.76"/>
    <n v="20300"/>
    <d v="2024-05-04T00:00:00"/>
  </r>
  <r>
    <s v="B02590"/>
    <s v="P068"/>
    <x v="7"/>
    <s v="Sold Out"/>
    <n v="21"/>
    <n v="21"/>
    <n v="0"/>
    <n v="0"/>
    <x v="454"/>
    <n v="336000"/>
    <n v="359.36"/>
    <n v="254100"/>
    <n v="81900"/>
    <n v="87.59"/>
    <n v="0"/>
    <d v="2024-05-25T00:00:00"/>
  </r>
  <r>
    <s v="B02591"/>
    <s v="P068"/>
    <x v="7"/>
    <s v="Sold Out"/>
    <n v="22"/>
    <n v="22"/>
    <n v="0"/>
    <n v="0"/>
    <x v="861"/>
    <n v="352000"/>
    <n v="376.47"/>
    <n v="255200"/>
    <n v="96800"/>
    <n v="103.53"/>
    <n v="0"/>
    <d v="2024-06-20T00:00:00"/>
  </r>
  <r>
    <s v="B02592"/>
    <s v="P068"/>
    <x v="7"/>
    <s v="Sold Out"/>
    <n v="20"/>
    <n v="20"/>
    <n v="0"/>
    <n v="0"/>
    <x v="108"/>
    <n v="320000"/>
    <n v="342.25"/>
    <n v="242000"/>
    <n v="78000"/>
    <n v="83.42"/>
    <n v="0"/>
    <d v="2024-07-14T00:00:00"/>
  </r>
  <r>
    <s v="B02593"/>
    <s v="P068"/>
    <x v="7"/>
    <s v="Partial Loss"/>
    <n v="17"/>
    <n v="15.81"/>
    <n v="1.19"/>
    <n v="7"/>
    <x v="62"/>
    <n v="252960"/>
    <n v="270.55"/>
    <n v="197200"/>
    <n v="55760"/>
    <n v="59.64"/>
    <n v="13804"/>
    <d v="2024-08-02T00:00:00"/>
  </r>
  <r>
    <s v="B02594"/>
    <s v="P068"/>
    <x v="7"/>
    <s v="Sold Out"/>
    <n v="19"/>
    <n v="19"/>
    <n v="0"/>
    <n v="0"/>
    <x v="604"/>
    <n v="304000"/>
    <n v="325.13"/>
    <n v="220400"/>
    <n v="83600"/>
    <n v="89.41"/>
    <n v="0"/>
    <d v="2024-08-24T00:00:00"/>
  </r>
  <r>
    <s v="B02595"/>
    <s v="P068"/>
    <x v="7"/>
    <s v="Sold Out"/>
    <n v="25"/>
    <n v="25"/>
    <n v="0"/>
    <n v="0"/>
    <x v="519"/>
    <n v="400000"/>
    <n v="427.81"/>
    <n v="290000"/>
    <n v="110000"/>
    <n v="117.65"/>
    <n v="0"/>
    <d v="2024-09-14T00:00:00"/>
  </r>
  <r>
    <s v="B02596"/>
    <s v="P068"/>
    <x v="7"/>
    <s v="Partial Loss"/>
    <n v="7"/>
    <n v="6.58"/>
    <n v="0.42"/>
    <n v="6"/>
    <x v="437"/>
    <n v="105280"/>
    <n v="112.6"/>
    <n v="81200"/>
    <n v="24080"/>
    <n v="25.75"/>
    <n v="4872"/>
    <d v="2024-10-04T00:00:00"/>
  </r>
  <r>
    <s v="B02597"/>
    <s v="P068"/>
    <x v="7"/>
    <s v="Partial Loss"/>
    <n v="8"/>
    <n v="7.44"/>
    <n v="0.56000000000000005"/>
    <n v="7"/>
    <x v="799"/>
    <n v="119040"/>
    <n v="127.32"/>
    <n v="92800"/>
    <n v="26240"/>
    <n v="28.06"/>
    <n v="6496.0000000000009"/>
    <d v="2024-10-27T00:00:00"/>
  </r>
  <r>
    <s v="B02598"/>
    <s v="P068"/>
    <x v="7"/>
    <s v="Partial Loss"/>
    <n v="8"/>
    <n v="7.38"/>
    <n v="0.62"/>
    <n v="7.7"/>
    <x v="562"/>
    <n v="118080"/>
    <n v="126.29"/>
    <n v="92800"/>
    <n v="25280"/>
    <n v="27.04"/>
    <n v="7192"/>
    <d v="2024-11-12T00:00:00"/>
  </r>
  <r>
    <s v="B02599"/>
    <s v="P068"/>
    <x v="7"/>
    <s v="Sold Out"/>
    <n v="8"/>
    <n v="8"/>
    <n v="0"/>
    <n v="0"/>
    <x v="463"/>
    <n v="128000"/>
    <n v="136.9"/>
    <n v="92800"/>
    <n v="35200"/>
    <n v="37.65"/>
    <n v="0"/>
    <d v="2024-11-30T00:00:00"/>
  </r>
  <r>
    <s v="B02600"/>
    <s v="P068"/>
    <x v="7"/>
    <s v="Partial Loss"/>
    <n v="8"/>
    <n v="7.4"/>
    <n v="0.6"/>
    <n v="7.5"/>
    <x v="470"/>
    <n v="118400"/>
    <n v="126.63"/>
    <n v="92800"/>
    <n v="25600"/>
    <n v="27.38"/>
    <n v="6960"/>
    <d v="2024-12-22T00:00:00"/>
  </r>
  <r>
    <s v="B02601"/>
    <s v="P068"/>
    <x v="7"/>
    <s v="Partial Loss"/>
    <n v="8"/>
    <n v="7.37"/>
    <n v="0.63"/>
    <n v="7.9"/>
    <x v="862"/>
    <n v="117920"/>
    <n v="126.12"/>
    <n v="92800"/>
    <n v="25120"/>
    <n v="26.87"/>
    <n v="7308"/>
    <d v="2025-01-12T00:00:00"/>
  </r>
  <r>
    <s v="B02602"/>
    <s v="P068"/>
    <x v="7"/>
    <s v="Sold Out"/>
    <n v="8"/>
    <n v="8"/>
    <n v="0"/>
    <n v="0"/>
    <x v="374"/>
    <n v="128000"/>
    <n v="136.9"/>
    <n v="92800"/>
    <n v="35200"/>
    <n v="37.65"/>
    <n v="0"/>
    <d v="2025-01-30T00:00:00"/>
  </r>
  <r>
    <s v="B02603"/>
    <s v="P068"/>
    <x v="7"/>
    <s v="Sold Out"/>
    <n v="8"/>
    <n v="8"/>
    <n v="0"/>
    <n v="0"/>
    <x v="583"/>
    <n v="128000"/>
    <n v="136.9"/>
    <n v="92800"/>
    <n v="35200"/>
    <n v="37.65"/>
    <n v="0"/>
    <d v="2025-02-25T00:00:00"/>
  </r>
  <r>
    <s v="B02604"/>
    <s v="P068"/>
    <x v="7"/>
    <s v="Sold Out"/>
    <n v="7"/>
    <n v="7"/>
    <n v="0"/>
    <n v="0"/>
    <x v="863"/>
    <n v="112000"/>
    <n v="119.79"/>
    <n v="81200"/>
    <n v="30800"/>
    <n v="32.94"/>
    <n v="0"/>
    <d v="2025-03-13T00:00:00"/>
  </r>
  <r>
    <s v="B02605"/>
    <s v="P068"/>
    <x v="7"/>
    <s v="Sold Out"/>
    <n v="19"/>
    <n v="19"/>
    <n v="0"/>
    <n v="0"/>
    <x v="240"/>
    <n v="304000"/>
    <n v="325.13"/>
    <n v="220400"/>
    <n v="83600"/>
    <n v="89.41"/>
    <n v="0"/>
    <d v="2025-04-06T00:00:00"/>
  </r>
  <r>
    <s v="B02606"/>
    <s v="P068"/>
    <x v="7"/>
    <s v="Partial Loss"/>
    <n v="23"/>
    <n v="22.24"/>
    <n v="0.76"/>
    <n v="3.3"/>
    <x v="691"/>
    <n v="355840"/>
    <n v="380.58"/>
    <n v="266800"/>
    <n v="89040"/>
    <n v="95.23"/>
    <n v="8816"/>
    <d v="2025-04-24T00:00:00"/>
  </r>
  <r>
    <s v="B02607"/>
    <s v="P068"/>
    <x v="7"/>
    <s v="Sold Out"/>
    <n v="22"/>
    <n v="22"/>
    <n v="0"/>
    <n v="0"/>
    <x v="243"/>
    <n v="352000"/>
    <n v="376.47"/>
    <n v="255200"/>
    <n v="96800"/>
    <n v="103.53"/>
    <n v="0"/>
    <d v="2025-05-14T00:00:00"/>
  </r>
  <r>
    <s v="B02608"/>
    <s v="P068"/>
    <x v="7"/>
    <s v="Sold Out"/>
    <n v="23"/>
    <n v="23"/>
    <n v="0"/>
    <n v="0"/>
    <x v="646"/>
    <n v="368000"/>
    <n v="393.58"/>
    <n v="278300"/>
    <n v="89700"/>
    <n v="95.94"/>
    <n v="0"/>
    <d v="2025-06-13T00:00:00"/>
  </r>
  <r>
    <s v="B02609"/>
    <s v="P069"/>
    <x v="7"/>
    <s v="Sold Out"/>
    <n v="20"/>
    <n v="20"/>
    <n v="0"/>
    <n v="0"/>
    <x v="589"/>
    <n v="480000"/>
    <n v="513.37"/>
    <n v="344000"/>
    <n v="136000"/>
    <n v="145.44999999999999"/>
    <n v="0"/>
    <d v="2023-07-04T00:00:00"/>
  </r>
  <r>
    <s v="B02610"/>
    <s v="P069"/>
    <x v="7"/>
    <s v="Sold Out"/>
    <n v="18"/>
    <n v="18"/>
    <n v="0"/>
    <n v="0"/>
    <x v="859"/>
    <n v="432000"/>
    <n v="462.03"/>
    <n v="309600"/>
    <n v="122400"/>
    <n v="130.91"/>
    <n v="0"/>
    <d v="2023-07-21T00:00:00"/>
  </r>
  <r>
    <s v="B02611"/>
    <s v="P069"/>
    <x v="7"/>
    <s v="Sold Out"/>
    <n v="17"/>
    <n v="17"/>
    <n v="0"/>
    <n v="0"/>
    <x v="864"/>
    <n v="408000"/>
    <n v="436.36"/>
    <n v="292400"/>
    <n v="115600"/>
    <n v="123.64"/>
    <n v="0"/>
    <d v="2023-08-21T00:00:00"/>
  </r>
  <r>
    <s v="B02612"/>
    <s v="P069"/>
    <x v="7"/>
    <s v="Sold Out"/>
    <n v="24"/>
    <n v="24"/>
    <n v="0"/>
    <n v="0"/>
    <x v="144"/>
    <n v="576000"/>
    <n v="616.04"/>
    <n v="412800"/>
    <n v="163200"/>
    <n v="174.55"/>
    <n v="0"/>
    <d v="2023-09-10T00:00:00"/>
  </r>
  <r>
    <s v="B02613"/>
    <s v="P069"/>
    <x v="7"/>
    <s v="Sold Out"/>
    <n v="26"/>
    <n v="26"/>
    <n v="0"/>
    <n v="0"/>
    <x v="7"/>
    <n v="624000"/>
    <n v="667.38"/>
    <n v="483600"/>
    <n v="140400"/>
    <n v="150.16"/>
    <n v="0"/>
    <d v="2023-09-30T00:00:00"/>
  </r>
  <r>
    <s v="B02614"/>
    <s v="P069"/>
    <x v="7"/>
    <s v="Partial Loss"/>
    <n v="6"/>
    <n v="5.72"/>
    <n v="0.28000000000000003"/>
    <n v="4.7"/>
    <x v="29"/>
    <n v="137280"/>
    <n v="146.82"/>
    <n v="103200"/>
    <n v="34080"/>
    <n v="36.450000000000003"/>
    <n v="4816.0000000000009"/>
    <d v="2023-10-18T00:00:00"/>
  </r>
  <r>
    <s v="B02615"/>
    <s v="P069"/>
    <x v="7"/>
    <s v="Sold Out"/>
    <n v="7"/>
    <n v="7"/>
    <n v="0"/>
    <n v="0"/>
    <x v="88"/>
    <n v="168000"/>
    <n v="179.68"/>
    <n v="120400"/>
    <n v="47600"/>
    <n v="50.91"/>
    <n v="0"/>
    <d v="2023-11-08T00:00:00"/>
  </r>
  <r>
    <s v="B02616"/>
    <s v="P069"/>
    <x v="7"/>
    <s v="Partial Loss"/>
    <n v="7"/>
    <n v="6.37"/>
    <n v="0.63"/>
    <n v="9"/>
    <x v="549"/>
    <n v="152880"/>
    <n v="163.51"/>
    <n v="120400"/>
    <n v="32480"/>
    <n v="34.74"/>
    <n v="10836"/>
    <d v="2023-11-29T00:00:00"/>
  </r>
  <r>
    <s v="B02617"/>
    <s v="P069"/>
    <x v="7"/>
    <s v="Sold Out"/>
    <n v="8"/>
    <n v="8"/>
    <n v="0"/>
    <n v="0"/>
    <x v="15"/>
    <n v="192000"/>
    <n v="205.35"/>
    <n v="137600"/>
    <n v="54400"/>
    <n v="58.18"/>
    <n v="0"/>
    <d v="2023-12-16T00:00:00"/>
  </r>
  <r>
    <s v="B02618"/>
    <s v="P069"/>
    <x v="7"/>
    <s v="Partial Loss"/>
    <n v="7"/>
    <n v="6.7"/>
    <n v="0.3"/>
    <n v="4.3"/>
    <x v="487"/>
    <n v="160800"/>
    <n v="171.98"/>
    <n v="120400"/>
    <n v="40400"/>
    <n v="43.21"/>
    <n v="5160"/>
    <d v="2024-01-05T00:00:00"/>
  </r>
  <r>
    <s v="B02619"/>
    <s v="P069"/>
    <x v="7"/>
    <s v="Sold Out"/>
    <n v="6"/>
    <n v="6"/>
    <n v="0"/>
    <n v="0"/>
    <x v="389"/>
    <n v="144000"/>
    <n v="154.01"/>
    <n v="103200"/>
    <n v="40800"/>
    <n v="43.64"/>
    <n v="0"/>
    <d v="2024-01-25T00:00:00"/>
  </r>
  <r>
    <s v="B02620"/>
    <s v="P069"/>
    <x v="7"/>
    <s v="Partial Loss"/>
    <n v="7"/>
    <n v="6.38"/>
    <n v="0.62"/>
    <n v="8.9"/>
    <x v="489"/>
    <n v="153120"/>
    <n v="163.76"/>
    <n v="120400"/>
    <n v="32720"/>
    <n v="34.99"/>
    <n v="10664"/>
    <d v="2024-02-22T00:00:00"/>
  </r>
  <r>
    <s v="B02621"/>
    <s v="P069"/>
    <x v="7"/>
    <s v="Sold Out"/>
    <n v="7"/>
    <n v="7"/>
    <n v="0"/>
    <n v="0"/>
    <x v="393"/>
    <n v="168000"/>
    <n v="179.68"/>
    <n v="120400"/>
    <n v="47600"/>
    <n v="50.91"/>
    <n v="0"/>
    <d v="2024-03-12T00:00:00"/>
  </r>
  <r>
    <s v="B02622"/>
    <s v="P069"/>
    <x v="7"/>
    <s v="Sold Out"/>
    <n v="22"/>
    <n v="22"/>
    <n v="0"/>
    <n v="0"/>
    <x v="394"/>
    <n v="528000"/>
    <n v="564.71"/>
    <n v="378400"/>
    <n v="149600"/>
    <n v="160"/>
    <n v="0"/>
    <d v="2024-04-02T00:00:00"/>
  </r>
  <r>
    <s v="B02623"/>
    <s v="P069"/>
    <x v="7"/>
    <s v="Partial Loss"/>
    <n v="18"/>
    <n v="17.48"/>
    <n v="0.52"/>
    <n v="2.9"/>
    <x v="118"/>
    <n v="419520"/>
    <n v="448.68"/>
    <n v="309600"/>
    <n v="109920"/>
    <n v="117.56"/>
    <n v="8944"/>
    <d v="2024-04-22T00:00:00"/>
  </r>
  <r>
    <s v="B02624"/>
    <s v="P069"/>
    <x v="7"/>
    <s v="Sold Out"/>
    <n v="19"/>
    <n v="19"/>
    <n v="0"/>
    <n v="0"/>
    <x v="315"/>
    <n v="456000"/>
    <n v="487.7"/>
    <n v="326800"/>
    <n v="129200"/>
    <n v="138.18"/>
    <n v="0"/>
    <d v="2024-05-13T00:00:00"/>
  </r>
  <r>
    <s v="B02625"/>
    <s v="P069"/>
    <x v="7"/>
    <s v="Sold Out"/>
    <n v="21"/>
    <n v="21"/>
    <n v="0"/>
    <n v="0"/>
    <x v="397"/>
    <n v="504000"/>
    <n v="539.04"/>
    <n v="361200"/>
    <n v="142800"/>
    <n v="152.72999999999999"/>
    <n v="0"/>
    <d v="2024-06-01T00:00:00"/>
  </r>
  <r>
    <s v="B02626"/>
    <s v="P069"/>
    <x v="7"/>
    <s v="Sold Out"/>
    <n v="18"/>
    <n v="18"/>
    <n v="0"/>
    <n v="0"/>
    <x v="861"/>
    <n v="432000"/>
    <n v="462.03"/>
    <n v="309600"/>
    <n v="122400"/>
    <n v="130.91"/>
    <n v="0"/>
    <d v="2024-06-25T00:00:00"/>
  </r>
  <r>
    <s v="B02627"/>
    <s v="P069"/>
    <x v="7"/>
    <s v="Partial Loss"/>
    <n v="17"/>
    <n v="15.35"/>
    <n v="1.65"/>
    <n v="9.6999999999999993"/>
    <x v="231"/>
    <n v="368400"/>
    <n v="394.01"/>
    <n v="292400"/>
    <n v="76000"/>
    <n v="81.28"/>
    <n v="28380"/>
    <d v="2024-07-10T00:00:00"/>
  </r>
  <r>
    <s v="B02628"/>
    <s v="P069"/>
    <x v="7"/>
    <s v="Sold Out"/>
    <n v="17"/>
    <n v="17"/>
    <n v="0"/>
    <n v="0"/>
    <x v="39"/>
    <n v="408000"/>
    <n v="436.36"/>
    <n v="292400"/>
    <n v="115600"/>
    <n v="123.64"/>
    <n v="0"/>
    <d v="2024-08-02T00:00:00"/>
  </r>
  <r>
    <s v="B02629"/>
    <s v="P069"/>
    <x v="7"/>
    <s v="Partial Loss"/>
    <n v="18"/>
    <n v="16.45"/>
    <n v="1.55"/>
    <n v="8.6"/>
    <x v="288"/>
    <n v="394800"/>
    <n v="422.25"/>
    <n v="309600"/>
    <n v="85200"/>
    <n v="91.12"/>
    <n v="26660"/>
    <d v="2024-08-24T00:00:00"/>
  </r>
  <r>
    <s v="B02630"/>
    <s v="P069"/>
    <x v="7"/>
    <s v="Sold Out"/>
    <n v="23"/>
    <n v="23"/>
    <n v="0"/>
    <n v="0"/>
    <x v="367"/>
    <n v="552000"/>
    <n v="590.37"/>
    <n v="395600"/>
    <n v="156400"/>
    <n v="167.27"/>
    <n v="0"/>
    <d v="2024-09-19T00:00:00"/>
  </r>
  <r>
    <s v="B02631"/>
    <s v="P069"/>
    <x v="7"/>
    <s v="Partial Loss"/>
    <n v="6"/>
    <n v="5.47"/>
    <n v="0.53"/>
    <n v="8.9"/>
    <x v="136"/>
    <n v="131280"/>
    <n v="140.41"/>
    <n v="103200"/>
    <n v="28080"/>
    <n v="30.03"/>
    <n v="9116"/>
    <d v="2024-10-07T00:00:00"/>
  </r>
  <r>
    <s v="B02632"/>
    <s v="P069"/>
    <x v="7"/>
    <s v="Sold Out"/>
    <n v="7"/>
    <n v="7"/>
    <n v="0"/>
    <n v="0"/>
    <x v="777"/>
    <n v="168000"/>
    <n v="179.68"/>
    <n v="120400"/>
    <n v="47600"/>
    <n v="50.91"/>
    <n v="0"/>
    <d v="2024-10-26T00:00:00"/>
  </r>
  <r>
    <s v="B02633"/>
    <s v="P069"/>
    <x v="7"/>
    <s v="Partial Loss"/>
    <n v="8"/>
    <n v="7.78"/>
    <n v="0.22"/>
    <n v="2.8"/>
    <x v="661"/>
    <n v="186720"/>
    <n v="199.7"/>
    <n v="137600"/>
    <n v="49120"/>
    <n v="52.53"/>
    <n v="3784"/>
    <d v="2024-11-19T00:00:00"/>
  </r>
  <r>
    <s v="B02634"/>
    <s v="P069"/>
    <x v="7"/>
    <s v="Sold Out"/>
    <n v="8"/>
    <n v="8"/>
    <n v="0"/>
    <n v="0"/>
    <x v="281"/>
    <n v="192000"/>
    <n v="205.35"/>
    <n v="148800"/>
    <n v="43200"/>
    <n v="46.2"/>
    <n v="0"/>
    <d v="2024-12-02T00:00:00"/>
  </r>
  <r>
    <s v="B02635"/>
    <s v="P069"/>
    <x v="7"/>
    <s v="Partial Loss"/>
    <n v="9"/>
    <n v="8.43"/>
    <n v="0.56999999999999995"/>
    <n v="6.3"/>
    <x v="197"/>
    <n v="202320"/>
    <n v="216.39"/>
    <n v="154800"/>
    <n v="47520"/>
    <n v="50.82"/>
    <n v="9804"/>
    <d v="2024-12-23T00:00:00"/>
  </r>
  <r>
    <s v="B02636"/>
    <s v="P069"/>
    <x v="7"/>
    <s v="Partial Loss"/>
    <n v="9"/>
    <n v="8.16"/>
    <n v="0.84"/>
    <n v="9.3000000000000007"/>
    <x v="443"/>
    <n v="195840"/>
    <n v="209.45"/>
    <n v="154800"/>
    <n v="41040"/>
    <n v="43.89"/>
    <n v="14448"/>
    <d v="2025-01-14T00:00:00"/>
  </r>
  <r>
    <s v="B02637"/>
    <s v="P069"/>
    <x v="7"/>
    <s v="Sold Out"/>
    <n v="7"/>
    <n v="7"/>
    <n v="0"/>
    <n v="0"/>
    <x v="865"/>
    <n v="168000"/>
    <n v="179.68"/>
    <n v="130200"/>
    <n v="37800"/>
    <n v="40.43"/>
    <n v="0"/>
    <d v="2025-02-05T00:00:00"/>
  </r>
  <r>
    <s v="B02638"/>
    <s v="P069"/>
    <x v="7"/>
    <s v="Partial Loss"/>
    <n v="8"/>
    <n v="7.26"/>
    <n v="0.74"/>
    <n v="9.3000000000000007"/>
    <x v="866"/>
    <n v="174240"/>
    <n v="186.35"/>
    <n v="137600"/>
    <n v="36640"/>
    <n v="39.19"/>
    <n v="12728"/>
    <d v="2025-02-24T00:00:00"/>
  </r>
  <r>
    <s v="B02639"/>
    <s v="P069"/>
    <x v="7"/>
    <s v="Partial Loss"/>
    <n v="7"/>
    <n v="6.34"/>
    <n v="0.66"/>
    <n v="9.4"/>
    <x v="829"/>
    <n v="152160"/>
    <n v="162.74"/>
    <n v="120400"/>
    <n v="31760"/>
    <n v="33.97"/>
    <n v="11352"/>
    <d v="2025-03-14T00:00:00"/>
  </r>
  <r>
    <s v="B02640"/>
    <s v="P069"/>
    <x v="7"/>
    <s v="Sold Out"/>
    <n v="7"/>
    <n v="7"/>
    <n v="0"/>
    <n v="0"/>
    <x v="335"/>
    <n v="168000"/>
    <n v="179.68"/>
    <n v="120400"/>
    <n v="47600"/>
    <n v="50.91"/>
    <n v="0"/>
    <d v="2025-03-30T00:00:00"/>
  </r>
  <r>
    <s v="B02641"/>
    <s v="P069"/>
    <x v="7"/>
    <s v="Sold Out"/>
    <n v="18"/>
    <n v="18"/>
    <n v="0"/>
    <n v="0"/>
    <x v="415"/>
    <n v="432000"/>
    <n v="462.03"/>
    <n v="309600"/>
    <n v="122400"/>
    <n v="130.91"/>
    <n v="0"/>
    <d v="2025-04-13T00:00:00"/>
  </r>
  <r>
    <s v="B02642"/>
    <s v="P069"/>
    <x v="7"/>
    <s v="Sold Out"/>
    <n v="19"/>
    <n v="19"/>
    <n v="0"/>
    <n v="0"/>
    <x v="66"/>
    <n v="456000"/>
    <n v="487.7"/>
    <n v="326800"/>
    <n v="129200"/>
    <n v="138.18"/>
    <n v="0"/>
    <d v="2025-05-04T00:00:00"/>
  </r>
  <r>
    <s v="B02643"/>
    <s v="P069"/>
    <x v="7"/>
    <s v="Sold Out"/>
    <n v="18"/>
    <n v="18"/>
    <n v="0"/>
    <n v="0"/>
    <x v="340"/>
    <n v="432000"/>
    <n v="462.03"/>
    <n v="309600"/>
    <n v="122400"/>
    <n v="130.91"/>
    <n v="0"/>
    <d v="2025-05-22T00:00:00"/>
  </r>
  <r>
    <s v="B02644"/>
    <s v="P069"/>
    <x v="7"/>
    <s v="Sold Out"/>
    <n v="19"/>
    <n v="19"/>
    <n v="0"/>
    <n v="0"/>
    <x v="71"/>
    <n v="456000"/>
    <n v="487.7"/>
    <n v="326800"/>
    <n v="129200"/>
    <n v="138.18"/>
    <n v="0"/>
    <d v="2025-06-13T00:00:00"/>
  </r>
  <r>
    <s v="B02645"/>
    <s v="P070"/>
    <x v="8"/>
    <s v="Partial Loss"/>
    <n v="11"/>
    <n v="10.66"/>
    <n v="0.34"/>
    <n v="3.1"/>
    <x v="675"/>
    <n v="42640"/>
    <n v="45.6"/>
    <n v="30800"/>
    <n v="11840"/>
    <n v="12.66"/>
    <n v="952.00000000000011"/>
    <d v="2023-07-07T00:00:00"/>
  </r>
  <r>
    <s v="B02646"/>
    <s v="P070"/>
    <x v="8"/>
    <s v="Sold Out"/>
    <n v="11"/>
    <n v="11"/>
    <n v="0"/>
    <n v="0"/>
    <x v="79"/>
    <n v="44000"/>
    <n v="47.06"/>
    <n v="30800"/>
    <n v="13200"/>
    <n v="14.12"/>
    <n v="0"/>
    <d v="2023-08-11T00:00:00"/>
  </r>
  <r>
    <s v="B02647"/>
    <s v="P070"/>
    <x v="8"/>
    <s v="Sold Out"/>
    <n v="13"/>
    <n v="13"/>
    <n v="0"/>
    <n v="0"/>
    <x v="203"/>
    <n v="52000"/>
    <n v="55.61"/>
    <n v="36400"/>
    <n v="15600"/>
    <n v="16.68"/>
    <n v="0"/>
    <d v="2023-09-08T00:00:00"/>
  </r>
  <r>
    <s v="B02648"/>
    <s v="P070"/>
    <x v="8"/>
    <s v="Partial Loss"/>
    <n v="9"/>
    <n v="8.34"/>
    <n v="0.66"/>
    <n v="7.3"/>
    <x v="653"/>
    <n v="33360"/>
    <n v="35.68"/>
    <n v="27450"/>
    <n v="5910"/>
    <n v="6.32"/>
    <n v="2013"/>
    <d v="2023-10-07T00:00:00"/>
  </r>
  <r>
    <s v="B02649"/>
    <s v="P070"/>
    <x v="8"/>
    <s v="Partial Loss"/>
    <n v="11"/>
    <n v="10.35"/>
    <n v="0.65"/>
    <n v="5.9"/>
    <x v="689"/>
    <n v="41400"/>
    <n v="44.28"/>
    <n v="30800"/>
    <n v="10600"/>
    <n v="11.34"/>
    <n v="1820"/>
    <d v="2023-11-08T00:00:00"/>
  </r>
  <r>
    <s v="B02650"/>
    <s v="P070"/>
    <x v="8"/>
    <s v="Sold Out"/>
    <n v="14"/>
    <n v="14"/>
    <n v="0"/>
    <n v="0"/>
    <x v="482"/>
    <n v="56000"/>
    <n v="59.89"/>
    <n v="39200"/>
    <n v="16800"/>
    <n v="17.97"/>
    <n v="0"/>
    <d v="2023-12-10T00:00:00"/>
  </r>
  <r>
    <s v="B02651"/>
    <s v="P070"/>
    <x v="8"/>
    <s v="Partial Loss"/>
    <n v="10"/>
    <n v="9.9499999999999993"/>
    <n v="0.05"/>
    <n v="0.5"/>
    <x v="43"/>
    <n v="39800"/>
    <n v="42.57"/>
    <n v="28000"/>
    <n v="11800"/>
    <n v="12.62"/>
    <n v="140"/>
    <d v="2024-01-01T00:00:00"/>
  </r>
  <r>
    <s v="B02652"/>
    <s v="P070"/>
    <x v="8"/>
    <s v="Sold Out"/>
    <n v="9"/>
    <n v="9"/>
    <n v="0"/>
    <n v="0"/>
    <x v="545"/>
    <n v="36000"/>
    <n v="38.5"/>
    <n v="25200"/>
    <n v="10800"/>
    <n v="11.55"/>
    <n v="0"/>
    <d v="2024-02-11T00:00:00"/>
  </r>
  <r>
    <s v="B02653"/>
    <s v="P070"/>
    <x v="8"/>
    <s v="Partial Loss"/>
    <n v="10"/>
    <n v="9.0399999999999991"/>
    <n v="0.96"/>
    <n v="9.6"/>
    <x v="176"/>
    <n v="36160"/>
    <n v="38.67"/>
    <n v="30500"/>
    <n v="5660"/>
    <n v="6.05"/>
    <n v="2928"/>
    <d v="2024-03-19T00:00:00"/>
  </r>
  <r>
    <s v="B02654"/>
    <s v="P070"/>
    <x v="8"/>
    <s v="Partial Loss"/>
    <n v="9"/>
    <n v="8.2799999999999994"/>
    <n v="0.72"/>
    <n v="8"/>
    <x v="330"/>
    <n v="33120"/>
    <n v="35.42"/>
    <n v="25200"/>
    <n v="7920"/>
    <n v="8.4700000000000006"/>
    <n v="2016"/>
    <d v="2024-04-22T00:00:00"/>
  </r>
  <r>
    <s v="B02655"/>
    <s v="P070"/>
    <x v="8"/>
    <s v="Partial Loss"/>
    <n v="11"/>
    <n v="10.39"/>
    <n v="0.6"/>
    <n v="5.5"/>
    <x v="126"/>
    <n v="41560"/>
    <n v="44.45"/>
    <n v="30800"/>
    <n v="10760"/>
    <n v="11.51"/>
    <n v="1680"/>
    <d v="2024-05-28T00:00:00"/>
  </r>
  <r>
    <s v="B02656"/>
    <s v="P070"/>
    <x v="8"/>
    <s v="Sold Out"/>
    <n v="9"/>
    <n v="9"/>
    <n v="0"/>
    <n v="0"/>
    <x v="399"/>
    <n v="36000"/>
    <n v="38.5"/>
    <n v="25200"/>
    <n v="10800"/>
    <n v="11.55"/>
    <n v="0"/>
    <d v="2024-07-03T00:00:00"/>
  </r>
  <r>
    <s v="B02657"/>
    <s v="P070"/>
    <x v="8"/>
    <s v="Sold Out"/>
    <n v="11"/>
    <n v="11"/>
    <n v="0"/>
    <n v="0"/>
    <x v="819"/>
    <n v="44000"/>
    <n v="47.06"/>
    <n v="30800"/>
    <n v="13200"/>
    <n v="14.12"/>
    <n v="0"/>
    <d v="2024-08-02T00:00:00"/>
  </r>
  <r>
    <s v="B02658"/>
    <s v="P070"/>
    <x v="8"/>
    <s v="Sold Out"/>
    <n v="12"/>
    <n v="12"/>
    <n v="0"/>
    <n v="0"/>
    <x v="555"/>
    <n v="48000"/>
    <n v="51.34"/>
    <n v="33600"/>
    <n v="14400"/>
    <n v="15.4"/>
    <n v="0"/>
    <d v="2024-09-06T00:00:00"/>
  </r>
  <r>
    <s v="B02659"/>
    <s v="P070"/>
    <x v="8"/>
    <s v="Partial Loss"/>
    <n v="10"/>
    <n v="9.34"/>
    <n v="0.66"/>
    <n v="6.6"/>
    <x v="586"/>
    <n v="37360"/>
    <n v="39.96"/>
    <n v="28000"/>
    <n v="9360"/>
    <n v="10.01"/>
    <n v="1848"/>
    <d v="2024-10-12T00:00:00"/>
  </r>
  <r>
    <s v="B02660"/>
    <s v="P070"/>
    <x v="8"/>
    <s v="Sold Out"/>
    <n v="9"/>
    <n v="9"/>
    <n v="0"/>
    <n v="0"/>
    <x v="56"/>
    <n v="36000"/>
    <n v="38.5"/>
    <n v="25200"/>
    <n v="10800"/>
    <n v="11.55"/>
    <n v="0"/>
    <d v="2024-11-19T00:00:00"/>
  </r>
  <r>
    <s v="B02661"/>
    <s v="P070"/>
    <x v="8"/>
    <s v="Sold Out"/>
    <n v="13"/>
    <n v="13"/>
    <n v="0"/>
    <n v="0"/>
    <x v="558"/>
    <n v="52000"/>
    <n v="55.61"/>
    <n v="36400"/>
    <n v="15600"/>
    <n v="16.68"/>
    <n v="0"/>
    <d v="2024-12-22T00:00:00"/>
  </r>
  <r>
    <s v="B02662"/>
    <s v="P070"/>
    <x v="8"/>
    <s v="Sold Out"/>
    <n v="10"/>
    <n v="10"/>
    <n v="0"/>
    <n v="0"/>
    <x v="286"/>
    <n v="40000"/>
    <n v="42.78"/>
    <n v="28000"/>
    <n v="12000"/>
    <n v="12.83"/>
    <n v="0"/>
    <d v="2025-01-22T00:00:00"/>
  </r>
  <r>
    <s v="B02663"/>
    <s v="P070"/>
    <x v="8"/>
    <s v="Sold Out"/>
    <n v="10"/>
    <n v="10"/>
    <n v="0"/>
    <n v="0"/>
    <x v="435"/>
    <n v="40000"/>
    <n v="42.78"/>
    <n v="28000"/>
    <n v="12000"/>
    <n v="12.83"/>
    <n v="0"/>
    <d v="2025-02-25T00:00:00"/>
  </r>
  <r>
    <s v="B02664"/>
    <s v="P070"/>
    <x v="8"/>
    <s v="Sold Out"/>
    <n v="10"/>
    <n v="10"/>
    <n v="0"/>
    <n v="0"/>
    <x v="240"/>
    <n v="40000"/>
    <n v="42.78"/>
    <n v="28000"/>
    <n v="12000"/>
    <n v="12.83"/>
    <n v="0"/>
    <d v="2025-04-04T00:00:00"/>
  </r>
  <r>
    <s v="B02665"/>
    <s v="P070"/>
    <x v="8"/>
    <s v="Partial Loss"/>
    <n v="12"/>
    <n v="11.23"/>
    <n v="0.77"/>
    <n v="6.4"/>
    <x v="867"/>
    <n v="44920"/>
    <n v="48.04"/>
    <n v="33600"/>
    <n v="11320"/>
    <n v="12.11"/>
    <n v="2156"/>
    <d v="2025-05-14T00:00:00"/>
  </r>
  <r>
    <s v="B02666"/>
    <s v="P070"/>
    <x v="8"/>
    <s v="Sold Out"/>
    <n v="11"/>
    <n v="11"/>
    <n v="0"/>
    <n v="0"/>
    <x v="73"/>
    <n v="44000"/>
    <n v="47.06"/>
    <n v="30800"/>
    <n v="13200"/>
    <n v="14.12"/>
    <n v="0"/>
    <d v="2025-06-16T00:00:00"/>
  </r>
  <r>
    <s v="B02667"/>
    <s v="P071"/>
    <x v="8"/>
    <s v="Partial Loss"/>
    <n v="9"/>
    <n v="8.52"/>
    <n v="0.48"/>
    <n v="5.3"/>
    <x v="211"/>
    <n v="51120"/>
    <n v="54.67"/>
    <n v="37800"/>
    <n v="13320"/>
    <n v="14.25"/>
    <n v="2016"/>
    <d v="2023-07-31T00:00:00"/>
  </r>
  <r>
    <s v="B02668"/>
    <s v="P071"/>
    <x v="8"/>
    <s v="Sold Out"/>
    <n v="9"/>
    <n v="9"/>
    <n v="0"/>
    <n v="0"/>
    <x v="810"/>
    <n v="54000"/>
    <n v="57.75"/>
    <n v="37800"/>
    <n v="16200"/>
    <n v="17.329999999999998"/>
    <n v="0"/>
    <d v="2023-08-26T00:00:00"/>
  </r>
  <r>
    <s v="B02669"/>
    <s v="P071"/>
    <x v="8"/>
    <s v="Partial Loss"/>
    <n v="12"/>
    <n v="11.36"/>
    <n v="0.64"/>
    <n v="5.3"/>
    <x v="30"/>
    <n v="68160"/>
    <n v="72.900000000000006"/>
    <n v="50400"/>
    <n v="17760"/>
    <n v="18.989999999999998"/>
    <n v="2688"/>
    <d v="2023-09-27T00:00:00"/>
  </r>
  <r>
    <s v="B02670"/>
    <s v="P071"/>
    <x v="8"/>
    <s v="Partial Loss"/>
    <n v="10"/>
    <n v="9.3699999999999992"/>
    <n v="0.63"/>
    <n v="6.3"/>
    <x v="676"/>
    <n v="56220"/>
    <n v="60.13"/>
    <n v="42000"/>
    <n v="14220"/>
    <n v="15.21"/>
    <n v="2646"/>
    <d v="2023-11-05T00:00:00"/>
  </r>
  <r>
    <s v="B02671"/>
    <s v="P071"/>
    <x v="8"/>
    <s v="Sold Out"/>
    <n v="15"/>
    <n v="15"/>
    <n v="0"/>
    <n v="0"/>
    <x v="539"/>
    <n v="90000"/>
    <n v="96.26"/>
    <n v="63000"/>
    <n v="27000"/>
    <n v="28.88"/>
    <n v="0"/>
    <d v="2023-12-08T00:00:00"/>
  </r>
  <r>
    <s v="B02672"/>
    <s v="P071"/>
    <x v="8"/>
    <s v="Sold Out"/>
    <n v="10"/>
    <n v="10"/>
    <n v="0"/>
    <n v="0"/>
    <x v="91"/>
    <n v="60000"/>
    <n v="64.17"/>
    <n v="42000"/>
    <n v="18000"/>
    <n v="19.25"/>
    <n v="0"/>
    <d v="2024-01-02T00:00:00"/>
  </r>
  <r>
    <s v="B02673"/>
    <s v="P071"/>
    <x v="8"/>
    <s v="Sold Out"/>
    <n v="11"/>
    <n v="11"/>
    <n v="0"/>
    <n v="0"/>
    <x v="868"/>
    <n v="66000"/>
    <n v="70.59"/>
    <n v="46200"/>
    <n v="19800"/>
    <n v="21.18"/>
    <n v="0"/>
    <d v="2024-02-08T00:00:00"/>
  </r>
  <r>
    <s v="B02674"/>
    <s v="P071"/>
    <x v="8"/>
    <s v="Partial Loss"/>
    <n v="9"/>
    <n v="8.6300000000000008"/>
    <n v="0.37"/>
    <n v="4.0999999999999996"/>
    <x v="179"/>
    <n v="51780"/>
    <n v="55.38"/>
    <n v="37800"/>
    <n v="13980"/>
    <n v="14.95"/>
    <n v="1554"/>
    <d v="2024-03-18T00:00:00"/>
  </r>
  <r>
    <s v="B02675"/>
    <s v="P071"/>
    <x v="8"/>
    <s v="Sold Out"/>
    <n v="11"/>
    <n v="11"/>
    <n v="0"/>
    <n v="0"/>
    <x v="163"/>
    <n v="66000"/>
    <n v="70.59"/>
    <n v="46200"/>
    <n v="19800"/>
    <n v="21.18"/>
    <n v="0"/>
    <d v="2024-04-17T00:00:00"/>
  </r>
  <r>
    <s v="B02676"/>
    <s v="P071"/>
    <x v="8"/>
    <s v="Partial Loss"/>
    <n v="11"/>
    <n v="10.57"/>
    <n v="0.43"/>
    <n v="3.9"/>
    <x v="58"/>
    <n v="63420"/>
    <n v="67.83"/>
    <n v="46200"/>
    <n v="17220"/>
    <n v="18.420000000000002"/>
    <n v="1806"/>
    <d v="2024-05-20T00:00:00"/>
  </r>
  <r>
    <s v="B02677"/>
    <s v="P071"/>
    <x v="8"/>
    <s v="Partial Loss"/>
    <n v="11"/>
    <n v="10.42"/>
    <n v="0.57999999999999996"/>
    <n v="5.3"/>
    <x v="284"/>
    <n v="62520"/>
    <n v="66.87"/>
    <n v="46200"/>
    <n v="16320"/>
    <n v="17.45"/>
    <n v="2436"/>
    <d v="2024-06-20T00:00:00"/>
  </r>
  <r>
    <s v="B02678"/>
    <s v="P071"/>
    <x v="8"/>
    <s v="Sold Out"/>
    <n v="11"/>
    <n v="11"/>
    <n v="0"/>
    <n v="0"/>
    <x v="785"/>
    <n v="66000"/>
    <n v="70.59"/>
    <n v="46200"/>
    <n v="19800"/>
    <n v="21.18"/>
    <n v="0"/>
    <d v="2024-07-28T00:00:00"/>
  </r>
  <r>
    <s v="B02679"/>
    <s v="P071"/>
    <x v="8"/>
    <s v="Partial Loss"/>
    <n v="10"/>
    <n v="9.56"/>
    <n v="0.44"/>
    <n v="4.4000000000000004"/>
    <x v="656"/>
    <n v="57360"/>
    <n v="61.35"/>
    <n v="42000"/>
    <n v="15360"/>
    <n v="16.43"/>
    <n v="1848"/>
    <d v="2024-08-24T00:00:00"/>
  </r>
  <r>
    <s v="B02680"/>
    <s v="P071"/>
    <x v="8"/>
    <s v="Sold Out"/>
    <n v="10"/>
    <n v="10"/>
    <n v="0"/>
    <n v="0"/>
    <x v="45"/>
    <n v="60000"/>
    <n v="64.17"/>
    <n v="42000"/>
    <n v="18000"/>
    <n v="19.25"/>
    <n v="0"/>
    <d v="2024-10-02T00:00:00"/>
  </r>
  <r>
    <s v="B02681"/>
    <s v="P071"/>
    <x v="8"/>
    <s v="Sold Out"/>
    <n v="9"/>
    <n v="9"/>
    <n v="0"/>
    <n v="0"/>
    <x v="330"/>
    <n v="54000"/>
    <n v="57.75"/>
    <n v="37800"/>
    <n v="16200"/>
    <n v="17.329999999999998"/>
    <n v="0"/>
    <d v="2024-11-09T00:00:00"/>
  </r>
  <r>
    <s v="B02682"/>
    <s v="P071"/>
    <x v="8"/>
    <s v="Sold Out"/>
    <n v="15"/>
    <n v="15"/>
    <n v="0"/>
    <n v="0"/>
    <x v="331"/>
    <n v="90000"/>
    <n v="96.26"/>
    <n v="63000"/>
    <n v="27000"/>
    <n v="28.88"/>
    <n v="0"/>
    <d v="2024-12-01T00:00:00"/>
  </r>
  <r>
    <s v="B02683"/>
    <s v="P071"/>
    <x v="8"/>
    <s v="Sold Out"/>
    <n v="12"/>
    <n v="12"/>
    <n v="0"/>
    <n v="0"/>
    <x v="373"/>
    <n v="72000"/>
    <n v="77.010000000000005"/>
    <n v="50400"/>
    <n v="21600"/>
    <n v="23.1"/>
    <n v="0"/>
    <d v="2024-12-29T00:00:00"/>
  </r>
  <r>
    <s v="B02684"/>
    <s v="P071"/>
    <x v="8"/>
    <s v="Sold Out"/>
    <n v="11"/>
    <n v="11"/>
    <n v="0"/>
    <n v="0"/>
    <x v="234"/>
    <n v="66000"/>
    <n v="70.59"/>
    <n v="46200"/>
    <n v="19800"/>
    <n v="21.18"/>
    <n v="0"/>
    <d v="2025-02-11T00:00:00"/>
  </r>
  <r>
    <s v="B02685"/>
    <s v="P071"/>
    <x v="8"/>
    <s v="Sold Out"/>
    <n v="12"/>
    <n v="12"/>
    <n v="0"/>
    <n v="0"/>
    <x v="411"/>
    <n v="72000"/>
    <n v="77.010000000000005"/>
    <n v="50400"/>
    <n v="21600"/>
    <n v="23.1"/>
    <n v="0"/>
    <d v="2025-03-09T00:00:00"/>
  </r>
  <r>
    <s v="B02686"/>
    <s v="P071"/>
    <x v="8"/>
    <s v="Sold Out"/>
    <n v="11"/>
    <n v="11"/>
    <n v="0"/>
    <n v="0"/>
    <x v="135"/>
    <n v="66000"/>
    <n v="70.59"/>
    <n v="46200"/>
    <n v="19800"/>
    <n v="21.18"/>
    <n v="0"/>
    <d v="2025-04-12T00:00:00"/>
  </r>
  <r>
    <s v="B02687"/>
    <s v="P071"/>
    <x v="8"/>
    <s v="Sold Out"/>
    <n v="10"/>
    <n v="10"/>
    <n v="0"/>
    <n v="0"/>
    <x v="471"/>
    <n v="60000"/>
    <n v="64.17"/>
    <n v="42000"/>
    <n v="18000"/>
    <n v="19.25"/>
    <n v="0"/>
    <d v="2025-05-19T00:00:00"/>
  </r>
  <r>
    <s v="B02688"/>
    <s v="P072"/>
    <x v="8"/>
    <s v="Sold Out"/>
    <n v="9"/>
    <n v="9"/>
    <n v="0"/>
    <n v="0"/>
    <x v="500"/>
    <n v="45000"/>
    <n v="48.13"/>
    <n v="33300"/>
    <n v="11700"/>
    <n v="12.51"/>
    <n v="0"/>
    <d v="2023-07-23T00:00:00"/>
  </r>
  <r>
    <s v="B02689"/>
    <s v="P072"/>
    <x v="8"/>
    <s v="Partial Loss"/>
    <n v="9"/>
    <n v="8.5"/>
    <n v="0.5"/>
    <n v="5.6"/>
    <x v="452"/>
    <n v="42500"/>
    <n v="45.45"/>
    <n v="33300"/>
    <n v="9200"/>
    <n v="9.84"/>
    <n v="1850"/>
    <d v="2023-08-23T00:00:00"/>
  </r>
  <r>
    <s v="B02690"/>
    <s v="P072"/>
    <x v="8"/>
    <s v="Sold Out"/>
    <n v="11"/>
    <n v="11"/>
    <n v="0"/>
    <n v="0"/>
    <x v="535"/>
    <n v="55000"/>
    <n v="58.82"/>
    <n v="40700"/>
    <n v="14300"/>
    <n v="15.29"/>
    <n v="0"/>
    <d v="2023-09-23T00:00:00"/>
  </r>
  <r>
    <s v="B02691"/>
    <s v="P072"/>
    <x v="8"/>
    <s v="Sold Out"/>
    <n v="9"/>
    <n v="9"/>
    <n v="0"/>
    <n v="0"/>
    <x v="593"/>
    <n v="45000"/>
    <n v="48.13"/>
    <n v="33300"/>
    <n v="11700"/>
    <n v="12.51"/>
    <n v="0"/>
    <d v="2023-10-31T00:00:00"/>
  </r>
  <r>
    <s v="B02692"/>
    <s v="P072"/>
    <x v="8"/>
    <s v="Sold Out"/>
    <n v="15"/>
    <n v="15"/>
    <n v="0"/>
    <n v="0"/>
    <x v="155"/>
    <n v="75000"/>
    <n v="80.209999999999994"/>
    <n v="55500"/>
    <n v="19500"/>
    <n v="20.86"/>
    <n v="0"/>
    <d v="2023-12-07T00:00:00"/>
  </r>
  <r>
    <s v="B02693"/>
    <s v="P072"/>
    <x v="8"/>
    <s v="Sold Out"/>
    <n v="11"/>
    <n v="11"/>
    <n v="0"/>
    <n v="0"/>
    <x v="823"/>
    <n v="55000"/>
    <n v="58.82"/>
    <n v="40700"/>
    <n v="14300"/>
    <n v="15.29"/>
    <n v="0"/>
    <d v="2024-01-11T00:00:00"/>
  </r>
  <r>
    <s v="B02694"/>
    <s v="P072"/>
    <x v="8"/>
    <s v="Partial Loss"/>
    <n v="10"/>
    <n v="9.99"/>
    <n v="0.01"/>
    <n v="0.1"/>
    <x v="520"/>
    <n v="49950"/>
    <n v="53.42"/>
    <n v="37000"/>
    <n v="12950"/>
    <n v="13.85"/>
    <n v="37"/>
    <d v="2024-02-24T00:00:00"/>
  </r>
  <r>
    <s v="B02695"/>
    <s v="P072"/>
    <x v="8"/>
    <s v="Sold Out"/>
    <n v="9"/>
    <n v="9"/>
    <n v="0"/>
    <n v="0"/>
    <x v="735"/>
    <n v="45000"/>
    <n v="48.13"/>
    <n v="33300"/>
    <n v="11700"/>
    <n v="12.51"/>
    <n v="0"/>
    <d v="2024-03-26T00:00:00"/>
  </r>
  <r>
    <s v="B02696"/>
    <s v="P072"/>
    <x v="8"/>
    <s v="Sold Out"/>
    <n v="9"/>
    <n v="9"/>
    <n v="0"/>
    <n v="0"/>
    <x v="98"/>
    <n v="45000"/>
    <n v="48.13"/>
    <n v="33300"/>
    <n v="11700"/>
    <n v="12.51"/>
    <n v="0"/>
    <d v="2024-05-05T00:00:00"/>
  </r>
  <r>
    <s v="B02697"/>
    <s v="P072"/>
    <x v="8"/>
    <s v="Partial Loss"/>
    <n v="9"/>
    <n v="8.65"/>
    <n v="0.35"/>
    <n v="3.9"/>
    <x v="581"/>
    <n v="43250"/>
    <n v="46.26"/>
    <n v="33300"/>
    <n v="9950"/>
    <n v="10.64"/>
    <n v="1295"/>
    <d v="2024-06-13T00:00:00"/>
  </r>
  <r>
    <s v="B02698"/>
    <s v="P072"/>
    <x v="8"/>
    <s v="Sold Out"/>
    <n v="10"/>
    <n v="10"/>
    <n v="0"/>
    <n v="0"/>
    <x v="602"/>
    <n v="50000"/>
    <n v="53.48"/>
    <n v="37000"/>
    <n v="13000"/>
    <n v="13.9"/>
    <n v="0"/>
    <d v="2024-07-25T00:00:00"/>
  </r>
  <r>
    <s v="B02699"/>
    <s v="P072"/>
    <x v="8"/>
    <s v="Partial Loss"/>
    <n v="11"/>
    <n v="10.43"/>
    <n v="0.56999999999999995"/>
    <n v="5.2"/>
    <x v="240"/>
    <n v="52150"/>
    <n v="55.78"/>
    <n v="40700"/>
    <n v="11450"/>
    <n v="12.25"/>
    <n v="2109"/>
    <d v="2024-08-27T00:00:00"/>
  </r>
  <r>
    <s v="B02700"/>
    <s v="P072"/>
    <x v="8"/>
    <s v="Sold Out"/>
    <n v="11"/>
    <n v="11"/>
    <n v="0"/>
    <n v="0"/>
    <x v="578"/>
    <n v="55000"/>
    <n v="58.82"/>
    <n v="40700"/>
    <n v="14300"/>
    <n v="15.29"/>
    <n v="0"/>
    <d v="2024-09-28T00:00:00"/>
  </r>
  <r>
    <s v="B02701"/>
    <s v="P072"/>
    <x v="8"/>
    <s v="Partial Loss"/>
    <n v="10"/>
    <n v="9.43"/>
    <n v="0.56999999999999995"/>
    <n v="5.7"/>
    <x v="496"/>
    <n v="47150"/>
    <n v="50.43"/>
    <n v="37000"/>
    <n v="10150"/>
    <n v="10.86"/>
    <n v="2109"/>
    <d v="2024-11-06T00:00:00"/>
  </r>
  <r>
    <s v="B02702"/>
    <s v="P072"/>
    <x v="8"/>
    <s v="Sold Out"/>
    <n v="12"/>
    <n v="12"/>
    <n v="0"/>
    <n v="0"/>
    <x v="407"/>
    <n v="60000"/>
    <n v="64.17"/>
    <n v="44400"/>
    <n v="15600"/>
    <n v="16.68"/>
    <n v="0"/>
    <d v="2024-12-21T00:00:00"/>
  </r>
  <r>
    <s v="B02703"/>
    <s v="P072"/>
    <x v="8"/>
    <s v="Sold Out"/>
    <n v="9"/>
    <n v="9"/>
    <n v="0"/>
    <n v="0"/>
    <x v="580"/>
    <n v="45000"/>
    <n v="48.13"/>
    <n v="33300"/>
    <n v="11700"/>
    <n v="12.51"/>
    <n v="0"/>
    <d v="2025-01-13T00:00:00"/>
  </r>
  <r>
    <s v="B02704"/>
    <s v="P072"/>
    <x v="8"/>
    <s v="Partial Loss"/>
    <n v="11"/>
    <n v="10.53"/>
    <n v="0.47"/>
    <n v="4.3"/>
    <x v="839"/>
    <n v="52650"/>
    <n v="56.31"/>
    <n v="40700"/>
    <n v="11950"/>
    <n v="12.78"/>
    <n v="1739"/>
    <d v="2025-02-15T00:00:00"/>
  </r>
  <r>
    <s v="B02705"/>
    <s v="P072"/>
    <x v="8"/>
    <s v="Partial Loss"/>
    <n v="10"/>
    <n v="9.23"/>
    <n v="0.77"/>
    <n v="7.7"/>
    <x v="869"/>
    <n v="46150"/>
    <n v="49.36"/>
    <n v="37000"/>
    <n v="9150"/>
    <n v="9.7899999999999991"/>
    <n v="2849"/>
    <d v="2025-03-18T00:00:00"/>
  </r>
  <r>
    <s v="B02706"/>
    <s v="P072"/>
    <x v="8"/>
    <s v="Sold Out"/>
    <n v="11"/>
    <n v="11"/>
    <n v="0"/>
    <n v="0"/>
    <x v="527"/>
    <n v="55000"/>
    <n v="58.82"/>
    <n v="40700"/>
    <n v="14300"/>
    <n v="15.29"/>
    <n v="0"/>
    <d v="2025-04-27T00:00:00"/>
  </r>
  <r>
    <s v="B02707"/>
    <s v="P072"/>
    <x v="8"/>
    <s v="Partial Loss"/>
    <n v="10"/>
    <n v="9.4600000000000009"/>
    <n v="0.54"/>
    <n v="5.4"/>
    <x v="870"/>
    <n v="47300"/>
    <n v="50.59"/>
    <n v="37000"/>
    <n v="10300"/>
    <n v="11.02"/>
    <n v="1998.0000000000002"/>
    <d v="2025-06-04T00:00:00"/>
  </r>
  <r>
    <s v="B02708"/>
    <s v="P073"/>
    <x v="8"/>
    <s v="Sold Out"/>
    <n v="10"/>
    <n v="10"/>
    <n v="0"/>
    <n v="0"/>
    <x v="500"/>
    <n v="35000"/>
    <n v="37.43"/>
    <n v="25500"/>
    <n v="9500"/>
    <n v="10.16"/>
    <n v="0"/>
    <d v="2023-07-16T00:00:00"/>
  </r>
  <r>
    <s v="B02709"/>
    <s v="P073"/>
    <x v="8"/>
    <s v="Partial Loss"/>
    <n v="10"/>
    <n v="9.56"/>
    <n v="0.44"/>
    <n v="4.4000000000000004"/>
    <x v="311"/>
    <n v="33460"/>
    <n v="35.79"/>
    <n v="25500"/>
    <n v="7960"/>
    <n v="8.51"/>
    <n v="1122"/>
    <d v="2023-08-17T00:00:00"/>
  </r>
  <r>
    <s v="B02710"/>
    <s v="P073"/>
    <x v="8"/>
    <s v="Sold Out"/>
    <n v="14"/>
    <n v="14"/>
    <n v="0"/>
    <n v="0"/>
    <x v="445"/>
    <n v="49000"/>
    <n v="52.41"/>
    <n v="35700"/>
    <n v="13300"/>
    <n v="14.22"/>
    <n v="0"/>
    <d v="2023-09-13T00:00:00"/>
  </r>
  <r>
    <s v="B02711"/>
    <s v="P073"/>
    <x v="8"/>
    <s v="Partial Loss"/>
    <n v="11"/>
    <n v="10.43"/>
    <n v="0.56999999999999995"/>
    <n v="5.2"/>
    <x v="455"/>
    <n v="36505"/>
    <n v="39.04"/>
    <n v="28050"/>
    <n v="8455"/>
    <n v="9.0399999999999991"/>
    <n v="1453.4999999999998"/>
    <d v="2023-10-22T00:00:00"/>
  </r>
  <r>
    <s v="B02712"/>
    <s v="P073"/>
    <x v="8"/>
    <s v="Sold Out"/>
    <n v="10"/>
    <n v="10"/>
    <n v="0"/>
    <n v="0"/>
    <x v="594"/>
    <n v="35000"/>
    <n v="37.43"/>
    <n v="25500"/>
    <n v="9500"/>
    <n v="10.16"/>
    <n v="0"/>
    <d v="2023-11-26T00:00:00"/>
  </r>
  <r>
    <s v="B02713"/>
    <s v="P073"/>
    <x v="8"/>
    <s v="Sold Out"/>
    <n v="10"/>
    <n v="10"/>
    <n v="0"/>
    <n v="0"/>
    <x v="541"/>
    <n v="35000"/>
    <n v="37.43"/>
    <n v="25500"/>
    <n v="9500"/>
    <n v="10.16"/>
    <n v="0"/>
    <d v="2024-01-05T00:00:00"/>
  </r>
  <r>
    <s v="B02714"/>
    <s v="P073"/>
    <x v="8"/>
    <s v="Sold Out"/>
    <n v="9"/>
    <n v="9"/>
    <n v="0"/>
    <n v="0"/>
    <x v="393"/>
    <n v="31500"/>
    <n v="33.69"/>
    <n v="22950"/>
    <n v="8550"/>
    <n v="9.14"/>
    <n v="0"/>
    <d v="2024-02-21T00:00:00"/>
  </r>
  <r>
    <s v="B02715"/>
    <s v="P073"/>
    <x v="8"/>
    <s v="Sold Out"/>
    <n v="10"/>
    <n v="10"/>
    <n v="0"/>
    <n v="0"/>
    <x v="621"/>
    <n v="35000"/>
    <n v="37.43"/>
    <n v="25500"/>
    <n v="9500"/>
    <n v="10.16"/>
    <n v="0"/>
    <d v="2024-03-21T00:00:00"/>
  </r>
  <r>
    <s v="B02716"/>
    <s v="P073"/>
    <x v="8"/>
    <s v="Sold Out"/>
    <n v="9"/>
    <n v="9"/>
    <n v="0"/>
    <n v="0"/>
    <x v="653"/>
    <n v="31500"/>
    <n v="33.69"/>
    <n v="22950"/>
    <n v="8550"/>
    <n v="9.14"/>
    <n v="0"/>
    <d v="2024-04-23T00:00:00"/>
  </r>
  <r>
    <s v="B02717"/>
    <s v="P073"/>
    <x v="8"/>
    <s v="Partial Loss"/>
    <n v="11"/>
    <n v="10.44"/>
    <n v="0.56000000000000005"/>
    <n v="5.0999999999999996"/>
    <x v="125"/>
    <n v="36540"/>
    <n v="39.08"/>
    <n v="28050"/>
    <n v="8490"/>
    <n v="9.08"/>
    <n v="1428.0000000000002"/>
    <d v="2024-05-24T00:00:00"/>
  </r>
  <r>
    <s v="B02718"/>
    <s v="P073"/>
    <x v="8"/>
    <s v="Partial Loss"/>
    <n v="9"/>
    <n v="8.36"/>
    <n v="0.64"/>
    <n v="7.1"/>
    <x v="285"/>
    <n v="29260"/>
    <n v="31.29"/>
    <n v="22950"/>
    <n v="6310"/>
    <n v="6.75"/>
    <n v="1632"/>
    <d v="2024-06-29T00:00:00"/>
  </r>
  <r>
    <s v="B02719"/>
    <s v="P073"/>
    <x v="8"/>
    <s v="Sold Out"/>
    <n v="9"/>
    <n v="9"/>
    <n v="0"/>
    <n v="0"/>
    <x v="174"/>
    <n v="31500"/>
    <n v="33.69"/>
    <n v="22950"/>
    <n v="8550"/>
    <n v="9.14"/>
    <n v="0"/>
    <d v="2024-07-26T00:00:00"/>
  </r>
  <r>
    <s v="B02720"/>
    <s v="P073"/>
    <x v="8"/>
    <s v="Partial Loss"/>
    <n v="10"/>
    <n v="9.44"/>
    <n v="0.56000000000000005"/>
    <n v="5.6"/>
    <x v="68"/>
    <n v="33040"/>
    <n v="35.340000000000003"/>
    <n v="25500"/>
    <n v="7540"/>
    <n v="8.06"/>
    <n v="1428.0000000000002"/>
    <d v="2024-08-28T00:00:00"/>
  </r>
  <r>
    <s v="B02721"/>
    <s v="P073"/>
    <x v="8"/>
    <s v="Partial Loss"/>
    <n v="9"/>
    <n v="8.42"/>
    <n v="0.57999999999999996"/>
    <n v="6.5"/>
    <x v="192"/>
    <n v="29470"/>
    <n v="31.52"/>
    <n v="22950"/>
    <n v="6520"/>
    <n v="6.97"/>
    <n v="1479"/>
    <d v="2024-10-07T00:00:00"/>
  </r>
  <r>
    <s v="B02722"/>
    <s v="P073"/>
    <x v="8"/>
    <s v="Partial Loss"/>
    <n v="11"/>
    <n v="9.9"/>
    <n v="1.1000000000000001"/>
    <n v="10"/>
    <x v="871"/>
    <n v="34650"/>
    <n v="37.06"/>
    <n v="28050"/>
    <n v="6600"/>
    <n v="7.06"/>
    <n v="2805"/>
    <d v="2024-11-19T00:00:00"/>
  </r>
  <r>
    <s v="B02723"/>
    <s v="P073"/>
    <x v="8"/>
    <s v="Sold Out"/>
    <n v="12"/>
    <n v="12"/>
    <n v="0"/>
    <n v="0"/>
    <x v="283"/>
    <n v="42000"/>
    <n v="44.92"/>
    <n v="30600"/>
    <n v="11400"/>
    <n v="12.19"/>
    <n v="0"/>
    <d v="2024-12-26T00:00:00"/>
  </r>
  <r>
    <s v="B02724"/>
    <s v="P073"/>
    <x v="8"/>
    <s v="Sold Out"/>
    <n v="10"/>
    <n v="10"/>
    <n v="0"/>
    <n v="0"/>
    <x v="285"/>
    <n v="35000"/>
    <n v="37.43"/>
    <n v="25500"/>
    <n v="9500"/>
    <n v="10.16"/>
    <n v="0"/>
    <d v="2025-01-31T00:00:00"/>
  </r>
  <r>
    <s v="B02725"/>
    <s v="P073"/>
    <x v="8"/>
    <s v="Sold Out"/>
    <n v="12"/>
    <n v="12"/>
    <n v="0"/>
    <n v="0"/>
    <x v="749"/>
    <n v="42000"/>
    <n v="44.92"/>
    <n v="30600"/>
    <n v="11400"/>
    <n v="12.19"/>
    <n v="0"/>
    <d v="2025-03-10T00:00:00"/>
  </r>
  <r>
    <s v="B02726"/>
    <s v="P073"/>
    <x v="8"/>
    <s v="Sold Out"/>
    <n v="11"/>
    <n v="11"/>
    <n v="0"/>
    <n v="0"/>
    <x v="238"/>
    <n v="38500"/>
    <n v="41.18"/>
    <n v="28050"/>
    <n v="10450"/>
    <n v="11.18"/>
    <n v="0"/>
    <d v="2025-04-12T00:00:00"/>
  </r>
  <r>
    <s v="B02727"/>
    <s v="P073"/>
    <x v="8"/>
    <s v="Sold Out"/>
    <n v="11"/>
    <n v="11"/>
    <n v="0"/>
    <n v="0"/>
    <x v="661"/>
    <n v="38500"/>
    <n v="41.18"/>
    <n v="28050"/>
    <n v="10450"/>
    <n v="11.18"/>
    <n v="0"/>
    <d v="2025-05-11T00:00:00"/>
  </r>
  <r>
    <s v="B02728"/>
    <s v="P073"/>
    <x v="8"/>
    <s v="Partial Loss"/>
    <n v="12"/>
    <n v="11.4"/>
    <n v="0.6"/>
    <n v="5"/>
    <x v="631"/>
    <n v="39900"/>
    <n v="42.67"/>
    <n v="30600"/>
    <n v="9300"/>
    <n v="9.9499999999999993"/>
    <n v="1530"/>
    <d v="2025-06-18T00:00:00"/>
  </r>
  <r>
    <s v="B02729"/>
    <s v="P074"/>
    <x v="8"/>
    <s v="Sold Out"/>
    <n v="11"/>
    <n v="11"/>
    <n v="0"/>
    <n v="0"/>
    <x v="347"/>
    <n v="49500"/>
    <n v="52.94"/>
    <n v="36300"/>
    <n v="13200"/>
    <n v="14.12"/>
    <n v="0"/>
    <d v="2023-07-29T00:00:00"/>
  </r>
  <r>
    <s v="B02730"/>
    <s v="P074"/>
    <x v="8"/>
    <s v="Sold Out"/>
    <n v="13"/>
    <n v="13"/>
    <n v="0"/>
    <n v="0"/>
    <x v="84"/>
    <n v="58500"/>
    <n v="62.57"/>
    <n v="42900"/>
    <n v="15600"/>
    <n v="16.68"/>
    <n v="0"/>
    <d v="2023-09-03T00:00:00"/>
  </r>
  <r>
    <s v="B02731"/>
    <s v="P074"/>
    <x v="8"/>
    <s v="Sold Out"/>
    <n v="11"/>
    <n v="11"/>
    <n v="0"/>
    <n v="0"/>
    <x v="569"/>
    <n v="49500"/>
    <n v="52.94"/>
    <n v="36300"/>
    <n v="13200"/>
    <n v="14.12"/>
    <n v="0"/>
    <d v="2023-10-03T00:00:00"/>
  </r>
  <r>
    <s v="B02732"/>
    <s v="P074"/>
    <x v="8"/>
    <s v="Partial Loss"/>
    <n v="10"/>
    <n v="9.52"/>
    <n v="0.48"/>
    <n v="4.8"/>
    <x v="689"/>
    <n v="42840"/>
    <n v="45.82"/>
    <n v="33000"/>
    <n v="9840"/>
    <n v="10.52"/>
    <n v="1584"/>
    <d v="2023-11-08T00:00:00"/>
  </r>
  <r>
    <s v="B02733"/>
    <s v="P074"/>
    <x v="8"/>
    <s v="Partial Loss"/>
    <n v="13"/>
    <n v="11.92"/>
    <n v="1.08"/>
    <n v="8.3000000000000007"/>
    <x v="321"/>
    <n v="53640"/>
    <n v="57.37"/>
    <n v="42900"/>
    <n v="10740"/>
    <n v="11.49"/>
    <n v="3564.0000000000005"/>
    <d v="2023-12-19T00:00:00"/>
  </r>
  <r>
    <s v="B02734"/>
    <s v="P074"/>
    <x v="8"/>
    <s v="Partial Loss"/>
    <n v="11"/>
    <n v="10.56"/>
    <n v="0.44"/>
    <n v="4"/>
    <x v="577"/>
    <n v="47520"/>
    <n v="50.82"/>
    <n v="36300"/>
    <n v="11220"/>
    <n v="12"/>
    <n v="1452"/>
    <d v="2024-01-17T00:00:00"/>
  </r>
  <r>
    <s v="B02735"/>
    <s v="P074"/>
    <x v="8"/>
    <s v="Sold Out"/>
    <n v="10"/>
    <n v="10"/>
    <n v="0"/>
    <n v="0"/>
    <x v="573"/>
    <n v="45000"/>
    <n v="48.13"/>
    <n v="33000"/>
    <n v="12000"/>
    <n v="12.83"/>
    <n v="0"/>
    <d v="2024-02-29T00:00:00"/>
  </r>
  <r>
    <s v="B02736"/>
    <s v="P074"/>
    <x v="8"/>
    <s v="Sold Out"/>
    <n v="11"/>
    <n v="11"/>
    <n v="0"/>
    <n v="0"/>
    <x v="831"/>
    <n v="49500"/>
    <n v="52.94"/>
    <n v="36300"/>
    <n v="13200"/>
    <n v="14.12"/>
    <n v="0"/>
    <d v="2024-03-25T00:00:00"/>
  </r>
  <r>
    <s v="B02737"/>
    <s v="P074"/>
    <x v="8"/>
    <s v="Partial Loss"/>
    <n v="11"/>
    <n v="10.25"/>
    <n v="0.75"/>
    <n v="6.8"/>
    <x v="56"/>
    <n v="46125"/>
    <n v="49.33"/>
    <n v="36300"/>
    <n v="9825"/>
    <n v="10.51"/>
    <n v="2475"/>
    <d v="2024-05-04T00:00:00"/>
  </r>
  <r>
    <s v="B02738"/>
    <s v="P074"/>
    <x v="8"/>
    <s v="Sold Out"/>
    <n v="9"/>
    <n v="9"/>
    <n v="0"/>
    <n v="0"/>
    <x v="219"/>
    <n v="40500"/>
    <n v="43.32"/>
    <n v="29700"/>
    <n v="10800"/>
    <n v="11.55"/>
    <n v="0"/>
    <d v="2024-06-13T00:00:00"/>
  </r>
  <r>
    <s v="B02739"/>
    <s v="P074"/>
    <x v="8"/>
    <s v="Partial Loss"/>
    <n v="11"/>
    <n v="10.29"/>
    <n v="0.72"/>
    <n v="6.5"/>
    <x v="872"/>
    <n v="46305"/>
    <n v="49.52"/>
    <n v="36300"/>
    <n v="10005"/>
    <n v="10.7"/>
    <n v="2376"/>
    <d v="2024-07-18T00:00:00"/>
  </r>
  <r>
    <s v="B02740"/>
    <s v="P074"/>
    <x v="8"/>
    <s v="Sold Out"/>
    <n v="10"/>
    <n v="10"/>
    <n v="0"/>
    <n v="0"/>
    <x v="328"/>
    <n v="45000"/>
    <n v="48.13"/>
    <n v="34500"/>
    <n v="10500"/>
    <n v="11.23"/>
    <n v="0"/>
    <d v="2024-08-24T00:00:00"/>
  </r>
  <r>
    <s v="B02741"/>
    <s v="P074"/>
    <x v="8"/>
    <s v="Sold Out"/>
    <n v="14"/>
    <n v="14"/>
    <n v="0"/>
    <n v="0"/>
    <x v="400"/>
    <n v="63000"/>
    <n v="67.38"/>
    <n v="46200"/>
    <n v="16800"/>
    <n v="17.97"/>
    <n v="0"/>
    <d v="2024-09-22T00:00:00"/>
  </r>
  <r>
    <s v="B02742"/>
    <s v="P074"/>
    <x v="8"/>
    <s v="Partial Loss"/>
    <n v="11"/>
    <n v="10.63"/>
    <n v="0.37"/>
    <n v="3.4"/>
    <x v="70"/>
    <n v="47835"/>
    <n v="51.16"/>
    <n v="36300"/>
    <n v="11535"/>
    <n v="12.34"/>
    <n v="1221"/>
    <d v="2024-10-19T00:00:00"/>
  </r>
  <r>
    <s v="B02743"/>
    <s v="P074"/>
    <x v="8"/>
    <s v="Sold Out"/>
    <n v="11"/>
    <n v="11"/>
    <n v="0"/>
    <n v="0"/>
    <x v="122"/>
    <n v="49500"/>
    <n v="52.94"/>
    <n v="37950"/>
    <n v="11550"/>
    <n v="12.35"/>
    <n v="0"/>
    <d v="2024-11-20T00:00:00"/>
  </r>
  <r>
    <s v="B02744"/>
    <s v="P074"/>
    <x v="8"/>
    <s v="Sold Out"/>
    <n v="14"/>
    <n v="14"/>
    <n v="0"/>
    <n v="0"/>
    <x v="684"/>
    <n v="63000"/>
    <n v="67.38"/>
    <n v="46200"/>
    <n v="16800"/>
    <n v="17.97"/>
    <n v="0"/>
    <d v="2024-12-22T00:00:00"/>
  </r>
  <r>
    <s v="B02745"/>
    <s v="P074"/>
    <x v="8"/>
    <s v="Partial Loss"/>
    <n v="10"/>
    <n v="9.41"/>
    <n v="0.59"/>
    <n v="5.9"/>
    <x v="836"/>
    <n v="42345"/>
    <n v="45.29"/>
    <n v="33000"/>
    <n v="9345"/>
    <n v="9.99"/>
    <n v="1947"/>
    <d v="2025-01-26T00:00:00"/>
  </r>
  <r>
    <s v="B02746"/>
    <s v="P074"/>
    <x v="8"/>
    <s v="Partial Loss"/>
    <n v="10"/>
    <n v="9.69"/>
    <n v="0.31"/>
    <n v="3.1"/>
    <x v="712"/>
    <n v="43605"/>
    <n v="46.64"/>
    <n v="33000"/>
    <n v="10605"/>
    <n v="11.34"/>
    <n v="1023"/>
    <d v="2025-02-16T00:00:00"/>
  </r>
  <r>
    <s v="B02747"/>
    <s v="P074"/>
    <x v="8"/>
    <s v="Sold Out"/>
    <n v="10"/>
    <n v="10"/>
    <n v="0"/>
    <n v="0"/>
    <x v="411"/>
    <n v="45000"/>
    <n v="48.13"/>
    <n v="33000"/>
    <n v="12000"/>
    <n v="12.83"/>
    <n v="0"/>
    <d v="2025-03-20T00:00:00"/>
  </r>
  <r>
    <s v="B02748"/>
    <s v="P074"/>
    <x v="8"/>
    <s v="Sold Out"/>
    <n v="10"/>
    <n v="10"/>
    <n v="0"/>
    <n v="0"/>
    <x v="659"/>
    <n v="45000"/>
    <n v="48.13"/>
    <n v="33000"/>
    <n v="12000"/>
    <n v="12.83"/>
    <n v="0"/>
    <d v="2025-04-19T00:00:00"/>
  </r>
  <r>
    <s v="B02749"/>
    <s v="P074"/>
    <x v="8"/>
    <s v="Partial Loss"/>
    <n v="10"/>
    <n v="9.39"/>
    <n v="0.61"/>
    <n v="6.1"/>
    <x v="873"/>
    <n v="42255"/>
    <n v="45.19"/>
    <n v="33000"/>
    <n v="9255"/>
    <n v="9.9"/>
    <n v="2013"/>
    <d v="2025-05-31T00:00:00"/>
  </r>
  <r>
    <s v="B02750"/>
    <s v="P074"/>
    <x v="8"/>
    <s v="Partial Loss"/>
    <n v="10"/>
    <n v="9.2799999999999994"/>
    <n v="0.72"/>
    <n v="7.2"/>
    <x v="874"/>
    <n v="41760"/>
    <n v="44.66"/>
    <n v="33000"/>
    <n v="8760"/>
    <n v="9.3699999999999992"/>
    <n v="2376"/>
    <d v="2025-06-30T00:00:00"/>
  </r>
  <r>
    <s v="B02751"/>
    <s v="P075"/>
    <x v="9"/>
    <s v="Sold Out"/>
    <n v="44"/>
    <n v="44"/>
    <n v="0"/>
    <n v="0"/>
    <x v="299"/>
    <n v="44000"/>
    <n v="47.06"/>
    <n v="30800"/>
    <n v="13200"/>
    <n v="14.12"/>
    <n v="0"/>
    <d v="2023-07-09T00:00:00"/>
  </r>
  <r>
    <s v="B02752"/>
    <s v="P075"/>
    <x v="9"/>
    <s v="Sold Out"/>
    <n v="37"/>
    <n v="37"/>
    <n v="0"/>
    <n v="0"/>
    <x v="6"/>
    <n v="37000"/>
    <n v="39.57"/>
    <n v="25900"/>
    <n v="11100"/>
    <n v="11.87"/>
    <n v="0"/>
    <d v="2023-08-11T00:00:00"/>
  </r>
  <r>
    <s v="B02753"/>
    <s v="P075"/>
    <x v="9"/>
    <s v="Sold Out"/>
    <n v="50"/>
    <n v="50"/>
    <n v="0"/>
    <n v="0"/>
    <x v="567"/>
    <n v="50000"/>
    <n v="53.48"/>
    <n v="35000"/>
    <n v="15000"/>
    <n v="16.04"/>
    <n v="0"/>
    <d v="2023-09-11T00:00:00"/>
  </r>
  <r>
    <s v="B02754"/>
    <s v="P075"/>
    <x v="9"/>
    <s v="Partial Loss"/>
    <n v="36"/>
    <n v="34.99"/>
    <n v="1.01"/>
    <n v="2.8"/>
    <x v="320"/>
    <n v="34990"/>
    <n v="37.42"/>
    <n v="25200"/>
    <n v="9790"/>
    <n v="10.47"/>
    <n v="707"/>
    <d v="2023-10-10T00:00:00"/>
  </r>
  <r>
    <s v="B02755"/>
    <s v="P075"/>
    <x v="9"/>
    <s v="Sold Out"/>
    <n v="35"/>
    <n v="35"/>
    <n v="0"/>
    <n v="0"/>
    <x v="729"/>
    <n v="35000"/>
    <n v="37.43"/>
    <n v="24500"/>
    <n v="10500"/>
    <n v="11.23"/>
    <n v="0"/>
    <d v="2023-11-24T00:00:00"/>
  </r>
  <r>
    <s v="B02756"/>
    <s v="P075"/>
    <x v="9"/>
    <s v="Partial Loss"/>
    <n v="48"/>
    <n v="46.42"/>
    <n v="1.58"/>
    <n v="3.3"/>
    <x v="276"/>
    <n v="46420"/>
    <n v="49.65"/>
    <n v="33600"/>
    <n v="12820"/>
    <n v="13.71"/>
    <n v="1106"/>
    <d v="2023-12-29T00:00:00"/>
  </r>
  <r>
    <s v="B02757"/>
    <s v="P075"/>
    <x v="9"/>
    <s v="Partial Loss"/>
    <n v="42"/>
    <n v="41.03"/>
    <n v="0.97"/>
    <n v="2.2999999999999998"/>
    <x v="404"/>
    <n v="41030"/>
    <n v="43.88"/>
    <n v="29400"/>
    <n v="11630"/>
    <n v="12.44"/>
    <n v="679"/>
    <d v="2024-02-01T00:00:00"/>
  </r>
  <r>
    <s v="B02758"/>
    <s v="P075"/>
    <x v="9"/>
    <s v="Sold Out"/>
    <n v="44"/>
    <n v="44"/>
    <n v="0"/>
    <n v="0"/>
    <x v="546"/>
    <n v="44000"/>
    <n v="47.06"/>
    <n v="30800"/>
    <n v="13200"/>
    <n v="14.12"/>
    <n v="0"/>
    <d v="2024-03-13T00:00:00"/>
  </r>
  <r>
    <s v="B02759"/>
    <s v="P075"/>
    <x v="9"/>
    <s v="Partial Loss"/>
    <n v="34"/>
    <n v="33.39"/>
    <n v="0.61"/>
    <n v="1.8"/>
    <x v="560"/>
    <n v="33390"/>
    <n v="35.71"/>
    <n v="23800"/>
    <n v="9590"/>
    <n v="10.26"/>
    <n v="427"/>
    <d v="2024-04-16T00:00:00"/>
  </r>
  <r>
    <s v="B02760"/>
    <s v="P075"/>
    <x v="9"/>
    <s v="Sold Out"/>
    <n v="41"/>
    <n v="41"/>
    <n v="0"/>
    <n v="0"/>
    <x v="32"/>
    <n v="41000"/>
    <n v="43.85"/>
    <n v="28700"/>
    <n v="12300"/>
    <n v="13.16"/>
    <n v="0"/>
    <d v="2024-05-24T00:00:00"/>
  </r>
  <r>
    <s v="B02761"/>
    <s v="P075"/>
    <x v="9"/>
    <s v="Sold Out"/>
    <n v="36"/>
    <n v="36"/>
    <n v="0"/>
    <n v="0"/>
    <x v="456"/>
    <n v="36000"/>
    <n v="38.5"/>
    <n v="25200"/>
    <n v="10800"/>
    <n v="11.55"/>
    <n v="0"/>
    <d v="2024-07-01T00:00:00"/>
  </r>
  <r>
    <s v="B02762"/>
    <s v="P075"/>
    <x v="9"/>
    <s v="Partial Loss"/>
    <n v="45"/>
    <n v="44.1"/>
    <n v="0.9"/>
    <n v="2"/>
    <x v="378"/>
    <n v="44100"/>
    <n v="47.17"/>
    <n v="31500"/>
    <n v="12600"/>
    <n v="13.48"/>
    <n v="630"/>
    <d v="2024-07-31T00:00:00"/>
  </r>
  <r>
    <s v="B02763"/>
    <s v="P075"/>
    <x v="9"/>
    <s v="Partial Loss"/>
    <n v="45"/>
    <n v="43.2"/>
    <n v="1.8"/>
    <n v="4"/>
    <x v="294"/>
    <n v="43200"/>
    <n v="46.2"/>
    <n v="31500"/>
    <n v="11700"/>
    <n v="12.51"/>
    <n v="1260"/>
    <d v="2024-09-15T00:00:00"/>
  </r>
  <r>
    <s v="B02764"/>
    <s v="P075"/>
    <x v="9"/>
    <s v="Sold Out"/>
    <n v="38"/>
    <n v="38"/>
    <n v="0"/>
    <n v="0"/>
    <x v="403"/>
    <n v="38000"/>
    <n v="40.64"/>
    <n v="26600"/>
    <n v="11400"/>
    <n v="12.19"/>
    <n v="0"/>
    <d v="2024-10-25T00:00:00"/>
  </r>
  <r>
    <s v="B02765"/>
    <s v="P075"/>
    <x v="9"/>
    <s v="Partial Loss"/>
    <n v="40"/>
    <n v="39.92"/>
    <n v="0.08"/>
    <n v="0.2"/>
    <x v="875"/>
    <n v="39920"/>
    <n v="42.7"/>
    <n v="28000"/>
    <n v="11920"/>
    <n v="12.75"/>
    <n v="56"/>
    <d v="2024-11-30T00:00:00"/>
  </r>
  <r>
    <s v="B02766"/>
    <s v="P075"/>
    <x v="9"/>
    <s v="Sold Out"/>
    <n v="45"/>
    <n v="45"/>
    <n v="0"/>
    <n v="0"/>
    <x v="560"/>
    <n v="45000"/>
    <n v="48.13"/>
    <n v="31500"/>
    <n v="13500"/>
    <n v="14.44"/>
    <n v="0"/>
    <d v="2025-01-06T00:00:00"/>
  </r>
  <r>
    <s v="B02767"/>
    <s v="P075"/>
    <x v="9"/>
    <s v="Partial Loss"/>
    <n v="42"/>
    <n v="40.49"/>
    <n v="1.51"/>
    <n v="3.6"/>
    <x v="809"/>
    <n v="40490"/>
    <n v="43.3"/>
    <n v="29400"/>
    <n v="11090"/>
    <n v="11.86"/>
    <n v="1057"/>
    <d v="2025-02-02T00:00:00"/>
  </r>
  <r>
    <s v="B02768"/>
    <s v="P075"/>
    <x v="9"/>
    <s v="Sold Out"/>
    <n v="44"/>
    <n v="44"/>
    <n v="0"/>
    <n v="0"/>
    <x v="435"/>
    <n v="44000"/>
    <n v="47.06"/>
    <n v="30800"/>
    <n v="13200"/>
    <n v="14.12"/>
    <n v="0"/>
    <d v="2025-03-12T00:00:00"/>
  </r>
  <r>
    <s v="B02769"/>
    <s v="P075"/>
    <x v="9"/>
    <s v="Sold Out"/>
    <n v="37"/>
    <n v="37"/>
    <n v="0"/>
    <n v="0"/>
    <x v="136"/>
    <n v="37000"/>
    <n v="39.57"/>
    <n v="25900"/>
    <n v="11100"/>
    <n v="11.87"/>
    <n v="0"/>
    <d v="2025-04-20T00:00:00"/>
  </r>
  <r>
    <s v="B02770"/>
    <s v="P075"/>
    <x v="9"/>
    <s v="Partial Loss"/>
    <n v="39"/>
    <n v="38.409999999999997"/>
    <n v="0.57999999999999996"/>
    <n v="1.5"/>
    <x v="732"/>
    <n v="38410"/>
    <n v="41.08"/>
    <n v="27300"/>
    <n v="11110"/>
    <n v="11.88"/>
    <n v="406"/>
    <d v="2025-05-23T00:00:00"/>
  </r>
  <r>
    <s v="B02771"/>
    <s v="P075"/>
    <x v="9"/>
    <s v="Sold Out"/>
    <n v="39"/>
    <n v="39"/>
    <n v="0"/>
    <n v="0"/>
    <x v="139"/>
    <n v="39000"/>
    <n v="41.71"/>
    <n v="27300"/>
    <n v="11700"/>
    <n v="12.51"/>
    <n v="0"/>
    <d v="2025-06-15T00:00:00"/>
  </r>
  <r>
    <s v="B02772"/>
    <s v="P076"/>
    <x v="9"/>
    <s v="Partial Loss"/>
    <n v="14"/>
    <n v="13.66"/>
    <n v="0.34"/>
    <n v="2.4"/>
    <x v="214"/>
    <n v="47810"/>
    <n v="51.13"/>
    <n v="34300"/>
    <n v="13510"/>
    <n v="14.45"/>
    <n v="833.00000000000011"/>
    <d v="2023-07-07T00:00:00"/>
  </r>
  <r>
    <s v="B02773"/>
    <s v="P076"/>
    <x v="9"/>
    <s v="Partial Loss"/>
    <n v="14"/>
    <n v="13.27"/>
    <n v="0.73"/>
    <n v="5.2"/>
    <x v="486"/>
    <n v="46445"/>
    <n v="49.67"/>
    <n v="34300"/>
    <n v="12145"/>
    <n v="12.99"/>
    <n v="1788.5"/>
    <d v="2023-08-13T00:00:00"/>
  </r>
  <r>
    <s v="B02774"/>
    <s v="P076"/>
    <x v="9"/>
    <s v="Sold Out"/>
    <n v="18"/>
    <n v="18"/>
    <n v="0"/>
    <n v="0"/>
    <x v="253"/>
    <n v="63000"/>
    <n v="67.38"/>
    <n v="44100"/>
    <n v="18900"/>
    <n v="20.21"/>
    <n v="0"/>
    <d v="2023-09-26T00:00:00"/>
  </r>
  <r>
    <s v="B02775"/>
    <s v="P076"/>
    <x v="9"/>
    <s v="Sold Out"/>
    <n v="5"/>
    <n v="5"/>
    <n v="0"/>
    <n v="0"/>
    <x v="255"/>
    <n v="17500"/>
    <n v="18.72"/>
    <n v="12250"/>
    <n v="5250"/>
    <n v="5.61"/>
    <n v="0"/>
    <d v="2023-10-22T00:00:00"/>
  </r>
  <r>
    <s v="B02776"/>
    <s v="P076"/>
    <x v="9"/>
    <s v="Partial Loss"/>
    <n v="5"/>
    <n v="4.82"/>
    <n v="0.18"/>
    <n v="3.6"/>
    <x v="368"/>
    <n v="16870"/>
    <n v="18.04"/>
    <n v="12250"/>
    <n v="4620"/>
    <n v="4.9400000000000004"/>
    <n v="441"/>
    <d v="2023-11-29T00:00:00"/>
  </r>
  <r>
    <s v="B02777"/>
    <s v="P076"/>
    <x v="9"/>
    <s v="Sold Out"/>
    <n v="5"/>
    <n v="5"/>
    <n v="0"/>
    <n v="0"/>
    <x v="450"/>
    <n v="17500"/>
    <n v="18.72"/>
    <n v="12250"/>
    <n v="5250"/>
    <n v="5.61"/>
    <n v="0"/>
    <d v="2024-01-01T00:00:00"/>
  </r>
  <r>
    <s v="B02778"/>
    <s v="P076"/>
    <x v="9"/>
    <s v="Partial Loss"/>
    <n v="4"/>
    <n v="3.87"/>
    <n v="0.13"/>
    <n v="3.2"/>
    <x v="119"/>
    <n v="13545"/>
    <n v="14.49"/>
    <n v="9600"/>
    <n v="3945"/>
    <n v="4.22"/>
    <n v="312"/>
    <d v="2024-02-04T00:00:00"/>
  </r>
  <r>
    <s v="B02779"/>
    <s v="P076"/>
    <x v="9"/>
    <s v="Partial Loss"/>
    <n v="5"/>
    <n v="4.7"/>
    <n v="0.3"/>
    <n v="6.1"/>
    <x v="372"/>
    <n v="16450"/>
    <n v="17.59"/>
    <n v="12250"/>
    <n v="4200"/>
    <n v="4.49"/>
    <n v="735"/>
    <d v="2024-03-14T00:00:00"/>
  </r>
  <r>
    <s v="B02780"/>
    <s v="P076"/>
    <x v="9"/>
    <s v="Partial Loss"/>
    <n v="13"/>
    <n v="12.84"/>
    <n v="0.16"/>
    <n v="1.2"/>
    <x v="284"/>
    <n v="44940"/>
    <n v="48.06"/>
    <n v="31850"/>
    <n v="13090"/>
    <n v="14"/>
    <n v="392"/>
    <d v="2024-04-21T00:00:00"/>
  </r>
  <r>
    <s v="B02781"/>
    <s v="P076"/>
    <x v="9"/>
    <s v="Sold Out"/>
    <n v="12"/>
    <n v="12"/>
    <n v="0"/>
    <n v="0"/>
    <x v="396"/>
    <n v="42000"/>
    <n v="44.92"/>
    <n v="29400"/>
    <n v="12600"/>
    <n v="13.48"/>
    <n v="0"/>
    <d v="2024-05-29T00:00:00"/>
  </r>
  <r>
    <s v="B02782"/>
    <s v="P076"/>
    <x v="9"/>
    <s v="Sold Out"/>
    <n v="12"/>
    <n v="12"/>
    <n v="0"/>
    <n v="0"/>
    <x v="398"/>
    <n v="42000"/>
    <n v="44.92"/>
    <n v="29400"/>
    <n v="12600"/>
    <n v="13.48"/>
    <n v="0"/>
    <d v="2024-07-02T00:00:00"/>
  </r>
  <r>
    <s v="B02783"/>
    <s v="P076"/>
    <x v="9"/>
    <s v="Sold Out"/>
    <n v="14"/>
    <n v="14"/>
    <n v="0"/>
    <n v="0"/>
    <x v="553"/>
    <n v="49000"/>
    <n v="52.41"/>
    <n v="33600"/>
    <n v="15400"/>
    <n v="16.47"/>
    <n v="0"/>
    <d v="2024-08-08T00:00:00"/>
  </r>
  <r>
    <s v="B02784"/>
    <s v="P076"/>
    <x v="9"/>
    <s v="Sold Out"/>
    <n v="16"/>
    <n v="16"/>
    <n v="0"/>
    <n v="0"/>
    <x v="175"/>
    <n v="56000"/>
    <n v="59.89"/>
    <n v="39200"/>
    <n v="16800"/>
    <n v="17.97"/>
    <n v="0"/>
    <d v="2024-09-13T00:00:00"/>
  </r>
  <r>
    <s v="B02785"/>
    <s v="P076"/>
    <x v="9"/>
    <s v="Sold Out"/>
    <n v="4"/>
    <n v="4"/>
    <n v="0"/>
    <n v="0"/>
    <x v="48"/>
    <n v="14000"/>
    <n v="14.97"/>
    <n v="9800"/>
    <n v="4200"/>
    <n v="4.49"/>
    <n v="0"/>
    <d v="2024-10-16T00:00:00"/>
  </r>
  <r>
    <s v="B02786"/>
    <s v="P076"/>
    <x v="9"/>
    <s v="Sold Out"/>
    <n v="4"/>
    <n v="4"/>
    <n v="0"/>
    <n v="0"/>
    <x v="618"/>
    <n v="14000"/>
    <n v="14.97"/>
    <n v="9600"/>
    <n v="4400"/>
    <n v="4.71"/>
    <n v="0"/>
    <d v="2024-11-25T00:00:00"/>
  </r>
  <r>
    <s v="B02787"/>
    <s v="P076"/>
    <x v="9"/>
    <s v="Partial Loss"/>
    <n v="7"/>
    <n v="6.85"/>
    <n v="0.15"/>
    <n v="2.2000000000000002"/>
    <x v="876"/>
    <n v="23975"/>
    <n v="25.64"/>
    <n v="17150"/>
    <n v="6825"/>
    <n v="7.3"/>
    <n v="367.5"/>
    <d v="2024-12-30T00:00:00"/>
  </r>
  <r>
    <s v="B02788"/>
    <s v="P076"/>
    <x v="9"/>
    <s v="Sold Out"/>
    <n v="5"/>
    <n v="5"/>
    <n v="0"/>
    <n v="0"/>
    <x v="465"/>
    <n v="17500"/>
    <n v="18.72"/>
    <n v="12250"/>
    <n v="5250"/>
    <n v="5.61"/>
    <n v="0"/>
    <d v="2025-02-03T00:00:00"/>
  </r>
  <r>
    <s v="B02789"/>
    <s v="P076"/>
    <x v="9"/>
    <s v="Partial Loss"/>
    <n v="5"/>
    <n v="4.82"/>
    <n v="0.18"/>
    <n v="3.6"/>
    <x v="821"/>
    <n v="16870"/>
    <n v="18.04"/>
    <n v="12250"/>
    <n v="4620"/>
    <n v="4.9400000000000004"/>
    <n v="441"/>
    <d v="2025-03-07T00:00:00"/>
  </r>
  <r>
    <s v="B02790"/>
    <s v="P076"/>
    <x v="9"/>
    <s v="Partial Loss"/>
    <n v="14"/>
    <n v="13.66"/>
    <n v="0.34"/>
    <n v="2.4"/>
    <x v="877"/>
    <n v="47810"/>
    <n v="51.13"/>
    <n v="34300"/>
    <n v="13510"/>
    <n v="14.45"/>
    <n v="833.00000000000011"/>
    <d v="2025-04-11T00:00:00"/>
  </r>
  <r>
    <s v="B02791"/>
    <s v="P076"/>
    <x v="9"/>
    <s v="Sold Out"/>
    <n v="14"/>
    <n v="14"/>
    <n v="0"/>
    <n v="0"/>
    <x v="192"/>
    <n v="49000"/>
    <n v="52.41"/>
    <n v="34300"/>
    <n v="14700"/>
    <n v="15.72"/>
    <n v="0"/>
    <d v="2025-05-12T00:00:00"/>
  </r>
  <r>
    <s v="B02792"/>
    <s v="P076"/>
    <x v="9"/>
    <s v="Sold Out"/>
    <n v="13"/>
    <n v="13"/>
    <n v="0"/>
    <n v="0"/>
    <x v="293"/>
    <n v="45500"/>
    <n v="48.66"/>
    <n v="31200"/>
    <n v="14300"/>
    <n v="15.29"/>
    <n v="0"/>
    <d v="2025-06-11T00:00:00"/>
  </r>
  <r>
    <s v="B02793"/>
    <s v="P077"/>
    <x v="9"/>
    <s v="Partial Loss"/>
    <n v="27"/>
    <n v="25.65"/>
    <n v="1.35"/>
    <n v="5"/>
    <x v="835"/>
    <n v="51300"/>
    <n v="54.87"/>
    <n v="36450"/>
    <n v="14850"/>
    <n v="15.88"/>
    <n v="1822.5000000000002"/>
    <d v="2023-07-14T00:00:00"/>
  </r>
  <r>
    <s v="B02794"/>
    <s v="P077"/>
    <x v="9"/>
    <s v="Partial Loss"/>
    <n v="21"/>
    <n v="20.45"/>
    <n v="0.55000000000000004"/>
    <n v="2.6"/>
    <x v="878"/>
    <n v="40900"/>
    <n v="43.74"/>
    <n v="28350"/>
    <n v="12550"/>
    <n v="13.42"/>
    <n v="742.50000000000011"/>
    <d v="2023-08-16T00:00:00"/>
  </r>
  <r>
    <s v="B02795"/>
    <s v="P077"/>
    <x v="9"/>
    <s v="Partial Loss"/>
    <n v="24"/>
    <n v="22.7"/>
    <n v="1.3"/>
    <n v="5.4"/>
    <x v="487"/>
    <n v="45400"/>
    <n v="48.56"/>
    <n v="32400"/>
    <n v="13000"/>
    <n v="13.9"/>
    <n v="1755"/>
    <d v="2023-10-07T00:00:00"/>
  </r>
  <r>
    <s v="B02796"/>
    <s v="P077"/>
    <x v="9"/>
    <s v="Sold Out"/>
    <n v="24"/>
    <n v="24"/>
    <n v="0"/>
    <n v="0"/>
    <x v="479"/>
    <n v="48000"/>
    <n v="51.34"/>
    <n v="34800"/>
    <n v="13200"/>
    <n v="14.12"/>
    <n v="0"/>
    <d v="2023-11-11T00:00:00"/>
  </r>
  <r>
    <s v="B02797"/>
    <s v="P077"/>
    <x v="9"/>
    <s v="Sold Out"/>
    <n v="35"/>
    <n v="35"/>
    <n v="0"/>
    <n v="0"/>
    <x v="15"/>
    <n v="70000"/>
    <n v="74.87"/>
    <n v="47250"/>
    <n v="22750"/>
    <n v="24.33"/>
    <n v="0"/>
    <d v="2023-12-11T00:00:00"/>
  </r>
  <r>
    <s v="B02798"/>
    <s v="P077"/>
    <x v="9"/>
    <s v="Sold Out"/>
    <n v="26"/>
    <n v="26"/>
    <n v="0"/>
    <n v="0"/>
    <x v="843"/>
    <n v="52000"/>
    <n v="55.61"/>
    <n v="35100"/>
    <n v="16900"/>
    <n v="18.07"/>
    <n v="0"/>
    <d v="2024-01-17T00:00:00"/>
  </r>
  <r>
    <s v="B02799"/>
    <s v="P077"/>
    <x v="9"/>
    <s v="Partial Loss"/>
    <n v="27"/>
    <n v="26.68"/>
    <n v="0.32"/>
    <n v="1.2"/>
    <x v="579"/>
    <n v="53360"/>
    <n v="57.07"/>
    <n v="36450"/>
    <n v="16910"/>
    <n v="18.09"/>
    <n v="432"/>
    <d v="2024-02-28T00:00:00"/>
  </r>
  <r>
    <s v="B02800"/>
    <s v="P077"/>
    <x v="9"/>
    <s v="Sold Out"/>
    <n v="25"/>
    <n v="25"/>
    <n v="0"/>
    <n v="0"/>
    <x v="162"/>
    <n v="50000"/>
    <n v="53.48"/>
    <n v="33750"/>
    <n v="16250"/>
    <n v="17.38"/>
    <n v="0"/>
    <d v="2024-04-09T00:00:00"/>
  </r>
  <r>
    <s v="B02801"/>
    <s v="P077"/>
    <x v="9"/>
    <s v="Partial Loss"/>
    <n v="23"/>
    <n v="21.87"/>
    <n v="1.1299999999999999"/>
    <n v="4.9000000000000004"/>
    <x v="286"/>
    <n v="43740"/>
    <n v="46.78"/>
    <n v="31050"/>
    <n v="12690"/>
    <n v="13.57"/>
    <n v="1525.4999999999998"/>
    <d v="2024-05-09T00:00:00"/>
  </r>
  <r>
    <s v="B02802"/>
    <s v="P077"/>
    <x v="9"/>
    <s v="Sold Out"/>
    <n v="22"/>
    <n v="22"/>
    <n v="0"/>
    <n v="0"/>
    <x v="626"/>
    <n v="44000"/>
    <n v="47.06"/>
    <n v="29700"/>
    <n v="14300"/>
    <n v="15.29"/>
    <n v="0"/>
    <d v="2024-06-16T00:00:00"/>
  </r>
  <r>
    <s v="B02803"/>
    <s v="P077"/>
    <x v="9"/>
    <s v="Partial Loss"/>
    <n v="27"/>
    <n v="26.05"/>
    <n v="0.95"/>
    <n v="3.5"/>
    <x v="723"/>
    <n v="52100"/>
    <n v="55.72"/>
    <n v="36450"/>
    <n v="15650"/>
    <n v="16.739999999999998"/>
    <n v="1282.5"/>
    <d v="2024-07-30T00:00:00"/>
  </r>
  <r>
    <s v="B02804"/>
    <s v="P077"/>
    <x v="9"/>
    <s v="Partial Loss"/>
    <n v="26"/>
    <n v="25.12"/>
    <n v="0.88"/>
    <n v="3.4"/>
    <x v="341"/>
    <n v="50240"/>
    <n v="53.73"/>
    <n v="35100"/>
    <n v="15140"/>
    <n v="16.190000000000001"/>
    <n v="1188"/>
    <d v="2024-08-30T00:00:00"/>
  </r>
  <r>
    <s v="B02805"/>
    <s v="P077"/>
    <x v="9"/>
    <s v="Sold Out"/>
    <n v="22"/>
    <n v="22"/>
    <n v="0"/>
    <n v="0"/>
    <x v="178"/>
    <n v="44000"/>
    <n v="47.06"/>
    <n v="31900"/>
    <n v="12100"/>
    <n v="12.94"/>
    <n v="0"/>
    <d v="2024-10-02T00:00:00"/>
  </r>
  <r>
    <s v="B02806"/>
    <s v="P077"/>
    <x v="9"/>
    <s v="Sold Out"/>
    <n v="21"/>
    <n v="21"/>
    <n v="0"/>
    <n v="0"/>
    <x v="177"/>
    <n v="42000"/>
    <n v="44.92"/>
    <n v="28350"/>
    <n v="13650"/>
    <n v="14.6"/>
    <n v="0"/>
    <d v="2024-11-04T00:00:00"/>
  </r>
  <r>
    <s v="B02807"/>
    <s v="P077"/>
    <x v="9"/>
    <s v="Sold Out"/>
    <n v="31"/>
    <n v="31"/>
    <n v="0"/>
    <n v="0"/>
    <x v="688"/>
    <n v="62000"/>
    <n v="66.31"/>
    <n v="41850"/>
    <n v="20150"/>
    <n v="21.55"/>
    <n v="0"/>
    <d v="2024-12-10T00:00:00"/>
  </r>
  <r>
    <s v="B02808"/>
    <s v="P077"/>
    <x v="9"/>
    <s v="Sold Out"/>
    <n v="27"/>
    <n v="27"/>
    <n v="0"/>
    <n v="0"/>
    <x v="127"/>
    <n v="54000"/>
    <n v="57.75"/>
    <n v="36450"/>
    <n v="17550"/>
    <n v="18.77"/>
    <n v="0"/>
    <d v="2025-01-08T00:00:00"/>
  </r>
  <r>
    <s v="B02809"/>
    <s v="P077"/>
    <x v="9"/>
    <s v="Partial Loss"/>
    <n v="23"/>
    <n v="22.52"/>
    <n v="0.48"/>
    <n v="2.1"/>
    <x v="818"/>
    <n v="45040"/>
    <n v="48.17"/>
    <n v="31050"/>
    <n v="13990"/>
    <n v="14.96"/>
    <n v="648"/>
    <d v="2025-02-10T00:00:00"/>
  </r>
  <r>
    <s v="B02810"/>
    <s v="P077"/>
    <x v="9"/>
    <s v="Sold Out"/>
    <n v="28"/>
    <n v="28"/>
    <n v="0"/>
    <n v="0"/>
    <x v="290"/>
    <n v="56000"/>
    <n v="59.89"/>
    <n v="37800"/>
    <n v="18200"/>
    <n v="19.47"/>
    <n v="0"/>
    <d v="2025-03-20T00:00:00"/>
  </r>
  <r>
    <s v="B02811"/>
    <s v="P077"/>
    <x v="9"/>
    <s v="Partial Loss"/>
    <n v="23"/>
    <n v="21.87"/>
    <n v="1.1299999999999999"/>
    <n v="4.9000000000000004"/>
    <x v="742"/>
    <n v="43740"/>
    <n v="46.78"/>
    <n v="33350"/>
    <n v="10390"/>
    <n v="11.11"/>
    <n v="1638.4999999999998"/>
    <d v="2025-04-18T00:00:00"/>
  </r>
  <r>
    <s v="B02812"/>
    <s v="P077"/>
    <x v="9"/>
    <s v="Partial Loss"/>
    <n v="26"/>
    <n v="24.6"/>
    <n v="1.4"/>
    <n v="5.4"/>
    <x v="732"/>
    <n v="49200"/>
    <n v="52.62"/>
    <n v="35100"/>
    <n v="14100"/>
    <n v="15.08"/>
    <n v="1889.9999999999998"/>
    <d v="2025-05-23T00:00:00"/>
  </r>
  <r>
    <s v="B02813"/>
    <s v="P077"/>
    <x v="9"/>
    <s v="Partial Loss"/>
    <n v="22"/>
    <n v="20.94"/>
    <n v="1.06"/>
    <n v="4.8"/>
    <x v="879"/>
    <n v="41880"/>
    <n v="44.79"/>
    <n v="29700"/>
    <n v="12180"/>
    <n v="13.03"/>
    <n v="1431"/>
    <d v="2025-06-25T00:00:00"/>
  </r>
  <r>
    <s v="B02814"/>
    <s v="P078"/>
    <x v="9"/>
    <s v="Partial Loss"/>
    <n v="45"/>
    <n v="43.02"/>
    <n v="1.98"/>
    <n v="4.4000000000000004"/>
    <x v="360"/>
    <n v="43020"/>
    <n v="46.01"/>
    <n v="31500"/>
    <n v="11520"/>
    <n v="12.32"/>
    <n v="1386"/>
    <d v="2023-07-09T00:00:00"/>
  </r>
  <r>
    <s v="B02815"/>
    <s v="P078"/>
    <x v="9"/>
    <s v="Sold Out"/>
    <n v="45"/>
    <n v="45"/>
    <n v="0"/>
    <n v="0"/>
    <x v="347"/>
    <n v="45000"/>
    <n v="48.13"/>
    <n v="31500"/>
    <n v="13500"/>
    <n v="14.44"/>
    <n v="0"/>
    <d v="2023-08-09T00:00:00"/>
  </r>
  <r>
    <s v="B02816"/>
    <s v="P078"/>
    <x v="9"/>
    <s v="Partial Loss"/>
    <n v="45"/>
    <n v="44.33"/>
    <n v="0.67"/>
    <n v="1.5"/>
    <x v="271"/>
    <n v="44330"/>
    <n v="47.41"/>
    <n v="31500"/>
    <n v="12830"/>
    <n v="13.72"/>
    <n v="469"/>
    <d v="2023-09-04T00:00:00"/>
  </r>
  <r>
    <s v="B02817"/>
    <s v="P078"/>
    <x v="9"/>
    <s v="Partial Loss"/>
    <n v="41"/>
    <n v="39.729999999999997"/>
    <n v="1.27"/>
    <n v="3.1"/>
    <x v="677"/>
    <n v="39730"/>
    <n v="42.49"/>
    <n v="28700"/>
    <n v="11030"/>
    <n v="11.8"/>
    <n v="889"/>
    <d v="2023-10-09T00:00:00"/>
  </r>
  <r>
    <s v="B02818"/>
    <s v="P078"/>
    <x v="9"/>
    <s v="Sold Out"/>
    <n v="44"/>
    <n v="44"/>
    <n v="0"/>
    <n v="0"/>
    <x v="154"/>
    <n v="44000"/>
    <n v="47.06"/>
    <n v="30800"/>
    <n v="13200"/>
    <n v="14.12"/>
    <n v="0"/>
    <d v="2023-11-16T00:00:00"/>
  </r>
  <r>
    <s v="B02819"/>
    <s v="P078"/>
    <x v="9"/>
    <s v="Partial Loss"/>
    <n v="47"/>
    <n v="46.53"/>
    <n v="0.47"/>
    <n v="1"/>
    <x v="111"/>
    <n v="46530"/>
    <n v="49.76"/>
    <n v="32900"/>
    <n v="13630"/>
    <n v="14.58"/>
    <n v="329"/>
    <d v="2023-12-20T00:00:00"/>
  </r>
  <r>
    <s v="B02820"/>
    <s v="P078"/>
    <x v="9"/>
    <s v="Sold Out"/>
    <n v="39"/>
    <n v="39"/>
    <n v="0"/>
    <n v="0"/>
    <x v="675"/>
    <n v="39000"/>
    <n v="41.71"/>
    <n v="27300"/>
    <n v="11700"/>
    <n v="12.51"/>
    <n v="0"/>
    <d v="2024-02-01T00:00:00"/>
  </r>
  <r>
    <s v="B02821"/>
    <s v="P078"/>
    <x v="9"/>
    <s v="Sold Out"/>
    <n v="45"/>
    <n v="45"/>
    <n v="0"/>
    <n v="0"/>
    <x v="655"/>
    <n v="45000"/>
    <n v="48.13"/>
    <n v="31500"/>
    <n v="13500"/>
    <n v="14.44"/>
    <n v="0"/>
    <d v="2024-03-09T00:00:00"/>
  </r>
  <r>
    <s v="B02822"/>
    <s v="P078"/>
    <x v="9"/>
    <s v="Partial Loss"/>
    <n v="39"/>
    <n v="37.32"/>
    <n v="1.68"/>
    <n v="4.3"/>
    <x v="410"/>
    <n v="37320"/>
    <n v="39.909999999999997"/>
    <n v="27300"/>
    <n v="10020"/>
    <n v="10.72"/>
    <n v="1176"/>
    <d v="2024-04-15T00:00:00"/>
  </r>
  <r>
    <s v="B02823"/>
    <s v="P078"/>
    <x v="9"/>
    <s v="Partial Loss"/>
    <n v="44"/>
    <n v="41.71"/>
    <n v="2.29"/>
    <n v="5.2"/>
    <x v="130"/>
    <n v="41710"/>
    <n v="44.61"/>
    <n v="30800"/>
    <n v="10910"/>
    <n v="11.67"/>
    <n v="1603"/>
    <d v="2024-05-14T00:00:00"/>
  </r>
  <r>
    <s v="B02824"/>
    <s v="P078"/>
    <x v="9"/>
    <s v="Partial Loss"/>
    <n v="41"/>
    <n v="38.83"/>
    <n v="2.17"/>
    <n v="5.3"/>
    <x v="335"/>
    <n v="38830"/>
    <n v="41.53"/>
    <n v="28700"/>
    <n v="10130"/>
    <n v="10.83"/>
    <n v="1519"/>
    <d v="2024-06-23T00:00:00"/>
  </r>
  <r>
    <s v="B02825"/>
    <s v="P078"/>
    <x v="9"/>
    <s v="Sold Out"/>
    <n v="42"/>
    <n v="42"/>
    <n v="0"/>
    <n v="0"/>
    <x v="365"/>
    <n v="42000"/>
    <n v="44.92"/>
    <n v="29400"/>
    <n v="12600"/>
    <n v="13.48"/>
    <n v="0"/>
    <d v="2024-07-24T00:00:00"/>
  </r>
  <r>
    <s v="B02826"/>
    <s v="P078"/>
    <x v="9"/>
    <s v="Partial Loss"/>
    <n v="43"/>
    <n v="40.81"/>
    <n v="2.19"/>
    <n v="5.0999999999999996"/>
    <x v="471"/>
    <n v="40810"/>
    <n v="43.65"/>
    <n v="32250"/>
    <n v="8560"/>
    <n v="9.16"/>
    <n v="1642.5"/>
    <d v="2024-08-27T00:00:00"/>
  </r>
  <r>
    <s v="B02827"/>
    <s v="P078"/>
    <x v="9"/>
    <s v="Partial Loss"/>
    <n v="53"/>
    <n v="51.36"/>
    <n v="1.64"/>
    <n v="3.1"/>
    <x v="244"/>
    <n v="51360"/>
    <n v="54.93"/>
    <n v="37100"/>
    <n v="14260"/>
    <n v="15.25"/>
    <n v="1148"/>
    <d v="2024-09-28T00:00:00"/>
  </r>
  <r>
    <s v="B02828"/>
    <s v="P078"/>
    <x v="9"/>
    <s v="Partial Loss"/>
    <n v="37"/>
    <n v="35.520000000000003"/>
    <n v="1.48"/>
    <n v="4"/>
    <x v="815"/>
    <n v="35520"/>
    <n v="37.99"/>
    <n v="25900"/>
    <n v="9620"/>
    <n v="10.29"/>
    <n v="1036"/>
    <d v="2024-10-28T00:00:00"/>
  </r>
  <r>
    <s v="B02829"/>
    <s v="P078"/>
    <x v="9"/>
    <s v="Partial Loss"/>
    <n v="45"/>
    <n v="44.01"/>
    <n v="0.99"/>
    <n v="2.2000000000000002"/>
    <x v="836"/>
    <n v="44010"/>
    <n v="47.07"/>
    <n v="31500"/>
    <n v="12510"/>
    <n v="13.38"/>
    <n v="693"/>
    <d v="2024-11-27T00:00:00"/>
  </r>
  <r>
    <s v="B02830"/>
    <s v="P078"/>
    <x v="9"/>
    <s v="Sold Out"/>
    <n v="39"/>
    <n v="39"/>
    <n v="0"/>
    <n v="0"/>
    <x v="128"/>
    <n v="39000"/>
    <n v="41.71"/>
    <n v="27300"/>
    <n v="11700"/>
    <n v="12.51"/>
    <n v="0"/>
    <d v="2025-01-12T00:00:00"/>
  </r>
  <r>
    <s v="B02831"/>
    <s v="P078"/>
    <x v="9"/>
    <s v="Partial Loss"/>
    <n v="45"/>
    <n v="44.01"/>
    <n v="0.99"/>
    <n v="2.2000000000000002"/>
    <x v="880"/>
    <n v="44010"/>
    <n v="47.07"/>
    <n v="31500"/>
    <n v="12510"/>
    <n v="13.38"/>
    <n v="693"/>
    <d v="2025-02-17T00:00:00"/>
  </r>
  <r>
    <s v="B02832"/>
    <s v="P078"/>
    <x v="9"/>
    <s v="Sold Out"/>
    <n v="45"/>
    <n v="45"/>
    <n v="0"/>
    <n v="0"/>
    <x v="135"/>
    <n v="45000"/>
    <n v="48.13"/>
    <n v="31500"/>
    <n v="13500"/>
    <n v="14.44"/>
    <n v="0"/>
    <d v="2025-03-26T00:00:00"/>
  </r>
  <r>
    <s v="B02833"/>
    <s v="P078"/>
    <x v="9"/>
    <s v="Partial Loss"/>
    <n v="49"/>
    <n v="48.46"/>
    <n v="0.54"/>
    <n v="1.1000000000000001"/>
    <x v="881"/>
    <n v="48460"/>
    <n v="51.83"/>
    <n v="36750"/>
    <n v="11710"/>
    <n v="12.52"/>
    <n v="405"/>
    <d v="2025-05-10T00:00:00"/>
  </r>
  <r>
    <s v="B02834"/>
    <s v="P078"/>
    <x v="9"/>
    <s v="Partial Loss"/>
    <n v="45"/>
    <n v="43.2"/>
    <n v="1.8"/>
    <n v="4"/>
    <x v="882"/>
    <n v="43200"/>
    <n v="46.2"/>
    <n v="31500"/>
    <n v="11700"/>
    <n v="12.51"/>
    <n v="1260"/>
    <d v="2025-06-07T00:00:00"/>
  </r>
  <r>
    <s v="B02835"/>
    <s v="P079"/>
    <x v="9"/>
    <s v="Partial Loss"/>
    <n v="71"/>
    <n v="68.3"/>
    <n v="2.7"/>
    <n v="3.8"/>
    <x v="361"/>
    <n v="68300"/>
    <n v="73.05"/>
    <n v="49700"/>
    <n v="18600"/>
    <n v="19.89"/>
    <n v="1890.0000000000002"/>
    <d v="2023-07-31T00:00:00"/>
  </r>
  <r>
    <s v="B02836"/>
    <s v="P079"/>
    <x v="9"/>
    <s v="Partial Loss"/>
    <n v="64"/>
    <n v="62.46"/>
    <n v="1.54"/>
    <n v="2.4"/>
    <x v="169"/>
    <n v="62460"/>
    <n v="66.8"/>
    <n v="44800"/>
    <n v="17660"/>
    <n v="18.89"/>
    <n v="1078"/>
    <d v="2023-08-30T00:00:00"/>
  </r>
  <r>
    <s v="B02837"/>
    <s v="P079"/>
    <x v="9"/>
    <s v="Sold Out"/>
    <n v="23"/>
    <n v="23"/>
    <n v="0"/>
    <n v="0"/>
    <x v="204"/>
    <n v="23000"/>
    <n v="24.6"/>
    <n v="16100"/>
    <n v="6900"/>
    <n v="7.38"/>
    <n v="0"/>
    <d v="2023-10-02T00:00:00"/>
  </r>
  <r>
    <s v="B02838"/>
    <s v="P079"/>
    <x v="9"/>
    <s v="Sold Out"/>
    <n v="25"/>
    <n v="25"/>
    <n v="0"/>
    <n v="0"/>
    <x v="304"/>
    <n v="25000"/>
    <n v="26.74"/>
    <n v="17500"/>
    <n v="7500"/>
    <n v="8.02"/>
    <n v="0"/>
    <d v="2023-11-02T00:00:00"/>
  </r>
  <r>
    <s v="B02839"/>
    <s v="P079"/>
    <x v="9"/>
    <s v="Partial Loss"/>
    <n v="25"/>
    <n v="23"/>
    <n v="2"/>
    <n v="8"/>
    <x v="42"/>
    <n v="23000"/>
    <n v="24.6"/>
    <n v="18750"/>
    <n v="4250"/>
    <n v="4.55"/>
    <n v="1500"/>
    <d v="2023-11-30T00:00:00"/>
  </r>
  <r>
    <s v="B02840"/>
    <s v="P079"/>
    <x v="9"/>
    <s v="Sold Out"/>
    <n v="24"/>
    <n v="24"/>
    <n v="0"/>
    <n v="0"/>
    <x v="868"/>
    <n v="24000"/>
    <n v="25.67"/>
    <n v="16800"/>
    <n v="7200"/>
    <n v="7.7"/>
    <n v="0"/>
    <d v="2024-01-01T00:00:00"/>
  </r>
  <r>
    <s v="B02841"/>
    <s v="P079"/>
    <x v="9"/>
    <s v="Partial Loss"/>
    <n v="27"/>
    <n v="25.7"/>
    <n v="1.3"/>
    <n v="4.8"/>
    <x v="557"/>
    <n v="25700"/>
    <n v="27.49"/>
    <n v="18900"/>
    <n v="6800"/>
    <n v="7.27"/>
    <n v="910"/>
    <d v="2024-02-11T00:00:00"/>
  </r>
  <r>
    <s v="B02842"/>
    <s v="P079"/>
    <x v="9"/>
    <s v="Partial Loss"/>
    <n v="23"/>
    <n v="22.08"/>
    <n v="0.92"/>
    <n v="4"/>
    <x v="282"/>
    <n v="22080"/>
    <n v="23.61"/>
    <n v="16100"/>
    <n v="5980"/>
    <n v="6.4"/>
    <n v="644"/>
    <d v="2024-03-13T00:00:00"/>
  </r>
  <r>
    <s v="B02843"/>
    <s v="P079"/>
    <x v="9"/>
    <s v="Sold Out"/>
    <n v="68"/>
    <n v="68"/>
    <n v="0"/>
    <n v="0"/>
    <x v="314"/>
    <n v="68000"/>
    <n v="72.73"/>
    <n v="47600"/>
    <n v="20400"/>
    <n v="21.82"/>
    <n v="0"/>
    <d v="2024-04-20T00:00:00"/>
  </r>
  <r>
    <s v="B02844"/>
    <s v="P079"/>
    <x v="9"/>
    <s v="Partial Loss"/>
    <n v="73"/>
    <n v="68.98"/>
    <n v="4.01"/>
    <n v="5.5"/>
    <x v="185"/>
    <n v="68980"/>
    <n v="73.78"/>
    <n v="51100"/>
    <n v="17880"/>
    <n v="19.12"/>
    <n v="2807"/>
    <d v="2024-05-13T00:00:00"/>
  </r>
  <r>
    <s v="B02845"/>
    <s v="P079"/>
    <x v="9"/>
    <s v="Sold Out"/>
    <n v="73"/>
    <n v="73"/>
    <n v="0"/>
    <n v="0"/>
    <x v="399"/>
    <n v="73000"/>
    <n v="78.069999999999993"/>
    <n v="54750"/>
    <n v="18250"/>
    <n v="19.52"/>
    <n v="0"/>
    <d v="2024-06-21T00:00:00"/>
  </r>
  <r>
    <s v="B02846"/>
    <s v="P079"/>
    <x v="9"/>
    <s v="Sold Out"/>
    <n v="66"/>
    <n v="66"/>
    <n v="0"/>
    <n v="0"/>
    <x v="883"/>
    <n v="66000"/>
    <n v="70.59"/>
    <n v="46200"/>
    <n v="19800"/>
    <n v="21.18"/>
    <n v="0"/>
    <d v="2024-07-26T00:00:00"/>
  </r>
  <r>
    <s v="B02847"/>
    <s v="P079"/>
    <x v="9"/>
    <s v="Sold Out"/>
    <n v="80"/>
    <n v="80"/>
    <n v="0"/>
    <n v="0"/>
    <x v="578"/>
    <n v="80000"/>
    <n v="85.56"/>
    <n v="56000"/>
    <n v="24000"/>
    <n v="25.67"/>
    <n v="0"/>
    <d v="2024-09-09T00:00:00"/>
  </r>
  <r>
    <s v="B02848"/>
    <s v="P079"/>
    <x v="9"/>
    <s v="Sold Out"/>
    <n v="26"/>
    <n v="26"/>
    <n v="0"/>
    <n v="0"/>
    <x v="884"/>
    <n v="26000"/>
    <n v="27.81"/>
    <n v="18200"/>
    <n v="7800"/>
    <n v="8.34"/>
    <n v="0"/>
    <d v="2024-10-12T00:00:00"/>
  </r>
  <r>
    <s v="B02849"/>
    <s v="P079"/>
    <x v="9"/>
    <s v="Partial Loss"/>
    <n v="24"/>
    <n v="23.11"/>
    <n v="0.89"/>
    <n v="3.7"/>
    <x v="778"/>
    <n v="23110"/>
    <n v="24.72"/>
    <n v="16800"/>
    <n v="6310"/>
    <n v="6.75"/>
    <n v="623"/>
    <d v="2024-11-14T00:00:00"/>
  </r>
  <r>
    <s v="B02850"/>
    <s v="P079"/>
    <x v="9"/>
    <s v="Partial Loss"/>
    <n v="35"/>
    <n v="33.21"/>
    <n v="1.78"/>
    <n v="5.0999999999999996"/>
    <x v="885"/>
    <n v="33210"/>
    <n v="35.520000000000003"/>
    <n v="24500"/>
    <n v="8710"/>
    <n v="9.32"/>
    <n v="1246"/>
    <d v="2024-12-21T00:00:00"/>
  </r>
  <r>
    <s v="B02851"/>
    <s v="P079"/>
    <x v="9"/>
    <s v="Sold Out"/>
    <n v="27"/>
    <n v="27"/>
    <n v="0"/>
    <n v="0"/>
    <x v="580"/>
    <n v="27000"/>
    <n v="28.88"/>
    <n v="18900"/>
    <n v="8100"/>
    <n v="8.66"/>
    <n v="0"/>
    <d v="2025-01-22T00:00:00"/>
  </r>
  <r>
    <s v="B02852"/>
    <s v="P079"/>
    <x v="9"/>
    <s v="Sold Out"/>
    <n v="26"/>
    <n v="26"/>
    <n v="0"/>
    <n v="0"/>
    <x v="131"/>
    <n v="26000"/>
    <n v="27.81"/>
    <n v="18200"/>
    <n v="7800"/>
    <n v="8.34"/>
    <n v="0"/>
    <d v="2025-02-27T00:00:00"/>
  </r>
  <r>
    <s v="B02853"/>
    <s v="P079"/>
    <x v="9"/>
    <s v="Partial Loss"/>
    <n v="28"/>
    <n v="26.6"/>
    <n v="1.4"/>
    <n v="5"/>
    <x v="886"/>
    <n v="26600"/>
    <n v="28.45"/>
    <n v="21000"/>
    <n v="5600"/>
    <n v="5.99"/>
    <n v="1050"/>
    <d v="2025-03-23T00:00:00"/>
  </r>
  <r>
    <s v="B02854"/>
    <s v="P079"/>
    <x v="9"/>
    <s v="Sold Out"/>
    <n v="70"/>
    <n v="70"/>
    <n v="0"/>
    <n v="0"/>
    <x v="887"/>
    <n v="70000"/>
    <n v="74.87"/>
    <n v="52500"/>
    <n v="17500"/>
    <n v="18.72"/>
    <n v="0"/>
    <d v="2025-04-27T00:00:00"/>
  </r>
  <r>
    <s v="B02855"/>
    <s v="P079"/>
    <x v="9"/>
    <s v="Sold Out"/>
    <n v="67"/>
    <n v="67"/>
    <n v="0"/>
    <n v="0"/>
    <x v="471"/>
    <n v="67000"/>
    <n v="71.66"/>
    <n v="46900"/>
    <n v="20100"/>
    <n v="21.5"/>
    <n v="0"/>
    <d v="2025-05-29T00:00:00"/>
  </r>
  <r>
    <s v="B02856"/>
    <s v="P080"/>
    <x v="9"/>
    <s v="Partial Loss"/>
    <n v="46"/>
    <n v="45.36"/>
    <n v="0.64"/>
    <n v="1.4"/>
    <x v="214"/>
    <n v="45360"/>
    <n v="48.51"/>
    <n v="29900"/>
    <n v="15460"/>
    <n v="16.53"/>
    <n v="416"/>
    <d v="2023-07-07T00:00:00"/>
  </r>
  <r>
    <s v="B02857"/>
    <s v="P080"/>
    <x v="9"/>
    <s v="Sold Out"/>
    <n v="55"/>
    <n v="55"/>
    <n v="0"/>
    <n v="0"/>
    <x v="788"/>
    <n v="55000"/>
    <n v="58.82"/>
    <n v="35750"/>
    <n v="19250"/>
    <n v="20.59"/>
    <n v="0"/>
    <d v="2023-08-11T00:00:00"/>
  </r>
  <r>
    <s v="B02858"/>
    <s v="P080"/>
    <x v="9"/>
    <s v="Partial Loss"/>
    <n v="57"/>
    <n v="54.43"/>
    <n v="2.56"/>
    <n v="4.5"/>
    <x v="457"/>
    <n v="54430"/>
    <n v="58.21"/>
    <n v="37050"/>
    <n v="17380"/>
    <n v="18.59"/>
    <n v="1664"/>
    <d v="2023-09-13T00:00:00"/>
  </r>
  <r>
    <s v="B02859"/>
    <s v="P080"/>
    <x v="9"/>
    <s v="Partial Loss"/>
    <n v="49"/>
    <n v="47.73"/>
    <n v="1.27"/>
    <n v="2.6"/>
    <x v="221"/>
    <n v="47730"/>
    <n v="51.05"/>
    <n v="31850"/>
    <n v="15880"/>
    <n v="16.98"/>
    <n v="825.5"/>
    <d v="2023-10-24T00:00:00"/>
  </r>
  <r>
    <s v="B02860"/>
    <s v="P080"/>
    <x v="9"/>
    <s v="Partial Loss"/>
    <n v="50"/>
    <n v="49.3"/>
    <n v="0.7"/>
    <n v="1.4"/>
    <x v="368"/>
    <n v="49300"/>
    <n v="52.73"/>
    <n v="32500"/>
    <n v="16800"/>
    <n v="17.97"/>
    <n v="454.99999999999994"/>
    <d v="2023-11-29T00:00:00"/>
  </r>
  <r>
    <s v="B02861"/>
    <s v="P080"/>
    <x v="9"/>
    <s v="Sold Out"/>
    <n v="63"/>
    <n v="63"/>
    <n v="0"/>
    <n v="0"/>
    <x v="482"/>
    <n v="63000"/>
    <n v="67.38"/>
    <n v="47250"/>
    <n v="15750"/>
    <n v="16.84"/>
    <n v="0"/>
    <d v="2023-12-27T00:00:00"/>
  </r>
  <r>
    <s v="B02862"/>
    <s v="P080"/>
    <x v="9"/>
    <s v="Sold Out"/>
    <n v="47"/>
    <n v="47"/>
    <n v="0"/>
    <n v="0"/>
    <x v="511"/>
    <n v="47000"/>
    <n v="50.27"/>
    <n v="30550"/>
    <n v="16450"/>
    <n v="17.59"/>
    <n v="0"/>
    <d v="2024-01-30T00:00:00"/>
  </r>
  <r>
    <s v="B02863"/>
    <s v="P080"/>
    <x v="9"/>
    <s v="Partial Loss"/>
    <n v="51"/>
    <n v="48.5"/>
    <n v="2.5"/>
    <n v="4.9000000000000004"/>
    <x v="52"/>
    <n v="48500"/>
    <n v="51.87"/>
    <n v="33150"/>
    <n v="15350"/>
    <n v="16.420000000000002"/>
    <n v="1625"/>
    <d v="2024-03-04T00:00:00"/>
  </r>
  <r>
    <s v="B02864"/>
    <s v="P080"/>
    <x v="9"/>
    <s v="Sold Out"/>
    <n v="53"/>
    <n v="53"/>
    <n v="0"/>
    <n v="0"/>
    <x v="214"/>
    <n v="53000"/>
    <n v="56.68"/>
    <n v="34450"/>
    <n v="18550"/>
    <n v="19.84"/>
    <n v="0"/>
    <d v="2024-04-11T00:00:00"/>
  </r>
  <r>
    <s v="B02865"/>
    <s v="P080"/>
    <x v="9"/>
    <s v="Sold Out"/>
    <n v="48"/>
    <n v="48"/>
    <n v="0"/>
    <n v="0"/>
    <x v="453"/>
    <n v="48000"/>
    <n v="51.34"/>
    <n v="36000"/>
    <n v="12000"/>
    <n v="12.83"/>
    <n v="0"/>
    <d v="2024-05-10T00:00:00"/>
  </r>
  <r>
    <s v="B02866"/>
    <s v="P080"/>
    <x v="9"/>
    <s v="Sold Out"/>
    <n v="55"/>
    <n v="55"/>
    <n v="0"/>
    <n v="0"/>
    <x v="268"/>
    <n v="55000"/>
    <n v="58.82"/>
    <n v="35750"/>
    <n v="19250"/>
    <n v="20.59"/>
    <n v="0"/>
    <d v="2024-06-02T00:00:00"/>
  </r>
  <r>
    <s v="B02867"/>
    <s v="P080"/>
    <x v="9"/>
    <s v="Partial Loss"/>
    <n v="56"/>
    <n v="54.21"/>
    <n v="1.79"/>
    <n v="3.2"/>
    <x v="468"/>
    <n v="54210"/>
    <n v="57.98"/>
    <n v="42000"/>
    <n v="12210"/>
    <n v="13.06"/>
    <n v="1342.5"/>
    <d v="2024-07-08T00:00:00"/>
  </r>
  <r>
    <s v="B02868"/>
    <s v="P080"/>
    <x v="9"/>
    <s v="Partial Loss"/>
    <n v="53"/>
    <n v="50.77"/>
    <n v="2.23"/>
    <n v="4.2"/>
    <x v="586"/>
    <n v="50770"/>
    <n v="54.3"/>
    <n v="34450"/>
    <n v="16320"/>
    <n v="17.45"/>
    <n v="1449.5"/>
    <d v="2024-08-13T00:00:00"/>
  </r>
  <r>
    <s v="B02869"/>
    <s v="P080"/>
    <x v="9"/>
    <s v="Sold Out"/>
    <n v="61"/>
    <n v="61"/>
    <n v="0"/>
    <n v="0"/>
    <x v="45"/>
    <n v="61000"/>
    <n v="65.239999999999995"/>
    <n v="45750"/>
    <n v="15250"/>
    <n v="16.309999999999999"/>
    <n v="0"/>
    <d v="2024-09-17T00:00:00"/>
  </r>
  <r>
    <s v="B02870"/>
    <s v="P080"/>
    <x v="9"/>
    <s v="Partial Loss"/>
    <n v="54"/>
    <n v="52.43"/>
    <n v="1.57"/>
    <n v="2.9"/>
    <x v="245"/>
    <n v="52430"/>
    <n v="56.07"/>
    <n v="35100"/>
    <n v="17330"/>
    <n v="18.53"/>
    <n v="1020.5"/>
    <d v="2024-10-17T00:00:00"/>
  </r>
  <r>
    <s v="B02871"/>
    <s v="P080"/>
    <x v="9"/>
    <s v="Partial Loss"/>
    <n v="57"/>
    <n v="55.86"/>
    <n v="1.1399999999999999"/>
    <n v="2"/>
    <x v="693"/>
    <n v="55860"/>
    <n v="59.74"/>
    <n v="37050"/>
    <n v="18810"/>
    <n v="20.12"/>
    <n v="740.99999999999989"/>
    <d v="2024-11-18T00:00:00"/>
  </r>
  <r>
    <s v="B02872"/>
    <s v="P080"/>
    <x v="9"/>
    <s v="Sold Out"/>
    <n v="65"/>
    <n v="65"/>
    <n v="0"/>
    <n v="0"/>
    <x v="715"/>
    <n v="65000"/>
    <n v="69.52"/>
    <n v="42250"/>
    <n v="22750"/>
    <n v="24.33"/>
    <n v="0"/>
    <d v="2024-12-25T00:00:00"/>
  </r>
  <r>
    <s v="B02873"/>
    <s v="P080"/>
    <x v="9"/>
    <s v="Sold Out"/>
    <n v="50"/>
    <n v="50"/>
    <n v="0"/>
    <n v="0"/>
    <x v="230"/>
    <n v="50000"/>
    <n v="53.48"/>
    <n v="37500"/>
    <n v="12500"/>
    <n v="13.37"/>
    <n v="0"/>
    <d v="2025-01-29T00:00:00"/>
  </r>
  <r>
    <s v="B02874"/>
    <s v="P080"/>
    <x v="9"/>
    <s v="Partial Loss"/>
    <n v="48"/>
    <n v="47.66"/>
    <n v="0.34"/>
    <n v="0.7"/>
    <x v="774"/>
    <n v="47660"/>
    <n v="50.97"/>
    <n v="31200"/>
    <n v="16460"/>
    <n v="17.600000000000001"/>
    <n v="221.00000000000003"/>
    <d v="2025-03-02T00:00:00"/>
  </r>
  <r>
    <s v="B02875"/>
    <s v="P080"/>
    <x v="9"/>
    <s v="Sold Out"/>
    <n v="59"/>
    <n v="59"/>
    <n v="0"/>
    <n v="0"/>
    <x v="135"/>
    <n v="59000"/>
    <n v="63.1"/>
    <n v="38350"/>
    <n v="20650"/>
    <n v="22.09"/>
    <n v="0"/>
    <d v="2025-04-06T00:00:00"/>
  </r>
  <r>
    <s v="B02876"/>
    <s v="P080"/>
    <x v="9"/>
    <s v="Sold Out"/>
    <n v="54"/>
    <n v="54"/>
    <n v="0"/>
    <n v="0"/>
    <x v="137"/>
    <n v="54000"/>
    <n v="57.75"/>
    <n v="35100"/>
    <n v="18900"/>
    <n v="20.21"/>
    <n v="0"/>
    <d v="2025-05-01T00:00:00"/>
  </r>
  <r>
    <s v="B02877"/>
    <s v="P080"/>
    <x v="9"/>
    <s v="Sold Out"/>
    <n v="55"/>
    <n v="55"/>
    <n v="0"/>
    <n v="0"/>
    <x v="72"/>
    <n v="55000"/>
    <n v="58.82"/>
    <n v="35750"/>
    <n v="19250"/>
    <n v="20.59"/>
    <n v="0"/>
    <d v="2025-06-02T00:00:00"/>
  </r>
  <r>
    <s v="B02878"/>
    <s v="P081"/>
    <x v="9"/>
    <s v="Sold Out"/>
    <n v="56"/>
    <n v="56"/>
    <n v="0"/>
    <n v="0"/>
    <x v="474"/>
    <n v="28000"/>
    <n v="29.95"/>
    <n v="19600"/>
    <n v="8400"/>
    <n v="8.98"/>
    <n v="0"/>
    <d v="2023-07-12T00:00:00"/>
  </r>
  <r>
    <s v="B02879"/>
    <s v="P081"/>
    <x v="9"/>
    <s v="Sold Out"/>
    <n v="51"/>
    <n v="51"/>
    <n v="0"/>
    <n v="0"/>
    <x v="770"/>
    <n v="25500"/>
    <n v="27.27"/>
    <n v="17850"/>
    <n v="7650"/>
    <n v="8.18"/>
    <n v="0"/>
    <d v="2023-08-22T00:00:00"/>
  </r>
  <r>
    <s v="B02880"/>
    <s v="P081"/>
    <x v="9"/>
    <s v="Sold Out"/>
    <n v="60"/>
    <n v="60"/>
    <n v="0"/>
    <n v="0"/>
    <x v="535"/>
    <n v="30000"/>
    <n v="32.090000000000003"/>
    <n v="21000"/>
    <n v="9000"/>
    <n v="9.6300000000000008"/>
    <n v="0"/>
    <d v="2023-09-28T00:00:00"/>
  </r>
  <r>
    <s v="B02881"/>
    <s v="P081"/>
    <x v="9"/>
    <s v="Sold Out"/>
    <n v="46"/>
    <n v="46"/>
    <n v="0"/>
    <n v="0"/>
    <x v="354"/>
    <n v="23000"/>
    <n v="24.6"/>
    <n v="16100"/>
    <n v="6900"/>
    <n v="7.38"/>
    <n v="0"/>
    <d v="2023-11-05T00:00:00"/>
  </r>
  <r>
    <s v="B02882"/>
    <s v="P081"/>
    <x v="9"/>
    <s v="Partial Loss"/>
    <n v="59"/>
    <n v="57.17"/>
    <n v="1.83"/>
    <n v="3.1"/>
    <x v="555"/>
    <n v="28585"/>
    <n v="30.57"/>
    <n v="20650"/>
    <n v="7935"/>
    <n v="8.49"/>
    <n v="640.5"/>
    <d v="2023-12-05T00:00:00"/>
  </r>
  <r>
    <s v="B02883"/>
    <s v="P081"/>
    <x v="9"/>
    <s v="Sold Out"/>
    <n v="52"/>
    <n v="52"/>
    <n v="0"/>
    <n v="0"/>
    <x v="507"/>
    <n v="26000"/>
    <n v="27.81"/>
    <n v="18200"/>
    <n v="7800"/>
    <n v="8.34"/>
    <n v="0"/>
    <d v="2024-01-01T00:00:00"/>
  </r>
  <r>
    <s v="B02884"/>
    <s v="P081"/>
    <x v="9"/>
    <s v="Partial Loss"/>
    <n v="44"/>
    <n v="42.42"/>
    <n v="1.58"/>
    <n v="3.6"/>
    <x v="556"/>
    <n v="21210"/>
    <n v="22.68"/>
    <n v="15400"/>
    <n v="5810"/>
    <n v="6.21"/>
    <n v="553"/>
    <d v="2024-02-06T00:00:00"/>
  </r>
  <r>
    <s v="B02885"/>
    <s v="P081"/>
    <x v="9"/>
    <s v="Sold Out"/>
    <n v="56"/>
    <n v="56"/>
    <n v="0"/>
    <n v="0"/>
    <x v="452"/>
    <n v="28000"/>
    <n v="29.95"/>
    <n v="19600"/>
    <n v="8400"/>
    <n v="8.98"/>
    <n v="0"/>
    <d v="2024-03-13T00:00:00"/>
  </r>
  <r>
    <s v="B02886"/>
    <s v="P081"/>
    <x v="9"/>
    <s v="Sold Out"/>
    <n v="49"/>
    <n v="49"/>
    <n v="0"/>
    <n v="0"/>
    <x v="360"/>
    <n v="24500"/>
    <n v="26.2"/>
    <n v="17150"/>
    <n v="7350"/>
    <n v="7.86"/>
    <n v="0"/>
    <d v="2024-04-21T00:00:00"/>
  </r>
  <r>
    <s v="B02887"/>
    <s v="P081"/>
    <x v="9"/>
    <s v="Sold Out"/>
    <n v="44"/>
    <n v="44"/>
    <n v="0"/>
    <n v="0"/>
    <x v="169"/>
    <n v="22000"/>
    <n v="23.53"/>
    <n v="15400"/>
    <n v="6600"/>
    <n v="7.06"/>
    <n v="0"/>
    <d v="2024-05-27T00:00:00"/>
  </r>
  <r>
    <s v="B02888"/>
    <s v="P081"/>
    <x v="9"/>
    <s v="Sold Out"/>
    <n v="46"/>
    <n v="46"/>
    <n v="0"/>
    <n v="0"/>
    <x v="550"/>
    <n v="23000"/>
    <n v="24.6"/>
    <n v="16100"/>
    <n v="6900"/>
    <n v="7.38"/>
    <n v="0"/>
    <d v="2024-06-25T00:00:00"/>
  </r>
  <r>
    <s v="B02889"/>
    <s v="P081"/>
    <x v="9"/>
    <s v="Sold Out"/>
    <n v="46"/>
    <n v="46"/>
    <n v="0"/>
    <n v="0"/>
    <x v="275"/>
    <n v="23000"/>
    <n v="24.6"/>
    <n v="16100"/>
    <n v="6900"/>
    <n v="7.38"/>
    <n v="0"/>
    <d v="2024-07-27T00:00:00"/>
  </r>
  <r>
    <s v="B02890"/>
    <s v="P081"/>
    <x v="9"/>
    <s v="Sold Out"/>
    <n v="50"/>
    <n v="50"/>
    <n v="0"/>
    <n v="0"/>
    <x v="489"/>
    <n v="25000"/>
    <n v="26.74"/>
    <n v="17500"/>
    <n v="7500"/>
    <n v="8.02"/>
    <n v="0"/>
    <d v="2024-08-26T00:00:00"/>
  </r>
  <r>
    <s v="B02891"/>
    <s v="P081"/>
    <x v="9"/>
    <s v="Partial Loss"/>
    <n v="69"/>
    <n v="66.239999999999995"/>
    <n v="2.76"/>
    <n v="4"/>
    <x v="563"/>
    <n v="33120"/>
    <n v="35.42"/>
    <n v="24150"/>
    <n v="8970"/>
    <n v="9.59"/>
    <n v="965.99999999999989"/>
    <d v="2024-09-17T00:00:00"/>
  </r>
  <r>
    <s v="B02892"/>
    <s v="P081"/>
    <x v="9"/>
    <s v="Sold Out"/>
    <n v="48"/>
    <n v="48"/>
    <n v="0"/>
    <n v="0"/>
    <x v="176"/>
    <n v="24000"/>
    <n v="25.67"/>
    <n v="16800"/>
    <n v="7200"/>
    <n v="7.7"/>
    <n v="0"/>
    <d v="2024-10-12T00:00:00"/>
  </r>
  <r>
    <s v="B02893"/>
    <s v="P081"/>
    <x v="9"/>
    <s v="Sold Out"/>
    <n v="57"/>
    <n v="57"/>
    <n v="0"/>
    <n v="0"/>
    <x v="430"/>
    <n v="28500"/>
    <n v="30.48"/>
    <n v="19950"/>
    <n v="8550"/>
    <n v="9.14"/>
    <n v="0"/>
    <d v="2024-11-12T00:00:00"/>
  </r>
  <r>
    <s v="B02894"/>
    <s v="P081"/>
    <x v="9"/>
    <s v="Sold Out"/>
    <n v="68"/>
    <n v="68"/>
    <n v="0"/>
    <n v="0"/>
    <x v="432"/>
    <n v="34000"/>
    <n v="36.36"/>
    <n v="23800"/>
    <n v="10200"/>
    <n v="10.91"/>
    <n v="0"/>
    <d v="2024-12-19T00:00:00"/>
  </r>
  <r>
    <s v="B02895"/>
    <s v="P081"/>
    <x v="9"/>
    <s v="Partial Loss"/>
    <n v="47"/>
    <n v="44.74"/>
    <n v="2.2599999999999998"/>
    <n v="4.8"/>
    <x v="650"/>
    <n v="22370"/>
    <n v="23.93"/>
    <n v="16450"/>
    <n v="5920"/>
    <n v="6.33"/>
    <n v="790.99999999999989"/>
    <d v="2025-01-19T00:00:00"/>
  </r>
  <r>
    <s v="B02896"/>
    <s v="P081"/>
    <x v="9"/>
    <s v="Sold Out"/>
    <n v="59"/>
    <n v="59"/>
    <n v="0"/>
    <n v="0"/>
    <x v="436"/>
    <n v="29500"/>
    <n v="31.55"/>
    <n v="20650"/>
    <n v="8850"/>
    <n v="9.4700000000000006"/>
    <n v="0"/>
    <d v="2025-02-28T00:00:00"/>
  </r>
  <r>
    <s v="B02897"/>
    <s v="P081"/>
    <x v="9"/>
    <s v="Sold Out"/>
    <n v="58"/>
    <n v="58"/>
    <n v="0"/>
    <n v="0"/>
    <x v="798"/>
    <n v="29000"/>
    <n v="31.02"/>
    <n v="20300"/>
    <n v="8700"/>
    <n v="9.3000000000000007"/>
    <n v="0"/>
    <d v="2025-04-03T00:00:00"/>
  </r>
  <r>
    <s v="B02898"/>
    <s v="P081"/>
    <x v="9"/>
    <s v="Partial Loss"/>
    <n v="59"/>
    <n v="55.75"/>
    <n v="3.25"/>
    <n v="5.5"/>
    <x v="888"/>
    <n v="27875"/>
    <n v="29.81"/>
    <n v="20650"/>
    <n v="7225"/>
    <n v="7.73"/>
    <n v="1137.5"/>
    <d v="2025-05-09T00:00:00"/>
  </r>
  <r>
    <s v="B02899"/>
    <s v="P081"/>
    <x v="9"/>
    <s v="Sold Out"/>
    <n v="61"/>
    <n v="61"/>
    <n v="0"/>
    <n v="0"/>
    <x v="197"/>
    <n v="30500"/>
    <n v="32.619999999999997"/>
    <n v="21350"/>
    <n v="9150"/>
    <n v="9.7899999999999991"/>
    <n v="0"/>
    <d v="2025-06-23T00:00:00"/>
  </r>
  <r>
    <s v="B02900"/>
    <s v="P082"/>
    <x v="9"/>
    <s v="Sold Out"/>
    <n v="46"/>
    <n v="46"/>
    <n v="0"/>
    <n v="0"/>
    <x v="252"/>
    <n v="46000"/>
    <n v="49.2"/>
    <n v="32200"/>
    <n v="13800"/>
    <n v="14.76"/>
    <n v="0"/>
    <d v="2023-07-28T00:00:00"/>
  </r>
  <r>
    <s v="B02901"/>
    <s v="P082"/>
    <x v="9"/>
    <s v="Sold Out"/>
    <n v="61"/>
    <n v="61"/>
    <n v="0"/>
    <n v="0"/>
    <x v="84"/>
    <n v="61000"/>
    <n v="65.239999999999995"/>
    <n v="42700"/>
    <n v="18300"/>
    <n v="19.57"/>
    <n v="0"/>
    <d v="2023-09-03T00:00:00"/>
  </r>
  <r>
    <s v="B02902"/>
    <s v="P082"/>
    <x v="9"/>
    <s v="Partial Loss"/>
    <n v="51"/>
    <n v="49.47"/>
    <n v="1.53"/>
    <n v="3"/>
    <x v="37"/>
    <n v="49470"/>
    <n v="52.91"/>
    <n v="35700"/>
    <n v="13770"/>
    <n v="14.73"/>
    <n v="1071"/>
    <d v="2023-10-03T00:00:00"/>
  </r>
  <r>
    <s v="B02903"/>
    <s v="P082"/>
    <x v="9"/>
    <s v="Sold Out"/>
    <n v="43"/>
    <n v="43"/>
    <n v="0"/>
    <n v="0"/>
    <x v="304"/>
    <n v="43000"/>
    <n v="45.99"/>
    <n v="30100"/>
    <n v="12900"/>
    <n v="13.8"/>
    <n v="0"/>
    <d v="2023-10-29T00:00:00"/>
  </r>
  <r>
    <s v="B02904"/>
    <s v="P082"/>
    <x v="9"/>
    <s v="Sold Out"/>
    <n v="55"/>
    <n v="55"/>
    <n v="0"/>
    <n v="0"/>
    <x v="17"/>
    <n v="55000"/>
    <n v="58.82"/>
    <n v="38500"/>
    <n v="16500"/>
    <n v="17.649999999999999"/>
    <n v="0"/>
    <d v="2023-11-29T00:00:00"/>
  </r>
  <r>
    <s v="B02905"/>
    <s v="P082"/>
    <x v="9"/>
    <s v="Partial Loss"/>
    <n v="48"/>
    <n v="46.42"/>
    <n v="1.58"/>
    <n v="3.3"/>
    <x v="113"/>
    <n v="46420"/>
    <n v="49.65"/>
    <n v="33600"/>
    <n v="12820"/>
    <n v="13.71"/>
    <n v="1106"/>
    <d v="2024-01-07T00:00:00"/>
  </r>
  <r>
    <s v="B02906"/>
    <s v="P082"/>
    <x v="9"/>
    <s v="Sold Out"/>
    <n v="46"/>
    <n v="46"/>
    <n v="0"/>
    <n v="0"/>
    <x v="597"/>
    <n v="46000"/>
    <n v="49.2"/>
    <n v="32200"/>
    <n v="13800"/>
    <n v="14.76"/>
    <n v="0"/>
    <d v="2024-02-06T00:00:00"/>
  </r>
  <r>
    <s v="B02907"/>
    <s v="P082"/>
    <x v="9"/>
    <s v="Partial Loss"/>
    <n v="47"/>
    <n v="45.5"/>
    <n v="1.5"/>
    <n v="3.2"/>
    <x v="433"/>
    <n v="45500"/>
    <n v="48.66"/>
    <n v="32900"/>
    <n v="12600"/>
    <n v="13.48"/>
    <n v="1050"/>
    <d v="2024-03-10T00:00:00"/>
  </r>
  <r>
    <s v="B02908"/>
    <s v="P082"/>
    <x v="9"/>
    <s v="Partial Loss"/>
    <n v="56"/>
    <n v="55.1"/>
    <n v="0.9"/>
    <n v="1.6"/>
    <x v="684"/>
    <n v="55100"/>
    <n v="58.93"/>
    <n v="39200"/>
    <n v="15900"/>
    <n v="17.010000000000002"/>
    <n v="630"/>
    <d v="2024-04-02T00:00:00"/>
  </r>
  <r>
    <s v="B02909"/>
    <s v="P082"/>
    <x v="9"/>
    <s v="Partial Loss"/>
    <n v="45"/>
    <n v="43.7"/>
    <n v="1.31"/>
    <n v="2.9"/>
    <x v="185"/>
    <n v="43700"/>
    <n v="46.74"/>
    <n v="31500"/>
    <n v="12200"/>
    <n v="13.05"/>
    <n v="917"/>
    <d v="2024-05-13T00:00:00"/>
  </r>
  <r>
    <s v="B02910"/>
    <s v="P082"/>
    <x v="9"/>
    <s v="Partial Loss"/>
    <n v="50"/>
    <n v="49.3"/>
    <n v="0.7"/>
    <n v="1.4"/>
    <x v="63"/>
    <n v="49300"/>
    <n v="52.73"/>
    <n v="35000"/>
    <n v="14300"/>
    <n v="15.29"/>
    <n v="489.99999999999994"/>
    <d v="2024-06-19T00:00:00"/>
  </r>
  <r>
    <s v="B02911"/>
    <s v="P082"/>
    <x v="9"/>
    <s v="Sold Out"/>
    <n v="56"/>
    <n v="56"/>
    <n v="0"/>
    <n v="0"/>
    <x v="365"/>
    <n v="56000"/>
    <n v="59.89"/>
    <n v="39200"/>
    <n v="16800"/>
    <n v="17.97"/>
    <n v="0"/>
    <d v="2024-07-14T00:00:00"/>
  </r>
  <r>
    <s v="B02912"/>
    <s v="P082"/>
    <x v="9"/>
    <s v="Sold Out"/>
    <n v="53"/>
    <n v="53"/>
    <n v="0"/>
    <n v="0"/>
    <x v="224"/>
    <n v="53000"/>
    <n v="56.68"/>
    <n v="37100"/>
    <n v="15900"/>
    <n v="17.010000000000002"/>
    <n v="0"/>
    <d v="2024-08-24T00:00:00"/>
  </r>
  <r>
    <s v="B02913"/>
    <s v="P082"/>
    <x v="9"/>
    <s v="Sold Out"/>
    <n v="62"/>
    <n v="62"/>
    <n v="0"/>
    <n v="0"/>
    <x v="428"/>
    <n v="62000"/>
    <n v="66.31"/>
    <n v="43400"/>
    <n v="18600"/>
    <n v="19.89"/>
    <n v="0"/>
    <d v="2024-09-24T00:00:00"/>
  </r>
  <r>
    <s v="B02914"/>
    <s v="P082"/>
    <x v="9"/>
    <s v="Sold Out"/>
    <n v="52"/>
    <n v="52"/>
    <n v="0"/>
    <n v="0"/>
    <x v="777"/>
    <n v="52000"/>
    <n v="55.61"/>
    <n v="36400"/>
    <n v="15600"/>
    <n v="16.68"/>
    <n v="0"/>
    <d v="2024-10-29T00:00:00"/>
  </r>
  <r>
    <s v="B02915"/>
    <s v="P082"/>
    <x v="9"/>
    <s v="Sold Out"/>
    <n v="72"/>
    <n v="72"/>
    <n v="0"/>
    <n v="0"/>
    <x v="432"/>
    <n v="72000"/>
    <n v="77.010000000000005"/>
    <n v="50400"/>
    <n v="21600"/>
    <n v="23.1"/>
    <n v="0"/>
    <d v="2024-12-02T00:00:00"/>
  </r>
  <r>
    <s v="B02916"/>
    <s v="P082"/>
    <x v="9"/>
    <s v="Sold Out"/>
    <n v="56"/>
    <n v="56"/>
    <n v="0"/>
    <n v="0"/>
    <x v="373"/>
    <n v="56000"/>
    <n v="59.89"/>
    <n v="39200"/>
    <n v="16800"/>
    <n v="17.97"/>
    <n v="0"/>
    <d v="2025-01-03T00:00:00"/>
  </r>
  <r>
    <s v="B02917"/>
    <s v="P082"/>
    <x v="9"/>
    <s v="Partial Loss"/>
    <n v="62"/>
    <n v="57.85"/>
    <n v="4.1500000000000004"/>
    <n v="6.7"/>
    <x v="809"/>
    <n v="57850"/>
    <n v="61.87"/>
    <n v="43400"/>
    <n v="14450"/>
    <n v="15.45"/>
    <n v="2905.0000000000005"/>
    <d v="2025-02-02T00:00:00"/>
  </r>
  <r>
    <s v="B02918"/>
    <s v="P082"/>
    <x v="9"/>
    <s v="Sold Out"/>
    <n v="52"/>
    <n v="52"/>
    <n v="0"/>
    <n v="0"/>
    <x v="335"/>
    <n v="52000"/>
    <n v="55.61"/>
    <n v="36400"/>
    <n v="15600"/>
    <n v="16.68"/>
    <n v="0"/>
    <d v="2025-03-12T00:00:00"/>
  </r>
  <r>
    <s v="B02919"/>
    <s v="P082"/>
    <x v="9"/>
    <s v="Partial Loss"/>
    <n v="46"/>
    <n v="44.67"/>
    <n v="1.33"/>
    <n v="2.9"/>
    <x v="889"/>
    <n v="44670"/>
    <n v="47.78"/>
    <n v="32200"/>
    <n v="12470"/>
    <n v="13.34"/>
    <n v="931"/>
    <d v="2025-04-25T00:00:00"/>
  </r>
  <r>
    <s v="B02920"/>
    <s v="P082"/>
    <x v="9"/>
    <s v="Sold Out"/>
    <n v="52"/>
    <n v="52"/>
    <n v="0"/>
    <n v="0"/>
    <x v="587"/>
    <n v="52000"/>
    <n v="55.61"/>
    <n v="36400"/>
    <n v="15600"/>
    <n v="16.68"/>
    <n v="0"/>
    <d v="2025-05-26T00:00:00"/>
  </r>
  <r>
    <s v="B02921"/>
    <s v="P083"/>
    <x v="9"/>
    <s v="Sold Out"/>
    <n v="46"/>
    <n v="46"/>
    <n v="0"/>
    <n v="0"/>
    <x v="246"/>
    <n v="23000"/>
    <n v="24.6"/>
    <n v="16100"/>
    <n v="6900"/>
    <n v="7.38"/>
    <n v="0"/>
    <d v="2023-07-20T00:00:00"/>
  </r>
  <r>
    <s v="B02922"/>
    <s v="P083"/>
    <x v="9"/>
    <s v="Sold Out"/>
    <n v="56"/>
    <n v="56"/>
    <n v="0"/>
    <n v="0"/>
    <x v="80"/>
    <n v="28000"/>
    <n v="29.95"/>
    <n v="19600"/>
    <n v="8400"/>
    <n v="8.98"/>
    <n v="0"/>
    <d v="2023-08-21T00:00:00"/>
  </r>
  <r>
    <s v="B02923"/>
    <s v="P083"/>
    <x v="9"/>
    <s v="Sold Out"/>
    <n v="57"/>
    <n v="57"/>
    <n v="0"/>
    <n v="0"/>
    <x v="302"/>
    <n v="28500"/>
    <n v="30.48"/>
    <n v="19950"/>
    <n v="8550"/>
    <n v="9.14"/>
    <n v="0"/>
    <d v="2023-09-28T00:00:00"/>
  </r>
  <r>
    <s v="B02924"/>
    <s v="P083"/>
    <x v="9"/>
    <s v="Sold Out"/>
    <n v="55"/>
    <n v="55"/>
    <n v="0"/>
    <n v="0"/>
    <x v="207"/>
    <n v="27500"/>
    <n v="29.41"/>
    <n v="19250"/>
    <n v="8250"/>
    <n v="8.82"/>
    <n v="0"/>
    <d v="2023-10-22T00:00:00"/>
  </r>
  <r>
    <s v="B02925"/>
    <s v="P083"/>
    <x v="9"/>
    <s v="Sold Out"/>
    <n v="47"/>
    <n v="47"/>
    <n v="0"/>
    <n v="0"/>
    <x v="506"/>
    <n v="23500"/>
    <n v="25.13"/>
    <n v="16450"/>
    <n v="7050"/>
    <n v="7.54"/>
    <n v="0"/>
    <d v="2023-11-30T00:00:00"/>
  </r>
  <r>
    <s v="B02926"/>
    <s v="P083"/>
    <x v="9"/>
    <s v="Partial Loss"/>
    <n v="55"/>
    <n v="53.24"/>
    <n v="1.76"/>
    <n v="3.2"/>
    <x v="277"/>
    <n v="26620"/>
    <n v="28.47"/>
    <n v="19250"/>
    <n v="7370"/>
    <n v="7.88"/>
    <n v="616"/>
    <d v="2024-01-08T00:00:00"/>
  </r>
  <r>
    <s v="B02927"/>
    <s v="P083"/>
    <x v="9"/>
    <s v="Partial Loss"/>
    <n v="49"/>
    <n v="47.73"/>
    <n v="1.27"/>
    <n v="2.6"/>
    <x v="371"/>
    <n v="23865"/>
    <n v="25.52"/>
    <n v="17150"/>
    <n v="6715"/>
    <n v="7.18"/>
    <n v="444.5"/>
    <d v="2024-02-14T00:00:00"/>
  </r>
  <r>
    <s v="B02928"/>
    <s v="P083"/>
    <x v="9"/>
    <s v="Sold Out"/>
    <n v="53"/>
    <n v="53"/>
    <n v="0"/>
    <n v="0"/>
    <x v="31"/>
    <n v="26500"/>
    <n v="28.34"/>
    <n v="18550"/>
    <n v="7950"/>
    <n v="8.5"/>
    <n v="0"/>
    <d v="2024-03-29T00:00:00"/>
  </r>
  <r>
    <s v="B02929"/>
    <s v="P083"/>
    <x v="9"/>
    <s v="Sold Out"/>
    <n v="46"/>
    <n v="46"/>
    <n v="0"/>
    <n v="0"/>
    <x v="128"/>
    <n v="23000"/>
    <n v="24.6"/>
    <n v="16100"/>
    <n v="6900"/>
    <n v="7.38"/>
    <n v="0"/>
    <d v="2024-04-24T00:00:00"/>
  </r>
  <r>
    <s v="B02930"/>
    <s v="P083"/>
    <x v="9"/>
    <s v="Sold Out"/>
    <n v="51"/>
    <n v="51"/>
    <n v="0"/>
    <n v="0"/>
    <x v="35"/>
    <n v="25500"/>
    <n v="27.27"/>
    <n v="17850"/>
    <n v="7650"/>
    <n v="8.18"/>
    <n v="0"/>
    <d v="2024-06-04T00:00:00"/>
  </r>
  <r>
    <s v="B02931"/>
    <s v="P083"/>
    <x v="9"/>
    <s v="Sold Out"/>
    <n v="48"/>
    <n v="48"/>
    <n v="0"/>
    <n v="0"/>
    <x v="425"/>
    <n v="24000"/>
    <n v="25.67"/>
    <n v="16800"/>
    <n v="7200"/>
    <n v="7.7"/>
    <n v="0"/>
    <d v="2024-07-09T00:00:00"/>
  </r>
  <r>
    <s v="B02932"/>
    <s v="P083"/>
    <x v="9"/>
    <s v="Partial Loss"/>
    <n v="57"/>
    <n v="54.43"/>
    <n v="2.56"/>
    <n v="4.5"/>
    <x v="495"/>
    <n v="27215"/>
    <n v="29.11"/>
    <n v="19950"/>
    <n v="7265"/>
    <n v="7.77"/>
    <n v="896"/>
    <d v="2024-08-06T00:00:00"/>
  </r>
  <r>
    <s v="B02933"/>
    <s v="P083"/>
    <x v="9"/>
    <s v="Sold Out"/>
    <n v="61"/>
    <n v="61"/>
    <n v="0"/>
    <n v="0"/>
    <x v="814"/>
    <n v="30500"/>
    <n v="32.619999999999997"/>
    <n v="21350"/>
    <n v="9150"/>
    <n v="9.7899999999999991"/>
    <n v="0"/>
    <d v="2024-09-09T00:00:00"/>
  </r>
  <r>
    <s v="B02934"/>
    <s v="P083"/>
    <x v="9"/>
    <s v="Sold Out"/>
    <n v="49"/>
    <n v="49"/>
    <n v="0"/>
    <n v="0"/>
    <x v="429"/>
    <n v="24500"/>
    <n v="26.2"/>
    <n v="17150"/>
    <n v="7350"/>
    <n v="7.86"/>
    <n v="0"/>
    <d v="2024-10-10T00:00:00"/>
  </r>
  <r>
    <s v="B02935"/>
    <s v="P083"/>
    <x v="9"/>
    <s v="Partial Loss"/>
    <n v="50"/>
    <n v="48.95"/>
    <n v="1.05"/>
    <n v="2.1"/>
    <x v="890"/>
    <n v="24475"/>
    <n v="26.18"/>
    <n v="17500"/>
    <n v="6975"/>
    <n v="7.46"/>
    <n v="367.5"/>
    <d v="2024-11-16T00:00:00"/>
  </r>
  <r>
    <s v="B02936"/>
    <s v="P083"/>
    <x v="9"/>
    <s v="Partial Loss"/>
    <n v="47"/>
    <n v="45.78"/>
    <n v="1.22"/>
    <n v="2.6"/>
    <x v="891"/>
    <n v="22890"/>
    <n v="24.48"/>
    <n v="16450"/>
    <n v="6440"/>
    <n v="6.89"/>
    <n v="427"/>
    <d v="2025-01-06T00:00:00"/>
  </r>
  <r>
    <s v="B02937"/>
    <s v="P083"/>
    <x v="9"/>
    <s v="Sold Out"/>
    <n v="53"/>
    <n v="53"/>
    <n v="0"/>
    <n v="0"/>
    <x v="865"/>
    <n v="26500"/>
    <n v="28.34"/>
    <n v="18550"/>
    <n v="7950"/>
    <n v="8.5"/>
    <n v="0"/>
    <d v="2025-02-07T00:00:00"/>
  </r>
  <r>
    <s v="B02938"/>
    <s v="P083"/>
    <x v="9"/>
    <s v="Partial Loss"/>
    <n v="51"/>
    <n v="49.21"/>
    <n v="1.79"/>
    <n v="3.5"/>
    <x v="892"/>
    <n v="24605"/>
    <n v="26.32"/>
    <n v="17850"/>
    <n v="6755"/>
    <n v="7.22"/>
    <n v="626.5"/>
    <d v="2025-03-17T00:00:00"/>
  </r>
  <r>
    <s v="B02939"/>
    <s v="P083"/>
    <x v="9"/>
    <s v="Sold Out"/>
    <n v="62"/>
    <n v="62"/>
    <n v="0"/>
    <n v="0"/>
    <x v="238"/>
    <n v="31000"/>
    <n v="33.159999999999997"/>
    <n v="21700"/>
    <n v="9300"/>
    <n v="9.9499999999999993"/>
    <n v="0"/>
    <d v="2025-04-16T00:00:00"/>
  </r>
  <r>
    <s v="B02940"/>
    <s v="P083"/>
    <x v="9"/>
    <s v="Partial Loss"/>
    <n v="48"/>
    <n v="46.03"/>
    <n v="1.97"/>
    <n v="4.0999999999999996"/>
    <x v="708"/>
    <n v="23015"/>
    <n v="24.61"/>
    <n v="16800"/>
    <n v="6215"/>
    <n v="6.65"/>
    <n v="689.5"/>
    <d v="2025-05-19T00:00:00"/>
  </r>
  <r>
    <s v="B02941"/>
    <s v="P083"/>
    <x v="9"/>
    <s v="Sold Out"/>
    <n v="59"/>
    <n v="59"/>
    <n v="0"/>
    <n v="0"/>
    <x v="380"/>
    <n v="29500"/>
    <n v="31.55"/>
    <n v="20650"/>
    <n v="8850"/>
    <n v="9.4700000000000006"/>
    <n v="0"/>
    <d v="2025-06-16T00:00:00"/>
  </r>
  <r>
    <s v="B02942"/>
    <s v="P084"/>
    <x v="9"/>
    <s v="Sold Out"/>
    <n v="78"/>
    <n v="78"/>
    <n v="0"/>
    <n v="0"/>
    <x v="248"/>
    <n v="78000"/>
    <n v="83.42"/>
    <n v="54600"/>
    <n v="23400"/>
    <n v="25.03"/>
    <n v="0"/>
    <d v="2023-07-01T00:00:00"/>
  </r>
  <r>
    <s v="B02943"/>
    <s v="P084"/>
    <x v="9"/>
    <s v="Partial Loss"/>
    <n v="73"/>
    <n v="71.25"/>
    <n v="1.75"/>
    <n v="2.4"/>
    <x v="30"/>
    <n v="71250"/>
    <n v="76.2"/>
    <n v="51100"/>
    <n v="20150"/>
    <n v="21.55"/>
    <n v="1225"/>
    <d v="2023-07-29T00:00:00"/>
  </r>
  <r>
    <s v="B02944"/>
    <s v="P084"/>
    <x v="9"/>
    <s v="Sold Out"/>
    <n v="106"/>
    <n v="106"/>
    <n v="0"/>
    <n v="0"/>
    <x v="445"/>
    <n v="106000"/>
    <n v="113.37"/>
    <n v="74200"/>
    <n v="31800"/>
    <n v="34.01"/>
    <n v="0"/>
    <d v="2023-09-03T00:00:00"/>
  </r>
  <r>
    <s v="B02945"/>
    <s v="P084"/>
    <x v="9"/>
    <s v="Partial Loss"/>
    <n v="32"/>
    <n v="29.79"/>
    <n v="2.21"/>
    <n v="6.9"/>
    <x v="108"/>
    <n v="29790"/>
    <n v="31.86"/>
    <n v="22400"/>
    <n v="7390"/>
    <n v="7.9"/>
    <n v="1547"/>
    <d v="2023-10-02T00:00:00"/>
  </r>
  <r>
    <s v="B02946"/>
    <s v="P084"/>
    <x v="9"/>
    <s v="Partial Loss"/>
    <n v="26"/>
    <n v="24.6"/>
    <n v="1.4"/>
    <n v="5.4"/>
    <x v="43"/>
    <n v="24600"/>
    <n v="26.31"/>
    <n v="18200"/>
    <n v="6400"/>
    <n v="6.84"/>
    <n v="979.99999999999989"/>
    <d v="2023-11-02T00:00:00"/>
  </r>
  <r>
    <s v="B02947"/>
    <s v="P084"/>
    <x v="9"/>
    <s v="Partial Loss"/>
    <n v="33"/>
    <n v="32.11"/>
    <n v="0.89"/>
    <n v="2.7"/>
    <x v="814"/>
    <n v="32110"/>
    <n v="34.340000000000003"/>
    <n v="23100"/>
    <n v="9010"/>
    <n v="9.64"/>
    <n v="623"/>
    <d v="2023-12-06T00:00:00"/>
  </r>
  <r>
    <s v="B02948"/>
    <s v="P084"/>
    <x v="9"/>
    <s v="Sold Out"/>
    <n v="34"/>
    <n v="34"/>
    <n v="0"/>
    <n v="0"/>
    <x v="310"/>
    <n v="34000"/>
    <n v="36.36"/>
    <n v="23800"/>
    <n v="10200"/>
    <n v="10.91"/>
    <n v="0"/>
    <d v="2024-01-08T00:00:00"/>
  </r>
  <r>
    <s v="B02949"/>
    <s v="P084"/>
    <x v="9"/>
    <s v="Partial Loss"/>
    <n v="26"/>
    <n v="24.8"/>
    <n v="1.2"/>
    <n v="4.5999999999999996"/>
    <x v="54"/>
    <n v="24800"/>
    <n v="26.52"/>
    <n v="18200"/>
    <n v="6600"/>
    <n v="7.06"/>
    <n v="840"/>
    <d v="2024-02-21T00:00:00"/>
  </r>
  <r>
    <s v="B02950"/>
    <s v="P084"/>
    <x v="9"/>
    <s v="Partial Loss"/>
    <n v="28"/>
    <n v="26.6"/>
    <n v="1.4"/>
    <n v="5"/>
    <x v="628"/>
    <n v="26600"/>
    <n v="28.45"/>
    <n v="19600"/>
    <n v="7000"/>
    <n v="7.49"/>
    <n v="979.99999999999989"/>
    <d v="2024-03-22T00:00:00"/>
  </r>
  <r>
    <s v="B02951"/>
    <s v="P084"/>
    <x v="9"/>
    <s v="Sold Out"/>
    <n v="73"/>
    <n v="73"/>
    <n v="0"/>
    <n v="0"/>
    <x v="315"/>
    <n v="73000"/>
    <n v="78.069999999999993"/>
    <n v="51100"/>
    <n v="21900"/>
    <n v="23.42"/>
    <n v="0"/>
    <d v="2024-04-21T00:00:00"/>
  </r>
  <r>
    <s v="B02952"/>
    <s v="P084"/>
    <x v="9"/>
    <s v="Partial Loss"/>
    <n v="86"/>
    <n v="83.16"/>
    <n v="2.84"/>
    <n v="3.3"/>
    <x v="288"/>
    <n v="83160"/>
    <n v="88.94"/>
    <n v="60200"/>
    <n v="22960"/>
    <n v="24.56"/>
    <n v="1988"/>
    <d v="2024-05-26T00:00:00"/>
  </r>
  <r>
    <s v="B02953"/>
    <s v="P084"/>
    <x v="9"/>
    <s v="Partial Loss"/>
    <n v="70"/>
    <n v="67.83"/>
    <n v="2.17"/>
    <n v="3.1"/>
    <x v="817"/>
    <n v="67830"/>
    <n v="72.55"/>
    <n v="49000"/>
    <n v="18830"/>
    <n v="20.14"/>
    <n v="1519"/>
    <d v="2024-06-22T00:00:00"/>
  </r>
  <r>
    <s v="B02954"/>
    <s v="P084"/>
    <x v="9"/>
    <s v="Sold Out"/>
    <n v="70"/>
    <n v="70"/>
    <n v="0"/>
    <n v="0"/>
    <x v="275"/>
    <n v="70000"/>
    <n v="74.87"/>
    <n v="49000"/>
    <n v="21000"/>
    <n v="22.46"/>
    <n v="0"/>
    <d v="2024-07-31T00:00:00"/>
  </r>
  <r>
    <s v="B02955"/>
    <s v="P084"/>
    <x v="9"/>
    <s v="Partial Loss"/>
    <n v="98"/>
    <n v="95.26"/>
    <n v="2.74"/>
    <n v="2.8"/>
    <x v="72"/>
    <n v="95260"/>
    <n v="101.88"/>
    <n v="68600"/>
    <n v="26660"/>
    <n v="28.51"/>
    <n v="1918.0000000000002"/>
    <d v="2024-09-08T00:00:00"/>
  </r>
  <r>
    <s v="B02956"/>
    <s v="P084"/>
    <x v="9"/>
    <s v="Partial Loss"/>
    <n v="33"/>
    <n v="31.71"/>
    <n v="1.29"/>
    <n v="3.9"/>
    <x v="648"/>
    <n v="31710"/>
    <n v="33.909999999999997"/>
    <n v="23100"/>
    <n v="8610"/>
    <n v="9.2100000000000009"/>
    <n v="903"/>
    <d v="2024-10-13T00:00:00"/>
  </r>
  <r>
    <s v="B02957"/>
    <s v="P084"/>
    <x v="9"/>
    <s v="Partial Loss"/>
    <n v="33"/>
    <n v="30.86"/>
    <n v="2.15"/>
    <n v="6.5"/>
    <x v="725"/>
    <n v="30860"/>
    <n v="33.01"/>
    <n v="23100"/>
    <n v="7760"/>
    <n v="8.3000000000000007"/>
    <n v="1505"/>
    <d v="2024-11-22T00:00:00"/>
  </r>
  <r>
    <s v="B02958"/>
    <s v="P084"/>
    <x v="9"/>
    <s v="Sold Out"/>
    <n v="44"/>
    <n v="44"/>
    <n v="0"/>
    <n v="0"/>
    <x v="522"/>
    <n v="44000"/>
    <n v="47.06"/>
    <n v="30800"/>
    <n v="13200"/>
    <n v="14.12"/>
    <n v="0"/>
    <d v="2024-12-20T00:00:00"/>
  </r>
  <r>
    <s v="B02959"/>
    <s v="P084"/>
    <x v="9"/>
    <s v="Sold Out"/>
    <n v="29"/>
    <n v="29"/>
    <n v="0"/>
    <n v="0"/>
    <x v="231"/>
    <n v="29000"/>
    <n v="31.02"/>
    <n v="20300"/>
    <n v="8700"/>
    <n v="9.3000000000000007"/>
    <n v="0"/>
    <d v="2025-01-23T00:00:00"/>
  </r>
  <r>
    <s v="B02960"/>
    <s v="P084"/>
    <x v="9"/>
    <s v="Partial Loss"/>
    <n v="32"/>
    <n v="29.79"/>
    <n v="2.21"/>
    <n v="6.9"/>
    <x v="893"/>
    <n v="29790"/>
    <n v="31.86"/>
    <n v="22400"/>
    <n v="7390"/>
    <n v="7.9"/>
    <n v="1547"/>
    <d v="2025-02-21T00:00:00"/>
  </r>
  <r>
    <s v="B02961"/>
    <s v="P084"/>
    <x v="9"/>
    <s v="Partial Loss"/>
    <n v="35"/>
    <n v="33.630000000000003"/>
    <n v="1.36"/>
    <n v="3.9"/>
    <x v="731"/>
    <n v="33630"/>
    <n v="35.97"/>
    <n v="24500"/>
    <n v="9130"/>
    <n v="9.76"/>
    <n v="952.00000000000011"/>
    <d v="2025-03-24T00:00:00"/>
  </r>
  <r>
    <s v="B02962"/>
    <s v="P084"/>
    <x v="9"/>
    <s v="Partial Loss"/>
    <n v="91"/>
    <n v="88.72"/>
    <n v="2.27"/>
    <n v="2.5"/>
    <x v="894"/>
    <n v="88720"/>
    <n v="94.89"/>
    <n v="63700"/>
    <n v="25020"/>
    <n v="26.76"/>
    <n v="1589"/>
    <d v="2025-05-02T00:00:00"/>
  </r>
  <r>
    <s v="B02963"/>
    <s v="P084"/>
    <x v="9"/>
    <s v="Sold Out"/>
    <n v="96"/>
    <n v="96"/>
    <n v="0"/>
    <n v="0"/>
    <x v="340"/>
    <n v="96000"/>
    <n v="102.67"/>
    <n v="67200"/>
    <n v="28800"/>
    <n v="30.8"/>
    <n v="0"/>
    <d v="2025-05-23T00:00:00"/>
  </r>
  <r>
    <s v="B02964"/>
    <s v="P085"/>
    <x v="9"/>
    <s v="Partial Loss"/>
    <n v="81"/>
    <n v="77.03"/>
    <n v="3.97"/>
    <n v="4.9000000000000004"/>
    <x v="166"/>
    <n v="77030"/>
    <n v="82.39"/>
    <n v="56700"/>
    <n v="20330"/>
    <n v="21.74"/>
    <n v="2779"/>
    <d v="2023-07-08T00:00:00"/>
  </r>
  <r>
    <s v="B02965"/>
    <s v="P085"/>
    <x v="9"/>
    <s v="Sold Out"/>
    <n v="83"/>
    <n v="83"/>
    <n v="0"/>
    <n v="0"/>
    <x v="420"/>
    <n v="83000"/>
    <n v="88.77"/>
    <n v="58100"/>
    <n v="24900"/>
    <n v="26.63"/>
    <n v="0"/>
    <d v="2023-08-14T00:00:00"/>
  </r>
  <r>
    <s v="B02966"/>
    <s v="P085"/>
    <x v="9"/>
    <s v="Sold Out"/>
    <n v="88"/>
    <n v="88"/>
    <n v="0"/>
    <n v="0"/>
    <x v="534"/>
    <n v="88000"/>
    <n v="94.12"/>
    <n v="61600"/>
    <n v="26400"/>
    <n v="28.24"/>
    <n v="0"/>
    <d v="2023-09-24T00:00:00"/>
  </r>
  <r>
    <s v="B02967"/>
    <s v="P085"/>
    <x v="9"/>
    <s v="Partial Loss"/>
    <n v="31"/>
    <n v="29.85"/>
    <n v="1.1499999999999999"/>
    <n v="3.7"/>
    <x v="272"/>
    <n v="29850"/>
    <n v="31.93"/>
    <n v="21700"/>
    <n v="8150"/>
    <n v="8.7200000000000006"/>
    <n v="804.99999999999989"/>
    <d v="2023-10-31T00:00:00"/>
  </r>
  <r>
    <s v="B02968"/>
    <s v="P085"/>
    <x v="9"/>
    <s v="Sold Out"/>
    <n v="32"/>
    <n v="32"/>
    <n v="0"/>
    <n v="0"/>
    <x v="153"/>
    <n v="32000"/>
    <n v="34.22"/>
    <n v="22400"/>
    <n v="9600"/>
    <n v="10.27"/>
    <n v="0"/>
    <d v="2023-11-30T00:00:00"/>
  </r>
  <r>
    <s v="B02969"/>
    <s v="P085"/>
    <x v="9"/>
    <s v="Partial Loss"/>
    <n v="31"/>
    <n v="30.07"/>
    <n v="0.93"/>
    <n v="3"/>
    <x v="116"/>
    <n v="30070"/>
    <n v="32.159999999999997"/>
    <n v="21700"/>
    <n v="8370"/>
    <n v="8.9499999999999993"/>
    <n v="651"/>
    <d v="2024-01-04T00:00:00"/>
  </r>
  <r>
    <s v="B02970"/>
    <s v="P085"/>
    <x v="9"/>
    <s v="Partial Loss"/>
    <n v="28"/>
    <n v="26.26"/>
    <n v="1.74"/>
    <n v="6.2"/>
    <x v="610"/>
    <n v="26260"/>
    <n v="28.09"/>
    <n v="19600"/>
    <n v="6660"/>
    <n v="7.12"/>
    <n v="1218"/>
    <d v="2024-02-05T00:00:00"/>
  </r>
  <r>
    <s v="B02971"/>
    <s v="P085"/>
    <x v="9"/>
    <s v="Sold Out"/>
    <n v="26"/>
    <n v="26"/>
    <n v="0"/>
    <n v="0"/>
    <x v="263"/>
    <n v="26000"/>
    <n v="27.81"/>
    <n v="18200"/>
    <n v="7800"/>
    <n v="8.34"/>
    <n v="0"/>
    <d v="2024-03-10T00:00:00"/>
  </r>
  <r>
    <s v="B02972"/>
    <s v="P085"/>
    <x v="9"/>
    <s v="Sold Out"/>
    <n v="82"/>
    <n v="82"/>
    <n v="0"/>
    <n v="0"/>
    <x v="95"/>
    <n v="82000"/>
    <n v="87.7"/>
    <n v="57400"/>
    <n v="24600"/>
    <n v="26.31"/>
    <n v="0"/>
    <d v="2024-04-08T00:00:00"/>
  </r>
  <r>
    <s v="B02973"/>
    <s v="P085"/>
    <x v="9"/>
    <s v="Partial Loss"/>
    <n v="82"/>
    <n v="78.47"/>
    <n v="3.53"/>
    <n v="4.3"/>
    <x v="185"/>
    <n v="78470"/>
    <n v="83.93"/>
    <n v="57400"/>
    <n v="21070"/>
    <n v="22.53"/>
    <n v="2471"/>
    <d v="2024-05-13T00:00:00"/>
  </r>
  <r>
    <s v="B02974"/>
    <s v="P085"/>
    <x v="9"/>
    <s v="Sold Out"/>
    <n v="72"/>
    <n v="72"/>
    <n v="0"/>
    <n v="0"/>
    <x v="37"/>
    <n v="72000"/>
    <n v="77.010000000000005"/>
    <n v="50400"/>
    <n v="21600"/>
    <n v="23.1"/>
    <n v="0"/>
    <d v="2024-06-23T00:00:00"/>
  </r>
  <r>
    <s v="B02975"/>
    <s v="P085"/>
    <x v="9"/>
    <s v="Sold Out"/>
    <n v="89"/>
    <n v="89"/>
    <n v="0"/>
    <n v="0"/>
    <x v="40"/>
    <n v="89000"/>
    <n v="95.19"/>
    <n v="62300"/>
    <n v="26700"/>
    <n v="28.56"/>
    <n v="0"/>
    <d v="2024-07-26T00:00:00"/>
  </r>
  <r>
    <s v="B02976"/>
    <s v="P085"/>
    <x v="9"/>
    <s v="Sold Out"/>
    <n v="71"/>
    <n v="71"/>
    <n v="0"/>
    <n v="0"/>
    <x v="554"/>
    <n v="71000"/>
    <n v="75.94"/>
    <n v="49700"/>
    <n v="21300"/>
    <n v="22.78"/>
    <n v="0"/>
    <d v="2024-08-20T00:00:00"/>
  </r>
  <r>
    <s v="B02977"/>
    <s v="P085"/>
    <x v="9"/>
    <s v="Partial Loss"/>
    <n v="98"/>
    <n v="97.12"/>
    <n v="0.88"/>
    <n v="0.9"/>
    <x v="379"/>
    <n v="97120"/>
    <n v="103.87"/>
    <n v="68600"/>
    <n v="28520"/>
    <n v="30.5"/>
    <n v="616"/>
    <d v="2024-09-21T00:00:00"/>
  </r>
  <r>
    <s v="B02978"/>
    <s v="P085"/>
    <x v="9"/>
    <s v="Partial Loss"/>
    <n v="31"/>
    <n v="30.1"/>
    <n v="0.9"/>
    <n v="2.9"/>
    <x v="678"/>
    <n v="30100"/>
    <n v="32.19"/>
    <n v="21700"/>
    <n v="8400"/>
    <n v="8.98"/>
    <n v="630"/>
    <d v="2024-10-27T00:00:00"/>
  </r>
  <r>
    <s v="B02979"/>
    <s v="P085"/>
    <x v="9"/>
    <s v="Sold Out"/>
    <n v="36"/>
    <n v="36"/>
    <n v="0"/>
    <n v="0"/>
    <x v="229"/>
    <n v="36000"/>
    <n v="38.5"/>
    <n v="25200"/>
    <n v="10800"/>
    <n v="11.55"/>
    <n v="0"/>
    <d v="2024-12-02T00:00:00"/>
  </r>
  <r>
    <s v="B02980"/>
    <s v="P085"/>
    <x v="9"/>
    <s v="Partial Loss"/>
    <n v="33"/>
    <n v="32.08"/>
    <n v="0.92"/>
    <n v="2.8"/>
    <x v="749"/>
    <n v="32080"/>
    <n v="34.31"/>
    <n v="23100"/>
    <n v="8980"/>
    <n v="9.6"/>
    <n v="644"/>
    <d v="2025-01-09T00:00:00"/>
  </r>
  <r>
    <s v="B02981"/>
    <s v="P085"/>
    <x v="9"/>
    <s v="Partial Loss"/>
    <n v="29"/>
    <n v="27.61"/>
    <n v="1.39"/>
    <n v="4.8"/>
    <x v="895"/>
    <n v="27610"/>
    <n v="29.53"/>
    <n v="20300"/>
    <n v="7310"/>
    <n v="7.82"/>
    <n v="972.99999999999989"/>
    <d v="2025-02-11T00:00:00"/>
  </r>
  <r>
    <s v="B02982"/>
    <s v="P085"/>
    <x v="9"/>
    <s v="Partial Loss"/>
    <n v="30"/>
    <n v="28.32"/>
    <n v="1.68"/>
    <n v="5.6"/>
    <x v="896"/>
    <n v="28320"/>
    <n v="30.29"/>
    <n v="21000"/>
    <n v="7320"/>
    <n v="7.83"/>
    <n v="1176"/>
    <d v="2025-03-21T00:00:00"/>
  </r>
  <r>
    <s v="B02983"/>
    <s v="P085"/>
    <x v="9"/>
    <s v="Sold Out"/>
    <n v="75"/>
    <n v="75"/>
    <n v="0"/>
    <n v="0"/>
    <x v="614"/>
    <n v="75000"/>
    <n v="80.209999999999994"/>
    <n v="52500"/>
    <n v="22500"/>
    <n v="24.06"/>
    <n v="0"/>
    <d v="2025-04-17T00:00:00"/>
  </r>
  <r>
    <s v="B02984"/>
    <s v="P085"/>
    <x v="9"/>
    <s v="Sold Out"/>
    <n v="78"/>
    <n v="78"/>
    <n v="0"/>
    <n v="0"/>
    <x v="200"/>
    <n v="78000"/>
    <n v="83.42"/>
    <n v="54600"/>
    <n v="23400"/>
    <n v="25.03"/>
    <n v="0"/>
    <d v="2025-06-01T00:00:00"/>
  </r>
  <r>
    <s v="B02985"/>
    <s v="P086"/>
    <x v="9"/>
    <s v="Partial Loss"/>
    <n v="53"/>
    <n v="51.94"/>
    <n v="1.06"/>
    <n v="2"/>
    <x v="451"/>
    <n v="51940"/>
    <n v="55.55"/>
    <n v="34450"/>
    <n v="17490"/>
    <n v="18.71"/>
    <n v="689"/>
    <d v="2023-07-18T00:00:00"/>
  </r>
  <r>
    <s v="B02986"/>
    <s v="P086"/>
    <x v="9"/>
    <s v="Partial Loss"/>
    <n v="56"/>
    <n v="54.43"/>
    <n v="1.57"/>
    <n v="2.8"/>
    <x v="860"/>
    <n v="54430"/>
    <n v="58.21"/>
    <n v="36400"/>
    <n v="18030"/>
    <n v="19.28"/>
    <n v="1020.5"/>
    <d v="2023-08-28T00:00:00"/>
  </r>
  <r>
    <s v="B02987"/>
    <s v="P086"/>
    <x v="9"/>
    <s v="Partial Loss"/>
    <n v="45"/>
    <n v="43.02"/>
    <n v="1.98"/>
    <n v="4.4000000000000004"/>
    <x v="487"/>
    <n v="43020"/>
    <n v="46.01"/>
    <n v="29250"/>
    <n v="13770"/>
    <n v="14.73"/>
    <n v="1287"/>
    <d v="2023-10-07T00:00:00"/>
  </r>
  <r>
    <s v="B02988"/>
    <s v="P086"/>
    <x v="9"/>
    <s v="Sold Out"/>
    <n v="55"/>
    <n v="55"/>
    <n v="0"/>
    <n v="0"/>
    <x v="479"/>
    <n v="55000"/>
    <n v="58.82"/>
    <n v="35750"/>
    <n v="19250"/>
    <n v="20.59"/>
    <n v="0"/>
    <d v="2023-11-09T00:00:00"/>
  </r>
  <r>
    <s v="B02989"/>
    <s v="P086"/>
    <x v="9"/>
    <s v="Sold Out"/>
    <n v="59"/>
    <n v="59"/>
    <n v="0"/>
    <n v="0"/>
    <x v="846"/>
    <n v="59000"/>
    <n v="63.1"/>
    <n v="38350"/>
    <n v="20650"/>
    <n v="22.09"/>
    <n v="0"/>
    <d v="2023-12-09T00:00:00"/>
  </r>
  <r>
    <s v="B02990"/>
    <s v="P086"/>
    <x v="9"/>
    <s v="Partial Loss"/>
    <n v="51"/>
    <n v="49.52"/>
    <n v="1.48"/>
    <n v="2.9"/>
    <x v="777"/>
    <n v="49520"/>
    <n v="52.96"/>
    <n v="33150"/>
    <n v="16370"/>
    <n v="17.510000000000002"/>
    <n v="962"/>
    <d v="2024-01-21T00:00:00"/>
  </r>
  <r>
    <s v="B02991"/>
    <s v="P086"/>
    <x v="9"/>
    <s v="Partial Loss"/>
    <n v="54"/>
    <n v="51.41"/>
    <n v="2.59"/>
    <n v="4.8"/>
    <x v="579"/>
    <n v="51410"/>
    <n v="54.98"/>
    <n v="35100"/>
    <n v="16310"/>
    <n v="17.440000000000001"/>
    <n v="1683.5"/>
    <d v="2024-02-28T00:00:00"/>
  </r>
  <r>
    <s v="B02992"/>
    <s v="P086"/>
    <x v="9"/>
    <s v="Sold Out"/>
    <n v="56"/>
    <n v="56"/>
    <n v="0"/>
    <n v="0"/>
    <x v="546"/>
    <n v="56000"/>
    <n v="59.89"/>
    <n v="39200"/>
    <n v="16800"/>
    <n v="17.97"/>
    <n v="0"/>
    <d v="2024-03-30T00:00:00"/>
  </r>
  <r>
    <s v="B02993"/>
    <s v="P086"/>
    <x v="9"/>
    <s v="Sold Out"/>
    <n v="55"/>
    <n v="55"/>
    <n v="0"/>
    <n v="0"/>
    <x v="104"/>
    <n v="55000"/>
    <n v="58.82"/>
    <n v="35750"/>
    <n v="19250"/>
    <n v="20.59"/>
    <n v="0"/>
    <d v="2024-05-01T00:00:00"/>
  </r>
  <r>
    <s v="B02994"/>
    <s v="P086"/>
    <x v="9"/>
    <s v="Sold Out"/>
    <n v="49"/>
    <n v="49"/>
    <n v="0"/>
    <n v="0"/>
    <x v="755"/>
    <n v="49000"/>
    <n v="52.41"/>
    <n v="34300"/>
    <n v="14700"/>
    <n v="15.72"/>
    <n v="0"/>
    <d v="2024-05-24T00:00:00"/>
  </r>
  <r>
    <s v="B02995"/>
    <s v="P086"/>
    <x v="9"/>
    <s v="Sold Out"/>
    <n v="52"/>
    <n v="52"/>
    <n v="0"/>
    <n v="0"/>
    <x v="426"/>
    <n v="52000"/>
    <n v="55.61"/>
    <n v="33800"/>
    <n v="18200"/>
    <n v="19.47"/>
    <n v="0"/>
    <d v="2024-07-03T00:00:00"/>
  </r>
  <r>
    <s v="B02996"/>
    <s v="P086"/>
    <x v="9"/>
    <s v="Sold Out"/>
    <n v="49"/>
    <n v="49"/>
    <n v="0"/>
    <n v="0"/>
    <x v="366"/>
    <n v="49000"/>
    <n v="52.41"/>
    <n v="34300"/>
    <n v="14700"/>
    <n v="15.72"/>
    <n v="0"/>
    <d v="2024-08-12T00:00:00"/>
  </r>
  <r>
    <s v="B02997"/>
    <s v="P086"/>
    <x v="9"/>
    <s v="Partial Loss"/>
    <n v="59"/>
    <n v="57.58"/>
    <n v="1.42"/>
    <n v="2.4"/>
    <x v="76"/>
    <n v="57580"/>
    <n v="61.58"/>
    <n v="38350"/>
    <n v="19230"/>
    <n v="20.57"/>
    <n v="923"/>
    <d v="2024-09-09T00:00:00"/>
  </r>
  <r>
    <s v="B02998"/>
    <s v="P086"/>
    <x v="9"/>
    <s v="Sold Out"/>
    <n v="48"/>
    <n v="48"/>
    <n v="0"/>
    <n v="0"/>
    <x v="51"/>
    <n v="48000"/>
    <n v="51.34"/>
    <n v="31200"/>
    <n v="16800"/>
    <n v="17.97"/>
    <n v="0"/>
    <d v="2024-10-15T00:00:00"/>
  </r>
  <r>
    <s v="B02999"/>
    <s v="P086"/>
    <x v="9"/>
    <s v="Sold Out"/>
    <n v="51"/>
    <n v="51"/>
    <n v="0"/>
    <n v="0"/>
    <x v="330"/>
    <n v="51000"/>
    <n v="54.55"/>
    <n v="33150"/>
    <n v="17850"/>
    <n v="19.09"/>
    <n v="0"/>
    <d v="2024-11-22T00:00:00"/>
  </r>
  <r>
    <s v="B03000"/>
    <s v="P086"/>
    <x v="9"/>
    <s v="Sold Out"/>
    <n v="57"/>
    <n v="57"/>
    <n v="0"/>
    <n v="0"/>
    <x v="58"/>
    <n v="57000"/>
    <n v="60.96"/>
    <n v="37050"/>
    <n v="19950"/>
    <n v="21.34"/>
    <n v="0"/>
    <d v="2024-12-24T00:00:00"/>
  </r>
  <r>
    <s v="B03001"/>
    <s v="P086"/>
    <x v="9"/>
    <s v="Partial Loss"/>
    <n v="48"/>
    <n v="46.27"/>
    <n v="1.73"/>
    <n v="3.6"/>
    <x v="897"/>
    <n v="46270"/>
    <n v="49.49"/>
    <n v="31200"/>
    <n v="15070"/>
    <n v="16.12"/>
    <n v="1124.5"/>
    <d v="2025-01-26T00:00:00"/>
  </r>
  <r>
    <s v="B03002"/>
    <s v="P086"/>
    <x v="9"/>
    <s v="Sold Out"/>
    <n v="47"/>
    <n v="47"/>
    <n v="0"/>
    <n v="0"/>
    <x v="68"/>
    <n v="47000"/>
    <n v="50.27"/>
    <n v="30550"/>
    <n v="16450"/>
    <n v="17.59"/>
    <n v="0"/>
    <d v="2025-03-13T00:00:00"/>
  </r>
  <r>
    <s v="B03003"/>
    <s v="P086"/>
    <x v="9"/>
    <s v="Partial Loss"/>
    <n v="54"/>
    <n v="52.22"/>
    <n v="1.78"/>
    <n v="3.3"/>
    <x v="898"/>
    <n v="52220"/>
    <n v="55.85"/>
    <n v="37800"/>
    <n v="14420"/>
    <n v="15.42"/>
    <n v="1246"/>
    <d v="2025-04-17T00:00:00"/>
  </r>
  <r>
    <s v="B03004"/>
    <s v="P086"/>
    <x v="9"/>
    <s v="Partial Loss"/>
    <n v="48"/>
    <n v="46.94"/>
    <n v="1.06"/>
    <n v="2.2000000000000002"/>
    <x v="899"/>
    <n v="46940"/>
    <n v="50.2"/>
    <n v="31200"/>
    <n v="15740"/>
    <n v="16.829999999999998"/>
    <n v="689"/>
    <d v="2025-05-20T00:00:00"/>
  </r>
  <r>
    <s v="B03005"/>
    <s v="P086"/>
    <x v="9"/>
    <s v="Partial Loss"/>
    <n v="61"/>
    <n v="57.58"/>
    <n v="3.42"/>
    <n v="5.6"/>
    <x v="900"/>
    <n v="57580"/>
    <n v="61.58"/>
    <n v="39650"/>
    <n v="17930"/>
    <n v="19.18"/>
    <n v="2223"/>
    <d v="2025-06-22T00:00:00"/>
  </r>
  <r>
    <s v="B03006"/>
    <s v="P087"/>
    <x v="9"/>
    <s v="Sold Out"/>
    <n v="54"/>
    <n v="54"/>
    <n v="0"/>
    <n v="0"/>
    <x v="202"/>
    <n v="27000"/>
    <n v="28.88"/>
    <n v="18900"/>
    <n v="8100"/>
    <n v="8.66"/>
    <n v="0"/>
    <d v="2023-07-15T00:00:00"/>
  </r>
  <r>
    <s v="B03007"/>
    <s v="P087"/>
    <x v="9"/>
    <s v="Partial Loss"/>
    <n v="53"/>
    <n v="51.52"/>
    <n v="1.48"/>
    <n v="2.8"/>
    <x v="547"/>
    <n v="25760"/>
    <n v="27.55"/>
    <n v="18550"/>
    <n v="7210"/>
    <n v="7.71"/>
    <n v="518"/>
    <d v="2023-08-24T00:00:00"/>
  </r>
  <r>
    <s v="B03008"/>
    <s v="P087"/>
    <x v="9"/>
    <s v="Partial Loss"/>
    <n v="56"/>
    <n v="52.92"/>
    <n v="3.08"/>
    <n v="5.5"/>
    <x v="37"/>
    <n v="26460"/>
    <n v="28.3"/>
    <n v="19600"/>
    <n v="6860"/>
    <n v="7.34"/>
    <n v="1078"/>
    <d v="2023-10-03T00:00:00"/>
  </r>
  <r>
    <s v="B03009"/>
    <s v="P087"/>
    <x v="9"/>
    <s v="Sold Out"/>
    <n v="49"/>
    <n v="49"/>
    <n v="0"/>
    <n v="0"/>
    <x v="352"/>
    <n v="24500"/>
    <n v="26.2"/>
    <n v="17150"/>
    <n v="7350"/>
    <n v="7.86"/>
    <n v="0"/>
    <d v="2023-11-03T00:00:00"/>
  </r>
  <r>
    <s v="B03010"/>
    <s v="P087"/>
    <x v="9"/>
    <s v="Sold Out"/>
    <n v="61"/>
    <n v="61"/>
    <n v="0"/>
    <n v="0"/>
    <x v="354"/>
    <n v="30500"/>
    <n v="32.619999999999997"/>
    <n v="21350"/>
    <n v="9150"/>
    <n v="9.7899999999999991"/>
    <n v="0"/>
    <d v="2023-12-05T00:00:00"/>
  </r>
  <r>
    <s v="B03011"/>
    <s v="P087"/>
    <x v="9"/>
    <s v="Sold Out"/>
    <n v="45"/>
    <n v="45"/>
    <n v="0"/>
    <n v="0"/>
    <x v="541"/>
    <n v="22500"/>
    <n v="24.06"/>
    <n v="15750"/>
    <n v="6750"/>
    <n v="7.22"/>
    <n v="0"/>
    <d v="2024-01-02T00:00:00"/>
  </r>
  <r>
    <s v="B03012"/>
    <s v="P087"/>
    <x v="9"/>
    <s v="Partial Loss"/>
    <n v="48"/>
    <n v="46.03"/>
    <n v="1.97"/>
    <n v="4.0999999999999996"/>
    <x v="609"/>
    <n v="23015"/>
    <n v="24.61"/>
    <n v="16800"/>
    <n v="6215"/>
    <n v="6.65"/>
    <n v="689.5"/>
    <d v="2024-01-26T00:00:00"/>
  </r>
  <r>
    <s v="B03013"/>
    <s v="P087"/>
    <x v="9"/>
    <s v="Sold Out"/>
    <n v="52"/>
    <n v="52"/>
    <n v="0"/>
    <n v="0"/>
    <x v="359"/>
    <n v="26000"/>
    <n v="27.81"/>
    <n v="18200"/>
    <n v="7800"/>
    <n v="8.34"/>
    <n v="0"/>
    <d v="2024-03-05T00:00:00"/>
  </r>
  <r>
    <s v="B03014"/>
    <s v="P087"/>
    <x v="9"/>
    <s v="Sold Out"/>
    <n v="45"/>
    <n v="45"/>
    <n v="0"/>
    <n v="0"/>
    <x v="652"/>
    <n v="22500"/>
    <n v="24.06"/>
    <n v="15750"/>
    <n v="6750"/>
    <n v="7.22"/>
    <n v="0"/>
    <d v="2024-04-08T00:00:00"/>
  </r>
  <r>
    <s v="B03015"/>
    <s v="P087"/>
    <x v="9"/>
    <s v="Sold Out"/>
    <n v="49"/>
    <n v="49"/>
    <n v="0"/>
    <n v="0"/>
    <x v="106"/>
    <n v="24500"/>
    <n v="26.2"/>
    <n v="17150"/>
    <n v="7350"/>
    <n v="7.86"/>
    <n v="0"/>
    <d v="2024-05-11T00:00:00"/>
  </r>
  <r>
    <s v="B03016"/>
    <s v="P087"/>
    <x v="9"/>
    <s v="Partial Loss"/>
    <n v="57"/>
    <n v="56.71"/>
    <n v="0.28999999999999998"/>
    <n v="0.5"/>
    <x v="467"/>
    <n v="28355"/>
    <n v="30.33"/>
    <n v="19950"/>
    <n v="8405"/>
    <n v="8.99"/>
    <n v="101.5"/>
    <d v="2024-06-24T00:00:00"/>
  </r>
  <r>
    <s v="B03017"/>
    <s v="P087"/>
    <x v="9"/>
    <s v="Sold Out"/>
    <n v="45"/>
    <n v="45"/>
    <n v="0"/>
    <n v="0"/>
    <x v="172"/>
    <n v="22500"/>
    <n v="24.06"/>
    <n v="15750"/>
    <n v="6750"/>
    <n v="7.22"/>
    <n v="0"/>
    <d v="2024-07-29T00:00:00"/>
  </r>
  <r>
    <s v="B03018"/>
    <s v="P087"/>
    <x v="9"/>
    <s v="Sold Out"/>
    <n v="68"/>
    <n v="68"/>
    <n v="0"/>
    <n v="0"/>
    <x v="519"/>
    <n v="34000"/>
    <n v="36.36"/>
    <n v="23800"/>
    <n v="10200"/>
    <n v="10.91"/>
    <n v="0"/>
    <d v="2024-09-13T00:00:00"/>
  </r>
  <r>
    <s v="B03019"/>
    <s v="P087"/>
    <x v="9"/>
    <s v="Sold Out"/>
    <n v="52"/>
    <n v="52"/>
    <n v="0"/>
    <n v="0"/>
    <x v="429"/>
    <n v="26000"/>
    <n v="27.81"/>
    <n v="18200"/>
    <n v="7800"/>
    <n v="8.34"/>
    <n v="0"/>
    <d v="2024-10-10T00:00:00"/>
  </r>
  <r>
    <s v="B03020"/>
    <s v="P087"/>
    <x v="9"/>
    <s v="Sold Out"/>
    <n v="50"/>
    <n v="50"/>
    <n v="0"/>
    <n v="0"/>
    <x v="330"/>
    <n v="25000"/>
    <n v="26.74"/>
    <n v="17500"/>
    <n v="7500"/>
    <n v="8.02"/>
    <n v="0"/>
    <d v="2024-11-08T00:00:00"/>
  </r>
  <r>
    <s v="B03021"/>
    <s v="P087"/>
    <x v="9"/>
    <s v="Sold Out"/>
    <n v="56"/>
    <n v="56"/>
    <n v="0"/>
    <n v="0"/>
    <x v="628"/>
    <n v="28000"/>
    <n v="29.95"/>
    <n v="19600"/>
    <n v="8400"/>
    <n v="8.98"/>
    <n v="0"/>
    <d v="2024-12-17T00:00:00"/>
  </r>
  <r>
    <s v="B03022"/>
    <s v="P087"/>
    <x v="9"/>
    <s v="Partial Loss"/>
    <n v="50"/>
    <n v="48.5"/>
    <n v="1.5"/>
    <n v="3"/>
    <x v="674"/>
    <n v="24250"/>
    <n v="25.94"/>
    <n v="17500"/>
    <n v="6750"/>
    <n v="7.22"/>
    <n v="525"/>
    <d v="2025-01-14T00:00:00"/>
  </r>
  <r>
    <s v="B03023"/>
    <s v="P087"/>
    <x v="9"/>
    <s v="Partial Loss"/>
    <n v="57"/>
    <n v="54.95"/>
    <n v="2.0499999999999998"/>
    <n v="3.6"/>
    <x v="800"/>
    <n v="27475"/>
    <n v="29.39"/>
    <n v="19950"/>
    <n v="7525"/>
    <n v="8.0500000000000007"/>
    <n v="717.49999999999989"/>
    <d v="2025-02-22T00:00:00"/>
  </r>
  <r>
    <s v="B03024"/>
    <s v="P087"/>
    <x v="9"/>
    <s v="Sold Out"/>
    <n v="58"/>
    <n v="58"/>
    <n v="0"/>
    <n v="0"/>
    <x v="377"/>
    <n v="29000"/>
    <n v="31.02"/>
    <n v="20300"/>
    <n v="8700"/>
    <n v="9.3000000000000007"/>
    <n v="0"/>
    <d v="2025-04-03T00:00:00"/>
  </r>
  <r>
    <s v="B03025"/>
    <s v="P087"/>
    <x v="9"/>
    <s v="Sold Out"/>
    <n v="53"/>
    <n v="53"/>
    <n v="0"/>
    <n v="0"/>
    <x v="192"/>
    <n v="26500"/>
    <n v="28.34"/>
    <n v="18550"/>
    <n v="7950"/>
    <n v="8.5"/>
    <n v="0"/>
    <d v="2025-05-04T00:00:00"/>
  </r>
  <r>
    <s v="B03026"/>
    <s v="P087"/>
    <x v="9"/>
    <s v="Partial Loss"/>
    <n v="55"/>
    <n v="53.9"/>
    <n v="1.1000000000000001"/>
    <n v="2"/>
    <x v="901"/>
    <n v="26950"/>
    <n v="28.82"/>
    <n v="19250"/>
    <n v="7700"/>
    <n v="8.24"/>
    <n v="385.00000000000006"/>
    <d v="2025-06-02T00:00:00"/>
  </r>
  <r>
    <s v="B03027"/>
    <s v="P088"/>
    <x v="9"/>
    <s v="Sold Out"/>
    <n v="54"/>
    <n v="54"/>
    <n v="0"/>
    <n v="0"/>
    <x v="805"/>
    <n v="54000"/>
    <n v="57.75"/>
    <n v="40500"/>
    <n v="13500"/>
    <n v="14.44"/>
    <n v="0"/>
    <d v="2023-07-11T00:00:00"/>
  </r>
  <r>
    <s v="B03028"/>
    <s v="P088"/>
    <x v="9"/>
    <s v="Sold Out"/>
    <n v="44"/>
    <n v="44"/>
    <n v="0"/>
    <n v="0"/>
    <x v="381"/>
    <n v="44000"/>
    <n v="47.06"/>
    <n v="28600"/>
    <n v="15400"/>
    <n v="16.47"/>
    <n v="0"/>
    <d v="2023-08-14T00:00:00"/>
  </r>
  <r>
    <s v="B03029"/>
    <s v="P088"/>
    <x v="9"/>
    <s v="Sold Out"/>
    <n v="53"/>
    <n v="53"/>
    <n v="0"/>
    <n v="0"/>
    <x v="87"/>
    <n v="53000"/>
    <n v="56.68"/>
    <n v="34450"/>
    <n v="18550"/>
    <n v="19.84"/>
    <n v="0"/>
    <d v="2023-09-19T00:00:00"/>
  </r>
  <r>
    <s v="B03030"/>
    <s v="P088"/>
    <x v="9"/>
    <s v="Sold Out"/>
    <n v="54"/>
    <n v="54"/>
    <n v="0"/>
    <n v="0"/>
    <x v="255"/>
    <n v="54000"/>
    <n v="57.75"/>
    <n v="35100"/>
    <n v="18900"/>
    <n v="20.21"/>
    <n v="0"/>
    <d v="2023-10-28T00:00:00"/>
  </r>
  <r>
    <s v="B03031"/>
    <s v="P088"/>
    <x v="9"/>
    <s v="Sold Out"/>
    <n v="52"/>
    <n v="52"/>
    <n v="0"/>
    <n v="0"/>
    <x v="306"/>
    <n v="52000"/>
    <n v="55.61"/>
    <n v="33800"/>
    <n v="18200"/>
    <n v="19.47"/>
    <n v="0"/>
    <d v="2023-11-27T00:00:00"/>
  </r>
  <r>
    <s v="B03032"/>
    <s v="P088"/>
    <x v="9"/>
    <s v="Partial Loss"/>
    <n v="55"/>
    <n v="54.12"/>
    <n v="0.88"/>
    <n v="1.6"/>
    <x v="327"/>
    <n v="54120"/>
    <n v="57.88"/>
    <n v="41250"/>
    <n v="12870"/>
    <n v="13.76"/>
    <n v="660"/>
    <d v="2024-01-02T00:00:00"/>
  </r>
  <r>
    <s v="B03033"/>
    <s v="P088"/>
    <x v="9"/>
    <s v="Partial Loss"/>
    <n v="48"/>
    <n v="46.66"/>
    <n v="1.34"/>
    <n v="2.8"/>
    <x v="53"/>
    <n v="46660"/>
    <n v="49.9"/>
    <n v="31200"/>
    <n v="15460"/>
    <n v="16.53"/>
    <n v="871"/>
    <d v="2024-02-08T00:00:00"/>
  </r>
  <r>
    <s v="B03034"/>
    <s v="P088"/>
    <x v="9"/>
    <s v="Partial Loss"/>
    <n v="54"/>
    <n v="52.76"/>
    <n v="1.24"/>
    <n v="2.2999999999999998"/>
    <x v="183"/>
    <n v="52760"/>
    <n v="56.43"/>
    <n v="40500"/>
    <n v="12260"/>
    <n v="13.11"/>
    <n v="930"/>
    <d v="2024-03-09T00:00:00"/>
  </r>
  <r>
    <s v="B03035"/>
    <s v="P088"/>
    <x v="9"/>
    <s v="Sold Out"/>
    <n v="57"/>
    <n v="57"/>
    <n v="0"/>
    <n v="0"/>
    <x v="34"/>
    <n v="57000"/>
    <n v="60.96"/>
    <n v="37050"/>
    <n v="19950"/>
    <n v="21.34"/>
    <n v="0"/>
    <d v="2024-04-19T00:00:00"/>
  </r>
  <r>
    <s v="B03036"/>
    <s v="P088"/>
    <x v="9"/>
    <s v="Sold Out"/>
    <n v="52"/>
    <n v="52"/>
    <n v="0"/>
    <n v="0"/>
    <x v="99"/>
    <n v="52000"/>
    <n v="55.61"/>
    <n v="33800"/>
    <n v="18200"/>
    <n v="19.47"/>
    <n v="0"/>
    <d v="2024-05-16T00:00:00"/>
  </r>
  <r>
    <s v="B03037"/>
    <s v="P088"/>
    <x v="9"/>
    <s v="Partial Loss"/>
    <n v="51"/>
    <n v="49.37"/>
    <n v="1.63"/>
    <n v="3.2"/>
    <x v="856"/>
    <n v="49370"/>
    <n v="52.8"/>
    <n v="33150"/>
    <n v="16220"/>
    <n v="17.350000000000001"/>
    <n v="1059.5"/>
    <d v="2024-06-14T00:00:00"/>
  </r>
  <r>
    <s v="B03038"/>
    <s v="P088"/>
    <x v="9"/>
    <s v="Partial Loss"/>
    <n v="48"/>
    <n v="47.23"/>
    <n v="0.77"/>
    <n v="1.6"/>
    <x v="133"/>
    <n v="47230"/>
    <n v="50.51"/>
    <n v="31200"/>
    <n v="16030"/>
    <n v="17.14"/>
    <n v="500.5"/>
    <d v="2024-07-23T00:00:00"/>
  </r>
  <r>
    <s v="B03039"/>
    <s v="P088"/>
    <x v="9"/>
    <s v="Partial Loss"/>
    <n v="51"/>
    <n v="49.37"/>
    <n v="1.63"/>
    <n v="3.2"/>
    <x v="194"/>
    <n v="49370"/>
    <n v="52.8"/>
    <n v="33150"/>
    <n v="16220"/>
    <n v="17.350000000000001"/>
    <n v="1059.5"/>
    <d v="2024-08-26T00:00:00"/>
  </r>
  <r>
    <s v="B03040"/>
    <s v="P088"/>
    <x v="9"/>
    <s v="Partial Loss"/>
    <n v="46"/>
    <n v="44.57"/>
    <n v="1.43"/>
    <n v="3.1"/>
    <x v="667"/>
    <n v="44570"/>
    <n v="47.67"/>
    <n v="29900"/>
    <n v="14670"/>
    <n v="15.69"/>
    <n v="929.5"/>
    <d v="2024-10-02T00:00:00"/>
  </r>
  <r>
    <s v="B03041"/>
    <s v="P088"/>
    <x v="9"/>
    <s v="Partial Loss"/>
    <n v="44"/>
    <n v="43.34"/>
    <n v="0.66"/>
    <n v="1.5"/>
    <x v="847"/>
    <n v="43340"/>
    <n v="46.35"/>
    <n v="28600"/>
    <n v="14740"/>
    <n v="15.76"/>
    <n v="429"/>
    <d v="2024-11-06T00:00:00"/>
  </r>
  <r>
    <s v="B03042"/>
    <s v="P088"/>
    <x v="9"/>
    <s v="Sold Out"/>
    <n v="57"/>
    <n v="57"/>
    <n v="0"/>
    <n v="0"/>
    <x v="57"/>
    <n v="57000"/>
    <n v="60.96"/>
    <n v="37050"/>
    <n v="19950"/>
    <n v="21.34"/>
    <n v="0"/>
    <d v="2024-12-09T00:00:00"/>
  </r>
  <r>
    <s v="B03043"/>
    <s v="P088"/>
    <x v="9"/>
    <s v="Sold Out"/>
    <n v="59"/>
    <n v="59"/>
    <n v="0"/>
    <n v="0"/>
    <x v="409"/>
    <n v="59000"/>
    <n v="63.1"/>
    <n v="38350"/>
    <n v="20650"/>
    <n v="22.09"/>
    <n v="0"/>
    <d v="2025-01-02T00:00:00"/>
  </r>
  <r>
    <s v="B03044"/>
    <s v="P088"/>
    <x v="9"/>
    <s v="Sold Out"/>
    <n v="51"/>
    <n v="51"/>
    <n v="0"/>
    <n v="0"/>
    <x v="375"/>
    <n v="51000"/>
    <n v="54.55"/>
    <n v="33150"/>
    <n v="17850"/>
    <n v="19.09"/>
    <n v="0"/>
    <d v="2025-02-07T00:00:00"/>
  </r>
  <r>
    <s v="B03045"/>
    <s v="P088"/>
    <x v="9"/>
    <s v="Sold Out"/>
    <n v="51"/>
    <n v="51"/>
    <n v="0"/>
    <n v="0"/>
    <x v="190"/>
    <n v="51000"/>
    <n v="54.55"/>
    <n v="33150"/>
    <n v="17850"/>
    <n v="19.09"/>
    <n v="0"/>
    <d v="2025-03-16T00:00:00"/>
  </r>
  <r>
    <s v="B03046"/>
    <s v="P088"/>
    <x v="9"/>
    <s v="Partial Loss"/>
    <n v="51"/>
    <n v="49.21"/>
    <n v="1.79"/>
    <n v="3.5"/>
    <x v="902"/>
    <n v="49210"/>
    <n v="52.63"/>
    <n v="33150"/>
    <n v="16060"/>
    <n v="17.18"/>
    <n v="1163.5"/>
    <d v="2025-04-23T00:00:00"/>
  </r>
  <r>
    <s v="B03047"/>
    <s v="P088"/>
    <x v="9"/>
    <s v="Sold Out"/>
    <n v="59"/>
    <n v="59"/>
    <n v="0"/>
    <n v="0"/>
    <x v="690"/>
    <n v="59000"/>
    <n v="63.1"/>
    <n v="38350"/>
    <n v="20650"/>
    <n v="22.09"/>
    <n v="0"/>
    <d v="2025-05-15T00:00:00"/>
  </r>
  <r>
    <s v="B03048"/>
    <s v="P088"/>
    <x v="9"/>
    <s v="Partial Loss"/>
    <n v="61"/>
    <n v="59.6"/>
    <n v="1.4"/>
    <n v="2.2999999999999998"/>
    <x v="903"/>
    <n v="59600"/>
    <n v="63.74"/>
    <n v="45750"/>
    <n v="13850"/>
    <n v="14.81"/>
    <n v="1050"/>
    <d v="2025-06-17T00:00:00"/>
  </r>
  <r>
    <s v="B03049"/>
    <s v="P089"/>
    <x v="9"/>
    <s v="Partial Loss"/>
    <n v="51"/>
    <n v="49.47"/>
    <n v="1.53"/>
    <n v="3"/>
    <x v="163"/>
    <n v="24735"/>
    <n v="26.45"/>
    <n v="17850"/>
    <n v="6885"/>
    <n v="7.36"/>
    <n v="535.5"/>
    <d v="2023-07-21T00:00:00"/>
  </r>
  <r>
    <s v="B03050"/>
    <s v="P089"/>
    <x v="9"/>
    <s v="Partial Loss"/>
    <n v="45"/>
    <n v="44.05"/>
    <n v="0.95"/>
    <n v="2.1"/>
    <x v="102"/>
    <n v="22025"/>
    <n v="23.56"/>
    <n v="15750"/>
    <n v="6275"/>
    <n v="6.71"/>
    <n v="332.5"/>
    <d v="2023-08-26T00:00:00"/>
  </r>
  <r>
    <s v="B03051"/>
    <s v="P089"/>
    <x v="9"/>
    <s v="Sold Out"/>
    <n v="54"/>
    <n v="54"/>
    <n v="0"/>
    <n v="0"/>
    <x v="569"/>
    <n v="27000"/>
    <n v="28.88"/>
    <n v="18900"/>
    <n v="8100"/>
    <n v="8.66"/>
    <n v="0"/>
    <d v="2023-09-28T00:00:00"/>
  </r>
  <r>
    <s v="B03052"/>
    <s v="P089"/>
    <x v="9"/>
    <s v="Sold Out"/>
    <n v="43"/>
    <n v="43"/>
    <n v="0"/>
    <n v="0"/>
    <x v="207"/>
    <n v="21500"/>
    <n v="22.99"/>
    <n v="15050"/>
    <n v="6450"/>
    <n v="6.9"/>
    <n v="0"/>
    <d v="2023-11-05T00:00:00"/>
  </r>
  <r>
    <s v="B03053"/>
    <s v="P089"/>
    <x v="9"/>
    <s v="Sold Out"/>
    <n v="58"/>
    <n v="58"/>
    <n v="0"/>
    <n v="0"/>
    <x v="307"/>
    <n v="29000"/>
    <n v="31.02"/>
    <n v="20300"/>
    <n v="8700"/>
    <n v="9.3000000000000007"/>
    <n v="0"/>
    <d v="2023-12-14T00:00:00"/>
  </r>
  <r>
    <s v="B03054"/>
    <s v="P089"/>
    <x v="9"/>
    <s v="Sold Out"/>
    <n v="44"/>
    <n v="44"/>
    <n v="0"/>
    <n v="0"/>
    <x v="481"/>
    <n v="22000"/>
    <n v="23.53"/>
    <n v="15400"/>
    <n v="6600"/>
    <n v="7.06"/>
    <n v="0"/>
    <d v="2024-01-14T00:00:00"/>
  </r>
  <r>
    <s v="B03055"/>
    <s v="P089"/>
    <x v="9"/>
    <s v="Partial Loss"/>
    <n v="43"/>
    <n v="41.97"/>
    <n v="1.03"/>
    <n v="2.4"/>
    <x v="772"/>
    <n v="20985"/>
    <n v="22.44"/>
    <n v="15050"/>
    <n v="5935"/>
    <n v="6.35"/>
    <n v="360.5"/>
    <d v="2024-02-18T00:00:00"/>
  </r>
  <r>
    <s v="B03056"/>
    <s v="P089"/>
    <x v="9"/>
    <s v="Partial Loss"/>
    <n v="46"/>
    <n v="44.3"/>
    <n v="1.7"/>
    <n v="3.7"/>
    <x v="57"/>
    <n v="22150"/>
    <n v="23.69"/>
    <n v="16100"/>
    <n v="6050"/>
    <n v="6.47"/>
    <n v="595"/>
    <d v="2024-03-17T00:00:00"/>
  </r>
  <r>
    <s v="B03057"/>
    <s v="P089"/>
    <x v="9"/>
    <s v="Sold Out"/>
    <n v="56"/>
    <n v="56"/>
    <n v="0"/>
    <n v="0"/>
    <x v="163"/>
    <n v="28000"/>
    <n v="29.95"/>
    <n v="19600"/>
    <n v="8400"/>
    <n v="8.98"/>
    <n v="0"/>
    <d v="2024-04-18T00:00:00"/>
  </r>
  <r>
    <s v="B03058"/>
    <s v="P089"/>
    <x v="9"/>
    <s v="Sold Out"/>
    <n v="55"/>
    <n v="55"/>
    <n v="0"/>
    <n v="0"/>
    <x v="104"/>
    <n v="27500"/>
    <n v="29.41"/>
    <n v="19250"/>
    <n v="8250"/>
    <n v="8.82"/>
    <n v="0"/>
    <d v="2024-05-25T00:00:00"/>
  </r>
  <r>
    <s v="B03059"/>
    <s v="P089"/>
    <x v="9"/>
    <s v="Sold Out"/>
    <n v="43"/>
    <n v="43"/>
    <n v="0"/>
    <n v="0"/>
    <x v="363"/>
    <n v="21500"/>
    <n v="22.99"/>
    <n v="15050"/>
    <n v="6450"/>
    <n v="6.9"/>
    <n v="0"/>
    <d v="2024-07-08T00:00:00"/>
  </r>
  <r>
    <s v="B03060"/>
    <s v="P089"/>
    <x v="9"/>
    <s v="Sold Out"/>
    <n v="52"/>
    <n v="52"/>
    <n v="0"/>
    <n v="0"/>
    <x v="904"/>
    <n v="26000"/>
    <n v="27.81"/>
    <n v="18200"/>
    <n v="7800"/>
    <n v="8.34"/>
    <n v="0"/>
    <d v="2024-08-09T00:00:00"/>
  </r>
  <r>
    <s v="B03061"/>
    <s v="P089"/>
    <x v="9"/>
    <s v="Sold Out"/>
    <n v="63"/>
    <n v="63"/>
    <n v="0"/>
    <n v="0"/>
    <x v="44"/>
    <n v="31500"/>
    <n v="33.69"/>
    <n v="22050"/>
    <n v="9450"/>
    <n v="10.11"/>
    <n v="0"/>
    <d v="2024-09-23T00:00:00"/>
  </r>
  <r>
    <s v="B03062"/>
    <s v="P089"/>
    <x v="9"/>
    <s v="Sold Out"/>
    <n v="54"/>
    <n v="54"/>
    <n v="0"/>
    <n v="0"/>
    <x v="179"/>
    <n v="27000"/>
    <n v="28.88"/>
    <n v="18900"/>
    <n v="8100"/>
    <n v="8.66"/>
    <n v="0"/>
    <d v="2024-10-27T00:00:00"/>
  </r>
  <r>
    <s v="B03063"/>
    <s v="P089"/>
    <x v="9"/>
    <s v="Sold Out"/>
    <n v="57"/>
    <n v="57"/>
    <n v="0"/>
    <n v="0"/>
    <x v="611"/>
    <n v="28500"/>
    <n v="30.48"/>
    <n v="19950"/>
    <n v="8550"/>
    <n v="9.14"/>
    <n v="0"/>
    <d v="2024-12-04T00:00:00"/>
  </r>
  <r>
    <s v="B03064"/>
    <s v="P089"/>
    <x v="9"/>
    <s v="Sold Out"/>
    <n v="59"/>
    <n v="59"/>
    <n v="0"/>
    <n v="0"/>
    <x v="127"/>
    <n v="29500"/>
    <n v="31.55"/>
    <n v="20650"/>
    <n v="8850"/>
    <n v="9.4700000000000006"/>
    <n v="0"/>
    <d v="2025-01-03T00:00:00"/>
  </r>
  <r>
    <s v="B03065"/>
    <s v="P089"/>
    <x v="9"/>
    <s v="Sold Out"/>
    <n v="46"/>
    <n v="46"/>
    <n v="0"/>
    <n v="0"/>
    <x v="490"/>
    <n v="23000"/>
    <n v="24.6"/>
    <n v="16100"/>
    <n v="6900"/>
    <n v="7.38"/>
    <n v="0"/>
    <d v="2025-02-15T00:00:00"/>
  </r>
  <r>
    <s v="B03066"/>
    <s v="P089"/>
    <x v="9"/>
    <s v="Partial Loss"/>
    <n v="53"/>
    <n v="51.3"/>
    <n v="1.7"/>
    <n v="3.2"/>
    <x v="630"/>
    <n v="25650"/>
    <n v="27.43"/>
    <n v="18550"/>
    <n v="7100"/>
    <n v="7.59"/>
    <n v="595"/>
    <d v="2025-03-19T00:00:00"/>
  </r>
  <r>
    <s v="B03067"/>
    <s v="P089"/>
    <x v="9"/>
    <s v="Partial Loss"/>
    <n v="57"/>
    <n v="56.26"/>
    <n v="0.74"/>
    <n v="1.3"/>
    <x v="905"/>
    <n v="28130"/>
    <n v="30.09"/>
    <n v="19950"/>
    <n v="8180"/>
    <n v="8.75"/>
    <n v="259"/>
    <d v="2025-04-27T00:00:00"/>
  </r>
  <r>
    <s v="B03068"/>
    <s v="P089"/>
    <x v="9"/>
    <s v="Sold Out"/>
    <n v="52"/>
    <n v="52"/>
    <n v="0"/>
    <n v="0"/>
    <x v="339"/>
    <n v="26000"/>
    <n v="27.81"/>
    <n v="18200"/>
    <n v="7800"/>
    <n v="8.34"/>
    <n v="0"/>
    <d v="2025-05-30T00:00:00"/>
  </r>
  <r>
    <s v="B03069"/>
    <s v="P090"/>
    <x v="9"/>
    <s v="Sold Out"/>
    <n v="56"/>
    <n v="56"/>
    <n v="0"/>
    <n v="0"/>
    <x v="499"/>
    <n v="56000"/>
    <n v="59.89"/>
    <n v="36400"/>
    <n v="19600"/>
    <n v="20.96"/>
    <n v="0"/>
    <d v="2023-07-02T00:00:00"/>
  </r>
  <r>
    <s v="B03070"/>
    <s v="P090"/>
    <x v="9"/>
    <s v="Partial Loss"/>
    <n v="53"/>
    <n v="51.14"/>
    <n v="1.86"/>
    <n v="3.5"/>
    <x v="100"/>
    <n v="51140"/>
    <n v="54.7"/>
    <n v="34450"/>
    <n v="16690"/>
    <n v="17.850000000000001"/>
    <n v="1209"/>
    <d v="2023-08-10T00:00:00"/>
  </r>
  <r>
    <s v="B03071"/>
    <s v="P090"/>
    <x v="9"/>
    <s v="Sold Out"/>
    <n v="55"/>
    <n v="55"/>
    <n v="0"/>
    <n v="0"/>
    <x v="148"/>
    <n v="55000"/>
    <n v="58.82"/>
    <n v="35750"/>
    <n v="19250"/>
    <n v="20.59"/>
    <n v="0"/>
    <d v="2023-09-23T00:00:00"/>
  </r>
  <r>
    <s v="B03072"/>
    <s v="P090"/>
    <x v="9"/>
    <s v="Sold Out"/>
    <n v="52"/>
    <n v="52"/>
    <n v="0"/>
    <n v="0"/>
    <x v="304"/>
    <n v="52000"/>
    <n v="55.61"/>
    <n v="33800"/>
    <n v="18200"/>
    <n v="19.47"/>
    <n v="0"/>
    <d v="2023-10-21T00:00:00"/>
  </r>
  <r>
    <s v="B03073"/>
    <s v="P090"/>
    <x v="9"/>
    <s v="Sold Out"/>
    <n v="54"/>
    <n v="54"/>
    <n v="0"/>
    <n v="0"/>
    <x v="906"/>
    <n v="54000"/>
    <n v="57.75"/>
    <n v="35100"/>
    <n v="18900"/>
    <n v="20.21"/>
    <n v="0"/>
    <d v="2023-11-22T00:00:00"/>
  </r>
  <r>
    <s v="B03074"/>
    <s v="P090"/>
    <x v="9"/>
    <s v="Partial Loss"/>
    <n v="57"/>
    <n v="55.35"/>
    <n v="1.65"/>
    <n v="2.9"/>
    <x v="520"/>
    <n v="55350"/>
    <n v="59.2"/>
    <n v="37050"/>
    <n v="18300"/>
    <n v="19.57"/>
    <n v="1072.5"/>
    <d v="2023-12-26T00:00:00"/>
  </r>
  <r>
    <s v="B03075"/>
    <s v="P090"/>
    <x v="9"/>
    <s v="Partial Loss"/>
    <n v="57"/>
    <n v="55.92"/>
    <n v="1.08"/>
    <n v="1.9"/>
    <x v="907"/>
    <n v="55920"/>
    <n v="59.81"/>
    <n v="37050"/>
    <n v="18870"/>
    <n v="20.18"/>
    <n v="702"/>
    <d v="2024-02-02T00:00:00"/>
  </r>
  <r>
    <s v="B03076"/>
    <s v="P090"/>
    <x v="9"/>
    <s v="Partial Loss"/>
    <n v="53"/>
    <n v="50.09"/>
    <n v="2.92"/>
    <n v="5.5"/>
    <x v="433"/>
    <n v="50090"/>
    <n v="53.57"/>
    <n v="34450"/>
    <n v="15640"/>
    <n v="16.73"/>
    <n v="1898"/>
    <d v="2024-03-10T00:00:00"/>
  </r>
  <r>
    <s v="B03077"/>
    <s v="P090"/>
    <x v="9"/>
    <s v="Sold Out"/>
    <n v="48"/>
    <n v="48"/>
    <n v="0"/>
    <n v="0"/>
    <x v="100"/>
    <n v="48000"/>
    <n v="51.34"/>
    <n v="31200"/>
    <n v="16800"/>
    <n v="17.97"/>
    <n v="0"/>
    <d v="2024-04-21T00:00:00"/>
  </r>
  <r>
    <s v="B03078"/>
    <s v="P090"/>
    <x v="9"/>
    <s v="Partial Loss"/>
    <n v="51"/>
    <n v="49.62"/>
    <n v="1.38"/>
    <n v="2.7"/>
    <x v="412"/>
    <n v="49620"/>
    <n v="53.07"/>
    <n v="33150"/>
    <n v="16470"/>
    <n v="17.61"/>
    <n v="896.99999999999989"/>
    <d v="2024-05-20T00:00:00"/>
  </r>
  <r>
    <s v="B03079"/>
    <s v="P090"/>
    <x v="9"/>
    <s v="Partial Loss"/>
    <n v="54"/>
    <n v="53.14"/>
    <n v="0.86"/>
    <n v="1.6"/>
    <x v="436"/>
    <n v="53140"/>
    <n v="56.83"/>
    <n v="35100"/>
    <n v="18040"/>
    <n v="19.29"/>
    <n v="559"/>
    <d v="2024-06-18T00:00:00"/>
  </r>
  <r>
    <s v="B03080"/>
    <s v="P090"/>
    <x v="9"/>
    <s v="Partial Loss"/>
    <n v="52"/>
    <n v="49.61"/>
    <n v="2.39"/>
    <n v="4.5999999999999996"/>
    <x v="133"/>
    <n v="49610"/>
    <n v="53.06"/>
    <n v="33800"/>
    <n v="15810"/>
    <n v="16.91"/>
    <n v="1553.5"/>
    <d v="2024-07-23T00:00:00"/>
  </r>
  <r>
    <s v="B03081"/>
    <s v="P090"/>
    <x v="9"/>
    <s v="Partial Loss"/>
    <n v="43"/>
    <n v="40.81"/>
    <n v="2.19"/>
    <n v="5.0999999999999996"/>
    <x v="528"/>
    <n v="40810"/>
    <n v="43.65"/>
    <n v="27950"/>
    <n v="12860"/>
    <n v="13.75"/>
    <n v="1423.5"/>
    <d v="2024-08-24T00:00:00"/>
  </r>
  <r>
    <s v="B03082"/>
    <s v="P090"/>
    <x v="9"/>
    <s v="Sold Out"/>
    <n v="54"/>
    <n v="54"/>
    <n v="0"/>
    <n v="0"/>
    <x v="370"/>
    <n v="54000"/>
    <n v="57.75"/>
    <n v="35100"/>
    <n v="18900"/>
    <n v="20.21"/>
    <n v="0"/>
    <d v="2024-10-01T00:00:00"/>
  </r>
  <r>
    <s v="B03083"/>
    <s v="P090"/>
    <x v="9"/>
    <s v="Partial Loss"/>
    <n v="55"/>
    <n v="52.91"/>
    <n v="2.09"/>
    <n v="3.8"/>
    <x v="815"/>
    <n v="52910"/>
    <n v="56.59"/>
    <n v="35750"/>
    <n v="17160"/>
    <n v="18.350000000000001"/>
    <n v="1358.5"/>
    <d v="2024-10-28T00:00:00"/>
  </r>
  <r>
    <s v="B03084"/>
    <s v="P090"/>
    <x v="9"/>
    <s v="Partial Loss"/>
    <n v="49"/>
    <n v="47.68"/>
    <n v="1.32"/>
    <n v="2.7"/>
    <x v="716"/>
    <n v="47680"/>
    <n v="50.99"/>
    <n v="31850"/>
    <n v="15830"/>
    <n v="16.93"/>
    <n v="858"/>
    <d v="2024-11-28T00:00:00"/>
  </r>
  <r>
    <s v="B03085"/>
    <s v="P090"/>
    <x v="9"/>
    <s v="Sold Out"/>
    <n v="62"/>
    <n v="62"/>
    <n v="0"/>
    <n v="0"/>
    <x v="182"/>
    <n v="62000"/>
    <n v="66.31"/>
    <n v="40300"/>
    <n v="21700"/>
    <n v="23.21"/>
    <n v="0"/>
    <d v="2024-12-30T00:00:00"/>
  </r>
  <r>
    <s v="B03086"/>
    <s v="P090"/>
    <x v="9"/>
    <s v="Partial Loss"/>
    <n v="48"/>
    <n v="47.95"/>
    <n v="0.05"/>
    <n v="0.1"/>
    <x v="908"/>
    <n v="47950"/>
    <n v="51.28"/>
    <n v="36000"/>
    <n v="11950"/>
    <n v="12.78"/>
    <n v="37.5"/>
    <d v="2025-01-27T00:00:00"/>
  </r>
  <r>
    <s v="B03087"/>
    <s v="P090"/>
    <x v="9"/>
    <s v="Sold Out"/>
    <n v="47"/>
    <n v="47"/>
    <n v="0"/>
    <n v="0"/>
    <x v="798"/>
    <n v="47000"/>
    <n v="50.27"/>
    <n v="30550"/>
    <n v="16450"/>
    <n v="17.59"/>
    <n v="0"/>
    <d v="2025-03-08T00:00:00"/>
  </r>
  <r>
    <s v="B03088"/>
    <s v="P090"/>
    <x v="9"/>
    <s v="Sold Out"/>
    <n v="62"/>
    <n v="62"/>
    <n v="0"/>
    <n v="0"/>
    <x v="527"/>
    <n v="62000"/>
    <n v="66.31"/>
    <n v="40300"/>
    <n v="21700"/>
    <n v="23.21"/>
    <n v="0"/>
    <d v="2025-04-16T00:00:00"/>
  </r>
  <r>
    <s v="B03089"/>
    <s v="P090"/>
    <x v="9"/>
    <s v="Partial Loss"/>
    <n v="48"/>
    <n v="46.18"/>
    <n v="1.82"/>
    <n v="3.8"/>
    <x v="909"/>
    <n v="46180"/>
    <n v="49.39"/>
    <n v="31200"/>
    <n v="14980"/>
    <n v="16.02"/>
    <n v="1183"/>
    <d v="2025-05-24T00:00:00"/>
  </r>
  <r>
    <s v="B03090"/>
    <s v="P091"/>
    <x v="9"/>
    <s v="Partial Loss"/>
    <n v="49"/>
    <n v="47.38"/>
    <n v="1.62"/>
    <n v="3.3"/>
    <x v="513"/>
    <n v="47380"/>
    <n v="50.67"/>
    <n v="34300"/>
    <n v="13080"/>
    <n v="13.99"/>
    <n v="1134"/>
    <d v="2023-07-04T00:00:00"/>
  </r>
  <r>
    <s v="B03091"/>
    <s v="P091"/>
    <x v="9"/>
    <s v="Sold Out"/>
    <n v="54"/>
    <n v="54"/>
    <n v="0"/>
    <n v="0"/>
    <x v="420"/>
    <n v="54000"/>
    <n v="57.75"/>
    <n v="37800"/>
    <n v="16200"/>
    <n v="17.329999999999998"/>
    <n v="0"/>
    <d v="2023-08-09T00:00:00"/>
  </r>
  <r>
    <s v="B03092"/>
    <s v="P091"/>
    <x v="9"/>
    <s v="Sold Out"/>
    <n v="59"/>
    <n v="59"/>
    <n v="0"/>
    <n v="0"/>
    <x v="421"/>
    <n v="59000"/>
    <n v="63.1"/>
    <n v="41300"/>
    <n v="17700"/>
    <n v="18.93"/>
    <n v="0"/>
    <d v="2023-09-09T00:00:00"/>
  </r>
  <r>
    <s v="B03093"/>
    <s v="P091"/>
    <x v="9"/>
    <s v="Sold Out"/>
    <n v="46"/>
    <n v="46"/>
    <n v="0"/>
    <n v="0"/>
    <x v="301"/>
    <n v="46000"/>
    <n v="49.2"/>
    <n v="32200"/>
    <n v="13800"/>
    <n v="14.76"/>
    <n v="0"/>
    <d v="2023-10-11T00:00:00"/>
  </r>
  <r>
    <s v="B03094"/>
    <s v="P091"/>
    <x v="9"/>
    <s v="Partial Loss"/>
    <n v="53"/>
    <n v="51.36"/>
    <n v="1.64"/>
    <n v="3.1"/>
    <x v="326"/>
    <n v="51360"/>
    <n v="54.93"/>
    <n v="37100"/>
    <n v="14260"/>
    <n v="15.25"/>
    <n v="1148"/>
    <d v="2023-11-12T00:00:00"/>
  </r>
  <r>
    <s v="B03095"/>
    <s v="P091"/>
    <x v="9"/>
    <s v="Partial Loss"/>
    <n v="68"/>
    <n v="65.08"/>
    <n v="2.92"/>
    <n v="4.3"/>
    <x v="110"/>
    <n v="65080"/>
    <n v="69.599999999999994"/>
    <n v="47600"/>
    <n v="17480"/>
    <n v="18.7"/>
    <n v="2044"/>
    <d v="2023-12-10T00:00:00"/>
  </r>
  <r>
    <s v="B03096"/>
    <s v="P091"/>
    <x v="9"/>
    <s v="Partial Loss"/>
    <n v="49"/>
    <n v="48.31"/>
    <n v="0.69"/>
    <n v="1.4"/>
    <x v="608"/>
    <n v="48310"/>
    <n v="51.67"/>
    <n v="34300"/>
    <n v="14010"/>
    <n v="14.98"/>
    <n v="482.99999999999994"/>
    <d v="2024-01-15T00:00:00"/>
  </r>
  <r>
    <s v="B03097"/>
    <s v="P091"/>
    <x v="9"/>
    <s v="Sold Out"/>
    <n v="53"/>
    <n v="53"/>
    <n v="0"/>
    <n v="0"/>
    <x v="93"/>
    <n v="53000"/>
    <n v="56.68"/>
    <n v="37100"/>
    <n v="15900"/>
    <n v="17.010000000000002"/>
    <n v="0"/>
    <d v="2024-03-01T00:00:00"/>
  </r>
  <r>
    <s v="B03098"/>
    <s v="P091"/>
    <x v="9"/>
    <s v="Partial Loss"/>
    <n v="55"/>
    <n v="53.3"/>
    <n v="1.71"/>
    <n v="3.1"/>
    <x v="184"/>
    <n v="53300"/>
    <n v="57.01"/>
    <n v="38500"/>
    <n v="14800"/>
    <n v="15.83"/>
    <n v="1197"/>
    <d v="2024-03-28T00:00:00"/>
  </r>
  <r>
    <s v="B03099"/>
    <s v="P091"/>
    <x v="9"/>
    <s v="Sold Out"/>
    <n v="52"/>
    <n v="52"/>
    <n v="0"/>
    <n v="0"/>
    <x v="397"/>
    <n v="52000"/>
    <n v="55.61"/>
    <n v="36400"/>
    <n v="15600"/>
    <n v="16.68"/>
    <n v="0"/>
    <d v="2024-05-05T00:00:00"/>
  </r>
  <r>
    <s v="B03100"/>
    <s v="P091"/>
    <x v="9"/>
    <s v="Partial Loss"/>
    <n v="44"/>
    <n v="41.71"/>
    <n v="2.29"/>
    <n v="5.2"/>
    <x v="411"/>
    <n v="41710"/>
    <n v="44.61"/>
    <n v="30800"/>
    <n v="10910"/>
    <n v="11.67"/>
    <n v="1603"/>
    <d v="2024-06-07T00:00:00"/>
  </r>
  <r>
    <s v="B03101"/>
    <s v="P091"/>
    <x v="9"/>
    <s v="Sold Out"/>
    <n v="43"/>
    <n v="43"/>
    <n v="0"/>
    <n v="0"/>
    <x v="170"/>
    <n v="43000"/>
    <n v="45.99"/>
    <n v="30100"/>
    <n v="12900"/>
    <n v="13.8"/>
    <n v="0"/>
    <d v="2024-07-13T00:00:00"/>
  </r>
  <r>
    <s v="B03102"/>
    <s v="P091"/>
    <x v="9"/>
    <s v="Sold Out"/>
    <n v="52"/>
    <n v="52"/>
    <n v="0"/>
    <n v="0"/>
    <x v="273"/>
    <n v="52000"/>
    <n v="55.61"/>
    <n v="36400"/>
    <n v="15600"/>
    <n v="16.68"/>
    <n v="0"/>
    <d v="2024-08-20T00:00:00"/>
  </r>
  <r>
    <s v="B03103"/>
    <s v="P091"/>
    <x v="9"/>
    <s v="Sold Out"/>
    <n v="67"/>
    <n v="67"/>
    <n v="0"/>
    <n v="0"/>
    <x v="110"/>
    <n v="67000"/>
    <n v="71.66"/>
    <n v="46900"/>
    <n v="20100"/>
    <n v="21.5"/>
    <n v="0"/>
    <d v="2024-09-22T00:00:00"/>
  </r>
  <r>
    <s v="B03104"/>
    <s v="P091"/>
    <x v="9"/>
    <s v="Partial Loss"/>
    <n v="55"/>
    <n v="52.8"/>
    <n v="2.2000000000000002"/>
    <n v="4"/>
    <x v="910"/>
    <n v="52800"/>
    <n v="56.47"/>
    <n v="38500"/>
    <n v="14300"/>
    <n v="15.29"/>
    <n v="1540.0000000000002"/>
    <d v="2024-10-29T00:00:00"/>
  </r>
  <r>
    <s v="B03105"/>
    <s v="P091"/>
    <x v="9"/>
    <s v="Partial Loss"/>
    <n v="52"/>
    <n v="50.28"/>
    <n v="1.72"/>
    <n v="3.3"/>
    <x v="794"/>
    <n v="50280"/>
    <n v="53.78"/>
    <n v="36400"/>
    <n v="13880"/>
    <n v="14.84"/>
    <n v="1204"/>
    <d v="2024-11-29T00:00:00"/>
  </r>
  <r>
    <s v="B03106"/>
    <s v="P091"/>
    <x v="9"/>
    <s v="Sold Out"/>
    <n v="47"/>
    <n v="47"/>
    <n v="0"/>
    <n v="0"/>
    <x v="231"/>
    <n v="47000"/>
    <n v="50.27"/>
    <n v="32900"/>
    <n v="14100"/>
    <n v="15.08"/>
    <n v="0"/>
    <d v="2025-01-09T00:00:00"/>
  </r>
  <r>
    <s v="B03107"/>
    <s v="P091"/>
    <x v="9"/>
    <s v="Partial Loss"/>
    <n v="60"/>
    <n v="59.16"/>
    <n v="0.84"/>
    <n v="1.4"/>
    <x v="911"/>
    <n v="59160"/>
    <n v="63.27"/>
    <n v="42000"/>
    <n v="17160"/>
    <n v="18.350000000000001"/>
    <n v="588"/>
    <d v="2025-02-12T00:00:00"/>
  </r>
  <r>
    <s v="B03108"/>
    <s v="P091"/>
    <x v="9"/>
    <s v="Partial Loss"/>
    <n v="61"/>
    <n v="59.17"/>
    <n v="1.83"/>
    <n v="3"/>
    <x v="912"/>
    <n v="59170"/>
    <n v="63.28"/>
    <n v="42700"/>
    <n v="16470"/>
    <n v="17.61"/>
    <n v="1281"/>
    <d v="2025-03-05T00:00:00"/>
  </r>
  <r>
    <s v="B03109"/>
    <s v="P091"/>
    <x v="9"/>
    <s v="Partial Loss"/>
    <n v="48"/>
    <n v="46.13"/>
    <n v="1.87"/>
    <n v="3.9"/>
    <x v="913"/>
    <n v="46130"/>
    <n v="49.34"/>
    <n v="33600"/>
    <n v="12530"/>
    <n v="13.4"/>
    <n v="1309"/>
    <d v="2025-04-14T00:00:00"/>
  </r>
  <r>
    <s v="B03110"/>
    <s v="P091"/>
    <x v="9"/>
    <s v="Sold Out"/>
    <n v="60"/>
    <n v="60"/>
    <n v="0"/>
    <n v="0"/>
    <x v="192"/>
    <n v="60000"/>
    <n v="64.17"/>
    <n v="42000"/>
    <n v="18000"/>
    <n v="19.25"/>
    <n v="0"/>
    <d v="2025-05-11T00:00:00"/>
  </r>
  <r>
    <s v="B03111"/>
    <s v="P091"/>
    <x v="9"/>
    <s v="Sold Out"/>
    <n v="62"/>
    <n v="62"/>
    <n v="0"/>
    <n v="0"/>
    <x v="529"/>
    <n v="62000"/>
    <n v="66.31"/>
    <n v="43400"/>
    <n v="18600"/>
    <n v="19.89"/>
    <n v="0"/>
    <d v="2025-06-07T00:00:00"/>
  </r>
  <r>
    <s v="B03112"/>
    <s v="P092"/>
    <x v="10"/>
    <s v="Sold Out"/>
    <n v="25"/>
    <n v="25"/>
    <n v="0"/>
    <n v="0"/>
    <x v="246"/>
    <n v="187500"/>
    <n v="200.53"/>
    <n v="133750"/>
    <n v="53750"/>
    <n v="57.49"/>
    <n v="0"/>
    <d v="2023-07-13T00:00:00"/>
  </r>
  <r>
    <s v="B03113"/>
    <s v="P092"/>
    <x v="10"/>
    <s v="Partial Loss"/>
    <n v="24"/>
    <n v="23.33"/>
    <n v="0.67"/>
    <n v="2.8"/>
    <x v="319"/>
    <n v="174975"/>
    <n v="187.14"/>
    <n v="128400"/>
    <n v="46575"/>
    <n v="49.81"/>
    <n v="3584.5"/>
    <d v="2023-08-12T00:00:00"/>
  </r>
  <r>
    <s v="B03114"/>
    <s v="P092"/>
    <x v="10"/>
    <s v="Sold Out"/>
    <n v="29"/>
    <n v="29"/>
    <n v="0"/>
    <n v="0"/>
    <x v="7"/>
    <n v="217500"/>
    <n v="232.62"/>
    <n v="155150"/>
    <n v="62350"/>
    <n v="66.680000000000007"/>
    <n v="0"/>
    <d v="2023-09-22T00:00:00"/>
  </r>
  <r>
    <s v="B03115"/>
    <s v="P092"/>
    <x v="10"/>
    <s v="Partial Loss"/>
    <n v="9"/>
    <n v="8.74"/>
    <n v="0.26"/>
    <n v="2.9"/>
    <x v="170"/>
    <n v="65550"/>
    <n v="70.11"/>
    <n v="48150"/>
    <n v="17400"/>
    <n v="18.61"/>
    <n v="1391"/>
    <d v="2023-10-23T00:00:00"/>
  </r>
  <r>
    <s v="B03116"/>
    <s v="P092"/>
    <x v="10"/>
    <s v="Sold Out"/>
    <n v="9"/>
    <n v="9"/>
    <n v="0"/>
    <n v="0"/>
    <x v="17"/>
    <n v="67500"/>
    <n v="72.19"/>
    <n v="48150"/>
    <n v="19350"/>
    <n v="20.7"/>
    <n v="0"/>
    <d v="2023-11-25T00:00:00"/>
  </r>
  <r>
    <s v="B03117"/>
    <s v="P092"/>
    <x v="10"/>
    <s v="Sold Out"/>
    <n v="12"/>
    <n v="12"/>
    <n v="0"/>
    <n v="0"/>
    <x v="849"/>
    <n v="90000"/>
    <n v="96.26"/>
    <n v="66600"/>
    <n v="23400"/>
    <n v="25.03"/>
    <n v="0"/>
    <d v="2023-12-21T00:00:00"/>
  </r>
  <r>
    <s v="B03118"/>
    <s v="P092"/>
    <x v="10"/>
    <s v="Partial Loss"/>
    <n v="9"/>
    <n v="8.31"/>
    <n v="0.69"/>
    <n v="7.7"/>
    <x v="907"/>
    <n v="62325"/>
    <n v="66.66"/>
    <n v="49950"/>
    <n v="12375"/>
    <n v="13.24"/>
    <n v="3829.4999999999995"/>
    <d v="2024-02-02T00:00:00"/>
  </r>
  <r>
    <s v="B03119"/>
    <s v="P092"/>
    <x v="10"/>
    <s v="Partial Loss"/>
    <n v="9"/>
    <n v="8.6"/>
    <n v="0.4"/>
    <n v="4.4000000000000004"/>
    <x v="52"/>
    <n v="64500"/>
    <n v="68.98"/>
    <n v="48150"/>
    <n v="16350"/>
    <n v="17.489999999999998"/>
    <n v="2140"/>
    <d v="2024-03-04T00:00:00"/>
  </r>
  <r>
    <s v="B03120"/>
    <s v="P092"/>
    <x v="10"/>
    <s v="Sold Out"/>
    <n v="26"/>
    <n v="26"/>
    <n v="0"/>
    <n v="0"/>
    <x v="513"/>
    <n v="195000"/>
    <n v="208.56"/>
    <n v="139100"/>
    <n v="55900"/>
    <n v="59.79"/>
    <n v="0"/>
    <d v="2024-04-02T00:00:00"/>
  </r>
  <r>
    <s v="B03121"/>
    <s v="P092"/>
    <x v="10"/>
    <s v="Sold Out"/>
    <n v="27"/>
    <n v="27"/>
    <n v="0"/>
    <n v="0"/>
    <x v="453"/>
    <n v="202500"/>
    <n v="216.58"/>
    <n v="144450"/>
    <n v="58050"/>
    <n v="62.09"/>
    <n v="0"/>
    <d v="2024-05-09T00:00:00"/>
  </r>
  <r>
    <s v="B03122"/>
    <s v="P092"/>
    <x v="10"/>
    <s v="Partial Loss"/>
    <n v="22"/>
    <n v="20.83"/>
    <n v="1.17"/>
    <n v="5.3"/>
    <x v="524"/>
    <n v="156225"/>
    <n v="167.09"/>
    <n v="117700"/>
    <n v="38525"/>
    <n v="41.2"/>
    <n v="6259.5"/>
    <d v="2024-06-08T00:00:00"/>
  </r>
  <r>
    <s v="B03123"/>
    <s v="P092"/>
    <x v="10"/>
    <s v="Sold Out"/>
    <n v="21"/>
    <n v="21"/>
    <n v="0"/>
    <n v="0"/>
    <x v="39"/>
    <n v="157500"/>
    <n v="168.45"/>
    <n v="112350"/>
    <n v="45150"/>
    <n v="48.29"/>
    <n v="0"/>
    <d v="2024-07-16T00:00:00"/>
  </r>
  <r>
    <s v="B03124"/>
    <s v="P092"/>
    <x v="10"/>
    <s v="Sold Out"/>
    <n v="21"/>
    <n v="21"/>
    <n v="0"/>
    <n v="0"/>
    <x v="112"/>
    <n v="157500"/>
    <n v="168.45"/>
    <n v="112350"/>
    <n v="45150"/>
    <n v="48.29"/>
    <n v="0"/>
    <d v="2024-08-24T00:00:00"/>
  </r>
  <r>
    <s v="B03125"/>
    <s v="P092"/>
    <x v="10"/>
    <s v="Sold Out"/>
    <n v="9"/>
    <n v="9"/>
    <n v="0"/>
    <n v="0"/>
    <x v="177"/>
    <n v="67500"/>
    <n v="72.19"/>
    <n v="48150"/>
    <n v="19350"/>
    <n v="20.7"/>
    <n v="0"/>
    <d v="2024-10-01T00:00:00"/>
  </r>
  <r>
    <s v="B03126"/>
    <s v="P092"/>
    <x v="10"/>
    <s v="Partial Loss"/>
    <n v="9"/>
    <n v="8.52"/>
    <n v="0.48"/>
    <n v="5.3"/>
    <x v="815"/>
    <n v="63900"/>
    <n v="68.34"/>
    <n v="49950"/>
    <n v="13950"/>
    <n v="14.92"/>
    <n v="2664"/>
    <d v="2024-10-28T00:00:00"/>
  </r>
  <r>
    <s v="B03127"/>
    <s v="P092"/>
    <x v="10"/>
    <s v="Partial Loss"/>
    <n v="12"/>
    <n v="11.87"/>
    <n v="0.13"/>
    <n v="1.1000000000000001"/>
    <x v="816"/>
    <n v="89025"/>
    <n v="95.21"/>
    <n v="64200"/>
    <n v="24825"/>
    <n v="26.55"/>
    <n v="695.5"/>
    <d v="2024-12-07T00:00:00"/>
  </r>
  <r>
    <s v="B03128"/>
    <s v="P092"/>
    <x v="10"/>
    <s v="Partial Loss"/>
    <n v="10"/>
    <n v="9.75"/>
    <n v="0.25"/>
    <n v="2.5"/>
    <x v="674"/>
    <n v="73125"/>
    <n v="78.209999999999994"/>
    <n v="53500"/>
    <n v="19625"/>
    <n v="20.99"/>
    <n v="1337.5"/>
    <d v="2025-01-14T00:00:00"/>
  </r>
  <r>
    <s v="B03129"/>
    <s v="P092"/>
    <x v="10"/>
    <s v="Partial Loss"/>
    <n v="9"/>
    <n v="8.51"/>
    <n v="0.49"/>
    <n v="5.4"/>
    <x v="914"/>
    <n v="63825"/>
    <n v="68.260000000000005"/>
    <n v="48150"/>
    <n v="15675"/>
    <n v="16.760000000000002"/>
    <n v="2621.5"/>
    <d v="2025-02-20T00:00:00"/>
  </r>
  <r>
    <s v="B03130"/>
    <s v="P092"/>
    <x v="10"/>
    <s v="Partial Loss"/>
    <n v="9"/>
    <n v="8.7799999999999994"/>
    <n v="0.23"/>
    <n v="2.5"/>
    <x v="896"/>
    <n v="65850"/>
    <n v="70.430000000000007"/>
    <n v="48150"/>
    <n v="17700"/>
    <n v="18.93"/>
    <n v="1230.5"/>
    <d v="2025-03-21T00:00:00"/>
  </r>
  <r>
    <s v="B03131"/>
    <s v="P092"/>
    <x v="10"/>
    <s v="Sold Out"/>
    <n v="28"/>
    <n v="28"/>
    <n v="0"/>
    <n v="0"/>
    <x v="242"/>
    <n v="210000"/>
    <n v="224.6"/>
    <n v="149800"/>
    <n v="60200"/>
    <n v="64.39"/>
    <n v="0"/>
    <d v="2025-04-25T00:00:00"/>
  </r>
  <r>
    <s v="B03132"/>
    <s v="P092"/>
    <x v="10"/>
    <s v="Sold Out"/>
    <n v="30"/>
    <n v="30"/>
    <n v="0"/>
    <n v="0"/>
    <x v="416"/>
    <n v="225000"/>
    <n v="240.64"/>
    <n v="160500"/>
    <n v="64500"/>
    <n v="68.98"/>
    <n v="0"/>
    <d v="2025-05-25T00:00:00"/>
  </r>
  <r>
    <s v="B03133"/>
    <s v="P092"/>
    <x v="10"/>
    <s v="Sold Out"/>
    <n v="27"/>
    <n v="27"/>
    <n v="0"/>
    <n v="0"/>
    <x v="294"/>
    <n v="202500"/>
    <n v="216.58"/>
    <n v="144450"/>
    <n v="58050"/>
    <n v="62.09"/>
    <n v="0"/>
    <d v="2025-06-27T00:00:00"/>
  </r>
  <r>
    <s v="B03134"/>
    <s v="P093"/>
    <x v="10"/>
    <s v="Sold Out"/>
    <n v="24"/>
    <n v="24"/>
    <n v="0"/>
    <n v="0"/>
    <x v="681"/>
    <n v="168000"/>
    <n v="179.68"/>
    <n v="123600"/>
    <n v="44400"/>
    <n v="47.49"/>
    <n v="0"/>
    <d v="2023-07-10T00:00:00"/>
  </r>
  <r>
    <s v="B03135"/>
    <s v="P093"/>
    <x v="10"/>
    <s v="Sold Out"/>
    <n v="24"/>
    <n v="24"/>
    <n v="0"/>
    <n v="0"/>
    <x v="421"/>
    <n v="168000"/>
    <n v="179.68"/>
    <n v="123600"/>
    <n v="44400"/>
    <n v="47.49"/>
    <n v="0"/>
    <d v="2023-08-20T00:00:00"/>
  </r>
  <r>
    <s v="B03136"/>
    <s v="P093"/>
    <x v="10"/>
    <s v="Sold Out"/>
    <n v="29"/>
    <n v="29"/>
    <n v="0"/>
    <n v="0"/>
    <x v="301"/>
    <n v="203000"/>
    <n v="217.11"/>
    <n v="149350"/>
    <n v="53650"/>
    <n v="57.38"/>
    <n v="0"/>
    <d v="2023-09-25T00:00:00"/>
  </r>
  <r>
    <s v="B03137"/>
    <s v="P093"/>
    <x v="10"/>
    <s v="Partial Loss"/>
    <n v="9"/>
    <n v="8.74"/>
    <n v="0.26"/>
    <n v="2.9"/>
    <x v="326"/>
    <n v="61180"/>
    <n v="65.430000000000007"/>
    <n v="46350"/>
    <n v="14830"/>
    <n v="15.86"/>
    <n v="1339"/>
    <d v="2023-11-12T00:00:00"/>
  </r>
  <r>
    <s v="B03138"/>
    <s v="P093"/>
    <x v="10"/>
    <s v="Sold Out"/>
    <n v="13"/>
    <n v="13"/>
    <n v="0"/>
    <n v="0"/>
    <x v="506"/>
    <n v="91000"/>
    <n v="97.33"/>
    <n v="66950"/>
    <n v="24050"/>
    <n v="25.72"/>
    <n v="0"/>
    <d v="2023-12-13T00:00:00"/>
  </r>
  <r>
    <s v="B03139"/>
    <s v="P093"/>
    <x v="10"/>
    <s v="Partial Loss"/>
    <n v="9"/>
    <n v="8.7200000000000006"/>
    <n v="0.28000000000000003"/>
    <n v="3.1"/>
    <x v="403"/>
    <n v="61040"/>
    <n v="65.28"/>
    <n v="46350"/>
    <n v="14690"/>
    <n v="15.71"/>
    <n v="1442.0000000000002"/>
    <d v="2024-01-24T00:00:00"/>
  </r>
  <r>
    <s v="B03140"/>
    <s v="P093"/>
    <x v="10"/>
    <s v="Partial Loss"/>
    <n v="9"/>
    <n v="8.58"/>
    <n v="0.42"/>
    <n v="4.7"/>
    <x v="618"/>
    <n v="60060"/>
    <n v="64.239999999999995"/>
    <n v="46350"/>
    <n v="13710"/>
    <n v="14.66"/>
    <n v="2163"/>
    <d v="2024-02-24T00:00:00"/>
  </r>
  <r>
    <s v="B03141"/>
    <s v="P093"/>
    <x v="10"/>
    <s v="Sold Out"/>
    <n v="8"/>
    <n v="8"/>
    <n v="0"/>
    <n v="0"/>
    <x v="164"/>
    <n v="56000"/>
    <n v="59.89"/>
    <n v="40800"/>
    <n v="15200"/>
    <n v="16.260000000000002"/>
    <n v="0"/>
    <d v="2024-03-23T00:00:00"/>
  </r>
  <r>
    <s v="B03142"/>
    <s v="P093"/>
    <x v="10"/>
    <s v="Sold Out"/>
    <n v="23"/>
    <n v="23"/>
    <n v="0"/>
    <n v="0"/>
    <x v="30"/>
    <n v="161000"/>
    <n v="172.19"/>
    <n v="117300"/>
    <n v="43700"/>
    <n v="46.74"/>
    <n v="0"/>
    <d v="2024-04-25T00:00:00"/>
  </r>
  <r>
    <s v="B03143"/>
    <s v="P093"/>
    <x v="10"/>
    <s v="Sold Out"/>
    <n v="22"/>
    <n v="22"/>
    <n v="0"/>
    <n v="0"/>
    <x v="103"/>
    <n v="154000"/>
    <n v="164.71"/>
    <n v="112200"/>
    <n v="41800"/>
    <n v="44.71"/>
    <n v="0"/>
    <d v="2024-05-30T00:00:00"/>
  </r>
  <r>
    <s v="B03144"/>
    <s v="P093"/>
    <x v="10"/>
    <s v="Sold Out"/>
    <n v="24"/>
    <n v="24"/>
    <n v="0"/>
    <n v="0"/>
    <x v="320"/>
    <n v="168000"/>
    <n v="179.68"/>
    <n v="122400"/>
    <n v="45600"/>
    <n v="48.77"/>
    <n v="0"/>
    <d v="2024-07-11T00:00:00"/>
  </r>
  <r>
    <s v="B03145"/>
    <s v="P093"/>
    <x v="10"/>
    <s v="Partial Loss"/>
    <n v="26"/>
    <n v="25.09"/>
    <n v="0.91"/>
    <n v="3.5"/>
    <x v="241"/>
    <n v="175630"/>
    <n v="187.84"/>
    <n v="133900"/>
    <n v="41730"/>
    <n v="44.63"/>
    <n v="4686.5"/>
    <d v="2024-08-11T00:00:00"/>
  </r>
  <r>
    <s v="B03146"/>
    <s v="P093"/>
    <x v="10"/>
    <s v="Partial Loss"/>
    <n v="30"/>
    <n v="28.95"/>
    <n v="1.05"/>
    <n v="3.5"/>
    <x v="196"/>
    <n v="202650"/>
    <n v="216.74"/>
    <n v="154500"/>
    <n v="48150"/>
    <n v="51.5"/>
    <n v="5407.5"/>
    <d v="2024-09-16T00:00:00"/>
  </r>
  <r>
    <s v="B03147"/>
    <s v="P093"/>
    <x v="10"/>
    <s v="Sold Out"/>
    <n v="8"/>
    <n v="8"/>
    <n v="0"/>
    <n v="0"/>
    <x v="557"/>
    <n v="56000"/>
    <n v="59.89"/>
    <n v="40800"/>
    <n v="15200"/>
    <n v="16.260000000000002"/>
    <n v="0"/>
    <d v="2024-10-21T00:00:00"/>
  </r>
  <r>
    <s v="B03148"/>
    <s v="P093"/>
    <x v="10"/>
    <s v="Partial Loss"/>
    <n v="9"/>
    <n v="8.68"/>
    <n v="0.32"/>
    <n v="3.6"/>
    <x v="828"/>
    <n v="60760"/>
    <n v="64.98"/>
    <n v="46350"/>
    <n v="14410"/>
    <n v="15.41"/>
    <n v="1648"/>
    <d v="2024-11-21T00:00:00"/>
  </r>
  <r>
    <s v="B03149"/>
    <s v="P093"/>
    <x v="10"/>
    <s v="Partial Loss"/>
    <n v="11"/>
    <n v="10.6"/>
    <n v="0.4"/>
    <n v="3.6"/>
    <x v="915"/>
    <n v="74200"/>
    <n v="79.36"/>
    <n v="56650"/>
    <n v="17550"/>
    <n v="18.77"/>
    <n v="2060"/>
    <d v="2024-12-20T00:00:00"/>
  </r>
  <r>
    <s v="B03150"/>
    <s v="P093"/>
    <x v="10"/>
    <s v="Sold Out"/>
    <n v="9"/>
    <n v="9"/>
    <n v="0"/>
    <n v="0"/>
    <x v="640"/>
    <n v="63000"/>
    <n v="67.38"/>
    <n v="46350"/>
    <n v="16650"/>
    <n v="17.809999999999999"/>
    <n v="0"/>
    <d v="2025-01-19T00:00:00"/>
  </r>
  <r>
    <s v="B03151"/>
    <s v="P093"/>
    <x v="10"/>
    <s v="Sold Out"/>
    <n v="8"/>
    <n v="8"/>
    <n v="0"/>
    <n v="0"/>
    <x v="65"/>
    <n v="56000"/>
    <n v="59.89"/>
    <n v="41200"/>
    <n v="14800"/>
    <n v="15.83"/>
    <n v="0"/>
    <d v="2025-03-01T00:00:00"/>
  </r>
  <r>
    <s v="B03152"/>
    <s v="P093"/>
    <x v="10"/>
    <s v="Sold Out"/>
    <n v="27"/>
    <n v="27"/>
    <n v="0"/>
    <n v="0"/>
    <x v="437"/>
    <n v="189000"/>
    <n v="202.14"/>
    <n v="139050"/>
    <n v="49950"/>
    <n v="53.42"/>
    <n v="0"/>
    <d v="2025-04-05T00:00:00"/>
  </r>
  <r>
    <s v="B03153"/>
    <s v="P093"/>
    <x v="10"/>
    <s v="Sold Out"/>
    <n v="29"/>
    <n v="29"/>
    <n v="0"/>
    <n v="0"/>
    <x v="193"/>
    <n v="203000"/>
    <n v="217.11"/>
    <n v="149350"/>
    <n v="53650"/>
    <n v="57.38"/>
    <n v="0"/>
    <d v="2025-05-05T00:00:00"/>
  </r>
  <r>
    <s v="B03154"/>
    <s v="P093"/>
    <x v="10"/>
    <s v="Sold Out"/>
    <n v="26"/>
    <n v="26"/>
    <n v="0"/>
    <n v="0"/>
    <x v="71"/>
    <n v="182000"/>
    <n v="194.65"/>
    <n v="132600"/>
    <n v="49400"/>
    <n v="52.83"/>
    <n v="0"/>
    <d v="2025-06-12T00:00:00"/>
  </r>
  <r>
    <s v="B03155"/>
    <s v="P094"/>
    <x v="10"/>
    <s v="Sold Out"/>
    <n v="26"/>
    <n v="26"/>
    <n v="0"/>
    <n v="0"/>
    <x v="299"/>
    <n v="208000"/>
    <n v="222.46"/>
    <n v="156000"/>
    <n v="52000"/>
    <n v="55.61"/>
    <n v="0"/>
    <d v="2023-07-19T00:00:00"/>
  </r>
  <r>
    <s v="B03156"/>
    <s v="P094"/>
    <x v="10"/>
    <s v="Sold Out"/>
    <n v="26"/>
    <n v="26"/>
    <n v="0"/>
    <n v="0"/>
    <x v="592"/>
    <n v="208000"/>
    <n v="222.46"/>
    <n v="156000"/>
    <n v="52000"/>
    <n v="55.61"/>
    <n v="0"/>
    <d v="2023-08-26T00:00:00"/>
  </r>
  <r>
    <s v="B03157"/>
    <s v="P094"/>
    <x v="10"/>
    <s v="Sold Out"/>
    <n v="31"/>
    <n v="31"/>
    <n v="0"/>
    <n v="0"/>
    <x v="535"/>
    <n v="248000"/>
    <n v="265.24"/>
    <n v="186000"/>
    <n v="62000"/>
    <n v="66.31"/>
    <n v="0"/>
    <d v="2023-09-25T00:00:00"/>
  </r>
  <r>
    <s v="B03158"/>
    <s v="P094"/>
    <x v="10"/>
    <s v="Partial Loss"/>
    <n v="9"/>
    <n v="8.58"/>
    <n v="0.42"/>
    <n v="4.7"/>
    <x v="218"/>
    <n v="68640"/>
    <n v="73.41"/>
    <n v="54000"/>
    <n v="14640"/>
    <n v="15.66"/>
    <n v="2520"/>
    <d v="2023-10-22T00:00:00"/>
  </r>
  <r>
    <s v="B03159"/>
    <s v="P094"/>
    <x v="10"/>
    <s v="Partial Loss"/>
    <n v="10"/>
    <n v="9.6999999999999993"/>
    <n v="0.3"/>
    <n v="3"/>
    <x v="518"/>
    <n v="77600"/>
    <n v="82.99"/>
    <n v="60000"/>
    <n v="17600"/>
    <n v="18.82"/>
    <n v="1800"/>
    <d v="2023-11-26T00:00:00"/>
  </r>
  <r>
    <s v="B03160"/>
    <s v="P094"/>
    <x v="10"/>
    <s v="Sold Out"/>
    <n v="13"/>
    <n v="13"/>
    <n v="0"/>
    <n v="0"/>
    <x v="633"/>
    <n v="104000"/>
    <n v="111.23"/>
    <n v="78000"/>
    <n v="26000"/>
    <n v="27.81"/>
    <n v="0"/>
    <d v="2023-12-26T00:00:00"/>
  </r>
  <r>
    <s v="B03161"/>
    <s v="P094"/>
    <x v="10"/>
    <s v="Partial Loss"/>
    <n v="9"/>
    <n v="8.4700000000000006"/>
    <n v="0.53"/>
    <n v="5.9"/>
    <x v="764"/>
    <n v="67760"/>
    <n v="72.47"/>
    <n v="54000"/>
    <n v="13760"/>
    <n v="14.72"/>
    <n v="3180"/>
    <d v="2024-01-27T00:00:00"/>
  </r>
  <r>
    <s v="B03162"/>
    <s v="P094"/>
    <x v="10"/>
    <s v="Sold Out"/>
    <n v="9"/>
    <n v="9"/>
    <n v="0"/>
    <n v="0"/>
    <x v="393"/>
    <n v="72000"/>
    <n v="77.010000000000005"/>
    <n v="54000"/>
    <n v="18000"/>
    <n v="19.25"/>
    <n v="0"/>
    <d v="2024-02-29T00:00:00"/>
  </r>
  <r>
    <s v="B03163"/>
    <s v="P094"/>
    <x v="10"/>
    <s v="Sold Out"/>
    <n v="26"/>
    <n v="26"/>
    <n v="0"/>
    <n v="0"/>
    <x v="822"/>
    <n v="208000"/>
    <n v="222.46"/>
    <n v="156000"/>
    <n v="52000"/>
    <n v="55.61"/>
    <n v="0"/>
    <d v="2024-04-02T00:00:00"/>
  </r>
  <r>
    <s v="B03164"/>
    <s v="P094"/>
    <x v="10"/>
    <s v="Sold Out"/>
    <n v="26"/>
    <n v="26"/>
    <n v="0"/>
    <n v="0"/>
    <x v="165"/>
    <n v="208000"/>
    <n v="222.46"/>
    <n v="156000"/>
    <n v="52000"/>
    <n v="55.61"/>
    <n v="0"/>
    <d v="2024-04-28T00:00:00"/>
  </r>
  <r>
    <s v="B03165"/>
    <s v="P094"/>
    <x v="10"/>
    <s v="Sold Out"/>
    <n v="23"/>
    <n v="23"/>
    <n v="0"/>
    <n v="0"/>
    <x v="454"/>
    <n v="184000"/>
    <n v="196.79"/>
    <n v="138000"/>
    <n v="46000"/>
    <n v="49.2"/>
    <n v="0"/>
    <d v="2024-05-27T00:00:00"/>
  </r>
  <r>
    <s v="B03166"/>
    <s v="P094"/>
    <x v="10"/>
    <s v="Sold Out"/>
    <n v="27"/>
    <n v="27"/>
    <n v="0"/>
    <n v="0"/>
    <x v="575"/>
    <n v="216000"/>
    <n v="231.02"/>
    <n v="162000"/>
    <n v="54000"/>
    <n v="57.75"/>
    <n v="0"/>
    <d v="2024-07-07T00:00:00"/>
  </r>
  <r>
    <s v="B03167"/>
    <s v="P094"/>
    <x v="10"/>
    <s v="Sold Out"/>
    <n v="24"/>
    <n v="24"/>
    <n v="0"/>
    <n v="0"/>
    <x v="780"/>
    <n v="192000"/>
    <n v="205.35"/>
    <n v="144000"/>
    <n v="48000"/>
    <n v="51.34"/>
    <n v="0"/>
    <d v="2024-08-12T00:00:00"/>
  </r>
  <r>
    <s v="B03168"/>
    <s v="P094"/>
    <x v="10"/>
    <s v="Sold Out"/>
    <n v="28"/>
    <n v="28"/>
    <n v="0"/>
    <n v="0"/>
    <x v="111"/>
    <n v="224000"/>
    <n v="239.57"/>
    <n v="168000"/>
    <n v="56000"/>
    <n v="59.89"/>
    <n v="0"/>
    <d v="2024-09-11T00:00:00"/>
  </r>
  <r>
    <s v="B03169"/>
    <s v="P094"/>
    <x v="10"/>
    <s v="Sold Out"/>
    <n v="8"/>
    <n v="8"/>
    <n v="0"/>
    <n v="0"/>
    <x v="118"/>
    <n v="64000"/>
    <n v="68.45"/>
    <n v="48000"/>
    <n v="16000"/>
    <n v="17.11"/>
    <n v="0"/>
    <d v="2024-10-11T00:00:00"/>
  </r>
  <r>
    <s v="B03170"/>
    <s v="P094"/>
    <x v="10"/>
    <s v="Sold Out"/>
    <n v="8"/>
    <n v="8"/>
    <n v="0"/>
    <n v="0"/>
    <x v="330"/>
    <n v="64000"/>
    <n v="68.45"/>
    <n v="48000"/>
    <n v="16000"/>
    <n v="17.11"/>
    <n v="0"/>
    <d v="2024-11-15T00:00:00"/>
  </r>
  <r>
    <s v="B03171"/>
    <s v="P094"/>
    <x v="10"/>
    <s v="Sold Out"/>
    <n v="12"/>
    <n v="12"/>
    <n v="0"/>
    <n v="0"/>
    <x v="124"/>
    <n v="96000"/>
    <n v="102.67"/>
    <n v="72000"/>
    <n v="24000"/>
    <n v="25.67"/>
    <n v="0"/>
    <d v="2024-12-13T00:00:00"/>
  </r>
  <r>
    <s v="B03172"/>
    <s v="P094"/>
    <x v="10"/>
    <s v="Partial Loss"/>
    <n v="9"/>
    <n v="8.6199999999999992"/>
    <n v="0.38"/>
    <n v="4.2"/>
    <x v="916"/>
    <n v="68960"/>
    <n v="73.75"/>
    <n v="54000"/>
    <n v="14960"/>
    <n v="16"/>
    <n v="2280"/>
    <d v="2025-01-13T00:00:00"/>
  </r>
  <r>
    <s v="B03173"/>
    <s v="P094"/>
    <x v="10"/>
    <s v="Sold Out"/>
    <n v="11"/>
    <n v="11"/>
    <n v="0"/>
    <n v="0"/>
    <x v="189"/>
    <n v="88000"/>
    <n v="94.12"/>
    <n v="66000"/>
    <n v="22000"/>
    <n v="23.53"/>
    <n v="0"/>
    <d v="2025-02-12T00:00:00"/>
  </r>
  <r>
    <s v="B03174"/>
    <s v="P094"/>
    <x v="10"/>
    <s v="Partial Loss"/>
    <n v="11"/>
    <n v="10.6"/>
    <n v="0.4"/>
    <n v="3.6"/>
    <x v="630"/>
    <n v="84800"/>
    <n v="90.7"/>
    <n v="66000"/>
    <n v="18800"/>
    <n v="20.11"/>
    <n v="2400"/>
    <d v="2025-03-19T00:00:00"/>
  </r>
  <r>
    <s v="B03175"/>
    <s v="P094"/>
    <x v="10"/>
    <s v="Sold Out"/>
    <n v="27"/>
    <n v="27"/>
    <n v="0"/>
    <n v="0"/>
    <x v="338"/>
    <n v="216000"/>
    <n v="231.02"/>
    <n v="162000"/>
    <n v="54000"/>
    <n v="57.75"/>
    <n v="0"/>
    <d v="2025-04-28T00:00:00"/>
  </r>
  <r>
    <s v="B03176"/>
    <s v="P094"/>
    <x v="10"/>
    <s v="Sold Out"/>
    <n v="24"/>
    <n v="24"/>
    <n v="0"/>
    <n v="0"/>
    <x v="617"/>
    <n v="192000"/>
    <n v="205.35"/>
    <n v="144000"/>
    <n v="48000"/>
    <n v="51.34"/>
    <n v="0"/>
    <d v="2025-06-07T00:00:00"/>
  </r>
  <r>
    <s v="B03177"/>
    <s v="P095"/>
    <x v="11"/>
    <s v="Sold Out"/>
    <n v="24"/>
    <n v="24"/>
    <n v="0"/>
    <n v="0"/>
    <x v="6"/>
    <n v="108000"/>
    <n v="115.51"/>
    <n v="80400"/>
    <n v="27600"/>
    <n v="29.52"/>
    <n v="0"/>
    <d v="2023-07-24T00:00:00"/>
  </r>
  <r>
    <s v="B03178"/>
    <s v="P095"/>
    <x v="11"/>
    <s v="Sold Out"/>
    <n v="22"/>
    <n v="22"/>
    <n v="0"/>
    <n v="0"/>
    <x v="534"/>
    <n v="99000"/>
    <n v="105.88"/>
    <n v="74800"/>
    <n v="24200"/>
    <n v="25.88"/>
    <n v="0"/>
    <d v="2023-08-31T00:00:00"/>
  </r>
  <r>
    <s v="B03179"/>
    <s v="P095"/>
    <x v="11"/>
    <s v="Partial Loss"/>
    <n v="9"/>
    <n v="8.31"/>
    <n v="0.69"/>
    <n v="7.7"/>
    <x v="37"/>
    <n v="37395"/>
    <n v="39.99"/>
    <n v="30600"/>
    <n v="6795"/>
    <n v="7.27"/>
    <n v="2346"/>
    <d v="2023-10-03T00:00:00"/>
  </r>
  <r>
    <s v="B03180"/>
    <s v="P095"/>
    <x v="11"/>
    <s v="Partial Loss"/>
    <n v="9"/>
    <n v="8.0500000000000007"/>
    <n v="0.95"/>
    <n v="10.6"/>
    <x v="172"/>
    <n v="36225"/>
    <n v="38.74"/>
    <n v="30600"/>
    <n v="5625"/>
    <n v="6.02"/>
    <n v="3230"/>
    <d v="2023-11-09T00:00:00"/>
  </r>
  <r>
    <s v="B03181"/>
    <s v="P095"/>
    <x v="11"/>
    <s v="Partial Loss"/>
    <n v="13"/>
    <n v="12.31"/>
    <n v="0.69"/>
    <n v="5.3"/>
    <x v="114"/>
    <n v="55395"/>
    <n v="59.25"/>
    <n v="44200"/>
    <n v="11195"/>
    <n v="11.97"/>
    <n v="2346"/>
    <d v="2023-12-13T00:00:00"/>
  </r>
  <r>
    <s v="B03182"/>
    <s v="P095"/>
    <x v="11"/>
    <s v="Partial Loss"/>
    <n v="9"/>
    <n v="8.48"/>
    <n v="0.52"/>
    <n v="5.8"/>
    <x v="777"/>
    <n v="38160"/>
    <n v="40.81"/>
    <n v="30600"/>
    <n v="7560"/>
    <n v="8.09"/>
    <n v="1768"/>
    <d v="2024-01-21T00:00:00"/>
  </r>
  <r>
    <s v="B03183"/>
    <s v="P095"/>
    <x v="11"/>
    <s v="Partial Loss"/>
    <n v="10"/>
    <n v="9.35"/>
    <n v="0.65"/>
    <n v="6.5"/>
    <x v="463"/>
    <n v="42075"/>
    <n v="45"/>
    <n v="34000"/>
    <n v="8075"/>
    <n v="8.64"/>
    <n v="2210"/>
    <d v="2024-02-25T00:00:00"/>
  </r>
  <r>
    <s v="B03184"/>
    <s v="P095"/>
    <x v="11"/>
    <s v="Sold Out"/>
    <n v="25"/>
    <n v="25"/>
    <n v="0"/>
    <n v="0"/>
    <x v="26"/>
    <n v="112500"/>
    <n v="120.32"/>
    <n v="85000"/>
    <n v="27500"/>
    <n v="29.41"/>
    <n v="0"/>
    <d v="2024-04-03T00:00:00"/>
  </r>
  <r>
    <s v="B03185"/>
    <s v="P095"/>
    <x v="11"/>
    <s v="Sold Out"/>
    <n v="21"/>
    <n v="21"/>
    <n v="0"/>
    <n v="0"/>
    <x v="455"/>
    <n v="94500"/>
    <n v="101.07"/>
    <n v="71400"/>
    <n v="23100"/>
    <n v="24.71"/>
    <n v="0"/>
    <d v="2024-05-11T00:00:00"/>
  </r>
  <r>
    <s v="B03186"/>
    <s v="P095"/>
    <x v="11"/>
    <s v="Sold Out"/>
    <n v="23"/>
    <n v="23"/>
    <n v="0"/>
    <n v="0"/>
    <x v="399"/>
    <n v="103500"/>
    <n v="110.7"/>
    <n v="78200"/>
    <n v="25300"/>
    <n v="27.06"/>
    <n v="0"/>
    <d v="2024-06-20T00:00:00"/>
  </r>
  <r>
    <s v="B03187"/>
    <s v="P095"/>
    <x v="11"/>
    <s v="Sold Out"/>
    <n v="24"/>
    <n v="24"/>
    <n v="0"/>
    <n v="0"/>
    <x v="321"/>
    <n v="108000"/>
    <n v="115.51"/>
    <n v="81600"/>
    <n v="26400"/>
    <n v="28.24"/>
    <n v="0"/>
    <d v="2024-07-20T00:00:00"/>
  </r>
  <r>
    <s v="B03188"/>
    <s v="P095"/>
    <x v="11"/>
    <s v="Sold Out"/>
    <n v="24"/>
    <n v="24"/>
    <n v="0"/>
    <n v="0"/>
    <x v="401"/>
    <n v="108000"/>
    <n v="115.51"/>
    <n v="81600"/>
    <n v="26400"/>
    <n v="28.24"/>
    <n v="0"/>
    <d v="2024-08-25T00:00:00"/>
  </r>
  <r>
    <s v="B03189"/>
    <s v="P095"/>
    <x v="11"/>
    <s v="Sold Out"/>
    <n v="30"/>
    <n v="30"/>
    <n v="0"/>
    <n v="0"/>
    <x v="327"/>
    <n v="135000"/>
    <n v="144.38999999999999"/>
    <n v="102000"/>
    <n v="33000"/>
    <n v="35.29"/>
    <n v="0"/>
    <d v="2024-09-29T00:00:00"/>
  </r>
  <r>
    <s v="B03190"/>
    <s v="P095"/>
    <x v="11"/>
    <s v="Partial Loss"/>
    <n v="10"/>
    <n v="9.14"/>
    <n v="0.86"/>
    <n v="8.6"/>
    <x v="827"/>
    <n v="41130"/>
    <n v="43.99"/>
    <n v="34000"/>
    <n v="7130"/>
    <n v="7.63"/>
    <n v="2924"/>
    <d v="2024-11-02T00:00:00"/>
  </r>
  <r>
    <s v="B03191"/>
    <s v="P095"/>
    <x v="11"/>
    <s v="Partial Loss"/>
    <n v="9"/>
    <n v="8.31"/>
    <n v="0.69"/>
    <n v="7.7"/>
    <x v="917"/>
    <n v="37395"/>
    <n v="39.99"/>
    <n v="30600"/>
    <n v="6795"/>
    <n v="7.27"/>
    <n v="2346"/>
    <d v="2024-11-24T00:00:00"/>
  </r>
  <r>
    <s v="B03192"/>
    <s v="P095"/>
    <x v="11"/>
    <s v="Partial Loss"/>
    <n v="11"/>
    <n v="10.64"/>
    <n v="0.36"/>
    <n v="3.3"/>
    <x v="918"/>
    <n v="47880"/>
    <n v="51.21"/>
    <n v="36850"/>
    <n v="11030"/>
    <n v="11.8"/>
    <n v="1206"/>
    <d v="2024-12-24T00:00:00"/>
  </r>
  <r>
    <s v="B03193"/>
    <s v="P095"/>
    <x v="11"/>
    <s v="Partial Loss"/>
    <n v="10"/>
    <n v="9.61"/>
    <n v="0.39"/>
    <n v="3.9"/>
    <x v="919"/>
    <n v="43245"/>
    <n v="46.25"/>
    <n v="34000"/>
    <n v="9245"/>
    <n v="9.89"/>
    <n v="1326"/>
    <d v="2025-01-29T00:00:00"/>
  </r>
  <r>
    <s v="B03194"/>
    <s v="P095"/>
    <x v="11"/>
    <s v="Partial Loss"/>
    <n v="10"/>
    <n v="9.3699999999999992"/>
    <n v="0.63"/>
    <n v="6.3"/>
    <x v="726"/>
    <n v="42165"/>
    <n v="45.1"/>
    <n v="34000"/>
    <n v="8165"/>
    <n v="8.73"/>
    <n v="2142"/>
    <d v="2025-03-04T00:00:00"/>
  </r>
  <r>
    <s v="B03195"/>
    <s v="P095"/>
    <x v="11"/>
    <s v="Partial Loss"/>
    <n v="28"/>
    <n v="27.5"/>
    <n v="0.5"/>
    <n v="1.8"/>
    <x v="920"/>
    <n v="123750"/>
    <n v="132.35"/>
    <n v="95200"/>
    <n v="28550"/>
    <n v="30.53"/>
    <n v="1700"/>
    <d v="2025-04-06T00:00:00"/>
  </r>
  <r>
    <s v="B03196"/>
    <s v="P095"/>
    <x v="11"/>
    <s v="Sold Out"/>
    <n v="26"/>
    <n v="26"/>
    <n v="0"/>
    <n v="0"/>
    <x v="617"/>
    <n v="117000"/>
    <n v="125.13"/>
    <n v="88400"/>
    <n v="28600"/>
    <n v="30.59"/>
    <n v="0"/>
    <d v="2025-05-14T00:00:00"/>
  </r>
  <r>
    <s v="B03197"/>
    <s v="P095"/>
    <x v="11"/>
    <s v="Sold Out"/>
    <n v="24"/>
    <n v="24"/>
    <n v="0"/>
    <n v="0"/>
    <x v="441"/>
    <n v="108000"/>
    <n v="115.51"/>
    <n v="81600"/>
    <n v="26400"/>
    <n v="28.24"/>
    <n v="0"/>
    <d v="2025-06-20T00:00:00"/>
  </r>
  <r>
    <s v="B03198"/>
    <s v="P096"/>
    <x v="11"/>
    <s v="Sold Out"/>
    <n v="25"/>
    <n v="25"/>
    <n v="0"/>
    <n v="0"/>
    <x v="77"/>
    <n v="137500"/>
    <n v="147.06"/>
    <n v="103750"/>
    <n v="33750"/>
    <n v="36.1"/>
    <n v="0"/>
    <d v="2023-07-23T00:00:00"/>
  </r>
  <r>
    <s v="B03199"/>
    <s v="P096"/>
    <x v="11"/>
    <s v="Sold Out"/>
    <n v="25"/>
    <n v="25"/>
    <n v="0"/>
    <n v="0"/>
    <x v="533"/>
    <n v="137500"/>
    <n v="147.06"/>
    <n v="103750"/>
    <n v="33750"/>
    <n v="36.1"/>
    <n v="0"/>
    <d v="2023-08-28T00:00:00"/>
  </r>
  <r>
    <s v="B03200"/>
    <s v="P096"/>
    <x v="11"/>
    <s v="Sold Out"/>
    <n v="31"/>
    <n v="31"/>
    <n v="0"/>
    <n v="0"/>
    <x v="854"/>
    <n v="170500"/>
    <n v="182.35"/>
    <n v="128650"/>
    <n v="41850"/>
    <n v="44.76"/>
    <n v="0"/>
    <d v="2023-09-25T00:00:00"/>
  </r>
  <r>
    <s v="B03201"/>
    <s v="P096"/>
    <x v="11"/>
    <s v="Sold Out"/>
    <n v="8"/>
    <n v="8"/>
    <n v="0"/>
    <n v="0"/>
    <x v="305"/>
    <n v="44000"/>
    <n v="47.06"/>
    <n v="33200"/>
    <n v="10800"/>
    <n v="11.55"/>
    <n v="0"/>
    <d v="2023-10-30T00:00:00"/>
  </r>
  <r>
    <s v="B03202"/>
    <s v="P096"/>
    <x v="11"/>
    <s v="Partial Loss"/>
    <n v="13"/>
    <n v="12.62"/>
    <n v="0.38"/>
    <n v="2.9"/>
    <x v="519"/>
    <n v="69410"/>
    <n v="74.239999999999995"/>
    <n v="53950"/>
    <n v="15460"/>
    <n v="16.53"/>
    <n v="1577"/>
    <d v="2023-12-08T00:00:00"/>
  </r>
  <r>
    <s v="B03203"/>
    <s v="P096"/>
    <x v="11"/>
    <s v="Partial Loss"/>
    <n v="10"/>
    <n v="9.5500000000000007"/>
    <n v="0.45"/>
    <n v="4.5"/>
    <x v="179"/>
    <n v="52525"/>
    <n v="56.18"/>
    <n v="41500"/>
    <n v="11025"/>
    <n v="11.79"/>
    <n v="1867.5"/>
    <d v="2024-01-18T00:00:00"/>
  </r>
  <r>
    <s v="B03204"/>
    <s v="P096"/>
    <x v="11"/>
    <s v="Sold Out"/>
    <n v="8"/>
    <n v="8"/>
    <n v="0"/>
    <n v="0"/>
    <x v="702"/>
    <n v="44000"/>
    <n v="47.06"/>
    <n v="33200"/>
    <n v="10800"/>
    <n v="11.55"/>
    <n v="0"/>
    <d v="2024-02-15T00:00:00"/>
  </r>
  <r>
    <s v="B03205"/>
    <s v="P096"/>
    <x v="11"/>
    <s v="Partial Loss"/>
    <n v="8"/>
    <n v="7.66"/>
    <n v="0.34"/>
    <n v="4.3"/>
    <x v="522"/>
    <n v="42130"/>
    <n v="45.06"/>
    <n v="34000"/>
    <n v="8130"/>
    <n v="8.6999999999999993"/>
    <n v="1445"/>
    <d v="2024-03-16T00:00:00"/>
  </r>
  <r>
    <s v="B03206"/>
    <s v="P096"/>
    <x v="11"/>
    <s v="Partial Loss"/>
    <n v="24"/>
    <n v="23.06"/>
    <n v="0.94"/>
    <n v="3.9"/>
    <x v="580"/>
    <n v="126830"/>
    <n v="135.65"/>
    <n v="99600"/>
    <n v="27230"/>
    <n v="29.12"/>
    <n v="3901"/>
    <d v="2024-04-22T00:00:00"/>
  </r>
  <r>
    <s v="B03207"/>
    <s v="P096"/>
    <x v="11"/>
    <s v="Sold Out"/>
    <n v="23"/>
    <n v="23"/>
    <n v="0"/>
    <n v="0"/>
    <x v="106"/>
    <n v="126500"/>
    <n v="135.29"/>
    <n v="95450"/>
    <n v="31050"/>
    <n v="33.21"/>
    <n v="0"/>
    <d v="2024-05-24T00:00:00"/>
  </r>
  <r>
    <s v="B03208"/>
    <s v="P096"/>
    <x v="11"/>
    <s v="Sold Out"/>
    <n v="24"/>
    <n v="24"/>
    <n v="0"/>
    <n v="0"/>
    <x v="362"/>
    <n v="132000"/>
    <n v="141.18"/>
    <n v="102000"/>
    <n v="30000"/>
    <n v="32.090000000000003"/>
    <n v="0"/>
    <d v="2024-06-19T00:00:00"/>
  </r>
  <r>
    <s v="B03209"/>
    <s v="P096"/>
    <x v="11"/>
    <s v="Sold Out"/>
    <n v="23"/>
    <n v="23"/>
    <n v="0"/>
    <n v="0"/>
    <x v="576"/>
    <n v="126500"/>
    <n v="135.29"/>
    <n v="95450"/>
    <n v="31050"/>
    <n v="33.21"/>
    <n v="0"/>
    <d v="2024-07-10T00:00:00"/>
  </r>
  <r>
    <s v="B03210"/>
    <s v="P096"/>
    <x v="11"/>
    <s v="Sold Out"/>
    <n v="25"/>
    <n v="25"/>
    <n v="0"/>
    <n v="0"/>
    <x v="797"/>
    <n v="137500"/>
    <n v="147.06"/>
    <n v="103750"/>
    <n v="33750"/>
    <n v="36.1"/>
    <n v="0"/>
    <d v="2024-08-13T00:00:00"/>
  </r>
  <r>
    <s v="B03211"/>
    <s v="P096"/>
    <x v="11"/>
    <s v="Sold Out"/>
    <n v="30"/>
    <n v="30"/>
    <n v="0"/>
    <n v="0"/>
    <x v="276"/>
    <n v="165000"/>
    <n v="176.47"/>
    <n v="124500"/>
    <n v="40500"/>
    <n v="43.32"/>
    <n v="0"/>
    <d v="2024-09-17T00:00:00"/>
  </r>
  <r>
    <s v="B03212"/>
    <s v="P096"/>
    <x v="11"/>
    <s v="Partial Loss"/>
    <n v="8"/>
    <n v="7.53"/>
    <n v="0.47"/>
    <n v="5.9"/>
    <x v="921"/>
    <n v="41415"/>
    <n v="44.29"/>
    <n v="33200"/>
    <n v="8215"/>
    <n v="8.7899999999999991"/>
    <n v="1950.5"/>
    <d v="2024-10-19T00:00:00"/>
  </r>
  <r>
    <s v="B03213"/>
    <s v="P096"/>
    <x v="11"/>
    <s v="Sold Out"/>
    <n v="10"/>
    <n v="10"/>
    <n v="0"/>
    <n v="0"/>
    <x v="463"/>
    <n v="55000"/>
    <n v="58.82"/>
    <n v="41500"/>
    <n v="13500"/>
    <n v="14.44"/>
    <n v="0"/>
    <d v="2024-11-28T00:00:00"/>
  </r>
  <r>
    <s v="B03214"/>
    <s v="P096"/>
    <x v="11"/>
    <s v="Partial Loss"/>
    <n v="12"/>
    <n v="11.12"/>
    <n v="0.88"/>
    <n v="7.3"/>
    <x v="842"/>
    <n v="61160"/>
    <n v="65.41"/>
    <n v="49800"/>
    <n v="11360"/>
    <n v="12.15"/>
    <n v="3652"/>
    <d v="2024-12-29T00:00:00"/>
  </r>
  <r>
    <s v="B03215"/>
    <s v="P096"/>
    <x v="11"/>
    <s v="Partial Loss"/>
    <n v="9"/>
    <n v="8.5299999999999994"/>
    <n v="0.47"/>
    <n v="5.2"/>
    <x v="922"/>
    <n v="46915"/>
    <n v="50.18"/>
    <n v="37350"/>
    <n v="9565"/>
    <n v="10.23"/>
    <n v="1950.5"/>
    <d v="2025-02-04T00:00:00"/>
  </r>
  <r>
    <s v="B03216"/>
    <s v="P096"/>
    <x v="11"/>
    <s v="Partial Loss"/>
    <n v="10"/>
    <n v="9.2200000000000006"/>
    <n v="0.78"/>
    <n v="7.8"/>
    <x v="707"/>
    <n v="50710"/>
    <n v="54.24"/>
    <n v="41500"/>
    <n v="9210"/>
    <n v="9.85"/>
    <n v="3237"/>
    <d v="2025-03-20T00:00:00"/>
  </r>
  <r>
    <s v="B03217"/>
    <s v="P096"/>
    <x v="11"/>
    <s v="Sold Out"/>
    <n v="25"/>
    <n v="25"/>
    <n v="0"/>
    <n v="0"/>
    <x v="923"/>
    <n v="137500"/>
    <n v="147.06"/>
    <n v="103750"/>
    <n v="33750"/>
    <n v="36.1"/>
    <n v="0"/>
    <d v="2025-04-12T00:00:00"/>
  </r>
  <r>
    <s v="B03218"/>
    <s v="P096"/>
    <x v="11"/>
    <s v="Sold Out"/>
    <n v="22"/>
    <n v="22"/>
    <n v="0"/>
    <n v="0"/>
    <x v="70"/>
    <n v="121000"/>
    <n v="129.41"/>
    <n v="91300"/>
    <n v="29700"/>
    <n v="31.76"/>
    <n v="0"/>
    <d v="2025-05-19T00:00:00"/>
  </r>
  <r>
    <s v="B03219"/>
    <s v="P096"/>
    <x v="11"/>
    <s v="Sold Out"/>
    <n v="28"/>
    <n v="28"/>
    <n v="0"/>
    <n v="0"/>
    <x v="196"/>
    <n v="154000"/>
    <n v="164.71"/>
    <n v="116200"/>
    <n v="37800"/>
    <n v="40.43"/>
    <n v="0"/>
    <d v="2025-06-17T00:00:00"/>
  </r>
  <r>
    <s v="B03220"/>
    <s v="P097"/>
    <x v="11"/>
    <s v="Sold Out"/>
    <n v="25"/>
    <n v="25"/>
    <n v="0"/>
    <n v="0"/>
    <x v="805"/>
    <n v="150000"/>
    <n v="160.43"/>
    <n v="105000"/>
    <n v="45000"/>
    <n v="48.13"/>
    <n v="0"/>
    <d v="2023-07-19T00:00:00"/>
  </r>
  <r>
    <s v="B03221"/>
    <s v="P097"/>
    <x v="11"/>
    <s v="Sold Out"/>
    <n v="23"/>
    <n v="23"/>
    <n v="0"/>
    <n v="0"/>
    <x v="300"/>
    <n v="138000"/>
    <n v="147.59"/>
    <n v="96600"/>
    <n v="41400"/>
    <n v="44.28"/>
    <n v="0"/>
    <d v="2023-08-17T00:00:00"/>
  </r>
  <r>
    <s v="B03222"/>
    <s v="P097"/>
    <x v="11"/>
    <s v="Sold Out"/>
    <n v="33"/>
    <n v="33"/>
    <n v="0"/>
    <n v="0"/>
    <x v="204"/>
    <n v="198000"/>
    <n v="211.76"/>
    <n v="151800"/>
    <n v="46200"/>
    <n v="49.41"/>
    <n v="0"/>
    <d v="2023-09-26T00:00:00"/>
  </r>
  <r>
    <s v="B03223"/>
    <s v="P097"/>
    <x v="11"/>
    <s v="Partial Loss"/>
    <n v="9"/>
    <n v="8.25"/>
    <n v="0.75"/>
    <n v="8.3000000000000007"/>
    <x v="322"/>
    <n v="49500"/>
    <n v="52.94"/>
    <n v="37800"/>
    <n v="11700"/>
    <n v="12.51"/>
    <n v="3150"/>
    <d v="2023-10-28T00:00:00"/>
  </r>
  <r>
    <s v="B03224"/>
    <s v="P097"/>
    <x v="11"/>
    <s v="Partial Loss"/>
    <n v="11"/>
    <n v="10.23"/>
    <n v="0.77"/>
    <n v="7"/>
    <x v="175"/>
    <n v="61380"/>
    <n v="65.650000000000006"/>
    <n v="46200"/>
    <n v="15180"/>
    <n v="16.239999999999998"/>
    <n v="3234"/>
    <d v="2023-12-02T00:00:00"/>
  </r>
  <r>
    <s v="B03225"/>
    <s v="P097"/>
    <x v="11"/>
    <s v="Sold Out"/>
    <n v="9"/>
    <n v="9"/>
    <n v="0"/>
    <n v="0"/>
    <x v="356"/>
    <n v="54000"/>
    <n v="57.75"/>
    <n v="37800"/>
    <n v="16200"/>
    <n v="17.329999999999998"/>
    <n v="0"/>
    <d v="2024-01-12T00:00:00"/>
  </r>
  <r>
    <s v="B03226"/>
    <s v="P097"/>
    <x v="11"/>
    <s v="Sold Out"/>
    <n v="8"/>
    <n v="8"/>
    <n v="0"/>
    <n v="0"/>
    <x v="511"/>
    <n v="48000"/>
    <n v="51.34"/>
    <n v="33600"/>
    <n v="14400"/>
    <n v="15.4"/>
    <n v="0"/>
    <d v="2024-02-12T00:00:00"/>
  </r>
  <r>
    <s v="B03227"/>
    <s v="P097"/>
    <x v="11"/>
    <s v="Partial Loss"/>
    <n v="8"/>
    <n v="7.59"/>
    <n v="0.41"/>
    <n v="5.0999999999999996"/>
    <x v="628"/>
    <n v="45540"/>
    <n v="48.71"/>
    <n v="33600"/>
    <n v="11940"/>
    <n v="12.77"/>
    <n v="1722"/>
    <d v="2024-03-22T00:00:00"/>
  </r>
  <r>
    <s v="B03228"/>
    <s v="P097"/>
    <x v="11"/>
    <s v="Sold Out"/>
    <n v="24"/>
    <n v="24"/>
    <n v="0"/>
    <n v="0"/>
    <x v="424"/>
    <n v="144000"/>
    <n v="154.01"/>
    <n v="100800"/>
    <n v="43200"/>
    <n v="46.2"/>
    <n v="0"/>
    <d v="2024-04-26T00:00:00"/>
  </r>
  <r>
    <s v="B03229"/>
    <s v="P097"/>
    <x v="11"/>
    <s v="Sold Out"/>
    <n v="22"/>
    <n v="22"/>
    <n v="0"/>
    <n v="0"/>
    <x v="318"/>
    <n v="132000"/>
    <n v="141.18"/>
    <n v="92400"/>
    <n v="39600"/>
    <n v="42.35"/>
    <n v="0"/>
    <d v="2024-05-28T00:00:00"/>
  </r>
  <r>
    <s v="B03230"/>
    <s v="P097"/>
    <x v="11"/>
    <s v="Sold Out"/>
    <n v="27"/>
    <n v="27"/>
    <n v="0"/>
    <n v="0"/>
    <x v="36"/>
    <n v="162000"/>
    <n v="173.26"/>
    <n v="113400"/>
    <n v="48600"/>
    <n v="51.98"/>
    <n v="0"/>
    <d v="2024-06-29T00:00:00"/>
  </r>
  <r>
    <s v="B03231"/>
    <s v="P097"/>
    <x v="11"/>
    <s v="Sold Out"/>
    <n v="24"/>
    <n v="24"/>
    <n v="0"/>
    <n v="0"/>
    <x v="321"/>
    <n v="144000"/>
    <n v="154.01"/>
    <n v="100800"/>
    <n v="43200"/>
    <n v="46.2"/>
    <n v="0"/>
    <d v="2024-07-30T00:00:00"/>
  </r>
  <r>
    <s v="B03232"/>
    <s v="P097"/>
    <x v="11"/>
    <s v="Sold Out"/>
    <n v="33"/>
    <n v="33"/>
    <n v="0"/>
    <n v="0"/>
    <x v="518"/>
    <n v="198000"/>
    <n v="211.76"/>
    <n v="138600"/>
    <n v="59400"/>
    <n v="63.53"/>
    <n v="0"/>
    <d v="2024-09-01T00:00:00"/>
  </r>
  <r>
    <s v="B03233"/>
    <s v="P097"/>
    <x v="11"/>
    <s v="Sold Out"/>
    <n v="9"/>
    <n v="9"/>
    <n v="0"/>
    <n v="0"/>
    <x v="49"/>
    <n v="54000"/>
    <n v="57.75"/>
    <n v="37800"/>
    <n v="16200"/>
    <n v="17.329999999999998"/>
    <n v="0"/>
    <d v="2024-10-06T00:00:00"/>
  </r>
  <r>
    <s v="B03234"/>
    <s v="P097"/>
    <x v="11"/>
    <s v="Partial Loss"/>
    <n v="9"/>
    <n v="8.57"/>
    <n v="0.43"/>
    <n v="4.8"/>
    <x v="924"/>
    <n v="51420"/>
    <n v="54.99"/>
    <n v="41400"/>
    <n v="10020"/>
    <n v="10.72"/>
    <n v="1978"/>
    <d v="2024-11-08T00:00:00"/>
  </r>
  <r>
    <s v="B03235"/>
    <s v="P097"/>
    <x v="11"/>
    <s v="Sold Out"/>
    <n v="12"/>
    <n v="12"/>
    <n v="0"/>
    <n v="0"/>
    <x v="688"/>
    <n v="72000"/>
    <n v="77.010000000000005"/>
    <n v="50400"/>
    <n v="21600"/>
    <n v="23.1"/>
    <n v="0"/>
    <d v="2024-12-23T00:00:00"/>
  </r>
  <r>
    <s v="B03236"/>
    <s v="P097"/>
    <x v="11"/>
    <s v="Partial Loss"/>
    <n v="9"/>
    <n v="8.67"/>
    <n v="0.33"/>
    <n v="3.7"/>
    <x v="919"/>
    <n v="52020"/>
    <n v="55.64"/>
    <n v="41400"/>
    <n v="10620"/>
    <n v="11.36"/>
    <n v="1518"/>
    <d v="2025-01-29T00:00:00"/>
  </r>
  <r>
    <s v="B03237"/>
    <s v="P097"/>
    <x v="11"/>
    <s v="Partial Loss"/>
    <n v="9"/>
    <n v="8.34"/>
    <n v="0.66"/>
    <n v="7.3"/>
    <x v="912"/>
    <n v="50040"/>
    <n v="53.52"/>
    <n v="37800"/>
    <n v="12240"/>
    <n v="13.09"/>
    <n v="2772"/>
    <d v="2025-03-05T00:00:00"/>
  </r>
  <r>
    <s v="B03238"/>
    <s v="P097"/>
    <x v="11"/>
    <s v="Sold Out"/>
    <n v="26"/>
    <n v="26"/>
    <n v="0"/>
    <n v="0"/>
    <x v="135"/>
    <n v="156000"/>
    <n v="166.84"/>
    <n v="109200"/>
    <n v="46800"/>
    <n v="50.05"/>
    <n v="0"/>
    <d v="2025-04-05T00:00:00"/>
  </r>
  <r>
    <s v="B03239"/>
    <s v="P097"/>
    <x v="11"/>
    <s v="Sold Out"/>
    <n v="24"/>
    <n v="24"/>
    <n v="0"/>
    <n v="0"/>
    <x v="338"/>
    <n v="144000"/>
    <n v="154.01"/>
    <n v="100800"/>
    <n v="43200"/>
    <n v="46.2"/>
    <n v="0"/>
    <d v="2025-05-19T00:00:00"/>
  </r>
  <r>
    <s v="B03240"/>
    <s v="P097"/>
    <x v="11"/>
    <s v="Partial Loss"/>
    <n v="25"/>
    <n v="24.55"/>
    <n v="0.45"/>
    <n v="1.8"/>
    <x v="925"/>
    <n v="147300"/>
    <n v="157.54"/>
    <n v="105000"/>
    <n v="42300"/>
    <n v="45.24"/>
    <n v="1890"/>
    <d v="2025-06-19T00:00:00"/>
  </r>
  <r>
    <s v="B03241"/>
    <s v="P098"/>
    <x v="11"/>
    <s v="Sold Out"/>
    <n v="24"/>
    <n v="24"/>
    <n v="0"/>
    <n v="0"/>
    <x v="590"/>
    <n v="120000"/>
    <n v="128.34"/>
    <n v="90000"/>
    <n v="30000"/>
    <n v="32.090000000000003"/>
    <n v="0"/>
    <d v="2023-07-07T00:00:00"/>
  </r>
  <r>
    <s v="B03242"/>
    <s v="P098"/>
    <x v="11"/>
    <s v="Sold Out"/>
    <n v="22"/>
    <n v="22"/>
    <n v="0"/>
    <n v="0"/>
    <x v="347"/>
    <n v="110000"/>
    <n v="117.65"/>
    <n v="82500"/>
    <n v="27500"/>
    <n v="29.41"/>
    <n v="0"/>
    <d v="2023-08-20T00:00:00"/>
  </r>
  <r>
    <s v="B03243"/>
    <s v="P098"/>
    <x v="11"/>
    <s v="Sold Out"/>
    <n v="30"/>
    <n v="30"/>
    <n v="0"/>
    <n v="0"/>
    <x v="11"/>
    <n v="150000"/>
    <n v="160.43"/>
    <n v="112500"/>
    <n v="37500"/>
    <n v="40.11"/>
    <n v="0"/>
    <d v="2023-09-16T00:00:00"/>
  </r>
  <r>
    <s v="B03244"/>
    <s v="P098"/>
    <x v="11"/>
    <s v="Partial Loss"/>
    <n v="10"/>
    <n v="9.39"/>
    <n v="0.61"/>
    <n v="6.1"/>
    <x v="796"/>
    <n v="46950"/>
    <n v="50.21"/>
    <n v="36000"/>
    <n v="10950"/>
    <n v="11.71"/>
    <n v="2196"/>
    <d v="2023-10-27T00:00:00"/>
  </r>
  <r>
    <s v="B03245"/>
    <s v="P098"/>
    <x v="11"/>
    <s v="Sold Out"/>
    <n v="10"/>
    <n v="10"/>
    <n v="0"/>
    <n v="0"/>
    <x v="19"/>
    <n v="50000"/>
    <n v="53.48"/>
    <n v="37500"/>
    <n v="12500"/>
    <n v="13.37"/>
    <n v="0"/>
    <d v="2023-12-02T00:00:00"/>
  </r>
  <r>
    <s v="B03246"/>
    <s v="P098"/>
    <x v="11"/>
    <s v="Partial Loss"/>
    <n v="8"/>
    <n v="7.37"/>
    <n v="0.63"/>
    <n v="7.9"/>
    <x v="50"/>
    <n v="36850"/>
    <n v="39.409999999999997"/>
    <n v="28800"/>
    <n v="8050"/>
    <n v="8.61"/>
    <n v="2268"/>
    <d v="2024-01-10T00:00:00"/>
  </r>
  <r>
    <s v="B03247"/>
    <s v="P098"/>
    <x v="11"/>
    <s v="Sold Out"/>
    <n v="10"/>
    <n v="10"/>
    <n v="0"/>
    <n v="0"/>
    <x v="312"/>
    <n v="50000"/>
    <n v="53.48"/>
    <n v="36000"/>
    <n v="14000"/>
    <n v="14.97"/>
    <n v="0"/>
    <d v="2024-02-19T00:00:00"/>
  </r>
  <r>
    <s v="B03248"/>
    <s v="P098"/>
    <x v="11"/>
    <s v="Partial Loss"/>
    <n v="10"/>
    <n v="9.06"/>
    <n v="0.94"/>
    <n v="9.4"/>
    <x v="408"/>
    <n v="45300"/>
    <n v="48.45"/>
    <n v="36000"/>
    <n v="9300"/>
    <n v="9.9499999999999993"/>
    <n v="3384"/>
    <d v="2024-03-24T00:00:00"/>
  </r>
  <r>
    <s v="B03249"/>
    <s v="P098"/>
    <x v="11"/>
    <s v="Sold Out"/>
    <n v="27"/>
    <n v="27"/>
    <n v="0"/>
    <n v="0"/>
    <x v="98"/>
    <n v="135000"/>
    <n v="144.38999999999999"/>
    <n v="97200"/>
    <n v="37800"/>
    <n v="40.43"/>
    <n v="0"/>
    <d v="2024-04-22T00:00:00"/>
  </r>
  <r>
    <s v="B03250"/>
    <s v="P098"/>
    <x v="11"/>
    <s v="Sold Out"/>
    <n v="21"/>
    <n v="21"/>
    <n v="0"/>
    <n v="0"/>
    <x v="547"/>
    <n v="105000"/>
    <n v="112.3"/>
    <n v="75600"/>
    <n v="29400"/>
    <n v="31.44"/>
    <n v="0"/>
    <d v="2024-05-29T00:00:00"/>
  </r>
  <r>
    <s v="B03251"/>
    <s v="P098"/>
    <x v="11"/>
    <s v="Sold Out"/>
    <n v="27"/>
    <n v="27"/>
    <n v="0"/>
    <n v="0"/>
    <x v="426"/>
    <n v="135000"/>
    <n v="144.38999999999999"/>
    <n v="101250"/>
    <n v="33750"/>
    <n v="36.1"/>
    <n v="0"/>
    <d v="2024-07-10T00:00:00"/>
  </r>
  <r>
    <s v="B03252"/>
    <s v="P098"/>
    <x v="11"/>
    <s v="Partial Loss"/>
    <n v="21"/>
    <n v="20.16"/>
    <n v="0.84"/>
    <n v="4"/>
    <x v="616"/>
    <n v="100800"/>
    <n v="107.81"/>
    <n v="75600"/>
    <n v="25200"/>
    <n v="26.95"/>
    <n v="3024"/>
    <d v="2024-08-10T00:00:00"/>
  </r>
  <r>
    <s v="B03253"/>
    <s v="P098"/>
    <x v="11"/>
    <s v="Sold Out"/>
    <n v="30"/>
    <n v="30"/>
    <n v="0"/>
    <n v="0"/>
    <x v="223"/>
    <n v="150000"/>
    <n v="160.43"/>
    <n v="108000"/>
    <n v="42000"/>
    <n v="44.92"/>
    <n v="0"/>
    <d v="2024-09-08T00:00:00"/>
  </r>
  <r>
    <s v="B03254"/>
    <s v="P098"/>
    <x v="11"/>
    <s v="Partial Loss"/>
    <n v="8"/>
    <n v="7.56"/>
    <n v="0.44"/>
    <n v="5.5"/>
    <x v="826"/>
    <n v="37800"/>
    <n v="40.43"/>
    <n v="28800"/>
    <n v="9000"/>
    <n v="9.6300000000000008"/>
    <n v="1584"/>
    <d v="2024-10-10T00:00:00"/>
  </r>
  <r>
    <s v="B03255"/>
    <s v="P098"/>
    <x v="11"/>
    <s v="Partial Loss"/>
    <n v="9"/>
    <n v="8.59"/>
    <n v="0.41"/>
    <n v="4.5999999999999996"/>
    <x v="679"/>
    <n v="42950"/>
    <n v="45.94"/>
    <n v="32400"/>
    <n v="10550"/>
    <n v="11.28"/>
    <n v="1476"/>
    <d v="2024-11-25T00:00:00"/>
  </r>
  <r>
    <s v="B03256"/>
    <s v="P098"/>
    <x v="11"/>
    <s v="Sold Out"/>
    <n v="11"/>
    <n v="11"/>
    <n v="0"/>
    <n v="0"/>
    <x v="644"/>
    <n v="55000"/>
    <n v="58.82"/>
    <n v="39600"/>
    <n v="15400"/>
    <n v="16.47"/>
    <n v="0"/>
    <d v="2024-12-28T00:00:00"/>
  </r>
  <r>
    <s v="B03257"/>
    <s v="P098"/>
    <x v="11"/>
    <s v="Sold Out"/>
    <n v="9"/>
    <n v="9"/>
    <n v="0"/>
    <n v="0"/>
    <x v="234"/>
    <n v="45000"/>
    <n v="48.13"/>
    <n v="32400"/>
    <n v="12600"/>
    <n v="13.48"/>
    <n v="0"/>
    <d v="2025-01-29T00:00:00"/>
  </r>
  <r>
    <s v="B03258"/>
    <s v="P098"/>
    <x v="11"/>
    <s v="Partial Loss"/>
    <n v="9"/>
    <n v="8.4700000000000006"/>
    <n v="0.53"/>
    <n v="5.9"/>
    <x v="857"/>
    <n v="42350"/>
    <n v="45.29"/>
    <n v="32400"/>
    <n v="9950"/>
    <n v="10.64"/>
    <n v="1908"/>
    <d v="2025-03-08T00:00:00"/>
  </r>
  <r>
    <s v="B03259"/>
    <s v="P098"/>
    <x v="11"/>
    <s v="Sold Out"/>
    <n v="26"/>
    <n v="26"/>
    <n v="0"/>
    <n v="0"/>
    <x v="561"/>
    <n v="130000"/>
    <n v="139.04"/>
    <n v="97500"/>
    <n v="32500"/>
    <n v="34.76"/>
    <n v="0"/>
    <d v="2025-04-20T00:00:00"/>
  </r>
  <r>
    <s v="B03260"/>
    <s v="P098"/>
    <x v="11"/>
    <s v="Sold Out"/>
    <n v="27"/>
    <n v="27"/>
    <n v="0"/>
    <n v="0"/>
    <x v="340"/>
    <n v="135000"/>
    <n v="144.38999999999999"/>
    <n v="97200"/>
    <n v="37800"/>
    <n v="40.43"/>
    <n v="0"/>
    <d v="2025-05-24T00:00:00"/>
  </r>
  <r>
    <s v="B03261"/>
    <s v="P098"/>
    <x v="11"/>
    <s v="Partial Loss"/>
    <n v="28"/>
    <n v="26.8"/>
    <n v="1.2"/>
    <n v="4.3"/>
    <x v="926"/>
    <n v="134000"/>
    <n v="143.32"/>
    <n v="100800"/>
    <n v="33200"/>
    <n v="35.51"/>
    <n v="4320"/>
    <d v="2025-06-29T00:00:00"/>
  </r>
  <r>
    <s v="B03262"/>
    <s v="P099"/>
    <x v="11"/>
    <s v="Sold Out"/>
    <n v="23"/>
    <n v="23"/>
    <n v="0"/>
    <n v="0"/>
    <x v="246"/>
    <n v="161000"/>
    <n v="172.19"/>
    <n v="115000"/>
    <n v="46000"/>
    <n v="49.2"/>
    <n v="0"/>
    <d v="2023-07-02T00:00:00"/>
  </r>
  <r>
    <s v="B03263"/>
    <s v="P099"/>
    <x v="11"/>
    <s v="Sold Out"/>
    <n v="24"/>
    <n v="24"/>
    <n v="0"/>
    <n v="0"/>
    <x v="344"/>
    <n v="168000"/>
    <n v="179.68"/>
    <n v="120000"/>
    <n v="48000"/>
    <n v="51.34"/>
    <n v="0"/>
    <d v="2023-08-03T00:00:00"/>
  </r>
  <r>
    <s v="B03264"/>
    <s v="P099"/>
    <x v="11"/>
    <s v="Sold Out"/>
    <n v="34"/>
    <n v="34"/>
    <n v="0"/>
    <n v="0"/>
    <x v="84"/>
    <n v="238000"/>
    <n v="254.55"/>
    <n v="170000"/>
    <n v="68000"/>
    <n v="72.73"/>
    <n v="0"/>
    <d v="2023-09-13T00:00:00"/>
  </r>
  <r>
    <s v="B03265"/>
    <s v="P099"/>
    <x v="11"/>
    <s v="Partial Loss"/>
    <n v="9"/>
    <n v="8.44"/>
    <n v="0.56000000000000005"/>
    <n v="6.2"/>
    <x v="39"/>
    <n v="59080"/>
    <n v="63.19"/>
    <n v="45000"/>
    <n v="14080"/>
    <n v="15.06"/>
    <n v="2800.0000000000005"/>
    <d v="2023-10-19T00:00:00"/>
  </r>
  <r>
    <s v="B03266"/>
    <s v="P099"/>
    <x v="11"/>
    <s v="Sold Out"/>
    <n v="8"/>
    <n v="8"/>
    <n v="0"/>
    <n v="0"/>
    <x v="17"/>
    <n v="56000"/>
    <n v="59.89"/>
    <n v="40000"/>
    <n v="16000"/>
    <n v="17.11"/>
    <n v="0"/>
    <d v="2023-11-24T00:00:00"/>
  </r>
  <r>
    <s v="B03267"/>
    <s v="P099"/>
    <x v="11"/>
    <s v="Sold Out"/>
    <n v="10"/>
    <n v="10"/>
    <n v="0"/>
    <n v="0"/>
    <x v="508"/>
    <n v="70000"/>
    <n v="74.87"/>
    <n v="50000"/>
    <n v="20000"/>
    <n v="21.39"/>
    <n v="0"/>
    <d v="2023-12-26T00:00:00"/>
  </r>
  <r>
    <s v="B03268"/>
    <s v="P099"/>
    <x v="11"/>
    <s v="Partial Loss"/>
    <n v="9"/>
    <n v="8.31"/>
    <n v="0.69"/>
    <n v="7.7"/>
    <x v="278"/>
    <n v="58170"/>
    <n v="62.21"/>
    <n v="45000"/>
    <n v="13170"/>
    <n v="14.09"/>
    <n v="3449.9999999999995"/>
    <d v="2024-01-20T00:00:00"/>
  </r>
  <r>
    <s v="B03269"/>
    <s v="P099"/>
    <x v="11"/>
    <s v="Partial Loss"/>
    <n v="8"/>
    <n v="7.34"/>
    <n v="0.66"/>
    <n v="8.1999999999999993"/>
    <x v="122"/>
    <n v="51380"/>
    <n v="54.95"/>
    <n v="40000"/>
    <n v="11380"/>
    <n v="12.17"/>
    <n v="3300"/>
    <d v="2024-02-29T00:00:00"/>
  </r>
  <r>
    <s v="B03270"/>
    <s v="P099"/>
    <x v="11"/>
    <s v="Partial Loss"/>
    <n v="21"/>
    <n v="20.77"/>
    <n v="0.23"/>
    <n v="1.1000000000000001"/>
    <x v="409"/>
    <n v="145390"/>
    <n v="155.5"/>
    <n v="105000"/>
    <n v="40390"/>
    <n v="43.2"/>
    <n v="1150"/>
    <d v="2024-04-08T00:00:00"/>
  </r>
  <r>
    <s v="B03271"/>
    <s v="P099"/>
    <x v="11"/>
    <s v="Partial Loss"/>
    <n v="25"/>
    <n v="23.6"/>
    <n v="1.4"/>
    <n v="5.6"/>
    <x v="130"/>
    <n v="165200"/>
    <n v="176.68"/>
    <n v="125000"/>
    <n v="40200"/>
    <n v="42.99"/>
    <n v="7000"/>
    <d v="2024-05-14T00:00:00"/>
  </r>
  <r>
    <s v="B03272"/>
    <s v="P099"/>
    <x v="11"/>
    <s v="Sold Out"/>
    <n v="27"/>
    <n v="27"/>
    <n v="0"/>
    <n v="0"/>
    <x v="575"/>
    <n v="189000"/>
    <n v="202.14"/>
    <n v="135000"/>
    <n v="54000"/>
    <n v="57.75"/>
    <n v="0"/>
    <d v="2024-06-17T00:00:00"/>
  </r>
  <r>
    <s v="B03273"/>
    <s v="P099"/>
    <x v="11"/>
    <s v="Sold Out"/>
    <n v="23"/>
    <n v="23"/>
    <n v="0"/>
    <n v="0"/>
    <x v="603"/>
    <n v="161000"/>
    <n v="172.19"/>
    <n v="115000"/>
    <n v="46000"/>
    <n v="49.2"/>
    <n v="0"/>
    <d v="2024-07-23T00:00:00"/>
  </r>
  <r>
    <s v="B03274"/>
    <s v="P099"/>
    <x v="11"/>
    <s v="Sold Out"/>
    <n v="25"/>
    <n v="25"/>
    <n v="0"/>
    <n v="0"/>
    <x v="763"/>
    <n v="175000"/>
    <n v="187.17"/>
    <n v="126250"/>
    <n v="48750"/>
    <n v="52.14"/>
    <n v="0"/>
    <d v="2024-08-24T00:00:00"/>
  </r>
  <r>
    <s v="B03275"/>
    <s v="P099"/>
    <x v="11"/>
    <s v="Sold Out"/>
    <n v="31"/>
    <n v="31"/>
    <n v="0"/>
    <n v="0"/>
    <x v="176"/>
    <n v="217000"/>
    <n v="232.09"/>
    <n v="155000"/>
    <n v="62000"/>
    <n v="66.31"/>
    <n v="0"/>
    <d v="2024-09-30T00:00:00"/>
  </r>
  <r>
    <s v="B03276"/>
    <s v="P099"/>
    <x v="11"/>
    <s v="Partial Loss"/>
    <n v="9"/>
    <n v="8.44"/>
    <n v="0.56000000000000005"/>
    <n v="6.2"/>
    <x v="927"/>
    <n v="59080"/>
    <n v="63.19"/>
    <n v="45000"/>
    <n v="14080"/>
    <n v="15.06"/>
    <n v="2800.0000000000005"/>
    <d v="2024-11-07T00:00:00"/>
  </r>
  <r>
    <s v="B03277"/>
    <s v="P099"/>
    <x v="11"/>
    <s v="Sold Out"/>
    <n v="12"/>
    <n v="12"/>
    <n v="0"/>
    <n v="0"/>
    <x v="373"/>
    <n v="84000"/>
    <n v="89.84"/>
    <n v="60000"/>
    <n v="24000"/>
    <n v="25.67"/>
    <n v="0"/>
    <d v="2024-12-06T00:00:00"/>
  </r>
  <r>
    <s v="B03278"/>
    <s v="P099"/>
    <x v="11"/>
    <s v="Partial Loss"/>
    <n v="8"/>
    <n v="7.45"/>
    <n v="0.55000000000000004"/>
    <n v="6.9"/>
    <x v="891"/>
    <n v="52150"/>
    <n v="55.78"/>
    <n v="40000"/>
    <n v="12150"/>
    <n v="12.99"/>
    <n v="2750"/>
    <d v="2025-01-06T00:00:00"/>
  </r>
  <r>
    <s v="B03279"/>
    <s v="P099"/>
    <x v="11"/>
    <s v="Sold Out"/>
    <n v="10"/>
    <n v="10"/>
    <n v="0"/>
    <n v="0"/>
    <x v="412"/>
    <n v="70000"/>
    <n v="74.87"/>
    <n v="50000"/>
    <n v="20000"/>
    <n v="21.39"/>
    <n v="0"/>
    <d v="2025-02-09T00:00:00"/>
  </r>
  <r>
    <s v="B03280"/>
    <s v="P099"/>
    <x v="11"/>
    <s v="Partial Loss"/>
    <n v="9"/>
    <n v="8.3000000000000007"/>
    <n v="0.7"/>
    <n v="7.8"/>
    <x v="928"/>
    <n v="58100"/>
    <n v="62.14"/>
    <n v="45000"/>
    <n v="13100"/>
    <n v="14.01"/>
    <n v="3500"/>
    <d v="2025-03-22T00:00:00"/>
  </r>
  <r>
    <s v="B03281"/>
    <s v="P099"/>
    <x v="11"/>
    <s v="Partial Loss"/>
    <n v="28"/>
    <n v="26.99"/>
    <n v="1.01"/>
    <n v="3.6"/>
    <x v="718"/>
    <n v="188930"/>
    <n v="202.06"/>
    <n v="140000"/>
    <n v="48930"/>
    <n v="52.33"/>
    <n v="5050"/>
    <d v="2025-04-28T00:00:00"/>
  </r>
  <r>
    <s v="B03282"/>
    <s v="P099"/>
    <x v="11"/>
    <s v="Sold Out"/>
    <n v="23"/>
    <n v="23"/>
    <n v="0"/>
    <n v="0"/>
    <x v="471"/>
    <n v="161000"/>
    <n v="172.19"/>
    <n v="115000"/>
    <n v="46000"/>
    <n v="49.2"/>
    <n v="0"/>
    <d v="2025-05-30T00:00:00"/>
  </r>
  <r>
    <s v="B03283"/>
    <s v="P099"/>
    <x v="11"/>
    <s v="Sold Out"/>
    <n v="23"/>
    <n v="23"/>
    <n v="0"/>
    <n v="0"/>
    <x v="692"/>
    <n v="161000"/>
    <n v="172.19"/>
    <n v="115000"/>
    <n v="46000"/>
    <n v="49.2"/>
    <n v="0"/>
    <d v="2025-06-27T00:00:00"/>
  </r>
  <r>
    <s v="B03284"/>
    <s v="P100"/>
    <x v="11"/>
    <s v="Sold Out"/>
    <n v="24"/>
    <n v="24"/>
    <n v="0"/>
    <n v="0"/>
    <x v="833"/>
    <n v="156000"/>
    <n v="166.84"/>
    <n v="108000"/>
    <n v="48000"/>
    <n v="51.34"/>
    <n v="0"/>
    <d v="2023-07-14T00:00:00"/>
  </r>
  <r>
    <s v="B03285"/>
    <s v="P100"/>
    <x v="11"/>
    <s v="Partial Loss"/>
    <n v="26"/>
    <n v="24.62"/>
    <n v="1.38"/>
    <n v="5.3"/>
    <x v="486"/>
    <n v="160030"/>
    <n v="171.16"/>
    <n v="117000"/>
    <n v="43030"/>
    <n v="46.02"/>
    <n v="6209.9999999999991"/>
    <d v="2023-08-13T00:00:00"/>
  </r>
  <r>
    <s v="B03286"/>
    <s v="P100"/>
    <x v="11"/>
    <s v="Sold Out"/>
    <n v="33"/>
    <n v="33"/>
    <n v="0"/>
    <n v="0"/>
    <x v="204"/>
    <n v="214500"/>
    <n v="229.41"/>
    <n v="148500"/>
    <n v="66000"/>
    <n v="70.59"/>
    <n v="0"/>
    <d v="2023-09-20T00:00:00"/>
  </r>
  <r>
    <s v="B03287"/>
    <s v="P100"/>
    <x v="11"/>
    <s v="Sold Out"/>
    <n v="9"/>
    <n v="9"/>
    <n v="0"/>
    <n v="0"/>
    <x v="385"/>
    <n v="58500"/>
    <n v="62.57"/>
    <n v="40500"/>
    <n v="18000"/>
    <n v="19.25"/>
    <n v="0"/>
    <d v="2023-10-29T00:00:00"/>
  </r>
  <r>
    <s v="B03288"/>
    <s v="P100"/>
    <x v="11"/>
    <s v="Sold Out"/>
    <n v="11"/>
    <n v="11"/>
    <n v="0"/>
    <n v="0"/>
    <x v="153"/>
    <n v="71500"/>
    <n v="76.47"/>
    <n v="49500"/>
    <n v="22000"/>
    <n v="23.53"/>
    <n v="0"/>
    <d v="2023-12-05T00:00:00"/>
  </r>
  <r>
    <s v="B03289"/>
    <s v="P100"/>
    <x v="11"/>
    <s v="Partial Loss"/>
    <n v="10"/>
    <n v="8.9600000000000009"/>
    <n v="1.04"/>
    <n v="10.4"/>
    <x v="429"/>
    <n v="58240"/>
    <n v="62.29"/>
    <n v="45000"/>
    <n v="13240"/>
    <n v="14.16"/>
    <n v="4680"/>
    <d v="2024-01-16T00:00:00"/>
  </r>
  <r>
    <s v="B03290"/>
    <s v="P100"/>
    <x v="11"/>
    <s v="Partial Loss"/>
    <n v="8"/>
    <n v="7.74"/>
    <n v="0.26"/>
    <n v="3.3"/>
    <x v="772"/>
    <n v="50310"/>
    <n v="53.81"/>
    <n v="36000"/>
    <n v="14310"/>
    <n v="15.3"/>
    <n v="1170"/>
    <d v="2024-02-18T00:00:00"/>
  </r>
  <r>
    <s v="B03291"/>
    <s v="P100"/>
    <x v="11"/>
    <s v="Sold Out"/>
    <n v="9"/>
    <n v="9"/>
    <n v="0"/>
    <n v="0"/>
    <x v="395"/>
    <n v="58500"/>
    <n v="62.57"/>
    <n v="40500"/>
    <n v="18000"/>
    <n v="19.25"/>
    <n v="0"/>
    <d v="2024-03-18T00:00:00"/>
  </r>
  <r>
    <s v="B03292"/>
    <s v="P100"/>
    <x v="11"/>
    <s v="Partial Loss"/>
    <n v="24"/>
    <n v="22.97"/>
    <n v="1.03"/>
    <n v="4.3"/>
    <x v="332"/>
    <n v="149305"/>
    <n v="159.68"/>
    <n v="118800"/>
    <n v="30505"/>
    <n v="32.630000000000003"/>
    <n v="5098.5"/>
    <d v="2024-04-12T00:00:00"/>
  </r>
  <r>
    <s v="B03293"/>
    <s v="P100"/>
    <x v="11"/>
    <s v="Partial Loss"/>
    <n v="21"/>
    <n v="19.59"/>
    <n v="1.41"/>
    <n v="6.7"/>
    <x v="635"/>
    <n v="127335"/>
    <n v="136.19"/>
    <n v="94500"/>
    <n v="32835"/>
    <n v="35.119999999999997"/>
    <n v="6345"/>
    <d v="2024-05-22T00:00:00"/>
  </r>
  <r>
    <s v="B03294"/>
    <s v="P100"/>
    <x v="11"/>
    <s v="Sold Out"/>
    <n v="27"/>
    <n v="27"/>
    <n v="0"/>
    <n v="0"/>
    <x v="677"/>
    <n v="175500"/>
    <n v="187.7"/>
    <n v="121500"/>
    <n v="54000"/>
    <n v="57.75"/>
    <n v="0"/>
    <d v="2024-06-29T00:00:00"/>
  </r>
  <r>
    <s v="B03295"/>
    <s v="P100"/>
    <x v="11"/>
    <s v="Sold Out"/>
    <n v="27"/>
    <n v="27"/>
    <n v="0"/>
    <n v="0"/>
    <x v="883"/>
    <n v="175500"/>
    <n v="187.7"/>
    <n v="121500"/>
    <n v="54000"/>
    <n v="57.75"/>
    <n v="0"/>
    <d v="2024-07-25T00:00:00"/>
  </r>
  <r>
    <s v="B03296"/>
    <s v="P100"/>
    <x v="11"/>
    <s v="Partial Loss"/>
    <n v="22"/>
    <n v="21.34"/>
    <n v="0.66"/>
    <n v="3"/>
    <x v="690"/>
    <n v="138710"/>
    <n v="148.35"/>
    <n v="99000"/>
    <n v="39710"/>
    <n v="42.47"/>
    <n v="2970"/>
    <d v="2024-08-22T00:00:00"/>
  </r>
  <r>
    <s v="B03297"/>
    <s v="P100"/>
    <x v="11"/>
    <s v="Sold Out"/>
    <n v="33"/>
    <n v="33"/>
    <n v="0"/>
    <n v="0"/>
    <x v="789"/>
    <n v="214500"/>
    <n v="229.41"/>
    <n v="163350"/>
    <n v="51150"/>
    <n v="54.71"/>
    <n v="0"/>
    <d v="2024-09-23T00:00:00"/>
  </r>
  <r>
    <s v="B03298"/>
    <s v="P100"/>
    <x v="11"/>
    <s v="Partial Loss"/>
    <n v="10"/>
    <n v="9.5500000000000007"/>
    <n v="0.45"/>
    <n v="4.5"/>
    <x v="929"/>
    <n v="62075"/>
    <n v="66.39"/>
    <n v="45000"/>
    <n v="17075"/>
    <n v="18.260000000000002"/>
    <n v="2025"/>
    <d v="2024-10-30T00:00:00"/>
  </r>
  <r>
    <s v="B03299"/>
    <s v="P100"/>
    <x v="11"/>
    <s v="Sold Out"/>
    <n v="12"/>
    <n v="12"/>
    <n v="0"/>
    <n v="0"/>
    <x v="611"/>
    <n v="78000"/>
    <n v="83.42"/>
    <n v="54000"/>
    <n v="24000"/>
    <n v="25.67"/>
    <n v="0"/>
    <d v="2024-12-02T00:00:00"/>
  </r>
  <r>
    <s v="B03300"/>
    <s v="P100"/>
    <x v="11"/>
    <s v="Sold Out"/>
    <n v="10"/>
    <n v="10"/>
    <n v="0"/>
    <n v="0"/>
    <x v="126"/>
    <n v="65000"/>
    <n v="69.52"/>
    <n v="45000"/>
    <n v="20000"/>
    <n v="21.39"/>
    <n v="0"/>
    <d v="2025-01-04T00:00:00"/>
  </r>
  <r>
    <s v="B03301"/>
    <s v="P100"/>
    <x v="11"/>
    <s v="Sold Out"/>
    <n v="10"/>
    <n v="10"/>
    <n v="0"/>
    <n v="0"/>
    <x v="285"/>
    <n v="65000"/>
    <n v="69.52"/>
    <n v="49500"/>
    <n v="15500"/>
    <n v="16.579999999999998"/>
    <n v="0"/>
    <d v="2025-02-05T00:00:00"/>
  </r>
  <r>
    <s v="B03302"/>
    <s v="P100"/>
    <x v="11"/>
    <s v="Sold Out"/>
    <n v="10"/>
    <n v="10"/>
    <n v="0"/>
    <n v="0"/>
    <x v="290"/>
    <n v="65000"/>
    <n v="69.52"/>
    <n v="49500"/>
    <n v="15500"/>
    <n v="16.579999999999998"/>
    <n v="0"/>
    <d v="2025-03-20T00:00:00"/>
  </r>
  <r>
    <s v="B03303"/>
    <s v="P100"/>
    <x v="11"/>
    <s v="Sold Out"/>
    <n v="26"/>
    <n v="26"/>
    <n v="0"/>
    <n v="0"/>
    <x v="790"/>
    <n v="169000"/>
    <n v="180.75"/>
    <n v="117000"/>
    <n v="52000"/>
    <n v="55.61"/>
    <n v="0"/>
    <d v="2025-04-22T00:00:00"/>
  </r>
  <r>
    <s v="B03304"/>
    <s v="P100"/>
    <x v="11"/>
    <s v="Sold Out"/>
    <n v="28"/>
    <n v="28"/>
    <n v="0"/>
    <n v="0"/>
    <x v="528"/>
    <n v="182000"/>
    <n v="194.65"/>
    <n v="126000"/>
    <n v="56000"/>
    <n v="59.89"/>
    <n v="0"/>
    <d v="2025-05-28T00:00:00"/>
  </r>
  <r>
    <s v="B03305"/>
    <s v="P101"/>
    <x v="11"/>
    <s v="Sold Out"/>
    <n v="23"/>
    <n v="23"/>
    <n v="0"/>
    <n v="0"/>
    <x v="858"/>
    <n v="126500"/>
    <n v="135.29"/>
    <n v="96600"/>
    <n v="29900"/>
    <n v="31.98"/>
    <n v="0"/>
    <d v="2023-07-03T00:00:00"/>
  </r>
  <r>
    <s v="B03306"/>
    <s v="P101"/>
    <x v="11"/>
    <s v="Partial Loss"/>
    <n v="22"/>
    <n v="21.65"/>
    <n v="0.35"/>
    <n v="1.6"/>
    <x v="319"/>
    <n v="119075"/>
    <n v="127.35"/>
    <n v="84700"/>
    <n v="34375"/>
    <n v="36.76"/>
    <n v="1347.5"/>
    <d v="2023-08-12T00:00:00"/>
  </r>
  <r>
    <s v="B03307"/>
    <s v="P101"/>
    <x v="11"/>
    <s v="Sold Out"/>
    <n v="32"/>
    <n v="32"/>
    <n v="0"/>
    <n v="0"/>
    <x v="5"/>
    <n v="176000"/>
    <n v="188.24"/>
    <n v="123200"/>
    <n v="52800"/>
    <n v="56.47"/>
    <n v="0"/>
    <d v="2023-09-18T00:00:00"/>
  </r>
  <r>
    <s v="B03308"/>
    <s v="P101"/>
    <x v="11"/>
    <s v="Sold Out"/>
    <n v="10"/>
    <n v="10"/>
    <n v="0"/>
    <n v="0"/>
    <x v="571"/>
    <n v="55000"/>
    <n v="58.82"/>
    <n v="38500"/>
    <n v="16500"/>
    <n v="17.649999999999999"/>
    <n v="0"/>
    <d v="2023-10-30T00:00:00"/>
  </r>
  <r>
    <s v="B03309"/>
    <s v="P101"/>
    <x v="11"/>
    <s v="Partial Loss"/>
    <n v="8"/>
    <n v="7.66"/>
    <n v="0.34"/>
    <n v="4.3"/>
    <x v="368"/>
    <n v="42130"/>
    <n v="45.06"/>
    <n v="30800"/>
    <n v="11330"/>
    <n v="12.12"/>
    <n v="1309"/>
    <d v="2023-11-29T00:00:00"/>
  </r>
  <r>
    <s v="B03310"/>
    <s v="P101"/>
    <x v="11"/>
    <s v="Sold Out"/>
    <n v="9"/>
    <n v="9"/>
    <n v="0"/>
    <n v="0"/>
    <x v="633"/>
    <n v="49500"/>
    <n v="52.94"/>
    <n v="34650"/>
    <n v="14850"/>
    <n v="15.88"/>
    <n v="0"/>
    <d v="2024-01-04T00:00:00"/>
  </r>
  <r>
    <s v="B03311"/>
    <s v="P101"/>
    <x v="11"/>
    <s v="Partial Loss"/>
    <n v="10"/>
    <n v="9.49"/>
    <n v="0.51"/>
    <n v="5.0999999999999996"/>
    <x v="281"/>
    <n v="52195"/>
    <n v="55.82"/>
    <n v="38500"/>
    <n v="13695"/>
    <n v="14.65"/>
    <n v="1963.5"/>
    <d v="2024-02-19T00:00:00"/>
  </r>
  <r>
    <s v="B03312"/>
    <s v="P101"/>
    <x v="11"/>
    <s v="Partial Loss"/>
    <n v="10"/>
    <n v="9.09"/>
    <n v="0.91"/>
    <n v="9.1"/>
    <x v="124"/>
    <n v="49995"/>
    <n v="53.47"/>
    <n v="38500"/>
    <n v="11495"/>
    <n v="12.29"/>
    <n v="3503.5"/>
    <d v="2024-03-15T00:00:00"/>
  </r>
  <r>
    <s v="B03313"/>
    <s v="P101"/>
    <x v="11"/>
    <s v="Sold Out"/>
    <n v="25"/>
    <n v="25"/>
    <n v="0"/>
    <n v="0"/>
    <x v="314"/>
    <n v="137500"/>
    <n v="147.06"/>
    <n v="96250"/>
    <n v="41250"/>
    <n v="44.12"/>
    <n v="0"/>
    <d v="2024-04-23T00:00:00"/>
  </r>
  <r>
    <s v="B03314"/>
    <s v="P101"/>
    <x v="11"/>
    <s v="Partial Loss"/>
    <n v="25"/>
    <n v="24.22"/>
    <n v="0.78"/>
    <n v="3.1"/>
    <x v="236"/>
    <n v="133210"/>
    <n v="142.47"/>
    <n v="96250"/>
    <n v="36960"/>
    <n v="39.53"/>
    <n v="3003"/>
    <d v="2024-05-25T00:00:00"/>
  </r>
  <r>
    <s v="B03315"/>
    <s v="P101"/>
    <x v="11"/>
    <s v="Sold Out"/>
    <n v="27"/>
    <n v="27"/>
    <n v="0"/>
    <n v="0"/>
    <x v="270"/>
    <n v="148500"/>
    <n v="158.82"/>
    <n v="103950"/>
    <n v="44550"/>
    <n v="47.65"/>
    <n v="0"/>
    <d v="2024-06-17T00:00:00"/>
  </r>
  <r>
    <s v="B03316"/>
    <s v="P101"/>
    <x v="11"/>
    <s v="Partial Loss"/>
    <n v="27"/>
    <n v="24.44"/>
    <n v="2.56"/>
    <n v="9.5"/>
    <x v="923"/>
    <n v="134420"/>
    <n v="143.76"/>
    <n v="103950"/>
    <n v="30470"/>
    <n v="32.590000000000003"/>
    <n v="9856"/>
    <d v="2024-07-27T00:00:00"/>
  </r>
  <r>
    <s v="B03317"/>
    <s v="P101"/>
    <x v="11"/>
    <s v="Sold Out"/>
    <n v="29"/>
    <n v="29"/>
    <n v="0"/>
    <n v="0"/>
    <x v="400"/>
    <n v="159500"/>
    <n v="170.59"/>
    <n v="111650"/>
    <n v="47850"/>
    <n v="51.18"/>
    <n v="0"/>
    <d v="2024-09-08T00:00:00"/>
  </r>
  <r>
    <s v="B03318"/>
    <s v="P101"/>
    <x v="11"/>
    <s v="Partial Loss"/>
    <n v="9"/>
    <n v="8.51"/>
    <n v="0.49"/>
    <n v="5.4"/>
    <x v="342"/>
    <n v="46805"/>
    <n v="50.06"/>
    <n v="34650"/>
    <n v="12155"/>
    <n v="13"/>
    <n v="1886.5"/>
    <d v="2024-10-12T00:00:00"/>
  </r>
  <r>
    <s v="B03319"/>
    <s v="P101"/>
    <x v="11"/>
    <s v="Sold Out"/>
    <n v="9"/>
    <n v="9"/>
    <n v="0"/>
    <n v="0"/>
    <x v="930"/>
    <n v="49500"/>
    <n v="52.94"/>
    <n v="34650"/>
    <n v="14850"/>
    <n v="15.88"/>
    <n v="0"/>
    <d v="2024-11-20T00:00:00"/>
  </r>
  <r>
    <s v="B03320"/>
    <s v="P101"/>
    <x v="11"/>
    <s v="Sold Out"/>
    <n v="13"/>
    <n v="13"/>
    <n v="0"/>
    <n v="0"/>
    <x v="684"/>
    <n v="71500"/>
    <n v="76.47"/>
    <n v="54600"/>
    <n v="16900"/>
    <n v="18.07"/>
    <n v="0"/>
    <d v="2024-12-30T00:00:00"/>
  </r>
  <r>
    <s v="B03321"/>
    <s v="P101"/>
    <x v="11"/>
    <s v="Partial Loss"/>
    <n v="11"/>
    <n v="10.37"/>
    <n v="0.63"/>
    <n v="5.7"/>
    <x v="642"/>
    <n v="57035"/>
    <n v="61"/>
    <n v="42350"/>
    <n v="14685"/>
    <n v="15.71"/>
    <n v="2425.5"/>
    <d v="2025-02-01T00:00:00"/>
  </r>
  <r>
    <s v="B03322"/>
    <s v="P101"/>
    <x v="11"/>
    <s v="Partial Loss"/>
    <n v="9"/>
    <n v="8.4499999999999993"/>
    <n v="0.55000000000000004"/>
    <n v="6.1"/>
    <x v="931"/>
    <n v="46475"/>
    <n v="49.71"/>
    <n v="34650"/>
    <n v="11825"/>
    <n v="12.65"/>
    <n v="2117.5"/>
    <d v="2025-03-03T00:00:00"/>
  </r>
  <r>
    <s v="B03323"/>
    <s v="P101"/>
    <x v="11"/>
    <s v="Sold Out"/>
    <n v="27"/>
    <n v="27"/>
    <n v="0"/>
    <n v="0"/>
    <x v="136"/>
    <n v="148500"/>
    <n v="158.82"/>
    <n v="103950"/>
    <n v="44550"/>
    <n v="47.65"/>
    <n v="0"/>
    <d v="2025-04-11T00:00:00"/>
  </r>
  <r>
    <s v="B03324"/>
    <s v="P101"/>
    <x v="11"/>
    <s v="Partial Loss"/>
    <n v="28"/>
    <n v="25.87"/>
    <n v="2.13"/>
    <n v="7.6"/>
    <x v="932"/>
    <n v="142285"/>
    <n v="152.18"/>
    <n v="117600"/>
    <n v="24685"/>
    <n v="26.4"/>
    <n v="8946"/>
    <d v="2025-05-06T00:00:00"/>
  </r>
  <r>
    <s v="B03325"/>
    <s v="P101"/>
    <x v="11"/>
    <s v="Sold Out"/>
    <n v="25"/>
    <n v="25"/>
    <n v="0"/>
    <n v="0"/>
    <x v="341"/>
    <n v="137500"/>
    <n v="147.06"/>
    <n v="105000"/>
    <n v="32500"/>
    <n v="34.76"/>
    <n v="0"/>
    <d v="2025-06-07T00:00:00"/>
  </r>
  <r>
    <s v="B03326"/>
    <s v="P102"/>
    <x v="11"/>
    <s v="Sold Out"/>
    <n v="26"/>
    <n v="26"/>
    <n v="0"/>
    <n v="0"/>
    <x v="588"/>
    <n v="169000"/>
    <n v="180.75"/>
    <n v="118300"/>
    <n v="50700"/>
    <n v="54.22"/>
    <n v="0"/>
    <d v="2023-07-06T00:00:00"/>
  </r>
  <r>
    <s v="B03327"/>
    <s v="P102"/>
    <x v="11"/>
    <s v="Sold Out"/>
    <n v="25"/>
    <n v="25"/>
    <n v="0"/>
    <n v="0"/>
    <x v="300"/>
    <n v="162500"/>
    <n v="173.8"/>
    <n v="113750"/>
    <n v="48750"/>
    <n v="52.14"/>
    <n v="0"/>
    <d v="2023-08-03T00:00:00"/>
  </r>
  <r>
    <s v="B03328"/>
    <s v="P102"/>
    <x v="11"/>
    <s v="Sold Out"/>
    <n v="31"/>
    <n v="31"/>
    <n v="0"/>
    <n v="0"/>
    <x v="810"/>
    <n v="201500"/>
    <n v="215.51"/>
    <n v="141050"/>
    <n v="60450"/>
    <n v="64.650000000000006"/>
    <n v="0"/>
    <d v="2023-09-04T00:00:00"/>
  </r>
  <r>
    <s v="B03329"/>
    <s v="P102"/>
    <x v="11"/>
    <s v="Partial Loss"/>
    <n v="9"/>
    <n v="8.4700000000000006"/>
    <n v="0.53"/>
    <n v="5.9"/>
    <x v="398"/>
    <n v="55055"/>
    <n v="58.88"/>
    <n v="40950"/>
    <n v="14105"/>
    <n v="15.09"/>
    <n v="2411.5"/>
    <d v="2023-10-05T00:00:00"/>
  </r>
  <r>
    <s v="B03330"/>
    <s v="P102"/>
    <x v="11"/>
    <s v="Partial Loss"/>
    <n v="10"/>
    <n v="9.4700000000000006"/>
    <n v="0.53"/>
    <n v="5.3"/>
    <x v="172"/>
    <n v="61555"/>
    <n v="65.83"/>
    <n v="45500"/>
    <n v="16055"/>
    <n v="17.170000000000002"/>
    <n v="2411.5"/>
    <d v="2023-11-09T00:00:00"/>
  </r>
  <r>
    <s v="B03331"/>
    <s v="P102"/>
    <x v="11"/>
    <s v="Partial Loss"/>
    <n v="10"/>
    <n v="9.08"/>
    <n v="0.92"/>
    <n v="9.1999999999999993"/>
    <x v="519"/>
    <n v="59020"/>
    <n v="63.12"/>
    <n v="49500"/>
    <n v="9520"/>
    <n v="10.18"/>
    <n v="4554"/>
    <d v="2023-12-08T00:00:00"/>
  </r>
  <r>
    <s v="B03332"/>
    <s v="P102"/>
    <x v="11"/>
    <s v="Sold Out"/>
    <n v="8"/>
    <n v="8"/>
    <n v="0"/>
    <n v="0"/>
    <x v="23"/>
    <n v="52000"/>
    <n v="55.61"/>
    <n v="36400"/>
    <n v="15600"/>
    <n v="16.68"/>
    <n v="0"/>
    <d v="2024-01-01T00:00:00"/>
  </r>
  <r>
    <s v="B03333"/>
    <s v="P102"/>
    <x v="11"/>
    <s v="Sold Out"/>
    <n v="8"/>
    <n v="8"/>
    <n v="0"/>
    <n v="0"/>
    <x v="483"/>
    <n v="52000"/>
    <n v="55.61"/>
    <n v="36400"/>
    <n v="15600"/>
    <n v="16.68"/>
    <n v="0"/>
    <d v="2024-02-08T00:00:00"/>
  </r>
  <r>
    <s v="B03334"/>
    <s v="P102"/>
    <x v="11"/>
    <s v="Partial Loss"/>
    <n v="10"/>
    <n v="9.08"/>
    <n v="0.92"/>
    <n v="9.1999999999999993"/>
    <x v="183"/>
    <n v="59020"/>
    <n v="63.12"/>
    <n v="45500"/>
    <n v="13520"/>
    <n v="14.46"/>
    <n v="4186"/>
    <d v="2024-03-09T00:00:00"/>
  </r>
  <r>
    <s v="B03335"/>
    <s v="P102"/>
    <x v="11"/>
    <s v="Sold Out"/>
    <n v="27"/>
    <n v="27"/>
    <n v="0"/>
    <n v="0"/>
    <x v="314"/>
    <n v="175500"/>
    <n v="187.7"/>
    <n v="122850"/>
    <n v="52650"/>
    <n v="56.31"/>
    <n v="0"/>
    <d v="2024-04-15T00:00:00"/>
  </r>
  <r>
    <s v="B03336"/>
    <s v="P102"/>
    <x v="11"/>
    <s v="Partial Loss"/>
    <n v="27"/>
    <n v="25.89"/>
    <n v="1.1100000000000001"/>
    <n v="4.0999999999999996"/>
    <x v="236"/>
    <n v="168285"/>
    <n v="179.98"/>
    <n v="122850"/>
    <n v="45435"/>
    <n v="48.59"/>
    <n v="5050.5"/>
    <d v="2024-05-25T00:00:00"/>
  </r>
  <r>
    <s v="B03337"/>
    <s v="P102"/>
    <x v="11"/>
    <s v="Sold Out"/>
    <n v="24"/>
    <n v="24"/>
    <n v="0"/>
    <n v="0"/>
    <x v="398"/>
    <n v="156000"/>
    <n v="166.84"/>
    <n v="109200"/>
    <n v="46800"/>
    <n v="50.05"/>
    <n v="0"/>
    <d v="2024-07-03T00:00:00"/>
  </r>
  <r>
    <s v="B03338"/>
    <s v="P102"/>
    <x v="11"/>
    <s v="Partial Loss"/>
    <n v="22"/>
    <n v="21.38"/>
    <n v="0.62"/>
    <n v="2.8"/>
    <x v="904"/>
    <n v="138970"/>
    <n v="148.63"/>
    <n v="100100"/>
    <n v="38870"/>
    <n v="41.57"/>
    <n v="2821"/>
    <d v="2024-08-09T00:00:00"/>
  </r>
  <r>
    <s v="B03339"/>
    <s v="P102"/>
    <x v="11"/>
    <s v="Sold Out"/>
    <n v="26"/>
    <n v="26"/>
    <n v="0"/>
    <n v="0"/>
    <x v="367"/>
    <n v="169000"/>
    <n v="180.75"/>
    <n v="128700"/>
    <n v="40300"/>
    <n v="43.1"/>
    <n v="0"/>
    <d v="2024-09-07T00:00:00"/>
  </r>
  <r>
    <s v="B03340"/>
    <s v="P102"/>
    <x v="11"/>
    <s v="Partial Loss"/>
    <n v="9"/>
    <n v="8.17"/>
    <n v="0.83"/>
    <n v="9.1999999999999993"/>
    <x v="826"/>
    <n v="53105"/>
    <n v="56.8"/>
    <n v="40950"/>
    <n v="12155"/>
    <n v="13"/>
    <n v="3776.5"/>
    <d v="2024-10-10T00:00:00"/>
  </r>
  <r>
    <s v="B03341"/>
    <s v="P102"/>
    <x v="11"/>
    <s v="Partial Loss"/>
    <n v="10"/>
    <n v="9.2799999999999994"/>
    <n v="0.72"/>
    <n v="7.2"/>
    <x v="828"/>
    <n v="60320"/>
    <n v="64.510000000000005"/>
    <n v="45500"/>
    <n v="14820"/>
    <n v="15.85"/>
    <n v="3276"/>
    <d v="2024-11-21T00:00:00"/>
  </r>
  <r>
    <s v="B03342"/>
    <s v="P102"/>
    <x v="11"/>
    <s v="Sold Out"/>
    <n v="12"/>
    <n v="12"/>
    <n v="0"/>
    <n v="0"/>
    <x v="611"/>
    <n v="78000"/>
    <n v="83.42"/>
    <n v="54600"/>
    <n v="23400"/>
    <n v="25.03"/>
    <n v="0"/>
    <d v="2024-12-21T00:00:00"/>
  </r>
  <r>
    <s v="B03343"/>
    <s v="P102"/>
    <x v="11"/>
    <s v="Partial Loss"/>
    <n v="10"/>
    <n v="9.4499999999999993"/>
    <n v="0.55000000000000004"/>
    <n v="5.5"/>
    <x v="908"/>
    <n v="61425"/>
    <n v="65.7"/>
    <n v="45500"/>
    <n v="15925"/>
    <n v="17.03"/>
    <n v="2502.5"/>
    <d v="2025-01-27T00:00:00"/>
  </r>
  <r>
    <s v="B03344"/>
    <s v="P102"/>
    <x v="11"/>
    <s v="Partial Loss"/>
    <n v="9"/>
    <n v="8.4"/>
    <n v="0.6"/>
    <n v="6.7"/>
    <x v="651"/>
    <n v="54600"/>
    <n v="58.4"/>
    <n v="40950"/>
    <n v="13650"/>
    <n v="14.6"/>
    <n v="2730"/>
    <d v="2025-02-23T00:00:00"/>
  </r>
  <r>
    <s v="B03345"/>
    <s v="P102"/>
    <x v="11"/>
    <s v="Partial Loss"/>
    <n v="10"/>
    <n v="9.4700000000000006"/>
    <n v="0.53"/>
    <n v="5.3"/>
    <x v="928"/>
    <n v="61555"/>
    <n v="65.83"/>
    <n v="49500"/>
    <n v="12055"/>
    <n v="12.89"/>
    <n v="2623.5"/>
    <d v="2025-03-22T00:00:00"/>
  </r>
  <r>
    <s v="B03346"/>
    <s v="P102"/>
    <x v="11"/>
    <s v="Sold Out"/>
    <n v="22"/>
    <n v="22"/>
    <n v="0"/>
    <n v="0"/>
    <x v="615"/>
    <n v="143000"/>
    <n v="152.94"/>
    <n v="100100"/>
    <n v="42900"/>
    <n v="45.88"/>
    <n v="0"/>
    <d v="2025-04-20T00:00:00"/>
  </r>
  <r>
    <s v="B03347"/>
    <s v="P102"/>
    <x v="11"/>
    <s v="Sold Out"/>
    <n v="27"/>
    <n v="27"/>
    <n v="0"/>
    <n v="0"/>
    <x v="528"/>
    <n v="175500"/>
    <n v="187.7"/>
    <n v="122850"/>
    <n v="52650"/>
    <n v="56.31"/>
    <n v="0"/>
    <d v="2025-05-15T00:00:00"/>
  </r>
  <r>
    <s v="B03348"/>
    <s v="P102"/>
    <x v="11"/>
    <s v="Sold Out"/>
    <n v="29"/>
    <n v="29"/>
    <n v="0"/>
    <n v="0"/>
    <x v="195"/>
    <n v="188500"/>
    <n v="201.6"/>
    <n v="131950"/>
    <n v="56550"/>
    <n v="60.48"/>
    <n v="0"/>
    <d v="2025-06-11T00:00:00"/>
  </r>
  <r>
    <s v="B03349"/>
    <s v="P103"/>
    <x v="11"/>
    <s v="Sold Out"/>
    <n v="21"/>
    <n v="21"/>
    <n v="0"/>
    <n v="0"/>
    <x v="143"/>
    <n v="178500"/>
    <n v="190.91"/>
    <n v="134400"/>
    <n v="44100"/>
    <n v="47.17"/>
    <n v="0"/>
    <d v="2023-07-07T00:00:00"/>
  </r>
  <r>
    <s v="B03350"/>
    <s v="P103"/>
    <x v="11"/>
    <s v="Sold Out"/>
    <n v="27"/>
    <n v="27"/>
    <n v="0"/>
    <n v="0"/>
    <x v="788"/>
    <n v="229500"/>
    <n v="245.45"/>
    <n v="172800"/>
    <n v="56700"/>
    <n v="60.64"/>
    <n v="0"/>
    <d v="2023-08-12T00:00:00"/>
  </r>
  <r>
    <s v="B03351"/>
    <s v="P103"/>
    <x v="11"/>
    <s v="Sold Out"/>
    <n v="32"/>
    <n v="32"/>
    <n v="0"/>
    <n v="0"/>
    <x v="568"/>
    <n v="272000"/>
    <n v="290.91000000000003"/>
    <n v="204800"/>
    <n v="67200"/>
    <n v="71.87"/>
    <n v="0"/>
    <d v="2023-09-13T00:00:00"/>
  </r>
  <r>
    <s v="B03352"/>
    <s v="P103"/>
    <x v="11"/>
    <s v="Sold Out"/>
    <n v="10"/>
    <n v="10"/>
    <n v="0"/>
    <n v="0"/>
    <x v="933"/>
    <n v="85000"/>
    <n v="90.91"/>
    <n v="66000"/>
    <n v="19000"/>
    <n v="20.32"/>
    <n v="0"/>
    <d v="2023-10-14T00:00:00"/>
  </r>
  <r>
    <s v="B03353"/>
    <s v="P103"/>
    <x v="11"/>
    <s v="Sold Out"/>
    <n v="10"/>
    <n v="10"/>
    <n v="0"/>
    <n v="0"/>
    <x v="257"/>
    <n v="85000"/>
    <n v="90.91"/>
    <n v="64000"/>
    <n v="21000"/>
    <n v="22.46"/>
    <n v="0"/>
    <d v="2023-11-15T00:00:00"/>
  </r>
  <r>
    <s v="B03354"/>
    <s v="P103"/>
    <x v="11"/>
    <s v="Sold Out"/>
    <n v="11"/>
    <n v="11"/>
    <n v="0"/>
    <n v="0"/>
    <x v="542"/>
    <n v="93500"/>
    <n v="100"/>
    <n v="70400"/>
    <n v="23100"/>
    <n v="24.71"/>
    <n v="0"/>
    <d v="2023-12-21T00:00:00"/>
  </r>
  <r>
    <s v="B03355"/>
    <s v="P103"/>
    <x v="11"/>
    <s v="Sold Out"/>
    <n v="10"/>
    <n v="10"/>
    <n v="0"/>
    <n v="0"/>
    <x v="543"/>
    <n v="85000"/>
    <n v="90.91"/>
    <n v="64000"/>
    <n v="21000"/>
    <n v="22.46"/>
    <n v="0"/>
    <d v="2024-01-15T00:00:00"/>
  </r>
  <r>
    <s v="B03356"/>
    <s v="P103"/>
    <x v="11"/>
    <s v="Partial Loss"/>
    <n v="9"/>
    <n v="8.2799999999999994"/>
    <n v="0.72"/>
    <n v="8"/>
    <x v="521"/>
    <n v="70380"/>
    <n v="75.27"/>
    <n v="57600"/>
    <n v="12780"/>
    <n v="13.67"/>
    <n v="4608"/>
    <d v="2024-02-16T00:00:00"/>
  </r>
  <r>
    <s v="B03357"/>
    <s v="P103"/>
    <x v="11"/>
    <s v="Partial Loss"/>
    <n v="9"/>
    <n v="8.6300000000000008"/>
    <n v="0.37"/>
    <n v="4.0999999999999996"/>
    <x v="688"/>
    <n v="73355"/>
    <n v="78.45"/>
    <n v="59400"/>
    <n v="13955"/>
    <n v="14.93"/>
    <n v="2442"/>
    <d v="2024-03-19T00:00:00"/>
  </r>
  <r>
    <s v="B03358"/>
    <s v="P103"/>
    <x v="11"/>
    <s v="Sold Out"/>
    <n v="22"/>
    <n v="22"/>
    <n v="0"/>
    <n v="0"/>
    <x v="600"/>
    <n v="187000"/>
    <n v="200"/>
    <n v="140800"/>
    <n v="46200"/>
    <n v="49.41"/>
    <n v="0"/>
    <d v="2024-04-19T00:00:00"/>
  </r>
  <r>
    <s v="B03359"/>
    <s v="P103"/>
    <x v="11"/>
    <s v="Sold Out"/>
    <n v="27"/>
    <n v="27"/>
    <n v="0"/>
    <n v="0"/>
    <x v="454"/>
    <n v="229500"/>
    <n v="245.45"/>
    <n v="172800"/>
    <n v="56700"/>
    <n v="60.64"/>
    <n v="0"/>
    <d v="2024-05-22T00:00:00"/>
  </r>
  <r>
    <s v="B03360"/>
    <s v="P103"/>
    <x v="11"/>
    <s v="Sold Out"/>
    <n v="22"/>
    <n v="22"/>
    <n v="0"/>
    <n v="0"/>
    <x v="771"/>
    <n v="187000"/>
    <n v="200"/>
    <n v="140800"/>
    <n v="46200"/>
    <n v="49.41"/>
    <n v="0"/>
    <d v="2024-06-20T00:00:00"/>
  </r>
  <r>
    <s v="B03361"/>
    <s v="P103"/>
    <x v="11"/>
    <s v="Sold Out"/>
    <n v="23"/>
    <n v="23"/>
    <n v="0"/>
    <n v="0"/>
    <x v="325"/>
    <n v="195500"/>
    <n v="209.09"/>
    <n v="147200"/>
    <n v="48300"/>
    <n v="51.66"/>
    <n v="0"/>
    <d v="2024-07-22T00:00:00"/>
  </r>
  <r>
    <s v="B03362"/>
    <s v="P103"/>
    <x v="11"/>
    <s v="Sold Out"/>
    <n v="27"/>
    <n v="27"/>
    <n v="0"/>
    <n v="0"/>
    <x v="555"/>
    <n v="229500"/>
    <n v="245.45"/>
    <n v="172800"/>
    <n v="56700"/>
    <n v="60.64"/>
    <n v="0"/>
    <d v="2024-08-27T00:00:00"/>
  </r>
  <r>
    <s v="B03363"/>
    <s v="P103"/>
    <x v="11"/>
    <s v="Partial Loss"/>
    <n v="34"/>
    <n v="32.299999999999997"/>
    <n v="1.7"/>
    <n v="5"/>
    <x v="244"/>
    <n v="274550"/>
    <n v="293.64"/>
    <n v="217600"/>
    <n v="56950"/>
    <n v="60.91"/>
    <n v="10880"/>
    <d v="2024-09-28T00:00:00"/>
  </r>
  <r>
    <s v="B03364"/>
    <s v="P103"/>
    <x v="11"/>
    <s v="Partial Loss"/>
    <n v="8"/>
    <n v="7.58"/>
    <n v="0.42"/>
    <n v="5.2"/>
    <x v="827"/>
    <n v="64430"/>
    <n v="68.91"/>
    <n v="51200"/>
    <n v="13230"/>
    <n v="14.15"/>
    <n v="2688"/>
    <d v="2024-11-02T00:00:00"/>
  </r>
  <r>
    <s v="B03365"/>
    <s v="P103"/>
    <x v="11"/>
    <s v="Partial Loss"/>
    <n v="12"/>
    <n v="11.45"/>
    <n v="0.55000000000000004"/>
    <n v="4.5999999999999996"/>
    <x v="841"/>
    <n v="97325"/>
    <n v="104.09"/>
    <n v="76800"/>
    <n v="20525"/>
    <n v="21.95"/>
    <n v="3520.0000000000005"/>
    <d v="2024-12-04T00:00:00"/>
  </r>
  <r>
    <s v="B03366"/>
    <s v="P103"/>
    <x v="11"/>
    <s v="Partial Loss"/>
    <n v="8"/>
    <n v="7.21"/>
    <n v="0.79"/>
    <n v="9.9"/>
    <x v="934"/>
    <n v="61285"/>
    <n v="65.55"/>
    <n v="51200"/>
    <n v="10085"/>
    <n v="10.79"/>
    <n v="5056"/>
    <d v="2025-01-16T00:00:00"/>
  </r>
  <r>
    <s v="B03367"/>
    <s v="P103"/>
    <x v="11"/>
    <s v="Sold Out"/>
    <n v="10"/>
    <n v="10"/>
    <n v="0"/>
    <n v="0"/>
    <x v="65"/>
    <n v="85000"/>
    <n v="90.91"/>
    <n v="64000"/>
    <n v="21000"/>
    <n v="22.46"/>
    <n v="0"/>
    <d v="2025-02-19T00:00:00"/>
  </r>
  <r>
    <s v="B03368"/>
    <s v="P103"/>
    <x v="11"/>
    <s v="Sold Out"/>
    <n v="23"/>
    <n v="23"/>
    <n v="0"/>
    <n v="0"/>
    <x v="136"/>
    <n v="195500"/>
    <n v="209.09"/>
    <n v="147200"/>
    <n v="48300"/>
    <n v="51.66"/>
    <n v="0"/>
    <d v="2025-04-04T00:00:00"/>
  </r>
  <r>
    <s v="B03369"/>
    <s v="P103"/>
    <x v="11"/>
    <s v="Sold Out"/>
    <n v="23"/>
    <n v="23"/>
    <n v="0"/>
    <n v="0"/>
    <x v="192"/>
    <n v="195500"/>
    <n v="209.09"/>
    <n v="147200"/>
    <n v="48300"/>
    <n v="51.66"/>
    <n v="0"/>
    <d v="2025-05-10T00:00:00"/>
  </r>
  <r>
    <s v="B03370"/>
    <s v="P103"/>
    <x v="11"/>
    <s v="Sold Out"/>
    <n v="28"/>
    <n v="28"/>
    <n v="0"/>
    <n v="0"/>
    <x v="724"/>
    <n v="238000"/>
    <n v="254.55"/>
    <n v="179200"/>
    <n v="58800"/>
    <n v="62.89"/>
    <n v="0"/>
    <d v="2025-06-10T00:00:00"/>
  </r>
  <r>
    <s v="B03371"/>
    <s v="P104"/>
    <x v="11"/>
    <s v="Sold Out"/>
    <n v="27"/>
    <n v="27"/>
    <n v="0"/>
    <n v="0"/>
    <x v="420"/>
    <n v="202500"/>
    <n v="216.58"/>
    <n v="145800"/>
    <n v="56700"/>
    <n v="60.64"/>
    <n v="0"/>
    <d v="2023-07-23T00:00:00"/>
  </r>
  <r>
    <s v="B03372"/>
    <s v="P104"/>
    <x v="11"/>
    <s v="Sold Out"/>
    <n v="22"/>
    <n v="22"/>
    <n v="0"/>
    <n v="0"/>
    <x v="145"/>
    <n v="165000"/>
    <n v="176.47"/>
    <n v="118800"/>
    <n v="46200"/>
    <n v="49.41"/>
    <n v="0"/>
    <d v="2023-08-26T00:00:00"/>
  </r>
  <r>
    <s v="B03373"/>
    <s v="P104"/>
    <x v="11"/>
    <s v="Sold Out"/>
    <n v="31"/>
    <n v="31"/>
    <n v="0"/>
    <n v="0"/>
    <x v="382"/>
    <n v="232500"/>
    <n v="248.66"/>
    <n v="167400"/>
    <n v="65100"/>
    <n v="69.63"/>
    <n v="0"/>
    <d v="2023-09-29T00:00:00"/>
  </r>
  <r>
    <s v="B03374"/>
    <s v="P104"/>
    <x v="11"/>
    <s v="Partial Loss"/>
    <n v="10"/>
    <n v="9.3699999999999992"/>
    <n v="0.63"/>
    <n v="6.3"/>
    <x v="819"/>
    <n v="70275"/>
    <n v="75.16"/>
    <n v="54000"/>
    <n v="16275"/>
    <n v="17.41"/>
    <n v="3402"/>
    <d v="2023-11-08T00:00:00"/>
  </r>
  <r>
    <s v="B03375"/>
    <s v="P104"/>
    <x v="11"/>
    <s v="Sold Out"/>
    <n v="11"/>
    <n v="11"/>
    <n v="0"/>
    <n v="0"/>
    <x v="155"/>
    <n v="82500"/>
    <n v="88.24"/>
    <n v="59400"/>
    <n v="23100"/>
    <n v="24.71"/>
    <n v="0"/>
    <d v="2023-12-13T00:00:00"/>
  </r>
  <r>
    <s v="B03376"/>
    <s v="P104"/>
    <x v="11"/>
    <s v="Partial Loss"/>
    <n v="9"/>
    <n v="8.23"/>
    <n v="0.77"/>
    <n v="8.5"/>
    <x v="176"/>
    <n v="61725"/>
    <n v="66.02"/>
    <n v="48600"/>
    <n v="13125"/>
    <n v="14.04"/>
    <n v="4158"/>
    <d v="2024-01-19T00:00:00"/>
  </r>
  <r>
    <s v="B03377"/>
    <s v="P104"/>
    <x v="11"/>
    <s v="Partial Loss"/>
    <n v="10"/>
    <n v="9.32"/>
    <n v="0.68"/>
    <n v="6.8"/>
    <x v="431"/>
    <n v="69900"/>
    <n v="74.760000000000005"/>
    <n v="54000"/>
    <n v="15900"/>
    <n v="17.010000000000002"/>
    <n v="3672.0000000000005"/>
    <d v="2024-02-27T00:00:00"/>
  </r>
  <r>
    <s v="B03378"/>
    <s v="P104"/>
    <x v="11"/>
    <s v="Partial Loss"/>
    <n v="9"/>
    <n v="8.5"/>
    <n v="0.49"/>
    <n v="5.5"/>
    <x v="644"/>
    <n v="63750"/>
    <n v="68.180000000000007"/>
    <n v="48600"/>
    <n v="15150"/>
    <n v="16.2"/>
    <n v="2646"/>
    <d v="2024-03-31T00:00:00"/>
  </r>
  <r>
    <s v="B03379"/>
    <s v="P104"/>
    <x v="11"/>
    <s v="Partial Loss"/>
    <n v="22"/>
    <n v="21.38"/>
    <n v="0.62"/>
    <n v="2.8"/>
    <x v="234"/>
    <n v="160350"/>
    <n v="171.5"/>
    <n v="118800"/>
    <n v="41550"/>
    <n v="44.44"/>
    <n v="3348"/>
    <d v="2024-05-10T00:00:00"/>
  </r>
  <r>
    <s v="B03380"/>
    <s v="P104"/>
    <x v="11"/>
    <s v="Partial Loss"/>
    <n v="25"/>
    <n v="24.6"/>
    <n v="0.4"/>
    <n v="1.6"/>
    <x v="290"/>
    <n v="184500"/>
    <n v="197.33"/>
    <n v="135000"/>
    <n v="49500"/>
    <n v="52.94"/>
    <n v="2160"/>
    <d v="2024-06-16T00:00:00"/>
  </r>
  <r>
    <s v="B03381"/>
    <s v="P104"/>
    <x v="11"/>
    <s v="Sold Out"/>
    <n v="22"/>
    <n v="22"/>
    <n v="0"/>
    <n v="0"/>
    <x v="221"/>
    <n v="165000"/>
    <n v="176.47"/>
    <n v="118800"/>
    <n v="46200"/>
    <n v="49.41"/>
    <n v="0"/>
    <d v="2024-07-10T00:00:00"/>
  </r>
  <r>
    <s v="B03382"/>
    <s v="P104"/>
    <x v="11"/>
    <s v="Sold Out"/>
    <n v="25"/>
    <n v="25"/>
    <n v="0"/>
    <n v="0"/>
    <x v="43"/>
    <n v="187500"/>
    <n v="200.53"/>
    <n v="135000"/>
    <n v="52500"/>
    <n v="56.15"/>
    <n v="0"/>
    <d v="2024-08-07T00:00:00"/>
  </r>
  <r>
    <s v="B03383"/>
    <s v="P104"/>
    <x v="11"/>
    <s v="Sold Out"/>
    <n v="25"/>
    <n v="25"/>
    <n v="0"/>
    <n v="0"/>
    <x v="42"/>
    <n v="187500"/>
    <n v="200.53"/>
    <n v="135000"/>
    <n v="52500"/>
    <n v="56.15"/>
    <n v="0"/>
    <d v="2024-08-31T00:00:00"/>
  </r>
  <r>
    <s v="B03384"/>
    <s v="P104"/>
    <x v="11"/>
    <s v="Sold Out"/>
    <n v="27"/>
    <n v="27"/>
    <n v="0"/>
    <n v="0"/>
    <x v="110"/>
    <n v="202500"/>
    <n v="216.58"/>
    <n v="145800"/>
    <n v="56700"/>
    <n v="60.64"/>
    <n v="0"/>
    <d v="2024-09-21T00:00:00"/>
  </r>
  <r>
    <s v="B03385"/>
    <s v="P104"/>
    <x v="11"/>
    <s v="Partial Loss"/>
    <n v="8"/>
    <n v="7.8"/>
    <n v="0.2"/>
    <n v="2.5"/>
    <x v="921"/>
    <n v="58500"/>
    <n v="62.57"/>
    <n v="43200"/>
    <n v="15300"/>
    <n v="16.36"/>
    <n v="1080"/>
    <d v="2024-10-19T00:00:00"/>
  </r>
  <r>
    <s v="B03386"/>
    <s v="P104"/>
    <x v="11"/>
    <s v="Partial Loss"/>
    <n v="9"/>
    <n v="8.44"/>
    <n v="0.56000000000000005"/>
    <n v="6.2"/>
    <x v="649"/>
    <n v="63300"/>
    <n v="67.7"/>
    <n v="48600"/>
    <n v="14700"/>
    <n v="15.72"/>
    <n v="3024.0000000000005"/>
    <d v="2024-11-19T00:00:00"/>
  </r>
  <r>
    <s v="B03387"/>
    <s v="P104"/>
    <x v="11"/>
    <s v="Partial Loss"/>
    <n v="11"/>
    <n v="10.68"/>
    <n v="0.32"/>
    <n v="2.9"/>
    <x v="851"/>
    <n v="80100"/>
    <n v="85.67"/>
    <n v="59400"/>
    <n v="20700"/>
    <n v="22.14"/>
    <n v="1728"/>
    <d v="2024-12-28T00:00:00"/>
  </r>
  <r>
    <s v="B03388"/>
    <s v="P104"/>
    <x v="11"/>
    <s v="Partial Loss"/>
    <n v="9"/>
    <n v="8.33"/>
    <n v="0.67"/>
    <n v="7.4"/>
    <x v="642"/>
    <n v="62475"/>
    <n v="66.819999999999993"/>
    <n v="48600"/>
    <n v="13875"/>
    <n v="14.84"/>
    <n v="3618"/>
    <d v="2025-02-01T00:00:00"/>
  </r>
  <r>
    <s v="B03389"/>
    <s v="P104"/>
    <x v="11"/>
    <s v="Sold Out"/>
    <n v="10"/>
    <n v="10"/>
    <n v="0"/>
    <n v="0"/>
    <x v="63"/>
    <n v="75000"/>
    <n v="80.209999999999994"/>
    <n v="54000"/>
    <n v="21000"/>
    <n v="22.46"/>
    <n v="0"/>
    <d v="2025-03-07T00:00:00"/>
  </r>
  <r>
    <s v="B03390"/>
    <s v="P104"/>
    <x v="11"/>
    <s v="Sold Out"/>
    <n v="22"/>
    <n v="22"/>
    <n v="0"/>
    <n v="0"/>
    <x v="377"/>
    <n v="165000"/>
    <n v="176.47"/>
    <n v="118800"/>
    <n v="46200"/>
    <n v="49.41"/>
    <n v="0"/>
    <d v="2025-04-12T00:00:00"/>
  </r>
  <r>
    <s v="B03391"/>
    <s v="P104"/>
    <x v="11"/>
    <s v="Sold Out"/>
    <n v="29"/>
    <n v="29"/>
    <n v="0"/>
    <n v="0"/>
    <x v="71"/>
    <n v="217500"/>
    <n v="232.62"/>
    <n v="156600"/>
    <n v="60900"/>
    <n v="65.13"/>
    <n v="0"/>
    <d v="2025-05-19T00:00:00"/>
  </r>
  <r>
    <s v="B03392"/>
    <s v="P104"/>
    <x v="11"/>
    <s v="Sold Out"/>
    <n v="26"/>
    <n v="26"/>
    <n v="0"/>
    <n v="0"/>
    <x v="294"/>
    <n v="195000"/>
    <n v="208.56"/>
    <n v="140400"/>
    <n v="54600"/>
    <n v="58.4"/>
    <n v="0"/>
    <d v="2025-06-21T00:00:00"/>
  </r>
  <r>
    <s v="B03393"/>
    <s v="P105"/>
    <x v="11"/>
    <s v="Partial Loss"/>
    <n v="17"/>
    <n v="16.59"/>
    <n v="0.41"/>
    <n v="2.4"/>
    <x v="360"/>
    <n v="99540"/>
    <n v="106.46"/>
    <n v="73100"/>
    <n v="26440"/>
    <n v="28.28"/>
    <n v="1763"/>
    <d v="2023-07-09T00:00:00"/>
  </r>
  <r>
    <s v="B03394"/>
    <s v="P105"/>
    <x v="11"/>
    <s v="Sold Out"/>
    <n v="13"/>
    <n v="13"/>
    <n v="0"/>
    <n v="0"/>
    <x v="502"/>
    <n v="78000"/>
    <n v="83.42"/>
    <n v="55900"/>
    <n v="22100"/>
    <n v="23.64"/>
    <n v="0"/>
    <d v="2023-08-16T00:00:00"/>
  </r>
  <r>
    <s v="B03395"/>
    <s v="P105"/>
    <x v="11"/>
    <s v="Partial Loss"/>
    <n v="20"/>
    <n v="18.8"/>
    <n v="1.2"/>
    <n v="6"/>
    <x v="771"/>
    <n v="112800"/>
    <n v="120.64"/>
    <n v="86000"/>
    <n v="26800"/>
    <n v="28.66"/>
    <n v="5160"/>
    <d v="2023-09-14T00:00:00"/>
  </r>
  <r>
    <s v="B03396"/>
    <s v="P105"/>
    <x v="11"/>
    <s v="Partial Loss"/>
    <n v="14"/>
    <n v="13.47"/>
    <n v="0.53"/>
    <n v="3.8"/>
    <x v="426"/>
    <n v="80820"/>
    <n v="86.44"/>
    <n v="60200"/>
    <n v="20620"/>
    <n v="22.05"/>
    <n v="2279"/>
    <d v="2023-10-14T00:00:00"/>
  </r>
  <r>
    <s v="B03397"/>
    <s v="P105"/>
    <x v="11"/>
    <s v="Partial Loss"/>
    <n v="13"/>
    <n v="12.99"/>
    <n v="0.01"/>
    <n v="0.1"/>
    <x v="326"/>
    <n v="77940"/>
    <n v="83.36"/>
    <n v="55900"/>
    <n v="22040"/>
    <n v="23.57"/>
    <n v="43"/>
    <d v="2023-11-12T00:00:00"/>
  </r>
  <r>
    <s v="B03398"/>
    <s v="P105"/>
    <x v="11"/>
    <s v="Sold Out"/>
    <n v="18"/>
    <n v="18"/>
    <n v="0"/>
    <n v="0"/>
    <x v="935"/>
    <n v="108000"/>
    <n v="115.51"/>
    <n v="77400"/>
    <n v="30600"/>
    <n v="32.729999999999997"/>
    <n v="0"/>
    <d v="2023-12-20T00:00:00"/>
  </r>
  <r>
    <s v="B03399"/>
    <s v="P105"/>
    <x v="11"/>
    <s v="Sold Out"/>
    <n v="14"/>
    <n v="14"/>
    <n v="0"/>
    <n v="0"/>
    <x v="572"/>
    <n v="84000"/>
    <n v="89.84"/>
    <n v="67900"/>
    <n v="16100"/>
    <n v="17.22"/>
    <n v="0"/>
    <d v="2024-02-02T00:00:00"/>
  </r>
  <r>
    <s v="B03400"/>
    <s v="P105"/>
    <x v="11"/>
    <s v="Sold Out"/>
    <n v="13"/>
    <n v="13"/>
    <n v="0"/>
    <n v="0"/>
    <x v="93"/>
    <n v="78000"/>
    <n v="83.42"/>
    <n v="55900"/>
    <n v="22100"/>
    <n v="23.64"/>
    <n v="0"/>
    <d v="2024-03-02T00:00:00"/>
  </r>
  <r>
    <s v="B03401"/>
    <s v="P105"/>
    <x v="11"/>
    <s v="Partial Loss"/>
    <n v="15"/>
    <n v="14.31"/>
    <n v="0.69"/>
    <n v="4.5999999999999996"/>
    <x v="684"/>
    <n v="85860"/>
    <n v="91.83"/>
    <n v="64500"/>
    <n v="21360"/>
    <n v="22.84"/>
    <n v="2966.9999999999995"/>
    <d v="2024-04-02T00:00:00"/>
  </r>
  <r>
    <s v="B03402"/>
    <s v="P105"/>
    <x v="11"/>
    <s v="Sold Out"/>
    <n v="14"/>
    <n v="14"/>
    <n v="0"/>
    <n v="0"/>
    <x v="104"/>
    <n v="84000"/>
    <n v="89.84"/>
    <n v="60200"/>
    <n v="23800"/>
    <n v="25.45"/>
    <n v="0"/>
    <d v="2024-05-06T00:00:00"/>
  </r>
  <r>
    <s v="B03403"/>
    <s v="P105"/>
    <x v="11"/>
    <s v="Sold Out"/>
    <n v="16"/>
    <n v="16"/>
    <n v="0"/>
    <n v="0"/>
    <x v="458"/>
    <n v="96000"/>
    <n v="102.67"/>
    <n v="68800"/>
    <n v="27200"/>
    <n v="29.09"/>
    <n v="0"/>
    <d v="2024-06-10T00:00:00"/>
  </r>
  <r>
    <s v="B03404"/>
    <s v="P105"/>
    <x v="11"/>
    <s v="Sold Out"/>
    <n v="14"/>
    <n v="14"/>
    <n v="0"/>
    <n v="0"/>
    <x v="576"/>
    <n v="84000"/>
    <n v="89.84"/>
    <n v="60200"/>
    <n v="23800"/>
    <n v="25.45"/>
    <n v="0"/>
    <d v="2024-07-09T00:00:00"/>
  </r>
  <r>
    <s v="B03405"/>
    <s v="P105"/>
    <x v="11"/>
    <s v="Partial Loss"/>
    <n v="13"/>
    <n v="12.47"/>
    <n v="0.53"/>
    <n v="4.0999999999999996"/>
    <x v="241"/>
    <n v="74820"/>
    <n v="80.02"/>
    <n v="63050"/>
    <n v="11770"/>
    <n v="12.59"/>
    <n v="2570.5"/>
    <d v="2024-08-11T00:00:00"/>
  </r>
  <r>
    <s v="B03406"/>
    <s v="P105"/>
    <x v="11"/>
    <s v="Sold Out"/>
    <n v="19"/>
    <n v="19"/>
    <n v="0"/>
    <n v="0"/>
    <x v="814"/>
    <n v="114000"/>
    <n v="121.93"/>
    <n v="81700"/>
    <n v="32300"/>
    <n v="34.549999999999997"/>
    <n v="0"/>
    <d v="2024-09-15T00:00:00"/>
  </r>
  <r>
    <s v="B03407"/>
    <s v="P105"/>
    <x v="11"/>
    <s v="Sold Out"/>
    <n v="14"/>
    <n v="14"/>
    <n v="0"/>
    <n v="0"/>
    <x v="226"/>
    <n v="84000"/>
    <n v="89.84"/>
    <n v="60200"/>
    <n v="23800"/>
    <n v="25.45"/>
    <n v="0"/>
    <d v="2024-10-18T00:00:00"/>
  </r>
  <r>
    <s v="B03408"/>
    <s v="P105"/>
    <x v="11"/>
    <s v="Sold Out"/>
    <n v="17"/>
    <n v="17"/>
    <n v="0"/>
    <n v="0"/>
    <x v="405"/>
    <n v="102000"/>
    <n v="109.09"/>
    <n v="73100"/>
    <n v="28900"/>
    <n v="30.91"/>
    <n v="0"/>
    <d v="2024-11-21T00:00:00"/>
  </r>
  <r>
    <s v="B03409"/>
    <s v="P105"/>
    <x v="11"/>
    <s v="Sold Out"/>
    <n v="22"/>
    <n v="22"/>
    <n v="0"/>
    <n v="0"/>
    <x v="283"/>
    <n v="132000"/>
    <n v="141.18"/>
    <n v="94600"/>
    <n v="37400"/>
    <n v="40"/>
    <n v="0"/>
    <d v="2024-12-28T00:00:00"/>
  </r>
  <r>
    <s v="B03410"/>
    <s v="P105"/>
    <x v="11"/>
    <s v="Partial Loss"/>
    <n v="16"/>
    <n v="15.97"/>
    <n v="0.03"/>
    <n v="0.2"/>
    <x v="897"/>
    <n v="95820"/>
    <n v="102.48"/>
    <n v="68800"/>
    <n v="27020"/>
    <n v="28.9"/>
    <n v="129"/>
    <d v="2025-01-26T00:00:00"/>
  </r>
  <r>
    <s v="B03411"/>
    <s v="P105"/>
    <x v="11"/>
    <s v="Sold Out"/>
    <n v="19"/>
    <n v="19"/>
    <n v="0"/>
    <n v="0"/>
    <x v="289"/>
    <n v="114000"/>
    <n v="121.93"/>
    <n v="81700"/>
    <n v="32300"/>
    <n v="34.549999999999997"/>
    <n v="0"/>
    <d v="2025-02-22T00:00:00"/>
  </r>
  <r>
    <s v="B03412"/>
    <s v="P105"/>
    <x v="11"/>
    <s v="Sold Out"/>
    <n v="17"/>
    <n v="17"/>
    <n v="0"/>
    <n v="0"/>
    <x v="722"/>
    <n v="102000"/>
    <n v="109.09"/>
    <n v="73100"/>
    <n v="28900"/>
    <n v="30.91"/>
    <n v="0"/>
    <d v="2025-04-03T00:00:00"/>
  </r>
  <r>
    <s v="B03413"/>
    <s v="P105"/>
    <x v="11"/>
    <s v="Partial Loss"/>
    <n v="18"/>
    <n v="16.559999999999999"/>
    <n v="1.44"/>
    <n v="8"/>
    <x v="936"/>
    <n v="99360"/>
    <n v="106.27"/>
    <n v="87300"/>
    <n v="12060"/>
    <n v="12.9"/>
    <n v="6984"/>
    <d v="2025-05-07T00:00:00"/>
  </r>
  <r>
    <s v="B03414"/>
    <s v="P105"/>
    <x v="11"/>
    <s v="Sold Out"/>
    <n v="15"/>
    <n v="15"/>
    <n v="0"/>
    <n v="0"/>
    <x v="71"/>
    <n v="90000"/>
    <n v="96.26"/>
    <n v="64500"/>
    <n v="25500"/>
    <n v="27.27"/>
    <n v="0"/>
    <d v="2025-06-07T00:00:00"/>
  </r>
  <r>
    <s v="B03415"/>
    <s v="P106"/>
    <x v="11"/>
    <s v="Sold Out"/>
    <n v="17"/>
    <n v="17"/>
    <n v="0"/>
    <n v="0"/>
    <x v="361"/>
    <n v="153000"/>
    <n v="163.63999999999999"/>
    <n v="110500"/>
    <n v="42500"/>
    <n v="45.45"/>
    <n v="0"/>
    <d v="2023-07-31T00:00:00"/>
  </r>
  <r>
    <s v="B03416"/>
    <s v="P106"/>
    <x v="11"/>
    <s v="Sold Out"/>
    <n v="20"/>
    <n v="20"/>
    <n v="0"/>
    <n v="0"/>
    <x v="11"/>
    <n v="180000"/>
    <n v="192.51"/>
    <n v="136000"/>
    <n v="44000"/>
    <n v="47.06"/>
    <n v="0"/>
    <d v="2023-09-15T00:00:00"/>
  </r>
  <r>
    <s v="B03417"/>
    <s v="P106"/>
    <x v="11"/>
    <s v="Sold Out"/>
    <n v="15"/>
    <n v="15"/>
    <n v="0"/>
    <n v="0"/>
    <x v="149"/>
    <n v="135000"/>
    <n v="144.38999999999999"/>
    <n v="97500"/>
    <n v="37500"/>
    <n v="40.11"/>
    <n v="0"/>
    <d v="2023-10-31T00:00:00"/>
  </r>
  <r>
    <s v="B03418"/>
    <s v="P106"/>
    <x v="11"/>
    <s v="Partial Loss"/>
    <n v="21"/>
    <n v="20.010000000000002"/>
    <n v="0.99"/>
    <n v="4.7"/>
    <x v="937"/>
    <n v="180090"/>
    <n v="192.61"/>
    <n v="142800"/>
    <n v="37290"/>
    <n v="39.880000000000003"/>
    <n v="6732"/>
    <d v="2023-12-07T00:00:00"/>
  </r>
  <r>
    <s v="B03419"/>
    <s v="P106"/>
    <x v="11"/>
    <s v="Sold Out"/>
    <n v="16"/>
    <n v="16"/>
    <n v="0"/>
    <n v="0"/>
    <x v="208"/>
    <n v="144000"/>
    <n v="154.01"/>
    <n v="104000"/>
    <n v="40000"/>
    <n v="42.78"/>
    <n v="0"/>
    <d v="2024-01-05T00:00:00"/>
  </r>
  <r>
    <s v="B03420"/>
    <s v="P106"/>
    <x v="11"/>
    <s v="Sold Out"/>
    <n v="16"/>
    <n v="16"/>
    <n v="0"/>
    <n v="0"/>
    <x v="312"/>
    <n v="144000"/>
    <n v="154.01"/>
    <n v="104000"/>
    <n v="40000"/>
    <n v="42.78"/>
    <n v="0"/>
    <d v="2024-02-08T00:00:00"/>
  </r>
  <r>
    <s v="B03421"/>
    <s v="P106"/>
    <x v="11"/>
    <s v="Sold Out"/>
    <n v="14"/>
    <n v="14"/>
    <n v="0"/>
    <n v="0"/>
    <x v="95"/>
    <n v="126000"/>
    <n v="134.76"/>
    <n v="91000"/>
    <n v="35000"/>
    <n v="37.43"/>
    <n v="0"/>
    <d v="2024-03-17T00:00:00"/>
  </r>
  <r>
    <s v="B03422"/>
    <s v="P106"/>
    <x v="11"/>
    <s v="Partial Loss"/>
    <n v="14"/>
    <n v="13.58"/>
    <n v="0.42"/>
    <n v="3"/>
    <x v="410"/>
    <n v="122220"/>
    <n v="130.72"/>
    <n v="91000"/>
    <n v="31220"/>
    <n v="33.39"/>
    <n v="2730"/>
    <d v="2024-04-15T00:00:00"/>
  </r>
  <r>
    <s v="B03423"/>
    <s v="P106"/>
    <x v="11"/>
    <s v="Sold Out"/>
    <n v="15"/>
    <n v="15"/>
    <n v="0"/>
    <n v="0"/>
    <x v="453"/>
    <n v="135000"/>
    <n v="144.38999999999999"/>
    <n v="97500"/>
    <n v="37500"/>
    <n v="40.11"/>
    <n v="0"/>
    <d v="2024-05-11T00:00:00"/>
  </r>
  <r>
    <s v="B03424"/>
    <s v="P106"/>
    <x v="11"/>
    <s v="Partial Loss"/>
    <n v="16"/>
    <n v="14.82"/>
    <n v="1.18"/>
    <n v="7.4"/>
    <x v="376"/>
    <n v="133380"/>
    <n v="142.65"/>
    <n v="104000"/>
    <n v="29380"/>
    <n v="31.42"/>
    <n v="7670"/>
    <d v="2024-06-10T00:00:00"/>
  </r>
  <r>
    <s v="B03425"/>
    <s v="P106"/>
    <x v="11"/>
    <s v="Partial Loss"/>
    <n v="17"/>
    <n v="16.079999999999998"/>
    <n v="0.92"/>
    <n v="5.4"/>
    <x v="585"/>
    <n v="144720"/>
    <n v="154.78"/>
    <n v="115600"/>
    <n v="29120"/>
    <n v="31.14"/>
    <n v="6256"/>
    <d v="2024-07-17T00:00:00"/>
  </r>
  <r>
    <s v="B03426"/>
    <s v="P106"/>
    <x v="11"/>
    <s v="Sold Out"/>
    <n v="13"/>
    <n v="13"/>
    <n v="0"/>
    <n v="0"/>
    <x v="814"/>
    <n v="117000"/>
    <n v="125.13"/>
    <n v="84500"/>
    <n v="32500"/>
    <n v="34.76"/>
    <n v="0"/>
    <d v="2024-08-22T00:00:00"/>
  </r>
  <r>
    <s v="B03427"/>
    <s v="P106"/>
    <x v="11"/>
    <s v="Sold Out"/>
    <n v="20"/>
    <n v="20"/>
    <n v="0"/>
    <n v="0"/>
    <x v="400"/>
    <n v="180000"/>
    <n v="192.51"/>
    <n v="136000"/>
    <n v="44000"/>
    <n v="47.06"/>
    <n v="0"/>
    <d v="2024-09-17T00:00:00"/>
  </r>
  <r>
    <s v="B03428"/>
    <s v="P106"/>
    <x v="11"/>
    <s v="Sold Out"/>
    <n v="17"/>
    <n v="17"/>
    <n v="0"/>
    <n v="0"/>
    <x v="329"/>
    <n v="153000"/>
    <n v="163.63999999999999"/>
    <n v="110500"/>
    <n v="42500"/>
    <n v="45.45"/>
    <n v="0"/>
    <d v="2024-10-18T00:00:00"/>
  </r>
  <r>
    <s v="B03429"/>
    <s v="P106"/>
    <x v="11"/>
    <s v="Sold Out"/>
    <n v="19"/>
    <n v="19"/>
    <n v="0"/>
    <n v="0"/>
    <x v="624"/>
    <n v="171000"/>
    <n v="182.89"/>
    <n v="123500"/>
    <n v="47500"/>
    <n v="50.8"/>
    <n v="0"/>
    <d v="2024-12-01T00:00:00"/>
  </r>
  <r>
    <s v="B03430"/>
    <s v="P106"/>
    <x v="11"/>
    <s v="Sold Out"/>
    <n v="16"/>
    <n v="16"/>
    <n v="0"/>
    <n v="0"/>
    <x v="409"/>
    <n v="144000"/>
    <n v="154.01"/>
    <n v="104000"/>
    <n v="40000"/>
    <n v="42.78"/>
    <n v="0"/>
    <d v="2025-01-04T00:00:00"/>
  </r>
  <r>
    <s v="B03431"/>
    <s v="P106"/>
    <x v="11"/>
    <s v="Sold Out"/>
    <n v="14"/>
    <n v="14"/>
    <n v="0"/>
    <n v="0"/>
    <x v="582"/>
    <n v="126000"/>
    <n v="134.76"/>
    <n v="91000"/>
    <n v="35000"/>
    <n v="37.43"/>
    <n v="0"/>
    <d v="2025-02-02T00:00:00"/>
  </r>
  <r>
    <s v="B03432"/>
    <s v="P106"/>
    <x v="11"/>
    <s v="Sold Out"/>
    <n v="16"/>
    <n v="16"/>
    <n v="0"/>
    <n v="0"/>
    <x v="134"/>
    <n v="144000"/>
    <n v="154.01"/>
    <n v="104000"/>
    <n v="40000"/>
    <n v="42.78"/>
    <n v="0"/>
    <d v="2025-03-18T00:00:00"/>
  </r>
  <r>
    <s v="B03433"/>
    <s v="P106"/>
    <x v="11"/>
    <s v="Sold Out"/>
    <n v="18"/>
    <n v="18"/>
    <n v="0"/>
    <n v="0"/>
    <x v="790"/>
    <n v="162000"/>
    <n v="173.26"/>
    <n v="117000"/>
    <n v="45000"/>
    <n v="48.13"/>
    <n v="0"/>
    <d v="2025-04-24T00:00:00"/>
  </r>
  <r>
    <s v="B03434"/>
    <s v="P106"/>
    <x v="11"/>
    <s v="Sold Out"/>
    <n v="14"/>
    <n v="14"/>
    <n v="0"/>
    <n v="0"/>
    <x v="496"/>
    <n v="126000"/>
    <n v="134.76"/>
    <n v="91000"/>
    <n v="35000"/>
    <n v="37.43"/>
    <n v="0"/>
    <d v="2025-05-28T00:00:00"/>
  </r>
  <r>
    <s v="B03435"/>
    <s v="P107"/>
    <x v="12"/>
    <s v="Sold Out"/>
    <n v="9"/>
    <n v="9"/>
    <n v="0"/>
    <n v="0"/>
    <x v="833"/>
    <n v="72000"/>
    <n v="77.010000000000005"/>
    <n v="52650"/>
    <n v="19350"/>
    <n v="20.7"/>
    <n v="0"/>
    <d v="2023-07-12T00:00:00"/>
  </r>
  <r>
    <s v="B03436"/>
    <s v="P107"/>
    <x v="12"/>
    <s v="Partial Loss"/>
    <n v="9"/>
    <n v="8.6300000000000008"/>
    <n v="0.37"/>
    <n v="4.0999999999999996"/>
    <x v="541"/>
    <n v="69040"/>
    <n v="73.84"/>
    <n v="52650"/>
    <n v="16390"/>
    <n v="17.53"/>
    <n v="2164.5"/>
    <d v="2023-07-29T00:00:00"/>
  </r>
  <r>
    <s v="B03437"/>
    <s v="P107"/>
    <x v="12"/>
    <s v="Sold Out"/>
    <n v="9"/>
    <n v="9"/>
    <n v="0"/>
    <n v="0"/>
    <x v="79"/>
    <n v="72000"/>
    <n v="77.010000000000005"/>
    <n v="52650"/>
    <n v="19350"/>
    <n v="20.7"/>
    <n v="0"/>
    <d v="2023-08-22T00:00:00"/>
  </r>
  <r>
    <s v="B03438"/>
    <s v="P107"/>
    <x v="12"/>
    <s v="Sold Out"/>
    <n v="13"/>
    <n v="13"/>
    <n v="0"/>
    <n v="0"/>
    <x v="421"/>
    <n v="104000"/>
    <n v="111.23"/>
    <n v="76050"/>
    <n v="27950"/>
    <n v="29.89"/>
    <n v="0"/>
    <d v="2023-09-09T00:00:00"/>
  </r>
  <r>
    <s v="B03439"/>
    <s v="P107"/>
    <x v="12"/>
    <s v="Sold Out"/>
    <n v="14"/>
    <n v="14"/>
    <n v="0"/>
    <n v="0"/>
    <x v="86"/>
    <n v="112000"/>
    <n v="119.79"/>
    <n v="88200"/>
    <n v="23800"/>
    <n v="25.45"/>
    <n v="0"/>
    <d v="2023-09-29T00:00:00"/>
  </r>
  <r>
    <s v="B03440"/>
    <s v="P107"/>
    <x v="12"/>
    <s v="Sold Out"/>
    <n v="10"/>
    <n v="10"/>
    <n v="0"/>
    <n v="0"/>
    <x v="938"/>
    <n v="80000"/>
    <n v="85.56"/>
    <n v="58500"/>
    <n v="21500"/>
    <n v="22.99"/>
    <n v="0"/>
    <d v="2023-10-21T00:00:00"/>
  </r>
  <r>
    <s v="B03441"/>
    <s v="P107"/>
    <x v="12"/>
    <s v="Sold Out"/>
    <n v="11"/>
    <n v="11"/>
    <n v="0"/>
    <n v="0"/>
    <x v="255"/>
    <n v="88000"/>
    <n v="94.12"/>
    <n v="64350"/>
    <n v="23650"/>
    <n v="25.29"/>
    <n v="0"/>
    <d v="2023-11-09T00:00:00"/>
  </r>
  <r>
    <s v="B03442"/>
    <s v="P107"/>
    <x v="12"/>
    <s v="Sold Out"/>
    <n v="10"/>
    <n v="10"/>
    <n v="0"/>
    <n v="0"/>
    <x v="13"/>
    <n v="80000"/>
    <n v="85.56"/>
    <n v="58500"/>
    <n v="21500"/>
    <n v="22.99"/>
    <n v="0"/>
    <d v="2023-11-27T00:00:00"/>
  </r>
  <r>
    <s v="B03443"/>
    <s v="P107"/>
    <x v="12"/>
    <s v="Sold Out"/>
    <n v="12"/>
    <n v="12"/>
    <n v="0"/>
    <n v="0"/>
    <x v="387"/>
    <n v="96000"/>
    <n v="102.67"/>
    <n v="70200"/>
    <n v="25800"/>
    <n v="27.59"/>
    <n v="0"/>
    <d v="2023-12-19T00:00:00"/>
  </r>
  <r>
    <s v="B03444"/>
    <s v="P107"/>
    <x v="12"/>
    <s v="Sold Out"/>
    <n v="9"/>
    <n v="9"/>
    <n v="0"/>
    <n v="0"/>
    <x v="935"/>
    <n v="72000"/>
    <n v="77.010000000000005"/>
    <n v="52650"/>
    <n v="19350"/>
    <n v="20.7"/>
    <n v="0"/>
    <d v="2024-01-09T00:00:00"/>
  </r>
  <r>
    <s v="B03445"/>
    <s v="P107"/>
    <x v="12"/>
    <s v="Partial Loss"/>
    <n v="11"/>
    <n v="9.94"/>
    <n v="1.06"/>
    <n v="9.6"/>
    <x v="108"/>
    <n v="79520"/>
    <n v="85.05"/>
    <n v="64350"/>
    <n v="15170"/>
    <n v="16.22"/>
    <n v="6201"/>
    <d v="2024-01-30T00:00:00"/>
  </r>
  <r>
    <s v="B03446"/>
    <s v="P107"/>
    <x v="12"/>
    <s v="Partial Loss"/>
    <n v="10"/>
    <n v="8.9499999999999993"/>
    <n v="1.05"/>
    <n v="10.5"/>
    <x v="321"/>
    <n v="71600"/>
    <n v="76.58"/>
    <n v="58500"/>
    <n v="13100"/>
    <n v="14.01"/>
    <n v="6142.5"/>
    <d v="2024-02-17T00:00:00"/>
  </r>
  <r>
    <s v="B03447"/>
    <s v="P107"/>
    <x v="12"/>
    <s v="Sold Out"/>
    <n v="9"/>
    <n v="9"/>
    <n v="0"/>
    <n v="0"/>
    <x v="939"/>
    <n v="72000"/>
    <n v="77.010000000000005"/>
    <n v="56700"/>
    <n v="15300"/>
    <n v="16.36"/>
    <n v="0"/>
    <d v="2024-03-07T00:00:00"/>
  </r>
  <r>
    <s v="B03448"/>
    <s v="P107"/>
    <x v="12"/>
    <s v="Partial Loss"/>
    <n v="11"/>
    <n v="10.210000000000001"/>
    <n v="0.79"/>
    <n v="7.2"/>
    <x v="274"/>
    <n v="81680"/>
    <n v="87.36"/>
    <n v="64350"/>
    <n v="17330"/>
    <n v="18.53"/>
    <n v="4621.5"/>
    <d v="2024-03-27T00:00:00"/>
  </r>
  <r>
    <s v="B03449"/>
    <s v="P107"/>
    <x v="12"/>
    <s v="Partial Loss"/>
    <n v="11"/>
    <n v="10.5"/>
    <n v="0.49"/>
    <n v="4.5"/>
    <x v="111"/>
    <n v="84000"/>
    <n v="89.84"/>
    <n v="64350"/>
    <n v="19650"/>
    <n v="21.02"/>
    <n v="2866.5"/>
    <d v="2024-04-18T00:00:00"/>
  </r>
  <r>
    <s v="B03450"/>
    <s v="P107"/>
    <x v="12"/>
    <s v="Partial Loss"/>
    <n v="10"/>
    <n v="9.5299999999999994"/>
    <n v="0.47"/>
    <n v="4.7"/>
    <x v="50"/>
    <n v="76240"/>
    <n v="81.540000000000006"/>
    <n v="58500"/>
    <n v="17740"/>
    <n v="18.97"/>
    <n v="2749.5"/>
    <d v="2024-05-09T00:00:00"/>
  </r>
  <r>
    <s v="B03451"/>
    <s v="P107"/>
    <x v="12"/>
    <s v="Partial Loss"/>
    <n v="11"/>
    <n v="10.32"/>
    <n v="0.68"/>
    <n v="6.2"/>
    <x v="907"/>
    <n v="82560"/>
    <n v="88.3"/>
    <n v="64350"/>
    <n v="18210"/>
    <n v="19.48"/>
    <n v="3978.0000000000005"/>
    <d v="2024-06-01T00:00:00"/>
  </r>
  <r>
    <s v="B03452"/>
    <s v="P107"/>
    <x v="12"/>
    <s v="Partial Loss"/>
    <n v="11"/>
    <n v="10.14"/>
    <n v="0.86"/>
    <n v="7.8"/>
    <x v="330"/>
    <n v="81120"/>
    <n v="86.76"/>
    <n v="64350"/>
    <n v="16770"/>
    <n v="17.940000000000001"/>
    <n v="5031"/>
    <d v="2024-06-21T00:00:00"/>
  </r>
  <r>
    <s v="B03453"/>
    <s v="P107"/>
    <x v="12"/>
    <s v="Partial Loss"/>
    <n v="10"/>
    <n v="9.3800000000000008"/>
    <n v="0.62"/>
    <n v="6.2"/>
    <x v="372"/>
    <n v="75040"/>
    <n v="80.260000000000005"/>
    <n v="58500"/>
    <n v="16540"/>
    <n v="17.690000000000001"/>
    <n v="3627"/>
    <d v="2024-07-12T00:00:00"/>
  </r>
  <r>
    <s v="B03454"/>
    <s v="P107"/>
    <x v="12"/>
    <s v="Partial Loss"/>
    <n v="10"/>
    <n v="9.4600000000000009"/>
    <n v="0.54"/>
    <n v="5.4"/>
    <x v="665"/>
    <n v="75680"/>
    <n v="80.94"/>
    <n v="58500"/>
    <n v="17180"/>
    <n v="18.37"/>
    <n v="3159"/>
    <d v="2024-08-02T00:00:00"/>
  </r>
  <r>
    <s v="B03455"/>
    <s v="P107"/>
    <x v="12"/>
    <s v="Sold Out"/>
    <n v="9"/>
    <n v="9"/>
    <n v="0"/>
    <n v="0"/>
    <x v="780"/>
    <n v="72000"/>
    <n v="77.010000000000005"/>
    <n v="52650"/>
    <n v="19350"/>
    <n v="20.7"/>
    <n v="0"/>
    <d v="2024-08-24T00:00:00"/>
  </r>
  <r>
    <s v="B03456"/>
    <s v="P107"/>
    <x v="12"/>
    <s v="Sold Out"/>
    <n v="13"/>
    <n v="13"/>
    <n v="0"/>
    <n v="0"/>
    <x v="274"/>
    <n v="104000"/>
    <n v="111.23"/>
    <n v="76050"/>
    <n v="27950"/>
    <n v="29.89"/>
    <n v="0"/>
    <d v="2024-09-08T00:00:00"/>
  </r>
  <r>
    <s v="B03457"/>
    <s v="P107"/>
    <x v="12"/>
    <s v="Partial Loss"/>
    <n v="13"/>
    <n v="12.13"/>
    <n v="0.87"/>
    <n v="6.7"/>
    <x v="493"/>
    <n v="97040"/>
    <n v="103.79"/>
    <n v="76050"/>
    <n v="20990"/>
    <n v="22.45"/>
    <n v="5089.5"/>
    <d v="2024-09-29T00:00:00"/>
  </r>
  <r>
    <s v="B03458"/>
    <s v="P107"/>
    <x v="12"/>
    <s v="Partial Loss"/>
    <n v="11"/>
    <n v="10.29"/>
    <n v="0.72"/>
    <n v="6.5"/>
    <x v="798"/>
    <n v="82320"/>
    <n v="88.04"/>
    <n v="64350"/>
    <n v="17970"/>
    <n v="19.22"/>
    <n v="4212"/>
    <d v="2024-10-24T00:00:00"/>
  </r>
  <r>
    <s v="B03459"/>
    <s v="P107"/>
    <x v="12"/>
    <s v="Sold Out"/>
    <n v="10"/>
    <n v="10"/>
    <n v="0"/>
    <n v="0"/>
    <x v="119"/>
    <n v="80000"/>
    <n v="85.56"/>
    <n v="58500"/>
    <n v="21500"/>
    <n v="22.99"/>
    <n v="0"/>
    <d v="2024-11-15T00:00:00"/>
  </r>
  <r>
    <s v="B03460"/>
    <s v="P107"/>
    <x v="12"/>
    <s v="Sold Out"/>
    <n v="14"/>
    <n v="14"/>
    <n v="0"/>
    <n v="0"/>
    <x v="432"/>
    <n v="112000"/>
    <n v="119.79"/>
    <n v="88200"/>
    <n v="23800"/>
    <n v="25.45"/>
    <n v="0"/>
    <d v="2024-12-08T00:00:00"/>
  </r>
  <r>
    <s v="B03461"/>
    <s v="P107"/>
    <x v="12"/>
    <s v="Sold Out"/>
    <n v="14"/>
    <n v="14"/>
    <n v="0"/>
    <n v="0"/>
    <x v="628"/>
    <n v="112000"/>
    <n v="119.79"/>
    <n v="81900"/>
    <n v="30100"/>
    <n v="32.19"/>
    <n v="0"/>
    <d v="2024-12-29T00:00:00"/>
  </r>
  <r>
    <s v="B03462"/>
    <s v="P107"/>
    <x v="12"/>
    <s v="Sold Out"/>
    <n v="12"/>
    <n v="12"/>
    <n v="0"/>
    <n v="0"/>
    <x v="844"/>
    <n v="96000"/>
    <n v="102.67"/>
    <n v="70200"/>
    <n v="25800"/>
    <n v="27.59"/>
    <n v="0"/>
    <d v="2025-01-24T00:00:00"/>
  </r>
  <r>
    <s v="B03463"/>
    <s v="P107"/>
    <x v="12"/>
    <s v="Sold Out"/>
    <n v="11"/>
    <n v="11"/>
    <n v="0"/>
    <n v="0"/>
    <x v="940"/>
    <n v="88000"/>
    <n v="94.12"/>
    <n v="64350"/>
    <n v="23650"/>
    <n v="25.29"/>
    <n v="0"/>
    <d v="2025-02-10T00:00:00"/>
  </r>
  <r>
    <s v="B03464"/>
    <s v="P107"/>
    <x v="12"/>
    <s v="Sold Out"/>
    <n v="11"/>
    <n v="11"/>
    <n v="0"/>
    <n v="0"/>
    <x v="412"/>
    <n v="88000"/>
    <n v="94.12"/>
    <n v="64350"/>
    <n v="23650"/>
    <n v="25.29"/>
    <n v="0"/>
    <d v="2025-03-07T00:00:00"/>
  </r>
  <r>
    <s v="B03465"/>
    <s v="P107"/>
    <x v="12"/>
    <s v="Partial Loss"/>
    <n v="11"/>
    <n v="10.19"/>
    <n v="0.81"/>
    <n v="7.4"/>
    <x v="941"/>
    <n v="81520"/>
    <n v="87.19"/>
    <n v="64350"/>
    <n v="17170"/>
    <n v="18.36"/>
    <n v="4738.5"/>
    <d v="2025-03-31T00:00:00"/>
  </r>
  <r>
    <s v="B03466"/>
    <s v="P107"/>
    <x v="12"/>
    <s v="Partial Loss"/>
    <n v="10"/>
    <n v="9.52"/>
    <n v="0.48"/>
    <n v="4.8"/>
    <x v="915"/>
    <n v="76160"/>
    <n v="81.45"/>
    <n v="58500"/>
    <n v="17660"/>
    <n v="18.89"/>
    <n v="2808"/>
    <d v="2025-04-19T00:00:00"/>
  </r>
  <r>
    <s v="B03467"/>
    <s v="P107"/>
    <x v="12"/>
    <s v="Sold Out"/>
    <n v="10"/>
    <n v="10"/>
    <n v="0"/>
    <n v="0"/>
    <x v="494"/>
    <n v="80000"/>
    <n v="85.56"/>
    <n v="63000"/>
    <n v="17000"/>
    <n v="18.18"/>
    <n v="0"/>
    <d v="2025-05-07T00:00:00"/>
  </r>
  <r>
    <s v="B03468"/>
    <s v="P107"/>
    <x v="12"/>
    <s v="Partial Loss"/>
    <n v="10"/>
    <n v="9.51"/>
    <n v="0.49"/>
    <n v="4.9000000000000004"/>
    <x v="942"/>
    <n v="76080"/>
    <n v="81.37"/>
    <n v="58500"/>
    <n v="17580"/>
    <n v="18.8"/>
    <n v="2866.5"/>
    <d v="2025-05-28T00:00:00"/>
  </r>
  <r>
    <s v="B03469"/>
    <s v="P107"/>
    <x v="12"/>
    <s v="Partial Loss"/>
    <n v="11"/>
    <n v="10.34"/>
    <n v="0.66"/>
    <n v="6"/>
    <x v="741"/>
    <n v="82720"/>
    <n v="88.47"/>
    <n v="64350"/>
    <n v="18370"/>
    <n v="19.649999999999999"/>
    <n v="3861"/>
    <d v="2025-06-14T00:00:00"/>
  </r>
  <r>
    <s v="B03470"/>
    <s v="P108"/>
    <x v="12"/>
    <s v="Sold Out"/>
    <n v="11"/>
    <n v="11"/>
    <n v="0"/>
    <n v="0"/>
    <x v="632"/>
    <n v="93500"/>
    <n v="100"/>
    <n v="71500"/>
    <n v="22000"/>
    <n v="23.53"/>
    <n v="0"/>
    <d v="2023-07-12T00:00:00"/>
  </r>
  <r>
    <s v="B03471"/>
    <s v="P108"/>
    <x v="12"/>
    <s v="Sold Out"/>
    <n v="9"/>
    <n v="9"/>
    <n v="0"/>
    <n v="0"/>
    <x v="246"/>
    <n v="76500"/>
    <n v="81.819999999999993"/>
    <n v="58500"/>
    <n v="18000"/>
    <n v="19.25"/>
    <n v="0"/>
    <d v="2023-08-01T00:00:00"/>
  </r>
  <r>
    <s v="B03472"/>
    <s v="P108"/>
    <x v="12"/>
    <s v="Partial Loss"/>
    <n v="11"/>
    <n v="10.119999999999999"/>
    <n v="0.88"/>
    <n v="8"/>
    <x v="356"/>
    <n v="86020"/>
    <n v="92"/>
    <n v="71500"/>
    <n v="14520"/>
    <n v="15.53"/>
    <n v="5720"/>
    <d v="2023-08-17T00:00:00"/>
  </r>
  <r>
    <s v="B03473"/>
    <s v="P108"/>
    <x v="12"/>
    <s v="Sold Out"/>
    <n v="13"/>
    <n v="13"/>
    <n v="0"/>
    <n v="0"/>
    <x v="567"/>
    <n v="110500"/>
    <n v="118.18"/>
    <n v="84500"/>
    <n v="26000"/>
    <n v="27.81"/>
    <n v="0"/>
    <d v="2023-09-05T00:00:00"/>
  </r>
  <r>
    <s v="B03474"/>
    <s v="P108"/>
    <x v="12"/>
    <s v="Sold Out"/>
    <n v="10"/>
    <n v="10"/>
    <n v="0"/>
    <n v="0"/>
    <x v="445"/>
    <n v="85000"/>
    <n v="90.91"/>
    <n v="65000"/>
    <n v="20000"/>
    <n v="21.39"/>
    <n v="0"/>
    <d v="2023-10-01T00:00:00"/>
  </r>
  <r>
    <s v="B03475"/>
    <s v="P108"/>
    <x v="12"/>
    <s v="Partial Loss"/>
    <n v="10"/>
    <n v="9.58"/>
    <n v="0.42"/>
    <n v="4.2"/>
    <x v="395"/>
    <n v="81430"/>
    <n v="87.09"/>
    <n v="65000"/>
    <n v="16430"/>
    <n v="17.57"/>
    <n v="2730"/>
    <d v="2023-10-23T00:00:00"/>
  </r>
  <r>
    <s v="B03476"/>
    <s v="P108"/>
    <x v="12"/>
    <s v="Partial Loss"/>
    <n v="9"/>
    <n v="8.26"/>
    <n v="0.74"/>
    <n v="8.1999999999999993"/>
    <x v="424"/>
    <n v="70210"/>
    <n v="75.09"/>
    <n v="58500"/>
    <n v="11710"/>
    <n v="12.52"/>
    <n v="4810"/>
    <d v="2023-11-14T00:00:00"/>
  </r>
  <r>
    <s v="B03477"/>
    <s v="P108"/>
    <x v="12"/>
    <s v="Sold Out"/>
    <n v="12"/>
    <n v="12"/>
    <n v="0"/>
    <n v="0"/>
    <x v="386"/>
    <n v="102000"/>
    <n v="109.09"/>
    <n v="78000"/>
    <n v="24000"/>
    <n v="25.67"/>
    <n v="0"/>
    <d v="2023-12-02T00:00:00"/>
  </r>
  <r>
    <s v="B03478"/>
    <s v="P108"/>
    <x v="12"/>
    <s v="Partial Loss"/>
    <n v="14"/>
    <n v="12.38"/>
    <n v="1.62"/>
    <n v="11.6"/>
    <x v="106"/>
    <n v="105230"/>
    <n v="112.55"/>
    <n v="91000"/>
    <n v="14230"/>
    <n v="15.22"/>
    <n v="10530"/>
    <d v="2023-12-27T00:00:00"/>
  </r>
  <r>
    <s v="B03479"/>
    <s v="P108"/>
    <x v="12"/>
    <s v="Sold Out"/>
    <n v="11"/>
    <n v="11"/>
    <n v="0"/>
    <n v="0"/>
    <x v="541"/>
    <n v="93500"/>
    <n v="100"/>
    <n v="71500"/>
    <n v="22000"/>
    <n v="23.53"/>
    <n v="0"/>
    <d v="2024-01-19T00:00:00"/>
  </r>
  <r>
    <s v="B03480"/>
    <s v="P108"/>
    <x v="12"/>
    <s v="Sold Out"/>
    <n v="10"/>
    <n v="10"/>
    <n v="0"/>
    <n v="0"/>
    <x v="390"/>
    <n v="85000"/>
    <n v="90.91"/>
    <n v="65000"/>
    <n v="20000"/>
    <n v="21.39"/>
    <n v="0"/>
    <d v="2024-02-09T00:00:00"/>
  </r>
  <r>
    <s v="B03481"/>
    <s v="P108"/>
    <x v="12"/>
    <s v="Sold Out"/>
    <n v="9"/>
    <n v="9"/>
    <n v="0"/>
    <n v="0"/>
    <x v="512"/>
    <n v="76500"/>
    <n v="81.819999999999993"/>
    <n v="58500"/>
    <n v="18000"/>
    <n v="19.25"/>
    <n v="0"/>
    <d v="2024-03-03T00:00:00"/>
  </r>
  <r>
    <s v="B03482"/>
    <s v="P108"/>
    <x v="12"/>
    <s v="Partial Loss"/>
    <n v="11"/>
    <n v="10.46"/>
    <n v="0.54"/>
    <n v="4.9000000000000004"/>
    <x v="763"/>
    <n v="88910"/>
    <n v="95.09"/>
    <n v="71500"/>
    <n v="17410"/>
    <n v="18.62"/>
    <n v="3510.0000000000005"/>
    <d v="2024-03-26T00:00:00"/>
  </r>
  <r>
    <s v="B03483"/>
    <s v="P108"/>
    <x v="12"/>
    <s v="Partial Loss"/>
    <n v="11"/>
    <n v="10.65"/>
    <n v="0.35"/>
    <n v="3.2"/>
    <x v="49"/>
    <n v="90525"/>
    <n v="96.82"/>
    <n v="71500"/>
    <n v="19025"/>
    <n v="20.350000000000001"/>
    <n v="2275"/>
    <d v="2024-04-22T00:00:00"/>
  </r>
  <r>
    <s v="B03484"/>
    <s v="P108"/>
    <x v="12"/>
    <s v="Sold Out"/>
    <n v="9"/>
    <n v="9"/>
    <n v="0"/>
    <n v="0"/>
    <x v="319"/>
    <n v="76500"/>
    <n v="81.819999999999993"/>
    <n v="58500"/>
    <n v="18000"/>
    <n v="19.25"/>
    <n v="0"/>
    <d v="2024-05-15T00:00:00"/>
  </r>
  <r>
    <s v="B03485"/>
    <s v="P108"/>
    <x v="12"/>
    <s v="Sold Out"/>
    <n v="11"/>
    <n v="11"/>
    <n v="0"/>
    <n v="0"/>
    <x v="271"/>
    <n v="93500"/>
    <n v="100"/>
    <n v="71500"/>
    <n v="22000"/>
    <n v="23.53"/>
    <n v="0"/>
    <d v="2024-06-05T00:00:00"/>
  </r>
  <r>
    <s v="B03486"/>
    <s v="P108"/>
    <x v="12"/>
    <s v="Sold Out"/>
    <n v="9"/>
    <n v="9"/>
    <n v="0"/>
    <n v="0"/>
    <x v="103"/>
    <n v="76500"/>
    <n v="81.819999999999993"/>
    <n v="58500"/>
    <n v="18000"/>
    <n v="19.25"/>
    <n v="0"/>
    <d v="2024-06-27T00:00:00"/>
  </r>
  <r>
    <s v="B03487"/>
    <s v="P108"/>
    <x v="12"/>
    <s v="Sold Out"/>
    <n v="9"/>
    <n v="9"/>
    <n v="0"/>
    <n v="0"/>
    <x v="459"/>
    <n v="76500"/>
    <n v="81.819999999999993"/>
    <n v="58500"/>
    <n v="18000"/>
    <n v="19.25"/>
    <n v="0"/>
    <d v="2024-07-20T00:00:00"/>
  </r>
  <r>
    <s v="B03488"/>
    <s v="P108"/>
    <x v="12"/>
    <s v="Partial Loss"/>
    <n v="11"/>
    <n v="10.81"/>
    <n v="0.19"/>
    <n v="1.7"/>
    <x v="409"/>
    <n v="91885"/>
    <n v="98.27"/>
    <n v="71500"/>
    <n v="20385"/>
    <n v="21.8"/>
    <n v="1235"/>
    <d v="2024-08-06T00:00:00"/>
  </r>
  <r>
    <s v="B03489"/>
    <s v="P108"/>
    <x v="12"/>
    <s v="Partial Loss"/>
    <n v="11"/>
    <n v="10.24"/>
    <n v="0.76"/>
    <n v="6.9"/>
    <x v="640"/>
    <n v="87040"/>
    <n v="93.09"/>
    <n v="71500"/>
    <n v="15540"/>
    <n v="16.62"/>
    <n v="4940"/>
    <d v="2024-08-25T00:00:00"/>
  </r>
  <r>
    <s v="B03490"/>
    <s v="P108"/>
    <x v="12"/>
    <s v="Sold Out"/>
    <n v="11"/>
    <n v="11"/>
    <n v="0"/>
    <n v="0"/>
    <x v="173"/>
    <n v="93500"/>
    <n v="100"/>
    <n v="71500"/>
    <n v="22000"/>
    <n v="23.53"/>
    <n v="0"/>
    <d v="2024-09-13T00:00:00"/>
  </r>
  <r>
    <s v="B03491"/>
    <s v="P108"/>
    <x v="12"/>
    <s v="Sold Out"/>
    <n v="9"/>
    <n v="9"/>
    <n v="0"/>
    <n v="0"/>
    <x v="428"/>
    <n v="76500"/>
    <n v="81.819999999999993"/>
    <n v="58500"/>
    <n v="18000"/>
    <n v="19.25"/>
    <n v="0"/>
    <d v="2024-10-06T00:00:00"/>
  </r>
  <r>
    <s v="B03492"/>
    <s v="P108"/>
    <x v="12"/>
    <s v="Sold Out"/>
    <n v="9"/>
    <n v="9"/>
    <n v="0"/>
    <n v="0"/>
    <x v="608"/>
    <n v="76500"/>
    <n v="81.819999999999993"/>
    <n v="58500"/>
    <n v="18000"/>
    <n v="19.25"/>
    <n v="0"/>
    <d v="2024-10-29T00:00:00"/>
  </r>
  <r>
    <s v="B03493"/>
    <s v="P108"/>
    <x v="12"/>
    <s v="Sold Out"/>
    <n v="9"/>
    <n v="9"/>
    <n v="0"/>
    <n v="0"/>
    <x v="430"/>
    <n v="76500"/>
    <n v="81.819999999999993"/>
    <n v="58500"/>
    <n v="18000"/>
    <n v="19.25"/>
    <n v="0"/>
    <d v="2024-11-16T00:00:00"/>
  </r>
  <r>
    <s v="B03494"/>
    <s v="P108"/>
    <x v="12"/>
    <s v="Sold Out"/>
    <n v="15"/>
    <n v="15"/>
    <n v="0"/>
    <n v="0"/>
    <x v="330"/>
    <n v="127500"/>
    <n v="136.36000000000001"/>
    <n v="97500"/>
    <n v="30000"/>
    <n v="32.090000000000003"/>
    <n v="0"/>
    <d v="2024-12-05T00:00:00"/>
  </r>
  <r>
    <s v="B03495"/>
    <s v="P108"/>
    <x v="12"/>
    <s v="Sold Out"/>
    <n v="13"/>
    <n v="13"/>
    <n v="0"/>
    <n v="0"/>
    <x v="229"/>
    <n v="110500"/>
    <n v="118.18"/>
    <n v="84500"/>
    <n v="26000"/>
    <n v="27.81"/>
    <n v="0"/>
    <d v="2024-12-28T00:00:00"/>
  </r>
  <r>
    <s v="B03496"/>
    <s v="P108"/>
    <x v="12"/>
    <s v="Sold Out"/>
    <n v="12"/>
    <n v="12"/>
    <n v="0"/>
    <n v="0"/>
    <x v="409"/>
    <n v="102000"/>
    <n v="109.09"/>
    <n v="78000"/>
    <n v="24000"/>
    <n v="25.67"/>
    <n v="0"/>
    <d v="2025-01-25T00:00:00"/>
  </r>
  <r>
    <s v="B03497"/>
    <s v="P108"/>
    <x v="12"/>
    <s v="Sold Out"/>
    <n v="12"/>
    <n v="12"/>
    <n v="0"/>
    <n v="0"/>
    <x v="583"/>
    <n v="102000"/>
    <n v="109.09"/>
    <n v="78000"/>
    <n v="24000"/>
    <n v="25.67"/>
    <n v="0"/>
    <d v="2025-02-13T00:00:00"/>
  </r>
  <r>
    <s v="B03498"/>
    <s v="P108"/>
    <x v="12"/>
    <s v="Partial Loss"/>
    <n v="11"/>
    <n v="9.65"/>
    <n v="1.35"/>
    <n v="12.3"/>
    <x v="929"/>
    <n v="82025"/>
    <n v="87.73"/>
    <n v="71500"/>
    <n v="10525"/>
    <n v="11.26"/>
    <n v="8775"/>
    <d v="2025-02-27T00:00:00"/>
  </r>
  <r>
    <s v="B03499"/>
    <s v="P108"/>
    <x v="12"/>
    <s v="Sold Out"/>
    <n v="12"/>
    <n v="12"/>
    <n v="0"/>
    <n v="0"/>
    <x v="187"/>
    <n v="102000"/>
    <n v="109.09"/>
    <n v="78000"/>
    <n v="24000"/>
    <n v="25.67"/>
    <n v="0"/>
    <d v="2025-03-17T00:00:00"/>
  </r>
  <r>
    <s v="B03500"/>
    <s v="P108"/>
    <x v="12"/>
    <s v="Partial Loss"/>
    <n v="10"/>
    <n v="9.59"/>
    <n v="0.41"/>
    <n v="4.0999999999999996"/>
    <x v="943"/>
    <n v="81515"/>
    <n v="87.18"/>
    <n v="65000"/>
    <n v="16515"/>
    <n v="17.66"/>
    <n v="2665"/>
    <d v="2025-04-01T00:00:00"/>
  </r>
  <r>
    <s v="B03501"/>
    <s v="P108"/>
    <x v="12"/>
    <s v="Sold Out"/>
    <n v="12"/>
    <n v="12"/>
    <n v="0"/>
    <n v="0"/>
    <x v="132"/>
    <n v="102000"/>
    <n v="109.09"/>
    <n v="78000"/>
    <n v="24000"/>
    <n v="25.67"/>
    <n v="0"/>
    <d v="2025-04-25T00:00:00"/>
  </r>
  <r>
    <s v="B03502"/>
    <s v="P108"/>
    <x v="12"/>
    <s v="Partial Loss"/>
    <n v="9"/>
    <n v="8.3800000000000008"/>
    <n v="0.62"/>
    <n v="6.9"/>
    <x v="934"/>
    <n v="71230"/>
    <n v="76.180000000000007"/>
    <n v="58500"/>
    <n v="12730"/>
    <n v="13.61"/>
    <n v="4030"/>
    <d v="2025-05-16T00:00:00"/>
  </r>
  <r>
    <s v="B03503"/>
    <s v="P108"/>
    <x v="12"/>
    <s v="Sold Out"/>
    <n v="11"/>
    <n v="11"/>
    <n v="0"/>
    <n v="0"/>
    <x v="646"/>
    <n v="93500"/>
    <n v="100"/>
    <n v="71500"/>
    <n v="22000"/>
    <n v="23.53"/>
    <n v="0"/>
    <d v="2025-06-08T00:00:00"/>
  </r>
  <r>
    <s v="B03504"/>
    <s v="P109"/>
    <x v="12"/>
    <s v="Sold Out"/>
    <n v="11"/>
    <n v="11"/>
    <n v="0"/>
    <n v="0"/>
    <x v="498"/>
    <n v="82500"/>
    <n v="88.24"/>
    <n v="59400"/>
    <n v="23100"/>
    <n v="24.71"/>
    <n v="0"/>
    <d v="2023-07-15T00:00:00"/>
  </r>
  <r>
    <s v="B03505"/>
    <s v="P109"/>
    <x v="12"/>
    <s v="Sold Out"/>
    <n v="10"/>
    <n v="10"/>
    <n v="0"/>
    <n v="0"/>
    <x v="246"/>
    <n v="75000"/>
    <n v="80.209999999999994"/>
    <n v="54000"/>
    <n v="21000"/>
    <n v="22.46"/>
    <n v="0"/>
    <d v="2023-08-07T00:00:00"/>
  </r>
  <r>
    <s v="B03506"/>
    <s v="P109"/>
    <x v="12"/>
    <s v="Sold Out"/>
    <n v="11"/>
    <n v="11"/>
    <n v="0"/>
    <n v="0"/>
    <x v="249"/>
    <n v="82500"/>
    <n v="88.24"/>
    <n v="59400"/>
    <n v="23100"/>
    <n v="24.71"/>
    <n v="0"/>
    <d v="2023-09-01T00:00:00"/>
  </r>
  <r>
    <s v="B03507"/>
    <s v="P109"/>
    <x v="12"/>
    <s v="Partial Loss"/>
    <n v="11"/>
    <n v="10.78"/>
    <n v="0.22"/>
    <n v="2"/>
    <x v="27"/>
    <n v="80850"/>
    <n v="86.47"/>
    <n v="59400"/>
    <n v="21450"/>
    <n v="22.94"/>
    <n v="1188"/>
    <d v="2023-09-23T00:00:00"/>
  </r>
  <r>
    <s v="B03508"/>
    <s v="P109"/>
    <x v="12"/>
    <s v="Sold Out"/>
    <n v="10"/>
    <n v="10"/>
    <n v="0"/>
    <n v="0"/>
    <x v="147"/>
    <n v="75000"/>
    <n v="80.209999999999994"/>
    <n v="54000"/>
    <n v="21000"/>
    <n v="22.46"/>
    <n v="0"/>
    <d v="2023-10-10T00:00:00"/>
  </r>
  <r>
    <s v="B03509"/>
    <s v="P109"/>
    <x v="12"/>
    <s v="Partial Loss"/>
    <n v="9"/>
    <n v="8.17"/>
    <n v="0.83"/>
    <n v="9.1999999999999993"/>
    <x v="267"/>
    <n v="61275"/>
    <n v="65.53"/>
    <n v="48600"/>
    <n v="12675"/>
    <n v="13.56"/>
    <n v="4482"/>
    <d v="2023-11-02T00:00:00"/>
  </r>
  <r>
    <s v="B03510"/>
    <s v="P109"/>
    <x v="12"/>
    <s v="Partial Loss"/>
    <n v="10"/>
    <n v="9.58"/>
    <n v="0.42"/>
    <n v="4.2"/>
    <x v="30"/>
    <n v="71850"/>
    <n v="76.84"/>
    <n v="54000"/>
    <n v="17850"/>
    <n v="19.09"/>
    <n v="2268"/>
    <d v="2023-11-26T00:00:00"/>
  </r>
  <r>
    <s v="B03511"/>
    <s v="P109"/>
    <x v="12"/>
    <s v="Partial Loss"/>
    <n v="13"/>
    <n v="12.34"/>
    <n v="0.66"/>
    <n v="5.0999999999999996"/>
    <x v="397"/>
    <n v="92550"/>
    <n v="98.98"/>
    <n v="70850"/>
    <n v="21700"/>
    <n v="23.21"/>
    <n v="3597"/>
    <d v="2023-12-18T00:00:00"/>
  </r>
  <r>
    <s v="B03512"/>
    <s v="P109"/>
    <x v="12"/>
    <s v="Partial Loss"/>
    <n v="11"/>
    <n v="9.61"/>
    <n v="1.39"/>
    <n v="12.6"/>
    <x v="268"/>
    <n v="72075"/>
    <n v="77.09"/>
    <n v="59400"/>
    <n v="12675"/>
    <n v="13.56"/>
    <n v="7505.9999999999991"/>
    <d v="2024-01-06T00:00:00"/>
  </r>
  <r>
    <s v="B03513"/>
    <s v="P109"/>
    <x v="12"/>
    <s v="Sold Out"/>
    <n v="9"/>
    <n v="9"/>
    <n v="0"/>
    <n v="0"/>
    <x v="481"/>
    <n v="67500"/>
    <n v="72.19"/>
    <n v="48600"/>
    <n v="18900"/>
    <n v="20.21"/>
    <n v="0"/>
    <d v="2024-01-30T00:00:00"/>
  </r>
  <r>
    <s v="B03514"/>
    <s v="P109"/>
    <x v="12"/>
    <s v="Sold Out"/>
    <n v="9"/>
    <n v="9"/>
    <n v="0"/>
    <n v="0"/>
    <x v="543"/>
    <n v="67500"/>
    <n v="72.19"/>
    <n v="48600"/>
    <n v="18900"/>
    <n v="20.21"/>
    <n v="0"/>
    <d v="2024-02-16T00:00:00"/>
  </r>
  <r>
    <s v="B03515"/>
    <s v="P109"/>
    <x v="12"/>
    <s v="Sold Out"/>
    <n v="11"/>
    <n v="11"/>
    <n v="0"/>
    <n v="0"/>
    <x v="545"/>
    <n v="82500"/>
    <n v="88.24"/>
    <n v="59400"/>
    <n v="23100"/>
    <n v="24.71"/>
    <n v="0"/>
    <d v="2024-03-08T00:00:00"/>
  </r>
  <r>
    <s v="B03516"/>
    <s v="P109"/>
    <x v="12"/>
    <s v="Sold Out"/>
    <n v="10"/>
    <n v="10"/>
    <n v="0"/>
    <n v="0"/>
    <x v="263"/>
    <n v="75000"/>
    <n v="80.209999999999994"/>
    <n v="54000"/>
    <n v="21000"/>
    <n v="22.46"/>
    <n v="0"/>
    <d v="2024-03-24T00:00:00"/>
  </r>
  <r>
    <s v="B03517"/>
    <s v="P109"/>
    <x v="12"/>
    <s v="Partial Loss"/>
    <n v="9"/>
    <n v="8.5500000000000007"/>
    <n v="0.45"/>
    <n v="5"/>
    <x v="937"/>
    <n v="64125"/>
    <n v="68.58"/>
    <n v="48600"/>
    <n v="15525"/>
    <n v="16.600000000000001"/>
    <n v="2430"/>
    <d v="2024-04-05T00:00:00"/>
  </r>
  <r>
    <s v="B03518"/>
    <s v="P109"/>
    <x v="12"/>
    <s v="Partial Loss"/>
    <n v="10"/>
    <n v="9.84"/>
    <n v="0.16"/>
    <n v="1.6"/>
    <x v="578"/>
    <n v="73800"/>
    <n v="78.930000000000007"/>
    <n v="54000"/>
    <n v="19800"/>
    <n v="21.18"/>
    <n v="864"/>
    <d v="2024-04-19T00:00:00"/>
  </r>
  <r>
    <s v="B03519"/>
    <s v="P109"/>
    <x v="12"/>
    <s v="Sold Out"/>
    <n v="11"/>
    <n v="11"/>
    <n v="0"/>
    <n v="0"/>
    <x v="98"/>
    <n v="82500"/>
    <n v="88.24"/>
    <n v="59400"/>
    <n v="23100"/>
    <n v="24.71"/>
    <n v="0"/>
    <d v="2024-05-08T00:00:00"/>
  </r>
  <r>
    <s v="B03520"/>
    <s v="P109"/>
    <x v="12"/>
    <s v="Sold Out"/>
    <n v="9"/>
    <n v="9"/>
    <n v="0"/>
    <n v="0"/>
    <x v="486"/>
    <n v="67500"/>
    <n v="72.19"/>
    <n v="48600"/>
    <n v="18900"/>
    <n v="20.21"/>
    <n v="0"/>
    <d v="2024-05-30T00:00:00"/>
  </r>
  <r>
    <s v="B03521"/>
    <s v="P109"/>
    <x v="12"/>
    <s v="Sold Out"/>
    <n v="9"/>
    <n v="9"/>
    <n v="0"/>
    <n v="0"/>
    <x v="107"/>
    <n v="67500"/>
    <n v="72.19"/>
    <n v="48600"/>
    <n v="18900"/>
    <n v="20.21"/>
    <n v="0"/>
    <d v="2024-06-15T00:00:00"/>
  </r>
  <r>
    <s v="B03522"/>
    <s v="P109"/>
    <x v="12"/>
    <s v="Partial Loss"/>
    <n v="9"/>
    <n v="8.33"/>
    <n v="0.67"/>
    <n v="7.5"/>
    <x v="611"/>
    <n v="62475"/>
    <n v="66.819999999999993"/>
    <n v="48600"/>
    <n v="13875"/>
    <n v="14.84"/>
    <n v="3618"/>
    <d v="2024-07-05T00:00:00"/>
  </r>
  <r>
    <s v="B03523"/>
    <s v="P109"/>
    <x v="12"/>
    <s v="Sold Out"/>
    <n v="10"/>
    <n v="10"/>
    <n v="0"/>
    <n v="0"/>
    <x v="426"/>
    <n v="75000"/>
    <n v="80.209999999999994"/>
    <n v="54000"/>
    <n v="21000"/>
    <n v="22.46"/>
    <n v="0"/>
    <d v="2024-07-23T00:00:00"/>
  </r>
  <r>
    <s v="B03524"/>
    <s v="P109"/>
    <x v="12"/>
    <s v="Sold Out"/>
    <n v="10"/>
    <n v="10"/>
    <n v="0"/>
    <n v="0"/>
    <x v="326"/>
    <n v="75000"/>
    <n v="80.209999999999994"/>
    <n v="54000"/>
    <n v="21000"/>
    <n v="22.46"/>
    <n v="0"/>
    <d v="2024-08-15T00:00:00"/>
  </r>
  <r>
    <s v="B03525"/>
    <s v="P109"/>
    <x v="12"/>
    <s v="Sold Out"/>
    <n v="13"/>
    <n v="13"/>
    <n v="0"/>
    <n v="0"/>
    <x v="323"/>
    <n v="97500"/>
    <n v="104.28"/>
    <n v="70200"/>
    <n v="27300"/>
    <n v="29.2"/>
    <n v="0"/>
    <d v="2024-09-02T00:00:00"/>
  </r>
  <r>
    <s v="B03526"/>
    <s v="P109"/>
    <x v="12"/>
    <s v="Partial Loss"/>
    <n v="11"/>
    <n v="10.130000000000001"/>
    <n v="0.87"/>
    <n v="7.9"/>
    <x v="131"/>
    <n v="75975"/>
    <n v="81.260000000000005"/>
    <n v="59400"/>
    <n v="16575"/>
    <n v="17.73"/>
    <n v="4698"/>
    <d v="2024-09-25T00:00:00"/>
  </r>
  <r>
    <s v="B03527"/>
    <s v="P109"/>
    <x v="12"/>
    <s v="Partial Loss"/>
    <n v="10"/>
    <n v="8.9700000000000006"/>
    <n v="1.03"/>
    <n v="10.3"/>
    <x v="436"/>
    <n v="67275"/>
    <n v="71.95"/>
    <n v="54000"/>
    <n v="13275"/>
    <n v="14.2"/>
    <n v="5562"/>
    <d v="2024-10-16T00:00:00"/>
  </r>
  <r>
    <s v="B03528"/>
    <s v="P109"/>
    <x v="12"/>
    <s v="Sold Out"/>
    <n v="11"/>
    <n v="11"/>
    <n v="0"/>
    <n v="0"/>
    <x v="48"/>
    <n v="82500"/>
    <n v="88.24"/>
    <n v="59400"/>
    <n v="23100"/>
    <n v="24.71"/>
    <n v="0"/>
    <d v="2024-10-31T00:00:00"/>
  </r>
  <r>
    <s v="B03529"/>
    <s v="P109"/>
    <x v="12"/>
    <s v="Partial Loss"/>
    <n v="11"/>
    <n v="9.82"/>
    <n v="1.18"/>
    <n v="10.7"/>
    <x v="242"/>
    <n v="73650"/>
    <n v="78.77"/>
    <n v="59400"/>
    <n v="14250"/>
    <n v="15.24"/>
    <n v="6372"/>
    <d v="2024-11-17T00:00:00"/>
  </r>
  <r>
    <s v="B03530"/>
    <s v="P109"/>
    <x v="12"/>
    <s v="Partial Loss"/>
    <n v="13"/>
    <n v="12.09"/>
    <n v="0.91"/>
    <n v="7"/>
    <x v="495"/>
    <n v="90675"/>
    <n v="96.98"/>
    <n v="70200"/>
    <n v="20475"/>
    <n v="21.9"/>
    <n v="4914"/>
    <d v="2024-12-04T00:00:00"/>
  </r>
  <r>
    <s v="B03531"/>
    <s v="P109"/>
    <x v="12"/>
    <s v="Partial Loss"/>
    <n v="14"/>
    <n v="12.8"/>
    <n v="1.2"/>
    <n v="8.6"/>
    <x v="439"/>
    <n v="96000"/>
    <n v="102.67"/>
    <n v="75600"/>
    <n v="20400"/>
    <n v="21.82"/>
    <n v="6480"/>
    <d v="2024-12-23T00:00:00"/>
  </r>
  <r>
    <s v="B03532"/>
    <s v="P109"/>
    <x v="12"/>
    <s v="Partial Loss"/>
    <n v="11"/>
    <n v="9.61"/>
    <n v="1.39"/>
    <n v="12.6"/>
    <x v="529"/>
    <n v="72075"/>
    <n v="77.09"/>
    <n v="59400"/>
    <n v="12675"/>
    <n v="13.56"/>
    <n v="7505.9999999999991"/>
    <d v="2025-01-08T00:00:00"/>
  </r>
  <r>
    <s v="B03533"/>
    <s v="P109"/>
    <x v="12"/>
    <s v="Sold Out"/>
    <n v="12"/>
    <n v="12"/>
    <n v="0"/>
    <n v="0"/>
    <x v="865"/>
    <n v="90000"/>
    <n v="96.26"/>
    <n v="64800"/>
    <n v="25200"/>
    <n v="26.95"/>
    <n v="0"/>
    <d v="2025-01-31T00:00:00"/>
  </r>
  <r>
    <s v="B03534"/>
    <s v="P109"/>
    <x v="12"/>
    <s v="Partial Loss"/>
    <n v="10"/>
    <n v="9.4499999999999993"/>
    <n v="0.55000000000000004"/>
    <n v="5.5"/>
    <x v="245"/>
    <n v="70875"/>
    <n v="75.8"/>
    <n v="54000"/>
    <n v="16875"/>
    <n v="18.05"/>
    <n v="2970.0000000000005"/>
    <d v="2025-02-14T00:00:00"/>
  </r>
  <r>
    <s v="B03535"/>
    <s v="P109"/>
    <x v="12"/>
    <s v="Sold Out"/>
    <n v="9"/>
    <n v="9"/>
    <n v="0"/>
    <n v="0"/>
    <x v="289"/>
    <n v="67500"/>
    <n v="72.19"/>
    <n v="48600"/>
    <n v="18900"/>
    <n v="20.21"/>
    <n v="0"/>
    <d v="2025-03-10T00:00:00"/>
  </r>
  <r>
    <s v="B03536"/>
    <s v="P109"/>
    <x v="12"/>
    <s v="Partial Loss"/>
    <n v="11"/>
    <n v="10.01"/>
    <n v="0.99"/>
    <n v="9"/>
    <x v="941"/>
    <n v="75075"/>
    <n v="80.290000000000006"/>
    <n v="59400"/>
    <n v="15675"/>
    <n v="16.760000000000002"/>
    <n v="5346"/>
    <d v="2025-03-31T00:00:00"/>
  </r>
  <r>
    <s v="B03537"/>
    <s v="P109"/>
    <x v="12"/>
    <s v="Sold Out"/>
    <n v="10"/>
    <n v="10"/>
    <n v="0"/>
    <n v="0"/>
    <x v="136"/>
    <n v="75000"/>
    <n v="80.209999999999994"/>
    <n v="54000"/>
    <n v="21000"/>
    <n v="22.46"/>
    <n v="0"/>
    <d v="2025-04-20T00:00:00"/>
  </r>
  <r>
    <s v="B03538"/>
    <s v="P109"/>
    <x v="12"/>
    <s v="Partial Loss"/>
    <n v="12"/>
    <n v="11.71"/>
    <n v="0.28999999999999998"/>
    <n v="2.4"/>
    <x v="779"/>
    <n v="87825"/>
    <n v="93.93"/>
    <n v="64800"/>
    <n v="23025"/>
    <n v="24.63"/>
    <n v="1566"/>
    <d v="2025-05-11T00:00:00"/>
  </r>
  <r>
    <s v="B03539"/>
    <s v="P109"/>
    <x v="12"/>
    <s v="Partial Loss"/>
    <n v="12"/>
    <n v="11.33"/>
    <n v="0.67"/>
    <n v="5.6"/>
    <x v="637"/>
    <n v="84975"/>
    <n v="90.88"/>
    <n v="64800"/>
    <n v="20175"/>
    <n v="21.58"/>
    <n v="3618"/>
    <d v="2025-05-30T00:00:00"/>
  </r>
  <r>
    <s v="B03540"/>
    <s v="P109"/>
    <x v="12"/>
    <s v="Sold Out"/>
    <n v="10"/>
    <n v="10"/>
    <n v="0"/>
    <n v="0"/>
    <x v="339"/>
    <n v="75000"/>
    <n v="80.209999999999994"/>
    <n v="54000"/>
    <n v="21000"/>
    <n v="22.46"/>
    <n v="0"/>
    <d v="2025-06-18T00:00:00"/>
  </r>
  <r>
    <s v="B03541"/>
    <s v="P110"/>
    <x v="12"/>
    <s v="Sold Out"/>
    <n v="15"/>
    <n v="15"/>
    <n v="0"/>
    <n v="0"/>
    <x v="837"/>
    <n v="210000"/>
    <n v="224.6"/>
    <n v="149250"/>
    <n v="60750"/>
    <n v="64.97"/>
    <n v="0"/>
    <d v="2023-07-19T00:00:00"/>
  </r>
  <r>
    <s v="B03542"/>
    <s v="P110"/>
    <x v="12"/>
    <s v="Partial Loss"/>
    <n v="14"/>
    <n v="13.51"/>
    <n v="0.49"/>
    <n v="3.5"/>
    <x v="309"/>
    <n v="189140"/>
    <n v="202.29"/>
    <n v="139300"/>
    <n v="49840"/>
    <n v="53.3"/>
    <n v="4875.5"/>
    <d v="2023-08-03T00:00:00"/>
  </r>
  <r>
    <s v="B03543"/>
    <s v="P110"/>
    <x v="12"/>
    <s v="Sold Out"/>
    <n v="16"/>
    <n v="16"/>
    <n v="0"/>
    <n v="0"/>
    <x v="566"/>
    <n v="224000"/>
    <n v="239.57"/>
    <n v="159200"/>
    <n v="64800"/>
    <n v="69.3"/>
    <n v="0"/>
    <d v="2023-08-28T00:00:00"/>
  </r>
  <r>
    <s v="B03544"/>
    <s v="P110"/>
    <x v="12"/>
    <s v="Partial Loss"/>
    <n v="20"/>
    <n v="19.02"/>
    <n v="0.98"/>
    <n v="4.9000000000000004"/>
    <x v="545"/>
    <n v="266280"/>
    <n v="284.79000000000002"/>
    <n v="199000"/>
    <n v="67280"/>
    <n v="71.959999999999994"/>
    <n v="9751"/>
    <d v="2023-09-18T00:00:00"/>
  </r>
  <r>
    <s v="B03545"/>
    <s v="P110"/>
    <x v="12"/>
    <s v="Sold Out"/>
    <n v="6"/>
    <n v="6"/>
    <n v="0"/>
    <n v="0"/>
    <x v="301"/>
    <n v="84000"/>
    <n v="89.84"/>
    <n v="59700"/>
    <n v="24300"/>
    <n v="25.99"/>
    <n v="0"/>
    <d v="2023-10-09T00:00:00"/>
  </r>
  <r>
    <s v="B03546"/>
    <s v="P110"/>
    <x v="12"/>
    <s v="Sold Out"/>
    <n v="6"/>
    <n v="6"/>
    <n v="0"/>
    <n v="0"/>
    <x v="303"/>
    <n v="84000"/>
    <n v="89.84"/>
    <n v="59700"/>
    <n v="24300"/>
    <n v="25.99"/>
    <n v="0"/>
    <d v="2023-10-28T00:00:00"/>
  </r>
  <r>
    <s v="B03547"/>
    <s v="P110"/>
    <x v="12"/>
    <s v="Partial Loss"/>
    <n v="7"/>
    <n v="6.13"/>
    <n v="0.87"/>
    <n v="12.4"/>
    <x v="784"/>
    <n v="85820"/>
    <n v="91.79"/>
    <n v="69650"/>
    <n v="16170"/>
    <n v="17.29"/>
    <n v="8656.5"/>
    <d v="2023-11-19T00:00:00"/>
  </r>
  <r>
    <s v="B03548"/>
    <s v="P110"/>
    <x v="12"/>
    <s v="Partial Loss"/>
    <n v="9"/>
    <n v="7.93"/>
    <n v="1.07"/>
    <n v="11.9"/>
    <x v="755"/>
    <n v="111020"/>
    <n v="118.74"/>
    <n v="89550"/>
    <n v="21470"/>
    <n v="22.96"/>
    <n v="10646.5"/>
    <d v="2023-12-07T00:00:00"/>
  </r>
  <r>
    <s v="B03549"/>
    <s v="P110"/>
    <x v="12"/>
    <s v="Partial Loss"/>
    <n v="7"/>
    <n v="6.06"/>
    <n v="0.94"/>
    <n v="13.4"/>
    <x v="622"/>
    <n v="84840"/>
    <n v="90.74"/>
    <n v="69650"/>
    <n v="15190"/>
    <n v="16.25"/>
    <n v="9353"/>
    <d v="2023-12-23T00:00:00"/>
  </r>
  <r>
    <s v="B03550"/>
    <s v="P110"/>
    <x v="12"/>
    <s v="Partial Loss"/>
    <n v="6"/>
    <n v="4.88"/>
    <n v="1.1200000000000001"/>
    <n v="18.7"/>
    <x v="171"/>
    <n v="68320"/>
    <n v="73.069999999999993"/>
    <n v="59700"/>
    <n v="8620"/>
    <n v="9.2200000000000006"/>
    <n v="11144.000000000002"/>
    <d v="2024-01-19T00:00:00"/>
  </r>
  <r>
    <s v="B03551"/>
    <s v="P110"/>
    <x v="12"/>
    <s v="Sold Out"/>
    <n v="6"/>
    <n v="6"/>
    <n v="0"/>
    <n v="0"/>
    <x v="358"/>
    <n v="84000"/>
    <n v="89.84"/>
    <n v="59700"/>
    <n v="24300"/>
    <n v="25.99"/>
    <n v="0"/>
    <d v="2024-02-12T00:00:00"/>
  </r>
  <r>
    <s v="B03552"/>
    <s v="P110"/>
    <x v="12"/>
    <s v="Sold Out"/>
    <n v="6"/>
    <n v="6"/>
    <n v="0"/>
    <n v="0"/>
    <x v="702"/>
    <n v="84000"/>
    <n v="89.84"/>
    <n v="59700"/>
    <n v="24300"/>
    <n v="25.99"/>
    <n v="0"/>
    <d v="2024-02-29T00:00:00"/>
  </r>
  <r>
    <s v="B03553"/>
    <s v="P110"/>
    <x v="12"/>
    <s v="Sold Out"/>
    <n v="5"/>
    <n v="5"/>
    <n v="0"/>
    <n v="0"/>
    <x v="783"/>
    <n v="70000"/>
    <n v="74.87"/>
    <n v="49750"/>
    <n v="20250"/>
    <n v="21.66"/>
    <n v="0"/>
    <d v="2024-03-23T00:00:00"/>
  </r>
  <r>
    <s v="B03554"/>
    <s v="P110"/>
    <x v="12"/>
    <s v="Partial Loss"/>
    <n v="16"/>
    <n v="14.96"/>
    <n v="1.04"/>
    <n v="6.5"/>
    <x v="427"/>
    <n v="209440"/>
    <n v="224"/>
    <n v="180800"/>
    <n v="28640"/>
    <n v="30.63"/>
    <n v="11752"/>
    <d v="2024-04-14T00:00:00"/>
  </r>
  <r>
    <s v="B03555"/>
    <s v="P110"/>
    <x v="12"/>
    <s v="Sold Out"/>
    <n v="16"/>
    <n v="16"/>
    <n v="0"/>
    <n v="0"/>
    <x v="600"/>
    <n v="224000"/>
    <n v="239.57"/>
    <n v="180800"/>
    <n v="43200"/>
    <n v="46.2"/>
    <n v="0"/>
    <d v="2024-05-04T00:00:00"/>
  </r>
  <r>
    <s v="B03556"/>
    <s v="P110"/>
    <x v="12"/>
    <s v="Sold Out"/>
    <n v="15"/>
    <n v="15"/>
    <n v="0"/>
    <n v="0"/>
    <x v="105"/>
    <n v="210000"/>
    <n v="224.6"/>
    <n v="149250"/>
    <n v="60750"/>
    <n v="64.97"/>
    <n v="0"/>
    <d v="2024-05-21T00:00:00"/>
  </r>
  <r>
    <s v="B03557"/>
    <s v="P110"/>
    <x v="12"/>
    <s v="Sold Out"/>
    <n v="18"/>
    <n v="18"/>
    <n v="0"/>
    <n v="0"/>
    <x v="107"/>
    <n v="252000"/>
    <n v="269.52"/>
    <n v="179100"/>
    <n v="72900"/>
    <n v="77.97"/>
    <n v="0"/>
    <d v="2024-06-19T00:00:00"/>
  </r>
  <r>
    <s v="B03558"/>
    <s v="P110"/>
    <x v="12"/>
    <s v="Sold Out"/>
    <n v="18"/>
    <n v="18"/>
    <n v="0"/>
    <n v="0"/>
    <x v="36"/>
    <n v="252000"/>
    <n v="269.52"/>
    <n v="179100"/>
    <n v="72900"/>
    <n v="77.97"/>
    <n v="0"/>
    <d v="2024-07-08T00:00:00"/>
  </r>
  <r>
    <s v="B03559"/>
    <s v="P110"/>
    <x v="12"/>
    <s v="Partial Loss"/>
    <n v="15"/>
    <n v="14.4"/>
    <n v="0.6"/>
    <n v="4"/>
    <x v="644"/>
    <n v="201600"/>
    <n v="215.61"/>
    <n v="169500"/>
    <n v="32100"/>
    <n v="34.33"/>
    <n v="6780"/>
    <d v="2024-07-29T00:00:00"/>
  </r>
  <r>
    <s v="B03560"/>
    <s v="P110"/>
    <x v="12"/>
    <s v="Sold Out"/>
    <n v="14"/>
    <n v="14"/>
    <n v="0"/>
    <n v="0"/>
    <x v="603"/>
    <n v="196000"/>
    <n v="209.63"/>
    <n v="139300"/>
    <n v="56700"/>
    <n v="60.64"/>
    <n v="0"/>
    <d v="2024-08-20T00:00:00"/>
  </r>
  <r>
    <s v="B03561"/>
    <s v="P110"/>
    <x v="12"/>
    <s v="Sold Out"/>
    <n v="17"/>
    <n v="17"/>
    <n v="0"/>
    <n v="0"/>
    <x v="223"/>
    <n v="238000"/>
    <n v="254.55"/>
    <n v="169150"/>
    <n v="68850"/>
    <n v="73.64"/>
    <n v="0"/>
    <d v="2024-09-10T00:00:00"/>
  </r>
  <r>
    <s v="B03562"/>
    <s v="P110"/>
    <x v="12"/>
    <s v="Sold Out"/>
    <n v="6"/>
    <n v="6"/>
    <n v="0"/>
    <n v="0"/>
    <x v="44"/>
    <n v="84000"/>
    <n v="89.84"/>
    <n v="59700"/>
    <n v="24300"/>
    <n v="25.99"/>
    <n v="0"/>
    <d v="2024-10-03T00:00:00"/>
  </r>
  <r>
    <s v="B03563"/>
    <s v="P110"/>
    <x v="12"/>
    <s v="Partial Loss"/>
    <n v="5"/>
    <n v="4.5999999999999996"/>
    <n v="0.41"/>
    <n v="8.1"/>
    <x v="817"/>
    <n v="64400"/>
    <n v="68.88"/>
    <n v="49750"/>
    <n v="14650"/>
    <n v="15.67"/>
    <n v="4079.4999999999995"/>
    <d v="2024-10-20T00:00:00"/>
  </r>
  <r>
    <s v="B03564"/>
    <s v="P110"/>
    <x v="12"/>
    <s v="Partial Loss"/>
    <n v="6"/>
    <n v="5.45"/>
    <n v="0.55000000000000004"/>
    <n v="9.1999999999999993"/>
    <x v="66"/>
    <n v="76300"/>
    <n v="81.599999999999994"/>
    <n v="59700"/>
    <n v="16600"/>
    <n v="17.75"/>
    <n v="5472.5"/>
    <d v="2024-11-11T00:00:00"/>
  </r>
  <r>
    <s v="B03565"/>
    <s v="P110"/>
    <x v="12"/>
    <s v="Partial Loss"/>
    <n v="7"/>
    <n v="6.08"/>
    <n v="0.92"/>
    <n v="13.1"/>
    <x v="495"/>
    <n v="85120"/>
    <n v="91.04"/>
    <n v="69650"/>
    <n v="15470"/>
    <n v="16.55"/>
    <n v="9154"/>
    <d v="2024-12-04T00:00:00"/>
  </r>
  <r>
    <s v="B03566"/>
    <s v="P110"/>
    <x v="12"/>
    <s v="Partial Loss"/>
    <n v="7"/>
    <n v="6.24"/>
    <n v="0.76"/>
    <n v="10.8"/>
    <x v="528"/>
    <n v="87360"/>
    <n v="93.43"/>
    <n v="79100"/>
    <n v="8260"/>
    <n v="8.83"/>
    <n v="8588"/>
    <d v="2024-12-22T00:00:00"/>
  </r>
  <r>
    <s v="B03567"/>
    <s v="P110"/>
    <x v="12"/>
    <s v="Sold Out"/>
    <n v="7"/>
    <n v="7"/>
    <n v="0"/>
    <n v="0"/>
    <x v="715"/>
    <n v="98000"/>
    <n v="104.81"/>
    <n v="69650"/>
    <n v="28350"/>
    <n v="30.32"/>
    <n v="0"/>
    <d v="2025-01-07T00:00:00"/>
  </r>
  <r>
    <s v="B03568"/>
    <s v="P110"/>
    <x v="12"/>
    <s v="Partial Loss"/>
    <n v="6"/>
    <n v="5.45"/>
    <n v="0.55000000000000004"/>
    <n v="9.1999999999999993"/>
    <x v="74"/>
    <n v="76300"/>
    <n v="81.599999999999994"/>
    <n v="59700"/>
    <n v="16600"/>
    <n v="17.75"/>
    <n v="5472.5"/>
    <d v="2025-01-28T00:00:00"/>
  </r>
  <r>
    <s v="B03569"/>
    <s v="P110"/>
    <x v="12"/>
    <s v="Partial Loss"/>
    <n v="7"/>
    <n v="6.09"/>
    <n v="0.91"/>
    <n v="13"/>
    <x v="944"/>
    <n v="85260"/>
    <n v="91.19"/>
    <n v="69650"/>
    <n v="15610"/>
    <n v="16.7"/>
    <n v="9054.5"/>
    <d v="2025-02-18T00:00:00"/>
  </r>
  <r>
    <s v="B03570"/>
    <s v="P110"/>
    <x v="12"/>
    <s v="Partial Loss"/>
    <n v="7"/>
    <n v="6.59"/>
    <n v="0.41"/>
    <n v="5.8"/>
    <x v="924"/>
    <n v="92260"/>
    <n v="98.67"/>
    <n v="69650"/>
    <n v="22610"/>
    <n v="24.18"/>
    <n v="4079.4999999999995"/>
    <d v="2025-03-08T00:00:00"/>
  </r>
  <r>
    <s v="B03571"/>
    <s v="P110"/>
    <x v="12"/>
    <s v="Sold Out"/>
    <n v="6"/>
    <n v="6"/>
    <n v="0"/>
    <n v="0"/>
    <x v="190"/>
    <n v="84000"/>
    <n v="89.84"/>
    <n v="67800"/>
    <n v="16200"/>
    <n v="17.329999999999998"/>
    <n v="0"/>
    <d v="2025-03-31T00:00:00"/>
  </r>
  <r>
    <s v="B03572"/>
    <s v="P110"/>
    <x v="12"/>
    <s v="Sold Out"/>
    <n v="15"/>
    <n v="15"/>
    <n v="0"/>
    <n v="0"/>
    <x v="468"/>
    <n v="210000"/>
    <n v="224.6"/>
    <n v="149250"/>
    <n v="60750"/>
    <n v="64.97"/>
    <n v="0"/>
    <d v="2025-04-17T00:00:00"/>
  </r>
  <r>
    <s v="B03573"/>
    <s v="P110"/>
    <x v="12"/>
    <s v="Sold Out"/>
    <n v="20"/>
    <n v="20"/>
    <n v="0"/>
    <n v="0"/>
    <x v="242"/>
    <n v="280000"/>
    <n v="299.47000000000003"/>
    <n v="199000"/>
    <n v="81000"/>
    <n v="86.63"/>
    <n v="0"/>
    <d v="2025-05-07T00:00:00"/>
  </r>
  <r>
    <s v="B03574"/>
    <s v="P110"/>
    <x v="12"/>
    <s v="Sold Out"/>
    <n v="16"/>
    <n v="16"/>
    <n v="0"/>
    <n v="0"/>
    <x v="616"/>
    <n v="224000"/>
    <n v="239.57"/>
    <n v="159200"/>
    <n v="64800"/>
    <n v="69.3"/>
    <n v="0"/>
    <d v="2025-05-30T00:00:00"/>
  </r>
  <r>
    <s v="B03575"/>
    <s v="P110"/>
    <x v="12"/>
    <s v="Sold Out"/>
    <n v="18"/>
    <n v="18"/>
    <n v="0"/>
    <n v="0"/>
    <x v="440"/>
    <n v="252000"/>
    <n v="269.52"/>
    <n v="179100"/>
    <n v="72900"/>
    <n v="77.97"/>
    <n v="0"/>
    <d v="2025-06-21T00:00:00"/>
  </r>
  <r>
    <s v="B03576"/>
    <s v="P111"/>
    <x v="12"/>
    <s v="Partial Loss"/>
    <n v="10"/>
    <n v="9.59"/>
    <n v="0.41"/>
    <n v="4.0999999999999996"/>
    <x v="849"/>
    <n v="62335"/>
    <n v="66.67"/>
    <n v="49500"/>
    <n v="12835"/>
    <n v="13.73"/>
    <n v="2029.4999999999998"/>
    <d v="2023-07-20T00:00:00"/>
  </r>
  <r>
    <s v="B03577"/>
    <s v="P111"/>
    <x v="12"/>
    <s v="Sold Out"/>
    <n v="10"/>
    <n v="10"/>
    <n v="0"/>
    <n v="0"/>
    <x v="246"/>
    <n v="65000"/>
    <n v="69.52"/>
    <n v="49500"/>
    <n v="15500"/>
    <n v="16.579999999999998"/>
    <n v="0"/>
    <d v="2023-08-07T00:00:00"/>
  </r>
  <r>
    <s v="B03578"/>
    <s v="P111"/>
    <x v="12"/>
    <s v="Partial Loss"/>
    <n v="10"/>
    <n v="9.43"/>
    <n v="0.56999999999999995"/>
    <n v="5.7"/>
    <x v="830"/>
    <n v="61295"/>
    <n v="65.56"/>
    <n v="49500"/>
    <n v="11795"/>
    <n v="12.61"/>
    <n v="2821.4999999999995"/>
    <d v="2023-08-26T00:00:00"/>
  </r>
  <r>
    <s v="B03579"/>
    <s v="P111"/>
    <x v="12"/>
    <s v="Sold Out"/>
    <n v="14"/>
    <n v="14"/>
    <n v="0"/>
    <n v="0"/>
    <x v="82"/>
    <n v="91000"/>
    <n v="97.33"/>
    <n v="69300"/>
    <n v="21700"/>
    <n v="23.21"/>
    <n v="0"/>
    <d v="2023-09-15T00:00:00"/>
  </r>
  <r>
    <s v="B03580"/>
    <s v="P111"/>
    <x v="12"/>
    <s v="Sold Out"/>
    <n v="11"/>
    <n v="11"/>
    <n v="0"/>
    <n v="0"/>
    <x v="87"/>
    <n v="71500"/>
    <n v="76.47"/>
    <n v="54450"/>
    <n v="17050"/>
    <n v="18.239999999999998"/>
    <n v="0"/>
    <d v="2023-10-09T00:00:00"/>
  </r>
  <r>
    <s v="B03581"/>
    <s v="P111"/>
    <x v="12"/>
    <s v="Partial Loss"/>
    <n v="10"/>
    <n v="9.32"/>
    <n v="0.68"/>
    <n v="6.8"/>
    <x v="162"/>
    <n v="60580"/>
    <n v="64.790000000000006"/>
    <n v="49500"/>
    <n v="11080"/>
    <n v="11.85"/>
    <n v="3366.0000000000005"/>
    <d v="2023-10-30T00:00:00"/>
  </r>
  <r>
    <s v="B03582"/>
    <s v="P111"/>
    <x v="12"/>
    <s v="Sold Out"/>
    <n v="9"/>
    <n v="9"/>
    <n v="0"/>
    <n v="0"/>
    <x v="352"/>
    <n v="58500"/>
    <n v="62.57"/>
    <n v="45450"/>
    <n v="13050"/>
    <n v="13.96"/>
    <n v="0"/>
    <d v="2023-11-20T00:00:00"/>
  </r>
  <r>
    <s v="B03583"/>
    <s v="P111"/>
    <x v="12"/>
    <s v="Sold Out"/>
    <n v="12"/>
    <n v="12"/>
    <n v="0"/>
    <n v="0"/>
    <x v="729"/>
    <n v="78000"/>
    <n v="83.42"/>
    <n v="59400"/>
    <n v="18600"/>
    <n v="19.89"/>
    <n v="0"/>
    <d v="2023-12-12T00:00:00"/>
  </r>
  <r>
    <s v="B03584"/>
    <s v="P111"/>
    <x v="12"/>
    <s v="Partial Loss"/>
    <n v="11"/>
    <n v="9.76"/>
    <n v="1.24"/>
    <n v="11.3"/>
    <x v="271"/>
    <n v="63440"/>
    <n v="67.849999999999994"/>
    <n v="54450"/>
    <n v="8990"/>
    <n v="9.61"/>
    <n v="6138"/>
    <d v="2024-01-02T00:00:00"/>
  </r>
  <r>
    <s v="B03585"/>
    <s v="P111"/>
    <x v="12"/>
    <s v="Partial Loss"/>
    <n v="9"/>
    <n v="8.2100000000000009"/>
    <n v="0.79"/>
    <n v="8.8000000000000007"/>
    <x v="550"/>
    <n v="53365"/>
    <n v="57.07"/>
    <n v="44550"/>
    <n v="8815"/>
    <n v="9.43"/>
    <n v="3910.5"/>
    <d v="2024-01-25T00:00:00"/>
  </r>
  <r>
    <s v="B03586"/>
    <s v="P111"/>
    <x v="12"/>
    <s v="Sold Out"/>
    <n v="9"/>
    <n v="9"/>
    <n v="0"/>
    <n v="0"/>
    <x v="830"/>
    <n v="58500"/>
    <n v="62.57"/>
    <n v="44550"/>
    <n v="13950"/>
    <n v="14.92"/>
    <n v="0"/>
    <d v="2024-02-12T00:00:00"/>
  </r>
  <r>
    <s v="B03587"/>
    <s v="P111"/>
    <x v="12"/>
    <s v="Partial Loss"/>
    <n v="11"/>
    <n v="10.039999999999999"/>
    <n v="0.96"/>
    <n v="8.6999999999999993"/>
    <x v="553"/>
    <n v="65260"/>
    <n v="69.8"/>
    <n v="54450"/>
    <n v="10810"/>
    <n v="11.56"/>
    <n v="4752"/>
    <d v="2024-02-29T00:00:00"/>
  </r>
  <r>
    <s v="B03588"/>
    <s v="P111"/>
    <x v="12"/>
    <s v="Partial Loss"/>
    <n v="10"/>
    <n v="9.34"/>
    <n v="0.66"/>
    <n v="6.6"/>
    <x v="366"/>
    <n v="60710"/>
    <n v="64.930000000000007"/>
    <n v="49500"/>
    <n v="11210"/>
    <n v="11.99"/>
    <n v="3267"/>
    <d v="2024-03-20T00:00:00"/>
  </r>
  <r>
    <s v="B03589"/>
    <s v="P111"/>
    <x v="12"/>
    <s v="Sold Out"/>
    <n v="9"/>
    <n v="9"/>
    <n v="0"/>
    <n v="0"/>
    <x v="452"/>
    <n v="58500"/>
    <n v="62.57"/>
    <n v="44550"/>
    <n v="13950"/>
    <n v="14.92"/>
    <n v="0"/>
    <d v="2024-04-09T00:00:00"/>
  </r>
  <r>
    <s v="B03590"/>
    <s v="P111"/>
    <x v="12"/>
    <s v="Partial Loss"/>
    <n v="10"/>
    <n v="9.58"/>
    <n v="0.42"/>
    <n v="4.2"/>
    <x v="178"/>
    <n v="62270"/>
    <n v="66.599999999999994"/>
    <n v="49500"/>
    <n v="12770"/>
    <n v="13.66"/>
    <n v="2079"/>
    <d v="2024-04-28T00:00:00"/>
  </r>
  <r>
    <s v="B03591"/>
    <s v="P111"/>
    <x v="12"/>
    <s v="Partial Loss"/>
    <n v="11"/>
    <n v="10.039999999999999"/>
    <n v="0.96"/>
    <n v="8.6999999999999993"/>
    <x v="278"/>
    <n v="65260"/>
    <n v="69.8"/>
    <n v="54450"/>
    <n v="10810"/>
    <n v="11.56"/>
    <n v="4752"/>
    <d v="2024-05-19T00:00:00"/>
  </r>
  <r>
    <s v="B03592"/>
    <s v="P111"/>
    <x v="12"/>
    <s v="Partial Loss"/>
    <n v="10"/>
    <n v="9.48"/>
    <n v="0.52"/>
    <n v="5.2"/>
    <x v="53"/>
    <n v="61620"/>
    <n v="65.900000000000006"/>
    <n v="49500"/>
    <n v="12120"/>
    <n v="12.96"/>
    <n v="2574"/>
    <d v="2024-06-07T00:00:00"/>
  </r>
  <r>
    <s v="B03593"/>
    <s v="P111"/>
    <x v="12"/>
    <s v="Sold Out"/>
    <n v="11"/>
    <n v="11"/>
    <n v="0"/>
    <n v="0"/>
    <x v="676"/>
    <n v="71500"/>
    <n v="76.47"/>
    <n v="54450"/>
    <n v="17050"/>
    <n v="18.239999999999998"/>
    <n v="0"/>
    <d v="2024-06-27T00:00:00"/>
  </r>
  <r>
    <s v="B03594"/>
    <s v="P111"/>
    <x v="12"/>
    <s v="Sold Out"/>
    <n v="9"/>
    <n v="9"/>
    <n v="0"/>
    <n v="0"/>
    <x v="666"/>
    <n v="58500"/>
    <n v="62.57"/>
    <n v="44550"/>
    <n v="13950"/>
    <n v="14.92"/>
    <n v="0"/>
    <d v="2024-07-12T00:00:00"/>
  </r>
  <r>
    <s v="B03595"/>
    <s v="P111"/>
    <x v="12"/>
    <s v="Partial Loss"/>
    <n v="11"/>
    <n v="10.45"/>
    <n v="0.55000000000000004"/>
    <n v="5"/>
    <x v="559"/>
    <n v="67925"/>
    <n v="72.650000000000006"/>
    <n v="54450"/>
    <n v="13475"/>
    <n v="14.41"/>
    <n v="2722.5"/>
    <d v="2024-08-01T00:00:00"/>
  </r>
  <r>
    <s v="B03596"/>
    <s v="P111"/>
    <x v="12"/>
    <s v="Partial Loss"/>
    <n v="11"/>
    <n v="10.7"/>
    <n v="0.3"/>
    <n v="2.7"/>
    <x v="61"/>
    <n v="69550"/>
    <n v="74.39"/>
    <n v="54450"/>
    <n v="15100"/>
    <n v="16.149999999999999"/>
    <n v="1485"/>
    <d v="2024-08-21T00:00:00"/>
  </r>
  <r>
    <s v="B03597"/>
    <s v="P111"/>
    <x v="12"/>
    <s v="Partial Loss"/>
    <n v="13"/>
    <n v="12.06"/>
    <n v="0.94"/>
    <n v="7.2"/>
    <x v="287"/>
    <n v="78390"/>
    <n v="83.84"/>
    <n v="64350"/>
    <n v="14040"/>
    <n v="15.02"/>
    <n v="4653"/>
    <d v="2024-09-14T00:00:00"/>
  </r>
  <r>
    <s v="B03598"/>
    <s v="P111"/>
    <x v="12"/>
    <s v="Sold Out"/>
    <n v="11"/>
    <n v="11"/>
    <n v="0"/>
    <n v="0"/>
    <x v="400"/>
    <n v="71500"/>
    <n v="76.47"/>
    <n v="54450"/>
    <n v="17050"/>
    <n v="18.239999999999998"/>
    <n v="0"/>
    <d v="2024-10-11T00:00:00"/>
  </r>
  <r>
    <s v="B03599"/>
    <s v="P111"/>
    <x v="12"/>
    <s v="Sold Out"/>
    <n v="11"/>
    <n v="11"/>
    <n v="0"/>
    <n v="0"/>
    <x v="607"/>
    <n v="71500"/>
    <n v="76.47"/>
    <n v="54450"/>
    <n v="17050"/>
    <n v="18.239999999999998"/>
    <n v="0"/>
    <d v="2024-11-06T00:00:00"/>
  </r>
  <r>
    <s v="B03600"/>
    <s v="P111"/>
    <x v="12"/>
    <s v="Sold Out"/>
    <n v="11"/>
    <n v="11"/>
    <n v="0"/>
    <n v="0"/>
    <x v="405"/>
    <n v="71500"/>
    <n v="76.47"/>
    <n v="54450"/>
    <n v="17050"/>
    <n v="18.239999999999998"/>
    <n v="0"/>
    <d v="2024-11-26T00:00:00"/>
  </r>
  <r>
    <s v="B03601"/>
    <s v="P111"/>
    <x v="12"/>
    <s v="Partial Loss"/>
    <n v="12"/>
    <n v="10.6"/>
    <n v="1.4"/>
    <n v="11.7"/>
    <x v="416"/>
    <n v="68900"/>
    <n v="73.69"/>
    <n v="59400"/>
    <n v="9500"/>
    <n v="10.16"/>
    <n v="6930"/>
    <d v="2024-12-17T00:00:00"/>
  </r>
  <r>
    <s v="B03602"/>
    <s v="P111"/>
    <x v="12"/>
    <s v="Partial Loss"/>
    <n v="12"/>
    <n v="10.26"/>
    <n v="1.74"/>
    <n v="14.5"/>
    <x v="496"/>
    <n v="66690"/>
    <n v="71.33"/>
    <n v="60600"/>
    <n v="6090"/>
    <n v="6.51"/>
    <n v="8787"/>
    <d v="2025-01-05T00:00:00"/>
  </r>
  <r>
    <s v="B03603"/>
    <s v="P111"/>
    <x v="12"/>
    <s v="Partial Loss"/>
    <n v="12"/>
    <n v="11.09"/>
    <n v="0.91"/>
    <n v="7.6"/>
    <x v="380"/>
    <n v="72085"/>
    <n v="77.099999999999994"/>
    <n v="59400"/>
    <n v="12685"/>
    <n v="13.57"/>
    <n v="4504.5"/>
    <d v="2025-01-29T00:00:00"/>
  </r>
  <r>
    <s v="B03604"/>
    <s v="P111"/>
    <x v="12"/>
    <s v="Sold Out"/>
    <n v="12"/>
    <n v="12"/>
    <n v="0"/>
    <n v="0"/>
    <x v="188"/>
    <n v="78000"/>
    <n v="83.42"/>
    <n v="59400"/>
    <n v="18600"/>
    <n v="19.89"/>
    <n v="0"/>
    <d v="2025-02-19T00:00:00"/>
  </r>
  <r>
    <s v="B03605"/>
    <s v="P111"/>
    <x v="12"/>
    <s v="Sold Out"/>
    <n v="11"/>
    <n v="11"/>
    <n v="0"/>
    <n v="0"/>
    <x v="492"/>
    <n v="71500"/>
    <n v="76.47"/>
    <n v="54450"/>
    <n v="17050"/>
    <n v="18.239999999999998"/>
    <n v="0"/>
    <d v="2025-03-11T00:00:00"/>
  </r>
  <r>
    <s v="B03606"/>
    <s v="P111"/>
    <x v="12"/>
    <s v="Partial Loss"/>
    <n v="10"/>
    <n v="9.4"/>
    <n v="0.6"/>
    <n v="6"/>
    <x v="836"/>
    <n v="61100"/>
    <n v="65.349999999999994"/>
    <n v="49500"/>
    <n v="11600"/>
    <n v="12.41"/>
    <n v="2970"/>
    <d v="2025-03-27T00:00:00"/>
  </r>
  <r>
    <s v="B03607"/>
    <s v="P111"/>
    <x v="12"/>
    <s v="Sold Out"/>
    <n v="10"/>
    <n v="10"/>
    <n v="0"/>
    <n v="0"/>
    <x v="915"/>
    <n v="65000"/>
    <n v="69.52"/>
    <n v="49500"/>
    <n v="15500"/>
    <n v="16.579999999999998"/>
    <n v="0"/>
    <d v="2025-04-19T00:00:00"/>
  </r>
  <r>
    <s v="B03608"/>
    <s v="P111"/>
    <x v="12"/>
    <s v="Partial Loss"/>
    <n v="11"/>
    <n v="10.44"/>
    <n v="0.56000000000000005"/>
    <n v="5.0999999999999996"/>
    <x v="674"/>
    <n v="67860"/>
    <n v="72.58"/>
    <n v="54450"/>
    <n v="13410"/>
    <n v="14.34"/>
    <n v="2772.0000000000005"/>
    <d v="2025-05-14T00:00:00"/>
  </r>
  <r>
    <s v="B03609"/>
    <s v="P111"/>
    <x v="12"/>
    <s v="Partial Loss"/>
    <n v="9"/>
    <n v="8.75"/>
    <n v="0.25"/>
    <n v="2.8"/>
    <x v="818"/>
    <n v="56875"/>
    <n v="60.83"/>
    <n v="44550"/>
    <n v="12325"/>
    <n v="13.18"/>
    <n v="1237.5"/>
    <d v="2025-06-10T00:00:00"/>
  </r>
  <r>
    <s v="B03610"/>
    <s v="P112"/>
    <x v="13"/>
    <s v="Sold Out"/>
    <n v="23"/>
    <n v="23"/>
    <n v="0"/>
    <n v="0"/>
    <x v="79"/>
    <n v="34500"/>
    <n v="36.9"/>
    <n v="23000"/>
    <n v="11500"/>
    <n v="12.3"/>
    <n v="0"/>
    <d v="2023-08-15T00:00:00"/>
  </r>
  <r>
    <s v="B03611"/>
    <s v="P112"/>
    <x v="13"/>
    <s v="Sold Out"/>
    <n v="19"/>
    <n v="19"/>
    <n v="0"/>
    <n v="0"/>
    <x v="19"/>
    <n v="28500"/>
    <n v="30.48"/>
    <n v="19000"/>
    <n v="9500"/>
    <n v="10.16"/>
    <n v="0"/>
    <d v="2023-10-28T00:00:00"/>
  </r>
  <r>
    <s v="B03612"/>
    <s v="P112"/>
    <x v="13"/>
    <s v="Sold Out"/>
    <n v="20"/>
    <n v="20"/>
    <n v="0"/>
    <n v="0"/>
    <x v="945"/>
    <n v="30000"/>
    <n v="32.090000000000003"/>
    <n v="20000"/>
    <n v="10000"/>
    <n v="10.7"/>
    <n v="0"/>
    <d v="2024-01-11T00:00:00"/>
  </r>
  <r>
    <s v="B03613"/>
    <s v="P112"/>
    <x v="13"/>
    <s v="Sold Out"/>
    <n v="18"/>
    <n v="18"/>
    <n v="0"/>
    <n v="0"/>
    <x v="515"/>
    <n v="27000"/>
    <n v="28.88"/>
    <n v="18000"/>
    <n v="9000"/>
    <n v="9.6300000000000008"/>
    <n v="0"/>
    <d v="2024-03-12T00:00:00"/>
  </r>
  <r>
    <s v="B03614"/>
    <s v="P112"/>
    <x v="13"/>
    <s v="Sold Out"/>
    <n v="20"/>
    <n v="20"/>
    <n v="0"/>
    <n v="0"/>
    <x v="861"/>
    <n v="30000"/>
    <n v="32.090000000000003"/>
    <n v="20000"/>
    <n v="10000"/>
    <n v="10.7"/>
    <n v="0"/>
    <d v="2024-04-22T00:00:00"/>
  </r>
  <r>
    <s v="B03615"/>
    <s v="P112"/>
    <x v="13"/>
    <s v="Sold Out"/>
    <n v="17"/>
    <n v="17"/>
    <n v="0"/>
    <n v="0"/>
    <x v="677"/>
    <n v="25500"/>
    <n v="27.27"/>
    <n v="17850"/>
    <n v="7650"/>
    <n v="8.18"/>
    <n v="0"/>
    <d v="2024-06-15T00:00:00"/>
  </r>
  <r>
    <s v="B03616"/>
    <s v="P112"/>
    <x v="13"/>
    <s v="Sold Out"/>
    <n v="19"/>
    <n v="19"/>
    <n v="0"/>
    <n v="0"/>
    <x v="946"/>
    <n v="28500"/>
    <n v="30.48"/>
    <n v="19000"/>
    <n v="9500"/>
    <n v="10.16"/>
    <n v="0"/>
    <d v="2024-08-17T00:00:00"/>
  </r>
  <r>
    <s v="B03617"/>
    <s v="P112"/>
    <x v="13"/>
    <s v="Sold Out"/>
    <n v="23"/>
    <n v="23"/>
    <n v="0"/>
    <n v="0"/>
    <x v="429"/>
    <n v="34500"/>
    <n v="36.9"/>
    <n v="23000"/>
    <n v="11500"/>
    <n v="12.3"/>
    <n v="0"/>
    <d v="2024-10-16T00:00:00"/>
  </r>
  <r>
    <s v="B03618"/>
    <s v="P112"/>
    <x v="13"/>
    <s v="Sold Out"/>
    <n v="28"/>
    <n v="28"/>
    <n v="0"/>
    <n v="0"/>
    <x v="947"/>
    <n v="42000"/>
    <n v="44.92"/>
    <n v="28000"/>
    <n v="14000"/>
    <n v="14.97"/>
    <n v="0"/>
    <d v="2024-12-18T00:00:00"/>
  </r>
  <r>
    <s v="B03619"/>
    <s v="P112"/>
    <x v="13"/>
    <s v="Sold Out"/>
    <n v="20"/>
    <n v="20"/>
    <n v="0"/>
    <n v="0"/>
    <x v="948"/>
    <n v="30000"/>
    <n v="32.090000000000003"/>
    <n v="20000"/>
    <n v="10000"/>
    <n v="10.7"/>
    <n v="0"/>
    <d v="2025-02-28T00:00:00"/>
  </r>
  <r>
    <s v="B03620"/>
    <s v="P112"/>
    <x v="13"/>
    <s v="Sold Out"/>
    <n v="19"/>
    <n v="19"/>
    <n v="0"/>
    <n v="0"/>
    <x v="949"/>
    <n v="28500"/>
    <n v="30.48"/>
    <n v="19000"/>
    <n v="9500"/>
    <n v="10.16"/>
    <n v="0"/>
    <d v="2025-04-20T00:00:00"/>
  </r>
  <r>
    <s v="B03621"/>
    <s v="P112"/>
    <x v="13"/>
    <s v="Sold Out"/>
    <n v="20"/>
    <n v="20"/>
    <n v="0"/>
    <n v="0"/>
    <x v="200"/>
    <n v="30000"/>
    <n v="32.090000000000003"/>
    <n v="20000"/>
    <n v="10000"/>
    <n v="10.7"/>
    <n v="0"/>
    <d v="2025-06-16T00:00:00"/>
  </r>
  <r>
    <s v="B03622"/>
    <s v="P113"/>
    <x v="13"/>
    <s v="Sold Out"/>
    <n v="18"/>
    <n v="18"/>
    <n v="0"/>
    <n v="0"/>
    <x v="950"/>
    <n v="36000"/>
    <n v="38.5"/>
    <n v="25200"/>
    <n v="10800"/>
    <n v="11.55"/>
    <n v="0"/>
    <d v="2023-08-17T00:00:00"/>
  </r>
  <r>
    <s v="B03623"/>
    <s v="P113"/>
    <x v="13"/>
    <s v="Sold Out"/>
    <n v="23"/>
    <n v="23"/>
    <n v="0"/>
    <n v="0"/>
    <x v="951"/>
    <n v="46000"/>
    <n v="49.2"/>
    <n v="31050"/>
    <n v="14950"/>
    <n v="15.99"/>
    <n v="0"/>
    <d v="2023-10-16T00:00:00"/>
  </r>
  <r>
    <s v="B03624"/>
    <s v="P113"/>
    <x v="13"/>
    <s v="Sold Out"/>
    <n v="23"/>
    <n v="23"/>
    <n v="0"/>
    <n v="0"/>
    <x v="390"/>
    <n v="46000"/>
    <n v="49.2"/>
    <n v="31050"/>
    <n v="14950"/>
    <n v="15.99"/>
    <n v="0"/>
    <d v="2023-12-11T00:00:00"/>
  </r>
  <r>
    <s v="B03625"/>
    <s v="P113"/>
    <x v="13"/>
    <s v="Sold Out"/>
    <n v="19"/>
    <n v="19"/>
    <n v="0"/>
    <n v="0"/>
    <x v="211"/>
    <n v="38000"/>
    <n v="40.64"/>
    <n v="25650"/>
    <n v="12350"/>
    <n v="13.21"/>
    <n v="0"/>
    <d v="2024-02-08T00:00:00"/>
  </r>
  <r>
    <s v="B03626"/>
    <s v="P113"/>
    <x v="13"/>
    <s v="Sold Out"/>
    <n v="21"/>
    <n v="21"/>
    <n v="0"/>
    <n v="0"/>
    <x v="755"/>
    <n v="42000"/>
    <n v="44.92"/>
    <n v="28350"/>
    <n v="13650"/>
    <n v="14.6"/>
    <n v="0"/>
    <d v="2024-04-21T00:00:00"/>
  </r>
  <r>
    <s v="B03627"/>
    <s v="P113"/>
    <x v="13"/>
    <s v="Sold Out"/>
    <n v="19"/>
    <n v="19"/>
    <n v="0"/>
    <n v="0"/>
    <x v="952"/>
    <n v="38000"/>
    <n v="40.64"/>
    <n v="25650"/>
    <n v="12350"/>
    <n v="13.21"/>
    <n v="0"/>
    <d v="2024-06-25T00:00:00"/>
  </r>
  <r>
    <s v="B03628"/>
    <s v="P113"/>
    <x v="13"/>
    <s v="Sold Out"/>
    <n v="22"/>
    <n v="22"/>
    <n v="0"/>
    <n v="0"/>
    <x v="369"/>
    <n v="44000"/>
    <n v="47.06"/>
    <n v="29700"/>
    <n v="14300"/>
    <n v="15.29"/>
    <n v="0"/>
    <d v="2024-08-23T00:00:00"/>
  </r>
  <r>
    <s v="B03629"/>
    <s v="P113"/>
    <x v="13"/>
    <s v="Sold Out"/>
    <n v="21"/>
    <n v="21"/>
    <n v="0"/>
    <n v="0"/>
    <x v="953"/>
    <n v="42000"/>
    <n v="44.92"/>
    <n v="28350"/>
    <n v="13650"/>
    <n v="14.6"/>
    <n v="0"/>
    <d v="2024-10-08T00:00:00"/>
  </r>
  <r>
    <s v="B03630"/>
    <s v="P113"/>
    <x v="13"/>
    <s v="Sold Out"/>
    <n v="23"/>
    <n v="23"/>
    <n v="0"/>
    <n v="0"/>
    <x v="684"/>
    <n v="46000"/>
    <n v="49.2"/>
    <n v="31050"/>
    <n v="14950"/>
    <n v="15.99"/>
    <n v="0"/>
    <d v="2024-12-04T00:00:00"/>
  </r>
  <r>
    <s v="B03631"/>
    <s v="P113"/>
    <x v="13"/>
    <s v="Sold Out"/>
    <n v="21"/>
    <n v="21"/>
    <n v="0"/>
    <n v="0"/>
    <x v="468"/>
    <n v="42000"/>
    <n v="44.92"/>
    <n v="28350"/>
    <n v="13650"/>
    <n v="14.6"/>
    <n v="0"/>
    <d v="2025-02-17T00:00:00"/>
  </r>
  <r>
    <s v="B03632"/>
    <s v="P113"/>
    <x v="13"/>
    <s v="Sold Out"/>
    <n v="20"/>
    <n v="20"/>
    <n v="0"/>
    <n v="0"/>
    <x v="192"/>
    <n v="40000"/>
    <n v="42.78"/>
    <n v="28000"/>
    <n v="12000"/>
    <n v="12.83"/>
    <n v="0"/>
    <d v="2025-04-29T00:00:00"/>
  </r>
  <r>
    <s v="B03633"/>
    <s v="P113"/>
    <x v="13"/>
    <s v="Sold Out"/>
    <n v="20"/>
    <n v="20"/>
    <n v="0"/>
    <n v="0"/>
    <x v="139"/>
    <n v="40000"/>
    <n v="42.78"/>
    <n v="28000"/>
    <n v="12000"/>
    <n v="12.83"/>
    <n v="0"/>
    <d v="2025-06-21T00:00:00"/>
  </r>
  <r>
    <s v="B03634"/>
    <s v="P114"/>
    <x v="13"/>
    <s v="Sold Out"/>
    <n v="19"/>
    <n v="19"/>
    <n v="0"/>
    <n v="0"/>
    <x v="1"/>
    <n v="47500"/>
    <n v="50.8"/>
    <n v="31350"/>
    <n v="16150"/>
    <n v="17.27"/>
    <n v="0"/>
    <d v="2023-07-14T00:00:00"/>
  </r>
  <r>
    <s v="B03635"/>
    <s v="P114"/>
    <x v="13"/>
    <s v="Sold Out"/>
    <n v="27"/>
    <n v="27"/>
    <n v="0"/>
    <n v="0"/>
    <x v="592"/>
    <n v="67500"/>
    <n v="72.19"/>
    <n v="44550"/>
    <n v="22950"/>
    <n v="24.55"/>
    <n v="0"/>
    <d v="2023-09-06T00:00:00"/>
  </r>
  <r>
    <s v="B03636"/>
    <s v="P114"/>
    <x v="13"/>
    <s v="Sold Out"/>
    <n v="19"/>
    <n v="19"/>
    <n v="0"/>
    <n v="0"/>
    <x v="954"/>
    <n v="47500"/>
    <n v="50.8"/>
    <n v="34200"/>
    <n v="13300"/>
    <n v="14.22"/>
    <n v="0"/>
    <d v="2023-11-17T00:00:00"/>
  </r>
  <r>
    <s v="B03637"/>
    <s v="P114"/>
    <x v="13"/>
    <s v="Sold Out"/>
    <n v="24"/>
    <n v="24"/>
    <n v="0"/>
    <n v="0"/>
    <x v="511"/>
    <n v="60000"/>
    <n v="64.17"/>
    <n v="39600"/>
    <n v="20400"/>
    <n v="21.82"/>
    <n v="0"/>
    <d v="2023-12-23T00:00:00"/>
  </r>
  <r>
    <s v="B03638"/>
    <s v="P114"/>
    <x v="13"/>
    <s v="Sold Out"/>
    <n v="22"/>
    <n v="22"/>
    <n v="0"/>
    <n v="0"/>
    <x v="621"/>
    <n v="55000"/>
    <n v="58.82"/>
    <n v="36300"/>
    <n v="18700"/>
    <n v="20"/>
    <n v="0"/>
    <d v="2024-02-24T00:00:00"/>
  </r>
  <r>
    <s v="B03639"/>
    <s v="P114"/>
    <x v="13"/>
    <s v="Sold Out"/>
    <n v="23"/>
    <n v="23"/>
    <n v="0"/>
    <n v="0"/>
    <x v="457"/>
    <n v="57500"/>
    <n v="61.5"/>
    <n v="37950"/>
    <n v="19550"/>
    <n v="20.91"/>
    <n v="0"/>
    <d v="2024-05-04T00:00:00"/>
  </r>
  <r>
    <s v="B03640"/>
    <s v="P114"/>
    <x v="13"/>
    <s v="Sold Out"/>
    <n v="21"/>
    <n v="21"/>
    <n v="0"/>
    <n v="0"/>
    <x v="785"/>
    <n v="52500"/>
    <n v="56.15"/>
    <n v="34650"/>
    <n v="17850"/>
    <n v="19.09"/>
    <n v="0"/>
    <d v="2024-07-06T00:00:00"/>
  </r>
  <r>
    <s v="B03641"/>
    <s v="P114"/>
    <x v="13"/>
    <s v="Sold Out"/>
    <n v="23"/>
    <n v="23"/>
    <n v="0"/>
    <n v="0"/>
    <x v="179"/>
    <n v="57500"/>
    <n v="61.5"/>
    <n v="41400"/>
    <n v="16100"/>
    <n v="17.22"/>
    <n v="0"/>
    <d v="2024-09-10T00:00:00"/>
  </r>
  <r>
    <s v="B03642"/>
    <s v="P114"/>
    <x v="13"/>
    <s v="Sold Out"/>
    <n v="20"/>
    <n v="20"/>
    <n v="0"/>
    <n v="0"/>
    <x v="955"/>
    <n v="50000"/>
    <n v="53.48"/>
    <n v="33000"/>
    <n v="17000"/>
    <n v="18.18"/>
    <n v="0"/>
    <d v="2024-11-17T00:00:00"/>
  </r>
  <r>
    <s v="B03643"/>
    <s v="P114"/>
    <x v="13"/>
    <s v="Sold Out"/>
    <n v="24"/>
    <n v="24"/>
    <n v="0"/>
    <n v="0"/>
    <x v="956"/>
    <n v="60000"/>
    <n v="64.17"/>
    <n v="43200"/>
    <n v="16800"/>
    <n v="17.97"/>
    <n v="0"/>
    <d v="2025-01-19T00:00:00"/>
  </r>
  <r>
    <s v="B03644"/>
    <s v="P114"/>
    <x v="13"/>
    <s v="Sold Out"/>
    <n v="20"/>
    <n v="20"/>
    <n v="0"/>
    <n v="0"/>
    <x v="378"/>
    <n v="50000"/>
    <n v="53.48"/>
    <n v="33000"/>
    <n v="17000"/>
    <n v="18.18"/>
    <n v="0"/>
    <d v="2025-03-15T00:00:00"/>
  </r>
  <r>
    <s v="B03645"/>
    <s v="P114"/>
    <x v="13"/>
    <s v="Sold Out"/>
    <n v="24"/>
    <n v="24"/>
    <n v="0"/>
    <n v="0"/>
    <x v="340"/>
    <n v="60000"/>
    <n v="64.17"/>
    <n v="39600"/>
    <n v="20400"/>
    <n v="21.82"/>
    <n v="0"/>
    <d v="2025-05-15T00:00:00"/>
  </r>
  <r>
    <s v="B03646"/>
    <s v="P115"/>
    <x v="13"/>
    <s v="Sold Out"/>
    <n v="20"/>
    <n v="20"/>
    <n v="0"/>
    <n v="0"/>
    <x v="10"/>
    <n v="60000"/>
    <n v="64.17"/>
    <n v="41000"/>
    <n v="19000"/>
    <n v="20.32"/>
    <n v="0"/>
    <d v="2023-08-25T00:00:00"/>
  </r>
  <r>
    <s v="B03647"/>
    <s v="P115"/>
    <x v="13"/>
    <s v="Sold Out"/>
    <n v="22"/>
    <n v="22"/>
    <n v="0"/>
    <n v="0"/>
    <x v="957"/>
    <n v="66000"/>
    <n v="70.59"/>
    <n v="45100"/>
    <n v="20900"/>
    <n v="22.35"/>
    <n v="0"/>
    <d v="2023-10-03T00:00:00"/>
  </r>
  <r>
    <s v="B03648"/>
    <s v="P115"/>
    <x v="13"/>
    <s v="Sold Out"/>
    <n v="23"/>
    <n v="23"/>
    <n v="0"/>
    <n v="0"/>
    <x v="15"/>
    <n v="69000"/>
    <n v="73.8"/>
    <n v="47150"/>
    <n v="21850"/>
    <n v="23.37"/>
    <n v="0"/>
    <d v="2023-12-07T00:00:00"/>
  </r>
  <r>
    <s v="B03649"/>
    <s v="P115"/>
    <x v="13"/>
    <s v="Sold Out"/>
    <n v="19"/>
    <n v="19"/>
    <n v="0"/>
    <n v="0"/>
    <x v="958"/>
    <n v="57000"/>
    <n v="60.96"/>
    <n v="38950"/>
    <n v="18050"/>
    <n v="19.3"/>
    <n v="0"/>
    <d v="2024-01-28T00:00:00"/>
  </r>
  <r>
    <s v="B03650"/>
    <s v="P115"/>
    <x v="13"/>
    <s v="Sold Out"/>
    <n v="23"/>
    <n v="23"/>
    <n v="0"/>
    <n v="0"/>
    <x v="652"/>
    <n v="69000"/>
    <n v="73.8"/>
    <n v="47150"/>
    <n v="21850"/>
    <n v="23.37"/>
    <n v="0"/>
    <d v="2024-03-23T00:00:00"/>
  </r>
  <r>
    <s v="B03651"/>
    <s v="P115"/>
    <x v="13"/>
    <s v="Sold Out"/>
    <n v="20"/>
    <n v="20"/>
    <n v="0"/>
    <n v="0"/>
    <x v="168"/>
    <n v="60000"/>
    <n v="64.17"/>
    <n v="41000"/>
    <n v="19000"/>
    <n v="20.32"/>
    <n v="0"/>
    <d v="2024-05-13T00:00:00"/>
  </r>
  <r>
    <s v="B03652"/>
    <s v="P115"/>
    <x v="13"/>
    <s v="Sold Out"/>
    <n v="18"/>
    <n v="18"/>
    <n v="0"/>
    <n v="0"/>
    <x v="220"/>
    <n v="54000"/>
    <n v="57.75"/>
    <n v="36900"/>
    <n v="17100"/>
    <n v="18.29"/>
    <n v="0"/>
    <d v="2024-07-11T00:00:00"/>
  </r>
  <r>
    <s v="B03653"/>
    <s v="P115"/>
    <x v="13"/>
    <s v="Sold Out"/>
    <n v="28"/>
    <n v="28"/>
    <n v="0"/>
    <n v="0"/>
    <x v="111"/>
    <n v="84000"/>
    <n v="89.84"/>
    <n v="57400"/>
    <n v="26600"/>
    <n v="28.45"/>
    <n v="0"/>
    <d v="2024-09-16T00:00:00"/>
  </r>
  <r>
    <s v="B03654"/>
    <s v="P115"/>
    <x v="13"/>
    <s v="Sold Out"/>
    <n v="18"/>
    <n v="18"/>
    <n v="0"/>
    <n v="0"/>
    <x v="959"/>
    <n v="54000"/>
    <n v="57.75"/>
    <n v="36900"/>
    <n v="17100"/>
    <n v="18.29"/>
    <n v="0"/>
    <d v="2024-11-19T00:00:00"/>
  </r>
  <r>
    <s v="B03655"/>
    <s v="P115"/>
    <x v="13"/>
    <s v="Sold Out"/>
    <n v="19"/>
    <n v="19"/>
    <n v="0"/>
    <n v="0"/>
    <x v="129"/>
    <n v="57000"/>
    <n v="60.96"/>
    <n v="38950"/>
    <n v="18050"/>
    <n v="19.3"/>
    <n v="0"/>
    <d v="2025-01-21T00:00:00"/>
  </r>
  <r>
    <s v="B03656"/>
    <s v="P115"/>
    <x v="13"/>
    <s v="Sold Out"/>
    <n v="23"/>
    <n v="23"/>
    <n v="0"/>
    <n v="0"/>
    <x v="377"/>
    <n v="69000"/>
    <n v="73.8"/>
    <n v="47150"/>
    <n v="21850"/>
    <n v="23.37"/>
    <n v="0"/>
    <d v="2025-03-19T00:00:00"/>
  </r>
  <r>
    <s v="B03657"/>
    <s v="P115"/>
    <x v="13"/>
    <s v="Sold Out"/>
    <n v="25"/>
    <n v="25"/>
    <n v="0"/>
    <n v="0"/>
    <x v="960"/>
    <n v="75000"/>
    <n v="80.209999999999994"/>
    <n v="51250"/>
    <n v="23750"/>
    <n v="25.4"/>
    <n v="0"/>
    <d v="2025-05-20T00:00:00"/>
  </r>
  <r>
    <s v="B03658"/>
    <s v="P116"/>
    <x v="13"/>
    <s v="Sold Out"/>
    <n v="21"/>
    <n v="21"/>
    <n v="0"/>
    <n v="0"/>
    <x v="567"/>
    <n v="73500"/>
    <n v="78.61"/>
    <n v="49350"/>
    <n v="24150"/>
    <n v="25.83"/>
    <n v="0"/>
    <d v="2023-08-13T00:00:00"/>
  </r>
  <r>
    <s v="B03659"/>
    <s v="P116"/>
    <x v="13"/>
    <s v="Sold Out"/>
    <n v="19"/>
    <n v="19"/>
    <n v="0"/>
    <n v="0"/>
    <x v="422"/>
    <n v="66500"/>
    <n v="71.12"/>
    <n v="44650"/>
    <n v="21850"/>
    <n v="23.37"/>
    <n v="0"/>
    <d v="2023-10-03T00:00:00"/>
  </r>
  <r>
    <s v="B03660"/>
    <s v="P116"/>
    <x v="13"/>
    <s v="Sold Out"/>
    <n v="18"/>
    <n v="18"/>
    <n v="0"/>
    <n v="0"/>
    <x v="259"/>
    <n v="63000"/>
    <n v="67.38"/>
    <n v="42300"/>
    <n v="20700"/>
    <n v="22.14"/>
    <n v="0"/>
    <d v="2023-11-16T00:00:00"/>
  </r>
  <r>
    <s v="B03661"/>
    <s v="P116"/>
    <x v="13"/>
    <s v="Sold Out"/>
    <n v="19"/>
    <n v="19"/>
    <n v="0"/>
    <n v="0"/>
    <x v="510"/>
    <n v="66500"/>
    <n v="71.12"/>
    <n v="44650"/>
    <n v="21850"/>
    <n v="23.37"/>
    <n v="0"/>
    <d v="2024-01-18T00:00:00"/>
  </r>
  <r>
    <s v="B03662"/>
    <s v="P116"/>
    <x v="13"/>
    <s v="Sold Out"/>
    <n v="21"/>
    <n v="21"/>
    <n v="0"/>
    <n v="0"/>
    <x v="167"/>
    <n v="73500"/>
    <n v="78.61"/>
    <n v="50400"/>
    <n v="23100"/>
    <n v="24.71"/>
    <n v="0"/>
    <d v="2024-03-23T00:00:00"/>
  </r>
  <r>
    <s v="B03663"/>
    <s v="P116"/>
    <x v="13"/>
    <s v="Sold Out"/>
    <n v="21"/>
    <n v="21"/>
    <n v="0"/>
    <n v="0"/>
    <x v="689"/>
    <n v="73500"/>
    <n v="78.61"/>
    <n v="49350"/>
    <n v="24150"/>
    <n v="25.83"/>
    <n v="0"/>
    <d v="2024-05-08T00:00:00"/>
  </r>
  <r>
    <s v="B03664"/>
    <s v="P116"/>
    <x v="13"/>
    <s v="Sold Out"/>
    <n v="19"/>
    <n v="19"/>
    <n v="0"/>
    <n v="0"/>
    <x v="961"/>
    <n v="66500"/>
    <n v="71.12"/>
    <n v="44650"/>
    <n v="21850"/>
    <n v="23.37"/>
    <n v="0"/>
    <d v="2024-06-22T00:00:00"/>
  </r>
  <r>
    <s v="B03665"/>
    <s v="P116"/>
    <x v="13"/>
    <s v="Sold Out"/>
    <n v="21"/>
    <n v="21"/>
    <n v="0"/>
    <n v="0"/>
    <x v="114"/>
    <n v="73500"/>
    <n v="78.61"/>
    <n v="49350"/>
    <n v="24150"/>
    <n v="25.83"/>
    <n v="0"/>
    <d v="2024-08-17T00:00:00"/>
  </r>
  <r>
    <s v="B03666"/>
    <s v="P116"/>
    <x v="13"/>
    <s v="Sold Out"/>
    <n v="23"/>
    <n v="23"/>
    <n v="0"/>
    <n v="0"/>
    <x v="611"/>
    <n v="80500"/>
    <n v="86.1"/>
    <n v="54050"/>
    <n v="26450"/>
    <n v="28.29"/>
    <n v="0"/>
    <d v="2024-10-18T00:00:00"/>
  </r>
  <r>
    <s v="B03667"/>
    <s v="P116"/>
    <x v="13"/>
    <s v="Sold Out"/>
    <n v="21"/>
    <n v="21"/>
    <n v="0"/>
    <n v="0"/>
    <x v="281"/>
    <n v="73500"/>
    <n v="78.61"/>
    <n v="49350"/>
    <n v="24150"/>
    <n v="25.83"/>
    <n v="0"/>
    <d v="2024-11-23T00:00:00"/>
  </r>
  <r>
    <s v="B03668"/>
    <s v="P116"/>
    <x v="13"/>
    <s v="Sold Out"/>
    <n v="21"/>
    <n v="21"/>
    <n v="0"/>
    <n v="0"/>
    <x v="409"/>
    <n v="73500"/>
    <n v="78.61"/>
    <n v="49350"/>
    <n v="24150"/>
    <n v="25.83"/>
    <n v="0"/>
    <d v="2025-01-06T00:00:00"/>
  </r>
  <r>
    <s v="B03669"/>
    <s v="P116"/>
    <x v="13"/>
    <s v="Sold Out"/>
    <n v="23"/>
    <n v="23"/>
    <n v="0"/>
    <n v="0"/>
    <x v="962"/>
    <n v="80500"/>
    <n v="86.1"/>
    <n v="54050"/>
    <n v="26450"/>
    <n v="28.29"/>
    <n v="0"/>
    <d v="2025-03-05T00:00:00"/>
  </r>
  <r>
    <s v="B03670"/>
    <s v="P116"/>
    <x v="13"/>
    <s v="Sold Out"/>
    <n v="24"/>
    <n v="24"/>
    <n v="0"/>
    <n v="0"/>
    <x v="586"/>
    <n v="84000"/>
    <n v="89.84"/>
    <n v="56400"/>
    <n v="27600"/>
    <n v="29.52"/>
    <n v="0"/>
    <d v="2025-04-22T00:00:00"/>
  </r>
  <r>
    <s v="B03671"/>
    <s v="P116"/>
    <x v="13"/>
    <s v="Sold Out"/>
    <n v="20"/>
    <n v="20"/>
    <n v="0"/>
    <n v="0"/>
    <x v="725"/>
    <n v="70000"/>
    <n v="74.87"/>
    <n v="47000"/>
    <n v="23000"/>
    <n v="24.6"/>
    <n v="0"/>
    <d v="2025-06-28T00:00:00"/>
  </r>
  <r>
    <s v="B03672"/>
    <s v="P117"/>
    <x v="13"/>
    <s v="Sold Out"/>
    <n v="18"/>
    <n v="18"/>
    <n v="0"/>
    <n v="0"/>
    <x v="418"/>
    <n v="81000"/>
    <n v="86.63"/>
    <n v="55800"/>
    <n v="25200"/>
    <n v="26.95"/>
    <n v="0"/>
    <d v="2023-07-05T00:00:00"/>
  </r>
  <r>
    <s v="B03673"/>
    <s v="P117"/>
    <x v="13"/>
    <s v="Sold Out"/>
    <n v="29"/>
    <n v="29"/>
    <n v="0"/>
    <n v="0"/>
    <x v="963"/>
    <n v="130500"/>
    <n v="139.57"/>
    <n v="89900"/>
    <n v="40600"/>
    <n v="43.42"/>
    <n v="0"/>
    <d v="2023-09-05T00:00:00"/>
  </r>
  <r>
    <s v="B03674"/>
    <s v="P117"/>
    <x v="13"/>
    <s v="Sold Out"/>
    <n v="20"/>
    <n v="20"/>
    <n v="0"/>
    <n v="0"/>
    <x v="906"/>
    <n v="90000"/>
    <n v="96.26"/>
    <n v="62000"/>
    <n v="28000"/>
    <n v="29.95"/>
    <n v="0"/>
    <d v="2023-10-30T00:00:00"/>
  </r>
  <r>
    <s v="B03675"/>
    <s v="P117"/>
    <x v="13"/>
    <s v="Sold Out"/>
    <n v="28"/>
    <n v="28"/>
    <n v="0"/>
    <n v="0"/>
    <x v="633"/>
    <n v="126000"/>
    <n v="134.76"/>
    <n v="86800"/>
    <n v="39200"/>
    <n v="41.93"/>
    <n v="0"/>
    <d v="2023-12-07T00:00:00"/>
  </r>
  <r>
    <s v="B03676"/>
    <s v="P117"/>
    <x v="13"/>
    <s v="Sold Out"/>
    <n v="23"/>
    <n v="23"/>
    <n v="0"/>
    <n v="0"/>
    <x v="545"/>
    <n v="103500"/>
    <n v="110.7"/>
    <n v="71300"/>
    <n v="32200"/>
    <n v="34.44"/>
    <n v="0"/>
    <d v="2024-02-06T00:00:00"/>
  </r>
  <r>
    <s v="B03677"/>
    <s v="P117"/>
    <x v="13"/>
    <s v="Sold Out"/>
    <n v="19"/>
    <n v="19"/>
    <n v="0"/>
    <n v="0"/>
    <x v="34"/>
    <n v="85500"/>
    <n v="91.44"/>
    <n v="58900"/>
    <n v="26600"/>
    <n v="28.45"/>
    <n v="0"/>
    <d v="2024-04-08T00:00:00"/>
  </r>
  <r>
    <s v="B03678"/>
    <s v="P117"/>
    <x v="13"/>
    <s v="Sold Out"/>
    <n v="18"/>
    <n v="18"/>
    <n v="0"/>
    <n v="0"/>
    <x v="601"/>
    <n v="81000"/>
    <n v="86.63"/>
    <n v="55800"/>
    <n v="25200"/>
    <n v="26.95"/>
    <n v="0"/>
    <d v="2024-06-19T00:00:00"/>
  </r>
  <r>
    <s v="B03679"/>
    <s v="P117"/>
    <x v="13"/>
    <s v="Sold Out"/>
    <n v="22"/>
    <n v="22"/>
    <n v="0"/>
    <n v="0"/>
    <x v="110"/>
    <n v="99000"/>
    <n v="105.88"/>
    <n v="68200"/>
    <n v="30800"/>
    <n v="32.94"/>
    <n v="0"/>
    <d v="2024-08-18T00:00:00"/>
  </r>
  <r>
    <s v="B03680"/>
    <s v="P117"/>
    <x v="13"/>
    <s v="Sold Out"/>
    <n v="22"/>
    <n v="22"/>
    <n v="0"/>
    <n v="0"/>
    <x v="609"/>
    <n v="99000"/>
    <n v="105.88"/>
    <n v="68200"/>
    <n v="30800"/>
    <n v="32.94"/>
    <n v="0"/>
    <d v="2024-10-05T00:00:00"/>
  </r>
  <r>
    <s v="B03681"/>
    <s v="P117"/>
    <x v="13"/>
    <s v="Sold Out"/>
    <n v="17"/>
    <n v="17"/>
    <n v="0"/>
    <n v="0"/>
    <x v="644"/>
    <n v="76500"/>
    <n v="81.819999999999993"/>
    <n v="52700"/>
    <n v="23800"/>
    <n v="25.45"/>
    <n v="0"/>
    <d v="2024-11-27T00:00:00"/>
  </r>
  <r>
    <s v="B03682"/>
    <s v="P117"/>
    <x v="13"/>
    <s v="Sold Out"/>
    <n v="19"/>
    <n v="19"/>
    <n v="0"/>
    <n v="0"/>
    <x v="64"/>
    <n v="85500"/>
    <n v="91.44"/>
    <n v="58900"/>
    <n v="26600"/>
    <n v="28.45"/>
    <n v="0"/>
    <d v="2025-01-19T00:00:00"/>
  </r>
  <r>
    <s v="B03683"/>
    <s v="P117"/>
    <x v="13"/>
    <s v="Sold Out"/>
    <n v="20"/>
    <n v="20"/>
    <n v="0"/>
    <n v="0"/>
    <x v="67"/>
    <n v="90000"/>
    <n v="96.26"/>
    <n v="62000"/>
    <n v="28000"/>
    <n v="29.95"/>
    <n v="0"/>
    <d v="2025-03-17T00:00:00"/>
  </r>
  <r>
    <s v="B03684"/>
    <s v="P117"/>
    <x v="13"/>
    <s v="Sold Out"/>
    <n v="25"/>
    <n v="25"/>
    <n v="0"/>
    <n v="0"/>
    <x v="964"/>
    <n v="112500"/>
    <n v="120.32"/>
    <n v="77500"/>
    <n v="35000"/>
    <n v="37.43"/>
    <n v="0"/>
    <d v="2025-05-26T00:00:00"/>
  </r>
  <r>
    <s v="B03685"/>
    <s v="P118"/>
    <x v="13"/>
    <s v="Sold Out"/>
    <n v="20"/>
    <n v="20"/>
    <n v="0"/>
    <n v="0"/>
    <x v="965"/>
    <n v="110000"/>
    <n v="117.65"/>
    <n v="72000"/>
    <n v="38000"/>
    <n v="40.64"/>
    <n v="0"/>
    <d v="2023-08-02T00:00:00"/>
  </r>
  <r>
    <s v="B03686"/>
    <s v="P118"/>
    <x v="13"/>
    <s v="Sold Out"/>
    <n v="27"/>
    <n v="27"/>
    <n v="0"/>
    <n v="0"/>
    <x v="303"/>
    <n v="148500"/>
    <n v="158.82"/>
    <n v="97200"/>
    <n v="51300"/>
    <n v="54.87"/>
    <n v="0"/>
    <d v="2023-09-25T00:00:00"/>
  </r>
  <r>
    <s v="B03687"/>
    <s v="P118"/>
    <x v="13"/>
    <s v="Sold Out"/>
    <n v="21"/>
    <n v="21"/>
    <n v="0"/>
    <n v="0"/>
    <x v="507"/>
    <n v="115500"/>
    <n v="123.53"/>
    <n v="77700"/>
    <n v="37800"/>
    <n v="40.43"/>
    <n v="0"/>
    <d v="2023-11-24T00:00:00"/>
  </r>
  <r>
    <s v="B03688"/>
    <s v="P118"/>
    <x v="13"/>
    <s v="Sold Out"/>
    <n v="21"/>
    <n v="21"/>
    <n v="0"/>
    <n v="0"/>
    <x v="511"/>
    <n v="115500"/>
    <n v="123.53"/>
    <n v="75600"/>
    <n v="39900"/>
    <n v="42.67"/>
    <n v="0"/>
    <d v="2024-01-20T00:00:00"/>
  </r>
  <r>
    <s v="B03689"/>
    <s v="P118"/>
    <x v="13"/>
    <s v="Sold Out"/>
    <n v="18"/>
    <n v="18"/>
    <n v="0"/>
    <n v="0"/>
    <x v="838"/>
    <n v="99000"/>
    <n v="105.88"/>
    <n v="64800"/>
    <n v="34200"/>
    <n v="36.58"/>
    <n v="0"/>
    <d v="2024-03-20T00:00:00"/>
  </r>
  <r>
    <s v="B03690"/>
    <s v="P118"/>
    <x v="13"/>
    <s v="Sold Out"/>
    <n v="22"/>
    <n v="22"/>
    <n v="0"/>
    <n v="0"/>
    <x v="398"/>
    <n v="121000"/>
    <n v="129.41"/>
    <n v="79200"/>
    <n v="41800"/>
    <n v="44.71"/>
    <n v="0"/>
    <d v="2024-05-24T00:00:00"/>
  </r>
  <r>
    <s v="B03691"/>
    <s v="P118"/>
    <x v="13"/>
    <s v="Sold Out"/>
    <n v="17"/>
    <n v="17"/>
    <n v="0"/>
    <n v="0"/>
    <x v="966"/>
    <n v="93500"/>
    <n v="100"/>
    <n v="61200"/>
    <n v="32300"/>
    <n v="34.549999999999997"/>
    <n v="0"/>
    <d v="2024-07-26T00:00:00"/>
  </r>
  <r>
    <s v="B03692"/>
    <s v="P118"/>
    <x v="13"/>
    <s v="Sold Out"/>
    <n v="22"/>
    <n v="22"/>
    <n v="0"/>
    <n v="0"/>
    <x v="370"/>
    <n v="121000"/>
    <n v="129.41"/>
    <n v="79200"/>
    <n v="41800"/>
    <n v="44.71"/>
    <n v="0"/>
    <d v="2024-09-21T00:00:00"/>
  </r>
  <r>
    <s v="B03693"/>
    <s v="P118"/>
    <x v="13"/>
    <s v="Sold Out"/>
    <n v="19"/>
    <n v="19"/>
    <n v="0"/>
    <n v="0"/>
    <x v="409"/>
    <n v="104500"/>
    <n v="111.76"/>
    <n v="70300"/>
    <n v="34200"/>
    <n v="36.58"/>
    <n v="0"/>
    <d v="2024-11-24T00:00:00"/>
  </r>
  <r>
    <s v="B03694"/>
    <s v="P118"/>
    <x v="13"/>
    <s v="Sold Out"/>
    <n v="21"/>
    <n v="21"/>
    <n v="0"/>
    <n v="0"/>
    <x v="410"/>
    <n v="115500"/>
    <n v="123.53"/>
    <n v="75600"/>
    <n v="39900"/>
    <n v="42.67"/>
    <n v="0"/>
    <d v="2025-01-21T00:00:00"/>
  </r>
  <r>
    <s v="B03695"/>
    <s v="P118"/>
    <x v="13"/>
    <s v="Sold Out"/>
    <n v="25"/>
    <n v="25"/>
    <n v="0"/>
    <n v="0"/>
    <x v="192"/>
    <n v="137500"/>
    <n v="147.06"/>
    <n v="90000"/>
    <n v="47500"/>
    <n v="50.8"/>
    <n v="0"/>
    <d v="2025-04-04T00:00:00"/>
  </r>
  <r>
    <s v="B03696"/>
    <s v="P118"/>
    <x v="13"/>
    <s v="Sold Out"/>
    <n v="22"/>
    <n v="22"/>
    <n v="0"/>
    <n v="0"/>
    <x v="967"/>
    <n v="121000"/>
    <n v="129.41"/>
    <n v="79200"/>
    <n v="41800"/>
    <n v="44.71"/>
    <n v="0"/>
    <d v="2025-06-12T00:00:00"/>
  </r>
  <r>
    <s v="B03697"/>
    <s v="P119"/>
    <x v="13"/>
    <s v="Sold Out"/>
    <n v="21"/>
    <n v="21"/>
    <n v="0"/>
    <n v="0"/>
    <x v="421"/>
    <n v="21000"/>
    <n v="22.46"/>
    <n v="13650"/>
    <n v="7350"/>
    <n v="7.86"/>
    <n v="0"/>
    <d v="2023-07-14T00:00:00"/>
  </r>
  <r>
    <s v="B03698"/>
    <s v="P119"/>
    <x v="13"/>
    <s v="Sold Out"/>
    <n v="25"/>
    <n v="25"/>
    <n v="0"/>
    <n v="0"/>
    <x v="968"/>
    <n v="25000"/>
    <n v="26.74"/>
    <n v="16250"/>
    <n v="8750"/>
    <n v="9.36"/>
    <n v="0"/>
    <d v="2023-09-13T00:00:00"/>
  </r>
  <r>
    <s v="B03699"/>
    <s v="P119"/>
    <x v="13"/>
    <s v="Sold Out"/>
    <n v="22"/>
    <n v="22"/>
    <n v="0"/>
    <n v="0"/>
    <x v="156"/>
    <n v="22000"/>
    <n v="23.53"/>
    <n v="14300"/>
    <n v="7700"/>
    <n v="8.24"/>
    <n v="0"/>
    <d v="2023-11-10T00:00:00"/>
  </r>
  <r>
    <s v="B03700"/>
    <s v="P119"/>
    <x v="13"/>
    <s v="Sold Out"/>
    <n v="17"/>
    <n v="17"/>
    <n v="0"/>
    <n v="0"/>
    <x v="969"/>
    <n v="17000"/>
    <n v="18.18"/>
    <n v="11050"/>
    <n v="5950"/>
    <n v="6.36"/>
    <n v="0"/>
    <d v="2024-01-13T00:00:00"/>
  </r>
  <r>
    <s v="B03701"/>
    <s v="P119"/>
    <x v="13"/>
    <s v="Sold Out"/>
    <n v="22"/>
    <n v="22"/>
    <n v="0"/>
    <n v="0"/>
    <x v="514"/>
    <n v="22000"/>
    <n v="23.53"/>
    <n v="14300"/>
    <n v="7700"/>
    <n v="8.24"/>
    <n v="0"/>
    <d v="2024-02-28T00:00:00"/>
  </r>
  <r>
    <s v="B03702"/>
    <s v="P119"/>
    <x v="13"/>
    <s v="Sold Out"/>
    <n v="21"/>
    <n v="21"/>
    <n v="0"/>
    <n v="0"/>
    <x v="362"/>
    <n v="21000"/>
    <n v="22.46"/>
    <n v="13650"/>
    <n v="7350"/>
    <n v="7.86"/>
    <n v="0"/>
    <d v="2024-04-22T00:00:00"/>
  </r>
  <r>
    <s v="B03703"/>
    <s v="P119"/>
    <x v="13"/>
    <s v="Sold Out"/>
    <n v="18"/>
    <n v="18"/>
    <n v="0"/>
    <n v="0"/>
    <x v="108"/>
    <n v="18000"/>
    <n v="19.25"/>
    <n v="12600"/>
    <n v="5400"/>
    <n v="5.78"/>
    <n v="0"/>
    <d v="2024-06-24T00:00:00"/>
  </r>
  <r>
    <s v="B03704"/>
    <s v="P119"/>
    <x v="13"/>
    <s v="Sold Out"/>
    <n v="26"/>
    <n v="26"/>
    <n v="0"/>
    <n v="0"/>
    <x v="970"/>
    <n v="26000"/>
    <n v="27.81"/>
    <n v="16900"/>
    <n v="9100"/>
    <n v="9.73"/>
    <n v="0"/>
    <d v="2024-09-02T00:00:00"/>
  </r>
  <r>
    <s v="B03705"/>
    <s v="P119"/>
    <x v="13"/>
    <s v="Sold Out"/>
    <n v="21"/>
    <n v="21"/>
    <n v="0"/>
    <n v="0"/>
    <x v="609"/>
    <n v="21000"/>
    <n v="22.46"/>
    <n v="13650"/>
    <n v="7350"/>
    <n v="7.86"/>
    <n v="0"/>
    <d v="2024-10-27T00:00:00"/>
  </r>
  <r>
    <s v="B03706"/>
    <s v="P119"/>
    <x v="13"/>
    <s v="Sold Out"/>
    <n v="28"/>
    <n v="28"/>
    <n v="0"/>
    <n v="0"/>
    <x v="58"/>
    <n v="28000"/>
    <n v="29.95"/>
    <n v="18200"/>
    <n v="9800"/>
    <n v="10.48"/>
    <n v="0"/>
    <d v="2024-12-23T00:00:00"/>
  </r>
  <r>
    <s v="B03707"/>
    <s v="P119"/>
    <x v="13"/>
    <s v="Sold Out"/>
    <n v="23"/>
    <n v="23"/>
    <n v="0"/>
    <n v="0"/>
    <x v="971"/>
    <n v="23000"/>
    <n v="24.6"/>
    <n v="14950"/>
    <n v="8050"/>
    <n v="8.61"/>
    <n v="0"/>
    <d v="2025-02-26T00:00:00"/>
  </r>
  <r>
    <s v="B03708"/>
    <s v="P119"/>
    <x v="13"/>
    <s v="Sold Out"/>
    <n v="24"/>
    <n v="24"/>
    <n v="0"/>
    <n v="0"/>
    <x v="972"/>
    <n v="24000"/>
    <n v="25.67"/>
    <n v="16800"/>
    <n v="7200"/>
    <n v="7.7"/>
    <n v="0"/>
    <d v="2025-04-17T00:00:00"/>
  </r>
  <r>
    <s v="B03709"/>
    <s v="P119"/>
    <x v="13"/>
    <s v="Sold Out"/>
    <n v="25"/>
    <n v="25"/>
    <n v="0"/>
    <n v="0"/>
    <x v="973"/>
    <n v="25000"/>
    <n v="26.74"/>
    <n v="16250"/>
    <n v="8750"/>
    <n v="9.36"/>
    <n v="0"/>
    <d v="2025-06-08T00:00:00"/>
  </r>
  <r>
    <s v="B03710"/>
    <s v="P120"/>
    <x v="13"/>
    <s v="Sold Out"/>
    <n v="19"/>
    <n v="19"/>
    <n v="0"/>
    <n v="0"/>
    <x v="500"/>
    <n v="28500"/>
    <n v="30.48"/>
    <n v="18050"/>
    <n v="10450"/>
    <n v="11.18"/>
    <n v="0"/>
    <d v="2023-07-01T00:00:00"/>
  </r>
  <r>
    <s v="B03711"/>
    <s v="P120"/>
    <x v="13"/>
    <s v="Sold Out"/>
    <n v="17"/>
    <n v="17"/>
    <n v="0"/>
    <n v="0"/>
    <x v="974"/>
    <n v="25500"/>
    <n v="27.27"/>
    <n v="18700"/>
    <n v="6800"/>
    <n v="7.27"/>
    <n v="0"/>
    <d v="2023-08-26T00:00:00"/>
  </r>
  <r>
    <s v="B03712"/>
    <s v="P120"/>
    <x v="13"/>
    <s v="Sold Out"/>
    <n v="22"/>
    <n v="22"/>
    <n v="0"/>
    <n v="0"/>
    <x v="537"/>
    <n v="33000"/>
    <n v="35.29"/>
    <n v="20900"/>
    <n v="12100"/>
    <n v="12.94"/>
    <n v="0"/>
    <d v="2023-10-23T00:00:00"/>
  </r>
  <r>
    <s v="B03713"/>
    <s v="P120"/>
    <x v="13"/>
    <s v="Sold Out"/>
    <n v="29"/>
    <n v="29"/>
    <n v="0"/>
    <n v="0"/>
    <x v="262"/>
    <n v="43500"/>
    <n v="46.52"/>
    <n v="27550"/>
    <n v="15950"/>
    <n v="17.059999999999999"/>
    <n v="0"/>
    <d v="2023-12-28T00:00:00"/>
  </r>
  <r>
    <s v="B03714"/>
    <s v="P120"/>
    <x v="13"/>
    <s v="Sold Out"/>
    <n v="22"/>
    <n v="22"/>
    <n v="0"/>
    <n v="0"/>
    <x v="975"/>
    <n v="33000"/>
    <n v="35.29"/>
    <n v="20900"/>
    <n v="12100"/>
    <n v="12.94"/>
    <n v="0"/>
    <d v="2024-02-19T00:00:00"/>
  </r>
  <r>
    <s v="B03715"/>
    <s v="P120"/>
    <x v="13"/>
    <s v="Sold Out"/>
    <n v="23"/>
    <n v="23"/>
    <n v="0"/>
    <n v="0"/>
    <x v="622"/>
    <n v="34500"/>
    <n v="36.9"/>
    <n v="25300"/>
    <n v="9200"/>
    <n v="9.84"/>
    <n v="0"/>
    <d v="2024-04-13T00:00:00"/>
  </r>
  <r>
    <s v="B03716"/>
    <s v="P120"/>
    <x v="13"/>
    <s v="Sold Out"/>
    <n v="19"/>
    <n v="19"/>
    <n v="0"/>
    <n v="0"/>
    <x v="362"/>
    <n v="28500"/>
    <n v="30.48"/>
    <n v="18050"/>
    <n v="10450"/>
    <n v="11.18"/>
    <n v="0"/>
    <d v="2024-06-19T00:00:00"/>
  </r>
  <r>
    <s v="B03717"/>
    <s v="P120"/>
    <x v="13"/>
    <s v="Sold Out"/>
    <n v="18"/>
    <n v="18"/>
    <n v="0"/>
    <n v="0"/>
    <x v="328"/>
    <n v="27000"/>
    <n v="28.88"/>
    <n v="17100"/>
    <n v="9900"/>
    <n v="10.59"/>
    <n v="0"/>
    <d v="2024-08-19T00:00:00"/>
  </r>
  <r>
    <s v="B03718"/>
    <s v="P120"/>
    <x v="13"/>
    <s v="Sold Out"/>
    <n v="20"/>
    <n v="20"/>
    <n v="0"/>
    <n v="0"/>
    <x v="521"/>
    <n v="30000"/>
    <n v="32.090000000000003"/>
    <n v="19000"/>
    <n v="11000"/>
    <n v="11.76"/>
    <n v="0"/>
    <d v="2024-10-27T00:00:00"/>
  </r>
  <r>
    <s v="B03719"/>
    <s v="P120"/>
    <x v="13"/>
    <s v="Sold Out"/>
    <n v="28"/>
    <n v="28"/>
    <n v="0"/>
    <n v="0"/>
    <x v="560"/>
    <n v="42000"/>
    <n v="44.92"/>
    <n v="26600"/>
    <n v="15400"/>
    <n v="16.47"/>
    <n v="0"/>
    <d v="2024-12-20T00:00:00"/>
  </r>
  <r>
    <s v="B03720"/>
    <s v="P120"/>
    <x v="13"/>
    <s v="Sold Out"/>
    <n v="21"/>
    <n v="21"/>
    <n v="0"/>
    <n v="0"/>
    <x v="856"/>
    <n v="31500"/>
    <n v="33.69"/>
    <n v="23100"/>
    <n v="8400"/>
    <n v="8.98"/>
    <n v="0"/>
    <d v="2025-02-25T00:00:00"/>
  </r>
  <r>
    <s v="B03721"/>
    <s v="P120"/>
    <x v="13"/>
    <s v="Sold Out"/>
    <n v="20"/>
    <n v="20"/>
    <n v="0"/>
    <n v="0"/>
    <x v="132"/>
    <n v="30000"/>
    <n v="32.090000000000003"/>
    <n v="19000"/>
    <n v="11000"/>
    <n v="11.76"/>
    <n v="0"/>
    <d v="2025-04-12T00:00:00"/>
  </r>
  <r>
    <s v="B03722"/>
    <s v="P120"/>
    <x v="13"/>
    <s v="Sold Out"/>
    <n v="19"/>
    <n v="19"/>
    <n v="0"/>
    <n v="0"/>
    <x v="74"/>
    <n v="28500"/>
    <n v="30.48"/>
    <n v="18050"/>
    <n v="10450"/>
    <n v="11.18"/>
    <n v="0"/>
    <d v="2025-06-09T00:00:00"/>
  </r>
  <r>
    <s v="B03723"/>
    <s v="P121"/>
    <x v="13"/>
    <s v="Sold Out"/>
    <n v="19"/>
    <n v="19"/>
    <n v="0"/>
    <n v="0"/>
    <x v="864"/>
    <n v="38000"/>
    <n v="40.64"/>
    <n v="24700"/>
    <n v="13300"/>
    <n v="14.22"/>
    <n v="0"/>
    <d v="2023-07-22T00:00:00"/>
  </r>
  <r>
    <s v="B03724"/>
    <s v="P121"/>
    <x v="13"/>
    <s v="Sold Out"/>
    <n v="24"/>
    <n v="24"/>
    <n v="0"/>
    <n v="0"/>
    <x v="203"/>
    <n v="48000"/>
    <n v="51.34"/>
    <n v="31200"/>
    <n v="16800"/>
    <n v="17.97"/>
    <n v="0"/>
    <d v="2023-09-15T00:00:00"/>
  </r>
  <r>
    <s v="B03725"/>
    <s v="P121"/>
    <x v="13"/>
    <s v="Sold Out"/>
    <n v="21"/>
    <n v="21"/>
    <n v="0"/>
    <n v="0"/>
    <x v="149"/>
    <n v="42000"/>
    <n v="44.92"/>
    <n v="27300"/>
    <n v="14700"/>
    <n v="15.72"/>
    <n v="0"/>
    <d v="2023-10-27T00:00:00"/>
  </r>
  <r>
    <s v="B03726"/>
    <s v="P121"/>
    <x v="13"/>
    <s v="Sold Out"/>
    <n v="22"/>
    <n v="22"/>
    <n v="0"/>
    <n v="0"/>
    <x v="976"/>
    <n v="44000"/>
    <n v="47.06"/>
    <n v="28600"/>
    <n v="15400"/>
    <n v="16.47"/>
    <n v="0"/>
    <d v="2024-01-04T00:00:00"/>
  </r>
  <r>
    <s v="B03727"/>
    <s v="P121"/>
    <x v="13"/>
    <s v="Sold Out"/>
    <n v="23"/>
    <n v="23"/>
    <n v="0"/>
    <n v="0"/>
    <x v="393"/>
    <n v="46000"/>
    <n v="49.2"/>
    <n v="29900"/>
    <n v="16100"/>
    <n v="17.22"/>
    <n v="0"/>
    <d v="2024-03-08T00:00:00"/>
  </r>
  <r>
    <s v="B03728"/>
    <s v="P121"/>
    <x v="13"/>
    <s v="Sold Out"/>
    <n v="22"/>
    <n v="22"/>
    <n v="0"/>
    <n v="0"/>
    <x v="271"/>
    <n v="44000"/>
    <n v="47.06"/>
    <n v="30800"/>
    <n v="13200"/>
    <n v="14.12"/>
    <n v="0"/>
    <d v="2024-05-21T00:00:00"/>
  </r>
  <r>
    <s v="B03729"/>
    <s v="P121"/>
    <x v="13"/>
    <s v="Sold Out"/>
    <n v="18"/>
    <n v="18"/>
    <n v="0"/>
    <n v="0"/>
    <x v="174"/>
    <n v="36000"/>
    <n v="38.5"/>
    <n v="23400"/>
    <n v="12600"/>
    <n v="13.48"/>
    <n v="0"/>
    <d v="2024-07-16T00:00:00"/>
  </r>
  <r>
    <s v="B03730"/>
    <s v="P121"/>
    <x v="13"/>
    <s v="Sold Out"/>
    <n v="21"/>
    <n v="21"/>
    <n v="0"/>
    <n v="0"/>
    <x v="429"/>
    <n v="42000"/>
    <n v="44.92"/>
    <n v="27300"/>
    <n v="14700"/>
    <n v="15.72"/>
    <n v="0"/>
    <d v="2024-08-28T00:00:00"/>
  </r>
  <r>
    <s v="B03731"/>
    <s v="P121"/>
    <x v="13"/>
    <s v="Sold Out"/>
    <n v="23"/>
    <n v="23"/>
    <n v="0"/>
    <n v="0"/>
    <x v="228"/>
    <n v="46000"/>
    <n v="49.2"/>
    <n v="29900"/>
    <n v="16100"/>
    <n v="17.22"/>
    <n v="0"/>
    <d v="2024-10-15T00:00:00"/>
  </r>
  <r>
    <s v="B03732"/>
    <s v="P121"/>
    <x v="13"/>
    <s v="Sold Out"/>
    <n v="24"/>
    <n v="24"/>
    <n v="0"/>
    <n v="0"/>
    <x v="125"/>
    <n v="48000"/>
    <n v="51.34"/>
    <n v="31200"/>
    <n v="16800"/>
    <n v="17.97"/>
    <n v="0"/>
    <d v="2024-12-17T00:00:00"/>
  </r>
  <r>
    <s v="B03733"/>
    <s v="P121"/>
    <x v="13"/>
    <s v="Sold Out"/>
    <n v="19"/>
    <n v="19"/>
    <n v="0"/>
    <n v="0"/>
    <x v="635"/>
    <n v="38000"/>
    <n v="40.64"/>
    <n v="26600"/>
    <n v="11400"/>
    <n v="12.19"/>
    <n v="0"/>
    <d v="2025-02-04T00:00:00"/>
  </r>
  <r>
    <s v="B03734"/>
    <s v="P121"/>
    <x v="13"/>
    <s v="Sold Out"/>
    <n v="23"/>
    <n v="23"/>
    <n v="0"/>
    <n v="0"/>
    <x v="977"/>
    <n v="46000"/>
    <n v="49.2"/>
    <n v="32200"/>
    <n v="13800"/>
    <n v="14.76"/>
    <n v="0"/>
    <d v="2025-04-04T00:00:00"/>
  </r>
  <r>
    <s v="B03735"/>
    <s v="P121"/>
    <x v="13"/>
    <s v="Sold Out"/>
    <n v="22"/>
    <n v="22"/>
    <n v="0"/>
    <n v="0"/>
    <x v="496"/>
    <n v="44000"/>
    <n v="47.06"/>
    <n v="28600"/>
    <n v="15400"/>
    <n v="16.47"/>
    <n v="0"/>
    <d v="2025-05-26T00:00:00"/>
  </r>
  <r>
    <s v="B03736"/>
    <s v="P122"/>
    <x v="13"/>
    <s v="Sold Out"/>
    <n v="22"/>
    <n v="22"/>
    <n v="0"/>
    <n v="0"/>
    <x v="81"/>
    <n v="55000"/>
    <n v="58.82"/>
    <n v="38500"/>
    <n v="16500"/>
    <n v="17.649999999999999"/>
    <n v="0"/>
    <d v="2023-07-03T00:00:00"/>
  </r>
  <r>
    <s v="B03737"/>
    <s v="P122"/>
    <x v="13"/>
    <s v="Sold Out"/>
    <n v="22"/>
    <n v="22"/>
    <n v="0"/>
    <n v="0"/>
    <x v="204"/>
    <n v="55000"/>
    <n v="58.82"/>
    <n v="38500"/>
    <n v="16500"/>
    <n v="17.649999999999999"/>
    <n v="0"/>
    <d v="2023-08-24T00:00:00"/>
  </r>
  <r>
    <s v="B03738"/>
    <s v="P122"/>
    <x v="13"/>
    <s v="Sold Out"/>
    <n v="22"/>
    <n v="22"/>
    <n v="0"/>
    <n v="0"/>
    <x v="18"/>
    <n v="55000"/>
    <n v="58.82"/>
    <n v="38500"/>
    <n v="16500"/>
    <n v="17.649999999999999"/>
    <n v="0"/>
    <d v="2023-11-05T00:00:00"/>
  </r>
  <r>
    <s v="B03739"/>
    <s v="P122"/>
    <x v="13"/>
    <s v="Sold Out"/>
    <n v="26"/>
    <n v="26"/>
    <n v="0"/>
    <n v="0"/>
    <x v="357"/>
    <n v="65000"/>
    <n v="69.52"/>
    <n v="45500"/>
    <n v="19500"/>
    <n v="20.86"/>
    <n v="0"/>
    <d v="2023-12-26T00:00:00"/>
  </r>
  <r>
    <s v="B03740"/>
    <s v="P122"/>
    <x v="13"/>
    <s v="Sold Out"/>
    <n v="18"/>
    <n v="18"/>
    <n v="0"/>
    <n v="0"/>
    <x v="735"/>
    <n v="45000"/>
    <n v="48.13"/>
    <n v="31500"/>
    <n v="13500"/>
    <n v="14.44"/>
    <n v="0"/>
    <d v="2024-02-06T00:00:00"/>
  </r>
  <r>
    <s v="B03741"/>
    <s v="P122"/>
    <x v="13"/>
    <s v="Sold Out"/>
    <n v="21"/>
    <n v="21"/>
    <n v="0"/>
    <n v="0"/>
    <x v="104"/>
    <n v="52500"/>
    <n v="56.15"/>
    <n v="36750"/>
    <n v="15750"/>
    <n v="16.84"/>
    <n v="0"/>
    <d v="2024-04-04T00:00:00"/>
  </r>
  <r>
    <s v="B03742"/>
    <s v="P122"/>
    <x v="13"/>
    <s v="Sold Out"/>
    <n v="18"/>
    <n v="18"/>
    <n v="0"/>
    <n v="0"/>
    <x v="321"/>
    <n v="45000"/>
    <n v="48.13"/>
    <n v="30600"/>
    <n v="14400"/>
    <n v="15.4"/>
    <n v="0"/>
    <d v="2024-06-07T00:00:00"/>
  </r>
  <r>
    <s v="B03743"/>
    <s v="P122"/>
    <x v="13"/>
    <s v="Sold Out"/>
    <n v="19"/>
    <n v="19"/>
    <n v="0"/>
    <n v="0"/>
    <x v="320"/>
    <n v="47500"/>
    <n v="50.8"/>
    <n v="33250"/>
    <n v="14250"/>
    <n v="15.24"/>
    <n v="0"/>
    <d v="2024-07-13T00:00:00"/>
  </r>
  <r>
    <s v="B03744"/>
    <s v="P122"/>
    <x v="13"/>
    <s v="Sold Out"/>
    <n v="23"/>
    <n v="23"/>
    <n v="0"/>
    <n v="0"/>
    <x v="48"/>
    <n v="57500"/>
    <n v="61.5"/>
    <n v="40250"/>
    <n v="17250"/>
    <n v="18.45"/>
    <n v="0"/>
    <d v="2024-09-23T00:00:00"/>
  </r>
  <r>
    <s v="B03745"/>
    <s v="P122"/>
    <x v="13"/>
    <s v="Sold Out"/>
    <n v="19"/>
    <n v="19"/>
    <n v="0"/>
    <n v="0"/>
    <x v="227"/>
    <n v="47500"/>
    <n v="50.8"/>
    <n v="32300"/>
    <n v="15200"/>
    <n v="16.260000000000002"/>
    <n v="0"/>
    <d v="2024-11-29T00:00:00"/>
  </r>
  <r>
    <s v="B03746"/>
    <s v="P122"/>
    <x v="13"/>
    <s v="Sold Out"/>
    <n v="21"/>
    <n v="21"/>
    <n v="0"/>
    <n v="0"/>
    <x v="61"/>
    <n v="52500"/>
    <n v="56.15"/>
    <n v="36750"/>
    <n v="15750"/>
    <n v="16.84"/>
    <n v="0"/>
    <d v="2025-01-12T00:00:00"/>
  </r>
  <r>
    <s v="B03747"/>
    <s v="P122"/>
    <x v="13"/>
    <s v="Sold Out"/>
    <n v="22"/>
    <n v="22"/>
    <n v="0"/>
    <n v="0"/>
    <x v="234"/>
    <n v="55000"/>
    <n v="58.82"/>
    <n v="38500"/>
    <n v="16500"/>
    <n v="17.649999999999999"/>
    <n v="0"/>
    <d v="2025-03-02T00:00:00"/>
  </r>
  <r>
    <s v="B03748"/>
    <s v="P122"/>
    <x v="13"/>
    <s v="Sold Out"/>
    <n v="23"/>
    <n v="23"/>
    <n v="0"/>
    <n v="0"/>
    <x v="73"/>
    <n v="57500"/>
    <n v="61.5"/>
    <n v="40250"/>
    <n v="17250"/>
    <n v="18.45"/>
    <n v="0"/>
    <d v="2025-05-11T00:00:00"/>
  </r>
  <r>
    <s v="B03749"/>
    <s v="P122"/>
    <x v="13"/>
    <s v="Sold Out"/>
    <n v="21"/>
    <n v="21"/>
    <n v="0"/>
    <n v="0"/>
    <x v="417"/>
    <n v="52500"/>
    <n v="56.15"/>
    <n v="36750"/>
    <n v="15750"/>
    <n v="16.84"/>
    <n v="0"/>
    <d v="2025-06-28T00:00:00"/>
  </r>
  <r>
    <s v="B03750"/>
    <s v="P123"/>
    <x v="13"/>
    <s v="Sold Out"/>
    <n v="19"/>
    <n v="19"/>
    <n v="0"/>
    <n v="0"/>
    <x v="965"/>
    <n v="57000"/>
    <n v="60.96"/>
    <n v="37050"/>
    <n v="19950"/>
    <n v="21.34"/>
    <n v="0"/>
    <d v="2023-08-02T00:00:00"/>
  </r>
  <r>
    <s v="B03751"/>
    <s v="P123"/>
    <x v="13"/>
    <s v="Sold Out"/>
    <n v="28"/>
    <n v="28"/>
    <n v="0"/>
    <n v="0"/>
    <x v="146"/>
    <n v="84000"/>
    <n v="89.84"/>
    <n v="54600"/>
    <n v="29400"/>
    <n v="31.44"/>
    <n v="0"/>
    <d v="2023-09-28T00:00:00"/>
  </r>
  <r>
    <s v="B03752"/>
    <s v="P123"/>
    <x v="13"/>
    <s v="Sold Out"/>
    <n v="23"/>
    <n v="23"/>
    <n v="0"/>
    <n v="0"/>
    <x v="823"/>
    <n v="69000"/>
    <n v="73.8"/>
    <n v="44850"/>
    <n v="24150"/>
    <n v="25.83"/>
    <n v="0"/>
    <d v="2023-11-20T00:00:00"/>
  </r>
  <r>
    <s v="B03753"/>
    <s v="P123"/>
    <x v="13"/>
    <s v="Sold Out"/>
    <n v="18"/>
    <n v="18"/>
    <n v="0"/>
    <n v="0"/>
    <x v="745"/>
    <n v="54000"/>
    <n v="57.75"/>
    <n v="35100"/>
    <n v="18900"/>
    <n v="20.21"/>
    <n v="0"/>
    <d v="2024-01-09T00:00:00"/>
  </r>
  <r>
    <s v="B03754"/>
    <s v="P123"/>
    <x v="13"/>
    <s v="Sold Out"/>
    <n v="18"/>
    <n v="18"/>
    <n v="0"/>
    <n v="0"/>
    <x v="735"/>
    <n v="54000"/>
    <n v="57.75"/>
    <n v="35100"/>
    <n v="18900"/>
    <n v="20.21"/>
    <n v="0"/>
    <d v="2024-03-17T00:00:00"/>
  </r>
  <r>
    <s v="B03755"/>
    <s v="P123"/>
    <x v="13"/>
    <s v="Sold Out"/>
    <n v="18"/>
    <n v="18"/>
    <n v="0"/>
    <n v="0"/>
    <x v="107"/>
    <n v="54000"/>
    <n v="57.75"/>
    <n v="39600"/>
    <n v="14400"/>
    <n v="15.4"/>
    <n v="0"/>
    <d v="2024-05-07T00:00:00"/>
  </r>
  <r>
    <s v="B03756"/>
    <s v="P123"/>
    <x v="13"/>
    <s v="Sold Out"/>
    <n v="23"/>
    <n v="23"/>
    <n v="0"/>
    <n v="0"/>
    <x v="883"/>
    <n v="69000"/>
    <n v="73.8"/>
    <n v="44850"/>
    <n v="24150"/>
    <n v="25.83"/>
    <n v="0"/>
    <d v="2024-07-02T00:00:00"/>
  </r>
  <r>
    <s v="B03757"/>
    <s v="P123"/>
    <x v="13"/>
    <s v="Sold Out"/>
    <n v="23"/>
    <n v="23"/>
    <n v="0"/>
    <n v="0"/>
    <x v="520"/>
    <n v="69000"/>
    <n v="73.8"/>
    <n v="44850"/>
    <n v="24150"/>
    <n v="25.83"/>
    <n v="0"/>
    <d v="2024-08-29T00:00:00"/>
  </r>
  <r>
    <s v="B03758"/>
    <s v="P123"/>
    <x v="13"/>
    <s v="Sold Out"/>
    <n v="21"/>
    <n v="21"/>
    <n v="0"/>
    <n v="0"/>
    <x v="609"/>
    <n v="63000"/>
    <n v="67.38"/>
    <n v="46200"/>
    <n v="16800"/>
    <n v="17.97"/>
    <n v="0"/>
    <d v="2024-10-28T00:00:00"/>
  </r>
  <r>
    <s v="B03759"/>
    <s v="P123"/>
    <x v="13"/>
    <s v="Sold Out"/>
    <n v="22"/>
    <n v="22"/>
    <n v="0"/>
    <n v="0"/>
    <x v="865"/>
    <n v="66000"/>
    <n v="70.59"/>
    <n v="42900"/>
    <n v="23100"/>
    <n v="24.71"/>
    <n v="0"/>
    <d v="2024-12-20T00:00:00"/>
  </r>
  <r>
    <s v="B03760"/>
    <s v="P123"/>
    <x v="13"/>
    <s v="Sold Out"/>
    <n v="24"/>
    <n v="24"/>
    <n v="0"/>
    <n v="0"/>
    <x v="523"/>
    <n v="72000"/>
    <n v="77.010000000000005"/>
    <n v="46800"/>
    <n v="25200"/>
    <n v="26.95"/>
    <n v="0"/>
    <d v="2025-02-19T00:00:00"/>
  </r>
  <r>
    <s v="B03761"/>
    <s v="P123"/>
    <x v="13"/>
    <s v="Sold Out"/>
    <n v="24"/>
    <n v="24"/>
    <n v="0"/>
    <n v="0"/>
    <x v="241"/>
    <n v="72000"/>
    <n v="77.010000000000005"/>
    <n v="46800"/>
    <n v="25200"/>
    <n v="26.95"/>
    <n v="0"/>
    <d v="2025-04-19T00:00:00"/>
  </r>
  <r>
    <s v="B03762"/>
    <s v="P123"/>
    <x v="13"/>
    <s v="Sold Out"/>
    <n v="20"/>
    <n v="20"/>
    <n v="0"/>
    <n v="0"/>
    <x v="978"/>
    <n v="60000"/>
    <n v="64.17"/>
    <n v="39000"/>
    <n v="21000"/>
    <n v="22.46"/>
    <n v="0"/>
    <d v="2025-06-04T00:00:00"/>
  </r>
  <r>
    <s v="B03763"/>
    <s v="P124"/>
    <x v="13"/>
    <s v="Sold Out"/>
    <n v="19"/>
    <n v="19"/>
    <n v="0"/>
    <n v="0"/>
    <x v="681"/>
    <n v="76000"/>
    <n v="81.28"/>
    <n v="48450"/>
    <n v="27550"/>
    <n v="29.47"/>
    <n v="0"/>
    <d v="2023-07-08T00:00:00"/>
  </r>
  <r>
    <s v="B03764"/>
    <s v="P124"/>
    <x v="13"/>
    <s v="Sold Out"/>
    <n v="23"/>
    <n v="23"/>
    <n v="0"/>
    <n v="0"/>
    <x v="979"/>
    <n v="92000"/>
    <n v="98.4"/>
    <n v="58650"/>
    <n v="33350"/>
    <n v="35.67"/>
    <n v="0"/>
    <d v="2023-09-11T00:00:00"/>
  </r>
  <r>
    <s v="B03765"/>
    <s v="P124"/>
    <x v="13"/>
    <s v="Sold Out"/>
    <n v="19"/>
    <n v="19"/>
    <n v="0"/>
    <n v="0"/>
    <x v="15"/>
    <n v="76000"/>
    <n v="81.28"/>
    <n v="48450"/>
    <n v="27550"/>
    <n v="29.47"/>
    <n v="0"/>
    <d v="2023-11-09T00:00:00"/>
  </r>
  <r>
    <s v="B03766"/>
    <s v="P124"/>
    <x v="13"/>
    <s v="Sold Out"/>
    <n v="20"/>
    <n v="20"/>
    <n v="0"/>
    <n v="0"/>
    <x v="543"/>
    <n v="80000"/>
    <n v="85.56"/>
    <n v="51000"/>
    <n v="29000"/>
    <n v="31.02"/>
    <n v="0"/>
    <d v="2024-01-04T00:00:00"/>
  </r>
  <r>
    <s v="B03767"/>
    <s v="P124"/>
    <x v="13"/>
    <s v="Sold Out"/>
    <n v="23"/>
    <n v="23"/>
    <n v="0"/>
    <n v="0"/>
    <x v="211"/>
    <n v="92000"/>
    <n v="98.4"/>
    <n v="58650"/>
    <n v="33350"/>
    <n v="35.67"/>
    <n v="0"/>
    <d v="2024-02-09T00:00:00"/>
  </r>
  <r>
    <s v="B03768"/>
    <s v="P124"/>
    <x v="13"/>
    <s v="Sold Out"/>
    <n v="23"/>
    <n v="23"/>
    <n v="0"/>
    <n v="0"/>
    <x v="513"/>
    <n v="92000"/>
    <n v="98.4"/>
    <n v="58650"/>
    <n v="33350"/>
    <n v="35.67"/>
    <n v="0"/>
    <d v="2024-03-26T00:00:00"/>
  </r>
  <r>
    <s v="B03769"/>
    <s v="P124"/>
    <x v="13"/>
    <s v="Sold Out"/>
    <n v="23"/>
    <n v="23"/>
    <n v="0"/>
    <n v="0"/>
    <x v="271"/>
    <n v="92000"/>
    <n v="98.4"/>
    <n v="58650"/>
    <n v="33350"/>
    <n v="35.67"/>
    <n v="0"/>
    <d v="2024-05-26T00:00:00"/>
  </r>
  <r>
    <s v="B03770"/>
    <s v="P124"/>
    <x v="13"/>
    <s v="Sold Out"/>
    <n v="20"/>
    <n v="20"/>
    <n v="0"/>
    <n v="0"/>
    <x v="489"/>
    <n v="80000"/>
    <n v="85.56"/>
    <n v="51000"/>
    <n v="29000"/>
    <n v="31.02"/>
    <n v="0"/>
    <d v="2024-07-29T00:00:00"/>
  </r>
  <r>
    <s v="B03771"/>
    <s v="P124"/>
    <x v="13"/>
    <s v="Sold Out"/>
    <n v="21"/>
    <n v="21"/>
    <n v="0"/>
    <n v="0"/>
    <x v="116"/>
    <n v="84000"/>
    <n v="89.84"/>
    <n v="53550"/>
    <n v="30450"/>
    <n v="32.57"/>
    <n v="0"/>
    <d v="2024-10-06T00:00:00"/>
  </r>
  <r>
    <s v="B03772"/>
    <s v="P124"/>
    <x v="13"/>
    <s v="Sold Out"/>
    <n v="19"/>
    <n v="19"/>
    <n v="0"/>
    <n v="0"/>
    <x v="372"/>
    <n v="76000"/>
    <n v="81.28"/>
    <n v="48450"/>
    <n v="27550"/>
    <n v="29.47"/>
    <n v="0"/>
    <d v="2024-11-16T00:00:00"/>
  </r>
  <r>
    <s v="B03773"/>
    <s v="P124"/>
    <x v="13"/>
    <s v="Sold Out"/>
    <n v="19"/>
    <n v="19"/>
    <n v="0"/>
    <n v="0"/>
    <x v="580"/>
    <n v="76000"/>
    <n v="81.28"/>
    <n v="48450"/>
    <n v="27550"/>
    <n v="29.47"/>
    <n v="0"/>
    <d v="2025-01-10T00:00:00"/>
  </r>
  <r>
    <s v="B03774"/>
    <s v="P124"/>
    <x v="13"/>
    <s v="Sold Out"/>
    <n v="22"/>
    <n v="22"/>
    <n v="0"/>
    <n v="0"/>
    <x v="971"/>
    <n v="88000"/>
    <n v="94.12"/>
    <n v="56100"/>
    <n v="31900"/>
    <n v="34.119999999999997"/>
    <n v="0"/>
    <d v="2025-02-26T00:00:00"/>
  </r>
  <r>
    <s v="B03775"/>
    <s v="P124"/>
    <x v="13"/>
    <s v="Sold Out"/>
    <n v="23"/>
    <n v="23"/>
    <n v="0"/>
    <n v="0"/>
    <x v="528"/>
    <n v="92000"/>
    <n v="98.4"/>
    <n v="60950"/>
    <n v="31050"/>
    <n v="33.21"/>
    <n v="0"/>
    <d v="2025-04-27T00:00:00"/>
  </r>
  <r>
    <s v="B03776"/>
    <s v="P124"/>
    <x v="13"/>
    <s v="Sold Out"/>
    <n v="21"/>
    <n v="21"/>
    <n v="0"/>
    <n v="0"/>
    <x v="820"/>
    <n v="84000"/>
    <n v="89.84"/>
    <n v="53550"/>
    <n v="30450"/>
    <n v="32.57"/>
    <n v="0"/>
    <d v="2025-06-22T00:00:00"/>
  </r>
  <r>
    <s v="B03777"/>
    <s v="P125"/>
    <x v="13"/>
    <s v="Sold Out"/>
    <n v="21"/>
    <n v="21"/>
    <n v="0"/>
    <n v="0"/>
    <x v="980"/>
    <n v="105000"/>
    <n v="112.3"/>
    <n v="69300"/>
    <n v="35700"/>
    <n v="38.18"/>
    <n v="0"/>
    <d v="2023-08-18T00:00:00"/>
  </r>
  <r>
    <s v="B03778"/>
    <s v="P125"/>
    <x v="13"/>
    <s v="Sold Out"/>
    <n v="20"/>
    <n v="20"/>
    <n v="0"/>
    <n v="0"/>
    <x v="150"/>
    <n v="100000"/>
    <n v="106.95"/>
    <n v="66000"/>
    <n v="34000"/>
    <n v="36.36"/>
    <n v="0"/>
    <d v="2023-10-20T00:00:00"/>
  </r>
  <r>
    <s v="B03779"/>
    <s v="P125"/>
    <x v="13"/>
    <s v="Sold Out"/>
    <n v="25"/>
    <n v="25"/>
    <n v="0"/>
    <n v="0"/>
    <x v="981"/>
    <n v="125000"/>
    <n v="133.69"/>
    <n v="82500"/>
    <n v="42500"/>
    <n v="45.45"/>
    <n v="0"/>
    <d v="2023-12-29T00:00:00"/>
  </r>
  <r>
    <s v="B03780"/>
    <s v="P125"/>
    <x v="13"/>
    <s v="Sold Out"/>
    <n v="19"/>
    <n v="19"/>
    <n v="0"/>
    <n v="0"/>
    <x v="546"/>
    <n v="95000"/>
    <n v="101.6"/>
    <n v="62700"/>
    <n v="32300"/>
    <n v="34.549999999999997"/>
    <n v="0"/>
    <d v="2024-03-04T00:00:00"/>
  </r>
  <r>
    <s v="B03781"/>
    <s v="P125"/>
    <x v="13"/>
    <s v="Sold Out"/>
    <n v="18"/>
    <n v="18"/>
    <n v="0"/>
    <n v="0"/>
    <x v="107"/>
    <n v="90000"/>
    <n v="96.26"/>
    <n v="59400"/>
    <n v="30600"/>
    <n v="32.729999999999997"/>
    <n v="0"/>
    <d v="2024-05-09T00:00:00"/>
  </r>
  <r>
    <s v="B03782"/>
    <s v="P125"/>
    <x v="13"/>
    <s v="Sold Out"/>
    <n v="18"/>
    <n v="18"/>
    <n v="0"/>
    <n v="0"/>
    <x v="174"/>
    <n v="90000"/>
    <n v="96.26"/>
    <n v="59400"/>
    <n v="30600"/>
    <n v="32.729999999999997"/>
    <n v="0"/>
    <d v="2024-07-06T00:00:00"/>
  </r>
  <r>
    <s v="B03783"/>
    <s v="P125"/>
    <x v="13"/>
    <s v="Sold Out"/>
    <n v="19"/>
    <n v="19"/>
    <n v="0"/>
    <n v="0"/>
    <x v="41"/>
    <n v="95000"/>
    <n v="101.6"/>
    <n v="62700"/>
    <n v="32300"/>
    <n v="34.549999999999997"/>
    <n v="0"/>
    <d v="2024-08-14T00:00:00"/>
  </r>
  <r>
    <s v="B03784"/>
    <s v="P125"/>
    <x v="13"/>
    <s v="Sold Out"/>
    <n v="23"/>
    <n v="23"/>
    <n v="0"/>
    <n v="0"/>
    <x v="228"/>
    <n v="115000"/>
    <n v="122.99"/>
    <n v="75900"/>
    <n v="39100"/>
    <n v="41.82"/>
    <n v="0"/>
    <d v="2024-10-07T00:00:00"/>
  </r>
  <r>
    <s v="B03785"/>
    <s v="P125"/>
    <x v="13"/>
    <s v="Sold Out"/>
    <n v="22"/>
    <n v="22"/>
    <n v="0"/>
    <n v="0"/>
    <x v="684"/>
    <n v="110000"/>
    <n v="117.65"/>
    <n v="72600"/>
    <n v="37400"/>
    <n v="40"/>
    <n v="0"/>
    <d v="2024-11-18T00:00:00"/>
  </r>
  <r>
    <s v="B03786"/>
    <s v="P125"/>
    <x v="13"/>
    <s v="Sold Out"/>
    <n v="21"/>
    <n v="21"/>
    <n v="0"/>
    <n v="0"/>
    <x v="129"/>
    <n v="105000"/>
    <n v="112.3"/>
    <n v="69300"/>
    <n v="35700"/>
    <n v="38.18"/>
    <n v="0"/>
    <d v="2025-01-27T00:00:00"/>
  </r>
  <r>
    <s v="B03787"/>
    <s v="P125"/>
    <x v="13"/>
    <s v="Sold Out"/>
    <n v="22"/>
    <n v="22"/>
    <n v="0"/>
    <n v="0"/>
    <x v="982"/>
    <n v="110000"/>
    <n v="117.65"/>
    <n v="72600"/>
    <n v="37400"/>
    <n v="40"/>
    <n v="0"/>
    <d v="2025-04-02T00:00:00"/>
  </r>
  <r>
    <s v="B03788"/>
    <s v="P125"/>
    <x v="13"/>
    <s v="Sold Out"/>
    <n v="19"/>
    <n v="19"/>
    <n v="0"/>
    <n v="0"/>
    <x v="200"/>
    <n v="95000"/>
    <n v="101.6"/>
    <n v="62700"/>
    <n v="32300"/>
    <n v="34.549999999999997"/>
    <n v="0"/>
    <d v="2025-06-02T00:00:00"/>
  </r>
  <r>
    <s v="B03789"/>
    <s v="P126"/>
    <x v="13"/>
    <s v="Sold Out"/>
    <n v="18"/>
    <n v="18"/>
    <n v="0"/>
    <n v="0"/>
    <x v="251"/>
    <n v="45000"/>
    <n v="48.13"/>
    <n v="30600"/>
    <n v="14400"/>
    <n v="15.4"/>
    <n v="0"/>
    <d v="2023-08-12T00:00:00"/>
  </r>
  <r>
    <s v="B03790"/>
    <s v="P126"/>
    <x v="13"/>
    <s v="Sold Out"/>
    <n v="23"/>
    <n v="23"/>
    <n v="0"/>
    <n v="0"/>
    <x v="353"/>
    <n v="57500"/>
    <n v="61.5"/>
    <n v="39100"/>
    <n v="18400"/>
    <n v="19.68"/>
    <n v="0"/>
    <d v="2023-10-04T00:00:00"/>
  </r>
  <r>
    <s v="B03791"/>
    <s v="P126"/>
    <x v="13"/>
    <s v="Sold Out"/>
    <n v="22"/>
    <n v="22"/>
    <n v="0"/>
    <n v="0"/>
    <x v="539"/>
    <n v="55000"/>
    <n v="58.82"/>
    <n v="37400"/>
    <n v="17600"/>
    <n v="18.82"/>
    <n v="0"/>
    <d v="2023-11-21T00:00:00"/>
  </r>
  <r>
    <s v="B03792"/>
    <s v="P126"/>
    <x v="13"/>
    <s v="Sold Out"/>
    <n v="22"/>
    <n v="22"/>
    <n v="0"/>
    <n v="0"/>
    <x v="97"/>
    <n v="55000"/>
    <n v="58.82"/>
    <n v="37400"/>
    <n v="17600"/>
    <n v="18.82"/>
    <n v="0"/>
    <d v="2024-01-29T00:00:00"/>
  </r>
  <r>
    <s v="B03793"/>
    <s v="P126"/>
    <x v="13"/>
    <s v="Sold Out"/>
    <n v="22"/>
    <n v="22"/>
    <n v="0"/>
    <n v="0"/>
    <x v="361"/>
    <n v="55000"/>
    <n v="58.82"/>
    <n v="37400"/>
    <n v="17600"/>
    <n v="18.82"/>
    <n v="0"/>
    <d v="2024-04-01T00:00:00"/>
  </r>
  <r>
    <s v="B03794"/>
    <s v="P126"/>
    <x v="13"/>
    <s v="Sold Out"/>
    <n v="22"/>
    <n v="22"/>
    <n v="0"/>
    <n v="0"/>
    <x v="271"/>
    <n v="55000"/>
    <n v="58.82"/>
    <n v="37400"/>
    <n v="17600"/>
    <n v="18.82"/>
    <n v="0"/>
    <d v="2024-05-26T00:00:00"/>
  </r>
  <r>
    <s v="B03795"/>
    <s v="P126"/>
    <x v="13"/>
    <s v="Sold Out"/>
    <n v="21"/>
    <n v="21"/>
    <n v="0"/>
    <n v="0"/>
    <x v="221"/>
    <n v="52500"/>
    <n v="56.15"/>
    <n v="35700"/>
    <n v="16800"/>
    <n v="17.97"/>
    <n v="0"/>
    <d v="2024-07-09T00:00:00"/>
  </r>
  <r>
    <s v="B03796"/>
    <s v="P126"/>
    <x v="13"/>
    <s v="Sold Out"/>
    <n v="22"/>
    <n v="22"/>
    <n v="0"/>
    <n v="0"/>
    <x v="578"/>
    <n v="55000"/>
    <n v="58.82"/>
    <n v="37400"/>
    <n v="17600"/>
    <n v="18.82"/>
    <n v="0"/>
    <d v="2024-09-11T00:00:00"/>
  </r>
  <r>
    <s v="B03797"/>
    <s v="P126"/>
    <x v="13"/>
    <s v="Sold Out"/>
    <n v="18"/>
    <n v="18"/>
    <n v="0"/>
    <n v="0"/>
    <x v="688"/>
    <n v="45000"/>
    <n v="48.13"/>
    <n v="30600"/>
    <n v="14400"/>
    <n v="15.4"/>
    <n v="0"/>
    <d v="2024-11-15T00:00:00"/>
  </r>
  <r>
    <s v="B03798"/>
    <s v="P126"/>
    <x v="13"/>
    <s v="Sold Out"/>
    <n v="25"/>
    <n v="25"/>
    <n v="0"/>
    <n v="0"/>
    <x v="375"/>
    <n v="62500"/>
    <n v="66.84"/>
    <n v="42500"/>
    <n v="20000"/>
    <n v="21.39"/>
    <n v="0"/>
    <d v="2025-01-09T00:00:00"/>
  </r>
  <r>
    <s v="B03799"/>
    <s v="P126"/>
    <x v="13"/>
    <s v="Sold Out"/>
    <n v="21"/>
    <n v="21"/>
    <n v="0"/>
    <n v="0"/>
    <x v="377"/>
    <n v="52500"/>
    <n v="56.15"/>
    <n v="35700"/>
    <n v="16800"/>
    <n v="17.97"/>
    <n v="0"/>
    <d v="2025-03-01T00:00:00"/>
  </r>
  <r>
    <s v="B03800"/>
    <s v="P126"/>
    <x v="13"/>
    <s v="Sold Out"/>
    <n v="24"/>
    <n v="24"/>
    <n v="0"/>
    <n v="0"/>
    <x v="643"/>
    <n v="60000"/>
    <n v="64.17"/>
    <n v="43200"/>
    <n v="16800"/>
    <n v="17.97"/>
    <n v="0"/>
    <d v="2025-05-05T00:00:00"/>
  </r>
  <r>
    <s v="B03801"/>
    <s v="P126"/>
    <x v="13"/>
    <s v="Sold Out"/>
    <n v="24"/>
    <n v="24"/>
    <n v="0"/>
    <n v="0"/>
    <x v="983"/>
    <n v="60000"/>
    <n v="64.17"/>
    <n v="40800"/>
    <n v="19200"/>
    <n v="20.53"/>
    <n v="0"/>
    <d v="2025-06-30T00:00:00"/>
  </r>
  <r>
    <s v="B03802"/>
    <s v="P127"/>
    <x v="13"/>
    <s v="Sold Out"/>
    <n v="18"/>
    <n v="18"/>
    <n v="0"/>
    <n v="0"/>
    <x v="2"/>
    <n v="63000"/>
    <n v="67.38"/>
    <n v="43200"/>
    <n v="19800"/>
    <n v="21.18"/>
    <n v="0"/>
    <d v="2023-07-25T00:00:00"/>
  </r>
  <r>
    <s v="B03803"/>
    <s v="P127"/>
    <x v="13"/>
    <s v="Sold Out"/>
    <n v="28"/>
    <n v="28"/>
    <n v="0"/>
    <n v="0"/>
    <x v="984"/>
    <n v="98000"/>
    <n v="104.81"/>
    <n v="67200"/>
    <n v="30800"/>
    <n v="32.94"/>
    <n v="0"/>
    <d v="2023-09-26T00:00:00"/>
  </r>
  <r>
    <s v="B03804"/>
    <s v="P127"/>
    <x v="13"/>
    <s v="Sold Out"/>
    <n v="17"/>
    <n v="17"/>
    <n v="0"/>
    <n v="0"/>
    <x v="846"/>
    <n v="59500"/>
    <n v="63.64"/>
    <n v="40800"/>
    <n v="18700"/>
    <n v="20"/>
    <n v="0"/>
    <d v="2023-11-22T00:00:00"/>
  </r>
  <r>
    <s v="B03805"/>
    <s v="P127"/>
    <x v="13"/>
    <s v="Sold Out"/>
    <n v="21"/>
    <n v="21"/>
    <n v="0"/>
    <n v="0"/>
    <x v="22"/>
    <n v="73500"/>
    <n v="78.61"/>
    <n v="50400"/>
    <n v="23100"/>
    <n v="24.71"/>
    <n v="0"/>
    <d v="2024-01-22T00:00:00"/>
  </r>
  <r>
    <s v="B03806"/>
    <s v="P127"/>
    <x v="13"/>
    <s v="Sold Out"/>
    <n v="21"/>
    <n v="21"/>
    <n v="0"/>
    <n v="0"/>
    <x v="30"/>
    <n v="73500"/>
    <n v="78.61"/>
    <n v="50400"/>
    <n v="23100"/>
    <n v="24.71"/>
    <n v="0"/>
    <d v="2024-03-28T00:00:00"/>
  </r>
  <r>
    <s v="B03807"/>
    <s v="P127"/>
    <x v="13"/>
    <s v="Sold Out"/>
    <n v="20"/>
    <n v="20"/>
    <n v="0"/>
    <n v="0"/>
    <x v="108"/>
    <n v="70000"/>
    <n v="74.87"/>
    <n v="48000"/>
    <n v="22000"/>
    <n v="23.53"/>
    <n v="0"/>
    <d v="2024-05-29T00:00:00"/>
  </r>
  <r>
    <s v="B03808"/>
    <s v="P127"/>
    <x v="13"/>
    <s v="Sold Out"/>
    <n v="23"/>
    <n v="23"/>
    <n v="0"/>
    <n v="0"/>
    <x v="780"/>
    <n v="80500"/>
    <n v="86.1"/>
    <n v="55200"/>
    <n v="25300"/>
    <n v="27.06"/>
    <n v="0"/>
    <d v="2024-07-15T00:00:00"/>
  </r>
  <r>
    <s v="B03809"/>
    <s v="P127"/>
    <x v="13"/>
    <s v="Sold Out"/>
    <n v="27"/>
    <n v="27"/>
    <n v="0"/>
    <n v="0"/>
    <x v="50"/>
    <n v="94500"/>
    <n v="101.07"/>
    <n v="64800"/>
    <n v="29700"/>
    <n v="31.76"/>
    <n v="0"/>
    <d v="2024-09-25T00:00:00"/>
  </r>
  <r>
    <s v="B03810"/>
    <s v="P127"/>
    <x v="13"/>
    <s v="Sold Out"/>
    <n v="21"/>
    <n v="21"/>
    <n v="0"/>
    <n v="0"/>
    <x v="556"/>
    <n v="73500"/>
    <n v="78.61"/>
    <n v="50400"/>
    <n v="23100"/>
    <n v="24.71"/>
    <n v="0"/>
    <d v="2024-11-19T00:00:00"/>
  </r>
  <r>
    <s v="B03811"/>
    <s v="P127"/>
    <x v="13"/>
    <s v="Sold Out"/>
    <n v="21"/>
    <n v="21"/>
    <n v="0"/>
    <n v="0"/>
    <x v="127"/>
    <n v="73500"/>
    <n v="78.61"/>
    <n v="50400"/>
    <n v="23100"/>
    <n v="24.71"/>
    <n v="0"/>
    <d v="2025-01-08T00:00:00"/>
  </r>
  <r>
    <s v="B03812"/>
    <s v="P127"/>
    <x v="13"/>
    <s v="Sold Out"/>
    <n v="21"/>
    <n v="21"/>
    <n v="0"/>
    <n v="0"/>
    <x v="585"/>
    <n v="73500"/>
    <n v="78.61"/>
    <n v="50400"/>
    <n v="23100"/>
    <n v="24.71"/>
    <n v="0"/>
    <d v="2025-03-22T00:00:00"/>
  </r>
  <r>
    <s v="B03813"/>
    <s v="P127"/>
    <x v="13"/>
    <s v="Sold Out"/>
    <n v="23"/>
    <n v="23"/>
    <n v="0"/>
    <n v="0"/>
    <x v="820"/>
    <n v="80500"/>
    <n v="86.1"/>
    <n v="55200"/>
    <n v="25300"/>
    <n v="27.06"/>
    <n v="0"/>
    <d v="2025-05-29T00:00:00"/>
  </r>
  <r>
    <s v="B03814"/>
    <s v="P128"/>
    <x v="13"/>
    <s v="Sold Out"/>
    <n v="17"/>
    <n v="17"/>
    <n v="0"/>
    <n v="0"/>
    <x v="566"/>
    <n v="76500"/>
    <n v="81.819999999999993"/>
    <n v="51850"/>
    <n v="24650"/>
    <n v="26.36"/>
    <n v="0"/>
    <d v="2023-07-30T00:00:00"/>
  </r>
  <r>
    <s v="B03815"/>
    <s v="P128"/>
    <x v="13"/>
    <s v="Sold Out"/>
    <n v="20"/>
    <n v="20"/>
    <n v="0"/>
    <n v="0"/>
    <x v="86"/>
    <n v="90000"/>
    <n v="96.26"/>
    <n v="61000"/>
    <n v="29000"/>
    <n v="31.02"/>
    <n v="0"/>
    <d v="2023-10-03T00:00:00"/>
  </r>
  <r>
    <s v="B03816"/>
    <s v="P128"/>
    <x v="13"/>
    <s v="Sold Out"/>
    <n v="20"/>
    <n v="20"/>
    <n v="0"/>
    <n v="0"/>
    <x v="260"/>
    <n v="90000"/>
    <n v="96.26"/>
    <n v="61000"/>
    <n v="29000"/>
    <n v="31.02"/>
    <n v="0"/>
    <d v="2023-11-22T00:00:00"/>
  </r>
  <r>
    <s v="B03817"/>
    <s v="P128"/>
    <x v="13"/>
    <s v="Sold Out"/>
    <n v="18"/>
    <n v="18"/>
    <n v="0"/>
    <n v="0"/>
    <x v="92"/>
    <n v="81000"/>
    <n v="86.63"/>
    <n v="54900"/>
    <n v="26100"/>
    <n v="27.91"/>
    <n v="0"/>
    <d v="2024-01-10T00:00:00"/>
  </r>
  <r>
    <s v="B03818"/>
    <s v="P128"/>
    <x v="13"/>
    <s v="Sold Out"/>
    <n v="17"/>
    <n v="17"/>
    <n v="0"/>
    <n v="0"/>
    <x v="514"/>
    <n v="76500"/>
    <n v="81.819999999999993"/>
    <n v="51850"/>
    <n v="24650"/>
    <n v="26.36"/>
    <n v="0"/>
    <d v="2024-03-19T00:00:00"/>
  </r>
  <r>
    <s v="B03819"/>
    <s v="P128"/>
    <x v="13"/>
    <s v="Sold Out"/>
    <n v="19"/>
    <n v="19"/>
    <n v="0"/>
    <n v="0"/>
    <x v="860"/>
    <n v="85500"/>
    <n v="91.44"/>
    <n v="57950"/>
    <n v="27550"/>
    <n v="29.47"/>
    <n v="0"/>
    <d v="2024-05-17T00:00:00"/>
  </r>
  <r>
    <s v="B03820"/>
    <s v="P128"/>
    <x v="13"/>
    <s v="Sold Out"/>
    <n v="23"/>
    <n v="23"/>
    <n v="0"/>
    <n v="0"/>
    <x v="785"/>
    <n v="103500"/>
    <n v="110.7"/>
    <n v="70150"/>
    <n v="33350"/>
    <n v="35.67"/>
    <n v="0"/>
    <d v="2024-07-17T00:00:00"/>
  </r>
  <r>
    <s v="B03821"/>
    <s v="P128"/>
    <x v="13"/>
    <s v="Sold Out"/>
    <n v="23"/>
    <n v="23"/>
    <n v="0"/>
    <n v="0"/>
    <x v="45"/>
    <n v="103500"/>
    <n v="110.7"/>
    <n v="70150"/>
    <n v="33350"/>
    <n v="35.67"/>
    <n v="0"/>
    <d v="2024-09-15T00:00:00"/>
  </r>
  <r>
    <s v="B03822"/>
    <s v="P128"/>
    <x v="13"/>
    <s v="Sold Out"/>
    <n v="17"/>
    <n v="17"/>
    <n v="0"/>
    <n v="0"/>
    <x v="52"/>
    <n v="76500"/>
    <n v="81.819999999999993"/>
    <n v="51850"/>
    <n v="24650"/>
    <n v="26.36"/>
    <n v="0"/>
    <d v="2024-11-12T00:00:00"/>
  </r>
  <r>
    <s v="B03823"/>
    <s v="P128"/>
    <x v="13"/>
    <s v="Sold Out"/>
    <n v="19"/>
    <n v="19"/>
    <n v="0"/>
    <n v="0"/>
    <x v="410"/>
    <n v="85500"/>
    <n v="91.44"/>
    <n v="60800"/>
    <n v="24700"/>
    <n v="26.42"/>
    <n v="0"/>
    <d v="2025-01-11T00:00:00"/>
  </r>
  <r>
    <s v="B03824"/>
    <s v="P128"/>
    <x v="13"/>
    <s v="Sold Out"/>
    <n v="23"/>
    <n v="23"/>
    <n v="0"/>
    <n v="0"/>
    <x v="985"/>
    <n v="103500"/>
    <n v="110.7"/>
    <n v="70150"/>
    <n v="33350"/>
    <n v="35.67"/>
    <n v="0"/>
    <d v="2025-03-01T00:00:00"/>
  </r>
  <r>
    <s v="B03825"/>
    <s v="P128"/>
    <x v="13"/>
    <s v="Sold Out"/>
    <n v="21"/>
    <n v="21"/>
    <n v="0"/>
    <n v="0"/>
    <x v="496"/>
    <n v="94500"/>
    <n v="101.07"/>
    <n v="64050"/>
    <n v="30450"/>
    <n v="32.57"/>
    <n v="0"/>
    <d v="2025-05-1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02E6E5-D829-4BA9-AF10-9FC37795EB29}" name="CohortEconomic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20" firstHeaderRow="0" firstDataRow="1" firstDataCol="1" rowPageCount="1" colPageCount="1"/>
  <pivotFields count="16">
    <pivotField showAll="0"/>
    <pivotField showAll="0"/>
    <pivotField axis="axisRow" showAll="0">
      <items count="15">
        <item x="9"/>
        <item x="3"/>
        <item x="11"/>
        <item x="1"/>
        <item x="5"/>
        <item x="7"/>
        <item x="0"/>
        <item x="13"/>
        <item x="6"/>
        <item x="2"/>
        <item x="10"/>
        <item x="4"/>
        <item x="8"/>
        <item x="12"/>
        <item t="default"/>
      </items>
    </pivotField>
    <pivotField showAll="0"/>
    <pivotField showAll="0"/>
    <pivotField showAll="0"/>
    <pivotField showAll="0"/>
    <pivotField numFmtId="166" showAll="0"/>
    <pivotField axis="axisPage" numFmtId="170" showAll="0">
      <items count="987">
        <item x="588"/>
        <item x="853"/>
        <item x="141"/>
        <item x="296"/>
        <item x="473"/>
        <item x="565"/>
        <item x="589"/>
        <item x="499"/>
        <item x="343"/>
        <item x="775"/>
        <item x="845"/>
        <item x="564"/>
        <item x="497"/>
        <item x="590"/>
        <item x="858"/>
        <item x="297"/>
        <item x="632"/>
        <item x="498"/>
        <item x="78"/>
        <item x="805"/>
        <item x="248"/>
        <item x="530"/>
        <item x="201"/>
        <item x="859"/>
        <item x="474"/>
        <item x="833"/>
        <item x="419"/>
        <item x="531"/>
        <item x="143"/>
        <item x="532"/>
        <item x="202"/>
        <item x="681"/>
        <item x="501"/>
        <item x="837"/>
        <item x="3"/>
        <item x="472"/>
        <item x="246"/>
        <item x="500"/>
        <item x="81"/>
        <item x="299"/>
        <item x="503"/>
        <item x="834"/>
        <item x="251"/>
        <item x="0"/>
        <item x="77"/>
        <item x="247"/>
        <item x="142"/>
        <item x="420"/>
        <item x="418"/>
        <item x="502"/>
        <item x="344"/>
        <item x="620"/>
        <item x="6"/>
        <item x="1"/>
        <item x="252"/>
        <item x="566"/>
        <item x="300"/>
        <item x="345"/>
        <item x="347"/>
        <item x="83"/>
        <item x="79"/>
        <item x="381"/>
        <item x="2"/>
        <item x="788"/>
        <item x="298"/>
        <item x="504"/>
        <item x="249"/>
        <item x="80"/>
        <item x="348"/>
        <item x="864"/>
        <item x="810"/>
        <item x="144"/>
        <item x="250"/>
        <item x="533"/>
        <item x="84"/>
        <item x="421"/>
        <item x="591"/>
        <item x="4"/>
        <item x="567"/>
        <item x="145"/>
        <item x="770"/>
        <item x="444"/>
        <item x="476"/>
        <item x="346"/>
        <item x="350"/>
        <item x="5"/>
        <item x="534"/>
        <item x="592"/>
        <item x="203"/>
        <item x="82"/>
        <item x="654"/>
        <item x="10"/>
        <item x="475"/>
        <item x="253"/>
        <item x="445"/>
        <item x="568"/>
        <item x="477"/>
        <item x="86"/>
        <item x="204"/>
        <item x="148"/>
        <item x="351"/>
        <item x="7"/>
        <item x="301"/>
        <item x="11"/>
        <item x="854"/>
        <item x="687"/>
        <item x="12"/>
        <item x="146"/>
        <item x="382"/>
        <item x="569"/>
        <item x="535"/>
        <item x="8"/>
        <item x="302"/>
        <item x="87"/>
        <item x="349"/>
        <item x="938"/>
        <item x="593"/>
        <item x="147"/>
        <item x="383"/>
        <item x="151"/>
        <item x="9"/>
        <item x="254"/>
        <item x="303"/>
        <item x="933"/>
        <item x="85"/>
        <item x="570"/>
        <item x="88"/>
        <item x="353"/>
        <item x="206"/>
        <item x="14"/>
        <item x="255"/>
        <item x="152"/>
        <item x="446"/>
        <item x="740"/>
        <item x="422"/>
        <item x="384"/>
        <item x="207"/>
        <item x="149"/>
        <item x="447"/>
        <item x="304"/>
        <item x="305"/>
        <item x="385"/>
        <item x="536"/>
        <item x="571"/>
        <item x="16"/>
        <item x="537"/>
        <item x="448"/>
        <item x="848"/>
        <item x="150"/>
        <item x="479"/>
        <item x="154"/>
        <item x="352"/>
        <item x="205"/>
        <item x="257"/>
        <item x="13"/>
        <item x="386"/>
        <item x="594"/>
        <item x="906"/>
        <item x="17"/>
        <item x="306"/>
        <item x="505"/>
        <item x="354"/>
        <item x="89"/>
        <item x="18"/>
        <item x="506"/>
        <item x="538"/>
        <item x="711"/>
        <item x="729"/>
        <item x="155"/>
        <item x="355"/>
        <item x="480"/>
        <item x="449"/>
        <item x="539"/>
        <item x="15"/>
        <item x="19"/>
        <item x="258"/>
        <item x="153"/>
        <item x="387"/>
        <item x="256"/>
        <item x="307"/>
        <item x="156"/>
        <item x="478"/>
        <item x="846"/>
        <item x="259"/>
        <item x="823"/>
        <item x="90"/>
        <item x="20"/>
        <item x="849"/>
        <item x="540"/>
        <item x="482"/>
        <item x="260"/>
        <item x="935"/>
        <item x="701"/>
        <item x="91"/>
        <item x="450"/>
        <item x="157"/>
        <item x="541"/>
        <item x="261"/>
        <item x="638"/>
        <item x="509"/>
        <item x="507"/>
        <item x="309"/>
        <item x="158"/>
        <item x="633"/>
        <item x="508"/>
        <item x="423"/>
        <item x="208"/>
        <item x="801"/>
        <item x="23"/>
        <item x="388"/>
        <item x="762"/>
        <item x="310"/>
        <item x="868"/>
        <item x="769"/>
        <item x="542"/>
        <item x="356"/>
        <item x="389"/>
        <item x="92"/>
        <item x="481"/>
        <item x="843"/>
        <item x="262"/>
        <item x="745"/>
        <item x="806"/>
        <item x="24"/>
        <item x="830"/>
        <item x="544"/>
        <item x="159"/>
        <item x="595"/>
        <item x="308"/>
        <item x="510"/>
        <item x="390"/>
        <item x="21"/>
        <item x="543"/>
        <item x="160"/>
        <item x="675"/>
        <item x="511"/>
        <item x="483"/>
        <item x="572"/>
        <item x="702"/>
        <item x="358"/>
        <item x="22"/>
        <item x="596"/>
        <item x="209"/>
        <item x="597"/>
        <item x="161"/>
        <item x="776"/>
        <item x="312"/>
        <item x="545"/>
        <item x="512"/>
        <item x="634"/>
        <item x="392"/>
        <item x="264"/>
        <item x="27"/>
        <item x="210"/>
        <item x="939"/>
        <item x="573"/>
        <item x="96"/>
        <item x="313"/>
        <item x="211"/>
        <item x="393"/>
        <item x="97"/>
        <item x="359"/>
        <item x="357"/>
        <item x="754"/>
        <item x="93"/>
        <item x="783"/>
        <item x="394"/>
        <item x="25"/>
        <item x="598"/>
        <item x="212"/>
        <item x="655"/>
        <item x="263"/>
        <item x="795"/>
        <item x="546"/>
        <item x="94"/>
        <item x="311"/>
        <item x="26"/>
        <item x="391"/>
        <item x="831"/>
        <item x="822"/>
        <item x="599"/>
        <item x="452"/>
        <item x="395"/>
        <item x="484"/>
        <item x="266"/>
        <item x="95"/>
        <item x="735"/>
        <item x="31"/>
        <item x="621"/>
        <item x="162"/>
        <item x="652"/>
        <item x="513"/>
        <item x="267"/>
        <item x="316"/>
        <item x="214"/>
        <item x="166"/>
        <item x="360"/>
        <item x="28"/>
        <item x="514"/>
        <item x="265"/>
        <item x="838"/>
        <item x="835"/>
        <item x="485"/>
        <item x="317"/>
        <item x="424"/>
        <item x="451"/>
        <item x="515"/>
        <item x="29"/>
        <item x="163"/>
        <item x="784"/>
        <item x="600"/>
        <item x="33"/>
        <item x="314"/>
        <item x="98"/>
        <item x="574"/>
        <item x="213"/>
        <item x="30"/>
        <item x="164"/>
        <item x="361"/>
        <item x="315"/>
        <item x="99"/>
        <item x="34"/>
        <item x="824"/>
        <item x="216"/>
        <item x="453"/>
        <item x="165"/>
        <item x="653"/>
        <item x="755"/>
        <item x="100"/>
        <item x="217"/>
        <item x="319"/>
        <item x="486"/>
        <item x="396"/>
        <item x="104"/>
        <item x="878"/>
        <item x="454"/>
        <item x="32"/>
        <item x="101"/>
        <item x="397"/>
        <item x="105"/>
        <item x="167"/>
        <item x="455"/>
        <item x="547"/>
        <item x="622"/>
        <item x="102"/>
        <item x="318"/>
        <item x="860"/>
        <item x="106"/>
        <item x="169"/>
        <item x="549"/>
        <item x="38"/>
        <item x="682"/>
        <item x="215"/>
        <item x="271"/>
        <item x="103"/>
        <item x="676"/>
        <item x="107"/>
        <item x="268"/>
        <item x="689"/>
        <item x="548"/>
        <item x="717"/>
        <item x="861"/>
        <item x="457"/>
        <item x="771"/>
        <item x="35"/>
        <item x="168"/>
        <item x="269"/>
        <item x="362"/>
        <item x="855"/>
        <item x="458"/>
        <item x="171"/>
        <item x="219"/>
        <item x="36"/>
        <item x="626"/>
        <item x="575"/>
        <item x="270"/>
        <item x="550"/>
        <item x="666"/>
        <item x="551"/>
        <item x="399"/>
        <item x="516"/>
        <item x="108"/>
        <item x="37"/>
        <item x="425"/>
        <item x="398"/>
        <item x="488"/>
        <item x="487"/>
        <item x="363"/>
        <item x="677"/>
        <item x="320"/>
        <item x="456"/>
        <item x="601"/>
        <item x="576"/>
        <item x="426"/>
        <item x="220"/>
        <item x="459"/>
        <item x="324"/>
        <item x="364"/>
        <item x="39"/>
        <item x="321"/>
        <item x="883"/>
        <item x="218"/>
        <item x="170"/>
        <item x="221"/>
        <item x="325"/>
        <item x="365"/>
        <item x="796"/>
        <item x="322"/>
        <item x="552"/>
        <item x="40"/>
        <item x="272"/>
        <item x="553"/>
        <item x="43"/>
        <item x="275"/>
        <item x="785"/>
        <item x="602"/>
        <item x="174"/>
        <item x="603"/>
        <item x="819"/>
        <item x="172"/>
        <item x="273"/>
        <item x="517"/>
        <item x="326"/>
        <item x="657"/>
        <item x="323"/>
        <item x="797"/>
        <item x="780"/>
        <item x="604"/>
        <item x="577"/>
        <item x="41"/>
        <item x="109"/>
        <item x="366"/>
        <item x="401"/>
        <item x="554"/>
        <item x="489"/>
        <item x="112"/>
        <item x="518"/>
        <item x="763"/>
        <item x="274"/>
        <item x="368"/>
        <item x="42"/>
        <item x="173"/>
        <item x="175"/>
        <item x="223"/>
        <item x="328"/>
        <item x="555"/>
        <item x="814"/>
        <item x="937"/>
        <item x="519"/>
        <item x="224"/>
        <item x="110"/>
        <item x="367"/>
        <item x="47"/>
        <item x="114"/>
        <item x="789"/>
        <item x="460"/>
        <item x="427"/>
        <item x="605"/>
        <item x="222"/>
        <item x="400"/>
        <item x="111"/>
        <item x="578"/>
        <item x="44"/>
        <item x="225"/>
        <item x="49"/>
        <item x="461"/>
        <item x="520"/>
        <item x="115"/>
        <item x="428"/>
        <item x="276"/>
        <item x="178"/>
        <item x="45"/>
        <item x="462"/>
        <item x="327"/>
        <item x="884"/>
        <item x="116"/>
        <item x="369"/>
        <item x="606"/>
        <item x="113"/>
        <item x="277"/>
        <item x="46"/>
        <item x="50"/>
        <item x="370"/>
        <item x="329"/>
        <item x="117"/>
        <item x="51"/>
        <item x="608"/>
        <item x="429"/>
        <item x="226"/>
        <item x="179"/>
        <item x="176"/>
        <item x="278"/>
        <item x="777"/>
        <item x="607"/>
        <item x="118"/>
        <item x="403"/>
        <item x="180"/>
        <item x="609"/>
        <item x="764"/>
        <item x="177"/>
        <item x="48"/>
        <item x="430"/>
        <item x="279"/>
        <item x="404"/>
        <item x="907"/>
        <item x="119"/>
        <item x="610"/>
        <item x="556"/>
        <item x="930"/>
        <item x="53"/>
        <item x="181"/>
        <item x="405"/>
        <item x="557"/>
        <item x="280"/>
        <item x="825"/>
        <item x="371"/>
        <item x="402"/>
        <item x="521"/>
        <item x="120"/>
        <item x="772"/>
        <item x="281"/>
        <item x="121"/>
        <item x="54"/>
        <item x="330"/>
        <item x="55"/>
        <item x="618"/>
        <item x="463"/>
        <item x="228"/>
        <item x="431"/>
        <item x="579"/>
        <item x="122"/>
        <item x="464"/>
        <item x="432"/>
        <item x="406"/>
        <item x="52"/>
        <item x="56"/>
        <item x="123"/>
        <item x="611"/>
        <item x="624"/>
        <item x="183"/>
        <item x="433"/>
        <item x="331"/>
        <item x="229"/>
        <item x="282"/>
        <item x="372"/>
        <item x="124"/>
        <item x="522"/>
        <item x="57"/>
        <item x="434"/>
        <item x="688"/>
        <item x="407"/>
        <item x="58"/>
        <item x="628"/>
        <item x="558"/>
        <item x="408"/>
        <item x="125"/>
        <item x="227"/>
        <item x="373"/>
        <item x="184"/>
        <item x="126"/>
        <item x="715"/>
        <item x="644"/>
        <item x="662"/>
        <item x="684"/>
        <item x="559"/>
        <item x="665"/>
        <item x="283"/>
        <item x="182"/>
        <item x="59"/>
        <item x="409"/>
        <item x="127"/>
        <item x="639"/>
        <item x="231"/>
        <item x="332"/>
        <item x="844"/>
        <item x="581"/>
        <item x="410"/>
        <item x="560"/>
        <item x="374"/>
        <item x="186"/>
        <item x="333"/>
        <item x="232"/>
        <item x="284"/>
        <item x="580"/>
        <item x="61"/>
        <item x="128"/>
        <item x="940"/>
        <item x="334"/>
        <item x="640"/>
        <item x="466"/>
        <item x="811"/>
        <item x="285"/>
        <item x="233"/>
        <item x="865"/>
        <item x="129"/>
        <item x="62"/>
        <item x="490"/>
        <item x="375"/>
        <item x="465"/>
        <item x="230"/>
        <item x="286"/>
        <item x="234"/>
        <item x="582"/>
        <item x="235"/>
        <item x="185"/>
        <item x="130"/>
        <item x="583"/>
        <item x="188"/>
        <item x="287"/>
        <item x="60"/>
        <item x="872"/>
        <item x="412"/>
        <item x="491"/>
        <item x="635"/>
        <item x="64"/>
        <item x="612"/>
        <item x="236"/>
        <item x="288"/>
        <item x="189"/>
        <item x="131"/>
        <item x="863"/>
        <item x="65"/>
        <item x="492"/>
        <item x="493"/>
        <item x="523"/>
        <item x="187"/>
        <item x="237"/>
        <item x="289"/>
        <item x="613"/>
        <item x="411"/>
        <item x="524"/>
        <item x="435"/>
        <item x="376"/>
        <item x="413"/>
        <item x="525"/>
        <item x="438"/>
        <item x="856"/>
        <item x="190"/>
        <item x="290"/>
        <item x="239"/>
        <item x="436"/>
        <item x="63"/>
        <item x="337"/>
        <item x="134"/>
        <item x="817"/>
        <item x="335"/>
        <item x="467"/>
        <item x="656"/>
        <item x="798"/>
        <item x="660"/>
        <item x="240"/>
        <item x="68"/>
        <item x="135"/>
        <item x="526"/>
        <item x="291"/>
        <item x="414"/>
        <item x="722"/>
        <item x="584"/>
        <item x="437"/>
        <item x="786"/>
        <item x="468"/>
        <item x="136"/>
        <item x="415"/>
        <item x="614"/>
        <item x="377"/>
        <item x="132"/>
        <item x="66"/>
        <item x="623"/>
        <item x="238"/>
        <item x="585"/>
        <item x="336"/>
        <item x="242"/>
        <item x="527"/>
        <item x="561"/>
        <item x="133"/>
        <item x="137"/>
        <item x="67"/>
        <item x="494"/>
        <item x="923"/>
        <item x="191"/>
        <item x="799"/>
        <item x="723"/>
        <item x="378"/>
        <item x="243"/>
        <item x="615"/>
        <item x="790"/>
        <item x="643"/>
        <item x="138"/>
        <item x="495"/>
        <item x="887"/>
        <item x="192"/>
        <item x="904"/>
        <item x="616"/>
        <item x="241"/>
        <item x="69"/>
        <item x="586"/>
        <item x="562"/>
        <item x="340"/>
        <item x="193"/>
        <item x="338"/>
        <item x="295"/>
        <item x="416"/>
        <item x="70"/>
        <item x="661"/>
        <item x="690"/>
        <item x="198"/>
        <item x="528"/>
        <item x="439"/>
        <item x="194"/>
        <item x="471"/>
        <item x="292"/>
        <item x="617"/>
        <item x="341"/>
        <item x="71"/>
        <item x="75"/>
        <item x="646"/>
        <item x="587"/>
        <item x="440"/>
        <item x="195"/>
        <item x="293"/>
        <item x="496"/>
        <item x="72"/>
        <item x="76"/>
        <item x="529"/>
        <item x="469"/>
        <item x="200"/>
        <item x="812"/>
        <item x="339"/>
        <item x="294"/>
        <item x="196"/>
        <item x="563"/>
        <item x="73"/>
        <item x="139"/>
        <item x="871"/>
        <item x="379"/>
        <item x="692"/>
        <item x="470"/>
        <item x="197"/>
        <item x="441"/>
        <item x="807"/>
        <item x="724"/>
        <item x="244"/>
        <item x="627"/>
        <item x="74"/>
        <item x="380"/>
        <item x="667"/>
        <item x="820"/>
        <item x="663"/>
        <item x="442"/>
        <item x="417"/>
        <item x="140"/>
        <item x="199"/>
        <item x="826"/>
        <item x="791"/>
        <item x="342"/>
        <item x="648"/>
        <item x="862"/>
        <item x="443"/>
        <item x="245"/>
        <item x="802"/>
        <item x="921"/>
        <item x="944"/>
        <item x="850"/>
        <item x="792"/>
        <item x="678"/>
        <item x="815"/>
        <item x="910"/>
        <item x="929"/>
        <item x="765"/>
        <item x="840"/>
        <item x="827"/>
        <item x="773"/>
        <item x="668"/>
        <item x="847"/>
        <item x="927"/>
        <item x="924"/>
        <item x="705"/>
        <item x="808"/>
        <item x="793"/>
        <item x="778"/>
        <item x="890"/>
        <item x="766"/>
        <item x="693"/>
        <item x="649"/>
        <item x="828"/>
        <item x="725"/>
        <item x="917"/>
        <item x="679"/>
        <item x="866"/>
        <item x="836"/>
        <item x="716"/>
        <item x="794"/>
        <item x="875"/>
        <item x="941"/>
        <item x="943"/>
        <item x="803"/>
        <item x="841"/>
        <item x="767"/>
        <item x="816"/>
        <item x="669"/>
        <item x="781"/>
        <item x="698"/>
        <item x="673"/>
        <item x="829"/>
        <item x="839"/>
        <item x="712"/>
        <item x="683"/>
        <item x="915"/>
        <item x="885"/>
        <item x="664"/>
        <item x="813"/>
        <item x="918"/>
        <item x="832"/>
        <item x="619"/>
        <item x="851"/>
        <item x="842"/>
        <item x="876"/>
        <item x="636"/>
        <item x="641"/>
        <item x="891"/>
        <item x="787"/>
        <item x="804"/>
        <item x="749"/>
        <item x="779"/>
        <item x="916"/>
        <item x="674"/>
        <item x="670"/>
        <item x="934"/>
        <item x="869"/>
        <item x="658"/>
        <item x="650"/>
        <item x="852"/>
        <item x="699"/>
        <item x="730"/>
        <item x="691"/>
        <item x="782"/>
        <item x="897"/>
        <item x="908"/>
        <item x="942"/>
        <item x="919"/>
        <item x="637"/>
        <item x="642"/>
        <item x="809"/>
        <item x="922"/>
        <item x="768"/>
        <item x="629"/>
        <item x="818"/>
        <item x="895"/>
        <item x="911"/>
        <item x="741"/>
        <item x="703"/>
        <item x="753"/>
        <item x="880"/>
        <item x="659"/>
        <item x="671"/>
        <item x="914"/>
        <item x="893"/>
        <item x="800"/>
        <item x="651"/>
        <item x="736"/>
        <item x="685"/>
        <item x="774"/>
        <item x="931"/>
        <item x="726"/>
        <item x="912"/>
        <item x="625"/>
        <item x="821"/>
        <item x="857"/>
        <item x="867"/>
        <item x="892"/>
        <item x="680"/>
        <item x="630"/>
        <item x="707"/>
        <item x="896"/>
        <item x="928"/>
        <item x="886"/>
        <item x="731"/>
        <item x="686"/>
        <item x="873"/>
        <item x="870"/>
        <item x="920"/>
        <item x="877"/>
        <item x="913"/>
        <item x="645"/>
        <item x="898"/>
        <item x="742"/>
        <item x="631"/>
        <item x="902"/>
        <item x="889"/>
        <item x="905"/>
        <item x="718"/>
        <item x="737"/>
        <item x="874"/>
        <item x="894"/>
        <item x="932"/>
        <item x="936"/>
        <item x="888"/>
        <item x="881"/>
        <item x="694"/>
        <item x="708"/>
        <item x="899"/>
        <item x="732"/>
        <item x="909"/>
        <item x="672"/>
        <item x="901"/>
        <item x="750"/>
        <item x="882"/>
        <item x="903"/>
        <item x="647"/>
        <item x="925"/>
        <item x="900"/>
        <item x="695"/>
        <item x="879"/>
        <item x="738"/>
        <item x="926"/>
        <item x="757"/>
        <item x="709"/>
        <item x="713"/>
        <item x="704"/>
        <item x="710"/>
        <item x="696"/>
        <item x="746"/>
        <item x="758"/>
        <item x="719"/>
        <item x="733"/>
        <item x="727"/>
        <item x="697"/>
        <item x="739"/>
        <item x="720"/>
        <item x="747"/>
        <item x="759"/>
        <item x="728"/>
        <item x="756"/>
        <item x="700"/>
        <item x="721"/>
        <item x="734"/>
        <item x="706"/>
        <item x="714"/>
        <item x="751"/>
        <item x="743"/>
        <item x="760"/>
        <item x="752"/>
        <item x="761"/>
        <item x="744"/>
        <item x="748"/>
        <item x="965"/>
        <item x="950"/>
        <item x="980"/>
        <item x="974"/>
        <item x="963"/>
        <item x="979"/>
        <item x="968"/>
        <item x="984"/>
        <item x="957"/>
        <item x="951"/>
        <item x="954"/>
        <item x="981"/>
        <item x="976"/>
        <item x="945"/>
        <item x="969"/>
        <item x="958"/>
        <item x="975"/>
        <item x="961"/>
        <item x="952"/>
        <item x="966"/>
        <item x="946"/>
        <item x="970"/>
        <item x="953"/>
        <item x="955"/>
        <item x="959"/>
        <item x="947"/>
        <item x="956"/>
        <item x="971"/>
        <item x="948"/>
        <item x="985"/>
        <item x="962"/>
        <item x="982"/>
        <item x="977"/>
        <item x="972"/>
        <item x="949"/>
        <item x="960"/>
        <item x="964"/>
        <item x="978"/>
        <item x="973"/>
        <item x="967"/>
        <item x="983"/>
        <item t="default"/>
      </items>
    </pivotField>
    <pivotField dataField="1" numFmtId="167" showAll="0"/>
    <pivotField numFmtId="168" showAll="0"/>
    <pivotField dataField="1" numFmtId="167" showAll="0"/>
    <pivotField dataField="1" numFmtId="167" showAll="0"/>
    <pivotField numFmtId="168" showAll="0"/>
    <pivotField numFmtId="171" showAll="0"/>
    <pivotField numFmtId="170" showAll="0"/>
  </pivotFields>
  <rowFields count="1">
    <field x="2"/>
  </rowFields>
  <rowItems count="15">
    <i>
      <x/>
    </i>
    <i>
      <x v="1"/>
    </i>
    <i>
      <x v="2"/>
    </i>
    <i>
      <x v="3"/>
    </i>
    <i>
      <x v="4"/>
    </i>
    <i>
      <x v="5"/>
    </i>
    <i>
      <x v="6"/>
    </i>
    <i>
      <x v="7"/>
    </i>
    <i>
      <x v="8"/>
    </i>
    <i>
      <x v="9"/>
    </i>
    <i>
      <x v="10"/>
    </i>
    <i>
      <x v="11"/>
    </i>
    <i>
      <x v="12"/>
    </i>
    <i>
      <x v="13"/>
    </i>
    <i t="grand">
      <x/>
    </i>
  </rowItems>
  <colFields count="1">
    <field x="-2"/>
  </colFields>
  <colItems count="3">
    <i>
      <x/>
    </i>
    <i i="1">
      <x v="1"/>
    </i>
    <i i="2">
      <x v="2"/>
    </i>
  </colItems>
  <pageFields count="1">
    <pageField fld="8" hier="-1"/>
  </pageFields>
  <dataFields count="3">
    <dataField name="Revenue CLP" fld="9" baseField="0" baseItem="0" numFmtId="167"/>
    <dataField name="Purchase cost CLP" fld="11" baseField="0" baseItem="0" numFmtId="167"/>
    <dataField name="Gross profit CLP" fld="12" baseField="0" baseItem="0" numFmtId="167"/>
  </dataFields>
  <formats count="1">
    <format dxfId="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Products" displayName="TblProducts" ref="B3:N131" totalsRowShown="0">
  <autoFilter ref="B3:N131" xr:uid="{00000000-0009-0000-0100-000002000000}"/>
  <tableColumns count="13">
    <tableColumn id="1" xr3:uid="{00000000-0010-0000-0000-000001000000}" name="ID"/>
    <tableColumn id="2" xr3:uid="{00000000-0010-0000-0000-000002000000}" name="Product"/>
    <tableColumn id="3" xr3:uid="{00000000-0010-0000-0000-000003000000}" name="Category"/>
    <tableColumn id="4" xr3:uid="{00000000-0010-0000-0000-000004000000}" name="Sale Unit"/>
    <tableColumn id="5" xr3:uid="{00000000-0010-0000-0000-000005000000}" name="Price Type"/>
    <tableColumn id="6" xr3:uid="{00000000-0010-0000-0000-000006000000}" name="Essential"/>
    <tableColumn id="7" xr3:uid="{00000000-0010-0000-0000-000007000000}" name="Peak Season"/>
    <tableColumn id="8" xr3:uid="{00000000-0010-0000-0000-000008000000}" name="Current Stock"/>
    <tableColumn id="9" xr3:uid="{00000000-0010-0000-0000-000009000000}" name="Sale Price (CLP)"/>
    <tableColumn id="10" xr3:uid="{00000000-0010-0000-0000-00000A000000}" name="Sale Price (USD)"/>
    <tableColumn id="11" xr3:uid="{00000000-0010-0000-0000-00000B000000}" name="Cost (CLP)"/>
    <tableColumn id="12" xr3:uid="{00000000-0010-0000-0000-00000C000000}" name="Margin (CLP)"/>
    <tableColumn id="13" xr3:uid="{00000000-0010-0000-0000-00000D000000}" name="Margin (%)"/>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blSuppliers" displayName="TblSuppliers" ref="B3:H25" totalsRowShown="0">
  <autoFilter ref="B3:H25" xr:uid="{00000000-0009-0000-0100-000004000000}"/>
  <tableColumns count="7">
    <tableColumn id="1" xr3:uid="{00000000-0010-0000-0100-000001000000}" name="ID"/>
    <tableColumn id="2" xr3:uid="{00000000-0010-0000-0100-000002000000}" name="Supplier"/>
    <tableColumn id="3" xr3:uid="{00000000-0010-0000-0100-000003000000}" name="Address"/>
    <tableColumn id="4" xr3:uid="{00000000-0010-0000-0100-000004000000}" name="Phone"/>
    <tableColumn id="5" xr3:uid="{00000000-0010-0000-0100-000005000000}" name="Email"/>
    <tableColumn id="6" xr3:uid="{00000000-0010-0000-0100-000006000000}" name="Delivery?"/>
    <tableColumn id="7" xr3:uid="{00000000-0010-0000-0100-000007000000}" name="Pickup?"/>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blSupply" displayName="TblSupply" ref="B4:N260" totalsRowShown="0">
  <autoFilter ref="B4:N260" xr:uid="{00000000-0009-0000-0100-000005000000}"/>
  <tableColumns count="13">
    <tableColumn id="1" xr3:uid="{00000000-0010-0000-0200-000001000000}" name="ID"/>
    <tableColumn id="2" xr3:uid="{00000000-0010-0000-0200-000002000000}" name="ProductID"/>
    <tableColumn id="3" xr3:uid="{00000000-0010-0000-0200-000003000000}" name="Product"/>
    <tableColumn id="4" xr3:uid="{00000000-0010-0000-0200-000004000000}" name="Category"/>
    <tableColumn id="5" xr3:uid="{00000000-0010-0000-0200-000005000000}" name="SupplierRole"/>
    <tableColumn id="6" xr3:uid="{00000000-0010-0000-0200-000006000000}" name="SupplierID"/>
    <tableColumn id="7" xr3:uid="{00000000-0010-0000-0200-000007000000}" name="Supplier"/>
    <tableColumn id="8" xr3:uid="{00000000-0010-0000-0200-000008000000}" name="PurchasePrice_CLP"/>
    <tableColumn id="9" xr3:uid="{00000000-0010-0000-0200-000009000000}" name="Purchase (USD)"/>
    <tableColumn id="10" xr3:uid="{00000000-0010-0000-0200-00000A000000}" name="Price Type"/>
    <tableColumn id="11" xr3:uid="{00000000-0010-0000-0200-00000B000000}" name="Unit"/>
    <tableColumn id="12" xr3:uid="{00000000-0010-0000-0200-00000C000000}" name="Lead Time (days)"/>
    <tableColumn id="13" xr3:uid="{00000000-0010-0000-0200-00000D000000}" name="Delivery?"/>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blPurchases" displayName="TblPurchases" ref="B4:Q3829" totalsRowShown="0">
  <autoFilter ref="B4:Q3829" xr:uid="{00000000-0009-0000-0100-000003000000}"/>
  <tableColumns count="16">
    <tableColumn id="1" xr3:uid="{00000000-0010-0000-0300-000001000000}" name="BatchID"/>
    <tableColumn id="2" xr3:uid="{00000000-0010-0000-0300-000002000000}" name="ProductID"/>
    <tableColumn id="3" xr3:uid="{00000000-0010-0000-0300-000003000000}" name="Product"/>
    <tableColumn id="4" xr3:uid="{00000000-0010-0000-0300-000004000000}" name="Category"/>
    <tableColumn id="5" xr3:uid="{00000000-0010-0000-0300-000005000000}" name="Role"/>
    <tableColumn id="6" xr3:uid="{00000000-0010-0000-0300-000006000000}" name="SupplierID"/>
    <tableColumn id="7" xr3:uid="{00000000-0010-0000-0300-000007000000}" name="Supplier"/>
    <tableColumn id="8" xr3:uid="{00000000-0010-0000-0300-000008000000}" name="Purchase Date"/>
    <tableColumn id="9" xr3:uid="{00000000-0010-0000-0300-000009000000}" name="Qty"/>
    <tableColumn id="10" xr3:uid="{00000000-0010-0000-0300-00000A000000}" name="Unit"/>
    <tableColumn id="11" xr3:uid="{00000000-0010-0000-0300-00000B000000}" name="Unit Cost (CLP)"/>
    <tableColumn id="12" xr3:uid="{00000000-0010-0000-0300-00000C000000}" name="Batch Cost (CLP)"/>
    <tableColumn id="13" xr3:uid="{00000000-0010-0000-0300-00000D000000}" name="Batch Cost (USD)"/>
    <tableColumn id="14" xr3:uid="{00000000-0010-0000-0300-00000E000000}" name="Expiry Date"/>
    <tableColumn id="15" xr3:uid="{00000000-0010-0000-0300-00000F000000}" name="Expiry Type"/>
    <tableColumn id="16" xr3:uid="{00000000-0010-0000-0300-000010000000}" name="Seaso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blOutcomes" displayName="TblOutcomes" ref="B4:Q3829" totalsRowShown="0">
  <autoFilter ref="B4:Q3829" xr:uid="{00000000-0009-0000-0100-000001000000}"/>
  <tableColumns count="16">
    <tableColumn id="1" xr3:uid="{00000000-0010-0000-0400-000001000000}" name="BatchID"/>
    <tableColumn id="2" xr3:uid="{00000000-0010-0000-0400-000002000000}" name="ProductID"/>
    <tableColumn id="3" xr3:uid="{00000000-0010-0000-0400-000003000000}" name="Category"/>
    <tableColumn id="4" xr3:uid="{00000000-0010-0000-0400-000004000000}" name="Status"/>
    <tableColumn id="5" xr3:uid="{00000000-0010-0000-0400-000005000000}" name="Qty Purchased"/>
    <tableColumn id="6" xr3:uid="{00000000-0010-0000-0400-000006000000}" name="Qty Sold"/>
    <tableColumn id="7" xr3:uid="{00000000-0010-0000-0400-000007000000}" name="Qty Wasted"/>
    <tableColumn id="8" xr3:uid="{00000000-0010-0000-0400-000008000000}" name="Wasted %"/>
    <tableColumn id="9" xr3:uid="{00000000-0010-0000-0400-000009000000}" name="Close Date"/>
    <tableColumn id="10" xr3:uid="{00000000-0010-0000-0400-00000A000000}" name="Revenue (CLP)"/>
    <tableColumn id="11" xr3:uid="{00000000-0010-0000-0400-00000B000000}" name="Revenue (USD)"/>
    <tableColumn id="12" xr3:uid="{00000000-0010-0000-0400-00000C000000}" name="Batch Cost (CLP)"/>
    <tableColumn id="13" xr3:uid="{00000000-0010-0000-0400-00000D000000}" name="Gross Profit (CLP)"/>
    <tableColumn id="14" xr3:uid="{00000000-0010-0000-0400-00000E000000}" name="Gross Profit (USD)"/>
    <tableColumn id="15" xr3:uid="{A883C0BB-55E1-4485-8668-6095D66642DC}" name="Waste Cost (CLP)" dataDxfId="1">
      <calculatedColumnFormula>IF(COUNTIF(TblPurchases[BatchID],TblOutcomes[[#This Row],[BatchID]])&lt;&gt;1,"n.a.",TblOutcomes[[#This Row],[Qty Wasted]]*SUMIFS(TblPurchases[Unit Cost (CLP)],TblPurchases[BatchID],TblOutcomes[[#This Row],[BatchID]]))</calculatedColumnFormula>
    </tableColumn>
    <tableColumn id="16" xr3:uid="{249E06B4-982E-494D-BF59-C354FE342F78}" name="Purchase Date" dataDxfId="2">
      <calculatedColumnFormula>IF(COUNTIF(TblPurchases[BatchID],TblOutcomes[[#This Row],[BatchID]])&lt;&gt;1,"n.a.",SUMIFS(TblPurchases[Purchase Date],TblPurchases[BatchID],TblOutcomes[[#This Row],[BatchID]]))</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B2:B44"/>
  <sheetViews>
    <sheetView showGridLines="0" workbookViewId="0"/>
  </sheetViews>
  <sheetFormatPr defaultColWidth="8.7109375" defaultRowHeight="15" x14ac:dyDescent="0.25"/>
  <cols>
    <col min="1" max="1" width="3" customWidth="1"/>
    <col min="2" max="2" width="108" customWidth="1"/>
  </cols>
  <sheetData>
    <row r="2" spans="2:2" ht="20.25" x14ac:dyDescent="0.3">
      <c r="B2" s="3" t="s">
        <v>0</v>
      </c>
    </row>
    <row r="3" spans="2:2" x14ac:dyDescent="0.25">
      <c r="B3" s="4" t="s">
        <v>1</v>
      </c>
    </row>
    <row r="6" spans="2:2" ht="15.75" x14ac:dyDescent="0.25">
      <c r="B6" s="5" t="s">
        <v>2</v>
      </c>
    </row>
    <row r="7" spans="2:2" ht="26.25" x14ac:dyDescent="0.25">
      <c r="B7" s="6" t="s">
        <v>3</v>
      </c>
    </row>
    <row r="8" spans="2:2" ht="51.75" x14ac:dyDescent="0.25">
      <c r="B8" s="6" t="s">
        <v>4</v>
      </c>
    </row>
    <row r="9" spans="2:2" ht="39" x14ac:dyDescent="0.25">
      <c r="B9" s="6" t="s">
        <v>5</v>
      </c>
    </row>
    <row r="11" spans="2:2" ht="15.75" x14ac:dyDescent="0.25">
      <c r="B11" s="5" t="s">
        <v>6</v>
      </c>
    </row>
    <row r="12" spans="2:2" x14ac:dyDescent="0.25">
      <c r="B12" s="7" t="s">
        <v>7</v>
      </c>
    </row>
    <row r="13" spans="2:2" ht="39" x14ac:dyDescent="0.25">
      <c r="B13" s="6" t="s">
        <v>8</v>
      </c>
    </row>
    <row r="14" spans="2:2" x14ac:dyDescent="0.25">
      <c r="B14" s="7" t="s">
        <v>9</v>
      </c>
    </row>
    <row r="15" spans="2:2" x14ac:dyDescent="0.25">
      <c r="B15" s="6" t="s">
        <v>10</v>
      </c>
    </row>
    <row r="16" spans="2:2" x14ac:dyDescent="0.25">
      <c r="B16" s="7" t="s">
        <v>11</v>
      </c>
    </row>
    <row r="17" spans="2:2" ht="26.25" x14ac:dyDescent="0.25">
      <c r="B17" s="6" t="s">
        <v>12</v>
      </c>
    </row>
    <row r="18" spans="2:2" x14ac:dyDescent="0.25">
      <c r="B18" s="7" t="s">
        <v>13</v>
      </c>
    </row>
    <row r="19" spans="2:2" ht="39" x14ac:dyDescent="0.25">
      <c r="B19" s="6" t="s">
        <v>14</v>
      </c>
    </row>
    <row r="20" spans="2:2" x14ac:dyDescent="0.25">
      <c r="B20" s="7" t="s">
        <v>15</v>
      </c>
    </row>
    <row r="21" spans="2:2" ht="39" x14ac:dyDescent="0.25">
      <c r="B21" s="6" t="s">
        <v>16</v>
      </c>
    </row>
    <row r="22" spans="2:2" x14ac:dyDescent="0.25">
      <c r="B22" s="7" t="s">
        <v>17</v>
      </c>
    </row>
    <row r="23" spans="2:2" ht="26.25" x14ac:dyDescent="0.25">
      <c r="B23" s="6" t="s">
        <v>18</v>
      </c>
    </row>
    <row r="24" spans="2:2" x14ac:dyDescent="0.25">
      <c r="B24" s="7" t="s">
        <v>19</v>
      </c>
    </row>
    <row r="25" spans="2:2" x14ac:dyDescent="0.25">
      <c r="B25" s="6" t="s">
        <v>20</v>
      </c>
    </row>
    <row r="26" spans="2:2" x14ac:dyDescent="0.25">
      <c r="B26" s="7" t="s">
        <v>21</v>
      </c>
    </row>
    <row r="27" spans="2:2" x14ac:dyDescent="0.25">
      <c r="B27" s="6" t="s">
        <v>22</v>
      </c>
    </row>
    <row r="28" spans="2:2" x14ac:dyDescent="0.25">
      <c r="B28" s="7" t="s">
        <v>23</v>
      </c>
    </row>
    <row r="29" spans="2:2" x14ac:dyDescent="0.25">
      <c r="B29" s="6" t="s">
        <v>24</v>
      </c>
    </row>
    <row r="30" spans="2:2" x14ac:dyDescent="0.25">
      <c r="B30" s="7" t="s">
        <v>25</v>
      </c>
    </row>
    <row r="31" spans="2:2" ht="26.25" x14ac:dyDescent="0.25">
      <c r="B31" s="6" t="s">
        <v>26</v>
      </c>
    </row>
    <row r="32" spans="2:2" x14ac:dyDescent="0.25">
      <c r="B32" s="7" t="s">
        <v>27</v>
      </c>
    </row>
    <row r="33" spans="2:2" x14ac:dyDescent="0.25">
      <c r="B33" s="6" t="s">
        <v>28</v>
      </c>
    </row>
    <row r="35" spans="2:2" ht="15.75" x14ac:dyDescent="0.25">
      <c r="B35" s="5" t="s">
        <v>29</v>
      </c>
    </row>
    <row r="36" spans="2:2" ht="51.75" x14ac:dyDescent="0.25">
      <c r="B36" s="6" t="s">
        <v>30</v>
      </c>
    </row>
    <row r="38" spans="2:2" ht="15.75" x14ac:dyDescent="0.25">
      <c r="B38" s="5" t="s">
        <v>31</v>
      </c>
    </row>
    <row r="39" spans="2:2" ht="39" x14ac:dyDescent="0.25">
      <c r="B39" s="6" t="s">
        <v>32</v>
      </c>
    </row>
    <row r="41" spans="2:2" ht="15.75" x14ac:dyDescent="0.25">
      <c r="B41" s="5" t="s">
        <v>33</v>
      </c>
    </row>
    <row r="42" spans="2:2" x14ac:dyDescent="0.25">
      <c r="B42" s="6" t="s">
        <v>34</v>
      </c>
    </row>
    <row r="43" spans="2:2" x14ac:dyDescent="0.25">
      <c r="B43" s="6" t="s">
        <v>35</v>
      </c>
    </row>
    <row r="44" spans="2:2" x14ac:dyDescent="0.25">
      <c r="B44" s="6"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5F"/>
  </sheetPr>
  <dimension ref="B1:J56"/>
  <sheetViews>
    <sheetView showGridLines="0" workbookViewId="0"/>
  </sheetViews>
  <sheetFormatPr defaultColWidth="8.7109375" defaultRowHeight="15" x14ac:dyDescent="0.25"/>
  <cols>
    <col min="1" max="1" width="3" customWidth="1"/>
    <col min="2" max="10" width="15" customWidth="1"/>
  </cols>
  <sheetData>
    <row r="1" spans="2:9" ht="20.25" x14ac:dyDescent="0.3">
      <c r="B1" s="3" t="s">
        <v>37</v>
      </c>
    </row>
    <row r="2" spans="2:9" x14ac:dyDescent="0.25">
      <c r="B2" s="4" t="s">
        <v>4663</v>
      </c>
    </row>
    <row r="4" spans="2:9" x14ac:dyDescent="0.25">
      <c r="B4" s="38" t="s">
        <v>38</v>
      </c>
      <c r="C4" s="38"/>
      <c r="E4" s="38" t="s">
        <v>39</v>
      </c>
      <c r="F4" s="38"/>
      <c r="H4" s="38" t="s">
        <v>4664</v>
      </c>
      <c r="I4" s="38"/>
    </row>
    <row r="5" spans="2:9" x14ac:dyDescent="0.25">
      <c r="B5" s="39">
        <f>COUNTA(TblProducts[ID])</f>
        <v>128</v>
      </c>
      <c r="C5" s="39"/>
      <c r="E5" s="39">
        <f>COUNTIF(TblProducts[Essential],"Yes")</f>
        <v>15</v>
      </c>
      <c r="F5" s="39"/>
      <c r="H5" s="42">
        <f>SUM(TblOutcomes[Gross Profit (CLP)])/SUM(TblOutcomes[Revenue (CLP)])</f>
        <v>0.25033531052326946</v>
      </c>
      <c r="I5" s="42"/>
    </row>
    <row r="6" spans="2:9" x14ac:dyDescent="0.25">
      <c r="B6" s="39"/>
      <c r="C6" s="39"/>
      <c r="E6" s="39"/>
      <c r="F6" s="39"/>
      <c r="H6" s="42"/>
      <c r="I6" s="42"/>
    </row>
    <row r="8" spans="2:9" x14ac:dyDescent="0.25">
      <c r="B8" s="38" t="s">
        <v>4665</v>
      </c>
      <c r="C8" s="38"/>
      <c r="E8" s="38" t="s">
        <v>4666</v>
      </c>
      <c r="F8" s="38"/>
      <c r="H8" s="38" t="s">
        <v>4667</v>
      </c>
      <c r="I8" s="38"/>
    </row>
    <row r="9" spans="2:9" x14ac:dyDescent="0.25">
      <c r="B9" s="40">
        <f>SUM(TblOutcomes[Revenue (CLP)])</f>
        <v>412926945</v>
      </c>
      <c r="C9" s="41"/>
      <c r="E9" s="40">
        <f>SUM(TblOutcomes[Gross Profit (CLP)])</f>
        <v>103370195</v>
      </c>
      <c r="F9" s="41"/>
      <c r="H9" s="42">
        <f>IF(COUNT(TblOutcomes[Waste Cost (CLP)])&lt;&gt;COUNTA(TblOutcomes[BatchID]),"n.a.",SUM(TblOutcomes[Waste Cost (CLP)])/SUM(TblPurchases[Batch Cost (CLP)]))</f>
        <v>2.9048528258550331E-2</v>
      </c>
      <c r="I9" s="42"/>
    </row>
    <row r="10" spans="2:9" x14ac:dyDescent="0.25">
      <c r="B10" s="41"/>
      <c r="C10" s="41"/>
      <c r="E10" s="41"/>
      <c r="F10" s="41"/>
      <c r="H10" s="42"/>
      <c r="I10" s="42"/>
    </row>
    <row r="12" spans="2:9" x14ac:dyDescent="0.25">
      <c r="B12" s="38" t="s">
        <v>40</v>
      </c>
      <c r="C12" s="38"/>
      <c r="E12" s="38" t="s">
        <v>41</v>
      </c>
      <c r="F12" s="38"/>
      <c r="H12" s="38" t="s">
        <v>42</v>
      </c>
      <c r="I12" s="38"/>
    </row>
    <row r="13" spans="2:9" x14ac:dyDescent="0.25">
      <c r="B13" s="39">
        <f>COUNTA(TblSuppliers[ID])</f>
        <v>22</v>
      </c>
      <c r="C13" s="39"/>
      <c r="E13" s="39">
        <f>COUNTIF(Restock_Alerts!H5:H132,"URGENT")</f>
        <v>2</v>
      </c>
      <c r="F13" s="39"/>
      <c r="H13" s="39">
        <f>COUNTA(TblOutcomes[BatchID])</f>
        <v>3825</v>
      </c>
      <c r="I13" s="39"/>
    </row>
    <row r="14" spans="2:9" x14ac:dyDescent="0.25">
      <c r="B14" s="39"/>
      <c r="C14" s="39"/>
      <c r="E14" s="39"/>
      <c r="F14" s="39"/>
      <c r="H14" s="39"/>
      <c r="I14" s="39"/>
    </row>
    <row r="17" spans="2:4" ht="15.75" x14ac:dyDescent="0.25">
      <c r="B17" s="5" t="s">
        <v>4668</v>
      </c>
    </row>
    <row r="18" spans="2:4" ht="30" x14ac:dyDescent="0.25">
      <c r="B18" s="8" t="s">
        <v>43</v>
      </c>
      <c r="C18" s="8" t="s">
        <v>44</v>
      </c>
      <c r="D18" s="8" t="s">
        <v>4669</v>
      </c>
    </row>
    <row r="19" spans="2:4" x14ac:dyDescent="0.25">
      <c r="B19" s="2" t="s">
        <v>45</v>
      </c>
      <c r="C19" s="9">
        <v>19975</v>
      </c>
      <c r="D19" s="10">
        <f>SUMIFS(TblOutcomes[Waste Cost (CLP)],TblOutcomes[Purchase Date],"&gt;="&amp;DATE(VALUE(LEFT(B19,4)),VALUE(RIGHT(B19,2)),1),TblOutcomes[Purchase Date],"&lt;"&amp;EDATE(DATE(VALUE(LEFT(B19,4)),VALUE(RIGHT(B19,2)),1),1))/SUMIFS(TblPurchases[Batch Cost (CLP)],TblPurchases[Purchase Date],"&gt;="&amp;DATE(VALUE(LEFT(B19,4)),VALUE(RIGHT(B19,2)),1),TblPurchases[Purchase Date],"&lt;"&amp;EDATE(DATE(VALUE(LEFT(B19,4)),VALUE(RIGHT(B19,2)),1),1))*100</f>
        <v>2.3249655281376578</v>
      </c>
    </row>
    <row r="20" spans="2:4" x14ac:dyDescent="0.25">
      <c r="B20" s="2" t="s">
        <v>46</v>
      </c>
      <c r="C20" s="9">
        <v>19974</v>
      </c>
      <c r="D20" s="10">
        <f>SUMIFS(TblOutcomes[Waste Cost (CLP)],TblOutcomes[Purchase Date],"&gt;="&amp;DATE(VALUE(LEFT(B20,4)),VALUE(RIGHT(B20,2)),1),TblOutcomes[Purchase Date],"&lt;"&amp;EDATE(DATE(VALUE(LEFT(B20,4)),VALUE(RIGHT(B20,2)),1),1))/SUMIFS(TblPurchases[Batch Cost (CLP)],TblPurchases[Purchase Date],"&gt;="&amp;DATE(VALUE(LEFT(B20,4)),VALUE(RIGHT(B20,2)),1),TblPurchases[Purchase Date],"&lt;"&amp;EDATE(DATE(VALUE(LEFT(B20,4)),VALUE(RIGHT(B20,2)),1),1))*100</f>
        <v>2.2608264581133559</v>
      </c>
    </row>
    <row r="21" spans="2:4" x14ac:dyDescent="0.25">
      <c r="B21" s="2" t="s">
        <v>47</v>
      </c>
      <c r="C21" s="9">
        <v>22866</v>
      </c>
      <c r="D21" s="10">
        <f>SUMIFS(TblOutcomes[Waste Cost (CLP)],TblOutcomes[Purchase Date],"&gt;="&amp;DATE(VALUE(LEFT(B21,4)),VALUE(RIGHT(B21,2)),1),TblOutcomes[Purchase Date],"&lt;"&amp;EDATE(DATE(VALUE(LEFT(B21,4)),VALUE(RIGHT(B21,2)),1),1))/SUMIFS(TblPurchases[Batch Cost (CLP)],TblPurchases[Purchase Date],"&gt;="&amp;DATE(VALUE(LEFT(B21,4)),VALUE(RIGHT(B21,2)),1),TblPurchases[Purchase Date],"&lt;"&amp;EDATE(DATE(VALUE(LEFT(B21,4)),VALUE(RIGHT(B21,2)),1),1))*100</f>
        <v>1.7697789618544655</v>
      </c>
    </row>
    <row r="22" spans="2:4" x14ac:dyDescent="0.25">
      <c r="B22" s="2" t="s">
        <v>48</v>
      </c>
      <c r="C22" s="9">
        <v>16117</v>
      </c>
      <c r="D22" s="10">
        <f>SUMIFS(TblOutcomes[Waste Cost (CLP)],TblOutcomes[Purchase Date],"&gt;="&amp;DATE(VALUE(LEFT(B22,4)),VALUE(RIGHT(B22,2)),1),TblOutcomes[Purchase Date],"&lt;"&amp;EDATE(DATE(VALUE(LEFT(B22,4)),VALUE(RIGHT(B22,2)),1),1))/SUMIFS(TblPurchases[Batch Cost (CLP)],TblPurchases[Purchase Date],"&gt;="&amp;DATE(VALUE(LEFT(B22,4)),VALUE(RIGHT(B22,2)),1),TblPurchases[Purchase Date],"&lt;"&amp;EDATE(DATE(VALUE(LEFT(B22,4)),VALUE(RIGHT(B22,2)),1),1))*100</f>
        <v>3.3572784432065057</v>
      </c>
    </row>
    <row r="23" spans="2:4" x14ac:dyDescent="0.25">
      <c r="B23" s="2" t="s">
        <v>49</v>
      </c>
      <c r="C23" s="9">
        <v>15155</v>
      </c>
      <c r="D23" s="10">
        <f>SUMIFS(TblOutcomes[Waste Cost (CLP)],TblOutcomes[Purchase Date],"&gt;="&amp;DATE(VALUE(LEFT(B23,4)),VALUE(RIGHT(B23,2)),1),TblOutcomes[Purchase Date],"&lt;"&amp;EDATE(DATE(VALUE(LEFT(B23,4)),VALUE(RIGHT(B23,2)),1),1))/SUMIFS(TblPurchases[Batch Cost (CLP)],TblPurchases[Purchase Date],"&gt;="&amp;DATE(VALUE(LEFT(B23,4)),VALUE(RIGHT(B23,2)),1),TblPurchases[Purchase Date],"&lt;"&amp;EDATE(DATE(VALUE(LEFT(B23,4)),VALUE(RIGHT(B23,2)),1),1))*100</f>
        <v>3.672648008662307</v>
      </c>
    </row>
    <row r="24" spans="2:4" x14ac:dyDescent="0.25">
      <c r="B24" s="2" t="s">
        <v>50</v>
      </c>
      <c r="C24" s="9">
        <v>18974</v>
      </c>
      <c r="D24" s="10">
        <f>SUMIFS(TblOutcomes[Waste Cost (CLP)],TblOutcomes[Purchase Date],"&gt;="&amp;DATE(VALUE(LEFT(B24,4)),VALUE(RIGHT(B24,2)),1),TblOutcomes[Purchase Date],"&lt;"&amp;EDATE(DATE(VALUE(LEFT(B24,4)),VALUE(RIGHT(B24,2)),1),1))/SUMIFS(TblPurchases[Batch Cost (CLP)],TblPurchases[Purchase Date],"&gt;="&amp;DATE(VALUE(LEFT(B24,4)),VALUE(RIGHT(B24,2)),1),TblPurchases[Purchase Date],"&lt;"&amp;EDATE(DATE(VALUE(LEFT(B24,4)),VALUE(RIGHT(B24,2)),1),1))*100</f>
        <v>2.4653392470282922</v>
      </c>
    </row>
    <row r="25" spans="2:4" x14ac:dyDescent="0.25">
      <c r="B25" s="2" t="s">
        <v>51</v>
      </c>
      <c r="C25" s="9">
        <v>15545</v>
      </c>
      <c r="D25" s="10">
        <f>SUMIFS(TblOutcomes[Waste Cost (CLP)],TblOutcomes[Purchase Date],"&gt;="&amp;DATE(VALUE(LEFT(B25,4)),VALUE(RIGHT(B25,2)),1),TblOutcomes[Purchase Date],"&lt;"&amp;EDATE(DATE(VALUE(LEFT(B25,4)),VALUE(RIGHT(B25,2)),1),1))/SUMIFS(TblPurchases[Batch Cost (CLP)],TblPurchases[Purchase Date],"&gt;="&amp;DATE(VALUE(LEFT(B25,4)),VALUE(RIGHT(B25,2)),1),TblPurchases[Purchase Date],"&lt;"&amp;EDATE(DATE(VALUE(LEFT(B25,4)),VALUE(RIGHT(B25,2)),1),1))*100</f>
        <v>4.7142079576174316</v>
      </c>
    </row>
    <row r="26" spans="2:4" x14ac:dyDescent="0.25">
      <c r="B26" s="2" t="s">
        <v>52</v>
      </c>
      <c r="C26" s="9">
        <v>14415</v>
      </c>
      <c r="D26" s="10">
        <f>SUMIFS(TblOutcomes[Waste Cost (CLP)],TblOutcomes[Purchase Date],"&gt;="&amp;DATE(VALUE(LEFT(B26,4)),VALUE(RIGHT(B26,2)),1),TblOutcomes[Purchase Date],"&lt;"&amp;EDATE(DATE(VALUE(LEFT(B26,4)),VALUE(RIGHT(B26,2)),1),1))/SUMIFS(TblPurchases[Batch Cost (CLP)],TblPurchases[Purchase Date],"&gt;="&amp;DATE(VALUE(LEFT(B26,4)),VALUE(RIGHT(B26,2)),1),TblPurchases[Purchase Date],"&lt;"&amp;EDATE(DATE(VALUE(LEFT(B26,4)),VALUE(RIGHT(B26,2)),1),1))*100</f>
        <v>6.2422038969708904</v>
      </c>
    </row>
    <row r="27" spans="2:4" x14ac:dyDescent="0.25">
      <c r="B27" s="2" t="s">
        <v>53</v>
      </c>
      <c r="C27" s="9">
        <v>15262</v>
      </c>
      <c r="D27" s="10">
        <f>SUMIFS(TblOutcomes[Waste Cost (CLP)],TblOutcomes[Purchase Date],"&gt;="&amp;DATE(VALUE(LEFT(B27,4)),VALUE(RIGHT(B27,2)),1),TblOutcomes[Purchase Date],"&lt;"&amp;EDATE(DATE(VALUE(LEFT(B27,4)),VALUE(RIGHT(B27,2)),1),1))/SUMIFS(TblPurchases[Batch Cost (CLP)],TblPurchases[Purchase Date],"&gt;="&amp;DATE(VALUE(LEFT(B27,4)),VALUE(RIGHT(B27,2)),1),TblPurchases[Purchase Date],"&lt;"&amp;EDATE(DATE(VALUE(LEFT(B27,4)),VALUE(RIGHT(B27,2)),1),1))*100</f>
        <v>3.3497307995347612</v>
      </c>
    </row>
    <row r="28" spans="2:4" x14ac:dyDescent="0.25">
      <c r="B28" s="2" t="s">
        <v>54</v>
      </c>
      <c r="C28" s="9">
        <v>19516</v>
      </c>
      <c r="D28" s="10">
        <f>SUMIFS(TblOutcomes[Waste Cost (CLP)],TblOutcomes[Purchase Date],"&gt;="&amp;DATE(VALUE(LEFT(B28,4)),VALUE(RIGHT(B28,2)),1),TblOutcomes[Purchase Date],"&lt;"&amp;EDATE(DATE(VALUE(LEFT(B28,4)),VALUE(RIGHT(B28,2)),1),1))/SUMIFS(TblPurchases[Batch Cost (CLP)],TblPurchases[Purchase Date],"&gt;="&amp;DATE(VALUE(LEFT(B28,4)),VALUE(RIGHT(B28,2)),1),TblPurchases[Purchase Date],"&lt;"&amp;EDATE(DATE(VALUE(LEFT(B28,4)),VALUE(RIGHT(B28,2)),1),1))*100</f>
        <v>2.3999824924225015</v>
      </c>
    </row>
    <row r="29" spans="2:4" x14ac:dyDescent="0.25">
      <c r="B29" s="2" t="s">
        <v>55</v>
      </c>
      <c r="C29" s="9">
        <v>21114</v>
      </c>
      <c r="D29" s="10">
        <f>SUMIFS(TblOutcomes[Waste Cost (CLP)],TblOutcomes[Purchase Date],"&gt;="&amp;DATE(VALUE(LEFT(B29,4)),VALUE(RIGHT(B29,2)),1),TblOutcomes[Purchase Date],"&lt;"&amp;EDATE(DATE(VALUE(LEFT(B29,4)),VALUE(RIGHT(B29,2)),1),1))/SUMIFS(TblPurchases[Batch Cost (CLP)],TblPurchases[Purchase Date],"&gt;="&amp;DATE(VALUE(LEFT(B29,4)),VALUE(RIGHT(B29,2)),1),TblPurchases[Purchase Date],"&lt;"&amp;EDATE(DATE(VALUE(LEFT(B29,4)),VALUE(RIGHT(B29,2)),1),1))*100</f>
        <v>2.4376556163588639</v>
      </c>
    </row>
    <row r="30" spans="2:4" x14ac:dyDescent="0.25">
      <c r="B30" s="2" t="s">
        <v>56</v>
      </c>
      <c r="C30" s="9">
        <v>20107</v>
      </c>
      <c r="D30" s="10">
        <f>SUMIFS(TblOutcomes[Waste Cost (CLP)],TblOutcomes[Purchase Date],"&gt;="&amp;DATE(VALUE(LEFT(B30,4)),VALUE(RIGHT(B30,2)),1),TblOutcomes[Purchase Date],"&lt;"&amp;EDATE(DATE(VALUE(LEFT(B30,4)),VALUE(RIGHT(B30,2)),1),1))/SUMIFS(TblPurchases[Batch Cost (CLP)],TblPurchases[Purchase Date],"&gt;="&amp;DATE(VALUE(LEFT(B30,4)),VALUE(RIGHT(B30,2)),1),TblPurchases[Purchase Date],"&lt;"&amp;EDATE(DATE(VALUE(LEFT(B30,4)),VALUE(RIGHT(B30,2)),1),1))*100</f>
        <v>2.8308390389292692</v>
      </c>
    </row>
    <row r="31" spans="2:4" x14ac:dyDescent="0.25">
      <c r="B31" s="2" t="s">
        <v>57</v>
      </c>
      <c r="C31" s="9">
        <v>19460</v>
      </c>
      <c r="D31" s="10">
        <f>SUMIFS(TblOutcomes[Waste Cost (CLP)],TblOutcomes[Purchase Date],"&gt;="&amp;DATE(VALUE(LEFT(B31,4)),VALUE(RIGHT(B31,2)),1),TblOutcomes[Purchase Date],"&lt;"&amp;EDATE(DATE(VALUE(LEFT(B31,4)),VALUE(RIGHT(B31,2)),1),1))/SUMIFS(TblPurchases[Batch Cost (CLP)],TblPurchases[Purchase Date],"&gt;="&amp;DATE(VALUE(LEFT(B31,4)),VALUE(RIGHT(B31,2)),1),TblPurchases[Purchase Date],"&lt;"&amp;EDATE(DATE(VALUE(LEFT(B31,4)),VALUE(RIGHT(B31,2)),1),1))*100</f>
        <v>2.9630605223698181</v>
      </c>
    </row>
    <row r="32" spans="2:4" x14ac:dyDescent="0.25">
      <c r="B32" s="2" t="s">
        <v>58</v>
      </c>
      <c r="C32" s="9">
        <v>19379</v>
      </c>
      <c r="D32" s="10">
        <f>SUMIFS(TblOutcomes[Waste Cost (CLP)],TblOutcomes[Purchase Date],"&gt;="&amp;DATE(VALUE(LEFT(B32,4)),VALUE(RIGHT(B32,2)),1),TblOutcomes[Purchase Date],"&lt;"&amp;EDATE(DATE(VALUE(LEFT(B32,4)),VALUE(RIGHT(B32,2)),1),1))/SUMIFS(TblPurchases[Batch Cost (CLP)],TblPurchases[Purchase Date],"&gt;="&amp;DATE(VALUE(LEFT(B32,4)),VALUE(RIGHT(B32,2)),1),TblPurchases[Purchase Date],"&lt;"&amp;EDATE(DATE(VALUE(LEFT(B32,4)),VALUE(RIGHT(B32,2)),1),1))*100</f>
        <v>3.0331032818003272</v>
      </c>
    </row>
    <row r="33" spans="2:10" x14ac:dyDescent="0.25">
      <c r="B33" s="2" t="s">
        <v>59</v>
      </c>
      <c r="C33" s="9">
        <v>23436</v>
      </c>
      <c r="D33" s="10">
        <f>SUMIFS(TblOutcomes[Waste Cost (CLP)],TblOutcomes[Purchase Date],"&gt;="&amp;DATE(VALUE(LEFT(B33,4)),VALUE(RIGHT(B33,2)),1),TblOutcomes[Purchase Date],"&lt;"&amp;EDATE(DATE(VALUE(LEFT(B33,4)),VALUE(RIGHT(B33,2)),1),1))/SUMIFS(TblPurchases[Batch Cost (CLP)],TblPurchases[Purchase Date],"&gt;="&amp;DATE(VALUE(LEFT(B33,4)),VALUE(RIGHT(B33,2)),1),TblPurchases[Purchase Date],"&lt;"&amp;EDATE(DATE(VALUE(LEFT(B33,4)),VALUE(RIGHT(B33,2)),1),1))*100</f>
        <v>1.9395097674928579</v>
      </c>
    </row>
    <row r="34" spans="2:10" x14ac:dyDescent="0.25">
      <c r="B34" s="2" t="s">
        <v>60</v>
      </c>
      <c r="C34" s="9">
        <v>15918</v>
      </c>
      <c r="D34" s="10">
        <f>SUMIFS(TblOutcomes[Waste Cost (CLP)],TblOutcomes[Purchase Date],"&gt;="&amp;DATE(VALUE(LEFT(B34,4)),VALUE(RIGHT(B34,2)),1),TblOutcomes[Purchase Date],"&lt;"&amp;EDATE(DATE(VALUE(LEFT(B34,4)),VALUE(RIGHT(B34,2)),1),1))/SUMIFS(TblPurchases[Batch Cost (CLP)],TblPurchases[Purchase Date],"&gt;="&amp;DATE(VALUE(LEFT(B34,4)),VALUE(RIGHT(B34,2)),1),TblPurchases[Purchase Date],"&lt;"&amp;EDATE(DATE(VALUE(LEFT(B34,4)),VALUE(RIGHT(B34,2)),1),1))*100</f>
        <v>2.3454559507517718</v>
      </c>
    </row>
    <row r="35" spans="2:10" x14ac:dyDescent="0.25">
      <c r="B35" s="2" t="s">
        <v>61</v>
      </c>
      <c r="C35" s="9">
        <v>15449</v>
      </c>
      <c r="D35" s="10">
        <f>SUMIFS(TblOutcomes[Waste Cost (CLP)],TblOutcomes[Purchase Date],"&gt;="&amp;DATE(VALUE(LEFT(B35,4)),VALUE(RIGHT(B35,2)),1),TblOutcomes[Purchase Date],"&lt;"&amp;EDATE(DATE(VALUE(LEFT(B35,4)),VALUE(RIGHT(B35,2)),1),1))/SUMIFS(TblPurchases[Batch Cost (CLP)],TblPurchases[Purchase Date],"&gt;="&amp;DATE(VALUE(LEFT(B35,4)),VALUE(RIGHT(B35,2)),1),TblPurchases[Purchase Date],"&lt;"&amp;EDATE(DATE(VALUE(LEFT(B35,4)),VALUE(RIGHT(B35,2)),1),1))*100</f>
        <v>2.7259016362899584</v>
      </c>
    </row>
    <row r="36" spans="2:10" x14ac:dyDescent="0.25">
      <c r="B36" s="2" t="s">
        <v>62</v>
      </c>
      <c r="C36" s="9">
        <v>20349</v>
      </c>
      <c r="D36" s="10">
        <f>SUMIFS(TblOutcomes[Waste Cost (CLP)],TblOutcomes[Purchase Date],"&gt;="&amp;DATE(VALUE(LEFT(B36,4)),VALUE(RIGHT(B36,2)),1),TblOutcomes[Purchase Date],"&lt;"&amp;EDATE(DATE(VALUE(LEFT(B36,4)),VALUE(RIGHT(B36,2)),1),1))/SUMIFS(TblPurchases[Batch Cost (CLP)],TblPurchases[Purchase Date],"&gt;="&amp;DATE(VALUE(LEFT(B36,4)),VALUE(RIGHT(B36,2)),1),TblPurchases[Purchase Date],"&lt;"&amp;EDATE(DATE(VALUE(LEFT(B36,4)),VALUE(RIGHT(B36,2)),1),1))*100</f>
        <v>2.8212458674703464</v>
      </c>
    </row>
    <row r="37" spans="2:10" x14ac:dyDescent="0.25">
      <c r="B37" s="2" t="s">
        <v>63</v>
      </c>
      <c r="C37" s="9">
        <v>16213</v>
      </c>
      <c r="D37" s="10">
        <f>SUMIFS(TblOutcomes[Waste Cost (CLP)],TblOutcomes[Purchase Date],"&gt;="&amp;DATE(VALUE(LEFT(B37,4)),VALUE(RIGHT(B37,2)),1),TblOutcomes[Purchase Date],"&lt;"&amp;EDATE(DATE(VALUE(LEFT(B37,4)),VALUE(RIGHT(B37,2)),1),1))/SUMIFS(TblPurchases[Batch Cost (CLP)],TblPurchases[Purchase Date],"&gt;="&amp;DATE(VALUE(LEFT(B37,4)),VALUE(RIGHT(B37,2)),1),TblPurchases[Purchase Date],"&lt;"&amp;EDATE(DATE(VALUE(LEFT(B37,4)),VALUE(RIGHT(B37,2)),1),1))*100</f>
        <v>4.0542414070422046</v>
      </c>
    </row>
    <row r="38" spans="2:10" x14ac:dyDescent="0.25">
      <c r="B38" s="2" t="s">
        <v>64</v>
      </c>
      <c r="C38" s="9">
        <v>15367</v>
      </c>
      <c r="D38" s="10">
        <f>SUMIFS(TblOutcomes[Waste Cost (CLP)],TblOutcomes[Purchase Date],"&gt;="&amp;DATE(VALUE(LEFT(B38,4)),VALUE(RIGHT(B38,2)),1),TblOutcomes[Purchase Date],"&lt;"&amp;EDATE(DATE(VALUE(LEFT(B38,4)),VALUE(RIGHT(B38,2)),1),1))/SUMIFS(TblPurchases[Batch Cost (CLP)],TblPurchases[Purchase Date],"&gt;="&amp;DATE(VALUE(LEFT(B38,4)),VALUE(RIGHT(B38,2)),1),TblPurchases[Purchase Date],"&lt;"&amp;EDATE(DATE(VALUE(LEFT(B38,4)),VALUE(RIGHT(B38,2)),1),1))*100</f>
        <v>3.9841620405377989</v>
      </c>
    </row>
    <row r="39" spans="2:10" x14ac:dyDescent="0.25">
      <c r="B39" s="2" t="s">
        <v>65</v>
      </c>
      <c r="C39" s="9">
        <v>16572</v>
      </c>
      <c r="D39" s="10">
        <f>SUMIFS(TblOutcomes[Waste Cost (CLP)],TblOutcomes[Purchase Date],"&gt;="&amp;DATE(VALUE(LEFT(B39,4)),VALUE(RIGHT(B39,2)),1),TblOutcomes[Purchase Date],"&lt;"&amp;EDATE(DATE(VALUE(LEFT(B39,4)),VALUE(RIGHT(B39,2)),1),1))/SUMIFS(TblPurchases[Batch Cost (CLP)],TblPurchases[Purchase Date],"&gt;="&amp;DATE(VALUE(LEFT(B39,4)),VALUE(RIGHT(B39,2)),1),TblPurchases[Purchase Date],"&lt;"&amp;EDATE(DATE(VALUE(LEFT(B39,4)),VALUE(RIGHT(B39,2)),1),1))*100</f>
        <v>3.9468417226189967</v>
      </c>
    </row>
    <row r="40" spans="2:10" x14ac:dyDescent="0.25">
      <c r="B40" s="2" t="s">
        <v>66</v>
      </c>
      <c r="C40" s="9">
        <v>19382</v>
      </c>
      <c r="D40" s="10">
        <f>SUMIFS(TblOutcomes[Waste Cost (CLP)],TblOutcomes[Purchase Date],"&gt;="&amp;DATE(VALUE(LEFT(B40,4)),VALUE(RIGHT(B40,2)),1),TblOutcomes[Purchase Date],"&lt;"&amp;EDATE(DATE(VALUE(LEFT(B40,4)),VALUE(RIGHT(B40,2)),1),1))/SUMIFS(TblPurchases[Batch Cost (CLP)],TblPurchases[Purchase Date],"&gt;="&amp;DATE(VALUE(LEFT(B40,4)),VALUE(RIGHT(B40,2)),1),TblPurchases[Purchase Date],"&lt;"&amp;EDATE(DATE(VALUE(LEFT(B40,4)),VALUE(RIGHT(B40,2)),1),1))*100</f>
        <v>2.3150861160709333</v>
      </c>
    </row>
    <row r="41" spans="2:10" x14ac:dyDescent="0.25">
      <c r="B41" s="2" t="s">
        <v>67</v>
      </c>
      <c r="C41" s="9">
        <v>20764</v>
      </c>
      <c r="D41" s="10">
        <f>SUMIFS(TblOutcomes[Waste Cost (CLP)],TblOutcomes[Purchase Date],"&gt;="&amp;DATE(VALUE(LEFT(B41,4)),VALUE(RIGHT(B41,2)),1),TblOutcomes[Purchase Date],"&lt;"&amp;EDATE(DATE(VALUE(LEFT(B41,4)),VALUE(RIGHT(B41,2)),1),1))/SUMIFS(TblPurchases[Batch Cost (CLP)],TblPurchases[Purchase Date],"&gt;="&amp;DATE(VALUE(LEFT(B41,4)),VALUE(RIGHT(B41,2)),1),TblPurchases[Purchase Date],"&lt;"&amp;EDATE(DATE(VALUE(LEFT(B41,4)),VALUE(RIGHT(B41,2)),1),1))*100</f>
        <v>2.2029064956557716</v>
      </c>
    </row>
    <row r="42" spans="2:10" x14ac:dyDescent="0.25">
      <c r="B42" s="2" t="s">
        <v>68</v>
      </c>
      <c r="C42" s="9">
        <v>20324</v>
      </c>
      <c r="D42" s="10">
        <f>SUMIFS(TblOutcomes[Waste Cost (CLP)],TblOutcomes[Purchase Date],"&gt;="&amp;DATE(VALUE(LEFT(B42,4)),VALUE(RIGHT(B42,2)),1),TblOutcomes[Purchase Date],"&lt;"&amp;EDATE(DATE(VALUE(LEFT(B42,4)),VALUE(RIGHT(B42,2)),1),1))/SUMIFS(TblPurchases[Batch Cost (CLP)],TblPurchases[Purchase Date],"&gt;="&amp;DATE(VALUE(LEFT(B42,4)),VALUE(RIGHT(B42,2)),1),TblPurchases[Purchase Date],"&lt;"&amp;EDATE(DATE(VALUE(LEFT(B42,4)),VALUE(RIGHT(B42,2)),1),1))*100</f>
        <v>1.9721152691332209</v>
      </c>
    </row>
    <row r="45" spans="2:10" ht="15.75" x14ac:dyDescent="0.25">
      <c r="B45" s="5" t="s">
        <v>69</v>
      </c>
    </row>
    <row r="46" spans="2:10" x14ac:dyDescent="0.25">
      <c r="B46" s="7" t="s">
        <v>70</v>
      </c>
      <c r="D46" s="37" t="s">
        <v>71</v>
      </c>
      <c r="E46" s="37"/>
      <c r="F46" s="37"/>
    </row>
    <row r="48" spans="2:10" ht="30" x14ac:dyDescent="0.25">
      <c r="B48" s="8" t="s">
        <v>72</v>
      </c>
      <c r="C48" s="8" t="s">
        <v>73</v>
      </c>
      <c r="D48" s="8" t="s">
        <v>74</v>
      </c>
      <c r="E48" s="8" t="s">
        <v>75</v>
      </c>
      <c r="F48" s="8" t="s">
        <v>76</v>
      </c>
      <c r="G48" s="8" t="s">
        <v>77</v>
      </c>
      <c r="H48" s="8" t="s">
        <v>78</v>
      </c>
      <c r="I48" s="8" t="s">
        <v>79</v>
      </c>
      <c r="J48" s="8" t="s">
        <v>80</v>
      </c>
    </row>
    <row r="49" spans="2:10" x14ac:dyDescent="0.25">
      <c r="B49" s="11">
        <f>INDEX(Category_Summary!$C$5:$C$18,MATCH(D46,Category_Summary!$B$5:$B$18,0))</f>
        <v>17</v>
      </c>
      <c r="C49" s="11">
        <f>INDEX(Category_Summary!$D$5:$D$18,MATCH(D46,Category_Summary!$B$5:$B$18,0))</f>
        <v>0</v>
      </c>
      <c r="D49" s="12">
        <f>INDEX(Category_Summary!$E$5:$E$18,MATCH(D46,Category_Summary!$B$5:$B$18,0))</f>
        <v>1088.2352941176471</v>
      </c>
      <c r="E49" s="13">
        <f>INDEX(Category_Summary!$F$5:$F$18,MATCH(D46,Category_Summary!$B$5:$B$18,0))</f>
        <v>0.31323529411764695</v>
      </c>
      <c r="F49" s="12">
        <f>INDEX(Category_Summary!$G$5:$G$18,MATCH(D46,Category_Summary!$B$5:$B$18,0))</f>
        <v>15758630</v>
      </c>
      <c r="G49" s="13">
        <f>INDEX(Category_Summary!$H$5:$H$18,MATCH(D46,Category_Summary!$B$5:$B$18,0))</f>
        <v>1.4816193472918689E-2</v>
      </c>
      <c r="H49" s="11">
        <f>INDEX(Category_Summary!$I$5:$I$18,MATCH(D46,Category_Summary!$B$5:$B$18,0))</f>
        <v>8</v>
      </c>
      <c r="I49" s="11">
        <f>INDEX(Category_Summary!$J$5:$J$18,MATCH(D46,Category_Summary!$B$5:$B$18,0))</f>
        <v>7</v>
      </c>
      <c r="J49" s="11">
        <f>INDEX(Category_Summary!$K$5:$K$18,MATCH(D46,Category_Summary!$B$5:$B$18,0))</f>
        <v>2</v>
      </c>
    </row>
    <row r="52" spans="2:10" ht="15.75" x14ac:dyDescent="0.25">
      <c r="B52" s="5" t="s">
        <v>81</v>
      </c>
    </row>
    <row r="53" spans="2:10" x14ac:dyDescent="0.25">
      <c r="B53" s="7" t="s">
        <v>82</v>
      </c>
      <c r="D53" s="37" t="s">
        <v>83</v>
      </c>
      <c r="E53" s="37"/>
      <c r="F53" s="37"/>
    </row>
    <row r="55" spans="2:10" ht="30" x14ac:dyDescent="0.25">
      <c r="B55" s="8" t="s">
        <v>72</v>
      </c>
      <c r="C55" s="8" t="s">
        <v>73</v>
      </c>
      <c r="D55" s="8" t="s">
        <v>84</v>
      </c>
      <c r="E55" s="8" t="s">
        <v>74</v>
      </c>
      <c r="F55" s="8" t="s">
        <v>75</v>
      </c>
      <c r="G55" s="8" t="s">
        <v>78</v>
      </c>
      <c r="H55" s="8" t="s">
        <v>79</v>
      </c>
      <c r="I55" s="8" t="s">
        <v>80</v>
      </c>
    </row>
    <row r="56" spans="2:10" x14ac:dyDescent="0.25">
      <c r="B56" s="11">
        <f>INDEX(Season_Demand!$C$5:$C$7,MATCH(D53,Season_Demand!$B$5:$B$7,0))</f>
        <v>13</v>
      </c>
      <c r="C56" s="11">
        <f>INDEX(Season_Demand!$D$5:$D$7,MATCH(D53,Season_Demand!$B$5:$B$7,0))</f>
        <v>5</v>
      </c>
      <c r="D56" s="13">
        <f>INDEX(Season_Demand!$E$5:$E$7,MATCH(D53,Season_Demand!$B$5:$B$7,0))</f>
        <v>0.1015625</v>
      </c>
      <c r="E56" s="12">
        <f>INDEX(Season_Demand!$F$5:$F$7,MATCH(D53,Season_Demand!$B$5:$B$7,0))</f>
        <v>2807.6923076923076</v>
      </c>
      <c r="F56" s="13">
        <f>INDEX(Season_Demand!$G$5:$G$7,MATCH(D53,Season_Demand!$B$5:$B$7,0))</f>
        <v>0.2801190476190476</v>
      </c>
      <c r="G56" s="11">
        <f>INDEX(Season_Demand!$H$5:$H$7,MATCH(D53,Season_Demand!$B$5:$B$7,0))</f>
        <v>5</v>
      </c>
      <c r="H56" s="11">
        <f>INDEX(Season_Demand!$I$5:$I$7,MATCH(D53,Season_Demand!$B$5:$B$7,0))</f>
        <v>4</v>
      </c>
      <c r="I56" s="11">
        <f>INDEX(Season_Demand!$J$5:$J$7,MATCH(D53,Season_Demand!$B$5:$B$7,0))</f>
        <v>4</v>
      </c>
    </row>
  </sheetData>
  <mergeCells count="20">
    <mergeCell ref="B4:C4"/>
    <mergeCell ref="E4:F4"/>
    <mergeCell ref="H4:I4"/>
    <mergeCell ref="B5:C6"/>
    <mergeCell ref="E5:F6"/>
    <mergeCell ref="H5:I6"/>
    <mergeCell ref="B8:C8"/>
    <mergeCell ref="E8:F8"/>
    <mergeCell ref="H8:I8"/>
    <mergeCell ref="B9:C10"/>
    <mergeCell ref="E9:F10"/>
    <mergeCell ref="H9:I10"/>
    <mergeCell ref="D46:F46"/>
    <mergeCell ref="D53:F53"/>
    <mergeCell ref="B12:C12"/>
    <mergeCell ref="E12:F12"/>
    <mergeCell ref="H12:I12"/>
    <mergeCell ref="B13:C14"/>
    <mergeCell ref="E13:F14"/>
    <mergeCell ref="H13:I14"/>
  </mergeCells>
  <dataValidations count="2">
    <dataValidation type="list" sqref="D46" xr:uid="{00000000-0002-0000-0100-000000000000}">
      <formula1>"Candy,Chili,Dried Fruit,Grains,Honey,Nuts,Olives,Packaging,Peanuts,Pickles,Raisins,Seasonings,Seeds,Trail Mix"</formula1>
      <formula2>0</formula2>
    </dataValidation>
    <dataValidation type="list" sqref="D53" xr:uid="{00000000-0002-0000-0100-000001000000}">
      <formula1>"Spring-Summer,Fall-Winter,All year"</formula1>
      <formula2>0</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5F"/>
  </sheetPr>
  <dimension ref="B1:I49"/>
  <sheetViews>
    <sheetView showGridLines="0" workbookViewId="0"/>
  </sheetViews>
  <sheetFormatPr defaultColWidth="8.7109375" defaultRowHeight="15" x14ac:dyDescent="0.25"/>
  <cols>
    <col min="1" max="1" width="3" customWidth="1"/>
    <col min="2" max="10" width="15" customWidth="1"/>
  </cols>
  <sheetData>
    <row r="1" spans="2:9" ht="20.25" x14ac:dyDescent="0.3">
      <c r="B1" s="3" t="s">
        <v>85</v>
      </c>
    </row>
    <row r="2" spans="2:9" x14ac:dyDescent="0.25">
      <c r="B2" s="4" t="s">
        <v>86</v>
      </c>
    </row>
    <row r="4" spans="2:9" x14ac:dyDescent="0.25">
      <c r="B4" s="38" t="s">
        <v>40</v>
      </c>
      <c r="C4" s="38"/>
      <c r="E4" s="38" t="s">
        <v>87</v>
      </c>
      <c r="F4" s="38"/>
      <c r="H4" s="38" t="s">
        <v>88</v>
      </c>
      <c r="I4" s="38"/>
    </row>
    <row r="5" spans="2:9" x14ac:dyDescent="0.25">
      <c r="B5" s="47">
        <f>COUNTA(TblSuppliers[ID])</f>
        <v>22</v>
      </c>
      <c r="C5" s="47"/>
      <c r="E5" s="49">
        <f>COUNTIF(TblSupply[Delivery?],"Yes")/COUNTA(TblSupply[ID])</f>
        <v>0.6640625</v>
      </c>
      <c r="F5" s="49"/>
      <c r="H5" s="50">
        <f>AVERAGE(TblSupply[Lead Time (days)])</f>
        <v>3.28515625</v>
      </c>
      <c r="I5" s="50"/>
    </row>
    <row r="6" spans="2:9" x14ac:dyDescent="0.25">
      <c r="B6" s="47"/>
      <c r="C6" s="47"/>
      <c r="E6" s="49"/>
      <c r="F6" s="49"/>
      <c r="H6" s="50"/>
      <c r="I6" s="50"/>
    </row>
    <row r="8" spans="2:9" x14ac:dyDescent="0.25">
      <c r="B8" s="38" t="s">
        <v>89</v>
      </c>
      <c r="C8" s="38"/>
      <c r="E8" s="38" t="s">
        <v>90</v>
      </c>
      <c r="F8" s="38"/>
      <c r="H8" s="38" t="s">
        <v>91</v>
      </c>
      <c r="I8" s="38"/>
    </row>
    <row r="9" spans="2:9" x14ac:dyDescent="0.25">
      <c r="B9" s="46">
        <f>COUNTIF(TblSupply[SupplierRole],"Backup")/COUNTA(TblProducts[ID])</f>
        <v>1</v>
      </c>
      <c r="C9" s="46"/>
      <c r="E9" s="47">
        <f>COUNTIF(Supplier_Scorecard!H5:H14,"High")</f>
        <v>2</v>
      </c>
      <c r="F9" s="47"/>
      <c r="H9" s="48" t="str">
        <f>INDEX(Supplier_Scorecard!$B$5:$B$14,MATCH(MIN(Supplier_Scorecard!$D$5:$D$14),Supplier_Scorecard!$D$5:$D$14,0))</f>
        <v>Doña Rosa Pickles</v>
      </c>
      <c r="I9" s="48"/>
    </row>
    <row r="10" spans="2:9" x14ac:dyDescent="0.25">
      <c r="B10" s="46"/>
      <c r="C10" s="46"/>
      <c r="E10" s="47"/>
      <c r="F10" s="47"/>
      <c r="H10" s="48"/>
      <c r="I10" s="48"/>
    </row>
    <row r="13" spans="2:9" ht="15.75" x14ac:dyDescent="0.25">
      <c r="B13" s="5" t="s">
        <v>92</v>
      </c>
    </row>
    <row r="14" spans="2:9" x14ac:dyDescent="0.25">
      <c r="B14" s="7" t="s">
        <v>93</v>
      </c>
      <c r="D14" s="37" t="s">
        <v>94</v>
      </c>
      <c r="E14" s="37"/>
      <c r="F14" s="37"/>
      <c r="G14" s="37"/>
    </row>
    <row r="16" spans="2:9" x14ac:dyDescent="0.25">
      <c r="B16" s="14" t="s">
        <v>95</v>
      </c>
      <c r="C16" s="15"/>
      <c r="D16" s="45" t="str">
        <f>IFERROR(INDEX(TblSuppliers[Address],MATCH(D14,TblSuppliers[Supplier],0)),"")</f>
        <v>450 San Pedro Rd, Melipilla</v>
      </c>
      <c r="E16" s="45"/>
      <c r="F16" s="45"/>
      <c r="G16" s="45"/>
    </row>
    <row r="17" spans="2:7" x14ac:dyDescent="0.25">
      <c r="B17" s="14" t="s">
        <v>96</v>
      </c>
      <c r="C17" s="15"/>
      <c r="D17" s="45" t="str">
        <f>IFERROR(INDEX(TblSuppliers[Phone],MATCH(D14,TblSuppliers[Supplier],0)),"")</f>
        <v>+56 9 5511 2233</v>
      </c>
      <c r="E17" s="45"/>
      <c r="F17" s="45"/>
      <c r="G17" s="45"/>
    </row>
    <row r="18" spans="2:7" x14ac:dyDescent="0.25">
      <c r="B18" s="14" t="s">
        <v>97</v>
      </c>
      <c r="C18" s="15"/>
      <c r="D18" s="45" t="str">
        <f>IFERROR(INDEX(TblSuppliers[Email],MATCH(D14,TblSuppliers[Supplier],0)),"")</f>
        <v>orders@elolivar.example</v>
      </c>
      <c r="E18" s="45"/>
      <c r="F18" s="45"/>
      <c r="G18" s="45"/>
    </row>
    <row r="19" spans="2:7" x14ac:dyDescent="0.25">
      <c r="B19" s="14" t="s">
        <v>98</v>
      </c>
      <c r="C19" s="15"/>
      <c r="D19" s="45" t="str">
        <f>IFERROR(INDEX(TblSuppliers[Delivery?],MATCH(D14,TblSuppliers[Supplier],0)),"")</f>
        <v>Yes</v>
      </c>
      <c r="E19" s="45"/>
      <c r="F19" s="45"/>
      <c r="G19" s="45"/>
    </row>
    <row r="20" spans="2:7" x14ac:dyDescent="0.25">
      <c r="B20" s="14" t="s">
        <v>99</v>
      </c>
      <c r="C20" s="15"/>
      <c r="D20" s="43">
        <f>COUNTIFS(TblSupply[Supplier],D14)</f>
        <v>11</v>
      </c>
      <c r="E20" s="43"/>
      <c r="F20" s="43"/>
      <c r="G20" s="43"/>
    </row>
    <row r="21" spans="2:7" x14ac:dyDescent="0.25">
      <c r="B21" s="14" t="s">
        <v>100</v>
      </c>
      <c r="C21" s="15"/>
      <c r="D21" s="43">
        <f>COUNTIFS(TblSupply[Supplier],D14,TblSupply[SupplierRole],"Primary")</f>
        <v>11</v>
      </c>
      <c r="E21" s="43"/>
      <c r="F21" s="43"/>
      <c r="G21" s="43"/>
    </row>
    <row r="22" spans="2:7" x14ac:dyDescent="0.25">
      <c r="B22" s="14" t="s">
        <v>101</v>
      </c>
      <c r="C22" s="15"/>
      <c r="D22" s="43">
        <f>COUNTIFS(TblSupply[Supplier],D14,TblSupply[SupplierRole],"Backup")</f>
        <v>0</v>
      </c>
      <c r="E22" s="43"/>
      <c r="F22" s="43"/>
      <c r="G22" s="43"/>
    </row>
    <row r="23" spans="2:7" x14ac:dyDescent="0.25">
      <c r="B23" s="14" t="s">
        <v>88</v>
      </c>
      <c r="C23" s="15"/>
      <c r="D23" s="44">
        <f>IFERROR(AVERAGEIFS(TblSupply[Lead Time (days)],TblSupply[Supplier],D14),"")</f>
        <v>2.1818181818181817</v>
      </c>
      <c r="E23" s="44"/>
      <c r="F23" s="44"/>
      <c r="G23" s="44"/>
    </row>
    <row r="47" spans="2:3" x14ac:dyDescent="0.25">
      <c r="B47" s="7" t="s">
        <v>102</v>
      </c>
      <c r="C47" s="7" t="s">
        <v>103</v>
      </c>
    </row>
    <row r="48" spans="2:3" x14ac:dyDescent="0.25">
      <c r="B48" t="s">
        <v>104</v>
      </c>
      <c r="C48">
        <f>COUNTIF(TblSupply[Delivery?],"Yes")</f>
        <v>170</v>
      </c>
    </row>
    <row r="49" spans="2:3" x14ac:dyDescent="0.25">
      <c r="B49" t="s">
        <v>105</v>
      </c>
      <c r="C49">
        <f>COUNTIF(TblSupply[Delivery?],"No")</f>
        <v>86</v>
      </c>
    </row>
  </sheetData>
  <mergeCells count="21">
    <mergeCell ref="B4:C4"/>
    <mergeCell ref="E4:F4"/>
    <mergeCell ref="H4:I4"/>
    <mergeCell ref="B5:C6"/>
    <mergeCell ref="E5:F6"/>
    <mergeCell ref="H5:I6"/>
    <mergeCell ref="B8:C8"/>
    <mergeCell ref="E8:F8"/>
    <mergeCell ref="H8:I8"/>
    <mergeCell ref="B9:C10"/>
    <mergeCell ref="E9:F10"/>
    <mergeCell ref="H9:I10"/>
    <mergeCell ref="D20:G20"/>
    <mergeCell ref="D21:G21"/>
    <mergeCell ref="D22:G22"/>
    <mergeCell ref="D23:G23"/>
    <mergeCell ref="D14:G14"/>
    <mergeCell ref="D16:G16"/>
    <mergeCell ref="D17:G17"/>
    <mergeCell ref="D18:G18"/>
    <mergeCell ref="D19:G19"/>
  </mergeCells>
  <dataValidations count="1">
    <dataValidation type="list" sqref="D14" xr:uid="{00000000-0002-0000-0200-000000000000}">
      <formula1>"El Olivar Olives Ltd.,Aceitunera Central SpA,San Vicente Grains &amp; Legumes,Molino del Valle,Doña Rosa Pickles,Conservas El Huerto,Curico Chili &amp; Sauces,Merken del Sur,Valley Spices SpA,Especias Andinas,Los Ulmos Apiary,Miel Nativa Ltda.,Maipo Nuts Ltd.,El "</formula1>
      <formula2>0</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B1:N131"/>
  <sheetViews>
    <sheetView showGridLines="0" workbookViewId="0">
      <pane xSplit="1" ySplit="3" topLeftCell="B4" activePane="bottomRight" state="frozen"/>
      <selection pane="topRight"/>
      <selection pane="bottomLeft"/>
      <selection pane="bottomRight" activeCell="B4" sqref="B4"/>
    </sheetView>
  </sheetViews>
  <sheetFormatPr defaultColWidth="8.7109375" defaultRowHeight="15" x14ac:dyDescent="0.25"/>
  <cols>
    <col min="2" max="2" width="6" customWidth="1"/>
    <col min="3" max="3" width="44" customWidth="1"/>
    <col min="4" max="4" width="13" customWidth="1"/>
    <col min="5" max="5" width="14" customWidth="1"/>
    <col min="6" max="6" width="17" customWidth="1"/>
    <col min="7" max="7" width="11" customWidth="1"/>
    <col min="8" max="9" width="15" customWidth="1"/>
    <col min="10" max="11" width="18" customWidth="1"/>
    <col min="12" max="12" width="12" customWidth="1"/>
    <col min="13" max="13" width="14" customWidth="1"/>
    <col min="14" max="14" width="12" customWidth="1"/>
  </cols>
  <sheetData>
    <row r="1" spans="2:14" ht="20.25" x14ac:dyDescent="0.3">
      <c r="B1" s="3" t="s">
        <v>106</v>
      </c>
    </row>
    <row r="3" spans="2:14" ht="30" x14ac:dyDescent="0.25">
      <c r="B3" s="8" t="s">
        <v>107</v>
      </c>
      <c r="C3" s="8" t="s">
        <v>108</v>
      </c>
      <c r="D3" s="8" t="s">
        <v>109</v>
      </c>
      <c r="E3" s="8" t="s">
        <v>110</v>
      </c>
      <c r="F3" s="8" t="s">
        <v>111</v>
      </c>
      <c r="G3" s="8" t="s">
        <v>112</v>
      </c>
      <c r="H3" s="8" t="s">
        <v>113</v>
      </c>
      <c r="I3" s="8" t="s">
        <v>114</v>
      </c>
      <c r="J3" s="8" t="s">
        <v>115</v>
      </c>
      <c r="K3" s="8" t="s">
        <v>116</v>
      </c>
      <c r="L3" s="8" t="s">
        <v>117</v>
      </c>
      <c r="M3" s="8" t="s">
        <v>118</v>
      </c>
      <c r="N3" s="8" t="s">
        <v>119</v>
      </c>
    </row>
    <row r="4" spans="2:14" x14ac:dyDescent="0.25">
      <c r="B4" s="2" t="s">
        <v>120</v>
      </c>
      <c r="C4" s="2" t="s">
        <v>121</v>
      </c>
      <c r="D4" s="2" t="s">
        <v>122</v>
      </c>
      <c r="E4" s="2" t="s">
        <v>123</v>
      </c>
      <c r="F4" s="2" t="s">
        <v>124</v>
      </c>
      <c r="G4" s="16" t="s">
        <v>125</v>
      </c>
      <c r="H4" s="2" t="s">
        <v>83</v>
      </c>
      <c r="I4" s="16" t="s">
        <v>126</v>
      </c>
      <c r="J4" s="17">
        <v>4000</v>
      </c>
      <c r="K4" s="18">
        <v>4.28</v>
      </c>
      <c r="L4" s="19">
        <f>IFERROR(SUMIFS(TblSupply[PurchasePrice_CLP],TblSupply[ProductID],B4,TblSupply[SupplierRole],"Primary"),"")</f>
        <v>2950</v>
      </c>
      <c r="M4" s="20">
        <f t="shared" ref="M4:M35" si="0">IF(L4="","",J4-L4)</f>
        <v>1050</v>
      </c>
      <c r="N4" s="21">
        <f t="shared" ref="N4:N35" si="1">IF(L4="","",M4/J4)</f>
        <v>0.26250000000000001</v>
      </c>
    </row>
    <row r="5" spans="2:14" x14ac:dyDescent="0.25">
      <c r="B5" s="2" t="s">
        <v>127</v>
      </c>
      <c r="C5" s="2" t="s">
        <v>128</v>
      </c>
      <c r="D5" s="2" t="s">
        <v>122</v>
      </c>
      <c r="E5" s="2" t="s">
        <v>123</v>
      </c>
      <c r="F5" s="2" t="s">
        <v>124</v>
      </c>
      <c r="G5" s="16" t="s">
        <v>125</v>
      </c>
      <c r="H5" s="2" t="s">
        <v>83</v>
      </c>
      <c r="I5" s="16" t="s">
        <v>129</v>
      </c>
      <c r="J5" s="17">
        <v>3500</v>
      </c>
      <c r="K5" s="18">
        <v>3.74</v>
      </c>
      <c r="L5" s="19">
        <f>IFERROR(SUMIFS(TblSupply[PurchasePrice_CLP],TblSupply[ProductID],B5,TblSupply[SupplierRole],"Primary"),"")</f>
        <v>2500</v>
      </c>
      <c r="M5" s="20">
        <f t="shared" si="0"/>
        <v>1000</v>
      </c>
      <c r="N5" s="21">
        <f t="shared" si="1"/>
        <v>0.2857142857142857</v>
      </c>
    </row>
    <row r="6" spans="2:14" x14ac:dyDescent="0.25">
      <c r="B6" s="2" t="s">
        <v>130</v>
      </c>
      <c r="C6" s="2" t="s">
        <v>131</v>
      </c>
      <c r="D6" s="2" t="s">
        <v>122</v>
      </c>
      <c r="E6" s="2" t="s">
        <v>123</v>
      </c>
      <c r="F6" s="2" t="s">
        <v>124</v>
      </c>
      <c r="G6" s="16" t="s">
        <v>125</v>
      </c>
      <c r="H6" s="2" t="s">
        <v>83</v>
      </c>
      <c r="I6" s="16" t="s">
        <v>132</v>
      </c>
      <c r="J6" s="17">
        <v>3500</v>
      </c>
      <c r="K6" s="18">
        <v>3.74</v>
      </c>
      <c r="L6" s="19">
        <f>IFERROR(SUMIFS(TblSupply[PurchasePrice_CLP],TblSupply[ProductID],B6,TblSupply[SupplierRole],"Primary"),"")</f>
        <v>2450</v>
      </c>
      <c r="M6" s="20">
        <f t="shared" si="0"/>
        <v>1050</v>
      </c>
      <c r="N6" s="21">
        <f t="shared" si="1"/>
        <v>0.3</v>
      </c>
    </row>
    <row r="7" spans="2:14" x14ac:dyDescent="0.25">
      <c r="B7" s="2" t="s">
        <v>133</v>
      </c>
      <c r="C7" s="2" t="s">
        <v>134</v>
      </c>
      <c r="D7" s="2" t="s">
        <v>122</v>
      </c>
      <c r="E7" s="2" t="s">
        <v>123</v>
      </c>
      <c r="F7" s="2" t="s">
        <v>124</v>
      </c>
      <c r="G7" s="16" t="s">
        <v>135</v>
      </c>
      <c r="H7" s="2" t="s">
        <v>83</v>
      </c>
      <c r="I7" s="16" t="s">
        <v>132</v>
      </c>
      <c r="J7" s="17">
        <v>3000</v>
      </c>
      <c r="K7" s="18">
        <v>3.21</v>
      </c>
      <c r="L7" s="19">
        <f>IFERROR(SUMIFS(TblSupply[PurchasePrice_CLP],TblSupply[ProductID],B7,TblSupply[SupplierRole],"Primary"),"")</f>
        <v>2050</v>
      </c>
      <c r="M7" s="20">
        <f t="shared" si="0"/>
        <v>950</v>
      </c>
      <c r="N7" s="21">
        <f t="shared" si="1"/>
        <v>0.31666666666666665</v>
      </c>
    </row>
    <row r="8" spans="2:14" x14ac:dyDescent="0.25">
      <c r="B8" s="2" t="s">
        <v>136</v>
      </c>
      <c r="C8" s="2" t="s">
        <v>137</v>
      </c>
      <c r="D8" s="2" t="s">
        <v>122</v>
      </c>
      <c r="E8" s="2" t="s">
        <v>123</v>
      </c>
      <c r="F8" s="2" t="s">
        <v>124</v>
      </c>
      <c r="G8" s="16" t="s">
        <v>125</v>
      </c>
      <c r="H8" s="2" t="s">
        <v>83</v>
      </c>
      <c r="I8" s="16" t="s">
        <v>126</v>
      </c>
      <c r="J8" s="17">
        <v>3000</v>
      </c>
      <c r="K8" s="18">
        <v>3.21</v>
      </c>
      <c r="L8" s="19">
        <f>IFERROR(SUMIFS(TblSupply[PurchasePrice_CLP],TblSupply[ProductID],B8,TblSupply[SupplierRole],"Primary"),"")</f>
        <v>2100</v>
      </c>
      <c r="M8" s="20">
        <f t="shared" si="0"/>
        <v>900</v>
      </c>
      <c r="N8" s="21">
        <f t="shared" si="1"/>
        <v>0.3</v>
      </c>
    </row>
    <row r="9" spans="2:14" x14ac:dyDescent="0.25">
      <c r="B9" s="2" t="s">
        <v>138</v>
      </c>
      <c r="C9" s="2" t="s">
        <v>139</v>
      </c>
      <c r="D9" s="2" t="s">
        <v>122</v>
      </c>
      <c r="E9" s="2" t="s">
        <v>123</v>
      </c>
      <c r="F9" s="2" t="s">
        <v>124</v>
      </c>
      <c r="G9" s="16" t="s">
        <v>135</v>
      </c>
      <c r="H9" s="2" t="s">
        <v>83</v>
      </c>
      <c r="I9" s="16" t="s">
        <v>126</v>
      </c>
      <c r="J9" s="17">
        <v>3000</v>
      </c>
      <c r="K9" s="18">
        <v>3.21</v>
      </c>
      <c r="L9" s="19">
        <f>IFERROR(SUMIFS(TblSupply[PurchasePrice_CLP],TblSupply[ProductID],B9,TblSupply[SupplierRole],"Primary"),"")</f>
        <v>2200</v>
      </c>
      <c r="M9" s="20">
        <f t="shared" si="0"/>
        <v>800</v>
      </c>
      <c r="N9" s="21">
        <f t="shared" si="1"/>
        <v>0.26666666666666666</v>
      </c>
    </row>
    <row r="10" spans="2:14" x14ac:dyDescent="0.25">
      <c r="B10" s="2" t="s">
        <v>140</v>
      </c>
      <c r="C10" s="2" t="s">
        <v>141</v>
      </c>
      <c r="D10" s="2" t="s">
        <v>122</v>
      </c>
      <c r="E10" s="2" t="s">
        <v>123</v>
      </c>
      <c r="F10" s="2" t="s">
        <v>124</v>
      </c>
      <c r="G10" s="16" t="s">
        <v>135</v>
      </c>
      <c r="H10" s="2" t="s">
        <v>83</v>
      </c>
      <c r="I10" s="16" t="s">
        <v>126</v>
      </c>
      <c r="J10" s="17">
        <v>2500</v>
      </c>
      <c r="K10" s="18">
        <v>2.67</v>
      </c>
      <c r="L10" s="19">
        <f>IFERROR(SUMIFS(TblSupply[PurchasePrice_CLP],TblSupply[ProductID],B10,TblSupply[SupplierRole],"Primary"),"")</f>
        <v>1850</v>
      </c>
      <c r="M10" s="20">
        <f t="shared" si="0"/>
        <v>650</v>
      </c>
      <c r="N10" s="21">
        <f t="shared" si="1"/>
        <v>0.26</v>
      </c>
    </row>
    <row r="11" spans="2:14" x14ac:dyDescent="0.25">
      <c r="B11" s="2" t="s">
        <v>142</v>
      </c>
      <c r="C11" s="2" t="s">
        <v>143</v>
      </c>
      <c r="D11" s="2" t="s">
        <v>122</v>
      </c>
      <c r="E11" s="2" t="s">
        <v>123</v>
      </c>
      <c r="F11" s="2" t="s">
        <v>124</v>
      </c>
      <c r="G11" s="16" t="s">
        <v>135</v>
      </c>
      <c r="H11" s="2" t="s">
        <v>83</v>
      </c>
      <c r="I11" s="16" t="s">
        <v>129</v>
      </c>
      <c r="J11" s="17">
        <v>3500</v>
      </c>
      <c r="K11" s="18">
        <v>3.74</v>
      </c>
      <c r="L11" s="19">
        <f>IFERROR(SUMIFS(TblSupply[PurchasePrice_CLP],TblSupply[ProductID],B11,TblSupply[SupplierRole],"Primary"),"")</f>
        <v>2450</v>
      </c>
      <c r="M11" s="20">
        <f t="shared" si="0"/>
        <v>1050</v>
      </c>
      <c r="N11" s="21">
        <f t="shared" si="1"/>
        <v>0.3</v>
      </c>
    </row>
    <row r="12" spans="2:14" x14ac:dyDescent="0.25">
      <c r="B12" s="2" t="s">
        <v>144</v>
      </c>
      <c r="C12" s="2" t="s">
        <v>145</v>
      </c>
      <c r="D12" s="2" t="s">
        <v>122</v>
      </c>
      <c r="E12" s="2" t="s">
        <v>123</v>
      </c>
      <c r="F12" s="2" t="s">
        <v>124</v>
      </c>
      <c r="G12" s="16" t="s">
        <v>135</v>
      </c>
      <c r="H12" s="2" t="s">
        <v>83</v>
      </c>
      <c r="I12" s="16" t="s">
        <v>132</v>
      </c>
      <c r="J12" s="17">
        <v>3000</v>
      </c>
      <c r="K12" s="18">
        <v>3.21</v>
      </c>
      <c r="L12" s="19">
        <f>IFERROR(SUMIFS(TblSupply[PurchasePrice_CLP],TblSupply[ProductID],B12,TblSupply[SupplierRole],"Primary"),"")</f>
        <v>2150</v>
      </c>
      <c r="M12" s="20">
        <f t="shared" si="0"/>
        <v>850</v>
      </c>
      <c r="N12" s="21">
        <f t="shared" si="1"/>
        <v>0.28333333333333333</v>
      </c>
    </row>
    <row r="13" spans="2:14" x14ac:dyDescent="0.25">
      <c r="B13" s="2" t="s">
        <v>146</v>
      </c>
      <c r="C13" s="2" t="s">
        <v>147</v>
      </c>
      <c r="D13" s="2" t="s">
        <v>122</v>
      </c>
      <c r="E13" s="2" t="s">
        <v>123</v>
      </c>
      <c r="F13" s="2" t="s">
        <v>124</v>
      </c>
      <c r="G13" s="16" t="s">
        <v>135</v>
      </c>
      <c r="H13" s="2" t="s">
        <v>83</v>
      </c>
      <c r="I13" s="16" t="s">
        <v>132</v>
      </c>
      <c r="J13" s="17">
        <v>3000</v>
      </c>
      <c r="K13" s="18">
        <v>3.21</v>
      </c>
      <c r="L13" s="19">
        <f>IFERROR(SUMIFS(TblSupply[PurchasePrice_CLP],TblSupply[ProductID],B13,TblSupply[SupplierRole],"Primary"),"")</f>
        <v>2100</v>
      </c>
      <c r="M13" s="20">
        <f t="shared" si="0"/>
        <v>900</v>
      </c>
      <c r="N13" s="21">
        <f t="shared" si="1"/>
        <v>0.3</v>
      </c>
    </row>
    <row r="14" spans="2:14" x14ac:dyDescent="0.25">
      <c r="B14" s="2" t="s">
        <v>148</v>
      </c>
      <c r="C14" s="2" t="s">
        <v>149</v>
      </c>
      <c r="D14" s="2" t="s">
        <v>122</v>
      </c>
      <c r="E14" s="2" t="s">
        <v>150</v>
      </c>
      <c r="F14" s="2" t="s">
        <v>151</v>
      </c>
      <c r="G14" s="16" t="s">
        <v>135</v>
      </c>
      <c r="H14" s="2" t="s">
        <v>152</v>
      </c>
      <c r="I14" s="16" t="s">
        <v>126</v>
      </c>
      <c r="J14" s="17">
        <v>3500</v>
      </c>
      <c r="K14" s="18">
        <v>3.74</v>
      </c>
      <c r="L14" s="19">
        <f>IFERROR(SUMIFS(TblSupply[PurchasePrice_CLP],TblSupply[ProductID],B14,TblSupply[SupplierRole],"Primary"),"")</f>
        <v>2500</v>
      </c>
      <c r="M14" s="20">
        <f t="shared" si="0"/>
        <v>1000</v>
      </c>
      <c r="N14" s="21">
        <f t="shared" si="1"/>
        <v>0.2857142857142857</v>
      </c>
    </row>
    <row r="15" spans="2:14" x14ac:dyDescent="0.25">
      <c r="B15" s="2" t="s">
        <v>153</v>
      </c>
      <c r="C15" s="2" t="s">
        <v>154</v>
      </c>
      <c r="D15" s="2" t="s">
        <v>155</v>
      </c>
      <c r="E15" s="2" t="s">
        <v>123</v>
      </c>
      <c r="F15" s="2" t="s">
        <v>124</v>
      </c>
      <c r="G15" s="16" t="s">
        <v>125</v>
      </c>
      <c r="H15" s="2" t="s">
        <v>83</v>
      </c>
      <c r="I15" s="16" t="s">
        <v>129</v>
      </c>
      <c r="J15" s="17">
        <v>1500</v>
      </c>
      <c r="K15" s="18">
        <v>1.6</v>
      </c>
      <c r="L15" s="19">
        <f>IFERROR(SUMIFS(TblSupply[PurchasePrice_CLP],TblSupply[ProductID],B15,TblSupply[SupplierRole],"Primary"),"")</f>
        <v>1150</v>
      </c>
      <c r="M15" s="20">
        <f t="shared" si="0"/>
        <v>350</v>
      </c>
      <c r="N15" s="21">
        <f t="shared" si="1"/>
        <v>0.23333333333333334</v>
      </c>
    </row>
    <row r="16" spans="2:14" x14ac:dyDescent="0.25">
      <c r="B16" s="2" t="s">
        <v>156</v>
      </c>
      <c r="C16" s="2" t="s">
        <v>157</v>
      </c>
      <c r="D16" s="2" t="s">
        <v>155</v>
      </c>
      <c r="E16" s="2" t="s">
        <v>123</v>
      </c>
      <c r="F16" s="2" t="s">
        <v>124</v>
      </c>
      <c r="G16" s="16" t="s">
        <v>135</v>
      </c>
      <c r="H16" s="2" t="s">
        <v>83</v>
      </c>
      <c r="I16" s="16" t="s">
        <v>129</v>
      </c>
      <c r="J16" s="17">
        <v>1500</v>
      </c>
      <c r="K16" s="18">
        <v>1.6</v>
      </c>
      <c r="L16" s="19">
        <f>IFERROR(SUMIFS(TblSupply[PurchasePrice_CLP],TblSupply[ProductID],B16,TblSupply[SupplierRole],"Primary"),"")</f>
        <v>1050</v>
      </c>
      <c r="M16" s="20">
        <f t="shared" si="0"/>
        <v>450</v>
      </c>
      <c r="N16" s="21">
        <f t="shared" si="1"/>
        <v>0.3</v>
      </c>
    </row>
    <row r="17" spans="2:14" x14ac:dyDescent="0.25">
      <c r="B17" s="2" t="s">
        <v>158</v>
      </c>
      <c r="C17" s="2" t="s">
        <v>159</v>
      </c>
      <c r="D17" s="2" t="s">
        <v>155</v>
      </c>
      <c r="E17" s="2" t="s">
        <v>123</v>
      </c>
      <c r="F17" s="2" t="s">
        <v>124</v>
      </c>
      <c r="G17" s="16" t="s">
        <v>135</v>
      </c>
      <c r="H17" s="2" t="s">
        <v>83</v>
      </c>
      <c r="I17" s="16" t="s">
        <v>126</v>
      </c>
      <c r="J17" s="17">
        <v>1500</v>
      </c>
      <c r="K17" s="18">
        <v>1.6</v>
      </c>
      <c r="L17" s="19">
        <f>IFERROR(SUMIFS(TblSupply[PurchasePrice_CLP],TblSupply[ProductID],B17,TblSupply[SupplierRole],"Primary"),"")</f>
        <v>1150</v>
      </c>
      <c r="M17" s="20">
        <f t="shared" si="0"/>
        <v>350</v>
      </c>
      <c r="N17" s="21">
        <f t="shared" si="1"/>
        <v>0.23333333333333334</v>
      </c>
    </row>
    <row r="18" spans="2:14" x14ac:dyDescent="0.25">
      <c r="B18" s="2" t="s">
        <v>160</v>
      </c>
      <c r="C18" s="2" t="s">
        <v>161</v>
      </c>
      <c r="D18" s="2" t="s">
        <v>155</v>
      </c>
      <c r="E18" s="2" t="s">
        <v>123</v>
      </c>
      <c r="F18" s="2" t="s">
        <v>124</v>
      </c>
      <c r="G18" s="16" t="s">
        <v>135</v>
      </c>
      <c r="H18" s="2" t="s">
        <v>152</v>
      </c>
      <c r="I18" s="16" t="s">
        <v>126</v>
      </c>
      <c r="J18" s="17">
        <v>2000</v>
      </c>
      <c r="K18" s="18">
        <v>2.14</v>
      </c>
      <c r="L18" s="19">
        <f>IFERROR(SUMIFS(TblSupply[PurchasePrice_CLP],TblSupply[ProductID],B18,TblSupply[SupplierRole],"Primary"),"")</f>
        <v>1450</v>
      </c>
      <c r="M18" s="20">
        <f t="shared" si="0"/>
        <v>550</v>
      </c>
      <c r="N18" s="21">
        <f t="shared" si="1"/>
        <v>0.27500000000000002</v>
      </c>
    </row>
    <row r="19" spans="2:14" x14ac:dyDescent="0.25">
      <c r="B19" s="2" t="s">
        <v>162</v>
      </c>
      <c r="C19" s="2" t="s">
        <v>163</v>
      </c>
      <c r="D19" s="2" t="s">
        <v>164</v>
      </c>
      <c r="E19" s="2" t="s">
        <v>165</v>
      </c>
      <c r="F19" s="2" t="s">
        <v>151</v>
      </c>
      <c r="G19" s="16" t="s">
        <v>135</v>
      </c>
      <c r="H19" s="2" t="s">
        <v>152</v>
      </c>
      <c r="I19" s="16" t="s">
        <v>126</v>
      </c>
      <c r="J19" s="17">
        <v>3000</v>
      </c>
      <c r="K19" s="18">
        <v>3.21</v>
      </c>
      <c r="L19" s="19">
        <f>IFERROR(SUMIFS(TblSupply[PurchasePrice_CLP],TblSupply[ProductID],B19,TblSupply[SupplierRole],"Primary"),"")</f>
        <v>2100</v>
      </c>
      <c r="M19" s="20">
        <f t="shared" si="0"/>
        <v>900</v>
      </c>
      <c r="N19" s="21">
        <f t="shared" si="1"/>
        <v>0.3</v>
      </c>
    </row>
    <row r="20" spans="2:14" x14ac:dyDescent="0.25">
      <c r="B20" s="2" t="s">
        <v>166</v>
      </c>
      <c r="C20" s="2" t="s">
        <v>167</v>
      </c>
      <c r="D20" s="2" t="s">
        <v>164</v>
      </c>
      <c r="E20" s="2" t="s">
        <v>165</v>
      </c>
      <c r="F20" s="2" t="s">
        <v>151</v>
      </c>
      <c r="G20" s="16" t="s">
        <v>135</v>
      </c>
      <c r="H20" s="2" t="s">
        <v>152</v>
      </c>
      <c r="I20" s="16" t="s">
        <v>126</v>
      </c>
      <c r="J20" s="17">
        <v>2500</v>
      </c>
      <c r="K20" s="18">
        <v>2.67</v>
      </c>
      <c r="L20" s="19">
        <f>IFERROR(SUMIFS(TblSupply[PurchasePrice_CLP],TblSupply[ProductID],B20,TblSupply[SupplierRole],"Primary"),"")</f>
        <v>1800</v>
      </c>
      <c r="M20" s="20">
        <f t="shared" si="0"/>
        <v>700</v>
      </c>
      <c r="N20" s="21">
        <f t="shared" si="1"/>
        <v>0.28000000000000003</v>
      </c>
    </row>
    <row r="21" spans="2:14" x14ac:dyDescent="0.25">
      <c r="B21" s="2" t="s">
        <v>168</v>
      </c>
      <c r="C21" s="2" t="s">
        <v>169</v>
      </c>
      <c r="D21" s="2" t="s">
        <v>164</v>
      </c>
      <c r="E21" s="2" t="s">
        <v>165</v>
      </c>
      <c r="F21" s="2" t="s">
        <v>151</v>
      </c>
      <c r="G21" s="16" t="s">
        <v>135</v>
      </c>
      <c r="H21" s="2" t="s">
        <v>152</v>
      </c>
      <c r="I21" s="16" t="s">
        <v>132</v>
      </c>
      <c r="J21" s="17">
        <v>2500</v>
      </c>
      <c r="K21" s="18">
        <v>2.67</v>
      </c>
      <c r="L21" s="19">
        <f>IFERROR(SUMIFS(TblSupply[PurchasePrice_CLP],TblSupply[ProductID],B21,TblSupply[SupplierRole],"Primary"),"")</f>
        <v>1750</v>
      </c>
      <c r="M21" s="20">
        <f t="shared" si="0"/>
        <v>750</v>
      </c>
      <c r="N21" s="21">
        <f t="shared" si="1"/>
        <v>0.3</v>
      </c>
    </row>
    <row r="22" spans="2:14" x14ac:dyDescent="0.25">
      <c r="B22" s="2" t="s">
        <v>170</v>
      </c>
      <c r="C22" s="2" t="s">
        <v>171</v>
      </c>
      <c r="D22" s="2" t="s">
        <v>164</v>
      </c>
      <c r="E22" s="2" t="s">
        <v>165</v>
      </c>
      <c r="F22" s="2" t="s">
        <v>151</v>
      </c>
      <c r="G22" s="16" t="s">
        <v>135</v>
      </c>
      <c r="H22" s="2" t="s">
        <v>152</v>
      </c>
      <c r="I22" s="16" t="s">
        <v>126</v>
      </c>
      <c r="J22" s="17">
        <v>3000</v>
      </c>
      <c r="K22" s="18">
        <v>3.21</v>
      </c>
      <c r="L22" s="19">
        <f>IFERROR(SUMIFS(TblSupply[PurchasePrice_CLP],TblSupply[ProductID],B22,TblSupply[SupplierRole],"Primary"),"")</f>
        <v>2050</v>
      </c>
      <c r="M22" s="20">
        <f t="shared" si="0"/>
        <v>950</v>
      </c>
      <c r="N22" s="21">
        <f t="shared" si="1"/>
        <v>0.31666666666666665</v>
      </c>
    </row>
    <row r="23" spans="2:14" x14ac:dyDescent="0.25">
      <c r="B23" s="2" t="s">
        <v>172</v>
      </c>
      <c r="C23" s="2" t="s">
        <v>173</v>
      </c>
      <c r="D23" s="2" t="s">
        <v>164</v>
      </c>
      <c r="E23" s="2" t="s">
        <v>165</v>
      </c>
      <c r="F23" s="2" t="s">
        <v>151</v>
      </c>
      <c r="G23" s="16" t="s">
        <v>135</v>
      </c>
      <c r="H23" s="2" t="s">
        <v>152</v>
      </c>
      <c r="I23" s="16" t="s">
        <v>126</v>
      </c>
      <c r="J23" s="17">
        <v>3000</v>
      </c>
      <c r="K23" s="18">
        <v>3.21</v>
      </c>
      <c r="L23" s="19">
        <f>IFERROR(SUMIFS(TblSupply[PurchasePrice_CLP],TblSupply[ProductID],B23,TblSupply[SupplierRole],"Primary"),"")</f>
        <v>2100</v>
      </c>
      <c r="M23" s="20">
        <f t="shared" si="0"/>
        <v>900</v>
      </c>
      <c r="N23" s="21">
        <f t="shared" si="1"/>
        <v>0.3</v>
      </c>
    </row>
    <row r="24" spans="2:14" x14ac:dyDescent="0.25">
      <c r="B24" s="2" t="s">
        <v>174</v>
      </c>
      <c r="C24" s="2" t="s">
        <v>175</v>
      </c>
      <c r="D24" s="2" t="s">
        <v>176</v>
      </c>
      <c r="E24" s="2" t="s">
        <v>177</v>
      </c>
      <c r="F24" s="2" t="s">
        <v>151</v>
      </c>
      <c r="G24" s="16" t="s">
        <v>125</v>
      </c>
      <c r="H24" s="2" t="s">
        <v>152</v>
      </c>
      <c r="I24" s="16" t="s">
        <v>132</v>
      </c>
      <c r="J24" s="17">
        <v>2000</v>
      </c>
      <c r="K24" s="18">
        <v>2.14</v>
      </c>
      <c r="L24" s="19">
        <f>IFERROR(SUMIFS(TblSupply[PurchasePrice_CLP],TblSupply[ProductID],B24,TblSupply[SupplierRole],"Primary"),"")</f>
        <v>1450</v>
      </c>
      <c r="M24" s="20">
        <f t="shared" si="0"/>
        <v>550</v>
      </c>
      <c r="N24" s="21">
        <f t="shared" si="1"/>
        <v>0.27500000000000002</v>
      </c>
    </row>
    <row r="25" spans="2:14" x14ac:dyDescent="0.25">
      <c r="B25" s="2" t="s">
        <v>178</v>
      </c>
      <c r="C25" s="2" t="s">
        <v>179</v>
      </c>
      <c r="D25" s="2" t="s">
        <v>176</v>
      </c>
      <c r="E25" s="2" t="s">
        <v>180</v>
      </c>
      <c r="F25" s="2" t="s">
        <v>151</v>
      </c>
      <c r="G25" s="16" t="s">
        <v>125</v>
      </c>
      <c r="H25" s="2" t="s">
        <v>152</v>
      </c>
      <c r="I25" s="16" t="s">
        <v>126</v>
      </c>
      <c r="J25" s="17">
        <v>2000</v>
      </c>
      <c r="K25" s="18">
        <v>2.14</v>
      </c>
      <c r="L25" s="19">
        <f>IFERROR(SUMIFS(TblSupply[PurchasePrice_CLP],TblSupply[ProductID],B25,TblSupply[SupplierRole],"Primary"),"")</f>
        <v>1350</v>
      </c>
      <c r="M25" s="20">
        <f t="shared" si="0"/>
        <v>650</v>
      </c>
      <c r="N25" s="21">
        <f t="shared" si="1"/>
        <v>0.32500000000000001</v>
      </c>
    </row>
    <row r="26" spans="2:14" x14ac:dyDescent="0.25">
      <c r="B26" s="2" t="s">
        <v>181</v>
      </c>
      <c r="C26" s="2" t="s">
        <v>182</v>
      </c>
      <c r="D26" s="2" t="s">
        <v>176</v>
      </c>
      <c r="E26" s="2" t="s">
        <v>183</v>
      </c>
      <c r="F26" s="2" t="s">
        <v>151</v>
      </c>
      <c r="G26" s="16" t="s">
        <v>135</v>
      </c>
      <c r="H26" s="2" t="s">
        <v>152</v>
      </c>
      <c r="I26" s="16" t="s">
        <v>126</v>
      </c>
      <c r="J26" s="17">
        <v>2000</v>
      </c>
      <c r="K26" s="18">
        <v>2.14</v>
      </c>
      <c r="L26" s="19">
        <f>IFERROR(SUMIFS(TblSupply[PurchasePrice_CLP],TblSupply[ProductID],B26,TblSupply[SupplierRole],"Primary"),"")</f>
        <v>1400</v>
      </c>
      <c r="M26" s="20">
        <f t="shared" si="0"/>
        <v>600</v>
      </c>
      <c r="N26" s="21">
        <f t="shared" si="1"/>
        <v>0.3</v>
      </c>
    </row>
    <row r="27" spans="2:14" x14ac:dyDescent="0.25">
      <c r="B27" s="2" t="s">
        <v>184</v>
      </c>
      <c r="C27" s="2" t="s">
        <v>185</v>
      </c>
      <c r="D27" s="2" t="s">
        <v>176</v>
      </c>
      <c r="E27" s="2" t="s">
        <v>180</v>
      </c>
      <c r="F27" s="2" t="s">
        <v>151</v>
      </c>
      <c r="G27" s="16" t="s">
        <v>135</v>
      </c>
      <c r="H27" s="2" t="s">
        <v>152</v>
      </c>
      <c r="I27" s="16" t="s">
        <v>126</v>
      </c>
      <c r="J27" s="17">
        <v>2000</v>
      </c>
      <c r="K27" s="18">
        <v>2.14</v>
      </c>
      <c r="L27" s="19">
        <f>IFERROR(SUMIFS(TblSupply[PurchasePrice_CLP],TblSupply[ProductID],B27,TblSupply[SupplierRole],"Primary"),"")</f>
        <v>1350</v>
      </c>
      <c r="M27" s="20">
        <f t="shared" si="0"/>
        <v>650</v>
      </c>
      <c r="N27" s="21">
        <f t="shared" si="1"/>
        <v>0.32500000000000001</v>
      </c>
    </row>
    <row r="28" spans="2:14" x14ac:dyDescent="0.25">
      <c r="B28" s="2" t="s">
        <v>186</v>
      </c>
      <c r="C28" s="2" t="s">
        <v>187</v>
      </c>
      <c r="D28" s="2" t="s">
        <v>176</v>
      </c>
      <c r="E28" s="2" t="s">
        <v>188</v>
      </c>
      <c r="F28" s="2" t="s">
        <v>151</v>
      </c>
      <c r="G28" s="16" t="s">
        <v>135</v>
      </c>
      <c r="H28" s="2" t="s">
        <v>189</v>
      </c>
      <c r="I28" s="16" t="s">
        <v>132</v>
      </c>
      <c r="J28" s="17">
        <v>1500</v>
      </c>
      <c r="K28" s="18">
        <v>1.6</v>
      </c>
      <c r="L28" s="19">
        <f>IFERROR(SUMIFS(TblSupply[PurchasePrice_CLP],TblSupply[ProductID],B28,TblSupply[SupplierRole],"Primary"),"")</f>
        <v>1100</v>
      </c>
      <c r="M28" s="20">
        <f t="shared" si="0"/>
        <v>400</v>
      </c>
      <c r="N28" s="21">
        <f t="shared" si="1"/>
        <v>0.26666666666666666</v>
      </c>
    </row>
    <row r="29" spans="2:14" x14ac:dyDescent="0.25">
      <c r="B29" s="2" t="s">
        <v>190</v>
      </c>
      <c r="C29" s="2" t="s">
        <v>191</v>
      </c>
      <c r="D29" s="2" t="s">
        <v>176</v>
      </c>
      <c r="E29" s="2" t="s">
        <v>192</v>
      </c>
      <c r="F29" s="2" t="s">
        <v>151</v>
      </c>
      <c r="G29" s="16" t="s">
        <v>135</v>
      </c>
      <c r="H29" s="2" t="s">
        <v>189</v>
      </c>
      <c r="I29" s="16" t="s">
        <v>132</v>
      </c>
      <c r="J29" s="17">
        <v>1500</v>
      </c>
      <c r="K29" s="18">
        <v>1.6</v>
      </c>
      <c r="L29" s="19">
        <f>IFERROR(SUMIFS(TblSupply[PurchasePrice_CLP],TblSupply[ProductID],B29,TblSupply[SupplierRole],"Primary"),"")</f>
        <v>1100</v>
      </c>
      <c r="M29" s="20">
        <f t="shared" si="0"/>
        <v>400</v>
      </c>
      <c r="N29" s="21">
        <f t="shared" si="1"/>
        <v>0.26666666666666666</v>
      </c>
    </row>
    <row r="30" spans="2:14" x14ac:dyDescent="0.25">
      <c r="B30" s="2" t="s">
        <v>193</v>
      </c>
      <c r="C30" s="2" t="s">
        <v>194</v>
      </c>
      <c r="D30" s="2" t="s">
        <v>176</v>
      </c>
      <c r="E30" s="2" t="s">
        <v>177</v>
      </c>
      <c r="F30" s="2" t="s">
        <v>151</v>
      </c>
      <c r="G30" s="16" t="s">
        <v>135</v>
      </c>
      <c r="H30" s="2" t="s">
        <v>189</v>
      </c>
      <c r="I30" s="16" t="s">
        <v>126</v>
      </c>
      <c r="J30" s="17">
        <v>2000</v>
      </c>
      <c r="K30" s="18">
        <v>2.14</v>
      </c>
      <c r="L30" s="19">
        <f>IFERROR(SUMIFS(TblSupply[PurchasePrice_CLP],TblSupply[ProductID],B30,TblSupply[SupplierRole],"Primary"),"")</f>
        <v>1450</v>
      </c>
      <c r="M30" s="20">
        <f t="shared" si="0"/>
        <v>550</v>
      </c>
      <c r="N30" s="21">
        <f t="shared" si="1"/>
        <v>0.27500000000000002</v>
      </c>
    </row>
    <row r="31" spans="2:14" x14ac:dyDescent="0.25">
      <c r="B31" s="2" t="s">
        <v>195</v>
      </c>
      <c r="C31" s="2" t="s">
        <v>196</v>
      </c>
      <c r="D31" s="2" t="s">
        <v>176</v>
      </c>
      <c r="E31" s="2" t="s">
        <v>177</v>
      </c>
      <c r="F31" s="2" t="s">
        <v>151</v>
      </c>
      <c r="G31" s="16" t="s">
        <v>135</v>
      </c>
      <c r="H31" s="2" t="s">
        <v>189</v>
      </c>
      <c r="I31" s="16" t="s">
        <v>132</v>
      </c>
      <c r="J31" s="17">
        <v>2000</v>
      </c>
      <c r="K31" s="18">
        <v>2.14</v>
      </c>
      <c r="L31" s="19">
        <f>IFERROR(SUMIFS(TblSupply[PurchasePrice_CLP],TblSupply[ProductID],B31,TblSupply[SupplierRole],"Primary"),"")</f>
        <v>1350</v>
      </c>
      <c r="M31" s="20">
        <f t="shared" si="0"/>
        <v>650</v>
      </c>
      <c r="N31" s="21">
        <f t="shared" si="1"/>
        <v>0.32500000000000001</v>
      </c>
    </row>
    <row r="32" spans="2:14" x14ac:dyDescent="0.25">
      <c r="B32" s="2" t="s">
        <v>197</v>
      </c>
      <c r="C32" s="2" t="s">
        <v>198</v>
      </c>
      <c r="D32" s="2" t="s">
        <v>176</v>
      </c>
      <c r="E32" s="2" t="s">
        <v>177</v>
      </c>
      <c r="F32" s="2" t="s">
        <v>151</v>
      </c>
      <c r="G32" s="16" t="s">
        <v>135</v>
      </c>
      <c r="H32" s="2" t="s">
        <v>189</v>
      </c>
      <c r="I32" s="16" t="s">
        <v>132</v>
      </c>
      <c r="J32" s="17">
        <v>2000</v>
      </c>
      <c r="K32" s="18">
        <v>2.14</v>
      </c>
      <c r="L32" s="19">
        <f>IFERROR(SUMIFS(TblSupply[PurchasePrice_CLP],TblSupply[ProductID],B32,TblSupply[SupplierRole],"Primary"),"")</f>
        <v>1400</v>
      </c>
      <c r="M32" s="20">
        <f t="shared" si="0"/>
        <v>600</v>
      </c>
      <c r="N32" s="21">
        <f t="shared" si="1"/>
        <v>0.3</v>
      </c>
    </row>
    <row r="33" spans="2:14" x14ac:dyDescent="0.25">
      <c r="B33" s="2" t="s">
        <v>199</v>
      </c>
      <c r="C33" s="2" t="s">
        <v>200</v>
      </c>
      <c r="D33" s="2" t="s">
        <v>201</v>
      </c>
      <c r="E33" s="2" t="s">
        <v>177</v>
      </c>
      <c r="F33" s="2" t="s">
        <v>151</v>
      </c>
      <c r="G33" s="16" t="s">
        <v>125</v>
      </c>
      <c r="H33" s="2" t="s">
        <v>152</v>
      </c>
      <c r="I33" s="16" t="s">
        <v>126</v>
      </c>
      <c r="J33" s="17">
        <v>1500</v>
      </c>
      <c r="K33" s="18">
        <v>1.6</v>
      </c>
      <c r="L33" s="19">
        <f>IFERROR(SUMIFS(TblSupply[PurchasePrice_CLP],TblSupply[ProductID],B33,TblSupply[SupplierRole],"Primary"),"")</f>
        <v>1050</v>
      </c>
      <c r="M33" s="20">
        <f t="shared" si="0"/>
        <v>450</v>
      </c>
      <c r="N33" s="21">
        <f t="shared" si="1"/>
        <v>0.3</v>
      </c>
    </row>
    <row r="34" spans="2:14" x14ac:dyDescent="0.25">
      <c r="B34" s="2" t="s">
        <v>202</v>
      </c>
      <c r="C34" s="2" t="s">
        <v>203</v>
      </c>
      <c r="D34" s="2" t="s">
        <v>201</v>
      </c>
      <c r="E34" s="2" t="s">
        <v>177</v>
      </c>
      <c r="F34" s="2" t="s">
        <v>151</v>
      </c>
      <c r="G34" s="16" t="s">
        <v>125</v>
      </c>
      <c r="H34" s="2" t="s">
        <v>152</v>
      </c>
      <c r="I34" s="16" t="s">
        <v>132</v>
      </c>
      <c r="J34" s="17">
        <v>1500</v>
      </c>
      <c r="K34" s="18">
        <v>1.6</v>
      </c>
      <c r="L34" s="19">
        <f>IFERROR(SUMIFS(TblSupply[PurchasePrice_CLP],TblSupply[ProductID],B34,TblSupply[SupplierRole],"Primary"),"")</f>
        <v>1050</v>
      </c>
      <c r="M34" s="20">
        <f t="shared" si="0"/>
        <v>450</v>
      </c>
      <c r="N34" s="21">
        <f t="shared" si="1"/>
        <v>0.3</v>
      </c>
    </row>
    <row r="35" spans="2:14" x14ac:dyDescent="0.25">
      <c r="B35" s="2" t="s">
        <v>204</v>
      </c>
      <c r="C35" s="2" t="s">
        <v>205</v>
      </c>
      <c r="D35" s="2" t="s">
        <v>201</v>
      </c>
      <c r="E35" s="2" t="s">
        <v>192</v>
      </c>
      <c r="F35" s="2" t="s">
        <v>151</v>
      </c>
      <c r="G35" s="16" t="s">
        <v>135</v>
      </c>
      <c r="H35" s="2" t="s">
        <v>152</v>
      </c>
      <c r="I35" s="16" t="s">
        <v>126</v>
      </c>
      <c r="J35" s="17">
        <v>1000</v>
      </c>
      <c r="K35" s="18">
        <v>1.07</v>
      </c>
      <c r="L35" s="19">
        <f>IFERROR(SUMIFS(TblSupply[PurchasePrice_CLP],TblSupply[ProductID],B35,TblSupply[SupplierRole],"Primary"),"")</f>
        <v>700</v>
      </c>
      <c r="M35" s="20">
        <f t="shared" si="0"/>
        <v>300</v>
      </c>
      <c r="N35" s="21">
        <f t="shared" si="1"/>
        <v>0.3</v>
      </c>
    </row>
    <row r="36" spans="2:14" x14ac:dyDescent="0.25">
      <c r="B36" s="2" t="s">
        <v>206</v>
      </c>
      <c r="C36" s="2" t="s">
        <v>207</v>
      </c>
      <c r="D36" s="2" t="s">
        <v>201</v>
      </c>
      <c r="E36" s="2" t="s">
        <v>177</v>
      </c>
      <c r="F36" s="2" t="s">
        <v>151</v>
      </c>
      <c r="G36" s="16" t="s">
        <v>135</v>
      </c>
      <c r="H36" s="2" t="s">
        <v>152</v>
      </c>
      <c r="I36" s="16" t="s">
        <v>126</v>
      </c>
      <c r="J36" s="17">
        <v>2000</v>
      </c>
      <c r="K36" s="18">
        <v>2.14</v>
      </c>
      <c r="L36" s="19">
        <f>IFERROR(SUMIFS(TblSupply[PurchasePrice_CLP],TblSupply[ProductID],B36,TblSupply[SupplierRole],"Primary"),"")</f>
        <v>1450</v>
      </c>
      <c r="M36" s="20">
        <f t="shared" ref="M36:M67" si="2">IF(L36="","",J36-L36)</f>
        <v>550</v>
      </c>
      <c r="N36" s="21">
        <f t="shared" ref="N36:N67" si="3">IF(L36="","",M36/J36)</f>
        <v>0.27500000000000002</v>
      </c>
    </row>
    <row r="37" spans="2:14" x14ac:dyDescent="0.25">
      <c r="B37" s="2" t="s">
        <v>208</v>
      </c>
      <c r="C37" s="2" t="s">
        <v>209</v>
      </c>
      <c r="D37" s="2" t="s">
        <v>201</v>
      </c>
      <c r="E37" s="2" t="s">
        <v>192</v>
      </c>
      <c r="F37" s="2" t="s">
        <v>151</v>
      </c>
      <c r="G37" s="16" t="s">
        <v>135</v>
      </c>
      <c r="H37" s="2" t="s">
        <v>152</v>
      </c>
      <c r="I37" s="16" t="s">
        <v>129</v>
      </c>
      <c r="J37" s="17">
        <v>1000</v>
      </c>
      <c r="K37" s="18">
        <v>1.07</v>
      </c>
      <c r="L37" s="19">
        <f>IFERROR(SUMIFS(TblSupply[PurchasePrice_CLP],TblSupply[ProductID],B37,TblSupply[SupplierRole],"Primary"),"")</f>
        <v>650</v>
      </c>
      <c r="M37" s="20">
        <f t="shared" si="2"/>
        <v>350</v>
      </c>
      <c r="N37" s="21">
        <f t="shared" si="3"/>
        <v>0.35</v>
      </c>
    </row>
    <row r="38" spans="2:14" x14ac:dyDescent="0.25">
      <c r="B38" s="2" t="s">
        <v>210</v>
      </c>
      <c r="C38" s="2" t="s">
        <v>211</v>
      </c>
      <c r="D38" s="2" t="s">
        <v>201</v>
      </c>
      <c r="E38" s="2" t="s">
        <v>177</v>
      </c>
      <c r="F38" s="2" t="s">
        <v>151</v>
      </c>
      <c r="G38" s="16" t="s">
        <v>135</v>
      </c>
      <c r="H38" s="2" t="s">
        <v>152</v>
      </c>
      <c r="I38" s="16" t="s">
        <v>129</v>
      </c>
      <c r="J38" s="17">
        <v>1500</v>
      </c>
      <c r="K38" s="18">
        <v>1.6</v>
      </c>
      <c r="L38" s="19">
        <f>IFERROR(SUMIFS(TblSupply[PurchasePrice_CLP],TblSupply[ProductID],B38,TblSupply[SupplierRole],"Primary"),"")</f>
        <v>1050</v>
      </c>
      <c r="M38" s="20">
        <f t="shared" si="2"/>
        <v>450</v>
      </c>
      <c r="N38" s="21">
        <f t="shared" si="3"/>
        <v>0.3</v>
      </c>
    </row>
    <row r="39" spans="2:14" x14ac:dyDescent="0.25">
      <c r="B39" s="2" t="s">
        <v>212</v>
      </c>
      <c r="C39" s="2" t="s">
        <v>213</v>
      </c>
      <c r="D39" s="2" t="s">
        <v>201</v>
      </c>
      <c r="E39" s="2" t="s">
        <v>177</v>
      </c>
      <c r="F39" s="2" t="s">
        <v>151</v>
      </c>
      <c r="G39" s="16" t="s">
        <v>135</v>
      </c>
      <c r="H39" s="2" t="s">
        <v>152</v>
      </c>
      <c r="I39" s="16" t="s">
        <v>129</v>
      </c>
      <c r="J39" s="17">
        <v>1500</v>
      </c>
      <c r="K39" s="18">
        <v>1.6</v>
      </c>
      <c r="L39" s="19">
        <f>IFERROR(SUMIFS(TblSupply[PurchasePrice_CLP],TblSupply[ProductID],B39,TblSupply[SupplierRole],"Primary"),"")</f>
        <v>1050</v>
      </c>
      <c r="M39" s="20">
        <f t="shared" si="2"/>
        <v>450</v>
      </c>
      <c r="N39" s="21">
        <f t="shared" si="3"/>
        <v>0.3</v>
      </c>
    </row>
    <row r="40" spans="2:14" x14ac:dyDescent="0.25">
      <c r="B40" s="2" t="s">
        <v>214</v>
      </c>
      <c r="C40" s="2" t="s">
        <v>215</v>
      </c>
      <c r="D40" s="2" t="s">
        <v>201</v>
      </c>
      <c r="E40" s="2" t="s">
        <v>177</v>
      </c>
      <c r="F40" s="2" t="s">
        <v>151</v>
      </c>
      <c r="G40" s="16" t="s">
        <v>135</v>
      </c>
      <c r="H40" s="2" t="s">
        <v>152</v>
      </c>
      <c r="I40" s="16" t="s">
        <v>126</v>
      </c>
      <c r="J40" s="17">
        <v>1500</v>
      </c>
      <c r="K40" s="18">
        <v>1.6</v>
      </c>
      <c r="L40" s="19">
        <f>IFERROR(SUMIFS(TblSupply[PurchasePrice_CLP],TblSupply[ProductID],B40,TblSupply[SupplierRole],"Primary"),"")</f>
        <v>1000</v>
      </c>
      <c r="M40" s="20">
        <f t="shared" si="2"/>
        <v>500</v>
      </c>
      <c r="N40" s="21">
        <f t="shared" si="3"/>
        <v>0.33333333333333331</v>
      </c>
    </row>
    <row r="41" spans="2:14" x14ac:dyDescent="0.25">
      <c r="B41" s="2" t="s">
        <v>216</v>
      </c>
      <c r="C41" s="2" t="s">
        <v>217</v>
      </c>
      <c r="D41" s="2" t="s">
        <v>201</v>
      </c>
      <c r="E41" s="2" t="s">
        <v>177</v>
      </c>
      <c r="F41" s="2" t="s">
        <v>151</v>
      </c>
      <c r="G41" s="16" t="s">
        <v>135</v>
      </c>
      <c r="H41" s="2" t="s">
        <v>189</v>
      </c>
      <c r="I41" s="16" t="s">
        <v>126</v>
      </c>
      <c r="J41" s="17">
        <v>1500</v>
      </c>
      <c r="K41" s="18">
        <v>1.6</v>
      </c>
      <c r="L41" s="19">
        <f>IFERROR(SUMIFS(TblSupply[PurchasePrice_CLP],TblSupply[ProductID],B41,TblSupply[SupplierRole],"Primary"),"")</f>
        <v>1050</v>
      </c>
      <c r="M41" s="20">
        <f t="shared" si="2"/>
        <v>450</v>
      </c>
      <c r="N41" s="21">
        <f t="shared" si="3"/>
        <v>0.3</v>
      </c>
    </row>
    <row r="42" spans="2:14" x14ac:dyDescent="0.25">
      <c r="B42" s="2" t="s">
        <v>218</v>
      </c>
      <c r="C42" s="2" t="s">
        <v>219</v>
      </c>
      <c r="D42" s="2" t="s">
        <v>201</v>
      </c>
      <c r="E42" s="2" t="s">
        <v>177</v>
      </c>
      <c r="F42" s="2" t="s">
        <v>151</v>
      </c>
      <c r="G42" s="16" t="s">
        <v>135</v>
      </c>
      <c r="H42" s="2" t="s">
        <v>152</v>
      </c>
      <c r="I42" s="16" t="s">
        <v>132</v>
      </c>
      <c r="J42" s="17">
        <v>1500</v>
      </c>
      <c r="K42" s="18">
        <v>1.6</v>
      </c>
      <c r="L42" s="19">
        <f>IFERROR(SUMIFS(TblSupply[PurchasePrice_CLP],TblSupply[ProductID],B42,TblSupply[SupplierRole],"Primary"),"")</f>
        <v>1050</v>
      </c>
      <c r="M42" s="20">
        <f t="shared" si="2"/>
        <v>450</v>
      </c>
      <c r="N42" s="21">
        <f t="shared" si="3"/>
        <v>0.3</v>
      </c>
    </row>
    <row r="43" spans="2:14" x14ac:dyDescent="0.25">
      <c r="B43" s="2" t="s">
        <v>220</v>
      </c>
      <c r="C43" s="2" t="s">
        <v>221</v>
      </c>
      <c r="D43" s="2" t="s">
        <v>201</v>
      </c>
      <c r="E43" s="2" t="s">
        <v>192</v>
      </c>
      <c r="F43" s="2" t="s">
        <v>151</v>
      </c>
      <c r="G43" s="16" t="s">
        <v>135</v>
      </c>
      <c r="H43" s="2" t="s">
        <v>152</v>
      </c>
      <c r="I43" s="16" t="s">
        <v>126</v>
      </c>
      <c r="J43" s="17">
        <v>2000</v>
      </c>
      <c r="K43" s="18">
        <v>2.14</v>
      </c>
      <c r="L43" s="19">
        <f>IFERROR(SUMIFS(TblSupply[PurchasePrice_CLP],TblSupply[ProductID],B43,TblSupply[SupplierRole],"Primary"),"")</f>
        <v>1350</v>
      </c>
      <c r="M43" s="20">
        <f t="shared" si="2"/>
        <v>650</v>
      </c>
      <c r="N43" s="21">
        <f t="shared" si="3"/>
        <v>0.32500000000000001</v>
      </c>
    </row>
    <row r="44" spans="2:14" x14ac:dyDescent="0.25">
      <c r="B44" s="2" t="s">
        <v>222</v>
      </c>
      <c r="C44" s="2" t="s">
        <v>223</v>
      </c>
      <c r="D44" s="2" t="s">
        <v>224</v>
      </c>
      <c r="E44" s="2" t="s">
        <v>225</v>
      </c>
      <c r="F44" s="2" t="s">
        <v>151</v>
      </c>
      <c r="G44" s="16" t="s">
        <v>125</v>
      </c>
      <c r="H44" s="2" t="s">
        <v>152</v>
      </c>
      <c r="I44" s="16" t="s">
        <v>126</v>
      </c>
      <c r="J44" s="17">
        <v>4500</v>
      </c>
      <c r="K44" s="18">
        <v>4.8099999999999996</v>
      </c>
      <c r="L44" s="19">
        <f>IFERROR(SUMIFS(TblSupply[PurchasePrice_CLP],TblSupply[ProductID],B44,TblSupply[SupplierRole],"Primary"),"")</f>
        <v>3150</v>
      </c>
      <c r="M44" s="20">
        <f t="shared" si="2"/>
        <v>1350</v>
      </c>
      <c r="N44" s="21">
        <f t="shared" si="3"/>
        <v>0.3</v>
      </c>
    </row>
    <row r="45" spans="2:14" x14ac:dyDescent="0.25">
      <c r="B45" s="2" t="s">
        <v>226</v>
      </c>
      <c r="C45" s="2" t="s">
        <v>227</v>
      </c>
      <c r="D45" s="2" t="s">
        <v>224</v>
      </c>
      <c r="E45" s="2" t="s">
        <v>225</v>
      </c>
      <c r="F45" s="2" t="s">
        <v>151</v>
      </c>
      <c r="G45" s="16" t="s">
        <v>135</v>
      </c>
      <c r="H45" s="2" t="s">
        <v>152</v>
      </c>
      <c r="I45" s="16" t="s">
        <v>132</v>
      </c>
      <c r="J45" s="17">
        <v>5500</v>
      </c>
      <c r="K45" s="18">
        <v>5.88</v>
      </c>
      <c r="L45" s="19">
        <f>IFERROR(SUMIFS(TblSupply[PurchasePrice_CLP],TblSupply[ProductID],B45,TblSupply[SupplierRole],"Primary"),"")</f>
        <v>4000</v>
      </c>
      <c r="M45" s="20">
        <f t="shared" si="2"/>
        <v>1500</v>
      </c>
      <c r="N45" s="21">
        <f t="shared" si="3"/>
        <v>0.27272727272727271</v>
      </c>
    </row>
    <row r="46" spans="2:14" x14ac:dyDescent="0.25">
      <c r="B46" s="2" t="s">
        <v>228</v>
      </c>
      <c r="C46" s="2" t="s">
        <v>229</v>
      </c>
      <c r="D46" s="2" t="s">
        <v>224</v>
      </c>
      <c r="E46" s="2" t="s">
        <v>225</v>
      </c>
      <c r="F46" s="2" t="s">
        <v>151</v>
      </c>
      <c r="G46" s="16" t="s">
        <v>135</v>
      </c>
      <c r="H46" s="2" t="s">
        <v>152</v>
      </c>
      <c r="I46" s="16" t="s">
        <v>126</v>
      </c>
      <c r="J46" s="17">
        <v>5000</v>
      </c>
      <c r="K46" s="18">
        <v>5.35</v>
      </c>
      <c r="L46" s="19">
        <f>IFERROR(SUMIFS(TblSupply[PurchasePrice_CLP],TblSupply[ProductID],B46,TblSupply[SupplierRole],"Primary"),"")</f>
        <v>3450</v>
      </c>
      <c r="M46" s="20">
        <f t="shared" si="2"/>
        <v>1550</v>
      </c>
      <c r="N46" s="21">
        <f t="shared" si="3"/>
        <v>0.31</v>
      </c>
    </row>
    <row r="47" spans="2:14" x14ac:dyDescent="0.25">
      <c r="B47" s="2" t="s">
        <v>230</v>
      </c>
      <c r="C47" s="2" t="s">
        <v>231</v>
      </c>
      <c r="D47" s="2" t="s">
        <v>224</v>
      </c>
      <c r="E47" s="2" t="s">
        <v>225</v>
      </c>
      <c r="F47" s="2" t="s">
        <v>151</v>
      </c>
      <c r="G47" s="16" t="s">
        <v>135</v>
      </c>
      <c r="H47" s="2" t="s">
        <v>152</v>
      </c>
      <c r="I47" s="16" t="s">
        <v>129</v>
      </c>
      <c r="J47" s="17">
        <v>6000</v>
      </c>
      <c r="K47" s="18">
        <v>6.42</v>
      </c>
      <c r="L47" s="19">
        <f>IFERROR(SUMIFS(TblSupply[PurchasePrice_CLP],TblSupply[ProductID],B47,TblSupply[SupplierRole],"Primary"),"")</f>
        <v>4100</v>
      </c>
      <c r="M47" s="20">
        <f t="shared" si="2"/>
        <v>1900</v>
      </c>
      <c r="N47" s="21">
        <f t="shared" si="3"/>
        <v>0.31666666666666665</v>
      </c>
    </row>
    <row r="48" spans="2:14" x14ac:dyDescent="0.25">
      <c r="B48" s="2" t="s">
        <v>232</v>
      </c>
      <c r="C48" s="2" t="s">
        <v>233</v>
      </c>
      <c r="D48" s="2" t="s">
        <v>224</v>
      </c>
      <c r="E48" s="2" t="s">
        <v>234</v>
      </c>
      <c r="F48" s="2" t="s">
        <v>151</v>
      </c>
      <c r="G48" s="16" t="s">
        <v>135</v>
      </c>
      <c r="H48" s="2" t="s">
        <v>152</v>
      </c>
      <c r="I48" s="16" t="s">
        <v>126</v>
      </c>
      <c r="J48" s="17">
        <v>6500</v>
      </c>
      <c r="K48" s="18">
        <v>6.95</v>
      </c>
      <c r="L48" s="19">
        <f>IFERROR(SUMIFS(TblSupply[PurchasePrice_CLP],TblSupply[ProductID],B48,TblSupply[SupplierRole],"Primary"),"")</f>
        <v>4700</v>
      </c>
      <c r="M48" s="20">
        <f t="shared" si="2"/>
        <v>1800</v>
      </c>
      <c r="N48" s="21">
        <f t="shared" si="3"/>
        <v>0.27692307692307694</v>
      </c>
    </row>
    <row r="49" spans="2:14" x14ac:dyDescent="0.25">
      <c r="B49" s="2" t="s">
        <v>235</v>
      </c>
      <c r="C49" s="2" t="s">
        <v>236</v>
      </c>
      <c r="D49" s="2" t="s">
        <v>237</v>
      </c>
      <c r="E49" s="2" t="s">
        <v>123</v>
      </c>
      <c r="F49" s="2" t="s">
        <v>124</v>
      </c>
      <c r="G49" s="16" t="s">
        <v>125</v>
      </c>
      <c r="H49" s="2" t="s">
        <v>152</v>
      </c>
      <c r="I49" s="16" t="s">
        <v>132</v>
      </c>
      <c r="J49" s="17">
        <v>6500</v>
      </c>
      <c r="K49" s="18">
        <v>6.95</v>
      </c>
      <c r="L49" s="19">
        <f>IFERROR(SUMIFS(TblSupply[PurchasePrice_CLP],TblSupply[ProductID],B49,TblSupply[SupplierRole],"Primary"),"")</f>
        <v>4750</v>
      </c>
      <c r="M49" s="20">
        <f t="shared" si="2"/>
        <v>1750</v>
      </c>
      <c r="N49" s="21">
        <f t="shared" si="3"/>
        <v>0.26923076923076922</v>
      </c>
    </row>
    <row r="50" spans="2:14" x14ac:dyDescent="0.25">
      <c r="B50" s="2" t="s">
        <v>238</v>
      </c>
      <c r="C50" s="2" t="s">
        <v>239</v>
      </c>
      <c r="D50" s="2" t="s">
        <v>237</v>
      </c>
      <c r="E50" s="2" t="s">
        <v>123</v>
      </c>
      <c r="F50" s="2" t="s">
        <v>124</v>
      </c>
      <c r="G50" s="16" t="s">
        <v>135</v>
      </c>
      <c r="H50" s="2" t="s">
        <v>152</v>
      </c>
      <c r="I50" s="16" t="s">
        <v>126</v>
      </c>
      <c r="J50" s="17">
        <v>6500</v>
      </c>
      <c r="K50" s="18">
        <v>6.95</v>
      </c>
      <c r="L50" s="19">
        <f>IFERROR(SUMIFS(TblSupply[PurchasePrice_CLP],TblSupply[ProductID],B50,TblSupply[SupplierRole],"Primary"),"")</f>
        <v>4650</v>
      </c>
      <c r="M50" s="20">
        <f t="shared" si="2"/>
        <v>1850</v>
      </c>
      <c r="N50" s="21">
        <f t="shared" si="3"/>
        <v>0.2846153846153846</v>
      </c>
    </row>
    <row r="51" spans="2:14" x14ac:dyDescent="0.25">
      <c r="B51" s="2" t="s">
        <v>240</v>
      </c>
      <c r="C51" s="2" t="s">
        <v>241</v>
      </c>
      <c r="D51" s="2" t="s">
        <v>237</v>
      </c>
      <c r="E51" s="2" t="s">
        <v>123</v>
      </c>
      <c r="F51" s="2" t="s">
        <v>124</v>
      </c>
      <c r="G51" s="16" t="s">
        <v>135</v>
      </c>
      <c r="H51" s="2" t="s">
        <v>152</v>
      </c>
      <c r="I51" s="16" t="s">
        <v>132</v>
      </c>
      <c r="J51" s="17">
        <v>7000</v>
      </c>
      <c r="K51" s="18">
        <v>7.49</v>
      </c>
      <c r="L51" s="19">
        <f>IFERROR(SUMIFS(TblSupply[PurchasePrice_CLP],TblSupply[ProductID],B51,TblSupply[SupplierRole],"Primary"),"")</f>
        <v>5050</v>
      </c>
      <c r="M51" s="20">
        <f t="shared" si="2"/>
        <v>1950</v>
      </c>
      <c r="N51" s="21">
        <f t="shared" si="3"/>
        <v>0.27857142857142858</v>
      </c>
    </row>
    <row r="52" spans="2:14" x14ac:dyDescent="0.25">
      <c r="B52" s="2" t="s">
        <v>242</v>
      </c>
      <c r="C52" s="2" t="s">
        <v>243</v>
      </c>
      <c r="D52" s="2" t="s">
        <v>237</v>
      </c>
      <c r="E52" s="2" t="s">
        <v>123</v>
      </c>
      <c r="F52" s="2" t="s">
        <v>124</v>
      </c>
      <c r="G52" s="16" t="s">
        <v>135</v>
      </c>
      <c r="H52" s="2" t="s">
        <v>152</v>
      </c>
      <c r="I52" s="16" t="s">
        <v>132</v>
      </c>
      <c r="J52" s="17">
        <v>10000</v>
      </c>
      <c r="K52" s="18">
        <v>10.7</v>
      </c>
      <c r="L52" s="19">
        <f>IFERROR(SUMIFS(TblSupply[PurchasePrice_CLP],TblSupply[ProductID],B52,TblSupply[SupplierRole],"Primary"),"")</f>
        <v>7050</v>
      </c>
      <c r="M52" s="20">
        <f t="shared" si="2"/>
        <v>2950</v>
      </c>
      <c r="N52" s="21">
        <f t="shared" si="3"/>
        <v>0.29499999999999998</v>
      </c>
    </row>
    <row r="53" spans="2:14" x14ac:dyDescent="0.25">
      <c r="B53" s="2" t="s">
        <v>244</v>
      </c>
      <c r="C53" s="2" t="s">
        <v>245</v>
      </c>
      <c r="D53" s="2" t="s">
        <v>237</v>
      </c>
      <c r="E53" s="2" t="s">
        <v>123</v>
      </c>
      <c r="F53" s="2" t="s">
        <v>124</v>
      </c>
      <c r="G53" s="16" t="s">
        <v>135</v>
      </c>
      <c r="H53" s="2" t="s">
        <v>152</v>
      </c>
      <c r="I53" s="16" t="s">
        <v>126</v>
      </c>
      <c r="J53" s="17">
        <v>9000</v>
      </c>
      <c r="K53" s="18">
        <v>9.6300000000000008</v>
      </c>
      <c r="L53" s="19">
        <f>IFERROR(SUMIFS(TblSupply[PurchasePrice_CLP],TblSupply[ProductID],B53,TblSupply[SupplierRole],"Primary"),"")</f>
        <v>6450</v>
      </c>
      <c r="M53" s="20">
        <f t="shared" si="2"/>
        <v>2550</v>
      </c>
      <c r="N53" s="21">
        <f t="shared" si="3"/>
        <v>0.28333333333333333</v>
      </c>
    </row>
    <row r="54" spans="2:14" x14ac:dyDescent="0.25">
      <c r="B54" s="2" t="s">
        <v>246</v>
      </c>
      <c r="C54" s="2" t="s">
        <v>247</v>
      </c>
      <c r="D54" s="2" t="s">
        <v>237</v>
      </c>
      <c r="E54" s="2" t="s">
        <v>123</v>
      </c>
      <c r="F54" s="2" t="s">
        <v>124</v>
      </c>
      <c r="G54" s="16" t="s">
        <v>135</v>
      </c>
      <c r="H54" s="2" t="s">
        <v>189</v>
      </c>
      <c r="I54" s="16" t="s">
        <v>129</v>
      </c>
      <c r="J54" s="17">
        <v>11000</v>
      </c>
      <c r="K54" s="18">
        <v>11.76</v>
      </c>
      <c r="L54" s="19">
        <f>IFERROR(SUMIFS(TblSupply[PurchasePrice_CLP],TblSupply[ProductID],B54,TblSupply[SupplierRole],"Primary"),"")</f>
        <v>7700</v>
      </c>
      <c r="M54" s="20">
        <f t="shared" si="2"/>
        <v>3300</v>
      </c>
      <c r="N54" s="21">
        <f t="shared" si="3"/>
        <v>0.3</v>
      </c>
    </row>
    <row r="55" spans="2:14" x14ac:dyDescent="0.25">
      <c r="B55" s="2" t="s">
        <v>248</v>
      </c>
      <c r="C55" s="2" t="s">
        <v>249</v>
      </c>
      <c r="D55" s="2" t="s">
        <v>237</v>
      </c>
      <c r="E55" s="2" t="s">
        <v>123</v>
      </c>
      <c r="F55" s="2" t="s">
        <v>124</v>
      </c>
      <c r="G55" s="16" t="s">
        <v>135</v>
      </c>
      <c r="H55" s="2" t="s">
        <v>152</v>
      </c>
      <c r="I55" s="16" t="s">
        <v>132</v>
      </c>
      <c r="J55" s="17">
        <v>7500</v>
      </c>
      <c r="K55" s="18">
        <v>8.02</v>
      </c>
      <c r="L55" s="19">
        <f>IFERROR(SUMIFS(TblSupply[PurchasePrice_CLP],TblSupply[ProductID],B55,TblSupply[SupplierRole],"Primary"),"")</f>
        <v>5300</v>
      </c>
      <c r="M55" s="20">
        <f t="shared" si="2"/>
        <v>2200</v>
      </c>
      <c r="N55" s="21">
        <f t="shared" si="3"/>
        <v>0.29333333333333333</v>
      </c>
    </row>
    <row r="56" spans="2:14" x14ac:dyDescent="0.25">
      <c r="B56" s="2" t="s">
        <v>250</v>
      </c>
      <c r="C56" s="2" t="s">
        <v>251</v>
      </c>
      <c r="D56" s="2" t="s">
        <v>237</v>
      </c>
      <c r="E56" s="2" t="s">
        <v>123</v>
      </c>
      <c r="F56" s="2" t="s">
        <v>124</v>
      </c>
      <c r="G56" s="16" t="s">
        <v>135</v>
      </c>
      <c r="H56" s="2" t="s">
        <v>152</v>
      </c>
      <c r="I56" s="16" t="s">
        <v>129</v>
      </c>
      <c r="J56" s="17">
        <v>8500</v>
      </c>
      <c r="K56" s="18">
        <v>9.09</v>
      </c>
      <c r="L56" s="19">
        <f>IFERROR(SUMIFS(TblSupply[PurchasePrice_CLP],TblSupply[ProductID],B56,TblSupply[SupplierRole],"Primary"),"")</f>
        <v>5900</v>
      </c>
      <c r="M56" s="20">
        <f t="shared" si="2"/>
        <v>2600</v>
      </c>
      <c r="N56" s="21">
        <f t="shared" si="3"/>
        <v>0.30588235294117649</v>
      </c>
    </row>
    <row r="57" spans="2:14" x14ac:dyDescent="0.25">
      <c r="B57" s="2" t="s">
        <v>252</v>
      </c>
      <c r="C57" s="2" t="s">
        <v>253</v>
      </c>
      <c r="D57" s="2" t="s">
        <v>237</v>
      </c>
      <c r="E57" s="2" t="s">
        <v>123</v>
      </c>
      <c r="F57" s="2" t="s">
        <v>124</v>
      </c>
      <c r="G57" s="16" t="s">
        <v>135</v>
      </c>
      <c r="H57" s="2" t="s">
        <v>152</v>
      </c>
      <c r="I57" s="16" t="s">
        <v>129</v>
      </c>
      <c r="J57" s="17">
        <v>5500</v>
      </c>
      <c r="K57" s="18">
        <v>5.88</v>
      </c>
      <c r="L57" s="19">
        <f>IFERROR(SUMIFS(TblSupply[PurchasePrice_CLP],TblSupply[ProductID],B57,TblSupply[SupplierRole],"Primary"),"")</f>
        <v>4050</v>
      </c>
      <c r="M57" s="20">
        <f t="shared" si="2"/>
        <v>1450</v>
      </c>
      <c r="N57" s="21">
        <f t="shared" si="3"/>
        <v>0.26363636363636361</v>
      </c>
    </row>
    <row r="58" spans="2:14" x14ac:dyDescent="0.25">
      <c r="B58" s="2" t="s">
        <v>254</v>
      </c>
      <c r="C58" s="2" t="s">
        <v>255</v>
      </c>
      <c r="D58" s="2" t="s">
        <v>256</v>
      </c>
      <c r="E58" s="2" t="s">
        <v>123</v>
      </c>
      <c r="F58" s="2" t="s">
        <v>124</v>
      </c>
      <c r="G58" s="16" t="s">
        <v>125</v>
      </c>
      <c r="H58" s="2" t="s">
        <v>189</v>
      </c>
      <c r="I58" s="16" t="s">
        <v>132</v>
      </c>
      <c r="J58" s="17">
        <v>9000</v>
      </c>
      <c r="K58" s="18">
        <v>9.6300000000000008</v>
      </c>
      <c r="L58" s="19">
        <f>IFERROR(SUMIFS(TblSupply[PurchasePrice_CLP],TblSupply[ProductID],B58,TblSupply[SupplierRole],"Primary"),"")</f>
        <v>6800</v>
      </c>
      <c r="M58" s="20">
        <f t="shared" si="2"/>
        <v>2200</v>
      </c>
      <c r="N58" s="21">
        <f t="shared" si="3"/>
        <v>0.24444444444444444</v>
      </c>
    </row>
    <row r="59" spans="2:14" x14ac:dyDescent="0.25">
      <c r="B59" s="2" t="s">
        <v>257</v>
      </c>
      <c r="C59" s="2" t="s">
        <v>258</v>
      </c>
      <c r="D59" s="2" t="s">
        <v>256</v>
      </c>
      <c r="E59" s="2" t="s">
        <v>123</v>
      </c>
      <c r="F59" s="2" t="s">
        <v>124</v>
      </c>
      <c r="G59" s="16" t="s">
        <v>135</v>
      </c>
      <c r="H59" s="2" t="s">
        <v>189</v>
      </c>
      <c r="I59" s="16" t="s">
        <v>129</v>
      </c>
      <c r="J59" s="17">
        <v>13000</v>
      </c>
      <c r="K59" s="18">
        <v>13.9</v>
      </c>
      <c r="L59" s="19">
        <f>IFERROR(SUMIFS(TblSupply[PurchasePrice_CLP],TblSupply[ProductID],B59,TblSupply[SupplierRole],"Primary"),"")</f>
        <v>10000</v>
      </c>
      <c r="M59" s="20">
        <f t="shared" si="2"/>
        <v>3000</v>
      </c>
      <c r="N59" s="21">
        <f t="shared" si="3"/>
        <v>0.23076923076923078</v>
      </c>
    </row>
    <row r="60" spans="2:14" x14ac:dyDescent="0.25">
      <c r="B60" s="2" t="s">
        <v>259</v>
      </c>
      <c r="C60" s="2" t="s">
        <v>260</v>
      </c>
      <c r="D60" s="2" t="s">
        <v>256</v>
      </c>
      <c r="E60" s="2" t="s">
        <v>123</v>
      </c>
      <c r="F60" s="2" t="s">
        <v>124</v>
      </c>
      <c r="G60" s="16" t="s">
        <v>135</v>
      </c>
      <c r="H60" s="2" t="s">
        <v>189</v>
      </c>
      <c r="I60" s="16" t="s">
        <v>126</v>
      </c>
      <c r="J60" s="17">
        <v>6000</v>
      </c>
      <c r="K60" s="18">
        <v>6.42</v>
      </c>
      <c r="L60" s="19">
        <f>IFERROR(SUMIFS(TblSupply[PurchasePrice_CLP],TblSupply[ProductID],B60,TblSupply[SupplierRole],"Primary"),"")</f>
        <v>4650</v>
      </c>
      <c r="M60" s="20">
        <f t="shared" si="2"/>
        <v>1350</v>
      </c>
      <c r="N60" s="21">
        <f t="shared" si="3"/>
        <v>0.22500000000000001</v>
      </c>
    </row>
    <row r="61" spans="2:14" x14ac:dyDescent="0.25">
      <c r="B61" s="2" t="s">
        <v>261</v>
      </c>
      <c r="C61" s="2" t="s">
        <v>262</v>
      </c>
      <c r="D61" s="2" t="s">
        <v>256</v>
      </c>
      <c r="E61" s="2" t="s">
        <v>123</v>
      </c>
      <c r="F61" s="2" t="s">
        <v>124</v>
      </c>
      <c r="G61" s="16" t="s">
        <v>135</v>
      </c>
      <c r="H61" s="2" t="s">
        <v>189</v>
      </c>
      <c r="I61" s="16" t="s">
        <v>126</v>
      </c>
      <c r="J61" s="17">
        <v>10000</v>
      </c>
      <c r="K61" s="18">
        <v>10.7</v>
      </c>
      <c r="L61" s="19">
        <f>IFERROR(SUMIFS(TblSupply[PurchasePrice_CLP],TblSupply[ProductID],B61,TblSupply[SupplierRole],"Primary"),"")</f>
        <v>7550</v>
      </c>
      <c r="M61" s="20">
        <f t="shared" si="2"/>
        <v>2450</v>
      </c>
      <c r="N61" s="21">
        <f t="shared" si="3"/>
        <v>0.245</v>
      </c>
    </row>
    <row r="62" spans="2:14" x14ac:dyDescent="0.25">
      <c r="B62" s="2" t="s">
        <v>263</v>
      </c>
      <c r="C62" s="2" t="s">
        <v>264</v>
      </c>
      <c r="D62" s="2" t="s">
        <v>256</v>
      </c>
      <c r="E62" s="2" t="s">
        <v>123</v>
      </c>
      <c r="F62" s="2" t="s">
        <v>124</v>
      </c>
      <c r="G62" s="16" t="s">
        <v>135</v>
      </c>
      <c r="H62" s="2" t="s">
        <v>189</v>
      </c>
      <c r="I62" s="16" t="s">
        <v>126</v>
      </c>
      <c r="J62" s="17">
        <v>12000</v>
      </c>
      <c r="K62" s="18">
        <v>12.83</v>
      </c>
      <c r="L62" s="19">
        <f>IFERROR(SUMIFS(TblSupply[PurchasePrice_CLP],TblSupply[ProductID],B62,TblSupply[SupplierRole],"Primary"),"")</f>
        <v>9250</v>
      </c>
      <c r="M62" s="20">
        <f t="shared" si="2"/>
        <v>2750</v>
      </c>
      <c r="N62" s="21">
        <f t="shared" si="3"/>
        <v>0.22916666666666666</v>
      </c>
    </row>
    <row r="63" spans="2:14" x14ac:dyDescent="0.25">
      <c r="B63" s="2" t="s">
        <v>265</v>
      </c>
      <c r="C63" s="2" t="s">
        <v>266</v>
      </c>
      <c r="D63" s="2" t="s">
        <v>256</v>
      </c>
      <c r="E63" s="2" t="s">
        <v>123</v>
      </c>
      <c r="F63" s="2" t="s">
        <v>124</v>
      </c>
      <c r="G63" s="16" t="s">
        <v>135</v>
      </c>
      <c r="H63" s="2" t="s">
        <v>189</v>
      </c>
      <c r="I63" s="16" t="s">
        <v>126</v>
      </c>
      <c r="J63" s="17">
        <v>11000</v>
      </c>
      <c r="K63" s="18">
        <v>11.76</v>
      </c>
      <c r="L63" s="19">
        <f>IFERROR(SUMIFS(TblSupply[PurchasePrice_CLP],TblSupply[ProductID],B63,TblSupply[SupplierRole],"Primary"),"")</f>
        <v>8500</v>
      </c>
      <c r="M63" s="20">
        <f t="shared" si="2"/>
        <v>2500</v>
      </c>
      <c r="N63" s="21">
        <f t="shared" si="3"/>
        <v>0.22727272727272727</v>
      </c>
    </row>
    <row r="64" spans="2:14" x14ac:dyDescent="0.25">
      <c r="B64" s="2" t="s">
        <v>267</v>
      </c>
      <c r="C64" s="2" t="s">
        <v>268</v>
      </c>
      <c r="D64" s="2" t="s">
        <v>256</v>
      </c>
      <c r="E64" s="2" t="s">
        <v>123</v>
      </c>
      <c r="F64" s="2" t="s">
        <v>124</v>
      </c>
      <c r="G64" s="16" t="s">
        <v>135</v>
      </c>
      <c r="H64" s="2" t="s">
        <v>189</v>
      </c>
      <c r="I64" s="16" t="s">
        <v>126</v>
      </c>
      <c r="J64" s="17">
        <v>7500</v>
      </c>
      <c r="K64" s="18">
        <v>8.02</v>
      </c>
      <c r="L64" s="19">
        <f>IFERROR(SUMIFS(TblSupply[PurchasePrice_CLP],TblSupply[ProductID],B64,TblSupply[SupplierRole],"Primary"),"")</f>
        <v>5400</v>
      </c>
      <c r="M64" s="20">
        <f t="shared" si="2"/>
        <v>2100</v>
      </c>
      <c r="N64" s="21">
        <f t="shared" si="3"/>
        <v>0.28000000000000003</v>
      </c>
    </row>
    <row r="65" spans="2:14" x14ac:dyDescent="0.25">
      <c r="B65" s="2" t="s">
        <v>269</v>
      </c>
      <c r="C65" s="2" t="s">
        <v>270</v>
      </c>
      <c r="D65" s="2" t="s">
        <v>256</v>
      </c>
      <c r="E65" s="2" t="s">
        <v>123</v>
      </c>
      <c r="F65" s="2" t="s">
        <v>124</v>
      </c>
      <c r="G65" s="16" t="s">
        <v>135</v>
      </c>
      <c r="H65" s="2" t="s">
        <v>189</v>
      </c>
      <c r="I65" s="16" t="s">
        <v>126</v>
      </c>
      <c r="J65" s="17">
        <v>22000</v>
      </c>
      <c r="K65" s="18">
        <v>23.53</v>
      </c>
      <c r="L65" s="19">
        <f>IFERROR(SUMIFS(TblSupply[PurchasePrice_CLP],TblSupply[ProductID],B65,TblSupply[SupplierRole],"Primary"),"")</f>
        <v>16600</v>
      </c>
      <c r="M65" s="20">
        <f t="shared" si="2"/>
        <v>5400</v>
      </c>
      <c r="N65" s="21">
        <f t="shared" si="3"/>
        <v>0.24545454545454545</v>
      </c>
    </row>
    <row r="66" spans="2:14" x14ac:dyDescent="0.25">
      <c r="B66" s="2" t="s">
        <v>271</v>
      </c>
      <c r="C66" s="2" t="s">
        <v>272</v>
      </c>
      <c r="D66" s="2" t="s">
        <v>256</v>
      </c>
      <c r="E66" s="2" t="s">
        <v>123</v>
      </c>
      <c r="F66" s="2" t="s">
        <v>124</v>
      </c>
      <c r="G66" s="16" t="s">
        <v>135</v>
      </c>
      <c r="H66" s="2" t="s">
        <v>189</v>
      </c>
      <c r="I66" s="16" t="s">
        <v>129</v>
      </c>
      <c r="J66" s="17">
        <v>26000</v>
      </c>
      <c r="K66" s="18">
        <v>27.81</v>
      </c>
      <c r="L66" s="19">
        <f>IFERROR(SUMIFS(TblSupply[PurchasePrice_CLP],TblSupply[ProductID],B66,TblSupply[SupplierRole],"Primary"),"")</f>
        <v>19600</v>
      </c>
      <c r="M66" s="20">
        <f t="shared" si="2"/>
        <v>6400</v>
      </c>
      <c r="N66" s="21">
        <f t="shared" si="3"/>
        <v>0.24615384615384617</v>
      </c>
    </row>
    <row r="67" spans="2:14" x14ac:dyDescent="0.25">
      <c r="B67" s="2" t="s">
        <v>273</v>
      </c>
      <c r="C67" s="2" t="s">
        <v>274</v>
      </c>
      <c r="D67" s="2" t="s">
        <v>256</v>
      </c>
      <c r="E67" s="2" t="s">
        <v>123</v>
      </c>
      <c r="F67" s="2" t="s">
        <v>124</v>
      </c>
      <c r="G67" s="16" t="s">
        <v>135</v>
      </c>
      <c r="H67" s="2" t="s">
        <v>189</v>
      </c>
      <c r="I67" s="16" t="s">
        <v>126</v>
      </c>
      <c r="J67" s="17">
        <v>26000</v>
      </c>
      <c r="K67" s="18">
        <v>27.81</v>
      </c>
      <c r="L67" s="19">
        <f>IFERROR(SUMIFS(TblSupply[PurchasePrice_CLP],TblSupply[ProductID],B67,TblSupply[SupplierRole],"Primary"),"")</f>
        <v>20150</v>
      </c>
      <c r="M67" s="20">
        <f t="shared" si="2"/>
        <v>5850</v>
      </c>
      <c r="N67" s="21">
        <f t="shared" si="3"/>
        <v>0.22500000000000001</v>
      </c>
    </row>
    <row r="68" spans="2:14" x14ac:dyDescent="0.25">
      <c r="B68" s="2" t="s">
        <v>275</v>
      </c>
      <c r="C68" s="2" t="s">
        <v>276</v>
      </c>
      <c r="D68" s="2" t="s">
        <v>256</v>
      </c>
      <c r="E68" s="2" t="s">
        <v>123</v>
      </c>
      <c r="F68" s="2" t="s">
        <v>124</v>
      </c>
      <c r="G68" s="16" t="s">
        <v>135</v>
      </c>
      <c r="H68" s="2" t="s">
        <v>189</v>
      </c>
      <c r="I68" s="16" t="s">
        <v>126</v>
      </c>
      <c r="J68" s="17">
        <v>30000</v>
      </c>
      <c r="K68" s="18">
        <v>32.090000000000003</v>
      </c>
      <c r="L68" s="19">
        <f>IFERROR(SUMIFS(TblSupply[PurchasePrice_CLP],TblSupply[ProductID],B68,TblSupply[SupplierRole],"Primary"),"")</f>
        <v>22950</v>
      </c>
      <c r="M68" s="20">
        <f t="shared" ref="M68:M99" si="4">IF(L68="","",J68-L68)</f>
        <v>7050</v>
      </c>
      <c r="N68" s="21">
        <f t="shared" ref="N68:N99" si="5">IF(L68="","",M68/J68)</f>
        <v>0.23499999999999999</v>
      </c>
    </row>
    <row r="69" spans="2:14" x14ac:dyDescent="0.25">
      <c r="B69" s="2" t="s">
        <v>277</v>
      </c>
      <c r="C69" s="2" t="s">
        <v>278</v>
      </c>
      <c r="D69" s="2" t="s">
        <v>256</v>
      </c>
      <c r="E69" s="2" t="s">
        <v>123</v>
      </c>
      <c r="F69" s="2" t="s">
        <v>124</v>
      </c>
      <c r="G69" s="16" t="s">
        <v>135</v>
      </c>
      <c r="H69" s="2" t="s">
        <v>189</v>
      </c>
      <c r="I69" s="16" t="s">
        <v>132</v>
      </c>
      <c r="J69" s="17">
        <v>30000</v>
      </c>
      <c r="K69" s="18">
        <v>32.090000000000003</v>
      </c>
      <c r="L69" s="19">
        <f>IFERROR(SUMIFS(TblSupply[PurchasePrice_CLP],TblSupply[ProductID],B69,TblSupply[SupplierRole],"Primary"),"")</f>
        <v>22450</v>
      </c>
      <c r="M69" s="20">
        <f t="shared" si="4"/>
        <v>7550</v>
      </c>
      <c r="N69" s="21">
        <f t="shared" si="5"/>
        <v>0.25166666666666665</v>
      </c>
    </row>
    <row r="70" spans="2:14" x14ac:dyDescent="0.25">
      <c r="B70" s="2" t="s">
        <v>279</v>
      </c>
      <c r="C70" s="2" t="s">
        <v>280</v>
      </c>
      <c r="D70" s="2" t="s">
        <v>256</v>
      </c>
      <c r="E70" s="2" t="s">
        <v>123</v>
      </c>
      <c r="F70" s="2" t="s">
        <v>124</v>
      </c>
      <c r="G70" s="16" t="s">
        <v>135</v>
      </c>
      <c r="H70" s="2" t="s">
        <v>189</v>
      </c>
      <c r="I70" s="16" t="s">
        <v>126</v>
      </c>
      <c r="J70" s="17">
        <v>18000</v>
      </c>
      <c r="K70" s="18">
        <v>19.25</v>
      </c>
      <c r="L70" s="19">
        <f>IFERROR(SUMIFS(TblSupply[PurchasePrice_CLP],TblSupply[ProductID],B70,TblSupply[SupplierRole],"Primary"),"")</f>
        <v>13000</v>
      </c>
      <c r="M70" s="20">
        <f t="shared" si="4"/>
        <v>5000</v>
      </c>
      <c r="N70" s="21">
        <f t="shared" si="5"/>
        <v>0.27777777777777779</v>
      </c>
    </row>
    <row r="71" spans="2:14" x14ac:dyDescent="0.25">
      <c r="B71" s="2" t="s">
        <v>281</v>
      </c>
      <c r="C71" s="2" t="s">
        <v>282</v>
      </c>
      <c r="D71" s="2" t="s">
        <v>256</v>
      </c>
      <c r="E71" s="2" t="s">
        <v>123</v>
      </c>
      <c r="F71" s="2" t="s">
        <v>124</v>
      </c>
      <c r="G71" s="16" t="s">
        <v>135</v>
      </c>
      <c r="H71" s="2" t="s">
        <v>189</v>
      </c>
      <c r="I71" s="16" t="s">
        <v>129</v>
      </c>
      <c r="J71" s="17">
        <v>16000</v>
      </c>
      <c r="K71" s="18">
        <v>17.11</v>
      </c>
      <c r="L71" s="19">
        <f>IFERROR(SUMIFS(TblSupply[PurchasePrice_CLP],TblSupply[ProductID],B71,TblSupply[SupplierRole],"Primary"),"")</f>
        <v>11600</v>
      </c>
      <c r="M71" s="20">
        <f t="shared" si="4"/>
        <v>4400</v>
      </c>
      <c r="N71" s="21">
        <f t="shared" si="5"/>
        <v>0.27500000000000002</v>
      </c>
    </row>
    <row r="72" spans="2:14" x14ac:dyDescent="0.25">
      <c r="B72" s="2" t="s">
        <v>283</v>
      </c>
      <c r="C72" s="2" t="s">
        <v>284</v>
      </c>
      <c r="D72" s="2" t="s">
        <v>256</v>
      </c>
      <c r="E72" s="2" t="s">
        <v>123</v>
      </c>
      <c r="F72" s="2" t="s">
        <v>124</v>
      </c>
      <c r="G72" s="16" t="s">
        <v>135</v>
      </c>
      <c r="H72" s="2" t="s">
        <v>189</v>
      </c>
      <c r="I72" s="16" t="s">
        <v>126</v>
      </c>
      <c r="J72" s="17">
        <v>24000</v>
      </c>
      <c r="K72" s="18">
        <v>25.67</v>
      </c>
      <c r="L72" s="19">
        <f>IFERROR(SUMIFS(TblSupply[PurchasePrice_CLP],TblSupply[ProductID],B72,TblSupply[SupplierRole],"Primary"),"")</f>
        <v>17200</v>
      </c>
      <c r="M72" s="20">
        <f t="shared" si="4"/>
        <v>6800</v>
      </c>
      <c r="N72" s="21">
        <f t="shared" si="5"/>
        <v>0.28333333333333333</v>
      </c>
    </row>
    <row r="73" spans="2:14" x14ac:dyDescent="0.25">
      <c r="B73" s="2" t="s">
        <v>285</v>
      </c>
      <c r="C73" s="2" t="s">
        <v>286</v>
      </c>
      <c r="D73" s="2" t="s">
        <v>287</v>
      </c>
      <c r="E73" s="2" t="s">
        <v>123</v>
      </c>
      <c r="F73" s="2" t="s">
        <v>124</v>
      </c>
      <c r="G73" s="16" t="s">
        <v>135</v>
      </c>
      <c r="H73" s="2" t="s">
        <v>152</v>
      </c>
      <c r="I73" s="16" t="s">
        <v>129</v>
      </c>
      <c r="J73" s="17">
        <v>4000</v>
      </c>
      <c r="K73" s="18">
        <v>4.28</v>
      </c>
      <c r="L73" s="19">
        <f>IFERROR(SUMIFS(TblSupply[PurchasePrice_CLP],TblSupply[ProductID],B73,TblSupply[SupplierRole],"Primary"),"")</f>
        <v>2800</v>
      </c>
      <c r="M73" s="20">
        <f t="shared" si="4"/>
        <v>1200</v>
      </c>
      <c r="N73" s="21">
        <f t="shared" si="5"/>
        <v>0.3</v>
      </c>
    </row>
    <row r="74" spans="2:14" x14ac:dyDescent="0.25">
      <c r="B74" s="2" t="s">
        <v>288</v>
      </c>
      <c r="C74" s="2" t="s">
        <v>289</v>
      </c>
      <c r="D74" s="2" t="s">
        <v>287</v>
      </c>
      <c r="E74" s="2" t="s">
        <v>123</v>
      </c>
      <c r="F74" s="2" t="s">
        <v>124</v>
      </c>
      <c r="G74" s="16" t="s">
        <v>135</v>
      </c>
      <c r="H74" s="2" t="s">
        <v>152</v>
      </c>
      <c r="I74" s="16" t="s">
        <v>132</v>
      </c>
      <c r="J74" s="17">
        <v>6000</v>
      </c>
      <c r="K74" s="18">
        <v>6.42</v>
      </c>
      <c r="L74" s="19">
        <f>IFERROR(SUMIFS(TblSupply[PurchasePrice_CLP],TblSupply[ProductID],B74,TblSupply[SupplierRole],"Primary"),"")</f>
        <v>4200</v>
      </c>
      <c r="M74" s="20">
        <f t="shared" si="4"/>
        <v>1800</v>
      </c>
      <c r="N74" s="21">
        <f t="shared" si="5"/>
        <v>0.3</v>
      </c>
    </row>
    <row r="75" spans="2:14" x14ac:dyDescent="0.25">
      <c r="B75" s="2" t="s">
        <v>290</v>
      </c>
      <c r="C75" s="2" t="s">
        <v>291</v>
      </c>
      <c r="D75" s="2" t="s">
        <v>287</v>
      </c>
      <c r="E75" s="2" t="s">
        <v>123</v>
      </c>
      <c r="F75" s="2" t="s">
        <v>124</v>
      </c>
      <c r="G75" s="16" t="s">
        <v>135</v>
      </c>
      <c r="H75" s="2" t="s">
        <v>152</v>
      </c>
      <c r="I75" s="16" t="s">
        <v>126</v>
      </c>
      <c r="J75" s="17">
        <v>5000</v>
      </c>
      <c r="K75" s="18">
        <v>5.35</v>
      </c>
      <c r="L75" s="19">
        <f>IFERROR(SUMIFS(TblSupply[PurchasePrice_CLP],TblSupply[ProductID],B75,TblSupply[SupplierRole],"Primary"),"")</f>
        <v>3700</v>
      </c>
      <c r="M75" s="20">
        <f t="shared" si="4"/>
        <v>1300</v>
      </c>
      <c r="N75" s="21">
        <f t="shared" si="5"/>
        <v>0.26</v>
      </c>
    </row>
    <row r="76" spans="2:14" x14ac:dyDescent="0.25">
      <c r="B76" s="2" t="s">
        <v>292</v>
      </c>
      <c r="C76" s="2" t="s">
        <v>293</v>
      </c>
      <c r="D76" s="2" t="s">
        <v>287</v>
      </c>
      <c r="E76" s="2" t="s">
        <v>123</v>
      </c>
      <c r="F76" s="2" t="s">
        <v>124</v>
      </c>
      <c r="G76" s="16" t="s">
        <v>135</v>
      </c>
      <c r="H76" s="2" t="s">
        <v>152</v>
      </c>
      <c r="I76" s="16" t="s">
        <v>126</v>
      </c>
      <c r="J76" s="17">
        <v>3500</v>
      </c>
      <c r="K76" s="18">
        <v>3.74</v>
      </c>
      <c r="L76" s="19">
        <f>IFERROR(SUMIFS(TblSupply[PurchasePrice_CLP],TblSupply[ProductID],B76,TblSupply[SupplierRole],"Primary"),"")</f>
        <v>2550</v>
      </c>
      <c r="M76" s="20">
        <f t="shared" si="4"/>
        <v>950</v>
      </c>
      <c r="N76" s="21">
        <f t="shared" si="5"/>
        <v>0.27142857142857141</v>
      </c>
    </row>
    <row r="77" spans="2:14" x14ac:dyDescent="0.25">
      <c r="B77" s="2" t="s">
        <v>294</v>
      </c>
      <c r="C77" s="2" t="s">
        <v>295</v>
      </c>
      <c r="D77" s="2" t="s">
        <v>287</v>
      </c>
      <c r="E77" s="2" t="s">
        <v>123</v>
      </c>
      <c r="F77" s="2" t="s">
        <v>124</v>
      </c>
      <c r="G77" s="16" t="s">
        <v>135</v>
      </c>
      <c r="H77" s="2" t="s">
        <v>152</v>
      </c>
      <c r="I77" s="16" t="s">
        <v>129</v>
      </c>
      <c r="J77" s="17">
        <v>4500</v>
      </c>
      <c r="K77" s="18">
        <v>4.8099999999999996</v>
      </c>
      <c r="L77" s="19">
        <f>IFERROR(SUMIFS(TblSupply[PurchasePrice_CLP],TblSupply[ProductID],B77,TblSupply[SupplierRole],"Primary"),"")</f>
        <v>3300</v>
      </c>
      <c r="M77" s="20">
        <f t="shared" si="4"/>
        <v>1200</v>
      </c>
      <c r="N77" s="21">
        <f t="shared" si="5"/>
        <v>0.26666666666666666</v>
      </c>
    </row>
    <row r="78" spans="2:14" x14ac:dyDescent="0.25">
      <c r="B78" s="2" t="s">
        <v>296</v>
      </c>
      <c r="C78" s="2" t="s">
        <v>297</v>
      </c>
      <c r="D78" s="2" t="s">
        <v>71</v>
      </c>
      <c r="E78" s="2" t="s">
        <v>298</v>
      </c>
      <c r="F78" s="2" t="s">
        <v>151</v>
      </c>
      <c r="G78" s="16" t="s">
        <v>135</v>
      </c>
      <c r="H78" s="2" t="s">
        <v>152</v>
      </c>
      <c r="I78" s="16" t="s">
        <v>132</v>
      </c>
      <c r="J78" s="17">
        <v>1000</v>
      </c>
      <c r="K78" s="18">
        <v>1.07</v>
      </c>
      <c r="L78" s="19">
        <f>IFERROR(SUMIFS(TblSupply[PurchasePrice_CLP],TblSupply[ProductID],B78,TblSupply[SupplierRole],"Primary"),"")</f>
        <v>700</v>
      </c>
      <c r="M78" s="20">
        <f t="shared" si="4"/>
        <v>300</v>
      </c>
      <c r="N78" s="21">
        <f t="shared" si="5"/>
        <v>0.3</v>
      </c>
    </row>
    <row r="79" spans="2:14" x14ac:dyDescent="0.25">
      <c r="B79" s="2" t="s">
        <v>299</v>
      </c>
      <c r="C79" s="2" t="s">
        <v>300</v>
      </c>
      <c r="D79" s="2" t="s">
        <v>71</v>
      </c>
      <c r="E79" s="2" t="s">
        <v>123</v>
      </c>
      <c r="F79" s="2" t="s">
        <v>124</v>
      </c>
      <c r="G79" s="16" t="s">
        <v>135</v>
      </c>
      <c r="H79" s="2" t="s">
        <v>189</v>
      </c>
      <c r="I79" s="16" t="s">
        <v>132</v>
      </c>
      <c r="J79" s="17">
        <v>3500</v>
      </c>
      <c r="K79" s="18">
        <v>3.74</v>
      </c>
      <c r="L79" s="19">
        <f>IFERROR(SUMIFS(TblSupply[PurchasePrice_CLP],TblSupply[ProductID],B79,TblSupply[SupplierRole],"Primary"),"")</f>
        <v>2450</v>
      </c>
      <c r="M79" s="20">
        <f t="shared" si="4"/>
        <v>1050</v>
      </c>
      <c r="N79" s="21">
        <f t="shared" si="5"/>
        <v>0.3</v>
      </c>
    </row>
    <row r="80" spans="2:14" x14ac:dyDescent="0.25">
      <c r="B80" s="2" t="s">
        <v>301</v>
      </c>
      <c r="C80" s="2" t="s">
        <v>302</v>
      </c>
      <c r="D80" s="2" t="s">
        <v>71</v>
      </c>
      <c r="E80" s="2" t="s">
        <v>303</v>
      </c>
      <c r="F80" s="2" t="s">
        <v>151</v>
      </c>
      <c r="G80" s="16" t="s">
        <v>135</v>
      </c>
      <c r="H80" s="2" t="s">
        <v>152</v>
      </c>
      <c r="I80" s="16" t="s">
        <v>132</v>
      </c>
      <c r="J80" s="17">
        <v>2000</v>
      </c>
      <c r="K80" s="18">
        <v>2.14</v>
      </c>
      <c r="L80" s="19">
        <f>IFERROR(SUMIFS(TblSupply[PurchasePrice_CLP],TblSupply[ProductID],B80,TblSupply[SupplierRole],"Primary"),"")</f>
        <v>1350</v>
      </c>
      <c r="M80" s="20">
        <f t="shared" si="4"/>
        <v>650</v>
      </c>
      <c r="N80" s="21">
        <f t="shared" si="5"/>
        <v>0.32500000000000001</v>
      </c>
    </row>
    <row r="81" spans="2:14" x14ac:dyDescent="0.25">
      <c r="B81" s="2" t="s">
        <v>304</v>
      </c>
      <c r="C81" s="2" t="s">
        <v>305</v>
      </c>
      <c r="D81" s="2" t="s">
        <v>71</v>
      </c>
      <c r="E81" s="2" t="s">
        <v>298</v>
      </c>
      <c r="F81" s="2" t="s">
        <v>151</v>
      </c>
      <c r="G81" s="16" t="s">
        <v>135</v>
      </c>
      <c r="H81" s="2" t="s">
        <v>152</v>
      </c>
      <c r="I81" s="16" t="s">
        <v>126</v>
      </c>
      <c r="J81" s="17">
        <v>1000</v>
      </c>
      <c r="K81" s="18">
        <v>1.07</v>
      </c>
      <c r="L81" s="19">
        <f>IFERROR(SUMIFS(TblSupply[PurchasePrice_CLP],TblSupply[ProductID],B81,TblSupply[SupplierRole],"Primary"),"")</f>
        <v>700</v>
      </c>
      <c r="M81" s="20">
        <f t="shared" si="4"/>
        <v>300</v>
      </c>
      <c r="N81" s="21">
        <f t="shared" si="5"/>
        <v>0.3</v>
      </c>
    </row>
    <row r="82" spans="2:14" x14ac:dyDescent="0.25">
      <c r="B82" s="2" t="s">
        <v>306</v>
      </c>
      <c r="C82" s="2" t="s">
        <v>307</v>
      </c>
      <c r="D82" s="2" t="s">
        <v>71</v>
      </c>
      <c r="E82" s="2" t="s">
        <v>298</v>
      </c>
      <c r="F82" s="2" t="s">
        <v>151</v>
      </c>
      <c r="G82" s="16" t="s">
        <v>135</v>
      </c>
      <c r="H82" s="2" t="s">
        <v>189</v>
      </c>
      <c r="I82" s="16" t="s">
        <v>126</v>
      </c>
      <c r="J82" s="17">
        <v>1000</v>
      </c>
      <c r="K82" s="18">
        <v>1.07</v>
      </c>
      <c r="L82" s="19">
        <f>IFERROR(SUMIFS(TblSupply[PurchasePrice_CLP],TblSupply[ProductID],B82,TblSupply[SupplierRole],"Primary"),"")</f>
        <v>700</v>
      </c>
      <c r="M82" s="20">
        <f t="shared" si="4"/>
        <v>300</v>
      </c>
      <c r="N82" s="21">
        <f t="shared" si="5"/>
        <v>0.3</v>
      </c>
    </row>
    <row r="83" spans="2:14" x14ac:dyDescent="0.25">
      <c r="B83" s="2" t="s">
        <v>308</v>
      </c>
      <c r="C83" s="2" t="s">
        <v>309</v>
      </c>
      <c r="D83" s="2" t="s">
        <v>71</v>
      </c>
      <c r="E83" s="2" t="s">
        <v>177</v>
      </c>
      <c r="F83" s="2" t="s">
        <v>151</v>
      </c>
      <c r="G83" s="16" t="s">
        <v>135</v>
      </c>
      <c r="H83" s="2" t="s">
        <v>152</v>
      </c>
      <c r="I83" s="16" t="s">
        <v>126</v>
      </c>
      <c r="J83" s="17">
        <v>1000</v>
      </c>
      <c r="K83" s="18">
        <v>1.07</v>
      </c>
      <c r="L83" s="19">
        <f>IFERROR(SUMIFS(TblSupply[PurchasePrice_CLP],TblSupply[ProductID],B83,TblSupply[SupplierRole],"Primary"),"")</f>
        <v>650</v>
      </c>
      <c r="M83" s="20">
        <f t="shared" si="4"/>
        <v>350</v>
      </c>
      <c r="N83" s="21">
        <f t="shared" si="5"/>
        <v>0.35</v>
      </c>
    </row>
    <row r="84" spans="2:14" x14ac:dyDescent="0.25">
      <c r="B84" s="2" t="s">
        <v>310</v>
      </c>
      <c r="C84" s="2" t="s">
        <v>311</v>
      </c>
      <c r="D84" s="2" t="s">
        <v>71</v>
      </c>
      <c r="E84" s="2" t="s">
        <v>192</v>
      </c>
      <c r="F84" s="2" t="s">
        <v>151</v>
      </c>
      <c r="G84" s="16" t="s">
        <v>135</v>
      </c>
      <c r="H84" s="2" t="s">
        <v>152</v>
      </c>
      <c r="I84" s="16" t="s">
        <v>129</v>
      </c>
      <c r="J84" s="17">
        <v>500</v>
      </c>
      <c r="K84" s="18">
        <v>0.53</v>
      </c>
      <c r="L84" s="19">
        <f>IFERROR(SUMIFS(TblSupply[PurchasePrice_CLP],TblSupply[ProductID],B84,TblSupply[SupplierRole],"Primary"),"")</f>
        <v>350</v>
      </c>
      <c r="M84" s="20">
        <f t="shared" si="4"/>
        <v>150</v>
      </c>
      <c r="N84" s="21">
        <f t="shared" si="5"/>
        <v>0.3</v>
      </c>
    </row>
    <row r="85" spans="2:14" x14ac:dyDescent="0.25">
      <c r="B85" s="2" t="s">
        <v>312</v>
      </c>
      <c r="C85" s="2" t="s">
        <v>313</v>
      </c>
      <c r="D85" s="2" t="s">
        <v>71</v>
      </c>
      <c r="E85" s="2" t="s">
        <v>177</v>
      </c>
      <c r="F85" s="2" t="s">
        <v>151</v>
      </c>
      <c r="G85" s="16" t="s">
        <v>135</v>
      </c>
      <c r="H85" s="2" t="s">
        <v>152</v>
      </c>
      <c r="I85" s="16" t="s">
        <v>132</v>
      </c>
      <c r="J85" s="17">
        <v>1000</v>
      </c>
      <c r="K85" s="18">
        <v>1.07</v>
      </c>
      <c r="L85" s="19">
        <f>IFERROR(SUMIFS(TblSupply[PurchasePrice_CLP],TblSupply[ProductID],B85,TblSupply[SupplierRole],"Primary"),"")</f>
        <v>700</v>
      </c>
      <c r="M85" s="20">
        <f t="shared" si="4"/>
        <v>300</v>
      </c>
      <c r="N85" s="21">
        <f t="shared" si="5"/>
        <v>0.3</v>
      </c>
    </row>
    <row r="86" spans="2:14" x14ac:dyDescent="0.25">
      <c r="B86" s="2" t="s">
        <v>314</v>
      </c>
      <c r="C86" s="2" t="s">
        <v>315</v>
      </c>
      <c r="D86" s="2" t="s">
        <v>71</v>
      </c>
      <c r="E86" s="2" t="s">
        <v>192</v>
      </c>
      <c r="F86" s="2" t="s">
        <v>151</v>
      </c>
      <c r="G86" s="16" t="s">
        <v>135</v>
      </c>
      <c r="H86" s="2" t="s">
        <v>152</v>
      </c>
      <c r="I86" s="16" t="s">
        <v>126</v>
      </c>
      <c r="J86" s="17">
        <v>500</v>
      </c>
      <c r="K86" s="18">
        <v>0.53</v>
      </c>
      <c r="L86" s="19">
        <f>IFERROR(SUMIFS(TblSupply[PurchasePrice_CLP],TblSupply[ProductID],B86,TblSupply[SupplierRole],"Primary"),"")</f>
        <v>350</v>
      </c>
      <c r="M86" s="20">
        <f t="shared" si="4"/>
        <v>150</v>
      </c>
      <c r="N86" s="21">
        <f t="shared" si="5"/>
        <v>0.3</v>
      </c>
    </row>
    <row r="87" spans="2:14" x14ac:dyDescent="0.25">
      <c r="B87" s="2" t="s">
        <v>316</v>
      </c>
      <c r="C87" s="2" t="s">
        <v>317</v>
      </c>
      <c r="D87" s="2" t="s">
        <v>71</v>
      </c>
      <c r="E87" s="2" t="s">
        <v>177</v>
      </c>
      <c r="F87" s="2" t="s">
        <v>151</v>
      </c>
      <c r="G87" s="16" t="s">
        <v>135</v>
      </c>
      <c r="H87" s="2" t="s">
        <v>189</v>
      </c>
      <c r="I87" s="16" t="s">
        <v>126</v>
      </c>
      <c r="J87" s="17">
        <v>1000</v>
      </c>
      <c r="K87" s="18">
        <v>1.07</v>
      </c>
      <c r="L87" s="19">
        <f>IFERROR(SUMIFS(TblSupply[PurchasePrice_CLP],TblSupply[ProductID],B87,TblSupply[SupplierRole],"Primary"),"")</f>
        <v>700</v>
      </c>
      <c r="M87" s="20">
        <f t="shared" si="4"/>
        <v>300</v>
      </c>
      <c r="N87" s="21">
        <f t="shared" si="5"/>
        <v>0.3</v>
      </c>
    </row>
    <row r="88" spans="2:14" x14ac:dyDescent="0.25">
      <c r="B88" s="2" t="s">
        <v>318</v>
      </c>
      <c r="C88" s="2" t="s">
        <v>319</v>
      </c>
      <c r="D88" s="2" t="s">
        <v>71</v>
      </c>
      <c r="E88" s="2" t="s">
        <v>177</v>
      </c>
      <c r="F88" s="2" t="s">
        <v>151</v>
      </c>
      <c r="G88" s="16" t="s">
        <v>135</v>
      </c>
      <c r="H88" s="2" t="s">
        <v>189</v>
      </c>
      <c r="I88" s="16" t="s">
        <v>126</v>
      </c>
      <c r="J88" s="17">
        <v>1000</v>
      </c>
      <c r="K88" s="18">
        <v>1.07</v>
      </c>
      <c r="L88" s="19">
        <f>IFERROR(SUMIFS(TblSupply[PurchasePrice_CLP],TblSupply[ProductID],B88,TblSupply[SupplierRole],"Primary"),"")</f>
        <v>700</v>
      </c>
      <c r="M88" s="20">
        <f t="shared" si="4"/>
        <v>300</v>
      </c>
      <c r="N88" s="21">
        <f t="shared" si="5"/>
        <v>0.3</v>
      </c>
    </row>
    <row r="89" spans="2:14" x14ac:dyDescent="0.25">
      <c r="B89" s="2" t="s">
        <v>320</v>
      </c>
      <c r="C89" s="2" t="s">
        <v>321</v>
      </c>
      <c r="D89" s="2" t="s">
        <v>71</v>
      </c>
      <c r="E89" s="2" t="s">
        <v>177</v>
      </c>
      <c r="F89" s="2" t="s">
        <v>151</v>
      </c>
      <c r="G89" s="16" t="s">
        <v>135</v>
      </c>
      <c r="H89" s="2" t="s">
        <v>152</v>
      </c>
      <c r="I89" s="16" t="s">
        <v>126</v>
      </c>
      <c r="J89" s="17">
        <v>1000</v>
      </c>
      <c r="K89" s="18">
        <v>1.07</v>
      </c>
      <c r="L89" s="19">
        <f>IFERROR(SUMIFS(TblSupply[PurchasePrice_CLP],TblSupply[ProductID],B89,TblSupply[SupplierRole],"Primary"),"")</f>
        <v>650</v>
      </c>
      <c r="M89" s="20">
        <f t="shared" si="4"/>
        <v>350</v>
      </c>
      <c r="N89" s="21">
        <f t="shared" si="5"/>
        <v>0.35</v>
      </c>
    </row>
    <row r="90" spans="2:14" x14ac:dyDescent="0.25">
      <c r="B90" s="2" t="s">
        <v>322</v>
      </c>
      <c r="C90" s="2" t="s">
        <v>323</v>
      </c>
      <c r="D90" s="2" t="s">
        <v>71</v>
      </c>
      <c r="E90" s="2" t="s">
        <v>192</v>
      </c>
      <c r="F90" s="2" t="s">
        <v>151</v>
      </c>
      <c r="G90" s="16" t="s">
        <v>135</v>
      </c>
      <c r="H90" s="2" t="s">
        <v>152</v>
      </c>
      <c r="I90" s="16" t="s">
        <v>132</v>
      </c>
      <c r="J90" s="17">
        <v>500</v>
      </c>
      <c r="K90" s="18">
        <v>0.53</v>
      </c>
      <c r="L90" s="19">
        <f>IFERROR(SUMIFS(TblSupply[PurchasePrice_CLP],TblSupply[ProductID],B90,TblSupply[SupplierRole],"Primary"),"")</f>
        <v>350</v>
      </c>
      <c r="M90" s="20">
        <f t="shared" si="4"/>
        <v>150</v>
      </c>
      <c r="N90" s="21">
        <f t="shared" si="5"/>
        <v>0.3</v>
      </c>
    </row>
    <row r="91" spans="2:14" x14ac:dyDescent="0.25">
      <c r="B91" s="2" t="s">
        <v>324</v>
      </c>
      <c r="C91" s="2" t="s">
        <v>325</v>
      </c>
      <c r="D91" s="2" t="s">
        <v>71</v>
      </c>
      <c r="E91" s="2" t="s">
        <v>177</v>
      </c>
      <c r="F91" s="2" t="s">
        <v>151</v>
      </c>
      <c r="G91" s="16" t="s">
        <v>135</v>
      </c>
      <c r="H91" s="2" t="s">
        <v>152</v>
      </c>
      <c r="I91" s="16" t="s">
        <v>132</v>
      </c>
      <c r="J91" s="17">
        <v>1000</v>
      </c>
      <c r="K91" s="18">
        <v>1.07</v>
      </c>
      <c r="L91" s="19">
        <f>IFERROR(SUMIFS(TblSupply[PurchasePrice_CLP],TblSupply[ProductID],B91,TblSupply[SupplierRole],"Primary"),"")</f>
        <v>650</v>
      </c>
      <c r="M91" s="20">
        <f t="shared" si="4"/>
        <v>350</v>
      </c>
      <c r="N91" s="21">
        <f t="shared" si="5"/>
        <v>0.35</v>
      </c>
    </row>
    <row r="92" spans="2:14" x14ac:dyDescent="0.25">
      <c r="B92" s="2" t="s">
        <v>326</v>
      </c>
      <c r="C92" s="2" t="s">
        <v>327</v>
      </c>
      <c r="D92" s="2" t="s">
        <v>71</v>
      </c>
      <c r="E92" s="2" t="s">
        <v>192</v>
      </c>
      <c r="F92" s="2" t="s">
        <v>151</v>
      </c>
      <c r="G92" s="16" t="s">
        <v>135</v>
      </c>
      <c r="H92" s="2" t="s">
        <v>152</v>
      </c>
      <c r="I92" s="16" t="s">
        <v>129</v>
      </c>
      <c r="J92" s="17">
        <v>500</v>
      </c>
      <c r="K92" s="18">
        <v>0.53</v>
      </c>
      <c r="L92" s="19">
        <f>IFERROR(SUMIFS(TblSupply[PurchasePrice_CLP],TblSupply[ProductID],B92,TblSupply[SupplierRole],"Primary"),"")</f>
        <v>350</v>
      </c>
      <c r="M92" s="20">
        <f t="shared" si="4"/>
        <v>150</v>
      </c>
      <c r="N92" s="21">
        <f t="shared" si="5"/>
        <v>0.3</v>
      </c>
    </row>
    <row r="93" spans="2:14" x14ac:dyDescent="0.25">
      <c r="B93" s="2" t="s">
        <v>328</v>
      </c>
      <c r="C93" s="2" t="s">
        <v>329</v>
      </c>
      <c r="D93" s="2" t="s">
        <v>71</v>
      </c>
      <c r="E93" s="2" t="s">
        <v>177</v>
      </c>
      <c r="F93" s="2" t="s">
        <v>151</v>
      </c>
      <c r="G93" s="16" t="s">
        <v>135</v>
      </c>
      <c r="H93" s="2" t="s">
        <v>152</v>
      </c>
      <c r="I93" s="16" t="s">
        <v>132</v>
      </c>
      <c r="J93" s="17">
        <v>1000</v>
      </c>
      <c r="K93" s="18">
        <v>1.07</v>
      </c>
      <c r="L93" s="19">
        <f>IFERROR(SUMIFS(TblSupply[PurchasePrice_CLP],TblSupply[ProductID],B93,TblSupply[SupplierRole],"Primary"),"")</f>
        <v>650</v>
      </c>
      <c r="M93" s="20">
        <f t="shared" si="4"/>
        <v>350</v>
      </c>
      <c r="N93" s="21">
        <f t="shared" si="5"/>
        <v>0.35</v>
      </c>
    </row>
    <row r="94" spans="2:14" x14ac:dyDescent="0.25">
      <c r="B94" s="2" t="s">
        <v>330</v>
      </c>
      <c r="C94" s="2" t="s">
        <v>331</v>
      </c>
      <c r="D94" s="2" t="s">
        <v>71</v>
      </c>
      <c r="E94" s="2" t="s">
        <v>177</v>
      </c>
      <c r="F94" s="2" t="s">
        <v>151</v>
      </c>
      <c r="G94" s="16" t="s">
        <v>135</v>
      </c>
      <c r="H94" s="2" t="s">
        <v>152</v>
      </c>
      <c r="I94" s="16" t="s">
        <v>126</v>
      </c>
      <c r="J94" s="17">
        <v>1000</v>
      </c>
      <c r="K94" s="18">
        <v>1.07</v>
      </c>
      <c r="L94" s="19">
        <f>IFERROR(SUMIFS(TblSupply[PurchasePrice_CLP],TblSupply[ProductID],B94,TblSupply[SupplierRole],"Primary"),"")</f>
        <v>700</v>
      </c>
      <c r="M94" s="20">
        <f t="shared" si="4"/>
        <v>300</v>
      </c>
      <c r="N94" s="21">
        <f t="shared" si="5"/>
        <v>0.3</v>
      </c>
    </row>
    <row r="95" spans="2:14" x14ac:dyDescent="0.25">
      <c r="B95" s="2" t="s">
        <v>332</v>
      </c>
      <c r="C95" s="2" t="s">
        <v>333</v>
      </c>
      <c r="D95" s="2" t="s">
        <v>334</v>
      </c>
      <c r="E95" s="2" t="s">
        <v>123</v>
      </c>
      <c r="F95" s="2" t="s">
        <v>124</v>
      </c>
      <c r="G95" s="16" t="s">
        <v>125</v>
      </c>
      <c r="H95" s="2" t="s">
        <v>189</v>
      </c>
      <c r="I95" s="16" t="s">
        <v>132</v>
      </c>
      <c r="J95" s="17">
        <v>7500</v>
      </c>
      <c r="K95" s="18">
        <v>8.02</v>
      </c>
      <c r="L95" s="19">
        <f>IFERROR(SUMIFS(TblSupply[PurchasePrice_CLP],TblSupply[ProductID],B95,TblSupply[SupplierRole],"Primary"),"")</f>
        <v>5350</v>
      </c>
      <c r="M95" s="20">
        <f t="shared" si="4"/>
        <v>2150</v>
      </c>
      <c r="N95" s="21">
        <f t="shared" si="5"/>
        <v>0.28666666666666668</v>
      </c>
    </row>
    <row r="96" spans="2:14" x14ac:dyDescent="0.25">
      <c r="B96" s="2" t="s">
        <v>335</v>
      </c>
      <c r="C96" s="2" t="s">
        <v>336</v>
      </c>
      <c r="D96" s="2" t="s">
        <v>334</v>
      </c>
      <c r="E96" s="2" t="s">
        <v>123</v>
      </c>
      <c r="F96" s="2" t="s">
        <v>124</v>
      </c>
      <c r="G96" s="16" t="s">
        <v>135</v>
      </c>
      <c r="H96" s="2" t="s">
        <v>189</v>
      </c>
      <c r="I96" s="16" t="s">
        <v>132</v>
      </c>
      <c r="J96" s="17">
        <v>7000</v>
      </c>
      <c r="K96" s="18">
        <v>7.49</v>
      </c>
      <c r="L96" s="19">
        <f>IFERROR(SUMIFS(TblSupply[PurchasePrice_CLP],TblSupply[ProductID],B96,TblSupply[SupplierRole],"Primary"),"")</f>
        <v>5150</v>
      </c>
      <c r="M96" s="20">
        <f t="shared" si="4"/>
        <v>1850</v>
      </c>
      <c r="N96" s="21">
        <f t="shared" si="5"/>
        <v>0.26428571428571429</v>
      </c>
    </row>
    <row r="97" spans="2:14" x14ac:dyDescent="0.25">
      <c r="B97" s="2" t="s">
        <v>337</v>
      </c>
      <c r="C97" s="2" t="s">
        <v>338</v>
      </c>
      <c r="D97" s="2" t="s">
        <v>334</v>
      </c>
      <c r="E97" s="2" t="s">
        <v>123</v>
      </c>
      <c r="F97" s="2" t="s">
        <v>124</v>
      </c>
      <c r="G97" s="16" t="s">
        <v>135</v>
      </c>
      <c r="H97" s="2" t="s">
        <v>189</v>
      </c>
      <c r="I97" s="16" t="s">
        <v>132</v>
      </c>
      <c r="J97" s="17">
        <v>8000</v>
      </c>
      <c r="K97" s="18">
        <v>8.56</v>
      </c>
      <c r="L97" s="19">
        <f>IFERROR(SUMIFS(TblSupply[PurchasePrice_CLP],TblSupply[ProductID],B97,TblSupply[SupplierRole],"Primary"),"")</f>
        <v>6000</v>
      </c>
      <c r="M97" s="20">
        <f t="shared" si="4"/>
        <v>2000</v>
      </c>
      <c r="N97" s="21">
        <f t="shared" si="5"/>
        <v>0.25</v>
      </c>
    </row>
    <row r="98" spans="2:14" x14ac:dyDescent="0.25">
      <c r="B98" s="2" t="s">
        <v>339</v>
      </c>
      <c r="C98" s="2" t="s">
        <v>340</v>
      </c>
      <c r="D98" s="2" t="s">
        <v>341</v>
      </c>
      <c r="E98" s="2" t="s">
        <v>123</v>
      </c>
      <c r="F98" s="2" t="s">
        <v>124</v>
      </c>
      <c r="G98" s="16" t="s">
        <v>125</v>
      </c>
      <c r="H98" s="2" t="s">
        <v>189</v>
      </c>
      <c r="I98" s="16" t="s">
        <v>132</v>
      </c>
      <c r="J98" s="17">
        <v>4500</v>
      </c>
      <c r="K98" s="18">
        <v>4.8099999999999996</v>
      </c>
      <c r="L98" s="19">
        <f>IFERROR(SUMIFS(TblSupply[PurchasePrice_CLP],TblSupply[ProductID],B98,TblSupply[SupplierRole],"Primary"),"")</f>
        <v>3400</v>
      </c>
      <c r="M98" s="20">
        <f t="shared" si="4"/>
        <v>1100</v>
      </c>
      <c r="N98" s="21">
        <f t="shared" si="5"/>
        <v>0.24444444444444444</v>
      </c>
    </row>
    <row r="99" spans="2:14" x14ac:dyDescent="0.25">
      <c r="B99" s="2" t="s">
        <v>342</v>
      </c>
      <c r="C99" s="2" t="s">
        <v>343</v>
      </c>
      <c r="D99" s="2" t="s">
        <v>341</v>
      </c>
      <c r="E99" s="2" t="s">
        <v>123</v>
      </c>
      <c r="F99" s="2" t="s">
        <v>124</v>
      </c>
      <c r="G99" s="16" t="s">
        <v>135</v>
      </c>
      <c r="H99" s="2" t="s">
        <v>189</v>
      </c>
      <c r="I99" s="16" t="s">
        <v>132</v>
      </c>
      <c r="J99" s="17">
        <v>5500</v>
      </c>
      <c r="K99" s="18">
        <v>5.88</v>
      </c>
      <c r="L99" s="19">
        <f>IFERROR(SUMIFS(TblSupply[PurchasePrice_CLP],TblSupply[ProductID],B99,TblSupply[SupplierRole],"Primary"),"")</f>
        <v>4150</v>
      </c>
      <c r="M99" s="20">
        <f t="shared" si="4"/>
        <v>1350</v>
      </c>
      <c r="N99" s="21">
        <f t="shared" si="5"/>
        <v>0.24545454545454545</v>
      </c>
    </row>
    <row r="100" spans="2:14" x14ac:dyDescent="0.25">
      <c r="B100" s="2" t="s">
        <v>344</v>
      </c>
      <c r="C100" s="2" t="s">
        <v>345</v>
      </c>
      <c r="D100" s="2" t="s">
        <v>341</v>
      </c>
      <c r="E100" s="2" t="s">
        <v>123</v>
      </c>
      <c r="F100" s="2" t="s">
        <v>124</v>
      </c>
      <c r="G100" s="16" t="s">
        <v>125</v>
      </c>
      <c r="H100" s="2" t="s">
        <v>189</v>
      </c>
      <c r="I100" s="16" t="s">
        <v>132</v>
      </c>
      <c r="J100" s="17">
        <v>6000</v>
      </c>
      <c r="K100" s="18">
        <v>6.42</v>
      </c>
      <c r="L100" s="19">
        <f>IFERROR(SUMIFS(TblSupply[PurchasePrice_CLP],TblSupply[ProductID],B100,TblSupply[SupplierRole],"Primary"),"")</f>
        <v>4200</v>
      </c>
      <c r="M100" s="20">
        <f t="shared" ref="M100:M131" si="6">IF(L100="","",J100-L100)</f>
        <v>1800</v>
      </c>
      <c r="N100" s="21">
        <f t="shared" ref="N100:N131" si="7">IF(L100="","",M100/J100)</f>
        <v>0.3</v>
      </c>
    </row>
    <row r="101" spans="2:14" x14ac:dyDescent="0.25">
      <c r="B101" s="2" t="s">
        <v>346</v>
      </c>
      <c r="C101" s="2" t="s">
        <v>347</v>
      </c>
      <c r="D101" s="2" t="s">
        <v>341</v>
      </c>
      <c r="E101" s="2" t="s">
        <v>123</v>
      </c>
      <c r="F101" s="2" t="s">
        <v>124</v>
      </c>
      <c r="G101" s="16" t="s">
        <v>135</v>
      </c>
      <c r="H101" s="2" t="s">
        <v>189</v>
      </c>
      <c r="I101" s="16" t="s">
        <v>126</v>
      </c>
      <c r="J101" s="17">
        <v>5000</v>
      </c>
      <c r="K101" s="18">
        <v>5.35</v>
      </c>
      <c r="L101" s="19">
        <f>IFERROR(SUMIFS(TblSupply[PurchasePrice_CLP],TblSupply[ProductID],B101,TblSupply[SupplierRole],"Primary"),"")</f>
        <v>3600</v>
      </c>
      <c r="M101" s="20">
        <f t="shared" si="6"/>
        <v>1400</v>
      </c>
      <c r="N101" s="21">
        <f t="shared" si="7"/>
        <v>0.28000000000000003</v>
      </c>
    </row>
    <row r="102" spans="2:14" x14ac:dyDescent="0.25">
      <c r="B102" s="2" t="s">
        <v>348</v>
      </c>
      <c r="C102" s="2" t="s">
        <v>349</v>
      </c>
      <c r="D102" s="2" t="s">
        <v>341</v>
      </c>
      <c r="E102" s="2" t="s">
        <v>123</v>
      </c>
      <c r="F102" s="2" t="s">
        <v>124</v>
      </c>
      <c r="G102" s="16" t="s">
        <v>135</v>
      </c>
      <c r="H102" s="2" t="s">
        <v>189</v>
      </c>
      <c r="I102" s="16" t="s">
        <v>126</v>
      </c>
      <c r="J102" s="17">
        <v>7000</v>
      </c>
      <c r="K102" s="18">
        <v>7.49</v>
      </c>
      <c r="L102" s="19">
        <f>IFERROR(SUMIFS(TblSupply[PurchasePrice_CLP],TblSupply[ProductID],B102,TblSupply[SupplierRole],"Primary"),"")</f>
        <v>5000</v>
      </c>
      <c r="M102" s="20">
        <f t="shared" si="6"/>
        <v>2000</v>
      </c>
      <c r="N102" s="21">
        <f t="shared" si="7"/>
        <v>0.2857142857142857</v>
      </c>
    </row>
    <row r="103" spans="2:14" x14ac:dyDescent="0.25">
      <c r="B103" s="2" t="s">
        <v>350</v>
      </c>
      <c r="C103" s="2" t="s">
        <v>351</v>
      </c>
      <c r="D103" s="2" t="s">
        <v>341</v>
      </c>
      <c r="E103" s="2" t="s">
        <v>123</v>
      </c>
      <c r="F103" s="2" t="s">
        <v>124</v>
      </c>
      <c r="G103" s="16" t="s">
        <v>135</v>
      </c>
      <c r="H103" s="2" t="s">
        <v>189</v>
      </c>
      <c r="I103" s="16" t="s">
        <v>126</v>
      </c>
      <c r="J103" s="17">
        <v>6500</v>
      </c>
      <c r="K103" s="18">
        <v>6.95</v>
      </c>
      <c r="L103" s="19">
        <f>IFERROR(SUMIFS(TblSupply[PurchasePrice_CLP],TblSupply[ProductID],B103,TblSupply[SupplierRole],"Primary"),"")</f>
        <v>4500</v>
      </c>
      <c r="M103" s="20">
        <f t="shared" si="6"/>
        <v>2000</v>
      </c>
      <c r="N103" s="21">
        <f t="shared" si="7"/>
        <v>0.30769230769230771</v>
      </c>
    </row>
    <row r="104" spans="2:14" x14ac:dyDescent="0.25">
      <c r="B104" s="2" t="s">
        <v>352</v>
      </c>
      <c r="C104" s="2" t="s">
        <v>353</v>
      </c>
      <c r="D104" s="2" t="s">
        <v>341</v>
      </c>
      <c r="E104" s="2" t="s">
        <v>123</v>
      </c>
      <c r="F104" s="2" t="s">
        <v>124</v>
      </c>
      <c r="G104" s="16" t="s">
        <v>135</v>
      </c>
      <c r="H104" s="2" t="s">
        <v>189</v>
      </c>
      <c r="I104" s="16" t="s">
        <v>126</v>
      </c>
      <c r="J104" s="17">
        <v>5500</v>
      </c>
      <c r="K104" s="18">
        <v>5.88</v>
      </c>
      <c r="L104" s="19">
        <f>IFERROR(SUMIFS(TblSupply[PurchasePrice_CLP],TblSupply[ProductID],B104,TblSupply[SupplierRole],"Primary"),"")</f>
        <v>3850</v>
      </c>
      <c r="M104" s="20">
        <f t="shared" si="6"/>
        <v>1650</v>
      </c>
      <c r="N104" s="21">
        <f t="shared" si="7"/>
        <v>0.3</v>
      </c>
    </row>
    <row r="105" spans="2:14" x14ac:dyDescent="0.25">
      <c r="B105" s="2" t="s">
        <v>354</v>
      </c>
      <c r="C105" s="2" t="s">
        <v>355</v>
      </c>
      <c r="D105" s="2" t="s">
        <v>341</v>
      </c>
      <c r="E105" s="2" t="s">
        <v>123</v>
      </c>
      <c r="F105" s="2" t="s">
        <v>124</v>
      </c>
      <c r="G105" s="16" t="s">
        <v>135</v>
      </c>
      <c r="H105" s="2" t="s">
        <v>189</v>
      </c>
      <c r="I105" s="16" t="s">
        <v>132</v>
      </c>
      <c r="J105" s="17">
        <v>6500</v>
      </c>
      <c r="K105" s="18">
        <v>6.95</v>
      </c>
      <c r="L105" s="19">
        <f>IFERROR(SUMIFS(TblSupply[PurchasePrice_CLP],TblSupply[ProductID],B105,TblSupply[SupplierRole],"Primary"),"")</f>
        <v>4550</v>
      </c>
      <c r="M105" s="20">
        <f t="shared" si="6"/>
        <v>1950</v>
      </c>
      <c r="N105" s="21">
        <f t="shared" si="7"/>
        <v>0.3</v>
      </c>
    </row>
    <row r="106" spans="2:14" x14ac:dyDescent="0.25">
      <c r="B106" s="2" t="s">
        <v>356</v>
      </c>
      <c r="C106" s="2" t="s">
        <v>357</v>
      </c>
      <c r="D106" s="2" t="s">
        <v>341</v>
      </c>
      <c r="E106" s="2" t="s">
        <v>123</v>
      </c>
      <c r="F106" s="2" t="s">
        <v>124</v>
      </c>
      <c r="G106" s="16" t="s">
        <v>135</v>
      </c>
      <c r="H106" s="2" t="s">
        <v>189</v>
      </c>
      <c r="I106" s="16" t="s">
        <v>126</v>
      </c>
      <c r="J106" s="17">
        <v>8500</v>
      </c>
      <c r="K106" s="18">
        <v>9.09</v>
      </c>
      <c r="L106" s="19">
        <f>IFERROR(SUMIFS(TblSupply[PurchasePrice_CLP],TblSupply[ProductID],B106,TblSupply[SupplierRole],"Primary"),"")</f>
        <v>6400</v>
      </c>
      <c r="M106" s="20">
        <f t="shared" si="6"/>
        <v>2100</v>
      </c>
      <c r="N106" s="21">
        <f t="shared" si="7"/>
        <v>0.24705882352941178</v>
      </c>
    </row>
    <row r="107" spans="2:14" x14ac:dyDescent="0.25">
      <c r="B107" s="2" t="s">
        <v>358</v>
      </c>
      <c r="C107" s="2" t="s">
        <v>359</v>
      </c>
      <c r="D107" s="2" t="s">
        <v>341</v>
      </c>
      <c r="E107" s="2" t="s">
        <v>123</v>
      </c>
      <c r="F107" s="2" t="s">
        <v>124</v>
      </c>
      <c r="G107" s="16" t="s">
        <v>135</v>
      </c>
      <c r="H107" s="2" t="s">
        <v>189</v>
      </c>
      <c r="I107" s="16" t="s">
        <v>132</v>
      </c>
      <c r="J107" s="17">
        <v>7500</v>
      </c>
      <c r="K107" s="18">
        <v>8.02</v>
      </c>
      <c r="L107" s="19">
        <f>IFERROR(SUMIFS(TblSupply[PurchasePrice_CLP],TblSupply[ProductID],B107,TblSupply[SupplierRole],"Primary"),"")</f>
        <v>5400</v>
      </c>
      <c r="M107" s="20">
        <f t="shared" si="6"/>
        <v>2100</v>
      </c>
      <c r="N107" s="21">
        <f t="shared" si="7"/>
        <v>0.28000000000000003</v>
      </c>
    </row>
    <row r="108" spans="2:14" x14ac:dyDescent="0.25">
      <c r="B108" s="2" t="s">
        <v>360</v>
      </c>
      <c r="C108" s="2" t="s">
        <v>361</v>
      </c>
      <c r="D108" s="2" t="s">
        <v>341</v>
      </c>
      <c r="E108" s="2" t="s">
        <v>123</v>
      </c>
      <c r="F108" s="2" t="s">
        <v>124</v>
      </c>
      <c r="G108" s="16" t="s">
        <v>135</v>
      </c>
      <c r="H108" s="2" t="s">
        <v>152</v>
      </c>
      <c r="I108" s="16" t="s">
        <v>129</v>
      </c>
      <c r="J108" s="17">
        <v>6000</v>
      </c>
      <c r="K108" s="18">
        <v>6.42</v>
      </c>
      <c r="L108" s="19">
        <f>IFERROR(SUMIFS(TblSupply[PurchasePrice_CLP],TblSupply[ProductID],B108,TblSupply[SupplierRole],"Primary"),"")</f>
        <v>4300</v>
      </c>
      <c r="M108" s="20">
        <f t="shared" si="6"/>
        <v>1700</v>
      </c>
      <c r="N108" s="21">
        <f t="shared" si="7"/>
        <v>0.28333333333333333</v>
      </c>
    </row>
    <row r="109" spans="2:14" x14ac:dyDescent="0.25">
      <c r="B109" s="2" t="s">
        <v>362</v>
      </c>
      <c r="C109" s="2" t="s">
        <v>363</v>
      </c>
      <c r="D109" s="2" t="s">
        <v>341</v>
      </c>
      <c r="E109" s="2" t="s">
        <v>123</v>
      </c>
      <c r="F109" s="2" t="s">
        <v>124</v>
      </c>
      <c r="G109" s="16" t="s">
        <v>135</v>
      </c>
      <c r="H109" s="2" t="s">
        <v>152</v>
      </c>
      <c r="I109" s="16" t="s">
        <v>126</v>
      </c>
      <c r="J109" s="17">
        <v>9000</v>
      </c>
      <c r="K109" s="18">
        <v>9.6300000000000008</v>
      </c>
      <c r="L109" s="19">
        <f>IFERROR(SUMIFS(TblSupply[PurchasePrice_CLP],TblSupply[ProductID],B109,TblSupply[SupplierRole],"Primary"),"")</f>
        <v>6500</v>
      </c>
      <c r="M109" s="20">
        <f t="shared" si="6"/>
        <v>2500</v>
      </c>
      <c r="N109" s="21">
        <f t="shared" si="7"/>
        <v>0.27777777777777779</v>
      </c>
    </row>
    <row r="110" spans="2:14" x14ac:dyDescent="0.25">
      <c r="B110" s="2" t="s">
        <v>364</v>
      </c>
      <c r="C110" s="2" t="s">
        <v>365</v>
      </c>
      <c r="D110" s="2" t="s">
        <v>366</v>
      </c>
      <c r="E110" s="2" t="s">
        <v>123</v>
      </c>
      <c r="F110" s="2" t="s">
        <v>124</v>
      </c>
      <c r="G110" s="16" t="s">
        <v>135</v>
      </c>
      <c r="H110" s="2" t="s">
        <v>152</v>
      </c>
      <c r="I110" s="16" t="s">
        <v>126</v>
      </c>
      <c r="J110" s="17">
        <v>8000</v>
      </c>
      <c r="K110" s="18">
        <v>8.56</v>
      </c>
      <c r="L110" s="19">
        <f>IFERROR(SUMIFS(TblSupply[PurchasePrice_CLP],TblSupply[ProductID],B110,TblSupply[SupplierRole],"Primary"),"")</f>
        <v>5850</v>
      </c>
      <c r="M110" s="20">
        <f t="shared" si="6"/>
        <v>2150</v>
      </c>
      <c r="N110" s="21">
        <f t="shared" si="7"/>
        <v>0.26874999999999999</v>
      </c>
    </row>
    <row r="111" spans="2:14" x14ac:dyDescent="0.25">
      <c r="B111" s="2" t="s">
        <v>367</v>
      </c>
      <c r="C111" s="2" t="s">
        <v>368</v>
      </c>
      <c r="D111" s="2" t="s">
        <v>366</v>
      </c>
      <c r="E111" s="2" t="s">
        <v>123</v>
      </c>
      <c r="F111" s="2" t="s">
        <v>124</v>
      </c>
      <c r="G111" s="16" t="s">
        <v>135</v>
      </c>
      <c r="H111" s="2" t="s">
        <v>152</v>
      </c>
      <c r="I111" s="16" t="s">
        <v>132</v>
      </c>
      <c r="J111" s="17">
        <v>8500</v>
      </c>
      <c r="K111" s="18">
        <v>9.09</v>
      </c>
      <c r="L111" s="19">
        <f>IFERROR(SUMIFS(TblSupply[PurchasePrice_CLP],TblSupply[ProductID],B111,TblSupply[SupplierRole],"Primary"),"")</f>
        <v>6500</v>
      </c>
      <c r="M111" s="20">
        <f t="shared" si="6"/>
        <v>2000</v>
      </c>
      <c r="N111" s="21">
        <f t="shared" si="7"/>
        <v>0.23529411764705882</v>
      </c>
    </row>
    <row r="112" spans="2:14" x14ac:dyDescent="0.25">
      <c r="B112" s="2" t="s">
        <v>369</v>
      </c>
      <c r="C112" s="2" t="s">
        <v>370</v>
      </c>
      <c r="D112" s="2" t="s">
        <v>366</v>
      </c>
      <c r="E112" s="2" t="s">
        <v>123</v>
      </c>
      <c r="F112" s="2" t="s">
        <v>124</v>
      </c>
      <c r="G112" s="16" t="s">
        <v>135</v>
      </c>
      <c r="H112" s="2" t="s">
        <v>152</v>
      </c>
      <c r="I112" s="16" t="s">
        <v>126</v>
      </c>
      <c r="J112" s="17">
        <v>7500</v>
      </c>
      <c r="K112" s="18">
        <v>8.02</v>
      </c>
      <c r="L112" s="19">
        <f>IFERROR(SUMIFS(TblSupply[PurchasePrice_CLP],TblSupply[ProductID],B112,TblSupply[SupplierRole],"Primary"),"")</f>
        <v>5400</v>
      </c>
      <c r="M112" s="20">
        <f t="shared" si="6"/>
        <v>2100</v>
      </c>
      <c r="N112" s="21">
        <f t="shared" si="7"/>
        <v>0.28000000000000003</v>
      </c>
    </row>
    <row r="113" spans="2:14" x14ac:dyDescent="0.25">
      <c r="B113" s="2" t="s">
        <v>371</v>
      </c>
      <c r="C113" s="2" t="s">
        <v>372</v>
      </c>
      <c r="D113" s="2" t="s">
        <v>366</v>
      </c>
      <c r="E113" s="2" t="s">
        <v>123</v>
      </c>
      <c r="F113" s="2" t="s">
        <v>124</v>
      </c>
      <c r="G113" s="16" t="s">
        <v>135</v>
      </c>
      <c r="H113" s="2" t="s">
        <v>189</v>
      </c>
      <c r="I113" s="16" t="s">
        <v>126</v>
      </c>
      <c r="J113" s="17">
        <v>14000</v>
      </c>
      <c r="K113" s="18">
        <v>14.97</v>
      </c>
      <c r="L113" s="19">
        <f>IFERROR(SUMIFS(TblSupply[PurchasePrice_CLP],TblSupply[ProductID],B113,TblSupply[SupplierRole],"Primary"),"")</f>
        <v>9950</v>
      </c>
      <c r="M113" s="20">
        <f t="shared" si="6"/>
        <v>4050</v>
      </c>
      <c r="N113" s="21">
        <f t="shared" si="7"/>
        <v>0.28928571428571431</v>
      </c>
    </row>
    <row r="114" spans="2:14" x14ac:dyDescent="0.25">
      <c r="B114" s="2" t="s">
        <v>373</v>
      </c>
      <c r="C114" s="2" t="s">
        <v>374</v>
      </c>
      <c r="D114" s="2" t="s">
        <v>366</v>
      </c>
      <c r="E114" s="2" t="s">
        <v>123</v>
      </c>
      <c r="F114" s="2" t="s">
        <v>124</v>
      </c>
      <c r="G114" s="16" t="s">
        <v>135</v>
      </c>
      <c r="H114" s="2" t="s">
        <v>152</v>
      </c>
      <c r="I114" s="16" t="s">
        <v>126</v>
      </c>
      <c r="J114" s="17">
        <v>6500</v>
      </c>
      <c r="K114" s="18">
        <v>6.95</v>
      </c>
      <c r="L114" s="19">
        <f>IFERROR(SUMIFS(TblSupply[PurchasePrice_CLP],TblSupply[ProductID],B114,TblSupply[SupplierRole],"Primary"),"")</f>
        <v>4950</v>
      </c>
      <c r="M114" s="20">
        <f t="shared" si="6"/>
        <v>1550</v>
      </c>
      <c r="N114" s="21">
        <f t="shared" si="7"/>
        <v>0.23846153846153847</v>
      </c>
    </row>
    <row r="115" spans="2:14" x14ac:dyDescent="0.25">
      <c r="B115" s="2" t="s">
        <v>375</v>
      </c>
      <c r="C115" s="2" t="s">
        <v>376</v>
      </c>
      <c r="D115" s="2" t="s">
        <v>377</v>
      </c>
      <c r="E115" s="2" t="s">
        <v>378</v>
      </c>
      <c r="F115" s="2" t="s">
        <v>151</v>
      </c>
      <c r="G115" s="16" t="s">
        <v>135</v>
      </c>
      <c r="H115" s="2" t="s">
        <v>152</v>
      </c>
      <c r="I115" s="16" t="s">
        <v>126</v>
      </c>
      <c r="J115" s="17">
        <v>1500</v>
      </c>
      <c r="K115" s="18">
        <v>1.6</v>
      </c>
      <c r="L115" s="19">
        <f>IFERROR(SUMIFS(TblSupply[PurchasePrice_CLP],TblSupply[ProductID],B115,TblSupply[SupplierRole],"Primary"),"")</f>
        <v>1000</v>
      </c>
      <c r="M115" s="20">
        <f t="shared" si="6"/>
        <v>500</v>
      </c>
      <c r="N115" s="21">
        <f t="shared" si="7"/>
        <v>0.33333333333333331</v>
      </c>
    </row>
    <row r="116" spans="2:14" x14ac:dyDescent="0.25">
      <c r="B116" s="2" t="s">
        <v>379</v>
      </c>
      <c r="C116" s="2" t="s">
        <v>380</v>
      </c>
      <c r="D116" s="2" t="s">
        <v>377</v>
      </c>
      <c r="E116" s="2" t="s">
        <v>378</v>
      </c>
      <c r="F116" s="2" t="s">
        <v>151</v>
      </c>
      <c r="G116" s="16" t="s">
        <v>135</v>
      </c>
      <c r="H116" s="2" t="s">
        <v>152</v>
      </c>
      <c r="I116" s="16" t="s">
        <v>129</v>
      </c>
      <c r="J116" s="17">
        <v>2000</v>
      </c>
      <c r="K116" s="18">
        <v>2.14</v>
      </c>
      <c r="L116" s="19">
        <f>IFERROR(SUMIFS(TblSupply[PurchasePrice_CLP],TblSupply[ProductID],B116,TblSupply[SupplierRole],"Primary"),"")</f>
        <v>1350</v>
      </c>
      <c r="M116" s="20">
        <f t="shared" si="6"/>
        <v>650</v>
      </c>
      <c r="N116" s="21">
        <f t="shared" si="7"/>
        <v>0.32500000000000001</v>
      </c>
    </row>
    <row r="117" spans="2:14" x14ac:dyDescent="0.25">
      <c r="B117" s="2" t="s">
        <v>381</v>
      </c>
      <c r="C117" s="2" t="s">
        <v>382</v>
      </c>
      <c r="D117" s="2" t="s">
        <v>377</v>
      </c>
      <c r="E117" s="2" t="s">
        <v>378</v>
      </c>
      <c r="F117" s="2" t="s">
        <v>151</v>
      </c>
      <c r="G117" s="16" t="s">
        <v>135</v>
      </c>
      <c r="H117" s="2" t="s">
        <v>152</v>
      </c>
      <c r="I117" s="16" t="s">
        <v>129</v>
      </c>
      <c r="J117" s="17">
        <v>2500</v>
      </c>
      <c r="K117" s="18">
        <v>2.67</v>
      </c>
      <c r="L117" s="19">
        <f>IFERROR(SUMIFS(TblSupply[PurchasePrice_CLP],TblSupply[ProductID],B117,TblSupply[SupplierRole],"Primary"),"")</f>
        <v>1650</v>
      </c>
      <c r="M117" s="20">
        <f t="shared" si="6"/>
        <v>850</v>
      </c>
      <c r="N117" s="21">
        <f t="shared" si="7"/>
        <v>0.34</v>
      </c>
    </row>
    <row r="118" spans="2:14" x14ac:dyDescent="0.25">
      <c r="B118" s="2" t="s">
        <v>383</v>
      </c>
      <c r="C118" s="2" t="s">
        <v>384</v>
      </c>
      <c r="D118" s="2" t="s">
        <v>377</v>
      </c>
      <c r="E118" s="2" t="s">
        <v>378</v>
      </c>
      <c r="F118" s="2" t="s">
        <v>151</v>
      </c>
      <c r="G118" s="16" t="s">
        <v>135</v>
      </c>
      <c r="H118" s="2" t="s">
        <v>152</v>
      </c>
      <c r="I118" s="16" t="s">
        <v>132</v>
      </c>
      <c r="J118" s="17">
        <v>3000</v>
      </c>
      <c r="K118" s="18">
        <v>3.21</v>
      </c>
      <c r="L118" s="19">
        <f>IFERROR(SUMIFS(TblSupply[PurchasePrice_CLP],TblSupply[ProductID],B118,TblSupply[SupplierRole],"Primary"),"")</f>
        <v>2050</v>
      </c>
      <c r="M118" s="20">
        <f t="shared" si="6"/>
        <v>950</v>
      </c>
      <c r="N118" s="21">
        <f t="shared" si="7"/>
        <v>0.31666666666666665</v>
      </c>
    </row>
    <row r="119" spans="2:14" x14ac:dyDescent="0.25">
      <c r="B119" s="2" t="s">
        <v>385</v>
      </c>
      <c r="C119" s="2" t="s">
        <v>386</v>
      </c>
      <c r="D119" s="2" t="s">
        <v>377</v>
      </c>
      <c r="E119" s="2" t="s">
        <v>378</v>
      </c>
      <c r="F119" s="2" t="s">
        <v>151</v>
      </c>
      <c r="G119" s="16" t="s">
        <v>135</v>
      </c>
      <c r="H119" s="2" t="s">
        <v>152</v>
      </c>
      <c r="I119" s="16" t="s">
        <v>129</v>
      </c>
      <c r="J119" s="17">
        <v>3500</v>
      </c>
      <c r="K119" s="18">
        <v>3.74</v>
      </c>
      <c r="L119" s="19">
        <f>IFERROR(SUMIFS(TblSupply[PurchasePrice_CLP],TblSupply[ProductID],B119,TblSupply[SupplierRole],"Primary"),"")</f>
        <v>2350</v>
      </c>
      <c r="M119" s="20">
        <f t="shared" si="6"/>
        <v>1150</v>
      </c>
      <c r="N119" s="21">
        <f t="shared" si="7"/>
        <v>0.32857142857142857</v>
      </c>
    </row>
    <row r="120" spans="2:14" x14ac:dyDescent="0.25">
      <c r="B120" s="2" t="s">
        <v>387</v>
      </c>
      <c r="C120" s="2" t="s">
        <v>388</v>
      </c>
      <c r="D120" s="2" t="s">
        <v>377</v>
      </c>
      <c r="E120" s="2" t="s">
        <v>378</v>
      </c>
      <c r="F120" s="2" t="s">
        <v>151</v>
      </c>
      <c r="G120" s="16" t="s">
        <v>135</v>
      </c>
      <c r="H120" s="2" t="s">
        <v>152</v>
      </c>
      <c r="I120" s="16" t="s">
        <v>129</v>
      </c>
      <c r="J120" s="17">
        <v>4500</v>
      </c>
      <c r="K120" s="18">
        <v>4.8099999999999996</v>
      </c>
      <c r="L120" s="19">
        <f>IFERROR(SUMIFS(TblSupply[PurchasePrice_CLP],TblSupply[ProductID],B120,TblSupply[SupplierRole],"Primary"),"")</f>
        <v>3100</v>
      </c>
      <c r="M120" s="20">
        <f t="shared" si="6"/>
        <v>1400</v>
      </c>
      <c r="N120" s="21">
        <f t="shared" si="7"/>
        <v>0.31111111111111112</v>
      </c>
    </row>
    <row r="121" spans="2:14" x14ac:dyDescent="0.25">
      <c r="B121" s="2" t="s">
        <v>389</v>
      </c>
      <c r="C121" s="2" t="s">
        <v>390</v>
      </c>
      <c r="D121" s="2" t="s">
        <v>377</v>
      </c>
      <c r="E121" s="2" t="s">
        <v>378</v>
      </c>
      <c r="F121" s="2" t="s">
        <v>151</v>
      </c>
      <c r="G121" s="16" t="s">
        <v>135</v>
      </c>
      <c r="H121" s="2" t="s">
        <v>152</v>
      </c>
      <c r="I121" s="16" t="s">
        <v>126</v>
      </c>
      <c r="J121" s="17">
        <v>5500</v>
      </c>
      <c r="K121" s="18">
        <v>5.88</v>
      </c>
      <c r="L121" s="19">
        <f>IFERROR(SUMIFS(TblSupply[PurchasePrice_CLP],TblSupply[ProductID],B121,TblSupply[SupplierRole],"Primary"),"")</f>
        <v>3600</v>
      </c>
      <c r="M121" s="20">
        <f t="shared" si="6"/>
        <v>1900</v>
      </c>
      <c r="N121" s="21">
        <f t="shared" si="7"/>
        <v>0.34545454545454546</v>
      </c>
    </row>
    <row r="122" spans="2:14" x14ac:dyDescent="0.25">
      <c r="B122" s="2" t="s">
        <v>391</v>
      </c>
      <c r="C122" s="2" t="s">
        <v>392</v>
      </c>
      <c r="D122" s="2" t="s">
        <v>377</v>
      </c>
      <c r="E122" s="2" t="s">
        <v>393</v>
      </c>
      <c r="F122" s="2" t="s">
        <v>151</v>
      </c>
      <c r="G122" s="16" t="s">
        <v>135</v>
      </c>
      <c r="H122" s="2" t="s">
        <v>152</v>
      </c>
      <c r="I122" s="16" t="s">
        <v>129</v>
      </c>
      <c r="J122" s="17">
        <v>1000</v>
      </c>
      <c r="K122" s="18">
        <v>1.07</v>
      </c>
      <c r="L122" s="19">
        <f>IFERROR(SUMIFS(TblSupply[PurchasePrice_CLP],TblSupply[ProductID],B122,TblSupply[SupplierRole],"Primary"),"")</f>
        <v>650</v>
      </c>
      <c r="M122" s="20">
        <f t="shared" si="6"/>
        <v>350</v>
      </c>
      <c r="N122" s="21">
        <f t="shared" si="7"/>
        <v>0.35</v>
      </c>
    </row>
    <row r="123" spans="2:14" x14ac:dyDescent="0.25">
      <c r="B123" s="2" t="s">
        <v>394</v>
      </c>
      <c r="C123" s="2" t="s">
        <v>395</v>
      </c>
      <c r="D123" s="2" t="s">
        <v>377</v>
      </c>
      <c r="E123" s="2" t="s">
        <v>393</v>
      </c>
      <c r="F123" s="2" t="s">
        <v>151</v>
      </c>
      <c r="G123" s="16" t="s">
        <v>135</v>
      </c>
      <c r="H123" s="2" t="s">
        <v>152</v>
      </c>
      <c r="I123" s="16" t="s">
        <v>132</v>
      </c>
      <c r="J123" s="17">
        <v>1500</v>
      </c>
      <c r="K123" s="18">
        <v>1.6</v>
      </c>
      <c r="L123" s="19">
        <f>IFERROR(SUMIFS(TblSupply[PurchasePrice_CLP],TblSupply[ProductID],B123,TblSupply[SupplierRole],"Primary"),"")</f>
        <v>950</v>
      </c>
      <c r="M123" s="20">
        <f t="shared" si="6"/>
        <v>550</v>
      </c>
      <c r="N123" s="21">
        <f t="shared" si="7"/>
        <v>0.36666666666666664</v>
      </c>
    </row>
    <row r="124" spans="2:14" x14ac:dyDescent="0.25">
      <c r="B124" s="2" t="s">
        <v>396</v>
      </c>
      <c r="C124" s="2" t="s">
        <v>397</v>
      </c>
      <c r="D124" s="2" t="s">
        <v>377</v>
      </c>
      <c r="E124" s="2" t="s">
        <v>393</v>
      </c>
      <c r="F124" s="2" t="s">
        <v>151</v>
      </c>
      <c r="G124" s="16" t="s">
        <v>135</v>
      </c>
      <c r="H124" s="2" t="s">
        <v>152</v>
      </c>
      <c r="I124" s="16" t="s">
        <v>129</v>
      </c>
      <c r="J124" s="17">
        <v>2000</v>
      </c>
      <c r="K124" s="18">
        <v>2.14</v>
      </c>
      <c r="L124" s="19">
        <f>IFERROR(SUMIFS(TblSupply[PurchasePrice_CLP],TblSupply[ProductID],B124,TblSupply[SupplierRole],"Primary"),"")</f>
        <v>1300</v>
      </c>
      <c r="M124" s="20">
        <f t="shared" si="6"/>
        <v>700</v>
      </c>
      <c r="N124" s="21">
        <f t="shared" si="7"/>
        <v>0.35</v>
      </c>
    </row>
    <row r="125" spans="2:14" x14ac:dyDescent="0.25">
      <c r="B125" s="2" t="s">
        <v>398</v>
      </c>
      <c r="C125" s="2" t="s">
        <v>399</v>
      </c>
      <c r="D125" s="2" t="s">
        <v>377</v>
      </c>
      <c r="E125" s="2" t="s">
        <v>393</v>
      </c>
      <c r="F125" s="2" t="s">
        <v>151</v>
      </c>
      <c r="G125" s="16" t="s">
        <v>135</v>
      </c>
      <c r="H125" s="2" t="s">
        <v>152</v>
      </c>
      <c r="I125" s="16" t="s">
        <v>129</v>
      </c>
      <c r="J125" s="17">
        <v>2500</v>
      </c>
      <c r="K125" s="18">
        <v>2.67</v>
      </c>
      <c r="L125" s="19">
        <f>IFERROR(SUMIFS(TblSupply[PurchasePrice_CLP],TblSupply[ProductID],B125,TblSupply[SupplierRole],"Primary"),"")</f>
        <v>1750</v>
      </c>
      <c r="M125" s="20">
        <f t="shared" si="6"/>
        <v>750</v>
      </c>
      <c r="N125" s="21">
        <f t="shared" si="7"/>
        <v>0.3</v>
      </c>
    </row>
    <row r="126" spans="2:14" x14ac:dyDescent="0.25">
      <c r="B126" s="2" t="s">
        <v>400</v>
      </c>
      <c r="C126" s="2" t="s">
        <v>401</v>
      </c>
      <c r="D126" s="2" t="s">
        <v>377</v>
      </c>
      <c r="E126" s="2" t="s">
        <v>393</v>
      </c>
      <c r="F126" s="2" t="s">
        <v>151</v>
      </c>
      <c r="G126" s="16" t="s">
        <v>135</v>
      </c>
      <c r="H126" s="2" t="s">
        <v>152</v>
      </c>
      <c r="I126" s="16" t="s">
        <v>126</v>
      </c>
      <c r="J126" s="17">
        <v>3000</v>
      </c>
      <c r="K126" s="18">
        <v>3.21</v>
      </c>
      <c r="L126" s="19">
        <f>IFERROR(SUMIFS(TblSupply[PurchasePrice_CLP],TblSupply[ProductID],B126,TblSupply[SupplierRole],"Primary"),"")</f>
        <v>1950</v>
      </c>
      <c r="M126" s="20">
        <f t="shared" si="6"/>
        <v>1050</v>
      </c>
      <c r="N126" s="21">
        <f t="shared" si="7"/>
        <v>0.35</v>
      </c>
    </row>
    <row r="127" spans="2:14" x14ac:dyDescent="0.25">
      <c r="B127" s="2" t="s">
        <v>402</v>
      </c>
      <c r="C127" s="2" t="s">
        <v>403</v>
      </c>
      <c r="D127" s="2" t="s">
        <v>377</v>
      </c>
      <c r="E127" s="2" t="s">
        <v>393</v>
      </c>
      <c r="F127" s="2" t="s">
        <v>151</v>
      </c>
      <c r="G127" s="16" t="s">
        <v>135</v>
      </c>
      <c r="H127" s="2" t="s">
        <v>152</v>
      </c>
      <c r="I127" s="16" t="s">
        <v>126</v>
      </c>
      <c r="J127" s="17">
        <v>4000</v>
      </c>
      <c r="K127" s="18">
        <v>4.28</v>
      </c>
      <c r="L127" s="19">
        <f>IFERROR(SUMIFS(TblSupply[PurchasePrice_CLP],TblSupply[ProductID],B127,TblSupply[SupplierRole],"Primary"),"")</f>
        <v>2550</v>
      </c>
      <c r="M127" s="20">
        <f t="shared" si="6"/>
        <v>1450</v>
      </c>
      <c r="N127" s="21">
        <f t="shared" si="7"/>
        <v>0.36249999999999999</v>
      </c>
    </row>
    <row r="128" spans="2:14" x14ac:dyDescent="0.25">
      <c r="B128" s="2" t="s">
        <v>404</v>
      </c>
      <c r="C128" s="2" t="s">
        <v>405</v>
      </c>
      <c r="D128" s="2" t="s">
        <v>377</v>
      </c>
      <c r="E128" s="2" t="s">
        <v>393</v>
      </c>
      <c r="F128" s="2" t="s">
        <v>151</v>
      </c>
      <c r="G128" s="16" t="s">
        <v>135</v>
      </c>
      <c r="H128" s="2" t="s">
        <v>152</v>
      </c>
      <c r="I128" s="16" t="s">
        <v>126</v>
      </c>
      <c r="J128" s="17">
        <v>5000</v>
      </c>
      <c r="K128" s="18">
        <v>5.35</v>
      </c>
      <c r="L128" s="19">
        <f>IFERROR(SUMIFS(TblSupply[PurchasePrice_CLP],TblSupply[ProductID],B128,TblSupply[SupplierRole],"Primary"),"")</f>
        <v>3300</v>
      </c>
      <c r="M128" s="20">
        <f t="shared" si="6"/>
        <v>1700</v>
      </c>
      <c r="N128" s="21">
        <f t="shared" si="7"/>
        <v>0.34</v>
      </c>
    </row>
    <row r="129" spans="2:14" x14ac:dyDescent="0.25">
      <c r="B129" s="2" t="s">
        <v>406</v>
      </c>
      <c r="C129" s="2" t="s">
        <v>407</v>
      </c>
      <c r="D129" s="2" t="s">
        <v>377</v>
      </c>
      <c r="E129" s="2" t="s">
        <v>408</v>
      </c>
      <c r="F129" s="2" t="s">
        <v>151</v>
      </c>
      <c r="G129" s="16" t="s">
        <v>135</v>
      </c>
      <c r="H129" s="2" t="s">
        <v>152</v>
      </c>
      <c r="I129" s="16" t="s">
        <v>126</v>
      </c>
      <c r="J129" s="17">
        <v>2500</v>
      </c>
      <c r="K129" s="18">
        <v>2.67</v>
      </c>
      <c r="L129" s="19">
        <f>IFERROR(SUMIFS(TblSupply[PurchasePrice_CLP],TblSupply[ProductID],B129,TblSupply[SupplierRole],"Primary"),"")</f>
        <v>1700</v>
      </c>
      <c r="M129" s="20">
        <f t="shared" si="6"/>
        <v>800</v>
      </c>
      <c r="N129" s="21">
        <f t="shared" si="7"/>
        <v>0.32</v>
      </c>
    </row>
    <row r="130" spans="2:14" x14ac:dyDescent="0.25">
      <c r="B130" s="2" t="s">
        <v>409</v>
      </c>
      <c r="C130" s="2" t="s">
        <v>410</v>
      </c>
      <c r="D130" s="2" t="s">
        <v>377</v>
      </c>
      <c r="E130" s="2" t="s">
        <v>408</v>
      </c>
      <c r="F130" s="2" t="s">
        <v>151</v>
      </c>
      <c r="G130" s="16" t="s">
        <v>135</v>
      </c>
      <c r="H130" s="2" t="s">
        <v>152</v>
      </c>
      <c r="I130" s="16" t="s">
        <v>129</v>
      </c>
      <c r="J130" s="17">
        <v>3500</v>
      </c>
      <c r="K130" s="18">
        <v>3.74</v>
      </c>
      <c r="L130" s="19">
        <f>IFERROR(SUMIFS(TblSupply[PurchasePrice_CLP],TblSupply[ProductID],B130,TblSupply[SupplierRole],"Primary"),"")</f>
        <v>2400</v>
      </c>
      <c r="M130" s="20">
        <f t="shared" si="6"/>
        <v>1100</v>
      </c>
      <c r="N130" s="21">
        <f t="shared" si="7"/>
        <v>0.31428571428571428</v>
      </c>
    </row>
    <row r="131" spans="2:14" x14ac:dyDescent="0.25">
      <c r="B131" s="2" t="s">
        <v>411</v>
      </c>
      <c r="C131" s="2" t="s">
        <v>412</v>
      </c>
      <c r="D131" s="2" t="s">
        <v>377</v>
      </c>
      <c r="E131" s="2" t="s">
        <v>408</v>
      </c>
      <c r="F131" s="2" t="s">
        <v>151</v>
      </c>
      <c r="G131" s="16" t="s">
        <v>135</v>
      </c>
      <c r="H131" s="2" t="s">
        <v>152</v>
      </c>
      <c r="I131" s="16" t="s">
        <v>129</v>
      </c>
      <c r="J131" s="17">
        <v>4500</v>
      </c>
      <c r="K131" s="18">
        <v>4.8099999999999996</v>
      </c>
      <c r="L131" s="19">
        <f>IFERROR(SUMIFS(TblSupply[PurchasePrice_CLP],TblSupply[ProductID],B131,TblSupply[SupplierRole],"Primary"),"")</f>
        <v>3050</v>
      </c>
      <c r="M131" s="20">
        <f t="shared" si="6"/>
        <v>1450</v>
      </c>
      <c r="N131" s="21">
        <f t="shared" si="7"/>
        <v>0.32222222222222224</v>
      </c>
    </row>
  </sheetData>
  <conditionalFormatting sqref="G4:G131">
    <cfRule type="cellIs" dxfId="21" priority="5" operator="equal">
      <formula>"Yes"</formula>
    </cfRule>
  </conditionalFormatting>
  <conditionalFormatting sqref="H4:H131">
    <cfRule type="cellIs" dxfId="20" priority="6" operator="equal">
      <formula>"Spring-Summer"</formula>
    </cfRule>
    <cfRule type="cellIs" dxfId="19" priority="7" operator="equal">
      <formula>"Fall-Winter"</formula>
    </cfRule>
  </conditionalFormatting>
  <conditionalFormatting sqref="I4:I131">
    <cfRule type="cellIs" dxfId="18" priority="2" operator="equal">
      <formula>"High"</formula>
    </cfRule>
    <cfRule type="cellIs" dxfId="17" priority="3" operator="equal">
      <formula>"Medium"</formula>
    </cfRule>
    <cfRule type="cellIs" dxfId="16" priority="4" operator="equal">
      <formula>"Low"</formula>
    </cfRule>
  </conditionalFormatting>
  <conditionalFormatting sqref="N4:N131">
    <cfRule type="colorScale" priority="8">
      <colorScale>
        <cfvo type="min"/>
        <cfvo type="percentile" val="50"/>
        <cfvo type="max"/>
        <color rgb="FFF8696B"/>
        <color rgb="FFFFEB84"/>
        <color rgb="FF63BE7B"/>
      </colorScale>
    </cfRule>
  </conditionalFormatting>
  <dataValidations count="4">
    <dataValidation type="list" sqref="I4:I131" xr:uid="{00000000-0002-0000-0300-000000000000}">
      <formula1>"High,Medium,Low"</formula1>
      <formula2>0</formula2>
    </dataValidation>
    <dataValidation type="list" sqref="G4:G131" xr:uid="{00000000-0002-0000-0300-000001000000}">
      <formula1>"Yes,No"</formula1>
      <formula2>0</formula2>
    </dataValidation>
    <dataValidation type="list" sqref="H4:H131" xr:uid="{00000000-0002-0000-0300-000002000000}">
      <formula1>"Spring-Summer,Fall-Winter,All year"</formula1>
      <formula2>0</formula2>
    </dataValidation>
    <dataValidation type="list" sqref="F4:F131" xr:uid="{00000000-0002-0000-0300-000003000000}">
      <formula1>"By Weight (kg),By Unit/Package"</formula1>
      <formula2>0</formula2>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B1:H25"/>
  <sheetViews>
    <sheetView showGridLines="0" workbookViewId="0">
      <pane xSplit="1" ySplit="3" topLeftCell="B4" activePane="bottomRight" state="frozen"/>
      <selection pane="topRight"/>
      <selection pane="bottomLeft"/>
      <selection pane="bottomRight" activeCell="B4" sqref="B4"/>
    </sheetView>
  </sheetViews>
  <sheetFormatPr defaultColWidth="8.7109375" defaultRowHeight="15" x14ac:dyDescent="0.25"/>
  <cols>
    <col min="2" max="2" width="6" customWidth="1"/>
    <col min="3" max="3" width="30" customWidth="1"/>
    <col min="4" max="4" width="37" customWidth="1"/>
    <col min="5" max="5" width="17" customWidth="1"/>
    <col min="6" max="6" width="34" customWidth="1"/>
    <col min="7" max="7" width="11" customWidth="1"/>
    <col min="8" max="8" width="9" customWidth="1"/>
  </cols>
  <sheetData>
    <row r="1" spans="2:8" ht="20.25" x14ac:dyDescent="0.3">
      <c r="B1" s="3" t="s">
        <v>413</v>
      </c>
    </row>
    <row r="3" spans="2:8" ht="30" x14ac:dyDescent="0.25">
      <c r="B3" s="8" t="s">
        <v>107</v>
      </c>
      <c r="C3" s="8" t="s">
        <v>414</v>
      </c>
      <c r="D3" s="8" t="s">
        <v>95</v>
      </c>
      <c r="E3" s="8" t="s">
        <v>96</v>
      </c>
      <c r="F3" s="8" t="s">
        <v>97</v>
      </c>
      <c r="G3" s="8" t="s">
        <v>98</v>
      </c>
      <c r="H3" s="8" t="s">
        <v>415</v>
      </c>
    </row>
    <row r="4" spans="2:8" x14ac:dyDescent="0.25">
      <c r="B4" s="2" t="s">
        <v>416</v>
      </c>
      <c r="C4" s="16" t="s">
        <v>94</v>
      </c>
      <c r="D4" s="16" t="s">
        <v>417</v>
      </c>
      <c r="E4" s="16" t="s">
        <v>418</v>
      </c>
      <c r="F4" s="16" t="s">
        <v>419</v>
      </c>
      <c r="G4" s="16" t="s">
        <v>125</v>
      </c>
      <c r="H4" s="2" t="s">
        <v>135</v>
      </c>
    </row>
    <row r="5" spans="2:8" x14ac:dyDescent="0.25">
      <c r="B5" s="2" t="s">
        <v>420</v>
      </c>
      <c r="C5" s="16" t="s">
        <v>421</v>
      </c>
      <c r="D5" s="16" t="s">
        <v>422</v>
      </c>
      <c r="E5" s="16" t="s">
        <v>423</v>
      </c>
      <c r="F5" s="16" t="s">
        <v>424</v>
      </c>
      <c r="G5" s="16" t="s">
        <v>135</v>
      </c>
      <c r="H5" s="2" t="s">
        <v>125</v>
      </c>
    </row>
    <row r="6" spans="2:8" x14ac:dyDescent="0.25">
      <c r="B6" s="2" t="s">
        <v>425</v>
      </c>
      <c r="C6" s="16" t="s">
        <v>426</v>
      </c>
      <c r="D6" s="16" t="s">
        <v>427</v>
      </c>
      <c r="E6" s="16" t="s">
        <v>428</v>
      </c>
      <c r="F6" s="16" t="s">
        <v>429</v>
      </c>
      <c r="G6" s="16" t="s">
        <v>135</v>
      </c>
      <c r="H6" s="2" t="s">
        <v>125</v>
      </c>
    </row>
    <row r="7" spans="2:8" x14ac:dyDescent="0.25">
      <c r="B7" s="2" t="s">
        <v>430</v>
      </c>
      <c r="C7" s="16" t="s">
        <v>431</v>
      </c>
      <c r="D7" s="16" t="s">
        <v>432</v>
      </c>
      <c r="E7" s="16" t="s">
        <v>433</v>
      </c>
      <c r="F7" s="16" t="s">
        <v>434</v>
      </c>
      <c r="G7" s="16" t="s">
        <v>125</v>
      </c>
      <c r="H7" s="2" t="s">
        <v>135</v>
      </c>
    </row>
    <row r="8" spans="2:8" x14ac:dyDescent="0.25">
      <c r="B8" s="2" t="s">
        <v>435</v>
      </c>
      <c r="C8" s="16" t="s">
        <v>436</v>
      </c>
      <c r="D8" s="16" t="s">
        <v>437</v>
      </c>
      <c r="E8" s="16" t="s">
        <v>438</v>
      </c>
      <c r="F8" s="16" t="s">
        <v>439</v>
      </c>
      <c r="G8" s="16" t="s">
        <v>125</v>
      </c>
      <c r="H8" s="2" t="s">
        <v>135</v>
      </c>
    </row>
    <row r="9" spans="2:8" x14ac:dyDescent="0.25">
      <c r="B9" s="2" t="s">
        <v>440</v>
      </c>
      <c r="C9" s="16" t="s">
        <v>441</v>
      </c>
      <c r="D9" s="16" t="s">
        <v>442</v>
      </c>
      <c r="E9" s="16" t="s">
        <v>443</v>
      </c>
      <c r="F9" s="16" t="s">
        <v>444</v>
      </c>
      <c r="G9" s="16" t="s">
        <v>135</v>
      </c>
      <c r="H9" s="2" t="s">
        <v>125</v>
      </c>
    </row>
    <row r="10" spans="2:8" x14ac:dyDescent="0.25">
      <c r="B10" s="2" t="s">
        <v>445</v>
      </c>
      <c r="C10" s="16" t="s">
        <v>446</v>
      </c>
      <c r="D10" s="16" t="s">
        <v>447</v>
      </c>
      <c r="E10" s="16" t="s">
        <v>448</v>
      </c>
      <c r="F10" s="16" t="s">
        <v>449</v>
      </c>
      <c r="G10" s="16" t="s">
        <v>135</v>
      </c>
      <c r="H10" s="2" t="s">
        <v>125</v>
      </c>
    </row>
    <row r="11" spans="2:8" x14ac:dyDescent="0.25">
      <c r="B11" s="2" t="s">
        <v>450</v>
      </c>
      <c r="C11" s="16" t="s">
        <v>451</v>
      </c>
      <c r="D11" s="16" t="s">
        <v>452</v>
      </c>
      <c r="E11" s="16" t="s">
        <v>453</v>
      </c>
      <c r="F11" s="16" t="s">
        <v>454</v>
      </c>
      <c r="G11" s="16" t="s">
        <v>125</v>
      </c>
      <c r="H11" s="2" t="s">
        <v>135</v>
      </c>
    </row>
    <row r="12" spans="2:8" x14ac:dyDescent="0.25">
      <c r="B12" s="2" t="s">
        <v>455</v>
      </c>
      <c r="C12" s="16" t="s">
        <v>456</v>
      </c>
      <c r="D12" s="16" t="s">
        <v>457</v>
      </c>
      <c r="E12" s="16" t="s">
        <v>458</v>
      </c>
      <c r="F12" s="16" t="s">
        <v>459</v>
      </c>
      <c r="G12" s="16" t="s">
        <v>125</v>
      </c>
      <c r="H12" s="2" t="s">
        <v>135</v>
      </c>
    </row>
    <row r="13" spans="2:8" x14ac:dyDescent="0.25">
      <c r="B13" s="2" t="s">
        <v>460</v>
      </c>
      <c r="C13" s="16" t="s">
        <v>461</v>
      </c>
      <c r="D13" s="16" t="s">
        <v>462</v>
      </c>
      <c r="E13" s="16" t="s">
        <v>463</v>
      </c>
      <c r="F13" s="16" t="s">
        <v>464</v>
      </c>
      <c r="G13" s="16" t="s">
        <v>125</v>
      </c>
      <c r="H13" s="2" t="s">
        <v>135</v>
      </c>
    </row>
    <row r="14" spans="2:8" x14ac:dyDescent="0.25">
      <c r="B14" s="2" t="s">
        <v>465</v>
      </c>
      <c r="C14" s="16" t="s">
        <v>466</v>
      </c>
      <c r="D14" s="16" t="s">
        <v>467</v>
      </c>
      <c r="E14" s="16" t="s">
        <v>468</v>
      </c>
      <c r="F14" s="16" t="s">
        <v>469</v>
      </c>
      <c r="G14" s="16" t="s">
        <v>135</v>
      </c>
      <c r="H14" s="2" t="s">
        <v>125</v>
      </c>
    </row>
    <row r="15" spans="2:8" x14ac:dyDescent="0.25">
      <c r="B15" s="2" t="s">
        <v>470</v>
      </c>
      <c r="C15" s="16" t="s">
        <v>471</v>
      </c>
      <c r="D15" s="16" t="s">
        <v>472</v>
      </c>
      <c r="E15" s="16" t="s">
        <v>473</v>
      </c>
      <c r="F15" s="16" t="s">
        <v>474</v>
      </c>
      <c r="G15" s="16" t="s">
        <v>125</v>
      </c>
      <c r="H15" s="2" t="s">
        <v>135</v>
      </c>
    </row>
    <row r="16" spans="2:8" x14ac:dyDescent="0.25">
      <c r="B16" s="2" t="s">
        <v>475</v>
      </c>
      <c r="C16" s="16" t="s">
        <v>476</v>
      </c>
      <c r="D16" s="16" t="s">
        <v>477</v>
      </c>
      <c r="E16" s="16" t="s">
        <v>478</v>
      </c>
      <c r="F16" s="16" t="s">
        <v>479</v>
      </c>
      <c r="G16" s="16" t="s">
        <v>125</v>
      </c>
      <c r="H16" s="2" t="s">
        <v>135</v>
      </c>
    </row>
    <row r="17" spans="2:8" x14ac:dyDescent="0.25">
      <c r="B17" s="2" t="s">
        <v>480</v>
      </c>
      <c r="C17" s="16" t="s">
        <v>481</v>
      </c>
      <c r="D17" s="16" t="s">
        <v>482</v>
      </c>
      <c r="E17" s="16" t="s">
        <v>483</v>
      </c>
      <c r="F17" s="16" t="s">
        <v>484</v>
      </c>
      <c r="G17" s="16" t="s">
        <v>125</v>
      </c>
      <c r="H17" s="2" t="s">
        <v>135</v>
      </c>
    </row>
    <row r="18" spans="2:8" x14ac:dyDescent="0.25">
      <c r="B18" s="2" t="s">
        <v>485</v>
      </c>
      <c r="C18" s="16" t="s">
        <v>486</v>
      </c>
      <c r="D18" s="16" t="s">
        <v>487</v>
      </c>
      <c r="E18" s="16" t="s">
        <v>488</v>
      </c>
      <c r="F18" s="16" t="s">
        <v>489</v>
      </c>
      <c r="G18" s="16" t="s">
        <v>135</v>
      </c>
      <c r="H18" s="2" t="s">
        <v>125</v>
      </c>
    </row>
    <row r="19" spans="2:8" x14ac:dyDescent="0.25">
      <c r="B19" s="2" t="s">
        <v>490</v>
      </c>
      <c r="C19" s="16" t="s">
        <v>491</v>
      </c>
      <c r="D19" s="16" t="s">
        <v>492</v>
      </c>
      <c r="E19" s="16" t="s">
        <v>493</v>
      </c>
      <c r="F19" s="16" t="s">
        <v>494</v>
      </c>
      <c r="G19" s="16" t="s">
        <v>135</v>
      </c>
      <c r="H19" s="2" t="s">
        <v>125</v>
      </c>
    </row>
    <row r="20" spans="2:8" x14ac:dyDescent="0.25">
      <c r="B20" s="2" t="s">
        <v>495</v>
      </c>
      <c r="C20" s="16" t="s">
        <v>496</v>
      </c>
      <c r="D20" s="16" t="s">
        <v>497</v>
      </c>
      <c r="E20" s="16" t="s">
        <v>498</v>
      </c>
      <c r="F20" s="16" t="s">
        <v>499</v>
      </c>
      <c r="G20" s="16" t="s">
        <v>135</v>
      </c>
      <c r="H20" s="2" t="s">
        <v>125</v>
      </c>
    </row>
    <row r="21" spans="2:8" x14ac:dyDescent="0.25">
      <c r="B21" s="2" t="s">
        <v>500</v>
      </c>
      <c r="C21" s="16" t="s">
        <v>501</v>
      </c>
      <c r="D21" s="16" t="s">
        <v>502</v>
      </c>
      <c r="E21" s="16" t="s">
        <v>503</v>
      </c>
      <c r="F21" s="16" t="s">
        <v>504</v>
      </c>
      <c r="G21" s="16" t="s">
        <v>125</v>
      </c>
      <c r="H21" s="2" t="s">
        <v>135</v>
      </c>
    </row>
    <row r="22" spans="2:8" x14ac:dyDescent="0.25">
      <c r="B22" s="2" t="s">
        <v>505</v>
      </c>
      <c r="C22" s="16" t="s">
        <v>506</v>
      </c>
      <c r="D22" s="16" t="s">
        <v>507</v>
      </c>
      <c r="E22" s="16" t="s">
        <v>508</v>
      </c>
      <c r="F22" s="16" t="s">
        <v>509</v>
      </c>
      <c r="G22" s="16" t="s">
        <v>125</v>
      </c>
      <c r="H22" s="2" t="s">
        <v>135</v>
      </c>
    </row>
    <row r="23" spans="2:8" x14ac:dyDescent="0.25">
      <c r="B23" s="2" t="s">
        <v>510</v>
      </c>
      <c r="C23" s="16" t="s">
        <v>511</v>
      </c>
      <c r="D23" s="16" t="s">
        <v>512</v>
      </c>
      <c r="E23" s="16" t="s">
        <v>513</v>
      </c>
      <c r="F23" s="16" t="s">
        <v>514</v>
      </c>
      <c r="G23" s="16" t="s">
        <v>135</v>
      </c>
      <c r="H23" s="2" t="s">
        <v>125</v>
      </c>
    </row>
    <row r="24" spans="2:8" x14ac:dyDescent="0.25">
      <c r="B24" s="2" t="s">
        <v>515</v>
      </c>
      <c r="C24" s="16" t="s">
        <v>516</v>
      </c>
      <c r="D24" s="16" t="s">
        <v>517</v>
      </c>
      <c r="E24" s="16" t="s">
        <v>518</v>
      </c>
      <c r="F24" s="16" t="s">
        <v>519</v>
      </c>
      <c r="G24" s="16" t="s">
        <v>125</v>
      </c>
      <c r="H24" s="2" t="s">
        <v>135</v>
      </c>
    </row>
    <row r="25" spans="2:8" x14ac:dyDescent="0.25">
      <c r="B25" s="2" t="s">
        <v>520</v>
      </c>
      <c r="C25" s="16" t="s">
        <v>521</v>
      </c>
      <c r="D25" s="16" t="s">
        <v>522</v>
      </c>
      <c r="E25" s="16" t="s">
        <v>523</v>
      </c>
      <c r="F25" s="16" t="s">
        <v>524</v>
      </c>
      <c r="G25" s="16" t="s">
        <v>125</v>
      </c>
      <c r="H25" s="2" t="s">
        <v>135</v>
      </c>
    </row>
  </sheetData>
  <conditionalFormatting sqref="G4:G25">
    <cfRule type="cellIs" dxfId="15" priority="2" operator="equal">
      <formula>"Yes"</formula>
    </cfRule>
    <cfRule type="cellIs" dxfId="14" priority="3" operator="equal">
      <formula>"No"</formula>
    </cfRule>
  </conditionalFormatting>
  <dataValidations count="1">
    <dataValidation type="list" sqref="G4:G25" xr:uid="{00000000-0002-0000-0400-000000000000}">
      <formula1>"Yes,No"</formula1>
      <formula2>0</formula2>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B1:N260"/>
  <sheetViews>
    <sheetView showGridLines="0" workbookViewId="0">
      <pane xSplit="1" ySplit="4" topLeftCell="B5" activePane="bottomRight" state="frozen"/>
      <selection pane="topRight"/>
      <selection pane="bottomLeft"/>
      <selection pane="bottomRight" activeCell="B5" sqref="B5"/>
    </sheetView>
  </sheetViews>
  <sheetFormatPr defaultColWidth="8.7109375" defaultRowHeight="15" x14ac:dyDescent="0.25"/>
  <cols>
    <col min="2" max="2" width="9" customWidth="1"/>
    <col min="3" max="3" width="11" customWidth="1"/>
    <col min="4" max="4" width="44" customWidth="1"/>
    <col min="5" max="5" width="13" customWidth="1"/>
    <col min="6" max="6" width="14" customWidth="1"/>
    <col min="7" max="7" width="12" customWidth="1"/>
    <col min="8" max="8" width="30" customWidth="1"/>
    <col min="9" max="9" width="19" customWidth="1"/>
    <col min="10" max="10" width="16" customWidth="1"/>
    <col min="11" max="11" width="17" customWidth="1"/>
    <col min="12" max="12" width="14" customWidth="1"/>
    <col min="13" max="13" width="18" customWidth="1"/>
    <col min="14" max="14" width="11" customWidth="1"/>
  </cols>
  <sheetData>
    <row r="1" spans="2:14" ht="20.25" x14ac:dyDescent="0.3">
      <c r="B1" s="3" t="s">
        <v>525</v>
      </c>
    </row>
    <row r="2" spans="2:14" x14ac:dyDescent="0.25">
      <c r="B2" s="4" t="s">
        <v>526</v>
      </c>
    </row>
    <row r="4" spans="2:14" ht="30" x14ac:dyDescent="0.25">
      <c r="B4" s="8" t="s">
        <v>107</v>
      </c>
      <c r="C4" s="8" t="s">
        <v>527</v>
      </c>
      <c r="D4" s="8" t="s">
        <v>108</v>
      </c>
      <c r="E4" s="8" t="s">
        <v>109</v>
      </c>
      <c r="F4" s="8" t="s">
        <v>528</v>
      </c>
      <c r="G4" s="8" t="s">
        <v>529</v>
      </c>
      <c r="H4" s="8" t="s">
        <v>414</v>
      </c>
      <c r="I4" s="8" t="s">
        <v>530</v>
      </c>
      <c r="J4" s="8" t="s">
        <v>531</v>
      </c>
      <c r="K4" s="8" t="s">
        <v>111</v>
      </c>
      <c r="L4" s="8" t="s">
        <v>532</v>
      </c>
      <c r="M4" s="8" t="s">
        <v>533</v>
      </c>
      <c r="N4" s="8" t="s">
        <v>98</v>
      </c>
    </row>
    <row r="5" spans="2:14" x14ac:dyDescent="0.25">
      <c r="B5" s="2" t="s">
        <v>534</v>
      </c>
      <c r="C5" s="2" t="s">
        <v>120</v>
      </c>
      <c r="D5" s="2" t="s">
        <v>121</v>
      </c>
      <c r="E5" s="2" t="s">
        <v>122</v>
      </c>
      <c r="F5" s="2" t="s">
        <v>535</v>
      </c>
      <c r="G5" s="2" t="s">
        <v>416</v>
      </c>
      <c r="H5" s="2" t="s">
        <v>94</v>
      </c>
      <c r="I5" s="22">
        <v>2950</v>
      </c>
      <c r="J5" s="18">
        <v>3.16</v>
      </c>
      <c r="K5" s="2" t="s">
        <v>124</v>
      </c>
      <c r="L5" s="2" t="s">
        <v>123</v>
      </c>
      <c r="M5" s="2">
        <v>3</v>
      </c>
      <c r="N5" s="2" t="s">
        <v>125</v>
      </c>
    </row>
    <row r="6" spans="2:14" x14ac:dyDescent="0.25">
      <c r="B6" s="2" t="s">
        <v>536</v>
      </c>
      <c r="C6" s="2" t="s">
        <v>120</v>
      </c>
      <c r="D6" s="2" t="s">
        <v>121</v>
      </c>
      <c r="E6" s="2" t="s">
        <v>122</v>
      </c>
      <c r="F6" s="2" t="s">
        <v>537</v>
      </c>
      <c r="G6" s="2" t="s">
        <v>420</v>
      </c>
      <c r="H6" s="2" t="s">
        <v>421</v>
      </c>
      <c r="I6" s="22">
        <v>3000</v>
      </c>
      <c r="J6" s="18">
        <v>3.21</v>
      </c>
      <c r="K6" s="2" t="s">
        <v>124</v>
      </c>
      <c r="L6" s="2" t="s">
        <v>123</v>
      </c>
      <c r="M6" s="2">
        <v>10</v>
      </c>
      <c r="N6" s="2" t="s">
        <v>135</v>
      </c>
    </row>
    <row r="7" spans="2:14" x14ac:dyDescent="0.25">
      <c r="B7" s="2" t="s">
        <v>538</v>
      </c>
      <c r="C7" s="2" t="s">
        <v>127</v>
      </c>
      <c r="D7" s="2" t="s">
        <v>128</v>
      </c>
      <c r="E7" s="2" t="s">
        <v>122</v>
      </c>
      <c r="F7" s="2" t="s">
        <v>535</v>
      </c>
      <c r="G7" s="2" t="s">
        <v>416</v>
      </c>
      <c r="H7" s="2" t="s">
        <v>94</v>
      </c>
      <c r="I7" s="22">
        <v>2500</v>
      </c>
      <c r="J7" s="18">
        <v>2.67</v>
      </c>
      <c r="K7" s="2" t="s">
        <v>124</v>
      </c>
      <c r="L7" s="2" t="s">
        <v>123</v>
      </c>
      <c r="M7" s="2">
        <v>2</v>
      </c>
      <c r="N7" s="2" t="s">
        <v>125</v>
      </c>
    </row>
    <row r="8" spans="2:14" x14ac:dyDescent="0.25">
      <c r="B8" s="2" t="s">
        <v>539</v>
      </c>
      <c r="C8" s="2" t="s">
        <v>127</v>
      </c>
      <c r="D8" s="2" t="s">
        <v>128</v>
      </c>
      <c r="E8" s="2" t="s">
        <v>122</v>
      </c>
      <c r="F8" s="2" t="s">
        <v>537</v>
      </c>
      <c r="G8" s="2" t="s">
        <v>420</v>
      </c>
      <c r="H8" s="2" t="s">
        <v>421</v>
      </c>
      <c r="I8" s="22">
        <v>2700</v>
      </c>
      <c r="J8" s="18">
        <v>2.89</v>
      </c>
      <c r="K8" s="2" t="s">
        <v>124</v>
      </c>
      <c r="L8" s="2" t="s">
        <v>123</v>
      </c>
      <c r="M8" s="2">
        <v>5</v>
      </c>
      <c r="N8" s="2" t="s">
        <v>135</v>
      </c>
    </row>
    <row r="9" spans="2:14" x14ac:dyDescent="0.25">
      <c r="B9" s="2" t="s">
        <v>540</v>
      </c>
      <c r="C9" s="2" t="s">
        <v>130</v>
      </c>
      <c r="D9" s="2" t="s">
        <v>131</v>
      </c>
      <c r="E9" s="2" t="s">
        <v>122</v>
      </c>
      <c r="F9" s="2" t="s">
        <v>535</v>
      </c>
      <c r="G9" s="2" t="s">
        <v>416</v>
      </c>
      <c r="H9" s="2" t="s">
        <v>94</v>
      </c>
      <c r="I9" s="22">
        <v>2450</v>
      </c>
      <c r="J9" s="18">
        <v>2.62</v>
      </c>
      <c r="K9" s="2" t="s">
        <v>124</v>
      </c>
      <c r="L9" s="2" t="s">
        <v>123</v>
      </c>
      <c r="M9" s="2">
        <v>3</v>
      </c>
      <c r="N9" s="2" t="s">
        <v>125</v>
      </c>
    </row>
    <row r="10" spans="2:14" x14ac:dyDescent="0.25">
      <c r="B10" s="2" t="s">
        <v>541</v>
      </c>
      <c r="C10" s="2" t="s">
        <v>130</v>
      </c>
      <c r="D10" s="2" t="s">
        <v>131</v>
      </c>
      <c r="E10" s="2" t="s">
        <v>122</v>
      </c>
      <c r="F10" s="2" t="s">
        <v>537</v>
      </c>
      <c r="G10" s="2" t="s">
        <v>420</v>
      </c>
      <c r="H10" s="2" t="s">
        <v>421</v>
      </c>
      <c r="I10" s="22">
        <v>2600</v>
      </c>
      <c r="J10" s="18">
        <v>2.78</v>
      </c>
      <c r="K10" s="2" t="s">
        <v>124</v>
      </c>
      <c r="L10" s="2" t="s">
        <v>123</v>
      </c>
      <c r="M10" s="2">
        <v>3</v>
      </c>
      <c r="N10" s="2" t="s">
        <v>135</v>
      </c>
    </row>
    <row r="11" spans="2:14" x14ac:dyDescent="0.25">
      <c r="B11" s="2" t="s">
        <v>542</v>
      </c>
      <c r="C11" s="2" t="s">
        <v>133</v>
      </c>
      <c r="D11" s="2" t="s">
        <v>134</v>
      </c>
      <c r="E11" s="2" t="s">
        <v>122</v>
      </c>
      <c r="F11" s="2" t="s">
        <v>535</v>
      </c>
      <c r="G11" s="2" t="s">
        <v>416</v>
      </c>
      <c r="H11" s="2" t="s">
        <v>94</v>
      </c>
      <c r="I11" s="22">
        <v>2050</v>
      </c>
      <c r="J11" s="18">
        <v>2.19</v>
      </c>
      <c r="K11" s="2" t="s">
        <v>124</v>
      </c>
      <c r="L11" s="2" t="s">
        <v>123</v>
      </c>
      <c r="M11" s="2">
        <v>1</v>
      </c>
      <c r="N11" s="2" t="s">
        <v>125</v>
      </c>
    </row>
    <row r="12" spans="2:14" x14ac:dyDescent="0.25">
      <c r="B12" s="2" t="s">
        <v>543</v>
      </c>
      <c r="C12" s="2" t="s">
        <v>133</v>
      </c>
      <c r="D12" s="2" t="s">
        <v>134</v>
      </c>
      <c r="E12" s="2" t="s">
        <v>122</v>
      </c>
      <c r="F12" s="2" t="s">
        <v>537</v>
      </c>
      <c r="G12" s="2" t="s">
        <v>420</v>
      </c>
      <c r="H12" s="2" t="s">
        <v>421</v>
      </c>
      <c r="I12" s="22">
        <v>2300</v>
      </c>
      <c r="J12" s="18">
        <v>2.46</v>
      </c>
      <c r="K12" s="2" t="s">
        <v>124</v>
      </c>
      <c r="L12" s="2" t="s">
        <v>123</v>
      </c>
      <c r="M12" s="2">
        <v>2</v>
      </c>
      <c r="N12" s="2" t="s">
        <v>135</v>
      </c>
    </row>
    <row r="13" spans="2:14" x14ac:dyDescent="0.25">
      <c r="B13" s="2" t="s">
        <v>544</v>
      </c>
      <c r="C13" s="2" t="s">
        <v>136</v>
      </c>
      <c r="D13" s="2" t="s">
        <v>137</v>
      </c>
      <c r="E13" s="2" t="s">
        <v>122</v>
      </c>
      <c r="F13" s="2" t="s">
        <v>535</v>
      </c>
      <c r="G13" s="2" t="s">
        <v>416</v>
      </c>
      <c r="H13" s="2" t="s">
        <v>94</v>
      </c>
      <c r="I13" s="22">
        <v>2100</v>
      </c>
      <c r="J13" s="18">
        <v>2.25</v>
      </c>
      <c r="K13" s="2" t="s">
        <v>124</v>
      </c>
      <c r="L13" s="2" t="s">
        <v>123</v>
      </c>
      <c r="M13" s="2">
        <v>5</v>
      </c>
      <c r="N13" s="2" t="s">
        <v>125</v>
      </c>
    </row>
    <row r="14" spans="2:14" x14ac:dyDescent="0.25">
      <c r="B14" s="2" t="s">
        <v>545</v>
      </c>
      <c r="C14" s="2" t="s">
        <v>136</v>
      </c>
      <c r="D14" s="2" t="s">
        <v>137</v>
      </c>
      <c r="E14" s="2" t="s">
        <v>122</v>
      </c>
      <c r="F14" s="2" t="s">
        <v>537</v>
      </c>
      <c r="G14" s="2" t="s">
        <v>420</v>
      </c>
      <c r="H14" s="2" t="s">
        <v>421</v>
      </c>
      <c r="I14" s="22">
        <v>2300</v>
      </c>
      <c r="J14" s="18">
        <v>2.46</v>
      </c>
      <c r="K14" s="2" t="s">
        <v>124</v>
      </c>
      <c r="L14" s="2" t="s">
        <v>123</v>
      </c>
      <c r="M14" s="2">
        <v>10</v>
      </c>
      <c r="N14" s="2" t="s">
        <v>135</v>
      </c>
    </row>
    <row r="15" spans="2:14" x14ac:dyDescent="0.25">
      <c r="B15" s="2" t="s">
        <v>546</v>
      </c>
      <c r="C15" s="2" t="s">
        <v>138</v>
      </c>
      <c r="D15" s="2" t="s">
        <v>139</v>
      </c>
      <c r="E15" s="2" t="s">
        <v>122</v>
      </c>
      <c r="F15" s="2" t="s">
        <v>535</v>
      </c>
      <c r="G15" s="2" t="s">
        <v>416</v>
      </c>
      <c r="H15" s="2" t="s">
        <v>94</v>
      </c>
      <c r="I15" s="22">
        <v>2200</v>
      </c>
      <c r="J15" s="18">
        <v>2.35</v>
      </c>
      <c r="K15" s="2" t="s">
        <v>124</v>
      </c>
      <c r="L15" s="2" t="s">
        <v>123</v>
      </c>
      <c r="M15" s="2">
        <v>2</v>
      </c>
      <c r="N15" s="2" t="s">
        <v>125</v>
      </c>
    </row>
    <row r="16" spans="2:14" x14ac:dyDescent="0.25">
      <c r="B16" s="2" t="s">
        <v>547</v>
      </c>
      <c r="C16" s="2" t="s">
        <v>138</v>
      </c>
      <c r="D16" s="2" t="s">
        <v>139</v>
      </c>
      <c r="E16" s="2" t="s">
        <v>122</v>
      </c>
      <c r="F16" s="2" t="s">
        <v>537</v>
      </c>
      <c r="G16" s="2" t="s">
        <v>420</v>
      </c>
      <c r="H16" s="2" t="s">
        <v>421</v>
      </c>
      <c r="I16" s="22">
        <v>2200</v>
      </c>
      <c r="J16" s="18">
        <v>2.35</v>
      </c>
      <c r="K16" s="2" t="s">
        <v>124</v>
      </c>
      <c r="L16" s="2" t="s">
        <v>123</v>
      </c>
      <c r="M16" s="2">
        <v>5</v>
      </c>
      <c r="N16" s="2" t="s">
        <v>135</v>
      </c>
    </row>
    <row r="17" spans="2:14" x14ac:dyDescent="0.25">
      <c r="B17" s="2" t="s">
        <v>548</v>
      </c>
      <c r="C17" s="2" t="s">
        <v>140</v>
      </c>
      <c r="D17" s="2" t="s">
        <v>141</v>
      </c>
      <c r="E17" s="2" t="s">
        <v>122</v>
      </c>
      <c r="F17" s="2" t="s">
        <v>535</v>
      </c>
      <c r="G17" s="2" t="s">
        <v>416</v>
      </c>
      <c r="H17" s="2" t="s">
        <v>94</v>
      </c>
      <c r="I17" s="22">
        <v>1850</v>
      </c>
      <c r="J17" s="18">
        <v>1.98</v>
      </c>
      <c r="K17" s="2" t="s">
        <v>124</v>
      </c>
      <c r="L17" s="2" t="s">
        <v>123</v>
      </c>
      <c r="M17" s="2">
        <v>2</v>
      </c>
      <c r="N17" s="2" t="s">
        <v>125</v>
      </c>
    </row>
    <row r="18" spans="2:14" x14ac:dyDescent="0.25">
      <c r="B18" s="2" t="s">
        <v>549</v>
      </c>
      <c r="C18" s="2" t="s">
        <v>140</v>
      </c>
      <c r="D18" s="2" t="s">
        <v>141</v>
      </c>
      <c r="E18" s="2" t="s">
        <v>122</v>
      </c>
      <c r="F18" s="2" t="s">
        <v>537</v>
      </c>
      <c r="G18" s="2" t="s">
        <v>420</v>
      </c>
      <c r="H18" s="2" t="s">
        <v>421</v>
      </c>
      <c r="I18" s="22">
        <v>1900</v>
      </c>
      <c r="J18" s="18">
        <v>2.0299999999999998</v>
      </c>
      <c r="K18" s="2" t="s">
        <v>124</v>
      </c>
      <c r="L18" s="2" t="s">
        <v>123</v>
      </c>
      <c r="M18" s="2">
        <v>3</v>
      </c>
      <c r="N18" s="2" t="s">
        <v>135</v>
      </c>
    </row>
    <row r="19" spans="2:14" x14ac:dyDescent="0.25">
      <c r="B19" s="2" t="s">
        <v>550</v>
      </c>
      <c r="C19" s="2" t="s">
        <v>142</v>
      </c>
      <c r="D19" s="2" t="s">
        <v>143</v>
      </c>
      <c r="E19" s="2" t="s">
        <v>122</v>
      </c>
      <c r="F19" s="2" t="s">
        <v>535</v>
      </c>
      <c r="G19" s="2" t="s">
        <v>416</v>
      </c>
      <c r="H19" s="2" t="s">
        <v>94</v>
      </c>
      <c r="I19" s="22">
        <v>2450</v>
      </c>
      <c r="J19" s="18">
        <v>2.62</v>
      </c>
      <c r="K19" s="2" t="s">
        <v>124</v>
      </c>
      <c r="L19" s="2" t="s">
        <v>123</v>
      </c>
      <c r="M19" s="2">
        <v>3</v>
      </c>
      <c r="N19" s="2" t="s">
        <v>125</v>
      </c>
    </row>
    <row r="20" spans="2:14" x14ac:dyDescent="0.25">
      <c r="B20" s="2" t="s">
        <v>551</v>
      </c>
      <c r="C20" s="2" t="s">
        <v>142</v>
      </c>
      <c r="D20" s="2" t="s">
        <v>143</v>
      </c>
      <c r="E20" s="2" t="s">
        <v>122</v>
      </c>
      <c r="F20" s="2" t="s">
        <v>537</v>
      </c>
      <c r="G20" s="2" t="s">
        <v>420</v>
      </c>
      <c r="H20" s="2" t="s">
        <v>421</v>
      </c>
      <c r="I20" s="22">
        <v>2650</v>
      </c>
      <c r="J20" s="18">
        <v>2.83</v>
      </c>
      <c r="K20" s="2" t="s">
        <v>124</v>
      </c>
      <c r="L20" s="2" t="s">
        <v>123</v>
      </c>
      <c r="M20" s="2">
        <v>3</v>
      </c>
      <c r="N20" s="2" t="s">
        <v>135</v>
      </c>
    </row>
    <row r="21" spans="2:14" x14ac:dyDescent="0.25">
      <c r="B21" s="2" t="s">
        <v>552</v>
      </c>
      <c r="C21" s="2" t="s">
        <v>144</v>
      </c>
      <c r="D21" s="2" t="s">
        <v>145</v>
      </c>
      <c r="E21" s="2" t="s">
        <v>122</v>
      </c>
      <c r="F21" s="2" t="s">
        <v>535</v>
      </c>
      <c r="G21" s="2" t="s">
        <v>416</v>
      </c>
      <c r="H21" s="2" t="s">
        <v>94</v>
      </c>
      <c r="I21" s="22">
        <v>2150</v>
      </c>
      <c r="J21" s="18">
        <v>2.2999999999999998</v>
      </c>
      <c r="K21" s="2" t="s">
        <v>124</v>
      </c>
      <c r="L21" s="2" t="s">
        <v>123</v>
      </c>
      <c r="M21" s="2">
        <v>1</v>
      </c>
      <c r="N21" s="2" t="s">
        <v>125</v>
      </c>
    </row>
    <row r="22" spans="2:14" x14ac:dyDescent="0.25">
      <c r="B22" s="2" t="s">
        <v>553</v>
      </c>
      <c r="C22" s="2" t="s">
        <v>144</v>
      </c>
      <c r="D22" s="2" t="s">
        <v>145</v>
      </c>
      <c r="E22" s="2" t="s">
        <v>122</v>
      </c>
      <c r="F22" s="2" t="s">
        <v>537</v>
      </c>
      <c r="G22" s="2" t="s">
        <v>420</v>
      </c>
      <c r="H22" s="2" t="s">
        <v>421</v>
      </c>
      <c r="I22" s="22">
        <v>2200</v>
      </c>
      <c r="J22" s="18">
        <v>2.35</v>
      </c>
      <c r="K22" s="2" t="s">
        <v>124</v>
      </c>
      <c r="L22" s="2" t="s">
        <v>123</v>
      </c>
      <c r="M22" s="2">
        <v>5</v>
      </c>
      <c r="N22" s="2" t="s">
        <v>135</v>
      </c>
    </row>
    <row r="23" spans="2:14" x14ac:dyDescent="0.25">
      <c r="B23" s="2" t="s">
        <v>554</v>
      </c>
      <c r="C23" s="2" t="s">
        <v>146</v>
      </c>
      <c r="D23" s="2" t="s">
        <v>147</v>
      </c>
      <c r="E23" s="2" t="s">
        <v>122</v>
      </c>
      <c r="F23" s="2" t="s">
        <v>535</v>
      </c>
      <c r="G23" s="2" t="s">
        <v>416</v>
      </c>
      <c r="H23" s="2" t="s">
        <v>94</v>
      </c>
      <c r="I23" s="22">
        <v>2100</v>
      </c>
      <c r="J23" s="18">
        <v>2.25</v>
      </c>
      <c r="K23" s="2" t="s">
        <v>124</v>
      </c>
      <c r="L23" s="2" t="s">
        <v>123</v>
      </c>
      <c r="M23" s="2">
        <v>1</v>
      </c>
      <c r="N23" s="2" t="s">
        <v>125</v>
      </c>
    </row>
    <row r="24" spans="2:14" x14ac:dyDescent="0.25">
      <c r="B24" s="2" t="s">
        <v>555</v>
      </c>
      <c r="C24" s="2" t="s">
        <v>146</v>
      </c>
      <c r="D24" s="2" t="s">
        <v>147</v>
      </c>
      <c r="E24" s="2" t="s">
        <v>122</v>
      </c>
      <c r="F24" s="2" t="s">
        <v>537</v>
      </c>
      <c r="G24" s="2" t="s">
        <v>420</v>
      </c>
      <c r="H24" s="2" t="s">
        <v>421</v>
      </c>
      <c r="I24" s="22">
        <v>2150</v>
      </c>
      <c r="J24" s="18">
        <v>2.2999999999999998</v>
      </c>
      <c r="K24" s="2" t="s">
        <v>124</v>
      </c>
      <c r="L24" s="2" t="s">
        <v>123</v>
      </c>
      <c r="M24" s="2">
        <v>5</v>
      </c>
      <c r="N24" s="2" t="s">
        <v>135</v>
      </c>
    </row>
    <row r="25" spans="2:14" x14ac:dyDescent="0.25">
      <c r="B25" s="2" t="s">
        <v>556</v>
      </c>
      <c r="C25" s="2" t="s">
        <v>148</v>
      </c>
      <c r="D25" s="2" t="s">
        <v>149</v>
      </c>
      <c r="E25" s="2" t="s">
        <v>122</v>
      </c>
      <c r="F25" s="2" t="s">
        <v>535</v>
      </c>
      <c r="G25" s="2" t="s">
        <v>416</v>
      </c>
      <c r="H25" s="2" t="s">
        <v>94</v>
      </c>
      <c r="I25" s="22">
        <v>2500</v>
      </c>
      <c r="J25" s="18">
        <v>2.67</v>
      </c>
      <c r="K25" s="2" t="s">
        <v>151</v>
      </c>
      <c r="L25" s="2" t="s">
        <v>150</v>
      </c>
      <c r="M25" s="2">
        <v>1</v>
      </c>
      <c r="N25" s="2" t="s">
        <v>125</v>
      </c>
    </row>
    <row r="26" spans="2:14" x14ac:dyDescent="0.25">
      <c r="B26" s="2" t="s">
        <v>557</v>
      </c>
      <c r="C26" s="2" t="s">
        <v>148</v>
      </c>
      <c r="D26" s="2" t="s">
        <v>149</v>
      </c>
      <c r="E26" s="2" t="s">
        <v>122</v>
      </c>
      <c r="F26" s="2" t="s">
        <v>537</v>
      </c>
      <c r="G26" s="2" t="s">
        <v>420</v>
      </c>
      <c r="H26" s="2" t="s">
        <v>421</v>
      </c>
      <c r="I26" s="22">
        <v>2550</v>
      </c>
      <c r="J26" s="18">
        <v>2.73</v>
      </c>
      <c r="K26" s="2" t="s">
        <v>151</v>
      </c>
      <c r="L26" s="2" t="s">
        <v>150</v>
      </c>
      <c r="M26" s="2">
        <v>3</v>
      </c>
      <c r="N26" s="2" t="s">
        <v>135</v>
      </c>
    </row>
    <row r="27" spans="2:14" x14ac:dyDescent="0.25">
      <c r="B27" s="2" t="s">
        <v>558</v>
      </c>
      <c r="C27" s="2" t="s">
        <v>153</v>
      </c>
      <c r="D27" s="2" t="s">
        <v>154</v>
      </c>
      <c r="E27" s="2" t="s">
        <v>155</v>
      </c>
      <c r="F27" s="2" t="s">
        <v>535</v>
      </c>
      <c r="G27" s="2" t="s">
        <v>425</v>
      </c>
      <c r="H27" s="2" t="s">
        <v>426</v>
      </c>
      <c r="I27" s="22">
        <v>1150</v>
      </c>
      <c r="J27" s="18">
        <v>1.23</v>
      </c>
      <c r="K27" s="2" t="s">
        <v>124</v>
      </c>
      <c r="L27" s="2" t="s">
        <v>123</v>
      </c>
      <c r="M27" s="2">
        <v>0</v>
      </c>
      <c r="N27" s="2" t="s">
        <v>135</v>
      </c>
    </row>
    <row r="28" spans="2:14" x14ac:dyDescent="0.25">
      <c r="B28" s="2" t="s">
        <v>559</v>
      </c>
      <c r="C28" s="2" t="s">
        <v>153</v>
      </c>
      <c r="D28" s="2" t="s">
        <v>154</v>
      </c>
      <c r="E28" s="2" t="s">
        <v>155</v>
      </c>
      <c r="F28" s="2" t="s">
        <v>537</v>
      </c>
      <c r="G28" s="2" t="s">
        <v>430</v>
      </c>
      <c r="H28" s="2" t="s">
        <v>431</v>
      </c>
      <c r="I28" s="22">
        <v>1150</v>
      </c>
      <c r="J28" s="18">
        <v>1.23</v>
      </c>
      <c r="K28" s="2" t="s">
        <v>124</v>
      </c>
      <c r="L28" s="2" t="s">
        <v>123</v>
      </c>
      <c r="M28" s="2">
        <v>5</v>
      </c>
      <c r="N28" s="2" t="s">
        <v>125</v>
      </c>
    </row>
    <row r="29" spans="2:14" x14ac:dyDescent="0.25">
      <c r="B29" s="2" t="s">
        <v>560</v>
      </c>
      <c r="C29" s="2" t="s">
        <v>156</v>
      </c>
      <c r="D29" s="2" t="s">
        <v>157</v>
      </c>
      <c r="E29" s="2" t="s">
        <v>155</v>
      </c>
      <c r="F29" s="2" t="s">
        <v>535</v>
      </c>
      <c r="G29" s="2" t="s">
        <v>425</v>
      </c>
      <c r="H29" s="2" t="s">
        <v>426</v>
      </c>
      <c r="I29" s="22">
        <v>1050</v>
      </c>
      <c r="J29" s="18">
        <v>1.1200000000000001</v>
      </c>
      <c r="K29" s="2" t="s">
        <v>124</v>
      </c>
      <c r="L29" s="2" t="s">
        <v>123</v>
      </c>
      <c r="M29" s="2">
        <v>2</v>
      </c>
      <c r="N29" s="2" t="s">
        <v>135</v>
      </c>
    </row>
    <row r="30" spans="2:14" x14ac:dyDescent="0.25">
      <c r="B30" s="2" t="s">
        <v>561</v>
      </c>
      <c r="C30" s="2" t="s">
        <v>156</v>
      </c>
      <c r="D30" s="2" t="s">
        <v>157</v>
      </c>
      <c r="E30" s="2" t="s">
        <v>155</v>
      </c>
      <c r="F30" s="2" t="s">
        <v>537</v>
      </c>
      <c r="G30" s="2" t="s">
        <v>430</v>
      </c>
      <c r="H30" s="2" t="s">
        <v>431</v>
      </c>
      <c r="I30" s="22">
        <v>1200</v>
      </c>
      <c r="J30" s="18">
        <v>1.28</v>
      </c>
      <c r="K30" s="2" t="s">
        <v>124</v>
      </c>
      <c r="L30" s="2" t="s">
        <v>123</v>
      </c>
      <c r="M30" s="2">
        <v>5</v>
      </c>
      <c r="N30" s="2" t="s">
        <v>125</v>
      </c>
    </row>
    <row r="31" spans="2:14" x14ac:dyDescent="0.25">
      <c r="B31" s="2" t="s">
        <v>562</v>
      </c>
      <c r="C31" s="2" t="s">
        <v>158</v>
      </c>
      <c r="D31" s="2" t="s">
        <v>159</v>
      </c>
      <c r="E31" s="2" t="s">
        <v>155</v>
      </c>
      <c r="F31" s="2" t="s">
        <v>535</v>
      </c>
      <c r="G31" s="2" t="s">
        <v>425</v>
      </c>
      <c r="H31" s="2" t="s">
        <v>426</v>
      </c>
      <c r="I31" s="22">
        <v>1150</v>
      </c>
      <c r="J31" s="18">
        <v>1.23</v>
      </c>
      <c r="K31" s="2" t="s">
        <v>124</v>
      </c>
      <c r="L31" s="2" t="s">
        <v>123</v>
      </c>
      <c r="M31" s="2">
        <v>5</v>
      </c>
      <c r="N31" s="2" t="s">
        <v>135</v>
      </c>
    </row>
    <row r="32" spans="2:14" x14ac:dyDescent="0.25">
      <c r="B32" s="2" t="s">
        <v>563</v>
      </c>
      <c r="C32" s="2" t="s">
        <v>158</v>
      </c>
      <c r="D32" s="2" t="s">
        <v>159</v>
      </c>
      <c r="E32" s="2" t="s">
        <v>155</v>
      </c>
      <c r="F32" s="2" t="s">
        <v>537</v>
      </c>
      <c r="G32" s="2" t="s">
        <v>430</v>
      </c>
      <c r="H32" s="2" t="s">
        <v>431</v>
      </c>
      <c r="I32" s="22">
        <v>1100</v>
      </c>
      <c r="J32" s="18">
        <v>1.18</v>
      </c>
      <c r="K32" s="2" t="s">
        <v>124</v>
      </c>
      <c r="L32" s="2" t="s">
        <v>123</v>
      </c>
      <c r="M32" s="2">
        <v>5</v>
      </c>
      <c r="N32" s="2" t="s">
        <v>125</v>
      </c>
    </row>
    <row r="33" spans="2:14" x14ac:dyDescent="0.25">
      <c r="B33" s="2" t="s">
        <v>564</v>
      </c>
      <c r="C33" s="2" t="s">
        <v>160</v>
      </c>
      <c r="D33" s="2" t="s">
        <v>161</v>
      </c>
      <c r="E33" s="2" t="s">
        <v>155</v>
      </c>
      <c r="F33" s="2" t="s">
        <v>535</v>
      </c>
      <c r="G33" s="2" t="s">
        <v>425</v>
      </c>
      <c r="H33" s="2" t="s">
        <v>426</v>
      </c>
      <c r="I33" s="22">
        <v>1450</v>
      </c>
      <c r="J33" s="18">
        <v>1.55</v>
      </c>
      <c r="K33" s="2" t="s">
        <v>124</v>
      </c>
      <c r="L33" s="2" t="s">
        <v>123</v>
      </c>
      <c r="M33" s="2">
        <v>0</v>
      </c>
      <c r="N33" s="2" t="s">
        <v>135</v>
      </c>
    </row>
    <row r="34" spans="2:14" x14ac:dyDescent="0.25">
      <c r="B34" s="2" t="s">
        <v>565</v>
      </c>
      <c r="C34" s="2" t="s">
        <v>160</v>
      </c>
      <c r="D34" s="2" t="s">
        <v>161</v>
      </c>
      <c r="E34" s="2" t="s">
        <v>155</v>
      </c>
      <c r="F34" s="2" t="s">
        <v>537</v>
      </c>
      <c r="G34" s="2" t="s">
        <v>430</v>
      </c>
      <c r="H34" s="2" t="s">
        <v>431</v>
      </c>
      <c r="I34" s="22">
        <v>1550</v>
      </c>
      <c r="J34" s="18">
        <v>1.66</v>
      </c>
      <c r="K34" s="2" t="s">
        <v>124</v>
      </c>
      <c r="L34" s="2" t="s">
        <v>123</v>
      </c>
      <c r="M34" s="2">
        <v>5</v>
      </c>
      <c r="N34" s="2" t="s">
        <v>125</v>
      </c>
    </row>
    <row r="35" spans="2:14" x14ac:dyDescent="0.25">
      <c r="B35" s="2" t="s">
        <v>566</v>
      </c>
      <c r="C35" s="2" t="s">
        <v>162</v>
      </c>
      <c r="D35" s="2" t="s">
        <v>163</v>
      </c>
      <c r="E35" s="2" t="s">
        <v>164</v>
      </c>
      <c r="F35" s="2" t="s">
        <v>535</v>
      </c>
      <c r="G35" s="2" t="s">
        <v>435</v>
      </c>
      <c r="H35" s="2" t="s">
        <v>436</v>
      </c>
      <c r="I35" s="22">
        <v>2100</v>
      </c>
      <c r="J35" s="18">
        <v>2.25</v>
      </c>
      <c r="K35" s="2" t="s">
        <v>151</v>
      </c>
      <c r="L35" s="2" t="s">
        <v>165</v>
      </c>
      <c r="M35" s="2">
        <v>0</v>
      </c>
      <c r="N35" s="2" t="s">
        <v>125</v>
      </c>
    </row>
    <row r="36" spans="2:14" x14ac:dyDescent="0.25">
      <c r="B36" s="2" t="s">
        <v>567</v>
      </c>
      <c r="C36" s="2" t="s">
        <v>162</v>
      </c>
      <c r="D36" s="2" t="s">
        <v>163</v>
      </c>
      <c r="E36" s="2" t="s">
        <v>164</v>
      </c>
      <c r="F36" s="2" t="s">
        <v>537</v>
      </c>
      <c r="G36" s="2" t="s">
        <v>440</v>
      </c>
      <c r="H36" s="2" t="s">
        <v>441</v>
      </c>
      <c r="I36" s="22">
        <v>2200</v>
      </c>
      <c r="J36" s="18">
        <v>2.35</v>
      </c>
      <c r="K36" s="2" t="s">
        <v>151</v>
      </c>
      <c r="L36" s="2" t="s">
        <v>165</v>
      </c>
      <c r="M36" s="2">
        <v>3</v>
      </c>
      <c r="N36" s="2" t="s">
        <v>135</v>
      </c>
    </row>
    <row r="37" spans="2:14" x14ac:dyDescent="0.25">
      <c r="B37" s="2" t="s">
        <v>568</v>
      </c>
      <c r="C37" s="2" t="s">
        <v>166</v>
      </c>
      <c r="D37" s="2" t="s">
        <v>167</v>
      </c>
      <c r="E37" s="2" t="s">
        <v>164</v>
      </c>
      <c r="F37" s="2" t="s">
        <v>535</v>
      </c>
      <c r="G37" s="2" t="s">
        <v>435</v>
      </c>
      <c r="H37" s="2" t="s">
        <v>436</v>
      </c>
      <c r="I37" s="22">
        <v>1800</v>
      </c>
      <c r="J37" s="18">
        <v>1.93</v>
      </c>
      <c r="K37" s="2" t="s">
        <v>151</v>
      </c>
      <c r="L37" s="2" t="s">
        <v>165</v>
      </c>
      <c r="M37" s="2">
        <v>1</v>
      </c>
      <c r="N37" s="2" t="s">
        <v>125</v>
      </c>
    </row>
    <row r="38" spans="2:14" x14ac:dyDescent="0.25">
      <c r="B38" s="2" t="s">
        <v>569</v>
      </c>
      <c r="C38" s="2" t="s">
        <v>166</v>
      </c>
      <c r="D38" s="2" t="s">
        <v>167</v>
      </c>
      <c r="E38" s="2" t="s">
        <v>164</v>
      </c>
      <c r="F38" s="2" t="s">
        <v>537</v>
      </c>
      <c r="G38" s="2" t="s">
        <v>440</v>
      </c>
      <c r="H38" s="2" t="s">
        <v>441</v>
      </c>
      <c r="I38" s="22">
        <v>1850</v>
      </c>
      <c r="J38" s="18">
        <v>1.98</v>
      </c>
      <c r="K38" s="2" t="s">
        <v>151</v>
      </c>
      <c r="L38" s="2" t="s">
        <v>165</v>
      </c>
      <c r="M38" s="2">
        <v>7</v>
      </c>
      <c r="N38" s="2" t="s">
        <v>135</v>
      </c>
    </row>
    <row r="39" spans="2:14" x14ac:dyDescent="0.25">
      <c r="B39" s="2" t="s">
        <v>570</v>
      </c>
      <c r="C39" s="2" t="s">
        <v>168</v>
      </c>
      <c r="D39" s="2" t="s">
        <v>169</v>
      </c>
      <c r="E39" s="2" t="s">
        <v>164</v>
      </c>
      <c r="F39" s="2" t="s">
        <v>535</v>
      </c>
      <c r="G39" s="2" t="s">
        <v>435</v>
      </c>
      <c r="H39" s="2" t="s">
        <v>436</v>
      </c>
      <c r="I39" s="22">
        <v>1750</v>
      </c>
      <c r="J39" s="18">
        <v>1.87</v>
      </c>
      <c r="K39" s="2" t="s">
        <v>151</v>
      </c>
      <c r="L39" s="2" t="s">
        <v>165</v>
      </c>
      <c r="M39" s="2">
        <v>2</v>
      </c>
      <c r="N39" s="2" t="s">
        <v>125</v>
      </c>
    </row>
    <row r="40" spans="2:14" x14ac:dyDescent="0.25">
      <c r="B40" s="2" t="s">
        <v>571</v>
      </c>
      <c r="C40" s="2" t="s">
        <v>168</v>
      </c>
      <c r="D40" s="2" t="s">
        <v>169</v>
      </c>
      <c r="E40" s="2" t="s">
        <v>164</v>
      </c>
      <c r="F40" s="2" t="s">
        <v>537</v>
      </c>
      <c r="G40" s="2" t="s">
        <v>440</v>
      </c>
      <c r="H40" s="2" t="s">
        <v>441</v>
      </c>
      <c r="I40" s="22">
        <v>1800</v>
      </c>
      <c r="J40" s="18">
        <v>1.93</v>
      </c>
      <c r="K40" s="2" t="s">
        <v>151</v>
      </c>
      <c r="L40" s="2" t="s">
        <v>165</v>
      </c>
      <c r="M40" s="2">
        <v>5</v>
      </c>
      <c r="N40" s="2" t="s">
        <v>135</v>
      </c>
    </row>
    <row r="41" spans="2:14" x14ac:dyDescent="0.25">
      <c r="B41" s="2" t="s">
        <v>572</v>
      </c>
      <c r="C41" s="2" t="s">
        <v>170</v>
      </c>
      <c r="D41" s="2" t="s">
        <v>171</v>
      </c>
      <c r="E41" s="2" t="s">
        <v>164</v>
      </c>
      <c r="F41" s="2" t="s">
        <v>535</v>
      </c>
      <c r="G41" s="2" t="s">
        <v>435</v>
      </c>
      <c r="H41" s="2" t="s">
        <v>436</v>
      </c>
      <c r="I41" s="22">
        <v>2050</v>
      </c>
      <c r="J41" s="18">
        <v>2.19</v>
      </c>
      <c r="K41" s="2" t="s">
        <v>151</v>
      </c>
      <c r="L41" s="2" t="s">
        <v>165</v>
      </c>
      <c r="M41" s="2">
        <v>5</v>
      </c>
      <c r="N41" s="2" t="s">
        <v>125</v>
      </c>
    </row>
    <row r="42" spans="2:14" x14ac:dyDescent="0.25">
      <c r="B42" s="2" t="s">
        <v>573</v>
      </c>
      <c r="C42" s="2" t="s">
        <v>170</v>
      </c>
      <c r="D42" s="2" t="s">
        <v>171</v>
      </c>
      <c r="E42" s="2" t="s">
        <v>164</v>
      </c>
      <c r="F42" s="2" t="s">
        <v>537</v>
      </c>
      <c r="G42" s="2" t="s">
        <v>440</v>
      </c>
      <c r="H42" s="2" t="s">
        <v>441</v>
      </c>
      <c r="I42" s="22">
        <v>2300</v>
      </c>
      <c r="J42" s="18">
        <v>2.46</v>
      </c>
      <c r="K42" s="2" t="s">
        <v>151</v>
      </c>
      <c r="L42" s="2" t="s">
        <v>165</v>
      </c>
      <c r="M42" s="2">
        <v>3</v>
      </c>
      <c r="N42" s="2" t="s">
        <v>135</v>
      </c>
    </row>
    <row r="43" spans="2:14" x14ac:dyDescent="0.25">
      <c r="B43" s="2" t="s">
        <v>574</v>
      </c>
      <c r="C43" s="2" t="s">
        <v>172</v>
      </c>
      <c r="D43" s="2" t="s">
        <v>173</v>
      </c>
      <c r="E43" s="2" t="s">
        <v>164</v>
      </c>
      <c r="F43" s="2" t="s">
        <v>535</v>
      </c>
      <c r="G43" s="2" t="s">
        <v>435</v>
      </c>
      <c r="H43" s="2" t="s">
        <v>436</v>
      </c>
      <c r="I43" s="22">
        <v>2100</v>
      </c>
      <c r="J43" s="18">
        <v>2.25</v>
      </c>
      <c r="K43" s="2" t="s">
        <v>151</v>
      </c>
      <c r="L43" s="2" t="s">
        <v>165</v>
      </c>
      <c r="M43" s="2">
        <v>3</v>
      </c>
      <c r="N43" s="2" t="s">
        <v>125</v>
      </c>
    </row>
    <row r="44" spans="2:14" x14ac:dyDescent="0.25">
      <c r="B44" s="2" t="s">
        <v>575</v>
      </c>
      <c r="C44" s="2" t="s">
        <v>172</v>
      </c>
      <c r="D44" s="2" t="s">
        <v>173</v>
      </c>
      <c r="E44" s="2" t="s">
        <v>164</v>
      </c>
      <c r="F44" s="2" t="s">
        <v>537</v>
      </c>
      <c r="G44" s="2" t="s">
        <v>440</v>
      </c>
      <c r="H44" s="2" t="s">
        <v>441</v>
      </c>
      <c r="I44" s="22">
        <v>2150</v>
      </c>
      <c r="J44" s="18">
        <v>2.2999999999999998</v>
      </c>
      <c r="K44" s="2" t="s">
        <v>151</v>
      </c>
      <c r="L44" s="2" t="s">
        <v>165</v>
      </c>
      <c r="M44" s="2">
        <v>5</v>
      </c>
      <c r="N44" s="2" t="s">
        <v>135</v>
      </c>
    </row>
    <row r="45" spans="2:14" x14ac:dyDescent="0.25">
      <c r="B45" s="2" t="s">
        <v>576</v>
      </c>
      <c r="C45" s="2" t="s">
        <v>174</v>
      </c>
      <c r="D45" s="2" t="s">
        <v>175</v>
      </c>
      <c r="E45" s="2" t="s">
        <v>176</v>
      </c>
      <c r="F45" s="2" t="s">
        <v>535</v>
      </c>
      <c r="G45" s="2" t="s">
        <v>445</v>
      </c>
      <c r="H45" s="2" t="s">
        <v>446</v>
      </c>
      <c r="I45" s="22">
        <v>1450</v>
      </c>
      <c r="J45" s="18">
        <v>1.55</v>
      </c>
      <c r="K45" s="2" t="s">
        <v>151</v>
      </c>
      <c r="L45" s="2" t="s">
        <v>177</v>
      </c>
      <c r="M45" s="2">
        <v>1</v>
      </c>
      <c r="N45" s="2" t="s">
        <v>135</v>
      </c>
    </row>
    <row r="46" spans="2:14" x14ac:dyDescent="0.25">
      <c r="B46" s="2" t="s">
        <v>577</v>
      </c>
      <c r="C46" s="2" t="s">
        <v>174</v>
      </c>
      <c r="D46" s="2" t="s">
        <v>175</v>
      </c>
      <c r="E46" s="2" t="s">
        <v>176</v>
      </c>
      <c r="F46" s="2" t="s">
        <v>537</v>
      </c>
      <c r="G46" s="2" t="s">
        <v>450</v>
      </c>
      <c r="H46" s="2" t="s">
        <v>451</v>
      </c>
      <c r="I46" s="22">
        <v>1400</v>
      </c>
      <c r="J46" s="18">
        <v>1.5</v>
      </c>
      <c r="K46" s="2" t="s">
        <v>151</v>
      </c>
      <c r="L46" s="2" t="s">
        <v>177</v>
      </c>
      <c r="M46" s="2">
        <v>5</v>
      </c>
      <c r="N46" s="2" t="s">
        <v>125</v>
      </c>
    </row>
    <row r="47" spans="2:14" x14ac:dyDescent="0.25">
      <c r="B47" s="2" t="s">
        <v>578</v>
      </c>
      <c r="C47" s="2" t="s">
        <v>178</v>
      </c>
      <c r="D47" s="2" t="s">
        <v>179</v>
      </c>
      <c r="E47" s="2" t="s">
        <v>176</v>
      </c>
      <c r="F47" s="2" t="s">
        <v>535</v>
      </c>
      <c r="G47" s="2" t="s">
        <v>445</v>
      </c>
      <c r="H47" s="2" t="s">
        <v>446</v>
      </c>
      <c r="I47" s="22">
        <v>1350</v>
      </c>
      <c r="J47" s="18">
        <v>1.44</v>
      </c>
      <c r="K47" s="2" t="s">
        <v>151</v>
      </c>
      <c r="L47" s="2" t="s">
        <v>180</v>
      </c>
      <c r="M47" s="2">
        <v>3</v>
      </c>
      <c r="N47" s="2" t="s">
        <v>135</v>
      </c>
    </row>
    <row r="48" spans="2:14" x14ac:dyDescent="0.25">
      <c r="B48" s="2" t="s">
        <v>579</v>
      </c>
      <c r="C48" s="2" t="s">
        <v>178</v>
      </c>
      <c r="D48" s="2" t="s">
        <v>179</v>
      </c>
      <c r="E48" s="2" t="s">
        <v>176</v>
      </c>
      <c r="F48" s="2" t="s">
        <v>537</v>
      </c>
      <c r="G48" s="2" t="s">
        <v>450</v>
      </c>
      <c r="H48" s="2" t="s">
        <v>451</v>
      </c>
      <c r="I48" s="22">
        <v>1400</v>
      </c>
      <c r="J48" s="18">
        <v>1.5</v>
      </c>
      <c r="K48" s="2" t="s">
        <v>151</v>
      </c>
      <c r="L48" s="2" t="s">
        <v>180</v>
      </c>
      <c r="M48" s="2">
        <v>3</v>
      </c>
      <c r="N48" s="2" t="s">
        <v>125</v>
      </c>
    </row>
    <row r="49" spans="2:14" x14ac:dyDescent="0.25">
      <c r="B49" s="2" t="s">
        <v>580</v>
      </c>
      <c r="C49" s="2" t="s">
        <v>181</v>
      </c>
      <c r="D49" s="2" t="s">
        <v>182</v>
      </c>
      <c r="E49" s="2" t="s">
        <v>176</v>
      </c>
      <c r="F49" s="2" t="s">
        <v>535</v>
      </c>
      <c r="G49" s="2" t="s">
        <v>445</v>
      </c>
      <c r="H49" s="2" t="s">
        <v>446</v>
      </c>
      <c r="I49" s="22">
        <v>1400</v>
      </c>
      <c r="J49" s="18">
        <v>1.5</v>
      </c>
      <c r="K49" s="2" t="s">
        <v>151</v>
      </c>
      <c r="L49" s="2" t="s">
        <v>183</v>
      </c>
      <c r="M49" s="2">
        <v>0</v>
      </c>
      <c r="N49" s="2" t="s">
        <v>135</v>
      </c>
    </row>
    <row r="50" spans="2:14" x14ac:dyDescent="0.25">
      <c r="B50" s="2" t="s">
        <v>581</v>
      </c>
      <c r="C50" s="2" t="s">
        <v>181</v>
      </c>
      <c r="D50" s="2" t="s">
        <v>182</v>
      </c>
      <c r="E50" s="2" t="s">
        <v>176</v>
      </c>
      <c r="F50" s="2" t="s">
        <v>537</v>
      </c>
      <c r="G50" s="2" t="s">
        <v>450</v>
      </c>
      <c r="H50" s="2" t="s">
        <v>451</v>
      </c>
      <c r="I50" s="22">
        <v>1450</v>
      </c>
      <c r="J50" s="18">
        <v>1.55</v>
      </c>
      <c r="K50" s="2" t="s">
        <v>151</v>
      </c>
      <c r="L50" s="2" t="s">
        <v>183</v>
      </c>
      <c r="M50" s="2">
        <v>7</v>
      </c>
      <c r="N50" s="2" t="s">
        <v>125</v>
      </c>
    </row>
    <row r="51" spans="2:14" x14ac:dyDescent="0.25">
      <c r="B51" s="2" t="s">
        <v>582</v>
      </c>
      <c r="C51" s="2" t="s">
        <v>184</v>
      </c>
      <c r="D51" s="2" t="s">
        <v>185</v>
      </c>
      <c r="E51" s="2" t="s">
        <v>176</v>
      </c>
      <c r="F51" s="2" t="s">
        <v>535</v>
      </c>
      <c r="G51" s="2" t="s">
        <v>445</v>
      </c>
      <c r="H51" s="2" t="s">
        <v>446</v>
      </c>
      <c r="I51" s="22">
        <v>1350</v>
      </c>
      <c r="J51" s="18">
        <v>1.44</v>
      </c>
      <c r="K51" s="2" t="s">
        <v>151</v>
      </c>
      <c r="L51" s="2" t="s">
        <v>180</v>
      </c>
      <c r="M51" s="2">
        <v>0</v>
      </c>
      <c r="N51" s="2" t="s">
        <v>135</v>
      </c>
    </row>
    <row r="52" spans="2:14" x14ac:dyDescent="0.25">
      <c r="B52" s="2" t="s">
        <v>583</v>
      </c>
      <c r="C52" s="2" t="s">
        <v>184</v>
      </c>
      <c r="D52" s="2" t="s">
        <v>185</v>
      </c>
      <c r="E52" s="2" t="s">
        <v>176</v>
      </c>
      <c r="F52" s="2" t="s">
        <v>537</v>
      </c>
      <c r="G52" s="2" t="s">
        <v>450</v>
      </c>
      <c r="H52" s="2" t="s">
        <v>451</v>
      </c>
      <c r="I52" s="22">
        <v>1500</v>
      </c>
      <c r="J52" s="18">
        <v>1.6</v>
      </c>
      <c r="K52" s="2" t="s">
        <v>151</v>
      </c>
      <c r="L52" s="2" t="s">
        <v>180</v>
      </c>
      <c r="M52" s="2">
        <v>2</v>
      </c>
      <c r="N52" s="2" t="s">
        <v>125</v>
      </c>
    </row>
    <row r="53" spans="2:14" x14ac:dyDescent="0.25">
      <c r="B53" s="2" t="s">
        <v>584</v>
      </c>
      <c r="C53" s="2" t="s">
        <v>186</v>
      </c>
      <c r="D53" s="2" t="s">
        <v>187</v>
      </c>
      <c r="E53" s="2" t="s">
        <v>176</v>
      </c>
      <c r="F53" s="2" t="s">
        <v>535</v>
      </c>
      <c r="G53" s="2" t="s">
        <v>445</v>
      </c>
      <c r="H53" s="2" t="s">
        <v>446</v>
      </c>
      <c r="I53" s="22">
        <v>1100</v>
      </c>
      <c r="J53" s="18">
        <v>1.18</v>
      </c>
      <c r="K53" s="2" t="s">
        <v>151</v>
      </c>
      <c r="L53" s="2" t="s">
        <v>188</v>
      </c>
      <c r="M53" s="2">
        <v>2</v>
      </c>
      <c r="N53" s="2" t="s">
        <v>135</v>
      </c>
    </row>
    <row r="54" spans="2:14" x14ac:dyDescent="0.25">
      <c r="B54" s="2" t="s">
        <v>585</v>
      </c>
      <c r="C54" s="2" t="s">
        <v>186</v>
      </c>
      <c r="D54" s="2" t="s">
        <v>187</v>
      </c>
      <c r="E54" s="2" t="s">
        <v>176</v>
      </c>
      <c r="F54" s="2" t="s">
        <v>537</v>
      </c>
      <c r="G54" s="2" t="s">
        <v>450</v>
      </c>
      <c r="H54" s="2" t="s">
        <v>451</v>
      </c>
      <c r="I54" s="22">
        <v>1150</v>
      </c>
      <c r="J54" s="18">
        <v>1.23</v>
      </c>
      <c r="K54" s="2" t="s">
        <v>151</v>
      </c>
      <c r="L54" s="2" t="s">
        <v>188</v>
      </c>
      <c r="M54" s="2">
        <v>7</v>
      </c>
      <c r="N54" s="2" t="s">
        <v>125</v>
      </c>
    </row>
    <row r="55" spans="2:14" x14ac:dyDescent="0.25">
      <c r="B55" s="2" t="s">
        <v>586</v>
      </c>
      <c r="C55" s="2" t="s">
        <v>190</v>
      </c>
      <c r="D55" s="2" t="s">
        <v>191</v>
      </c>
      <c r="E55" s="2" t="s">
        <v>176</v>
      </c>
      <c r="F55" s="2" t="s">
        <v>535</v>
      </c>
      <c r="G55" s="2" t="s">
        <v>445</v>
      </c>
      <c r="H55" s="2" t="s">
        <v>446</v>
      </c>
      <c r="I55" s="22">
        <v>1100</v>
      </c>
      <c r="J55" s="18">
        <v>1.18</v>
      </c>
      <c r="K55" s="2" t="s">
        <v>151</v>
      </c>
      <c r="L55" s="2" t="s">
        <v>192</v>
      </c>
      <c r="M55" s="2">
        <v>2</v>
      </c>
      <c r="N55" s="2" t="s">
        <v>135</v>
      </c>
    </row>
    <row r="56" spans="2:14" x14ac:dyDescent="0.25">
      <c r="B56" s="2" t="s">
        <v>587</v>
      </c>
      <c r="C56" s="2" t="s">
        <v>190</v>
      </c>
      <c r="D56" s="2" t="s">
        <v>191</v>
      </c>
      <c r="E56" s="2" t="s">
        <v>176</v>
      </c>
      <c r="F56" s="2" t="s">
        <v>537</v>
      </c>
      <c r="G56" s="2" t="s">
        <v>450</v>
      </c>
      <c r="H56" s="2" t="s">
        <v>451</v>
      </c>
      <c r="I56" s="22">
        <v>1100</v>
      </c>
      <c r="J56" s="18">
        <v>1.18</v>
      </c>
      <c r="K56" s="2" t="s">
        <v>151</v>
      </c>
      <c r="L56" s="2" t="s">
        <v>192</v>
      </c>
      <c r="M56" s="2">
        <v>3</v>
      </c>
      <c r="N56" s="2" t="s">
        <v>125</v>
      </c>
    </row>
    <row r="57" spans="2:14" x14ac:dyDescent="0.25">
      <c r="B57" s="2" t="s">
        <v>588</v>
      </c>
      <c r="C57" s="2" t="s">
        <v>193</v>
      </c>
      <c r="D57" s="2" t="s">
        <v>194</v>
      </c>
      <c r="E57" s="2" t="s">
        <v>176</v>
      </c>
      <c r="F57" s="2" t="s">
        <v>535</v>
      </c>
      <c r="G57" s="2" t="s">
        <v>445</v>
      </c>
      <c r="H57" s="2" t="s">
        <v>446</v>
      </c>
      <c r="I57" s="22">
        <v>1450</v>
      </c>
      <c r="J57" s="18">
        <v>1.55</v>
      </c>
      <c r="K57" s="2" t="s">
        <v>151</v>
      </c>
      <c r="L57" s="2" t="s">
        <v>177</v>
      </c>
      <c r="M57" s="2">
        <v>3</v>
      </c>
      <c r="N57" s="2" t="s">
        <v>135</v>
      </c>
    </row>
    <row r="58" spans="2:14" x14ac:dyDescent="0.25">
      <c r="B58" s="2" t="s">
        <v>589</v>
      </c>
      <c r="C58" s="2" t="s">
        <v>193</v>
      </c>
      <c r="D58" s="2" t="s">
        <v>194</v>
      </c>
      <c r="E58" s="2" t="s">
        <v>176</v>
      </c>
      <c r="F58" s="2" t="s">
        <v>537</v>
      </c>
      <c r="G58" s="2" t="s">
        <v>450</v>
      </c>
      <c r="H58" s="2" t="s">
        <v>451</v>
      </c>
      <c r="I58" s="22">
        <v>1400</v>
      </c>
      <c r="J58" s="18">
        <v>1.5</v>
      </c>
      <c r="K58" s="2" t="s">
        <v>151</v>
      </c>
      <c r="L58" s="2" t="s">
        <v>177</v>
      </c>
      <c r="M58" s="2">
        <v>3</v>
      </c>
      <c r="N58" s="2" t="s">
        <v>125</v>
      </c>
    </row>
    <row r="59" spans="2:14" x14ac:dyDescent="0.25">
      <c r="B59" s="2" t="s">
        <v>590</v>
      </c>
      <c r="C59" s="2" t="s">
        <v>195</v>
      </c>
      <c r="D59" s="2" t="s">
        <v>196</v>
      </c>
      <c r="E59" s="2" t="s">
        <v>176</v>
      </c>
      <c r="F59" s="2" t="s">
        <v>535</v>
      </c>
      <c r="G59" s="2" t="s">
        <v>445</v>
      </c>
      <c r="H59" s="2" t="s">
        <v>446</v>
      </c>
      <c r="I59" s="22">
        <v>1350</v>
      </c>
      <c r="J59" s="18">
        <v>1.44</v>
      </c>
      <c r="K59" s="2" t="s">
        <v>151</v>
      </c>
      <c r="L59" s="2" t="s">
        <v>177</v>
      </c>
      <c r="M59" s="2">
        <v>3</v>
      </c>
      <c r="N59" s="2" t="s">
        <v>135</v>
      </c>
    </row>
    <row r="60" spans="2:14" x14ac:dyDescent="0.25">
      <c r="B60" s="2" t="s">
        <v>591</v>
      </c>
      <c r="C60" s="2" t="s">
        <v>195</v>
      </c>
      <c r="D60" s="2" t="s">
        <v>196</v>
      </c>
      <c r="E60" s="2" t="s">
        <v>176</v>
      </c>
      <c r="F60" s="2" t="s">
        <v>537</v>
      </c>
      <c r="G60" s="2" t="s">
        <v>450</v>
      </c>
      <c r="H60" s="2" t="s">
        <v>451</v>
      </c>
      <c r="I60" s="22">
        <v>1500</v>
      </c>
      <c r="J60" s="18">
        <v>1.6</v>
      </c>
      <c r="K60" s="2" t="s">
        <v>151</v>
      </c>
      <c r="L60" s="2" t="s">
        <v>177</v>
      </c>
      <c r="M60" s="2">
        <v>7</v>
      </c>
      <c r="N60" s="2" t="s">
        <v>125</v>
      </c>
    </row>
    <row r="61" spans="2:14" x14ac:dyDescent="0.25">
      <c r="B61" s="2" t="s">
        <v>592</v>
      </c>
      <c r="C61" s="2" t="s">
        <v>197</v>
      </c>
      <c r="D61" s="2" t="s">
        <v>198</v>
      </c>
      <c r="E61" s="2" t="s">
        <v>176</v>
      </c>
      <c r="F61" s="2" t="s">
        <v>535</v>
      </c>
      <c r="G61" s="2" t="s">
        <v>445</v>
      </c>
      <c r="H61" s="2" t="s">
        <v>446</v>
      </c>
      <c r="I61" s="22">
        <v>1400</v>
      </c>
      <c r="J61" s="18">
        <v>1.5</v>
      </c>
      <c r="K61" s="2" t="s">
        <v>151</v>
      </c>
      <c r="L61" s="2" t="s">
        <v>177</v>
      </c>
      <c r="M61" s="2">
        <v>1</v>
      </c>
      <c r="N61" s="2" t="s">
        <v>135</v>
      </c>
    </row>
    <row r="62" spans="2:14" x14ac:dyDescent="0.25">
      <c r="B62" s="2" t="s">
        <v>593</v>
      </c>
      <c r="C62" s="2" t="s">
        <v>197</v>
      </c>
      <c r="D62" s="2" t="s">
        <v>198</v>
      </c>
      <c r="E62" s="2" t="s">
        <v>176</v>
      </c>
      <c r="F62" s="2" t="s">
        <v>537</v>
      </c>
      <c r="G62" s="2" t="s">
        <v>450</v>
      </c>
      <c r="H62" s="2" t="s">
        <v>451</v>
      </c>
      <c r="I62" s="22">
        <v>1500</v>
      </c>
      <c r="J62" s="18">
        <v>1.6</v>
      </c>
      <c r="K62" s="2" t="s">
        <v>151</v>
      </c>
      <c r="L62" s="2" t="s">
        <v>177</v>
      </c>
      <c r="M62" s="2">
        <v>7</v>
      </c>
      <c r="N62" s="2" t="s">
        <v>125</v>
      </c>
    </row>
    <row r="63" spans="2:14" x14ac:dyDescent="0.25">
      <c r="B63" s="2" t="s">
        <v>594</v>
      </c>
      <c r="C63" s="2" t="s">
        <v>199</v>
      </c>
      <c r="D63" s="2" t="s">
        <v>200</v>
      </c>
      <c r="E63" s="2" t="s">
        <v>201</v>
      </c>
      <c r="F63" s="2" t="s">
        <v>535</v>
      </c>
      <c r="G63" s="2" t="s">
        <v>455</v>
      </c>
      <c r="H63" s="2" t="s">
        <v>456</v>
      </c>
      <c r="I63" s="22">
        <v>1050</v>
      </c>
      <c r="J63" s="18">
        <v>1.1200000000000001</v>
      </c>
      <c r="K63" s="2" t="s">
        <v>151</v>
      </c>
      <c r="L63" s="2" t="s">
        <v>177</v>
      </c>
      <c r="M63" s="2">
        <v>0</v>
      </c>
      <c r="N63" s="2" t="s">
        <v>125</v>
      </c>
    </row>
    <row r="64" spans="2:14" x14ac:dyDescent="0.25">
      <c r="B64" s="2" t="s">
        <v>595</v>
      </c>
      <c r="C64" s="2" t="s">
        <v>199</v>
      </c>
      <c r="D64" s="2" t="s">
        <v>200</v>
      </c>
      <c r="E64" s="2" t="s">
        <v>201</v>
      </c>
      <c r="F64" s="2" t="s">
        <v>537</v>
      </c>
      <c r="G64" s="2" t="s">
        <v>460</v>
      </c>
      <c r="H64" s="2" t="s">
        <v>461</v>
      </c>
      <c r="I64" s="22">
        <v>1050</v>
      </c>
      <c r="J64" s="18">
        <v>1.1200000000000001</v>
      </c>
      <c r="K64" s="2" t="s">
        <v>151</v>
      </c>
      <c r="L64" s="2" t="s">
        <v>177</v>
      </c>
      <c r="M64" s="2">
        <v>2</v>
      </c>
      <c r="N64" s="2" t="s">
        <v>125</v>
      </c>
    </row>
    <row r="65" spans="2:14" x14ac:dyDescent="0.25">
      <c r="B65" s="2" t="s">
        <v>596</v>
      </c>
      <c r="C65" s="2" t="s">
        <v>202</v>
      </c>
      <c r="D65" s="2" t="s">
        <v>203</v>
      </c>
      <c r="E65" s="2" t="s">
        <v>201</v>
      </c>
      <c r="F65" s="2" t="s">
        <v>535</v>
      </c>
      <c r="G65" s="2" t="s">
        <v>455</v>
      </c>
      <c r="H65" s="2" t="s">
        <v>456</v>
      </c>
      <c r="I65" s="22">
        <v>1050</v>
      </c>
      <c r="J65" s="18">
        <v>1.1200000000000001</v>
      </c>
      <c r="K65" s="2" t="s">
        <v>151</v>
      </c>
      <c r="L65" s="2" t="s">
        <v>177</v>
      </c>
      <c r="M65" s="2">
        <v>2</v>
      </c>
      <c r="N65" s="2" t="s">
        <v>125</v>
      </c>
    </row>
    <row r="66" spans="2:14" x14ac:dyDescent="0.25">
      <c r="B66" s="2" t="s">
        <v>597</v>
      </c>
      <c r="C66" s="2" t="s">
        <v>202</v>
      </c>
      <c r="D66" s="2" t="s">
        <v>203</v>
      </c>
      <c r="E66" s="2" t="s">
        <v>201</v>
      </c>
      <c r="F66" s="2" t="s">
        <v>537</v>
      </c>
      <c r="G66" s="2" t="s">
        <v>460</v>
      </c>
      <c r="H66" s="2" t="s">
        <v>461</v>
      </c>
      <c r="I66" s="22">
        <v>1050</v>
      </c>
      <c r="J66" s="18">
        <v>1.1200000000000001</v>
      </c>
      <c r="K66" s="2" t="s">
        <v>151</v>
      </c>
      <c r="L66" s="2" t="s">
        <v>177</v>
      </c>
      <c r="M66" s="2">
        <v>2</v>
      </c>
      <c r="N66" s="2" t="s">
        <v>125</v>
      </c>
    </row>
    <row r="67" spans="2:14" x14ac:dyDescent="0.25">
      <c r="B67" s="2" t="s">
        <v>598</v>
      </c>
      <c r="C67" s="2" t="s">
        <v>204</v>
      </c>
      <c r="D67" s="2" t="s">
        <v>205</v>
      </c>
      <c r="E67" s="2" t="s">
        <v>201</v>
      </c>
      <c r="F67" s="2" t="s">
        <v>535</v>
      </c>
      <c r="G67" s="2" t="s">
        <v>455</v>
      </c>
      <c r="H67" s="2" t="s">
        <v>456</v>
      </c>
      <c r="I67" s="22">
        <v>700</v>
      </c>
      <c r="J67" s="18">
        <v>0.75</v>
      </c>
      <c r="K67" s="2" t="s">
        <v>151</v>
      </c>
      <c r="L67" s="2" t="s">
        <v>192</v>
      </c>
      <c r="M67" s="2">
        <v>2</v>
      </c>
      <c r="N67" s="2" t="s">
        <v>125</v>
      </c>
    </row>
    <row r="68" spans="2:14" x14ac:dyDescent="0.25">
      <c r="B68" s="2" t="s">
        <v>599</v>
      </c>
      <c r="C68" s="2" t="s">
        <v>204</v>
      </c>
      <c r="D68" s="2" t="s">
        <v>205</v>
      </c>
      <c r="E68" s="2" t="s">
        <v>201</v>
      </c>
      <c r="F68" s="2" t="s">
        <v>537</v>
      </c>
      <c r="G68" s="2" t="s">
        <v>460</v>
      </c>
      <c r="H68" s="2" t="s">
        <v>461</v>
      </c>
      <c r="I68" s="22">
        <v>700</v>
      </c>
      <c r="J68" s="18">
        <v>0.75</v>
      </c>
      <c r="K68" s="2" t="s">
        <v>151</v>
      </c>
      <c r="L68" s="2" t="s">
        <v>192</v>
      </c>
      <c r="M68" s="2">
        <v>3</v>
      </c>
      <c r="N68" s="2" t="s">
        <v>125</v>
      </c>
    </row>
    <row r="69" spans="2:14" x14ac:dyDescent="0.25">
      <c r="B69" s="2" t="s">
        <v>600</v>
      </c>
      <c r="C69" s="2" t="s">
        <v>206</v>
      </c>
      <c r="D69" s="2" t="s">
        <v>207</v>
      </c>
      <c r="E69" s="2" t="s">
        <v>201</v>
      </c>
      <c r="F69" s="2" t="s">
        <v>535</v>
      </c>
      <c r="G69" s="2" t="s">
        <v>455</v>
      </c>
      <c r="H69" s="2" t="s">
        <v>456</v>
      </c>
      <c r="I69" s="22">
        <v>1450</v>
      </c>
      <c r="J69" s="18">
        <v>1.55</v>
      </c>
      <c r="K69" s="2" t="s">
        <v>151</v>
      </c>
      <c r="L69" s="2" t="s">
        <v>177</v>
      </c>
      <c r="M69" s="2">
        <v>3</v>
      </c>
      <c r="N69" s="2" t="s">
        <v>125</v>
      </c>
    </row>
    <row r="70" spans="2:14" x14ac:dyDescent="0.25">
      <c r="B70" s="2" t="s">
        <v>601</v>
      </c>
      <c r="C70" s="2" t="s">
        <v>206</v>
      </c>
      <c r="D70" s="2" t="s">
        <v>207</v>
      </c>
      <c r="E70" s="2" t="s">
        <v>201</v>
      </c>
      <c r="F70" s="2" t="s">
        <v>537</v>
      </c>
      <c r="G70" s="2" t="s">
        <v>460</v>
      </c>
      <c r="H70" s="2" t="s">
        <v>461</v>
      </c>
      <c r="I70" s="22">
        <v>1350</v>
      </c>
      <c r="J70" s="18">
        <v>1.44</v>
      </c>
      <c r="K70" s="2" t="s">
        <v>151</v>
      </c>
      <c r="L70" s="2" t="s">
        <v>177</v>
      </c>
      <c r="M70" s="2">
        <v>7</v>
      </c>
      <c r="N70" s="2" t="s">
        <v>125</v>
      </c>
    </row>
    <row r="71" spans="2:14" x14ac:dyDescent="0.25">
      <c r="B71" s="2" t="s">
        <v>602</v>
      </c>
      <c r="C71" s="2" t="s">
        <v>208</v>
      </c>
      <c r="D71" s="2" t="s">
        <v>209</v>
      </c>
      <c r="E71" s="2" t="s">
        <v>201</v>
      </c>
      <c r="F71" s="2" t="s">
        <v>535</v>
      </c>
      <c r="G71" s="2" t="s">
        <v>455</v>
      </c>
      <c r="H71" s="2" t="s">
        <v>456</v>
      </c>
      <c r="I71" s="22">
        <v>650</v>
      </c>
      <c r="J71" s="18">
        <v>0.7</v>
      </c>
      <c r="K71" s="2" t="s">
        <v>151</v>
      </c>
      <c r="L71" s="2" t="s">
        <v>192</v>
      </c>
      <c r="M71" s="2">
        <v>2</v>
      </c>
      <c r="N71" s="2" t="s">
        <v>125</v>
      </c>
    </row>
    <row r="72" spans="2:14" x14ac:dyDescent="0.25">
      <c r="B72" s="2" t="s">
        <v>603</v>
      </c>
      <c r="C72" s="2" t="s">
        <v>208</v>
      </c>
      <c r="D72" s="2" t="s">
        <v>209</v>
      </c>
      <c r="E72" s="2" t="s">
        <v>201</v>
      </c>
      <c r="F72" s="2" t="s">
        <v>537</v>
      </c>
      <c r="G72" s="2" t="s">
        <v>460</v>
      </c>
      <c r="H72" s="2" t="s">
        <v>461</v>
      </c>
      <c r="I72" s="22">
        <v>650</v>
      </c>
      <c r="J72" s="18">
        <v>0.7</v>
      </c>
      <c r="K72" s="2" t="s">
        <v>151</v>
      </c>
      <c r="L72" s="2" t="s">
        <v>192</v>
      </c>
      <c r="M72" s="2">
        <v>3</v>
      </c>
      <c r="N72" s="2" t="s">
        <v>125</v>
      </c>
    </row>
    <row r="73" spans="2:14" x14ac:dyDescent="0.25">
      <c r="B73" s="2" t="s">
        <v>604</v>
      </c>
      <c r="C73" s="2" t="s">
        <v>210</v>
      </c>
      <c r="D73" s="2" t="s">
        <v>211</v>
      </c>
      <c r="E73" s="2" t="s">
        <v>201</v>
      </c>
      <c r="F73" s="2" t="s">
        <v>535</v>
      </c>
      <c r="G73" s="2" t="s">
        <v>455</v>
      </c>
      <c r="H73" s="2" t="s">
        <v>456</v>
      </c>
      <c r="I73" s="22">
        <v>1050</v>
      </c>
      <c r="J73" s="18">
        <v>1.1200000000000001</v>
      </c>
      <c r="K73" s="2" t="s">
        <v>151</v>
      </c>
      <c r="L73" s="2" t="s">
        <v>177</v>
      </c>
      <c r="M73" s="2">
        <v>0</v>
      </c>
      <c r="N73" s="2" t="s">
        <v>125</v>
      </c>
    </row>
    <row r="74" spans="2:14" x14ac:dyDescent="0.25">
      <c r="B74" s="2" t="s">
        <v>605</v>
      </c>
      <c r="C74" s="2" t="s">
        <v>210</v>
      </c>
      <c r="D74" s="2" t="s">
        <v>211</v>
      </c>
      <c r="E74" s="2" t="s">
        <v>201</v>
      </c>
      <c r="F74" s="2" t="s">
        <v>537</v>
      </c>
      <c r="G74" s="2" t="s">
        <v>460</v>
      </c>
      <c r="H74" s="2" t="s">
        <v>461</v>
      </c>
      <c r="I74" s="22">
        <v>1000</v>
      </c>
      <c r="J74" s="18">
        <v>1.07</v>
      </c>
      <c r="K74" s="2" t="s">
        <v>151</v>
      </c>
      <c r="L74" s="2" t="s">
        <v>177</v>
      </c>
      <c r="M74" s="2">
        <v>5</v>
      </c>
      <c r="N74" s="2" t="s">
        <v>125</v>
      </c>
    </row>
    <row r="75" spans="2:14" x14ac:dyDescent="0.25">
      <c r="B75" s="2" t="s">
        <v>606</v>
      </c>
      <c r="C75" s="2" t="s">
        <v>212</v>
      </c>
      <c r="D75" s="2" t="s">
        <v>213</v>
      </c>
      <c r="E75" s="2" t="s">
        <v>201</v>
      </c>
      <c r="F75" s="2" t="s">
        <v>535</v>
      </c>
      <c r="G75" s="2" t="s">
        <v>455</v>
      </c>
      <c r="H75" s="2" t="s">
        <v>456</v>
      </c>
      <c r="I75" s="22">
        <v>1050</v>
      </c>
      <c r="J75" s="18">
        <v>1.1200000000000001</v>
      </c>
      <c r="K75" s="2" t="s">
        <v>151</v>
      </c>
      <c r="L75" s="2" t="s">
        <v>177</v>
      </c>
      <c r="M75" s="2">
        <v>1</v>
      </c>
      <c r="N75" s="2" t="s">
        <v>125</v>
      </c>
    </row>
    <row r="76" spans="2:14" x14ac:dyDescent="0.25">
      <c r="B76" s="2" t="s">
        <v>607</v>
      </c>
      <c r="C76" s="2" t="s">
        <v>212</v>
      </c>
      <c r="D76" s="2" t="s">
        <v>213</v>
      </c>
      <c r="E76" s="2" t="s">
        <v>201</v>
      </c>
      <c r="F76" s="2" t="s">
        <v>537</v>
      </c>
      <c r="G76" s="2" t="s">
        <v>460</v>
      </c>
      <c r="H76" s="2" t="s">
        <v>461</v>
      </c>
      <c r="I76" s="22">
        <v>1050</v>
      </c>
      <c r="J76" s="18">
        <v>1.1200000000000001</v>
      </c>
      <c r="K76" s="2" t="s">
        <v>151</v>
      </c>
      <c r="L76" s="2" t="s">
        <v>177</v>
      </c>
      <c r="M76" s="2">
        <v>5</v>
      </c>
      <c r="N76" s="2" t="s">
        <v>125</v>
      </c>
    </row>
    <row r="77" spans="2:14" x14ac:dyDescent="0.25">
      <c r="B77" s="2" t="s">
        <v>608</v>
      </c>
      <c r="C77" s="2" t="s">
        <v>214</v>
      </c>
      <c r="D77" s="2" t="s">
        <v>215</v>
      </c>
      <c r="E77" s="2" t="s">
        <v>201</v>
      </c>
      <c r="F77" s="2" t="s">
        <v>535</v>
      </c>
      <c r="G77" s="2" t="s">
        <v>455</v>
      </c>
      <c r="H77" s="2" t="s">
        <v>456</v>
      </c>
      <c r="I77" s="22">
        <v>1000</v>
      </c>
      <c r="J77" s="18">
        <v>1.07</v>
      </c>
      <c r="K77" s="2" t="s">
        <v>151</v>
      </c>
      <c r="L77" s="2" t="s">
        <v>177</v>
      </c>
      <c r="M77" s="2">
        <v>1</v>
      </c>
      <c r="N77" s="2" t="s">
        <v>125</v>
      </c>
    </row>
    <row r="78" spans="2:14" x14ac:dyDescent="0.25">
      <c r="B78" s="2" t="s">
        <v>609</v>
      </c>
      <c r="C78" s="2" t="s">
        <v>214</v>
      </c>
      <c r="D78" s="2" t="s">
        <v>215</v>
      </c>
      <c r="E78" s="2" t="s">
        <v>201</v>
      </c>
      <c r="F78" s="2" t="s">
        <v>537</v>
      </c>
      <c r="G78" s="2" t="s">
        <v>460</v>
      </c>
      <c r="H78" s="2" t="s">
        <v>461</v>
      </c>
      <c r="I78" s="22">
        <v>1000</v>
      </c>
      <c r="J78" s="18">
        <v>1.07</v>
      </c>
      <c r="K78" s="2" t="s">
        <v>151</v>
      </c>
      <c r="L78" s="2" t="s">
        <v>177</v>
      </c>
      <c r="M78" s="2">
        <v>3</v>
      </c>
      <c r="N78" s="2" t="s">
        <v>125</v>
      </c>
    </row>
    <row r="79" spans="2:14" x14ac:dyDescent="0.25">
      <c r="B79" s="2" t="s">
        <v>610</v>
      </c>
      <c r="C79" s="2" t="s">
        <v>216</v>
      </c>
      <c r="D79" s="2" t="s">
        <v>217</v>
      </c>
      <c r="E79" s="2" t="s">
        <v>201</v>
      </c>
      <c r="F79" s="2" t="s">
        <v>535</v>
      </c>
      <c r="G79" s="2" t="s">
        <v>455</v>
      </c>
      <c r="H79" s="2" t="s">
        <v>456</v>
      </c>
      <c r="I79" s="22">
        <v>1050</v>
      </c>
      <c r="J79" s="18">
        <v>1.1200000000000001</v>
      </c>
      <c r="K79" s="2" t="s">
        <v>151</v>
      </c>
      <c r="L79" s="2" t="s">
        <v>177</v>
      </c>
      <c r="M79" s="2">
        <v>1</v>
      </c>
      <c r="N79" s="2" t="s">
        <v>125</v>
      </c>
    </row>
    <row r="80" spans="2:14" x14ac:dyDescent="0.25">
      <c r="B80" s="2" t="s">
        <v>611</v>
      </c>
      <c r="C80" s="2" t="s">
        <v>216</v>
      </c>
      <c r="D80" s="2" t="s">
        <v>217</v>
      </c>
      <c r="E80" s="2" t="s">
        <v>201</v>
      </c>
      <c r="F80" s="2" t="s">
        <v>537</v>
      </c>
      <c r="G80" s="2" t="s">
        <v>460</v>
      </c>
      <c r="H80" s="2" t="s">
        <v>461</v>
      </c>
      <c r="I80" s="22">
        <v>1100</v>
      </c>
      <c r="J80" s="18">
        <v>1.18</v>
      </c>
      <c r="K80" s="2" t="s">
        <v>151</v>
      </c>
      <c r="L80" s="2" t="s">
        <v>177</v>
      </c>
      <c r="M80" s="2">
        <v>7</v>
      </c>
      <c r="N80" s="2" t="s">
        <v>125</v>
      </c>
    </row>
    <row r="81" spans="2:14" x14ac:dyDescent="0.25">
      <c r="B81" s="2" t="s">
        <v>612</v>
      </c>
      <c r="C81" s="2" t="s">
        <v>218</v>
      </c>
      <c r="D81" s="2" t="s">
        <v>219</v>
      </c>
      <c r="E81" s="2" t="s">
        <v>201</v>
      </c>
      <c r="F81" s="2" t="s">
        <v>535</v>
      </c>
      <c r="G81" s="2" t="s">
        <v>455</v>
      </c>
      <c r="H81" s="2" t="s">
        <v>456</v>
      </c>
      <c r="I81" s="22">
        <v>1050</v>
      </c>
      <c r="J81" s="18">
        <v>1.1200000000000001</v>
      </c>
      <c r="K81" s="2" t="s">
        <v>151</v>
      </c>
      <c r="L81" s="2" t="s">
        <v>177</v>
      </c>
      <c r="M81" s="2">
        <v>1</v>
      </c>
      <c r="N81" s="2" t="s">
        <v>125</v>
      </c>
    </row>
    <row r="82" spans="2:14" x14ac:dyDescent="0.25">
      <c r="B82" s="2" t="s">
        <v>613</v>
      </c>
      <c r="C82" s="2" t="s">
        <v>218</v>
      </c>
      <c r="D82" s="2" t="s">
        <v>219</v>
      </c>
      <c r="E82" s="2" t="s">
        <v>201</v>
      </c>
      <c r="F82" s="2" t="s">
        <v>537</v>
      </c>
      <c r="G82" s="2" t="s">
        <v>460</v>
      </c>
      <c r="H82" s="2" t="s">
        <v>461</v>
      </c>
      <c r="I82" s="22">
        <v>1100</v>
      </c>
      <c r="J82" s="18">
        <v>1.18</v>
      </c>
      <c r="K82" s="2" t="s">
        <v>151</v>
      </c>
      <c r="L82" s="2" t="s">
        <v>177</v>
      </c>
      <c r="M82" s="2">
        <v>3</v>
      </c>
      <c r="N82" s="2" t="s">
        <v>125</v>
      </c>
    </row>
    <row r="83" spans="2:14" x14ac:dyDescent="0.25">
      <c r="B83" s="2" t="s">
        <v>614</v>
      </c>
      <c r="C83" s="2" t="s">
        <v>220</v>
      </c>
      <c r="D83" s="2" t="s">
        <v>221</v>
      </c>
      <c r="E83" s="2" t="s">
        <v>201</v>
      </c>
      <c r="F83" s="2" t="s">
        <v>535</v>
      </c>
      <c r="G83" s="2" t="s">
        <v>455</v>
      </c>
      <c r="H83" s="2" t="s">
        <v>456</v>
      </c>
      <c r="I83" s="22">
        <v>1350</v>
      </c>
      <c r="J83" s="18">
        <v>1.44</v>
      </c>
      <c r="K83" s="2" t="s">
        <v>151</v>
      </c>
      <c r="L83" s="2" t="s">
        <v>192</v>
      </c>
      <c r="M83" s="2">
        <v>5</v>
      </c>
      <c r="N83" s="2" t="s">
        <v>125</v>
      </c>
    </row>
    <row r="84" spans="2:14" x14ac:dyDescent="0.25">
      <c r="B84" s="2" t="s">
        <v>615</v>
      </c>
      <c r="C84" s="2" t="s">
        <v>220</v>
      </c>
      <c r="D84" s="2" t="s">
        <v>221</v>
      </c>
      <c r="E84" s="2" t="s">
        <v>201</v>
      </c>
      <c r="F84" s="2" t="s">
        <v>537</v>
      </c>
      <c r="G84" s="2" t="s">
        <v>460</v>
      </c>
      <c r="H84" s="2" t="s">
        <v>461</v>
      </c>
      <c r="I84" s="22">
        <v>1450</v>
      </c>
      <c r="J84" s="18">
        <v>1.55</v>
      </c>
      <c r="K84" s="2" t="s">
        <v>151</v>
      </c>
      <c r="L84" s="2" t="s">
        <v>192</v>
      </c>
      <c r="M84" s="2">
        <v>5</v>
      </c>
      <c r="N84" s="2" t="s">
        <v>125</v>
      </c>
    </row>
    <row r="85" spans="2:14" x14ac:dyDescent="0.25">
      <c r="B85" s="2" t="s">
        <v>616</v>
      </c>
      <c r="C85" s="2" t="s">
        <v>222</v>
      </c>
      <c r="D85" s="2" t="s">
        <v>223</v>
      </c>
      <c r="E85" s="2" t="s">
        <v>224</v>
      </c>
      <c r="F85" s="2" t="s">
        <v>535</v>
      </c>
      <c r="G85" s="2" t="s">
        <v>465</v>
      </c>
      <c r="H85" s="2" t="s">
        <v>466</v>
      </c>
      <c r="I85" s="22">
        <v>3150</v>
      </c>
      <c r="J85" s="18">
        <v>3.37</v>
      </c>
      <c r="K85" s="2" t="s">
        <v>151</v>
      </c>
      <c r="L85" s="2" t="s">
        <v>225</v>
      </c>
      <c r="M85" s="2">
        <v>0</v>
      </c>
      <c r="N85" s="2" t="s">
        <v>135</v>
      </c>
    </row>
    <row r="86" spans="2:14" x14ac:dyDescent="0.25">
      <c r="B86" s="2" t="s">
        <v>617</v>
      </c>
      <c r="C86" s="2" t="s">
        <v>222</v>
      </c>
      <c r="D86" s="2" t="s">
        <v>223</v>
      </c>
      <c r="E86" s="2" t="s">
        <v>224</v>
      </c>
      <c r="F86" s="2" t="s">
        <v>537</v>
      </c>
      <c r="G86" s="2" t="s">
        <v>470</v>
      </c>
      <c r="H86" s="2" t="s">
        <v>471</v>
      </c>
      <c r="I86" s="22">
        <v>3350</v>
      </c>
      <c r="J86" s="18">
        <v>3.58</v>
      </c>
      <c r="K86" s="2" t="s">
        <v>151</v>
      </c>
      <c r="L86" s="2" t="s">
        <v>225</v>
      </c>
      <c r="M86" s="2">
        <v>5</v>
      </c>
      <c r="N86" s="2" t="s">
        <v>125</v>
      </c>
    </row>
    <row r="87" spans="2:14" x14ac:dyDescent="0.25">
      <c r="B87" s="2" t="s">
        <v>618</v>
      </c>
      <c r="C87" s="2" t="s">
        <v>226</v>
      </c>
      <c r="D87" s="2" t="s">
        <v>227</v>
      </c>
      <c r="E87" s="2" t="s">
        <v>224</v>
      </c>
      <c r="F87" s="2" t="s">
        <v>535</v>
      </c>
      <c r="G87" s="2" t="s">
        <v>465</v>
      </c>
      <c r="H87" s="2" t="s">
        <v>466</v>
      </c>
      <c r="I87" s="22">
        <v>4000</v>
      </c>
      <c r="J87" s="18">
        <v>4.28</v>
      </c>
      <c r="K87" s="2" t="s">
        <v>151</v>
      </c>
      <c r="L87" s="2" t="s">
        <v>225</v>
      </c>
      <c r="M87" s="2">
        <v>2</v>
      </c>
      <c r="N87" s="2" t="s">
        <v>135</v>
      </c>
    </row>
    <row r="88" spans="2:14" x14ac:dyDescent="0.25">
      <c r="B88" s="2" t="s">
        <v>619</v>
      </c>
      <c r="C88" s="2" t="s">
        <v>226</v>
      </c>
      <c r="D88" s="2" t="s">
        <v>227</v>
      </c>
      <c r="E88" s="2" t="s">
        <v>224</v>
      </c>
      <c r="F88" s="2" t="s">
        <v>537</v>
      </c>
      <c r="G88" s="2" t="s">
        <v>470</v>
      </c>
      <c r="H88" s="2" t="s">
        <v>471</v>
      </c>
      <c r="I88" s="22">
        <v>4050</v>
      </c>
      <c r="J88" s="18">
        <v>4.33</v>
      </c>
      <c r="K88" s="2" t="s">
        <v>151</v>
      </c>
      <c r="L88" s="2" t="s">
        <v>225</v>
      </c>
      <c r="M88" s="2">
        <v>2</v>
      </c>
      <c r="N88" s="2" t="s">
        <v>125</v>
      </c>
    </row>
    <row r="89" spans="2:14" x14ac:dyDescent="0.25">
      <c r="B89" s="2" t="s">
        <v>620</v>
      </c>
      <c r="C89" s="2" t="s">
        <v>228</v>
      </c>
      <c r="D89" s="2" t="s">
        <v>229</v>
      </c>
      <c r="E89" s="2" t="s">
        <v>224</v>
      </c>
      <c r="F89" s="2" t="s">
        <v>535</v>
      </c>
      <c r="G89" s="2" t="s">
        <v>465</v>
      </c>
      <c r="H89" s="2" t="s">
        <v>466</v>
      </c>
      <c r="I89" s="22">
        <v>3450</v>
      </c>
      <c r="J89" s="18">
        <v>3.69</v>
      </c>
      <c r="K89" s="2" t="s">
        <v>151</v>
      </c>
      <c r="L89" s="2" t="s">
        <v>225</v>
      </c>
      <c r="M89" s="2">
        <v>5</v>
      </c>
      <c r="N89" s="2" t="s">
        <v>135</v>
      </c>
    </row>
    <row r="90" spans="2:14" x14ac:dyDescent="0.25">
      <c r="B90" s="2" t="s">
        <v>621</v>
      </c>
      <c r="C90" s="2" t="s">
        <v>228</v>
      </c>
      <c r="D90" s="2" t="s">
        <v>229</v>
      </c>
      <c r="E90" s="2" t="s">
        <v>224</v>
      </c>
      <c r="F90" s="2" t="s">
        <v>537</v>
      </c>
      <c r="G90" s="2" t="s">
        <v>470</v>
      </c>
      <c r="H90" s="2" t="s">
        <v>471</v>
      </c>
      <c r="I90" s="22">
        <v>3750</v>
      </c>
      <c r="J90" s="18">
        <v>4.01</v>
      </c>
      <c r="K90" s="2" t="s">
        <v>151</v>
      </c>
      <c r="L90" s="2" t="s">
        <v>225</v>
      </c>
      <c r="M90" s="2">
        <v>2</v>
      </c>
      <c r="N90" s="2" t="s">
        <v>125</v>
      </c>
    </row>
    <row r="91" spans="2:14" x14ac:dyDescent="0.25">
      <c r="B91" s="2" t="s">
        <v>622</v>
      </c>
      <c r="C91" s="2" t="s">
        <v>230</v>
      </c>
      <c r="D91" s="2" t="s">
        <v>231</v>
      </c>
      <c r="E91" s="2" t="s">
        <v>224</v>
      </c>
      <c r="F91" s="2" t="s">
        <v>535</v>
      </c>
      <c r="G91" s="2" t="s">
        <v>465</v>
      </c>
      <c r="H91" s="2" t="s">
        <v>466</v>
      </c>
      <c r="I91" s="22">
        <v>4100</v>
      </c>
      <c r="J91" s="18">
        <v>4.3899999999999997</v>
      </c>
      <c r="K91" s="2" t="s">
        <v>151</v>
      </c>
      <c r="L91" s="2" t="s">
        <v>225</v>
      </c>
      <c r="M91" s="2">
        <v>3</v>
      </c>
      <c r="N91" s="2" t="s">
        <v>135</v>
      </c>
    </row>
    <row r="92" spans="2:14" x14ac:dyDescent="0.25">
      <c r="B92" s="2" t="s">
        <v>623</v>
      </c>
      <c r="C92" s="2" t="s">
        <v>230</v>
      </c>
      <c r="D92" s="2" t="s">
        <v>231</v>
      </c>
      <c r="E92" s="2" t="s">
        <v>224</v>
      </c>
      <c r="F92" s="2" t="s">
        <v>537</v>
      </c>
      <c r="G92" s="2" t="s">
        <v>470</v>
      </c>
      <c r="H92" s="2" t="s">
        <v>471</v>
      </c>
      <c r="I92" s="22">
        <v>4450</v>
      </c>
      <c r="J92" s="18">
        <v>4.76</v>
      </c>
      <c r="K92" s="2" t="s">
        <v>151</v>
      </c>
      <c r="L92" s="2" t="s">
        <v>225</v>
      </c>
      <c r="M92" s="2">
        <v>3</v>
      </c>
      <c r="N92" s="2" t="s">
        <v>125</v>
      </c>
    </row>
    <row r="93" spans="2:14" x14ac:dyDescent="0.25">
      <c r="B93" s="2" t="s">
        <v>624</v>
      </c>
      <c r="C93" s="2" t="s">
        <v>232</v>
      </c>
      <c r="D93" s="2" t="s">
        <v>233</v>
      </c>
      <c r="E93" s="2" t="s">
        <v>224</v>
      </c>
      <c r="F93" s="2" t="s">
        <v>535</v>
      </c>
      <c r="G93" s="2" t="s">
        <v>465</v>
      </c>
      <c r="H93" s="2" t="s">
        <v>466</v>
      </c>
      <c r="I93" s="22">
        <v>4700</v>
      </c>
      <c r="J93" s="18">
        <v>5.03</v>
      </c>
      <c r="K93" s="2" t="s">
        <v>151</v>
      </c>
      <c r="L93" s="2" t="s">
        <v>234</v>
      </c>
      <c r="M93" s="2">
        <v>1</v>
      </c>
      <c r="N93" s="2" t="s">
        <v>135</v>
      </c>
    </row>
    <row r="94" spans="2:14" x14ac:dyDescent="0.25">
      <c r="B94" s="2" t="s">
        <v>625</v>
      </c>
      <c r="C94" s="2" t="s">
        <v>232</v>
      </c>
      <c r="D94" s="2" t="s">
        <v>233</v>
      </c>
      <c r="E94" s="2" t="s">
        <v>224</v>
      </c>
      <c r="F94" s="2" t="s">
        <v>537</v>
      </c>
      <c r="G94" s="2" t="s">
        <v>470</v>
      </c>
      <c r="H94" s="2" t="s">
        <v>471</v>
      </c>
      <c r="I94" s="22">
        <v>4700</v>
      </c>
      <c r="J94" s="18">
        <v>5.03</v>
      </c>
      <c r="K94" s="2" t="s">
        <v>151</v>
      </c>
      <c r="L94" s="2" t="s">
        <v>234</v>
      </c>
      <c r="M94" s="2">
        <v>7</v>
      </c>
      <c r="N94" s="2" t="s">
        <v>125</v>
      </c>
    </row>
    <row r="95" spans="2:14" x14ac:dyDescent="0.25">
      <c r="B95" s="2" t="s">
        <v>626</v>
      </c>
      <c r="C95" s="2" t="s">
        <v>235</v>
      </c>
      <c r="D95" s="2" t="s">
        <v>236</v>
      </c>
      <c r="E95" s="2" t="s">
        <v>237</v>
      </c>
      <c r="F95" s="2" t="s">
        <v>535</v>
      </c>
      <c r="G95" s="2" t="s">
        <v>475</v>
      </c>
      <c r="H95" s="2" t="s">
        <v>476</v>
      </c>
      <c r="I95" s="22">
        <v>4750</v>
      </c>
      <c r="J95" s="18">
        <v>5.08</v>
      </c>
      <c r="K95" s="2" t="s">
        <v>124</v>
      </c>
      <c r="L95" s="2" t="s">
        <v>123</v>
      </c>
      <c r="M95" s="2">
        <v>1</v>
      </c>
      <c r="N95" s="2" t="s">
        <v>125</v>
      </c>
    </row>
    <row r="96" spans="2:14" x14ac:dyDescent="0.25">
      <c r="B96" s="2" t="s">
        <v>627</v>
      </c>
      <c r="C96" s="2" t="s">
        <v>235</v>
      </c>
      <c r="D96" s="2" t="s">
        <v>236</v>
      </c>
      <c r="E96" s="2" t="s">
        <v>237</v>
      </c>
      <c r="F96" s="2" t="s">
        <v>537</v>
      </c>
      <c r="G96" s="2" t="s">
        <v>480</v>
      </c>
      <c r="H96" s="2" t="s">
        <v>481</v>
      </c>
      <c r="I96" s="22">
        <v>5100</v>
      </c>
      <c r="J96" s="18">
        <v>5.45</v>
      </c>
      <c r="K96" s="2" t="s">
        <v>124</v>
      </c>
      <c r="L96" s="2" t="s">
        <v>123</v>
      </c>
      <c r="M96" s="2">
        <v>7</v>
      </c>
      <c r="N96" s="2" t="s">
        <v>125</v>
      </c>
    </row>
    <row r="97" spans="2:14" x14ac:dyDescent="0.25">
      <c r="B97" s="2" t="s">
        <v>628</v>
      </c>
      <c r="C97" s="2" t="s">
        <v>238</v>
      </c>
      <c r="D97" s="2" t="s">
        <v>239</v>
      </c>
      <c r="E97" s="2" t="s">
        <v>237</v>
      </c>
      <c r="F97" s="2" t="s">
        <v>535</v>
      </c>
      <c r="G97" s="2" t="s">
        <v>475</v>
      </c>
      <c r="H97" s="2" t="s">
        <v>476</v>
      </c>
      <c r="I97" s="22">
        <v>4650</v>
      </c>
      <c r="J97" s="18">
        <v>4.97</v>
      </c>
      <c r="K97" s="2" t="s">
        <v>124</v>
      </c>
      <c r="L97" s="2" t="s">
        <v>123</v>
      </c>
      <c r="M97" s="2">
        <v>1</v>
      </c>
      <c r="N97" s="2" t="s">
        <v>125</v>
      </c>
    </row>
    <row r="98" spans="2:14" x14ac:dyDescent="0.25">
      <c r="B98" s="2" t="s">
        <v>629</v>
      </c>
      <c r="C98" s="2" t="s">
        <v>238</v>
      </c>
      <c r="D98" s="2" t="s">
        <v>239</v>
      </c>
      <c r="E98" s="2" t="s">
        <v>237</v>
      </c>
      <c r="F98" s="2" t="s">
        <v>537</v>
      </c>
      <c r="G98" s="2" t="s">
        <v>480</v>
      </c>
      <c r="H98" s="2" t="s">
        <v>481</v>
      </c>
      <c r="I98" s="22">
        <v>4700</v>
      </c>
      <c r="J98" s="18">
        <v>5.03</v>
      </c>
      <c r="K98" s="2" t="s">
        <v>124</v>
      </c>
      <c r="L98" s="2" t="s">
        <v>123</v>
      </c>
      <c r="M98" s="2">
        <v>7</v>
      </c>
      <c r="N98" s="2" t="s">
        <v>125</v>
      </c>
    </row>
    <row r="99" spans="2:14" x14ac:dyDescent="0.25">
      <c r="B99" s="2" t="s">
        <v>630</v>
      </c>
      <c r="C99" s="2" t="s">
        <v>240</v>
      </c>
      <c r="D99" s="2" t="s">
        <v>241</v>
      </c>
      <c r="E99" s="2" t="s">
        <v>237</v>
      </c>
      <c r="F99" s="2" t="s">
        <v>535</v>
      </c>
      <c r="G99" s="2" t="s">
        <v>475</v>
      </c>
      <c r="H99" s="2" t="s">
        <v>476</v>
      </c>
      <c r="I99" s="22">
        <v>5050</v>
      </c>
      <c r="J99" s="18">
        <v>5.4</v>
      </c>
      <c r="K99" s="2" t="s">
        <v>124</v>
      </c>
      <c r="L99" s="2" t="s">
        <v>123</v>
      </c>
      <c r="M99" s="2">
        <v>1</v>
      </c>
      <c r="N99" s="2" t="s">
        <v>125</v>
      </c>
    </row>
    <row r="100" spans="2:14" x14ac:dyDescent="0.25">
      <c r="B100" s="2" t="s">
        <v>631</v>
      </c>
      <c r="C100" s="2" t="s">
        <v>240</v>
      </c>
      <c r="D100" s="2" t="s">
        <v>241</v>
      </c>
      <c r="E100" s="2" t="s">
        <v>237</v>
      </c>
      <c r="F100" s="2" t="s">
        <v>537</v>
      </c>
      <c r="G100" s="2" t="s">
        <v>480</v>
      </c>
      <c r="H100" s="2" t="s">
        <v>481</v>
      </c>
      <c r="I100" s="22">
        <v>5300</v>
      </c>
      <c r="J100" s="18">
        <v>5.67</v>
      </c>
      <c r="K100" s="2" t="s">
        <v>124</v>
      </c>
      <c r="L100" s="2" t="s">
        <v>123</v>
      </c>
      <c r="M100" s="2">
        <v>3</v>
      </c>
      <c r="N100" s="2" t="s">
        <v>125</v>
      </c>
    </row>
    <row r="101" spans="2:14" x14ac:dyDescent="0.25">
      <c r="B101" s="2" t="s">
        <v>632</v>
      </c>
      <c r="C101" s="2" t="s">
        <v>242</v>
      </c>
      <c r="D101" s="2" t="s">
        <v>243</v>
      </c>
      <c r="E101" s="2" t="s">
        <v>237</v>
      </c>
      <c r="F101" s="2" t="s">
        <v>535</v>
      </c>
      <c r="G101" s="2" t="s">
        <v>475</v>
      </c>
      <c r="H101" s="2" t="s">
        <v>476</v>
      </c>
      <c r="I101" s="22">
        <v>7050</v>
      </c>
      <c r="J101" s="18">
        <v>7.54</v>
      </c>
      <c r="K101" s="2" t="s">
        <v>124</v>
      </c>
      <c r="L101" s="2" t="s">
        <v>123</v>
      </c>
      <c r="M101" s="2">
        <v>1</v>
      </c>
      <c r="N101" s="2" t="s">
        <v>125</v>
      </c>
    </row>
    <row r="102" spans="2:14" x14ac:dyDescent="0.25">
      <c r="B102" s="2" t="s">
        <v>633</v>
      </c>
      <c r="C102" s="2" t="s">
        <v>242</v>
      </c>
      <c r="D102" s="2" t="s">
        <v>243</v>
      </c>
      <c r="E102" s="2" t="s">
        <v>237</v>
      </c>
      <c r="F102" s="2" t="s">
        <v>537</v>
      </c>
      <c r="G102" s="2" t="s">
        <v>480</v>
      </c>
      <c r="H102" s="2" t="s">
        <v>481</v>
      </c>
      <c r="I102" s="22">
        <v>7400</v>
      </c>
      <c r="J102" s="18">
        <v>7.91</v>
      </c>
      <c r="K102" s="2" t="s">
        <v>124</v>
      </c>
      <c r="L102" s="2" t="s">
        <v>123</v>
      </c>
      <c r="M102" s="2">
        <v>2</v>
      </c>
      <c r="N102" s="2" t="s">
        <v>125</v>
      </c>
    </row>
    <row r="103" spans="2:14" x14ac:dyDescent="0.25">
      <c r="B103" s="2" t="s">
        <v>634</v>
      </c>
      <c r="C103" s="2" t="s">
        <v>244</v>
      </c>
      <c r="D103" s="2" t="s">
        <v>245</v>
      </c>
      <c r="E103" s="2" t="s">
        <v>237</v>
      </c>
      <c r="F103" s="2" t="s">
        <v>535</v>
      </c>
      <c r="G103" s="2" t="s">
        <v>475</v>
      </c>
      <c r="H103" s="2" t="s">
        <v>476</v>
      </c>
      <c r="I103" s="22">
        <v>6450</v>
      </c>
      <c r="J103" s="18">
        <v>6.9</v>
      </c>
      <c r="K103" s="2" t="s">
        <v>124</v>
      </c>
      <c r="L103" s="2" t="s">
        <v>123</v>
      </c>
      <c r="M103" s="2">
        <v>1</v>
      </c>
      <c r="N103" s="2" t="s">
        <v>125</v>
      </c>
    </row>
    <row r="104" spans="2:14" x14ac:dyDescent="0.25">
      <c r="B104" s="2" t="s">
        <v>635</v>
      </c>
      <c r="C104" s="2" t="s">
        <v>244</v>
      </c>
      <c r="D104" s="2" t="s">
        <v>245</v>
      </c>
      <c r="E104" s="2" t="s">
        <v>237</v>
      </c>
      <c r="F104" s="2" t="s">
        <v>537</v>
      </c>
      <c r="G104" s="2" t="s">
        <v>480</v>
      </c>
      <c r="H104" s="2" t="s">
        <v>481</v>
      </c>
      <c r="I104" s="22">
        <v>6650</v>
      </c>
      <c r="J104" s="18">
        <v>7.11</v>
      </c>
      <c r="K104" s="2" t="s">
        <v>124</v>
      </c>
      <c r="L104" s="2" t="s">
        <v>123</v>
      </c>
      <c r="M104" s="2">
        <v>5</v>
      </c>
      <c r="N104" s="2" t="s">
        <v>125</v>
      </c>
    </row>
    <row r="105" spans="2:14" x14ac:dyDescent="0.25">
      <c r="B105" s="2" t="s">
        <v>636</v>
      </c>
      <c r="C105" s="2" t="s">
        <v>246</v>
      </c>
      <c r="D105" s="2" t="s">
        <v>247</v>
      </c>
      <c r="E105" s="2" t="s">
        <v>237</v>
      </c>
      <c r="F105" s="2" t="s">
        <v>535</v>
      </c>
      <c r="G105" s="2" t="s">
        <v>475</v>
      </c>
      <c r="H105" s="2" t="s">
        <v>476</v>
      </c>
      <c r="I105" s="22">
        <v>7700</v>
      </c>
      <c r="J105" s="18">
        <v>8.24</v>
      </c>
      <c r="K105" s="2" t="s">
        <v>124</v>
      </c>
      <c r="L105" s="2" t="s">
        <v>123</v>
      </c>
      <c r="M105" s="2">
        <v>0</v>
      </c>
      <c r="N105" s="2" t="s">
        <v>125</v>
      </c>
    </row>
    <row r="106" spans="2:14" x14ac:dyDescent="0.25">
      <c r="B106" s="2" t="s">
        <v>637</v>
      </c>
      <c r="C106" s="2" t="s">
        <v>246</v>
      </c>
      <c r="D106" s="2" t="s">
        <v>247</v>
      </c>
      <c r="E106" s="2" t="s">
        <v>237</v>
      </c>
      <c r="F106" s="2" t="s">
        <v>537</v>
      </c>
      <c r="G106" s="2" t="s">
        <v>480</v>
      </c>
      <c r="H106" s="2" t="s">
        <v>481</v>
      </c>
      <c r="I106" s="22">
        <v>8200</v>
      </c>
      <c r="J106" s="18">
        <v>8.77</v>
      </c>
      <c r="K106" s="2" t="s">
        <v>124</v>
      </c>
      <c r="L106" s="2" t="s">
        <v>123</v>
      </c>
      <c r="M106" s="2">
        <v>2</v>
      </c>
      <c r="N106" s="2" t="s">
        <v>125</v>
      </c>
    </row>
    <row r="107" spans="2:14" x14ac:dyDescent="0.25">
      <c r="B107" s="2" t="s">
        <v>638</v>
      </c>
      <c r="C107" s="2" t="s">
        <v>248</v>
      </c>
      <c r="D107" s="2" t="s">
        <v>249</v>
      </c>
      <c r="E107" s="2" t="s">
        <v>237</v>
      </c>
      <c r="F107" s="2" t="s">
        <v>535</v>
      </c>
      <c r="G107" s="2" t="s">
        <v>475</v>
      </c>
      <c r="H107" s="2" t="s">
        <v>476</v>
      </c>
      <c r="I107" s="22">
        <v>5300</v>
      </c>
      <c r="J107" s="18">
        <v>5.67</v>
      </c>
      <c r="K107" s="2" t="s">
        <v>124</v>
      </c>
      <c r="L107" s="2" t="s">
        <v>123</v>
      </c>
      <c r="M107" s="2">
        <v>2</v>
      </c>
      <c r="N107" s="2" t="s">
        <v>125</v>
      </c>
    </row>
    <row r="108" spans="2:14" x14ac:dyDescent="0.25">
      <c r="B108" s="2" t="s">
        <v>639</v>
      </c>
      <c r="C108" s="2" t="s">
        <v>248</v>
      </c>
      <c r="D108" s="2" t="s">
        <v>249</v>
      </c>
      <c r="E108" s="2" t="s">
        <v>237</v>
      </c>
      <c r="F108" s="2" t="s">
        <v>537</v>
      </c>
      <c r="G108" s="2" t="s">
        <v>480</v>
      </c>
      <c r="H108" s="2" t="s">
        <v>481</v>
      </c>
      <c r="I108" s="22">
        <v>5500</v>
      </c>
      <c r="J108" s="18">
        <v>5.88</v>
      </c>
      <c r="K108" s="2" t="s">
        <v>124</v>
      </c>
      <c r="L108" s="2" t="s">
        <v>123</v>
      </c>
      <c r="M108" s="2">
        <v>3</v>
      </c>
      <c r="N108" s="2" t="s">
        <v>125</v>
      </c>
    </row>
    <row r="109" spans="2:14" x14ac:dyDescent="0.25">
      <c r="B109" s="2" t="s">
        <v>640</v>
      </c>
      <c r="C109" s="2" t="s">
        <v>250</v>
      </c>
      <c r="D109" s="2" t="s">
        <v>251</v>
      </c>
      <c r="E109" s="2" t="s">
        <v>237</v>
      </c>
      <c r="F109" s="2" t="s">
        <v>535</v>
      </c>
      <c r="G109" s="2" t="s">
        <v>475</v>
      </c>
      <c r="H109" s="2" t="s">
        <v>476</v>
      </c>
      <c r="I109" s="22">
        <v>5900</v>
      </c>
      <c r="J109" s="18">
        <v>6.31</v>
      </c>
      <c r="K109" s="2" t="s">
        <v>124</v>
      </c>
      <c r="L109" s="2" t="s">
        <v>123</v>
      </c>
      <c r="M109" s="2">
        <v>0</v>
      </c>
      <c r="N109" s="2" t="s">
        <v>125</v>
      </c>
    </row>
    <row r="110" spans="2:14" x14ac:dyDescent="0.25">
      <c r="B110" s="2" t="s">
        <v>641</v>
      </c>
      <c r="C110" s="2" t="s">
        <v>250</v>
      </c>
      <c r="D110" s="2" t="s">
        <v>251</v>
      </c>
      <c r="E110" s="2" t="s">
        <v>237</v>
      </c>
      <c r="F110" s="2" t="s">
        <v>537</v>
      </c>
      <c r="G110" s="2" t="s">
        <v>480</v>
      </c>
      <c r="H110" s="2" t="s">
        <v>481</v>
      </c>
      <c r="I110" s="22">
        <v>6750</v>
      </c>
      <c r="J110" s="18">
        <v>7.22</v>
      </c>
      <c r="K110" s="2" t="s">
        <v>124</v>
      </c>
      <c r="L110" s="2" t="s">
        <v>123</v>
      </c>
      <c r="M110" s="2">
        <v>3</v>
      </c>
      <c r="N110" s="2" t="s">
        <v>125</v>
      </c>
    </row>
    <row r="111" spans="2:14" x14ac:dyDescent="0.25">
      <c r="B111" s="2" t="s">
        <v>642</v>
      </c>
      <c r="C111" s="2" t="s">
        <v>252</v>
      </c>
      <c r="D111" s="2" t="s">
        <v>253</v>
      </c>
      <c r="E111" s="2" t="s">
        <v>237</v>
      </c>
      <c r="F111" s="2" t="s">
        <v>535</v>
      </c>
      <c r="G111" s="2" t="s">
        <v>475</v>
      </c>
      <c r="H111" s="2" t="s">
        <v>476</v>
      </c>
      <c r="I111" s="22">
        <v>4050</v>
      </c>
      <c r="J111" s="18">
        <v>4.33</v>
      </c>
      <c r="K111" s="2" t="s">
        <v>124</v>
      </c>
      <c r="L111" s="2" t="s">
        <v>123</v>
      </c>
      <c r="M111" s="2">
        <v>3</v>
      </c>
      <c r="N111" s="2" t="s">
        <v>125</v>
      </c>
    </row>
    <row r="112" spans="2:14" x14ac:dyDescent="0.25">
      <c r="B112" s="2" t="s">
        <v>643</v>
      </c>
      <c r="C112" s="2" t="s">
        <v>252</v>
      </c>
      <c r="D112" s="2" t="s">
        <v>253</v>
      </c>
      <c r="E112" s="2" t="s">
        <v>237</v>
      </c>
      <c r="F112" s="2" t="s">
        <v>537</v>
      </c>
      <c r="G112" s="2" t="s">
        <v>480</v>
      </c>
      <c r="H112" s="2" t="s">
        <v>481</v>
      </c>
      <c r="I112" s="22">
        <v>4300</v>
      </c>
      <c r="J112" s="18">
        <v>4.5999999999999996</v>
      </c>
      <c r="K112" s="2" t="s">
        <v>124</v>
      </c>
      <c r="L112" s="2" t="s">
        <v>123</v>
      </c>
      <c r="M112" s="2">
        <v>5</v>
      </c>
      <c r="N112" s="2" t="s">
        <v>125</v>
      </c>
    </row>
    <row r="113" spans="2:14" x14ac:dyDescent="0.25">
      <c r="B113" s="2" t="s">
        <v>644</v>
      </c>
      <c r="C113" s="2" t="s">
        <v>254</v>
      </c>
      <c r="D113" s="2" t="s">
        <v>255</v>
      </c>
      <c r="E113" s="2" t="s">
        <v>256</v>
      </c>
      <c r="F113" s="2" t="s">
        <v>535</v>
      </c>
      <c r="G113" s="2" t="s">
        <v>475</v>
      </c>
      <c r="H113" s="2" t="s">
        <v>476</v>
      </c>
      <c r="I113" s="22">
        <v>6800</v>
      </c>
      <c r="J113" s="18">
        <v>7.27</v>
      </c>
      <c r="K113" s="2" t="s">
        <v>124</v>
      </c>
      <c r="L113" s="2" t="s">
        <v>123</v>
      </c>
      <c r="M113" s="2">
        <v>0</v>
      </c>
      <c r="N113" s="2" t="s">
        <v>125</v>
      </c>
    </row>
    <row r="114" spans="2:14" x14ac:dyDescent="0.25">
      <c r="B114" s="2" t="s">
        <v>645</v>
      </c>
      <c r="C114" s="2" t="s">
        <v>254</v>
      </c>
      <c r="D114" s="2" t="s">
        <v>255</v>
      </c>
      <c r="E114" s="2" t="s">
        <v>256</v>
      </c>
      <c r="F114" s="2" t="s">
        <v>537</v>
      </c>
      <c r="G114" s="2" t="s">
        <v>485</v>
      </c>
      <c r="H114" s="2" t="s">
        <v>486</v>
      </c>
      <c r="I114" s="22">
        <v>7300</v>
      </c>
      <c r="J114" s="18">
        <v>7.81</v>
      </c>
      <c r="K114" s="2" t="s">
        <v>124</v>
      </c>
      <c r="L114" s="2" t="s">
        <v>123</v>
      </c>
      <c r="M114" s="2">
        <v>3</v>
      </c>
      <c r="N114" s="2" t="s">
        <v>135</v>
      </c>
    </row>
    <row r="115" spans="2:14" x14ac:dyDescent="0.25">
      <c r="B115" s="2" t="s">
        <v>646</v>
      </c>
      <c r="C115" s="2" t="s">
        <v>257</v>
      </c>
      <c r="D115" s="2" t="s">
        <v>258</v>
      </c>
      <c r="E115" s="2" t="s">
        <v>256</v>
      </c>
      <c r="F115" s="2" t="s">
        <v>535</v>
      </c>
      <c r="G115" s="2" t="s">
        <v>475</v>
      </c>
      <c r="H115" s="2" t="s">
        <v>476</v>
      </c>
      <c r="I115" s="22">
        <v>10000</v>
      </c>
      <c r="J115" s="18">
        <v>10.7</v>
      </c>
      <c r="K115" s="2" t="s">
        <v>124</v>
      </c>
      <c r="L115" s="2" t="s">
        <v>123</v>
      </c>
      <c r="M115" s="2">
        <v>1</v>
      </c>
      <c r="N115" s="2" t="s">
        <v>125</v>
      </c>
    </row>
    <row r="116" spans="2:14" x14ac:dyDescent="0.25">
      <c r="B116" s="2" t="s">
        <v>647</v>
      </c>
      <c r="C116" s="2" t="s">
        <v>257</v>
      </c>
      <c r="D116" s="2" t="s">
        <v>258</v>
      </c>
      <c r="E116" s="2" t="s">
        <v>256</v>
      </c>
      <c r="F116" s="2" t="s">
        <v>537</v>
      </c>
      <c r="G116" s="2" t="s">
        <v>485</v>
      </c>
      <c r="H116" s="2" t="s">
        <v>486</v>
      </c>
      <c r="I116" s="22">
        <v>9650</v>
      </c>
      <c r="J116" s="18">
        <v>10.32</v>
      </c>
      <c r="K116" s="2" t="s">
        <v>124</v>
      </c>
      <c r="L116" s="2" t="s">
        <v>123</v>
      </c>
      <c r="M116" s="2">
        <v>7</v>
      </c>
      <c r="N116" s="2" t="s">
        <v>135</v>
      </c>
    </row>
    <row r="117" spans="2:14" x14ac:dyDescent="0.25">
      <c r="B117" s="2" t="s">
        <v>648</v>
      </c>
      <c r="C117" s="2" t="s">
        <v>259</v>
      </c>
      <c r="D117" s="2" t="s">
        <v>260</v>
      </c>
      <c r="E117" s="2" t="s">
        <v>256</v>
      </c>
      <c r="F117" s="2" t="s">
        <v>535</v>
      </c>
      <c r="G117" s="2" t="s">
        <v>475</v>
      </c>
      <c r="H117" s="2" t="s">
        <v>476</v>
      </c>
      <c r="I117" s="22">
        <v>4650</v>
      </c>
      <c r="J117" s="18">
        <v>4.97</v>
      </c>
      <c r="K117" s="2" t="s">
        <v>124</v>
      </c>
      <c r="L117" s="2" t="s">
        <v>123</v>
      </c>
      <c r="M117" s="2">
        <v>5</v>
      </c>
      <c r="N117" s="2" t="s">
        <v>125</v>
      </c>
    </row>
    <row r="118" spans="2:14" x14ac:dyDescent="0.25">
      <c r="B118" s="2" t="s">
        <v>649</v>
      </c>
      <c r="C118" s="2" t="s">
        <v>259</v>
      </c>
      <c r="D118" s="2" t="s">
        <v>260</v>
      </c>
      <c r="E118" s="2" t="s">
        <v>256</v>
      </c>
      <c r="F118" s="2" t="s">
        <v>537</v>
      </c>
      <c r="G118" s="2" t="s">
        <v>485</v>
      </c>
      <c r="H118" s="2" t="s">
        <v>486</v>
      </c>
      <c r="I118" s="22">
        <v>4600</v>
      </c>
      <c r="J118" s="18">
        <v>4.92</v>
      </c>
      <c r="K118" s="2" t="s">
        <v>124</v>
      </c>
      <c r="L118" s="2" t="s">
        <v>123</v>
      </c>
      <c r="M118" s="2">
        <v>10</v>
      </c>
      <c r="N118" s="2" t="s">
        <v>135</v>
      </c>
    </row>
    <row r="119" spans="2:14" x14ac:dyDescent="0.25">
      <c r="B119" s="2" t="s">
        <v>650</v>
      </c>
      <c r="C119" s="2" t="s">
        <v>261</v>
      </c>
      <c r="D119" s="2" t="s">
        <v>262</v>
      </c>
      <c r="E119" s="2" t="s">
        <v>256</v>
      </c>
      <c r="F119" s="2" t="s">
        <v>535</v>
      </c>
      <c r="G119" s="2" t="s">
        <v>475</v>
      </c>
      <c r="H119" s="2" t="s">
        <v>476</v>
      </c>
      <c r="I119" s="22">
        <v>7550</v>
      </c>
      <c r="J119" s="18">
        <v>8.07</v>
      </c>
      <c r="K119" s="2" t="s">
        <v>124</v>
      </c>
      <c r="L119" s="2" t="s">
        <v>123</v>
      </c>
      <c r="M119" s="2">
        <v>2</v>
      </c>
      <c r="N119" s="2" t="s">
        <v>125</v>
      </c>
    </row>
    <row r="120" spans="2:14" x14ac:dyDescent="0.25">
      <c r="B120" s="2" t="s">
        <v>651</v>
      </c>
      <c r="C120" s="2" t="s">
        <v>261</v>
      </c>
      <c r="D120" s="2" t="s">
        <v>262</v>
      </c>
      <c r="E120" s="2" t="s">
        <v>256</v>
      </c>
      <c r="F120" s="2" t="s">
        <v>537</v>
      </c>
      <c r="G120" s="2" t="s">
        <v>485</v>
      </c>
      <c r="H120" s="2" t="s">
        <v>486</v>
      </c>
      <c r="I120" s="22">
        <v>7650</v>
      </c>
      <c r="J120" s="18">
        <v>8.18</v>
      </c>
      <c r="K120" s="2" t="s">
        <v>124</v>
      </c>
      <c r="L120" s="2" t="s">
        <v>123</v>
      </c>
      <c r="M120" s="2">
        <v>2</v>
      </c>
      <c r="N120" s="2" t="s">
        <v>135</v>
      </c>
    </row>
    <row r="121" spans="2:14" x14ac:dyDescent="0.25">
      <c r="B121" s="2" t="s">
        <v>652</v>
      </c>
      <c r="C121" s="2" t="s">
        <v>263</v>
      </c>
      <c r="D121" s="2" t="s">
        <v>264</v>
      </c>
      <c r="E121" s="2" t="s">
        <v>256</v>
      </c>
      <c r="F121" s="2" t="s">
        <v>535</v>
      </c>
      <c r="G121" s="2" t="s">
        <v>475</v>
      </c>
      <c r="H121" s="2" t="s">
        <v>476</v>
      </c>
      <c r="I121" s="22">
        <v>9250</v>
      </c>
      <c r="J121" s="18">
        <v>9.89</v>
      </c>
      <c r="K121" s="2" t="s">
        <v>124</v>
      </c>
      <c r="L121" s="2" t="s">
        <v>123</v>
      </c>
      <c r="M121" s="2">
        <v>1</v>
      </c>
      <c r="N121" s="2" t="s">
        <v>125</v>
      </c>
    </row>
    <row r="122" spans="2:14" x14ac:dyDescent="0.25">
      <c r="B122" s="2" t="s">
        <v>653</v>
      </c>
      <c r="C122" s="2" t="s">
        <v>263</v>
      </c>
      <c r="D122" s="2" t="s">
        <v>264</v>
      </c>
      <c r="E122" s="2" t="s">
        <v>256</v>
      </c>
      <c r="F122" s="2" t="s">
        <v>537</v>
      </c>
      <c r="G122" s="2" t="s">
        <v>485</v>
      </c>
      <c r="H122" s="2" t="s">
        <v>486</v>
      </c>
      <c r="I122" s="22">
        <v>9550</v>
      </c>
      <c r="J122" s="18">
        <v>10.210000000000001</v>
      </c>
      <c r="K122" s="2" t="s">
        <v>124</v>
      </c>
      <c r="L122" s="2" t="s">
        <v>123</v>
      </c>
      <c r="M122" s="2">
        <v>10</v>
      </c>
      <c r="N122" s="2" t="s">
        <v>135</v>
      </c>
    </row>
    <row r="123" spans="2:14" x14ac:dyDescent="0.25">
      <c r="B123" s="2" t="s">
        <v>654</v>
      </c>
      <c r="C123" s="2" t="s">
        <v>265</v>
      </c>
      <c r="D123" s="2" t="s">
        <v>266</v>
      </c>
      <c r="E123" s="2" t="s">
        <v>256</v>
      </c>
      <c r="F123" s="2" t="s">
        <v>535</v>
      </c>
      <c r="G123" s="2" t="s">
        <v>475</v>
      </c>
      <c r="H123" s="2" t="s">
        <v>476</v>
      </c>
      <c r="I123" s="22">
        <v>8500</v>
      </c>
      <c r="J123" s="18">
        <v>9.09</v>
      </c>
      <c r="K123" s="2" t="s">
        <v>124</v>
      </c>
      <c r="L123" s="2" t="s">
        <v>123</v>
      </c>
      <c r="M123" s="2">
        <v>2</v>
      </c>
      <c r="N123" s="2" t="s">
        <v>125</v>
      </c>
    </row>
    <row r="124" spans="2:14" x14ac:dyDescent="0.25">
      <c r="B124" s="2" t="s">
        <v>655</v>
      </c>
      <c r="C124" s="2" t="s">
        <v>265</v>
      </c>
      <c r="D124" s="2" t="s">
        <v>266</v>
      </c>
      <c r="E124" s="2" t="s">
        <v>256</v>
      </c>
      <c r="F124" s="2" t="s">
        <v>537</v>
      </c>
      <c r="G124" s="2" t="s">
        <v>485</v>
      </c>
      <c r="H124" s="2" t="s">
        <v>486</v>
      </c>
      <c r="I124" s="22">
        <v>8800</v>
      </c>
      <c r="J124" s="18">
        <v>9.41</v>
      </c>
      <c r="K124" s="2" t="s">
        <v>124</v>
      </c>
      <c r="L124" s="2" t="s">
        <v>123</v>
      </c>
      <c r="M124" s="2">
        <v>7</v>
      </c>
      <c r="N124" s="2" t="s">
        <v>135</v>
      </c>
    </row>
    <row r="125" spans="2:14" x14ac:dyDescent="0.25">
      <c r="B125" s="2" t="s">
        <v>656</v>
      </c>
      <c r="C125" s="2" t="s">
        <v>267</v>
      </c>
      <c r="D125" s="2" t="s">
        <v>268</v>
      </c>
      <c r="E125" s="2" t="s">
        <v>256</v>
      </c>
      <c r="F125" s="2" t="s">
        <v>535</v>
      </c>
      <c r="G125" s="2" t="s">
        <v>475</v>
      </c>
      <c r="H125" s="2" t="s">
        <v>476</v>
      </c>
      <c r="I125" s="22">
        <v>5400</v>
      </c>
      <c r="J125" s="18">
        <v>5.78</v>
      </c>
      <c r="K125" s="2" t="s">
        <v>124</v>
      </c>
      <c r="L125" s="2" t="s">
        <v>123</v>
      </c>
      <c r="M125" s="2">
        <v>2</v>
      </c>
      <c r="N125" s="2" t="s">
        <v>125</v>
      </c>
    </row>
    <row r="126" spans="2:14" x14ac:dyDescent="0.25">
      <c r="B126" s="2" t="s">
        <v>657</v>
      </c>
      <c r="C126" s="2" t="s">
        <v>267</v>
      </c>
      <c r="D126" s="2" t="s">
        <v>268</v>
      </c>
      <c r="E126" s="2" t="s">
        <v>256</v>
      </c>
      <c r="F126" s="2" t="s">
        <v>537</v>
      </c>
      <c r="G126" s="2" t="s">
        <v>485</v>
      </c>
      <c r="H126" s="2" t="s">
        <v>486</v>
      </c>
      <c r="I126" s="22">
        <v>6250</v>
      </c>
      <c r="J126" s="18">
        <v>6.68</v>
      </c>
      <c r="K126" s="2" t="s">
        <v>124</v>
      </c>
      <c r="L126" s="2" t="s">
        <v>123</v>
      </c>
      <c r="M126" s="2">
        <v>2</v>
      </c>
      <c r="N126" s="2" t="s">
        <v>135</v>
      </c>
    </row>
    <row r="127" spans="2:14" x14ac:dyDescent="0.25">
      <c r="B127" s="2" t="s">
        <v>658</v>
      </c>
      <c r="C127" s="2" t="s">
        <v>269</v>
      </c>
      <c r="D127" s="2" t="s">
        <v>270</v>
      </c>
      <c r="E127" s="2" t="s">
        <v>256</v>
      </c>
      <c r="F127" s="2" t="s">
        <v>535</v>
      </c>
      <c r="G127" s="2" t="s">
        <v>475</v>
      </c>
      <c r="H127" s="2" t="s">
        <v>476</v>
      </c>
      <c r="I127" s="22">
        <v>16600</v>
      </c>
      <c r="J127" s="18">
        <v>17.75</v>
      </c>
      <c r="K127" s="2" t="s">
        <v>124</v>
      </c>
      <c r="L127" s="2" t="s">
        <v>123</v>
      </c>
      <c r="M127" s="2">
        <v>2</v>
      </c>
      <c r="N127" s="2" t="s">
        <v>125</v>
      </c>
    </row>
    <row r="128" spans="2:14" x14ac:dyDescent="0.25">
      <c r="B128" s="2" t="s">
        <v>659</v>
      </c>
      <c r="C128" s="2" t="s">
        <v>269</v>
      </c>
      <c r="D128" s="2" t="s">
        <v>270</v>
      </c>
      <c r="E128" s="2" t="s">
        <v>256</v>
      </c>
      <c r="F128" s="2" t="s">
        <v>537</v>
      </c>
      <c r="G128" s="2" t="s">
        <v>485</v>
      </c>
      <c r="H128" s="2" t="s">
        <v>486</v>
      </c>
      <c r="I128" s="22">
        <v>16700</v>
      </c>
      <c r="J128" s="18">
        <v>17.86</v>
      </c>
      <c r="K128" s="2" t="s">
        <v>124</v>
      </c>
      <c r="L128" s="2" t="s">
        <v>123</v>
      </c>
      <c r="M128" s="2">
        <v>5</v>
      </c>
      <c r="N128" s="2" t="s">
        <v>135</v>
      </c>
    </row>
    <row r="129" spans="2:14" x14ac:dyDescent="0.25">
      <c r="B129" s="2" t="s">
        <v>660</v>
      </c>
      <c r="C129" s="2" t="s">
        <v>271</v>
      </c>
      <c r="D129" s="2" t="s">
        <v>272</v>
      </c>
      <c r="E129" s="2" t="s">
        <v>256</v>
      </c>
      <c r="F129" s="2" t="s">
        <v>535</v>
      </c>
      <c r="G129" s="2" t="s">
        <v>475</v>
      </c>
      <c r="H129" s="2" t="s">
        <v>476</v>
      </c>
      <c r="I129" s="22">
        <v>19600</v>
      </c>
      <c r="J129" s="18">
        <v>20.96</v>
      </c>
      <c r="K129" s="2" t="s">
        <v>124</v>
      </c>
      <c r="L129" s="2" t="s">
        <v>123</v>
      </c>
      <c r="M129" s="2">
        <v>3</v>
      </c>
      <c r="N129" s="2" t="s">
        <v>125</v>
      </c>
    </row>
    <row r="130" spans="2:14" x14ac:dyDescent="0.25">
      <c r="B130" s="2" t="s">
        <v>661</v>
      </c>
      <c r="C130" s="2" t="s">
        <v>271</v>
      </c>
      <c r="D130" s="2" t="s">
        <v>272</v>
      </c>
      <c r="E130" s="2" t="s">
        <v>256</v>
      </c>
      <c r="F130" s="2" t="s">
        <v>537</v>
      </c>
      <c r="G130" s="2" t="s">
        <v>485</v>
      </c>
      <c r="H130" s="2" t="s">
        <v>486</v>
      </c>
      <c r="I130" s="22">
        <v>19850</v>
      </c>
      <c r="J130" s="18">
        <v>21.23</v>
      </c>
      <c r="K130" s="2" t="s">
        <v>124</v>
      </c>
      <c r="L130" s="2" t="s">
        <v>123</v>
      </c>
      <c r="M130" s="2">
        <v>5</v>
      </c>
      <c r="N130" s="2" t="s">
        <v>135</v>
      </c>
    </row>
    <row r="131" spans="2:14" x14ac:dyDescent="0.25">
      <c r="B131" s="2" t="s">
        <v>662</v>
      </c>
      <c r="C131" s="2" t="s">
        <v>273</v>
      </c>
      <c r="D131" s="2" t="s">
        <v>274</v>
      </c>
      <c r="E131" s="2" t="s">
        <v>256</v>
      </c>
      <c r="F131" s="2" t="s">
        <v>535</v>
      </c>
      <c r="G131" s="2" t="s">
        <v>475</v>
      </c>
      <c r="H131" s="2" t="s">
        <v>476</v>
      </c>
      <c r="I131" s="22">
        <v>20150</v>
      </c>
      <c r="J131" s="18">
        <v>21.55</v>
      </c>
      <c r="K131" s="2" t="s">
        <v>124</v>
      </c>
      <c r="L131" s="2" t="s">
        <v>123</v>
      </c>
      <c r="M131" s="2">
        <v>1</v>
      </c>
      <c r="N131" s="2" t="s">
        <v>125</v>
      </c>
    </row>
    <row r="132" spans="2:14" x14ac:dyDescent="0.25">
      <c r="B132" s="2" t="s">
        <v>663</v>
      </c>
      <c r="C132" s="2" t="s">
        <v>273</v>
      </c>
      <c r="D132" s="2" t="s">
        <v>274</v>
      </c>
      <c r="E132" s="2" t="s">
        <v>256</v>
      </c>
      <c r="F132" s="2" t="s">
        <v>537</v>
      </c>
      <c r="G132" s="2" t="s">
        <v>485</v>
      </c>
      <c r="H132" s="2" t="s">
        <v>486</v>
      </c>
      <c r="I132" s="22">
        <v>20250</v>
      </c>
      <c r="J132" s="18">
        <v>21.66</v>
      </c>
      <c r="K132" s="2" t="s">
        <v>124</v>
      </c>
      <c r="L132" s="2" t="s">
        <v>123</v>
      </c>
      <c r="M132" s="2">
        <v>7</v>
      </c>
      <c r="N132" s="2" t="s">
        <v>135</v>
      </c>
    </row>
    <row r="133" spans="2:14" x14ac:dyDescent="0.25">
      <c r="B133" s="2" t="s">
        <v>664</v>
      </c>
      <c r="C133" s="2" t="s">
        <v>275</v>
      </c>
      <c r="D133" s="2" t="s">
        <v>276</v>
      </c>
      <c r="E133" s="2" t="s">
        <v>256</v>
      </c>
      <c r="F133" s="2" t="s">
        <v>535</v>
      </c>
      <c r="G133" s="2" t="s">
        <v>475</v>
      </c>
      <c r="H133" s="2" t="s">
        <v>476</v>
      </c>
      <c r="I133" s="22">
        <v>22950</v>
      </c>
      <c r="J133" s="18">
        <v>24.55</v>
      </c>
      <c r="K133" s="2" t="s">
        <v>124</v>
      </c>
      <c r="L133" s="2" t="s">
        <v>123</v>
      </c>
      <c r="M133" s="2">
        <v>2</v>
      </c>
      <c r="N133" s="2" t="s">
        <v>125</v>
      </c>
    </row>
    <row r="134" spans="2:14" x14ac:dyDescent="0.25">
      <c r="B134" s="2" t="s">
        <v>665</v>
      </c>
      <c r="C134" s="2" t="s">
        <v>275</v>
      </c>
      <c r="D134" s="2" t="s">
        <v>276</v>
      </c>
      <c r="E134" s="2" t="s">
        <v>256</v>
      </c>
      <c r="F134" s="2" t="s">
        <v>537</v>
      </c>
      <c r="G134" s="2" t="s">
        <v>485</v>
      </c>
      <c r="H134" s="2" t="s">
        <v>486</v>
      </c>
      <c r="I134" s="22">
        <v>23900</v>
      </c>
      <c r="J134" s="18">
        <v>25.56</v>
      </c>
      <c r="K134" s="2" t="s">
        <v>124</v>
      </c>
      <c r="L134" s="2" t="s">
        <v>123</v>
      </c>
      <c r="M134" s="2">
        <v>3</v>
      </c>
      <c r="N134" s="2" t="s">
        <v>135</v>
      </c>
    </row>
    <row r="135" spans="2:14" x14ac:dyDescent="0.25">
      <c r="B135" s="2" t="s">
        <v>666</v>
      </c>
      <c r="C135" s="2" t="s">
        <v>277</v>
      </c>
      <c r="D135" s="2" t="s">
        <v>278</v>
      </c>
      <c r="E135" s="2" t="s">
        <v>256</v>
      </c>
      <c r="F135" s="2" t="s">
        <v>535</v>
      </c>
      <c r="G135" s="2" t="s">
        <v>475</v>
      </c>
      <c r="H135" s="2" t="s">
        <v>476</v>
      </c>
      <c r="I135" s="22">
        <v>22450</v>
      </c>
      <c r="J135" s="18">
        <v>24.01</v>
      </c>
      <c r="K135" s="2" t="s">
        <v>124</v>
      </c>
      <c r="L135" s="2" t="s">
        <v>123</v>
      </c>
      <c r="M135" s="2">
        <v>0</v>
      </c>
      <c r="N135" s="2" t="s">
        <v>125</v>
      </c>
    </row>
    <row r="136" spans="2:14" x14ac:dyDescent="0.25">
      <c r="B136" s="2" t="s">
        <v>667</v>
      </c>
      <c r="C136" s="2" t="s">
        <v>277</v>
      </c>
      <c r="D136" s="2" t="s">
        <v>278</v>
      </c>
      <c r="E136" s="2" t="s">
        <v>256</v>
      </c>
      <c r="F136" s="2" t="s">
        <v>537</v>
      </c>
      <c r="G136" s="2" t="s">
        <v>485</v>
      </c>
      <c r="H136" s="2" t="s">
        <v>486</v>
      </c>
      <c r="I136" s="22">
        <v>24400</v>
      </c>
      <c r="J136" s="18">
        <v>26.1</v>
      </c>
      <c r="K136" s="2" t="s">
        <v>124</v>
      </c>
      <c r="L136" s="2" t="s">
        <v>123</v>
      </c>
      <c r="M136" s="2">
        <v>3</v>
      </c>
      <c r="N136" s="2" t="s">
        <v>135</v>
      </c>
    </row>
    <row r="137" spans="2:14" x14ac:dyDescent="0.25">
      <c r="B137" s="2" t="s">
        <v>668</v>
      </c>
      <c r="C137" s="2" t="s">
        <v>279</v>
      </c>
      <c r="D137" s="2" t="s">
        <v>280</v>
      </c>
      <c r="E137" s="2" t="s">
        <v>256</v>
      </c>
      <c r="F137" s="2" t="s">
        <v>535</v>
      </c>
      <c r="G137" s="2" t="s">
        <v>475</v>
      </c>
      <c r="H137" s="2" t="s">
        <v>476</v>
      </c>
      <c r="I137" s="22">
        <v>13000</v>
      </c>
      <c r="J137" s="18">
        <v>13.9</v>
      </c>
      <c r="K137" s="2" t="s">
        <v>124</v>
      </c>
      <c r="L137" s="2" t="s">
        <v>123</v>
      </c>
      <c r="M137" s="2">
        <v>2</v>
      </c>
      <c r="N137" s="2" t="s">
        <v>125</v>
      </c>
    </row>
    <row r="138" spans="2:14" x14ac:dyDescent="0.25">
      <c r="B138" s="2" t="s">
        <v>669</v>
      </c>
      <c r="C138" s="2" t="s">
        <v>279</v>
      </c>
      <c r="D138" s="2" t="s">
        <v>280</v>
      </c>
      <c r="E138" s="2" t="s">
        <v>256</v>
      </c>
      <c r="F138" s="2" t="s">
        <v>537</v>
      </c>
      <c r="G138" s="2" t="s">
        <v>485</v>
      </c>
      <c r="H138" s="2" t="s">
        <v>486</v>
      </c>
      <c r="I138" s="22">
        <v>14800</v>
      </c>
      <c r="J138" s="18">
        <v>15.83</v>
      </c>
      <c r="K138" s="2" t="s">
        <v>124</v>
      </c>
      <c r="L138" s="2" t="s">
        <v>123</v>
      </c>
      <c r="M138" s="2">
        <v>2</v>
      </c>
      <c r="N138" s="2" t="s">
        <v>135</v>
      </c>
    </row>
    <row r="139" spans="2:14" x14ac:dyDescent="0.25">
      <c r="B139" s="2" t="s">
        <v>670</v>
      </c>
      <c r="C139" s="2" t="s">
        <v>281</v>
      </c>
      <c r="D139" s="2" t="s">
        <v>282</v>
      </c>
      <c r="E139" s="2" t="s">
        <v>256</v>
      </c>
      <c r="F139" s="2" t="s">
        <v>535</v>
      </c>
      <c r="G139" s="2" t="s">
        <v>475</v>
      </c>
      <c r="H139" s="2" t="s">
        <v>476</v>
      </c>
      <c r="I139" s="22">
        <v>11600</v>
      </c>
      <c r="J139" s="18">
        <v>12.41</v>
      </c>
      <c r="K139" s="2" t="s">
        <v>124</v>
      </c>
      <c r="L139" s="2" t="s">
        <v>123</v>
      </c>
      <c r="M139" s="2">
        <v>0</v>
      </c>
      <c r="N139" s="2" t="s">
        <v>125</v>
      </c>
    </row>
    <row r="140" spans="2:14" x14ac:dyDescent="0.25">
      <c r="B140" s="2" t="s">
        <v>671</v>
      </c>
      <c r="C140" s="2" t="s">
        <v>281</v>
      </c>
      <c r="D140" s="2" t="s">
        <v>282</v>
      </c>
      <c r="E140" s="2" t="s">
        <v>256</v>
      </c>
      <c r="F140" s="2" t="s">
        <v>537</v>
      </c>
      <c r="G140" s="2" t="s">
        <v>485</v>
      </c>
      <c r="H140" s="2" t="s">
        <v>486</v>
      </c>
      <c r="I140" s="22">
        <v>12100</v>
      </c>
      <c r="J140" s="18">
        <v>12.94</v>
      </c>
      <c r="K140" s="2" t="s">
        <v>124</v>
      </c>
      <c r="L140" s="2" t="s">
        <v>123</v>
      </c>
      <c r="M140" s="2">
        <v>3</v>
      </c>
      <c r="N140" s="2" t="s">
        <v>135</v>
      </c>
    </row>
    <row r="141" spans="2:14" x14ac:dyDescent="0.25">
      <c r="B141" s="2" t="s">
        <v>672</v>
      </c>
      <c r="C141" s="2" t="s">
        <v>283</v>
      </c>
      <c r="D141" s="2" t="s">
        <v>284</v>
      </c>
      <c r="E141" s="2" t="s">
        <v>256</v>
      </c>
      <c r="F141" s="2" t="s">
        <v>535</v>
      </c>
      <c r="G141" s="2" t="s">
        <v>475</v>
      </c>
      <c r="H141" s="2" t="s">
        <v>476</v>
      </c>
      <c r="I141" s="22">
        <v>17200</v>
      </c>
      <c r="J141" s="18">
        <v>18.399999999999999</v>
      </c>
      <c r="K141" s="2" t="s">
        <v>124</v>
      </c>
      <c r="L141" s="2" t="s">
        <v>123</v>
      </c>
      <c r="M141" s="2">
        <v>2</v>
      </c>
      <c r="N141" s="2" t="s">
        <v>125</v>
      </c>
    </row>
    <row r="142" spans="2:14" x14ac:dyDescent="0.25">
      <c r="B142" s="2" t="s">
        <v>673</v>
      </c>
      <c r="C142" s="2" t="s">
        <v>283</v>
      </c>
      <c r="D142" s="2" t="s">
        <v>284</v>
      </c>
      <c r="E142" s="2" t="s">
        <v>256</v>
      </c>
      <c r="F142" s="2" t="s">
        <v>537</v>
      </c>
      <c r="G142" s="2" t="s">
        <v>485</v>
      </c>
      <c r="H142" s="2" t="s">
        <v>486</v>
      </c>
      <c r="I142" s="22">
        <v>18600</v>
      </c>
      <c r="J142" s="18">
        <v>19.89</v>
      </c>
      <c r="K142" s="2" t="s">
        <v>124</v>
      </c>
      <c r="L142" s="2" t="s">
        <v>123</v>
      </c>
      <c r="M142" s="2">
        <v>2</v>
      </c>
      <c r="N142" s="2" t="s">
        <v>135</v>
      </c>
    </row>
    <row r="143" spans="2:14" x14ac:dyDescent="0.25">
      <c r="B143" s="2" t="s">
        <v>674</v>
      </c>
      <c r="C143" s="2" t="s">
        <v>285</v>
      </c>
      <c r="D143" s="2" t="s">
        <v>286</v>
      </c>
      <c r="E143" s="2" t="s">
        <v>287</v>
      </c>
      <c r="F143" s="2" t="s">
        <v>535</v>
      </c>
      <c r="G143" s="2" t="s">
        <v>475</v>
      </c>
      <c r="H143" s="2" t="s">
        <v>476</v>
      </c>
      <c r="I143" s="22">
        <v>2800</v>
      </c>
      <c r="J143" s="18">
        <v>2.99</v>
      </c>
      <c r="K143" s="2" t="s">
        <v>124</v>
      </c>
      <c r="L143" s="2" t="s">
        <v>123</v>
      </c>
      <c r="M143" s="2">
        <v>5</v>
      </c>
      <c r="N143" s="2" t="s">
        <v>125</v>
      </c>
    </row>
    <row r="144" spans="2:14" x14ac:dyDescent="0.25">
      <c r="B144" s="2" t="s">
        <v>675</v>
      </c>
      <c r="C144" s="2" t="s">
        <v>285</v>
      </c>
      <c r="D144" s="2" t="s">
        <v>286</v>
      </c>
      <c r="E144" s="2" t="s">
        <v>287</v>
      </c>
      <c r="F144" s="2" t="s">
        <v>537</v>
      </c>
      <c r="G144" s="2" t="s">
        <v>490</v>
      </c>
      <c r="H144" s="2" t="s">
        <v>491</v>
      </c>
      <c r="I144" s="22">
        <v>3050</v>
      </c>
      <c r="J144" s="18">
        <v>3.26</v>
      </c>
      <c r="K144" s="2" t="s">
        <v>124</v>
      </c>
      <c r="L144" s="2" t="s">
        <v>123</v>
      </c>
      <c r="M144" s="2">
        <v>3</v>
      </c>
      <c r="N144" s="2" t="s">
        <v>135</v>
      </c>
    </row>
    <row r="145" spans="2:14" x14ac:dyDescent="0.25">
      <c r="B145" s="2" t="s">
        <v>676</v>
      </c>
      <c r="C145" s="2" t="s">
        <v>288</v>
      </c>
      <c r="D145" s="2" t="s">
        <v>289</v>
      </c>
      <c r="E145" s="2" t="s">
        <v>287</v>
      </c>
      <c r="F145" s="2" t="s">
        <v>535</v>
      </c>
      <c r="G145" s="2" t="s">
        <v>475</v>
      </c>
      <c r="H145" s="2" t="s">
        <v>476</v>
      </c>
      <c r="I145" s="22">
        <v>4200</v>
      </c>
      <c r="J145" s="18">
        <v>4.49</v>
      </c>
      <c r="K145" s="2" t="s">
        <v>124</v>
      </c>
      <c r="L145" s="2" t="s">
        <v>123</v>
      </c>
      <c r="M145" s="2">
        <v>0</v>
      </c>
      <c r="N145" s="2" t="s">
        <v>125</v>
      </c>
    </row>
    <row r="146" spans="2:14" x14ac:dyDescent="0.25">
      <c r="B146" s="2" t="s">
        <v>677</v>
      </c>
      <c r="C146" s="2" t="s">
        <v>288</v>
      </c>
      <c r="D146" s="2" t="s">
        <v>289</v>
      </c>
      <c r="E146" s="2" t="s">
        <v>287</v>
      </c>
      <c r="F146" s="2" t="s">
        <v>537</v>
      </c>
      <c r="G146" s="2" t="s">
        <v>490</v>
      </c>
      <c r="H146" s="2" t="s">
        <v>491</v>
      </c>
      <c r="I146" s="22">
        <v>4500</v>
      </c>
      <c r="J146" s="18">
        <v>4.8099999999999996</v>
      </c>
      <c r="K146" s="2" t="s">
        <v>124</v>
      </c>
      <c r="L146" s="2" t="s">
        <v>123</v>
      </c>
      <c r="M146" s="2">
        <v>5</v>
      </c>
      <c r="N146" s="2" t="s">
        <v>135</v>
      </c>
    </row>
    <row r="147" spans="2:14" x14ac:dyDescent="0.25">
      <c r="B147" s="2" t="s">
        <v>678</v>
      </c>
      <c r="C147" s="2" t="s">
        <v>290</v>
      </c>
      <c r="D147" s="2" t="s">
        <v>291</v>
      </c>
      <c r="E147" s="2" t="s">
        <v>287</v>
      </c>
      <c r="F147" s="2" t="s">
        <v>535</v>
      </c>
      <c r="G147" s="2" t="s">
        <v>475</v>
      </c>
      <c r="H147" s="2" t="s">
        <v>476</v>
      </c>
      <c r="I147" s="22">
        <v>3700</v>
      </c>
      <c r="J147" s="18">
        <v>3.96</v>
      </c>
      <c r="K147" s="2" t="s">
        <v>124</v>
      </c>
      <c r="L147" s="2" t="s">
        <v>123</v>
      </c>
      <c r="M147" s="2">
        <v>3</v>
      </c>
      <c r="N147" s="2" t="s">
        <v>125</v>
      </c>
    </row>
    <row r="148" spans="2:14" x14ac:dyDescent="0.25">
      <c r="B148" s="2" t="s">
        <v>679</v>
      </c>
      <c r="C148" s="2" t="s">
        <v>290</v>
      </c>
      <c r="D148" s="2" t="s">
        <v>291</v>
      </c>
      <c r="E148" s="2" t="s">
        <v>287</v>
      </c>
      <c r="F148" s="2" t="s">
        <v>537</v>
      </c>
      <c r="G148" s="2" t="s">
        <v>490</v>
      </c>
      <c r="H148" s="2" t="s">
        <v>491</v>
      </c>
      <c r="I148" s="22">
        <v>3850</v>
      </c>
      <c r="J148" s="18">
        <v>4.12</v>
      </c>
      <c r="K148" s="2" t="s">
        <v>124</v>
      </c>
      <c r="L148" s="2" t="s">
        <v>123</v>
      </c>
      <c r="M148" s="2">
        <v>5</v>
      </c>
      <c r="N148" s="2" t="s">
        <v>135</v>
      </c>
    </row>
    <row r="149" spans="2:14" x14ac:dyDescent="0.25">
      <c r="B149" s="2" t="s">
        <v>680</v>
      </c>
      <c r="C149" s="2" t="s">
        <v>292</v>
      </c>
      <c r="D149" s="2" t="s">
        <v>293</v>
      </c>
      <c r="E149" s="2" t="s">
        <v>287</v>
      </c>
      <c r="F149" s="2" t="s">
        <v>535</v>
      </c>
      <c r="G149" s="2" t="s">
        <v>475</v>
      </c>
      <c r="H149" s="2" t="s">
        <v>476</v>
      </c>
      <c r="I149" s="22">
        <v>2550</v>
      </c>
      <c r="J149" s="18">
        <v>2.73</v>
      </c>
      <c r="K149" s="2" t="s">
        <v>124</v>
      </c>
      <c r="L149" s="2" t="s">
        <v>123</v>
      </c>
      <c r="M149" s="2">
        <v>2</v>
      </c>
      <c r="N149" s="2" t="s">
        <v>125</v>
      </c>
    </row>
    <row r="150" spans="2:14" x14ac:dyDescent="0.25">
      <c r="B150" s="2" t="s">
        <v>681</v>
      </c>
      <c r="C150" s="2" t="s">
        <v>292</v>
      </c>
      <c r="D150" s="2" t="s">
        <v>293</v>
      </c>
      <c r="E150" s="2" t="s">
        <v>287</v>
      </c>
      <c r="F150" s="2" t="s">
        <v>537</v>
      </c>
      <c r="G150" s="2" t="s">
        <v>490</v>
      </c>
      <c r="H150" s="2" t="s">
        <v>491</v>
      </c>
      <c r="I150" s="22">
        <v>2550</v>
      </c>
      <c r="J150" s="18">
        <v>2.73</v>
      </c>
      <c r="K150" s="2" t="s">
        <v>124</v>
      </c>
      <c r="L150" s="2" t="s">
        <v>123</v>
      </c>
      <c r="M150" s="2">
        <v>10</v>
      </c>
      <c r="N150" s="2" t="s">
        <v>135</v>
      </c>
    </row>
    <row r="151" spans="2:14" x14ac:dyDescent="0.25">
      <c r="B151" s="2" t="s">
        <v>682</v>
      </c>
      <c r="C151" s="2" t="s">
        <v>294</v>
      </c>
      <c r="D151" s="2" t="s">
        <v>295</v>
      </c>
      <c r="E151" s="2" t="s">
        <v>287</v>
      </c>
      <c r="F151" s="2" t="s">
        <v>535</v>
      </c>
      <c r="G151" s="2" t="s">
        <v>475</v>
      </c>
      <c r="H151" s="2" t="s">
        <v>476</v>
      </c>
      <c r="I151" s="22">
        <v>3300</v>
      </c>
      <c r="J151" s="18">
        <v>3.53</v>
      </c>
      <c r="K151" s="2" t="s">
        <v>124</v>
      </c>
      <c r="L151" s="2" t="s">
        <v>123</v>
      </c>
      <c r="M151" s="2">
        <v>1</v>
      </c>
      <c r="N151" s="2" t="s">
        <v>125</v>
      </c>
    </row>
    <row r="152" spans="2:14" x14ac:dyDescent="0.25">
      <c r="B152" s="2" t="s">
        <v>683</v>
      </c>
      <c r="C152" s="2" t="s">
        <v>294</v>
      </c>
      <c r="D152" s="2" t="s">
        <v>295</v>
      </c>
      <c r="E152" s="2" t="s">
        <v>287</v>
      </c>
      <c r="F152" s="2" t="s">
        <v>537</v>
      </c>
      <c r="G152" s="2" t="s">
        <v>490</v>
      </c>
      <c r="H152" s="2" t="s">
        <v>491</v>
      </c>
      <c r="I152" s="22">
        <v>3450</v>
      </c>
      <c r="J152" s="18">
        <v>3.69</v>
      </c>
      <c r="K152" s="2" t="s">
        <v>124</v>
      </c>
      <c r="L152" s="2" t="s">
        <v>123</v>
      </c>
      <c r="M152" s="2">
        <v>3</v>
      </c>
      <c r="N152" s="2" t="s">
        <v>135</v>
      </c>
    </row>
    <row r="153" spans="2:14" x14ac:dyDescent="0.25">
      <c r="B153" s="2" t="s">
        <v>684</v>
      </c>
      <c r="C153" s="2" t="s">
        <v>296</v>
      </c>
      <c r="D153" s="2" t="s">
        <v>297</v>
      </c>
      <c r="E153" s="2" t="s">
        <v>71</v>
      </c>
      <c r="F153" s="2" t="s">
        <v>535</v>
      </c>
      <c r="G153" s="2" t="s">
        <v>495</v>
      </c>
      <c r="H153" s="2" t="s">
        <v>496</v>
      </c>
      <c r="I153" s="22">
        <v>700</v>
      </c>
      <c r="J153" s="18">
        <v>0.75</v>
      </c>
      <c r="K153" s="2" t="s">
        <v>151</v>
      </c>
      <c r="L153" s="2" t="s">
        <v>298</v>
      </c>
      <c r="M153" s="2">
        <v>2</v>
      </c>
      <c r="N153" s="2" t="s">
        <v>135</v>
      </c>
    </row>
    <row r="154" spans="2:14" x14ac:dyDescent="0.25">
      <c r="B154" s="2" t="s">
        <v>685</v>
      </c>
      <c r="C154" s="2" t="s">
        <v>296</v>
      </c>
      <c r="D154" s="2" t="s">
        <v>297</v>
      </c>
      <c r="E154" s="2" t="s">
        <v>71</v>
      </c>
      <c r="F154" s="2" t="s">
        <v>537</v>
      </c>
      <c r="G154" s="2" t="s">
        <v>500</v>
      </c>
      <c r="H154" s="2" t="s">
        <v>501</v>
      </c>
      <c r="I154" s="22">
        <v>700</v>
      </c>
      <c r="J154" s="18">
        <v>0.75</v>
      </c>
      <c r="K154" s="2" t="s">
        <v>151</v>
      </c>
      <c r="L154" s="2" t="s">
        <v>298</v>
      </c>
      <c r="M154" s="2">
        <v>5</v>
      </c>
      <c r="N154" s="2" t="s">
        <v>125</v>
      </c>
    </row>
    <row r="155" spans="2:14" x14ac:dyDescent="0.25">
      <c r="B155" s="2" t="s">
        <v>686</v>
      </c>
      <c r="C155" s="2" t="s">
        <v>299</v>
      </c>
      <c r="D155" s="2" t="s">
        <v>300</v>
      </c>
      <c r="E155" s="2" t="s">
        <v>71</v>
      </c>
      <c r="F155" s="2" t="s">
        <v>535</v>
      </c>
      <c r="G155" s="2" t="s">
        <v>495</v>
      </c>
      <c r="H155" s="2" t="s">
        <v>496</v>
      </c>
      <c r="I155" s="22">
        <v>2450</v>
      </c>
      <c r="J155" s="18">
        <v>2.62</v>
      </c>
      <c r="K155" s="2" t="s">
        <v>124</v>
      </c>
      <c r="L155" s="2" t="s">
        <v>123</v>
      </c>
      <c r="M155" s="2">
        <v>1</v>
      </c>
      <c r="N155" s="2" t="s">
        <v>135</v>
      </c>
    </row>
    <row r="156" spans="2:14" x14ac:dyDescent="0.25">
      <c r="B156" s="2" t="s">
        <v>687</v>
      </c>
      <c r="C156" s="2" t="s">
        <v>299</v>
      </c>
      <c r="D156" s="2" t="s">
        <v>300</v>
      </c>
      <c r="E156" s="2" t="s">
        <v>71</v>
      </c>
      <c r="F156" s="2" t="s">
        <v>537</v>
      </c>
      <c r="G156" s="2" t="s">
        <v>500</v>
      </c>
      <c r="H156" s="2" t="s">
        <v>501</v>
      </c>
      <c r="I156" s="22">
        <v>2400</v>
      </c>
      <c r="J156" s="18">
        <v>2.57</v>
      </c>
      <c r="K156" s="2" t="s">
        <v>124</v>
      </c>
      <c r="L156" s="2" t="s">
        <v>123</v>
      </c>
      <c r="M156" s="2">
        <v>5</v>
      </c>
      <c r="N156" s="2" t="s">
        <v>125</v>
      </c>
    </row>
    <row r="157" spans="2:14" x14ac:dyDescent="0.25">
      <c r="B157" s="2" t="s">
        <v>688</v>
      </c>
      <c r="C157" s="2" t="s">
        <v>301</v>
      </c>
      <c r="D157" s="2" t="s">
        <v>302</v>
      </c>
      <c r="E157" s="2" t="s">
        <v>71</v>
      </c>
      <c r="F157" s="2" t="s">
        <v>535</v>
      </c>
      <c r="G157" s="2" t="s">
        <v>495</v>
      </c>
      <c r="H157" s="2" t="s">
        <v>496</v>
      </c>
      <c r="I157" s="22">
        <v>1350</v>
      </c>
      <c r="J157" s="18">
        <v>1.44</v>
      </c>
      <c r="K157" s="2" t="s">
        <v>151</v>
      </c>
      <c r="L157" s="2" t="s">
        <v>303</v>
      </c>
      <c r="M157" s="2">
        <v>1</v>
      </c>
      <c r="N157" s="2" t="s">
        <v>135</v>
      </c>
    </row>
    <row r="158" spans="2:14" x14ac:dyDescent="0.25">
      <c r="B158" s="2" t="s">
        <v>689</v>
      </c>
      <c r="C158" s="2" t="s">
        <v>301</v>
      </c>
      <c r="D158" s="2" t="s">
        <v>302</v>
      </c>
      <c r="E158" s="2" t="s">
        <v>71</v>
      </c>
      <c r="F158" s="2" t="s">
        <v>537</v>
      </c>
      <c r="G158" s="2" t="s">
        <v>500</v>
      </c>
      <c r="H158" s="2" t="s">
        <v>501</v>
      </c>
      <c r="I158" s="22">
        <v>1450</v>
      </c>
      <c r="J158" s="18">
        <v>1.55</v>
      </c>
      <c r="K158" s="2" t="s">
        <v>151</v>
      </c>
      <c r="L158" s="2" t="s">
        <v>303</v>
      </c>
      <c r="M158" s="2">
        <v>3</v>
      </c>
      <c r="N158" s="2" t="s">
        <v>125</v>
      </c>
    </row>
    <row r="159" spans="2:14" x14ac:dyDescent="0.25">
      <c r="B159" s="2" t="s">
        <v>690</v>
      </c>
      <c r="C159" s="2" t="s">
        <v>304</v>
      </c>
      <c r="D159" s="2" t="s">
        <v>305</v>
      </c>
      <c r="E159" s="2" t="s">
        <v>71</v>
      </c>
      <c r="F159" s="2" t="s">
        <v>535</v>
      </c>
      <c r="G159" s="2" t="s">
        <v>495</v>
      </c>
      <c r="H159" s="2" t="s">
        <v>496</v>
      </c>
      <c r="I159" s="22">
        <v>700</v>
      </c>
      <c r="J159" s="18">
        <v>0.75</v>
      </c>
      <c r="K159" s="2" t="s">
        <v>151</v>
      </c>
      <c r="L159" s="2" t="s">
        <v>298</v>
      </c>
      <c r="M159" s="2">
        <v>3</v>
      </c>
      <c r="N159" s="2" t="s">
        <v>135</v>
      </c>
    </row>
    <row r="160" spans="2:14" x14ac:dyDescent="0.25">
      <c r="B160" s="2" t="s">
        <v>691</v>
      </c>
      <c r="C160" s="2" t="s">
        <v>304</v>
      </c>
      <c r="D160" s="2" t="s">
        <v>305</v>
      </c>
      <c r="E160" s="2" t="s">
        <v>71</v>
      </c>
      <c r="F160" s="2" t="s">
        <v>537</v>
      </c>
      <c r="G160" s="2" t="s">
        <v>500</v>
      </c>
      <c r="H160" s="2" t="s">
        <v>501</v>
      </c>
      <c r="I160" s="22">
        <v>750</v>
      </c>
      <c r="J160" s="18">
        <v>0.8</v>
      </c>
      <c r="K160" s="2" t="s">
        <v>151</v>
      </c>
      <c r="L160" s="2" t="s">
        <v>298</v>
      </c>
      <c r="M160" s="2">
        <v>5</v>
      </c>
      <c r="N160" s="2" t="s">
        <v>125</v>
      </c>
    </row>
    <row r="161" spans="2:14" x14ac:dyDescent="0.25">
      <c r="B161" s="2" t="s">
        <v>692</v>
      </c>
      <c r="C161" s="2" t="s">
        <v>306</v>
      </c>
      <c r="D161" s="2" t="s">
        <v>307</v>
      </c>
      <c r="E161" s="2" t="s">
        <v>71</v>
      </c>
      <c r="F161" s="2" t="s">
        <v>535</v>
      </c>
      <c r="G161" s="2" t="s">
        <v>495</v>
      </c>
      <c r="H161" s="2" t="s">
        <v>496</v>
      </c>
      <c r="I161" s="22">
        <v>700</v>
      </c>
      <c r="J161" s="18">
        <v>0.75</v>
      </c>
      <c r="K161" s="2" t="s">
        <v>151</v>
      </c>
      <c r="L161" s="2" t="s">
        <v>298</v>
      </c>
      <c r="M161" s="2">
        <v>2</v>
      </c>
      <c r="N161" s="2" t="s">
        <v>135</v>
      </c>
    </row>
    <row r="162" spans="2:14" x14ac:dyDescent="0.25">
      <c r="B162" s="2" t="s">
        <v>693</v>
      </c>
      <c r="C162" s="2" t="s">
        <v>306</v>
      </c>
      <c r="D162" s="2" t="s">
        <v>307</v>
      </c>
      <c r="E162" s="2" t="s">
        <v>71</v>
      </c>
      <c r="F162" s="2" t="s">
        <v>537</v>
      </c>
      <c r="G162" s="2" t="s">
        <v>500</v>
      </c>
      <c r="H162" s="2" t="s">
        <v>501</v>
      </c>
      <c r="I162" s="22">
        <v>750</v>
      </c>
      <c r="J162" s="18">
        <v>0.8</v>
      </c>
      <c r="K162" s="2" t="s">
        <v>151</v>
      </c>
      <c r="L162" s="2" t="s">
        <v>298</v>
      </c>
      <c r="M162" s="2">
        <v>3</v>
      </c>
      <c r="N162" s="2" t="s">
        <v>125</v>
      </c>
    </row>
    <row r="163" spans="2:14" x14ac:dyDescent="0.25">
      <c r="B163" s="2" t="s">
        <v>694</v>
      </c>
      <c r="C163" s="2" t="s">
        <v>308</v>
      </c>
      <c r="D163" s="2" t="s">
        <v>309</v>
      </c>
      <c r="E163" s="2" t="s">
        <v>71</v>
      </c>
      <c r="F163" s="2" t="s">
        <v>535</v>
      </c>
      <c r="G163" s="2" t="s">
        <v>495</v>
      </c>
      <c r="H163" s="2" t="s">
        <v>496</v>
      </c>
      <c r="I163" s="22">
        <v>650</v>
      </c>
      <c r="J163" s="18">
        <v>0.7</v>
      </c>
      <c r="K163" s="2" t="s">
        <v>151</v>
      </c>
      <c r="L163" s="2" t="s">
        <v>177</v>
      </c>
      <c r="M163" s="2">
        <v>2</v>
      </c>
      <c r="N163" s="2" t="s">
        <v>135</v>
      </c>
    </row>
    <row r="164" spans="2:14" x14ac:dyDescent="0.25">
      <c r="B164" s="2" t="s">
        <v>695</v>
      </c>
      <c r="C164" s="2" t="s">
        <v>308</v>
      </c>
      <c r="D164" s="2" t="s">
        <v>309</v>
      </c>
      <c r="E164" s="2" t="s">
        <v>71</v>
      </c>
      <c r="F164" s="2" t="s">
        <v>537</v>
      </c>
      <c r="G164" s="2" t="s">
        <v>500</v>
      </c>
      <c r="H164" s="2" t="s">
        <v>501</v>
      </c>
      <c r="I164" s="22">
        <v>750</v>
      </c>
      <c r="J164" s="18">
        <v>0.8</v>
      </c>
      <c r="K164" s="2" t="s">
        <v>151</v>
      </c>
      <c r="L164" s="2" t="s">
        <v>177</v>
      </c>
      <c r="M164" s="2">
        <v>7</v>
      </c>
      <c r="N164" s="2" t="s">
        <v>125</v>
      </c>
    </row>
    <row r="165" spans="2:14" x14ac:dyDescent="0.25">
      <c r="B165" s="2" t="s">
        <v>696</v>
      </c>
      <c r="C165" s="2" t="s">
        <v>310</v>
      </c>
      <c r="D165" s="2" t="s">
        <v>311</v>
      </c>
      <c r="E165" s="2" t="s">
        <v>71</v>
      </c>
      <c r="F165" s="2" t="s">
        <v>535</v>
      </c>
      <c r="G165" s="2" t="s">
        <v>495</v>
      </c>
      <c r="H165" s="2" t="s">
        <v>496</v>
      </c>
      <c r="I165" s="22">
        <v>350</v>
      </c>
      <c r="J165" s="18">
        <v>0.37</v>
      </c>
      <c r="K165" s="2" t="s">
        <v>151</v>
      </c>
      <c r="L165" s="2" t="s">
        <v>192</v>
      </c>
      <c r="M165" s="2">
        <v>2</v>
      </c>
      <c r="N165" s="2" t="s">
        <v>135</v>
      </c>
    </row>
    <row r="166" spans="2:14" x14ac:dyDescent="0.25">
      <c r="B166" s="2" t="s">
        <v>697</v>
      </c>
      <c r="C166" s="2" t="s">
        <v>310</v>
      </c>
      <c r="D166" s="2" t="s">
        <v>311</v>
      </c>
      <c r="E166" s="2" t="s">
        <v>71</v>
      </c>
      <c r="F166" s="2" t="s">
        <v>537</v>
      </c>
      <c r="G166" s="2" t="s">
        <v>500</v>
      </c>
      <c r="H166" s="2" t="s">
        <v>501</v>
      </c>
      <c r="I166" s="22">
        <v>350</v>
      </c>
      <c r="J166" s="18">
        <v>0.37</v>
      </c>
      <c r="K166" s="2" t="s">
        <v>151</v>
      </c>
      <c r="L166" s="2" t="s">
        <v>192</v>
      </c>
      <c r="M166" s="2">
        <v>10</v>
      </c>
      <c r="N166" s="2" t="s">
        <v>125</v>
      </c>
    </row>
    <row r="167" spans="2:14" x14ac:dyDescent="0.25">
      <c r="B167" s="2" t="s">
        <v>698</v>
      </c>
      <c r="C167" s="2" t="s">
        <v>312</v>
      </c>
      <c r="D167" s="2" t="s">
        <v>313</v>
      </c>
      <c r="E167" s="2" t="s">
        <v>71</v>
      </c>
      <c r="F167" s="2" t="s">
        <v>535</v>
      </c>
      <c r="G167" s="2" t="s">
        <v>495</v>
      </c>
      <c r="H167" s="2" t="s">
        <v>496</v>
      </c>
      <c r="I167" s="22">
        <v>700</v>
      </c>
      <c r="J167" s="18">
        <v>0.75</v>
      </c>
      <c r="K167" s="2" t="s">
        <v>151</v>
      </c>
      <c r="L167" s="2" t="s">
        <v>177</v>
      </c>
      <c r="M167" s="2">
        <v>3</v>
      </c>
      <c r="N167" s="2" t="s">
        <v>135</v>
      </c>
    </row>
    <row r="168" spans="2:14" x14ac:dyDescent="0.25">
      <c r="B168" s="2" t="s">
        <v>699</v>
      </c>
      <c r="C168" s="2" t="s">
        <v>312</v>
      </c>
      <c r="D168" s="2" t="s">
        <v>313</v>
      </c>
      <c r="E168" s="2" t="s">
        <v>71</v>
      </c>
      <c r="F168" s="2" t="s">
        <v>537</v>
      </c>
      <c r="G168" s="2" t="s">
        <v>500</v>
      </c>
      <c r="H168" s="2" t="s">
        <v>501</v>
      </c>
      <c r="I168" s="22">
        <v>700</v>
      </c>
      <c r="J168" s="18">
        <v>0.75</v>
      </c>
      <c r="K168" s="2" t="s">
        <v>151</v>
      </c>
      <c r="L168" s="2" t="s">
        <v>177</v>
      </c>
      <c r="M168" s="2">
        <v>3</v>
      </c>
      <c r="N168" s="2" t="s">
        <v>125</v>
      </c>
    </row>
    <row r="169" spans="2:14" x14ac:dyDescent="0.25">
      <c r="B169" s="2" t="s">
        <v>700</v>
      </c>
      <c r="C169" s="2" t="s">
        <v>314</v>
      </c>
      <c r="D169" s="2" t="s">
        <v>315</v>
      </c>
      <c r="E169" s="2" t="s">
        <v>71</v>
      </c>
      <c r="F169" s="2" t="s">
        <v>535</v>
      </c>
      <c r="G169" s="2" t="s">
        <v>495</v>
      </c>
      <c r="H169" s="2" t="s">
        <v>496</v>
      </c>
      <c r="I169" s="22">
        <v>350</v>
      </c>
      <c r="J169" s="18">
        <v>0.37</v>
      </c>
      <c r="K169" s="2" t="s">
        <v>151</v>
      </c>
      <c r="L169" s="2" t="s">
        <v>192</v>
      </c>
      <c r="M169" s="2">
        <v>3</v>
      </c>
      <c r="N169" s="2" t="s">
        <v>135</v>
      </c>
    </row>
    <row r="170" spans="2:14" x14ac:dyDescent="0.25">
      <c r="B170" s="2" t="s">
        <v>701</v>
      </c>
      <c r="C170" s="2" t="s">
        <v>314</v>
      </c>
      <c r="D170" s="2" t="s">
        <v>315</v>
      </c>
      <c r="E170" s="2" t="s">
        <v>71</v>
      </c>
      <c r="F170" s="2" t="s">
        <v>537</v>
      </c>
      <c r="G170" s="2" t="s">
        <v>500</v>
      </c>
      <c r="H170" s="2" t="s">
        <v>501</v>
      </c>
      <c r="I170" s="22">
        <v>350</v>
      </c>
      <c r="J170" s="18">
        <v>0.37</v>
      </c>
      <c r="K170" s="2" t="s">
        <v>151</v>
      </c>
      <c r="L170" s="2" t="s">
        <v>192</v>
      </c>
      <c r="M170" s="2">
        <v>3</v>
      </c>
      <c r="N170" s="2" t="s">
        <v>125</v>
      </c>
    </row>
    <row r="171" spans="2:14" x14ac:dyDescent="0.25">
      <c r="B171" s="2" t="s">
        <v>702</v>
      </c>
      <c r="C171" s="2" t="s">
        <v>316</v>
      </c>
      <c r="D171" s="2" t="s">
        <v>317</v>
      </c>
      <c r="E171" s="2" t="s">
        <v>71</v>
      </c>
      <c r="F171" s="2" t="s">
        <v>535</v>
      </c>
      <c r="G171" s="2" t="s">
        <v>495</v>
      </c>
      <c r="H171" s="2" t="s">
        <v>496</v>
      </c>
      <c r="I171" s="22">
        <v>700</v>
      </c>
      <c r="J171" s="18">
        <v>0.75</v>
      </c>
      <c r="K171" s="2" t="s">
        <v>151</v>
      </c>
      <c r="L171" s="2" t="s">
        <v>177</v>
      </c>
      <c r="M171" s="2">
        <v>2</v>
      </c>
      <c r="N171" s="2" t="s">
        <v>135</v>
      </c>
    </row>
    <row r="172" spans="2:14" x14ac:dyDescent="0.25">
      <c r="B172" s="2" t="s">
        <v>703</v>
      </c>
      <c r="C172" s="2" t="s">
        <v>316</v>
      </c>
      <c r="D172" s="2" t="s">
        <v>317</v>
      </c>
      <c r="E172" s="2" t="s">
        <v>71</v>
      </c>
      <c r="F172" s="2" t="s">
        <v>537</v>
      </c>
      <c r="G172" s="2" t="s">
        <v>500</v>
      </c>
      <c r="H172" s="2" t="s">
        <v>501</v>
      </c>
      <c r="I172" s="22">
        <v>700</v>
      </c>
      <c r="J172" s="18">
        <v>0.75</v>
      </c>
      <c r="K172" s="2" t="s">
        <v>151</v>
      </c>
      <c r="L172" s="2" t="s">
        <v>177</v>
      </c>
      <c r="M172" s="2">
        <v>2</v>
      </c>
      <c r="N172" s="2" t="s">
        <v>125</v>
      </c>
    </row>
    <row r="173" spans="2:14" x14ac:dyDescent="0.25">
      <c r="B173" s="2" t="s">
        <v>704</v>
      </c>
      <c r="C173" s="2" t="s">
        <v>318</v>
      </c>
      <c r="D173" s="2" t="s">
        <v>319</v>
      </c>
      <c r="E173" s="2" t="s">
        <v>71</v>
      </c>
      <c r="F173" s="2" t="s">
        <v>535</v>
      </c>
      <c r="G173" s="2" t="s">
        <v>495</v>
      </c>
      <c r="H173" s="2" t="s">
        <v>496</v>
      </c>
      <c r="I173" s="22">
        <v>700</v>
      </c>
      <c r="J173" s="18">
        <v>0.75</v>
      </c>
      <c r="K173" s="2" t="s">
        <v>151</v>
      </c>
      <c r="L173" s="2" t="s">
        <v>177</v>
      </c>
      <c r="M173" s="2">
        <v>5</v>
      </c>
      <c r="N173" s="2" t="s">
        <v>135</v>
      </c>
    </row>
    <row r="174" spans="2:14" x14ac:dyDescent="0.25">
      <c r="B174" s="2" t="s">
        <v>705</v>
      </c>
      <c r="C174" s="2" t="s">
        <v>318</v>
      </c>
      <c r="D174" s="2" t="s">
        <v>319</v>
      </c>
      <c r="E174" s="2" t="s">
        <v>71</v>
      </c>
      <c r="F174" s="2" t="s">
        <v>537</v>
      </c>
      <c r="G174" s="2" t="s">
        <v>500</v>
      </c>
      <c r="H174" s="2" t="s">
        <v>501</v>
      </c>
      <c r="I174" s="22">
        <v>700</v>
      </c>
      <c r="J174" s="18">
        <v>0.75</v>
      </c>
      <c r="K174" s="2" t="s">
        <v>151</v>
      </c>
      <c r="L174" s="2" t="s">
        <v>177</v>
      </c>
      <c r="M174" s="2">
        <v>10</v>
      </c>
      <c r="N174" s="2" t="s">
        <v>125</v>
      </c>
    </row>
    <row r="175" spans="2:14" x14ac:dyDescent="0.25">
      <c r="B175" s="2" t="s">
        <v>706</v>
      </c>
      <c r="C175" s="2" t="s">
        <v>320</v>
      </c>
      <c r="D175" s="2" t="s">
        <v>321</v>
      </c>
      <c r="E175" s="2" t="s">
        <v>71</v>
      </c>
      <c r="F175" s="2" t="s">
        <v>535</v>
      </c>
      <c r="G175" s="2" t="s">
        <v>495</v>
      </c>
      <c r="H175" s="2" t="s">
        <v>496</v>
      </c>
      <c r="I175" s="22">
        <v>650</v>
      </c>
      <c r="J175" s="18">
        <v>0.7</v>
      </c>
      <c r="K175" s="2" t="s">
        <v>151</v>
      </c>
      <c r="L175" s="2" t="s">
        <v>177</v>
      </c>
      <c r="M175" s="2">
        <v>0</v>
      </c>
      <c r="N175" s="2" t="s">
        <v>135</v>
      </c>
    </row>
    <row r="176" spans="2:14" x14ac:dyDescent="0.25">
      <c r="B176" s="2" t="s">
        <v>707</v>
      </c>
      <c r="C176" s="2" t="s">
        <v>320</v>
      </c>
      <c r="D176" s="2" t="s">
        <v>321</v>
      </c>
      <c r="E176" s="2" t="s">
        <v>71</v>
      </c>
      <c r="F176" s="2" t="s">
        <v>537</v>
      </c>
      <c r="G176" s="2" t="s">
        <v>500</v>
      </c>
      <c r="H176" s="2" t="s">
        <v>501</v>
      </c>
      <c r="I176" s="22">
        <v>700</v>
      </c>
      <c r="J176" s="18">
        <v>0.75</v>
      </c>
      <c r="K176" s="2" t="s">
        <v>151</v>
      </c>
      <c r="L176" s="2" t="s">
        <v>177</v>
      </c>
      <c r="M176" s="2">
        <v>3</v>
      </c>
      <c r="N176" s="2" t="s">
        <v>125</v>
      </c>
    </row>
    <row r="177" spans="2:14" x14ac:dyDescent="0.25">
      <c r="B177" s="2" t="s">
        <v>708</v>
      </c>
      <c r="C177" s="2" t="s">
        <v>322</v>
      </c>
      <c r="D177" s="2" t="s">
        <v>323</v>
      </c>
      <c r="E177" s="2" t="s">
        <v>71</v>
      </c>
      <c r="F177" s="2" t="s">
        <v>535</v>
      </c>
      <c r="G177" s="2" t="s">
        <v>495</v>
      </c>
      <c r="H177" s="2" t="s">
        <v>496</v>
      </c>
      <c r="I177" s="22">
        <v>350</v>
      </c>
      <c r="J177" s="18">
        <v>0.37</v>
      </c>
      <c r="K177" s="2" t="s">
        <v>151</v>
      </c>
      <c r="L177" s="2" t="s">
        <v>192</v>
      </c>
      <c r="M177" s="2">
        <v>5</v>
      </c>
      <c r="N177" s="2" t="s">
        <v>135</v>
      </c>
    </row>
    <row r="178" spans="2:14" x14ac:dyDescent="0.25">
      <c r="B178" s="2" t="s">
        <v>709</v>
      </c>
      <c r="C178" s="2" t="s">
        <v>322</v>
      </c>
      <c r="D178" s="2" t="s">
        <v>323</v>
      </c>
      <c r="E178" s="2" t="s">
        <v>71</v>
      </c>
      <c r="F178" s="2" t="s">
        <v>537</v>
      </c>
      <c r="G178" s="2" t="s">
        <v>500</v>
      </c>
      <c r="H178" s="2" t="s">
        <v>501</v>
      </c>
      <c r="I178" s="22">
        <v>350</v>
      </c>
      <c r="J178" s="18">
        <v>0.37</v>
      </c>
      <c r="K178" s="2" t="s">
        <v>151</v>
      </c>
      <c r="L178" s="2" t="s">
        <v>192</v>
      </c>
      <c r="M178" s="2">
        <v>3</v>
      </c>
      <c r="N178" s="2" t="s">
        <v>125</v>
      </c>
    </row>
    <row r="179" spans="2:14" x14ac:dyDescent="0.25">
      <c r="B179" s="2" t="s">
        <v>710</v>
      </c>
      <c r="C179" s="2" t="s">
        <v>324</v>
      </c>
      <c r="D179" s="2" t="s">
        <v>325</v>
      </c>
      <c r="E179" s="2" t="s">
        <v>71</v>
      </c>
      <c r="F179" s="2" t="s">
        <v>535</v>
      </c>
      <c r="G179" s="2" t="s">
        <v>495</v>
      </c>
      <c r="H179" s="2" t="s">
        <v>496</v>
      </c>
      <c r="I179" s="22">
        <v>650</v>
      </c>
      <c r="J179" s="18">
        <v>0.7</v>
      </c>
      <c r="K179" s="2" t="s">
        <v>151</v>
      </c>
      <c r="L179" s="2" t="s">
        <v>177</v>
      </c>
      <c r="M179" s="2">
        <v>3</v>
      </c>
      <c r="N179" s="2" t="s">
        <v>135</v>
      </c>
    </row>
    <row r="180" spans="2:14" x14ac:dyDescent="0.25">
      <c r="B180" s="2" t="s">
        <v>711</v>
      </c>
      <c r="C180" s="2" t="s">
        <v>324</v>
      </c>
      <c r="D180" s="2" t="s">
        <v>325</v>
      </c>
      <c r="E180" s="2" t="s">
        <v>71</v>
      </c>
      <c r="F180" s="2" t="s">
        <v>537</v>
      </c>
      <c r="G180" s="2" t="s">
        <v>500</v>
      </c>
      <c r="H180" s="2" t="s">
        <v>501</v>
      </c>
      <c r="I180" s="22">
        <v>750</v>
      </c>
      <c r="J180" s="18">
        <v>0.8</v>
      </c>
      <c r="K180" s="2" t="s">
        <v>151</v>
      </c>
      <c r="L180" s="2" t="s">
        <v>177</v>
      </c>
      <c r="M180" s="2">
        <v>3</v>
      </c>
      <c r="N180" s="2" t="s">
        <v>125</v>
      </c>
    </row>
    <row r="181" spans="2:14" x14ac:dyDescent="0.25">
      <c r="B181" s="2" t="s">
        <v>712</v>
      </c>
      <c r="C181" s="2" t="s">
        <v>326</v>
      </c>
      <c r="D181" s="2" t="s">
        <v>327</v>
      </c>
      <c r="E181" s="2" t="s">
        <v>71</v>
      </c>
      <c r="F181" s="2" t="s">
        <v>535</v>
      </c>
      <c r="G181" s="2" t="s">
        <v>495</v>
      </c>
      <c r="H181" s="2" t="s">
        <v>496</v>
      </c>
      <c r="I181" s="22">
        <v>350</v>
      </c>
      <c r="J181" s="18">
        <v>0.37</v>
      </c>
      <c r="K181" s="2" t="s">
        <v>151</v>
      </c>
      <c r="L181" s="2" t="s">
        <v>192</v>
      </c>
      <c r="M181" s="2">
        <v>2</v>
      </c>
      <c r="N181" s="2" t="s">
        <v>135</v>
      </c>
    </row>
    <row r="182" spans="2:14" x14ac:dyDescent="0.25">
      <c r="B182" s="2" t="s">
        <v>713</v>
      </c>
      <c r="C182" s="2" t="s">
        <v>326</v>
      </c>
      <c r="D182" s="2" t="s">
        <v>327</v>
      </c>
      <c r="E182" s="2" t="s">
        <v>71</v>
      </c>
      <c r="F182" s="2" t="s">
        <v>537</v>
      </c>
      <c r="G182" s="2" t="s">
        <v>500</v>
      </c>
      <c r="H182" s="2" t="s">
        <v>501</v>
      </c>
      <c r="I182" s="22">
        <v>350</v>
      </c>
      <c r="J182" s="18">
        <v>0.37</v>
      </c>
      <c r="K182" s="2" t="s">
        <v>151</v>
      </c>
      <c r="L182" s="2" t="s">
        <v>192</v>
      </c>
      <c r="M182" s="2">
        <v>10</v>
      </c>
      <c r="N182" s="2" t="s">
        <v>125</v>
      </c>
    </row>
    <row r="183" spans="2:14" x14ac:dyDescent="0.25">
      <c r="B183" s="2" t="s">
        <v>714</v>
      </c>
      <c r="C183" s="2" t="s">
        <v>328</v>
      </c>
      <c r="D183" s="2" t="s">
        <v>329</v>
      </c>
      <c r="E183" s="2" t="s">
        <v>71</v>
      </c>
      <c r="F183" s="2" t="s">
        <v>535</v>
      </c>
      <c r="G183" s="2" t="s">
        <v>495</v>
      </c>
      <c r="H183" s="2" t="s">
        <v>496</v>
      </c>
      <c r="I183" s="22">
        <v>650</v>
      </c>
      <c r="J183" s="18">
        <v>0.7</v>
      </c>
      <c r="K183" s="2" t="s">
        <v>151</v>
      </c>
      <c r="L183" s="2" t="s">
        <v>177</v>
      </c>
      <c r="M183" s="2">
        <v>0</v>
      </c>
      <c r="N183" s="2" t="s">
        <v>135</v>
      </c>
    </row>
    <row r="184" spans="2:14" x14ac:dyDescent="0.25">
      <c r="B184" s="2" t="s">
        <v>715</v>
      </c>
      <c r="C184" s="2" t="s">
        <v>328</v>
      </c>
      <c r="D184" s="2" t="s">
        <v>329</v>
      </c>
      <c r="E184" s="2" t="s">
        <v>71</v>
      </c>
      <c r="F184" s="2" t="s">
        <v>537</v>
      </c>
      <c r="G184" s="2" t="s">
        <v>500</v>
      </c>
      <c r="H184" s="2" t="s">
        <v>501</v>
      </c>
      <c r="I184" s="22">
        <v>750</v>
      </c>
      <c r="J184" s="18">
        <v>0.8</v>
      </c>
      <c r="K184" s="2" t="s">
        <v>151</v>
      </c>
      <c r="L184" s="2" t="s">
        <v>177</v>
      </c>
      <c r="M184" s="2">
        <v>5</v>
      </c>
      <c r="N184" s="2" t="s">
        <v>125</v>
      </c>
    </row>
    <row r="185" spans="2:14" x14ac:dyDescent="0.25">
      <c r="B185" s="2" t="s">
        <v>716</v>
      </c>
      <c r="C185" s="2" t="s">
        <v>330</v>
      </c>
      <c r="D185" s="2" t="s">
        <v>331</v>
      </c>
      <c r="E185" s="2" t="s">
        <v>71</v>
      </c>
      <c r="F185" s="2" t="s">
        <v>535</v>
      </c>
      <c r="G185" s="2" t="s">
        <v>495</v>
      </c>
      <c r="H185" s="2" t="s">
        <v>496</v>
      </c>
      <c r="I185" s="22">
        <v>700</v>
      </c>
      <c r="J185" s="18">
        <v>0.75</v>
      </c>
      <c r="K185" s="2" t="s">
        <v>151</v>
      </c>
      <c r="L185" s="2" t="s">
        <v>177</v>
      </c>
      <c r="M185" s="2">
        <v>1</v>
      </c>
      <c r="N185" s="2" t="s">
        <v>135</v>
      </c>
    </row>
    <row r="186" spans="2:14" x14ac:dyDescent="0.25">
      <c r="B186" s="2" t="s">
        <v>717</v>
      </c>
      <c r="C186" s="2" t="s">
        <v>330</v>
      </c>
      <c r="D186" s="2" t="s">
        <v>331</v>
      </c>
      <c r="E186" s="2" t="s">
        <v>71</v>
      </c>
      <c r="F186" s="2" t="s">
        <v>537</v>
      </c>
      <c r="G186" s="2" t="s">
        <v>500</v>
      </c>
      <c r="H186" s="2" t="s">
        <v>501</v>
      </c>
      <c r="I186" s="22">
        <v>700</v>
      </c>
      <c r="J186" s="18">
        <v>0.75</v>
      </c>
      <c r="K186" s="2" t="s">
        <v>151</v>
      </c>
      <c r="L186" s="2" t="s">
        <v>177</v>
      </c>
      <c r="M186" s="2">
        <v>7</v>
      </c>
      <c r="N186" s="2" t="s">
        <v>125</v>
      </c>
    </row>
    <row r="187" spans="2:14" x14ac:dyDescent="0.25">
      <c r="B187" s="2" t="s">
        <v>718</v>
      </c>
      <c r="C187" s="2" t="s">
        <v>332</v>
      </c>
      <c r="D187" s="2" t="s">
        <v>333</v>
      </c>
      <c r="E187" s="2" t="s">
        <v>334</v>
      </c>
      <c r="F187" s="2" t="s">
        <v>535</v>
      </c>
      <c r="G187" s="2" t="s">
        <v>505</v>
      </c>
      <c r="H187" s="2" t="s">
        <v>506</v>
      </c>
      <c r="I187" s="22">
        <v>5350</v>
      </c>
      <c r="J187" s="18">
        <v>5.72</v>
      </c>
      <c r="K187" s="2" t="s">
        <v>124</v>
      </c>
      <c r="L187" s="2" t="s">
        <v>123</v>
      </c>
      <c r="M187" s="2">
        <v>1</v>
      </c>
      <c r="N187" s="2" t="s">
        <v>125</v>
      </c>
    </row>
    <row r="188" spans="2:14" x14ac:dyDescent="0.25">
      <c r="B188" s="2" t="s">
        <v>719</v>
      </c>
      <c r="C188" s="2" t="s">
        <v>332</v>
      </c>
      <c r="D188" s="2" t="s">
        <v>333</v>
      </c>
      <c r="E188" s="2" t="s">
        <v>334</v>
      </c>
      <c r="F188" s="2" t="s">
        <v>537</v>
      </c>
      <c r="G188" s="2" t="s">
        <v>510</v>
      </c>
      <c r="H188" s="2" t="s">
        <v>511</v>
      </c>
      <c r="I188" s="22">
        <v>5550</v>
      </c>
      <c r="J188" s="18">
        <v>5.94</v>
      </c>
      <c r="K188" s="2" t="s">
        <v>124</v>
      </c>
      <c r="L188" s="2" t="s">
        <v>123</v>
      </c>
      <c r="M188" s="2">
        <v>5</v>
      </c>
      <c r="N188" s="2" t="s">
        <v>135</v>
      </c>
    </row>
    <row r="189" spans="2:14" x14ac:dyDescent="0.25">
      <c r="B189" s="2" t="s">
        <v>720</v>
      </c>
      <c r="C189" s="2" t="s">
        <v>335</v>
      </c>
      <c r="D189" s="2" t="s">
        <v>336</v>
      </c>
      <c r="E189" s="2" t="s">
        <v>334</v>
      </c>
      <c r="F189" s="2" t="s">
        <v>535</v>
      </c>
      <c r="G189" s="2" t="s">
        <v>505</v>
      </c>
      <c r="H189" s="2" t="s">
        <v>506</v>
      </c>
      <c r="I189" s="22">
        <v>5150</v>
      </c>
      <c r="J189" s="18">
        <v>5.51</v>
      </c>
      <c r="K189" s="2" t="s">
        <v>124</v>
      </c>
      <c r="L189" s="2" t="s">
        <v>123</v>
      </c>
      <c r="M189" s="2">
        <v>2</v>
      </c>
      <c r="N189" s="2" t="s">
        <v>125</v>
      </c>
    </row>
    <row r="190" spans="2:14" x14ac:dyDescent="0.25">
      <c r="B190" s="2" t="s">
        <v>721</v>
      </c>
      <c r="C190" s="2" t="s">
        <v>335</v>
      </c>
      <c r="D190" s="2" t="s">
        <v>336</v>
      </c>
      <c r="E190" s="2" t="s">
        <v>334</v>
      </c>
      <c r="F190" s="2" t="s">
        <v>537</v>
      </c>
      <c r="G190" s="2" t="s">
        <v>510</v>
      </c>
      <c r="H190" s="2" t="s">
        <v>511</v>
      </c>
      <c r="I190" s="22">
        <v>5100</v>
      </c>
      <c r="J190" s="18">
        <v>5.45</v>
      </c>
      <c r="K190" s="2" t="s">
        <v>124</v>
      </c>
      <c r="L190" s="2" t="s">
        <v>123</v>
      </c>
      <c r="M190" s="2">
        <v>7</v>
      </c>
      <c r="N190" s="2" t="s">
        <v>135</v>
      </c>
    </row>
    <row r="191" spans="2:14" x14ac:dyDescent="0.25">
      <c r="B191" s="2" t="s">
        <v>722</v>
      </c>
      <c r="C191" s="2" t="s">
        <v>337</v>
      </c>
      <c r="D191" s="2" t="s">
        <v>338</v>
      </c>
      <c r="E191" s="2" t="s">
        <v>334</v>
      </c>
      <c r="F191" s="2" t="s">
        <v>535</v>
      </c>
      <c r="G191" s="2" t="s">
        <v>505</v>
      </c>
      <c r="H191" s="2" t="s">
        <v>506</v>
      </c>
      <c r="I191" s="22">
        <v>6000</v>
      </c>
      <c r="J191" s="18">
        <v>6.42</v>
      </c>
      <c r="K191" s="2" t="s">
        <v>124</v>
      </c>
      <c r="L191" s="2" t="s">
        <v>123</v>
      </c>
      <c r="M191" s="2">
        <v>2</v>
      </c>
      <c r="N191" s="2" t="s">
        <v>125</v>
      </c>
    </row>
    <row r="192" spans="2:14" x14ac:dyDescent="0.25">
      <c r="B192" s="2" t="s">
        <v>723</v>
      </c>
      <c r="C192" s="2" t="s">
        <v>337</v>
      </c>
      <c r="D192" s="2" t="s">
        <v>338</v>
      </c>
      <c r="E192" s="2" t="s">
        <v>334</v>
      </c>
      <c r="F192" s="2" t="s">
        <v>537</v>
      </c>
      <c r="G192" s="2" t="s">
        <v>510</v>
      </c>
      <c r="H192" s="2" t="s">
        <v>511</v>
      </c>
      <c r="I192" s="22">
        <v>6000</v>
      </c>
      <c r="J192" s="18">
        <v>6.42</v>
      </c>
      <c r="K192" s="2" t="s">
        <v>124</v>
      </c>
      <c r="L192" s="2" t="s">
        <v>123</v>
      </c>
      <c r="M192" s="2">
        <v>3</v>
      </c>
      <c r="N192" s="2" t="s">
        <v>135</v>
      </c>
    </row>
    <row r="193" spans="2:14" x14ac:dyDescent="0.25">
      <c r="B193" s="2" t="s">
        <v>724</v>
      </c>
      <c r="C193" s="2" t="s">
        <v>339</v>
      </c>
      <c r="D193" s="2" t="s">
        <v>340</v>
      </c>
      <c r="E193" s="2" t="s">
        <v>341</v>
      </c>
      <c r="F193" s="2" t="s">
        <v>535</v>
      </c>
      <c r="G193" s="2" t="s">
        <v>505</v>
      </c>
      <c r="H193" s="2" t="s">
        <v>506</v>
      </c>
      <c r="I193" s="22">
        <v>3400</v>
      </c>
      <c r="J193" s="18">
        <v>3.64</v>
      </c>
      <c r="K193" s="2" t="s">
        <v>124</v>
      </c>
      <c r="L193" s="2" t="s">
        <v>123</v>
      </c>
      <c r="M193" s="2">
        <v>1</v>
      </c>
      <c r="N193" s="2" t="s">
        <v>125</v>
      </c>
    </row>
    <row r="194" spans="2:14" x14ac:dyDescent="0.25">
      <c r="B194" s="2" t="s">
        <v>725</v>
      </c>
      <c r="C194" s="2" t="s">
        <v>339</v>
      </c>
      <c r="D194" s="2" t="s">
        <v>340</v>
      </c>
      <c r="E194" s="2" t="s">
        <v>341</v>
      </c>
      <c r="F194" s="2" t="s">
        <v>537</v>
      </c>
      <c r="G194" s="2" t="s">
        <v>510</v>
      </c>
      <c r="H194" s="2" t="s">
        <v>511</v>
      </c>
      <c r="I194" s="22">
        <v>3350</v>
      </c>
      <c r="J194" s="18">
        <v>3.58</v>
      </c>
      <c r="K194" s="2" t="s">
        <v>124</v>
      </c>
      <c r="L194" s="2" t="s">
        <v>123</v>
      </c>
      <c r="M194" s="2">
        <v>5</v>
      </c>
      <c r="N194" s="2" t="s">
        <v>135</v>
      </c>
    </row>
    <row r="195" spans="2:14" x14ac:dyDescent="0.25">
      <c r="B195" s="2" t="s">
        <v>726</v>
      </c>
      <c r="C195" s="2" t="s">
        <v>342</v>
      </c>
      <c r="D195" s="2" t="s">
        <v>343</v>
      </c>
      <c r="E195" s="2" t="s">
        <v>341</v>
      </c>
      <c r="F195" s="2" t="s">
        <v>535</v>
      </c>
      <c r="G195" s="2" t="s">
        <v>505</v>
      </c>
      <c r="H195" s="2" t="s">
        <v>506</v>
      </c>
      <c r="I195" s="22">
        <v>4150</v>
      </c>
      <c r="J195" s="18">
        <v>4.4400000000000004</v>
      </c>
      <c r="K195" s="2" t="s">
        <v>124</v>
      </c>
      <c r="L195" s="2" t="s">
        <v>123</v>
      </c>
      <c r="M195" s="2">
        <v>1</v>
      </c>
      <c r="N195" s="2" t="s">
        <v>125</v>
      </c>
    </row>
    <row r="196" spans="2:14" x14ac:dyDescent="0.25">
      <c r="B196" s="2" t="s">
        <v>727</v>
      </c>
      <c r="C196" s="2" t="s">
        <v>342</v>
      </c>
      <c r="D196" s="2" t="s">
        <v>343</v>
      </c>
      <c r="E196" s="2" t="s">
        <v>341</v>
      </c>
      <c r="F196" s="2" t="s">
        <v>537</v>
      </c>
      <c r="G196" s="2" t="s">
        <v>510</v>
      </c>
      <c r="H196" s="2" t="s">
        <v>511</v>
      </c>
      <c r="I196" s="22">
        <v>4250</v>
      </c>
      <c r="J196" s="18">
        <v>4.55</v>
      </c>
      <c r="K196" s="2" t="s">
        <v>124</v>
      </c>
      <c r="L196" s="2" t="s">
        <v>123</v>
      </c>
      <c r="M196" s="2">
        <v>2</v>
      </c>
      <c r="N196" s="2" t="s">
        <v>135</v>
      </c>
    </row>
    <row r="197" spans="2:14" x14ac:dyDescent="0.25">
      <c r="B197" s="2" t="s">
        <v>728</v>
      </c>
      <c r="C197" s="2" t="s">
        <v>344</v>
      </c>
      <c r="D197" s="2" t="s">
        <v>345</v>
      </c>
      <c r="E197" s="2" t="s">
        <v>341</v>
      </c>
      <c r="F197" s="2" t="s">
        <v>535</v>
      </c>
      <c r="G197" s="2" t="s">
        <v>505</v>
      </c>
      <c r="H197" s="2" t="s">
        <v>506</v>
      </c>
      <c r="I197" s="22">
        <v>4200</v>
      </c>
      <c r="J197" s="18">
        <v>4.49</v>
      </c>
      <c r="K197" s="2" t="s">
        <v>124</v>
      </c>
      <c r="L197" s="2" t="s">
        <v>123</v>
      </c>
      <c r="M197" s="2">
        <v>3</v>
      </c>
      <c r="N197" s="2" t="s">
        <v>125</v>
      </c>
    </row>
    <row r="198" spans="2:14" x14ac:dyDescent="0.25">
      <c r="B198" s="2" t="s">
        <v>729</v>
      </c>
      <c r="C198" s="2" t="s">
        <v>344</v>
      </c>
      <c r="D198" s="2" t="s">
        <v>345</v>
      </c>
      <c r="E198" s="2" t="s">
        <v>341</v>
      </c>
      <c r="F198" s="2" t="s">
        <v>537</v>
      </c>
      <c r="G198" s="2" t="s">
        <v>510</v>
      </c>
      <c r="H198" s="2" t="s">
        <v>511</v>
      </c>
      <c r="I198" s="22">
        <v>4600</v>
      </c>
      <c r="J198" s="18">
        <v>4.92</v>
      </c>
      <c r="K198" s="2" t="s">
        <v>124</v>
      </c>
      <c r="L198" s="2" t="s">
        <v>123</v>
      </c>
      <c r="M198" s="2">
        <v>10</v>
      </c>
      <c r="N198" s="2" t="s">
        <v>135</v>
      </c>
    </row>
    <row r="199" spans="2:14" x14ac:dyDescent="0.25">
      <c r="B199" s="2" t="s">
        <v>730</v>
      </c>
      <c r="C199" s="2" t="s">
        <v>346</v>
      </c>
      <c r="D199" s="2" t="s">
        <v>347</v>
      </c>
      <c r="E199" s="2" t="s">
        <v>341</v>
      </c>
      <c r="F199" s="2" t="s">
        <v>535</v>
      </c>
      <c r="G199" s="2" t="s">
        <v>505</v>
      </c>
      <c r="H199" s="2" t="s">
        <v>506</v>
      </c>
      <c r="I199" s="22">
        <v>3600</v>
      </c>
      <c r="J199" s="18">
        <v>3.85</v>
      </c>
      <c r="K199" s="2" t="s">
        <v>124</v>
      </c>
      <c r="L199" s="2" t="s">
        <v>123</v>
      </c>
      <c r="M199" s="2">
        <v>1</v>
      </c>
      <c r="N199" s="2" t="s">
        <v>125</v>
      </c>
    </row>
    <row r="200" spans="2:14" x14ac:dyDescent="0.25">
      <c r="B200" s="2" t="s">
        <v>731</v>
      </c>
      <c r="C200" s="2" t="s">
        <v>346</v>
      </c>
      <c r="D200" s="2" t="s">
        <v>347</v>
      </c>
      <c r="E200" s="2" t="s">
        <v>341</v>
      </c>
      <c r="F200" s="2" t="s">
        <v>537</v>
      </c>
      <c r="G200" s="2" t="s">
        <v>510</v>
      </c>
      <c r="H200" s="2" t="s">
        <v>511</v>
      </c>
      <c r="I200" s="22">
        <v>3750</v>
      </c>
      <c r="J200" s="18">
        <v>4.01</v>
      </c>
      <c r="K200" s="2" t="s">
        <v>124</v>
      </c>
      <c r="L200" s="2" t="s">
        <v>123</v>
      </c>
      <c r="M200" s="2">
        <v>5</v>
      </c>
      <c r="N200" s="2" t="s">
        <v>135</v>
      </c>
    </row>
    <row r="201" spans="2:14" x14ac:dyDescent="0.25">
      <c r="B201" s="2" t="s">
        <v>732</v>
      </c>
      <c r="C201" s="2" t="s">
        <v>348</v>
      </c>
      <c r="D201" s="2" t="s">
        <v>349</v>
      </c>
      <c r="E201" s="2" t="s">
        <v>341</v>
      </c>
      <c r="F201" s="2" t="s">
        <v>535</v>
      </c>
      <c r="G201" s="2" t="s">
        <v>505</v>
      </c>
      <c r="H201" s="2" t="s">
        <v>506</v>
      </c>
      <c r="I201" s="22">
        <v>5000</v>
      </c>
      <c r="J201" s="18">
        <v>5.35</v>
      </c>
      <c r="K201" s="2" t="s">
        <v>124</v>
      </c>
      <c r="L201" s="2" t="s">
        <v>123</v>
      </c>
      <c r="M201" s="2">
        <v>2</v>
      </c>
      <c r="N201" s="2" t="s">
        <v>125</v>
      </c>
    </row>
    <row r="202" spans="2:14" x14ac:dyDescent="0.25">
      <c r="B202" s="2" t="s">
        <v>733</v>
      </c>
      <c r="C202" s="2" t="s">
        <v>348</v>
      </c>
      <c r="D202" s="2" t="s">
        <v>349</v>
      </c>
      <c r="E202" s="2" t="s">
        <v>341</v>
      </c>
      <c r="F202" s="2" t="s">
        <v>537</v>
      </c>
      <c r="G202" s="2" t="s">
        <v>510</v>
      </c>
      <c r="H202" s="2" t="s">
        <v>511</v>
      </c>
      <c r="I202" s="22">
        <v>5050</v>
      </c>
      <c r="J202" s="18">
        <v>5.4</v>
      </c>
      <c r="K202" s="2" t="s">
        <v>124</v>
      </c>
      <c r="L202" s="2" t="s">
        <v>123</v>
      </c>
      <c r="M202" s="2">
        <v>5</v>
      </c>
      <c r="N202" s="2" t="s">
        <v>135</v>
      </c>
    </row>
    <row r="203" spans="2:14" x14ac:dyDescent="0.25">
      <c r="B203" s="2" t="s">
        <v>734</v>
      </c>
      <c r="C203" s="2" t="s">
        <v>350</v>
      </c>
      <c r="D203" s="2" t="s">
        <v>351</v>
      </c>
      <c r="E203" s="2" t="s">
        <v>341</v>
      </c>
      <c r="F203" s="2" t="s">
        <v>535</v>
      </c>
      <c r="G203" s="2" t="s">
        <v>505</v>
      </c>
      <c r="H203" s="2" t="s">
        <v>506</v>
      </c>
      <c r="I203" s="22">
        <v>4500</v>
      </c>
      <c r="J203" s="18">
        <v>4.8099999999999996</v>
      </c>
      <c r="K203" s="2" t="s">
        <v>124</v>
      </c>
      <c r="L203" s="2" t="s">
        <v>123</v>
      </c>
      <c r="M203" s="2">
        <v>0</v>
      </c>
      <c r="N203" s="2" t="s">
        <v>125</v>
      </c>
    </row>
    <row r="204" spans="2:14" x14ac:dyDescent="0.25">
      <c r="B204" s="2" t="s">
        <v>735</v>
      </c>
      <c r="C204" s="2" t="s">
        <v>350</v>
      </c>
      <c r="D204" s="2" t="s">
        <v>351</v>
      </c>
      <c r="E204" s="2" t="s">
        <v>341</v>
      </c>
      <c r="F204" s="2" t="s">
        <v>537</v>
      </c>
      <c r="G204" s="2" t="s">
        <v>510</v>
      </c>
      <c r="H204" s="2" t="s">
        <v>511</v>
      </c>
      <c r="I204" s="22">
        <v>4950</v>
      </c>
      <c r="J204" s="18">
        <v>5.29</v>
      </c>
      <c r="K204" s="2" t="s">
        <v>124</v>
      </c>
      <c r="L204" s="2" t="s">
        <v>123</v>
      </c>
      <c r="M204" s="2">
        <v>3</v>
      </c>
      <c r="N204" s="2" t="s">
        <v>135</v>
      </c>
    </row>
    <row r="205" spans="2:14" x14ac:dyDescent="0.25">
      <c r="B205" s="2" t="s">
        <v>736</v>
      </c>
      <c r="C205" s="2" t="s">
        <v>352</v>
      </c>
      <c r="D205" s="2" t="s">
        <v>353</v>
      </c>
      <c r="E205" s="2" t="s">
        <v>341</v>
      </c>
      <c r="F205" s="2" t="s">
        <v>535</v>
      </c>
      <c r="G205" s="2" t="s">
        <v>505</v>
      </c>
      <c r="H205" s="2" t="s">
        <v>506</v>
      </c>
      <c r="I205" s="22">
        <v>3850</v>
      </c>
      <c r="J205" s="18">
        <v>4.12</v>
      </c>
      <c r="K205" s="2" t="s">
        <v>124</v>
      </c>
      <c r="L205" s="2" t="s">
        <v>123</v>
      </c>
      <c r="M205" s="2">
        <v>2</v>
      </c>
      <c r="N205" s="2" t="s">
        <v>125</v>
      </c>
    </row>
    <row r="206" spans="2:14" x14ac:dyDescent="0.25">
      <c r="B206" s="2" t="s">
        <v>737</v>
      </c>
      <c r="C206" s="2" t="s">
        <v>352</v>
      </c>
      <c r="D206" s="2" t="s">
        <v>353</v>
      </c>
      <c r="E206" s="2" t="s">
        <v>341</v>
      </c>
      <c r="F206" s="2" t="s">
        <v>537</v>
      </c>
      <c r="G206" s="2" t="s">
        <v>510</v>
      </c>
      <c r="H206" s="2" t="s">
        <v>511</v>
      </c>
      <c r="I206" s="22">
        <v>4200</v>
      </c>
      <c r="J206" s="18">
        <v>4.49</v>
      </c>
      <c r="K206" s="2" t="s">
        <v>124</v>
      </c>
      <c r="L206" s="2" t="s">
        <v>123</v>
      </c>
      <c r="M206" s="2">
        <v>2</v>
      </c>
      <c r="N206" s="2" t="s">
        <v>135</v>
      </c>
    </row>
    <row r="207" spans="2:14" x14ac:dyDescent="0.25">
      <c r="B207" s="2" t="s">
        <v>738</v>
      </c>
      <c r="C207" s="2" t="s">
        <v>354</v>
      </c>
      <c r="D207" s="2" t="s">
        <v>355</v>
      </c>
      <c r="E207" s="2" t="s">
        <v>341</v>
      </c>
      <c r="F207" s="2" t="s">
        <v>535</v>
      </c>
      <c r="G207" s="2" t="s">
        <v>505</v>
      </c>
      <c r="H207" s="2" t="s">
        <v>506</v>
      </c>
      <c r="I207" s="22">
        <v>4550</v>
      </c>
      <c r="J207" s="18">
        <v>4.87</v>
      </c>
      <c r="K207" s="2" t="s">
        <v>124</v>
      </c>
      <c r="L207" s="2" t="s">
        <v>123</v>
      </c>
      <c r="M207" s="2">
        <v>0</v>
      </c>
      <c r="N207" s="2" t="s">
        <v>125</v>
      </c>
    </row>
    <row r="208" spans="2:14" x14ac:dyDescent="0.25">
      <c r="B208" s="2" t="s">
        <v>739</v>
      </c>
      <c r="C208" s="2" t="s">
        <v>354</v>
      </c>
      <c r="D208" s="2" t="s">
        <v>355</v>
      </c>
      <c r="E208" s="2" t="s">
        <v>341</v>
      </c>
      <c r="F208" s="2" t="s">
        <v>537</v>
      </c>
      <c r="G208" s="2" t="s">
        <v>510</v>
      </c>
      <c r="H208" s="2" t="s">
        <v>511</v>
      </c>
      <c r="I208" s="22">
        <v>4950</v>
      </c>
      <c r="J208" s="18">
        <v>5.29</v>
      </c>
      <c r="K208" s="2" t="s">
        <v>124</v>
      </c>
      <c r="L208" s="2" t="s">
        <v>123</v>
      </c>
      <c r="M208" s="2">
        <v>5</v>
      </c>
      <c r="N208" s="2" t="s">
        <v>135</v>
      </c>
    </row>
    <row r="209" spans="2:14" x14ac:dyDescent="0.25">
      <c r="B209" s="2" t="s">
        <v>740</v>
      </c>
      <c r="C209" s="2" t="s">
        <v>356</v>
      </c>
      <c r="D209" s="2" t="s">
        <v>357</v>
      </c>
      <c r="E209" s="2" t="s">
        <v>341</v>
      </c>
      <c r="F209" s="2" t="s">
        <v>535</v>
      </c>
      <c r="G209" s="2" t="s">
        <v>505</v>
      </c>
      <c r="H209" s="2" t="s">
        <v>506</v>
      </c>
      <c r="I209" s="22">
        <v>6400</v>
      </c>
      <c r="J209" s="18">
        <v>6.84</v>
      </c>
      <c r="K209" s="2" t="s">
        <v>124</v>
      </c>
      <c r="L209" s="2" t="s">
        <v>123</v>
      </c>
      <c r="M209" s="2">
        <v>1</v>
      </c>
      <c r="N209" s="2" t="s">
        <v>125</v>
      </c>
    </row>
    <row r="210" spans="2:14" x14ac:dyDescent="0.25">
      <c r="B210" s="2" t="s">
        <v>741</v>
      </c>
      <c r="C210" s="2" t="s">
        <v>356</v>
      </c>
      <c r="D210" s="2" t="s">
        <v>357</v>
      </c>
      <c r="E210" s="2" t="s">
        <v>341</v>
      </c>
      <c r="F210" s="2" t="s">
        <v>537</v>
      </c>
      <c r="G210" s="2" t="s">
        <v>510</v>
      </c>
      <c r="H210" s="2" t="s">
        <v>511</v>
      </c>
      <c r="I210" s="22">
        <v>6600</v>
      </c>
      <c r="J210" s="18">
        <v>7.06</v>
      </c>
      <c r="K210" s="2" t="s">
        <v>124</v>
      </c>
      <c r="L210" s="2" t="s">
        <v>123</v>
      </c>
      <c r="M210" s="2">
        <v>10</v>
      </c>
      <c r="N210" s="2" t="s">
        <v>135</v>
      </c>
    </row>
    <row r="211" spans="2:14" x14ac:dyDescent="0.25">
      <c r="B211" s="2" t="s">
        <v>742</v>
      </c>
      <c r="C211" s="2" t="s">
        <v>358</v>
      </c>
      <c r="D211" s="2" t="s">
        <v>359</v>
      </c>
      <c r="E211" s="2" t="s">
        <v>341</v>
      </c>
      <c r="F211" s="2" t="s">
        <v>535</v>
      </c>
      <c r="G211" s="2" t="s">
        <v>505</v>
      </c>
      <c r="H211" s="2" t="s">
        <v>506</v>
      </c>
      <c r="I211" s="22">
        <v>5400</v>
      </c>
      <c r="J211" s="18">
        <v>5.78</v>
      </c>
      <c r="K211" s="2" t="s">
        <v>124</v>
      </c>
      <c r="L211" s="2" t="s">
        <v>123</v>
      </c>
      <c r="M211" s="2">
        <v>5</v>
      </c>
      <c r="N211" s="2" t="s">
        <v>125</v>
      </c>
    </row>
    <row r="212" spans="2:14" x14ac:dyDescent="0.25">
      <c r="B212" s="2" t="s">
        <v>743</v>
      </c>
      <c r="C212" s="2" t="s">
        <v>358</v>
      </c>
      <c r="D212" s="2" t="s">
        <v>359</v>
      </c>
      <c r="E212" s="2" t="s">
        <v>341</v>
      </c>
      <c r="F212" s="2" t="s">
        <v>537</v>
      </c>
      <c r="G212" s="2" t="s">
        <v>510</v>
      </c>
      <c r="H212" s="2" t="s">
        <v>511</v>
      </c>
      <c r="I212" s="22">
        <v>5450</v>
      </c>
      <c r="J212" s="18">
        <v>5.83</v>
      </c>
      <c r="K212" s="2" t="s">
        <v>124</v>
      </c>
      <c r="L212" s="2" t="s">
        <v>123</v>
      </c>
      <c r="M212" s="2">
        <v>2</v>
      </c>
      <c r="N212" s="2" t="s">
        <v>135</v>
      </c>
    </row>
    <row r="213" spans="2:14" x14ac:dyDescent="0.25">
      <c r="B213" s="2" t="s">
        <v>744</v>
      </c>
      <c r="C213" s="2" t="s">
        <v>360</v>
      </c>
      <c r="D213" s="2" t="s">
        <v>361</v>
      </c>
      <c r="E213" s="2" t="s">
        <v>341</v>
      </c>
      <c r="F213" s="2" t="s">
        <v>535</v>
      </c>
      <c r="G213" s="2" t="s">
        <v>505</v>
      </c>
      <c r="H213" s="2" t="s">
        <v>506</v>
      </c>
      <c r="I213" s="22">
        <v>4300</v>
      </c>
      <c r="J213" s="18">
        <v>4.5999999999999996</v>
      </c>
      <c r="K213" s="2" t="s">
        <v>124</v>
      </c>
      <c r="L213" s="2" t="s">
        <v>123</v>
      </c>
      <c r="M213" s="2">
        <v>1</v>
      </c>
      <c r="N213" s="2" t="s">
        <v>125</v>
      </c>
    </row>
    <row r="214" spans="2:14" x14ac:dyDescent="0.25">
      <c r="B214" s="2" t="s">
        <v>745</v>
      </c>
      <c r="C214" s="2" t="s">
        <v>360</v>
      </c>
      <c r="D214" s="2" t="s">
        <v>361</v>
      </c>
      <c r="E214" s="2" t="s">
        <v>341</v>
      </c>
      <c r="F214" s="2" t="s">
        <v>537</v>
      </c>
      <c r="G214" s="2" t="s">
        <v>510</v>
      </c>
      <c r="H214" s="2" t="s">
        <v>511</v>
      </c>
      <c r="I214" s="22">
        <v>4850</v>
      </c>
      <c r="J214" s="18">
        <v>5.19</v>
      </c>
      <c r="K214" s="2" t="s">
        <v>124</v>
      </c>
      <c r="L214" s="2" t="s">
        <v>123</v>
      </c>
      <c r="M214" s="2">
        <v>10</v>
      </c>
      <c r="N214" s="2" t="s">
        <v>135</v>
      </c>
    </row>
    <row r="215" spans="2:14" x14ac:dyDescent="0.25">
      <c r="B215" s="2" t="s">
        <v>746</v>
      </c>
      <c r="C215" s="2" t="s">
        <v>362</v>
      </c>
      <c r="D215" s="2" t="s">
        <v>363</v>
      </c>
      <c r="E215" s="2" t="s">
        <v>341</v>
      </c>
      <c r="F215" s="2" t="s">
        <v>535</v>
      </c>
      <c r="G215" s="2" t="s">
        <v>505</v>
      </c>
      <c r="H215" s="2" t="s">
        <v>506</v>
      </c>
      <c r="I215" s="22">
        <v>6500</v>
      </c>
      <c r="J215" s="18">
        <v>6.95</v>
      </c>
      <c r="K215" s="2" t="s">
        <v>124</v>
      </c>
      <c r="L215" s="2" t="s">
        <v>123</v>
      </c>
      <c r="M215" s="2">
        <v>2</v>
      </c>
      <c r="N215" s="2" t="s">
        <v>125</v>
      </c>
    </row>
    <row r="216" spans="2:14" x14ac:dyDescent="0.25">
      <c r="B216" s="2" t="s">
        <v>747</v>
      </c>
      <c r="C216" s="2" t="s">
        <v>362</v>
      </c>
      <c r="D216" s="2" t="s">
        <v>363</v>
      </c>
      <c r="E216" s="2" t="s">
        <v>341</v>
      </c>
      <c r="F216" s="2" t="s">
        <v>537</v>
      </c>
      <c r="G216" s="2" t="s">
        <v>510</v>
      </c>
      <c r="H216" s="2" t="s">
        <v>511</v>
      </c>
      <c r="I216" s="22">
        <v>6800</v>
      </c>
      <c r="J216" s="18">
        <v>7.27</v>
      </c>
      <c r="K216" s="2" t="s">
        <v>124</v>
      </c>
      <c r="L216" s="2" t="s">
        <v>123</v>
      </c>
      <c r="M216" s="2">
        <v>5</v>
      </c>
      <c r="N216" s="2" t="s">
        <v>135</v>
      </c>
    </row>
    <row r="217" spans="2:14" x14ac:dyDescent="0.25">
      <c r="B217" s="2" t="s">
        <v>748</v>
      </c>
      <c r="C217" s="2" t="s">
        <v>364</v>
      </c>
      <c r="D217" s="2" t="s">
        <v>365</v>
      </c>
      <c r="E217" s="2" t="s">
        <v>366</v>
      </c>
      <c r="F217" s="2" t="s">
        <v>535</v>
      </c>
      <c r="G217" s="2" t="s">
        <v>475</v>
      </c>
      <c r="H217" s="2" t="s">
        <v>476</v>
      </c>
      <c r="I217" s="22">
        <v>5850</v>
      </c>
      <c r="J217" s="18">
        <v>6.26</v>
      </c>
      <c r="K217" s="2" t="s">
        <v>124</v>
      </c>
      <c r="L217" s="2" t="s">
        <v>123</v>
      </c>
      <c r="M217" s="2">
        <v>1</v>
      </c>
      <c r="N217" s="2" t="s">
        <v>125</v>
      </c>
    </row>
    <row r="218" spans="2:14" x14ac:dyDescent="0.25">
      <c r="B218" s="2" t="s">
        <v>749</v>
      </c>
      <c r="C218" s="2" t="s">
        <v>364</v>
      </c>
      <c r="D218" s="2" t="s">
        <v>365</v>
      </c>
      <c r="E218" s="2" t="s">
        <v>366</v>
      </c>
      <c r="F218" s="2" t="s">
        <v>537</v>
      </c>
      <c r="G218" s="2" t="s">
        <v>505</v>
      </c>
      <c r="H218" s="2" t="s">
        <v>506</v>
      </c>
      <c r="I218" s="22">
        <v>6300</v>
      </c>
      <c r="J218" s="18">
        <v>6.74</v>
      </c>
      <c r="K218" s="2" t="s">
        <v>124</v>
      </c>
      <c r="L218" s="2" t="s">
        <v>123</v>
      </c>
      <c r="M218" s="2">
        <v>3</v>
      </c>
      <c r="N218" s="2" t="s">
        <v>125</v>
      </c>
    </row>
    <row r="219" spans="2:14" x14ac:dyDescent="0.25">
      <c r="B219" s="2" t="s">
        <v>750</v>
      </c>
      <c r="C219" s="2" t="s">
        <v>367</v>
      </c>
      <c r="D219" s="2" t="s">
        <v>368</v>
      </c>
      <c r="E219" s="2" t="s">
        <v>366</v>
      </c>
      <c r="F219" s="2" t="s">
        <v>535</v>
      </c>
      <c r="G219" s="2" t="s">
        <v>475</v>
      </c>
      <c r="H219" s="2" t="s">
        <v>476</v>
      </c>
      <c r="I219" s="22">
        <v>6500</v>
      </c>
      <c r="J219" s="18">
        <v>6.95</v>
      </c>
      <c r="K219" s="2" t="s">
        <v>124</v>
      </c>
      <c r="L219" s="2" t="s">
        <v>123</v>
      </c>
      <c r="M219" s="2">
        <v>1</v>
      </c>
      <c r="N219" s="2" t="s">
        <v>125</v>
      </c>
    </row>
    <row r="220" spans="2:14" x14ac:dyDescent="0.25">
      <c r="B220" s="2" t="s">
        <v>751</v>
      </c>
      <c r="C220" s="2" t="s">
        <v>367</v>
      </c>
      <c r="D220" s="2" t="s">
        <v>368</v>
      </c>
      <c r="E220" s="2" t="s">
        <v>366</v>
      </c>
      <c r="F220" s="2" t="s">
        <v>537</v>
      </c>
      <c r="G220" s="2" t="s">
        <v>505</v>
      </c>
      <c r="H220" s="2" t="s">
        <v>506</v>
      </c>
      <c r="I220" s="22">
        <v>6300</v>
      </c>
      <c r="J220" s="18">
        <v>6.74</v>
      </c>
      <c r="K220" s="2" t="s">
        <v>124</v>
      </c>
      <c r="L220" s="2" t="s">
        <v>123</v>
      </c>
      <c r="M220" s="2">
        <v>7</v>
      </c>
      <c r="N220" s="2" t="s">
        <v>125</v>
      </c>
    </row>
    <row r="221" spans="2:14" x14ac:dyDescent="0.25">
      <c r="B221" s="2" t="s">
        <v>752</v>
      </c>
      <c r="C221" s="2" t="s">
        <v>369</v>
      </c>
      <c r="D221" s="2" t="s">
        <v>370</v>
      </c>
      <c r="E221" s="2" t="s">
        <v>366</v>
      </c>
      <c r="F221" s="2" t="s">
        <v>535</v>
      </c>
      <c r="G221" s="2" t="s">
        <v>475</v>
      </c>
      <c r="H221" s="2" t="s">
        <v>476</v>
      </c>
      <c r="I221" s="22">
        <v>5400</v>
      </c>
      <c r="J221" s="18">
        <v>5.78</v>
      </c>
      <c r="K221" s="2" t="s">
        <v>124</v>
      </c>
      <c r="L221" s="2" t="s">
        <v>123</v>
      </c>
      <c r="M221" s="2">
        <v>2</v>
      </c>
      <c r="N221" s="2" t="s">
        <v>125</v>
      </c>
    </row>
    <row r="222" spans="2:14" x14ac:dyDescent="0.25">
      <c r="B222" s="2" t="s">
        <v>753</v>
      </c>
      <c r="C222" s="2" t="s">
        <v>369</v>
      </c>
      <c r="D222" s="2" t="s">
        <v>370</v>
      </c>
      <c r="E222" s="2" t="s">
        <v>366</v>
      </c>
      <c r="F222" s="2" t="s">
        <v>537</v>
      </c>
      <c r="G222" s="2" t="s">
        <v>505</v>
      </c>
      <c r="H222" s="2" t="s">
        <v>506</v>
      </c>
      <c r="I222" s="22">
        <v>5450</v>
      </c>
      <c r="J222" s="18">
        <v>5.83</v>
      </c>
      <c r="K222" s="2" t="s">
        <v>124</v>
      </c>
      <c r="L222" s="2" t="s">
        <v>123</v>
      </c>
      <c r="M222" s="2">
        <v>3</v>
      </c>
      <c r="N222" s="2" t="s">
        <v>125</v>
      </c>
    </row>
    <row r="223" spans="2:14" x14ac:dyDescent="0.25">
      <c r="B223" s="2" t="s">
        <v>754</v>
      </c>
      <c r="C223" s="2" t="s">
        <v>371</v>
      </c>
      <c r="D223" s="2" t="s">
        <v>372</v>
      </c>
      <c r="E223" s="2" t="s">
        <v>366</v>
      </c>
      <c r="F223" s="2" t="s">
        <v>535</v>
      </c>
      <c r="G223" s="2" t="s">
        <v>475</v>
      </c>
      <c r="H223" s="2" t="s">
        <v>476</v>
      </c>
      <c r="I223" s="22">
        <v>9950</v>
      </c>
      <c r="J223" s="18">
        <v>10.64</v>
      </c>
      <c r="K223" s="2" t="s">
        <v>124</v>
      </c>
      <c r="L223" s="2" t="s">
        <v>123</v>
      </c>
      <c r="M223" s="2">
        <v>5</v>
      </c>
      <c r="N223" s="2" t="s">
        <v>125</v>
      </c>
    </row>
    <row r="224" spans="2:14" x14ac:dyDescent="0.25">
      <c r="B224" s="2" t="s">
        <v>755</v>
      </c>
      <c r="C224" s="2" t="s">
        <v>371</v>
      </c>
      <c r="D224" s="2" t="s">
        <v>372</v>
      </c>
      <c r="E224" s="2" t="s">
        <v>366</v>
      </c>
      <c r="F224" s="2" t="s">
        <v>537</v>
      </c>
      <c r="G224" s="2" t="s">
        <v>505</v>
      </c>
      <c r="H224" s="2" t="s">
        <v>506</v>
      </c>
      <c r="I224" s="22">
        <v>11300</v>
      </c>
      <c r="J224" s="18">
        <v>12.09</v>
      </c>
      <c r="K224" s="2" t="s">
        <v>124</v>
      </c>
      <c r="L224" s="2" t="s">
        <v>123</v>
      </c>
      <c r="M224" s="2">
        <v>2</v>
      </c>
      <c r="N224" s="2" t="s">
        <v>125</v>
      </c>
    </row>
    <row r="225" spans="2:14" x14ac:dyDescent="0.25">
      <c r="B225" s="2" t="s">
        <v>756</v>
      </c>
      <c r="C225" s="2" t="s">
        <v>373</v>
      </c>
      <c r="D225" s="2" t="s">
        <v>374</v>
      </c>
      <c r="E225" s="2" t="s">
        <v>366</v>
      </c>
      <c r="F225" s="2" t="s">
        <v>535</v>
      </c>
      <c r="G225" s="2" t="s">
        <v>475</v>
      </c>
      <c r="H225" s="2" t="s">
        <v>476</v>
      </c>
      <c r="I225" s="22">
        <v>4950</v>
      </c>
      <c r="J225" s="18">
        <v>5.29</v>
      </c>
      <c r="K225" s="2" t="s">
        <v>124</v>
      </c>
      <c r="L225" s="2" t="s">
        <v>123</v>
      </c>
      <c r="M225" s="2">
        <v>0</v>
      </c>
      <c r="N225" s="2" t="s">
        <v>125</v>
      </c>
    </row>
    <row r="226" spans="2:14" x14ac:dyDescent="0.25">
      <c r="B226" s="2" t="s">
        <v>757</v>
      </c>
      <c r="C226" s="2" t="s">
        <v>373</v>
      </c>
      <c r="D226" s="2" t="s">
        <v>374</v>
      </c>
      <c r="E226" s="2" t="s">
        <v>366</v>
      </c>
      <c r="F226" s="2" t="s">
        <v>537</v>
      </c>
      <c r="G226" s="2" t="s">
        <v>505</v>
      </c>
      <c r="H226" s="2" t="s">
        <v>506</v>
      </c>
      <c r="I226" s="22">
        <v>5050</v>
      </c>
      <c r="J226" s="18">
        <v>5.4</v>
      </c>
      <c r="K226" s="2" t="s">
        <v>124</v>
      </c>
      <c r="L226" s="2" t="s">
        <v>123</v>
      </c>
      <c r="M226" s="2">
        <v>10</v>
      </c>
      <c r="N226" s="2" t="s">
        <v>125</v>
      </c>
    </row>
    <row r="227" spans="2:14" x14ac:dyDescent="0.25">
      <c r="B227" s="2" t="s">
        <v>758</v>
      </c>
      <c r="C227" s="2" t="s">
        <v>375</v>
      </c>
      <c r="D227" s="2" t="s">
        <v>376</v>
      </c>
      <c r="E227" s="2" t="s">
        <v>377</v>
      </c>
      <c r="F227" s="2" t="s">
        <v>535</v>
      </c>
      <c r="G227" s="2" t="s">
        <v>515</v>
      </c>
      <c r="H227" s="2" t="s">
        <v>516</v>
      </c>
      <c r="I227" s="22">
        <v>1000</v>
      </c>
      <c r="J227" s="18">
        <v>1.07</v>
      </c>
      <c r="K227" s="2" t="s">
        <v>151</v>
      </c>
      <c r="L227" s="2" t="s">
        <v>378</v>
      </c>
      <c r="M227" s="2">
        <v>0</v>
      </c>
      <c r="N227" s="2" t="s">
        <v>125</v>
      </c>
    </row>
    <row r="228" spans="2:14" x14ac:dyDescent="0.25">
      <c r="B228" s="2" t="s">
        <v>759</v>
      </c>
      <c r="C228" s="2" t="s">
        <v>375</v>
      </c>
      <c r="D228" s="2" t="s">
        <v>376</v>
      </c>
      <c r="E228" s="2" t="s">
        <v>377</v>
      </c>
      <c r="F228" s="2" t="s">
        <v>537</v>
      </c>
      <c r="G228" s="2" t="s">
        <v>520</v>
      </c>
      <c r="H228" s="2" t="s">
        <v>521</v>
      </c>
      <c r="I228" s="22">
        <v>1050</v>
      </c>
      <c r="J228" s="18">
        <v>1.1200000000000001</v>
      </c>
      <c r="K228" s="2" t="s">
        <v>151</v>
      </c>
      <c r="L228" s="2" t="s">
        <v>378</v>
      </c>
      <c r="M228" s="2">
        <v>2</v>
      </c>
      <c r="N228" s="2" t="s">
        <v>125</v>
      </c>
    </row>
    <row r="229" spans="2:14" x14ac:dyDescent="0.25">
      <c r="B229" s="2" t="s">
        <v>760</v>
      </c>
      <c r="C229" s="2" t="s">
        <v>379</v>
      </c>
      <c r="D229" s="2" t="s">
        <v>380</v>
      </c>
      <c r="E229" s="2" t="s">
        <v>377</v>
      </c>
      <c r="F229" s="2" t="s">
        <v>535</v>
      </c>
      <c r="G229" s="2" t="s">
        <v>515</v>
      </c>
      <c r="H229" s="2" t="s">
        <v>516</v>
      </c>
      <c r="I229" s="22">
        <v>1350</v>
      </c>
      <c r="J229" s="18">
        <v>1.44</v>
      </c>
      <c r="K229" s="2" t="s">
        <v>151</v>
      </c>
      <c r="L229" s="2" t="s">
        <v>378</v>
      </c>
      <c r="M229" s="2">
        <v>2</v>
      </c>
      <c r="N229" s="2" t="s">
        <v>125</v>
      </c>
    </row>
    <row r="230" spans="2:14" x14ac:dyDescent="0.25">
      <c r="B230" s="2" t="s">
        <v>761</v>
      </c>
      <c r="C230" s="2" t="s">
        <v>379</v>
      </c>
      <c r="D230" s="2" t="s">
        <v>380</v>
      </c>
      <c r="E230" s="2" t="s">
        <v>377</v>
      </c>
      <c r="F230" s="2" t="s">
        <v>537</v>
      </c>
      <c r="G230" s="2" t="s">
        <v>520</v>
      </c>
      <c r="H230" s="2" t="s">
        <v>521</v>
      </c>
      <c r="I230" s="22">
        <v>1400</v>
      </c>
      <c r="J230" s="18">
        <v>1.5</v>
      </c>
      <c r="K230" s="2" t="s">
        <v>151</v>
      </c>
      <c r="L230" s="2" t="s">
        <v>378</v>
      </c>
      <c r="M230" s="2">
        <v>2</v>
      </c>
      <c r="N230" s="2" t="s">
        <v>125</v>
      </c>
    </row>
    <row r="231" spans="2:14" x14ac:dyDescent="0.25">
      <c r="B231" s="2" t="s">
        <v>762</v>
      </c>
      <c r="C231" s="2" t="s">
        <v>381</v>
      </c>
      <c r="D231" s="2" t="s">
        <v>382</v>
      </c>
      <c r="E231" s="2" t="s">
        <v>377</v>
      </c>
      <c r="F231" s="2" t="s">
        <v>535</v>
      </c>
      <c r="G231" s="2" t="s">
        <v>515</v>
      </c>
      <c r="H231" s="2" t="s">
        <v>516</v>
      </c>
      <c r="I231" s="22">
        <v>1650</v>
      </c>
      <c r="J231" s="18">
        <v>1.76</v>
      </c>
      <c r="K231" s="2" t="s">
        <v>151</v>
      </c>
      <c r="L231" s="2" t="s">
        <v>378</v>
      </c>
      <c r="M231" s="2">
        <v>1</v>
      </c>
      <c r="N231" s="2" t="s">
        <v>125</v>
      </c>
    </row>
    <row r="232" spans="2:14" x14ac:dyDescent="0.25">
      <c r="B232" s="2" t="s">
        <v>763</v>
      </c>
      <c r="C232" s="2" t="s">
        <v>381</v>
      </c>
      <c r="D232" s="2" t="s">
        <v>382</v>
      </c>
      <c r="E232" s="2" t="s">
        <v>377</v>
      </c>
      <c r="F232" s="2" t="s">
        <v>537</v>
      </c>
      <c r="G232" s="2" t="s">
        <v>520</v>
      </c>
      <c r="H232" s="2" t="s">
        <v>521</v>
      </c>
      <c r="I232" s="22">
        <v>1800</v>
      </c>
      <c r="J232" s="18">
        <v>1.93</v>
      </c>
      <c r="K232" s="2" t="s">
        <v>151</v>
      </c>
      <c r="L232" s="2" t="s">
        <v>378</v>
      </c>
      <c r="M232" s="2">
        <v>3</v>
      </c>
      <c r="N232" s="2" t="s">
        <v>125</v>
      </c>
    </row>
    <row r="233" spans="2:14" x14ac:dyDescent="0.25">
      <c r="B233" s="2" t="s">
        <v>764</v>
      </c>
      <c r="C233" s="2" t="s">
        <v>383</v>
      </c>
      <c r="D233" s="2" t="s">
        <v>384</v>
      </c>
      <c r="E233" s="2" t="s">
        <v>377</v>
      </c>
      <c r="F233" s="2" t="s">
        <v>535</v>
      </c>
      <c r="G233" s="2" t="s">
        <v>515</v>
      </c>
      <c r="H233" s="2" t="s">
        <v>516</v>
      </c>
      <c r="I233" s="22">
        <v>2050</v>
      </c>
      <c r="J233" s="18">
        <v>2.19</v>
      </c>
      <c r="K233" s="2" t="s">
        <v>151</v>
      </c>
      <c r="L233" s="2" t="s">
        <v>378</v>
      </c>
      <c r="M233" s="2">
        <v>0</v>
      </c>
      <c r="N233" s="2" t="s">
        <v>125</v>
      </c>
    </row>
    <row r="234" spans="2:14" x14ac:dyDescent="0.25">
      <c r="B234" s="2" t="s">
        <v>765</v>
      </c>
      <c r="C234" s="2" t="s">
        <v>383</v>
      </c>
      <c r="D234" s="2" t="s">
        <v>384</v>
      </c>
      <c r="E234" s="2" t="s">
        <v>377</v>
      </c>
      <c r="F234" s="2" t="s">
        <v>537</v>
      </c>
      <c r="G234" s="2" t="s">
        <v>520</v>
      </c>
      <c r="H234" s="2" t="s">
        <v>521</v>
      </c>
      <c r="I234" s="22">
        <v>2000</v>
      </c>
      <c r="J234" s="18">
        <v>2.14</v>
      </c>
      <c r="K234" s="2" t="s">
        <v>151</v>
      </c>
      <c r="L234" s="2" t="s">
        <v>378</v>
      </c>
      <c r="M234" s="2">
        <v>10</v>
      </c>
      <c r="N234" s="2" t="s">
        <v>125</v>
      </c>
    </row>
    <row r="235" spans="2:14" x14ac:dyDescent="0.25">
      <c r="B235" s="2" t="s">
        <v>766</v>
      </c>
      <c r="C235" s="2" t="s">
        <v>385</v>
      </c>
      <c r="D235" s="2" t="s">
        <v>386</v>
      </c>
      <c r="E235" s="2" t="s">
        <v>377</v>
      </c>
      <c r="F235" s="2" t="s">
        <v>535</v>
      </c>
      <c r="G235" s="2" t="s">
        <v>515</v>
      </c>
      <c r="H235" s="2" t="s">
        <v>516</v>
      </c>
      <c r="I235" s="22">
        <v>2350</v>
      </c>
      <c r="J235" s="18">
        <v>2.5099999999999998</v>
      </c>
      <c r="K235" s="2" t="s">
        <v>151</v>
      </c>
      <c r="L235" s="2" t="s">
        <v>378</v>
      </c>
      <c r="M235" s="2">
        <v>1</v>
      </c>
      <c r="N235" s="2" t="s">
        <v>125</v>
      </c>
    </row>
    <row r="236" spans="2:14" x14ac:dyDescent="0.25">
      <c r="B236" s="2" t="s">
        <v>767</v>
      </c>
      <c r="C236" s="2" t="s">
        <v>385</v>
      </c>
      <c r="D236" s="2" t="s">
        <v>386</v>
      </c>
      <c r="E236" s="2" t="s">
        <v>377</v>
      </c>
      <c r="F236" s="2" t="s">
        <v>537</v>
      </c>
      <c r="G236" s="2" t="s">
        <v>520</v>
      </c>
      <c r="H236" s="2" t="s">
        <v>521</v>
      </c>
      <c r="I236" s="22">
        <v>2400</v>
      </c>
      <c r="J236" s="18">
        <v>2.57</v>
      </c>
      <c r="K236" s="2" t="s">
        <v>151</v>
      </c>
      <c r="L236" s="2" t="s">
        <v>378</v>
      </c>
      <c r="M236" s="2">
        <v>7</v>
      </c>
      <c r="N236" s="2" t="s">
        <v>125</v>
      </c>
    </row>
    <row r="237" spans="2:14" x14ac:dyDescent="0.25">
      <c r="B237" s="2" t="s">
        <v>768</v>
      </c>
      <c r="C237" s="2" t="s">
        <v>387</v>
      </c>
      <c r="D237" s="2" t="s">
        <v>388</v>
      </c>
      <c r="E237" s="2" t="s">
        <v>377</v>
      </c>
      <c r="F237" s="2" t="s">
        <v>535</v>
      </c>
      <c r="G237" s="2" t="s">
        <v>515</v>
      </c>
      <c r="H237" s="2" t="s">
        <v>516</v>
      </c>
      <c r="I237" s="22">
        <v>3100</v>
      </c>
      <c r="J237" s="18">
        <v>3.32</v>
      </c>
      <c r="K237" s="2" t="s">
        <v>151</v>
      </c>
      <c r="L237" s="2" t="s">
        <v>378</v>
      </c>
      <c r="M237" s="2">
        <v>3</v>
      </c>
      <c r="N237" s="2" t="s">
        <v>125</v>
      </c>
    </row>
    <row r="238" spans="2:14" x14ac:dyDescent="0.25">
      <c r="B238" s="2" t="s">
        <v>769</v>
      </c>
      <c r="C238" s="2" t="s">
        <v>387</v>
      </c>
      <c r="D238" s="2" t="s">
        <v>388</v>
      </c>
      <c r="E238" s="2" t="s">
        <v>377</v>
      </c>
      <c r="F238" s="2" t="s">
        <v>537</v>
      </c>
      <c r="G238" s="2" t="s">
        <v>520</v>
      </c>
      <c r="H238" s="2" t="s">
        <v>521</v>
      </c>
      <c r="I238" s="22">
        <v>3000</v>
      </c>
      <c r="J238" s="18">
        <v>3.21</v>
      </c>
      <c r="K238" s="2" t="s">
        <v>151</v>
      </c>
      <c r="L238" s="2" t="s">
        <v>378</v>
      </c>
      <c r="M238" s="2">
        <v>5</v>
      </c>
      <c r="N238" s="2" t="s">
        <v>125</v>
      </c>
    </row>
    <row r="239" spans="2:14" x14ac:dyDescent="0.25">
      <c r="B239" s="2" t="s">
        <v>770</v>
      </c>
      <c r="C239" s="2" t="s">
        <v>389</v>
      </c>
      <c r="D239" s="2" t="s">
        <v>390</v>
      </c>
      <c r="E239" s="2" t="s">
        <v>377</v>
      </c>
      <c r="F239" s="2" t="s">
        <v>535</v>
      </c>
      <c r="G239" s="2" t="s">
        <v>515</v>
      </c>
      <c r="H239" s="2" t="s">
        <v>516</v>
      </c>
      <c r="I239" s="22">
        <v>3600</v>
      </c>
      <c r="J239" s="18">
        <v>3.85</v>
      </c>
      <c r="K239" s="2" t="s">
        <v>151</v>
      </c>
      <c r="L239" s="2" t="s">
        <v>378</v>
      </c>
      <c r="M239" s="2">
        <v>1</v>
      </c>
      <c r="N239" s="2" t="s">
        <v>125</v>
      </c>
    </row>
    <row r="240" spans="2:14" x14ac:dyDescent="0.25">
      <c r="B240" s="2" t="s">
        <v>771</v>
      </c>
      <c r="C240" s="2" t="s">
        <v>389</v>
      </c>
      <c r="D240" s="2" t="s">
        <v>390</v>
      </c>
      <c r="E240" s="2" t="s">
        <v>377</v>
      </c>
      <c r="F240" s="2" t="s">
        <v>537</v>
      </c>
      <c r="G240" s="2" t="s">
        <v>520</v>
      </c>
      <c r="H240" s="2" t="s">
        <v>521</v>
      </c>
      <c r="I240" s="22">
        <v>3700</v>
      </c>
      <c r="J240" s="18">
        <v>3.96</v>
      </c>
      <c r="K240" s="2" t="s">
        <v>151</v>
      </c>
      <c r="L240" s="2" t="s">
        <v>378</v>
      </c>
      <c r="M240" s="2">
        <v>7</v>
      </c>
      <c r="N240" s="2" t="s">
        <v>125</v>
      </c>
    </row>
    <row r="241" spans="2:14" x14ac:dyDescent="0.25">
      <c r="B241" s="2" t="s">
        <v>772</v>
      </c>
      <c r="C241" s="2" t="s">
        <v>391</v>
      </c>
      <c r="D241" s="2" t="s">
        <v>392</v>
      </c>
      <c r="E241" s="2" t="s">
        <v>377</v>
      </c>
      <c r="F241" s="2" t="s">
        <v>535</v>
      </c>
      <c r="G241" s="2" t="s">
        <v>515</v>
      </c>
      <c r="H241" s="2" t="s">
        <v>516</v>
      </c>
      <c r="I241" s="22">
        <v>650</v>
      </c>
      <c r="J241" s="18">
        <v>0.7</v>
      </c>
      <c r="K241" s="2" t="s">
        <v>151</v>
      </c>
      <c r="L241" s="2" t="s">
        <v>393</v>
      </c>
      <c r="M241" s="2">
        <v>2</v>
      </c>
      <c r="N241" s="2" t="s">
        <v>125</v>
      </c>
    </row>
    <row r="242" spans="2:14" x14ac:dyDescent="0.25">
      <c r="B242" s="2" t="s">
        <v>773</v>
      </c>
      <c r="C242" s="2" t="s">
        <v>391</v>
      </c>
      <c r="D242" s="2" t="s">
        <v>392</v>
      </c>
      <c r="E242" s="2" t="s">
        <v>377</v>
      </c>
      <c r="F242" s="2" t="s">
        <v>537</v>
      </c>
      <c r="G242" s="2" t="s">
        <v>520</v>
      </c>
      <c r="H242" s="2" t="s">
        <v>521</v>
      </c>
      <c r="I242" s="22">
        <v>700</v>
      </c>
      <c r="J242" s="18">
        <v>0.75</v>
      </c>
      <c r="K242" s="2" t="s">
        <v>151</v>
      </c>
      <c r="L242" s="2" t="s">
        <v>393</v>
      </c>
      <c r="M242" s="2">
        <v>5</v>
      </c>
      <c r="N242" s="2" t="s">
        <v>125</v>
      </c>
    </row>
    <row r="243" spans="2:14" x14ac:dyDescent="0.25">
      <c r="B243" s="2" t="s">
        <v>774</v>
      </c>
      <c r="C243" s="2" t="s">
        <v>394</v>
      </c>
      <c r="D243" s="2" t="s">
        <v>395</v>
      </c>
      <c r="E243" s="2" t="s">
        <v>377</v>
      </c>
      <c r="F243" s="2" t="s">
        <v>535</v>
      </c>
      <c r="G243" s="2" t="s">
        <v>515</v>
      </c>
      <c r="H243" s="2" t="s">
        <v>516</v>
      </c>
      <c r="I243" s="22">
        <v>950</v>
      </c>
      <c r="J243" s="18">
        <v>1.02</v>
      </c>
      <c r="K243" s="2" t="s">
        <v>151</v>
      </c>
      <c r="L243" s="2" t="s">
        <v>393</v>
      </c>
      <c r="M243" s="2">
        <v>1</v>
      </c>
      <c r="N243" s="2" t="s">
        <v>125</v>
      </c>
    </row>
    <row r="244" spans="2:14" x14ac:dyDescent="0.25">
      <c r="B244" s="2" t="s">
        <v>775</v>
      </c>
      <c r="C244" s="2" t="s">
        <v>394</v>
      </c>
      <c r="D244" s="2" t="s">
        <v>395</v>
      </c>
      <c r="E244" s="2" t="s">
        <v>377</v>
      </c>
      <c r="F244" s="2" t="s">
        <v>537</v>
      </c>
      <c r="G244" s="2" t="s">
        <v>520</v>
      </c>
      <c r="H244" s="2" t="s">
        <v>521</v>
      </c>
      <c r="I244" s="22">
        <v>1100</v>
      </c>
      <c r="J244" s="18">
        <v>1.18</v>
      </c>
      <c r="K244" s="2" t="s">
        <v>151</v>
      </c>
      <c r="L244" s="2" t="s">
        <v>393</v>
      </c>
      <c r="M244" s="2">
        <v>3</v>
      </c>
      <c r="N244" s="2" t="s">
        <v>125</v>
      </c>
    </row>
    <row r="245" spans="2:14" x14ac:dyDescent="0.25">
      <c r="B245" s="2" t="s">
        <v>776</v>
      </c>
      <c r="C245" s="2" t="s">
        <v>396</v>
      </c>
      <c r="D245" s="2" t="s">
        <v>397</v>
      </c>
      <c r="E245" s="2" t="s">
        <v>377</v>
      </c>
      <c r="F245" s="2" t="s">
        <v>535</v>
      </c>
      <c r="G245" s="2" t="s">
        <v>515</v>
      </c>
      <c r="H245" s="2" t="s">
        <v>516</v>
      </c>
      <c r="I245" s="22">
        <v>1300</v>
      </c>
      <c r="J245" s="18">
        <v>1.39</v>
      </c>
      <c r="K245" s="2" t="s">
        <v>151</v>
      </c>
      <c r="L245" s="2" t="s">
        <v>393</v>
      </c>
      <c r="M245" s="2">
        <v>1</v>
      </c>
      <c r="N245" s="2" t="s">
        <v>125</v>
      </c>
    </row>
    <row r="246" spans="2:14" x14ac:dyDescent="0.25">
      <c r="B246" s="2" t="s">
        <v>777</v>
      </c>
      <c r="C246" s="2" t="s">
        <v>396</v>
      </c>
      <c r="D246" s="2" t="s">
        <v>397</v>
      </c>
      <c r="E246" s="2" t="s">
        <v>377</v>
      </c>
      <c r="F246" s="2" t="s">
        <v>537</v>
      </c>
      <c r="G246" s="2" t="s">
        <v>520</v>
      </c>
      <c r="H246" s="2" t="s">
        <v>521</v>
      </c>
      <c r="I246" s="22">
        <v>1400</v>
      </c>
      <c r="J246" s="18">
        <v>1.5</v>
      </c>
      <c r="K246" s="2" t="s">
        <v>151</v>
      </c>
      <c r="L246" s="2" t="s">
        <v>393</v>
      </c>
      <c r="M246" s="2">
        <v>7</v>
      </c>
      <c r="N246" s="2" t="s">
        <v>125</v>
      </c>
    </row>
    <row r="247" spans="2:14" x14ac:dyDescent="0.25">
      <c r="B247" s="2" t="s">
        <v>778</v>
      </c>
      <c r="C247" s="2" t="s">
        <v>398</v>
      </c>
      <c r="D247" s="2" t="s">
        <v>399</v>
      </c>
      <c r="E247" s="2" t="s">
        <v>377</v>
      </c>
      <c r="F247" s="2" t="s">
        <v>535</v>
      </c>
      <c r="G247" s="2" t="s">
        <v>515</v>
      </c>
      <c r="H247" s="2" t="s">
        <v>516</v>
      </c>
      <c r="I247" s="22">
        <v>1750</v>
      </c>
      <c r="J247" s="18">
        <v>1.87</v>
      </c>
      <c r="K247" s="2" t="s">
        <v>151</v>
      </c>
      <c r="L247" s="2" t="s">
        <v>393</v>
      </c>
      <c r="M247" s="2">
        <v>0</v>
      </c>
      <c r="N247" s="2" t="s">
        <v>125</v>
      </c>
    </row>
    <row r="248" spans="2:14" x14ac:dyDescent="0.25">
      <c r="B248" s="2" t="s">
        <v>779</v>
      </c>
      <c r="C248" s="2" t="s">
        <v>398</v>
      </c>
      <c r="D248" s="2" t="s">
        <v>399</v>
      </c>
      <c r="E248" s="2" t="s">
        <v>377</v>
      </c>
      <c r="F248" s="2" t="s">
        <v>537</v>
      </c>
      <c r="G248" s="2" t="s">
        <v>520</v>
      </c>
      <c r="H248" s="2" t="s">
        <v>521</v>
      </c>
      <c r="I248" s="22">
        <v>1700</v>
      </c>
      <c r="J248" s="18">
        <v>1.82</v>
      </c>
      <c r="K248" s="2" t="s">
        <v>151</v>
      </c>
      <c r="L248" s="2" t="s">
        <v>393</v>
      </c>
      <c r="M248" s="2">
        <v>3</v>
      </c>
      <c r="N248" s="2" t="s">
        <v>125</v>
      </c>
    </row>
    <row r="249" spans="2:14" x14ac:dyDescent="0.25">
      <c r="B249" s="2" t="s">
        <v>780</v>
      </c>
      <c r="C249" s="2" t="s">
        <v>400</v>
      </c>
      <c r="D249" s="2" t="s">
        <v>401</v>
      </c>
      <c r="E249" s="2" t="s">
        <v>377</v>
      </c>
      <c r="F249" s="2" t="s">
        <v>535</v>
      </c>
      <c r="G249" s="2" t="s">
        <v>515</v>
      </c>
      <c r="H249" s="2" t="s">
        <v>516</v>
      </c>
      <c r="I249" s="22">
        <v>1950</v>
      </c>
      <c r="J249" s="18">
        <v>2.09</v>
      </c>
      <c r="K249" s="2" t="s">
        <v>151</v>
      </c>
      <c r="L249" s="2" t="s">
        <v>393</v>
      </c>
      <c r="M249" s="2">
        <v>2</v>
      </c>
      <c r="N249" s="2" t="s">
        <v>125</v>
      </c>
    </row>
    <row r="250" spans="2:14" x14ac:dyDescent="0.25">
      <c r="B250" s="2" t="s">
        <v>781</v>
      </c>
      <c r="C250" s="2" t="s">
        <v>400</v>
      </c>
      <c r="D250" s="2" t="s">
        <v>401</v>
      </c>
      <c r="E250" s="2" t="s">
        <v>377</v>
      </c>
      <c r="F250" s="2" t="s">
        <v>537</v>
      </c>
      <c r="G250" s="2" t="s">
        <v>520</v>
      </c>
      <c r="H250" s="2" t="s">
        <v>521</v>
      </c>
      <c r="I250" s="22">
        <v>2200</v>
      </c>
      <c r="J250" s="18">
        <v>2.35</v>
      </c>
      <c r="K250" s="2" t="s">
        <v>151</v>
      </c>
      <c r="L250" s="2" t="s">
        <v>393</v>
      </c>
      <c r="M250" s="2">
        <v>7</v>
      </c>
      <c r="N250" s="2" t="s">
        <v>125</v>
      </c>
    </row>
    <row r="251" spans="2:14" x14ac:dyDescent="0.25">
      <c r="B251" s="2" t="s">
        <v>782</v>
      </c>
      <c r="C251" s="2" t="s">
        <v>402</v>
      </c>
      <c r="D251" s="2" t="s">
        <v>403</v>
      </c>
      <c r="E251" s="2" t="s">
        <v>377</v>
      </c>
      <c r="F251" s="2" t="s">
        <v>535</v>
      </c>
      <c r="G251" s="2" t="s">
        <v>515</v>
      </c>
      <c r="H251" s="2" t="s">
        <v>516</v>
      </c>
      <c r="I251" s="22">
        <v>2550</v>
      </c>
      <c r="J251" s="18">
        <v>2.73</v>
      </c>
      <c r="K251" s="2" t="s">
        <v>151</v>
      </c>
      <c r="L251" s="2" t="s">
        <v>393</v>
      </c>
      <c r="M251" s="2">
        <v>0</v>
      </c>
      <c r="N251" s="2" t="s">
        <v>125</v>
      </c>
    </row>
    <row r="252" spans="2:14" x14ac:dyDescent="0.25">
      <c r="B252" s="2" t="s">
        <v>783</v>
      </c>
      <c r="C252" s="2" t="s">
        <v>402</v>
      </c>
      <c r="D252" s="2" t="s">
        <v>403</v>
      </c>
      <c r="E252" s="2" t="s">
        <v>377</v>
      </c>
      <c r="F252" s="2" t="s">
        <v>537</v>
      </c>
      <c r="G252" s="2" t="s">
        <v>520</v>
      </c>
      <c r="H252" s="2" t="s">
        <v>521</v>
      </c>
      <c r="I252" s="22">
        <v>2650</v>
      </c>
      <c r="J252" s="18">
        <v>2.83</v>
      </c>
      <c r="K252" s="2" t="s">
        <v>151</v>
      </c>
      <c r="L252" s="2" t="s">
        <v>393</v>
      </c>
      <c r="M252" s="2">
        <v>5</v>
      </c>
      <c r="N252" s="2" t="s">
        <v>125</v>
      </c>
    </row>
    <row r="253" spans="2:14" x14ac:dyDescent="0.25">
      <c r="B253" s="2" t="s">
        <v>784</v>
      </c>
      <c r="C253" s="2" t="s">
        <v>404</v>
      </c>
      <c r="D253" s="2" t="s">
        <v>405</v>
      </c>
      <c r="E253" s="2" t="s">
        <v>377</v>
      </c>
      <c r="F253" s="2" t="s">
        <v>535</v>
      </c>
      <c r="G253" s="2" t="s">
        <v>515</v>
      </c>
      <c r="H253" s="2" t="s">
        <v>516</v>
      </c>
      <c r="I253" s="22">
        <v>3300</v>
      </c>
      <c r="J253" s="18">
        <v>3.53</v>
      </c>
      <c r="K253" s="2" t="s">
        <v>151</v>
      </c>
      <c r="L253" s="2" t="s">
        <v>393</v>
      </c>
      <c r="M253" s="2">
        <v>5</v>
      </c>
      <c r="N253" s="2" t="s">
        <v>125</v>
      </c>
    </row>
    <row r="254" spans="2:14" x14ac:dyDescent="0.25">
      <c r="B254" s="2" t="s">
        <v>785</v>
      </c>
      <c r="C254" s="2" t="s">
        <v>404</v>
      </c>
      <c r="D254" s="2" t="s">
        <v>405</v>
      </c>
      <c r="E254" s="2" t="s">
        <v>377</v>
      </c>
      <c r="F254" s="2" t="s">
        <v>537</v>
      </c>
      <c r="G254" s="2" t="s">
        <v>520</v>
      </c>
      <c r="H254" s="2" t="s">
        <v>521</v>
      </c>
      <c r="I254" s="22">
        <v>3350</v>
      </c>
      <c r="J254" s="18">
        <v>3.58</v>
      </c>
      <c r="K254" s="2" t="s">
        <v>151</v>
      </c>
      <c r="L254" s="2" t="s">
        <v>393</v>
      </c>
      <c r="M254" s="2">
        <v>5</v>
      </c>
      <c r="N254" s="2" t="s">
        <v>125</v>
      </c>
    </row>
    <row r="255" spans="2:14" x14ac:dyDescent="0.25">
      <c r="B255" s="2" t="s">
        <v>786</v>
      </c>
      <c r="C255" s="2" t="s">
        <v>406</v>
      </c>
      <c r="D255" s="2" t="s">
        <v>407</v>
      </c>
      <c r="E255" s="2" t="s">
        <v>377</v>
      </c>
      <c r="F255" s="2" t="s">
        <v>535</v>
      </c>
      <c r="G255" s="2" t="s">
        <v>515</v>
      </c>
      <c r="H255" s="2" t="s">
        <v>516</v>
      </c>
      <c r="I255" s="22">
        <v>1700</v>
      </c>
      <c r="J255" s="18">
        <v>1.82</v>
      </c>
      <c r="K255" s="2" t="s">
        <v>151</v>
      </c>
      <c r="L255" s="2" t="s">
        <v>408</v>
      </c>
      <c r="M255" s="2">
        <v>3</v>
      </c>
      <c r="N255" s="2" t="s">
        <v>125</v>
      </c>
    </row>
    <row r="256" spans="2:14" x14ac:dyDescent="0.25">
      <c r="B256" s="2" t="s">
        <v>787</v>
      </c>
      <c r="C256" s="2" t="s">
        <v>406</v>
      </c>
      <c r="D256" s="2" t="s">
        <v>407</v>
      </c>
      <c r="E256" s="2" t="s">
        <v>377</v>
      </c>
      <c r="F256" s="2" t="s">
        <v>537</v>
      </c>
      <c r="G256" s="2" t="s">
        <v>520</v>
      </c>
      <c r="H256" s="2" t="s">
        <v>521</v>
      </c>
      <c r="I256" s="22">
        <v>1800</v>
      </c>
      <c r="J256" s="18">
        <v>1.93</v>
      </c>
      <c r="K256" s="2" t="s">
        <v>151</v>
      </c>
      <c r="L256" s="2" t="s">
        <v>408</v>
      </c>
      <c r="M256" s="2">
        <v>5</v>
      </c>
      <c r="N256" s="2" t="s">
        <v>125</v>
      </c>
    </row>
    <row r="257" spans="2:14" x14ac:dyDescent="0.25">
      <c r="B257" s="2" t="s">
        <v>788</v>
      </c>
      <c r="C257" s="2" t="s">
        <v>409</v>
      </c>
      <c r="D257" s="2" t="s">
        <v>410</v>
      </c>
      <c r="E257" s="2" t="s">
        <v>377</v>
      </c>
      <c r="F257" s="2" t="s">
        <v>535</v>
      </c>
      <c r="G257" s="2" t="s">
        <v>515</v>
      </c>
      <c r="H257" s="2" t="s">
        <v>516</v>
      </c>
      <c r="I257" s="22">
        <v>2400</v>
      </c>
      <c r="J257" s="18">
        <v>2.57</v>
      </c>
      <c r="K257" s="2" t="s">
        <v>151</v>
      </c>
      <c r="L257" s="2" t="s">
        <v>408</v>
      </c>
      <c r="M257" s="2">
        <v>2</v>
      </c>
      <c r="N257" s="2" t="s">
        <v>125</v>
      </c>
    </row>
    <row r="258" spans="2:14" x14ac:dyDescent="0.25">
      <c r="B258" s="2" t="s">
        <v>789</v>
      </c>
      <c r="C258" s="2" t="s">
        <v>409</v>
      </c>
      <c r="D258" s="2" t="s">
        <v>410</v>
      </c>
      <c r="E258" s="2" t="s">
        <v>377</v>
      </c>
      <c r="F258" s="2" t="s">
        <v>537</v>
      </c>
      <c r="G258" s="2" t="s">
        <v>520</v>
      </c>
      <c r="H258" s="2" t="s">
        <v>521</v>
      </c>
      <c r="I258" s="22">
        <v>2400</v>
      </c>
      <c r="J258" s="18">
        <v>2.57</v>
      </c>
      <c r="K258" s="2" t="s">
        <v>151</v>
      </c>
      <c r="L258" s="2" t="s">
        <v>408</v>
      </c>
      <c r="M258" s="2">
        <v>7</v>
      </c>
      <c r="N258" s="2" t="s">
        <v>125</v>
      </c>
    </row>
    <row r="259" spans="2:14" x14ac:dyDescent="0.25">
      <c r="B259" s="2" t="s">
        <v>790</v>
      </c>
      <c r="C259" s="2" t="s">
        <v>411</v>
      </c>
      <c r="D259" s="2" t="s">
        <v>412</v>
      </c>
      <c r="E259" s="2" t="s">
        <v>377</v>
      </c>
      <c r="F259" s="2" t="s">
        <v>535</v>
      </c>
      <c r="G259" s="2" t="s">
        <v>515</v>
      </c>
      <c r="H259" s="2" t="s">
        <v>516</v>
      </c>
      <c r="I259" s="22">
        <v>3050</v>
      </c>
      <c r="J259" s="18">
        <v>3.26</v>
      </c>
      <c r="K259" s="2" t="s">
        <v>151</v>
      </c>
      <c r="L259" s="2" t="s">
        <v>408</v>
      </c>
      <c r="M259" s="2">
        <v>0</v>
      </c>
      <c r="N259" s="2" t="s">
        <v>125</v>
      </c>
    </row>
    <row r="260" spans="2:14" x14ac:dyDescent="0.25">
      <c r="B260" s="2" t="s">
        <v>791</v>
      </c>
      <c r="C260" s="2" t="s">
        <v>411</v>
      </c>
      <c r="D260" s="2" t="s">
        <v>412</v>
      </c>
      <c r="E260" s="2" t="s">
        <v>377</v>
      </c>
      <c r="F260" s="2" t="s">
        <v>537</v>
      </c>
      <c r="G260" s="2" t="s">
        <v>520</v>
      </c>
      <c r="H260" s="2" t="s">
        <v>521</v>
      </c>
      <c r="I260" s="22">
        <v>3200</v>
      </c>
      <c r="J260" s="18">
        <v>3.42</v>
      </c>
      <c r="K260" s="2" t="s">
        <v>151</v>
      </c>
      <c r="L260" s="2" t="s">
        <v>408</v>
      </c>
      <c r="M260" s="2">
        <v>2</v>
      </c>
      <c r="N260" s="2" t="s">
        <v>125</v>
      </c>
    </row>
  </sheetData>
  <conditionalFormatting sqref="F5:F260">
    <cfRule type="cellIs" dxfId="13" priority="2" operator="equal">
      <formula>"Primary"</formula>
    </cfRule>
    <cfRule type="cellIs" dxfId="12" priority="3" operator="equal">
      <formula>"Backup"</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B1:Q3829"/>
  <sheetViews>
    <sheetView showGridLines="0" workbookViewId="0">
      <pane xSplit="1" ySplit="4" topLeftCell="B5" activePane="bottomRight" state="frozen"/>
      <selection pane="topRight"/>
      <selection pane="bottomLeft"/>
      <selection pane="bottomRight" activeCell="B5" sqref="B5"/>
    </sheetView>
  </sheetViews>
  <sheetFormatPr defaultColWidth="8.7109375" defaultRowHeight="15" x14ac:dyDescent="0.25"/>
  <cols>
    <col min="2" max="2" width="9" customWidth="1"/>
    <col min="3" max="3" width="11" customWidth="1"/>
    <col min="4" max="4" width="30" customWidth="1"/>
    <col min="5" max="5" width="13" customWidth="1"/>
    <col min="6" max="6" width="9" customWidth="1"/>
    <col min="7" max="7" width="12" customWidth="1"/>
    <col min="8" max="8" width="30" customWidth="1"/>
    <col min="9" max="9" width="15" customWidth="1"/>
    <col min="10" max="10" width="5" customWidth="1"/>
    <col min="11" max="11" width="14" customWidth="1"/>
    <col min="12" max="12" width="17" customWidth="1"/>
    <col min="13" max="14" width="18" customWidth="1"/>
    <col min="15" max="16" width="13" customWidth="1"/>
    <col min="17" max="17" width="8" customWidth="1"/>
  </cols>
  <sheetData>
    <row r="1" spans="2:17" ht="20.25" x14ac:dyDescent="0.3">
      <c r="B1" s="3" t="s">
        <v>792</v>
      </c>
    </row>
    <row r="2" spans="2:17" x14ac:dyDescent="0.25">
      <c r="B2" s="4" t="s">
        <v>793</v>
      </c>
    </row>
    <row r="4" spans="2:17" ht="30" x14ac:dyDescent="0.25">
      <c r="B4" s="8" t="s">
        <v>794</v>
      </c>
      <c r="C4" s="8" t="s">
        <v>527</v>
      </c>
      <c r="D4" s="8" t="s">
        <v>108</v>
      </c>
      <c r="E4" s="8" t="s">
        <v>109</v>
      </c>
      <c r="F4" s="8" t="s">
        <v>795</v>
      </c>
      <c r="G4" s="8" t="s">
        <v>529</v>
      </c>
      <c r="H4" s="8" t="s">
        <v>414</v>
      </c>
      <c r="I4" s="8" t="s">
        <v>796</v>
      </c>
      <c r="J4" s="8" t="s">
        <v>797</v>
      </c>
      <c r="K4" s="8" t="s">
        <v>532</v>
      </c>
      <c r="L4" s="8" t="s">
        <v>798</v>
      </c>
      <c r="M4" s="8" t="s">
        <v>799</v>
      </c>
      <c r="N4" s="8" t="s">
        <v>800</v>
      </c>
      <c r="O4" s="8" t="s">
        <v>801</v>
      </c>
      <c r="P4" s="8" t="s">
        <v>802</v>
      </c>
      <c r="Q4" s="8" t="s">
        <v>803</v>
      </c>
    </row>
    <row r="5" spans="2:17" x14ac:dyDescent="0.25">
      <c r="B5" s="2" t="s">
        <v>804</v>
      </c>
      <c r="C5" s="2" t="s">
        <v>120</v>
      </c>
      <c r="D5" s="2" t="s">
        <v>121</v>
      </c>
      <c r="E5" s="2" t="s">
        <v>122</v>
      </c>
      <c r="F5" s="2" t="s">
        <v>535</v>
      </c>
      <c r="G5" s="2" t="s">
        <v>416</v>
      </c>
      <c r="H5" s="2" t="s">
        <v>94</v>
      </c>
      <c r="I5" s="26">
        <v>45116</v>
      </c>
      <c r="J5" s="2">
        <v>16</v>
      </c>
      <c r="K5" s="2" t="s">
        <v>123</v>
      </c>
      <c r="L5" s="22">
        <v>2950</v>
      </c>
      <c r="M5" s="22">
        <v>47200</v>
      </c>
      <c r="N5" s="18">
        <v>50.48</v>
      </c>
      <c r="O5" s="26">
        <v>45161</v>
      </c>
      <c r="P5" s="2" t="s">
        <v>805</v>
      </c>
      <c r="Q5" s="2" t="s">
        <v>806</v>
      </c>
    </row>
    <row r="6" spans="2:17" x14ac:dyDescent="0.25">
      <c r="B6" s="2" t="s">
        <v>807</v>
      </c>
      <c r="C6" s="2" t="s">
        <v>120</v>
      </c>
      <c r="D6" s="2" t="s">
        <v>121</v>
      </c>
      <c r="E6" s="2" t="s">
        <v>122</v>
      </c>
      <c r="F6" s="2" t="s">
        <v>535</v>
      </c>
      <c r="G6" s="2" t="s">
        <v>416</v>
      </c>
      <c r="H6" s="2" t="s">
        <v>94</v>
      </c>
      <c r="I6" s="26">
        <v>45127</v>
      </c>
      <c r="J6" s="2">
        <v>13</v>
      </c>
      <c r="K6" s="2" t="s">
        <v>123</v>
      </c>
      <c r="L6" s="22">
        <v>2950</v>
      </c>
      <c r="M6" s="22">
        <v>38350</v>
      </c>
      <c r="N6" s="18">
        <v>41.02</v>
      </c>
      <c r="O6" s="26">
        <v>45172</v>
      </c>
      <c r="P6" s="2" t="s">
        <v>805</v>
      </c>
      <c r="Q6" s="2" t="s">
        <v>806</v>
      </c>
    </row>
    <row r="7" spans="2:17" x14ac:dyDescent="0.25">
      <c r="B7" s="2" t="s">
        <v>808</v>
      </c>
      <c r="C7" s="2" t="s">
        <v>120</v>
      </c>
      <c r="D7" s="2" t="s">
        <v>121</v>
      </c>
      <c r="E7" s="2" t="s">
        <v>122</v>
      </c>
      <c r="F7" s="2" t="s">
        <v>535</v>
      </c>
      <c r="G7" s="2" t="s">
        <v>416</v>
      </c>
      <c r="H7" s="2" t="s">
        <v>94</v>
      </c>
      <c r="I7" s="26">
        <v>45136</v>
      </c>
      <c r="J7" s="2">
        <v>13</v>
      </c>
      <c r="K7" s="2" t="s">
        <v>123</v>
      </c>
      <c r="L7" s="22">
        <v>2950</v>
      </c>
      <c r="M7" s="22">
        <v>38350</v>
      </c>
      <c r="N7" s="18">
        <v>41.02</v>
      </c>
      <c r="O7" s="26">
        <v>45181</v>
      </c>
      <c r="P7" s="2" t="s">
        <v>805</v>
      </c>
      <c r="Q7" s="2" t="s">
        <v>806</v>
      </c>
    </row>
    <row r="8" spans="2:17" x14ac:dyDescent="0.25">
      <c r="B8" s="2" t="s">
        <v>809</v>
      </c>
      <c r="C8" s="2" t="s">
        <v>120</v>
      </c>
      <c r="D8" s="2" t="s">
        <v>121</v>
      </c>
      <c r="E8" s="2" t="s">
        <v>122</v>
      </c>
      <c r="F8" s="2" t="s">
        <v>535</v>
      </c>
      <c r="G8" s="2" t="s">
        <v>416</v>
      </c>
      <c r="H8" s="2" t="s">
        <v>94</v>
      </c>
      <c r="I8" s="26">
        <v>45143</v>
      </c>
      <c r="J8" s="2">
        <v>16</v>
      </c>
      <c r="K8" s="2" t="s">
        <v>123</v>
      </c>
      <c r="L8" s="22">
        <v>2950</v>
      </c>
      <c r="M8" s="22">
        <v>47200</v>
      </c>
      <c r="N8" s="18">
        <v>50.48</v>
      </c>
      <c r="O8" s="26">
        <v>45188</v>
      </c>
      <c r="P8" s="2" t="s">
        <v>805</v>
      </c>
      <c r="Q8" s="2" t="s">
        <v>806</v>
      </c>
    </row>
    <row r="9" spans="2:17" x14ac:dyDescent="0.25">
      <c r="B9" s="2" t="s">
        <v>810</v>
      </c>
      <c r="C9" s="2" t="s">
        <v>120</v>
      </c>
      <c r="D9" s="2" t="s">
        <v>121</v>
      </c>
      <c r="E9" s="2" t="s">
        <v>122</v>
      </c>
      <c r="F9" s="2" t="s">
        <v>535</v>
      </c>
      <c r="G9" s="2" t="s">
        <v>416</v>
      </c>
      <c r="H9" s="2" t="s">
        <v>94</v>
      </c>
      <c r="I9" s="26">
        <v>45151</v>
      </c>
      <c r="J9" s="2">
        <v>15</v>
      </c>
      <c r="K9" s="2" t="s">
        <v>123</v>
      </c>
      <c r="L9" s="22">
        <v>2950</v>
      </c>
      <c r="M9" s="22">
        <v>44250</v>
      </c>
      <c r="N9" s="18">
        <v>47.33</v>
      </c>
      <c r="O9" s="26">
        <v>45196</v>
      </c>
      <c r="P9" s="2" t="s">
        <v>805</v>
      </c>
      <c r="Q9" s="2" t="s">
        <v>806</v>
      </c>
    </row>
    <row r="10" spans="2:17" x14ac:dyDescent="0.25">
      <c r="B10" s="2" t="s">
        <v>811</v>
      </c>
      <c r="C10" s="2" t="s">
        <v>120</v>
      </c>
      <c r="D10" s="2" t="s">
        <v>121</v>
      </c>
      <c r="E10" s="2" t="s">
        <v>122</v>
      </c>
      <c r="F10" s="2" t="s">
        <v>535</v>
      </c>
      <c r="G10" s="2" t="s">
        <v>416</v>
      </c>
      <c r="H10" s="2" t="s">
        <v>94</v>
      </c>
      <c r="I10" s="26">
        <v>45159</v>
      </c>
      <c r="J10" s="2">
        <v>16</v>
      </c>
      <c r="K10" s="2" t="s">
        <v>123</v>
      </c>
      <c r="L10" s="22">
        <v>2950</v>
      </c>
      <c r="M10" s="22">
        <v>47200</v>
      </c>
      <c r="N10" s="18">
        <v>50.48</v>
      </c>
      <c r="O10" s="26">
        <v>45204</v>
      </c>
      <c r="P10" s="2" t="s">
        <v>805</v>
      </c>
      <c r="Q10" s="2" t="s">
        <v>806</v>
      </c>
    </row>
    <row r="11" spans="2:17" x14ac:dyDescent="0.25">
      <c r="B11" s="2" t="s">
        <v>812</v>
      </c>
      <c r="C11" s="2" t="s">
        <v>120</v>
      </c>
      <c r="D11" s="2" t="s">
        <v>121</v>
      </c>
      <c r="E11" s="2" t="s">
        <v>122</v>
      </c>
      <c r="F11" s="2" t="s">
        <v>535</v>
      </c>
      <c r="G11" s="2" t="s">
        <v>416</v>
      </c>
      <c r="H11" s="2" t="s">
        <v>94</v>
      </c>
      <c r="I11" s="26">
        <v>45166</v>
      </c>
      <c r="J11" s="2">
        <v>17</v>
      </c>
      <c r="K11" s="2" t="s">
        <v>123</v>
      </c>
      <c r="L11" s="22">
        <v>2950</v>
      </c>
      <c r="M11" s="22">
        <v>50150</v>
      </c>
      <c r="N11" s="18">
        <v>53.64</v>
      </c>
      <c r="O11" s="26">
        <v>45211</v>
      </c>
      <c r="P11" s="2" t="s">
        <v>805</v>
      </c>
      <c r="Q11" s="2" t="s">
        <v>806</v>
      </c>
    </row>
    <row r="12" spans="2:17" x14ac:dyDescent="0.25">
      <c r="B12" s="2" t="s">
        <v>813</v>
      </c>
      <c r="C12" s="2" t="s">
        <v>120</v>
      </c>
      <c r="D12" s="2" t="s">
        <v>121</v>
      </c>
      <c r="E12" s="2" t="s">
        <v>122</v>
      </c>
      <c r="F12" s="2" t="s">
        <v>537</v>
      </c>
      <c r="G12" s="2" t="s">
        <v>420</v>
      </c>
      <c r="H12" s="2" t="s">
        <v>421</v>
      </c>
      <c r="I12" s="26">
        <v>45175</v>
      </c>
      <c r="J12" s="2">
        <v>19</v>
      </c>
      <c r="K12" s="2" t="s">
        <v>123</v>
      </c>
      <c r="L12" s="22">
        <v>3000</v>
      </c>
      <c r="M12" s="22">
        <v>57000</v>
      </c>
      <c r="N12" s="18">
        <v>60.96</v>
      </c>
      <c r="O12" s="26">
        <v>45220</v>
      </c>
      <c r="P12" s="2" t="s">
        <v>805</v>
      </c>
      <c r="Q12" s="2" t="s">
        <v>814</v>
      </c>
    </row>
    <row r="13" spans="2:17" x14ac:dyDescent="0.25">
      <c r="B13" s="2" t="s">
        <v>815</v>
      </c>
      <c r="C13" s="2" t="s">
        <v>120</v>
      </c>
      <c r="D13" s="2" t="s">
        <v>121</v>
      </c>
      <c r="E13" s="2" t="s">
        <v>122</v>
      </c>
      <c r="F13" s="2" t="s">
        <v>535</v>
      </c>
      <c r="G13" s="2" t="s">
        <v>416</v>
      </c>
      <c r="H13" s="2" t="s">
        <v>94</v>
      </c>
      <c r="I13" s="26">
        <v>45185</v>
      </c>
      <c r="J13" s="2">
        <v>18</v>
      </c>
      <c r="K13" s="2" t="s">
        <v>123</v>
      </c>
      <c r="L13" s="22">
        <v>2950</v>
      </c>
      <c r="M13" s="22">
        <v>53100</v>
      </c>
      <c r="N13" s="18">
        <v>56.79</v>
      </c>
      <c r="O13" s="26">
        <v>45230</v>
      </c>
      <c r="P13" s="2" t="s">
        <v>805</v>
      </c>
      <c r="Q13" s="2" t="s">
        <v>814</v>
      </c>
    </row>
    <row r="14" spans="2:17" x14ac:dyDescent="0.25">
      <c r="B14" s="2" t="s">
        <v>816</v>
      </c>
      <c r="C14" s="2" t="s">
        <v>120</v>
      </c>
      <c r="D14" s="2" t="s">
        <v>121</v>
      </c>
      <c r="E14" s="2" t="s">
        <v>122</v>
      </c>
      <c r="F14" s="2" t="s">
        <v>535</v>
      </c>
      <c r="G14" s="2" t="s">
        <v>416</v>
      </c>
      <c r="H14" s="2" t="s">
        <v>94</v>
      </c>
      <c r="I14" s="26">
        <v>45194</v>
      </c>
      <c r="J14" s="2">
        <v>20</v>
      </c>
      <c r="K14" s="2" t="s">
        <v>123</v>
      </c>
      <c r="L14" s="22">
        <v>2950</v>
      </c>
      <c r="M14" s="22">
        <v>59000</v>
      </c>
      <c r="N14" s="18">
        <v>63.1</v>
      </c>
      <c r="O14" s="26">
        <v>45239</v>
      </c>
      <c r="P14" s="2" t="s">
        <v>805</v>
      </c>
      <c r="Q14" s="2" t="s">
        <v>814</v>
      </c>
    </row>
    <row r="15" spans="2:17" x14ac:dyDescent="0.25">
      <c r="B15" s="2" t="s">
        <v>817</v>
      </c>
      <c r="C15" s="2" t="s">
        <v>120</v>
      </c>
      <c r="D15" s="2" t="s">
        <v>121</v>
      </c>
      <c r="E15" s="2" t="s">
        <v>122</v>
      </c>
      <c r="F15" s="2" t="s">
        <v>535</v>
      </c>
      <c r="G15" s="2" t="s">
        <v>416</v>
      </c>
      <c r="H15" s="2" t="s">
        <v>94</v>
      </c>
      <c r="I15" s="26">
        <v>45203</v>
      </c>
      <c r="J15" s="2">
        <v>35</v>
      </c>
      <c r="K15" s="2" t="s">
        <v>123</v>
      </c>
      <c r="L15" s="22">
        <v>2950</v>
      </c>
      <c r="M15" s="22">
        <v>103250</v>
      </c>
      <c r="N15" s="18">
        <v>110.43</v>
      </c>
      <c r="O15" s="26">
        <v>45248</v>
      </c>
      <c r="P15" s="2" t="s">
        <v>805</v>
      </c>
      <c r="Q15" s="2" t="s">
        <v>814</v>
      </c>
    </row>
    <row r="16" spans="2:17" x14ac:dyDescent="0.25">
      <c r="B16" s="2" t="s">
        <v>818</v>
      </c>
      <c r="C16" s="2" t="s">
        <v>120</v>
      </c>
      <c r="D16" s="2" t="s">
        <v>121</v>
      </c>
      <c r="E16" s="2" t="s">
        <v>122</v>
      </c>
      <c r="F16" s="2" t="s">
        <v>535</v>
      </c>
      <c r="G16" s="2" t="s">
        <v>416</v>
      </c>
      <c r="H16" s="2" t="s">
        <v>94</v>
      </c>
      <c r="I16" s="26">
        <v>45211</v>
      </c>
      <c r="J16" s="2">
        <v>34</v>
      </c>
      <c r="K16" s="2" t="s">
        <v>123</v>
      </c>
      <c r="L16" s="22">
        <v>2950</v>
      </c>
      <c r="M16" s="22">
        <v>100300</v>
      </c>
      <c r="N16" s="18">
        <v>107.27</v>
      </c>
      <c r="O16" s="26">
        <v>45256</v>
      </c>
      <c r="P16" s="2" t="s">
        <v>805</v>
      </c>
      <c r="Q16" s="2" t="s">
        <v>814</v>
      </c>
    </row>
    <row r="17" spans="2:17" x14ac:dyDescent="0.25">
      <c r="B17" s="2" t="s">
        <v>819</v>
      </c>
      <c r="C17" s="2" t="s">
        <v>120</v>
      </c>
      <c r="D17" s="2" t="s">
        <v>121</v>
      </c>
      <c r="E17" s="2" t="s">
        <v>122</v>
      </c>
      <c r="F17" s="2" t="s">
        <v>535</v>
      </c>
      <c r="G17" s="2" t="s">
        <v>416</v>
      </c>
      <c r="H17" s="2" t="s">
        <v>94</v>
      </c>
      <c r="I17" s="26">
        <v>45219</v>
      </c>
      <c r="J17" s="2">
        <v>34</v>
      </c>
      <c r="K17" s="2" t="s">
        <v>123</v>
      </c>
      <c r="L17" s="22">
        <v>2950</v>
      </c>
      <c r="M17" s="22">
        <v>100300</v>
      </c>
      <c r="N17" s="18">
        <v>107.27</v>
      </c>
      <c r="O17" s="26">
        <v>45264</v>
      </c>
      <c r="P17" s="2" t="s">
        <v>805</v>
      </c>
      <c r="Q17" s="2" t="s">
        <v>814</v>
      </c>
    </row>
    <row r="18" spans="2:17" x14ac:dyDescent="0.25">
      <c r="B18" s="2" t="s">
        <v>820</v>
      </c>
      <c r="C18" s="2" t="s">
        <v>120</v>
      </c>
      <c r="D18" s="2" t="s">
        <v>121</v>
      </c>
      <c r="E18" s="2" t="s">
        <v>122</v>
      </c>
      <c r="F18" s="2" t="s">
        <v>535</v>
      </c>
      <c r="G18" s="2" t="s">
        <v>416</v>
      </c>
      <c r="H18" s="2" t="s">
        <v>94</v>
      </c>
      <c r="I18" s="26">
        <v>45229</v>
      </c>
      <c r="J18" s="2">
        <v>34</v>
      </c>
      <c r="K18" s="2" t="s">
        <v>123</v>
      </c>
      <c r="L18" s="22">
        <v>2950</v>
      </c>
      <c r="M18" s="22">
        <v>100300</v>
      </c>
      <c r="N18" s="18">
        <v>107.27</v>
      </c>
      <c r="O18" s="26">
        <v>45274</v>
      </c>
      <c r="P18" s="2" t="s">
        <v>805</v>
      </c>
      <c r="Q18" s="2" t="s">
        <v>814</v>
      </c>
    </row>
    <row r="19" spans="2:17" x14ac:dyDescent="0.25">
      <c r="B19" s="2" t="s">
        <v>821</v>
      </c>
      <c r="C19" s="2" t="s">
        <v>120</v>
      </c>
      <c r="D19" s="2" t="s">
        <v>121</v>
      </c>
      <c r="E19" s="2" t="s">
        <v>122</v>
      </c>
      <c r="F19" s="2" t="s">
        <v>535</v>
      </c>
      <c r="G19" s="2" t="s">
        <v>416</v>
      </c>
      <c r="H19" s="2" t="s">
        <v>94</v>
      </c>
      <c r="I19" s="26">
        <v>45239</v>
      </c>
      <c r="J19" s="2">
        <v>39</v>
      </c>
      <c r="K19" s="2" t="s">
        <v>123</v>
      </c>
      <c r="L19" s="22">
        <v>2950</v>
      </c>
      <c r="M19" s="22">
        <v>115050</v>
      </c>
      <c r="N19" s="18">
        <v>123.05</v>
      </c>
      <c r="O19" s="26">
        <v>45284</v>
      </c>
      <c r="P19" s="2" t="s">
        <v>805</v>
      </c>
      <c r="Q19" s="2" t="s">
        <v>814</v>
      </c>
    </row>
    <row r="20" spans="2:17" x14ac:dyDescent="0.25">
      <c r="B20" s="2" t="s">
        <v>822</v>
      </c>
      <c r="C20" s="2" t="s">
        <v>120</v>
      </c>
      <c r="D20" s="2" t="s">
        <v>121</v>
      </c>
      <c r="E20" s="2" t="s">
        <v>122</v>
      </c>
      <c r="F20" s="2" t="s">
        <v>535</v>
      </c>
      <c r="G20" s="2" t="s">
        <v>416</v>
      </c>
      <c r="H20" s="2" t="s">
        <v>94</v>
      </c>
      <c r="I20" s="26">
        <v>45248</v>
      </c>
      <c r="J20" s="2">
        <v>35</v>
      </c>
      <c r="K20" s="2" t="s">
        <v>123</v>
      </c>
      <c r="L20" s="22">
        <v>2950</v>
      </c>
      <c r="M20" s="22">
        <v>103250</v>
      </c>
      <c r="N20" s="18">
        <v>110.43</v>
      </c>
      <c r="O20" s="26">
        <v>45293</v>
      </c>
      <c r="P20" s="2" t="s">
        <v>805</v>
      </c>
      <c r="Q20" s="2" t="s">
        <v>814</v>
      </c>
    </row>
    <row r="21" spans="2:17" x14ac:dyDescent="0.25">
      <c r="B21" s="2" t="s">
        <v>823</v>
      </c>
      <c r="C21" s="2" t="s">
        <v>120</v>
      </c>
      <c r="D21" s="2" t="s">
        <v>121</v>
      </c>
      <c r="E21" s="2" t="s">
        <v>122</v>
      </c>
      <c r="F21" s="2" t="s">
        <v>535</v>
      </c>
      <c r="G21" s="2" t="s">
        <v>416</v>
      </c>
      <c r="H21" s="2" t="s">
        <v>94</v>
      </c>
      <c r="I21" s="26">
        <v>45257</v>
      </c>
      <c r="J21" s="2">
        <v>37</v>
      </c>
      <c r="K21" s="2" t="s">
        <v>123</v>
      </c>
      <c r="L21" s="22">
        <v>2950</v>
      </c>
      <c r="M21" s="22">
        <v>109150</v>
      </c>
      <c r="N21" s="18">
        <v>116.74</v>
      </c>
      <c r="O21" s="26">
        <v>45302</v>
      </c>
      <c r="P21" s="2" t="s">
        <v>805</v>
      </c>
      <c r="Q21" s="2" t="s">
        <v>814</v>
      </c>
    </row>
    <row r="22" spans="2:17" x14ac:dyDescent="0.25">
      <c r="B22" s="2" t="s">
        <v>824</v>
      </c>
      <c r="C22" s="2" t="s">
        <v>120</v>
      </c>
      <c r="D22" s="2" t="s">
        <v>121</v>
      </c>
      <c r="E22" s="2" t="s">
        <v>122</v>
      </c>
      <c r="F22" s="2" t="s">
        <v>535</v>
      </c>
      <c r="G22" s="2" t="s">
        <v>416</v>
      </c>
      <c r="H22" s="2" t="s">
        <v>94</v>
      </c>
      <c r="I22" s="26">
        <v>45269</v>
      </c>
      <c r="J22" s="2">
        <v>48</v>
      </c>
      <c r="K22" s="2" t="s">
        <v>123</v>
      </c>
      <c r="L22" s="22">
        <v>2950</v>
      </c>
      <c r="M22" s="22">
        <v>141600</v>
      </c>
      <c r="N22" s="18">
        <v>151.44</v>
      </c>
      <c r="O22" s="26">
        <v>45314</v>
      </c>
      <c r="P22" s="2" t="s">
        <v>805</v>
      </c>
      <c r="Q22" s="2" t="s">
        <v>825</v>
      </c>
    </row>
    <row r="23" spans="2:17" x14ac:dyDescent="0.25">
      <c r="B23" s="2" t="s">
        <v>826</v>
      </c>
      <c r="C23" s="2" t="s">
        <v>120</v>
      </c>
      <c r="D23" s="2" t="s">
        <v>121</v>
      </c>
      <c r="E23" s="2" t="s">
        <v>122</v>
      </c>
      <c r="F23" s="2" t="s">
        <v>537</v>
      </c>
      <c r="G23" s="2" t="s">
        <v>420</v>
      </c>
      <c r="H23" s="2" t="s">
        <v>421</v>
      </c>
      <c r="I23" s="26">
        <v>45278</v>
      </c>
      <c r="J23" s="2">
        <v>47</v>
      </c>
      <c r="K23" s="2" t="s">
        <v>123</v>
      </c>
      <c r="L23" s="22">
        <v>3000</v>
      </c>
      <c r="M23" s="22">
        <v>141000</v>
      </c>
      <c r="N23" s="18">
        <v>150.80000000000001</v>
      </c>
      <c r="O23" s="26">
        <v>45323</v>
      </c>
      <c r="P23" s="2" t="s">
        <v>805</v>
      </c>
      <c r="Q23" s="2" t="s">
        <v>825</v>
      </c>
    </row>
    <row r="24" spans="2:17" x14ac:dyDescent="0.25">
      <c r="B24" s="2" t="s">
        <v>827</v>
      </c>
      <c r="C24" s="2" t="s">
        <v>120</v>
      </c>
      <c r="D24" s="2" t="s">
        <v>121</v>
      </c>
      <c r="E24" s="2" t="s">
        <v>122</v>
      </c>
      <c r="F24" s="2" t="s">
        <v>535</v>
      </c>
      <c r="G24" s="2" t="s">
        <v>416</v>
      </c>
      <c r="H24" s="2" t="s">
        <v>94</v>
      </c>
      <c r="I24" s="26">
        <v>45287</v>
      </c>
      <c r="J24" s="2">
        <v>53</v>
      </c>
      <c r="K24" s="2" t="s">
        <v>123</v>
      </c>
      <c r="L24" s="22">
        <v>2950</v>
      </c>
      <c r="M24" s="22">
        <v>156350</v>
      </c>
      <c r="N24" s="18">
        <v>167.22</v>
      </c>
      <c r="O24" s="26">
        <v>45332</v>
      </c>
      <c r="P24" s="2" t="s">
        <v>805</v>
      </c>
      <c r="Q24" s="2" t="s">
        <v>825</v>
      </c>
    </row>
    <row r="25" spans="2:17" x14ac:dyDescent="0.25">
      <c r="B25" s="2" t="s">
        <v>828</v>
      </c>
      <c r="C25" s="2" t="s">
        <v>120</v>
      </c>
      <c r="D25" s="2" t="s">
        <v>121</v>
      </c>
      <c r="E25" s="2" t="s">
        <v>122</v>
      </c>
      <c r="F25" s="2" t="s">
        <v>535</v>
      </c>
      <c r="G25" s="2" t="s">
        <v>416</v>
      </c>
      <c r="H25" s="2" t="s">
        <v>94</v>
      </c>
      <c r="I25" s="26">
        <v>45296</v>
      </c>
      <c r="J25" s="2">
        <v>40</v>
      </c>
      <c r="K25" s="2" t="s">
        <v>123</v>
      </c>
      <c r="L25" s="22">
        <v>2950</v>
      </c>
      <c r="M25" s="22">
        <v>118000</v>
      </c>
      <c r="N25" s="18">
        <v>126.2</v>
      </c>
      <c r="O25" s="26">
        <v>45341</v>
      </c>
      <c r="P25" s="2" t="s">
        <v>805</v>
      </c>
      <c r="Q25" s="2" t="s">
        <v>825</v>
      </c>
    </row>
    <row r="26" spans="2:17" x14ac:dyDescent="0.25">
      <c r="B26" s="2" t="s">
        <v>829</v>
      </c>
      <c r="C26" s="2" t="s">
        <v>120</v>
      </c>
      <c r="D26" s="2" t="s">
        <v>121</v>
      </c>
      <c r="E26" s="2" t="s">
        <v>122</v>
      </c>
      <c r="F26" s="2" t="s">
        <v>537</v>
      </c>
      <c r="G26" s="2" t="s">
        <v>420</v>
      </c>
      <c r="H26" s="2" t="s">
        <v>421</v>
      </c>
      <c r="I26" s="26">
        <v>45306</v>
      </c>
      <c r="J26" s="2">
        <v>41</v>
      </c>
      <c r="K26" s="2" t="s">
        <v>123</v>
      </c>
      <c r="L26" s="22">
        <v>3000</v>
      </c>
      <c r="M26" s="22">
        <v>123000</v>
      </c>
      <c r="N26" s="18">
        <v>131.55000000000001</v>
      </c>
      <c r="O26" s="26">
        <v>45351</v>
      </c>
      <c r="P26" s="2" t="s">
        <v>805</v>
      </c>
      <c r="Q26" s="2" t="s">
        <v>825</v>
      </c>
    </row>
    <row r="27" spans="2:17" x14ac:dyDescent="0.25">
      <c r="B27" s="2" t="s">
        <v>830</v>
      </c>
      <c r="C27" s="2" t="s">
        <v>120</v>
      </c>
      <c r="D27" s="2" t="s">
        <v>121</v>
      </c>
      <c r="E27" s="2" t="s">
        <v>122</v>
      </c>
      <c r="F27" s="2" t="s">
        <v>535</v>
      </c>
      <c r="G27" s="2" t="s">
        <v>416</v>
      </c>
      <c r="H27" s="2" t="s">
        <v>94</v>
      </c>
      <c r="I27" s="26">
        <v>45315</v>
      </c>
      <c r="J27" s="2">
        <v>35</v>
      </c>
      <c r="K27" s="2" t="s">
        <v>123</v>
      </c>
      <c r="L27" s="22">
        <v>2950</v>
      </c>
      <c r="M27" s="22">
        <v>103250</v>
      </c>
      <c r="N27" s="18">
        <v>110.43</v>
      </c>
      <c r="O27" s="26">
        <v>45360</v>
      </c>
      <c r="P27" s="2" t="s">
        <v>805</v>
      </c>
      <c r="Q27" s="2" t="s">
        <v>825</v>
      </c>
    </row>
    <row r="28" spans="2:17" x14ac:dyDescent="0.25">
      <c r="B28" s="2" t="s">
        <v>831</v>
      </c>
      <c r="C28" s="2" t="s">
        <v>120</v>
      </c>
      <c r="D28" s="2" t="s">
        <v>121</v>
      </c>
      <c r="E28" s="2" t="s">
        <v>122</v>
      </c>
      <c r="F28" s="2" t="s">
        <v>535</v>
      </c>
      <c r="G28" s="2" t="s">
        <v>416</v>
      </c>
      <c r="H28" s="2" t="s">
        <v>94</v>
      </c>
      <c r="I28" s="26">
        <v>45323</v>
      </c>
      <c r="J28" s="2">
        <v>35</v>
      </c>
      <c r="K28" s="2" t="s">
        <v>123</v>
      </c>
      <c r="L28" s="22">
        <v>2950</v>
      </c>
      <c r="M28" s="22">
        <v>103250</v>
      </c>
      <c r="N28" s="18">
        <v>110.43</v>
      </c>
      <c r="O28" s="26">
        <v>45368</v>
      </c>
      <c r="P28" s="2" t="s">
        <v>805</v>
      </c>
      <c r="Q28" s="2" t="s">
        <v>825</v>
      </c>
    </row>
    <row r="29" spans="2:17" x14ac:dyDescent="0.25">
      <c r="B29" s="2" t="s">
        <v>832</v>
      </c>
      <c r="C29" s="2" t="s">
        <v>120</v>
      </c>
      <c r="D29" s="2" t="s">
        <v>121</v>
      </c>
      <c r="E29" s="2" t="s">
        <v>122</v>
      </c>
      <c r="F29" s="2" t="s">
        <v>535</v>
      </c>
      <c r="G29" s="2" t="s">
        <v>416</v>
      </c>
      <c r="H29" s="2" t="s">
        <v>94</v>
      </c>
      <c r="I29" s="26">
        <v>45333</v>
      </c>
      <c r="J29" s="2">
        <v>40</v>
      </c>
      <c r="K29" s="2" t="s">
        <v>123</v>
      </c>
      <c r="L29" s="22">
        <v>2950</v>
      </c>
      <c r="M29" s="22">
        <v>118000</v>
      </c>
      <c r="N29" s="18">
        <v>126.2</v>
      </c>
      <c r="O29" s="26">
        <v>45378</v>
      </c>
      <c r="P29" s="2" t="s">
        <v>805</v>
      </c>
      <c r="Q29" s="2" t="s">
        <v>825</v>
      </c>
    </row>
    <row r="30" spans="2:17" x14ac:dyDescent="0.25">
      <c r="B30" s="2" t="s">
        <v>833</v>
      </c>
      <c r="C30" s="2" t="s">
        <v>120</v>
      </c>
      <c r="D30" s="2" t="s">
        <v>121</v>
      </c>
      <c r="E30" s="2" t="s">
        <v>122</v>
      </c>
      <c r="F30" s="2" t="s">
        <v>537</v>
      </c>
      <c r="G30" s="2" t="s">
        <v>420</v>
      </c>
      <c r="H30" s="2" t="s">
        <v>421</v>
      </c>
      <c r="I30" s="26">
        <v>45342</v>
      </c>
      <c r="J30" s="2">
        <v>45</v>
      </c>
      <c r="K30" s="2" t="s">
        <v>123</v>
      </c>
      <c r="L30" s="22">
        <v>3000</v>
      </c>
      <c r="M30" s="22">
        <v>135000</v>
      </c>
      <c r="N30" s="18">
        <v>144.38999999999999</v>
      </c>
      <c r="O30" s="26">
        <v>45387</v>
      </c>
      <c r="P30" s="2" t="s">
        <v>805</v>
      </c>
      <c r="Q30" s="2" t="s">
        <v>825</v>
      </c>
    </row>
    <row r="31" spans="2:17" x14ac:dyDescent="0.25">
      <c r="B31" s="2" t="s">
        <v>834</v>
      </c>
      <c r="C31" s="2" t="s">
        <v>120</v>
      </c>
      <c r="D31" s="2" t="s">
        <v>121</v>
      </c>
      <c r="E31" s="2" t="s">
        <v>122</v>
      </c>
      <c r="F31" s="2" t="s">
        <v>535</v>
      </c>
      <c r="G31" s="2" t="s">
        <v>416</v>
      </c>
      <c r="H31" s="2" t="s">
        <v>94</v>
      </c>
      <c r="I31" s="26">
        <v>45351</v>
      </c>
      <c r="J31" s="2">
        <v>45</v>
      </c>
      <c r="K31" s="2" t="s">
        <v>123</v>
      </c>
      <c r="L31" s="22">
        <v>2950</v>
      </c>
      <c r="M31" s="22">
        <v>132750</v>
      </c>
      <c r="N31" s="18">
        <v>141.97999999999999</v>
      </c>
      <c r="O31" s="26">
        <v>45396</v>
      </c>
      <c r="P31" s="2" t="s">
        <v>805</v>
      </c>
      <c r="Q31" s="2" t="s">
        <v>825</v>
      </c>
    </row>
    <row r="32" spans="2:17" x14ac:dyDescent="0.25">
      <c r="B32" s="2" t="s">
        <v>835</v>
      </c>
      <c r="C32" s="2" t="s">
        <v>120</v>
      </c>
      <c r="D32" s="2" t="s">
        <v>121</v>
      </c>
      <c r="E32" s="2" t="s">
        <v>122</v>
      </c>
      <c r="F32" s="2" t="s">
        <v>535</v>
      </c>
      <c r="G32" s="2" t="s">
        <v>416</v>
      </c>
      <c r="H32" s="2" t="s">
        <v>94</v>
      </c>
      <c r="I32" s="26">
        <v>45361</v>
      </c>
      <c r="J32" s="2">
        <v>46</v>
      </c>
      <c r="K32" s="2" t="s">
        <v>123</v>
      </c>
      <c r="L32" s="22">
        <v>2950</v>
      </c>
      <c r="M32" s="22">
        <v>135700</v>
      </c>
      <c r="N32" s="18">
        <v>145.13</v>
      </c>
      <c r="O32" s="26">
        <v>45406</v>
      </c>
      <c r="P32" s="2" t="s">
        <v>805</v>
      </c>
      <c r="Q32" s="2" t="s">
        <v>836</v>
      </c>
    </row>
    <row r="33" spans="2:17" x14ac:dyDescent="0.25">
      <c r="B33" s="2" t="s">
        <v>837</v>
      </c>
      <c r="C33" s="2" t="s">
        <v>120</v>
      </c>
      <c r="D33" s="2" t="s">
        <v>121</v>
      </c>
      <c r="E33" s="2" t="s">
        <v>122</v>
      </c>
      <c r="F33" s="2" t="s">
        <v>535</v>
      </c>
      <c r="G33" s="2" t="s">
        <v>416</v>
      </c>
      <c r="H33" s="2" t="s">
        <v>94</v>
      </c>
      <c r="I33" s="26">
        <v>45372</v>
      </c>
      <c r="J33" s="2">
        <v>35</v>
      </c>
      <c r="K33" s="2" t="s">
        <v>123</v>
      </c>
      <c r="L33" s="22">
        <v>2950</v>
      </c>
      <c r="M33" s="22">
        <v>103250</v>
      </c>
      <c r="N33" s="18">
        <v>110.43</v>
      </c>
      <c r="O33" s="26">
        <v>45417</v>
      </c>
      <c r="P33" s="2" t="s">
        <v>805</v>
      </c>
      <c r="Q33" s="2" t="s">
        <v>836</v>
      </c>
    </row>
    <row r="34" spans="2:17" x14ac:dyDescent="0.25">
      <c r="B34" s="2" t="s">
        <v>838</v>
      </c>
      <c r="C34" s="2" t="s">
        <v>120</v>
      </c>
      <c r="D34" s="2" t="s">
        <v>121</v>
      </c>
      <c r="E34" s="2" t="s">
        <v>122</v>
      </c>
      <c r="F34" s="2" t="s">
        <v>535</v>
      </c>
      <c r="G34" s="2" t="s">
        <v>416</v>
      </c>
      <c r="H34" s="2" t="s">
        <v>94</v>
      </c>
      <c r="I34" s="26">
        <v>45382</v>
      </c>
      <c r="J34" s="2">
        <v>34</v>
      </c>
      <c r="K34" s="2" t="s">
        <v>123</v>
      </c>
      <c r="L34" s="22">
        <v>2950</v>
      </c>
      <c r="M34" s="22">
        <v>100300</v>
      </c>
      <c r="N34" s="18">
        <v>107.27</v>
      </c>
      <c r="O34" s="26">
        <v>45427</v>
      </c>
      <c r="P34" s="2" t="s">
        <v>805</v>
      </c>
      <c r="Q34" s="2" t="s">
        <v>836</v>
      </c>
    </row>
    <row r="35" spans="2:17" x14ac:dyDescent="0.25">
      <c r="B35" s="2" t="s">
        <v>839</v>
      </c>
      <c r="C35" s="2" t="s">
        <v>120</v>
      </c>
      <c r="D35" s="2" t="s">
        <v>121</v>
      </c>
      <c r="E35" s="2" t="s">
        <v>122</v>
      </c>
      <c r="F35" s="2" t="s">
        <v>535</v>
      </c>
      <c r="G35" s="2" t="s">
        <v>416</v>
      </c>
      <c r="H35" s="2" t="s">
        <v>94</v>
      </c>
      <c r="I35" s="26">
        <v>45391</v>
      </c>
      <c r="J35" s="2">
        <v>13</v>
      </c>
      <c r="K35" s="2" t="s">
        <v>123</v>
      </c>
      <c r="L35" s="22">
        <v>2950</v>
      </c>
      <c r="M35" s="22">
        <v>38350</v>
      </c>
      <c r="N35" s="18">
        <v>41.02</v>
      </c>
      <c r="O35" s="26">
        <v>45436</v>
      </c>
      <c r="P35" s="2" t="s">
        <v>805</v>
      </c>
      <c r="Q35" s="2" t="s">
        <v>836</v>
      </c>
    </row>
    <row r="36" spans="2:17" x14ac:dyDescent="0.25">
      <c r="B36" s="2" t="s">
        <v>840</v>
      </c>
      <c r="C36" s="2" t="s">
        <v>120</v>
      </c>
      <c r="D36" s="2" t="s">
        <v>121</v>
      </c>
      <c r="E36" s="2" t="s">
        <v>122</v>
      </c>
      <c r="F36" s="2" t="s">
        <v>537</v>
      </c>
      <c r="G36" s="2" t="s">
        <v>420</v>
      </c>
      <c r="H36" s="2" t="s">
        <v>421</v>
      </c>
      <c r="I36" s="26">
        <v>45402</v>
      </c>
      <c r="J36" s="2">
        <v>14</v>
      </c>
      <c r="K36" s="2" t="s">
        <v>123</v>
      </c>
      <c r="L36" s="22">
        <v>3000</v>
      </c>
      <c r="M36" s="22">
        <v>42000</v>
      </c>
      <c r="N36" s="18">
        <v>44.92</v>
      </c>
      <c r="O36" s="26">
        <v>45447</v>
      </c>
      <c r="P36" s="2" t="s">
        <v>805</v>
      </c>
      <c r="Q36" s="2" t="s">
        <v>836</v>
      </c>
    </row>
    <row r="37" spans="2:17" x14ac:dyDescent="0.25">
      <c r="B37" s="2" t="s">
        <v>841</v>
      </c>
      <c r="C37" s="2" t="s">
        <v>120</v>
      </c>
      <c r="D37" s="2" t="s">
        <v>121</v>
      </c>
      <c r="E37" s="2" t="s">
        <v>122</v>
      </c>
      <c r="F37" s="2" t="s">
        <v>535</v>
      </c>
      <c r="G37" s="2" t="s">
        <v>416</v>
      </c>
      <c r="H37" s="2" t="s">
        <v>94</v>
      </c>
      <c r="I37" s="26">
        <v>45411</v>
      </c>
      <c r="J37" s="2">
        <v>16</v>
      </c>
      <c r="K37" s="2" t="s">
        <v>123</v>
      </c>
      <c r="L37" s="22">
        <v>2950</v>
      </c>
      <c r="M37" s="22">
        <v>47200</v>
      </c>
      <c r="N37" s="18">
        <v>50.48</v>
      </c>
      <c r="O37" s="26">
        <v>45456</v>
      </c>
      <c r="P37" s="2" t="s">
        <v>805</v>
      </c>
      <c r="Q37" s="2" t="s">
        <v>836</v>
      </c>
    </row>
    <row r="38" spans="2:17" x14ac:dyDescent="0.25">
      <c r="B38" s="2" t="s">
        <v>842</v>
      </c>
      <c r="C38" s="2" t="s">
        <v>120</v>
      </c>
      <c r="D38" s="2" t="s">
        <v>121</v>
      </c>
      <c r="E38" s="2" t="s">
        <v>122</v>
      </c>
      <c r="F38" s="2" t="s">
        <v>535</v>
      </c>
      <c r="G38" s="2" t="s">
        <v>416</v>
      </c>
      <c r="H38" s="2" t="s">
        <v>94</v>
      </c>
      <c r="I38" s="26">
        <v>45421</v>
      </c>
      <c r="J38" s="2">
        <v>15</v>
      </c>
      <c r="K38" s="2" t="s">
        <v>123</v>
      </c>
      <c r="L38" s="22">
        <v>2950</v>
      </c>
      <c r="M38" s="22">
        <v>44250</v>
      </c>
      <c r="N38" s="18">
        <v>47.33</v>
      </c>
      <c r="O38" s="26">
        <v>45466</v>
      </c>
      <c r="P38" s="2" t="s">
        <v>805</v>
      </c>
      <c r="Q38" s="2" t="s">
        <v>836</v>
      </c>
    </row>
    <row r="39" spans="2:17" x14ac:dyDescent="0.25">
      <c r="B39" s="2" t="s">
        <v>843</v>
      </c>
      <c r="C39" s="2" t="s">
        <v>120</v>
      </c>
      <c r="D39" s="2" t="s">
        <v>121</v>
      </c>
      <c r="E39" s="2" t="s">
        <v>122</v>
      </c>
      <c r="F39" s="2" t="s">
        <v>537</v>
      </c>
      <c r="G39" s="2" t="s">
        <v>420</v>
      </c>
      <c r="H39" s="2" t="s">
        <v>421</v>
      </c>
      <c r="I39" s="26">
        <v>45430</v>
      </c>
      <c r="J39" s="2">
        <v>13</v>
      </c>
      <c r="K39" s="2" t="s">
        <v>123</v>
      </c>
      <c r="L39" s="22">
        <v>3000</v>
      </c>
      <c r="M39" s="22">
        <v>39000</v>
      </c>
      <c r="N39" s="18">
        <v>41.71</v>
      </c>
      <c r="O39" s="26">
        <v>45475</v>
      </c>
      <c r="P39" s="2" t="s">
        <v>805</v>
      </c>
      <c r="Q39" s="2" t="s">
        <v>836</v>
      </c>
    </row>
    <row r="40" spans="2:17" x14ac:dyDescent="0.25">
      <c r="B40" s="2" t="s">
        <v>844</v>
      </c>
      <c r="C40" s="2" t="s">
        <v>120</v>
      </c>
      <c r="D40" s="2" t="s">
        <v>121</v>
      </c>
      <c r="E40" s="2" t="s">
        <v>122</v>
      </c>
      <c r="F40" s="2" t="s">
        <v>535</v>
      </c>
      <c r="G40" s="2" t="s">
        <v>416</v>
      </c>
      <c r="H40" s="2" t="s">
        <v>94</v>
      </c>
      <c r="I40" s="26">
        <v>45439</v>
      </c>
      <c r="J40" s="2">
        <v>15</v>
      </c>
      <c r="K40" s="2" t="s">
        <v>123</v>
      </c>
      <c r="L40" s="22">
        <v>2950</v>
      </c>
      <c r="M40" s="22">
        <v>44250</v>
      </c>
      <c r="N40" s="18">
        <v>47.33</v>
      </c>
      <c r="O40" s="26">
        <v>45484</v>
      </c>
      <c r="P40" s="2" t="s">
        <v>805</v>
      </c>
      <c r="Q40" s="2" t="s">
        <v>836</v>
      </c>
    </row>
    <row r="41" spans="2:17" x14ac:dyDescent="0.25">
      <c r="B41" s="2" t="s">
        <v>845</v>
      </c>
      <c r="C41" s="2" t="s">
        <v>120</v>
      </c>
      <c r="D41" s="2" t="s">
        <v>121</v>
      </c>
      <c r="E41" s="2" t="s">
        <v>122</v>
      </c>
      <c r="F41" s="2" t="s">
        <v>535</v>
      </c>
      <c r="G41" s="2" t="s">
        <v>416</v>
      </c>
      <c r="H41" s="2" t="s">
        <v>94</v>
      </c>
      <c r="I41" s="26">
        <v>45447</v>
      </c>
      <c r="J41" s="2">
        <v>15</v>
      </c>
      <c r="K41" s="2" t="s">
        <v>123</v>
      </c>
      <c r="L41" s="22">
        <v>2950</v>
      </c>
      <c r="M41" s="22">
        <v>44250</v>
      </c>
      <c r="N41" s="18">
        <v>47.33</v>
      </c>
      <c r="O41" s="26">
        <v>45492</v>
      </c>
      <c r="P41" s="2" t="s">
        <v>805</v>
      </c>
      <c r="Q41" s="2" t="s">
        <v>806</v>
      </c>
    </row>
    <row r="42" spans="2:17" x14ac:dyDescent="0.25">
      <c r="B42" s="2" t="s">
        <v>846</v>
      </c>
      <c r="C42" s="2" t="s">
        <v>120</v>
      </c>
      <c r="D42" s="2" t="s">
        <v>121</v>
      </c>
      <c r="E42" s="2" t="s">
        <v>122</v>
      </c>
      <c r="F42" s="2" t="s">
        <v>535</v>
      </c>
      <c r="G42" s="2" t="s">
        <v>416</v>
      </c>
      <c r="H42" s="2" t="s">
        <v>94</v>
      </c>
      <c r="I42" s="26">
        <v>45457</v>
      </c>
      <c r="J42" s="2">
        <v>15</v>
      </c>
      <c r="K42" s="2" t="s">
        <v>123</v>
      </c>
      <c r="L42" s="22">
        <v>2950</v>
      </c>
      <c r="M42" s="22">
        <v>44250</v>
      </c>
      <c r="N42" s="18">
        <v>47.33</v>
      </c>
      <c r="O42" s="26">
        <v>45502</v>
      </c>
      <c r="P42" s="2" t="s">
        <v>805</v>
      </c>
      <c r="Q42" s="2" t="s">
        <v>806</v>
      </c>
    </row>
    <row r="43" spans="2:17" x14ac:dyDescent="0.25">
      <c r="B43" s="2" t="s">
        <v>847</v>
      </c>
      <c r="C43" s="2" t="s">
        <v>120</v>
      </c>
      <c r="D43" s="2" t="s">
        <v>121</v>
      </c>
      <c r="E43" s="2" t="s">
        <v>122</v>
      </c>
      <c r="F43" s="2" t="s">
        <v>535</v>
      </c>
      <c r="G43" s="2" t="s">
        <v>416</v>
      </c>
      <c r="H43" s="2" t="s">
        <v>94</v>
      </c>
      <c r="I43" s="26">
        <v>45464</v>
      </c>
      <c r="J43" s="2">
        <v>13</v>
      </c>
      <c r="K43" s="2" t="s">
        <v>123</v>
      </c>
      <c r="L43" s="22">
        <v>2950</v>
      </c>
      <c r="M43" s="22">
        <v>38350</v>
      </c>
      <c r="N43" s="18">
        <v>41.02</v>
      </c>
      <c r="O43" s="26">
        <v>45509</v>
      </c>
      <c r="P43" s="2" t="s">
        <v>805</v>
      </c>
      <c r="Q43" s="2" t="s">
        <v>806</v>
      </c>
    </row>
    <row r="44" spans="2:17" x14ac:dyDescent="0.25">
      <c r="B44" s="2" t="s">
        <v>848</v>
      </c>
      <c r="C44" s="2" t="s">
        <v>120</v>
      </c>
      <c r="D44" s="2" t="s">
        <v>121</v>
      </c>
      <c r="E44" s="2" t="s">
        <v>122</v>
      </c>
      <c r="F44" s="2" t="s">
        <v>535</v>
      </c>
      <c r="G44" s="2" t="s">
        <v>416</v>
      </c>
      <c r="H44" s="2" t="s">
        <v>94</v>
      </c>
      <c r="I44" s="26">
        <v>45473</v>
      </c>
      <c r="J44" s="2">
        <v>15</v>
      </c>
      <c r="K44" s="2" t="s">
        <v>123</v>
      </c>
      <c r="L44" s="22">
        <v>2950</v>
      </c>
      <c r="M44" s="22">
        <v>44250</v>
      </c>
      <c r="N44" s="18">
        <v>47.33</v>
      </c>
      <c r="O44" s="26">
        <v>45518</v>
      </c>
      <c r="P44" s="2" t="s">
        <v>805</v>
      </c>
      <c r="Q44" s="2" t="s">
        <v>806</v>
      </c>
    </row>
    <row r="45" spans="2:17" x14ac:dyDescent="0.25">
      <c r="B45" s="2" t="s">
        <v>849</v>
      </c>
      <c r="C45" s="2" t="s">
        <v>120</v>
      </c>
      <c r="D45" s="2" t="s">
        <v>121</v>
      </c>
      <c r="E45" s="2" t="s">
        <v>122</v>
      </c>
      <c r="F45" s="2" t="s">
        <v>535</v>
      </c>
      <c r="G45" s="2" t="s">
        <v>416</v>
      </c>
      <c r="H45" s="2" t="s">
        <v>94</v>
      </c>
      <c r="I45" s="26">
        <v>45484</v>
      </c>
      <c r="J45" s="2">
        <v>15</v>
      </c>
      <c r="K45" s="2" t="s">
        <v>123</v>
      </c>
      <c r="L45" s="22">
        <v>2950</v>
      </c>
      <c r="M45" s="22">
        <v>44250</v>
      </c>
      <c r="N45" s="18">
        <v>47.33</v>
      </c>
      <c r="O45" s="26">
        <v>45529</v>
      </c>
      <c r="P45" s="2" t="s">
        <v>805</v>
      </c>
      <c r="Q45" s="2" t="s">
        <v>806</v>
      </c>
    </row>
    <row r="46" spans="2:17" x14ac:dyDescent="0.25">
      <c r="B46" s="2" t="s">
        <v>850</v>
      </c>
      <c r="C46" s="2" t="s">
        <v>120</v>
      </c>
      <c r="D46" s="2" t="s">
        <v>121</v>
      </c>
      <c r="E46" s="2" t="s">
        <v>122</v>
      </c>
      <c r="F46" s="2" t="s">
        <v>535</v>
      </c>
      <c r="G46" s="2" t="s">
        <v>416</v>
      </c>
      <c r="H46" s="2" t="s">
        <v>94</v>
      </c>
      <c r="I46" s="26">
        <v>45494</v>
      </c>
      <c r="J46" s="2">
        <v>15</v>
      </c>
      <c r="K46" s="2" t="s">
        <v>123</v>
      </c>
      <c r="L46" s="22">
        <v>2950</v>
      </c>
      <c r="M46" s="22">
        <v>44250</v>
      </c>
      <c r="N46" s="18">
        <v>47.33</v>
      </c>
      <c r="O46" s="26">
        <v>45539</v>
      </c>
      <c r="P46" s="2" t="s">
        <v>805</v>
      </c>
      <c r="Q46" s="2" t="s">
        <v>806</v>
      </c>
    </row>
    <row r="47" spans="2:17" x14ac:dyDescent="0.25">
      <c r="B47" s="2" t="s">
        <v>851</v>
      </c>
      <c r="C47" s="2" t="s">
        <v>120</v>
      </c>
      <c r="D47" s="2" t="s">
        <v>121</v>
      </c>
      <c r="E47" s="2" t="s">
        <v>122</v>
      </c>
      <c r="F47" s="2" t="s">
        <v>535</v>
      </c>
      <c r="G47" s="2" t="s">
        <v>416</v>
      </c>
      <c r="H47" s="2" t="s">
        <v>94</v>
      </c>
      <c r="I47" s="26">
        <v>45504</v>
      </c>
      <c r="J47" s="2">
        <v>14</v>
      </c>
      <c r="K47" s="2" t="s">
        <v>123</v>
      </c>
      <c r="L47" s="22">
        <v>2950</v>
      </c>
      <c r="M47" s="22">
        <v>41300</v>
      </c>
      <c r="N47" s="18">
        <v>44.17</v>
      </c>
      <c r="O47" s="26">
        <v>45549</v>
      </c>
      <c r="P47" s="2" t="s">
        <v>805</v>
      </c>
      <c r="Q47" s="2" t="s">
        <v>806</v>
      </c>
    </row>
    <row r="48" spans="2:17" x14ac:dyDescent="0.25">
      <c r="B48" s="2" t="s">
        <v>852</v>
      </c>
      <c r="C48" s="2" t="s">
        <v>120</v>
      </c>
      <c r="D48" s="2" t="s">
        <v>121</v>
      </c>
      <c r="E48" s="2" t="s">
        <v>122</v>
      </c>
      <c r="F48" s="2" t="s">
        <v>535</v>
      </c>
      <c r="G48" s="2" t="s">
        <v>416</v>
      </c>
      <c r="H48" s="2" t="s">
        <v>94</v>
      </c>
      <c r="I48" s="26">
        <v>45515</v>
      </c>
      <c r="J48" s="2">
        <v>16</v>
      </c>
      <c r="K48" s="2" t="s">
        <v>123</v>
      </c>
      <c r="L48" s="22">
        <v>2950</v>
      </c>
      <c r="M48" s="22">
        <v>47200</v>
      </c>
      <c r="N48" s="18">
        <v>50.48</v>
      </c>
      <c r="O48" s="26">
        <v>45560</v>
      </c>
      <c r="P48" s="2" t="s">
        <v>805</v>
      </c>
      <c r="Q48" s="2" t="s">
        <v>806</v>
      </c>
    </row>
    <row r="49" spans="2:17" x14ac:dyDescent="0.25">
      <c r="B49" s="2" t="s">
        <v>853</v>
      </c>
      <c r="C49" s="2" t="s">
        <v>120</v>
      </c>
      <c r="D49" s="2" t="s">
        <v>121</v>
      </c>
      <c r="E49" s="2" t="s">
        <v>122</v>
      </c>
      <c r="F49" s="2" t="s">
        <v>535</v>
      </c>
      <c r="G49" s="2" t="s">
        <v>416</v>
      </c>
      <c r="H49" s="2" t="s">
        <v>94</v>
      </c>
      <c r="I49" s="26">
        <v>45526</v>
      </c>
      <c r="J49" s="2">
        <v>14</v>
      </c>
      <c r="K49" s="2" t="s">
        <v>123</v>
      </c>
      <c r="L49" s="22">
        <v>2950</v>
      </c>
      <c r="M49" s="22">
        <v>41300</v>
      </c>
      <c r="N49" s="18">
        <v>44.17</v>
      </c>
      <c r="O49" s="26">
        <v>45571</v>
      </c>
      <c r="P49" s="2" t="s">
        <v>805</v>
      </c>
      <c r="Q49" s="2" t="s">
        <v>806</v>
      </c>
    </row>
    <row r="50" spans="2:17" x14ac:dyDescent="0.25">
      <c r="B50" s="2" t="s">
        <v>854</v>
      </c>
      <c r="C50" s="2" t="s">
        <v>120</v>
      </c>
      <c r="D50" s="2" t="s">
        <v>121</v>
      </c>
      <c r="E50" s="2" t="s">
        <v>122</v>
      </c>
      <c r="F50" s="2" t="s">
        <v>535</v>
      </c>
      <c r="G50" s="2" t="s">
        <v>416</v>
      </c>
      <c r="H50" s="2" t="s">
        <v>94</v>
      </c>
      <c r="I50" s="26">
        <v>45537</v>
      </c>
      <c r="J50" s="2">
        <v>21</v>
      </c>
      <c r="K50" s="2" t="s">
        <v>123</v>
      </c>
      <c r="L50" s="22">
        <v>2950</v>
      </c>
      <c r="M50" s="22">
        <v>61950</v>
      </c>
      <c r="N50" s="18">
        <v>66.260000000000005</v>
      </c>
      <c r="O50" s="26">
        <v>45582</v>
      </c>
      <c r="P50" s="2" t="s">
        <v>805</v>
      </c>
      <c r="Q50" s="2" t="s">
        <v>814</v>
      </c>
    </row>
    <row r="51" spans="2:17" x14ac:dyDescent="0.25">
      <c r="B51" s="2" t="s">
        <v>855</v>
      </c>
      <c r="C51" s="2" t="s">
        <v>120</v>
      </c>
      <c r="D51" s="2" t="s">
        <v>121</v>
      </c>
      <c r="E51" s="2" t="s">
        <v>122</v>
      </c>
      <c r="F51" s="2" t="s">
        <v>537</v>
      </c>
      <c r="G51" s="2" t="s">
        <v>420</v>
      </c>
      <c r="H51" s="2" t="s">
        <v>421</v>
      </c>
      <c r="I51" s="26">
        <v>45546</v>
      </c>
      <c r="J51" s="2">
        <v>19</v>
      </c>
      <c r="K51" s="2" t="s">
        <v>123</v>
      </c>
      <c r="L51" s="22">
        <v>3000</v>
      </c>
      <c r="M51" s="22">
        <v>57000</v>
      </c>
      <c r="N51" s="18">
        <v>60.96</v>
      </c>
      <c r="O51" s="26">
        <v>45591</v>
      </c>
      <c r="P51" s="2" t="s">
        <v>805</v>
      </c>
      <c r="Q51" s="2" t="s">
        <v>814</v>
      </c>
    </row>
    <row r="52" spans="2:17" x14ac:dyDescent="0.25">
      <c r="B52" s="2" t="s">
        <v>856</v>
      </c>
      <c r="C52" s="2" t="s">
        <v>120</v>
      </c>
      <c r="D52" s="2" t="s">
        <v>121</v>
      </c>
      <c r="E52" s="2" t="s">
        <v>122</v>
      </c>
      <c r="F52" s="2" t="s">
        <v>537</v>
      </c>
      <c r="G52" s="2" t="s">
        <v>420</v>
      </c>
      <c r="H52" s="2" t="s">
        <v>421</v>
      </c>
      <c r="I52" s="26">
        <v>45555</v>
      </c>
      <c r="J52" s="2">
        <v>19</v>
      </c>
      <c r="K52" s="2" t="s">
        <v>123</v>
      </c>
      <c r="L52" s="22">
        <v>3000</v>
      </c>
      <c r="M52" s="22">
        <v>57000</v>
      </c>
      <c r="N52" s="18">
        <v>60.96</v>
      </c>
      <c r="O52" s="26">
        <v>45600</v>
      </c>
      <c r="P52" s="2" t="s">
        <v>805</v>
      </c>
      <c r="Q52" s="2" t="s">
        <v>814</v>
      </c>
    </row>
    <row r="53" spans="2:17" x14ac:dyDescent="0.25">
      <c r="B53" s="2" t="s">
        <v>857</v>
      </c>
      <c r="C53" s="2" t="s">
        <v>120</v>
      </c>
      <c r="D53" s="2" t="s">
        <v>121</v>
      </c>
      <c r="E53" s="2" t="s">
        <v>122</v>
      </c>
      <c r="F53" s="2" t="s">
        <v>535</v>
      </c>
      <c r="G53" s="2" t="s">
        <v>416</v>
      </c>
      <c r="H53" s="2" t="s">
        <v>94</v>
      </c>
      <c r="I53" s="26">
        <v>45566</v>
      </c>
      <c r="J53" s="2">
        <v>36</v>
      </c>
      <c r="K53" s="2" t="s">
        <v>123</v>
      </c>
      <c r="L53" s="22">
        <v>2950</v>
      </c>
      <c r="M53" s="22">
        <v>106200</v>
      </c>
      <c r="N53" s="18">
        <v>113.58</v>
      </c>
      <c r="O53" s="26">
        <v>45611</v>
      </c>
      <c r="P53" s="2" t="s">
        <v>805</v>
      </c>
      <c r="Q53" s="2" t="s">
        <v>814</v>
      </c>
    </row>
    <row r="54" spans="2:17" x14ac:dyDescent="0.25">
      <c r="B54" s="2" t="s">
        <v>858</v>
      </c>
      <c r="C54" s="2" t="s">
        <v>120</v>
      </c>
      <c r="D54" s="2" t="s">
        <v>121</v>
      </c>
      <c r="E54" s="2" t="s">
        <v>122</v>
      </c>
      <c r="F54" s="2" t="s">
        <v>537</v>
      </c>
      <c r="G54" s="2" t="s">
        <v>420</v>
      </c>
      <c r="H54" s="2" t="s">
        <v>421</v>
      </c>
      <c r="I54" s="26">
        <v>45575</v>
      </c>
      <c r="J54" s="2">
        <v>36</v>
      </c>
      <c r="K54" s="2" t="s">
        <v>123</v>
      </c>
      <c r="L54" s="22">
        <v>3000</v>
      </c>
      <c r="M54" s="22">
        <v>108000</v>
      </c>
      <c r="N54" s="18">
        <v>115.51</v>
      </c>
      <c r="O54" s="26">
        <v>45620</v>
      </c>
      <c r="P54" s="2" t="s">
        <v>805</v>
      </c>
      <c r="Q54" s="2" t="s">
        <v>814</v>
      </c>
    </row>
    <row r="55" spans="2:17" x14ac:dyDescent="0.25">
      <c r="B55" s="2" t="s">
        <v>859</v>
      </c>
      <c r="C55" s="2" t="s">
        <v>120</v>
      </c>
      <c r="D55" s="2" t="s">
        <v>121</v>
      </c>
      <c r="E55" s="2" t="s">
        <v>122</v>
      </c>
      <c r="F55" s="2" t="s">
        <v>535</v>
      </c>
      <c r="G55" s="2" t="s">
        <v>416</v>
      </c>
      <c r="H55" s="2" t="s">
        <v>94</v>
      </c>
      <c r="I55" s="26">
        <v>45582</v>
      </c>
      <c r="J55" s="2">
        <v>39</v>
      </c>
      <c r="K55" s="2" t="s">
        <v>123</v>
      </c>
      <c r="L55" s="22">
        <v>2950</v>
      </c>
      <c r="M55" s="22">
        <v>115050</v>
      </c>
      <c r="N55" s="18">
        <v>123.05</v>
      </c>
      <c r="O55" s="26">
        <v>45627</v>
      </c>
      <c r="P55" s="2" t="s">
        <v>805</v>
      </c>
      <c r="Q55" s="2" t="s">
        <v>814</v>
      </c>
    </row>
    <row r="56" spans="2:17" x14ac:dyDescent="0.25">
      <c r="B56" s="2" t="s">
        <v>860</v>
      </c>
      <c r="C56" s="2" t="s">
        <v>120</v>
      </c>
      <c r="D56" s="2" t="s">
        <v>121</v>
      </c>
      <c r="E56" s="2" t="s">
        <v>122</v>
      </c>
      <c r="F56" s="2" t="s">
        <v>535</v>
      </c>
      <c r="G56" s="2" t="s">
        <v>416</v>
      </c>
      <c r="H56" s="2" t="s">
        <v>94</v>
      </c>
      <c r="I56" s="26">
        <v>45592</v>
      </c>
      <c r="J56" s="2">
        <v>43</v>
      </c>
      <c r="K56" s="2" t="s">
        <v>123</v>
      </c>
      <c r="L56" s="22">
        <v>2950</v>
      </c>
      <c r="M56" s="22">
        <v>126850</v>
      </c>
      <c r="N56" s="18">
        <v>135.66999999999999</v>
      </c>
      <c r="O56" s="26">
        <v>45637</v>
      </c>
      <c r="P56" s="2" t="s">
        <v>805</v>
      </c>
      <c r="Q56" s="2" t="s">
        <v>814</v>
      </c>
    </row>
    <row r="57" spans="2:17" x14ac:dyDescent="0.25">
      <c r="B57" s="2" t="s">
        <v>861</v>
      </c>
      <c r="C57" s="2" t="s">
        <v>120</v>
      </c>
      <c r="D57" s="2" t="s">
        <v>121</v>
      </c>
      <c r="E57" s="2" t="s">
        <v>122</v>
      </c>
      <c r="F57" s="2" t="s">
        <v>535</v>
      </c>
      <c r="G57" s="2" t="s">
        <v>416</v>
      </c>
      <c r="H57" s="2" t="s">
        <v>94</v>
      </c>
      <c r="I57" s="26">
        <v>45600</v>
      </c>
      <c r="J57" s="2">
        <v>41</v>
      </c>
      <c r="K57" s="2" t="s">
        <v>123</v>
      </c>
      <c r="L57" s="22">
        <v>2950</v>
      </c>
      <c r="M57" s="22">
        <v>120950</v>
      </c>
      <c r="N57" s="18">
        <v>129.36000000000001</v>
      </c>
      <c r="O57" s="26">
        <v>45645</v>
      </c>
      <c r="P57" s="2" t="s">
        <v>805</v>
      </c>
      <c r="Q57" s="2" t="s">
        <v>814</v>
      </c>
    </row>
    <row r="58" spans="2:17" x14ac:dyDescent="0.25">
      <c r="B58" s="2" t="s">
        <v>862</v>
      </c>
      <c r="C58" s="2" t="s">
        <v>120</v>
      </c>
      <c r="D58" s="2" t="s">
        <v>121</v>
      </c>
      <c r="E58" s="2" t="s">
        <v>122</v>
      </c>
      <c r="F58" s="2" t="s">
        <v>535</v>
      </c>
      <c r="G58" s="2" t="s">
        <v>416</v>
      </c>
      <c r="H58" s="2" t="s">
        <v>94</v>
      </c>
      <c r="I58" s="26">
        <v>45610</v>
      </c>
      <c r="J58" s="2">
        <v>38</v>
      </c>
      <c r="K58" s="2" t="s">
        <v>123</v>
      </c>
      <c r="L58" s="22">
        <v>2950</v>
      </c>
      <c r="M58" s="22">
        <v>112100</v>
      </c>
      <c r="N58" s="18">
        <v>119.89</v>
      </c>
      <c r="O58" s="26">
        <v>45655</v>
      </c>
      <c r="P58" s="2" t="s">
        <v>805</v>
      </c>
      <c r="Q58" s="2" t="s">
        <v>814</v>
      </c>
    </row>
    <row r="59" spans="2:17" x14ac:dyDescent="0.25">
      <c r="B59" s="2" t="s">
        <v>863</v>
      </c>
      <c r="C59" s="2" t="s">
        <v>120</v>
      </c>
      <c r="D59" s="2" t="s">
        <v>121</v>
      </c>
      <c r="E59" s="2" t="s">
        <v>122</v>
      </c>
      <c r="F59" s="2" t="s">
        <v>535</v>
      </c>
      <c r="G59" s="2" t="s">
        <v>416</v>
      </c>
      <c r="H59" s="2" t="s">
        <v>94</v>
      </c>
      <c r="I59" s="26">
        <v>45623</v>
      </c>
      <c r="J59" s="2">
        <v>46</v>
      </c>
      <c r="K59" s="2" t="s">
        <v>123</v>
      </c>
      <c r="L59" s="22">
        <v>2950</v>
      </c>
      <c r="M59" s="22">
        <v>135700</v>
      </c>
      <c r="N59" s="18">
        <v>145.13</v>
      </c>
      <c r="O59" s="26">
        <v>45668</v>
      </c>
      <c r="P59" s="2" t="s">
        <v>805</v>
      </c>
      <c r="Q59" s="2" t="s">
        <v>814</v>
      </c>
    </row>
    <row r="60" spans="2:17" x14ac:dyDescent="0.25">
      <c r="B60" s="2" t="s">
        <v>864</v>
      </c>
      <c r="C60" s="2" t="s">
        <v>120</v>
      </c>
      <c r="D60" s="2" t="s">
        <v>121</v>
      </c>
      <c r="E60" s="2" t="s">
        <v>122</v>
      </c>
      <c r="F60" s="2" t="s">
        <v>535</v>
      </c>
      <c r="G60" s="2" t="s">
        <v>416</v>
      </c>
      <c r="H60" s="2" t="s">
        <v>94</v>
      </c>
      <c r="I60" s="26">
        <v>45631</v>
      </c>
      <c r="J60" s="2">
        <v>59</v>
      </c>
      <c r="K60" s="2" t="s">
        <v>123</v>
      </c>
      <c r="L60" s="22">
        <v>2950</v>
      </c>
      <c r="M60" s="22">
        <v>174050</v>
      </c>
      <c r="N60" s="18">
        <v>186.15</v>
      </c>
      <c r="O60" s="26">
        <v>45676</v>
      </c>
      <c r="P60" s="2" t="s">
        <v>805</v>
      </c>
      <c r="Q60" s="2" t="s">
        <v>825</v>
      </c>
    </row>
    <row r="61" spans="2:17" x14ac:dyDescent="0.25">
      <c r="B61" s="2" t="s">
        <v>865</v>
      </c>
      <c r="C61" s="2" t="s">
        <v>120</v>
      </c>
      <c r="D61" s="2" t="s">
        <v>121</v>
      </c>
      <c r="E61" s="2" t="s">
        <v>122</v>
      </c>
      <c r="F61" s="2" t="s">
        <v>535</v>
      </c>
      <c r="G61" s="2" t="s">
        <v>416</v>
      </c>
      <c r="H61" s="2" t="s">
        <v>94</v>
      </c>
      <c r="I61" s="26">
        <v>45639</v>
      </c>
      <c r="J61" s="2">
        <v>53</v>
      </c>
      <c r="K61" s="2" t="s">
        <v>123</v>
      </c>
      <c r="L61" s="22">
        <v>2950</v>
      </c>
      <c r="M61" s="22">
        <v>156350</v>
      </c>
      <c r="N61" s="18">
        <v>167.22</v>
      </c>
      <c r="O61" s="26">
        <v>45684</v>
      </c>
      <c r="P61" s="2" t="s">
        <v>805</v>
      </c>
      <c r="Q61" s="2" t="s">
        <v>825</v>
      </c>
    </row>
    <row r="62" spans="2:17" x14ac:dyDescent="0.25">
      <c r="B62" s="2" t="s">
        <v>866</v>
      </c>
      <c r="C62" s="2" t="s">
        <v>120</v>
      </c>
      <c r="D62" s="2" t="s">
        <v>121</v>
      </c>
      <c r="E62" s="2" t="s">
        <v>122</v>
      </c>
      <c r="F62" s="2" t="s">
        <v>535</v>
      </c>
      <c r="G62" s="2" t="s">
        <v>416</v>
      </c>
      <c r="H62" s="2" t="s">
        <v>94</v>
      </c>
      <c r="I62" s="26">
        <v>45648</v>
      </c>
      <c r="J62" s="2">
        <v>52</v>
      </c>
      <c r="K62" s="2" t="s">
        <v>123</v>
      </c>
      <c r="L62" s="22">
        <v>2950</v>
      </c>
      <c r="M62" s="22">
        <v>153400</v>
      </c>
      <c r="N62" s="18">
        <v>164.06</v>
      </c>
      <c r="O62" s="26">
        <v>45693</v>
      </c>
      <c r="P62" s="2" t="s">
        <v>805</v>
      </c>
      <c r="Q62" s="2" t="s">
        <v>825</v>
      </c>
    </row>
    <row r="63" spans="2:17" x14ac:dyDescent="0.25">
      <c r="B63" s="2" t="s">
        <v>867</v>
      </c>
      <c r="C63" s="2" t="s">
        <v>120</v>
      </c>
      <c r="D63" s="2" t="s">
        <v>121</v>
      </c>
      <c r="E63" s="2" t="s">
        <v>122</v>
      </c>
      <c r="F63" s="2" t="s">
        <v>535</v>
      </c>
      <c r="G63" s="2" t="s">
        <v>416</v>
      </c>
      <c r="H63" s="2" t="s">
        <v>94</v>
      </c>
      <c r="I63" s="26">
        <v>45658</v>
      </c>
      <c r="J63" s="2">
        <v>41</v>
      </c>
      <c r="K63" s="2" t="s">
        <v>123</v>
      </c>
      <c r="L63" s="22">
        <v>2950</v>
      </c>
      <c r="M63" s="22">
        <v>120950</v>
      </c>
      <c r="N63" s="18">
        <v>129.36000000000001</v>
      </c>
      <c r="O63" s="26">
        <v>45703</v>
      </c>
      <c r="P63" s="2" t="s">
        <v>805</v>
      </c>
      <c r="Q63" s="2" t="s">
        <v>825</v>
      </c>
    </row>
    <row r="64" spans="2:17" x14ac:dyDescent="0.25">
      <c r="B64" s="2" t="s">
        <v>868</v>
      </c>
      <c r="C64" s="2" t="s">
        <v>120</v>
      </c>
      <c r="D64" s="2" t="s">
        <v>121</v>
      </c>
      <c r="E64" s="2" t="s">
        <v>122</v>
      </c>
      <c r="F64" s="2" t="s">
        <v>535</v>
      </c>
      <c r="G64" s="2" t="s">
        <v>416</v>
      </c>
      <c r="H64" s="2" t="s">
        <v>94</v>
      </c>
      <c r="I64" s="26">
        <v>45668</v>
      </c>
      <c r="J64" s="2">
        <v>43</v>
      </c>
      <c r="K64" s="2" t="s">
        <v>123</v>
      </c>
      <c r="L64" s="22">
        <v>2950</v>
      </c>
      <c r="M64" s="22">
        <v>126850</v>
      </c>
      <c r="N64" s="18">
        <v>135.66999999999999</v>
      </c>
      <c r="O64" s="26">
        <v>45713</v>
      </c>
      <c r="P64" s="2" t="s">
        <v>805</v>
      </c>
      <c r="Q64" s="2" t="s">
        <v>825</v>
      </c>
    </row>
    <row r="65" spans="2:17" x14ac:dyDescent="0.25">
      <c r="B65" s="2" t="s">
        <v>869</v>
      </c>
      <c r="C65" s="2" t="s">
        <v>120</v>
      </c>
      <c r="D65" s="2" t="s">
        <v>121</v>
      </c>
      <c r="E65" s="2" t="s">
        <v>122</v>
      </c>
      <c r="F65" s="2" t="s">
        <v>535</v>
      </c>
      <c r="G65" s="2" t="s">
        <v>416</v>
      </c>
      <c r="H65" s="2" t="s">
        <v>94</v>
      </c>
      <c r="I65" s="26">
        <v>45679</v>
      </c>
      <c r="J65" s="2">
        <v>44</v>
      </c>
      <c r="K65" s="2" t="s">
        <v>123</v>
      </c>
      <c r="L65" s="22">
        <v>2950</v>
      </c>
      <c r="M65" s="22">
        <v>129800</v>
      </c>
      <c r="N65" s="18">
        <v>138.82</v>
      </c>
      <c r="O65" s="26">
        <v>45724</v>
      </c>
      <c r="P65" s="2" t="s">
        <v>805</v>
      </c>
      <c r="Q65" s="2" t="s">
        <v>825</v>
      </c>
    </row>
    <row r="66" spans="2:17" x14ac:dyDescent="0.25">
      <c r="B66" s="2" t="s">
        <v>870</v>
      </c>
      <c r="C66" s="2" t="s">
        <v>120</v>
      </c>
      <c r="D66" s="2" t="s">
        <v>121</v>
      </c>
      <c r="E66" s="2" t="s">
        <v>122</v>
      </c>
      <c r="F66" s="2" t="s">
        <v>535</v>
      </c>
      <c r="G66" s="2" t="s">
        <v>416</v>
      </c>
      <c r="H66" s="2" t="s">
        <v>94</v>
      </c>
      <c r="I66" s="26">
        <v>45685</v>
      </c>
      <c r="J66" s="2">
        <v>39</v>
      </c>
      <c r="K66" s="2" t="s">
        <v>123</v>
      </c>
      <c r="L66" s="22">
        <v>2950</v>
      </c>
      <c r="M66" s="22">
        <v>115050</v>
      </c>
      <c r="N66" s="18">
        <v>123.05</v>
      </c>
      <c r="O66" s="26">
        <v>45730</v>
      </c>
      <c r="P66" s="2" t="s">
        <v>805</v>
      </c>
      <c r="Q66" s="2" t="s">
        <v>825</v>
      </c>
    </row>
    <row r="67" spans="2:17" x14ac:dyDescent="0.25">
      <c r="B67" s="2" t="s">
        <v>871</v>
      </c>
      <c r="C67" s="2" t="s">
        <v>120</v>
      </c>
      <c r="D67" s="2" t="s">
        <v>121</v>
      </c>
      <c r="E67" s="2" t="s">
        <v>122</v>
      </c>
      <c r="F67" s="2" t="s">
        <v>535</v>
      </c>
      <c r="G67" s="2" t="s">
        <v>416</v>
      </c>
      <c r="H67" s="2" t="s">
        <v>94</v>
      </c>
      <c r="I67" s="26">
        <v>45697</v>
      </c>
      <c r="J67" s="2">
        <v>49</v>
      </c>
      <c r="K67" s="2" t="s">
        <v>123</v>
      </c>
      <c r="L67" s="22">
        <v>2950</v>
      </c>
      <c r="M67" s="22">
        <v>144550</v>
      </c>
      <c r="N67" s="18">
        <v>154.6</v>
      </c>
      <c r="O67" s="26">
        <v>45742</v>
      </c>
      <c r="P67" s="2" t="s">
        <v>805</v>
      </c>
      <c r="Q67" s="2" t="s">
        <v>825</v>
      </c>
    </row>
    <row r="68" spans="2:17" x14ac:dyDescent="0.25">
      <c r="B68" s="2" t="s">
        <v>872</v>
      </c>
      <c r="C68" s="2" t="s">
        <v>120</v>
      </c>
      <c r="D68" s="2" t="s">
        <v>121</v>
      </c>
      <c r="E68" s="2" t="s">
        <v>122</v>
      </c>
      <c r="F68" s="2" t="s">
        <v>535</v>
      </c>
      <c r="G68" s="2" t="s">
        <v>416</v>
      </c>
      <c r="H68" s="2" t="s">
        <v>94</v>
      </c>
      <c r="I68" s="26">
        <v>45708</v>
      </c>
      <c r="J68" s="2">
        <v>37</v>
      </c>
      <c r="K68" s="2" t="s">
        <v>123</v>
      </c>
      <c r="L68" s="22">
        <v>2950</v>
      </c>
      <c r="M68" s="22">
        <v>109150</v>
      </c>
      <c r="N68" s="18">
        <v>116.74</v>
      </c>
      <c r="O68" s="26">
        <v>45753</v>
      </c>
      <c r="P68" s="2" t="s">
        <v>805</v>
      </c>
      <c r="Q68" s="2" t="s">
        <v>825</v>
      </c>
    </row>
    <row r="69" spans="2:17" x14ac:dyDescent="0.25">
      <c r="B69" s="2" t="s">
        <v>873</v>
      </c>
      <c r="C69" s="2" t="s">
        <v>120</v>
      </c>
      <c r="D69" s="2" t="s">
        <v>121</v>
      </c>
      <c r="E69" s="2" t="s">
        <v>122</v>
      </c>
      <c r="F69" s="2" t="s">
        <v>535</v>
      </c>
      <c r="G69" s="2" t="s">
        <v>416</v>
      </c>
      <c r="H69" s="2" t="s">
        <v>94</v>
      </c>
      <c r="I69" s="26">
        <v>45717</v>
      </c>
      <c r="J69" s="2">
        <v>37</v>
      </c>
      <c r="K69" s="2" t="s">
        <v>123</v>
      </c>
      <c r="L69" s="22">
        <v>2950</v>
      </c>
      <c r="M69" s="22">
        <v>109150</v>
      </c>
      <c r="N69" s="18">
        <v>116.74</v>
      </c>
      <c r="O69" s="26">
        <v>45762</v>
      </c>
      <c r="P69" s="2" t="s">
        <v>805</v>
      </c>
      <c r="Q69" s="2" t="s">
        <v>836</v>
      </c>
    </row>
    <row r="70" spans="2:17" x14ac:dyDescent="0.25">
      <c r="B70" s="2" t="s">
        <v>874</v>
      </c>
      <c r="C70" s="2" t="s">
        <v>120</v>
      </c>
      <c r="D70" s="2" t="s">
        <v>121</v>
      </c>
      <c r="E70" s="2" t="s">
        <v>122</v>
      </c>
      <c r="F70" s="2" t="s">
        <v>535</v>
      </c>
      <c r="G70" s="2" t="s">
        <v>416</v>
      </c>
      <c r="H70" s="2" t="s">
        <v>94</v>
      </c>
      <c r="I70" s="26">
        <v>45726</v>
      </c>
      <c r="J70" s="2">
        <v>41</v>
      </c>
      <c r="K70" s="2" t="s">
        <v>123</v>
      </c>
      <c r="L70" s="22">
        <v>2950</v>
      </c>
      <c r="M70" s="22">
        <v>120950</v>
      </c>
      <c r="N70" s="18">
        <v>129.36000000000001</v>
      </c>
      <c r="O70" s="26">
        <v>45771</v>
      </c>
      <c r="P70" s="2" t="s">
        <v>805</v>
      </c>
      <c r="Q70" s="2" t="s">
        <v>836</v>
      </c>
    </row>
    <row r="71" spans="2:17" x14ac:dyDescent="0.25">
      <c r="B71" s="2" t="s">
        <v>875</v>
      </c>
      <c r="C71" s="2" t="s">
        <v>120</v>
      </c>
      <c r="D71" s="2" t="s">
        <v>121</v>
      </c>
      <c r="E71" s="2" t="s">
        <v>122</v>
      </c>
      <c r="F71" s="2" t="s">
        <v>535</v>
      </c>
      <c r="G71" s="2" t="s">
        <v>416</v>
      </c>
      <c r="H71" s="2" t="s">
        <v>94</v>
      </c>
      <c r="I71" s="26">
        <v>45735</v>
      </c>
      <c r="J71" s="2">
        <v>50</v>
      </c>
      <c r="K71" s="2" t="s">
        <v>123</v>
      </c>
      <c r="L71" s="22">
        <v>2950</v>
      </c>
      <c r="M71" s="22">
        <v>147500</v>
      </c>
      <c r="N71" s="18">
        <v>157.75</v>
      </c>
      <c r="O71" s="26">
        <v>45780</v>
      </c>
      <c r="P71" s="2" t="s">
        <v>805</v>
      </c>
      <c r="Q71" s="2" t="s">
        <v>836</v>
      </c>
    </row>
    <row r="72" spans="2:17" x14ac:dyDescent="0.25">
      <c r="B72" s="2" t="s">
        <v>876</v>
      </c>
      <c r="C72" s="2" t="s">
        <v>120</v>
      </c>
      <c r="D72" s="2" t="s">
        <v>121</v>
      </c>
      <c r="E72" s="2" t="s">
        <v>122</v>
      </c>
      <c r="F72" s="2" t="s">
        <v>535</v>
      </c>
      <c r="G72" s="2" t="s">
        <v>416</v>
      </c>
      <c r="H72" s="2" t="s">
        <v>94</v>
      </c>
      <c r="I72" s="26">
        <v>45742</v>
      </c>
      <c r="J72" s="2">
        <v>47</v>
      </c>
      <c r="K72" s="2" t="s">
        <v>123</v>
      </c>
      <c r="L72" s="22">
        <v>2950</v>
      </c>
      <c r="M72" s="22">
        <v>138650</v>
      </c>
      <c r="N72" s="18">
        <v>148.29</v>
      </c>
      <c r="O72" s="26">
        <v>45787</v>
      </c>
      <c r="P72" s="2" t="s">
        <v>805</v>
      </c>
      <c r="Q72" s="2" t="s">
        <v>836</v>
      </c>
    </row>
    <row r="73" spans="2:17" x14ac:dyDescent="0.25">
      <c r="B73" s="2" t="s">
        <v>877</v>
      </c>
      <c r="C73" s="2" t="s">
        <v>120</v>
      </c>
      <c r="D73" s="2" t="s">
        <v>121</v>
      </c>
      <c r="E73" s="2" t="s">
        <v>122</v>
      </c>
      <c r="F73" s="2" t="s">
        <v>535</v>
      </c>
      <c r="G73" s="2" t="s">
        <v>416</v>
      </c>
      <c r="H73" s="2" t="s">
        <v>94</v>
      </c>
      <c r="I73" s="26">
        <v>45753</v>
      </c>
      <c r="J73" s="2">
        <v>15</v>
      </c>
      <c r="K73" s="2" t="s">
        <v>123</v>
      </c>
      <c r="L73" s="22">
        <v>2950</v>
      </c>
      <c r="M73" s="22">
        <v>44250</v>
      </c>
      <c r="N73" s="18">
        <v>47.33</v>
      </c>
      <c r="O73" s="26">
        <v>45798</v>
      </c>
      <c r="P73" s="2" t="s">
        <v>805</v>
      </c>
      <c r="Q73" s="2" t="s">
        <v>836</v>
      </c>
    </row>
    <row r="74" spans="2:17" x14ac:dyDescent="0.25">
      <c r="B74" s="2" t="s">
        <v>878</v>
      </c>
      <c r="C74" s="2" t="s">
        <v>120</v>
      </c>
      <c r="D74" s="2" t="s">
        <v>121</v>
      </c>
      <c r="E74" s="2" t="s">
        <v>122</v>
      </c>
      <c r="F74" s="2" t="s">
        <v>535</v>
      </c>
      <c r="G74" s="2" t="s">
        <v>416</v>
      </c>
      <c r="H74" s="2" t="s">
        <v>94</v>
      </c>
      <c r="I74" s="26">
        <v>45761</v>
      </c>
      <c r="J74" s="2">
        <v>16</v>
      </c>
      <c r="K74" s="2" t="s">
        <v>123</v>
      </c>
      <c r="L74" s="22">
        <v>2950</v>
      </c>
      <c r="M74" s="22">
        <v>47200</v>
      </c>
      <c r="N74" s="18">
        <v>50.48</v>
      </c>
      <c r="O74" s="26">
        <v>45806</v>
      </c>
      <c r="P74" s="2" t="s">
        <v>805</v>
      </c>
      <c r="Q74" s="2" t="s">
        <v>836</v>
      </c>
    </row>
    <row r="75" spans="2:17" x14ac:dyDescent="0.25">
      <c r="B75" s="2" t="s">
        <v>879</v>
      </c>
      <c r="C75" s="2" t="s">
        <v>120</v>
      </c>
      <c r="D75" s="2" t="s">
        <v>121</v>
      </c>
      <c r="E75" s="2" t="s">
        <v>122</v>
      </c>
      <c r="F75" s="2" t="s">
        <v>535</v>
      </c>
      <c r="G75" s="2" t="s">
        <v>416</v>
      </c>
      <c r="H75" s="2" t="s">
        <v>94</v>
      </c>
      <c r="I75" s="26">
        <v>45771</v>
      </c>
      <c r="J75" s="2">
        <v>16</v>
      </c>
      <c r="K75" s="2" t="s">
        <v>123</v>
      </c>
      <c r="L75" s="22">
        <v>2950</v>
      </c>
      <c r="M75" s="22">
        <v>47200</v>
      </c>
      <c r="N75" s="18">
        <v>50.48</v>
      </c>
      <c r="O75" s="26">
        <v>45816</v>
      </c>
      <c r="P75" s="2" t="s">
        <v>805</v>
      </c>
      <c r="Q75" s="2" t="s">
        <v>836</v>
      </c>
    </row>
    <row r="76" spans="2:17" x14ac:dyDescent="0.25">
      <c r="B76" s="2" t="s">
        <v>880</v>
      </c>
      <c r="C76" s="2" t="s">
        <v>120</v>
      </c>
      <c r="D76" s="2" t="s">
        <v>121</v>
      </c>
      <c r="E76" s="2" t="s">
        <v>122</v>
      </c>
      <c r="F76" s="2" t="s">
        <v>535</v>
      </c>
      <c r="G76" s="2" t="s">
        <v>416</v>
      </c>
      <c r="H76" s="2" t="s">
        <v>94</v>
      </c>
      <c r="I76" s="26">
        <v>45779</v>
      </c>
      <c r="J76" s="2">
        <v>18</v>
      </c>
      <c r="K76" s="2" t="s">
        <v>123</v>
      </c>
      <c r="L76" s="22">
        <v>2950</v>
      </c>
      <c r="M76" s="22">
        <v>53100</v>
      </c>
      <c r="N76" s="18">
        <v>56.79</v>
      </c>
      <c r="O76" s="26">
        <v>45824</v>
      </c>
      <c r="P76" s="2" t="s">
        <v>805</v>
      </c>
      <c r="Q76" s="2" t="s">
        <v>836</v>
      </c>
    </row>
    <row r="77" spans="2:17" x14ac:dyDescent="0.25">
      <c r="B77" s="2" t="s">
        <v>881</v>
      </c>
      <c r="C77" s="2" t="s">
        <v>120</v>
      </c>
      <c r="D77" s="2" t="s">
        <v>121</v>
      </c>
      <c r="E77" s="2" t="s">
        <v>122</v>
      </c>
      <c r="F77" s="2" t="s">
        <v>535</v>
      </c>
      <c r="G77" s="2" t="s">
        <v>416</v>
      </c>
      <c r="H77" s="2" t="s">
        <v>94</v>
      </c>
      <c r="I77" s="26">
        <v>45790</v>
      </c>
      <c r="J77" s="2">
        <v>18</v>
      </c>
      <c r="K77" s="2" t="s">
        <v>123</v>
      </c>
      <c r="L77" s="22">
        <v>2950</v>
      </c>
      <c r="M77" s="22">
        <v>53100</v>
      </c>
      <c r="N77" s="18">
        <v>56.79</v>
      </c>
      <c r="O77" s="26">
        <v>45835</v>
      </c>
      <c r="P77" s="2" t="s">
        <v>805</v>
      </c>
      <c r="Q77" s="2" t="s">
        <v>836</v>
      </c>
    </row>
    <row r="78" spans="2:17" x14ac:dyDescent="0.25">
      <c r="B78" s="2" t="s">
        <v>882</v>
      </c>
      <c r="C78" s="2" t="s">
        <v>120</v>
      </c>
      <c r="D78" s="2" t="s">
        <v>121</v>
      </c>
      <c r="E78" s="2" t="s">
        <v>122</v>
      </c>
      <c r="F78" s="2" t="s">
        <v>535</v>
      </c>
      <c r="G78" s="2" t="s">
        <v>416</v>
      </c>
      <c r="H78" s="2" t="s">
        <v>94</v>
      </c>
      <c r="I78" s="26">
        <v>45798</v>
      </c>
      <c r="J78" s="2">
        <v>18</v>
      </c>
      <c r="K78" s="2" t="s">
        <v>123</v>
      </c>
      <c r="L78" s="22">
        <v>2950</v>
      </c>
      <c r="M78" s="22">
        <v>53100</v>
      </c>
      <c r="N78" s="18">
        <v>56.79</v>
      </c>
      <c r="O78" s="26">
        <v>45843</v>
      </c>
      <c r="P78" s="2" t="s">
        <v>805</v>
      </c>
      <c r="Q78" s="2" t="s">
        <v>836</v>
      </c>
    </row>
    <row r="79" spans="2:17" x14ac:dyDescent="0.25">
      <c r="B79" s="2" t="s">
        <v>883</v>
      </c>
      <c r="C79" s="2" t="s">
        <v>120</v>
      </c>
      <c r="D79" s="2" t="s">
        <v>121</v>
      </c>
      <c r="E79" s="2" t="s">
        <v>122</v>
      </c>
      <c r="F79" s="2" t="s">
        <v>535</v>
      </c>
      <c r="G79" s="2" t="s">
        <v>416</v>
      </c>
      <c r="H79" s="2" t="s">
        <v>94</v>
      </c>
      <c r="I79" s="26">
        <v>45808</v>
      </c>
      <c r="J79" s="2">
        <v>15</v>
      </c>
      <c r="K79" s="2" t="s">
        <v>123</v>
      </c>
      <c r="L79" s="22">
        <v>2950</v>
      </c>
      <c r="M79" s="22">
        <v>44250</v>
      </c>
      <c r="N79" s="18">
        <v>47.33</v>
      </c>
      <c r="O79" s="26">
        <v>45853</v>
      </c>
      <c r="P79" s="2" t="s">
        <v>805</v>
      </c>
      <c r="Q79" s="2" t="s">
        <v>836</v>
      </c>
    </row>
    <row r="80" spans="2:17" x14ac:dyDescent="0.25">
      <c r="B80" s="2" t="s">
        <v>884</v>
      </c>
      <c r="C80" s="2" t="s">
        <v>120</v>
      </c>
      <c r="D80" s="2" t="s">
        <v>121</v>
      </c>
      <c r="E80" s="2" t="s">
        <v>122</v>
      </c>
      <c r="F80" s="2" t="s">
        <v>535</v>
      </c>
      <c r="G80" s="2" t="s">
        <v>416</v>
      </c>
      <c r="H80" s="2" t="s">
        <v>94</v>
      </c>
      <c r="I80" s="26">
        <v>45820</v>
      </c>
      <c r="J80" s="2">
        <v>15</v>
      </c>
      <c r="K80" s="2" t="s">
        <v>123</v>
      </c>
      <c r="L80" s="22">
        <v>2950</v>
      </c>
      <c r="M80" s="22">
        <v>44250</v>
      </c>
      <c r="N80" s="18">
        <v>47.33</v>
      </c>
      <c r="O80" s="26">
        <v>45865</v>
      </c>
      <c r="P80" s="2" t="s">
        <v>805</v>
      </c>
      <c r="Q80" s="2" t="s">
        <v>806</v>
      </c>
    </row>
    <row r="81" spans="2:17" x14ac:dyDescent="0.25">
      <c r="B81" s="2" t="s">
        <v>885</v>
      </c>
      <c r="C81" s="2" t="s">
        <v>120</v>
      </c>
      <c r="D81" s="2" t="s">
        <v>121</v>
      </c>
      <c r="E81" s="2" t="s">
        <v>122</v>
      </c>
      <c r="F81" s="2" t="s">
        <v>535</v>
      </c>
      <c r="G81" s="2" t="s">
        <v>416</v>
      </c>
      <c r="H81" s="2" t="s">
        <v>94</v>
      </c>
      <c r="I81" s="26">
        <v>45829</v>
      </c>
      <c r="J81" s="2">
        <v>15</v>
      </c>
      <c r="K81" s="2" t="s">
        <v>123</v>
      </c>
      <c r="L81" s="22">
        <v>2950</v>
      </c>
      <c r="M81" s="22">
        <v>44250</v>
      </c>
      <c r="N81" s="18">
        <v>47.33</v>
      </c>
      <c r="O81" s="26">
        <v>45874</v>
      </c>
      <c r="P81" s="2" t="s">
        <v>805</v>
      </c>
      <c r="Q81" s="2" t="s">
        <v>806</v>
      </c>
    </row>
    <row r="82" spans="2:17" x14ac:dyDescent="0.25">
      <c r="B82" s="2" t="s">
        <v>886</v>
      </c>
      <c r="C82" s="2" t="s">
        <v>120</v>
      </c>
      <c r="D82" s="2" t="s">
        <v>121</v>
      </c>
      <c r="E82" s="2" t="s">
        <v>122</v>
      </c>
      <c r="F82" s="2" t="s">
        <v>535</v>
      </c>
      <c r="G82" s="2" t="s">
        <v>416</v>
      </c>
      <c r="H82" s="2" t="s">
        <v>94</v>
      </c>
      <c r="I82" s="26">
        <v>45837</v>
      </c>
      <c r="J82" s="2">
        <v>16</v>
      </c>
      <c r="K82" s="2" t="s">
        <v>123</v>
      </c>
      <c r="L82" s="22">
        <v>2950</v>
      </c>
      <c r="M82" s="22">
        <v>47200</v>
      </c>
      <c r="N82" s="18">
        <v>50.48</v>
      </c>
      <c r="O82" s="26">
        <v>45882</v>
      </c>
      <c r="P82" s="2" t="s">
        <v>805</v>
      </c>
      <c r="Q82" s="2" t="s">
        <v>806</v>
      </c>
    </row>
    <row r="83" spans="2:17" x14ac:dyDescent="0.25">
      <c r="B83" s="2" t="s">
        <v>887</v>
      </c>
      <c r="C83" s="2" t="s">
        <v>127</v>
      </c>
      <c r="D83" s="2" t="s">
        <v>128</v>
      </c>
      <c r="E83" s="2" t="s">
        <v>122</v>
      </c>
      <c r="F83" s="2" t="s">
        <v>535</v>
      </c>
      <c r="G83" s="2" t="s">
        <v>416</v>
      </c>
      <c r="H83" s="2" t="s">
        <v>94</v>
      </c>
      <c r="I83" s="26">
        <v>45117</v>
      </c>
      <c r="J83" s="2">
        <v>15</v>
      </c>
      <c r="K83" s="2" t="s">
        <v>123</v>
      </c>
      <c r="L83" s="22">
        <v>2500</v>
      </c>
      <c r="M83" s="22">
        <v>37500</v>
      </c>
      <c r="N83" s="18">
        <v>40.11</v>
      </c>
      <c r="O83" s="26">
        <v>45162</v>
      </c>
      <c r="P83" s="2" t="s">
        <v>805</v>
      </c>
      <c r="Q83" s="2" t="s">
        <v>806</v>
      </c>
    </row>
    <row r="84" spans="2:17" x14ac:dyDescent="0.25">
      <c r="B84" s="2" t="s">
        <v>888</v>
      </c>
      <c r="C84" s="2" t="s">
        <v>127</v>
      </c>
      <c r="D84" s="2" t="s">
        <v>128</v>
      </c>
      <c r="E84" s="2" t="s">
        <v>122</v>
      </c>
      <c r="F84" s="2" t="s">
        <v>537</v>
      </c>
      <c r="G84" s="2" t="s">
        <v>420</v>
      </c>
      <c r="H84" s="2" t="s">
        <v>421</v>
      </c>
      <c r="I84" s="26">
        <v>45124</v>
      </c>
      <c r="J84" s="2">
        <v>15</v>
      </c>
      <c r="K84" s="2" t="s">
        <v>123</v>
      </c>
      <c r="L84" s="22">
        <v>2700</v>
      </c>
      <c r="M84" s="22">
        <v>40500</v>
      </c>
      <c r="N84" s="18">
        <v>43.32</v>
      </c>
      <c r="O84" s="26">
        <v>45169</v>
      </c>
      <c r="P84" s="2" t="s">
        <v>805</v>
      </c>
      <c r="Q84" s="2" t="s">
        <v>806</v>
      </c>
    </row>
    <row r="85" spans="2:17" x14ac:dyDescent="0.25">
      <c r="B85" s="2" t="s">
        <v>889</v>
      </c>
      <c r="C85" s="2" t="s">
        <v>127</v>
      </c>
      <c r="D85" s="2" t="s">
        <v>128</v>
      </c>
      <c r="E85" s="2" t="s">
        <v>122</v>
      </c>
      <c r="F85" s="2" t="s">
        <v>535</v>
      </c>
      <c r="G85" s="2" t="s">
        <v>416</v>
      </c>
      <c r="H85" s="2" t="s">
        <v>94</v>
      </c>
      <c r="I85" s="26">
        <v>45134</v>
      </c>
      <c r="J85" s="2">
        <v>15</v>
      </c>
      <c r="K85" s="2" t="s">
        <v>123</v>
      </c>
      <c r="L85" s="22">
        <v>2500</v>
      </c>
      <c r="M85" s="22">
        <v>37500</v>
      </c>
      <c r="N85" s="18">
        <v>40.11</v>
      </c>
      <c r="O85" s="26">
        <v>45179</v>
      </c>
      <c r="P85" s="2" t="s">
        <v>805</v>
      </c>
      <c r="Q85" s="2" t="s">
        <v>806</v>
      </c>
    </row>
    <row r="86" spans="2:17" x14ac:dyDescent="0.25">
      <c r="B86" s="2" t="s">
        <v>890</v>
      </c>
      <c r="C86" s="2" t="s">
        <v>127</v>
      </c>
      <c r="D86" s="2" t="s">
        <v>128</v>
      </c>
      <c r="E86" s="2" t="s">
        <v>122</v>
      </c>
      <c r="F86" s="2" t="s">
        <v>535</v>
      </c>
      <c r="G86" s="2" t="s">
        <v>416</v>
      </c>
      <c r="H86" s="2" t="s">
        <v>94</v>
      </c>
      <c r="I86" s="26">
        <v>45141</v>
      </c>
      <c r="J86" s="2">
        <v>15</v>
      </c>
      <c r="K86" s="2" t="s">
        <v>123</v>
      </c>
      <c r="L86" s="22">
        <v>2500</v>
      </c>
      <c r="M86" s="22">
        <v>37500</v>
      </c>
      <c r="N86" s="18">
        <v>40.11</v>
      </c>
      <c r="O86" s="26">
        <v>45186</v>
      </c>
      <c r="P86" s="2" t="s">
        <v>805</v>
      </c>
      <c r="Q86" s="2" t="s">
        <v>806</v>
      </c>
    </row>
    <row r="87" spans="2:17" x14ac:dyDescent="0.25">
      <c r="B87" s="2" t="s">
        <v>891</v>
      </c>
      <c r="C87" s="2" t="s">
        <v>127</v>
      </c>
      <c r="D87" s="2" t="s">
        <v>128</v>
      </c>
      <c r="E87" s="2" t="s">
        <v>122</v>
      </c>
      <c r="F87" s="2" t="s">
        <v>535</v>
      </c>
      <c r="G87" s="2" t="s">
        <v>416</v>
      </c>
      <c r="H87" s="2" t="s">
        <v>94</v>
      </c>
      <c r="I87" s="26">
        <v>45150</v>
      </c>
      <c r="J87" s="2">
        <v>17</v>
      </c>
      <c r="K87" s="2" t="s">
        <v>123</v>
      </c>
      <c r="L87" s="22">
        <v>2500</v>
      </c>
      <c r="M87" s="22">
        <v>42500</v>
      </c>
      <c r="N87" s="18">
        <v>45.45</v>
      </c>
      <c r="O87" s="26">
        <v>45195</v>
      </c>
      <c r="P87" s="2" t="s">
        <v>805</v>
      </c>
      <c r="Q87" s="2" t="s">
        <v>806</v>
      </c>
    </row>
    <row r="88" spans="2:17" x14ac:dyDescent="0.25">
      <c r="B88" s="2" t="s">
        <v>892</v>
      </c>
      <c r="C88" s="2" t="s">
        <v>127</v>
      </c>
      <c r="D88" s="2" t="s">
        <v>128</v>
      </c>
      <c r="E88" s="2" t="s">
        <v>122</v>
      </c>
      <c r="F88" s="2" t="s">
        <v>535</v>
      </c>
      <c r="G88" s="2" t="s">
        <v>416</v>
      </c>
      <c r="H88" s="2" t="s">
        <v>94</v>
      </c>
      <c r="I88" s="26">
        <v>45163</v>
      </c>
      <c r="J88" s="2">
        <v>17</v>
      </c>
      <c r="K88" s="2" t="s">
        <v>123</v>
      </c>
      <c r="L88" s="22">
        <v>2500</v>
      </c>
      <c r="M88" s="22">
        <v>42500</v>
      </c>
      <c r="N88" s="18">
        <v>45.45</v>
      </c>
      <c r="O88" s="26">
        <v>45208</v>
      </c>
      <c r="P88" s="2" t="s">
        <v>805</v>
      </c>
      <c r="Q88" s="2" t="s">
        <v>806</v>
      </c>
    </row>
    <row r="89" spans="2:17" x14ac:dyDescent="0.25">
      <c r="B89" s="2" t="s">
        <v>893</v>
      </c>
      <c r="C89" s="2" t="s">
        <v>127</v>
      </c>
      <c r="D89" s="2" t="s">
        <v>128</v>
      </c>
      <c r="E89" s="2" t="s">
        <v>122</v>
      </c>
      <c r="F89" s="2" t="s">
        <v>535</v>
      </c>
      <c r="G89" s="2" t="s">
        <v>416</v>
      </c>
      <c r="H89" s="2" t="s">
        <v>94</v>
      </c>
      <c r="I89" s="26">
        <v>45173</v>
      </c>
      <c r="J89" s="2">
        <v>19</v>
      </c>
      <c r="K89" s="2" t="s">
        <v>123</v>
      </c>
      <c r="L89" s="22">
        <v>2500</v>
      </c>
      <c r="M89" s="22">
        <v>47500</v>
      </c>
      <c r="N89" s="18">
        <v>50.8</v>
      </c>
      <c r="O89" s="26">
        <v>45218</v>
      </c>
      <c r="P89" s="2" t="s">
        <v>805</v>
      </c>
      <c r="Q89" s="2" t="s">
        <v>814</v>
      </c>
    </row>
    <row r="90" spans="2:17" x14ac:dyDescent="0.25">
      <c r="B90" s="2" t="s">
        <v>894</v>
      </c>
      <c r="C90" s="2" t="s">
        <v>127</v>
      </c>
      <c r="D90" s="2" t="s">
        <v>128</v>
      </c>
      <c r="E90" s="2" t="s">
        <v>122</v>
      </c>
      <c r="F90" s="2" t="s">
        <v>535</v>
      </c>
      <c r="G90" s="2" t="s">
        <v>416</v>
      </c>
      <c r="H90" s="2" t="s">
        <v>94</v>
      </c>
      <c r="I90" s="26">
        <v>45186</v>
      </c>
      <c r="J90" s="2">
        <v>19</v>
      </c>
      <c r="K90" s="2" t="s">
        <v>123</v>
      </c>
      <c r="L90" s="22">
        <v>2500</v>
      </c>
      <c r="M90" s="22">
        <v>47500</v>
      </c>
      <c r="N90" s="18">
        <v>50.8</v>
      </c>
      <c r="O90" s="26">
        <v>45231</v>
      </c>
      <c r="P90" s="2" t="s">
        <v>805</v>
      </c>
      <c r="Q90" s="2" t="s">
        <v>814</v>
      </c>
    </row>
    <row r="91" spans="2:17" x14ac:dyDescent="0.25">
      <c r="B91" s="2" t="s">
        <v>895</v>
      </c>
      <c r="C91" s="2" t="s">
        <v>127</v>
      </c>
      <c r="D91" s="2" t="s">
        <v>128</v>
      </c>
      <c r="E91" s="2" t="s">
        <v>122</v>
      </c>
      <c r="F91" s="2" t="s">
        <v>535</v>
      </c>
      <c r="G91" s="2" t="s">
        <v>416</v>
      </c>
      <c r="H91" s="2" t="s">
        <v>94</v>
      </c>
      <c r="I91" s="26">
        <v>45198</v>
      </c>
      <c r="J91" s="2">
        <v>18</v>
      </c>
      <c r="K91" s="2" t="s">
        <v>123</v>
      </c>
      <c r="L91" s="22">
        <v>2500</v>
      </c>
      <c r="M91" s="22">
        <v>45000</v>
      </c>
      <c r="N91" s="18">
        <v>48.13</v>
      </c>
      <c r="O91" s="26">
        <v>45243</v>
      </c>
      <c r="P91" s="2" t="s">
        <v>805</v>
      </c>
      <c r="Q91" s="2" t="s">
        <v>814</v>
      </c>
    </row>
    <row r="92" spans="2:17" x14ac:dyDescent="0.25">
      <c r="B92" s="2" t="s">
        <v>896</v>
      </c>
      <c r="C92" s="2" t="s">
        <v>127</v>
      </c>
      <c r="D92" s="2" t="s">
        <v>128</v>
      </c>
      <c r="E92" s="2" t="s">
        <v>122</v>
      </c>
      <c r="F92" s="2" t="s">
        <v>537</v>
      </c>
      <c r="G92" s="2" t="s">
        <v>420</v>
      </c>
      <c r="H92" s="2" t="s">
        <v>421</v>
      </c>
      <c r="I92" s="26">
        <v>45209</v>
      </c>
      <c r="J92" s="2">
        <v>35</v>
      </c>
      <c r="K92" s="2" t="s">
        <v>123</v>
      </c>
      <c r="L92" s="22">
        <v>2700</v>
      </c>
      <c r="M92" s="22">
        <v>94500</v>
      </c>
      <c r="N92" s="18">
        <v>101.07</v>
      </c>
      <c r="O92" s="26">
        <v>45254</v>
      </c>
      <c r="P92" s="2" t="s">
        <v>805</v>
      </c>
      <c r="Q92" s="2" t="s">
        <v>814</v>
      </c>
    </row>
    <row r="93" spans="2:17" x14ac:dyDescent="0.25">
      <c r="B93" s="2" t="s">
        <v>897</v>
      </c>
      <c r="C93" s="2" t="s">
        <v>127</v>
      </c>
      <c r="D93" s="2" t="s">
        <v>128</v>
      </c>
      <c r="E93" s="2" t="s">
        <v>122</v>
      </c>
      <c r="F93" s="2" t="s">
        <v>535</v>
      </c>
      <c r="G93" s="2" t="s">
        <v>416</v>
      </c>
      <c r="H93" s="2" t="s">
        <v>94</v>
      </c>
      <c r="I93" s="26">
        <v>45217</v>
      </c>
      <c r="J93" s="2">
        <v>45</v>
      </c>
      <c r="K93" s="2" t="s">
        <v>123</v>
      </c>
      <c r="L93" s="22">
        <v>2500</v>
      </c>
      <c r="M93" s="22">
        <v>112500</v>
      </c>
      <c r="N93" s="18">
        <v>120.32</v>
      </c>
      <c r="O93" s="26">
        <v>45262</v>
      </c>
      <c r="P93" s="2" t="s">
        <v>805</v>
      </c>
      <c r="Q93" s="2" t="s">
        <v>814</v>
      </c>
    </row>
    <row r="94" spans="2:17" x14ac:dyDescent="0.25">
      <c r="B94" s="2" t="s">
        <v>898</v>
      </c>
      <c r="C94" s="2" t="s">
        <v>127</v>
      </c>
      <c r="D94" s="2" t="s">
        <v>128</v>
      </c>
      <c r="E94" s="2" t="s">
        <v>122</v>
      </c>
      <c r="F94" s="2" t="s">
        <v>535</v>
      </c>
      <c r="G94" s="2" t="s">
        <v>416</v>
      </c>
      <c r="H94" s="2" t="s">
        <v>94</v>
      </c>
      <c r="I94" s="26">
        <v>45226</v>
      </c>
      <c r="J94" s="2">
        <v>36</v>
      </c>
      <c r="K94" s="2" t="s">
        <v>123</v>
      </c>
      <c r="L94" s="22">
        <v>2500</v>
      </c>
      <c r="M94" s="22">
        <v>90000</v>
      </c>
      <c r="N94" s="18">
        <v>96.26</v>
      </c>
      <c r="O94" s="26">
        <v>45271</v>
      </c>
      <c r="P94" s="2" t="s">
        <v>805</v>
      </c>
      <c r="Q94" s="2" t="s">
        <v>814</v>
      </c>
    </row>
    <row r="95" spans="2:17" x14ac:dyDescent="0.25">
      <c r="B95" s="2" t="s">
        <v>899</v>
      </c>
      <c r="C95" s="2" t="s">
        <v>127</v>
      </c>
      <c r="D95" s="2" t="s">
        <v>128</v>
      </c>
      <c r="E95" s="2" t="s">
        <v>122</v>
      </c>
      <c r="F95" s="2" t="s">
        <v>535</v>
      </c>
      <c r="G95" s="2" t="s">
        <v>416</v>
      </c>
      <c r="H95" s="2" t="s">
        <v>94</v>
      </c>
      <c r="I95" s="26">
        <v>45237</v>
      </c>
      <c r="J95" s="2">
        <v>37</v>
      </c>
      <c r="K95" s="2" t="s">
        <v>123</v>
      </c>
      <c r="L95" s="22">
        <v>2500</v>
      </c>
      <c r="M95" s="22">
        <v>92500</v>
      </c>
      <c r="N95" s="18">
        <v>98.93</v>
      </c>
      <c r="O95" s="26">
        <v>45282</v>
      </c>
      <c r="P95" s="2" t="s">
        <v>805</v>
      </c>
      <c r="Q95" s="2" t="s">
        <v>814</v>
      </c>
    </row>
    <row r="96" spans="2:17" x14ac:dyDescent="0.25">
      <c r="B96" s="2" t="s">
        <v>900</v>
      </c>
      <c r="C96" s="2" t="s">
        <v>127</v>
      </c>
      <c r="D96" s="2" t="s">
        <v>128</v>
      </c>
      <c r="E96" s="2" t="s">
        <v>122</v>
      </c>
      <c r="F96" s="2" t="s">
        <v>535</v>
      </c>
      <c r="G96" s="2" t="s">
        <v>416</v>
      </c>
      <c r="H96" s="2" t="s">
        <v>94</v>
      </c>
      <c r="I96" s="26">
        <v>45248</v>
      </c>
      <c r="J96" s="2">
        <v>42</v>
      </c>
      <c r="K96" s="2" t="s">
        <v>123</v>
      </c>
      <c r="L96" s="22">
        <v>2500</v>
      </c>
      <c r="M96" s="22">
        <v>105000</v>
      </c>
      <c r="N96" s="18">
        <v>112.3</v>
      </c>
      <c r="O96" s="26">
        <v>45293</v>
      </c>
      <c r="P96" s="2" t="s">
        <v>805</v>
      </c>
      <c r="Q96" s="2" t="s">
        <v>814</v>
      </c>
    </row>
    <row r="97" spans="2:17" x14ac:dyDescent="0.25">
      <c r="B97" s="2" t="s">
        <v>901</v>
      </c>
      <c r="C97" s="2" t="s">
        <v>127</v>
      </c>
      <c r="D97" s="2" t="s">
        <v>128</v>
      </c>
      <c r="E97" s="2" t="s">
        <v>122</v>
      </c>
      <c r="F97" s="2" t="s">
        <v>535</v>
      </c>
      <c r="G97" s="2" t="s">
        <v>416</v>
      </c>
      <c r="H97" s="2" t="s">
        <v>94</v>
      </c>
      <c r="I97" s="26">
        <v>45259</v>
      </c>
      <c r="J97" s="2">
        <v>42</v>
      </c>
      <c r="K97" s="2" t="s">
        <v>123</v>
      </c>
      <c r="L97" s="22">
        <v>2500</v>
      </c>
      <c r="M97" s="22">
        <v>105000</v>
      </c>
      <c r="N97" s="18">
        <v>112.3</v>
      </c>
      <c r="O97" s="26">
        <v>45304</v>
      </c>
      <c r="P97" s="2" t="s">
        <v>805</v>
      </c>
      <c r="Q97" s="2" t="s">
        <v>814</v>
      </c>
    </row>
    <row r="98" spans="2:17" x14ac:dyDescent="0.25">
      <c r="B98" s="2" t="s">
        <v>902</v>
      </c>
      <c r="C98" s="2" t="s">
        <v>127</v>
      </c>
      <c r="D98" s="2" t="s">
        <v>128</v>
      </c>
      <c r="E98" s="2" t="s">
        <v>122</v>
      </c>
      <c r="F98" s="2" t="s">
        <v>535</v>
      </c>
      <c r="G98" s="2" t="s">
        <v>416</v>
      </c>
      <c r="H98" s="2" t="s">
        <v>94</v>
      </c>
      <c r="I98" s="26">
        <v>45269</v>
      </c>
      <c r="J98" s="2">
        <v>49</v>
      </c>
      <c r="K98" s="2" t="s">
        <v>123</v>
      </c>
      <c r="L98" s="22">
        <v>2500</v>
      </c>
      <c r="M98" s="22">
        <v>122500</v>
      </c>
      <c r="N98" s="18">
        <v>131.02000000000001</v>
      </c>
      <c r="O98" s="26">
        <v>45314</v>
      </c>
      <c r="P98" s="2" t="s">
        <v>805</v>
      </c>
      <c r="Q98" s="2" t="s">
        <v>825</v>
      </c>
    </row>
    <row r="99" spans="2:17" x14ac:dyDescent="0.25">
      <c r="B99" s="2" t="s">
        <v>903</v>
      </c>
      <c r="C99" s="2" t="s">
        <v>127</v>
      </c>
      <c r="D99" s="2" t="s">
        <v>128</v>
      </c>
      <c r="E99" s="2" t="s">
        <v>122</v>
      </c>
      <c r="F99" s="2" t="s">
        <v>535</v>
      </c>
      <c r="G99" s="2" t="s">
        <v>416</v>
      </c>
      <c r="H99" s="2" t="s">
        <v>94</v>
      </c>
      <c r="I99" s="26">
        <v>45277</v>
      </c>
      <c r="J99" s="2">
        <v>54</v>
      </c>
      <c r="K99" s="2" t="s">
        <v>123</v>
      </c>
      <c r="L99" s="22">
        <v>2500</v>
      </c>
      <c r="M99" s="22">
        <v>135000</v>
      </c>
      <c r="N99" s="18">
        <v>144.38999999999999</v>
      </c>
      <c r="O99" s="26">
        <v>45322</v>
      </c>
      <c r="P99" s="2" t="s">
        <v>805</v>
      </c>
      <c r="Q99" s="2" t="s">
        <v>825</v>
      </c>
    </row>
    <row r="100" spans="2:17" x14ac:dyDescent="0.25">
      <c r="B100" s="2" t="s">
        <v>904</v>
      </c>
      <c r="C100" s="2" t="s">
        <v>127</v>
      </c>
      <c r="D100" s="2" t="s">
        <v>128</v>
      </c>
      <c r="E100" s="2" t="s">
        <v>122</v>
      </c>
      <c r="F100" s="2" t="s">
        <v>535</v>
      </c>
      <c r="G100" s="2" t="s">
        <v>416</v>
      </c>
      <c r="H100" s="2" t="s">
        <v>94</v>
      </c>
      <c r="I100" s="26">
        <v>45289</v>
      </c>
      <c r="J100" s="2">
        <v>59</v>
      </c>
      <c r="K100" s="2" t="s">
        <v>123</v>
      </c>
      <c r="L100" s="22">
        <v>2500</v>
      </c>
      <c r="M100" s="22">
        <v>147500</v>
      </c>
      <c r="N100" s="18">
        <v>157.75</v>
      </c>
      <c r="O100" s="26">
        <v>45334</v>
      </c>
      <c r="P100" s="2" t="s">
        <v>805</v>
      </c>
      <c r="Q100" s="2" t="s">
        <v>825</v>
      </c>
    </row>
    <row r="101" spans="2:17" x14ac:dyDescent="0.25">
      <c r="B101" s="2" t="s">
        <v>905</v>
      </c>
      <c r="C101" s="2" t="s">
        <v>127</v>
      </c>
      <c r="D101" s="2" t="s">
        <v>128</v>
      </c>
      <c r="E101" s="2" t="s">
        <v>122</v>
      </c>
      <c r="F101" s="2" t="s">
        <v>535</v>
      </c>
      <c r="G101" s="2" t="s">
        <v>416</v>
      </c>
      <c r="H101" s="2" t="s">
        <v>94</v>
      </c>
      <c r="I101" s="26">
        <v>45297</v>
      </c>
      <c r="J101" s="2">
        <v>37</v>
      </c>
      <c r="K101" s="2" t="s">
        <v>123</v>
      </c>
      <c r="L101" s="22">
        <v>2500</v>
      </c>
      <c r="M101" s="22">
        <v>92500</v>
      </c>
      <c r="N101" s="18">
        <v>98.93</v>
      </c>
      <c r="O101" s="26">
        <v>45342</v>
      </c>
      <c r="P101" s="2" t="s">
        <v>805</v>
      </c>
      <c r="Q101" s="2" t="s">
        <v>825</v>
      </c>
    </row>
    <row r="102" spans="2:17" x14ac:dyDescent="0.25">
      <c r="B102" s="2" t="s">
        <v>906</v>
      </c>
      <c r="C102" s="2" t="s">
        <v>127</v>
      </c>
      <c r="D102" s="2" t="s">
        <v>128</v>
      </c>
      <c r="E102" s="2" t="s">
        <v>122</v>
      </c>
      <c r="F102" s="2" t="s">
        <v>535</v>
      </c>
      <c r="G102" s="2" t="s">
        <v>416</v>
      </c>
      <c r="H102" s="2" t="s">
        <v>94</v>
      </c>
      <c r="I102" s="26">
        <v>45308</v>
      </c>
      <c r="J102" s="2">
        <v>36</v>
      </c>
      <c r="K102" s="2" t="s">
        <v>123</v>
      </c>
      <c r="L102" s="22">
        <v>2500</v>
      </c>
      <c r="M102" s="22">
        <v>90000</v>
      </c>
      <c r="N102" s="18">
        <v>96.26</v>
      </c>
      <c r="O102" s="26">
        <v>45353</v>
      </c>
      <c r="P102" s="2" t="s">
        <v>805</v>
      </c>
      <c r="Q102" s="2" t="s">
        <v>825</v>
      </c>
    </row>
    <row r="103" spans="2:17" x14ac:dyDescent="0.25">
      <c r="B103" s="2" t="s">
        <v>907</v>
      </c>
      <c r="C103" s="2" t="s">
        <v>127</v>
      </c>
      <c r="D103" s="2" t="s">
        <v>128</v>
      </c>
      <c r="E103" s="2" t="s">
        <v>122</v>
      </c>
      <c r="F103" s="2" t="s">
        <v>535</v>
      </c>
      <c r="G103" s="2" t="s">
        <v>416</v>
      </c>
      <c r="H103" s="2" t="s">
        <v>94</v>
      </c>
      <c r="I103" s="26">
        <v>45319</v>
      </c>
      <c r="J103" s="2">
        <v>39</v>
      </c>
      <c r="K103" s="2" t="s">
        <v>123</v>
      </c>
      <c r="L103" s="22">
        <v>2500</v>
      </c>
      <c r="M103" s="22">
        <v>97500</v>
      </c>
      <c r="N103" s="18">
        <v>104.28</v>
      </c>
      <c r="O103" s="26">
        <v>45364</v>
      </c>
      <c r="P103" s="2" t="s">
        <v>805</v>
      </c>
      <c r="Q103" s="2" t="s">
        <v>825</v>
      </c>
    </row>
    <row r="104" spans="2:17" x14ac:dyDescent="0.25">
      <c r="B104" s="2" t="s">
        <v>908</v>
      </c>
      <c r="C104" s="2" t="s">
        <v>127</v>
      </c>
      <c r="D104" s="2" t="s">
        <v>128</v>
      </c>
      <c r="E104" s="2" t="s">
        <v>122</v>
      </c>
      <c r="F104" s="2" t="s">
        <v>535</v>
      </c>
      <c r="G104" s="2" t="s">
        <v>416</v>
      </c>
      <c r="H104" s="2" t="s">
        <v>94</v>
      </c>
      <c r="I104" s="26">
        <v>45331</v>
      </c>
      <c r="J104" s="2">
        <v>37</v>
      </c>
      <c r="K104" s="2" t="s">
        <v>123</v>
      </c>
      <c r="L104" s="22">
        <v>2500</v>
      </c>
      <c r="M104" s="22">
        <v>92500</v>
      </c>
      <c r="N104" s="18">
        <v>98.93</v>
      </c>
      <c r="O104" s="26">
        <v>45376</v>
      </c>
      <c r="P104" s="2" t="s">
        <v>805</v>
      </c>
      <c r="Q104" s="2" t="s">
        <v>825</v>
      </c>
    </row>
    <row r="105" spans="2:17" x14ac:dyDescent="0.25">
      <c r="B105" s="2" t="s">
        <v>909</v>
      </c>
      <c r="C105" s="2" t="s">
        <v>127</v>
      </c>
      <c r="D105" s="2" t="s">
        <v>128</v>
      </c>
      <c r="E105" s="2" t="s">
        <v>122</v>
      </c>
      <c r="F105" s="2" t="s">
        <v>537</v>
      </c>
      <c r="G105" s="2" t="s">
        <v>420</v>
      </c>
      <c r="H105" s="2" t="s">
        <v>421</v>
      </c>
      <c r="I105" s="26">
        <v>45339</v>
      </c>
      <c r="J105" s="2">
        <v>37</v>
      </c>
      <c r="K105" s="2" t="s">
        <v>123</v>
      </c>
      <c r="L105" s="22">
        <v>2700</v>
      </c>
      <c r="M105" s="22">
        <v>99900</v>
      </c>
      <c r="N105" s="18">
        <v>106.84</v>
      </c>
      <c r="O105" s="26">
        <v>45384</v>
      </c>
      <c r="P105" s="2" t="s">
        <v>805</v>
      </c>
      <c r="Q105" s="2" t="s">
        <v>825</v>
      </c>
    </row>
    <row r="106" spans="2:17" x14ac:dyDescent="0.25">
      <c r="B106" s="2" t="s">
        <v>910</v>
      </c>
      <c r="C106" s="2" t="s">
        <v>127</v>
      </c>
      <c r="D106" s="2" t="s">
        <v>128</v>
      </c>
      <c r="E106" s="2" t="s">
        <v>122</v>
      </c>
      <c r="F106" s="2" t="s">
        <v>535</v>
      </c>
      <c r="G106" s="2" t="s">
        <v>416</v>
      </c>
      <c r="H106" s="2" t="s">
        <v>94</v>
      </c>
      <c r="I106" s="26">
        <v>45349</v>
      </c>
      <c r="J106" s="2">
        <v>40</v>
      </c>
      <c r="K106" s="2" t="s">
        <v>123</v>
      </c>
      <c r="L106" s="22">
        <v>2500</v>
      </c>
      <c r="M106" s="22">
        <v>100000</v>
      </c>
      <c r="N106" s="18">
        <v>106.95</v>
      </c>
      <c r="O106" s="26">
        <v>45394</v>
      </c>
      <c r="P106" s="2" t="s">
        <v>805</v>
      </c>
      <c r="Q106" s="2" t="s">
        <v>825</v>
      </c>
    </row>
    <row r="107" spans="2:17" x14ac:dyDescent="0.25">
      <c r="B107" s="2" t="s">
        <v>911</v>
      </c>
      <c r="C107" s="2" t="s">
        <v>127</v>
      </c>
      <c r="D107" s="2" t="s">
        <v>128</v>
      </c>
      <c r="E107" s="2" t="s">
        <v>122</v>
      </c>
      <c r="F107" s="2" t="s">
        <v>535</v>
      </c>
      <c r="G107" s="2" t="s">
        <v>416</v>
      </c>
      <c r="H107" s="2" t="s">
        <v>94</v>
      </c>
      <c r="I107" s="26">
        <v>45360</v>
      </c>
      <c r="J107" s="2">
        <v>38</v>
      </c>
      <c r="K107" s="2" t="s">
        <v>123</v>
      </c>
      <c r="L107" s="22">
        <v>2500</v>
      </c>
      <c r="M107" s="22">
        <v>95000</v>
      </c>
      <c r="N107" s="18">
        <v>101.6</v>
      </c>
      <c r="O107" s="26">
        <v>45405</v>
      </c>
      <c r="P107" s="2" t="s">
        <v>805</v>
      </c>
      <c r="Q107" s="2" t="s">
        <v>836</v>
      </c>
    </row>
    <row r="108" spans="2:17" x14ac:dyDescent="0.25">
      <c r="B108" s="2" t="s">
        <v>912</v>
      </c>
      <c r="C108" s="2" t="s">
        <v>127</v>
      </c>
      <c r="D108" s="2" t="s">
        <v>128</v>
      </c>
      <c r="E108" s="2" t="s">
        <v>122</v>
      </c>
      <c r="F108" s="2" t="s">
        <v>535</v>
      </c>
      <c r="G108" s="2" t="s">
        <v>416</v>
      </c>
      <c r="H108" s="2" t="s">
        <v>94</v>
      </c>
      <c r="I108" s="26">
        <v>45368</v>
      </c>
      <c r="J108" s="2">
        <v>43</v>
      </c>
      <c r="K108" s="2" t="s">
        <v>123</v>
      </c>
      <c r="L108" s="22">
        <v>2500</v>
      </c>
      <c r="M108" s="22">
        <v>107500</v>
      </c>
      <c r="N108" s="18">
        <v>114.97</v>
      </c>
      <c r="O108" s="26">
        <v>45413</v>
      </c>
      <c r="P108" s="2" t="s">
        <v>805</v>
      </c>
      <c r="Q108" s="2" t="s">
        <v>836</v>
      </c>
    </row>
    <row r="109" spans="2:17" x14ac:dyDescent="0.25">
      <c r="B109" s="2" t="s">
        <v>913</v>
      </c>
      <c r="C109" s="2" t="s">
        <v>127</v>
      </c>
      <c r="D109" s="2" t="s">
        <v>128</v>
      </c>
      <c r="E109" s="2" t="s">
        <v>122</v>
      </c>
      <c r="F109" s="2" t="s">
        <v>535</v>
      </c>
      <c r="G109" s="2" t="s">
        <v>416</v>
      </c>
      <c r="H109" s="2" t="s">
        <v>94</v>
      </c>
      <c r="I109" s="26">
        <v>45378</v>
      </c>
      <c r="J109" s="2">
        <v>35</v>
      </c>
      <c r="K109" s="2" t="s">
        <v>123</v>
      </c>
      <c r="L109" s="22">
        <v>2500</v>
      </c>
      <c r="M109" s="22">
        <v>87500</v>
      </c>
      <c r="N109" s="18">
        <v>93.58</v>
      </c>
      <c r="O109" s="26">
        <v>45423</v>
      </c>
      <c r="P109" s="2" t="s">
        <v>805</v>
      </c>
      <c r="Q109" s="2" t="s">
        <v>836</v>
      </c>
    </row>
    <row r="110" spans="2:17" x14ac:dyDescent="0.25">
      <c r="B110" s="2" t="s">
        <v>914</v>
      </c>
      <c r="C110" s="2" t="s">
        <v>127</v>
      </c>
      <c r="D110" s="2" t="s">
        <v>128</v>
      </c>
      <c r="E110" s="2" t="s">
        <v>122</v>
      </c>
      <c r="F110" s="2" t="s">
        <v>535</v>
      </c>
      <c r="G110" s="2" t="s">
        <v>416</v>
      </c>
      <c r="H110" s="2" t="s">
        <v>94</v>
      </c>
      <c r="I110" s="26">
        <v>45388</v>
      </c>
      <c r="J110" s="2">
        <v>17</v>
      </c>
      <c r="K110" s="2" t="s">
        <v>123</v>
      </c>
      <c r="L110" s="22">
        <v>2500</v>
      </c>
      <c r="M110" s="22">
        <v>42500</v>
      </c>
      <c r="N110" s="18">
        <v>45.45</v>
      </c>
      <c r="O110" s="26">
        <v>45433</v>
      </c>
      <c r="P110" s="2" t="s">
        <v>805</v>
      </c>
      <c r="Q110" s="2" t="s">
        <v>836</v>
      </c>
    </row>
    <row r="111" spans="2:17" x14ac:dyDescent="0.25">
      <c r="B111" s="2" t="s">
        <v>915</v>
      </c>
      <c r="C111" s="2" t="s">
        <v>127</v>
      </c>
      <c r="D111" s="2" t="s">
        <v>128</v>
      </c>
      <c r="E111" s="2" t="s">
        <v>122</v>
      </c>
      <c r="F111" s="2" t="s">
        <v>535</v>
      </c>
      <c r="G111" s="2" t="s">
        <v>416</v>
      </c>
      <c r="H111" s="2" t="s">
        <v>94</v>
      </c>
      <c r="I111" s="26">
        <v>45395</v>
      </c>
      <c r="J111" s="2">
        <v>16</v>
      </c>
      <c r="K111" s="2" t="s">
        <v>123</v>
      </c>
      <c r="L111" s="22">
        <v>2500</v>
      </c>
      <c r="M111" s="22">
        <v>40000</v>
      </c>
      <c r="N111" s="18">
        <v>42.78</v>
      </c>
      <c r="O111" s="26">
        <v>45440</v>
      </c>
      <c r="P111" s="2" t="s">
        <v>805</v>
      </c>
      <c r="Q111" s="2" t="s">
        <v>836</v>
      </c>
    </row>
    <row r="112" spans="2:17" x14ac:dyDescent="0.25">
      <c r="B112" s="2" t="s">
        <v>916</v>
      </c>
      <c r="C112" s="2" t="s">
        <v>127</v>
      </c>
      <c r="D112" s="2" t="s">
        <v>128</v>
      </c>
      <c r="E112" s="2" t="s">
        <v>122</v>
      </c>
      <c r="F112" s="2" t="s">
        <v>535</v>
      </c>
      <c r="G112" s="2" t="s">
        <v>416</v>
      </c>
      <c r="H112" s="2" t="s">
        <v>94</v>
      </c>
      <c r="I112" s="26">
        <v>45403</v>
      </c>
      <c r="J112" s="2">
        <v>13</v>
      </c>
      <c r="K112" s="2" t="s">
        <v>123</v>
      </c>
      <c r="L112" s="22">
        <v>2500</v>
      </c>
      <c r="M112" s="22">
        <v>32500</v>
      </c>
      <c r="N112" s="18">
        <v>34.76</v>
      </c>
      <c r="O112" s="26">
        <v>45448</v>
      </c>
      <c r="P112" s="2" t="s">
        <v>805</v>
      </c>
      <c r="Q112" s="2" t="s">
        <v>836</v>
      </c>
    </row>
    <row r="113" spans="2:17" x14ac:dyDescent="0.25">
      <c r="B113" s="2" t="s">
        <v>917</v>
      </c>
      <c r="C113" s="2" t="s">
        <v>127</v>
      </c>
      <c r="D113" s="2" t="s">
        <v>128</v>
      </c>
      <c r="E113" s="2" t="s">
        <v>122</v>
      </c>
      <c r="F113" s="2" t="s">
        <v>535</v>
      </c>
      <c r="G113" s="2" t="s">
        <v>416</v>
      </c>
      <c r="H113" s="2" t="s">
        <v>94</v>
      </c>
      <c r="I113" s="26">
        <v>45412</v>
      </c>
      <c r="J113" s="2">
        <v>15</v>
      </c>
      <c r="K113" s="2" t="s">
        <v>123</v>
      </c>
      <c r="L113" s="22">
        <v>2500</v>
      </c>
      <c r="M113" s="22">
        <v>37500</v>
      </c>
      <c r="N113" s="18">
        <v>40.11</v>
      </c>
      <c r="O113" s="26">
        <v>45457</v>
      </c>
      <c r="P113" s="2" t="s">
        <v>805</v>
      </c>
      <c r="Q113" s="2" t="s">
        <v>836</v>
      </c>
    </row>
    <row r="114" spans="2:17" x14ac:dyDescent="0.25">
      <c r="B114" s="2" t="s">
        <v>918</v>
      </c>
      <c r="C114" s="2" t="s">
        <v>127</v>
      </c>
      <c r="D114" s="2" t="s">
        <v>128</v>
      </c>
      <c r="E114" s="2" t="s">
        <v>122</v>
      </c>
      <c r="F114" s="2" t="s">
        <v>535</v>
      </c>
      <c r="G114" s="2" t="s">
        <v>416</v>
      </c>
      <c r="H114" s="2" t="s">
        <v>94</v>
      </c>
      <c r="I114" s="26">
        <v>45419</v>
      </c>
      <c r="J114" s="2">
        <v>17</v>
      </c>
      <c r="K114" s="2" t="s">
        <v>123</v>
      </c>
      <c r="L114" s="22">
        <v>2500</v>
      </c>
      <c r="M114" s="22">
        <v>42500</v>
      </c>
      <c r="N114" s="18">
        <v>45.45</v>
      </c>
      <c r="O114" s="26">
        <v>45464</v>
      </c>
      <c r="P114" s="2" t="s">
        <v>805</v>
      </c>
      <c r="Q114" s="2" t="s">
        <v>836</v>
      </c>
    </row>
    <row r="115" spans="2:17" x14ac:dyDescent="0.25">
      <c r="B115" s="2" t="s">
        <v>919</v>
      </c>
      <c r="C115" s="2" t="s">
        <v>127</v>
      </c>
      <c r="D115" s="2" t="s">
        <v>128</v>
      </c>
      <c r="E115" s="2" t="s">
        <v>122</v>
      </c>
      <c r="F115" s="2" t="s">
        <v>535</v>
      </c>
      <c r="G115" s="2" t="s">
        <v>416</v>
      </c>
      <c r="H115" s="2" t="s">
        <v>94</v>
      </c>
      <c r="I115" s="26">
        <v>45429</v>
      </c>
      <c r="J115" s="2">
        <v>14</v>
      </c>
      <c r="K115" s="2" t="s">
        <v>123</v>
      </c>
      <c r="L115" s="22">
        <v>2500</v>
      </c>
      <c r="M115" s="22">
        <v>35000</v>
      </c>
      <c r="N115" s="18">
        <v>37.43</v>
      </c>
      <c r="O115" s="26">
        <v>45474</v>
      </c>
      <c r="P115" s="2" t="s">
        <v>805</v>
      </c>
      <c r="Q115" s="2" t="s">
        <v>836</v>
      </c>
    </row>
    <row r="116" spans="2:17" x14ac:dyDescent="0.25">
      <c r="B116" s="2" t="s">
        <v>920</v>
      </c>
      <c r="C116" s="2" t="s">
        <v>127</v>
      </c>
      <c r="D116" s="2" t="s">
        <v>128</v>
      </c>
      <c r="E116" s="2" t="s">
        <v>122</v>
      </c>
      <c r="F116" s="2" t="s">
        <v>535</v>
      </c>
      <c r="G116" s="2" t="s">
        <v>416</v>
      </c>
      <c r="H116" s="2" t="s">
        <v>94</v>
      </c>
      <c r="I116" s="26">
        <v>45439</v>
      </c>
      <c r="J116" s="2">
        <v>14</v>
      </c>
      <c r="K116" s="2" t="s">
        <v>123</v>
      </c>
      <c r="L116" s="22">
        <v>2500</v>
      </c>
      <c r="M116" s="22">
        <v>35000</v>
      </c>
      <c r="N116" s="18">
        <v>37.43</v>
      </c>
      <c r="O116" s="26">
        <v>45484</v>
      </c>
      <c r="P116" s="2" t="s">
        <v>805</v>
      </c>
      <c r="Q116" s="2" t="s">
        <v>836</v>
      </c>
    </row>
    <row r="117" spans="2:17" x14ac:dyDescent="0.25">
      <c r="B117" s="2" t="s">
        <v>921</v>
      </c>
      <c r="C117" s="2" t="s">
        <v>127</v>
      </c>
      <c r="D117" s="2" t="s">
        <v>128</v>
      </c>
      <c r="E117" s="2" t="s">
        <v>122</v>
      </c>
      <c r="F117" s="2" t="s">
        <v>535</v>
      </c>
      <c r="G117" s="2" t="s">
        <v>416</v>
      </c>
      <c r="H117" s="2" t="s">
        <v>94</v>
      </c>
      <c r="I117" s="26">
        <v>45447</v>
      </c>
      <c r="J117" s="2">
        <v>16</v>
      </c>
      <c r="K117" s="2" t="s">
        <v>123</v>
      </c>
      <c r="L117" s="22">
        <v>2500</v>
      </c>
      <c r="M117" s="22">
        <v>40000</v>
      </c>
      <c r="N117" s="18">
        <v>42.78</v>
      </c>
      <c r="O117" s="26">
        <v>45492</v>
      </c>
      <c r="P117" s="2" t="s">
        <v>805</v>
      </c>
      <c r="Q117" s="2" t="s">
        <v>806</v>
      </c>
    </row>
    <row r="118" spans="2:17" x14ac:dyDescent="0.25">
      <c r="B118" s="2" t="s">
        <v>922</v>
      </c>
      <c r="C118" s="2" t="s">
        <v>127</v>
      </c>
      <c r="D118" s="2" t="s">
        <v>128</v>
      </c>
      <c r="E118" s="2" t="s">
        <v>122</v>
      </c>
      <c r="F118" s="2" t="s">
        <v>535</v>
      </c>
      <c r="G118" s="2" t="s">
        <v>416</v>
      </c>
      <c r="H118" s="2" t="s">
        <v>94</v>
      </c>
      <c r="I118" s="26">
        <v>45453</v>
      </c>
      <c r="J118" s="2">
        <v>17</v>
      </c>
      <c r="K118" s="2" t="s">
        <v>123</v>
      </c>
      <c r="L118" s="22">
        <v>2500</v>
      </c>
      <c r="M118" s="22">
        <v>42500</v>
      </c>
      <c r="N118" s="18">
        <v>45.45</v>
      </c>
      <c r="O118" s="26">
        <v>45498</v>
      </c>
      <c r="P118" s="2" t="s">
        <v>805</v>
      </c>
      <c r="Q118" s="2" t="s">
        <v>806</v>
      </c>
    </row>
    <row r="119" spans="2:17" x14ac:dyDescent="0.25">
      <c r="B119" s="2" t="s">
        <v>923</v>
      </c>
      <c r="C119" s="2" t="s">
        <v>127</v>
      </c>
      <c r="D119" s="2" t="s">
        <v>128</v>
      </c>
      <c r="E119" s="2" t="s">
        <v>122</v>
      </c>
      <c r="F119" s="2" t="s">
        <v>535</v>
      </c>
      <c r="G119" s="2" t="s">
        <v>416</v>
      </c>
      <c r="H119" s="2" t="s">
        <v>94</v>
      </c>
      <c r="I119" s="26">
        <v>45463</v>
      </c>
      <c r="J119" s="2">
        <v>14</v>
      </c>
      <c r="K119" s="2" t="s">
        <v>123</v>
      </c>
      <c r="L119" s="22">
        <v>2500</v>
      </c>
      <c r="M119" s="22">
        <v>35000</v>
      </c>
      <c r="N119" s="18">
        <v>37.43</v>
      </c>
      <c r="O119" s="26">
        <v>45508</v>
      </c>
      <c r="P119" s="2" t="s">
        <v>805</v>
      </c>
      <c r="Q119" s="2" t="s">
        <v>806</v>
      </c>
    </row>
    <row r="120" spans="2:17" x14ac:dyDescent="0.25">
      <c r="B120" s="2" t="s">
        <v>924</v>
      </c>
      <c r="C120" s="2" t="s">
        <v>127</v>
      </c>
      <c r="D120" s="2" t="s">
        <v>128</v>
      </c>
      <c r="E120" s="2" t="s">
        <v>122</v>
      </c>
      <c r="F120" s="2" t="s">
        <v>535</v>
      </c>
      <c r="G120" s="2" t="s">
        <v>416</v>
      </c>
      <c r="H120" s="2" t="s">
        <v>94</v>
      </c>
      <c r="I120" s="26">
        <v>45474</v>
      </c>
      <c r="J120" s="2">
        <v>16</v>
      </c>
      <c r="K120" s="2" t="s">
        <v>123</v>
      </c>
      <c r="L120" s="22">
        <v>2500</v>
      </c>
      <c r="M120" s="22">
        <v>40000</v>
      </c>
      <c r="N120" s="18">
        <v>42.78</v>
      </c>
      <c r="O120" s="26">
        <v>45519</v>
      </c>
      <c r="P120" s="2" t="s">
        <v>805</v>
      </c>
      <c r="Q120" s="2" t="s">
        <v>806</v>
      </c>
    </row>
    <row r="121" spans="2:17" x14ac:dyDescent="0.25">
      <c r="B121" s="2" t="s">
        <v>925</v>
      </c>
      <c r="C121" s="2" t="s">
        <v>127</v>
      </c>
      <c r="D121" s="2" t="s">
        <v>128</v>
      </c>
      <c r="E121" s="2" t="s">
        <v>122</v>
      </c>
      <c r="F121" s="2" t="s">
        <v>535</v>
      </c>
      <c r="G121" s="2" t="s">
        <v>416</v>
      </c>
      <c r="H121" s="2" t="s">
        <v>94</v>
      </c>
      <c r="I121" s="26">
        <v>45484</v>
      </c>
      <c r="J121" s="2">
        <v>13</v>
      </c>
      <c r="K121" s="2" t="s">
        <v>123</v>
      </c>
      <c r="L121" s="22">
        <v>2500</v>
      </c>
      <c r="M121" s="22">
        <v>32500</v>
      </c>
      <c r="N121" s="18">
        <v>34.76</v>
      </c>
      <c r="O121" s="26">
        <v>45529</v>
      </c>
      <c r="P121" s="2" t="s">
        <v>805</v>
      </c>
      <c r="Q121" s="2" t="s">
        <v>806</v>
      </c>
    </row>
    <row r="122" spans="2:17" x14ac:dyDescent="0.25">
      <c r="B122" s="2" t="s">
        <v>926</v>
      </c>
      <c r="C122" s="2" t="s">
        <v>127</v>
      </c>
      <c r="D122" s="2" t="s">
        <v>128</v>
      </c>
      <c r="E122" s="2" t="s">
        <v>122</v>
      </c>
      <c r="F122" s="2" t="s">
        <v>535</v>
      </c>
      <c r="G122" s="2" t="s">
        <v>416</v>
      </c>
      <c r="H122" s="2" t="s">
        <v>94</v>
      </c>
      <c r="I122" s="26">
        <v>45493</v>
      </c>
      <c r="J122" s="2">
        <v>16</v>
      </c>
      <c r="K122" s="2" t="s">
        <v>123</v>
      </c>
      <c r="L122" s="22">
        <v>2500</v>
      </c>
      <c r="M122" s="22">
        <v>40000</v>
      </c>
      <c r="N122" s="18">
        <v>42.78</v>
      </c>
      <c r="O122" s="26">
        <v>45538</v>
      </c>
      <c r="P122" s="2" t="s">
        <v>805</v>
      </c>
      <c r="Q122" s="2" t="s">
        <v>806</v>
      </c>
    </row>
    <row r="123" spans="2:17" x14ac:dyDescent="0.25">
      <c r="B123" s="2" t="s">
        <v>927</v>
      </c>
      <c r="C123" s="2" t="s">
        <v>127</v>
      </c>
      <c r="D123" s="2" t="s">
        <v>128</v>
      </c>
      <c r="E123" s="2" t="s">
        <v>122</v>
      </c>
      <c r="F123" s="2" t="s">
        <v>535</v>
      </c>
      <c r="G123" s="2" t="s">
        <v>416</v>
      </c>
      <c r="H123" s="2" t="s">
        <v>94</v>
      </c>
      <c r="I123" s="26">
        <v>45505</v>
      </c>
      <c r="J123" s="2">
        <v>16</v>
      </c>
      <c r="K123" s="2" t="s">
        <v>123</v>
      </c>
      <c r="L123" s="22">
        <v>2500</v>
      </c>
      <c r="M123" s="22">
        <v>40000</v>
      </c>
      <c r="N123" s="18">
        <v>42.78</v>
      </c>
      <c r="O123" s="26">
        <v>45550</v>
      </c>
      <c r="P123" s="2" t="s">
        <v>805</v>
      </c>
      <c r="Q123" s="2" t="s">
        <v>806</v>
      </c>
    </row>
    <row r="124" spans="2:17" x14ac:dyDescent="0.25">
      <c r="B124" s="2" t="s">
        <v>928</v>
      </c>
      <c r="C124" s="2" t="s">
        <v>127</v>
      </c>
      <c r="D124" s="2" t="s">
        <v>128</v>
      </c>
      <c r="E124" s="2" t="s">
        <v>122</v>
      </c>
      <c r="F124" s="2" t="s">
        <v>535</v>
      </c>
      <c r="G124" s="2" t="s">
        <v>416</v>
      </c>
      <c r="H124" s="2" t="s">
        <v>94</v>
      </c>
      <c r="I124" s="26">
        <v>45515</v>
      </c>
      <c r="J124" s="2">
        <v>13</v>
      </c>
      <c r="K124" s="2" t="s">
        <v>123</v>
      </c>
      <c r="L124" s="22">
        <v>2500</v>
      </c>
      <c r="M124" s="22">
        <v>32500</v>
      </c>
      <c r="N124" s="18">
        <v>34.76</v>
      </c>
      <c r="O124" s="26">
        <v>45560</v>
      </c>
      <c r="P124" s="2" t="s">
        <v>805</v>
      </c>
      <c r="Q124" s="2" t="s">
        <v>806</v>
      </c>
    </row>
    <row r="125" spans="2:17" x14ac:dyDescent="0.25">
      <c r="B125" s="2" t="s">
        <v>929</v>
      </c>
      <c r="C125" s="2" t="s">
        <v>127</v>
      </c>
      <c r="D125" s="2" t="s">
        <v>128</v>
      </c>
      <c r="E125" s="2" t="s">
        <v>122</v>
      </c>
      <c r="F125" s="2" t="s">
        <v>535</v>
      </c>
      <c r="G125" s="2" t="s">
        <v>416</v>
      </c>
      <c r="H125" s="2" t="s">
        <v>94</v>
      </c>
      <c r="I125" s="26">
        <v>45525</v>
      </c>
      <c r="J125" s="2">
        <v>15</v>
      </c>
      <c r="K125" s="2" t="s">
        <v>123</v>
      </c>
      <c r="L125" s="22">
        <v>2500</v>
      </c>
      <c r="M125" s="22">
        <v>37500</v>
      </c>
      <c r="N125" s="18">
        <v>40.11</v>
      </c>
      <c r="O125" s="26">
        <v>45570</v>
      </c>
      <c r="P125" s="2" t="s">
        <v>805</v>
      </c>
      <c r="Q125" s="2" t="s">
        <v>806</v>
      </c>
    </row>
    <row r="126" spans="2:17" x14ac:dyDescent="0.25">
      <c r="B126" s="2" t="s">
        <v>930</v>
      </c>
      <c r="C126" s="2" t="s">
        <v>127</v>
      </c>
      <c r="D126" s="2" t="s">
        <v>128</v>
      </c>
      <c r="E126" s="2" t="s">
        <v>122</v>
      </c>
      <c r="F126" s="2" t="s">
        <v>535</v>
      </c>
      <c r="G126" s="2" t="s">
        <v>416</v>
      </c>
      <c r="H126" s="2" t="s">
        <v>94</v>
      </c>
      <c r="I126" s="26">
        <v>45535</v>
      </c>
      <c r="J126" s="2">
        <v>14</v>
      </c>
      <c r="K126" s="2" t="s">
        <v>123</v>
      </c>
      <c r="L126" s="22">
        <v>2500</v>
      </c>
      <c r="M126" s="22">
        <v>35000</v>
      </c>
      <c r="N126" s="18">
        <v>37.43</v>
      </c>
      <c r="O126" s="26">
        <v>45580</v>
      </c>
      <c r="P126" s="2" t="s">
        <v>805</v>
      </c>
      <c r="Q126" s="2" t="s">
        <v>806</v>
      </c>
    </row>
    <row r="127" spans="2:17" x14ac:dyDescent="0.25">
      <c r="B127" s="2" t="s">
        <v>931</v>
      </c>
      <c r="C127" s="2" t="s">
        <v>127</v>
      </c>
      <c r="D127" s="2" t="s">
        <v>128</v>
      </c>
      <c r="E127" s="2" t="s">
        <v>122</v>
      </c>
      <c r="F127" s="2" t="s">
        <v>535</v>
      </c>
      <c r="G127" s="2" t="s">
        <v>416</v>
      </c>
      <c r="H127" s="2" t="s">
        <v>94</v>
      </c>
      <c r="I127" s="26">
        <v>45545</v>
      </c>
      <c r="J127" s="2">
        <v>18</v>
      </c>
      <c r="K127" s="2" t="s">
        <v>123</v>
      </c>
      <c r="L127" s="22">
        <v>2500</v>
      </c>
      <c r="M127" s="22">
        <v>45000</v>
      </c>
      <c r="N127" s="18">
        <v>48.13</v>
      </c>
      <c r="O127" s="26">
        <v>45590</v>
      </c>
      <c r="P127" s="2" t="s">
        <v>805</v>
      </c>
      <c r="Q127" s="2" t="s">
        <v>814</v>
      </c>
    </row>
    <row r="128" spans="2:17" x14ac:dyDescent="0.25">
      <c r="B128" s="2" t="s">
        <v>932</v>
      </c>
      <c r="C128" s="2" t="s">
        <v>127</v>
      </c>
      <c r="D128" s="2" t="s">
        <v>128</v>
      </c>
      <c r="E128" s="2" t="s">
        <v>122</v>
      </c>
      <c r="F128" s="2" t="s">
        <v>537</v>
      </c>
      <c r="G128" s="2" t="s">
        <v>420</v>
      </c>
      <c r="H128" s="2" t="s">
        <v>421</v>
      </c>
      <c r="I128" s="26">
        <v>45553</v>
      </c>
      <c r="J128" s="2">
        <v>19</v>
      </c>
      <c r="K128" s="2" t="s">
        <v>123</v>
      </c>
      <c r="L128" s="22">
        <v>2700</v>
      </c>
      <c r="M128" s="22">
        <v>51300</v>
      </c>
      <c r="N128" s="18">
        <v>54.87</v>
      </c>
      <c r="O128" s="26">
        <v>45598</v>
      </c>
      <c r="P128" s="2" t="s">
        <v>805</v>
      </c>
      <c r="Q128" s="2" t="s">
        <v>814</v>
      </c>
    </row>
    <row r="129" spans="2:17" x14ac:dyDescent="0.25">
      <c r="B129" s="2" t="s">
        <v>933</v>
      </c>
      <c r="C129" s="2" t="s">
        <v>127</v>
      </c>
      <c r="D129" s="2" t="s">
        <v>128</v>
      </c>
      <c r="E129" s="2" t="s">
        <v>122</v>
      </c>
      <c r="F129" s="2" t="s">
        <v>535</v>
      </c>
      <c r="G129" s="2" t="s">
        <v>416</v>
      </c>
      <c r="H129" s="2" t="s">
        <v>94</v>
      </c>
      <c r="I129" s="26">
        <v>45562</v>
      </c>
      <c r="J129" s="2">
        <v>19</v>
      </c>
      <c r="K129" s="2" t="s">
        <v>123</v>
      </c>
      <c r="L129" s="22">
        <v>2500</v>
      </c>
      <c r="M129" s="22">
        <v>47500</v>
      </c>
      <c r="N129" s="18">
        <v>50.8</v>
      </c>
      <c r="O129" s="26">
        <v>45607</v>
      </c>
      <c r="P129" s="2" t="s">
        <v>805</v>
      </c>
      <c r="Q129" s="2" t="s">
        <v>814</v>
      </c>
    </row>
    <row r="130" spans="2:17" x14ac:dyDescent="0.25">
      <c r="B130" s="2" t="s">
        <v>934</v>
      </c>
      <c r="C130" s="2" t="s">
        <v>127</v>
      </c>
      <c r="D130" s="2" t="s">
        <v>128</v>
      </c>
      <c r="E130" s="2" t="s">
        <v>122</v>
      </c>
      <c r="F130" s="2" t="s">
        <v>535</v>
      </c>
      <c r="G130" s="2" t="s">
        <v>416</v>
      </c>
      <c r="H130" s="2" t="s">
        <v>94</v>
      </c>
      <c r="I130" s="26">
        <v>45569</v>
      </c>
      <c r="J130" s="2">
        <v>36</v>
      </c>
      <c r="K130" s="2" t="s">
        <v>123</v>
      </c>
      <c r="L130" s="22">
        <v>2500</v>
      </c>
      <c r="M130" s="22">
        <v>90000</v>
      </c>
      <c r="N130" s="18">
        <v>96.26</v>
      </c>
      <c r="O130" s="26">
        <v>45614</v>
      </c>
      <c r="P130" s="2" t="s">
        <v>805</v>
      </c>
      <c r="Q130" s="2" t="s">
        <v>814</v>
      </c>
    </row>
    <row r="131" spans="2:17" x14ac:dyDescent="0.25">
      <c r="B131" s="2" t="s">
        <v>935</v>
      </c>
      <c r="C131" s="2" t="s">
        <v>127</v>
      </c>
      <c r="D131" s="2" t="s">
        <v>128</v>
      </c>
      <c r="E131" s="2" t="s">
        <v>122</v>
      </c>
      <c r="F131" s="2" t="s">
        <v>535</v>
      </c>
      <c r="G131" s="2" t="s">
        <v>416</v>
      </c>
      <c r="H131" s="2" t="s">
        <v>94</v>
      </c>
      <c r="I131" s="26">
        <v>45577</v>
      </c>
      <c r="J131" s="2">
        <v>40</v>
      </c>
      <c r="K131" s="2" t="s">
        <v>123</v>
      </c>
      <c r="L131" s="22">
        <v>2500</v>
      </c>
      <c r="M131" s="22">
        <v>100000</v>
      </c>
      <c r="N131" s="18">
        <v>106.95</v>
      </c>
      <c r="O131" s="26">
        <v>45622</v>
      </c>
      <c r="P131" s="2" t="s">
        <v>805</v>
      </c>
      <c r="Q131" s="2" t="s">
        <v>814</v>
      </c>
    </row>
    <row r="132" spans="2:17" x14ac:dyDescent="0.25">
      <c r="B132" s="2" t="s">
        <v>936</v>
      </c>
      <c r="C132" s="2" t="s">
        <v>127</v>
      </c>
      <c r="D132" s="2" t="s">
        <v>128</v>
      </c>
      <c r="E132" s="2" t="s">
        <v>122</v>
      </c>
      <c r="F132" s="2" t="s">
        <v>535</v>
      </c>
      <c r="G132" s="2" t="s">
        <v>416</v>
      </c>
      <c r="H132" s="2" t="s">
        <v>94</v>
      </c>
      <c r="I132" s="26">
        <v>45587</v>
      </c>
      <c r="J132" s="2">
        <v>35</v>
      </c>
      <c r="K132" s="2" t="s">
        <v>123</v>
      </c>
      <c r="L132" s="22">
        <v>2500</v>
      </c>
      <c r="M132" s="22">
        <v>87500</v>
      </c>
      <c r="N132" s="18">
        <v>93.58</v>
      </c>
      <c r="O132" s="26">
        <v>45632</v>
      </c>
      <c r="P132" s="2" t="s">
        <v>805</v>
      </c>
      <c r="Q132" s="2" t="s">
        <v>814</v>
      </c>
    </row>
    <row r="133" spans="2:17" x14ac:dyDescent="0.25">
      <c r="B133" s="2" t="s">
        <v>937</v>
      </c>
      <c r="C133" s="2" t="s">
        <v>127</v>
      </c>
      <c r="D133" s="2" t="s">
        <v>128</v>
      </c>
      <c r="E133" s="2" t="s">
        <v>122</v>
      </c>
      <c r="F133" s="2" t="s">
        <v>535</v>
      </c>
      <c r="G133" s="2" t="s">
        <v>416</v>
      </c>
      <c r="H133" s="2" t="s">
        <v>94</v>
      </c>
      <c r="I133" s="26">
        <v>45597</v>
      </c>
      <c r="J133" s="2">
        <v>46</v>
      </c>
      <c r="K133" s="2" t="s">
        <v>123</v>
      </c>
      <c r="L133" s="22">
        <v>2500</v>
      </c>
      <c r="M133" s="22">
        <v>115000</v>
      </c>
      <c r="N133" s="18">
        <v>122.99</v>
      </c>
      <c r="O133" s="26">
        <v>45642</v>
      </c>
      <c r="P133" s="2" t="s">
        <v>805</v>
      </c>
      <c r="Q133" s="2" t="s">
        <v>814</v>
      </c>
    </row>
    <row r="134" spans="2:17" x14ac:dyDescent="0.25">
      <c r="B134" s="2" t="s">
        <v>938</v>
      </c>
      <c r="C134" s="2" t="s">
        <v>127</v>
      </c>
      <c r="D134" s="2" t="s">
        <v>128</v>
      </c>
      <c r="E134" s="2" t="s">
        <v>122</v>
      </c>
      <c r="F134" s="2" t="s">
        <v>535</v>
      </c>
      <c r="G134" s="2" t="s">
        <v>416</v>
      </c>
      <c r="H134" s="2" t="s">
        <v>94</v>
      </c>
      <c r="I134" s="26">
        <v>45606</v>
      </c>
      <c r="J134" s="2">
        <v>37</v>
      </c>
      <c r="K134" s="2" t="s">
        <v>123</v>
      </c>
      <c r="L134" s="22">
        <v>2500</v>
      </c>
      <c r="M134" s="22">
        <v>92500</v>
      </c>
      <c r="N134" s="18">
        <v>98.93</v>
      </c>
      <c r="O134" s="26">
        <v>45651</v>
      </c>
      <c r="P134" s="2" t="s">
        <v>805</v>
      </c>
      <c r="Q134" s="2" t="s">
        <v>814</v>
      </c>
    </row>
    <row r="135" spans="2:17" x14ac:dyDescent="0.25">
      <c r="B135" s="2" t="s">
        <v>939</v>
      </c>
      <c r="C135" s="2" t="s">
        <v>127</v>
      </c>
      <c r="D135" s="2" t="s">
        <v>128</v>
      </c>
      <c r="E135" s="2" t="s">
        <v>122</v>
      </c>
      <c r="F135" s="2" t="s">
        <v>535</v>
      </c>
      <c r="G135" s="2" t="s">
        <v>416</v>
      </c>
      <c r="H135" s="2" t="s">
        <v>94</v>
      </c>
      <c r="I135" s="26">
        <v>45616</v>
      </c>
      <c r="J135" s="2">
        <v>45</v>
      </c>
      <c r="K135" s="2" t="s">
        <v>123</v>
      </c>
      <c r="L135" s="22">
        <v>2500</v>
      </c>
      <c r="M135" s="22">
        <v>112500</v>
      </c>
      <c r="N135" s="18">
        <v>120.32</v>
      </c>
      <c r="O135" s="26">
        <v>45661</v>
      </c>
      <c r="P135" s="2" t="s">
        <v>805</v>
      </c>
      <c r="Q135" s="2" t="s">
        <v>814</v>
      </c>
    </row>
    <row r="136" spans="2:17" x14ac:dyDescent="0.25">
      <c r="B136" s="2" t="s">
        <v>940</v>
      </c>
      <c r="C136" s="2" t="s">
        <v>127</v>
      </c>
      <c r="D136" s="2" t="s">
        <v>128</v>
      </c>
      <c r="E136" s="2" t="s">
        <v>122</v>
      </c>
      <c r="F136" s="2" t="s">
        <v>537</v>
      </c>
      <c r="G136" s="2" t="s">
        <v>420</v>
      </c>
      <c r="H136" s="2" t="s">
        <v>421</v>
      </c>
      <c r="I136" s="26">
        <v>45626</v>
      </c>
      <c r="J136" s="2">
        <v>44</v>
      </c>
      <c r="K136" s="2" t="s">
        <v>123</v>
      </c>
      <c r="L136" s="22">
        <v>2700</v>
      </c>
      <c r="M136" s="22">
        <v>118800</v>
      </c>
      <c r="N136" s="18">
        <v>127.06</v>
      </c>
      <c r="O136" s="26">
        <v>45671</v>
      </c>
      <c r="P136" s="2" t="s">
        <v>805</v>
      </c>
      <c r="Q136" s="2" t="s">
        <v>814</v>
      </c>
    </row>
    <row r="137" spans="2:17" x14ac:dyDescent="0.25">
      <c r="B137" s="2" t="s">
        <v>941</v>
      </c>
      <c r="C137" s="2" t="s">
        <v>127</v>
      </c>
      <c r="D137" s="2" t="s">
        <v>128</v>
      </c>
      <c r="E137" s="2" t="s">
        <v>122</v>
      </c>
      <c r="F137" s="2" t="s">
        <v>535</v>
      </c>
      <c r="G137" s="2" t="s">
        <v>416</v>
      </c>
      <c r="H137" s="2" t="s">
        <v>94</v>
      </c>
      <c r="I137" s="26">
        <v>45634</v>
      </c>
      <c r="J137" s="2">
        <v>54</v>
      </c>
      <c r="K137" s="2" t="s">
        <v>123</v>
      </c>
      <c r="L137" s="22">
        <v>2500</v>
      </c>
      <c r="M137" s="22">
        <v>135000</v>
      </c>
      <c r="N137" s="18">
        <v>144.38999999999999</v>
      </c>
      <c r="O137" s="26">
        <v>45679</v>
      </c>
      <c r="P137" s="2" t="s">
        <v>805</v>
      </c>
      <c r="Q137" s="2" t="s">
        <v>825</v>
      </c>
    </row>
    <row r="138" spans="2:17" x14ac:dyDescent="0.25">
      <c r="B138" s="2" t="s">
        <v>942</v>
      </c>
      <c r="C138" s="2" t="s">
        <v>127</v>
      </c>
      <c r="D138" s="2" t="s">
        <v>128</v>
      </c>
      <c r="E138" s="2" t="s">
        <v>122</v>
      </c>
      <c r="F138" s="2" t="s">
        <v>535</v>
      </c>
      <c r="G138" s="2" t="s">
        <v>416</v>
      </c>
      <c r="H138" s="2" t="s">
        <v>94</v>
      </c>
      <c r="I138" s="26">
        <v>45642</v>
      </c>
      <c r="J138" s="2">
        <v>57</v>
      </c>
      <c r="K138" s="2" t="s">
        <v>123</v>
      </c>
      <c r="L138" s="22">
        <v>2500</v>
      </c>
      <c r="M138" s="22">
        <v>142500</v>
      </c>
      <c r="N138" s="18">
        <v>152.41</v>
      </c>
      <c r="O138" s="26">
        <v>45687</v>
      </c>
      <c r="P138" s="2" t="s">
        <v>805</v>
      </c>
      <c r="Q138" s="2" t="s">
        <v>825</v>
      </c>
    </row>
    <row r="139" spans="2:17" x14ac:dyDescent="0.25">
      <c r="B139" s="2" t="s">
        <v>943</v>
      </c>
      <c r="C139" s="2" t="s">
        <v>127</v>
      </c>
      <c r="D139" s="2" t="s">
        <v>128</v>
      </c>
      <c r="E139" s="2" t="s">
        <v>122</v>
      </c>
      <c r="F139" s="2" t="s">
        <v>535</v>
      </c>
      <c r="G139" s="2" t="s">
        <v>416</v>
      </c>
      <c r="H139" s="2" t="s">
        <v>94</v>
      </c>
      <c r="I139" s="26">
        <v>45651</v>
      </c>
      <c r="J139" s="2">
        <v>55</v>
      </c>
      <c r="K139" s="2" t="s">
        <v>123</v>
      </c>
      <c r="L139" s="22">
        <v>2500</v>
      </c>
      <c r="M139" s="22">
        <v>137500</v>
      </c>
      <c r="N139" s="18">
        <v>147.06</v>
      </c>
      <c r="O139" s="26">
        <v>45696</v>
      </c>
      <c r="P139" s="2" t="s">
        <v>805</v>
      </c>
      <c r="Q139" s="2" t="s">
        <v>825</v>
      </c>
    </row>
    <row r="140" spans="2:17" x14ac:dyDescent="0.25">
      <c r="B140" s="2" t="s">
        <v>944</v>
      </c>
      <c r="C140" s="2" t="s">
        <v>127</v>
      </c>
      <c r="D140" s="2" t="s">
        <v>128</v>
      </c>
      <c r="E140" s="2" t="s">
        <v>122</v>
      </c>
      <c r="F140" s="2" t="s">
        <v>535</v>
      </c>
      <c r="G140" s="2" t="s">
        <v>416</v>
      </c>
      <c r="H140" s="2" t="s">
        <v>94</v>
      </c>
      <c r="I140" s="26">
        <v>45659</v>
      </c>
      <c r="J140" s="2">
        <v>40</v>
      </c>
      <c r="K140" s="2" t="s">
        <v>123</v>
      </c>
      <c r="L140" s="22">
        <v>2500</v>
      </c>
      <c r="M140" s="22">
        <v>100000</v>
      </c>
      <c r="N140" s="18">
        <v>106.95</v>
      </c>
      <c r="O140" s="26">
        <v>45704</v>
      </c>
      <c r="P140" s="2" t="s">
        <v>805</v>
      </c>
      <c r="Q140" s="2" t="s">
        <v>825</v>
      </c>
    </row>
    <row r="141" spans="2:17" x14ac:dyDescent="0.25">
      <c r="B141" s="2" t="s">
        <v>945</v>
      </c>
      <c r="C141" s="2" t="s">
        <v>127</v>
      </c>
      <c r="D141" s="2" t="s">
        <v>128</v>
      </c>
      <c r="E141" s="2" t="s">
        <v>122</v>
      </c>
      <c r="F141" s="2" t="s">
        <v>535</v>
      </c>
      <c r="G141" s="2" t="s">
        <v>416</v>
      </c>
      <c r="H141" s="2" t="s">
        <v>94</v>
      </c>
      <c r="I141" s="26">
        <v>45668</v>
      </c>
      <c r="J141" s="2">
        <v>39</v>
      </c>
      <c r="K141" s="2" t="s">
        <v>123</v>
      </c>
      <c r="L141" s="22">
        <v>2500</v>
      </c>
      <c r="M141" s="22">
        <v>97500</v>
      </c>
      <c r="N141" s="18">
        <v>104.28</v>
      </c>
      <c r="O141" s="26">
        <v>45713</v>
      </c>
      <c r="P141" s="2" t="s">
        <v>805</v>
      </c>
      <c r="Q141" s="2" t="s">
        <v>825</v>
      </c>
    </row>
    <row r="142" spans="2:17" x14ac:dyDescent="0.25">
      <c r="B142" s="2" t="s">
        <v>946</v>
      </c>
      <c r="C142" s="2" t="s">
        <v>127</v>
      </c>
      <c r="D142" s="2" t="s">
        <v>128</v>
      </c>
      <c r="E142" s="2" t="s">
        <v>122</v>
      </c>
      <c r="F142" s="2" t="s">
        <v>535</v>
      </c>
      <c r="G142" s="2" t="s">
        <v>416</v>
      </c>
      <c r="H142" s="2" t="s">
        <v>94</v>
      </c>
      <c r="I142" s="26">
        <v>45677</v>
      </c>
      <c r="J142" s="2">
        <v>39</v>
      </c>
      <c r="K142" s="2" t="s">
        <v>123</v>
      </c>
      <c r="L142" s="22">
        <v>2500</v>
      </c>
      <c r="M142" s="22">
        <v>97500</v>
      </c>
      <c r="N142" s="18">
        <v>104.28</v>
      </c>
      <c r="O142" s="26">
        <v>45722</v>
      </c>
      <c r="P142" s="2" t="s">
        <v>805</v>
      </c>
      <c r="Q142" s="2" t="s">
        <v>825</v>
      </c>
    </row>
    <row r="143" spans="2:17" x14ac:dyDescent="0.25">
      <c r="B143" s="2" t="s">
        <v>947</v>
      </c>
      <c r="C143" s="2" t="s">
        <v>127</v>
      </c>
      <c r="D143" s="2" t="s">
        <v>128</v>
      </c>
      <c r="E143" s="2" t="s">
        <v>122</v>
      </c>
      <c r="F143" s="2" t="s">
        <v>535</v>
      </c>
      <c r="G143" s="2" t="s">
        <v>416</v>
      </c>
      <c r="H143" s="2" t="s">
        <v>94</v>
      </c>
      <c r="I143" s="26">
        <v>45688</v>
      </c>
      <c r="J143" s="2">
        <v>46</v>
      </c>
      <c r="K143" s="2" t="s">
        <v>123</v>
      </c>
      <c r="L143" s="22">
        <v>2500</v>
      </c>
      <c r="M143" s="22">
        <v>115000</v>
      </c>
      <c r="N143" s="18">
        <v>122.99</v>
      </c>
      <c r="O143" s="26">
        <v>45733</v>
      </c>
      <c r="P143" s="2" t="s">
        <v>805</v>
      </c>
      <c r="Q143" s="2" t="s">
        <v>825</v>
      </c>
    </row>
    <row r="144" spans="2:17" x14ac:dyDescent="0.25">
      <c r="B144" s="2" t="s">
        <v>948</v>
      </c>
      <c r="C144" s="2" t="s">
        <v>127</v>
      </c>
      <c r="D144" s="2" t="s">
        <v>128</v>
      </c>
      <c r="E144" s="2" t="s">
        <v>122</v>
      </c>
      <c r="F144" s="2" t="s">
        <v>535</v>
      </c>
      <c r="G144" s="2" t="s">
        <v>416</v>
      </c>
      <c r="H144" s="2" t="s">
        <v>94</v>
      </c>
      <c r="I144" s="26">
        <v>45699</v>
      </c>
      <c r="J144" s="2">
        <v>49</v>
      </c>
      <c r="K144" s="2" t="s">
        <v>123</v>
      </c>
      <c r="L144" s="22">
        <v>2500</v>
      </c>
      <c r="M144" s="22">
        <v>122500</v>
      </c>
      <c r="N144" s="18">
        <v>131.02000000000001</v>
      </c>
      <c r="O144" s="26">
        <v>45744</v>
      </c>
      <c r="P144" s="2" t="s">
        <v>805</v>
      </c>
      <c r="Q144" s="2" t="s">
        <v>825</v>
      </c>
    </row>
    <row r="145" spans="2:17" x14ac:dyDescent="0.25">
      <c r="B145" s="2" t="s">
        <v>949</v>
      </c>
      <c r="C145" s="2" t="s">
        <v>127</v>
      </c>
      <c r="D145" s="2" t="s">
        <v>128</v>
      </c>
      <c r="E145" s="2" t="s">
        <v>122</v>
      </c>
      <c r="F145" s="2" t="s">
        <v>535</v>
      </c>
      <c r="G145" s="2" t="s">
        <v>416</v>
      </c>
      <c r="H145" s="2" t="s">
        <v>94</v>
      </c>
      <c r="I145" s="26">
        <v>45710</v>
      </c>
      <c r="J145" s="2">
        <v>40</v>
      </c>
      <c r="K145" s="2" t="s">
        <v>123</v>
      </c>
      <c r="L145" s="22">
        <v>2500</v>
      </c>
      <c r="M145" s="22">
        <v>100000</v>
      </c>
      <c r="N145" s="18">
        <v>106.95</v>
      </c>
      <c r="O145" s="26">
        <v>45755</v>
      </c>
      <c r="P145" s="2" t="s">
        <v>805</v>
      </c>
      <c r="Q145" s="2" t="s">
        <v>825</v>
      </c>
    </row>
    <row r="146" spans="2:17" x14ac:dyDescent="0.25">
      <c r="B146" s="2" t="s">
        <v>950</v>
      </c>
      <c r="C146" s="2" t="s">
        <v>127</v>
      </c>
      <c r="D146" s="2" t="s">
        <v>128</v>
      </c>
      <c r="E146" s="2" t="s">
        <v>122</v>
      </c>
      <c r="F146" s="2" t="s">
        <v>535</v>
      </c>
      <c r="G146" s="2" t="s">
        <v>416</v>
      </c>
      <c r="H146" s="2" t="s">
        <v>94</v>
      </c>
      <c r="I146" s="26">
        <v>45722</v>
      </c>
      <c r="J146" s="2">
        <v>43</v>
      </c>
      <c r="K146" s="2" t="s">
        <v>123</v>
      </c>
      <c r="L146" s="22">
        <v>2500</v>
      </c>
      <c r="M146" s="22">
        <v>107500</v>
      </c>
      <c r="N146" s="18">
        <v>114.97</v>
      </c>
      <c r="O146" s="26">
        <v>45767</v>
      </c>
      <c r="P146" s="2" t="s">
        <v>805</v>
      </c>
      <c r="Q146" s="2" t="s">
        <v>836</v>
      </c>
    </row>
    <row r="147" spans="2:17" x14ac:dyDescent="0.25">
      <c r="B147" s="2" t="s">
        <v>951</v>
      </c>
      <c r="C147" s="2" t="s">
        <v>127</v>
      </c>
      <c r="D147" s="2" t="s">
        <v>128</v>
      </c>
      <c r="E147" s="2" t="s">
        <v>122</v>
      </c>
      <c r="F147" s="2" t="s">
        <v>535</v>
      </c>
      <c r="G147" s="2" t="s">
        <v>416</v>
      </c>
      <c r="H147" s="2" t="s">
        <v>94</v>
      </c>
      <c r="I147" s="26">
        <v>45732</v>
      </c>
      <c r="J147" s="2">
        <v>38</v>
      </c>
      <c r="K147" s="2" t="s">
        <v>123</v>
      </c>
      <c r="L147" s="22">
        <v>2500</v>
      </c>
      <c r="M147" s="22">
        <v>95000</v>
      </c>
      <c r="N147" s="18">
        <v>101.6</v>
      </c>
      <c r="O147" s="26">
        <v>45777</v>
      </c>
      <c r="P147" s="2" t="s">
        <v>805</v>
      </c>
      <c r="Q147" s="2" t="s">
        <v>836</v>
      </c>
    </row>
    <row r="148" spans="2:17" x14ac:dyDescent="0.25">
      <c r="B148" s="2" t="s">
        <v>952</v>
      </c>
      <c r="C148" s="2" t="s">
        <v>127</v>
      </c>
      <c r="D148" s="2" t="s">
        <v>128</v>
      </c>
      <c r="E148" s="2" t="s">
        <v>122</v>
      </c>
      <c r="F148" s="2" t="s">
        <v>535</v>
      </c>
      <c r="G148" s="2" t="s">
        <v>416</v>
      </c>
      <c r="H148" s="2" t="s">
        <v>94</v>
      </c>
      <c r="I148" s="26">
        <v>45741</v>
      </c>
      <c r="J148" s="2">
        <v>43</v>
      </c>
      <c r="K148" s="2" t="s">
        <v>123</v>
      </c>
      <c r="L148" s="22">
        <v>2500</v>
      </c>
      <c r="M148" s="22">
        <v>107500</v>
      </c>
      <c r="N148" s="18">
        <v>114.97</v>
      </c>
      <c r="O148" s="26">
        <v>45786</v>
      </c>
      <c r="P148" s="2" t="s">
        <v>805</v>
      </c>
      <c r="Q148" s="2" t="s">
        <v>836</v>
      </c>
    </row>
    <row r="149" spans="2:17" x14ac:dyDescent="0.25">
      <c r="B149" s="2" t="s">
        <v>953</v>
      </c>
      <c r="C149" s="2" t="s">
        <v>127</v>
      </c>
      <c r="D149" s="2" t="s">
        <v>128</v>
      </c>
      <c r="E149" s="2" t="s">
        <v>122</v>
      </c>
      <c r="F149" s="2" t="s">
        <v>535</v>
      </c>
      <c r="G149" s="2" t="s">
        <v>416</v>
      </c>
      <c r="H149" s="2" t="s">
        <v>94</v>
      </c>
      <c r="I149" s="26">
        <v>45751</v>
      </c>
      <c r="J149" s="2">
        <v>16</v>
      </c>
      <c r="K149" s="2" t="s">
        <v>123</v>
      </c>
      <c r="L149" s="22">
        <v>2500</v>
      </c>
      <c r="M149" s="22">
        <v>40000</v>
      </c>
      <c r="N149" s="18">
        <v>42.78</v>
      </c>
      <c r="O149" s="26">
        <v>45796</v>
      </c>
      <c r="P149" s="2" t="s">
        <v>805</v>
      </c>
      <c r="Q149" s="2" t="s">
        <v>836</v>
      </c>
    </row>
    <row r="150" spans="2:17" x14ac:dyDescent="0.25">
      <c r="B150" s="2" t="s">
        <v>954</v>
      </c>
      <c r="C150" s="2" t="s">
        <v>127</v>
      </c>
      <c r="D150" s="2" t="s">
        <v>128</v>
      </c>
      <c r="E150" s="2" t="s">
        <v>122</v>
      </c>
      <c r="F150" s="2" t="s">
        <v>537</v>
      </c>
      <c r="G150" s="2" t="s">
        <v>420</v>
      </c>
      <c r="H150" s="2" t="s">
        <v>421</v>
      </c>
      <c r="I150" s="26">
        <v>45758</v>
      </c>
      <c r="J150" s="2">
        <v>14</v>
      </c>
      <c r="K150" s="2" t="s">
        <v>123</v>
      </c>
      <c r="L150" s="22">
        <v>2700</v>
      </c>
      <c r="M150" s="22">
        <v>37800</v>
      </c>
      <c r="N150" s="18">
        <v>40.43</v>
      </c>
      <c r="O150" s="26">
        <v>45803</v>
      </c>
      <c r="P150" s="2" t="s">
        <v>805</v>
      </c>
      <c r="Q150" s="2" t="s">
        <v>836</v>
      </c>
    </row>
    <row r="151" spans="2:17" x14ac:dyDescent="0.25">
      <c r="B151" s="2" t="s">
        <v>955</v>
      </c>
      <c r="C151" s="2" t="s">
        <v>127</v>
      </c>
      <c r="D151" s="2" t="s">
        <v>128</v>
      </c>
      <c r="E151" s="2" t="s">
        <v>122</v>
      </c>
      <c r="F151" s="2" t="s">
        <v>535</v>
      </c>
      <c r="G151" s="2" t="s">
        <v>416</v>
      </c>
      <c r="H151" s="2" t="s">
        <v>94</v>
      </c>
      <c r="I151" s="26">
        <v>45765</v>
      </c>
      <c r="J151" s="2">
        <v>16</v>
      </c>
      <c r="K151" s="2" t="s">
        <v>123</v>
      </c>
      <c r="L151" s="22">
        <v>2500</v>
      </c>
      <c r="M151" s="22">
        <v>40000</v>
      </c>
      <c r="N151" s="18">
        <v>42.78</v>
      </c>
      <c r="O151" s="26">
        <v>45810</v>
      </c>
      <c r="P151" s="2" t="s">
        <v>805</v>
      </c>
      <c r="Q151" s="2" t="s">
        <v>836</v>
      </c>
    </row>
    <row r="152" spans="2:17" x14ac:dyDescent="0.25">
      <c r="B152" s="2" t="s">
        <v>956</v>
      </c>
      <c r="C152" s="2" t="s">
        <v>127</v>
      </c>
      <c r="D152" s="2" t="s">
        <v>128</v>
      </c>
      <c r="E152" s="2" t="s">
        <v>122</v>
      </c>
      <c r="F152" s="2" t="s">
        <v>535</v>
      </c>
      <c r="G152" s="2" t="s">
        <v>416</v>
      </c>
      <c r="H152" s="2" t="s">
        <v>94</v>
      </c>
      <c r="I152" s="26">
        <v>45777</v>
      </c>
      <c r="J152" s="2">
        <v>17</v>
      </c>
      <c r="K152" s="2" t="s">
        <v>123</v>
      </c>
      <c r="L152" s="22">
        <v>2500</v>
      </c>
      <c r="M152" s="22">
        <v>42500</v>
      </c>
      <c r="N152" s="18">
        <v>45.45</v>
      </c>
      <c r="O152" s="26">
        <v>45822</v>
      </c>
      <c r="P152" s="2" t="s">
        <v>805</v>
      </c>
      <c r="Q152" s="2" t="s">
        <v>836</v>
      </c>
    </row>
    <row r="153" spans="2:17" x14ac:dyDescent="0.25">
      <c r="B153" s="2" t="s">
        <v>957</v>
      </c>
      <c r="C153" s="2" t="s">
        <v>127</v>
      </c>
      <c r="D153" s="2" t="s">
        <v>128</v>
      </c>
      <c r="E153" s="2" t="s">
        <v>122</v>
      </c>
      <c r="F153" s="2" t="s">
        <v>537</v>
      </c>
      <c r="G153" s="2" t="s">
        <v>420</v>
      </c>
      <c r="H153" s="2" t="s">
        <v>421</v>
      </c>
      <c r="I153" s="26">
        <v>45789</v>
      </c>
      <c r="J153" s="2">
        <v>15</v>
      </c>
      <c r="K153" s="2" t="s">
        <v>123</v>
      </c>
      <c r="L153" s="22">
        <v>2700</v>
      </c>
      <c r="M153" s="22">
        <v>40500</v>
      </c>
      <c r="N153" s="18">
        <v>43.32</v>
      </c>
      <c r="O153" s="26">
        <v>45834</v>
      </c>
      <c r="P153" s="2" t="s">
        <v>805</v>
      </c>
      <c r="Q153" s="2" t="s">
        <v>836</v>
      </c>
    </row>
    <row r="154" spans="2:17" x14ac:dyDescent="0.25">
      <c r="B154" s="2" t="s">
        <v>958</v>
      </c>
      <c r="C154" s="2" t="s">
        <v>127</v>
      </c>
      <c r="D154" s="2" t="s">
        <v>128</v>
      </c>
      <c r="E154" s="2" t="s">
        <v>122</v>
      </c>
      <c r="F154" s="2" t="s">
        <v>535</v>
      </c>
      <c r="G154" s="2" t="s">
        <v>416</v>
      </c>
      <c r="H154" s="2" t="s">
        <v>94</v>
      </c>
      <c r="I154" s="26">
        <v>45799</v>
      </c>
      <c r="J154" s="2">
        <v>19</v>
      </c>
      <c r="K154" s="2" t="s">
        <v>123</v>
      </c>
      <c r="L154" s="22">
        <v>2500</v>
      </c>
      <c r="M154" s="22">
        <v>47500</v>
      </c>
      <c r="N154" s="18">
        <v>50.8</v>
      </c>
      <c r="O154" s="26">
        <v>45844</v>
      </c>
      <c r="P154" s="2" t="s">
        <v>805</v>
      </c>
      <c r="Q154" s="2" t="s">
        <v>836</v>
      </c>
    </row>
    <row r="155" spans="2:17" x14ac:dyDescent="0.25">
      <c r="B155" s="2" t="s">
        <v>959</v>
      </c>
      <c r="C155" s="2" t="s">
        <v>127</v>
      </c>
      <c r="D155" s="2" t="s">
        <v>128</v>
      </c>
      <c r="E155" s="2" t="s">
        <v>122</v>
      </c>
      <c r="F155" s="2" t="s">
        <v>537</v>
      </c>
      <c r="G155" s="2" t="s">
        <v>420</v>
      </c>
      <c r="H155" s="2" t="s">
        <v>421</v>
      </c>
      <c r="I155" s="26">
        <v>45809</v>
      </c>
      <c r="J155" s="2">
        <v>18</v>
      </c>
      <c r="K155" s="2" t="s">
        <v>123</v>
      </c>
      <c r="L155" s="22">
        <v>2700</v>
      </c>
      <c r="M155" s="22">
        <v>48600</v>
      </c>
      <c r="N155" s="18">
        <v>51.98</v>
      </c>
      <c r="O155" s="26">
        <v>45854</v>
      </c>
      <c r="P155" s="2" t="s">
        <v>805</v>
      </c>
      <c r="Q155" s="2" t="s">
        <v>806</v>
      </c>
    </row>
    <row r="156" spans="2:17" x14ac:dyDescent="0.25">
      <c r="B156" s="2" t="s">
        <v>960</v>
      </c>
      <c r="C156" s="2" t="s">
        <v>127</v>
      </c>
      <c r="D156" s="2" t="s">
        <v>128</v>
      </c>
      <c r="E156" s="2" t="s">
        <v>122</v>
      </c>
      <c r="F156" s="2" t="s">
        <v>535</v>
      </c>
      <c r="G156" s="2" t="s">
        <v>416</v>
      </c>
      <c r="H156" s="2" t="s">
        <v>94</v>
      </c>
      <c r="I156" s="26">
        <v>45819</v>
      </c>
      <c r="J156" s="2">
        <v>18</v>
      </c>
      <c r="K156" s="2" t="s">
        <v>123</v>
      </c>
      <c r="L156" s="22">
        <v>2500</v>
      </c>
      <c r="M156" s="22">
        <v>45000</v>
      </c>
      <c r="N156" s="18">
        <v>48.13</v>
      </c>
      <c r="O156" s="26">
        <v>45864</v>
      </c>
      <c r="P156" s="2" t="s">
        <v>805</v>
      </c>
      <c r="Q156" s="2" t="s">
        <v>806</v>
      </c>
    </row>
    <row r="157" spans="2:17" x14ac:dyDescent="0.25">
      <c r="B157" s="2" t="s">
        <v>961</v>
      </c>
      <c r="C157" s="2" t="s">
        <v>127</v>
      </c>
      <c r="D157" s="2" t="s">
        <v>128</v>
      </c>
      <c r="E157" s="2" t="s">
        <v>122</v>
      </c>
      <c r="F157" s="2" t="s">
        <v>535</v>
      </c>
      <c r="G157" s="2" t="s">
        <v>416</v>
      </c>
      <c r="H157" s="2" t="s">
        <v>94</v>
      </c>
      <c r="I157" s="26">
        <v>45828</v>
      </c>
      <c r="J157" s="2">
        <v>18</v>
      </c>
      <c r="K157" s="2" t="s">
        <v>123</v>
      </c>
      <c r="L157" s="22">
        <v>2500</v>
      </c>
      <c r="M157" s="22">
        <v>45000</v>
      </c>
      <c r="N157" s="18">
        <v>48.13</v>
      </c>
      <c r="O157" s="26">
        <v>45873</v>
      </c>
      <c r="P157" s="2" t="s">
        <v>805</v>
      </c>
      <c r="Q157" s="2" t="s">
        <v>806</v>
      </c>
    </row>
    <row r="158" spans="2:17" x14ac:dyDescent="0.25">
      <c r="B158" s="2" t="s">
        <v>962</v>
      </c>
      <c r="C158" s="2" t="s">
        <v>127</v>
      </c>
      <c r="D158" s="2" t="s">
        <v>128</v>
      </c>
      <c r="E158" s="2" t="s">
        <v>122</v>
      </c>
      <c r="F158" s="2" t="s">
        <v>535</v>
      </c>
      <c r="G158" s="2" t="s">
        <v>416</v>
      </c>
      <c r="H158" s="2" t="s">
        <v>94</v>
      </c>
      <c r="I158" s="26">
        <v>45837</v>
      </c>
      <c r="J158" s="2">
        <v>15</v>
      </c>
      <c r="K158" s="2" t="s">
        <v>123</v>
      </c>
      <c r="L158" s="22">
        <v>2500</v>
      </c>
      <c r="M158" s="22">
        <v>37500</v>
      </c>
      <c r="N158" s="18">
        <v>40.11</v>
      </c>
      <c r="O158" s="26">
        <v>45882</v>
      </c>
      <c r="P158" s="2" t="s">
        <v>805</v>
      </c>
      <c r="Q158" s="2" t="s">
        <v>806</v>
      </c>
    </row>
    <row r="159" spans="2:17" x14ac:dyDescent="0.25">
      <c r="B159" s="2" t="s">
        <v>963</v>
      </c>
      <c r="C159" s="2" t="s">
        <v>130</v>
      </c>
      <c r="D159" s="2" t="s">
        <v>131</v>
      </c>
      <c r="E159" s="2" t="s">
        <v>122</v>
      </c>
      <c r="F159" s="2" t="s">
        <v>535</v>
      </c>
      <c r="G159" s="2" t="s">
        <v>416</v>
      </c>
      <c r="H159" s="2" t="s">
        <v>94</v>
      </c>
      <c r="I159" s="26">
        <v>45109</v>
      </c>
      <c r="J159" s="2">
        <v>17</v>
      </c>
      <c r="K159" s="2" t="s">
        <v>123</v>
      </c>
      <c r="L159" s="22">
        <v>2450</v>
      </c>
      <c r="M159" s="22">
        <v>41650</v>
      </c>
      <c r="N159" s="18">
        <v>44.55</v>
      </c>
      <c r="O159" s="26">
        <v>45154</v>
      </c>
      <c r="P159" s="2" t="s">
        <v>805</v>
      </c>
      <c r="Q159" s="2" t="s">
        <v>806</v>
      </c>
    </row>
    <row r="160" spans="2:17" x14ac:dyDescent="0.25">
      <c r="B160" s="2" t="s">
        <v>964</v>
      </c>
      <c r="C160" s="2" t="s">
        <v>130</v>
      </c>
      <c r="D160" s="2" t="s">
        <v>131</v>
      </c>
      <c r="E160" s="2" t="s">
        <v>122</v>
      </c>
      <c r="F160" s="2" t="s">
        <v>535</v>
      </c>
      <c r="G160" s="2" t="s">
        <v>416</v>
      </c>
      <c r="H160" s="2" t="s">
        <v>94</v>
      </c>
      <c r="I160" s="26">
        <v>45119</v>
      </c>
      <c r="J160" s="2">
        <v>15</v>
      </c>
      <c r="K160" s="2" t="s">
        <v>123</v>
      </c>
      <c r="L160" s="22">
        <v>2450</v>
      </c>
      <c r="M160" s="22">
        <v>36750</v>
      </c>
      <c r="N160" s="18">
        <v>39.299999999999997</v>
      </c>
      <c r="O160" s="26">
        <v>45164</v>
      </c>
      <c r="P160" s="2" t="s">
        <v>805</v>
      </c>
      <c r="Q160" s="2" t="s">
        <v>806</v>
      </c>
    </row>
    <row r="161" spans="2:17" x14ac:dyDescent="0.25">
      <c r="B161" s="2" t="s">
        <v>965</v>
      </c>
      <c r="C161" s="2" t="s">
        <v>130</v>
      </c>
      <c r="D161" s="2" t="s">
        <v>131</v>
      </c>
      <c r="E161" s="2" t="s">
        <v>122</v>
      </c>
      <c r="F161" s="2" t="s">
        <v>535</v>
      </c>
      <c r="G161" s="2" t="s">
        <v>416</v>
      </c>
      <c r="H161" s="2" t="s">
        <v>94</v>
      </c>
      <c r="I161" s="26">
        <v>45127</v>
      </c>
      <c r="J161" s="2">
        <v>15</v>
      </c>
      <c r="K161" s="2" t="s">
        <v>123</v>
      </c>
      <c r="L161" s="22">
        <v>2450</v>
      </c>
      <c r="M161" s="22">
        <v>36750</v>
      </c>
      <c r="N161" s="18">
        <v>39.299999999999997</v>
      </c>
      <c r="O161" s="26">
        <v>45172</v>
      </c>
      <c r="P161" s="2" t="s">
        <v>805</v>
      </c>
      <c r="Q161" s="2" t="s">
        <v>806</v>
      </c>
    </row>
    <row r="162" spans="2:17" x14ac:dyDescent="0.25">
      <c r="B162" s="2" t="s">
        <v>966</v>
      </c>
      <c r="C162" s="2" t="s">
        <v>130</v>
      </c>
      <c r="D162" s="2" t="s">
        <v>131</v>
      </c>
      <c r="E162" s="2" t="s">
        <v>122</v>
      </c>
      <c r="F162" s="2" t="s">
        <v>535</v>
      </c>
      <c r="G162" s="2" t="s">
        <v>416</v>
      </c>
      <c r="H162" s="2" t="s">
        <v>94</v>
      </c>
      <c r="I162" s="26">
        <v>45136</v>
      </c>
      <c r="J162" s="2">
        <v>13</v>
      </c>
      <c r="K162" s="2" t="s">
        <v>123</v>
      </c>
      <c r="L162" s="22">
        <v>2450</v>
      </c>
      <c r="M162" s="22">
        <v>31850</v>
      </c>
      <c r="N162" s="18">
        <v>34.06</v>
      </c>
      <c r="O162" s="26">
        <v>45181</v>
      </c>
      <c r="P162" s="2" t="s">
        <v>805</v>
      </c>
      <c r="Q162" s="2" t="s">
        <v>806</v>
      </c>
    </row>
    <row r="163" spans="2:17" x14ac:dyDescent="0.25">
      <c r="B163" s="2" t="s">
        <v>967</v>
      </c>
      <c r="C163" s="2" t="s">
        <v>130</v>
      </c>
      <c r="D163" s="2" t="s">
        <v>131</v>
      </c>
      <c r="E163" s="2" t="s">
        <v>122</v>
      </c>
      <c r="F163" s="2" t="s">
        <v>535</v>
      </c>
      <c r="G163" s="2" t="s">
        <v>416</v>
      </c>
      <c r="H163" s="2" t="s">
        <v>94</v>
      </c>
      <c r="I163" s="26">
        <v>45145</v>
      </c>
      <c r="J163" s="2">
        <v>15</v>
      </c>
      <c r="K163" s="2" t="s">
        <v>123</v>
      </c>
      <c r="L163" s="22">
        <v>2450</v>
      </c>
      <c r="M163" s="22">
        <v>36750</v>
      </c>
      <c r="N163" s="18">
        <v>39.299999999999997</v>
      </c>
      <c r="O163" s="26">
        <v>45190</v>
      </c>
      <c r="P163" s="2" t="s">
        <v>805</v>
      </c>
      <c r="Q163" s="2" t="s">
        <v>806</v>
      </c>
    </row>
    <row r="164" spans="2:17" x14ac:dyDescent="0.25">
      <c r="B164" s="2" t="s">
        <v>968</v>
      </c>
      <c r="C164" s="2" t="s">
        <v>130</v>
      </c>
      <c r="D164" s="2" t="s">
        <v>131</v>
      </c>
      <c r="E164" s="2" t="s">
        <v>122</v>
      </c>
      <c r="F164" s="2" t="s">
        <v>535</v>
      </c>
      <c r="G164" s="2" t="s">
        <v>416</v>
      </c>
      <c r="H164" s="2" t="s">
        <v>94</v>
      </c>
      <c r="I164" s="26">
        <v>45153</v>
      </c>
      <c r="J164" s="2">
        <v>16</v>
      </c>
      <c r="K164" s="2" t="s">
        <v>123</v>
      </c>
      <c r="L164" s="22">
        <v>2450</v>
      </c>
      <c r="M164" s="22">
        <v>39200</v>
      </c>
      <c r="N164" s="18">
        <v>41.93</v>
      </c>
      <c r="O164" s="26">
        <v>45198</v>
      </c>
      <c r="P164" s="2" t="s">
        <v>805</v>
      </c>
      <c r="Q164" s="2" t="s">
        <v>806</v>
      </c>
    </row>
    <row r="165" spans="2:17" x14ac:dyDescent="0.25">
      <c r="B165" s="2" t="s">
        <v>969</v>
      </c>
      <c r="C165" s="2" t="s">
        <v>130</v>
      </c>
      <c r="D165" s="2" t="s">
        <v>131</v>
      </c>
      <c r="E165" s="2" t="s">
        <v>122</v>
      </c>
      <c r="F165" s="2" t="s">
        <v>535</v>
      </c>
      <c r="G165" s="2" t="s">
        <v>416</v>
      </c>
      <c r="H165" s="2" t="s">
        <v>94</v>
      </c>
      <c r="I165" s="26">
        <v>45162</v>
      </c>
      <c r="J165" s="2">
        <v>15</v>
      </c>
      <c r="K165" s="2" t="s">
        <v>123</v>
      </c>
      <c r="L165" s="22">
        <v>2450</v>
      </c>
      <c r="M165" s="22">
        <v>36750</v>
      </c>
      <c r="N165" s="18">
        <v>39.299999999999997</v>
      </c>
      <c r="O165" s="26">
        <v>45207</v>
      </c>
      <c r="P165" s="2" t="s">
        <v>805</v>
      </c>
      <c r="Q165" s="2" t="s">
        <v>806</v>
      </c>
    </row>
    <row r="166" spans="2:17" x14ac:dyDescent="0.25">
      <c r="B166" s="2" t="s">
        <v>970</v>
      </c>
      <c r="C166" s="2" t="s">
        <v>130</v>
      </c>
      <c r="D166" s="2" t="s">
        <v>131</v>
      </c>
      <c r="E166" s="2" t="s">
        <v>122</v>
      </c>
      <c r="F166" s="2" t="s">
        <v>535</v>
      </c>
      <c r="G166" s="2" t="s">
        <v>416</v>
      </c>
      <c r="H166" s="2" t="s">
        <v>94</v>
      </c>
      <c r="I166" s="26">
        <v>45171</v>
      </c>
      <c r="J166" s="2">
        <v>17</v>
      </c>
      <c r="K166" s="2" t="s">
        <v>123</v>
      </c>
      <c r="L166" s="22">
        <v>2450</v>
      </c>
      <c r="M166" s="22">
        <v>41650</v>
      </c>
      <c r="N166" s="18">
        <v>44.55</v>
      </c>
      <c r="O166" s="26">
        <v>45216</v>
      </c>
      <c r="P166" s="2" t="s">
        <v>805</v>
      </c>
      <c r="Q166" s="2" t="s">
        <v>814</v>
      </c>
    </row>
    <row r="167" spans="2:17" x14ac:dyDescent="0.25">
      <c r="B167" s="2" t="s">
        <v>971</v>
      </c>
      <c r="C167" s="2" t="s">
        <v>130</v>
      </c>
      <c r="D167" s="2" t="s">
        <v>131</v>
      </c>
      <c r="E167" s="2" t="s">
        <v>122</v>
      </c>
      <c r="F167" s="2" t="s">
        <v>535</v>
      </c>
      <c r="G167" s="2" t="s">
        <v>416</v>
      </c>
      <c r="H167" s="2" t="s">
        <v>94</v>
      </c>
      <c r="I167" s="26">
        <v>45181</v>
      </c>
      <c r="J167" s="2">
        <v>18</v>
      </c>
      <c r="K167" s="2" t="s">
        <v>123</v>
      </c>
      <c r="L167" s="22">
        <v>2450</v>
      </c>
      <c r="M167" s="22">
        <v>44100</v>
      </c>
      <c r="N167" s="18">
        <v>47.17</v>
      </c>
      <c r="O167" s="26">
        <v>45226</v>
      </c>
      <c r="P167" s="2" t="s">
        <v>805</v>
      </c>
      <c r="Q167" s="2" t="s">
        <v>814</v>
      </c>
    </row>
    <row r="168" spans="2:17" x14ac:dyDescent="0.25">
      <c r="B168" s="2" t="s">
        <v>972</v>
      </c>
      <c r="C168" s="2" t="s">
        <v>130</v>
      </c>
      <c r="D168" s="2" t="s">
        <v>131</v>
      </c>
      <c r="E168" s="2" t="s">
        <v>122</v>
      </c>
      <c r="F168" s="2" t="s">
        <v>535</v>
      </c>
      <c r="G168" s="2" t="s">
        <v>416</v>
      </c>
      <c r="H168" s="2" t="s">
        <v>94</v>
      </c>
      <c r="I168" s="26">
        <v>45191</v>
      </c>
      <c r="J168" s="2">
        <v>17</v>
      </c>
      <c r="K168" s="2" t="s">
        <v>123</v>
      </c>
      <c r="L168" s="22">
        <v>2450</v>
      </c>
      <c r="M168" s="22">
        <v>41650</v>
      </c>
      <c r="N168" s="18">
        <v>44.55</v>
      </c>
      <c r="O168" s="26">
        <v>45236</v>
      </c>
      <c r="P168" s="2" t="s">
        <v>805</v>
      </c>
      <c r="Q168" s="2" t="s">
        <v>814</v>
      </c>
    </row>
    <row r="169" spans="2:17" x14ac:dyDescent="0.25">
      <c r="B169" s="2" t="s">
        <v>973</v>
      </c>
      <c r="C169" s="2" t="s">
        <v>130</v>
      </c>
      <c r="D169" s="2" t="s">
        <v>131</v>
      </c>
      <c r="E169" s="2" t="s">
        <v>122</v>
      </c>
      <c r="F169" s="2" t="s">
        <v>535</v>
      </c>
      <c r="G169" s="2" t="s">
        <v>416</v>
      </c>
      <c r="H169" s="2" t="s">
        <v>94</v>
      </c>
      <c r="I169" s="26">
        <v>45202</v>
      </c>
      <c r="J169" s="2">
        <v>36</v>
      </c>
      <c r="K169" s="2" t="s">
        <v>123</v>
      </c>
      <c r="L169" s="22">
        <v>2450</v>
      </c>
      <c r="M169" s="22">
        <v>88200</v>
      </c>
      <c r="N169" s="18">
        <v>94.33</v>
      </c>
      <c r="O169" s="26">
        <v>45247</v>
      </c>
      <c r="P169" s="2" t="s">
        <v>805</v>
      </c>
      <c r="Q169" s="2" t="s">
        <v>814</v>
      </c>
    </row>
    <row r="170" spans="2:17" x14ac:dyDescent="0.25">
      <c r="B170" s="2" t="s">
        <v>974</v>
      </c>
      <c r="C170" s="2" t="s">
        <v>130</v>
      </c>
      <c r="D170" s="2" t="s">
        <v>131</v>
      </c>
      <c r="E170" s="2" t="s">
        <v>122</v>
      </c>
      <c r="F170" s="2" t="s">
        <v>535</v>
      </c>
      <c r="G170" s="2" t="s">
        <v>416</v>
      </c>
      <c r="H170" s="2" t="s">
        <v>94</v>
      </c>
      <c r="I170" s="26">
        <v>45211</v>
      </c>
      <c r="J170" s="2">
        <v>43</v>
      </c>
      <c r="K170" s="2" t="s">
        <v>123</v>
      </c>
      <c r="L170" s="22">
        <v>2450</v>
      </c>
      <c r="M170" s="22">
        <v>105350</v>
      </c>
      <c r="N170" s="18">
        <v>112.67</v>
      </c>
      <c r="O170" s="26">
        <v>45256</v>
      </c>
      <c r="P170" s="2" t="s">
        <v>805</v>
      </c>
      <c r="Q170" s="2" t="s">
        <v>814</v>
      </c>
    </row>
    <row r="171" spans="2:17" x14ac:dyDescent="0.25">
      <c r="B171" s="2" t="s">
        <v>975</v>
      </c>
      <c r="C171" s="2" t="s">
        <v>130</v>
      </c>
      <c r="D171" s="2" t="s">
        <v>131</v>
      </c>
      <c r="E171" s="2" t="s">
        <v>122</v>
      </c>
      <c r="F171" s="2" t="s">
        <v>535</v>
      </c>
      <c r="G171" s="2" t="s">
        <v>416</v>
      </c>
      <c r="H171" s="2" t="s">
        <v>94</v>
      </c>
      <c r="I171" s="26">
        <v>45222</v>
      </c>
      <c r="J171" s="2">
        <v>40</v>
      </c>
      <c r="K171" s="2" t="s">
        <v>123</v>
      </c>
      <c r="L171" s="22">
        <v>2450</v>
      </c>
      <c r="M171" s="22">
        <v>98000</v>
      </c>
      <c r="N171" s="18">
        <v>104.81</v>
      </c>
      <c r="O171" s="26">
        <v>45267</v>
      </c>
      <c r="P171" s="2" t="s">
        <v>805</v>
      </c>
      <c r="Q171" s="2" t="s">
        <v>814</v>
      </c>
    </row>
    <row r="172" spans="2:17" x14ac:dyDescent="0.25">
      <c r="B172" s="2" t="s">
        <v>976</v>
      </c>
      <c r="C172" s="2" t="s">
        <v>130</v>
      </c>
      <c r="D172" s="2" t="s">
        <v>131</v>
      </c>
      <c r="E172" s="2" t="s">
        <v>122</v>
      </c>
      <c r="F172" s="2" t="s">
        <v>535</v>
      </c>
      <c r="G172" s="2" t="s">
        <v>416</v>
      </c>
      <c r="H172" s="2" t="s">
        <v>94</v>
      </c>
      <c r="I172" s="26">
        <v>45232</v>
      </c>
      <c r="J172" s="2">
        <v>45</v>
      </c>
      <c r="K172" s="2" t="s">
        <v>123</v>
      </c>
      <c r="L172" s="22">
        <v>2450</v>
      </c>
      <c r="M172" s="22">
        <v>110250</v>
      </c>
      <c r="N172" s="18">
        <v>117.91</v>
      </c>
      <c r="O172" s="26">
        <v>45277</v>
      </c>
      <c r="P172" s="2" t="s">
        <v>805</v>
      </c>
      <c r="Q172" s="2" t="s">
        <v>814</v>
      </c>
    </row>
    <row r="173" spans="2:17" x14ac:dyDescent="0.25">
      <c r="B173" s="2" t="s">
        <v>977</v>
      </c>
      <c r="C173" s="2" t="s">
        <v>130</v>
      </c>
      <c r="D173" s="2" t="s">
        <v>131</v>
      </c>
      <c r="E173" s="2" t="s">
        <v>122</v>
      </c>
      <c r="F173" s="2" t="s">
        <v>535</v>
      </c>
      <c r="G173" s="2" t="s">
        <v>416</v>
      </c>
      <c r="H173" s="2" t="s">
        <v>94</v>
      </c>
      <c r="I173" s="26">
        <v>45241</v>
      </c>
      <c r="J173" s="2">
        <v>45</v>
      </c>
      <c r="K173" s="2" t="s">
        <v>123</v>
      </c>
      <c r="L173" s="22">
        <v>2450</v>
      </c>
      <c r="M173" s="22">
        <v>110250</v>
      </c>
      <c r="N173" s="18">
        <v>117.91</v>
      </c>
      <c r="O173" s="26">
        <v>45286</v>
      </c>
      <c r="P173" s="2" t="s">
        <v>805</v>
      </c>
      <c r="Q173" s="2" t="s">
        <v>814</v>
      </c>
    </row>
    <row r="174" spans="2:17" x14ac:dyDescent="0.25">
      <c r="B174" s="2" t="s">
        <v>978</v>
      </c>
      <c r="C174" s="2" t="s">
        <v>130</v>
      </c>
      <c r="D174" s="2" t="s">
        <v>131</v>
      </c>
      <c r="E174" s="2" t="s">
        <v>122</v>
      </c>
      <c r="F174" s="2" t="s">
        <v>535</v>
      </c>
      <c r="G174" s="2" t="s">
        <v>416</v>
      </c>
      <c r="H174" s="2" t="s">
        <v>94</v>
      </c>
      <c r="I174" s="26">
        <v>45251</v>
      </c>
      <c r="J174" s="2">
        <v>38</v>
      </c>
      <c r="K174" s="2" t="s">
        <v>123</v>
      </c>
      <c r="L174" s="22">
        <v>2450</v>
      </c>
      <c r="M174" s="22">
        <v>93100</v>
      </c>
      <c r="N174" s="18">
        <v>99.57</v>
      </c>
      <c r="O174" s="26">
        <v>45296</v>
      </c>
      <c r="P174" s="2" t="s">
        <v>805</v>
      </c>
      <c r="Q174" s="2" t="s">
        <v>814</v>
      </c>
    </row>
    <row r="175" spans="2:17" x14ac:dyDescent="0.25">
      <c r="B175" s="2" t="s">
        <v>979</v>
      </c>
      <c r="C175" s="2" t="s">
        <v>130</v>
      </c>
      <c r="D175" s="2" t="s">
        <v>131</v>
      </c>
      <c r="E175" s="2" t="s">
        <v>122</v>
      </c>
      <c r="F175" s="2" t="s">
        <v>535</v>
      </c>
      <c r="G175" s="2" t="s">
        <v>416</v>
      </c>
      <c r="H175" s="2" t="s">
        <v>94</v>
      </c>
      <c r="I175" s="26">
        <v>45261</v>
      </c>
      <c r="J175" s="2">
        <v>55</v>
      </c>
      <c r="K175" s="2" t="s">
        <v>123</v>
      </c>
      <c r="L175" s="22">
        <v>2450</v>
      </c>
      <c r="M175" s="22">
        <v>134750</v>
      </c>
      <c r="N175" s="18">
        <v>144.12</v>
      </c>
      <c r="O175" s="26">
        <v>45306</v>
      </c>
      <c r="P175" s="2" t="s">
        <v>805</v>
      </c>
      <c r="Q175" s="2" t="s">
        <v>825</v>
      </c>
    </row>
    <row r="176" spans="2:17" x14ac:dyDescent="0.25">
      <c r="B176" s="2" t="s">
        <v>980</v>
      </c>
      <c r="C176" s="2" t="s">
        <v>130</v>
      </c>
      <c r="D176" s="2" t="s">
        <v>131</v>
      </c>
      <c r="E176" s="2" t="s">
        <v>122</v>
      </c>
      <c r="F176" s="2" t="s">
        <v>535</v>
      </c>
      <c r="G176" s="2" t="s">
        <v>416</v>
      </c>
      <c r="H176" s="2" t="s">
        <v>94</v>
      </c>
      <c r="I176" s="26">
        <v>45271</v>
      </c>
      <c r="J176" s="2">
        <v>51</v>
      </c>
      <c r="K176" s="2" t="s">
        <v>123</v>
      </c>
      <c r="L176" s="22">
        <v>2450</v>
      </c>
      <c r="M176" s="22">
        <v>124950</v>
      </c>
      <c r="N176" s="18">
        <v>133.63999999999999</v>
      </c>
      <c r="O176" s="26">
        <v>45316</v>
      </c>
      <c r="P176" s="2" t="s">
        <v>805</v>
      </c>
      <c r="Q176" s="2" t="s">
        <v>825</v>
      </c>
    </row>
    <row r="177" spans="2:17" x14ac:dyDescent="0.25">
      <c r="B177" s="2" t="s">
        <v>981</v>
      </c>
      <c r="C177" s="2" t="s">
        <v>130</v>
      </c>
      <c r="D177" s="2" t="s">
        <v>131</v>
      </c>
      <c r="E177" s="2" t="s">
        <v>122</v>
      </c>
      <c r="F177" s="2" t="s">
        <v>535</v>
      </c>
      <c r="G177" s="2" t="s">
        <v>416</v>
      </c>
      <c r="H177" s="2" t="s">
        <v>94</v>
      </c>
      <c r="I177" s="26">
        <v>45283</v>
      </c>
      <c r="J177" s="2">
        <v>44</v>
      </c>
      <c r="K177" s="2" t="s">
        <v>123</v>
      </c>
      <c r="L177" s="22">
        <v>2450</v>
      </c>
      <c r="M177" s="22">
        <v>107800</v>
      </c>
      <c r="N177" s="18">
        <v>115.29</v>
      </c>
      <c r="O177" s="26">
        <v>45328</v>
      </c>
      <c r="P177" s="2" t="s">
        <v>805</v>
      </c>
      <c r="Q177" s="2" t="s">
        <v>825</v>
      </c>
    </row>
    <row r="178" spans="2:17" x14ac:dyDescent="0.25">
      <c r="B178" s="2" t="s">
        <v>982</v>
      </c>
      <c r="C178" s="2" t="s">
        <v>130</v>
      </c>
      <c r="D178" s="2" t="s">
        <v>131</v>
      </c>
      <c r="E178" s="2" t="s">
        <v>122</v>
      </c>
      <c r="F178" s="2" t="s">
        <v>535</v>
      </c>
      <c r="G178" s="2" t="s">
        <v>416</v>
      </c>
      <c r="H178" s="2" t="s">
        <v>94</v>
      </c>
      <c r="I178" s="26">
        <v>45292</v>
      </c>
      <c r="J178" s="2">
        <v>44</v>
      </c>
      <c r="K178" s="2" t="s">
        <v>123</v>
      </c>
      <c r="L178" s="22">
        <v>2450</v>
      </c>
      <c r="M178" s="22">
        <v>107800</v>
      </c>
      <c r="N178" s="18">
        <v>115.29</v>
      </c>
      <c r="O178" s="26">
        <v>45337</v>
      </c>
      <c r="P178" s="2" t="s">
        <v>805</v>
      </c>
      <c r="Q178" s="2" t="s">
        <v>825</v>
      </c>
    </row>
    <row r="179" spans="2:17" x14ac:dyDescent="0.25">
      <c r="B179" s="2" t="s">
        <v>983</v>
      </c>
      <c r="C179" s="2" t="s">
        <v>130</v>
      </c>
      <c r="D179" s="2" t="s">
        <v>131</v>
      </c>
      <c r="E179" s="2" t="s">
        <v>122</v>
      </c>
      <c r="F179" s="2" t="s">
        <v>535</v>
      </c>
      <c r="G179" s="2" t="s">
        <v>416</v>
      </c>
      <c r="H179" s="2" t="s">
        <v>94</v>
      </c>
      <c r="I179" s="26">
        <v>45301</v>
      </c>
      <c r="J179" s="2">
        <v>43</v>
      </c>
      <c r="K179" s="2" t="s">
        <v>123</v>
      </c>
      <c r="L179" s="22">
        <v>2450</v>
      </c>
      <c r="M179" s="22">
        <v>105350</v>
      </c>
      <c r="N179" s="18">
        <v>112.67</v>
      </c>
      <c r="O179" s="26">
        <v>45346</v>
      </c>
      <c r="P179" s="2" t="s">
        <v>805</v>
      </c>
      <c r="Q179" s="2" t="s">
        <v>825</v>
      </c>
    </row>
    <row r="180" spans="2:17" x14ac:dyDescent="0.25">
      <c r="B180" s="2" t="s">
        <v>984</v>
      </c>
      <c r="C180" s="2" t="s">
        <v>130</v>
      </c>
      <c r="D180" s="2" t="s">
        <v>131</v>
      </c>
      <c r="E180" s="2" t="s">
        <v>122</v>
      </c>
      <c r="F180" s="2" t="s">
        <v>535</v>
      </c>
      <c r="G180" s="2" t="s">
        <v>416</v>
      </c>
      <c r="H180" s="2" t="s">
        <v>94</v>
      </c>
      <c r="I180" s="26">
        <v>45312</v>
      </c>
      <c r="J180" s="2">
        <v>37</v>
      </c>
      <c r="K180" s="2" t="s">
        <v>123</v>
      </c>
      <c r="L180" s="22">
        <v>2450</v>
      </c>
      <c r="M180" s="22">
        <v>90650</v>
      </c>
      <c r="N180" s="18">
        <v>96.95</v>
      </c>
      <c r="O180" s="26">
        <v>45357</v>
      </c>
      <c r="P180" s="2" t="s">
        <v>805</v>
      </c>
      <c r="Q180" s="2" t="s">
        <v>825</v>
      </c>
    </row>
    <row r="181" spans="2:17" x14ac:dyDescent="0.25">
      <c r="B181" s="2" t="s">
        <v>985</v>
      </c>
      <c r="C181" s="2" t="s">
        <v>130</v>
      </c>
      <c r="D181" s="2" t="s">
        <v>131</v>
      </c>
      <c r="E181" s="2" t="s">
        <v>122</v>
      </c>
      <c r="F181" s="2" t="s">
        <v>535</v>
      </c>
      <c r="G181" s="2" t="s">
        <v>416</v>
      </c>
      <c r="H181" s="2" t="s">
        <v>94</v>
      </c>
      <c r="I181" s="26">
        <v>45318</v>
      </c>
      <c r="J181" s="2">
        <v>42</v>
      </c>
      <c r="K181" s="2" t="s">
        <v>123</v>
      </c>
      <c r="L181" s="22">
        <v>2450</v>
      </c>
      <c r="M181" s="22">
        <v>102900</v>
      </c>
      <c r="N181" s="18">
        <v>110.05</v>
      </c>
      <c r="O181" s="26">
        <v>45363</v>
      </c>
      <c r="P181" s="2" t="s">
        <v>805</v>
      </c>
      <c r="Q181" s="2" t="s">
        <v>825</v>
      </c>
    </row>
    <row r="182" spans="2:17" x14ac:dyDescent="0.25">
      <c r="B182" s="2" t="s">
        <v>986</v>
      </c>
      <c r="C182" s="2" t="s">
        <v>130</v>
      </c>
      <c r="D182" s="2" t="s">
        <v>131</v>
      </c>
      <c r="E182" s="2" t="s">
        <v>122</v>
      </c>
      <c r="F182" s="2" t="s">
        <v>535</v>
      </c>
      <c r="G182" s="2" t="s">
        <v>416</v>
      </c>
      <c r="H182" s="2" t="s">
        <v>94</v>
      </c>
      <c r="I182" s="26">
        <v>45328</v>
      </c>
      <c r="J182" s="2">
        <v>44</v>
      </c>
      <c r="K182" s="2" t="s">
        <v>123</v>
      </c>
      <c r="L182" s="22">
        <v>2450</v>
      </c>
      <c r="M182" s="22">
        <v>107800</v>
      </c>
      <c r="N182" s="18">
        <v>115.29</v>
      </c>
      <c r="O182" s="26">
        <v>45373</v>
      </c>
      <c r="P182" s="2" t="s">
        <v>805</v>
      </c>
      <c r="Q182" s="2" t="s">
        <v>825</v>
      </c>
    </row>
    <row r="183" spans="2:17" x14ac:dyDescent="0.25">
      <c r="B183" s="2" t="s">
        <v>987</v>
      </c>
      <c r="C183" s="2" t="s">
        <v>130</v>
      </c>
      <c r="D183" s="2" t="s">
        <v>131</v>
      </c>
      <c r="E183" s="2" t="s">
        <v>122</v>
      </c>
      <c r="F183" s="2" t="s">
        <v>535</v>
      </c>
      <c r="G183" s="2" t="s">
        <v>416</v>
      </c>
      <c r="H183" s="2" t="s">
        <v>94</v>
      </c>
      <c r="I183" s="26">
        <v>45339</v>
      </c>
      <c r="J183" s="2">
        <v>34</v>
      </c>
      <c r="K183" s="2" t="s">
        <v>123</v>
      </c>
      <c r="L183" s="22">
        <v>2450</v>
      </c>
      <c r="M183" s="22">
        <v>83300</v>
      </c>
      <c r="N183" s="18">
        <v>89.09</v>
      </c>
      <c r="O183" s="26">
        <v>45384</v>
      </c>
      <c r="P183" s="2" t="s">
        <v>805</v>
      </c>
      <c r="Q183" s="2" t="s">
        <v>825</v>
      </c>
    </row>
    <row r="184" spans="2:17" x14ac:dyDescent="0.25">
      <c r="B184" s="2" t="s">
        <v>988</v>
      </c>
      <c r="C184" s="2" t="s">
        <v>130</v>
      </c>
      <c r="D184" s="2" t="s">
        <v>131</v>
      </c>
      <c r="E184" s="2" t="s">
        <v>122</v>
      </c>
      <c r="F184" s="2" t="s">
        <v>537</v>
      </c>
      <c r="G184" s="2" t="s">
        <v>420</v>
      </c>
      <c r="H184" s="2" t="s">
        <v>421</v>
      </c>
      <c r="I184" s="26">
        <v>45346</v>
      </c>
      <c r="J184" s="2">
        <v>45</v>
      </c>
      <c r="K184" s="2" t="s">
        <v>123</v>
      </c>
      <c r="L184" s="22">
        <v>2600</v>
      </c>
      <c r="M184" s="22">
        <v>117000</v>
      </c>
      <c r="N184" s="18">
        <v>125.13</v>
      </c>
      <c r="O184" s="26">
        <v>45391</v>
      </c>
      <c r="P184" s="2" t="s">
        <v>805</v>
      </c>
      <c r="Q184" s="2" t="s">
        <v>825</v>
      </c>
    </row>
    <row r="185" spans="2:17" x14ac:dyDescent="0.25">
      <c r="B185" s="2" t="s">
        <v>989</v>
      </c>
      <c r="C185" s="2" t="s">
        <v>130</v>
      </c>
      <c r="D185" s="2" t="s">
        <v>131</v>
      </c>
      <c r="E185" s="2" t="s">
        <v>122</v>
      </c>
      <c r="F185" s="2" t="s">
        <v>535</v>
      </c>
      <c r="G185" s="2" t="s">
        <v>416</v>
      </c>
      <c r="H185" s="2" t="s">
        <v>94</v>
      </c>
      <c r="I185" s="26">
        <v>45356</v>
      </c>
      <c r="J185" s="2">
        <v>40</v>
      </c>
      <c r="K185" s="2" t="s">
        <v>123</v>
      </c>
      <c r="L185" s="22">
        <v>2450</v>
      </c>
      <c r="M185" s="22">
        <v>98000</v>
      </c>
      <c r="N185" s="18">
        <v>104.81</v>
      </c>
      <c r="O185" s="26">
        <v>45401</v>
      </c>
      <c r="P185" s="2" t="s">
        <v>805</v>
      </c>
      <c r="Q185" s="2" t="s">
        <v>836</v>
      </c>
    </row>
    <row r="186" spans="2:17" x14ac:dyDescent="0.25">
      <c r="B186" s="2" t="s">
        <v>990</v>
      </c>
      <c r="C186" s="2" t="s">
        <v>130</v>
      </c>
      <c r="D186" s="2" t="s">
        <v>131</v>
      </c>
      <c r="E186" s="2" t="s">
        <v>122</v>
      </c>
      <c r="F186" s="2" t="s">
        <v>535</v>
      </c>
      <c r="G186" s="2" t="s">
        <v>416</v>
      </c>
      <c r="H186" s="2" t="s">
        <v>94</v>
      </c>
      <c r="I186" s="26">
        <v>45364</v>
      </c>
      <c r="J186" s="2">
        <v>43</v>
      </c>
      <c r="K186" s="2" t="s">
        <v>123</v>
      </c>
      <c r="L186" s="22">
        <v>2450</v>
      </c>
      <c r="M186" s="22">
        <v>105350</v>
      </c>
      <c r="N186" s="18">
        <v>112.67</v>
      </c>
      <c r="O186" s="26">
        <v>45409</v>
      </c>
      <c r="P186" s="2" t="s">
        <v>805</v>
      </c>
      <c r="Q186" s="2" t="s">
        <v>836</v>
      </c>
    </row>
    <row r="187" spans="2:17" x14ac:dyDescent="0.25">
      <c r="B187" s="2" t="s">
        <v>991</v>
      </c>
      <c r="C187" s="2" t="s">
        <v>130</v>
      </c>
      <c r="D187" s="2" t="s">
        <v>131</v>
      </c>
      <c r="E187" s="2" t="s">
        <v>122</v>
      </c>
      <c r="F187" s="2" t="s">
        <v>535</v>
      </c>
      <c r="G187" s="2" t="s">
        <v>416</v>
      </c>
      <c r="H187" s="2" t="s">
        <v>94</v>
      </c>
      <c r="I187" s="26">
        <v>45374</v>
      </c>
      <c r="J187" s="2">
        <v>42</v>
      </c>
      <c r="K187" s="2" t="s">
        <v>123</v>
      </c>
      <c r="L187" s="22">
        <v>2450</v>
      </c>
      <c r="M187" s="22">
        <v>102900</v>
      </c>
      <c r="N187" s="18">
        <v>110.05</v>
      </c>
      <c r="O187" s="26">
        <v>45419</v>
      </c>
      <c r="P187" s="2" t="s">
        <v>805</v>
      </c>
      <c r="Q187" s="2" t="s">
        <v>836</v>
      </c>
    </row>
    <row r="188" spans="2:17" x14ac:dyDescent="0.25">
      <c r="B188" s="2" t="s">
        <v>992</v>
      </c>
      <c r="C188" s="2" t="s">
        <v>130</v>
      </c>
      <c r="D188" s="2" t="s">
        <v>131</v>
      </c>
      <c r="E188" s="2" t="s">
        <v>122</v>
      </c>
      <c r="F188" s="2" t="s">
        <v>535</v>
      </c>
      <c r="G188" s="2" t="s">
        <v>416</v>
      </c>
      <c r="H188" s="2" t="s">
        <v>94</v>
      </c>
      <c r="I188" s="26">
        <v>45383</v>
      </c>
      <c r="J188" s="2">
        <v>15</v>
      </c>
      <c r="K188" s="2" t="s">
        <v>123</v>
      </c>
      <c r="L188" s="22">
        <v>2450</v>
      </c>
      <c r="M188" s="22">
        <v>36750</v>
      </c>
      <c r="N188" s="18">
        <v>39.299999999999997</v>
      </c>
      <c r="O188" s="26">
        <v>45428</v>
      </c>
      <c r="P188" s="2" t="s">
        <v>805</v>
      </c>
      <c r="Q188" s="2" t="s">
        <v>836</v>
      </c>
    </row>
    <row r="189" spans="2:17" x14ac:dyDescent="0.25">
      <c r="B189" s="2" t="s">
        <v>993</v>
      </c>
      <c r="C189" s="2" t="s">
        <v>130</v>
      </c>
      <c r="D189" s="2" t="s">
        <v>131</v>
      </c>
      <c r="E189" s="2" t="s">
        <v>122</v>
      </c>
      <c r="F189" s="2" t="s">
        <v>535</v>
      </c>
      <c r="G189" s="2" t="s">
        <v>416</v>
      </c>
      <c r="H189" s="2" t="s">
        <v>94</v>
      </c>
      <c r="I189" s="26">
        <v>45392</v>
      </c>
      <c r="J189" s="2">
        <v>17</v>
      </c>
      <c r="K189" s="2" t="s">
        <v>123</v>
      </c>
      <c r="L189" s="22">
        <v>2450</v>
      </c>
      <c r="M189" s="22">
        <v>41650</v>
      </c>
      <c r="N189" s="18">
        <v>44.55</v>
      </c>
      <c r="O189" s="26">
        <v>45437</v>
      </c>
      <c r="P189" s="2" t="s">
        <v>805</v>
      </c>
      <c r="Q189" s="2" t="s">
        <v>836</v>
      </c>
    </row>
    <row r="190" spans="2:17" x14ac:dyDescent="0.25">
      <c r="B190" s="2" t="s">
        <v>994</v>
      </c>
      <c r="C190" s="2" t="s">
        <v>130</v>
      </c>
      <c r="D190" s="2" t="s">
        <v>131</v>
      </c>
      <c r="E190" s="2" t="s">
        <v>122</v>
      </c>
      <c r="F190" s="2" t="s">
        <v>535</v>
      </c>
      <c r="G190" s="2" t="s">
        <v>416</v>
      </c>
      <c r="H190" s="2" t="s">
        <v>94</v>
      </c>
      <c r="I190" s="26">
        <v>45400</v>
      </c>
      <c r="J190" s="2">
        <v>13</v>
      </c>
      <c r="K190" s="2" t="s">
        <v>123</v>
      </c>
      <c r="L190" s="22">
        <v>2450</v>
      </c>
      <c r="M190" s="22">
        <v>31850</v>
      </c>
      <c r="N190" s="18">
        <v>34.06</v>
      </c>
      <c r="O190" s="26">
        <v>45445</v>
      </c>
      <c r="P190" s="2" t="s">
        <v>805</v>
      </c>
      <c r="Q190" s="2" t="s">
        <v>836</v>
      </c>
    </row>
    <row r="191" spans="2:17" x14ac:dyDescent="0.25">
      <c r="B191" s="2" t="s">
        <v>995</v>
      </c>
      <c r="C191" s="2" t="s">
        <v>130</v>
      </c>
      <c r="D191" s="2" t="s">
        <v>131</v>
      </c>
      <c r="E191" s="2" t="s">
        <v>122</v>
      </c>
      <c r="F191" s="2" t="s">
        <v>535</v>
      </c>
      <c r="G191" s="2" t="s">
        <v>416</v>
      </c>
      <c r="H191" s="2" t="s">
        <v>94</v>
      </c>
      <c r="I191" s="26">
        <v>45408</v>
      </c>
      <c r="J191" s="2">
        <v>13</v>
      </c>
      <c r="K191" s="2" t="s">
        <v>123</v>
      </c>
      <c r="L191" s="22">
        <v>2450</v>
      </c>
      <c r="M191" s="22">
        <v>31850</v>
      </c>
      <c r="N191" s="18">
        <v>34.06</v>
      </c>
      <c r="O191" s="26">
        <v>45453</v>
      </c>
      <c r="P191" s="2" t="s">
        <v>805</v>
      </c>
      <c r="Q191" s="2" t="s">
        <v>836</v>
      </c>
    </row>
    <row r="192" spans="2:17" x14ac:dyDescent="0.25">
      <c r="B192" s="2" t="s">
        <v>996</v>
      </c>
      <c r="C192" s="2" t="s">
        <v>130</v>
      </c>
      <c r="D192" s="2" t="s">
        <v>131</v>
      </c>
      <c r="E192" s="2" t="s">
        <v>122</v>
      </c>
      <c r="F192" s="2" t="s">
        <v>535</v>
      </c>
      <c r="G192" s="2" t="s">
        <v>416</v>
      </c>
      <c r="H192" s="2" t="s">
        <v>94</v>
      </c>
      <c r="I192" s="26">
        <v>45415</v>
      </c>
      <c r="J192" s="2">
        <v>16</v>
      </c>
      <c r="K192" s="2" t="s">
        <v>123</v>
      </c>
      <c r="L192" s="22">
        <v>2450</v>
      </c>
      <c r="M192" s="22">
        <v>39200</v>
      </c>
      <c r="N192" s="18">
        <v>41.93</v>
      </c>
      <c r="O192" s="26">
        <v>45460</v>
      </c>
      <c r="P192" s="2" t="s">
        <v>805</v>
      </c>
      <c r="Q192" s="2" t="s">
        <v>836</v>
      </c>
    </row>
    <row r="193" spans="2:17" x14ac:dyDescent="0.25">
      <c r="B193" s="2" t="s">
        <v>997</v>
      </c>
      <c r="C193" s="2" t="s">
        <v>130</v>
      </c>
      <c r="D193" s="2" t="s">
        <v>131</v>
      </c>
      <c r="E193" s="2" t="s">
        <v>122</v>
      </c>
      <c r="F193" s="2" t="s">
        <v>535</v>
      </c>
      <c r="G193" s="2" t="s">
        <v>416</v>
      </c>
      <c r="H193" s="2" t="s">
        <v>94</v>
      </c>
      <c r="I193" s="26">
        <v>45427</v>
      </c>
      <c r="J193" s="2">
        <v>14</v>
      </c>
      <c r="K193" s="2" t="s">
        <v>123</v>
      </c>
      <c r="L193" s="22">
        <v>2450</v>
      </c>
      <c r="M193" s="22">
        <v>34300</v>
      </c>
      <c r="N193" s="18">
        <v>36.68</v>
      </c>
      <c r="O193" s="26">
        <v>45472</v>
      </c>
      <c r="P193" s="2" t="s">
        <v>805</v>
      </c>
      <c r="Q193" s="2" t="s">
        <v>836</v>
      </c>
    </row>
    <row r="194" spans="2:17" x14ac:dyDescent="0.25">
      <c r="B194" s="2" t="s">
        <v>998</v>
      </c>
      <c r="C194" s="2" t="s">
        <v>130</v>
      </c>
      <c r="D194" s="2" t="s">
        <v>131</v>
      </c>
      <c r="E194" s="2" t="s">
        <v>122</v>
      </c>
      <c r="F194" s="2" t="s">
        <v>535</v>
      </c>
      <c r="G194" s="2" t="s">
        <v>416</v>
      </c>
      <c r="H194" s="2" t="s">
        <v>94</v>
      </c>
      <c r="I194" s="26">
        <v>45440</v>
      </c>
      <c r="J194" s="2">
        <v>17</v>
      </c>
      <c r="K194" s="2" t="s">
        <v>123</v>
      </c>
      <c r="L194" s="22">
        <v>2450</v>
      </c>
      <c r="M194" s="22">
        <v>41650</v>
      </c>
      <c r="N194" s="18">
        <v>44.55</v>
      </c>
      <c r="O194" s="26">
        <v>45485</v>
      </c>
      <c r="P194" s="2" t="s">
        <v>805</v>
      </c>
      <c r="Q194" s="2" t="s">
        <v>836</v>
      </c>
    </row>
    <row r="195" spans="2:17" x14ac:dyDescent="0.25">
      <c r="B195" s="2" t="s">
        <v>999</v>
      </c>
      <c r="C195" s="2" t="s">
        <v>130</v>
      </c>
      <c r="D195" s="2" t="s">
        <v>131</v>
      </c>
      <c r="E195" s="2" t="s">
        <v>122</v>
      </c>
      <c r="F195" s="2" t="s">
        <v>535</v>
      </c>
      <c r="G195" s="2" t="s">
        <v>416</v>
      </c>
      <c r="H195" s="2" t="s">
        <v>94</v>
      </c>
      <c r="I195" s="26">
        <v>45453</v>
      </c>
      <c r="J195" s="2">
        <v>16</v>
      </c>
      <c r="K195" s="2" t="s">
        <v>123</v>
      </c>
      <c r="L195" s="22">
        <v>2450</v>
      </c>
      <c r="M195" s="22">
        <v>39200</v>
      </c>
      <c r="N195" s="18">
        <v>41.93</v>
      </c>
      <c r="O195" s="26">
        <v>45498</v>
      </c>
      <c r="P195" s="2" t="s">
        <v>805</v>
      </c>
      <c r="Q195" s="2" t="s">
        <v>806</v>
      </c>
    </row>
    <row r="196" spans="2:17" x14ac:dyDescent="0.25">
      <c r="B196" s="2" t="s">
        <v>1000</v>
      </c>
      <c r="C196" s="2" t="s">
        <v>130</v>
      </c>
      <c r="D196" s="2" t="s">
        <v>131</v>
      </c>
      <c r="E196" s="2" t="s">
        <v>122</v>
      </c>
      <c r="F196" s="2" t="s">
        <v>535</v>
      </c>
      <c r="G196" s="2" t="s">
        <v>416</v>
      </c>
      <c r="H196" s="2" t="s">
        <v>94</v>
      </c>
      <c r="I196" s="26">
        <v>45459</v>
      </c>
      <c r="J196" s="2">
        <v>17</v>
      </c>
      <c r="K196" s="2" t="s">
        <v>123</v>
      </c>
      <c r="L196" s="22">
        <v>2450</v>
      </c>
      <c r="M196" s="22">
        <v>41650</v>
      </c>
      <c r="N196" s="18">
        <v>44.55</v>
      </c>
      <c r="O196" s="26">
        <v>45504</v>
      </c>
      <c r="P196" s="2" t="s">
        <v>805</v>
      </c>
      <c r="Q196" s="2" t="s">
        <v>806</v>
      </c>
    </row>
    <row r="197" spans="2:17" x14ac:dyDescent="0.25">
      <c r="B197" s="2" t="s">
        <v>1001</v>
      </c>
      <c r="C197" s="2" t="s">
        <v>130</v>
      </c>
      <c r="D197" s="2" t="s">
        <v>131</v>
      </c>
      <c r="E197" s="2" t="s">
        <v>122</v>
      </c>
      <c r="F197" s="2" t="s">
        <v>535</v>
      </c>
      <c r="G197" s="2" t="s">
        <v>416</v>
      </c>
      <c r="H197" s="2" t="s">
        <v>94</v>
      </c>
      <c r="I197" s="26">
        <v>45467</v>
      </c>
      <c r="J197" s="2">
        <v>15</v>
      </c>
      <c r="K197" s="2" t="s">
        <v>123</v>
      </c>
      <c r="L197" s="22">
        <v>2450</v>
      </c>
      <c r="M197" s="22">
        <v>36750</v>
      </c>
      <c r="N197" s="18">
        <v>39.299999999999997</v>
      </c>
      <c r="O197" s="26">
        <v>45512</v>
      </c>
      <c r="P197" s="2" t="s">
        <v>805</v>
      </c>
      <c r="Q197" s="2" t="s">
        <v>806</v>
      </c>
    </row>
    <row r="198" spans="2:17" x14ac:dyDescent="0.25">
      <c r="B198" s="2" t="s">
        <v>1002</v>
      </c>
      <c r="C198" s="2" t="s">
        <v>130</v>
      </c>
      <c r="D198" s="2" t="s">
        <v>131</v>
      </c>
      <c r="E198" s="2" t="s">
        <v>122</v>
      </c>
      <c r="F198" s="2" t="s">
        <v>535</v>
      </c>
      <c r="G198" s="2" t="s">
        <v>416</v>
      </c>
      <c r="H198" s="2" t="s">
        <v>94</v>
      </c>
      <c r="I198" s="26">
        <v>45477</v>
      </c>
      <c r="J198" s="2">
        <v>13</v>
      </c>
      <c r="K198" s="2" t="s">
        <v>123</v>
      </c>
      <c r="L198" s="22">
        <v>2450</v>
      </c>
      <c r="M198" s="22">
        <v>31850</v>
      </c>
      <c r="N198" s="18">
        <v>34.06</v>
      </c>
      <c r="O198" s="26">
        <v>45522</v>
      </c>
      <c r="P198" s="2" t="s">
        <v>805</v>
      </c>
      <c r="Q198" s="2" t="s">
        <v>806</v>
      </c>
    </row>
    <row r="199" spans="2:17" x14ac:dyDescent="0.25">
      <c r="B199" s="2" t="s">
        <v>1003</v>
      </c>
      <c r="C199" s="2" t="s">
        <v>130</v>
      </c>
      <c r="D199" s="2" t="s">
        <v>131</v>
      </c>
      <c r="E199" s="2" t="s">
        <v>122</v>
      </c>
      <c r="F199" s="2" t="s">
        <v>535</v>
      </c>
      <c r="G199" s="2" t="s">
        <v>416</v>
      </c>
      <c r="H199" s="2" t="s">
        <v>94</v>
      </c>
      <c r="I199" s="26">
        <v>45483</v>
      </c>
      <c r="J199" s="2">
        <v>14</v>
      </c>
      <c r="K199" s="2" t="s">
        <v>123</v>
      </c>
      <c r="L199" s="22">
        <v>2450</v>
      </c>
      <c r="M199" s="22">
        <v>34300</v>
      </c>
      <c r="N199" s="18">
        <v>36.68</v>
      </c>
      <c r="O199" s="26">
        <v>45528</v>
      </c>
      <c r="P199" s="2" t="s">
        <v>805</v>
      </c>
      <c r="Q199" s="2" t="s">
        <v>806</v>
      </c>
    </row>
    <row r="200" spans="2:17" x14ac:dyDescent="0.25">
      <c r="B200" s="2" t="s">
        <v>1004</v>
      </c>
      <c r="C200" s="2" t="s">
        <v>130</v>
      </c>
      <c r="D200" s="2" t="s">
        <v>131</v>
      </c>
      <c r="E200" s="2" t="s">
        <v>122</v>
      </c>
      <c r="F200" s="2" t="s">
        <v>535</v>
      </c>
      <c r="G200" s="2" t="s">
        <v>416</v>
      </c>
      <c r="H200" s="2" t="s">
        <v>94</v>
      </c>
      <c r="I200" s="26">
        <v>45494</v>
      </c>
      <c r="J200" s="2">
        <v>17</v>
      </c>
      <c r="K200" s="2" t="s">
        <v>123</v>
      </c>
      <c r="L200" s="22">
        <v>2450</v>
      </c>
      <c r="M200" s="22">
        <v>41650</v>
      </c>
      <c r="N200" s="18">
        <v>44.55</v>
      </c>
      <c r="O200" s="26">
        <v>45539</v>
      </c>
      <c r="P200" s="2" t="s">
        <v>805</v>
      </c>
      <c r="Q200" s="2" t="s">
        <v>806</v>
      </c>
    </row>
    <row r="201" spans="2:17" x14ac:dyDescent="0.25">
      <c r="B201" s="2" t="s">
        <v>1005</v>
      </c>
      <c r="C201" s="2" t="s">
        <v>130</v>
      </c>
      <c r="D201" s="2" t="s">
        <v>131</v>
      </c>
      <c r="E201" s="2" t="s">
        <v>122</v>
      </c>
      <c r="F201" s="2" t="s">
        <v>535</v>
      </c>
      <c r="G201" s="2" t="s">
        <v>416</v>
      </c>
      <c r="H201" s="2" t="s">
        <v>94</v>
      </c>
      <c r="I201" s="26">
        <v>45504</v>
      </c>
      <c r="J201" s="2">
        <v>14</v>
      </c>
      <c r="K201" s="2" t="s">
        <v>123</v>
      </c>
      <c r="L201" s="22">
        <v>2450</v>
      </c>
      <c r="M201" s="22">
        <v>34300</v>
      </c>
      <c r="N201" s="18">
        <v>36.68</v>
      </c>
      <c r="O201" s="26">
        <v>45549</v>
      </c>
      <c r="P201" s="2" t="s">
        <v>805</v>
      </c>
      <c r="Q201" s="2" t="s">
        <v>806</v>
      </c>
    </row>
    <row r="202" spans="2:17" x14ac:dyDescent="0.25">
      <c r="B202" s="2" t="s">
        <v>1006</v>
      </c>
      <c r="C202" s="2" t="s">
        <v>130</v>
      </c>
      <c r="D202" s="2" t="s">
        <v>131</v>
      </c>
      <c r="E202" s="2" t="s">
        <v>122</v>
      </c>
      <c r="F202" s="2" t="s">
        <v>535</v>
      </c>
      <c r="G202" s="2" t="s">
        <v>416</v>
      </c>
      <c r="H202" s="2" t="s">
        <v>94</v>
      </c>
      <c r="I202" s="26">
        <v>45516</v>
      </c>
      <c r="J202" s="2">
        <v>14</v>
      </c>
      <c r="K202" s="2" t="s">
        <v>123</v>
      </c>
      <c r="L202" s="22">
        <v>2450</v>
      </c>
      <c r="M202" s="22">
        <v>34300</v>
      </c>
      <c r="N202" s="18">
        <v>36.68</v>
      </c>
      <c r="O202" s="26">
        <v>45561</v>
      </c>
      <c r="P202" s="2" t="s">
        <v>805</v>
      </c>
      <c r="Q202" s="2" t="s">
        <v>806</v>
      </c>
    </row>
    <row r="203" spans="2:17" x14ac:dyDescent="0.25">
      <c r="B203" s="2" t="s">
        <v>1007</v>
      </c>
      <c r="C203" s="2" t="s">
        <v>130</v>
      </c>
      <c r="D203" s="2" t="s">
        <v>131</v>
      </c>
      <c r="E203" s="2" t="s">
        <v>122</v>
      </c>
      <c r="F203" s="2" t="s">
        <v>535</v>
      </c>
      <c r="G203" s="2" t="s">
        <v>416</v>
      </c>
      <c r="H203" s="2" t="s">
        <v>94</v>
      </c>
      <c r="I203" s="26">
        <v>45526</v>
      </c>
      <c r="J203" s="2">
        <v>14</v>
      </c>
      <c r="K203" s="2" t="s">
        <v>123</v>
      </c>
      <c r="L203" s="22">
        <v>2450</v>
      </c>
      <c r="M203" s="22">
        <v>34300</v>
      </c>
      <c r="N203" s="18">
        <v>36.68</v>
      </c>
      <c r="O203" s="26">
        <v>45571</v>
      </c>
      <c r="P203" s="2" t="s">
        <v>805</v>
      </c>
      <c r="Q203" s="2" t="s">
        <v>806</v>
      </c>
    </row>
    <row r="204" spans="2:17" x14ac:dyDescent="0.25">
      <c r="B204" s="2" t="s">
        <v>1008</v>
      </c>
      <c r="C204" s="2" t="s">
        <v>130</v>
      </c>
      <c r="D204" s="2" t="s">
        <v>131</v>
      </c>
      <c r="E204" s="2" t="s">
        <v>122</v>
      </c>
      <c r="F204" s="2" t="s">
        <v>535</v>
      </c>
      <c r="G204" s="2" t="s">
        <v>416</v>
      </c>
      <c r="H204" s="2" t="s">
        <v>94</v>
      </c>
      <c r="I204" s="26">
        <v>45535</v>
      </c>
      <c r="J204" s="2">
        <v>17</v>
      </c>
      <c r="K204" s="2" t="s">
        <v>123</v>
      </c>
      <c r="L204" s="22">
        <v>2450</v>
      </c>
      <c r="M204" s="22">
        <v>41650</v>
      </c>
      <c r="N204" s="18">
        <v>44.55</v>
      </c>
      <c r="O204" s="26">
        <v>45580</v>
      </c>
      <c r="P204" s="2" t="s">
        <v>805</v>
      </c>
      <c r="Q204" s="2" t="s">
        <v>806</v>
      </c>
    </row>
    <row r="205" spans="2:17" x14ac:dyDescent="0.25">
      <c r="B205" s="2" t="s">
        <v>1009</v>
      </c>
      <c r="C205" s="2" t="s">
        <v>130</v>
      </c>
      <c r="D205" s="2" t="s">
        <v>131</v>
      </c>
      <c r="E205" s="2" t="s">
        <v>122</v>
      </c>
      <c r="F205" s="2" t="s">
        <v>535</v>
      </c>
      <c r="G205" s="2" t="s">
        <v>416</v>
      </c>
      <c r="H205" s="2" t="s">
        <v>94</v>
      </c>
      <c r="I205" s="26">
        <v>45545</v>
      </c>
      <c r="J205" s="2">
        <v>22</v>
      </c>
      <c r="K205" s="2" t="s">
        <v>123</v>
      </c>
      <c r="L205" s="22">
        <v>2450</v>
      </c>
      <c r="M205" s="22">
        <v>53900</v>
      </c>
      <c r="N205" s="18">
        <v>57.65</v>
      </c>
      <c r="O205" s="26">
        <v>45590</v>
      </c>
      <c r="P205" s="2" t="s">
        <v>805</v>
      </c>
      <c r="Q205" s="2" t="s">
        <v>814</v>
      </c>
    </row>
    <row r="206" spans="2:17" x14ac:dyDescent="0.25">
      <c r="B206" s="2" t="s">
        <v>1010</v>
      </c>
      <c r="C206" s="2" t="s">
        <v>130</v>
      </c>
      <c r="D206" s="2" t="s">
        <v>131</v>
      </c>
      <c r="E206" s="2" t="s">
        <v>122</v>
      </c>
      <c r="F206" s="2" t="s">
        <v>535</v>
      </c>
      <c r="G206" s="2" t="s">
        <v>416</v>
      </c>
      <c r="H206" s="2" t="s">
        <v>94</v>
      </c>
      <c r="I206" s="26">
        <v>45555</v>
      </c>
      <c r="J206" s="2">
        <v>16</v>
      </c>
      <c r="K206" s="2" t="s">
        <v>123</v>
      </c>
      <c r="L206" s="22">
        <v>2450</v>
      </c>
      <c r="M206" s="22">
        <v>39200</v>
      </c>
      <c r="N206" s="18">
        <v>41.93</v>
      </c>
      <c r="O206" s="26">
        <v>45600</v>
      </c>
      <c r="P206" s="2" t="s">
        <v>805</v>
      </c>
      <c r="Q206" s="2" t="s">
        <v>814</v>
      </c>
    </row>
    <row r="207" spans="2:17" x14ac:dyDescent="0.25">
      <c r="B207" s="2" t="s">
        <v>1011</v>
      </c>
      <c r="C207" s="2" t="s">
        <v>130</v>
      </c>
      <c r="D207" s="2" t="s">
        <v>131</v>
      </c>
      <c r="E207" s="2" t="s">
        <v>122</v>
      </c>
      <c r="F207" s="2" t="s">
        <v>535</v>
      </c>
      <c r="G207" s="2" t="s">
        <v>416</v>
      </c>
      <c r="H207" s="2" t="s">
        <v>94</v>
      </c>
      <c r="I207" s="26">
        <v>45565</v>
      </c>
      <c r="J207" s="2">
        <v>20</v>
      </c>
      <c r="K207" s="2" t="s">
        <v>123</v>
      </c>
      <c r="L207" s="22">
        <v>2450</v>
      </c>
      <c r="M207" s="22">
        <v>49000</v>
      </c>
      <c r="N207" s="18">
        <v>52.41</v>
      </c>
      <c r="O207" s="26">
        <v>45610</v>
      </c>
      <c r="P207" s="2" t="s">
        <v>805</v>
      </c>
      <c r="Q207" s="2" t="s">
        <v>814</v>
      </c>
    </row>
    <row r="208" spans="2:17" x14ac:dyDescent="0.25">
      <c r="B208" s="2" t="s">
        <v>1012</v>
      </c>
      <c r="C208" s="2" t="s">
        <v>130</v>
      </c>
      <c r="D208" s="2" t="s">
        <v>131</v>
      </c>
      <c r="E208" s="2" t="s">
        <v>122</v>
      </c>
      <c r="F208" s="2" t="s">
        <v>537</v>
      </c>
      <c r="G208" s="2" t="s">
        <v>420</v>
      </c>
      <c r="H208" s="2" t="s">
        <v>421</v>
      </c>
      <c r="I208" s="26">
        <v>45574</v>
      </c>
      <c r="J208" s="2">
        <v>38</v>
      </c>
      <c r="K208" s="2" t="s">
        <v>123</v>
      </c>
      <c r="L208" s="22">
        <v>2600</v>
      </c>
      <c r="M208" s="22">
        <v>98800</v>
      </c>
      <c r="N208" s="18">
        <v>105.67</v>
      </c>
      <c r="O208" s="26">
        <v>45619</v>
      </c>
      <c r="P208" s="2" t="s">
        <v>805</v>
      </c>
      <c r="Q208" s="2" t="s">
        <v>814</v>
      </c>
    </row>
    <row r="209" spans="2:17" x14ac:dyDescent="0.25">
      <c r="B209" s="2" t="s">
        <v>1013</v>
      </c>
      <c r="C209" s="2" t="s">
        <v>130</v>
      </c>
      <c r="D209" s="2" t="s">
        <v>131</v>
      </c>
      <c r="E209" s="2" t="s">
        <v>122</v>
      </c>
      <c r="F209" s="2" t="s">
        <v>535</v>
      </c>
      <c r="G209" s="2" t="s">
        <v>416</v>
      </c>
      <c r="H209" s="2" t="s">
        <v>94</v>
      </c>
      <c r="I209" s="26">
        <v>45584</v>
      </c>
      <c r="J209" s="2">
        <v>40</v>
      </c>
      <c r="K209" s="2" t="s">
        <v>123</v>
      </c>
      <c r="L209" s="22">
        <v>2450</v>
      </c>
      <c r="M209" s="22">
        <v>98000</v>
      </c>
      <c r="N209" s="18">
        <v>104.81</v>
      </c>
      <c r="O209" s="26">
        <v>45629</v>
      </c>
      <c r="P209" s="2" t="s">
        <v>805</v>
      </c>
      <c r="Q209" s="2" t="s">
        <v>814</v>
      </c>
    </row>
    <row r="210" spans="2:17" x14ac:dyDescent="0.25">
      <c r="B210" s="2" t="s">
        <v>1014</v>
      </c>
      <c r="C210" s="2" t="s">
        <v>130</v>
      </c>
      <c r="D210" s="2" t="s">
        <v>131</v>
      </c>
      <c r="E210" s="2" t="s">
        <v>122</v>
      </c>
      <c r="F210" s="2" t="s">
        <v>535</v>
      </c>
      <c r="G210" s="2" t="s">
        <v>416</v>
      </c>
      <c r="H210" s="2" t="s">
        <v>94</v>
      </c>
      <c r="I210" s="26">
        <v>45593</v>
      </c>
      <c r="J210" s="2">
        <v>36</v>
      </c>
      <c r="K210" s="2" t="s">
        <v>123</v>
      </c>
      <c r="L210" s="22">
        <v>2450</v>
      </c>
      <c r="M210" s="22">
        <v>88200</v>
      </c>
      <c r="N210" s="18">
        <v>94.33</v>
      </c>
      <c r="O210" s="26">
        <v>45638</v>
      </c>
      <c r="P210" s="2" t="s">
        <v>805</v>
      </c>
      <c r="Q210" s="2" t="s">
        <v>814</v>
      </c>
    </row>
    <row r="211" spans="2:17" x14ac:dyDescent="0.25">
      <c r="B211" s="2" t="s">
        <v>1015</v>
      </c>
      <c r="C211" s="2" t="s">
        <v>130</v>
      </c>
      <c r="D211" s="2" t="s">
        <v>131</v>
      </c>
      <c r="E211" s="2" t="s">
        <v>122</v>
      </c>
      <c r="F211" s="2" t="s">
        <v>535</v>
      </c>
      <c r="G211" s="2" t="s">
        <v>416</v>
      </c>
      <c r="H211" s="2" t="s">
        <v>94</v>
      </c>
      <c r="I211" s="26">
        <v>45601</v>
      </c>
      <c r="J211" s="2">
        <v>38</v>
      </c>
      <c r="K211" s="2" t="s">
        <v>123</v>
      </c>
      <c r="L211" s="22">
        <v>2450</v>
      </c>
      <c r="M211" s="22">
        <v>93100</v>
      </c>
      <c r="N211" s="18">
        <v>99.57</v>
      </c>
      <c r="O211" s="26">
        <v>45646</v>
      </c>
      <c r="P211" s="2" t="s">
        <v>805</v>
      </c>
      <c r="Q211" s="2" t="s">
        <v>814</v>
      </c>
    </row>
    <row r="212" spans="2:17" x14ac:dyDescent="0.25">
      <c r="B212" s="2" t="s">
        <v>1016</v>
      </c>
      <c r="C212" s="2" t="s">
        <v>130</v>
      </c>
      <c r="D212" s="2" t="s">
        <v>131</v>
      </c>
      <c r="E212" s="2" t="s">
        <v>122</v>
      </c>
      <c r="F212" s="2" t="s">
        <v>535</v>
      </c>
      <c r="G212" s="2" t="s">
        <v>416</v>
      </c>
      <c r="H212" s="2" t="s">
        <v>94</v>
      </c>
      <c r="I212" s="26">
        <v>45610</v>
      </c>
      <c r="J212" s="2">
        <v>42</v>
      </c>
      <c r="K212" s="2" t="s">
        <v>123</v>
      </c>
      <c r="L212" s="22">
        <v>2450</v>
      </c>
      <c r="M212" s="22">
        <v>102900</v>
      </c>
      <c r="N212" s="18">
        <v>110.05</v>
      </c>
      <c r="O212" s="26">
        <v>45655</v>
      </c>
      <c r="P212" s="2" t="s">
        <v>805</v>
      </c>
      <c r="Q212" s="2" t="s">
        <v>814</v>
      </c>
    </row>
    <row r="213" spans="2:17" x14ac:dyDescent="0.25">
      <c r="B213" s="2" t="s">
        <v>1017</v>
      </c>
      <c r="C213" s="2" t="s">
        <v>130</v>
      </c>
      <c r="D213" s="2" t="s">
        <v>131</v>
      </c>
      <c r="E213" s="2" t="s">
        <v>122</v>
      </c>
      <c r="F213" s="2" t="s">
        <v>535</v>
      </c>
      <c r="G213" s="2" t="s">
        <v>416</v>
      </c>
      <c r="H213" s="2" t="s">
        <v>94</v>
      </c>
      <c r="I213" s="26">
        <v>45622</v>
      </c>
      <c r="J213" s="2">
        <v>35</v>
      </c>
      <c r="K213" s="2" t="s">
        <v>123</v>
      </c>
      <c r="L213" s="22">
        <v>2450</v>
      </c>
      <c r="M213" s="22">
        <v>85750</v>
      </c>
      <c r="N213" s="18">
        <v>91.71</v>
      </c>
      <c r="O213" s="26">
        <v>45667</v>
      </c>
      <c r="P213" s="2" t="s">
        <v>805</v>
      </c>
      <c r="Q213" s="2" t="s">
        <v>814</v>
      </c>
    </row>
    <row r="214" spans="2:17" x14ac:dyDescent="0.25">
      <c r="B214" s="2" t="s">
        <v>1018</v>
      </c>
      <c r="C214" s="2" t="s">
        <v>130</v>
      </c>
      <c r="D214" s="2" t="s">
        <v>131</v>
      </c>
      <c r="E214" s="2" t="s">
        <v>122</v>
      </c>
      <c r="F214" s="2" t="s">
        <v>535</v>
      </c>
      <c r="G214" s="2" t="s">
        <v>416</v>
      </c>
      <c r="H214" s="2" t="s">
        <v>94</v>
      </c>
      <c r="I214" s="26">
        <v>45633</v>
      </c>
      <c r="J214" s="2">
        <v>48</v>
      </c>
      <c r="K214" s="2" t="s">
        <v>123</v>
      </c>
      <c r="L214" s="22">
        <v>2450</v>
      </c>
      <c r="M214" s="22">
        <v>117600</v>
      </c>
      <c r="N214" s="18">
        <v>125.78</v>
      </c>
      <c r="O214" s="26">
        <v>45678</v>
      </c>
      <c r="P214" s="2" t="s">
        <v>805</v>
      </c>
      <c r="Q214" s="2" t="s">
        <v>825</v>
      </c>
    </row>
    <row r="215" spans="2:17" x14ac:dyDescent="0.25">
      <c r="B215" s="2" t="s">
        <v>1019</v>
      </c>
      <c r="C215" s="2" t="s">
        <v>130</v>
      </c>
      <c r="D215" s="2" t="s">
        <v>131</v>
      </c>
      <c r="E215" s="2" t="s">
        <v>122</v>
      </c>
      <c r="F215" s="2" t="s">
        <v>535</v>
      </c>
      <c r="G215" s="2" t="s">
        <v>416</v>
      </c>
      <c r="H215" s="2" t="s">
        <v>94</v>
      </c>
      <c r="I215" s="26">
        <v>45643</v>
      </c>
      <c r="J215" s="2">
        <v>53</v>
      </c>
      <c r="K215" s="2" t="s">
        <v>123</v>
      </c>
      <c r="L215" s="22">
        <v>2450</v>
      </c>
      <c r="M215" s="22">
        <v>129850</v>
      </c>
      <c r="N215" s="18">
        <v>138.88</v>
      </c>
      <c r="O215" s="26">
        <v>45688</v>
      </c>
      <c r="P215" s="2" t="s">
        <v>805</v>
      </c>
      <c r="Q215" s="2" t="s">
        <v>825</v>
      </c>
    </row>
    <row r="216" spans="2:17" x14ac:dyDescent="0.25">
      <c r="B216" s="2" t="s">
        <v>1020</v>
      </c>
      <c r="C216" s="2" t="s">
        <v>130</v>
      </c>
      <c r="D216" s="2" t="s">
        <v>131</v>
      </c>
      <c r="E216" s="2" t="s">
        <v>122</v>
      </c>
      <c r="F216" s="2" t="s">
        <v>535</v>
      </c>
      <c r="G216" s="2" t="s">
        <v>416</v>
      </c>
      <c r="H216" s="2" t="s">
        <v>94</v>
      </c>
      <c r="I216" s="26">
        <v>45655</v>
      </c>
      <c r="J216" s="2">
        <v>58</v>
      </c>
      <c r="K216" s="2" t="s">
        <v>123</v>
      </c>
      <c r="L216" s="22">
        <v>2450</v>
      </c>
      <c r="M216" s="22">
        <v>142100</v>
      </c>
      <c r="N216" s="18">
        <v>151.97999999999999</v>
      </c>
      <c r="O216" s="26">
        <v>45700</v>
      </c>
      <c r="P216" s="2" t="s">
        <v>805</v>
      </c>
      <c r="Q216" s="2" t="s">
        <v>825</v>
      </c>
    </row>
    <row r="217" spans="2:17" x14ac:dyDescent="0.25">
      <c r="B217" s="2" t="s">
        <v>1021</v>
      </c>
      <c r="C217" s="2" t="s">
        <v>130</v>
      </c>
      <c r="D217" s="2" t="s">
        <v>131</v>
      </c>
      <c r="E217" s="2" t="s">
        <v>122</v>
      </c>
      <c r="F217" s="2" t="s">
        <v>535</v>
      </c>
      <c r="G217" s="2" t="s">
        <v>416</v>
      </c>
      <c r="H217" s="2" t="s">
        <v>94</v>
      </c>
      <c r="I217" s="26">
        <v>45662</v>
      </c>
      <c r="J217" s="2">
        <v>48</v>
      </c>
      <c r="K217" s="2" t="s">
        <v>123</v>
      </c>
      <c r="L217" s="22">
        <v>2450</v>
      </c>
      <c r="M217" s="22">
        <v>117600</v>
      </c>
      <c r="N217" s="18">
        <v>125.78</v>
      </c>
      <c r="O217" s="26">
        <v>45707</v>
      </c>
      <c r="P217" s="2" t="s">
        <v>805</v>
      </c>
      <c r="Q217" s="2" t="s">
        <v>825</v>
      </c>
    </row>
    <row r="218" spans="2:17" x14ac:dyDescent="0.25">
      <c r="B218" s="2" t="s">
        <v>1022</v>
      </c>
      <c r="C218" s="2" t="s">
        <v>130</v>
      </c>
      <c r="D218" s="2" t="s">
        <v>131</v>
      </c>
      <c r="E218" s="2" t="s">
        <v>122</v>
      </c>
      <c r="F218" s="2" t="s">
        <v>535</v>
      </c>
      <c r="G218" s="2" t="s">
        <v>416</v>
      </c>
      <c r="H218" s="2" t="s">
        <v>94</v>
      </c>
      <c r="I218" s="26">
        <v>45672</v>
      </c>
      <c r="J218" s="2">
        <v>48</v>
      </c>
      <c r="K218" s="2" t="s">
        <v>123</v>
      </c>
      <c r="L218" s="22">
        <v>2450</v>
      </c>
      <c r="M218" s="22">
        <v>117600</v>
      </c>
      <c r="N218" s="18">
        <v>125.78</v>
      </c>
      <c r="O218" s="26">
        <v>45717</v>
      </c>
      <c r="P218" s="2" t="s">
        <v>805</v>
      </c>
      <c r="Q218" s="2" t="s">
        <v>825</v>
      </c>
    </row>
    <row r="219" spans="2:17" x14ac:dyDescent="0.25">
      <c r="B219" s="2" t="s">
        <v>1023</v>
      </c>
      <c r="C219" s="2" t="s">
        <v>130</v>
      </c>
      <c r="D219" s="2" t="s">
        <v>131</v>
      </c>
      <c r="E219" s="2" t="s">
        <v>122</v>
      </c>
      <c r="F219" s="2" t="s">
        <v>535</v>
      </c>
      <c r="G219" s="2" t="s">
        <v>416</v>
      </c>
      <c r="H219" s="2" t="s">
        <v>94</v>
      </c>
      <c r="I219" s="26">
        <v>45680</v>
      </c>
      <c r="J219" s="2">
        <v>41</v>
      </c>
      <c r="K219" s="2" t="s">
        <v>123</v>
      </c>
      <c r="L219" s="22">
        <v>2450</v>
      </c>
      <c r="M219" s="22">
        <v>100450</v>
      </c>
      <c r="N219" s="18">
        <v>107.43</v>
      </c>
      <c r="O219" s="26">
        <v>45725</v>
      </c>
      <c r="P219" s="2" t="s">
        <v>805</v>
      </c>
      <c r="Q219" s="2" t="s">
        <v>825</v>
      </c>
    </row>
    <row r="220" spans="2:17" x14ac:dyDescent="0.25">
      <c r="B220" s="2" t="s">
        <v>1024</v>
      </c>
      <c r="C220" s="2" t="s">
        <v>130</v>
      </c>
      <c r="D220" s="2" t="s">
        <v>131</v>
      </c>
      <c r="E220" s="2" t="s">
        <v>122</v>
      </c>
      <c r="F220" s="2" t="s">
        <v>535</v>
      </c>
      <c r="G220" s="2" t="s">
        <v>416</v>
      </c>
      <c r="H220" s="2" t="s">
        <v>94</v>
      </c>
      <c r="I220" s="26">
        <v>45690</v>
      </c>
      <c r="J220" s="2">
        <v>37</v>
      </c>
      <c r="K220" s="2" t="s">
        <v>123</v>
      </c>
      <c r="L220" s="22">
        <v>2450</v>
      </c>
      <c r="M220" s="22">
        <v>90650</v>
      </c>
      <c r="N220" s="18">
        <v>96.95</v>
      </c>
      <c r="O220" s="26">
        <v>45735</v>
      </c>
      <c r="P220" s="2" t="s">
        <v>805</v>
      </c>
      <c r="Q220" s="2" t="s">
        <v>825</v>
      </c>
    </row>
    <row r="221" spans="2:17" x14ac:dyDescent="0.25">
      <c r="B221" s="2" t="s">
        <v>1025</v>
      </c>
      <c r="C221" s="2" t="s">
        <v>130</v>
      </c>
      <c r="D221" s="2" t="s">
        <v>131</v>
      </c>
      <c r="E221" s="2" t="s">
        <v>122</v>
      </c>
      <c r="F221" s="2" t="s">
        <v>535</v>
      </c>
      <c r="G221" s="2" t="s">
        <v>416</v>
      </c>
      <c r="H221" s="2" t="s">
        <v>94</v>
      </c>
      <c r="I221" s="26">
        <v>45701</v>
      </c>
      <c r="J221" s="2">
        <v>43</v>
      </c>
      <c r="K221" s="2" t="s">
        <v>123</v>
      </c>
      <c r="L221" s="22">
        <v>2450</v>
      </c>
      <c r="M221" s="22">
        <v>105350</v>
      </c>
      <c r="N221" s="18">
        <v>112.67</v>
      </c>
      <c r="O221" s="26">
        <v>45746</v>
      </c>
      <c r="P221" s="2" t="s">
        <v>805</v>
      </c>
      <c r="Q221" s="2" t="s">
        <v>825</v>
      </c>
    </row>
    <row r="222" spans="2:17" x14ac:dyDescent="0.25">
      <c r="B222" s="2" t="s">
        <v>1026</v>
      </c>
      <c r="C222" s="2" t="s">
        <v>130</v>
      </c>
      <c r="D222" s="2" t="s">
        <v>131</v>
      </c>
      <c r="E222" s="2" t="s">
        <v>122</v>
      </c>
      <c r="F222" s="2" t="s">
        <v>535</v>
      </c>
      <c r="G222" s="2" t="s">
        <v>416</v>
      </c>
      <c r="H222" s="2" t="s">
        <v>94</v>
      </c>
      <c r="I222" s="26">
        <v>45709</v>
      </c>
      <c r="J222" s="2">
        <v>42</v>
      </c>
      <c r="K222" s="2" t="s">
        <v>123</v>
      </c>
      <c r="L222" s="22">
        <v>2450</v>
      </c>
      <c r="M222" s="22">
        <v>102900</v>
      </c>
      <c r="N222" s="18">
        <v>110.05</v>
      </c>
      <c r="O222" s="26">
        <v>45754</v>
      </c>
      <c r="P222" s="2" t="s">
        <v>805</v>
      </c>
      <c r="Q222" s="2" t="s">
        <v>825</v>
      </c>
    </row>
    <row r="223" spans="2:17" x14ac:dyDescent="0.25">
      <c r="B223" s="2" t="s">
        <v>1027</v>
      </c>
      <c r="C223" s="2" t="s">
        <v>130</v>
      </c>
      <c r="D223" s="2" t="s">
        <v>131</v>
      </c>
      <c r="E223" s="2" t="s">
        <v>122</v>
      </c>
      <c r="F223" s="2" t="s">
        <v>535</v>
      </c>
      <c r="G223" s="2" t="s">
        <v>416</v>
      </c>
      <c r="H223" s="2" t="s">
        <v>94</v>
      </c>
      <c r="I223" s="26">
        <v>45719</v>
      </c>
      <c r="J223" s="2">
        <v>43</v>
      </c>
      <c r="K223" s="2" t="s">
        <v>123</v>
      </c>
      <c r="L223" s="22">
        <v>2450</v>
      </c>
      <c r="M223" s="22">
        <v>105350</v>
      </c>
      <c r="N223" s="18">
        <v>112.67</v>
      </c>
      <c r="O223" s="26">
        <v>45764</v>
      </c>
      <c r="P223" s="2" t="s">
        <v>805</v>
      </c>
      <c r="Q223" s="2" t="s">
        <v>836</v>
      </c>
    </row>
    <row r="224" spans="2:17" x14ac:dyDescent="0.25">
      <c r="B224" s="2" t="s">
        <v>1028</v>
      </c>
      <c r="C224" s="2" t="s">
        <v>130</v>
      </c>
      <c r="D224" s="2" t="s">
        <v>131</v>
      </c>
      <c r="E224" s="2" t="s">
        <v>122</v>
      </c>
      <c r="F224" s="2" t="s">
        <v>535</v>
      </c>
      <c r="G224" s="2" t="s">
        <v>416</v>
      </c>
      <c r="H224" s="2" t="s">
        <v>94</v>
      </c>
      <c r="I224" s="26">
        <v>45727</v>
      </c>
      <c r="J224" s="2">
        <v>37</v>
      </c>
      <c r="K224" s="2" t="s">
        <v>123</v>
      </c>
      <c r="L224" s="22">
        <v>2450</v>
      </c>
      <c r="M224" s="22">
        <v>90650</v>
      </c>
      <c r="N224" s="18">
        <v>96.95</v>
      </c>
      <c r="O224" s="26">
        <v>45772</v>
      </c>
      <c r="P224" s="2" t="s">
        <v>805</v>
      </c>
      <c r="Q224" s="2" t="s">
        <v>836</v>
      </c>
    </row>
    <row r="225" spans="2:17" x14ac:dyDescent="0.25">
      <c r="B225" s="2" t="s">
        <v>1029</v>
      </c>
      <c r="C225" s="2" t="s">
        <v>130</v>
      </c>
      <c r="D225" s="2" t="s">
        <v>131</v>
      </c>
      <c r="E225" s="2" t="s">
        <v>122</v>
      </c>
      <c r="F225" s="2" t="s">
        <v>535</v>
      </c>
      <c r="G225" s="2" t="s">
        <v>416</v>
      </c>
      <c r="H225" s="2" t="s">
        <v>94</v>
      </c>
      <c r="I225" s="26">
        <v>45736</v>
      </c>
      <c r="J225" s="2">
        <v>42</v>
      </c>
      <c r="K225" s="2" t="s">
        <v>123</v>
      </c>
      <c r="L225" s="22">
        <v>2450</v>
      </c>
      <c r="M225" s="22">
        <v>102900</v>
      </c>
      <c r="N225" s="18">
        <v>110.05</v>
      </c>
      <c r="O225" s="26">
        <v>45781</v>
      </c>
      <c r="P225" s="2" t="s">
        <v>805</v>
      </c>
      <c r="Q225" s="2" t="s">
        <v>836</v>
      </c>
    </row>
    <row r="226" spans="2:17" x14ac:dyDescent="0.25">
      <c r="B226" s="2" t="s">
        <v>1030</v>
      </c>
      <c r="C226" s="2" t="s">
        <v>130</v>
      </c>
      <c r="D226" s="2" t="s">
        <v>131</v>
      </c>
      <c r="E226" s="2" t="s">
        <v>122</v>
      </c>
      <c r="F226" s="2" t="s">
        <v>535</v>
      </c>
      <c r="G226" s="2" t="s">
        <v>416</v>
      </c>
      <c r="H226" s="2" t="s">
        <v>94</v>
      </c>
      <c r="I226" s="26">
        <v>45746</v>
      </c>
      <c r="J226" s="2">
        <v>44</v>
      </c>
      <c r="K226" s="2" t="s">
        <v>123</v>
      </c>
      <c r="L226" s="22">
        <v>2450</v>
      </c>
      <c r="M226" s="22">
        <v>107800</v>
      </c>
      <c r="N226" s="18">
        <v>115.29</v>
      </c>
      <c r="O226" s="26">
        <v>45791</v>
      </c>
      <c r="P226" s="2" t="s">
        <v>805</v>
      </c>
      <c r="Q226" s="2" t="s">
        <v>836</v>
      </c>
    </row>
    <row r="227" spans="2:17" x14ac:dyDescent="0.25">
      <c r="B227" s="2" t="s">
        <v>1031</v>
      </c>
      <c r="C227" s="2" t="s">
        <v>130</v>
      </c>
      <c r="D227" s="2" t="s">
        <v>131</v>
      </c>
      <c r="E227" s="2" t="s">
        <v>122</v>
      </c>
      <c r="F227" s="2" t="s">
        <v>535</v>
      </c>
      <c r="G227" s="2" t="s">
        <v>416</v>
      </c>
      <c r="H227" s="2" t="s">
        <v>94</v>
      </c>
      <c r="I227" s="26">
        <v>45756</v>
      </c>
      <c r="J227" s="2">
        <v>15</v>
      </c>
      <c r="K227" s="2" t="s">
        <v>123</v>
      </c>
      <c r="L227" s="22">
        <v>2450</v>
      </c>
      <c r="M227" s="22">
        <v>36750</v>
      </c>
      <c r="N227" s="18">
        <v>39.299999999999997</v>
      </c>
      <c r="O227" s="26">
        <v>45801</v>
      </c>
      <c r="P227" s="2" t="s">
        <v>805</v>
      </c>
      <c r="Q227" s="2" t="s">
        <v>836</v>
      </c>
    </row>
    <row r="228" spans="2:17" x14ac:dyDescent="0.25">
      <c r="B228" s="2" t="s">
        <v>1032</v>
      </c>
      <c r="C228" s="2" t="s">
        <v>130</v>
      </c>
      <c r="D228" s="2" t="s">
        <v>131</v>
      </c>
      <c r="E228" s="2" t="s">
        <v>122</v>
      </c>
      <c r="F228" s="2" t="s">
        <v>537</v>
      </c>
      <c r="G228" s="2" t="s">
        <v>420</v>
      </c>
      <c r="H228" s="2" t="s">
        <v>421</v>
      </c>
      <c r="I228" s="26">
        <v>45767</v>
      </c>
      <c r="J228" s="2">
        <v>18</v>
      </c>
      <c r="K228" s="2" t="s">
        <v>123</v>
      </c>
      <c r="L228" s="22">
        <v>2600</v>
      </c>
      <c r="M228" s="22">
        <v>46800</v>
      </c>
      <c r="N228" s="18">
        <v>50.05</v>
      </c>
      <c r="O228" s="26">
        <v>45812</v>
      </c>
      <c r="P228" s="2" t="s">
        <v>805</v>
      </c>
      <c r="Q228" s="2" t="s">
        <v>836</v>
      </c>
    </row>
    <row r="229" spans="2:17" x14ac:dyDescent="0.25">
      <c r="B229" s="2" t="s">
        <v>1033</v>
      </c>
      <c r="C229" s="2" t="s">
        <v>130</v>
      </c>
      <c r="D229" s="2" t="s">
        <v>131</v>
      </c>
      <c r="E229" s="2" t="s">
        <v>122</v>
      </c>
      <c r="F229" s="2" t="s">
        <v>535</v>
      </c>
      <c r="G229" s="2" t="s">
        <v>416</v>
      </c>
      <c r="H229" s="2" t="s">
        <v>94</v>
      </c>
      <c r="I229" s="26">
        <v>45775</v>
      </c>
      <c r="J229" s="2">
        <v>18</v>
      </c>
      <c r="K229" s="2" t="s">
        <v>123</v>
      </c>
      <c r="L229" s="22">
        <v>2450</v>
      </c>
      <c r="M229" s="22">
        <v>44100</v>
      </c>
      <c r="N229" s="18">
        <v>47.17</v>
      </c>
      <c r="O229" s="26">
        <v>45820</v>
      </c>
      <c r="P229" s="2" t="s">
        <v>805</v>
      </c>
      <c r="Q229" s="2" t="s">
        <v>836</v>
      </c>
    </row>
    <row r="230" spans="2:17" x14ac:dyDescent="0.25">
      <c r="B230" s="2" t="s">
        <v>1034</v>
      </c>
      <c r="C230" s="2" t="s">
        <v>130</v>
      </c>
      <c r="D230" s="2" t="s">
        <v>131</v>
      </c>
      <c r="E230" s="2" t="s">
        <v>122</v>
      </c>
      <c r="F230" s="2" t="s">
        <v>535</v>
      </c>
      <c r="G230" s="2" t="s">
        <v>416</v>
      </c>
      <c r="H230" s="2" t="s">
        <v>94</v>
      </c>
      <c r="I230" s="26">
        <v>45785</v>
      </c>
      <c r="J230" s="2">
        <v>15</v>
      </c>
      <c r="K230" s="2" t="s">
        <v>123</v>
      </c>
      <c r="L230" s="22">
        <v>2450</v>
      </c>
      <c r="M230" s="22">
        <v>36750</v>
      </c>
      <c r="N230" s="18">
        <v>39.299999999999997</v>
      </c>
      <c r="O230" s="26">
        <v>45830</v>
      </c>
      <c r="P230" s="2" t="s">
        <v>805</v>
      </c>
      <c r="Q230" s="2" t="s">
        <v>836</v>
      </c>
    </row>
    <row r="231" spans="2:17" x14ac:dyDescent="0.25">
      <c r="B231" s="2" t="s">
        <v>1035</v>
      </c>
      <c r="C231" s="2" t="s">
        <v>130</v>
      </c>
      <c r="D231" s="2" t="s">
        <v>131</v>
      </c>
      <c r="E231" s="2" t="s">
        <v>122</v>
      </c>
      <c r="F231" s="2" t="s">
        <v>535</v>
      </c>
      <c r="G231" s="2" t="s">
        <v>416</v>
      </c>
      <c r="H231" s="2" t="s">
        <v>94</v>
      </c>
      <c r="I231" s="26">
        <v>45795</v>
      </c>
      <c r="J231" s="2">
        <v>17</v>
      </c>
      <c r="K231" s="2" t="s">
        <v>123</v>
      </c>
      <c r="L231" s="22">
        <v>2450</v>
      </c>
      <c r="M231" s="22">
        <v>41650</v>
      </c>
      <c r="N231" s="18">
        <v>44.55</v>
      </c>
      <c r="O231" s="26">
        <v>45840</v>
      </c>
      <c r="P231" s="2" t="s">
        <v>805</v>
      </c>
      <c r="Q231" s="2" t="s">
        <v>836</v>
      </c>
    </row>
    <row r="232" spans="2:17" x14ac:dyDescent="0.25">
      <c r="B232" s="2" t="s">
        <v>1036</v>
      </c>
      <c r="C232" s="2" t="s">
        <v>130</v>
      </c>
      <c r="D232" s="2" t="s">
        <v>131</v>
      </c>
      <c r="E232" s="2" t="s">
        <v>122</v>
      </c>
      <c r="F232" s="2" t="s">
        <v>535</v>
      </c>
      <c r="G232" s="2" t="s">
        <v>416</v>
      </c>
      <c r="H232" s="2" t="s">
        <v>94</v>
      </c>
      <c r="I232" s="26">
        <v>45806</v>
      </c>
      <c r="J232" s="2">
        <v>15</v>
      </c>
      <c r="K232" s="2" t="s">
        <v>123</v>
      </c>
      <c r="L232" s="22">
        <v>2450</v>
      </c>
      <c r="M232" s="22">
        <v>36750</v>
      </c>
      <c r="N232" s="18">
        <v>39.299999999999997</v>
      </c>
      <c r="O232" s="26">
        <v>45851</v>
      </c>
      <c r="P232" s="2" t="s">
        <v>805</v>
      </c>
      <c r="Q232" s="2" t="s">
        <v>836</v>
      </c>
    </row>
    <row r="233" spans="2:17" x14ac:dyDescent="0.25">
      <c r="B233" s="2" t="s">
        <v>1037</v>
      </c>
      <c r="C233" s="2" t="s">
        <v>130</v>
      </c>
      <c r="D233" s="2" t="s">
        <v>131</v>
      </c>
      <c r="E233" s="2" t="s">
        <v>122</v>
      </c>
      <c r="F233" s="2" t="s">
        <v>535</v>
      </c>
      <c r="G233" s="2" t="s">
        <v>416</v>
      </c>
      <c r="H233" s="2" t="s">
        <v>94</v>
      </c>
      <c r="I233" s="26">
        <v>45814</v>
      </c>
      <c r="J233" s="2">
        <v>18</v>
      </c>
      <c r="K233" s="2" t="s">
        <v>123</v>
      </c>
      <c r="L233" s="22">
        <v>2450</v>
      </c>
      <c r="M233" s="22">
        <v>44100</v>
      </c>
      <c r="N233" s="18">
        <v>47.17</v>
      </c>
      <c r="O233" s="26">
        <v>45859</v>
      </c>
      <c r="P233" s="2" t="s">
        <v>805</v>
      </c>
      <c r="Q233" s="2" t="s">
        <v>806</v>
      </c>
    </row>
    <row r="234" spans="2:17" x14ac:dyDescent="0.25">
      <c r="B234" s="2" t="s">
        <v>1038</v>
      </c>
      <c r="C234" s="2" t="s">
        <v>130</v>
      </c>
      <c r="D234" s="2" t="s">
        <v>131</v>
      </c>
      <c r="E234" s="2" t="s">
        <v>122</v>
      </c>
      <c r="F234" s="2" t="s">
        <v>535</v>
      </c>
      <c r="G234" s="2" t="s">
        <v>416</v>
      </c>
      <c r="H234" s="2" t="s">
        <v>94</v>
      </c>
      <c r="I234" s="26">
        <v>45821</v>
      </c>
      <c r="J234" s="2">
        <v>17</v>
      </c>
      <c r="K234" s="2" t="s">
        <v>123</v>
      </c>
      <c r="L234" s="22">
        <v>2450</v>
      </c>
      <c r="M234" s="22">
        <v>41650</v>
      </c>
      <c r="N234" s="18">
        <v>44.55</v>
      </c>
      <c r="O234" s="26">
        <v>45866</v>
      </c>
      <c r="P234" s="2" t="s">
        <v>805</v>
      </c>
      <c r="Q234" s="2" t="s">
        <v>806</v>
      </c>
    </row>
    <row r="235" spans="2:17" x14ac:dyDescent="0.25">
      <c r="B235" s="2" t="s">
        <v>1039</v>
      </c>
      <c r="C235" s="2" t="s">
        <v>130</v>
      </c>
      <c r="D235" s="2" t="s">
        <v>131</v>
      </c>
      <c r="E235" s="2" t="s">
        <v>122</v>
      </c>
      <c r="F235" s="2" t="s">
        <v>537</v>
      </c>
      <c r="G235" s="2" t="s">
        <v>420</v>
      </c>
      <c r="H235" s="2" t="s">
        <v>421</v>
      </c>
      <c r="I235" s="26">
        <v>45829</v>
      </c>
      <c r="J235" s="2">
        <v>15</v>
      </c>
      <c r="K235" s="2" t="s">
        <v>123</v>
      </c>
      <c r="L235" s="22">
        <v>2600</v>
      </c>
      <c r="M235" s="22">
        <v>39000</v>
      </c>
      <c r="N235" s="18">
        <v>41.71</v>
      </c>
      <c r="O235" s="26">
        <v>45874</v>
      </c>
      <c r="P235" s="2" t="s">
        <v>805</v>
      </c>
      <c r="Q235" s="2" t="s">
        <v>806</v>
      </c>
    </row>
    <row r="236" spans="2:17" x14ac:dyDescent="0.25">
      <c r="B236" s="2" t="s">
        <v>1040</v>
      </c>
      <c r="C236" s="2" t="s">
        <v>130</v>
      </c>
      <c r="D236" s="2" t="s">
        <v>131</v>
      </c>
      <c r="E236" s="2" t="s">
        <v>122</v>
      </c>
      <c r="F236" s="2" t="s">
        <v>535</v>
      </c>
      <c r="G236" s="2" t="s">
        <v>416</v>
      </c>
      <c r="H236" s="2" t="s">
        <v>94</v>
      </c>
      <c r="I236" s="26">
        <v>45838</v>
      </c>
      <c r="J236" s="2">
        <v>17</v>
      </c>
      <c r="K236" s="2" t="s">
        <v>123</v>
      </c>
      <c r="L236" s="22">
        <v>2450</v>
      </c>
      <c r="M236" s="22">
        <v>41650</v>
      </c>
      <c r="N236" s="18">
        <v>44.55</v>
      </c>
      <c r="O236" s="26">
        <v>45883</v>
      </c>
      <c r="P236" s="2" t="s">
        <v>805</v>
      </c>
      <c r="Q236" s="2" t="s">
        <v>806</v>
      </c>
    </row>
    <row r="237" spans="2:17" x14ac:dyDescent="0.25">
      <c r="B237" s="2" t="s">
        <v>1041</v>
      </c>
      <c r="C237" s="2" t="s">
        <v>133</v>
      </c>
      <c r="D237" s="2" t="s">
        <v>134</v>
      </c>
      <c r="E237" s="2" t="s">
        <v>122</v>
      </c>
      <c r="F237" s="2" t="s">
        <v>535</v>
      </c>
      <c r="G237" s="2" t="s">
        <v>416</v>
      </c>
      <c r="H237" s="2" t="s">
        <v>94</v>
      </c>
      <c r="I237" s="26">
        <v>45117</v>
      </c>
      <c r="J237" s="2">
        <v>13</v>
      </c>
      <c r="K237" s="2" t="s">
        <v>123</v>
      </c>
      <c r="L237" s="22">
        <v>2050</v>
      </c>
      <c r="M237" s="22">
        <v>26650</v>
      </c>
      <c r="N237" s="18">
        <v>28.5</v>
      </c>
      <c r="O237" s="26">
        <v>45162</v>
      </c>
      <c r="P237" s="2" t="s">
        <v>805</v>
      </c>
      <c r="Q237" s="2" t="s">
        <v>806</v>
      </c>
    </row>
    <row r="238" spans="2:17" x14ac:dyDescent="0.25">
      <c r="B238" s="2" t="s">
        <v>1042</v>
      </c>
      <c r="C238" s="2" t="s">
        <v>133</v>
      </c>
      <c r="D238" s="2" t="s">
        <v>134</v>
      </c>
      <c r="E238" s="2" t="s">
        <v>122</v>
      </c>
      <c r="F238" s="2" t="s">
        <v>537</v>
      </c>
      <c r="G238" s="2" t="s">
        <v>420</v>
      </c>
      <c r="H238" s="2" t="s">
        <v>421</v>
      </c>
      <c r="I238" s="26">
        <v>45127</v>
      </c>
      <c r="J238" s="2">
        <v>14</v>
      </c>
      <c r="K238" s="2" t="s">
        <v>123</v>
      </c>
      <c r="L238" s="22">
        <v>2300</v>
      </c>
      <c r="M238" s="22">
        <v>32200</v>
      </c>
      <c r="N238" s="18">
        <v>34.44</v>
      </c>
      <c r="O238" s="26">
        <v>45172</v>
      </c>
      <c r="P238" s="2" t="s">
        <v>805</v>
      </c>
      <c r="Q238" s="2" t="s">
        <v>806</v>
      </c>
    </row>
    <row r="239" spans="2:17" x14ac:dyDescent="0.25">
      <c r="B239" s="2" t="s">
        <v>1043</v>
      </c>
      <c r="C239" s="2" t="s">
        <v>133</v>
      </c>
      <c r="D239" s="2" t="s">
        <v>134</v>
      </c>
      <c r="E239" s="2" t="s">
        <v>122</v>
      </c>
      <c r="F239" s="2" t="s">
        <v>535</v>
      </c>
      <c r="G239" s="2" t="s">
        <v>416</v>
      </c>
      <c r="H239" s="2" t="s">
        <v>94</v>
      </c>
      <c r="I239" s="26">
        <v>45134</v>
      </c>
      <c r="J239" s="2">
        <v>15</v>
      </c>
      <c r="K239" s="2" t="s">
        <v>123</v>
      </c>
      <c r="L239" s="22">
        <v>2050</v>
      </c>
      <c r="M239" s="22">
        <v>30750</v>
      </c>
      <c r="N239" s="18">
        <v>32.89</v>
      </c>
      <c r="O239" s="26">
        <v>45179</v>
      </c>
      <c r="P239" s="2" t="s">
        <v>805</v>
      </c>
      <c r="Q239" s="2" t="s">
        <v>806</v>
      </c>
    </row>
    <row r="240" spans="2:17" x14ac:dyDescent="0.25">
      <c r="B240" s="2" t="s">
        <v>1044</v>
      </c>
      <c r="C240" s="2" t="s">
        <v>133</v>
      </c>
      <c r="D240" s="2" t="s">
        <v>134</v>
      </c>
      <c r="E240" s="2" t="s">
        <v>122</v>
      </c>
      <c r="F240" s="2" t="s">
        <v>535</v>
      </c>
      <c r="G240" s="2" t="s">
        <v>416</v>
      </c>
      <c r="H240" s="2" t="s">
        <v>94</v>
      </c>
      <c r="I240" s="26">
        <v>45143</v>
      </c>
      <c r="J240" s="2">
        <v>17</v>
      </c>
      <c r="K240" s="2" t="s">
        <v>123</v>
      </c>
      <c r="L240" s="22">
        <v>2050</v>
      </c>
      <c r="M240" s="22">
        <v>34850</v>
      </c>
      <c r="N240" s="18">
        <v>37.270000000000003</v>
      </c>
      <c r="O240" s="26">
        <v>45188</v>
      </c>
      <c r="P240" s="2" t="s">
        <v>805</v>
      </c>
      <c r="Q240" s="2" t="s">
        <v>806</v>
      </c>
    </row>
    <row r="241" spans="2:17" x14ac:dyDescent="0.25">
      <c r="B241" s="2" t="s">
        <v>1045</v>
      </c>
      <c r="C241" s="2" t="s">
        <v>133</v>
      </c>
      <c r="D241" s="2" t="s">
        <v>134</v>
      </c>
      <c r="E241" s="2" t="s">
        <v>122</v>
      </c>
      <c r="F241" s="2" t="s">
        <v>535</v>
      </c>
      <c r="G241" s="2" t="s">
        <v>416</v>
      </c>
      <c r="H241" s="2" t="s">
        <v>94</v>
      </c>
      <c r="I241" s="26">
        <v>45153</v>
      </c>
      <c r="J241" s="2">
        <v>15</v>
      </c>
      <c r="K241" s="2" t="s">
        <v>123</v>
      </c>
      <c r="L241" s="22">
        <v>2050</v>
      </c>
      <c r="M241" s="22">
        <v>30750</v>
      </c>
      <c r="N241" s="18">
        <v>32.89</v>
      </c>
      <c r="O241" s="26">
        <v>45198</v>
      </c>
      <c r="P241" s="2" t="s">
        <v>805</v>
      </c>
      <c r="Q241" s="2" t="s">
        <v>806</v>
      </c>
    </row>
    <row r="242" spans="2:17" x14ac:dyDescent="0.25">
      <c r="B242" s="2" t="s">
        <v>1046</v>
      </c>
      <c r="C242" s="2" t="s">
        <v>133</v>
      </c>
      <c r="D242" s="2" t="s">
        <v>134</v>
      </c>
      <c r="E242" s="2" t="s">
        <v>122</v>
      </c>
      <c r="F242" s="2" t="s">
        <v>535</v>
      </c>
      <c r="G242" s="2" t="s">
        <v>416</v>
      </c>
      <c r="H242" s="2" t="s">
        <v>94</v>
      </c>
      <c r="I242" s="26">
        <v>45163</v>
      </c>
      <c r="J242" s="2">
        <v>15</v>
      </c>
      <c r="K242" s="2" t="s">
        <v>123</v>
      </c>
      <c r="L242" s="22">
        <v>2050</v>
      </c>
      <c r="M242" s="22">
        <v>30750</v>
      </c>
      <c r="N242" s="18">
        <v>32.89</v>
      </c>
      <c r="O242" s="26">
        <v>45208</v>
      </c>
      <c r="P242" s="2" t="s">
        <v>805</v>
      </c>
      <c r="Q242" s="2" t="s">
        <v>806</v>
      </c>
    </row>
    <row r="243" spans="2:17" x14ac:dyDescent="0.25">
      <c r="B243" s="2" t="s">
        <v>1047</v>
      </c>
      <c r="C243" s="2" t="s">
        <v>133</v>
      </c>
      <c r="D243" s="2" t="s">
        <v>134</v>
      </c>
      <c r="E243" s="2" t="s">
        <v>122</v>
      </c>
      <c r="F243" s="2" t="s">
        <v>535</v>
      </c>
      <c r="G243" s="2" t="s">
        <v>416</v>
      </c>
      <c r="H243" s="2" t="s">
        <v>94</v>
      </c>
      <c r="I243" s="26">
        <v>45173</v>
      </c>
      <c r="J243" s="2">
        <v>19</v>
      </c>
      <c r="K243" s="2" t="s">
        <v>123</v>
      </c>
      <c r="L243" s="22">
        <v>2050</v>
      </c>
      <c r="M243" s="22">
        <v>38950</v>
      </c>
      <c r="N243" s="18">
        <v>41.66</v>
      </c>
      <c r="O243" s="26">
        <v>45218</v>
      </c>
      <c r="P243" s="2" t="s">
        <v>805</v>
      </c>
      <c r="Q243" s="2" t="s">
        <v>814</v>
      </c>
    </row>
    <row r="244" spans="2:17" x14ac:dyDescent="0.25">
      <c r="B244" s="2" t="s">
        <v>1048</v>
      </c>
      <c r="C244" s="2" t="s">
        <v>133</v>
      </c>
      <c r="D244" s="2" t="s">
        <v>134</v>
      </c>
      <c r="E244" s="2" t="s">
        <v>122</v>
      </c>
      <c r="F244" s="2" t="s">
        <v>535</v>
      </c>
      <c r="G244" s="2" t="s">
        <v>416</v>
      </c>
      <c r="H244" s="2" t="s">
        <v>94</v>
      </c>
      <c r="I244" s="26">
        <v>45181</v>
      </c>
      <c r="J244" s="2">
        <v>19</v>
      </c>
      <c r="K244" s="2" t="s">
        <v>123</v>
      </c>
      <c r="L244" s="22">
        <v>2050</v>
      </c>
      <c r="M244" s="22">
        <v>38950</v>
      </c>
      <c r="N244" s="18">
        <v>41.66</v>
      </c>
      <c r="O244" s="26">
        <v>45226</v>
      </c>
      <c r="P244" s="2" t="s">
        <v>805</v>
      </c>
      <c r="Q244" s="2" t="s">
        <v>814</v>
      </c>
    </row>
    <row r="245" spans="2:17" x14ac:dyDescent="0.25">
      <c r="B245" s="2" t="s">
        <v>1049</v>
      </c>
      <c r="C245" s="2" t="s">
        <v>133</v>
      </c>
      <c r="D245" s="2" t="s">
        <v>134</v>
      </c>
      <c r="E245" s="2" t="s">
        <v>122</v>
      </c>
      <c r="F245" s="2" t="s">
        <v>535</v>
      </c>
      <c r="G245" s="2" t="s">
        <v>416</v>
      </c>
      <c r="H245" s="2" t="s">
        <v>94</v>
      </c>
      <c r="I245" s="26">
        <v>45190</v>
      </c>
      <c r="J245" s="2">
        <v>19</v>
      </c>
      <c r="K245" s="2" t="s">
        <v>123</v>
      </c>
      <c r="L245" s="22">
        <v>2050</v>
      </c>
      <c r="M245" s="22">
        <v>38950</v>
      </c>
      <c r="N245" s="18">
        <v>41.66</v>
      </c>
      <c r="O245" s="26">
        <v>45235</v>
      </c>
      <c r="P245" s="2" t="s">
        <v>805</v>
      </c>
      <c r="Q245" s="2" t="s">
        <v>814</v>
      </c>
    </row>
    <row r="246" spans="2:17" x14ac:dyDescent="0.25">
      <c r="B246" s="2" t="s">
        <v>1050</v>
      </c>
      <c r="C246" s="2" t="s">
        <v>133</v>
      </c>
      <c r="D246" s="2" t="s">
        <v>134</v>
      </c>
      <c r="E246" s="2" t="s">
        <v>122</v>
      </c>
      <c r="F246" s="2" t="s">
        <v>537</v>
      </c>
      <c r="G246" s="2" t="s">
        <v>420</v>
      </c>
      <c r="H246" s="2" t="s">
        <v>421</v>
      </c>
      <c r="I246" s="26">
        <v>45200</v>
      </c>
      <c r="J246" s="2">
        <v>35</v>
      </c>
      <c r="K246" s="2" t="s">
        <v>123</v>
      </c>
      <c r="L246" s="22">
        <v>2300</v>
      </c>
      <c r="M246" s="22">
        <v>80500</v>
      </c>
      <c r="N246" s="18">
        <v>86.1</v>
      </c>
      <c r="O246" s="26">
        <v>45245</v>
      </c>
      <c r="P246" s="2" t="s">
        <v>805</v>
      </c>
      <c r="Q246" s="2" t="s">
        <v>814</v>
      </c>
    </row>
    <row r="247" spans="2:17" x14ac:dyDescent="0.25">
      <c r="B247" s="2" t="s">
        <v>1051</v>
      </c>
      <c r="C247" s="2" t="s">
        <v>133</v>
      </c>
      <c r="D247" s="2" t="s">
        <v>134</v>
      </c>
      <c r="E247" s="2" t="s">
        <v>122</v>
      </c>
      <c r="F247" s="2" t="s">
        <v>535</v>
      </c>
      <c r="G247" s="2" t="s">
        <v>416</v>
      </c>
      <c r="H247" s="2" t="s">
        <v>94</v>
      </c>
      <c r="I247" s="26">
        <v>45210</v>
      </c>
      <c r="J247" s="2">
        <v>43</v>
      </c>
      <c r="K247" s="2" t="s">
        <v>123</v>
      </c>
      <c r="L247" s="22">
        <v>2050</v>
      </c>
      <c r="M247" s="22">
        <v>88150</v>
      </c>
      <c r="N247" s="18">
        <v>94.28</v>
      </c>
      <c r="O247" s="26">
        <v>45255</v>
      </c>
      <c r="P247" s="2" t="s">
        <v>805</v>
      </c>
      <c r="Q247" s="2" t="s">
        <v>814</v>
      </c>
    </row>
    <row r="248" spans="2:17" x14ac:dyDescent="0.25">
      <c r="B248" s="2" t="s">
        <v>1052</v>
      </c>
      <c r="C248" s="2" t="s">
        <v>133</v>
      </c>
      <c r="D248" s="2" t="s">
        <v>134</v>
      </c>
      <c r="E248" s="2" t="s">
        <v>122</v>
      </c>
      <c r="F248" s="2" t="s">
        <v>535</v>
      </c>
      <c r="G248" s="2" t="s">
        <v>416</v>
      </c>
      <c r="H248" s="2" t="s">
        <v>94</v>
      </c>
      <c r="I248" s="26">
        <v>45218</v>
      </c>
      <c r="J248" s="2">
        <v>44</v>
      </c>
      <c r="K248" s="2" t="s">
        <v>123</v>
      </c>
      <c r="L248" s="22">
        <v>2050</v>
      </c>
      <c r="M248" s="22">
        <v>90200</v>
      </c>
      <c r="N248" s="18">
        <v>96.47</v>
      </c>
      <c r="O248" s="26">
        <v>45263</v>
      </c>
      <c r="P248" s="2" t="s">
        <v>805</v>
      </c>
      <c r="Q248" s="2" t="s">
        <v>814</v>
      </c>
    </row>
    <row r="249" spans="2:17" x14ac:dyDescent="0.25">
      <c r="B249" s="2" t="s">
        <v>1053</v>
      </c>
      <c r="C249" s="2" t="s">
        <v>133</v>
      </c>
      <c r="D249" s="2" t="s">
        <v>134</v>
      </c>
      <c r="E249" s="2" t="s">
        <v>122</v>
      </c>
      <c r="F249" s="2" t="s">
        <v>535</v>
      </c>
      <c r="G249" s="2" t="s">
        <v>416</v>
      </c>
      <c r="H249" s="2" t="s">
        <v>94</v>
      </c>
      <c r="I249" s="26">
        <v>45227</v>
      </c>
      <c r="J249" s="2">
        <v>44</v>
      </c>
      <c r="K249" s="2" t="s">
        <v>123</v>
      </c>
      <c r="L249" s="22">
        <v>2050</v>
      </c>
      <c r="M249" s="22">
        <v>90200</v>
      </c>
      <c r="N249" s="18">
        <v>96.47</v>
      </c>
      <c r="O249" s="26">
        <v>45272</v>
      </c>
      <c r="P249" s="2" t="s">
        <v>805</v>
      </c>
      <c r="Q249" s="2" t="s">
        <v>814</v>
      </c>
    </row>
    <row r="250" spans="2:17" x14ac:dyDescent="0.25">
      <c r="B250" s="2" t="s">
        <v>1054</v>
      </c>
      <c r="C250" s="2" t="s">
        <v>133</v>
      </c>
      <c r="D250" s="2" t="s">
        <v>134</v>
      </c>
      <c r="E250" s="2" t="s">
        <v>122</v>
      </c>
      <c r="F250" s="2" t="s">
        <v>535</v>
      </c>
      <c r="G250" s="2" t="s">
        <v>416</v>
      </c>
      <c r="H250" s="2" t="s">
        <v>94</v>
      </c>
      <c r="I250" s="26">
        <v>45234</v>
      </c>
      <c r="J250" s="2">
        <v>36</v>
      </c>
      <c r="K250" s="2" t="s">
        <v>123</v>
      </c>
      <c r="L250" s="22">
        <v>2050</v>
      </c>
      <c r="M250" s="22">
        <v>73800</v>
      </c>
      <c r="N250" s="18">
        <v>78.930000000000007</v>
      </c>
      <c r="O250" s="26">
        <v>45279</v>
      </c>
      <c r="P250" s="2" t="s">
        <v>805</v>
      </c>
      <c r="Q250" s="2" t="s">
        <v>814</v>
      </c>
    </row>
    <row r="251" spans="2:17" x14ac:dyDescent="0.25">
      <c r="B251" s="2" t="s">
        <v>1055</v>
      </c>
      <c r="C251" s="2" t="s">
        <v>133</v>
      </c>
      <c r="D251" s="2" t="s">
        <v>134</v>
      </c>
      <c r="E251" s="2" t="s">
        <v>122</v>
      </c>
      <c r="F251" s="2" t="s">
        <v>535</v>
      </c>
      <c r="G251" s="2" t="s">
        <v>416</v>
      </c>
      <c r="H251" s="2" t="s">
        <v>94</v>
      </c>
      <c r="I251" s="26">
        <v>45243</v>
      </c>
      <c r="J251" s="2">
        <v>41</v>
      </c>
      <c r="K251" s="2" t="s">
        <v>123</v>
      </c>
      <c r="L251" s="22">
        <v>2050</v>
      </c>
      <c r="M251" s="22">
        <v>84050</v>
      </c>
      <c r="N251" s="18">
        <v>89.89</v>
      </c>
      <c r="O251" s="26">
        <v>45288</v>
      </c>
      <c r="P251" s="2" t="s">
        <v>805</v>
      </c>
      <c r="Q251" s="2" t="s">
        <v>814</v>
      </c>
    </row>
    <row r="252" spans="2:17" x14ac:dyDescent="0.25">
      <c r="B252" s="2" t="s">
        <v>1056</v>
      </c>
      <c r="C252" s="2" t="s">
        <v>133</v>
      </c>
      <c r="D252" s="2" t="s">
        <v>134</v>
      </c>
      <c r="E252" s="2" t="s">
        <v>122</v>
      </c>
      <c r="F252" s="2" t="s">
        <v>535</v>
      </c>
      <c r="G252" s="2" t="s">
        <v>416</v>
      </c>
      <c r="H252" s="2" t="s">
        <v>94</v>
      </c>
      <c r="I252" s="26">
        <v>45249</v>
      </c>
      <c r="J252" s="2">
        <v>42</v>
      </c>
      <c r="K252" s="2" t="s">
        <v>123</v>
      </c>
      <c r="L252" s="22">
        <v>2050</v>
      </c>
      <c r="M252" s="22">
        <v>86100</v>
      </c>
      <c r="N252" s="18">
        <v>92.09</v>
      </c>
      <c r="O252" s="26">
        <v>45294</v>
      </c>
      <c r="P252" s="2" t="s">
        <v>805</v>
      </c>
      <c r="Q252" s="2" t="s">
        <v>814</v>
      </c>
    </row>
    <row r="253" spans="2:17" x14ac:dyDescent="0.25">
      <c r="B253" s="2" t="s">
        <v>1057</v>
      </c>
      <c r="C253" s="2" t="s">
        <v>133</v>
      </c>
      <c r="D253" s="2" t="s">
        <v>134</v>
      </c>
      <c r="E253" s="2" t="s">
        <v>122</v>
      </c>
      <c r="F253" s="2" t="s">
        <v>535</v>
      </c>
      <c r="G253" s="2" t="s">
        <v>416</v>
      </c>
      <c r="H253" s="2" t="s">
        <v>94</v>
      </c>
      <c r="I253" s="26">
        <v>45257</v>
      </c>
      <c r="J253" s="2">
        <v>46</v>
      </c>
      <c r="K253" s="2" t="s">
        <v>123</v>
      </c>
      <c r="L253" s="22">
        <v>2050</v>
      </c>
      <c r="M253" s="22">
        <v>94300</v>
      </c>
      <c r="N253" s="18">
        <v>100.86</v>
      </c>
      <c r="O253" s="26">
        <v>45302</v>
      </c>
      <c r="P253" s="2" t="s">
        <v>805</v>
      </c>
      <c r="Q253" s="2" t="s">
        <v>814</v>
      </c>
    </row>
    <row r="254" spans="2:17" x14ac:dyDescent="0.25">
      <c r="B254" s="2" t="s">
        <v>1058</v>
      </c>
      <c r="C254" s="2" t="s">
        <v>133</v>
      </c>
      <c r="D254" s="2" t="s">
        <v>134</v>
      </c>
      <c r="E254" s="2" t="s">
        <v>122</v>
      </c>
      <c r="F254" s="2" t="s">
        <v>535</v>
      </c>
      <c r="G254" s="2" t="s">
        <v>416</v>
      </c>
      <c r="H254" s="2" t="s">
        <v>94</v>
      </c>
      <c r="I254" s="26">
        <v>45269</v>
      </c>
      <c r="J254" s="2">
        <v>59</v>
      </c>
      <c r="K254" s="2" t="s">
        <v>123</v>
      </c>
      <c r="L254" s="22">
        <v>2050</v>
      </c>
      <c r="M254" s="22">
        <v>120950</v>
      </c>
      <c r="N254" s="18">
        <v>129.36000000000001</v>
      </c>
      <c r="O254" s="26">
        <v>45314</v>
      </c>
      <c r="P254" s="2" t="s">
        <v>805</v>
      </c>
      <c r="Q254" s="2" t="s">
        <v>825</v>
      </c>
    </row>
    <row r="255" spans="2:17" x14ac:dyDescent="0.25">
      <c r="B255" s="2" t="s">
        <v>1059</v>
      </c>
      <c r="C255" s="2" t="s">
        <v>133</v>
      </c>
      <c r="D255" s="2" t="s">
        <v>134</v>
      </c>
      <c r="E255" s="2" t="s">
        <v>122</v>
      </c>
      <c r="F255" s="2" t="s">
        <v>537</v>
      </c>
      <c r="G255" s="2" t="s">
        <v>420</v>
      </c>
      <c r="H255" s="2" t="s">
        <v>421</v>
      </c>
      <c r="I255" s="26">
        <v>45279</v>
      </c>
      <c r="J255" s="2">
        <v>59</v>
      </c>
      <c r="K255" s="2" t="s">
        <v>123</v>
      </c>
      <c r="L255" s="22">
        <v>2300</v>
      </c>
      <c r="M255" s="22">
        <v>135700</v>
      </c>
      <c r="N255" s="18">
        <v>145.13</v>
      </c>
      <c r="O255" s="26">
        <v>45324</v>
      </c>
      <c r="P255" s="2" t="s">
        <v>805</v>
      </c>
      <c r="Q255" s="2" t="s">
        <v>825</v>
      </c>
    </row>
    <row r="256" spans="2:17" x14ac:dyDescent="0.25">
      <c r="B256" s="2" t="s">
        <v>1060</v>
      </c>
      <c r="C256" s="2" t="s">
        <v>133</v>
      </c>
      <c r="D256" s="2" t="s">
        <v>134</v>
      </c>
      <c r="E256" s="2" t="s">
        <v>122</v>
      </c>
      <c r="F256" s="2" t="s">
        <v>535</v>
      </c>
      <c r="G256" s="2" t="s">
        <v>416</v>
      </c>
      <c r="H256" s="2" t="s">
        <v>94</v>
      </c>
      <c r="I256" s="26">
        <v>45287</v>
      </c>
      <c r="J256" s="2">
        <v>56</v>
      </c>
      <c r="K256" s="2" t="s">
        <v>123</v>
      </c>
      <c r="L256" s="22">
        <v>2050</v>
      </c>
      <c r="M256" s="22">
        <v>114800</v>
      </c>
      <c r="N256" s="18">
        <v>122.78</v>
      </c>
      <c r="O256" s="26">
        <v>45332</v>
      </c>
      <c r="P256" s="2" t="s">
        <v>805</v>
      </c>
      <c r="Q256" s="2" t="s">
        <v>825</v>
      </c>
    </row>
    <row r="257" spans="2:17" x14ac:dyDescent="0.25">
      <c r="B257" s="2" t="s">
        <v>1061</v>
      </c>
      <c r="C257" s="2" t="s">
        <v>133</v>
      </c>
      <c r="D257" s="2" t="s">
        <v>134</v>
      </c>
      <c r="E257" s="2" t="s">
        <v>122</v>
      </c>
      <c r="F257" s="2" t="s">
        <v>537</v>
      </c>
      <c r="G257" s="2" t="s">
        <v>420</v>
      </c>
      <c r="H257" s="2" t="s">
        <v>421</v>
      </c>
      <c r="I257" s="26">
        <v>45299</v>
      </c>
      <c r="J257" s="2">
        <v>43</v>
      </c>
      <c r="K257" s="2" t="s">
        <v>123</v>
      </c>
      <c r="L257" s="22">
        <v>2300</v>
      </c>
      <c r="M257" s="22">
        <v>98900</v>
      </c>
      <c r="N257" s="18">
        <v>105.78</v>
      </c>
      <c r="O257" s="26">
        <v>45344</v>
      </c>
      <c r="P257" s="2" t="s">
        <v>805</v>
      </c>
      <c r="Q257" s="2" t="s">
        <v>825</v>
      </c>
    </row>
    <row r="258" spans="2:17" x14ac:dyDescent="0.25">
      <c r="B258" s="2" t="s">
        <v>1062</v>
      </c>
      <c r="C258" s="2" t="s">
        <v>133</v>
      </c>
      <c r="D258" s="2" t="s">
        <v>134</v>
      </c>
      <c r="E258" s="2" t="s">
        <v>122</v>
      </c>
      <c r="F258" s="2" t="s">
        <v>535</v>
      </c>
      <c r="G258" s="2" t="s">
        <v>416</v>
      </c>
      <c r="H258" s="2" t="s">
        <v>94</v>
      </c>
      <c r="I258" s="26">
        <v>45310</v>
      </c>
      <c r="J258" s="2">
        <v>46</v>
      </c>
      <c r="K258" s="2" t="s">
        <v>123</v>
      </c>
      <c r="L258" s="22">
        <v>2050</v>
      </c>
      <c r="M258" s="22">
        <v>94300</v>
      </c>
      <c r="N258" s="18">
        <v>100.86</v>
      </c>
      <c r="O258" s="26">
        <v>45355</v>
      </c>
      <c r="P258" s="2" t="s">
        <v>805</v>
      </c>
      <c r="Q258" s="2" t="s">
        <v>825</v>
      </c>
    </row>
    <row r="259" spans="2:17" x14ac:dyDescent="0.25">
      <c r="B259" s="2" t="s">
        <v>1063</v>
      </c>
      <c r="C259" s="2" t="s">
        <v>133</v>
      </c>
      <c r="D259" s="2" t="s">
        <v>134</v>
      </c>
      <c r="E259" s="2" t="s">
        <v>122</v>
      </c>
      <c r="F259" s="2" t="s">
        <v>535</v>
      </c>
      <c r="G259" s="2" t="s">
        <v>416</v>
      </c>
      <c r="H259" s="2" t="s">
        <v>94</v>
      </c>
      <c r="I259" s="26">
        <v>45320</v>
      </c>
      <c r="J259" s="2">
        <v>36</v>
      </c>
      <c r="K259" s="2" t="s">
        <v>123</v>
      </c>
      <c r="L259" s="22">
        <v>2050</v>
      </c>
      <c r="M259" s="22">
        <v>73800</v>
      </c>
      <c r="N259" s="18">
        <v>78.930000000000007</v>
      </c>
      <c r="O259" s="26">
        <v>45365</v>
      </c>
      <c r="P259" s="2" t="s">
        <v>805</v>
      </c>
      <c r="Q259" s="2" t="s">
        <v>825</v>
      </c>
    </row>
    <row r="260" spans="2:17" x14ac:dyDescent="0.25">
      <c r="B260" s="2" t="s">
        <v>1064</v>
      </c>
      <c r="C260" s="2" t="s">
        <v>133</v>
      </c>
      <c r="D260" s="2" t="s">
        <v>134</v>
      </c>
      <c r="E260" s="2" t="s">
        <v>122</v>
      </c>
      <c r="F260" s="2" t="s">
        <v>535</v>
      </c>
      <c r="G260" s="2" t="s">
        <v>416</v>
      </c>
      <c r="H260" s="2" t="s">
        <v>94</v>
      </c>
      <c r="I260" s="26">
        <v>45328</v>
      </c>
      <c r="J260" s="2">
        <v>38</v>
      </c>
      <c r="K260" s="2" t="s">
        <v>123</v>
      </c>
      <c r="L260" s="22">
        <v>2050</v>
      </c>
      <c r="M260" s="22">
        <v>77900</v>
      </c>
      <c r="N260" s="18">
        <v>83.32</v>
      </c>
      <c r="O260" s="26">
        <v>45373</v>
      </c>
      <c r="P260" s="2" t="s">
        <v>805</v>
      </c>
      <c r="Q260" s="2" t="s">
        <v>825</v>
      </c>
    </row>
    <row r="261" spans="2:17" x14ac:dyDescent="0.25">
      <c r="B261" s="2" t="s">
        <v>1065</v>
      </c>
      <c r="C261" s="2" t="s">
        <v>133</v>
      </c>
      <c r="D261" s="2" t="s">
        <v>134</v>
      </c>
      <c r="E261" s="2" t="s">
        <v>122</v>
      </c>
      <c r="F261" s="2" t="s">
        <v>535</v>
      </c>
      <c r="G261" s="2" t="s">
        <v>416</v>
      </c>
      <c r="H261" s="2" t="s">
        <v>94</v>
      </c>
      <c r="I261" s="26">
        <v>45335</v>
      </c>
      <c r="J261" s="2">
        <v>40</v>
      </c>
      <c r="K261" s="2" t="s">
        <v>123</v>
      </c>
      <c r="L261" s="22">
        <v>2050</v>
      </c>
      <c r="M261" s="22">
        <v>82000</v>
      </c>
      <c r="N261" s="18">
        <v>87.7</v>
      </c>
      <c r="O261" s="26">
        <v>45380</v>
      </c>
      <c r="P261" s="2" t="s">
        <v>805</v>
      </c>
      <c r="Q261" s="2" t="s">
        <v>825</v>
      </c>
    </row>
    <row r="262" spans="2:17" x14ac:dyDescent="0.25">
      <c r="B262" s="2" t="s">
        <v>1066</v>
      </c>
      <c r="C262" s="2" t="s">
        <v>133</v>
      </c>
      <c r="D262" s="2" t="s">
        <v>134</v>
      </c>
      <c r="E262" s="2" t="s">
        <v>122</v>
      </c>
      <c r="F262" s="2" t="s">
        <v>535</v>
      </c>
      <c r="G262" s="2" t="s">
        <v>416</v>
      </c>
      <c r="H262" s="2" t="s">
        <v>94</v>
      </c>
      <c r="I262" s="26">
        <v>45345</v>
      </c>
      <c r="J262" s="2">
        <v>35</v>
      </c>
      <c r="K262" s="2" t="s">
        <v>123</v>
      </c>
      <c r="L262" s="22">
        <v>2050</v>
      </c>
      <c r="M262" s="22">
        <v>71750</v>
      </c>
      <c r="N262" s="18">
        <v>76.739999999999995</v>
      </c>
      <c r="O262" s="26">
        <v>45390</v>
      </c>
      <c r="P262" s="2" t="s">
        <v>805</v>
      </c>
      <c r="Q262" s="2" t="s">
        <v>825</v>
      </c>
    </row>
    <row r="263" spans="2:17" x14ac:dyDescent="0.25">
      <c r="B263" s="2" t="s">
        <v>1067</v>
      </c>
      <c r="C263" s="2" t="s">
        <v>133</v>
      </c>
      <c r="D263" s="2" t="s">
        <v>134</v>
      </c>
      <c r="E263" s="2" t="s">
        <v>122</v>
      </c>
      <c r="F263" s="2" t="s">
        <v>537</v>
      </c>
      <c r="G263" s="2" t="s">
        <v>420</v>
      </c>
      <c r="H263" s="2" t="s">
        <v>421</v>
      </c>
      <c r="I263" s="26">
        <v>45354</v>
      </c>
      <c r="J263" s="2">
        <v>37</v>
      </c>
      <c r="K263" s="2" t="s">
        <v>123</v>
      </c>
      <c r="L263" s="22">
        <v>2300</v>
      </c>
      <c r="M263" s="22">
        <v>85100</v>
      </c>
      <c r="N263" s="18">
        <v>91.02</v>
      </c>
      <c r="O263" s="26">
        <v>45399</v>
      </c>
      <c r="P263" s="2" t="s">
        <v>805</v>
      </c>
      <c r="Q263" s="2" t="s">
        <v>836</v>
      </c>
    </row>
    <row r="264" spans="2:17" x14ac:dyDescent="0.25">
      <c r="B264" s="2" t="s">
        <v>1068</v>
      </c>
      <c r="C264" s="2" t="s">
        <v>133</v>
      </c>
      <c r="D264" s="2" t="s">
        <v>134</v>
      </c>
      <c r="E264" s="2" t="s">
        <v>122</v>
      </c>
      <c r="F264" s="2" t="s">
        <v>535</v>
      </c>
      <c r="G264" s="2" t="s">
        <v>416</v>
      </c>
      <c r="H264" s="2" t="s">
        <v>94</v>
      </c>
      <c r="I264" s="26">
        <v>45362</v>
      </c>
      <c r="J264" s="2">
        <v>34</v>
      </c>
      <c r="K264" s="2" t="s">
        <v>123</v>
      </c>
      <c r="L264" s="22">
        <v>2050</v>
      </c>
      <c r="M264" s="22">
        <v>69700</v>
      </c>
      <c r="N264" s="18">
        <v>74.55</v>
      </c>
      <c r="O264" s="26">
        <v>45407</v>
      </c>
      <c r="P264" s="2" t="s">
        <v>805</v>
      </c>
      <c r="Q264" s="2" t="s">
        <v>836</v>
      </c>
    </row>
    <row r="265" spans="2:17" x14ac:dyDescent="0.25">
      <c r="B265" s="2" t="s">
        <v>1069</v>
      </c>
      <c r="C265" s="2" t="s">
        <v>133</v>
      </c>
      <c r="D265" s="2" t="s">
        <v>134</v>
      </c>
      <c r="E265" s="2" t="s">
        <v>122</v>
      </c>
      <c r="F265" s="2" t="s">
        <v>535</v>
      </c>
      <c r="G265" s="2" t="s">
        <v>416</v>
      </c>
      <c r="H265" s="2" t="s">
        <v>94</v>
      </c>
      <c r="I265" s="26">
        <v>45371</v>
      </c>
      <c r="J265" s="2">
        <v>39</v>
      </c>
      <c r="K265" s="2" t="s">
        <v>123</v>
      </c>
      <c r="L265" s="22">
        <v>2050</v>
      </c>
      <c r="M265" s="22">
        <v>79950</v>
      </c>
      <c r="N265" s="18">
        <v>85.51</v>
      </c>
      <c r="O265" s="26">
        <v>45416</v>
      </c>
      <c r="P265" s="2" t="s">
        <v>805</v>
      </c>
      <c r="Q265" s="2" t="s">
        <v>836</v>
      </c>
    </row>
    <row r="266" spans="2:17" x14ac:dyDescent="0.25">
      <c r="B266" s="2" t="s">
        <v>1070</v>
      </c>
      <c r="C266" s="2" t="s">
        <v>133</v>
      </c>
      <c r="D266" s="2" t="s">
        <v>134</v>
      </c>
      <c r="E266" s="2" t="s">
        <v>122</v>
      </c>
      <c r="F266" s="2" t="s">
        <v>535</v>
      </c>
      <c r="G266" s="2" t="s">
        <v>416</v>
      </c>
      <c r="H266" s="2" t="s">
        <v>94</v>
      </c>
      <c r="I266" s="26">
        <v>45382</v>
      </c>
      <c r="J266" s="2">
        <v>40</v>
      </c>
      <c r="K266" s="2" t="s">
        <v>123</v>
      </c>
      <c r="L266" s="22">
        <v>2050</v>
      </c>
      <c r="M266" s="22">
        <v>82000</v>
      </c>
      <c r="N266" s="18">
        <v>87.7</v>
      </c>
      <c r="O266" s="26">
        <v>45427</v>
      </c>
      <c r="P266" s="2" t="s">
        <v>805</v>
      </c>
      <c r="Q266" s="2" t="s">
        <v>836</v>
      </c>
    </row>
    <row r="267" spans="2:17" x14ac:dyDescent="0.25">
      <c r="B267" s="2" t="s">
        <v>1071</v>
      </c>
      <c r="C267" s="2" t="s">
        <v>133</v>
      </c>
      <c r="D267" s="2" t="s">
        <v>134</v>
      </c>
      <c r="E267" s="2" t="s">
        <v>122</v>
      </c>
      <c r="F267" s="2" t="s">
        <v>535</v>
      </c>
      <c r="G267" s="2" t="s">
        <v>416</v>
      </c>
      <c r="H267" s="2" t="s">
        <v>94</v>
      </c>
      <c r="I267" s="26">
        <v>45390</v>
      </c>
      <c r="J267" s="2">
        <v>15</v>
      </c>
      <c r="K267" s="2" t="s">
        <v>123</v>
      </c>
      <c r="L267" s="22">
        <v>2050</v>
      </c>
      <c r="M267" s="22">
        <v>30750</v>
      </c>
      <c r="N267" s="18">
        <v>32.89</v>
      </c>
      <c r="O267" s="26">
        <v>45435</v>
      </c>
      <c r="P267" s="2" t="s">
        <v>805</v>
      </c>
      <c r="Q267" s="2" t="s">
        <v>836</v>
      </c>
    </row>
    <row r="268" spans="2:17" x14ac:dyDescent="0.25">
      <c r="B268" s="2" t="s">
        <v>1072</v>
      </c>
      <c r="C268" s="2" t="s">
        <v>133</v>
      </c>
      <c r="D268" s="2" t="s">
        <v>134</v>
      </c>
      <c r="E268" s="2" t="s">
        <v>122</v>
      </c>
      <c r="F268" s="2" t="s">
        <v>535</v>
      </c>
      <c r="G268" s="2" t="s">
        <v>416</v>
      </c>
      <c r="H268" s="2" t="s">
        <v>94</v>
      </c>
      <c r="I268" s="26">
        <v>45400</v>
      </c>
      <c r="J268" s="2">
        <v>14</v>
      </c>
      <c r="K268" s="2" t="s">
        <v>123</v>
      </c>
      <c r="L268" s="22">
        <v>2050</v>
      </c>
      <c r="M268" s="22">
        <v>28700</v>
      </c>
      <c r="N268" s="18">
        <v>30.7</v>
      </c>
      <c r="O268" s="26">
        <v>45445</v>
      </c>
      <c r="P268" s="2" t="s">
        <v>805</v>
      </c>
      <c r="Q268" s="2" t="s">
        <v>836</v>
      </c>
    </row>
    <row r="269" spans="2:17" x14ac:dyDescent="0.25">
      <c r="B269" s="2" t="s">
        <v>1073</v>
      </c>
      <c r="C269" s="2" t="s">
        <v>133</v>
      </c>
      <c r="D269" s="2" t="s">
        <v>134</v>
      </c>
      <c r="E269" s="2" t="s">
        <v>122</v>
      </c>
      <c r="F269" s="2" t="s">
        <v>535</v>
      </c>
      <c r="G269" s="2" t="s">
        <v>416</v>
      </c>
      <c r="H269" s="2" t="s">
        <v>94</v>
      </c>
      <c r="I269" s="26">
        <v>45409</v>
      </c>
      <c r="J269" s="2">
        <v>13</v>
      </c>
      <c r="K269" s="2" t="s">
        <v>123</v>
      </c>
      <c r="L269" s="22">
        <v>2050</v>
      </c>
      <c r="M269" s="22">
        <v>26650</v>
      </c>
      <c r="N269" s="18">
        <v>28.5</v>
      </c>
      <c r="O269" s="26">
        <v>45454</v>
      </c>
      <c r="P269" s="2" t="s">
        <v>805</v>
      </c>
      <c r="Q269" s="2" t="s">
        <v>836</v>
      </c>
    </row>
    <row r="270" spans="2:17" x14ac:dyDescent="0.25">
      <c r="B270" s="2" t="s">
        <v>1074</v>
      </c>
      <c r="C270" s="2" t="s">
        <v>133</v>
      </c>
      <c r="D270" s="2" t="s">
        <v>134</v>
      </c>
      <c r="E270" s="2" t="s">
        <v>122</v>
      </c>
      <c r="F270" s="2" t="s">
        <v>535</v>
      </c>
      <c r="G270" s="2" t="s">
        <v>416</v>
      </c>
      <c r="H270" s="2" t="s">
        <v>94</v>
      </c>
      <c r="I270" s="26">
        <v>45419</v>
      </c>
      <c r="J270" s="2">
        <v>16</v>
      </c>
      <c r="K270" s="2" t="s">
        <v>123</v>
      </c>
      <c r="L270" s="22">
        <v>2050</v>
      </c>
      <c r="M270" s="22">
        <v>32800</v>
      </c>
      <c r="N270" s="18">
        <v>35.08</v>
      </c>
      <c r="O270" s="26">
        <v>45464</v>
      </c>
      <c r="P270" s="2" t="s">
        <v>805</v>
      </c>
      <c r="Q270" s="2" t="s">
        <v>836</v>
      </c>
    </row>
    <row r="271" spans="2:17" x14ac:dyDescent="0.25">
      <c r="B271" s="2" t="s">
        <v>1075</v>
      </c>
      <c r="C271" s="2" t="s">
        <v>133</v>
      </c>
      <c r="D271" s="2" t="s">
        <v>134</v>
      </c>
      <c r="E271" s="2" t="s">
        <v>122</v>
      </c>
      <c r="F271" s="2" t="s">
        <v>537</v>
      </c>
      <c r="G271" s="2" t="s">
        <v>420</v>
      </c>
      <c r="H271" s="2" t="s">
        <v>421</v>
      </c>
      <c r="I271" s="26">
        <v>45427</v>
      </c>
      <c r="J271" s="2">
        <v>17</v>
      </c>
      <c r="K271" s="2" t="s">
        <v>123</v>
      </c>
      <c r="L271" s="22">
        <v>2300</v>
      </c>
      <c r="M271" s="22">
        <v>39100</v>
      </c>
      <c r="N271" s="18">
        <v>41.82</v>
      </c>
      <c r="O271" s="26">
        <v>45472</v>
      </c>
      <c r="P271" s="2" t="s">
        <v>805</v>
      </c>
      <c r="Q271" s="2" t="s">
        <v>836</v>
      </c>
    </row>
    <row r="272" spans="2:17" x14ac:dyDescent="0.25">
      <c r="B272" s="2" t="s">
        <v>1076</v>
      </c>
      <c r="C272" s="2" t="s">
        <v>133</v>
      </c>
      <c r="D272" s="2" t="s">
        <v>134</v>
      </c>
      <c r="E272" s="2" t="s">
        <v>122</v>
      </c>
      <c r="F272" s="2" t="s">
        <v>535</v>
      </c>
      <c r="G272" s="2" t="s">
        <v>416</v>
      </c>
      <c r="H272" s="2" t="s">
        <v>94</v>
      </c>
      <c r="I272" s="26">
        <v>45435</v>
      </c>
      <c r="J272" s="2">
        <v>16</v>
      </c>
      <c r="K272" s="2" t="s">
        <v>123</v>
      </c>
      <c r="L272" s="22">
        <v>2050</v>
      </c>
      <c r="M272" s="22">
        <v>32800</v>
      </c>
      <c r="N272" s="18">
        <v>35.08</v>
      </c>
      <c r="O272" s="26">
        <v>45480</v>
      </c>
      <c r="P272" s="2" t="s">
        <v>805</v>
      </c>
      <c r="Q272" s="2" t="s">
        <v>836</v>
      </c>
    </row>
    <row r="273" spans="2:17" x14ac:dyDescent="0.25">
      <c r="B273" s="2" t="s">
        <v>1077</v>
      </c>
      <c r="C273" s="2" t="s">
        <v>133</v>
      </c>
      <c r="D273" s="2" t="s">
        <v>134</v>
      </c>
      <c r="E273" s="2" t="s">
        <v>122</v>
      </c>
      <c r="F273" s="2" t="s">
        <v>535</v>
      </c>
      <c r="G273" s="2" t="s">
        <v>416</v>
      </c>
      <c r="H273" s="2" t="s">
        <v>94</v>
      </c>
      <c r="I273" s="26">
        <v>45444</v>
      </c>
      <c r="J273" s="2">
        <v>15</v>
      </c>
      <c r="K273" s="2" t="s">
        <v>123</v>
      </c>
      <c r="L273" s="22">
        <v>2050</v>
      </c>
      <c r="M273" s="22">
        <v>30750</v>
      </c>
      <c r="N273" s="18">
        <v>32.89</v>
      </c>
      <c r="O273" s="26">
        <v>45489</v>
      </c>
      <c r="P273" s="2" t="s">
        <v>805</v>
      </c>
      <c r="Q273" s="2" t="s">
        <v>806</v>
      </c>
    </row>
    <row r="274" spans="2:17" x14ac:dyDescent="0.25">
      <c r="B274" s="2" t="s">
        <v>1078</v>
      </c>
      <c r="C274" s="2" t="s">
        <v>133</v>
      </c>
      <c r="D274" s="2" t="s">
        <v>134</v>
      </c>
      <c r="E274" s="2" t="s">
        <v>122</v>
      </c>
      <c r="F274" s="2" t="s">
        <v>535</v>
      </c>
      <c r="G274" s="2" t="s">
        <v>416</v>
      </c>
      <c r="H274" s="2" t="s">
        <v>94</v>
      </c>
      <c r="I274" s="26">
        <v>45453</v>
      </c>
      <c r="J274" s="2">
        <v>15</v>
      </c>
      <c r="K274" s="2" t="s">
        <v>123</v>
      </c>
      <c r="L274" s="22">
        <v>2050</v>
      </c>
      <c r="M274" s="22">
        <v>30750</v>
      </c>
      <c r="N274" s="18">
        <v>32.89</v>
      </c>
      <c r="O274" s="26">
        <v>45498</v>
      </c>
      <c r="P274" s="2" t="s">
        <v>805</v>
      </c>
      <c r="Q274" s="2" t="s">
        <v>806</v>
      </c>
    </row>
    <row r="275" spans="2:17" x14ac:dyDescent="0.25">
      <c r="B275" s="2" t="s">
        <v>1079</v>
      </c>
      <c r="C275" s="2" t="s">
        <v>133</v>
      </c>
      <c r="D275" s="2" t="s">
        <v>134</v>
      </c>
      <c r="E275" s="2" t="s">
        <v>122</v>
      </c>
      <c r="F275" s="2" t="s">
        <v>535</v>
      </c>
      <c r="G275" s="2" t="s">
        <v>416</v>
      </c>
      <c r="H275" s="2" t="s">
        <v>94</v>
      </c>
      <c r="I275" s="26">
        <v>45464</v>
      </c>
      <c r="J275" s="2">
        <v>16</v>
      </c>
      <c r="K275" s="2" t="s">
        <v>123</v>
      </c>
      <c r="L275" s="22">
        <v>2050</v>
      </c>
      <c r="M275" s="22">
        <v>32800</v>
      </c>
      <c r="N275" s="18">
        <v>35.08</v>
      </c>
      <c r="O275" s="26">
        <v>45509</v>
      </c>
      <c r="P275" s="2" t="s">
        <v>805</v>
      </c>
      <c r="Q275" s="2" t="s">
        <v>806</v>
      </c>
    </row>
    <row r="276" spans="2:17" x14ac:dyDescent="0.25">
      <c r="B276" s="2" t="s">
        <v>1080</v>
      </c>
      <c r="C276" s="2" t="s">
        <v>133</v>
      </c>
      <c r="D276" s="2" t="s">
        <v>134</v>
      </c>
      <c r="E276" s="2" t="s">
        <v>122</v>
      </c>
      <c r="F276" s="2" t="s">
        <v>535</v>
      </c>
      <c r="G276" s="2" t="s">
        <v>416</v>
      </c>
      <c r="H276" s="2" t="s">
        <v>94</v>
      </c>
      <c r="I276" s="26">
        <v>45476</v>
      </c>
      <c r="J276" s="2">
        <v>15</v>
      </c>
      <c r="K276" s="2" t="s">
        <v>123</v>
      </c>
      <c r="L276" s="22">
        <v>2050</v>
      </c>
      <c r="M276" s="22">
        <v>30750</v>
      </c>
      <c r="N276" s="18">
        <v>32.89</v>
      </c>
      <c r="O276" s="26">
        <v>45521</v>
      </c>
      <c r="P276" s="2" t="s">
        <v>805</v>
      </c>
      <c r="Q276" s="2" t="s">
        <v>806</v>
      </c>
    </row>
    <row r="277" spans="2:17" x14ac:dyDescent="0.25">
      <c r="B277" s="2" t="s">
        <v>1081</v>
      </c>
      <c r="C277" s="2" t="s">
        <v>133</v>
      </c>
      <c r="D277" s="2" t="s">
        <v>134</v>
      </c>
      <c r="E277" s="2" t="s">
        <v>122</v>
      </c>
      <c r="F277" s="2" t="s">
        <v>535</v>
      </c>
      <c r="G277" s="2" t="s">
        <v>416</v>
      </c>
      <c r="H277" s="2" t="s">
        <v>94</v>
      </c>
      <c r="I277" s="26">
        <v>45485</v>
      </c>
      <c r="J277" s="2">
        <v>16</v>
      </c>
      <c r="K277" s="2" t="s">
        <v>123</v>
      </c>
      <c r="L277" s="22">
        <v>2050</v>
      </c>
      <c r="M277" s="22">
        <v>32800</v>
      </c>
      <c r="N277" s="18">
        <v>35.08</v>
      </c>
      <c r="O277" s="26">
        <v>45530</v>
      </c>
      <c r="P277" s="2" t="s">
        <v>805</v>
      </c>
      <c r="Q277" s="2" t="s">
        <v>806</v>
      </c>
    </row>
    <row r="278" spans="2:17" x14ac:dyDescent="0.25">
      <c r="B278" s="2" t="s">
        <v>1082</v>
      </c>
      <c r="C278" s="2" t="s">
        <v>133</v>
      </c>
      <c r="D278" s="2" t="s">
        <v>134</v>
      </c>
      <c r="E278" s="2" t="s">
        <v>122</v>
      </c>
      <c r="F278" s="2" t="s">
        <v>535</v>
      </c>
      <c r="G278" s="2" t="s">
        <v>416</v>
      </c>
      <c r="H278" s="2" t="s">
        <v>94</v>
      </c>
      <c r="I278" s="26">
        <v>45497</v>
      </c>
      <c r="J278" s="2">
        <v>17</v>
      </c>
      <c r="K278" s="2" t="s">
        <v>123</v>
      </c>
      <c r="L278" s="22">
        <v>2050</v>
      </c>
      <c r="M278" s="22">
        <v>34850</v>
      </c>
      <c r="N278" s="18">
        <v>37.270000000000003</v>
      </c>
      <c r="O278" s="26">
        <v>45542</v>
      </c>
      <c r="P278" s="2" t="s">
        <v>805</v>
      </c>
      <c r="Q278" s="2" t="s">
        <v>806</v>
      </c>
    </row>
    <row r="279" spans="2:17" x14ac:dyDescent="0.25">
      <c r="B279" s="2" t="s">
        <v>1083</v>
      </c>
      <c r="C279" s="2" t="s">
        <v>133</v>
      </c>
      <c r="D279" s="2" t="s">
        <v>134</v>
      </c>
      <c r="E279" s="2" t="s">
        <v>122</v>
      </c>
      <c r="F279" s="2" t="s">
        <v>535</v>
      </c>
      <c r="G279" s="2" t="s">
        <v>416</v>
      </c>
      <c r="H279" s="2" t="s">
        <v>94</v>
      </c>
      <c r="I279" s="26">
        <v>45507</v>
      </c>
      <c r="J279" s="2">
        <v>14</v>
      </c>
      <c r="K279" s="2" t="s">
        <v>123</v>
      </c>
      <c r="L279" s="22">
        <v>2050</v>
      </c>
      <c r="M279" s="22">
        <v>28700</v>
      </c>
      <c r="N279" s="18">
        <v>30.7</v>
      </c>
      <c r="O279" s="26">
        <v>45552</v>
      </c>
      <c r="P279" s="2" t="s">
        <v>805</v>
      </c>
      <c r="Q279" s="2" t="s">
        <v>806</v>
      </c>
    </row>
    <row r="280" spans="2:17" x14ac:dyDescent="0.25">
      <c r="B280" s="2" t="s">
        <v>1084</v>
      </c>
      <c r="C280" s="2" t="s">
        <v>133</v>
      </c>
      <c r="D280" s="2" t="s">
        <v>134</v>
      </c>
      <c r="E280" s="2" t="s">
        <v>122</v>
      </c>
      <c r="F280" s="2" t="s">
        <v>535</v>
      </c>
      <c r="G280" s="2" t="s">
        <v>416</v>
      </c>
      <c r="H280" s="2" t="s">
        <v>94</v>
      </c>
      <c r="I280" s="26">
        <v>45515</v>
      </c>
      <c r="J280" s="2">
        <v>13</v>
      </c>
      <c r="K280" s="2" t="s">
        <v>123</v>
      </c>
      <c r="L280" s="22">
        <v>2050</v>
      </c>
      <c r="M280" s="22">
        <v>26650</v>
      </c>
      <c r="N280" s="18">
        <v>28.5</v>
      </c>
      <c r="O280" s="26">
        <v>45560</v>
      </c>
      <c r="P280" s="2" t="s">
        <v>805</v>
      </c>
      <c r="Q280" s="2" t="s">
        <v>806</v>
      </c>
    </row>
    <row r="281" spans="2:17" x14ac:dyDescent="0.25">
      <c r="B281" s="2" t="s">
        <v>1085</v>
      </c>
      <c r="C281" s="2" t="s">
        <v>133</v>
      </c>
      <c r="D281" s="2" t="s">
        <v>134</v>
      </c>
      <c r="E281" s="2" t="s">
        <v>122</v>
      </c>
      <c r="F281" s="2" t="s">
        <v>535</v>
      </c>
      <c r="G281" s="2" t="s">
        <v>416</v>
      </c>
      <c r="H281" s="2" t="s">
        <v>94</v>
      </c>
      <c r="I281" s="26">
        <v>45525</v>
      </c>
      <c r="J281" s="2">
        <v>16</v>
      </c>
      <c r="K281" s="2" t="s">
        <v>123</v>
      </c>
      <c r="L281" s="22">
        <v>2050</v>
      </c>
      <c r="M281" s="22">
        <v>32800</v>
      </c>
      <c r="N281" s="18">
        <v>35.08</v>
      </c>
      <c r="O281" s="26">
        <v>45570</v>
      </c>
      <c r="P281" s="2" t="s">
        <v>805</v>
      </c>
      <c r="Q281" s="2" t="s">
        <v>806</v>
      </c>
    </row>
    <row r="282" spans="2:17" x14ac:dyDescent="0.25">
      <c r="B282" s="2" t="s">
        <v>1086</v>
      </c>
      <c r="C282" s="2" t="s">
        <v>133</v>
      </c>
      <c r="D282" s="2" t="s">
        <v>134</v>
      </c>
      <c r="E282" s="2" t="s">
        <v>122</v>
      </c>
      <c r="F282" s="2" t="s">
        <v>535</v>
      </c>
      <c r="G282" s="2" t="s">
        <v>416</v>
      </c>
      <c r="H282" s="2" t="s">
        <v>94</v>
      </c>
      <c r="I282" s="26">
        <v>45533</v>
      </c>
      <c r="J282" s="2">
        <v>14</v>
      </c>
      <c r="K282" s="2" t="s">
        <v>123</v>
      </c>
      <c r="L282" s="22">
        <v>2050</v>
      </c>
      <c r="M282" s="22">
        <v>28700</v>
      </c>
      <c r="N282" s="18">
        <v>30.7</v>
      </c>
      <c r="O282" s="26">
        <v>45578</v>
      </c>
      <c r="P282" s="2" t="s">
        <v>805</v>
      </c>
      <c r="Q282" s="2" t="s">
        <v>806</v>
      </c>
    </row>
    <row r="283" spans="2:17" x14ac:dyDescent="0.25">
      <c r="B283" s="2" t="s">
        <v>1087</v>
      </c>
      <c r="C283" s="2" t="s">
        <v>133</v>
      </c>
      <c r="D283" s="2" t="s">
        <v>134</v>
      </c>
      <c r="E283" s="2" t="s">
        <v>122</v>
      </c>
      <c r="F283" s="2" t="s">
        <v>535</v>
      </c>
      <c r="G283" s="2" t="s">
        <v>416</v>
      </c>
      <c r="H283" s="2" t="s">
        <v>94</v>
      </c>
      <c r="I283" s="26">
        <v>45542</v>
      </c>
      <c r="J283" s="2">
        <v>17</v>
      </c>
      <c r="K283" s="2" t="s">
        <v>123</v>
      </c>
      <c r="L283" s="22">
        <v>2050</v>
      </c>
      <c r="M283" s="22">
        <v>34850</v>
      </c>
      <c r="N283" s="18">
        <v>37.270000000000003</v>
      </c>
      <c r="O283" s="26">
        <v>45587</v>
      </c>
      <c r="P283" s="2" t="s">
        <v>805</v>
      </c>
      <c r="Q283" s="2" t="s">
        <v>814</v>
      </c>
    </row>
    <row r="284" spans="2:17" x14ac:dyDescent="0.25">
      <c r="B284" s="2" t="s">
        <v>1088</v>
      </c>
      <c r="C284" s="2" t="s">
        <v>133</v>
      </c>
      <c r="D284" s="2" t="s">
        <v>134</v>
      </c>
      <c r="E284" s="2" t="s">
        <v>122</v>
      </c>
      <c r="F284" s="2" t="s">
        <v>535</v>
      </c>
      <c r="G284" s="2" t="s">
        <v>416</v>
      </c>
      <c r="H284" s="2" t="s">
        <v>94</v>
      </c>
      <c r="I284" s="26">
        <v>45553</v>
      </c>
      <c r="J284" s="2">
        <v>18</v>
      </c>
      <c r="K284" s="2" t="s">
        <v>123</v>
      </c>
      <c r="L284" s="22">
        <v>2050</v>
      </c>
      <c r="M284" s="22">
        <v>36900</v>
      </c>
      <c r="N284" s="18">
        <v>39.47</v>
      </c>
      <c r="O284" s="26">
        <v>45598</v>
      </c>
      <c r="P284" s="2" t="s">
        <v>805</v>
      </c>
      <c r="Q284" s="2" t="s">
        <v>814</v>
      </c>
    </row>
    <row r="285" spans="2:17" x14ac:dyDescent="0.25">
      <c r="B285" s="2" t="s">
        <v>1089</v>
      </c>
      <c r="C285" s="2" t="s">
        <v>133</v>
      </c>
      <c r="D285" s="2" t="s">
        <v>134</v>
      </c>
      <c r="E285" s="2" t="s">
        <v>122</v>
      </c>
      <c r="F285" s="2" t="s">
        <v>535</v>
      </c>
      <c r="G285" s="2" t="s">
        <v>416</v>
      </c>
      <c r="H285" s="2" t="s">
        <v>94</v>
      </c>
      <c r="I285" s="26">
        <v>45561</v>
      </c>
      <c r="J285" s="2">
        <v>19</v>
      </c>
      <c r="K285" s="2" t="s">
        <v>123</v>
      </c>
      <c r="L285" s="22">
        <v>2050</v>
      </c>
      <c r="M285" s="22">
        <v>38950</v>
      </c>
      <c r="N285" s="18">
        <v>41.66</v>
      </c>
      <c r="O285" s="26">
        <v>45606</v>
      </c>
      <c r="P285" s="2" t="s">
        <v>805</v>
      </c>
      <c r="Q285" s="2" t="s">
        <v>814</v>
      </c>
    </row>
    <row r="286" spans="2:17" x14ac:dyDescent="0.25">
      <c r="B286" s="2" t="s">
        <v>1090</v>
      </c>
      <c r="C286" s="2" t="s">
        <v>133</v>
      </c>
      <c r="D286" s="2" t="s">
        <v>134</v>
      </c>
      <c r="E286" s="2" t="s">
        <v>122</v>
      </c>
      <c r="F286" s="2" t="s">
        <v>535</v>
      </c>
      <c r="G286" s="2" t="s">
        <v>416</v>
      </c>
      <c r="H286" s="2" t="s">
        <v>94</v>
      </c>
      <c r="I286" s="26">
        <v>45569</v>
      </c>
      <c r="J286" s="2">
        <v>39</v>
      </c>
      <c r="K286" s="2" t="s">
        <v>123</v>
      </c>
      <c r="L286" s="22">
        <v>2050</v>
      </c>
      <c r="M286" s="22">
        <v>79950</v>
      </c>
      <c r="N286" s="18">
        <v>85.51</v>
      </c>
      <c r="O286" s="26">
        <v>45614</v>
      </c>
      <c r="P286" s="2" t="s">
        <v>805</v>
      </c>
      <c r="Q286" s="2" t="s">
        <v>814</v>
      </c>
    </row>
    <row r="287" spans="2:17" x14ac:dyDescent="0.25">
      <c r="B287" s="2" t="s">
        <v>1091</v>
      </c>
      <c r="C287" s="2" t="s">
        <v>133</v>
      </c>
      <c r="D287" s="2" t="s">
        <v>134</v>
      </c>
      <c r="E287" s="2" t="s">
        <v>122</v>
      </c>
      <c r="F287" s="2" t="s">
        <v>535</v>
      </c>
      <c r="G287" s="2" t="s">
        <v>416</v>
      </c>
      <c r="H287" s="2" t="s">
        <v>94</v>
      </c>
      <c r="I287" s="26">
        <v>45578</v>
      </c>
      <c r="J287" s="2">
        <v>40</v>
      </c>
      <c r="K287" s="2" t="s">
        <v>123</v>
      </c>
      <c r="L287" s="22">
        <v>2050</v>
      </c>
      <c r="M287" s="22">
        <v>82000</v>
      </c>
      <c r="N287" s="18">
        <v>87.7</v>
      </c>
      <c r="O287" s="26">
        <v>45623</v>
      </c>
      <c r="P287" s="2" t="s">
        <v>805</v>
      </c>
      <c r="Q287" s="2" t="s">
        <v>814</v>
      </c>
    </row>
    <row r="288" spans="2:17" x14ac:dyDescent="0.25">
      <c r="B288" s="2" t="s">
        <v>1092</v>
      </c>
      <c r="C288" s="2" t="s">
        <v>133</v>
      </c>
      <c r="D288" s="2" t="s">
        <v>134</v>
      </c>
      <c r="E288" s="2" t="s">
        <v>122</v>
      </c>
      <c r="F288" s="2" t="s">
        <v>535</v>
      </c>
      <c r="G288" s="2" t="s">
        <v>416</v>
      </c>
      <c r="H288" s="2" t="s">
        <v>94</v>
      </c>
      <c r="I288" s="26">
        <v>45589</v>
      </c>
      <c r="J288" s="2">
        <v>43</v>
      </c>
      <c r="K288" s="2" t="s">
        <v>123</v>
      </c>
      <c r="L288" s="22">
        <v>2050</v>
      </c>
      <c r="M288" s="22">
        <v>88150</v>
      </c>
      <c r="N288" s="18">
        <v>94.28</v>
      </c>
      <c r="O288" s="26">
        <v>45634</v>
      </c>
      <c r="P288" s="2" t="s">
        <v>805</v>
      </c>
      <c r="Q288" s="2" t="s">
        <v>814</v>
      </c>
    </row>
    <row r="289" spans="2:17" x14ac:dyDescent="0.25">
      <c r="B289" s="2" t="s">
        <v>1093</v>
      </c>
      <c r="C289" s="2" t="s">
        <v>133</v>
      </c>
      <c r="D289" s="2" t="s">
        <v>134</v>
      </c>
      <c r="E289" s="2" t="s">
        <v>122</v>
      </c>
      <c r="F289" s="2" t="s">
        <v>535</v>
      </c>
      <c r="G289" s="2" t="s">
        <v>416</v>
      </c>
      <c r="H289" s="2" t="s">
        <v>94</v>
      </c>
      <c r="I289" s="26">
        <v>45600</v>
      </c>
      <c r="J289" s="2">
        <v>36</v>
      </c>
      <c r="K289" s="2" t="s">
        <v>123</v>
      </c>
      <c r="L289" s="22">
        <v>2050</v>
      </c>
      <c r="M289" s="22">
        <v>73800</v>
      </c>
      <c r="N289" s="18">
        <v>78.930000000000007</v>
      </c>
      <c r="O289" s="26">
        <v>45645</v>
      </c>
      <c r="P289" s="2" t="s">
        <v>805</v>
      </c>
      <c r="Q289" s="2" t="s">
        <v>814</v>
      </c>
    </row>
    <row r="290" spans="2:17" x14ac:dyDescent="0.25">
      <c r="B290" s="2" t="s">
        <v>1094</v>
      </c>
      <c r="C290" s="2" t="s">
        <v>133</v>
      </c>
      <c r="D290" s="2" t="s">
        <v>134</v>
      </c>
      <c r="E290" s="2" t="s">
        <v>122</v>
      </c>
      <c r="F290" s="2" t="s">
        <v>535</v>
      </c>
      <c r="G290" s="2" t="s">
        <v>416</v>
      </c>
      <c r="H290" s="2" t="s">
        <v>94</v>
      </c>
      <c r="I290" s="26">
        <v>45610</v>
      </c>
      <c r="J290" s="2">
        <v>45</v>
      </c>
      <c r="K290" s="2" t="s">
        <v>123</v>
      </c>
      <c r="L290" s="22">
        <v>2050</v>
      </c>
      <c r="M290" s="22">
        <v>92250</v>
      </c>
      <c r="N290" s="18">
        <v>98.66</v>
      </c>
      <c r="O290" s="26">
        <v>45655</v>
      </c>
      <c r="P290" s="2" t="s">
        <v>805</v>
      </c>
      <c r="Q290" s="2" t="s">
        <v>814</v>
      </c>
    </row>
    <row r="291" spans="2:17" x14ac:dyDescent="0.25">
      <c r="B291" s="2" t="s">
        <v>1095</v>
      </c>
      <c r="C291" s="2" t="s">
        <v>133</v>
      </c>
      <c r="D291" s="2" t="s">
        <v>134</v>
      </c>
      <c r="E291" s="2" t="s">
        <v>122</v>
      </c>
      <c r="F291" s="2" t="s">
        <v>535</v>
      </c>
      <c r="G291" s="2" t="s">
        <v>416</v>
      </c>
      <c r="H291" s="2" t="s">
        <v>94</v>
      </c>
      <c r="I291" s="26">
        <v>45620</v>
      </c>
      <c r="J291" s="2">
        <v>40</v>
      </c>
      <c r="K291" s="2" t="s">
        <v>123</v>
      </c>
      <c r="L291" s="22">
        <v>2050</v>
      </c>
      <c r="M291" s="22">
        <v>82000</v>
      </c>
      <c r="N291" s="18">
        <v>87.7</v>
      </c>
      <c r="O291" s="26">
        <v>45665</v>
      </c>
      <c r="P291" s="2" t="s">
        <v>805</v>
      </c>
      <c r="Q291" s="2" t="s">
        <v>814</v>
      </c>
    </row>
    <row r="292" spans="2:17" x14ac:dyDescent="0.25">
      <c r="B292" s="2" t="s">
        <v>1096</v>
      </c>
      <c r="C292" s="2" t="s">
        <v>133</v>
      </c>
      <c r="D292" s="2" t="s">
        <v>134</v>
      </c>
      <c r="E292" s="2" t="s">
        <v>122</v>
      </c>
      <c r="F292" s="2" t="s">
        <v>535</v>
      </c>
      <c r="G292" s="2" t="s">
        <v>416</v>
      </c>
      <c r="H292" s="2" t="s">
        <v>94</v>
      </c>
      <c r="I292" s="26">
        <v>45632</v>
      </c>
      <c r="J292" s="2">
        <v>47</v>
      </c>
      <c r="K292" s="2" t="s">
        <v>123</v>
      </c>
      <c r="L292" s="22">
        <v>2050</v>
      </c>
      <c r="M292" s="22">
        <v>96350</v>
      </c>
      <c r="N292" s="18">
        <v>103.05</v>
      </c>
      <c r="O292" s="26">
        <v>45677</v>
      </c>
      <c r="P292" s="2" t="s">
        <v>805</v>
      </c>
      <c r="Q292" s="2" t="s">
        <v>825</v>
      </c>
    </row>
    <row r="293" spans="2:17" x14ac:dyDescent="0.25">
      <c r="B293" s="2" t="s">
        <v>1097</v>
      </c>
      <c r="C293" s="2" t="s">
        <v>133</v>
      </c>
      <c r="D293" s="2" t="s">
        <v>134</v>
      </c>
      <c r="E293" s="2" t="s">
        <v>122</v>
      </c>
      <c r="F293" s="2" t="s">
        <v>535</v>
      </c>
      <c r="G293" s="2" t="s">
        <v>416</v>
      </c>
      <c r="H293" s="2" t="s">
        <v>94</v>
      </c>
      <c r="I293" s="26">
        <v>45643</v>
      </c>
      <c r="J293" s="2">
        <v>45</v>
      </c>
      <c r="K293" s="2" t="s">
        <v>123</v>
      </c>
      <c r="L293" s="22">
        <v>2050</v>
      </c>
      <c r="M293" s="22">
        <v>92250</v>
      </c>
      <c r="N293" s="18">
        <v>98.66</v>
      </c>
      <c r="O293" s="26">
        <v>45688</v>
      </c>
      <c r="P293" s="2" t="s">
        <v>805</v>
      </c>
      <c r="Q293" s="2" t="s">
        <v>825</v>
      </c>
    </row>
    <row r="294" spans="2:17" x14ac:dyDescent="0.25">
      <c r="B294" s="2" t="s">
        <v>1098</v>
      </c>
      <c r="C294" s="2" t="s">
        <v>133</v>
      </c>
      <c r="D294" s="2" t="s">
        <v>134</v>
      </c>
      <c r="E294" s="2" t="s">
        <v>122</v>
      </c>
      <c r="F294" s="2" t="s">
        <v>535</v>
      </c>
      <c r="G294" s="2" t="s">
        <v>416</v>
      </c>
      <c r="H294" s="2" t="s">
        <v>94</v>
      </c>
      <c r="I294" s="26">
        <v>45652</v>
      </c>
      <c r="J294" s="2">
        <v>58</v>
      </c>
      <c r="K294" s="2" t="s">
        <v>123</v>
      </c>
      <c r="L294" s="22">
        <v>2050</v>
      </c>
      <c r="M294" s="22">
        <v>118900</v>
      </c>
      <c r="N294" s="18">
        <v>127.17</v>
      </c>
      <c r="O294" s="26">
        <v>45697</v>
      </c>
      <c r="P294" s="2" t="s">
        <v>805</v>
      </c>
      <c r="Q294" s="2" t="s">
        <v>825</v>
      </c>
    </row>
    <row r="295" spans="2:17" x14ac:dyDescent="0.25">
      <c r="B295" s="2" t="s">
        <v>1099</v>
      </c>
      <c r="C295" s="2" t="s">
        <v>133</v>
      </c>
      <c r="D295" s="2" t="s">
        <v>134</v>
      </c>
      <c r="E295" s="2" t="s">
        <v>122</v>
      </c>
      <c r="F295" s="2" t="s">
        <v>535</v>
      </c>
      <c r="G295" s="2" t="s">
        <v>416</v>
      </c>
      <c r="H295" s="2" t="s">
        <v>94</v>
      </c>
      <c r="I295" s="26">
        <v>45664</v>
      </c>
      <c r="J295" s="2">
        <v>49</v>
      </c>
      <c r="K295" s="2" t="s">
        <v>123</v>
      </c>
      <c r="L295" s="22">
        <v>2050</v>
      </c>
      <c r="M295" s="22">
        <v>100450</v>
      </c>
      <c r="N295" s="18">
        <v>107.43</v>
      </c>
      <c r="O295" s="26">
        <v>45709</v>
      </c>
      <c r="P295" s="2" t="s">
        <v>805</v>
      </c>
      <c r="Q295" s="2" t="s">
        <v>825</v>
      </c>
    </row>
    <row r="296" spans="2:17" x14ac:dyDescent="0.25">
      <c r="B296" s="2" t="s">
        <v>1100</v>
      </c>
      <c r="C296" s="2" t="s">
        <v>133</v>
      </c>
      <c r="D296" s="2" t="s">
        <v>134</v>
      </c>
      <c r="E296" s="2" t="s">
        <v>122</v>
      </c>
      <c r="F296" s="2" t="s">
        <v>535</v>
      </c>
      <c r="G296" s="2" t="s">
        <v>416</v>
      </c>
      <c r="H296" s="2" t="s">
        <v>94</v>
      </c>
      <c r="I296" s="26">
        <v>45675</v>
      </c>
      <c r="J296" s="2">
        <v>43</v>
      </c>
      <c r="K296" s="2" t="s">
        <v>123</v>
      </c>
      <c r="L296" s="22">
        <v>2050</v>
      </c>
      <c r="M296" s="22">
        <v>88150</v>
      </c>
      <c r="N296" s="18">
        <v>94.28</v>
      </c>
      <c r="O296" s="26">
        <v>45720</v>
      </c>
      <c r="P296" s="2" t="s">
        <v>805</v>
      </c>
      <c r="Q296" s="2" t="s">
        <v>825</v>
      </c>
    </row>
    <row r="297" spans="2:17" x14ac:dyDescent="0.25">
      <c r="B297" s="2" t="s">
        <v>1101</v>
      </c>
      <c r="C297" s="2" t="s">
        <v>133</v>
      </c>
      <c r="D297" s="2" t="s">
        <v>134</v>
      </c>
      <c r="E297" s="2" t="s">
        <v>122</v>
      </c>
      <c r="F297" s="2" t="s">
        <v>535</v>
      </c>
      <c r="G297" s="2" t="s">
        <v>416</v>
      </c>
      <c r="H297" s="2" t="s">
        <v>94</v>
      </c>
      <c r="I297" s="26">
        <v>45686</v>
      </c>
      <c r="J297" s="2">
        <v>49</v>
      </c>
      <c r="K297" s="2" t="s">
        <v>123</v>
      </c>
      <c r="L297" s="22">
        <v>2050</v>
      </c>
      <c r="M297" s="22">
        <v>100450</v>
      </c>
      <c r="N297" s="18">
        <v>107.43</v>
      </c>
      <c r="O297" s="26">
        <v>45731</v>
      </c>
      <c r="P297" s="2" t="s">
        <v>805</v>
      </c>
      <c r="Q297" s="2" t="s">
        <v>825</v>
      </c>
    </row>
    <row r="298" spans="2:17" x14ac:dyDescent="0.25">
      <c r="B298" s="2" t="s">
        <v>1102</v>
      </c>
      <c r="C298" s="2" t="s">
        <v>133</v>
      </c>
      <c r="D298" s="2" t="s">
        <v>134</v>
      </c>
      <c r="E298" s="2" t="s">
        <v>122</v>
      </c>
      <c r="F298" s="2" t="s">
        <v>535</v>
      </c>
      <c r="G298" s="2" t="s">
        <v>416</v>
      </c>
      <c r="H298" s="2" t="s">
        <v>94</v>
      </c>
      <c r="I298" s="26">
        <v>45694</v>
      </c>
      <c r="J298" s="2">
        <v>39</v>
      </c>
      <c r="K298" s="2" t="s">
        <v>123</v>
      </c>
      <c r="L298" s="22">
        <v>2050</v>
      </c>
      <c r="M298" s="22">
        <v>79950</v>
      </c>
      <c r="N298" s="18">
        <v>85.51</v>
      </c>
      <c r="O298" s="26">
        <v>45739</v>
      </c>
      <c r="P298" s="2" t="s">
        <v>805</v>
      </c>
      <c r="Q298" s="2" t="s">
        <v>825</v>
      </c>
    </row>
    <row r="299" spans="2:17" x14ac:dyDescent="0.25">
      <c r="B299" s="2" t="s">
        <v>1103</v>
      </c>
      <c r="C299" s="2" t="s">
        <v>133</v>
      </c>
      <c r="D299" s="2" t="s">
        <v>134</v>
      </c>
      <c r="E299" s="2" t="s">
        <v>122</v>
      </c>
      <c r="F299" s="2" t="s">
        <v>535</v>
      </c>
      <c r="G299" s="2" t="s">
        <v>416</v>
      </c>
      <c r="H299" s="2" t="s">
        <v>94</v>
      </c>
      <c r="I299" s="26">
        <v>45702</v>
      </c>
      <c r="J299" s="2">
        <v>48</v>
      </c>
      <c r="K299" s="2" t="s">
        <v>123</v>
      </c>
      <c r="L299" s="22">
        <v>2050</v>
      </c>
      <c r="M299" s="22">
        <v>98400</v>
      </c>
      <c r="N299" s="18">
        <v>105.24</v>
      </c>
      <c r="O299" s="26">
        <v>45747</v>
      </c>
      <c r="P299" s="2" t="s">
        <v>805</v>
      </c>
      <c r="Q299" s="2" t="s">
        <v>825</v>
      </c>
    </row>
    <row r="300" spans="2:17" x14ac:dyDescent="0.25">
      <c r="B300" s="2" t="s">
        <v>1104</v>
      </c>
      <c r="C300" s="2" t="s">
        <v>133</v>
      </c>
      <c r="D300" s="2" t="s">
        <v>134</v>
      </c>
      <c r="E300" s="2" t="s">
        <v>122</v>
      </c>
      <c r="F300" s="2" t="s">
        <v>537</v>
      </c>
      <c r="G300" s="2" t="s">
        <v>420</v>
      </c>
      <c r="H300" s="2" t="s">
        <v>421</v>
      </c>
      <c r="I300" s="26">
        <v>45711</v>
      </c>
      <c r="J300" s="2">
        <v>40</v>
      </c>
      <c r="K300" s="2" t="s">
        <v>123</v>
      </c>
      <c r="L300" s="22">
        <v>2300</v>
      </c>
      <c r="M300" s="22">
        <v>92000</v>
      </c>
      <c r="N300" s="18">
        <v>98.4</v>
      </c>
      <c r="O300" s="26">
        <v>45756</v>
      </c>
      <c r="P300" s="2" t="s">
        <v>805</v>
      </c>
      <c r="Q300" s="2" t="s">
        <v>825</v>
      </c>
    </row>
    <row r="301" spans="2:17" x14ac:dyDescent="0.25">
      <c r="B301" s="2" t="s">
        <v>1105</v>
      </c>
      <c r="C301" s="2" t="s">
        <v>133</v>
      </c>
      <c r="D301" s="2" t="s">
        <v>134</v>
      </c>
      <c r="E301" s="2" t="s">
        <v>122</v>
      </c>
      <c r="F301" s="2" t="s">
        <v>537</v>
      </c>
      <c r="G301" s="2" t="s">
        <v>420</v>
      </c>
      <c r="H301" s="2" t="s">
        <v>421</v>
      </c>
      <c r="I301" s="26">
        <v>45719</v>
      </c>
      <c r="J301" s="2">
        <v>42</v>
      </c>
      <c r="K301" s="2" t="s">
        <v>123</v>
      </c>
      <c r="L301" s="22">
        <v>2300</v>
      </c>
      <c r="M301" s="22">
        <v>96600</v>
      </c>
      <c r="N301" s="18">
        <v>103.32</v>
      </c>
      <c r="O301" s="26">
        <v>45764</v>
      </c>
      <c r="P301" s="2" t="s">
        <v>805</v>
      </c>
      <c r="Q301" s="2" t="s">
        <v>836</v>
      </c>
    </row>
    <row r="302" spans="2:17" x14ac:dyDescent="0.25">
      <c r="B302" s="2" t="s">
        <v>1106</v>
      </c>
      <c r="C302" s="2" t="s">
        <v>133</v>
      </c>
      <c r="D302" s="2" t="s">
        <v>134</v>
      </c>
      <c r="E302" s="2" t="s">
        <v>122</v>
      </c>
      <c r="F302" s="2" t="s">
        <v>535</v>
      </c>
      <c r="G302" s="2" t="s">
        <v>416</v>
      </c>
      <c r="H302" s="2" t="s">
        <v>94</v>
      </c>
      <c r="I302" s="26">
        <v>45727</v>
      </c>
      <c r="J302" s="2">
        <v>44</v>
      </c>
      <c r="K302" s="2" t="s">
        <v>123</v>
      </c>
      <c r="L302" s="22">
        <v>2050</v>
      </c>
      <c r="M302" s="22">
        <v>90200</v>
      </c>
      <c r="N302" s="18">
        <v>96.47</v>
      </c>
      <c r="O302" s="26">
        <v>45772</v>
      </c>
      <c r="P302" s="2" t="s">
        <v>805</v>
      </c>
      <c r="Q302" s="2" t="s">
        <v>836</v>
      </c>
    </row>
    <row r="303" spans="2:17" x14ac:dyDescent="0.25">
      <c r="B303" s="2" t="s">
        <v>1107</v>
      </c>
      <c r="C303" s="2" t="s">
        <v>133</v>
      </c>
      <c r="D303" s="2" t="s">
        <v>134</v>
      </c>
      <c r="E303" s="2" t="s">
        <v>122</v>
      </c>
      <c r="F303" s="2" t="s">
        <v>535</v>
      </c>
      <c r="G303" s="2" t="s">
        <v>416</v>
      </c>
      <c r="H303" s="2" t="s">
        <v>94</v>
      </c>
      <c r="I303" s="26">
        <v>45737</v>
      </c>
      <c r="J303" s="2">
        <v>44</v>
      </c>
      <c r="K303" s="2" t="s">
        <v>123</v>
      </c>
      <c r="L303" s="22">
        <v>2050</v>
      </c>
      <c r="M303" s="22">
        <v>90200</v>
      </c>
      <c r="N303" s="18">
        <v>96.47</v>
      </c>
      <c r="O303" s="26">
        <v>45782</v>
      </c>
      <c r="P303" s="2" t="s">
        <v>805</v>
      </c>
      <c r="Q303" s="2" t="s">
        <v>836</v>
      </c>
    </row>
    <row r="304" spans="2:17" x14ac:dyDescent="0.25">
      <c r="B304" s="2" t="s">
        <v>1108</v>
      </c>
      <c r="C304" s="2" t="s">
        <v>133</v>
      </c>
      <c r="D304" s="2" t="s">
        <v>134</v>
      </c>
      <c r="E304" s="2" t="s">
        <v>122</v>
      </c>
      <c r="F304" s="2" t="s">
        <v>537</v>
      </c>
      <c r="G304" s="2" t="s">
        <v>420</v>
      </c>
      <c r="H304" s="2" t="s">
        <v>421</v>
      </c>
      <c r="I304" s="26">
        <v>45744</v>
      </c>
      <c r="J304" s="2">
        <v>48</v>
      </c>
      <c r="K304" s="2" t="s">
        <v>123</v>
      </c>
      <c r="L304" s="22">
        <v>2300</v>
      </c>
      <c r="M304" s="22">
        <v>110400</v>
      </c>
      <c r="N304" s="18">
        <v>118.07</v>
      </c>
      <c r="O304" s="26">
        <v>45789</v>
      </c>
      <c r="P304" s="2" t="s">
        <v>805</v>
      </c>
      <c r="Q304" s="2" t="s">
        <v>836</v>
      </c>
    </row>
    <row r="305" spans="2:17" x14ac:dyDescent="0.25">
      <c r="B305" s="2" t="s">
        <v>1109</v>
      </c>
      <c r="C305" s="2" t="s">
        <v>133</v>
      </c>
      <c r="D305" s="2" t="s">
        <v>134</v>
      </c>
      <c r="E305" s="2" t="s">
        <v>122</v>
      </c>
      <c r="F305" s="2" t="s">
        <v>535</v>
      </c>
      <c r="G305" s="2" t="s">
        <v>416</v>
      </c>
      <c r="H305" s="2" t="s">
        <v>94</v>
      </c>
      <c r="I305" s="26">
        <v>45753</v>
      </c>
      <c r="J305" s="2">
        <v>18</v>
      </c>
      <c r="K305" s="2" t="s">
        <v>123</v>
      </c>
      <c r="L305" s="22">
        <v>2050</v>
      </c>
      <c r="M305" s="22">
        <v>36900</v>
      </c>
      <c r="N305" s="18">
        <v>39.47</v>
      </c>
      <c r="O305" s="26">
        <v>45798</v>
      </c>
      <c r="P305" s="2" t="s">
        <v>805</v>
      </c>
      <c r="Q305" s="2" t="s">
        <v>836</v>
      </c>
    </row>
    <row r="306" spans="2:17" x14ac:dyDescent="0.25">
      <c r="B306" s="2" t="s">
        <v>1110</v>
      </c>
      <c r="C306" s="2" t="s">
        <v>133</v>
      </c>
      <c r="D306" s="2" t="s">
        <v>134</v>
      </c>
      <c r="E306" s="2" t="s">
        <v>122</v>
      </c>
      <c r="F306" s="2" t="s">
        <v>535</v>
      </c>
      <c r="G306" s="2" t="s">
        <v>416</v>
      </c>
      <c r="H306" s="2" t="s">
        <v>94</v>
      </c>
      <c r="I306" s="26">
        <v>45761</v>
      </c>
      <c r="J306" s="2">
        <v>17</v>
      </c>
      <c r="K306" s="2" t="s">
        <v>123</v>
      </c>
      <c r="L306" s="22">
        <v>2050</v>
      </c>
      <c r="M306" s="22">
        <v>34850</v>
      </c>
      <c r="N306" s="18">
        <v>37.270000000000003</v>
      </c>
      <c r="O306" s="26">
        <v>45806</v>
      </c>
      <c r="P306" s="2" t="s">
        <v>805</v>
      </c>
      <c r="Q306" s="2" t="s">
        <v>836</v>
      </c>
    </row>
    <row r="307" spans="2:17" x14ac:dyDescent="0.25">
      <c r="B307" s="2" t="s">
        <v>1111</v>
      </c>
      <c r="C307" s="2" t="s">
        <v>133</v>
      </c>
      <c r="D307" s="2" t="s">
        <v>134</v>
      </c>
      <c r="E307" s="2" t="s">
        <v>122</v>
      </c>
      <c r="F307" s="2" t="s">
        <v>535</v>
      </c>
      <c r="G307" s="2" t="s">
        <v>416</v>
      </c>
      <c r="H307" s="2" t="s">
        <v>94</v>
      </c>
      <c r="I307" s="26">
        <v>45770</v>
      </c>
      <c r="J307" s="2">
        <v>15</v>
      </c>
      <c r="K307" s="2" t="s">
        <v>123</v>
      </c>
      <c r="L307" s="22">
        <v>2050</v>
      </c>
      <c r="M307" s="22">
        <v>30750</v>
      </c>
      <c r="N307" s="18">
        <v>32.89</v>
      </c>
      <c r="O307" s="26">
        <v>45815</v>
      </c>
      <c r="P307" s="2" t="s">
        <v>805</v>
      </c>
      <c r="Q307" s="2" t="s">
        <v>836</v>
      </c>
    </row>
    <row r="308" spans="2:17" x14ac:dyDescent="0.25">
      <c r="B308" s="2" t="s">
        <v>1112</v>
      </c>
      <c r="C308" s="2" t="s">
        <v>133</v>
      </c>
      <c r="D308" s="2" t="s">
        <v>134</v>
      </c>
      <c r="E308" s="2" t="s">
        <v>122</v>
      </c>
      <c r="F308" s="2" t="s">
        <v>535</v>
      </c>
      <c r="G308" s="2" t="s">
        <v>416</v>
      </c>
      <c r="H308" s="2" t="s">
        <v>94</v>
      </c>
      <c r="I308" s="26">
        <v>45779</v>
      </c>
      <c r="J308" s="2">
        <v>16</v>
      </c>
      <c r="K308" s="2" t="s">
        <v>123</v>
      </c>
      <c r="L308" s="22">
        <v>2050</v>
      </c>
      <c r="M308" s="22">
        <v>32800</v>
      </c>
      <c r="N308" s="18">
        <v>35.08</v>
      </c>
      <c r="O308" s="26">
        <v>45824</v>
      </c>
      <c r="P308" s="2" t="s">
        <v>805</v>
      </c>
      <c r="Q308" s="2" t="s">
        <v>836</v>
      </c>
    </row>
    <row r="309" spans="2:17" x14ac:dyDescent="0.25">
      <c r="B309" s="2" t="s">
        <v>1113</v>
      </c>
      <c r="C309" s="2" t="s">
        <v>133</v>
      </c>
      <c r="D309" s="2" t="s">
        <v>134</v>
      </c>
      <c r="E309" s="2" t="s">
        <v>122</v>
      </c>
      <c r="F309" s="2" t="s">
        <v>535</v>
      </c>
      <c r="G309" s="2" t="s">
        <v>416</v>
      </c>
      <c r="H309" s="2" t="s">
        <v>94</v>
      </c>
      <c r="I309" s="26">
        <v>45790</v>
      </c>
      <c r="J309" s="2">
        <v>16</v>
      </c>
      <c r="K309" s="2" t="s">
        <v>123</v>
      </c>
      <c r="L309" s="22">
        <v>2050</v>
      </c>
      <c r="M309" s="22">
        <v>32800</v>
      </c>
      <c r="N309" s="18">
        <v>35.08</v>
      </c>
      <c r="O309" s="26">
        <v>45835</v>
      </c>
      <c r="P309" s="2" t="s">
        <v>805</v>
      </c>
      <c r="Q309" s="2" t="s">
        <v>836</v>
      </c>
    </row>
    <row r="310" spans="2:17" x14ac:dyDescent="0.25">
      <c r="B310" s="2" t="s">
        <v>1114</v>
      </c>
      <c r="C310" s="2" t="s">
        <v>133</v>
      </c>
      <c r="D310" s="2" t="s">
        <v>134</v>
      </c>
      <c r="E310" s="2" t="s">
        <v>122</v>
      </c>
      <c r="F310" s="2" t="s">
        <v>535</v>
      </c>
      <c r="G310" s="2" t="s">
        <v>416</v>
      </c>
      <c r="H310" s="2" t="s">
        <v>94</v>
      </c>
      <c r="I310" s="26">
        <v>45799</v>
      </c>
      <c r="J310" s="2">
        <v>18</v>
      </c>
      <c r="K310" s="2" t="s">
        <v>123</v>
      </c>
      <c r="L310" s="22">
        <v>2050</v>
      </c>
      <c r="M310" s="22">
        <v>36900</v>
      </c>
      <c r="N310" s="18">
        <v>39.47</v>
      </c>
      <c r="O310" s="26">
        <v>45844</v>
      </c>
      <c r="P310" s="2" t="s">
        <v>805</v>
      </c>
      <c r="Q310" s="2" t="s">
        <v>836</v>
      </c>
    </row>
    <row r="311" spans="2:17" x14ac:dyDescent="0.25">
      <c r="B311" s="2" t="s">
        <v>1115</v>
      </c>
      <c r="C311" s="2" t="s">
        <v>133</v>
      </c>
      <c r="D311" s="2" t="s">
        <v>134</v>
      </c>
      <c r="E311" s="2" t="s">
        <v>122</v>
      </c>
      <c r="F311" s="2" t="s">
        <v>535</v>
      </c>
      <c r="G311" s="2" t="s">
        <v>416</v>
      </c>
      <c r="H311" s="2" t="s">
        <v>94</v>
      </c>
      <c r="I311" s="26">
        <v>45808</v>
      </c>
      <c r="J311" s="2">
        <v>18</v>
      </c>
      <c r="K311" s="2" t="s">
        <v>123</v>
      </c>
      <c r="L311" s="22">
        <v>2050</v>
      </c>
      <c r="M311" s="22">
        <v>36900</v>
      </c>
      <c r="N311" s="18">
        <v>39.47</v>
      </c>
      <c r="O311" s="26">
        <v>45853</v>
      </c>
      <c r="P311" s="2" t="s">
        <v>805</v>
      </c>
      <c r="Q311" s="2" t="s">
        <v>836</v>
      </c>
    </row>
    <row r="312" spans="2:17" x14ac:dyDescent="0.25">
      <c r="B312" s="2" t="s">
        <v>1116</v>
      </c>
      <c r="C312" s="2" t="s">
        <v>133</v>
      </c>
      <c r="D312" s="2" t="s">
        <v>134</v>
      </c>
      <c r="E312" s="2" t="s">
        <v>122</v>
      </c>
      <c r="F312" s="2" t="s">
        <v>535</v>
      </c>
      <c r="G312" s="2" t="s">
        <v>416</v>
      </c>
      <c r="H312" s="2" t="s">
        <v>94</v>
      </c>
      <c r="I312" s="26">
        <v>45818</v>
      </c>
      <c r="J312" s="2">
        <v>15</v>
      </c>
      <c r="K312" s="2" t="s">
        <v>123</v>
      </c>
      <c r="L312" s="22">
        <v>2050</v>
      </c>
      <c r="M312" s="22">
        <v>30750</v>
      </c>
      <c r="N312" s="18">
        <v>32.89</v>
      </c>
      <c r="O312" s="26">
        <v>45863</v>
      </c>
      <c r="P312" s="2" t="s">
        <v>805</v>
      </c>
      <c r="Q312" s="2" t="s">
        <v>806</v>
      </c>
    </row>
    <row r="313" spans="2:17" x14ac:dyDescent="0.25">
      <c r="B313" s="2" t="s">
        <v>1117</v>
      </c>
      <c r="C313" s="2" t="s">
        <v>133</v>
      </c>
      <c r="D313" s="2" t="s">
        <v>134</v>
      </c>
      <c r="E313" s="2" t="s">
        <v>122</v>
      </c>
      <c r="F313" s="2" t="s">
        <v>535</v>
      </c>
      <c r="G313" s="2" t="s">
        <v>416</v>
      </c>
      <c r="H313" s="2" t="s">
        <v>94</v>
      </c>
      <c r="I313" s="26">
        <v>45827</v>
      </c>
      <c r="J313" s="2">
        <v>17</v>
      </c>
      <c r="K313" s="2" t="s">
        <v>123</v>
      </c>
      <c r="L313" s="22">
        <v>2050</v>
      </c>
      <c r="M313" s="22">
        <v>34850</v>
      </c>
      <c r="N313" s="18">
        <v>37.270000000000003</v>
      </c>
      <c r="O313" s="26">
        <v>45872</v>
      </c>
      <c r="P313" s="2" t="s">
        <v>805</v>
      </c>
      <c r="Q313" s="2" t="s">
        <v>806</v>
      </c>
    </row>
    <row r="314" spans="2:17" x14ac:dyDescent="0.25">
      <c r="B314" s="2" t="s">
        <v>1118</v>
      </c>
      <c r="C314" s="2" t="s">
        <v>133</v>
      </c>
      <c r="D314" s="2" t="s">
        <v>134</v>
      </c>
      <c r="E314" s="2" t="s">
        <v>122</v>
      </c>
      <c r="F314" s="2" t="s">
        <v>535</v>
      </c>
      <c r="G314" s="2" t="s">
        <v>416</v>
      </c>
      <c r="H314" s="2" t="s">
        <v>94</v>
      </c>
      <c r="I314" s="26">
        <v>45837</v>
      </c>
      <c r="J314" s="2">
        <v>18</v>
      </c>
      <c r="K314" s="2" t="s">
        <v>123</v>
      </c>
      <c r="L314" s="22">
        <v>2050</v>
      </c>
      <c r="M314" s="22">
        <v>36900</v>
      </c>
      <c r="N314" s="18">
        <v>39.47</v>
      </c>
      <c r="O314" s="26">
        <v>45882</v>
      </c>
      <c r="P314" s="2" t="s">
        <v>805</v>
      </c>
      <c r="Q314" s="2" t="s">
        <v>806</v>
      </c>
    </row>
    <row r="315" spans="2:17" x14ac:dyDescent="0.25">
      <c r="B315" s="2" t="s">
        <v>1119</v>
      </c>
      <c r="C315" s="2" t="s">
        <v>136</v>
      </c>
      <c r="D315" s="2" t="s">
        <v>137</v>
      </c>
      <c r="E315" s="2" t="s">
        <v>122</v>
      </c>
      <c r="F315" s="2" t="s">
        <v>535</v>
      </c>
      <c r="G315" s="2" t="s">
        <v>416</v>
      </c>
      <c r="H315" s="2" t="s">
        <v>94</v>
      </c>
      <c r="I315" s="26">
        <v>45109</v>
      </c>
      <c r="J315" s="2">
        <v>13</v>
      </c>
      <c r="K315" s="2" t="s">
        <v>123</v>
      </c>
      <c r="L315" s="22">
        <v>2100</v>
      </c>
      <c r="M315" s="22">
        <v>27300</v>
      </c>
      <c r="N315" s="18">
        <v>29.2</v>
      </c>
      <c r="O315" s="26">
        <v>45154</v>
      </c>
      <c r="P315" s="2" t="s">
        <v>805</v>
      </c>
      <c r="Q315" s="2" t="s">
        <v>806</v>
      </c>
    </row>
    <row r="316" spans="2:17" x14ac:dyDescent="0.25">
      <c r="B316" s="2" t="s">
        <v>1120</v>
      </c>
      <c r="C316" s="2" t="s">
        <v>136</v>
      </c>
      <c r="D316" s="2" t="s">
        <v>137</v>
      </c>
      <c r="E316" s="2" t="s">
        <v>122</v>
      </c>
      <c r="F316" s="2" t="s">
        <v>535</v>
      </c>
      <c r="G316" s="2" t="s">
        <v>416</v>
      </c>
      <c r="H316" s="2" t="s">
        <v>94</v>
      </c>
      <c r="I316" s="26">
        <v>45118</v>
      </c>
      <c r="J316" s="2">
        <v>14</v>
      </c>
      <c r="K316" s="2" t="s">
        <v>123</v>
      </c>
      <c r="L316" s="22">
        <v>2100</v>
      </c>
      <c r="M316" s="22">
        <v>29400</v>
      </c>
      <c r="N316" s="18">
        <v>31.44</v>
      </c>
      <c r="O316" s="26">
        <v>45163</v>
      </c>
      <c r="P316" s="2" t="s">
        <v>805</v>
      </c>
      <c r="Q316" s="2" t="s">
        <v>806</v>
      </c>
    </row>
    <row r="317" spans="2:17" x14ac:dyDescent="0.25">
      <c r="B317" s="2" t="s">
        <v>1121</v>
      </c>
      <c r="C317" s="2" t="s">
        <v>136</v>
      </c>
      <c r="D317" s="2" t="s">
        <v>137</v>
      </c>
      <c r="E317" s="2" t="s">
        <v>122</v>
      </c>
      <c r="F317" s="2" t="s">
        <v>535</v>
      </c>
      <c r="G317" s="2" t="s">
        <v>416</v>
      </c>
      <c r="H317" s="2" t="s">
        <v>94</v>
      </c>
      <c r="I317" s="26">
        <v>45130</v>
      </c>
      <c r="J317" s="2">
        <v>15</v>
      </c>
      <c r="K317" s="2" t="s">
        <v>123</v>
      </c>
      <c r="L317" s="22">
        <v>2100</v>
      </c>
      <c r="M317" s="22">
        <v>31500</v>
      </c>
      <c r="N317" s="18">
        <v>33.69</v>
      </c>
      <c r="O317" s="26">
        <v>45175</v>
      </c>
      <c r="P317" s="2" t="s">
        <v>805</v>
      </c>
      <c r="Q317" s="2" t="s">
        <v>806</v>
      </c>
    </row>
    <row r="318" spans="2:17" x14ac:dyDescent="0.25">
      <c r="B318" s="2" t="s">
        <v>1122</v>
      </c>
      <c r="C318" s="2" t="s">
        <v>136</v>
      </c>
      <c r="D318" s="2" t="s">
        <v>137</v>
      </c>
      <c r="E318" s="2" t="s">
        <v>122</v>
      </c>
      <c r="F318" s="2" t="s">
        <v>535</v>
      </c>
      <c r="G318" s="2" t="s">
        <v>416</v>
      </c>
      <c r="H318" s="2" t="s">
        <v>94</v>
      </c>
      <c r="I318" s="26">
        <v>45140</v>
      </c>
      <c r="J318" s="2">
        <v>14</v>
      </c>
      <c r="K318" s="2" t="s">
        <v>123</v>
      </c>
      <c r="L318" s="22">
        <v>2100</v>
      </c>
      <c r="M318" s="22">
        <v>29400</v>
      </c>
      <c r="N318" s="18">
        <v>31.44</v>
      </c>
      <c r="O318" s="26">
        <v>45185</v>
      </c>
      <c r="P318" s="2" t="s">
        <v>805</v>
      </c>
      <c r="Q318" s="2" t="s">
        <v>806</v>
      </c>
    </row>
    <row r="319" spans="2:17" x14ac:dyDescent="0.25">
      <c r="B319" s="2" t="s">
        <v>1123</v>
      </c>
      <c r="C319" s="2" t="s">
        <v>136</v>
      </c>
      <c r="D319" s="2" t="s">
        <v>137</v>
      </c>
      <c r="E319" s="2" t="s">
        <v>122</v>
      </c>
      <c r="F319" s="2" t="s">
        <v>535</v>
      </c>
      <c r="G319" s="2" t="s">
        <v>416</v>
      </c>
      <c r="H319" s="2" t="s">
        <v>94</v>
      </c>
      <c r="I319" s="26">
        <v>45146</v>
      </c>
      <c r="J319" s="2">
        <v>15</v>
      </c>
      <c r="K319" s="2" t="s">
        <v>123</v>
      </c>
      <c r="L319" s="22">
        <v>2100</v>
      </c>
      <c r="M319" s="22">
        <v>31500</v>
      </c>
      <c r="N319" s="18">
        <v>33.69</v>
      </c>
      <c r="O319" s="26">
        <v>45191</v>
      </c>
      <c r="P319" s="2" t="s">
        <v>805</v>
      </c>
      <c r="Q319" s="2" t="s">
        <v>806</v>
      </c>
    </row>
    <row r="320" spans="2:17" x14ac:dyDescent="0.25">
      <c r="B320" s="2" t="s">
        <v>1124</v>
      </c>
      <c r="C320" s="2" t="s">
        <v>136</v>
      </c>
      <c r="D320" s="2" t="s">
        <v>137</v>
      </c>
      <c r="E320" s="2" t="s">
        <v>122</v>
      </c>
      <c r="F320" s="2" t="s">
        <v>535</v>
      </c>
      <c r="G320" s="2" t="s">
        <v>416</v>
      </c>
      <c r="H320" s="2" t="s">
        <v>94</v>
      </c>
      <c r="I320" s="26">
        <v>45155</v>
      </c>
      <c r="J320" s="2">
        <v>16</v>
      </c>
      <c r="K320" s="2" t="s">
        <v>123</v>
      </c>
      <c r="L320" s="22">
        <v>2100</v>
      </c>
      <c r="M320" s="22">
        <v>33600</v>
      </c>
      <c r="N320" s="18">
        <v>35.94</v>
      </c>
      <c r="O320" s="26">
        <v>45200</v>
      </c>
      <c r="P320" s="2" t="s">
        <v>805</v>
      </c>
      <c r="Q320" s="2" t="s">
        <v>806</v>
      </c>
    </row>
    <row r="321" spans="2:17" x14ac:dyDescent="0.25">
      <c r="B321" s="2" t="s">
        <v>1125</v>
      </c>
      <c r="C321" s="2" t="s">
        <v>136</v>
      </c>
      <c r="D321" s="2" t="s">
        <v>137</v>
      </c>
      <c r="E321" s="2" t="s">
        <v>122</v>
      </c>
      <c r="F321" s="2" t="s">
        <v>537</v>
      </c>
      <c r="G321" s="2" t="s">
        <v>420</v>
      </c>
      <c r="H321" s="2" t="s">
        <v>421</v>
      </c>
      <c r="I321" s="26">
        <v>45163</v>
      </c>
      <c r="J321" s="2">
        <v>14</v>
      </c>
      <c r="K321" s="2" t="s">
        <v>123</v>
      </c>
      <c r="L321" s="22">
        <v>2300</v>
      </c>
      <c r="M321" s="22">
        <v>32200</v>
      </c>
      <c r="N321" s="18">
        <v>34.44</v>
      </c>
      <c r="O321" s="26">
        <v>45208</v>
      </c>
      <c r="P321" s="2" t="s">
        <v>805</v>
      </c>
      <c r="Q321" s="2" t="s">
        <v>806</v>
      </c>
    </row>
    <row r="322" spans="2:17" x14ac:dyDescent="0.25">
      <c r="B322" s="2" t="s">
        <v>1126</v>
      </c>
      <c r="C322" s="2" t="s">
        <v>136</v>
      </c>
      <c r="D322" s="2" t="s">
        <v>137</v>
      </c>
      <c r="E322" s="2" t="s">
        <v>122</v>
      </c>
      <c r="F322" s="2" t="s">
        <v>535</v>
      </c>
      <c r="G322" s="2" t="s">
        <v>416</v>
      </c>
      <c r="H322" s="2" t="s">
        <v>94</v>
      </c>
      <c r="I322" s="26">
        <v>45173</v>
      </c>
      <c r="J322" s="2">
        <v>16</v>
      </c>
      <c r="K322" s="2" t="s">
        <v>123</v>
      </c>
      <c r="L322" s="22">
        <v>2100</v>
      </c>
      <c r="M322" s="22">
        <v>33600</v>
      </c>
      <c r="N322" s="18">
        <v>35.94</v>
      </c>
      <c r="O322" s="26">
        <v>45218</v>
      </c>
      <c r="P322" s="2" t="s">
        <v>805</v>
      </c>
      <c r="Q322" s="2" t="s">
        <v>814</v>
      </c>
    </row>
    <row r="323" spans="2:17" x14ac:dyDescent="0.25">
      <c r="B323" s="2" t="s">
        <v>1127</v>
      </c>
      <c r="C323" s="2" t="s">
        <v>136</v>
      </c>
      <c r="D323" s="2" t="s">
        <v>137</v>
      </c>
      <c r="E323" s="2" t="s">
        <v>122</v>
      </c>
      <c r="F323" s="2" t="s">
        <v>535</v>
      </c>
      <c r="G323" s="2" t="s">
        <v>416</v>
      </c>
      <c r="H323" s="2" t="s">
        <v>94</v>
      </c>
      <c r="I323" s="26">
        <v>45184</v>
      </c>
      <c r="J323" s="2">
        <v>21</v>
      </c>
      <c r="K323" s="2" t="s">
        <v>123</v>
      </c>
      <c r="L323" s="22">
        <v>2100</v>
      </c>
      <c r="M323" s="22">
        <v>44100</v>
      </c>
      <c r="N323" s="18">
        <v>47.17</v>
      </c>
      <c r="O323" s="26">
        <v>45229</v>
      </c>
      <c r="P323" s="2" t="s">
        <v>805</v>
      </c>
      <c r="Q323" s="2" t="s">
        <v>814</v>
      </c>
    </row>
    <row r="324" spans="2:17" x14ac:dyDescent="0.25">
      <c r="B324" s="2" t="s">
        <v>1128</v>
      </c>
      <c r="C324" s="2" t="s">
        <v>136</v>
      </c>
      <c r="D324" s="2" t="s">
        <v>137</v>
      </c>
      <c r="E324" s="2" t="s">
        <v>122</v>
      </c>
      <c r="F324" s="2" t="s">
        <v>535</v>
      </c>
      <c r="G324" s="2" t="s">
        <v>416</v>
      </c>
      <c r="H324" s="2" t="s">
        <v>94</v>
      </c>
      <c r="I324" s="26">
        <v>45194</v>
      </c>
      <c r="J324" s="2">
        <v>19</v>
      </c>
      <c r="K324" s="2" t="s">
        <v>123</v>
      </c>
      <c r="L324" s="22">
        <v>2100</v>
      </c>
      <c r="M324" s="22">
        <v>39900</v>
      </c>
      <c r="N324" s="18">
        <v>42.67</v>
      </c>
      <c r="O324" s="26">
        <v>45239</v>
      </c>
      <c r="P324" s="2" t="s">
        <v>805</v>
      </c>
      <c r="Q324" s="2" t="s">
        <v>814</v>
      </c>
    </row>
    <row r="325" spans="2:17" x14ac:dyDescent="0.25">
      <c r="B325" s="2" t="s">
        <v>1129</v>
      </c>
      <c r="C325" s="2" t="s">
        <v>136</v>
      </c>
      <c r="D325" s="2" t="s">
        <v>137</v>
      </c>
      <c r="E325" s="2" t="s">
        <v>122</v>
      </c>
      <c r="F325" s="2" t="s">
        <v>535</v>
      </c>
      <c r="G325" s="2" t="s">
        <v>416</v>
      </c>
      <c r="H325" s="2" t="s">
        <v>94</v>
      </c>
      <c r="I325" s="26">
        <v>45203</v>
      </c>
      <c r="J325" s="2">
        <v>35</v>
      </c>
      <c r="K325" s="2" t="s">
        <v>123</v>
      </c>
      <c r="L325" s="22">
        <v>2100</v>
      </c>
      <c r="M325" s="22">
        <v>73500</v>
      </c>
      <c r="N325" s="18">
        <v>78.61</v>
      </c>
      <c r="O325" s="26">
        <v>45248</v>
      </c>
      <c r="P325" s="2" t="s">
        <v>805</v>
      </c>
      <c r="Q325" s="2" t="s">
        <v>814</v>
      </c>
    </row>
    <row r="326" spans="2:17" x14ac:dyDescent="0.25">
      <c r="B326" s="2" t="s">
        <v>1130</v>
      </c>
      <c r="C326" s="2" t="s">
        <v>136</v>
      </c>
      <c r="D326" s="2" t="s">
        <v>137</v>
      </c>
      <c r="E326" s="2" t="s">
        <v>122</v>
      </c>
      <c r="F326" s="2" t="s">
        <v>535</v>
      </c>
      <c r="G326" s="2" t="s">
        <v>416</v>
      </c>
      <c r="H326" s="2" t="s">
        <v>94</v>
      </c>
      <c r="I326" s="26">
        <v>45213</v>
      </c>
      <c r="J326" s="2">
        <v>40</v>
      </c>
      <c r="K326" s="2" t="s">
        <v>123</v>
      </c>
      <c r="L326" s="22">
        <v>2100</v>
      </c>
      <c r="M326" s="22">
        <v>84000</v>
      </c>
      <c r="N326" s="18">
        <v>89.84</v>
      </c>
      <c r="O326" s="26">
        <v>45258</v>
      </c>
      <c r="P326" s="2" t="s">
        <v>805</v>
      </c>
      <c r="Q326" s="2" t="s">
        <v>814</v>
      </c>
    </row>
    <row r="327" spans="2:17" x14ac:dyDescent="0.25">
      <c r="B327" s="2" t="s">
        <v>1131</v>
      </c>
      <c r="C327" s="2" t="s">
        <v>136</v>
      </c>
      <c r="D327" s="2" t="s">
        <v>137</v>
      </c>
      <c r="E327" s="2" t="s">
        <v>122</v>
      </c>
      <c r="F327" s="2" t="s">
        <v>535</v>
      </c>
      <c r="G327" s="2" t="s">
        <v>416</v>
      </c>
      <c r="H327" s="2" t="s">
        <v>94</v>
      </c>
      <c r="I327" s="26">
        <v>45223</v>
      </c>
      <c r="J327" s="2">
        <v>39</v>
      </c>
      <c r="K327" s="2" t="s">
        <v>123</v>
      </c>
      <c r="L327" s="22">
        <v>2100</v>
      </c>
      <c r="M327" s="22">
        <v>81900</v>
      </c>
      <c r="N327" s="18">
        <v>87.59</v>
      </c>
      <c r="O327" s="26">
        <v>45268</v>
      </c>
      <c r="P327" s="2" t="s">
        <v>805</v>
      </c>
      <c r="Q327" s="2" t="s">
        <v>814</v>
      </c>
    </row>
    <row r="328" spans="2:17" x14ac:dyDescent="0.25">
      <c r="B328" s="2" t="s">
        <v>1132</v>
      </c>
      <c r="C328" s="2" t="s">
        <v>136</v>
      </c>
      <c r="D328" s="2" t="s">
        <v>137</v>
      </c>
      <c r="E328" s="2" t="s">
        <v>122</v>
      </c>
      <c r="F328" s="2" t="s">
        <v>535</v>
      </c>
      <c r="G328" s="2" t="s">
        <v>416</v>
      </c>
      <c r="H328" s="2" t="s">
        <v>94</v>
      </c>
      <c r="I328" s="26">
        <v>45233</v>
      </c>
      <c r="J328" s="2">
        <v>40</v>
      </c>
      <c r="K328" s="2" t="s">
        <v>123</v>
      </c>
      <c r="L328" s="22">
        <v>2100</v>
      </c>
      <c r="M328" s="22">
        <v>84000</v>
      </c>
      <c r="N328" s="18">
        <v>89.84</v>
      </c>
      <c r="O328" s="26">
        <v>45278</v>
      </c>
      <c r="P328" s="2" t="s">
        <v>805</v>
      </c>
      <c r="Q328" s="2" t="s">
        <v>814</v>
      </c>
    </row>
    <row r="329" spans="2:17" x14ac:dyDescent="0.25">
      <c r="B329" s="2" t="s">
        <v>1133</v>
      </c>
      <c r="C329" s="2" t="s">
        <v>136</v>
      </c>
      <c r="D329" s="2" t="s">
        <v>137</v>
      </c>
      <c r="E329" s="2" t="s">
        <v>122</v>
      </c>
      <c r="F329" s="2" t="s">
        <v>535</v>
      </c>
      <c r="G329" s="2" t="s">
        <v>416</v>
      </c>
      <c r="H329" s="2" t="s">
        <v>94</v>
      </c>
      <c r="I329" s="26">
        <v>45241</v>
      </c>
      <c r="J329" s="2">
        <v>39</v>
      </c>
      <c r="K329" s="2" t="s">
        <v>123</v>
      </c>
      <c r="L329" s="22">
        <v>2100</v>
      </c>
      <c r="M329" s="22">
        <v>81900</v>
      </c>
      <c r="N329" s="18">
        <v>87.59</v>
      </c>
      <c r="O329" s="26">
        <v>45286</v>
      </c>
      <c r="P329" s="2" t="s">
        <v>805</v>
      </c>
      <c r="Q329" s="2" t="s">
        <v>814</v>
      </c>
    </row>
    <row r="330" spans="2:17" x14ac:dyDescent="0.25">
      <c r="B330" s="2" t="s">
        <v>1134</v>
      </c>
      <c r="C330" s="2" t="s">
        <v>136</v>
      </c>
      <c r="D330" s="2" t="s">
        <v>137</v>
      </c>
      <c r="E330" s="2" t="s">
        <v>122</v>
      </c>
      <c r="F330" s="2" t="s">
        <v>535</v>
      </c>
      <c r="G330" s="2" t="s">
        <v>416</v>
      </c>
      <c r="H330" s="2" t="s">
        <v>94</v>
      </c>
      <c r="I330" s="26">
        <v>45253</v>
      </c>
      <c r="J330" s="2">
        <v>46</v>
      </c>
      <c r="K330" s="2" t="s">
        <v>123</v>
      </c>
      <c r="L330" s="22">
        <v>2100</v>
      </c>
      <c r="M330" s="22">
        <v>96600</v>
      </c>
      <c r="N330" s="18">
        <v>103.32</v>
      </c>
      <c r="O330" s="26">
        <v>45298</v>
      </c>
      <c r="P330" s="2" t="s">
        <v>805</v>
      </c>
      <c r="Q330" s="2" t="s">
        <v>814</v>
      </c>
    </row>
    <row r="331" spans="2:17" x14ac:dyDescent="0.25">
      <c r="B331" s="2" t="s">
        <v>1135</v>
      </c>
      <c r="C331" s="2" t="s">
        <v>136</v>
      </c>
      <c r="D331" s="2" t="s">
        <v>137</v>
      </c>
      <c r="E331" s="2" t="s">
        <v>122</v>
      </c>
      <c r="F331" s="2" t="s">
        <v>535</v>
      </c>
      <c r="G331" s="2" t="s">
        <v>416</v>
      </c>
      <c r="H331" s="2" t="s">
        <v>94</v>
      </c>
      <c r="I331" s="26">
        <v>45265</v>
      </c>
      <c r="J331" s="2">
        <v>52</v>
      </c>
      <c r="K331" s="2" t="s">
        <v>123</v>
      </c>
      <c r="L331" s="22">
        <v>2100</v>
      </c>
      <c r="M331" s="22">
        <v>109200</v>
      </c>
      <c r="N331" s="18">
        <v>116.79</v>
      </c>
      <c r="O331" s="26">
        <v>45310</v>
      </c>
      <c r="P331" s="2" t="s">
        <v>805</v>
      </c>
      <c r="Q331" s="2" t="s">
        <v>825</v>
      </c>
    </row>
    <row r="332" spans="2:17" x14ac:dyDescent="0.25">
      <c r="B332" s="2" t="s">
        <v>1136</v>
      </c>
      <c r="C332" s="2" t="s">
        <v>136</v>
      </c>
      <c r="D332" s="2" t="s">
        <v>137</v>
      </c>
      <c r="E332" s="2" t="s">
        <v>122</v>
      </c>
      <c r="F332" s="2" t="s">
        <v>535</v>
      </c>
      <c r="G332" s="2" t="s">
        <v>416</v>
      </c>
      <c r="H332" s="2" t="s">
        <v>94</v>
      </c>
      <c r="I332" s="26">
        <v>45277</v>
      </c>
      <c r="J332" s="2">
        <v>48</v>
      </c>
      <c r="K332" s="2" t="s">
        <v>123</v>
      </c>
      <c r="L332" s="22">
        <v>2100</v>
      </c>
      <c r="M332" s="22">
        <v>100800</v>
      </c>
      <c r="N332" s="18">
        <v>107.81</v>
      </c>
      <c r="O332" s="26">
        <v>45322</v>
      </c>
      <c r="P332" s="2" t="s">
        <v>805</v>
      </c>
      <c r="Q332" s="2" t="s">
        <v>825</v>
      </c>
    </row>
    <row r="333" spans="2:17" x14ac:dyDescent="0.25">
      <c r="B333" s="2" t="s">
        <v>1137</v>
      </c>
      <c r="C333" s="2" t="s">
        <v>136</v>
      </c>
      <c r="D333" s="2" t="s">
        <v>137</v>
      </c>
      <c r="E333" s="2" t="s">
        <v>122</v>
      </c>
      <c r="F333" s="2" t="s">
        <v>535</v>
      </c>
      <c r="G333" s="2" t="s">
        <v>416</v>
      </c>
      <c r="H333" s="2" t="s">
        <v>94</v>
      </c>
      <c r="I333" s="26">
        <v>45284</v>
      </c>
      <c r="J333" s="2">
        <v>57</v>
      </c>
      <c r="K333" s="2" t="s">
        <v>123</v>
      </c>
      <c r="L333" s="22">
        <v>2100</v>
      </c>
      <c r="M333" s="22">
        <v>119700</v>
      </c>
      <c r="N333" s="18">
        <v>128.02000000000001</v>
      </c>
      <c r="O333" s="26">
        <v>45329</v>
      </c>
      <c r="P333" s="2" t="s">
        <v>805</v>
      </c>
      <c r="Q333" s="2" t="s">
        <v>825</v>
      </c>
    </row>
    <row r="334" spans="2:17" x14ac:dyDescent="0.25">
      <c r="B334" s="2" t="s">
        <v>1138</v>
      </c>
      <c r="C334" s="2" t="s">
        <v>136</v>
      </c>
      <c r="D334" s="2" t="s">
        <v>137</v>
      </c>
      <c r="E334" s="2" t="s">
        <v>122</v>
      </c>
      <c r="F334" s="2" t="s">
        <v>535</v>
      </c>
      <c r="G334" s="2" t="s">
        <v>416</v>
      </c>
      <c r="H334" s="2" t="s">
        <v>94</v>
      </c>
      <c r="I334" s="26">
        <v>45294</v>
      </c>
      <c r="J334" s="2">
        <v>42</v>
      </c>
      <c r="K334" s="2" t="s">
        <v>123</v>
      </c>
      <c r="L334" s="22">
        <v>2100</v>
      </c>
      <c r="M334" s="22">
        <v>88200</v>
      </c>
      <c r="N334" s="18">
        <v>94.33</v>
      </c>
      <c r="O334" s="26">
        <v>45339</v>
      </c>
      <c r="P334" s="2" t="s">
        <v>805</v>
      </c>
      <c r="Q334" s="2" t="s">
        <v>825</v>
      </c>
    </row>
    <row r="335" spans="2:17" x14ac:dyDescent="0.25">
      <c r="B335" s="2" t="s">
        <v>1139</v>
      </c>
      <c r="C335" s="2" t="s">
        <v>136</v>
      </c>
      <c r="D335" s="2" t="s">
        <v>137</v>
      </c>
      <c r="E335" s="2" t="s">
        <v>122</v>
      </c>
      <c r="F335" s="2" t="s">
        <v>535</v>
      </c>
      <c r="G335" s="2" t="s">
        <v>416</v>
      </c>
      <c r="H335" s="2" t="s">
        <v>94</v>
      </c>
      <c r="I335" s="26">
        <v>45305</v>
      </c>
      <c r="J335" s="2">
        <v>43</v>
      </c>
      <c r="K335" s="2" t="s">
        <v>123</v>
      </c>
      <c r="L335" s="22">
        <v>2100</v>
      </c>
      <c r="M335" s="22">
        <v>90300</v>
      </c>
      <c r="N335" s="18">
        <v>96.58</v>
      </c>
      <c r="O335" s="26">
        <v>45350</v>
      </c>
      <c r="P335" s="2" t="s">
        <v>805</v>
      </c>
      <c r="Q335" s="2" t="s">
        <v>825</v>
      </c>
    </row>
    <row r="336" spans="2:17" x14ac:dyDescent="0.25">
      <c r="B336" s="2" t="s">
        <v>1140</v>
      </c>
      <c r="C336" s="2" t="s">
        <v>136</v>
      </c>
      <c r="D336" s="2" t="s">
        <v>137</v>
      </c>
      <c r="E336" s="2" t="s">
        <v>122</v>
      </c>
      <c r="F336" s="2" t="s">
        <v>535</v>
      </c>
      <c r="G336" s="2" t="s">
        <v>416</v>
      </c>
      <c r="H336" s="2" t="s">
        <v>94</v>
      </c>
      <c r="I336" s="26">
        <v>45314</v>
      </c>
      <c r="J336" s="2">
        <v>34</v>
      </c>
      <c r="K336" s="2" t="s">
        <v>123</v>
      </c>
      <c r="L336" s="22">
        <v>2100</v>
      </c>
      <c r="M336" s="22">
        <v>71400</v>
      </c>
      <c r="N336" s="18">
        <v>76.36</v>
      </c>
      <c r="O336" s="26">
        <v>45359</v>
      </c>
      <c r="P336" s="2" t="s">
        <v>805</v>
      </c>
      <c r="Q336" s="2" t="s">
        <v>825</v>
      </c>
    </row>
    <row r="337" spans="2:17" x14ac:dyDescent="0.25">
      <c r="B337" s="2" t="s">
        <v>1141</v>
      </c>
      <c r="C337" s="2" t="s">
        <v>136</v>
      </c>
      <c r="D337" s="2" t="s">
        <v>137</v>
      </c>
      <c r="E337" s="2" t="s">
        <v>122</v>
      </c>
      <c r="F337" s="2" t="s">
        <v>535</v>
      </c>
      <c r="G337" s="2" t="s">
        <v>416</v>
      </c>
      <c r="H337" s="2" t="s">
        <v>94</v>
      </c>
      <c r="I337" s="26">
        <v>45324</v>
      </c>
      <c r="J337" s="2">
        <v>36</v>
      </c>
      <c r="K337" s="2" t="s">
        <v>123</v>
      </c>
      <c r="L337" s="22">
        <v>2100</v>
      </c>
      <c r="M337" s="22">
        <v>75600</v>
      </c>
      <c r="N337" s="18">
        <v>80.86</v>
      </c>
      <c r="O337" s="26">
        <v>45369</v>
      </c>
      <c r="P337" s="2" t="s">
        <v>805</v>
      </c>
      <c r="Q337" s="2" t="s">
        <v>825</v>
      </c>
    </row>
    <row r="338" spans="2:17" x14ac:dyDescent="0.25">
      <c r="B338" s="2" t="s">
        <v>1142</v>
      </c>
      <c r="C338" s="2" t="s">
        <v>136</v>
      </c>
      <c r="D338" s="2" t="s">
        <v>137</v>
      </c>
      <c r="E338" s="2" t="s">
        <v>122</v>
      </c>
      <c r="F338" s="2" t="s">
        <v>535</v>
      </c>
      <c r="G338" s="2" t="s">
        <v>416</v>
      </c>
      <c r="H338" s="2" t="s">
        <v>94</v>
      </c>
      <c r="I338" s="26">
        <v>45335</v>
      </c>
      <c r="J338" s="2">
        <v>45</v>
      </c>
      <c r="K338" s="2" t="s">
        <v>123</v>
      </c>
      <c r="L338" s="22">
        <v>2100</v>
      </c>
      <c r="M338" s="22">
        <v>94500</v>
      </c>
      <c r="N338" s="18">
        <v>101.07</v>
      </c>
      <c r="O338" s="26">
        <v>45380</v>
      </c>
      <c r="P338" s="2" t="s">
        <v>805</v>
      </c>
      <c r="Q338" s="2" t="s">
        <v>825</v>
      </c>
    </row>
    <row r="339" spans="2:17" x14ac:dyDescent="0.25">
      <c r="B339" s="2" t="s">
        <v>1143</v>
      </c>
      <c r="C339" s="2" t="s">
        <v>136</v>
      </c>
      <c r="D339" s="2" t="s">
        <v>137</v>
      </c>
      <c r="E339" s="2" t="s">
        <v>122</v>
      </c>
      <c r="F339" s="2" t="s">
        <v>535</v>
      </c>
      <c r="G339" s="2" t="s">
        <v>416</v>
      </c>
      <c r="H339" s="2" t="s">
        <v>94</v>
      </c>
      <c r="I339" s="26">
        <v>45346</v>
      </c>
      <c r="J339" s="2">
        <v>36</v>
      </c>
      <c r="K339" s="2" t="s">
        <v>123</v>
      </c>
      <c r="L339" s="22">
        <v>2100</v>
      </c>
      <c r="M339" s="22">
        <v>75600</v>
      </c>
      <c r="N339" s="18">
        <v>80.86</v>
      </c>
      <c r="O339" s="26">
        <v>45391</v>
      </c>
      <c r="P339" s="2" t="s">
        <v>805</v>
      </c>
      <c r="Q339" s="2" t="s">
        <v>825</v>
      </c>
    </row>
    <row r="340" spans="2:17" x14ac:dyDescent="0.25">
      <c r="B340" s="2" t="s">
        <v>1144</v>
      </c>
      <c r="C340" s="2" t="s">
        <v>136</v>
      </c>
      <c r="D340" s="2" t="s">
        <v>137</v>
      </c>
      <c r="E340" s="2" t="s">
        <v>122</v>
      </c>
      <c r="F340" s="2" t="s">
        <v>535</v>
      </c>
      <c r="G340" s="2" t="s">
        <v>416</v>
      </c>
      <c r="H340" s="2" t="s">
        <v>94</v>
      </c>
      <c r="I340" s="26">
        <v>45354</v>
      </c>
      <c r="J340" s="2">
        <v>34</v>
      </c>
      <c r="K340" s="2" t="s">
        <v>123</v>
      </c>
      <c r="L340" s="22">
        <v>2100</v>
      </c>
      <c r="M340" s="22">
        <v>71400</v>
      </c>
      <c r="N340" s="18">
        <v>76.36</v>
      </c>
      <c r="O340" s="26">
        <v>45399</v>
      </c>
      <c r="P340" s="2" t="s">
        <v>805</v>
      </c>
      <c r="Q340" s="2" t="s">
        <v>836</v>
      </c>
    </row>
    <row r="341" spans="2:17" x14ac:dyDescent="0.25">
      <c r="B341" s="2" t="s">
        <v>1145</v>
      </c>
      <c r="C341" s="2" t="s">
        <v>136</v>
      </c>
      <c r="D341" s="2" t="s">
        <v>137</v>
      </c>
      <c r="E341" s="2" t="s">
        <v>122</v>
      </c>
      <c r="F341" s="2" t="s">
        <v>535</v>
      </c>
      <c r="G341" s="2" t="s">
        <v>416</v>
      </c>
      <c r="H341" s="2" t="s">
        <v>94</v>
      </c>
      <c r="I341" s="26">
        <v>45362</v>
      </c>
      <c r="J341" s="2">
        <v>41</v>
      </c>
      <c r="K341" s="2" t="s">
        <v>123</v>
      </c>
      <c r="L341" s="22">
        <v>2100</v>
      </c>
      <c r="M341" s="22">
        <v>86100</v>
      </c>
      <c r="N341" s="18">
        <v>92.09</v>
      </c>
      <c r="O341" s="26">
        <v>45407</v>
      </c>
      <c r="P341" s="2" t="s">
        <v>805</v>
      </c>
      <c r="Q341" s="2" t="s">
        <v>836</v>
      </c>
    </row>
    <row r="342" spans="2:17" x14ac:dyDescent="0.25">
      <c r="B342" s="2" t="s">
        <v>1146</v>
      </c>
      <c r="C342" s="2" t="s">
        <v>136</v>
      </c>
      <c r="D342" s="2" t="s">
        <v>137</v>
      </c>
      <c r="E342" s="2" t="s">
        <v>122</v>
      </c>
      <c r="F342" s="2" t="s">
        <v>535</v>
      </c>
      <c r="G342" s="2" t="s">
        <v>416</v>
      </c>
      <c r="H342" s="2" t="s">
        <v>94</v>
      </c>
      <c r="I342" s="26">
        <v>45374</v>
      </c>
      <c r="J342" s="2">
        <v>39</v>
      </c>
      <c r="K342" s="2" t="s">
        <v>123</v>
      </c>
      <c r="L342" s="22">
        <v>2100</v>
      </c>
      <c r="M342" s="22">
        <v>81900</v>
      </c>
      <c r="N342" s="18">
        <v>87.59</v>
      </c>
      <c r="O342" s="26">
        <v>45419</v>
      </c>
      <c r="P342" s="2" t="s">
        <v>805</v>
      </c>
      <c r="Q342" s="2" t="s">
        <v>836</v>
      </c>
    </row>
    <row r="343" spans="2:17" x14ac:dyDescent="0.25">
      <c r="B343" s="2" t="s">
        <v>1147</v>
      </c>
      <c r="C343" s="2" t="s">
        <v>136</v>
      </c>
      <c r="D343" s="2" t="s">
        <v>137</v>
      </c>
      <c r="E343" s="2" t="s">
        <v>122</v>
      </c>
      <c r="F343" s="2" t="s">
        <v>535</v>
      </c>
      <c r="G343" s="2" t="s">
        <v>416</v>
      </c>
      <c r="H343" s="2" t="s">
        <v>94</v>
      </c>
      <c r="I343" s="26">
        <v>45387</v>
      </c>
      <c r="J343" s="2">
        <v>16</v>
      </c>
      <c r="K343" s="2" t="s">
        <v>123</v>
      </c>
      <c r="L343" s="22">
        <v>2100</v>
      </c>
      <c r="M343" s="22">
        <v>33600</v>
      </c>
      <c r="N343" s="18">
        <v>35.94</v>
      </c>
      <c r="O343" s="26">
        <v>45432</v>
      </c>
      <c r="P343" s="2" t="s">
        <v>805</v>
      </c>
      <c r="Q343" s="2" t="s">
        <v>836</v>
      </c>
    </row>
    <row r="344" spans="2:17" x14ac:dyDescent="0.25">
      <c r="B344" s="2" t="s">
        <v>1148</v>
      </c>
      <c r="C344" s="2" t="s">
        <v>136</v>
      </c>
      <c r="D344" s="2" t="s">
        <v>137</v>
      </c>
      <c r="E344" s="2" t="s">
        <v>122</v>
      </c>
      <c r="F344" s="2" t="s">
        <v>535</v>
      </c>
      <c r="G344" s="2" t="s">
        <v>416</v>
      </c>
      <c r="H344" s="2" t="s">
        <v>94</v>
      </c>
      <c r="I344" s="26">
        <v>45395</v>
      </c>
      <c r="J344" s="2">
        <v>15</v>
      </c>
      <c r="K344" s="2" t="s">
        <v>123</v>
      </c>
      <c r="L344" s="22">
        <v>2100</v>
      </c>
      <c r="M344" s="22">
        <v>31500</v>
      </c>
      <c r="N344" s="18">
        <v>33.69</v>
      </c>
      <c r="O344" s="26">
        <v>45440</v>
      </c>
      <c r="P344" s="2" t="s">
        <v>805</v>
      </c>
      <c r="Q344" s="2" t="s">
        <v>836</v>
      </c>
    </row>
    <row r="345" spans="2:17" x14ac:dyDescent="0.25">
      <c r="B345" s="2" t="s">
        <v>1149</v>
      </c>
      <c r="C345" s="2" t="s">
        <v>136</v>
      </c>
      <c r="D345" s="2" t="s">
        <v>137</v>
      </c>
      <c r="E345" s="2" t="s">
        <v>122</v>
      </c>
      <c r="F345" s="2" t="s">
        <v>535</v>
      </c>
      <c r="G345" s="2" t="s">
        <v>416</v>
      </c>
      <c r="H345" s="2" t="s">
        <v>94</v>
      </c>
      <c r="I345" s="26">
        <v>45404</v>
      </c>
      <c r="J345" s="2">
        <v>16</v>
      </c>
      <c r="K345" s="2" t="s">
        <v>123</v>
      </c>
      <c r="L345" s="22">
        <v>2100</v>
      </c>
      <c r="M345" s="22">
        <v>33600</v>
      </c>
      <c r="N345" s="18">
        <v>35.94</v>
      </c>
      <c r="O345" s="26">
        <v>45449</v>
      </c>
      <c r="P345" s="2" t="s">
        <v>805</v>
      </c>
      <c r="Q345" s="2" t="s">
        <v>836</v>
      </c>
    </row>
    <row r="346" spans="2:17" x14ac:dyDescent="0.25">
      <c r="B346" s="2" t="s">
        <v>1150</v>
      </c>
      <c r="C346" s="2" t="s">
        <v>136</v>
      </c>
      <c r="D346" s="2" t="s">
        <v>137</v>
      </c>
      <c r="E346" s="2" t="s">
        <v>122</v>
      </c>
      <c r="F346" s="2" t="s">
        <v>535</v>
      </c>
      <c r="G346" s="2" t="s">
        <v>416</v>
      </c>
      <c r="H346" s="2" t="s">
        <v>94</v>
      </c>
      <c r="I346" s="26">
        <v>45414</v>
      </c>
      <c r="J346" s="2">
        <v>14</v>
      </c>
      <c r="K346" s="2" t="s">
        <v>123</v>
      </c>
      <c r="L346" s="22">
        <v>2100</v>
      </c>
      <c r="M346" s="22">
        <v>29400</v>
      </c>
      <c r="N346" s="18">
        <v>31.44</v>
      </c>
      <c r="O346" s="26">
        <v>45459</v>
      </c>
      <c r="P346" s="2" t="s">
        <v>805</v>
      </c>
      <c r="Q346" s="2" t="s">
        <v>836</v>
      </c>
    </row>
    <row r="347" spans="2:17" x14ac:dyDescent="0.25">
      <c r="B347" s="2" t="s">
        <v>1151</v>
      </c>
      <c r="C347" s="2" t="s">
        <v>136</v>
      </c>
      <c r="D347" s="2" t="s">
        <v>137</v>
      </c>
      <c r="E347" s="2" t="s">
        <v>122</v>
      </c>
      <c r="F347" s="2" t="s">
        <v>535</v>
      </c>
      <c r="G347" s="2" t="s">
        <v>416</v>
      </c>
      <c r="H347" s="2" t="s">
        <v>94</v>
      </c>
      <c r="I347" s="26">
        <v>45423</v>
      </c>
      <c r="J347" s="2">
        <v>15</v>
      </c>
      <c r="K347" s="2" t="s">
        <v>123</v>
      </c>
      <c r="L347" s="22">
        <v>2100</v>
      </c>
      <c r="M347" s="22">
        <v>31500</v>
      </c>
      <c r="N347" s="18">
        <v>33.69</v>
      </c>
      <c r="O347" s="26">
        <v>45468</v>
      </c>
      <c r="P347" s="2" t="s">
        <v>805</v>
      </c>
      <c r="Q347" s="2" t="s">
        <v>836</v>
      </c>
    </row>
    <row r="348" spans="2:17" x14ac:dyDescent="0.25">
      <c r="B348" s="2" t="s">
        <v>1152</v>
      </c>
      <c r="C348" s="2" t="s">
        <v>136</v>
      </c>
      <c r="D348" s="2" t="s">
        <v>137</v>
      </c>
      <c r="E348" s="2" t="s">
        <v>122</v>
      </c>
      <c r="F348" s="2" t="s">
        <v>537</v>
      </c>
      <c r="G348" s="2" t="s">
        <v>420</v>
      </c>
      <c r="H348" s="2" t="s">
        <v>421</v>
      </c>
      <c r="I348" s="26">
        <v>45432</v>
      </c>
      <c r="J348" s="2">
        <v>15</v>
      </c>
      <c r="K348" s="2" t="s">
        <v>123</v>
      </c>
      <c r="L348" s="22">
        <v>2300</v>
      </c>
      <c r="M348" s="22">
        <v>34500</v>
      </c>
      <c r="N348" s="18">
        <v>36.9</v>
      </c>
      <c r="O348" s="26">
        <v>45477</v>
      </c>
      <c r="P348" s="2" t="s">
        <v>805</v>
      </c>
      <c r="Q348" s="2" t="s">
        <v>836</v>
      </c>
    </row>
    <row r="349" spans="2:17" x14ac:dyDescent="0.25">
      <c r="B349" s="2" t="s">
        <v>1153</v>
      </c>
      <c r="C349" s="2" t="s">
        <v>136</v>
      </c>
      <c r="D349" s="2" t="s">
        <v>137</v>
      </c>
      <c r="E349" s="2" t="s">
        <v>122</v>
      </c>
      <c r="F349" s="2" t="s">
        <v>535</v>
      </c>
      <c r="G349" s="2" t="s">
        <v>416</v>
      </c>
      <c r="H349" s="2" t="s">
        <v>94</v>
      </c>
      <c r="I349" s="26">
        <v>45441</v>
      </c>
      <c r="J349" s="2">
        <v>16</v>
      </c>
      <c r="K349" s="2" t="s">
        <v>123</v>
      </c>
      <c r="L349" s="22">
        <v>2100</v>
      </c>
      <c r="M349" s="22">
        <v>33600</v>
      </c>
      <c r="N349" s="18">
        <v>35.94</v>
      </c>
      <c r="O349" s="26">
        <v>45486</v>
      </c>
      <c r="P349" s="2" t="s">
        <v>805</v>
      </c>
      <c r="Q349" s="2" t="s">
        <v>836</v>
      </c>
    </row>
    <row r="350" spans="2:17" x14ac:dyDescent="0.25">
      <c r="B350" s="2" t="s">
        <v>1154</v>
      </c>
      <c r="C350" s="2" t="s">
        <v>136</v>
      </c>
      <c r="D350" s="2" t="s">
        <v>137</v>
      </c>
      <c r="E350" s="2" t="s">
        <v>122</v>
      </c>
      <c r="F350" s="2" t="s">
        <v>535</v>
      </c>
      <c r="G350" s="2" t="s">
        <v>416</v>
      </c>
      <c r="H350" s="2" t="s">
        <v>94</v>
      </c>
      <c r="I350" s="26">
        <v>45450</v>
      </c>
      <c r="J350" s="2">
        <v>15</v>
      </c>
      <c r="K350" s="2" t="s">
        <v>123</v>
      </c>
      <c r="L350" s="22">
        <v>2100</v>
      </c>
      <c r="M350" s="22">
        <v>31500</v>
      </c>
      <c r="N350" s="18">
        <v>33.69</v>
      </c>
      <c r="O350" s="26">
        <v>45495</v>
      </c>
      <c r="P350" s="2" t="s">
        <v>805</v>
      </c>
      <c r="Q350" s="2" t="s">
        <v>806</v>
      </c>
    </row>
    <row r="351" spans="2:17" x14ac:dyDescent="0.25">
      <c r="B351" s="2" t="s">
        <v>1155</v>
      </c>
      <c r="C351" s="2" t="s">
        <v>136</v>
      </c>
      <c r="D351" s="2" t="s">
        <v>137</v>
      </c>
      <c r="E351" s="2" t="s">
        <v>122</v>
      </c>
      <c r="F351" s="2" t="s">
        <v>535</v>
      </c>
      <c r="G351" s="2" t="s">
        <v>416</v>
      </c>
      <c r="H351" s="2" t="s">
        <v>94</v>
      </c>
      <c r="I351" s="26">
        <v>45457</v>
      </c>
      <c r="J351" s="2">
        <v>16</v>
      </c>
      <c r="K351" s="2" t="s">
        <v>123</v>
      </c>
      <c r="L351" s="22">
        <v>2100</v>
      </c>
      <c r="M351" s="22">
        <v>33600</v>
      </c>
      <c r="N351" s="18">
        <v>35.94</v>
      </c>
      <c r="O351" s="26">
        <v>45502</v>
      </c>
      <c r="P351" s="2" t="s">
        <v>805</v>
      </c>
      <c r="Q351" s="2" t="s">
        <v>806</v>
      </c>
    </row>
    <row r="352" spans="2:17" x14ac:dyDescent="0.25">
      <c r="B352" s="2" t="s">
        <v>1156</v>
      </c>
      <c r="C352" s="2" t="s">
        <v>136</v>
      </c>
      <c r="D352" s="2" t="s">
        <v>137</v>
      </c>
      <c r="E352" s="2" t="s">
        <v>122</v>
      </c>
      <c r="F352" s="2" t="s">
        <v>535</v>
      </c>
      <c r="G352" s="2" t="s">
        <v>416</v>
      </c>
      <c r="H352" s="2" t="s">
        <v>94</v>
      </c>
      <c r="I352" s="26">
        <v>45464</v>
      </c>
      <c r="J352" s="2">
        <v>14</v>
      </c>
      <c r="K352" s="2" t="s">
        <v>123</v>
      </c>
      <c r="L352" s="22">
        <v>2100</v>
      </c>
      <c r="M352" s="22">
        <v>29400</v>
      </c>
      <c r="N352" s="18">
        <v>31.44</v>
      </c>
      <c r="O352" s="26">
        <v>45509</v>
      </c>
      <c r="P352" s="2" t="s">
        <v>805</v>
      </c>
      <c r="Q352" s="2" t="s">
        <v>806</v>
      </c>
    </row>
    <row r="353" spans="2:17" x14ac:dyDescent="0.25">
      <c r="B353" s="2" t="s">
        <v>1157</v>
      </c>
      <c r="C353" s="2" t="s">
        <v>136</v>
      </c>
      <c r="D353" s="2" t="s">
        <v>137</v>
      </c>
      <c r="E353" s="2" t="s">
        <v>122</v>
      </c>
      <c r="F353" s="2" t="s">
        <v>535</v>
      </c>
      <c r="G353" s="2" t="s">
        <v>416</v>
      </c>
      <c r="H353" s="2" t="s">
        <v>94</v>
      </c>
      <c r="I353" s="26">
        <v>45474</v>
      </c>
      <c r="J353" s="2">
        <v>13</v>
      </c>
      <c r="K353" s="2" t="s">
        <v>123</v>
      </c>
      <c r="L353" s="22">
        <v>2100</v>
      </c>
      <c r="M353" s="22">
        <v>27300</v>
      </c>
      <c r="N353" s="18">
        <v>29.2</v>
      </c>
      <c r="O353" s="26">
        <v>45519</v>
      </c>
      <c r="P353" s="2" t="s">
        <v>805</v>
      </c>
      <c r="Q353" s="2" t="s">
        <v>806</v>
      </c>
    </row>
    <row r="354" spans="2:17" x14ac:dyDescent="0.25">
      <c r="B354" s="2" t="s">
        <v>1158</v>
      </c>
      <c r="C354" s="2" t="s">
        <v>136</v>
      </c>
      <c r="D354" s="2" t="s">
        <v>137</v>
      </c>
      <c r="E354" s="2" t="s">
        <v>122</v>
      </c>
      <c r="F354" s="2" t="s">
        <v>535</v>
      </c>
      <c r="G354" s="2" t="s">
        <v>416</v>
      </c>
      <c r="H354" s="2" t="s">
        <v>94</v>
      </c>
      <c r="I354" s="26">
        <v>45485</v>
      </c>
      <c r="J354" s="2">
        <v>16</v>
      </c>
      <c r="K354" s="2" t="s">
        <v>123</v>
      </c>
      <c r="L354" s="22">
        <v>2100</v>
      </c>
      <c r="M354" s="22">
        <v>33600</v>
      </c>
      <c r="N354" s="18">
        <v>35.94</v>
      </c>
      <c r="O354" s="26">
        <v>45530</v>
      </c>
      <c r="P354" s="2" t="s">
        <v>805</v>
      </c>
      <c r="Q354" s="2" t="s">
        <v>806</v>
      </c>
    </row>
    <row r="355" spans="2:17" x14ac:dyDescent="0.25">
      <c r="B355" s="2" t="s">
        <v>1159</v>
      </c>
      <c r="C355" s="2" t="s">
        <v>136</v>
      </c>
      <c r="D355" s="2" t="s">
        <v>137</v>
      </c>
      <c r="E355" s="2" t="s">
        <v>122</v>
      </c>
      <c r="F355" s="2" t="s">
        <v>535</v>
      </c>
      <c r="G355" s="2" t="s">
        <v>416</v>
      </c>
      <c r="H355" s="2" t="s">
        <v>94</v>
      </c>
      <c r="I355" s="26">
        <v>45495</v>
      </c>
      <c r="J355" s="2">
        <v>13</v>
      </c>
      <c r="K355" s="2" t="s">
        <v>123</v>
      </c>
      <c r="L355" s="22">
        <v>2100</v>
      </c>
      <c r="M355" s="22">
        <v>27300</v>
      </c>
      <c r="N355" s="18">
        <v>29.2</v>
      </c>
      <c r="O355" s="26">
        <v>45540</v>
      </c>
      <c r="P355" s="2" t="s">
        <v>805</v>
      </c>
      <c r="Q355" s="2" t="s">
        <v>806</v>
      </c>
    </row>
    <row r="356" spans="2:17" x14ac:dyDescent="0.25">
      <c r="B356" s="2" t="s">
        <v>1160</v>
      </c>
      <c r="C356" s="2" t="s">
        <v>136</v>
      </c>
      <c r="D356" s="2" t="s">
        <v>137</v>
      </c>
      <c r="E356" s="2" t="s">
        <v>122</v>
      </c>
      <c r="F356" s="2" t="s">
        <v>535</v>
      </c>
      <c r="G356" s="2" t="s">
        <v>416</v>
      </c>
      <c r="H356" s="2" t="s">
        <v>94</v>
      </c>
      <c r="I356" s="26">
        <v>45505</v>
      </c>
      <c r="J356" s="2">
        <v>14</v>
      </c>
      <c r="K356" s="2" t="s">
        <v>123</v>
      </c>
      <c r="L356" s="22">
        <v>2100</v>
      </c>
      <c r="M356" s="22">
        <v>29400</v>
      </c>
      <c r="N356" s="18">
        <v>31.44</v>
      </c>
      <c r="O356" s="26">
        <v>45550</v>
      </c>
      <c r="P356" s="2" t="s">
        <v>805</v>
      </c>
      <c r="Q356" s="2" t="s">
        <v>806</v>
      </c>
    </row>
    <row r="357" spans="2:17" x14ac:dyDescent="0.25">
      <c r="B357" s="2" t="s">
        <v>1161</v>
      </c>
      <c r="C357" s="2" t="s">
        <v>136</v>
      </c>
      <c r="D357" s="2" t="s">
        <v>137</v>
      </c>
      <c r="E357" s="2" t="s">
        <v>122</v>
      </c>
      <c r="F357" s="2" t="s">
        <v>535</v>
      </c>
      <c r="G357" s="2" t="s">
        <v>416</v>
      </c>
      <c r="H357" s="2" t="s">
        <v>94</v>
      </c>
      <c r="I357" s="26">
        <v>45513</v>
      </c>
      <c r="J357" s="2">
        <v>16</v>
      </c>
      <c r="K357" s="2" t="s">
        <v>123</v>
      </c>
      <c r="L357" s="22">
        <v>2100</v>
      </c>
      <c r="M357" s="22">
        <v>33600</v>
      </c>
      <c r="N357" s="18">
        <v>35.94</v>
      </c>
      <c r="O357" s="26">
        <v>45558</v>
      </c>
      <c r="P357" s="2" t="s">
        <v>805</v>
      </c>
      <c r="Q357" s="2" t="s">
        <v>806</v>
      </c>
    </row>
    <row r="358" spans="2:17" x14ac:dyDescent="0.25">
      <c r="B358" s="2" t="s">
        <v>1162</v>
      </c>
      <c r="C358" s="2" t="s">
        <v>136</v>
      </c>
      <c r="D358" s="2" t="s">
        <v>137</v>
      </c>
      <c r="E358" s="2" t="s">
        <v>122</v>
      </c>
      <c r="F358" s="2" t="s">
        <v>535</v>
      </c>
      <c r="G358" s="2" t="s">
        <v>416</v>
      </c>
      <c r="H358" s="2" t="s">
        <v>94</v>
      </c>
      <c r="I358" s="26">
        <v>45523</v>
      </c>
      <c r="J358" s="2">
        <v>15</v>
      </c>
      <c r="K358" s="2" t="s">
        <v>123</v>
      </c>
      <c r="L358" s="22">
        <v>2100</v>
      </c>
      <c r="M358" s="22">
        <v>31500</v>
      </c>
      <c r="N358" s="18">
        <v>33.69</v>
      </c>
      <c r="O358" s="26">
        <v>45568</v>
      </c>
      <c r="P358" s="2" t="s">
        <v>805</v>
      </c>
      <c r="Q358" s="2" t="s">
        <v>806</v>
      </c>
    </row>
    <row r="359" spans="2:17" x14ac:dyDescent="0.25">
      <c r="B359" s="2" t="s">
        <v>1163</v>
      </c>
      <c r="C359" s="2" t="s">
        <v>136</v>
      </c>
      <c r="D359" s="2" t="s">
        <v>137</v>
      </c>
      <c r="E359" s="2" t="s">
        <v>122</v>
      </c>
      <c r="F359" s="2" t="s">
        <v>535</v>
      </c>
      <c r="G359" s="2" t="s">
        <v>416</v>
      </c>
      <c r="H359" s="2" t="s">
        <v>94</v>
      </c>
      <c r="I359" s="26">
        <v>45535</v>
      </c>
      <c r="J359" s="2">
        <v>13</v>
      </c>
      <c r="K359" s="2" t="s">
        <v>123</v>
      </c>
      <c r="L359" s="22">
        <v>2100</v>
      </c>
      <c r="M359" s="22">
        <v>27300</v>
      </c>
      <c r="N359" s="18">
        <v>29.2</v>
      </c>
      <c r="O359" s="26">
        <v>45580</v>
      </c>
      <c r="P359" s="2" t="s">
        <v>805</v>
      </c>
      <c r="Q359" s="2" t="s">
        <v>806</v>
      </c>
    </row>
    <row r="360" spans="2:17" x14ac:dyDescent="0.25">
      <c r="B360" s="2" t="s">
        <v>1164</v>
      </c>
      <c r="C360" s="2" t="s">
        <v>136</v>
      </c>
      <c r="D360" s="2" t="s">
        <v>137</v>
      </c>
      <c r="E360" s="2" t="s">
        <v>122</v>
      </c>
      <c r="F360" s="2" t="s">
        <v>535</v>
      </c>
      <c r="G360" s="2" t="s">
        <v>416</v>
      </c>
      <c r="H360" s="2" t="s">
        <v>94</v>
      </c>
      <c r="I360" s="26">
        <v>45544</v>
      </c>
      <c r="J360" s="2">
        <v>20</v>
      </c>
      <c r="K360" s="2" t="s">
        <v>123</v>
      </c>
      <c r="L360" s="22">
        <v>2100</v>
      </c>
      <c r="M360" s="22">
        <v>42000</v>
      </c>
      <c r="N360" s="18">
        <v>44.92</v>
      </c>
      <c r="O360" s="26">
        <v>45589</v>
      </c>
      <c r="P360" s="2" t="s">
        <v>805</v>
      </c>
      <c r="Q360" s="2" t="s">
        <v>814</v>
      </c>
    </row>
    <row r="361" spans="2:17" x14ac:dyDescent="0.25">
      <c r="B361" s="2" t="s">
        <v>1165</v>
      </c>
      <c r="C361" s="2" t="s">
        <v>136</v>
      </c>
      <c r="D361" s="2" t="s">
        <v>137</v>
      </c>
      <c r="E361" s="2" t="s">
        <v>122</v>
      </c>
      <c r="F361" s="2" t="s">
        <v>535</v>
      </c>
      <c r="G361" s="2" t="s">
        <v>416</v>
      </c>
      <c r="H361" s="2" t="s">
        <v>94</v>
      </c>
      <c r="I361" s="26">
        <v>45552</v>
      </c>
      <c r="J361" s="2">
        <v>21</v>
      </c>
      <c r="K361" s="2" t="s">
        <v>123</v>
      </c>
      <c r="L361" s="22">
        <v>2100</v>
      </c>
      <c r="M361" s="22">
        <v>44100</v>
      </c>
      <c r="N361" s="18">
        <v>47.17</v>
      </c>
      <c r="O361" s="26">
        <v>45597</v>
      </c>
      <c r="P361" s="2" t="s">
        <v>805</v>
      </c>
      <c r="Q361" s="2" t="s">
        <v>814</v>
      </c>
    </row>
    <row r="362" spans="2:17" x14ac:dyDescent="0.25">
      <c r="B362" s="2" t="s">
        <v>1166</v>
      </c>
      <c r="C362" s="2" t="s">
        <v>136</v>
      </c>
      <c r="D362" s="2" t="s">
        <v>137</v>
      </c>
      <c r="E362" s="2" t="s">
        <v>122</v>
      </c>
      <c r="F362" s="2" t="s">
        <v>535</v>
      </c>
      <c r="G362" s="2" t="s">
        <v>416</v>
      </c>
      <c r="H362" s="2" t="s">
        <v>94</v>
      </c>
      <c r="I362" s="26">
        <v>45564</v>
      </c>
      <c r="J362" s="2">
        <v>16</v>
      </c>
      <c r="K362" s="2" t="s">
        <v>123</v>
      </c>
      <c r="L362" s="22">
        <v>2100</v>
      </c>
      <c r="M362" s="22">
        <v>33600</v>
      </c>
      <c r="N362" s="18">
        <v>35.94</v>
      </c>
      <c r="O362" s="26">
        <v>45609</v>
      </c>
      <c r="P362" s="2" t="s">
        <v>805</v>
      </c>
      <c r="Q362" s="2" t="s">
        <v>814</v>
      </c>
    </row>
    <row r="363" spans="2:17" x14ac:dyDescent="0.25">
      <c r="B363" s="2" t="s">
        <v>1167</v>
      </c>
      <c r="C363" s="2" t="s">
        <v>136</v>
      </c>
      <c r="D363" s="2" t="s">
        <v>137</v>
      </c>
      <c r="E363" s="2" t="s">
        <v>122</v>
      </c>
      <c r="F363" s="2" t="s">
        <v>535</v>
      </c>
      <c r="G363" s="2" t="s">
        <v>416</v>
      </c>
      <c r="H363" s="2" t="s">
        <v>94</v>
      </c>
      <c r="I363" s="26">
        <v>45577</v>
      </c>
      <c r="J363" s="2">
        <v>38</v>
      </c>
      <c r="K363" s="2" t="s">
        <v>123</v>
      </c>
      <c r="L363" s="22">
        <v>2100</v>
      </c>
      <c r="M363" s="22">
        <v>79800</v>
      </c>
      <c r="N363" s="18">
        <v>85.35</v>
      </c>
      <c r="O363" s="26">
        <v>45622</v>
      </c>
      <c r="P363" s="2" t="s">
        <v>805</v>
      </c>
      <c r="Q363" s="2" t="s">
        <v>814</v>
      </c>
    </row>
    <row r="364" spans="2:17" x14ac:dyDescent="0.25">
      <c r="B364" s="2" t="s">
        <v>1168</v>
      </c>
      <c r="C364" s="2" t="s">
        <v>136</v>
      </c>
      <c r="D364" s="2" t="s">
        <v>137</v>
      </c>
      <c r="E364" s="2" t="s">
        <v>122</v>
      </c>
      <c r="F364" s="2" t="s">
        <v>535</v>
      </c>
      <c r="G364" s="2" t="s">
        <v>416</v>
      </c>
      <c r="H364" s="2" t="s">
        <v>94</v>
      </c>
      <c r="I364" s="26">
        <v>45587</v>
      </c>
      <c r="J364" s="2">
        <v>43</v>
      </c>
      <c r="K364" s="2" t="s">
        <v>123</v>
      </c>
      <c r="L364" s="22">
        <v>2100</v>
      </c>
      <c r="M364" s="22">
        <v>90300</v>
      </c>
      <c r="N364" s="18">
        <v>96.58</v>
      </c>
      <c r="O364" s="26">
        <v>45632</v>
      </c>
      <c r="P364" s="2" t="s">
        <v>805</v>
      </c>
      <c r="Q364" s="2" t="s">
        <v>814</v>
      </c>
    </row>
    <row r="365" spans="2:17" x14ac:dyDescent="0.25">
      <c r="B365" s="2" t="s">
        <v>1169</v>
      </c>
      <c r="C365" s="2" t="s">
        <v>136</v>
      </c>
      <c r="D365" s="2" t="s">
        <v>137</v>
      </c>
      <c r="E365" s="2" t="s">
        <v>122</v>
      </c>
      <c r="F365" s="2" t="s">
        <v>535</v>
      </c>
      <c r="G365" s="2" t="s">
        <v>416</v>
      </c>
      <c r="H365" s="2" t="s">
        <v>94</v>
      </c>
      <c r="I365" s="26">
        <v>45597</v>
      </c>
      <c r="J365" s="2">
        <v>41</v>
      </c>
      <c r="K365" s="2" t="s">
        <v>123</v>
      </c>
      <c r="L365" s="22">
        <v>2100</v>
      </c>
      <c r="M365" s="22">
        <v>86100</v>
      </c>
      <c r="N365" s="18">
        <v>92.09</v>
      </c>
      <c r="O365" s="26">
        <v>45642</v>
      </c>
      <c r="P365" s="2" t="s">
        <v>805</v>
      </c>
      <c r="Q365" s="2" t="s">
        <v>814</v>
      </c>
    </row>
    <row r="366" spans="2:17" x14ac:dyDescent="0.25">
      <c r="B366" s="2" t="s">
        <v>1170</v>
      </c>
      <c r="C366" s="2" t="s">
        <v>136</v>
      </c>
      <c r="D366" s="2" t="s">
        <v>137</v>
      </c>
      <c r="E366" s="2" t="s">
        <v>122</v>
      </c>
      <c r="F366" s="2" t="s">
        <v>535</v>
      </c>
      <c r="G366" s="2" t="s">
        <v>416</v>
      </c>
      <c r="H366" s="2" t="s">
        <v>94</v>
      </c>
      <c r="I366" s="26">
        <v>45604</v>
      </c>
      <c r="J366" s="2">
        <v>40</v>
      </c>
      <c r="K366" s="2" t="s">
        <v>123</v>
      </c>
      <c r="L366" s="22">
        <v>2100</v>
      </c>
      <c r="M366" s="22">
        <v>84000</v>
      </c>
      <c r="N366" s="18">
        <v>89.84</v>
      </c>
      <c r="O366" s="26">
        <v>45649</v>
      </c>
      <c r="P366" s="2" t="s">
        <v>805</v>
      </c>
      <c r="Q366" s="2" t="s">
        <v>814</v>
      </c>
    </row>
    <row r="367" spans="2:17" x14ac:dyDescent="0.25">
      <c r="B367" s="2" t="s">
        <v>1171</v>
      </c>
      <c r="C367" s="2" t="s">
        <v>136</v>
      </c>
      <c r="D367" s="2" t="s">
        <v>137</v>
      </c>
      <c r="E367" s="2" t="s">
        <v>122</v>
      </c>
      <c r="F367" s="2" t="s">
        <v>535</v>
      </c>
      <c r="G367" s="2" t="s">
        <v>416</v>
      </c>
      <c r="H367" s="2" t="s">
        <v>94</v>
      </c>
      <c r="I367" s="26">
        <v>45613</v>
      </c>
      <c r="J367" s="2">
        <v>37</v>
      </c>
      <c r="K367" s="2" t="s">
        <v>123</v>
      </c>
      <c r="L367" s="22">
        <v>2100</v>
      </c>
      <c r="M367" s="22">
        <v>77700</v>
      </c>
      <c r="N367" s="18">
        <v>83.1</v>
      </c>
      <c r="O367" s="26">
        <v>45658</v>
      </c>
      <c r="P367" s="2" t="s">
        <v>805</v>
      </c>
      <c r="Q367" s="2" t="s">
        <v>814</v>
      </c>
    </row>
    <row r="368" spans="2:17" x14ac:dyDescent="0.25">
      <c r="B368" s="2" t="s">
        <v>1172</v>
      </c>
      <c r="C368" s="2" t="s">
        <v>136</v>
      </c>
      <c r="D368" s="2" t="s">
        <v>137</v>
      </c>
      <c r="E368" s="2" t="s">
        <v>122</v>
      </c>
      <c r="F368" s="2" t="s">
        <v>535</v>
      </c>
      <c r="G368" s="2" t="s">
        <v>416</v>
      </c>
      <c r="H368" s="2" t="s">
        <v>94</v>
      </c>
      <c r="I368" s="26">
        <v>45622</v>
      </c>
      <c r="J368" s="2">
        <v>35</v>
      </c>
      <c r="K368" s="2" t="s">
        <v>123</v>
      </c>
      <c r="L368" s="22">
        <v>2100</v>
      </c>
      <c r="M368" s="22">
        <v>73500</v>
      </c>
      <c r="N368" s="18">
        <v>78.61</v>
      </c>
      <c r="O368" s="26">
        <v>45667</v>
      </c>
      <c r="P368" s="2" t="s">
        <v>805</v>
      </c>
      <c r="Q368" s="2" t="s">
        <v>814</v>
      </c>
    </row>
    <row r="369" spans="2:17" x14ac:dyDescent="0.25">
      <c r="B369" s="2" t="s">
        <v>1173</v>
      </c>
      <c r="C369" s="2" t="s">
        <v>136</v>
      </c>
      <c r="D369" s="2" t="s">
        <v>137</v>
      </c>
      <c r="E369" s="2" t="s">
        <v>122</v>
      </c>
      <c r="F369" s="2" t="s">
        <v>535</v>
      </c>
      <c r="G369" s="2" t="s">
        <v>416</v>
      </c>
      <c r="H369" s="2" t="s">
        <v>94</v>
      </c>
      <c r="I369" s="26">
        <v>45632</v>
      </c>
      <c r="J369" s="2">
        <v>55</v>
      </c>
      <c r="K369" s="2" t="s">
        <v>123</v>
      </c>
      <c r="L369" s="22">
        <v>2100</v>
      </c>
      <c r="M369" s="22">
        <v>115500</v>
      </c>
      <c r="N369" s="18">
        <v>123.53</v>
      </c>
      <c r="O369" s="26">
        <v>45677</v>
      </c>
      <c r="P369" s="2" t="s">
        <v>805</v>
      </c>
      <c r="Q369" s="2" t="s">
        <v>825</v>
      </c>
    </row>
    <row r="370" spans="2:17" x14ac:dyDescent="0.25">
      <c r="B370" s="2" t="s">
        <v>1174</v>
      </c>
      <c r="C370" s="2" t="s">
        <v>136</v>
      </c>
      <c r="D370" s="2" t="s">
        <v>137</v>
      </c>
      <c r="E370" s="2" t="s">
        <v>122</v>
      </c>
      <c r="F370" s="2" t="s">
        <v>535</v>
      </c>
      <c r="G370" s="2" t="s">
        <v>416</v>
      </c>
      <c r="H370" s="2" t="s">
        <v>94</v>
      </c>
      <c r="I370" s="26">
        <v>45643</v>
      </c>
      <c r="J370" s="2">
        <v>52</v>
      </c>
      <c r="K370" s="2" t="s">
        <v>123</v>
      </c>
      <c r="L370" s="22">
        <v>2100</v>
      </c>
      <c r="M370" s="22">
        <v>109200</v>
      </c>
      <c r="N370" s="18">
        <v>116.79</v>
      </c>
      <c r="O370" s="26">
        <v>45688</v>
      </c>
      <c r="P370" s="2" t="s">
        <v>805</v>
      </c>
      <c r="Q370" s="2" t="s">
        <v>825</v>
      </c>
    </row>
    <row r="371" spans="2:17" x14ac:dyDescent="0.25">
      <c r="B371" s="2" t="s">
        <v>1175</v>
      </c>
      <c r="C371" s="2" t="s">
        <v>136</v>
      </c>
      <c r="D371" s="2" t="s">
        <v>137</v>
      </c>
      <c r="E371" s="2" t="s">
        <v>122</v>
      </c>
      <c r="F371" s="2" t="s">
        <v>535</v>
      </c>
      <c r="G371" s="2" t="s">
        <v>416</v>
      </c>
      <c r="H371" s="2" t="s">
        <v>94</v>
      </c>
      <c r="I371" s="26">
        <v>45654</v>
      </c>
      <c r="J371" s="2">
        <v>50</v>
      </c>
      <c r="K371" s="2" t="s">
        <v>123</v>
      </c>
      <c r="L371" s="22">
        <v>2100</v>
      </c>
      <c r="M371" s="22">
        <v>105000</v>
      </c>
      <c r="N371" s="18">
        <v>112.3</v>
      </c>
      <c r="O371" s="26">
        <v>45699</v>
      </c>
      <c r="P371" s="2" t="s">
        <v>805</v>
      </c>
      <c r="Q371" s="2" t="s">
        <v>825</v>
      </c>
    </row>
    <row r="372" spans="2:17" x14ac:dyDescent="0.25">
      <c r="B372" s="2" t="s">
        <v>1176</v>
      </c>
      <c r="C372" s="2" t="s">
        <v>136</v>
      </c>
      <c r="D372" s="2" t="s">
        <v>137</v>
      </c>
      <c r="E372" s="2" t="s">
        <v>122</v>
      </c>
      <c r="F372" s="2" t="s">
        <v>537</v>
      </c>
      <c r="G372" s="2" t="s">
        <v>420</v>
      </c>
      <c r="H372" s="2" t="s">
        <v>421</v>
      </c>
      <c r="I372" s="26">
        <v>45667</v>
      </c>
      <c r="J372" s="2">
        <v>40</v>
      </c>
      <c r="K372" s="2" t="s">
        <v>123</v>
      </c>
      <c r="L372" s="22">
        <v>2300</v>
      </c>
      <c r="M372" s="22">
        <v>92000</v>
      </c>
      <c r="N372" s="18">
        <v>98.4</v>
      </c>
      <c r="O372" s="26">
        <v>45712</v>
      </c>
      <c r="P372" s="2" t="s">
        <v>805</v>
      </c>
      <c r="Q372" s="2" t="s">
        <v>825</v>
      </c>
    </row>
    <row r="373" spans="2:17" x14ac:dyDescent="0.25">
      <c r="B373" s="2" t="s">
        <v>1177</v>
      </c>
      <c r="C373" s="2" t="s">
        <v>136</v>
      </c>
      <c r="D373" s="2" t="s">
        <v>137</v>
      </c>
      <c r="E373" s="2" t="s">
        <v>122</v>
      </c>
      <c r="F373" s="2" t="s">
        <v>535</v>
      </c>
      <c r="G373" s="2" t="s">
        <v>416</v>
      </c>
      <c r="H373" s="2" t="s">
        <v>94</v>
      </c>
      <c r="I373" s="26">
        <v>45677</v>
      </c>
      <c r="J373" s="2">
        <v>48</v>
      </c>
      <c r="K373" s="2" t="s">
        <v>123</v>
      </c>
      <c r="L373" s="22">
        <v>2100</v>
      </c>
      <c r="M373" s="22">
        <v>100800</v>
      </c>
      <c r="N373" s="18">
        <v>107.81</v>
      </c>
      <c r="O373" s="26">
        <v>45722</v>
      </c>
      <c r="P373" s="2" t="s">
        <v>805</v>
      </c>
      <c r="Q373" s="2" t="s">
        <v>825</v>
      </c>
    </row>
    <row r="374" spans="2:17" x14ac:dyDescent="0.25">
      <c r="B374" s="2" t="s">
        <v>1178</v>
      </c>
      <c r="C374" s="2" t="s">
        <v>136</v>
      </c>
      <c r="D374" s="2" t="s">
        <v>137</v>
      </c>
      <c r="E374" s="2" t="s">
        <v>122</v>
      </c>
      <c r="F374" s="2" t="s">
        <v>535</v>
      </c>
      <c r="G374" s="2" t="s">
        <v>416</v>
      </c>
      <c r="H374" s="2" t="s">
        <v>94</v>
      </c>
      <c r="I374" s="26">
        <v>45684</v>
      </c>
      <c r="J374" s="2">
        <v>41</v>
      </c>
      <c r="K374" s="2" t="s">
        <v>123</v>
      </c>
      <c r="L374" s="22">
        <v>2100</v>
      </c>
      <c r="M374" s="22">
        <v>86100</v>
      </c>
      <c r="N374" s="18">
        <v>92.09</v>
      </c>
      <c r="O374" s="26">
        <v>45729</v>
      </c>
      <c r="P374" s="2" t="s">
        <v>805</v>
      </c>
      <c r="Q374" s="2" t="s">
        <v>825</v>
      </c>
    </row>
    <row r="375" spans="2:17" x14ac:dyDescent="0.25">
      <c r="B375" s="2" t="s">
        <v>1179</v>
      </c>
      <c r="C375" s="2" t="s">
        <v>136</v>
      </c>
      <c r="D375" s="2" t="s">
        <v>137</v>
      </c>
      <c r="E375" s="2" t="s">
        <v>122</v>
      </c>
      <c r="F375" s="2" t="s">
        <v>535</v>
      </c>
      <c r="G375" s="2" t="s">
        <v>416</v>
      </c>
      <c r="H375" s="2" t="s">
        <v>94</v>
      </c>
      <c r="I375" s="26">
        <v>45695</v>
      </c>
      <c r="J375" s="2">
        <v>49</v>
      </c>
      <c r="K375" s="2" t="s">
        <v>123</v>
      </c>
      <c r="L375" s="22">
        <v>2100</v>
      </c>
      <c r="M375" s="22">
        <v>102900</v>
      </c>
      <c r="N375" s="18">
        <v>110.05</v>
      </c>
      <c r="O375" s="26">
        <v>45740</v>
      </c>
      <c r="P375" s="2" t="s">
        <v>805</v>
      </c>
      <c r="Q375" s="2" t="s">
        <v>825</v>
      </c>
    </row>
    <row r="376" spans="2:17" x14ac:dyDescent="0.25">
      <c r="B376" s="2" t="s">
        <v>1180</v>
      </c>
      <c r="C376" s="2" t="s">
        <v>136</v>
      </c>
      <c r="D376" s="2" t="s">
        <v>137</v>
      </c>
      <c r="E376" s="2" t="s">
        <v>122</v>
      </c>
      <c r="F376" s="2" t="s">
        <v>535</v>
      </c>
      <c r="G376" s="2" t="s">
        <v>416</v>
      </c>
      <c r="H376" s="2" t="s">
        <v>94</v>
      </c>
      <c r="I376" s="26">
        <v>45705</v>
      </c>
      <c r="J376" s="2">
        <v>37</v>
      </c>
      <c r="K376" s="2" t="s">
        <v>123</v>
      </c>
      <c r="L376" s="22">
        <v>2100</v>
      </c>
      <c r="M376" s="22">
        <v>77700</v>
      </c>
      <c r="N376" s="18">
        <v>83.1</v>
      </c>
      <c r="O376" s="26">
        <v>45750</v>
      </c>
      <c r="P376" s="2" t="s">
        <v>805</v>
      </c>
      <c r="Q376" s="2" t="s">
        <v>825</v>
      </c>
    </row>
    <row r="377" spans="2:17" x14ac:dyDescent="0.25">
      <c r="B377" s="2" t="s">
        <v>1181</v>
      </c>
      <c r="C377" s="2" t="s">
        <v>136</v>
      </c>
      <c r="D377" s="2" t="s">
        <v>137</v>
      </c>
      <c r="E377" s="2" t="s">
        <v>122</v>
      </c>
      <c r="F377" s="2" t="s">
        <v>535</v>
      </c>
      <c r="G377" s="2" t="s">
        <v>416</v>
      </c>
      <c r="H377" s="2" t="s">
        <v>94</v>
      </c>
      <c r="I377" s="26">
        <v>45712</v>
      </c>
      <c r="J377" s="2">
        <v>38</v>
      </c>
      <c r="K377" s="2" t="s">
        <v>123</v>
      </c>
      <c r="L377" s="22">
        <v>2100</v>
      </c>
      <c r="M377" s="22">
        <v>79800</v>
      </c>
      <c r="N377" s="18">
        <v>85.35</v>
      </c>
      <c r="O377" s="26">
        <v>45757</v>
      </c>
      <c r="P377" s="2" t="s">
        <v>805</v>
      </c>
      <c r="Q377" s="2" t="s">
        <v>825</v>
      </c>
    </row>
    <row r="378" spans="2:17" x14ac:dyDescent="0.25">
      <c r="B378" s="2" t="s">
        <v>1182</v>
      </c>
      <c r="C378" s="2" t="s">
        <v>136</v>
      </c>
      <c r="D378" s="2" t="s">
        <v>137</v>
      </c>
      <c r="E378" s="2" t="s">
        <v>122</v>
      </c>
      <c r="F378" s="2" t="s">
        <v>535</v>
      </c>
      <c r="G378" s="2" t="s">
        <v>416</v>
      </c>
      <c r="H378" s="2" t="s">
        <v>94</v>
      </c>
      <c r="I378" s="26">
        <v>45722</v>
      </c>
      <c r="J378" s="2">
        <v>48</v>
      </c>
      <c r="K378" s="2" t="s">
        <v>123</v>
      </c>
      <c r="L378" s="22">
        <v>2100</v>
      </c>
      <c r="M378" s="22">
        <v>100800</v>
      </c>
      <c r="N378" s="18">
        <v>107.81</v>
      </c>
      <c r="O378" s="26">
        <v>45767</v>
      </c>
      <c r="P378" s="2" t="s">
        <v>805</v>
      </c>
      <c r="Q378" s="2" t="s">
        <v>836</v>
      </c>
    </row>
    <row r="379" spans="2:17" x14ac:dyDescent="0.25">
      <c r="B379" s="2" t="s">
        <v>1183</v>
      </c>
      <c r="C379" s="2" t="s">
        <v>136</v>
      </c>
      <c r="D379" s="2" t="s">
        <v>137</v>
      </c>
      <c r="E379" s="2" t="s">
        <v>122</v>
      </c>
      <c r="F379" s="2" t="s">
        <v>535</v>
      </c>
      <c r="G379" s="2" t="s">
        <v>416</v>
      </c>
      <c r="H379" s="2" t="s">
        <v>94</v>
      </c>
      <c r="I379" s="26">
        <v>45732</v>
      </c>
      <c r="J379" s="2">
        <v>49</v>
      </c>
      <c r="K379" s="2" t="s">
        <v>123</v>
      </c>
      <c r="L379" s="22">
        <v>2100</v>
      </c>
      <c r="M379" s="22">
        <v>102900</v>
      </c>
      <c r="N379" s="18">
        <v>110.05</v>
      </c>
      <c r="O379" s="26">
        <v>45777</v>
      </c>
      <c r="P379" s="2" t="s">
        <v>805</v>
      </c>
      <c r="Q379" s="2" t="s">
        <v>836</v>
      </c>
    </row>
    <row r="380" spans="2:17" x14ac:dyDescent="0.25">
      <c r="B380" s="2" t="s">
        <v>1184</v>
      </c>
      <c r="C380" s="2" t="s">
        <v>136</v>
      </c>
      <c r="D380" s="2" t="s">
        <v>137</v>
      </c>
      <c r="E380" s="2" t="s">
        <v>122</v>
      </c>
      <c r="F380" s="2" t="s">
        <v>535</v>
      </c>
      <c r="G380" s="2" t="s">
        <v>416</v>
      </c>
      <c r="H380" s="2" t="s">
        <v>94</v>
      </c>
      <c r="I380" s="26">
        <v>45740</v>
      </c>
      <c r="J380" s="2">
        <v>38</v>
      </c>
      <c r="K380" s="2" t="s">
        <v>123</v>
      </c>
      <c r="L380" s="22">
        <v>2100</v>
      </c>
      <c r="M380" s="22">
        <v>79800</v>
      </c>
      <c r="N380" s="18">
        <v>85.35</v>
      </c>
      <c r="O380" s="26">
        <v>45785</v>
      </c>
      <c r="P380" s="2" t="s">
        <v>805</v>
      </c>
      <c r="Q380" s="2" t="s">
        <v>836</v>
      </c>
    </row>
    <row r="381" spans="2:17" x14ac:dyDescent="0.25">
      <c r="B381" s="2" t="s">
        <v>1185</v>
      </c>
      <c r="C381" s="2" t="s">
        <v>136</v>
      </c>
      <c r="D381" s="2" t="s">
        <v>137</v>
      </c>
      <c r="E381" s="2" t="s">
        <v>122</v>
      </c>
      <c r="F381" s="2" t="s">
        <v>537</v>
      </c>
      <c r="G381" s="2" t="s">
        <v>420</v>
      </c>
      <c r="H381" s="2" t="s">
        <v>421</v>
      </c>
      <c r="I381" s="26">
        <v>45749</v>
      </c>
      <c r="J381" s="2">
        <v>16</v>
      </c>
      <c r="K381" s="2" t="s">
        <v>123</v>
      </c>
      <c r="L381" s="22">
        <v>2300</v>
      </c>
      <c r="M381" s="22">
        <v>36800</v>
      </c>
      <c r="N381" s="18">
        <v>39.36</v>
      </c>
      <c r="O381" s="26">
        <v>45794</v>
      </c>
      <c r="P381" s="2" t="s">
        <v>805</v>
      </c>
      <c r="Q381" s="2" t="s">
        <v>836</v>
      </c>
    </row>
    <row r="382" spans="2:17" x14ac:dyDescent="0.25">
      <c r="B382" s="2" t="s">
        <v>1186</v>
      </c>
      <c r="C382" s="2" t="s">
        <v>136</v>
      </c>
      <c r="D382" s="2" t="s">
        <v>137</v>
      </c>
      <c r="E382" s="2" t="s">
        <v>122</v>
      </c>
      <c r="F382" s="2" t="s">
        <v>535</v>
      </c>
      <c r="G382" s="2" t="s">
        <v>416</v>
      </c>
      <c r="H382" s="2" t="s">
        <v>94</v>
      </c>
      <c r="I382" s="26">
        <v>45756</v>
      </c>
      <c r="J382" s="2">
        <v>14</v>
      </c>
      <c r="K382" s="2" t="s">
        <v>123</v>
      </c>
      <c r="L382" s="22">
        <v>2100</v>
      </c>
      <c r="M382" s="22">
        <v>29400</v>
      </c>
      <c r="N382" s="18">
        <v>31.44</v>
      </c>
      <c r="O382" s="26">
        <v>45801</v>
      </c>
      <c r="P382" s="2" t="s">
        <v>805</v>
      </c>
      <c r="Q382" s="2" t="s">
        <v>836</v>
      </c>
    </row>
    <row r="383" spans="2:17" x14ac:dyDescent="0.25">
      <c r="B383" s="2" t="s">
        <v>1187</v>
      </c>
      <c r="C383" s="2" t="s">
        <v>136</v>
      </c>
      <c r="D383" s="2" t="s">
        <v>137</v>
      </c>
      <c r="E383" s="2" t="s">
        <v>122</v>
      </c>
      <c r="F383" s="2" t="s">
        <v>537</v>
      </c>
      <c r="G383" s="2" t="s">
        <v>420</v>
      </c>
      <c r="H383" s="2" t="s">
        <v>421</v>
      </c>
      <c r="I383" s="26">
        <v>45766</v>
      </c>
      <c r="J383" s="2">
        <v>17</v>
      </c>
      <c r="K383" s="2" t="s">
        <v>123</v>
      </c>
      <c r="L383" s="22">
        <v>2300</v>
      </c>
      <c r="M383" s="22">
        <v>39100</v>
      </c>
      <c r="N383" s="18">
        <v>41.82</v>
      </c>
      <c r="O383" s="26">
        <v>45811</v>
      </c>
      <c r="P383" s="2" t="s">
        <v>805</v>
      </c>
      <c r="Q383" s="2" t="s">
        <v>836</v>
      </c>
    </row>
    <row r="384" spans="2:17" x14ac:dyDescent="0.25">
      <c r="B384" s="2" t="s">
        <v>1188</v>
      </c>
      <c r="C384" s="2" t="s">
        <v>136</v>
      </c>
      <c r="D384" s="2" t="s">
        <v>137</v>
      </c>
      <c r="E384" s="2" t="s">
        <v>122</v>
      </c>
      <c r="F384" s="2" t="s">
        <v>537</v>
      </c>
      <c r="G384" s="2" t="s">
        <v>420</v>
      </c>
      <c r="H384" s="2" t="s">
        <v>421</v>
      </c>
      <c r="I384" s="26">
        <v>45777</v>
      </c>
      <c r="J384" s="2">
        <v>14</v>
      </c>
      <c r="K384" s="2" t="s">
        <v>123</v>
      </c>
      <c r="L384" s="22">
        <v>2300</v>
      </c>
      <c r="M384" s="22">
        <v>32200</v>
      </c>
      <c r="N384" s="18">
        <v>34.44</v>
      </c>
      <c r="O384" s="26">
        <v>45822</v>
      </c>
      <c r="P384" s="2" t="s">
        <v>805</v>
      </c>
      <c r="Q384" s="2" t="s">
        <v>836</v>
      </c>
    </row>
    <row r="385" spans="2:17" x14ac:dyDescent="0.25">
      <c r="B385" s="2" t="s">
        <v>1189</v>
      </c>
      <c r="C385" s="2" t="s">
        <v>136</v>
      </c>
      <c r="D385" s="2" t="s">
        <v>137</v>
      </c>
      <c r="E385" s="2" t="s">
        <v>122</v>
      </c>
      <c r="F385" s="2" t="s">
        <v>535</v>
      </c>
      <c r="G385" s="2" t="s">
        <v>416</v>
      </c>
      <c r="H385" s="2" t="s">
        <v>94</v>
      </c>
      <c r="I385" s="26">
        <v>45787</v>
      </c>
      <c r="J385" s="2">
        <v>16</v>
      </c>
      <c r="K385" s="2" t="s">
        <v>123</v>
      </c>
      <c r="L385" s="22">
        <v>2100</v>
      </c>
      <c r="M385" s="22">
        <v>33600</v>
      </c>
      <c r="N385" s="18">
        <v>35.94</v>
      </c>
      <c r="O385" s="26">
        <v>45832</v>
      </c>
      <c r="P385" s="2" t="s">
        <v>805</v>
      </c>
      <c r="Q385" s="2" t="s">
        <v>836</v>
      </c>
    </row>
    <row r="386" spans="2:17" x14ac:dyDescent="0.25">
      <c r="B386" s="2" t="s">
        <v>1190</v>
      </c>
      <c r="C386" s="2" t="s">
        <v>136</v>
      </c>
      <c r="D386" s="2" t="s">
        <v>137</v>
      </c>
      <c r="E386" s="2" t="s">
        <v>122</v>
      </c>
      <c r="F386" s="2" t="s">
        <v>535</v>
      </c>
      <c r="G386" s="2" t="s">
        <v>416</v>
      </c>
      <c r="H386" s="2" t="s">
        <v>94</v>
      </c>
      <c r="I386" s="26">
        <v>45796</v>
      </c>
      <c r="J386" s="2">
        <v>17</v>
      </c>
      <c r="K386" s="2" t="s">
        <v>123</v>
      </c>
      <c r="L386" s="22">
        <v>2100</v>
      </c>
      <c r="M386" s="22">
        <v>35700</v>
      </c>
      <c r="N386" s="18">
        <v>38.18</v>
      </c>
      <c r="O386" s="26">
        <v>45841</v>
      </c>
      <c r="P386" s="2" t="s">
        <v>805</v>
      </c>
      <c r="Q386" s="2" t="s">
        <v>836</v>
      </c>
    </row>
    <row r="387" spans="2:17" x14ac:dyDescent="0.25">
      <c r="B387" s="2" t="s">
        <v>1191</v>
      </c>
      <c r="C387" s="2" t="s">
        <v>136</v>
      </c>
      <c r="D387" s="2" t="s">
        <v>137</v>
      </c>
      <c r="E387" s="2" t="s">
        <v>122</v>
      </c>
      <c r="F387" s="2" t="s">
        <v>535</v>
      </c>
      <c r="G387" s="2" t="s">
        <v>416</v>
      </c>
      <c r="H387" s="2" t="s">
        <v>94</v>
      </c>
      <c r="I387" s="26">
        <v>45805</v>
      </c>
      <c r="J387" s="2">
        <v>15</v>
      </c>
      <c r="K387" s="2" t="s">
        <v>123</v>
      </c>
      <c r="L387" s="22">
        <v>2100</v>
      </c>
      <c r="M387" s="22">
        <v>31500</v>
      </c>
      <c r="N387" s="18">
        <v>33.69</v>
      </c>
      <c r="O387" s="26">
        <v>45850</v>
      </c>
      <c r="P387" s="2" t="s">
        <v>805</v>
      </c>
      <c r="Q387" s="2" t="s">
        <v>836</v>
      </c>
    </row>
    <row r="388" spans="2:17" x14ac:dyDescent="0.25">
      <c r="B388" s="2" t="s">
        <v>1192</v>
      </c>
      <c r="C388" s="2" t="s">
        <v>136</v>
      </c>
      <c r="D388" s="2" t="s">
        <v>137</v>
      </c>
      <c r="E388" s="2" t="s">
        <v>122</v>
      </c>
      <c r="F388" s="2" t="s">
        <v>535</v>
      </c>
      <c r="G388" s="2" t="s">
        <v>416</v>
      </c>
      <c r="H388" s="2" t="s">
        <v>94</v>
      </c>
      <c r="I388" s="26">
        <v>45816</v>
      </c>
      <c r="J388" s="2">
        <v>19</v>
      </c>
      <c r="K388" s="2" t="s">
        <v>123</v>
      </c>
      <c r="L388" s="22">
        <v>2100</v>
      </c>
      <c r="M388" s="22">
        <v>39900</v>
      </c>
      <c r="N388" s="18">
        <v>42.67</v>
      </c>
      <c r="O388" s="26">
        <v>45861</v>
      </c>
      <c r="P388" s="2" t="s">
        <v>805</v>
      </c>
      <c r="Q388" s="2" t="s">
        <v>806</v>
      </c>
    </row>
    <row r="389" spans="2:17" x14ac:dyDescent="0.25">
      <c r="B389" s="2" t="s">
        <v>1193</v>
      </c>
      <c r="C389" s="2" t="s">
        <v>136</v>
      </c>
      <c r="D389" s="2" t="s">
        <v>137</v>
      </c>
      <c r="E389" s="2" t="s">
        <v>122</v>
      </c>
      <c r="F389" s="2" t="s">
        <v>535</v>
      </c>
      <c r="G389" s="2" t="s">
        <v>416</v>
      </c>
      <c r="H389" s="2" t="s">
        <v>94</v>
      </c>
      <c r="I389" s="26">
        <v>45829</v>
      </c>
      <c r="J389" s="2">
        <v>18</v>
      </c>
      <c r="K389" s="2" t="s">
        <v>123</v>
      </c>
      <c r="L389" s="22">
        <v>2100</v>
      </c>
      <c r="M389" s="22">
        <v>37800</v>
      </c>
      <c r="N389" s="18">
        <v>40.43</v>
      </c>
      <c r="O389" s="26">
        <v>45874</v>
      </c>
      <c r="P389" s="2" t="s">
        <v>805</v>
      </c>
      <c r="Q389" s="2" t="s">
        <v>806</v>
      </c>
    </row>
    <row r="390" spans="2:17" x14ac:dyDescent="0.25">
      <c r="B390" s="2" t="s">
        <v>1194</v>
      </c>
      <c r="C390" s="2" t="s">
        <v>138</v>
      </c>
      <c r="D390" s="2" t="s">
        <v>139</v>
      </c>
      <c r="E390" s="2" t="s">
        <v>122</v>
      </c>
      <c r="F390" s="2" t="s">
        <v>535</v>
      </c>
      <c r="G390" s="2" t="s">
        <v>416</v>
      </c>
      <c r="H390" s="2" t="s">
        <v>94</v>
      </c>
      <c r="I390" s="26">
        <v>45108</v>
      </c>
      <c r="J390" s="2">
        <v>15</v>
      </c>
      <c r="K390" s="2" t="s">
        <v>123</v>
      </c>
      <c r="L390" s="22">
        <v>2200</v>
      </c>
      <c r="M390" s="22">
        <v>33000</v>
      </c>
      <c r="N390" s="18">
        <v>35.29</v>
      </c>
      <c r="O390" s="26">
        <v>45153</v>
      </c>
      <c r="P390" s="2" t="s">
        <v>805</v>
      </c>
      <c r="Q390" s="2" t="s">
        <v>806</v>
      </c>
    </row>
    <row r="391" spans="2:17" x14ac:dyDescent="0.25">
      <c r="B391" s="2" t="s">
        <v>1195</v>
      </c>
      <c r="C391" s="2" t="s">
        <v>138</v>
      </c>
      <c r="D391" s="2" t="s">
        <v>139</v>
      </c>
      <c r="E391" s="2" t="s">
        <v>122</v>
      </c>
      <c r="F391" s="2" t="s">
        <v>535</v>
      </c>
      <c r="G391" s="2" t="s">
        <v>416</v>
      </c>
      <c r="H391" s="2" t="s">
        <v>94</v>
      </c>
      <c r="I391" s="26">
        <v>45116</v>
      </c>
      <c r="J391" s="2">
        <v>15</v>
      </c>
      <c r="K391" s="2" t="s">
        <v>123</v>
      </c>
      <c r="L391" s="22">
        <v>2200</v>
      </c>
      <c r="M391" s="22">
        <v>33000</v>
      </c>
      <c r="N391" s="18">
        <v>35.29</v>
      </c>
      <c r="O391" s="26">
        <v>45161</v>
      </c>
      <c r="P391" s="2" t="s">
        <v>805</v>
      </c>
      <c r="Q391" s="2" t="s">
        <v>806</v>
      </c>
    </row>
    <row r="392" spans="2:17" x14ac:dyDescent="0.25">
      <c r="B392" s="2" t="s">
        <v>1196</v>
      </c>
      <c r="C392" s="2" t="s">
        <v>138</v>
      </c>
      <c r="D392" s="2" t="s">
        <v>139</v>
      </c>
      <c r="E392" s="2" t="s">
        <v>122</v>
      </c>
      <c r="F392" s="2" t="s">
        <v>535</v>
      </c>
      <c r="G392" s="2" t="s">
        <v>416</v>
      </c>
      <c r="H392" s="2" t="s">
        <v>94</v>
      </c>
      <c r="I392" s="26">
        <v>45127</v>
      </c>
      <c r="J392" s="2">
        <v>17</v>
      </c>
      <c r="K392" s="2" t="s">
        <v>123</v>
      </c>
      <c r="L392" s="22">
        <v>2200</v>
      </c>
      <c r="M392" s="22">
        <v>37400</v>
      </c>
      <c r="N392" s="18">
        <v>40</v>
      </c>
      <c r="O392" s="26">
        <v>45172</v>
      </c>
      <c r="P392" s="2" t="s">
        <v>805</v>
      </c>
      <c r="Q392" s="2" t="s">
        <v>806</v>
      </c>
    </row>
    <row r="393" spans="2:17" x14ac:dyDescent="0.25">
      <c r="B393" s="2" t="s">
        <v>1197</v>
      </c>
      <c r="C393" s="2" t="s">
        <v>138</v>
      </c>
      <c r="D393" s="2" t="s">
        <v>139</v>
      </c>
      <c r="E393" s="2" t="s">
        <v>122</v>
      </c>
      <c r="F393" s="2" t="s">
        <v>535</v>
      </c>
      <c r="G393" s="2" t="s">
        <v>416</v>
      </c>
      <c r="H393" s="2" t="s">
        <v>94</v>
      </c>
      <c r="I393" s="26">
        <v>45138</v>
      </c>
      <c r="J393" s="2">
        <v>16</v>
      </c>
      <c r="K393" s="2" t="s">
        <v>123</v>
      </c>
      <c r="L393" s="22">
        <v>2200</v>
      </c>
      <c r="M393" s="22">
        <v>35200</v>
      </c>
      <c r="N393" s="18">
        <v>37.65</v>
      </c>
      <c r="O393" s="26">
        <v>45183</v>
      </c>
      <c r="P393" s="2" t="s">
        <v>805</v>
      </c>
      <c r="Q393" s="2" t="s">
        <v>806</v>
      </c>
    </row>
    <row r="394" spans="2:17" x14ac:dyDescent="0.25">
      <c r="B394" s="2" t="s">
        <v>1198</v>
      </c>
      <c r="C394" s="2" t="s">
        <v>138</v>
      </c>
      <c r="D394" s="2" t="s">
        <v>139</v>
      </c>
      <c r="E394" s="2" t="s">
        <v>122</v>
      </c>
      <c r="F394" s="2" t="s">
        <v>535</v>
      </c>
      <c r="G394" s="2" t="s">
        <v>416</v>
      </c>
      <c r="H394" s="2" t="s">
        <v>94</v>
      </c>
      <c r="I394" s="26">
        <v>45145</v>
      </c>
      <c r="J394" s="2">
        <v>15</v>
      </c>
      <c r="K394" s="2" t="s">
        <v>123</v>
      </c>
      <c r="L394" s="22">
        <v>2200</v>
      </c>
      <c r="M394" s="22">
        <v>33000</v>
      </c>
      <c r="N394" s="18">
        <v>35.29</v>
      </c>
      <c r="O394" s="26">
        <v>45190</v>
      </c>
      <c r="P394" s="2" t="s">
        <v>805</v>
      </c>
      <c r="Q394" s="2" t="s">
        <v>806</v>
      </c>
    </row>
    <row r="395" spans="2:17" x14ac:dyDescent="0.25">
      <c r="B395" s="2" t="s">
        <v>1199</v>
      </c>
      <c r="C395" s="2" t="s">
        <v>138</v>
      </c>
      <c r="D395" s="2" t="s">
        <v>139</v>
      </c>
      <c r="E395" s="2" t="s">
        <v>122</v>
      </c>
      <c r="F395" s="2" t="s">
        <v>535</v>
      </c>
      <c r="G395" s="2" t="s">
        <v>416</v>
      </c>
      <c r="H395" s="2" t="s">
        <v>94</v>
      </c>
      <c r="I395" s="26">
        <v>45156</v>
      </c>
      <c r="J395" s="2">
        <v>16</v>
      </c>
      <c r="K395" s="2" t="s">
        <v>123</v>
      </c>
      <c r="L395" s="22">
        <v>2200</v>
      </c>
      <c r="M395" s="22">
        <v>35200</v>
      </c>
      <c r="N395" s="18">
        <v>37.65</v>
      </c>
      <c r="O395" s="26">
        <v>45201</v>
      </c>
      <c r="P395" s="2" t="s">
        <v>805</v>
      </c>
      <c r="Q395" s="2" t="s">
        <v>806</v>
      </c>
    </row>
    <row r="396" spans="2:17" x14ac:dyDescent="0.25">
      <c r="B396" s="2" t="s">
        <v>1200</v>
      </c>
      <c r="C396" s="2" t="s">
        <v>138</v>
      </c>
      <c r="D396" s="2" t="s">
        <v>139</v>
      </c>
      <c r="E396" s="2" t="s">
        <v>122</v>
      </c>
      <c r="F396" s="2" t="s">
        <v>535</v>
      </c>
      <c r="G396" s="2" t="s">
        <v>416</v>
      </c>
      <c r="H396" s="2" t="s">
        <v>94</v>
      </c>
      <c r="I396" s="26">
        <v>45166</v>
      </c>
      <c r="J396" s="2">
        <v>16</v>
      </c>
      <c r="K396" s="2" t="s">
        <v>123</v>
      </c>
      <c r="L396" s="22">
        <v>2200</v>
      </c>
      <c r="M396" s="22">
        <v>35200</v>
      </c>
      <c r="N396" s="18">
        <v>37.65</v>
      </c>
      <c r="O396" s="26">
        <v>45211</v>
      </c>
      <c r="P396" s="2" t="s">
        <v>805</v>
      </c>
      <c r="Q396" s="2" t="s">
        <v>806</v>
      </c>
    </row>
    <row r="397" spans="2:17" x14ac:dyDescent="0.25">
      <c r="B397" s="2" t="s">
        <v>1201</v>
      </c>
      <c r="C397" s="2" t="s">
        <v>138</v>
      </c>
      <c r="D397" s="2" t="s">
        <v>139</v>
      </c>
      <c r="E397" s="2" t="s">
        <v>122</v>
      </c>
      <c r="F397" s="2" t="s">
        <v>535</v>
      </c>
      <c r="G397" s="2" t="s">
        <v>416</v>
      </c>
      <c r="H397" s="2" t="s">
        <v>94</v>
      </c>
      <c r="I397" s="26">
        <v>45176</v>
      </c>
      <c r="J397" s="2">
        <v>20</v>
      </c>
      <c r="K397" s="2" t="s">
        <v>123</v>
      </c>
      <c r="L397" s="22">
        <v>2200</v>
      </c>
      <c r="M397" s="22">
        <v>44000</v>
      </c>
      <c r="N397" s="18">
        <v>47.06</v>
      </c>
      <c r="O397" s="26">
        <v>45221</v>
      </c>
      <c r="P397" s="2" t="s">
        <v>805</v>
      </c>
      <c r="Q397" s="2" t="s">
        <v>814</v>
      </c>
    </row>
    <row r="398" spans="2:17" x14ac:dyDescent="0.25">
      <c r="B398" s="2" t="s">
        <v>1202</v>
      </c>
      <c r="C398" s="2" t="s">
        <v>138</v>
      </c>
      <c r="D398" s="2" t="s">
        <v>139</v>
      </c>
      <c r="E398" s="2" t="s">
        <v>122</v>
      </c>
      <c r="F398" s="2" t="s">
        <v>535</v>
      </c>
      <c r="G398" s="2" t="s">
        <v>416</v>
      </c>
      <c r="H398" s="2" t="s">
        <v>94</v>
      </c>
      <c r="I398" s="26">
        <v>45186</v>
      </c>
      <c r="J398" s="2">
        <v>18</v>
      </c>
      <c r="K398" s="2" t="s">
        <v>123</v>
      </c>
      <c r="L398" s="22">
        <v>2200</v>
      </c>
      <c r="M398" s="22">
        <v>39600</v>
      </c>
      <c r="N398" s="18">
        <v>42.35</v>
      </c>
      <c r="O398" s="26">
        <v>45231</v>
      </c>
      <c r="P398" s="2" t="s">
        <v>805</v>
      </c>
      <c r="Q398" s="2" t="s">
        <v>814</v>
      </c>
    </row>
    <row r="399" spans="2:17" x14ac:dyDescent="0.25">
      <c r="B399" s="2" t="s">
        <v>1203</v>
      </c>
      <c r="C399" s="2" t="s">
        <v>138</v>
      </c>
      <c r="D399" s="2" t="s">
        <v>139</v>
      </c>
      <c r="E399" s="2" t="s">
        <v>122</v>
      </c>
      <c r="F399" s="2" t="s">
        <v>535</v>
      </c>
      <c r="G399" s="2" t="s">
        <v>416</v>
      </c>
      <c r="H399" s="2" t="s">
        <v>94</v>
      </c>
      <c r="I399" s="26">
        <v>45196</v>
      </c>
      <c r="J399" s="2">
        <v>18</v>
      </c>
      <c r="K399" s="2" t="s">
        <v>123</v>
      </c>
      <c r="L399" s="22">
        <v>2200</v>
      </c>
      <c r="M399" s="22">
        <v>39600</v>
      </c>
      <c r="N399" s="18">
        <v>42.35</v>
      </c>
      <c r="O399" s="26">
        <v>45241</v>
      </c>
      <c r="P399" s="2" t="s">
        <v>805</v>
      </c>
      <c r="Q399" s="2" t="s">
        <v>814</v>
      </c>
    </row>
    <row r="400" spans="2:17" x14ac:dyDescent="0.25">
      <c r="B400" s="2" t="s">
        <v>1204</v>
      </c>
      <c r="C400" s="2" t="s">
        <v>138</v>
      </c>
      <c r="D400" s="2" t="s">
        <v>139</v>
      </c>
      <c r="E400" s="2" t="s">
        <v>122</v>
      </c>
      <c r="F400" s="2" t="s">
        <v>535</v>
      </c>
      <c r="G400" s="2" t="s">
        <v>416</v>
      </c>
      <c r="H400" s="2" t="s">
        <v>94</v>
      </c>
      <c r="I400" s="26">
        <v>45203</v>
      </c>
      <c r="J400" s="2">
        <v>46</v>
      </c>
      <c r="K400" s="2" t="s">
        <v>123</v>
      </c>
      <c r="L400" s="22">
        <v>2200</v>
      </c>
      <c r="M400" s="22">
        <v>101200</v>
      </c>
      <c r="N400" s="18">
        <v>108.24</v>
      </c>
      <c r="O400" s="26">
        <v>45248</v>
      </c>
      <c r="P400" s="2" t="s">
        <v>805</v>
      </c>
      <c r="Q400" s="2" t="s">
        <v>814</v>
      </c>
    </row>
    <row r="401" spans="2:17" x14ac:dyDescent="0.25">
      <c r="B401" s="2" t="s">
        <v>1205</v>
      </c>
      <c r="C401" s="2" t="s">
        <v>138</v>
      </c>
      <c r="D401" s="2" t="s">
        <v>139</v>
      </c>
      <c r="E401" s="2" t="s">
        <v>122</v>
      </c>
      <c r="F401" s="2" t="s">
        <v>535</v>
      </c>
      <c r="G401" s="2" t="s">
        <v>416</v>
      </c>
      <c r="H401" s="2" t="s">
        <v>94</v>
      </c>
      <c r="I401" s="26">
        <v>45213</v>
      </c>
      <c r="J401" s="2">
        <v>45</v>
      </c>
      <c r="K401" s="2" t="s">
        <v>123</v>
      </c>
      <c r="L401" s="22">
        <v>2200</v>
      </c>
      <c r="M401" s="22">
        <v>99000</v>
      </c>
      <c r="N401" s="18">
        <v>105.88</v>
      </c>
      <c r="O401" s="26">
        <v>45258</v>
      </c>
      <c r="P401" s="2" t="s">
        <v>805</v>
      </c>
      <c r="Q401" s="2" t="s">
        <v>814</v>
      </c>
    </row>
    <row r="402" spans="2:17" x14ac:dyDescent="0.25">
      <c r="B402" s="2" t="s">
        <v>1206</v>
      </c>
      <c r="C402" s="2" t="s">
        <v>138</v>
      </c>
      <c r="D402" s="2" t="s">
        <v>139</v>
      </c>
      <c r="E402" s="2" t="s">
        <v>122</v>
      </c>
      <c r="F402" s="2" t="s">
        <v>535</v>
      </c>
      <c r="G402" s="2" t="s">
        <v>416</v>
      </c>
      <c r="H402" s="2" t="s">
        <v>94</v>
      </c>
      <c r="I402" s="26">
        <v>45220</v>
      </c>
      <c r="J402" s="2">
        <v>44</v>
      </c>
      <c r="K402" s="2" t="s">
        <v>123</v>
      </c>
      <c r="L402" s="22">
        <v>2200</v>
      </c>
      <c r="M402" s="22">
        <v>96800</v>
      </c>
      <c r="N402" s="18">
        <v>103.53</v>
      </c>
      <c r="O402" s="26">
        <v>45265</v>
      </c>
      <c r="P402" s="2" t="s">
        <v>805</v>
      </c>
      <c r="Q402" s="2" t="s">
        <v>814</v>
      </c>
    </row>
    <row r="403" spans="2:17" x14ac:dyDescent="0.25">
      <c r="B403" s="2" t="s">
        <v>1207</v>
      </c>
      <c r="C403" s="2" t="s">
        <v>138</v>
      </c>
      <c r="D403" s="2" t="s">
        <v>139</v>
      </c>
      <c r="E403" s="2" t="s">
        <v>122</v>
      </c>
      <c r="F403" s="2" t="s">
        <v>535</v>
      </c>
      <c r="G403" s="2" t="s">
        <v>416</v>
      </c>
      <c r="H403" s="2" t="s">
        <v>94</v>
      </c>
      <c r="I403" s="26">
        <v>45229</v>
      </c>
      <c r="J403" s="2">
        <v>46</v>
      </c>
      <c r="K403" s="2" t="s">
        <v>123</v>
      </c>
      <c r="L403" s="22">
        <v>2200</v>
      </c>
      <c r="M403" s="22">
        <v>101200</v>
      </c>
      <c r="N403" s="18">
        <v>108.24</v>
      </c>
      <c r="O403" s="26">
        <v>45274</v>
      </c>
      <c r="P403" s="2" t="s">
        <v>805</v>
      </c>
      <c r="Q403" s="2" t="s">
        <v>814</v>
      </c>
    </row>
    <row r="404" spans="2:17" x14ac:dyDescent="0.25">
      <c r="B404" s="2" t="s">
        <v>1208</v>
      </c>
      <c r="C404" s="2" t="s">
        <v>138</v>
      </c>
      <c r="D404" s="2" t="s">
        <v>139</v>
      </c>
      <c r="E404" s="2" t="s">
        <v>122</v>
      </c>
      <c r="F404" s="2" t="s">
        <v>537</v>
      </c>
      <c r="G404" s="2" t="s">
        <v>420</v>
      </c>
      <c r="H404" s="2" t="s">
        <v>421</v>
      </c>
      <c r="I404" s="26">
        <v>45238</v>
      </c>
      <c r="J404" s="2">
        <v>36</v>
      </c>
      <c r="K404" s="2" t="s">
        <v>123</v>
      </c>
      <c r="L404" s="22">
        <v>2200</v>
      </c>
      <c r="M404" s="22">
        <v>79200</v>
      </c>
      <c r="N404" s="18">
        <v>84.71</v>
      </c>
      <c r="O404" s="26">
        <v>45283</v>
      </c>
      <c r="P404" s="2" t="s">
        <v>805</v>
      </c>
      <c r="Q404" s="2" t="s">
        <v>814</v>
      </c>
    </row>
    <row r="405" spans="2:17" x14ac:dyDescent="0.25">
      <c r="B405" s="2" t="s">
        <v>1209</v>
      </c>
      <c r="C405" s="2" t="s">
        <v>138</v>
      </c>
      <c r="D405" s="2" t="s">
        <v>139</v>
      </c>
      <c r="E405" s="2" t="s">
        <v>122</v>
      </c>
      <c r="F405" s="2" t="s">
        <v>535</v>
      </c>
      <c r="G405" s="2" t="s">
        <v>416</v>
      </c>
      <c r="H405" s="2" t="s">
        <v>94</v>
      </c>
      <c r="I405" s="26">
        <v>45248</v>
      </c>
      <c r="J405" s="2">
        <v>46</v>
      </c>
      <c r="K405" s="2" t="s">
        <v>123</v>
      </c>
      <c r="L405" s="22">
        <v>2200</v>
      </c>
      <c r="M405" s="22">
        <v>101200</v>
      </c>
      <c r="N405" s="18">
        <v>108.24</v>
      </c>
      <c r="O405" s="26">
        <v>45293</v>
      </c>
      <c r="P405" s="2" t="s">
        <v>805</v>
      </c>
      <c r="Q405" s="2" t="s">
        <v>814</v>
      </c>
    </row>
    <row r="406" spans="2:17" x14ac:dyDescent="0.25">
      <c r="B406" s="2" t="s">
        <v>1210</v>
      </c>
      <c r="C406" s="2" t="s">
        <v>138</v>
      </c>
      <c r="D406" s="2" t="s">
        <v>139</v>
      </c>
      <c r="E406" s="2" t="s">
        <v>122</v>
      </c>
      <c r="F406" s="2" t="s">
        <v>535</v>
      </c>
      <c r="G406" s="2" t="s">
        <v>416</v>
      </c>
      <c r="H406" s="2" t="s">
        <v>94</v>
      </c>
      <c r="I406" s="26">
        <v>45256</v>
      </c>
      <c r="J406" s="2">
        <v>38</v>
      </c>
      <c r="K406" s="2" t="s">
        <v>123</v>
      </c>
      <c r="L406" s="22">
        <v>2200</v>
      </c>
      <c r="M406" s="22">
        <v>83600</v>
      </c>
      <c r="N406" s="18">
        <v>89.41</v>
      </c>
      <c r="O406" s="26">
        <v>45301</v>
      </c>
      <c r="P406" s="2" t="s">
        <v>805</v>
      </c>
      <c r="Q406" s="2" t="s">
        <v>814</v>
      </c>
    </row>
    <row r="407" spans="2:17" x14ac:dyDescent="0.25">
      <c r="B407" s="2" t="s">
        <v>1211</v>
      </c>
      <c r="C407" s="2" t="s">
        <v>138</v>
      </c>
      <c r="D407" s="2" t="s">
        <v>139</v>
      </c>
      <c r="E407" s="2" t="s">
        <v>122</v>
      </c>
      <c r="F407" s="2" t="s">
        <v>535</v>
      </c>
      <c r="G407" s="2" t="s">
        <v>416</v>
      </c>
      <c r="H407" s="2" t="s">
        <v>94</v>
      </c>
      <c r="I407" s="26">
        <v>45265</v>
      </c>
      <c r="J407" s="2">
        <v>55</v>
      </c>
      <c r="K407" s="2" t="s">
        <v>123</v>
      </c>
      <c r="L407" s="22">
        <v>2200</v>
      </c>
      <c r="M407" s="22">
        <v>121000</v>
      </c>
      <c r="N407" s="18">
        <v>129.41</v>
      </c>
      <c r="O407" s="26">
        <v>45310</v>
      </c>
      <c r="P407" s="2" t="s">
        <v>805</v>
      </c>
      <c r="Q407" s="2" t="s">
        <v>825</v>
      </c>
    </row>
    <row r="408" spans="2:17" x14ac:dyDescent="0.25">
      <c r="B408" s="2" t="s">
        <v>1212</v>
      </c>
      <c r="C408" s="2" t="s">
        <v>138</v>
      </c>
      <c r="D408" s="2" t="s">
        <v>139</v>
      </c>
      <c r="E408" s="2" t="s">
        <v>122</v>
      </c>
      <c r="F408" s="2" t="s">
        <v>535</v>
      </c>
      <c r="G408" s="2" t="s">
        <v>416</v>
      </c>
      <c r="H408" s="2" t="s">
        <v>94</v>
      </c>
      <c r="I408" s="26">
        <v>45275</v>
      </c>
      <c r="J408" s="2">
        <v>45</v>
      </c>
      <c r="K408" s="2" t="s">
        <v>123</v>
      </c>
      <c r="L408" s="22">
        <v>2200</v>
      </c>
      <c r="M408" s="22">
        <v>99000</v>
      </c>
      <c r="N408" s="18">
        <v>105.88</v>
      </c>
      <c r="O408" s="26">
        <v>45320</v>
      </c>
      <c r="P408" s="2" t="s">
        <v>805</v>
      </c>
      <c r="Q408" s="2" t="s">
        <v>825</v>
      </c>
    </row>
    <row r="409" spans="2:17" x14ac:dyDescent="0.25">
      <c r="B409" s="2" t="s">
        <v>1213</v>
      </c>
      <c r="C409" s="2" t="s">
        <v>138</v>
      </c>
      <c r="D409" s="2" t="s">
        <v>139</v>
      </c>
      <c r="E409" s="2" t="s">
        <v>122</v>
      </c>
      <c r="F409" s="2" t="s">
        <v>537</v>
      </c>
      <c r="G409" s="2" t="s">
        <v>420</v>
      </c>
      <c r="H409" s="2" t="s">
        <v>421</v>
      </c>
      <c r="I409" s="26">
        <v>45284</v>
      </c>
      <c r="J409" s="2">
        <v>52</v>
      </c>
      <c r="K409" s="2" t="s">
        <v>123</v>
      </c>
      <c r="L409" s="22">
        <v>2200</v>
      </c>
      <c r="M409" s="22">
        <v>114400</v>
      </c>
      <c r="N409" s="18">
        <v>122.35</v>
      </c>
      <c r="O409" s="26">
        <v>45329</v>
      </c>
      <c r="P409" s="2" t="s">
        <v>805</v>
      </c>
      <c r="Q409" s="2" t="s">
        <v>825</v>
      </c>
    </row>
    <row r="410" spans="2:17" x14ac:dyDescent="0.25">
      <c r="B410" s="2" t="s">
        <v>1214</v>
      </c>
      <c r="C410" s="2" t="s">
        <v>138</v>
      </c>
      <c r="D410" s="2" t="s">
        <v>139</v>
      </c>
      <c r="E410" s="2" t="s">
        <v>122</v>
      </c>
      <c r="F410" s="2" t="s">
        <v>535</v>
      </c>
      <c r="G410" s="2" t="s">
        <v>416</v>
      </c>
      <c r="H410" s="2" t="s">
        <v>94</v>
      </c>
      <c r="I410" s="26">
        <v>45294</v>
      </c>
      <c r="J410" s="2">
        <v>38</v>
      </c>
      <c r="K410" s="2" t="s">
        <v>123</v>
      </c>
      <c r="L410" s="22">
        <v>2200</v>
      </c>
      <c r="M410" s="22">
        <v>83600</v>
      </c>
      <c r="N410" s="18">
        <v>89.41</v>
      </c>
      <c r="O410" s="26">
        <v>45339</v>
      </c>
      <c r="P410" s="2" t="s">
        <v>805</v>
      </c>
      <c r="Q410" s="2" t="s">
        <v>825</v>
      </c>
    </row>
    <row r="411" spans="2:17" x14ac:dyDescent="0.25">
      <c r="B411" s="2" t="s">
        <v>1215</v>
      </c>
      <c r="C411" s="2" t="s">
        <v>138</v>
      </c>
      <c r="D411" s="2" t="s">
        <v>139</v>
      </c>
      <c r="E411" s="2" t="s">
        <v>122</v>
      </c>
      <c r="F411" s="2" t="s">
        <v>535</v>
      </c>
      <c r="G411" s="2" t="s">
        <v>416</v>
      </c>
      <c r="H411" s="2" t="s">
        <v>94</v>
      </c>
      <c r="I411" s="26">
        <v>45303</v>
      </c>
      <c r="J411" s="2">
        <v>39</v>
      </c>
      <c r="K411" s="2" t="s">
        <v>123</v>
      </c>
      <c r="L411" s="22">
        <v>2200</v>
      </c>
      <c r="M411" s="22">
        <v>85800</v>
      </c>
      <c r="N411" s="18">
        <v>91.76</v>
      </c>
      <c r="O411" s="26">
        <v>45348</v>
      </c>
      <c r="P411" s="2" t="s">
        <v>805</v>
      </c>
      <c r="Q411" s="2" t="s">
        <v>825</v>
      </c>
    </row>
    <row r="412" spans="2:17" x14ac:dyDescent="0.25">
      <c r="B412" s="2" t="s">
        <v>1216</v>
      </c>
      <c r="C412" s="2" t="s">
        <v>138</v>
      </c>
      <c r="D412" s="2" t="s">
        <v>139</v>
      </c>
      <c r="E412" s="2" t="s">
        <v>122</v>
      </c>
      <c r="F412" s="2" t="s">
        <v>535</v>
      </c>
      <c r="G412" s="2" t="s">
        <v>416</v>
      </c>
      <c r="H412" s="2" t="s">
        <v>94</v>
      </c>
      <c r="I412" s="26">
        <v>45311</v>
      </c>
      <c r="J412" s="2">
        <v>40</v>
      </c>
      <c r="K412" s="2" t="s">
        <v>123</v>
      </c>
      <c r="L412" s="22">
        <v>2200</v>
      </c>
      <c r="M412" s="22">
        <v>88000</v>
      </c>
      <c r="N412" s="18">
        <v>94.12</v>
      </c>
      <c r="O412" s="26">
        <v>45356</v>
      </c>
      <c r="P412" s="2" t="s">
        <v>805</v>
      </c>
      <c r="Q412" s="2" t="s">
        <v>825</v>
      </c>
    </row>
    <row r="413" spans="2:17" x14ac:dyDescent="0.25">
      <c r="B413" s="2" t="s">
        <v>1217</v>
      </c>
      <c r="C413" s="2" t="s">
        <v>138</v>
      </c>
      <c r="D413" s="2" t="s">
        <v>139</v>
      </c>
      <c r="E413" s="2" t="s">
        <v>122</v>
      </c>
      <c r="F413" s="2" t="s">
        <v>535</v>
      </c>
      <c r="G413" s="2" t="s">
        <v>416</v>
      </c>
      <c r="H413" s="2" t="s">
        <v>94</v>
      </c>
      <c r="I413" s="26">
        <v>45321</v>
      </c>
      <c r="J413" s="2">
        <v>39</v>
      </c>
      <c r="K413" s="2" t="s">
        <v>123</v>
      </c>
      <c r="L413" s="22">
        <v>2200</v>
      </c>
      <c r="M413" s="22">
        <v>85800</v>
      </c>
      <c r="N413" s="18">
        <v>91.76</v>
      </c>
      <c r="O413" s="26">
        <v>45366</v>
      </c>
      <c r="P413" s="2" t="s">
        <v>805</v>
      </c>
      <c r="Q413" s="2" t="s">
        <v>825</v>
      </c>
    </row>
    <row r="414" spans="2:17" x14ac:dyDescent="0.25">
      <c r="B414" s="2" t="s">
        <v>1218</v>
      </c>
      <c r="C414" s="2" t="s">
        <v>138</v>
      </c>
      <c r="D414" s="2" t="s">
        <v>139</v>
      </c>
      <c r="E414" s="2" t="s">
        <v>122</v>
      </c>
      <c r="F414" s="2" t="s">
        <v>535</v>
      </c>
      <c r="G414" s="2" t="s">
        <v>416</v>
      </c>
      <c r="H414" s="2" t="s">
        <v>94</v>
      </c>
      <c r="I414" s="26">
        <v>45331</v>
      </c>
      <c r="J414" s="2">
        <v>42</v>
      </c>
      <c r="K414" s="2" t="s">
        <v>123</v>
      </c>
      <c r="L414" s="22">
        <v>2200</v>
      </c>
      <c r="M414" s="22">
        <v>92400</v>
      </c>
      <c r="N414" s="18">
        <v>98.82</v>
      </c>
      <c r="O414" s="26">
        <v>45376</v>
      </c>
      <c r="P414" s="2" t="s">
        <v>805</v>
      </c>
      <c r="Q414" s="2" t="s">
        <v>825</v>
      </c>
    </row>
    <row r="415" spans="2:17" x14ac:dyDescent="0.25">
      <c r="B415" s="2" t="s">
        <v>1219</v>
      </c>
      <c r="C415" s="2" t="s">
        <v>138</v>
      </c>
      <c r="D415" s="2" t="s">
        <v>139</v>
      </c>
      <c r="E415" s="2" t="s">
        <v>122</v>
      </c>
      <c r="F415" s="2" t="s">
        <v>535</v>
      </c>
      <c r="G415" s="2" t="s">
        <v>416</v>
      </c>
      <c r="H415" s="2" t="s">
        <v>94</v>
      </c>
      <c r="I415" s="26">
        <v>45340</v>
      </c>
      <c r="J415" s="2">
        <v>36</v>
      </c>
      <c r="K415" s="2" t="s">
        <v>123</v>
      </c>
      <c r="L415" s="22">
        <v>2200</v>
      </c>
      <c r="M415" s="22">
        <v>79200</v>
      </c>
      <c r="N415" s="18">
        <v>84.71</v>
      </c>
      <c r="O415" s="26">
        <v>45385</v>
      </c>
      <c r="P415" s="2" t="s">
        <v>805</v>
      </c>
      <c r="Q415" s="2" t="s">
        <v>825</v>
      </c>
    </row>
    <row r="416" spans="2:17" x14ac:dyDescent="0.25">
      <c r="B416" s="2" t="s">
        <v>1220</v>
      </c>
      <c r="C416" s="2" t="s">
        <v>138</v>
      </c>
      <c r="D416" s="2" t="s">
        <v>139</v>
      </c>
      <c r="E416" s="2" t="s">
        <v>122</v>
      </c>
      <c r="F416" s="2" t="s">
        <v>535</v>
      </c>
      <c r="G416" s="2" t="s">
        <v>416</v>
      </c>
      <c r="H416" s="2" t="s">
        <v>94</v>
      </c>
      <c r="I416" s="26">
        <v>45350</v>
      </c>
      <c r="J416" s="2">
        <v>34</v>
      </c>
      <c r="K416" s="2" t="s">
        <v>123</v>
      </c>
      <c r="L416" s="22">
        <v>2200</v>
      </c>
      <c r="M416" s="22">
        <v>74800</v>
      </c>
      <c r="N416" s="18">
        <v>80</v>
      </c>
      <c r="O416" s="26">
        <v>45395</v>
      </c>
      <c r="P416" s="2" t="s">
        <v>805</v>
      </c>
      <c r="Q416" s="2" t="s">
        <v>825</v>
      </c>
    </row>
    <row r="417" spans="2:17" x14ac:dyDescent="0.25">
      <c r="B417" s="2" t="s">
        <v>1221</v>
      </c>
      <c r="C417" s="2" t="s">
        <v>138</v>
      </c>
      <c r="D417" s="2" t="s">
        <v>139</v>
      </c>
      <c r="E417" s="2" t="s">
        <v>122</v>
      </c>
      <c r="F417" s="2" t="s">
        <v>535</v>
      </c>
      <c r="G417" s="2" t="s">
        <v>416</v>
      </c>
      <c r="H417" s="2" t="s">
        <v>94</v>
      </c>
      <c r="I417" s="26">
        <v>45357</v>
      </c>
      <c r="J417" s="2">
        <v>44</v>
      </c>
      <c r="K417" s="2" t="s">
        <v>123</v>
      </c>
      <c r="L417" s="22">
        <v>2200</v>
      </c>
      <c r="M417" s="22">
        <v>96800</v>
      </c>
      <c r="N417" s="18">
        <v>103.53</v>
      </c>
      <c r="O417" s="26">
        <v>45402</v>
      </c>
      <c r="P417" s="2" t="s">
        <v>805</v>
      </c>
      <c r="Q417" s="2" t="s">
        <v>836</v>
      </c>
    </row>
    <row r="418" spans="2:17" x14ac:dyDescent="0.25">
      <c r="B418" s="2" t="s">
        <v>1222</v>
      </c>
      <c r="C418" s="2" t="s">
        <v>138</v>
      </c>
      <c r="D418" s="2" t="s">
        <v>139</v>
      </c>
      <c r="E418" s="2" t="s">
        <v>122</v>
      </c>
      <c r="F418" s="2" t="s">
        <v>535</v>
      </c>
      <c r="G418" s="2" t="s">
        <v>416</v>
      </c>
      <c r="H418" s="2" t="s">
        <v>94</v>
      </c>
      <c r="I418" s="26">
        <v>45367</v>
      </c>
      <c r="J418" s="2">
        <v>37</v>
      </c>
      <c r="K418" s="2" t="s">
        <v>123</v>
      </c>
      <c r="L418" s="22">
        <v>2200</v>
      </c>
      <c r="M418" s="22">
        <v>81400</v>
      </c>
      <c r="N418" s="18">
        <v>87.06</v>
      </c>
      <c r="O418" s="26">
        <v>45412</v>
      </c>
      <c r="P418" s="2" t="s">
        <v>805</v>
      </c>
      <c r="Q418" s="2" t="s">
        <v>836</v>
      </c>
    </row>
    <row r="419" spans="2:17" x14ac:dyDescent="0.25">
      <c r="B419" s="2" t="s">
        <v>1223</v>
      </c>
      <c r="C419" s="2" t="s">
        <v>138</v>
      </c>
      <c r="D419" s="2" t="s">
        <v>139</v>
      </c>
      <c r="E419" s="2" t="s">
        <v>122</v>
      </c>
      <c r="F419" s="2" t="s">
        <v>535</v>
      </c>
      <c r="G419" s="2" t="s">
        <v>416</v>
      </c>
      <c r="H419" s="2" t="s">
        <v>94</v>
      </c>
      <c r="I419" s="26">
        <v>45375</v>
      </c>
      <c r="J419" s="2">
        <v>38</v>
      </c>
      <c r="K419" s="2" t="s">
        <v>123</v>
      </c>
      <c r="L419" s="22">
        <v>2200</v>
      </c>
      <c r="M419" s="22">
        <v>83600</v>
      </c>
      <c r="N419" s="18">
        <v>89.41</v>
      </c>
      <c r="O419" s="26">
        <v>45420</v>
      </c>
      <c r="P419" s="2" t="s">
        <v>805</v>
      </c>
      <c r="Q419" s="2" t="s">
        <v>836</v>
      </c>
    </row>
    <row r="420" spans="2:17" x14ac:dyDescent="0.25">
      <c r="B420" s="2" t="s">
        <v>1224</v>
      </c>
      <c r="C420" s="2" t="s">
        <v>138</v>
      </c>
      <c r="D420" s="2" t="s">
        <v>139</v>
      </c>
      <c r="E420" s="2" t="s">
        <v>122</v>
      </c>
      <c r="F420" s="2" t="s">
        <v>535</v>
      </c>
      <c r="G420" s="2" t="s">
        <v>416</v>
      </c>
      <c r="H420" s="2" t="s">
        <v>94</v>
      </c>
      <c r="I420" s="26">
        <v>45387</v>
      </c>
      <c r="J420" s="2">
        <v>14</v>
      </c>
      <c r="K420" s="2" t="s">
        <v>123</v>
      </c>
      <c r="L420" s="22">
        <v>2200</v>
      </c>
      <c r="M420" s="22">
        <v>30800</v>
      </c>
      <c r="N420" s="18">
        <v>32.94</v>
      </c>
      <c r="O420" s="26">
        <v>45432</v>
      </c>
      <c r="P420" s="2" t="s">
        <v>805</v>
      </c>
      <c r="Q420" s="2" t="s">
        <v>836</v>
      </c>
    </row>
    <row r="421" spans="2:17" x14ac:dyDescent="0.25">
      <c r="B421" s="2" t="s">
        <v>1225</v>
      </c>
      <c r="C421" s="2" t="s">
        <v>138</v>
      </c>
      <c r="D421" s="2" t="s">
        <v>139</v>
      </c>
      <c r="E421" s="2" t="s">
        <v>122</v>
      </c>
      <c r="F421" s="2" t="s">
        <v>535</v>
      </c>
      <c r="G421" s="2" t="s">
        <v>416</v>
      </c>
      <c r="H421" s="2" t="s">
        <v>94</v>
      </c>
      <c r="I421" s="26">
        <v>45394</v>
      </c>
      <c r="J421" s="2">
        <v>13</v>
      </c>
      <c r="K421" s="2" t="s">
        <v>123</v>
      </c>
      <c r="L421" s="22">
        <v>2200</v>
      </c>
      <c r="M421" s="22">
        <v>28600</v>
      </c>
      <c r="N421" s="18">
        <v>30.59</v>
      </c>
      <c r="O421" s="26">
        <v>45439</v>
      </c>
      <c r="P421" s="2" t="s">
        <v>805</v>
      </c>
      <c r="Q421" s="2" t="s">
        <v>836</v>
      </c>
    </row>
    <row r="422" spans="2:17" x14ac:dyDescent="0.25">
      <c r="B422" s="2" t="s">
        <v>1226</v>
      </c>
      <c r="C422" s="2" t="s">
        <v>138</v>
      </c>
      <c r="D422" s="2" t="s">
        <v>139</v>
      </c>
      <c r="E422" s="2" t="s">
        <v>122</v>
      </c>
      <c r="F422" s="2" t="s">
        <v>535</v>
      </c>
      <c r="G422" s="2" t="s">
        <v>416</v>
      </c>
      <c r="H422" s="2" t="s">
        <v>94</v>
      </c>
      <c r="I422" s="26">
        <v>45405</v>
      </c>
      <c r="J422" s="2">
        <v>16</v>
      </c>
      <c r="K422" s="2" t="s">
        <v>123</v>
      </c>
      <c r="L422" s="22">
        <v>2200</v>
      </c>
      <c r="M422" s="22">
        <v>35200</v>
      </c>
      <c r="N422" s="18">
        <v>37.65</v>
      </c>
      <c r="O422" s="26">
        <v>45450</v>
      </c>
      <c r="P422" s="2" t="s">
        <v>805</v>
      </c>
      <c r="Q422" s="2" t="s">
        <v>836</v>
      </c>
    </row>
    <row r="423" spans="2:17" x14ac:dyDescent="0.25">
      <c r="B423" s="2" t="s">
        <v>1227</v>
      </c>
      <c r="C423" s="2" t="s">
        <v>138</v>
      </c>
      <c r="D423" s="2" t="s">
        <v>139</v>
      </c>
      <c r="E423" s="2" t="s">
        <v>122</v>
      </c>
      <c r="F423" s="2" t="s">
        <v>535</v>
      </c>
      <c r="G423" s="2" t="s">
        <v>416</v>
      </c>
      <c r="H423" s="2" t="s">
        <v>94</v>
      </c>
      <c r="I423" s="26">
        <v>45413</v>
      </c>
      <c r="J423" s="2">
        <v>16</v>
      </c>
      <c r="K423" s="2" t="s">
        <v>123</v>
      </c>
      <c r="L423" s="22">
        <v>2200</v>
      </c>
      <c r="M423" s="22">
        <v>35200</v>
      </c>
      <c r="N423" s="18">
        <v>37.65</v>
      </c>
      <c r="O423" s="26">
        <v>45458</v>
      </c>
      <c r="P423" s="2" t="s">
        <v>805</v>
      </c>
      <c r="Q423" s="2" t="s">
        <v>836</v>
      </c>
    </row>
    <row r="424" spans="2:17" x14ac:dyDescent="0.25">
      <c r="B424" s="2" t="s">
        <v>1228</v>
      </c>
      <c r="C424" s="2" t="s">
        <v>138</v>
      </c>
      <c r="D424" s="2" t="s">
        <v>139</v>
      </c>
      <c r="E424" s="2" t="s">
        <v>122</v>
      </c>
      <c r="F424" s="2" t="s">
        <v>535</v>
      </c>
      <c r="G424" s="2" t="s">
        <v>416</v>
      </c>
      <c r="H424" s="2" t="s">
        <v>94</v>
      </c>
      <c r="I424" s="26">
        <v>45420</v>
      </c>
      <c r="J424" s="2">
        <v>14</v>
      </c>
      <c r="K424" s="2" t="s">
        <v>123</v>
      </c>
      <c r="L424" s="22">
        <v>2200</v>
      </c>
      <c r="M424" s="22">
        <v>30800</v>
      </c>
      <c r="N424" s="18">
        <v>32.94</v>
      </c>
      <c r="O424" s="26">
        <v>45465</v>
      </c>
      <c r="P424" s="2" t="s">
        <v>805</v>
      </c>
      <c r="Q424" s="2" t="s">
        <v>836</v>
      </c>
    </row>
    <row r="425" spans="2:17" x14ac:dyDescent="0.25">
      <c r="B425" s="2" t="s">
        <v>1229</v>
      </c>
      <c r="C425" s="2" t="s">
        <v>138</v>
      </c>
      <c r="D425" s="2" t="s">
        <v>139</v>
      </c>
      <c r="E425" s="2" t="s">
        <v>122</v>
      </c>
      <c r="F425" s="2" t="s">
        <v>535</v>
      </c>
      <c r="G425" s="2" t="s">
        <v>416</v>
      </c>
      <c r="H425" s="2" t="s">
        <v>94</v>
      </c>
      <c r="I425" s="26">
        <v>45427</v>
      </c>
      <c r="J425" s="2">
        <v>17</v>
      </c>
      <c r="K425" s="2" t="s">
        <v>123</v>
      </c>
      <c r="L425" s="22">
        <v>2200</v>
      </c>
      <c r="M425" s="22">
        <v>37400</v>
      </c>
      <c r="N425" s="18">
        <v>40</v>
      </c>
      <c r="O425" s="26">
        <v>45472</v>
      </c>
      <c r="P425" s="2" t="s">
        <v>805</v>
      </c>
      <c r="Q425" s="2" t="s">
        <v>836</v>
      </c>
    </row>
    <row r="426" spans="2:17" x14ac:dyDescent="0.25">
      <c r="B426" s="2" t="s">
        <v>1230</v>
      </c>
      <c r="C426" s="2" t="s">
        <v>138</v>
      </c>
      <c r="D426" s="2" t="s">
        <v>139</v>
      </c>
      <c r="E426" s="2" t="s">
        <v>122</v>
      </c>
      <c r="F426" s="2" t="s">
        <v>537</v>
      </c>
      <c r="G426" s="2" t="s">
        <v>420</v>
      </c>
      <c r="H426" s="2" t="s">
        <v>421</v>
      </c>
      <c r="I426" s="26">
        <v>45438</v>
      </c>
      <c r="J426" s="2">
        <v>16</v>
      </c>
      <c r="K426" s="2" t="s">
        <v>123</v>
      </c>
      <c r="L426" s="22">
        <v>2200</v>
      </c>
      <c r="M426" s="22">
        <v>35200</v>
      </c>
      <c r="N426" s="18">
        <v>37.65</v>
      </c>
      <c r="O426" s="26">
        <v>45483</v>
      </c>
      <c r="P426" s="2" t="s">
        <v>805</v>
      </c>
      <c r="Q426" s="2" t="s">
        <v>836</v>
      </c>
    </row>
    <row r="427" spans="2:17" x14ac:dyDescent="0.25">
      <c r="B427" s="2" t="s">
        <v>1231</v>
      </c>
      <c r="C427" s="2" t="s">
        <v>138</v>
      </c>
      <c r="D427" s="2" t="s">
        <v>139</v>
      </c>
      <c r="E427" s="2" t="s">
        <v>122</v>
      </c>
      <c r="F427" s="2" t="s">
        <v>535</v>
      </c>
      <c r="G427" s="2" t="s">
        <v>416</v>
      </c>
      <c r="H427" s="2" t="s">
        <v>94</v>
      </c>
      <c r="I427" s="26">
        <v>45445</v>
      </c>
      <c r="J427" s="2">
        <v>13</v>
      </c>
      <c r="K427" s="2" t="s">
        <v>123</v>
      </c>
      <c r="L427" s="22">
        <v>2200</v>
      </c>
      <c r="M427" s="22">
        <v>28600</v>
      </c>
      <c r="N427" s="18">
        <v>30.59</v>
      </c>
      <c r="O427" s="26">
        <v>45490</v>
      </c>
      <c r="P427" s="2" t="s">
        <v>805</v>
      </c>
      <c r="Q427" s="2" t="s">
        <v>806</v>
      </c>
    </row>
    <row r="428" spans="2:17" x14ac:dyDescent="0.25">
      <c r="B428" s="2" t="s">
        <v>1232</v>
      </c>
      <c r="C428" s="2" t="s">
        <v>138</v>
      </c>
      <c r="D428" s="2" t="s">
        <v>139</v>
      </c>
      <c r="E428" s="2" t="s">
        <v>122</v>
      </c>
      <c r="F428" s="2" t="s">
        <v>537</v>
      </c>
      <c r="G428" s="2" t="s">
        <v>420</v>
      </c>
      <c r="H428" s="2" t="s">
        <v>421</v>
      </c>
      <c r="I428" s="26">
        <v>45454</v>
      </c>
      <c r="J428" s="2">
        <v>13</v>
      </c>
      <c r="K428" s="2" t="s">
        <v>123</v>
      </c>
      <c r="L428" s="22">
        <v>2200</v>
      </c>
      <c r="M428" s="22">
        <v>28600</v>
      </c>
      <c r="N428" s="18">
        <v>30.59</v>
      </c>
      <c r="O428" s="26">
        <v>45499</v>
      </c>
      <c r="P428" s="2" t="s">
        <v>805</v>
      </c>
      <c r="Q428" s="2" t="s">
        <v>806</v>
      </c>
    </row>
    <row r="429" spans="2:17" x14ac:dyDescent="0.25">
      <c r="B429" s="2" t="s">
        <v>1233</v>
      </c>
      <c r="C429" s="2" t="s">
        <v>138</v>
      </c>
      <c r="D429" s="2" t="s">
        <v>139</v>
      </c>
      <c r="E429" s="2" t="s">
        <v>122</v>
      </c>
      <c r="F429" s="2" t="s">
        <v>537</v>
      </c>
      <c r="G429" s="2" t="s">
        <v>420</v>
      </c>
      <c r="H429" s="2" t="s">
        <v>421</v>
      </c>
      <c r="I429" s="26">
        <v>45464</v>
      </c>
      <c r="J429" s="2">
        <v>15</v>
      </c>
      <c r="K429" s="2" t="s">
        <v>123</v>
      </c>
      <c r="L429" s="22">
        <v>2200</v>
      </c>
      <c r="M429" s="22">
        <v>33000</v>
      </c>
      <c r="N429" s="18">
        <v>35.29</v>
      </c>
      <c r="O429" s="26">
        <v>45509</v>
      </c>
      <c r="P429" s="2" t="s">
        <v>805</v>
      </c>
      <c r="Q429" s="2" t="s">
        <v>806</v>
      </c>
    </row>
    <row r="430" spans="2:17" x14ac:dyDescent="0.25">
      <c r="B430" s="2" t="s">
        <v>1234</v>
      </c>
      <c r="C430" s="2" t="s">
        <v>138</v>
      </c>
      <c r="D430" s="2" t="s">
        <v>139</v>
      </c>
      <c r="E430" s="2" t="s">
        <v>122</v>
      </c>
      <c r="F430" s="2" t="s">
        <v>535</v>
      </c>
      <c r="G430" s="2" t="s">
        <v>416</v>
      </c>
      <c r="H430" s="2" t="s">
        <v>94</v>
      </c>
      <c r="I430" s="26">
        <v>45474</v>
      </c>
      <c r="J430" s="2">
        <v>16</v>
      </c>
      <c r="K430" s="2" t="s">
        <v>123</v>
      </c>
      <c r="L430" s="22">
        <v>2200</v>
      </c>
      <c r="M430" s="22">
        <v>35200</v>
      </c>
      <c r="N430" s="18">
        <v>37.65</v>
      </c>
      <c r="O430" s="26">
        <v>45519</v>
      </c>
      <c r="P430" s="2" t="s">
        <v>805</v>
      </c>
      <c r="Q430" s="2" t="s">
        <v>806</v>
      </c>
    </row>
    <row r="431" spans="2:17" x14ac:dyDescent="0.25">
      <c r="B431" s="2" t="s">
        <v>1235</v>
      </c>
      <c r="C431" s="2" t="s">
        <v>138</v>
      </c>
      <c r="D431" s="2" t="s">
        <v>139</v>
      </c>
      <c r="E431" s="2" t="s">
        <v>122</v>
      </c>
      <c r="F431" s="2" t="s">
        <v>535</v>
      </c>
      <c r="G431" s="2" t="s">
        <v>416</v>
      </c>
      <c r="H431" s="2" t="s">
        <v>94</v>
      </c>
      <c r="I431" s="26">
        <v>45482</v>
      </c>
      <c r="J431" s="2">
        <v>14</v>
      </c>
      <c r="K431" s="2" t="s">
        <v>123</v>
      </c>
      <c r="L431" s="22">
        <v>2200</v>
      </c>
      <c r="M431" s="22">
        <v>30800</v>
      </c>
      <c r="N431" s="18">
        <v>32.94</v>
      </c>
      <c r="O431" s="26">
        <v>45527</v>
      </c>
      <c r="P431" s="2" t="s">
        <v>805</v>
      </c>
      <c r="Q431" s="2" t="s">
        <v>806</v>
      </c>
    </row>
    <row r="432" spans="2:17" x14ac:dyDescent="0.25">
      <c r="B432" s="2" t="s">
        <v>1236</v>
      </c>
      <c r="C432" s="2" t="s">
        <v>138</v>
      </c>
      <c r="D432" s="2" t="s">
        <v>139</v>
      </c>
      <c r="E432" s="2" t="s">
        <v>122</v>
      </c>
      <c r="F432" s="2" t="s">
        <v>535</v>
      </c>
      <c r="G432" s="2" t="s">
        <v>416</v>
      </c>
      <c r="H432" s="2" t="s">
        <v>94</v>
      </c>
      <c r="I432" s="26">
        <v>45488</v>
      </c>
      <c r="J432" s="2">
        <v>15</v>
      </c>
      <c r="K432" s="2" t="s">
        <v>123</v>
      </c>
      <c r="L432" s="22">
        <v>2200</v>
      </c>
      <c r="M432" s="22">
        <v>33000</v>
      </c>
      <c r="N432" s="18">
        <v>35.29</v>
      </c>
      <c r="O432" s="26">
        <v>45533</v>
      </c>
      <c r="P432" s="2" t="s">
        <v>805</v>
      </c>
      <c r="Q432" s="2" t="s">
        <v>806</v>
      </c>
    </row>
    <row r="433" spans="2:17" x14ac:dyDescent="0.25">
      <c r="B433" s="2" t="s">
        <v>1237</v>
      </c>
      <c r="C433" s="2" t="s">
        <v>138</v>
      </c>
      <c r="D433" s="2" t="s">
        <v>139</v>
      </c>
      <c r="E433" s="2" t="s">
        <v>122</v>
      </c>
      <c r="F433" s="2" t="s">
        <v>535</v>
      </c>
      <c r="G433" s="2" t="s">
        <v>416</v>
      </c>
      <c r="H433" s="2" t="s">
        <v>94</v>
      </c>
      <c r="I433" s="26">
        <v>45499</v>
      </c>
      <c r="J433" s="2">
        <v>13</v>
      </c>
      <c r="K433" s="2" t="s">
        <v>123</v>
      </c>
      <c r="L433" s="22">
        <v>2200</v>
      </c>
      <c r="M433" s="22">
        <v>28600</v>
      </c>
      <c r="N433" s="18">
        <v>30.59</v>
      </c>
      <c r="O433" s="26">
        <v>45544</v>
      </c>
      <c r="P433" s="2" t="s">
        <v>805</v>
      </c>
      <c r="Q433" s="2" t="s">
        <v>806</v>
      </c>
    </row>
    <row r="434" spans="2:17" x14ac:dyDescent="0.25">
      <c r="B434" s="2" t="s">
        <v>1238</v>
      </c>
      <c r="C434" s="2" t="s">
        <v>138</v>
      </c>
      <c r="D434" s="2" t="s">
        <v>139</v>
      </c>
      <c r="E434" s="2" t="s">
        <v>122</v>
      </c>
      <c r="F434" s="2" t="s">
        <v>537</v>
      </c>
      <c r="G434" s="2" t="s">
        <v>420</v>
      </c>
      <c r="H434" s="2" t="s">
        <v>421</v>
      </c>
      <c r="I434" s="26">
        <v>45510</v>
      </c>
      <c r="J434" s="2">
        <v>15</v>
      </c>
      <c r="K434" s="2" t="s">
        <v>123</v>
      </c>
      <c r="L434" s="22">
        <v>2200</v>
      </c>
      <c r="M434" s="22">
        <v>33000</v>
      </c>
      <c r="N434" s="18">
        <v>35.29</v>
      </c>
      <c r="O434" s="26">
        <v>45555</v>
      </c>
      <c r="P434" s="2" t="s">
        <v>805</v>
      </c>
      <c r="Q434" s="2" t="s">
        <v>806</v>
      </c>
    </row>
    <row r="435" spans="2:17" x14ac:dyDescent="0.25">
      <c r="B435" s="2" t="s">
        <v>1239</v>
      </c>
      <c r="C435" s="2" t="s">
        <v>138</v>
      </c>
      <c r="D435" s="2" t="s">
        <v>139</v>
      </c>
      <c r="E435" s="2" t="s">
        <v>122</v>
      </c>
      <c r="F435" s="2" t="s">
        <v>535</v>
      </c>
      <c r="G435" s="2" t="s">
        <v>416</v>
      </c>
      <c r="H435" s="2" t="s">
        <v>94</v>
      </c>
      <c r="I435" s="26">
        <v>45521</v>
      </c>
      <c r="J435" s="2">
        <v>17</v>
      </c>
      <c r="K435" s="2" t="s">
        <v>123</v>
      </c>
      <c r="L435" s="22">
        <v>2200</v>
      </c>
      <c r="M435" s="22">
        <v>37400</v>
      </c>
      <c r="N435" s="18">
        <v>40</v>
      </c>
      <c r="O435" s="26">
        <v>45566</v>
      </c>
      <c r="P435" s="2" t="s">
        <v>805</v>
      </c>
      <c r="Q435" s="2" t="s">
        <v>806</v>
      </c>
    </row>
    <row r="436" spans="2:17" x14ac:dyDescent="0.25">
      <c r="B436" s="2" t="s">
        <v>1240</v>
      </c>
      <c r="C436" s="2" t="s">
        <v>138</v>
      </c>
      <c r="D436" s="2" t="s">
        <v>139</v>
      </c>
      <c r="E436" s="2" t="s">
        <v>122</v>
      </c>
      <c r="F436" s="2" t="s">
        <v>535</v>
      </c>
      <c r="G436" s="2" t="s">
        <v>416</v>
      </c>
      <c r="H436" s="2" t="s">
        <v>94</v>
      </c>
      <c r="I436" s="26">
        <v>45529</v>
      </c>
      <c r="J436" s="2">
        <v>16</v>
      </c>
      <c r="K436" s="2" t="s">
        <v>123</v>
      </c>
      <c r="L436" s="22">
        <v>2200</v>
      </c>
      <c r="M436" s="22">
        <v>35200</v>
      </c>
      <c r="N436" s="18">
        <v>37.65</v>
      </c>
      <c r="O436" s="26">
        <v>45574</v>
      </c>
      <c r="P436" s="2" t="s">
        <v>805</v>
      </c>
      <c r="Q436" s="2" t="s">
        <v>806</v>
      </c>
    </row>
    <row r="437" spans="2:17" x14ac:dyDescent="0.25">
      <c r="B437" s="2" t="s">
        <v>1241</v>
      </c>
      <c r="C437" s="2" t="s">
        <v>138</v>
      </c>
      <c r="D437" s="2" t="s">
        <v>139</v>
      </c>
      <c r="E437" s="2" t="s">
        <v>122</v>
      </c>
      <c r="F437" s="2" t="s">
        <v>535</v>
      </c>
      <c r="G437" s="2" t="s">
        <v>416</v>
      </c>
      <c r="H437" s="2" t="s">
        <v>94</v>
      </c>
      <c r="I437" s="26">
        <v>45538</v>
      </c>
      <c r="J437" s="2">
        <v>19</v>
      </c>
      <c r="K437" s="2" t="s">
        <v>123</v>
      </c>
      <c r="L437" s="22">
        <v>2200</v>
      </c>
      <c r="M437" s="22">
        <v>41800</v>
      </c>
      <c r="N437" s="18">
        <v>44.71</v>
      </c>
      <c r="O437" s="26">
        <v>45583</v>
      </c>
      <c r="P437" s="2" t="s">
        <v>805</v>
      </c>
      <c r="Q437" s="2" t="s">
        <v>814</v>
      </c>
    </row>
    <row r="438" spans="2:17" x14ac:dyDescent="0.25">
      <c r="B438" s="2" t="s">
        <v>1242</v>
      </c>
      <c r="C438" s="2" t="s">
        <v>138</v>
      </c>
      <c r="D438" s="2" t="s">
        <v>139</v>
      </c>
      <c r="E438" s="2" t="s">
        <v>122</v>
      </c>
      <c r="F438" s="2" t="s">
        <v>535</v>
      </c>
      <c r="G438" s="2" t="s">
        <v>416</v>
      </c>
      <c r="H438" s="2" t="s">
        <v>94</v>
      </c>
      <c r="I438" s="26">
        <v>45548</v>
      </c>
      <c r="J438" s="2">
        <v>18</v>
      </c>
      <c r="K438" s="2" t="s">
        <v>123</v>
      </c>
      <c r="L438" s="22">
        <v>2200</v>
      </c>
      <c r="M438" s="22">
        <v>39600</v>
      </c>
      <c r="N438" s="18">
        <v>42.35</v>
      </c>
      <c r="O438" s="26">
        <v>45593</v>
      </c>
      <c r="P438" s="2" t="s">
        <v>805</v>
      </c>
      <c r="Q438" s="2" t="s">
        <v>814</v>
      </c>
    </row>
    <row r="439" spans="2:17" x14ac:dyDescent="0.25">
      <c r="B439" s="2" t="s">
        <v>1243</v>
      </c>
      <c r="C439" s="2" t="s">
        <v>138</v>
      </c>
      <c r="D439" s="2" t="s">
        <v>139</v>
      </c>
      <c r="E439" s="2" t="s">
        <v>122</v>
      </c>
      <c r="F439" s="2" t="s">
        <v>535</v>
      </c>
      <c r="G439" s="2" t="s">
        <v>416</v>
      </c>
      <c r="H439" s="2" t="s">
        <v>94</v>
      </c>
      <c r="I439" s="26">
        <v>45556</v>
      </c>
      <c r="J439" s="2">
        <v>20</v>
      </c>
      <c r="K439" s="2" t="s">
        <v>123</v>
      </c>
      <c r="L439" s="22">
        <v>2200</v>
      </c>
      <c r="M439" s="22">
        <v>44000</v>
      </c>
      <c r="N439" s="18">
        <v>47.06</v>
      </c>
      <c r="O439" s="26">
        <v>45601</v>
      </c>
      <c r="P439" s="2" t="s">
        <v>805</v>
      </c>
      <c r="Q439" s="2" t="s">
        <v>814</v>
      </c>
    </row>
    <row r="440" spans="2:17" x14ac:dyDescent="0.25">
      <c r="B440" s="2" t="s">
        <v>1244</v>
      </c>
      <c r="C440" s="2" t="s">
        <v>138</v>
      </c>
      <c r="D440" s="2" t="s">
        <v>139</v>
      </c>
      <c r="E440" s="2" t="s">
        <v>122</v>
      </c>
      <c r="F440" s="2" t="s">
        <v>535</v>
      </c>
      <c r="G440" s="2" t="s">
        <v>416</v>
      </c>
      <c r="H440" s="2" t="s">
        <v>94</v>
      </c>
      <c r="I440" s="26">
        <v>45566</v>
      </c>
      <c r="J440" s="2">
        <v>44</v>
      </c>
      <c r="K440" s="2" t="s">
        <v>123</v>
      </c>
      <c r="L440" s="22">
        <v>2200</v>
      </c>
      <c r="M440" s="22">
        <v>96800</v>
      </c>
      <c r="N440" s="18">
        <v>103.53</v>
      </c>
      <c r="O440" s="26">
        <v>45611</v>
      </c>
      <c r="P440" s="2" t="s">
        <v>805</v>
      </c>
      <c r="Q440" s="2" t="s">
        <v>814</v>
      </c>
    </row>
    <row r="441" spans="2:17" x14ac:dyDescent="0.25">
      <c r="B441" s="2" t="s">
        <v>1245</v>
      </c>
      <c r="C441" s="2" t="s">
        <v>138</v>
      </c>
      <c r="D441" s="2" t="s">
        <v>139</v>
      </c>
      <c r="E441" s="2" t="s">
        <v>122</v>
      </c>
      <c r="F441" s="2" t="s">
        <v>535</v>
      </c>
      <c r="G441" s="2" t="s">
        <v>416</v>
      </c>
      <c r="H441" s="2" t="s">
        <v>94</v>
      </c>
      <c r="I441" s="26">
        <v>45573</v>
      </c>
      <c r="J441" s="2">
        <v>39</v>
      </c>
      <c r="K441" s="2" t="s">
        <v>123</v>
      </c>
      <c r="L441" s="22">
        <v>2200</v>
      </c>
      <c r="M441" s="22">
        <v>85800</v>
      </c>
      <c r="N441" s="18">
        <v>91.76</v>
      </c>
      <c r="O441" s="26">
        <v>45618</v>
      </c>
      <c r="P441" s="2" t="s">
        <v>805</v>
      </c>
      <c r="Q441" s="2" t="s">
        <v>814</v>
      </c>
    </row>
    <row r="442" spans="2:17" x14ac:dyDescent="0.25">
      <c r="B442" s="2" t="s">
        <v>1246</v>
      </c>
      <c r="C442" s="2" t="s">
        <v>138</v>
      </c>
      <c r="D442" s="2" t="s">
        <v>139</v>
      </c>
      <c r="E442" s="2" t="s">
        <v>122</v>
      </c>
      <c r="F442" s="2" t="s">
        <v>535</v>
      </c>
      <c r="G442" s="2" t="s">
        <v>416</v>
      </c>
      <c r="H442" s="2" t="s">
        <v>94</v>
      </c>
      <c r="I442" s="26">
        <v>45581</v>
      </c>
      <c r="J442" s="2">
        <v>41</v>
      </c>
      <c r="K442" s="2" t="s">
        <v>123</v>
      </c>
      <c r="L442" s="22">
        <v>2200</v>
      </c>
      <c r="M442" s="22">
        <v>90200</v>
      </c>
      <c r="N442" s="18">
        <v>96.47</v>
      </c>
      <c r="O442" s="26">
        <v>45626</v>
      </c>
      <c r="P442" s="2" t="s">
        <v>805</v>
      </c>
      <c r="Q442" s="2" t="s">
        <v>814</v>
      </c>
    </row>
    <row r="443" spans="2:17" x14ac:dyDescent="0.25">
      <c r="B443" s="2" t="s">
        <v>1247</v>
      </c>
      <c r="C443" s="2" t="s">
        <v>138</v>
      </c>
      <c r="D443" s="2" t="s">
        <v>139</v>
      </c>
      <c r="E443" s="2" t="s">
        <v>122</v>
      </c>
      <c r="F443" s="2" t="s">
        <v>535</v>
      </c>
      <c r="G443" s="2" t="s">
        <v>416</v>
      </c>
      <c r="H443" s="2" t="s">
        <v>94</v>
      </c>
      <c r="I443" s="26">
        <v>45589</v>
      </c>
      <c r="J443" s="2">
        <v>38</v>
      </c>
      <c r="K443" s="2" t="s">
        <v>123</v>
      </c>
      <c r="L443" s="22">
        <v>2200</v>
      </c>
      <c r="M443" s="22">
        <v>83600</v>
      </c>
      <c r="N443" s="18">
        <v>89.41</v>
      </c>
      <c r="O443" s="26">
        <v>45634</v>
      </c>
      <c r="P443" s="2" t="s">
        <v>805</v>
      </c>
      <c r="Q443" s="2" t="s">
        <v>814</v>
      </c>
    </row>
    <row r="444" spans="2:17" x14ac:dyDescent="0.25">
      <c r="B444" s="2" t="s">
        <v>1248</v>
      </c>
      <c r="C444" s="2" t="s">
        <v>138</v>
      </c>
      <c r="D444" s="2" t="s">
        <v>139</v>
      </c>
      <c r="E444" s="2" t="s">
        <v>122</v>
      </c>
      <c r="F444" s="2" t="s">
        <v>535</v>
      </c>
      <c r="G444" s="2" t="s">
        <v>416</v>
      </c>
      <c r="H444" s="2" t="s">
        <v>94</v>
      </c>
      <c r="I444" s="26">
        <v>45597</v>
      </c>
      <c r="J444" s="2">
        <v>38</v>
      </c>
      <c r="K444" s="2" t="s">
        <v>123</v>
      </c>
      <c r="L444" s="22">
        <v>2200</v>
      </c>
      <c r="M444" s="22">
        <v>83600</v>
      </c>
      <c r="N444" s="18">
        <v>89.41</v>
      </c>
      <c r="O444" s="26">
        <v>45642</v>
      </c>
      <c r="P444" s="2" t="s">
        <v>805</v>
      </c>
      <c r="Q444" s="2" t="s">
        <v>814</v>
      </c>
    </row>
    <row r="445" spans="2:17" x14ac:dyDescent="0.25">
      <c r="B445" s="2" t="s">
        <v>1249</v>
      </c>
      <c r="C445" s="2" t="s">
        <v>138</v>
      </c>
      <c r="D445" s="2" t="s">
        <v>139</v>
      </c>
      <c r="E445" s="2" t="s">
        <v>122</v>
      </c>
      <c r="F445" s="2" t="s">
        <v>535</v>
      </c>
      <c r="G445" s="2" t="s">
        <v>416</v>
      </c>
      <c r="H445" s="2" t="s">
        <v>94</v>
      </c>
      <c r="I445" s="26">
        <v>45606</v>
      </c>
      <c r="J445" s="2">
        <v>41</v>
      </c>
      <c r="K445" s="2" t="s">
        <v>123</v>
      </c>
      <c r="L445" s="22">
        <v>2200</v>
      </c>
      <c r="M445" s="22">
        <v>90200</v>
      </c>
      <c r="N445" s="18">
        <v>96.47</v>
      </c>
      <c r="O445" s="26">
        <v>45651</v>
      </c>
      <c r="P445" s="2" t="s">
        <v>805</v>
      </c>
      <c r="Q445" s="2" t="s">
        <v>814</v>
      </c>
    </row>
    <row r="446" spans="2:17" x14ac:dyDescent="0.25">
      <c r="B446" s="2" t="s">
        <v>1250</v>
      </c>
      <c r="C446" s="2" t="s">
        <v>138</v>
      </c>
      <c r="D446" s="2" t="s">
        <v>139</v>
      </c>
      <c r="E446" s="2" t="s">
        <v>122</v>
      </c>
      <c r="F446" s="2" t="s">
        <v>535</v>
      </c>
      <c r="G446" s="2" t="s">
        <v>416</v>
      </c>
      <c r="H446" s="2" t="s">
        <v>94</v>
      </c>
      <c r="I446" s="26">
        <v>45615</v>
      </c>
      <c r="J446" s="2">
        <v>36</v>
      </c>
      <c r="K446" s="2" t="s">
        <v>123</v>
      </c>
      <c r="L446" s="22">
        <v>2200</v>
      </c>
      <c r="M446" s="22">
        <v>79200</v>
      </c>
      <c r="N446" s="18">
        <v>84.71</v>
      </c>
      <c r="O446" s="26">
        <v>45660</v>
      </c>
      <c r="P446" s="2" t="s">
        <v>805</v>
      </c>
      <c r="Q446" s="2" t="s">
        <v>814</v>
      </c>
    </row>
    <row r="447" spans="2:17" x14ac:dyDescent="0.25">
      <c r="B447" s="2" t="s">
        <v>1251</v>
      </c>
      <c r="C447" s="2" t="s">
        <v>138</v>
      </c>
      <c r="D447" s="2" t="s">
        <v>139</v>
      </c>
      <c r="E447" s="2" t="s">
        <v>122</v>
      </c>
      <c r="F447" s="2" t="s">
        <v>535</v>
      </c>
      <c r="G447" s="2" t="s">
        <v>416</v>
      </c>
      <c r="H447" s="2" t="s">
        <v>94</v>
      </c>
      <c r="I447" s="26">
        <v>45626</v>
      </c>
      <c r="J447" s="2">
        <v>45</v>
      </c>
      <c r="K447" s="2" t="s">
        <v>123</v>
      </c>
      <c r="L447" s="22">
        <v>2200</v>
      </c>
      <c r="M447" s="22">
        <v>99000</v>
      </c>
      <c r="N447" s="18">
        <v>105.88</v>
      </c>
      <c r="O447" s="26">
        <v>45671</v>
      </c>
      <c r="P447" s="2" t="s">
        <v>805</v>
      </c>
      <c r="Q447" s="2" t="s">
        <v>814</v>
      </c>
    </row>
    <row r="448" spans="2:17" x14ac:dyDescent="0.25">
      <c r="B448" s="2" t="s">
        <v>1252</v>
      </c>
      <c r="C448" s="2" t="s">
        <v>138</v>
      </c>
      <c r="D448" s="2" t="s">
        <v>139</v>
      </c>
      <c r="E448" s="2" t="s">
        <v>122</v>
      </c>
      <c r="F448" s="2" t="s">
        <v>537</v>
      </c>
      <c r="G448" s="2" t="s">
        <v>420</v>
      </c>
      <c r="H448" s="2" t="s">
        <v>421</v>
      </c>
      <c r="I448" s="26">
        <v>45636</v>
      </c>
      <c r="J448" s="2">
        <v>51</v>
      </c>
      <c r="K448" s="2" t="s">
        <v>123</v>
      </c>
      <c r="L448" s="22">
        <v>2200</v>
      </c>
      <c r="M448" s="22">
        <v>112200</v>
      </c>
      <c r="N448" s="18">
        <v>120</v>
      </c>
      <c r="O448" s="26">
        <v>45681</v>
      </c>
      <c r="P448" s="2" t="s">
        <v>805</v>
      </c>
      <c r="Q448" s="2" t="s">
        <v>825</v>
      </c>
    </row>
    <row r="449" spans="2:17" x14ac:dyDescent="0.25">
      <c r="B449" s="2" t="s">
        <v>1253</v>
      </c>
      <c r="C449" s="2" t="s">
        <v>138</v>
      </c>
      <c r="D449" s="2" t="s">
        <v>139</v>
      </c>
      <c r="E449" s="2" t="s">
        <v>122</v>
      </c>
      <c r="F449" s="2" t="s">
        <v>537</v>
      </c>
      <c r="G449" s="2" t="s">
        <v>420</v>
      </c>
      <c r="H449" s="2" t="s">
        <v>421</v>
      </c>
      <c r="I449" s="26">
        <v>45645</v>
      </c>
      <c r="J449" s="2">
        <v>46</v>
      </c>
      <c r="K449" s="2" t="s">
        <v>123</v>
      </c>
      <c r="L449" s="22">
        <v>2200</v>
      </c>
      <c r="M449" s="22">
        <v>101200</v>
      </c>
      <c r="N449" s="18">
        <v>108.24</v>
      </c>
      <c r="O449" s="26">
        <v>45690</v>
      </c>
      <c r="P449" s="2" t="s">
        <v>805</v>
      </c>
      <c r="Q449" s="2" t="s">
        <v>825</v>
      </c>
    </row>
    <row r="450" spans="2:17" x14ac:dyDescent="0.25">
      <c r="B450" s="2" t="s">
        <v>1254</v>
      </c>
      <c r="C450" s="2" t="s">
        <v>138</v>
      </c>
      <c r="D450" s="2" t="s">
        <v>139</v>
      </c>
      <c r="E450" s="2" t="s">
        <v>122</v>
      </c>
      <c r="F450" s="2" t="s">
        <v>535</v>
      </c>
      <c r="G450" s="2" t="s">
        <v>416</v>
      </c>
      <c r="H450" s="2" t="s">
        <v>94</v>
      </c>
      <c r="I450" s="26">
        <v>45654</v>
      </c>
      <c r="J450" s="2">
        <v>48</v>
      </c>
      <c r="K450" s="2" t="s">
        <v>123</v>
      </c>
      <c r="L450" s="22">
        <v>2200</v>
      </c>
      <c r="M450" s="22">
        <v>105600</v>
      </c>
      <c r="N450" s="18">
        <v>112.94</v>
      </c>
      <c r="O450" s="26">
        <v>45699</v>
      </c>
      <c r="P450" s="2" t="s">
        <v>805</v>
      </c>
      <c r="Q450" s="2" t="s">
        <v>825</v>
      </c>
    </row>
    <row r="451" spans="2:17" x14ac:dyDescent="0.25">
      <c r="B451" s="2" t="s">
        <v>1255</v>
      </c>
      <c r="C451" s="2" t="s">
        <v>138</v>
      </c>
      <c r="D451" s="2" t="s">
        <v>139</v>
      </c>
      <c r="E451" s="2" t="s">
        <v>122</v>
      </c>
      <c r="F451" s="2" t="s">
        <v>535</v>
      </c>
      <c r="G451" s="2" t="s">
        <v>416</v>
      </c>
      <c r="H451" s="2" t="s">
        <v>94</v>
      </c>
      <c r="I451" s="26">
        <v>45664</v>
      </c>
      <c r="J451" s="2">
        <v>45</v>
      </c>
      <c r="K451" s="2" t="s">
        <v>123</v>
      </c>
      <c r="L451" s="22">
        <v>2200</v>
      </c>
      <c r="M451" s="22">
        <v>99000</v>
      </c>
      <c r="N451" s="18">
        <v>105.88</v>
      </c>
      <c r="O451" s="26">
        <v>45709</v>
      </c>
      <c r="P451" s="2" t="s">
        <v>805</v>
      </c>
      <c r="Q451" s="2" t="s">
        <v>825</v>
      </c>
    </row>
    <row r="452" spans="2:17" x14ac:dyDescent="0.25">
      <c r="B452" s="2" t="s">
        <v>1256</v>
      </c>
      <c r="C452" s="2" t="s">
        <v>138</v>
      </c>
      <c r="D452" s="2" t="s">
        <v>139</v>
      </c>
      <c r="E452" s="2" t="s">
        <v>122</v>
      </c>
      <c r="F452" s="2" t="s">
        <v>535</v>
      </c>
      <c r="G452" s="2" t="s">
        <v>416</v>
      </c>
      <c r="H452" s="2" t="s">
        <v>94</v>
      </c>
      <c r="I452" s="26">
        <v>45674</v>
      </c>
      <c r="J452" s="2">
        <v>42</v>
      </c>
      <c r="K452" s="2" t="s">
        <v>123</v>
      </c>
      <c r="L452" s="22">
        <v>2200</v>
      </c>
      <c r="M452" s="22">
        <v>92400</v>
      </c>
      <c r="N452" s="18">
        <v>98.82</v>
      </c>
      <c r="O452" s="26">
        <v>45719</v>
      </c>
      <c r="P452" s="2" t="s">
        <v>805</v>
      </c>
      <c r="Q452" s="2" t="s">
        <v>825</v>
      </c>
    </row>
    <row r="453" spans="2:17" x14ac:dyDescent="0.25">
      <c r="B453" s="2" t="s">
        <v>1257</v>
      </c>
      <c r="C453" s="2" t="s">
        <v>138</v>
      </c>
      <c r="D453" s="2" t="s">
        <v>139</v>
      </c>
      <c r="E453" s="2" t="s">
        <v>122</v>
      </c>
      <c r="F453" s="2" t="s">
        <v>535</v>
      </c>
      <c r="G453" s="2" t="s">
        <v>416</v>
      </c>
      <c r="H453" s="2" t="s">
        <v>94</v>
      </c>
      <c r="I453" s="26">
        <v>45683</v>
      </c>
      <c r="J453" s="2">
        <v>44</v>
      </c>
      <c r="K453" s="2" t="s">
        <v>123</v>
      </c>
      <c r="L453" s="22">
        <v>2200</v>
      </c>
      <c r="M453" s="22">
        <v>96800</v>
      </c>
      <c r="N453" s="18">
        <v>103.53</v>
      </c>
      <c r="O453" s="26">
        <v>45728</v>
      </c>
      <c r="P453" s="2" t="s">
        <v>805</v>
      </c>
      <c r="Q453" s="2" t="s">
        <v>825</v>
      </c>
    </row>
    <row r="454" spans="2:17" x14ac:dyDescent="0.25">
      <c r="B454" s="2" t="s">
        <v>1258</v>
      </c>
      <c r="C454" s="2" t="s">
        <v>138</v>
      </c>
      <c r="D454" s="2" t="s">
        <v>139</v>
      </c>
      <c r="E454" s="2" t="s">
        <v>122</v>
      </c>
      <c r="F454" s="2" t="s">
        <v>535</v>
      </c>
      <c r="G454" s="2" t="s">
        <v>416</v>
      </c>
      <c r="H454" s="2" t="s">
        <v>94</v>
      </c>
      <c r="I454" s="26">
        <v>45694</v>
      </c>
      <c r="J454" s="2">
        <v>50</v>
      </c>
      <c r="K454" s="2" t="s">
        <v>123</v>
      </c>
      <c r="L454" s="22">
        <v>2200</v>
      </c>
      <c r="M454" s="22">
        <v>110000</v>
      </c>
      <c r="N454" s="18">
        <v>117.65</v>
      </c>
      <c r="O454" s="26">
        <v>45739</v>
      </c>
      <c r="P454" s="2" t="s">
        <v>805</v>
      </c>
      <c r="Q454" s="2" t="s">
        <v>825</v>
      </c>
    </row>
    <row r="455" spans="2:17" x14ac:dyDescent="0.25">
      <c r="B455" s="2" t="s">
        <v>1259</v>
      </c>
      <c r="C455" s="2" t="s">
        <v>138</v>
      </c>
      <c r="D455" s="2" t="s">
        <v>139</v>
      </c>
      <c r="E455" s="2" t="s">
        <v>122</v>
      </c>
      <c r="F455" s="2" t="s">
        <v>535</v>
      </c>
      <c r="G455" s="2" t="s">
        <v>416</v>
      </c>
      <c r="H455" s="2" t="s">
        <v>94</v>
      </c>
      <c r="I455" s="26">
        <v>45703</v>
      </c>
      <c r="J455" s="2">
        <v>39</v>
      </c>
      <c r="K455" s="2" t="s">
        <v>123</v>
      </c>
      <c r="L455" s="22">
        <v>2200</v>
      </c>
      <c r="M455" s="22">
        <v>85800</v>
      </c>
      <c r="N455" s="18">
        <v>91.76</v>
      </c>
      <c r="O455" s="26">
        <v>45748</v>
      </c>
      <c r="P455" s="2" t="s">
        <v>805</v>
      </c>
      <c r="Q455" s="2" t="s">
        <v>825</v>
      </c>
    </row>
    <row r="456" spans="2:17" x14ac:dyDescent="0.25">
      <c r="B456" s="2" t="s">
        <v>1260</v>
      </c>
      <c r="C456" s="2" t="s">
        <v>138</v>
      </c>
      <c r="D456" s="2" t="s">
        <v>139</v>
      </c>
      <c r="E456" s="2" t="s">
        <v>122</v>
      </c>
      <c r="F456" s="2" t="s">
        <v>535</v>
      </c>
      <c r="G456" s="2" t="s">
        <v>416</v>
      </c>
      <c r="H456" s="2" t="s">
        <v>94</v>
      </c>
      <c r="I456" s="26">
        <v>45712</v>
      </c>
      <c r="J456" s="2">
        <v>49</v>
      </c>
      <c r="K456" s="2" t="s">
        <v>123</v>
      </c>
      <c r="L456" s="22">
        <v>2200</v>
      </c>
      <c r="M456" s="22">
        <v>107800</v>
      </c>
      <c r="N456" s="18">
        <v>115.29</v>
      </c>
      <c r="O456" s="26">
        <v>45757</v>
      </c>
      <c r="P456" s="2" t="s">
        <v>805</v>
      </c>
      <c r="Q456" s="2" t="s">
        <v>825</v>
      </c>
    </row>
    <row r="457" spans="2:17" x14ac:dyDescent="0.25">
      <c r="B457" s="2" t="s">
        <v>1261</v>
      </c>
      <c r="C457" s="2" t="s">
        <v>138</v>
      </c>
      <c r="D457" s="2" t="s">
        <v>139</v>
      </c>
      <c r="E457" s="2" t="s">
        <v>122</v>
      </c>
      <c r="F457" s="2" t="s">
        <v>535</v>
      </c>
      <c r="G457" s="2" t="s">
        <v>416</v>
      </c>
      <c r="H457" s="2" t="s">
        <v>94</v>
      </c>
      <c r="I457" s="26">
        <v>45721</v>
      </c>
      <c r="J457" s="2">
        <v>43</v>
      </c>
      <c r="K457" s="2" t="s">
        <v>123</v>
      </c>
      <c r="L457" s="22">
        <v>2200</v>
      </c>
      <c r="M457" s="22">
        <v>94600</v>
      </c>
      <c r="N457" s="18">
        <v>101.18</v>
      </c>
      <c r="O457" s="26">
        <v>45766</v>
      </c>
      <c r="P457" s="2" t="s">
        <v>805</v>
      </c>
      <c r="Q457" s="2" t="s">
        <v>836</v>
      </c>
    </row>
    <row r="458" spans="2:17" x14ac:dyDescent="0.25">
      <c r="B458" s="2" t="s">
        <v>1262</v>
      </c>
      <c r="C458" s="2" t="s">
        <v>138</v>
      </c>
      <c r="D458" s="2" t="s">
        <v>139</v>
      </c>
      <c r="E458" s="2" t="s">
        <v>122</v>
      </c>
      <c r="F458" s="2" t="s">
        <v>535</v>
      </c>
      <c r="G458" s="2" t="s">
        <v>416</v>
      </c>
      <c r="H458" s="2" t="s">
        <v>94</v>
      </c>
      <c r="I458" s="26">
        <v>45730</v>
      </c>
      <c r="J458" s="2">
        <v>38</v>
      </c>
      <c r="K458" s="2" t="s">
        <v>123</v>
      </c>
      <c r="L458" s="22">
        <v>2200</v>
      </c>
      <c r="M458" s="22">
        <v>83600</v>
      </c>
      <c r="N458" s="18">
        <v>89.41</v>
      </c>
      <c r="O458" s="26">
        <v>45775</v>
      </c>
      <c r="P458" s="2" t="s">
        <v>805</v>
      </c>
      <c r="Q458" s="2" t="s">
        <v>836</v>
      </c>
    </row>
    <row r="459" spans="2:17" x14ac:dyDescent="0.25">
      <c r="B459" s="2" t="s">
        <v>1263</v>
      </c>
      <c r="C459" s="2" t="s">
        <v>138</v>
      </c>
      <c r="D459" s="2" t="s">
        <v>139</v>
      </c>
      <c r="E459" s="2" t="s">
        <v>122</v>
      </c>
      <c r="F459" s="2" t="s">
        <v>535</v>
      </c>
      <c r="G459" s="2" t="s">
        <v>416</v>
      </c>
      <c r="H459" s="2" t="s">
        <v>94</v>
      </c>
      <c r="I459" s="26">
        <v>45739</v>
      </c>
      <c r="J459" s="2">
        <v>49</v>
      </c>
      <c r="K459" s="2" t="s">
        <v>123</v>
      </c>
      <c r="L459" s="22">
        <v>2200</v>
      </c>
      <c r="M459" s="22">
        <v>107800</v>
      </c>
      <c r="N459" s="18">
        <v>115.29</v>
      </c>
      <c r="O459" s="26">
        <v>45784</v>
      </c>
      <c r="P459" s="2" t="s">
        <v>805</v>
      </c>
      <c r="Q459" s="2" t="s">
        <v>836</v>
      </c>
    </row>
    <row r="460" spans="2:17" x14ac:dyDescent="0.25">
      <c r="B460" s="2" t="s">
        <v>1264</v>
      </c>
      <c r="C460" s="2" t="s">
        <v>138</v>
      </c>
      <c r="D460" s="2" t="s">
        <v>139</v>
      </c>
      <c r="E460" s="2" t="s">
        <v>122</v>
      </c>
      <c r="F460" s="2" t="s">
        <v>535</v>
      </c>
      <c r="G460" s="2" t="s">
        <v>416</v>
      </c>
      <c r="H460" s="2" t="s">
        <v>94</v>
      </c>
      <c r="I460" s="26">
        <v>45746</v>
      </c>
      <c r="J460" s="2">
        <v>49</v>
      </c>
      <c r="K460" s="2" t="s">
        <v>123</v>
      </c>
      <c r="L460" s="22">
        <v>2200</v>
      </c>
      <c r="M460" s="22">
        <v>107800</v>
      </c>
      <c r="N460" s="18">
        <v>115.29</v>
      </c>
      <c r="O460" s="26">
        <v>45791</v>
      </c>
      <c r="P460" s="2" t="s">
        <v>805</v>
      </c>
      <c r="Q460" s="2" t="s">
        <v>836</v>
      </c>
    </row>
    <row r="461" spans="2:17" x14ac:dyDescent="0.25">
      <c r="B461" s="2" t="s">
        <v>1265</v>
      </c>
      <c r="C461" s="2" t="s">
        <v>138</v>
      </c>
      <c r="D461" s="2" t="s">
        <v>139</v>
      </c>
      <c r="E461" s="2" t="s">
        <v>122</v>
      </c>
      <c r="F461" s="2" t="s">
        <v>537</v>
      </c>
      <c r="G461" s="2" t="s">
        <v>420</v>
      </c>
      <c r="H461" s="2" t="s">
        <v>421</v>
      </c>
      <c r="I461" s="26">
        <v>45759</v>
      </c>
      <c r="J461" s="2">
        <v>15</v>
      </c>
      <c r="K461" s="2" t="s">
        <v>123</v>
      </c>
      <c r="L461" s="22">
        <v>2200</v>
      </c>
      <c r="M461" s="22">
        <v>33000</v>
      </c>
      <c r="N461" s="18">
        <v>35.29</v>
      </c>
      <c r="O461" s="26">
        <v>45804</v>
      </c>
      <c r="P461" s="2" t="s">
        <v>805</v>
      </c>
      <c r="Q461" s="2" t="s">
        <v>836</v>
      </c>
    </row>
    <row r="462" spans="2:17" x14ac:dyDescent="0.25">
      <c r="B462" s="2" t="s">
        <v>1266</v>
      </c>
      <c r="C462" s="2" t="s">
        <v>138</v>
      </c>
      <c r="D462" s="2" t="s">
        <v>139</v>
      </c>
      <c r="E462" s="2" t="s">
        <v>122</v>
      </c>
      <c r="F462" s="2" t="s">
        <v>535</v>
      </c>
      <c r="G462" s="2" t="s">
        <v>416</v>
      </c>
      <c r="H462" s="2" t="s">
        <v>94</v>
      </c>
      <c r="I462" s="26">
        <v>45767</v>
      </c>
      <c r="J462" s="2">
        <v>16</v>
      </c>
      <c r="K462" s="2" t="s">
        <v>123</v>
      </c>
      <c r="L462" s="22">
        <v>2200</v>
      </c>
      <c r="M462" s="22">
        <v>35200</v>
      </c>
      <c r="N462" s="18">
        <v>37.65</v>
      </c>
      <c r="O462" s="26">
        <v>45812</v>
      </c>
      <c r="P462" s="2" t="s">
        <v>805</v>
      </c>
      <c r="Q462" s="2" t="s">
        <v>836</v>
      </c>
    </row>
    <row r="463" spans="2:17" x14ac:dyDescent="0.25">
      <c r="B463" s="2" t="s">
        <v>1267</v>
      </c>
      <c r="C463" s="2" t="s">
        <v>138</v>
      </c>
      <c r="D463" s="2" t="s">
        <v>139</v>
      </c>
      <c r="E463" s="2" t="s">
        <v>122</v>
      </c>
      <c r="F463" s="2" t="s">
        <v>535</v>
      </c>
      <c r="G463" s="2" t="s">
        <v>416</v>
      </c>
      <c r="H463" s="2" t="s">
        <v>94</v>
      </c>
      <c r="I463" s="26">
        <v>45776</v>
      </c>
      <c r="J463" s="2">
        <v>14</v>
      </c>
      <c r="K463" s="2" t="s">
        <v>123</v>
      </c>
      <c r="L463" s="22">
        <v>2200</v>
      </c>
      <c r="M463" s="22">
        <v>30800</v>
      </c>
      <c r="N463" s="18">
        <v>32.94</v>
      </c>
      <c r="O463" s="26">
        <v>45821</v>
      </c>
      <c r="P463" s="2" t="s">
        <v>805</v>
      </c>
      <c r="Q463" s="2" t="s">
        <v>836</v>
      </c>
    </row>
    <row r="464" spans="2:17" x14ac:dyDescent="0.25">
      <c r="B464" s="2" t="s">
        <v>1268</v>
      </c>
      <c r="C464" s="2" t="s">
        <v>138</v>
      </c>
      <c r="D464" s="2" t="s">
        <v>139</v>
      </c>
      <c r="E464" s="2" t="s">
        <v>122</v>
      </c>
      <c r="F464" s="2" t="s">
        <v>535</v>
      </c>
      <c r="G464" s="2" t="s">
        <v>416</v>
      </c>
      <c r="H464" s="2" t="s">
        <v>94</v>
      </c>
      <c r="I464" s="26">
        <v>45788</v>
      </c>
      <c r="J464" s="2">
        <v>18</v>
      </c>
      <c r="K464" s="2" t="s">
        <v>123</v>
      </c>
      <c r="L464" s="22">
        <v>2200</v>
      </c>
      <c r="M464" s="22">
        <v>39600</v>
      </c>
      <c r="N464" s="18">
        <v>42.35</v>
      </c>
      <c r="O464" s="26">
        <v>45833</v>
      </c>
      <c r="P464" s="2" t="s">
        <v>805</v>
      </c>
      <c r="Q464" s="2" t="s">
        <v>836</v>
      </c>
    </row>
    <row r="465" spans="2:17" x14ac:dyDescent="0.25">
      <c r="B465" s="2" t="s">
        <v>1269</v>
      </c>
      <c r="C465" s="2" t="s">
        <v>138</v>
      </c>
      <c r="D465" s="2" t="s">
        <v>139</v>
      </c>
      <c r="E465" s="2" t="s">
        <v>122</v>
      </c>
      <c r="F465" s="2" t="s">
        <v>535</v>
      </c>
      <c r="G465" s="2" t="s">
        <v>416</v>
      </c>
      <c r="H465" s="2" t="s">
        <v>94</v>
      </c>
      <c r="I465" s="26">
        <v>45796</v>
      </c>
      <c r="J465" s="2">
        <v>14</v>
      </c>
      <c r="K465" s="2" t="s">
        <v>123</v>
      </c>
      <c r="L465" s="22">
        <v>2200</v>
      </c>
      <c r="M465" s="22">
        <v>30800</v>
      </c>
      <c r="N465" s="18">
        <v>32.94</v>
      </c>
      <c r="O465" s="26">
        <v>45841</v>
      </c>
      <c r="P465" s="2" t="s">
        <v>805</v>
      </c>
      <c r="Q465" s="2" t="s">
        <v>836</v>
      </c>
    </row>
    <row r="466" spans="2:17" x14ac:dyDescent="0.25">
      <c r="B466" s="2" t="s">
        <v>1270</v>
      </c>
      <c r="C466" s="2" t="s">
        <v>138</v>
      </c>
      <c r="D466" s="2" t="s">
        <v>139</v>
      </c>
      <c r="E466" s="2" t="s">
        <v>122</v>
      </c>
      <c r="F466" s="2" t="s">
        <v>535</v>
      </c>
      <c r="G466" s="2" t="s">
        <v>416</v>
      </c>
      <c r="H466" s="2" t="s">
        <v>94</v>
      </c>
      <c r="I466" s="26">
        <v>45804</v>
      </c>
      <c r="J466" s="2">
        <v>15</v>
      </c>
      <c r="K466" s="2" t="s">
        <v>123</v>
      </c>
      <c r="L466" s="22">
        <v>2200</v>
      </c>
      <c r="M466" s="22">
        <v>33000</v>
      </c>
      <c r="N466" s="18">
        <v>35.29</v>
      </c>
      <c r="O466" s="26">
        <v>45849</v>
      </c>
      <c r="P466" s="2" t="s">
        <v>805</v>
      </c>
      <c r="Q466" s="2" t="s">
        <v>836</v>
      </c>
    </row>
    <row r="467" spans="2:17" x14ac:dyDescent="0.25">
      <c r="B467" s="2" t="s">
        <v>1271</v>
      </c>
      <c r="C467" s="2" t="s">
        <v>138</v>
      </c>
      <c r="D467" s="2" t="s">
        <v>139</v>
      </c>
      <c r="E467" s="2" t="s">
        <v>122</v>
      </c>
      <c r="F467" s="2" t="s">
        <v>535</v>
      </c>
      <c r="G467" s="2" t="s">
        <v>416</v>
      </c>
      <c r="H467" s="2" t="s">
        <v>94</v>
      </c>
      <c r="I467" s="26">
        <v>45812</v>
      </c>
      <c r="J467" s="2">
        <v>17</v>
      </c>
      <c r="K467" s="2" t="s">
        <v>123</v>
      </c>
      <c r="L467" s="22">
        <v>2200</v>
      </c>
      <c r="M467" s="22">
        <v>37400</v>
      </c>
      <c r="N467" s="18">
        <v>40</v>
      </c>
      <c r="O467" s="26">
        <v>45857</v>
      </c>
      <c r="P467" s="2" t="s">
        <v>805</v>
      </c>
      <c r="Q467" s="2" t="s">
        <v>806</v>
      </c>
    </row>
    <row r="468" spans="2:17" x14ac:dyDescent="0.25">
      <c r="B468" s="2" t="s">
        <v>1272</v>
      </c>
      <c r="C468" s="2" t="s">
        <v>138</v>
      </c>
      <c r="D468" s="2" t="s">
        <v>139</v>
      </c>
      <c r="E468" s="2" t="s">
        <v>122</v>
      </c>
      <c r="F468" s="2" t="s">
        <v>535</v>
      </c>
      <c r="G468" s="2" t="s">
        <v>416</v>
      </c>
      <c r="H468" s="2" t="s">
        <v>94</v>
      </c>
      <c r="I468" s="26">
        <v>45822</v>
      </c>
      <c r="J468" s="2">
        <v>19</v>
      </c>
      <c r="K468" s="2" t="s">
        <v>123</v>
      </c>
      <c r="L468" s="22">
        <v>2200</v>
      </c>
      <c r="M468" s="22">
        <v>41800</v>
      </c>
      <c r="N468" s="18">
        <v>44.71</v>
      </c>
      <c r="O468" s="26">
        <v>45867</v>
      </c>
      <c r="P468" s="2" t="s">
        <v>805</v>
      </c>
      <c r="Q468" s="2" t="s">
        <v>806</v>
      </c>
    </row>
    <row r="469" spans="2:17" x14ac:dyDescent="0.25">
      <c r="B469" s="2" t="s">
        <v>1273</v>
      </c>
      <c r="C469" s="2" t="s">
        <v>138</v>
      </c>
      <c r="D469" s="2" t="s">
        <v>139</v>
      </c>
      <c r="E469" s="2" t="s">
        <v>122</v>
      </c>
      <c r="F469" s="2" t="s">
        <v>535</v>
      </c>
      <c r="G469" s="2" t="s">
        <v>416</v>
      </c>
      <c r="H469" s="2" t="s">
        <v>94</v>
      </c>
      <c r="I469" s="26">
        <v>45832</v>
      </c>
      <c r="J469" s="2">
        <v>16</v>
      </c>
      <c r="K469" s="2" t="s">
        <v>123</v>
      </c>
      <c r="L469" s="22">
        <v>2200</v>
      </c>
      <c r="M469" s="22">
        <v>35200</v>
      </c>
      <c r="N469" s="18">
        <v>37.65</v>
      </c>
      <c r="O469" s="26">
        <v>45877</v>
      </c>
      <c r="P469" s="2" t="s">
        <v>805</v>
      </c>
      <c r="Q469" s="2" t="s">
        <v>806</v>
      </c>
    </row>
    <row r="470" spans="2:17" x14ac:dyDescent="0.25">
      <c r="B470" s="2" t="s">
        <v>1274</v>
      </c>
      <c r="C470" s="2" t="s">
        <v>140</v>
      </c>
      <c r="D470" s="2" t="s">
        <v>141</v>
      </c>
      <c r="E470" s="2" t="s">
        <v>122</v>
      </c>
      <c r="F470" s="2" t="s">
        <v>535</v>
      </c>
      <c r="G470" s="2" t="s">
        <v>416</v>
      </c>
      <c r="H470" s="2" t="s">
        <v>94</v>
      </c>
      <c r="I470" s="26">
        <v>45115</v>
      </c>
      <c r="J470" s="2">
        <v>13</v>
      </c>
      <c r="K470" s="2" t="s">
        <v>123</v>
      </c>
      <c r="L470" s="22">
        <v>1850</v>
      </c>
      <c r="M470" s="22">
        <v>24050</v>
      </c>
      <c r="N470" s="18">
        <v>25.72</v>
      </c>
      <c r="O470" s="26">
        <v>45160</v>
      </c>
      <c r="P470" s="2" t="s">
        <v>805</v>
      </c>
      <c r="Q470" s="2" t="s">
        <v>806</v>
      </c>
    </row>
    <row r="471" spans="2:17" x14ac:dyDescent="0.25">
      <c r="B471" s="2" t="s">
        <v>1275</v>
      </c>
      <c r="C471" s="2" t="s">
        <v>140</v>
      </c>
      <c r="D471" s="2" t="s">
        <v>141</v>
      </c>
      <c r="E471" s="2" t="s">
        <v>122</v>
      </c>
      <c r="F471" s="2" t="s">
        <v>535</v>
      </c>
      <c r="G471" s="2" t="s">
        <v>416</v>
      </c>
      <c r="H471" s="2" t="s">
        <v>94</v>
      </c>
      <c r="I471" s="26">
        <v>45124</v>
      </c>
      <c r="J471" s="2">
        <v>15</v>
      </c>
      <c r="K471" s="2" t="s">
        <v>123</v>
      </c>
      <c r="L471" s="22">
        <v>1850</v>
      </c>
      <c r="M471" s="22">
        <v>27750</v>
      </c>
      <c r="N471" s="18">
        <v>29.68</v>
      </c>
      <c r="O471" s="26">
        <v>45169</v>
      </c>
      <c r="P471" s="2" t="s">
        <v>805</v>
      </c>
      <c r="Q471" s="2" t="s">
        <v>806</v>
      </c>
    </row>
    <row r="472" spans="2:17" x14ac:dyDescent="0.25">
      <c r="B472" s="2" t="s">
        <v>1276</v>
      </c>
      <c r="C472" s="2" t="s">
        <v>140</v>
      </c>
      <c r="D472" s="2" t="s">
        <v>141</v>
      </c>
      <c r="E472" s="2" t="s">
        <v>122</v>
      </c>
      <c r="F472" s="2" t="s">
        <v>535</v>
      </c>
      <c r="G472" s="2" t="s">
        <v>416</v>
      </c>
      <c r="H472" s="2" t="s">
        <v>94</v>
      </c>
      <c r="I472" s="26">
        <v>45131</v>
      </c>
      <c r="J472" s="2">
        <v>15</v>
      </c>
      <c r="K472" s="2" t="s">
        <v>123</v>
      </c>
      <c r="L472" s="22">
        <v>1850</v>
      </c>
      <c r="M472" s="22">
        <v>27750</v>
      </c>
      <c r="N472" s="18">
        <v>29.68</v>
      </c>
      <c r="O472" s="26">
        <v>45176</v>
      </c>
      <c r="P472" s="2" t="s">
        <v>805</v>
      </c>
      <c r="Q472" s="2" t="s">
        <v>806</v>
      </c>
    </row>
    <row r="473" spans="2:17" x14ac:dyDescent="0.25">
      <c r="B473" s="2" t="s">
        <v>1277</v>
      </c>
      <c r="C473" s="2" t="s">
        <v>140</v>
      </c>
      <c r="D473" s="2" t="s">
        <v>141</v>
      </c>
      <c r="E473" s="2" t="s">
        <v>122</v>
      </c>
      <c r="F473" s="2" t="s">
        <v>535</v>
      </c>
      <c r="G473" s="2" t="s">
        <v>416</v>
      </c>
      <c r="H473" s="2" t="s">
        <v>94</v>
      </c>
      <c r="I473" s="26">
        <v>45141</v>
      </c>
      <c r="J473" s="2">
        <v>16</v>
      </c>
      <c r="K473" s="2" t="s">
        <v>123</v>
      </c>
      <c r="L473" s="22">
        <v>1850</v>
      </c>
      <c r="M473" s="22">
        <v>29600</v>
      </c>
      <c r="N473" s="18">
        <v>31.66</v>
      </c>
      <c r="O473" s="26">
        <v>45186</v>
      </c>
      <c r="P473" s="2" t="s">
        <v>805</v>
      </c>
      <c r="Q473" s="2" t="s">
        <v>806</v>
      </c>
    </row>
    <row r="474" spans="2:17" x14ac:dyDescent="0.25">
      <c r="B474" s="2" t="s">
        <v>1278</v>
      </c>
      <c r="C474" s="2" t="s">
        <v>140</v>
      </c>
      <c r="D474" s="2" t="s">
        <v>141</v>
      </c>
      <c r="E474" s="2" t="s">
        <v>122</v>
      </c>
      <c r="F474" s="2" t="s">
        <v>535</v>
      </c>
      <c r="G474" s="2" t="s">
        <v>416</v>
      </c>
      <c r="H474" s="2" t="s">
        <v>94</v>
      </c>
      <c r="I474" s="26">
        <v>45149</v>
      </c>
      <c r="J474" s="2">
        <v>15</v>
      </c>
      <c r="K474" s="2" t="s">
        <v>123</v>
      </c>
      <c r="L474" s="22">
        <v>1850</v>
      </c>
      <c r="M474" s="22">
        <v>27750</v>
      </c>
      <c r="N474" s="18">
        <v>29.68</v>
      </c>
      <c r="O474" s="26">
        <v>45194</v>
      </c>
      <c r="P474" s="2" t="s">
        <v>805</v>
      </c>
      <c r="Q474" s="2" t="s">
        <v>806</v>
      </c>
    </row>
    <row r="475" spans="2:17" x14ac:dyDescent="0.25">
      <c r="B475" s="2" t="s">
        <v>1279</v>
      </c>
      <c r="C475" s="2" t="s">
        <v>140</v>
      </c>
      <c r="D475" s="2" t="s">
        <v>141</v>
      </c>
      <c r="E475" s="2" t="s">
        <v>122</v>
      </c>
      <c r="F475" s="2" t="s">
        <v>535</v>
      </c>
      <c r="G475" s="2" t="s">
        <v>416</v>
      </c>
      <c r="H475" s="2" t="s">
        <v>94</v>
      </c>
      <c r="I475" s="26">
        <v>45157</v>
      </c>
      <c r="J475" s="2">
        <v>17</v>
      </c>
      <c r="K475" s="2" t="s">
        <v>123</v>
      </c>
      <c r="L475" s="22">
        <v>1850</v>
      </c>
      <c r="M475" s="22">
        <v>31450</v>
      </c>
      <c r="N475" s="18">
        <v>33.64</v>
      </c>
      <c r="O475" s="26">
        <v>45202</v>
      </c>
      <c r="P475" s="2" t="s">
        <v>805</v>
      </c>
      <c r="Q475" s="2" t="s">
        <v>806</v>
      </c>
    </row>
    <row r="476" spans="2:17" x14ac:dyDescent="0.25">
      <c r="B476" s="2" t="s">
        <v>1280</v>
      </c>
      <c r="C476" s="2" t="s">
        <v>140</v>
      </c>
      <c r="D476" s="2" t="s">
        <v>141</v>
      </c>
      <c r="E476" s="2" t="s">
        <v>122</v>
      </c>
      <c r="F476" s="2" t="s">
        <v>535</v>
      </c>
      <c r="G476" s="2" t="s">
        <v>416</v>
      </c>
      <c r="H476" s="2" t="s">
        <v>94</v>
      </c>
      <c r="I476" s="26">
        <v>45168</v>
      </c>
      <c r="J476" s="2">
        <v>17</v>
      </c>
      <c r="K476" s="2" t="s">
        <v>123</v>
      </c>
      <c r="L476" s="22">
        <v>1850</v>
      </c>
      <c r="M476" s="22">
        <v>31450</v>
      </c>
      <c r="N476" s="18">
        <v>33.64</v>
      </c>
      <c r="O476" s="26">
        <v>45213</v>
      </c>
      <c r="P476" s="2" t="s">
        <v>805</v>
      </c>
      <c r="Q476" s="2" t="s">
        <v>806</v>
      </c>
    </row>
    <row r="477" spans="2:17" x14ac:dyDescent="0.25">
      <c r="B477" s="2" t="s">
        <v>1281</v>
      </c>
      <c r="C477" s="2" t="s">
        <v>140</v>
      </c>
      <c r="D477" s="2" t="s">
        <v>141</v>
      </c>
      <c r="E477" s="2" t="s">
        <v>122</v>
      </c>
      <c r="F477" s="2" t="s">
        <v>535</v>
      </c>
      <c r="G477" s="2" t="s">
        <v>416</v>
      </c>
      <c r="H477" s="2" t="s">
        <v>94</v>
      </c>
      <c r="I477" s="26">
        <v>45179</v>
      </c>
      <c r="J477" s="2">
        <v>18</v>
      </c>
      <c r="K477" s="2" t="s">
        <v>123</v>
      </c>
      <c r="L477" s="22">
        <v>1850</v>
      </c>
      <c r="M477" s="22">
        <v>33300</v>
      </c>
      <c r="N477" s="18">
        <v>35.61</v>
      </c>
      <c r="O477" s="26">
        <v>45224</v>
      </c>
      <c r="P477" s="2" t="s">
        <v>805</v>
      </c>
      <c r="Q477" s="2" t="s">
        <v>814</v>
      </c>
    </row>
    <row r="478" spans="2:17" x14ac:dyDescent="0.25">
      <c r="B478" s="2" t="s">
        <v>1282</v>
      </c>
      <c r="C478" s="2" t="s">
        <v>140</v>
      </c>
      <c r="D478" s="2" t="s">
        <v>141</v>
      </c>
      <c r="E478" s="2" t="s">
        <v>122</v>
      </c>
      <c r="F478" s="2" t="s">
        <v>537</v>
      </c>
      <c r="G478" s="2" t="s">
        <v>420</v>
      </c>
      <c r="H478" s="2" t="s">
        <v>421</v>
      </c>
      <c r="I478" s="26">
        <v>45188</v>
      </c>
      <c r="J478" s="2">
        <v>21</v>
      </c>
      <c r="K478" s="2" t="s">
        <v>123</v>
      </c>
      <c r="L478" s="22">
        <v>1900</v>
      </c>
      <c r="M478" s="22">
        <v>39900</v>
      </c>
      <c r="N478" s="18">
        <v>42.67</v>
      </c>
      <c r="O478" s="26">
        <v>45233</v>
      </c>
      <c r="P478" s="2" t="s">
        <v>805</v>
      </c>
      <c r="Q478" s="2" t="s">
        <v>814</v>
      </c>
    </row>
    <row r="479" spans="2:17" x14ac:dyDescent="0.25">
      <c r="B479" s="2" t="s">
        <v>1283</v>
      </c>
      <c r="C479" s="2" t="s">
        <v>140</v>
      </c>
      <c r="D479" s="2" t="s">
        <v>141</v>
      </c>
      <c r="E479" s="2" t="s">
        <v>122</v>
      </c>
      <c r="F479" s="2" t="s">
        <v>537</v>
      </c>
      <c r="G479" s="2" t="s">
        <v>420</v>
      </c>
      <c r="H479" s="2" t="s">
        <v>421</v>
      </c>
      <c r="I479" s="26">
        <v>45198</v>
      </c>
      <c r="J479" s="2">
        <v>20</v>
      </c>
      <c r="K479" s="2" t="s">
        <v>123</v>
      </c>
      <c r="L479" s="22">
        <v>1900</v>
      </c>
      <c r="M479" s="22">
        <v>38000</v>
      </c>
      <c r="N479" s="18">
        <v>40.64</v>
      </c>
      <c r="O479" s="26">
        <v>45243</v>
      </c>
      <c r="P479" s="2" t="s">
        <v>805</v>
      </c>
      <c r="Q479" s="2" t="s">
        <v>814</v>
      </c>
    </row>
    <row r="480" spans="2:17" x14ac:dyDescent="0.25">
      <c r="B480" s="2" t="s">
        <v>1284</v>
      </c>
      <c r="C480" s="2" t="s">
        <v>140</v>
      </c>
      <c r="D480" s="2" t="s">
        <v>141</v>
      </c>
      <c r="E480" s="2" t="s">
        <v>122</v>
      </c>
      <c r="F480" s="2" t="s">
        <v>535</v>
      </c>
      <c r="G480" s="2" t="s">
        <v>416</v>
      </c>
      <c r="H480" s="2" t="s">
        <v>94</v>
      </c>
      <c r="I480" s="26">
        <v>45208</v>
      </c>
      <c r="J480" s="2">
        <v>42</v>
      </c>
      <c r="K480" s="2" t="s">
        <v>123</v>
      </c>
      <c r="L480" s="22">
        <v>1850</v>
      </c>
      <c r="M480" s="22">
        <v>77700</v>
      </c>
      <c r="N480" s="18">
        <v>83.1</v>
      </c>
      <c r="O480" s="26">
        <v>45253</v>
      </c>
      <c r="P480" s="2" t="s">
        <v>805</v>
      </c>
      <c r="Q480" s="2" t="s">
        <v>814</v>
      </c>
    </row>
    <row r="481" spans="2:17" x14ac:dyDescent="0.25">
      <c r="B481" s="2" t="s">
        <v>1285</v>
      </c>
      <c r="C481" s="2" t="s">
        <v>140</v>
      </c>
      <c r="D481" s="2" t="s">
        <v>141</v>
      </c>
      <c r="E481" s="2" t="s">
        <v>122</v>
      </c>
      <c r="F481" s="2" t="s">
        <v>535</v>
      </c>
      <c r="G481" s="2" t="s">
        <v>416</v>
      </c>
      <c r="H481" s="2" t="s">
        <v>94</v>
      </c>
      <c r="I481" s="26">
        <v>45216</v>
      </c>
      <c r="J481" s="2">
        <v>38</v>
      </c>
      <c r="K481" s="2" t="s">
        <v>123</v>
      </c>
      <c r="L481" s="22">
        <v>1850</v>
      </c>
      <c r="M481" s="22">
        <v>70300</v>
      </c>
      <c r="N481" s="18">
        <v>75.19</v>
      </c>
      <c r="O481" s="26">
        <v>45261</v>
      </c>
      <c r="P481" s="2" t="s">
        <v>805</v>
      </c>
      <c r="Q481" s="2" t="s">
        <v>814</v>
      </c>
    </row>
    <row r="482" spans="2:17" x14ac:dyDescent="0.25">
      <c r="B482" s="2" t="s">
        <v>1286</v>
      </c>
      <c r="C482" s="2" t="s">
        <v>140</v>
      </c>
      <c r="D482" s="2" t="s">
        <v>141</v>
      </c>
      <c r="E482" s="2" t="s">
        <v>122</v>
      </c>
      <c r="F482" s="2" t="s">
        <v>537</v>
      </c>
      <c r="G482" s="2" t="s">
        <v>420</v>
      </c>
      <c r="H482" s="2" t="s">
        <v>421</v>
      </c>
      <c r="I482" s="26">
        <v>45226</v>
      </c>
      <c r="J482" s="2">
        <v>38</v>
      </c>
      <c r="K482" s="2" t="s">
        <v>123</v>
      </c>
      <c r="L482" s="22">
        <v>1900</v>
      </c>
      <c r="M482" s="22">
        <v>72200</v>
      </c>
      <c r="N482" s="18">
        <v>77.22</v>
      </c>
      <c r="O482" s="26">
        <v>45271</v>
      </c>
      <c r="P482" s="2" t="s">
        <v>805</v>
      </c>
      <c r="Q482" s="2" t="s">
        <v>814</v>
      </c>
    </row>
    <row r="483" spans="2:17" x14ac:dyDescent="0.25">
      <c r="B483" s="2" t="s">
        <v>1287</v>
      </c>
      <c r="C483" s="2" t="s">
        <v>140</v>
      </c>
      <c r="D483" s="2" t="s">
        <v>141</v>
      </c>
      <c r="E483" s="2" t="s">
        <v>122</v>
      </c>
      <c r="F483" s="2" t="s">
        <v>535</v>
      </c>
      <c r="G483" s="2" t="s">
        <v>416</v>
      </c>
      <c r="H483" s="2" t="s">
        <v>94</v>
      </c>
      <c r="I483" s="26">
        <v>45236</v>
      </c>
      <c r="J483" s="2">
        <v>35</v>
      </c>
      <c r="K483" s="2" t="s">
        <v>123</v>
      </c>
      <c r="L483" s="22">
        <v>1850</v>
      </c>
      <c r="M483" s="22">
        <v>64750</v>
      </c>
      <c r="N483" s="18">
        <v>69.25</v>
      </c>
      <c r="O483" s="26">
        <v>45281</v>
      </c>
      <c r="P483" s="2" t="s">
        <v>805</v>
      </c>
      <c r="Q483" s="2" t="s">
        <v>814</v>
      </c>
    </row>
    <row r="484" spans="2:17" x14ac:dyDescent="0.25">
      <c r="B484" s="2" t="s">
        <v>1288</v>
      </c>
      <c r="C484" s="2" t="s">
        <v>140</v>
      </c>
      <c r="D484" s="2" t="s">
        <v>141</v>
      </c>
      <c r="E484" s="2" t="s">
        <v>122</v>
      </c>
      <c r="F484" s="2" t="s">
        <v>535</v>
      </c>
      <c r="G484" s="2" t="s">
        <v>416</v>
      </c>
      <c r="H484" s="2" t="s">
        <v>94</v>
      </c>
      <c r="I484" s="26">
        <v>45245</v>
      </c>
      <c r="J484" s="2">
        <v>41</v>
      </c>
      <c r="K484" s="2" t="s">
        <v>123</v>
      </c>
      <c r="L484" s="22">
        <v>1850</v>
      </c>
      <c r="M484" s="22">
        <v>75850</v>
      </c>
      <c r="N484" s="18">
        <v>81.12</v>
      </c>
      <c r="O484" s="26">
        <v>45290</v>
      </c>
      <c r="P484" s="2" t="s">
        <v>805</v>
      </c>
      <c r="Q484" s="2" t="s">
        <v>814</v>
      </c>
    </row>
    <row r="485" spans="2:17" x14ac:dyDescent="0.25">
      <c r="B485" s="2" t="s">
        <v>1289</v>
      </c>
      <c r="C485" s="2" t="s">
        <v>140</v>
      </c>
      <c r="D485" s="2" t="s">
        <v>141</v>
      </c>
      <c r="E485" s="2" t="s">
        <v>122</v>
      </c>
      <c r="F485" s="2" t="s">
        <v>535</v>
      </c>
      <c r="G485" s="2" t="s">
        <v>416</v>
      </c>
      <c r="H485" s="2" t="s">
        <v>94</v>
      </c>
      <c r="I485" s="26">
        <v>45254</v>
      </c>
      <c r="J485" s="2">
        <v>34</v>
      </c>
      <c r="K485" s="2" t="s">
        <v>123</v>
      </c>
      <c r="L485" s="22">
        <v>1850</v>
      </c>
      <c r="M485" s="22">
        <v>62900</v>
      </c>
      <c r="N485" s="18">
        <v>67.27</v>
      </c>
      <c r="O485" s="26">
        <v>45299</v>
      </c>
      <c r="P485" s="2" t="s">
        <v>805</v>
      </c>
      <c r="Q485" s="2" t="s">
        <v>814</v>
      </c>
    </row>
    <row r="486" spans="2:17" x14ac:dyDescent="0.25">
      <c r="B486" s="2" t="s">
        <v>1290</v>
      </c>
      <c r="C486" s="2" t="s">
        <v>140</v>
      </c>
      <c r="D486" s="2" t="s">
        <v>141</v>
      </c>
      <c r="E486" s="2" t="s">
        <v>122</v>
      </c>
      <c r="F486" s="2" t="s">
        <v>535</v>
      </c>
      <c r="G486" s="2" t="s">
        <v>416</v>
      </c>
      <c r="H486" s="2" t="s">
        <v>94</v>
      </c>
      <c r="I486" s="26">
        <v>45264</v>
      </c>
      <c r="J486" s="2">
        <v>56</v>
      </c>
      <c r="K486" s="2" t="s">
        <v>123</v>
      </c>
      <c r="L486" s="22">
        <v>1850</v>
      </c>
      <c r="M486" s="22">
        <v>103600</v>
      </c>
      <c r="N486" s="18">
        <v>110.8</v>
      </c>
      <c r="O486" s="26">
        <v>45309</v>
      </c>
      <c r="P486" s="2" t="s">
        <v>805</v>
      </c>
      <c r="Q486" s="2" t="s">
        <v>825</v>
      </c>
    </row>
    <row r="487" spans="2:17" x14ac:dyDescent="0.25">
      <c r="B487" s="2" t="s">
        <v>1291</v>
      </c>
      <c r="C487" s="2" t="s">
        <v>140</v>
      </c>
      <c r="D487" s="2" t="s">
        <v>141</v>
      </c>
      <c r="E487" s="2" t="s">
        <v>122</v>
      </c>
      <c r="F487" s="2" t="s">
        <v>535</v>
      </c>
      <c r="G487" s="2" t="s">
        <v>416</v>
      </c>
      <c r="H487" s="2" t="s">
        <v>94</v>
      </c>
      <c r="I487" s="26">
        <v>45275</v>
      </c>
      <c r="J487" s="2">
        <v>46</v>
      </c>
      <c r="K487" s="2" t="s">
        <v>123</v>
      </c>
      <c r="L487" s="22">
        <v>1850</v>
      </c>
      <c r="M487" s="22">
        <v>85100</v>
      </c>
      <c r="N487" s="18">
        <v>91.02</v>
      </c>
      <c r="O487" s="26">
        <v>45320</v>
      </c>
      <c r="P487" s="2" t="s">
        <v>805</v>
      </c>
      <c r="Q487" s="2" t="s">
        <v>825</v>
      </c>
    </row>
    <row r="488" spans="2:17" x14ac:dyDescent="0.25">
      <c r="B488" s="2" t="s">
        <v>1292</v>
      </c>
      <c r="C488" s="2" t="s">
        <v>140</v>
      </c>
      <c r="D488" s="2" t="s">
        <v>141</v>
      </c>
      <c r="E488" s="2" t="s">
        <v>122</v>
      </c>
      <c r="F488" s="2" t="s">
        <v>535</v>
      </c>
      <c r="G488" s="2" t="s">
        <v>416</v>
      </c>
      <c r="H488" s="2" t="s">
        <v>94</v>
      </c>
      <c r="I488" s="26">
        <v>45284</v>
      </c>
      <c r="J488" s="2">
        <v>50</v>
      </c>
      <c r="K488" s="2" t="s">
        <v>123</v>
      </c>
      <c r="L488" s="22">
        <v>1850</v>
      </c>
      <c r="M488" s="22">
        <v>92500</v>
      </c>
      <c r="N488" s="18">
        <v>98.93</v>
      </c>
      <c r="O488" s="26">
        <v>45329</v>
      </c>
      <c r="P488" s="2" t="s">
        <v>805</v>
      </c>
      <c r="Q488" s="2" t="s">
        <v>825</v>
      </c>
    </row>
    <row r="489" spans="2:17" x14ac:dyDescent="0.25">
      <c r="B489" s="2" t="s">
        <v>1293</v>
      </c>
      <c r="C489" s="2" t="s">
        <v>140</v>
      </c>
      <c r="D489" s="2" t="s">
        <v>141</v>
      </c>
      <c r="E489" s="2" t="s">
        <v>122</v>
      </c>
      <c r="F489" s="2" t="s">
        <v>535</v>
      </c>
      <c r="G489" s="2" t="s">
        <v>416</v>
      </c>
      <c r="H489" s="2" t="s">
        <v>94</v>
      </c>
      <c r="I489" s="26">
        <v>45293</v>
      </c>
      <c r="J489" s="2">
        <v>40</v>
      </c>
      <c r="K489" s="2" t="s">
        <v>123</v>
      </c>
      <c r="L489" s="22">
        <v>1850</v>
      </c>
      <c r="M489" s="22">
        <v>74000</v>
      </c>
      <c r="N489" s="18">
        <v>79.14</v>
      </c>
      <c r="O489" s="26">
        <v>45338</v>
      </c>
      <c r="P489" s="2" t="s">
        <v>805</v>
      </c>
      <c r="Q489" s="2" t="s">
        <v>825</v>
      </c>
    </row>
    <row r="490" spans="2:17" x14ac:dyDescent="0.25">
      <c r="B490" s="2" t="s">
        <v>1294</v>
      </c>
      <c r="C490" s="2" t="s">
        <v>140</v>
      </c>
      <c r="D490" s="2" t="s">
        <v>141</v>
      </c>
      <c r="E490" s="2" t="s">
        <v>122</v>
      </c>
      <c r="F490" s="2" t="s">
        <v>535</v>
      </c>
      <c r="G490" s="2" t="s">
        <v>416</v>
      </c>
      <c r="H490" s="2" t="s">
        <v>94</v>
      </c>
      <c r="I490" s="26">
        <v>45304</v>
      </c>
      <c r="J490" s="2">
        <v>41</v>
      </c>
      <c r="K490" s="2" t="s">
        <v>123</v>
      </c>
      <c r="L490" s="22">
        <v>1850</v>
      </c>
      <c r="M490" s="22">
        <v>75850</v>
      </c>
      <c r="N490" s="18">
        <v>81.12</v>
      </c>
      <c r="O490" s="26">
        <v>45349</v>
      </c>
      <c r="P490" s="2" t="s">
        <v>805</v>
      </c>
      <c r="Q490" s="2" t="s">
        <v>825</v>
      </c>
    </row>
    <row r="491" spans="2:17" x14ac:dyDescent="0.25">
      <c r="B491" s="2" t="s">
        <v>1295</v>
      </c>
      <c r="C491" s="2" t="s">
        <v>140</v>
      </c>
      <c r="D491" s="2" t="s">
        <v>141</v>
      </c>
      <c r="E491" s="2" t="s">
        <v>122</v>
      </c>
      <c r="F491" s="2" t="s">
        <v>537</v>
      </c>
      <c r="G491" s="2" t="s">
        <v>420</v>
      </c>
      <c r="H491" s="2" t="s">
        <v>421</v>
      </c>
      <c r="I491" s="26">
        <v>45317</v>
      </c>
      <c r="J491" s="2">
        <v>44</v>
      </c>
      <c r="K491" s="2" t="s">
        <v>123</v>
      </c>
      <c r="L491" s="22">
        <v>1900</v>
      </c>
      <c r="M491" s="22">
        <v>83600</v>
      </c>
      <c r="N491" s="18">
        <v>89.41</v>
      </c>
      <c r="O491" s="26">
        <v>45362</v>
      </c>
      <c r="P491" s="2" t="s">
        <v>805</v>
      </c>
      <c r="Q491" s="2" t="s">
        <v>825</v>
      </c>
    </row>
    <row r="492" spans="2:17" x14ac:dyDescent="0.25">
      <c r="B492" s="2" t="s">
        <v>1296</v>
      </c>
      <c r="C492" s="2" t="s">
        <v>140</v>
      </c>
      <c r="D492" s="2" t="s">
        <v>141</v>
      </c>
      <c r="E492" s="2" t="s">
        <v>122</v>
      </c>
      <c r="F492" s="2" t="s">
        <v>535</v>
      </c>
      <c r="G492" s="2" t="s">
        <v>416</v>
      </c>
      <c r="H492" s="2" t="s">
        <v>94</v>
      </c>
      <c r="I492" s="26">
        <v>45327</v>
      </c>
      <c r="J492" s="2">
        <v>36</v>
      </c>
      <c r="K492" s="2" t="s">
        <v>123</v>
      </c>
      <c r="L492" s="22">
        <v>1850</v>
      </c>
      <c r="M492" s="22">
        <v>66600</v>
      </c>
      <c r="N492" s="18">
        <v>71.23</v>
      </c>
      <c r="O492" s="26">
        <v>45372</v>
      </c>
      <c r="P492" s="2" t="s">
        <v>805</v>
      </c>
      <c r="Q492" s="2" t="s">
        <v>825</v>
      </c>
    </row>
    <row r="493" spans="2:17" x14ac:dyDescent="0.25">
      <c r="B493" s="2" t="s">
        <v>1297</v>
      </c>
      <c r="C493" s="2" t="s">
        <v>140</v>
      </c>
      <c r="D493" s="2" t="s">
        <v>141</v>
      </c>
      <c r="E493" s="2" t="s">
        <v>122</v>
      </c>
      <c r="F493" s="2" t="s">
        <v>535</v>
      </c>
      <c r="G493" s="2" t="s">
        <v>416</v>
      </c>
      <c r="H493" s="2" t="s">
        <v>94</v>
      </c>
      <c r="I493" s="26">
        <v>45337</v>
      </c>
      <c r="J493" s="2">
        <v>44</v>
      </c>
      <c r="K493" s="2" t="s">
        <v>123</v>
      </c>
      <c r="L493" s="22">
        <v>1850</v>
      </c>
      <c r="M493" s="22">
        <v>81400</v>
      </c>
      <c r="N493" s="18">
        <v>87.06</v>
      </c>
      <c r="O493" s="26">
        <v>45382</v>
      </c>
      <c r="P493" s="2" t="s">
        <v>805</v>
      </c>
      <c r="Q493" s="2" t="s">
        <v>825</v>
      </c>
    </row>
    <row r="494" spans="2:17" x14ac:dyDescent="0.25">
      <c r="B494" s="2" t="s">
        <v>1298</v>
      </c>
      <c r="C494" s="2" t="s">
        <v>140</v>
      </c>
      <c r="D494" s="2" t="s">
        <v>141</v>
      </c>
      <c r="E494" s="2" t="s">
        <v>122</v>
      </c>
      <c r="F494" s="2" t="s">
        <v>535</v>
      </c>
      <c r="G494" s="2" t="s">
        <v>416</v>
      </c>
      <c r="H494" s="2" t="s">
        <v>94</v>
      </c>
      <c r="I494" s="26">
        <v>45345</v>
      </c>
      <c r="J494" s="2">
        <v>38</v>
      </c>
      <c r="K494" s="2" t="s">
        <v>123</v>
      </c>
      <c r="L494" s="22">
        <v>1850</v>
      </c>
      <c r="M494" s="22">
        <v>70300</v>
      </c>
      <c r="N494" s="18">
        <v>75.19</v>
      </c>
      <c r="O494" s="26">
        <v>45390</v>
      </c>
      <c r="P494" s="2" t="s">
        <v>805</v>
      </c>
      <c r="Q494" s="2" t="s">
        <v>825</v>
      </c>
    </row>
    <row r="495" spans="2:17" x14ac:dyDescent="0.25">
      <c r="B495" s="2" t="s">
        <v>1299</v>
      </c>
      <c r="C495" s="2" t="s">
        <v>140</v>
      </c>
      <c r="D495" s="2" t="s">
        <v>141</v>
      </c>
      <c r="E495" s="2" t="s">
        <v>122</v>
      </c>
      <c r="F495" s="2" t="s">
        <v>535</v>
      </c>
      <c r="G495" s="2" t="s">
        <v>416</v>
      </c>
      <c r="H495" s="2" t="s">
        <v>94</v>
      </c>
      <c r="I495" s="26">
        <v>45352</v>
      </c>
      <c r="J495" s="2">
        <v>34</v>
      </c>
      <c r="K495" s="2" t="s">
        <v>123</v>
      </c>
      <c r="L495" s="22">
        <v>1850</v>
      </c>
      <c r="M495" s="22">
        <v>62900</v>
      </c>
      <c r="N495" s="18">
        <v>67.27</v>
      </c>
      <c r="O495" s="26">
        <v>45397</v>
      </c>
      <c r="P495" s="2" t="s">
        <v>805</v>
      </c>
      <c r="Q495" s="2" t="s">
        <v>836</v>
      </c>
    </row>
    <row r="496" spans="2:17" x14ac:dyDescent="0.25">
      <c r="B496" s="2" t="s">
        <v>1300</v>
      </c>
      <c r="C496" s="2" t="s">
        <v>140</v>
      </c>
      <c r="D496" s="2" t="s">
        <v>141</v>
      </c>
      <c r="E496" s="2" t="s">
        <v>122</v>
      </c>
      <c r="F496" s="2" t="s">
        <v>535</v>
      </c>
      <c r="G496" s="2" t="s">
        <v>416</v>
      </c>
      <c r="H496" s="2" t="s">
        <v>94</v>
      </c>
      <c r="I496" s="26">
        <v>45362</v>
      </c>
      <c r="J496" s="2">
        <v>41</v>
      </c>
      <c r="K496" s="2" t="s">
        <v>123</v>
      </c>
      <c r="L496" s="22">
        <v>1850</v>
      </c>
      <c r="M496" s="22">
        <v>75850</v>
      </c>
      <c r="N496" s="18">
        <v>81.12</v>
      </c>
      <c r="O496" s="26">
        <v>45407</v>
      </c>
      <c r="P496" s="2" t="s">
        <v>805</v>
      </c>
      <c r="Q496" s="2" t="s">
        <v>836</v>
      </c>
    </row>
    <row r="497" spans="2:17" x14ac:dyDescent="0.25">
      <c r="B497" s="2" t="s">
        <v>1301</v>
      </c>
      <c r="C497" s="2" t="s">
        <v>140</v>
      </c>
      <c r="D497" s="2" t="s">
        <v>141</v>
      </c>
      <c r="E497" s="2" t="s">
        <v>122</v>
      </c>
      <c r="F497" s="2" t="s">
        <v>535</v>
      </c>
      <c r="G497" s="2" t="s">
        <v>416</v>
      </c>
      <c r="H497" s="2" t="s">
        <v>94</v>
      </c>
      <c r="I497" s="26">
        <v>45372</v>
      </c>
      <c r="J497" s="2">
        <v>45</v>
      </c>
      <c r="K497" s="2" t="s">
        <v>123</v>
      </c>
      <c r="L497" s="22">
        <v>1850</v>
      </c>
      <c r="M497" s="22">
        <v>83250</v>
      </c>
      <c r="N497" s="18">
        <v>89.04</v>
      </c>
      <c r="O497" s="26">
        <v>45417</v>
      </c>
      <c r="P497" s="2" t="s">
        <v>805</v>
      </c>
      <c r="Q497" s="2" t="s">
        <v>836</v>
      </c>
    </row>
    <row r="498" spans="2:17" x14ac:dyDescent="0.25">
      <c r="B498" s="2" t="s">
        <v>1302</v>
      </c>
      <c r="C498" s="2" t="s">
        <v>140</v>
      </c>
      <c r="D498" s="2" t="s">
        <v>141</v>
      </c>
      <c r="E498" s="2" t="s">
        <v>122</v>
      </c>
      <c r="F498" s="2" t="s">
        <v>535</v>
      </c>
      <c r="G498" s="2" t="s">
        <v>416</v>
      </c>
      <c r="H498" s="2" t="s">
        <v>94</v>
      </c>
      <c r="I498" s="26">
        <v>45380</v>
      </c>
      <c r="J498" s="2">
        <v>34</v>
      </c>
      <c r="K498" s="2" t="s">
        <v>123</v>
      </c>
      <c r="L498" s="22">
        <v>1850</v>
      </c>
      <c r="M498" s="22">
        <v>62900</v>
      </c>
      <c r="N498" s="18">
        <v>67.27</v>
      </c>
      <c r="O498" s="26">
        <v>45425</v>
      </c>
      <c r="P498" s="2" t="s">
        <v>805</v>
      </c>
      <c r="Q498" s="2" t="s">
        <v>836</v>
      </c>
    </row>
    <row r="499" spans="2:17" x14ac:dyDescent="0.25">
      <c r="B499" s="2" t="s">
        <v>1303</v>
      </c>
      <c r="C499" s="2" t="s">
        <v>140</v>
      </c>
      <c r="D499" s="2" t="s">
        <v>141</v>
      </c>
      <c r="E499" s="2" t="s">
        <v>122</v>
      </c>
      <c r="F499" s="2" t="s">
        <v>535</v>
      </c>
      <c r="G499" s="2" t="s">
        <v>416</v>
      </c>
      <c r="H499" s="2" t="s">
        <v>94</v>
      </c>
      <c r="I499" s="26">
        <v>45390</v>
      </c>
      <c r="J499" s="2">
        <v>14</v>
      </c>
      <c r="K499" s="2" t="s">
        <v>123</v>
      </c>
      <c r="L499" s="22">
        <v>1850</v>
      </c>
      <c r="M499" s="22">
        <v>25900</v>
      </c>
      <c r="N499" s="18">
        <v>27.7</v>
      </c>
      <c r="O499" s="26">
        <v>45435</v>
      </c>
      <c r="P499" s="2" t="s">
        <v>805</v>
      </c>
      <c r="Q499" s="2" t="s">
        <v>836</v>
      </c>
    </row>
    <row r="500" spans="2:17" x14ac:dyDescent="0.25">
      <c r="B500" s="2" t="s">
        <v>1304</v>
      </c>
      <c r="C500" s="2" t="s">
        <v>140</v>
      </c>
      <c r="D500" s="2" t="s">
        <v>141</v>
      </c>
      <c r="E500" s="2" t="s">
        <v>122</v>
      </c>
      <c r="F500" s="2" t="s">
        <v>535</v>
      </c>
      <c r="G500" s="2" t="s">
        <v>416</v>
      </c>
      <c r="H500" s="2" t="s">
        <v>94</v>
      </c>
      <c r="I500" s="26">
        <v>45400</v>
      </c>
      <c r="J500" s="2">
        <v>13</v>
      </c>
      <c r="K500" s="2" t="s">
        <v>123</v>
      </c>
      <c r="L500" s="22">
        <v>1850</v>
      </c>
      <c r="M500" s="22">
        <v>24050</v>
      </c>
      <c r="N500" s="18">
        <v>25.72</v>
      </c>
      <c r="O500" s="26">
        <v>45445</v>
      </c>
      <c r="P500" s="2" t="s">
        <v>805</v>
      </c>
      <c r="Q500" s="2" t="s">
        <v>836</v>
      </c>
    </row>
    <row r="501" spans="2:17" x14ac:dyDescent="0.25">
      <c r="B501" s="2" t="s">
        <v>1305</v>
      </c>
      <c r="C501" s="2" t="s">
        <v>140</v>
      </c>
      <c r="D501" s="2" t="s">
        <v>141</v>
      </c>
      <c r="E501" s="2" t="s">
        <v>122</v>
      </c>
      <c r="F501" s="2" t="s">
        <v>535</v>
      </c>
      <c r="G501" s="2" t="s">
        <v>416</v>
      </c>
      <c r="H501" s="2" t="s">
        <v>94</v>
      </c>
      <c r="I501" s="26">
        <v>45411</v>
      </c>
      <c r="J501" s="2">
        <v>16</v>
      </c>
      <c r="K501" s="2" t="s">
        <v>123</v>
      </c>
      <c r="L501" s="22">
        <v>1850</v>
      </c>
      <c r="M501" s="22">
        <v>29600</v>
      </c>
      <c r="N501" s="18">
        <v>31.66</v>
      </c>
      <c r="O501" s="26">
        <v>45456</v>
      </c>
      <c r="P501" s="2" t="s">
        <v>805</v>
      </c>
      <c r="Q501" s="2" t="s">
        <v>836</v>
      </c>
    </row>
    <row r="502" spans="2:17" x14ac:dyDescent="0.25">
      <c r="B502" s="2" t="s">
        <v>1306</v>
      </c>
      <c r="C502" s="2" t="s">
        <v>140</v>
      </c>
      <c r="D502" s="2" t="s">
        <v>141</v>
      </c>
      <c r="E502" s="2" t="s">
        <v>122</v>
      </c>
      <c r="F502" s="2" t="s">
        <v>535</v>
      </c>
      <c r="G502" s="2" t="s">
        <v>416</v>
      </c>
      <c r="H502" s="2" t="s">
        <v>94</v>
      </c>
      <c r="I502" s="26">
        <v>45420</v>
      </c>
      <c r="J502" s="2">
        <v>16</v>
      </c>
      <c r="K502" s="2" t="s">
        <v>123</v>
      </c>
      <c r="L502" s="22">
        <v>1850</v>
      </c>
      <c r="M502" s="22">
        <v>29600</v>
      </c>
      <c r="N502" s="18">
        <v>31.66</v>
      </c>
      <c r="O502" s="26">
        <v>45465</v>
      </c>
      <c r="P502" s="2" t="s">
        <v>805</v>
      </c>
      <c r="Q502" s="2" t="s">
        <v>836</v>
      </c>
    </row>
    <row r="503" spans="2:17" x14ac:dyDescent="0.25">
      <c r="B503" s="2" t="s">
        <v>1307</v>
      </c>
      <c r="C503" s="2" t="s">
        <v>140</v>
      </c>
      <c r="D503" s="2" t="s">
        <v>141</v>
      </c>
      <c r="E503" s="2" t="s">
        <v>122</v>
      </c>
      <c r="F503" s="2" t="s">
        <v>537</v>
      </c>
      <c r="G503" s="2" t="s">
        <v>420</v>
      </c>
      <c r="H503" s="2" t="s">
        <v>421</v>
      </c>
      <c r="I503" s="26">
        <v>45432</v>
      </c>
      <c r="J503" s="2">
        <v>15</v>
      </c>
      <c r="K503" s="2" t="s">
        <v>123</v>
      </c>
      <c r="L503" s="22">
        <v>1900</v>
      </c>
      <c r="M503" s="22">
        <v>28500</v>
      </c>
      <c r="N503" s="18">
        <v>30.48</v>
      </c>
      <c r="O503" s="26">
        <v>45477</v>
      </c>
      <c r="P503" s="2" t="s">
        <v>805</v>
      </c>
      <c r="Q503" s="2" t="s">
        <v>836</v>
      </c>
    </row>
    <row r="504" spans="2:17" x14ac:dyDescent="0.25">
      <c r="B504" s="2" t="s">
        <v>1308</v>
      </c>
      <c r="C504" s="2" t="s">
        <v>140</v>
      </c>
      <c r="D504" s="2" t="s">
        <v>141</v>
      </c>
      <c r="E504" s="2" t="s">
        <v>122</v>
      </c>
      <c r="F504" s="2" t="s">
        <v>535</v>
      </c>
      <c r="G504" s="2" t="s">
        <v>416</v>
      </c>
      <c r="H504" s="2" t="s">
        <v>94</v>
      </c>
      <c r="I504" s="26">
        <v>45442</v>
      </c>
      <c r="J504" s="2">
        <v>14</v>
      </c>
      <c r="K504" s="2" t="s">
        <v>123</v>
      </c>
      <c r="L504" s="22">
        <v>1850</v>
      </c>
      <c r="M504" s="22">
        <v>25900</v>
      </c>
      <c r="N504" s="18">
        <v>27.7</v>
      </c>
      <c r="O504" s="26">
        <v>45487</v>
      </c>
      <c r="P504" s="2" t="s">
        <v>805</v>
      </c>
      <c r="Q504" s="2" t="s">
        <v>836</v>
      </c>
    </row>
    <row r="505" spans="2:17" x14ac:dyDescent="0.25">
      <c r="B505" s="2" t="s">
        <v>1309</v>
      </c>
      <c r="C505" s="2" t="s">
        <v>140</v>
      </c>
      <c r="D505" s="2" t="s">
        <v>141</v>
      </c>
      <c r="E505" s="2" t="s">
        <v>122</v>
      </c>
      <c r="F505" s="2" t="s">
        <v>535</v>
      </c>
      <c r="G505" s="2" t="s">
        <v>416</v>
      </c>
      <c r="H505" s="2" t="s">
        <v>94</v>
      </c>
      <c r="I505" s="26">
        <v>45450</v>
      </c>
      <c r="J505" s="2">
        <v>17</v>
      </c>
      <c r="K505" s="2" t="s">
        <v>123</v>
      </c>
      <c r="L505" s="22">
        <v>1850</v>
      </c>
      <c r="M505" s="22">
        <v>31450</v>
      </c>
      <c r="N505" s="18">
        <v>33.64</v>
      </c>
      <c r="O505" s="26">
        <v>45495</v>
      </c>
      <c r="P505" s="2" t="s">
        <v>805</v>
      </c>
      <c r="Q505" s="2" t="s">
        <v>806</v>
      </c>
    </row>
    <row r="506" spans="2:17" x14ac:dyDescent="0.25">
      <c r="B506" s="2" t="s">
        <v>1310</v>
      </c>
      <c r="C506" s="2" t="s">
        <v>140</v>
      </c>
      <c r="D506" s="2" t="s">
        <v>141</v>
      </c>
      <c r="E506" s="2" t="s">
        <v>122</v>
      </c>
      <c r="F506" s="2" t="s">
        <v>535</v>
      </c>
      <c r="G506" s="2" t="s">
        <v>416</v>
      </c>
      <c r="H506" s="2" t="s">
        <v>94</v>
      </c>
      <c r="I506" s="26">
        <v>45462</v>
      </c>
      <c r="J506" s="2">
        <v>15</v>
      </c>
      <c r="K506" s="2" t="s">
        <v>123</v>
      </c>
      <c r="L506" s="22">
        <v>1850</v>
      </c>
      <c r="M506" s="22">
        <v>27750</v>
      </c>
      <c r="N506" s="18">
        <v>29.68</v>
      </c>
      <c r="O506" s="26">
        <v>45507</v>
      </c>
      <c r="P506" s="2" t="s">
        <v>805</v>
      </c>
      <c r="Q506" s="2" t="s">
        <v>806</v>
      </c>
    </row>
    <row r="507" spans="2:17" x14ac:dyDescent="0.25">
      <c r="B507" s="2" t="s">
        <v>1311</v>
      </c>
      <c r="C507" s="2" t="s">
        <v>140</v>
      </c>
      <c r="D507" s="2" t="s">
        <v>141</v>
      </c>
      <c r="E507" s="2" t="s">
        <v>122</v>
      </c>
      <c r="F507" s="2" t="s">
        <v>535</v>
      </c>
      <c r="G507" s="2" t="s">
        <v>416</v>
      </c>
      <c r="H507" s="2" t="s">
        <v>94</v>
      </c>
      <c r="I507" s="26">
        <v>45472</v>
      </c>
      <c r="J507" s="2">
        <v>14</v>
      </c>
      <c r="K507" s="2" t="s">
        <v>123</v>
      </c>
      <c r="L507" s="22">
        <v>1850</v>
      </c>
      <c r="M507" s="22">
        <v>25900</v>
      </c>
      <c r="N507" s="18">
        <v>27.7</v>
      </c>
      <c r="O507" s="26">
        <v>45517</v>
      </c>
      <c r="P507" s="2" t="s">
        <v>805</v>
      </c>
      <c r="Q507" s="2" t="s">
        <v>806</v>
      </c>
    </row>
    <row r="508" spans="2:17" x14ac:dyDescent="0.25">
      <c r="B508" s="2" t="s">
        <v>1312</v>
      </c>
      <c r="C508" s="2" t="s">
        <v>140</v>
      </c>
      <c r="D508" s="2" t="s">
        <v>141</v>
      </c>
      <c r="E508" s="2" t="s">
        <v>122</v>
      </c>
      <c r="F508" s="2" t="s">
        <v>535</v>
      </c>
      <c r="G508" s="2" t="s">
        <v>416</v>
      </c>
      <c r="H508" s="2" t="s">
        <v>94</v>
      </c>
      <c r="I508" s="26">
        <v>45480</v>
      </c>
      <c r="J508" s="2">
        <v>16</v>
      </c>
      <c r="K508" s="2" t="s">
        <v>123</v>
      </c>
      <c r="L508" s="22">
        <v>1850</v>
      </c>
      <c r="M508" s="22">
        <v>29600</v>
      </c>
      <c r="N508" s="18">
        <v>31.66</v>
      </c>
      <c r="O508" s="26">
        <v>45525</v>
      </c>
      <c r="P508" s="2" t="s">
        <v>805</v>
      </c>
      <c r="Q508" s="2" t="s">
        <v>806</v>
      </c>
    </row>
    <row r="509" spans="2:17" x14ac:dyDescent="0.25">
      <c r="B509" s="2" t="s">
        <v>1313</v>
      </c>
      <c r="C509" s="2" t="s">
        <v>140</v>
      </c>
      <c r="D509" s="2" t="s">
        <v>141</v>
      </c>
      <c r="E509" s="2" t="s">
        <v>122</v>
      </c>
      <c r="F509" s="2" t="s">
        <v>535</v>
      </c>
      <c r="G509" s="2" t="s">
        <v>416</v>
      </c>
      <c r="H509" s="2" t="s">
        <v>94</v>
      </c>
      <c r="I509" s="26">
        <v>45487</v>
      </c>
      <c r="J509" s="2">
        <v>15</v>
      </c>
      <c r="K509" s="2" t="s">
        <v>123</v>
      </c>
      <c r="L509" s="22">
        <v>1850</v>
      </c>
      <c r="M509" s="22">
        <v>27750</v>
      </c>
      <c r="N509" s="18">
        <v>29.68</v>
      </c>
      <c r="O509" s="26">
        <v>45532</v>
      </c>
      <c r="P509" s="2" t="s">
        <v>805</v>
      </c>
      <c r="Q509" s="2" t="s">
        <v>806</v>
      </c>
    </row>
    <row r="510" spans="2:17" x14ac:dyDescent="0.25">
      <c r="B510" s="2" t="s">
        <v>1314</v>
      </c>
      <c r="C510" s="2" t="s">
        <v>140</v>
      </c>
      <c r="D510" s="2" t="s">
        <v>141</v>
      </c>
      <c r="E510" s="2" t="s">
        <v>122</v>
      </c>
      <c r="F510" s="2" t="s">
        <v>535</v>
      </c>
      <c r="G510" s="2" t="s">
        <v>416</v>
      </c>
      <c r="H510" s="2" t="s">
        <v>94</v>
      </c>
      <c r="I510" s="26">
        <v>45498</v>
      </c>
      <c r="J510" s="2">
        <v>15</v>
      </c>
      <c r="K510" s="2" t="s">
        <v>123</v>
      </c>
      <c r="L510" s="22">
        <v>1850</v>
      </c>
      <c r="M510" s="22">
        <v>27750</v>
      </c>
      <c r="N510" s="18">
        <v>29.68</v>
      </c>
      <c r="O510" s="26">
        <v>45543</v>
      </c>
      <c r="P510" s="2" t="s">
        <v>805</v>
      </c>
      <c r="Q510" s="2" t="s">
        <v>806</v>
      </c>
    </row>
    <row r="511" spans="2:17" x14ac:dyDescent="0.25">
      <c r="B511" s="2" t="s">
        <v>1315</v>
      </c>
      <c r="C511" s="2" t="s">
        <v>140</v>
      </c>
      <c r="D511" s="2" t="s">
        <v>141</v>
      </c>
      <c r="E511" s="2" t="s">
        <v>122</v>
      </c>
      <c r="F511" s="2" t="s">
        <v>535</v>
      </c>
      <c r="G511" s="2" t="s">
        <v>416</v>
      </c>
      <c r="H511" s="2" t="s">
        <v>94</v>
      </c>
      <c r="I511" s="26">
        <v>45506</v>
      </c>
      <c r="J511" s="2">
        <v>16</v>
      </c>
      <c r="K511" s="2" t="s">
        <v>123</v>
      </c>
      <c r="L511" s="22">
        <v>1850</v>
      </c>
      <c r="M511" s="22">
        <v>29600</v>
      </c>
      <c r="N511" s="18">
        <v>31.66</v>
      </c>
      <c r="O511" s="26">
        <v>45551</v>
      </c>
      <c r="P511" s="2" t="s">
        <v>805</v>
      </c>
      <c r="Q511" s="2" t="s">
        <v>806</v>
      </c>
    </row>
    <row r="512" spans="2:17" x14ac:dyDescent="0.25">
      <c r="B512" s="2" t="s">
        <v>1316</v>
      </c>
      <c r="C512" s="2" t="s">
        <v>140</v>
      </c>
      <c r="D512" s="2" t="s">
        <v>141</v>
      </c>
      <c r="E512" s="2" t="s">
        <v>122</v>
      </c>
      <c r="F512" s="2" t="s">
        <v>535</v>
      </c>
      <c r="G512" s="2" t="s">
        <v>416</v>
      </c>
      <c r="H512" s="2" t="s">
        <v>94</v>
      </c>
      <c r="I512" s="26">
        <v>45515</v>
      </c>
      <c r="J512" s="2">
        <v>14</v>
      </c>
      <c r="K512" s="2" t="s">
        <v>123</v>
      </c>
      <c r="L512" s="22">
        <v>1850</v>
      </c>
      <c r="M512" s="22">
        <v>25900</v>
      </c>
      <c r="N512" s="18">
        <v>27.7</v>
      </c>
      <c r="O512" s="26">
        <v>45560</v>
      </c>
      <c r="P512" s="2" t="s">
        <v>805</v>
      </c>
      <c r="Q512" s="2" t="s">
        <v>806</v>
      </c>
    </row>
    <row r="513" spans="2:17" x14ac:dyDescent="0.25">
      <c r="B513" s="2" t="s">
        <v>1317</v>
      </c>
      <c r="C513" s="2" t="s">
        <v>140</v>
      </c>
      <c r="D513" s="2" t="s">
        <v>141</v>
      </c>
      <c r="E513" s="2" t="s">
        <v>122</v>
      </c>
      <c r="F513" s="2" t="s">
        <v>535</v>
      </c>
      <c r="G513" s="2" t="s">
        <v>416</v>
      </c>
      <c r="H513" s="2" t="s">
        <v>94</v>
      </c>
      <c r="I513" s="26">
        <v>45526</v>
      </c>
      <c r="J513" s="2">
        <v>16</v>
      </c>
      <c r="K513" s="2" t="s">
        <v>123</v>
      </c>
      <c r="L513" s="22">
        <v>1850</v>
      </c>
      <c r="M513" s="22">
        <v>29600</v>
      </c>
      <c r="N513" s="18">
        <v>31.66</v>
      </c>
      <c r="O513" s="26">
        <v>45571</v>
      </c>
      <c r="P513" s="2" t="s">
        <v>805</v>
      </c>
      <c r="Q513" s="2" t="s">
        <v>806</v>
      </c>
    </row>
    <row r="514" spans="2:17" x14ac:dyDescent="0.25">
      <c r="B514" s="2" t="s">
        <v>1318</v>
      </c>
      <c r="C514" s="2" t="s">
        <v>140</v>
      </c>
      <c r="D514" s="2" t="s">
        <v>141</v>
      </c>
      <c r="E514" s="2" t="s">
        <v>122</v>
      </c>
      <c r="F514" s="2" t="s">
        <v>537</v>
      </c>
      <c r="G514" s="2" t="s">
        <v>420</v>
      </c>
      <c r="H514" s="2" t="s">
        <v>421</v>
      </c>
      <c r="I514" s="26">
        <v>45533</v>
      </c>
      <c r="J514" s="2">
        <v>14</v>
      </c>
      <c r="K514" s="2" t="s">
        <v>123</v>
      </c>
      <c r="L514" s="22">
        <v>1900</v>
      </c>
      <c r="M514" s="22">
        <v>26600</v>
      </c>
      <c r="N514" s="18">
        <v>28.45</v>
      </c>
      <c r="O514" s="26">
        <v>45578</v>
      </c>
      <c r="P514" s="2" t="s">
        <v>805</v>
      </c>
      <c r="Q514" s="2" t="s">
        <v>806</v>
      </c>
    </row>
    <row r="515" spans="2:17" x14ac:dyDescent="0.25">
      <c r="B515" s="2" t="s">
        <v>1319</v>
      </c>
      <c r="C515" s="2" t="s">
        <v>140</v>
      </c>
      <c r="D515" s="2" t="s">
        <v>141</v>
      </c>
      <c r="E515" s="2" t="s">
        <v>122</v>
      </c>
      <c r="F515" s="2" t="s">
        <v>535</v>
      </c>
      <c r="G515" s="2" t="s">
        <v>416</v>
      </c>
      <c r="H515" s="2" t="s">
        <v>94</v>
      </c>
      <c r="I515" s="26">
        <v>45539</v>
      </c>
      <c r="J515" s="2">
        <v>17</v>
      </c>
      <c r="K515" s="2" t="s">
        <v>123</v>
      </c>
      <c r="L515" s="22">
        <v>1850</v>
      </c>
      <c r="M515" s="22">
        <v>31450</v>
      </c>
      <c r="N515" s="18">
        <v>33.64</v>
      </c>
      <c r="O515" s="26">
        <v>45584</v>
      </c>
      <c r="P515" s="2" t="s">
        <v>805</v>
      </c>
      <c r="Q515" s="2" t="s">
        <v>814</v>
      </c>
    </row>
    <row r="516" spans="2:17" x14ac:dyDescent="0.25">
      <c r="B516" s="2" t="s">
        <v>1320</v>
      </c>
      <c r="C516" s="2" t="s">
        <v>140</v>
      </c>
      <c r="D516" s="2" t="s">
        <v>141</v>
      </c>
      <c r="E516" s="2" t="s">
        <v>122</v>
      </c>
      <c r="F516" s="2" t="s">
        <v>535</v>
      </c>
      <c r="G516" s="2" t="s">
        <v>416</v>
      </c>
      <c r="H516" s="2" t="s">
        <v>94</v>
      </c>
      <c r="I516" s="26">
        <v>45550</v>
      </c>
      <c r="J516" s="2">
        <v>19</v>
      </c>
      <c r="K516" s="2" t="s">
        <v>123</v>
      </c>
      <c r="L516" s="22">
        <v>1850</v>
      </c>
      <c r="M516" s="22">
        <v>35150</v>
      </c>
      <c r="N516" s="18">
        <v>37.590000000000003</v>
      </c>
      <c r="O516" s="26">
        <v>45595</v>
      </c>
      <c r="P516" s="2" t="s">
        <v>805</v>
      </c>
      <c r="Q516" s="2" t="s">
        <v>814</v>
      </c>
    </row>
    <row r="517" spans="2:17" x14ac:dyDescent="0.25">
      <c r="B517" s="2" t="s">
        <v>1321</v>
      </c>
      <c r="C517" s="2" t="s">
        <v>140</v>
      </c>
      <c r="D517" s="2" t="s">
        <v>141</v>
      </c>
      <c r="E517" s="2" t="s">
        <v>122</v>
      </c>
      <c r="F517" s="2" t="s">
        <v>535</v>
      </c>
      <c r="G517" s="2" t="s">
        <v>416</v>
      </c>
      <c r="H517" s="2" t="s">
        <v>94</v>
      </c>
      <c r="I517" s="26">
        <v>45562</v>
      </c>
      <c r="J517" s="2">
        <v>20</v>
      </c>
      <c r="K517" s="2" t="s">
        <v>123</v>
      </c>
      <c r="L517" s="22">
        <v>1850</v>
      </c>
      <c r="M517" s="22">
        <v>37000</v>
      </c>
      <c r="N517" s="18">
        <v>39.57</v>
      </c>
      <c r="O517" s="26">
        <v>45607</v>
      </c>
      <c r="P517" s="2" t="s">
        <v>805</v>
      </c>
      <c r="Q517" s="2" t="s">
        <v>814</v>
      </c>
    </row>
    <row r="518" spans="2:17" x14ac:dyDescent="0.25">
      <c r="B518" s="2" t="s">
        <v>1322</v>
      </c>
      <c r="C518" s="2" t="s">
        <v>140</v>
      </c>
      <c r="D518" s="2" t="s">
        <v>141</v>
      </c>
      <c r="E518" s="2" t="s">
        <v>122</v>
      </c>
      <c r="F518" s="2" t="s">
        <v>535</v>
      </c>
      <c r="G518" s="2" t="s">
        <v>416</v>
      </c>
      <c r="H518" s="2" t="s">
        <v>94</v>
      </c>
      <c r="I518" s="26">
        <v>45576</v>
      </c>
      <c r="J518" s="2">
        <v>45</v>
      </c>
      <c r="K518" s="2" t="s">
        <v>123</v>
      </c>
      <c r="L518" s="22">
        <v>1850</v>
      </c>
      <c r="M518" s="22">
        <v>83250</v>
      </c>
      <c r="N518" s="18">
        <v>89.04</v>
      </c>
      <c r="O518" s="26">
        <v>45621</v>
      </c>
      <c r="P518" s="2" t="s">
        <v>805</v>
      </c>
      <c r="Q518" s="2" t="s">
        <v>814</v>
      </c>
    </row>
    <row r="519" spans="2:17" x14ac:dyDescent="0.25">
      <c r="B519" s="2" t="s">
        <v>1323</v>
      </c>
      <c r="C519" s="2" t="s">
        <v>140</v>
      </c>
      <c r="D519" s="2" t="s">
        <v>141</v>
      </c>
      <c r="E519" s="2" t="s">
        <v>122</v>
      </c>
      <c r="F519" s="2" t="s">
        <v>535</v>
      </c>
      <c r="G519" s="2" t="s">
        <v>416</v>
      </c>
      <c r="H519" s="2" t="s">
        <v>94</v>
      </c>
      <c r="I519" s="26">
        <v>45588</v>
      </c>
      <c r="J519" s="2">
        <v>35</v>
      </c>
      <c r="K519" s="2" t="s">
        <v>123</v>
      </c>
      <c r="L519" s="22">
        <v>1850</v>
      </c>
      <c r="M519" s="22">
        <v>64750</v>
      </c>
      <c r="N519" s="18">
        <v>69.25</v>
      </c>
      <c r="O519" s="26">
        <v>45633</v>
      </c>
      <c r="P519" s="2" t="s">
        <v>805</v>
      </c>
      <c r="Q519" s="2" t="s">
        <v>814</v>
      </c>
    </row>
    <row r="520" spans="2:17" x14ac:dyDescent="0.25">
      <c r="B520" s="2" t="s">
        <v>1324</v>
      </c>
      <c r="C520" s="2" t="s">
        <v>140</v>
      </c>
      <c r="D520" s="2" t="s">
        <v>141</v>
      </c>
      <c r="E520" s="2" t="s">
        <v>122</v>
      </c>
      <c r="F520" s="2" t="s">
        <v>535</v>
      </c>
      <c r="G520" s="2" t="s">
        <v>416</v>
      </c>
      <c r="H520" s="2" t="s">
        <v>94</v>
      </c>
      <c r="I520" s="26">
        <v>45597</v>
      </c>
      <c r="J520" s="2">
        <v>46</v>
      </c>
      <c r="K520" s="2" t="s">
        <v>123</v>
      </c>
      <c r="L520" s="22">
        <v>1850</v>
      </c>
      <c r="M520" s="22">
        <v>85100</v>
      </c>
      <c r="N520" s="18">
        <v>91.02</v>
      </c>
      <c r="O520" s="26">
        <v>45642</v>
      </c>
      <c r="P520" s="2" t="s">
        <v>805</v>
      </c>
      <c r="Q520" s="2" t="s">
        <v>814</v>
      </c>
    </row>
    <row r="521" spans="2:17" x14ac:dyDescent="0.25">
      <c r="B521" s="2" t="s">
        <v>1325</v>
      </c>
      <c r="C521" s="2" t="s">
        <v>140</v>
      </c>
      <c r="D521" s="2" t="s">
        <v>141</v>
      </c>
      <c r="E521" s="2" t="s">
        <v>122</v>
      </c>
      <c r="F521" s="2" t="s">
        <v>535</v>
      </c>
      <c r="G521" s="2" t="s">
        <v>416</v>
      </c>
      <c r="H521" s="2" t="s">
        <v>94</v>
      </c>
      <c r="I521" s="26">
        <v>45606</v>
      </c>
      <c r="J521" s="2">
        <v>38</v>
      </c>
      <c r="K521" s="2" t="s">
        <v>123</v>
      </c>
      <c r="L521" s="22">
        <v>1850</v>
      </c>
      <c r="M521" s="22">
        <v>70300</v>
      </c>
      <c r="N521" s="18">
        <v>75.19</v>
      </c>
      <c r="O521" s="26">
        <v>45651</v>
      </c>
      <c r="P521" s="2" t="s">
        <v>805</v>
      </c>
      <c r="Q521" s="2" t="s">
        <v>814</v>
      </c>
    </row>
    <row r="522" spans="2:17" x14ac:dyDescent="0.25">
      <c r="B522" s="2" t="s">
        <v>1326</v>
      </c>
      <c r="C522" s="2" t="s">
        <v>140</v>
      </c>
      <c r="D522" s="2" t="s">
        <v>141</v>
      </c>
      <c r="E522" s="2" t="s">
        <v>122</v>
      </c>
      <c r="F522" s="2" t="s">
        <v>535</v>
      </c>
      <c r="G522" s="2" t="s">
        <v>416</v>
      </c>
      <c r="H522" s="2" t="s">
        <v>94</v>
      </c>
      <c r="I522" s="26">
        <v>45615</v>
      </c>
      <c r="J522" s="2">
        <v>35</v>
      </c>
      <c r="K522" s="2" t="s">
        <v>123</v>
      </c>
      <c r="L522" s="22">
        <v>1850</v>
      </c>
      <c r="M522" s="22">
        <v>64750</v>
      </c>
      <c r="N522" s="18">
        <v>69.25</v>
      </c>
      <c r="O522" s="26">
        <v>45660</v>
      </c>
      <c r="P522" s="2" t="s">
        <v>805</v>
      </c>
      <c r="Q522" s="2" t="s">
        <v>814</v>
      </c>
    </row>
    <row r="523" spans="2:17" x14ac:dyDescent="0.25">
      <c r="B523" s="2" t="s">
        <v>1327</v>
      </c>
      <c r="C523" s="2" t="s">
        <v>140</v>
      </c>
      <c r="D523" s="2" t="s">
        <v>141</v>
      </c>
      <c r="E523" s="2" t="s">
        <v>122</v>
      </c>
      <c r="F523" s="2" t="s">
        <v>535</v>
      </c>
      <c r="G523" s="2" t="s">
        <v>416</v>
      </c>
      <c r="H523" s="2" t="s">
        <v>94</v>
      </c>
      <c r="I523" s="26">
        <v>45628</v>
      </c>
      <c r="J523" s="2">
        <v>45</v>
      </c>
      <c r="K523" s="2" t="s">
        <v>123</v>
      </c>
      <c r="L523" s="22">
        <v>1850</v>
      </c>
      <c r="M523" s="22">
        <v>83250</v>
      </c>
      <c r="N523" s="18">
        <v>89.04</v>
      </c>
      <c r="O523" s="26">
        <v>45673</v>
      </c>
      <c r="P523" s="2" t="s">
        <v>805</v>
      </c>
      <c r="Q523" s="2" t="s">
        <v>825</v>
      </c>
    </row>
    <row r="524" spans="2:17" x14ac:dyDescent="0.25">
      <c r="B524" s="2" t="s">
        <v>1328</v>
      </c>
      <c r="C524" s="2" t="s">
        <v>140</v>
      </c>
      <c r="D524" s="2" t="s">
        <v>141</v>
      </c>
      <c r="E524" s="2" t="s">
        <v>122</v>
      </c>
      <c r="F524" s="2" t="s">
        <v>535</v>
      </c>
      <c r="G524" s="2" t="s">
        <v>416</v>
      </c>
      <c r="H524" s="2" t="s">
        <v>94</v>
      </c>
      <c r="I524" s="26">
        <v>45640</v>
      </c>
      <c r="J524" s="2">
        <v>50</v>
      </c>
      <c r="K524" s="2" t="s">
        <v>123</v>
      </c>
      <c r="L524" s="22">
        <v>1850</v>
      </c>
      <c r="M524" s="22">
        <v>92500</v>
      </c>
      <c r="N524" s="18">
        <v>98.93</v>
      </c>
      <c r="O524" s="26">
        <v>45685</v>
      </c>
      <c r="P524" s="2" t="s">
        <v>805</v>
      </c>
      <c r="Q524" s="2" t="s">
        <v>825</v>
      </c>
    </row>
    <row r="525" spans="2:17" x14ac:dyDescent="0.25">
      <c r="B525" s="2" t="s">
        <v>1329</v>
      </c>
      <c r="C525" s="2" t="s">
        <v>140</v>
      </c>
      <c r="D525" s="2" t="s">
        <v>141</v>
      </c>
      <c r="E525" s="2" t="s">
        <v>122</v>
      </c>
      <c r="F525" s="2" t="s">
        <v>535</v>
      </c>
      <c r="G525" s="2" t="s">
        <v>416</v>
      </c>
      <c r="H525" s="2" t="s">
        <v>94</v>
      </c>
      <c r="I525" s="26">
        <v>45649</v>
      </c>
      <c r="J525" s="2">
        <v>58</v>
      </c>
      <c r="K525" s="2" t="s">
        <v>123</v>
      </c>
      <c r="L525" s="22">
        <v>1850</v>
      </c>
      <c r="M525" s="22">
        <v>107300</v>
      </c>
      <c r="N525" s="18">
        <v>114.76</v>
      </c>
      <c r="O525" s="26">
        <v>45694</v>
      </c>
      <c r="P525" s="2" t="s">
        <v>805</v>
      </c>
      <c r="Q525" s="2" t="s">
        <v>825</v>
      </c>
    </row>
    <row r="526" spans="2:17" x14ac:dyDescent="0.25">
      <c r="B526" s="2" t="s">
        <v>1330</v>
      </c>
      <c r="C526" s="2" t="s">
        <v>140</v>
      </c>
      <c r="D526" s="2" t="s">
        <v>141</v>
      </c>
      <c r="E526" s="2" t="s">
        <v>122</v>
      </c>
      <c r="F526" s="2" t="s">
        <v>537</v>
      </c>
      <c r="G526" s="2" t="s">
        <v>420</v>
      </c>
      <c r="H526" s="2" t="s">
        <v>421</v>
      </c>
      <c r="I526" s="26">
        <v>45658</v>
      </c>
      <c r="J526" s="2">
        <v>41</v>
      </c>
      <c r="K526" s="2" t="s">
        <v>123</v>
      </c>
      <c r="L526" s="22">
        <v>1900</v>
      </c>
      <c r="M526" s="22">
        <v>77900</v>
      </c>
      <c r="N526" s="18">
        <v>83.32</v>
      </c>
      <c r="O526" s="26">
        <v>45703</v>
      </c>
      <c r="P526" s="2" t="s">
        <v>805</v>
      </c>
      <c r="Q526" s="2" t="s">
        <v>825</v>
      </c>
    </row>
    <row r="527" spans="2:17" x14ac:dyDescent="0.25">
      <c r="B527" s="2" t="s">
        <v>1331</v>
      </c>
      <c r="C527" s="2" t="s">
        <v>140</v>
      </c>
      <c r="D527" s="2" t="s">
        <v>141</v>
      </c>
      <c r="E527" s="2" t="s">
        <v>122</v>
      </c>
      <c r="F527" s="2" t="s">
        <v>535</v>
      </c>
      <c r="G527" s="2" t="s">
        <v>416</v>
      </c>
      <c r="H527" s="2" t="s">
        <v>94</v>
      </c>
      <c r="I527" s="26">
        <v>45670</v>
      </c>
      <c r="J527" s="2">
        <v>42</v>
      </c>
      <c r="K527" s="2" t="s">
        <v>123</v>
      </c>
      <c r="L527" s="22">
        <v>1850</v>
      </c>
      <c r="M527" s="22">
        <v>77700</v>
      </c>
      <c r="N527" s="18">
        <v>83.1</v>
      </c>
      <c r="O527" s="26">
        <v>45715</v>
      </c>
      <c r="P527" s="2" t="s">
        <v>805</v>
      </c>
      <c r="Q527" s="2" t="s">
        <v>825</v>
      </c>
    </row>
    <row r="528" spans="2:17" x14ac:dyDescent="0.25">
      <c r="B528" s="2" t="s">
        <v>1332</v>
      </c>
      <c r="C528" s="2" t="s">
        <v>140</v>
      </c>
      <c r="D528" s="2" t="s">
        <v>141</v>
      </c>
      <c r="E528" s="2" t="s">
        <v>122</v>
      </c>
      <c r="F528" s="2" t="s">
        <v>535</v>
      </c>
      <c r="G528" s="2" t="s">
        <v>416</v>
      </c>
      <c r="H528" s="2" t="s">
        <v>94</v>
      </c>
      <c r="I528" s="26">
        <v>45679</v>
      </c>
      <c r="J528" s="2">
        <v>40</v>
      </c>
      <c r="K528" s="2" t="s">
        <v>123</v>
      </c>
      <c r="L528" s="22">
        <v>1850</v>
      </c>
      <c r="M528" s="22">
        <v>74000</v>
      </c>
      <c r="N528" s="18">
        <v>79.14</v>
      </c>
      <c r="O528" s="26">
        <v>45724</v>
      </c>
      <c r="P528" s="2" t="s">
        <v>805</v>
      </c>
      <c r="Q528" s="2" t="s">
        <v>825</v>
      </c>
    </row>
    <row r="529" spans="2:17" x14ac:dyDescent="0.25">
      <c r="B529" s="2" t="s">
        <v>1333</v>
      </c>
      <c r="C529" s="2" t="s">
        <v>140</v>
      </c>
      <c r="D529" s="2" t="s">
        <v>141</v>
      </c>
      <c r="E529" s="2" t="s">
        <v>122</v>
      </c>
      <c r="F529" s="2" t="s">
        <v>535</v>
      </c>
      <c r="G529" s="2" t="s">
        <v>416</v>
      </c>
      <c r="H529" s="2" t="s">
        <v>94</v>
      </c>
      <c r="I529" s="26">
        <v>45691</v>
      </c>
      <c r="J529" s="2">
        <v>48</v>
      </c>
      <c r="K529" s="2" t="s">
        <v>123</v>
      </c>
      <c r="L529" s="22">
        <v>1850</v>
      </c>
      <c r="M529" s="22">
        <v>88800</v>
      </c>
      <c r="N529" s="18">
        <v>94.97</v>
      </c>
      <c r="O529" s="26">
        <v>45736</v>
      </c>
      <c r="P529" s="2" t="s">
        <v>805</v>
      </c>
      <c r="Q529" s="2" t="s">
        <v>825</v>
      </c>
    </row>
    <row r="530" spans="2:17" x14ac:dyDescent="0.25">
      <c r="B530" s="2" t="s">
        <v>1334</v>
      </c>
      <c r="C530" s="2" t="s">
        <v>140</v>
      </c>
      <c r="D530" s="2" t="s">
        <v>141</v>
      </c>
      <c r="E530" s="2" t="s">
        <v>122</v>
      </c>
      <c r="F530" s="2" t="s">
        <v>535</v>
      </c>
      <c r="G530" s="2" t="s">
        <v>416</v>
      </c>
      <c r="H530" s="2" t="s">
        <v>94</v>
      </c>
      <c r="I530" s="26">
        <v>45702</v>
      </c>
      <c r="J530" s="2">
        <v>40</v>
      </c>
      <c r="K530" s="2" t="s">
        <v>123</v>
      </c>
      <c r="L530" s="22">
        <v>1850</v>
      </c>
      <c r="M530" s="22">
        <v>74000</v>
      </c>
      <c r="N530" s="18">
        <v>79.14</v>
      </c>
      <c r="O530" s="26">
        <v>45747</v>
      </c>
      <c r="P530" s="2" t="s">
        <v>805</v>
      </c>
      <c r="Q530" s="2" t="s">
        <v>825</v>
      </c>
    </row>
    <row r="531" spans="2:17" x14ac:dyDescent="0.25">
      <c r="B531" s="2" t="s">
        <v>1335</v>
      </c>
      <c r="C531" s="2" t="s">
        <v>140</v>
      </c>
      <c r="D531" s="2" t="s">
        <v>141</v>
      </c>
      <c r="E531" s="2" t="s">
        <v>122</v>
      </c>
      <c r="F531" s="2" t="s">
        <v>535</v>
      </c>
      <c r="G531" s="2" t="s">
        <v>416</v>
      </c>
      <c r="H531" s="2" t="s">
        <v>94</v>
      </c>
      <c r="I531" s="26">
        <v>45710</v>
      </c>
      <c r="J531" s="2">
        <v>44</v>
      </c>
      <c r="K531" s="2" t="s">
        <v>123</v>
      </c>
      <c r="L531" s="22">
        <v>1850</v>
      </c>
      <c r="M531" s="22">
        <v>81400</v>
      </c>
      <c r="N531" s="18">
        <v>87.06</v>
      </c>
      <c r="O531" s="26">
        <v>45755</v>
      </c>
      <c r="P531" s="2" t="s">
        <v>805</v>
      </c>
      <c r="Q531" s="2" t="s">
        <v>825</v>
      </c>
    </row>
    <row r="532" spans="2:17" x14ac:dyDescent="0.25">
      <c r="B532" s="2" t="s">
        <v>1336</v>
      </c>
      <c r="C532" s="2" t="s">
        <v>140</v>
      </c>
      <c r="D532" s="2" t="s">
        <v>141</v>
      </c>
      <c r="E532" s="2" t="s">
        <v>122</v>
      </c>
      <c r="F532" s="2" t="s">
        <v>535</v>
      </c>
      <c r="G532" s="2" t="s">
        <v>416</v>
      </c>
      <c r="H532" s="2" t="s">
        <v>94</v>
      </c>
      <c r="I532" s="26">
        <v>45721</v>
      </c>
      <c r="J532" s="2">
        <v>37</v>
      </c>
      <c r="K532" s="2" t="s">
        <v>123</v>
      </c>
      <c r="L532" s="22">
        <v>1850</v>
      </c>
      <c r="M532" s="22">
        <v>68450</v>
      </c>
      <c r="N532" s="18">
        <v>73.209999999999994</v>
      </c>
      <c r="O532" s="26">
        <v>45766</v>
      </c>
      <c r="P532" s="2" t="s">
        <v>805</v>
      </c>
      <c r="Q532" s="2" t="s">
        <v>836</v>
      </c>
    </row>
    <row r="533" spans="2:17" x14ac:dyDescent="0.25">
      <c r="B533" s="2" t="s">
        <v>1337</v>
      </c>
      <c r="C533" s="2" t="s">
        <v>140</v>
      </c>
      <c r="D533" s="2" t="s">
        <v>141</v>
      </c>
      <c r="E533" s="2" t="s">
        <v>122</v>
      </c>
      <c r="F533" s="2" t="s">
        <v>535</v>
      </c>
      <c r="G533" s="2" t="s">
        <v>416</v>
      </c>
      <c r="H533" s="2" t="s">
        <v>94</v>
      </c>
      <c r="I533" s="26">
        <v>45729</v>
      </c>
      <c r="J533" s="2">
        <v>47</v>
      </c>
      <c r="K533" s="2" t="s">
        <v>123</v>
      </c>
      <c r="L533" s="22">
        <v>1850</v>
      </c>
      <c r="M533" s="22">
        <v>86950</v>
      </c>
      <c r="N533" s="18">
        <v>92.99</v>
      </c>
      <c r="O533" s="26">
        <v>45774</v>
      </c>
      <c r="P533" s="2" t="s">
        <v>805</v>
      </c>
      <c r="Q533" s="2" t="s">
        <v>836</v>
      </c>
    </row>
    <row r="534" spans="2:17" x14ac:dyDescent="0.25">
      <c r="B534" s="2" t="s">
        <v>1338</v>
      </c>
      <c r="C534" s="2" t="s">
        <v>140</v>
      </c>
      <c r="D534" s="2" t="s">
        <v>141</v>
      </c>
      <c r="E534" s="2" t="s">
        <v>122</v>
      </c>
      <c r="F534" s="2" t="s">
        <v>535</v>
      </c>
      <c r="G534" s="2" t="s">
        <v>416</v>
      </c>
      <c r="H534" s="2" t="s">
        <v>94</v>
      </c>
      <c r="I534" s="26">
        <v>45739</v>
      </c>
      <c r="J534" s="2">
        <v>42</v>
      </c>
      <c r="K534" s="2" t="s">
        <v>123</v>
      </c>
      <c r="L534" s="22">
        <v>1850</v>
      </c>
      <c r="M534" s="22">
        <v>77700</v>
      </c>
      <c r="N534" s="18">
        <v>83.1</v>
      </c>
      <c r="O534" s="26">
        <v>45784</v>
      </c>
      <c r="P534" s="2" t="s">
        <v>805</v>
      </c>
      <c r="Q534" s="2" t="s">
        <v>836</v>
      </c>
    </row>
    <row r="535" spans="2:17" x14ac:dyDescent="0.25">
      <c r="B535" s="2" t="s">
        <v>1339</v>
      </c>
      <c r="C535" s="2" t="s">
        <v>140</v>
      </c>
      <c r="D535" s="2" t="s">
        <v>141</v>
      </c>
      <c r="E535" s="2" t="s">
        <v>122</v>
      </c>
      <c r="F535" s="2" t="s">
        <v>535</v>
      </c>
      <c r="G535" s="2" t="s">
        <v>416</v>
      </c>
      <c r="H535" s="2" t="s">
        <v>94</v>
      </c>
      <c r="I535" s="26">
        <v>45748</v>
      </c>
      <c r="J535" s="2">
        <v>15</v>
      </c>
      <c r="K535" s="2" t="s">
        <v>123</v>
      </c>
      <c r="L535" s="22">
        <v>1850</v>
      </c>
      <c r="M535" s="22">
        <v>27750</v>
      </c>
      <c r="N535" s="18">
        <v>29.68</v>
      </c>
      <c r="O535" s="26">
        <v>45793</v>
      </c>
      <c r="P535" s="2" t="s">
        <v>805</v>
      </c>
      <c r="Q535" s="2" t="s">
        <v>836</v>
      </c>
    </row>
    <row r="536" spans="2:17" x14ac:dyDescent="0.25">
      <c r="B536" s="2" t="s">
        <v>1340</v>
      </c>
      <c r="C536" s="2" t="s">
        <v>140</v>
      </c>
      <c r="D536" s="2" t="s">
        <v>141</v>
      </c>
      <c r="E536" s="2" t="s">
        <v>122</v>
      </c>
      <c r="F536" s="2" t="s">
        <v>537</v>
      </c>
      <c r="G536" s="2" t="s">
        <v>420</v>
      </c>
      <c r="H536" s="2" t="s">
        <v>421</v>
      </c>
      <c r="I536" s="26">
        <v>45757</v>
      </c>
      <c r="J536" s="2">
        <v>18</v>
      </c>
      <c r="K536" s="2" t="s">
        <v>123</v>
      </c>
      <c r="L536" s="22">
        <v>1900</v>
      </c>
      <c r="M536" s="22">
        <v>34200</v>
      </c>
      <c r="N536" s="18">
        <v>36.58</v>
      </c>
      <c r="O536" s="26">
        <v>45802</v>
      </c>
      <c r="P536" s="2" t="s">
        <v>805</v>
      </c>
      <c r="Q536" s="2" t="s">
        <v>836</v>
      </c>
    </row>
    <row r="537" spans="2:17" x14ac:dyDescent="0.25">
      <c r="B537" s="2" t="s">
        <v>1341</v>
      </c>
      <c r="C537" s="2" t="s">
        <v>140</v>
      </c>
      <c r="D537" s="2" t="s">
        <v>141</v>
      </c>
      <c r="E537" s="2" t="s">
        <v>122</v>
      </c>
      <c r="F537" s="2" t="s">
        <v>535</v>
      </c>
      <c r="G537" s="2" t="s">
        <v>416</v>
      </c>
      <c r="H537" s="2" t="s">
        <v>94</v>
      </c>
      <c r="I537" s="26">
        <v>45767</v>
      </c>
      <c r="J537" s="2">
        <v>14</v>
      </c>
      <c r="K537" s="2" t="s">
        <v>123</v>
      </c>
      <c r="L537" s="22">
        <v>1850</v>
      </c>
      <c r="M537" s="22">
        <v>25900</v>
      </c>
      <c r="N537" s="18">
        <v>27.7</v>
      </c>
      <c r="O537" s="26">
        <v>45812</v>
      </c>
      <c r="P537" s="2" t="s">
        <v>805</v>
      </c>
      <c r="Q537" s="2" t="s">
        <v>836</v>
      </c>
    </row>
    <row r="538" spans="2:17" x14ac:dyDescent="0.25">
      <c r="B538" s="2" t="s">
        <v>1342</v>
      </c>
      <c r="C538" s="2" t="s">
        <v>140</v>
      </c>
      <c r="D538" s="2" t="s">
        <v>141</v>
      </c>
      <c r="E538" s="2" t="s">
        <v>122</v>
      </c>
      <c r="F538" s="2" t="s">
        <v>535</v>
      </c>
      <c r="G538" s="2" t="s">
        <v>416</v>
      </c>
      <c r="H538" s="2" t="s">
        <v>94</v>
      </c>
      <c r="I538" s="26">
        <v>45777</v>
      </c>
      <c r="J538" s="2">
        <v>14</v>
      </c>
      <c r="K538" s="2" t="s">
        <v>123</v>
      </c>
      <c r="L538" s="22">
        <v>1850</v>
      </c>
      <c r="M538" s="22">
        <v>25900</v>
      </c>
      <c r="N538" s="18">
        <v>27.7</v>
      </c>
      <c r="O538" s="26">
        <v>45822</v>
      </c>
      <c r="P538" s="2" t="s">
        <v>805</v>
      </c>
      <c r="Q538" s="2" t="s">
        <v>836</v>
      </c>
    </row>
    <row r="539" spans="2:17" x14ac:dyDescent="0.25">
      <c r="B539" s="2" t="s">
        <v>1343</v>
      </c>
      <c r="C539" s="2" t="s">
        <v>140</v>
      </c>
      <c r="D539" s="2" t="s">
        <v>141</v>
      </c>
      <c r="E539" s="2" t="s">
        <v>122</v>
      </c>
      <c r="F539" s="2" t="s">
        <v>535</v>
      </c>
      <c r="G539" s="2" t="s">
        <v>416</v>
      </c>
      <c r="H539" s="2" t="s">
        <v>94</v>
      </c>
      <c r="I539" s="26">
        <v>45789</v>
      </c>
      <c r="J539" s="2">
        <v>14</v>
      </c>
      <c r="K539" s="2" t="s">
        <v>123</v>
      </c>
      <c r="L539" s="22">
        <v>1850</v>
      </c>
      <c r="M539" s="22">
        <v>25900</v>
      </c>
      <c r="N539" s="18">
        <v>27.7</v>
      </c>
      <c r="O539" s="26">
        <v>45834</v>
      </c>
      <c r="P539" s="2" t="s">
        <v>805</v>
      </c>
      <c r="Q539" s="2" t="s">
        <v>836</v>
      </c>
    </row>
    <row r="540" spans="2:17" x14ac:dyDescent="0.25">
      <c r="B540" s="2" t="s">
        <v>1344</v>
      </c>
      <c r="C540" s="2" t="s">
        <v>140</v>
      </c>
      <c r="D540" s="2" t="s">
        <v>141</v>
      </c>
      <c r="E540" s="2" t="s">
        <v>122</v>
      </c>
      <c r="F540" s="2" t="s">
        <v>535</v>
      </c>
      <c r="G540" s="2" t="s">
        <v>416</v>
      </c>
      <c r="H540" s="2" t="s">
        <v>94</v>
      </c>
      <c r="I540" s="26">
        <v>45798</v>
      </c>
      <c r="J540" s="2">
        <v>15</v>
      </c>
      <c r="K540" s="2" t="s">
        <v>123</v>
      </c>
      <c r="L540" s="22">
        <v>1850</v>
      </c>
      <c r="M540" s="22">
        <v>27750</v>
      </c>
      <c r="N540" s="18">
        <v>29.68</v>
      </c>
      <c r="O540" s="26">
        <v>45843</v>
      </c>
      <c r="P540" s="2" t="s">
        <v>805</v>
      </c>
      <c r="Q540" s="2" t="s">
        <v>836</v>
      </c>
    </row>
    <row r="541" spans="2:17" x14ac:dyDescent="0.25">
      <c r="B541" s="2" t="s">
        <v>1345</v>
      </c>
      <c r="C541" s="2" t="s">
        <v>140</v>
      </c>
      <c r="D541" s="2" t="s">
        <v>141</v>
      </c>
      <c r="E541" s="2" t="s">
        <v>122</v>
      </c>
      <c r="F541" s="2" t="s">
        <v>535</v>
      </c>
      <c r="G541" s="2" t="s">
        <v>416</v>
      </c>
      <c r="H541" s="2" t="s">
        <v>94</v>
      </c>
      <c r="I541" s="26">
        <v>45811</v>
      </c>
      <c r="J541" s="2">
        <v>17</v>
      </c>
      <c r="K541" s="2" t="s">
        <v>123</v>
      </c>
      <c r="L541" s="22">
        <v>1850</v>
      </c>
      <c r="M541" s="22">
        <v>31450</v>
      </c>
      <c r="N541" s="18">
        <v>33.64</v>
      </c>
      <c r="O541" s="26">
        <v>45856</v>
      </c>
      <c r="P541" s="2" t="s">
        <v>805</v>
      </c>
      <c r="Q541" s="2" t="s">
        <v>806</v>
      </c>
    </row>
    <row r="542" spans="2:17" x14ac:dyDescent="0.25">
      <c r="B542" s="2" t="s">
        <v>1346</v>
      </c>
      <c r="C542" s="2" t="s">
        <v>140</v>
      </c>
      <c r="D542" s="2" t="s">
        <v>141</v>
      </c>
      <c r="E542" s="2" t="s">
        <v>122</v>
      </c>
      <c r="F542" s="2" t="s">
        <v>535</v>
      </c>
      <c r="G542" s="2" t="s">
        <v>416</v>
      </c>
      <c r="H542" s="2" t="s">
        <v>94</v>
      </c>
      <c r="I542" s="26">
        <v>45821</v>
      </c>
      <c r="J542" s="2">
        <v>14</v>
      </c>
      <c r="K542" s="2" t="s">
        <v>123</v>
      </c>
      <c r="L542" s="22">
        <v>1850</v>
      </c>
      <c r="M542" s="22">
        <v>25900</v>
      </c>
      <c r="N542" s="18">
        <v>27.7</v>
      </c>
      <c r="O542" s="26">
        <v>45866</v>
      </c>
      <c r="P542" s="2" t="s">
        <v>805</v>
      </c>
      <c r="Q542" s="2" t="s">
        <v>806</v>
      </c>
    </row>
    <row r="543" spans="2:17" x14ac:dyDescent="0.25">
      <c r="B543" s="2" t="s">
        <v>1347</v>
      </c>
      <c r="C543" s="2" t="s">
        <v>140</v>
      </c>
      <c r="D543" s="2" t="s">
        <v>141</v>
      </c>
      <c r="E543" s="2" t="s">
        <v>122</v>
      </c>
      <c r="F543" s="2" t="s">
        <v>535</v>
      </c>
      <c r="G543" s="2" t="s">
        <v>416</v>
      </c>
      <c r="H543" s="2" t="s">
        <v>94</v>
      </c>
      <c r="I543" s="26">
        <v>45830</v>
      </c>
      <c r="J543" s="2">
        <v>15</v>
      </c>
      <c r="K543" s="2" t="s">
        <v>123</v>
      </c>
      <c r="L543" s="22">
        <v>1850</v>
      </c>
      <c r="M543" s="22">
        <v>27750</v>
      </c>
      <c r="N543" s="18">
        <v>29.68</v>
      </c>
      <c r="O543" s="26">
        <v>45875</v>
      </c>
      <c r="P543" s="2" t="s">
        <v>805</v>
      </c>
      <c r="Q543" s="2" t="s">
        <v>806</v>
      </c>
    </row>
    <row r="544" spans="2:17" x14ac:dyDescent="0.25">
      <c r="B544" s="2" t="s">
        <v>1348</v>
      </c>
      <c r="C544" s="2" t="s">
        <v>142</v>
      </c>
      <c r="D544" s="2" t="s">
        <v>143</v>
      </c>
      <c r="E544" s="2" t="s">
        <v>122</v>
      </c>
      <c r="F544" s="2" t="s">
        <v>535</v>
      </c>
      <c r="G544" s="2" t="s">
        <v>416</v>
      </c>
      <c r="H544" s="2" t="s">
        <v>94</v>
      </c>
      <c r="I544" s="26">
        <v>45116</v>
      </c>
      <c r="J544" s="2">
        <v>16</v>
      </c>
      <c r="K544" s="2" t="s">
        <v>123</v>
      </c>
      <c r="L544" s="22">
        <v>2450</v>
      </c>
      <c r="M544" s="22">
        <v>39200</v>
      </c>
      <c r="N544" s="18">
        <v>41.93</v>
      </c>
      <c r="O544" s="26">
        <v>45161</v>
      </c>
      <c r="P544" s="2" t="s">
        <v>805</v>
      </c>
      <c r="Q544" s="2" t="s">
        <v>806</v>
      </c>
    </row>
    <row r="545" spans="2:17" x14ac:dyDescent="0.25">
      <c r="B545" s="2" t="s">
        <v>1349</v>
      </c>
      <c r="C545" s="2" t="s">
        <v>142</v>
      </c>
      <c r="D545" s="2" t="s">
        <v>143</v>
      </c>
      <c r="E545" s="2" t="s">
        <v>122</v>
      </c>
      <c r="F545" s="2" t="s">
        <v>535</v>
      </c>
      <c r="G545" s="2" t="s">
        <v>416</v>
      </c>
      <c r="H545" s="2" t="s">
        <v>94</v>
      </c>
      <c r="I545" s="26">
        <v>45126</v>
      </c>
      <c r="J545" s="2">
        <v>17</v>
      </c>
      <c r="K545" s="2" t="s">
        <v>123</v>
      </c>
      <c r="L545" s="22">
        <v>2450</v>
      </c>
      <c r="M545" s="22">
        <v>41650</v>
      </c>
      <c r="N545" s="18">
        <v>44.55</v>
      </c>
      <c r="O545" s="26">
        <v>45171</v>
      </c>
      <c r="P545" s="2" t="s">
        <v>805</v>
      </c>
      <c r="Q545" s="2" t="s">
        <v>806</v>
      </c>
    </row>
    <row r="546" spans="2:17" x14ac:dyDescent="0.25">
      <c r="B546" s="2" t="s">
        <v>1350</v>
      </c>
      <c r="C546" s="2" t="s">
        <v>142</v>
      </c>
      <c r="D546" s="2" t="s">
        <v>143</v>
      </c>
      <c r="E546" s="2" t="s">
        <v>122</v>
      </c>
      <c r="F546" s="2" t="s">
        <v>535</v>
      </c>
      <c r="G546" s="2" t="s">
        <v>416</v>
      </c>
      <c r="H546" s="2" t="s">
        <v>94</v>
      </c>
      <c r="I546" s="26">
        <v>45135</v>
      </c>
      <c r="J546" s="2">
        <v>15</v>
      </c>
      <c r="K546" s="2" t="s">
        <v>123</v>
      </c>
      <c r="L546" s="22">
        <v>2450</v>
      </c>
      <c r="M546" s="22">
        <v>36750</v>
      </c>
      <c r="N546" s="18">
        <v>39.299999999999997</v>
      </c>
      <c r="O546" s="26">
        <v>45180</v>
      </c>
      <c r="P546" s="2" t="s">
        <v>805</v>
      </c>
      <c r="Q546" s="2" t="s">
        <v>806</v>
      </c>
    </row>
    <row r="547" spans="2:17" x14ac:dyDescent="0.25">
      <c r="B547" s="2" t="s">
        <v>1351</v>
      </c>
      <c r="C547" s="2" t="s">
        <v>142</v>
      </c>
      <c r="D547" s="2" t="s">
        <v>143</v>
      </c>
      <c r="E547" s="2" t="s">
        <v>122</v>
      </c>
      <c r="F547" s="2" t="s">
        <v>535</v>
      </c>
      <c r="G547" s="2" t="s">
        <v>416</v>
      </c>
      <c r="H547" s="2" t="s">
        <v>94</v>
      </c>
      <c r="I547" s="26">
        <v>45143</v>
      </c>
      <c r="J547" s="2">
        <v>14</v>
      </c>
      <c r="K547" s="2" t="s">
        <v>123</v>
      </c>
      <c r="L547" s="22">
        <v>2450</v>
      </c>
      <c r="M547" s="22">
        <v>34300</v>
      </c>
      <c r="N547" s="18">
        <v>36.68</v>
      </c>
      <c r="O547" s="26">
        <v>45188</v>
      </c>
      <c r="P547" s="2" t="s">
        <v>805</v>
      </c>
      <c r="Q547" s="2" t="s">
        <v>806</v>
      </c>
    </row>
    <row r="548" spans="2:17" x14ac:dyDescent="0.25">
      <c r="B548" s="2" t="s">
        <v>1352</v>
      </c>
      <c r="C548" s="2" t="s">
        <v>142</v>
      </c>
      <c r="D548" s="2" t="s">
        <v>143</v>
      </c>
      <c r="E548" s="2" t="s">
        <v>122</v>
      </c>
      <c r="F548" s="2" t="s">
        <v>535</v>
      </c>
      <c r="G548" s="2" t="s">
        <v>416</v>
      </c>
      <c r="H548" s="2" t="s">
        <v>94</v>
      </c>
      <c r="I548" s="26">
        <v>45151</v>
      </c>
      <c r="J548" s="2">
        <v>13</v>
      </c>
      <c r="K548" s="2" t="s">
        <v>123</v>
      </c>
      <c r="L548" s="22">
        <v>2450</v>
      </c>
      <c r="M548" s="22">
        <v>31850</v>
      </c>
      <c r="N548" s="18">
        <v>34.06</v>
      </c>
      <c r="O548" s="26">
        <v>45196</v>
      </c>
      <c r="P548" s="2" t="s">
        <v>805</v>
      </c>
      <c r="Q548" s="2" t="s">
        <v>806</v>
      </c>
    </row>
    <row r="549" spans="2:17" x14ac:dyDescent="0.25">
      <c r="B549" s="2" t="s">
        <v>1353</v>
      </c>
      <c r="C549" s="2" t="s">
        <v>142</v>
      </c>
      <c r="D549" s="2" t="s">
        <v>143</v>
      </c>
      <c r="E549" s="2" t="s">
        <v>122</v>
      </c>
      <c r="F549" s="2" t="s">
        <v>535</v>
      </c>
      <c r="G549" s="2" t="s">
        <v>416</v>
      </c>
      <c r="H549" s="2" t="s">
        <v>94</v>
      </c>
      <c r="I549" s="26">
        <v>45160</v>
      </c>
      <c r="J549" s="2">
        <v>13</v>
      </c>
      <c r="K549" s="2" t="s">
        <v>123</v>
      </c>
      <c r="L549" s="22">
        <v>2450</v>
      </c>
      <c r="M549" s="22">
        <v>31850</v>
      </c>
      <c r="N549" s="18">
        <v>34.06</v>
      </c>
      <c r="O549" s="26">
        <v>45205</v>
      </c>
      <c r="P549" s="2" t="s">
        <v>805</v>
      </c>
      <c r="Q549" s="2" t="s">
        <v>806</v>
      </c>
    </row>
    <row r="550" spans="2:17" x14ac:dyDescent="0.25">
      <c r="B550" s="2" t="s">
        <v>1354</v>
      </c>
      <c r="C550" s="2" t="s">
        <v>142</v>
      </c>
      <c r="D550" s="2" t="s">
        <v>143</v>
      </c>
      <c r="E550" s="2" t="s">
        <v>122</v>
      </c>
      <c r="F550" s="2" t="s">
        <v>535</v>
      </c>
      <c r="G550" s="2" t="s">
        <v>416</v>
      </c>
      <c r="H550" s="2" t="s">
        <v>94</v>
      </c>
      <c r="I550" s="26">
        <v>45172</v>
      </c>
      <c r="J550" s="2">
        <v>19</v>
      </c>
      <c r="K550" s="2" t="s">
        <v>123</v>
      </c>
      <c r="L550" s="22">
        <v>2450</v>
      </c>
      <c r="M550" s="22">
        <v>46550</v>
      </c>
      <c r="N550" s="18">
        <v>49.79</v>
      </c>
      <c r="O550" s="26">
        <v>45217</v>
      </c>
      <c r="P550" s="2" t="s">
        <v>805</v>
      </c>
      <c r="Q550" s="2" t="s">
        <v>814</v>
      </c>
    </row>
    <row r="551" spans="2:17" x14ac:dyDescent="0.25">
      <c r="B551" s="2" t="s">
        <v>1355</v>
      </c>
      <c r="C551" s="2" t="s">
        <v>142</v>
      </c>
      <c r="D551" s="2" t="s">
        <v>143</v>
      </c>
      <c r="E551" s="2" t="s">
        <v>122</v>
      </c>
      <c r="F551" s="2" t="s">
        <v>535</v>
      </c>
      <c r="G551" s="2" t="s">
        <v>416</v>
      </c>
      <c r="H551" s="2" t="s">
        <v>94</v>
      </c>
      <c r="I551" s="26">
        <v>45182</v>
      </c>
      <c r="J551" s="2">
        <v>17</v>
      </c>
      <c r="K551" s="2" t="s">
        <v>123</v>
      </c>
      <c r="L551" s="22">
        <v>2450</v>
      </c>
      <c r="M551" s="22">
        <v>41650</v>
      </c>
      <c r="N551" s="18">
        <v>44.55</v>
      </c>
      <c r="O551" s="26">
        <v>45227</v>
      </c>
      <c r="P551" s="2" t="s">
        <v>805</v>
      </c>
      <c r="Q551" s="2" t="s">
        <v>814</v>
      </c>
    </row>
    <row r="552" spans="2:17" x14ac:dyDescent="0.25">
      <c r="B552" s="2" t="s">
        <v>1356</v>
      </c>
      <c r="C552" s="2" t="s">
        <v>142</v>
      </c>
      <c r="D552" s="2" t="s">
        <v>143</v>
      </c>
      <c r="E552" s="2" t="s">
        <v>122</v>
      </c>
      <c r="F552" s="2" t="s">
        <v>535</v>
      </c>
      <c r="G552" s="2" t="s">
        <v>416</v>
      </c>
      <c r="H552" s="2" t="s">
        <v>94</v>
      </c>
      <c r="I552" s="26">
        <v>45192</v>
      </c>
      <c r="J552" s="2">
        <v>18</v>
      </c>
      <c r="K552" s="2" t="s">
        <v>123</v>
      </c>
      <c r="L552" s="22">
        <v>2450</v>
      </c>
      <c r="M552" s="22">
        <v>44100</v>
      </c>
      <c r="N552" s="18">
        <v>47.17</v>
      </c>
      <c r="O552" s="26">
        <v>45237</v>
      </c>
      <c r="P552" s="2" t="s">
        <v>805</v>
      </c>
      <c r="Q552" s="2" t="s">
        <v>814</v>
      </c>
    </row>
    <row r="553" spans="2:17" x14ac:dyDescent="0.25">
      <c r="B553" s="2" t="s">
        <v>1357</v>
      </c>
      <c r="C553" s="2" t="s">
        <v>142</v>
      </c>
      <c r="D553" s="2" t="s">
        <v>143</v>
      </c>
      <c r="E553" s="2" t="s">
        <v>122</v>
      </c>
      <c r="F553" s="2" t="s">
        <v>537</v>
      </c>
      <c r="G553" s="2" t="s">
        <v>420</v>
      </c>
      <c r="H553" s="2" t="s">
        <v>421</v>
      </c>
      <c r="I553" s="26">
        <v>45200</v>
      </c>
      <c r="J553" s="2">
        <v>40</v>
      </c>
      <c r="K553" s="2" t="s">
        <v>123</v>
      </c>
      <c r="L553" s="22">
        <v>2650</v>
      </c>
      <c r="M553" s="22">
        <v>106000</v>
      </c>
      <c r="N553" s="18">
        <v>113.37</v>
      </c>
      <c r="O553" s="26">
        <v>45245</v>
      </c>
      <c r="P553" s="2" t="s">
        <v>805</v>
      </c>
      <c r="Q553" s="2" t="s">
        <v>814</v>
      </c>
    </row>
    <row r="554" spans="2:17" x14ac:dyDescent="0.25">
      <c r="B554" s="2" t="s">
        <v>1358</v>
      </c>
      <c r="C554" s="2" t="s">
        <v>142</v>
      </c>
      <c r="D554" s="2" t="s">
        <v>143</v>
      </c>
      <c r="E554" s="2" t="s">
        <v>122</v>
      </c>
      <c r="F554" s="2" t="s">
        <v>535</v>
      </c>
      <c r="G554" s="2" t="s">
        <v>416</v>
      </c>
      <c r="H554" s="2" t="s">
        <v>94</v>
      </c>
      <c r="I554" s="26">
        <v>45209</v>
      </c>
      <c r="J554" s="2">
        <v>43</v>
      </c>
      <c r="K554" s="2" t="s">
        <v>123</v>
      </c>
      <c r="L554" s="22">
        <v>2450</v>
      </c>
      <c r="M554" s="22">
        <v>105350</v>
      </c>
      <c r="N554" s="18">
        <v>112.67</v>
      </c>
      <c r="O554" s="26">
        <v>45254</v>
      </c>
      <c r="P554" s="2" t="s">
        <v>805</v>
      </c>
      <c r="Q554" s="2" t="s">
        <v>814</v>
      </c>
    </row>
    <row r="555" spans="2:17" x14ac:dyDescent="0.25">
      <c r="B555" s="2" t="s">
        <v>1359</v>
      </c>
      <c r="C555" s="2" t="s">
        <v>142</v>
      </c>
      <c r="D555" s="2" t="s">
        <v>143</v>
      </c>
      <c r="E555" s="2" t="s">
        <v>122</v>
      </c>
      <c r="F555" s="2" t="s">
        <v>537</v>
      </c>
      <c r="G555" s="2" t="s">
        <v>420</v>
      </c>
      <c r="H555" s="2" t="s">
        <v>421</v>
      </c>
      <c r="I555" s="26">
        <v>45222</v>
      </c>
      <c r="J555" s="2">
        <v>41</v>
      </c>
      <c r="K555" s="2" t="s">
        <v>123</v>
      </c>
      <c r="L555" s="22">
        <v>2650</v>
      </c>
      <c r="M555" s="22">
        <v>108650</v>
      </c>
      <c r="N555" s="18">
        <v>116.2</v>
      </c>
      <c r="O555" s="26">
        <v>45267</v>
      </c>
      <c r="P555" s="2" t="s">
        <v>805</v>
      </c>
      <c r="Q555" s="2" t="s">
        <v>814</v>
      </c>
    </row>
    <row r="556" spans="2:17" x14ac:dyDescent="0.25">
      <c r="B556" s="2" t="s">
        <v>1360</v>
      </c>
      <c r="C556" s="2" t="s">
        <v>142</v>
      </c>
      <c r="D556" s="2" t="s">
        <v>143</v>
      </c>
      <c r="E556" s="2" t="s">
        <v>122</v>
      </c>
      <c r="F556" s="2" t="s">
        <v>535</v>
      </c>
      <c r="G556" s="2" t="s">
        <v>416</v>
      </c>
      <c r="H556" s="2" t="s">
        <v>94</v>
      </c>
      <c r="I556" s="26">
        <v>45234</v>
      </c>
      <c r="J556" s="2">
        <v>38</v>
      </c>
      <c r="K556" s="2" t="s">
        <v>123</v>
      </c>
      <c r="L556" s="22">
        <v>2450</v>
      </c>
      <c r="M556" s="22">
        <v>93100</v>
      </c>
      <c r="N556" s="18">
        <v>99.57</v>
      </c>
      <c r="O556" s="26">
        <v>45279</v>
      </c>
      <c r="P556" s="2" t="s">
        <v>805</v>
      </c>
      <c r="Q556" s="2" t="s">
        <v>814</v>
      </c>
    </row>
    <row r="557" spans="2:17" x14ac:dyDescent="0.25">
      <c r="B557" s="2" t="s">
        <v>1361</v>
      </c>
      <c r="C557" s="2" t="s">
        <v>142</v>
      </c>
      <c r="D557" s="2" t="s">
        <v>143</v>
      </c>
      <c r="E557" s="2" t="s">
        <v>122</v>
      </c>
      <c r="F557" s="2" t="s">
        <v>535</v>
      </c>
      <c r="G557" s="2" t="s">
        <v>416</v>
      </c>
      <c r="H557" s="2" t="s">
        <v>94</v>
      </c>
      <c r="I557" s="26">
        <v>45246</v>
      </c>
      <c r="J557" s="2">
        <v>40</v>
      </c>
      <c r="K557" s="2" t="s">
        <v>123</v>
      </c>
      <c r="L557" s="22">
        <v>2450</v>
      </c>
      <c r="M557" s="22">
        <v>98000</v>
      </c>
      <c r="N557" s="18">
        <v>104.81</v>
      </c>
      <c r="O557" s="26">
        <v>45291</v>
      </c>
      <c r="P557" s="2" t="s">
        <v>805</v>
      </c>
      <c r="Q557" s="2" t="s">
        <v>814</v>
      </c>
    </row>
    <row r="558" spans="2:17" x14ac:dyDescent="0.25">
      <c r="B558" s="2" t="s">
        <v>1362</v>
      </c>
      <c r="C558" s="2" t="s">
        <v>142</v>
      </c>
      <c r="D558" s="2" t="s">
        <v>143</v>
      </c>
      <c r="E558" s="2" t="s">
        <v>122</v>
      </c>
      <c r="F558" s="2" t="s">
        <v>535</v>
      </c>
      <c r="G558" s="2" t="s">
        <v>416</v>
      </c>
      <c r="H558" s="2" t="s">
        <v>94</v>
      </c>
      <c r="I558" s="26">
        <v>45255</v>
      </c>
      <c r="J558" s="2">
        <v>40</v>
      </c>
      <c r="K558" s="2" t="s">
        <v>123</v>
      </c>
      <c r="L558" s="22">
        <v>2450</v>
      </c>
      <c r="M558" s="22">
        <v>98000</v>
      </c>
      <c r="N558" s="18">
        <v>104.81</v>
      </c>
      <c r="O558" s="26">
        <v>45300</v>
      </c>
      <c r="P558" s="2" t="s">
        <v>805</v>
      </c>
      <c r="Q558" s="2" t="s">
        <v>814</v>
      </c>
    </row>
    <row r="559" spans="2:17" x14ac:dyDescent="0.25">
      <c r="B559" s="2" t="s">
        <v>1363</v>
      </c>
      <c r="C559" s="2" t="s">
        <v>142</v>
      </c>
      <c r="D559" s="2" t="s">
        <v>143</v>
      </c>
      <c r="E559" s="2" t="s">
        <v>122</v>
      </c>
      <c r="F559" s="2" t="s">
        <v>535</v>
      </c>
      <c r="G559" s="2" t="s">
        <v>416</v>
      </c>
      <c r="H559" s="2" t="s">
        <v>94</v>
      </c>
      <c r="I559" s="26">
        <v>45266</v>
      </c>
      <c r="J559" s="2">
        <v>49</v>
      </c>
      <c r="K559" s="2" t="s">
        <v>123</v>
      </c>
      <c r="L559" s="22">
        <v>2450</v>
      </c>
      <c r="M559" s="22">
        <v>120050</v>
      </c>
      <c r="N559" s="18">
        <v>128.4</v>
      </c>
      <c r="O559" s="26">
        <v>45311</v>
      </c>
      <c r="P559" s="2" t="s">
        <v>805</v>
      </c>
      <c r="Q559" s="2" t="s">
        <v>825</v>
      </c>
    </row>
    <row r="560" spans="2:17" x14ac:dyDescent="0.25">
      <c r="B560" s="2" t="s">
        <v>1364</v>
      </c>
      <c r="C560" s="2" t="s">
        <v>142</v>
      </c>
      <c r="D560" s="2" t="s">
        <v>143</v>
      </c>
      <c r="E560" s="2" t="s">
        <v>122</v>
      </c>
      <c r="F560" s="2" t="s">
        <v>535</v>
      </c>
      <c r="G560" s="2" t="s">
        <v>416</v>
      </c>
      <c r="H560" s="2" t="s">
        <v>94</v>
      </c>
      <c r="I560" s="26">
        <v>45275</v>
      </c>
      <c r="J560" s="2">
        <v>59</v>
      </c>
      <c r="K560" s="2" t="s">
        <v>123</v>
      </c>
      <c r="L560" s="22">
        <v>2450</v>
      </c>
      <c r="M560" s="22">
        <v>144550</v>
      </c>
      <c r="N560" s="18">
        <v>154.6</v>
      </c>
      <c r="O560" s="26">
        <v>45320</v>
      </c>
      <c r="P560" s="2" t="s">
        <v>805</v>
      </c>
      <c r="Q560" s="2" t="s">
        <v>825</v>
      </c>
    </row>
    <row r="561" spans="2:17" x14ac:dyDescent="0.25">
      <c r="B561" s="2" t="s">
        <v>1365</v>
      </c>
      <c r="C561" s="2" t="s">
        <v>142</v>
      </c>
      <c r="D561" s="2" t="s">
        <v>143</v>
      </c>
      <c r="E561" s="2" t="s">
        <v>122</v>
      </c>
      <c r="F561" s="2" t="s">
        <v>535</v>
      </c>
      <c r="G561" s="2" t="s">
        <v>416</v>
      </c>
      <c r="H561" s="2" t="s">
        <v>94</v>
      </c>
      <c r="I561" s="26">
        <v>45286</v>
      </c>
      <c r="J561" s="2">
        <v>46</v>
      </c>
      <c r="K561" s="2" t="s">
        <v>123</v>
      </c>
      <c r="L561" s="22">
        <v>2450</v>
      </c>
      <c r="M561" s="22">
        <v>112700</v>
      </c>
      <c r="N561" s="18">
        <v>120.53</v>
      </c>
      <c r="O561" s="26">
        <v>45331</v>
      </c>
      <c r="P561" s="2" t="s">
        <v>805</v>
      </c>
      <c r="Q561" s="2" t="s">
        <v>825</v>
      </c>
    </row>
    <row r="562" spans="2:17" x14ac:dyDescent="0.25">
      <c r="B562" s="2" t="s">
        <v>1366</v>
      </c>
      <c r="C562" s="2" t="s">
        <v>142</v>
      </c>
      <c r="D562" s="2" t="s">
        <v>143</v>
      </c>
      <c r="E562" s="2" t="s">
        <v>122</v>
      </c>
      <c r="F562" s="2" t="s">
        <v>537</v>
      </c>
      <c r="G562" s="2" t="s">
        <v>420</v>
      </c>
      <c r="H562" s="2" t="s">
        <v>421</v>
      </c>
      <c r="I562" s="26">
        <v>45292</v>
      </c>
      <c r="J562" s="2">
        <v>45</v>
      </c>
      <c r="K562" s="2" t="s">
        <v>123</v>
      </c>
      <c r="L562" s="22">
        <v>2650</v>
      </c>
      <c r="M562" s="22">
        <v>119250</v>
      </c>
      <c r="N562" s="18">
        <v>127.54</v>
      </c>
      <c r="O562" s="26">
        <v>45337</v>
      </c>
      <c r="P562" s="2" t="s">
        <v>805</v>
      </c>
      <c r="Q562" s="2" t="s">
        <v>825</v>
      </c>
    </row>
    <row r="563" spans="2:17" x14ac:dyDescent="0.25">
      <c r="B563" s="2" t="s">
        <v>1367</v>
      </c>
      <c r="C563" s="2" t="s">
        <v>142</v>
      </c>
      <c r="D563" s="2" t="s">
        <v>143</v>
      </c>
      <c r="E563" s="2" t="s">
        <v>122</v>
      </c>
      <c r="F563" s="2" t="s">
        <v>535</v>
      </c>
      <c r="G563" s="2" t="s">
        <v>416</v>
      </c>
      <c r="H563" s="2" t="s">
        <v>94</v>
      </c>
      <c r="I563" s="26">
        <v>45301</v>
      </c>
      <c r="J563" s="2">
        <v>36</v>
      </c>
      <c r="K563" s="2" t="s">
        <v>123</v>
      </c>
      <c r="L563" s="22">
        <v>2450</v>
      </c>
      <c r="M563" s="22">
        <v>88200</v>
      </c>
      <c r="N563" s="18">
        <v>94.33</v>
      </c>
      <c r="O563" s="26">
        <v>45346</v>
      </c>
      <c r="P563" s="2" t="s">
        <v>805</v>
      </c>
      <c r="Q563" s="2" t="s">
        <v>825</v>
      </c>
    </row>
    <row r="564" spans="2:17" x14ac:dyDescent="0.25">
      <c r="B564" s="2" t="s">
        <v>1368</v>
      </c>
      <c r="C564" s="2" t="s">
        <v>142</v>
      </c>
      <c r="D564" s="2" t="s">
        <v>143</v>
      </c>
      <c r="E564" s="2" t="s">
        <v>122</v>
      </c>
      <c r="F564" s="2" t="s">
        <v>535</v>
      </c>
      <c r="G564" s="2" t="s">
        <v>416</v>
      </c>
      <c r="H564" s="2" t="s">
        <v>94</v>
      </c>
      <c r="I564" s="26">
        <v>45310</v>
      </c>
      <c r="J564" s="2">
        <v>42</v>
      </c>
      <c r="K564" s="2" t="s">
        <v>123</v>
      </c>
      <c r="L564" s="22">
        <v>2450</v>
      </c>
      <c r="M564" s="22">
        <v>102900</v>
      </c>
      <c r="N564" s="18">
        <v>110.05</v>
      </c>
      <c r="O564" s="26">
        <v>45355</v>
      </c>
      <c r="P564" s="2" t="s">
        <v>805</v>
      </c>
      <c r="Q564" s="2" t="s">
        <v>825</v>
      </c>
    </row>
    <row r="565" spans="2:17" x14ac:dyDescent="0.25">
      <c r="B565" s="2" t="s">
        <v>1369</v>
      </c>
      <c r="C565" s="2" t="s">
        <v>142</v>
      </c>
      <c r="D565" s="2" t="s">
        <v>143</v>
      </c>
      <c r="E565" s="2" t="s">
        <v>122</v>
      </c>
      <c r="F565" s="2" t="s">
        <v>535</v>
      </c>
      <c r="G565" s="2" t="s">
        <v>416</v>
      </c>
      <c r="H565" s="2" t="s">
        <v>94</v>
      </c>
      <c r="I565" s="26">
        <v>45322</v>
      </c>
      <c r="J565" s="2">
        <v>44</v>
      </c>
      <c r="K565" s="2" t="s">
        <v>123</v>
      </c>
      <c r="L565" s="22">
        <v>2450</v>
      </c>
      <c r="M565" s="22">
        <v>107800</v>
      </c>
      <c r="N565" s="18">
        <v>115.29</v>
      </c>
      <c r="O565" s="26">
        <v>45367</v>
      </c>
      <c r="P565" s="2" t="s">
        <v>805</v>
      </c>
      <c r="Q565" s="2" t="s">
        <v>825</v>
      </c>
    </row>
    <row r="566" spans="2:17" x14ac:dyDescent="0.25">
      <c r="B566" s="2" t="s">
        <v>1370</v>
      </c>
      <c r="C566" s="2" t="s">
        <v>142</v>
      </c>
      <c r="D566" s="2" t="s">
        <v>143</v>
      </c>
      <c r="E566" s="2" t="s">
        <v>122</v>
      </c>
      <c r="F566" s="2" t="s">
        <v>535</v>
      </c>
      <c r="G566" s="2" t="s">
        <v>416</v>
      </c>
      <c r="H566" s="2" t="s">
        <v>94</v>
      </c>
      <c r="I566" s="26">
        <v>45331</v>
      </c>
      <c r="J566" s="2">
        <v>35</v>
      </c>
      <c r="K566" s="2" t="s">
        <v>123</v>
      </c>
      <c r="L566" s="22">
        <v>2450</v>
      </c>
      <c r="M566" s="22">
        <v>85750</v>
      </c>
      <c r="N566" s="18">
        <v>91.71</v>
      </c>
      <c r="O566" s="26">
        <v>45376</v>
      </c>
      <c r="P566" s="2" t="s">
        <v>805</v>
      </c>
      <c r="Q566" s="2" t="s">
        <v>825</v>
      </c>
    </row>
    <row r="567" spans="2:17" x14ac:dyDescent="0.25">
      <c r="B567" s="2" t="s">
        <v>1371</v>
      </c>
      <c r="C567" s="2" t="s">
        <v>142</v>
      </c>
      <c r="D567" s="2" t="s">
        <v>143</v>
      </c>
      <c r="E567" s="2" t="s">
        <v>122</v>
      </c>
      <c r="F567" s="2" t="s">
        <v>535</v>
      </c>
      <c r="G567" s="2" t="s">
        <v>416</v>
      </c>
      <c r="H567" s="2" t="s">
        <v>94</v>
      </c>
      <c r="I567" s="26">
        <v>45342</v>
      </c>
      <c r="J567" s="2">
        <v>44</v>
      </c>
      <c r="K567" s="2" t="s">
        <v>123</v>
      </c>
      <c r="L567" s="22">
        <v>2450</v>
      </c>
      <c r="M567" s="22">
        <v>107800</v>
      </c>
      <c r="N567" s="18">
        <v>115.29</v>
      </c>
      <c r="O567" s="26">
        <v>45387</v>
      </c>
      <c r="P567" s="2" t="s">
        <v>805</v>
      </c>
      <c r="Q567" s="2" t="s">
        <v>825</v>
      </c>
    </row>
    <row r="568" spans="2:17" x14ac:dyDescent="0.25">
      <c r="B568" s="2" t="s">
        <v>1372</v>
      </c>
      <c r="C568" s="2" t="s">
        <v>142</v>
      </c>
      <c r="D568" s="2" t="s">
        <v>143</v>
      </c>
      <c r="E568" s="2" t="s">
        <v>122</v>
      </c>
      <c r="F568" s="2" t="s">
        <v>535</v>
      </c>
      <c r="G568" s="2" t="s">
        <v>416</v>
      </c>
      <c r="H568" s="2" t="s">
        <v>94</v>
      </c>
      <c r="I568" s="26">
        <v>45352</v>
      </c>
      <c r="J568" s="2">
        <v>37</v>
      </c>
      <c r="K568" s="2" t="s">
        <v>123</v>
      </c>
      <c r="L568" s="22">
        <v>2450</v>
      </c>
      <c r="M568" s="22">
        <v>90650</v>
      </c>
      <c r="N568" s="18">
        <v>96.95</v>
      </c>
      <c r="O568" s="26">
        <v>45397</v>
      </c>
      <c r="P568" s="2" t="s">
        <v>805</v>
      </c>
      <c r="Q568" s="2" t="s">
        <v>836</v>
      </c>
    </row>
    <row r="569" spans="2:17" x14ac:dyDescent="0.25">
      <c r="B569" s="2" t="s">
        <v>1373</v>
      </c>
      <c r="C569" s="2" t="s">
        <v>142</v>
      </c>
      <c r="D569" s="2" t="s">
        <v>143</v>
      </c>
      <c r="E569" s="2" t="s">
        <v>122</v>
      </c>
      <c r="F569" s="2" t="s">
        <v>535</v>
      </c>
      <c r="G569" s="2" t="s">
        <v>416</v>
      </c>
      <c r="H569" s="2" t="s">
        <v>94</v>
      </c>
      <c r="I569" s="26">
        <v>45361</v>
      </c>
      <c r="J569" s="2">
        <v>44</v>
      </c>
      <c r="K569" s="2" t="s">
        <v>123</v>
      </c>
      <c r="L569" s="22">
        <v>2450</v>
      </c>
      <c r="M569" s="22">
        <v>107800</v>
      </c>
      <c r="N569" s="18">
        <v>115.29</v>
      </c>
      <c r="O569" s="26">
        <v>45406</v>
      </c>
      <c r="P569" s="2" t="s">
        <v>805</v>
      </c>
      <c r="Q569" s="2" t="s">
        <v>836</v>
      </c>
    </row>
    <row r="570" spans="2:17" x14ac:dyDescent="0.25">
      <c r="B570" s="2" t="s">
        <v>1374</v>
      </c>
      <c r="C570" s="2" t="s">
        <v>142</v>
      </c>
      <c r="D570" s="2" t="s">
        <v>143</v>
      </c>
      <c r="E570" s="2" t="s">
        <v>122</v>
      </c>
      <c r="F570" s="2" t="s">
        <v>535</v>
      </c>
      <c r="G570" s="2" t="s">
        <v>416</v>
      </c>
      <c r="H570" s="2" t="s">
        <v>94</v>
      </c>
      <c r="I570" s="26">
        <v>45371</v>
      </c>
      <c r="J570" s="2">
        <v>44</v>
      </c>
      <c r="K570" s="2" t="s">
        <v>123</v>
      </c>
      <c r="L570" s="22">
        <v>2450</v>
      </c>
      <c r="M570" s="22">
        <v>107800</v>
      </c>
      <c r="N570" s="18">
        <v>115.29</v>
      </c>
      <c r="O570" s="26">
        <v>45416</v>
      </c>
      <c r="P570" s="2" t="s">
        <v>805</v>
      </c>
      <c r="Q570" s="2" t="s">
        <v>836</v>
      </c>
    </row>
    <row r="571" spans="2:17" x14ac:dyDescent="0.25">
      <c r="B571" s="2" t="s">
        <v>1375</v>
      </c>
      <c r="C571" s="2" t="s">
        <v>142</v>
      </c>
      <c r="D571" s="2" t="s">
        <v>143</v>
      </c>
      <c r="E571" s="2" t="s">
        <v>122</v>
      </c>
      <c r="F571" s="2" t="s">
        <v>535</v>
      </c>
      <c r="G571" s="2" t="s">
        <v>416</v>
      </c>
      <c r="H571" s="2" t="s">
        <v>94</v>
      </c>
      <c r="I571" s="26">
        <v>45380</v>
      </c>
      <c r="J571" s="2">
        <v>41</v>
      </c>
      <c r="K571" s="2" t="s">
        <v>123</v>
      </c>
      <c r="L571" s="22">
        <v>2450</v>
      </c>
      <c r="M571" s="22">
        <v>100450</v>
      </c>
      <c r="N571" s="18">
        <v>107.43</v>
      </c>
      <c r="O571" s="26">
        <v>45425</v>
      </c>
      <c r="P571" s="2" t="s">
        <v>805</v>
      </c>
      <c r="Q571" s="2" t="s">
        <v>836</v>
      </c>
    </row>
    <row r="572" spans="2:17" x14ac:dyDescent="0.25">
      <c r="B572" s="2" t="s">
        <v>1376</v>
      </c>
      <c r="C572" s="2" t="s">
        <v>142</v>
      </c>
      <c r="D572" s="2" t="s">
        <v>143</v>
      </c>
      <c r="E572" s="2" t="s">
        <v>122</v>
      </c>
      <c r="F572" s="2" t="s">
        <v>535</v>
      </c>
      <c r="G572" s="2" t="s">
        <v>416</v>
      </c>
      <c r="H572" s="2" t="s">
        <v>94</v>
      </c>
      <c r="I572" s="26">
        <v>45392</v>
      </c>
      <c r="J572" s="2">
        <v>16</v>
      </c>
      <c r="K572" s="2" t="s">
        <v>123</v>
      </c>
      <c r="L572" s="22">
        <v>2450</v>
      </c>
      <c r="M572" s="22">
        <v>39200</v>
      </c>
      <c r="N572" s="18">
        <v>41.93</v>
      </c>
      <c r="O572" s="26">
        <v>45437</v>
      </c>
      <c r="P572" s="2" t="s">
        <v>805</v>
      </c>
      <c r="Q572" s="2" t="s">
        <v>836</v>
      </c>
    </row>
    <row r="573" spans="2:17" x14ac:dyDescent="0.25">
      <c r="B573" s="2" t="s">
        <v>1377</v>
      </c>
      <c r="C573" s="2" t="s">
        <v>142</v>
      </c>
      <c r="D573" s="2" t="s">
        <v>143</v>
      </c>
      <c r="E573" s="2" t="s">
        <v>122</v>
      </c>
      <c r="F573" s="2" t="s">
        <v>537</v>
      </c>
      <c r="G573" s="2" t="s">
        <v>420</v>
      </c>
      <c r="H573" s="2" t="s">
        <v>421</v>
      </c>
      <c r="I573" s="26">
        <v>45399</v>
      </c>
      <c r="J573" s="2">
        <v>15</v>
      </c>
      <c r="K573" s="2" t="s">
        <v>123</v>
      </c>
      <c r="L573" s="22">
        <v>2650</v>
      </c>
      <c r="M573" s="22">
        <v>39750</v>
      </c>
      <c r="N573" s="18">
        <v>42.51</v>
      </c>
      <c r="O573" s="26">
        <v>45444</v>
      </c>
      <c r="P573" s="2" t="s">
        <v>805</v>
      </c>
      <c r="Q573" s="2" t="s">
        <v>836</v>
      </c>
    </row>
    <row r="574" spans="2:17" x14ac:dyDescent="0.25">
      <c r="B574" s="2" t="s">
        <v>1378</v>
      </c>
      <c r="C574" s="2" t="s">
        <v>142</v>
      </c>
      <c r="D574" s="2" t="s">
        <v>143</v>
      </c>
      <c r="E574" s="2" t="s">
        <v>122</v>
      </c>
      <c r="F574" s="2" t="s">
        <v>535</v>
      </c>
      <c r="G574" s="2" t="s">
        <v>416</v>
      </c>
      <c r="H574" s="2" t="s">
        <v>94</v>
      </c>
      <c r="I574" s="26">
        <v>45407</v>
      </c>
      <c r="J574" s="2">
        <v>15</v>
      </c>
      <c r="K574" s="2" t="s">
        <v>123</v>
      </c>
      <c r="L574" s="22">
        <v>2450</v>
      </c>
      <c r="M574" s="22">
        <v>36750</v>
      </c>
      <c r="N574" s="18">
        <v>39.299999999999997</v>
      </c>
      <c r="O574" s="26">
        <v>45452</v>
      </c>
      <c r="P574" s="2" t="s">
        <v>805</v>
      </c>
      <c r="Q574" s="2" t="s">
        <v>836</v>
      </c>
    </row>
    <row r="575" spans="2:17" x14ac:dyDescent="0.25">
      <c r="B575" s="2" t="s">
        <v>1379</v>
      </c>
      <c r="C575" s="2" t="s">
        <v>142</v>
      </c>
      <c r="D575" s="2" t="s">
        <v>143</v>
      </c>
      <c r="E575" s="2" t="s">
        <v>122</v>
      </c>
      <c r="F575" s="2" t="s">
        <v>535</v>
      </c>
      <c r="G575" s="2" t="s">
        <v>416</v>
      </c>
      <c r="H575" s="2" t="s">
        <v>94</v>
      </c>
      <c r="I575" s="26">
        <v>45413</v>
      </c>
      <c r="J575" s="2">
        <v>16</v>
      </c>
      <c r="K575" s="2" t="s">
        <v>123</v>
      </c>
      <c r="L575" s="22">
        <v>2450</v>
      </c>
      <c r="M575" s="22">
        <v>39200</v>
      </c>
      <c r="N575" s="18">
        <v>41.93</v>
      </c>
      <c r="O575" s="26">
        <v>45458</v>
      </c>
      <c r="P575" s="2" t="s">
        <v>805</v>
      </c>
      <c r="Q575" s="2" t="s">
        <v>836</v>
      </c>
    </row>
    <row r="576" spans="2:17" x14ac:dyDescent="0.25">
      <c r="B576" s="2" t="s">
        <v>1380</v>
      </c>
      <c r="C576" s="2" t="s">
        <v>142</v>
      </c>
      <c r="D576" s="2" t="s">
        <v>143</v>
      </c>
      <c r="E576" s="2" t="s">
        <v>122</v>
      </c>
      <c r="F576" s="2" t="s">
        <v>535</v>
      </c>
      <c r="G576" s="2" t="s">
        <v>416</v>
      </c>
      <c r="H576" s="2" t="s">
        <v>94</v>
      </c>
      <c r="I576" s="26">
        <v>45423</v>
      </c>
      <c r="J576" s="2">
        <v>15</v>
      </c>
      <c r="K576" s="2" t="s">
        <v>123</v>
      </c>
      <c r="L576" s="22">
        <v>2450</v>
      </c>
      <c r="M576" s="22">
        <v>36750</v>
      </c>
      <c r="N576" s="18">
        <v>39.299999999999997</v>
      </c>
      <c r="O576" s="26">
        <v>45468</v>
      </c>
      <c r="P576" s="2" t="s">
        <v>805</v>
      </c>
      <c r="Q576" s="2" t="s">
        <v>836</v>
      </c>
    </row>
    <row r="577" spans="2:17" x14ac:dyDescent="0.25">
      <c r="B577" s="2" t="s">
        <v>1381</v>
      </c>
      <c r="C577" s="2" t="s">
        <v>142</v>
      </c>
      <c r="D577" s="2" t="s">
        <v>143</v>
      </c>
      <c r="E577" s="2" t="s">
        <v>122</v>
      </c>
      <c r="F577" s="2" t="s">
        <v>537</v>
      </c>
      <c r="G577" s="2" t="s">
        <v>420</v>
      </c>
      <c r="H577" s="2" t="s">
        <v>421</v>
      </c>
      <c r="I577" s="26">
        <v>45432</v>
      </c>
      <c r="J577" s="2">
        <v>16</v>
      </c>
      <c r="K577" s="2" t="s">
        <v>123</v>
      </c>
      <c r="L577" s="22">
        <v>2650</v>
      </c>
      <c r="M577" s="22">
        <v>42400</v>
      </c>
      <c r="N577" s="18">
        <v>45.35</v>
      </c>
      <c r="O577" s="26">
        <v>45477</v>
      </c>
      <c r="P577" s="2" t="s">
        <v>805</v>
      </c>
      <c r="Q577" s="2" t="s">
        <v>836</v>
      </c>
    </row>
    <row r="578" spans="2:17" x14ac:dyDescent="0.25">
      <c r="B578" s="2" t="s">
        <v>1382</v>
      </c>
      <c r="C578" s="2" t="s">
        <v>142</v>
      </c>
      <c r="D578" s="2" t="s">
        <v>143</v>
      </c>
      <c r="E578" s="2" t="s">
        <v>122</v>
      </c>
      <c r="F578" s="2" t="s">
        <v>535</v>
      </c>
      <c r="G578" s="2" t="s">
        <v>416</v>
      </c>
      <c r="H578" s="2" t="s">
        <v>94</v>
      </c>
      <c r="I578" s="26">
        <v>45441</v>
      </c>
      <c r="J578" s="2">
        <v>16</v>
      </c>
      <c r="K578" s="2" t="s">
        <v>123</v>
      </c>
      <c r="L578" s="22">
        <v>2450</v>
      </c>
      <c r="M578" s="22">
        <v>39200</v>
      </c>
      <c r="N578" s="18">
        <v>41.93</v>
      </c>
      <c r="O578" s="26">
        <v>45486</v>
      </c>
      <c r="P578" s="2" t="s">
        <v>805</v>
      </c>
      <c r="Q578" s="2" t="s">
        <v>836</v>
      </c>
    </row>
    <row r="579" spans="2:17" x14ac:dyDescent="0.25">
      <c r="B579" s="2" t="s">
        <v>1383</v>
      </c>
      <c r="C579" s="2" t="s">
        <v>142</v>
      </c>
      <c r="D579" s="2" t="s">
        <v>143</v>
      </c>
      <c r="E579" s="2" t="s">
        <v>122</v>
      </c>
      <c r="F579" s="2" t="s">
        <v>535</v>
      </c>
      <c r="G579" s="2" t="s">
        <v>416</v>
      </c>
      <c r="H579" s="2" t="s">
        <v>94</v>
      </c>
      <c r="I579" s="26">
        <v>45451</v>
      </c>
      <c r="J579" s="2">
        <v>14</v>
      </c>
      <c r="K579" s="2" t="s">
        <v>123</v>
      </c>
      <c r="L579" s="22">
        <v>2450</v>
      </c>
      <c r="M579" s="22">
        <v>34300</v>
      </c>
      <c r="N579" s="18">
        <v>36.68</v>
      </c>
      <c r="O579" s="26">
        <v>45496</v>
      </c>
      <c r="P579" s="2" t="s">
        <v>805</v>
      </c>
      <c r="Q579" s="2" t="s">
        <v>806</v>
      </c>
    </row>
    <row r="580" spans="2:17" x14ac:dyDescent="0.25">
      <c r="B580" s="2" t="s">
        <v>1384</v>
      </c>
      <c r="C580" s="2" t="s">
        <v>142</v>
      </c>
      <c r="D580" s="2" t="s">
        <v>143</v>
      </c>
      <c r="E580" s="2" t="s">
        <v>122</v>
      </c>
      <c r="F580" s="2" t="s">
        <v>535</v>
      </c>
      <c r="G580" s="2" t="s">
        <v>416</v>
      </c>
      <c r="H580" s="2" t="s">
        <v>94</v>
      </c>
      <c r="I580" s="26">
        <v>45459</v>
      </c>
      <c r="J580" s="2">
        <v>13</v>
      </c>
      <c r="K580" s="2" t="s">
        <v>123</v>
      </c>
      <c r="L580" s="22">
        <v>2450</v>
      </c>
      <c r="M580" s="22">
        <v>31850</v>
      </c>
      <c r="N580" s="18">
        <v>34.06</v>
      </c>
      <c r="O580" s="26">
        <v>45504</v>
      </c>
      <c r="P580" s="2" t="s">
        <v>805</v>
      </c>
      <c r="Q580" s="2" t="s">
        <v>806</v>
      </c>
    </row>
    <row r="581" spans="2:17" x14ac:dyDescent="0.25">
      <c r="B581" s="2" t="s">
        <v>1385</v>
      </c>
      <c r="C581" s="2" t="s">
        <v>142</v>
      </c>
      <c r="D581" s="2" t="s">
        <v>143</v>
      </c>
      <c r="E581" s="2" t="s">
        <v>122</v>
      </c>
      <c r="F581" s="2" t="s">
        <v>535</v>
      </c>
      <c r="G581" s="2" t="s">
        <v>416</v>
      </c>
      <c r="H581" s="2" t="s">
        <v>94</v>
      </c>
      <c r="I581" s="26">
        <v>45467</v>
      </c>
      <c r="J581" s="2">
        <v>16</v>
      </c>
      <c r="K581" s="2" t="s">
        <v>123</v>
      </c>
      <c r="L581" s="22">
        <v>2450</v>
      </c>
      <c r="M581" s="22">
        <v>39200</v>
      </c>
      <c r="N581" s="18">
        <v>41.93</v>
      </c>
      <c r="O581" s="26">
        <v>45512</v>
      </c>
      <c r="P581" s="2" t="s">
        <v>805</v>
      </c>
      <c r="Q581" s="2" t="s">
        <v>806</v>
      </c>
    </row>
    <row r="582" spans="2:17" x14ac:dyDescent="0.25">
      <c r="B582" s="2" t="s">
        <v>1386</v>
      </c>
      <c r="C582" s="2" t="s">
        <v>142</v>
      </c>
      <c r="D582" s="2" t="s">
        <v>143</v>
      </c>
      <c r="E582" s="2" t="s">
        <v>122</v>
      </c>
      <c r="F582" s="2" t="s">
        <v>535</v>
      </c>
      <c r="G582" s="2" t="s">
        <v>416</v>
      </c>
      <c r="H582" s="2" t="s">
        <v>94</v>
      </c>
      <c r="I582" s="26">
        <v>45477</v>
      </c>
      <c r="J582" s="2">
        <v>13</v>
      </c>
      <c r="K582" s="2" t="s">
        <v>123</v>
      </c>
      <c r="L582" s="22">
        <v>2450</v>
      </c>
      <c r="M582" s="22">
        <v>31850</v>
      </c>
      <c r="N582" s="18">
        <v>34.06</v>
      </c>
      <c r="O582" s="26">
        <v>45522</v>
      </c>
      <c r="P582" s="2" t="s">
        <v>805</v>
      </c>
      <c r="Q582" s="2" t="s">
        <v>806</v>
      </c>
    </row>
    <row r="583" spans="2:17" x14ac:dyDescent="0.25">
      <c r="B583" s="2" t="s">
        <v>1387</v>
      </c>
      <c r="C583" s="2" t="s">
        <v>142</v>
      </c>
      <c r="D583" s="2" t="s">
        <v>143</v>
      </c>
      <c r="E583" s="2" t="s">
        <v>122</v>
      </c>
      <c r="F583" s="2" t="s">
        <v>535</v>
      </c>
      <c r="G583" s="2" t="s">
        <v>416</v>
      </c>
      <c r="H583" s="2" t="s">
        <v>94</v>
      </c>
      <c r="I583" s="26">
        <v>45487</v>
      </c>
      <c r="J583" s="2">
        <v>15</v>
      </c>
      <c r="K583" s="2" t="s">
        <v>123</v>
      </c>
      <c r="L583" s="22">
        <v>2450</v>
      </c>
      <c r="M583" s="22">
        <v>36750</v>
      </c>
      <c r="N583" s="18">
        <v>39.299999999999997</v>
      </c>
      <c r="O583" s="26">
        <v>45532</v>
      </c>
      <c r="P583" s="2" t="s">
        <v>805</v>
      </c>
      <c r="Q583" s="2" t="s">
        <v>806</v>
      </c>
    </row>
    <row r="584" spans="2:17" x14ac:dyDescent="0.25">
      <c r="B584" s="2" t="s">
        <v>1388</v>
      </c>
      <c r="C584" s="2" t="s">
        <v>142</v>
      </c>
      <c r="D584" s="2" t="s">
        <v>143</v>
      </c>
      <c r="E584" s="2" t="s">
        <v>122</v>
      </c>
      <c r="F584" s="2" t="s">
        <v>535</v>
      </c>
      <c r="G584" s="2" t="s">
        <v>416</v>
      </c>
      <c r="H584" s="2" t="s">
        <v>94</v>
      </c>
      <c r="I584" s="26">
        <v>45497</v>
      </c>
      <c r="J584" s="2">
        <v>15</v>
      </c>
      <c r="K584" s="2" t="s">
        <v>123</v>
      </c>
      <c r="L584" s="22">
        <v>2450</v>
      </c>
      <c r="M584" s="22">
        <v>36750</v>
      </c>
      <c r="N584" s="18">
        <v>39.299999999999997</v>
      </c>
      <c r="O584" s="26">
        <v>45542</v>
      </c>
      <c r="P584" s="2" t="s">
        <v>805</v>
      </c>
      <c r="Q584" s="2" t="s">
        <v>806</v>
      </c>
    </row>
    <row r="585" spans="2:17" x14ac:dyDescent="0.25">
      <c r="B585" s="2" t="s">
        <v>1389</v>
      </c>
      <c r="C585" s="2" t="s">
        <v>142</v>
      </c>
      <c r="D585" s="2" t="s">
        <v>143</v>
      </c>
      <c r="E585" s="2" t="s">
        <v>122</v>
      </c>
      <c r="F585" s="2" t="s">
        <v>535</v>
      </c>
      <c r="G585" s="2" t="s">
        <v>416</v>
      </c>
      <c r="H585" s="2" t="s">
        <v>94</v>
      </c>
      <c r="I585" s="26">
        <v>45506</v>
      </c>
      <c r="J585" s="2">
        <v>13</v>
      </c>
      <c r="K585" s="2" t="s">
        <v>123</v>
      </c>
      <c r="L585" s="22">
        <v>2450</v>
      </c>
      <c r="M585" s="22">
        <v>31850</v>
      </c>
      <c r="N585" s="18">
        <v>34.06</v>
      </c>
      <c r="O585" s="26">
        <v>45551</v>
      </c>
      <c r="P585" s="2" t="s">
        <v>805</v>
      </c>
      <c r="Q585" s="2" t="s">
        <v>806</v>
      </c>
    </row>
    <row r="586" spans="2:17" x14ac:dyDescent="0.25">
      <c r="B586" s="2" t="s">
        <v>1390</v>
      </c>
      <c r="C586" s="2" t="s">
        <v>142</v>
      </c>
      <c r="D586" s="2" t="s">
        <v>143</v>
      </c>
      <c r="E586" s="2" t="s">
        <v>122</v>
      </c>
      <c r="F586" s="2" t="s">
        <v>535</v>
      </c>
      <c r="G586" s="2" t="s">
        <v>416</v>
      </c>
      <c r="H586" s="2" t="s">
        <v>94</v>
      </c>
      <c r="I586" s="26">
        <v>45517</v>
      </c>
      <c r="J586" s="2">
        <v>16</v>
      </c>
      <c r="K586" s="2" t="s">
        <v>123</v>
      </c>
      <c r="L586" s="22">
        <v>2450</v>
      </c>
      <c r="M586" s="22">
        <v>39200</v>
      </c>
      <c r="N586" s="18">
        <v>41.93</v>
      </c>
      <c r="O586" s="26">
        <v>45562</v>
      </c>
      <c r="P586" s="2" t="s">
        <v>805</v>
      </c>
      <c r="Q586" s="2" t="s">
        <v>806</v>
      </c>
    </row>
    <row r="587" spans="2:17" x14ac:dyDescent="0.25">
      <c r="B587" s="2" t="s">
        <v>1391</v>
      </c>
      <c r="C587" s="2" t="s">
        <v>142</v>
      </c>
      <c r="D587" s="2" t="s">
        <v>143</v>
      </c>
      <c r="E587" s="2" t="s">
        <v>122</v>
      </c>
      <c r="F587" s="2" t="s">
        <v>535</v>
      </c>
      <c r="G587" s="2" t="s">
        <v>416</v>
      </c>
      <c r="H587" s="2" t="s">
        <v>94</v>
      </c>
      <c r="I587" s="26">
        <v>45525</v>
      </c>
      <c r="J587" s="2">
        <v>14</v>
      </c>
      <c r="K587" s="2" t="s">
        <v>123</v>
      </c>
      <c r="L587" s="22">
        <v>2450</v>
      </c>
      <c r="M587" s="22">
        <v>34300</v>
      </c>
      <c r="N587" s="18">
        <v>36.68</v>
      </c>
      <c r="O587" s="26">
        <v>45570</v>
      </c>
      <c r="P587" s="2" t="s">
        <v>805</v>
      </c>
      <c r="Q587" s="2" t="s">
        <v>806</v>
      </c>
    </row>
    <row r="588" spans="2:17" x14ac:dyDescent="0.25">
      <c r="B588" s="2" t="s">
        <v>1392</v>
      </c>
      <c r="C588" s="2" t="s">
        <v>142</v>
      </c>
      <c r="D588" s="2" t="s">
        <v>143</v>
      </c>
      <c r="E588" s="2" t="s">
        <v>122</v>
      </c>
      <c r="F588" s="2" t="s">
        <v>535</v>
      </c>
      <c r="G588" s="2" t="s">
        <v>416</v>
      </c>
      <c r="H588" s="2" t="s">
        <v>94</v>
      </c>
      <c r="I588" s="26">
        <v>45534</v>
      </c>
      <c r="J588" s="2">
        <v>13</v>
      </c>
      <c r="K588" s="2" t="s">
        <v>123</v>
      </c>
      <c r="L588" s="22">
        <v>2450</v>
      </c>
      <c r="M588" s="22">
        <v>31850</v>
      </c>
      <c r="N588" s="18">
        <v>34.06</v>
      </c>
      <c r="O588" s="26">
        <v>45579</v>
      </c>
      <c r="P588" s="2" t="s">
        <v>805</v>
      </c>
      <c r="Q588" s="2" t="s">
        <v>806</v>
      </c>
    </row>
    <row r="589" spans="2:17" x14ac:dyDescent="0.25">
      <c r="B589" s="2" t="s">
        <v>1393</v>
      </c>
      <c r="C589" s="2" t="s">
        <v>142</v>
      </c>
      <c r="D589" s="2" t="s">
        <v>143</v>
      </c>
      <c r="E589" s="2" t="s">
        <v>122</v>
      </c>
      <c r="F589" s="2" t="s">
        <v>535</v>
      </c>
      <c r="G589" s="2" t="s">
        <v>416</v>
      </c>
      <c r="H589" s="2" t="s">
        <v>94</v>
      </c>
      <c r="I589" s="26">
        <v>45545</v>
      </c>
      <c r="J589" s="2">
        <v>20</v>
      </c>
      <c r="K589" s="2" t="s">
        <v>123</v>
      </c>
      <c r="L589" s="22">
        <v>2450</v>
      </c>
      <c r="M589" s="22">
        <v>49000</v>
      </c>
      <c r="N589" s="18">
        <v>52.41</v>
      </c>
      <c r="O589" s="26">
        <v>45590</v>
      </c>
      <c r="P589" s="2" t="s">
        <v>805</v>
      </c>
      <c r="Q589" s="2" t="s">
        <v>814</v>
      </c>
    </row>
    <row r="590" spans="2:17" x14ac:dyDescent="0.25">
      <c r="B590" s="2" t="s">
        <v>1394</v>
      </c>
      <c r="C590" s="2" t="s">
        <v>142</v>
      </c>
      <c r="D590" s="2" t="s">
        <v>143</v>
      </c>
      <c r="E590" s="2" t="s">
        <v>122</v>
      </c>
      <c r="F590" s="2" t="s">
        <v>537</v>
      </c>
      <c r="G590" s="2" t="s">
        <v>420</v>
      </c>
      <c r="H590" s="2" t="s">
        <v>421</v>
      </c>
      <c r="I590" s="26">
        <v>45552</v>
      </c>
      <c r="J590" s="2">
        <v>20</v>
      </c>
      <c r="K590" s="2" t="s">
        <v>123</v>
      </c>
      <c r="L590" s="22">
        <v>2650</v>
      </c>
      <c r="M590" s="22">
        <v>53000</v>
      </c>
      <c r="N590" s="18">
        <v>56.68</v>
      </c>
      <c r="O590" s="26">
        <v>45597</v>
      </c>
      <c r="P590" s="2" t="s">
        <v>805</v>
      </c>
      <c r="Q590" s="2" t="s">
        <v>814</v>
      </c>
    </row>
    <row r="591" spans="2:17" x14ac:dyDescent="0.25">
      <c r="B591" s="2" t="s">
        <v>1395</v>
      </c>
      <c r="C591" s="2" t="s">
        <v>142</v>
      </c>
      <c r="D591" s="2" t="s">
        <v>143</v>
      </c>
      <c r="E591" s="2" t="s">
        <v>122</v>
      </c>
      <c r="F591" s="2" t="s">
        <v>535</v>
      </c>
      <c r="G591" s="2" t="s">
        <v>416</v>
      </c>
      <c r="H591" s="2" t="s">
        <v>94</v>
      </c>
      <c r="I591" s="26">
        <v>45564</v>
      </c>
      <c r="J591" s="2">
        <v>20</v>
      </c>
      <c r="K591" s="2" t="s">
        <v>123</v>
      </c>
      <c r="L591" s="22">
        <v>2450</v>
      </c>
      <c r="M591" s="22">
        <v>49000</v>
      </c>
      <c r="N591" s="18">
        <v>52.41</v>
      </c>
      <c r="O591" s="26">
        <v>45609</v>
      </c>
      <c r="P591" s="2" t="s">
        <v>805</v>
      </c>
      <c r="Q591" s="2" t="s">
        <v>814</v>
      </c>
    </row>
    <row r="592" spans="2:17" x14ac:dyDescent="0.25">
      <c r="B592" s="2" t="s">
        <v>1396</v>
      </c>
      <c r="C592" s="2" t="s">
        <v>142</v>
      </c>
      <c r="D592" s="2" t="s">
        <v>143</v>
      </c>
      <c r="E592" s="2" t="s">
        <v>122</v>
      </c>
      <c r="F592" s="2" t="s">
        <v>535</v>
      </c>
      <c r="G592" s="2" t="s">
        <v>416</v>
      </c>
      <c r="H592" s="2" t="s">
        <v>94</v>
      </c>
      <c r="I592" s="26">
        <v>45575</v>
      </c>
      <c r="J592" s="2">
        <v>36</v>
      </c>
      <c r="K592" s="2" t="s">
        <v>123</v>
      </c>
      <c r="L592" s="22">
        <v>2450</v>
      </c>
      <c r="M592" s="22">
        <v>88200</v>
      </c>
      <c r="N592" s="18">
        <v>94.33</v>
      </c>
      <c r="O592" s="26">
        <v>45620</v>
      </c>
      <c r="P592" s="2" t="s">
        <v>805</v>
      </c>
      <c r="Q592" s="2" t="s">
        <v>814</v>
      </c>
    </row>
    <row r="593" spans="2:17" x14ac:dyDescent="0.25">
      <c r="B593" s="2" t="s">
        <v>1397</v>
      </c>
      <c r="C593" s="2" t="s">
        <v>142</v>
      </c>
      <c r="D593" s="2" t="s">
        <v>143</v>
      </c>
      <c r="E593" s="2" t="s">
        <v>122</v>
      </c>
      <c r="F593" s="2" t="s">
        <v>535</v>
      </c>
      <c r="G593" s="2" t="s">
        <v>416</v>
      </c>
      <c r="H593" s="2" t="s">
        <v>94</v>
      </c>
      <c r="I593" s="26">
        <v>45584</v>
      </c>
      <c r="J593" s="2">
        <v>46</v>
      </c>
      <c r="K593" s="2" t="s">
        <v>123</v>
      </c>
      <c r="L593" s="22">
        <v>2450</v>
      </c>
      <c r="M593" s="22">
        <v>112700</v>
      </c>
      <c r="N593" s="18">
        <v>120.53</v>
      </c>
      <c r="O593" s="26">
        <v>45629</v>
      </c>
      <c r="P593" s="2" t="s">
        <v>805</v>
      </c>
      <c r="Q593" s="2" t="s">
        <v>814</v>
      </c>
    </row>
    <row r="594" spans="2:17" x14ac:dyDescent="0.25">
      <c r="B594" s="2" t="s">
        <v>1398</v>
      </c>
      <c r="C594" s="2" t="s">
        <v>142</v>
      </c>
      <c r="D594" s="2" t="s">
        <v>143</v>
      </c>
      <c r="E594" s="2" t="s">
        <v>122</v>
      </c>
      <c r="F594" s="2" t="s">
        <v>535</v>
      </c>
      <c r="G594" s="2" t="s">
        <v>416</v>
      </c>
      <c r="H594" s="2" t="s">
        <v>94</v>
      </c>
      <c r="I594" s="26">
        <v>45592</v>
      </c>
      <c r="J594" s="2">
        <v>35</v>
      </c>
      <c r="K594" s="2" t="s">
        <v>123</v>
      </c>
      <c r="L594" s="22">
        <v>2450</v>
      </c>
      <c r="M594" s="22">
        <v>85750</v>
      </c>
      <c r="N594" s="18">
        <v>91.71</v>
      </c>
      <c r="O594" s="26">
        <v>45637</v>
      </c>
      <c r="P594" s="2" t="s">
        <v>805</v>
      </c>
      <c r="Q594" s="2" t="s">
        <v>814</v>
      </c>
    </row>
    <row r="595" spans="2:17" x14ac:dyDescent="0.25">
      <c r="B595" s="2" t="s">
        <v>1399</v>
      </c>
      <c r="C595" s="2" t="s">
        <v>142</v>
      </c>
      <c r="D595" s="2" t="s">
        <v>143</v>
      </c>
      <c r="E595" s="2" t="s">
        <v>122</v>
      </c>
      <c r="F595" s="2" t="s">
        <v>535</v>
      </c>
      <c r="G595" s="2" t="s">
        <v>416</v>
      </c>
      <c r="H595" s="2" t="s">
        <v>94</v>
      </c>
      <c r="I595" s="26">
        <v>45601</v>
      </c>
      <c r="J595" s="2">
        <v>43</v>
      </c>
      <c r="K595" s="2" t="s">
        <v>123</v>
      </c>
      <c r="L595" s="22">
        <v>2450</v>
      </c>
      <c r="M595" s="22">
        <v>105350</v>
      </c>
      <c r="N595" s="18">
        <v>112.67</v>
      </c>
      <c r="O595" s="26">
        <v>45646</v>
      </c>
      <c r="P595" s="2" t="s">
        <v>805</v>
      </c>
      <c r="Q595" s="2" t="s">
        <v>814</v>
      </c>
    </row>
    <row r="596" spans="2:17" x14ac:dyDescent="0.25">
      <c r="B596" s="2" t="s">
        <v>1400</v>
      </c>
      <c r="C596" s="2" t="s">
        <v>142</v>
      </c>
      <c r="D596" s="2" t="s">
        <v>143</v>
      </c>
      <c r="E596" s="2" t="s">
        <v>122</v>
      </c>
      <c r="F596" s="2" t="s">
        <v>535</v>
      </c>
      <c r="G596" s="2" t="s">
        <v>416</v>
      </c>
      <c r="H596" s="2" t="s">
        <v>94</v>
      </c>
      <c r="I596" s="26">
        <v>45613</v>
      </c>
      <c r="J596" s="2">
        <v>40</v>
      </c>
      <c r="K596" s="2" t="s">
        <v>123</v>
      </c>
      <c r="L596" s="22">
        <v>2450</v>
      </c>
      <c r="M596" s="22">
        <v>98000</v>
      </c>
      <c r="N596" s="18">
        <v>104.81</v>
      </c>
      <c r="O596" s="26">
        <v>45658</v>
      </c>
      <c r="P596" s="2" t="s">
        <v>805</v>
      </c>
      <c r="Q596" s="2" t="s">
        <v>814</v>
      </c>
    </row>
    <row r="597" spans="2:17" x14ac:dyDescent="0.25">
      <c r="B597" s="2" t="s">
        <v>1401</v>
      </c>
      <c r="C597" s="2" t="s">
        <v>142</v>
      </c>
      <c r="D597" s="2" t="s">
        <v>143</v>
      </c>
      <c r="E597" s="2" t="s">
        <v>122</v>
      </c>
      <c r="F597" s="2" t="s">
        <v>535</v>
      </c>
      <c r="G597" s="2" t="s">
        <v>416</v>
      </c>
      <c r="H597" s="2" t="s">
        <v>94</v>
      </c>
      <c r="I597" s="26">
        <v>45622</v>
      </c>
      <c r="J597" s="2">
        <v>45</v>
      </c>
      <c r="K597" s="2" t="s">
        <v>123</v>
      </c>
      <c r="L597" s="22">
        <v>2450</v>
      </c>
      <c r="M597" s="22">
        <v>110250</v>
      </c>
      <c r="N597" s="18">
        <v>117.91</v>
      </c>
      <c r="O597" s="26">
        <v>45667</v>
      </c>
      <c r="P597" s="2" t="s">
        <v>805</v>
      </c>
      <c r="Q597" s="2" t="s">
        <v>814</v>
      </c>
    </row>
    <row r="598" spans="2:17" x14ac:dyDescent="0.25">
      <c r="B598" s="2" t="s">
        <v>1402</v>
      </c>
      <c r="C598" s="2" t="s">
        <v>142</v>
      </c>
      <c r="D598" s="2" t="s">
        <v>143</v>
      </c>
      <c r="E598" s="2" t="s">
        <v>122</v>
      </c>
      <c r="F598" s="2" t="s">
        <v>535</v>
      </c>
      <c r="G598" s="2" t="s">
        <v>416</v>
      </c>
      <c r="H598" s="2" t="s">
        <v>94</v>
      </c>
      <c r="I598" s="26">
        <v>45629</v>
      </c>
      <c r="J598" s="2">
        <v>57</v>
      </c>
      <c r="K598" s="2" t="s">
        <v>123</v>
      </c>
      <c r="L598" s="22">
        <v>2450</v>
      </c>
      <c r="M598" s="22">
        <v>139650</v>
      </c>
      <c r="N598" s="18">
        <v>149.36000000000001</v>
      </c>
      <c r="O598" s="26">
        <v>45674</v>
      </c>
      <c r="P598" s="2" t="s">
        <v>805</v>
      </c>
      <c r="Q598" s="2" t="s">
        <v>825</v>
      </c>
    </row>
    <row r="599" spans="2:17" x14ac:dyDescent="0.25">
      <c r="B599" s="2" t="s">
        <v>1403</v>
      </c>
      <c r="C599" s="2" t="s">
        <v>142</v>
      </c>
      <c r="D599" s="2" t="s">
        <v>143</v>
      </c>
      <c r="E599" s="2" t="s">
        <v>122</v>
      </c>
      <c r="F599" s="2" t="s">
        <v>535</v>
      </c>
      <c r="G599" s="2" t="s">
        <v>416</v>
      </c>
      <c r="H599" s="2" t="s">
        <v>94</v>
      </c>
      <c r="I599" s="26">
        <v>45639</v>
      </c>
      <c r="J599" s="2">
        <v>53</v>
      </c>
      <c r="K599" s="2" t="s">
        <v>123</v>
      </c>
      <c r="L599" s="22">
        <v>2450</v>
      </c>
      <c r="M599" s="22">
        <v>129850</v>
      </c>
      <c r="N599" s="18">
        <v>138.88</v>
      </c>
      <c r="O599" s="26">
        <v>45684</v>
      </c>
      <c r="P599" s="2" t="s">
        <v>805</v>
      </c>
      <c r="Q599" s="2" t="s">
        <v>825</v>
      </c>
    </row>
    <row r="600" spans="2:17" x14ac:dyDescent="0.25">
      <c r="B600" s="2" t="s">
        <v>1404</v>
      </c>
      <c r="C600" s="2" t="s">
        <v>142</v>
      </c>
      <c r="D600" s="2" t="s">
        <v>143</v>
      </c>
      <c r="E600" s="2" t="s">
        <v>122</v>
      </c>
      <c r="F600" s="2" t="s">
        <v>535</v>
      </c>
      <c r="G600" s="2" t="s">
        <v>416</v>
      </c>
      <c r="H600" s="2" t="s">
        <v>94</v>
      </c>
      <c r="I600" s="26">
        <v>45650</v>
      </c>
      <c r="J600" s="2">
        <v>54</v>
      </c>
      <c r="K600" s="2" t="s">
        <v>123</v>
      </c>
      <c r="L600" s="22">
        <v>2450</v>
      </c>
      <c r="M600" s="22">
        <v>132300</v>
      </c>
      <c r="N600" s="18">
        <v>141.5</v>
      </c>
      <c r="O600" s="26">
        <v>45695</v>
      </c>
      <c r="P600" s="2" t="s">
        <v>805</v>
      </c>
      <c r="Q600" s="2" t="s">
        <v>825</v>
      </c>
    </row>
    <row r="601" spans="2:17" x14ac:dyDescent="0.25">
      <c r="B601" s="2" t="s">
        <v>1405</v>
      </c>
      <c r="C601" s="2" t="s">
        <v>142</v>
      </c>
      <c r="D601" s="2" t="s">
        <v>143</v>
      </c>
      <c r="E601" s="2" t="s">
        <v>122</v>
      </c>
      <c r="F601" s="2" t="s">
        <v>537</v>
      </c>
      <c r="G601" s="2" t="s">
        <v>420</v>
      </c>
      <c r="H601" s="2" t="s">
        <v>421</v>
      </c>
      <c r="I601" s="26">
        <v>45659</v>
      </c>
      <c r="J601" s="2">
        <v>45</v>
      </c>
      <c r="K601" s="2" t="s">
        <v>123</v>
      </c>
      <c r="L601" s="22">
        <v>2650</v>
      </c>
      <c r="M601" s="22">
        <v>119250</v>
      </c>
      <c r="N601" s="18">
        <v>127.54</v>
      </c>
      <c r="O601" s="26">
        <v>45704</v>
      </c>
      <c r="P601" s="2" t="s">
        <v>805</v>
      </c>
      <c r="Q601" s="2" t="s">
        <v>825</v>
      </c>
    </row>
    <row r="602" spans="2:17" x14ac:dyDescent="0.25">
      <c r="B602" s="2" t="s">
        <v>1406</v>
      </c>
      <c r="C602" s="2" t="s">
        <v>142</v>
      </c>
      <c r="D602" s="2" t="s">
        <v>143</v>
      </c>
      <c r="E602" s="2" t="s">
        <v>122</v>
      </c>
      <c r="F602" s="2" t="s">
        <v>535</v>
      </c>
      <c r="G602" s="2" t="s">
        <v>416</v>
      </c>
      <c r="H602" s="2" t="s">
        <v>94</v>
      </c>
      <c r="I602" s="26">
        <v>45669</v>
      </c>
      <c r="J602" s="2">
        <v>49</v>
      </c>
      <c r="K602" s="2" t="s">
        <v>123</v>
      </c>
      <c r="L602" s="22">
        <v>2450</v>
      </c>
      <c r="M602" s="22">
        <v>120050</v>
      </c>
      <c r="N602" s="18">
        <v>128.4</v>
      </c>
      <c r="O602" s="26">
        <v>45714</v>
      </c>
      <c r="P602" s="2" t="s">
        <v>805</v>
      </c>
      <c r="Q602" s="2" t="s">
        <v>825</v>
      </c>
    </row>
    <row r="603" spans="2:17" x14ac:dyDescent="0.25">
      <c r="B603" s="2" t="s">
        <v>1407</v>
      </c>
      <c r="C603" s="2" t="s">
        <v>142</v>
      </c>
      <c r="D603" s="2" t="s">
        <v>143</v>
      </c>
      <c r="E603" s="2" t="s">
        <v>122</v>
      </c>
      <c r="F603" s="2" t="s">
        <v>535</v>
      </c>
      <c r="G603" s="2" t="s">
        <v>416</v>
      </c>
      <c r="H603" s="2" t="s">
        <v>94</v>
      </c>
      <c r="I603" s="26">
        <v>45680</v>
      </c>
      <c r="J603" s="2">
        <v>40</v>
      </c>
      <c r="K603" s="2" t="s">
        <v>123</v>
      </c>
      <c r="L603" s="22">
        <v>2450</v>
      </c>
      <c r="M603" s="22">
        <v>98000</v>
      </c>
      <c r="N603" s="18">
        <v>104.81</v>
      </c>
      <c r="O603" s="26">
        <v>45725</v>
      </c>
      <c r="P603" s="2" t="s">
        <v>805</v>
      </c>
      <c r="Q603" s="2" t="s">
        <v>825</v>
      </c>
    </row>
    <row r="604" spans="2:17" x14ac:dyDescent="0.25">
      <c r="B604" s="2" t="s">
        <v>1408</v>
      </c>
      <c r="C604" s="2" t="s">
        <v>142</v>
      </c>
      <c r="D604" s="2" t="s">
        <v>143</v>
      </c>
      <c r="E604" s="2" t="s">
        <v>122</v>
      </c>
      <c r="F604" s="2" t="s">
        <v>535</v>
      </c>
      <c r="G604" s="2" t="s">
        <v>416</v>
      </c>
      <c r="H604" s="2" t="s">
        <v>94</v>
      </c>
      <c r="I604" s="26">
        <v>45689</v>
      </c>
      <c r="J604" s="2">
        <v>38</v>
      </c>
      <c r="K604" s="2" t="s">
        <v>123</v>
      </c>
      <c r="L604" s="22">
        <v>2450</v>
      </c>
      <c r="M604" s="22">
        <v>93100</v>
      </c>
      <c r="N604" s="18">
        <v>99.57</v>
      </c>
      <c r="O604" s="26">
        <v>45734</v>
      </c>
      <c r="P604" s="2" t="s">
        <v>805</v>
      </c>
      <c r="Q604" s="2" t="s">
        <v>825</v>
      </c>
    </row>
    <row r="605" spans="2:17" x14ac:dyDescent="0.25">
      <c r="B605" s="2" t="s">
        <v>1409</v>
      </c>
      <c r="C605" s="2" t="s">
        <v>142</v>
      </c>
      <c r="D605" s="2" t="s">
        <v>143</v>
      </c>
      <c r="E605" s="2" t="s">
        <v>122</v>
      </c>
      <c r="F605" s="2" t="s">
        <v>535</v>
      </c>
      <c r="G605" s="2" t="s">
        <v>416</v>
      </c>
      <c r="H605" s="2" t="s">
        <v>94</v>
      </c>
      <c r="I605" s="26">
        <v>45699</v>
      </c>
      <c r="J605" s="2">
        <v>46</v>
      </c>
      <c r="K605" s="2" t="s">
        <v>123</v>
      </c>
      <c r="L605" s="22">
        <v>2450</v>
      </c>
      <c r="M605" s="22">
        <v>112700</v>
      </c>
      <c r="N605" s="18">
        <v>120.53</v>
      </c>
      <c r="O605" s="26">
        <v>45744</v>
      </c>
      <c r="P605" s="2" t="s">
        <v>805</v>
      </c>
      <c r="Q605" s="2" t="s">
        <v>825</v>
      </c>
    </row>
    <row r="606" spans="2:17" x14ac:dyDescent="0.25">
      <c r="B606" s="2" t="s">
        <v>1410</v>
      </c>
      <c r="C606" s="2" t="s">
        <v>142</v>
      </c>
      <c r="D606" s="2" t="s">
        <v>143</v>
      </c>
      <c r="E606" s="2" t="s">
        <v>122</v>
      </c>
      <c r="F606" s="2" t="s">
        <v>535</v>
      </c>
      <c r="G606" s="2" t="s">
        <v>416</v>
      </c>
      <c r="H606" s="2" t="s">
        <v>94</v>
      </c>
      <c r="I606" s="26">
        <v>45705</v>
      </c>
      <c r="J606" s="2">
        <v>39</v>
      </c>
      <c r="K606" s="2" t="s">
        <v>123</v>
      </c>
      <c r="L606" s="22">
        <v>2450</v>
      </c>
      <c r="M606" s="22">
        <v>95550</v>
      </c>
      <c r="N606" s="18">
        <v>102.19</v>
      </c>
      <c r="O606" s="26">
        <v>45750</v>
      </c>
      <c r="P606" s="2" t="s">
        <v>805</v>
      </c>
      <c r="Q606" s="2" t="s">
        <v>825</v>
      </c>
    </row>
    <row r="607" spans="2:17" x14ac:dyDescent="0.25">
      <c r="B607" s="2" t="s">
        <v>1411</v>
      </c>
      <c r="C607" s="2" t="s">
        <v>142</v>
      </c>
      <c r="D607" s="2" t="s">
        <v>143</v>
      </c>
      <c r="E607" s="2" t="s">
        <v>122</v>
      </c>
      <c r="F607" s="2" t="s">
        <v>537</v>
      </c>
      <c r="G607" s="2" t="s">
        <v>420</v>
      </c>
      <c r="H607" s="2" t="s">
        <v>421</v>
      </c>
      <c r="I607" s="26">
        <v>45712</v>
      </c>
      <c r="J607" s="2">
        <v>45</v>
      </c>
      <c r="K607" s="2" t="s">
        <v>123</v>
      </c>
      <c r="L607" s="22">
        <v>2650</v>
      </c>
      <c r="M607" s="22">
        <v>119250</v>
      </c>
      <c r="N607" s="18">
        <v>127.54</v>
      </c>
      <c r="O607" s="26">
        <v>45757</v>
      </c>
      <c r="P607" s="2" t="s">
        <v>805</v>
      </c>
      <c r="Q607" s="2" t="s">
        <v>825</v>
      </c>
    </row>
    <row r="608" spans="2:17" x14ac:dyDescent="0.25">
      <c r="B608" s="2" t="s">
        <v>1412</v>
      </c>
      <c r="C608" s="2" t="s">
        <v>142</v>
      </c>
      <c r="D608" s="2" t="s">
        <v>143</v>
      </c>
      <c r="E608" s="2" t="s">
        <v>122</v>
      </c>
      <c r="F608" s="2" t="s">
        <v>535</v>
      </c>
      <c r="G608" s="2" t="s">
        <v>416</v>
      </c>
      <c r="H608" s="2" t="s">
        <v>94</v>
      </c>
      <c r="I608" s="26">
        <v>45720</v>
      </c>
      <c r="J608" s="2">
        <v>48</v>
      </c>
      <c r="K608" s="2" t="s">
        <v>123</v>
      </c>
      <c r="L608" s="22">
        <v>2450</v>
      </c>
      <c r="M608" s="22">
        <v>117600</v>
      </c>
      <c r="N608" s="18">
        <v>125.78</v>
      </c>
      <c r="O608" s="26">
        <v>45765</v>
      </c>
      <c r="P608" s="2" t="s">
        <v>805</v>
      </c>
      <c r="Q608" s="2" t="s">
        <v>836</v>
      </c>
    </row>
    <row r="609" spans="2:17" x14ac:dyDescent="0.25">
      <c r="B609" s="2" t="s">
        <v>1413</v>
      </c>
      <c r="C609" s="2" t="s">
        <v>142</v>
      </c>
      <c r="D609" s="2" t="s">
        <v>143</v>
      </c>
      <c r="E609" s="2" t="s">
        <v>122</v>
      </c>
      <c r="F609" s="2" t="s">
        <v>535</v>
      </c>
      <c r="G609" s="2" t="s">
        <v>416</v>
      </c>
      <c r="H609" s="2" t="s">
        <v>94</v>
      </c>
      <c r="I609" s="26">
        <v>45728</v>
      </c>
      <c r="J609" s="2">
        <v>50</v>
      </c>
      <c r="K609" s="2" t="s">
        <v>123</v>
      </c>
      <c r="L609" s="22">
        <v>2450</v>
      </c>
      <c r="M609" s="22">
        <v>122500</v>
      </c>
      <c r="N609" s="18">
        <v>131.02000000000001</v>
      </c>
      <c r="O609" s="26">
        <v>45773</v>
      </c>
      <c r="P609" s="2" t="s">
        <v>805</v>
      </c>
      <c r="Q609" s="2" t="s">
        <v>836</v>
      </c>
    </row>
    <row r="610" spans="2:17" x14ac:dyDescent="0.25">
      <c r="B610" s="2" t="s">
        <v>1414</v>
      </c>
      <c r="C610" s="2" t="s">
        <v>142</v>
      </c>
      <c r="D610" s="2" t="s">
        <v>143</v>
      </c>
      <c r="E610" s="2" t="s">
        <v>122</v>
      </c>
      <c r="F610" s="2" t="s">
        <v>535</v>
      </c>
      <c r="G610" s="2" t="s">
        <v>416</v>
      </c>
      <c r="H610" s="2" t="s">
        <v>94</v>
      </c>
      <c r="I610" s="26">
        <v>45736</v>
      </c>
      <c r="J610" s="2">
        <v>45</v>
      </c>
      <c r="K610" s="2" t="s">
        <v>123</v>
      </c>
      <c r="L610" s="22">
        <v>2450</v>
      </c>
      <c r="M610" s="22">
        <v>110250</v>
      </c>
      <c r="N610" s="18">
        <v>117.91</v>
      </c>
      <c r="O610" s="26">
        <v>45781</v>
      </c>
      <c r="P610" s="2" t="s">
        <v>805</v>
      </c>
      <c r="Q610" s="2" t="s">
        <v>836</v>
      </c>
    </row>
    <row r="611" spans="2:17" x14ac:dyDescent="0.25">
      <c r="B611" s="2" t="s">
        <v>1415</v>
      </c>
      <c r="C611" s="2" t="s">
        <v>142</v>
      </c>
      <c r="D611" s="2" t="s">
        <v>143</v>
      </c>
      <c r="E611" s="2" t="s">
        <v>122</v>
      </c>
      <c r="F611" s="2" t="s">
        <v>535</v>
      </c>
      <c r="G611" s="2" t="s">
        <v>416</v>
      </c>
      <c r="H611" s="2" t="s">
        <v>94</v>
      </c>
      <c r="I611" s="26">
        <v>45747</v>
      </c>
      <c r="J611" s="2">
        <v>42</v>
      </c>
      <c r="K611" s="2" t="s">
        <v>123</v>
      </c>
      <c r="L611" s="22">
        <v>2450</v>
      </c>
      <c r="M611" s="22">
        <v>102900</v>
      </c>
      <c r="N611" s="18">
        <v>110.05</v>
      </c>
      <c r="O611" s="26">
        <v>45792</v>
      </c>
      <c r="P611" s="2" t="s">
        <v>805</v>
      </c>
      <c r="Q611" s="2" t="s">
        <v>836</v>
      </c>
    </row>
    <row r="612" spans="2:17" x14ac:dyDescent="0.25">
      <c r="B612" s="2" t="s">
        <v>1416</v>
      </c>
      <c r="C612" s="2" t="s">
        <v>142</v>
      </c>
      <c r="D612" s="2" t="s">
        <v>143</v>
      </c>
      <c r="E612" s="2" t="s">
        <v>122</v>
      </c>
      <c r="F612" s="2" t="s">
        <v>535</v>
      </c>
      <c r="G612" s="2" t="s">
        <v>416</v>
      </c>
      <c r="H612" s="2" t="s">
        <v>94</v>
      </c>
      <c r="I612" s="26">
        <v>45756</v>
      </c>
      <c r="J612" s="2">
        <v>14</v>
      </c>
      <c r="K612" s="2" t="s">
        <v>123</v>
      </c>
      <c r="L612" s="22">
        <v>2450</v>
      </c>
      <c r="M612" s="22">
        <v>34300</v>
      </c>
      <c r="N612" s="18">
        <v>36.68</v>
      </c>
      <c r="O612" s="26">
        <v>45801</v>
      </c>
      <c r="P612" s="2" t="s">
        <v>805</v>
      </c>
      <c r="Q612" s="2" t="s">
        <v>836</v>
      </c>
    </row>
    <row r="613" spans="2:17" x14ac:dyDescent="0.25">
      <c r="B613" s="2" t="s">
        <v>1417</v>
      </c>
      <c r="C613" s="2" t="s">
        <v>142</v>
      </c>
      <c r="D613" s="2" t="s">
        <v>143</v>
      </c>
      <c r="E613" s="2" t="s">
        <v>122</v>
      </c>
      <c r="F613" s="2" t="s">
        <v>535</v>
      </c>
      <c r="G613" s="2" t="s">
        <v>416</v>
      </c>
      <c r="H613" s="2" t="s">
        <v>94</v>
      </c>
      <c r="I613" s="26">
        <v>45765</v>
      </c>
      <c r="J613" s="2">
        <v>14</v>
      </c>
      <c r="K613" s="2" t="s">
        <v>123</v>
      </c>
      <c r="L613" s="22">
        <v>2450</v>
      </c>
      <c r="M613" s="22">
        <v>34300</v>
      </c>
      <c r="N613" s="18">
        <v>36.68</v>
      </c>
      <c r="O613" s="26">
        <v>45810</v>
      </c>
      <c r="P613" s="2" t="s">
        <v>805</v>
      </c>
      <c r="Q613" s="2" t="s">
        <v>836</v>
      </c>
    </row>
    <row r="614" spans="2:17" x14ac:dyDescent="0.25">
      <c r="B614" s="2" t="s">
        <v>1418</v>
      </c>
      <c r="C614" s="2" t="s">
        <v>142</v>
      </c>
      <c r="D614" s="2" t="s">
        <v>143</v>
      </c>
      <c r="E614" s="2" t="s">
        <v>122</v>
      </c>
      <c r="F614" s="2" t="s">
        <v>535</v>
      </c>
      <c r="G614" s="2" t="s">
        <v>416</v>
      </c>
      <c r="H614" s="2" t="s">
        <v>94</v>
      </c>
      <c r="I614" s="26">
        <v>45774</v>
      </c>
      <c r="J614" s="2">
        <v>16</v>
      </c>
      <c r="K614" s="2" t="s">
        <v>123</v>
      </c>
      <c r="L614" s="22">
        <v>2450</v>
      </c>
      <c r="M614" s="22">
        <v>39200</v>
      </c>
      <c r="N614" s="18">
        <v>41.93</v>
      </c>
      <c r="O614" s="26">
        <v>45819</v>
      </c>
      <c r="P614" s="2" t="s">
        <v>805</v>
      </c>
      <c r="Q614" s="2" t="s">
        <v>836</v>
      </c>
    </row>
    <row r="615" spans="2:17" x14ac:dyDescent="0.25">
      <c r="B615" s="2" t="s">
        <v>1419</v>
      </c>
      <c r="C615" s="2" t="s">
        <v>142</v>
      </c>
      <c r="D615" s="2" t="s">
        <v>143</v>
      </c>
      <c r="E615" s="2" t="s">
        <v>122</v>
      </c>
      <c r="F615" s="2" t="s">
        <v>535</v>
      </c>
      <c r="G615" s="2" t="s">
        <v>416</v>
      </c>
      <c r="H615" s="2" t="s">
        <v>94</v>
      </c>
      <c r="I615" s="26">
        <v>45785</v>
      </c>
      <c r="J615" s="2">
        <v>17</v>
      </c>
      <c r="K615" s="2" t="s">
        <v>123</v>
      </c>
      <c r="L615" s="22">
        <v>2450</v>
      </c>
      <c r="M615" s="22">
        <v>41650</v>
      </c>
      <c r="N615" s="18">
        <v>44.55</v>
      </c>
      <c r="O615" s="26">
        <v>45830</v>
      </c>
      <c r="P615" s="2" t="s">
        <v>805</v>
      </c>
      <c r="Q615" s="2" t="s">
        <v>836</v>
      </c>
    </row>
    <row r="616" spans="2:17" x14ac:dyDescent="0.25">
      <c r="B616" s="2" t="s">
        <v>1420</v>
      </c>
      <c r="C616" s="2" t="s">
        <v>142</v>
      </c>
      <c r="D616" s="2" t="s">
        <v>143</v>
      </c>
      <c r="E616" s="2" t="s">
        <v>122</v>
      </c>
      <c r="F616" s="2" t="s">
        <v>535</v>
      </c>
      <c r="G616" s="2" t="s">
        <v>416</v>
      </c>
      <c r="H616" s="2" t="s">
        <v>94</v>
      </c>
      <c r="I616" s="26">
        <v>45795</v>
      </c>
      <c r="J616" s="2">
        <v>18</v>
      </c>
      <c r="K616" s="2" t="s">
        <v>123</v>
      </c>
      <c r="L616" s="22">
        <v>2450</v>
      </c>
      <c r="M616" s="22">
        <v>44100</v>
      </c>
      <c r="N616" s="18">
        <v>47.17</v>
      </c>
      <c r="O616" s="26">
        <v>45840</v>
      </c>
      <c r="P616" s="2" t="s">
        <v>805</v>
      </c>
      <c r="Q616" s="2" t="s">
        <v>836</v>
      </c>
    </row>
    <row r="617" spans="2:17" x14ac:dyDescent="0.25">
      <c r="B617" s="2" t="s">
        <v>1421</v>
      </c>
      <c r="C617" s="2" t="s">
        <v>142</v>
      </c>
      <c r="D617" s="2" t="s">
        <v>143</v>
      </c>
      <c r="E617" s="2" t="s">
        <v>122</v>
      </c>
      <c r="F617" s="2" t="s">
        <v>535</v>
      </c>
      <c r="G617" s="2" t="s">
        <v>416</v>
      </c>
      <c r="H617" s="2" t="s">
        <v>94</v>
      </c>
      <c r="I617" s="26">
        <v>45805</v>
      </c>
      <c r="J617" s="2">
        <v>15</v>
      </c>
      <c r="K617" s="2" t="s">
        <v>123</v>
      </c>
      <c r="L617" s="22">
        <v>2450</v>
      </c>
      <c r="M617" s="22">
        <v>36750</v>
      </c>
      <c r="N617" s="18">
        <v>39.299999999999997</v>
      </c>
      <c r="O617" s="26">
        <v>45850</v>
      </c>
      <c r="P617" s="2" t="s">
        <v>805</v>
      </c>
      <c r="Q617" s="2" t="s">
        <v>836</v>
      </c>
    </row>
    <row r="618" spans="2:17" x14ac:dyDescent="0.25">
      <c r="B618" s="2" t="s">
        <v>1422</v>
      </c>
      <c r="C618" s="2" t="s">
        <v>142</v>
      </c>
      <c r="D618" s="2" t="s">
        <v>143</v>
      </c>
      <c r="E618" s="2" t="s">
        <v>122</v>
      </c>
      <c r="F618" s="2" t="s">
        <v>535</v>
      </c>
      <c r="G618" s="2" t="s">
        <v>416</v>
      </c>
      <c r="H618" s="2" t="s">
        <v>94</v>
      </c>
      <c r="I618" s="26">
        <v>45816</v>
      </c>
      <c r="J618" s="2">
        <v>18</v>
      </c>
      <c r="K618" s="2" t="s">
        <v>123</v>
      </c>
      <c r="L618" s="22">
        <v>2450</v>
      </c>
      <c r="M618" s="22">
        <v>44100</v>
      </c>
      <c r="N618" s="18">
        <v>47.17</v>
      </c>
      <c r="O618" s="26">
        <v>45861</v>
      </c>
      <c r="P618" s="2" t="s">
        <v>805</v>
      </c>
      <c r="Q618" s="2" t="s">
        <v>806</v>
      </c>
    </row>
    <row r="619" spans="2:17" x14ac:dyDescent="0.25">
      <c r="B619" s="2" t="s">
        <v>1423</v>
      </c>
      <c r="C619" s="2" t="s">
        <v>142</v>
      </c>
      <c r="D619" s="2" t="s">
        <v>143</v>
      </c>
      <c r="E619" s="2" t="s">
        <v>122</v>
      </c>
      <c r="F619" s="2" t="s">
        <v>535</v>
      </c>
      <c r="G619" s="2" t="s">
        <v>416</v>
      </c>
      <c r="H619" s="2" t="s">
        <v>94</v>
      </c>
      <c r="I619" s="26">
        <v>45827</v>
      </c>
      <c r="J619" s="2">
        <v>14</v>
      </c>
      <c r="K619" s="2" t="s">
        <v>123</v>
      </c>
      <c r="L619" s="22">
        <v>2450</v>
      </c>
      <c r="M619" s="22">
        <v>34300</v>
      </c>
      <c r="N619" s="18">
        <v>36.68</v>
      </c>
      <c r="O619" s="26">
        <v>45872</v>
      </c>
      <c r="P619" s="2" t="s">
        <v>805</v>
      </c>
      <c r="Q619" s="2" t="s">
        <v>806</v>
      </c>
    </row>
    <row r="620" spans="2:17" x14ac:dyDescent="0.25">
      <c r="B620" s="2" t="s">
        <v>1424</v>
      </c>
      <c r="C620" s="2" t="s">
        <v>144</v>
      </c>
      <c r="D620" s="2" t="s">
        <v>145</v>
      </c>
      <c r="E620" s="2" t="s">
        <v>122</v>
      </c>
      <c r="F620" s="2" t="s">
        <v>535</v>
      </c>
      <c r="G620" s="2" t="s">
        <v>416</v>
      </c>
      <c r="H620" s="2" t="s">
        <v>94</v>
      </c>
      <c r="I620" s="26">
        <v>45110</v>
      </c>
      <c r="J620" s="2">
        <v>14</v>
      </c>
      <c r="K620" s="2" t="s">
        <v>123</v>
      </c>
      <c r="L620" s="22">
        <v>2150</v>
      </c>
      <c r="M620" s="22">
        <v>30100</v>
      </c>
      <c r="N620" s="18">
        <v>32.19</v>
      </c>
      <c r="O620" s="26">
        <v>45155</v>
      </c>
      <c r="P620" s="2" t="s">
        <v>805</v>
      </c>
      <c r="Q620" s="2" t="s">
        <v>806</v>
      </c>
    </row>
    <row r="621" spans="2:17" x14ac:dyDescent="0.25">
      <c r="B621" s="2" t="s">
        <v>1425</v>
      </c>
      <c r="C621" s="2" t="s">
        <v>144</v>
      </c>
      <c r="D621" s="2" t="s">
        <v>145</v>
      </c>
      <c r="E621" s="2" t="s">
        <v>122</v>
      </c>
      <c r="F621" s="2" t="s">
        <v>535</v>
      </c>
      <c r="G621" s="2" t="s">
        <v>416</v>
      </c>
      <c r="H621" s="2" t="s">
        <v>94</v>
      </c>
      <c r="I621" s="26">
        <v>45121</v>
      </c>
      <c r="J621" s="2">
        <v>17</v>
      </c>
      <c r="K621" s="2" t="s">
        <v>123</v>
      </c>
      <c r="L621" s="22">
        <v>2150</v>
      </c>
      <c r="M621" s="22">
        <v>36550</v>
      </c>
      <c r="N621" s="18">
        <v>39.090000000000003</v>
      </c>
      <c r="O621" s="26">
        <v>45166</v>
      </c>
      <c r="P621" s="2" t="s">
        <v>805</v>
      </c>
      <c r="Q621" s="2" t="s">
        <v>806</v>
      </c>
    </row>
    <row r="622" spans="2:17" x14ac:dyDescent="0.25">
      <c r="B622" s="2" t="s">
        <v>1426</v>
      </c>
      <c r="C622" s="2" t="s">
        <v>144</v>
      </c>
      <c r="D622" s="2" t="s">
        <v>145</v>
      </c>
      <c r="E622" s="2" t="s">
        <v>122</v>
      </c>
      <c r="F622" s="2" t="s">
        <v>535</v>
      </c>
      <c r="G622" s="2" t="s">
        <v>416</v>
      </c>
      <c r="H622" s="2" t="s">
        <v>94</v>
      </c>
      <c r="I622" s="26">
        <v>45127</v>
      </c>
      <c r="J622" s="2">
        <v>14</v>
      </c>
      <c r="K622" s="2" t="s">
        <v>123</v>
      </c>
      <c r="L622" s="22">
        <v>2150</v>
      </c>
      <c r="M622" s="22">
        <v>30100</v>
      </c>
      <c r="N622" s="18">
        <v>32.19</v>
      </c>
      <c r="O622" s="26">
        <v>45172</v>
      </c>
      <c r="P622" s="2" t="s">
        <v>805</v>
      </c>
      <c r="Q622" s="2" t="s">
        <v>806</v>
      </c>
    </row>
    <row r="623" spans="2:17" x14ac:dyDescent="0.25">
      <c r="B623" s="2" t="s">
        <v>1427</v>
      </c>
      <c r="C623" s="2" t="s">
        <v>144</v>
      </c>
      <c r="D623" s="2" t="s">
        <v>145</v>
      </c>
      <c r="E623" s="2" t="s">
        <v>122</v>
      </c>
      <c r="F623" s="2" t="s">
        <v>535</v>
      </c>
      <c r="G623" s="2" t="s">
        <v>416</v>
      </c>
      <c r="H623" s="2" t="s">
        <v>94</v>
      </c>
      <c r="I623" s="26">
        <v>45138</v>
      </c>
      <c r="J623" s="2">
        <v>16</v>
      </c>
      <c r="K623" s="2" t="s">
        <v>123</v>
      </c>
      <c r="L623" s="22">
        <v>2150</v>
      </c>
      <c r="M623" s="22">
        <v>34400</v>
      </c>
      <c r="N623" s="18">
        <v>36.79</v>
      </c>
      <c r="O623" s="26">
        <v>45183</v>
      </c>
      <c r="P623" s="2" t="s">
        <v>805</v>
      </c>
      <c r="Q623" s="2" t="s">
        <v>806</v>
      </c>
    </row>
    <row r="624" spans="2:17" x14ac:dyDescent="0.25">
      <c r="B624" s="2" t="s">
        <v>1428</v>
      </c>
      <c r="C624" s="2" t="s">
        <v>144</v>
      </c>
      <c r="D624" s="2" t="s">
        <v>145</v>
      </c>
      <c r="E624" s="2" t="s">
        <v>122</v>
      </c>
      <c r="F624" s="2" t="s">
        <v>535</v>
      </c>
      <c r="G624" s="2" t="s">
        <v>416</v>
      </c>
      <c r="H624" s="2" t="s">
        <v>94</v>
      </c>
      <c r="I624" s="26">
        <v>45148</v>
      </c>
      <c r="J624" s="2">
        <v>14</v>
      </c>
      <c r="K624" s="2" t="s">
        <v>123</v>
      </c>
      <c r="L624" s="22">
        <v>2150</v>
      </c>
      <c r="M624" s="22">
        <v>30100</v>
      </c>
      <c r="N624" s="18">
        <v>32.19</v>
      </c>
      <c r="O624" s="26">
        <v>45193</v>
      </c>
      <c r="P624" s="2" t="s">
        <v>805</v>
      </c>
      <c r="Q624" s="2" t="s">
        <v>806</v>
      </c>
    </row>
    <row r="625" spans="2:17" x14ac:dyDescent="0.25">
      <c r="B625" s="2" t="s">
        <v>1429</v>
      </c>
      <c r="C625" s="2" t="s">
        <v>144</v>
      </c>
      <c r="D625" s="2" t="s">
        <v>145</v>
      </c>
      <c r="E625" s="2" t="s">
        <v>122</v>
      </c>
      <c r="F625" s="2" t="s">
        <v>535</v>
      </c>
      <c r="G625" s="2" t="s">
        <v>416</v>
      </c>
      <c r="H625" s="2" t="s">
        <v>94</v>
      </c>
      <c r="I625" s="26">
        <v>45156</v>
      </c>
      <c r="J625" s="2">
        <v>17</v>
      </c>
      <c r="K625" s="2" t="s">
        <v>123</v>
      </c>
      <c r="L625" s="22">
        <v>2150</v>
      </c>
      <c r="M625" s="22">
        <v>36550</v>
      </c>
      <c r="N625" s="18">
        <v>39.090000000000003</v>
      </c>
      <c r="O625" s="26">
        <v>45201</v>
      </c>
      <c r="P625" s="2" t="s">
        <v>805</v>
      </c>
      <c r="Q625" s="2" t="s">
        <v>806</v>
      </c>
    </row>
    <row r="626" spans="2:17" x14ac:dyDescent="0.25">
      <c r="B626" s="2" t="s">
        <v>1430</v>
      </c>
      <c r="C626" s="2" t="s">
        <v>144</v>
      </c>
      <c r="D626" s="2" t="s">
        <v>145</v>
      </c>
      <c r="E626" s="2" t="s">
        <v>122</v>
      </c>
      <c r="F626" s="2" t="s">
        <v>535</v>
      </c>
      <c r="G626" s="2" t="s">
        <v>416</v>
      </c>
      <c r="H626" s="2" t="s">
        <v>94</v>
      </c>
      <c r="I626" s="26">
        <v>45165</v>
      </c>
      <c r="J626" s="2">
        <v>16</v>
      </c>
      <c r="K626" s="2" t="s">
        <v>123</v>
      </c>
      <c r="L626" s="22">
        <v>2150</v>
      </c>
      <c r="M626" s="22">
        <v>34400</v>
      </c>
      <c r="N626" s="18">
        <v>36.79</v>
      </c>
      <c r="O626" s="26">
        <v>45210</v>
      </c>
      <c r="P626" s="2" t="s">
        <v>805</v>
      </c>
      <c r="Q626" s="2" t="s">
        <v>806</v>
      </c>
    </row>
    <row r="627" spans="2:17" x14ac:dyDescent="0.25">
      <c r="B627" s="2" t="s">
        <v>1431</v>
      </c>
      <c r="C627" s="2" t="s">
        <v>144</v>
      </c>
      <c r="D627" s="2" t="s">
        <v>145</v>
      </c>
      <c r="E627" s="2" t="s">
        <v>122</v>
      </c>
      <c r="F627" s="2" t="s">
        <v>535</v>
      </c>
      <c r="G627" s="2" t="s">
        <v>416</v>
      </c>
      <c r="H627" s="2" t="s">
        <v>94</v>
      </c>
      <c r="I627" s="26">
        <v>45176</v>
      </c>
      <c r="J627" s="2">
        <v>17</v>
      </c>
      <c r="K627" s="2" t="s">
        <v>123</v>
      </c>
      <c r="L627" s="22">
        <v>2150</v>
      </c>
      <c r="M627" s="22">
        <v>36550</v>
      </c>
      <c r="N627" s="18">
        <v>39.090000000000003</v>
      </c>
      <c r="O627" s="26">
        <v>45221</v>
      </c>
      <c r="P627" s="2" t="s">
        <v>805</v>
      </c>
      <c r="Q627" s="2" t="s">
        <v>814</v>
      </c>
    </row>
    <row r="628" spans="2:17" x14ac:dyDescent="0.25">
      <c r="B628" s="2" t="s">
        <v>1432</v>
      </c>
      <c r="C628" s="2" t="s">
        <v>144</v>
      </c>
      <c r="D628" s="2" t="s">
        <v>145</v>
      </c>
      <c r="E628" s="2" t="s">
        <v>122</v>
      </c>
      <c r="F628" s="2" t="s">
        <v>535</v>
      </c>
      <c r="G628" s="2" t="s">
        <v>416</v>
      </c>
      <c r="H628" s="2" t="s">
        <v>94</v>
      </c>
      <c r="I628" s="26">
        <v>45185</v>
      </c>
      <c r="J628" s="2">
        <v>17</v>
      </c>
      <c r="K628" s="2" t="s">
        <v>123</v>
      </c>
      <c r="L628" s="22">
        <v>2150</v>
      </c>
      <c r="M628" s="22">
        <v>36550</v>
      </c>
      <c r="N628" s="18">
        <v>39.090000000000003</v>
      </c>
      <c r="O628" s="26">
        <v>45230</v>
      </c>
      <c r="P628" s="2" t="s">
        <v>805</v>
      </c>
      <c r="Q628" s="2" t="s">
        <v>814</v>
      </c>
    </row>
    <row r="629" spans="2:17" x14ac:dyDescent="0.25">
      <c r="B629" s="2" t="s">
        <v>1433</v>
      </c>
      <c r="C629" s="2" t="s">
        <v>144</v>
      </c>
      <c r="D629" s="2" t="s">
        <v>145</v>
      </c>
      <c r="E629" s="2" t="s">
        <v>122</v>
      </c>
      <c r="F629" s="2" t="s">
        <v>535</v>
      </c>
      <c r="G629" s="2" t="s">
        <v>416</v>
      </c>
      <c r="H629" s="2" t="s">
        <v>94</v>
      </c>
      <c r="I629" s="26">
        <v>45196</v>
      </c>
      <c r="J629" s="2">
        <v>19</v>
      </c>
      <c r="K629" s="2" t="s">
        <v>123</v>
      </c>
      <c r="L629" s="22">
        <v>2150</v>
      </c>
      <c r="M629" s="22">
        <v>40850</v>
      </c>
      <c r="N629" s="18">
        <v>43.69</v>
      </c>
      <c r="O629" s="26">
        <v>45241</v>
      </c>
      <c r="P629" s="2" t="s">
        <v>805</v>
      </c>
      <c r="Q629" s="2" t="s">
        <v>814</v>
      </c>
    </row>
    <row r="630" spans="2:17" x14ac:dyDescent="0.25">
      <c r="B630" s="2" t="s">
        <v>1434</v>
      </c>
      <c r="C630" s="2" t="s">
        <v>144</v>
      </c>
      <c r="D630" s="2" t="s">
        <v>145</v>
      </c>
      <c r="E630" s="2" t="s">
        <v>122</v>
      </c>
      <c r="F630" s="2" t="s">
        <v>535</v>
      </c>
      <c r="G630" s="2" t="s">
        <v>416</v>
      </c>
      <c r="H630" s="2" t="s">
        <v>94</v>
      </c>
      <c r="I630" s="26">
        <v>45206</v>
      </c>
      <c r="J630" s="2">
        <v>46</v>
      </c>
      <c r="K630" s="2" t="s">
        <v>123</v>
      </c>
      <c r="L630" s="22">
        <v>2150</v>
      </c>
      <c r="M630" s="22">
        <v>98900</v>
      </c>
      <c r="N630" s="18">
        <v>105.78</v>
      </c>
      <c r="O630" s="26">
        <v>45251</v>
      </c>
      <c r="P630" s="2" t="s">
        <v>805</v>
      </c>
      <c r="Q630" s="2" t="s">
        <v>814</v>
      </c>
    </row>
    <row r="631" spans="2:17" x14ac:dyDescent="0.25">
      <c r="B631" s="2" t="s">
        <v>1435</v>
      </c>
      <c r="C631" s="2" t="s">
        <v>144</v>
      </c>
      <c r="D631" s="2" t="s">
        <v>145</v>
      </c>
      <c r="E631" s="2" t="s">
        <v>122</v>
      </c>
      <c r="F631" s="2" t="s">
        <v>535</v>
      </c>
      <c r="G631" s="2" t="s">
        <v>416</v>
      </c>
      <c r="H631" s="2" t="s">
        <v>94</v>
      </c>
      <c r="I631" s="26">
        <v>45215</v>
      </c>
      <c r="J631" s="2">
        <v>43</v>
      </c>
      <c r="K631" s="2" t="s">
        <v>123</v>
      </c>
      <c r="L631" s="22">
        <v>2150</v>
      </c>
      <c r="M631" s="22">
        <v>92450</v>
      </c>
      <c r="N631" s="18">
        <v>98.88</v>
      </c>
      <c r="O631" s="26">
        <v>45260</v>
      </c>
      <c r="P631" s="2" t="s">
        <v>805</v>
      </c>
      <c r="Q631" s="2" t="s">
        <v>814</v>
      </c>
    </row>
    <row r="632" spans="2:17" x14ac:dyDescent="0.25">
      <c r="B632" s="2" t="s">
        <v>1436</v>
      </c>
      <c r="C632" s="2" t="s">
        <v>144</v>
      </c>
      <c r="D632" s="2" t="s">
        <v>145</v>
      </c>
      <c r="E632" s="2" t="s">
        <v>122</v>
      </c>
      <c r="F632" s="2" t="s">
        <v>535</v>
      </c>
      <c r="G632" s="2" t="s">
        <v>416</v>
      </c>
      <c r="H632" s="2" t="s">
        <v>94</v>
      </c>
      <c r="I632" s="26">
        <v>45224</v>
      </c>
      <c r="J632" s="2">
        <v>41</v>
      </c>
      <c r="K632" s="2" t="s">
        <v>123</v>
      </c>
      <c r="L632" s="22">
        <v>2150</v>
      </c>
      <c r="M632" s="22">
        <v>88150</v>
      </c>
      <c r="N632" s="18">
        <v>94.28</v>
      </c>
      <c r="O632" s="26">
        <v>45269</v>
      </c>
      <c r="P632" s="2" t="s">
        <v>805</v>
      </c>
      <c r="Q632" s="2" t="s">
        <v>814</v>
      </c>
    </row>
    <row r="633" spans="2:17" x14ac:dyDescent="0.25">
      <c r="B633" s="2" t="s">
        <v>1437</v>
      </c>
      <c r="C633" s="2" t="s">
        <v>144</v>
      </c>
      <c r="D633" s="2" t="s">
        <v>145</v>
      </c>
      <c r="E633" s="2" t="s">
        <v>122</v>
      </c>
      <c r="F633" s="2" t="s">
        <v>535</v>
      </c>
      <c r="G633" s="2" t="s">
        <v>416</v>
      </c>
      <c r="H633" s="2" t="s">
        <v>94</v>
      </c>
      <c r="I633" s="26">
        <v>45231</v>
      </c>
      <c r="J633" s="2">
        <v>42</v>
      </c>
      <c r="K633" s="2" t="s">
        <v>123</v>
      </c>
      <c r="L633" s="22">
        <v>2150</v>
      </c>
      <c r="M633" s="22">
        <v>90300</v>
      </c>
      <c r="N633" s="18">
        <v>96.58</v>
      </c>
      <c r="O633" s="26">
        <v>45276</v>
      </c>
      <c r="P633" s="2" t="s">
        <v>805</v>
      </c>
      <c r="Q633" s="2" t="s">
        <v>814</v>
      </c>
    </row>
    <row r="634" spans="2:17" x14ac:dyDescent="0.25">
      <c r="B634" s="2" t="s">
        <v>1438</v>
      </c>
      <c r="C634" s="2" t="s">
        <v>144</v>
      </c>
      <c r="D634" s="2" t="s">
        <v>145</v>
      </c>
      <c r="E634" s="2" t="s">
        <v>122</v>
      </c>
      <c r="F634" s="2" t="s">
        <v>535</v>
      </c>
      <c r="G634" s="2" t="s">
        <v>416</v>
      </c>
      <c r="H634" s="2" t="s">
        <v>94</v>
      </c>
      <c r="I634" s="26">
        <v>45240</v>
      </c>
      <c r="J634" s="2">
        <v>41</v>
      </c>
      <c r="K634" s="2" t="s">
        <v>123</v>
      </c>
      <c r="L634" s="22">
        <v>2150</v>
      </c>
      <c r="M634" s="22">
        <v>88150</v>
      </c>
      <c r="N634" s="18">
        <v>94.28</v>
      </c>
      <c r="O634" s="26">
        <v>45285</v>
      </c>
      <c r="P634" s="2" t="s">
        <v>805</v>
      </c>
      <c r="Q634" s="2" t="s">
        <v>814</v>
      </c>
    </row>
    <row r="635" spans="2:17" x14ac:dyDescent="0.25">
      <c r="B635" s="2" t="s">
        <v>1439</v>
      </c>
      <c r="C635" s="2" t="s">
        <v>144</v>
      </c>
      <c r="D635" s="2" t="s">
        <v>145</v>
      </c>
      <c r="E635" s="2" t="s">
        <v>122</v>
      </c>
      <c r="F635" s="2" t="s">
        <v>535</v>
      </c>
      <c r="G635" s="2" t="s">
        <v>416</v>
      </c>
      <c r="H635" s="2" t="s">
        <v>94</v>
      </c>
      <c r="I635" s="26">
        <v>45251</v>
      </c>
      <c r="J635" s="2">
        <v>44</v>
      </c>
      <c r="K635" s="2" t="s">
        <v>123</v>
      </c>
      <c r="L635" s="22">
        <v>2150</v>
      </c>
      <c r="M635" s="22">
        <v>94600</v>
      </c>
      <c r="N635" s="18">
        <v>101.18</v>
      </c>
      <c r="O635" s="26">
        <v>45296</v>
      </c>
      <c r="P635" s="2" t="s">
        <v>805</v>
      </c>
      <c r="Q635" s="2" t="s">
        <v>814</v>
      </c>
    </row>
    <row r="636" spans="2:17" x14ac:dyDescent="0.25">
      <c r="B636" s="2" t="s">
        <v>1440</v>
      </c>
      <c r="C636" s="2" t="s">
        <v>144</v>
      </c>
      <c r="D636" s="2" t="s">
        <v>145</v>
      </c>
      <c r="E636" s="2" t="s">
        <v>122</v>
      </c>
      <c r="F636" s="2" t="s">
        <v>535</v>
      </c>
      <c r="G636" s="2" t="s">
        <v>416</v>
      </c>
      <c r="H636" s="2" t="s">
        <v>94</v>
      </c>
      <c r="I636" s="26">
        <v>45260</v>
      </c>
      <c r="J636" s="2">
        <v>43</v>
      </c>
      <c r="K636" s="2" t="s">
        <v>123</v>
      </c>
      <c r="L636" s="22">
        <v>2150</v>
      </c>
      <c r="M636" s="22">
        <v>92450</v>
      </c>
      <c r="N636" s="18">
        <v>98.88</v>
      </c>
      <c r="O636" s="26">
        <v>45305</v>
      </c>
      <c r="P636" s="2" t="s">
        <v>805</v>
      </c>
      <c r="Q636" s="2" t="s">
        <v>814</v>
      </c>
    </row>
    <row r="637" spans="2:17" x14ac:dyDescent="0.25">
      <c r="B637" s="2" t="s">
        <v>1441</v>
      </c>
      <c r="C637" s="2" t="s">
        <v>144</v>
      </c>
      <c r="D637" s="2" t="s">
        <v>145</v>
      </c>
      <c r="E637" s="2" t="s">
        <v>122</v>
      </c>
      <c r="F637" s="2" t="s">
        <v>535</v>
      </c>
      <c r="G637" s="2" t="s">
        <v>416</v>
      </c>
      <c r="H637" s="2" t="s">
        <v>94</v>
      </c>
      <c r="I637" s="26">
        <v>45270</v>
      </c>
      <c r="J637" s="2">
        <v>54</v>
      </c>
      <c r="K637" s="2" t="s">
        <v>123</v>
      </c>
      <c r="L637" s="22">
        <v>2150</v>
      </c>
      <c r="M637" s="22">
        <v>116100</v>
      </c>
      <c r="N637" s="18">
        <v>124.17</v>
      </c>
      <c r="O637" s="26">
        <v>45315</v>
      </c>
      <c r="P637" s="2" t="s">
        <v>805</v>
      </c>
      <c r="Q637" s="2" t="s">
        <v>825</v>
      </c>
    </row>
    <row r="638" spans="2:17" x14ac:dyDescent="0.25">
      <c r="B638" s="2" t="s">
        <v>1442</v>
      </c>
      <c r="C638" s="2" t="s">
        <v>144</v>
      </c>
      <c r="D638" s="2" t="s">
        <v>145</v>
      </c>
      <c r="E638" s="2" t="s">
        <v>122</v>
      </c>
      <c r="F638" s="2" t="s">
        <v>535</v>
      </c>
      <c r="G638" s="2" t="s">
        <v>416</v>
      </c>
      <c r="H638" s="2" t="s">
        <v>94</v>
      </c>
      <c r="I638" s="26">
        <v>45280</v>
      </c>
      <c r="J638" s="2">
        <v>49</v>
      </c>
      <c r="K638" s="2" t="s">
        <v>123</v>
      </c>
      <c r="L638" s="22">
        <v>2150</v>
      </c>
      <c r="M638" s="22">
        <v>105350</v>
      </c>
      <c r="N638" s="18">
        <v>112.67</v>
      </c>
      <c r="O638" s="26">
        <v>45325</v>
      </c>
      <c r="P638" s="2" t="s">
        <v>805</v>
      </c>
      <c r="Q638" s="2" t="s">
        <v>825</v>
      </c>
    </row>
    <row r="639" spans="2:17" x14ac:dyDescent="0.25">
      <c r="B639" s="2" t="s">
        <v>1443</v>
      </c>
      <c r="C639" s="2" t="s">
        <v>144</v>
      </c>
      <c r="D639" s="2" t="s">
        <v>145</v>
      </c>
      <c r="E639" s="2" t="s">
        <v>122</v>
      </c>
      <c r="F639" s="2" t="s">
        <v>535</v>
      </c>
      <c r="G639" s="2" t="s">
        <v>416</v>
      </c>
      <c r="H639" s="2" t="s">
        <v>94</v>
      </c>
      <c r="I639" s="26">
        <v>45289</v>
      </c>
      <c r="J639" s="2">
        <v>57</v>
      </c>
      <c r="K639" s="2" t="s">
        <v>123</v>
      </c>
      <c r="L639" s="22">
        <v>2150</v>
      </c>
      <c r="M639" s="22">
        <v>122550</v>
      </c>
      <c r="N639" s="18">
        <v>131.07</v>
      </c>
      <c r="O639" s="26">
        <v>45334</v>
      </c>
      <c r="P639" s="2" t="s">
        <v>805</v>
      </c>
      <c r="Q639" s="2" t="s">
        <v>825</v>
      </c>
    </row>
    <row r="640" spans="2:17" x14ac:dyDescent="0.25">
      <c r="B640" s="2" t="s">
        <v>1444</v>
      </c>
      <c r="C640" s="2" t="s">
        <v>144</v>
      </c>
      <c r="D640" s="2" t="s">
        <v>145</v>
      </c>
      <c r="E640" s="2" t="s">
        <v>122</v>
      </c>
      <c r="F640" s="2" t="s">
        <v>537</v>
      </c>
      <c r="G640" s="2" t="s">
        <v>420</v>
      </c>
      <c r="H640" s="2" t="s">
        <v>421</v>
      </c>
      <c r="I640" s="26">
        <v>45300</v>
      </c>
      <c r="J640" s="2">
        <v>42</v>
      </c>
      <c r="K640" s="2" t="s">
        <v>123</v>
      </c>
      <c r="L640" s="22">
        <v>2200</v>
      </c>
      <c r="M640" s="22">
        <v>92400</v>
      </c>
      <c r="N640" s="18">
        <v>98.82</v>
      </c>
      <c r="O640" s="26">
        <v>45345</v>
      </c>
      <c r="P640" s="2" t="s">
        <v>805</v>
      </c>
      <c r="Q640" s="2" t="s">
        <v>825</v>
      </c>
    </row>
    <row r="641" spans="2:17" x14ac:dyDescent="0.25">
      <c r="B641" s="2" t="s">
        <v>1445</v>
      </c>
      <c r="C641" s="2" t="s">
        <v>144</v>
      </c>
      <c r="D641" s="2" t="s">
        <v>145</v>
      </c>
      <c r="E641" s="2" t="s">
        <v>122</v>
      </c>
      <c r="F641" s="2" t="s">
        <v>535</v>
      </c>
      <c r="G641" s="2" t="s">
        <v>416</v>
      </c>
      <c r="H641" s="2" t="s">
        <v>94</v>
      </c>
      <c r="I641" s="26">
        <v>45308</v>
      </c>
      <c r="J641" s="2">
        <v>39</v>
      </c>
      <c r="K641" s="2" t="s">
        <v>123</v>
      </c>
      <c r="L641" s="22">
        <v>2150</v>
      </c>
      <c r="M641" s="22">
        <v>83850</v>
      </c>
      <c r="N641" s="18">
        <v>89.68</v>
      </c>
      <c r="O641" s="26">
        <v>45353</v>
      </c>
      <c r="P641" s="2" t="s">
        <v>805</v>
      </c>
      <c r="Q641" s="2" t="s">
        <v>825</v>
      </c>
    </row>
    <row r="642" spans="2:17" x14ac:dyDescent="0.25">
      <c r="B642" s="2" t="s">
        <v>1446</v>
      </c>
      <c r="C642" s="2" t="s">
        <v>144</v>
      </c>
      <c r="D642" s="2" t="s">
        <v>145</v>
      </c>
      <c r="E642" s="2" t="s">
        <v>122</v>
      </c>
      <c r="F642" s="2" t="s">
        <v>535</v>
      </c>
      <c r="G642" s="2" t="s">
        <v>416</v>
      </c>
      <c r="H642" s="2" t="s">
        <v>94</v>
      </c>
      <c r="I642" s="26">
        <v>45319</v>
      </c>
      <c r="J642" s="2">
        <v>36</v>
      </c>
      <c r="K642" s="2" t="s">
        <v>123</v>
      </c>
      <c r="L642" s="22">
        <v>2150</v>
      </c>
      <c r="M642" s="22">
        <v>77400</v>
      </c>
      <c r="N642" s="18">
        <v>82.78</v>
      </c>
      <c r="O642" s="26">
        <v>45364</v>
      </c>
      <c r="P642" s="2" t="s">
        <v>805</v>
      </c>
      <c r="Q642" s="2" t="s">
        <v>825</v>
      </c>
    </row>
    <row r="643" spans="2:17" x14ac:dyDescent="0.25">
      <c r="B643" s="2" t="s">
        <v>1447</v>
      </c>
      <c r="C643" s="2" t="s">
        <v>144</v>
      </c>
      <c r="D643" s="2" t="s">
        <v>145</v>
      </c>
      <c r="E643" s="2" t="s">
        <v>122</v>
      </c>
      <c r="F643" s="2" t="s">
        <v>535</v>
      </c>
      <c r="G643" s="2" t="s">
        <v>416</v>
      </c>
      <c r="H643" s="2" t="s">
        <v>94</v>
      </c>
      <c r="I643" s="26">
        <v>45331</v>
      </c>
      <c r="J643" s="2">
        <v>35</v>
      </c>
      <c r="K643" s="2" t="s">
        <v>123</v>
      </c>
      <c r="L643" s="22">
        <v>2150</v>
      </c>
      <c r="M643" s="22">
        <v>75250</v>
      </c>
      <c r="N643" s="18">
        <v>80.48</v>
      </c>
      <c r="O643" s="26">
        <v>45376</v>
      </c>
      <c r="P643" s="2" t="s">
        <v>805</v>
      </c>
      <c r="Q643" s="2" t="s">
        <v>825</v>
      </c>
    </row>
    <row r="644" spans="2:17" x14ac:dyDescent="0.25">
      <c r="B644" s="2" t="s">
        <v>1448</v>
      </c>
      <c r="C644" s="2" t="s">
        <v>144</v>
      </c>
      <c r="D644" s="2" t="s">
        <v>145</v>
      </c>
      <c r="E644" s="2" t="s">
        <v>122</v>
      </c>
      <c r="F644" s="2" t="s">
        <v>535</v>
      </c>
      <c r="G644" s="2" t="s">
        <v>416</v>
      </c>
      <c r="H644" s="2" t="s">
        <v>94</v>
      </c>
      <c r="I644" s="26">
        <v>45341</v>
      </c>
      <c r="J644" s="2">
        <v>41</v>
      </c>
      <c r="K644" s="2" t="s">
        <v>123</v>
      </c>
      <c r="L644" s="22">
        <v>2150</v>
      </c>
      <c r="M644" s="22">
        <v>88150</v>
      </c>
      <c r="N644" s="18">
        <v>94.28</v>
      </c>
      <c r="O644" s="26">
        <v>45386</v>
      </c>
      <c r="P644" s="2" t="s">
        <v>805</v>
      </c>
      <c r="Q644" s="2" t="s">
        <v>825</v>
      </c>
    </row>
    <row r="645" spans="2:17" x14ac:dyDescent="0.25">
      <c r="B645" s="2" t="s">
        <v>1449</v>
      </c>
      <c r="C645" s="2" t="s">
        <v>144</v>
      </c>
      <c r="D645" s="2" t="s">
        <v>145</v>
      </c>
      <c r="E645" s="2" t="s">
        <v>122</v>
      </c>
      <c r="F645" s="2" t="s">
        <v>535</v>
      </c>
      <c r="G645" s="2" t="s">
        <v>416</v>
      </c>
      <c r="H645" s="2" t="s">
        <v>94</v>
      </c>
      <c r="I645" s="26">
        <v>45350</v>
      </c>
      <c r="J645" s="2">
        <v>42</v>
      </c>
      <c r="K645" s="2" t="s">
        <v>123</v>
      </c>
      <c r="L645" s="22">
        <v>2150</v>
      </c>
      <c r="M645" s="22">
        <v>90300</v>
      </c>
      <c r="N645" s="18">
        <v>96.58</v>
      </c>
      <c r="O645" s="26">
        <v>45395</v>
      </c>
      <c r="P645" s="2" t="s">
        <v>805</v>
      </c>
      <c r="Q645" s="2" t="s">
        <v>825</v>
      </c>
    </row>
    <row r="646" spans="2:17" x14ac:dyDescent="0.25">
      <c r="B646" s="2" t="s">
        <v>1450</v>
      </c>
      <c r="C646" s="2" t="s">
        <v>144</v>
      </c>
      <c r="D646" s="2" t="s">
        <v>145</v>
      </c>
      <c r="E646" s="2" t="s">
        <v>122</v>
      </c>
      <c r="F646" s="2" t="s">
        <v>535</v>
      </c>
      <c r="G646" s="2" t="s">
        <v>416</v>
      </c>
      <c r="H646" s="2" t="s">
        <v>94</v>
      </c>
      <c r="I646" s="26">
        <v>45361</v>
      </c>
      <c r="J646" s="2">
        <v>38</v>
      </c>
      <c r="K646" s="2" t="s">
        <v>123</v>
      </c>
      <c r="L646" s="22">
        <v>2150</v>
      </c>
      <c r="M646" s="22">
        <v>81700</v>
      </c>
      <c r="N646" s="18">
        <v>87.38</v>
      </c>
      <c r="O646" s="26">
        <v>45406</v>
      </c>
      <c r="P646" s="2" t="s">
        <v>805</v>
      </c>
      <c r="Q646" s="2" t="s">
        <v>836</v>
      </c>
    </row>
    <row r="647" spans="2:17" x14ac:dyDescent="0.25">
      <c r="B647" s="2" t="s">
        <v>1451</v>
      </c>
      <c r="C647" s="2" t="s">
        <v>144</v>
      </c>
      <c r="D647" s="2" t="s">
        <v>145</v>
      </c>
      <c r="E647" s="2" t="s">
        <v>122</v>
      </c>
      <c r="F647" s="2" t="s">
        <v>535</v>
      </c>
      <c r="G647" s="2" t="s">
        <v>416</v>
      </c>
      <c r="H647" s="2" t="s">
        <v>94</v>
      </c>
      <c r="I647" s="26">
        <v>45372</v>
      </c>
      <c r="J647" s="2">
        <v>35</v>
      </c>
      <c r="K647" s="2" t="s">
        <v>123</v>
      </c>
      <c r="L647" s="22">
        <v>2150</v>
      </c>
      <c r="M647" s="22">
        <v>75250</v>
      </c>
      <c r="N647" s="18">
        <v>80.48</v>
      </c>
      <c r="O647" s="26">
        <v>45417</v>
      </c>
      <c r="P647" s="2" t="s">
        <v>805</v>
      </c>
      <c r="Q647" s="2" t="s">
        <v>836</v>
      </c>
    </row>
    <row r="648" spans="2:17" x14ac:dyDescent="0.25">
      <c r="B648" s="2" t="s">
        <v>1452</v>
      </c>
      <c r="C648" s="2" t="s">
        <v>144</v>
      </c>
      <c r="D648" s="2" t="s">
        <v>145</v>
      </c>
      <c r="E648" s="2" t="s">
        <v>122</v>
      </c>
      <c r="F648" s="2" t="s">
        <v>535</v>
      </c>
      <c r="G648" s="2" t="s">
        <v>416</v>
      </c>
      <c r="H648" s="2" t="s">
        <v>94</v>
      </c>
      <c r="I648" s="26">
        <v>45380</v>
      </c>
      <c r="J648" s="2">
        <v>44</v>
      </c>
      <c r="K648" s="2" t="s">
        <v>123</v>
      </c>
      <c r="L648" s="22">
        <v>2150</v>
      </c>
      <c r="M648" s="22">
        <v>94600</v>
      </c>
      <c r="N648" s="18">
        <v>101.18</v>
      </c>
      <c r="O648" s="26">
        <v>45425</v>
      </c>
      <c r="P648" s="2" t="s">
        <v>805</v>
      </c>
      <c r="Q648" s="2" t="s">
        <v>836</v>
      </c>
    </row>
    <row r="649" spans="2:17" x14ac:dyDescent="0.25">
      <c r="B649" s="2" t="s">
        <v>1453</v>
      </c>
      <c r="C649" s="2" t="s">
        <v>144</v>
      </c>
      <c r="D649" s="2" t="s">
        <v>145</v>
      </c>
      <c r="E649" s="2" t="s">
        <v>122</v>
      </c>
      <c r="F649" s="2" t="s">
        <v>535</v>
      </c>
      <c r="G649" s="2" t="s">
        <v>416</v>
      </c>
      <c r="H649" s="2" t="s">
        <v>94</v>
      </c>
      <c r="I649" s="26">
        <v>45390</v>
      </c>
      <c r="J649" s="2">
        <v>16</v>
      </c>
      <c r="K649" s="2" t="s">
        <v>123</v>
      </c>
      <c r="L649" s="22">
        <v>2150</v>
      </c>
      <c r="M649" s="22">
        <v>34400</v>
      </c>
      <c r="N649" s="18">
        <v>36.79</v>
      </c>
      <c r="O649" s="26">
        <v>45435</v>
      </c>
      <c r="P649" s="2" t="s">
        <v>805</v>
      </c>
      <c r="Q649" s="2" t="s">
        <v>836</v>
      </c>
    </row>
    <row r="650" spans="2:17" x14ac:dyDescent="0.25">
      <c r="B650" s="2" t="s">
        <v>1454</v>
      </c>
      <c r="C650" s="2" t="s">
        <v>144</v>
      </c>
      <c r="D650" s="2" t="s">
        <v>145</v>
      </c>
      <c r="E650" s="2" t="s">
        <v>122</v>
      </c>
      <c r="F650" s="2" t="s">
        <v>535</v>
      </c>
      <c r="G650" s="2" t="s">
        <v>416</v>
      </c>
      <c r="H650" s="2" t="s">
        <v>94</v>
      </c>
      <c r="I650" s="26">
        <v>45400</v>
      </c>
      <c r="J650" s="2">
        <v>17</v>
      </c>
      <c r="K650" s="2" t="s">
        <v>123</v>
      </c>
      <c r="L650" s="22">
        <v>2150</v>
      </c>
      <c r="M650" s="22">
        <v>36550</v>
      </c>
      <c r="N650" s="18">
        <v>39.090000000000003</v>
      </c>
      <c r="O650" s="26">
        <v>45445</v>
      </c>
      <c r="P650" s="2" t="s">
        <v>805</v>
      </c>
      <c r="Q650" s="2" t="s">
        <v>836</v>
      </c>
    </row>
    <row r="651" spans="2:17" x14ac:dyDescent="0.25">
      <c r="B651" s="2" t="s">
        <v>1455</v>
      </c>
      <c r="C651" s="2" t="s">
        <v>144</v>
      </c>
      <c r="D651" s="2" t="s">
        <v>145</v>
      </c>
      <c r="E651" s="2" t="s">
        <v>122</v>
      </c>
      <c r="F651" s="2" t="s">
        <v>535</v>
      </c>
      <c r="G651" s="2" t="s">
        <v>416</v>
      </c>
      <c r="H651" s="2" t="s">
        <v>94</v>
      </c>
      <c r="I651" s="26">
        <v>45409</v>
      </c>
      <c r="J651" s="2">
        <v>13</v>
      </c>
      <c r="K651" s="2" t="s">
        <v>123</v>
      </c>
      <c r="L651" s="22">
        <v>2150</v>
      </c>
      <c r="M651" s="22">
        <v>27950</v>
      </c>
      <c r="N651" s="18">
        <v>29.89</v>
      </c>
      <c r="O651" s="26">
        <v>45454</v>
      </c>
      <c r="P651" s="2" t="s">
        <v>805</v>
      </c>
      <c r="Q651" s="2" t="s">
        <v>836</v>
      </c>
    </row>
    <row r="652" spans="2:17" x14ac:dyDescent="0.25">
      <c r="B652" s="2" t="s">
        <v>1456</v>
      </c>
      <c r="C652" s="2" t="s">
        <v>144</v>
      </c>
      <c r="D652" s="2" t="s">
        <v>145</v>
      </c>
      <c r="E652" s="2" t="s">
        <v>122</v>
      </c>
      <c r="F652" s="2" t="s">
        <v>537</v>
      </c>
      <c r="G652" s="2" t="s">
        <v>420</v>
      </c>
      <c r="H652" s="2" t="s">
        <v>421</v>
      </c>
      <c r="I652" s="26">
        <v>45419</v>
      </c>
      <c r="J652" s="2">
        <v>13</v>
      </c>
      <c r="K652" s="2" t="s">
        <v>123</v>
      </c>
      <c r="L652" s="22">
        <v>2200</v>
      </c>
      <c r="M652" s="22">
        <v>28600</v>
      </c>
      <c r="N652" s="18">
        <v>30.59</v>
      </c>
      <c r="O652" s="26">
        <v>45464</v>
      </c>
      <c r="P652" s="2" t="s">
        <v>805</v>
      </c>
      <c r="Q652" s="2" t="s">
        <v>836</v>
      </c>
    </row>
    <row r="653" spans="2:17" x14ac:dyDescent="0.25">
      <c r="B653" s="2" t="s">
        <v>1457</v>
      </c>
      <c r="C653" s="2" t="s">
        <v>144</v>
      </c>
      <c r="D653" s="2" t="s">
        <v>145</v>
      </c>
      <c r="E653" s="2" t="s">
        <v>122</v>
      </c>
      <c r="F653" s="2" t="s">
        <v>537</v>
      </c>
      <c r="G653" s="2" t="s">
        <v>420</v>
      </c>
      <c r="H653" s="2" t="s">
        <v>421</v>
      </c>
      <c r="I653" s="26">
        <v>45428</v>
      </c>
      <c r="J653" s="2">
        <v>15</v>
      </c>
      <c r="K653" s="2" t="s">
        <v>123</v>
      </c>
      <c r="L653" s="22">
        <v>2200</v>
      </c>
      <c r="M653" s="22">
        <v>33000</v>
      </c>
      <c r="N653" s="18">
        <v>35.29</v>
      </c>
      <c r="O653" s="26">
        <v>45473</v>
      </c>
      <c r="P653" s="2" t="s">
        <v>805</v>
      </c>
      <c r="Q653" s="2" t="s">
        <v>836</v>
      </c>
    </row>
    <row r="654" spans="2:17" x14ac:dyDescent="0.25">
      <c r="B654" s="2" t="s">
        <v>1458</v>
      </c>
      <c r="C654" s="2" t="s">
        <v>144</v>
      </c>
      <c r="D654" s="2" t="s">
        <v>145</v>
      </c>
      <c r="E654" s="2" t="s">
        <v>122</v>
      </c>
      <c r="F654" s="2" t="s">
        <v>535</v>
      </c>
      <c r="G654" s="2" t="s">
        <v>416</v>
      </c>
      <c r="H654" s="2" t="s">
        <v>94</v>
      </c>
      <c r="I654" s="26">
        <v>45434</v>
      </c>
      <c r="J654" s="2">
        <v>15</v>
      </c>
      <c r="K654" s="2" t="s">
        <v>123</v>
      </c>
      <c r="L654" s="22">
        <v>2150</v>
      </c>
      <c r="M654" s="22">
        <v>32250</v>
      </c>
      <c r="N654" s="18">
        <v>34.49</v>
      </c>
      <c r="O654" s="26">
        <v>45479</v>
      </c>
      <c r="P654" s="2" t="s">
        <v>805</v>
      </c>
      <c r="Q654" s="2" t="s">
        <v>836</v>
      </c>
    </row>
    <row r="655" spans="2:17" x14ac:dyDescent="0.25">
      <c r="B655" s="2" t="s">
        <v>1459</v>
      </c>
      <c r="C655" s="2" t="s">
        <v>144</v>
      </c>
      <c r="D655" s="2" t="s">
        <v>145</v>
      </c>
      <c r="E655" s="2" t="s">
        <v>122</v>
      </c>
      <c r="F655" s="2" t="s">
        <v>535</v>
      </c>
      <c r="G655" s="2" t="s">
        <v>416</v>
      </c>
      <c r="H655" s="2" t="s">
        <v>94</v>
      </c>
      <c r="I655" s="26">
        <v>45440</v>
      </c>
      <c r="J655" s="2">
        <v>14</v>
      </c>
      <c r="K655" s="2" t="s">
        <v>123</v>
      </c>
      <c r="L655" s="22">
        <v>2150</v>
      </c>
      <c r="M655" s="22">
        <v>30100</v>
      </c>
      <c r="N655" s="18">
        <v>32.19</v>
      </c>
      <c r="O655" s="26">
        <v>45485</v>
      </c>
      <c r="P655" s="2" t="s">
        <v>805</v>
      </c>
      <c r="Q655" s="2" t="s">
        <v>836</v>
      </c>
    </row>
    <row r="656" spans="2:17" x14ac:dyDescent="0.25">
      <c r="B656" s="2" t="s">
        <v>1460</v>
      </c>
      <c r="C656" s="2" t="s">
        <v>144</v>
      </c>
      <c r="D656" s="2" t="s">
        <v>145</v>
      </c>
      <c r="E656" s="2" t="s">
        <v>122</v>
      </c>
      <c r="F656" s="2" t="s">
        <v>535</v>
      </c>
      <c r="G656" s="2" t="s">
        <v>416</v>
      </c>
      <c r="H656" s="2" t="s">
        <v>94</v>
      </c>
      <c r="I656" s="26">
        <v>45450</v>
      </c>
      <c r="J656" s="2">
        <v>17</v>
      </c>
      <c r="K656" s="2" t="s">
        <v>123</v>
      </c>
      <c r="L656" s="22">
        <v>2150</v>
      </c>
      <c r="M656" s="22">
        <v>36550</v>
      </c>
      <c r="N656" s="18">
        <v>39.090000000000003</v>
      </c>
      <c r="O656" s="26">
        <v>45495</v>
      </c>
      <c r="P656" s="2" t="s">
        <v>805</v>
      </c>
      <c r="Q656" s="2" t="s">
        <v>806</v>
      </c>
    </row>
    <row r="657" spans="2:17" x14ac:dyDescent="0.25">
      <c r="B657" s="2" t="s">
        <v>1461</v>
      </c>
      <c r="C657" s="2" t="s">
        <v>144</v>
      </c>
      <c r="D657" s="2" t="s">
        <v>145</v>
      </c>
      <c r="E657" s="2" t="s">
        <v>122</v>
      </c>
      <c r="F657" s="2" t="s">
        <v>535</v>
      </c>
      <c r="G657" s="2" t="s">
        <v>416</v>
      </c>
      <c r="H657" s="2" t="s">
        <v>94</v>
      </c>
      <c r="I657" s="26">
        <v>45458</v>
      </c>
      <c r="J657" s="2">
        <v>15</v>
      </c>
      <c r="K657" s="2" t="s">
        <v>123</v>
      </c>
      <c r="L657" s="22">
        <v>2150</v>
      </c>
      <c r="M657" s="22">
        <v>32250</v>
      </c>
      <c r="N657" s="18">
        <v>34.49</v>
      </c>
      <c r="O657" s="26">
        <v>45503</v>
      </c>
      <c r="P657" s="2" t="s">
        <v>805</v>
      </c>
      <c r="Q657" s="2" t="s">
        <v>806</v>
      </c>
    </row>
    <row r="658" spans="2:17" x14ac:dyDescent="0.25">
      <c r="B658" s="2" t="s">
        <v>1462</v>
      </c>
      <c r="C658" s="2" t="s">
        <v>144</v>
      </c>
      <c r="D658" s="2" t="s">
        <v>145</v>
      </c>
      <c r="E658" s="2" t="s">
        <v>122</v>
      </c>
      <c r="F658" s="2" t="s">
        <v>535</v>
      </c>
      <c r="G658" s="2" t="s">
        <v>416</v>
      </c>
      <c r="H658" s="2" t="s">
        <v>94</v>
      </c>
      <c r="I658" s="26">
        <v>45468</v>
      </c>
      <c r="J658" s="2">
        <v>14</v>
      </c>
      <c r="K658" s="2" t="s">
        <v>123</v>
      </c>
      <c r="L658" s="22">
        <v>2150</v>
      </c>
      <c r="M658" s="22">
        <v>30100</v>
      </c>
      <c r="N658" s="18">
        <v>32.19</v>
      </c>
      <c r="O658" s="26">
        <v>45513</v>
      </c>
      <c r="P658" s="2" t="s">
        <v>805</v>
      </c>
      <c r="Q658" s="2" t="s">
        <v>806</v>
      </c>
    </row>
    <row r="659" spans="2:17" x14ac:dyDescent="0.25">
      <c r="B659" s="2" t="s">
        <v>1463</v>
      </c>
      <c r="C659" s="2" t="s">
        <v>144</v>
      </c>
      <c r="D659" s="2" t="s">
        <v>145</v>
      </c>
      <c r="E659" s="2" t="s">
        <v>122</v>
      </c>
      <c r="F659" s="2" t="s">
        <v>535</v>
      </c>
      <c r="G659" s="2" t="s">
        <v>416</v>
      </c>
      <c r="H659" s="2" t="s">
        <v>94</v>
      </c>
      <c r="I659" s="26">
        <v>45477</v>
      </c>
      <c r="J659" s="2">
        <v>13</v>
      </c>
      <c r="K659" s="2" t="s">
        <v>123</v>
      </c>
      <c r="L659" s="22">
        <v>2150</v>
      </c>
      <c r="M659" s="22">
        <v>27950</v>
      </c>
      <c r="N659" s="18">
        <v>29.89</v>
      </c>
      <c r="O659" s="26">
        <v>45522</v>
      </c>
      <c r="P659" s="2" t="s">
        <v>805</v>
      </c>
      <c r="Q659" s="2" t="s">
        <v>806</v>
      </c>
    </row>
    <row r="660" spans="2:17" x14ac:dyDescent="0.25">
      <c r="B660" s="2" t="s">
        <v>1464</v>
      </c>
      <c r="C660" s="2" t="s">
        <v>144</v>
      </c>
      <c r="D660" s="2" t="s">
        <v>145</v>
      </c>
      <c r="E660" s="2" t="s">
        <v>122</v>
      </c>
      <c r="F660" s="2" t="s">
        <v>535</v>
      </c>
      <c r="G660" s="2" t="s">
        <v>416</v>
      </c>
      <c r="H660" s="2" t="s">
        <v>94</v>
      </c>
      <c r="I660" s="26">
        <v>45485</v>
      </c>
      <c r="J660" s="2">
        <v>17</v>
      </c>
      <c r="K660" s="2" t="s">
        <v>123</v>
      </c>
      <c r="L660" s="22">
        <v>2150</v>
      </c>
      <c r="M660" s="22">
        <v>36550</v>
      </c>
      <c r="N660" s="18">
        <v>39.090000000000003</v>
      </c>
      <c r="O660" s="26">
        <v>45530</v>
      </c>
      <c r="P660" s="2" t="s">
        <v>805</v>
      </c>
      <c r="Q660" s="2" t="s">
        <v>806</v>
      </c>
    </row>
    <row r="661" spans="2:17" x14ac:dyDescent="0.25">
      <c r="B661" s="2" t="s">
        <v>1465</v>
      </c>
      <c r="C661" s="2" t="s">
        <v>144</v>
      </c>
      <c r="D661" s="2" t="s">
        <v>145</v>
      </c>
      <c r="E661" s="2" t="s">
        <v>122</v>
      </c>
      <c r="F661" s="2" t="s">
        <v>535</v>
      </c>
      <c r="G661" s="2" t="s">
        <v>416</v>
      </c>
      <c r="H661" s="2" t="s">
        <v>94</v>
      </c>
      <c r="I661" s="26">
        <v>45498</v>
      </c>
      <c r="J661" s="2">
        <v>14</v>
      </c>
      <c r="K661" s="2" t="s">
        <v>123</v>
      </c>
      <c r="L661" s="22">
        <v>2150</v>
      </c>
      <c r="M661" s="22">
        <v>30100</v>
      </c>
      <c r="N661" s="18">
        <v>32.19</v>
      </c>
      <c r="O661" s="26">
        <v>45543</v>
      </c>
      <c r="P661" s="2" t="s">
        <v>805</v>
      </c>
      <c r="Q661" s="2" t="s">
        <v>806</v>
      </c>
    </row>
    <row r="662" spans="2:17" x14ac:dyDescent="0.25">
      <c r="B662" s="2" t="s">
        <v>1466</v>
      </c>
      <c r="C662" s="2" t="s">
        <v>144</v>
      </c>
      <c r="D662" s="2" t="s">
        <v>145</v>
      </c>
      <c r="E662" s="2" t="s">
        <v>122</v>
      </c>
      <c r="F662" s="2" t="s">
        <v>537</v>
      </c>
      <c r="G662" s="2" t="s">
        <v>420</v>
      </c>
      <c r="H662" s="2" t="s">
        <v>421</v>
      </c>
      <c r="I662" s="26">
        <v>45506</v>
      </c>
      <c r="J662" s="2">
        <v>17</v>
      </c>
      <c r="K662" s="2" t="s">
        <v>123</v>
      </c>
      <c r="L662" s="22">
        <v>2200</v>
      </c>
      <c r="M662" s="22">
        <v>37400</v>
      </c>
      <c r="N662" s="18">
        <v>40</v>
      </c>
      <c r="O662" s="26">
        <v>45551</v>
      </c>
      <c r="P662" s="2" t="s">
        <v>805</v>
      </c>
      <c r="Q662" s="2" t="s">
        <v>806</v>
      </c>
    </row>
    <row r="663" spans="2:17" x14ac:dyDescent="0.25">
      <c r="B663" s="2" t="s">
        <v>1467</v>
      </c>
      <c r="C663" s="2" t="s">
        <v>144</v>
      </c>
      <c r="D663" s="2" t="s">
        <v>145</v>
      </c>
      <c r="E663" s="2" t="s">
        <v>122</v>
      </c>
      <c r="F663" s="2" t="s">
        <v>535</v>
      </c>
      <c r="G663" s="2" t="s">
        <v>416</v>
      </c>
      <c r="H663" s="2" t="s">
        <v>94</v>
      </c>
      <c r="I663" s="26">
        <v>45514</v>
      </c>
      <c r="J663" s="2">
        <v>14</v>
      </c>
      <c r="K663" s="2" t="s">
        <v>123</v>
      </c>
      <c r="L663" s="22">
        <v>2150</v>
      </c>
      <c r="M663" s="22">
        <v>30100</v>
      </c>
      <c r="N663" s="18">
        <v>32.19</v>
      </c>
      <c r="O663" s="26">
        <v>45559</v>
      </c>
      <c r="P663" s="2" t="s">
        <v>805</v>
      </c>
      <c r="Q663" s="2" t="s">
        <v>806</v>
      </c>
    </row>
    <row r="664" spans="2:17" x14ac:dyDescent="0.25">
      <c r="B664" s="2" t="s">
        <v>1468</v>
      </c>
      <c r="C664" s="2" t="s">
        <v>144</v>
      </c>
      <c r="D664" s="2" t="s">
        <v>145</v>
      </c>
      <c r="E664" s="2" t="s">
        <v>122</v>
      </c>
      <c r="F664" s="2" t="s">
        <v>537</v>
      </c>
      <c r="G664" s="2" t="s">
        <v>420</v>
      </c>
      <c r="H664" s="2" t="s">
        <v>421</v>
      </c>
      <c r="I664" s="26">
        <v>45523</v>
      </c>
      <c r="J664" s="2">
        <v>17</v>
      </c>
      <c r="K664" s="2" t="s">
        <v>123</v>
      </c>
      <c r="L664" s="22">
        <v>2200</v>
      </c>
      <c r="M664" s="22">
        <v>37400</v>
      </c>
      <c r="N664" s="18">
        <v>40</v>
      </c>
      <c r="O664" s="26">
        <v>45568</v>
      </c>
      <c r="P664" s="2" t="s">
        <v>805</v>
      </c>
      <c r="Q664" s="2" t="s">
        <v>806</v>
      </c>
    </row>
    <row r="665" spans="2:17" x14ac:dyDescent="0.25">
      <c r="B665" s="2" t="s">
        <v>1469</v>
      </c>
      <c r="C665" s="2" t="s">
        <v>144</v>
      </c>
      <c r="D665" s="2" t="s">
        <v>145</v>
      </c>
      <c r="E665" s="2" t="s">
        <v>122</v>
      </c>
      <c r="F665" s="2" t="s">
        <v>535</v>
      </c>
      <c r="G665" s="2" t="s">
        <v>416</v>
      </c>
      <c r="H665" s="2" t="s">
        <v>94</v>
      </c>
      <c r="I665" s="26">
        <v>45531</v>
      </c>
      <c r="J665" s="2">
        <v>17</v>
      </c>
      <c r="K665" s="2" t="s">
        <v>123</v>
      </c>
      <c r="L665" s="22">
        <v>2150</v>
      </c>
      <c r="M665" s="22">
        <v>36550</v>
      </c>
      <c r="N665" s="18">
        <v>39.090000000000003</v>
      </c>
      <c r="O665" s="26">
        <v>45576</v>
      </c>
      <c r="P665" s="2" t="s">
        <v>805</v>
      </c>
      <c r="Q665" s="2" t="s">
        <v>806</v>
      </c>
    </row>
    <row r="666" spans="2:17" x14ac:dyDescent="0.25">
      <c r="B666" s="2" t="s">
        <v>1470</v>
      </c>
      <c r="C666" s="2" t="s">
        <v>144</v>
      </c>
      <c r="D666" s="2" t="s">
        <v>145</v>
      </c>
      <c r="E666" s="2" t="s">
        <v>122</v>
      </c>
      <c r="F666" s="2" t="s">
        <v>535</v>
      </c>
      <c r="G666" s="2" t="s">
        <v>416</v>
      </c>
      <c r="H666" s="2" t="s">
        <v>94</v>
      </c>
      <c r="I666" s="26">
        <v>45543</v>
      </c>
      <c r="J666" s="2">
        <v>20</v>
      </c>
      <c r="K666" s="2" t="s">
        <v>123</v>
      </c>
      <c r="L666" s="22">
        <v>2150</v>
      </c>
      <c r="M666" s="22">
        <v>43000</v>
      </c>
      <c r="N666" s="18">
        <v>45.99</v>
      </c>
      <c r="O666" s="26">
        <v>45588</v>
      </c>
      <c r="P666" s="2" t="s">
        <v>805</v>
      </c>
      <c r="Q666" s="2" t="s">
        <v>814</v>
      </c>
    </row>
    <row r="667" spans="2:17" x14ac:dyDescent="0.25">
      <c r="B667" s="2" t="s">
        <v>1471</v>
      </c>
      <c r="C667" s="2" t="s">
        <v>144</v>
      </c>
      <c r="D667" s="2" t="s">
        <v>145</v>
      </c>
      <c r="E667" s="2" t="s">
        <v>122</v>
      </c>
      <c r="F667" s="2" t="s">
        <v>535</v>
      </c>
      <c r="G667" s="2" t="s">
        <v>416</v>
      </c>
      <c r="H667" s="2" t="s">
        <v>94</v>
      </c>
      <c r="I667" s="26">
        <v>45553</v>
      </c>
      <c r="J667" s="2">
        <v>16</v>
      </c>
      <c r="K667" s="2" t="s">
        <v>123</v>
      </c>
      <c r="L667" s="22">
        <v>2150</v>
      </c>
      <c r="M667" s="22">
        <v>34400</v>
      </c>
      <c r="N667" s="18">
        <v>36.79</v>
      </c>
      <c r="O667" s="26">
        <v>45598</v>
      </c>
      <c r="P667" s="2" t="s">
        <v>805</v>
      </c>
      <c r="Q667" s="2" t="s">
        <v>814</v>
      </c>
    </row>
    <row r="668" spans="2:17" x14ac:dyDescent="0.25">
      <c r="B668" s="2" t="s">
        <v>1472</v>
      </c>
      <c r="C668" s="2" t="s">
        <v>144</v>
      </c>
      <c r="D668" s="2" t="s">
        <v>145</v>
      </c>
      <c r="E668" s="2" t="s">
        <v>122</v>
      </c>
      <c r="F668" s="2" t="s">
        <v>535</v>
      </c>
      <c r="G668" s="2" t="s">
        <v>416</v>
      </c>
      <c r="H668" s="2" t="s">
        <v>94</v>
      </c>
      <c r="I668" s="26">
        <v>45562</v>
      </c>
      <c r="J668" s="2">
        <v>20</v>
      </c>
      <c r="K668" s="2" t="s">
        <v>123</v>
      </c>
      <c r="L668" s="22">
        <v>2150</v>
      </c>
      <c r="M668" s="22">
        <v>43000</v>
      </c>
      <c r="N668" s="18">
        <v>45.99</v>
      </c>
      <c r="O668" s="26">
        <v>45607</v>
      </c>
      <c r="P668" s="2" t="s">
        <v>805</v>
      </c>
      <c r="Q668" s="2" t="s">
        <v>814</v>
      </c>
    </row>
    <row r="669" spans="2:17" x14ac:dyDescent="0.25">
      <c r="B669" s="2" t="s">
        <v>1473</v>
      </c>
      <c r="C669" s="2" t="s">
        <v>144</v>
      </c>
      <c r="D669" s="2" t="s">
        <v>145</v>
      </c>
      <c r="E669" s="2" t="s">
        <v>122</v>
      </c>
      <c r="F669" s="2" t="s">
        <v>535</v>
      </c>
      <c r="G669" s="2" t="s">
        <v>416</v>
      </c>
      <c r="H669" s="2" t="s">
        <v>94</v>
      </c>
      <c r="I669" s="26">
        <v>45571</v>
      </c>
      <c r="J669" s="2">
        <v>34</v>
      </c>
      <c r="K669" s="2" t="s">
        <v>123</v>
      </c>
      <c r="L669" s="22">
        <v>2150</v>
      </c>
      <c r="M669" s="22">
        <v>73100</v>
      </c>
      <c r="N669" s="18">
        <v>78.180000000000007</v>
      </c>
      <c r="O669" s="26">
        <v>45616</v>
      </c>
      <c r="P669" s="2" t="s">
        <v>805</v>
      </c>
      <c r="Q669" s="2" t="s">
        <v>814</v>
      </c>
    </row>
    <row r="670" spans="2:17" x14ac:dyDescent="0.25">
      <c r="B670" s="2" t="s">
        <v>1474</v>
      </c>
      <c r="C670" s="2" t="s">
        <v>144</v>
      </c>
      <c r="D670" s="2" t="s">
        <v>145</v>
      </c>
      <c r="E670" s="2" t="s">
        <v>122</v>
      </c>
      <c r="F670" s="2" t="s">
        <v>535</v>
      </c>
      <c r="G670" s="2" t="s">
        <v>416</v>
      </c>
      <c r="H670" s="2" t="s">
        <v>94</v>
      </c>
      <c r="I670" s="26">
        <v>45583</v>
      </c>
      <c r="J670" s="2">
        <v>37</v>
      </c>
      <c r="K670" s="2" t="s">
        <v>123</v>
      </c>
      <c r="L670" s="22">
        <v>2150</v>
      </c>
      <c r="M670" s="22">
        <v>79550</v>
      </c>
      <c r="N670" s="18">
        <v>85.08</v>
      </c>
      <c r="O670" s="26">
        <v>45628</v>
      </c>
      <c r="P670" s="2" t="s">
        <v>805</v>
      </c>
      <c r="Q670" s="2" t="s">
        <v>814</v>
      </c>
    </row>
    <row r="671" spans="2:17" x14ac:dyDescent="0.25">
      <c r="B671" s="2" t="s">
        <v>1475</v>
      </c>
      <c r="C671" s="2" t="s">
        <v>144</v>
      </c>
      <c r="D671" s="2" t="s">
        <v>145</v>
      </c>
      <c r="E671" s="2" t="s">
        <v>122</v>
      </c>
      <c r="F671" s="2" t="s">
        <v>535</v>
      </c>
      <c r="G671" s="2" t="s">
        <v>416</v>
      </c>
      <c r="H671" s="2" t="s">
        <v>94</v>
      </c>
      <c r="I671" s="26">
        <v>45594</v>
      </c>
      <c r="J671" s="2">
        <v>46</v>
      </c>
      <c r="K671" s="2" t="s">
        <v>123</v>
      </c>
      <c r="L671" s="22">
        <v>2150</v>
      </c>
      <c r="M671" s="22">
        <v>98900</v>
      </c>
      <c r="N671" s="18">
        <v>105.78</v>
      </c>
      <c r="O671" s="26">
        <v>45639</v>
      </c>
      <c r="P671" s="2" t="s">
        <v>805</v>
      </c>
      <c r="Q671" s="2" t="s">
        <v>814</v>
      </c>
    </row>
    <row r="672" spans="2:17" x14ac:dyDescent="0.25">
      <c r="B672" s="2" t="s">
        <v>1476</v>
      </c>
      <c r="C672" s="2" t="s">
        <v>144</v>
      </c>
      <c r="D672" s="2" t="s">
        <v>145</v>
      </c>
      <c r="E672" s="2" t="s">
        <v>122</v>
      </c>
      <c r="F672" s="2" t="s">
        <v>537</v>
      </c>
      <c r="G672" s="2" t="s">
        <v>420</v>
      </c>
      <c r="H672" s="2" t="s">
        <v>421</v>
      </c>
      <c r="I672" s="26">
        <v>45603</v>
      </c>
      <c r="J672" s="2">
        <v>35</v>
      </c>
      <c r="K672" s="2" t="s">
        <v>123</v>
      </c>
      <c r="L672" s="22">
        <v>2200</v>
      </c>
      <c r="M672" s="22">
        <v>77000</v>
      </c>
      <c r="N672" s="18">
        <v>82.35</v>
      </c>
      <c r="O672" s="26">
        <v>45648</v>
      </c>
      <c r="P672" s="2" t="s">
        <v>805</v>
      </c>
      <c r="Q672" s="2" t="s">
        <v>814</v>
      </c>
    </row>
    <row r="673" spans="2:17" x14ac:dyDescent="0.25">
      <c r="B673" s="2" t="s">
        <v>1477</v>
      </c>
      <c r="C673" s="2" t="s">
        <v>144</v>
      </c>
      <c r="D673" s="2" t="s">
        <v>145</v>
      </c>
      <c r="E673" s="2" t="s">
        <v>122</v>
      </c>
      <c r="F673" s="2" t="s">
        <v>535</v>
      </c>
      <c r="G673" s="2" t="s">
        <v>416</v>
      </c>
      <c r="H673" s="2" t="s">
        <v>94</v>
      </c>
      <c r="I673" s="26">
        <v>45616</v>
      </c>
      <c r="J673" s="2">
        <v>36</v>
      </c>
      <c r="K673" s="2" t="s">
        <v>123</v>
      </c>
      <c r="L673" s="22">
        <v>2150</v>
      </c>
      <c r="M673" s="22">
        <v>77400</v>
      </c>
      <c r="N673" s="18">
        <v>82.78</v>
      </c>
      <c r="O673" s="26">
        <v>45661</v>
      </c>
      <c r="P673" s="2" t="s">
        <v>805</v>
      </c>
      <c r="Q673" s="2" t="s">
        <v>814</v>
      </c>
    </row>
    <row r="674" spans="2:17" x14ac:dyDescent="0.25">
      <c r="B674" s="2" t="s">
        <v>1478</v>
      </c>
      <c r="C674" s="2" t="s">
        <v>144</v>
      </c>
      <c r="D674" s="2" t="s">
        <v>145</v>
      </c>
      <c r="E674" s="2" t="s">
        <v>122</v>
      </c>
      <c r="F674" s="2" t="s">
        <v>535</v>
      </c>
      <c r="G674" s="2" t="s">
        <v>416</v>
      </c>
      <c r="H674" s="2" t="s">
        <v>94</v>
      </c>
      <c r="I674" s="26">
        <v>45626</v>
      </c>
      <c r="J674" s="2">
        <v>36</v>
      </c>
      <c r="K674" s="2" t="s">
        <v>123</v>
      </c>
      <c r="L674" s="22">
        <v>2150</v>
      </c>
      <c r="M674" s="22">
        <v>77400</v>
      </c>
      <c r="N674" s="18">
        <v>82.78</v>
      </c>
      <c r="O674" s="26">
        <v>45671</v>
      </c>
      <c r="P674" s="2" t="s">
        <v>805</v>
      </c>
      <c r="Q674" s="2" t="s">
        <v>814</v>
      </c>
    </row>
    <row r="675" spans="2:17" x14ac:dyDescent="0.25">
      <c r="B675" s="2" t="s">
        <v>1479</v>
      </c>
      <c r="C675" s="2" t="s">
        <v>144</v>
      </c>
      <c r="D675" s="2" t="s">
        <v>145</v>
      </c>
      <c r="E675" s="2" t="s">
        <v>122</v>
      </c>
      <c r="F675" s="2" t="s">
        <v>535</v>
      </c>
      <c r="G675" s="2" t="s">
        <v>416</v>
      </c>
      <c r="H675" s="2" t="s">
        <v>94</v>
      </c>
      <c r="I675" s="26">
        <v>45636</v>
      </c>
      <c r="J675" s="2">
        <v>44</v>
      </c>
      <c r="K675" s="2" t="s">
        <v>123</v>
      </c>
      <c r="L675" s="22">
        <v>2150</v>
      </c>
      <c r="M675" s="22">
        <v>94600</v>
      </c>
      <c r="N675" s="18">
        <v>101.18</v>
      </c>
      <c r="O675" s="26">
        <v>45681</v>
      </c>
      <c r="P675" s="2" t="s">
        <v>805</v>
      </c>
      <c r="Q675" s="2" t="s">
        <v>825</v>
      </c>
    </row>
    <row r="676" spans="2:17" x14ac:dyDescent="0.25">
      <c r="B676" s="2" t="s">
        <v>1480</v>
      </c>
      <c r="C676" s="2" t="s">
        <v>144</v>
      </c>
      <c r="D676" s="2" t="s">
        <v>145</v>
      </c>
      <c r="E676" s="2" t="s">
        <v>122</v>
      </c>
      <c r="F676" s="2" t="s">
        <v>535</v>
      </c>
      <c r="G676" s="2" t="s">
        <v>416</v>
      </c>
      <c r="H676" s="2" t="s">
        <v>94</v>
      </c>
      <c r="I676" s="26">
        <v>45646</v>
      </c>
      <c r="J676" s="2">
        <v>56</v>
      </c>
      <c r="K676" s="2" t="s">
        <v>123</v>
      </c>
      <c r="L676" s="22">
        <v>2150</v>
      </c>
      <c r="M676" s="22">
        <v>120400</v>
      </c>
      <c r="N676" s="18">
        <v>128.77000000000001</v>
      </c>
      <c r="O676" s="26">
        <v>45691</v>
      </c>
      <c r="P676" s="2" t="s">
        <v>805</v>
      </c>
      <c r="Q676" s="2" t="s">
        <v>825</v>
      </c>
    </row>
    <row r="677" spans="2:17" x14ac:dyDescent="0.25">
      <c r="B677" s="2" t="s">
        <v>1481</v>
      </c>
      <c r="C677" s="2" t="s">
        <v>144</v>
      </c>
      <c r="D677" s="2" t="s">
        <v>145</v>
      </c>
      <c r="E677" s="2" t="s">
        <v>122</v>
      </c>
      <c r="F677" s="2" t="s">
        <v>537</v>
      </c>
      <c r="G677" s="2" t="s">
        <v>420</v>
      </c>
      <c r="H677" s="2" t="s">
        <v>421</v>
      </c>
      <c r="I677" s="26">
        <v>45654</v>
      </c>
      <c r="J677" s="2">
        <v>45</v>
      </c>
      <c r="K677" s="2" t="s">
        <v>123</v>
      </c>
      <c r="L677" s="22">
        <v>2200</v>
      </c>
      <c r="M677" s="22">
        <v>99000</v>
      </c>
      <c r="N677" s="18">
        <v>105.88</v>
      </c>
      <c r="O677" s="26">
        <v>45699</v>
      </c>
      <c r="P677" s="2" t="s">
        <v>805</v>
      </c>
      <c r="Q677" s="2" t="s">
        <v>825</v>
      </c>
    </row>
    <row r="678" spans="2:17" x14ac:dyDescent="0.25">
      <c r="B678" s="2" t="s">
        <v>1482</v>
      </c>
      <c r="C678" s="2" t="s">
        <v>144</v>
      </c>
      <c r="D678" s="2" t="s">
        <v>145</v>
      </c>
      <c r="E678" s="2" t="s">
        <v>122</v>
      </c>
      <c r="F678" s="2" t="s">
        <v>535</v>
      </c>
      <c r="G678" s="2" t="s">
        <v>416</v>
      </c>
      <c r="H678" s="2" t="s">
        <v>94</v>
      </c>
      <c r="I678" s="26">
        <v>45664</v>
      </c>
      <c r="J678" s="2">
        <v>47</v>
      </c>
      <c r="K678" s="2" t="s">
        <v>123</v>
      </c>
      <c r="L678" s="22">
        <v>2150</v>
      </c>
      <c r="M678" s="22">
        <v>101050</v>
      </c>
      <c r="N678" s="18">
        <v>108.07</v>
      </c>
      <c r="O678" s="26">
        <v>45709</v>
      </c>
      <c r="P678" s="2" t="s">
        <v>805</v>
      </c>
      <c r="Q678" s="2" t="s">
        <v>825</v>
      </c>
    </row>
    <row r="679" spans="2:17" x14ac:dyDescent="0.25">
      <c r="B679" s="2" t="s">
        <v>1483</v>
      </c>
      <c r="C679" s="2" t="s">
        <v>144</v>
      </c>
      <c r="D679" s="2" t="s">
        <v>145</v>
      </c>
      <c r="E679" s="2" t="s">
        <v>122</v>
      </c>
      <c r="F679" s="2" t="s">
        <v>535</v>
      </c>
      <c r="G679" s="2" t="s">
        <v>416</v>
      </c>
      <c r="H679" s="2" t="s">
        <v>94</v>
      </c>
      <c r="I679" s="26">
        <v>45672</v>
      </c>
      <c r="J679" s="2">
        <v>39</v>
      </c>
      <c r="K679" s="2" t="s">
        <v>123</v>
      </c>
      <c r="L679" s="22">
        <v>2150</v>
      </c>
      <c r="M679" s="22">
        <v>83850</v>
      </c>
      <c r="N679" s="18">
        <v>89.68</v>
      </c>
      <c r="O679" s="26">
        <v>45717</v>
      </c>
      <c r="P679" s="2" t="s">
        <v>805</v>
      </c>
      <c r="Q679" s="2" t="s">
        <v>825</v>
      </c>
    </row>
    <row r="680" spans="2:17" x14ac:dyDescent="0.25">
      <c r="B680" s="2" t="s">
        <v>1484</v>
      </c>
      <c r="C680" s="2" t="s">
        <v>144</v>
      </c>
      <c r="D680" s="2" t="s">
        <v>145</v>
      </c>
      <c r="E680" s="2" t="s">
        <v>122</v>
      </c>
      <c r="F680" s="2" t="s">
        <v>535</v>
      </c>
      <c r="G680" s="2" t="s">
        <v>416</v>
      </c>
      <c r="H680" s="2" t="s">
        <v>94</v>
      </c>
      <c r="I680" s="26">
        <v>45682</v>
      </c>
      <c r="J680" s="2">
        <v>47</v>
      </c>
      <c r="K680" s="2" t="s">
        <v>123</v>
      </c>
      <c r="L680" s="22">
        <v>2150</v>
      </c>
      <c r="M680" s="22">
        <v>101050</v>
      </c>
      <c r="N680" s="18">
        <v>108.07</v>
      </c>
      <c r="O680" s="26">
        <v>45727</v>
      </c>
      <c r="P680" s="2" t="s">
        <v>805</v>
      </c>
      <c r="Q680" s="2" t="s">
        <v>825</v>
      </c>
    </row>
    <row r="681" spans="2:17" x14ac:dyDescent="0.25">
      <c r="B681" s="2" t="s">
        <v>1485</v>
      </c>
      <c r="C681" s="2" t="s">
        <v>144</v>
      </c>
      <c r="D681" s="2" t="s">
        <v>145</v>
      </c>
      <c r="E681" s="2" t="s">
        <v>122</v>
      </c>
      <c r="F681" s="2" t="s">
        <v>537</v>
      </c>
      <c r="G681" s="2" t="s">
        <v>420</v>
      </c>
      <c r="H681" s="2" t="s">
        <v>421</v>
      </c>
      <c r="I681" s="26">
        <v>45691</v>
      </c>
      <c r="J681" s="2">
        <v>46</v>
      </c>
      <c r="K681" s="2" t="s">
        <v>123</v>
      </c>
      <c r="L681" s="22">
        <v>2200</v>
      </c>
      <c r="M681" s="22">
        <v>101200</v>
      </c>
      <c r="N681" s="18">
        <v>108.24</v>
      </c>
      <c r="O681" s="26">
        <v>45736</v>
      </c>
      <c r="P681" s="2" t="s">
        <v>805</v>
      </c>
      <c r="Q681" s="2" t="s">
        <v>825</v>
      </c>
    </row>
    <row r="682" spans="2:17" x14ac:dyDescent="0.25">
      <c r="B682" s="2" t="s">
        <v>1486</v>
      </c>
      <c r="C682" s="2" t="s">
        <v>144</v>
      </c>
      <c r="D682" s="2" t="s">
        <v>145</v>
      </c>
      <c r="E682" s="2" t="s">
        <v>122</v>
      </c>
      <c r="F682" s="2" t="s">
        <v>537</v>
      </c>
      <c r="G682" s="2" t="s">
        <v>420</v>
      </c>
      <c r="H682" s="2" t="s">
        <v>421</v>
      </c>
      <c r="I682" s="26">
        <v>45698</v>
      </c>
      <c r="J682" s="2">
        <v>41</v>
      </c>
      <c r="K682" s="2" t="s">
        <v>123</v>
      </c>
      <c r="L682" s="22">
        <v>2200</v>
      </c>
      <c r="M682" s="22">
        <v>90200</v>
      </c>
      <c r="N682" s="18">
        <v>96.47</v>
      </c>
      <c r="O682" s="26">
        <v>45743</v>
      </c>
      <c r="P682" s="2" t="s">
        <v>805</v>
      </c>
      <c r="Q682" s="2" t="s">
        <v>825</v>
      </c>
    </row>
    <row r="683" spans="2:17" x14ac:dyDescent="0.25">
      <c r="B683" s="2" t="s">
        <v>1487</v>
      </c>
      <c r="C683" s="2" t="s">
        <v>144</v>
      </c>
      <c r="D683" s="2" t="s">
        <v>145</v>
      </c>
      <c r="E683" s="2" t="s">
        <v>122</v>
      </c>
      <c r="F683" s="2" t="s">
        <v>535</v>
      </c>
      <c r="G683" s="2" t="s">
        <v>416</v>
      </c>
      <c r="H683" s="2" t="s">
        <v>94</v>
      </c>
      <c r="I683" s="26">
        <v>45707</v>
      </c>
      <c r="J683" s="2">
        <v>49</v>
      </c>
      <c r="K683" s="2" t="s">
        <v>123</v>
      </c>
      <c r="L683" s="22">
        <v>2150</v>
      </c>
      <c r="M683" s="22">
        <v>105350</v>
      </c>
      <c r="N683" s="18">
        <v>112.67</v>
      </c>
      <c r="O683" s="26">
        <v>45752</v>
      </c>
      <c r="P683" s="2" t="s">
        <v>805</v>
      </c>
      <c r="Q683" s="2" t="s">
        <v>825</v>
      </c>
    </row>
    <row r="684" spans="2:17" x14ac:dyDescent="0.25">
      <c r="B684" s="2" t="s">
        <v>1488</v>
      </c>
      <c r="C684" s="2" t="s">
        <v>144</v>
      </c>
      <c r="D684" s="2" t="s">
        <v>145</v>
      </c>
      <c r="E684" s="2" t="s">
        <v>122</v>
      </c>
      <c r="F684" s="2" t="s">
        <v>535</v>
      </c>
      <c r="G684" s="2" t="s">
        <v>416</v>
      </c>
      <c r="H684" s="2" t="s">
        <v>94</v>
      </c>
      <c r="I684" s="26">
        <v>45716</v>
      </c>
      <c r="J684" s="2">
        <v>41</v>
      </c>
      <c r="K684" s="2" t="s">
        <v>123</v>
      </c>
      <c r="L684" s="22">
        <v>2150</v>
      </c>
      <c r="M684" s="22">
        <v>88150</v>
      </c>
      <c r="N684" s="18">
        <v>94.28</v>
      </c>
      <c r="O684" s="26">
        <v>45761</v>
      </c>
      <c r="P684" s="2" t="s">
        <v>805</v>
      </c>
      <c r="Q684" s="2" t="s">
        <v>825</v>
      </c>
    </row>
    <row r="685" spans="2:17" x14ac:dyDescent="0.25">
      <c r="B685" s="2" t="s">
        <v>1489</v>
      </c>
      <c r="C685" s="2" t="s">
        <v>144</v>
      </c>
      <c r="D685" s="2" t="s">
        <v>145</v>
      </c>
      <c r="E685" s="2" t="s">
        <v>122</v>
      </c>
      <c r="F685" s="2" t="s">
        <v>535</v>
      </c>
      <c r="G685" s="2" t="s">
        <v>416</v>
      </c>
      <c r="H685" s="2" t="s">
        <v>94</v>
      </c>
      <c r="I685" s="26">
        <v>45726</v>
      </c>
      <c r="J685" s="2">
        <v>38</v>
      </c>
      <c r="K685" s="2" t="s">
        <v>123</v>
      </c>
      <c r="L685" s="22">
        <v>2150</v>
      </c>
      <c r="M685" s="22">
        <v>81700</v>
      </c>
      <c r="N685" s="18">
        <v>87.38</v>
      </c>
      <c r="O685" s="26">
        <v>45771</v>
      </c>
      <c r="P685" s="2" t="s">
        <v>805</v>
      </c>
      <c r="Q685" s="2" t="s">
        <v>836</v>
      </c>
    </row>
    <row r="686" spans="2:17" x14ac:dyDescent="0.25">
      <c r="B686" s="2" t="s">
        <v>1490</v>
      </c>
      <c r="C686" s="2" t="s">
        <v>144</v>
      </c>
      <c r="D686" s="2" t="s">
        <v>145</v>
      </c>
      <c r="E686" s="2" t="s">
        <v>122</v>
      </c>
      <c r="F686" s="2" t="s">
        <v>535</v>
      </c>
      <c r="G686" s="2" t="s">
        <v>416</v>
      </c>
      <c r="H686" s="2" t="s">
        <v>94</v>
      </c>
      <c r="I686" s="26">
        <v>45734</v>
      </c>
      <c r="J686" s="2">
        <v>43</v>
      </c>
      <c r="K686" s="2" t="s">
        <v>123</v>
      </c>
      <c r="L686" s="22">
        <v>2150</v>
      </c>
      <c r="M686" s="22">
        <v>92450</v>
      </c>
      <c r="N686" s="18">
        <v>98.88</v>
      </c>
      <c r="O686" s="26">
        <v>45779</v>
      </c>
      <c r="P686" s="2" t="s">
        <v>805</v>
      </c>
      <c r="Q686" s="2" t="s">
        <v>836</v>
      </c>
    </row>
    <row r="687" spans="2:17" x14ac:dyDescent="0.25">
      <c r="B687" s="2" t="s">
        <v>1491</v>
      </c>
      <c r="C687" s="2" t="s">
        <v>144</v>
      </c>
      <c r="D687" s="2" t="s">
        <v>145</v>
      </c>
      <c r="E687" s="2" t="s">
        <v>122</v>
      </c>
      <c r="F687" s="2" t="s">
        <v>535</v>
      </c>
      <c r="G687" s="2" t="s">
        <v>416</v>
      </c>
      <c r="H687" s="2" t="s">
        <v>94</v>
      </c>
      <c r="I687" s="26">
        <v>45741</v>
      </c>
      <c r="J687" s="2">
        <v>45</v>
      </c>
      <c r="K687" s="2" t="s">
        <v>123</v>
      </c>
      <c r="L687" s="22">
        <v>2150</v>
      </c>
      <c r="M687" s="22">
        <v>96750</v>
      </c>
      <c r="N687" s="18">
        <v>103.48</v>
      </c>
      <c r="O687" s="26">
        <v>45786</v>
      </c>
      <c r="P687" s="2" t="s">
        <v>805</v>
      </c>
      <c r="Q687" s="2" t="s">
        <v>836</v>
      </c>
    </row>
    <row r="688" spans="2:17" x14ac:dyDescent="0.25">
      <c r="B688" s="2" t="s">
        <v>1492</v>
      </c>
      <c r="C688" s="2" t="s">
        <v>144</v>
      </c>
      <c r="D688" s="2" t="s">
        <v>145</v>
      </c>
      <c r="E688" s="2" t="s">
        <v>122</v>
      </c>
      <c r="F688" s="2" t="s">
        <v>535</v>
      </c>
      <c r="G688" s="2" t="s">
        <v>416</v>
      </c>
      <c r="H688" s="2" t="s">
        <v>94</v>
      </c>
      <c r="I688" s="26">
        <v>45752</v>
      </c>
      <c r="J688" s="2">
        <v>17</v>
      </c>
      <c r="K688" s="2" t="s">
        <v>123</v>
      </c>
      <c r="L688" s="22">
        <v>2150</v>
      </c>
      <c r="M688" s="22">
        <v>36550</v>
      </c>
      <c r="N688" s="18">
        <v>39.090000000000003</v>
      </c>
      <c r="O688" s="26">
        <v>45797</v>
      </c>
      <c r="P688" s="2" t="s">
        <v>805</v>
      </c>
      <c r="Q688" s="2" t="s">
        <v>836</v>
      </c>
    </row>
    <row r="689" spans="2:17" x14ac:dyDescent="0.25">
      <c r="B689" s="2" t="s">
        <v>1493</v>
      </c>
      <c r="C689" s="2" t="s">
        <v>144</v>
      </c>
      <c r="D689" s="2" t="s">
        <v>145</v>
      </c>
      <c r="E689" s="2" t="s">
        <v>122</v>
      </c>
      <c r="F689" s="2" t="s">
        <v>535</v>
      </c>
      <c r="G689" s="2" t="s">
        <v>416</v>
      </c>
      <c r="H689" s="2" t="s">
        <v>94</v>
      </c>
      <c r="I689" s="26">
        <v>45764</v>
      </c>
      <c r="J689" s="2">
        <v>18</v>
      </c>
      <c r="K689" s="2" t="s">
        <v>123</v>
      </c>
      <c r="L689" s="22">
        <v>2150</v>
      </c>
      <c r="M689" s="22">
        <v>38700</v>
      </c>
      <c r="N689" s="18">
        <v>41.39</v>
      </c>
      <c r="O689" s="26">
        <v>45809</v>
      </c>
      <c r="P689" s="2" t="s">
        <v>805</v>
      </c>
      <c r="Q689" s="2" t="s">
        <v>836</v>
      </c>
    </row>
    <row r="690" spans="2:17" x14ac:dyDescent="0.25">
      <c r="B690" s="2" t="s">
        <v>1494</v>
      </c>
      <c r="C690" s="2" t="s">
        <v>144</v>
      </c>
      <c r="D690" s="2" t="s">
        <v>145</v>
      </c>
      <c r="E690" s="2" t="s">
        <v>122</v>
      </c>
      <c r="F690" s="2" t="s">
        <v>535</v>
      </c>
      <c r="G690" s="2" t="s">
        <v>416</v>
      </c>
      <c r="H690" s="2" t="s">
        <v>94</v>
      </c>
      <c r="I690" s="26">
        <v>45775</v>
      </c>
      <c r="J690" s="2">
        <v>15</v>
      </c>
      <c r="K690" s="2" t="s">
        <v>123</v>
      </c>
      <c r="L690" s="22">
        <v>2150</v>
      </c>
      <c r="M690" s="22">
        <v>32250</v>
      </c>
      <c r="N690" s="18">
        <v>34.49</v>
      </c>
      <c r="O690" s="26">
        <v>45820</v>
      </c>
      <c r="P690" s="2" t="s">
        <v>805</v>
      </c>
      <c r="Q690" s="2" t="s">
        <v>836</v>
      </c>
    </row>
    <row r="691" spans="2:17" x14ac:dyDescent="0.25">
      <c r="B691" s="2" t="s">
        <v>1495</v>
      </c>
      <c r="C691" s="2" t="s">
        <v>144</v>
      </c>
      <c r="D691" s="2" t="s">
        <v>145</v>
      </c>
      <c r="E691" s="2" t="s">
        <v>122</v>
      </c>
      <c r="F691" s="2" t="s">
        <v>535</v>
      </c>
      <c r="G691" s="2" t="s">
        <v>416</v>
      </c>
      <c r="H691" s="2" t="s">
        <v>94</v>
      </c>
      <c r="I691" s="26">
        <v>45784</v>
      </c>
      <c r="J691" s="2">
        <v>16</v>
      </c>
      <c r="K691" s="2" t="s">
        <v>123</v>
      </c>
      <c r="L691" s="22">
        <v>2150</v>
      </c>
      <c r="M691" s="22">
        <v>34400</v>
      </c>
      <c r="N691" s="18">
        <v>36.79</v>
      </c>
      <c r="O691" s="26">
        <v>45829</v>
      </c>
      <c r="P691" s="2" t="s">
        <v>805</v>
      </c>
      <c r="Q691" s="2" t="s">
        <v>836</v>
      </c>
    </row>
    <row r="692" spans="2:17" x14ac:dyDescent="0.25">
      <c r="B692" s="2" t="s">
        <v>1496</v>
      </c>
      <c r="C692" s="2" t="s">
        <v>144</v>
      </c>
      <c r="D692" s="2" t="s">
        <v>145</v>
      </c>
      <c r="E692" s="2" t="s">
        <v>122</v>
      </c>
      <c r="F692" s="2" t="s">
        <v>537</v>
      </c>
      <c r="G692" s="2" t="s">
        <v>420</v>
      </c>
      <c r="H692" s="2" t="s">
        <v>421</v>
      </c>
      <c r="I692" s="26">
        <v>45794</v>
      </c>
      <c r="J692" s="2">
        <v>18</v>
      </c>
      <c r="K692" s="2" t="s">
        <v>123</v>
      </c>
      <c r="L692" s="22">
        <v>2200</v>
      </c>
      <c r="M692" s="22">
        <v>39600</v>
      </c>
      <c r="N692" s="18">
        <v>42.35</v>
      </c>
      <c r="O692" s="26">
        <v>45839</v>
      </c>
      <c r="P692" s="2" t="s">
        <v>805</v>
      </c>
      <c r="Q692" s="2" t="s">
        <v>836</v>
      </c>
    </row>
    <row r="693" spans="2:17" x14ac:dyDescent="0.25">
      <c r="B693" s="2" t="s">
        <v>1497</v>
      </c>
      <c r="C693" s="2" t="s">
        <v>144</v>
      </c>
      <c r="D693" s="2" t="s">
        <v>145</v>
      </c>
      <c r="E693" s="2" t="s">
        <v>122</v>
      </c>
      <c r="F693" s="2" t="s">
        <v>535</v>
      </c>
      <c r="G693" s="2" t="s">
        <v>416</v>
      </c>
      <c r="H693" s="2" t="s">
        <v>94</v>
      </c>
      <c r="I693" s="26">
        <v>45806</v>
      </c>
      <c r="J693" s="2">
        <v>18</v>
      </c>
      <c r="K693" s="2" t="s">
        <v>123</v>
      </c>
      <c r="L693" s="22">
        <v>2150</v>
      </c>
      <c r="M693" s="22">
        <v>38700</v>
      </c>
      <c r="N693" s="18">
        <v>41.39</v>
      </c>
      <c r="O693" s="26">
        <v>45851</v>
      </c>
      <c r="P693" s="2" t="s">
        <v>805</v>
      </c>
      <c r="Q693" s="2" t="s">
        <v>836</v>
      </c>
    </row>
    <row r="694" spans="2:17" x14ac:dyDescent="0.25">
      <c r="B694" s="2" t="s">
        <v>1498</v>
      </c>
      <c r="C694" s="2" t="s">
        <v>144</v>
      </c>
      <c r="D694" s="2" t="s">
        <v>145</v>
      </c>
      <c r="E694" s="2" t="s">
        <v>122</v>
      </c>
      <c r="F694" s="2" t="s">
        <v>535</v>
      </c>
      <c r="G694" s="2" t="s">
        <v>416</v>
      </c>
      <c r="H694" s="2" t="s">
        <v>94</v>
      </c>
      <c r="I694" s="26">
        <v>45815</v>
      </c>
      <c r="J694" s="2">
        <v>18</v>
      </c>
      <c r="K694" s="2" t="s">
        <v>123</v>
      </c>
      <c r="L694" s="22">
        <v>2150</v>
      </c>
      <c r="M694" s="22">
        <v>38700</v>
      </c>
      <c r="N694" s="18">
        <v>41.39</v>
      </c>
      <c r="O694" s="26">
        <v>45860</v>
      </c>
      <c r="P694" s="2" t="s">
        <v>805</v>
      </c>
      <c r="Q694" s="2" t="s">
        <v>806</v>
      </c>
    </row>
    <row r="695" spans="2:17" x14ac:dyDescent="0.25">
      <c r="B695" s="2" t="s">
        <v>1499</v>
      </c>
      <c r="C695" s="2" t="s">
        <v>144</v>
      </c>
      <c r="D695" s="2" t="s">
        <v>145</v>
      </c>
      <c r="E695" s="2" t="s">
        <v>122</v>
      </c>
      <c r="F695" s="2" t="s">
        <v>535</v>
      </c>
      <c r="G695" s="2" t="s">
        <v>416</v>
      </c>
      <c r="H695" s="2" t="s">
        <v>94</v>
      </c>
      <c r="I695" s="26">
        <v>45826</v>
      </c>
      <c r="J695" s="2">
        <v>16</v>
      </c>
      <c r="K695" s="2" t="s">
        <v>123</v>
      </c>
      <c r="L695" s="22">
        <v>2150</v>
      </c>
      <c r="M695" s="22">
        <v>34400</v>
      </c>
      <c r="N695" s="18">
        <v>36.79</v>
      </c>
      <c r="O695" s="26">
        <v>45871</v>
      </c>
      <c r="P695" s="2" t="s">
        <v>805</v>
      </c>
      <c r="Q695" s="2" t="s">
        <v>806</v>
      </c>
    </row>
    <row r="696" spans="2:17" x14ac:dyDescent="0.25">
      <c r="B696" s="2" t="s">
        <v>1500</v>
      </c>
      <c r="C696" s="2" t="s">
        <v>144</v>
      </c>
      <c r="D696" s="2" t="s">
        <v>145</v>
      </c>
      <c r="E696" s="2" t="s">
        <v>122</v>
      </c>
      <c r="F696" s="2" t="s">
        <v>535</v>
      </c>
      <c r="G696" s="2" t="s">
        <v>416</v>
      </c>
      <c r="H696" s="2" t="s">
        <v>94</v>
      </c>
      <c r="I696" s="26">
        <v>45836</v>
      </c>
      <c r="J696" s="2">
        <v>16</v>
      </c>
      <c r="K696" s="2" t="s">
        <v>123</v>
      </c>
      <c r="L696" s="22">
        <v>2150</v>
      </c>
      <c r="M696" s="22">
        <v>34400</v>
      </c>
      <c r="N696" s="18">
        <v>36.79</v>
      </c>
      <c r="O696" s="26">
        <v>45881</v>
      </c>
      <c r="P696" s="2" t="s">
        <v>805</v>
      </c>
      <c r="Q696" s="2" t="s">
        <v>806</v>
      </c>
    </row>
    <row r="697" spans="2:17" x14ac:dyDescent="0.25">
      <c r="B697" s="2" t="s">
        <v>1501</v>
      </c>
      <c r="C697" s="2" t="s">
        <v>146</v>
      </c>
      <c r="D697" s="2" t="s">
        <v>147</v>
      </c>
      <c r="E697" s="2" t="s">
        <v>122</v>
      </c>
      <c r="F697" s="2" t="s">
        <v>535</v>
      </c>
      <c r="G697" s="2" t="s">
        <v>416</v>
      </c>
      <c r="H697" s="2" t="s">
        <v>94</v>
      </c>
      <c r="I697" s="26">
        <v>45117</v>
      </c>
      <c r="J697" s="2">
        <v>15</v>
      </c>
      <c r="K697" s="2" t="s">
        <v>123</v>
      </c>
      <c r="L697" s="22">
        <v>2100</v>
      </c>
      <c r="M697" s="22">
        <v>31500</v>
      </c>
      <c r="N697" s="18">
        <v>33.69</v>
      </c>
      <c r="O697" s="26">
        <v>45162</v>
      </c>
      <c r="P697" s="2" t="s">
        <v>805</v>
      </c>
      <c r="Q697" s="2" t="s">
        <v>806</v>
      </c>
    </row>
    <row r="698" spans="2:17" x14ac:dyDescent="0.25">
      <c r="B698" s="2" t="s">
        <v>1502</v>
      </c>
      <c r="C698" s="2" t="s">
        <v>146</v>
      </c>
      <c r="D698" s="2" t="s">
        <v>147</v>
      </c>
      <c r="E698" s="2" t="s">
        <v>122</v>
      </c>
      <c r="F698" s="2" t="s">
        <v>535</v>
      </c>
      <c r="G698" s="2" t="s">
        <v>416</v>
      </c>
      <c r="H698" s="2" t="s">
        <v>94</v>
      </c>
      <c r="I698" s="26">
        <v>45126</v>
      </c>
      <c r="J698" s="2">
        <v>16</v>
      </c>
      <c r="K698" s="2" t="s">
        <v>123</v>
      </c>
      <c r="L698" s="22">
        <v>2100</v>
      </c>
      <c r="M698" s="22">
        <v>33600</v>
      </c>
      <c r="N698" s="18">
        <v>35.94</v>
      </c>
      <c r="O698" s="26">
        <v>45171</v>
      </c>
      <c r="P698" s="2" t="s">
        <v>805</v>
      </c>
      <c r="Q698" s="2" t="s">
        <v>806</v>
      </c>
    </row>
    <row r="699" spans="2:17" x14ac:dyDescent="0.25">
      <c r="B699" s="2" t="s">
        <v>1503</v>
      </c>
      <c r="C699" s="2" t="s">
        <v>146</v>
      </c>
      <c r="D699" s="2" t="s">
        <v>147</v>
      </c>
      <c r="E699" s="2" t="s">
        <v>122</v>
      </c>
      <c r="F699" s="2" t="s">
        <v>535</v>
      </c>
      <c r="G699" s="2" t="s">
        <v>416</v>
      </c>
      <c r="H699" s="2" t="s">
        <v>94</v>
      </c>
      <c r="I699" s="26">
        <v>45138</v>
      </c>
      <c r="J699" s="2">
        <v>13</v>
      </c>
      <c r="K699" s="2" t="s">
        <v>123</v>
      </c>
      <c r="L699" s="22">
        <v>2100</v>
      </c>
      <c r="M699" s="22">
        <v>27300</v>
      </c>
      <c r="N699" s="18">
        <v>29.2</v>
      </c>
      <c r="O699" s="26">
        <v>45183</v>
      </c>
      <c r="P699" s="2" t="s">
        <v>805</v>
      </c>
      <c r="Q699" s="2" t="s">
        <v>806</v>
      </c>
    </row>
    <row r="700" spans="2:17" x14ac:dyDescent="0.25">
      <c r="B700" s="2" t="s">
        <v>1504</v>
      </c>
      <c r="C700" s="2" t="s">
        <v>146</v>
      </c>
      <c r="D700" s="2" t="s">
        <v>147</v>
      </c>
      <c r="E700" s="2" t="s">
        <v>122</v>
      </c>
      <c r="F700" s="2" t="s">
        <v>535</v>
      </c>
      <c r="G700" s="2" t="s">
        <v>416</v>
      </c>
      <c r="H700" s="2" t="s">
        <v>94</v>
      </c>
      <c r="I700" s="26">
        <v>45148</v>
      </c>
      <c r="J700" s="2">
        <v>13</v>
      </c>
      <c r="K700" s="2" t="s">
        <v>123</v>
      </c>
      <c r="L700" s="22">
        <v>2100</v>
      </c>
      <c r="M700" s="22">
        <v>27300</v>
      </c>
      <c r="N700" s="18">
        <v>29.2</v>
      </c>
      <c r="O700" s="26">
        <v>45193</v>
      </c>
      <c r="P700" s="2" t="s">
        <v>805</v>
      </c>
      <c r="Q700" s="2" t="s">
        <v>806</v>
      </c>
    </row>
    <row r="701" spans="2:17" x14ac:dyDescent="0.25">
      <c r="B701" s="2" t="s">
        <v>1505</v>
      </c>
      <c r="C701" s="2" t="s">
        <v>146</v>
      </c>
      <c r="D701" s="2" t="s">
        <v>147</v>
      </c>
      <c r="E701" s="2" t="s">
        <v>122</v>
      </c>
      <c r="F701" s="2" t="s">
        <v>535</v>
      </c>
      <c r="G701" s="2" t="s">
        <v>416</v>
      </c>
      <c r="H701" s="2" t="s">
        <v>94</v>
      </c>
      <c r="I701" s="26">
        <v>45155</v>
      </c>
      <c r="J701" s="2">
        <v>14</v>
      </c>
      <c r="K701" s="2" t="s">
        <v>123</v>
      </c>
      <c r="L701" s="22">
        <v>2100</v>
      </c>
      <c r="M701" s="22">
        <v>29400</v>
      </c>
      <c r="N701" s="18">
        <v>31.44</v>
      </c>
      <c r="O701" s="26">
        <v>45200</v>
      </c>
      <c r="P701" s="2" t="s">
        <v>805</v>
      </c>
      <c r="Q701" s="2" t="s">
        <v>806</v>
      </c>
    </row>
    <row r="702" spans="2:17" x14ac:dyDescent="0.25">
      <c r="B702" s="2" t="s">
        <v>1506</v>
      </c>
      <c r="C702" s="2" t="s">
        <v>146</v>
      </c>
      <c r="D702" s="2" t="s">
        <v>147</v>
      </c>
      <c r="E702" s="2" t="s">
        <v>122</v>
      </c>
      <c r="F702" s="2" t="s">
        <v>535</v>
      </c>
      <c r="G702" s="2" t="s">
        <v>416</v>
      </c>
      <c r="H702" s="2" t="s">
        <v>94</v>
      </c>
      <c r="I702" s="26">
        <v>45165</v>
      </c>
      <c r="J702" s="2">
        <v>16</v>
      </c>
      <c r="K702" s="2" t="s">
        <v>123</v>
      </c>
      <c r="L702" s="22">
        <v>2100</v>
      </c>
      <c r="M702" s="22">
        <v>33600</v>
      </c>
      <c r="N702" s="18">
        <v>35.94</v>
      </c>
      <c r="O702" s="26">
        <v>45210</v>
      </c>
      <c r="P702" s="2" t="s">
        <v>805</v>
      </c>
      <c r="Q702" s="2" t="s">
        <v>806</v>
      </c>
    </row>
    <row r="703" spans="2:17" x14ac:dyDescent="0.25">
      <c r="B703" s="2" t="s">
        <v>1507</v>
      </c>
      <c r="C703" s="2" t="s">
        <v>146</v>
      </c>
      <c r="D703" s="2" t="s">
        <v>147</v>
      </c>
      <c r="E703" s="2" t="s">
        <v>122</v>
      </c>
      <c r="F703" s="2" t="s">
        <v>537</v>
      </c>
      <c r="G703" s="2" t="s">
        <v>420</v>
      </c>
      <c r="H703" s="2" t="s">
        <v>421</v>
      </c>
      <c r="I703" s="26">
        <v>45175</v>
      </c>
      <c r="J703" s="2">
        <v>20</v>
      </c>
      <c r="K703" s="2" t="s">
        <v>123</v>
      </c>
      <c r="L703" s="22">
        <v>2150</v>
      </c>
      <c r="M703" s="22">
        <v>43000</v>
      </c>
      <c r="N703" s="18">
        <v>45.99</v>
      </c>
      <c r="O703" s="26">
        <v>45220</v>
      </c>
      <c r="P703" s="2" t="s">
        <v>805</v>
      </c>
      <c r="Q703" s="2" t="s">
        <v>814</v>
      </c>
    </row>
    <row r="704" spans="2:17" x14ac:dyDescent="0.25">
      <c r="B704" s="2" t="s">
        <v>1508</v>
      </c>
      <c r="C704" s="2" t="s">
        <v>146</v>
      </c>
      <c r="D704" s="2" t="s">
        <v>147</v>
      </c>
      <c r="E704" s="2" t="s">
        <v>122</v>
      </c>
      <c r="F704" s="2" t="s">
        <v>535</v>
      </c>
      <c r="G704" s="2" t="s">
        <v>416</v>
      </c>
      <c r="H704" s="2" t="s">
        <v>94</v>
      </c>
      <c r="I704" s="26">
        <v>45185</v>
      </c>
      <c r="J704" s="2">
        <v>17</v>
      </c>
      <c r="K704" s="2" t="s">
        <v>123</v>
      </c>
      <c r="L704" s="22">
        <v>2100</v>
      </c>
      <c r="M704" s="22">
        <v>35700</v>
      </c>
      <c r="N704" s="18">
        <v>38.18</v>
      </c>
      <c r="O704" s="26">
        <v>45230</v>
      </c>
      <c r="P704" s="2" t="s">
        <v>805</v>
      </c>
      <c r="Q704" s="2" t="s">
        <v>814</v>
      </c>
    </row>
    <row r="705" spans="2:17" x14ac:dyDescent="0.25">
      <c r="B705" s="2" t="s">
        <v>1509</v>
      </c>
      <c r="C705" s="2" t="s">
        <v>146</v>
      </c>
      <c r="D705" s="2" t="s">
        <v>147</v>
      </c>
      <c r="E705" s="2" t="s">
        <v>122</v>
      </c>
      <c r="F705" s="2" t="s">
        <v>535</v>
      </c>
      <c r="G705" s="2" t="s">
        <v>416</v>
      </c>
      <c r="H705" s="2" t="s">
        <v>94</v>
      </c>
      <c r="I705" s="26">
        <v>45193</v>
      </c>
      <c r="J705" s="2">
        <v>19</v>
      </c>
      <c r="K705" s="2" t="s">
        <v>123</v>
      </c>
      <c r="L705" s="22">
        <v>2100</v>
      </c>
      <c r="M705" s="22">
        <v>39900</v>
      </c>
      <c r="N705" s="18">
        <v>42.67</v>
      </c>
      <c r="O705" s="26">
        <v>45238</v>
      </c>
      <c r="P705" s="2" t="s">
        <v>805</v>
      </c>
      <c r="Q705" s="2" t="s">
        <v>814</v>
      </c>
    </row>
    <row r="706" spans="2:17" x14ac:dyDescent="0.25">
      <c r="B706" s="2" t="s">
        <v>1510</v>
      </c>
      <c r="C706" s="2" t="s">
        <v>146</v>
      </c>
      <c r="D706" s="2" t="s">
        <v>147</v>
      </c>
      <c r="E706" s="2" t="s">
        <v>122</v>
      </c>
      <c r="F706" s="2" t="s">
        <v>535</v>
      </c>
      <c r="G706" s="2" t="s">
        <v>416</v>
      </c>
      <c r="H706" s="2" t="s">
        <v>94</v>
      </c>
      <c r="I706" s="26">
        <v>45205</v>
      </c>
      <c r="J706" s="2">
        <v>41</v>
      </c>
      <c r="K706" s="2" t="s">
        <v>123</v>
      </c>
      <c r="L706" s="22">
        <v>2100</v>
      </c>
      <c r="M706" s="22">
        <v>86100</v>
      </c>
      <c r="N706" s="18">
        <v>92.09</v>
      </c>
      <c r="O706" s="26">
        <v>45250</v>
      </c>
      <c r="P706" s="2" t="s">
        <v>805</v>
      </c>
      <c r="Q706" s="2" t="s">
        <v>814</v>
      </c>
    </row>
    <row r="707" spans="2:17" x14ac:dyDescent="0.25">
      <c r="B707" s="2" t="s">
        <v>1511</v>
      </c>
      <c r="C707" s="2" t="s">
        <v>146</v>
      </c>
      <c r="D707" s="2" t="s">
        <v>147</v>
      </c>
      <c r="E707" s="2" t="s">
        <v>122</v>
      </c>
      <c r="F707" s="2" t="s">
        <v>535</v>
      </c>
      <c r="G707" s="2" t="s">
        <v>416</v>
      </c>
      <c r="H707" s="2" t="s">
        <v>94</v>
      </c>
      <c r="I707" s="26">
        <v>45213</v>
      </c>
      <c r="J707" s="2">
        <v>35</v>
      </c>
      <c r="K707" s="2" t="s">
        <v>123</v>
      </c>
      <c r="L707" s="22">
        <v>2100</v>
      </c>
      <c r="M707" s="22">
        <v>73500</v>
      </c>
      <c r="N707" s="18">
        <v>78.61</v>
      </c>
      <c r="O707" s="26">
        <v>45258</v>
      </c>
      <c r="P707" s="2" t="s">
        <v>805</v>
      </c>
      <c r="Q707" s="2" t="s">
        <v>814</v>
      </c>
    </row>
    <row r="708" spans="2:17" x14ac:dyDescent="0.25">
      <c r="B708" s="2" t="s">
        <v>1512</v>
      </c>
      <c r="C708" s="2" t="s">
        <v>146</v>
      </c>
      <c r="D708" s="2" t="s">
        <v>147</v>
      </c>
      <c r="E708" s="2" t="s">
        <v>122</v>
      </c>
      <c r="F708" s="2" t="s">
        <v>535</v>
      </c>
      <c r="G708" s="2" t="s">
        <v>416</v>
      </c>
      <c r="H708" s="2" t="s">
        <v>94</v>
      </c>
      <c r="I708" s="26">
        <v>45224</v>
      </c>
      <c r="J708" s="2">
        <v>39</v>
      </c>
      <c r="K708" s="2" t="s">
        <v>123</v>
      </c>
      <c r="L708" s="22">
        <v>2100</v>
      </c>
      <c r="M708" s="22">
        <v>81900</v>
      </c>
      <c r="N708" s="18">
        <v>87.59</v>
      </c>
      <c r="O708" s="26">
        <v>45269</v>
      </c>
      <c r="P708" s="2" t="s">
        <v>805</v>
      </c>
      <c r="Q708" s="2" t="s">
        <v>814</v>
      </c>
    </row>
    <row r="709" spans="2:17" x14ac:dyDescent="0.25">
      <c r="B709" s="2" t="s">
        <v>1513</v>
      </c>
      <c r="C709" s="2" t="s">
        <v>146</v>
      </c>
      <c r="D709" s="2" t="s">
        <v>147</v>
      </c>
      <c r="E709" s="2" t="s">
        <v>122</v>
      </c>
      <c r="F709" s="2" t="s">
        <v>535</v>
      </c>
      <c r="G709" s="2" t="s">
        <v>416</v>
      </c>
      <c r="H709" s="2" t="s">
        <v>94</v>
      </c>
      <c r="I709" s="26">
        <v>45233</v>
      </c>
      <c r="J709" s="2">
        <v>44</v>
      </c>
      <c r="K709" s="2" t="s">
        <v>123</v>
      </c>
      <c r="L709" s="22">
        <v>2100</v>
      </c>
      <c r="M709" s="22">
        <v>92400</v>
      </c>
      <c r="N709" s="18">
        <v>98.82</v>
      </c>
      <c r="O709" s="26">
        <v>45278</v>
      </c>
      <c r="P709" s="2" t="s">
        <v>805</v>
      </c>
      <c r="Q709" s="2" t="s">
        <v>814</v>
      </c>
    </row>
    <row r="710" spans="2:17" x14ac:dyDescent="0.25">
      <c r="B710" s="2" t="s">
        <v>1514</v>
      </c>
      <c r="C710" s="2" t="s">
        <v>146</v>
      </c>
      <c r="D710" s="2" t="s">
        <v>147</v>
      </c>
      <c r="E710" s="2" t="s">
        <v>122</v>
      </c>
      <c r="F710" s="2" t="s">
        <v>535</v>
      </c>
      <c r="G710" s="2" t="s">
        <v>416</v>
      </c>
      <c r="H710" s="2" t="s">
        <v>94</v>
      </c>
      <c r="I710" s="26">
        <v>45242</v>
      </c>
      <c r="J710" s="2">
        <v>42</v>
      </c>
      <c r="K710" s="2" t="s">
        <v>123</v>
      </c>
      <c r="L710" s="22">
        <v>2100</v>
      </c>
      <c r="M710" s="22">
        <v>88200</v>
      </c>
      <c r="N710" s="18">
        <v>94.33</v>
      </c>
      <c r="O710" s="26">
        <v>45287</v>
      </c>
      <c r="P710" s="2" t="s">
        <v>805</v>
      </c>
      <c r="Q710" s="2" t="s">
        <v>814</v>
      </c>
    </row>
    <row r="711" spans="2:17" x14ac:dyDescent="0.25">
      <c r="B711" s="2" t="s">
        <v>1515</v>
      </c>
      <c r="C711" s="2" t="s">
        <v>146</v>
      </c>
      <c r="D711" s="2" t="s">
        <v>147</v>
      </c>
      <c r="E711" s="2" t="s">
        <v>122</v>
      </c>
      <c r="F711" s="2" t="s">
        <v>535</v>
      </c>
      <c r="G711" s="2" t="s">
        <v>416</v>
      </c>
      <c r="H711" s="2" t="s">
        <v>94</v>
      </c>
      <c r="I711" s="26">
        <v>45251</v>
      </c>
      <c r="J711" s="2">
        <v>37</v>
      </c>
      <c r="K711" s="2" t="s">
        <v>123</v>
      </c>
      <c r="L711" s="22">
        <v>2100</v>
      </c>
      <c r="M711" s="22">
        <v>77700</v>
      </c>
      <c r="N711" s="18">
        <v>83.1</v>
      </c>
      <c r="O711" s="26">
        <v>45296</v>
      </c>
      <c r="P711" s="2" t="s">
        <v>805</v>
      </c>
      <c r="Q711" s="2" t="s">
        <v>814</v>
      </c>
    </row>
    <row r="712" spans="2:17" x14ac:dyDescent="0.25">
      <c r="B712" s="2" t="s">
        <v>1516</v>
      </c>
      <c r="C712" s="2" t="s">
        <v>146</v>
      </c>
      <c r="D712" s="2" t="s">
        <v>147</v>
      </c>
      <c r="E712" s="2" t="s">
        <v>122</v>
      </c>
      <c r="F712" s="2" t="s">
        <v>535</v>
      </c>
      <c r="G712" s="2" t="s">
        <v>416</v>
      </c>
      <c r="H712" s="2" t="s">
        <v>94</v>
      </c>
      <c r="I712" s="26">
        <v>45261</v>
      </c>
      <c r="J712" s="2">
        <v>59</v>
      </c>
      <c r="K712" s="2" t="s">
        <v>123</v>
      </c>
      <c r="L712" s="22">
        <v>2100</v>
      </c>
      <c r="M712" s="22">
        <v>123900</v>
      </c>
      <c r="N712" s="18">
        <v>132.51</v>
      </c>
      <c r="O712" s="26">
        <v>45306</v>
      </c>
      <c r="P712" s="2" t="s">
        <v>805</v>
      </c>
      <c r="Q712" s="2" t="s">
        <v>825</v>
      </c>
    </row>
    <row r="713" spans="2:17" x14ac:dyDescent="0.25">
      <c r="B713" s="2" t="s">
        <v>1517</v>
      </c>
      <c r="C713" s="2" t="s">
        <v>146</v>
      </c>
      <c r="D713" s="2" t="s">
        <v>147</v>
      </c>
      <c r="E713" s="2" t="s">
        <v>122</v>
      </c>
      <c r="F713" s="2" t="s">
        <v>535</v>
      </c>
      <c r="G713" s="2" t="s">
        <v>416</v>
      </c>
      <c r="H713" s="2" t="s">
        <v>94</v>
      </c>
      <c r="I713" s="26">
        <v>45271</v>
      </c>
      <c r="J713" s="2">
        <v>54</v>
      </c>
      <c r="K713" s="2" t="s">
        <v>123</v>
      </c>
      <c r="L713" s="22">
        <v>2100</v>
      </c>
      <c r="M713" s="22">
        <v>113400</v>
      </c>
      <c r="N713" s="18">
        <v>121.28</v>
      </c>
      <c r="O713" s="26">
        <v>45316</v>
      </c>
      <c r="P713" s="2" t="s">
        <v>805</v>
      </c>
      <c r="Q713" s="2" t="s">
        <v>825</v>
      </c>
    </row>
    <row r="714" spans="2:17" x14ac:dyDescent="0.25">
      <c r="B714" s="2" t="s">
        <v>1518</v>
      </c>
      <c r="C714" s="2" t="s">
        <v>146</v>
      </c>
      <c r="D714" s="2" t="s">
        <v>147</v>
      </c>
      <c r="E714" s="2" t="s">
        <v>122</v>
      </c>
      <c r="F714" s="2" t="s">
        <v>535</v>
      </c>
      <c r="G714" s="2" t="s">
        <v>416</v>
      </c>
      <c r="H714" s="2" t="s">
        <v>94</v>
      </c>
      <c r="I714" s="26">
        <v>45281</v>
      </c>
      <c r="J714" s="2">
        <v>50</v>
      </c>
      <c r="K714" s="2" t="s">
        <v>123</v>
      </c>
      <c r="L714" s="22">
        <v>2100</v>
      </c>
      <c r="M714" s="22">
        <v>105000</v>
      </c>
      <c r="N714" s="18">
        <v>112.3</v>
      </c>
      <c r="O714" s="26">
        <v>45326</v>
      </c>
      <c r="P714" s="2" t="s">
        <v>805</v>
      </c>
      <c r="Q714" s="2" t="s">
        <v>825</v>
      </c>
    </row>
    <row r="715" spans="2:17" x14ac:dyDescent="0.25">
      <c r="B715" s="2" t="s">
        <v>1519</v>
      </c>
      <c r="C715" s="2" t="s">
        <v>146</v>
      </c>
      <c r="D715" s="2" t="s">
        <v>147</v>
      </c>
      <c r="E715" s="2" t="s">
        <v>122</v>
      </c>
      <c r="F715" s="2" t="s">
        <v>535</v>
      </c>
      <c r="G715" s="2" t="s">
        <v>416</v>
      </c>
      <c r="H715" s="2" t="s">
        <v>94</v>
      </c>
      <c r="I715" s="26">
        <v>45291</v>
      </c>
      <c r="J715" s="2">
        <v>58</v>
      </c>
      <c r="K715" s="2" t="s">
        <v>123</v>
      </c>
      <c r="L715" s="22">
        <v>2100</v>
      </c>
      <c r="M715" s="22">
        <v>121800</v>
      </c>
      <c r="N715" s="18">
        <v>130.27000000000001</v>
      </c>
      <c r="O715" s="26">
        <v>45336</v>
      </c>
      <c r="P715" s="2" t="s">
        <v>805</v>
      </c>
      <c r="Q715" s="2" t="s">
        <v>825</v>
      </c>
    </row>
    <row r="716" spans="2:17" x14ac:dyDescent="0.25">
      <c r="B716" s="2" t="s">
        <v>1520</v>
      </c>
      <c r="C716" s="2" t="s">
        <v>146</v>
      </c>
      <c r="D716" s="2" t="s">
        <v>147</v>
      </c>
      <c r="E716" s="2" t="s">
        <v>122</v>
      </c>
      <c r="F716" s="2" t="s">
        <v>535</v>
      </c>
      <c r="G716" s="2" t="s">
        <v>416</v>
      </c>
      <c r="H716" s="2" t="s">
        <v>94</v>
      </c>
      <c r="I716" s="26">
        <v>45303</v>
      </c>
      <c r="J716" s="2">
        <v>34</v>
      </c>
      <c r="K716" s="2" t="s">
        <v>123</v>
      </c>
      <c r="L716" s="22">
        <v>2100</v>
      </c>
      <c r="M716" s="22">
        <v>71400</v>
      </c>
      <c r="N716" s="18">
        <v>76.36</v>
      </c>
      <c r="O716" s="26">
        <v>45348</v>
      </c>
      <c r="P716" s="2" t="s">
        <v>805</v>
      </c>
      <c r="Q716" s="2" t="s">
        <v>825</v>
      </c>
    </row>
    <row r="717" spans="2:17" x14ac:dyDescent="0.25">
      <c r="B717" s="2" t="s">
        <v>1521</v>
      </c>
      <c r="C717" s="2" t="s">
        <v>146</v>
      </c>
      <c r="D717" s="2" t="s">
        <v>147</v>
      </c>
      <c r="E717" s="2" t="s">
        <v>122</v>
      </c>
      <c r="F717" s="2" t="s">
        <v>535</v>
      </c>
      <c r="G717" s="2" t="s">
        <v>416</v>
      </c>
      <c r="H717" s="2" t="s">
        <v>94</v>
      </c>
      <c r="I717" s="26">
        <v>45313</v>
      </c>
      <c r="J717" s="2">
        <v>41</v>
      </c>
      <c r="K717" s="2" t="s">
        <v>123</v>
      </c>
      <c r="L717" s="22">
        <v>2100</v>
      </c>
      <c r="M717" s="22">
        <v>86100</v>
      </c>
      <c r="N717" s="18">
        <v>92.09</v>
      </c>
      <c r="O717" s="26">
        <v>45358</v>
      </c>
      <c r="P717" s="2" t="s">
        <v>805</v>
      </c>
      <c r="Q717" s="2" t="s">
        <v>825</v>
      </c>
    </row>
    <row r="718" spans="2:17" x14ac:dyDescent="0.25">
      <c r="B718" s="2" t="s">
        <v>1522</v>
      </c>
      <c r="C718" s="2" t="s">
        <v>146</v>
      </c>
      <c r="D718" s="2" t="s">
        <v>147</v>
      </c>
      <c r="E718" s="2" t="s">
        <v>122</v>
      </c>
      <c r="F718" s="2" t="s">
        <v>535</v>
      </c>
      <c r="G718" s="2" t="s">
        <v>416</v>
      </c>
      <c r="H718" s="2" t="s">
        <v>94</v>
      </c>
      <c r="I718" s="26">
        <v>45321</v>
      </c>
      <c r="J718" s="2">
        <v>35</v>
      </c>
      <c r="K718" s="2" t="s">
        <v>123</v>
      </c>
      <c r="L718" s="22">
        <v>2100</v>
      </c>
      <c r="M718" s="22">
        <v>73500</v>
      </c>
      <c r="N718" s="18">
        <v>78.61</v>
      </c>
      <c r="O718" s="26">
        <v>45366</v>
      </c>
      <c r="P718" s="2" t="s">
        <v>805</v>
      </c>
      <c r="Q718" s="2" t="s">
        <v>825</v>
      </c>
    </row>
    <row r="719" spans="2:17" x14ac:dyDescent="0.25">
      <c r="B719" s="2" t="s">
        <v>1523</v>
      </c>
      <c r="C719" s="2" t="s">
        <v>146</v>
      </c>
      <c r="D719" s="2" t="s">
        <v>147</v>
      </c>
      <c r="E719" s="2" t="s">
        <v>122</v>
      </c>
      <c r="F719" s="2" t="s">
        <v>535</v>
      </c>
      <c r="G719" s="2" t="s">
        <v>416</v>
      </c>
      <c r="H719" s="2" t="s">
        <v>94</v>
      </c>
      <c r="I719" s="26">
        <v>45331</v>
      </c>
      <c r="J719" s="2">
        <v>46</v>
      </c>
      <c r="K719" s="2" t="s">
        <v>123</v>
      </c>
      <c r="L719" s="22">
        <v>2100</v>
      </c>
      <c r="M719" s="22">
        <v>96600</v>
      </c>
      <c r="N719" s="18">
        <v>103.32</v>
      </c>
      <c r="O719" s="26">
        <v>45376</v>
      </c>
      <c r="P719" s="2" t="s">
        <v>805</v>
      </c>
      <c r="Q719" s="2" t="s">
        <v>825</v>
      </c>
    </row>
    <row r="720" spans="2:17" x14ac:dyDescent="0.25">
      <c r="B720" s="2" t="s">
        <v>1524</v>
      </c>
      <c r="C720" s="2" t="s">
        <v>146</v>
      </c>
      <c r="D720" s="2" t="s">
        <v>147</v>
      </c>
      <c r="E720" s="2" t="s">
        <v>122</v>
      </c>
      <c r="F720" s="2" t="s">
        <v>535</v>
      </c>
      <c r="G720" s="2" t="s">
        <v>416</v>
      </c>
      <c r="H720" s="2" t="s">
        <v>94</v>
      </c>
      <c r="I720" s="26">
        <v>45341</v>
      </c>
      <c r="J720" s="2">
        <v>34</v>
      </c>
      <c r="K720" s="2" t="s">
        <v>123</v>
      </c>
      <c r="L720" s="22">
        <v>2100</v>
      </c>
      <c r="M720" s="22">
        <v>71400</v>
      </c>
      <c r="N720" s="18">
        <v>76.36</v>
      </c>
      <c r="O720" s="26">
        <v>45386</v>
      </c>
      <c r="P720" s="2" t="s">
        <v>805</v>
      </c>
      <c r="Q720" s="2" t="s">
        <v>825</v>
      </c>
    </row>
    <row r="721" spans="2:17" x14ac:dyDescent="0.25">
      <c r="B721" s="2" t="s">
        <v>1525</v>
      </c>
      <c r="C721" s="2" t="s">
        <v>146</v>
      </c>
      <c r="D721" s="2" t="s">
        <v>147</v>
      </c>
      <c r="E721" s="2" t="s">
        <v>122</v>
      </c>
      <c r="F721" s="2" t="s">
        <v>535</v>
      </c>
      <c r="G721" s="2" t="s">
        <v>416</v>
      </c>
      <c r="H721" s="2" t="s">
        <v>94</v>
      </c>
      <c r="I721" s="26">
        <v>45351</v>
      </c>
      <c r="J721" s="2">
        <v>40</v>
      </c>
      <c r="K721" s="2" t="s">
        <v>123</v>
      </c>
      <c r="L721" s="22">
        <v>2100</v>
      </c>
      <c r="M721" s="22">
        <v>84000</v>
      </c>
      <c r="N721" s="18">
        <v>89.84</v>
      </c>
      <c r="O721" s="26">
        <v>45396</v>
      </c>
      <c r="P721" s="2" t="s">
        <v>805</v>
      </c>
      <c r="Q721" s="2" t="s">
        <v>825</v>
      </c>
    </row>
    <row r="722" spans="2:17" x14ac:dyDescent="0.25">
      <c r="B722" s="2" t="s">
        <v>1526</v>
      </c>
      <c r="C722" s="2" t="s">
        <v>146</v>
      </c>
      <c r="D722" s="2" t="s">
        <v>147</v>
      </c>
      <c r="E722" s="2" t="s">
        <v>122</v>
      </c>
      <c r="F722" s="2" t="s">
        <v>535</v>
      </c>
      <c r="G722" s="2" t="s">
        <v>416</v>
      </c>
      <c r="H722" s="2" t="s">
        <v>94</v>
      </c>
      <c r="I722" s="26">
        <v>45361</v>
      </c>
      <c r="J722" s="2">
        <v>45</v>
      </c>
      <c r="K722" s="2" t="s">
        <v>123</v>
      </c>
      <c r="L722" s="22">
        <v>2100</v>
      </c>
      <c r="M722" s="22">
        <v>94500</v>
      </c>
      <c r="N722" s="18">
        <v>101.07</v>
      </c>
      <c r="O722" s="26">
        <v>45406</v>
      </c>
      <c r="P722" s="2" t="s">
        <v>805</v>
      </c>
      <c r="Q722" s="2" t="s">
        <v>836</v>
      </c>
    </row>
    <row r="723" spans="2:17" x14ac:dyDescent="0.25">
      <c r="B723" s="2" t="s">
        <v>1527</v>
      </c>
      <c r="C723" s="2" t="s">
        <v>146</v>
      </c>
      <c r="D723" s="2" t="s">
        <v>147</v>
      </c>
      <c r="E723" s="2" t="s">
        <v>122</v>
      </c>
      <c r="F723" s="2" t="s">
        <v>535</v>
      </c>
      <c r="G723" s="2" t="s">
        <v>416</v>
      </c>
      <c r="H723" s="2" t="s">
        <v>94</v>
      </c>
      <c r="I723" s="26">
        <v>45370</v>
      </c>
      <c r="J723" s="2">
        <v>38</v>
      </c>
      <c r="K723" s="2" t="s">
        <v>123</v>
      </c>
      <c r="L723" s="22">
        <v>2100</v>
      </c>
      <c r="M723" s="22">
        <v>79800</v>
      </c>
      <c r="N723" s="18">
        <v>85.35</v>
      </c>
      <c r="O723" s="26">
        <v>45415</v>
      </c>
      <c r="P723" s="2" t="s">
        <v>805</v>
      </c>
      <c r="Q723" s="2" t="s">
        <v>836</v>
      </c>
    </row>
    <row r="724" spans="2:17" x14ac:dyDescent="0.25">
      <c r="B724" s="2" t="s">
        <v>1528</v>
      </c>
      <c r="C724" s="2" t="s">
        <v>146</v>
      </c>
      <c r="D724" s="2" t="s">
        <v>147</v>
      </c>
      <c r="E724" s="2" t="s">
        <v>122</v>
      </c>
      <c r="F724" s="2" t="s">
        <v>535</v>
      </c>
      <c r="G724" s="2" t="s">
        <v>416</v>
      </c>
      <c r="H724" s="2" t="s">
        <v>94</v>
      </c>
      <c r="I724" s="26">
        <v>45380</v>
      </c>
      <c r="J724" s="2">
        <v>36</v>
      </c>
      <c r="K724" s="2" t="s">
        <v>123</v>
      </c>
      <c r="L724" s="22">
        <v>2100</v>
      </c>
      <c r="M724" s="22">
        <v>75600</v>
      </c>
      <c r="N724" s="18">
        <v>80.86</v>
      </c>
      <c r="O724" s="26">
        <v>45425</v>
      </c>
      <c r="P724" s="2" t="s">
        <v>805</v>
      </c>
      <c r="Q724" s="2" t="s">
        <v>836</v>
      </c>
    </row>
    <row r="725" spans="2:17" x14ac:dyDescent="0.25">
      <c r="B725" s="2" t="s">
        <v>1529</v>
      </c>
      <c r="C725" s="2" t="s">
        <v>146</v>
      </c>
      <c r="D725" s="2" t="s">
        <v>147</v>
      </c>
      <c r="E725" s="2" t="s">
        <v>122</v>
      </c>
      <c r="F725" s="2" t="s">
        <v>535</v>
      </c>
      <c r="G725" s="2" t="s">
        <v>416</v>
      </c>
      <c r="H725" s="2" t="s">
        <v>94</v>
      </c>
      <c r="I725" s="26">
        <v>45390</v>
      </c>
      <c r="J725" s="2">
        <v>14</v>
      </c>
      <c r="K725" s="2" t="s">
        <v>123</v>
      </c>
      <c r="L725" s="22">
        <v>2100</v>
      </c>
      <c r="M725" s="22">
        <v>29400</v>
      </c>
      <c r="N725" s="18">
        <v>31.44</v>
      </c>
      <c r="O725" s="26">
        <v>45435</v>
      </c>
      <c r="P725" s="2" t="s">
        <v>805</v>
      </c>
      <c r="Q725" s="2" t="s">
        <v>836</v>
      </c>
    </row>
    <row r="726" spans="2:17" x14ac:dyDescent="0.25">
      <c r="B726" s="2" t="s">
        <v>1530</v>
      </c>
      <c r="C726" s="2" t="s">
        <v>146</v>
      </c>
      <c r="D726" s="2" t="s">
        <v>147</v>
      </c>
      <c r="E726" s="2" t="s">
        <v>122</v>
      </c>
      <c r="F726" s="2" t="s">
        <v>537</v>
      </c>
      <c r="G726" s="2" t="s">
        <v>420</v>
      </c>
      <c r="H726" s="2" t="s">
        <v>421</v>
      </c>
      <c r="I726" s="26">
        <v>45399</v>
      </c>
      <c r="J726" s="2">
        <v>15</v>
      </c>
      <c r="K726" s="2" t="s">
        <v>123</v>
      </c>
      <c r="L726" s="22">
        <v>2150</v>
      </c>
      <c r="M726" s="22">
        <v>32250</v>
      </c>
      <c r="N726" s="18">
        <v>34.49</v>
      </c>
      <c r="O726" s="26">
        <v>45444</v>
      </c>
      <c r="P726" s="2" t="s">
        <v>805</v>
      </c>
      <c r="Q726" s="2" t="s">
        <v>836</v>
      </c>
    </row>
    <row r="727" spans="2:17" x14ac:dyDescent="0.25">
      <c r="B727" s="2" t="s">
        <v>1531</v>
      </c>
      <c r="C727" s="2" t="s">
        <v>146</v>
      </c>
      <c r="D727" s="2" t="s">
        <v>147</v>
      </c>
      <c r="E727" s="2" t="s">
        <v>122</v>
      </c>
      <c r="F727" s="2" t="s">
        <v>535</v>
      </c>
      <c r="G727" s="2" t="s">
        <v>416</v>
      </c>
      <c r="H727" s="2" t="s">
        <v>94</v>
      </c>
      <c r="I727" s="26">
        <v>45410</v>
      </c>
      <c r="J727" s="2">
        <v>13</v>
      </c>
      <c r="K727" s="2" t="s">
        <v>123</v>
      </c>
      <c r="L727" s="22">
        <v>2100</v>
      </c>
      <c r="M727" s="22">
        <v>27300</v>
      </c>
      <c r="N727" s="18">
        <v>29.2</v>
      </c>
      <c r="O727" s="26">
        <v>45455</v>
      </c>
      <c r="P727" s="2" t="s">
        <v>805</v>
      </c>
      <c r="Q727" s="2" t="s">
        <v>836</v>
      </c>
    </row>
    <row r="728" spans="2:17" x14ac:dyDescent="0.25">
      <c r="B728" s="2" t="s">
        <v>1532</v>
      </c>
      <c r="C728" s="2" t="s">
        <v>146</v>
      </c>
      <c r="D728" s="2" t="s">
        <v>147</v>
      </c>
      <c r="E728" s="2" t="s">
        <v>122</v>
      </c>
      <c r="F728" s="2" t="s">
        <v>535</v>
      </c>
      <c r="G728" s="2" t="s">
        <v>416</v>
      </c>
      <c r="H728" s="2" t="s">
        <v>94</v>
      </c>
      <c r="I728" s="26">
        <v>45420</v>
      </c>
      <c r="J728" s="2">
        <v>14</v>
      </c>
      <c r="K728" s="2" t="s">
        <v>123</v>
      </c>
      <c r="L728" s="22">
        <v>2100</v>
      </c>
      <c r="M728" s="22">
        <v>29400</v>
      </c>
      <c r="N728" s="18">
        <v>31.44</v>
      </c>
      <c r="O728" s="26">
        <v>45465</v>
      </c>
      <c r="P728" s="2" t="s">
        <v>805</v>
      </c>
      <c r="Q728" s="2" t="s">
        <v>836</v>
      </c>
    </row>
    <row r="729" spans="2:17" x14ac:dyDescent="0.25">
      <c r="B729" s="2" t="s">
        <v>1533</v>
      </c>
      <c r="C729" s="2" t="s">
        <v>146</v>
      </c>
      <c r="D729" s="2" t="s">
        <v>147</v>
      </c>
      <c r="E729" s="2" t="s">
        <v>122</v>
      </c>
      <c r="F729" s="2" t="s">
        <v>537</v>
      </c>
      <c r="G729" s="2" t="s">
        <v>420</v>
      </c>
      <c r="H729" s="2" t="s">
        <v>421</v>
      </c>
      <c r="I729" s="26">
        <v>45428</v>
      </c>
      <c r="J729" s="2">
        <v>15</v>
      </c>
      <c r="K729" s="2" t="s">
        <v>123</v>
      </c>
      <c r="L729" s="22">
        <v>2150</v>
      </c>
      <c r="M729" s="22">
        <v>32250</v>
      </c>
      <c r="N729" s="18">
        <v>34.49</v>
      </c>
      <c r="O729" s="26">
        <v>45473</v>
      </c>
      <c r="P729" s="2" t="s">
        <v>805</v>
      </c>
      <c r="Q729" s="2" t="s">
        <v>836</v>
      </c>
    </row>
    <row r="730" spans="2:17" x14ac:dyDescent="0.25">
      <c r="B730" s="2" t="s">
        <v>1534</v>
      </c>
      <c r="C730" s="2" t="s">
        <v>146</v>
      </c>
      <c r="D730" s="2" t="s">
        <v>147</v>
      </c>
      <c r="E730" s="2" t="s">
        <v>122</v>
      </c>
      <c r="F730" s="2" t="s">
        <v>535</v>
      </c>
      <c r="G730" s="2" t="s">
        <v>416</v>
      </c>
      <c r="H730" s="2" t="s">
        <v>94</v>
      </c>
      <c r="I730" s="26">
        <v>45435</v>
      </c>
      <c r="J730" s="2">
        <v>16</v>
      </c>
      <c r="K730" s="2" t="s">
        <v>123</v>
      </c>
      <c r="L730" s="22">
        <v>2100</v>
      </c>
      <c r="M730" s="22">
        <v>33600</v>
      </c>
      <c r="N730" s="18">
        <v>35.94</v>
      </c>
      <c r="O730" s="26">
        <v>45480</v>
      </c>
      <c r="P730" s="2" t="s">
        <v>805</v>
      </c>
      <c r="Q730" s="2" t="s">
        <v>836</v>
      </c>
    </row>
    <row r="731" spans="2:17" x14ac:dyDescent="0.25">
      <c r="B731" s="2" t="s">
        <v>1535</v>
      </c>
      <c r="C731" s="2" t="s">
        <v>146</v>
      </c>
      <c r="D731" s="2" t="s">
        <v>147</v>
      </c>
      <c r="E731" s="2" t="s">
        <v>122</v>
      </c>
      <c r="F731" s="2" t="s">
        <v>535</v>
      </c>
      <c r="G731" s="2" t="s">
        <v>416</v>
      </c>
      <c r="H731" s="2" t="s">
        <v>94</v>
      </c>
      <c r="I731" s="26">
        <v>45445</v>
      </c>
      <c r="J731" s="2">
        <v>13</v>
      </c>
      <c r="K731" s="2" t="s">
        <v>123</v>
      </c>
      <c r="L731" s="22">
        <v>2100</v>
      </c>
      <c r="M731" s="22">
        <v>27300</v>
      </c>
      <c r="N731" s="18">
        <v>29.2</v>
      </c>
      <c r="O731" s="26">
        <v>45490</v>
      </c>
      <c r="P731" s="2" t="s">
        <v>805</v>
      </c>
      <c r="Q731" s="2" t="s">
        <v>806</v>
      </c>
    </row>
    <row r="732" spans="2:17" x14ac:dyDescent="0.25">
      <c r="B732" s="2" t="s">
        <v>1536</v>
      </c>
      <c r="C732" s="2" t="s">
        <v>146</v>
      </c>
      <c r="D732" s="2" t="s">
        <v>147</v>
      </c>
      <c r="E732" s="2" t="s">
        <v>122</v>
      </c>
      <c r="F732" s="2" t="s">
        <v>535</v>
      </c>
      <c r="G732" s="2" t="s">
        <v>416</v>
      </c>
      <c r="H732" s="2" t="s">
        <v>94</v>
      </c>
      <c r="I732" s="26">
        <v>45454</v>
      </c>
      <c r="J732" s="2">
        <v>16</v>
      </c>
      <c r="K732" s="2" t="s">
        <v>123</v>
      </c>
      <c r="L732" s="22">
        <v>2100</v>
      </c>
      <c r="M732" s="22">
        <v>33600</v>
      </c>
      <c r="N732" s="18">
        <v>35.94</v>
      </c>
      <c r="O732" s="26">
        <v>45499</v>
      </c>
      <c r="P732" s="2" t="s">
        <v>805</v>
      </c>
      <c r="Q732" s="2" t="s">
        <v>806</v>
      </c>
    </row>
    <row r="733" spans="2:17" x14ac:dyDescent="0.25">
      <c r="B733" s="2" t="s">
        <v>1537</v>
      </c>
      <c r="C733" s="2" t="s">
        <v>146</v>
      </c>
      <c r="D733" s="2" t="s">
        <v>147</v>
      </c>
      <c r="E733" s="2" t="s">
        <v>122</v>
      </c>
      <c r="F733" s="2" t="s">
        <v>535</v>
      </c>
      <c r="G733" s="2" t="s">
        <v>416</v>
      </c>
      <c r="H733" s="2" t="s">
        <v>94</v>
      </c>
      <c r="I733" s="26">
        <v>45465</v>
      </c>
      <c r="J733" s="2">
        <v>14</v>
      </c>
      <c r="K733" s="2" t="s">
        <v>123</v>
      </c>
      <c r="L733" s="22">
        <v>2100</v>
      </c>
      <c r="M733" s="22">
        <v>29400</v>
      </c>
      <c r="N733" s="18">
        <v>31.44</v>
      </c>
      <c r="O733" s="26">
        <v>45510</v>
      </c>
      <c r="P733" s="2" t="s">
        <v>805</v>
      </c>
      <c r="Q733" s="2" t="s">
        <v>806</v>
      </c>
    </row>
    <row r="734" spans="2:17" x14ac:dyDescent="0.25">
      <c r="B734" s="2" t="s">
        <v>1538</v>
      </c>
      <c r="C734" s="2" t="s">
        <v>146</v>
      </c>
      <c r="D734" s="2" t="s">
        <v>147</v>
      </c>
      <c r="E734" s="2" t="s">
        <v>122</v>
      </c>
      <c r="F734" s="2" t="s">
        <v>537</v>
      </c>
      <c r="G734" s="2" t="s">
        <v>420</v>
      </c>
      <c r="H734" s="2" t="s">
        <v>421</v>
      </c>
      <c r="I734" s="26">
        <v>45476</v>
      </c>
      <c r="J734" s="2">
        <v>14</v>
      </c>
      <c r="K734" s="2" t="s">
        <v>123</v>
      </c>
      <c r="L734" s="22">
        <v>2150</v>
      </c>
      <c r="M734" s="22">
        <v>30100</v>
      </c>
      <c r="N734" s="18">
        <v>32.19</v>
      </c>
      <c r="O734" s="26">
        <v>45521</v>
      </c>
      <c r="P734" s="2" t="s">
        <v>805</v>
      </c>
      <c r="Q734" s="2" t="s">
        <v>806</v>
      </c>
    </row>
    <row r="735" spans="2:17" x14ac:dyDescent="0.25">
      <c r="B735" s="2" t="s">
        <v>1539</v>
      </c>
      <c r="C735" s="2" t="s">
        <v>146</v>
      </c>
      <c r="D735" s="2" t="s">
        <v>147</v>
      </c>
      <c r="E735" s="2" t="s">
        <v>122</v>
      </c>
      <c r="F735" s="2" t="s">
        <v>535</v>
      </c>
      <c r="G735" s="2" t="s">
        <v>416</v>
      </c>
      <c r="H735" s="2" t="s">
        <v>94</v>
      </c>
      <c r="I735" s="26">
        <v>45485</v>
      </c>
      <c r="J735" s="2">
        <v>14</v>
      </c>
      <c r="K735" s="2" t="s">
        <v>123</v>
      </c>
      <c r="L735" s="22">
        <v>2100</v>
      </c>
      <c r="M735" s="22">
        <v>29400</v>
      </c>
      <c r="N735" s="18">
        <v>31.44</v>
      </c>
      <c r="O735" s="26">
        <v>45530</v>
      </c>
      <c r="P735" s="2" t="s">
        <v>805</v>
      </c>
      <c r="Q735" s="2" t="s">
        <v>806</v>
      </c>
    </row>
    <row r="736" spans="2:17" x14ac:dyDescent="0.25">
      <c r="B736" s="2" t="s">
        <v>1540</v>
      </c>
      <c r="C736" s="2" t="s">
        <v>146</v>
      </c>
      <c r="D736" s="2" t="s">
        <v>147</v>
      </c>
      <c r="E736" s="2" t="s">
        <v>122</v>
      </c>
      <c r="F736" s="2" t="s">
        <v>535</v>
      </c>
      <c r="G736" s="2" t="s">
        <v>416</v>
      </c>
      <c r="H736" s="2" t="s">
        <v>94</v>
      </c>
      <c r="I736" s="26">
        <v>45495</v>
      </c>
      <c r="J736" s="2">
        <v>15</v>
      </c>
      <c r="K736" s="2" t="s">
        <v>123</v>
      </c>
      <c r="L736" s="22">
        <v>2100</v>
      </c>
      <c r="M736" s="22">
        <v>31500</v>
      </c>
      <c r="N736" s="18">
        <v>33.69</v>
      </c>
      <c r="O736" s="26">
        <v>45540</v>
      </c>
      <c r="P736" s="2" t="s">
        <v>805</v>
      </c>
      <c r="Q736" s="2" t="s">
        <v>806</v>
      </c>
    </row>
    <row r="737" spans="2:17" x14ac:dyDescent="0.25">
      <c r="B737" s="2" t="s">
        <v>1541</v>
      </c>
      <c r="C737" s="2" t="s">
        <v>146</v>
      </c>
      <c r="D737" s="2" t="s">
        <v>147</v>
      </c>
      <c r="E737" s="2" t="s">
        <v>122</v>
      </c>
      <c r="F737" s="2" t="s">
        <v>535</v>
      </c>
      <c r="G737" s="2" t="s">
        <v>416</v>
      </c>
      <c r="H737" s="2" t="s">
        <v>94</v>
      </c>
      <c r="I737" s="26">
        <v>45504</v>
      </c>
      <c r="J737" s="2">
        <v>14</v>
      </c>
      <c r="K737" s="2" t="s">
        <v>123</v>
      </c>
      <c r="L737" s="22">
        <v>2100</v>
      </c>
      <c r="M737" s="22">
        <v>29400</v>
      </c>
      <c r="N737" s="18">
        <v>31.44</v>
      </c>
      <c r="O737" s="26">
        <v>45549</v>
      </c>
      <c r="P737" s="2" t="s">
        <v>805</v>
      </c>
      <c r="Q737" s="2" t="s">
        <v>806</v>
      </c>
    </row>
    <row r="738" spans="2:17" x14ac:dyDescent="0.25">
      <c r="B738" s="2" t="s">
        <v>1542</v>
      </c>
      <c r="C738" s="2" t="s">
        <v>146</v>
      </c>
      <c r="D738" s="2" t="s">
        <v>147</v>
      </c>
      <c r="E738" s="2" t="s">
        <v>122</v>
      </c>
      <c r="F738" s="2" t="s">
        <v>535</v>
      </c>
      <c r="G738" s="2" t="s">
        <v>416</v>
      </c>
      <c r="H738" s="2" t="s">
        <v>94</v>
      </c>
      <c r="I738" s="26">
        <v>45514</v>
      </c>
      <c r="J738" s="2">
        <v>16</v>
      </c>
      <c r="K738" s="2" t="s">
        <v>123</v>
      </c>
      <c r="L738" s="22">
        <v>2100</v>
      </c>
      <c r="M738" s="22">
        <v>33600</v>
      </c>
      <c r="N738" s="18">
        <v>35.94</v>
      </c>
      <c r="O738" s="26">
        <v>45559</v>
      </c>
      <c r="P738" s="2" t="s">
        <v>805</v>
      </c>
      <c r="Q738" s="2" t="s">
        <v>806</v>
      </c>
    </row>
    <row r="739" spans="2:17" x14ac:dyDescent="0.25">
      <c r="B739" s="2" t="s">
        <v>1543</v>
      </c>
      <c r="C739" s="2" t="s">
        <v>146</v>
      </c>
      <c r="D739" s="2" t="s">
        <v>147</v>
      </c>
      <c r="E739" s="2" t="s">
        <v>122</v>
      </c>
      <c r="F739" s="2" t="s">
        <v>535</v>
      </c>
      <c r="G739" s="2" t="s">
        <v>416</v>
      </c>
      <c r="H739" s="2" t="s">
        <v>94</v>
      </c>
      <c r="I739" s="26">
        <v>45520</v>
      </c>
      <c r="J739" s="2">
        <v>14</v>
      </c>
      <c r="K739" s="2" t="s">
        <v>123</v>
      </c>
      <c r="L739" s="22">
        <v>2100</v>
      </c>
      <c r="M739" s="22">
        <v>29400</v>
      </c>
      <c r="N739" s="18">
        <v>31.44</v>
      </c>
      <c r="O739" s="26">
        <v>45565</v>
      </c>
      <c r="P739" s="2" t="s">
        <v>805</v>
      </c>
      <c r="Q739" s="2" t="s">
        <v>806</v>
      </c>
    </row>
    <row r="740" spans="2:17" x14ac:dyDescent="0.25">
      <c r="B740" s="2" t="s">
        <v>1544</v>
      </c>
      <c r="C740" s="2" t="s">
        <v>146</v>
      </c>
      <c r="D740" s="2" t="s">
        <v>147</v>
      </c>
      <c r="E740" s="2" t="s">
        <v>122</v>
      </c>
      <c r="F740" s="2" t="s">
        <v>535</v>
      </c>
      <c r="G740" s="2" t="s">
        <v>416</v>
      </c>
      <c r="H740" s="2" t="s">
        <v>94</v>
      </c>
      <c r="I740" s="26">
        <v>45530</v>
      </c>
      <c r="J740" s="2">
        <v>16</v>
      </c>
      <c r="K740" s="2" t="s">
        <v>123</v>
      </c>
      <c r="L740" s="22">
        <v>2100</v>
      </c>
      <c r="M740" s="22">
        <v>33600</v>
      </c>
      <c r="N740" s="18">
        <v>35.94</v>
      </c>
      <c r="O740" s="26">
        <v>45575</v>
      </c>
      <c r="P740" s="2" t="s">
        <v>805</v>
      </c>
      <c r="Q740" s="2" t="s">
        <v>806</v>
      </c>
    </row>
    <row r="741" spans="2:17" x14ac:dyDescent="0.25">
      <c r="B741" s="2" t="s">
        <v>1545</v>
      </c>
      <c r="C741" s="2" t="s">
        <v>146</v>
      </c>
      <c r="D741" s="2" t="s">
        <v>147</v>
      </c>
      <c r="E741" s="2" t="s">
        <v>122</v>
      </c>
      <c r="F741" s="2" t="s">
        <v>535</v>
      </c>
      <c r="G741" s="2" t="s">
        <v>416</v>
      </c>
      <c r="H741" s="2" t="s">
        <v>94</v>
      </c>
      <c r="I741" s="26">
        <v>45540</v>
      </c>
      <c r="J741" s="2">
        <v>18</v>
      </c>
      <c r="K741" s="2" t="s">
        <v>123</v>
      </c>
      <c r="L741" s="22">
        <v>2100</v>
      </c>
      <c r="M741" s="22">
        <v>37800</v>
      </c>
      <c r="N741" s="18">
        <v>40.43</v>
      </c>
      <c r="O741" s="26">
        <v>45585</v>
      </c>
      <c r="P741" s="2" t="s">
        <v>805</v>
      </c>
      <c r="Q741" s="2" t="s">
        <v>814</v>
      </c>
    </row>
    <row r="742" spans="2:17" x14ac:dyDescent="0.25">
      <c r="B742" s="2" t="s">
        <v>1546</v>
      </c>
      <c r="C742" s="2" t="s">
        <v>146</v>
      </c>
      <c r="D742" s="2" t="s">
        <v>147</v>
      </c>
      <c r="E742" s="2" t="s">
        <v>122</v>
      </c>
      <c r="F742" s="2" t="s">
        <v>535</v>
      </c>
      <c r="G742" s="2" t="s">
        <v>416</v>
      </c>
      <c r="H742" s="2" t="s">
        <v>94</v>
      </c>
      <c r="I742" s="26">
        <v>45551</v>
      </c>
      <c r="J742" s="2">
        <v>19</v>
      </c>
      <c r="K742" s="2" t="s">
        <v>123</v>
      </c>
      <c r="L742" s="22">
        <v>2100</v>
      </c>
      <c r="M742" s="22">
        <v>39900</v>
      </c>
      <c r="N742" s="18">
        <v>42.67</v>
      </c>
      <c r="O742" s="26">
        <v>45596</v>
      </c>
      <c r="P742" s="2" t="s">
        <v>805</v>
      </c>
      <c r="Q742" s="2" t="s">
        <v>814</v>
      </c>
    </row>
    <row r="743" spans="2:17" x14ac:dyDescent="0.25">
      <c r="B743" s="2" t="s">
        <v>1547</v>
      </c>
      <c r="C743" s="2" t="s">
        <v>146</v>
      </c>
      <c r="D743" s="2" t="s">
        <v>147</v>
      </c>
      <c r="E743" s="2" t="s">
        <v>122</v>
      </c>
      <c r="F743" s="2" t="s">
        <v>535</v>
      </c>
      <c r="G743" s="2" t="s">
        <v>416</v>
      </c>
      <c r="H743" s="2" t="s">
        <v>94</v>
      </c>
      <c r="I743" s="26">
        <v>45563</v>
      </c>
      <c r="J743" s="2">
        <v>20</v>
      </c>
      <c r="K743" s="2" t="s">
        <v>123</v>
      </c>
      <c r="L743" s="22">
        <v>2100</v>
      </c>
      <c r="M743" s="22">
        <v>42000</v>
      </c>
      <c r="N743" s="18">
        <v>44.92</v>
      </c>
      <c r="O743" s="26">
        <v>45608</v>
      </c>
      <c r="P743" s="2" t="s">
        <v>805</v>
      </c>
      <c r="Q743" s="2" t="s">
        <v>814</v>
      </c>
    </row>
    <row r="744" spans="2:17" x14ac:dyDescent="0.25">
      <c r="B744" s="2" t="s">
        <v>1548</v>
      </c>
      <c r="C744" s="2" t="s">
        <v>146</v>
      </c>
      <c r="D744" s="2" t="s">
        <v>147</v>
      </c>
      <c r="E744" s="2" t="s">
        <v>122</v>
      </c>
      <c r="F744" s="2" t="s">
        <v>535</v>
      </c>
      <c r="G744" s="2" t="s">
        <v>416</v>
      </c>
      <c r="H744" s="2" t="s">
        <v>94</v>
      </c>
      <c r="I744" s="26">
        <v>45573</v>
      </c>
      <c r="J744" s="2">
        <v>41</v>
      </c>
      <c r="K744" s="2" t="s">
        <v>123</v>
      </c>
      <c r="L744" s="22">
        <v>2100</v>
      </c>
      <c r="M744" s="22">
        <v>86100</v>
      </c>
      <c r="N744" s="18">
        <v>92.09</v>
      </c>
      <c r="O744" s="26">
        <v>45618</v>
      </c>
      <c r="P744" s="2" t="s">
        <v>805</v>
      </c>
      <c r="Q744" s="2" t="s">
        <v>814</v>
      </c>
    </row>
    <row r="745" spans="2:17" x14ac:dyDescent="0.25">
      <c r="B745" s="2" t="s">
        <v>1549</v>
      </c>
      <c r="C745" s="2" t="s">
        <v>146</v>
      </c>
      <c r="D745" s="2" t="s">
        <v>147</v>
      </c>
      <c r="E745" s="2" t="s">
        <v>122</v>
      </c>
      <c r="F745" s="2" t="s">
        <v>535</v>
      </c>
      <c r="G745" s="2" t="s">
        <v>416</v>
      </c>
      <c r="H745" s="2" t="s">
        <v>94</v>
      </c>
      <c r="I745" s="26">
        <v>45585</v>
      </c>
      <c r="J745" s="2">
        <v>44</v>
      </c>
      <c r="K745" s="2" t="s">
        <v>123</v>
      </c>
      <c r="L745" s="22">
        <v>2100</v>
      </c>
      <c r="M745" s="22">
        <v>92400</v>
      </c>
      <c r="N745" s="18">
        <v>98.82</v>
      </c>
      <c r="O745" s="26">
        <v>45630</v>
      </c>
      <c r="P745" s="2" t="s">
        <v>805</v>
      </c>
      <c r="Q745" s="2" t="s">
        <v>814</v>
      </c>
    </row>
    <row r="746" spans="2:17" x14ac:dyDescent="0.25">
      <c r="B746" s="2" t="s">
        <v>1550</v>
      </c>
      <c r="C746" s="2" t="s">
        <v>146</v>
      </c>
      <c r="D746" s="2" t="s">
        <v>147</v>
      </c>
      <c r="E746" s="2" t="s">
        <v>122</v>
      </c>
      <c r="F746" s="2" t="s">
        <v>535</v>
      </c>
      <c r="G746" s="2" t="s">
        <v>416</v>
      </c>
      <c r="H746" s="2" t="s">
        <v>94</v>
      </c>
      <c r="I746" s="26">
        <v>45593</v>
      </c>
      <c r="J746" s="2">
        <v>41</v>
      </c>
      <c r="K746" s="2" t="s">
        <v>123</v>
      </c>
      <c r="L746" s="22">
        <v>2100</v>
      </c>
      <c r="M746" s="22">
        <v>86100</v>
      </c>
      <c r="N746" s="18">
        <v>92.09</v>
      </c>
      <c r="O746" s="26">
        <v>45638</v>
      </c>
      <c r="P746" s="2" t="s">
        <v>805</v>
      </c>
      <c r="Q746" s="2" t="s">
        <v>814</v>
      </c>
    </row>
    <row r="747" spans="2:17" x14ac:dyDescent="0.25">
      <c r="B747" s="2" t="s">
        <v>1551</v>
      </c>
      <c r="C747" s="2" t="s">
        <v>146</v>
      </c>
      <c r="D747" s="2" t="s">
        <v>147</v>
      </c>
      <c r="E747" s="2" t="s">
        <v>122</v>
      </c>
      <c r="F747" s="2" t="s">
        <v>535</v>
      </c>
      <c r="G747" s="2" t="s">
        <v>416</v>
      </c>
      <c r="H747" s="2" t="s">
        <v>94</v>
      </c>
      <c r="I747" s="26">
        <v>45602</v>
      </c>
      <c r="J747" s="2">
        <v>36</v>
      </c>
      <c r="K747" s="2" t="s">
        <v>123</v>
      </c>
      <c r="L747" s="22">
        <v>2100</v>
      </c>
      <c r="M747" s="22">
        <v>75600</v>
      </c>
      <c r="N747" s="18">
        <v>80.86</v>
      </c>
      <c r="O747" s="26">
        <v>45647</v>
      </c>
      <c r="P747" s="2" t="s">
        <v>805</v>
      </c>
      <c r="Q747" s="2" t="s">
        <v>814</v>
      </c>
    </row>
    <row r="748" spans="2:17" x14ac:dyDescent="0.25">
      <c r="B748" s="2" t="s">
        <v>1552</v>
      </c>
      <c r="C748" s="2" t="s">
        <v>146</v>
      </c>
      <c r="D748" s="2" t="s">
        <v>147</v>
      </c>
      <c r="E748" s="2" t="s">
        <v>122</v>
      </c>
      <c r="F748" s="2" t="s">
        <v>535</v>
      </c>
      <c r="G748" s="2" t="s">
        <v>416</v>
      </c>
      <c r="H748" s="2" t="s">
        <v>94</v>
      </c>
      <c r="I748" s="26">
        <v>45612</v>
      </c>
      <c r="J748" s="2">
        <v>39</v>
      </c>
      <c r="K748" s="2" t="s">
        <v>123</v>
      </c>
      <c r="L748" s="22">
        <v>2100</v>
      </c>
      <c r="M748" s="22">
        <v>81900</v>
      </c>
      <c r="N748" s="18">
        <v>87.59</v>
      </c>
      <c r="O748" s="26">
        <v>45657</v>
      </c>
      <c r="P748" s="2" t="s">
        <v>805</v>
      </c>
      <c r="Q748" s="2" t="s">
        <v>814</v>
      </c>
    </row>
    <row r="749" spans="2:17" x14ac:dyDescent="0.25">
      <c r="B749" s="2" t="s">
        <v>1553</v>
      </c>
      <c r="C749" s="2" t="s">
        <v>146</v>
      </c>
      <c r="D749" s="2" t="s">
        <v>147</v>
      </c>
      <c r="E749" s="2" t="s">
        <v>122</v>
      </c>
      <c r="F749" s="2" t="s">
        <v>535</v>
      </c>
      <c r="G749" s="2" t="s">
        <v>416</v>
      </c>
      <c r="H749" s="2" t="s">
        <v>94</v>
      </c>
      <c r="I749" s="26">
        <v>45620</v>
      </c>
      <c r="J749" s="2">
        <v>35</v>
      </c>
      <c r="K749" s="2" t="s">
        <v>123</v>
      </c>
      <c r="L749" s="22">
        <v>2100</v>
      </c>
      <c r="M749" s="22">
        <v>73500</v>
      </c>
      <c r="N749" s="18">
        <v>78.61</v>
      </c>
      <c r="O749" s="26">
        <v>45665</v>
      </c>
      <c r="P749" s="2" t="s">
        <v>805</v>
      </c>
      <c r="Q749" s="2" t="s">
        <v>814</v>
      </c>
    </row>
    <row r="750" spans="2:17" x14ac:dyDescent="0.25">
      <c r="B750" s="2" t="s">
        <v>1554</v>
      </c>
      <c r="C750" s="2" t="s">
        <v>146</v>
      </c>
      <c r="D750" s="2" t="s">
        <v>147</v>
      </c>
      <c r="E750" s="2" t="s">
        <v>122</v>
      </c>
      <c r="F750" s="2" t="s">
        <v>535</v>
      </c>
      <c r="G750" s="2" t="s">
        <v>416</v>
      </c>
      <c r="H750" s="2" t="s">
        <v>94</v>
      </c>
      <c r="I750" s="26">
        <v>45629</v>
      </c>
      <c r="J750" s="2">
        <v>55</v>
      </c>
      <c r="K750" s="2" t="s">
        <v>123</v>
      </c>
      <c r="L750" s="22">
        <v>2100</v>
      </c>
      <c r="M750" s="22">
        <v>115500</v>
      </c>
      <c r="N750" s="18">
        <v>123.53</v>
      </c>
      <c r="O750" s="26">
        <v>45674</v>
      </c>
      <c r="P750" s="2" t="s">
        <v>805</v>
      </c>
      <c r="Q750" s="2" t="s">
        <v>825</v>
      </c>
    </row>
    <row r="751" spans="2:17" x14ac:dyDescent="0.25">
      <c r="B751" s="2" t="s">
        <v>1555</v>
      </c>
      <c r="C751" s="2" t="s">
        <v>146</v>
      </c>
      <c r="D751" s="2" t="s">
        <v>147</v>
      </c>
      <c r="E751" s="2" t="s">
        <v>122</v>
      </c>
      <c r="F751" s="2" t="s">
        <v>537</v>
      </c>
      <c r="G751" s="2" t="s">
        <v>420</v>
      </c>
      <c r="H751" s="2" t="s">
        <v>421</v>
      </c>
      <c r="I751" s="26">
        <v>45635</v>
      </c>
      <c r="J751" s="2">
        <v>59</v>
      </c>
      <c r="K751" s="2" t="s">
        <v>123</v>
      </c>
      <c r="L751" s="22">
        <v>2150</v>
      </c>
      <c r="M751" s="22">
        <v>126850</v>
      </c>
      <c r="N751" s="18">
        <v>135.66999999999999</v>
      </c>
      <c r="O751" s="26">
        <v>45680</v>
      </c>
      <c r="P751" s="2" t="s">
        <v>805</v>
      </c>
      <c r="Q751" s="2" t="s">
        <v>825</v>
      </c>
    </row>
    <row r="752" spans="2:17" x14ac:dyDescent="0.25">
      <c r="B752" s="2" t="s">
        <v>1556</v>
      </c>
      <c r="C752" s="2" t="s">
        <v>146</v>
      </c>
      <c r="D752" s="2" t="s">
        <v>147</v>
      </c>
      <c r="E752" s="2" t="s">
        <v>122</v>
      </c>
      <c r="F752" s="2" t="s">
        <v>537</v>
      </c>
      <c r="G752" s="2" t="s">
        <v>420</v>
      </c>
      <c r="H752" s="2" t="s">
        <v>421</v>
      </c>
      <c r="I752" s="26">
        <v>45645</v>
      </c>
      <c r="J752" s="2">
        <v>58</v>
      </c>
      <c r="K752" s="2" t="s">
        <v>123</v>
      </c>
      <c r="L752" s="22">
        <v>2150</v>
      </c>
      <c r="M752" s="22">
        <v>124700</v>
      </c>
      <c r="N752" s="18">
        <v>133.37</v>
      </c>
      <c r="O752" s="26">
        <v>45690</v>
      </c>
      <c r="P752" s="2" t="s">
        <v>805</v>
      </c>
      <c r="Q752" s="2" t="s">
        <v>825</v>
      </c>
    </row>
    <row r="753" spans="2:17" x14ac:dyDescent="0.25">
      <c r="B753" s="2" t="s">
        <v>1557</v>
      </c>
      <c r="C753" s="2" t="s">
        <v>146</v>
      </c>
      <c r="D753" s="2" t="s">
        <v>147</v>
      </c>
      <c r="E753" s="2" t="s">
        <v>122</v>
      </c>
      <c r="F753" s="2" t="s">
        <v>535</v>
      </c>
      <c r="G753" s="2" t="s">
        <v>416</v>
      </c>
      <c r="H753" s="2" t="s">
        <v>94</v>
      </c>
      <c r="I753" s="26">
        <v>45655</v>
      </c>
      <c r="J753" s="2">
        <v>44</v>
      </c>
      <c r="K753" s="2" t="s">
        <v>123</v>
      </c>
      <c r="L753" s="22">
        <v>2100</v>
      </c>
      <c r="M753" s="22">
        <v>92400</v>
      </c>
      <c r="N753" s="18">
        <v>98.82</v>
      </c>
      <c r="O753" s="26">
        <v>45700</v>
      </c>
      <c r="P753" s="2" t="s">
        <v>805</v>
      </c>
      <c r="Q753" s="2" t="s">
        <v>825</v>
      </c>
    </row>
    <row r="754" spans="2:17" x14ac:dyDescent="0.25">
      <c r="B754" s="2" t="s">
        <v>1558</v>
      </c>
      <c r="C754" s="2" t="s">
        <v>146</v>
      </c>
      <c r="D754" s="2" t="s">
        <v>147</v>
      </c>
      <c r="E754" s="2" t="s">
        <v>122</v>
      </c>
      <c r="F754" s="2" t="s">
        <v>535</v>
      </c>
      <c r="G754" s="2" t="s">
        <v>416</v>
      </c>
      <c r="H754" s="2" t="s">
        <v>94</v>
      </c>
      <c r="I754" s="26">
        <v>45665</v>
      </c>
      <c r="J754" s="2">
        <v>48</v>
      </c>
      <c r="K754" s="2" t="s">
        <v>123</v>
      </c>
      <c r="L754" s="22">
        <v>2100</v>
      </c>
      <c r="M754" s="22">
        <v>100800</v>
      </c>
      <c r="N754" s="18">
        <v>107.81</v>
      </c>
      <c r="O754" s="26">
        <v>45710</v>
      </c>
      <c r="P754" s="2" t="s">
        <v>805</v>
      </c>
      <c r="Q754" s="2" t="s">
        <v>825</v>
      </c>
    </row>
    <row r="755" spans="2:17" x14ac:dyDescent="0.25">
      <c r="B755" s="2" t="s">
        <v>1559</v>
      </c>
      <c r="C755" s="2" t="s">
        <v>146</v>
      </c>
      <c r="D755" s="2" t="s">
        <v>147</v>
      </c>
      <c r="E755" s="2" t="s">
        <v>122</v>
      </c>
      <c r="F755" s="2" t="s">
        <v>535</v>
      </c>
      <c r="G755" s="2" t="s">
        <v>416</v>
      </c>
      <c r="H755" s="2" t="s">
        <v>94</v>
      </c>
      <c r="I755" s="26">
        <v>45674</v>
      </c>
      <c r="J755" s="2">
        <v>43</v>
      </c>
      <c r="K755" s="2" t="s">
        <v>123</v>
      </c>
      <c r="L755" s="22">
        <v>2100</v>
      </c>
      <c r="M755" s="22">
        <v>90300</v>
      </c>
      <c r="N755" s="18">
        <v>96.58</v>
      </c>
      <c r="O755" s="26">
        <v>45719</v>
      </c>
      <c r="P755" s="2" t="s">
        <v>805</v>
      </c>
      <c r="Q755" s="2" t="s">
        <v>825</v>
      </c>
    </row>
    <row r="756" spans="2:17" x14ac:dyDescent="0.25">
      <c r="B756" s="2" t="s">
        <v>1560</v>
      </c>
      <c r="C756" s="2" t="s">
        <v>146</v>
      </c>
      <c r="D756" s="2" t="s">
        <v>147</v>
      </c>
      <c r="E756" s="2" t="s">
        <v>122</v>
      </c>
      <c r="F756" s="2" t="s">
        <v>537</v>
      </c>
      <c r="G756" s="2" t="s">
        <v>420</v>
      </c>
      <c r="H756" s="2" t="s">
        <v>421</v>
      </c>
      <c r="I756" s="26">
        <v>45683</v>
      </c>
      <c r="J756" s="2">
        <v>37</v>
      </c>
      <c r="K756" s="2" t="s">
        <v>123</v>
      </c>
      <c r="L756" s="22">
        <v>2150</v>
      </c>
      <c r="M756" s="22">
        <v>79550</v>
      </c>
      <c r="N756" s="18">
        <v>85.08</v>
      </c>
      <c r="O756" s="26">
        <v>45728</v>
      </c>
      <c r="P756" s="2" t="s">
        <v>805</v>
      </c>
      <c r="Q756" s="2" t="s">
        <v>825</v>
      </c>
    </row>
    <row r="757" spans="2:17" x14ac:dyDescent="0.25">
      <c r="B757" s="2" t="s">
        <v>1561</v>
      </c>
      <c r="C757" s="2" t="s">
        <v>146</v>
      </c>
      <c r="D757" s="2" t="s">
        <v>147</v>
      </c>
      <c r="E757" s="2" t="s">
        <v>122</v>
      </c>
      <c r="F757" s="2" t="s">
        <v>535</v>
      </c>
      <c r="G757" s="2" t="s">
        <v>416</v>
      </c>
      <c r="H757" s="2" t="s">
        <v>94</v>
      </c>
      <c r="I757" s="26">
        <v>45692</v>
      </c>
      <c r="J757" s="2">
        <v>50</v>
      </c>
      <c r="K757" s="2" t="s">
        <v>123</v>
      </c>
      <c r="L757" s="22">
        <v>2100</v>
      </c>
      <c r="M757" s="22">
        <v>105000</v>
      </c>
      <c r="N757" s="18">
        <v>112.3</v>
      </c>
      <c r="O757" s="26">
        <v>45737</v>
      </c>
      <c r="P757" s="2" t="s">
        <v>805</v>
      </c>
      <c r="Q757" s="2" t="s">
        <v>825</v>
      </c>
    </row>
    <row r="758" spans="2:17" x14ac:dyDescent="0.25">
      <c r="B758" s="2" t="s">
        <v>1562</v>
      </c>
      <c r="C758" s="2" t="s">
        <v>146</v>
      </c>
      <c r="D758" s="2" t="s">
        <v>147</v>
      </c>
      <c r="E758" s="2" t="s">
        <v>122</v>
      </c>
      <c r="F758" s="2" t="s">
        <v>535</v>
      </c>
      <c r="G758" s="2" t="s">
        <v>416</v>
      </c>
      <c r="H758" s="2" t="s">
        <v>94</v>
      </c>
      <c r="I758" s="26">
        <v>45701</v>
      </c>
      <c r="J758" s="2">
        <v>42</v>
      </c>
      <c r="K758" s="2" t="s">
        <v>123</v>
      </c>
      <c r="L758" s="22">
        <v>2100</v>
      </c>
      <c r="M758" s="22">
        <v>88200</v>
      </c>
      <c r="N758" s="18">
        <v>94.33</v>
      </c>
      <c r="O758" s="26">
        <v>45746</v>
      </c>
      <c r="P758" s="2" t="s">
        <v>805</v>
      </c>
      <c r="Q758" s="2" t="s">
        <v>825</v>
      </c>
    </row>
    <row r="759" spans="2:17" x14ac:dyDescent="0.25">
      <c r="B759" s="2" t="s">
        <v>1563</v>
      </c>
      <c r="C759" s="2" t="s">
        <v>146</v>
      </c>
      <c r="D759" s="2" t="s">
        <v>147</v>
      </c>
      <c r="E759" s="2" t="s">
        <v>122</v>
      </c>
      <c r="F759" s="2" t="s">
        <v>535</v>
      </c>
      <c r="G759" s="2" t="s">
        <v>416</v>
      </c>
      <c r="H759" s="2" t="s">
        <v>94</v>
      </c>
      <c r="I759" s="26">
        <v>45713</v>
      </c>
      <c r="J759" s="2">
        <v>42</v>
      </c>
      <c r="K759" s="2" t="s">
        <v>123</v>
      </c>
      <c r="L759" s="22">
        <v>2100</v>
      </c>
      <c r="M759" s="22">
        <v>88200</v>
      </c>
      <c r="N759" s="18">
        <v>94.33</v>
      </c>
      <c r="O759" s="26">
        <v>45758</v>
      </c>
      <c r="P759" s="2" t="s">
        <v>805</v>
      </c>
      <c r="Q759" s="2" t="s">
        <v>825</v>
      </c>
    </row>
    <row r="760" spans="2:17" x14ac:dyDescent="0.25">
      <c r="B760" s="2" t="s">
        <v>1564</v>
      </c>
      <c r="C760" s="2" t="s">
        <v>146</v>
      </c>
      <c r="D760" s="2" t="s">
        <v>147</v>
      </c>
      <c r="E760" s="2" t="s">
        <v>122</v>
      </c>
      <c r="F760" s="2" t="s">
        <v>535</v>
      </c>
      <c r="G760" s="2" t="s">
        <v>416</v>
      </c>
      <c r="H760" s="2" t="s">
        <v>94</v>
      </c>
      <c r="I760" s="26">
        <v>45722</v>
      </c>
      <c r="J760" s="2">
        <v>47</v>
      </c>
      <c r="K760" s="2" t="s">
        <v>123</v>
      </c>
      <c r="L760" s="22">
        <v>2100</v>
      </c>
      <c r="M760" s="22">
        <v>98700</v>
      </c>
      <c r="N760" s="18">
        <v>105.56</v>
      </c>
      <c r="O760" s="26">
        <v>45767</v>
      </c>
      <c r="P760" s="2" t="s">
        <v>805</v>
      </c>
      <c r="Q760" s="2" t="s">
        <v>836</v>
      </c>
    </row>
    <row r="761" spans="2:17" x14ac:dyDescent="0.25">
      <c r="B761" s="2" t="s">
        <v>1565</v>
      </c>
      <c r="C761" s="2" t="s">
        <v>146</v>
      </c>
      <c r="D761" s="2" t="s">
        <v>147</v>
      </c>
      <c r="E761" s="2" t="s">
        <v>122</v>
      </c>
      <c r="F761" s="2" t="s">
        <v>537</v>
      </c>
      <c r="G761" s="2" t="s">
        <v>420</v>
      </c>
      <c r="H761" s="2" t="s">
        <v>421</v>
      </c>
      <c r="I761" s="26">
        <v>45731</v>
      </c>
      <c r="J761" s="2">
        <v>40</v>
      </c>
      <c r="K761" s="2" t="s">
        <v>123</v>
      </c>
      <c r="L761" s="22">
        <v>2150</v>
      </c>
      <c r="M761" s="22">
        <v>86000</v>
      </c>
      <c r="N761" s="18">
        <v>91.98</v>
      </c>
      <c r="O761" s="26">
        <v>45776</v>
      </c>
      <c r="P761" s="2" t="s">
        <v>805</v>
      </c>
      <c r="Q761" s="2" t="s">
        <v>836</v>
      </c>
    </row>
    <row r="762" spans="2:17" x14ac:dyDescent="0.25">
      <c r="B762" s="2" t="s">
        <v>1566</v>
      </c>
      <c r="C762" s="2" t="s">
        <v>146</v>
      </c>
      <c r="D762" s="2" t="s">
        <v>147</v>
      </c>
      <c r="E762" s="2" t="s">
        <v>122</v>
      </c>
      <c r="F762" s="2" t="s">
        <v>535</v>
      </c>
      <c r="G762" s="2" t="s">
        <v>416</v>
      </c>
      <c r="H762" s="2" t="s">
        <v>94</v>
      </c>
      <c r="I762" s="26">
        <v>45741</v>
      </c>
      <c r="J762" s="2">
        <v>41</v>
      </c>
      <c r="K762" s="2" t="s">
        <v>123</v>
      </c>
      <c r="L762" s="22">
        <v>2100</v>
      </c>
      <c r="M762" s="22">
        <v>86100</v>
      </c>
      <c r="N762" s="18">
        <v>92.09</v>
      </c>
      <c r="O762" s="26">
        <v>45786</v>
      </c>
      <c r="P762" s="2" t="s">
        <v>805</v>
      </c>
      <c r="Q762" s="2" t="s">
        <v>836</v>
      </c>
    </row>
    <row r="763" spans="2:17" x14ac:dyDescent="0.25">
      <c r="B763" s="2" t="s">
        <v>1567</v>
      </c>
      <c r="C763" s="2" t="s">
        <v>146</v>
      </c>
      <c r="D763" s="2" t="s">
        <v>147</v>
      </c>
      <c r="E763" s="2" t="s">
        <v>122</v>
      </c>
      <c r="F763" s="2" t="s">
        <v>535</v>
      </c>
      <c r="G763" s="2" t="s">
        <v>416</v>
      </c>
      <c r="H763" s="2" t="s">
        <v>94</v>
      </c>
      <c r="I763" s="26">
        <v>45753</v>
      </c>
      <c r="J763" s="2">
        <v>17</v>
      </c>
      <c r="K763" s="2" t="s">
        <v>123</v>
      </c>
      <c r="L763" s="22">
        <v>2100</v>
      </c>
      <c r="M763" s="22">
        <v>35700</v>
      </c>
      <c r="N763" s="18">
        <v>38.18</v>
      </c>
      <c r="O763" s="26">
        <v>45798</v>
      </c>
      <c r="P763" s="2" t="s">
        <v>805</v>
      </c>
      <c r="Q763" s="2" t="s">
        <v>836</v>
      </c>
    </row>
    <row r="764" spans="2:17" x14ac:dyDescent="0.25">
      <c r="B764" s="2" t="s">
        <v>1568</v>
      </c>
      <c r="C764" s="2" t="s">
        <v>146</v>
      </c>
      <c r="D764" s="2" t="s">
        <v>147</v>
      </c>
      <c r="E764" s="2" t="s">
        <v>122</v>
      </c>
      <c r="F764" s="2" t="s">
        <v>535</v>
      </c>
      <c r="G764" s="2" t="s">
        <v>416</v>
      </c>
      <c r="H764" s="2" t="s">
        <v>94</v>
      </c>
      <c r="I764" s="26">
        <v>45762</v>
      </c>
      <c r="J764" s="2">
        <v>17</v>
      </c>
      <c r="K764" s="2" t="s">
        <v>123</v>
      </c>
      <c r="L764" s="22">
        <v>2100</v>
      </c>
      <c r="M764" s="22">
        <v>35700</v>
      </c>
      <c r="N764" s="18">
        <v>38.18</v>
      </c>
      <c r="O764" s="26">
        <v>45807</v>
      </c>
      <c r="P764" s="2" t="s">
        <v>805</v>
      </c>
      <c r="Q764" s="2" t="s">
        <v>836</v>
      </c>
    </row>
    <row r="765" spans="2:17" x14ac:dyDescent="0.25">
      <c r="B765" s="2" t="s">
        <v>1569</v>
      </c>
      <c r="C765" s="2" t="s">
        <v>146</v>
      </c>
      <c r="D765" s="2" t="s">
        <v>147</v>
      </c>
      <c r="E765" s="2" t="s">
        <v>122</v>
      </c>
      <c r="F765" s="2" t="s">
        <v>535</v>
      </c>
      <c r="G765" s="2" t="s">
        <v>416</v>
      </c>
      <c r="H765" s="2" t="s">
        <v>94</v>
      </c>
      <c r="I765" s="26">
        <v>45771</v>
      </c>
      <c r="J765" s="2">
        <v>18</v>
      </c>
      <c r="K765" s="2" t="s">
        <v>123</v>
      </c>
      <c r="L765" s="22">
        <v>2100</v>
      </c>
      <c r="M765" s="22">
        <v>37800</v>
      </c>
      <c r="N765" s="18">
        <v>40.43</v>
      </c>
      <c r="O765" s="26">
        <v>45816</v>
      </c>
      <c r="P765" s="2" t="s">
        <v>805</v>
      </c>
      <c r="Q765" s="2" t="s">
        <v>836</v>
      </c>
    </row>
    <row r="766" spans="2:17" x14ac:dyDescent="0.25">
      <c r="B766" s="2" t="s">
        <v>1570</v>
      </c>
      <c r="C766" s="2" t="s">
        <v>146</v>
      </c>
      <c r="D766" s="2" t="s">
        <v>147</v>
      </c>
      <c r="E766" s="2" t="s">
        <v>122</v>
      </c>
      <c r="F766" s="2" t="s">
        <v>535</v>
      </c>
      <c r="G766" s="2" t="s">
        <v>416</v>
      </c>
      <c r="H766" s="2" t="s">
        <v>94</v>
      </c>
      <c r="I766" s="26">
        <v>45782</v>
      </c>
      <c r="J766" s="2">
        <v>17</v>
      </c>
      <c r="K766" s="2" t="s">
        <v>123</v>
      </c>
      <c r="L766" s="22">
        <v>2100</v>
      </c>
      <c r="M766" s="22">
        <v>35700</v>
      </c>
      <c r="N766" s="18">
        <v>38.18</v>
      </c>
      <c r="O766" s="26">
        <v>45827</v>
      </c>
      <c r="P766" s="2" t="s">
        <v>805</v>
      </c>
      <c r="Q766" s="2" t="s">
        <v>836</v>
      </c>
    </row>
    <row r="767" spans="2:17" x14ac:dyDescent="0.25">
      <c r="B767" s="2" t="s">
        <v>1571</v>
      </c>
      <c r="C767" s="2" t="s">
        <v>146</v>
      </c>
      <c r="D767" s="2" t="s">
        <v>147</v>
      </c>
      <c r="E767" s="2" t="s">
        <v>122</v>
      </c>
      <c r="F767" s="2" t="s">
        <v>535</v>
      </c>
      <c r="G767" s="2" t="s">
        <v>416</v>
      </c>
      <c r="H767" s="2" t="s">
        <v>94</v>
      </c>
      <c r="I767" s="26">
        <v>45790</v>
      </c>
      <c r="J767" s="2">
        <v>16</v>
      </c>
      <c r="K767" s="2" t="s">
        <v>123</v>
      </c>
      <c r="L767" s="22">
        <v>2100</v>
      </c>
      <c r="M767" s="22">
        <v>33600</v>
      </c>
      <c r="N767" s="18">
        <v>35.94</v>
      </c>
      <c r="O767" s="26">
        <v>45835</v>
      </c>
      <c r="P767" s="2" t="s">
        <v>805</v>
      </c>
      <c r="Q767" s="2" t="s">
        <v>836</v>
      </c>
    </row>
    <row r="768" spans="2:17" x14ac:dyDescent="0.25">
      <c r="B768" s="2" t="s">
        <v>1572</v>
      </c>
      <c r="C768" s="2" t="s">
        <v>146</v>
      </c>
      <c r="D768" s="2" t="s">
        <v>147</v>
      </c>
      <c r="E768" s="2" t="s">
        <v>122</v>
      </c>
      <c r="F768" s="2" t="s">
        <v>537</v>
      </c>
      <c r="G768" s="2" t="s">
        <v>420</v>
      </c>
      <c r="H768" s="2" t="s">
        <v>421</v>
      </c>
      <c r="I768" s="26">
        <v>45801</v>
      </c>
      <c r="J768" s="2">
        <v>15</v>
      </c>
      <c r="K768" s="2" t="s">
        <v>123</v>
      </c>
      <c r="L768" s="22">
        <v>2150</v>
      </c>
      <c r="M768" s="22">
        <v>32250</v>
      </c>
      <c r="N768" s="18">
        <v>34.49</v>
      </c>
      <c r="O768" s="26">
        <v>45846</v>
      </c>
      <c r="P768" s="2" t="s">
        <v>805</v>
      </c>
      <c r="Q768" s="2" t="s">
        <v>836</v>
      </c>
    </row>
    <row r="769" spans="2:17" x14ac:dyDescent="0.25">
      <c r="B769" s="2" t="s">
        <v>1573</v>
      </c>
      <c r="C769" s="2" t="s">
        <v>146</v>
      </c>
      <c r="D769" s="2" t="s">
        <v>147</v>
      </c>
      <c r="E769" s="2" t="s">
        <v>122</v>
      </c>
      <c r="F769" s="2" t="s">
        <v>537</v>
      </c>
      <c r="G769" s="2" t="s">
        <v>420</v>
      </c>
      <c r="H769" s="2" t="s">
        <v>421</v>
      </c>
      <c r="I769" s="26">
        <v>45813</v>
      </c>
      <c r="J769" s="2">
        <v>15</v>
      </c>
      <c r="K769" s="2" t="s">
        <v>123</v>
      </c>
      <c r="L769" s="22">
        <v>2150</v>
      </c>
      <c r="M769" s="22">
        <v>32250</v>
      </c>
      <c r="N769" s="18">
        <v>34.49</v>
      </c>
      <c r="O769" s="26">
        <v>45858</v>
      </c>
      <c r="P769" s="2" t="s">
        <v>805</v>
      </c>
      <c r="Q769" s="2" t="s">
        <v>806</v>
      </c>
    </row>
    <row r="770" spans="2:17" x14ac:dyDescent="0.25">
      <c r="B770" s="2" t="s">
        <v>1574</v>
      </c>
      <c r="C770" s="2" t="s">
        <v>146</v>
      </c>
      <c r="D770" s="2" t="s">
        <v>147</v>
      </c>
      <c r="E770" s="2" t="s">
        <v>122</v>
      </c>
      <c r="F770" s="2" t="s">
        <v>535</v>
      </c>
      <c r="G770" s="2" t="s">
        <v>416</v>
      </c>
      <c r="H770" s="2" t="s">
        <v>94</v>
      </c>
      <c r="I770" s="26">
        <v>45823</v>
      </c>
      <c r="J770" s="2">
        <v>14</v>
      </c>
      <c r="K770" s="2" t="s">
        <v>123</v>
      </c>
      <c r="L770" s="22">
        <v>2100</v>
      </c>
      <c r="M770" s="22">
        <v>29400</v>
      </c>
      <c r="N770" s="18">
        <v>31.44</v>
      </c>
      <c r="O770" s="26">
        <v>45868</v>
      </c>
      <c r="P770" s="2" t="s">
        <v>805</v>
      </c>
      <c r="Q770" s="2" t="s">
        <v>806</v>
      </c>
    </row>
    <row r="771" spans="2:17" x14ac:dyDescent="0.25">
      <c r="B771" s="2" t="s">
        <v>1575</v>
      </c>
      <c r="C771" s="2" t="s">
        <v>146</v>
      </c>
      <c r="D771" s="2" t="s">
        <v>147</v>
      </c>
      <c r="E771" s="2" t="s">
        <v>122</v>
      </c>
      <c r="F771" s="2" t="s">
        <v>535</v>
      </c>
      <c r="G771" s="2" t="s">
        <v>416</v>
      </c>
      <c r="H771" s="2" t="s">
        <v>94</v>
      </c>
      <c r="I771" s="26">
        <v>45832</v>
      </c>
      <c r="J771" s="2">
        <v>15</v>
      </c>
      <c r="K771" s="2" t="s">
        <v>123</v>
      </c>
      <c r="L771" s="22">
        <v>2100</v>
      </c>
      <c r="M771" s="22">
        <v>31500</v>
      </c>
      <c r="N771" s="18">
        <v>33.69</v>
      </c>
      <c r="O771" s="26">
        <v>45877</v>
      </c>
      <c r="P771" s="2" t="s">
        <v>805</v>
      </c>
      <c r="Q771" s="2" t="s">
        <v>806</v>
      </c>
    </row>
    <row r="772" spans="2:17" x14ac:dyDescent="0.25">
      <c r="B772" s="2" t="s">
        <v>1576</v>
      </c>
      <c r="C772" s="2" t="s">
        <v>148</v>
      </c>
      <c r="D772" s="2" t="s">
        <v>149</v>
      </c>
      <c r="E772" s="2" t="s">
        <v>122</v>
      </c>
      <c r="F772" s="2" t="s">
        <v>535</v>
      </c>
      <c r="G772" s="2" t="s">
        <v>416</v>
      </c>
      <c r="H772" s="2" t="s">
        <v>94</v>
      </c>
      <c r="I772" s="26">
        <v>45108</v>
      </c>
      <c r="J772" s="2">
        <v>28</v>
      </c>
      <c r="K772" s="2" t="s">
        <v>150</v>
      </c>
      <c r="L772" s="22">
        <v>2500</v>
      </c>
      <c r="M772" s="22">
        <v>70000</v>
      </c>
      <c r="N772" s="18">
        <v>74.87</v>
      </c>
      <c r="O772" s="26">
        <v>45153</v>
      </c>
      <c r="P772" s="2" t="s">
        <v>805</v>
      </c>
      <c r="Q772" s="2" t="s">
        <v>806</v>
      </c>
    </row>
    <row r="773" spans="2:17" x14ac:dyDescent="0.25">
      <c r="B773" s="2" t="s">
        <v>1577</v>
      </c>
      <c r="C773" s="2" t="s">
        <v>148</v>
      </c>
      <c r="D773" s="2" t="s">
        <v>149</v>
      </c>
      <c r="E773" s="2" t="s">
        <v>122</v>
      </c>
      <c r="F773" s="2" t="s">
        <v>537</v>
      </c>
      <c r="G773" s="2" t="s">
        <v>420</v>
      </c>
      <c r="H773" s="2" t="s">
        <v>421</v>
      </c>
      <c r="I773" s="26">
        <v>45114</v>
      </c>
      <c r="J773" s="2">
        <v>27</v>
      </c>
      <c r="K773" s="2" t="s">
        <v>150</v>
      </c>
      <c r="L773" s="22">
        <v>2550</v>
      </c>
      <c r="M773" s="22">
        <v>68850</v>
      </c>
      <c r="N773" s="18">
        <v>73.64</v>
      </c>
      <c r="O773" s="26">
        <v>45159</v>
      </c>
      <c r="P773" s="2" t="s">
        <v>805</v>
      </c>
      <c r="Q773" s="2" t="s">
        <v>806</v>
      </c>
    </row>
    <row r="774" spans="2:17" x14ac:dyDescent="0.25">
      <c r="B774" s="2" t="s">
        <v>1578</v>
      </c>
      <c r="C774" s="2" t="s">
        <v>148</v>
      </c>
      <c r="D774" s="2" t="s">
        <v>149</v>
      </c>
      <c r="E774" s="2" t="s">
        <v>122</v>
      </c>
      <c r="F774" s="2" t="s">
        <v>535</v>
      </c>
      <c r="G774" s="2" t="s">
        <v>416</v>
      </c>
      <c r="H774" s="2" t="s">
        <v>94</v>
      </c>
      <c r="I774" s="26">
        <v>45124</v>
      </c>
      <c r="J774" s="2">
        <v>24</v>
      </c>
      <c r="K774" s="2" t="s">
        <v>150</v>
      </c>
      <c r="L774" s="22">
        <v>2500</v>
      </c>
      <c r="M774" s="22">
        <v>60000</v>
      </c>
      <c r="N774" s="18">
        <v>64.17</v>
      </c>
      <c r="O774" s="26">
        <v>45169</v>
      </c>
      <c r="P774" s="2" t="s">
        <v>805</v>
      </c>
      <c r="Q774" s="2" t="s">
        <v>806</v>
      </c>
    </row>
    <row r="775" spans="2:17" x14ac:dyDescent="0.25">
      <c r="B775" s="2" t="s">
        <v>1579</v>
      </c>
      <c r="C775" s="2" t="s">
        <v>148</v>
      </c>
      <c r="D775" s="2" t="s">
        <v>149</v>
      </c>
      <c r="E775" s="2" t="s">
        <v>122</v>
      </c>
      <c r="F775" s="2" t="s">
        <v>535</v>
      </c>
      <c r="G775" s="2" t="s">
        <v>416</v>
      </c>
      <c r="H775" s="2" t="s">
        <v>94</v>
      </c>
      <c r="I775" s="26">
        <v>45131</v>
      </c>
      <c r="J775" s="2">
        <v>27</v>
      </c>
      <c r="K775" s="2" t="s">
        <v>150</v>
      </c>
      <c r="L775" s="22">
        <v>2500</v>
      </c>
      <c r="M775" s="22">
        <v>67500</v>
      </c>
      <c r="N775" s="18">
        <v>72.19</v>
      </c>
      <c r="O775" s="26">
        <v>45176</v>
      </c>
      <c r="P775" s="2" t="s">
        <v>805</v>
      </c>
      <c r="Q775" s="2" t="s">
        <v>806</v>
      </c>
    </row>
    <row r="776" spans="2:17" x14ac:dyDescent="0.25">
      <c r="B776" s="2" t="s">
        <v>1580</v>
      </c>
      <c r="C776" s="2" t="s">
        <v>148</v>
      </c>
      <c r="D776" s="2" t="s">
        <v>149</v>
      </c>
      <c r="E776" s="2" t="s">
        <v>122</v>
      </c>
      <c r="F776" s="2" t="s">
        <v>535</v>
      </c>
      <c r="G776" s="2" t="s">
        <v>416</v>
      </c>
      <c r="H776" s="2" t="s">
        <v>94</v>
      </c>
      <c r="I776" s="26">
        <v>45140</v>
      </c>
      <c r="J776" s="2">
        <v>27</v>
      </c>
      <c r="K776" s="2" t="s">
        <v>150</v>
      </c>
      <c r="L776" s="22">
        <v>2500</v>
      </c>
      <c r="M776" s="22">
        <v>67500</v>
      </c>
      <c r="N776" s="18">
        <v>72.19</v>
      </c>
      <c r="O776" s="26">
        <v>45185</v>
      </c>
      <c r="P776" s="2" t="s">
        <v>805</v>
      </c>
      <c r="Q776" s="2" t="s">
        <v>806</v>
      </c>
    </row>
    <row r="777" spans="2:17" x14ac:dyDescent="0.25">
      <c r="B777" s="2" t="s">
        <v>1581</v>
      </c>
      <c r="C777" s="2" t="s">
        <v>148</v>
      </c>
      <c r="D777" s="2" t="s">
        <v>149</v>
      </c>
      <c r="E777" s="2" t="s">
        <v>122</v>
      </c>
      <c r="F777" s="2" t="s">
        <v>535</v>
      </c>
      <c r="G777" s="2" t="s">
        <v>416</v>
      </c>
      <c r="H777" s="2" t="s">
        <v>94</v>
      </c>
      <c r="I777" s="26">
        <v>45148</v>
      </c>
      <c r="J777" s="2">
        <v>23</v>
      </c>
      <c r="K777" s="2" t="s">
        <v>150</v>
      </c>
      <c r="L777" s="22">
        <v>2500</v>
      </c>
      <c r="M777" s="22">
        <v>57500</v>
      </c>
      <c r="N777" s="18">
        <v>61.5</v>
      </c>
      <c r="O777" s="26">
        <v>45193</v>
      </c>
      <c r="P777" s="2" t="s">
        <v>805</v>
      </c>
      <c r="Q777" s="2" t="s">
        <v>806</v>
      </c>
    </row>
    <row r="778" spans="2:17" x14ac:dyDescent="0.25">
      <c r="B778" s="2" t="s">
        <v>1582</v>
      </c>
      <c r="C778" s="2" t="s">
        <v>148</v>
      </c>
      <c r="D778" s="2" t="s">
        <v>149</v>
      </c>
      <c r="E778" s="2" t="s">
        <v>122</v>
      </c>
      <c r="F778" s="2" t="s">
        <v>535</v>
      </c>
      <c r="G778" s="2" t="s">
        <v>416</v>
      </c>
      <c r="H778" s="2" t="s">
        <v>94</v>
      </c>
      <c r="I778" s="26">
        <v>45157</v>
      </c>
      <c r="J778" s="2">
        <v>27</v>
      </c>
      <c r="K778" s="2" t="s">
        <v>150</v>
      </c>
      <c r="L778" s="22">
        <v>2500</v>
      </c>
      <c r="M778" s="22">
        <v>67500</v>
      </c>
      <c r="N778" s="18">
        <v>72.19</v>
      </c>
      <c r="O778" s="26">
        <v>45202</v>
      </c>
      <c r="P778" s="2" t="s">
        <v>805</v>
      </c>
      <c r="Q778" s="2" t="s">
        <v>806</v>
      </c>
    </row>
    <row r="779" spans="2:17" x14ac:dyDescent="0.25">
      <c r="B779" s="2" t="s">
        <v>1583</v>
      </c>
      <c r="C779" s="2" t="s">
        <v>148</v>
      </c>
      <c r="D779" s="2" t="s">
        <v>149</v>
      </c>
      <c r="E779" s="2" t="s">
        <v>122</v>
      </c>
      <c r="F779" s="2" t="s">
        <v>535</v>
      </c>
      <c r="G779" s="2" t="s">
        <v>416</v>
      </c>
      <c r="H779" s="2" t="s">
        <v>94</v>
      </c>
      <c r="I779" s="26">
        <v>45166</v>
      </c>
      <c r="J779" s="2">
        <v>23</v>
      </c>
      <c r="K779" s="2" t="s">
        <v>150</v>
      </c>
      <c r="L779" s="22">
        <v>2500</v>
      </c>
      <c r="M779" s="22">
        <v>57500</v>
      </c>
      <c r="N779" s="18">
        <v>61.5</v>
      </c>
      <c r="O779" s="26">
        <v>45211</v>
      </c>
      <c r="P779" s="2" t="s">
        <v>805</v>
      </c>
      <c r="Q779" s="2" t="s">
        <v>806</v>
      </c>
    </row>
    <row r="780" spans="2:17" x14ac:dyDescent="0.25">
      <c r="B780" s="2" t="s">
        <v>1584</v>
      </c>
      <c r="C780" s="2" t="s">
        <v>148</v>
      </c>
      <c r="D780" s="2" t="s">
        <v>149</v>
      </c>
      <c r="E780" s="2" t="s">
        <v>122</v>
      </c>
      <c r="F780" s="2" t="s">
        <v>535</v>
      </c>
      <c r="G780" s="2" t="s">
        <v>416</v>
      </c>
      <c r="H780" s="2" t="s">
        <v>94</v>
      </c>
      <c r="I780" s="26">
        <v>45177</v>
      </c>
      <c r="J780" s="2">
        <v>28</v>
      </c>
      <c r="K780" s="2" t="s">
        <v>150</v>
      </c>
      <c r="L780" s="22">
        <v>2500</v>
      </c>
      <c r="M780" s="22">
        <v>70000</v>
      </c>
      <c r="N780" s="18">
        <v>74.87</v>
      </c>
      <c r="O780" s="26">
        <v>45222</v>
      </c>
      <c r="P780" s="2" t="s">
        <v>805</v>
      </c>
      <c r="Q780" s="2" t="s">
        <v>814</v>
      </c>
    </row>
    <row r="781" spans="2:17" x14ac:dyDescent="0.25">
      <c r="B781" s="2" t="s">
        <v>1585</v>
      </c>
      <c r="C781" s="2" t="s">
        <v>148</v>
      </c>
      <c r="D781" s="2" t="s">
        <v>149</v>
      </c>
      <c r="E781" s="2" t="s">
        <v>122</v>
      </c>
      <c r="F781" s="2" t="s">
        <v>535</v>
      </c>
      <c r="G781" s="2" t="s">
        <v>416</v>
      </c>
      <c r="H781" s="2" t="s">
        <v>94</v>
      </c>
      <c r="I781" s="26">
        <v>45187</v>
      </c>
      <c r="J781" s="2">
        <v>32</v>
      </c>
      <c r="K781" s="2" t="s">
        <v>150</v>
      </c>
      <c r="L781" s="22">
        <v>2500</v>
      </c>
      <c r="M781" s="22">
        <v>80000</v>
      </c>
      <c r="N781" s="18">
        <v>85.56</v>
      </c>
      <c r="O781" s="26">
        <v>45232</v>
      </c>
      <c r="P781" s="2" t="s">
        <v>805</v>
      </c>
      <c r="Q781" s="2" t="s">
        <v>814</v>
      </c>
    </row>
    <row r="782" spans="2:17" x14ac:dyDescent="0.25">
      <c r="B782" s="2" t="s">
        <v>1586</v>
      </c>
      <c r="C782" s="2" t="s">
        <v>148</v>
      </c>
      <c r="D782" s="2" t="s">
        <v>149</v>
      </c>
      <c r="E782" s="2" t="s">
        <v>122</v>
      </c>
      <c r="F782" s="2" t="s">
        <v>537</v>
      </c>
      <c r="G782" s="2" t="s">
        <v>420</v>
      </c>
      <c r="H782" s="2" t="s">
        <v>421</v>
      </c>
      <c r="I782" s="26">
        <v>45197</v>
      </c>
      <c r="J782" s="2">
        <v>32</v>
      </c>
      <c r="K782" s="2" t="s">
        <v>150</v>
      </c>
      <c r="L782" s="22">
        <v>2550</v>
      </c>
      <c r="M782" s="22">
        <v>81600</v>
      </c>
      <c r="N782" s="18">
        <v>87.27</v>
      </c>
      <c r="O782" s="26">
        <v>45242</v>
      </c>
      <c r="P782" s="2" t="s">
        <v>805</v>
      </c>
      <c r="Q782" s="2" t="s">
        <v>814</v>
      </c>
    </row>
    <row r="783" spans="2:17" x14ac:dyDescent="0.25">
      <c r="B783" s="2" t="s">
        <v>1587</v>
      </c>
      <c r="C783" s="2" t="s">
        <v>148</v>
      </c>
      <c r="D783" s="2" t="s">
        <v>149</v>
      </c>
      <c r="E783" s="2" t="s">
        <v>122</v>
      </c>
      <c r="F783" s="2" t="s">
        <v>535</v>
      </c>
      <c r="G783" s="2" t="s">
        <v>416</v>
      </c>
      <c r="H783" s="2" t="s">
        <v>94</v>
      </c>
      <c r="I783" s="26">
        <v>45206</v>
      </c>
      <c r="J783" s="2">
        <v>21</v>
      </c>
      <c r="K783" s="2" t="s">
        <v>150</v>
      </c>
      <c r="L783" s="22">
        <v>2500</v>
      </c>
      <c r="M783" s="22">
        <v>52500</v>
      </c>
      <c r="N783" s="18">
        <v>56.15</v>
      </c>
      <c r="O783" s="26">
        <v>45251</v>
      </c>
      <c r="P783" s="2" t="s">
        <v>805</v>
      </c>
      <c r="Q783" s="2" t="s">
        <v>814</v>
      </c>
    </row>
    <row r="784" spans="2:17" x14ac:dyDescent="0.25">
      <c r="B784" s="2" t="s">
        <v>1588</v>
      </c>
      <c r="C784" s="2" t="s">
        <v>148</v>
      </c>
      <c r="D784" s="2" t="s">
        <v>149</v>
      </c>
      <c r="E784" s="2" t="s">
        <v>122</v>
      </c>
      <c r="F784" s="2" t="s">
        <v>535</v>
      </c>
      <c r="G784" s="2" t="s">
        <v>416</v>
      </c>
      <c r="H784" s="2" t="s">
        <v>94</v>
      </c>
      <c r="I784" s="26">
        <v>45214</v>
      </c>
      <c r="J784" s="2">
        <v>24</v>
      </c>
      <c r="K784" s="2" t="s">
        <v>150</v>
      </c>
      <c r="L784" s="22">
        <v>2500</v>
      </c>
      <c r="M784" s="22">
        <v>60000</v>
      </c>
      <c r="N784" s="18">
        <v>64.17</v>
      </c>
      <c r="O784" s="26">
        <v>45259</v>
      </c>
      <c r="P784" s="2" t="s">
        <v>805</v>
      </c>
      <c r="Q784" s="2" t="s">
        <v>814</v>
      </c>
    </row>
    <row r="785" spans="2:17" x14ac:dyDescent="0.25">
      <c r="B785" s="2" t="s">
        <v>1589</v>
      </c>
      <c r="C785" s="2" t="s">
        <v>148</v>
      </c>
      <c r="D785" s="2" t="s">
        <v>149</v>
      </c>
      <c r="E785" s="2" t="s">
        <v>122</v>
      </c>
      <c r="F785" s="2" t="s">
        <v>537</v>
      </c>
      <c r="G785" s="2" t="s">
        <v>420</v>
      </c>
      <c r="H785" s="2" t="s">
        <v>421</v>
      </c>
      <c r="I785" s="26">
        <v>45225</v>
      </c>
      <c r="J785" s="2">
        <v>21</v>
      </c>
      <c r="K785" s="2" t="s">
        <v>150</v>
      </c>
      <c r="L785" s="22">
        <v>2550</v>
      </c>
      <c r="M785" s="22">
        <v>53550</v>
      </c>
      <c r="N785" s="18">
        <v>57.27</v>
      </c>
      <c r="O785" s="26">
        <v>45270</v>
      </c>
      <c r="P785" s="2" t="s">
        <v>805</v>
      </c>
      <c r="Q785" s="2" t="s">
        <v>814</v>
      </c>
    </row>
    <row r="786" spans="2:17" x14ac:dyDescent="0.25">
      <c r="B786" s="2" t="s">
        <v>1590</v>
      </c>
      <c r="C786" s="2" t="s">
        <v>148</v>
      </c>
      <c r="D786" s="2" t="s">
        <v>149</v>
      </c>
      <c r="E786" s="2" t="s">
        <v>122</v>
      </c>
      <c r="F786" s="2" t="s">
        <v>537</v>
      </c>
      <c r="G786" s="2" t="s">
        <v>420</v>
      </c>
      <c r="H786" s="2" t="s">
        <v>421</v>
      </c>
      <c r="I786" s="26">
        <v>45237</v>
      </c>
      <c r="J786" s="2">
        <v>26</v>
      </c>
      <c r="K786" s="2" t="s">
        <v>150</v>
      </c>
      <c r="L786" s="22">
        <v>2550</v>
      </c>
      <c r="M786" s="22">
        <v>66300</v>
      </c>
      <c r="N786" s="18">
        <v>70.91</v>
      </c>
      <c r="O786" s="26">
        <v>45282</v>
      </c>
      <c r="P786" s="2" t="s">
        <v>805</v>
      </c>
      <c r="Q786" s="2" t="s">
        <v>814</v>
      </c>
    </row>
    <row r="787" spans="2:17" x14ac:dyDescent="0.25">
      <c r="B787" s="2" t="s">
        <v>1591</v>
      </c>
      <c r="C787" s="2" t="s">
        <v>148</v>
      </c>
      <c r="D787" s="2" t="s">
        <v>149</v>
      </c>
      <c r="E787" s="2" t="s">
        <v>122</v>
      </c>
      <c r="F787" s="2" t="s">
        <v>537</v>
      </c>
      <c r="G787" s="2" t="s">
        <v>420</v>
      </c>
      <c r="H787" s="2" t="s">
        <v>421</v>
      </c>
      <c r="I787" s="26">
        <v>45246</v>
      </c>
      <c r="J787" s="2">
        <v>27</v>
      </c>
      <c r="K787" s="2" t="s">
        <v>150</v>
      </c>
      <c r="L787" s="22">
        <v>2550</v>
      </c>
      <c r="M787" s="22">
        <v>68850</v>
      </c>
      <c r="N787" s="18">
        <v>73.64</v>
      </c>
      <c r="O787" s="26">
        <v>45291</v>
      </c>
      <c r="P787" s="2" t="s">
        <v>805</v>
      </c>
      <c r="Q787" s="2" t="s">
        <v>814</v>
      </c>
    </row>
    <row r="788" spans="2:17" x14ac:dyDescent="0.25">
      <c r="B788" s="2" t="s">
        <v>1592</v>
      </c>
      <c r="C788" s="2" t="s">
        <v>148</v>
      </c>
      <c r="D788" s="2" t="s">
        <v>149</v>
      </c>
      <c r="E788" s="2" t="s">
        <v>122</v>
      </c>
      <c r="F788" s="2" t="s">
        <v>537</v>
      </c>
      <c r="G788" s="2" t="s">
        <v>420</v>
      </c>
      <c r="H788" s="2" t="s">
        <v>421</v>
      </c>
      <c r="I788" s="26">
        <v>45256</v>
      </c>
      <c r="J788" s="2">
        <v>28</v>
      </c>
      <c r="K788" s="2" t="s">
        <v>150</v>
      </c>
      <c r="L788" s="22">
        <v>2550</v>
      </c>
      <c r="M788" s="22">
        <v>71400</v>
      </c>
      <c r="N788" s="18">
        <v>76.36</v>
      </c>
      <c r="O788" s="26">
        <v>45301</v>
      </c>
      <c r="P788" s="2" t="s">
        <v>805</v>
      </c>
      <c r="Q788" s="2" t="s">
        <v>814</v>
      </c>
    </row>
    <row r="789" spans="2:17" x14ac:dyDescent="0.25">
      <c r="B789" s="2" t="s">
        <v>1593</v>
      </c>
      <c r="C789" s="2" t="s">
        <v>148</v>
      </c>
      <c r="D789" s="2" t="s">
        <v>149</v>
      </c>
      <c r="E789" s="2" t="s">
        <v>122</v>
      </c>
      <c r="F789" s="2" t="s">
        <v>535</v>
      </c>
      <c r="G789" s="2" t="s">
        <v>416</v>
      </c>
      <c r="H789" s="2" t="s">
        <v>94</v>
      </c>
      <c r="I789" s="26">
        <v>45264</v>
      </c>
      <c r="J789" s="2">
        <v>28</v>
      </c>
      <c r="K789" s="2" t="s">
        <v>150</v>
      </c>
      <c r="L789" s="22">
        <v>2500</v>
      </c>
      <c r="M789" s="22">
        <v>70000</v>
      </c>
      <c r="N789" s="18">
        <v>74.87</v>
      </c>
      <c r="O789" s="26">
        <v>45309</v>
      </c>
      <c r="P789" s="2" t="s">
        <v>805</v>
      </c>
      <c r="Q789" s="2" t="s">
        <v>825</v>
      </c>
    </row>
    <row r="790" spans="2:17" x14ac:dyDescent="0.25">
      <c r="B790" s="2" t="s">
        <v>1594</v>
      </c>
      <c r="C790" s="2" t="s">
        <v>148</v>
      </c>
      <c r="D790" s="2" t="s">
        <v>149</v>
      </c>
      <c r="E790" s="2" t="s">
        <v>122</v>
      </c>
      <c r="F790" s="2" t="s">
        <v>535</v>
      </c>
      <c r="G790" s="2" t="s">
        <v>416</v>
      </c>
      <c r="H790" s="2" t="s">
        <v>94</v>
      </c>
      <c r="I790" s="26">
        <v>45272</v>
      </c>
      <c r="J790" s="2">
        <v>30</v>
      </c>
      <c r="K790" s="2" t="s">
        <v>150</v>
      </c>
      <c r="L790" s="22">
        <v>2500</v>
      </c>
      <c r="M790" s="22">
        <v>75000</v>
      </c>
      <c r="N790" s="18">
        <v>80.209999999999994</v>
      </c>
      <c r="O790" s="26">
        <v>45317</v>
      </c>
      <c r="P790" s="2" t="s">
        <v>805</v>
      </c>
      <c r="Q790" s="2" t="s">
        <v>825</v>
      </c>
    </row>
    <row r="791" spans="2:17" x14ac:dyDescent="0.25">
      <c r="B791" s="2" t="s">
        <v>1595</v>
      </c>
      <c r="C791" s="2" t="s">
        <v>148</v>
      </c>
      <c r="D791" s="2" t="s">
        <v>149</v>
      </c>
      <c r="E791" s="2" t="s">
        <v>122</v>
      </c>
      <c r="F791" s="2" t="s">
        <v>535</v>
      </c>
      <c r="G791" s="2" t="s">
        <v>416</v>
      </c>
      <c r="H791" s="2" t="s">
        <v>94</v>
      </c>
      <c r="I791" s="26">
        <v>45282</v>
      </c>
      <c r="J791" s="2">
        <v>27</v>
      </c>
      <c r="K791" s="2" t="s">
        <v>150</v>
      </c>
      <c r="L791" s="22">
        <v>2500</v>
      </c>
      <c r="M791" s="22">
        <v>67500</v>
      </c>
      <c r="N791" s="18">
        <v>72.19</v>
      </c>
      <c r="O791" s="26">
        <v>45327</v>
      </c>
      <c r="P791" s="2" t="s">
        <v>805</v>
      </c>
      <c r="Q791" s="2" t="s">
        <v>825</v>
      </c>
    </row>
    <row r="792" spans="2:17" x14ac:dyDescent="0.25">
      <c r="B792" s="2" t="s">
        <v>1596</v>
      </c>
      <c r="C792" s="2" t="s">
        <v>148</v>
      </c>
      <c r="D792" s="2" t="s">
        <v>149</v>
      </c>
      <c r="E792" s="2" t="s">
        <v>122</v>
      </c>
      <c r="F792" s="2" t="s">
        <v>535</v>
      </c>
      <c r="G792" s="2" t="s">
        <v>416</v>
      </c>
      <c r="H792" s="2" t="s">
        <v>94</v>
      </c>
      <c r="I792" s="26">
        <v>45293</v>
      </c>
      <c r="J792" s="2">
        <v>27</v>
      </c>
      <c r="K792" s="2" t="s">
        <v>150</v>
      </c>
      <c r="L792" s="22">
        <v>2500</v>
      </c>
      <c r="M792" s="22">
        <v>67500</v>
      </c>
      <c r="N792" s="18">
        <v>72.19</v>
      </c>
      <c r="O792" s="26">
        <v>45338</v>
      </c>
      <c r="P792" s="2" t="s">
        <v>805</v>
      </c>
      <c r="Q792" s="2" t="s">
        <v>825</v>
      </c>
    </row>
    <row r="793" spans="2:17" x14ac:dyDescent="0.25">
      <c r="B793" s="2" t="s">
        <v>1597</v>
      </c>
      <c r="C793" s="2" t="s">
        <v>148</v>
      </c>
      <c r="D793" s="2" t="s">
        <v>149</v>
      </c>
      <c r="E793" s="2" t="s">
        <v>122</v>
      </c>
      <c r="F793" s="2" t="s">
        <v>535</v>
      </c>
      <c r="G793" s="2" t="s">
        <v>416</v>
      </c>
      <c r="H793" s="2" t="s">
        <v>94</v>
      </c>
      <c r="I793" s="26">
        <v>45303</v>
      </c>
      <c r="J793" s="2">
        <v>27</v>
      </c>
      <c r="K793" s="2" t="s">
        <v>150</v>
      </c>
      <c r="L793" s="22">
        <v>2500</v>
      </c>
      <c r="M793" s="22">
        <v>67500</v>
      </c>
      <c r="N793" s="18">
        <v>72.19</v>
      </c>
      <c r="O793" s="26">
        <v>45348</v>
      </c>
      <c r="P793" s="2" t="s">
        <v>805</v>
      </c>
      <c r="Q793" s="2" t="s">
        <v>825</v>
      </c>
    </row>
    <row r="794" spans="2:17" x14ac:dyDescent="0.25">
      <c r="B794" s="2" t="s">
        <v>1598</v>
      </c>
      <c r="C794" s="2" t="s">
        <v>148</v>
      </c>
      <c r="D794" s="2" t="s">
        <v>149</v>
      </c>
      <c r="E794" s="2" t="s">
        <v>122</v>
      </c>
      <c r="F794" s="2" t="s">
        <v>535</v>
      </c>
      <c r="G794" s="2" t="s">
        <v>416</v>
      </c>
      <c r="H794" s="2" t="s">
        <v>94</v>
      </c>
      <c r="I794" s="26">
        <v>45311</v>
      </c>
      <c r="J794" s="2">
        <v>23</v>
      </c>
      <c r="K794" s="2" t="s">
        <v>150</v>
      </c>
      <c r="L794" s="22">
        <v>2500</v>
      </c>
      <c r="M794" s="22">
        <v>57500</v>
      </c>
      <c r="N794" s="18">
        <v>61.5</v>
      </c>
      <c r="O794" s="26">
        <v>45356</v>
      </c>
      <c r="P794" s="2" t="s">
        <v>805</v>
      </c>
      <c r="Q794" s="2" t="s">
        <v>825</v>
      </c>
    </row>
    <row r="795" spans="2:17" x14ac:dyDescent="0.25">
      <c r="B795" s="2" t="s">
        <v>1599</v>
      </c>
      <c r="C795" s="2" t="s">
        <v>148</v>
      </c>
      <c r="D795" s="2" t="s">
        <v>149</v>
      </c>
      <c r="E795" s="2" t="s">
        <v>122</v>
      </c>
      <c r="F795" s="2" t="s">
        <v>535</v>
      </c>
      <c r="G795" s="2" t="s">
        <v>416</v>
      </c>
      <c r="H795" s="2" t="s">
        <v>94</v>
      </c>
      <c r="I795" s="26">
        <v>45323</v>
      </c>
      <c r="J795" s="2">
        <v>23</v>
      </c>
      <c r="K795" s="2" t="s">
        <v>150</v>
      </c>
      <c r="L795" s="22">
        <v>2500</v>
      </c>
      <c r="M795" s="22">
        <v>57500</v>
      </c>
      <c r="N795" s="18">
        <v>61.5</v>
      </c>
      <c r="O795" s="26">
        <v>45368</v>
      </c>
      <c r="P795" s="2" t="s">
        <v>805</v>
      </c>
      <c r="Q795" s="2" t="s">
        <v>825</v>
      </c>
    </row>
    <row r="796" spans="2:17" x14ac:dyDescent="0.25">
      <c r="B796" s="2" t="s">
        <v>1600</v>
      </c>
      <c r="C796" s="2" t="s">
        <v>148</v>
      </c>
      <c r="D796" s="2" t="s">
        <v>149</v>
      </c>
      <c r="E796" s="2" t="s">
        <v>122</v>
      </c>
      <c r="F796" s="2" t="s">
        <v>535</v>
      </c>
      <c r="G796" s="2" t="s">
        <v>416</v>
      </c>
      <c r="H796" s="2" t="s">
        <v>94</v>
      </c>
      <c r="I796" s="26">
        <v>45333</v>
      </c>
      <c r="J796" s="2">
        <v>27</v>
      </c>
      <c r="K796" s="2" t="s">
        <v>150</v>
      </c>
      <c r="L796" s="22">
        <v>2500</v>
      </c>
      <c r="M796" s="22">
        <v>67500</v>
      </c>
      <c r="N796" s="18">
        <v>72.19</v>
      </c>
      <c r="O796" s="26">
        <v>45378</v>
      </c>
      <c r="P796" s="2" t="s">
        <v>805</v>
      </c>
      <c r="Q796" s="2" t="s">
        <v>825</v>
      </c>
    </row>
    <row r="797" spans="2:17" x14ac:dyDescent="0.25">
      <c r="B797" s="2" t="s">
        <v>1601</v>
      </c>
      <c r="C797" s="2" t="s">
        <v>148</v>
      </c>
      <c r="D797" s="2" t="s">
        <v>149</v>
      </c>
      <c r="E797" s="2" t="s">
        <v>122</v>
      </c>
      <c r="F797" s="2" t="s">
        <v>535</v>
      </c>
      <c r="G797" s="2" t="s">
        <v>416</v>
      </c>
      <c r="H797" s="2" t="s">
        <v>94</v>
      </c>
      <c r="I797" s="26">
        <v>45342</v>
      </c>
      <c r="J797" s="2">
        <v>25</v>
      </c>
      <c r="K797" s="2" t="s">
        <v>150</v>
      </c>
      <c r="L797" s="22">
        <v>2500</v>
      </c>
      <c r="M797" s="22">
        <v>62500</v>
      </c>
      <c r="N797" s="18">
        <v>66.84</v>
      </c>
      <c r="O797" s="26">
        <v>45387</v>
      </c>
      <c r="P797" s="2" t="s">
        <v>805</v>
      </c>
      <c r="Q797" s="2" t="s">
        <v>825</v>
      </c>
    </row>
    <row r="798" spans="2:17" x14ac:dyDescent="0.25">
      <c r="B798" s="2" t="s">
        <v>1602</v>
      </c>
      <c r="C798" s="2" t="s">
        <v>148</v>
      </c>
      <c r="D798" s="2" t="s">
        <v>149</v>
      </c>
      <c r="E798" s="2" t="s">
        <v>122</v>
      </c>
      <c r="F798" s="2" t="s">
        <v>535</v>
      </c>
      <c r="G798" s="2" t="s">
        <v>416</v>
      </c>
      <c r="H798" s="2" t="s">
        <v>94</v>
      </c>
      <c r="I798" s="26">
        <v>45350</v>
      </c>
      <c r="J798" s="2">
        <v>26</v>
      </c>
      <c r="K798" s="2" t="s">
        <v>150</v>
      </c>
      <c r="L798" s="22">
        <v>2500</v>
      </c>
      <c r="M798" s="22">
        <v>65000</v>
      </c>
      <c r="N798" s="18">
        <v>69.52</v>
      </c>
      <c r="O798" s="26">
        <v>45395</v>
      </c>
      <c r="P798" s="2" t="s">
        <v>805</v>
      </c>
      <c r="Q798" s="2" t="s">
        <v>825</v>
      </c>
    </row>
    <row r="799" spans="2:17" x14ac:dyDescent="0.25">
      <c r="B799" s="2" t="s">
        <v>1603</v>
      </c>
      <c r="C799" s="2" t="s">
        <v>148</v>
      </c>
      <c r="D799" s="2" t="s">
        <v>149</v>
      </c>
      <c r="E799" s="2" t="s">
        <v>122</v>
      </c>
      <c r="F799" s="2" t="s">
        <v>535</v>
      </c>
      <c r="G799" s="2" t="s">
        <v>416</v>
      </c>
      <c r="H799" s="2" t="s">
        <v>94</v>
      </c>
      <c r="I799" s="26">
        <v>45358</v>
      </c>
      <c r="J799" s="2">
        <v>27</v>
      </c>
      <c r="K799" s="2" t="s">
        <v>150</v>
      </c>
      <c r="L799" s="22">
        <v>2500</v>
      </c>
      <c r="M799" s="22">
        <v>67500</v>
      </c>
      <c r="N799" s="18">
        <v>72.19</v>
      </c>
      <c r="O799" s="26">
        <v>45403</v>
      </c>
      <c r="P799" s="2" t="s">
        <v>805</v>
      </c>
      <c r="Q799" s="2" t="s">
        <v>836</v>
      </c>
    </row>
    <row r="800" spans="2:17" x14ac:dyDescent="0.25">
      <c r="B800" s="2" t="s">
        <v>1604</v>
      </c>
      <c r="C800" s="2" t="s">
        <v>148</v>
      </c>
      <c r="D800" s="2" t="s">
        <v>149</v>
      </c>
      <c r="E800" s="2" t="s">
        <v>122</v>
      </c>
      <c r="F800" s="2" t="s">
        <v>535</v>
      </c>
      <c r="G800" s="2" t="s">
        <v>416</v>
      </c>
      <c r="H800" s="2" t="s">
        <v>94</v>
      </c>
      <c r="I800" s="26">
        <v>45365</v>
      </c>
      <c r="J800" s="2">
        <v>25</v>
      </c>
      <c r="K800" s="2" t="s">
        <v>150</v>
      </c>
      <c r="L800" s="22">
        <v>2500</v>
      </c>
      <c r="M800" s="22">
        <v>62500</v>
      </c>
      <c r="N800" s="18">
        <v>66.84</v>
      </c>
      <c r="O800" s="26">
        <v>45410</v>
      </c>
      <c r="P800" s="2" t="s">
        <v>805</v>
      </c>
      <c r="Q800" s="2" t="s">
        <v>836</v>
      </c>
    </row>
    <row r="801" spans="2:17" x14ac:dyDescent="0.25">
      <c r="B801" s="2" t="s">
        <v>1605</v>
      </c>
      <c r="C801" s="2" t="s">
        <v>148</v>
      </c>
      <c r="D801" s="2" t="s">
        <v>149</v>
      </c>
      <c r="E801" s="2" t="s">
        <v>122</v>
      </c>
      <c r="F801" s="2" t="s">
        <v>535</v>
      </c>
      <c r="G801" s="2" t="s">
        <v>416</v>
      </c>
      <c r="H801" s="2" t="s">
        <v>94</v>
      </c>
      <c r="I801" s="26">
        <v>45377</v>
      </c>
      <c r="J801" s="2">
        <v>25</v>
      </c>
      <c r="K801" s="2" t="s">
        <v>150</v>
      </c>
      <c r="L801" s="22">
        <v>2500</v>
      </c>
      <c r="M801" s="22">
        <v>62500</v>
      </c>
      <c r="N801" s="18">
        <v>66.84</v>
      </c>
      <c r="O801" s="26">
        <v>45422</v>
      </c>
      <c r="P801" s="2" t="s">
        <v>805</v>
      </c>
      <c r="Q801" s="2" t="s">
        <v>836</v>
      </c>
    </row>
    <row r="802" spans="2:17" x14ac:dyDescent="0.25">
      <c r="B802" s="2" t="s">
        <v>1606</v>
      </c>
      <c r="C802" s="2" t="s">
        <v>148</v>
      </c>
      <c r="D802" s="2" t="s">
        <v>149</v>
      </c>
      <c r="E802" s="2" t="s">
        <v>122</v>
      </c>
      <c r="F802" s="2" t="s">
        <v>535</v>
      </c>
      <c r="G802" s="2" t="s">
        <v>416</v>
      </c>
      <c r="H802" s="2" t="s">
        <v>94</v>
      </c>
      <c r="I802" s="26">
        <v>45386</v>
      </c>
      <c r="J802" s="2">
        <v>22</v>
      </c>
      <c r="K802" s="2" t="s">
        <v>150</v>
      </c>
      <c r="L802" s="22">
        <v>2500</v>
      </c>
      <c r="M802" s="22">
        <v>55000</v>
      </c>
      <c r="N802" s="18">
        <v>58.82</v>
      </c>
      <c r="O802" s="26">
        <v>45431</v>
      </c>
      <c r="P802" s="2" t="s">
        <v>805</v>
      </c>
      <c r="Q802" s="2" t="s">
        <v>836</v>
      </c>
    </row>
    <row r="803" spans="2:17" x14ac:dyDescent="0.25">
      <c r="B803" s="2" t="s">
        <v>1607</v>
      </c>
      <c r="C803" s="2" t="s">
        <v>148</v>
      </c>
      <c r="D803" s="2" t="s">
        <v>149</v>
      </c>
      <c r="E803" s="2" t="s">
        <v>122</v>
      </c>
      <c r="F803" s="2" t="s">
        <v>535</v>
      </c>
      <c r="G803" s="2" t="s">
        <v>416</v>
      </c>
      <c r="H803" s="2" t="s">
        <v>94</v>
      </c>
      <c r="I803" s="26">
        <v>45397</v>
      </c>
      <c r="J803" s="2">
        <v>22</v>
      </c>
      <c r="K803" s="2" t="s">
        <v>150</v>
      </c>
      <c r="L803" s="22">
        <v>2500</v>
      </c>
      <c r="M803" s="22">
        <v>55000</v>
      </c>
      <c r="N803" s="18">
        <v>58.82</v>
      </c>
      <c r="O803" s="26">
        <v>45442</v>
      </c>
      <c r="P803" s="2" t="s">
        <v>805</v>
      </c>
      <c r="Q803" s="2" t="s">
        <v>836</v>
      </c>
    </row>
    <row r="804" spans="2:17" x14ac:dyDescent="0.25">
      <c r="B804" s="2" t="s">
        <v>1608</v>
      </c>
      <c r="C804" s="2" t="s">
        <v>148</v>
      </c>
      <c r="D804" s="2" t="s">
        <v>149</v>
      </c>
      <c r="E804" s="2" t="s">
        <v>122</v>
      </c>
      <c r="F804" s="2" t="s">
        <v>535</v>
      </c>
      <c r="G804" s="2" t="s">
        <v>416</v>
      </c>
      <c r="H804" s="2" t="s">
        <v>94</v>
      </c>
      <c r="I804" s="26">
        <v>45406</v>
      </c>
      <c r="J804" s="2">
        <v>24</v>
      </c>
      <c r="K804" s="2" t="s">
        <v>150</v>
      </c>
      <c r="L804" s="22">
        <v>2500</v>
      </c>
      <c r="M804" s="22">
        <v>60000</v>
      </c>
      <c r="N804" s="18">
        <v>64.17</v>
      </c>
      <c r="O804" s="26">
        <v>45451</v>
      </c>
      <c r="P804" s="2" t="s">
        <v>805</v>
      </c>
      <c r="Q804" s="2" t="s">
        <v>836</v>
      </c>
    </row>
    <row r="805" spans="2:17" x14ac:dyDescent="0.25">
      <c r="B805" s="2" t="s">
        <v>1609</v>
      </c>
      <c r="C805" s="2" t="s">
        <v>148</v>
      </c>
      <c r="D805" s="2" t="s">
        <v>149</v>
      </c>
      <c r="E805" s="2" t="s">
        <v>122</v>
      </c>
      <c r="F805" s="2" t="s">
        <v>535</v>
      </c>
      <c r="G805" s="2" t="s">
        <v>416</v>
      </c>
      <c r="H805" s="2" t="s">
        <v>94</v>
      </c>
      <c r="I805" s="26">
        <v>45415</v>
      </c>
      <c r="J805" s="2">
        <v>22</v>
      </c>
      <c r="K805" s="2" t="s">
        <v>150</v>
      </c>
      <c r="L805" s="22">
        <v>2500</v>
      </c>
      <c r="M805" s="22">
        <v>55000</v>
      </c>
      <c r="N805" s="18">
        <v>58.82</v>
      </c>
      <c r="O805" s="26">
        <v>45460</v>
      </c>
      <c r="P805" s="2" t="s">
        <v>805</v>
      </c>
      <c r="Q805" s="2" t="s">
        <v>836</v>
      </c>
    </row>
    <row r="806" spans="2:17" x14ac:dyDescent="0.25">
      <c r="B806" s="2" t="s">
        <v>1610</v>
      </c>
      <c r="C806" s="2" t="s">
        <v>148</v>
      </c>
      <c r="D806" s="2" t="s">
        <v>149</v>
      </c>
      <c r="E806" s="2" t="s">
        <v>122</v>
      </c>
      <c r="F806" s="2" t="s">
        <v>535</v>
      </c>
      <c r="G806" s="2" t="s">
        <v>416</v>
      </c>
      <c r="H806" s="2" t="s">
        <v>94</v>
      </c>
      <c r="I806" s="26">
        <v>45423</v>
      </c>
      <c r="J806" s="2">
        <v>25</v>
      </c>
      <c r="K806" s="2" t="s">
        <v>150</v>
      </c>
      <c r="L806" s="22">
        <v>2500</v>
      </c>
      <c r="M806" s="22">
        <v>62500</v>
      </c>
      <c r="N806" s="18">
        <v>66.84</v>
      </c>
      <c r="O806" s="26">
        <v>45468</v>
      </c>
      <c r="P806" s="2" t="s">
        <v>805</v>
      </c>
      <c r="Q806" s="2" t="s">
        <v>836</v>
      </c>
    </row>
    <row r="807" spans="2:17" x14ac:dyDescent="0.25">
      <c r="B807" s="2" t="s">
        <v>1611</v>
      </c>
      <c r="C807" s="2" t="s">
        <v>148</v>
      </c>
      <c r="D807" s="2" t="s">
        <v>149</v>
      </c>
      <c r="E807" s="2" t="s">
        <v>122</v>
      </c>
      <c r="F807" s="2" t="s">
        <v>535</v>
      </c>
      <c r="G807" s="2" t="s">
        <v>416</v>
      </c>
      <c r="H807" s="2" t="s">
        <v>94</v>
      </c>
      <c r="I807" s="26">
        <v>45432</v>
      </c>
      <c r="J807" s="2">
        <v>21</v>
      </c>
      <c r="K807" s="2" t="s">
        <v>150</v>
      </c>
      <c r="L807" s="22">
        <v>2500</v>
      </c>
      <c r="M807" s="22">
        <v>52500</v>
      </c>
      <c r="N807" s="18">
        <v>56.15</v>
      </c>
      <c r="O807" s="26">
        <v>45477</v>
      </c>
      <c r="P807" s="2" t="s">
        <v>805</v>
      </c>
      <c r="Q807" s="2" t="s">
        <v>836</v>
      </c>
    </row>
    <row r="808" spans="2:17" x14ac:dyDescent="0.25">
      <c r="B808" s="2" t="s">
        <v>1612</v>
      </c>
      <c r="C808" s="2" t="s">
        <v>148</v>
      </c>
      <c r="D808" s="2" t="s">
        <v>149</v>
      </c>
      <c r="E808" s="2" t="s">
        <v>122</v>
      </c>
      <c r="F808" s="2" t="s">
        <v>535</v>
      </c>
      <c r="G808" s="2" t="s">
        <v>416</v>
      </c>
      <c r="H808" s="2" t="s">
        <v>94</v>
      </c>
      <c r="I808" s="26">
        <v>45444</v>
      </c>
      <c r="J808" s="2">
        <v>25</v>
      </c>
      <c r="K808" s="2" t="s">
        <v>150</v>
      </c>
      <c r="L808" s="22">
        <v>2500</v>
      </c>
      <c r="M808" s="22">
        <v>62500</v>
      </c>
      <c r="N808" s="18">
        <v>66.84</v>
      </c>
      <c r="O808" s="26">
        <v>45489</v>
      </c>
      <c r="P808" s="2" t="s">
        <v>805</v>
      </c>
      <c r="Q808" s="2" t="s">
        <v>806</v>
      </c>
    </row>
    <row r="809" spans="2:17" x14ac:dyDescent="0.25">
      <c r="B809" s="2" t="s">
        <v>1613</v>
      </c>
      <c r="C809" s="2" t="s">
        <v>148</v>
      </c>
      <c r="D809" s="2" t="s">
        <v>149</v>
      </c>
      <c r="E809" s="2" t="s">
        <v>122</v>
      </c>
      <c r="F809" s="2" t="s">
        <v>535</v>
      </c>
      <c r="G809" s="2" t="s">
        <v>416</v>
      </c>
      <c r="H809" s="2" t="s">
        <v>94</v>
      </c>
      <c r="I809" s="26">
        <v>45454</v>
      </c>
      <c r="J809" s="2">
        <v>27</v>
      </c>
      <c r="K809" s="2" t="s">
        <v>150</v>
      </c>
      <c r="L809" s="22">
        <v>2500</v>
      </c>
      <c r="M809" s="22">
        <v>67500</v>
      </c>
      <c r="N809" s="18">
        <v>72.19</v>
      </c>
      <c r="O809" s="26">
        <v>45499</v>
      </c>
      <c r="P809" s="2" t="s">
        <v>805</v>
      </c>
      <c r="Q809" s="2" t="s">
        <v>806</v>
      </c>
    </row>
    <row r="810" spans="2:17" x14ac:dyDescent="0.25">
      <c r="B810" s="2" t="s">
        <v>1614</v>
      </c>
      <c r="C810" s="2" t="s">
        <v>148</v>
      </c>
      <c r="D810" s="2" t="s">
        <v>149</v>
      </c>
      <c r="E810" s="2" t="s">
        <v>122</v>
      </c>
      <c r="F810" s="2" t="s">
        <v>535</v>
      </c>
      <c r="G810" s="2" t="s">
        <v>416</v>
      </c>
      <c r="H810" s="2" t="s">
        <v>94</v>
      </c>
      <c r="I810" s="26">
        <v>45461</v>
      </c>
      <c r="J810" s="2">
        <v>23</v>
      </c>
      <c r="K810" s="2" t="s">
        <v>150</v>
      </c>
      <c r="L810" s="22">
        <v>2500</v>
      </c>
      <c r="M810" s="22">
        <v>57500</v>
      </c>
      <c r="N810" s="18">
        <v>61.5</v>
      </c>
      <c r="O810" s="26">
        <v>45506</v>
      </c>
      <c r="P810" s="2" t="s">
        <v>805</v>
      </c>
      <c r="Q810" s="2" t="s">
        <v>806</v>
      </c>
    </row>
    <row r="811" spans="2:17" x14ac:dyDescent="0.25">
      <c r="B811" s="2" t="s">
        <v>1615</v>
      </c>
      <c r="C811" s="2" t="s">
        <v>148</v>
      </c>
      <c r="D811" s="2" t="s">
        <v>149</v>
      </c>
      <c r="E811" s="2" t="s">
        <v>122</v>
      </c>
      <c r="F811" s="2" t="s">
        <v>535</v>
      </c>
      <c r="G811" s="2" t="s">
        <v>416</v>
      </c>
      <c r="H811" s="2" t="s">
        <v>94</v>
      </c>
      <c r="I811" s="26">
        <v>45473</v>
      </c>
      <c r="J811" s="2">
        <v>21</v>
      </c>
      <c r="K811" s="2" t="s">
        <v>150</v>
      </c>
      <c r="L811" s="22">
        <v>2500</v>
      </c>
      <c r="M811" s="22">
        <v>52500</v>
      </c>
      <c r="N811" s="18">
        <v>56.15</v>
      </c>
      <c r="O811" s="26">
        <v>45518</v>
      </c>
      <c r="P811" s="2" t="s">
        <v>805</v>
      </c>
      <c r="Q811" s="2" t="s">
        <v>806</v>
      </c>
    </row>
    <row r="812" spans="2:17" x14ac:dyDescent="0.25">
      <c r="B812" s="2" t="s">
        <v>1616</v>
      </c>
      <c r="C812" s="2" t="s">
        <v>148</v>
      </c>
      <c r="D812" s="2" t="s">
        <v>149</v>
      </c>
      <c r="E812" s="2" t="s">
        <v>122</v>
      </c>
      <c r="F812" s="2" t="s">
        <v>535</v>
      </c>
      <c r="G812" s="2" t="s">
        <v>416</v>
      </c>
      <c r="H812" s="2" t="s">
        <v>94</v>
      </c>
      <c r="I812" s="26">
        <v>45485</v>
      </c>
      <c r="J812" s="2">
        <v>21</v>
      </c>
      <c r="K812" s="2" t="s">
        <v>150</v>
      </c>
      <c r="L812" s="22">
        <v>2500</v>
      </c>
      <c r="M812" s="22">
        <v>52500</v>
      </c>
      <c r="N812" s="18">
        <v>56.15</v>
      </c>
      <c r="O812" s="26">
        <v>45530</v>
      </c>
      <c r="P812" s="2" t="s">
        <v>805</v>
      </c>
      <c r="Q812" s="2" t="s">
        <v>806</v>
      </c>
    </row>
    <row r="813" spans="2:17" x14ac:dyDescent="0.25">
      <c r="B813" s="2" t="s">
        <v>1617</v>
      </c>
      <c r="C813" s="2" t="s">
        <v>148</v>
      </c>
      <c r="D813" s="2" t="s">
        <v>149</v>
      </c>
      <c r="E813" s="2" t="s">
        <v>122</v>
      </c>
      <c r="F813" s="2" t="s">
        <v>535</v>
      </c>
      <c r="G813" s="2" t="s">
        <v>416</v>
      </c>
      <c r="H813" s="2" t="s">
        <v>94</v>
      </c>
      <c r="I813" s="26">
        <v>45495</v>
      </c>
      <c r="J813" s="2">
        <v>24</v>
      </c>
      <c r="K813" s="2" t="s">
        <v>150</v>
      </c>
      <c r="L813" s="22">
        <v>2500</v>
      </c>
      <c r="M813" s="22">
        <v>60000</v>
      </c>
      <c r="N813" s="18">
        <v>64.17</v>
      </c>
      <c r="O813" s="26">
        <v>45540</v>
      </c>
      <c r="P813" s="2" t="s">
        <v>805</v>
      </c>
      <c r="Q813" s="2" t="s">
        <v>806</v>
      </c>
    </row>
    <row r="814" spans="2:17" x14ac:dyDescent="0.25">
      <c r="B814" s="2" t="s">
        <v>1618</v>
      </c>
      <c r="C814" s="2" t="s">
        <v>148</v>
      </c>
      <c r="D814" s="2" t="s">
        <v>149</v>
      </c>
      <c r="E814" s="2" t="s">
        <v>122</v>
      </c>
      <c r="F814" s="2" t="s">
        <v>535</v>
      </c>
      <c r="G814" s="2" t="s">
        <v>416</v>
      </c>
      <c r="H814" s="2" t="s">
        <v>94</v>
      </c>
      <c r="I814" s="26">
        <v>45505</v>
      </c>
      <c r="J814" s="2">
        <v>23</v>
      </c>
      <c r="K814" s="2" t="s">
        <v>150</v>
      </c>
      <c r="L814" s="22">
        <v>2500</v>
      </c>
      <c r="M814" s="22">
        <v>57500</v>
      </c>
      <c r="N814" s="18">
        <v>61.5</v>
      </c>
      <c r="O814" s="26">
        <v>45550</v>
      </c>
      <c r="P814" s="2" t="s">
        <v>805</v>
      </c>
      <c r="Q814" s="2" t="s">
        <v>806</v>
      </c>
    </row>
    <row r="815" spans="2:17" x14ac:dyDescent="0.25">
      <c r="B815" s="2" t="s">
        <v>1619</v>
      </c>
      <c r="C815" s="2" t="s">
        <v>148</v>
      </c>
      <c r="D815" s="2" t="s">
        <v>149</v>
      </c>
      <c r="E815" s="2" t="s">
        <v>122</v>
      </c>
      <c r="F815" s="2" t="s">
        <v>535</v>
      </c>
      <c r="G815" s="2" t="s">
        <v>416</v>
      </c>
      <c r="H815" s="2" t="s">
        <v>94</v>
      </c>
      <c r="I815" s="26">
        <v>45516</v>
      </c>
      <c r="J815" s="2">
        <v>22</v>
      </c>
      <c r="K815" s="2" t="s">
        <v>150</v>
      </c>
      <c r="L815" s="22">
        <v>2500</v>
      </c>
      <c r="M815" s="22">
        <v>55000</v>
      </c>
      <c r="N815" s="18">
        <v>58.82</v>
      </c>
      <c r="O815" s="26">
        <v>45561</v>
      </c>
      <c r="P815" s="2" t="s">
        <v>805</v>
      </c>
      <c r="Q815" s="2" t="s">
        <v>806</v>
      </c>
    </row>
    <row r="816" spans="2:17" x14ac:dyDescent="0.25">
      <c r="B816" s="2" t="s">
        <v>1620</v>
      </c>
      <c r="C816" s="2" t="s">
        <v>148</v>
      </c>
      <c r="D816" s="2" t="s">
        <v>149</v>
      </c>
      <c r="E816" s="2" t="s">
        <v>122</v>
      </c>
      <c r="F816" s="2" t="s">
        <v>535</v>
      </c>
      <c r="G816" s="2" t="s">
        <v>416</v>
      </c>
      <c r="H816" s="2" t="s">
        <v>94</v>
      </c>
      <c r="I816" s="26">
        <v>45526</v>
      </c>
      <c r="J816" s="2">
        <v>26</v>
      </c>
      <c r="K816" s="2" t="s">
        <v>150</v>
      </c>
      <c r="L816" s="22">
        <v>2500</v>
      </c>
      <c r="M816" s="22">
        <v>65000</v>
      </c>
      <c r="N816" s="18">
        <v>69.52</v>
      </c>
      <c r="O816" s="26">
        <v>45571</v>
      </c>
      <c r="P816" s="2" t="s">
        <v>805</v>
      </c>
      <c r="Q816" s="2" t="s">
        <v>806</v>
      </c>
    </row>
    <row r="817" spans="2:17" x14ac:dyDescent="0.25">
      <c r="B817" s="2" t="s">
        <v>1621</v>
      </c>
      <c r="C817" s="2" t="s">
        <v>148</v>
      </c>
      <c r="D817" s="2" t="s">
        <v>149</v>
      </c>
      <c r="E817" s="2" t="s">
        <v>122</v>
      </c>
      <c r="F817" s="2" t="s">
        <v>537</v>
      </c>
      <c r="G817" s="2" t="s">
        <v>420</v>
      </c>
      <c r="H817" s="2" t="s">
        <v>421</v>
      </c>
      <c r="I817" s="26">
        <v>45535</v>
      </c>
      <c r="J817" s="2">
        <v>27</v>
      </c>
      <c r="K817" s="2" t="s">
        <v>150</v>
      </c>
      <c r="L817" s="22">
        <v>2550</v>
      </c>
      <c r="M817" s="22">
        <v>68850</v>
      </c>
      <c r="N817" s="18">
        <v>73.64</v>
      </c>
      <c r="O817" s="26">
        <v>45580</v>
      </c>
      <c r="P817" s="2" t="s">
        <v>805</v>
      </c>
      <c r="Q817" s="2" t="s">
        <v>806</v>
      </c>
    </row>
    <row r="818" spans="2:17" x14ac:dyDescent="0.25">
      <c r="B818" s="2" t="s">
        <v>1622</v>
      </c>
      <c r="C818" s="2" t="s">
        <v>148</v>
      </c>
      <c r="D818" s="2" t="s">
        <v>149</v>
      </c>
      <c r="E818" s="2" t="s">
        <v>122</v>
      </c>
      <c r="F818" s="2" t="s">
        <v>537</v>
      </c>
      <c r="G818" s="2" t="s">
        <v>420</v>
      </c>
      <c r="H818" s="2" t="s">
        <v>421</v>
      </c>
      <c r="I818" s="26">
        <v>45546</v>
      </c>
      <c r="J818" s="2">
        <v>33</v>
      </c>
      <c r="K818" s="2" t="s">
        <v>150</v>
      </c>
      <c r="L818" s="22">
        <v>2550</v>
      </c>
      <c r="M818" s="22">
        <v>84150</v>
      </c>
      <c r="N818" s="18">
        <v>90</v>
      </c>
      <c r="O818" s="26">
        <v>45591</v>
      </c>
      <c r="P818" s="2" t="s">
        <v>805</v>
      </c>
      <c r="Q818" s="2" t="s">
        <v>814</v>
      </c>
    </row>
    <row r="819" spans="2:17" x14ac:dyDescent="0.25">
      <c r="B819" s="2" t="s">
        <v>1623</v>
      </c>
      <c r="C819" s="2" t="s">
        <v>148</v>
      </c>
      <c r="D819" s="2" t="s">
        <v>149</v>
      </c>
      <c r="E819" s="2" t="s">
        <v>122</v>
      </c>
      <c r="F819" s="2" t="s">
        <v>535</v>
      </c>
      <c r="G819" s="2" t="s">
        <v>416</v>
      </c>
      <c r="H819" s="2" t="s">
        <v>94</v>
      </c>
      <c r="I819" s="26">
        <v>45553</v>
      </c>
      <c r="J819" s="2">
        <v>26</v>
      </c>
      <c r="K819" s="2" t="s">
        <v>150</v>
      </c>
      <c r="L819" s="22">
        <v>2500</v>
      </c>
      <c r="M819" s="22">
        <v>65000</v>
      </c>
      <c r="N819" s="18">
        <v>69.52</v>
      </c>
      <c r="O819" s="26">
        <v>45598</v>
      </c>
      <c r="P819" s="2" t="s">
        <v>805</v>
      </c>
      <c r="Q819" s="2" t="s">
        <v>814</v>
      </c>
    </row>
    <row r="820" spans="2:17" x14ac:dyDescent="0.25">
      <c r="B820" s="2" t="s">
        <v>1624</v>
      </c>
      <c r="C820" s="2" t="s">
        <v>148</v>
      </c>
      <c r="D820" s="2" t="s">
        <v>149</v>
      </c>
      <c r="E820" s="2" t="s">
        <v>122</v>
      </c>
      <c r="F820" s="2" t="s">
        <v>535</v>
      </c>
      <c r="G820" s="2" t="s">
        <v>416</v>
      </c>
      <c r="H820" s="2" t="s">
        <v>94</v>
      </c>
      <c r="I820" s="26">
        <v>45560</v>
      </c>
      <c r="J820" s="2">
        <v>31</v>
      </c>
      <c r="K820" s="2" t="s">
        <v>150</v>
      </c>
      <c r="L820" s="22">
        <v>2500</v>
      </c>
      <c r="M820" s="22">
        <v>77500</v>
      </c>
      <c r="N820" s="18">
        <v>82.89</v>
      </c>
      <c r="O820" s="26">
        <v>45605</v>
      </c>
      <c r="P820" s="2" t="s">
        <v>805</v>
      </c>
      <c r="Q820" s="2" t="s">
        <v>814</v>
      </c>
    </row>
    <row r="821" spans="2:17" x14ac:dyDescent="0.25">
      <c r="B821" s="2" t="s">
        <v>1625</v>
      </c>
      <c r="C821" s="2" t="s">
        <v>148</v>
      </c>
      <c r="D821" s="2" t="s">
        <v>149</v>
      </c>
      <c r="E821" s="2" t="s">
        <v>122</v>
      </c>
      <c r="F821" s="2" t="s">
        <v>535</v>
      </c>
      <c r="G821" s="2" t="s">
        <v>416</v>
      </c>
      <c r="H821" s="2" t="s">
        <v>94</v>
      </c>
      <c r="I821" s="26">
        <v>45569</v>
      </c>
      <c r="J821" s="2">
        <v>23</v>
      </c>
      <c r="K821" s="2" t="s">
        <v>150</v>
      </c>
      <c r="L821" s="22">
        <v>2500</v>
      </c>
      <c r="M821" s="22">
        <v>57500</v>
      </c>
      <c r="N821" s="18">
        <v>61.5</v>
      </c>
      <c r="O821" s="26">
        <v>45614</v>
      </c>
      <c r="P821" s="2" t="s">
        <v>805</v>
      </c>
      <c r="Q821" s="2" t="s">
        <v>814</v>
      </c>
    </row>
    <row r="822" spans="2:17" x14ac:dyDescent="0.25">
      <c r="B822" s="2" t="s">
        <v>1626</v>
      </c>
      <c r="C822" s="2" t="s">
        <v>148</v>
      </c>
      <c r="D822" s="2" t="s">
        <v>149</v>
      </c>
      <c r="E822" s="2" t="s">
        <v>122</v>
      </c>
      <c r="F822" s="2" t="s">
        <v>535</v>
      </c>
      <c r="G822" s="2" t="s">
        <v>416</v>
      </c>
      <c r="H822" s="2" t="s">
        <v>94</v>
      </c>
      <c r="I822" s="26">
        <v>45577</v>
      </c>
      <c r="J822" s="2">
        <v>24</v>
      </c>
      <c r="K822" s="2" t="s">
        <v>150</v>
      </c>
      <c r="L822" s="22">
        <v>2500</v>
      </c>
      <c r="M822" s="22">
        <v>60000</v>
      </c>
      <c r="N822" s="18">
        <v>64.17</v>
      </c>
      <c r="O822" s="26">
        <v>45622</v>
      </c>
      <c r="P822" s="2" t="s">
        <v>805</v>
      </c>
      <c r="Q822" s="2" t="s">
        <v>814</v>
      </c>
    </row>
    <row r="823" spans="2:17" x14ac:dyDescent="0.25">
      <c r="B823" s="2" t="s">
        <v>1627</v>
      </c>
      <c r="C823" s="2" t="s">
        <v>148</v>
      </c>
      <c r="D823" s="2" t="s">
        <v>149</v>
      </c>
      <c r="E823" s="2" t="s">
        <v>122</v>
      </c>
      <c r="F823" s="2" t="s">
        <v>535</v>
      </c>
      <c r="G823" s="2" t="s">
        <v>416</v>
      </c>
      <c r="H823" s="2" t="s">
        <v>94</v>
      </c>
      <c r="I823" s="26">
        <v>45588</v>
      </c>
      <c r="J823" s="2">
        <v>27</v>
      </c>
      <c r="K823" s="2" t="s">
        <v>150</v>
      </c>
      <c r="L823" s="22">
        <v>2500</v>
      </c>
      <c r="M823" s="22">
        <v>67500</v>
      </c>
      <c r="N823" s="18">
        <v>72.19</v>
      </c>
      <c r="O823" s="26">
        <v>45633</v>
      </c>
      <c r="P823" s="2" t="s">
        <v>805</v>
      </c>
      <c r="Q823" s="2" t="s">
        <v>814</v>
      </c>
    </row>
    <row r="824" spans="2:17" x14ac:dyDescent="0.25">
      <c r="B824" s="2" t="s">
        <v>1628</v>
      </c>
      <c r="C824" s="2" t="s">
        <v>148</v>
      </c>
      <c r="D824" s="2" t="s">
        <v>149</v>
      </c>
      <c r="E824" s="2" t="s">
        <v>122</v>
      </c>
      <c r="F824" s="2" t="s">
        <v>535</v>
      </c>
      <c r="G824" s="2" t="s">
        <v>416</v>
      </c>
      <c r="H824" s="2" t="s">
        <v>94</v>
      </c>
      <c r="I824" s="26">
        <v>45600</v>
      </c>
      <c r="J824" s="2">
        <v>24</v>
      </c>
      <c r="K824" s="2" t="s">
        <v>150</v>
      </c>
      <c r="L824" s="22">
        <v>2500</v>
      </c>
      <c r="M824" s="22">
        <v>60000</v>
      </c>
      <c r="N824" s="18">
        <v>64.17</v>
      </c>
      <c r="O824" s="26">
        <v>45645</v>
      </c>
      <c r="P824" s="2" t="s">
        <v>805</v>
      </c>
      <c r="Q824" s="2" t="s">
        <v>814</v>
      </c>
    </row>
    <row r="825" spans="2:17" x14ac:dyDescent="0.25">
      <c r="B825" s="2" t="s">
        <v>1629</v>
      </c>
      <c r="C825" s="2" t="s">
        <v>148</v>
      </c>
      <c r="D825" s="2" t="s">
        <v>149</v>
      </c>
      <c r="E825" s="2" t="s">
        <v>122</v>
      </c>
      <c r="F825" s="2" t="s">
        <v>535</v>
      </c>
      <c r="G825" s="2" t="s">
        <v>416</v>
      </c>
      <c r="H825" s="2" t="s">
        <v>94</v>
      </c>
      <c r="I825" s="26">
        <v>45608</v>
      </c>
      <c r="J825" s="2">
        <v>23</v>
      </c>
      <c r="K825" s="2" t="s">
        <v>150</v>
      </c>
      <c r="L825" s="22">
        <v>2500</v>
      </c>
      <c r="M825" s="22">
        <v>57500</v>
      </c>
      <c r="N825" s="18">
        <v>61.5</v>
      </c>
      <c r="O825" s="26">
        <v>45653</v>
      </c>
      <c r="P825" s="2" t="s">
        <v>805</v>
      </c>
      <c r="Q825" s="2" t="s">
        <v>814</v>
      </c>
    </row>
    <row r="826" spans="2:17" x14ac:dyDescent="0.25">
      <c r="B826" s="2" t="s">
        <v>1630</v>
      </c>
      <c r="C826" s="2" t="s">
        <v>148</v>
      </c>
      <c r="D826" s="2" t="s">
        <v>149</v>
      </c>
      <c r="E826" s="2" t="s">
        <v>122</v>
      </c>
      <c r="F826" s="2" t="s">
        <v>535</v>
      </c>
      <c r="G826" s="2" t="s">
        <v>416</v>
      </c>
      <c r="H826" s="2" t="s">
        <v>94</v>
      </c>
      <c r="I826" s="26">
        <v>45617</v>
      </c>
      <c r="J826" s="2">
        <v>23</v>
      </c>
      <c r="K826" s="2" t="s">
        <v>150</v>
      </c>
      <c r="L826" s="22">
        <v>2500</v>
      </c>
      <c r="M826" s="22">
        <v>57500</v>
      </c>
      <c r="N826" s="18">
        <v>61.5</v>
      </c>
      <c r="O826" s="26">
        <v>45662</v>
      </c>
      <c r="P826" s="2" t="s">
        <v>805</v>
      </c>
      <c r="Q826" s="2" t="s">
        <v>814</v>
      </c>
    </row>
    <row r="827" spans="2:17" x14ac:dyDescent="0.25">
      <c r="B827" s="2" t="s">
        <v>1631</v>
      </c>
      <c r="C827" s="2" t="s">
        <v>148</v>
      </c>
      <c r="D827" s="2" t="s">
        <v>149</v>
      </c>
      <c r="E827" s="2" t="s">
        <v>122</v>
      </c>
      <c r="F827" s="2" t="s">
        <v>535</v>
      </c>
      <c r="G827" s="2" t="s">
        <v>416</v>
      </c>
      <c r="H827" s="2" t="s">
        <v>94</v>
      </c>
      <c r="I827" s="26">
        <v>45626</v>
      </c>
      <c r="J827" s="2">
        <v>21</v>
      </c>
      <c r="K827" s="2" t="s">
        <v>150</v>
      </c>
      <c r="L827" s="22">
        <v>2500</v>
      </c>
      <c r="M827" s="22">
        <v>52500</v>
      </c>
      <c r="N827" s="18">
        <v>56.15</v>
      </c>
      <c r="O827" s="26">
        <v>45671</v>
      </c>
      <c r="P827" s="2" t="s">
        <v>805</v>
      </c>
      <c r="Q827" s="2" t="s">
        <v>814</v>
      </c>
    </row>
    <row r="828" spans="2:17" x14ac:dyDescent="0.25">
      <c r="B828" s="2" t="s">
        <v>1632</v>
      </c>
      <c r="C828" s="2" t="s">
        <v>148</v>
      </c>
      <c r="D828" s="2" t="s">
        <v>149</v>
      </c>
      <c r="E828" s="2" t="s">
        <v>122</v>
      </c>
      <c r="F828" s="2" t="s">
        <v>535</v>
      </c>
      <c r="G828" s="2" t="s">
        <v>416</v>
      </c>
      <c r="H828" s="2" t="s">
        <v>94</v>
      </c>
      <c r="I828" s="26">
        <v>45635</v>
      </c>
      <c r="J828" s="2">
        <v>31</v>
      </c>
      <c r="K828" s="2" t="s">
        <v>150</v>
      </c>
      <c r="L828" s="22">
        <v>2500</v>
      </c>
      <c r="M828" s="22">
        <v>77500</v>
      </c>
      <c r="N828" s="18">
        <v>82.89</v>
      </c>
      <c r="O828" s="26">
        <v>45680</v>
      </c>
      <c r="P828" s="2" t="s">
        <v>805</v>
      </c>
      <c r="Q828" s="2" t="s">
        <v>825</v>
      </c>
    </row>
    <row r="829" spans="2:17" x14ac:dyDescent="0.25">
      <c r="B829" s="2" t="s">
        <v>1633</v>
      </c>
      <c r="C829" s="2" t="s">
        <v>148</v>
      </c>
      <c r="D829" s="2" t="s">
        <v>149</v>
      </c>
      <c r="E829" s="2" t="s">
        <v>122</v>
      </c>
      <c r="F829" s="2" t="s">
        <v>535</v>
      </c>
      <c r="G829" s="2" t="s">
        <v>416</v>
      </c>
      <c r="H829" s="2" t="s">
        <v>94</v>
      </c>
      <c r="I829" s="26">
        <v>45644</v>
      </c>
      <c r="J829" s="2">
        <v>29</v>
      </c>
      <c r="K829" s="2" t="s">
        <v>150</v>
      </c>
      <c r="L829" s="22">
        <v>2500</v>
      </c>
      <c r="M829" s="22">
        <v>72500</v>
      </c>
      <c r="N829" s="18">
        <v>77.540000000000006</v>
      </c>
      <c r="O829" s="26">
        <v>45689</v>
      </c>
      <c r="P829" s="2" t="s">
        <v>805</v>
      </c>
      <c r="Q829" s="2" t="s">
        <v>825</v>
      </c>
    </row>
    <row r="830" spans="2:17" x14ac:dyDescent="0.25">
      <c r="B830" s="2" t="s">
        <v>1634</v>
      </c>
      <c r="C830" s="2" t="s">
        <v>148</v>
      </c>
      <c r="D830" s="2" t="s">
        <v>149</v>
      </c>
      <c r="E830" s="2" t="s">
        <v>122</v>
      </c>
      <c r="F830" s="2" t="s">
        <v>535</v>
      </c>
      <c r="G830" s="2" t="s">
        <v>416</v>
      </c>
      <c r="H830" s="2" t="s">
        <v>94</v>
      </c>
      <c r="I830" s="26">
        <v>45651</v>
      </c>
      <c r="J830" s="2">
        <v>32</v>
      </c>
      <c r="K830" s="2" t="s">
        <v>150</v>
      </c>
      <c r="L830" s="22">
        <v>2500</v>
      </c>
      <c r="M830" s="22">
        <v>80000</v>
      </c>
      <c r="N830" s="18">
        <v>85.56</v>
      </c>
      <c r="O830" s="26">
        <v>45696</v>
      </c>
      <c r="P830" s="2" t="s">
        <v>805</v>
      </c>
      <c r="Q830" s="2" t="s">
        <v>825</v>
      </c>
    </row>
    <row r="831" spans="2:17" x14ac:dyDescent="0.25">
      <c r="B831" s="2" t="s">
        <v>1635</v>
      </c>
      <c r="C831" s="2" t="s">
        <v>148</v>
      </c>
      <c r="D831" s="2" t="s">
        <v>149</v>
      </c>
      <c r="E831" s="2" t="s">
        <v>122</v>
      </c>
      <c r="F831" s="2" t="s">
        <v>537</v>
      </c>
      <c r="G831" s="2" t="s">
        <v>420</v>
      </c>
      <c r="H831" s="2" t="s">
        <v>421</v>
      </c>
      <c r="I831" s="26">
        <v>45661</v>
      </c>
      <c r="J831" s="2">
        <v>29</v>
      </c>
      <c r="K831" s="2" t="s">
        <v>150</v>
      </c>
      <c r="L831" s="22">
        <v>2550</v>
      </c>
      <c r="M831" s="22">
        <v>73950</v>
      </c>
      <c r="N831" s="18">
        <v>79.09</v>
      </c>
      <c r="O831" s="26">
        <v>45706</v>
      </c>
      <c r="P831" s="2" t="s">
        <v>805</v>
      </c>
      <c r="Q831" s="2" t="s">
        <v>825</v>
      </c>
    </row>
    <row r="832" spans="2:17" x14ac:dyDescent="0.25">
      <c r="B832" s="2" t="s">
        <v>1636</v>
      </c>
      <c r="C832" s="2" t="s">
        <v>148</v>
      </c>
      <c r="D832" s="2" t="s">
        <v>149</v>
      </c>
      <c r="E832" s="2" t="s">
        <v>122</v>
      </c>
      <c r="F832" s="2" t="s">
        <v>535</v>
      </c>
      <c r="G832" s="2" t="s">
        <v>416</v>
      </c>
      <c r="H832" s="2" t="s">
        <v>94</v>
      </c>
      <c r="I832" s="26">
        <v>45672</v>
      </c>
      <c r="J832" s="2">
        <v>25</v>
      </c>
      <c r="K832" s="2" t="s">
        <v>150</v>
      </c>
      <c r="L832" s="22">
        <v>2500</v>
      </c>
      <c r="M832" s="22">
        <v>62500</v>
      </c>
      <c r="N832" s="18">
        <v>66.84</v>
      </c>
      <c r="O832" s="26">
        <v>45717</v>
      </c>
      <c r="P832" s="2" t="s">
        <v>805</v>
      </c>
      <c r="Q832" s="2" t="s">
        <v>825</v>
      </c>
    </row>
    <row r="833" spans="2:17" x14ac:dyDescent="0.25">
      <c r="B833" s="2" t="s">
        <v>1637</v>
      </c>
      <c r="C833" s="2" t="s">
        <v>148</v>
      </c>
      <c r="D833" s="2" t="s">
        <v>149</v>
      </c>
      <c r="E833" s="2" t="s">
        <v>122</v>
      </c>
      <c r="F833" s="2" t="s">
        <v>535</v>
      </c>
      <c r="G833" s="2" t="s">
        <v>416</v>
      </c>
      <c r="H833" s="2" t="s">
        <v>94</v>
      </c>
      <c r="I833" s="26">
        <v>45680</v>
      </c>
      <c r="J833" s="2">
        <v>25</v>
      </c>
      <c r="K833" s="2" t="s">
        <v>150</v>
      </c>
      <c r="L833" s="22">
        <v>2500</v>
      </c>
      <c r="M833" s="22">
        <v>62500</v>
      </c>
      <c r="N833" s="18">
        <v>66.84</v>
      </c>
      <c r="O833" s="26">
        <v>45725</v>
      </c>
      <c r="P833" s="2" t="s">
        <v>805</v>
      </c>
      <c r="Q833" s="2" t="s">
        <v>825</v>
      </c>
    </row>
    <row r="834" spans="2:17" x14ac:dyDescent="0.25">
      <c r="B834" s="2" t="s">
        <v>1638</v>
      </c>
      <c r="C834" s="2" t="s">
        <v>148</v>
      </c>
      <c r="D834" s="2" t="s">
        <v>149</v>
      </c>
      <c r="E834" s="2" t="s">
        <v>122</v>
      </c>
      <c r="F834" s="2" t="s">
        <v>535</v>
      </c>
      <c r="G834" s="2" t="s">
        <v>416</v>
      </c>
      <c r="H834" s="2" t="s">
        <v>94</v>
      </c>
      <c r="I834" s="26">
        <v>45688</v>
      </c>
      <c r="J834" s="2">
        <v>25</v>
      </c>
      <c r="K834" s="2" t="s">
        <v>150</v>
      </c>
      <c r="L834" s="22">
        <v>2500</v>
      </c>
      <c r="M834" s="22">
        <v>62500</v>
      </c>
      <c r="N834" s="18">
        <v>66.84</v>
      </c>
      <c r="O834" s="26">
        <v>45733</v>
      </c>
      <c r="P834" s="2" t="s">
        <v>805</v>
      </c>
      <c r="Q834" s="2" t="s">
        <v>825</v>
      </c>
    </row>
    <row r="835" spans="2:17" x14ac:dyDescent="0.25">
      <c r="B835" s="2" t="s">
        <v>1639</v>
      </c>
      <c r="C835" s="2" t="s">
        <v>148</v>
      </c>
      <c r="D835" s="2" t="s">
        <v>149</v>
      </c>
      <c r="E835" s="2" t="s">
        <v>122</v>
      </c>
      <c r="F835" s="2" t="s">
        <v>535</v>
      </c>
      <c r="G835" s="2" t="s">
        <v>416</v>
      </c>
      <c r="H835" s="2" t="s">
        <v>94</v>
      </c>
      <c r="I835" s="26">
        <v>45698</v>
      </c>
      <c r="J835" s="2">
        <v>27</v>
      </c>
      <c r="K835" s="2" t="s">
        <v>150</v>
      </c>
      <c r="L835" s="22">
        <v>2500</v>
      </c>
      <c r="M835" s="22">
        <v>67500</v>
      </c>
      <c r="N835" s="18">
        <v>72.19</v>
      </c>
      <c r="O835" s="26">
        <v>45743</v>
      </c>
      <c r="P835" s="2" t="s">
        <v>805</v>
      </c>
      <c r="Q835" s="2" t="s">
        <v>825</v>
      </c>
    </row>
    <row r="836" spans="2:17" x14ac:dyDescent="0.25">
      <c r="B836" s="2" t="s">
        <v>1640</v>
      </c>
      <c r="C836" s="2" t="s">
        <v>148</v>
      </c>
      <c r="D836" s="2" t="s">
        <v>149</v>
      </c>
      <c r="E836" s="2" t="s">
        <v>122</v>
      </c>
      <c r="F836" s="2" t="s">
        <v>535</v>
      </c>
      <c r="G836" s="2" t="s">
        <v>416</v>
      </c>
      <c r="H836" s="2" t="s">
        <v>94</v>
      </c>
      <c r="I836" s="26">
        <v>45705</v>
      </c>
      <c r="J836" s="2">
        <v>23</v>
      </c>
      <c r="K836" s="2" t="s">
        <v>150</v>
      </c>
      <c r="L836" s="22">
        <v>2500</v>
      </c>
      <c r="M836" s="22">
        <v>57500</v>
      </c>
      <c r="N836" s="18">
        <v>61.5</v>
      </c>
      <c r="O836" s="26">
        <v>45750</v>
      </c>
      <c r="P836" s="2" t="s">
        <v>805</v>
      </c>
      <c r="Q836" s="2" t="s">
        <v>825</v>
      </c>
    </row>
    <row r="837" spans="2:17" x14ac:dyDescent="0.25">
      <c r="B837" s="2" t="s">
        <v>1641</v>
      </c>
      <c r="C837" s="2" t="s">
        <v>148</v>
      </c>
      <c r="D837" s="2" t="s">
        <v>149</v>
      </c>
      <c r="E837" s="2" t="s">
        <v>122</v>
      </c>
      <c r="F837" s="2" t="s">
        <v>537</v>
      </c>
      <c r="G837" s="2" t="s">
        <v>420</v>
      </c>
      <c r="H837" s="2" t="s">
        <v>421</v>
      </c>
      <c r="I837" s="26">
        <v>45715</v>
      </c>
      <c r="J837" s="2">
        <v>26</v>
      </c>
      <c r="K837" s="2" t="s">
        <v>150</v>
      </c>
      <c r="L837" s="22">
        <v>2550</v>
      </c>
      <c r="M837" s="22">
        <v>66300</v>
      </c>
      <c r="N837" s="18">
        <v>70.91</v>
      </c>
      <c r="O837" s="26">
        <v>45760</v>
      </c>
      <c r="P837" s="2" t="s">
        <v>805</v>
      </c>
      <c r="Q837" s="2" t="s">
        <v>825</v>
      </c>
    </row>
    <row r="838" spans="2:17" x14ac:dyDescent="0.25">
      <c r="B838" s="2" t="s">
        <v>1642</v>
      </c>
      <c r="C838" s="2" t="s">
        <v>148</v>
      </c>
      <c r="D838" s="2" t="s">
        <v>149</v>
      </c>
      <c r="E838" s="2" t="s">
        <v>122</v>
      </c>
      <c r="F838" s="2" t="s">
        <v>535</v>
      </c>
      <c r="G838" s="2" t="s">
        <v>416</v>
      </c>
      <c r="H838" s="2" t="s">
        <v>94</v>
      </c>
      <c r="I838" s="26">
        <v>45726</v>
      </c>
      <c r="J838" s="2">
        <v>24</v>
      </c>
      <c r="K838" s="2" t="s">
        <v>150</v>
      </c>
      <c r="L838" s="22">
        <v>2500</v>
      </c>
      <c r="M838" s="22">
        <v>60000</v>
      </c>
      <c r="N838" s="18">
        <v>64.17</v>
      </c>
      <c r="O838" s="26">
        <v>45771</v>
      </c>
      <c r="P838" s="2" t="s">
        <v>805</v>
      </c>
      <c r="Q838" s="2" t="s">
        <v>836</v>
      </c>
    </row>
    <row r="839" spans="2:17" x14ac:dyDescent="0.25">
      <c r="B839" s="2" t="s">
        <v>1643</v>
      </c>
      <c r="C839" s="2" t="s">
        <v>148</v>
      </c>
      <c r="D839" s="2" t="s">
        <v>149</v>
      </c>
      <c r="E839" s="2" t="s">
        <v>122</v>
      </c>
      <c r="F839" s="2" t="s">
        <v>535</v>
      </c>
      <c r="G839" s="2" t="s">
        <v>416</v>
      </c>
      <c r="H839" s="2" t="s">
        <v>94</v>
      </c>
      <c r="I839" s="26">
        <v>45736</v>
      </c>
      <c r="J839" s="2">
        <v>29</v>
      </c>
      <c r="K839" s="2" t="s">
        <v>150</v>
      </c>
      <c r="L839" s="22">
        <v>2500</v>
      </c>
      <c r="M839" s="22">
        <v>72500</v>
      </c>
      <c r="N839" s="18">
        <v>77.540000000000006</v>
      </c>
      <c r="O839" s="26">
        <v>45781</v>
      </c>
      <c r="P839" s="2" t="s">
        <v>805</v>
      </c>
      <c r="Q839" s="2" t="s">
        <v>836</v>
      </c>
    </row>
    <row r="840" spans="2:17" x14ac:dyDescent="0.25">
      <c r="B840" s="2" t="s">
        <v>1644</v>
      </c>
      <c r="C840" s="2" t="s">
        <v>148</v>
      </c>
      <c r="D840" s="2" t="s">
        <v>149</v>
      </c>
      <c r="E840" s="2" t="s">
        <v>122</v>
      </c>
      <c r="F840" s="2" t="s">
        <v>535</v>
      </c>
      <c r="G840" s="2" t="s">
        <v>416</v>
      </c>
      <c r="H840" s="2" t="s">
        <v>94</v>
      </c>
      <c r="I840" s="26">
        <v>45745</v>
      </c>
      <c r="J840" s="2">
        <v>22</v>
      </c>
      <c r="K840" s="2" t="s">
        <v>150</v>
      </c>
      <c r="L840" s="22">
        <v>2500</v>
      </c>
      <c r="M840" s="22">
        <v>55000</v>
      </c>
      <c r="N840" s="18">
        <v>58.82</v>
      </c>
      <c r="O840" s="26">
        <v>45790</v>
      </c>
      <c r="P840" s="2" t="s">
        <v>805</v>
      </c>
      <c r="Q840" s="2" t="s">
        <v>836</v>
      </c>
    </row>
    <row r="841" spans="2:17" x14ac:dyDescent="0.25">
      <c r="B841" s="2" t="s">
        <v>1645</v>
      </c>
      <c r="C841" s="2" t="s">
        <v>148</v>
      </c>
      <c r="D841" s="2" t="s">
        <v>149</v>
      </c>
      <c r="E841" s="2" t="s">
        <v>122</v>
      </c>
      <c r="F841" s="2" t="s">
        <v>535</v>
      </c>
      <c r="G841" s="2" t="s">
        <v>416</v>
      </c>
      <c r="H841" s="2" t="s">
        <v>94</v>
      </c>
      <c r="I841" s="26">
        <v>45754</v>
      </c>
      <c r="J841" s="2">
        <v>24</v>
      </c>
      <c r="K841" s="2" t="s">
        <v>150</v>
      </c>
      <c r="L841" s="22">
        <v>2500</v>
      </c>
      <c r="M841" s="22">
        <v>60000</v>
      </c>
      <c r="N841" s="18">
        <v>64.17</v>
      </c>
      <c r="O841" s="26">
        <v>45799</v>
      </c>
      <c r="P841" s="2" t="s">
        <v>805</v>
      </c>
      <c r="Q841" s="2" t="s">
        <v>836</v>
      </c>
    </row>
    <row r="842" spans="2:17" x14ac:dyDescent="0.25">
      <c r="B842" s="2" t="s">
        <v>1646</v>
      </c>
      <c r="C842" s="2" t="s">
        <v>148</v>
      </c>
      <c r="D842" s="2" t="s">
        <v>149</v>
      </c>
      <c r="E842" s="2" t="s">
        <v>122</v>
      </c>
      <c r="F842" s="2" t="s">
        <v>535</v>
      </c>
      <c r="G842" s="2" t="s">
        <v>416</v>
      </c>
      <c r="H842" s="2" t="s">
        <v>94</v>
      </c>
      <c r="I842" s="26">
        <v>45765</v>
      </c>
      <c r="J842" s="2">
        <v>29</v>
      </c>
      <c r="K842" s="2" t="s">
        <v>150</v>
      </c>
      <c r="L842" s="22">
        <v>2500</v>
      </c>
      <c r="M842" s="22">
        <v>72500</v>
      </c>
      <c r="N842" s="18">
        <v>77.540000000000006</v>
      </c>
      <c r="O842" s="26">
        <v>45810</v>
      </c>
      <c r="P842" s="2" t="s">
        <v>805</v>
      </c>
      <c r="Q842" s="2" t="s">
        <v>836</v>
      </c>
    </row>
    <row r="843" spans="2:17" x14ac:dyDescent="0.25">
      <c r="B843" s="2" t="s">
        <v>1647</v>
      </c>
      <c r="C843" s="2" t="s">
        <v>148</v>
      </c>
      <c r="D843" s="2" t="s">
        <v>149</v>
      </c>
      <c r="E843" s="2" t="s">
        <v>122</v>
      </c>
      <c r="F843" s="2" t="s">
        <v>537</v>
      </c>
      <c r="G843" s="2" t="s">
        <v>420</v>
      </c>
      <c r="H843" s="2" t="s">
        <v>421</v>
      </c>
      <c r="I843" s="26">
        <v>45774</v>
      </c>
      <c r="J843" s="2">
        <v>26</v>
      </c>
      <c r="K843" s="2" t="s">
        <v>150</v>
      </c>
      <c r="L843" s="22">
        <v>2550</v>
      </c>
      <c r="M843" s="22">
        <v>66300</v>
      </c>
      <c r="N843" s="18">
        <v>70.91</v>
      </c>
      <c r="O843" s="26">
        <v>45819</v>
      </c>
      <c r="P843" s="2" t="s">
        <v>805</v>
      </c>
      <c r="Q843" s="2" t="s">
        <v>836</v>
      </c>
    </row>
    <row r="844" spans="2:17" x14ac:dyDescent="0.25">
      <c r="B844" s="2" t="s">
        <v>1648</v>
      </c>
      <c r="C844" s="2" t="s">
        <v>148</v>
      </c>
      <c r="D844" s="2" t="s">
        <v>149</v>
      </c>
      <c r="E844" s="2" t="s">
        <v>122</v>
      </c>
      <c r="F844" s="2" t="s">
        <v>535</v>
      </c>
      <c r="G844" s="2" t="s">
        <v>416</v>
      </c>
      <c r="H844" s="2" t="s">
        <v>94</v>
      </c>
      <c r="I844" s="26">
        <v>45785</v>
      </c>
      <c r="J844" s="2">
        <v>26</v>
      </c>
      <c r="K844" s="2" t="s">
        <v>150</v>
      </c>
      <c r="L844" s="22">
        <v>2500</v>
      </c>
      <c r="M844" s="22">
        <v>65000</v>
      </c>
      <c r="N844" s="18">
        <v>69.52</v>
      </c>
      <c r="O844" s="26">
        <v>45830</v>
      </c>
      <c r="P844" s="2" t="s">
        <v>805</v>
      </c>
      <c r="Q844" s="2" t="s">
        <v>836</v>
      </c>
    </row>
    <row r="845" spans="2:17" x14ac:dyDescent="0.25">
      <c r="B845" s="2" t="s">
        <v>1649</v>
      </c>
      <c r="C845" s="2" t="s">
        <v>148</v>
      </c>
      <c r="D845" s="2" t="s">
        <v>149</v>
      </c>
      <c r="E845" s="2" t="s">
        <v>122</v>
      </c>
      <c r="F845" s="2" t="s">
        <v>535</v>
      </c>
      <c r="G845" s="2" t="s">
        <v>416</v>
      </c>
      <c r="H845" s="2" t="s">
        <v>94</v>
      </c>
      <c r="I845" s="26">
        <v>45796</v>
      </c>
      <c r="J845" s="2">
        <v>30</v>
      </c>
      <c r="K845" s="2" t="s">
        <v>150</v>
      </c>
      <c r="L845" s="22">
        <v>2500</v>
      </c>
      <c r="M845" s="22">
        <v>75000</v>
      </c>
      <c r="N845" s="18">
        <v>80.209999999999994</v>
      </c>
      <c r="O845" s="26">
        <v>45841</v>
      </c>
      <c r="P845" s="2" t="s">
        <v>805</v>
      </c>
      <c r="Q845" s="2" t="s">
        <v>836</v>
      </c>
    </row>
    <row r="846" spans="2:17" x14ac:dyDescent="0.25">
      <c r="B846" s="2" t="s">
        <v>1650</v>
      </c>
      <c r="C846" s="2" t="s">
        <v>148</v>
      </c>
      <c r="D846" s="2" t="s">
        <v>149</v>
      </c>
      <c r="E846" s="2" t="s">
        <v>122</v>
      </c>
      <c r="F846" s="2" t="s">
        <v>535</v>
      </c>
      <c r="G846" s="2" t="s">
        <v>416</v>
      </c>
      <c r="H846" s="2" t="s">
        <v>94</v>
      </c>
      <c r="I846" s="26">
        <v>45804</v>
      </c>
      <c r="J846" s="2">
        <v>27</v>
      </c>
      <c r="K846" s="2" t="s">
        <v>150</v>
      </c>
      <c r="L846" s="22">
        <v>2500</v>
      </c>
      <c r="M846" s="22">
        <v>67500</v>
      </c>
      <c r="N846" s="18">
        <v>72.19</v>
      </c>
      <c r="O846" s="26">
        <v>45849</v>
      </c>
      <c r="P846" s="2" t="s">
        <v>805</v>
      </c>
      <c r="Q846" s="2" t="s">
        <v>836</v>
      </c>
    </row>
    <row r="847" spans="2:17" x14ac:dyDescent="0.25">
      <c r="B847" s="2" t="s">
        <v>1651</v>
      </c>
      <c r="C847" s="2" t="s">
        <v>148</v>
      </c>
      <c r="D847" s="2" t="s">
        <v>149</v>
      </c>
      <c r="E847" s="2" t="s">
        <v>122</v>
      </c>
      <c r="F847" s="2" t="s">
        <v>535</v>
      </c>
      <c r="G847" s="2" t="s">
        <v>416</v>
      </c>
      <c r="H847" s="2" t="s">
        <v>94</v>
      </c>
      <c r="I847" s="26">
        <v>45813</v>
      </c>
      <c r="J847" s="2">
        <v>28</v>
      </c>
      <c r="K847" s="2" t="s">
        <v>150</v>
      </c>
      <c r="L847" s="22">
        <v>2500</v>
      </c>
      <c r="M847" s="22">
        <v>70000</v>
      </c>
      <c r="N847" s="18">
        <v>74.87</v>
      </c>
      <c r="O847" s="26">
        <v>45858</v>
      </c>
      <c r="P847" s="2" t="s">
        <v>805</v>
      </c>
      <c r="Q847" s="2" t="s">
        <v>806</v>
      </c>
    </row>
    <row r="848" spans="2:17" x14ac:dyDescent="0.25">
      <c r="B848" s="2" t="s">
        <v>1652</v>
      </c>
      <c r="C848" s="2" t="s">
        <v>148</v>
      </c>
      <c r="D848" s="2" t="s">
        <v>149</v>
      </c>
      <c r="E848" s="2" t="s">
        <v>122</v>
      </c>
      <c r="F848" s="2" t="s">
        <v>535</v>
      </c>
      <c r="G848" s="2" t="s">
        <v>416</v>
      </c>
      <c r="H848" s="2" t="s">
        <v>94</v>
      </c>
      <c r="I848" s="26">
        <v>45822</v>
      </c>
      <c r="J848" s="2">
        <v>24</v>
      </c>
      <c r="K848" s="2" t="s">
        <v>150</v>
      </c>
      <c r="L848" s="22">
        <v>2500</v>
      </c>
      <c r="M848" s="22">
        <v>60000</v>
      </c>
      <c r="N848" s="18">
        <v>64.17</v>
      </c>
      <c r="O848" s="26">
        <v>45867</v>
      </c>
      <c r="P848" s="2" t="s">
        <v>805</v>
      </c>
      <c r="Q848" s="2" t="s">
        <v>806</v>
      </c>
    </row>
    <row r="849" spans="2:17" x14ac:dyDescent="0.25">
      <c r="B849" s="2" t="s">
        <v>1653</v>
      </c>
      <c r="C849" s="2" t="s">
        <v>148</v>
      </c>
      <c r="D849" s="2" t="s">
        <v>149</v>
      </c>
      <c r="E849" s="2" t="s">
        <v>122</v>
      </c>
      <c r="F849" s="2" t="s">
        <v>535</v>
      </c>
      <c r="G849" s="2" t="s">
        <v>416</v>
      </c>
      <c r="H849" s="2" t="s">
        <v>94</v>
      </c>
      <c r="I849" s="26">
        <v>45833</v>
      </c>
      <c r="J849" s="2">
        <v>23</v>
      </c>
      <c r="K849" s="2" t="s">
        <v>150</v>
      </c>
      <c r="L849" s="22">
        <v>2500</v>
      </c>
      <c r="M849" s="22">
        <v>57500</v>
      </c>
      <c r="N849" s="18">
        <v>61.5</v>
      </c>
      <c r="O849" s="26">
        <v>45878</v>
      </c>
      <c r="P849" s="2" t="s">
        <v>805</v>
      </c>
      <c r="Q849" s="2" t="s">
        <v>806</v>
      </c>
    </row>
    <row r="850" spans="2:17" x14ac:dyDescent="0.25">
      <c r="B850" s="2" t="s">
        <v>1654</v>
      </c>
      <c r="C850" s="2" t="s">
        <v>153</v>
      </c>
      <c r="D850" s="2" t="s">
        <v>154</v>
      </c>
      <c r="E850" s="2" t="s">
        <v>155</v>
      </c>
      <c r="F850" s="2" t="s">
        <v>535</v>
      </c>
      <c r="G850" s="2" t="s">
        <v>425</v>
      </c>
      <c r="H850" s="2" t="s">
        <v>426</v>
      </c>
      <c r="I850" s="26">
        <v>45110</v>
      </c>
      <c r="J850" s="2">
        <v>16</v>
      </c>
      <c r="K850" s="2" t="s">
        <v>123</v>
      </c>
      <c r="L850" s="22">
        <v>1150</v>
      </c>
      <c r="M850" s="22">
        <v>18400</v>
      </c>
      <c r="N850" s="18">
        <v>19.68</v>
      </c>
      <c r="O850" s="26">
        <v>45130</v>
      </c>
      <c r="P850" s="2" t="s">
        <v>805</v>
      </c>
      <c r="Q850" s="2" t="s">
        <v>806</v>
      </c>
    </row>
    <row r="851" spans="2:17" x14ac:dyDescent="0.25">
      <c r="B851" s="2" t="s">
        <v>1655</v>
      </c>
      <c r="C851" s="2" t="s">
        <v>153</v>
      </c>
      <c r="D851" s="2" t="s">
        <v>154</v>
      </c>
      <c r="E851" s="2" t="s">
        <v>155</v>
      </c>
      <c r="F851" s="2" t="s">
        <v>535</v>
      </c>
      <c r="G851" s="2" t="s">
        <v>425</v>
      </c>
      <c r="H851" s="2" t="s">
        <v>426</v>
      </c>
      <c r="I851" s="26">
        <v>45115</v>
      </c>
      <c r="J851" s="2">
        <v>18</v>
      </c>
      <c r="K851" s="2" t="s">
        <v>123</v>
      </c>
      <c r="L851" s="22">
        <v>1150</v>
      </c>
      <c r="M851" s="22">
        <v>20700</v>
      </c>
      <c r="N851" s="18">
        <v>22.14</v>
      </c>
      <c r="O851" s="26">
        <v>45135</v>
      </c>
      <c r="P851" s="2" t="s">
        <v>805</v>
      </c>
      <c r="Q851" s="2" t="s">
        <v>806</v>
      </c>
    </row>
    <row r="852" spans="2:17" x14ac:dyDescent="0.25">
      <c r="B852" s="2" t="s">
        <v>1656</v>
      </c>
      <c r="C852" s="2" t="s">
        <v>153</v>
      </c>
      <c r="D852" s="2" t="s">
        <v>154</v>
      </c>
      <c r="E852" s="2" t="s">
        <v>155</v>
      </c>
      <c r="F852" s="2" t="s">
        <v>535</v>
      </c>
      <c r="G852" s="2" t="s">
        <v>425</v>
      </c>
      <c r="H852" s="2" t="s">
        <v>426</v>
      </c>
      <c r="I852" s="26">
        <v>45122</v>
      </c>
      <c r="J852" s="2">
        <v>21</v>
      </c>
      <c r="K852" s="2" t="s">
        <v>123</v>
      </c>
      <c r="L852" s="22">
        <v>1150</v>
      </c>
      <c r="M852" s="22">
        <v>24150</v>
      </c>
      <c r="N852" s="18">
        <v>25.83</v>
      </c>
      <c r="O852" s="26">
        <v>45142</v>
      </c>
      <c r="P852" s="2" t="s">
        <v>805</v>
      </c>
      <c r="Q852" s="2" t="s">
        <v>806</v>
      </c>
    </row>
    <row r="853" spans="2:17" x14ac:dyDescent="0.25">
      <c r="B853" s="2" t="s">
        <v>1657</v>
      </c>
      <c r="C853" s="2" t="s">
        <v>153</v>
      </c>
      <c r="D853" s="2" t="s">
        <v>154</v>
      </c>
      <c r="E853" s="2" t="s">
        <v>155</v>
      </c>
      <c r="F853" s="2" t="s">
        <v>535</v>
      </c>
      <c r="G853" s="2" t="s">
        <v>425</v>
      </c>
      <c r="H853" s="2" t="s">
        <v>426</v>
      </c>
      <c r="I853" s="26">
        <v>45130</v>
      </c>
      <c r="J853" s="2">
        <v>18</v>
      </c>
      <c r="K853" s="2" t="s">
        <v>123</v>
      </c>
      <c r="L853" s="22">
        <v>1150</v>
      </c>
      <c r="M853" s="22">
        <v>20700</v>
      </c>
      <c r="N853" s="18">
        <v>22.14</v>
      </c>
      <c r="O853" s="26">
        <v>45150</v>
      </c>
      <c r="P853" s="2" t="s">
        <v>805</v>
      </c>
      <c r="Q853" s="2" t="s">
        <v>806</v>
      </c>
    </row>
    <row r="854" spans="2:17" x14ac:dyDescent="0.25">
      <c r="B854" s="2" t="s">
        <v>1658</v>
      </c>
      <c r="C854" s="2" t="s">
        <v>153</v>
      </c>
      <c r="D854" s="2" t="s">
        <v>154</v>
      </c>
      <c r="E854" s="2" t="s">
        <v>155</v>
      </c>
      <c r="F854" s="2" t="s">
        <v>535</v>
      </c>
      <c r="G854" s="2" t="s">
        <v>425</v>
      </c>
      <c r="H854" s="2" t="s">
        <v>426</v>
      </c>
      <c r="I854" s="26">
        <v>45135</v>
      </c>
      <c r="J854" s="2">
        <v>18</v>
      </c>
      <c r="K854" s="2" t="s">
        <v>123</v>
      </c>
      <c r="L854" s="22">
        <v>1150</v>
      </c>
      <c r="M854" s="22">
        <v>20700</v>
      </c>
      <c r="N854" s="18">
        <v>22.14</v>
      </c>
      <c r="O854" s="26">
        <v>45155</v>
      </c>
      <c r="P854" s="2" t="s">
        <v>805</v>
      </c>
      <c r="Q854" s="2" t="s">
        <v>806</v>
      </c>
    </row>
    <row r="855" spans="2:17" x14ac:dyDescent="0.25">
      <c r="B855" s="2" t="s">
        <v>1659</v>
      </c>
      <c r="C855" s="2" t="s">
        <v>153</v>
      </c>
      <c r="D855" s="2" t="s">
        <v>154</v>
      </c>
      <c r="E855" s="2" t="s">
        <v>155</v>
      </c>
      <c r="F855" s="2" t="s">
        <v>535</v>
      </c>
      <c r="G855" s="2" t="s">
        <v>425</v>
      </c>
      <c r="H855" s="2" t="s">
        <v>426</v>
      </c>
      <c r="I855" s="26">
        <v>45142</v>
      </c>
      <c r="J855" s="2">
        <v>20</v>
      </c>
      <c r="K855" s="2" t="s">
        <v>123</v>
      </c>
      <c r="L855" s="22">
        <v>1150</v>
      </c>
      <c r="M855" s="22">
        <v>23000</v>
      </c>
      <c r="N855" s="18">
        <v>24.6</v>
      </c>
      <c r="O855" s="26">
        <v>45162</v>
      </c>
      <c r="P855" s="2" t="s">
        <v>805</v>
      </c>
      <c r="Q855" s="2" t="s">
        <v>806</v>
      </c>
    </row>
    <row r="856" spans="2:17" x14ac:dyDescent="0.25">
      <c r="B856" s="2" t="s">
        <v>1660</v>
      </c>
      <c r="C856" s="2" t="s">
        <v>153</v>
      </c>
      <c r="D856" s="2" t="s">
        <v>154</v>
      </c>
      <c r="E856" s="2" t="s">
        <v>155</v>
      </c>
      <c r="F856" s="2" t="s">
        <v>535</v>
      </c>
      <c r="G856" s="2" t="s">
        <v>425</v>
      </c>
      <c r="H856" s="2" t="s">
        <v>426</v>
      </c>
      <c r="I856" s="26">
        <v>45148</v>
      </c>
      <c r="J856" s="2">
        <v>17</v>
      </c>
      <c r="K856" s="2" t="s">
        <v>123</v>
      </c>
      <c r="L856" s="22">
        <v>1150</v>
      </c>
      <c r="M856" s="22">
        <v>19550</v>
      </c>
      <c r="N856" s="18">
        <v>20.91</v>
      </c>
      <c r="O856" s="26">
        <v>45168</v>
      </c>
      <c r="P856" s="2" t="s">
        <v>805</v>
      </c>
      <c r="Q856" s="2" t="s">
        <v>806</v>
      </c>
    </row>
    <row r="857" spans="2:17" x14ac:dyDescent="0.25">
      <c r="B857" s="2" t="s">
        <v>1661</v>
      </c>
      <c r="C857" s="2" t="s">
        <v>153</v>
      </c>
      <c r="D857" s="2" t="s">
        <v>154</v>
      </c>
      <c r="E857" s="2" t="s">
        <v>155</v>
      </c>
      <c r="F857" s="2" t="s">
        <v>535</v>
      </c>
      <c r="G857" s="2" t="s">
        <v>425</v>
      </c>
      <c r="H857" s="2" t="s">
        <v>426</v>
      </c>
      <c r="I857" s="26">
        <v>45153</v>
      </c>
      <c r="J857" s="2">
        <v>20</v>
      </c>
      <c r="K857" s="2" t="s">
        <v>123</v>
      </c>
      <c r="L857" s="22">
        <v>1150</v>
      </c>
      <c r="M857" s="22">
        <v>23000</v>
      </c>
      <c r="N857" s="18">
        <v>24.6</v>
      </c>
      <c r="O857" s="26">
        <v>45173</v>
      </c>
      <c r="P857" s="2" t="s">
        <v>805</v>
      </c>
      <c r="Q857" s="2" t="s">
        <v>806</v>
      </c>
    </row>
    <row r="858" spans="2:17" x14ac:dyDescent="0.25">
      <c r="B858" s="2" t="s">
        <v>1662</v>
      </c>
      <c r="C858" s="2" t="s">
        <v>153</v>
      </c>
      <c r="D858" s="2" t="s">
        <v>154</v>
      </c>
      <c r="E858" s="2" t="s">
        <v>155</v>
      </c>
      <c r="F858" s="2" t="s">
        <v>535</v>
      </c>
      <c r="G858" s="2" t="s">
        <v>425</v>
      </c>
      <c r="H858" s="2" t="s">
        <v>426</v>
      </c>
      <c r="I858" s="26">
        <v>45157</v>
      </c>
      <c r="J858" s="2">
        <v>17</v>
      </c>
      <c r="K858" s="2" t="s">
        <v>123</v>
      </c>
      <c r="L858" s="22">
        <v>1150</v>
      </c>
      <c r="M858" s="22">
        <v>19550</v>
      </c>
      <c r="N858" s="18">
        <v>20.91</v>
      </c>
      <c r="O858" s="26">
        <v>45177</v>
      </c>
      <c r="P858" s="2" t="s">
        <v>805</v>
      </c>
      <c r="Q858" s="2" t="s">
        <v>806</v>
      </c>
    </row>
    <row r="859" spans="2:17" x14ac:dyDescent="0.25">
      <c r="B859" s="2" t="s">
        <v>1663</v>
      </c>
      <c r="C859" s="2" t="s">
        <v>153</v>
      </c>
      <c r="D859" s="2" t="s">
        <v>154</v>
      </c>
      <c r="E859" s="2" t="s">
        <v>155</v>
      </c>
      <c r="F859" s="2" t="s">
        <v>535</v>
      </c>
      <c r="G859" s="2" t="s">
        <v>425</v>
      </c>
      <c r="H859" s="2" t="s">
        <v>426</v>
      </c>
      <c r="I859" s="26">
        <v>45164</v>
      </c>
      <c r="J859" s="2">
        <v>18</v>
      </c>
      <c r="K859" s="2" t="s">
        <v>123</v>
      </c>
      <c r="L859" s="22">
        <v>1150</v>
      </c>
      <c r="M859" s="22">
        <v>20700</v>
      </c>
      <c r="N859" s="18">
        <v>22.14</v>
      </c>
      <c r="O859" s="26">
        <v>45184</v>
      </c>
      <c r="P859" s="2" t="s">
        <v>805</v>
      </c>
      <c r="Q859" s="2" t="s">
        <v>806</v>
      </c>
    </row>
    <row r="860" spans="2:17" x14ac:dyDescent="0.25">
      <c r="B860" s="2" t="s">
        <v>1664</v>
      </c>
      <c r="C860" s="2" t="s">
        <v>153</v>
      </c>
      <c r="D860" s="2" t="s">
        <v>154</v>
      </c>
      <c r="E860" s="2" t="s">
        <v>155</v>
      </c>
      <c r="F860" s="2" t="s">
        <v>535</v>
      </c>
      <c r="G860" s="2" t="s">
        <v>425</v>
      </c>
      <c r="H860" s="2" t="s">
        <v>426</v>
      </c>
      <c r="I860" s="26">
        <v>45171</v>
      </c>
      <c r="J860" s="2">
        <v>25</v>
      </c>
      <c r="K860" s="2" t="s">
        <v>123</v>
      </c>
      <c r="L860" s="22">
        <v>1150</v>
      </c>
      <c r="M860" s="22">
        <v>28750</v>
      </c>
      <c r="N860" s="18">
        <v>30.75</v>
      </c>
      <c r="O860" s="26">
        <v>45191</v>
      </c>
      <c r="P860" s="2" t="s">
        <v>805</v>
      </c>
      <c r="Q860" s="2" t="s">
        <v>814</v>
      </c>
    </row>
    <row r="861" spans="2:17" x14ac:dyDescent="0.25">
      <c r="B861" s="2" t="s">
        <v>1665</v>
      </c>
      <c r="C861" s="2" t="s">
        <v>153</v>
      </c>
      <c r="D861" s="2" t="s">
        <v>154</v>
      </c>
      <c r="E861" s="2" t="s">
        <v>155</v>
      </c>
      <c r="F861" s="2" t="s">
        <v>535</v>
      </c>
      <c r="G861" s="2" t="s">
        <v>425</v>
      </c>
      <c r="H861" s="2" t="s">
        <v>426</v>
      </c>
      <c r="I861" s="26">
        <v>45178</v>
      </c>
      <c r="J861" s="2">
        <v>22</v>
      </c>
      <c r="K861" s="2" t="s">
        <v>123</v>
      </c>
      <c r="L861" s="22">
        <v>1150</v>
      </c>
      <c r="M861" s="22">
        <v>25300</v>
      </c>
      <c r="N861" s="18">
        <v>27.06</v>
      </c>
      <c r="O861" s="26">
        <v>45198</v>
      </c>
      <c r="P861" s="2" t="s">
        <v>805</v>
      </c>
      <c r="Q861" s="2" t="s">
        <v>814</v>
      </c>
    </row>
    <row r="862" spans="2:17" x14ac:dyDescent="0.25">
      <c r="B862" s="2" t="s">
        <v>1666</v>
      </c>
      <c r="C862" s="2" t="s">
        <v>153</v>
      </c>
      <c r="D862" s="2" t="s">
        <v>154</v>
      </c>
      <c r="E862" s="2" t="s">
        <v>155</v>
      </c>
      <c r="F862" s="2" t="s">
        <v>535</v>
      </c>
      <c r="G862" s="2" t="s">
        <v>425</v>
      </c>
      <c r="H862" s="2" t="s">
        <v>426</v>
      </c>
      <c r="I862" s="26">
        <v>45184</v>
      </c>
      <c r="J862" s="2">
        <v>21</v>
      </c>
      <c r="K862" s="2" t="s">
        <v>123</v>
      </c>
      <c r="L862" s="22">
        <v>1150</v>
      </c>
      <c r="M862" s="22">
        <v>24150</v>
      </c>
      <c r="N862" s="18">
        <v>25.83</v>
      </c>
      <c r="O862" s="26">
        <v>45204</v>
      </c>
      <c r="P862" s="2" t="s">
        <v>805</v>
      </c>
      <c r="Q862" s="2" t="s">
        <v>814</v>
      </c>
    </row>
    <row r="863" spans="2:17" x14ac:dyDescent="0.25">
      <c r="B863" s="2" t="s">
        <v>1667</v>
      </c>
      <c r="C863" s="2" t="s">
        <v>153</v>
      </c>
      <c r="D863" s="2" t="s">
        <v>154</v>
      </c>
      <c r="E863" s="2" t="s">
        <v>155</v>
      </c>
      <c r="F863" s="2" t="s">
        <v>535</v>
      </c>
      <c r="G863" s="2" t="s">
        <v>425</v>
      </c>
      <c r="H863" s="2" t="s">
        <v>426</v>
      </c>
      <c r="I863" s="26">
        <v>45191</v>
      </c>
      <c r="J863" s="2">
        <v>24</v>
      </c>
      <c r="K863" s="2" t="s">
        <v>123</v>
      </c>
      <c r="L863" s="22">
        <v>1150</v>
      </c>
      <c r="M863" s="22">
        <v>27600</v>
      </c>
      <c r="N863" s="18">
        <v>29.52</v>
      </c>
      <c r="O863" s="26">
        <v>45211</v>
      </c>
      <c r="P863" s="2" t="s">
        <v>805</v>
      </c>
      <c r="Q863" s="2" t="s">
        <v>814</v>
      </c>
    </row>
    <row r="864" spans="2:17" x14ac:dyDescent="0.25">
      <c r="B864" s="2" t="s">
        <v>1668</v>
      </c>
      <c r="C864" s="2" t="s">
        <v>153</v>
      </c>
      <c r="D864" s="2" t="s">
        <v>154</v>
      </c>
      <c r="E864" s="2" t="s">
        <v>155</v>
      </c>
      <c r="F864" s="2" t="s">
        <v>535</v>
      </c>
      <c r="G864" s="2" t="s">
        <v>425</v>
      </c>
      <c r="H864" s="2" t="s">
        <v>426</v>
      </c>
      <c r="I864" s="26">
        <v>45198</v>
      </c>
      <c r="J864" s="2">
        <v>26</v>
      </c>
      <c r="K864" s="2" t="s">
        <v>123</v>
      </c>
      <c r="L864" s="22">
        <v>1150</v>
      </c>
      <c r="M864" s="22">
        <v>29900</v>
      </c>
      <c r="N864" s="18">
        <v>31.98</v>
      </c>
      <c r="O864" s="26">
        <v>45218</v>
      </c>
      <c r="P864" s="2" t="s">
        <v>805</v>
      </c>
      <c r="Q864" s="2" t="s">
        <v>814</v>
      </c>
    </row>
    <row r="865" spans="2:17" x14ac:dyDescent="0.25">
      <c r="B865" s="2" t="s">
        <v>1669</v>
      </c>
      <c r="C865" s="2" t="s">
        <v>153</v>
      </c>
      <c r="D865" s="2" t="s">
        <v>154</v>
      </c>
      <c r="E865" s="2" t="s">
        <v>155</v>
      </c>
      <c r="F865" s="2" t="s">
        <v>535</v>
      </c>
      <c r="G865" s="2" t="s">
        <v>425</v>
      </c>
      <c r="H865" s="2" t="s">
        <v>426</v>
      </c>
      <c r="I865" s="26">
        <v>45205</v>
      </c>
      <c r="J865" s="2">
        <v>45</v>
      </c>
      <c r="K865" s="2" t="s">
        <v>123</v>
      </c>
      <c r="L865" s="22">
        <v>1150</v>
      </c>
      <c r="M865" s="22">
        <v>51750</v>
      </c>
      <c r="N865" s="18">
        <v>55.35</v>
      </c>
      <c r="O865" s="26">
        <v>45225</v>
      </c>
      <c r="P865" s="2" t="s">
        <v>805</v>
      </c>
      <c r="Q865" s="2" t="s">
        <v>814</v>
      </c>
    </row>
    <row r="866" spans="2:17" x14ac:dyDescent="0.25">
      <c r="B866" s="2" t="s">
        <v>1670</v>
      </c>
      <c r="C866" s="2" t="s">
        <v>153</v>
      </c>
      <c r="D866" s="2" t="s">
        <v>154</v>
      </c>
      <c r="E866" s="2" t="s">
        <v>155</v>
      </c>
      <c r="F866" s="2" t="s">
        <v>535</v>
      </c>
      <c r="G866" s="2" t="s">
        <v>425</v>
      </c>
      <c r="H866" s="2" t="s">
        <v>426</v>
      </c>
      <c r="I866" s="26">
        <v>45212</v>
      </c>
      <c r="J866" s="2">
        <v>44</v>
      </c>
      <c r="K866" s="2" t="s">
        <v>123</v>
      </c>
      <c r="L866" s="22">
        <v>1150</v>
      </c>
      <c r="M866" s="22">
        <v>50600</v>
      </c>
      <c r="N866" s="18">
        <v>54.12</v>
      </c>
      <c r="O866" s="26">
        <v>45232</v>
      </c>
      <c r="P866" s="2" t="s">
        <v>805</v>
      </c>
      <c r="Q866" s="2" t="s">
        <v>814</v>
      </c>
    </row>
    <row r="867" spans="2:17" x14ac:dyDescent="0.25">
      <c r="B867" s="2" t="s">
        <v>1671</v>
      </c>
      <c r="C867" s="2" t="s">
        <v>153</v>
      </c>
      <c r="D867" s="2" t="s">
        <v>154</v>
      </c>
      <c r="E867" s="2" t="s">
        <v>155</v>
      </c>
      <c r="F867" s="2" t="s">
        <v>535</v>
      </c>
      <c r="G867" s="2" t="s">
        <v>425</v>
      </c>
      <c r="H867" s="2" t="s">
        <v>426</v>
      </c>
      <c r="I867" s="26">
        <v>45218</v>
      </c>
      <c r="J867" s="2">
        <v>44</v>
      </c>
      <c r="K867" s="2" t="s">
        <v>123</v>
      </c>
      <c r="L867" s="22">
        <v>1150</v>
      </c>
      <c r="M867" s="22">
        <v>50600</v>
      </c>
      <c r="N867" s="18">
        <v>54.12</v>
      </c>
      <c r="O867" s="26">
        <v>45238</v>
      </c>
      <c r="P867" s="2" t="s">
        <v>805</v>
      </c>
      <c r="Q867" s="2" t="s">
        <v>814</v>
      </c>
    </row>
    <row r="868" spans="2:17" x14ac:dyDescent="0.25">
      <c r="B868" s="2" t="s">
        <v>1672</v>
      </c>
      <c r="C868" s="2" t="s">
        <v>153</v>
      </c>
      <c r="D868" s="2" t="s">
        <v>154</v>
      </c>
      <c r="E868" s="2" t="s">
        <v>155</v>
      </c>
      <c r="F868" s="2" t="s">
        <v>535</v>
      </c>
      <c r="G868" s="2" t="s">
        <v>425</v>
      </c>
      <c r="H868" s="2" t="s">
        <v>426</v>
      </c>
      <c r="I868" s="26">
        <v>45224</v>
      </c>
      <c r="J868" s="2">
        <v>47</v>
      </c>
      <c r="K868" s="2" t="s">
        <v>123</v>
      </c>
      <c r="L868" s="22">
        <v>1150</v>
      </c>
      <c r="M868" s="22">
        <v>54050</v>
      </c>
      <c r="N868" s="18">
        <v>57.81</v>
      </c>
      <c r="O868" s="26">
        <v>45244</v>
      </c>
      <c r="P868" s="2" t="s">
        <v>805</v>
      </c>
      <c r="Q868" s="2" t="s">
        <v>814</v>
      </c>
    </row>
    <row r="869" spans="2:17" x14ac:dyDescent="0.25">
      <c r="B869" s="2" t="s">
        <v>1673</v>
      </c>
      <c r="C869" s="2" t="s">
        <v>153</v>
      </c>
      <c r="D869" s="2" t="s">
        <v>154</v>
      </c>
      <c r="E869" s="2" t="s">
        <v>155</v>
      </c>
      <c r="F869" s="2" t="s">
        <v>535</v>
      </c>
      <c r="G869" s="2" t="s">
        <v>425</v>
      </c>
      <c r="H869" s="2" t="s">
        <v>426</v>
      </c>
      <c r="I869" s="26">
        <v>45231</v>
      </c>
      <c r="J869" s="2">
        <v>50</v>
      </c>
      <c r="K869" s="2" t="s">
        <v>123</v>
      </c>
      <c r="L869" s="22">
        <v>1150</v>
      </c>
      <c r="M869" s="22">
        <v>57500</v>
      </c>
      <c r="N869" s="18">
        <v>61.5</v>
      </c>
      <c r="O869" s="26">
        <v>45251</v>
      </c>
      <c r="P869" s="2" t="s">
        <v>805</v>
      </c>
      <c r="Q869" s="2" t="s">
        <v>814</v>
      </c>
    </row>
    <row r="870" spans="2:17" x14ac:dyDescent="0.25">
      <c r="B870" s="2" t="s">
        <v>1674</v>
      </c>
      <c r="C870" s="2" t="s">
        <v>153</v>
      </c>
      <c r="D870" s="2" t="s">
        <v>154</v>
      </c>
      <c r="E870" s="2" t="s">
        <v>155</v>
      </c>
      <c r="F870" s="2" t="s">
        <v>535</v>
      </c>
      <c r="G870" s="2" t="s">
        <v>425</v>
      </c>
      <c r="H870" s="2" t="s">
        <v>426</v>
      </c>
      <c r="I870" s="26">
        <v>45238</v>
      </c>
      <c r="J870" s="2">
        <v>48</v>
      </c>
      <c r="K870" s="2" t="s">
        <v>123</v>
      </c>
      <c r="L870" s="22">
        <v>1150</v>
      </c>
      <c r="M870" s="22">
        <v>55200</v>
      </c>
      <c r="N870" s="18">
        <v>59.04</v>
      </c>
      <c r="O870" s="26">
        <v>45258</v>
      </c>
      <c r="P870" s="2" t="s">
        <v>805</v>
      </c>
      <c r="Q870" s="2" t="s">
        <v>814</v>
      </c>
    </row>
    <row r="871" spans="2:17" x14ac:dyDescent="0.25">
      <c r="B871" s="2" t="s">
        <v>1675</v>
      </c>
      <c r="C871" s="2" t="s">
        <v>153</v>
      </c>
      <c r="D871" s="2" t="s">
        <v>154</v>
      </c>
      <c r="E871" s="2" t="s">
        <v>155</v>
      </c>
      <c r="F871" s="2" t="s">
        <v>535</v>
      </c>
      <c r="G871" s="2" t="s">
        <v>425</v>
      </c>
      <c r="H871" s="2" t="s">
        <v>426</v>
      </c>
      <c r="I871" s="26">
        <v>45245</v>
      </c>
      <c r="J871" s="2">
        <v>43</v>
      </c>
      <c r="K871" s="2" t="s">
        <v>123</v>
      </c>
      <c r="L871" s="22">
        <v>1150</v>
      </c>
      <c r="M871" s="22">
        <v>49450</v>
      </c>
      <c r="N871" s="18">
        <v>52.89</v>
      </c>
      <c r="O871" s="26">
        <v>45265</v>
      </c>
      <c r="P871" s="2" t="s">
        <v>805</v>
      </c>
      <c r="Q871" s="2" t="s">
        <v>814</v>
      </c>
    </row>
    <row r="872" spans="2:17" x14ac:dyDescent="0.25">
      <c r="B872" s="2" t="s">
        <v>1676</v>
      </c>
      <c r="C872" s="2" t="s">
        <v>153</v>
      </c>
      <c r="D872" s="2" t="s">
        <v>154</v>
      </c>
      <c r="E872" s="2" t="s">
        <v>155</v>
      </c>
      <c r="F872" s="2" t="s">
        <v>535</v>
      </c>
      <c r="G872" s="2" t="s">
        <v>425</v>
      </c>
      <c r="H872" s="2" t="s">
        <v>426</v>
      </c>
      <c r="I872" s="26">
        <v>45252</v>
      </c>
      <c r="J872" s="2">
        <v>52</v>
      </c>
      <c r="K872" s="2" t="s">
        <v>123</v>
      </c>
      <c r="L872" s="22">
        <v>1150</v>
      </c>
      <c r="M872" s="22">
        <v>59800</v>
      </c>
      <c r="N872" s="18">
        <v>63.96</v>
      </c>
      <c r="O872" s="26">
        <v>45272</v>
      </c>
      <c r="P872" s="2" t="s">
        <v>805</v>
      </c>
      <c r="Q872" s="2" t="s">
        <v>814</v>
      </c>
    </row>
    <row r="873" spans="2:17" x14ac:dyDescent="0.25">
      <c r="B873" s="2" t="s">
        <v>1677</v>
      </c>
      <c r="C873" s="2" t="s">
        <v>153</v>
      </c>
      <c r="D873" s="2" t="s">
        <v>154</v>
      </c>
      <c r="E873" s="2" t="s">
        <v>155</v>
      </c>
      <c r="F873" s="2" t="s">
        <v>535</v>
      </c>
      <c r="G873" s="2" t="s">
        <v>425</v>
      </c>
      <c r="H873" s="2" t="s">
        <v>426</v>
      </c>
      <c r="I873" s="26">
        <v>45260</v>
      </c>
      <c r="J873" s="2">
        <v>50</v>
      </c>
      <c r="K873" s="2" t="s">
        <v>123</v>
      </c>
      <c r="L873" s="22">
        <v>1150</v>
      </c>
      <c r="M873" s="22">
        <v>57500</v>
      </c>
      <c r="N873" s="18">
        <v>61.5</v>
      </c>
      <c r="O873" s="26">
        <v>45280</v>
      </c>
      <c r="P873" s="2" t="s">
        <v>805</v>
      </c>
      <c r="Q873" s="2" t="s">
        <v>814</v>
      </c>
    </row>
    <row r="874" spans="2:17" x14ac:dyDescent="0.25">
      <c r="B874" s="2" t="s">
        <v>1678</v>
      </c>
      <c r="C874" s="2" t="s">
        <v>153</v>
      </c>
      <c r="D874" s="2" t="s">
        <v>154</v>
      </c>
      <c r="E874" s="2" t="s">
        <v>155</v>
      </c>
      <c r="F874" s="2" t="s">
        <v>535</v>
      </c>
      <c r="G874" s="2" t="s">
        <v>425</v>
      </c>
      <c r="H874" s="2" t="s">
        <v>426</v>
      </c>
      <c r="I874" s="26">
        <v>45266</v>
      </c>
      <c r="J874" s="2">
        <v>69</v>
      </c>
      <c r="K874" s="2" t="s">
        <v>123</v>
      </c>
      <c r="L874" s="22">
        <v>1150</v>
      </c>
      <c r="M874" s="22">
        <v>79350</v>
      </c>
      <c r="N874" s="18">
        <v>84.87</v>
      </c>
      <c r="O874" s="26">
        <v>45286</v>
      </c>
      <c r="P874" s="2" t="s">
        <v>805</v>
      </c>
      <c r="Q874" s="2" t="s">
        <v>825</v>
      </c>
    </row>
    <row r="875" spans="2:17" x14ac:dyDescent="0.25">
      <c r="B875" s="2" t="s">
        <v>1679</v>
      </c>
      <c r="C875" s="2" t="s">
        <v>153</v>
      </c>
      <c r="D875" s="2" t="s">
        <v>154</v>
      </c>
      <c r="E875" s="2" t="s">
        <v>155</v>
      </c>
      <c r="F875" s="2" t="s">
        <v>535</v>
      </c>
      <c r="G875" s="2" t="s">
        <v>425</v>
      </c>
      <c r="H875" s="2" t="s">
        <v>426</v>
      </c>
      <c r="I875" s="26">
        <v>45272</v>
      </c>
      <c r="J875" s="2">
        <v>56</v>
      </c>
      <c r="K875" s="2" t="s">
        <v>123</v>
      </c>
      <c r="L875" s="22">
        <v>1150</v>
      </c>
      <c r="M875" s="22">
        <v>64400</v>
      </c>
      <c r="N875" s="18">
        <v>68.88</v>
      </c>
      <c r="O875" s="26">
        <v>45292</v>
      </c>
      <c r="P875" s="2" t="s">
        <v>805</v>
      </c>
      <c r="Q875" s="2" t="s">
        <v>825</v>
      </c>
    </row>
    <row r="876" spans="2:17" x14ac:dyDescent="0.25">
      <c r="B876" s="2" t="s">
        <v>1680</v>
      </c>
      <c r="C876" s="2" t="s">
        <v>153</v>
      </c>
      <c r="D876" s="2" t="s">
        <v>154</v>
      </c>
      <c r="E876" s="2" t="s">
        <v>155</v>
      </c>
      <c r="F876" s="2" t="s">
        <v>535</v>
      </c>
      <c r="G876" s="2" t="s">
        <v>425</v>
      </c>
      <c r="H876" s="2" t="s">
        <v>426</v>
      </c>
      <c r="I876" s="26">
        <v>45278</v>
      </c>
      <c r="J876" s="2">
        <v>60</v>
      </c>
      <c r="K876" s="2" t="s">
        <v>123</v>
      </c>
      <c r="L876" s="22">
        <v>1150</v>
      </c>
      <c r="M876" s="22">
        <v>69000</v>
      </c>
      <c r="N876" s="18">
        <v>73.8</v>
      </c>
      <c r="O876" s="26">
        <v>45298</v>
      </c>
      <c r="P876" s="2" t="s">
        <v>805</v>
      </c>
      <c r="Q876" s="2" t="s">
        <v>825</v>
      </c>
    </row>
    <row r="877" spans="2:17" x14ac:dyDescent="0.25">
      <c r="B877" s="2" t="s">
        <v>1681</v>
      </c>
      <c r="C877" s="2" t="s">
        <v>153</v>
      </c>
      <c r="D877" s="2" t="s">
        <v>154</v>
      </c>
      <c r="E877" s="2" t="s">
        <v>155</v>
      </c>
      <c r="F877" s="2" t="s">
        <v>535</v>
      </c>
      <c r="G877" s="2" t="s">
        <v>425</v>
      </c>
      <c r="H877" s="2" t="s">
        <v>426</v>
      </c>
      <c r="I877" s="26">
        <v>45284</v>
      </c>
      <c r="J877" s="2">
        <v>64</v>
      </c>
      <c r="K877" s="2" t="s">
        <v>123</v>
      </c>
      <c r="L877" s="22">
        <v>1150</v>
      </c>
      <c r="M877" s="22">
        <v>73600</v>
      </c>
      <c r="N877" s="18">
        <v>78.72</v>
      </c>
      <c r="O877" s="26">
        <v>45304</v>
      </c>
      <c r="P877" s="2" t="s">
        <v>805</v>
      </c>
      <c r="Q877" s="2" t="s">
        <v>825</v>
      </c>
    </row>
    <row r="878" spans="2:17" x14ac:dyDescent="0.25">
      <c r="B878" s="2" t="s">
        <v>1682</v>
      </c>
      <c r="C878" s="2" t="s">
        <v>153</v>
      </c>
      <c r="D878" s="2" t="s">
        <v>154</v>
      </c>
      <c r="E878" s="2" t="s">
        <v>155</v>
      </c>
      <c r="F878" s="2" t="s">
        <v>535</v>
      </c>
      <c r="G878" s="2" t="s">
        <v>425</v>
      </c>
      <c r="H878" s="2" t="s">
        <v>426</v>
      </c>
      <c r="I878" s="26">
        <v>45289</v>
      </c>
      <c r="J878" s="2">
        <v>54</v>
      </c>
      <c r="K878" s="2" t="s">
        <v>123</v>
      </c>
      <c r="L878" s="22">
        <v>1150</v>
      </c>
      <c r="M878" s="22">
        <v>62100</v>
      </c>
      <c r="N878" s="18">
        <v>66.42</v>
      </c>
      <c r="O878" s="26">
        <v>45309</v>
      </c>
      <c r="P878" s="2" t="s">
        <v>805</v>
      </c>
      <c r="Q878" s="2" t="s">
        <v>825</v>
      </c>
    </row>
    <row r="879" spans="2:17" x14ac:dyDescent="0.25">
      <c r="B879" s="2" t="s">
        <v>1683</v>
      </c>
      <c r="C879" s="2" t="s">
        <v>153</v>
      </c>
      <c r="D879" s="2" t="s">
        <v>154</v>
      </c>
      <c r="E879" s="2" t="s">
        <v>155</v>
      </c>
      <c r="F879" s="2" t="s">
        <v>535</v>
      </c>
      <c r="G879" s="2" t="s">
        <v>425</v>
      </c>
      <c r="H879" s="2" t="s">
        <v>426</v>
      </c>
      <c r="I879" s="26">
        <v>45295</v>
      </c>
      <c r="J879" s="2">
        <v>42</v>
      </c>
      <c r="K879" s="2" t="s">
        <v>123</v>
      </c>
      <c r="L879" s="22">
        <v>1150</v>
      </c>
      <c r="M879" s="22">
        <v>48300</v>
      </c>
      <c r="N879" s="18">
        <v>51.66</v>
      </c>
      <c r="O879" s="26">
        <v>45315</v>
      </c>
      <c r="P879" s="2" t="s">
        <v>805</v>
      </c>
      <c r="Q879" s="2" t="s">
        <v>825</v>
      </c>
    </row>
    <row r="880" spans="2:17" x14ac:dyDescent="0.25">
      <c r="B880" s="2" t="s">
        <v>1684</v>
      </c>
      <c r="C880" s="2" t="s">
        <v>153</v>
      </c>
      <c r="D880" s="2" t="s">
        <v>154</v>
      </c>
      <c r="E880" s="2" t="s">
        <v>155</v>
      </c>
      <c r="F880" s="2" t="s">
        <v>535</v>
      </c>
      <c r="G880" s="2" t="s">
        <v>425</v>
      </c>
      <c r="H880" s="2" t="s">
        <v>426</v>
      </c>
      <c r="I880" s="26">
        <v>45300</v>
      </c>
      <c r="J880" s="2">
        <v>50</v>
      </c>
      <c r="K880" s="2" t="s">
        <v>123</v>
      </c>
      <c r="L880" s="22">
        <v>1150</v>
      </c>
      <c r="M880" s="22">
        <v>57500</v>
      </c>
      <c r="N880" s="18">
        <v>61.5</v>
      </c>
      <c r="O880" s="26">
        <v>45320</v>
      </c>
      <c r="P880" s="2" t="s">
        <v>805</v>
      </c>
      <c r="Q880" s="2" t="s">
        <v>825</v>
      </c>
    </row>
    <row r="881" spans="2:17" x14ac:dyDescent="0.25">
      <c r="B881" s="2" t="s">
        <v>1685</v>
      </c>
      <c r="C881" s="2" t="s">
        <v>153</v>
      </c>
      <c r="D881" s="2" t="s">
        <v>154</v>
      </c>
      <c r="E881" s="2" t="s">
        <v>155</v>
      </c>
      <c r="F881" s="2" t="s">
        <v>535</v>
      </c>
      <c r="G881" s="2" t="s">
        <v>425</v>
      </c>
      <c r="H881" s="2" t="s">
        <v>426</v>
      </c>
      <c r="I881" s="26">
        <v>45304</v>
      </c>
      <c r="J881" s="2">
        <v>51</v>
      </c>
      <c r="K881" s="2" t="s">
        <v>123</v>
      </c>
      <c r="L881" s="22">
        <v>1150</v>
      </c>
      <c r="M881" s="22">
        <v>58650</v>
      </c>
      <c r="N881" s="18">
        <v>62.73</v>
      </c>
      <c r="O881" s="26">
        <v>45324</v>
      </c>
      <c r="P881" s="2" t="s">
        <v>805</v>
      </c>
      <c r="Q881" s="2" t="s">
        <v>825</v>
      </c>
    </row>
    <row r="882" spans="2:17" x14ac:dyDescent="0.25">
      <c r="B882" s="2" t="s">
        <v>1686</v>
      </c>
      <c r="C882" s="2" t="s">
        <v>153</v>
      </c>
      <c r="D882" s="2" t="s">
        <v>154</v>
      </c>
      <c r="E882" s="2" t="s">
        <v>155</v>
      </c>
      <c r="F882" s="2" t="s">
        <v>535</v>
      </c>
      <c r="G882" s="2" t="s">
        <v>425</v>
      </c>
      <c r="H882" s="2" t="s">
        <v>426</v>
      </c>
      <c r="I882" s="26">
        <v>45309</v>
      </c>
      <c r="J882" s="2">
        <v>46</v>
      </c>
      <c r="K882" s="2" t="s">
        <v>123</v>
      </c>
      <c r="L882" s="22">
        <v>1150</v>
      </c>
      <c r="M882" s="22">
        <v>52900</v>
      </c>
      <c r="N882" s="18">
        <v>56.58</v>
      </c>
      <c r="O882" s="26">
        <v>45329</v>
      </c>
      <c r="P882" s="2" t="s">
        <v>805</v>
      </c>
      <c r="Q882" s="2" t="s">
        <v>825</v>
      </c>
    </row>
    <row r="883" spans="2:17" x14ac:dyDescent="0.25">
      <c r="B883" s="2" t="s">
        <v>1687</v>
      </c>
      <c r="C883" s="2" t="s">
        <v>153</v>
      </c>
      <c r="D883" s="2" t="s">
        <v>154</v>
      </c>
      <c r="E883" s="2" t="s">
        <v>155</v>
      </c>
      <c r="F883" s="2" t="s">
        <v>537</v>
      </c>
      <c r="G883" s="2" t="s">
        <v>430</v>
      </c>
      <c r="H883" s="2" t="s">
        <v>431</v>
      </c>
      <c r="I883" s="26">
        <v>45315</v>
      </c>
      <c r="J883" s="2">
        <v>53</v>
      </c>
      <c r="K883" s="2" t="s">
        <v>123</v>
      </c>
      <c r="L883" s="22">
        <v>1150</v>
      </c>
      <c r="M883" s="22">
        <v>60950</v>
      </c>
      <c r="N883" s="18">
        <v>65.19</v>
      </c>
      <c r="O883" s="26">
        <v>45335</v>
      </c>
      <c r="P883" s="2" t="s">
        <v>805</v>
      </c>
      <c r="Q883" s="2" t="s">
        <v>825</v>
      </c>
    </row>
    <row r="884" spans="2:17" x14ac:dyDescent="0.25">
      <c r="B884" s="2" t="s">
        <v>1688</v>
      </c>
      <c r="C884" s="2" t="s">
        <v>153</v>
      </c>
      <c r="D884" s="2" t="s">
        <v>154</v>
      </c>
      <c r="E884" s="2" t="s">
        <v>155</v>
      </c>
      <c r="F884" s="2" t="s">
        <v>535</v>
      </c>
      <c r="G884" s="2" t="s">
        <v>425</v>
      </c>
      <c r="H884" s="2" t="s">
        <v>426</v>
      </c>
      <c r="I884" s="26">
        <v>45323</v>
      </c>
      <c r="J884" s="2">
        <v>54</v>
      </c>
      <c r="K884" s="2" t="s">
        <v>123</v>
      </c>
      <c r="L884" s="22">
        <v>1150</v>
      </c>
      <c r="M884" s="22">
        <v>62100</v>
      </c>
      <c r="N884" s="18">
        <v>66.42</v>
      </c>
      <c r="O884" s="26">
        <v>45343</v>
      </c>
      <c r="P884" s="2" t="s">
        <v>805</v>
      </c>
      <c r="Q884" s="2" t="s">
        <v>825</v>
      </c>
    </row>
    <row r="885" spans="2:17" x14ac:dyDescent="0.25">
      <c r="B885" s="2" t="s">
        <v>1689</v>
      </c>
      <c r="C885" s="2" t="s">
        <v>153</v>
      </c>
      <c r="D885" s="2" t="s">
        <v>154</v>
      </c>
      <c r="E885" s="2" t="s">
        <v>155</v>
      </c>
      <c r="F885" s="2" t="s">
        <v>535</v>
      </c>
      <c r="G885" s="2" t="s">
        <v>425</v>
      </c>
      <c r="H885" s="2" t="s">
        <v>426</v>
      </c>
      <c r="I885" s="26">
        <v>45328</v>
      </c>
      <c r="J885" s="2">
        <v>55</v>
      </c>
      <c r="K885" s="2" t="s">
        <v>123</v>
      </c>
      <c r="L885" s="22">
        <v>1150</v>
      </c>
      <c r="M885" s="22">
        <v>63250</v>
      </c>
      <c r="N885" s="18">
        <v>67.650000000000006</v>
      </c>
      <c r="O885" s="26">
        <v>45348</v>
      </c>
      <c r="P885" s="2" t="s">
        <v>805</v>
      </c>
      <c r="Q885" s="2" t="s">
        <v>825</v>
      </c>
    </row>
    <row r="886" spans="2:17" x14ac:dyDescent="0.25">
      <c r="B886" s="2" t="s">
        <v>1690</v>
      </c>
      <c r="C886" s="2" t="s">
        <v>153</v>
      </c>
      <c r="D886" s="2" t="s">
        <v>154</v>
      </c>
      <c r="E886" s="2" t="s">
        <v>155</v>
      </c>
      <c r="F886" s="2" t="s">
        <v>535</v>
      </c>
      <c r="G886" s="2" t="s">
        <v>425</v>
      </c>
      <c r="H886" s="2" t="s">
        <v>426</v>
      </c>
      <c r="I886" s="26">
        <v>45336</v>
      </c>
      <c r="J886" s="2">
        <v>43</v>
      </c>
      <c r="K886" s="2" t="s">
        <v>123</v>
      </c>
      <c r="L886" s="22">
        <v>1150</v>
      </c>
      <c r="M886" s="22">
        <v>49450</v>
      </c>
      <c r="N886" s="18">
        <v>52.89</v>
      </c>
      <c r="O886" s="26">
        <v>45356</v>
      </c>
      <c r="P886" s="2" t="s">
        <v>805</v>
      </c>
      <c r="Q886" s="2" t="s">
        <v>825</v>
      </c>
    </row>
    <row r="887" spans="2:17" x14ac:dyDescent="0.25">
      <c r="B887" s="2" t="s">
        <v>1691</v>
      </c>
      <c r="C887" s="2" t="s">
        <v>153</v>
      </c>
      <c r="D887" s="2" t="s">
        <v>154</v>
      </c>
      <c r="E887" s="2" t="s">
        <v>155</v>
      </c>
      <c r="F887" s="2" t="s">
        <v>535</v>
      </c>
      <c r="G887" s="2" t="s">
        <v>425</v>
      </c>
      <c r="H887" s="2" t="s">
        <v>426</v>
      </c>
      <c r="I887" s="26">
        <v>45344</v>
      </c>
      <c r="J887" s="2">
        <v>41</v>
      </c>
      <c r="K887" s="2" t="s">
        <v>123</v>
      </c>
      <c r="L887" s="22">
        <v>1150</v>
      </c>
      <c r="M887" s="22">
        <v>47150</v>
      </c>
      <c r="N887" s="18">
        <v>50.43</v>
      </c>
      <c r="O887" s="26">
        <v>45364</v>
      </c>
      <c r="P887" s="2" t="s">
        <v>805</v>
      </c>
      <c r="Q887" s="2" t="s">
        <v>825</v>
      </c>
    </row>
    <row r="888" spans="2:17" x14ac:dyDescent="0.25">
      <c r="B888" s="2" t="s">
        <v>1692</v>
      </c>
      <c r="C888" s="2" t="s">
        <v>153</v>
      </c>
      <c r="D888" s="2" t="s">
        <v>154</v>
      </c>
      <c r="E888" s="2" t="s">
        <v>155</v>
      </c>
      <c r="F888" s="2" t="s">
        <v>537</v>
      </c>
      <c r="G888" s="2" t="s">
        <v>430</v>
      </c>
      <c r="H888" s="2" t="s">
        <v>431</v>
      </c>
      <c r="I888" s="26">
        <v>45349</v>
      </c>
      <c r="J888" s="2">
        <v>51</v>
      </c>
      <c r="K888" s="2" t="s">
        <v>123</v>
      </c>
      <c r="L888" s="22">
        <v>1150</v>
      </c>
      <c r="M888" s="22">
        <v>58650</v>
      </c>
      <c r="N888" s="18">
        <v>62.73</v>
      </c>
      <c r="O888" s="26">
        <v>45369</v>
      </c>
      <c r="P888" s="2" t="s">
        <v>805</v>
      </c>
      <c r="Q888" s="2" t="s">
        <v>825</v>
      </c>
    </row>
    <row r="889" spans="2:17" x14ac:dyDescent="0.25">
      <c r="B889" s="2" t="s">
        <v>1693</v>
      </c>
      <c r="C889" s="2" t="s">
        <v>153</v>
      </c>
      <c r="D889" s="2" t="s">
        <v>154</v>
      </c>
      <c r="E889" s="2" t="s">
        <v>155</v>
      </c>
      <c r="F889" s="2" t="s">
        <v>535</v>
      </c>
      <c r="G889" s="2" t="s">
        <v>425</v>
      </c>
      <c r="H889" s="2" t="s">
        <v>426</v>
      </c>
      <c r="I889" s="26">
        <v>45356</v>
      </c>
      <c r="J889" s="2">
        <v>51</v>
      </c>
      <c r="K889" s="2" t="s">
        <v>123</v>
      </c>
      <c r="L889" s="22">
        <v>1150</v>
      </c>
      <c r="M889" s="22">
        <v>58650</v>
      </c>
      <c r="N889" s="18">
        <v>62.73</v>
      </c>
      <c r="O889" s="26">
        <v>45376</v>
      </c>
      <c r="P889" s="2" t="s">
        <v>805</v>
      </c>
      <c r="Q889" s="2" t="s">
        <v>836</v>
      </c>
    </row>
    <row r="890" spans="2:17" x14ac:dyDescent="0.25">
      <c r="B890" s="2" t="s">
        <v>1694</v>
      </c>
      <c r="C890" s="2" t="s">
        <v>153</v>
      </c>
      <c r="D890" s="2" t="s">
        <v>154</v>
      </c>
      <c r="E890" s="2" t="s">
        <v>155</v>
      </c>
      <c r="F890" s="2" t="s">
        <v>535</v>
      </c>
      <c r="G890" s="2" t="s">
        <v>425</v>
      </c>
      <c r="H890" s="2" t="s">
        <v>426</v>
      </c>
      <c r="I890" s="26">
        <v>45361</v>
      </c>
      <c r="J890" s="2">
        <v>45</v>
      </c>
      <c r="K890" s="2" t="s">
        <v>123</v>
      </c>
      <c r="L890" s="22">
        <v>1150</v>
      </c>
      <c r="M890" s="22">
        <v>51750</v>
      </c>
      <c r="N890" s="18">
        <v>55.35</v>
      </c>
      <c r="O890" s="26">
        <v>45381</v>
      </c>
      <c r="P890" s="2" t="s">
        <v>805</v>
      </c>
      <c r="Q890" s="2" t="s">
        <v>836</v>
      </c>
    </row>
    <row r="891" spans="2:17" x14ac:dyDescent="0.25">
      <c r="B891" s="2" t="s">
        <v>1695</v>
      </c>
      <c r="C891" s="2" t="s">
        <v>153</v>
      </c>
      <c r="D891" s="2" t="s">
        <v>154</v>
      </c>
      <c r="E891" s="2" t="s">
        <v>155</v>
      </c>
      <c r="F891" s="2" t="s">
        <v>535</v>
      </c>
      <c r="G891" s="2" t="s">
        <v>425</v>
      </c>
      <c r="H891" s="2" t="s">
        <v>426</v>
      </c>
      <c r="I891" s="26">
        <v>45368</v>
      </c>
      <c r="J891" s="2">
        <v>43</v>
      </c>
      <c r="K891" s="2" t="s">
        <v>123</v>
      </c>
      <c r="L891" s="22">
        <v>1150</v>
      </c>
      <c r="M891" s="22">
        <v>49450</v>
      </c>
      <c r="N891" s="18">
        <v>52.89</v>
      </c>
      <c r="O891" s="26">
        <v>45388</v>
      </c>
      <c r="P891" s="2" t="s">
        <v>805</v>
      </c>
      <c r="Q891" s="2" t="s">
        <v>836</v>
      </c>
    </row>
    <row r="892" spans="2:17" x14ac:dyDescent="0.25">
      <c r="B892" s="2" t="s">
        <v>1696</v>
      </c>
      <c r="C892" s="2" t="s">
        <v>153</v>
      </c>
      <c r="D892" s="2" t="s">
        <v>154</v>
      </c>
      <c r="E892" s="2" t="s">
        <v>155</v>
      </c>
      <c r="F892" s="2" t="s">
        <v>535</v>
      </c>
      <c r="G892" s="2" t="s">
        <v>425</v>
      </c>
      <c r="H892" s="2" t="s">
        <v>426</v>
      </c>
      <c r="I892" s="26">
        <v>45374</v>
      </c>
      <c r="J892" s="2">
        <v>55</v>
      </c>
      <c r="K892" s="2" t="s">
        <v>123</v>
      </c>
      <c r="L892" s="22">
        <v>1150</v>
      </c>
      <c r="M892" s="22">
        <v>63250</v>
      </c>
      <c r="N892" s="18">
        <v>67.650000000000006</v>
      </c>
      <c r="O892" s="26">
        <v>45394</v>
      </c>
      <c r="P892" s="2" t="s">
        <v>805</v>
      </c>
      <c r="Q892" s="2" t="s">
        <v>836</v>
      </c>
    </row>
    <row r="893" spans="2:17" x14ac:dyDescent="0.25">
      <c r="B893" s="2" t="s">
        <v>1697</v>
      </c>
      <c r="C893" s="2" t="s">
        <v>153</v>
      </c>
      <c r="D893" s="2" t="s">
        <v>154</v>
      </c>
      <c r="E893" s="2" t="s">
        <v>155</v>
      </c>
      <c r="F893" s="2" t="s">
        <v>535</v>
      </c>
      <c r="G893" s="2" t="s">
        <v>425</v>
      </c>
      <c r="H893" s="2" t="s">
        <v>426</v>
      </c>
      <c r="I893" s="26">
        <v>45380</v>
      </c>
      <c r="J893" s="2">
        <v>53</v>
      </c>
      <c r="K893" s="2" t="s">
        <v>123</v>
      </c>
      <c r="L893" s="22">
        <v>1150</v>
      </c>
      <c r="M893" s="22">
        <v>60950</v>
      </c>
      <c r="N893" s="18">
        <v>65.19</v>
      </c>
      <c r="O893" s="26">
        <v>45400</v>
      </c>
      <c r="P893" s="2" t="s">
        <v>805</v>
      </c>
      <c r="Q893" s="2" t="s">
        <v>836</v>
      </c>
    </row>
    <row r="894" spans="2:17" x14ac:dyDescent="0.25">
      <c r="B894" s="2" t="s">
        <v>1698</v>
      </c>
      <c r="C894" s="2" t="s">
        <v>153</v>
      </c>
      <c r="D894" s="2" t="s">
        <v>154</v>
      </c>
      <c r="E894" s="2" t="s">
        <v>155</v>
      </c>
      <c r="F894" s="2" t="s">
        <v>537</v>
      </c>
      <c r="G894" s="2" t="s">
        <v>430</v>
      </c>
      <c r="H894" s="2" t="s">
        <v>431</v>
      </c>
      <c r="I894" s="26">
        <v>45385</v>
      </c>
      <c r="J894" s="2">
        <v>18</v>
      </c>
      <c r="K894" s="2" t="s">
        <v>123</v>
      </c>
      <c r="L894" s="22">
        <v>1150</v>
      </c>
      <c r="M894" s="22">
        <v>20700</v>
      </c>
      <c r="N894" s="18">
        <v>22.14</v>
      </c>
      <c r="O894" s="26">
        <v>45405</v>
      </c>
      <c r="P894" s="2" t="s">
        <v>805</v>
      </c>
      <c r="Q894" s="2" t="s">
        <v>836</v>
      </c>
    </row>
    <row r="895" spans="2:17" x14ac:dyDescent="0.25">
      <c r="B895" s="2" t="s">
        <v>1699</v>
      </c>
      <c r="C895" s="2" t="s">
        <v>153</v>
      </c>
      <c r="D895" s="2" t="s">
        <v>154</v>
      </c>
      <c r="E895" s="2" t="s">
        <v>155</v>
      </c>
      <c r="F895" s="2" t="s">
        <v>535</v>
      </c>
      <c r="G895" s="2" t="s">
        <v>425</v>
      </c>
      <c r="H895" s="2" t="s">
        <v>426</v>
      </c>
      <c r="I895" s="26">
        <v>45392</v>
      </c>
      <c r="J895" s="2">
        <v>19</v>
      </c>
      <c r="K895" s="2" t="s">
        <v>123</v>
      </c>
      <c r="L895" s="22">
        <v>1150</v>
      </c>
      <c r="M895" s="22">
        <v>21850</v>
      </c>
      <c r="N895" s="18">
        <v>23.37</v>
      </c>
      <c r="O895" s="26">
        <v>45412</v>
      </c>
      <c r="P895" s="2" t="s">
        <v>805</v>
      </c>
      <c r="Q895" s="2" t="s">
        <v>836</v>
      </c>
    </row>
    <row r="896" spans="2:17" x14ac:dyDescent="0.25">
      <c r="B896" s="2" t="s">
        <v>1700</v>
      </c>
      <c r="C896" s="2" t="s">
        <v>153</v>
      </c>
      <c r="D896" s="2" t="s">
        <v>154</v>
      </c>
      <c r="E896" s="2" t="s">
        <v>155</v>
      </c>
      <c r="F896" s="2" t="s">
        <v>535</v>
      </c>
      <c r="G896" s="2" t="s">
        <v>425</v>
      </c>
      <c r="H896" s="2" t="s">
        <v>426</v>
      </c>
      <c r="I896" s="26">
        <v>45399</v>
      </c>
      <c r="J896" s="2">
        <v>19</v>
      </c>
      <c r="K896" s="2" t="s">
        <v>123</v>
      </c>
      <c r="L896" s="22">
        <v>1150</v>
      </c>
      <c r="M896" s="22">
        <v>21850</v>
      </c>
      <c r="N896" s="18">
        <v>23.37</v>
      </c>
      <c r="O896" s="26">
        <v>45419</v>
      </c>
      <c r="P896" s="2" t="s">
        <v>805</v>
      </c>
      <c r="Q896" s="2" t="s">
        <v>836</v>
      </c>
    </row>
    <row r="897" spans="2:17" x14ac:dyDescent="0.25">
      <c r="B897" s="2" t="s">
        <v>1701</v>
      </c>
      <c r="C897" s="2" t="s">
        <v>153</v>
      </c>
      <c r="D897" s="2" t="s">
        <v>154</v>
      </c>
      <c r="E897" s="2" t="s">
        <v>155</v>
      </c>
      <c r="F897" s="2" t="s">
        <v>535</v>
      </c>
      <c r="G897" s="2" t="s">
        <v>425</v>
      </c>
      <c r="H897" s="2" t="s">
        <v>426</v>
      </c>
      <c r="I897" s="26">
        <v>45405</v>
      </c>
      <c r="J897" s="2">
        <v>19</v>
      </c>
      <c r="K897" s="2" t="s">
        <v>123</v>
      </c>
      <c r="L897" s="22">
        <v>1150</v>
      </c>
      <c r="M897" s="22">
        <v>21850</v>
      </c>
      <c r="N897" s="18">
        <v>23.37</v>
      </c>
      <c r="O897" s="26">
        <v>45425</v>
      </c>
      <c r="P897" s="2" t="s">
        <v>805</v>
      </c>
      <c r="Q897" s="2" t="s">
        <v>836</v>
      </c>
    </row>
    <row r="898" spans="2:17" x14ac:dyDescent="0.25">
      <c r="B898" s="2" t="s">
        <v>1702</v>
      </c>
      <c r="C898" s="2" t="s">
        <v>153</v>
      </c>
      <c r="D898" s="2" t="s">
        <v>154</v>
      </c>
      <c r="E898" s="2" t="s">
        <v>155</v>
      </c>
      <c r="F898" s="2" t="s">
        <v>537</v>
      </c>
      <c r="G898" s="2" t="s">
        <v>430</v>
      </c>
      <c r="H898" s="2" t="s">
        <v>431</v>
      </c>
      <c r="I898" s="26">
        <v>45414</v>
      </c>
      <c r="J898" s="2">
        <v>16</v>
      </c>
      <c r="K898" s="2" t="s">
        <v>123</v>
      </c>
      <c r="L898" s="22">
        <v>1150</v>
      </c>
      <c r="M898" s="22">
        <v>18400</v>
      </c>
      <c r="N898" s="18">
        <v>19.68</v>
      </c>
      <c r="O898" s="26">
        <v>45434</v>
      </c>
      <c r="P898" s="2" t="s">
        <v>805</v>
      </c>
      <c r="Q898" s="2" t="s">
        <v>836</v>
      </c>
    </row>
    <row r="899" spans="2:17" x14ac:dyDescent="0.25">
      <c r="B899" s="2" t="s">
        <v>1703</v>
      </c>
      <c r="C899" s="2" t="s">
        <v>153</v>
      </c>
      <c r="D899" s="2" t="s">
        <v>154</v>
      </c>
      <c r="E899" s="2" t="s">
        <v>155</v>
      </c>
      <c r="F899" s="2" t="s">
        <v>535</v>
      </c>
      <c r="G899" s="2" t="s">
        <v>425</v>
      </c>
      <c r="H899" s="2" t="s">
        <v>426</v>
      </c>
      <c r="I899" s="26">
        <v>45421</v>
      </c>
      <c r="J899" s="2">
        <v>19</v>
      </c>
      <c r="K899" s="2" t="s">
        <v>123</v>
      </c>
      <c r="L899" s="22">
        <v>1150</v>
      </c>
      <c r="M899" s="22">
        <v>21850</v>
      </c>
      <c r="N899" s="18">
        <v>23.37</v>
      </c>
      <c r="O899" s="26">
        <v>45441</v>
      </c>
      <c r="P899" s="2" t="s">
        <v>805</v>
      </c>
      <c r="Q899" s="2" t="s">
        <v>836</v>
      </c>
    </row>
    <row r="900" spans="2:17" x14ac:dyDescent="0.25">
      <c r="B900" s="2" t="s">
        <v>1704</v>
      </c>
      <c r="C900" s="2" t="s">
        <v>153</v>
      </c>
      <c r="D900" s="2" t="s">
        <v>154</v>
      </c>
      <c r="E900" s="2" t="s">
        <v>155</v>
      </c>
      <c r="F900" s="2" t="s">
        <v>535</v>
      </c>
      <c r="G900" s="2" t="s">
        <v>425</v>
      </c>
      <c r="H900" s="2" t="s">
        <v>426</v>
      </c>
      <c r="I900" s="26">
        <v>45427</v>
      </c>
      <c r="J900" s="2">
        <v>17</v>
      </c>
      <c r="K900" s="2" t="s">
        <v>123</v>
      </c>
      <c r="L900" s="22">
        <v>1150</v>
      </c>
      <c r="M900" s="22">
        <v>19550</v>
      </c>
      <c r="N900" s="18">
        <v>20.91</v>
      </c>
      <c r="O900" s="26">
        <v>45447</v>
      </c>
      <c r="P900" s="2" t="s">
        <v>805</v>
      </c>
      <c r="Q900" s="2" t="s">
        <v>836</v>
      </c>
    </row>
    <row r="901" spans="2:17" x14ac:dyDescent="0.25">
      <c r="B901" s="2" t="s">
        <v>1705</v>
      </c>
      <c r="C901" s="2" t="s">
        <v>153</v>
      </c>
      <c r="D901" s="2" t="s">
        <v>154</v>
      </c>
      <c r="E901" s="2" t="s">
        <v>155</v>
      </c>
      <c r="F901" s="2" t="s">
        <v>535</v>
      </c>
      <c r="G901" s="2" t="s">
        <v>425</v>
      </c>
      <c r="H901" s="2" t="s">
        <v>426</v>
      </c>
      <c r="I901" s="26">
        <v>45433</v>
      </c>
      <c r="J901" s="2">
        <v>15</v>
      </c>
      <c r="K901" s="2" t="s">
        <v>123</v>
      </c>
      <c r="L901" s="22">
        <v>1150</v>
      </c>
      <c r="M901" s="22">
        <v>17250</v>
      </c>
      <c r="N901" s="18">
        <v>18.45</v>
      </c>
      <c r="O901" s="26">
        <v>45453</v>
      </c>
      <c r="P901" s="2" t="s">
        <v>805</v>
      </c>
      <c r="Q901" s="2" t="s">
        <v>836</v>
      </c>
    </row>
    <row r="902" spans="2:17" x14ac:dyDescent="0.25">
      <c r="B902" s="2" t="s">
        <v>1706</v>
      </c>
      <c r="C902" s="2" t="s">
        <v>153</v>
      </c>
      <c r="D902" s="2" t="s">
        <v>154</v>
      </c>
      <c r="E902" s="2" t="s">
        <v>155</v>
      </c>
      <c r="F902" s="2" t="s">
        <v>535</v>
      </c>
      <c r="G902" s="2" t="s">
        <v>425</v>
      </c>
      <c r="H902" s="2" t="s">
        <v>426</v>
      </c>
      <c r="I902" s="26">
        <v>45438</v>
      </c>
      <c r="J902" s="2">
        <v>20</v>
      </c>
      <c r="K902" s="2" t="s">
        <v>123</v>
      </c>
      <c r="L902" s="22">
        <v>1150</v>
      </c>
      <c r="M902" s="22">
        <v>23000</v>
      </c>
      <c r="N902" s="18">
        <v>24.6</v>
      </c>
      <c r="O902" s="26">
        <v>45458</v>
      </c>
      <c r="P902" s="2" t="s">
        <v>805</v>
      </c>
      <c r="Q902" s="2" t="s">
        <v>836</v>
      </c>
    </row>
    <row r="903" spans="2:17" x14ac:dyDescent="0.25">
      <c r="B903" s="2" t="s">
        <v>1707</v>
      </c>
      <c r="C903" s="2" t="s">
        <v>153</v>
      </c>
      <c r="D903" s="2" t="s">
        <v>154</v>
      </c>
      <c r="E903" s="2" t="s">
        <v>155</v>
      </c>
      <c r="F903" s="2" t="s">
        <v>535</v>
      </c>
      <c r="G903" s="2" t="s">
        <v>425</v>
      </c>
      <c r="H903" s="2" t="s">
        <v>426</v>
      </c>
      <c r="I903" s="26">
        <v>45444</v>
      </c>
      <c r="J903" s="2">
        <v>19</v>
      </c>
      <c r="K903" s="2" t="s">
        <v>123</v>
      </c>
      <c r="L903" s="22">
        <v>1150</v>
      </c>
      <c r="M903" s="22">
        <v>21850</v>
      </c>
      <c r="N903" s="18">
        <v>23.37</v>
      </c>
      <c r="O903" s="26">
        <v>45464</v>
      </c>
      <c r="P903" s="2" t="s">
        <v>805</v>
      </c>
      <c r="Q903" s="2" t="s">
        <v>806</v>
      </c>
    </row>
    <row r="904" spans="2:17" x14ac:dyDescent="0.25">
      <c r="B904" s="2" t="s">
        <v>1708</v>
      </c>
      <c r="C904" s="2" t="s">
        <v>153</v>
      </c>
      <c r="D904" s="2" t="s">
        <v>154</v>
      </c>
      <c r="E904" s="2" t="s">
        <v>155</v>
      </c>
      <c r="F904" s="2" t="s">
        <v>535</v>
      </c>
      <c r="G904" s="2" t="s">
        <v>425</v>
      </c>
      <c r="H904" s="2" t="s">
        <v>426</v>
      </c>
      <c r="I904" s="26">
        <v>45450</v>
      </c>
      <c r="J904" s="2">
        <v>15</v>
      </c>
      <c r="K904" s="2" t="s">
        <v>123</v>
      </c>
      <c r="L904" s="22">
        <v>1150</v>
      </c>
      <c r="M904" s="22">
        <v>17250</v>
      </c>
      <c r="N904" s="18">
        <v>18.45</v>
      </c>
      <c r="O904" s="26">
        <v>45470</v>
      </c>
      <c r="P904" s="2" t="s">
        <v>805</v>
      </c>
      <c r="Q904" s="2" t="s">
        <v>806</v>
      </c>
    </row>
    <row r="905" spans="2:17" x14ac:dyDescent="0.25">
      <c r="B905" s="2" t="s">
        <v>1709</v>
      </c>
      <c r="C905" s="2" t="s">
        <v>153</v>
      </c>
      <c r="D905" s="2" t="s">
        <v>154</v>
      </c>
      <c r="E905" s="2" t="s">
        <v>155</v>
      </c>
      <c r="F905" s="2" t="s">
        <v>535</v>
      </c>
      <c r="G905" s="2" t="s">
        <v>425</v>
      </c>
      <c r="H905" s="2" t="s">
        <v>426</v>
      </c>
      <c r="I905" s="26">
        <v>45458</v>
      </c>
      <c r="J905" s="2">
        <v>17</v>
      </c>
      <c r="K905" s="2" t="s">
        <v>123</v>
      </c>
      <c r="L905" s="22">
        <v>1150</v>
      </c>
      <c r="M905" s="22">
        <v>19550</v>
      </c>
      <c r="N905" s="18">
        <v>20.91</v>
      </c>
      <c r="O905" s="26">
        <v>45478</v>
      </c>
      <c r="P905" s="2" t="s">
        <v>805</v>
      </c>
      <c r="Q905" s="2" t="s">
        <v>806</v>
      </c>
    </row>
    <row r="906" spans="2:17" x14ac:dyDescent="0.25">
      <c r="B906" s="2" t="s">
        <v>1710</v>
      </c>
      <c r="C906" s="2" t="s">
        <v>153</v>
      </c>
      <c r="D906" s="2" t="s">
        <v>154</v>
      </c>
      <c r="E906" s="2" t="s">
        <v>155</v>
      </c>
      <c r="F906" s="2" t="s">
        <v>535</v>
      </c>
      <c r="G906" s="2" t="s">
        <v>425</v>
      </c>
      <c r="H906" s="2" t="s">
        <v>426</v>
      </c>
      <c r="I906" s="26">
        <v>45462</v>
      </c>
      <c r="J906" s="2">
        <v>18</v>
      </c>
      <c r="K906" s="2" t="s">
        <v>123</v>
      </c>
      <c r="L906" s="22">
        <v>1150</v>
      </c>
      <c r="M906" s="22">
        <v>20700</v>
      </c>
      <c r="N906" s="18">
        <v>22.14</v>
      </c>
      <c r="O906" s="26">
        <v>45482</v>
      </c>
      <c r="P906" s="2" t="s">
        <v>805</v>
      </c>
      <c r="Q906" s="2" t="s">
        <v>806</v>
      </c>
    </row>
    <row r="907" spans="2:17" x14ac:dyDescent="0.25">
      <c r="B907" s="2" t="s">
        <v>1711</v>
      </c>
      <c r="C907" s="2" t="s">
        <v>153</v>
      </c>
      <c r="D907" s="2" t="s">
        <v>154</v>
      </c>
      <c r="E907" s="2" t="s">
        <v>155</v>
      </c>
      <c r="F907" s="2" t="s">
        <v>535</v>
      </c>
      <c r="G907" s="2" t="s">
        <v>425</v>
      </c>
      <c r="H907" s="2" t="s">
        <v>426</v>
      </c>
      <c r="I907" s="26">
        <v>45470</v>
      </c>
      <c r="J907" s="2">
        <v>17</v>
      </c>
      <c r="K907" s="2" t="s">
        <v>123</v>
      </c>
      <c r="L907" s="22">
        <v>1150</v>
      </c>
      <c r="M907" s="22">
        <v>19550</v>
      </c>
      <c r="N907" s="18">
        <v>20.91</v>
      </c>
      <c r="O907" s="26">
        <v>45490</v>
      </c>
      <c r="P907" s="2" t="s">
        <v>805</v>
      </c>
      <c r="Q907" s="2" t="s">
        <v>806</v>
      </c>
    </row>
    <row r="908" spans="2:17" x14ac:dyDescent="0.25">
      <c r="B908" s="2" t="s">
        <v>1712</v>
      </c>
      <c r="C908" s="2" t="s">
        <v>153</v>
      </c>
      <c r="D908" s="2" t="s">
        <v>154</v>
      </c>
      <c r="E908" s="2" t="s">
        <v>155</v>
      </c>
      <c r="F908" s="2" t="s">
        <v>535</v>
      </c>
      <c r="G908" s="2" t="s">
        <v>425</v>
      </c>
      <c r="H908" s="2" t="s">
        <v>426</v>
      </c>
      <c r="I908" s="26">
        <v>45477</v>
      </c>
      <c r="J908" s="2">
        <v>16</v>
      </c>
      <c r="K908" s="2" t="s">
        <v>123</v>
      </c>
      <c r="L908" s="22">
        <v>1150</v>
      </c>
      <c r="M908" s="22">
        <v>18400</v>
      </c>
      <c r="N908" s="18">
        <v>19.68</v>
      </c>
      <c r="O908" s="26">
        <v>45497</v>
      </c>
      <c r="P908" s="2" t="s">
        <v>805</v>
      </c>
      <c r="Q908" s="2" t="s">
        <v>806</v>
      </c>
    </row>
    <row r="909" spans="2:17" x14ac:dyDescent="0.25">
      <c r="B909" s="2" t="s">
        <v>1713</v>
      </c>
      <c r="C909" s="2" t="s">
        <v>153</v>
      </c>
      <c r="D909" s="2" t="s">
        <v>154</v>
      </c>
      <c r="E909" s="2" t="s">
        <v>155</v>
      </c>
      <c r="F909" s="2" t="s">
        <v>535</v>
      </c>
      <c r="G909" s="2" t="s">
        <v>425</v>
      </c>
      <c r="H909" s="2" t="s">
        <v>426</v>
      </c>
      <c r="I909" s="26">
        <v>45484</v>
      </c>
      <c r="J909" s="2">
        <v>20</v>
      </c>
      <c r="K909" s="2" t="s">
        <v>123</v>
      </c>
      <c r="L909" s="22">
        <v>1150</v>
      </c>
      <c r="M909" s="22">
        <v>23000</v>
      </c>
      <c r="N909" s="18">
        <v>24.6</v>
      </c>
      <c r="O909" s="26">
        <v>45504</v>
      </c>
      <c r="P909" s="2" t="s">
        <v>805</v>
      </c>
      <c r="Q909" s="2" t="s">
        <v>806</v>
      </c>
    </row>
    <row r="910" spans="2:17" x14ac:dyDescent="0.25">
      <c r="B910" s="2" t="s">
        <v>1714</v>
      </c>
      <c r="C910" s="2" t="s">
        <v>153</v>
      </c>
      <c r="D910" s="2" t="s">
        <v>154</v>
      </c>
      <c r="E910" s="2" t="s">
        <v>155</v>
      </c>
      <c r="F910" s="2" t="s">
        <v>535</v>
      </c>
      <c r="G910" s="2" t="s">
        <v>425</v>
      </c>
      <c r="H910" s="2" t="s">
        <v>426</v>
      </c>
      <c r="I910" s="26">
        <v>45489</v>
      </c>
      <c r="J910" s="2">
        <v>16</v>
      </c>
      <c r="K910" s="2" t="s">
        <v>123</v>
      </c>
      <c r="L910" s="22">
        <v>1150</v>
      </c>
      <c r="M910" s="22">
        <v>18400</v>
      </c>
      <c r="N910" s="18">
        <v>19.68</v>
      </c>
      <c r="O910" s="26">
        <v>45509</v>
      </c>
      <c r="P910" s="2" t="s">
        <v>805</v>
      </c>
      <c r="Q910" s="2" t="s">
        <v>806</v>
      </c>
    </row>
    <row r="911" spans="2:17" x14ac:dyDescent="0.25">
      <c r="B911" s="2" t="s">
        <v>1715</v>
      </c>
      <c r="C911" s="2" t="s">
        <v>153</v>
      </c>
      <c r="D911" s="2" t="s">
        <v>154</v>
      </c>
      <c r="E911" s="2" t="s">
        <v>155</v>
      </c>
      <c r="F911" s="2" t="s">
        <v>537</v>
      </c>
      <c r="G911" s="2" t="s">
        <v>430</v>
      </c>
      <c r="H911" s="2" t="s">
        <v>431</v>
      </c>
      <c r="I911" s="26">
        <v>45495</v>
      </c>
      <c r="J911" s="2">
        <v>19</v>
      </c>
      <c r="K911" s="2" t="s">
        <v>123</v>
      </c>
      <c r="L911" s="22">
        <v>1150</v>
      </c>
      <c r="M911" s="22">
        <v>21850</v>
      </c>
      <c r="N911" s="18">
        <v>23.37</v>
      </c>
      <c r="O911" s="26">
        <v>45515</v>
      </c>
      <c r="P911" s="2" t="s">
        <v>805</v>
      </c>
      <c r="Q911" s="2" t="s">
        <v>806</v>
      </c>
    </row>
    <row r="912" spans="2:17" x14ac:dyDescent="0.25">
      <c r="B912" s="2" t="s">
        <v>1716</v>
      </c>
      <c r="C912" s="2" t="s">
        <v>153</v>
      </c>
      <c r="D912" s="2" t="s">
        <v>154</v>
      </c>
      <c r="E912" s="2" t="s">
        <v>155</v>
      </c>
      <c r="F912" s="2" t="s">
        <v>535</v>
      </c>
      <c r="G912" s="2" t="s">
        <v>425</v>
      </c>
      <c r="H912" s="2" t="s">
        <v>426</v>
      </c>
      <c r="I912" s="26">
        <v>45502</v>
      </c>
      <c r="J912" s="2">
        <v>16</v>
      </c>
      <c r="K912" s="2" t="s">
        <v>123</v>
      </c>
      <c r="L912" s="22">
        <v>1150</v>
      </c>
      <c r="M912" s="22">
        <v>18400</v>
      </c>
      <c r="N912" s="18">
        <v>19.68</v>
      </c>
      <c r="O912" s="26">
        <v>45522</v>
      </c>
      <c r="P912" s="2" t="s">
        <v>805</v>
      </c>
      <c r="Q912" s="2" t="s">
        <v>806</v>
      </c>
    </row>
    <row r="913" spans="2:17" x14ac:dyDescent="0.25">
      <c r="B913" s="2" t="s">
        <v>1717</v>
      </c>
      <c r="C913" s="2" t="s">
        <v>153</v>
      </c>
      <c r="D913" s="2" t="s">
        <v>154</v>
      </c>
      <c r="E913" s="2" t="s">
        <v>155</v>
      </c>
      <c r="F913" s="2" t="s">
        <v>535</v>
      </c>
      <c r="G913" s="2" t="s">
        <v>425</v>
      </c>
      <c r="H913" s="2" t="s">
        <v>426</v>
      </c>
      <c r="I913" s="26">
        <v>45509</v>
      </c>
      <c r="J913" s="2">
        <v>19</v>
      </c>
      <c r="K913" s="2" t="s">
        <v>123</v>
      </c>
      <c r="L913" s="22">
        <v>1150</v>
      </c>
      <c r="M913" s="22">
        <v>21850</v>
      </c>
      <c r="N913" s="18">
        <v>23.37</v>
      </c>
      <c r="O913" s="26">
        <v>45529</v>
      </c>
      <c r="P913" s="2" t="s">
        <v>805</v>
      </c>
      <c r="Q913" s="2" t="s">
        <v>806</v>
      </c>
    </row>
    <row r="914" spans="2:17" x14ac:dyDescent="0.25">
      <c r="B914" s="2" t="s">
        <v>1718</v>
      </c>
      <c r="C914" s="2" t="s">
        <v>153</v>
      </c>
      <c r="D914" s="2" t="s">
        <v>154</v>
      </c>
      <c r="E914" s="2" t="s">
        <v>155</v>
      </c>
      <c r="F914" s="2" t="s">
        <v>537</v>
      </c>
      <c r="G914" s="2" t="s">
        <v>430</v>
      </c>
      <c r="H914" s="2" t="s">
        <v>431</v>
      </c>
      <c r="I914" s="26">
        <v>45516</v>
      </c>
      <c r="J914" s="2">
        <v>20</v>
      </c>
      <c r="K914" s="2" t="s">
        <v>123</v>
      </c>
      <c r="L914" s="22">
        <v>1150</v>
      </c>
      <c r="M914" s="22">
        <v>23000</v>
      </c>
      <c r="N914" s="18">
        <v>24.6</v>
      </c>
      <c r="O914" s="26">
        <v>45536</v>
      </c>
      <c r="P914" s="2" t="s">
        <v>805</v>
      </c>
      <c r="Q914" s="2" t="s">
        <v>806</v>
      </c>
    </row>
    <row r="915" spans="2:17" x14ac:dyDescent="0.25">
      <c r="B915" s="2" t="s">
        <v>1719</v>
      </c>
      <c r="C915" s="2" t="s">
        <v>153</v>
      </c>
      <c r="D915" s="2" t="s">
        <v>154</v>
      </c>
      <c r="E915" s="2" t="s">
        <v>155</v>
      </c>
      <c r="F915" s="2" t="s">
        <v>535</v>
      </c>
      <c r="G915" s="2" t="s">
        <v>425</v>
      </c>
      <c r="H915" s="2" t="s">
        <v>426</v>
      </c>
      <c r="I915" s="26">
        <v>45521</v>
      </c>
      <c r="J915" s="2">
        <v>18</v>
      </c>
      <c r="K915" s="2" t="s">
        <v>123</v>
      </c>
      <c r="L915" s="22">
        <v>1150</v>
      </c>
      <c r="M915" s="22">
        <v>20700</v>
      </c>
      <c r="N915" s="18">
        <v>22.14</v>
      </c>
      <c r="O915" s="26">
        <v>45541</v>
      </c>
      <c r="P915" s="2" t="s">
        <v>805</v>
      </c>
      <c r="Q915" s="2" t="s">
        <v>806</v>
      </c>
    </row>
    <row r="916" spans="2:17" x14ac:dyDescent="0.25">
      <c r="B916" s="2" t="s">
        <v>1720</v>
      </c>
      <c r="C916" s="2" t="s">
        <v>153</v>
      </c>
      <c r="D916" s="2" t="s">
        <v>154</v>
      </c>
      <c r="E916" s="2" t="s">
        <v>155</v>
      </c>
      <c r="F916" s="2" t="s">
        <v>535</v>
      </c>
      <c r="G916" s="2" t="s">
        <v>425</v>
      </c>
      <c r="H916" s="2" t="s">
        <v>426</v>
      </c>
      <c r="I916" s="26">
        <v>45529</v>
      </c>
      <c r="J916" s="2">
        <v>16</v>
      </c>
      <c r="K916" s="2" t="s">
        <v>123</v>
      </c>
      <c r="L916" s="22">
        <v>1150</v>
      </c>
      <c r="M916" s="22">
        <v>18400</v>
      </c>
      <c r="N916" s="18">
        <v>19.68</v>
      </c>
      <c r="O916" s="26">
        <v>45549</v>
      </c>
      <c r="P916" s="2" t="s">
        <v>805</v>
      </c>
      <c r="Q916" s="2" t="s">
        <v>806</v>
      </c>
    </row>
    <row r="917" spans="2:17" x14ac:dyDescent="0.25">
      <c r="B917" s="2" t="s">
        <v>1721</v>
      </c>
      <c r="C917" s="2" t="s">
        <v>153</v>
      </c>
      <c r="D917" s="2" t="s">
        <v>154</v>
      </c>
      <c r="E917" s="2" t="s">
        <v>155</v>
      </c>
      <c r="F917" s="2" t="s">
        <v>537</v>
      </c>
      <c r="G917" s="2" t="s">
        <v>430</v>
      </c>
      <c r="H917" s="2" t="s">
        <v>431</v>
      </c>
      <c r="I917" s="26">
        <v>45536</v>
      </c>
      <c r="J917" s="2">
        <v>20</v>
      </c>
      <c r="K917" s="2" t="s">
        <v>123</v>
      </c>
      <c r="L917" s="22">
        <v>1150</v>
      </c>
      <c r="M917" s="22">
        <v>23000</v>
      </c>
      <c r="N917" s="18">
        <v>24.6</v>
      </c>
      <c r="O917" s="26">
        <v>45556</v>
      </c>
      <c r="P917" s="2" t="s">
        <v>805</v>
      </c>
      <c r="Q917" s="2" t="s">
        <v>814</v>
      </c>
    </row>
    <row r="918" spans="2:17" x14ac:dyDescent="0.25">
      <c r="B918" s="2" t="s">
        <v>1722</v>
      </c>
      <c r="C918" s="2" t="s">
        <v>153</v>
      </c>
      <c r="D918" s="2" t="s">
        <v>154</v>
      </c>
      <c r="E918" s="2" t="s">
        <v>155</v>
      </c>
      <c r="F918" s="2" t="s">
        <v>535</v>
      </c>
      <c r="G918" s="2" t="s">
        <v>425</v>
      </c>
      <c r="H918" s="2" t="s">
        <v>426</v>
      </c>
      <c r="I918" s="26">
        <v>45542</v>
      </c>
      <c r="J918" s="2">
        <v>22</v>
      </c>
      <c r="K918" s="2" t="s">
        <v>123</v>
      </c>
      <c r="L918" s="22">
        <v>1150</v>
      </c>
      <c r="M918" s="22">
        <v>25300</v>
      </c>
      <c r="N918" s="18">
        <v>27.06</v>
      </c>
      <c r="O918" s="26">
        <v>45562</v>
      </c>
      <c r="P918" s="2" t="s">
        <v>805</v>
      </c>
      <c r="Q918" s="2" t="s">
        <v>814</v>
      </c>
    </row>
    <row r="919" spans="2:17" x14ac:dyDescent="0.25">
      <c r="B919" s="2" t="s">
        <v>1723</v>
      </c>
      <c r="C919" s="2" t="s">
        <v>153</v>
      </c>
      <c r="D919" s="2" t="s">
        <v>154</v>
      </c>
      <c r="E919" s="2" t="s">
        <v>155</v>
      </c>
      <c r="F919" s="2" t="s">
        <v>535</v>
      </c>
      <c r="G919" s="2" t="s">
        <v>425</v>
      </c>
      <c r="H919" s="2" t="s">
        <v>426</v>
      </c>
      <c r="I919" s="26">
        <v>45548</v>
      </c>
      <c r="J919" s="2">
        <v>23</v>
      </c>
      <c r="K919" s="2" t="s">
        <v>123</v>
      </c>
      <c r="L919" s="22">
        <v>1150</v>
      </c>
      <c r="M919" s="22">
        <v>26450</v>
      </c>
      <c r="N919" s="18">
        <v>28.29</v>
      </c>
      <c r="O919" s="26">
        <v>45568</v>
      </c>
      <c r="P919" s="2" t="s">
        <v>805</v>
      </c>
      <c r="Q919" s="2" t="s">
        <v>814</v>
      </c>
    </row>
    <row r="920" spans="2:17" x14ac:dyDescent="0.25">
      <c r="B920" s="2" t="s">
        <v>1724</v>
      </c>
      <c r="C920" s="2" t="s">
        <v>153</v>
      </c>
      <c r="D920" s="2" t="s">
        <v>154</v>
      </c>
      <c r="E920" s="2" t="s">
        <v>155</v>
      </c>
      <c r="F920" s="2" t="s">
        <v>535</v>
      </c>
      <c r="G920" s="2" t="s">
        <v>425</v>
      </c>
      <c r="H920" s="2" t="s">
        <v>426</v>
      </c>
      <c r="I920" s="26">
        <v>45555</v>
      </c>
      <c r="J920" s="2">
        <v>24</v>
      </c>
      <c r="K920" s="2" t="s">
        <v>123</v>
      </c>
      <c r="L920" s="22">
        <v>1150</v>
      </c>
      <c r="M920" s="22">
        <v>27600</v>
      </c>
      <c r="N920" s="18">
        <v>29.52</v>
      </c>
      <c r="O920" s="26">
        <v>45575</v>
      </c>
      <c r="P920" s="2" t="s">
        <v>805</v>
      </c>
      <c r="Q920" s="2" t="s">
        <v>814</v>
      </c>
    </row>
    <row r="921" spans="2:17" x14ac:dyDescent="0.25">
      <c r="B921" s="2" t="s">
        <v>1725</v>
      </c>
      <c r="C921" s="2" t="s">
        <v>153</v>
      </c>
      <c r="D921" s="2" t="s">
        <v>154</v>
      </c>
      <c r="E921" s="2" t="s">
        <v>155</v>
      </c>
      <c r="F921" s="2" t="s">
        <v>535</v>
      </c>
      <c r="G921" s="2" t="s">
        <v>425</v>
      </c>
      <c r="H921" s="2" t="s">
        <v>426</v>
      </c>
      <c r="I921" s="26">
        <v>45564</v>
      </c>
      <c r="J921" s="2">
        <v>24</v>
      </c>
      <c r="K921" s="2" t="s">
        <v>123</v>
      </c>
      <c r="L921" s="22">
        <v>1150</v>
      </c>
      <c r="M921" s="22">
        <v>27600</v>
      </c>
      <c r="N921" s="18">
        <v>29.52</v>
      </c>
      <c r="O921" s="26">
        <v>45584</v>
      </c>
      <c r="P921" s="2" t="s">
        <v>805</v>
      </c>
      <c r="Q921" s="2" t="s">
        <v>814</v>
      </c>
    </row>
    <row r="922" spans="2:17" x14ac:dyDescent="0.25">
      <c r="B922" s="2" t="s">
        <v>1726</v>
      </c>
      <c r="C922" s="2" t="s">
        <v>153</v>
      </c>
      <c r="D922" s="2" t="s">
        <v>154</v>
      </c>
      <c r="E922" s="2" t="s">
        <v>155</v>
      </c>
      <c r="F922" s="2" t="s">
        <v>535</v>
      </c>
      <c r="G922" s="2" t="s">
        <v>425</v>
      </c>
      <c r="H922" s="2" t="s">
        <v>426</v>
      </c>
      <c r="I922" s="26">
        <v>45572</v>
      </c>
      <c r="J922" s="2">
        <v>52</v>
      </c>
      <c r="K922" s="2" t="s">
        <v>123</v>
      </c>
      <c r="L922" s="22">
        <v>1150</v>
      </c>
      <c r="M922" s="22">
        <v>59800</v>
      </c>
      <c r="N922" s="18">
        <v>63.96</v>
      </c>
      <c r="O922" s="26">
        <v>45592</v>
      </c>
      <c r="P922" s="2" t="s">
        <v>805</v>
      </c>
      <c r="Q922" s="2" t="s">
        <v>814</v>
      </c>
    </row>
    <row r="923" spans="2:17" x14ac:dyDescent="0.25">
      <c r="B923" s="2" t="s">
        <v>1727</v>
      </c>
      <c r="C923" s="2" t="s">
        <v>153</v>
      </c>
      <c r="D923" s="2" t="s">
        <v>154</v>
      </c>
      <c r="E923" s="2" t="s">
        <v>155</v>
      </c>
      <c r="F923" s="2" t="s">
        <v>535</v>
      </c>
      <c r="G923" s="2" t="s">
        <v>425</v>
      </c>
      <c r="H923" s="2" t="s">
        <v>426</v>
      </c>
      <c r="I923" s="26">
        <v>45578</v>
      </c>
      <c r="J923" s="2">
        <v>52</v>
      </c>
      <c r="K923" s="2" t="s">
        <v>123</v>
      </c>
      <c r="L923" s="22">
        <v>1150</v>
      </c>
      <c r="M923" s="22">
        <v>59800</v>
      </c>
      <c r="N923" s="18">
        <v>63.96</v>
      </c>
      <c r="O923" s="26">
        <v>45598</v>
      </c>
      <c r="P923" s="2" t="s">
        <v>805</v>
      </c>
      <c r="Q923" s="2" t="s">
        <v>814</v>
      </c>
    </row>
    <row r="924" spans="2:17" x14ac:dyDescent="0.25">
      <c r="B924" s="2" t="s">
        <v>1728</v>
      </c>
      <c r="C924" s="2" t="s">
        <v>153</v>
      </c>
      <c r="D924" s="2" t="s">
        <v>154</v>
      </c>
      <c r="E924" s="2" t="s">
        <v>155</v>
      </c>
      <c r="F924" s="2" t="s">
        <v>535</v>
      </c>
      <c r="G924" s="2" t="s">
        <v>425</v>
      </c>
      <c r="H924" s="2" t="s">
        <v>426</v>
      </c>
      <c r="I924" s="26">
        <v>45585</v>
      </c>
      <c r="J924" s="2">
        <v>49</v>
      </c>
      <c r="K924" s="2" t="s">
        <v>123</v>
      </c>
      <c r="L924" s="22">
        <v>1150</v>
      </c>
      <c r="M924" s="22">
        <v>56350</v>
      </c>
      <c r="N924" s="18">
        <v>60.27</v>
      </c>
      <c r="O924" s="26">
        <v>45605</v>
      </c>
      <c r="P924" s="2" t="s">
        <v>805</v>
      </c>
      <c r="Q924" s="2" t="s">
        <v>814</v>
      </c>
    </row>
    <row r="925" spans="2:17" x14ac:dyDescent="0.25">
      <c r="B925" s="2" t="s">
        <v>1729</v>
      </c>
      <c r="C925" s="2" t="s">
        <v>153</v>
      </c>
      <c r="D925" s="2" t="s">
        <v>154</v>
      </c>
      <c r="E925" s="2" t="s">
        <v>155</v>
      </c>
      <c r="F925" s="2" t="s">
        <v>535</v>
      </c>
      <c r="G925" s="2" t="s">
        <v>425</v>
      </c>
      <c r="H925" s="2" t="s">
        <v>426</v>
      </c>
      <c r="I925" s="26">
        <v>45590</v>
      </c>
      <c r="J925" s="2">
        <v>55</v>
      </c>
      <c r="K925" s="2" t="s">
        <v>123</v>
      </c>
      <c r="L925" s="22">
        <v>1150</v>
      </c>
      <c r="M925" s="22">
        <v>63250</v>
      </c>
      <c r="N925" s="18">
        <v>67.650000000000006</v>
      </c>
      <c r="O925" s="26">
        <v>45610</v>
      </c>
      <c r="P925" s="2" t="s">
        <v>805</v>
      </c>
      <c r="Q925" s="2" t="s">
        <v>814</v>
      </c>
    </row>
    <row r="926" spans="2:17" x14ac:dyDescent="0.25">
      <c r="B926" s="2" t="s">
        <v>1730</v>
      </c>
      <c r="C926" s="2" t="s">
        <v>153</v>
      </c>
      <c r="D926" s="2" t="s">
        <v>154</v>
      </c>
      <c r="E926" s="2" t="s">
        <v>155</v>
      </c>
      <c r="F926" s="2" t="s">
        <v>535</v>
      </c>
      <c r="G926" s="2" t="s">
        <v>425</v>
      </c>
      <c r="H926" s="2" t="s">
        <v>426</v>
      </c>
      <c r="I926" s="26">
        <v>45598</v>
      </c>
      <c r="J926" s="2">
        <v>47</v>
      </c>
      <c r="K926" s="2" t="s">
        <v>123</v>
      </c>
      <c r="L926" s="22">
        <v>1150</v>
      </c>
      <c r="M926" s="22">
        <v>54050</v>
      </c>
      <c r="N926" s="18">
        <v>57.81</v>
      </c>
      <c r="O926" s="26">
        <v>45618</v>
      </c>
      <c r="P926" s="2" t="s">
        <v>805</v>
      </c>
      <c r="Q926" s="2" t="s">
        <v>814</v>
      </c>
    </row>
    <row r="927" spans="2:17" x14ac:dyDescent="0.25">
      <c r="B927" s="2" t="s">
        <v>1731</v>
      </c>
      <c r="C927" s="2" t="s">
        <v>153</v>
      </c>
      <c r="D927" s="2" t="s">
        <v>154</v>
      </c>
      <c r="E927" s="2" t="s">
        <v>155</v>
      </c>
      <c r="F927" s="2" t="s">
        <v>535</v>
      </c>
      <c r="G927" s="2" t="s">
        <v>425</v>
      </c>
      <c r="H927" s="2" t="s">
        <v>426</v>
      </c>
      <c r="I927" s="26">
        <v>45604</v>
      </c>
      <c r="J927" s="2">
        <v>54</v>
      </c>
      <c r="K927" s="2" t="s">
        <v>123</v>
      </c>
      <c r="L927" s="22">
        <v>1150</v>
      </c>
      <c r="M927" s="22">
        <v>62100</v>
      </c>
      <c r="N927" s="18">
        <v>66.42</v>
      </c>
      <c r="O927" s="26">
        <v>45624</v>
      </c>
      <c r="P927" s="2" t="s">
        <v>805</v>
      </c>
      <c r="Q927" s="2" t="s">
        <v>814</v>
      </c>
    </row>
    <row r="928" spans="2:17" x14ac:dyDescent="0.25">
      <c r="B928" s="2" t="s">
        <v>1732</v>
      </c>
      <c r="C928" s="2" t="s">
        <v>153</v>
      </c>
      <c r="D928" s="2" t="s">
        <v>154</v>
      </c>
      <c r="E928" s="2" t="s">
        <v>155</v>
      </c>
      <c r="F928" s="2" t="s">
        <v>535</v>
      </c>
      <c r="G928" s="2" t="s">
        <v>425</v>
      </c>
      <c r="H928" s="2" t="s">
        <v>426</v>
      </c>
      <c r="I928" s="26">
        <v>45611</v>
      </c>
      <c r="J928" s="2">
        <v>42</v>
      </c>
      <c r="K928" s="2" t="s">
        <v>123</v>
      </c>
      <c r="L928" s="22">
        <v>1150</v>
      </c>
      <c r="M928" s="22">
        <v>48300</v>
      </c>
      <c r="N928" s="18">
        <v>51.66</v>
      </c>
      <c r="O928" s="26">
        <v>45631</v>
      </c>
      <c r="P928" s="2" t="s">
        <v>805</v>
      </c>
      <c r="Q928" s="2" t="s">
        <v>814</v>
      </c>
    </row>
    <row r="929" spans="2:17" x14ac:dyDescent="0.25">
      <c r="B929" s="2" t="s">
        <v>1733</v>
      </c>
      <c r="C929" s="2" t="s">
        <v>153</v>
      </c>
      <c r="D929" s="2" t="s">
        <v>154</v>
      </c>
      <c r="E929" s="2" t="s">
        <v>155</v>
      </c>
      <c r="F929" s="2" t="s">
        <v>535</v>
      </c>
      <c r="G929" s="2" t="s">
        <v>425</v>
      </c>
      <c r="H929" s="2" t="s">
        <v>426</v>
      </c>
      <c r="I929" s="26">
        <v>45618</v>
      </c>
      <c r="J929" s="2">
        <v>50</v>
      </c>
      <c r="K929" s="2" t="s">
        <v>123</v>
      </c>
      <c r="L929" s="22">
        <v>1150</v>
      </c>
      <c r="M929" s="22">
        <v>57500</v>
      </c>
      <c r="N929" s="18">
        <v>61.5</v>
      </c>
      <c r="O929" s="26">
        <v>45638</v>
      </c>
      <c r="P929" s="2" t="s">
        <v>805</v>
      </c>
      <c r="Q929" s="2" t="s">
        <v>814</v>
      </c>
    </row>
    <row r="930" spans="2:17" x14ac:dyDescent="0.25">
      <c r="B930" s="2" t="s">
        <v>1734</v>
      </c>
      <c r="C930" s="2" t="s">
        <v>153</v>
      </c>
      <c r="D930" s="2" t="s">
        <v>154</v>
      </c>
      <c r="E930" s="2" t="s">
        <v>155</v>
      </c>
      <c r="F930" s="2" t="s">
        <v>535</v>
      </c>
      <c r="G930" s="2" t="s">
        <v>425</v>
      </c>
      <c r="H930" s="2" t="s">
        <v>426</v>
      </c>
      <c r="I930" s="26">
        <v>45624</v>
      </c>
      <c r="J930" s="2">
        <v>50</v>
      </c>
      <c r="K930" s="2" t="s">
        <v>123</v>
      </c>
      <c r="L930" s="22">
        <v>1150</v>
      </c>
      <c r="M930" s="22">
        <v>57500</v>
      </c>
      <c r="N930" s="18">
        <v>61.5</v>
      </c>
      <c r="O930" s="26">
        <v>45644</v>
      </c>
      <c r="P930" s="2" t="s">
        <v>805</v>
      </c>
      <c r="Q930" s="2" t="s">
        <v>814</v>
      </c>
    </row>
    <row r="931" spans="2:17" x14ac:dyDescent="0.25">
      <c r="B931" s="2" t="s">
        <v>1735</v>
      </c>
      <c r="C931" s="2" t="s">
        <v>153</v>
      </c>
      <c r="D931" s="2" t="s">
        <v>154</v>
      </c>
      <c r="E931" s="2" t="s">
        <v>155</v>
      </c>
      <c r="F931" s="2" t="s">
        <v>535</v>
      </c>
      <c r="G931" s="2" t="s">
        <v>425</v>
      </c>
      <c r="H931" s="2" t="s">
        <v>426</v>
      </c>
      <c r="I931" s="26">
        <v>45632</v>
      </c>
      <c r="J931" s="2">
        <v>62</v>
      </c>
      <c r="K931" s="2" t="s">
        <v>123</v>
      </c>
      <c r="L931" s="22">
        <v>1150</v>
      </c>
      <c r="M931" s="22">
        <v>71300</v>
      </c>
      <c r="N931" s="18">
        <v>76.260000000000005</v>
      </c>
      <c r="O931" s="26">
        <v>45652</v>
      </c>
      <c r="P931" s="2" t="s">
        <v>805</v>
      </c>
      <c r="Q931" s="2" t="s">
        <v>825</v>
      </c>
    </row>
    <row r="932" spans="2:17" x14ac:dyDescent="0.25">
      <c r="B932" s="2" t="s">
        <v>1736</v>
      </c>
      <c r="C932" s="2" t="s">
        <v>153</v>
      </c>
      <c r="D932" s="2" t="s">
        <v>154</v>
      </c>
      <c r="E932" s="2" t="s">
        <v>155</v>
      </c>
      <c r="F932" s="2" t="s">
        <v>537</v>
      </c>
      <c r="G932" s="2" t="s">
        <v>430</v>
      </c>
      <c r="H932" s="2" t="s">
        <v>431</v>
      </c>
      <c r="I932" s="26">
        <v>45639</v>
      </c>
      <c r="J932" s="2">
        <v>69</v>
      </c>
      <c r="K932" s="2" t="s">
        <v>123</v>
      </c>
      <c r="L932" s="22">
        <v>1150</v>
      </c>
      <c r="M932" s="22">
        <v>79350</v>
      </c>
      <c r="N932" s="18">
        <v>84.87</v>
      </c>
      <c r="O932" s="26">
        <v>45659</v>
      </c>
      <c r="P932" s="2" t="s">
        <v>805</v>
      </c>
      <c r="Q932" s="2" t="s">
        <v>825</v>
      </c>
    </row>
    <row r="933" spans="2:17" x14ac:dyDescent="0.25">
      <c r="B933" s="2" t="s">
        <v>1737</v>
      </c>
      <c r="C933" s="2" t="s">
        <v>153</v>
      </c>
      <c r="D933" s="2" t="s">
        <v>154</v>
      </c>
      <c r="E933" s="2" t="s">
        <v>155</v>
      </c>
      <c r="F933" s="2" t="s">
        <v>535</v>
      </c>
      <c r="G933" s="2" t="s">
        <v>425</v>
      </c>
      <c r="H933" s="2" t="s">
        <v>426</v>
      </c>
      <c r="I933" s="26">
        <v>45645</v>
      </c>
      <c r="J933" s="2">
        <v>65</v>
      </c>
      <c r="K933" s="2" t="s">
        <v>123</v>
      </c>
      <c r="L933" s="22">
        <v>1150</v>
      </c>
      <c r="M933" s="22">
        <v>74750</v>
      </c>
      <c r="N933" s="18">
        <v>79.95</v>
      </c>
      <c r="O933" s="26">
        <v>45665</v>
      </c>
      <c r="P933" s="2" t="s">
        <v>805</v>
      </c>
      <c r="Q933" s="2" t="s">
        <v>825</v>
      </c>
    </row>
    <row r="934" spans="2:17" x14ac:dyDescent="0.25">
      <c r="B934" s="2" t="s">
        <v>1738</v>
      </c>
      <c r="C934" s="2" t="s">
        <v>153</v>
      </c>
      <c r="D934" s="2" t="s">
        <v>154</v>
      </c>
      <c r="E934" s="2" t="s">
        <v>155</v>
      </c>
      <c r="F934" s="2" t="s">
        <v>535</v>
      </c>
      <c r="G934" s="2" t="s">
        <v>425</v>
      </c>
      <c r="H934" s="2" t="s">
        <v>426</v>
      </c>
      <c r="I934" s="26">
        <v>45651</v>
      </c>
      <c r="J934" s="2">
        <v>68</v>
      </c>
      <c r="K934" s="2" t="s">
        <v>123</v>
      </c>
      <c r="L934" s="22">
        <v>1150</v>
      </c>
      <c r="M934" s="22">
        <v>78200</v>
      </c>
      <c r="N934" s="18">
        <v>83.64</v>
      </c>
      <c r="O934" s="26">
        <v>45671</v>
      </c>
      <c r="P934" s="2" t="s">
        <v>805</v>
      </c>
      <c r="Q934" s="2" t="s">
        <v>825</v>
      </c>
    </row>
    <row r="935" spans="2:17" x14ac:dyDescent="0.25">
      <c r="B935" s="2" t="s">
        <v>1739</v>
      </c>
      <c r="C935" s="2" t="s">
        <v>153</v>
      </c>
      <c r="D935" s="2" t="s">
        <v>154</v>
      </c>
      <c r="E935" s="2" t="s">
        <v>155</v>
      </c>
      <c r="F935" s="2" t="s">
        <v>537</v>
      </c>
      <c r="G935" s="2" t="s">
        <v>430</v>
      </c>
      <c r="H935" s="2" t="s">
        <v>431</v>
      </c>
      <c r="I935" s="26">
        <v>45657</v>
      </c>
      <c r="J935" s="2">
        <v>57</v>
      </c>
      <c r="K935" s="2" t="s">
        <v>123</v>
      </c>
      <c r="L935" s="22">
        <v>1150</v>
      </c>
      <c r="M935" s="22">
        <v>65550</v>
      </c>
      <c r="N935" s="18">
        <v>70.11</v>
      </c>
      <c r="O935" s="26">
        <v>45677</v>
      </c>
      <c r="P935" s="2" t="s">
        <v>805</v>
      </c>
      <c r="Q935" s="2" t="s">
        <v>825</v>
      </c>
    </row>
    <row r="936" spans="2:17" x14ac:dyDescent="0.25">
      <c r="B936" s="2" t="s">
        <v>1740</v>
      </c>
      <c r="C936" s="2" t="s">
        <v>153</v>
      </c>
      <c r="D936" s="2" t="s">
        <v>154</v>
      </c>
      <c r="E936" s="2" t="s">
        <v>155</v>
      </c>
      <c r="F936" s="2" t="s">
        <v>535</v>
      </c>
      <c r="G936" s="2" t="s">
        <v>425</v>
      </c>
      <c r="H936" s="2" t="s">
        <v>426</v>
      </c>
      <c r="I936" s="26">
        <v>45663</v>
      </c>
      <c r="J936" s="2">
        <v>59</v>
      </c>
      <c r="K936" s="2" t="s">
        <v>123</v>
      </c>
      <c r="L936" s="22">
        <v>1150</v>
      </c>
      <c r="M936" s="22">
        <v>67850</v>
      </c>
      <c r="N936" s="18">
        <v>72.569999999999993</v>
      </c>
      <c r="O936" s="26">
        <v>45683</v>
      </c>
      <c r="P936" s="2" t="s">
        <v>805</v>
      </c>
      <c r="Q936" s="2" t="s">
        <v>825</v>
      </c>
    </row>
    <row r="937" spans="2:17" x14ac:dyDescent="0.25">
      <c r="B937" s="2" t="s">
        <v>1741</v>
      </c>
      <c r="C937" s="2" t="s">
        <v>153</v>
      </c>
      <c r="D937" s="2" t="s">
        <v>154</v>
      </c>
      <c r="E937" s="2" t="s">
        <v>155</v>
      </c>
      <c r="F937" s="2" t="s">
        <v>535</v>
      </c>
      <c r="G937" s="2" t="s">
        <v>425</v>
      </c>
      <c r="H937" s="2" t="s">
        <v>426</v>
      </c>
      <c r="I937" s="26">
        <v>45670</v>
      </c>
      <c r="J937" s="2">
        <v>53</v>
      </c>
      <c r="K937" s="2" t="s">
        <v>123</v>
      </c>
      <c r="L937" s="22">
        <v>1150</v>
      </c>
      <c r="M937" s="22">
        <v>60950</v>
      </c>
      <c r="N937" s="18">
        <v>65.19</v>
      </c>
      <c r="O937" s="26">
        <v>45690</v>
      </c>
      <c r="P937" s="2" t="s">
        <v>805</v>
      </c>
      <c r="Q937" s="2" t="s">
        <v>825</v>
      </c>
    </row>
    <row r="938" spans="2:17" x14ac:dyDescent="0.25">
      <c r="B938" s="2" t="s">
        <v>1742</v>
      </c>
      <c r="C938" s="2" t="s">
        <v>153</v>
      </c>
      <c r="D938" s="2" t="s">
        <v>154</v>
      </c>
      <c r="E938" s="2" t="s">
        <v>155</v>
      </c>
      <c r="F938" s="2" t="s">
        <v>535</v>
      </c>
      <c r="G938" s="2" t="s">
        <v>425</v>
      </c>
      <c r="H938" s="2" t="s">
        <v>426</v>
      </c>
      <c r="I938" s="26">
        <v>45679</v>
      </c>
      <c r="J938" s="2">
        <v>50</v>
      </c>
      <c r="K938" s="2" t="s">
        <v>123</v>
      </c>
      <c r="L938" s="22">
        <v>1150</v>
      </c>
      <c r="M938" s="22">
        <v>57500</v>
      </c>
      <c r="N938" s="18">
        <v>61.5</v>
      </c>
      <c r="O938" s="26">
        <v>45699</v>
      </c>
      <c r="P938" s="2" t="s">
        <v>805</v>
      </c>
      <c r="Q938" s="2" t="s">
        <v>825</v>
      </c>
    </row>
    <row r="939" spans="2:17" x14ac:dyDescent="0.25">
      <c r="B939" s="2" t="s">
        <v>1743</v>
      </c>
      <c r="C939" s="2" t="s">
        <v>153</v>
      </c>
      <c r="D939" s="2" t="s">
        <v>154</v>
      </c>
      <c r="E939" s="2" t="s">
        <v>155</v>
      </c>
      <c r="F939" s="2" t="s">
        <v>535</v>
      </c>
      <c r="G939" s="2" t="s">
        <v>425</v>
      </c>
      <c r="H939" s="2" t="s">
        <v>426</v>
      </c>
      <c r="I939" s="26">
        <v>45685</v>
      </c>
      <c r="J939" s="2">
        <v>56</v>
      </c>
      <c r="K939" s="2" t="s">
        <v>123</v>
      </c>
      <c r="L939" s="22">
        <v>1150</v>
      </c>
      <c r="M939" s="22">
        <v>64400</v>
      </c>
      <c r="N939" s="18">
        <v>68.88</v>
      </c>
      <c r="O939" s="26">
        <v>45705</v>
      </c>
      <c r="P939" s="2" t="s">
        <v>805</v>
      </c>
      <c r="Q939" s="2" t="s">
        <v>825</v>
      </c>
    </row>
    <row r="940" spans="2:17" x14ac:dyDescent="0.25">
      <c r="B940" s="2" t="s">
        <v>1744</v>
      </c>
      <c r="C940" s="2" t="s">
        <v>153</v>
      </c>
      <c r="D940" s="2" t="s">
        <v>154</v>
      </c>
      <c r="E940" s="2" t="s">
        <v>155</v>
      </c>
      <c r="F940" s="2" t="s">
        <v>535</v>
      </c>
      <c r="G940" s="2" t="s">
        <v>425</v>
      </c>
      <c r="H940" s="2" t="s">
        <v>426</v>
      </c>
      <c r="I940" s="26">
        <v>45692</v>
      </c>
      <c r="J940" s="2">
        <v>54</v>
      </c>
      <c r="K940" s="2" t="s">
        <v>123</v>
      </c>
      <c r="L940" s="22">
        <v>1150</v>
      </c>
      <c r="M940" s="22">
        <v>62100</v>
      </c>
      <c r="N940" s="18">
        <v>66.42</v>
      </c>
      <c r="O940" s="26">
        <v>45712</v>
      </c>
      <c r="P940" s="2" t="s">
        <v>805</v>
      </c>
      <c r="Q940" s="2" t="s">
        <v>825</v>
      </c>
    </row>
    <row r="941" spans="2:17" x14ac:dyDescent="0.25">
      <c r="B941" s="2" t="s">
        <v>1745</v>
      </c>
      <c r="C941" s="2" t="s">
        <v>153</v>
      </c>
      <c r="D941" s="2" t="s">
        <v>154</v>
      </c>
      <c r="E941" s="2" t="s">
        <v>155</v>
      </c>
      <c r="F941" s="2" t="s">
        <v>535</v>
      </c>
      <c r="G941" s="2" t="s">
        <v>425</v>
      </c>
      <c r="H941" s="2" t="s">
        <v>426</v>
      </c>
      <c r="I941" s="26">
        <v>45698</v>
      </c>
      <c r="J941" s="2">
        <v>56</v>
      </c>
      <c r="K941" s="2" t="s">
        <v>123</v>
      </c>
      <c r="L941" s="22">
        <v>1150</v>
      </c>
      <c r="M941" s="22">
        <v>64400</v>
      </c>
      <c r="N941" s="18">
        <v>68.88</v>
      </c>
      <c r="O941" s="26">
        <v>45718</v>
      </c>
      <c r="P941" s="2" t="s">
        <v>805</v>
      </c>
      <c r="Q941" s="2" t="s">
        <v>825</v>
      </c>
    </row>
    <row r="942" spans="2:17" x14ac:dyDescent="0.25">
      <c r="B942" s="2" t="s">
        <v>1746</v>
      </c>
      <c r="C942" s="2" t="s">
        <v>153</v>
      </c>
      <c r="D942" s="2" t="s">
        <v>154</v>
      </c>
      <c r="E942" s="2" t="s">
        <v>155</v>
      </c>
      <c r="F942" s="2" t="s">
        <v>535</v>
      </c>
      <c r="G942" s="2" t="s">
        <v>425</v>
      </c>
      <c r="H942" s="2" t="s">
        <v>426</v>
      </c>
      <c r="I942" s="26">
        <v>45705</v>
      </c>
      <c r="J942" s="2">
        <v>50</v>
      </c>
      <c r="K942" s="2" t="s">
        <v>123</v>
      </c>
      <c r="L942" s="22">
        <v>1150</v>
      </c>
      <c r="M942" s="22">
        <v>57500</v>
      </c>
      <c r="N942" s="18">
        <v>61.5</v>
      </c>
      <c r="O942" s="26">
        <v>45725</v>
      </c>
      <c r="P942" s="2" t="s">
        <v>805</v>
      </c>
      <c r="Q942" s="2" t="s">
        <v>825</v>
      </c>
    </row>
    <row r="943" spans="2:17" x14ac:dyDescent="0.25">
      <c r="B943" s="2" t="s">
        <v>1747</v>
      </c>
      <c r="C943" s="2" t="s">
        <v>153</v>
      </c>
      <c r="D943" s="2" t="s">
        <v>154</v>
      </c>
      <c r="E943" s="2" t="s">
        <v>155</v>
      </c>
      <c r="F943" s="2" t="s">
        <v>535</v>
      </c>
      <c r="G943" s="2" t="s">
        <v>425</v>
      </c>
      <c r="H943" s="2" t="s">
        <v>426</v>
      </c>
      <c r="I943" s="26">
        <v>45710</v>
      </c>
      <c r="J943" s="2">
        <v>50</v>
      </c>
      <c r="K943" s="2" t="s">
        <v>123</v>
      </c>
      <c r="L943" s="22">
        <v>1150</v>
      </c>
      <c r="M943" s="22">
        <v>57500</v>
      </c>
      <c r="N943" s="18">
        <v>61.5</v>
      </c>
      <c r="O943" s="26">
        <v>45730</v>
      </c>
      <c r="P943" s="2" t="s">
        <v>805</v>
      </c>
      <c r="Q943" s="2" t="s">
        <v>825</v>
      </c>
    </row>
    <row r="944" spans="2:17" x14ac:dyDescent="0.25">
      <c r="B944" s="2" t="s">
        <v>1748</v>
      </c>
      <c r="C944" s="2" t="s">
        <v>153</v>
      </c>
      <c r="D944" s="2" t="s">
        <v>154</v>
      </c>
      <c r="E944" s="2" t="s">
        <v>155</v>
      </c>
      <c r="F944" s="2" t="s">
        <v>537</v>
      </c>
      <c r="G944" s="2" t="s">
        <v>430</v>
      </c>
      <c r="H944" s="2" t="s">
        <v>431</v>
      </c>
      <c r="I944" s="26">
        <v>45718</v>
      </c>
      <c r="J944" s="2">
        <v>51</v>
      </c>
      <c r="K944" s="2" t="s">
        <v>123</v>
      </c>
      <c r="L944" s="22">
        <v>1150</v>
      </c>
      <c r="M944" s="22">
        <v>58650</v>
      </c>
      <c r="N944" s="18">
        <v>62.73</v>
      </c>
      <c r="O944" s="26">
        <v>45738</v>
      </c>
      <c r="P944" s="2" t="s">
        <v>805</v>
      </c>
      <c r="Q944" s="2" t="s">
        <v>836</v>
      </c>
    </row>
    <row r="945" spans="2:17" x14ac:dyDescent="0.25">
      <c r="B945" s="2" t="s">
        <v>1749</v>
      </c>
      <c r="C945" s="2" t="s">
        <v>153</v>
      </c>
      <c r="D945" s="2" t="s">
        <v>154</v>
      </c>
      <c r="E945" s="2" t="s">
        <v>155</v>
      </c>
      <c r="F945" s="2" t="s">
        <v>535</v>
      </c>
      <c r="G945" s="2" t="s">
        <v>425</v>
      </c>
      <c r="H945" s="2" t="s">
        <v>426</v>
      </c>
      <c r="I945" s="26">
        <v>45724</v>
      </c>
      <c r="J945" s="2">
        <v>48</v>
      </c>
      <c r="K945" s="2" t="s">
        <v>123</v>
      </c>
      <c r="L945" s="22">
        <v>1150</v>
      </c>
      <c r="M945" s="22">
        <v>55200</v>
      </c>
      <c r="N945" s="18">
        <v>59.04</v>
      </c>
      <c r="O945" s="26">
        <v>45744</v>
      </c>
      <c r="P945" s="2" t="s">
        <v>805</v>
      </c>
      <c r="Q945" s="2" t="s">
        <v>836</v>
      </c>
    </row>
    <row r="946" spans="2:17" x14ac:dyDescent="0.25">
      <c r="B946" s="2" t="s">
        <v>1750</v>
      </c>
      <c r="C946" s="2" t="s">
        <v>153</v>
      </c>
      <c r="D946" s="2" t="s">
        <v>154</v>
      </c>
      <c r="E946" s="2" t="s">
        <v>155</v>
      </c>
      <c r="F946" s="2" t="s">
        <v>535</v>
      </c>
      <c r="G946" s="2" t="s">
        <v>425</v>
      </c>
      <c r="H946" s="2" t="s">
        <v>426</v>
      </c>
      <c r="I946" s="26">
        <v>45730</v>
      </c>
      <c r="J946" s="2">
        <v>49</v>
      </c>
      <c r="K946" s="2" t="s">
        <v>123</v>
      </c>
      <c r="L946" s="22">
        <v>1150</v>
      </c>
      <c r="M946" s="22">
        <v>56350</v>
      </c>
      <c r="N946" s="18">
        <v>60.27</v>
      </c>
      <c r="O946" s="26">
        <v>45750</v>
      </c>
      <c r="P946" s="2" t="s">
        <v>805</v>
      </c>
      <c r="Q946" s="2" t="s">
        <v>836</v>
      </c>
    </row>
    <row r="947" spans="2:17" x14ac:dyDescent="0.25">
      <c r="B947" s="2" t="s">
        <v>1751</v>
      </c>
      <c r="C947" s="2" t="s">
        <v>153</v>
      </c>
      <c r="D947" s="2" t="s">
        <v>154</v>
      </c>
      <c r="E947" s="2" t="s">
        <v>155</v>
      </c>
      <c r="F947" s="2" t="s">
        <v>535</v>
      </c>
      <c r="G947" s="2" t="s">
        <v>425</v>
      </c>
      <c r="H947" s="2" t="s">
        <v>426</v>
      </c>
      <c r="I947" s="26">
        <v>45737</v>
      </c>
      <c r="J947" s="2">
        <v>50</v>
      </c>
      <c r="K947" s="2" t="s">
        <v>123</v>
      </c>
      <c r="L947" s="22">
        <v>1150</v>
      </c>
      <c r="M947" s="22">
        <v>57500</v>
      </c>
      <c r="N947" s="18">
        <v>61.5</v>
      </c>
      <c r="O947" s="26">
        <v>45757</v>
      </c>
      <c r="P947" s="2" t="s">
        <v>805</v>
      </c>
      <c r="Q947" s="2" t="s">
        <v>836</v>
      </c>
    </row>
    <row r="948" spans="2:17" x14ac:dyDescent="0.25">
      <c r="B948" s="2" t="s">
        <v>1752</v>
      </c>
      <c r="C948" s="2" t="s">
        <v>153</v>
      </c>
      <c r="D948" s="2" t="s">
        <v>154</v>
      </c>
      <c r="E948" s="2" t="s">
        <v>155</v>
      </c>
      <c r="F948" s="2" t="s">
        <v>535</v>
      </c>
      <c r="G948" s="2" t="s">
        <v>425</v>
      </c>
      <c r="H948" s="2" t="s">
        <v>426</v>
      </c>
      <c r="I948" s="26">
        <v>45745</v>
      </c>
      <c r="J948" s="2">
        <v>46</v>
      </c>
      <c r="K948" s="2" t="s">
        <v>123</v>
      </c>
      <c r="L948" s="22">
        <v>1150</v>
      </c>
      <c r="M948" s="22">
        <v>52900</v>
      </c>
      <c r="N948" s="18">
        <v>56.58</v>
      </c>
      <c r="O948" s="26">
        <v>45765</v>
      </c>
      <c r="P948" s="2" t="s">
        <v>805</v>
      </c>
      <c r="Q948" s="2" t="s">
        <v>836</v>
      </c>
    </row>
    <row r="949" spans="2:17" x14ac:dyDescent="0.25">
      <c r="B949" s="2" t="s">
        <v>1753</v>
      </c>
      <c r="C949" s="2" t="s">
        <v>153</v>
      </c>
      <c r="D949" s="2" t="s">
        <v>154</v>
      </c>
      <c r="E949" s="2" t="s">
        <v>155</v>
      </c>
      <c r="F949" s="2" t="s">
        <v>535</v>
      </c>
      <c r="G949" s="2" t="s">
        <v>425</v>
      </c>
      <c r="H949" s="2" t="s">
        <v>426</v>
      </c>
      <c r="I949" s="26">
        <v>45751</v>
      </c>
      <c r="J949" s="2">
        <v>20</v>
      </c>
      <c r="K949" s="2" t="s">
        <v>123</v>
      </c>
      <c r="L949" s="22">
        <v>1150</v>
      </c>
      <c r="M949" s="22">
        <v>23000</v>
      </c>
      <c r="N949" s="18">
        <v>24.6</v>
      </c>
      <c r="O949" s="26">
        <v>45771</v>
      </c>
      <c r="P949" s="2" t="s">
        <v>805</v>
      </c>
      <c r="Q949" s="2" t="s">
        <v>836</v>
      </c>
    </row>
    <row r="950" spans="2:17" x14ac:dyDescent="0.25">
      <c r="B950" s="2" t="s">
        <v>1754</v>
      </c>
      <c r="C950" s="2" t="s">
        <v>153</v>
      </c>
      <c r="D950" s="2" t="s">
        <v>154</v>
      </c>
      <c r="E950" s="2" t="s">
        <v>155</v>
      </c>
      <c r="F950" s="2" t="s">
        <v>535</v>
      </c>
      <c r="G950" s="2" t="s">
        <v>425</v>
      </c>
      <c r="H950" s="2" t="s">
        <v>426</v>
      </c>
      <c r="I950" s="26">
        <v>45756</v>
      </c>
      <c r="J950" s="2">
        <v>17</v>
      </c>
      <c r="K950" s="2" t="s">
        <v>123</v>
      </c>
      <c r="L950" s="22">
        <v>1150</v>
      </c>
      <c r="M950" s="22">
        <v>19550</v>
      </c>
      <c r="N950" s="18">
        <v>20.91</v>
      </c>
      <c r="O950" s="26">
        <v>45776</v>
      </c>
      <c r="P950" s="2" t="s">
        <v>805</v>
      </c>
      <c r="Q950" s="2" t="s">
        <v>836</v>
      </c>
    </row>
    <row r="951" spans="2:17" x14ac:dyDescent="0.25">
      <c r="B951" s="2" t="s">
        <v>1755</v>
      </c>
      <c r="C951" s="2" t="s">
        <v>153</v>
      </c>
      <c r="D951" s="2" t="s">
        <v>154</v>
      </c>
      <c r="E951" s="2" t="s">
        <v>155</v>
      </c>
      <c r="F951" s="2" t="s">
        <v>535</v>
      </c>
      <c r="G951" s="2" t="s">
        <v>425</v>
      </c>
      <c r="H951" s="2" t="s">
        <v>426</v>
      </c>
      <c r="I951" s="26">
        <v>45761</v>
      </c>
      <c r="J951" s="2">
        <v>22</v>
      </c>
      <c r="K951" s="2" t="s">
        <v>123</v>
      </c>
      <c r="L951" s="22">
        <v>1150</v>
      </c>
      <c r="M951" s="22">
        <v>25300</v>
      </c>
      <c r="N951" s="18">
        <v>27.06</v>
      </c>
      <c r="O951" s="26">
        <v>45781</v>
      </c>
      <c r="P951" s="2" t="s">
        <v>805</v>
      </c>
      <c r="Q951" s="2" t="s">
        <v>836</v>
      </c>
    </row>
    <row r="952" spans="2:17" x14ac:dyDescent="0.25">
      <c r="B952" s="2" t="s">
        <v>1756</v>
      </c>
      <c r="C952" s="2" t="s">
        <v>153</v>
      </c>
      <c r="D952" s="2" t="s">
        <v>154</v>
      </c>
      <c r="E952" s="2" t="s">
        <v>155</v>
      </c>
      <c r="F952" s="2" t="s">
        <v>535</v>
      </c>
      <c r="G952" s="2" t="s">
        <v>425</v>
      </c>
      <c r="H952" s="2" t="s">
        <v>426</v>
      </c>
      <c r="I952" s="26">
        <v>45768</v>
      </c>
      <c r="J952" s="2">
        <v>18</v>
      </c>
      <c r="K952" s="2" t="s">
        <v>123</v>
      </c>
      <c r="L952" s="22">
        <v>1150</v>
      </c>
      <c r="M952" s="22">
        <v>20700</v>
      </c>
      <c r="N952" s="18">
        <v>22.14</v>
      </c>
      <c r="O952" s="26">
        <v>45788</v>
      </c>
      <c r="P952" s="2" t="s">
        <v>805</v>
      </c>
      <c r="Q952" s="2" t="s">
        <v>836</v>
      </c>
    </row>
    <row r="953" spans="2:17" x14ac:dyDescent="0.25">
      <c r="B953" s="2" t="s">
        <v>1757</v>
      </c>
      <c r="C953" s="2" t="s">
        <v>153</v>
      </c>
      <c r="D953" s="2" t="s">
        <v>154</v>
      </c>
      <c r="E953" s="2" t="s">
        <v>155</v>
      </c>
      <c r="F953" s="2" t="s">
        <v>535</v>
      </c>
      <c r="G953" s="2" t="s">
        <v>425</v>
      </c>
      <c r="H953" s="2" t="s">
        <v>426</v>
      </c>
      <c r="I953" s="26">
        <v>45774</v>
      </c>
      <c r="J953" s="2">
        <v>20</v>
      </c>
      <c r="K953" s="2" t="s">
        <v>123</v>
      </c>
      <c r="L953" s="22">
        <v>1150</v>
      </c>
      <c r="M953" s="22">
        <v>23000</v>
      </c>
      <c r="N953" s="18">
        <v>24.6</v>
      </c>
      <c r="O953" s="26">
        <v>45794</v>
      </c>
      <c r="P953" s="2" t="s">
        <v>805</v>
      </c>
      <c r="Q953" s="2" t="s">
        <v>836</v>
      </c>
    </row>
    <row r="954" spans="2:17" x14ac:dyDescent="0.25">
      <c r="B954" s="2" t="s">
        <v>1758</v>
      </c>
      <c r="C954" s="2" t="s">
        <v>153</v>
      </c>
      <c r="D954" s="2" t="s">
        <v>154</v>
      </c>
      <c r="E954" s="2" t="s">
        <v>155</v>
      </c>
      <c r="F954" s="2" t="s">
        <v>535</v>
      </c>
      <c r="G954" s="2" t="s">
        <v>425</v>
      </c>
      <c r="H954" s="2" t="s">
        <v>426</v>
      </c>
      <c r="I954" s="26">
        <v>45781</v>
      </c>
      <c r="J954" s="2">
        <v>17</v>
      </c>
      <c r="K954" s="2" t="s">
        <v>123</v>
      </c>
      <c r="L954" s="22">
        <v>1150</v>
      </c>
      <c r="M954" s="22">
        <v>19550</v>
      </c>
      <c r="N954" s="18">
        <v>20.91</v>
      </c>
      <c r="O954" s="26">
        <v>45801</v>
      </c>
      <c r="P954" s="2" t="s">
        <v>805</v>
      </c>
      <c r="Q954" s="2" t="s">
        <v>836</v>
      </c>
    </row>
    <row r="955" spans="2:17" x14ac:dyDescent="0.25">
      <c r="B955" s="2" t="s">
        <v>1759</v>
      </c>
      <c r="C955" s="2" t="s">
        <v>153</v>
      </c>
      <c r="D955" s="2" t="s">
        <v>154</v>
      </c>
      <c r="E955" s="2" t="s">
        <v>155</v>
      </c>
      <c r="F955" s="2" t="s">
        <v>535</v>
      </c>
      <c r="G955" s="2" t="s">
        <v>425</v>
      </c>
      <c r="H955" s="2" t="s">
        <v>426</v>
      </c>
      <c r="I955" s="26">
        <v>45786</v>
      </c>
      <c r="J955" s="2">
        <v>21</v>
      </c>
      <c r="K955" s="2" t="s">
        <v>123</v>
      </c>
      <c r="L955" s="22">
        <v>1150</v>
      </c>
      <c r="M955" s="22">
        <v>24150</v>
      </c>
      <c r="N955" s="18">
        <v>25.83</v>
      </c>
      <c r="O955" s="26">
        <v>45806</v>
      </c>
      <c r="P955" s="2" t="s">
        <v>805</v>
      </c>
      <c r="Q955" s="2" t="s">
        <v>836</v>
      </c>
    </row>
    <row r="956" spans="2:17" x14ac:dyDescent="0.25">
      <c r="B956" s="2" t="s">
        <v>1760</v>
      </c>
      <c r="C956" s="2" t="s">
        <v>153</v>
      </c>
      <c r="D956" s="2" t="s">
        <v>154</v>
      </c>
      <c r="E956" s="2" t="s">
        <v>155</v>
      </c>
      <c r="F956" s="2" t="s">
        <v>535</v>
      </c>
      <c r="G956" s="2" t="s">
        <v>425</v>
      </c>
      <c r="H956" s="2" t="s">
        <v>426</v>
      </c>
      <c r="I956" s="26">
        <v>45795</v>
      </c>
      <c r="J956" s="2">
        <v>22</v>
      </c>
      <c r="K956" s="2" t="s">
        <v>123</v>
      </c>
      <c r="L956" s="22">
        <v>1150</v>
      </c>
      <c r="M956" s="22">
        <v>25300</v>
      </c>
      <c r="N956" s="18">
        <v>27.06</v>
      </c>
      <c r="O956" s="26">
        <v>45815</v>
      </c>
      <c r="P956" s="2" t="s">
        <v>805</v>
      </c>
      <c r="Q956" s="2" t="s">
        <v>836</v>
      </c>
    </row>
    <row r="957" spans="2:17" x14ac:dyDescent="0.25">
      <c r="B957" s="2" t="s">
        <v>1761</v>
      </c>
      <c r="C957" s="2" t="s">
        <v>153</v>
      </c>
      <c r="D957" s="2" t="s">
        <v>154</v>
      </c>
      <c r="E957" s="2" t="s">
        <v>155</v>
      </c>
      <c r="F957" s="2" t="s">
        <v>537</v>
      </c>
      <c r="G957" s="2" t="s">
        <v>430</v>
      </c>
      <c r="H957" s="2" t="s">
        <v>431</v>
      </c>
      <c r="I957" s="26">
        <v>45801</v>
      </c>
      <c r="J957" s="2">
        <v>18</v>
      </c>
      <c r="K957" s="2" t="s">
        <v>123</v>
      </c>
      <c r="L957" s="22">
        <v>1150</v>
      </c>
      <c r="M957" s="22">
        <v>20700</v>
      </c>
      <c r="N957" s="18">
        <v>22.14</v>
      </c>
      <c r="O957" s="26">
        <v>45821</v>
      </c>
      <c r="P957" s="2" t="s">
        <v>805</v>
      </c>
      <c r="Q957" s="2" t="s">
        <v>836</v>
      </c>
    </row>
    <row r="958" spans="2:17" x14ac:dyDescent="0.25">
      <c r="B958" s="2" t="s">
        <v>1762</v>
      </c>
      <c r="C958" s="2" t="s">
        <v>153</v>
      </c>
      <c r="D958" s="2" t="s">
        <v>154</v>
      </c>
      <c r="E958" s="2" t="s">
        <v>155</v>
      </c>
      <c r="F958" s="2" t="s">
        <v>535</v>
      </c>
      <c r="G958" s="2" t="s">
        <v>425</v>
      </c>
      <c r="H958" s="2" t="s">
        <v>426</v>
      </c>
      <c r="I958" s="26">
        <v>45808</v>
      </c>
      <c r="J958" s="2">
        <v>19</v>
      </c>
      <c r="K958" s="2" t="s">
        <v>123</v>
      </c>
      <c r="L958" s="22">
        <v>1150</v>
      </c>
      <c r="M958" s="22">
        <v>21850</v>
      </c>
      <c r="N958" s="18">
        <v>23.37</v>
      </c>
      <c r="O958" s="26">
        <v>45828</v>
      </c>
      <c r="P958" s="2" t="s">
        <v>805</v>
      </c>
      <c r="Q958" s="2" t="s">
        <v>836</v>
      </c>
    </row>
    <row r="959" spans="2:17" x14ac:dyDescent="0.25">
      <c r="B959" s="2" t="s">
        <v>1763</v>
      </c>
      <c r="C959" s="2" t="s">
        <v>153</v>
      </c>
      <c r="D959" s="2" t="s">
        <v>154</v>
      </c>
      <c r="E959" s="2" t="s">
        <v>155</v>
      </c>
      <c r="F959" s="2" t="s">
        <v>535</v>
      </c>
      <c r="G959" s="2" t="s">
        <v>425</v>
      </c>
      <c r="H959" s="2" t="s">
        <v>426</v>
      </c>
      <c r="I959" s="26">
        <v>45814</v>
      </c>
      <c r="J959" s="2">
        <v>21</v>
      </c>
      <c r="K959" s="2" t="s">
        <v>123</v>
      </c>
      <c r="L959" s="22">
        <v>1150</v>
      </c>
      <c r="M959" s="22">
        <v>24150</v>
      </c>
      <c r="N959" s="18">
        <v>25.83</v>
      </c>
      <c r="O959" s="26">
        <v>45834</v>
      </c>
      <c r="P959" s="2" t="s">
        <v>805</v>
      </c>
      <c r="Q959" s="2" t="s">
        <v>806</v>
      </c>
    </row>
    <row r="960" spans="2:17" x14ac:dyDescent="0.25">
      <c r="B960" s="2" t="s">
        <v>1764</v>
      </c>
      <c r="C960" s="2" t="s">
        <v>153</v>
      </c>
      <c r="D960" s="2" t="s">
        <v>154</v>
      </c>
      <c r="E960" s="2" t="s">
        <v>155</v>
      </c>
      <c r="F960" s="2" t="s">
        <v>535</v>
      </c>
      <c r="G960" s="2" t="s">
        <v>425</v>
      </c>
      <c r="H960" s="2" t="s">
        <v>426</v>
      </c>
      <c r="I960" s="26">
        <v>45820</v>
      </c>
      <c r="J960" s="2">
        <v>17</v>
      </c>
      <c r="K960" s="2" t="s">
        <v>123</v>
      </c>
      <c r="L960" s="22">
        <v>1150</v>
      </c>
      <c r="M960" s="22">
        <v>19550</v>
      </c>
      <c r="N960" s="18">
        <v>20.91</v>
      </c>
      <c r="O960" s="26">
        <v>45840</v>
      </c>
      <c r="P960" s="2" t="s">
        <v>805</v>
      </c>
      <c r="Q960" s="2" t="s">
        <v>806</v>
      </c>
    </row>
    <row r="961" spans="2:17" x14ac:dyDescent="0.25">
      <c r="B961" s="2" t="s">
        <v>1765</v>
      </c>
      <c r="C961" s="2" t="s">
        <v>153</v>
      </c>
      <c r="D961" s="2" t="s">
        <v>154</v>
      </c>
      <c r="E961" s="2" t="s">
        <v>155</v>
      </c>
      <c r="F961" s="2" t="s">
        <v>535</v>
      </c>
      <c r="G961" s="2" t="s">
        <v>425</v>
      </c>
      <c r="H961" s="2" t="s">
        <v>426</v>
      </c>
      <c r="I961" s="26">
        <v>45825</v>
      </c>
      <c r="J961" s="2">
        <v>21</v>
      </c>
      <c r="K961" s="2" t="s">
        <v>123</v>
      </c>
      <c r="L961" s="22">
        <v>1150</v>
      </c>
      <c r="M961" s="22">
        <v>24150</v>
      </c>
      <c r="N961" s="18">
        <v>25.83</v>
      </c>
      <c r="O961" s="26">
        <v>45845</v>
      </c>
      <c r="P961" s="2" t="s">
        <v>805</v>
      </c>
      <c r="Q961" s="2" t="s">
        <v>806</v>
      </c>
    </row>
    <row r="962" spans="2:17" x14ac:dyDescent="0.25">
      <c r="B962" s="2" t="s">
        <v>1766</v>
      </c>
      <c r="C962" s="2" t="s">
        <v>153</v>
      </c>
      <c r="D962" s="2" t="s">
        <v>154</v>
      </c>
      <c r="E962" s="2" t="s">
        <v>155</v>
      </c>
      <c r="F962" s="2" t="s">
        <v>537</v>
      </c>
      <c r="G962" s="2" t="s">
        <v>430</v>
      </c>
      <c r="H962" s="2" t="s">
        <v>431</v>
      </c>
      <c r="I962" s="26">
        <v>45831</v>
      </c>
      <c r="J962" s="2">
        <v>17</v>
      </c>
      <c r="K962" s="2" t="s">
        <v>123</v>
      </c>
      <c r="L962" s="22">
        <v>1150</v>
      </c>
      <c r="M962" s="22">
        <v>19550</v>
      </c>
      <c r="N962" s="18">
        <v>20.91</v>
      </c>
      <c r="O962" s="26">
        <v>45851</v>
      </c>
      <c r="P962" s="2" t="s">
        <v>805</v>
      </c>
      <c r="Q962" s="2" t="s">
        <v>806</v>
      </c>
    </row>
    <row r="963" spans="2:17" x14ac:dyDescent="0.25">
      <c r="B963" s="2" t="s">
        <v>1767</v>
      </c>
      <c r="C963" s="2" t="s">
        <v>153</v>
      </c>
      <c r="D963" s="2" t="s">
        <v>154</v>
      </c>
      <c r="E963" s="2" t="s">
        <v>155</v>
      </c>
      <c r="F963" s="2" t="s">
        <v>535</v>
      </c>
      <c r="G963" s="2" t="s">
        <v>425</v>
      </c>
      <c r="H963" s="2" t="s">
        <v>426</v>
      </c>
      <c r="I963" s="26">
        <v>45838</v>
      </c>
      <c r="J963" s="2">
        <v>18</v>
      </c>
      <c r="K963" s="2" t="s">
        <v>123</v>
      </c>
      <c r="L963" s="22">
        <v>1150</v>
      </c>
      <c r="M963" s="22">
        <v>20700</v>
      </c>
      <c r="N963" s="18">
        <v>22.14</v>
      </c>
      <c r="O963" s="26">
        <v>45858</v>
      </c>
      <c r="P963" s="2" t="s">
        <v>805</v>
      </c>
      <c r="Q963" s="2" t="s">
        <v>806</v>
      </c>
    </row>
    <row r="964" spans="2:17" x14ac:dyDescent="0.25">
      <c r="B964" s="2" t="s">
        <v>1768</v>
      </c>
      <c r="C964" s="2" t="s">
        <v>156</v>
      </c>
      <c r="D964" s="2" t="s">
        <v>157</v>
      </c>
      <c r="E964" s="2" t="s">
        <v>155</v>
      </c>
      <c r="F964" s="2" t="s">
        <v>535</v>
      </c>
      <c r="G964" s="2" t="s">
        <v>425</v>
      </c>
      <c r="H964" s="2" t="s">
        <v>426</v>
      </c>
      <c r="I964" s="26">
        <v>45113</v>
      </c>
      <c r="J964" s="2">
        <v>18</v>
      </c>
      <c r="K964" s="2" t="s">
        <v>123</v>
      </c>
      <c r="L964" s="22">
        <v>1050</v>
      </c>
      <c r="M964" s="22">
        <v>18900</v>
      </c>
      <c r="N964" s="18">
        <v>20.21</v>
      </c>
      <c r="O964" s="26">
        <v>45133</v>
      </c>
      <c r="P964" s="2" t="s">
        <v>805</v>
      </c>
      <c r="Q964" s="2" t="s">
        <v>806</v>
      </c>
    </row>
    <row r="965" spans="2:17" x14ac:dyDescent="0.25">
      <c r="B965" s="2" t="s">
        <v>1769</v>
      </c>
      <c r="C965" s="2" t="s">
        <v>156</v>
      </c>
      <c r="D965" s="2" t="s">
        <v>157</v>
      </c>
      <c r="E965" s="2" t="s">
        <v>155</v>
      </c>
      <c r="F965" s="2" t="s">
        <v>537</v>
      </c>
      <c r="G965" s="2" t="s">
        <v>430</v>
      </c>
      <c r="H965" s="2" t="s">
        <v>431</v>
      </c>
      <c r="I965" s="26">
        <v>45119</v>
      </c>
      <c r="J965" s="2">
        <v>16</v>
      </c>
      <c r="K965" s="2" t="s">
        <v>123</v>
      </c>
      <c r="L965" s="22">
        <v>1200</v>
      </c>
      <c r="M965" s="22">
        <v>19200</v>
      </c>
      <c r="N965" s="18">
        <v>20.53</v>
      </c>
      <c r="O965" s="26">
        <v>45139</v>
      </c>
      <c r="P965" s="2" t="s">
        <v>805</v>
      </c>
      <c r="Q965" s="2" t="s">
        <v>806</v>
      </c>
    </row>
    <row r="966" spans="2:17" x14ac:dyDescent="0.25">
      <c r="B966" s="2" t="s">
        <v>1770</v>
      </c>
      <c r="C966" s="2" t="s">
        <v>156</v>
      </c>
      <c r="D966" s="2" t="s">
        <v>157</v>
      </c>
      <c r="E966" s="2" t="s">
        <v>155</v>
      </c>
      <c r="F966" s="2" t="s">
        <v>537</v>
      </c>
      <c r="G966" s="2" t="s">
        <v>430</v>
      </c>
      <c r="H966" s="2" t="s">
        <v>431</v>
      </c>
      <c r="I966" s="26">
        <v>45125</v>
      </c>
      <c r="J966" s="2">
        <v>21</v>
      </c>
      <c r="K966" s="2" t="s">
        <v>123</v>
      </c>
      <c r="L966" s="22">
        <v>1200</v>
      </c>
      <c r="M966" s="22">
        <v>25200</v>
      </c>
      <c r="N966" s="18">
        <v>26.95</v>
      </c>
      <c r="O966" s="26">
        <v>45145</v>
      </c>
      <c r="P966" s="2" t="s">
        <v>805</v>
      </c>
      <c r="Q966" s="2" t="s">
        <v>806</v>
      </c>
    </row>
    <row r="967" spans="2:17" x14ac:dyDescent="0.25">
      <c r="B967" s="2" t="s">
        <v>1771</v>
      </c>
      <c r="C967" s="2" t="s">
        <v>156</v>
      </c>
      <c r="D967" s="2" t="s">
        <v>157</v>
      </c>
      <c r="E967" s="2" t="s">
        <v>155</v>
      </c>
      <c r="F967" s="2" t="s">
        <v>535</v>
      </c>
      <c r="G967" s="2" t="s">
        <v>425</v>
      </c>
      <c r="H967" s="2" t="s">
        <v>426</v>
      </c>
      <c r="I967" s="26">
        <v>45132</v>
      </c>
      <c r="J967" s="2">
        <v>18</v>
      </c>
      <c r="K967" s="2" t="s">
        <v>123</v>
      </c>
      <c r="L967" s="22">
        <v>1050</v>
      </c>
      <c r="M967" s="22">
        <v>18900</v>
      </c>
      <c r="N967" s="18">
        <v>20.21</v>
      </c>
      <c r="O967" s="26">
        <v>45152</v>
      </c>
      <c r="P967" s="2" t="s">
        <v>805</v>
      </c>
      <c r="Q967" s="2" t="s">
        <v>806</v>
      </c>
    </row>
    <row r="968" spans="2:17" x14ac:dyDescent="0.25">
      <c r="B968" s="2" t="s">
        <v>1772</v>
      </c>
      <c r="C968" s="2" t="s">
        <v>156</v>
      </c>
      <c r="D968" s="2" t="s">
        <v>157</v>
      </c>
      <c r="E968" s="2" t="s">
        <v>155</v>
      </c>
      <c r="F968" s="2" t="s">
        <v>535</v>
      </c>
      <c r="G968" s="2" t="s">
        <v>425</v>
      </c>
      <c r="H968" s="2" t="s">
        <v>426</v>
      </c>
      <c r="I968" s="26">
        <v>45139</v>
      </c>
      <c r="J968" s="2">
        <v>17</v>
      </c>
      <c r="K968" s="2" t="s">
        <v>123</v>
      </c>
      <c r="L968" s="22">
        <v>1050</v>
      </c>
      <c r="M968" s="22">
        <v>17850</v>
      </c>
      <c r="N968" s="18">
        <v>19.09</v>
      </c>
      <c r="O968" s="26">
        <v>45159</v>
      </c>
      <c r="P968" s="2" t="s">
        <v>805</v>
      </c>
      <c r="Q968" s="2" t="s">
        <v>806</v>
      </c>
    </row>
    <row r="969" spans="2:17" x14ac:dyDescent="0.25">
      <c r="B969" s="2" t="s">
        <v>1773</v>
      </c>
      <c r="C969" s="2" t="s">
        <v>156</v>
      </c>
      <c r="D969" s="2" t="s">
        <v>157</v>
      </c>
      <c r="E969" s="2" t="s">
        <v>155</v>
      </c>
      <c r="F969" s="2" t="s">
        <v>535</v>
      </c>
      <c r="G969" s="2" t="s">
        <v>425</v>
      </c>
      <c r="H969" s="2" t="s">
        <v>426</v>
      </c>
      <c r="I969" s="26">
        <v>45144</v>
      </c>
      <c r="J969" s="2">
        <v>19</v>
      </c>
      <c r="K969" s="2" t="s">
        <v>123</v>
      </c>
      <c r="L969" s="22">
        <v>1050</v>
      </c>
      <c r="M969" s="22">
        <v>19950</v>
      </c>
      <c r="N969" s="18">
        <v>21.34</v>
      </c>
      <c r="O969" s="26">
        <v>45164</v>
      </c>
      <c r="P969" s="2" t="s">
        <v>805</v>
      </c>
      <c r="Q969" s="2" t="s">
        <v>806</v>
      </c>
    </row>
    <row r="970" spans="2:17" x14ac:dyDescent="0.25">
      <c r="B970" s="2" t="s">
        <v>1774</v>
      </c>
      <c r="C970" s="2" t="s">
        <v>156</v>
      </c>
      <c r="D970" s="2" t="s">
        <v>157</v>
      </c>
      <c r="E970" s="2" t="s">
        <v>155</v>
      </c>
      <c r="F970" s="2" t="s">
        <v>535</v>
      </c>
      <c r="G970" s="2" t="s">
        <v>425</v>
      </c>
      <c r="H970" s="2" t="s">
        <v>426</v>
      </c>
      <c r="I970" s="26">
        <v>45151</v>
      </c>
      <c r="J970" s="2">
        <v>20</v>
      </c>
      <c r="K970" s="2" t="s">
        <v>123</v>
      </c>
      <c r="L970" s="22">
        <v>1050</v>
      </c>
      <c r="M970" s="22">
        <v>21000</v>
      </c>
      <c r="N970" s="18">
        <v>22.46</v>
      </c>
      <c r="O970" s="26">
        <v>45171</v>
      </c>
      <c r="P970" s="2" t="s">
        <v>805</v>
      </c>
      <c r="Q970" s="2" t="s">
        <v>806</v>
      </c>
    </row>
    <row r="971" spans="2:17" x14ac:dyDescent="0.25">
      <c r="B971" s="2" t="s">
        <v>1775</v>
      </c>
      <c r="C971" s="2" t="s">
        <v>156</v>
      </c>
      <c r="D971" s="2" t="s">
        <v>157</v>
      </c>
      <c r="E971" s="2" t="s">
        <v>155</v>
      </c>
      <c r="F971" s="2" t="s">
        <v>535</v>
      </c>
      <c r="G971" s="2" t="s">
        <v>425</v>
      </c>
      <c r="H971" s="2" t="s">
        <v>426</v>
      </c>
      <c r="I971" s="26">
        <v>45158</v>
      </c>
      <c r="J971" s="2">
        <v>20</v>
      </c>
      <c r="K971" s="2" t="s">
        <v>123</v>
      </c>
      <c r="L971" s="22">
        <v>1050</v>
      </c>
      <c r="M971" s="22">
        <v>21000</v>
      </c>
      <c r="N971" s="18">
        <v>22.46</v>
      </c>
      <c r="O971" s="26">
        <v>45178</v>
      </c>
      <c r="P971" s="2" t="s">
        <v>805</v>
      </c>
      <c r="Q971" s="2" t="s">
        <v>806</v>
      </c>
    </row>
    <row r="972" spans="2:17" x14ac:dyDescent="0.25">
      <c r="B972" s="2" t="s">
        <v>1776</v>
      </c>
      <c r="C972" s="2" t="s">
        <v>156</v>
      </c>
      <c r="D972" s="2" t="s">
        <v>157</v>
      </c>
      <c r="E972" s="2" t="s">
        <v>155</v>
      </c>
      <c r="F972" s="2" t="s">
        <v>535</v>
      </c>
      <c r="G972" s="2" t="s">
        <v>425</v>
      </c>
      <c r="H972" s="2" t="s">
        <v>426</v>
      </c>
      <c r="I972" s="26">
        <v>45163</v>
      </c>
      <c r="J972" s="2">
        <v>19</v>
      </c>
      <c r="K972" s="2" t="s">
        <v>123</v>
      </c>
      <c r="L972" s="22">
        <v>1050</v>
      </c>
      <c r="M972" s="22">
        <v>19950</v>
      </c>
      <c r="N972" s="18">
        <v>21.34</v>
      </c>
      <c r="O972" s="26">
        <v>45183</v>
      </c>
      <c r="P972" s="2" t="s">
        <v>805</v>
      </c>
      <c r="Q972" s="2" t="s">
        <v>806</v>
      </c>
    </row>
    <row r="973" spans="2:17" x14ac:dyDescent="0.25">
      <c r="B973" s="2" t="s">
        <v>1777</v>
      </c>
      <c r="C973" s="2" t="s">
        <v>156</v>
      </c>
      <c r="D973" s="2" t="s">
        <v>157</v>
      </c>
      <c r="E973" s="2" t="s">
        <v>155</v>
      </c>
      <c r="F973" s="2" t="s">
        <v>535</v>
      </c>
      <c r="G973" s="2" t="s">
        <v>425</v>
      </c>
      <c r="H973" s="2" t="s">
        <v>426</v>
      </c>
      <c r="I973" s="26">
        <v>45172</v>
      </c>
      <c r="J973" s="2">
        <v>21</v>
      </c>
      <c r="K973" s="2" t="s">
        <v>123</v>
      </c>
      <c r="L973" s="22">
        <v>1050</v>
      </c>
      <c r="M973" s="22">
        <v>22050</v>
      </c>
      <c r="N973" s="18">
        <v>23.58</v>
      </c>
      <c r="O973" s="26">
        <v>45192</v>
      </c>
      <c r="P973" s="2" t="s">
        <v>805</v>
      </c>
      <c r="Q973" s="2" t="s">
        <v>814</v>
      </c>
    </row>
    <row r="974" spans="2:17" x14ac:dyDescent="0.25">
      <c r="B974" s="2" t="s">
        <v>1778</v>
      </c>
      <c r="C974" s="2" t="s">
        <v>156</v>
      </c>
      <c r="D974" s="2" t="s">
        <v>157</v>
      </c>
      <c r="E974" s="2" t="s">
        <v>155</v>
      </c>
      <c r="F974" s="2" t="s">
        <v>537</v>
      </c>
      <c r="G974" s="2" t="s">
        <v>430</v>
      </c>
      <c r="H974" s="2" t="s">
        <v>431</v>
      </c>
      <c r="I974" s="26">
        <v>45180</v>
      </c>
      <c r="J974" s="2">
        <v>23</v>
      </c>
      <c r="K974" s="2" t="s">
        <v>123</v>
      </c>
      <c r="L974" s="22">
        <v>1200</v>
      </c>
      <c r="M974" s="22">
        <v>27600</v>
      </c>
      <c r="N974" s="18">
        <v>29.52</v>
      </c>
      <c r="O974" s="26">
        <v>45200</v>
      </c>
      <c r="P974" s="2" t="s">
        <v>805</v>
      </c>
      <c r="Q974" s="2" t="s">
        <v>814</v>
      </c>
    </row>
    <row r="975" spans="2:17" x14ac:dyDescent="0.25">
      <c r="B975" s="2" t="s">
        <v>1779</v>
      </c>
      <c r="C975" s="2" t="s">
        <v>156</v>
      </c>
      <c r="D975" s="2" t="s">
        <v>157</v>
      </c>
      <c r="E975" s="2" t="s">
        <v>155</v>
      </c>
      <c r="F975" s="2" t="s">
        <v>535</v>
      </c>
      <c r="G975" s="2" t="s">
        <v>425</v>
      </c>
      <c r="H975" s="2" t="s">
        <v>426</v>
      </c>
      <c r="I975" s="26">
        <v>45185</v>
      </c>
      <c r="J975" s="2">
        <v>24</v>
      </c>
      <c r="K975" s="2" t="s">
        <v>123</v>
      </c>
      <c r="L975" s="22">
        <v>1050</v>
      </c>
      <c r="M975" s="22">
        <v>25200</v>
      </c>
      <c r="N975" s="18">
        <v>26.95</v>
      </c>
      <c r="O975" s="26">
        <v>45205</v>
      </c>
      <c r="P975" s="2" t="s">
        <v>805</v>
      </c>
      <c r="Q975" s="2" t="s">
        <v>814</v>
      </c>
    </row>
    <row r="976" spans="2:17" x14ac:dyDescent="0.25">
      <c r="B976" s="2" t="s">
        <v>1780</v>
      </c>
      <c r="C976" s="2" t="s">
        <v>156</v>
      </c>
      <c r="D976" s="2" t="s">
        <v>157</v>
      </c>
      <c r="E976" s="2" t="s">
        <v>155</v>
      </c>
      <c r="F976" s="2" t="s">
        <v>535</v>
      </c>
      <c r="G976" s="2" t="s">
        <v>425</v>
      </c>
      <c r="H976" s="2" t="s">
        <v>426</v>
      </c>
      <c r="I976" s="26">
        <v>45191</v>
      </c>
      <c r="J976" s="2">
        <v>20</v>
      </c>
      <c r="K976" s="2" t="s">
        <v>123</v>
      </c>
      <c r="L976" s="22">
        <v>1050</v>
      </c>
      <c r="M976" s="22">
        <v>21000</v>
      </c>
      <c r="N976" s="18">
        <v>22.46</v>
      </c>
      <c r="O976" s="26">
        <v>45211</v>
      </c>
      <c r="P976" s="2" t="s">
        <v>805</v>
      </c>
      <c r="Q976" s="2" t="s">
        <v>814</v>
      </c>
    </row>
    <row r="977" spans="2:17" x14ac:dyDescent="0.25">
      <c r="B977" s="2" t="s">
        <v>1781</v>
      </c>
      <c r="C977" s="2" t="s">
        <v>156</v>
      </c>
      <c r="D977" s="2" t="s">
        <v>157</v>
      </c>
      <c r="E977" s="2" t="s">
        <v>155</v>
      </c>
      <c r="F977" s="2" t="s">
        <v>535</v>
      </c>
      <c r="G977" s="2" t="s">
        <v>425</v>
      </c>
      <c r="H977" s="2" t="s">
        <v>426</v>
      </c>
      <c r="I977" s="26">
        <v>45196</v>
      </c>
      <c r="J977" s="2">
        <v>21</v>
      </c>
      <c r="K977" s="2" t="s">
        <v>123</v>
      </c>
      <c r="L977" s="22">
        <v>1050</v>
      </c>
      <c r="M977" s="22">
        <v>22050</v>
      </c>
      <c r="N977" s="18">
        <v>23.58</v>
      </c>
      <c r="O977" s="26">
        <v>45216</v>
      </c>
      <c r="P977" s="2" t="s">
        <v>805</v>
      </c>
      <c r="Q977" s="2" t="s">
        <v>814</v>
      </c>
    </row>
    <row r="978" spans="2:17" x14ac:dyDescent="0.25">
      <c r="B978" s="2" t="s">
        <v>1782</v>
      </c>
      <c r="C978" s="2" t="s">
        <v>156</v>
      </c>
      <c r="D978" s="2" t="s">
        <v>157</v>
      </c>
      <c r="E978" s="2" t="s">
        <v>155</v>
      </c>
      <c r="F978" s="2" t="s">
        <v>535</v>
      </c>
      <c r="G978" s="2" t="s">
        <v>425</v>
      </c>
      <c r="H978" s="2" t="s">
        <v>426</v>
      </c>
      <c r="I978" s="26">
        <v>45202</v>
      </c>
      <c r="J978" s="2">
        <v>50</v>
      </c>
      <c r="K978" s="2" t="s">
        <v>123</v>
      </c>
      <c r="L978" s="22">
        <v>1050</v>
      </c>
      <c r="M978" s="22">
        <v>52500</v>
      </c>
      <c r="N978" s="18">
        <v>56.15</v>
      </c>
      <c r="O978" s="26">
        <v>45222</v>
      </c>
      <c r="P978" s="2" t="s">
        <v>805</v>
      </c>
      <c r="Q978" s="2" t="s">
        <v>814</v>
      </c>
    </row>
    <row r="979" spans="2:17" x14ac:dyDescent="0.25">
      <c r="B979" s="2" t="s">
        <v>1783</v>
      </c>
      <c r="C979" s="2" t="s">
        <v>156</v>
      </c>
      <c r="D979" s="2" t="s">
        <v>157</v>
      </c>
      <c r="E979" s="2" t="s">
        <v>155</v>
      </c>
      <c r="F979" s="2" t="s">
        <v>535</v>
      </c>
      <c r="G979" s="2" t="s">
        <v>425</v>
      </c>
      <c r="H979" s="2" t="s">
        <v>426</v>
      </c>
      <c r="I979" s="26">
        <v>45209</v>
      </c>
      <c r="J979" s="2">
        <v>44</v>
      </c>
      <c r="K979" s="2" t="s">
        <v>123</v>
      </c>
      <c r="L979" s="22">
        <v>1050</v>
      </c>
      <c r="M979" s="22">
        <v>46200</v>
      </c>
      <c r="N979" s="18">
        <v>49.41</v>
      </c>
      <c r="O979" s="26">
        <v>45229</v>
      </c>
      <c r="P979" s="2" t="s">
        <v>805</v>
      </c>
      <c r="Q979" s="2" t="s">
        <v>814</v>
      </c>
    </row>
    <row r="980" spans="2:17" x14ac:dyDescent="0.25">
      <c r="B980" s="2" t="s">
        <v>1784</v>
      </c>
      <c r="C980" s="2" t="s">
        <v>156</v>
      </c>
      <c r="D980" s="2" t="s">
        <v>157</v>
      </c>
      <c r="E980" s="2" t="s">
        <v>155</v>
      </c>
      <c r="F980" s="2" t="s">
        <v>535</v>
      </c>
      <c r="G980" s="2" t="s">
        <v>425</v>
      </c>
      <c r="H980" s="2" t="s">
        <v>426</v>
      </c>
      <c r="I980" s="26">
        <v>45216</v>
      </c>
      <c r="J980" s="2">
        <v>42</v>
      </c>
      <c r="K980" s="2" t="s">
        <v>123</v>
      </c>
      <c r="L980" s="22">
        <v>1050</v>
      </c>
      <c r="M980" s="22">
        <v>44100</v>
      </c>
      <c r="N980" s="18">
        <v>47.17</v>
      </c>
      <c r="O980" s="26">
        <v>45236</v>
      </c>
      <c r="P980" s="2" t="s">
        <v>805</v>
      </c>
      <c r="Q980" s="2" t="s">
        <v>814</v>
      </c>
    </row>
    <row r="981" spans="2:17" x14ac:dyDescent="0.25">
      <c r="B981" s="2" t="s">
        <v>1785</v>
      </c>
      <c r="C981" s="2" t="s">
        <v>156</v>
      </c>
      <c r="D981" s="2" t="s">
        <v>157</v>
      </c>
      <c r="E981" s="2" t="s">
        <v>155</v>
      </c>
      <c r="F981" s="2" t="s">
        <v>535</v>
      </c>
      <c r="G981" s="2" t="s">
        <v>425</v>
      </c>
      <c r="H981" s="2" t="s">
        <v>426</v>
      </c>
      <c r="I981" s="26">
        <v>45222</v>
      </c>
      <c r="J981" s="2">
        <v>53</v>
      </c>
      <c r="K981" s="2" t="s">
        <v>123</v>
      </c>
      <c r="L981" s="22">
        <v>1050</v>
      </c>
      <c r="M981" s="22">
        <v>55650</v>
      </c>
      <c r="N981" s="18">
        <v>59.52</v>
      </c>
      <c r="O981" s="26">
        <v>45242</v>
      </c>
      <c r="P981" s="2" t="s">
        <v>805</v>
      </c>
      <c r="Q981" s="2" t="s">
        <v>814</v>
      </c>
    </row>
    <row r="982" spans="2:17" x14ac:dyDescent="0.25">
      <c r="B982" s="2" t="s">
        <v>1786</v>
      </c>
      <c r="C982" s="2" t="s">
        <v>156</v>
      </c>
      <c r="D982" s="2" t="s">
        <v>157</v>
      </c>
      <c r="E982" s="2" t="s">
        <v>155</v>
      </c>
      <c r="F982" s="2" t="s">
        <v>535</v>
      </c>
      <c r="G982" s="2" t="s">
        <v>425</v>
      </c>
      <c r="H982" s="2" t="s">
        <v>426</v>
      </c>
      <c r="I982" s="26">
        <v>45228</v>
      </c>
      <c r="J982" s="2">
        <v>50</v>
      </c>
      <c r="K982" s="2" t="s">
        <v>123</v>
      </c>
      <c r="L982" s="22">
        <v>1050</v>
      </c>
      <c r="M982" s="22">
        <v>52500</v>
      </c>
      <c r="N982" s="18">
        <v>56.15</v>
      </c>
      <c r="O982" s="26">
        <v>45248</v>
      </c>
      <c r="P982" s="2" t="s">
        <v>805</v>
      </c>
      <c r="Q982" s="2" t="s">
        <v>814</v>
      </c>
    </row>
    <row r="983" spans="2:17" x14ac:dyDescent="0.25">
      <c r="B983" s="2" t="s">
        <v>1787</v>
      </c>
      <c r="C983" s="2" t="s">
        <v>156</v>
      </c>
      <c r="D983" s="2" t="s">
        <v>157</v>
      </c>
      <c r="E983" s="2" t="s">
        <v>155</v>
      </c>
      <c r="F983" s="2" t="s">
        <v>535</v>
      </c>
      <c r="G983" s="2" t="s">
        <v>425</v>
      </c>
      <c r="H983" s="2" t="s">
        <v>426</v>
      </c>
      <c r="I983" s="26">
        <v>45234</v>
      </c>
      <c r="J983" s="2">
        <v>42</v>
      </c>
      <c r="K983" s="2" t="s">
        <v>123</v>
      </c>
      <c r="L983" s="22">
        <v>1050</v>
      </c>
      <c r="M983" s="22">
        <v>44100</v>
      </c>
      <c r="N983" s="18">
        <v>47.17</v>
      </c>
      <c r="O983" s="26">
        <v>45254</v>
      </c>
      <c r="P983" s="2" t="s">
        <v>805</v>
      </c>
      <c r="Q983" s="2" t="s">
        <v>814</v>
      </c>
    </row>
    <row r="984" spans="2:17" x14ac:dyDescent="0.25">
      <c r="B984" s="2" t="s">
        <v>1788</v>
      </c>
      <c r="C984" s="2" t="s">
        <v>156</v>
      </c>
      <c r="D984" s="2" t="s">
        <v>157</v>
      </c>
      <c r="E984" s="2" t="s">
        <v>155</v>
      </c>
      <c r="F984" s="2" t="s">
        <v>535</v>
      </c>
      <c r="G984" s="2" t="s">
        <v>425</v>
      </c>
      <c r="H984" s="2" t="s">
        <v>426</v>
      </c>
      <c r="I984" s="26">
        <v>45241</v>
      </c>
      <c r="J984" s="2">
        <v>41</v>
      </c>
      <c r="K984" s="2" t="s">
        <v>123</v>
      </c>
      <c r="L984" s="22">
        <v>1050</v>
      </c>
      <c r="M984" s="22">
        <v>43050</v>
      </c>
      <c r="N984" s="18">
        <v>46.04</v>
      </c>
      <c r="O984" s="26">
        <v>45261</v>
      </c>
      <c r="P984" s="2" t="s">
        <v>805</v>
      </c>
      <c r="Q984" s="2" t="s">
        <v>814</v>
      </c>
    </row>
    <row r="985" spans="2:17" x14ac:dyDescent="0.25">
      <c r="B985" s="2" t="s">
        <v>1789</v>
      </c>
      <c r="C985" s="2" t="s">
        <v>156</v>
      </c>
      <c r="D985" s="2" t="s">
        <v>157</v>
      </c>
      <c r="E985" s="2" t="s">
        <v>155</v>
      </c>
      <c r="F985" s="2" t="s">
        <v>535</v>
      </c>
      <c r="G985" s="2" t="s">
        <v>425</v>
      </c>
      <c r="H985" s="2" t="s">
        <v>426</v>
      </c>
      <c r="I985" s="26">
        <v>45250</v>
      </c>
      <c r="J985" s="2">
        <v>47</v>
      </c>
      <c r="K985" s="2" t="s">
        <v>123</v>
      </c>
      <c r="L985" s="22">
        <v>1050</v>
      </c>
      <c r="M985" s="22">
        <v>49350</v>
      </c>
      <c r="N985" s="18">
        <v>52.78</v>
      </c>
      <c r="O985" s="26">
        <v>45270</v>
      </c>
      <c r="P985" s="2" t="s">
        <v>805</v>
      </c>
      <c r="Q985" s="2" t="s">
        <v>814</v>
      </c>
    </row>
    <row r="986" spans="2:17" x14ac:dyDescent="0.25">
      <c r="B986" s="2" t="s">
        <v>1790</v>
      </c>
      <c r="C986" s="2" t="s">
        <v>156</v>
      </c>
      <c r="D986" s="2" t="s">
        <v>157</v>
      </c>
      <c r="E986" s="2" t="s">
        <v>155</v>
      </c>
      <c r="F986" s="2" t="s">
        <v>535</v>
      </c>
      <c r="G986" s="2" t="s">
        <v>425</v>
      </c>
      <c r="H986" s="2" t="s">
        <v>426</v>
      </c>
      <c r="I986" s="26">
        <v>45257</v>
      </c>
      <c r="J986" s="2">
        <v>47</v>
      </c>
      <c r="K986" s="2" t="s">
        <v>123</v>
      </c>
      <c r="L986" s="22">
        <v>1050</v>
      </c>
      <c r="M986" s="22">
        <v>49350</v>
      </c>
      <c r="N986" s="18">
        <v>52.78</v>
      </c>
      <c r="O986" s="26">
        <v>45277</v>
      </c>
      <c r="P986" s="2" t="s">
        <v>805</v>
      </c>
      <c r="Q986" s="2" t="s">
        <v>814</v>
      </c>
    </row>
    <row r="987" spans="2:17" x14ac:dyDescent="0.25">
      <c r="B987" s="2" t="s">
        <v>1791</v>
      </c>
      <c r="C987" s="2" t="s">
        <v>156</v>
      </c>
      <c r="D987" s="2" t="s">
        <v>157</v>
      </c>
      <c r="E987" s="2" t="s">
        <v>155</v>
      </c>
      <c r="F987" s="2" t="s">
        <v>535</v>
      </c>
      <c r="G987" s="2" t="s">
        <v>425</v>
      </c>
      <c r="H987" s="2" t="s">
        <v>426</v>
      </c>
      <c r="I987" s="26">
        <v>45264</v>
      </c>
      <c r="J987" s="2">
        <v>57</v>
      </c>
      <c r="K987" s="2" t="s">
        <v>123</v>
      </c>
      <c r="L987" s="22">
        <v>1050</v>
      </c>
      <c r="M987" s="22">
        <v>59850</v>
      </c>
      <c r="N987" s="18">
        <v>64.010000000000005</v>
      </c>
      <c r="O987" s="26">
        <v>45284</v>
      </c>
      <c r="P987" s="2" t="s">
        <v>805</v>
      </c>
      <c r="Q987" s="2" t="s">
        <v>825</v>
      </c>
    </row>
    <row r="988" spans="2:17" x14ac:dyDescent="0.25">
      <c r="B988" s="2" t="s">
        <v>1792</v>
      </c>
      <c r="C988" s="2" t="s">
        <v>156</v>
      </c>
      <c r="D988" s="2" t="s">
        <v>157</v>
      </c>
      <c r="E988" s="2" t="s">
        <v>155</v>
      </c>
      <c r="F988" s="2" t="s">
        <v>535</v>
      </c>
      <c r="G988" s="2" t="s">
        <v>425</v>
      </c>
      <c r="H988" s="2" t="s">
        <v>426</v>
      </c>
      <c r="I988" s="26">
        <v>45269</v>
      </c>
      <c r="J988" s="2">
        <v>61</v>
      </c>
      <c r="K988" s="2" t="s">
        <v>123</v>
      </c>
      <c r="L988" s="22">
        <v>1050</v>
      </c>
      <c r="M988" s="22">
        <v>64050</v>
      </c>
      <c r="N988" s="18">
        <v>68.5</v>
      </c>
      <c r="O988" s="26">
        <v>45289</v>
      </c>
      <c r="P988" s="2" t="s">
        <v>805</v>
      </c>
      <c r="Q988" s="2" t="s">
        <v>825</v>
      </c>
    </row>
    <row r="989" spans="2:17" x14ac:dyDescent="0.25">
      <c r="B989" s="2" t="s">
        <v>1793</v>
      </c>
      <c r="C989" s="2" t="s">
        <v>156</v>
      </c>
      <c r="D989" s="2" t="s">
        <v>157</v>
      </c>
      <c r="E989" s="2" t="s">
        <v>155</v>
      </c>
      <c r="F989" s="2" t="s">
        <v>535</v>
      </c>
      <c r="G989" s="2" t="s">
        <v>425</v>
      </c>
      <c r="H989" s="2" t="s">
        <v>426</v>
      </c>
      <c r="I989" s="26">
        <v>45276</v>
      </c>
      <c r="J989" s="2">
        <v>55</v>
      </c>
      <c r="K989" s="2" t="s">
        <v>123</v>
      </c>
      <c r="L989" s="22">
        <v>1050</v>
      </c>
      <c r="M989" s="22">
        <v>57750</v>
      </c>
      <c r="N989" s="18">
        <v>61.76</v>
      </c>
      <c r="O989" s="26">
        <v>45296</v>
      </c>
      <c r="P989" s="2" t="s">
        <v>805</v>
      </c>
      <c r="Q989" s="2" t="s">
        <v>825</v>
      </c>
    </row>
    <row r="990" spans="2:17" x14ac:dyDescent="0.25">
      <c r="B990" s="2" t="s">
        <v>1794</v>
      </c>
      <c r="C990" s="2" t="s">
        <v>156</v>
      </c>
      <c r="D990" s="2" t="s">
        <v>157</v>
      </c>
      <c r="E990" s="2" t="s">
        <v>155</v>
      </c>
      <c r="F990" s="2" t="s">
        <v>535</v>
      </c>
      <c r="G990" s="2" t="s">
        <v>425</v>
      </c>
      <c r="H990" s="2" t="s">
        <v>426</v>
      </c>
      <c r="I990" s="26">
        <v>45282</v>
      </c>
      <c r="J990" s="2">
        <v>67</v>
      </c>
      <c r="K990" s="2" t="s">
        <v>123</v>
      </c>
      <c r="L990" s="22">
        <v>1050</v>
      </c>
      <c r="M990" s="22">
        <v>70350</v>
      </c>
      <c r="N990" s="18">
        <v>75.239999999999995</v>
      </c>
      <c r="O990" s="26">
        <v>45302</v>
      </c>
      <c r="P990" s="2" t="s">
        <v>805</v>
      </c>
      <c r="Q990" s="2" t="s">
        <v>825</v>
      </c>
    </row>
    <row r="991" spans="2:17" x14ac:dyDescent="0.25">
      <c r="B991" s="2" t="s">
        <v>1795</v>
      </c>
      <c r="C991" s="2" t="s">
        <v>156</v>
      </c>
      <c r="D991" s="2" t="s">
        <v>157</v>
      </c>
      <c r="E991" s="2" t="s">
        <v>155</v>
      </c>
      <c r="F991" s="2" t="s">
        <v>535</v>
      </c>
      <c r="G991" s="2" t="s">
        <v>425</v>
      </c>
      <c r="H991" s="2" t="s">
        <v>426</v>
      </c>
      <c r="I991" s="26">
        <v>45289</v>
      </c>
      <c r="J991" s="2">
        <v>54</v>
      </c>
      <c r="K991" s="2" t="s">
        <v>123</v>
      </c>
      <c r="L991" s="22">
        <v>1050</v>
      </c>
      <c r="M991" s="22">
        <v>56700</v>
      </c>
      <c r="N991" s="18">
        <v>60.64</v>
      </c>
      <c r="O991" s="26">
        <v>45309</v>
      </c>
      <c r="P991" s="2" t="s">
        <v>805</v>
      </c>
      <c r="Q991" s="2" t="s">
        <v>825</v>
      </c>
    </row>
    <row r="992" spans="2:17" x14ac:dyDescent="0.25">
      <c r="B992" s="2" t="s">
        <v>1796</v>
      </c>
      <c r="C992" s="2" t="s">
        <v>156</v>
      </c>
      <c r="D992" s="2" t="s">
        <v>157</v>
      </c>
      <c r="E992" s="2" t="s">
        <v>155</v>
      </c>
      <c r="F992" s="2" t="s">
        <v>535</v>
      </c>
      <c r="G992" s="2" t="s">
        <v>425</v>
      </c>
      <c r="H992" s="2" t="s">
        <v>426</v>
      </c>
      <c r="I992" s="26">
        <v>45296</v>
      </c>
      <c r="J992" s="2">
        <v>52</v>
      </c>
      <c r="K992" s="2" t="s">
        <v>123</v>
      </c>
      <c r="L992" s="22">
        <v>1050</v>
      </c>
      <c r="M992" s="22">
        <v>54600</v>
      </c>
      <c r="N992" s="18">
        <v>58.4</v>
      </c>
      <c r="O992" s="26">
        <v>45316</v>
      </c>
      <c r="P992" s="2" t="s">
        <v>805</v>
      </c>
      <c r="Q992" s="2" t="s">
        <v>825</v>
      </c>
    </row>
    <row r="993" spans="2:17" x14ac:dyDescent="0.25">
      <c r="B993" s="2" t="s">
        <v>1797</v>
      </c>
      <c r="C993" s="2" t="s">
        <v>156</v>
      </c>
      <c r="D993" s="2" t="s">
        <v>157</v>
      </c>
      <c r="E993" s="2" t="s">
        <v>155</v>
      </c>
      <c r="F993" s="2" t="s">
        <v>537</v>
      </c>
      <c r="G993" s="2" t="s">
        <v>430</v>
      </c>
      <c r="H993" s="2" t="s">
        <v>431</v>
      </c>
      <c r="I993" s="26">
        <v>45302</v>
      </c>
      <c r="J993" s="2">
        <v>55</v>
      </c>
      <c r="K993" s="2" t="s">
        <v>123</v>
      </c>
      <c r="L993" s="22">
        <v>1200</v>
      </c>
      <c r="M993" s="22">
        <v>66000</v>
      </c>
      <c r="N993" s="18">
        <v>70.59</v>
      </c>
      <c r="O993" s="26">
        <v>45322</v>
      </c>
      <c r="P993" s="2" t="s">
        <v>805</v>
      </c>
      <c r="Q993" s="2" t="s">
        <v>825</v>
      </c>
    </row>
    <row r="994" spans="2:17" x14ac:dyDescent="0.25">
      <c r="B994" s="2" t="s">
        <v>1798</v>
      </c>
      <c r="C994" s="2" t="s">
        <v>156</v>
      </c>
      <c r="D994" s="2" t="s">
        <v>157</v>
      </c>
      <c r="E994" s="2" t="s">
        <v>155</v>
      </c>
      <c r="F994" s="2" t="s">
        <v>535</v>
      </c>
      <c r="G994" s="2" t="s">
        <v>425</v>
      </c>
      <c r="H994" s="2" t="s">
        <v>426</v>
      </c>
      <c r="I994" s="26">
        <v>45309</v>
      </c>
      <c r="J994" s="2">
        <v>46</v>
      </c>
      <c r="K994" s="2" t="s">
        <v>123</v>
      </c>
      <c r="L994" s="22">
        <v>1050</v>
      </c>
      <c r="M994" s="22">
        <v>48300</v>
      </c>
      <c r="N994" s="18">
        <v>51.66</v>
      </c>
      <c r="O994" s="26">
        <v>45329</v>
      </c>
      <c r="P994" s="2" t="s">
        <v>805</v>
      </c>
      <c r="Q994" s="2" t="s">
        <v>825</v>
      </c>
    </row>
    <row r="995" spans="2:17" x14ac:dyDescent="0.25">
      <c r="B995" s="2" t="s">
        <v>1799</v>
      </c>
      <c r="C995" s="2" t="s">
        <v>156</v>
      </c>
      <c r="D995" s="2" t="s">
        <v>157</v>
      </c>
      <c r="E995" s="2" t="s">
        <v>155</v>
      </c>
      <c r="F995" s="2" t="s">
        <v>535</v>
      </c>
      <c r="G995" s="2" t="s">
        <v>425</v>
      </c>
      <c r="H995" s="2" t="s">
        <v>426</v>
      </c>
      <c r="I995" s="26">
        <v>45313</v>
      </c>
      <c r="J995" s="2">
        <v>43</v>
      </c>
      <c r="K995" s="2" t="s">
        <v>123</v>
      </c>
      <c r="L995" s="22">
        <v>1050</v>
      </c>
      <c r="M995" s="22">
        <v>45150</v>
      </c>
      <c r="N995" s="18">
        <v>48.29</v>
      </c>
      <c r="O995" s="26">
        <v>45333</v>
      </c>
      <c r="P995" s="2" t="s">
        <v>805</v>
      </c>
      <c r="Q995" s="2" t="s">
        <v>825</v>
      </c>
    </row>
    <row r="996" spans="2:17" x14ac:dyDescent="0.25">
      <c r="B996" s="2" t="s">
        <v>1800</v>
      </c>
      <c r="C996" s="2" t="s">
        <v>156</v>
      </c>
      <c r="D996" s="2" t="s">
        <v>157</v>
      </c>
      <c r="E996" s="2" t="s">
        <v>155</v>
      </c>
      <c r="F996" s="2" t="s">
        <v>535</v>
      </c>
      <c r="G996" s="2" t="s">
        <v>425</v>
      </c>
      <c r="H996" s="2" t="s">
        <v>426</v>
      </c>
      <c r="I996" s="26">
        <v>45319</v>
      </c>
      <c r="J996" s="2">
        <v>52</v>
      </c>
      <c r="K996" s="2" t="s">
        <v>123</v>
      </c>
      <c r="L996" s="22">
        <v>1050</v>
      </c>
      <c r="M996" s="22">
        <v>54600</v>
      </c>
      <c r="N996" s="18">
        <v>58.4</v>
      </c>
      <c r="O996" s="26">
        <v>45339</v>
      </c>
      <c r="P996" s="2" t="s">
        <v>805</v>
      </c>
      <c r="Q996" s="2" t="s">
        <v>825</v>
      </c>
    </row>
    <row r="997" spans="2:17" x14ac:dyDescent="0.25">
      <c r="B997" s="2" t="s">
        <v>1801</v>
      </c>
      <c r="C997" s="2" t="s">
        <v>156</v>
      </c>
      <c r="D997" s="2" t="s">
        <v>157</v>
      </c>
      <c r="E997" s="2" t="s">
        <v>155</v>
      </c>
      <c r="F997" s="2" t="s">
        <v>535</v>
      </c>
      <c r="G997" s="2" t="s">
        <v>425</v>
      </c>
      <c r="H997" s="2" t="s">
        <v>426</v>
      </c>
      <c r="I997" s="26">
        <v>45327</v>
      </c>
      <c r="J997" s="2">
        <v>54</v>
      </c>
      <c r="K997" s="2" t="s">
        <v>123</v>
      </c>
      <c r="L997" s="22">
        <v>1050</v>
      </c>
      <c r="M997" s="22">
        <v>56700</v>
      </c>
      <c r="N997" s="18">
        <v>60.64</v>
      </c>
      <c r="O997" s="26">
        <v>45347</v>
      </c>
      <c r="P997" s="2" t="s">
        <v>805</v>
      </c>
      <c r="Q997" s="2" t="s">
        <v>825</v>
      </c>
    </row>
    <row r="998" spans="2:17" x14ac:dyDescent="0.25">
      <c r="B998" s="2" t="s">
        <v>1802</v>
      </c>
      <c r="C998" s="2" t="s">
        <v>156</v>
      </c>
      <c r="D998" s="2" t="s">
        <v>157</v>
      </c>
      <c r="E998" s="2" t="s">
        <v>155</v>
      </c>
      <c r="F998" s="2" t="s">
        <v>535</v>
      </c>
      <c r="G998" s="2" t="s">
        <v>425</v>
      </c>
      <c r="H998" s="2" t="s">
        <v>426</v>
      </c>
      <c r="I998" s="26">
        <v>45332</v>
      </c>
      <c r="J998" s="2">
        <v>54</v>
      </c>
      <c r="K998" s="2" t="s">
        <v>123</v>
      </c>
      <c r="L998" s="22">
        <v>1050</v>
      </c>
      <c r="M998" s="22">
        <v>56700</v>
      </c>
      <c r="N998" s="18">
        <v>60.64</v>
      </c>
      <c r="O998" s="26">
        <v>45352</v>
      </c>
      <c r="P998" s="2" t="s">
        <v>805</v>
      </c>
      <c r="Q998" s="2" t="s">
        <v>825</v>
      </c>
    </row>
    <row r="999" spans="2:17" x14ac:dyDescent="0.25">
      <c r="B999" s="2" t="s">
        <v>1803</v>
      </c>
      <c r="C999" s="2" t="s">
        <v>156</v>
      </c>
      <c r="D999" s="2" t="s">
        <v>157</v>
      </c>
      <c r="E999" s="2" t="s">
        <v>155</v>
      </c>
      <c r="F999" s="2" t="s">
        <v>535</v>
      </c>
      <c r="G999" s="2" t="s">
        <v>425</v>
      </c>
      <c r="H999" s="2" t="s">
        <v>426</v>
      </c>
      <c r="I999" s="26">
        <v>45340</v>
      </c>
      <c r="J999" s="2">
        <v>47</v>
      </c>
      <c r="K999" s="2" t="s">
        <v>123</v>
      </c>
      <c r="L999" s="22">
        <v>1050</v>
      </c>
      <c r="M999" s="22">
        <v>49350</v>
      </c>
      <c r="N999" s="18">
        <v>52.78</v>
      </c>
      <c r="O999" s="26">
        <v>45360</v>
      </c>
      <c r="P999" s="2" t="s">
        <v>805</v>
      </c>
      <c r="Q999" s="2" t="s">
        <v>825</v>
      </c>
    </row>
    <row r="1000" spans="2:17" x14ac:dyDescent="0.25">
      <c r="B1000" s="2" t="s">
        <v>1804</v>
      </c>
      <c r="C1000" s="2" t="s">
        <v>156</v>
      </c>
      <c r="D1000" s="2" t="s">
        <v>157</v>
      </c>
      <c r="E1000" s="2" t="s">
        <v>155</v>
      </c>
      <c r="F1000" s="2" t="s">
        <v>535</v>
      </c>
      <c r="G1000" s="2" t="s">
        <v>425</v>
      </c>
      <c r="H1000" s="2" t="s">
        <v>426</v>
      </c>
      <c r="I1000" s="26">
        <v>45347</v>
      </c>
      <c r="J1000" s="2">
        <v>44</v>
      </c>
      <c r="K1000" s="2" t="s">
        <v>123</v>
      </c>
      <c r="L1000" s="22">
        <v>1050</v>
      </c>
      <c r="M1000" s="22">
        <v>46200</v>
      </c>
      <c r="N1000" s="18">
        <v>49.41</v>
      </c>
      <c r="O1000" s="26">
        <v>45367</v>
      </c>
      <c r="P1000" s="2" t="s">
        <v>805</v>
      </c>
      <c r="Q1000" s="2" t="s">
        <v>825</v>
      </c>
    </row>
    <row r="1001" spans="2:17" x14ac:dyDescent="0.25">
      <c r="B1001" s="2" t="s">
        <v>1805</v>
      </c>
      <c r="C1001" s="2" t="s">
        <v>156</v>
      </c>
      <c r="D1001" s="2" t="s">
        <v>157</v>
      </c>
      <c r="E1001" s="2" t="s">
        <v>155</v>
      </c>
      <c r="F1001" s="2" t="s">
        <v>535</v>
      </c>
      <c r="G1001" s="2" t="s">
        <v>425</v>
      </c>
      <c r="H1001" s="2" t="s">
        <v>426</v>
      </c>
      <c r="I1001" s="26">
        <v>45355</v>
      </c>
      <c r="J1001" s="2">
        <v>42</v>
      </c>
      <c r="K1001" s="2" t="s">
        <v>123</v>
      </c>
      <c r="L1001" s="22">
        <v>1050</v>
      </c>
      <c r="M1001" s="22">
        <v>44100</v>
      </c>
      <c r="N1001" s="18">
        <v>47.17</v>
      </c>
      <c r="O1001" s="26">
        <v>45375</v>
      </c>
      <c r="P1001" s="2" t="s">
        <v>805</v>
      </c>
      <c r="Q1001" s="2" t="s">
        <v>836</v>
      </c>
    </row>
    <row r="1002" spans="2:17" x14ac:dyDescent="0.25">
      <c r="B1002" s="2" t="s">
        <v>1806</v>
      </c>
      <c r="C1002" s="2" t="s">
        <v>156</v>
      </c>
      <c r="D1002" s="2" t="s">
        <v>157</v>
      </c>
      <c r="E1002" s="2" t="s">
        <v>155</v>
      </c>
      <c r="F1002" s="2" t="s">
        <v>537</v>
      </c>
      <c r="G1002" s="2" t="s">
        <v>430</v>
      </c>
      <c r="H1002" s="2" t="s">
        <v>431</v>
      </c>
      <c r="I1002" s="26">
        <v>45360</v>
      </c>
      <c r="J1002" s="2">
        <v>53</v>
      </c>
      <c r="K1002" s="2" t="s">
        <v>123</v>
      </c>
      <c r="L1002" s="22">
        <v>1200</v>
      </c>
      <c r="M1002" s="22">
        <v>63600</v>
      </c>
      <c r="N1002" s="18">
        <v>68.02</v>
      </c>
      <c r="O1002" s="26">
        <v>45380</v>
      </c>
      <c r="P1002" s="2" t="s">
        <v>805</v>
      </c>
      <c r="Q1002" s="2" t="s">
        <v>836</v>
      </c>
    </row>
    <row r="1003" spans="2:17" x14ac:dyDescent="0.25">
      <c r="B1003" s="2" t="s">
        <v>1807</v>
      </c>
      <c r="C1003" s="2" t="s">
        <v>156</v>
      </c>
      <c r="D1003" s="2" t="s">
        <v>157</v>
      </c>
      <c r="E1003" s="2" t="s">
        <v>155</v>
      </c>
      <c r="F1003" s="2" t="s">
        <v>535</v>
      </c>
      <c r="G1003" s="2" t="s">
        <v>425</v>
      </c>
      <c r="H1003" s="2" t="s">
        <v>426</v>
      </c>
      <c r="I1003" s="26">
        <v>45366</v>
      </c>
      <c r="J1003" s="2">
        <v>48</v>
      </c>
      <c r="K1003" s="2" t="s">
        <v>123</v>
      </c>
      <c r="L1003" s="22">
        <v>1050</v>
      </c>
      <c r="M1003" s="22">
        <v>50400</v>
      </c>
      <c r="N1003" s="18">
        <v>53.9</v>
      </c>
      <c r="O1003" s="26">
        <v>45386</v>
      </c>
      <c r="P1003" s="2" t="s">
        <v>805</v>
      </c>
      <c r="Q1003" s="2" t="s">
        <v>836</v>
      </c>
    </row>
    <row r="1004" spans="2:17" x14ac:dyDescent="0.25">
      <c r="B1004" s="2" t="s">
        <v>1808</v>
      </c>
      <c r="C1004" s="2" t="s">
        <v>156</v>
      </c>
      <c r="D1004" s="2" t="s">
        <v>157</v>
      </c>
      <c r="E1004" s="2" t="s">
        <v>155</v>
      </c>
      <c r="F1004" s="2" t="s">
        <v>535</v>
      </c>
      <c r="G1004" s="2" t="s">
        <v>425</v>
      </c>
      <c r="H1004" s="2" t="s">
        <v>426</v>
      </c>
      <c r="I1004" s="26">
        <v>45373</v>
      </c>
      <c r="J1004" s="2">
        <v>44</v>
      </c>
      <c r="K1004" s="2" t="s">
        <v>123</v>
      </c>
      <c r="L1004" s="22">
        <v>1050</v>
      </c>
      <c r="M1004" s="22">
        <v>46200</v>
      </c>
      <c r="N1004" s="18">
        <v>49.41</v>
      </c>
      <c r="O1004" s="26">
        <v>45393</v>
      </c>
      <c r="P1004" s="2" t="s">
        <v>805</v>
      </c>
      <c r="Q1004" s="2" t="s">
        <v>836</v>
      </c>
    </row>
    <row r="1005" spans="2:17" x14ac:dyDescent="0.25">
      <c r="B1005" s="2" t="s">
        <v>1809</v>
      </c>
      <c r="C1005" s="2" t="s">
        <v>156</v>
      </c>
      <c r="D1005" s="2" t="s">
        <v>157</v>
      </c>
      <c r="E1005" s="2" t="s">
        <v>155</v>
      </c>
      <c r="F1005" s="2" t="s">
        <v>535</v>
      </c>
      <c r="G1005" s="2" t="s">
        <v>425</v>
      </c>
      <c r="H1005" s="2" t="s">
        <v>426</v>
      </c>
      <c r="I1005" s="26">
        <v>45380</v>
      </c>
      <c r="J1005" s="2">
        <v>52</v>
      </c>
      <c r="K1005" s="2" t="s">
        <v>123</v>
      </c>
      <c r="L1005" s="22">
        <v>1050</v>
      </c>
      <c r="M1005" s="22">
        <v>54600</v>
      </c>
      <c r="N1005" s="18">
        <v>58.4</v>
      </c>
      <c r="O1005" s="26">
        <v>45400</v>
      </c>
      <c r="P1005" s="2" t="s">
        <v>805</v>
      </c>
      <c r="Q1005" s="2" t="s">
        <v>836</v>
      </c>
    </row>
    <row r="1006" spans="2:17" x14ac:dyDescent="0.25">
      <c r="B1006" s="2" t="s">
        <v>1810</v>
      </c>
      <c r="C1006" s="2" t="s">
        <v>156</v>
      </c>
      <c r="D1006" s="2" t="s">
        <v>157</v>
      </c>
      <c r="E1006" s="2" t="s">
        <v>155</v>
      </c>
      <c r="F1006" s="2" t="s">
        <v>535</v>
      </c>
      <c r="G1006" s="2" t="s">
        <v>425</v>
      </c>
      <c r="H1006" s="2" t="s">
        <v>426</v>
      </c>
      <c r="I1006" s="26">
        <v>45387</v>
      </c>
      <c r="J1006" s="2">
        <v>17</v>
      </c>
      <c r="K1006" s="2" t="s">
        <v>123</v>
      </c>
      <c r="L1006" s="22">
        <v>1050</v>
      </c>
      <c r="M1006" s="22">
        <v>17850</v>
      </c>
      <c r="N1006" s="18">
        <v>19.09</v>
      </c>
      <c r="O1006" s="26">
        <v>45407</v>
      </c>
      <c r="P1006" s="2" t="s">
        <v>805</v>
      </c>
      <c r="Q1006" s="2" t="s">
        <v>836</v>
      </c>
    </row>
    <row r="1007" spans="2:17" x14ac:dyDescent="0.25">
      <c r="B1007" s="2" t="s">
        <v>1811</v>
      </c>
      <c r="C1007" s="2" t="s">
        <v>156</v>
      </c>
      <c r="D1007" s="2" t="s">
        <v>157</v>
      </c>
      <c r="E1007" s="2" t="s">
        <v>155</v>
      </c>
      <c r="F1007" s="2" t="s">
        <v>537</v>
      </c>
      <c r="G1007" s="2" t="s">
        <v>430</v>
      </c>
      <c r="H1007" s="2" t="s">
        <v>431</v>
      </c>
      <c r="I1007" s="26">
        <v>45395</v>
      </c>
      <c r="J1007" s="2">
        <v>20</v>
      </c>
      <c r="K1007" s="2" t="s">
        <v>123</v>
      </c>
      <c r="L1007" s="22">
        <v>1200</v>
      </c>
      <c r="M1007" s="22">
        <v>24000</v>
      </c>
      <c r="N1007" s="18">
        <v>25.67</v>
      </c>
      <c r="O1007" s="26">
        <v>45415</v>
      </c>
      <c r="P1007" s="2" t="s">
        <v>805</v>
      </c>
      <c r="Q1007" s="2" t="s">
        <v>836</v>
      </c>
    </row>
    <row r="1008" spans="2:17" x14ac:dyDescent="0.25">
      <c r="B1008" s="2" t="s">
        <v>1812</v>
      </c>
      <c r="C1008" s="2" t="s">
        <v>156</v>
      </c>
      <c r="D1008" s="2" t="s">
        <v>157</v>
      </c>
      <c r="E1008" s="2" t="s">
        <v>155</v>
      </c>
      <c r="F1008" s="2" t="s">
        <v>535</v>
      </c>
      <c r="G1008" s="2" t="s">
        <v>425</v>
      </c>
      <c r="H1008" s="2" t="s">
        <v>426</v>
      </c>
      <c r="I1008" s="26">
        <v>45401</v>
      </c>
      <c r="J1008" s="2">
        <v>17</v>
      </c>
      <c r="K1008" s="2" t="s">
        <v>123</v>
      </c>
      <c r="L1008" s="22">
        <v>1050</v>
      </c>
      <c r="M1008" s="22">
        <v>17850</v>
      </c>
      <c r="N1008" s="18">
        <v>19.09</v>
      </c>
      <c r="O1008" s="26">
        <v>45421</v>
      </c>
      <c r="P1008" s="2" t="s">
        <v>805</v>
      </c>
      <c r="Q1008" s="2" t="s">
        <v>836</v>
      </c>
    </row>
    <row r="1009" spans="2:17" x14ac:dyDescent="0.25">
      <c r="B1009" s="2" t="s">
        <v>1813</v>
      </c>
      <c r="C1009" s="2" t="s">
        <v>156</v>
      </c>
      <c r="D1009" s="2" t="s">
        <v>157</v>
      </c>
      <c r="E1009" s="2" t="s">
        <v>155</v>
      </c>
      <c r="F1009" s="2" t="s">
        <v>535</v>
      </c>
      <c r="G1009" s="2" t="s">
        <v>425</v>
      </c>
      <c r="H1009" s="2" t="s">
        <v>426</v>
      </c>
      <c r="I1009" s="26">
        <v>45408</v>
      </c>
      <c r="J1009" s="2">
        <v>19</v>
      </c>
      <c r="K1009" s="2" t="s">
        <v>123</v>
      </c>
      <c r="L1009" s="22">
        <v>1050</v>
      </c>
      <c r="M1009" s="22">
        <v>19950</v>
      </c>
      <c r="N1009" s="18">
        <v>21.34</v>
      </c>
      <c r="O1009" s="26">
        <v>45428</v>
      </c>
      <c r="P1009" s="2" t="s">
        <v>805</v>
      </c>
      <c r="Q1009" s="2" t="s">
        <v>836</v>
      </c>
    </row>
    <row r="1010" spans="2:17" x14ac:dyDescent="0.25">
      <c r="B1010" s="2" t="s">
        <v>1814</v>
      </c>
      <c r="C1010" s="2" t="s">
        <v>156</v>
      </c>
      <c r="D1010" s="2" t="s">
        <v>157</v>
      </c>
      <c r="E1010" s="2" t="s">
        <v>155</v>
      </c>
      <c r="F1010" s="2" t="s">
        <v>535</v>
      </c>
      <c r="G1010" s="2" t="s">
        <v>425</v>
      </c>
      <c r="H1010" s="2" t="s">
        <v>426</v>
      </c>
      <c r="I1010" s="26">
        <v>45415</v>
      </c>
      <c r="J1010" s="2">
        <v>16</v>
      </c>
      <c r="K1010" s="2" t="s">
        <v>123</v>
      </c>
      <c r="L1010" s="22">
        <v>1050</v>
      </c>
      <c r="M1010" s="22">
        <v>16800</v>
      </c>
      <c r="N1010" s="18">
        <v>17.97</v>
      </c>
      <c r="O1010" s="26">
        <v>45435</v>
      </c>
      <c r="P1010" s="2" t="s">
        <v>805</v>
      </c>
      <c r="Q1010" s="2" t="s">
        <v>836</v>
      </c>
    </row>
    <row r="1011" spans="2:17" x14ac:dyDescent="0.25">
      <c r="B1011" s="2" t="s">
        <v>1815</v>
      </c>
      <c r="C1011" s="2" t="s">
        <v>156</v>
      </c>
      <c r="D1011" s="2" t="s">
        <v>157</v>
      </c>
      <c r="E1011" s="2" t="s">
        <v>155</v>
      </c>
      <c r="F1011" s="2" t="s">
        <v>535</v>
      </c>
      <c r="G1011" s="2" t="s">
        <v>425</v>
      </c>
      <c r="H1011" s="2" t="s">
        <v>426</v>
      </c>
      <c r="I1011" s="26">
        <v>45423</v>
      </c>
      <c r="J1011" s="2">
        <v>21</v>
      </c>
      <c r="K1011" s="2" t="s">
        <v>123</v>
      </c>
      <c r="L1011" s="22">
        <v>1050</v>
      </c>
      <c r="M1011" s="22">
        <v>22050</v>
      </c>
      <c r="N1011" s="18">
        <v>23.58</v>
      </c>
      <c r="O1011" s="26">
        <v>45443</v>
      </c>
      <c r="P1011" s="2" t="s">
        <v>805</v>
      </c>
      <c r="Q1011" s="2" t="s">
        <v>836</v>
      </c>
    </row>
    <row r="1012" spans="2:17" x14ac:dyDescent="0.25">
      <c r="B1012" s="2" t="s">
        <v>1816</v>
      </c>
      <c r="C1012" s="2" t="s">
        <v>156</v>
      </c>
      <c r="D1012" s="2" t="s">
        <v>157</v>
      </c>
      <c r="E1012" s="2" t="s">
        <v>155</v>
      </c>
      <c r="F1012" s="2" t="s">
        <v>535</v>
      </c>
      <c r="G1012" s="2" t="s">
        <v>425</v>
      </c>
      <c r="H1012" s="2" t="s">
        <v>426</v>
      </c>
      <c r="I1012" s="26">
        <v>45430</v>
      </c>
      <c r="J1012" s="2">
        <v>16</v>
      </c>
      <c r="K1012" s="2" t="s">
        <v>123</v>
      </c>
      <c r="L1012" s="22">
        <v>1050</v>
      </c>
      <c r="M1012" s="22">
        <v>16800</v>
      </c>
      <c r="N1012" s="18">
        <v>17.97</v>
      </c>
      <c r="O1012" s="26">
        <v>45450</v>
      </c>
      <c r="P1012" s="2" t="s">
        <v>805</v>
      </c>
      <c r="Q1012" s="2" t="s">
        <v>836</v>
      </c>
    </row>
    <row r="1013" spans="2:17" x14ac:dyDescent="0.25">
      <c r="B1013" s="2" t="s">
        <v>1817</v>
      </c>
      <c r="C1013" s="2" t="s">
        <v>156</v>
      </c>
      <c r="D1013" s="2" t="s">
        <v>157</v>
      </c>
      <c r="E1013" s="2" t="s">
        <v>155</v>
      </c>
      <c r="F1013" s="2" t="s">
        <v>537</v>
      </c>
      <c r="G1013" s="2" t="s">
        <v>430</v>
      </c>
      <c r="H1013" s="2" t="s">
        <v>431</v>
      </c>
      <c r="I1013" s="26">
        <v>45436</v>
      </c>
      <c r="J1013" s="2">
        <v>18</v>
      </c>
      <c r="K1013" s="2" t="s">
        <v>123</v>
      </c>
      <c r="L1013" s="22">
        <v>1200</v>
      </c>
      <c r="M1013" s="22">
        <v>21600</v>
      </c>
      <c r="N1013" s="18">
        <v>23.1</v>
      </c>
      <c r="O1013" s="26">
        <v>45456</v>
      </c>
      <c r="P1013" s="2" t="s">
        <v>805</v>
      </c>
      <c r="Q1013" s="2" t="s">
        <v>836</v>
      </c>
    </row>
    <row r="1014" spans="2:17" x14ac:dyDescent="0.25">
      <c r="B1014" s="2" t="s">
        <v>1818</v>
      </c>
      <c r="C1014" s="2" t="s">
        <v>156</v>
      </c>
      <c r="D1014" s="2" t="s">
        <v>157</v>
      </c>
      <c r="E1014" s="2" t="s">
        <v>155</v>
      </c>
      <c r="F1014" s="2" t="s">
        <v>535</v>
      </c>
      <c r="G1014" s="2" t="s">
        <v>425</v>
      </c>
      <c r="H1014" s="2" t="s">
        <v>426</v>
      </c>
      <c r="I1014" s="26">
        <v>45442</v>
      </c>
      <c r="J1014" s="2">
        <v>20</v>
      </c>
      <c r="K1014" s="2" t="s">
        <v>123</v>
      </c>
      <c r="L1014" s="22">
        <v>1050</v>
      </c>
      <c r="M1014" s="22">
        <v>21000</v>
      </c>
      <c r="N1014" s="18">
        <v>22.46</v>
      </c>
      <c r="O1014" s="26">
        <v>45462</v>
      </c>
      <c r="P1014" s="2" t="s">
        <v>805</v>
      </c>
      <c r="Q1014" s="2" t="s">
        <v>836</v>
      </c>
    </row>
    <row r="1015" spans="2:17" x14ac:dyDescent="0.25">
      <c r="B1015" s="2" t="s">
        <v>1819</v>
      </c>
      <c r="C1015" s="2" t="s">
        <v>156</v>
      </c>
      <c r="D1015" s="2" t="s">
        <v>157</v>
      </c>
      <c r="E1015" s="2" t="s">
        <v>155</v>
      </c>
      <c r="F1015" s="2" t="s">
        <v>537</v>
      </c>
      <c r="G1015" s="2" t="s">
        <v>430</v>
      </c>
      <c r="H1015" s="2" t="s">
        <v>431</v>
      </c>
      <c r="I1015" s="26">
        <v>45448</v>
      </c>
      <c r="J1015" s="2">
        <v>19</v>
      </c>
      <c r="K1015" s="2" t="s">
        <v>123</v>
      </c>
      <c r="L1015" s="22">
        <v>1200</v>
      </c>
      <c r="M1015" s="22">
        <v>22800</v>
      </c>
      <c r="N1015" s="18">
        <v>24.39</v>
      </c>
      <c r="O1015" s="26">
        <v>45468</v>
      </c>
      <c r="P1015" s="2" t="s">
        <v>805</v>
      </c>
      <c r="Q1015" s="2" t="s">
        <v>806</v>
      </c>
    </row>
    <row r="1016" spans="2:17" x14ac:dyDescent="0.25">
      <c r="B1016" s="2" t="s">
        <v>1820</v>
      </c>
      <c r="C1016" s="2" t="s">
        <v>156</v>
      </c>
      <c r="D1016" s="2" t="s">
        <v>157</v>
      </c>
      <c r="E1016" s="2" t="s">
        <v>155</v>
      </c>
      <c r="F1016" s="2" t="s">
        <v>537</v>
      </c>
      <c r="G1016" s="2" t="s">
        <v>430</v>
      </c>
      <c r="H1016" s="2" t="s">
        <v>431</v>
      </c>
      <c r="I1016" s="26">
        <v>45454</v>
      </c>
      <c r="J1016" s="2">
        <v>17</v>
      </c>
      <c r="K1016" s="2" t="s">
        <v>123</v>
      </c>
      <c r="L1016" s="22">
        <v>1200</v>
      </c>
      <c r="M1016" s="22">
        <v>20400</v>
      </c>
      <c r="N1016" s="18">
        <v>21.82</v>
      </c>
      <c r="O1016" s="26">
        <v>45474</v>
      </c>
      <c r="P1016" s="2" t="s">
        <v>805</v>
      </c>
      <c r="Q1016" s="2" t="s">
        <v>806</v>
      </c>
    </row>
    <row r="1017" spans="2:17" x14ac:dyDescent="0.25">
      <c r="B1017" s="2" t="s">
        <v>1821</v>
      </c>
      <c r="C1017" s="2" t="s">
        <v>156</v>
      </c>
      <c r="D1017" s="2" t="s">
        <v>157</v>
      </c>
      <c r="E1017" s="2" t="s">
        <v>155</v>
      </c>
      <c r="F1017" s="2" t="s">
        <v>535</v>
      </c>
      <c r="G1017" s="2" t="s">
        <v>425</v>
      </c>
      <c r="H1017" s="2" t="s">
        <v>426</v>
      </c>
      <c r="I1017" s="26">
        <v>45459</v>
      </c>
      <c r="J1017" s="2">
        <v>16</v>
      </c>
      <c r="K1017" s="2" t="s">
        <v>123</v>
      </c>
      <c r="L1017" s="22">
        <v>1050</v>
      </c>
      <c r="M1017" s="22">
        <v>16800</v>
      </c>
      <c r="N1017" s="18">
        <v>17.97</v>
      </c>
      <c r="O1017" s="26">
        <v>45479</v>
      </c>
      <c r="P1017" s="2" t="s">
        <v>805</v>
      </c>
      <c r="Q1017" s="2" t="s">
        <v>806</v>
      </c>
    </row>
    <row r="1018" spans="2:17" x14ac:dyDescent="0.25">
      <c r="B1018" s="2" t="s">
        <v>1822</v>
      </c>
      <c r="C1018" s="2" t="s">
        <v>156</v>
      </c>
      <c r="D1018" s="2" t="s">
        <v>157</v>
      </c>
      <c r="E1018" s="2" t="s">
        <v>155</v>
      </c>
      <c r="F1018" s="2" t="s">
        <v>537</v>
      </c>
      <c r="G1018" s="2" t="s">
        <v>430</v>
      </c>
      <c r="H1018" s="2" t="s">
        <v>431</v>
      </c>
      <c r="I1018" s="26">
        <v>45465</v>
      </c>
      <c r="J1018" s="2">
        <v>19</v>
      </c>
      <c r="K1018" s="2" t="s">
        <v>123</v>
      </c>
      <c r="L1018" s="22">
        <v>1200</v>
      </c>
      <c r="M1018" s="22">
        <v>22800</v>
      </c>
      <c r="N1018" s="18">
        <v>24.39</v>
      </c>
      <c r="O1018" s="26">
        <v>45485</v>
      </c>
      <c r="P1018" s="2" t="s">
        <v>805</v>
      </c>
      <c r="Q1018" s="2" t="s">
        <v>806</v>
      </c>
    </row>
    <row r="1019" spans="2:17" x14ac:dyDescent="0.25">
      <c r="B1019" s="2" t="s">
        <v>1823</v>
      </c>
      <c r="C1019" s="2" t="s">
        <v>156</v>
      </c>
      <c r="D1019" s="2" t="s">
        <v>157</v>
      </c>
      <c r="E1019" s="2" t="s">
        <v>155</v>
      </c>
      <c r="F1019" s="2" t="s">
        <v>537</v>
      </c>
      <c r="G1019" s="2" t="s">
        <v>430</v>
      </c>
      <c r="H1019" s="2" t="s">
        <v>431</v>
      </c>
      <c r="I1019" s="26">
        <v>45470</v>
      </c>
      <c r="J1019" s="2">
        <v>16</v>
      </c>
      <c r="K1019" s="2" t="s">
        <v>123</v>
      </c>
      <c r="L1019" s="22">
        <v>1200</v>
      </c>
      <c r="M1019" s="22">
        <v>19200</v>
      </c>
      <c r="N1019" s="18">
        <v>20.53</v>
      </c>
      <c r="O1019" s="26">
        <v>45490</v>
      </c>
      <c r="P1019" s="2" t="s">
        <v>805</v>
      </c>
      <c r="Q1019" s="2" t="s">
        <v>806</v>
      </c>
    </row>
    <row r="1020" spans="2:17" x14ac:dyDescent="0.25">
      <c r="B1020" s="2" t="s">
        <v>1824</v>
      </c>
      <c r="C1020" s="2" t="s">
        <v>156</v>
      </c>
      <c r="D1020" s="2" t="s">
        <v>157</v>
      </c>
      <c r="E1020" s="2" t="s">
        <v>155</v>
      </c>
      <c r="F1020" s="2" t="s">
        <v>535</v>
      </c>
      <c r="G1020" s="2" t="s">
        <v>425</v>
      </c>
      <c r="H1020" s="2" t="s">
        <v>426</v>
      </c>
      <c r="I1020" s="26">
        <v>45476</v>
      </c>
      <c r="J1020" s="2">
        <v>19</v>
      </c>
      <c r="K1020" s="2" t="s">
        <v>123</v>
      </c>
      <c r="L1020" s="22">
        <v>1050</v>
      </c>
      <c r="M1020" s="22">
        <v>19950</v>
      </c>
      <c r="N1020" s="18">
        <v>21.34</v>
      </c>
      <c r="O1020" s="26">
        <v>45496</v>
      </c>
      <c r="P1020" s="2" t="s">
        <v>805</v>
      </c>
      <c r="Q1020" s="2" t="s">
        <v>806</v>
      </c>
    </row>
    <row r="1021" spans="2:17" x14ac:dyDescent="0.25">
      <c r="B1021" s="2" t="s">
        <v>1825</v>
      </c>
      <c r="C1021" s="2" t="s">
        <v>156</v>
      </c>
      <c r="D1021" s="2" t="s">
        <v>157</v>
      </c>
      <c r="E1021" s="2" t="s">
        <v>155</v>
      </c>
      <c r="F1021" s="2" t="s">
        <v>535</v>
      </c>
      <c r="G1021" s="2" t="s">
        <v>425</v>
      </c>
      <c r="H1021" s="2" t="s">
        <v>426</v>
      </c>
      <c r="I1021" s="26">
        <v>45483</v>
      </c>
      <c r="J1021" s="2">
        <v>15</v>
      </c>
      <c r="K1021" s="2" t="s">
        <v>123</v>
      </c>
      <c r="L1021" s="22">
        <v>1050</v>
      </c>
      <c r="M1021" s="22">
        <v>15750</v>
      </c>
      <c r="N1021" s="18">
        <v>16.84</v>
      </c>
      <c r="O1021" s="26">
        <v>45503</v>
      </c>
      <c r="P1021" s="2" t="s">
        <v>805</v>
      </c>
      <c r="Q1021" s="2" t="s">
        <v>806</v>
      </c>
    </row>
    <row r="1022" spans="2:17" x14ac:dyDescent="0.25">
      <c r="B1022" s="2" t="s">
        <v>1826</v>
      </c>
      <c r="C1022" s="2" t="s">
        <v>156</v>
      </c>
      <c r="D1022" s="2" t="s">
        <v>157</v>
      </c>
      <c r="E1022" s="2" t="s">
        <v>155</v>
      </c>
      <c r="F1022" s="2" t="s">
        <v>535</v>
      </c>
      <c r="G1022" s="2" t="s">
        <v>425</v>
      </c>
      <c r="H1022" s="2" t="s">
        <v>426</v>
      </c>
      <c r="I1022" s="26">
        <v>45491</v>
      </c>
      <c r="J1022" s="2">
        <v>18</v>
      </c>
      <c r="K1022" s="2" t="s">
        <v>123</v>
      </c>
      <c r="L1022" s="22">
        <v>1050</v>
      </c>
      <c r="M1022" s="22">
        <v>18900</v>
      </c>
      <c r="N1022" s="18">
        <v>20.21</v>
      </c>
      <c r="O1022" s="26">
        <v>45511</v>
      </c>
      <c r="P1022" s="2" t="s">
        <v>805</v>
      </c>
      <c r="Q1022" s="2" t="s">
        <v>806</v>
      </c>
    </row>
    <row r="1023" spans="2:17" x14ac:dyDescent="0.25">
      <c r="B1023" s="2" t="s">
        <v>1827</v>
      </c>
      <c r="C1023" s="2" t="s">
        <v>156</v>
      </c>
      <c r="D1023" s="2" t="s">
        <v>157</v>
      </c>
      <c r="E1023" s="2" t="s">
        <v>155</v>
      </c>
      <c r="F1023" s="2" t="s">
        <v>535</v>
      </c>
      <c r="G1023" s="2" t="s">
        <v>425</v>
      </c>
      <c r="H1023" s="2" t="s">
        <v>426</v>
      </c>
      <c r="I1023" s="26">
        <v>45496</v>
      </c>
      <c r="J1023" s="2">
        <v>17</v>
      </c>
      <c r="K1023" s="2" t="s">
        <v>123</v>
      </c>
      <c r="L1023" s="22">
        <v>1050</v>
      </c>
      <c r="M1023" s="22">
        <v>17850</v>
      </c>
      <c r="N1023" s="18">
        <v>19.09</v>
      </c>
      <c r="O1023" s="26">
        <v>45516</v>
      </c>
      <c r="P1023" s="2" t="s">
        <v>805</v>
      </c>
      <c r="Q1023" s="2" t="s">
        <v>806</v>
      </c>
    </row>
    <row r="1024" spans="2:17" x14ac:dyDescent="0.25">
      <c r="B1024" s="2" t="s">
        <v>1828</v>
      </c>
      <c r="C1024" s="2" t="s">
        <v>156</v>
      </c>
      <c r="D1024" s="2" t="s">
        <v>157</v>
      </c>
      <c r="E1024" s="2" t="s">
        <v>155</v>
      </c>
      <c r="F1024" s="2" t="s">
        <v>535</v>
      </c>
      <c r="G1024" s="2" t="s">
        <v>425</v>
      </c>
      <c r="H1024" s="2" t="s">
        <v>426</v>
      </c>
      <c r="I1024" s="26">
        <v>45503</v>
      </c>
      <c r="J1024" s="2">
        <v>20</v>
      </c>
      <c r="K1024" s="2" t="s">
        <v>123</v>
      </c>
      <c r="L1024" s="22">
        <v>1050</v>
      </c>
      <c r="M1024" s="22">
        <v>21000</v>
      </c>
      <c r="N1024" s="18">
        <v>22.46</v>
      </c>
      <c r="O1024" s="26">
        <v>45523</v>
      </c>
      <c r="P1024" s="2" t="s">
        <v>805</v>
      </c>
      <c r="Q1024" s="2" t="s">
        <v>806</v>
      </c>
    </row>
    <row r="1025" spans="2:17" x14ac:dyDescent="0.25">
      <c r="B1025" s="2" t="s">
        <v>1829</v>
      </c>
      <c r="C1025" s="2" t="s">
        <v>156</v>
      </c>
      <c r="D1025" s="2" t="s">
        <v>157</v>
      </c>
      <c r="E1025" s="2" t="s">
        <v>155</v>
      </c>
      <c r="F1025" s="2" t="s">
        <v>535</v>
      </c>
      <c r="G1025" s="2" t="s">
        <v>425</v>
      </c>
      <c r="H1025" s="2" t="s">
        <v>426</v>
      </c>
      <c r="I1025" s="26">
        <v>45508</v>
      </c>
      <c r="J1025" s="2">
        <v>16</v>
      </c>
      <c r="K1025" s="2" t="s">
        <v>123</v>
      </c>
      <c r="L1025" s="22">
        <v>1050</v>
      </c>
      <c r="M1025" s="22">
        <v>16800</v>
      </c>
      <c r="N1025" s="18">
        <v>17.97</v>
      </c>
      <c r="O1025" s="26">
        <v>45528</v>
      </c>
      <c r="P1025" s="2" t="s">
        <v>805</v>
      </c>
      <c r="Q1025" s="2" t="s">
        <v>806</v>
      </c>
    </row>
    <row r="1026" spans="2:17" x14ac:dyDescent="0.25">
      <c r="B1026" s="2" t="s">
        <v>1830</v>
      </c>
      <c r="C1026" s="2" t="s">
        <v>156</v>
      </c>
      <c r="D1026" s="2" t="s">
        <v>157</v>
      </c>
      <c r="E1026" s="2" t="s">
        <v>155</v>
      </c>
      <c r="F1026" s="2" t="s">
        <v>535</v>
      </c>
      <c r="G1026" s="2" t="s">
        <v>425</v>
      </c>
      <c r="H1026" s="2" t="s">
        <v>426</v>
      </c>
      <c r="I1026" s="26">
        <v>45515</v>
      </c>
      <c r="J1026" s="2">
        <v>16</v>
      </c>
      <c r="K1026" s="2" t="s">
        <v>123</v>
      </c>
      <c r="L1026" s="22">
        <v>1050</v>
      </c>
      <c r="M1026" s="22">
        <v>16800</v>
      </c>
      <c r="N1026" s="18">
        <v>17.97</v>
      </c>
      <c r="O1026" s="26">
        <v>45535</v>
      </c>
      <c r="P1026" s="2" t="s">
        <v>805</v>
      </c>
      <c r="Q1026" s="2" t="s">
        <v>806</v>
      </c>
    </row>
    <row r="1027" spans="2:17" x14ac:dyDescent="0.25">
      <c r="B1027" s="2" t="s">
        <v>1831</v>
      </c>
      <c r="C1027" s="2" t="s">
        <v>156</v>
      </c>
      <c r="D1027" s="2" t="s">
        <v>157</v>
      </c>
      <c r="E1027" s="2" t="s">
        <v>155</v>
      </c>
      <c r="F1027" s="2" t="s">
        <v>535</v>
      </c>
      <c r="G1027" s="2" t="s">
        <v>425</v>
      </c>
      <c r="H1027" s="2" t="s">
        <v>426</v>
      </c>
      <c r="I1027" s="26">
        <v>45521</v>
      </c>
      <c r="J1027" s="2">
        <v>16</v>
      </c>
      <c r="K1027" s="2" t="s">
        <v>123</v>
      </c>
      <c r="L1027" s="22">
        <v>1050</v>
      </c>
      <c r="M1027" s="22">
        <v>16800</v>
      </c>
      <c r="N1027" s="18">
        <v>17.97</v>
      </c>
      <c r="O1027" s="26">
        <v>45541</v>
      </c>
      <c r="P1027" s="2" t="s">
        <v>805</v>
      </c>
      <c r="Q1027" s="2" t="s">
        <v>806</v>
      </c>
    </row>
    <row r="1028" spans="2:17" x14ac:dyDescent="0.25">
      <c r="B1028" s="2" t="s">
        <v>1832</v>
      </c>
      <c r="C1028" s="2" t="s">
        <v>156</v>
      </c>
      <c r="D1028" s="2" t="s">
        <v>157</v>
      </c>
      <c r="E1028" s="2" t="s">
        <v>155</v>
      </c>
      <c r="F1028" s="2" t="s">
        <v>535</v>
      </c>
      <c r="G1028" s="2" t="s">
        <v>425</v>
      </c>
      <c r="H1028" s="2" t="s">
        <v>426</v>
      </c>
      <c r="I1028" s="26">
        <v>45528</v>
      </c>
      <c r="J1028" s="2">
        <v>17</v>
      </c>
      <c r="K1028" s="2" t="s">
        <v>123</v>
      </c>
      <c r="L1028" s="22">
        <v>1050</v>
      </c>
      <c r="M1028" s="22">
        <v>17850</v>
      </c>
      <c r="N1028" s="18">
        <v>19.09</v>
      </c>
      <c r="O1028" s="26">
        <v>45548</v>
      </c>
      <c r="P1028" s="2" t="s">
        <v>805</v>
      </c>
      <c r="Q1028" s="2" t="s">
        <v>806</v>
      </c>
    </row>
    <row r="1029" spans="2:17" x14ac:dyDescent="0.25">
      <c r="B1029" s="2" t="s">
        <v>1833</v>
      </c>
      <c r="C1029" s="2" t="s">
        <v>156</v>
      </c>
      <c r="D1029" s="2" t="s">
        <v>157</v>
      </c>
      <c r="E1029" s="2" t="s">
        <v>155</v>
      </c>
      <c r="F1029" s="2" t="s">
        <v>535</v>
      </c>
      <c r="G1029" s="2" t="s">
        <v>425</v>
      </c>
      <c r="H1029" s="2" t="s">
        <v>426</v>
      </c>
      <c r="I1029" s="26">
        <v>45533</v>
      </c>
      <c r="J1029" s="2">
        <v>19</v>
      </c>
      <c r="K1029" s="2" t="s">
        <v>123</v>
      </c>
      <c r="L1029" s="22">
        <v>1050</v>
      </c>
      <c r="M1029" s="22">
        <v>19950</v>
      </c>
      <c r="N1029" s="18">
        <v>21.34</v>
      </c>
      <c r="O1029" s="26">
        <v>45553</v>
      </c>
      <c r="P1029" s="2" t="s">
        <v>805</v>
      </c>
      <c r="Q1029" s="2" t="s">
        <v>806</v>
      </c>
    </row>
    <row r="1030" spans="2:17" x14ac:dyDescent="0.25">
      <c r="B1030" s="2" t="s">
        <v>1834</v>
      </c>
      <c r="C1030" s="2" t="s">
        <v>156</v>
      </c>
      <c r="D1030" s="2" t="s">
        <v>157</v>
      </c>
      <c r="E1030" s="2" t="s">
        <v>155</v>
      </c>
      <c r="F1030" s="2" t="s">
        <v>535</v>
      </c>
      <c r="G1030" s="2" t="s">
        <v>425</v>
      </c>
      <c r="H1030" s="2" t="s">
        <v>426</v>
      </c>
      <c r="I1030" s="26">
        <v>45540</v>
      </c>
      <c r="J1030" s="2">
        <v>24</v>
      </c>
      <c r="K1030" s="2" t="s">
        <v>123</v>
      </c>
      <c r="L1030" s="22">
        <v>1050</v>
      </c>
      <c r="M1030" s="22">
        <v>25200</v>
      </c>
      <c r="N1030" s="18">
        <v>26.95</v>
      </c>
      <c r="O1030" s="26">
        <v>45560</v>
      </c>
      <c r="P1030" s="2" t="s">
        <v>805</v>
      </c>
      <c r="Q1030" s="2" t="s">
        <v>814</v>
      </c>
    </row>
    <row r="1031" spans="2:17" x14ac:dyDescent="0.25">
      <c r="B1031" s="2" t="s">
        <v>1835</v>
      </c>
      <c r="C1031" s="2" t="s">
        <v>156</v>
      </c>
      <c r="D1031" s="2" t="s">
        <v>157</v>
      </c>
      <c r="E1031" s="2" t="s">
        <v>155</v>
      </c>
      <c r="F1031" s="2" t="s">
        <v>535</v>
      </c>
      <c r="G1031" s="2" t="s">
        <v>425</v>
      </c>
      <c r="H1031" s="2" t="s">
        <v>426</v>
      </c>
      <c r="I1031" s="26">
        <v>45545</v>
      </c>
      <c r="J1031" s="2">
        <v>25</v>
      </c>
      <c r="K1031" s="2" t="s">
        <v>123</v>
      </c>
      <c r="L1031" s="22">
        <v>1050</v>
      </c>
      <c r="M1031" s="22">
        <v>26250</v>
      </c>
      <c r="N1031" s="18">
        <v>28.07</v>
      </c>
      <c r="O1031" s="26">
        <v>45565</v>
      </c>
      <c r="P1031" s="2" t="s">
        <v>805</v>
      </c>
      <c r="Q1031" s="2" t="s">
        <v>814</v>
      </c>
    </row>
    <row r="1032" spans="2:17" x14ac:dyDescent="0.25">
      <c r="B1032" s="2" t="s">
        <v>1836</v>
      </c>
      <c r="C1032" s="2" t="s">
        <v>156</v>
      </c>
      <c r="D1032" s="2" t="s">
        <v>157</v>
      </c>
      <c r="E1032" s="2" t="s">
        <v>155</v>
      </c>
      <c r="F1032" s="2" t="s">
        <v>537</v>
      </c>
      <c r="G1032" s="2" t="s">
        <v>430</v>
      </c>
      <c r="H1032" s="2" t="s">
        <v>431</v>
      </c>
      <c r="I1032" s="26">
        <v>45551</v>
      </c>
      <c r="J1032" s="2">
        <v>26</v>
      </c>
      <c r="K1032" s="2" t="s">
        <v>123</v>
      </c>
      <c r="L1032" s="22">
        <v>1200</v>
      </c>
      <c r="M1032" s="22">
        <v>31200</v>
      </c>
      <c r="N1032" s="18">
        <v>33.369999999999997</v>
      </c>
      <c r="O1032" s="26">
        <v>45571</v>
      </c>
      <c r="P1032" s="2" t="s">
        <v>805</v>
      </c>
      <c r="Q1032" s="2" t="s">
        <v>814</v>
      </c>
    </row>
    <row r="1033" spans="2:17" x14ac:dyDescent="0.25">
      <c r="B1033" s="2" t="s">
        <v>1837</v>
      </c>
      <c r="C1033" s="2" t="s">
        <v>156</v>
      </c>
      <c r="D1033" s="2" t="s">
        <v>157</v>
      </c>
      <c r="E1033" s="2" t="s">
        <v>155</v>
      </c>
      <c r="F1033" s="2" t="s">
        <v>535</v>
      </c>
      <c r="G1033" s="2" t="s">
        <v>425</v>
      </c>
      <c r="H1033" s="2" t="s">
        <v>426</v>
      </c>
      <c r="I1033" s="26">
        <v>45557</v>
      </c>
      <c r="J1033" s="2">
        <v>26</v>
      </c>
      <c r="K1033" s="2" t="s">
        <v>123</v>
      </c>
      <c r="L1033" s="22">
        <v>1050</v>
      </c>
      <c r="M1033" s="22">
        <v>27300</v>
      </c>
      <c r="N1033" s="18">
        <v>29.2</v>
      </c>
      <c r="O1033" s="26">
        <v>45577</v>
      </c>
      <c r="P1033" s="2" t="s">
        <v>805</v>
      </c>
      <c r="Q1033" s="2" t="s">
        <v>814</v>
      </c>
    </row>
    <row r="1034" spans="2:17" x14ac:dyDescent="0.25">
      <c r="B1034" s="2" t="s">
        <v>1838</v>
      </c>
      <c r="C1034" s="2" t="s">
        <v>156</v>
      </c>
      <c r="D1034" s="2" t="s">
        <v>157</v>
      </c>
      <c r="E1034" s="2" t="s">
        <v>155</v>
      </c>
      <c r="F1034" s="2" t="s">
        <v>535</v>
      </c>
      <c r="G1034" s="2" t="s">
        <v>425</v>
      </c>
      <c r="H1034" s="2" t="s">
        <v>426</v>
      </c>
      <c r="I1034" s="26">
        <v>45565</v>
      </c>
      <c r="J1034" s="2">
        <v>20</v>
      </c>
      <c r="K1034" s="2" t="s">
        <v>123</v>
      </c>
      <c r="L1034" s="22">
        <v>1050</v>
      </c>
      <c r="M1034" s="22">
        <v>21000</v>
      </c>
      <c r="N1034" s="18">
        <v>22.46</v>
      </c>
      <c r="O1034" s="26">
        <v>45585</v>
      </c>
      <c r="P1034" s="2" t="s">
        <v>805</v>
      </c>
      <c r="Q1034" s="2" t="s">
        <v>814</v>
      </c>
    </row>
    <row r="1035" spans="2:17" x14ac:dyDescent="0.25">
      <c r="B1035" s="2" t="s">
        <v>1839</v>
      </c>
      <c r="C1035" s="2" t="s">
        <v>156</v>
      </c>
      <c r="D1035" s="2" t="s">
        <v>157</v>
      </c>
      <c r="E1035" s="2" t="s">
        <v>155</v>
      </c>
      <c r="F1035" s="2" t="s">
        <v>535</v>
      </c>
      <c r="G1035" s="2" t="s">
        <v>425</v>
      </c>
      <c r="H1035" s="2" t="s">
        <v>426</v>
      </c>
      <c r="I1035" s="26">
        <v>45572</v>
      </c>
      <c r="J1035" s="2">
        <v>49</v>
      </c>
      <c r="K1035" s="2" t="s">
        <v>123</v>
      </c>
      <c r="L1035" s="22">
        <v>1050</v>
      </c>
      <c r="M1035" s="22">
        <v>51450</v>
      </c>
      <c r="N1035" s="18">
        <v>55.03</v>
      </c>
      <c r="O1035" s="26">
        <v>45592</v>
      </c>
      <c r="P1035" s="2" t="s">
        <v>805</v>
      </c>
      <c r="Q1035" s="2" t="s">
        <v>814</v>
      </c>
    </row>
    <row r="1036" spans="2:17" x14ac:dyDescent="0.25">
      <c r="B1036" s="2" t="s">
        <v>1840</v>
      </c>
      <c r="C1036" s="2" t="s">
        <v>156</v>
      </c>
      <c r="D1036" s="2" t="s">
        <v>157</v>
      </c>
      <c r="E1036" s="2" t="s">
        <v>155</v>
      </c>
      <c r="F1036" s="2" t="s">
        <v>535</v>
      </c>
      <c r="G1036" s="2" t="s">
        <v>425</v>
      </c>
      <c r="H1036" s="2" t="s">
        <v>426</v>
      </c>
      <c r="I1036" s="26">
        <v>45579</v>
      </c>
      <c r="J1036" s="2">
        <v>42</v>
      </c>
      <c r="K1036" s="2" t="s">
        <v>123</v>
      </c>
      <c r="L1036" s="22">
        <v>1050</v>
      </c>
      <c r="M1036" s="22">
        <v>44100</v>
      </c>
      <c r="N1036" s="18">
        <v>47.17</v>
      </c>
      <c r="O1036" s="26">
        <v>45599</v>
      </c>
      <c r="P1036" s="2" t="s">
        <v>805</v>
      </c>
      <c r="Q1036" s="2" t="s">
        <v>814</v>
      </c>
    </row>
    <row r="1037" spans="2:17" x14ac:dyDescent="0.25">
      <c r="B1037" s="2" t="s">
        <v>1841</v>
      </c>
      <c r="C1037" s="2" t="s">
        <v>156</v>
      </c>
      <c r="D1037" s="2" t="s">
        <v>157</v>
      </c>
      <c r="E1037" s="2" t="s">
        <v>155</v>
      </c>
      <c r="F1037" s="2" t="s">
        <v>535</v>
      </c>
      <c r="G1037" s="2" t="s">
        <v>425</v>
      </c>
      <c r="H1037" s="2" t="s">
        <v>426</v>
      </c>
      <c r="I1037" s="26">
        <v>45587</v>
      </c>
      <c r="J1037" s="2">
        <v>41</v>
      </c>
      <c r="K1037" s="2" t="s">
        <v>123</v>
      </c>
      <c r="L1037" s="22">
        <v>1050</v>
      </c>
      <c r="M1037" s="22">
        <v>43050</v>
      </c>
      <c r="N1037" s="18">
        <v>46.04</v>
      </c>
      <c r="O1037" s="26">
        <v>45607</v>
      </c>
      <c r="P1037" s="2" t="s">
        <v>805</v>
      </c>
      <c r="Q1037" s="2" t="s">
        <v>814</v>
      </c>
    </row>
    <row r="1038" spans="2:17" x14ac:dyDescent="0.25">
      <c r="B1038" s="2" t="s">
        <v>1842</v>
      </c>
      <c r="C1038" s="2" t="s">
        <v>156</v>
      </c>
      <c r="D1038" s="2" t="s">
        <v>157</v>
      </c>
      <c r="E1038" s="2" t="s">
        <v>155</v>
      </c>
      <c r="F1038" s="2" t="s">
        <v>535</v>
      </c>
      <c r="G1038" s="2" t="s">
        <v>425</v>
      </c>
      <c r="H1038" s="2" t="s">
        <v>426</v>
      </c>
      <c r="I1038" s="26">
        <v>45593</v>
      </c>
      <c r="J1038" s="2">
        <v>54</v>
      </c>
      <c r="K1038" s="2" t="s">
        <v>123</v>
      </c>
      <c r="L1038" s="22">
        <v>1050</v>
      </c>
      <c r="M1038" s="22">
        <v>56700</v>
      </c>
      <c r="N1038" s="18">
        <v>60.64</v>
      </c>
      <c r="O1038" s="26">
        <v>45613</v>
      </c>
      <c r="P1038" s="2" t="s">
        <v>805</v>
      </c>
      <c r="Q1038" s="2" t="s">
        <v>814</v>
      </c>
    </row>
    <row r="1039" spans="2:17" x14ac:dyDescent="0.25">
      <c r="B1039" s="2" t="s">
        <v>1843</v>
      </c>
      <c r="C1039" s="2" t="s">
        <v>156</v>
      </c>
      <c r="D1039" s="2" t="s">
        <v>157</v>
      </c>
      <c r="E1039" s="2" t="s">
        <v>155</v>
      </c>
      <c r="F1039" s="2" t="s">
        <v>535</v>
      </c>
      <c r="G1039" s="2" t="s">
        <v>425</v>
      </c>
      <c r="H1039" s="2" t="s">
        <v>426</v>
      </c>
      <c r="I1039" s="26">
        <v>45599</v>
      </c>
      <c r="J1039" s="2">
        <v>54</v>
      </c>
      <c r="K1039" s="2" t="s">
        <v>123</v>
      </c>
      <c r="L1039" s="22">
        <v>1050</v>
      </c>
      <c r="M1039" s="22">
        <v>56700</v>
      </c>
      <c r="N1039" s="18">
        <v>60.64</v>
      </c>
      <c r="O1039" s="26">
        <v>45619</v>
      </c>
      <c r="P1039" s="2" t="s">
        <v>805</v>
      </c>
      <c r="Q1039" s="2" t="s">
        <v>814</v>
      </c>
    </row>
    <row r="1040" spans="2:17" x14ac:dyDescent="0.25">
      <c r="B1040" s="2" t="s">
        <v>1844</v>
      </c>
      <c r="C1040" s="2" t="s">
        <v>156</v>
      </c>
      <c r="D1040" s="2" t="s">
        <v>157</v>
      </c>
      <c r="E1040" s="2" t="s">
        <v>155</v>
      </c>
      <c r="F1040" s="2" t="s">
        <v>535</v>
      </c>
      <c r="G1040" s="2" t="s">
        <v>425</v>
      </c>
      <c r="H1040" s="2" t="s">
        <v>426</v>
      </c>
      <c r="I1040" s="26">
        <v>45605</v>
      </c>
      <c r="J1040" s="2">
        <v>52</v>
      </c>
      <c r="K1040" s="2" t="s">
        <v>123</v>
      </c>
      <c r="L1040" s="22">
        <v>1050</v>
      </c>
      <c r="M1040" s="22">
        <v>54600</v>
      </c>
      <c r="N1040" s="18">
        <v>58.4</v>
      </c>
      <c r="O1040" s="26">
        <v>45625</v>
      </c>
      <c r="P1040" s="2" t="s">
        <v>805</v>
      </c>
      <c r="Q1040" s="2" t="s">
        <v>814</v>
      </c>
    </row>
    <row r="1041" spans="2:17" x14ac:dyDescent="0.25">
      <c r="B1041" s="2" t="s">
        <v>1845</v>
      </c>
      <c r="C1041" s="2" t="s">
        <v>156</v>
      </c>
      <c r="D1041" s="2" t="s">
        <v>157</v>
      </c>
      <c r="E1041" s="2" t="s">
        <v>155</v>
      </c>
      <c r="F1041" s="2" t="s">
        <v>537</v>
      </c>
      <c r="G1041" s="2" t="s">
        <v>430</v>
      </c>
      <c r="H1041" s="2" t="s">
        <v>431</v>
      </c>
      <c r="I1041" s="26">
        <v>45611</v>
      </c>
      <c r="J1041" s="2">
        <v>48</v>
      </c>
      <c r="K1041" s="2" t="s">
        <v>123</v>
      </c>
      <c r="L1041" s="22">
        <v>1200</v>
      </c>
      <c r="M1041" s="22">
        <v>57600</v>
      </c>
      <c r="N1041" s="18">
        <v>61.6</v>
      </c>
      <c r="O1041" s="26">
        <v>45631</v>
      </c>
      <c r="P1041" s="2" t="s">
        <v>805</v>
      </c>
      <c r="Q1041" s="2" t="s">
        <v>814</v>
      </c>
    </row>
    <row r="1042" spans="2:17" x14ac:dyDescent="0.25">
      <c r="B1042" s="2" t="s">
        <v>1846</v>
      </c>
      <c r="C1042" s="2" t="s">
        <v>156</v>
      </c>
      <c r="D1042" s="2" t="s">
        <v>157</v>
      </c>
      <c r="E1042" s="2" t="s">
        <v>155</v>
      </c>
      <c r="F1042" s="2" t="s">
        <v>537</v>
      </c>
      <c r="G1042" s="2" t="s">
        <v>430</v>
      </c>
      <c r="H1042" s="2" t="s">
        <v>431</v>
      </c>
      <c r="I1042" s="26">
        <v>45617</v>
      </c>
      <c r="J1042" s="2">
        <v>52</v>
      </c>
      <c r="K1042" s="2" t="s">
        <v>123</v>
      </c>
      <c r="L1042" s="22">
        <v>1200</v>
      </c>
      <c r="M1042" s="22">
        <v>62400</v>
      </c>
      <c r="N1042" s="18">
        <v>66.739999999999995</v>
      </c>
      <c r="O1042" s="26">
        <v>45637</v>
      </c>
      <c r="P1042" s="2" t="s">
        <v>805</v>
      </c>
      <c r="Q1042" s="2" t="s">
        <v>814</v>
      </c>
    </row>
    <row r="1043" spans="2:17" x14ac:dyDescent="0.25">
      <c r="B1043" s="2" t="s">
        <v>1847</v>
      </c>
      <c r="C1043" s="2" t="s">
        <v>156</v>
      </c>
      <c r="D1043" s="2" t="s">
        <v>157</v>
      </c>
      <c r="E1043" s="2" t="s">
        <v>155</v>
      </c>
      <c r="F1043" s="2" t="s">
        <v>535</v>
      </c>
      <c r="G1043" s="2" t="s">
        <v>425</v>
      </c>
      <c r="H1043" s="2" t="s">
        <v>426</v>
      </c>
      <c r="I1043" s="26">
        <v>45623</v>
      </c>
      <c r="J1043" s="2">
        <v>44</v>
      </c>
      <c r="K1043" s="2" t="s">
        <v>123</v>
      </c>
      <c r="L1043" s="22">
        <v>1050</v>
      </c>
      <c r="M1043" s="22">
        <v>46200</v>
      </c>
      <c r="N1043" s="18">
        <v>49.41</v>
      </c>
      <c r="O1043" s="26">
        <v>45643</v>
      </c>
      <c r="P1043" s="2" t="s">
        <v>805</v>
      </c>
      <c r="Q1043" s="2" t="s">
        <v>814</v>
      </c>
    </row>
    <row r="1044" spans="2:17" x14ac:dyDescent="0.25">
      <c r="B1044" s="2" t="s">
        <v>1848</v>
      </c>
      <c r="C1044" s="2" t="s">
        <v>156</v>
      </c>
      <c r="D1044" s="2" t="s">
        <v>157</v>
      </c>
      <c r="E1044" s="2" t="s">
        <v>155</v>
      </c>
      <c r="F1044" s="2" t="s">
        <v>535</v>
      </c>
      <c r="G1044" s="2" t="s">
        <v>425</v>
      </c>
      <c r="H1044" s="2" t="s">
        <v>426</v>
      </c>
      <c r="I1044" s="26">
        <v>45629</v>
      </c>
      <c r="J1044" s="2">
        <v>61</v>
      </c>
      <c r="K1044" s="2" t="s">
        <v>123</v>
      </c>
      <c r="L1044" s="22">
        <v>1050</v>
      </c>
      <c r="M1044" s="22">
        <v>64050</v>
      </c>
      <c r="N1044" s="18">
        <v>68.5</v>
      </c>
      <c r="O1044" s="26">
        <v>45649</v>
      </c>
      <c r="P1044" s="2" t="s">
        <v>805</v>
      </c>
      <c r="Q1044" s="2" t="s">
        <v>825</v>
      </c>
    </row>
    <row r="1045" spans="2:17" x14ac:dyDescent="0.25">
      <c r="B1045" s="2" t="s">
        <v>1849</v>
      </c>
      <c r="C1045" s="2" t="s">
        <v>156</v>
      </c>
      <c r="D1045" s="2" t="s">
        <v>157</v>
      </c>
      <c r="E1045" s="2" t="s">
        <v>155</v>
      </c>
      <c r="F1045" s="2" t="s">
        <v>535</v>
      </c>
      <c r="G1045" s="2" t="s">
        <v>425</v>
      </c>
      <c r="H1045" s="2" t="s">
        <v>426</v>
      </c>
      <c r="I1045" s="26">
        <v>45636</v>
      </c>
      <c r="J1045" s="2">
        <v>66</v>
      </c>
      <c r="K1045" s="2" t="s">
        <v>123</v>
      </c>
      <c r="L1045" s="22">
        <v>1050</v>
      </c>
      <c r="M1045" s="22">
        <v>69300</v>
      </c>
      <c r="N1045" s="18">
        <v>74.12</v>
      </c>
      <c r="O1045" s="26">
        <v>45656</v>
      </c>
      <c r="P1045" s="2" t="s">
        <v>805</v>
      </c>
      <c r="Q1045" s="2" t="s">
        <v>825</v>
      </c>
    </row>
    <row r="1046" spans="2:17" x14ac:dyDescent="0.25">
      <c r="B1046" s="2" t="s">
        <v>1850</v>
      </c>
      <c r="C1046" s="2" t="s">
        <v>156</v>
      </c>
      <c r="D1046" s="2" t="s">
        <v>157</v>
      </c>
      <c r="E1046" s="2" t="s">
        <v>155</v>
      </c>
      <c r="F1046" s="2" t="s">
        <v>535</v>
      </c>
      <c r="G1046" s="2" t="s">
        <v>425</v>
      </c>
      <c r="H1046" s="2" t="s">
        <v>426</v>
      </c>
      <c r="I1046" s="26">
        <v>45642</v>
      </c>
      <c r="J1046" s="2">
        <v>68</v>
      </c>
      <c r="K1046" s="2" t="s">
        <v>123</v>
      </c>
      <c r="L1046" s="22">
        <v>1050</v>
      </c>
      <c r="M1046" s="22">
        <v>71400</v>
      </c>
      <c r="N1046" s="18">
        <v>76.36</v>
      </c>
      <c r="O1046" s="26">
        <v>45662</v>
      </c>
      <c r="P1046" s="2" t="s">
        <v>805</v>
      </c>
      <c r="Q1046" s="2" t="s">
        <v>825</v>
      </c>
    </row>
    <row r="1047" spans="2:17" x14ac:dyDescent="0.25">
      <c r="B1047" s="2" t="s">
        <v>1851</v>
      </c>
      <c r="C1047" s="2" t="s">
        <v>156</v>
      </c>
      <c r="D1047" s="2" t="s">
        <v>157</v>
      </c>
      <c r="E1047" s="2" t="s">
        <v>155</v>
      </c>
      <c r="F1047" s="2" t="s">
        <v>535</v>
      </c>
      <c r="G1047" s="2" t="s">
        <v>425</v>
      </c>
      <c r="H1047" s="2" t="s">
        <v>426</v>
      </c>
      <c r="I1047" s="26">
        <v>45647</v>
      </c>
      <c r="J1047" s="2">
        <v>60</v>
      </c>
      <c r="K1047" s="2" t="s">
        <v>123</v>
      </c>
      <c r="L1047" s="22">
        <v>1050</v>
      </c>
      <c r="M1047" s="22">
        <v>63000</v>
      </c>
      <c r="N1047" s="18">
        <v>67.38</v>
      </c>
      <c r="O1047" s="26">
        <v>45667</v>
      </c>
      <c r="P1047" s="2" t="s">
        <v>805</v>
      </c>
      <c r="Q1047" s="2" t="s">
        <v>825</v>
      </c>
    </row>
    <row r="1048" spans="2:17" x14ac:dyDescent="0.25">
      <c r="B1048" s="2" t="s">
        <v>1852</v>
      </c>
      <c r="C1048" s="2" t="s">
        <v>156</v>
      </c>
      <c r="D1048" s="2" t="s">
        <v>157</v>
      </c>
      <c r="E1048" s="2" t="s">
        <v>155</v>
      </c>
      <c r="F1048" s="2" t="s">
        <v>535</v>
      </c>
      <c r="G1048" s="2" t="s">
        <v>425</v>
      </c>
      <c r="H1048" s="2" t="s">
        <v>426</v>
      </c>
      <c r="I1048" s="26">
        <v>45653</v>
      </c>
      <c r="J1048" s="2">
        <v>66</v>
      </c>
      <c r="K1048" s="2" t="s">
        <v>123</v>
      </c>
      <c r="L1048" s="22">
        <v>1050</v>
      </c>
      <c r="M1048" s="22">
        <v>69300</v>
      </c>
      <c r="N1048" s="18">
        <v>74.12</v>
      </c>
      <c r="O1048" s="26">
        <v>45673</v>
      </c>
      <c r="P1048" s="2" t="s">
        <v>805</v>
      </c>
      <c r="Q1048" s="2" t="s">
        <v>825</v>
      </c>
    </row>
    <row r="1049" spans="2:17" x14ac:dyDescent="0.25">
      <c r="B1049" s="2" t="s">
        <v>1853</v>
      </c>
      <c r="C1049" s="2" t="s">
        <v>156</v>
      </c>
      <c r="D1049" s="2" t="s">
        <v>157</v>
      </c>
      <c r="E1049" s="2" t="s">
        <v>155</v>
      </c>
      <c r="F1049" s="2" t="s">
        <v>537</v>
      </c>
      <c r="G1049" s="2" t="s">
        <v>430</v>
      </c>
      <c r="H1049" s="2" t="s">
        <v>431</v>
      </c>
      <c r="I1049" s="26">
        <v>45660</v>
      </c>
      <c r="J1049" s="2">
        <v>51</v>
      </c>
      <c r="K1049" s="2" t="s">
        <v>123</v>
      </c>
      <c r="L1049" s="22">
        <v>1200</v>
      </c>
      <c r="M1049" s="22">
        <v>61200</v>
      </c>
      <c r="N1049" s="18">
        <v>65.45</v>
      </c>
      <c r="O1049" s="26">
        <v>45680</v>
      </c>
      <c r="P1049" s="2" t="s">
        <v>805</v>
      </c>
      <c r="Q1049" s="2" t="s">
        <v>825</v>
      </c>
    </row>
    <row r="1050" spans="2:17" x14ac:dyDescent="0.25">
      <c r="B1050" s="2" t="s">
        <v>1854</v>
      </c>
      <c r="C1050" s="2" t="s">
        <v>156</v>
      </c>
      <c r="D1050" s="2" t="s">
        <v>157</v>
      </c>
      <c r="E1050" s="2" t="s">
        <v>155</v>
      </c>
      <c r="F1050" s="2" t="s">
        <v>535</v>
      </c>
      <c r="G1050" s="2" t="s">
        <v>425</v>
      </c>
      <c r="H1050" s="2" t="s">
        <v>426</v>
      </c>
      <c r="I1050" s="26">
        <v>45667</v>
      </c>
      <c r="J1050" s="2">
        <v>51</v>
      </c>
      <c r="K1050" s="2" t="s">
        <v>123</v>
      </c>
      <c r="L1050" s="22">
        <v>1050</v>
      </c>
      <c r="M1050" s="22">
        <v>53550</v>
      </c>
      <c r="N1050" s="18">
        <v>57.27</v>
      </c>
      <c r="O1050" s="26">
        <v>45687</v>
      </c>
      <c r="P1050" s="2" t="s">
        <v>805</v>
      </c>
      <c r="Q1050" s="2" t="s">
        <v>825</v>
      </c>
    </row>
    <row r="1051" spans="2:17" x14ac:dyDescent="0.25">
      <c r="B1051" s="2" t="s">
        <v>1855</v>
      </c>
      <c r="C1051" s="2" t="s">
        <v>156</v>
      </c>
      <c r="D1051" s="2" t="s">
        <v>157</v>
      </c>
      <c r="E1051" s="2" t="s">
        <v>155</v>
      </c>
      <c r="F1051" s="2" t="s">
        <v>535</v>
      </c>
      <c r="G1051" s="2" t="s">
        <v>425</v>
      </c>
      <c r="H1051" s="2" t="s">
        <v>426</v>
      </c>
      <c r="I1051" s="26">
        <v>45674</v>
      </c>
      <c r="J1051" s="2">
        <v>44</v>
      </c>
      <c r="K1051" s="2" t="s">
        <v>123</v>
      </c>
      <c r="L1051" s="22">
        <v>1050</v>
      </c>
      <c r="M1051" s="22">
        <v>46200</v>
      </c>
      <c r="N1051" s="18">
        <v>49.41</v>
      </c>
      <c r="O1051" s="26">
        <v>45694</v>
      </c>
      <c r="P1051" s="2" t="s">
        <v>805</v>
      </c>
      <c r="Q1051" s="2" t="s">
        <v>825</v>
      </c>
    </row>
    <row r="1052" spans="2:17" x14ac:dyDescent="0.25">
      <c r="B1052" s="2" t="s">
        <v>1856</v>
      </c>
      <c r="C1052" s="2" t="s">
        <v>156</v>
      </c>
      <c r="D1052" s="2" t="s">
        <v>157</v>
      </c>
      <c r="E1052" s="2" t="s">
        <v>155</v>
      </c>
      <c r="F1052" s="2" t="s">
        <v>535</v>
      </c>
      <c r="G1052" s="2" t="s">
        <v>425</v>
      </c>
      <c r="H1052" s="2" t="s">
        <v>426</v>
      </c>
      <c r="I1052" s="26">
        <v>45679</v>
      </c>
      <c r="J1052" s="2">
        <v>50</v>
      </c>
      <c r="K1052" s="2" t="s">
        <v>123</v>
      </c>
      <c r="L1052" s="22">
        <v>1050</v>
      </c>
      <c r="M1052" s="22">
        <v>52500</v>
      </c>
      <c r="N1052" s="18">
        <v>56.15</v>
      </c>
      <c r="O1052" s="26">
        <v>45699</v>
      </c>
      <c r="P1052" s="2" t="s">
        <v>805</v>
      </c>
      <c r="Q1052" s="2" t="s">
        <v>825</v>
      </c>
    </row>
    <row r="1053" spans="2:17" x14ac:dyDescent="0.25">
      <c r="B1053" s="2" t="s">
        <v>1857</v>
      </c>
      <c r="C1053" s="2" t="s">
        <v>156</v>
      </c>
      <c r="D1053" s="2" t="s">
        <v>157</v>
      </c>
      <c r="E1053" s="2" t="s">
        <v>155</v>
      </c>
      <c r="F1053" s="2" t="s">
        <v>535</v>
      </c>
      <c r="G1053" s="2" t="s">
        <v>425</v>
      </c>
      <c r="H1053" s="2" t="s">
        <v>426</v>
      </c>
      <c r="I1053" s="26">
        <v>45686</v>
      </c>
      <c r="J1053" s="2">
        <v>48</v>
      </c>
      <c r="K1053" s="2" t="s">
        <v>123</v>
      </c>
      <c r="L1053" s="22">
        <v>1050</v>
      </c>
      <c r="M1053" s="22">
        <v>50400</v>
      </c>
      <c r="N1053" s="18">
        <v>53.9</v>
      </c>
      <c r="O1053" s="26">
        <v>45706</v>
      </c>
      <c r="P1053" s="2" t="s">
        <v>805</v>
      </c>
      <c r="Q1053" s="2" t="s">
        <v>825</v>
      </c>
    </row>
    <row r="1054" spans="2:17" x14ac:dyDescent="0.25">
      <c r="B1054" s="2" t="s">
        <v>1858</v>
      </c>
      <c r="C1054" s="2" t="s">
        <v>156</v>
      </c>
      <c r="D1054" s="2" t="s">
        <v>157</v>
      </c>
      <c r="E1054" s="2" t="s">
        <v>155</v>
      </c>
      <c r="F1054" s="2" t="s">
        <v>535</v>
      </c>
      <c r="G1054" s="2" t="s">
        <v>425</v>
      </c>
      <c r="H1054" s="2" t="s">
        <v>426</v>
      </c>
      <c r="I1054" s="26">
        <v>45692</v>
      </c>
      <c r="J1054" s="2">
        <v>52</v>
      </c>
      <c r="K1054" s="2" t="s">
        <v>123</v>
      </c>
      <c r="L1054" s="22">
        <v>1050</v>
      </c>
      <c r="M1054" s="22">
        <v>54600</v>
      </c>
      <c r="N1054" s="18">
        <v>58.4</v>
      </c>
      <c r="O1054" s="26">
        <v>45712</v>
      </c>
      <c r="P1054" s="2" t="s">
        <v>805</v>
      </c>
      <c r="Q1054" s="2" t="s">
        <v>825</v>
      </c>
    </row>
    <row r="1055" spans="2:17" x14ac:dyDescent="0.25">
      <c r="B1055" s="2" t="s">
        <v>1859</v>
      </c>
      <c r="C1055" s="2" t="s">
        <v>156</v>
      </c>
      <c r="D1055" s="2" t="s">
        <v>157</v>
      </c>
      <c r="E1055" s="2" t="s">
        <v>155</v>
      </c>
      <c r="F1055" s="2" t="s">
        <v>535</v>
      </c>
      <c r="G1055" s="2" t="s">
        <v>425</v>
      </c>
      <c r="H1055" s="2" t="s">
        <v>426</v>
      </c>
      <c r="I1055" s="26">
        <v>45700</v>
      </c>
      <c r="J1055" s="2">
        <v>46</v>
      </c>
      <c r="K1055" s="2" t="s">
        <v>123</v>
      </c>
      <c r="L1055" s="22">
        <v>1050</v>
      </c>
      <c r="M1055" s="22">
        <v>48300</v>
      </c>
      <c r="N1055" s="18">
        <v>51.66</v>
      </c>
      <c r="O1055" s="26">
        <v>45720</v>
      </c>
      <c r="P1055" s="2" t="s">
        <v>805</v>
      </c>
      <c r="Q1055" s="2" t="s">
        <v>825</v>
      </c>
    </row>
    <row r="1056" spans="2:17" x14ac:dyDescent="0.25">
      <c r="B1056" s="2" t="s">
        <v>1860</v>
      </c>
      <c r="C1056" s="2" t="s">
        <v>156</v>
      </c>
      <c r="D1056" s="2" t="s">
        <v>157</v>
      </c>
      <c r="E1056" s="2" t="s">
        <v>155</v>
      </c>
      <c r="F1056" s="2" t="s">
        <v>535</v>
      </c>
      <c r="G1056" s="2" t="s">
        <v>425</v>
      </c>
      <c r="H1056" s="2" t="s">
        <v>426</v>
      </c>
      <c r="I1056" s="26">
        <v>45706</v>
      </c>
      <c r="J1056" s="2">
        <v>53</v>
      </c>
      <c r="K1056" s="2" t="s">
        <v>123</v>
      </c>
      <c r="L1056" s="22">
        <v>1050</v>
      </c>
      <c r="M1056" s="22">
        <v>55650</v>
      </c>
      <c r="N1056" s="18">
        <v>59.52</v>
      </c>
      <c r="O1056" s="26">
        <v>45726</v>
      </c>
      <c r="P1056" s="2" t="s">
        <v>805</v>
      </c>
      <c r="Q1056" s="2" t="s">
        <v>825</v>
      </c>
    </row>
    <row r="1057" spans="2:17" x14ac:dyDescent="0.25">
      <c r="B1057" s="2" t="s">
        <v>1861</v>
      </c>
      <c r="C1057" s="2" t="s">
        <v>156</v>
      </c>
      <c r="D1057" s="2" t="s">
        <v>157</v>
      </c>
      <c r="E1057" s="2" t="s">
        <v>155</v>
      </c>
      <c r="F1057" s="2" t="s">
        <v>535</v>
      </c>
      <c r="G1057" s="2" t="s">
        <v>425</v>
      </c>
      <c r="H1057" s="2" t="s">
        <v>426</v>
      </c>
      <c r="I1057" s="26">
        <v>45711</v>
      </c>
      <c r="J1057" s="2">
        <v>47</v>
      </c>
      <c r="K1057" s="2" t="s">
        <v>123</v>
      </c>
      <c r="L1057" s="22">
        <v>1050</v>
      </c>
      <c r="M1057" s="22">
        <v>49350</v>
      </c>
      <c r="N1057" s="18">
        <v>52.78</v>
      </c>
      <c r="O1057" s="26">
        <v>45731</v>
      </c>
      <c r="P1057" s="2" t="s">
        <v>805</v>
      </c>
      <c r="Q1057" s="2" t="s">
        <v>825</v>
      </c>
    </row>
    <row r="1058" spans="2:17" x14ac:dyDescent="0.25">
      <c r="B1058" s="2" t="s">
        <v>1862</v>
      </c>
      <c r="C1058" s="2" t="s">
        <v>156</v>
      </c>
      <c r="D1058" s="2" t="s">
        <v>157</v>
      </c>
      <c r="E1058" s="2" t="s">
        <v>155</v>
      </c>
      <c r="F1058" s="2" t="s">
        <v>537</v>
      </c>
      <c r="G1058" s="2" t="s">
        <v>430</v>
      </c>
      <c r="H1058" s="2" t="s">
        <v>431</v>
      </c>
      <c r="I1058" s="26">
        <v>45718</v>
      </c>
      <c r="J1058" s="2">
        <v>54</v>
      </c>
      <c r="K1058" s="2" t="s">
        <v>123</v>
      </c>
      <c r="L1058" s="22">
        <v>1200</v>
      </c>
      <c r="M1058" s="22">
        <v>64800</v>
      </c>
      <c r="N1058" s="18">
        <v>69.3</v>
      </c>
      <c r="O1058" s="26">
        <v>45738</v>
      </c>
      <c r="P1058" s="2" t="s">
        <v>805</v>
      </c>
      <c r="Q1058" s="2" t="s">
        <v>836</v>
      </c>
    </row>
    <row r="1059" spans="2:17" x14ac:dyDescent="0.25">
      <c r="B1059" s="2" t="s">
        <v>1863</v>
      </c>
      <c r="C1059" s="2" t="s">
        <v>156</v>
      </c>
      <c r="D1059" s="2" t="s">
        <v>157</v>
      </c>
      <c r="E1059" s="2" t="s">
        <v>155</v>
      </c>
      <c r="F1059" s="2" t="s">
        <v>537</v>
      </c>
      <c r="G1059" s="2" t="s">
        <v>430</v>
      </c>
      <c r="H1059" s="2" t="s">
        <v>431</v>
      </c>
      <c r="I1059" s="26">
        <v>45724</v>
      </c>
      <c r="J1059" s="2">
        <v>56</v>
      </c>
      <c r="K1059" s="2" t="s">
        <v>123</v>
      </c>
      <c r="L1059" s="22">
        <v>1200</v>
      </c>
      <c r="M1059" s="22">
        <v>67200</v>
      </c>
      <c r="N1059" s="18">
        <v>71.87</v>
      </c>
      <c r="O1059" s="26">
        <v>45744</v>
      </c>
      <c r="P1059" s="2" t="s">
        <v>805</v>
      </c>
      <c r="Q1059" s="2" t="s">
        <v>836</v>
      </c>
    </row>
    <row r="1060" spans="2:17" x14ac:dyDescent="0.25">
      <c r="B1060" s="2" t="s">
        <v>1864</v>
      </c>
      <c r="C1060" s="2" t="s">
        <v>156</v>
      </c>
      <c r="D1060" s="2" t="s">
        <v>157</v>
      </c>
      <c r="E1060" s="2" t="s">
        <v>155</v>
      </c>
      <c r="F1060" s="2" t="s">
        <v>535</v>
      </c>
      <c r="G1060" s="2" t="s">
        <v>425</v>
      </c>
      <c r="H1060" s="2" t="s">
        <v>426</v>
      </c>
      <c r="I1060" s="26">
        <v>45731</v>
      </c>
      <c r="J1060" s="2">
        <v>54</v>
      </c>
      <c r="K1060" s="2" t="s">
        <v>123</v>
      </c>
      <c r="L1060" s="22">
        <v>1050</v>
      </c>
      <c r="M1060" s="22">
        <v>56700</v>
      </c>
      <c r="N1060" s="18">
        <v>60.64</v>
      </c>
      <c r="O1060" s="26">
        <v>45751</v>
      </c>
      <c r="P1060" s="2" t="s">
        <v>805</v>
      </c>
      <c r="Q1060" s="2" t="s">
        <v>836</v>
      </c>
    </row>
    <row r="1061" spans="2:17" x14ac:dyDescent="0.25">
      <c r="B1061" s="2" t="s">
        <v>1865</v>
      </c>
      <c r="C1061" s="2" t="s">
        <v>156</v>
      </c>
      <c r="D1061" s="2" t="s">
        <v>157</v>
      </c>
      <c r="E1061" s="2" t="s">
        <v>155</v>
      </c>
      <c r="F1061" s="2" t="s">
        <v>535</v>
      </c>
      <c r="G1061" s="2" t="s">
        <v>425</v>
      </c>
      <c r="H1061" s="2" t="s">
        <v>426</v>
      </c>
      <c r="I1061" s="26">
        <v>45738</v>
      </c>
      <c r="J1061" s="2">
        <v>58</v>
      </c>
      <c r="K1061" s="2" t="s">
        <v>123</v>
      </c>
      <c r="L1061" s="22">
        <v>1050</v>
      </c>
      <c r="M1061" s="22">
        <v>60900</v>
      </c>
      <c r="N1061" s="18">
        <v>65.13</v>
      </c>
      <c r="O1061" s="26">
        <v>45758</v>
      </c>
      <c r="P1061" s="2" t="s">
        <v>805</v>
      </c>
      <c r="Q1061" s="2" t="s">
        <v>836</v>
      </c>
    </row>
    <row r="1062" spans="2:17" x14ac:dyDescent="0.25">
      <c r="B1062" s="2" t="s">
        <v>1866</v>
      </c>
      <c r="C1062" s="2" t="s">
        <v>156</v>
      </c>
      <c r="D1062" s="2" t="s">
        <v>157</v>
      </c>
      <c r="E1062" s="2" t="s">
        <v>155</v>
      </c>
      <c r="F1062" s="2" t="s">
        <v>535</v>
      </c>
      <c r="G1062" s="2" t="s">
        <v>425</v>
      </c>
      <c r="H1062" s="2" t="s">
        <v>426</v>
      </c>
      <c r="I1062" s="26">
        <v>45746</v>
      </c>
      <c r="J1062" s="2">
        <v>49</v>
      </c>
      <c r="K1062" s="2" t="s">
        <v>123</v>
      </c>
      <c r="L1062" s="22">
        <v>1050</v>
      </c>
      <c r="M1062" s="22">
        <v>51450</v>
      </c>
      <c r="N1062" s="18">
        <v>55.03</v>
      </c>
      <c r="O1062" s="26">
        <v>45766</v>
      </c>
      <c r="P1062" s="2" t="s">
        <v>805</v>
      </c>
      <c r="Q1062" s="2" t="s">
        <v>836</v>
      </c>
    </row>
    <row r="1063" spans="2:17" x14ac:dyDescent="0.25">
      <c r="B1063" s="2" t="s">
        <v>1867</v>
      </c>
      <c r="C1063" s="2" t="s">
        <v>156</v>
      </c>
      <c r="D1063" s="2" t="s">
        <v>157</v>
      </c>
      <c r="E1063" s="2" t="s">
        <v>155</v>
      </c>
      <c r="F1063" s="2" t="s">
        <v>535</v>
      </c>
      <c r="G1063" s="2" t="s">
        <v>425</v>
      </c>
      <c r="H1063" s="2" t="s">
        <v>426</v>
      </c>
      <c r="I1063" s="26">
        <v>45753</v>
      </c>
      <c r="J1063" s="2">
        <v>18</v>
      </c>
      <c r="K1063" s="2" t="s">
        <v>123</v>
      </c>
      <c r="L1063" s="22">
        <v>1050</v>
      </c>
      <c r="M1063" s="22">
        <v>18900</v>
      </c>
      <c r="N1063" s="18">
        <v>20.21</v>
      </c>
      <c r="O1063" s="26">
        <v>45773</v>
      </c>
      <c r="P1063" s="2" t="s">
        <v>805</v>
      </c>
      <c r="Q1063" s="2" t="s">
        <v>836</v>
      </c>
    </row>
    <row r="1064" spans="2:17" x14ac:dyDescent="0.25">
      <c r="B1064" s="2" t="s">
        <v>1868</v>
      </c>
      <c r="C1064" s="2" t="s">
        <v>156</v>
      </c>
      <c r="D1064" s="2" t="s">
        <v>157</v>
      </c>
      <c r="E1064" s="2" t="s">
        <v>155</v>
      </c>
      <c r="F1064" s="2" t="s">
        <v>535</v>
      </c>
      <c r="G1064" s="2" t="s">
        <v>425</v>
      </c>
      <c r="H1064" s="2" t="s">
        <v>426</v>
      </c>
      <c r="I1064" s="26">
        <v>45761</v>
      </c>
      <c r="J1064" s="2">
        <v>18</v>
      </c>
      <c r="K1064" s="2" t="s">
        <v>123</v>
      </c>
      <c r="L1064" s="22">
        <v>1050</v>
      </c>
      <c r="M1064" s="22">
        <v>18900</v>
      </c>
      <c r="N1064" s="18">
        <v>20.21</v>
      </c>
      <c r="O1064" s="26">
        <v>45781</v>
      </c>
      <c r="P1064" s="2" t="s">
        <v>805</v>
      </c>
      <c r="Q1064" s="2" t="s">
        <v>836</v>
      </c>
    </row>
    <row r="1065" spans="2:17" x14ac:dyDescent="0.25">
      <c r="B1065" s="2" t="s">
        <v>1869</v>
      </c>
      <c r="C1065" s="2" t="s">
        <v>156</v>
      </c>
      <c r="D1065" s="2" t="s">
        <v>157</v>
      </c>
      <c r="E1065" s="2" t="s">
        <v>155</v>
      </c>
      <c r="F1065" s="2" t="s">
        <v>535</v>
      </c>
      <c r="G1065" s="2" t="s">
        <v>425</v>
      </c>
      <c r="H1065" s="2" t="s">
        <v>426</v>
      </c>
      <c r="I1065" s="26">
        <v>45768</v>
      </c>
      <c r="J1065" s="2">
        <v>19</v>
      </c>
      <c r="K1065" s="2" t="s">
        <v>123</v>
      </c>
      <c r="L1065" s="22">
        <v>1050</v>
      </c>
      <c r="M1065" s="22">
        <v>19950</v>
      </c>
      <c r="N1065" s="18">
        <v>21.34</v>
      </c>
      <c r="O1065" s="26">
        <v>45788</v>
      </c>
      <c r="P1065" s="2" t="s">
        <v>805</v>
      </c>
      <c r="Q1065" s="2" t="s">
        <v>836</v>
      </c>
    </row>
    <row r="1066" spans="2:17" x14ac:dyDescent="0.25">
      <c r="B1066" s="2" t="s">
        <v>1870</v>
      </c>
      <c r="C1066" s="2" t="s">
        <v>156</v>
      </c>
      <c r="D1066" s="2" t="s">
        <v>157</v>
      </c>
      <c r="E1066" s="2" t="s">
        <v>155</v>
      </c>
      <c r="F1066" s="2" t="s">
        <v>535</v>
      </c>
      <c r="G1066" s="2" t="s">
        <v>425</v>
      </c>
      <c r="H1066" s="2" t="s">
        <v>426</v>
      </c>
      <c r="I1066" s="26">
        <v>45775</v>
      </c>
      <c r="J1066" s="2">
        <v>19</v>
      </c>
      <c r="K1066" s="2" t="s">
        <v>123</v>
      </c>
      <c r="L1066" s="22">
        <v>1050</v>
      </c>
      <c r="M1066" s="22">
        <v>19950</v>
      </c>
      <c r="N1066" s="18">
        <v>21.34</v>
      </c>
      <c r="O1066" s="26">
        <v>45795</v>
      </c>
      <c r="P1066" s="2" t="s">
        <v>805</v>
      </c>
      <c r="Q1066" s="2" t="s">
        <v>836</v>
      </c>
    </row>
    <row r="1067" spans="2:17" x14ac:dyDescent="0.25">
      <c r="B1067" s="2" t="s">
        <v>1871</v>
      </c>
      <c r="C1067" s="2" t="s">
        <v>156</v>
      </c>
      <c r="D1067" s="2" t="s">
        <v>157</v>
      </c>
      <c r="E1067" s="2" t="s">
        <v>155</v>
      </c>
      <c r="F1067" s="2" t="s">
        <v>535</v>
      </c>
      <c r="G1067" s="2" t="s">
        <v>425</v>
      </c>
      <c r="H1067" s="2" t="s">
        <v>426</v>
      </c>
      <c r="I1067" s="26">
        <v>45783</v>
      </c>
      <c r="J1067" s="2">
        <v>21</v>
      </c>
      <c r="K1067" s="2" t="s">
        <v>123</v>
      </c>
      <c r="L1067" s="22">
        <v>1050</v>
      </c>
      <c r="M1067" s="22">
        <v>22050</v>
      </c>
      <c r="N1067" s="18">
        <v>23.58</v>
      </c>
      <c r="O1067" s="26">
        <v>45803</v>
      </c>
      <c r="P1067" s="2" t="s">
        <v>805</v>
      </c>
      <c r="Q1067" s="2" t="s">
        <v>836</v>
      </c>
    </row>
    <row r="1068" spans="2:17" x14ac:dyDescent="0.25">
      <c r="B1068" s="2" t="s">
        <v>1872</v>
      </c>
      <c r="C1068" s="2" t="s">
        <v>156</v>
      </c>
      <c r="D1068" s="2" t="s">
        <v>157</v>
      </c>
      <c r="E1068" s="2" t="s">
        <v>155</v>
      </c>
      <c r="F1068" s="2" t="s">
        <v>535</v>
      </c>
      <c r="G1068" s="2" t="s">
        <v>425</v>
      </c>
      <c r="H1068" s="2" t="s">
        <v>426</v>
      </c>
      <c r="I1068" s="26">
        <v>45790</v>
      </c>
      <c r="J1068" s="2">
        <v>17</v>
      </c>
      <c r="K1068" s="2" t="s">
        <v>123</v>
      </c>
      <c r="L1068" s="22">
        <v>1050</v>
      </c>
      <c r="M1068" s="22">
        <v>17850</v>
      </c>
      <c r="N1068" s="18">
        <v>19.09</v>
      </c>
      <c r="O1068" s="26">
        <v>45810</v>
      </c>
      <c r="P1068" s="2" t="s">
        <v>805</v>
      </c>
      <c r="Q1068" s="2" t="s">
        <v>836</v>
      </c>
    </row>
    <row r="1069" spans="2:17" x14ac:dyDescent="0.25">
      <c r="B1069" s="2" t="s">
        <v>1873</v>
      </c>
      <c r="C1069" s="2" t="s">
        <v>156</v>
      </c>
      <c r="D1069" s="2" t="s">
        <v>157</v>
      </c>
      <c r="E1069" s="2" t="s">
        <v>155</v>
      </c>
      <c r="F1069" s="2" t="s">
        <v>535</v>
      </c>
      <c r="G1069" s="2" t="s">
        <v>425</v>
      </c>
      <c r="H1069" s="2" t="s">
        <v>426</v>
      </c>
      <c r="I1069" s="26">
        <v>45796</v>
      </c>
      <c r="J1069" s="2">
        <v>22</v>
      </c>
      <c r="K1069" s="2" t="s">
        <v>123</v>
      </c>
      <c r="L1069" s="22">
        <v>1050</v>
      </c>
      <c r="M1069" s="22">
        <v>23100</v>
      </c>
      <c r="N1069" s="18">
        <v>24.71</v>
      </c>
      <c r="O1069" s="26">
        <v>45816</v>
      </c>
      <c r="P1069" s="2" t="s">
        <v>805</v>
      </c>
      <c r="Q1069" s="2" t="s">
        <v>836</v>
      </c>
    </row>
    <row r="1070" spans="2:17" x14ac:dyDescent="0.25">
      <c r="B1070" s="2" t="s">
        <v>1874</v>
      </c>
      <c r="C1070" s="2" t="s">
        <v>156</v>
      </c>
      <c r="D1070" s="2" t="s">
        <v>157</v>
      </c>
      <c r="E1070" s="2" t="s">
        <v>155</v>
      </c>
      <c r="F1070" s="2" t="s">
        <v>535</v>
      </c>
      <c r="G1070" s="2" t="s">
        <v>425</v>
      </c>
      <c r="H1070" s="2" t="s">
        <v>426</v>
      </c>
      <c r="I1070" s="26">
        <v>45802</v>
      </c>
      <c r="J1070" s="2">
        <v>22</v>
      </c>
      <c r="K1070" s="2" t="s">
        <v>123</v>
      </c>
      <c r="L1070" s="22">
        <v>1050</v>
      </c>
      <c r="M1070" s="22">
        <v>23100</v>
      </c>
      <c r="N1070" s="18">
        <v>24.71</v>
      </c>
      <c r="O1070" s="26">
        <v>45822</v>
      </c>
      <c r="P1070" s="2" t="s">
        <v>805</v>
      </c>
      <c r="Q1070" s="2" t="s">
        <v>836</v>
      </c>
    </row>
    <row r="1071" spans="2:17" x14ac:dyDescent="0.25">
      <c r="B1071" s="2" t="s">
        <v>1875</v>
      </c>
      <c r="C1071" s="2" t="s">
        <v>156</v>
      </c>
      <c r="D1071" s="2" t="s">
        <v>157</v>
      </c>
      <c r="E1071" s="2" t="s">
        <v>155</v>
      </c>
      <c r="F1071" s="2" t="s">
        <v>537</v>
      </c>
      <c r="G1071" s="2" t="s">
        <v>430</v>
      </c>
      <c r="H1071" s="2" t="s">
        <v>431</v>
      </c>
      <c r="I1071" s="26">
        <v>45808</v>
      </c>
      <c r="J1071" s="2">
        <v>21</v>
      </c>
      <c r="K1071" s="2" t="s">
        <v>123</v>
      </c>
      <c r="L1071" s="22">
        <v>1200</v>
      </c>
      <c r="M1071" s="22">
        <v>25200</v>
      </c>
      <c r="N1071" s="18">
        <v>26.95</v>
      </c>
      <c r="O1071" s="26">
        <v>45828</v>
      </c>
      <c r="P1071" s="2" t="s">
        <v>805</v>
      </c>
      <c r="Q1071" s="2" t="s">
        <v>836</v>
      </c>
    </row>
    <row r="1072" spans="2:17" x14ac:dyDescent="0.25">
      <c r="B1072" s="2" t="s">
        <v>1876</v>
      </c>
      <c r="C1072" s="2" t="s">
        <v>156</v>
      </c>
      <c r="D1072" s="2" t="s">
        <v>157</v>
      </c>
      <c r="E1072" s="2" t="s">
        <v>155</v>
      </c>
      <c r="F1072" s="2" t="s">
        <v>537</v>
      </c>
      <c r="G1072" s="2" t="s">
        <v>430</v>
      </c>
      <c r="H1072" s="2" t="s">
        <v>431</v>
      </c>
      <c r="I1072" s="26">
        <v>45815</v>
      </c>
      <c r="J1072" s="2">
        <v>20</v>
      </c>
      <c r="K1072" s="2" t="s">
        <v>123</v>
      </c>
      <c r="L1072" s="22">
        <v>1200</v>
      </c>
      <c r="M1072" s="22">
        <v>24000</v>
      </c>
      <c r="N1072" s="18">
        <v>25.67</v>
      </c>
      <c r="O1072" s="26">
        <v>45835</v>
      </c>
      <c r="P1072" s="2" t="s">
        <v>805</v>
      </c>
      <c r="Q1072" s="2" t="s">
        <v>806</v>
      </c>
    </row>
    <row r="1073" spans="2:17" x14ac:dyDescent="0.25">
      <c r="B1073" s="2" t="s">
        <v>1877</v>
      </c>
      <c r="C1073" s="2" t="s">
        <v>156</v>
      </c>
      <c r="D1073" s="2" t="s">
        <v>157</v>
      </c>
      <c r="E1073" s="2" t="s">
        <v>155</v>
      </c>
      <c r="F1073" s="2" t="s">
        <v>535</v>
      </c>
      <c r="G1073" s="2" t="s">
        <v>425</v>
      </c>
      <c r="H1073" s="2" t="s">
        <v>426</v>
      </c>
      <c r="I1073" s="26">
        <v>45821</v>
      </c>
      <c r="J1073" s="2">
        <v>19</v>
      </c>
      <c r="K1073" s="2" t="s">
        <v>123</v>
      </c>
      <c r="L1073" s="22">
        <v>1050</v>
      </c>
      <c r="M1073" s="22">
        <v>19950</v>
      </c>
      <c r="N1073" s="18">
        <v>21.34</v>
      </c>
      <c r="O1073" s="26">
        <v>45841</v>
      </c>
      <c r="P1073" s="2" t="s">
        <v>805</v>
      </c>
      <c r="Q1073" s="2" t="s">
        <v>806</v>
      </c>
    </row>
    <row r="1074" spans="2:17" x14ac:dyDescent="0.25">
      <c r="B1074" s="2" t="s">
        <v>1878</v>
      </c>
      <c r="C1074" s="2" t="s">
        <v>156</v>
      </c>
      <c r="D1074" s="2" t="s">
        <v>157</v>
      </c>
      <c r="E1074" s="2" t="s">
        <v>155</v>
      </c>
      <c r="F1074" s="2" t="s">
        <v>535</v>
      </c>
      <c r="G1074" s="2" t="s">
        <v>425</v>
      </c>
      <c r="H1074" s="2" t="s">
        <v>426</v>
      </c>
      <c r="I1074" s="26">
        <v>45826</v>
      </c>
      <c r="J1074" s="2">
        <v>22</v>
      </c>
      <c r="K1074" s="2" t="s">
        <v>123</v>
      </c>
      <c r="L1074" s="22">
        <v>1050</v>
      </c>
      <c r="M1074" s="22">
        <v>23100</v>
      </c>
      <c r="N1074" s="18">
        <v>24.71</v>
      </c>
      <c r="O1074" s="26">
        <v>45846</v>
      </c>
      <c r="P1074" s="2" t="s">
        <v>805</v>
      </c>
      <c r="Q1074" s="2" t="s">
        <v>806</v>
      </c>
    </row>
    <row r="1075" spans="2:17" x14ac:dyDescent="0.25">
      <c r="B1075" s="2" t="s">
        <v>1879</v>
      </c>
      <c r="C1075" s="2" t="s">
        <v>156</v>
      </c>
      <c r="D1075" s="2" t="s">
        <v>157</v>
      </c>
      <c r="E1075" s="2" t="s">
        <v>155</v>
      </c>
      <c r="F1075" s="2" t="s">
        <v>535</v>
      </c>
      <c r="G1075" s="2" t="s">
        <v>425</v>
      </c>
      <c r="H1075" s="2" t="s">
        <v>426</v>
      </c>
      <c r="I1075" s="26">
        <v>45832</v>
      </c>
      <c r="J1075" s="2">
        <v>19</v>
      </c>
      <c r="K1075" s="2" t="s">
        <v>123</v>
      </c>
      <c r="L1075" s="22">
        <v>1050</v>
      </c>
      <c r="M1075" s="22">
        <v>19950</v>
      </c>
      <c r="N1075" s="18">
        <v>21.34</v>
      </c>
      <c r="O1075" s="26">
        <v>45852</v>
      </c>
      <c r="P1075" s="2" t="s">
        <v>805</v>
      </c>
      <c r="Q1075" s="2" t="s">
        <v>806</v>
      </c>
    </row>
    <row r="1076" spans="2:17" x14ac:dyDescent="0.25">
      <c r="B1076" s="2" t="s">
        <v>1880</v>
      </c>
      <c r="C1076" s="2" t="s">
        <v>158</v>
      </c>
      <c r="D1076" s="2" t="s">
        <v>159</v>
      </c>
      <c r="E1076" s="2" t="s">
        <v>155</v>
      </c>
      <c r="F1076" s="2" t="s">
        <v>535</v>
      </c>
      <c r="G1076" s="2" t="s">
        <v>425</v>
      </c>
      <c r="H1076" s="2" t="s">
        <v>426</v>
      </c>
      <c r="I1076" s="26">
        <v>45109</v>
      </c>
      <c r="J1076" s="2">
        <v>18</v>
      </c>
      <c r="K1076" s="2" t="s">
        <v>123</v>
      </c>
      <c r="L1076" s="22">
        <v>1150</v>
      </c>
      <c r="M1076" s="22">
        <v>20700</v>
      </c>
      <c r="N1076" s="18">
        <v>22.14</v>
      </c>
      <c r="O1076" s="26">
        <v>45129</v>
      </c>
      <c r="P1076" s="2" t="s">
        <v>805</v>
      </c>
      <c r="Q1076" s="2" t="s">
        <v>806</v>
      </c>
    </row>
    <row r="1077" spans="2:17" x14ac:dyDescent="0.25">
      <c r="B1077" s="2" t="s">
        <v>1881</v>
      </c>
      <c r="C1077" s="2" t="s">
        <v>158</v>
      </c>
      <c r="D1077" s="2" t="s">
        <v>159</v>
      </c>
      <c r="E1077" s="2" t="s">
        <v>155</v>
      </c>
      <c r="F1077" s="2" t="s">
        <v>535</v>
      </c>
      <c r="G1077" s="2" t="s">
        <v>425</v>
      </c>
      <c r="H1077" s="2" t="s">
        <v>426</v>
      </c>
      <c r="I1077" s="26">
        <v>45116</v>
      </c>
      <c r="J1077" s="2">
        <v>20</v>
      </c>
      <c r="K1077" s="2" t="s">
        <v>123</v>
      </c>
      <c r="L1077" s="22">
        <v>1150</v>
      </c>
      <c r="M1077" s="22">
        <v>23000</v>
      </c>
      <c r="N1077" s="18">
        <v>24.6</v>
      </c>
      <c r="O1077" s="26">
        <v>45136</v>
      </c>
      <c r="P1077" s="2" t="s">
        <v>805</v>
      </c>
      <c r="Q1077" s="2" t="s">
        <v>806</v>
      </c>
    </row>
    <row r="1078" spans="2:17" x14ac:dyDescent="0.25">
      <c r="B1078" s="2" t="s">
        <v>1882</v>
      </c>
      <c r="C1078" s="2" t="s">
        <v>158</v>
      </c>
      <c r="D1078" s="2" t="s">
        <v>159</v>
      </c>
      <c r="E1078" s="2" t="s">
        <v>155</v>
      </c>
      <c r="F1078" s="2" t="s">
        <v>535</v>
      </c>
      <c r="G1078" s="2" t="s">
        <v>425</v>
      </c>
      <c r="H1078" s="2" t="s">
        <v>426</v>
      </c>
      <c r="I1078" s="26">
        <v>45124</v>
      </c>
      <c r="J1078" s="2">
        <v>18</v>
      </c>
      <c r="K1078" s="2" t="s">
        <v>123</v>
      </c>
      <c r="L1078" s="22">
        <v>1150</v>
      </c>
      <c r="M1078" s="22">
        <v>20700</v>
      </c>
      <c r="N1078" s="18">
        <v>22.14</v>
      </c>
      <c r="O1078" s="26">
        <v>45144</v>
      </c>
      <c r="P1078" s="2" t="s">
        <v>805</v>
      </c>
      <c r="Q1078" s="2" t="s">
        <v>806</v>
      </c>
    </row>
    <row r="1079" spans="2:17" x14ac:dyDescent="0.25">
      <c r="B1079" s="2" t="s">
        <v>1883</v>
      </c>
      <c r="C1079" s="2" t="s">
        <v>158</v>
      </c>
      <c r="D1079" s="2" t="s">
        <v>159</v>
      </c>
      <c r="E1079" s="2" t="s">
        <v>155</v>
      </c>
      <c r="F1079" s="2" t="s">
        <v>535</v>
      </c>
      <c r="G1079" s="2" t="s">
        <v>425</v>
      </c>
      <c r="H1079" s="2" t="s">
        <v>426</v>
      </c>
      <c r="I1079" s="26">
        <v>45130</v>
      </c>
      <c r="J1079" s="2">
        <v>17</v>
      </c>
      <c r="K1079" s="2" t="s">
        <v>123</v>
      </c>
      <c r="L1079" s="22">
        <v>1150</v>
      </c>
      <c r="M1079" s="22">
        <v>19550</v>
      </c>
      <c r="N1079" s="18">
        <v>20.91</v>
      </c>
      <c r="O1079" s="26">
        <v>45150</v>
      </c>
      <c r="P1079" s="2" t="s">
        <v>805</v>
      </c>
      <c r="Q1079" s="2" t="s">
        <v>806</v>
      </c>
    </row>
    <row r="1080" spans="2:17" x14ac:dyDescent="0.25">
      <c r="B1080" s="2" t="s">
        <v>1884</v>
      </c>
      <c r="C1080" s="2" t="s">
        <v>158</v>
      </c>
      <c r="D1080" s="2" t="s">
        <v>159</v>
      </c>
      <c r="E1080" s="2" t="s">
        <v>155</v>
      </c>
      <c r="F1080" s="2" t="s">
        <v>535</v>
      </c>
      <c r="G1080" s="2" t="s">
        <v>425</v>
      </c>
      <c r="H1080" s="2" t="s">
        <v>426</v>
      </c>
      <c r="I1080" s="26">
        <v>45136</v>
      </c>
      <c r="J1080" s="2">
        <v>19</v>
      </c>
      <c r="K1080" s="2" t="s">
        <v>123</v>
      </c>
      <c r="L1080" s="22">
        <v>1150</v>
      </c>
      <c r="M1080" s="22">
        <v>21850</v>
      </c>
      <c r="N1080" s="18">
        <v>23.37</v>
      </c>
      <c r="O1080" s="26">
        <v>45156</v>
      </c>
      <c r="P1080" s="2" t="s">
        <v>805</v>
      </c>
      <c r="Q1080" s="2" t="s">
        <v>806</v>
      </c>
    </row>
    <row r="1081" spans="2:17" x14ac:dyDescent="0.25">
      <c r="B1081" s="2" t="s">
        <v>1885</v>
      </c>
      <c r="C1081" s="2" t="s">
        <v>158</v>
      </c>
      <c r="D1081" s="2" t="s">
        <v>159</v>
      </c>
      <c r="E1081" s="2" t="s">
        <v>155</v>
      </c>
      <c r="F1081" s="2" t="s">
        <v>535</v>
      </c>
      <c r="G1081" s="2" t="s">
        <v>425</v>
      </c>
      <c r="H1081" s="2" t="s">
        <v>426</v>
      </c>
      <c r="I1081" s="26">
        <v>45142</v>
      </c>
      <c r="J1081" s="2">
        <v>16</v>
      </c>
      <c r="K1081" s="2" t="s">
        <v>123</v>
      </c>
      <c r="L1081" s="22">
        <v>1150</v>
      </c>
      <c r="M1081" s="22">
        <v>18400</v>
      </c>
      <c r="N1081" s="18">
        <v>19.68</v>
      </c>
      <c r="O1081" s="26">
        <v>45162</v>
      </c>
      <c r="P1081" s="2" t="s">
        <v>805</v>
      </c>
      <c r="Q1081" s="2" t="s">
        <v>806</v>
      </c>
    </row>
    <row r="1082" spans="2:17" x14ac:dyDescent="0.25">
      <c r="B1082" s="2" t="s">
        <v>1886</v>
      </c>
      <c r="C1082" s="2" t="s">
        <v>158</v>
      </c>
      <c r="D1082" s="2" t="s">
        <v>159</v>
      </c>
      <c r="E1082" s="2" t="s">
        <v>155</v>
      </c>
      <c r="F1082" s="2" t="s">
        <v>535</v>
      </c>
      <c r="G1082" s="2" t="s">
        <v>425</v>
      </c>
      <c r="H1082" s="2" t="s">
        <v>426</v>
      </c>
      <c r="I1082" s="26">
        <v>45148</v>
      </c>
      <c r="J1082" s="2">
        <v>16</v>
      </c>
      <c r="K1082" s="2" t="s">
        <v>123</v>
      </c>
      <c r="L1082" s="22">
        <v>1150</v>
      </c>
      <c r="M1082" s="22">
        <v>18400</v>
      </c>
      <c r="N1082" s="18">
        <v>19.68</v>
      </c>
      <c r="O1082" s="26">
        <v>45168</v>
      </c>
      <c r="P1082" s="2" t="s">
        <v>805</v>
      </c>
      <c r="Q1082" s="2" t="s">
        <v>806</v>
      </c>
    </row>
    <row r="1083" spans="2:17" x14ac:dyDescent="0.25">
      <c r="B1083" s="2" t="s">
        <v>1887</v>
      </c>
      <c r="C1083" s="2" t="s">
        <v>158</v>
      </c>
      <c r="D1083" s="2" t="s">
        <v>159</v>
      </c>
      <c r="E1083" s="2" t="s">
        <v>155</v>
      </c>
      <c r="F1083" s="2" t="s">
        <v>535</v>
      </c>
      <c r="G1083" s="2" t="s">
        <v>425</v>
      </c>
      <c r="H1083" s="2" t="s">
        <v>426</v>
      </c>
      <c r="I1083" s="26">
        <v>45154</v>
      </c>
      <c r="J1083" s="2">
        <v>16</v>
      </c>
      <c r="K1083" s="2" t="s">
        <v>123</v>
      </c>
      <c r="L1083" s="22">
        <v>1150</v>
      </c>
      <c r="M1083" s="22">
        <v>18400</v>
      </c>
      <c r="N1083" s="18">
        <v>19.68</v>
      </c>
      <c r="O1083" s="26">
        <v>45174</v>
      </c>
      <c r="P1083" s="2" t="s">
        <v>805</v>
      </c>
      <c r="Q1083" s="2" t="s">
        <v>806</v>
      </c>
    </row>
    <row r="1084" spans="2:17" x14ac:dyDescent="0.25">
      <c r="B1084" s="2" t="s">
        <v>1888</v>
      </c>
      <c r="C1084" s="2" t="s">
        <v>158</v>
      </c>
      <c r="D1084" s="2" t="s">
        <v>159</v>
      </c>
      <c r="E1084" s="2" t="s">
        <v>155</v>
      </c>
      <c r="F1084" s="2" t="s">
        <v>535</v>
      </c>
      <c r="G1084" s="2" t="s">
        <v>425</v>
      </c>
      <c r="H1084" s="2" t="s">
        <v>426</v>
      </c>
      <c r="I1084" s="26">
        <v>45161</v>
      </c>
      <c r="J1084" s="2">
        <v>18</v>
      </c>
      <c r="K1084" s="2" t="s">
        <v>123</v>
      </c>
      <c r="L1084" s="22">
        <v>1150</v>
      </c>
      <c r="M1084" s="22">
        <v>20700</v>
      </c>
      <c r="N1084" s="18">
        <v>22.14</v>
      </c>
      <c r="O1084" s="26">
        <v>45181</v>
      </c>
      <c r="P1084" s="2" t="s">
        <v>805</v>
      </c>
      <c r="Q1084" s="2" t="s">
        <v>806</v>
      </c>
    </row>
    <row r="1085" spans="2:17" x14ac:dyDescent="0.25">
      <c r="B1085" s="2" t="s">
        <v>1889</v>
      </c>
      <c r="C1085" s="2" t="s">
        <v>158</v>
      </c>
      <c r="D1085" s="2" t="s">
        <v>159</v>
      </c>
      <c r="E1085" s="2" t="s">
        <v>155</v>
      </c>
      <c r="F1085" s="2" t="s">
        <v>535</v>
      </c>
      <c r="G1085" s="2" t="s">
        <v>425</v>
      </c>
      <c r="H1085" s="2" t="s">
        <v>426</v>
      </c>
      <c r="I1085" s="26">
        <v>45167</v>
      </c>
      <c r="J1085" s="2">
        <v>19</v>
      </c>
      <c r="K1085" s="2" t="s">
        <v>123</v>
      </c>
      <c r="L1085" s="22">
        <v>1150</v>
      </c>
      <c r="M1085" s="22">
        <v>21850</v>
      </c>
      <c r="N1085" s="18">
        <v>23.37</v>
      </c>
      <c r="O1085" s="26">
        <v>45187</v>
      </c>
      <c r="P1085" s="2" t="s">
        <v>805</v>
      </c>
      <c r="Q1085" s="2" t="s">
        <v>806</v>
      </c>
    </row>
    <row r="1086" spans="2:17" x14ac:dyDescent="0.25">
      <c r="B1086" s="2" t="s">
        <v>1890</v>
      </c>
      <c r="C1086" s="2" t="s">
        <v>158</v>
      </c>
      <c r="D1086" s="2" t="s">
        <v>159</v>
      </c>
      <c r="E1086" s="2" t="s">
        <v>155</v>
      </c>
      <c r="F1086" s="2" t="s">
        <v>535</v>
      </c>
      <c r="G1086" s="2" t="s">
        <v>425</v>
      </c>
      <c r="H1086" s="2" t="s">
        <v>426</v>
      </c>
      <c r="I1086" s="26">
        <v>45173</v>
      </c>
      <c r="J1086" s="2">
        <v>20</v>
      </c>
      <c r="K1086" s="2" t="s">
        <v>123</v>
      </c>
      <c r="L1086" s="22">
        <v>1150</v>
      </c>
      <c r="M1086" s="22">
        <v>23000</v>
      </c>
      <c r="N1086" s="18">
        <v>24.6</v>
      </c>
      <c r="O1086" s="26">
        <v>45193</v>
      </c>
      <c r="P1086" s="2" t="s">
        <v>805</v>
      </c>
      <c r="Q1086" s="2" t="s">
        <v>814</v>
      </c>
    </row>
    <row r="1087" spans="2:17" x14ac:dyDescent="0.25">
      <c r="B1087" s="2" t="s">
        <v>1891</v>
      </c>
      <c r="C1087" s="2" t="s">
        <v>158</v>
      </c>
      <c r="D1087" s="2" t="s">
        <v>159</v>
      </c>
      <c r="E1087" s="2" t="s">
        <v>155</v>
      </c>
      <c r="F1087" s="2" t="s">
        <v>535</v>
      </c>
      <c r="G1087" s="2" t="s">
        <v>425</v>
      </c>
      <c r="H1087" s="2" t="s">
        <v>426</v>
      </c>
      <c r="I1087" s="26">
        <v>45180</v>
      </c>
      <c r="J1087" s="2">
        <v>23</v>
      </c>
      <c r="K1087" s="2" t="s">
        <v>123</v>
      </c>
      <c r="L1087" s="22">
        <v>1150</v>
      </c>
      <c r="M1087" s="22">
        <v>26450</v>
      </c>
      <c r="N1087" s="18">
        <v>28.29</v>
      </c>
      <c r="O1087" s="26">
        <v>45200</v>
      </c>
      <c r="P1087" s="2" t="s">
        <v>805</v>
      </c>
      <c r="Q1087" s="2" t="s">
        <v>814</v>
      </c>
    </row>
    <row r="1088" spans="2:17" x14ac:dyDescent="0.25">
      <c r="B1088" s="2" t="s">
        <v>1892</v>
      </c>
      <c r="C1088" s="2" t="s">
        <v>158</v>
      </c>
      <c r="D1088" s="2" t="s">
        <v>159</v>
      </c>
      <c r="E1088" s="2" t="s">
        <v>155</v>
      </c>
      <c r="F1088" s="2" t="s">
        <v>537</v>
      </c>
      <c r="G1088" s="2" t="s">
        <v>430</v>
      </c>
      <c r="H1088" s="2" t="s">
        <v>431</v>
      </c>
      <c r="I1088" s="26">
        <v>45187</v>
      </c>
      <c r="J1088" s="2">
        <v>24</v>
      </c>
      <c r="K1088" s="2" t="s">
        <v>123</v>
      </c>
      <c r="L1088" s="22">
        <v>1100</v>
      </c>
      <c r="M1088" s="22">
        <v>26400</v>
      </c>
      <c r="N1088" s="18">
        <v>28.24</v>
      </c>
      <c r="O1088" s="26">
        <v>45207</v>
      </c>
      <c r="P1088" s="2" t="s">
        <v>805</v>
      </c>
      <c r="Q1088" s="2" t="s">
        <v>814</v>
      </c>
    </row>
    <row r="1089" spans="2:17" x14ac:dyDescent="0.25">
      <c r="B1089" s="2" t="s">
        <v>1893</v>
      </c>
      <c r="C1089" s="2" t="s">
        <v>158</v>
      </c>
      <c r="D1089" s="2" t="s">
        <v>159</v>
      </c>
      <c r="E1089" s="2" t="s">
        <v>155</v>
      </c>
      <c r="F1089" s="2" t="s">
        <v>535</v>
      </c>
      <c r="G1089" s="2" t="s">
        <v>425</v>
      </c>
      <c r="H1089" s="2" t="s">
        <v>426</v>
      </c>
      <c r="I1089" s="26">
        <v>45193</v>
      </c>
      <c r="J1089" s="2">
        <v>23</v>
      </c>
      <c r="K1089" s="2" t="s">
        <v>123</v>
      </c>
      <c r="L1089" s="22">
        <v>1150</v>
      </c>
      <c r="M1089" s="22">
        <v>26450</v>
      </c>
      <c r="N1089" s="18">
        <v>28.29</v>
      </c>
      <c r="O1089" s="26">
        <v>45213</v>
      </c>
      <c r="P1089" s="2" t="s">
        <v>805</v>
      </c>
      <c r="Q1089" s="2" t="s">
        <v>814</v>
      </c>
    </row>
    <row r="1090" spans="2:17" x14ac:dyDescent="0.25">
      <c r="B1090" s="2" t="s">
        <v>1894</v>
      </c>
      <c r="C1090" s="2" t="s">
        <v>158</v>
      </c>
      <c r="D1090" s="2" t="s">
        <v>159</v>
      </c>
      <c r="E1090" s="2" t="s">
        <v>155</v>
      </c>
      <c r="F1090" s="2" t="s">
        <v>535</v>
      </c>
      <c r="G1090" s="2" t="s">
        <v>425</v>
      </c>
      <c r="H1090" s="2" t="s">
        <v>426</v>
      </c>
      <c r="I1090" s="26">
        <v>45199</v>
      </c>
      <c r="J1090" s="2">
        <v>19</v>
      </c>
      <c r="K1090" s="2" t="s">
        <v>123</v>
      </c>
      <c r="L1090" s="22">
        <v>1150</v>
      </c>
      <c r="M1090" s="22">
        <v>21850</v>
      </c>
      <c r="N1090" s="18">
        <v>23.37</v>
      </c>
      <c r="O1090" s="26">
        <v>45219</v>
      </c>
      <c r="P1090" s="2" t="s">
        <v>805</v>
      </c>
      <c r="Q1090" s="2" t="s">
        <v>814</v>
      </c>
    </row>
    <row r="1091" spans="2:17" x14ac:dyDescent="0.25">
      <c r="B1091" s="2" t="s">
        <v>1895</v>
      </c>
      <c r="C1091" s="2" t="s">
        <v>158</v>
      </c>
      <c r="D1091" s="2" t="s">
        <v>159</v>
      </c>
      <c r="E1091" s="2" t="s">
        <v>155</v>
      </c>
      <c r="F1091" s="2" t="s">
        <v>535</v>
      </c>
      <c r="G1091" s="2" t="s">
        <v>425</v>
      </c>
      <c r="H1091" s="2" t="s">
        <v>426</v>
      </c>
      <c r="I1091" s="26">
        <v>45206</v>
      </c>
      <c r="J1091" s="2">
        <v>47</v>
      </c>
      <c r="K1091" s="2" t="s">
        <v>123</v>
      </c>
      <c r="L1091" s="22">
        <v>1150</v>
      </c>
      <c r="M1091" s="22">
        <v>54050</v>
      </c>
      <c r="N1091" s="18">
        <v>57.81</v>
      </c>
      <c r="O1091" s="26">
        <v>45226</v>
      </c>
      <c r="P1091" s="2" t="s">
        <v>805</v>
      </c>
      <c r="Q1091" s="2" t="s">
        <v>814</v>
      </c>
    </row>
    <row r="1092" spans="2:17" x14ac:dyDescent="0.25">
      <c r="B1092" s="2" t="s">
        <v>1896</v>
      </c>
      <c r="C1092" s="2" t="s">
        <v>158</v>
      </c>
      <c r="D1092" s="2" t="s">
        <v>159</v>
      </c>
      <c r="E1092" s="2" t="s">
        <v>155</v>
      </c>
      <c r="F1092" s="2" t="s">
        <v>535</v>
      </c>
      <c r="G1092" s="2" t="s">
        <v>425</v>
      </c>
      <c r="H1092" s="2" t="s">
        <v>426</v>
      </c>
      <c r="I1092" s="26">
        <v>45212</v>
      </c>
      <c r="J1092" s="2">
        <v>51</v>
      </c>
      <c r="K1092" s="2" t="s">
        <v>123</v>
      </c>
      <c r="L1092" s="22">
        <v>1150</v>
      </c>
      <c r="M1092" s="22">
        <v>58650</v>
      </c>
      <c r="N1092" s="18">
        <v>62.73</v>
      </c>
      <c r="O1092" s="26">
        <v>45232</v>
      </c>
      <c r="P1092" s="2" t="s">
        <v>805</v>
      </c>
      <c r="Q1092" s="2" t="s">
        <v>814</v>
      </c>
    </row>
    <row r="1093" spans="2:17" x14ac:dyDescent="0.25">
      <c r="B1093" s="2" t="s">
        <v>1897</v>
      </c>
      <c r="C1093" s="2" t="s">
        <v>158</v>
      </c>
      <c r="D1093" s="2" t="s">
        <v>159</v>
      </c>
      <c r="E1093" s="2" t="s">
        <v>155</v>
      </c>
      <c r="F1093" s="2" t="s">
        <v>535</v>
      </c>
      <c r="G1093" s="2" t="s">
        <v>425</v>
      </c>
      <c r="H1093" s="2" t="s">
        <v>426</v>
      </c>
      <c r="I1093" s="26">
        <v>45220</v>
      </c>
      <c r="J1093" s="2">
        <v>55</v>
      </c>
      <c r="K1093" s="2" t="s">
        <v>123</v>
      </c>
      <c r="L1093" s="22">
        <v>1150</v>
      </c>
      <c r="M1093" s="22">
        <v>63250</v>
      </c>
      <c r="N1093" s="18">
        <v>67.650000000000006</v>
      </c>
      <c r="O1093" s="26">
        <v>45240</v>
      </c>
      <c r="P1093" s="2" t="s">
        <v>805</v>
      </c>
      <c r="Q1093" s="2" t="s">
        <v>814</v>
      </c>
    </row>
    <row r="1094" spans="2:17" x14ac:dyDescent="0.25">
      <c r="B1094" s="2" t="s">
        <v>1898</v>
      </c>
      <c r="C1094" s="2" t="s">
        <v>158</v>
      </c>
      <c r="D1094" s="2" t="s">
        <v>159</v>
      </c>
      <c r="E1094" s="2" t="s">
        <v>155</v>
      </c>
      <c r="F1094" s="2" t="s">
        <v>535</v>
      </c>
      <c r="G1094" s="2" t="s">
        <v>425</v>
      </c>
      <c r="H1094" s="2" t="s">
        <v>426</v>
      </c>
      <c r="I1094" s="26">
        <v>45225</v>
      </c>
      <c r="J1094" s="2">
        <v>45</v>
      </c>
      <c r="K1094" s="2" t="s">
        <v>123</v>
      </c>
      <c r="L1094" s="22">
        <v>1150</v>
      </c>
      <c r="M1094" s="22">
        <v>51750</v>
      </c>
      <c r="N1094" s="18">
        <v>55.35</v>
      </c>
      <c r="O1094" s="26">
        <v>45245</v>
      </c>
      <c r="P1094" s="2" t="s">
        <v>805</v>
      </c>
      <c r="Q1094" s="2" t="s">
        <v>814</v>
      </c>
    </row>
    <row r="1095" spans="2:17" x14ac:dyDescent="0.25">
      <c r="B1095" s="2" t="s">
        <v>1899</v>
      </c>
      <c r="C1095" s="2" t="s">
        <v>158</v>
      </c>
      <c r="D1095" s="2" t="s">
        <v>159</v>
      </c>
      <c r="E1095" s="2" t="s">
        <v>155</v>
      </c>
      <c r="F1095" s="2" t="s">
        <v>535</v>
      </c>
      <c r="G1095" s="2" t="s">
        <v>425</v>
      </c>
      <c r="H1095" s="2" t="s">
        <v>426</v>
      </c>
      <c r="I1095" s="26">
        <v>45230</v>
      </c>
      <c r="J1095" s="2">
        <v>44</v>
      </c>
      <c r="K1095" s="2" t="s">
        <v>123</v>
      </c>
      <c r="L1095" s="22">
        <v>1150</v>
      </c>
      <c r="M1095" s="22">
        <v>50600</v>
      </c>
      <c r="N1095" s="18">
        <v>54.12</v>
      </c>
      <c r="O1095" s="26">
        <v>45250</v>
      </c>
      <c r="P1095" s="2" t="s">
        <v>805</v>
      </c>
      <c r="Q1095" s="2" t="s">
        <v>814</v>
      </c>
    </row>
    <row r="1096" spans="2:17" x14ac:dyDescent="0.25">
      <c r="B1096" s="2" t="s">
        <v>1900</v>
      </c>
      <c r="C1096" s="2" t="s">
        <v>158</v>
      </c>
      <c r="D1096" s="2" t="s">
        <v>159</v>
      </c>
      <c r="E1096" s="2" t="s">
        <v>155</v>
      </c>
      <c r="F1096" s="2" t="s">
        <v>535</v>
      </c>
      <c r="G1096" s="2" t="s">
        <v>425</v>
      </c>
      <c r="H1096" s="2" t="s">
        <v>426</v>
      </c>
      <c r="I1096" s="26">
        <v>45236</v>
      </c>
      <c r="J1096" s="2">
        <v>55</v>
      </c>
      <c r="K1096" s="2" t="s">
        <v>123</v>
      </c>
      <c r="L1096" s="22">
        <v>1150</v>
      </c>
      <c r="M1096" s="22">
        <v>63250</v>
      </c>
      <c r="N1096" s="18">
        <v>67.650000000000006</v>
      </c>
      <c r="O1096" s="26">
        <v>45256</v>
      </c>
      <c r="P1096" s="2" t="s">
        <v>805</v>
      </c>
      <c r="Q1096" s="2" t="s">
        <v>814</v>
      </c>
    </row>
    <row r="1097" spans="2:17" x14ac:dyDescent="0.25">
      <c r="B1097" s="2" t="s">
        <v>1901</v>
      </c>
      <c r="C1097" s="2" t="s">
        <v>158</v>
      </c>
      <c r="D1097" s="2" t="s">
        <v>159</v>
      </c>
      <c r="E1097" s="2" t="s">
        <v>155</v>
      </c>
      <c r="F1097" s="2" t="s">
        <v>535</v>
      </c>
      <c r="G1097" s="2" t="s">
        <v>425</v>
      </c>
      <c r="H1097" s="2" t="s">
        <v>426</v>
      </c>
      <c r="I1097" s="26">
        <v>45242</v>
      </c>
      <c r="J1097" s="2">
        <v>48</v>
      </c>
      <c r="K1097" s="2" t="s">
        <v>123</v>
      </c>
      <c r="L1097" s="22">
        <v>1150</v>
      </c>
      <c r="M1097" s="22">
        <v>55200</v>
      </c>
      <c r="N1097" s="18">
        <v>59.04</v>
      </c>
      <c r="O1097" s="26">
        <v>45262</v>
      </c>
      <c r="P1097" s="2" t="s">
        <v>805</v>
      </c>
      <c r="Q1097" s="2" t="s">
        <v>814</v>
      </c>
    </row>
    <row r="1098" spans="2:17" x14ac:dyDescent="0.25">
      <c r="B1098" s="2" t="s">
        <v>1902</v>
      </c>
      <c r="C1098" s="2" t="s">
        <v>158</v>
      </c>
      <c r="D1098" s="2" t="s">
        <v>159</v>
      </c>
      <c r="E1098" s="2" t="s">
        <v>155</v>
      </c>
      <c r="F1098" s="2" t="s">
        <v>535</v>
      </c>
      <c r="G1098" s="2" t="s">
        <v>425</v>
      </c>
      <c r="H1098" s="2" t="s">
        <v>426</v>
      </c>
      <c r="I1098" s="26">
        <v>45247</v>
      </c>
      <c r="J1098" s="2">
        <v>53</v>
      </c>
      <c r="K1098" s="2" t="s">
        <v>123</v>
      </c>
      <c r="L1098" s="22">
        <v>1150</v>
      </c>
      <c r="M1098" s="22">
        <v>60950</v>
      </c>
      <c r="N1098" s="18">
        <v>65.19</v>
      </c>
      <c r="O1098" s="26">
        <v>45267</v>
      </c>
      <c r="P1098" s="2" t="s">
        <v>805</v>
      </c>
      <c r="Q1098" s="2" t="s">
        <v>814</v>
      </c>
    </row>
    <row r="1099" spans="2:17" x14ac:dyDescent="0.25">
      <c r="B1099" s="2" t="s">
        <v>1903</v>
      </c>
      <c r="C1099" s="2" t="s">
        <v>158</v>
      </c>
      <c r="D1099" s="2" t="s">
        <v>159</v>
      </c>
      <c r="E1099" s="2" t="s">
        <v>155</v>
      </c>
      <c r="F1099" s="2" t="s">
        <v>535</v>
      </c>
      <c r="G1099" s="2" t="s">
        <v>425</v>
      </c>
      <c r="H1099" s="2" t="s">
        <v>426</v>
      </c>
      <c r="I1099" s="26">
        <v>45254</v>
      </c>
      <c r="J1099" s="2">
        <v>51</v>
      </c>
      <c r="K1099" s="2" t="s">
        <v>123</v>
      </c>
      <c r="L1099" s="22">
        <v>1150</v>
      </c>
      <c r="M1099" s="22">
        <v>58650</v>
      </c>
      <c r="N1099" s="18">
        <v>62.73</v>
      </c>
      <c r="O1099" s="26">
        <v>45274</v>
      </c>
      <c r="P1099" s="2" t="s">
        <v>805</v>
      </c>
      <c r="Q1099" s="2" t="s">
        <v>814</v>
      </c>
    </row>
    <row r="1100" spans="2:17" x14ac:dyDescent="0.25">
      <c r="B1100" s="2" t="s">
        <v>1904</v>
      </c>
      <c r="C1100" s="2" t="s">
        <v>158</v>
      </c>
      <c r="D1100" s="2" t="s">
        <v>159</v>
      </c>
      <c r="E1100" s="2" t="s">
        <v>155</v>
      </c>
      <c r="F1100" s="2" t="s">
        <v>535</v>
      </c>
      <c r="G1100" s="2" t="s">
        <v>425</v>
      </c>
      <c r="H1100" s="2" t="s">
        <v>426</v>
      </c>
      <c r="I1100" s="26">
        <v>45260</v>
      </c>
      <c r="J1100" s="2">
        <v>51</v>
      </c>
      <c r="K1100" s="2" t="s">
        <v>123</v>
      </c>
      <c r="L1100" s="22">
        <v>1150</v>
      </c>
      <c r="M1100" s="22">
        <v>58650</v>
      </c>
      <c r="N1100" s="18">
        <v>62.73</v>
      </c>
      <c r="O1100" s="26">
        <v>45280</v>
      </c>
      <c r="P1100" s="2" t="s">
        <v>805</v>
      </c>
      <c r="Q1100" s="2" t="s">
        <v>814</v>
      </c>
    </row>
    <row r="1101" spans="2:17" x14ac:dyDescent="0.25">
      <c r="B1101" s="2" t="s">
        <v>1905</v>
      </c>
      <c r="C1101" s="2" t="s">
        <v>158</v>
      </c>
      <c r="D1101" s="2" t="s">
        <v>159</v>
      </c>
      <c r="E1101" s="2" t="s">
        <v>155</v>
      </c>
      <c r="F1101" s="2" t="s">
        <v>535</v>
      </c>
      <c r="G1101" s="2" t="s">
        <v>425</v>
      </c>
      <c r="H1101" s="2" t="s">
        <v>426</v>
      </c>
      <c r="I1101" s="26">
        <v>45268</v>
      </c>
      <c r="J1101" s="2">
        <v>64</v>
      </c>
      <c r="K1101" s="2" t="s">
        <v>123</v>
      </c>
      <c r="L1101" s="22">
        <v>1150</v>
      </c>
      <c r="M1101" s="22">
        <v>73600</v>
      </c>
      <c r="N1101" s="18">
        <v>78.72</v>
      </c>
      <c r="O1101" s="26">
        <v>45288</v>
      </c>
      <c r="P1101" s="2" t="s">
        <v>805</v>
      </c>
      <c r="Q1101" s="2" t="s">
        <v>825</v>
      </c>
    </row>
    <row r="1102" spans="2:17" x14ac:dyDescent="0.25">
      <c r="B1102" s="2" t="s">
        <v>1906</v>
      </c>
      <c r="C1102" s="2" t="s">
        <v>158</v>
      </c>
      <c r="D1102" s="2" t="s">
        <v>159</v>
      </c>
      <c r="E1102" s="2" t="s">
        <v>155</v>
      </c>
      <c r="F1102" s="2" t="s">
        <v>535</v>
      </c>
      <c r="G1102" s="2" t="s">
        <v>425</v>
      </c>
      <c r="H1102" s="2" t="s">
        <v>426</v>
      </c>
      <c r="I1102" s="26">
        <v>45275</v>
      </c>
      <c r="J1102" s="2">
        <v>64</v>
      </c>
      <c r="K1102" s="2" t="s">
        <v>123</v>
      </c>
      <c r="L1102" s="22">
        <v>1150</v>
      </c>
      <c r="M1102" s="22">
        <v>73600</v>
      </c>
      <c r="N1102" s="18">
        <v>78.72</v>
      </c>
      <c r="O1102" s="26">
        <v>45295</v>
      </c>
      <c r="P1102" s="2" t="s">
        <v>805</v>
      </c>
      <c r="Q1102" s="2" t="s">
        <v>825</v>
      </c>
    </row>
    <row r="1103" spans="2:17" x14ac:dyDescent="0.25">
      <c r="B1103" s="2" t="s">
        <v>1907</v>
      </c>
      <c r="C1103" s="2" t="s">
        <v>158</v>
      </c>
      <c r="D1103" s="2" t="s">
        <v>159</v>
      </c>
      <c r="E1103" s="2" t="s">
        <v>155</v>
      </c>
      <c r="F1103" s="2" t="s">
        <v>535</v>
      </c>
      <c r="G1103" s="2" t="s">
        <v>425</v>
      </c>
      <c r="H1103" s="2" t="s">
        <v>426</v>
      </c>
      <c r="I1103" s="26">
        <v>45280</v>
      </c>
      <c r="J1103" s="2">
        <v>60</v>
      </c>
      <c r="K1103" s="2" t="s">
        <v>123</v>
      </c>
      <c r="L1103" s="22">
        <v>1150</v>
      </c>
      <c r="M1103" s="22">
        <v>69000</v>
      </c>
      <c r="N1103" s="18">
        <v>73.8</v>
      </c>
      <c r="O1103" s="26">
        <v>45300</v>
      </c>
      <c r="P1103" s="2" t="s">
        <v>805</v>
      </c>
      <c r="Q1103" s="2" t="s">
        <v>825</v>
      </c>
    </row>
    <row r="1104" spans="2:17" x14ac:dyDescent="0.25">
      <c r="B1104" s="2" t="s">
        <v>1908</v>
      </c>
      <c r="C1104" s="2" t="s">
        <v>158</v>
      </c>
      <c r="D1104" s="2" t="s">
        <v>159</v>
      </c>
      <c r="E1104" s="2" t="s">
        <v>155</v>
      </c>
      <c r="F1104" s="2" t="s">
        <v>535</v>
      </c>
      <c r="G1104" s="2" t="s">
        <v>425</v>
      </c>
      <c r="H1104" s="2" t="s">
        <v>426</v>
      </c>
      <c r="I1104" s="26">
        <v>45285</v>
      </c>
      <c r="J1104" s="2">
        <v>68</v>
      </c>
      <c r="K1104" s="2" t="s">
        <v>123</v>
      </c>
      <c r="L1104" s="22">
        <v>1150</v>
      </c>
      <c r="M1104" s="22">
        <v>78200</v>
      </c>
      <c r="N1104" s="18">
        <v>83.64</v>
      </c>
      <c r="O1104" s="26">
        <v>45305</v>
      </c>
      <c r="P1104" s="2" t="s">
        <v>805</v>
      </c>
      <c r="Q1104" s="2" t="s">
        <v>825</v>
      </c>
    </row>
    <row r="1105" spans="2:17" x14ac:dyDescent="0.25">
      <c r="B1105" s="2" t="s">
        <v>1909</v>
      </c>
      <c r="C1105" s="2" t="s">
        <v>158</v>
      </c>
      <c r="D1105" s="2" t="s">
        <v>159</v>
      </c>
      <c r="E1105" s="2" t="s">
        <v>155</v>
      </c>
      <c r="F1105" s="2" t="s">
        <v>535</v>
      </c>
      <c r="G1105" s="2" t="s">
        <v>425</v>
      </c>
      <c r="H1105" s="2" t="s">
        <v>426</v>
      </c>
      <c r="I1105" s="26">
        <v>45292</v>
      </c>
      <c r="J1105" s="2">
        <v>54</v>
      </c>
      <c r="K1105" s="2" t="s">
        <v>123</v>
      </c>
      <c r="L1105" s="22">
        <v>1150</v>
      </c>
      <c r="M1105" s="22">
        <v>62100</v>
      </c>
      <c r="N1105" s="18">
        <v>66.42</v>
      </c>
      <c r="O1105" s="26">
        <v>45312</v>
      </c>
      <c r="P1105" s="2" t="s">
        <v>805</v>
      </c>
      <c r="Q1105" s="2" t="s">
        <v>825</v>
      </c>
    </row>
    <row r="1106" spans="2:17" x14ac:dyDescent="0.25">
      <c r="B1106" s="2" t="s">
        <v>1910</v>
      </c>
      <c r="C1106" s="2" t="s">
        <v>158</v>
      </c>
      <c r="D1106" s="2" t="s">
        <v>159</v>
      </c>
      <c r="E1106" s="2" t="s">
        <v>155</v>
      </c>
      <c r="F1106" s="2" t="s">
        <v>535</v>
      </c>
      <c r="G1106" s="2" t="s">
        <v>425</v>
      </c>
      <c r="H1106" s="2" t="s">
        <v>426</v>
      </c>
      <c r="I1106" s="26">
        <v>45299</v>
      </c>
      <c r="J1106" s="2">
        <v>44</v>
      </c>
      <c r="K1106" s="2" t="s">
        <v>123</v>
      </c>
      <c r="L1106" s="22">
        <v>1150</v>
      </c>
      <c r="M1106" s="22">
        <v>50600</v>
      </c>
      <c r="N1106" s="18">
        <v>54.12</v>
      </c>
      <c r="O1106" s="26">
        <v>45319</v>
      </c>
      <c r="P1106" s="2" t="s">
        <v>805</v>
      </c>
      <c r="Q1106" s="2" t="s">
        <v>825</v>
      </c>
    </row>
    <row r="1107" spans="2:17" x14ac:dyDescent="0.25">
      <c r="B1107" s="2" t="s">
        <v>1911</v>
      </c>
      <c r="C1107" s="2" t="s">
        <v>158</v>
      </c>
      <c r="D1107" s="2" t="s">
        <v>159</v>
      </c>
      <c r="E1107" s="2" t="s">
        <v>155</v>
      </c>
      <c r="F1107" s="2" t="s">
        <v>535</v>
      </c>
      <c r="G1107" s="2" t="s">
        <v>425</v>
      </c>
      <c r="H1107" s="2" t="s">
        <v>426</v>
      </c>
      <c r="I1107" s="26">
        <v>45305</v>
      </c>
      <c r="J1107" s="2">
        <v>45</v>
      </c>
      <c r="K1107" s="2" t="s">
        <v>123</v>
      </c>
      <c r="L1107" s="22">
        <v>1150</v>
      </c>
      <c r="M1107" s="22">
        <v>51750</v>
      </c>
      <c r="N1107" s="18">
        <v>55.35</v>
      </c>
      <c r="O1107" s="26">
        <v>45325</v>
      </c>
      <c r="P1107" s="2" t="s">
        <v>805</v>
      </c>
      <c r="Q1107" s="2" t="s">
        <v>825</v>
      </c>
    </row>
    <row r="1108" spans="2:17" x14ac:dyDescent="0.25">
      <c r="B1108" s="2" t="s">
        <v>1912</v>
      </c>
      <c r="C1108" s="2" t="s">
        <v>158</v>
      </c>
      <c r="D1108" s="2" t="s">
        <v>159</v>
      </c>
      <c r="E1108" s="2" t="s">
        <v>155</v>
      </c>
      <c r="F1108" s="2" t="s">
        <v>535</v>
      </c>
      <c r="G1108" s="2" t="s">
        <v>425</v>
      </c>
      <c r="H1108" s="2" t="s">
        <v>426</v>
      </c>
      <c r="I1108" s="26">
        <v>45311</v>
      </c>
      <c r="J1108" s="2">
        <v>43</v>
      </c>
      <c r="K1108" s="2" t="s">
        <v>123</v>
      </c>
      <c r="L1108" s="22">
        <v>1150</v>
      </c>
      <c r="M1108" s="22">
        <v>49450</v>
      </c>
      <c r="N1108" s="18">
        <v>52.89</v>
      </c>
      <c r="O1108" s="26">
        <v>45331</v>
      </c>
      <c r="P1108" s="2" t="s">
        <v>805</v>
      </c>
      <c r="Q1108" s="2" t="s">
        <v>825</v>
      </c>
    </row>
    <row r="1109" spans="2:17" x14ac:dyDescent="0.25">
      <c r="B1109" s="2" t="s">
        <v>1913</v>
      </c>
      <c r="C1109" s="2" t="s">
        <v>158</v>
      </c>
      <c r="D1109" s="2" t="s">
        <v>159</v>
      </c>
      <c r="E1109" s="2" t="s">
        <v>155</v>
      </c>
      <c r="F1109" s="2" t="s">
        <v>535</v>
      </c>
      <c r="G1109" s="2" t="s">
        <v>425</v>
      </c>
      <c r="H1109" s="2" t="s">
        <v>426</v>
      </c>
      <c r="I1109" s="26">
        <v>45317</v>
      </c>
      <c r="J1109" s="2">
        <v>50</v>
      </c>
      <c r="K1109" s="2" t="s">
        <v>123</v>
      </c>
      <c r="L1109" s="22">
        <v>1150</v>
      </c>
      <c r="M1109" s="22">
        <v>57500</v>
      </c>
      <c r="N1109" s="18">
        <v>61.5</v>
      </c>
      <c r="O1109" s="26">
        <v>45337</v>
      </c>
      <c r="P1109" s="2" t="s">
        <v>805</v>
      </c>
      <c r="Q1109" s="2" t="s">
        <v>825</v>
      </c>
    </row>
    <row r="1110" spans="2:17" x14ac:dyDescent="0.25">
      <c r="B1110" s="2" t="s">
        <v>1914</v>
      </c>
      <c r="C1110" s="2" t="s">
        <v>158</v>
      </c>
      <c r="D1110" s="2" t="s">
        <v>159</v>
      </c>
      <c r="E1110" s="2" t="s">
        <v>155</v>
      </c>
      <c r="F1110" s="2" t="s">
        <v>535</v>
      </c>
      <c r="G1110" s="2" t="s">
        <v>425</v>
      </c>
      <c r="H1110" s="2" t="s">
        <v>426</v>
      </c>
      <c r="I1110" s="26">
        <v>45323</v>
      </c>
      <c r="J1110" s="2">
        <v>43</v>
      </c>
      <c r="K1110" s="2" t="s">
        <v>123</v>
      </c>
      <c r="L1110" s="22">
        <v>1150</v>
      </c>
      <c r="M1110" s="22">
        <v>49450</v>
      </c>
      <c r="N1110" s="18">
        <v>52.89</v>
      </c>
      <c r="O1110" s="26">
        <v>45343</v>
      </c>
      <c r="P1110" s="2" t="s">
        <v>805</v>
      </c>
      <c r="Q1110" s="2" t="s">
        <v>825</v>
      </c>
    </row>
    <row r="1111" spans="2:17" x14ac:dyDescent="0.25">
      <c r="B1111" s="2" t="s">
        <v>1915</v>
      </c>
      <c r="C1111" s="2" t="s">
        <v>158</v>
      </c>
      <c r="D1111" s="2" t="s">
        <v>159</v>
      </c>
      <c r="E1111" s="2" t="s">
        <v>155</v>
      </c>
      <c r="F1111" s="2" t="s">
        <v>535</v>
      </c>
      <c r="G1111" s="2" t="s">
        <v>425</v>
      </c>
      <c r="H1111" s="2" t="s">
        <v>426</v>
      </c>
      <c r="I1111" s="26">
        <v>45331</v>
      </c>
      <c r="J1111" s="2">
        <v>48</v>
      </c>
      <c r="K1111" s="2" t="s">
        <v>123</v>
      </c>
      <c r="L1111" s="22">
        <v>1150</v>
      </c>
      <c r="M1111" s="22">
        <v>55200</v>
      </c>
      <c r="N1111" s="18">
        <v>59.04</v>
      </c>
      <c r="O1111" s="26">
        <v>45351</v>
      </c>
      <c r="P1111" s="2" t="s">
        <v>805</v>
      </c>
      <c r="Q1111" s="2" t="s">
        <v>825</v>
      </c>
    </row>
    <row r="1112" spans="2:17" x14ac:dyDescent="0.25">
      <c r="B1112" s="2" t="s">
        <v>1916</v>
      </c>
      <c r="C1112" s="2" t="s">
        <v>158</v>
      </c>
      <c r="D1112" s="2" t="s">
        <v>159</v>
      </c>
      <c r="E1112" s="2" t="s">
        <v>155</v>
      </c>
      <c r="F1112" s="2" t="s">
        <v>535</v>
      </c>
      <c r="G1112" s="2" t="s">
        <v>425</v>
      </c>
      <c r="H1112" s="2" t="s">
        <v>426</v>
      </c>
      <c r="I1112" s="26">
        <v>45339</v>
      </c>
      <c r="J1112" s="2">
        <v>54</v>
      </c>
      <c r="K1112" s="2" t="s">
        <v>123</v>
      </c>
      <c r="L1112" s="22">
        <v>1150</v>
      </c>
      <c r="M1112" s="22">
        <v>62100</v>
      </c>
      <c r="N1112" s="18">
        <v>66.42</v>
      </c>
      <c r="O1112" s="26">
        <v>45359</v>
      </c>
      <c r="P1112" s="2" t="s">
        <v>805</v>
      </c>
      <c r="Q1112" s="2" t="s">
        <v>825</v>
      </c>
    </row>
    <row r="1113" spans="2:17" x14ac:dyDescent="0.25">
      <c r="B1113" s="2" t="s">
        <v>1917</v>
      </c>
      <c r="C1113" s="2" t="s">
        <v>158</v>
      </c>
      <c r="D1113" s="2" t="s">
        <v>159</v>
      </c>
      <c r="E1113" s="2" t="s">
        <v>155</v>
      </c>
      <c r="F1113" s="2" t="s">
        <v>535</v>
      </c>
      <c r="G1113" s="2" t="s">
        <v>425</v>
      </c>
      <c r="H1113" s="2" t="s">
        <v>426</v>
      </c>
      <c r="I1113" s="26">
        <v>45346</v>
      </c>
      <c r="J1113" s="2">
        <v>44</v>
      </c>
      <c r="K1113" s="2" t="s">
        <v>123</v>
      </c>
      <c r="L1113" s="22">
        <v>1150</v>
      </c>
      <c r="M1113" s="22">
        <v>50600</v>
      </c>
      <c r="N1113" s="18">
        <v>54.12</v>
      </c>
      <c r="O1113" s="26">
        <v>45366</v>
      </c>
      <c r="P1113" s="2" t="s">
        <v>805</v>
      </c>
      <c r="Q1113" s="2" t="s">
        <v>825</v>
      </c>
    </row>
    <row r="1114" spans="2:17" x14ac:dyDescent="0.25">
      <c r="B1114" s="2" t="s">
        <v>1918</v>
      </c>
      <c r="C1114" s="2" t="s">
        <v>158</v>
      </c>
      <c r="D1114" s="2" t="s">
        <v>159</v>
      </c>
      <c r="E1114" s="2" t="s">
        <v>155</v>
      </c>
      <c r="F1114" s="2" t="s">
        <v>535</v>
      </c>
      <c r="G1114" s="2" t="s">
        <v>425</v>
      </c>
      <c r="H1114" s="2" t="s">
        <v>426</v>
      </c>
      <c r="I1114" s="26">
        <v>45351</v>
      </c>
      <c r="J1114" s="2">
        <v>44</v>
      </c>
      <c r="K1114" s="2" t="s">
        <v>123</v>
      </c>
      <c r="L1114" s="22">
        <v>1150</v>
      </c>
      <c r="M1114" s="22">
        <v>50600</v>
      </c>
      <c r="N1114" s="18">
        <v>54.12</v>
      </c>
      <c r="O1114" s="26">
        <v>45371</v>
      </c>
      <c r="P1114" s="2" t="s">
        <v>805</v>
      </c>
      <c r="Q1114" s="2" t="s">
        <v>825</v>
      </c>
    </row>
    <row r="1115" spans="2:17" x14ac:dyDescent="0.25">
      <c r="B1115" s="2" t="s">
        <v>1919</v>
      </c>
      <c r="C1115" s="2" t="s">
        <v>158</v>
      </c>
      <c r="D1115" s="2" t="s">
        <v>159</v>
      </c>
      <c r="E1115" s="2" t="s">
        <v>155</v>
      </c>
      <c r="F1115" s="2" t="s">
        <v>535</v>
      </c>
      <c r="G1115" s="2" t="s">
        <v>425</v>
      </c>
      <c r="H1115" s="2" t="s">
        <v>426</v>
      </c>
      <c r="I1115" s="26">
        <v>45359</v>
      </c>
      <c r="J1115" s="2">
        <v>47</v>
      </c>
      <c r="K1115" s="2" t="s">
        <v>123</v>
      </c>
      <c r="L1115" s="22">
        <v>1150</v>
      </c>
      <c r="M1115" s="22">
        <v>54050</v>
      </c>
      <c r="N1115" s="18">
        <v>57.81</v>
      </c>
      <c r="O1115" s="26">
        <v>45379</v>
      </c>
      <c r="P1115" s="2" t="s">
        <v>805</v>
      </c>
      <c r="Q1115" s="2" t="s">
        <v>836</v>
      </c>
    </row>
    <row r="1116" spans="2:17" x14ac:dyDescent="0.25">
      <c r="B1116" s="2" t="s">
        <v>1920</v>
      </c>
      <c r="C1116" s="2" t="s">
        <v>158</v>
      </c>
      <c r="D1116" s="2" t="s">
        <v>159</v>
      </c>
      <c r="E1116" s="2" t="s">
        <v>155</v>
      </c>
      <c r="F1116" s="2" t="s">
        <v>537</v>
      </c>
      <c r="G1116" s="2" t="s">
        <v>430</v>
      </c>
      <c r="H1116" s="2" t="s">
        <v>431</v>
      </c>
      <c r="I1116" s="26">
        <v>45365</v>
      </c>
      <c r="J1116" s="2">
        <v>55</v>
      </c>
      <c r="K1116" s="2" t="s">
        <v>123</v>
      </c>
      <c r="L1116" s="22">
        <v>1100</v>
      </c>
      <c r="M1116" s="22">
        <v>60500</v>
      </c>
      <c r="N1116" s="18">
        <v>64.709999999999994</v>
      </c>
      <c r="O1116" s="26">
        <v>45385</v>
      </c>
      <c r="P1116" s="2" t="s">
        <v>805</v>
      </c>
      <c r="Q1116" s="2" t="s">
        <v>836</v>
      </c>
    </row>
    <row r="1117" spans="2:17" x14ac:dyDescent="0.25">
      <c r="B1117" s="2" t="s">
        <v>1921</v>
      </c>
      <c r="C1117" s="2" t="s">
        <v>158</v>
      </c>
      <c r="D1117" s="2" t="s">
        <v>159</v>
      </c>
      <c r="E1117" s="2" t="s">
        <v>155</v>
      </c>
      <c r="F1117" s="2" t="s">
        <v>535</v>
      </c>
      <c r="G1117" s="2" t="s">
        <v>425</v>
      </c>
      <c r="H1117" s="2" t="s">
        <v>426</v>
      </c>
      <c r="I1117" s="26">
        <v>45370</v>
      </c>
      <c r="J1117" s="2">
        <v>47</v>
      </c>
      <c r="K1117" s="2" t="s">
        <v>123</v>
      </c>
      <c r="L1117" s="22">
        <v>1150</v>
      </c>
      <c r="M1117" s="22">
        <v>54050</v>
      </c>
      <c r="N1117" s="18">
        <v>57.81</v>
      </c>
      <c r="O1117" s="26">
        <v>45390</v>
      </c>
      <c r="P1117" s="2" t="s">
        <v>805</v>
      </c>
      <c r="Q1117" s="2" t="s">
        <v>836</v>
      </c>
    </row>
    <row r="1118" spans="2:17" x14ac:dyDescent="0.25">
      <c r="B1118" s="2" t="s">
        <v>1922</v>
      </c>
      <c r="C1118" s="2" t="s">
        <v>158</v>
      </c>
      <c r="D1118" s="2" t="s">
        <v>159</v>
      </c>
      <c r="E1118" s="2" t="s">
        <v>155</v>
      </c>
      <c r="F1118" s="2" t="s">
        <v>535</v>
      </c>
      <c r="G1118" s="2" t="s">
        <v>425</v>
      </c>
      <c r="H1118" s="2" t="s">
        <v>426</v>
      </c>
      <c r="I1118" s="26">
        <v>45376</v>
      </c>
      <c r="J1118" s="2">
        <v>49</v>
      </c>
      <c r="K1118" s="2" t="s">
        <v>123</v>
      </c>
      <c r="L1118" s="22">
        <v>1150</v>
      </c>
      <c r="M1118" s="22">
        <v>56350</v>
      </c>
      <c r="N1118" s="18">
        <v>60.27</v>
      </c>
      <c r="O1118" s="26">
        <v>45396</v>
      </c>
      <c r="P1118" s="2" t="s">
        <v>805</v>
      </c>
      <c r="Q1118" s="2" t="s">
        <v>836</v>
      </c>
    </row>
    <row r="1119" spans="2:17" x14ac:dyDescent="0.25">
      <c r="B1119" s="2" t="s">
        <v>1923</v>
      </c>
      <c r="C1119" s="2" t="s">
        <v>158</v>
      </c>
      <c r="D1119" s="2" t="s">
        <v>159</v>
      </c>
      <c r="E1119" s="2" t="s">
        <v>155</v>
      </c>
      <c r="F1119" s="2" t="s">
        <v>535</v>
      </c>
      <c r="G1119" s="2" t="s">
        <v>425</v>
      </c>
      <c r="H1119" s="2" t="s">
        <v>426</v>
      </c>
      <c r="I1119" s="26">
        <v>45383</v>
      </c>
      <c r="J1119" s="2">
        <v>16</v>
      </c>
      <c r="K1119" s="2" t="s">
        <v>123</v>
      </c>
      <c r="L1119" s="22">
        <v>1150</v>
      </c>
      <c r="M1119" s="22">
        <v>18400</v>
      </c>
      <c r="N1119" s="18">
        <v>19.68</v>
      </c>
      <c r="O1119" s="26">
        <v>45403</v>
      </c>
      <c r="P1119" s="2" t="s">
        <v>805</v>
      </c>
      <c r="Q1119" s="2" t="s">
        <v>836</v>
      </c>
    </row>
    <row r="1120" spans="2:17" x14ac:dyDescent="0.25">
      <c r="B1120" s="2" t="s">
        <v>1924</v>
      </c>
      <c r="C1120" s="2" t="s">
        <v>158</v>
      </c>
      <c r="D1120" s="2" t="s">
        <v>159</v>
      </c>
      <c r="E1120" s="2" t="s">
        <v>155</v>
      </c>
      <c r="F1120" s="2" t="s">
        <v>535</v>
      </c>
      <c r="G1120" s="2" t="s">
        <v>425</v>
      </c>
      <c r="H1120" s="2" t="s">
        <v>426</v>
      </c>
      <c r="I1120" s="26">
        <v>45389</v>
      </c>
      <c r="J1120" s="2">
        <v>19</v>
      </c>
      <c r="K1120" s="2" t="s">
        <v>123</v>
      </c>
      <c r="L1120" s="22">
        <v>1150</v>
      </c>
      <c r="M1120" s="22">
        <v>21850</v>
      </c>
      <c r="N1120" s="18">
        <v>23.37</v>
      </c>
      <c r="O1120" s="26">
        <v>45409</v>
      </c>
      <c r="P1120" s="2" t="s">
        <v>805</v>
      </c>
      <c r="Q1120" s="2" t="s">
        <v>836</v>
      </c>
    </row>
    <row r="1121" spans="2:17" x14ac:dyDescent="0.25">
      <c r="B1121" s="2" t="s">
        <v>1925</v>
      </c>
      <c r="C1121" s="2" t="s">
        <v>158</v>
      </c>
      <c r="D1121" s="2" t="s">
        <v>159</v>
      </c>
      <c r="E1121" s="2" t="s">
        <v>155</v>
      </c>
      <c r="F1121" s="2" t="s">
        <v>535</v>
      </c>
      <c r="G1121" s="2" t="s">
        <v>425</v>
      </c>
      <c r="H1121" s="2" t="s">
        <v>426</v>
      </c>
      <c r="I1121" s="26">
        <v>45396</v>
      </c>
      <c r="J1121" s="2">
        <v>18</v>
      </c>
      <c r="K1121" s="2" t="s">
        <v>123</v>
      </c>
      <c r="L1121" s="22">
        <v>1150</v>
      </c>
      <c r="M1121" s="22">
        <v>20700</v>
      </c>
      <c r="N1121" s="18">
        <v>22.14</v>
      </c>
      <c r="O1121" s="26">
        <v>45416</v>
      </c>
      <c r="P1121" s="2" t="s">
        <v>805</v>
      </c>
      <c r="Q1121" s="2" t="s">
        <v>836</v>
      </c>
    </row>
    <row r="1122" spans="2:17" x14ac:dyDescent="0.25">
      <c r="B1122" s="2" t="s">
        <v>1926</v>
      </c>
      <c r="C1122" s="2" t="s">
        <v>158</v>
      </c>
      <c r="D1122" s="2" t="s">
        <v>159</v>
      </c>
      <c r="E1122" s="2" t="s">
        <v>155</v>
      </c>
      <c r="F1122" s="2" t="s">
        <v>537</v>
      </c>
      <c r="G1122" s="2" t="s">
        <v>430</v>
      </c>
      <c r="H1122" s="2" t="s">
        <v>431</v>
      </c>
      <c r="I1122" s="26">
        <v>45404</v>
      </c>
      <c r="J1122" s="2">
        <v>18</v>
      </c>
      <c r="K1122" s="2" t="s">
        <v>123</v>
      </c>
      <c r="L1122" s="22">
        <v>1100</v>
      </c>
      <c r="M1122" s="22">
        <v>19800</v>
      </c>
      <c r="N1122" s="18">
        <v>21.18</v>
      </c>
      <c r="O1122" s="26">
        <v>45424</v>
      </c>
      <c r="P1122" s="2" t="s">
        <v>805</v>
      </c>
      <c r="Q1122" s="2" t="s">
        <v>836</v>
      </c>
    </row>
    <row r="1123" spans="2:17" x14ac:dyDescent="0.25">
      <c r="B1123" s="2" t="s">
        <v>1927</v>
      </c>
      <c r="C1123" s="2" t="s">
        <v>158</v>
      </c>
      <c r="D1123" s="2" t="s">
        <v>159</v>
      </c>
      <c r="E1123" s="2" t="s">
        <v>155</v>
      </c>
      <c r="F1123" s="2" t="s">
        <v>535</v>
      </c>
      <c r="G1123" s="2" t="s">
        <v>425</v>
      </c>
      <c r="H1123" s="2" t="s">
        <v>426</v>
      </c>
      <c r="I1123" s="26">
        <v>45411</v>
      </c>
      <c r="J1123" s="2">
        <v>18</v>
      </c>
      <c r="K1123" s="2" t="s">
        <v>123</v>
      </c>
      <c r="L1123" s="22">
        <v>1150</v>
      </c>
      <c r="M1123" s="22">
        <v>20700</v>
      </c>
      <c r="N1123" s="18">
        <v>22.14</v>
      </c>
      <c r="O1123" s="26">
        <v>45431</v>
      </c>
      <c r="P1123" s="2" t="s">
        <v>805</v>
      </c>
      <c r="Q1123" s="2" t="s">
        <v>836</v>
      </c>
    </row>
    <row r="1124" spans="2:17" x14ac:dyDescent="0.25">
      <c r="B1124" s="2" t="s">
        <v>1928</v>
      </c>
      <c r="C1124" s="2" t="s">
        <v>158</v>
      </c>
      <c r="D1124" s="2" t="s">
        <v>159</v>
      </c>
      <c r="E1124" s="2" t="s">
        <v>155</v>
      </c>
      <c r="F1124" s="2" t="s">
        <v>535</v>
      </c>
      <c r="G1124" s="2" t="s">
        <v>425</v>
      </c>
      <c r="H1124" s="2" t="s">
        <v>426</v>
      </c>
      <c r="I1124" s="26">
        <v>45417</v>
      </c>
      <c r="J1124" s="2">
        <v>20</v>
      </c>
      <c r="K1124" s="2" t="s">
        <v>123</v>
      </c>
      <c r="L1124" s="22">
        <v>1150</v>
      </c>
      <c r="M1124" s="22">
        <v>23000</v>
      </c>
      <c r="N1124" s="18">
        <v>24.6</v>
      </c>
      <c r="O1124" s="26">
        <v>45437</v>
      </c>
      <c r="P1124" s="2" t="s">
        <v>805</v>
      </c>
      <c r="Q1124" s="2" t="s">
        <v>836</v>
      </c>
    </row>
    <row r="1125" spans="2:17" x14ac:dyDescent="0.25">
      <c r="B1125" s="2" t="s">
        <v>1929</v>
      </c>
      <c r="C1125" s="2" t="s">
        <v>158</v>
      </c>
      <c r="D1125" s="2" t="s">
        <v>159</v>
      </c>
      <c r="E1125" s="2" t="s">
        <v>155</v>
      </c>
      <c r="F1125" s="2" t="s">
        <v>535</v>
      </c>
      <c r="G1125" s="2" t="s">
        <v>425</v>
      </c>
      <c r="H1125" s="2" t="s">
        <v>426</v>
      </c>
      <c r="I1125" s="26">
        <v>45424</v>
      </c>
      <c r="J1125" s="2">
        <v>19</v>
      </c>
      <c r="K1125" s="2" t="s">
        <v>123</v>
      </c>
      <c r="L1125" s="22">
        <v>1150</v>
      </c>
      <c r="M1125" s="22">
        <v>21850</v>
      </c>
      <c r="N1125" s="18">
        <v>23.37</v>
      </c>
      <c r="O1125" s="26">
        <v>45444</v>
      </c>
      <c r="P1125" s="2" t="s">
        <v>805</v>
      </c>
      <c r="Q1125" s="2" t="s">
        <v>836</v>
      </c>
    </row>
    <row r="1126" spans="2:17" x14ac:dyDescent="0.25">
      <c r="B1126" s="2" t="s">
        <v>1930</v>
      </c>
      <c r="C1126" s="2" t="s">
        <v>158</v>
      </c>
      <c r="D1126" s="2" t="s">
        <v>159</v>
      </c>
      <c r="E1126" s="2" t="s">
        <v>155</v>
      </c>
      <c r="F1126" s="2" t="s">
        <v>535</v>
      </c>
      <c r="G1126" s="2" t="s">
        <v>425</v>
      </c>
      <c r="H1126" s="2" t="s">
        <v>426</v>
      </c>
      <c r="I1126" s="26">
        <v>45429</v>
      </c>
      <c r="J1126" s="2">
        <v>17</v>
      </c>
      <c r="K1126" s="2" t="s">
        <v>123</v>
      </c>
      <c r="L1126" s="22">
        <v>1150</v>
      </c>
      <c r="M1126" s="22">
        <v>19550</v>
      </c>
      <c r="N1126" s="18">
        <v>20.91</v>
      </c>
      <c r="O1126" s="26">
        <v>45449</v>
      </c>
      <c r="P1126" s="2" t="s">
        <v>805</v>
      </c>
      <c r="Q1126" s="2" t="s">
        <v>836</v>
      </c>
    </row>
    <row r="1127" spans="2:17" x14ac:dyDescent="0.25">
      <c r="B1127" s="2" t="s">
        <v>1931</v>
      </c>
      <c r="C1127" s="2" t="s">
        <v>158</v>
      </c>
      <c r="D1127" s="2" t="s">
        <v>159</v>
      </c>
      <c r="E1127" s="2" t="s">
        <v>155</v>
      </c>
      <c r="F1127" s="2" t="s">
        <v>535</v>
      </c>
      <c r="G1127" s="2" t="s">
        <v>425</v>
      </c>
      <c r="H1127" s="2" t="s">
        <v>426</v>
      </c>
      <c r="I1127" s="26">
        <v>45437</v>
      </c>
      <c r="J1127" s="2">
        <v>18</v>
      </c>
      <c r="K1127" s="2" t="s">
        <v>123</v>
      </c>
      <c r="L1127" s="22">
        <v>1150</v>
      </c>
      <c r="M1127" s="22">
        <v>20700</v>
      </c>
      <c r="N1127" s="18">
        <v>22.14</v>
      </c>
      <c r="O1127" s="26">
        <v>45457</v>
      </c>
      <c r="P1127" s="2" t="s">
        <v>805</v>
      </c>
      <c r="Q1127" s="2" t="s">
        <v>836</v>
      </c>
    </row>
    <row r="1128" spans="2:17" x14ac:dyDescent="0.25">
      <c r="B1128" s="2" t="s">
        <v>1932</v>
      </c>
      <c r="C1128" s="2" t="s">
        <v>158</v>
      </c>
      <c r="D1128" s="2" t="s">
        <v>159</v>
      </c>
      <c r="E1128" s="2" t="s">
        <v>155</v>
      </c>
      <c r="F1128" s="2" t="s">
        <v>537</v>
      </c>
      <c r="G1128" s="2" t="s">
        <v>430</v>
      </c>
      <c r="H1128" s="2" t="s">
        <v>431</v>
      </c>
      <c r="I1128" s="26">
        <v>45442</v>
      </c>
      <c r="J1128" s="2">
        <v>19</v>
      </c>
      <c r="K1128" s="2" t="s">
        <v>123</v>
      </c>
      <c r="L1128" s="22">
        <v>1100</v>
      </c>
      <c r="M1128" s="22">
        <v>20900</v>
      </c>
      <c r="N1128" s="18">
        <v>22.35</v>
      </c>
      <c r="O1128" s="26">
        <v>45462</v>
      </c>
      <c r="P1128" s="2" t="s">
        <v>805</v>
      </c>
      <c r="Q1128" s="2" t="s">
        <v>836</v>
      </c>
    </row>
    <row r="1129" spans="2:17" x14ac:dyDescent="0.25">
      <c r="B1129" s="2" t="s">
        <v>1933</v>
      </c>
      <c r="C1129" s="2" t="s">
        <v>158</v>
      </c>
      <c r="D1129" s="2" t="s">
        <v>159</v>
      </c>
      <c r="E1129" s="2" t="s">
        <v>155</v>
      </c>
      <c r="F1129" s="2" t="s">
        <v>535</v>
      </c>
      <c r="G1129" s="2" t="s">
        <v>425</v>
      </c>
      <c r="H1129" s="2" t="s">
        <v>426</v>
      </c>
      <c r="I1129" s="26">
        <v>45449</v>
      </c>
      <c r="J1129" s="2">
        <v>20</v>
      </c>
      <c r="K1129" s="2" t="s">
        <v>123</v>
      </c>
      <c r="L1129" s="22">
        <v>1150</v>
      </c>
      <c r="M1129" s="22">
        <v>23000</v>
      </c>
      <c r="N1129" s="18">
        <v>24.6</v>
      </c>
      <c r="O1129" s="26">
        <v>45469</v>
      </c>
      <c r="P1129" s="2" t="s">
        <v>805</v>
      </c>
      <c r="Q1129" s="2" t="s">
        <v>806</v>
      </c>
    </row>
    <row r="1130" spans="2:17" x14ac:dyDescent="0.25">
      <c r="B1130" s="2" t="s">
        <v>1934</v>
      </c>
      <c r="C1130" s="2" t="s">
        <v>158</v>
      </c>
      <c r="D1130" s="2" t="s">
        <v>159</v>
      </c>
      <c r="E1130" s="2" t="s">
        <v>155</v>
      </c>
      <c r="F1130" s="2" t="s">
        <v>535</v>
      </c>
      <c r="G1130" s="2" t="s">
        <v>425</v>
      </c>
      <c r="H1130" s="2" t="s">
        <v>426</v>
      </c>
      <c r="I1130" s="26">
        <v>45457</v>
      </c>
      <c r="J1130" s="2">
        <v>18</v>
      </c>
      <c r="K1130" s="2" t="s">
        <v>123</v>
      </c>
      <c r="L1130" s="22">
        <v>1150</v>
      </c>
      <c r="M1130" s="22">
        <v>20700</v>
      </c>
      <c r="N1130" s="18">
        <v>22.14</v>
      </c>
      <c r="O1130" s="26">
        <v>45477</v>
      </c>
      <c r="P1130" s="2" t="s">
        <v>805</v>
      </c>
      <c r="Q1130" s="2" t="s">
        <v>806</v>
      </c>
    </row>
    <row r="1131" spans="2:17" x14ac:dyDescent="0.25">
      <c r="B1131" s="2" t="s">
        <v>1935</v>
      </c>
      <c r="C1131" s="2" t="s">
        <v>158</v>
      </c>
      <c r="D1131" s="2" t="s">
        <v>159</v>
      </c>
      <c r="E1131" s="2" t="s">
        <v>155</v>
      </c>
      <c r="F1131" s="2" t="s">
        <v>535</v>
      </c>
      <c r="G1131" s="2" t="s">
        <v>425</v>
      </c>
      <c r="H1131" s="2" t="s">
        <v>426</v>
      </c>
      <c r="I1131" s="26">
        <v>45464</v>
      </c>
      <c r="J1131" s="2">
        <v>18</v>
      </c>
      <c r="K1131" s="2" t="s">
        <v>123</v>
      </c>
      <c r="L1131" s="22">
        <v>1150</v>
      </c>
      <c r="M1131" s="22">
        <v>20700</v>
      </c>
      <c r="N1131" s="18">
        <v>22.14</v>
      </c>
      <c r="O1131" s="26">
        <v>45484</v>
      </c>
      <c r="P1131" s="2" t="s">
        <v>805</v>
      </c>
      <c r="Q1131" s="2" t="s">
        <v>806</v>
      </c>
    </row>
    <row r="1132" spans="2:17" x14ac:dyDescent="0.25">
      <c r="B1132" s="2" t="s">
        <v>1936</v>
      </c>
      <c r="C1132" s="2" t="s">
        <v>158</v>
      </c>
      <c r="D1132" s="2" t="s">
        <v>159</v>
      </c>
      <c r="E1132" s="2" t="s">
        <v>155</v>
      </c>
      <c r="F1132" s="2" t="s">
        <v>535</v>
      </c>
      <c r="G1132" s="2" t="s">
        <v>425</v>
      </c>
      <c r="H1132" s="2" t="s">
        <v>426</v>
      </c>
      <c r="I1132" s="26">
        <v>45474</v>
      </c>
      <c r="J1132" s="2">
        <v>19</v>
      </c>
      <c r="K1132" s="2" t="s">
        <v>123</v>
      </c>
      <c r="L1132" s="22">
        <v>1150</v>
      </c>
      <c r="M1132" s="22">
        <v>21850</v>
      </c>
      <c r="N1132" s="18">
        <v>23.37</v>
      </c>
      <c r="O1132" s="26">
        <v>45494</v>
      </c>
      <c r="P1132" s="2" t="s">
        <v>805</v>
      </c>
      <c r="Q1132" s="2" t="s">
        <v>806</v>
      </c>
    </row>
    <row r="1133" spans="2:17" x14ac:dyDescent="0.25">
      <c r="B1133" s="2" t="s">
        <v>1937</v>
      </c>
      <c r="C1133" s="2" t="s">
        <v>158</v>
      </c>
      <c r="D1133" s="2" t="s">
        <v>159</v>
      </c>
      <c r="E1133" s="2" t="s">
        <v>155</v>
      </c>
      <c r="F1133" s="2" t="s">
        <v>535</v>
      </c>
      <c r="G1133" s="2" t="s">
        <v>425</v>
      </c>
      <c r="H1133" s="2" t="s">
        <v>426</v>
      </c>
      <c r="I1133" s="26">
        <v>45480</v>
      </c>
      <c r="J1133" s="2">
        <v>19</v>
      </c>
      <c r="K1133" s="2" t="s">
        <v>123</v>
      </c>
      <c r="L1133" s="22">
        <v>1150</v>
      </c>
      <c r="M1133" s="22">
        <v>21850</v>
      </c>
      <c r="N1133" s="18">
        <v>23.37</v>
      </c>
      <c r="O1133" s="26">
        <v>45500</v>
      </c>
      <c r="P1133" s="2" t="s">
        <v>805</v>
      </c>
      <c r="Q1133" s="2" t="s">
        <v>806</v>
      </c>
    </row>
    <row r="1134" spans="2:17" x14ac:dyDescent="0.25">
      <c r="B1134" s="2" t="s">
        <v>1938</v>
      </c>
      <c r="C1134" s="2" t="s">
        <v>158</v>
      </c>
      <c r="D1134" s="2" t="s">
        <v>159</v>
      </c>
      <c r="E1134" s="2" t="s">
        <v>155</v>
      </c>
      <c r="F1134" s="2" t="s">
        <v>535</v>
      </c>
      <c r="G1134" s="2" t="s">
        <v>425</v>
      </c>
      <c r="H1134" s="2" t="s">
        <v>426</v>
      </c>
      <c r="I1134" s="26">
        <v>45487</v>
      </c>
      <c r="J1134" s="2">
        <v>16</v>
      </c>
      <c r="K1134" s="2" t="s">
        <v>123</v>
      </c>
      <c r="L1134" s="22">
        <v>1150</v>
      </c>
      <c r="M1134" s="22">
        <v>18400</v>
      </c>
      <c r="N1134" s="18">
        <v>19.68</v>
      </c>
      <c r="O1134" s="26">
        <v>45507</v>
      </c>
      <c r="P1134" s="2" t="s">
        <v>805</v>
      </c>
      <c r="Q1134" s="2" t="s">
        <v>806</v>
      </c>
    </row>
    <row r="1135" spans="2:17" x14ac:dyDescent="0.25">
      <c r="B1135" s="2" t="s">
        <v>1939</v>
      </c>
      <c r="C1135" s="2" t="s">
        <v>158</v>
      </c>
      <c r="D1135" s="2" t="s">
        <v>159</v>
      </c>
      <c r="E1135" s="2" t="s">
        <v>155</v>
      </c>
      <c r="F1135" s="2" t="s">
        <v>535</v>
      </c>
      <c r="G1135" s="2" t="s">
        <v>425</v>
      </c>
      <c r="H1135" s="2" t="s">
        <v>426</v>
      </c>
      <c r="I1135" s="26">
        <v>45494</v>
      </c>
      <c r="J1135" s="2">
        <v>17</v>
      </c>
      <c r="K1135" s="2" t="s">
        <v>123</v>
      </c>
      <c r="L1135" s="22">
        <v>1150</v>
      </c>
      <c r="M1135" s="22">
        <v>19550</v>
      </c>
      <c r="N1135" s="18">
        <v>20.91</v>
      </c>
      <c r="O1135" s="26">
        <v>45514</v>
      </c>
      <c r="P1135" s="2" t="s">
        <v>805</v>
      </c>
      <c r="Q1135" s="2" t="s">
        <v>806</v>
      </c>
    </row>
    <row r="1136" spans="2:17" x14ac:dyDescent="0.25">
      <c r="B1136" s="2" t="s">
        <v>1940</v>
      </c>
      <c r="C1136" s="2" t="s">
        <v>158</v>
      </c>
      <c r="D1136" s="2" t="s">
        <v>159</v>
      </c>
      <c r="E1136" s="2" t="s">
        <v>155</v>
      </c>
      <c r="F1136" s="2" t="s">
        <v>535</v>
      </c>
      <c r="G1136" s="2" t="s">
        <v>425</v>
      </c>
      <c r="H1136" s="2" t="s">
        <v>426</v>
      </c>
      <c r="I1136" s="26">
        <v>45501</v>
      </c>
      <c r="J1136" s="2">
        <v>19</v>
      </c>
      <c r="K1136" s="2" t="s">
        <v>123</v>
      </c>
      <c r="L1136" s="22">
        <v>1150</v>
      </c>
      <c r="M1136" s="22">
        <v>21850</v>
      </c>
      <c r="N1136" s="18">
        <v>23.37</v>
      </c>
      <c r="O1136" s="26">
        <v>45521</v>
      </c>
      <c r="P1136" s="2" t="s">
        <v>805</v>
      </c>
      <c r="Q1136" s="2" t="s">
        <v>806</v>
      </c>
    </row>
    <row r="1137" spans="2:17" x14ac:dyDescent="0.25">
      <c r="B1137" s="2" t="s">
        <v>1941</v>
      </c>
      <c r="C1137" s="2" t="s">
        <v>158</v>
      </c>
      <c r="D1137" s="2" t="s">
        <v>159</v>
      </c>
      <c r="E1137" s="2" t="s">
        <v>155</v>
      </c>
      <c r="F1137" s="2" t="s">
        <v>535</v>
      </c>
      <c r="G1137" s="2" t="s">
        <v>425</v>
      </c>
      <c r="H1137" s="2" t="s">
        <v>426</v>
      </c>
      <c r="I1137" s="26">
        <v>45505</v>
      </c>
      <c r="J1137" s="2">
        <v>19</v>
      </c>
      <c r="K1137" s="2" t="s">
        <v>123</v>
      </c>
      <c r="L1137" s="22">
        <v>1150</v>
      </c>
      <c r="M1137" s="22">
        <v>21850</v>
      </c>
      <c r="N1137" s="18">
        <v>23.37</v>
      </c>
      <c r="O1137" s="26">
        <v>45525</v>
      </c>
      <c r="P1137" s="2" t="s">
        <v>805</v>
      </c>
      <c r="Q1137" s="2" t="s">
        <v>806</v>
      </c>
    </row>
    <row r="1138" spans="2:17" x14ac:dyDescent="0.25">
      <c r="B1138" s="2" t="s">
        <v>1942</v>
      </c>
      <c r="C1138" s="2" t="s">
        <v>158</v>
      </c>
      <c r="D1138" s="2" t="s">
        <v>159</v>
      </c>
      <c r="E1138" s="2" t="s">
        <v>155</v>
      </c>
      <c r="F1138" s="2" t="s">
        <v>537</v>
      </c>
      <c r="G1138" s="2" t="s">
        <v>430</v>
      </c>
      <c r="H1138" s="2" t="s">
        <v>431</v>
      </c>
      <c r="I1138" s="26">
        <v>45510</v>
      </c>
      <c r="J1138" s="2">
        <v>20</v>
      </c>
      <c r="K1138" s="2" t="s">
        <v>123</v>
      </c>
      <c r="L1138" s="22">
        <v>1100</v>
      </c>
      <c r="M1138" s="22">
        <v>22000</v>
      </c>
      <c r="N1138" s="18">
        <v>23.53</v>
      </c>
      <c r="O1138" s="26">
        <v>45530</v>
      </c>
      <c r="P1138" s="2" t="s">
        <v>805</v>
      </c>
      <c r="Q1138" s="2" t="s">
        <v>806</v>
      </c>
    </row>
    <row r="1139" spans="2:17" x14ac:dyDescent="0.25">
      <c r="B1139" s="2" t="s">
        <v>1943</v>
      </c>
      <c r="C1139" s="2" t="s">
        <v>158</v>
      </c>
      <c r="D1139" s="2" t="s">
        <v>159</v>
      </c>
      <c r="E1139" s="2" t="s">
        <v>155</v>
      </c>
      <c r="F1139" s="2" t="s">
        <v>535</v>
      </c>
      <c r="G1139" s="2" t="s">
        <v>425</v>
      </c>
      <c r="H1139" s="2" t="s">
        <v>426</v>
      </c>
      <c r="I1139" s="26">
        <v>45515</v>
      </c>
      <c r="J1139" s="2">
        <v>21</v>
      </c>
      <c r="K1139" s="2" t="s">
        <v>123</v>
      </c>
      <c r="L1139" s="22">
        <v>1150</v>
      </c>
      <c r="M1139" s="22">
        <v>24150</v>
      </c>
      <c r="N1139" s="18">
        <v>25.83</v>
      </c>
      <c r="O1139" s="26">
        <v>45535</v>
      </c>
      <c r="P1139" s="2" t="s">
        <v>805</v>
      </c>
      <c r="Q1139" s="2" t="s">
        <v>806</v>
      </c>
    </row>
    <row r="1140" spans="2:17" x14ac:dyDescent="0.25">
      <c r="B1140" s="2" t="s">
        <v>1944</v>
      </c>
      <c r="C1140" s="2" t="s">
        <v>158</v>
      </c>
      <c r="D1140" s="2" t="s">
        <v>159</v>
      </c>
      <c r="E1140" s="2" t="s">
        <v>155</v>
      </c>
      <c r="F1140" s="2" t="s">
        <v>535</v>
      </c>
      <c r="G1140" s="2" t="s">
        <v>425</v>
      </c>
      <c r="H1140" s="2" t="s">
        <v>426</v>
      </c>
      <c r="I1140" s="26">
        <v>45522</v>
      </c>
      <c r="J1140" s="2">
        <v>18</v>
      </c>
      <c r="K1140" s="2" t="s">
        <v>123</v>
      </c>
      <c r="L1140" s="22">
        <v>1150</v>
      </c>
      <c r="M1140" s="22">
        <v>20700</v>
      </c>
      <c r="N1140" s="18">
        <v>22.14</v>
      </c>
      <c r="O1140" s="26">
        <v>45542</v>
      </c>
      <c r="P1140" s="2" t="s">
        <v>805</v>
      </c>
      <c r="Q1140" s="2" t="s">
        <v>806</v>
      </c>
    </row>
    <row r="1141" spans="2:17" x14ac:dyDescent="0.25">
      <c r="B1141" s="2" t="s">
        <v>1945</v>
      </c>
      <c r="C1141" s="2" t="s">
        <v>158</v>
      </c>
      <c r="D1141" s="2" t="s">
        <v>159</v>
      </c>
      <c r="E1141" s="2" t="s">
        <v>155</v>
      </c>
      <c r="F1141" s="2" t="s">
        <v>535</v>
      </c>
      <c r="G1141" s="2" t="s">
        <v>425</v>
      </c>
      <c r="H1141" s="2" t="s">
        <v>426</v>
      </c>
      <c r="I1141" s="26">
        <v>45528</v>
      </c>
      <c r="J1141" s="2">
        <v>17</v>
      </c>
      <c r="K1141" s="2" t="s">
        <v>123</v>
      </c>
      <c r="L1141" s="22">
        <v>1150</v>
      </c>
      <c r="M1141" s="22">
        <v>19550</v>
      </c>
      <c r="N1141" s="18">
        <v>20.91</v>
      </c>
      <c r="O1141" s="26">
        <v>45548</v>
      </c>
      <c r="P1141" s="2" t="s">
        <v>805</v>
      </c>
      <c r="Q1141" s="2" t="s">
        <v>806</v>
      </c>
    </row>
    <row r="1142" spans="2:17" x14ac:dyDescent="0.25">
      <c r="B1142" s="2" t="s">
        <v>1946</v>
      </c>
      <c r="C1142" s="2" t="s">
        <v>158</v>
      </c>
      <c r="D1142" s="2" t="s">
        <v>159</v>
      </c>
      <c r="E1142" s="2" t="s">
        <v>155</v>
      </c>
      <c r="F1142" s="2" t="s">
        <v>535</v>
      </c>
      <c r="G1142" s="2" t="s">
        <v>425</v>
      </c>
      <c r="H1142" s="2" t="s">
        <v>426</v>
      </c>
      <c r="I1142" s="26">
        <v>45535</v>
      </c>
      <c r="J1142" s="2">
        <v>15</v>
      </c>
      <c r="K1142" s="2" t="s">
        <v>123</v>
      </c>
      <c r="L1142" s="22">
        <v>1150</v>
      </c>
      <c r="M1142" s="22">
        <v>17250</v>
      </c>
      <c r="N1142" s="18">
        <v>18.45</v>
      </c>
      <c r="O1142" s="26">
        <v>45555</v>
      </c>
      <c r="P1142" s="2" t="s">
        <v>805</v>
      </c>
      <c r="Q1142" s="2" t="s">
        <v>806</v>
      </c>
    </row>
    <row r="1143" spans="2:17" x14ac:dyDescent="0.25">
      <c r="B1143" s="2" t="s">
        <v>1947</v>
      </c>
      <c r="C1143" s="2" t="s">
        <v>158</v>
      </c>
      <c r="D1143" s="2" t="s">
        <v>159</v>
      </c>
      <c r="E1143" s="2" t="s">
        <v>155</v>
      </c>
      <c r="F1143" s="2" t="s">
        <v>535</v>
      </c>
      <c r="G1143" s="2" t="s">
        <v>425</v>
      </c>
      <c r="H1143" s="2" t="s">
        <v>426</v>
      </c>
      <c r="I1143" s="26">
        <v>45543</v>
      </c>
      <c r="J1143" s="2">
        <v>22</v>
      </c>
      <c r="K1143" s="2" t="s">
        <v>123</v>
      </c>
      <c r="L1143" s="22">
        <v>1150</v>
      </c>
      <c r="M1143" s="22">
        <v>25300</v>
      </c>
      <c r="N1143" s="18">
        <v>27.06</v>
      </c>
      <c r="O1143" s="26">
        <v>45563</v>
      </c>
      <c r="P1143" s="2" t="s">
        <v>805</v>
      </c>
      <c r="Q1143" s="2" t="s">
        <v>814</v>
      </c>
    </row>
    <row r="1144" spans="2:17" x14ac:dyDescent="0.25">
      <c r="B1144" s="2" t="s">
        <v>1948</v>
      </c>
      <c r="C1144" s="2" t="s">
        <v>158</v>
      </c>
      <c r="D1144" s="2" t="s">
        <v>159</v>
      </c>
      <c r="E1144" s="2" t="s">
        <v>155</v>
      </c>
      <c r="F1144" s="2" t="s">
        <v>535</v>
      </c>
      <c r="G1144" s="2" t="s">
        <v>425</v>
      </c>
      <c r="H1144" s="2" t="s">
        <v>426</v>
      </c>
      <c r="I1144" s="26">
        <v>45548</v>
      </c>
      <c r="J1144" s="2">
        <v>24</v>
      </c>
      <c r="K1144" s="2" t="s">
        <v>123</v>
      </c>
      <c r="L1144" s="22">
        <v>1150</v>
      </c>
      <c r="M1144" s="22">
        <v>27600</v>
      </c>
      <c r="N1144" s="18">
        <v>29.52</v>
      </c>
      <c r="O1144" s="26">
        <v>45568</v>
      </c>
      <c r="P1144" s="2" t="s">
        <v>805</v>
      </c>
      <c r="Q1144" s="2" t="s">
        <v>814</v>
      </c>
    </row>
    <row r="1145" spans="2:17" x14ac:dyDescent="0.25">
      <c r="B1145" s="2" t="s">
        <v>1949</v>
      </c>
      <c r="C1145" s="2" t="s">
        <v>158</v>
      </c>
      <c r="D1145" s="2" t="s">
        <v>159</v>
      </c>
      <c r="E1145" s="2" t="s">
        <v>155</v>
      </c>
      <c r="F1145" s="2" t="s">
        <v>535</v>
      </c>
      <c r="G1145" s="2" t="s">
        <v>425</v>
      </c>
      <c r="H1145" s="2" t="s">
        <v>426</v>
      </c>
      <c r="I1145" s="26">
        <v>45555</v>
      </c>
      <c r="J1145" s="2">
        <v>24</v>
      </c>
      <c r="K1145" s="2" t="s">
        <v>123</v>
      </c>
      <c r="L1145" s="22">
        <v>1150</v>
      </c>
      <c r="M1145" s="22">
        <v>27600</v>
      </c>
      <c r="N1145" s="18">
        <v>29.52</v>
      </c>
      <c r="O1145" s="26">
        <v>45575</v>
      </c>
      <c r="P1145" s="2" t="s">
        <v>805</v>
      </c>
      <c r="Q1145" s="2" t="s">
        <v>814</v>
      </c>
    </row>
    <row r="1146" spans="2:17" x14ac:dyDescent="0.25">
      <c r="B1146" s="2" t="s">
        <v>1950</v>
      </c>
      <c r="C1146" s="2" t="s">
        <v>158</v>
      </c>
      <c r="D1146" s="2" t="s">
        <v>159</v>
      </c>
      <c r="E1146" s="2" t="s">
        <v>155</v>
      </c>
      <c r="F1146" s="2" t="s">
        <v>535</v>
      </c>
      <c r="G1146" s="2" t="s">
        <v>425</v>
      </c>
      <c r="H1146" s="2" t="s">
        <v>426</v>
      </c>
      <c r="I1146" s="26">
        <v>45561</v>
      </c>
      <c r="J1146" s="2">
        <v>22</v>
      </c>
      <c r="K1146" s="2" t="s">
        <v>123</v>
      </c>
      <c r="L1146" s="22">
        <v>1150</v>
      </c>
      <c r="M1146" s="22">
        <v>25300</v>
      </c>
      <c r="N1146" s="18">
        <v>27.06</v>
      </c>
      <c r="O1146" s="26">
        <v>45581</v>
      </c>
      <c r="P1146" s="2" t="s">
        <v>805</v>
      </c>
      <c r="Q1146" s="2" t="s">
        <v>814</v>
      </c>
    </row>
    <row r="1147" spans="2:17" x14ac:dyDescent="0.25">
      <c r="B1147" s="2" t="s">
        <v>1951</v>
      </c>
      <c r="C1147" s="2" t="s">
        <v>158</v>
      </c>
      <c r="D1147" s="2" t="s">
        <v>159</v>
      </c>
      <c r="E1147" s="2" t="s">
        <v>155</v>
      </c>
      <c r="F1147" s="2" t="s">
        <v>535</v>
      </c>
      <c r="G1147" s="2" t="s">
        <v>425</v>
      </c>
      <c r="H1147" s="2" t="s">
        <v>426</v>
      </c>
      <c r="I1147" s="26">
        <v>45568</v>
      </c>
      <c r="J1147" s="2">
        <v>46</v>
      </c>
      <c r="K1147" s="2" t="s">
        <v>123</v>
      </c>
      <c r="L1147" s="22">
        <v>1150</v>
      </c>
      <c r="M1147" s="22">
        <v>52900</v>
      </c>
      <c r="N1147" s="18">
        <v>56.58</v>
      </c>
      <c r="O1147" s="26">
        <v>45588</v>
      </c>
      <c r="P1147" s="2" t="s">
        <v>805</v>
      </c>
      <c r="Q1147" s="2" t="s">
        <v>814</v>
      </c>
    </row>
    <row r="1148" spans="2:17" x14ac:dyDescent="0.25">
      <c r="B1148" s="2" t="s">
        <v>1952</v>
      </c>
      <c r="C1148" s="2" t="s">
        <v>158</v>
      </c>
      <c r="D1148" s="2" t="s">
        <v>159</v>
      </c>
      <c r="E1148" s="2" t="s">
        <v>155</v>
      </c>
      <c r="F1148" s="2" t="s">
        <v>535</v>
      </c>
      <c r="G1148" s="2" t="s">
        <v>425</v>
      </c>
      <c r="H1148" s="2" t="s">
        <v>426</v>
      </c>
      <c r="I1148" s="26">
        <v>45575</v>
      </c>
      <c r="J1148" s="2">
        <v>50</v>
      </c>
      <c r="K1148" s="2" t="s">
        <v>123</v>
      </c>
      <c r="L1148" s="22">
        <v>1150</v>
      </c>
      <c r="M1148" s="22">
        <v>57500</v>
      </c>
      <c r="N1148" s="18">
        <v>61.5</v>
      </c>
      <c r="O1148" s="26">
        <v>45595</v>
      </c>
      <c r="P1148" s="2" t="s">
        <v>805</v>
      </c>
      <c r="Q1148" s="2" t="s">
        <v>814</v>
      </c>
    </row>
    <row r="1149" spans="2:17" x14ac:dyDescent="0.25">
      <c r="B1149" s="2" t="s">
        <v>1953</v>
      </c>
      <c r="C1149" s="2" t="s">
        <v>158</v>
      </c>
      <c r="D1149" s="2" t="s">
        <v>159</v>
      </c>
      <c r="E1149" s="2" t="s">
        <v>155</v>
      </c>
      <c r="F1149" s="2" t="s">
        <v>537</v>
      </c>
      <c r="G1149" s="2" t="s">
        <v>430</v>
      </c>
      <c r="H1149" s="2" t="s">
        <v>431</v>
      </c>
      <c r="I1149" s="26">
        <v>45582</v>
      </c>
      <c r="J1149" s="2">
        <v>48</v>
      </c>
      <c r="K1149" s="2" t="s">
        <v>123</v>
      </c>
      <c r="L1149" s="22">
        <v>1100</v>
      </c>
      <c r="M1149" s="22">
        <v>52800</v>
      </c>
      <c r="N1149" s="18">
        <v>56.47</v>
      </c>
      <c r="O1149" s="26">
        <v>45602</v>
      </c>
      <c r="P1149" s="2" t="s">
        <v>805</v>
      </c>
      <c r="Q1149" s="2" t="s">
        <v>814</v>
      </c>
    </row>
    <row r="1150" spans="2:17" x14ac:dyDescent="0.25">
      <c r="B1150" s="2" t="s">
        <v>1954</v>
      </c>
      <c r="C1150" s="2" t="s">
        <v>158</v>
      </c>
      <c r="D1150" s="2" t="s">
        <v>159</v>
      </c>
      <c r="E1150" s="2" t="s">
        <v>155</v>
      </c>
      <c r="F1150" s="2" t="s">
        <v>535</v>
      </c>
      <c r="G1150" s="2" t="s">
        <v>425</v>
      </c>
      <c r="H1150" s="2" t="s">
        <v>426</v>
      </c>
      <c r="I1150" s="26">
        <v>45589</v>
      </c>
      <c r="J1150" s="2">
        <v>48</v>
      </c>
      <c r="K1150" s="2" t="s">
        <v>123</v>
      </c>
      <c r="L1150" s="22">
        <v>1150</v>
      </c>
      <c r="M1150" s="22">
        <v>55200</v>
      </c>
      <c r="N1150" s="18">
        <v>59.04</v>
      </c>
      <c r="O1150" s="26">
        <v>45609</v>
      </c>
      <c r="P1150" s="2" t="s">
        <v>805</v>
      </c>
      <c r="Q1150" s="2" t="s">
        <v>814</v>
      </c>
    </row>
    <row r="1151" spans="2:17" x14ac:dyDescent="0.25">
      <c r="B1151" s="2" t="s">
        <v>1955</v>
      </c>
      <c r="C1151" s="2" t="s">
        <v>158</v>
      </c>
      <c r="D1151" s="2" t="s">
        <v>159</v>
      </c>
      <c r="E1151" s="2" t="s">
        <v>155</v>
      </c>
      <c r="F1151" s="2" t="s">
        <v>537</v>
      </c>
      <c r="G1151" s="2" t="s">
        <v>430</v>
      </c>
      <c r="H1151" s="2" t="s">
        <v>431</v>
      </c>
      <c r="I1151" s="26">
        <v>45596</v>
      </c>
      <c r="J1151" s="2">
        <v>52</v>
      </c>
      <c r="K1151" s="2" t="s">
        <v>123</v>
      </c>
      <c r="L1151" s="22">
        <v>1100</v>
      </c>
      <c r="M1151" s="22">
        <v>57200</v>
      </c>
      <c r="N1151" s="18">
        <v>61.18</v>
      </c>
      <c r="O1151" s="26">
        <v>45616</v>
      </c>
      <c r="P1151" s="2" t="s">
        <v>805</v>
      </c>
      <c r="Q1151" s="2" t="s">
        <v>814</v>
      </c>
    </row>
    <row r="1152" spans="2:17" x14ac:dyDescent="0.25">
      <c r="B1152" s="2" t="s">
        <v>1956</v>
      </c>
      <c r="C1152" s="2" t="s">
        <v>158</v>
      </c>
      <c r="D1152" s="2" t="s">
        <v>159</v>
      </c>
      <c r="E1152" s="2" t="s">
        <v>155</v>
      </c>
      <c r="F1152" s="2" t="s">
        <v>535</v>
      </c>
      <c r="G1152" s="2" t="s">
        <v>425</v>
      </c>
      <c r="H1152" s="2" t="s">
        <v>426</v>
      </c>
      <c r="I1152" s="26">
        <v>45603</v>
      </c>
      <c r="J1152" s="2">
        <v>54</v>
      </c>
      <c r="K1152" s="2" t="s">
        <v>123</v>
      </c>
      <c r="L1152" s="22">
        <v>1150</v>
      </c>
      <c r="M1152" s="22">
        <v>62100</v>
      </c>
      <c r="N1152" s="18">
        <v>66.42</v>
      </c>
      <c r="O1152" s="26">
        <v>45623</v>
      </c>
      <c r="P1152" s="2" t="s">
        <v>805</v>
      </c>
      <c r="Q1152" s="2" t="s">
        <v>814</v>
      </c>
    </row>
    <row r="1153" spans="2:17" x14ac:dyDescent="0.25">
      <c r="B1153" s="2" t="s">
        <v>1957</v>
      </c>
      <c r="C1153" s="2" t="s">
        <v>158</v>
      </c>
      <c r="D1153" s="2" t="s">
        <v>159</v>
      </c>
      <c r="E1153" s="2" t="s">
        <v>155</v>
      </c>
      <c r="F1153" s="2" t="s">
        <v>537</v>
      </c>
      <c r="G1153" s="2" t="s">
        <v>430</v>
      </c>
      <c r="H1153" s="2" t="s">
        <v>431</v>
      </c>
      <c r="I1153" s="26">
        <v>45611</v>
      </c>
      <c r="J1153" s="2">
        <v>53</v>
      </c>
      <c r="K1153" s="2" t="s">
        <v>123</v>
      </c>
      <c r="L1153" s="22">
        <v>1100</v>
      </c>
      <c r="M1153" s="22">
        <v>58300</v>
      </c>
      <c r="N1153" s="18">
        <v>62.35</v>
      </c>
      <c r="O1153" s="26">
        <v>45631</v>
      </c>
      <c r="P1153" s="2" t="s">
        <v>805</v>
      </c>
      <c r="Q1153" s="2" t="s">
        <v>814</v>
      </c>
    </row>
    <row r="1154" spans="2:17" x14ac:dyDescent="0.25">
      <c r="B1154" s="2" t="s">
        <v>1958</v>
      </c>
      <c r="C1154" s="2" t="s">
        <v>158</v>
      </c>
      <c r="D1154" s="2" t="s">
        <v>159</v>
      </c>
      <c r="E1154" s="2" t="s">
        <v>155</v>
      </c>
      <c r="F1154" s="2" t="s">
        <v>535</v>
      </c>
      <c r="G1154" s="2" t="s">
        <v>425</v>
      </c>
      <c r="H1154" s="2" t="s">
        <v>426</v>
      </c>
      <c r="I1154" s="26">
        <v>45616</v>
      </c>
      <c r="J1154" s="2">
        <v>53</v>
      </c>
      <c r="K1154" s="2" t="s">
        <v>123</v>
      </c>
      <c r="L1154" s="22">
        <v>1150</v>
      </c>
      <c r="M1154" s="22">
        <v>60950</v>
      </c>
      <c r="N1154" s="18">
        <v>65.19</v>
      </c>
      <c r="O1154" s="26">
        <v>45636</v>
      </c>
      <c r="P1154" s="2" t="s">
        <v>805</v>
      </c>
      <c r="Q1154" s="2" t="s">
        <v>814</v>
      </c>
    </row>
    <row r="1155" spans="2:17" x14ac:dyDescent="0.25">
      <c r="B1155" s="2" t="s">
        <v>1959</v>
      </c>
      <c r="C1155" s="2" t="s">
        <v>158</v>
      </c>
      <c r="D1155" s="2" t="s">
        <v>159</v>
      </c>
      <c r="E1155" s="2" t="s">
        <v>155</v>
      </c>
      <c r="F1155" s="2" t="s">
        <v>535</v>
      </c>
      <c r="G1155" s="2" t="s">
        <v>425</v>
      </c>
      <c r="H1155" s="2" t="s">
        <v>426</v>
      </c>
      <c r="I1155" s="26">
        <v>45622</v>
      </c>
      <c r="J1155" s="2">
        <v>49</v>
      </c>
      <c r="K1155" s="2" t="s">
        <v>123</v>
      </c>
      <c r="L1155" s="22">
        <v>1150</v>
      </c>
      <c r="M1155" s="22">
        <v>56350</v>
      </c>
      <c r="N1155" s="18">
        <v>60.27</v>
      </c>
      <c r="O1155" s="26">
        <v>45642</v>
      </c>
      <c r="P1155" s="2" t="s">
        <v>805</v>
      </c>
      <c r="Q1155" s="2" t="s">
        <v>814</v>
      </c>
    </row>
    <row r="1156" spans="2:17" x14ac:dyDescent="0.25">
      <c r="B1156" s="2" t="s">
        <v>1960</v>
      </c>
      <c r="C1156" s="2" t="s">
        <v>158</v>
      </c>
      <c r="D1156" s="2" t="s">
        <v>159</v>
      </c>
      <c r="E1156" s="2" t="s">
        <v>155</v>
      </c>
      <c r="F1156" s="2" t="s">
        <v>537</v>
      </c>
      <c r="G1156" s="2" t="s">
        <v>430</v>
      </c>
      <c r="H1156" s="2" t="s">
        <v>431</v>
      </c>
      <c r="I1156" s="26">
        <v>45628</v>
      </c>
      <c r="J1156" s="2">
        <v>64</v>
      </c>
      <c r="K1156" s="2" t="s">
        <v>123</v>
      </c>
      <c r="L1156" s="22">
        <v>1100</v>
      </c>
      <c r="M1156" s="22">
        <v>70400</v>
      </c>
      <c r="N1156" s="18">
        <v>75.290000000000006</v>
      </c>
      <c r="O1156" s="26">
        <v>45648</v>
      </c>
      <c r="P1156" s="2" t="s">
        <v>805</v>
      </c>
      <c r="Q1156" s="2" t="s">
        <v>825</v>
      </c>
    </row>
    <row r="1157" spans="2:17" x14ac:dyDescent="0.25">
      <c r="B1157" s="2" t="s">
        <v>1961</v>
      </c>
      <c r="C1157" s="2" t="s">
        <v>158</v>
      </c>
      <c r="D1157" s="2" t="s">
        <v>159</v>
      </c>
      <c r="E1157" s="2" t="s">
        <v>155</v>
      </c>
      <c r="F1157" s="2" t="s">
        <v>535</v>
      </c>
      <c r="G1157" s="2" t="s">
        <v>425</v>
      </c>
      <c r="H1157" s="2" t="s">
        <v>426</v>
      </c>
      <c r="I1157" s="26">
        <v>45636</v>
      </c>
      <c r="J1157" s="2">
        <v>68</v>
      </c>
      <c r="K1157" s="2" t="s">
        <v>123</v>
      </c>
      <c r="L1157" s="22">
        <v>1150</v>
      </c>
      <c r="M1157" s="22">
        <v>78200</v>
      </c>
      <c r="N1157" s="18">
        <v>83.64</v>
      </c>
      <c r="O1157" s="26">
        <v>45656</v>
      </c>
      <c r="P1157" s="2" t="s">
        <v>805</v>
      </c>
      <c r="Q1157" s="2" t="s">
        <v>825</v>
      </c>
    </row>
    <row r="1158" spans="2:17" x14ac:dyDescent="0.25">
      <c r="B1158" s="2" t="s">
        <v>1962</v>
      </c>
      <c r="C1158" s="2" t="s">
        <v>158</v>
      </c>
      <c r="D1158" s="2" t="s">
        <v>159</v>
      </c>
      <c r="E1158" s="2" t="s">
        <v>155</v>
      </c>
      <c r="F1158" s="2" t="s">
        <v>535</v>
      </c>
      <c r="G1158" s="2" t="s">
        <v>425</v>
      </c>
      <c r="H1158" s="2" t="s">
        <v>426</v>
      </c>
      <c r="I1158" s="26">
        <v>45642</v>
      </c>
      <c r="J1158" s="2">
        <v>61</v>
      </c>
      <c r="K1158" s="2" t="s">
        <v>123</v>
      </c>
      <c r="L1158" s="22">
        <v>1150</v>
      </c>
      <c r="M1158" s="22">
        <v>70150</v>
      </c>
      <c r="N1158" s="18">
        <v>75.03</v>
      </c>
      <c r="O1158" s="26">
        <v>45662</v>
      </c>
      <c r="P1158" s="2" t="s">
        <v>805</v>
      </c>
      <c r="Q1158" s="2" t="s">
        <v>825</v>
      </c>
    </row>
    <row r="1159" spans="2:17" x14ac:dyDescent="0.25">
      <c r="B1159" s="2" t="s">
        <v>1963</v>
      </c>
      <c r="C1159" s="2" t="s">
        <v>158</v>
      </c>
      <c r="D1159" s="2" t="s">
        <v>159</v>
      </c>
      <c r="E1159" s="2" t="s">
        <v>155</v>
      </c>
      <c r="F1159" s="2" t="s">
        <v>535</v>
      </c>
      <c r="G1159" s="2" t="s">
        <v>425</v>
      </c>
      <c r="H1159" s="2" t="s">
        <v>426</v>
      </c>
      <c r="I1159" s="26">
        <v>45649</v>
      </c>
      <c r="J1159" s="2">
        <v>59</v>
      </c>
      <c r="K1159" s="2" t="s">
        <v>123</v>
      </c>
      <c r="L1159" s="22">
        <v>1150</v>
      </c>
      <c r="M1159" s="22">
        <v>67850</v>
      </c>
      <c r="N1159" s="18">
        <v>72.569999999999993</v>
      </c>
      <c r="O1159" s="26">
        <v>45669</v>
      </c>
      <c r="P1159" s="2" t="s">
        <v>805</v>
      </c>
      <c r="Q1159" s="2" t="s">
        <v>825</v>
      </c>
    </row>
    <row r="1160" spans="2:17" x14ac:dyDescent="0.25">
      <c r="B1160" s="2" t="s">
        <v>1964</v>
      </c>
      <c r="C1160" s="2" t="s">
        <v>158</v>
      </c>
      <c r="D1160" s="2" t="s">
        <v>159</v>
      </c>
      <c r="E1160" s="2" t="s">
        <v>155</v>
      </c>
      <c r="F1160" s="2" t="s">
        <v>535</v>
      </c>
      <c r="G1160" s="2" t="s">
        <v>425</v>
      </c>
      <c r="H1160" s="2" t="s">
        <v>426</v>
      </c>
      <c r="I1160" s="26">
        <v>45656</v>
      </c>
      <c r="J1160" s="2">
        <v>67</v>
      </c>
      <c r="K1160" s="2" t="s">
        <v>123</v>
      </c>
      <c r="L1160" s="22">
        <v>1150</v>
      </c>
      <c r="M1160" s="22">
        <v>77050</v>
      </c>
      <c r="N1160" s="18">
        <v>82.41</v>
      </c>
      <c r="O1160" s="26">
        <v>45676</v>
      </c>
      <c r="P1160" s="2" t="s">
        <v>805</v>
      </c>
      <c r="Q1160" s="2" t="s">
        <v>825</v>
      </c>
    </row>
    <row r="1161" spans="2:17" x14ac:dyDescent="0.25">
      <c r="B1161" s="2" t="s">
        <v>1965</v>
      </c>
      <c r="C1161" s="2" t="s">
        <v>158</v>
      </c>
      <c r="D1161" s="2" t="s">
        <v>159</v>
      </c>
      <c r="E1161" s="2" t="s">
        <v>155</v>
      </c>
      <c r="F1161" s="2" t="s">
        <v>535</v>
      </c>
      <c r="G1161" s="2" t="s">
        <v>425</v>
      </c>
      <c r="H1161" s="2" t="s">
        <v>426</v>
      </c>
      <c r="I1161" s="26">
        <v>45661</v>
      </c>
      <c r="J1161" s="2">
        <v>54</v>
      </c>
      <c r="K1161" s="2" t="s">
        <v>123</v>
      </c>
      <c r="L1161" s="22">
        <v>1150</v>
      </c>
      <c r="M1161" s="22">
        <v>62100</v>
      </c>
      <c r="N1161" s="18">
        <v>66.42</v>
      </c>
      <c r="O1161" s="26">
        <v>45681</v>
      </c>
      <c r="P1161" s="2" t="s">
        <v>805</v>
      </c>
      <c r="Q1161" s="2" t="s">
        <v>825</v>
      </c>
    </row>
    <row r="1162" spans="2:17" x14ac:dyDescent="0.25">
      <c r="B1162" s="2" t="s">
        <v>1966</v>
      </c>
      <c r="C1162" s="2" t="s">
        <v>158</v>
      </c>
      <c r="D1162" s="2" t="s">
        <v>159</v>
      </c>
      <c r="E1162" s="2" t="s">
        <v>155</v>
      </c>
      <c r="F1162" s="2" t="s">
        <v>537</v>
      </c>
      <c r="G1162" s="2" t="s">
        <v>430</v>
      </c>
      <c r="H1162" s="2" t="s">
        <v>431</v>
      </c>
      <c r="I1162" s="26">
        <v>45669</v>
      </c>
      <c r="J1162" s="2">
        <v>53</v>
      </c>
      <c r="K1162" s="2" t="s">
        <v>123</v>
      </c>
      <c r="L1162" s="22">
        <v>1100</v>
      </c>
      <c r="M1162" s="22">
        <v>58300</v>
      </c>
      <c r="N1162" s="18">
        <v>62.35</v>
      </c>
      <c r="O1162" s="26">
        <v>45689</v>
      </c>
      <c r="P1162" s="2" t="s">
        <v>805</v>
      </c>
      <c r="Q1162" s="2" t="s">
        <v>825</v>
      </c>
    </row>
    <row r="1163" spans="2:17" x14ac:dyDescent="0.25">
      <c r="B1163" s="2" t="s">
        <v>1967</v>
      </c>
      <c r="C1163" s="2" t="s">
        <v>158</v>
      </c>
      <c r="D1163" s="2" t="s">
        <v>159</v>
      </c>
      <c r="E1163" s="2" t="s">
        <v>155</v>
      </c>
      <c r="F1163" s="2" t="s">
        <v>537</v>
      </c>
      <c r="G1163" s="2" t="s">
        <v>430</v>
      </c>
      <c r="H1163" s="2" t="s">
        <v>431</v>
      </c>
      <c r="I1163" s="26">
        <v>45676</v>
      </c>
      <c r="J1163" s="2">
        <v>59</v>
      </c>
      <c r="K1163" s="2" t="s">
        <v>123</v>
      </c>
      <c r="L1163" s="22">
        <v>1100</v>
      </c>
      <c r="M1163" s="22">
        <v>64900</v>
      </c>
      <c r="N1163" s="18">
        <v>69.41</v>
      </c>
      <c r="O1163" s="26">
        <v>45696</v>
      </c>
      <c r="P1163" s="2" t="s">
        <v>805</v>
      </c>
      <c r="Q1163" s="2" t="s">
        <v>825</v>
      </c>
    </row>
    <row r="1164" spans="2:17" x14ac:dyDescent="0.25">
      <c r="B1164" s="2" t="s">
        <v>1968</v>
      </c>
      <c r="C1164" s="2" t="s">
        <v>158</v>
      </c>
      <c r="D1164" s="2" t="s">
        <v>159</v>
      </c>
      <c r="E1164" s="2" t="s">
        <v>155</v>
      </c>
      <c r="F1164" s="2" t="s">
        <v>535</v>
      </c>
      <c r="G1164" s="2" t="s">
        <v>425</v>
      </c>
      <c r="H1164" s="2" t="s">
        <v>426</v>
      </c>
      <c r="I1164" s="26">
        <v>45684</v>
      </c>
      <c r="J1164" s="2">
        <v>47</v>
      </c>
      <c r="K1164" s="2" t="s">
        <v>123</v>
      </c>
      <c r="L1164" s="22">
        <v>1150</v>
      </c>
      <c r="M1164" s="22">
        <v>54050</v>
      </c>
      <c r="N1164" s="18">
        <v>57.81</v>
      </c>
      <c r="O1164" s="26">
        <v>45704</v>
      </c>
      <c r="P1164" s="2" t="s">
        <v>805</v>
      </c>
      <c r="Q1164" s="2" t="s">
        <v>825</v>
      </c>
    </row>
    <row r="1165" spans="2:17" x14ac:dyDescent="0.25">
      <c r="B1165" s="2" t="s">
        <v>1969</v>
      </c>
      <c r="C1165" s="2" t="s">
        <v>158</v>
      </c>
      <c r="D1165" s="2" t="s">
        <v>159</v>
      </c>
      <c r="E1165" s="2" t="s">
        <v>155</v>
      </c>
      <c r="F1165" s="2" t="s">
        <v>537</v>
      </c>
      <c r="G1165" s="2" t="s">
        <v>430</v>
      </c>
      <c r="H1165" s="2" t="s">
        <v>431</v>
      </c>
      <c r="I1165" s="26">
        <v>45690</v>
      </c>
      <c r="J1165" s="2">
        <v>58</v>
      </c>
      <c r="K1165" s="2" t="s">
        <v>123</v>
      </c>
      <c r="L1165" s="22">
        <v>1100</v>
      </c>
      <c r="M1165" s="22">
        <v>63800</v>
      </c>
      <c r="N1165" s="18">
        <v>68.239999999999995</v>
      </c>
      <c r="O1165" s="26">
        <v>45710</v>
      </c>
      <c r="P1165" s="2" t="s">
        <v>805</v>
      </c>
      <c r="Q1165" s="2" t="s">
        <v>825</v>
      </c>
    </row>
    <row r="1166" spans="2:17" x14ac:dyDescent="0.25">
      <c r="B1166" s="2" t="s">
        <v>1970</v>
      </c>
      <c r="C1166" s="2" t="s">
        <v>158</v>
      </c>
      <c r="D1166" s="2" t="s">
        <v>159</v>
      </c>
      <c r="E1166" s="2" t="s">
        <v>155</v>
      </c>
      <c r="F1166" s="2" t="s">
        <v>535</v>
      </c>
      <c r="G1166" s="2" t="s">
        <v>425</v>
      </c>
      <c r="H1166" s="2" t="s">
        <v>426</v>
      </c>
      <c r="I1166" s="26">
        <v>45698</v>
      </c>
      <c r="J1166" s="2">
        <v>52</v>
      </c>
      <c r="K1166" s="2" t="s">
        <v>123</v>
      </c>
      <c r="L1166" s="22">
        <v>1150</v>
      </c>
      <c r="M1166" s="22">
        <v>59800</v>
      </c>
      <c r="N1166" s="18">
        <v>63.96</v>
      </c>
      <c r="O1166" s="26">
        <v>45718</v>
      </c>
      <c r="P1166" s="2" t="s">
        <v>805</v>
      </c>
      <c r="Q1166" s="2" t="s">
        <v>825</v>
      </c>
    </row>
    <row r="1167" spans="2:17" x14ac:dyDescent="0.25">
      <c r="B1167" s="2" t="s">
        <v>1971</v>
      </c>
      <c r="C1167" s="2" t="s">
        <v>158</v>
      </c>
      <c r="D1167" s="2" t="s">
        <v>159</v>
      </c>
      <c r="E1167" s="2" t="s">
        <v>155</v>
      </c>
      <c r="F1167" s="2" t="s">
        <v>535</v>
      </c>
      <c r="G1167" s="2" t="s">
        <v>425</v>
      </c>
      <c r="H1167" s="2" t="s">
        <v>426</v>
      </c>
      <c r="I1167" s="26">
        <v>45703</v>
      </c>
      <c r="J1167" s="2">
        <v>45</v>
      </c>
      <c r="K1167" s="2" t="s">
        <v>123</v>
      </c>
      <c r="L1167" s="22">
        <v>1150</v>
      </c>
      <c r="M1167" s="22">
        <v>51750</v>
      </c>
      <c r="N1167" s="18">
        <v>55.35</v>
      </c>
      <c r="O1167" s="26">
        <v>45723</v>
      </c>
      <c r="P1167" s="2" t="s">
        <v>805</v>
      </c>
      <c r="Q1167" s="2" t="s">
        <v>825</v>
      </c>
    </row>
    <row r="1168" spans="2:17" x14ac:dyDescent="0.25">
      <c r="B1168" s="2" t="s">
        <v>1972</v>
      </c>
      <c r="C1168" s="2" t="s">
        <v>158</v>
      </c>
      <c r="D1168" s="2" t="s">
        <v>159</v>
      </c>
      <c r="E1168" s="2" t="s">
        <v>155</v>
      </c>
      <c r="F1168" s="2" t="s">
        <v>535</v>
      </c>
      <c r="G1168" s="2" t="s">
        <v>425</v>
      </c>
      <c r="H1168" s="2" t="s">
        <v>426</v>
      </c>
      <c r="I1168" s="26">
        <v>45709</v>
      </c>
      <c r="J1168" s="2">
        <v>58</v>
      </c>
      <c r="K1168" s="2" t="s">
        <v>123</v>
      </c>
      <c r="L1168" s="22">
        <v>1150</v>
      </c>
      <c r="M1168" s="22">
        <v>66700</v>
      </c>
      <c r="N1168" s="18">
        <v>71.34</v>
      </c>
      <c r="O1168" s="26">
        <v>45729</v>
      </c>
      <c r="P1168" s="2" t="s">
        <v>805</v>
      </c>
      <c r="Q1168" s="2" t="s">
        <v>825</v>
      </c>
    </row>
    <row r="1169" spans="2:17" x14ac:dyDescent="0.25">
      <c r="B1169" s="2" t="s">
        <v>1973</v>
      </c>
      <c r="C1169" s="2" t="s">
        <v>158</v>
      </c>
      <c r="D1169" s="2" t="s">
        <v>159</v>
      </c>
      <c r="E1169" s="2" t="s">
        <v>155</v>
      </c>
      <c r="F1169" s="2" t="s">
        <v>535</v>
      </c>
      <c r="G1169" s="2" t="s">
        <v>425</v>
      </c>
      <c r="H1169" s="2" t="s">
        <v>426</v>
      </c>
      <c r="I1169" s="26">
        <v>45716</v>
      </c>
      <c r="J1169" s="2">
        <v>57</v>
      </c>
      <c r="K1169" s="2" t="s">
        <v>123</v>
      </c>
      <c r="L1169" s="22">
        <v>1150</v>
      </c>
      <c r="M1169" s="22">
        <v>65550</v>
      </c>
      <c r="N1169" s="18">
        <v>70.11</v>
      </c>
      <c r="O1169" s="26">
        <v>45736</v>
      </c>
      <c r="P1169" s="2" t="s">
        <v>805</v>
      </c>
      <c r="Q1169" s="2" t="s">
        <v>825</v>
      </c>
    </row>
    <row r="1170" spans="2:17" x14ac:dyDescent="0.25">
      <c r="B1170" s="2" t="s">
        <v>1974</v>
      </c>
      <c r="C1170" s="2" t="s">
        <v>158</v>
      </c>
      <c r="D1170" s="2" t="s">
        <v>159</v>
      </c>
      <c r="E1170" s="2" t="s">
        <v>155</v>
      </c>
      <c r="F1170" s="2" t="s">
        <v>535</v>
      </c>
      <c r="G1170" s="2" t="s">
        <v>425</v>
      </c>
      <c r="H1170" s="2" t="s">
        <v>426</v>
      </c>
      <c r="I1170" s="26">
        <v>45721</v>
      </c>
      <c r="J1170" s="2">
        <v>48</v>
      </c>
      <c r="K1170" s="2" t="s">
        <v>123</v>
      </c>
      <c r="L1170" s="22">
        <v>1150</v>
      </c>
      <c r="M1170" s="22">
        <v>55200</v>
      </c>
      <c r="N1170" s="18">
        <v>59.04</v>
      </c>
      <c r="O1170" s="26">
        <v>45741</v>
      </c>
      <c r="P1170" s="2" t="s">
        <v>805</v>
      </c>
      <c r="Q1170" s="2" t="s">
        <v>836</v>
      </c>
    </row>
    <row r="1171" spans="2:17" x14ac:dyDescent="0.25">
      <c r="B1171" s="2" t="s">
        <v>1975</v>
      </c>
      <c r="C1171" s="2" t="s">
        <v>158</v>
      </c>
      <c r="D1171" s="2" t="s">
        <v>159</v>
      </c>
      <c r="E1171" s="2" t="s">
        <v>155</v>
      </c>
      <c r="F1171" s="2" t="s">
        <v>535</v>
      </c>
      <c r="G1171" s="2" t="s">
        <v>425</v>
      </c>
      <c r="H1171" s="2" t="s">
        <v>426</v>
      </c>
      <c r="I1171" s="26">
        <v>45728</v>
      </c>
      <c r="J1171" s="2">
        <v>58</v>
      </c>
      <c r="K1171" s="2" t="s">
        <v>123</v>
      </c>
      <c r="L1171" s="22">
        <v>1150</v>
      </c>
      <c r="M1171" s="22">
        <v>66700</v>
      </c>
      <c r="N1171" s="18">
        <v>71.34</v>
      </c>
      <c r="O1171" s="26">
        <v>45748</v>
      </c>
      <c r="P1171" s="2" t="s">
        <v>805</v>
      </c>
      <c r="Q1171" s="2" t="s">
        <v>836</v>
      </c>
    </row>
    <row r="1172" spans="2:17" x14ac:dyDescent="0.25">
      <c r="B1172" s="2" t="s">
        <v>1976</v>
      </c>
      <c r="C1172" s="2" t="s">
        <v>158</v>
      </c>
      <c r="D1172" s="2" t="s">
        <v>159</v>
      </c>
      <c r="E1172" s="2" t="s">
        <v>155</v>
      </c>
      <c r="F1172" s="2" t="s">
        <v>535</v>
      </c>
      <c r="G1172" s="2" t="s">
        <v>425</v>
      </c>
      <c r="H1172" s="2" t="s">
        <v>426</v>
      </c>
      <c r="I1172" s="26">
        <v>45734</v>
      </c>
      <c r="J1172" s="2">
        <v>57</v>
      </c>
      <c r="K1172" s="2" t="s">
        <v>123</v>
      </c>
      <c r="L1172" s="22">
        <v>1150</v>
      </c>
      <c r="M1172" s="22">
        <v>65550</v>
      </c>
      <c r="N1172" s="18">
        <v>70.11</v>
      </c>
      <c r="O1172" s="26">
        <v>45754</v>
      </c>
      <c r="P1172" s="2" t="s">
        <v>805</v>
      </c>
      <c r="Q1172" s="2" t="s">
        <v>836</v>
      </c>
    </row>
    <row r="1173" spans="2:17" x14ac:dyDescent="0.25">
      <c r="B1173" s="2" t="s">
        <v>1977</v>
      </c>
      <c r="C1173" s="2" t="s">
        <v>158</v>
      </c>
      <c r="D1173" s="2" t="s">
        <v>159</v>
      </c>
      <c r="E1173" s="2" t="s">
        <v>155</v>
      </c>
      <c r="F1173" s="2" t="s">
        <v>535</v>
      </c>
      <c r="G1173" s="2" t="s">
        <v>425</v>
      </c>
      <c r="H1173" s="2" t="s">
        <v>426</v>
      </c>
      <c r="I1173" s="26">
        <v>45743</v>
      </c>
      <c r="J1173" s="2">
        <v>51</v>
      </c>
      <c r="K1173" s="2" t="s">
        <v>123</v>
      </c>
      <c r="L1173" s="22">
        <v>1150</v>
      </c>
      <c r="M1173" s="22">
        <v>58650</v>
      </c>
      <c r="N1173" s="18">
        <v>62.73</v>
      </c>
      <c r="O1173" s="26">
        <v>45763</v>
      </c>
      <c r="P1173" s="2" t="s">
        <v>805</v>
      </c>
      <c r="Q1173" s="2" t="s">
        <v>836</v>
      </c>
    </row>
    <row r="1174" spans="2:17" x14ac:dyDescent="0.25">
      <c r="B1174" s="2" t="s">
        <v>1978</v>
      </c>
      <c r="C1174" s="2" t="s">
        <v>158</v>
      </c>
      <c r="D1174" s="2" t="s">
        <v>159</v>
      </c>
      <c r="E1174" s="2" t="s">
        <v>155</v>
      </c>
      <c r="F1174" s="2" t="s">
        <v>535</v>
      </c>
      <c r="G1174" s="2" t="s">
        <v>425</v>
      </c>
      <c r="H1174" s="2" t="s">
        <v>426</v>
      </c>
      <c r="I1174" s="26">
        <v>45747</v>
      </c>
      <c r="J1174" s="2">
        <v>54</v>
      </c>
      <c r="K1174" s="2" t="s">
        <v>123</v>
      </c>
      <c r="L1174" s="22">
        <v>1150</v>
      </c>
      <c r="M1174" s="22">
        <v>62100</v>
      </c>
      <c r="N1174" s="18">
        <v>66.42</v>
      </c>
      <c r="O1174" s="26">
        <v>45767</v>
      </c>
      <c r="P1174" s="2" t="s">
        <v>805</v>
      </c>
      <c r="Q1174" s="2" t="s">
        <v>836</v>
      </c>
    </row>
    <row r="1175" spans="2:17" x14ac:dyDescent="0.25">
      <c r="B1175" s="2" t="s">
        <v>1979</v>
      </c>
      <c r="C1175" s="2" t="s">
        <v>158</v>
      </c>
      <c r="D1175" s="2" t="s">
        <v>159</v>
      </c>
      <c r="E1175" s="2" t="s">
        <v>155</v>
      </c>
      <c r="F1175" s="2" t="s">
        <v>535</v>
      </c>
      <c r="G1175" s="2" t="s">
        <v>425</v>
      </c>
      <c r="H1175" s="2" t="s">
        <v>426</v>
      </c>
      <c r="I1175" s="26">
        <v>45753</v>
      </c>
      <c r="J1175" s="2">
        <v>18</v>
      </c>
      <c r="K1175" s="2" t="s">
        <v>123</v>
      </c>
      <c r="L1175" s="22">
        <v>1150</v>
      </c>
      <c r="M1175" s="22">
        <v>20700</v>
      </c>
      <c r="N1175" s="18">
        <v>22.14</v>
      </c>
      <c r="O1175" s="26">
        <v>45773</v>
      </c>
      <c r="P1175" s="2" t="s">
        <v>805</v>
      </c>
      <c r="Q1175" s="2" t="s">
        <v>836</v>
      </c>
    </row>
    <row r="1176" spans="2:17" x14ac:dyDescent="0.25">
      <c r="B1176" s="2" t="s">
        <v>1980</v>
      </c>
      <c r="C1176" s="2" t="s">
        <v>158</v>
      </c>
      <c r="D1176" s="2" t="s">
        <v>159</v>
      </c>
      <c r="E1176" s="2" t="s">
        <v>155</v>
      </c>
      <c r="F1176" s="2" t="s">
        <v>535</v>
      </c>
      <c r="G1176" s="2" t="s">
        <v>425</v>
      </c>
      <c r="H1176" s="2" t="s">
        <v>426</v>
      </c>
      <c r="I1176" s="26">
        <v>45758</v>
      </c>
      <c r="J1176" s="2">
        <v>17</v>
      </c>
      <c r="K1176" s="2" t="s">
        <v>123</v>
      </c>
      <c r="L1176" s="22">
        <v>1150</v>
      </c>
      <c r="M1176" s="22">
        <v>19550</v>
      </c>
      <c r="N1176" s="18">
        <v>20.91</v>
      </c>
      <c r="O1176" s="26">
        <v>45778</v>
      </c>
      <c r="P1176" s="2" t="s">
        <v>805</v>
      </c>
      <c r="Q1176" s="2" t="s">
        <v>836</v>
      </c>
    </row>
    <row r="1177" spans="2:17" x14ac:dyDescent="0.25">
      <c r="B1177" s="2" t="s">
        <v>1981</v>
      </c>
      <c r="C1177" s="2" t="s">
        <v>158</v>
      </c>
      <c r="D1177" s="2" t="s">
        <v>159</v>
      </c>
      <c r="E1177" s="2" t="s">
        <v>155</v>
      </c>
      <c r="F1177" s="2" t="s">
        <v>535</v>
      </c>
      <c r="G1177" s="2" t="s">
        <v>425</v>
      </c>
      <c r="H1177" s="2" t="s">
        <v>426</v>
      </c>
      <c r="I1177" s="26">
        <v>45763</v>
      </c>
      <c r="J1177" s="2">
        <v>22</v>
      </c>
      <c r="K1177" s="2" t="s">
        <v>123</v>
      </c>
      <c r="L1177" s="22">
        <v>1150</v>
      </c>
      <c r="M1177" s="22">
        <v>25300</v>
      </c>
      <c r="N1177" s="18">
        <v>27.06</v>
      </c>
      <c r="O1177" s="26">
        <v>45783</v>
      </c>
      <c r="P1177" s="2" t="s">
        <v>805</v>
      </c>
      <c r="Q1177" s="2" t="s">
        <v>836</v>
      </c>
    </row>
    <row r="1178" spans="2:17" x14ac:dyDescent="0.25">
      <c r="B1178" s="2" t="s">
        <v>1982</v>
      </c>
      <c r="C1178" s="2" t="s">
        <v>158</v>
      </c>
      <c r="D1178" s="2" t="s">
        <v>159</v>
      </c>
      <c r="E1178" s="2" t="s">
        <v>155</v>
      </c>
      <c r="F1178" s="2" t="s">
        <v>537</v>
      </c>
      <c r="G1178" s="2" t="s">
        <v>430</v>
      </c>
      <c r="H1178" s="2" t="s">
        <v>431</v>
      </c>
      <c r="I1178" s="26">
        <v>45769</v>
      </c>
      <c r="J1178" s="2">
        <v>22</v>
      </c>
      <c r="K1178" s="2" t="s">
        <v>123</v>
      </c>
      <c r="L1178" s="22">
        <v>1100</v>
      </c>
      <c r="M1178" s="22">
        <v>24200</v>
      </c>
      <c r="N1178" s="18">
        <v>25.88</v>
      </c>
      <c r="O1178" s="26">
        <v>45789</v>
      </c>
      <c r="P1178" s="2" t="s">
        <v>805</v>
      </c>
      <c r="Q1178" s="2" t="s">
        <v>836</v>
      </c>
    </row>
    <row r="1179" spans="2:17" x14ac:dyDescent="0.25">
      <c r="B1179" s="2" t="s">
        <v>1983</v>
      </c>
      <c r="C1179" s="2" t="s">
        <v>158</v>
      </c>
      <c r="D1179" s="2" t="s">
        <v>159</v>
      </c>
      <c r="E1179" s="2" t="s">
        <v>155</v>
      </c>
      <c r="F1179" s="2" t="s">
        <v>537</v>
      </c>
      <c r="G1179" s="2" t="s">
        <v>430</v>
      </c>
      <c r="H1179" s="2" t="s">
        <v>431</v>
      </c>
      <c r="I1179" s="26">
        <v>45777</v>
      </c>
      <c r="J1179" s="2">
        <v>19</v>
      </c>
      <c r="K1179" s="2" t="s">
        <v>123</v>
      </c>
      <c r="L1179" s="22">
        <v>1100</v>
      </c>
      <c r="M1179" s="22">
        <v>20900</v>
      </c>
      <c r="N1179" s="18">
        <v>22.35</v>
      </c>
      <c r="O1179" s="26">
        <v>45797</v>
      </c>
      <c r="P1179" s="2" t="s">
        <v>805</v>
      </c>
      <c r="Q1179" s="2" t="s">
        <v>836</v>
      </c>
    </row>
    <row r="1180" spans="2:17" x14ac:dyDescent="0.25">
      <c r="B1180" s="2" t="s">
        <v>1984</v>
      </c>
      <c r="C1180" s="2" t="s">
        <v>158</v>
      </c>
      <c r="D1180" s="2" t="s">
        <v>159</v>
      </c>
      <c r="E1180" s="2" t="s">
        <v>155</v>
      </c>
      <c r="F1180" s="2" t="s">
        <v>535</v>
      </c>
      <c r="G1180" s="2" t="s">
        <v>425</v>
      </c>
      <c r="H1180" s="2" t="s">
        <v>426</v>
      </c>
      <c r="I1180" s="26">
        <v>45784</v>
      </c>
      <c r="J1180" s="2">
        <v>22</v>
      </c>
      <c r="K1180" s="2" t="s">
        <v>123</v>
      </c>
      <c r="L1180" s="22">
        <v>1150</v>
      </c>
      <c r="M1180" s="22">
        <v>25300</v>
      </c>
      <c r="N1180" s="18">
        <v>27.06</v>
      </c>
      <c r="O1180" s="26">
        <v>45804</v>
      </c>
      <c r="P1180" s="2" t="s">
        <v>805</v>
      </c>
      <c r="Q1180" s="2" t="s">
        <v>836</v>
      </c>
    </row>
    <row r="1181" spans="2:17" x14ac:dyDescent="0.25">
      <c r="B1181" s="2" t="s">
        <v>1985</v>
      </c>
      <c r="C1181" s="2" t="s">
        <v>158</v>
      </c>
      <c r="D1181" s="2" t="s">
        <v>159</v>
      </c>
      <c r="E1181" s="2" t="s">
        <v>155</v>
      </c>
      <c r="F1181" s="2" t="s">
        <v>535</v>
      </c>
      <c r="G1181" s="2" t="s">
        <v>425</v>
      </c>
      <c r="H1181" s="2" t="s">
        <v>426</v>
      </c>
      <c r="I1181" s="26">
        <v>45791</v>
      </c>
      <c r="J1181" s="2">
        <v>19</v>
      </c>
      <c r="K1181" s="2" t="s">
        <v>123</v>
      </c>
      <c r="L1181" s="22">
        <v>1150</v>
      </c>
      <c r="M1181" s="22">
        <v>21850</v>
      </c>
      <c r="N1181" s="18">
        <v>23.37</v>
      </c>
      <c r="O1181" s="26">
        <v>45811</v>
      </c>
      <c r="P1181" s="2" t="s">
        <v>805</v>
      </c>
      <c r="Q1181" s="2" t="s">
        <v>836</v>
      </c>
    </row>
    <row r="1182" spans="2:17" x14ac:dyDescent="0.25">
      <c r="B1182" s="2" t="s">
        <v>1986</v>
      </c>
      <c r="C1182" s="2" t="s">
        <v>158</v>
      </c>
      <c r="D1182" s="2" t="s">
        <v>159</v>
      </c>
      <c r="E1182" s="2" t="s">
        <v>155</v>
      </c>
      <c r="F1182" s="2" t="s">
        <v>535</v>
      </c>
      <c r="G1182" s="2" t="s">
        <v>425</v>
      </c>
      <c r="H1182" s="2" t="s">
        <v>426</v>
      </c>
      <c r="I1182" s="26">
        <v>45797</v>
      </c>
      <c r="J1182" s="2">
        <v>21</v>
      </c>
      <c r="K1182" s="2" t="s">
        <v>123</v>
      </c>
      <c r="L1182" s="22">
        <v>1150</v>
      </c>
      <c r="M1182" s="22">
        <v>24150</v>
      </c>
      <c r="N1182" s="18">
        <v>25.83</v>
      </c>
      <c r="O1182" s="26">
        <v>45817</v>
      </c>
      <c r="P1182" s="2" t="s">
        <v>805</v>
      </c>
      <c r="Q1182" s="2" t="s">
        <v>836</v>
      </c>
    </row>
    <row r="1183" spans="2:17" x14ac:dyDescent="0.25">
      <c r="B1183" s="2" t="s">
        <v>1987</v>
      </c>
      <c r="C1183" s="2" t="s">
        <v>158</v>
      </c>
      <c r="D1183" s="2" t="s">
        <v>159</v>
      </c>
      <c r="E1183" s="2" t="s">
        <v>155</v>
      </c>
      <c r="F1183" s="2" t="s">
        <v>535</v>
      </c>
      <c r="G1183" s="2" t="s">
        <v>425</v>
      </c>
      <c r="H1183" s="2" t="s">
        <v>426</v>
      </c>
      <c r="I1183" s="26">
        <v>45803</v>
      </c>
      <c r="J1183" s="2">
        <v>17</v>
      </c>
      <c r="K1183" s="2" t="s">
        <v>123</v>
      </c>
      <c r="L1183" s="22">
        <v>1150</v>
      </c>
      <c r="M1183" s="22">
        <v>19550</v>
      </c>
      <c r="N1183" s="18">
        <v>20.91</v>
      </c>
      <c r="O1183" s="26">
        <v>45823</v>
      </c>
      <c r="P1183" s="2" t="s">
        <v>805</v>
      </c>
      <c r="Q1183" s="2" t="s">
        <v>836</v>
      </c>
    </row>
    <row r="1184" spans="2:17" x14ac:dyDescent="0.25">
      <c r="B1184" s="2" t="s">
        <v>1988</v>
      </c>
      <c r="C1184" s="2" t="s">
        <v>158</v>
      </c>
      <c r="D1184" s="2" t="s">
        <v>159</v>
      </c>
      <c r="E1184" s="2" t="s">
        <v>155</v>
      </c>
      <c r="F1184" s="2" t="s">
        <v>535</v>
      </c>
      <c r="G1184" s="2" t="s">
        <v>425</v>
      </c>
      <c r="H1184" s="2" t="s">
        <v>426</v>
      </c>
      <c r="I1184" s="26">
        <v>45808</v>
      </c>
      <c r="J1184" s="2">
        <v>22</v>
      </c>
      <c r="K1184" s="2" t="s">
        <v>123</v>
      </c>
      <c r="L1184" s="22">
        <v>1150</v>
      </c>
      <c r="M1184" s="22">
        <v>25300</v>
      </c>
      <c r="N1184" s="18">
        <v>27.06</v>
      </c>
      <c r="O1184" s="26">
        <v>45828</v>
      </c>
      <c r="P1184" s="2" t="s">
        <v>805</v>
      </c>
      <c r="Q1184" s="2" t="s">
        <v>836</v>
      </c>
    </row>
    <row r="1185" spans="2:17" x14ac:dyDescent="0.25">
      <c r="B1185" s="2" t="s">
        <v>1989</v>
      </c>
      <c r="C1185" s="2" t="s">
        <v>158</v>
      </c>
      <c r="D1185" s="2" t="s">
        <v>159</v>
      </c>
      <c r="E1185" s="2" t="s">
        <v>155</v>
      </c>
      <c r="F1185" s="2" t="s">
        <v>535</v>
      </c>
      <c r="G1185" s="2" t="s">
        <v>425</v>
      </c>
      <c r="H1185" s="2" t="s">
        <v>426</v>
      </c>
      <c r="I1185" s="26">
        <v>45814</v>
      </c>
      <c r="J1185" s="2">
        <v>21</v>
      </c>
      <c r="K1185" s="2" t="s">
        <v>123</v>
      </c>
      <c r="L1185" s="22">
        <v>1150</v>
      </c>
      <c r="M1185" s="22">
        <v>24150</v>
      </c>
      <c r="N1185" s="18">
        <v>25.83</v>
      </c>
      <c r="O1185" s="26">
        <v>45834</v>
      </c>
      <c r="P1185" s="2" t="s">
        <v>805</v>
      </c>
      <c r="Q1185" s="2" t="s">
        <v>806</v>
      </c>
    </row>
    <row r="1186" spans="2:17" x14ac:dyDescent="0.25">
      <c r="B1186" s="2" t="s">
        <v>1990</v>
      </c>
      <c r="C1186" s="2" t="s">
        <v>158</v>
      </c>
      <c r="D1186" s="2" t="s">
        <v>159</v>
      </c>
      <c r="E1186" s="2" t="s">
        <v>155</v>
      </c>
      <c r="F1186" s="2" t="s">
        <v>535</v>
      </c>
      <c r="G1186" s="2" t="s">
        <v>425</v>
      </c>
      <c r="H1186" s="2" t="s">
        <v>426</v>
      </c>
      <c r="I1186" s="26">
        <v>45821</v>
      </c>
      <c r="J1186" s="2">
        <v>20</v>
      </c>
      <c r="K1186" s="2" t="s">
        <v>123</v>
      </c>
      <c r="L1186" s="22">
        <v>1150</v>
      </c>
      <c r="M1186" s="22">
        <v>23000</v>
      </c>
      <c r="N1186" s="18">
        <v>24.6</v>
      </c>
      <c r="O1186" s="26">
        <v>45841</v>
      </c>
      <c r="P1186" s="2" t="s">
        <v>805</v>
      </c>
      <c r="Q1186" s="2" t="s">
        <v>806</v>
      </c>
    </row>
    <row r="1187" spans="2:17" x14ac:dyDescent="0.25">
      <c r="B1187" s="2" t="s">
        <v>1991</v>
      </c>
      <c r="C1187" s="2" t="s">
        <v>158</v>
      </c>
      <c r="D1187" s="2" t="s">
        <v>159</v>
      </c>
      <c r="E1187" s="2" t="s">
        <v>155</v>
      </c>
      <c r="F1187" s="2" t="s">
        <v>535</v>
      </c>
      <c r="G1187" s="2" t="s">
        <v>425</v>
      </c>
      <c r="H1187" s="2" t="s">
        <v>426</v>
      </c>
      <c r="I1187" s="26">
        <v>45827</v>
      </c>
      <c r="J1187" s="2">
        <v>19</v>
      </c>
      <c r="K1187" s="2" t="s">
        <v>123</v>
      </c>
      <c r="L1187" s="22">
        <v>1150</v>
      </c>
      <c r="M1187" s="22">
        <v>21850</v>
      </c>
      <c r="N1187" s="18">
        <v>23.37</v>
      </c>
      <c r="O1187" s="26">
        <v>45847</v>
      </c>
      <c r="P1187" s="2" t="s">
        <v>805</v>
      </c>
      <c r="Q1187" s="2" t="s">
        <v>806</v>
      </c>
    </row>
    <row r="1188" spans="2:17" x14ac:dyDescent="0.25">
      <c r="B1188" s="2" t="s">
        <v>1992</v>
      </c>
      <c r="C1188" s="2" t="s">
        <v>158</v>
      </c>
      <c r="D1188" s="2" t="s">
        <v>159</v>
      </c>
      <c r="E1188" s="2" t="s">
        <v>155</v>
      </c>
      <c r="F1188" s="2" t="s">
        <v>535</v>
      </c>
      <c r="G1188" s="2" t="s">
        <v>425</v>
      </c>
      <c r="H1188" s="2" t="s">
        <v>426</v>
      </c>
      <c r="I1188" s="26">
        <v>45833</v>
      </c>
      <c r="J1188" s="2">
        <v>17</v>
      </c>
      <c r="K1188" s="2" t="s">
        <v>123</v>
      </c>
      <c r="L1188" s="22">
        <v>1150</v>
      </c>
      <c r="M1188" s="22">
        <v>19550</v>
      </c>
      <c r="N1188" s="18">
        <v>20.91</v>
      </c>
      <c r="O1188" s="26">
        <v>45853</v>
      </c>
      <c r="P1188" s="2" t="s">
        <v>805</v>
      </c>
      <c r="Q1188" s="2" t="s">
        <v>806</v>
      </c>
    </row>
    <row r="1189" spans="2:17" x14ac:dyDescent="0.25">
      <c r="B1189" s="2" t="s">
        <v>1993</v>
      </c>
      <c r="C1189" s="2" t="s">
        <v>158</v>
      </c>
      <c r="D1189" s="2" t="s">
        <v>159</v>
      </c>
      <c r="E1189" s="2" t="s">
        <v>155</v>
      </c>
      <c r="F1189" s="2" t="s">
        <v>535</v>
      </c>
      <c r="G1189" s="2" t="s">
        <v>425</v>
      </c>
      <c r="H1189" s="2" t="s">
        <v>426</v>
      </c>
      <c r="I1189" s="26">
        <v>45838</v>
      </c>
      <c r="J1189" s="2">
        <v>17</v>
      </c>
      <c r="K1189" s="2" t="s">
        <v>123</v>
      </c>
      <c r="L1189" s="22">
        <v>1150</v>
      </c>
      <c r="M1189" s="22">
        <v>19550</v>
      </c>
      <c r="N1189" s="18">
        <v>20.91</v>
      </c>
      <c r="O1189" s="26">
        <v>45858</v>
      </c>
      <c r="P1189" s="2" t="s">
        <v>805</v>
      </c>
      <c r="Q1189" s="2" t="s">
        <v>806</v>
      </c>
    </row>
    <row r="1190" spans="2:17" x14ac:dyDescent="0.25">
      <c r="B1190" s="2" t="s">
        <v>1994</v>
      </c>
      <c r="C1190" s="2" t="s">
        <v>160</v>
      </c>
      <c r="D1190" s="2" t="s">
        <v>161</v>
      </c>
      <c r="E1190" s="2" t="s">
        <v>155</v>
      </c>
      <c r="F1190" s="2" t="s">
        <v>535</v>
      </c>
      <c r="G1190" s="2" t="s">
        <v>425</v>
      </c>
      <c r="H1190" s="2" t="s">
        <v>426</v>
      </c>
      <c r="I1190" s="26">
        <v>45109</v>
      </c>
      <c r="J1190" s="2">
        <v>28</v>
      </c>
      <c r="K1190" s="2" t="s">
        <v>123</v>
      </c>
      <c r="L1190" s="22">
        <v>1450</v>
      </c>
      <c r="M1190" s="22">
        <v>40600</v>
      </c>
      <c r="N1190" s="18">
        <v>43.42</v>
      </c>
      <c r="O1190" s="26">
        <v>45129</v>
      </c>
      <c r="P1190" s="2" t="s">
        <v>805</v>
      </c>
      <c r="Q1190" s="2" t="s">
        <v>806</v>
      </c>
    </row>
    <row r="1191" spans="2:17" x14ac:dyDescent="0.25">
      <c r="B1191" s="2" t="s">
        <v>1995</v>
      </c>
      <c r="C1191" s="2" t="s">
        <v>160</v>
      </c>
      <c r="D1191" s="2" t="s">
        <v>161</v>
      </c>
      <c r="E1191" s="2" t="s">
        <v>155</v>
      </c>
      <c r="F1191" s="2" t="s">
        <v>535</v>
      </c>
      <c r="G1191" s="2" t="s">
        <v>425</v>
      </c>
      <c r="H1191" s="2" t="s">
        <v>426</v>
      </c>
      <c r="I1191" s="26">
        <v>45115</v>
      </c>
      <c r="J1191" s="2">
        <v>29</v>
      </c>
      <c r="K1191" s="2" t="s">
        <v>123</v>
      </c>
      <c r="L1191" s="22">
        <v>1450</v>
      </c>
      <c r="M1191" s="22">
        <v>42050</v>
      </c>
      <c r="N1191" s="18">
        <v>44.97</v>
      </c>
      <c r="O1191" s="26">
        <v>45135</v>
      </c>
      <c r="P1191" s="2" t="s">
        <v>805</v>
      </c>
      <c r="Q1191" s="2" t="s">
        <v>806</v>
      </c>
    </row>
    <row r="1192" spans="2:17" x14ac:dyDescent="0.25">
      <c r="B1192" s="2" t="s">
        <v>1996</v>
      </c>
      <c r="C1192" s="2" t="s">
        <v>160</v>
      </c>
      <c r="D1192" s="2" t="s">
        <v>161</v>
      </c>
      <c r="E1192" s="2" t="s">
        <v>155</v>
      </c>
      <c r="F1192" s="2" t="s">
        <v>535</v>
      </c>
      <c r="G1192" s="2" t="s">
        <v>425</v>
      </c>
      <c r="H1192" s="2" t="s">
        <v>426</v>
      </c>
      <c r="I1192" s="26">
        <v>45124</v>
      </c>
      <c r="J1192" s="2">
        <v>28</v>
      </c>
      <c r="K1192" s="2" t="s">
        <v>123</v>
      </c>
      <c r="L1192" s="22">
        <v>1450</v>
      </c>
      <c r="M1192" s="22">
        <v>40600</v>
      </c>
      <c r="N1192" s="18">
        <v>43.42</v>
      </c>
      <c r="O1192" s="26">
        <v>45144</v>
      </c>
      <c r="P1192" s="2" t="s">
        <v>805</v>
      </c>
      <c r="Q1192" s="2" t="s">
        <v>806</v>
      </c>
    </row>
    <row r="1193" spans="2:17" x14ac:dyDescent="0.25">
      <c r="B1193" s="2" t="s">
        <v>1997</v>
      </c>
      <c r="C1193" s="2" t="s">
        <v>160</v>
      </c>
      <c r="D1193" s="2" t="s">
        <v>161</v>
      </c>
      <c r="E1193" s="2" t="s">
        <v>155</v>
      </c>
      <c r="F1193" s="2" t="s">
        <v>535</v>
      </c>
      <c r="G1193" s="2" t="s">
        <v>425</v>
      </c>
      <c r="H1193" s="2" t="s">
        <v>426</v>
      </c>
      <c r="I1193" s="26">
        <v>45132</v>
      </c>
      <c r="J1193" s="2">
        <v>26</v>
      </c>
      <c r="K1193" s="2" t="s">
        <v>123</v>
      </c>
      <c r="L1193" s="22">
        <v>1450</v>
      </c>
      <c r="M1193" s="22">
        <v>37700</v>
      </c>
      <c r="N1193" s="18">
        <v>40.32</v>
      </c>
      <c r="O1193" s="26">
        <v>45152</v>
      </c>
      <c r="P1193" s="2" t="s">
        <v>805</v>
      </c>
      <c r="Q1193" s="2" t="s">
        <v>806</v>
      </c>
    </row>
    <row r="1194" spans="2:17" x14ac:dyDescent="0.25">
      <c r="B1194" s="2" t="s">
        <v>1998</v>
      </c>
      <c r="C1194" s="2" t="s">
        <v>160</v>
      </c>
      <c r="D1194" s="2" t="s">
        <v>161</v>
      </c>
      <c r="E1194" s="2" t="s">
        <v>155</v>
      </c>
      <c r="F1194" s="2" t="s">
        <v>535</v>
      </c>
      <c r="G1194" s="2" t="s">
        <v>425</v>
      </c>
      <c r="H1194" s="2" t="s">
        <v>426</v>
      </c>
      <c r="I1194" s="26">
        <v>45136</v>
      </c>
      <c r="J1194" s="2">
        <v>32</v>
      </c>
      <c r="K1194" s="2" t="s">
        <v>123</v>
      </c>
      <c r="L1194" s="22">
        <v>1450</v>
      </c>
      <c r="M1194" s="22">
        <v>46400</v>
      </c>
      <c r="N1194" s="18">
        <v>49.63</v>
      </c>
      <c r="O1194" s="26">
        <v>45156</v>
      </c>
      <c r="P1194" s="2" t="s">
        <v>805</v>
      </c>
      <c r="Q1194" s="2" t="s">
        <v>806</v>
      </c>
    </row>
    <row r="1195" spans="2:17" x14ac:dyDescent="0.25">
      <c r="B1195" s="2" t="s">
        <v>1999</v>
      </c>
      <c r="C1195" s="2" t="s">
        <v>160</v>
      </c>
      <c r="D1195" s="2" t="s">
        <v>161</v>
      </c>
      <c r="E1195" s="2" t="s">
        <v>155</v>
      </c>
      <c r="F1195" s="2" t="s">
        <v>537</v>
      </c>
      <c r="G1195" s="2" t="s">
        <v>430</v>
      </c>
      <c r="H1195" s="2" t="s">
        <v>431</v>
      </c>
      <c r="I1195" s="26">
        <v>45141</v>
      </c>
      <c r="J1195" s="2">
        <v>32</v>
      </c>
      <c r="K1195" s="2" t="s">
        <v>123</v>
      </c>
      <c r="L1195" s="22">
        <v>1550</v>
      </c>
      <c r="M1195" s="22">
        <v>49600</v>
      </c>
      <c r="N1195" s="18">
        <v>53.05</v>
      </c>
      <c r="O1195" s="26">
        <v>45161</v>
      </c>
      <c r="P1195" s="2" t="s">
        <v>805</v>
      </c>
      <c r="Q1195" s="2" t="s">
        <v>806</v>
      </c>
    </row>
    <row r="1196" spans="2:17" x14ac:dyDescent="0.25">
      <c r="B1196" s="2" t="s">
        <v>2000</v>
      </c>
      <c r="C1196" s="2" t="s">
        <v>160</v>
      </c>
      <c r="D1196" s="2" t="s">
        <v>161</v>
      </c>
      <c r="E1196" s="2" t="s">
        <v>155</v>
      </c>
      <c r="F1196" s="2" t="s">
        <v>535</v>
      </c>
      <c r="G1196" s="2" t="s">
        <v>425</v>
      </c>
      <c r="H1196" s="2" t="s">
        <v>426</v>
      </c>
      <c r="I1196" s="26">
        <v>45148</v>
      </c>
      <c r="J1196" s="2">
        <v>33</v>
      </c>
      <c r="K1196" s="2" t="s">
        <v>123</v>
      </c>
      <c r="L1196" s="22">
        <v>1450</v>
      </c>
      <c r="M1196" s="22">
        <v>47850</v>
      </c>
      <c r="N1196" s="18">
        <v>51.18</v>
      </c>
      <c r="O1196" s="26">
        <v>45168</v>
      </c>
      <c r="P1196" s="2" t="s">
        <v>805</v>
      </c>
      <c r="Q1196" s="2" t="s">
        <v>806</v>
      </c>
    </row>
    <row r="1197" spans="2:17" x14ac:dyDescent="0.25">
      <c r="B1197" s="2" t="s">
        <v>2001</v>
      </c>
      <c r="C1197" s="2" t="s">
        <v>160</v>
      </c>
      <c r="D1197" s="2" t="s">
        <v>161</v>
      </c>
      <c r="E1197" s="2" t="s">
        <v>155</v>
      </c>
      <c r="F1197" s="2" t="s">
        <v>535</v>
      </c>
      <c r="G1197" s="2" t="s">
        <v>425</v>
      </c>
      <c r="H1197" s="2" t="s">
        <v>426</v>
      </c>
      <c r="I1197" s="26">
        <v>45154</v>
      </c>
      <c r="J1197" s="2">
        <v>32</v>
      </c>
      <c r="K1197" s="2" t="s">
        <v>123</v>
      </c>
      <c r="L1197" s="22">
        <v>1450</v>
      </c>
      <c r="M1197" s="22">
        <v>46400</v>
      </c>
      <c r="N1197" s="18">
        <v>49.63</v>
      </c>
      <c r="O1197" s="26">
        <v>45174</v>
      </c>
      <c r="P1197" s="2" t="s">
        <v>805</v>
      </c>
      <c r="Q1197" s="2" t="s">
        <v>806</v>
      </c>
    </row>
    <row r="1198" spans="2:17" x14ac:dyDescent="0.25">
      <c r="B1198" s="2" t="s">
        <v>2002</v>
      </c>
      <c r="C1198" s="2" t="s">
        <v>160</v>
      </c>
      <c r="D1198" s="2" t="s">
        <v>161</v>
      </c>
      <c r="E1198" s="2" t="s">
        <v>155</v>
      </c>
      <c r="F1198" s="2" t="s">
        <v>535</v>
      </c>
      <c r="G1198" s="2" t="s">
        <v>425</v>
      </c>
      <c r="H1198" s="2" t="s">
        <v>426</v>
      </c>
      <c r="I1198" s="26">
        <v>45161</v>
      </c>
      <c r="J1198" s="2">
        <v>29</v>
      </c>
      <c r="K1198" s="2" t="s">
        <v>123</v>
      </c>
      <c r="L1198" s="22">
        <v>1450</v>
      </c>
      <c r="M1198" s="22">
        <v>42050</v>
      </c>
      <c r="N1198" s="18">
        <v>44.97</v>
      </c>
      <c r="O1198" s="26">
        <v>45181</v>
      </c>
      <c r="P1198" s="2" t="s">
        <v>805</v>
      </c>
      <c r="Q1198" s="2" t="s">
        <v>806</v>
      </c>
    </row>
    <row r="1199" spans="2:17" x14ac:dyDescent="0.25">
      <c r="B1199" s="2" t="s">
        <v>2003</v>
      </c>
      <c r="C1199" s="2" t="s">
        <v>160</v>
      </c>
      <c r="D1199" s="2" t="s">
        <v>161</v>
      </c>
      <c r="E1199" s="2" t="s">
        <v>155</v>
      </c>
      <c r="F1199" s="2" t="s">
        <v>535</v>
      </c>
      <c r="G1199" s="2" t="s">
        <v>425</v>
      </c>
      <c r="H1199" s="2" t="s">
        <v>426</v>
      </c>
      <c r="I1199" s="26">
        <v>45168</v>
      </c>
      <c r="J1199" s="2">
        <v>34</v>
      </c>
      <c r="K1199" s="2" t="s">
        <v>123</v>
      </c>
      <c r="L1199" s="22">
        <v>1450</v>
      </c>
      <c r="M1199" s="22">
        <v>49300</v>
      </c>
      <c r="N1199" s="18">
        <v>52.73</v>
      </c>
      <c r="O1199" s="26">
        <v>45188</v>
      </c>
      <c r="P1199" s="2" t="s">
        <v>805</v>
      </c>
      <c r="Q1199" s="2" t="s">
        <v>806</v>
      </c>
    </row>
    <row r="1200" spans="2:17" x14ac:dyDescent="0.25">
      <c r="B1200" s="2" t="s">
        <v>2004</v>
      </c>
      <c r="C1200" s="2" t="s">
        <v>160</v>
      </c>
      <c r="D1200" s="2" t="s">
        <v>161</v>
      </c>
      <c r="E1200" s="2" t="s">
        <v>155</v>
      </c>
      <c r="F1200" s="2" t="s">
        <v>537</v>
      </c>
      <c r="G1200" s="2" t="s">
        <v>430</v>
      </c>
      <c r="H1200" s="2" t="s">
        <v>431</v>
      </c>
      <c r="I1200" s="26">
        <v>45175</v>
      </c>
      <c r="J1200" s="2">
        <v>34</v>
      </c>
      <c r="K1200" s="2" t="s">
        <v>123</v>
      </c>
      <c r="L1200" s="22">
        <v>1550</v>
      </c>
      <c r="M1200" s="22">
        <v>52700</v>
      </c>
      <c r="N1200" s="18">
        <v>56.36</v>
      </c>
      <c r="O1200" s="26">
        <v>45195</v>
      </c>
      <c r="P1200" s="2" t="s">
        <v>805</v>
      </c>
      <c r="Q1200" s="2" t="s">
        <v>814</v>
      </c>
    </row>
    <row r="1201" spans="2:17" x14ac:dyDescent="0.25">
      <c r="B1201" s="2" t="s">
        <v>2005</v>
      </c>
      <c r="C1201" s="2" t="s">
        <v>160</v>
      </c>
      <c r="D1201" s="2" t="s">
        <v>161</v>
      </c>
      <c r="E1201" s="2" t="s">
        <v>155</v>
      </c>
      <c r="F1201" s="2" t="s">
        <v>535</v>
      </c>
      <c r="G1201" s="2" t="s">
        <v>425</v>
      </c>
      <c r="H1201" s="2" t="s">
        <v>426</v>
      </c>
      <c r="I1201" s="26">
        <v>45181</v>
      </c>
      <c r="J1201" s="2">
        <v>36</v>
      </c>
      <c r="K1201" s="2" t="s">
        <v>123</v>
      </c>
      <c r="L1201" s="22">
        <v>1450</v>
      </c>
      <c r="M1201" s="22">
        <v>52200</v>
      </c>
      <c r="N1201" s="18">
        <v>55.83</v>
      </c>
      <c r="O1201" s="26">
        <v>45201</v>
      </c>
      <c r="P1201" s="2" t="s">
        <v>805</v>
      </c>
      <c r="Q1201" s="2" t="s">
        <v>814</v>
      </c>
    </row>
    <row r="1202" spans="2:17" x14ac:dyDescent="0.25">
      <c r="B1202" s="2" t="s">
        <v>2006</v>
      </c>
      <c r="C1202" s="2" t="s">
        <v>160</v>
      </c>
      <c r="D1202" s="2" t="s">
        <v>161</v>
      </c>
      <c r="E1202" s="2" t="s">
        <v>155</v>
      </c>
      <c r="F1202" s="2" t="s">
        <v>535</v>
      </c>
      <c r="G1202" s="2" t="s">
        <v>425</v>
      </c>
      <c r="H1202" s="2" t="s">
        <v>426</v>
      </c>
      <c r="I1202" s="26">
        <v>45190</v>
      </c>
      <c r="J1202" s="2">
        <v>36</v>
      </c>
      <c r="K1202" s="2" t="s">
        <v>123</v>
      </c>
      <c r="L1202" s="22">
        <v>1450</v>
      </c>
      <c r="M1202" s="22">
        <v>52200</v>
      </c>
      <c r="N1202" s="18">
        <v>55.83</v>
      </c>
      <c r="O1202" s="26">
        <v>45210</v>
      </c>
      <c r="P1202" s="2" t="s">
        <v>805</v>
      </c>
      <c r="Q1202" s="2" t="s">
        <v>814</v>
      </c>
    </row>
    <row r="1203" spans="2:17" x14ac:dyDescent="0.25">
      <c r="B1203" s="2" t="s">
        <v>2007</v>
      </c>
      <c r="C1203" s="2" t="s">
        <v>160</v>
      </c>
      <c r="D1203" s="2" t="s">
        <v>161</v>
      </c>
      <c r="E1203" s="2" t="s">
        <v>155</v>
      </c>
      <c r="F1203" s="2" t="s">
        <v>535</v>
      </c>
      <c r="G1203" s="2" t="s">
        <v>425</v>
      </c>
      <c r="H1203" s="2" t="s">
        <v>426</v>
      </c>
      <c r="I1203" s="26">
        <v>45195</v>
      </c>
      <c r="J1203" s="2">
        <v>35</v>
      </c>
      <c r="K1203" s="2" t="s">
        <v>123</v>
      </c>
      <c r="L1203" s="22">
        <v>1450</v>
      </c>
      <c r="M1203" s="22">
        <v>50750</v>
      </c>
      <c r="N1203" s="18">
        <v>54.28</v>
      </c>
      <c r="O1203" s="26">
        <v>45215</v>
      </c>
      <c r="P1203" s="2" t="s">
        <v>805</v>
      </c>
      <c r="Q1203" s="2" t="s">
        <v>814</v>
      </c>
    </row>
    <row r="1204" spans="2:17" x14ac:dyDescent="0.25">
      <c r="B1204" s="2" t="s">
        <v>2008</v>
      </c>
      <c r="C1204" s="2" t="s">
        <v>160</v>
      </c>
      <c r="D1204" s="2" t="s">
        <v>161</v>
      </c>
      <c r="E1204" s="2" t="s">
        <v>155</v>
      </c>
      <c r="F1204" s="2" t="s">
        <v>535</v>
      </c>
      <c r="G1204" s="2" t="s">
        <v>425</v>
      </c>
      <c r="H1204" s="2" t="s">
        <v>426</v>
      </c>
      <c r="I1204" s="26">
        <v>45201</v>
      </c>
      <c r="J1204" s="2">
        <v>31</v>
      </c>
      <c r="K1204" s="2" t="s">
        <v>123</v>
      </c>
      <c r="L1204" s="22">
        <v>1450</v>
      </c>
      <c r="M1204" s="22">
        <v>44950</v>
      </c>
      <c r="N1204" s="18">
        <v>48.07</v>
      </c>
      <c r="O1204" s="26">
        <v>45221</v>
      </c>
      <c r="P1204" s="2" t="s">
        <v>805</v>
      </c>
      <c r="Q1204" s="2" t="s">
        <v>814</v>
      </c>
    </row>
    <row r="1205" spans="2:17" x14ac:dyDescent="0.25">
      <c r="B1205" s="2" t="s">
        <v>2009</v>
      </c>
      <c r="C1205" s="2" t="s">
        <v>160</v>
      </c>
      <c r="D1205" s="2" t="s">
        <v>161</v>
      </c>
      <c r="E1205" s="2" t="s">
        <v>155</v>
      </c>
      <c r="F1205" s="2" t="s">
        <v>535</v>
      </c>
      <c r="G1205" s="2" t="s">
        <v>425</v>
      </c>
      <c r="H1205" s="2" t="s">
        <v>426</v>
      </c>
      <c r="I1205" s="26">
        <v>45208</v>
      </c>
      <c r="J1205" s="2">
        <v>26</v>
      </c>
      <c r="K1205" s="2" t="s">
        <v>123</v>
      </c>
      <c r="L1205" s="22">
        <v>1450</v>
      </c>
      <c r="M1205" s="22">
        <v>37700</v>
      </c>
      <c r="N1205" s="18">
        <v>40.32</v>
      </c>
      <c r="O1205" s="26">
        <v>45228</v>
      </c>
      <c r="P1205" s="2" t="s">
        <v>805</v>
      </c>
      <c r="Q1205" s="2" t="s">
        <v>814</v>
      </c>
    </row>
    <row r="1206" spans="2:17" x14ac:dyDescent="0.25">
      <c r="B1206" s="2" t="s">
        <v>2010</v>
      </c>
      <c r="C1206" s="2" t="s">
        <v>160</v>
      </c>
      <c r="D1206" s="2" t="s">
        <v>161</v>
      </c>
      <c r="E1206" s="2" t="s">
        <v>155</v>
      </c>
      <c r="F1206" s="2" t="s">
        <v>535</v>
      </c>
      <c r="G1206" s="2" t="s">
        <v>425</v>
      </c>
      <c r="H1206" s="2" t="s">
        <v>426</v>
      </c>
      <c r="I1206" s="26">
        <v>45215</v>
      </c>
      <c r="J1206" s="2">
        <v>30</v>
      </c>
      <c r="K1206" s="2" t="s">
        <v>123</v>
      </c>
      <c r="L1206" s="22">
        <v>1450</v>
      </c>
      <c r="M1206" s="22">
        <v>43500</v>
      </c>
      <c r="N1206" s="18">
        <v>46.52</v>
      </c>
      <c r="O1206" s="26">
        <v>45235</v>
      </c>
      <c r="P1206" s="2" t="s">
        <v>805</v>
      </c>
      <c r="Q1206" s="2" t="s">
        <v>814</v>
      </c>
    </row>
    <row r="1207" spans="2:17" x14ac:dyDescent="0.25">
      <c r="B1207" s="2" t="s">
        <v>2011</v>
      </c>
      <c r="C1207" s="2" t="s">
        <v>160</v>
      </c>
      <c r="D1207" s="2" t="s">
        <v>161</v>
      </c>
      <c r="E1207" s="2" t="s">
        <v>155</v>
      </c>
      <c r="F1207" s="2" t="s">
        <v>535</v>
      </c>
      <c r="G1207" s="2" t="s">
        <v>425</v>
      </c>
      <c r="H1207" s="2" t="s">
        <v>426</v>
      </c>
      <c r="I1207" s="26">
        <v>45221</v>
      </c>
      <c r="J1207" s="2">
        <v>31</v>
      </c>
      <c r="K1207" s="2" t="s">
        <v>123</v>
      </c>
      <c r="L1207" s="22">
        <v>1450</v>
      </c>
      <c r="M1207" s="22">
        <v>44950</v>
      </c>
      <c r="N1207" s="18">
        <v>48.07</v>
      </c>
      <c r="O1207" s="26">
        <v>45241</v>
      </c>
      <c r="P1207" s="2" t="s">
        <v>805</v>
      </c>
      <c r="Q1207" s="2" t="s">
        <v>814</v>
      </c>
    </row>
    <row r="1208" spans="2:17" x14ac:dyDescent="0.25">
      <c r="B1208" s="2" t="s">
        <v>2012</v>
      </c>
      <c r="C1208" s="2" t="s">
        <v>160</v>
      </c>
      <c r="D1208" s="2" t="s">
        <v>161</v>
      </c>
      <c r="E1208" s="2" t="s">
        <v>155</v>
      </c>
      <c r="F1208" s="2" t="s">
        <v>535</v>
      </c>
      <c r="G1208" s="2" t="s">
        <v>425</v>
      </c>
      <c r="H1208" s="2" t="s">
        <v>426</v>
      </c>
      <c r="I1208" s="26">
        <v>45227</v>
      </c>
      <c r="J1208" s="2">
        <v>26</v>
      </c>
      <c r="K1208" s="2" t="s">
        <v>123</v>
      </c>
      <c r="L1208" s="22">
        <v>1450</v>
      </c>
      <c r="M1208" s="22">
        <v>37700</v>
      </c>
      <c r="N1208" s="18">
        <v>40.32</v>
      </c>
      <c r="O1208" s="26">
        <v>45247</v>
      </c>
      <c r="P1208" s="2" t="s">
        <v>805</v>
      </c>
      <c r="Q1208" s="2" t="s">
        <v>814</v>
      </c>
    </row>
    <row r="1209" spans="2:17" x14ac:dyDescent="0.25">
      <c r="B1209" s="2" t="s">
        <v>2013</v>
      </c>
      <c r="C1209" s="2" t="s">
        <v>160</v>
      </c>
      <c r="D1209" s="2" t="s">
        <v>161</v>
      </c>
      <c r="E1209" s="2" t="s">
        <v>155</v>
      </c>
      <c r="F1209" s="2" t="s">
        <v>535</v>
      </c>
      <c r="G1209" s="2" t="s">
        <v>425</v>
      </c>
      <c r="H1209" s="2" t="s">
        <v>426</v>
      </c>
      <c r="I1209" s="26">
        <v>45234</v>
      </c>
      <c r="J1209" s="2">
        <v>34</v>
      </c>
      <c r="K1209" s="2" t="s">
        <v>123</v>
      </c>
      <c r="L1209" s="22">
        <v>1450</v>
      </c>
      <c r="M1209" s="22">
        <v>49300</v>
      </c>
      <c r="N1209" s="18">
        <v>52.73</v>
      </c>
      <c r="O1209" s="26">
        <v>45254</v>
      </c>
      <c r="P1209" s="2" t="s">
        <v>805</v>
      </c>
      <c r="Q1209" s="2" t="s">
        <v>814</v>
      </c>
    </row>
    <row r="1210" spans="2:17" x14ac:dyDescent="0.25">
      <c r="B1210" s="2" t="s">
        <v>2014</v>
      </c>
      <c r="C1210" s="2" t="s">
        <v>160</v>
      </c>
      <c r="D1210" s="2" t="s">
        <v>161</v>
      </c>
      <c r="E1210" s="2" t="s">
        <v>155</v>
      </c>
      <c r="F1210" s="2" t="s">
        <v>535</v>
      </c>
      <c r="G1210" s="2" t="s">
        <v>425</v>
      </c>
      <c r="H1210" s="2" t="s">
        <v>426</v>
      </c>
      <c r="I1210" s="26">
        <v>45241</v>
      </c>
      <c r="J1210" s="2">
        <v>27</v>
      </c>
      <c r="K1210" s="2" t="s">
        <v>123</v>
      </c>
      <c r="L1210" s="22">
        <v>1450</v>
      </c>
      <c r="M1210" s="22">
        <v>39150</v>
      </c>
      <c r="N1210" s="18">
        <v>41.87</v>
      </c>
      <c r="O1210" s="26">
        <v>45261</v>
      </c>
      <c r="P1210" s="2" t="s">
        <v>805</v>
      </c>
      <c r="Q1210" s="2" t="s">
        <v>814</v>
      </c>
    </row>
    <row r="1211" spans="2:17" x14ac:dyDescent="0.25">
      <c r="B1211" s="2" t="s">
        <v>2015</v>
      </c>
      <c r="C1211" s="2" t="s">
        <v>160</v>
      </c>
      <c r="D1211" s="2" t="s">
        <v>161</v>
      </c>
      <c r="E1211" s="2" t="s">
        <v>155</v>
      </c>
      <c r="F1211" s="2" t="s">
        <v>535</v>
      </c>
      <c r="G1211" s="2" t="s">
        <v>425</v>
      </c>
      <c r="H1211" s="2" t="s">
        <v>426</v>
      </c>
      <c r="I1211" s="26">
        <v>45247</v>
      </c>
      <c r="J1211" s="2">
        <v>31</v>
      </c>
      <c r="K1211" s="2" t="s">
        <v>123</v>
      </c>
      <c r="L1211" s="22">
        <v>1450</v>
      </c>
      <c r="M1211" s="22">
        <v>44950</v>
      </c>
      <c r="N1211" s="18">
        <v>48.07</v>
      </c>
      <c r="O1211" s="26">
        <v>45267</v>
      </c>
      <c r="P1211" s="2" t="s">
        <v>805</v>
      </c>
      <c r="Q1211" s="2" t="s">
        <v>814</v>
      </c>
    </row>
    <row r="1212" spans="2:17" x14ac:dyDescent="0.25">
      <c r="B1212" s="2" t="s">
        <v>2016</v>
      </c>
      <c r="C1212" s="2" t="s">
        <v>160</v>
      </c>
      <c r="D1212" s="2" t="s">
        <v>161</v>
      </c>
      <c r="E1212" s="2" t="s">
        <v>155</v>
      </c>
      <c r="F1212" s="2" t="s">
        <v>535</v>
      </c>
      <c r="G1212" s="2" t="s">
        <v>425</v>
      </c>
      <c r="H1212" s="2" t="s">
        <v>426</v>
      </c>
      <c r="I1212" s="26">
        <v>45253</v>
      </c>
      <c r="J1212" s="2">
        <v>31</v>
      </c>
      <c r="K1212" s="2" t="s">
        <v>123</v>
      </c>
      <c r="L1212" s="22">
        <v>1450</v>
      </c>
      <c r="M1212" s="22">
        <v>44950</v>
      </c>
      <c r="N1212" s="18">
        <v>48.07</v>
      </c>
      <c r="O1212" s="26">
        <v>45273</v>
      </c>
      <c r="P1212" s="2" t="s">
        <v>805</v>
      </c>
      <c r="Q1212" s="2" t="s">
        <v>814</v>
      </c>
    </row>
    <row r="1213" spans="2:17" x14ac:dyDescent="0.25">
      <c r="B1213" s="2" t="s">
        <v>2017</v>
      </c>
      <c r="C1213" s="2" t="s">
        <v>160</v>
      </c>
      <c r="D1213" s="2" t="s">
        <v>161</v>
      </c>
      <c r="E1213" s="2" t="s">
        <v>155</v>
      </c>
      <c r="F1213" s="2" t="s">
        <v>535</v>
      </c>
      <c r="G1213" s="2" t="s">
        <v>425</v>
      </c>
      <c r="H1213" s="2" t="s">
        <v>426</v>
      </c>
      <c r="I1213" s="26">
        <v>45259</v>
      </c>
      <c r="J1213" s="2">
        <v>34</v>
      </c>
      <c r="K1213" s="2" t="s">
        <v>123</v>
      </c>
      <c r="L1213" s="22">
        <v>1450</v>
      </c>
      <c r="M1213" s="22">
        <v>49300</v>
      </c>
      <c r="N1213" s="18">
        <v>52.73</v>
      </c>
      <c r="O1213" s="26">
        <v>45279</v>
      </c>
      <c r="P1213" s="2" t="s">
        <v>805</v>
      </c>
      <c r="Q1213" s="2" t="s">
        <v>814</v>
      </c>
    </row>
    <row r="1214" spans="2:17" x14ac:dyDescent="0.25">
      <c r="B1214" s="2" t="s">
        <v>2018</v>
      </c>
      <c r="C1214" s="2" t="s">
        <v>160</v>
      </c>
      <c r="D1214" s="2" t="s">
        <v>161</v>
      </c>
      <c r="E1214" s="2" t="s">
        <v>155</v>
      </c>
      <c r="F1214" s="2" t="s">
        <v>535</v>
      </c>
      <c r="G1214" s="2" t="s">
        <v>425</v>
      </c>
      <c r="H1214" s="2" t="s">
        <v>426</v>
      </c>
      <c r="I1214" s="26">
        <v>45263</v>
      </c>
      <c r="J1214" s="2">
        <v>40</v>
      </c>
      <c r="K1214" s="2" t="s">
        <v>123</v>
      </c>
      <c r="L1214" s="22">
        <v>1450</v>
      </c>
      <c r="M1214" s="22">
        <v>58000</v>
      </c>
      <c r="N1214" s="18">
        <v>62.03</v>
      </c>
      <c r="O1214" s="26">
        <v>45283</v>
      </c>
      <c r="P1214" s="2" t="s">
        <v>805</v>
      </c>
      <c r="Q1214" s="2" t="s">
        <v>825</v>
      </c>
    </row>
    <row r="1215" spans="2:17" x14ac:dyDescent="0.25">
      <c r="B1215" s="2" t="s">
        <v>2019</v>
      </c>
      <c r="C1215" s="2" t="s">
        <v>160</v>
      </c>
      <c r="D1215" s="2" t="s">
        <v>161</v>
      </c>
      <c r="E1215" s="2" t="s">
        <v>155</v>
      </c>
      <c r="F1215" s="2" t="s">
        <v>535</v>
      </c>
      <c r="G1215" s="2" t="s">
        <v>425</v>
      </c>
      <c r="H1215" s="2" t="s">
        <v>426</v>
      </c>
      <c r="I1215" s="26">
        <v>45271</v>
      </c>
      <c r="J1215" s="2">
        <v>45</v>
      </c>
      <c r="K1215" s="2" t="s">
        <v>123</v>
      </c>
      <c r="L1215" s="22">
        <v>1450</v>
      </c>
      <c r="M1215" s="22">
        <v>65250</v>
      </c>
      <c r="N1215" s="18">
        <v>69.790000000000006</v>
      </c>
      <c r="O1215" s="26">
        <v>45291</v>
      </c>
      <c r="P1215" s="2" t="s">
        <v>805</v>
      </c>
      <c r="Q1215" s="2" t="s">
        <v>825</v>
      </c>
    </row>
    <row r="1216" spans="2:17" x14ac:dyDescent="0.25">
      <c r="B1216" s="2" t="s">
        <v>2020</v>
      </c>
      <c r="C1216" s="2" t="s">
        <v>160</v>
      </c>
      <c r="D1216" s="2" t="s">
        <v>161</v>
      </c>
      <c r="E1216" s="2" t="s">
        <v>155</v>
      </c>
      <c r="F1216" s="2" t="s">
        <v>535</v>
      </c>
      <c r="G1216" s="2" t="s">
        <v>425</v>
      </c>
      <c r="H1216" s="2" t="s">
        <v>426</v>
      </c>
      <c r="I1216" s="26">
        <v>45277</v>
      </c>
      <c r="J1216" s="2">
        <v>41</v>
      </c>
      <c r="K1216" s="2" t="s">
        <v>123</v>
      </c>
      <c r="L1216" s="22">
        <v>1450</v>
      </c>
      <c r="M1216" s="22">
        <v>59450</v>
      </c>
      <c r="N1216" s="18">
        <v>63.58</v>
      </c>
      <c r="O1216" s="26">
        <v>45297</v>
      </c>
      <c r="P1216" s="2" t="s">
        <v>805</v>
      </c>
      <c r="Q1216" s="2" t="s">
        <v>825</v>
      </c>
    </row>
    <row r="1217" spans="2:17" x14ac:dyDescent="0.25">
      <c r="B1217" s="2" t="s">
        <v>2021</v>
      </c>
      <c r="C1217" s="2" t="s">
        <v>160</v>
      </c>
      <c r="D1217" s="2" t="s">
        <v>161</v>
      </c>
      <c r="E1217" s="2" t="s">
        <v>155</v>
      </c>
      <c r="F1217" s="2" t="s">
        <v>535</v>
      </c>
      <c r="G1217" s="2" t="s">
        <v>425</v>
      </c>
      <c r="H1217" s="2" t="s">
        <v>426</v>
      </c>
      <c r="I1217" s="26">
        <v>45284</v>
      </c>
      <c r="J1217" s="2">
        <v>36</v>
      </c>
      <c r="K1217" s="2" t="s">
        <v>123</v>
      </c>
      <c r="L1217" s="22">
        <v>1450</v>
      </c>
      <c r="M1217" s="22">
        <v>52200</v>
      </c>
      <c r="N1217" s="18">
        <v>55.83</v>
      </c>
      <c r="O1217" s="26">
        <v>45304</v>
      </c>
      <c r="P1217" s="2" t="s">
        <v>805</v>
      </c>
      <c r="Q1217" s="2" t="s">
        <v>825</v>
      </c>
    </row>
    <row r="1218" spans="2:17" x14ac:dyDescent="0.25">
      <c r="B1218" s="2" t="s">
        <v>2022</v>
      </c>
      <c r="C1218" s="2" t="s">
        <v>160</v>
      </c>
      <c r="D1218" s="2" t="s">
        <v>161</v>
      </c>
      <c r="E1218" s="2" t="s">
        <v>155</v>
      </c>
      <c r="F1218" s="2" t="s">
        <v>535</v>
      </c>
      <c r="G1218" s="2" t="s">
        <v>425</v>
      </c>
      <c r="H1218" s="2" t="s">
        <v>426</v>
      </c>
      <c r="I1218" s="26">
        <v>45289</v>
      </c>
      <c r="J1218" s="2">
        <v>34</v>
      </c>
      <c r="K1218" s="2" t="s">
        <v>123</v>
      </c>
      <c r="L1218" s="22">
        <v>1450</v>
      </c>
      <c r="M1218" s="22">
        <v>49300</v>
      </c>
      <c r="N1218" s="18">
        <v>52.73</v>
      </c>
      <c r="O1218" s="26">
        <v>45309</v>
      </c>
      <c r="P1218" s="2" t="s">
        <v>805</v>
      </c>
      <c r="Q1218" s="2" t="s">
        <v>825</v>
      </c>
    </row>
    <row r="1219" spans="2:17" x14ac:dyDescent="0.25">
      <c r="B1219" s="2" t="s">
        <v>2023</v>
      </c>
      <c r="C1219" s="2" t="s">
        <v>160</v>
      </c>
      <c r="D1219" s="2" t="s">
        <v>161</v>
      </c>
      <c r="E1219" s="2" t="s">
        <v>155</v>
      </c>
      <c r="F1219" s="2" t="s">
        <v>535</v>
      </c>
      <c r="G1219" s="2" t="s">
        <v>425</v>
      </c>
      <c r="H1219" s="2" t="s">
        <v>426</v>
      </c>
      <c r="I1219" s="26">
        <v>45296</v>
      </c>
      <c r="J1219" s="2">
        <v>27</v>
      </c>
      <c r="K1219" s="2" t="s">
        <v>123</v>
      </c>
      <c r="L1219" s="22">
        <v>1450</v>
      </c>
      <c r="M1219" s="22">
        <v>39150</v>
      </c>
      <c r="N1219" s="18">
        <v>41.87</v>
      </c>
      <c r="O1219" s="26">
        <v>45316</v>
      </c>
      <c r="P1219" s="2" t="s">
        <v>805</v>
      </c>
      <c r="Q1219" s="2" t="s">
        <v>825</v>
      </c>
    </row>
    <row r="1220" spans="2:17" x14ac:dyDescent="0.25">
      <c r="B1220" s="2" t="s">
        <v>2024</v>
      </c>
      <c r="C1220" s="2" t="s">
        <v>160</v>
      </c>
      <c r="D1220" s="2" t="s">
        <v>161</v>
      </c>
      <c r="E1220" s="2" t="s">
        <v>155</v>
      </c>
      <c r="F1220" s="2" t="s">
        <v>535</v>
      </c>
      <c r="G1220" s="2" t="s">
        <v>425</v>
      </c>
      <c r="H1220" s="2" t="s">
        <v>426</v>
      </c>
      <c r="I1220" s="26">
        <v>45304</v>
      </c>
      <c r="J1220" s="2">
        <v>26</v>
      </c>
      <c r="K1220" s="2" t="s">
        <v>123</v>
      </c>
      <c r="L1220" s="22">
        <v>1450</v>
      </c>
      <c r="M1220" s="22">
        <v>37700</v>
      </c>
      <c r="N1220" s="18">
        <v>40.32</v>
      </c>
      <c r="O1220" s="26">
        <v>45324</v>
      </c>
      <c r="P1220" s="2" t="s">
        <v>805</v>
      </c>
      <c r="Q1220" s="2" t="s">
        <v>825</v>
      </c>
    </row>
    <row r="1221" spans="2:17" x14ac:dyDescent="0.25">
      <c r="B1221" s="2" t="s">
        <v>2025</v>
      </c>
      <c r="C1221" s="2" t="s">
        <v>160</v>
      </c>
      <c r="D1221" s="2" t="s">
        <v>161</v>
      </c>
      <c r="E1221" s="2" t="s">
        <v>155</v>
      </c>
      <c r="F1221" s="2" t="s">
        <v>537</v>
      </c>
      <c r="G1221" s="2" t="s">
        <v>430</v>
      </c>
      <c r="H1221" s="2" t="s">
        <v>431</v>
      </c>
      <c r="I1221" s="26">
        <v>45312</v>
      </c>
      <c r="J1221" s="2">
        <v>32</v>
      </c>
      <c r="K1221" s="2" t="s">
        <v>123</v>
      </c>
      <c r="L1221" s="22">
        <v>1550</v>
      </c>
      <c r="M1221" s="22">
        <v>49600</v>
      </c>
      <c r="N1221" s="18">
        <v>53.05</v>
      </c>
      <c r="O1221" s="26">
        <v>45332</v>
      </c>
      <c r="P1221" s="2" t="s">
        <v>805</v>
      </c>
      <c r="Q1221" s="2" t="s">
        <v>825</v>
      </c>
    </row>
    <row r="1222" spans="2:17" x14ac:dyDescent="0.25">
      <c r="B1222" s="2" t="s">
        <v>2026</v>
      </c>
      <c r="C1222" s="2" t="s">
        <v>160</v>
      </c>
      <c r="D1222" s="2" t="s">
        <v>161</v>
      </c>
      <c r="E1222" s="2" t="s">
        <v>155</v>
      </c>
      <c r="F1222" s="2" t="s">
        <v>535</v>
      </c>
      <c r="G1222" s="2" t="s">
        <v>425</v>
      </c>
      <c r="H1222" s="2" t="s">
        <v>426</v>
      </c>
      <c r="I1222" s="26">
        <v>45319</v>
      </c>
      <c r="J1222" s="2">
        <v>32</v>
      </c>
      <c r="K1222" s="2" t="s">
        <v>123</v>
      </c>
      <c r="L1222" s="22">
        <v>1450</v>
      </c>
      <c r="M1222" s="22">
        <v>46400</v>
      </c>
      <c r="N1222" s="18">
        <v>49.63</v>
      </c>
      <c r="O1222" s="26">
        <v>45339</v>
      </c>
      <c r="P1222" s="2" t="s">
        <v>805</v>
      </c>
      <c r="Q1222" s="2" t="s">
        <v>825</v>
      </c>
    </row>
    <row r="1223" spans="2:17" x14ac:dyDescent="0.25">
      <c r="B1223" s="2" t="s">
        <v>2027</v>
      </c>
      <c r="C1223" s="2" t="s">
        <v>160</v>
      </c>
      <c r="D1223" s="2" t="s">
        <v>161</v>
      </c>
      <c r="E1223" s="2" t="s">
        <v>155</v>
      </c>
      <c r="F1223" s="2" t="s">
        <v>535</v>
      </c>
      <c r="G1223" s="2" t="s">
        <v>425</v>
      </c>
      <c r="H1223" s="2" t="s">
        <v>426</v>
      </c>
      <c r="I1223" s="26">
        <v>45327</v>
      </c>
      <c r="J1223" s="2">
        <v>27</v>
      </c>
      <c r="K1223" s="2" t="s">
        <v>123</v>
      </c>
      <c r="L1223" s="22">
        <v>1450</v>
      </c>
      <c r="M1223" s="22">
        <v>39150</v>
      </c>
      <c r="N1223" s="18">
        <v>41.87</v>
      </c>
      <c r="O1223" s="26">
        <v>45347</v>
      </c>
      <c r="P1223" s="2" t="s">
        <v>805</v>
      </c>
      <c r="Q1223" s="2" t="s">
        <v>825</v>
      </c>
    </row>
    <row r="1224" spans="2:17" x14ac:dyDescent="0.25">
      <c r="B1224" s="2" t="s">
        <v>2028</v>
      </c>
      <c r="C1224" s="2" t="s">
        <v>160</v>
      </c>
      <c r="D1224" s="2" t="s">
        <v>161</v>
      </c>
      <c r="E1224" s="2" t="s">
        <v>155</v>
      </c>
      <c r="F1224" s="2" t="s">
        <v>535</v>
      </c>
      <c r="G1224" s="2" t="s">
        <v>425</v>
      </c>
      <c r="H1224" s="2" t="s">
        <v>426</v>
      </c>
      <c r="I1224" s="26">
        <v>45335</v>
      </c>
      <c r="J1224" s="2">
        <v>33</v>
      </c>
      <c r="K1224" s="2" t="s">
        <v>123</v>
      </c>
      <c r="L1224" s="22">
        <v>1450</v>
      </c>
      <c r="M1224" s="22">
        <v>47850</v>
      </c>
      <c r="N1224" s="18">
        <v>51.18</v>
      </c>
      <c r="O1224" s="26">
        <v>45355</v>
      </c>
      <c r="P1224" s="2" t="s">
        <v>805</v>
      </c>
      <c r="Q1224" s="2" t="s">
        <v>825</v>
      </c>
    </row>
    <row r="1225" spans="2:17" x14ac:dyDescent="0.25">
      <c r="B1225" s="2" t="s">
        <v>2029</v>
      </c>
      <c r="C1225" s="2" t="s">
        <v>160</v>
      </c>
      <c r="D1225" s="2" t="s">
        <v>161</v>
      </c>
      <c r="E1225" s="2" t="s">
        <v>155</v>
      </c>
      <c r="F1225" s="2" t="s">
        <v>535</v>
      </c>
      <c r="G1225" s="2" t="s">
        <v>425</v>
      </c>
      <c r="H1225" s="2" t="s">
        <v>426</v>
      </c>
      <c r="I1225" s="26">
        <v>45341</v>
      </c>
      <c r="J1225" s="2">
        <v>34</v>
      </c>
      <c r="K1225" s="2" t="s">
        <v>123</v>
      </c>
      <c r="L1225" s="22">
        <v>1450</v>
      </c>
      <c r="M1225" s="22">
        <v>49300</v>
      </c>
      <c r="N1225" s="18">
        <v>52.73</v>
      </c>
      <c r="O1225" s="26">
        <v>45361</v>
      </c>
      <c r="P1225" s="2" t="s">
        <v>805</v>
      </c>
      <c r="Q1225" s="2" t="s">
        <v>825</v>
      </c>
    </row>
    <row r="1226" spans="2:17" x14ac:dyDescent="0.25">
      <c r="B1226" s="2" t="s">
        <v>2030</v>
      </c>
      <c r="C1226" s="2" t="s">
        <v>160</v>
      </c>
      <c r="D1226" s="2" t="s">
        <v>161</v>
      </c>
      <c r="E1226" s="2" t="s">
        <v>155</v>
      </c>
      <c r="F1226" s="2" t="s">
        <v>535</v>
      </c>
      <c r="G1226" s="2" t="s">
        <v>425</v>
      </c>
      <c r="H1226" s="2" t="s">
        <v>426</v>
      </c>
      <c r="I1226" s="26">
        <v>45347</v>
      </c>
      <c r="J1226" s="2">
        <v>33</v>
      </c>
      <c r="K1226" s="2" t="s">
        <v>123</v>
      </c>
      <c r="L1226" s="22">
        <v>1450</v>
      </c>
      <c r="M1226" s="22">
        <v>47850</v>
      </c>
      <c r="N1226" s="18">
        <v>51.18</v>
      </c>
      <c r="O1226" s="26">
        <v>45367</v>
      </c>
      <c r="P1226" s="2" t="s">
        <v>805</v>
      </c>
      <c r="Q1226" s="2" t="s">
        <v>825</v>
      </c>
    </row>
    <row r="1227" spans="2:17" x14ac:dyDescent="0.25">
      <c r="B1227" s="2" t="s">
        <v>2031</v>
      </c>
      <c r="C1227" s="2" t="s">
        <v>160</v>
      </c>
      <c r="D1227" s="2" t="s">
        <v>161</v>
      </c>
      <c r="E1227" s="2" t="s">
        <v>155</v>
      </c>
      <c r="F1227" s="2" t="s">
        <v>535</v>
      </c>
      <c r="G1227" s="2" t="s">
        <v>425</v>
      </c>
      <c r="H1227" s="2" t="s">
        <v>426</v>
      </c>
      <c r="I1227" s="26">
        <v>45353</v>
      </c>
      <c r="J1227" s="2">
        <v>30</v>
      </c>
      <c r="K1227" s="2" t="s">
        <v>123</v>
      </c>
      <c r="L1227" s="22">
        <v>1450</v>
      </c>
      <c r="M1227" s="22">
        <v>43500</v>
      </c>
      <c r="N1227" s="18">
        <v>46.52</v>
      </c>
      <c r="O1227" s="26">
        <v>45373</v>
      </c>
      <c r="P1227" s="2" t="s">
        <v>805</v>
      </c>
      <c r="Q1227" s="2" t="s">
        <v>836</v>
      </c>
    </row>
    <row r="1228" spans="2:17" x14ac:dyDescent="0.25">
      <c r="B1228" s="2" t="s">
        <v>2032</v>
      </c>
      <c r="C1228" s="2" t="s">
        <v>160</v>
      </c>
      <c r="D1228" s="2" t="s">
        <v>161</v>
      </c>
      <c r="E1228" s="2" t="s">
        <v>155</v>
      </c>
      <c r="F1228" s="2" t="s">
        <v>535</v>
      </c>
      <c r="G1228" s="2" t="s">
        <v>425</v>
      </c>
      <c r="H1228" s="2" t="s">
        <v>426</v>
      </c>
      <c r="I1228" s="26">
        <v>45359</v>
      </c>
      <c r="J1228" s="2">
        <v>33</v>
      </c>
      <c r="K1228" s="2" t="s">
        <v>123</v>
      </c>
      <c r="L1228" s="22">
        <v>1450</v>
      </c>
      <c r="M1228" s="22">
        <v>47850</v>
      </c>
      <c r="N1228" s="18">
        <v>51.18</v>
      </c>
      <c r="O1228" s="26">
        <v>45379</v>
      </c>
      <c r="P1228" s="2" t="s">
        <v>805</v>
      </c>
      <c r="Q1228" s="2" t="s">
        <v>836</v>
      </c>
    </row>
    <row r="1229" spans="2:17" x14ac:dyDescent="0.25">
      <c r="B1229" s="2" t="s">
        <v>2033</v>
      </c>
      <c r="C1229" s="2" t="s">
        <v>160</v>
      </c>
      <c r="D1229" s="2" t="s">
        <v>161</v>
      </c>
      <c r="E1229" s="2" t="s">
        <v>155</v>
      </c>
      <c r="F1229" s="2" t="s">
        <v>535</v>
      </c>
      <c r="G1229" s="2" t="s">
        <v>425</v>
      </c>
      <c r="H1229" s="2" t="s">
        <v>426</v>
      </c>
      <c r="I1229" s="26">
        <v>45366</v>
      </c>
      <c r="J1229" s="2">
        <v>26</v>
      </c>
      <c r="K1229" s="2" t="s">
        <v>123</v>
      </c>
      <c r="L1229" s="22">
        <v>1450</v>
      </c>
      <c r="M1229" s="22">
        <v>37700</v>
      </c>
      <c r="N1229" s="18">
        <v>40.32</v>
      </c>
      <c r="O1229" s="26">
        <v>45386</v>
      </c>
      <c r="P1229" s="2" t="s">
        <v>805</v>
      </c>
      <c r="Q1229" s="2" t="s">
        <v>836</v>
      </c>
    </row>
    <row r="1230" spans="2:17" x14ac:dyDescent="0.25">
      <c r="B1230" s="2" t="s">
        <v>2034</v>
      </c>
      <c r="C1230" s="2" t="s">
        <v>160</v>
      </c>
      <c r="D1230" s="2" t="s">
        <v>161</v>
      </c>
      <c r="E1230" s="2" t="s">
        <v>155</v>
      </c>
      <c r="F1230" s="2" t="s">
        <v>535</v>
      </c>
      <c r="G1230" s="2" t="s">
        <v>425</v>
      </c>
      <c r="H1230" s="2" t="s">
        <v>426</v>
      </c>
      <c r="I1230" s="26">
        <v>45373</v>
      </c>
      <c r="J1230" s="2">
        <v>26</v>
      </c>
      <c r="K1230" s="2" t="s">
        <v>123</v>
      </c>
      <c r="L1230" s="22">
        <v>1450</v>
      </c>
      <c r="M1230" s="22">
        <v>37700</v>
      </c>
      <c r="N1230" s="18">
        <v>40.32</v>
      </c>
      <c r="O1230" s="26">
        <v>45393</v>
      </c>
      <c r="P1230" s="2" t="s">
        <v>805</v>
      </c>
      <c r="Q1230" s="2" t="s">
        <v>836</v>
      </c>
    </row>
    <row r="1231" spans="2:17" x14ac:dyDescent="0.25">
      <c r="B1231" s="2" t="s">
        <v>2035</v>
      </c>
      <c r="C1231" s="2" t="s">
        <v>160</v>
      </c>
      <c r="D1231" s="2" t="s">
        <v>161</v>
      </c>
      <c r="E1231" s="2" t="s">
        <v>155</v>
      </c>
      <c r="F1231" s="2" t="s">
        <v>537</v>
      </c>
      <c r="G1231" s="2" t="s">
        <v>430</v>
      </c>
      <c r="H1231" s="2" t="s">
        <v>431</v>
      </c>
      <c r="I1231" s="26">
        <v>45381</v>
      </c>
      <c r="J1231" s="2">
        <v>26</v>
      </c>
      <c r="K1231" s="2" t="s">
        <v>123</v>
      </c>
      <c r="L1231" s="22">
        <v>1550</v>
      </c>
      <c r="M1231" s="22">
        <v>40300</v>
      </c>
      <c r="N1231" s="18">
        <v>43.1</v>
      </c>
      <c r="O1231" s="26">
        <v>45401</v>
      </c>
      <c r="P1231" s="2" t="s">
        <v>805</v>
      </c>
      <c r="Q1231" s="2" t="s">
        <v>836</v>
      </c>
    </row>
    <row r="1232" spans="2:17" x14ac:dyDescent="0.25">
      <c r="B1232" s="2" t="s">
        <v>2036</v>
      </c>
      <c r="C1232" s="2" t="s">
        <v>160</v>
      </c>
      <c r="D1232" s="2" t="s">
        <v>161</v>
      </c>
      <c r="E1232" s="2" t="s">
        <v>155</v>
      </c>
      <c r="F1232" s="2" t="s">
        <v>535</v>
      </c>
      <c r="G1232" s="2" t="s">
        <v>425</v>
      </c>
      <c r="H1232" s="2" t="s">
        <v>426</v>
      </c>
      <c r="I1232" s="26">
        <v>45385</v>
      </c>
      <c r="J1232" s="2">
        <v>31</v>
      </c>
      <c r="K1232" s="2" t="s">
        <v>123</v>
      </c>
      <c r="L1232" s="22">
        <v>1450</v>
      </c>
      <c r="M1232" s="22">
        <v>44950</v>
      </c>
      <c r="N1232" s="18">
        <v>48.07</v>
      </c>
      <c r="O1232" s="26">
        <v>45405</v>
      </c>
      <c r="P1232" s="2" t="s">
        <v>805</v>
      </c>
      <c r="Q1232" s="2" t="s">
        <v>836</v>
      </c>
    </row>
    <row r="1233" spans="2:17" x14ac:dyDescent="0.25">
      <c r="B1233" s="2" t="s">
        <v>2037</v>
      </c>
      <c r="C1233" s="2" t="s">
        <v>160</v>
      </c>
      <c r="D1233" s="2" t="s">
        <v>161</v>
      </c>
      <c r="E1233" s="2" t="s">
        <v>155</v>
      </c>
      <c r="F1233" s="2" t="s">
        <v>535</v>
      </c>
      <c r="G1233" s="2" t="s">
        <v>425</v>
      </c>
      <c r="H1233" s="2" t="s">
        <v>426</v>
      </c>
      <c r="I1233" s="26">
        <v>45393</v>
      </c>
      <c r="J1233" s="2">
        <v>26</v>
      </c>
      <c r="K1233" s="2" t="s">
        <v>123</v>
      </c>
      <c r="L1233" s="22">
        <v>1450</v>
      </c>
      <c r="M1233" s="22">
        <v>37700</v>
      </c>
      <c r="N1233" s="18">
        <v>40.32</v>
      </c>
      <c r="O1233" s="26">
        <v>45413</v>
      </c>
      <c r="P1233" s="2" t="s">
        <v>805</v>
      </c>
      <c r="Q1233" s="2" t="s">
        <v>836</v>
      </c>
    </row>
    <row r="1234" spans="2:17" x14ac:dyDescent="0.25">
      <c r="B1234" s="2" t="s">
        <v>2038</v>
      </c>
      <c r="C1234" s="2" t="s">
        <v>160</v>
      </c>
      <c r="D1234" s="2" t="s">
        <v>161</v>
      </c>
      <c r="E1234" s="2" t="s">
        <v>155</v>
      </c>
      <c r="F1234" s="2" t="s">
        <v>535</v>
      </c>
      <c r="G1234" s="2" t="s">
        <v>425</v>
      </c>
      <c r="H1234" s="2" t="s">
        <v>426</v>
      </c>
      <c r="I1234" s="26">
        <v>45398</v>
      </c>
      <c r="J1234" s="2">
        <v>27</v>
      </c>
      <c r="K1234" s="2" t="s">
        <v>123</v>
      </c>
      <c r="L1234" s="22">
        <v>1450</v>
      </c>
      <c r="M1234" s="22">
        <v>39150</v>
      </c>
      <c r="N1234" s="18">
        <v>41.87</v>
      </c>
      <c r="O1234" s="26">
        <v>45418</v>
      </c>
      <c r="P1234" s="2" t="s">
        <v>805</v>
      </c>
      <c r="Q1234" s="2" t="s">
        <v>836</v>
      </c>
    </row>
    <row r="1235" spans="2:17" x14ac:dyDescent="0.25">
      <c r="B1235" s="2" t="s">
        <v>2039</v>
      </c>
      <c r="C1235" s="2" t="s">
        <v>160</v>
      </c>
      <c r="D1235" s="2" t="s">
        <v>161</v>
      </c>
      <c r="E1235" s="2" t="s">
        <v>155</v>
      </c>
      <c r="F1235" s="2" t="s">
        <v>535</v>
      </c>
      <c r="G1235" s="2" t="s">
        <v>425</v>
      </c>
      <c r="H1235" s="2" t="s">
        <v>426</v>
      </c>
      <c r="I1235" s="26">
        <v>45404</v>
      </c>
      <c r="J1235" s="2">
        <v>34</v>
      </c>
      <c r="K1235" s="2" t="s">
        <v>123</v>
      </c>
      <c r="L1235" s="22">
        <v>1450</v>
      </c>
      <c r="M1235" s="22">
        <v>49300</v>
      </c>
      <c r="N1235" s="18">
        <v>52.73</v>
      </c>
      <c r="O1235" s="26">
        <v>45424</v>
      </c>
      <c r="P1235" s="2" t="s">
        <v>805</v>
      </c>
      <c r="Q1235" s="2" t="s">
        <v>836</v>
      </c>
    </row>
    <row r="1236" spans="2:17" x14ac:dyDescent="0.25">
      <c r="B1236" s="2" t="s">
        <v>2040</v>
      </c>
      <c r="C1236" s="2" t="s">
        <v>160</v>
      </c>
      <c r="D1236" s="2" t="s">
        <v>161</v>
      </c>
      <c r="E1236" s="2" t="s">
        <v>155</v>
      </c>
      <c r="F1236" s="2" t="s">
        <v>535</v>
      </c>
      <c r="G1236" s="2" t="s">
        <v>425</v>
      </c>
      <c r="H1236" s="2" t="s">
        <v>426</v>
      </c>
      <c r="I1236" s="26">
        <v>45410</v>
      </c>
      <c r="J1236" s="2">
        <v>32</v>
      </c>
      <c r="K1236" s="2" t="s">
        <v>123</v>
      </c>
      <c r="L1236" s="22">
        <v>1450</v>
      </c>
      <c r="M1236" s="22">
        <v>46400</v>
      </c>
      <c r="N1236" s="18">
        <v>49.63</v>
      </c>
      <c r="O1236" s="26">
        <v>45430</v>
      </c>
      <c r="P1236" s="2" t="s">
        <v>805</v>
      </c>
      <c r="Q1236" s="2" t="s">
        <v>836</v>
      </c>
    </row>
    <row r="1237" spans="2:17" x14ac:dyDescent="0.25">
      <c r="B1237" s="2" t="s">
        <v>2041</v>
      </c>
      <c r="C1237" s="2" t="s">
        <v>160</v>
      </c>
      <c r="D1237" s="2" t="s">
        <v>161</v>
      </c>
      <c r="E1237" s="2" t="s">
        <v>155</v>
      </c>
      <c r="F1237" s="2" t="s">
        <v>535</v>
      </c>
      <c r="G1237" s="2" t="s">
        <v>425</v>
      </c>
      <c r="H1237" s="2" t="s">
        <v>426</v>
      </c>
      <c r="I1237" s="26">
        <v>45416</v>
      </c>
      <c r="J1237" s="2">
        <v>32</v>
      </c>
      <c r="K1237" s="2" t="s">
        <v>123</v>
      </c>
      <c r="L1237" s="22">
        <v>1450</v>
      </c>
      <c r="M1237" s="22">
        <v>46400</v>
      </c>
      <c r="N1237" s="18">
        <v>49.63</v>
      </c>
      <c r="O1237" s="26">
        <v>45436</v>
      </c>
      <c r="P1237" s="2" t="s">
        <v>805</v>
      </c>
      <c r="Q1237" s="2" t="s">
        <v>836</v>
      </c>
    </row>
    <row r="1238" spans="2:17" x14ac:dyDescent="0.25">
      <c r="B1238" s="2" t="s">
        <v>2042</v>
      </c>
      <c r="C1238" s="2" t="s">
        <v>160</v>
      </c>
      <c r="D1238" s="2" t="s">
        <v>161</v>
      </c>
      <c r="E1238" s="2" t="s">
        <v>155</v>
      </c>
      <c r="F1238" s="2" t="s">
        <v>535</v>
      </c>
      <c r="G1238" s="2" t="s">
        <v>425</v>
      </c>
      <c r="H1238" s="2" t="s">
        <v>426</v>
      </c>
      <c r="I1238" s="26">
        <v>45423</v>
      </c>
      <c r="J1238" s="2">
        <v>33</v>
      </c>
      <c r="K1238" s="2" t="s">
        <v>123</v>
      </c>
      <c r="L1238" s="22">
        <v>1450</v>
      </c>
      <c r="M1238" s="22">
        <v>47850</v>
      </c>
      <c r="N1238" s="18">
        <v>51.18</v>
      </c>
      <c r="O1238" s="26">
        <v>45443</v>
      </c>
      <c r="P1238" s="2" t="s">
        <v>805</v>
      </c>
      <c r="Q1238" s="2" t="s">
        <v>836</v>
      </c>
    </row>
    <row r="1239" spans="2:17" x14ac:dyDescent="0.25">
      <c r="B1239" s="2" t="s">
        <v>2043</v>
      </c>
      <c r="C1239" s="2" t="s">
        <v>160</v>
      </c>
      <c r="D1239" s="2" t="s">
        <v>161</v>
      </c>
      <c r="E1239" s="2" t="s">
        <v>155</v>
      </c>
      <c r="F1239" s="2" t="s">
        <v>537</v>
      </c>
      <c r="G1239" s="2" t="s">
        <v>430</v>
      </c>
      <c r="H1239" s="2" t="s">
        <v>431</v>
      </c>
      <c r="I1239" s="26">
        <v>45432</v>
      </c>
      <c r="J1239" s="2">
        <v>30</v>
      </c>
      <c r="K1239" s="2" t="s">
        <v>123</v>
      </c>
      <c r="L1239" s="22">
        <v>1550</v>
      </c>
      <c r="M1239" s="22">
        <v>46500</v>
      </c>
      <c r="N1239" s="18">
        <v>49.73</v>
      </c>
      <c r="O1239" s="26">
        <v>45452</v>
      </c>
      <c r="P1239" s="2" t="s">
        <v>805</v>
      </c>
      <c r="Q1239" s="2" t="s">
        <v>836</v>
      </c>
    </row>
    <row r="1240" spans="2:17" x14ac:dyDescent="0.25">
      <c r="B1240" s="2" t="s">
        <v>2044</v>
      </c>
      <c r="C1240" s="2" t="s">
        <v>160</v>
      </c>
      <c r="D1240" s="2" t="s">
        <v>161</v>
      </c>
      <c r="E1240" s="2" t="s">
        <v>155</v>
      </c>
      <c r="F1240" s="2" t="s">
        <v>535</v>
      </c>
      <c r="G1240" s="2" t="s">
        <v>425</v>
      </c>
      <c r="H1240" s="2" t="s">
        <v>426</v>
      </c>
      <c r="I1240" s="26">
        <v>45438</v>
      </c>
      <c r="J1240" s="2">
        <v>34</v>
      </c>
      <c r="K1240" s="2" t="s">
        <v>123</v>
      </c>
      <c r="L1240" s="22">
        <v>1450</v>
      </c>
      <c r="M1240" s="22">
        <v>49300</v>
      </c>
      <c r="N1240" s="18">
        <v>52.73</v>
      </c>
      <c r="O1240" s="26">
        <v>45458</v>
      </c>
      <c r="P1240" s="2" t="s">
        <v>805</v>
      </c>
      <c r="Q1240" s="2" t="s">
        <v>836</v>
      </c>
    </row>
    <row r="1241" spans="2:17" x14ac:dyDescent="0.25">
      <c r="B1241" s="2" t="s">
        <v>2045</v>
      </c>
      <c r="C1241" s="2" t="s">
        <v>160</v>
      </c>
      <c r="D1241" s="2" t="s">
        <v>161</v>
      </c>
      <c r="E1241" s="2" t="s">
        <v>155</v>
      </c>
      <c r="F1241" s="2" t="s">
        <v>535</v>
      </c>
      <c r="G1241" s="2" t="s">
        <v>425</v>
      </c>
      <c r="H1241" s="2" t="s">
        <v>426</v>
      </c>
      <c r="I1241" s="26">
        <v>45445</v>
      </c>
      <c r="J1241" s="2">
        <v>30</v>
      </c>
      <c r="K1241" s="2" t="s">
        <v>123</v>
      </c>
      <c r="L1241" s="22">
        <v>1450</v>
      </c>
      <c r="M1241" s="22">
        <v>43500</v>
      </c>
      <c r="N1241" s="18">
        <v>46.52</v>
      </c>
      <c r="O1241" s="26">
        <v>45465</v>
      </c>
      <c r="P1241" s="2" t="s">
        <v>805</v>
      </c>
      <c r="Q1241" s="2" t="s">
        <v>806</v>
      </c>
    </row>
    <row r="1242" spans="2:17" x14ac:dyDescent="0.25">
      <c r="B1242" s="2" t="s">
        <v>2046</v>
      </c>
      <c r="C1242" s="2" t="s">
        <v>160</v>
      </c>
      <c r="D1242" s="2" t="s">
        <v>161</v>
      </c>
      <c r="E1242" s="2" t="s">
        <v>155</v>
      </c>
      <c r="F1242" s="2" t="s">
        <v>535</v>
      </c>
      <c r="G1242" s="2" t="s">
        <v>425</v>
      </c>
      <c r="H1242" s="2" t="s">
        <v>426</v>
      </c>
      <c r="I1242" s="26">
        <v>45450</v>
      </c>
      <c r="J1242" s="2">
        <v>29</v>
      </c>
      <c r="K1242" s="2" t="s">
        <v>123</v>
      </c>
      <c r="L1242" s="22">
        <v>1450</v>
      </c>
      <c r="M1242" s="22">
        <v>42050</v>
      </c>
      <c r="N1242" s="18">
        <v>44.97</v>
      </c>
      <c r="O1242" s="26">
        <v>45470</v>
      </c>
      <c r="P1242" s="2" t="s">
        <v>805</v>
      </c>
      <c r="Q1242" s="2" t="s">
        <v>806</v>
      </c>
    </row>
    <row r="1243" spans="2:17" x14ac:dyDescent="0.25">
      <c r="B1243" s="2" t="s">
        <v>2047</v>
      </c>
      <c r="C1243" s="2" t="s">
        <v>160</v>
      </c>
      <c r="D1243" s="2" t="s">
        <v>161</v>
      </c>
      <c r="E1243" s="2" t="s">
        <v>155</v>
      </c>
      <c r="F1243" s="2" t="s">
        <v>535</v>
      </c>
      <c r="G1243" s="2" t="s">
        <v>425</v>
      </c>
      <c r="H1243" s="2" t="s">
        <v>426</v>
      </c>
      <c r="I1243" s="26">
        <v>45457</v>
      </c>
      <c r="J1243" s="2">
        <v>28</v>
      </c>
      <c r="K1243" s="2" t="s">
        <v>123</v>
      </c>
      <c r="L1243" s="22">
        <v>1450</v>
      </c>
      <c r="M1243" s="22">
        <v>40600</v>
      </c>
      <c r="N1243" s="18">
        <v>43.42</v>
      </c>
      <c r="O1243" s="26">
        <v>45477</v>
      </c>
      <c r="P1243" s="2" t="s">
        <v>805</v>
      </c>
      <c r="Q1243" s="2" t="s">
        <v>806</v>
      </c>
    </row>
    <row r="1244" spans="2:17" x14ac:dyDescent="0.25">
      <c r="B1244" s="2" t="s">
        <v>2048</v>
      </c>
      <c r="C1244" s="2" t="s">
        <v>160</v>
      </c>
      <c r="D1244" s="2" t="s">
        <v>161</v>
      </c>
      <c r="E1244" s="2" t="s">
        <v>155</v>
      </c>
      <c r="F1244" s="2" t="s">
        <v>535</v>
      </c>
      <c r="G1244" s="2" t="s">
        <v>425</v>
      </c>
      <c r="H1244" s="2" t="s">
        <v>426</v>
      </c>
      <c r="I1244" s="26">
        <v>45465</v>
      </c>
      <c r="J1244" s="2">
        <v>30</v>
      </c>
      <c r="K1244" s="2" t="s">
        <v>123</v>
      </c>
      <c r="L1244" s="22">
        <v>1450</v>
      </c>
      <c r="M1244" s="22">
        <v>43500</v>
      </c>
      <c r="N1244" s="18">
        <v>46.52</v>
      </c>
      <c r="O1244" s="26">
        <v>45485</v>
      </c>
      <c r="P1244" s="2" t="s">
        <v>805</v>
      </c>
      <c r="Q1244" s="2" t="s">
        <v>806</v>
      </c>
    </row>
    <row r="1245" spans="2:17" x14ac:dyDescent="0.25">
      <c r="B1245" s="2" t="s">
        <v>2049</v>
      </c>
      <c r="C1245" s="2" t="s">
        <v>160</v>
      </c>
      <c r="D1245" s="2" t="s">
        <v>161</v>
      </c>
      <c r="E1245" s="2" t="s">
        <v>155</v>
      </c>
      <c r="F1245" s="2" t="s">
        <v>535</v>
      </c>
      <c r="G1245" s="2" t="s">
        <v>425</v>
      </c>
      <c r="H1245" s="2" t="s">
        <v>426</v>
      </c>
      <c r="I1245" s="26">
        <v>45472</v>
      </c>
      <c r="J1245" s="2">
        <v>33</v>
      </c>
      <c r="K1245" s="2" t="s">
        <v>123</v>
      </c>
      <c r="L1245" s="22">
        <v>1450</v>
      </c>
      <c r="M1245" s="22">
        <v>47850</v>
      </c>
      <c r="N1245" s="18">
        <v>51.18</v>
      </c>
      <c r="O1245" s="26">
        <v>45492</v>
      </c>
      <c r="P1245" s="2" t="s">
        <v>805</v>
      </c>
      <c r="Q1245" s="2" t="s">
        <v>806</v>
      </c>
    </row>
    <row r="1246" spans="2:17" x14ac:dyDescent="0.25">
      <c r="B1246" s="2" t="s">
        <v>2050</v>
      </c>
      <c r="C1246" s="2" t="s">
        <v>160</v>
      </c>
      <c r="D1246" s="2" t="s">
        <v>161</v>
      </c>
      <c r="E1246" s="2" t="s">
        <v>155</v>
      </c>
      <c r="F1246" s="2" t="s">
        <v>537</v>
      </c>
      <c r="G1246" s="2" t="s">
        <v>430</v>
      </c>
      <c r="H1246" s="2" t="s">
        <v>431</v>
      </c>
      <c r="I1246" s="26">
        <v>45480</v>
      </c>
      <c r="J1246" s="2">
        <v>34</v>
      </c>
      <c r="K1246" s="2" t="s">
        <v>123</v>
      </c>
      <c r="L1246" s="22">
        <v>1550</v>
      </c>
      <c r="M1246" s="22">
        <v>52700</v>
      </c>
      <c r="N1246" s="18">
        <v>56.36</v>
      </c>
      <c r="O1246" s="26">
        <v>45500</v>
      </c>
      <c r="P1246" s="2" t="s">
        <v>805</v>
      </c>
      <c r="Q1246" s="2" t="s">
        <v>806</v>
      </c>
    </row>
    <row r="1247" spans="2:17" x14ac:dyDescent="0.25">
      <c r="B1247" s="2" t="s">
        <v>2051</v>
      </c>
      <c r="C1247" s="2" t="s">
        <v>160</v>
      </c>
      <c r="D1247" s="2" t="s">
        <v>161</v>
      </c>
      <c r="E1247" s="2" t="s">
        <v>155</v>
      </c>
      <c r="F1247" s="2" t="s">
        <v>535</v>
      </c>
      <c r="G1247" s="2" t="s">
        <v>425</v>
      </c>
      <c r="H1247" s="2" t="s">
        <v>426</v>
      </c>
      <c r="I1247" s="26">
        <v>45486</v>
      </c>
      <c r="J1247" s="2">
        <v>27</v>
      </c>
      <c r="K1247" s="2" t="s">
        <v>123</v>
      </c>
      <c r="L1247" s="22">
        <v>1450</v>
      </c>
      <c r="M1247" s="22">
        <v>39150</v>
      </c>
      <c r="N1247" s="18">
        <v>41.87</v>
      </c>
      <c r="O1247" s="26">
        <v>45506</v>
      </c>
      <c r="P1247" s="2" t="s">
        <v>805</v>
      </c>
      <c r="Q1247" s="2" t="s">
        <v>806</v>
      </c>
    </row>
    <row r="1248" spans="2:17" x14ac:dyDescent="0.25">
      <c r="B1248" s="2" t="s">
        <v>2052</v>
      </c>
      <c r="C1248" s="2" t="s">
        <v>160</v>
      </c>
      <c r="D1248" s="2" t="s">
        <v>161</v>
      </c>
      <c r="E1248" s="2" t="s">
        <v>155</v>
      </c>
      <c r="F1248" s="2" t="s">
        <v>535</v>
      </c>
      <c r="G1248" s="2" t="s">
        <v>425</v>
      </c>
      <c r="H1248" s="2" t="s">
        <v>426</v>
      </c>
      <c r="I1248" s="26">
        <v>45492</v>
      </c>
      <c r="J1248" s="2">
        <v>31</v>
      </c>
      <c r="K1248" s="2" t="s">
        <v>123</v>
      </c>
      <c r="L1248" s="22">
        <v>1450</v>
      </c>
      <c r="M1248" s="22">
        <v>44950</v>
      </c>
      <c r="N1248" s="18">
        <v>48.07</v>
      </c>
      <c r="O1248" s="26">
        <v>45512</v>
      </c>
      <c r="P1248" s="2" t="s">
        <v>805</v>
      </c>
      <c r="Q1248" s="2" t="s">
        <v>806</v>
      </c>
    </row>
    <row r="1249" spans="2:17" x14ac:dyDescent="0.25">
      <c r="B1249" s="2" t="s">
        <v>2053</v>
      </c>
      <c r="C1249" s="2" t="s">
        <v>160</v>
      </c>
      <c r="D1249" s="2" t="s">
        <v>161</v>
      </c>
      <c r="E1249" s="2" t="s">
        <v>155</v>
      </c>
      <c r="F1249" s="2" t="s">
        <v>535</v>
      </c>
      <c r="G1249" s="2" t="s">
        <v>425</v>
      </c>
      <c r="H1249" s="2" t="s">
        <v>426</v>
      </c>
      <c r="I1249" s="26">
        <v>45500</v>
      </c>
      <c r="J1249" s="2">
        <v>31</v>
      </c>
      <c r="K1249" s="2" t="s">
        <v>123</v>
      </c>
      <c r="L1249" s="22">
        <v>1450</v>
      </c>
      <c r="M1249" s="22">
        <v>44950</v>
      </c>
      <c r="N1249" s="18">
        <v>48.07</v>
      </c>
      <c r="O1249" s="26">
        <v>45520</v>
      </c>
      <c r="P1249" s="2" t="s">
        <v>805</v>
      </c>
      <c r="Q1249" s="2" t="s">
        <v>806</v>
      </c>
    </row>
    <row r="1250" spans="2:17" x14ac:dyDescent="0.25">
      <c r="B1250" s="2" t="s">
        <v>2054</v>
      </c>
      <c r="C1250" s="2" t="s">
        <v>160</v>
      </c>
      <c r="D1250" s="2" t="s">
        <v>161</v>
      </c>
      <c r="E1250" s="2" t="s">
        <v>155</v>
      </c>
      <c r="F1250" s="2" t="s">
        <v>535</v>
      </c>
      <c r="G1250" s="2" t="s">
        <v>425</v>
      </c>
      <c r="H1250" s="2" t="s">
        <v>426</v>
      </c>
      <c r="I1250" s="26">
        <v>45508</v>
      </c>
      <c r="J1250" s="2">
        <v>34</v>
      </c>
      <c r="K1250" s="2" t="s">
        <v>123</v>
      </c>
      <c r="L1250" s="22">
        <v>1450</v>
      </c>
      <c r="M1250" s="22">
        <v>49300</v>
      </c>
      <c r="N1250" s="18">
        <v>52.73</v>
      </c>
      <c r="O1250" s="26">
        <v>45528</v>
      </c>
      <c r="P1250" s="2" t="s">
        <v>805</v>
      </c>
      <c r="Q1250" s="2" t="s">
        <v>806</v>
      </c>
    </row>
    <row r="1251" spans="2:17" x14ac:dyDescent="0.25">
      <c r="B1251" s="2" t="s">
        <v>2055</v>
      </c>
      <c r="C1251" s="2" t="s">
        <v>160</v>
      </c>
      <c r="D1251" s="2" t="s">
        <v>161</v>
      </c>
      <c r="E1251" s="2" t="s">
        <v>155</v>
      </c>
      <c r="F1251" s="2" t="s">
        <v>535</v>
      </c>
      <c r="G1251" s="2" t="s">
        <v>425</v>
      </c>
      <c r="H1251" s="2" t="s">
        <v>426</v>
      </c>
      <c r="I1251" s="26">
        <v>45515</v>
      </c>
      <c r="J1251" s="2">
        <v>27</v>
      </c>
      <c r="K1251" s="2" t="s">
        <v>123</v>
      </c>
      <c r="L1251" s="22">
        <v>1450</v>
      </c>
      <c r="M1251" s="22">
        <v>39150</v>
      </c>
      <c r="N1251" s="18">
        <v>41.87</v>
      </c>
      <c r="O1251" s="26">
        <v>45535</v>
      </c>
      <c r="P1251" s="2" t="s">
        <v>805</v>
      </c>
      <c r="Q1251" s="2" t="s">
        <v>806</v>
      </c>
    </row>
    <row r="1252" spans="2:17" x14ac:dyDescent="0.25">
      <c r="B1252" s="2" t="s">
        <v>2056</v>
      </c>
      <c r="C1252" s="2" t="s">
        <v>160</v>
      </c>
      <c r="D1252" s="2" t="s">
        <v>161</v>
      </c>
      <c r="E1252" s="2" t="s">
        <v>155</v>
      </c>
      <c r="F1252" s="2" t="s">
        <v>535</v>
      </c>
      <c r="G1252" s="2" t="s">
        <v>425</v>
      </c>
      <c r="H1252" s="2" t="s">
        <v>426</v>
      </c>
      <c r="I1252" s="26">
        <v>45523</v>
      </c>
      <c r="J1252" s="2">
        <v>27</v>
      </c>
      <c r="K1252" s="2" t="s">
        <v>123</v>
      </c>
      <c r="L1252" s="22">
        <v>1450</v>
      </c>
      <c r="M1252" s="22">
        <v>39150</v>
      </c>
      <c r="N1252" s="18">
        <v>41.87</v>
      </c>
      <c r="O1252" s="26">
        <v>45543</v>
      </c>
      <c r="P1252" s="2" t="s">
        <v>805</v>
      </c>
      <c r="Q1252" s="2" t="s">
        <v>806</v>
      </c>
    </row>
    <row r="1253" spans="2:17" x14ac:dyDescent="0.25">
      <c r="B1253" s="2" t="s">
        <v>2057</v>
      </c>
      <c r="C1253" s="2" t="s">
        <v>160</v>
      </c>
      <c r="D1253" s="2" t="s">
        <v>161</v>
      </c>
      <c r="E1253" s="2" t="s">
        <v>155</v>
      </c>
      <c r="F1253" s="2" t="s">
        <v>535</v>
      </c>
      <c r="G1253" s="2" t="s">
        <v>425</v>
      </c>
      <c r="H1253" s="2" t="s">
        <v>426</v>
      </c>
      <c r="I1253" s="26">
        <v>45530</v>
      </c>
      <c r="J1253" s="2">
        <v>33</v>
      </c>
      <c r="K1253" s="2" t="s">
        <v>123</v>
      </c>
      <c r="L1253" s="22">
        <v>1450</v>
      </c>
      <c r="M1253" s="22">
        <v>47850</v>
      </c>
      <c r="N1253" s="18">
        <v>51.18</v>
      </c>
      <c r="O1253" s="26">
        <v>45550</v>
      </c>
      <c r="P1253" s="2" t="s">
        <v>805</v>
      </c>
      <c r="Q1253" s="2" t="s">
        <v>806</v>
      </c>
    </row>
    <row r="1254" spans="2:17" x14ac:dyDescent="0.25">
      <c r="B1254" s="2" t="s">
        <v>2058</v>
      </c>
      <c r="C1254" s="2" t="s">
        <v>160</v>
      </c>
      <c r="D1254" s="2" t="s">
        <v>161</v>
      </c>
      <c r="E1254" s="2" t="s">
        <v>155</v>
      </c>
      <c r="F1254" s="2" t="s">
        <v>537</v>
      </c>
      <c r="G1254" s="2" t="s">
        <v>430</v>
      </c>
      <c r="H1254" s="2" t="s">
        <v>431</v>
      </c>
      <c r="I1254" s="26">
        <v>45535</v>
      </c>
      <c r="J1254" s="2">
        <v>34</v>
      </c>
      <c r="K1254" s="2" t="s">
        <v>123</v>
      </c>
      <c r="L1254" s="22">
        <v>1550</v>
      </c>
      <c r="M1254" s="22">
        <v>52700</v>
      </c>
      <c r="N1254" s="18">
        <v>56.36</v>
      </c>
      <c r="O1254" s="26">
        <v>45555</v>
      </c>
      <c r="P1254" s="2" t="s">
        <v>805</v>
      </c>
      <c r="Q1254" s="2" t="s">
        <v>806</v>
      </c>
    </row>
    <row r="1255" spans="2:17" x14ac:dyDescent="0.25">
      <c r="B1255" s="2" t="s">
        <v>2059</v>
      </c>
      <c r="C1255" s="2" t="s">
        <v>160</v>
      </c>
      <c r="D1255" s="2" t="s">
        <v>161</v>
      </c>
      <c r="E1255" s="2" t="s">
        <v>155</v>
      </c>
      <c r="F1255" s="2" t="s">
        <v>535</v>
      </c>
      <c r="G1255" s="2" t="s">
        <v>425</v>
      </c>
      <c r="H1255" s="2" t="s">
        <v>426</v>
      </c>
      <c r="I1255" s="26">
        <v>45540</v>
      </c>
      <c r="J1255" s="2">
        <v>39</v>
      </c>
      <c r="K1255" s="2" t="s">
        <v>123</v>
      </c>
      <c r="L1255" s="22">
        <v>1450</v>
      </c>
      <c r="M1255" s="22">
        <v>56550</v>
      </c>
      <c r="N1255" s="18">
        <v>60.48</v>
      </c>
      <c r="O1255" s="26">
        <v>45560</v>
      </c>
      <c r="P1255" s="2" t="s">
        <v>805</v>
      </c>
      <c r="Q1255" s="2" t="s">
        <v>814</v>
      </c>
    </row>
    <row r="1256" spans="2:17" x14ac:dyDescent="0.25">
      <c r="B1256" s="2" t="s">
        <v>2060</v>
      </c>
      <c r="C1256" s="2" t="s">
        <v>160</v>
      </c>
      <c r="D1256" s="2" t="s">
        <v>161</v>
      </c>
      <c r="E1256" s="2" t="s">
        <v>155</v>
      </c>
      <c r="F1256" s="2" t="s">
        <v>535</v>
      </c>
      <c r="G1256" s="2" t="s">
        <v>425</v>
      </c>
      <c r="H1256" s="2" t="s">
        <v>426</v>
      </c>
      <c r="I1256" s="26">
        <v>45546</v>
      </c>
      <c r="J1256" s="2">
        <v>39</v>
      </c>
      <c r="K1256" s="2" t="s">
        <v>123</v>
      </c>
      <c r="L1256" s="22">
        <v>1450</v>
      </c>
      <c r="M1256" s="22">
        <v>56550</v>
      </c>
      <c r="N1256" s="18">
        <v>60.48</v>
      </c>
      <c r="O1256" s="26">
        <v>45566</v>
      </c>
      <c r="P1256" s="2" t="s">
        <v>805</v>
      </c>
      <c r="Q1256" s="2" t="s">
        <v>814</v>
      </c>
    </row>
    <row r="1257" spans="2:17" x14ac:dyDescent="0.25">
      <c r="B1257" s="2" t="s">
        <v>2061</v>
      </c>
      <c r="C1257" s="2" t="s">
        <v>160</v>
      </c>
      <c r="D1257" s="2" t="s">
        <v>161</v>
      </c>
      <c r="E1257" s="2" t="s">
        <v>155</v>
      </c>
      <c r="F1257" s="2" t="s">
        <v>535</v>
      </c>
      <c r="G1257" s="2" t="s">
        <v>425</v>
      </c>
      <c r="H1257" s="2" t="s">
        <v>426</v>
      </c>
      <c r="I1257" s="26">
        <v>45553</v>
      </c>
      <c r="J1257" s="2">
        <v>43</v>
      </c>
      <c r="K1257" s="2" t="s">
        <v>123</v>
      </c>
      <c r="L1257" s="22">
        <v>1450</v>
      </c>
      <c r="M1257" s="22">
        <v>62350</v>
      </c>
      <c r="N1257" s="18">
        <v>66.680000000000007</v>
      </c>
      <c r="O1257" s="26">
        <v>45573</v>
      </c>
      <c r="P1257" s="2" t="s">
        <v>805</v>
      </c>
      <c r="Q1257" s="2" t="s">
        <v>814</v>
      </c>
    </row>
    <row r="1258" spans="2:17" x14ac:dyDescent="0.25">
      <c r="B1258" s="2" t="s">
        <v>2062</v>
      </c>
      <c r="C1258" s="2" t="s">
        <v>160</v>
      </c>
      <c r="D1258" s="2" t="s">
        <v>161</v>
      </c>
      <c r="E1258" s="2" t="s">
        <v>155</v>
      </c>
      <c r="F1258" s="2" t="s">
        <v>535</v>
      </c>
      <c r="G1258" s="2" t="s">
        <v>425</v>
      </c>
      <c r="H1258" s="2" t="s">
        <v>426</v>
      </c>
      <c r="I1258" s="26">
        <v>45559</v>
      </c>
      <c r="J1258" s="2">
        <v>33</v>
      </c>
      <c r="K1258" s="2" t="s">
        <v>123</v>
      </c>
      <c r="L1258" s="22">
        <v>1450</v>
      </c>
      <c r="M1258" s="22">
        <v>47850</v>
      </c>
      <c r="N1258" s="18">
        <v>51.18</v>
      </c>
      <c r="O1258" s="26">
        <v>45579</v>
      </c>
      <c r="P1258" s="2" t="s">
        <v>805</v>
      </c>
      <c r="Q1258" s="2" t="s">
        <v>814</v>
      </c>
    </row>
    <row r="1259" spans="2:17" x14ac:dyDescent="0.25">
      <c r="B1259" s="2" t="s">
        <v>2063</v>
      </c>
      <c r="C1259" s="2" t="s">
        <v>160</v>
      </c>
      <c r="D1259" s="2" t="s">
        <v>161</v>
      </c>
      <c r="E1259" s="2" t="s">
        <v>155</v>
      </c>
      <c r="F1259" s="2" t="s">
        <v>535</v>
      </c>
      <c r="G1259" s="2" t="s">
        <v>425</v>
      </c>
      <c r="H1259" s="2" t="s">
        <v>426</v>
      </c>
      <c r="I1259" s="26">
        <v>45565</v>
      </c>
      <c r="J1259" s="2">
        <v>36</v>
      </c>
      <c r="K1259" s="2" t="s">
        <v>123</v>
      </c>
      <c r="L1259" s="22">
        <v>1450</v>
      </c>
      <c r="M1259" s="22">
        <v>52200</v>
      </c>
      <c r="N1259" s="18">
        <v>55.83</v>
      </c>
      <c r="O1259" s="26">
        <v>45585</v>
      </c>
      <c r="P1259" s="2" t="s">
        <v>805</v>
      </c>
      <c r="Q1259" s="2" t="s">
        <v>814</v>
      </c>
    </row>
    <row r="1260" spans="2:17" x14ac:dyDescent="0.25">
      <c r="B1260" s="2" t="s">
        <v>2064</v>
      </c>
      <c r="C1260" s="2" t="s">
        <v>160</v>
      </c>
      <c r="D1260" s="2" t="s">
        <v>161</v>
      </c>
      <c r="E1260" s="2" t="s">
        <v>155</v>
      </c>
      <c r="F1260" s="2" t="s">
        <v>535</v>
      </c>
      <c r="G1260" s="2" t="s">
        <v>425</v>
      </c>
      <c r="H1260" s="2" t="s">
        <v>426</v>
      </c>
      <c r="I1260" s="26">
        <v>45572</v>
      </c>
      <c r="J1260" s="2">
        <v>31</v>
      </c>
      <c r="K1260" s="2" t="s">
        <v>123</v>
      </c>
      <c r="L1260" s="22">
        <v>1450</v>
      </c>
      <c r="M1260" s="22">
        <v>44950</v>
      </c>
      <c r="N1260" s="18">
        <v>48.07</v>
      </c>
      <c r="O1260" s="26">
        <v>45592</v>
      </c>
      <c r="P1260" s="2" t="s">
        <v>805</v>
      </c>
      <c r="Q1260" s="2" t="s">
        <v>814</v>
      </c>
    </row>
    <row r="1261" spans="2:17" x14ac:dyDescent="0.25">
      <c r="B1261" s="2" t="s">
        <v>2065</v>
      </c>
      <c r="C1261" s="2" t="s">
        <v>160</v>
      </c>
      <c r="D1261" s="2" t="s">
        <v>161</v>
      </c>
      <c r="E1261" s="2" t="s">
        <v>155</v>
      </c>
      <c r="F1261" s="2" t="s">
        <v>535</v>
      </c>
      <c r="G1261" s="2" t="s">
        <v>425</v>
      </c>
      <c r="H1261" s="2" t="s">
        <v>426</v>
      </c>
      <c r="I1261" s="26">
        <v>45577</v>
      </c>
      <c r="J1261" s="2">
        <v>29</v>
      </c>
      <c r="K1261" s="2" t="s">
        <v>123</v>
      </c>
      <c r="L1261" s="22">
        <v>1450</v>
      </c>
      <c r="M1261" s="22">
        <v>42050</v>
      </c>
      <c r="N1261" s="18">
        <v>44.97</v>
      </c>
      <c r="O1261" s="26">
        <v>45597</v>
      </c>
      <c r="P1261" s="2" t="s">
        <v>805</v>
      </c>
      <c r="Q1261" s="2" t="s">
        <v>814</v>
      </c>
    </row>
    <row r="1262" spans="2:17" x14ac:dyDescent="0.25">
      <c r="B1262" s="2" t="s">
        <v>2066</v>
      </c>
      <c r="C1262" s="2" t="s">
        <v>160</v>
      </c>
      <c r="D1262" s="2" t="s">
        <v>161</v>
      </c>
      <c r="E1262" s="2" t="s">
        <v>155</v>
      </c>
      <c r="F1262" s="2" t="s">
        <v>535</v>
      </c>
      <c r="G1262" s="2" t="s">
        <v>425</v>
      </c>
      <c r="H1262" s="2" t="s">
        <v>426</v>
      </c>
      <c r="I1262" s="26">
        <v>45586</v>
      </c>
      <c r="J1262" s="2">
        <v>31</v>
      </c>
      <c r="K1262" s="2" t="s">
        <v>123</v>
      </c>
      <c r="L1262" s="22">
        <v>1450</v>
      </c>
      <c r="M1262" s="22">
        <v>44950</v>
      </c>
      <c r="N1262" s="18">
        <v>48.07</v>
      </c>
      <c r="O1262" s="26">
        <v>45606</v>
      </c>
      <c r="P1262" s="2" t="s">
        <v>805</v>
      </c>
      <c r="Q1262" s="2" t="s">
        <v>814</v>
      </c>
    </row>
    <row r="1263" spans="2:17" x14ac:dyDescent="0.25">
      <c r="B1263" s="2" t="s">
        <v>2067</v>
      </c>
      <c r="C1263" s="2" t="s">
        <v>160</v>
      </c>
      <c r="D1263" s="2" t="s">
        <v>161</v>
      </c>
      <c r="E1263" s="2" t="s">
        <v>155</v>
      </c>
      <c r="F1263" s="2" t="s">
        <v>535</v>
      </c>
      <c r="G1263" s="2" t="s">
        <v>425</v>
      </c>
      <c r="H1263" s="2" t="s">
        <v>426</v>
      </c>
      <c r="I1263" s="26">
        <v>45593</v>
      </c>
      <c r="J1263" s="2">
        <v>33</v>
      </c>
      <c r="K1263" s="2" t="s">
        <v>123</v>
      </c>
      <c r="L1263" s="22">
        <v>1450</v>
      </c>
      <c r="M1263" s="22">
        <v>47850</v>
      </c>
      <c r="N1263" s="18">
        <v>51.18</v>
      </c>
      <c r="O1263" s="26">
        <v>45613</v>
      </c>
      <c r="P1263" s="2" t="s">
        <v>805</v>
      </c>
      <c r="Q1263" s="2" t="s">
        <v>814</v>
      </c>
    </row>
    <row r="1264" spans="2:17" x14ac:dyDescent="0.25">
      <c r="B1264" s="2" t="s">
        <v>2068</v>
      </c>
      <c r="C1264" s="2" t="s">
        <v>160</v>
      </c>
      <c r="D1264" s="2" t="s">
        <v>161</v>
      </c>
      <c r="E1264" s="2" t="s">
        <v>155</v>
      </c>
      <c r="F1264" s="2" t="s">
        <v>535</v>
      </c>
      <c r="G1264" s="2" t="s">
        <v>425</v>
      </c>
      <c r="H1264" s="2" t="s">
        <v>426</v>
      </c>
      <c r="I1264" s="26">
        <v>45601</v>
      </c>
      <c r="J1264" s="2">
        <v>31</v>
      </c>
      <c r="K1264" s="2" t="s">
        <v>123</v>
      </c>
      <c r="L1264" s="22">
        <v>1450</v>
      </c>
      <c r="M1264" s="22">
        <v>44950</v>
      </c>
      <c r="N1264" s="18">
        <v>48.07</v>
      </c>
      <c r="O1264" s="26">
        <v>45621</v>
      </c>
      <c r="P1264" s="2" t="s">
        <v>805</v>
      </c>
      <c r="Q1264" s="2" t="s">
        <v>814</v>
      </c>
    </row>
    <row r="1265" spans="2:17" x14ac:dyDescent="0.25">
      <c r="B1265" s="2" t="s">
        <v>2069</v>
      </c>
      <c r="C1265" s="2" t="s">
        <v>160</v>
      </c>
      <c r="D1265" s="2" t="s">
        <v>161</v>
      </c>
      <c r="E1265" s="2" t="s">
        <v>155</v>
      </c>
      <c r="F1265" s="2" t="s">
        <v>535</v>
      </c>
      <c r="G1265" s="2" t="s">
        <v>425</v>
      </c>
      <c r="H1265" s="2" t="s">
        <v>426</v>
      </c>
      <c r="I1265" s="26">
        <v>45605</v>
      </c>
      <c r="J1265" s="2">
        <v>31</v>
      </c>
      <c r="K1265" s="2" t="s">
        <v>123</v>
      </c>
      <c r="L1265" s="22">
        <v>1450</v>
      </c>
      <c r="M1265" s="22">
        <v>44950</v>
      </c>
      <c r="N1265" s="18">
        <v>48.07</v>
      </c>
      <c r="O1265" s="26">
        <v>45625</v>
      </c>
      <c r="P1265" s="2" t="s">
        <v>805</v>
      </c>
      <c r="Q1265" s="2" t="s">
        <v>814</v>
      </c>
    </row>
    <row r="1266" spans="2:17" x14ac:dyDescent="0.25">
      <c r="B1266" s="2" t="s">
        <v>2070</v>
      </c>
      <c r="C1266" s="2" t="s">
        <v>160</v>
      </c>
      <c r="D1266" s="2" t="s">
        <v>161</v>
      </c>
      <c r="E1266" s="2" t="s">
        <v>155</v>
      </c>
      <c r="F1266" s="2" t="s">
        <v>535</v>
      </c>
      <c r="G1266" s="2" t="s">
        <v>425</v>
      </c>
      <c r="H1266" s="2" t="s">
        <v>426</v>
      </c>
      <c r="I1266" s="26">
        <v>45612</v>
      </c>
      <c r="J1266" s="2">
        <v>29</v>
      </c>
      <c r="K1266" s="2" t="s">
        <v>123</v>
      </c>
      <c r="L1266" s="22">
        <v>1450</v>
      </c>
      <c r="M1266" s="22">
        <v>42050</v>
      </c>
      <c r="N1266" s="18">
        <v>44.97</v>
      </c>
      <c r="O1266" s="26">
        <v>45632</v>
      </c>
      <c r="P1266" s="2" t="s">
        <v>805</v>
      </c>
      <c r="Q1266" s="2" t="s">
        <v>814</v>
      </c>
    </row>
    <row r="1267" spans="2:17" x14ac:dyDescent="0.25">
      <c r="B1267" s="2" t="s">
        <v>2071</v>
      </c>
      <c r="C1267" s="2" t="s">
        <v>160</v>
      </c>
      <c r="D1267" s="2" t="s">
        <v>161</v>
      </c>
      <c r="E1267" s="2" t="s">
        <v>155</v>
      </c>
      <c r="F1267" s="2" t="s">
        <v>535</v>
      </c>
      <c r="G1267" s="2" t="s">
        <v>425</v>
      </c>
      <c r="H1267" s="2" t="s">
        <v>426</v>
      </c>
      <c r="I1267" s="26">
        <v>45618</v>
      </c>
      <c r="J1267" s="2">
        <v>33</v>
      </c>
      <c r="K1267" s="2" t="s">
        <v>123</v>
      </c>
      <c r="L1267" s="22">
        <v>1450</v>
      </c>
      <c r="M1267" s="22">
        <v>47850</v>
      </c>
      <c r="N1267" s="18">
        <v>51.18</v>
      </c>
      <c r="O1267" s="26">
        <v>45638</v>
      </c>
      <c r="P1267" s="2" t="s">
        <v>805</v>
      </c>
      <c r="Q1267" s="2" t="s">
        <v>814</v>
      </c>
    </row>
    <row r="1268" spans="2:17" x14ac:dyDescent="0.25">
      <c r="B1268" s="2" t="s">
        <v>2072</v>
      </c>
      <c r="C1268" s="2" t="s">
        <v>160</v>
      </c>
      <c r="D1268" s="2" t="s">
        <v>161</v>
      </c>
      <c r="E1268" s="2" t="s">
        <v>155</v>
      </c>
      <c r="F1268" s="2" t="s">
        <v>535</v>
      </c>
      <c r="G1268" s="2" t="s">
        <v>425</v>
      </c>
      <c r="H1268" s="2" t="s">
        <v>426</v>
      </c>
      <c r="I1268" s="26">
        <v>45623</v>
      </c>
      <c r="J1268" s="2">
        <v>26</v>
      </c>
      <c r="K1268" s="2" t="s">
        <v>123</v>
      </c>
      <c r="L1268" s="22">
        <v>1450</v>
      </c>
      <c r="M1268" s="22">
        <v>37700</v>
      </c>
      <c r="N1268" s="18">
        <v>40.32</v>
      </c>
      <c r="O1268" s="26">
        <v>45643</v>
      </c>
      <c r="P1268" s="2" t="s">
        <v>805</v>
      </c>
      <c r="Q1268" s="2" t="s">
        <v>814</v>
      </c>
    </row>
    <row r="1269" spans="2:17" x14ac:dyDescent="0.25">
      <c r="B1269" s="2" t="s">
        <v>2073</v>
      </c>
      <c r="C1269" s="2" t="s">
        <v>160</v>
      </c>
      <c r="D1269" s="2" t="s">
        <v>161</v>
      </c>
      <c r="E1269" s="2" t="s">
        <v>155</v>
      </c>
      <c r="F1269" s="2" t="s">
        <v>535</v>
      </c>
      <c r="G1269" s="2" t="s">
        <v>425</v>
      </c>
      <c r="H1269" s="2" t="s">
        <v>426</v>
      </c>
      <c r="I1269" s="26">
        <v>45631</v>
      </c>
      <c r="J1269" s="2">
        <v>44</v>
      </c>
      <c r="K1269" s="2" t="s">
        <v>123</v>
      </c>
      <c r="L1269" s="22">
        <v>1450</v>
      </c>
      <c r="M1269" s="22">
        <v>63800</v>
      </c>
      <c r="N1269" s="18">
        <v>68.239999999999995</v>
      </c>
      <c r="O1269" s="26">
        <v>45651</v>
      </c>
      <c r="P1269" s="2" t="s">
        <v>805</v>
      </c>
      <c r="Q1269" s="2" t="s">
        <v>825</v>
      </c>
    </row>
    <row r="1270" spans="2:17" x14ac:dyDescent="0.25">
      <c r="B1270" s="2" t="s">
        <v>2074</v>
      </c>
      <c r="C1270" s="2" t="s">
        <v>160</v>
      </c>
      <c r="D1270" s="2" t="s">
        <v>161</v>
      </c>
      <c r="E1270" s="2" t="s">
        <v>155</v>
      </c>
      <c r="F1270" s="2" t="s">
        <v>537</v>
      </c>
      <c r="G1270" s="2" t="s">
        <v>430</v>
      </c>
      <c r="H1270" s="2" t="s">
        <v>431</v>
      </c>
      <c r="I1270" s="26">
        <v>45638</v>
      </c>
      <c r="J1270" s="2">
        <v>36</v>
      </c>
      <c r="K1270" s="2" t="s">
        <v>123</v>
      </c>
      <c r="L1270" s="22">
        <v>1550</v>
      </c>
      <c r="M1270" s="22">
        <v>55800</v>
      </c>
      <c r="N1270" s="18">
        <v>59.68</v>
      </c>
      <c r="O1270" s="26">
        <v>45658</v>
      </c>
      <c r="P1270" s="2" t="s">
        <v>805</v>
      </c>
      <c r="Q1270" s="2" t="s">
        <v>825</v>
      </c>
    </row>
    <row r="1271" spans="2:17" x14ac:dyDescent="0.25">
      <c r="B1271" s="2" t="s">
        <v>2075</v>
      </c>
      <c r="C1271" s="2" t="s">
        <v>160</v>
      </c>
      <c r="D1271" s="2" t="s">
        <v>161</v>
      </c>
      <c r="E1271" s="2" t="s">
        <v>155</v>
      </c>
      <c r="F1271" s="2" t="s">
        <v>535</v>
      </c>
      <c r="G1271" s="2" t="s">
        <v>425</v>
      </c>
      <c r="H1271" s="2" t="s">
        <v>426</v>
      </c>
      <c r="I1271" s="26">
        <v>45644</v>
      </c>
      <c r="J1271" s="2">
        <v>37</v>
      </c>
      <c r="K1271" s="2" t="s">
        <v>123</v>
      </c>
      <c r="L1271" s="22">
        <v>1450</v>
      </c>
      <c r="M1271" s="22">
        <v>53650</v>
      </c>
      <c r="N1271" s="18">
        <v>57.38</v>
      </c>
      <c r="O1271" s="26">
        <v>45664</v>
      </c>
      <c r="P1271" s="2" t="s">
        <v>805</v>
      </c>
      <c r="Q1271" s="2" t="s">
        <v>825</v>
      </c>
    </row>
    <row r="1272" spans="2:17" x14ac:dyDescent="0.25">
      <c r="B1272" s="2" t="s">
        <v>2076</v>
      </c>
      <c r="C1272" s="2" t="s">
        <v>160</v>
      </c>
      <c r="D1272" s="2" t="s">
        <v>161</v>
      </c>
      <c r="E1272" s="2" t="s">
        <v>155</v>
      </c>
      <c r="F1272" s="2" t="s">
        <v>535</v>
      </c>
      <c r="G1272" s="2" t="s">
        <v>425</v>
      </c>
      <c r="H1272" s="2" t="s">
        <v>426</v>
      </c>
      <c r="I1272" s="26">
        <v>45653</v>
      </c>
      <c r="J1272" s="2">
        <v>36</v>
      </c>
      <c r="K1272" s="2" t="s">
        <v>123</v>
      </c>
      <c r="L1272" s="22">
        <v>1450</v>
      </c>
      <c r="M1272" s="22">
        <v>52200</v>
      </c>
      <c r="N1272" s="18">
        <v>55.83</v>
      </c>
      <c r="O1272" s="26">
        <v>45673</v>
      </c>
      <c r="P1272" s="2" t="s">
        <v>805</v>
      </c>
      <c r="Q1272" s="2" t="s">
        <v>825</v>
      </c>
    </row>
    <row r="1273" spans="2:17" x14ac:dyDescent="0.25">
      <c r="B1273" s="2" t="s">
        <v>2077</v>
      </c>
      <c r="C1273" s="2" t="s">
        <v>160</v>
      </c>
      <c r="D1273" s="2" t="s">
        <v>161</v>
      </c>
      <c r="E1273" s="2" t="s">
        <v>155</v>
      </c>
      <c r="F1273" s="2" t="s">
        <v>535</v>
      </c>
      <c r="G1273" s="2" t="s">
        <v>425</v>
      </c>
      <c r="H1273" s="2" t="s">
        <v>426</v>
      </c>
      <c r="I1273" s="26">
        <v>45659</v>
      </c>
      <c r="J1273" s="2">
        <v>28</v>
      </c>
      <c r="K1273" s="2" t="s">
        <v>123</v>
      </c>
      <c r="L1273" s="22">
        <v>1450</v>
      </c>
      <c r="M1273" s="22">
        <v>40600</v>
      </c>
      <c r="N1273" s="18">
        <v>43.42</v>
      </c>
      <c r="O1273" s="26">
        <v>45679</v>
      </c>
      <c r="P1273" s="2" t="s">
        <v>805</v>
      </c>
      <c r="Q1273" s="2" t="s">
        <v>825</v>
      </c>
    </row>
    <row r="1274" spans="2:17" x14ac:dyDescent="0.25">
      <c r="B1274" s="2" t="s">
        <v>2078</v>
      </c>
      <c r="C1274" s="2" t="s">
        <v>160</v>
      </c>
      <c r="D1274" s="2" t="s">
        <v>161</v>
      </c>
      <c r="E1274" s="2" t="s">
        <v>155</v>
      </c>
      <c r="F1274" s="2" t="s">
        <v>535</v>
      </c>
      <c r="G1274" s="2" t="s">
        <v>425</v>
      </c>
      <c r="H1274" s="2" t="s">
        <v>426</v>
      </c>
      <c r="I1274" s="26">
        <v>45666</v>
      </c>
      <c r="J1274" s="2">
        <v>28</v>
      </c>
      <c r="K1274" s="2" t="s">
        <v>123</v>
      </c>
      <c r="L1274" s="22">
        <v>1450</v>
      </c>
      <c r="M1274" s="22">
        <v>40600</v>
      </c>
      <c r="N1274" s="18">
        <v>43.42</v>
      </c>
      <c r="O1274" s="26">
        <v>45686</v>
      </c>
      <c r="P1274" s="2" t="s">
        <v>805</v>
      </c>
      <c r="Q1274" s="2" t="s">
        <v>825</v>
      </c>
    </row>
    <row r="1275" spans="2:17" x14ac:dyDescent="0.25">
      <c r="B1275" s="2" t="s">
        <v>2079</v>
      </c>
      <c r="C1275" s="2" t="s">
        <v>160</v>
      </c>
      <c r="D1275" s="2" t="s">
        <v>161</v>
      </c>
      <c r="E1275" s="2" t="s">
        <v>155</v>
      </c>
      <c r="F1275" s="2" t="s">
        <v>535</v>
      </c>
      <c r="G1275" s="2" t="s">
        <v>425</v>
      </c>
      <c r="H1275" s="2" t="s">
        <v>426</v>
      </c>
      <c r="I1275" s="26">
        <v>45671</v>
      </c>
      <c r="J1275" s="2">
        <v>33</v>
      </c>
      <c r="K1275" s="2" t="s">
        <v>123</v>
      </c>
      <c r="L1275" s="22">
        <v>1450</v>
      </c>
      <c r="M1275" s="22">
        <v>47850</v>
      </c>
      <c r="N1275" s="18">
        <v>51.18</v>
      </c>
      <c r="O1275" s="26">
        <v>45691</v>
      </c>
      <c r="P1275" s="2" t="s">
        <v>805</v>
      </c>
      <c r="Q1275" s="2" t="s">
        <v>825</v>
      </c>
    </row>
    <row r="1276" spans="2:17" x14ac:dyDescent="0.25">
      <c r="B1276" s="2" t="s">
        <v>2080</v>
      </c>
      <c r="C1276" s="2" t="s">
        <v>160</v>
      </c>
      <c r="D1276" s="2" t="s">
        <v>161</v>
      </c>
      <c r="E1276" s="2" t="s">
        <v>155</v>
      </c>
      <c r="F1276" s="2" t="s">
        <v>535</v>
      </c>
      <c r="G1276" s="2" t="s">
        <v>425</v>
      </c>
      <c r="H1276" s="2" t="s">
        <v>426</v>
      </c>
      <c r="I1276" s="26">
        <v>45680</v>
      </c>
      <c r="J1276" s="2">
        <v>29</v>
      </c>
      <c r="K1276" s="2" t="s">
        <v>123</v>
      </c>
      <c r="L1276" s="22">
        <v>1450</v>
      </c>
      <c r="M1276" s="22">
        <v>42050</v>
      </c>
      <c r="N1276" s="18">
        <v>44.97</v>
      </c>
      <c r="O1276" s="26">
        <v>45700</v>
      </c>
      <c r="P1276" s="2" t="s">
        <v>805</v>
      </c>
      <c r="Q1276" s="2" t="s">
        <v>825</v>
      </c>
    </row>
    <row r="1277" spans="2:17" x14ac:dyDescent="0.25">
      <c r="B1277" s="2" t="s">
        <v>2081</v>
      </c>
      <c r="C1277" s="2" t="s">
        <v>160</v>
      </c>
      <c r="D1277" s="2" t="s">
        <v>161</v>
      </c>
      <c r="E1277" s="2" t="s">
        <v>155</v>
      </c>
      <c r="F1277" s="2" t="s">
        <v>535</v>
      </c>
      <c r="G1277" s="2" t="s">
        <v>425</v>
      </c>
      <c r="H1277" s="2" t="s">
        <v>426</v>
      </c>
      <c r="I1277" s="26">
        <v>45689</v>
      </c>
      <c r="J1277" s="2">
        <v>37</v>
      </c>
      <c r="K1277" s="2" t="s">
        <v>123</v>
      </c>
      <c r="L1277" s="22">
        <v>1450</v>
      </c>
      <c r="M1277" s="22">
        <v>53650</v>
      </c>
      <c r="N1277" s="18">
        <v>57.38</v>
      </c>
      <c r="O1277" s="26">
        <v>45709</v>
      </c>
      <c r="P1277" s="2" t="s">
        <v>805</v>
      </c>
      <c r="Q1277" s="2" t="s">
        <v>825</v>
      </c>
    </row>
    <row r="1278" spans="2:17" x14ac:dyDescent="0.25">
      <c r="B1278" s="2" t="s">
        <v>2082</v>
      </c>
      <c r="C1278" s="2" t="s">
        <v>160</v>
      </c>
      <c r="D1278" s="2" t="s">
        <v>161</v>
      </c>
      <c r="E1278" s="2" t="s">
        <v>155</v>
      </c>
      <c r="F1278" s="2" t="s">
        <v>535</v>
      </c>
      <c r="G1278" s="2" t="s">
        <v>425</v>
      </c>
      <c r="H1278" s="2" t="s">
        <v>426</v>
      </c>
      <c r="I1278" s="26">
        <v>45696</v>
      </c>
      <c r="J1278" s="2">
        <v>35</v>
      </c>
      <c r="K1278" s="2" t="s">
        <v>123</v>
      </c>
      <c r="L1278" s="22">
        <v>1450</v>
      </c>
      <c r="M1278" s="22">
        <v>50750</v>
      </c>
      <c r="N1278" s="18">
        <v>54.28</v>
      </c>
      <c r="O1278" s="26">
        <v>45716</v>
      </c>
      <c r="P1278" s="2" t="s">
        <v>805</v>
      </c>
      <c r="Q1278" s="2" t="s">
        <v>825</v>
      </c>
    </row>
    <row r="1279" spans="2:17" x14ac:dyDescent="0.25">
      <c r="B1279" s="2" t="s">
        <v>2083</v>
      </c>
      <c r="C1279" s="2" t="s">
        <v>160</v>
      </c>
      <c r="D1279" s="2" t="s">
        <v>161</v>
      </c>
      <c r="E1279" s="2" t="s">
        <v>155</v>
      </c>
      <c r="F1279" s="2" t="s">
        <v>535</v>
      </c>
      <c r="G1279" s="2" t="s">
        <v>425</v>
      </c>
      <c r="H1279" s="2" t="s">
        <v>426</v>
      </c>
      <c r="I1279" s="26">
        <v>45704</v>
      </c>
      <c r="J1279" s="2">
        <v>33</v>
      </c>
      <c r="K1279" s="2" t="s">
        <v>123</v>
      </c>
      <c r="L1279" s="22">
        <v>1450</v>
      </c>
      <c r="M1279" s="22">
        <v>47850</v>
      </c>
      <c r="N1279" s="18">
        <v>51.18</v>
      </c>
      <c r="O1279" s="26">
        <v>45724</v>
      </c>
      <c r="P1279" s="2" t="s">
        <v>805</v>
      </c>
      <c r="Q1279" s="2" t="s">
        <v>825</v>
      </c>
    </row>
    <row r="1280" spans="2:17" x14ac:dyDescent="0.25">
      <c r="B1280" s="2" t="s">
        <v>2084</v>
      </c>
      <c r="C1280" s="2" t="s">
        <v>160</v>
      </c>
      <c r="D1280" s="2" t="s">
        <v>161</v>
      </c>
      <c r="E1280" s="2" t="s">
        <v>155</v>
      </c>
      <c r="F1280" s="2" t="s">
        <v>535</v>
      </c>
      <c r="G1280" s="2" t="s">
        <v>425</v>
      </c>
      <c r="H1280" s="2" t="s">
        <v>426</v>
      </c>
      <c r="I1280" s="26">
        <v>45710</v>
      </c>
      <c r="J1280" s="2">
        <v>35</v>
      </c>
      <c r="K1280" s="2" t="s">
        <v>123</v>
      </c>
      <c r="L1280" s="22">
        <v>1450</v>
      </c>
      <c r="M1280" s="22">
        <v>50750</v>
      </c>
      <c r="N1280" s="18">
        <v>54.28</v>
      </c>
      <c r="O1280" s="26">
        <v>45730</v>
      </c>
      <c r="P1280" s="2" t="s">
        <v>805</v>
      </c>
      <c r="Q1280" s="2" t="s">
        <v>825</v>
      </c>
    </row>
    <row r="1281" spans="2:17" x14ac:dyDescent="0.25">
      <c r="B1281" s="2" t="s">
        <v>2085</v>
      </c>
      <c r="C1281" s="2" t="s">
        <v>160</v>
      </c>
      <c r="D1281" s="2" t="s">
        <v>161</v>
      </c>
      <c r="E1281" s="2" t="s">
        <v>155</v>
      </c>
      <c r="F1281" s="2" t="s">
        <v>535</v>
      </c>
      <c r="G1281" s="2" t="s">
        <v>425</v>
      </c>
      <c r="H1281" s="2" t="s">
        <v>426</v>
      </c>
      <c r="I1281" s="26">
        <v>45716</v>
      </c>
      <c r="J1281" s="2">
        <v>29</v>
      </c>
      <c r="K1281" s="2" t="s">
        <v>123</v>
      </c>
      <c r="L1281" s="22">
        <v>1450</v>
      </c>
      <c r="M1281" s="22">
        <v>42050</v>
      </c>
      <c r="N1281" s="18">
        <v>44.97</v>
      </c>
      <c r="O1281" s="26">
        <v>45736</v>
      </c>
      <c r="P1281" s="2" t="s">
        <v>805</v>
      </c>
      <c r="Q1281" s="2" t="s">
        <v>825</v>
      </c>
    </row>
    <row r="1282" spans="2:17" x14ac:dyDescent="0.25">
      <c r="B1282" s="2" t="s">
        <v>2086</v>
      </c>
      <c r="C1282" s="2" t="s">
        <v>160</v>
      </c>
      <c r="D1282" s="2" t="s">
        <v>161</v>
      </c>
      <c r="E1282" s="2" t="s">
        <v>155</v>
      </c>
      <c r="F1282" s="2" t="s">
        <v>535</v>
      </c>
      <c r="G1282" s="2" t="s">
        <v>425</v>
      </c>
      <c r="H1282" s="2" t="s">
        <v>426</v>
      </c>
      <c r="I1282" s="26">
        <v>45724</v>
      </c>
      <c r="J1282" s="2">
        <v>35</v>
      </c>
      <c r="K1282" s="2" t="s">
        <v>123</v>
      </c>
      <c r="L1282" s="22">
        <v>1450</v>
      </c>
      <c r="M1282" s="22">
        <v>50750</v>
      </c>
      <c r="N1282" s="18">
        <v>54.28</v>
      </c>
      <c r="O1282" s="26">
        <v>45744</v>
      </c>
      <c r="P1282" s="2" t="s">
        <v>805</v>
      </c>
      <c r="Q1282" s="2" t="s">
        <v>836</v>
      </c>
    </row>
    <row r="1283" spans="2:17" x14ac:dyDescent="0.25">
      <c r="B1283" s="2" t="s">
        <v>2087</v>
      </c>
      <c r="C1283" s="2" t="s">
        <v>160</v>
      </c>
      <c r="D1283" s="2" t="s">
        <v>161</v>
      </c>
      <c r="E1283" s="2" t="s">
        <v>155</v>
      </c>
      <c r="F1283" s="2" t="s">
        <v>535</v>
      </c>
      <c r="G1283" s="2" t="s">
        <v>425</v>
      </c>
      <c r="H1283" s="2" t="s">
        <v>426</v>
      </c>
      <c r="I1283" s="26">
        <v>45730</v>
      </c>
      <c r="J1283" s="2">
        <v>29</v>
      </c>
      <c r="K1283" s="2" t="s">
        <v>123</v>
      </c>
      <c r="L1283" s="22">
        <v>1450</v>
      </c>
      <c r="M1283" s="22">
        <v>42050</v>
      </c>
      <c r="N1283" s="18">
        <v>44.97</v>
      </c>
      <c r="O1283" s="26">
        <v>45750</v>
      </c>
      <c r="P1283" s="2" t="s">
        <v>805</v>
      </c>
      <c r="Q1283" s="2" t="s">
        <v>836</v>
      </c>
    </row>
    <row r="1284" spans="2:17" x14ac:dyDescent="0.25">
      <c r="B1284" s="2" t="s">
        <v>2088</v>
      </c>
      <c r="C1284" s="2" t="s">
        <v>160</v>
      </c>
      <c r="D1284" s="2" t="s">
        <v>161</v>
      </c>
      <c r="E1284" s="2" t="s">
        <v>155</v>
      </c>
      <c r="F1284" s="2" t="s">
        <v>535</v>
      </c>
      <c r="G1284" s="2" t="s">
        <v>425</v>
      </c>
      <c r="H1284" s="2" t="s">
        <v>426</v>
      </c>
      <c r="I1284" s="26">
        <v>45736</v>
      </c>
      <c r="J1284" s="2">
        <v>34</v>
      </c>
      <c r="K1284" s="2" t="s">
        <v>123</v>
      </c>
      <c r="L1284" s="22">
        <v>1450</v>
      </c>
      <c r="M1284" s="22">
        <v>49300</v>
      </c>
      <c r="N1284" s="18">
        <v>52.73</v>
      </c>
      <c r="O1284" s="26">
        <v>45756</v>
      </c>
      <c r="P1284" s="2" t="s">
        <v>805</v>
      </c>
      <c r="Q1284" s="2" t="s">
        <v>836</v>
      </c>
    </row>
    <row r="1285" spans="2:17" x14ac:dyDescent="0.25">
      <c r="B1285" s="2" t="s">
        <v>2089</v>
      </c>
      <c r="C1285" s="2" t="s">
        <v>160</v>
      </c>
      <c r="D1285" s="2" t="s">
        <v>161</v>
      </c>
      <c r="E1285" s="2" t="s">
        <v>155</v>
      </c>
      <c r="F1285" s="2" t="s">
        <v>535</v>
      </c>
      <c r="G1285" s="2" t="s">
        <v>425</v>
      </c>
      <c r="H1285" s="2" t="s">
        <v>426</v>
      </c>
      <c r="I1285" s="26">
        <v>45742</v>
      </c>
      <c r="J1285" s="2">
        <v>30</v>
      </c>
      <c r="K1285" s="2" t="s">
        <v>123</v>
      </c>
      <c r="L1285" s="22">
        <v>1450</v>
      </c>
      <c r="M1285" s="22">
        <v>43500</v>
      </c>
      <c r="N1285" s="18">
        <v>46.52</v>
      </c>
      <c r="O1285" s="26">
        <v>45762</v>
      </c>
      <c r="P1285" s="2" t="s">
        <v>805</v>
      </c>
      <c r="Q1285" s="2" t="s">
        <v>836</v>
      </c>
    </row>
    <row r="1286" spans="2:17" x14ac:dyDescent="0.25">
      <c r="B1286" s="2" t="s">
        <v>2090</v>
      </c>
      <c r="C1286" s="2" t="s">
        <v>160</v>
      </c>
      <c r="D1286" s="2" t="s">
        <v>161</v>
      </c>
      <c r="E1286" s="2" t="s">
        <v>155</v>
      </c>
      <c r="F1286" s="2" t="s">
        <v>537</v>
      </c>
      <c r="G1286" s="2" t="s">
        <v>430</v>
      </c>
      <c r="H1286" s="2" t="s">
        <v>431</v>
      </c>
      <c r="I1286" s="26">
        <v>45749</v>
      </c>
      <c r="J1286" s="2">
        <v>28</v>
      </c>
      <c r="K1286" s="2" t="s">
        <v>123</v>
      </c>
      <c r="L1286" s="22">
        <v>1550</v>
      </c>
      <c r="M1286" s="22">
        <v>43400</v>
      </c>
      <c r="N1286" s="18">
        <v>46.42</v>
      </c>
      <c r="O1286" s="26">
        <v>45769</v>
      </c>
      <c r="P1286" s="2" t="s">
        <v>805</v>
      </c>
      <c r="Q1286" s="2" t="s">
        <v>836</v>
      </c>
    </row>
    <row r="1287" spans="2:17" x14ac:dyDescent="0.25">
      <c r="B1287" s="2" t="s">
        <v>2091</v>
      </c>
      <c r="C1287" s="2" t="s">
        <v>160</v>
      </c>
      <c r="D1287" s="2" t="s">
        <v>161</v>
      </c>
      <c r="E1287" s="2" t="s">
        <v>155</v>
      </c>
      <c r="F1287" s="2" t="s">
        <v>535</v>
      </c>
      <c r="G1287" s="2" t="s">
        <v>425</v>
      </c>
      <c r="H1287" s="2" t="s">
        <v>426</v>
      </c>
      <c r="I1287" s="26">
        <v>45755</v>
      </c>
      <c r="J1287" s="2">
        <v>34</v>
      </c>
      <c r="K1287" s="2" t="s">
        <v>123</v>
      </c>
      <c r="L1287" s="22">
        <v>1450</v>
      </c>
      <c r="M1287" s="22">
        <v>49300</v>
      </c>
      <c r="N1287" s="18">
        <v>52.73</v>
      </c>
      <c r="O1287" s="26">
        <v>45775</v>
      </c>
      <c r="P1287" s="2" t="s">
        <v>805</v>
      </c>
      <c r="Q1287" s="2" t="s">
        <v>836</v>
      </c>
    </row>
    <row r="1288" spans="2:17" x14ac:dyDescent="0.25">
      <c r="B1288" s="2" t="s">
        <v>2092</v>
      </c>
      <c r="C1288" s="2" t="s">
        <v>160</v>
      </c>
      <c r="D1288" s="2" t="s">
        <v>161</v>
      </c>
      <c r="E1288" s="2" t="s">
        <v>155</v>
      </c>
      <c r="F1288" s="2" t="s">
        <v>535</v>
      </c>
      <c r="G1288" s="2" t="s">
        <v>425</v>
      </c>
      <c r="H1288" s="2" t="s">
        <v>426</v>
      </c>
      <c r="I1288" s="26">
        <v>45761</v>
      </c>
      <c r="J1288" s="2">
        <v>34</v>
      </c>
      <c r="K1288" s="2" t="s">
        <v>123</v>
      </c>
      <c r="L1288" s="22">
        <v>1450</v>
      </c>
      <c r="M1288" s="22">
        <v>49300</v>
      </c>
      <c r="N1288" s="18">
        <v>52.73</v>
      </c>
      <c r="O1288" s="26">
        <v>45781</v>
      </c>
      <c r="P1288" s="2" t="s">
        <v>805</v>
      </c>
      <c r="Q1288" s="2" t="s">
        <v>836</v>
      </c>
    </row>
    <row r="1289" spans="2:17" x14ac:dyDescent="0.25">
      <c r="B1289" s="2" t="s">
        <v>2093</v>
      </c>
      <c r="C1289" s="2" t="s">
        <v>160</v>
      </c>
      <c r="D1289" s="2" t="s">
        <v>161</v>
      </c>
      <c r="E1289" s="2" t="s">
        <v>155</v>
      </c>
      <c r="F1289" s="2" t="s">
        <v>535</v>
      </c>
      <c r="G1289" s="2" t="s">
        <v>425</v>
      </c>
      <c r="H1289" s="2" t="s">
        <v>426</v>
      </c>
      <c r="I1289" s="26">
        <v>45770</v>
      </c>
      <c r="J1289" s="2">
        <v>31</v>
      </c>
      <c r="K1289" s="2" t="s">
        <v>123</v>
      </c>
      <c r="L1289" s="22">
        <v>1450</v>
      </c>
      <c r="M1289" s="22">
        <v>44950</v>
      </c>
      <c r="N1289" s="18">
        <v>48.07</v>
      </c>
      <c r="O1289" s="26">
        <v>45790</v>
      </c>
      <c r="P1289" s="2" t="s">
        <v>805</v>
      </c>
      <c r="Q1289" s="2" t="s">
        <v>836</v>
      </c>
    </row>
    <row r="1290" spans="2:17" x14ac:dyDescent="0.25">
      <c r="B1290" s="2" t="s">
        <v>2094</v>
      </c>
      <c r="C1290" s="2" t="s">
        <v>160</v>
      </c>
      <c r="D1290" s="2" t="s">
        <v>161</v>
      </c>
      <c r="E1290" s="2" t="s">
        <v>155</v>
      </c>
      <c r="F1290" s="2" t="s">
        <v>535</v>
      </c>
      <c r="G1290" s="2" t="s">
        <v>425</v>
      </c>
      <c r="H1290" s="2" t="s">
        <v>426</v>
      </c>
      <c r="I1290" s="26">
        <v>45778</v>
      </c>
      <c r="J1290" s="2">
        <v>28</v>
      </c>
      <c r="K1290" s="2" t="s">
        <v>123</v>
      </c>
      <c r="L1290" s="22">
        <v>1450</v>
      </c>
      <c r="M1290" s="22">
        <v>40600</v>
      </c>
      <c r="N1290" s="18">
        <v>43.42</v>
      </c>
      <c r="O1290" s="26">
        <v>45798</v>
      </c>
      <c r="P1290" s="2" t="s">
        <v>805</v>
      </c>
      <c r="Q1290" s="2" t="s">
        <v>836</v>
      </c>
    </row>
    <row r="1291" spans="2:17" x14ac:dyDescent="0.25">
      <c r="B1291" s="2" t="s">
        <v>2095</v>
      </c>
      <c r="C1291" s="2" t="s">
        <v>160</v>
      </c>
      <c r="D1291" s="2" t="s">
        <v>161</v>
      </c>
      <c r="E1291" s="2" t="s">
        <v>155</v>
      </c>
      <c r="F1291" s="2" t="s">
        <v>535</v>
      </c>
      <c r="G1291" s="2" t="s">
        <v>425</v>
      </c>
      <c r="H1291" s="2" t="s">
        <v>426</v>
      </c>
      <c r="I1291" s="26">
        <v>45786</v>
      </c>
      <c r="J1291" s="2">
        <v>36</v>
      </c>
      <c r="K1291" s="2" t="s">
        <v>123</v>
      </c>
      <c r="L1291" s="22">
        <v>1450</v>
      </c>
      <c r="M1291" s="22">
        <v>52200</v>
      </c>
      <c r="N1291" s="18">
        <v>55.83</v>
      </c>
      <c r="O1291" s="26">
        <v>45806</v>
      </c>
      <c r="P1291" s="2" t="s">
        <v>805</v>
      </c>
      <c r="Q1291" s="2" t="s">
        <v>836</v>
      </c>
    </row>
    <row r="1292" spans="2:17" x14ac:dyDescent="0.25">
      <c r="B1292" s="2" t="s">
        <v>2096</v>
      </c>
      <c r="C1292" s="2" t="s">
        <v>160</v>
      </c>
      <c r="D1292" s="2" t="s">
        <v>161</v>
      </c>
      <c r="E1292" s="2" t="s">
        <v>155</v>
      </c>
      <c r="F1292" s="2" t="s">
        <v>535</v>
      </c>
      <c r="G1292" s="2" t="s">
        <v>425</v>
      </c>
      <c r="H1292" s="2" t="s">
        <v>426</v>
      </c>
      <c r="I1292" s="26">
        <v>45793</v>
      </c>
      <c r="J1292" s="2">
        <v>36</v>
      </c>
      <c r="K1292" s="2" t="s">
        <v>123</v>
      </c>
      <c r="L1292" s="22">
        <v>1450</v>
      </c>
      <c r="M1292" s="22">
        <v>52200</v>
      </c>
      <c r="N1292" s="18">
        <v>55.83</v>
      </c>
      <c r="O1292" s="26">
        <v>45813</v>
      </c>
      <c r="P1292" s="2" t="s">
        <v>805</v>
      </c>
      <c r="Q1292" s="2" t="s">
        <v>836</v>
      </c>
    </row>
    <row r="1293" spans="2:17" x14ac:dyDescent="0.25">
      <c r="B1293" s="2" t="s">
        <v>2097</v>
      </c>
      <c r="C1293" s="2" t="s">
        <v>160</v>
      </c>
      <c r="D1293" s="2" t="s">
        <v>161</v>
      </c>
      <c r="E1293" s="2" t="s">
        <v>155</v>
      </c>
      <c r="F1293" s="2" t="s">
        <v>535</v>
      </c>
      <c r="G1293" s="2" t="s">
        <v>425</v>
      </c>
      <c r="H1293" s="2" t="s">
        <v>426</v>
      </c>
      <c r="I1293" s="26">
        <v>45801</v>
      </c>
      <c r="J1293" s="2">
        <v>36</v>
      </c>
      <c r="K1293" s="2" t="s">
        <v>123</v>
      </c>
      <c r="L1293" s="22">
        <v>1450</v>
      </c>
      <c r="M1293" s="22">
        <v>52200</v>
      </c>
      <c r="N1293" s="18">
        <v>55.83</v>
      </c>
      <c r="O1293" s="26">
        <v>45821</v>
      </c>
      <c r="P1293" s="2" t="s">
        <v>805</v>
      </c>
      <c r="Q1293" s="2" t="s">
        <v>836</v>
      </c>
    </row>
    <row r="1294" spans="2:17" x14ac:dyDescent="0.25">
      <c r="B1294" s="2" t="s">
        <v>2098</v>
      </c>
      <c r="C1294" s="2" t="s">
        <v>160</v>
      </c>
      <c r="D1294" s="2" t="s">
        <v>161</v>
      </c>
      <c r="E1294" s="2" t="s">
        <v>155</v>
      </c>
      <c r="F1294" s="2" t="s">
        <v>535</v>
      </c>
      <c r="G1294" s="2" t="s">
        <v>425</v>
      </c>
      <c r="H1294" s="2" t="s">
        <v>426</v>
      </c>
      <c r="I1294" s="26">
        <v>45807</v>
      </c>
      <c r="J1294" s="2">
        <v>31</v>
      </c>
      <c r="K1294" s="2" t="s">
        <v>123</v>
      </c>
      <c r="L1294" s="22">
        <v>1450</v>
      </c>
      <c r="M1294" s="22">
        <v>44950</v>
      </c>
      <c r="N1294" s="18">
        <v>48.07</v>
      </c>
      <c r="O1294" s="26">
        <v>45827</v>
      </c>
      <c r="P1294" s="2" t="s">
        <v>805</v>
      </c>
      <c r="Q1294" s="2" t="s">
        <v>836</v>
      </c>
    </row>
    <row r="1295" spans="2:17" x14ac:dyDescent="0.25">
      <c r="B1295" s="2" t="s">
        <v>2099</v>
      </c>
      <c r="C1295" s="2" t="s">
        <v>160</v>
      </c>
      <c r="D1295" s="2" t="s">
        <v>161</v>
      </c>
      <c r="E1295" s="2" t="s">
        <v>155</v>
      </c>
      <c r="F1295" s="2" t="s">
        <v>535</v>
      </c>
      <c r="G1295" s="2" t="s">
        <v>425</v>
      </c>
      <c r="H1295" s="2" t="s">
        <v>426</v>
      </c>
      <c r="I1295" s="26">
        <v>45813</v>
      </c>
      <c r="J1295" s="2">
        <v>35</v>
      </c>
      <c r="K1295" s="2" t="s">
        <v>123</v>
      </c>
      <c r="L1295" s="22">
        <v>1450</v>
      </c>
      <c r="M1295" s="22">
        <v>50750</v>
      </c>
      <c r="N1295" s="18">
        <v>54.28</v>
      </c>
      <c r="O1295" s="26">
        <v>45833</v>
      </c>
      <c r="P1295" s="2" t="s">
        <v>805</v>
      </c>
      <c r="Q1295" s="2" t="s">
        <v>806</v>
      </c>
    </row>
    <row r="1296" spans="2:17" x14ac:dyDescent="0.25">
      <c r="B1296" s="2" t="s">
        <v>2100</v>
      </c>
      <c r="C1296" s="2" t="s">
        <v>160</v>
      </c>
      <c r="D1296" s="2" t="s">
        <v>161</v>
      </c>
      <c r="E1296" s="2" t="s">
        <v>155</v>
      </c>
      <c r="F1296" s="2" t="s">
        <v>535</v>
      </c>
      <c r="G1296" s="2" t="s">
        <v>425</v>
      </c>
      <c r="H1296" s="2" t="s">
        <v>426</v>
      </c>
      <c r="I1296" s="26">
        <v>45819</v>
      </c>
      <c r="J1296" s="2">
        <v>32</v>
      </c>
      <c r="K1296" s="2" t="s">
        <v>123</v>
      </c>
      <c r="L1296" s="22">
        <v>1450</v>
      </c>
      <c r="M1296" s="22">
        <v>46400</v>
      </c>
      <c r="N1296" s="18">
        <v>49.63</v>
      </c>
      <c r="O1296" s="26">
        <v>45839</v>
      </c>
      <c r="P1296" s="2" t="s">
        <v>805</v>
      </c>
      <c r="Q1296" s="2" t="s">
        <v>806</v>
      </c>
    </row>
    <row r="1297" spans="2:17" x14ac:dyDescent="0.25">
      <c r="B1297" s="2" t="s">
        <v>2101</v>
      </c>
      <c r="C1297" s="2" t="s">
        <v>160</v>
      </c>
      <c r="D1297" s="2" t="s">
        <v>161</v>
      </c>
      <c r="E1297" s="2" t="s">
        <v>155</v>
      </c>
      <c r="F1297" s="2" t="s">
        <v>535</v>
      </c>
      <c r="G1297" s="2" t="s">
        <v>425</v>
      </c>
      <c r="H1297" s="2" t="s">
        <v>426</v>
      </c>
      <c r="I1297" s="26">
        <v>45825</v>
      </c>
      <c r="J1297" s="2">
        <v>37</v>
      </c>
      <c r="K1297" s="2" t="s">
        <v>123</v>
      </c>
      <c r="L1297" s="22">
        <v>1450</v>
      </c>
      <c r="M1297" s="22">
        <v>53650</v>
      </c>
      <c r="N1297" s="18">
        <v>57.38</v>
      </c>
      <c r="O1297" s="26">
        <v>45845</v>
      </c>
      <c r="P1297" s="2" t="s">
        <v>805</v>
      </c>
      <c r="Q1297" s="2" t="s">
        <v>806</v>
      </c>
    </row>
    <row r="1298" spans="2:17" x14ac:dyDescent="0.25">
      <c r="B1298" s="2" t="s">
        <v>2102</v>
      </c>
      <c r="C1298" s="2" t="s">
        <v>160</v>
      </c>
      <c r="D1298" s="2" t="s">
        <v>161</v>
      </c>
      <c r="E1298" s="2" t="s">
        <v>155</v>
      </c>
      <c r="F1298" s="2" t="s">
        <v>535</v>
      </c>
      <c r="G1298" s="2" t="s">
        <v>425</v>
      </c>
      <c r="H1298" s="2" t="s">
        <v>426</v>
      </c>
      <c r="I1298" s="26">
        <v>45830</v>
      </c>
      <c r="J1298" s="2">
        <v>31</v>
      </c>
      <c r="K1298" s="2" t="s">
        <v>123</v>
      </c>
      <c r="L1298" s="22">
        <v>1450</v>
      </c>
      <c r="M1298" s="22">
        <v>44950</v>
      </c>
      <c r="N1298" s="18">
        <v>48.07</v>
      </c>
      <c r="O1298" s="26">
        <v>45850</v>
      </c>
      <c r="P1298" s="2" t="s">
        <v>805</v>
      </c>
      <c r="Q1298" s="2" t="s">
        <v>806</v>
      </c>
    </row>
    <row r="1299" spans="2:17" x14ac:dyDescent="0.25">
      <c r="B1299" s="2" t="s">
        <v>2103</v>
      </c>
      <c r="C1299" s="2" t="s">
        <v>160</v>
      </c>
      <c r="D1299" s="2" t="s">
        <v>161</v>
      </c>
      <c r="E1299" s="2" t="s">
        <v>155</v>
      </c>
      <c r="F1299" s="2" t="s">
        <v>535</v>
      </c>
      <c r="G1299" s="2" t="s">
        <v>425</v>
      </c>
      <c r="H1299" s="2" t="s">
        <v>426</v>
      </c>
      <c r="I1299" s="26">
        <v>45837</v>
      </c>
      <c r="J1299" s="2">
        <v>37</v>
      </c>
      <c r="K1299" s="2" t="s">
        <v>123</v>
      </c>
      <c r="L1299" s="22">
        <v>1450</v>
      </c>
      <c r="M1299" s="22">
        <v>53650</v>
      </c>
      <c r="N1299" s="18">
        <v>57.38</v>
      </c>
      <c r="O1299" s="26">
        <v>45857</v>
      </c>
      <c r="P1299" s="2" t="s">
        <v>805</v>
      </c>
      <c r="Q1299" s="2" t="s">
        <v>806</v>
      </c>
    </row>
    <row r="1300" spans="2:17" x14ac:dyDescent="0.25">
      <c r="B1300" s="2" t="s">
        <v>2104</v>
      </c>
      <c r="C1300" s="2" t="s">
        <v>162</v>
      </c>
      <c r="D1300" s="2" t="s">
        <v>163</v>
      </c>
      <c r="E1300" s="2" t="s">
        <v>164</v>
      </c>
      <c r="F1300" s="2" t="s">
        <v>535</v>
      </c>
      <c r="G1300" s="2" t="s">
        <v>435</v>
      </c>
      <c r="H1300" s="2" t="s">
        <v>436</v>
      </c>
      <c r="I1300" s="26">
        <v>45122</v>
      </c>
      <c r="J1300" s="2">
        <v>27</v>
      </c>
      <c r="K1300" s="2" t="s">
        <v>165</v>
      </c>
      <c r="L1300" s="22">
        <v>2100</v>
      </c>
      <c r="M1300" s="22">
        <v>56700</v>
      </c>
      <c r="N1300" s="18">
        <v>60.64</v>
      </c>
      <c r="O1300" s="26">
        <v>45362</v>
      </c>
      <c r="P1300" s="2" t="s">
        <v>2105</v>
      </c>
      <c r="Q1300" s="2" t="s">
        <v>806</v>
      </c>
    </row>
    <row r="1301" spans="2:17" x14ac:dyDescent="0.25">
      <c r="B1301" s="2" t="s">
        <v>2106</v>
      </c>
      <c r="C1301" s="2" t="s">
        <v>162</v>
      </c>
      <c r="D1301" s="2" t="s">
        <v>163</v>
      </c>
      <c r="E1301" s="2" t="s">
        <v>164</v>
      </c>
      <c r="F1301" s="2" t="s">
        <v>535</v>
      </c>
      <c r="G1301" s="2" t="s">
        <v>435</v>
      </c>
      <c r="H1301" s="2" t="s">
        <v>436</v>
      </c>
      <c r="I1301" s="26">
        <v>45158</v>
      </c>
      <c r="J1301" s="2">
        <v>26</v>
      </c>
      <c r="K1301" s="2" t="s">
        <v>165</v>
      </c>
      <c r="L1301" s="22">
        <v>2100</v>
      </c>
      <c r="M1301" s="22">
        <v>54600</v>
      </c>
      <c r="N1301" s="18">
        <v>58.4</v>
      </c>
      <c r="O1301" s="26">
        <v>45398</v>
      </c>
      <c r="P1301" s="2" t="s">
        <v>2105</v>
      </c>
      <c r="Q1301" s="2" t="s">
        <v>806</v>
      </c>
    </row>
    <row r="1302" spans="2:17" x14ac:dyDescent="0.25">
      <c r="B1302" s="2" t="s">
        <v>2107</v>
      </c>
      <c r="C1302" s="2" t="s">
        <v>162</v>
      </c>
      <c r="D1302" s="2" t="s">
        <v>163</v>
      </c>
      <c r="E1302" s="2" t="s">
        <v>164</v>
      </c>
      <c r="F1302" s="2" t="s">
        <v>535</v>
      </c>
      <c r="G1302" s="2" t="s">
        <v>435</v>
      </c>
      <c r="H1302" s="2" t="s">
        <v>436</v>
      </c>
      <c r="I1302" s="26">
        <v>45195</v>
      </c>
      <c r="J1302" s="2">
        <v>28</v>
      </c>
      <c r="K1302" s="2" t="s">
        <v>165</v>
      </c>
      <c r="L1302" s="22">
        <v>2100</v>
      </c>
      <c r="M1302" s="22">
        <v>58800</v>
      </c>
      <c r="N1302" s="18">
        <v>62.89</v>
      </c>
      <c r="O1302" s="26">
        <v>45435</v>
      </c>
      <c r="P1302" s="2" t="s">
        <v>2105</v>
      </c>
      <c r="Q1302" s="2" t="s">
        <v>814</v>
      </c>
    </row>
    <row r="1303" spans="2:17" x14ac:dyDescent="0.25">
      <c r="B1303" s="2" t="s">
        <v>2108</v>
      </c>
      <c r="C1303" s="2" t="s">
        <v>162</v>
      </c>
      <c r="D1303" s="2" t="s">
        <v>163</v>
      </c>
      <c r="E1303" s="2" t="s">
        <v>164</v>
      </c>
      <c r="F1303" s="2" t="s">
        <v>535</v>
      </c>
      <c r="G1303" s="2" t="s">
        <v>435</v>
      </c>
      <c r="H1303" s="2" t="s">
        <v>436</v>
      </c>
      <c r="I1303" s="26">
        <v>45234</v>
      </c>
      <c r="J1303" s="2">
        <v>27</v>
      </c>
      <c r="K1303" s="2" t="s">
        <v>165</v>
      </c>
      <c r="L1303" s="22">
        <v>2100</v>
      </c>
      <c r="M1303" s="22">
        <v>56700</v>
      </c>
      <c r="N1303" s="18">
        <v>60.64</v>
      </c>
      <c r="O1303" s="26">
        <v>45474</v>
      </c>
      <c r="P1303" s="2" t="s">
        <v>2105</v>
      </c>
      <c r="Q1303" s="2" t="s">
        <v>814</v>
      </c>
    </row>
    <row r="1304" spans="2:17" x14ac:dyDescent="0.25">
      <c r="B1304" s="2" t="s">
        <v>2109</v>
      </c>
      <c r="C1304" s="2" t="s">
        <v>162</v>
      </c>
      <c r="D1304" s="2" t="s">
        <v>163</v>
      </c>
      <c r="E1304" s="2" t="s">
        <v>164</v>
      </c>
      <c r="F1304" s="2" t="s">
        <v>535</v>
      </c>
      <c r="G1304" s="2" t="s">
        <v>435</v>
      </c>
      <c r="H1304" s="2" t="s">
        <v>436</v>
      </c>
      <c r="I1304" s="26">
        <v>45268</v>
      </c>
      <c r="J1304" s="2">
        <v>32</v>
      </c>
      <c r="K1304" s="2" t="s">
        <v>165</v>
      </c>
      <c r="L1304" s="22">
        <v>2100</v>
      </c>
      <c r="M1304" s="22">
        <v>67200</v>
      </c>
      <c r="N1304" s="18">
        <v>71.87</v>
      </c>
      <c r="O1304" s="26">
        <v>45508</v>
      </c>
      <c r="P1304" s="2" t="s">
        <v>2105</v>
      </c>
      <c r="Q1304" s="2" t="s">
        <v>825</v>
      </c>
    </row>
    <row r="1305" spans="2:17" x14ac:dyDescent="0.25">
      <c r="B1305" s="2" t="s">
        <v>2110</v>
      </c>
      <c r="C1305" s="2" t="s">
        <v>162</v>
      </c>
      <c r="D1305" s="2" t="s">
        <v>163</v>
      </c>
      <c r="E1305" s="2" t="s">
        <v>164</v>
      </c>
      <c r="F1305" s="2" t="s">
        <v>535</v>
      </c>
      <c r="G1305" s="2" t="s">
        <v>435</v>
      </c>
      <c r="H1305" s="2" t="s">
        <v>436</v>
      </c>
      <c r="I1305" s="26">
        <v>45305</v>
      </c>
      <c r="J1305" s="2">
        <v>21</v>
      </c>
      <c r="K1305" s="2" t="s">
        <v>165</v>
      </c>
      <c r="L1305" s="22">
        <v>2100</v>
      </c>
      <c r="M1305" s="22">
        <v>44100</v>
      </c>
      <c r="N1305" s="18">
        <v>47.17</v>
      </c>
      <c r="O1305" s="26">
        <v>45545</v>
      </c>
      <c r="P1305" s="2" t="s">
        <v>2105</v>
      </c>
      <c r="Q1305" s="2" t="s">
        <v>825</v>
      </c>
    </row>
    <row r="1306" spans="2:17" x14ac:dyDescent="0.25">
      <c r="B1306" s="2" t="s">
        <v>2111</v>
      </c>
      <c r="C1306" s="2" t="s">
        <v>162</v>
      </c>
      <c r="D1306" s="2" t="s">
        <v>163</v>
      </c>
      <c r="E1306" s="2" t="s">
        <v>164</v>
      </c>
      <c r="F1306" s="2" t="s">
        <v>535</v>
      </c>
      <c r="G1306" s="2" t="s">
        <v>435</v>
      </c>
      <c r="H1306" s="2" t="s">
        <v>436</v>
      </c>
      <c r="I1306" s="26">
        <v>45351</v>
      </c>
      <c r="J1306" s="2">
        <v>22</v>
      </c>
      <c r="K1306" s="2" t="s">
        <v>165</v>
      </c>
      <c r="L1306" s="22">
        <v>2100</v>
      </c>
      <c r="M1306" s="22">
        <v>46200</v>
      </c>
      <c r="N1306" s="18">
        <v>49.41</v>
      </c>
      <c r="O1306" s="26">
        <v>45591</v>
      </c>
      <c r="P1306" s="2" t="s">
        <v>2105</v>
      </c>
      <c r="Q1306" s="2" t="s">
        <v>825</v>
      </c>
    </row>
    <row r="1307" spans="2:17" x14ac:dyDescent="0.25">
      <c r="B1307" s="2" t="s">
        <v>2112</v>
      </c>
      <c r="C1307" s="2" t="s">
        <v>162</v>
      </c>
      <c r="D1307" s="2" t="s">
        <v>163</v>
      </c>
      <c r="E1307" s="2" t="s">
        <v>164</v>
      </c>
      <c r="F1307" s="2" t="s">
        <v>535</v>
      </c>
      <c r="G1307" s="2" t="s">
        <v>435</v>
      </c>
      <c r="H1307" s="2" t="s">
        <v>436</v>
      </c>
      <c r="I1307" s="26">
        <v>45393</v>
      </c>
      <c r="J1307" s="2">
        <v>26</v>
      </c>
      <c r="K1307" s="2" t="s">
        <v>165</v>
      </c>
      <c r="L1307" s="22">
        <v>2100</v>
      </c>
      <c r="M1307" s="22">
        <v>54600</v>
      </c>
      <c r="N1307" s="18">
        <v>58.4</v>
      </c>
      <c r="O1307" s="26">
        <v>45633</v>
      </c>
      <c r="P1307" s="2" t="s">
        <v>2105</v>
      </c>
      <c r="Q1307" s="2" t="s">
        <v>836</v>
      </c>
    </row>
    <row r="1308" spans="2:17" x14ac:dyDescent="0.25">
      <c r="B1308" s="2" t="s">
        <v>2113</v>
      </c>
      <c r="C1308" s="2" t="s">
        <v>162</v>
      </c>
      <c r="D1308" s="2" t="s">
        <v>163</v>
      </c>
      <c r="E1308" s="2" t="s">
        <v>164</v>
      </c>
      <c r="F1308" s="2" t="s">
        <v>535</v>
      </c>
      <c r="G1308" s="2" t="s">
        <v>435</v>
      </c>
      <c r="H1308" s="2" t="s">
        <v>436</v>
      </c>
      <c r="I1308" s="26">
        <v>45423</v>
      </c>
      <c r="J1308" s="2">
        <v>23</v>
      </c>
      <c r="K1308" s="2" t="s">
        <v>165</v>
      </c>
      <c r="L1308" s="22">
        <v>2100</v>
      </c>
      <c r="M1308" s="22">
        <v>48300</v>
      </c>
      <c r="N1308" s="18">
        <v>51.66</v>
      </c>
      <c r="O1308" s="26">
        <v>45663</v>
      </c>
      <c r="P1308" s="2" t="s">
        <v>2105</v>
      </c>
      <c r="Q1308" s="2" t="s">
        <v>836</v>
      </c>
    </row>
    <row r="1309" spans="2:17" x14ac:dyDescent="0.25">
      <c r="B1309" s="2" t="s">
        <v>2114</v>
      </c>
      <c r="C1309" s="2" t="s">
        <v>162</v>
      </c>
      <c r="D1309" s="2" t="s">
        <v>163</v>
      </c>
      <c r="E1309" s="2" t="s">
        <v>164</v>
      </c>
      <c r="F1309" s="2" t="s">
        <v>535</v>
      </c>
      <c r="G1309" s="2" t="s">
        <v>435</v>
      </c>
      <c r="H1309" s="2" t="s">
        <v>436</v>
      </c>
      <c r="I1309" s="26">
        <v>45460</v>
      </c>
      <c r="J1309" s="2">
        <v>26</v>
      </c>
      <c r="K1309" s="2" t="s">
        <v>165</v>
      </c>
      <c r="L1309" s="22">
        <v>2100</v>
      </c>
      <c r="M1309" s="22">
        <v>54600</v>
      </c>
      <c r="N1309" s="18">
        <v>58.4</v>
      </c>
      <c r="O1309" s="26">
        <v>45700</v>
      </c>
      <c r="P1309" s="2" t="s">
        <v>2105</v>
      </c>
      <c r="Q1309" s="2" t="s">
        <v>806</v>
      </c>
    </row>
    <row r="1310" spans="2:17" x14ac:dyDescent="0.25">
      <c r="B1310" s="2" t="s">
        <v>2115</v>
      </c>
      <c r="C1310" s="2" t="s">
        <v>162</v>
      </c>
      <c r="D1310" s="2" t="s">
        <v>163</v>
      </c>
      <c r="E1310" s="2" t="s">
        <v>164</v>
      </c>
      <c r="F1310" s="2" t="s">
        <v>535</v>
      </c>
      <c r="G1310" s="2" t="s">
        <v>435</v>
      </c>
      <c r="H1310" s="2" t="s">
        <v>436</v>
      </c>
      <c r="I1310" s="26">
        <v>45495</v>
      </c>
      <c r="J1310" s="2">
        <v>26</v>
      </c>
      <c r="K1310" s="2" t="s">
        <v>165</v>
      </c>
      <c r="L1310" s="22">
        <v>2100</v>
      </c>
      <c r="M1310" s="22">
        <v>54600</v>
      </c>
      <c r="N1310" s="18">
        <v>58.4</v>
      </c>
      <c r="O1310" s="26">
        <v>45735</v>
      </c>
      <c r="P1310" s="2" t="s">
        <v>2105</v>
      </c>
      <c r="Q1310" s="2" t="s">
        <v>806</v>
      </c>
    </row>
    <row r="1311" spans="2:17" x14ac:dyDescent="0.25">
      <c r="B1311" s="2" t="s">
        <v>2116</v>
      </c>
      <c r="C1311" s="2" t="s">
        <v>162</v>
      </c>
      <c r="D1311" s="2" t="s">
        <v>163</v>
      </c>
      <c r="E1311" s="2" t="s">
        <v>164</v>
      </c>
      <c r="F1311" s="2" t="s">
        <v>535</v>
      </c>
      <c r="G1311" s="2" t="s">
        <v>435</v>
      </c>
      <c r="H1311" s="2" t="s">
        <v>436</v>
      </c>
      <c r="I1311" s="26">
        <v>45526</v>
      </c>
      <c r="J1311" s="2">
        <v>27</v>
      </c>
      <c r="K1311" s="2" t="s">
        <v>165</v>
      </c>
      <c r="L1311" s="22">
        <v>2100</v>
      </c>
      <c r="M1311" s="22">
        <v>56700</v>
      </c>
      <c r="N1311" s="18">
        <v>60.64</v>
      </c>
      <c r="O1311" s="26">
        <v>45766</v>
      </c>
      <c r="P1311" s="2" t="s">
        <v>2105</v>
      </c>
      <c r="Q1311" s="2" t="s">
        <v>806</v>
      </c>
    </row>
    <row r="1312" spans="2:17" x14ac:dyDescent="0.25">
      <c r="B1312" s="2" t="s">
        <v>2117</v>
      </c>
      <c r="C1312" s="2" t="s">
        <v>162</v>
      </c>
      <c r="D1312" s="2" t="s">
        <v>163</v>
      </c>
      <c r="E1312" s="2" t="s">
        <v>164</v>
      </c>
      <c r="F1312" s="2" t="s">
        <v>535</v>
      </c>
      <c r="G1312" s="2" t="s">
        <v>435</v>
      </c>
      <c r="H1312" s="2" t="s">
        <v>436</v>
      </c>
      <c r="I1312" s="26">
        <v>45555</v>
      </c>
      <c r="J1312" s="2">
        <v>27</v>
      </c>
      <c r="K1312" s="2" t="s">
        <v>165</v>
      </c>
      <c r="L1312" s="22">
        <v>2100</v>
      </c>
      <c r="M1312" s="22">
        <v>56700</v>
      </c>
      <c r="N1312" s="18">
        <v>60.64</v>
      </c>
      <c r="O1312" s="26">
        <v>45795</v>
      </c>
      <c r="P1312" s="2" t="s">
        <v>2105</v>
      </c>
      <c r="Q1312" s="2" t="s">
        <v>814</v>
      </c>
    </row>
    <row r="1313" spans="2:17" x14ac:dyDescent="0.25">
      <c r="B1313" s="2" t="s">
        <v>2118</v>
      </c>
      <c r="C1313" s="2" t="s">
        <v>162</v>
      </c>
      <c r="D1313" s="2" t="s">
        <v>163</v>
      </c>
      <c r="E1313" s="2" t="s">
        <v>164</v>
      </c>
      <c r="F1313" s="2" t="s">
        <v>535</v>
      </c>
      <c r="G1313" s="2" t="s">
        <v>435</v>
      </c>
      <c r="H1313" s="2" t="s">
        <v>436</v>
      </c>
      <c r="I1313" s="26">
        <v>45584</v>
      </c>
      <c r="J1313" s="2">
        <v>22</v>
      </c>
      <c r="K1313" s="2" t="s">
        <v>165</v>
      </c>
      <c r="L1313" s="22">
        <v>2100</v>
      </c>
      <c r="M1313" s="22">
        <v>46200</v>
      </c>
      <c r="N1313" s="18">
        <v>49.41</v>
      </c>
      <c r="O1313" s="26">
        <v>45824</v>
      </c>
      <c r="P1313" s="2" t="s">
        <v>2105</v>
      </c>
      <c r="Q1313" s="2" t="s">
        <v>814</v>
      </c>
    </row>
    <row r="1314" spans="2:17" x14ac:dyDescent="0.25">
      <c r="B1314" s="2" t="s">
        <v>2119</v>
      </c>
      <c r="C1314" s="2" t="s">
        <v>162</v>
      </c>
      <c r="D1314" s="2" t="s">
        <v>163</v>
      </c>
      <c r="E1314" s="2" t="s">
        <v>164</v>
      </c>
      <c r="F1314" s="2" t="s">
        <v>535</v>
      </c>
      <c r="G1314" s="2" t="s">
        <v>435</v>
      </c>
      <c r="H1314" s="2" t="s">
        <v>436</v>
      </c>
      <c r="I1314" s="26">
        <v>45609</v>
      </c>
      <c r="J1314" s="2">
        <v>27</v>
      </c>
      <c r="K1314" s="2" t="s">
        <v>165</v>
      </c>
      <c r="L1314" s="22">
        <v>2100</v>
      </c>
      <c r="M1314" s="22">
        <v>56700</v>
      </c>
      <c r="N1314" s="18">
        <v>60.64</v>
      </c>
      <c r="O1314" s="26">
        <v>45849</v>
      </c>
      <c r="P1314" s="2" t="s">
        <v>2105</v>
      </c>
      <c r="Q1314" s="2" t="s">
        <v>814</v>
      </c>
    </row>
    <row r="1315" spans="2:17" x14ac:dyDescent="0.25">
      <c r="B1315" s="2" t="s">
        <v>2120</v>
      </c>
      <c r="C1315" s="2" t="s">
        <v>162</v>
      </c>
      <c r="D1315" s="2" t="s">
        <v>163</v>
      </c>
      <c r="E1315" s="2" t="s">
        <v>164</v>
      </c>
      <c r="F1315" s="2" t="s">
        <v>535</v>
      </c>
      <c r="G1315" s="2" t="s">
        <v>435</v>
      </c>
      <c r="H1315" s="2" t="s">
        <v>436</v>
      </c>
      <c r="I1315" s="26">
        <v>45642</v>
      </c>
      <c r="J1315" s="2">
        <v>30</v>
      </c>
      <c r="K1315" s="2" t="s">
        <v>165</v>
      </c>
      <c r="L1315" s="22">
        <v>2100</v>
      </c>
      <c r="M1315" s="22">
        <v>63000</v>
      </c>
      <c r="N1315" s="18">
        <v>67.38</v>
      </c>
      <c r="O1315" s="26">
        <v>45882</v>
      </c>
      <c r="P1315" s="2" t="s">
        <v>2105</v>
      </c>
      <c r="Q1315" s="2" t="s">
        <v>825</v>
      </c>
    </row>
    <row r="1316" spans="2:17" x14ac:dyDescent="0.25">
      <c r="B1316" s="2" t="s">
        <v>2121</v>
      </c>
      <c r="C1316" s="2" t="s">
        <v>162</v>
      </c>
      <c r="D1316" s="2" t="s">
        <v>163</v>
      </c>
      <c r="E1316" s="2" t="s">
        <v>164</v>
      </c>
      <c r="F1316" s="2" t="s">
        <v>535</v>
      </c>
      <c r="G1316" s="2" t="s">
        <v>435</v>
      </c>
      <c r="H1316" s="2" t="s">
        <v>436</v>
      </c>
      <c r="I1316" s="26">
        <v>45673</v>
      </c>
      <c r="J1316" s="2">
        <v>30</v>
      </c>
      <c r="K1316" s="2" t="s">
        <v>165</v>
      </c>
      <c r="L1316" s="22">
        <v>2100</v>
      </c>
      <c r="M1316" s="22">
        <v>63000</v>
      </c>
      <c r="N1316" s="18">
        <v>67.38</v>
      </c>
      <c r="O1316" s="26">
        <v>45913</v>
      </c>
      <c r="P1316" s="2" t="s">
        <v>2105</v>
      </c>
      <c r="Q1316" s="2" t="s">
        <v>825</v>
      </c>
    </row>
    <row r="1317" spans="2:17" x14ac:dyDescent="0.25">
      <c r="B1317" s="2" t="s">
        <v>2122</v>
      </c>
      <c r="C1317" s="2" t="s">
        <v>162</v>
      </c>
      <c r="D1317" s="2" t="s">
        <v>163</v>
      </c>
      <c r="E1317" s="2" t="s">
        <v>164</v>
      </c>
      <c r="F1317" s="2" t="s">
        <v>537</v>
      </c>
      <c r="G1317" s="2" t="s">
        <v>440</v>
      </c>
      <c r="H1317" s="2" t="s">
        <v>441</v>
      </c>
      <c r="I1317" s="26">
        <v>45713</v>
      </c>
      <c r="J1317" s="2">
        <v>24</v>
      </c>
      <c r="K1317" s="2" t="s">
        <v>165</v>
      </c>
      <c r="L1317" s="22">
        <v>2200</v>
      </c>
      <c r="M1317" s="22">
        <v>52800</v>
      </c>
      <c r="N1317" s="18">
        <v>56.47</v>
      </c>
      <c r="O1317" s="26">
        <v>45953</v>
      </c>
      <c r="P1317" s="2" t="s">
        <v>2105</v>
      </c>
      <c r="Q1317" s="2" t="s">
        <v>825</v>
      </c>
    </row>
    <row r="1318" spans="2:17" x14ac:dyDescent="0.25">
      <c r="B1318" s="2" t="s">
        <v>2123</v>
      </c>
      <c r="C1318" s="2" t="s">
        <v>162</v>
      </c>
      <c r="D1318" s="2" t="s">
        <v>163</v>
      </c>
      <c r="E1318" s="2" t="s">
        <v>164</v>
      </c>
      <c r="F1318" s="2" t="s">
        <v>535</v>
      </c>
      <c r="G1318" s="2" t="s">
        <v>435</v>
      </c>
      <c r="H1318" s="2" t="s">
        <v>436</v>
      </c>
      <c r="I1318" s="26">
        <v>45742</v>
      </c>
      <c r="J1318" s="2">
        <v>24</v>
      </c>
      <c r="K1318" s="2" t="s">
        <v>165</v>
      </c>
      <c r="L1318" s="22">
        <v>2100</v>
      </c>
      <c r="M1318" s="22">
        <v>50400</v>
      </c>
      <c r="N1318" s="18">
        <v>53.9</v>
      </c>
      <c r="O1318" s="26">
        <v>45982</v>
      </c>
      <c r="P1318" s="2" t="s">
        <v>2105</v>
      </c>
      <c r="Q1318" s="2" t="s">
        <v>836</v>
      </c>
    </row>
    <row r="1319" spans="2:17" x14ac:dyDescent="0.25">
      <c r="B1319" s="2" t="s">
        <v>2124</v>
      </c>
      <c r="C1319" s="2" t="s">
        <v>162</v>
      </c>
      <c r="D1319" s="2" t="s">
        <v>163</v>
      </c>
      <c r="E1319" s="2" t="s">
        <v>164</v>
      </c>
      <c r="F1319" s="2" t="s">
        <v>535</v>
      </c>
      <c r="G1319" s="2" t="s">
        <v>435</v>
      </c>
      <c r="H1319" s="2" t="s">
        <v>436</v>
      </c>
      <c r="I1319" s="26">
        <v>45771</v>
      </c>
      <c r="J1319" s="2">
        <v>27</v>
      </c>
      <c r="K1319" s="2" t="s">
        <v>165</v>
      </c>
      <c r="L1319" s="22">
        <v>2100</v>
      </c>
      <c r="M1319" s="22">
        <v>56700</v>
      </c>
      <c r="N1319" s="18">
        <v>60.64</v>
      </c>
      <c r="O1319" s="26">
        <v>46011</v>
      </c>
      <c r="P1319" s="2" t="s">
        <v>2105</v>
      </c>
      <c r="Q1319" s="2" t="s">
        <v>836</v>
      </c>
    </row>
    <row r="1320" spans="2:17" x14ac:dyDescent="0.25">
      <c r="B1320" s="2" t="s">
        <v>2125</v>
      </c>
      <c r="C1320" s="2" t="s">
        <v>162</v>
      </c>
      <c r="D1320" s="2" t="s">
        <v>163</v>
      </c>
      <c r="E1320" s="2" t="s">
        <v>164</v>
      </c>
      <c r="F1320" s="2" t="s">
        <v>535</v>
      </c>
      <c r="G1320" s="2" t="s">
        <v>435</v>
      </c>
      <c r="H1320" s="2" t="s">
        <v>436</v>
      </c>
      <c r="I1320" s="26">
        <v>45813</v>
      </c>
      <c r="J1320" s="2">
        <v>24</v>
      </c>
      <c r="K1320" s="2" t="s">
        <v>165</v>
      </c>
      <c r="L1320" s="22">
        <v>2100</v>
      </c>
      <c r="M1320" s="22">
        <v>50400</v>
      </c>
      <c r="N1320" s="18">
        <v>53.9</v>
      </c>
      <c r="O1320" s="26">
        <v>46053</v>
      </c>
      <c r="P1320" s="2" t="s">
        <v>2105</v>
      </c>
      <c r="Q1320" s="2" t="s">
        <v>806</v>
      </c>
    </row>
    <row r="1321" spans="2:17" x14ac:dyDescent="0.25">
      <c r="B1321" s="2" t="s">
        <v>2126</v>
      </c>
      <c r="C1321" s="2" t="s">
        <v>166</v>
      </c>
      <c r="D1321" s="2" t="s">
        <v>167</v>
      </c>
      <c r="E1321" s="2" t="s">
        <v>164</v>
      </c>
      <c r="F1321" s="2" t="s">
        <v>535</v>
      </c>
      <c r="G1321" s="2" t="s">
        <v>435</v>
      </c>
      <c r="H1321" s="2" t="s">
        <v>436</v>
      </c>
      <c r="I1321" s="26">
        <v>45129</v>
      </c>
      <c r="J1321" s="2">
        <v>21</v>
      </c>
      <c r="K1321" s="2" t="s">
        <v>165</v>
      </c>
      <c r="L1321" s="22">
        <v>1800</v>
      </c>
      <c r="M1321" s="22">
        <v>37800</v>
      </c>
      <c r="N1321" s="18">
        <v>40.43</v>
      </c>
      <c r="O1321" s="26">
        <v>45369</v>
      </c>
      <c r="P1321" s="2" t="s">
        <v>2105</v>
      </c>
      <c r="Q1321" s="2" t="s">
        <v>806</v>
      </c>
    </row>
    <row r="1322" spans="2:17" x14ac:dyDescent="0.25">
      <c r="B1322" s="2" t="s">
        <v>2127</v>
      </c>
      <c r="C1322" s="2" t="s">
        <v>166</v>
      </c>
      <c r="D1322" s="2" t="s">
        <v>167</v>
      </c>
      <c r="E1322" s="2" t="s">
        <v>164</v>
      </c>
      <c r="F1322" s="2" t="s">
        <v>535</v>
      </c>
      <c r="G1322" s="2" t="s">
        <v>435</v>
      </c>
      <c r="H1322" s="2" t="s">
        <v>436</v>
      </c>
      <c r="I1322" s="26">
        <v>45168</v>
      </c>
      <c r="J1322" s="2">
        <v>26</v>
      </c>
      <c r="K1322" s="2" t="s">
        <v>165</v>
      </c>
      <c r="L1322" s="22">
        <v>1800</v>
      </c>
      <c r="M1322" s="22">
        <v>46800</v>
      </c>
      <c r="N1322" s="18">
        <v>50.05</v>
      </c>
      <c r="O1322" s="26">
        <v>45408</v>
      </c>
      <c r="P1322" s="2" t="s">
        <v>2105</v>
      </c>
      <c r="Q1322" s="2" t="s">
        <v>806</v>
      </c>
    </row>
    <row r="1323" spans="2:17" x14ac:dyDescent="0.25">
      <c r="B1323" s="2" t="s">
        <v>2128</v>
      </c>
      <c r="C1323" s="2" t="s">
        <v>166</v>
      </c>
      <c r="D1323" s="2" t="s">
        <v>167</v>
      </c>
      <c r="E1323" s="2" t="s">
        <v>164</v>
      </c>
      <c r="F1323" s="2" t="s">
        <v>535</v>
      </c>
      <c r="G1323" s="2" t="s">
        <v>435</v>
      </c>
      <c r="H1323" s="2" t="s">
        <v>436</v>
      </c>
      <c r="I1323" s="26">
        <v>45208</v>
      </c>
      <c r="J1323" s="2">
        <v>25</v>
      </c>
      <c r="K1323" s="2" t="s">
        <v>165</v>
      </c>
      <c r="L1323" s="22">
        <v>1800</v>
      </c>
      <c r="M1323" s="22">
        <v>45000</v>
      </c>
      <c r="N1323" s="18">
        <v>48.13</v>
      </c>
      <c r="O1323" s="26">
        <v>45448</v>
      </c>
      <c r="P1323" s="2" t="s">
        <v>2105</v>
      </c>
      <c r="Q1323" s="2" t="s">
        <v>814</v>
      </c>
    </row>
    <row r="1324" spans="2:17" x14ac:dyDescent="0.25">
      <c r="B1324" s="2" t="s">
        <v>2129</v>
      </c>
      <c r="C1324" s="2" t="s">
        <v>166</v>
      </c>
      <c r="D1324" s="2" t="s">
        <v>167</v>
      </c>
      <c r="E1324" s="2" t="s">
        <v>164</v>
      </c>
      <c r="F1324" s="2" t="s">
        <v>535</v>
      </c>
      <c r="G1324" s="2" t="s">
        <v>435</v>
      </c>
      <c r="H1324" s="2" t="s">
        <v>436</v>
      </c>
      <c r="I1324" s="26">
        <v>45234</v>
      </c>
      <c r="J1324" s="2">
        <v>21</v>
      </c>
      <c r="K1324" s="2" t="s">
        <v>165</v>
      </c>
      <c r="L1324" s="22">
        <v>1800</v>
      </c>
      <c r="M1324" s="22">
        <v>37800</v>
      </c>
      <c r="N1324" s="18">
        <v>40.43</v>
      </c>
      <c r="O1324" s="26">
        <v>45474</v>
      </c>
      <c r="P1324" s="2" t="s">
        <v>2105</v>
      </c>
      <c r="Q1324" s="2" t="s">
        <v>814</v>
      </c>
    </row>
    <row r="1325" spans="2:17" x14ac:dyDescent="0.25">
      <c r="B1325" s="2" t="s">
        <v>2130</v>
      </c>
      <c r="C1325" s="2" t="s">
        <v>166</v>
      </c>
      <c r="D1325" s="2" t="s">
        <v>167</v>
      </c>
      <c r="E1325" s="2" t="s">
        <v>164</v>
      </c>
      <c r="F1325" s="2" t="s">
        <v>535</v>
      </c>
      <c r="G1325" s="2" t="s">
        <v>435</v>
      </c>
      <c r="H1325" s="2" t="s">
        <v>436</v>
      </c>
      <c r="I1325" s="26">
        <v>45271</v>
      </c>
      <c r="J1325" s="2">
        <v>31</v>
      </c>
      <c r="K1325" s="2" t="s">
        <v>165</v>
      </c>
      <c r="L1325" s="22">
        <v>1800</v>
      </c>
      <c r="M1325" s="22">
        <v>55800</v>
      </c>
      <c r="N1325" s="18">
        <v>59.68</v>
      </c>
      <c r="O1325" s="26">
        <v>45511</v>
      </c>
      <c r="P1325" s="2" t="s">
        <v>2105</v>
      </c>
      <c r="Q1325" s="2" t="s">
        <v>825</v>
      </c>
    </row>
    <row r="1326" spans="2:17" x14ac:dyDescent="0.25">
      <c r="B1326" s="2" t="s">
        <v>2131</v>
      </c>
      <c r="C1326" s="2" t="s">
        <v>166</v>
      </c>
      <c r="D1326" s="2" t="s">
        <v>167</v>
      </c>
      <c r="E1326" s="2" t="s">
        <v>164</v>
      </c>
      <c r="F1326" s="2" t="s">
        <v>535</v>
      </c>
      <c r="G1326" s="2" t="s">
        <v>435</v>
      </c>
      <c r="H1326" s="2" t="s">
        <v>436</v>
      </c>
      <c r="I1326" s="26">
        <v>45314</v>
      </c>
      <c r="J1326" s="2">
        <v>21</v>
      </c>
      <c r="K1326" s="2" t="s">
        <v>165</v>
      </c>
      <c r="L1326" s="22">
        <v>1800</v>
      </c>
      <c r="M1326" s="22">
        <v>37800</v>
      </c>
      <c r="N1326" s="18">
        <v>40.43</v>
      </c>
      <c r="O1326" s="26">
        <v>45554</v>
      </c>
      <c r="P1326" s="2" t="s">
        <v>2105</v>
      </c>
      <c r="Q1326" s="2" t="s">
        <v>825</v>
      </c>
    </row>
    <row r="1327" spans="2:17" x14ac:dyDescent="0.25">
      <c r="B1327" s="2" t="s">
        <v>2132</v>
      </c>
      <c r="C1327" s="2" t="s">
        <v>166</v>
      </c>
      <c r="D1327" s="2" t="s">
        <v>167</v>
      </c>
      <c r="E1327" s="2" t="s">
        <v>164</v>
      </c>
      <c r="F1327" s="2" t="s">
        <v>535</v>
      </c>
      <c r="G1327" s="2" t="s">
        <v>435</v>
      </c>
      <c r="H1327" s="2" t="s">
        <v>436</v>
      </c>
      <c r="I1327" s="26">
        <v>45350</v>
      </c>
      <c r="J1327" s="2">
        <v>23</v>
      </c>
      <c r="K1327" s="2" t="s">
        <v>165</v>
      </c>
      <c r="L1327" s="22">
        <v>1800</v>
      </c>
      <c r="M1327" s="22">
        <v>41400</v>
      </c>
      <c r="N1327" s="18">
        <v>44.28</v>
      </c>
      <c r="O1327" s="26">
        <v>45590</v>
      </c>
      <c r="P1327" s="2" t="s">
        <v>2105</v>
      </c>
      <c r="Q1327" s="2" t="s">
        <v>825</v>
      </c>
    </row>
    <row r="1328" spans="2:17" x14ac:dyDescent="0.25">
      <c r="B1328" s="2" t="s">
        <v>2133</v>
      </c>
      <c r="C1328" s="2" t="s">
        <v>166</v>
      </c>
      <c r="D1328" s="2" t="s">
        <v>167</v>
      </c>
      <c r="E1328" s="2" t="s">
        <v>164</v>
      </c>
      <c r="F1328" s="2" t="s">
        <v>535</v>
      </c>
      <c r="G1328" s="2" t="s">
        <v>435</v>
      </c>
      <c r="H1328" s="2" t="s">
        <v>436</v>
      </c>
      <c r="I1328" s="26">
        <v>45378</v>
      </c>
      <c r="J1328" s="2">
        <v>20</v>
      </c>
      <c r="K1328" s="2" t="s">
        <v>165</v>
      </c>
      <c r="L1328" s="22">
        <v>1800</v>
      </c>
      <c r="M1328" s="22">
        <v>36000</v>
      </c>
      <c r="N1328" s="18">
        <v>38.5</v>
      </c>
      <c r="O1328" s="26">
        <v>45618</v>
      </c>
      <c r="P1328" s="2" t="s">
        <v>2105</v>
      </c>
      <c r="Q1328" s="2" t="s">
        <v>836</v>
      </c>
    </row>
    <row r="1329" spans="2:17" x14ac:dyDescent="0.25">
      <c r="B1329" s="2" t="s">
        <v>2134</v>
      </c>
      <c r="C1329" s="2" t="s">
        <v>166</v>
      </c>
      <c r="D1329" s="2" t="s">
        <v>167</v>
      </c>
      <c r="E1329" s="2" t="s">
        <v>164</v>
      </c>
      <c r="F1329" s="2" t="s">
        <v>535</v>
      </c>
      <c r="G1329" s="2" t="s">
        <v>435</v>
      </c>
      <c r="H1329" s="2" t="s">
        <v>436</v>
      </c>
      <c r="I1329" s="26">
        <v>45406</v>
      </c>
      <c r="J1329" s="2">
        <v>26</v>
      </c>
      <c r="K1329" s="2" t="s">
        <v>165</v>
      </c>
      <c r="L1329" s="22">
        <v>1800</v>
      </c>
      <c r="M1329" s="22">
        <v>46800</v>
      </c>
      <c r="N1329" s="18">
        <v>50.05</v>
      </c>
      <c r="O1329" s="26">
        <v>45646</v>
      </c>
      <c r="P1329" s="2" t="s">
        <v>2105</v>
      </c>
      <c r="Q1329" s="2" t="s">
        <v>836</v>
      </c>
    </row>
    <row r="1330" spans="2:17" x14ac:dyDescent="0.25">
      <c r="B1330" s="2" t="s">
        <v>2135</v>
      </c>
      <c r="C1330" s="2" t="s">
        <v>166</v>
      </c>
      <c r="D1330" s="2" t="s">
        <v>167</v>
      </c>
      <c r="E1330" s="2" t="s">
        <v>164</v>
      </c>
      <c r="F1330" s="2" t="s">
        <v>535</v>
      </c>
      <c r="G1330" s="2" t="s">
        <v>435</v>
      </c>
      <c r="H1330" s="2" t="s">
        <v>436</v>
      </c>
      <c r="I1330" s="26">
        <v>45445</v>
      </c>
      <c r="J1330" s="2">
        <v>26</v>
      </c>
      <c r="K1330" s="2" t="s">
        <v>165</v>
      </c>
      <c r="L1330" s="22">
        <v>1800</v>
      </c>
      <c r="M1330" s="22">
        <v>46800</v>
      </c>
      <c r="N1330" s="18">
        <v>50.05</v>
      </c>
      <c r="O1330" s="26">
        <v>45685</v>
      </c>
      <c r="P1330" s="2" t="s">
        <v>2105</v>
      </c>
      <c r="Q1330" s="2" t="s">
        <v>806</v>
      </c>
    </row>
    <row r="1331" spans="2:17" x14ac:dyDescent="0.25">
      <c r="B1331" s="2" t="s">
        <v>2136</v>
      </c>
      <c r="C1331" s="2" t="s">
        <v>166</v>
      </c>
      <c r="D1331" s="2" t="s">
        <v>167</v>
      </c>
      <c r="E1331" s="2" t="s">
        <v>164</v>
      </c>
      <c r="F1331" s="2" t="s">
        <v>535</v>
      </c>
      <c r="G1331" s="2" t="s">
        <v>435</v>
      </c>
      <c r="H1331" s="2" t="s">
        <v>436</v>
      </c>
      <c r="I1331" s="26">
        <v>45484</v>
      </c>
      <c r="J1331" s="2">
        <v>28</v>
      </c>
      <c r="K1331" s="2" t="s">
        <v>165</v>
      </c>
      <c r="L1331" s="22">
        <v>1800</v>
      </c>
      <c r="M1331" s="22">
        <v>50400</v>
      </c>
      <c r="N1331" s="18">
        <v>53.9</v>
      </c>
      <c r="O1331" s="26">
        <v>45724</v>
      </c>
      <c r="P1331" s="2" t="s">
        <v>2105</v>
      </c>
      <c r="Q1331" s="2" t="s">
        <v>806</v>
      </c>
    </row>
    <row r="1332" spans="2:17" x14ac:dyDescent="0.25">
      <c r="B1332" s="2" t="s">
        <v>2137</v>
      </c>
      <c r="C1332" s="2" t="s">
        <v>166</v>
      </c>
      <c r="D1332" s="2" t="s">
        <v>167</v>
      </c>
      <c r="E1332" s="2" t="s">
        <v>164</v>
      </c>
      <c r="F1332" s="2" t="s">
        <v>535</v>
      </c>
      <c r="G1332" s="2" t="s">
        <v>435</v>
      </c>
      <c r="H1332" s="2" t="s">
        <v>436</v>
      </c>
      <c r="I1332" s="26">
        <v>45519</v>
      </c>
      <c r="J1332" s="2">
        <v>26</v>
      </c>
      <c r="K1332" s="2" t="s">
        <v>165</v>
      </c>
      <c r="L1332" s="22">
        <v>1800</v>
      </c>
      <c r="M1332" s="22">
        <v>46800</v>
      </c>
      <c r="N1332" s="18">
        <v>50.05</v>
      </c>
      <c r="O1332" s="26">
        <v>45759</v>
      </c>
      <c r="P1332" s="2" t="s">
        <v>2105</v>
      </c>
      <c r="Q1332" s="2" t="s">
        <v>806</v>
      </c>
    </row>
    <row r="1333" spans="2:17" x14ac:dyDescent="0.25">
      <c r="B1333" s="2" t="s">
        <v>2138</v>
      </c>
      <c r="C1333" s="2" t="s">
        <v>166</v>
      </c>
      <c r="D1333" s="2" t="s">
        <v>167</v>
      </c>
      <c r="E1333" s="2" t="s">
        <v>164</v>
      </c>
      <c r="F1333" s="2" t="s">
        <v>535</v>
      </c>
      <c r="G1333" s="2" t="s">
        <v>435</v>
      </c>
      <c r="H1333" s="2" t="s">
        <v>436</v>
      </c>
      <c r="I1333" s="26">
        <v>45548</v>
      </c>
      <c r="J1333" s="2">
        <v>27</v>
      </c>
      <c r="K1333" s="2" t="s">
        <v>165</v>
      </c>
      <c r="L1333" s="22">
        <v>1800</v>
      </c>
      <c r="M1333" s="22">
        <v>48600</v>
      </c>
      <c r="N1333" s="18">
        <v>51.98</v>
      </c>
      <c r="O1333" s="26">
        <v>45788</v>
      </c>
      <c r="P1333" s="2" t="s">
        <v>2105</v>
      </c>
      <c r="Q1333" s="2" t="s">
        <v>814</v>
      </c>
    </row>
    <row r="1334" spans="2:17" x14ac:dyDescent="0.25">
      <c r="B1334" s="2" t="s">
        <v>2139</v>
      </c>
      <c r="C1334" s="2" t="s">
        <v>166</v>
      </c>
      <c r="D1334" s="2" t="s">
        <v>167</v>
      </c>
      <c r="E1334" s="2" t="s">
        <v>164</v>
      </c>
      <c r="F1334" s="2" t="s">
        <v>535</v>
      </c>
      <c r="G1334" s="2" t="s">
        <v>435</v>
      </c>
      <c r="H1334" s="2" t="s">
        <v>436</v>
      </c>
      <c r="I1334" s="26">
        <v>45575</v>
      </c>
      <c r="J1334" s="2">
        <v>22</v>
      </c>
      <c r="K1334" s="2" t="s">
        <v>165</v>
      </c>
      <c r="L1334" s="22">
        <v>1800</v>
      </c>
      <c r="M1334" s="22">
        <v>39600</v>
      </c>
      <c r="N1334" s="18">
        <v>42.35</v>
      </c>
      <c r="O1334" s="26">
        <v>45815</v>
      </c>
      <c r="P1334" s="2" t="s">
        <v>2105</v>
      </c>
      <c r="Q1334" s="2" t="s">
        <v>814</v>
      </c>
    </row>
    <row r="1335" spans="2:17" x14ac:dyDescent="0.25">
      <c r="B1335" s="2" t="s">
        <v>2140</v>
      </c>
      <c r="C1335" s="2" t="s">
        <v>166</v>
      </c>
      <c r="D1335" s="2" t="s">
        <v>167</v>
      </c>
      <c r="E1335" s="2" t="s">
        <v>164</v>
      </c>
      <c r="F1335" s="2" t="s">
        <v>535</v>
      </c>
      <c r="G1335" s="2" t="s">
        <v>435</v>
      </c>
      <c r="H1335" s="2" t="s">
        <v>436</v>
      </c>
      <c r="I1335" s="26">
        <v>45599</v>
      </c>
      <c r="J1335" s="2">
        <v>25</v>
      </c>
      <c r="K1335" s="2" t="s">
        <v>165</v>
      </c>
      <c r="L1335" s="22">
        <v>1800</v>
      </c>
      <c r="M1335" s="22">
        <v>45000</v>
      </c>
      <c r="N1335" s="18">
        <v>48.13</v>
      </c>
      <c r="O1335" s="26">
        <v>45839</v>
      </c>
      <c r="P1335" s="2" t="s">
        <v>2105</v>
      </c>
      <c r="Q1335" s="2" t="s">
        <v>814</v>
      </c>
    </row>
    <row r="1336" spans="2:17" x14ac:dyDescent="0.25">
      <c r="B1336" s="2" t="s">
        <v>2141</v>
      </c>
      <c r="C1336" s="2" t="s">
        <v>166</v>
      </c>
      <c r="D1336" s="2" t="s">
        <v>167</v>
      </c>
      <c r="E1336" s="2" t="s">
        <v>164</v>
      </c>
      <c r="F1336" s="2" t="s">
        <v>535</v>
      </c>
      <c r="G1336" s="2" t="s">
        <v>435</v>
      </c>
      <c r="H1336" s="2" t="s">
        <v>436</v>
      </c>
      <c r="I1336" s="26">
        <v>45637</v>
      </c>
      <c r="J1336" s="2">
        <v>30</v>
      </c>
      <c r="K1336" s="2" t="s">
        <v>165</v>
      </c>
      <c r="L1336" s="22">
        <v>1800</v>
      </c>
      <c r="M1336" s="22">
        <v>54000</v>
      </c>
      <c r="N1336" s="18">
        <v>57.75</v>
      </c>
      <c r="O1336" s="26">
        <v>45877</v>
      </c>
      <c r="P1336" s="2" t="s">
        <v>2105</v>
      </c>
      <c r="Q1336" s="2" t="s">
        <v>825</v>
      </c>
    </row>
    <row r="1337" spans="2:17" x14ac:dyDescent="0.25">
      <c r="B1337" s="2" t="s">
        <v>2142</v>
      </c>
      <c r="C1337" s="2" t="s">
        <v>166</v>
      </c>
      <c r="D1337" s="2" t="s">
        <v>167</v>
      </c>
      <c r="E1337" s="2" t="s">
        <v>164</v>
      </c>
      <c r="F1337" s="2" t="s">
        <v>535</v>
      </c>
      <c r="G1337" s="2" t="s">
        <v>435</v>
      </c>
      <c r="H1337" s="2" t="s">
        <v>436</v>
      </c>
      <c r="I1337" s="26">
        <v>45669</v>
      </c>
      <c r="J1337" s="2">
        <v>26</v>
      </c>
      <c r="K1337" s="2" t="s">
        <v>165</v>
      </c>
      <c r="L1337" s="22">
        <v>1800</v>
      </c>
      <c r="M1337" s="22">
        <v>46800</v>
      </c>
      <c r="N1337" s="18">
        <v>50.05</v>
      </c>
      <c r="O1337" s="26">
        <v>45909</v>
      </c>
      <c r="P1337" s="2" t="s">
        <v>2105</v>
      </c>
      <c r="Q1337" s="2" t="s">
        <v>825</v>
      </c>
    </row>
    <row r="1338" spans="2:17" x14ac:dyDescent="0.25">
      <c r="B1338" s="2" t="s">
        <v>2143</v>
      </c>
      <c r="C1338" s="2" t="s">
        <v>166</v>
      </c>
      <c r="D1338" s="2" t="s">
        <v>167</v>
      </c>
      <c r="E1338" s="2" t="s">
        <v>164</v>
      </c>
      <c r="F1338" s="2" t="s">
        <v>535</v>
      </c>
      <c r="G1338" s="2" t="s">
        <v>435</v>
      </c>
      <c r="H1338" s="2" t="s">
        <v>436</v>
      </c>
      <c r="I1338" s="26">
        <v>45704</v>
      </c>
      <c r="J1338" s="2">
        <v>23</v>
      </c>
      <c r="K1338" s="2" t="s">
        <v>165</v>
      </c>
      <c r="L1338" s="22">
        <v>1800</v>
      </c>
      <c r="M1338" s="22">
        <v>41400</v>
      </c>
      <c r="N1338" s="18">
        <v>44.28</v>
      </c>
      <c r="O1338" s="26">
        <v>45944</v>
      </c>
      <c r="P1338" s="2" t="s">
        <v>2105</v>
      </c>
      <c r="Q1338" s="2" t="s">
        <v>825</v>
      </c>
    </row>
    <row r="1339" spans="2:17" x14ac:dyDescent="0.25">
      <c r="B1339" s="2" t="s">
        <v>2144</v>
      </c>
      <c r="C1339" s="2" t="s">
        <v>166</v>
      </c>
      <c r="D1339" s="2" t="s">
        <v>167</v>
      </c>
      <c r="E1339" s="2" t="s">
        <v>164</v>
      </c>
      <c r="F1339" s="2" t="s">
        <v>535</v>
      </c>
      <c r="G1339" s="2" t="s">
        <v>435</v>
      </c>
      <c r="H1339" s="2" t="s">
        <v>436</v>
      </c>
      <c r="I1339" s="26">
        <v>45745</v>
      </c>
      <c r="J1339" s="2">
        <v>27</v>
      </c>
      <c r="K1339" s="2" t="s">
        <v>165</v>
      </c>
      <c r="L1339" s="22">
        <v>1800</v>
      </c>
      <c r="M1339" s="22">
        <v>48600</v>
      </c>
      <c r="N1339" s="18">
        <v>51.98</v>
      </c>
      <c r="O1339" s="26">
        <v>45985</v>
      </c>
      <c r="P1339" s="2" t="s">
        <v>2105</v>
      </c>
      <c r="Q1339" s="2" t="s">
        <v>836</v>
      </c>
    </row>
    <row r="1340" spans="2:17" x14ac:dyDescent="0.25">
      <c r="B1340" s="2" t="s">
        <v>2145</v>
      </c>
      <c r="C1340" s="2" t="s">
        <v>166</v>
      </c>
      <c r="D1340" s="2" t="s">
        <v>167</v>
      </c>
      <c r="E1340" s="2" t="s">
        <v>164</v>
      </c>
      <c r="F1340" s="2" t="s">
        <v>535</v>
      </c>
      <c r="G1340" s="2" t="s">
        <v>435</v>
      </c>
      <c r="H1340" s="2" t="s">
        <v>436</v>
      </c>
      <c r="I1340" s="26">
        <v>45782</v>
      </c>
      <c r="J1340" s="2">
        <v>30</v>
      </c>
      <c r="K1340" s="2" t="s">
        <v>165</v>
      </c>
      <c r="L1340" s="22">
        <v>1800</v>
      </c>
      <c r="M1340" s="22">
        <v>54000</v>
      </c>
      <c r="N1340" s="18">
        <v>57.75</v>
      </c>
      <c r="O1340" s="26">
        <v>46022</v>
      </c>
      <c r="P1340" s="2" t="s">
        <v>2105</v>
      </c>
      <c r="Q1340" s="2" t="s">
        <v>836</v>
      </c>
    </row>
    <row r="1341" spans="2:17" x14ac:dyDescent="0.25">
      <c r="B1341" s="2" t="s">
        <v>2146</v>
      </c>
      <c r="C1341" s="2" t="s">
        <v>166</v>
      </c>
      <c r="D1341" s="2" t="s">
        <v>167</v>
      </c>
      <c r="E1341" s="2" t="s">
        <v>164</v>
      </c>
      <c r="F1341" s="2" t="s">
        <v>535</v>
      </c>
      <c r="G1341" s="2" t="s">
        <v>435</v>
      </c>
      <c r="H1341" s="2" t="s">
        <v>436</v>
      </c>
      <c r="I1341" s="26">
        <v>45821</v>
      </c>
      <c r="J1341" s="2">
        <v>23</v>
      </c>
      <c r="K1341" s="2" t="s">
        <v>165</v>
      </c>
      <c r="L1341" s="22">
        <v>1800</v>
      </c>
      <c r="M1341" s="22">
        <v>41400</v>
      </c>
      <c r="N1341" s="18">
        <v>44.28</v>
      </c>
      <c r="O1341" s="26">
        <v>46061</v>
      </c>
      <c r="P1341" s="2" t="s">
        <v>2105</v>
      </c>
      <c r="Q1341" s="2" t="s">
        <v>806</v>
      </c>
    </row>
    <row r="1342" spans="2:17" x14ac:dyDescent="0.25">
      <c r="B1342" s="2" t="s">
        <v>2147</v>
      </c>
      <c r="C1342" s="2" t="s">
        <v>168</v>
      </c>
      <c r="D1342" s="2" t="s">
        <v>169</v>
      </c>
      <c r="E1342" s="2" t="s">
        <v>164</v>
      </c>
      <c r="F1342" s="2" t="s">
        <v>535</v>
      </c>
      <c r="G1342" s="2" t="s">
        <v>435</v>
      </c>
      <c r="H1342" s="2" t="s">
        <v>436</v>
      </c>
      <c r="I1342" s="26">
        <v>45110</v>
      </c>
      <c r="J1342" s="2">
        <v>27</v>
      </c>
      <c r="K1342" s="2" t="s">
        <v>165</v>
      </c>
      <c r="L1342" s="22">
        <v>1750</v>
      </c>
      <c r="M1342" s="22">
        <v>47250</v>
      </c>
      <c r="N1342" s="18">
        <v>50.53</v>
      </c>
      <c r="O1342" s="26">
        <v>45350</v>
      </c>
      <c r="P1342" s="2" t="s">
        <v>2105</v>
      </c>
      <c r="Q1342" s="2" t="s">
        <v>806</v>
      </c>
    </row>
    <row r="1343" spans="2:17" x14ac:dyDescent="0.25">
      <c r="B1343" s="2" t="s">
        <v>2148</v>
      </c>
      <c r="C1343" s="2" t="s">
        <v>168</v>
      </c>
      <c r="D1343" s="2" t="s">
        <v>169</v>
      </c>
      <c r="E1343" s="2" t="s">
        <v>164</v>
      </c>
      <c r="F1343" s="2" t="s">
        <v>535</v>
      </c>
      <c r="G1343" s="2" t="s">
        <v>435</v>
      </c>
      <c r="H1343" s="2" t="s">
        <v>436</v>
      </c>
      <c r="I1343" s="26">
        <v>45142</v>
      </c>
      <c r="J1343" s="2">
        <v>23</v>
      </c>
      <c r="K1343" s="2" t="s">
        <v>165</v>
      </c>
      <c r="L1343" s="22">
        <v>1750</v>
      </c>
      <c r="M1343" s="22">
        <v>40250</v>
      </c>
      <c r="N1343" s="18">
        <v>43.05</v>
      </c>
      <c r="O1343" s="26">
        <v>45382</v>
      </c>
      <c r="P1343" s="2" t="s">
        <v>2105</v>
      </c>
      <c r="Q1343" s="2" t="s">
        <v>806</v>
      </c>
    </row>
    <row r="1344" spans="2:17" x14ac:dyDescent="0.25">
      <c r="B1344" s="2" t="s">
        <v>2149</v>
      </c>
      <c r="C1344" s="2" t="s">
        <v>168</v>
      </c>
      <c r="D1344" s="2" t="s">
        <v>169</v>
      </c>
      <c r="E1344" s="2" t="s">
        <v>164</v>
      </c>
      <c r="F1344" s="2" t="s">
        <v>535</v>
      </c>
      <c r="G1344" s="2" t="s">
        <v>435</v>
      </c>
      <c r="H1344" s="2" t="s">
        <v>436</v>
      </c>
      <c r="I1344" s="26">
        <v>45177</v>
      </c>
      <c r="J1344" s="2">
        <v>32</v>
      </c>
      <c r="K1344" s="2" t="s">
        <v>165</v>
      </c>
      <c r="L1344" s="22">
        <v>1750</v>
      </c>
      <c r="M1344" s="22">
        <v>56000</v>
      </c>
      <c r="N1344" s="18">
        <v>59.89</v>
      </c>
      <c r="O1344" s="26">
        <v>45417</v>
      </c>
      <c r="P1344" s="2" t="s">
        <v>2105</v>
      </c>
      <c r="Q1344" s="2" t="s">
        <v>814</v>
      </c>
    </row>
    <row r="1345" spans="2:17" x14ac:dyDescent="0.25">
      <c r="B1345" s="2" t="s">
        <v>2150</v>
      </c>
      <c r="C1345" s="2" t="s">
        <v>168</v>
      </c>
      <c r="D1345" s="2" t="s">
        <v>169</v>
      </c>
      <c r="E1345" s="2" t="s">
        <v>164</v>
      </c>
      <c r="F1345" s="2" t="s">
        <v>535</v>
      </c>
      <c r="G1345" s="2" t="s">
        <v>435</v>
      </c>
      <c r="H1345" s="2" t="s">
        <v>436</v>
      </c>
      <c r="I1345" s="26">
        <v>45219</v>
      </c>
      <c r="J1345" s="2">
        <v>24</v>
      </c>
      <c r="K1345" s="2" t="s">
        <v>165</v>
      </c>
      <c r="L1345" s="22">
        <v>1750</v>
      </c>
      <c r="M1345" s="22">
        <v>42000</v>
      </c>
      <c r="N1345" s="18">
        <v>44.92</v>
      </c>
      <c r="O1345" s="26">
        <v>45459</v>
      </c>
      <c r="P1345" s="2" t="s">
        <v>2105</v>
      </c>
      <c r="Q1345" s="2" t="s">
        <v>814</v>
      </c>
    </row>
    <row r="1346" spans="2:17" x14ac:dyDescent="0.25">
      <c r="B1346" s="2" t="s">
        <v>2151</v>
      </c>
      <c r="C1346" s="2" t="s">
        <v>168</v>
      </c>
      <c r="D1346" s="2" t="s">
        <v>169</v>
      </c>
      <c r="E1346" s="2" t="s">
        <v>164</v>
      </c>
      <c r="F1346" s="2" t="s">
        <v>535</v>
      </c>
      <c r="G1346" s="2" t="s">
        <v>435</v>
      </c>
      <c r="H1346" s="2" t="s">
        <v>436</v>
      </c>
      <c r="I1346" s="26">
        <v>45253</v>
      </c>
      <c r="J1346" s="2">
        <v>24</v>
      </c>
      <c r="K1346" s="2" t="s">
        <v>165</v>
      </c>
      <c r="L1346" s="22">
        <v>1750</v>
      </c>
      <c r="M1346" s="22">
        <v>42000</v>
      </c>
      <c r="N1346" s="18">
        <v>44.92</v>
      </c>
      <c r="O1346" s="26">
        <v>45493</v>
      </c>
      <c r="P1346" s="2" t="s">
        <v>2105</v>
      </c>
      <c r="Q1346" s="2" t="s">
        <v>814</v>
      </c>
    </row>
    <row r="1347" spans="2:17" x14ac:dyDescent="0.25">
      <c r="B1347" s="2" t="s">
        <v>2152</v>
      </c>
      <c r="C1347" s="2" t="s">
        <v>168</v>
      </c>
      <c r="D1347" s="2" t="s">
        <v>169</v>
      </c>
      <c r="E1347" s="2" t="s">
        <v>164</v>
      </c>
      <c r="F1347" s="2" t="s">
        <v>535</v>
      </c>
      <c r="G1347" s="2" t="s">
        <v>435</v>
      </c>
      <c r="H1347" s="2" t="s">
        <v>436</v>
      </c>
      <c r="I1347" s="26">
        <v>45290</v>
      </c>
      <c r="J1347" s="2">
        <v>27</v>
      </c>
      <c r="K1347" s="2" t="s">
        <v>165</v>
      </c>
      <c r="L1347" s="22">
        <v>1750</v>
      </c>
      <c r="M1347" s="22">
        <v>47250</v>
      </c>
      <c r="N1347" s="18">
        <v>50.53</v>
      </c>
      <c r="O1347" s="26">
        <v>45530</v>
      </c>
      <c r="P1347" s="2" t="s">
        <v>2105</v>
      </c>
      <c r="Q1347" s="2" t="s">
        <v>825</v>
      </c>
    </row>
    <row r="1348" spans="2:17" x14ac:dyDescent="0.25">
      <c r="B1348" s="2" t="s">
        <v>2153</v>
      </c>
      <c r="C1348" s="2" t="s">
        <v>168</v>
      </c>
      <c r="D1348" s="2" t="s">
        <v>169</v>
      </c>
      <c r="E1348" s="2" t="s">
        <v>164</v>
      </c>
      <c r="F1348" s="2" t="s">
        <v>535</v>
      </c>
      <c r="G1348" s="2" t="s">
        <v>435</v>
      </c>
      <c r="H1348" s="2" t="s">
        <v>436</v>
      </c>
      <c r="I1348" s="26">
        <v>45317</v>
      </c>
      <c r="J1348" s="2">
        <v>24</v>
      </c>
      <c r="K1348" s="2" t="s">
        <v>165</v>
      </c>
      <c r="L1348" s="22">
        <v>1750</v>
      </c>
      <c r="M1348" s="22">
        <v>42000</v>
      </c>
      <c r="N1348" s="18">
        <v>44.92</v>
      </c>
      <c r="O1348" s="26">
        <v>45557</v>
      </c>
      <c r="P1348" s="2" t="s">
        <v>2105</v>
      </c>
      <c r="Q1348" s="2" t="s">
        <v>825</v>
      </c>
    </row>
    <row r="1349" spans="2:17" x14ac:dyDescent="0.25">
      <c r="B1349" s="2" t="s">
        <v>2154</v>
      </c>
      <c r="C1349" s="2" t="s">
        <v>168</v>
      </c>
      <c r="D1349" s="2" t="s">
        <v>169</v>
      </c>
      <c r="E1349" s="2" t="s">
        <v>164</v>
      </c>
      <c r="F1349" s="2" t="s">
        <v>535</v>
      </c>
      <c r="G1349" s="2" t="s">
        <v>435</v>
      </c>
      <c r="H1349" s="2" t="s">
        <v>436</v>
      </c>
      <c r="I1349" s="26">
        <v>45351</v>
      </c>
      <c r="J1349" s="2">
        <v>22</v>
      </c>
      <c r="K1349" s="2" t="s">
        <v>165</v>
      </c>
      <c r="L1349" s="22">
        <v>1750</v>
      </c>
      <c r="M1349" s="22">
        <v>38500</v>
      </c>
      <c r="N1349" s="18">
        <v>41.18</v>
      </c>
      <c r="O1349" s="26">
        <v>45591</v>
      </c>
      <c r="P1349" s="2" t="s">
        <v>2105</v>
      </c>
      <c r="Q1349" s="2" t="s">
        <v>825</v>
      </c>
    </row>
    <row r="1350" spans="2:17" x14ac:dyDescent="0.25">
      <c r="B1350" s="2" t="s">
        <v>2155</v>
      </c>
      <c r="C1350" s="2" t="s">
        <v>168</v>
      </c>
      <c r="D1350" s="2" t="s">
        <v>169</v>
      </c>
      <c r="E1350" s="2" t="s">
        <v>164</v>
      </c>
      <c r="F1350" s="2" t="s">
        <v>535</v>
      </c>
      <c r="G1350" s="2" t="s">
        <v>435</v>
      </c>
      <c r="H1350" s="2" t="s">
        <v>436</v>
      </c>
      <c r="I1350" s="26">
        <v>45379</v>
      </c>
      <c r="J1350" s="2">
        <v>21</v>
      </c>
      <c r="K1350" s="2" t="s">
        <v>165</v>
      </c>
      <c r="L1350" s="22">
        <v>1750</v>
      </c>
      <c r="M1350" s="22">
        <v>36750</v>
      </c>
      <c r="N1350" s="18">
        <v>39.299999999999997</v>
      </c>
      <c r="O1350" s="26">
        <v>45619</v>
      </c>
      <c r="P1350" s="2" t="s">
        <v>2105</v>
      </c>
      <c r="Q1350" s="2" t="s">
        <v>836</v>
      </c>
    </row>
    <row r="1351" spans="2:17" x14ac:dyDescent="0.25">
      <c r="B1351" s="2" t="s">
        <v>2156</v>
      </c>
      <c r="C1351" s="2" t="s">
        <v>168</v>
      </c>
      <c r="D1351" s="2" t="s">
        <v>169</v>
      </c>
      <c r="E1351" s="2" t="s">
        <v>164</v>
      </c>
      <c r="F1351" s="2" t="s">
        <v>535</v>
      </c>
      <c r="G1351" s="2" t="s">
        <v>435</v>
      </c>
      <c r="H1351" s="2" t="s">
        <v>436</v>
      </c>
      <c r="I1351" s="26">
        <v>45420</v>
      </c>
      <c r="J1351" s="2">
        <v>25</v>
      </c>
      <c r="K1351" s="2" t="s">
        <v>165</v>
      </c>
      <c r="L1351" s="22">
        <v>1750</v>
      </c>
      <c r="M1351" s="22">
        <v>43750</v>
      </c>
      <c r="N1351" s="18">
        <v>46.79</v>
      </c>
      <c r="O1351" s="26">
        <v>45660</v>
      </c>
      <c r="P1351" s="2" t="s">
        <v>2105</v>
      </c>
      <c r="Q1351" s="2" t="s">
        <v>836</v>
      </c>
    </row>
    <row r="1352" spans="2:17" x14ac:dyDescent="0.25">
      <c r="B1352" s="2" t="s">
        <v>2157</v>
      </c>
      <c r="C1352" s="2" t="s">
        <v>168</v>
      </c>
      <c r="D1352" s="2" t="s">
        <v>169</v>
      </c>
      <c r="E1352" s="2" t="s">
        <v>164</v>
      </c>
      <c r="F1352" s="2" t="s">
        <v>535</v>
      </c>
      <c r="G1352" s="2" t="s">
        <v>435</v>
      </c>
      <c r="H1352" s="2" t="s">
        <v>436</v>
      </c>
      <c r="I1352" s="26">
        <v>45466</v>
      </c>
      <c r="J1352" s="2">
        <v>24</v>
      </c>
      <c r="K1352" s="2" t="s">
        <v>165</v>
      </c>
      <c r="L1352" s="22">
        <v>1750</v>
      </c>
      <c r="M1352" s="22">
        <v>42000</v>
      </c>
      <c r="N1352" s="18">
        <v>44.92</v>
      </c>
      <c r="O1352" s="26">
        <v>45706</v>
      </c>
      <c r="P1352" s="2" t="s">
        <v>2105</v>
      </c>
      <c r="Q1352" s="2" t="s">
        <v>806</v>
      </c>
    </row>
    <row r="1353" spans="2:17" x14ac:dyDescent="0.25">
      <c r="B1353" s="2" t="s">
        <v>2158</v>
      </c>
      <c r="C1353" s="2" t="s">
        <v>168</v>
      </c>
      <c r="D1353" s="2" t="s">
        <v>169</v>
      </c>
      <c r="E1353" s="2" t="s">
        <v>164</v>
      </c>
      <c r="F1353" s="2" t="s">
        <v>535</v>
      </c>
      <c r="G1353" s="2" t="s">
        <v>435</v>
      </c>
      <c r="H1353" s="2" t="s">
        <v>436</v>
      </c>
      <c r="I1353" s="26">
        <v>45488</v>
      </c>
      <c r="J1353" s="2">
        <v>22</v>
      </c>
      <c r="K1353" s="2" t="s">
        <v>165</v>
      </c>
      <c r="L1353" s="22">
        <v>1750</v>
      </c>
      <c r="M1353" s="22">
        <v>38500</v>
      </c>
      <c r="N1353" s="18">
        <v>41.18</v>
      </c>
      <c r="O1353" s="26">
        <v>45728</v>
      </c>
      <c r="P1353" s="2" t="s">
        <v>2105</v>
      </c>
      <c r="Q1353" s="2" t="s">
        <v>806</v>
      </c>
    </row>
    <row r="1354" spans="2:17" x14ac:dyDescent="0.25">
      <c r="B1354" s="2" t="s">
        <v>2159</v>
      </c>
      <c r="C1354" s="2" t="s">
        <v>168</v>
      </c>
      <c r="D1354" s="2" t="s">
        <v>169</v>
      </c>
      <c r="E1354" s="2" t="s">
        <v>164</v>
      </c>
      <c r="F1354" s="2" t="s">
        <v>537</v>
      </c>
      <c r="G1354" s="2" t="s">
        <v>440</v>
      </c>
      <c r="H1354" s="2" t="s">
        <v>441</v>
      </c>
      <c r="I1354" s="26">
        <v>45524</v>
      </c>
      <c r="J1354" s="2">
        <v>25</v>
      </c>
      <c r="K1354" s="2" t="s">
        <v>165</v>
      </c>
      <c r="L1354" s="22">
        <v>1800</v>
      </c>
      <c r="M1354" s="22">
        <v>45000</v>
      </c>
      <c r="N1354" s="18">
        <v>48.13</v>
      </c>
      <c r="O1354" s="26">
        <v>45764</v>
      </c>
      <c r="P1354" s="2" t="s">
        <v>2105</v>
      </c>
      <c r="Q1354" s="2" t="s">
        <v>806</v>
      </c>
    </row>
    <row r="1355" spans="2:17" x14ac:dyDescent="0.25">
      <c r="B1355" s="2" t="s">
        <v>2160</v>
      </c>
      <c r="C1355" s="2" t="s">
        <v>168</v>
      </c>
      <c r="D1355" s="2" t="s">
        <v>169</v>
      </c>
      <c r="E1355" s="2" t="s">
        <v>164</v>
      </c>
      <c r="F1355" s="2" t="s">
        <v>535</v>
      </c>
      <c r="G1355" s="2" t="s">
        <v>435</v>
      </c>
      <c r="H1355" s="2" t="s">
        <v>436</v>
      </c>
      <c r="I1355" s="26">
        <v>45555</v>
      </c>
      <c r="J1355" s="2">
        <v>31</v>
      </c>
      <c r="K1355" s="2" t="s">
        <v>165</v>
      </c>
      <c r="L1355" s="22">
        <v>1750</v>
      </c>
      <c r="M1355" s="22">
        <v>54250</v>
      </c>
      <c r="N1355" s="18">
        <v>58.02</v>
      </c>
      <c r="O1355" s="26">
        <v>45795</v>
      </c>
      <c r="P1355" s="2" t="s">
        <v>2105</v>
      </c>
      <c r="Q1355" s="2" t="s">
        <v>814</v>
      </c>
    </row>
    <row r="1356" spans="2:17" x14ac:dyDescent="0.25">
      <c r="B1356" s="2" t="s">
        <v>2161</v>
      </c>
      <c r="C1356" s="2" t="s">
        <v>168</v>
      </c>
      <c r="D1356" s="2" t="s">
        <v>169</v>
      </c>
      <c r="E1356" s="2" t="s">
        <v>164</v>
      </c>
      <c r="F1356" s="2" t="s">
        <v>535</v>
      </c>
      <c r="G1356" s="2" t="s">
        <v>435</v>
      </c>
      <c r="H1356" s="2" t="s">
        <v>436</v>
      </c>
      <c r="I1356" s="26">
        <v>45585</v>
      </c>
      <c r="J1356" s="2">
        <v>22</v>
      </c>
      <c r="K1356" s="2" t="s">
        <v>165</v>
      </c>
      <c r="L1356" s="22">
        <v>1750</v>
      </c>
      <c r="M1356" s="22">
        <v>38500</v>
      </c>
      <c r="N1356" s="18">
        <v>41.18</v>
      </c>
      <c r="O1356" s="26">
        <v>45825</v>
      </c>
      <c r="P1356" s="2" t="s">
        <v>2105</v>
      </c>
      <c r="Q1356" s="2" t="s">
        <v>814</v>
      </c>
    </row>
    <row r="1357" spans="2:17" x14ac:dyDescent="0.25">
      <c r="B1357" s="2" t="s">
        <v>2162</v>
      </c>
      <c r="C1357" s="2" t="s">
        <v>168</v>
      </c>
      <c r="D1357" s="2" t="s">
        <v>169</v>
      </c>
      <c r="E1357" s="2" t="s">
        <v>164</v>
      </c>
      <c r="F1357" s="2" t="s">
        <v>535</v>
      </c>
      <c r="G1357" s="2" t="s">
        <v>435</v>
      </c>
      <c r="H1357" s="2" t="s">
        <v>436</v>
      </c>
      <c r="I1357" s="26">
        <v>45624</v>
      </c>
      <c r="J1357" s="2">
        <v>25</v>
      </c>
      <c r="K1357" s="2" t="s">
        <v>165</v>
      </c>
      <c r="L1357" s="22">
        <v>1750</v>
      </c>
      <c r="M1357" s="22">
        <v>43750</v>
      </c>
      <c r="N1357" s="18">
        <v>46.79</v>
      </c>
      <c r="O1357" s="26">
        <v>45864</v>
      </c>
      <c r="P1357" s="2" t="s">
        <v>2105</v>
      </c>
      <c r="Q1357" s="2" t="s">
        <v>814</v>
      </c>
    </row>
    <row r="1358" spans="2:17" x14ac:dyDescent="0.25">
      <c r="B1358" s="2" t="s">
        <v>2163</v>
      </c>
      <c r="C1358" s="2" t="s">
        <v>168</v>
      </c>
      <c r="D1358" s="2" t="s">
        <v>169</v>
      </c>
      <c r="E1358" s="2" t="s">
        <v>164</v>
      </c>
      <c r="F1358" s="2" t="s">
        <v>535</v>
      </c>
      <c r="G1358" s="2" t="s">
        <v>435</v>
      </c>
      <c r="H1358" s="2" t="s">
        <v>436</v>
      </c>
      <c r="I1358" s="26">
        <v>45655</v>
      </c>
      <c r="J1358" s="2">
        <v>36</v>
      </c>
      <c r="K1358" s="2" t="s">
        <v>165</v>
      </c>
      <c r="L1358" s="22">
        <v>1750</v>
      </c>
      <c r="M1358" s="22">
        <v>63000</v>
      </c>
      <c r="N1358" s="18">
        <v>67.38</v>
      </c>
      <c r="O1358" s="26">
        <v>45895</v>
      </c>
      <c r="P1358" s="2" t="s">
        <v>2105</v>
      </c>
      <c r="Q1358" s="2" t="s">
        <v>825</v>
      </c>
    </row>
    <row r="1359" spans="2:17" x14ac:dyDescent="0.25">
      <c r="B1359" s="2" t="s">
        <v>2164</v>
      </c>
      <c r="C1359" s="2" t="s">
        <v>168</v>
      </c>
      <c r="D1359" s="2" t="s">
        <v>169</v>
      </c>
      <c r="E1359" s="2" t="s">
        <v>164</v>
      </c>
      <c r="F1359" s="2" t="s">
        <v>535</v>
      </c>
      <c r="G1359" s="2" t="s">
        <v>435</v>
      </c>
      <c r="H1359" s="2" t="s">
        <v>436</v>
      </c>
      <c r="I1359" s="26">
        <v>45679</v>
      </c>
      <c r="J1359" s="2">
        <v>26</v>
      </c>
      <c r="K1359" s="2" t="s">
        <v>165</v>
      </c>
      <c r="L1359" s="22">
        <v>1750</v>
      </c>
      <c r="M1359" s="22">
        <v>45500</v>
      </c>
      <c r="N1359" s="18">
        <v>48.66</v>
      </c>
      <c r="O1359" s="26">
        <v>45919</v>
      </c>
      <c r="P1359" s="2" t="s">
        <v>2105</v>
      </c>
      <c r="Q1359" s="2" t="s">
        <v>825</v>
      </c>
    </row>
    <row r="1360" spans="2:17" x14ac:dyDescent="0.25">
      <c r="B1360" s="2" t="s">
        <v>2165</v>
      </c>
      <c r="C1360" s="2" t="s">
        <v>168</v>
      </c>
      <c r="D1360" s="2" t="s">
        <v>169</v>
      </c>
      <c r="E1360" s="2" t="s">
        <v>164</v>
      </c>
      <c r="F1360" s="2" t="s">
        <v>535</v>
      </c>
      <c r="G1360" s="2" t="s">
        <v>435</v>
      </c>
      <c r="H1360" s="2" t="s">
        <v>436</v>
      </c>
      <c r="I1360" s="26">
        <v>45713</v>
      </c>
      <c r="J1360" s="2">
        <v>28</v>
      </c>
      <c r="K1360" s="2" t="s">
        <v>165</v>
      </c>
      <c r="L1360" s="22">
        <v>1750</v>
      </c>
      <c r="M1360" s="22">
        <v>49000</v>
      </c>
      <c r="N1360" s="18">
        <v>52.41</v>
      </c>
      <c r="O1360" s="26">
        <v>45953</v>
      </c>
      <c r="P1360" s="2" t="s">
        <v>2105</v>
      </c>
      <c r="Q1360" s="2" t="s">
        <v>825</v>
      </c>
    </row>
    <row r="1361" spans="2:17" x14ac:dyDescent="0.25">
      <c r="B1361" s="2" t="s">
        <v>2166</v>
      </c>
      <c r="C1361" s="2" t="s">
        <v>168</v>
      </c>
      <c r="D1361" s="2" t="s">
        <v>169</v>
      </c>
      <c r="E1361" s="2" t="s">
        <v>164</v>
      </c>
      <c r="F1361" s="2" t="s">
        <v>535</v>
      </c>
      <c r="G1361" s="2" t="s">
        <v>435</v>
      </c>
      <c r="H1361" s="2" t="s">
        <v>436</v>
      </c>
      <c r="I1361" s="26">
        <v>45755</v>
      </c>
      <c r="J1361" s="2">
        <v>28</v>
      </c>
      <c r="K1361" s="2" t="s">
        <v>165</v>
      </c>
      <c r="L1361" s="22">
        <v>1750</v>
      </c>
      <c r="M1361" s="22">
        <v>49000</v>
      </c>
      <c r="N1361" s="18">
        <v>52.41</v>
      </c>
      <c r="O1361" s="26">
        <v>45995</v>
      </c>
      <c r="P1361" s="2" t="s">
        <v>2105</v>
      </c>
      <c r="Q1361" s="2" t="s">
        <v>836</v>
      </c>
    </row>
    <row r="1362" spans="2:17" x14ac:dyDescent="0.25">
      <c r="B1362" s="2" t="s">
        <v>2167</v>
      </c>
      <c r="C1362" s="2" t="s">
        <v>168</v>
      </c>
      <c r="D1362" s="2" t="s">
        <v>169</v>
      </c>
      <c r="E1362" s="2" t="s">
        <v>164</v>
      </c>
      <c r="F1362" s="2" t="s">
        <v>535</v>
      </c>
      <c r="G1362" s="2" t="s">
        <v>435</v>
      </c>
      <c r="H1362" s="2" t="s">
        <v>436</v>
      </c>
      <c r="I1362" s="26">
        <v>45795</v>
      </c>
      <c r="J1362" s="2">
        <v>24</v>
      </c>
      <c r="K1362" s="2" t="s">
        <v>165</v>
      </c>
      <c r="L1362" s="22">
        <v>1750</v>
      </c>
      <c r="M1362" s="22">
        <v>42000</v>
      </c>
      <c r="N1362" s="18">
        <v>44.92</v>
      </c>
      <c r="O1362" s="26">
        <v>46035</v>
      </c>
      <c r="P1362" s="2" t="s">
        <v>2105</v>
      </c>
      <c r="Q1362" s="2" t="s">
        <v>836</v>
      </c>
    </row>
    <row r="1363" spans="2:17" x14ac:dyDescent="0.25">
      <c r="B1363" s="2" t="s">
        <v>2168</v>
      </c>
      <c r="C1363" s="2" t="s">
        <v>168</v>
      </c>
      <c r="D1363" s="2" t="s">
        <v>169</v>
      </c>
      <c r="E1363" s="2" t="s">
        <v>164</v>
      </c>
      <c r="F1363" s="2" t="s">
        <v>535</v>
      </c>
      <c r="G1363" s="2" t="s">
        <v>435</v>
      </c>
      <c r="H1363" s="2" t="s">
        <v>436</v>
      </c>
      <c r="I1363" s="26">
        <v>45826</v>
      </c>
      <c r="J1363" s="2">
        <v>27</v>
      </c>
      <c r="K1363" s="2" t="s">
        <v>165</v>
      </c>
      <c r="L1363" s="22">
        <v>1750</v>
      </c>
      <c r="M1363" s="22">
        <v>47250</v>
      </c>
      <c r="N1363" s="18">
        <v>50.53</v>
      </c>
      <c r="O1363" s="26">
        <v>46066</v>
      </c>
      <c r="P1363" s="2" t="s">
        <v>2105</v>
      </c>
      <c r="Q1363" s="2" t="s">
        <v>806</v>
      </c>
    </row>
    <row r="1364" spans="2:17" x14ac:dyDescent="0.25">
      <c r="B1364" s="2" t="s">
        <v>2169</v>
      </c>
      <c r="C1364" s="2" t="s">
        <v>170</v>
      </c>
      <c r="D1364" s="2" t="s">
        <v>171</v>
      </c>
      <c r="E1364" s="2" t="s">
        <v>164</v>
      </c>
      <c r="F1364" s="2" t="s">
        <v>535</v>
      </c>
      <c r="G1364" s="2" t="s">
        <v>435</v>
      </c>
      <c r="H1364" s="2" t="s">
        <v>436</v>
      </c>
      <c r="I1364" s="26">
        <v>45130</v>
      </c>
      <c r="J1364" s="2">
        <v>25</v>
      </c>
      <c r="K1364" s="2" t="s">
        <v>165</v>
      </c>
      <c r="L1364" s="22">
        <v>2050</v>
      </c>
      <c r="M1364" s="22">
        <v>51250</v>
      </c>
      <c r="N1364" s="18">
        <v>54.81</v>
      </c>
      <c r="O1364" s="26">
        <v>45370</v>
      </c>
      <c r="P1364" s="2" t="s">
        <v>2105</v>
      </c>
      <c r="Q1364" s="2" t="s">
        <v>806</v>
      </c>
    </row>
    <row r="1365" spans="2:17" x14ac:dyDescent="0.25">
      <c r="B1365" s="2" t="s">
        <v>2170</v>
      </c>
      <c r="C1365" s="2" t="s">
        <v>170</v>
      </c>
      <c r="D1365" s="2" t="s">
        <v>171</v>
      </c>
      <c r="E1365" s="2" t="s">
        <v>164</v>
      </c>
      <c r="F1365" s="2" t="s">
        <v>535</v>
      </c>
      <c r="G1365" s="2" t="s">
        <v>435</v>
      </c>
      <c r="H1365" s="2" t="s">
        <v>436</v>
      </c>
      <c r="I1365" s="26">
        <v>45169</v>
      </c>
      <c r="J1365" s="2">
        <v>21</v>
      </c>
      <c r="K1365" s="2" t="s">
        <v>165</v>
      </c>
      <c r="L1365" s="22">
        <v>2050</v>
      </c>
      <c r="M1365" s="22">
        <v>43050</v>
      </c>
      <c r="N1365" s="18">
        <v>46.04</v>
      </c>
      <c r="O1365" s="26">
        <v>45409</v>
      </c>
      <c r="P1365" s="2" t="s">
        <v>2105</v>
      </c>
      <c r="Q1365" s="2" t="s">
        <v>806</v>
      </c>
    </row>
    <row r="1366" spans="2:17" x14ac:dyDescent="0.25">
      <c r="B1366" s="2" t="s">
        <v>2171</v>
      </c>
      <c r="C1366" s="2" t="s">
        <v>170</v>
      </c>
      <c r="D1366" s="2" t="s">
        <v>171</v>
      </c>
      <c r="E1366" s="2" t="s">
        <v>164</v>
      </c>
      <c r="F1366" s="2" t="s">
        <v>537</v>
      </c>
      <c r="G1366" s="2" t="s">
        <v>440</v>
      </c>
      <c r="H1366" s="2" t="s">
        <v>441</v>
      </c>
      <c r="I1366" s="26">
        <v>45213</v>
      </c>
      <c r="J1366" s="2">
        <v>26</v>
      </c>
      <c r="K1366" s="2" t="s">
        <v>165</v>
      </c>
      <c r="L1366" s="22">
        <v>2300</v>
      </c>
      <c r="M1366" s="22">
        <v>59800</v>
      </c>
      <c r="N1366" s="18">
        <v>63.96</v>
      </c>
      <c r="O1366" s="26">
        <v>45453</v>
      </c>
      <c r="P1366" s="2" t="s">
        <v>2105</v>
      </c>
      <c r="Q1366" s="2" t="s">
        <v>814</v>
      </c>
    </row>
    <row r="1367" spans="2:17" x14ac:dyDescent="0.25">
      <c r="B1367" s="2" t="s">
        <v>2172</v>
      </c>
      <c r="C1367" s="2" t="s">
        <v>170</v>
      </c>
      <c r="D1367" s="2" t="s">
        <v>171</v>
      </c>
      <c r="E1367" s="2" t="s">
        <v>164</v>
      </c>
      <c r="F1367" s="2" t="s">
        <v>535</v>
      </c>
      <c r="G1367" s="2" t="s">
        <v>435</v>
      </c>
      <c r="H1367" s="2" t="s">
        <v>436</v>
      </c>
      <c r="I1367" s="26">
        <v>45253</v>
      </c>
      <c r="J1367" s="2">
        <v>23</v>
      </c>
      <c r="K1367" s="2" t="s">
        <v>165</v>
      </c>
      <c r="L1367" s="22">
        <v>2050</v>
      </c>
      <c r="M1367" s="22">
        <v>47150</v>
      </c>
      <c r="N1367" s="18">
        <v>50.43</v>
      </c>
      <c r="O1367" s="26">
        <v>45493</v>
      </c>
      <c r="P1367" s="2" t="s">
        <v>2105</v>
      </c>
      <c r="Q1367" s="2" t="s">
        <v>814</v>
      </c>
    </row>
    <row r="1368" spans="2:17" x14ac:dyDescent="0.25">
      <c r="B1368" s="2" t="s">
        <v>2173</v>
      </c>
      <c r="C1368" s="2" t="s">
        <v>170</v>
      </c>
      <c r="D1368" s="2" t="s">
        <v>171</v>
      </c>
      <c r="E1368" s="2" t="s">
        <v>164</v>
      </c>
      <c r="F1368" s="2" t="s">
        <v>535</v>
      </c>
      <c r="G1368" s="2" t="s">
        <v>435</v>
      </c>
      <c r="H1368" s="2" t="s">
        <v>436</v>
      </c>
      <c r="I1368" s="26">
        <v>45291</v>
      </c>
      <c r="J1368" s="2">
        <v>29</v>
      </c>
      <c r="K1368" s="2" t="s">
        <v>165</v>
      </c>
      <c r="L1368" s="22">
        <v>2050</v>
      </c>
      <c r="M1368" s="22">
        <v>59450</v>
      </c>
      <c r="N1368" s="18">
        <v>63.58</v>
      </c>
      <c r="O1368" s="26">
        <v>45531</v>
      </c>
      <c r="P1368" s="2" t="s">
        <v>2105</v>
      </c>
      <c r="Q1368" s="2" t="s">
        <v>825</v>
      </c>
    </row>
    <row r="1369" spans="2:17" x14ac:dyDescent="0.25">
      <c r="B1369" s="2" t="s">
        <v>2174</v>
      </c>
      <c r="C1369" s="2" t="s">
        <v>170</v>
      </c>
      <c r="D1369" s="2" t="s">
        <v>171</v>
      </c>
      <c r="E1369" s="2" t="s">
        <v>164</v>
      </c>
      <c r="F1369" s="2" t="s">
        <v>535</v>
      </c>
      <c r="G1369" s="2" t="s">
        <v>435</v>
      </c>
      <c r="H1369" s="2" t="s">
        <v>436</v>
      </c>
      <c r="I1369" s="26">
        <v>45320</v>
      </c>
      <c r="J1369" s="2">
        <v>24</v>
      </c>
      <c r="K1369" s="2" t="s">
        <v>165</v>
      </c>
      <c r="L1369" s="22">
        <v>2050</v>
      </c>
      <c r="M1369" s="22">
        <v>49200</v>
      </c>
      <c r="N1369" s="18">
        <v>52.62</v>
      </c>
      <c r="O1369" s="26">
        <v>45560</v>
      </c>
      <c r="P1369" s="2" t="s">
        <v>2105</v>
      </c>
      <c r="Q1369" s="2" t="s">
        <v>825</v>
      </c>
    </row>
    <row r="1370" spans="2:17" x14ac:dyDescent="0.25">
      <c r="B1370" s="2" t="s">
        <v>2175</v>
      </c>
      <c r="C1370" s="2" t="s">
        <v>170</v>
      </c>
      <c r="D1370" s="2" t="s">
        <v>171</v>
      </c>
      <c r="E1370" s="2" t="s">
        <v>164</v>
      </c>
      <c r="F1370" s="2" t="s">
        <v>535</v>
      </c>
      <c r="G1370" s="2" t="s">
        <v>435</v>
      </c>
      <c r="H1370" s="2" t="s">
        <v>436</v>
      </c>
      <c r="I1370" s="26">
        <v>45354</v>
      </c>
      <c r="J1370" s="2">
        <v>21</v>
      </c>
      <c r="K1370" s="2" t="s">
        <v>165</v>
      </c>
      <c r="L1370" s="22">
        <v>2050</v>
      </c>
      <c r="M1370" s="22">
        <v>43050</v>
      </c>
      <c r="N1370" s="18">
        <v>46.04</v>
      </c>
      <c r="O1370" s="26">
        <v>45594</v>
      </c>
      <c r="P1370" s="2" t="s">
        <v>2105</v>
      </c>
      <c r="Q1370" s="2" t="s">
        <v>836</v>
      </c>
    </row>
    <row r="1371" spans="2:17" x14ac:dyDescent="0.25">
      <c r="B1371" s="2" t="s">
        <v>2176</v>
      </c>
      <c r="C1371" s="2" t="s">
        <v>170</v>
      </c>
      <c r="D1371" s="2" t="s">
        <v>171</v>
      </c>
      <c r="E1371" s="2" t="s">
        <v>164</v>
      </c>
      <c r="F1371" s="2" t="s">
        <v>535</v>
      </c>
      <c r="G1371" s="2" t="s">
        <v>435</v>
      </c>
      <c r="H1371" s="2" t="s">
        <v>436</v>
      </c>
      <c r="I1371" s="26">
        <v>45392</v>
      </c>
      <c r="J1371" s="2">
        <v>20</v>
      </c>
      <c r="K1371" s="2" t="s">
        <v>165</v>
      </c>
      <c r="L1371" s="22">
        <v>2050</v>
      </c>
      <c r="M1371" s="22">
        <v>41000</v>
      </c>
      <c r="N1371" s="18">
        <v>43.85</v>
      </c>
      <c r="O1371" s="26">
        <v>45632</v>
      </c>
      <c r="P1371" s="2" t="s">
        <v>2105</v>
      </c>
      <c r="Q1371" s="2" t="s">
        <v>836</v>
      </c>
    </row>
    <row r="1372" spans="2:17" x14ac:dyDescent="0.25">
      <c r="B1372" s="2" t="s">
        <v>2177</v>
      </c>
      <c r="C1372" s="2" t="s">
        <v>170</v>
      </c>
      <c r="D1372" s="2" t="s">
        <v>171</v>
      </c>
      <c r="E1372" s="2" t="s">
        <v>164</v>
      </c>
      <c r="F1372" s="2" t="s">
        <v>535</v>
      </c>
      <c r="G1372" s="2" t="s">
        <v>435</v>
      </c>
      <c r="H1372" s="2" t="s">
        <v>436</v>
      </c>
      <c r="I1372" s="26">
        <v>45433</v>
      </c>
      <c r="J1372" s="2">
        <v>25</v>
      </c>
      <c r="K1372" s="2" t="s">
        <v>165</v>
      </c>
      <c r="L1372" s="22">
        <v>2050</v>
      </c>
      <c r="M1372" s="22">
        <v>51250</v>
      </c>
      <c r="N1372" s="18">
        <v>54.81</v>
      </c>
      <c r="O1372" s="26">
        <v>45673</v>
      </c>
      <c r="P1372" s="2" t="s">
        <v>2105</v>
      </c>
      <c r="Q1372" s="2" t="s">
        <v>836</v>
      </c>
    </row>
    <row r="1373" spans="2:17" x14ac:dyDescent="0.25">
      <c r="B1373" s="2" t="s">
        <v>2178</v>
      </c>
      <c r="C1373" s="2" t="s">
        <v>170</v>
      </c>
      <c r="D1373" s="2" t="s">
        <v>171</v>
      </c>
      <c r="E1373" s="2" t="s">
        <v>164</v>
      </c>
      <c r="F1373" s="2" t="s">
        <v>535</v>
      </c>
      <c r="G1373" s="2" t="s">
        <v>435</v>
      </c>
      <c r="H1373" s="2" t="s">
        <v>436</v>
      </c>
      <c r="I1373" s="26">
        <v>45467</v>
      </c>
      <c r="J1373" s="2">
        <v>23</v>
      </c>
      <c r="K1373" s="2" t="s">
        <v>165</v>
      </c>
      <c r="L1373" s="22">
        <v>2050</v>
      </c>
      <c r="M1373" s="22">
        <v>47150</v>
      </c>
      <c r="N1373" s="18">
        <v>50.43</v>
      </c>
      <c r="O1373" s="26">
        <v>45707</v>
      </c>
      <c r="P1373" s="2" t="s">
        <v>2105</v>
      </c>
      <c r="Q1373" s="2" t="s">
        <v>806</v>
      </c>
    </row>
    <row r="1374" spans="2:17" x14ac:dyDescent="0.25">
      <c r="B1374" s="2" t="s">
        <v>2179</v>
      </c>
      <c r="C1374" s="2" t="s">
        <v>170</v>
      </c>
      <c r="D1374" s="2" t="s">
        <v>171</v>
      </c>
      <c r="E1374" s="2" t="s">
        <v>164</v>
      </c>
      <c r="F1374" s="2" t="s">
        <v>535</v>
      </c>
      <c r="G1374" s="2" t="s">
        <v>435</v>
      </c>
      <c r="H1374" s="2" t="s">
        <v>436</v>
      </c>
      <c r="I1374" s="26">
        <v>45494</v>
      </c>
      <c r="J1374" s="2">
        <v>23</v>
      </c>
      <c r="K1374" s="2" t="s">
        <v>165</v>
      </c>
      <c r="L1374" s="22">
        <v>2050</v>
      </c>
      <c r="M1374" s="22">
        <v>47150</v>
      </c>
      <c r="N1374" s="18">
        <v>50.43</v>
      </c>
      <c r="O1374" s="26">
        <v>45734</v>
      </c>
      <c r="P1374" s="2" t="s">
        <v>2105</v>
      </c>
      <c r="Q1374" s="2" t="s">
        <v>806</v>
      </c>
    </row>
    <row r="1375" spans="2:17" x14ac:dyDescent="0.25">
      <c r="B1375" s="2" t="s">
        <v>2180</v>
      </c>
      <c r="C1375" s="2" t="s">
        <v>170</v>
      </c>
      <c r="D1375" s="2" t="s">
        <v>171</v>
      </c>
      <c r="E1375" s="2" t="s">
        <v>164</v>
      </c>
      <c r="F1375" s="2" t="s">
        <v>535</v>
      </c>
      <c r="G1375" s="2" t="s">
        <v>435</v>
      </c>
      <c r="H1375" s="2" t="s">
        <v>436</v>
      </c>
      <c r="I1375" s="26">
        <v>45522</v>
      </c>
      <c r="J1375" s="2">
        <v>22</v>
      </c>
      <c r="K1375" s="2" t="s">
        <v>165</v>
      </c>
      <c r="L1375" s="22">
        <v>2050</v>
      </c>
      <c r="M1375" s="22">
        <v>45100</v>
      </c>
      <c r="N1375" s="18">
        <v>48.24</v>
      </c>
      <c r="O1375" s="26">
        <v>45762</v>
      </c>
      <c r="P1375" s="2" t="s">
        <v>2105</v>
      </c>
      <c r="Q1375" s="2" t="s">
        <v>806</v>
      </c>
    </row>
    <row r="1376" spans="2:17" x14ac:dyDescent="0.25">
      <c r="B1376" s="2" t="s">
        <v>2181</v>
      </c>
      <c r="C1376" s="2" t="s">
        <v>170</v>
      </c>
      <c r="D1376" s="2" t="s">
        <v>171</v>
      </c>
      <c r="E1376" s="2" t="s">
        <v>164</v>
      </c>
      <c r="F1376" s="2" t="s">
        <v>535</v>
      </c>
      <c r="G1376" s="2" t="s">
        <v>435</v>
      </c>
      <c r="H1376" s="2" t="s">
        <v>436</v>
      </c>
      <c r="I1376" s="26">
        <v>45559</v>
      </c>
      <c r="J1376" s="2">
        <v>27</v>
      </c>
      <c r="K1376" s="2" t="s">
        <v>165</v>
      </c>
      <c r="L1376" s="22">
        <v>2050</v>
      </c>
      <c r="M1376" s="22">
        <v>55350</v>
      </c>
      <c r="N1376" s="18">
        <v>59.2</v>
      </c>
      <c r="O1376" s="26">
        <v>45799</v>
      </c>
      <c r="P1376" s="2" t="s">
        <v>2105</v>
      </c>
      <c r="Q1376" s="2" t="s">
        <v>814</v>
      </c>
    </row>
    <row r="1377" spans="2:17" x14ac:dyDescent="0.25">
      <c r="B1377" s="2" t="s">
        <v>2182</v>
      </c>
      <c r="C1377" s="2" t="s">
        <v>170</v>
      </c>
      <c r="D1377" s="2" t="s">
        <v>171</v>
      </c>
      <c r="E1377" s="2" t="s">
        <v>164</v>
      </c>
      <c r="F1377" s="2" t="s">
        <v>537</v>
      </c>
      <c r="G1377" s="2" t="s">
        <v>440</v>
      </c>
      <c r="H1377" s="2" t="s">
        <v>441</v>
      </c>
      <c r="I1377" s="26">
        <v>45585</v>
      </c>
      <c r="J1377" s="2">
        <v>25</v>
      </c>
      <c r="K1377" s="2" t="s">
        <v>165</v>
      </c>
      <c r="L1377" s="22">
        <v>2300</v>
      </c>
      <c r="M1377" s="22">
        <v>57500</v>
      </c>
      <c r="N1377" s="18">
        <v>61.5</v>
      </c>
      <c r="O1377" s="26">
        <v>45825</v>
      </c>
      <c r="P1377" s="2" t="s">
        <v>2105</v>
      </c>
      <c r="Q1377" s="2" t="s">
        <v>814</v>
      </c>
    </row>
    <row r="1378" spans="2:17" x14ac:dyDescent="0.25">
      <c r="B1378" s="2" t="s">
        <v>2183</v>
      </c>
      <c r="C1378" s="2" t="s">
        <v>170</v>
      </c>
      <c r="D1378" s="2" t="s">
        <v>171</v>
      </c>
      <c r="E1378" s="2" t="s">
        <v>164</v>
      </c>
      <c r="F1378" s="2" t="s">
        <v>535</v>
      </c>
      <c r="G1378" s="2" t="s">
        <v>435</v>
      </c>
      <c r="H1378" s="2" t="s">
        <v>436</v>
      </c>
      <c r="I1378" s="26">
        <v>45614</v>
      </c>
      <c r="J1378" s="2">
        <v>23</v>
      </c>
      <c r="K1378" s="2" t="s">
        <v>165</v>
      </c>
      <c r="L1378" s="22">
        <v>2050</v>
      </c>
      <c r="M1378" s="22">
        <v>47150</v>
      </c>
      <c r="N1378" s="18">
        <v>50.43</v>
      </c>
      <c r="O1378" s="26">
        <v>45854</v>
      </c>
      <c r="P1378" s="2" t="s">
        <v>2105</v>
      </c>
      <c r="Q1378" s="2" t="s">
        <v>814</v>
      </c>
    </row>
    <row r="1379" spans="2:17" x14ac:dyDescent="0.25">
      <c r="B1379" s="2" t="s">
        <v>2184</v>
      </c>
      <c r="C1379" s="2" t="s">
        <v>170</v>
      </c>
      <c r="D1379" s="2" t="s">
        <v>171</v>
      </c>
      <c r="E1379" s="2" t="s">
        <v>164</v>
      </c>
      <c r="F1379" s="2" t="s">
        <v>537</v>
      </c>
      <c r="G1379" s="2" t="s">
        <v>440</v>
      </c>
      <c r="H1379" s="2" t="s">
        <v>441</v>
      </c>
      <c r="I1379" s="26">
        <v>45647</v>
      </c>
      <c r="J1379" s="2">
        <v>33</v>
      </c>
      <c r="K1379" s="2" t="s">
        <v>165</v>
      </c>
      <c r="L1379" s="22">
        <v>2300</v>
      </c>
      <c r="M1379" s="22">
        <v>75900</v>
      </c>
      <c r="N1379" s="18">
        <v>81.180000000000007</v>
      </c>
      <c r="O1379" s="26">
        <v>45887</v>
      </c>
      <c r="P1379" s="2" t="s">
        <v>2105</v>
      </c>
      <c r="Q1379" s="2" t="s">
        <v>825</v>
      </c>
    </row>
    <row r="1380" spans="2:17" x14ac:dyDescent="0.25">
      <c r="B1380" s="2" t="s">
        <v>2185</v>
      </c>
      <c r="C1380" s="2" t="s">
        <v>170</v>
      </c>
      <c r="D1380" s="2" t="s">
        <v>171</v>
      </c>
      <c r="E1380" s="2" t="s">
        <v>164</v>
      </c>
      <c r="F1380" s="2" t="s">
        <v>535</v>
      </c>
      <c r="G1380" s="2" t="s">
        <v>435</v>
      </c>
      <c r="H1380" s="2" t="s">
        <v>436</v>
      </c>
      <c r="I1380" s="26">
        <v>45689</v>
      </c>
      <c r="J1380" s="2">
        <v>29</v>
      </c>
      <c r="K1380" s="2" t="s">
        <v>165</v>
      </c>
      <c r="L1380" s="22">
        <v>2050</v>
      </c>
      <c r="M1380" s="22">
        <v>59450</v>
      </c>
      <c r="N1380" s="18">
        <v>63.58</v>
      </c>
      <c r="O1380" s="26">
        <v>45929</v>
      </c>
      <c r="P1380" s="2" t="s">
        <v>2105</v>
      </c>
      <c r="Q1380" s="2" t="s">
        <v>825</v>
      </c>
    </row>
    <row r="1381" spans="2:17" x14ac:dyDescent="0.25">
      <c r="B1381" s="2" t="s">
        <v>2186</v>
      </c>
      <c r="C1381" s="2" t="s">
        <v>170</v>
      </c>
      <c r="D1381" s="2" t="s">
        <v>171</v>
      </c>
      <c r="E1381" s="2" t="s">
        <v>164</v>
      </c>
      <c r="F1381" s="2" t="s">
        <v>535</v>
      </c>
      <c r="G1381" s="2" t="s">
        <v>435</v>
      </c>
      <c r="H1381" s="2" t="s">
        <v>436</v>
      </c>
      <c r="I1381" s="26">
        <v>45719</v>
      </c>
      <c r="J1381" s="2">
        <v>23</v>
      </c>
      <c r="K1381" s="2" t="s">
        <v>165</v>
      </c>
      <c r="L1381" s="22">
        <v>2050</v>
      </c>
      <c r="M1381" s="22">
        <v>47150</v>
      </c>
      <c r="N1381" s="18">
        <v>50.43</v>
      </c>
      <c r="O1381" s="26">
        <v>45959</v>
      </c>
      <c r="P1381" s="2" t="s">
        <v>2105</v>
      </c>
      <c r="Q1381" s="2" t="s">
        <v>836</v>
      </c>
    </row>
    <row r="1382" spans="2:17" x14ac:dyDescent="0.25">
      <c r="B1382" s="2" t="s">
        <v>2187</v>
      </c>
      <c r="C1382" s="2" t="s">
        <v>170</v>
      </c>
      <c r="D1382" s="2" t="s">
        <v>171</v>
      </c>
      <c r="E1382" s="2" t="s">
        <v>164</v>
      </c>
      <c r="F1382" s="2" t="s">
        <v>535</v>
      </c>
      <c r="G1382" s="2" t="s">
        <v>435</v>
      </c>
      <c r="H1382" s="2" t="s">
        <v>436</v>
      </c>
      <c r="I1382" s="26">
        <v>45747</v>
      </c>
      <c r="J1382" s="2">
        <v>23</v>
      </c>
      <c r="K1382" s="2" t="s">
        <v>165</v>
      </c>
      <c r="L1382" s="22">
        <v>2050</v>
      </c>
      <c r="M1382" s="22">
        <v>47150</v>
      </c>
      <c r="N1382" s="18">
        <v>50.43</v>
      </c>
      <c r="O1382" s="26">
        <v>45987</v>
      </c>
      <c r="P1382" s="2" t="s">
        <v>2105</v>
      </c>
      <c r="Q1382" s="2" t="s">
        <v>836</v>
      </c>
    </row>
    <row r="1383" spans="2:17" x14ac:dyDescent="0.25">
      <c r="B1383" s="2" t="s">
        <v>2188</v>
      </c>
      <c r="C1383" s="2" t="s">
        <v>170</v>
      </c>
      <c r="D1383" s="2" t="s">
        <v>171</v>
      </c>
      <c r="E1383" s="2" t="s">
        <v>164</v>
      </c>
      <c r="F1383" s="2" t="s">
        <v>535</v>
      </c>
      <c r="G1383" s="2" t="s">
        <v>435</v>
      </c>
      <c r="H1383" s="2" t="s">
        <v>436</v>
      </c>
      <c r="I1383" s="26">
        <v>45784</v>
      </c>
      <c r="J1383" s="2">
        <v>27</v>
      </c>
      <c r="K1383" s="2" t="s">
        <v>165</v>
      </c>
      <c r="L1383" s="22">
        <v>2050</v>
      </c>
      <c r="M1383" s="22">
        <v>55350</v>
      </c>
      <c r="N1383" s="18">
        <v>59.2</v>
      </c>
      <c r="O1383" s="26">
        <v>46024</v>
      </c>
      <c r="P1383" s="2" t="s">
        <v>2105</v>
      </c>
      <c r="Q1383" s="2" t="s">
        <v>836</v>
      </c>
    </row>
    <row r="1384" spans="2:17" x14ac:dyDescent="0.25">
      <c r="B1384" s="2" t="s">
        <v>2189</v>
      </c>
      <c r="C1384" s="2" t="s">
        <v>170</v>
      </c>
      <c r="D1384" s="2" t="s">
        <v>171</v>
      </c>
      <c r="E1384" s="2" t="s">
        <v>164</v>
      </c>
      <c r="F1384" s="2" t="s">
        <v>535</v>
      </c>
      <c r="G1384" s="2" t="s">
        <v>435</v>
      </c>
      <c r="H1384" s="2" t="s">
        <v>436</v>
      </c>
      <c r="I1384" s="26">
        <v>45813</v>
      </c>
      <c r="J1384" s="2">
        <v>28</v>
      </c>
      <c r="K1384" s="2" t="s">
        <v>165</v>
      </c>
      <c r="L1384" s="22">
        <v>2050</v>
      </c>
      <c r="M1384" s="22">
        <v>57400</v>
      </c>
      <c r="N1384" s="18">
        <v>61.39</v>
      </c>
      <c r="O1384" s="26">
        <v>46053</v>
      </c>
      <c r="P1384" s="2" t="s">
        <v>2105</v>
      </c>
      <c r="Q1384" s="2" t="s">
        <v>806</v>
      </c>
    </row>
    <row r="1385" spans="2:17" x14ac:dyDescent="0.25">
      <c r="B1385" s="2" t="s">
        <v>2190</v>
      </c>
      <c r="C1385" s="2" t="s">
        <v>172</v>
      </c>
      <c r="D1385" s="2" t="s">
        <v>173</v>
      </c>
      <c r="E1385" s="2" t="s">
        <v>164</v>
      </c>
      <c r="F1385" s="2" t="s">
        <v>535</v>
      </c>
      <c r="G1385" s="2" t="s">
        <v>435</v>
      </c>
      <c r="H1385" s="2" t="s">
        <v>436</v>
      </c>
      <c r="I1385" s="26">
        <v>45114</v>
      </c>
      <c r="J1385" s="2">
        <v>21</v>
      </c>
      <c r="K1385" s="2" t="s">
        <v>165</v>
      </c>
      <c r="L1385" s="22">
        <v>2100</v>
      </c>
      <c r="M1385" s="22">
        <v>44100</v>
      </c>
      <c r="N1385" s="18">
        <v>47.17</v>
      </c>
      <c r="O1385" s="26">
        <v>45354</v>
      </c>
      <c r="P1385" s="2" t="s">
        <v>2105</v>
      </c>
      <c r="Q1385" s="2" t="s">
        <v>806</v>
      </c>
    </row>
    <row r="1386" spans="2:17" x14ac:dyDescent="0.25">
      <c r="B1386" s="2" t="s">
        <v>2191</v>
      </c>
      <c r="C1386" s="2" t="s">
        <v>172</v>
      </c>
      <c r="D1386" s="2" t="s">
        <v>173</v>
      </c>
      <c r="E1386" s="2" t="s">
        <v>164</v>
      </c>
      <c r="F1386" s="2" t="s">
        <v>535</v>
      </c>
      <c r="G1386" s="2" t="s">
        <v>435</v>
      </c>
      <c r="H1386" s="2" t="s">
        <v>436</v>
      </c>
      <c r="I1386" s="26">
        <v>45144</v>
      </c>
      <c r="J1386" s="2">
        <v>24</v>
      </c>
      <c r="K1386" s="2" t="s">
        <v>165</v>
      </c>
      <c r="L1386" s="22">
        <v>2100</v>
      </c>
      <c r="M1386" s="22">
        <v>50400</v>
      </c>
      <c r="N1386" s="18">
        <v>53.9</v>
      </c>
      <c r="O1386" s="26">
        <v>45384</v>
      </c>
      <c r="P1386" s="2" t="s">
        <v>2105</v>
      </c>
      <c r="Q1386" s="2" t="s">
        <v>806</v>
      </c>
    </row>
    <row r="1387" spans="2:17" x14ac:dyDescent="0.25">
      <c r="B1387" s="2" t="s">
        <v>2192</v>
      </c>
      <c r="C1387" s="2" t="s">
        <v>172</v>
      </c>
      <c r="D1387" s="2" t="s">
        <v>173</v>
      </c>
      <c r="E1387" s="2" t="s">
        <v>164</v>
      </c>
      <c r="F1387" s="2" t="s">
        <v>535</v>
      </c>
      <c r="G1387" s="2" t="s">
        <v>435</v>
      </c>
      <c r="H1387" s="2" t="s">
        <v>436</v>
      </c>
      <c r="I1387" s="26">
        <v>45191</v>
      </c>
      <c r="J1387" s="2">
        <v>30</v>
      </c>
      <c r="K1387" s="2" t="s">
        <v>165</v>
      </c>
      <c r="L1387" s="22">
        <v>2100</v>
      </c>
      <c r="M1387" s="22">
        <v>63000</v>
      </c>
      <c r="N1387" s="18">
        <v>67.38</v>
      </c>
      <c r="O1387" s="26">
        <v>45431</v>
      </c>
      <c r="P1387" s="2" t="s">
        <v>2105</v>
      </c>
      <c r="Q1387" s="2" t="s">
        <v>814</v>
      </c>
    </row>
    <row r="1388" spans="2:17" x14ac:dyDescent="0.25">
      <c r="B1388" s="2" t="s">
        <v>2193</v>
      </c>
      <c r="C1388" s="2" t="s">
        <v>172</v>
      </c>
      <c r="D1388" s="2" t="s">
        <v>173</v>
      </c>
      <c r="E1388" s="2" t="s">
        <v>164</v>
      </c>
      <c r="F1388" s="2" t="s">
        <v>535</v>
      </c>
      <c r="G1388" s="2" t="s">
        <v>435</v>
      </c>
      <c r="H1388" s="2" t="s">
        <v>436</v>
      </c>
      <c r="I1388" s="26">
        <v>45228</v>
      </c>
      <c r="J1388" s="2">
        <v>24</v>
      </c>
      <c r="K1388" s="2" t="s">
        <v>165</v>
      </c>
      <c r="L1388" s="22">
        <v>2100</v>
      </c>
      <c r="M1388" s="22">
        <v>50400</v>
      </c>
      <c r="N1388" s="18">
        <v>53.9</v>
      </c>
      <c r="O1388" s="26">
        <v>45468</v>
      </c>
      <c r="P1388" s="2" t="s">
        <v>2105</v>
      </c>
      <c r="Q1388" s="2" t="s">
        <v>814</v>
      </c>
    </row>
    <row r="1389" spans="2:17" x14ac:dyDescent="0.25">
      <c r="B1389" s="2" t="s">
        <v>2194</v>
      </c>
      <c r="C1389" s="2" t="s">
        <v>172</v>
      </c>
      <c r="D1389" s="2" t="s">
        <v>173</v>
      </c>
      <c r="E1389" s="2" t="s">
        <v>164</v>
      </c>
      <c r="F1389" s="2" t="s">
        <v>535</v>
      </c>
      <c r="G1389" s="2" t="s">
        <v>435</v>
      </c>
      <c r="H1389" s="2" t="s">
        <v>436</v>
      </c>
      <c r="I1389" s="26">
        <v>45253</v>
      </c>
      <c r="J1389" s="2">
        <v>27</v>
      </c>
      <c r="K1389" s="2" t="s">
        <v>165</v>
      </c>
      <c r="L1389" s="22">
        <v>2100</v>
      </c>
      <c r="M1389" s="22">
        <v>56700</v>
      </c>
      <c r="N1389" s="18">
        <v>60.64</v>
      </c>
      <c r="O1389" s="26">
        <v>45493</v>
      </c>
      <c r="P1389" s="2" t="s">
        <v>2105</v>
      </c>
      <c r="Q1389" s="2" t="s">
        <v>814</v>
      </c>
    </row>
    <row r="1390" spans="2:17" x14ac:dyDescent="0.25">
      <c r="B1390" s="2" t="s">
        <v>2195</v>
      </c>
      <c r="C1390" s="2" t="s">
        <v>172</v>
      </c>
      <c r="D1390" s="2" t="s">
        <v>173</v>
      </c>
      <c r="E1390" s="2" t="s">
        <v>164</v>
      </c>
      <c r="F1390" s="2" t="s">
        <v>535</v>
      </c>
      <c r="G1390" s="2" t="s">
        <v>435</v>
      </c>
      <c r="H1390" s="2" t="s">
        <v>436</v>
      </c>
      <c r="I1390" s="26">
        <v>45286</v>
      </c>
      <c r="J1390" s="2">
        <v>27</v>
      </c>
      <c r="K1390" s="2" t="s">
        <v>165</v>
      </c>
      <c r="L1390" s="22">
        <v>2100</v>
      </c>
      <c r="M1390" s="22">
        <v>56700</v>
      </c>
      <c r="N1390" s="18">
        <v>60.64</v>
      </c>
      <c r="O1390" s="26">
        <v>45526</v>
      </c>
      <c r="P1390" s="2" t="s">
        <v>2105</v>
      </c>
      <c r="Q1390" s="2" t="s">
        <v>825</v>
      </c>
    </row>
    <row r="1391" spans="2:17" x14ac:dyDescent="0.25">
      <c r="B1391" s="2" t="s">
        <v>2196</v>
      </c>
      <c r="C1391" s="2" t="s">
        <v>172</v>
      </c>
      <c r="D1391" s="2" t="s">
        <v>173</v>
      </c>
      <c r="E1391" s="2" t="s">
        <v>164</v>
      </c>
      <c r="F1391" s="2" t="s">
        <v>535</v>
      </c>
      <c r="G1391" s="2" t="s">
        <v>435</v>
      </c>
      <c r="H1391" s="2" t="s">
        <v>436</v>
      </c>
      <c r="I1391" s="26">
        <v>45320</v>
      </c>
      <c r="J1391" s="2">
        <v>24</v>
      </c>
      <c r="K1391" s="2" t="s">
        <v>165</v>
      </c>
      <c r="L1391" s="22">
        <v>2100</v>
      </c>
      <c r="M1391" s="22">
        <v>50400</v>
      </c>
      <c r="N1391" s="18">
        <v>53.9</v>
      </c>
      <c r="O1391" s="26">
        <v>45560</v>
      </c>
      <c r="P1391" s="2" t="s">
        <v>2105</v>
      </c>
      <c r="Q1391" s="2" t="s">
        <v>825</v>
      </c>
    </row>
    <row r="1392" spans="2:17" x14ac:dyDescent="0.25">
      <c r="B1392" s="2" t="s">
        <v>2197</v>
      </c>
      <c r="C1392" s="2" t="s">
        <v>172</v>
      </c>
      <c r="D1392" s="2" t="s">
        <v>173</v>
      </c>
      <c r="E1392" s="2" t="s">
        <v>164</v>
      </c>
      <c r="F1392" s="2" t="s">
        <v>535</v>
      </c>
      <c r="G1392" s="2" t="s">
        <v>435</v>
      </c>
      <c r="H1392" s="2" t="s">
        <v>436</v>
      </c>
      <c r="I1392" s="26">
        <v>45348</v>
      </c>
      <c r="J1392" s="2">
        <v>27</v>
      </c>
      <c r="K1392" s="2" t="s">
        <v>165</v>
      </c>
      <c r="L1392" s="22">
        <v>2100</v>
      </c>
      <c r="M1392" s="22">
        <v>56700</v>
      </c>
      <c r="N1392" s="18">
        <v>60.64</v>
      </c>
      <c r="O1392" s="26">
        <v>45588</v>
      </c>
      <c r="P1392" s="2" t="s">
        <v>2105</v>
      </c>
      <c r="Q1392" s="2" t="s">
        <v>825</v>
      </c>
    </row>
    <row r="1393" spans="2:17" x14ac:dyDescent="0.25">
      <c r="B1393" s="2" t="s">
        <v>2198</v>
      </c>
      <c r="C1393" s="2" t="s">
        <v>172</v>
      </c>
      <c r="D1393" s="2" t="s">
        <v>173</v>
      </c>
      <c r="E1393" s="2" t="s">
        <v>164</v>
      </c>
      <c r="F1393" s="2" t="s">
        <v>535</v>
      </c>
      <c r="G1393" s="2" t="s">
        <v>435</v>
      </c>
      <c r="H1393" s="2" t="s">
        <v>436</v>
      </c>
      <c r="I1393" s="26">
        <v>45380</v>
      </c>
      <c r="J1393" s="2">
        <v>24</v>
      </c>
      <c r="K1393" s="2" t="s">
        <v>165</v>
      </c>
      <c r="L1393" s="22">
        <v>2100</v>
      </c>
      <c r="M1393" s="22">
        <v>50400</v>
      </c>
      <c r="N1393" s="18">
        <v>53.9</v>
      </c>
      <c r="O1393" s="26">
        <v>45620</v>
      </c>
      <c r="P1393" s="2" t="s">
        <v>2105</v>
      </c>
      <c r="Q1393" s="2" t="s">
        <v>836</v>
      </c>
    </row>
    <row r="1394" spans="2:17" x14ac:dyDescent="0.25">
      <c r="B1394" s="2" t="s">
        <v>2199</v>
      </c>
      <c r="C1394" s="2" t="s">
        <v>172</v>
      </c>
      <c r="D1394" s="2" t="s">
        <v>173</v>
      </c>
      <c r="E1394" s="2" t="s">
        <v>164</v>
      </c>
      <c r="F1394" s="2" t="s">
        <v>535</v>
      </c>
      <c r="G1394" s="2" t="s">
        <v>435</v>
      </c>
      <c r="H1394" s="2" t="s">
        <v>436</v>
      </c>
      <c r="I1394" s="26">
        <v>45417</v>
      </c>
      <c r="J1394" s="2">
        <v>21</v>
      </c>
      <c r="K1394" s="2" t="s">
        <v>165</v>
      </c>
      <c r="L1394" s="22">
        <v>2100</v>
      </c>
      <c r="M1394" s="22">
        <v>44100</v>
      </c>
      <c r="N1394" s="18">
        <v>47.17</v>
      </c>
      <c r="O1394" s="26">
        <v>45657</v>
      </c>
      <c r="P1394" s="2" t="s">
        <v>2105</v>
      </c>
      <c r="Q1394" s="2" t="s">
        <v>836</v>
      </c>
    </row>
    <row r="1395" spans="2:17" x14ac:dyDescent="0.25">
      <c r="B1395" s="2" t="s">
        <v>2200</v>
      </c>
      <c r="C1395" s="2" t="s">
        <v>172</v>
      </c>
      <c r="D1395" s="2" t="s">
        <v>173</v>
      </c>
      <c r="E1395" s="2" t="s">
        <v>164</v>
      </c>
      <c r="F1395" s="2" t="s">
        <v>535</v>
      </c>
      <c r="G1395" s="2" t="s">
        <v>435</v>
      </c>
      <c r="H1395" s="2" t="s">
        <v>436</v>
      </c>
      <c r="I1395" s="26">
        <v>45458</v>
      </c>
      <c r="J1395" s="2">
        <v>25</v>
      </c>
      <c r="K1395" s="2" t="s">
        <v>165</v>
      </c>
      <c r="L1395" s="22">
        <v>2100</v>
      </c>
      <c r="M1395" s="22">
        <v>52500</v>
      </c>
      <c r="N1395" s="18">
        <v>56.15</v>
      </c>
      <c r="O1395" s="26">
        <v>45698</v>
      </c>
      <c r="P1395" s="2" t="s">
        <v>2105</v>
      </c>
      <c r="Q1395" s="2" t="s">
        <v>806</v>
      </c>
    </row>
    <row r="1396" spans="2:17" x14ac:dyDescent="0.25">
      <c r="B1396" s="2" t="s">
        <v>2201</v>
      </c>
      <c r="C1396" s="2" t="s">
        <v>172</v>
      </c>
      <c r="D1396" s="2" t="s">
        <v>173</v>
      </c>
      <c r="E1396" s="2" t="s">
        <v>164</v>
      </c>
      <c r="F1396" s="2" t="s">
        <v>535</v>
      </c>
      <c r="G1396" s="2" t="s">
        <v>435</v>
      </c>
      <c r="H1396" s="2" t="s">
        <v>436</v>
      </c>
      <c r="I1396" s="26">
        <v>45502</v>
      </c>
      <c r="J1396" s="2">
        <v>23</v>
      </c>
      <c r="K1396" s="2" t="s">
        <v>165</v>
      </c>
      <c r="L1396" s="22">
        <v>2100</v>
      </c>
      <c r="M1396" s="22">
        <v>48300</v>
      </c>
      <c r="N1396" s="18">
        <v>51.66</v>
      </c>
      <c r="O1396" s="26">
        <v>45742</v>
      </c>
      <c r="P1396" s="2" t="s">
        <v>2105</v>
      </c>
      <c r="Q1396" s="2" t="s">
        <v>806</v>
      </c>
    </row>
    <row r="1397" spans="2:17" x14ac:dyDescent="0.25">
      <c r="B1397" s="2" t="s">
        <v>2202</v>
      </c>
      <c r="C1397" s="2" t="s">
        <v>172</v>
      </c>
      <c r="D1397" s="2" t="s">
        <v>173</v>
      </c>
      <c r="E1397" s="2" t="s">
        <v>164</v>
      </c>
      <c r="F1397" s="2" t="s">
        <v>537</v>
      </c>
      <c r="G1397" s="2" t="s">
        <v>440</v>
      </c>
      <c r="H1397" s="2" t="s">
        <v>441</v>
      </c>
      <c r="I1397" s="26">
        <v>45540</v>
      </c>
      <c r="J1397" s="2">
        <v>34</v>
      </c>
      <c r="K1397" s="2" t="s">
        <v>165</v>
      </c>
      <c r="L1397" s="22">
        <v>2150</v>
      </c>
      <c r="M1397" s="22">
        <v>73100</v>
      </c>
      <c r="N1397" s="18">
        <v>78.180000000000007</v>
      </c>
      <c r="O1397" s="26">
        <v>45780</v>
      </c>
      <c r="P1397" s="2" t="s">
        <v>2105</v>
      </c>
      <c r="Q1397" s="2" t="s">
        <v>814</v>
      </c>
    </row>
    <row r="1398" spans="2:17" x14ac:dyDescent="0.25">
      <c r="B1398" s="2" t="s">
        <v>2203</v>
      </c>
      <c r="C1398" s="2" t="s">
        <v>172</v>
      </c>
      <c r="D1398" s="2" t="s">
        <v>173</v>
      </c>
      <c r="E1398" s="2" t="s">
        <v>164</v>
      </c>
      <c r="F1398" s="2" t="s">
        <v>535</v>
      </c>
      <c r="G1398" s="2" t="s">
        <v>435</v>
      </c>
      <c r="H1398" s="2" t="s">
        <v>436</v>
      </c>
      <c r="I1398" s="26">
        <v>45582</v>
      </c>
      <c r="J1398" s="2">
        <v>26</v>
      </c>
      <c r="K1398" s="2" t="s">
        <v>165</v>
      </c>
      <c r="L1398" s="22">
        <v>2100</v>
      </c>
      <c r="M1398" s="22">
        <v>54600</v>
      </c>
      <c r="N1398" s="18">
        <v>58.4</v>
      </c>
      <c r="O1398" s="26">
        <v>45822</v>
      </c>
      <c r="P1398" s="2" t="s">
        <v>2105</v>
      </c>
      <c r="Q1398" s="2" t="s">
        <v>814</v>
      </c>
    </row>
    <row r="1399" spans="2:17" x14ac:dyDescent="0.25">
      <c r="B1399" s="2" t="s">
        <v>2204</v>
      </c>
      <c r="C1399" s="2" t="s">
        <v>172</v>
      </c>
      <c r="D1399" s="2" t="s">
        <v>173</v>
      </c>
      <c r="E1399" s="2" t="s">
        <v>164</v>
      </c>
      <c r="F1399" s="2" t="s">
        <v>535</v>
      </c>
      <c r="G1399" s="2" t="s">
        <v>435</v>
      </c>
      <c r="H1399" s="2" t="s">
        <v>436</v>
      </c>
      <c r="I1399" s="26">
        <v>45619</v>
      </c>
      <c r="J1399" s="2">
        <v>25</v>
      </c>
      <c r="K1399" s="2" t="s">
        <v>165</v>
      </c>
      <c r="L1399" s="22">
        <v>2100</v>
      </c>
      <c r="M1399" s="22">
        <v>52500</v>
      </c>
      <c r="N1399" s="18">
        <v>56.15</v>
      </c>
      <c r="O1399" s="26">
        <v>45859</v>
      </c>
      <c r="P1399" s="2" t="s">
        <v>2105</v>
      </c>
      <c r="Q1399" s="2" t="s">
        <v>814</v>
      </c>
    </row>
    <row r="1400" spans="2:17" x14ac:dyDescent="0.25">
      <c r="B1400" s="2" t="s">
        <v>2205</v>
      </c>
      <c r="C1400" s="2" t="s">
        <v>172</v>
      </c>
      <c r="D1400" s="2" t="s">
        <v>173</v>
      </c>
      <c r="E1400" s="2" t="s">
        <v>164</v>
      </c>
      <c r="F1400" s="2" t="s">
        <v>535</v>
      </c>
      <c r="G1400" s="2" t="s">
        <v>435</v>
      </c>
      <c r="H1400" s="2" t="s">
        <v>436</v>
      </c>
      <c r="I1400" s="26">
        <v>45651</v>
      </c>
      <c r="J1400" s="2">
        <v>28</v>
      </c>
      <c r="K1400" s="2" t="s">
        <v>165</v>
      </c>
      <c r="L1400" s="22">
        <v>2100</v>
      </c>
      <c r="M1400" s="22">
        <v>58800</v>
      </c>
      <c r="N1400" s="18">
        <v>62.89</v>
      </c>
      <c r="O1400" s="26">
        <v>45891</v>
      </c>
      <c r="P1400" s="2" t="s">
        <v>2105</v>
      </c>
      <c r="Q1400" s="2" t="s">
        <v>825</v>
      </c>
    </row>
    <row r="1401" spans="2:17" x14ac:dyDescent="0.25">
      <c r="B1401" s="2" t="s">
        <v>2206</v>
      </c>
      <c r="C1401" s="2" t="s">
        <v>172</v>
      </c>
      <c r="D1401" s="2" t="s">
        <v>173</v>
      </c>
      <c r="E1401" s="2" t="s">
        <v>164</v>
      </c>
      <c r="F1401" s="2" t="s">
        <v>535</v>
      </c>
      <c r="G1401" s="2" t="s">
        <v>435</v>
      </c>
      <c r="H1401" s="2" t="s">
        <v>436</v>
      </c>
      <c r="I1401" s="26">
        <v>45687</v>
      </c>
      <c r="J1401" s="2">
        <v>24</v>
      </c>
      <c r="K1401" s="2" t="s">
        <v>165</v>
      </c>
      <c r="L1401" s="22">
        <v>2100</v>
      </c>
      <c r="M1401" s="22">
        <v>50400</v>
      </c>
      <c r="N1401" s="18">
        <v>53.9</v>
      </c>
      <c r="O1401" s="26">
        <v>45927</v>
      </c>
      <c r="P1401" s="2" t="s">
        <v>2105</v>
      </c>
      <c r="Q1401" s="2" t="s">
        <v>825</v>
      </c>
    </row>
    <row r="1402" spans="2:17" x14ac:dyDescent="0.25">
      <c r="B1402" s="2" t="s">
        <v>2207</v>
      </c>
      <c r="C1402" s="2" t="s">
        <v>172</v>
      </c>
      <c r="D1402" s="2" t="s">
        <v>173</v>
      </c>
      <c r="E1402" s="2" t="s">
        <v>164</v>
      </c>
      <c r="F1402" s="2" t="s">
        <v>535</v>
      </c>
      <c r="G1402" s="2" t="s">
        <v>435</v>
      </c>
      <c r="H1402" s="2" t="s">
        <v>436</v>
      </c>
      <c r="I1402" s="26">
        <v>45720</v>
      </c>
      <c r="J1402" s="2">
        <v>26</v>
      </c>
      <c r="K1402" s="2" t="s">
        <v>165</v>
      </c>
      <c r="L1402" s="22">
        <v>2100</v>
      </c>
      <c r="M1402" s="22">
        <v>54600</v>
      </c>
      <c r="N1402" s="18">
        <v>58.4</v>
      </c>
      <c r="O1402" s="26">
        <v>45960</v>
      </c>
      <c r="P1402" s="2" t="s">
        <v>2105</v>
      </c>
      <c r="Q1402" s="2" t="s">
        <v>836</v>
      </c>
    </row>
    <row r="1403" spans="2:17" x14ac:dyDescent="0.25">
      <c r="B1403" s="2" t="s">
        <v>2208</v>
      </c>
      <c r="C1403" s="2" t="s">
        <v>172</v>
      </c>
      <c r="D1403" s="2" t="s">
        <v>173</v>
      </c>
      <c r="E1403" s="2" t="s">
        <v>164</v>
      </c>
      <c r="F1403" s="2" t="s">
        <v>535</v>
      </c>
      <c r="G1403" s="2" t="s">
        <v>435</v>
      </c>
      <c r="H1403" s="2" t="s">
        <v>436</v>
      </c>
      <c r="I1403" s="26">
        <v>45749</v>
      </c>
      <c r="J1403" s="2">
        <v>28</v>
      </c>
      <c r="K1403" s="2" t="s">
        <v>165</v>
      </c>
      <c r="L1403" s="22">
        <v>2100</v>
      </c>
      <c r="M1403" s="22">
        <v>58800</v>
      </c>
      <c r="N1403" s="18">
        <v>62.89</v>
      </c>
      <c r="O1403" s="26">
        <v>45989</v>
      </c>
      <c r="P1403" s="2" t="s">
        <v>2105</v>
      </c>
      <c r="Q1403" s="2" t="s">
        <v>836</v>
      </c>
    </row>
    <row r="1404" spans="2:17" x14ac:dyDescent="0.25">
      <c r="B1404" s="2" t="s">
        <v>2209</v>
      </c>
      <c r="C1404" s="2" t="s">
        <v>172</v>
      </c>
      <c r="D1404" s="2" t="s">
        <v>173</v>
      </c>
      <c r="E1404" s="2" t="s">
        <v>164</v>
      </c>
      <c r="F1404" s="2" t="s">
        <v>535</v>
      </c>
      <c r="G1404" s="2" t="s">
        <v>435</v>
      </c>
      <c r="H1404" s="2" t="s">
        <v>436</v>
      </c>
      <c r="I1404" s="26">
        <v>45786</v>
      </c>
      <c r="J1404" s="2">
        <v>30</v>
      </c>
      <c r="K1404" s="2" t="s">
        <v>165</v>
      </c>
      <c r="L1404" s="22">
        <v>2100</v>
      </c>
      <c r="M1404" s="22">
        <v>63000</v>
      </c>
      <c r="N1404" s="18">
        <v>67.38</v>
      </c>
      <c r="O1404" s="26">
        <v>46026</v>
      </c>
      <c r="P1404" s="2" t="s">
        <v>2105</v>
      </c>
      <c r="Q1404" s="2" t="s">
        <v>836</v>
      </c>
    </row>
    <row r="1405" spans="2:17" x14ac:dyDescent="0.25">
      <c r="B1405" s="2" t="s">
        <v>2210</v>
      </c>
      <c r="C1405" s="2" t="s">
        <v>172</v>
      </c>
      <c r="D1405" s="2" t="s">
        <v>173</v>
      </c>
      <c r="E1405" s="2" t="s">
        <v>164</v>
      </c>
      <c r="F1405" s="2" t="s">
        <v>537</v>
      </c>
      <c r="G1405" s="2" t="s">
        <v>440</v>
      </c>
      <c r="H1405" s="2" t="s">
        <v>441</v>
      </c>
      <c r="I1405" s="26">
        <v>45816</v>
      </c>
      <c r="J1405" s="2">
        <v>27</v>
      </c>
      <c r="K1405" s="2" t="s">
        <v>165</v>
      </c>
      <c r="L1405" s="22">
        <v>2150</v>
      </c>
      <c r="M1405" s="22">
        <v>58050</v>
      </c>
      <c r="N1405" s="18">
        <v>62.09</v>
      </c>
      <c r="O1405" s="26">
        <v>46056</v>
      </c>
      <c r="P1405" s="2" t="s">
        <v>2105</v>
      </c>
      <c r="Q1405" s="2" t="s">
        <v>806</v>
      </c>
    </row>
    <row r="1406" spans="2:17" x14ac:dyDescent="0.25">
      <c r="B1406" s="2" t="s">
        <v>2211</v>
      </c>
      <c r="C1406" s="2" t="s">
        <v>174</v>
      </c>
      <c r="D1406" s="2" t="s">
        <v>175</v>
      </c>
      <c r="E1406" s="2" t="s">
        <v>176</v>
      </c>
      <c r="F1406" s="2" t="s">
        <v>535</v>
      </c>
      <c r="G1406" s="2" t="s">
        <v>445</v>
      </c>
      <c r="H1406" s="2" t="s">
        <v>446</v>
      </c>
      <c r="I1406" s="26">
        <v>45109</v>
      </c>
      <c r="J1406" s="2">
        <v>51</v>
      </c>
      <c r="K1406" s="2" t="s">
        <v>177</v>
      </c>
      <c r="L1406" s="22">
        <v>1450</v>
      </c>
      <c r="M1406" s="22">
        <v>73950</v>
      </c>
      <c r="N1406" s="18">
        <v>79.09</v>
      </c>
      <c r="O1406" s="26">
        <v>45409</v>
      </c>
      <c r="P1406" s="2" t="s">
        <v>2105</v>
      </c>
      <c r="Q1406" s="2" t="s">
        <v>806</v>
      </c>
    </row>
    <row r="1407" spans="2:17" x14ac:dyDescent="0.25">
      <c r="B1407" s="2" t="s">
        <v>2212</v>
      </c>
      <c r="C1407" s="2" t="s">
        <v>174</v>
      </c>
      <c r="D1407" s="2" t="s">
        <v>175</v>
      </c>
      <c r="E1407" s="2" t="s">
        <v>176</v>
      </c>
      <c r="F1407" s="2" t="s">
        <v>535</v>
      </c>
      <c r="G1407" s="2" t="s">
        <v>445</v>
      </c>
      <c r="H1407" s="2" t="s">
        <v>446</v>
      </c>
      <c r="I1407" s="26">
        <v>45139</v>
      </c>
      <c r="J1407" s="2">
        <v>44</v>
      </c>
      <c r="K1407" s="2" t="s">
        <v>177</v>
      </c>
      <c r="L1407" s="22">
        <v>1450</v>
      </c>
      <c r="M1407" s="22">
        <v>63800</v>
      </c>
      <c r="N1407" s="18">
        <v>68.239999999999995</v>
      </c>
      <c r="O1407" s="26">
        <v>45439</v>
      </c>
      <c r="P1407" s="2" t="s">
        <v>2105</v>
      </c>
      <c r="Q1407" s="2" t="s">
        <v>806</v>
      </c>
    </row>
    <row r="1408" spans="2:17" x14ac:dyDescent="0.25">
      <c r="B1408" s="2" t="s">
        <v>2213</v>
      </c>
      <c r="C1408" s="2" t="s">
        <v>174</v>
      </c>
      <c r="D1408" s="2" t="s">
        <v>175</v>
      </c>
      <c r="E1408" s="2" t="s">
        <v>176</v>
      </c>
      <c r="F1408" s="2" t="s">
        <v>535</v>
      </c>
      <c r="G1408" s="2" t="s">
        <v>445</v>
      </c>
      <c r="H1408" s="2" t="s">
        <v>446</v>
      </c>
      <c r="I1408" s="26">
        <v>45174</v>
      </c>
      <c r="J1408" s="2">
        <v>66</v>
      </c>
      <c r="K1408" s="2" t="s">
        <v>177</v>
      </c>
      <c r="L1408" s="22">
        <v>1450</v>
      </c>
      <c r="M1408" s="22">
        <v>95700</v>
      </c>
      <c r="N1408" s="18">
        <v>102.35</v>
      </c>
      <c r="O1408" s="26">
        <v>45474</v>
      </c>
      <c r="P1408" s="2" t="s">
        <v>2105</v>
      </c>
      <c r="Q1408" s="2" t="s">
        <v>814</v>
      </c>
    </row>
    <row r="1409" spans="2:17" x14ac:dyDescent="0.25">
      <c r="B1409" s="2" t="s">
        <v>2214</v>
      </c>
      <c r="C1409" s="2" t="s">
        <v>174</v>
      </c>
      <c r="D1409" s="2" t="s">
        <v>175</v>
      </c>
      <c r="E1409" s="2" t="s">
        <v>176</v>
      </c>
      <c r="F1409" s="2" t="s">
        <v>535</v>
      </c>
      <c r="G1409" s="2" t="s">
        <v>445</v>
      </c>
      <c r="H1409" s="2" t="s">
        <v>446</v>
      </c>
      <c r="I1409" s="26">
        <v>45216</v>
      </c>
      <c r="J1409" s="2">
        <v>47</v>
      </c>
      <c r="K1409" s="2" t="s">
        <v>177</v>
      </c>
      <c r="L1409" s="22">
        <v>1450</v>
      </c>
      <c r="M1409" s="22">
        <v>68150</v>
      </c>
      <c r="N1409" s="18">
        <v>72.89</v>
      </c>
      <c r="O1409" s="26">
        <v>45516</v>
      </c>
      <c r="P1409" s="2" t="s">
        <v>2105</v>
      </c>
      <c r="Q1409" s="2" t="s">
        <v>814</v>
      </c>
    </row>
    <row r="1410" spans="2:17" x14ac:dyDescent="0.25">
      <c r="B1410" s="2" t="s">
        <v>2215</v>
      </c>
      <c r="C1410" s="2" t="s">
        <v>174</v>
      </c>
      <c r="D1410" s="2" t="s">
        <v>175</v>
      </c>
      <c r="E1410" s="2" t="s">
        <v>176</v>
      </c>
      <c r="F1410" s="2" t="s">
        <v>537</v>
      </c>
      <c r="G1410" s="2" t="s">
        <v>450</v>
      </c>
      <c r="H1410" s="2" t="s">
        <v>451</v>
      </c>
      <c r="I1410" s="26">
        <v>45247</v>
      </c>
      <c r="J1410" s="2">
        <v>44</v>
      </c>
      <c r="K1410" s="2" t="s">
        <v>177</v>
      </c>
      <c r="L1410" s="22">
        <v>1400</v>
      </c>
      <c r="M1410" s="22">
        <v>61600</v>
      </c>
      <c r="N1410" s="18">
        <v>65.88</v>
      </c>
      <c r="O1410" s="26">
        <v>45547</v>
      </c>
      <c r="P1410" s="2" t="s">
        <v>2105</v>
      </c>
      <c r="Q1410" s="2" t="s">
        <v>814</v>
      </c>
    </row>
    <row r="1411" spans="2:17" x14ac:dyDescent="0.25">
      <c r="B1411" s="2" t="s">
        <v>2216</v>
      </c>
      <c r="C1411" s="2" t="s">
        <v>174</v>
      </c>
      <c r="D1411" s="2" t="s">
        <v>175</v>
      </c>
      <c r="E1411" s="2" t="s">
        <v>176</v>
      </c>
      <c r="F1411" s="2" t="s">
        <v>535</v>
      </c>
      <c r="G1411" s="2" t="s">
        <v>445</v>
      </c>
      <c r="H1411" s="2" t="s">
        <v>446</v>
      </c>
      <c r="I1411" s="26">
        <v>45279</v>
      </c>
      <c r="J1411" s="2">
        <v>57</v>
      </c>
      <c r="K1411" s="2" t="s">
        <v>177</v>
      </c>
      <c r="L1411" s="22">
        <v>1450</v>
      </c>
      <c r="M1411" s="22">
        <v>82650</v>
      </c>
      <c r="N1411" s="18">
        <v>88.4</v>
      </c>
      <c r="O1411" s="26">
        <v>45579</v>
      </c>
      <c r="P1411" s="2" t="s">
        <v>2105</v>
      </c>
      <c r="Q1411" s="2" t="s">
        <v>825</v>
      </c>
    </row>
    <row r="1412" spans="2:17" x14ac:dyDescent="0.25">
      <c r="B1412" s="2" t="s">
        <v>2217</v>
      </c>
      <c r="C1412" s="2" t="s">
        <v>174</v>
      </c>
      <c r="D1412" s="2" t="s">
        <v>175</v>
      </c>
      <c r="E1412" s="2" t="s">
        <v>176</v>
      </c>
      <c r="F1412" s="2" t="s">
        <v>535</v>
      </c>
      <c r="G1412" s="2" t="s">
        <v>445</v>
      </c>
      <c r="H1412" s="2" t="s">
        <v>446</v>
      </c>
      <c r="I1412" s="26">
        <v>45321</v>
      </c>
      <c r="J1412" s="2">
        <v>54</v>
      </c>
      <c r="K1412" s="2" t="s">
        <v>177</v>
      </c>
      <c r="L1412" s="22">
        <v>1450</v>
      </c>
      <c r="M1412" s="22">
        <v>78300</v>
      </c>
      <c r="N1412" s="18">
        <v>83.74</v>
      </c>
      <c r="O1412" s="26">
        <v>45621</v>
      </c>
      <c r="P1412" s="2" t="s">
        <v>2105</v>
      </c>
      <c r="Q1412" s="2" t="s">
        <v>825</v>
      </c>
    </row>
    <row r="1413" spans="2:17" x14ac:dyDescent="0.25">
      <c r="B1413" s="2" t="s">
        <v>2218</v>
      </c>
      <c r="C1413" s="2" t="s">
        <v>174</v>
      </c>
      <c r="D1413" s="2" t="s">
        <v>175</v>
      </c>
      <c r="E1413" s="2" t="s">
        <v>176</v>
      </c>
      <c r="F1413" s="2" t="s">
        <v>537</v>
      </c>
      <c r="G1413" s="2" t="s">
        <v>450</v>
      </c>
      <c r="H1413" s="2" t="s">
        <v>451</v>
      </c>
      <c r="I1413" s="26">
        <v>45358</v>
      </c>
      <c r="J1413" s="2">
        <v>43</v>
      </c>
      <c r="K1413" s="2" t="s">
        <v>177</v>
      </c>
      <c r="L1413" s="22">
        <v>1400</v>
      </c>
      <c r="M1413" s="22">
        <v>60200</v>
      </c>
      <c r="N1413" s="18">
        <v>64.39</v>
      </c>
      <c r="O1413" s="26">
        <v>45658</v>
      </c>
      <c r="P1413" s="2" t="s">
        <v>2105</v>
      </c>
      <c r="Q1413" s="2" t="s">
        <v>836</v>
      </c>
    </row>
    <row r="1414" spans="2:17" x14ac:dyDescent="0.25">
      <c r="B1414" s="2" t="s">
        <v>2219</v>
      </c>
      <c r="C1414" s="2" t="s">
        <v>174</v>
      </c>
      <c r="D1414" s="2" t="s">
        <v>175</v>
      </c>
      <c r="E1414" s="2" t="s">
        <v>176</v>
      </c>
      <c r="F1414" s="2" t="s">
        <v>535</v>
      </c>
      <c r="G1414" s="2" t="s">
        <v>445</v>
      </c>
      <c r="H1414" s="2" t="s">
        <v>446</v>
      </c>
      <c r="I1414" s="26">
        <v>45382</v>
      </c>
      <c r="J1414" s="2">
        <v>55</v>
      </c>
      <c r="K1414" s="2" t="s">
        <v>177</v>
      </c>
      <c r="L1414" s="22">
        <v>1450</v>
      </c>
      <c r="M1414" s="22">
        <v>79750</v>
      </c>
      <c r="N1414" s="18">
        <v>85.29</v>
      </c>
      <c r="O1414" s="26">
        <v>45682</v>
      </c>
      <c r="P1414" s="2" t="s">
        <v>2105</v>
      </c>
      <c r="Q1414" s="2" t="s">
        <v>836</v>
      </c>
    </row>
    <row r="1415" spans="2:17" x14ac:dyDescent="0.25">
      <c r="B1415" s="2" t="s">
        <v>2220</v>
      </c>
      <c r="C1415" s="2" t="s">
        <v>174</v>
      </c>
      <c r="D1415" s="2" t="s">
        <v>175</v>
      </c>
      <c r="E1415" s="2" t="s">
        <v>176</v>
      </c>
      <c r="F1415" s="2" t="s">
        <v>535</v>
      </c>
      <c r="G1415" s="2" t="s">
        <v>445</v>
      </c>
      <c r="H1415" s="2" t="s">
        <v>446</v>
      </c>
      <c r="I1415" s="26">
        <v>45418</v>
      </c>
      <c r="J1415" s="2">
        <v>48</v>
      </c>
      <c r="K1415" s="2" t="s">
        <v>177</v>
      </c>
      <c r="L1415" s="22">
        <v>1450</v>
      </c>
      <c r="M1415" s="22">
        <v>69600</v>
      </c>
      <c r="N1415" s="18">
        <v>74.44</v>
      </c>
      <c r="O1415" s="26">
        <v>45718</v>
      </c>
      <c r="P1415" s="2" t="s">
        <v>2105</v>
      </c>
      <c r="Q1415" s="2" t="s">
        <v>836</v>
      </c>
    </row>
    <row r="1416" spans="2:17" x14ac:dyDescent="0.25">
      <c r="B1416" s="2" t="s">
        <v>2221</v>
      </c>
      <c r="C1416" s="2" t="s">
        <v>174</v>
      </c>
      <c r="D1416" s="2" t="s">
        <v>175</v>
      </c>
      <c r="E1416" s="2" t="s">
        <v>176</v>
      </c>
      <c r="F1416" s="2" t="s">
        <v>535</v>
      </c>
      <c r="G1416" s="2" t="s">
        <v>445</v>
      </c>
      <c r="H1416" s="2" t="s">
        <v>446</v>
      </c>
      <c r="I1416" s="26">
        <v>45457</v>
      </c>
      <c r="J1416" s="2">
        <v>47</v>
      </c>
      <c r="K1416" s="2" t="s">
        <v>177</v>
      </c>
      <c r="L1416" s="22">
        <v>1450</v>
      </c>
      <c r="M1416" s="22">
        <v>68150</v>
      </c>
      <c r="N1416" s="18">
        <v>72.89</v>
      </c>
      <c r="O1416" s="26">
        <v>45757</v>
      </c>
      <c r="P1416" s="2" t="s">
        <v>2105</v>
      </c>
      <c r="Q1416" s="2" t="s">
        <v>806</v>
      </c>
    </row>
    <row r="1417" spans="2:17" x14ac:dyDescent="0.25">
      <c r="B1417" s="2" t="s">
        <v>2222</v>
      </c>
      <c r="C1417" s="2" t="s">
        <v>174</v>
      </c>
      <c r="D1417" s="2" t="s">
        <v>175</v>
      </c>
      <c r="E1417" s="2" t="s">
        <v>176</v>
      </c>
      <c r="F1417" s="2" t="s">
        <v>535</v>
      </c>
      <c r="G1417" s="2" t="s">
        <v>445</v>
      </c>
      <c r="H1417" s="2" t="s">
        <v>446</v>
      </c>
      <c r="I1417" s="26">
        <v>45487</v>
      </c>
      <c r="J1417" s="2">
        <v>45</v>
      </c>
      <c r="K1417" s="2" t="s">
        <v>177</v>
      </c>
      <c r="L1417" s="22">
        <v>1450</v>
      </c>
      <c r="M1417" s="22">
        <v>65250</v>
      </c>
      <c r="N1417" s="18">
        <v>69.790000000000006</v>
      </c>
      <c r="O1417" s="26">
        <v>45787</v>
      </c>
      <c r="P1417" s="2" t="s">
        <v>2105</v>
      </c>
      <c r="Q1417" s="2" t="s">
        <v>806</v>
      </c>
    </row>
    <row r="1418" spans="2:17" x14ac:dyDescent="0.25">
      <c r="B1418" s="2" t="s">
        <v>2223</v>
      </c>
      <c r="C1418" s="2" t="s">
        <v>174</v>
      </c>
      <c r="D1418" s="2" t="s">
        <v>175</v>
      </c>
      <c r="E1418" s="2" t="s">
        <v>176</v>
      </c>
      <c r="F1418" s="2" t="s">
        <v>535</v>
      </c>
      <c r="G1418" s="2" t="s">
        <v>445</v>
      </c>
      <c r="H1418" s="2" t="s">
        <v>446</v>
      </c>
      <c r="I1418" s="26">
        <v>45517</v>
      </c>
      <c r="J1418" s="2">
        <v>53</v>
      </c>
      <c r="K1418" s="2" t="s">
        <v>177</v>
      </c>
      <c r="L1418" s="22">
        <v>1450</v>
      </c>
      <c r="M1418" s="22">
        <v>76850</v>
      </c>
      <c r="N1418" s="18">
        <v>82.19</v>
      </c>
      <c r="O1418" s="26">
        <v>45817</v>
      </c>
      <c r="P1418" s="2" t="s">
        <v>2105</v>
      </c>
      <c r="Q1418" s="2" t="s">
        <v>806</v>
      </c>
    </row>
    <row r="1419" spans="2:17" x14ac:dyDescent="0.25">
      <c r="B1419" s="2" t="s">
        <v>2224</v>
      </c>
      <c r="C1419" s="2" t="s">
        <v>174</v>
      </c>
      <c r="D1419" s="2" t="s">
        <v>175</v>
      </c>
      <c r="E1419" s="2" t="s">
        <v>176</v>
      </c>
      <c r="F1419" s="2" t="s">
        <v>535</v>
      </c>
      <c r="G1419" s="2" t="s">
        <v>445</v>
      </c>
      <c r="H1419" s="2" t="s">
        <v>446</v>
      </c>
      <c r="I1419" s="26">
        <v>45557</v>
      </c>
      <c r="J1419" s="2">
        <v>66</v>
      </c>
      <c r="K1419" s="2" t="s">
        <v>177</v>
      </c>
      <c r="L1419" s="22">
        <v>1450</v>
      </c>
      <c r="M1419" s="22">
        <v>95700</v>
      </c>
      <c r="N1419" s="18">
        <v>102.35</v>
      </c>
      <c r="O1419" s="26">
        <v>45857</v>
      </c>
      <c r="P1419" s="2" t="s">
        <v>2105</v>
      </c>
      <c r="Q1419" s="2" t="s">
        <v>814</v>
      </c>
    </row>
    <row r="1420" spans="2:17" x14ac:dyDescent="0.25">
      <c r="B1420" s="2" t="s">
        <v>2225</v>
      </c>
      <c r="C1420" s="2" t="s">
        <v>174</v>
      </c>
      <c r="D1420" s="2" t="s">
        <v>175</v>
      </c>
      <c r="E1420" s="2" t="s">
        <v>176</v>
      </c>
      <c r="F1420" s="2" t="s">
        <v>535</v>
      </c>
      <c r="G1420" s="2" t="s">
        <v>445</v>
      </c>
      <c r="H1420" s="2" t="s">
        <v>446</v>
      </c>
      <c r="I1420" s="26">
        <v>45589</v>
      </c>
      <c r="J1420" s="2">
        <v>47</v>
      </c>
      <c r="K1420" s="2" t="s">
        <v>177</v>
      </c>
      <c r="L1420" s="22">
        <v>1450</v>
      </c>
      <c r="M1420" s="22">
        <v>68150</v>
      </c>
      <c r="N1420" s="18">
        <v>72.89</v>
      </c>
      <c r="O1420" s="26">
        <v>45889</v>
      </c>
      <c r="P1420" s="2" t="s">
        <v>2105</v>
      </c>
      <c r="Q1420" s="2" t="s">
        <v>814</v>
      </c>
    </row>
    <row r="1421" spans="2:17" x14ac:dyDescent="0.25">
      <c r="B1421" s="2" t="s">
        <v>2226</v>
      </c>
      <c r="C1421" s="2" t="s">
        <v>174</v>
      </c>
      <c r="D1421" s="2" t="s">
        <v>175</v>
      </c>
      <c r="E1421" s="2" t="s">
        <v>176</v>
      </c>
      <c r="F1421" s="2" t="s">
        <v>537</v>
      </c>
      <c r="G1421" s="2" t="s">
        <v>450</v>
      </c>
      <c r="H1421" s="2" t="s">
        <v>451</v>
      </c>
      <c r="I1421" s="26">
        <v>45631</v>
      </c>
      <c r="J1421" s="2">
        <v>58</v>
      </c>
      <c r="K1421" s="2" t="s">
        <v>177</v>
      </c>
      <c r="L1421" s="22">
        <v>1400</v>
      </c>
      <c r="M1421" s="22">
        <v>81200</v>
      </c>
      <c r="N1421" s="18">
        <v>86.84</v>
      </c>
      <c r="O1421" s="26">
        <v>45931</v>
      </c>
      <c r="P1421" s="2" t="s">
        <v>2105</v>
      </c>
      <c r="Q1421" s="2" t="s">
        <v>825</v>
      </c>
    </row>
    <row r="1422" spans="2:17" x14ac:dyDescent="0.25">
      <c r="B1422" s="2" t="s">
        <v>2227</v>
      </c>
      <c r="C1422" s="2" t="s">
        <v>174</v>
      </c>
      <c r="D1422" s="2" t="s">
        <v>175</v>
      </c>
      <c r="E1422" s="2" t="s">
        <v>176</v>
      </c>
      <c r="F1422" s="2" t="s">
        <v>535</v>
      </c>
      <c r="G1422" s="2" t="s">
        <v>445</v>
      </c>
      <c r="H1422" s="2" t="s">
        <v>446</v>
      </c>
      <c r="I1422" s="26">
        <v>45658</v>
      </c>
      <c r="J1422" s="2">
        <v>54</v>
      </c>
      <c r="K1422" s="2" t="s">
        <v>177</v>
      </c>
      <c r="L1422" s="22">
        <v>1450</v>
      </c>
      <c r="M1422" s="22">
        <v>78300</v>
      </c>
      <c r="N1422" s="18">
        <v>83.74</v>
      </c>
      <c r="O1422" s="26">
        <v>45958</v>
      </c>
      <c r="P1422" s="2" t="s">
        <v>2105</v>
      </c>
      <c r="Q1422" s="2" t="s">
        <v>825</v>
      </c>
    </row>
    <row r="1423" spans="2:17" x14ac:dyDescent="0.25">
      <c r="B1423" s="2" t="s">
        <v>2228</v>
      </c>
      <c r="C1423" s="2" t="s">
        <v>174</v>
      </c>
      <c r="D1423" s="2" t="s">
        <v>175</v>
      </c>
      <c r="E1423" s="2" t="s">
        <v>176</v>
      </c>
      <c r="F1423" s="2" t="s">
        <v>535</v>
      </c>
      <c r="G1423" s="2" t="s">
        <v>445</v>
      </c>
      <c r="H1423" s="2" t="s">
        <v>446</v>
      </c>
      <c r="I1423" s="26">
        <v>45689</v>
      </c>
      <c r="J1423" s="2">
        <v>53</v>
      </c>
      <c r="K1423" s="2" t="s">
        <v>177</v>
      </c>
      <c r="L1423" s="22">
        <v>1450</v>
      </c>
      <c r="M1423" s="22">
        <v>76850</v>
      </c>
      <c r="N1423" s="18">
        <v>82.19</v>
      </c>
      <c r="O1423" s="26">
        <v>45989</v>
      </c>
      <c r="P1423" s="2" t="s">
        <v>2105</v>
      </c>
      <c r="Q1423" s="2" t="s">
        <v>825</v>
      </c>
    </row>
    <row r="1424" spans="2:17" x14ac:dyDescent="0.25">
      <c r="B1424" s="2" t="s">
        <v>2229</v>
      </c>
      <c r="C1424" s="2" t="s">
        <v>174</v>
      </c>
      <c r="D1424" s="2" t="s">
        <v>175</v>
      </c>
      <c r="E1424" s="2" t="s">
        <v>176</v>
      </c>
      <c r="F1424" s="2" t="s">
        <v>537</v>
      </c>
      <c r="G1424" s="2" t="s">
        <v>450</v>
      </c>
      <c r="H1424" s="2" t="s">
        <v>451</v>
      </c>
      <c r="I1424" s="26">
        <v>45729</v>
      </c>
      <c r="J1424" s="2">
        <v>48</v>
      </c>
      <c r="K1424" s="2" t="s">
        <v>177</v>
      </c>
      <c r="L1424" s="22">
        <v>1400</v>
      </c>
      <c r="M1424" s="22">
        <v>67200</v>
      </c>
      <c r="N1424" s="18">
        <v>71.87</v>
      </c>
      <c r="O1424" s="26">
        <v>46029</v>
      </c>
      <c r="P1424" s="2" t="s">
        <v>2105</v>
      </c>
      <c r="Q1424" s="2" t="s">
        <v>836</v>
      </c>
    </row>
    <row r="1425" spans="2:17" x14ac:dyDescent="0.25">
      <c r="B1425" s="2" t="s">
        <v>2230</v>
      </c>
      <c r="C1425" s="2" t="s">
        <v>174</v>
      </c>
      <c r="D1425" s="2" t="s">
        <v>175</v>
      </c>
      <c r="E1425" s="2" t="s">
        <v>176</v>
      </c>
      <c r="F1425" s="2" t="s">
        <v>535</v>
      </c>
      <c r="G1425" s="2" t="s">
        <v>445</v>
      </c>
      <c r="H1425" s="2" t="s">
        <v>446</v>
      </c>
      <c r="I1425" s="26">
        <v>45763</v>
      </c>
      <c r="J1425" s="2">
        <v>48</v>
      </c>
      <c r="K1425" s="2" t="s">
        <v>177</v>
      </c>
      <c r="L1425" s="22">
        <v>1450</v>
      </c>
      <c r="M1425" s="22">
        <v>69600</v>
      </c>
      <c r="N1425" s="18">
        <v>74.44</v>
      </c>
      <c r="O1425" s="26">
        <v>46063</v>
      </c>
      <c r="P1425" s="2" t="s">
        <v>2105</v>
      </c>
      <c r="Q1425" s="2" t="s">
        <v>836</v>
      </c>
    </row>
    <row r="1426" spans="2:17" x14ac:dyDescent="0.25">
      <c r="B1426" s="2" t="s">
        <v>2231</v>
      </c>
      <c r="C1426" s="2" t="s">
        <v>174</v>
      </c>
      <c r="D1426" s="2" t="s">
        <v>175</v>
      </c>
      <c r="E1426" s="2" t="s">
        <v>176</v>
      </c>
      <c r="F1426" s="2" t="s">
        <v>535</v>
      </c>
      <c r="G1426" s="2" t="s">
        <v>445</v>
      </c>
      <c r="H1426" s="2" t="s">
        <v>446</v>
      </c>
      <c r="I1426" s="26">
        <v>45796</v>
      </c>
      <c r="J1426" s="2">
        <v>50</v>
      </c>
      <c r="K1426" s="2" t="s">
        <v>177</v>
      </c>
      <c r="L1426" s="22">
        <v>1450</v>
      </c>
      <c r="M1426" s="22">
        <v>72500</v>
      </c>
      <c r="N1426" s="18">
        <v>77.540000000000006</v>
      </c>
      <c r="O1426" s="26">
        <v>46096</v>
      </c>
      <c r="P1426" s="2" t="s">
        <v>2105</v>
      </c>
      <c r="Q1426" s="2" t="s">
        <v>836</v>
      </c>
    </row>
    <row r="1427" spans="2:17" x14ac:dyDescent="0.25">
      <c r="B1427" s="2" t="s">
        <v>2232</v>
      </c>
      <c r="C1427" s="2" t="s">
        <v>174</v>
      </c>
      <c r="D1427" s="2" t="s">
        <v>175</v>
      </c>
      <c r="E1427" s="2" t="s">
        <v>176</v>
      </c>
      <c r="F1427" s="2" t="s">
        <v>535</v>
      </c>
      <c r="G1427" s="2" t="s">
        <v>445</v>
      </c>
      <c r="H1427" s="2" t="s">
        <v>446</v>
      </c>
      <c r="I1427" s="26">
        <v>45826</v>
      </c>
      <c r="J1427" s="2">
        <v>61</v>
      </c>
      <c r="K1427" s="2" t="s">
        <v>177</v>
      </c>
      <c r="L1427" s="22">
        <v>1450</v>
      </c>
      <c r="M1427" s="22">
        <v>88450</v>
      </c>
      <c r="N1427" s="18">
        <v>94.6</v>
      </c>
      <c r="O1427" s="26">
        <v>46126</v>
      </c>
      <c r="P1427" s="2" t="s">
        <v>2105</v>
      </c>
      <c r="Q1427" s="2" t="s">
        <v>806</v>
      </c>
    </row>
    <row r="1428" spans="2:17" x14ac:dyDescent="0.25">
      <c r="B1428" s="2" t="s">
        <v>2233</v>
      </c>
      <c r="C1428" s="2" t="s">
        <v>178</v>
      </c>
      <c r="D1428" s="2" t="s">
        <v>179</v>
      </c>
      <c r="E1428" s="2" t="s">
        <v>176</v>
      </c>
      <c r="F1428" s="2" t="s">
        <v>535</v>
      </c>
      <c r="G1428" s="2" t="s">
        <v>445</v>
      </c>
      <c r="H1428" s="2" t="s">
        <v>446</v>
      </c>
      <c r="I1428" s="26">
        <v>45136</v>
      </c>
      <c r="J1428" s="2">
        <v>22</v>
      </c>
      <c r="K1428" s="2" t="s">
        <v>180</v>
      </c>
      <c r="L1428" s="22">
        <v>1350</v>
      </c>
      <c r="M1428" s="22">
        <v>29700</v>
      </c>
      <c r="N1428" s="18">
        <v>31.76</v>
      </c>
      <c r="O1428" s="26">
        <v>45436</v>
      </c>
      <c r="P1428" s="2" t="s">
        <v>2105</v>
      </c>
      <c r="Q1428" s="2" t="s">
        <v>806</v>
      </c>
    </row>
    <row r="1429" spans="2:17" x14ac:dyDescent="0.25">
      <c r="B1429" s="2" t="s">
        <v>2234</v>
      </c>
      <c r="C1429" s="2" t="s">
        <v>178</v>
      </c>
      <c r="D1429" s="2" t="s">
        <v>179</v>
      </c>
      <c r="E1429" s="2" t="s">
        <v>176</v>
      </c>
      <c r="F1429" s="2" t="s">
        <v>535</v>
      </c>
      <c r="G1429" s="2" t="s">
        <v>445</v>
      </c>
      <c r="H1429" s="2" t="s">
        <v>446</v>
      </c>
      <c r="I1429" s="26">
        <v>45165</v>
      </c>
      <c r="J1429" s="2">
        <v>21</v>
      </c>
      <c r="K1429" s="2" t="s">
        <v>180</v>
      </c>
      <c r="L1429" s="22">
        <v>1350</v>
      </c>
      <c r="M1429" s="22">
        <v>28350</v>
      </c>
      <c r="N1429" s="18">
        <v>30.32</v>
      </c>
      <c r="O1429" s="26">
        <v>45465</v>
      </c>
      <c r="P1429" s="2" t="s">
        <v>2105</v>
      </c>
      <c r="Q1429" s="2" t="s">
        <v>806</v>
      </c>
    </row>
    <row r="1430" spans="2:17" x14ac:dyDescent="0.25">
      <c r="B1430" s="2" t="s">
        <v>2235</v>
      </c>
      <c r="C1430" s="2" t="s">
        <v>178</v>
      </c>
      <c r="D1430" s="2" t="s">
        <v>179</v>
      </c>
      <c r="E1430" s="2" t="s">
        <v>176</v>
      </c>
      <c r="F1430" s="2" t="s">
        <v>535</v>
      </c>
      <c r="G1430" s="2" t="s">
        <v>445</v>
      </c>
      <c r="H1430" s="2" t="s">
        <v>446</v>
      </c>
      <c r="I1430" s="26">
        <v>45207</v>
      </c>
      <c r="J1430" s="2">
        <v>26</v>
      </c>
      <c r="K1430" s="2" t="s">
        <v>180</v>
      </c>
      <c r="L1430" s="22">
        <v>1350</v>
      </c>
      <c r="M1430" s="22">
        <v>35100</v>
      </c>
      <c r="N1430" s="18">
        <v>37.54</v>
      </c>
      <c r="O1430" s="26">
        <v>45507</v>
      </c>
      <c r="P1430" s="2" t="s">
        <v>2105</v>
      </c>
      <c r="Q1430" s="2" t="s">
        <v>814</v>
      </c>
    </row>
    <row r="1431" spans="2:17" x14ac:dyDescent="0.25">
      <c r="B1431" s="2" t="s">
        <v>2236</v>
      </c>
      <c r="C1431" s="2" t="s">
        <v>178</v>
      </c>
      <c r="D1431" s="2" t="s">
        <v>179</v>
      </c>
      <c r="E1431" s="2" t="s">
        <v>176</v>
      </c>
      <c r="F1431" s="2" t="s">
        <v>535</v>
      </c>
      <c r="G1431" s="2" t="s">
        <v>445</v>
      </c>
      <c r="H1431" s="2" t="s">
        <v>446</v>
      </c>
      <c r="I1431" s="26">
        <v>45242</v>
      </c>
      <c r="J1431" s="2">
        <v>21</v>
      </c>
      <c r="K1431" s="2" t="s">
        <v>180</v>
      </c>
      <c r="L1431" s="22">
        <v>1350</v>
      </c>
      <c r="M1431" s="22">
        <v>28350</v>
      </c>
      <c r="N1431" s="18">
        <v>30.32</v>
      </c>
      <c r="O1431" s="26">
        <v>45542</v>
      </c>
      <c r="P1431" s="2" t="s">
        <v>2105</v>
      </c>
      <c r="Q1431" s="2" t="s">
        <v>814</v>
      </c>
    </row>
    <row r="1432" spans="2:17" x14ac:dyDescent="0.25">
      <c r="B1432" s="2" t="s">
        <v>2237</v>
      </c>
      <c r="C1432" s="2" t="s">
        <v>178</v>
      </c>
      <c r="D1432" s="2" t="s">
        <v>179</v>
      </c>
      <c r="E1432" s="2" t="s">
        <v>176</v>
      </c>
      <c r="F1432" s="2" t="s">
        <v>535</v>
      </c>
      <c r="G1432" s="2" t="s">
        <v>445</v>
      </c>
      <c r="H1432" s="2" t="s">
        <v>446</v>
      </c>
      <c r="I1432" s="26">
        <v>45292</v>
      </c>
      <c r="J1432" s="2">
        <v>23</v>
      </c>
      <c r="K1432" s="2" t="s">
        <v>180</v>
      </c>
      <c r="L1432" s="22">
        <v>1350</v>
      </c>
      <c r="M1432" s="22">
        <v>31050</v>
      </c>
      <c r="N1432" s="18">
        <v>33.21</v>
      </c>
      <c r="O1432" s="26">
        <v>45592</v>
      </c>
      <c r="P1432" s="2" t="s">
        <v>2105</v>
      </c>
      <c r="Q1432" s="2" t="s">
        <v>825</v>
      </c>
    </row>
    <row r="1433" spans="2:17" x14ac:dyDescent="0.25">
      <c r="B1433" s="2" t="s">
        <v>2238</v>
      </c>
      <c r="C1433" s="2" t="s">
        <v>178</v>
      </c>
      <c r="D1433" s="2" t="s">
        <v>179</v>
      </c>
      <c r="E1433" s="2" t="s">
        <v>176</v>
      </c>
      <c r="F1433" s="2" t="s">
        <v>535</v>
      </c>
      <c r="G1433" s="2" t="s">
        <v>445</v>
      </c>
      <c r="H1433" s="2" t="s">
        <v>446</v>
      </c>
      <c r="I1433" s="26">
        <v>45331</v>
      </c>
      <c r="J1433" s="2">
        <v>26</v>
      </c>
      <c r="K1433" s="2" t="s">
        <v>180</v>
      </c>
      <c r="L1433" s="22">
        <v>1350</v>
      </c>
      <c r="M1433" s="22">
        <v>35100</v>
      </c>
      <c r="N1433" s="18">
        <v>37.54</v>
      </c>
      <c r="O1433" s="26">
        <v>45631</v>
      </c>
      <c r="P1433" s="2" t="s">
        <v>2105</v>
      </c>
      <c r="Q1433" s="2" t="s">
        <v>825</v>
      </c>
    </row>
    <row r="1434" spans="2:17" x14ac:dyDescent="0.25">
      <c r="B1434" s="2" t="s">
        <v>2239</v>
      </c>
      <c r="C1434" s="2" t="s">
        <v>178</v>
      </c>
      <c r="D1434" s="2" t="s">
        <v>179</v>
      </c>
      <c r="E1434" s="2" t="s">
        <v>176</v>
      </c>
      <c r="F1434" s="2" t="s">
        <v>535</v>
      </c>
      <c r="G1434" s="2" t="s">
        <v>445</v>
      </c>
      <c r="H1434" s="2" t="s">
        <v>446</v>
      </c>
      <c r="I1434" s="26">
        <v>45362</v>
      </c>
      <c r="J1434" s="2">
        <v>22</v>
      </c>
      <c r="K1434" s="2" t="s">
        <v>180</v>
      </c>
      <c r="L1434" s="22">
        <v>1350</v>
      </c>
      <c r="M1434" s="22">
        <v>29700</v>
      </c>
      <c r="N1434" s="18">
        <v>31.76</v>
      </c>
      <c r="O1434" s="26">
        <v>45662</v>
      </c>
      <c r="P1434" s="2" t="s">
        <v>2105</v>
      </c>
      <c r="Q1434" s="2" t="s">
        <v>836</v>
      </c>
    </row>
    <row r="1435" spans="2:17" x14ac:dyDescent="0.25">
      <c r="B1435" s="2" t="s">
        <v>2240</v>
      </c>
      <c r="C1435" s="2" t="s">
        <v>178</v>
      </c>
      <c r="D1435" s="2" t="s">
        <v>179</v>
      </c>
      <c r="E1435" s="2" t="s">
        <v>176</v>
      </c>
      <c r="F1435" s="2" t="s">
        <v>535</v>
      </c>
      <c r="G1435" s="2" t="s">
        <v>445</v>
      </c>
      <c r="H1435" s="2" t="s">
        <v>446</v>
      </c>
      <c r="I1435" s="26">
        <v>45402</v>
      </c>
      <c r="J1435" s="2">
        <v>22</v>
      </c>
      <c r="K1435" s="2" t="s">
        <v>180</v>
      </c>
      <c r="L1435" s="22">
        <v>1350</v>
      </c>
      <c r="M1435" s="22">
        <v>29700</v>
      </c>
      <c r="N1435" s="18">
        <v>31.76</v>
      </c>
      <c r="O1435" s="26">
        <v>45702</v>
      </c>
      <c r="P1435" s="2" t="s">
        <v>2105</v>
      </c>
      <c r="Q1435" s="2" t="s">
        <v>836</v>
      </c>
    </row>
    <row r="1436" spans="2:17" x14ac:dyDescent="0.25">
      <c r="B1436" s="2" t="s">
        <v>2241</v>
      </c>
      <c r="C1436" s="2" t="s">
        <v>178</v>
      </c>
      <c r="D1436" s="2" t="s">
        <v>179</v>
      </c>
      <c r="E1436" s="2" t="s">
        <v>176</v>
      </c>
      <c r="F1436" s="2" t="s">
        <v>535</v>
      </c>
      <c r="G1436" s="2" t="s">
        <v>445</v>
      </c>
      <c r="H1436" s="2" t="s">
        <v>446</v>
      </c>
      <c r="I1436" s="26">
        <v>45441</v>
      </c>
      <c r="J1436" s="2">
        <v>23</v>
      </c>
      <c r="K1436" s="2" t="s">
        <v>180</v>
      </c>
      <c r="L1436" s="22">
        <v>1350</v>
      </c>
      <c r="M1436" s="22">
        <v>31050</v>
      </c>
      <c r="N1436" s="18">
        <v>33.21</v>
      </c>
      <c r="O1436" s="26">
        <v>45741</v>
      </c>
      <c r="P1436" s="2" t="s">
        <v>2105</v>
      </c>
      <c r="Q1436" s="2" t="s">
        <v>836</v>
      </c>
    </row>
    <row r="1437" spans="2:17" x14ac:dyDescent="0.25">
      <c r="B1437" s="2" t="s">
        <v>2242</v>
      </c>
      <c r="C1437" s="2" t="s">
        <v>178</v>
      </c>
      <c r="D1437" s="2" t="s">
        <v>179</v>
      </c>
      <c r="E1437" s="2" t="s">
        <v>176</v>
      </c>
      <c r="F1437" s="2" t="s">
        <v>535</v>
      </c>
      <c r="G1437" s="2" t="s">
        <v>445</v>
      </c>
      <c r="H1437" s="2" t="s">
        <v>446</v>
      </c>
      <c r="I1437" s="26">
        <v>45482</v>
      </c>
      <c r="J1437" s="2">
        <v>24</v>
      </c>
      <c r="K1437" s="2" t="s">
        <v>180</v>
      </c>
      <c r="L1437" s="22">
        <v>1350</v>
      </c>
      <c r="M1437" s="22">
        <v>32400</v>
      </c>
      <c r="N1437" s="18">
        <v>34.65</v>
      </c>
      <c r="O1437" s="26">
        <v>45782</v>
      </c>
      <c r="P1437" s="2" t="s">
        <v>2105</v>
      </c>
      <c r="Q1437" s="2" t="s">
        <v>806</v>
      </c>
    </row>
    <row r="1438" spans="2:17" x14ac:dyDescent="0.25">
      <c r="B1438" s="2" t="s">
        <v>2243</v>
      </c>
      <c r="C1438" s="2" t="s">
        <v>178</v>
      </c>
      <c r="D1438" s="2" t="s">
        <v>179</v>
      </c>
      <c r="E1438" s="2" t="s">
        <v>176</v>
      </c>
      <c r="F1438" s="2" t="s">
        <v>535</v>
      </c>
      <c r="G1438" s="2" t="s">
        <v>445</v>
      </c>
      <c r="H1438" s="2" t="s">
        <v>446</v>
      </c>
      <c r="I1438" s="26">
        <v>45512</v>
      </c>
      <c r="J1438" s="2">
        <v>22</v>
      </c>
      <c r="K1438" s="2" t="s">
        <v>180</v>
      </c>
      <c r="L1438" s="22">
        <v>1350</v>
      </c>
      <c r="M1438" s="22">
        <v>29700</v>
      </c>
      <c r="N1438" s="18">
        <v>31.76</v>
      </c>
      <c r="O1438" s="26">
        <v>45812</v>
      </c>
      <c r="P1438" s="2" t="s">
        <v>2105</v>
      </c>
      <c r="Q1438" s="2" t="s">
        <v>806</v>
      </c>
    </row>
    <row r="1439" spans="2:17" x14ac:dyDescent="0.25">
      <c r="B1439" s="2" t="s">
        <v>2244</v>
      </c>
      <c r="C1439" s="2" t="s">
        <v>178</v>
      </c>
      <c r="D1439" s="2" t="s">
        <v>179</v>
      </c>
      <c r="E1439" s="2" t="s">
        <v>176</v>
      </c>
      <c r="F1439" s="2" t="s">
        <v>535</v>
      </c>
      <c r="G1439" s="2" t="s">
        <v>445</v>
      </c>
      <c r="H1439" s="2" t="s">
        <v>446</v>
      </c>
      <c r="I1439" s="26">
        <v>45545</v>
      </c>
      <c r="J1439" s="2">
        <v>34</v>
      </c>
      <c r="K1439" s="2" t="s">
        <v>180</v>
      </c>
      <c r="L1439" s="22">
        <v>1350</v>
      </c>
      <c r="M1439" s="22">
        <v>45900</v>
      </c>
      <c r="N1439" s="18">
        <v>49.09</v>
      </c>
      <c r="O1439" s="26">
        <v>45845</v>
      </c>
      <c r="P1439" s="2" t="s">
        <v>2105</v>
      </c>
      <c r="Q1439" s="2" t="s">
        <v>814</v>
      </c>
    </row>
    <row r="1440" spans="2:17" x14ac:dyDescent="0.25">
      <c r="B1440" s="2" t="s">
        <v>2245</v>
      </c>
      <c r="C1440" s="2" t="s">
        <v>178</v>
      </c>
      <c r="D1440" s="2" t="s">
        <v>179</v>
      </c>
      <c r="E1440" s="2" t="s">
        <v>176</v>
      </c>
      <c r="F1440" s="2" t="s">
        <v>535</v>
      </c>
      <c r="G1440" s="2" t="s">
        <v>445</v>
      </c>
      <c r="H1440" s="2" t="s">
        <v>446</v>
      </c>
      <c r="I1440" s="26">
        <v>45578</v>
      </c>
      <c r="J1440" s="2">
        <v>27</v>
      </c>
      <c r="K1440" s="2" t="s">
        <v>180</v>
      </c>
      <c r="L1440" s="22">
        <v>1350</v>
      </c>
      <c r="M1440" s="22">
        <v>36450</v>
      </c>
      <c r="N1440" s="18">
        <v>38.979999999999997</v>
      </c>
      <c r="O1440" s="26">
        <v>45878</v>
      </c>
      <c r="P1440" s="2" t="s">
        <v>2105</v>
      </c>
      <c r="Q1440" s="2" t="s">
        <v>814</v>
      </c>
    </row>
    <row r="1441" spans="2:17" x14ac:dyDescent="0.25">
      <c r="B1441" s="2" t="s">
        <v>2246</v>
      </c>
      <c r="C1441" s="2" t="s">
        <v>178</v>
      </c>
      <c r="D1441" s="2" t="s">
        <v>179</v>
      </c>
      <c r="E1441" s="2" t="s">
        <v>176</v>
      </c>
      <c r="F1441" s="2" t="s">
        <v>535</v>
      </c>
      <c r="G1441" s="2" t="s">
        <v>445</v>
      </c>
      <c r="H1441" s="2" t="s">
        <v>446</v>
      </c>
      <c r="I1441" s="26">
        <v>45615</v>
      </c>
      <c r="J1441" s="2">
        <v>22</v>
      </c>
      <c r="K1441" s="2" t="s">
        <v>180</v>
      </c>
      <c r="L1441" s="22">
        <v>1350</v>
      </c>
      <c r="M1441" s="22">
        <v>29700</v>
      </c>
      <c r="N1441" s="18">
        <v>31.76</v>
      </c>
      <c r="O1441" s="26">
        <v>45915</v>
      </c>
      <c r="P1441" s="2" t="s">
        <v>2105</v>
      </c>
      <c r="Q1441" s="2" t="s">
        <v>814</v>
      </c>
    </row>
    <row r="1442" spans="2:17" x14ac:dyDescent="0.25">
      <c r="B1442" s="2" t="s">
        <v>2247</v>
      </c>
      <c r="C1442" s="2" t="s">
        <v>178</v>
      </c>
      <c r="D1442" s="2" t="s">
        <v>179</v>
      </c>
      <c r="E1442" s="2" t="s">
        <v>176</v>
      </c>
      <c r="F1442" s="2" t="s">
        <v>535</v>
      </c>
      <c r="G1442" s="2" t="s">
        <v>445</v>
      </c>
      <c r="H1442" s="2" t="s">
        <v>446</v>
      </c>
      <c r="I1442" s="26">
        <v>45644</v>
      </c>
      <c r="J1442" s="2">
        <v>32</v>
      </c>
      <c r="K1442" s="2" t="s">
        <v>180</v>
      </c>
      <c r="L1442" s="22">
        <v>1350</v>
      </c>
      <c r="M1442" s="22">
        <v>43200</v>
      </c>
      <c r="N1442" s="18">
        <v>46.2</v>
      </c>
      <c r="O1442" s="26">
        <v>45944</v>
      </c>
      <c r="P1442" s="2" t="s">
        <v>2105</v>
      </c>
      <c r="Q1442" s="2" t="s">
        <v>825</v>
      </c>
    </row>
    <row r="1443" spans="2:17" x14ac:dyDescent="0.25">
      <c r="B1443" s="2" t="s">
        <v>2248</v>
      </c>
      <c r="C1443" s="2" t="s">
        <v>178</v>
      </c>
      <c r="D1443" s="2" t="s">
        <v>179</v>
      </c>
      <c r="E1443" s="2" t="s">
        <v>176</v>
      </c>
      <c r="F1443" s="2" t="s">
        <v>537</v>
      </c>
      <c r="G1443" s="2" t="s">
        <v>450</v>
      </c>
      <c r="H1443" s="2" t="s">
        <v>451</v>
      </c>
      <c r="I1443" s="26">
        <v>45676</v>
      </c>
      <c r="J1443" s="2">
        <v>23</v>
      </c>
      <c r="K1443" s="2" t="s">
        <v>180</v>
      </c>
      <c r="L1443" s="22">
        <v>1400</v>
      </c>
      <c r="M1443" s="22">
        <v>32200</v>
      </c>
      <c r="N1443" s="18">
        <v>34.44</v>
      </c>
      <c r="O1443" s="26">
        <v>45976</v>
      </c>
      <c r="P1443" s="2" t="s">
        <v>2105</v>
      </c>
      <c r="Q1443" s="2" t="s">
        <v>825</v>
      </c>
    </row>
    <row r="1444" spans="2:17" x14ac:dyDescent="0.25">
      <c r="B1444" s="2" t="s">
        <v>2249</v>
      </c>
      <c r="C1444" s="2" t="s">
        <v>178</v>
      </c>
      <c r="D1444" s="2" t="s">
        <v>179</v>
      </c>
      <c r="E1444" s="2" t="s">
        <v>176</v>
      </c>
      <c r="F1444" s="2" t="s">
        <v>535</v>
      </c>
      <c r="G1444" s="2" t="s">
        <v>445</v>
      </c>
      <c r="H1444" s="2" t="s">
        <v>446</v>
      </c>
      <c r="I1444" s="26">
        <v>45711</v>
      </c>
      <c r="J1444" s="2">
        <v>27</v>
      </c>
      <c r="K1444" s="2" t="s">
        <v>180</v>
      </c>
      <c r="L1444" s="22">
        <v>1350</v>
      </c>
      <c r="M1444" s="22">
        <v>36450</v>
      </c>
      <c r="N1444" s="18">
        <v>38.979999999999997</v>
      </c>
      <c r="O1444" s="26">
        <v>46011</v>
      </c>
      <c r="P1444" s="2" t="s">
        <v>2105</v>
      </c>
      <c r="Q1444" s="2" t="s">
        <v>825</v>
      </c>
    </row>
    <row r="1445" spans="2:17" x14ac:dyDescent="0.25">
      <c r="B1445" s="2" t="s">
        <v>2250</v>
      </c>
      <c r="C1445" s="2" t="s">
        <v>178</v>
      </c>
      <c r="D1445" s="2" t="s">
        <v>179</v>
      </c>
      <c r="E1445" s="2" t="s">
        <v>176</v>
      </c>
      <c r="F1445" s="2" t="s">
        <v>535</v>
      </c>
      <c r="G1445" s="2" t="s">
        <v>445</v>
      </c>
      <c r="H1445" s="2" t="s">
        <v>446</v>
      </c>
      <c r="I1445" s="26">
        <v>45746</v>
      </c>
      <c r="J1445" s="2">
        <v>27</v>
      </c>
      <c r="K1445" s="2" t="s">
        <v>180</v>
      </c>
      <c r="L1445" s="22">
        <v>1350</v>
      </c>
      <c r="M1445" s="22">
        <v>36450</v>
      </c>
      <c r="N1445" s="18">
        <v>38.979999999999997</v>
      </c>
      <c r="O1445" s="26">
        <v>46046</v>
      </c>
      <c r="P1445" s="2" t="s">
        <v>2105</v>
      </c>
      <c r="Q1445" s="2" t="s">
        <v>836</v>
      </c>
    </row>
    <row r="1446" spans="2:17" x14ac:dyDescent="0.25">
      <c r="B1446" s="2" t="s">
        <v>2251</v>
      </c>
      <c r="C1446" s="2" t="s">
        <v>178</v>
      </c>
      <c r="D1446" s="2" t="s">
        <v>179</v>
      </c>
      <c r="E1446" s="2" t="s">
        <v>176</v>
      </c>
      <c r="F1446" s="2" t="s">
        <v>535</v>
      </c>
      <c r="G1446" s="2" t="s">
        <v>445</v>
      </c>
      <c r="H1446" s="2" t="s">
        <v>446</v>
      </c>
      <c r="I1446" s="26">
        <v>45779</v>
      </c>
      <c r="J1446" s="2">
        <v>25</v>
      </c>
      <c r="K1446" s="2" t="s">
        <v>180</v>
      </c>
      <c r="L1446" s="22">
        <v>1350</v>
      </c>
      <c r="M1446" s="22">
        <v>33750</v>
      </c>
      <c r="N1446" s="18">
        <v>36.1</v>
      </c>
      <c r="O1446" s="26">
        <v>46079</v>
      </c>
      <c r="P1446" s="2" t="s">
        <v>2105</v>
      </c>
      <c r="Q1446" s="2" t="s">
        <v>836</v>
      </c>
    </row>
    <row r="1447" spans="2:17" x14ac:dyDescent="0.25">
      <c r="B1447" s="2" t="s">
        <v>2252</v>
      </c>
      <c r="C1447" s="2" t="s">
        <v>178</v>
      </c>
      <c r="D1447" s="2" t="s">
        <v>179</v>
      </c>
      <c r="E1447" s="2" t="s">
        <v>176</v>
      </c>
      <c r="F1447" s="2" t="s">
        <v>535</v>
      </c>
      <c r="G1447" s="2" t="s">
        <v>445</v>
      </c>
      <c r="H1447" s="2" t="s">
        <v>446</v>
      </c>
      <c r="I1447" s="26">
        <v>45817</v>
      </c>
      <c r="J1447" s="2">
        <v>24</v>
      </c>
      <c r="K1447" s="2" t="s">
        <v>180</v>
      </c>
      <c r="L1447" s="22">
        <v>1350</v>
      </c>
      <c r="M1447" s="22">
        <v>32400</v>
      </c>
      <c r="N1447" s="18">
        <v>34.65</v>
      </c>
      <c r="O1447" s="26">
        <v>46117</v>
      </c>
      <c r="P1447" s="2" t="s">
        <v>2105</v>
      </c>
      <c r="Q1447" s="2" t="s">
        <v>806</v>
      </c>
    </row>
    <row r="1448" spans="2:17" x14ac:dyDescent="0.25">
      <c r="B1448" s="2" t="s">
        <v>2253</v>
      </c>
      <c r="C1448" s="2" t="s">
        <v>181</v>
      </c>
      <c r="D1448" s="2" t="s">
        <v>182</v>
      </c>
      <c r="E1448" s="2" t="s">
        <v>176</v>
      </c>
      <c r="F1448" s="2" t="s">
        <v>535</v>
      </c>
      <c r="G1448" s="2" t="s">
        <v>445</v>
      </c>
      <c r="H1448" s="2" t="s">
        <v>446</v>
      </c>
      <c r="I1448" s="26">
        <v>45110</v>
      </c>
      <c r="J1448" s="2">
        <v>48</v>
      </c>
      <c r="K1448" s="2" t="s">
        <v>183</v>
      </c>
      <c r="L1448" s="22">
        <v>1400</v>
      </c>
      <c r="M1448" s="22">
        <v>67200</v>
      </c>
      <c r="N1448" s="18">
        <v>71.87</v>
      </c>
      <c r="O1448" s="26">
        <v>45410</v>
      </c>
      <c r="P1448" s="2" t="s">
        <v>2105</v>
      </c>
      <c r="Q1448" s="2" t="s">
        <v>806</v>
      </c>
    </row>
    <row r="1449" spans="2:17" x14ac:dyDescent="0.25">
      <c r="B1449" s="2" t="s">
        <v>2254</v>
      </c>
      <c r="C1449" s="2" t="s">
        <v>181</v>
      </c>
      <c r="D1449" s="2" t="s">
        <v>182</v>
      </c>
      <c r="E1449" s="2" t="s">
        <v>176</v>
      </c>
      <c r="F1449" s="2" t="s">
        <v>535</v>
      </c>
      <c r="G1449" s="2" t="s">
        <v>445</v>
      </c>
      <c r="H1449" s="2" t="s">
        <v>446</v>
      </c>
      <c r="I1449" s="26">
        <v>45146</v>
      </c>
      <c r="J1449" s="2">
        <v>47</v>
      </c>
      <c r="K1449" s="2" t="s">
        <v>183</v>
      </c>
      <c r="L1449" s="22">
        <v>1400</v>
      </c>
      <c r="M1449" s="22">
        <v>65800</v>
      </c>
      <c r="N1449" s="18">
        <v>70.37</v>
      </c>
      <c r="O1449" s="26">
        <v>45446</v>
      </c>
      <c r="P1449" s="2" t="s">
        <v>2105</v>
      </c>
      <c r="Q1449" s="2" t="s">
        <v>806</v>
      </c>
    </row>
    <row r="1450" spans="2:17" x14ac:dyDescent="0.25">
      <c r="B1450" s="2" t="s">
        <v>2255</v>
      </c>
      <c r="C1450" s="2" t="s">
        <v>181</v>
      </c>
      <c r="D1450" s="2" t="s">
        <v>182</v>
      </c>
      <c r="E1450" s="2" t="s">
        <v>176</v>
      </c>
      <c r="F1450" s="2" t="s">
        <v>535</v>
      </c>
      <c r="G1450" s="2" t="s">
        <v>445</v>
      </c>
      <c r="H1450" s="2" t="s">
        <v>446</v>
      </c>
      <c r="I1450" s="26">
        <v>45185</v>
      </c>
      <c r="J1450" s="2">
        <v>67</v>
      </c>
      <c r="K1450" s="2" t="s">
        <v>183</v>
      </c>
      <c r="L1450" s="22">
        <v>1400</v>
      </c>
      <c r="M1450" s="22">
        <v>93800</v>
      </c>
      <c r="N1450" s="18">
        <v>100.32</v>
      </c>
      <c r="O1450" s="26">
        <v>45485</v>
      </c>
      <c r="P1450" s="2" t="s">
        <v>2105</v>
      </c>
      <c r="Q1450" s="2" t="s">
        <v>814</v>
      </c>
    </row>
    <row r="1451" spans="2:17" x14ac:dyDescent="0.25">
      <c r="B1451" s="2" t="s">
        <v>2256</v>
      </c>
      <c r="C1451" s="2" t="s">
        <v>181</v>
      </c>
      <c r="D1451" s="2" t="s">
        <v>182</v>
      </c>
      <c r="E1451" s="2" t="s">
        <v>176</v>
      </c>
      <c r="F1451" s="2" t="s">
        <v>535</v>
      </c>
      <c r="G1451" s="2" t="s">
        <v>445</v>
      </c>
      <c r="H1451" s="2" t="s">
        <v>446</v>
      </c>
      <c r="I1451" s="26">
        <v>45215</v>
      </c>
      <c r="J1451" s="2">
        <v>54</v>
      </c>
      <c r="K1451" s="2" t="s">
        <v>183</v>
      </c>
      <c r="L1451" s="22">
        <v>1400</v>
      </c>
      <c r="M1451" s="22">
        <v>75600</v>
      </c>
      <c r="N1451" s="18">
        <v>80.86</v>
      </c>
      <c r="O1451" s="26">
        <v>45515</v>
      </c>
      <c r="P1451" s="2" t="s">
        <v>2105</v>
      </c>
      <c r="Q1451" s="2" t="s">
        <v>814</v>
      </c>
    </row>
    <row r="1452" spans="2:17" x14ac:dyDescent="0.25">
      <c r="B1452" s="2" t="s">
        <v>2257</v>
      </c>
      <c r="C1452" s="2" t="s">
        <v>181</v>
      </c>
      <c r="D1452" s="2" t="s">
        <v>182</v>
      </c>
      <c r="E1452" s="2" t="s">
        <v>176</v>
      </c>
      <c r="F1452" s="2" t="s">
        <v>535</v>
      </c>
      <c r="G1452" s="2" t="s">
        <v>445</v>
      </c>
      <c r="H1452" s="2" t="s">
        <v>446</v>
      </c>
      <c r="I1452" s="26">
        <v>45251</v>
      </c>
      <c r="J1452" s="2">
        <v>45</v>
      </c>
      <c r="K1452" s="2" t="s">
        <v>183</v>
      </c>
      <c r="L1452" s="22">
        <v>1400</v>
      </c>
      <c r="M1452" s="22">
        <v>63000</v>
      </c>
      <c r="N1452" s="18">
        <v>67.38</v>
      </c>
      <c r="O1452" s="26">
        <v>45551</v>
      </c>
      <c r="P1452" s="2" t="s">
        <v>2105</v>
      </c>
      <c r="Q1452" s="2" t="s">
        <v>814</v>
      </c>
    </row>
    <row r="1453" spans="2:17" x14ac:dyDescent="0.25">
      <c r="B1453" s="2" t="s">
        <v>2258</v>
      </c>
      <c r="C1453" s="2" t="s">
        <v>181</v>
      </c>
      <c r="D1453" s="2" t="s">
        <v>182</v>
      </c>
      <c r="E1453" s="2" t="s">
        <v>176</v>
      </c>
      <c r="F1453" s="2" t="s">
        <v>537</v>
      </c>
      <c r="G1453" s="2" t="s">
        <v>450</v>
      </c>
      <c r="H1453" s="2" t="s">
        <v>451</v>
      </c>
      <c r="I1453" s="26">
        <v>45292</v>
      </c>
      <c r="J1453" s="2">
        <v>53</v>
      </c>
      <c r="K1453" s="2" t="s">
        <v>183</v>
      </c>
      <c r="L1453" s="22">
        <v>1450</v>
      </c>
      <c r="M1453" s="22">
        <v>76850</v>
      </c>
      <c r="N1453" s="18">
        <v>82.19</v>
      </c>
      <c r="O1453" s="26">
        <v>45592</v>
      </c>
      <c r="P1453" s="2" t="s">
        <v>2105</v>
      </c>
      <c r="Q1453" s="2" t="s">
        <v>825</v>
      </c>
    </row>
    <row r="1454" spans="2:17" x14ac:dyDescent="0.25">
      <c r="B1454" s="2" t="s">
        <v>2259</v>
      </c>
      <c r="C1454" s="2" t="s">
        <v>181</v>
      </c>
      <c r="D1454" s="2" t="s">
        <v>182</v>
      </c>
      <c r="E1454" s="2" t="s">
        <v>176</v>
      </c>
      <c r="F1454" s="2" t="s">
        <v>535</v>
      </c>
      <c r="G1454" s="2" t="s">
        <v>445</v>
      </c>
      <c r="H1454" s="2" t="s">
        <v>446</v>
      </c>
      <c r="I1454" s="26">
        <v>45326</v>
      </c>
      <c r="J1454" s="2">
        <v>50</v>
      </c>
      <c r="K1454" s="2" t="s">
        <v>183</v>
      </c>
      <c r="L1454" s="22">
        <v>1400</v>
      </c>
      <c r="M1454" s="22">
        <v>70000</v>
      </c>
      <c r="N1454" s="18">
        <v>74.87</v>
      </c>
      <c r="O1454" s="26">
        <v>45626</v>
      </c>
      <c r="P1454" s="2" t="s">
        <v>2105</v>
      </c>
      <c r="Q1454" s="2" t="s">
        <v>825</v>
      </c>
    </row>
    <row r="1455" spans="2:17" x14ac:dyDescent="0.25">
      <c r="B1455" s="2" t="s">
        <v>2260</v>
      </c>
      <c r="C1455" s="2" t="s">
        <v>181</v>
      </c>
      <c r="D1455" s="2" t="s">
        <v>182</v>
      </c>
      <c r="E1455" s="2" t="s">
        <v>176</v>
      </c>
      <c r="F1455" s="2" t="s">
        <v>535</v>
      </c>
      <c r="G1455" s="2" t="s">
        <v>445</v>
      </c>
      <c r="H1455" s="2" t="s">
        <v>446</v>
      </c>
      <c r="I1455" s="26">
        <v>45362</v>
      </c>
      <c r="J1455" s="2">
        <v>53</v>
      </c>
      <c r="K1455" s="2" t="s">
        <v>183</v>
      </c>
      <c r="L1455" s="22">
        <v>1400</v>
      </c>
      <c r="M1455" s="22">
        <v>74200</v>
      </c>
      <c r="N1455" s="18">
        <v>79.36</v>
      </c>
      <c r="O1455" s="26">
        <v>45662</v>
      </c>
      <c r="P1455" s="2" t="s">
        <v>2105</v>
      </c>
      <c r="Q1455" s="2" t="s">
        <v>836</v>
      </c>
    </row>
    <row r="1456" spans="2:17" x14ac:dyDescent="0.25">
      <c r="B1456" s="2" t="s">
        <v>2261</v>
      </c>
      <c r="C1456" s="2" t="s">
        <v>181</v>
      </c>
      <c r="D1456" s="2" t="s">
        <v>182</v>
      </c>
      <c r="E1456" s="2" t="s">
        <v>176</v>
      </c>
      <c r="F1456" s="2" t="s">
        <v>535</v>
      </c>
      <c r="G1456" s="2" t="s">
        <v>445</v>
      </c>
      <c r="H1456" s="2" t="s">
        <v>446</v>
      </c>
      <c r="I1456" s="26">
        <v>45399</v>
      </c>
      <c r="J1456" s="2">
        <v>54</v>
      </c>
      <c r="K1456" s="2" t="s">
        <v>183</v>
      </c>
      <c r="L1456" s="22">
        <v>1400</v>
      </c>
      <c r="M1456" s="22">
        <v>75600</v>
      </c>
      <c r="N1456" s="18">
        <v>80.86</v>
      </c>
      <c r="O1456" s="26">
        <v>45699</v>
      </c>
      <c r="P1456" s="2" t="s">
        <v>2105</v>
      </c>
      <c r="Q1456" s="2" t="s">
        <v>836</v>
      </c>
    </row>
    <row r="1457" spans="2:17" x14ac:dyDescent="0.25">
      <c r="B1457" s="2" t="s">
        <v>2262</v>
      </c>
      <c r="C1457" s="2" t="s">
        <v>181</v>
      </c>
      <c r="D1457" s="2" t="s">
        <v>182</v>
      </c>
      <c r="E1457" s="2" t="s">
        <v>176</v>
      </c>
      <c r="F1457" s="2" t="s">
        <v>535</v>
      </c>
      <c r="G1457" s="2" t="s">
        <v>445</v>
      </c>
      <c r="H1457" s="2" t="s">
        <v>446</v>
      </c>
      <c r="I1457" s="26">
        <v>45439</v>
      </c>
      <c r="J1457" s="2">
        <v>46</v>
      </c>
      <c r="K1457" s="2" t="s">
        <v>183</v>
      </c>
      <c r="L1457" s="22">
        <v>1400</v>
      </c>
      <c r="M1457" s="22">
        <v>64400</v>
      </c>
      <c r="N1457" s="18">
        <v>68.88</v>
      </c>
      <c r="O1457" s="26">
        <v>45739</v>
      </c>
      <c r="P1457" s="2" t="s">
        <v>2105</v>
      </c>
      <c r="Q1457" s="2" t="s">
        <v>836</v>
      </c>
    </row>
    <row r="1458" spans="2:17" x14ac:dyDescent="0.25">
      <c r="B1458" s="2" t="s">
        <v>2263</v>
      </c>
      <c r="C1458" s="2" t="s">
        <v>181</v>
      </c>
      <c r="D1458" s="2" t="s">
        <v>182</v>
      </c>
      <c r="E1458" s="2" t="s">
        <v>176</v>
      </c>
      <c r="F1458" s="2" t="s">
        <v>535</v>
      </c>
      <c r="G1458" s="2" t="s">
        <v>445</v>
      </c>
      <c r="H1458" s="2" t="s">
        <v>446</v>
      </c>
      <c r="I1458" s="26">
        <v>45468</v>
      </c>
      <c r="J1458" s="2">
        <v>43</v>
      </c>
      <c r="K1458" s="2" t="s">
        <v>183</v>
      </c>
      <c r="L1458" s="22">
        <v>1400</v>
      </c>
      <c r="M1458" s="22">
        <v>60200</v>
      </c>
      <c r="N1458" s="18">
        <v>64.39</v>
      </c>
      <c r="O1458" s="26">
        <v>45768</v>
      </c>
      <c r="P1458" s="2" t="s">
        <v>2105</v>
      </c>
      <c r="Q1458" s="2" t="s">
        <v>806</v>
      </c>
    </row>
    <row r="1459" spans="2:17" x14ac:dyDescent="0.25">
      <c r="B1459" s="2" t="s">
        <v>2264</v>
      </c>
      <c r="C1459" s="2" t="s">
        <v>181</v>
      </c>
      <c r="D1459" s="2" t="s">
        <v>182</v>
      </c>
      <c r="E1459" s="2" t="s">
        <v>176</v>
      </c>
      <c r="F1459" s="2" t="s">
        <v>535</v>
      </c>
      <c r="G1459" s="2" t="s">
        <v>445</v>
      </c>
      <c r="H1459" s="2" t="s">
        <v>446</v>
      </c>
      <c r="I1459" s="26">
        <v>45502</v>
      </c>
      <c r="J1459" s="2">
        <v>45</v>
      </c>
      <c r="K1459" s="2" t="s">
        <v>183</v>
      </c>
      <c r="L1459" s="22">
        <v>1400</v>
      </c>
      <c r="M1459" s="22">
        <v>63000</v>
      </c>
      <c r="N1459" s="18">
        <v>67.38</v>
      </c>
      <c r="O1459" s="26">
        <v>45802</v>
      </c>
      <c r="P1459" s="2" t="s">
        <v>2105</v>
      </c>
      <c r="Q1459" s="2" t="s">
        <v>806</v>
      </c>
    </row>
    <row r="1460" spans="2:17" x14ac:dyDescent="0.25">
      <c r="B1460" s="2" t="s">
        <v>2265</v>
      </c>
      <c r="C1460" s="2" t="s">
        <v>181</v>
      </c>
      <c r="D1460" s="2" t="s">
        <v>182</v>
      </c>
      <c r="E1460" s="2" t="s">
        <v>176</v>
      </c>
      <c r="F1460" s="2" t="s">
        <v>535</v>
      </c>
      <c r="G1460" s="2" t="s">
        <v>445</v>
      </c>
      <c r="H1460" s="2" t="s">
        <v>446</v>
      </c>
      <c r="I1460" s="26">
        <v>45542</v>
      </c>
      <c r="J1460" s="2">
        <v>60</v>
      </c>
      <c r="K1460" s="2" t="s">
        <v>183</v>
      </c>
      <c r="L1460" s="22">
        <v>1400</v>
      </c>
      <c r="M1460" s="22">
        <v>84000</v>
      </c>
      <c r="N1460" s="18">
        <v>89.84</v>
      </c>
      <c r="O1460" s="26">
        <v>45842</v>
      </c>
      <c r="P1460" s="2" t="s">
        <v>2105</v>
      </c>
      <c r="Q1460" s="2" t="s">
        <v>814</v>
      </c>
    </row>
    <row r="1461" spans="2:17" x14ac:dyDescent="0.25">
      <c r="B1461" s="2" t="s">
        <v>2266</v>
      </c>
      <c r="C1461" s="2" t="s">
        <v>181</v>
      </c>
      <c r="D1461" s="2" t="s">
        <v>182</v>
      </c>
      <c r="E1461" s="2" t="s">
        <v>176</v>
      </c>
      <c r="F1461" s="2" t="s">
        <v>535</v>
      </c>
      <c r="G1461" s="2" t="s">
        <v>445</v>
      </c>
      <c r="H1461" s="2" t="s">
        <v>446</v>
      </c>
      <c r="I1461" s="26">
        <v>45573</v>
      </c>
      <c r="J1461" s="2">
        <v>50</v>
      </c>
      <c r="K1461" s="2" t="s">
        <v>183</v>
      </c>
      <c r="L1461" s="22">
        <v>1400</v>
      </c>
      <c r="M1461" s="22">
        <v>70000</v>
      </c>
      <c r="N1461" s="18">
        <v>74.87</v>
      </c>
      <c r="O1461" s="26">
        <v>45873</v>
      </c>
      <c r="P1461" s="2" t="s">
        <v>2105</v>
      </c>
      <c r="Q1461" s="2" t="s">
        <v>814</v>
      </c>
    </row>
    <row r="1462" spans="2:17" x14ac:dyDescent="0.25">
      <c r="B1462" s="2" t="s">
        <v>2267</v>
      </c>
      <c r="C1462" s="2" t="s">
        <v>181</v>
      </c>
      <c r="D1462" s="2" t="s">
        <v>182</v>
      </c>
      <c r="E1462" s="2" t="s">
        <v>176</v>
      </c>
      <c r="F1462" s="2" t="s">
        <v>535</v>
      </c>
      <c r="G1462" s="2" t="s">
        <v>445</v>
      </c>
      <c r="H1462" s="2" t="s">
        <v>446</v>
      </c>
      <c r="I1462" s="26">
        <v>45606</v>
      </c>
      <c r="J1462" s="2">
        <v>51</v>
      </c>
      <c r="K1462" s="2" t="s">
        <v>183</v>
      </c>
      <c r="L1462" s="22">
        <v>1400</v>
      </c>
      <c r="M1462" s="22">
        <v>71400</v>
      </c>
      <c r="N1462" s="18">
        <v>76.36</v>
      </c>
      <c r="O1462" s="26">
        <v>45906</v>
      </c>
      <c r="P1462" s="2" t="s">
        <v>2105</v>
      </c>
      <c r="Q1462" s="2" t="s">
        <v>814</v>
      </c>
    </row>
    <row r="1463" spans="2:17" x14ac:dyDescent="0.25">
      <c r="B1463" s="2" t="s">
        <v>2268</v>
      </c>
      <c r="C1463" s="2" t="s">
        <v>181</v>
      </c>
      <c r="D1463" s="2" t="s">
        <v>182</v>
      </c>
      <c r="E1463" s="2" t="s">
        <v>176</v>
      </c>
      <c r="F1463" s="2" t="s">
        <v>535</v>
      </c>
      <c r="G1463" s="2" t="s">
        <v>445</v>
      </c>
      <c r="H1463" s="2" t="s">
        <v>446</v>
      </c>
      <c r="I1463" s="26">
        <v>45643</v>
      </c>
      <c r="J1463" s="2">
        <v>62</v>
      </c>
      <c r="K1463" s="2" t="s">
        <v>183</v>
      </c>
      <c r="L1463" s="22">
        <v>1400</v>
      </c>
      <c r="M1463" s="22">
        <v>86800</v>
      </c>
      <c r="N1463" s="18">
        <v>92.83</v>
      </c>
      <c r="O1463" s="26">
        <v>45943</v>
      </c>
      <c r="P1463" s="2" t="s">
        <v>2105</v>
      </c>
      <c r="Q1463" s="2" t="s">
        <v>825</v>
      </c>
    </row>
    <row r="1464" spans="2:17" x14ac:dyDescent="0.25">
      <c r="B1464" s="2" t="s">
        <v>2269</v>
      </c>
      <c r="C1464" s="2" t="s">
        <v>181</v>
      </c>
      <c r="D1464" s="2" t="s">
        <v>182</v>
      </c>
      <c r="E1464" s="2" t="s">
        <v>176</v>
      </c>
      <c r="F1464" s="2" t="s">
        <v>535</v>
      </c>
      <c r="G1464" s="2" t="s">
        <v>445</v>
      </c>
      <c r="H1464" s="2" t="s">
        <v>446</v>
      </c>
      <c r="I1464" s="26">
        <v>45675</v>
      </c>
      <c r="J1464" s="2">
        <v>50</v>
      </c>
      <c r="K1464" s="2" t="s">
        <v>183</v>
      </c>
      <c r="L1464" s="22">
        <v>1400</v>
      </c>
      <c r="M1464" s="22">
        <v>70000</v>
      </c>
      <c r="N1464" s="18">
        <v>74.87</v>
      </c>
      <c r="O1464" s="26">
        <v>45975</v>
      </c>
      <c r="P1464" s="2" t="s">
        <v>2105</v>
      </c>
      <c r="Q1464" s="2" t="s">
        <v>825</v>
      </c>
    </row>
    <row r="1465" spans="2:17" x14ac:dyDescent="0.25">
      <c r="B1465" s="2" t="s">
        <v>2270</v>
      </c>
      <c r="C1465" s="2" t="s">
        <v>181</v>
      </c>
      <c r="D1465" s="2" t="s">
        <v>182</v>
      </c>
      <c r="E1465" s="2" t="s">
        <v>176</v>
      </c>
      <c r="F1465" s="2" t="s">
        <v>537</v>
      </c>
      <c r="G1465" s="2" t="s">
        <v>450</v>
      </c>
      <c r="H1465" s="2" t="s">
        <v>451</v>
      </c>
      <c r="I1465" s="26">
        <v>45706</v>
      </c>
      <c r="J1465" s="2">
        <v>48</v>
      </c>
      <c r="K1465" s="2" t="s">
        <v>183</v>
      </c>
      <c r="L1465" s="22">
        <v>1450</v>
      </c>
      <c r="M1465" s="22">
        <v>69600</v>
      </c>
      <c r="N1465" s="18">
        <v>74.44</v>
      </c>
      <c r="O1465" s="26">
        <v>46006</v>
      </c>
      <c r="P1465" s="2" t="s">
        <v>2105</v>
      </c>
      <c r="Q1465" s="2" t="s">
        <v>825</v>
      </c>
    </row>
    <row r="1466" spans="2:17" x14ac:dyDescent="0.25">
      <c r="B1466" s="2" t="s">
        <v>2271</v>
      </c>
      <c r="C1466" s="2" t="s">
        <v>181</v>
      </c>
      <c r="D1466" s="2" t="s">
        <v>182</v>
      </c>
      <c r="E1466" s="2" t="s">
        <v>176</v>
      </c>
      <c r="F1466" s="2" t="s">
        <v>535</v>
      </c>
      <c r="G1466" s="2" t="s">
        <v>445</v>
      </c>
      <c r="H1466" s="2" t="s">
        <v>446</v>
      </c>
      <c r="I1466" s="26">
        <v>45736</v>
      </c>
      <c r="J1466" s="2">
        <v>58</v>
      </c>
      <c r="K1466" s="2" t="s">
        <v>183</v>
      </c>
      <c r="L1466" s="22">
        <v>1400</v>
      </c>
      <c r="M1466" s="22">
        <v>81200</v>
      </c>
      <c r="N1466" s="18">
        <v>86.84</v>
      </c>
      <c r="O1466" s="26">
        <v>46036</v>
      </c>
      <c r="P1466" s="2" t="s">
        <v>2105</v>
      </c>
      <c r="Q1466" s="2" t="s">
        <v>836</v>
      </c>
    </row>
    <row r="1467" spans="2:17" x14ac:dyDescent="0.25">
      <c r="B1467" s="2" t="s">
        <v>2272</v>
      </c>
      <c r="C1467" s="2" t="s">
        <v>181</v>
      </c>
      <c r="D1467" s="2" t="s">
        <v>182</v>
      </c>
      <c r="E1467" s="2" t="s">
        <v>176</v>
      </c>
      <c r="F1467" s="2" t="s">
        <v>535</v>
      </c>
      <c r="G1467" s="2" t="s">
        <v>445</v>
      </c>
      <c r="H1467" s="2" t="s">
        <v>446</v>
      </c>
      <c r="I1467" s="26">
        <v>45769</v>
      </c>
      <c r="J1467" s="2">
        <v>58</v>
      </c>
      <c r="K1467" s="2" t="s">
        <v>183</v>
      </c>
      <c r="L1467" s="22">
        <v>1400</v>
      </c>
      <c r="M1467" s="22">
        <v>81200</v>
      </c>
      <c r="N1467" s="18">
        <v>86.84</v>
      </c>
      <c r="O1467" s="26">
        <v>46069</v>
      </c>
      <c r="P1467" s="2" t="s">
        <v>2105</v>
      </c>
      <c r="Q1467" s="2" t="s">
        <v>836</v>
      </c>
    </row>
    <row r="1468" spans="2:17" x14ac:dyDescent="0.25">
      <c r="B1468" s="2" t="s">
        <v>2273</v>
      </c>
      <c r="C1468" s="2" t="s">
        <v>181</v>
      </c>
      <c r="D1468" s="2" t="s">
        <v>182</v>
      </c>
      <c r="E1468" s="2" t="s">
        <v>176</v>
      </c>
      <c r="F1468" s="2" t="s">
        <v>535</v>
      </c>
      <c r="G1468" s="2" t="s">
        <v>445</v>
      </c>
      <c r="H1468" s="2" t="s">
        <v>446</v>
      </c>
      <c r="I1468" s="26">
        <v>45805</v>
      </c>
      <c r="J1468" s="2">
        <v>48</v>
      </c>
      <c r="K1468" s="2" t="s">
        <v>183</v>
      </c>
      <c r="L1468" s="22">
        <v>1400</v>
      </c>
      <c r="M1468" s="22">
        <v>67200</v>
      </c>
      <c r="N1468" s="18">
        <v>71.87</v>
      </c>
      <c r="O1468" s="26">
        <v>46105</v>
      </c>
      <c r="P1468" s="2" t="s">
        <v>2105</v>
      </c>
      <c r="Q1468" s="2" t="s">
        <v>836</v>
      </c>
    </row>
    <row r="1469" spans="2:17" x14ac:dyDescent="0.25">
      <c r="B1469" s="2" t="s">
        <v>2274</v>
      </c>
      <c r="C1469" s="2" t="s">
        <v>184</v>
      </c>
      <c r="D1469" s="2" t="s">
        <v>185</v>
      </c>
      <c r="E1469" s="2" t="s">
        <v>176</v>
      </c>
      <c r="F1469" s="2" t="s">
        <v>535</v>
      </c>
      <c r="G1469" s="2" t="s">
        <v>445</v>
      </c>
      <c r="H1469" s="2" t="s">
        <v>446</v>
      </c>
      <c r="I1469" s="26">
        <v>45127</v>
      </c>
      <c r="J1469" s="2">
        <v>24</v>
      </c>
      <c r="K1469" s="2" t="s">
        <v>180</v>
      </c>
      <c r="L1469" s="22">
        <v>1350</v>
      </c>
      <c r="M1469" s="22">
        <v>32400</v>
      </c>
      <c r="N1469" s="18">
        <v>34.65</v>
      </c>
      <c r="O1469" s="26">
        <v>45427</v>
      </c>
      <c r="P1469" s="2" t="s">
        <v>2105</v>
      </c>
      <c r="Q1469" s="2" t="s">
        <v>806</v>
      </c>
    </row>
    <row r="1470" spans="2:17" x14ac:dyDescent="0.25">
      <c r="B1470" s="2" t="s">
        <v>2275</v>
      </c>
      <c r="C1470" s="2" t="s">
        <v>184</v>
      </c>
      <c r="D1470" s="2" t="s">
        <v>185</v>
      </c>
      <c r="E1470" s="2" t="s">
        <v>176</v>
      </c>
      <c r="F1470" s="2" t="s">
        <v>535</v>
      </c>
      <c r="G1470" s="2" t="s">
        <v>445</v>
      </c>
      <c r="H1470" s="2" t="s">
        <v>446</v>
      </c>
      <c r="I1470" s="26">
        <v>45161</v>
      </c>
      <c r="J1470" s="2">
        <v>23</v>
      </c>
      <c r="K1470" s="2" t="s">
        <v>180</v>
      </c>
      <c r="L1470" s="22">
        <v>1350</v>
      </c>
      <c r="M1470" s="22">
        <v>31050</v>
      </c>
      <c r="N1470" s="18">
        <v>33.21</v>
      </c>
      <c r="O1470" s="26">
        <v>45461</v>
      </c>
      <c r="P1470" s="2" t="s">
        <v>2105</v>
      </c>
      <c r="Q1470" s="2" t="s">
        <v>806</v>
      </c>
    </row>
    <row r="1471" spans="2:17" x14ac:dyDescent="0.25">
      <c r="B1471" s="2" t="s">
        <v>2276</v>
      </c>
      <c r="C1471" s="2" t="s">
        <v>184</v>
      </c>
      <c r="D1471" s="2" t="s">
        <v>185</v>
      </c>
      <c r="E1471" s="2" t="s">
        <v>176</v>
      </c>
      <c r="F1471" s="2" t="s">
        <v>535</v>
      </c>
      <c r="G1471" s="2" t="s">
        <v>445</v>
      </c>
      <c r="H1471" s="2" t="s">
        <v>446</v>
      </c>
      <c r="I1471" s="26">
        <v>45196</v>
      </c>
      <c r="J1471" s="2">
        <v>33</v>
      </c>
      <c r="K1471" s="2" t="s">
        <v>180</v>
      </c>
      <c r="L1471" s="22">
        <v>1350</v>
      </c>
      <c r="M1471" s="22">
        <v>44550</v>
      </c>
      <c r="N1471" s="18">
        <v>47.65</v>
      </c>
      <c r="O1471" s="26">
        <v>45496</v>
      </c>
      <c r="P1471" s="2" t="s">
        <v>2105</v>
      </c>
      <c r="Q1471" s="2" t="s">
        <v>814</v>
      </c>
    </row>
    <row r="1472" spans="2:17" x14ac:dyDescent="0.25">
      <c r="B1472" s="2" t="s">
        <v>2277</v>
      </c>
      <c r="C1472" s="2" t="s">
        <v>184</v>
      </c>
      <c r="D1472" s="2" t="s">
        <v>185</v>
      </c>
      <c r="E1472" s="2" t="s">
        <v>176</v>
      </c>
      <c r="F1472" s="2" t="s">
        <v>535</v>
      </c>
      <c r="G1472" s="2" t="s">
        <v>445</v>
      </c>
      <c r="H1472" s="2" t="s">
        <v>446</v>
      </c>
      <c r="I1472" s="26">
        <v>45233</v>
      </c>
      <c r="J1472" s="2">
        <v>27</v>
      </c>
      <c r="K1472" s="2" t="s">
        <v>180</v>
      </c>
      <c r="L1472" s="22">
        <v>1350</v>
      </c>
      <c r="M1472" s="22">
        <v>36450</v>
      </c>
      <c r="N1472" s="18">
        <v>38.979999999999997</v>
      </c>
      <c r="O1472" s="26">
        <v>45533</v>
      </c>
      <c r="P1472" s="2" t="s">
        <v>2105</v>
      </c>
      <c r="Q1472" s="2" t="s">
        <v>814</v>
      </c>
    </row>
    <row r="1473" spans="2:17" x14ac:dyDescent="0.25">
      <c r="B1473" s="2" t="s">
        <v>2278</v>
      </c>
      <c r="C1473" s="2" t="s">
        <v>184</v>
      </c>
      <c r="D1473" s="2" t="s">
        <v>185</v>
      </c>
      <c r="E1473" s="2" t="s">
        <v>176</v>
      </c>
      <c r="F1473" s="2" t="s">
        <v>535</v>
      </c>
      <c r="G1473" s="2" t="s">
        <v>445</v>
      </c>
      <c r="H1473" s="2" t="s">
        <v>446</v>
      </c>
      <c r="I1473" s="26">
        <v>45265</v>
      </c>
      <c r="J1473" s="2">
        <v>32</v>
      </c>
      <c r="K1473" s="2" t="s">
        <v>180</v>
      </c>
      <c r="L1473" s="22">
        <v>1350</v>
      </c>
      <c r="M1473" s="22">
        <v>43200</v>
      </c>
      <c r="N1473" s="18">
        <v>46.2</v>
      </c>
      <c r="O1473" s="26">
        <v>45565</v>
      </c>
      <c r="P1473" s="2" t="s">
        <v>2105</v>
      </c>
      <c r="Q1473" s="2" t="s">
        <v>825</v>
      </c>
    </row>
    <row r="1474" spans="2:17" x14ac:dyDescent="0.25">
      <c r="B1474" s="2" t="s">
        <v>2279</v>
      </c>
      <c r="C1474" s="2" t="s">
        <v>184</v>
      </c>
      <c r="D1474" s="2" t="s">
        <v>185</v>
      </c>
      <c r="E1474" s="2" t="s">
        <v>176</v>
      </c>
      <c r="F1474" s="2" t="s">
        <v>535</v>
      </c>
      <c r="G1474" s="2" t="s">
        <v>445</v>
      </c>
      <c r="H1474" s="2" t="s">
        <v>446</v>
      </c>
      <c r="I1474" s="26">
        <v>45305</v>
      </c>
      <c r="J1474" s="2">
        <v>27</v>
      </c>
      <c r="K1474" s="2" t="s">
        <v>180</v>
      </c>
      <c r="L1474" s="22">
        <v>1350</v>
      </c>
      <c r="M1474" s="22">
        <v>36450</v>
      </c>
      <c r="N1474" s="18">
        <v>38.979999999999997</v>
      </c>
      <c r="O1474" s="26">
        <v>45605</v>
      </c>
      <c r="P1474" s="2" t="s">
        <v>2105</v>
      </c>
      <c r="Q1474" s="2" t="s">
        <v>825</v>
      </c>
    </row>
    <row r="1475" spans="2:17" x14ac:dyDescent="0.25">
      <c r="B1475" s="2" t="s">
        <v>2280</v>
      </c>
      <c r="C1475" s="2" t="s">
        <v>184</v>
      </c>
      <c r="D1475" s="2" t="s">
        <v>185</v>
      </c>
      <c r="E1475" s="2" t="s">
        <v>176</v>
      </c>
      <c r="F1475" s="2" t="s">
        <v>535</v>
      </c>
      <c r="G1475" s="2" t="s">
        <v>445</v>
      </c>
      <c r="H1475" s="2" t="s">
        <v>446</v>
      </c>
      <c r="I1475" s="26">
        <v>45339</v>
      </c>
      <c r="J1475" s="2">
        <v>25</v>
      </c>
      <c r="K1475" s="2" t="s">
        <v>180</v>
      </c>
      <c r="L1475" s="22">
        <v>1350</v>
      </c>
      <c r="M1475" s="22">
        <v>33750</v>
      </c>
      <c r="N1475" s="18">
        <v>36.1</v>
      </c>
      <c r="O1475" s="26">
        <v>45639</v>
      </c>
      <c r="P1475" s="2" t="s">
        <v>2105</v>
      </c>
      <c r="Q1475" s="2" t="s">
        <v>825</v>
      </c>
    </row>
    <row r="1476" spans="2:17" x14ac:dyDescent="0.25">
      <c r="B1476" s="2" t="s">
        <v>2281</v>
      </c>
      <c r="C1476" s="2" t="s">
        <v>184</v>
      </c>
      <c r="D1476" s="2" t="s">
        <v>185</v>
      </c>
      <c r="E1476" s="2" t="s">
        <v>176</v>
      </c>
      <c r="F1476" s="2" t="s">
        <v>535</v>
      </c>
      <c r="G1476" s="2" t="s">
        <v>445</v>
      </c>
      <c r="H1476" s="2" t="s">
        <v>446</v>
      </c>
      <c r="I1476" s="26">
        <v>45383</v>
      </c>
      <c r="J1476" s="2">
        <v>26</v>
      </c>
      <c r="K1476" s="2" t="s">
        <v>180</v>
      </c>
      <c r="L1476" s="22">
        <v>1350</v>
      </c>
      <c r="M1476" s="22">
        <v>35100</v>
      </c>
      <c r="N1476" s="18">
        <v>37.54</v>
      </c>
      <c r="O1476" s="26">
        <v>45683</v>
      </c>
      <c r="P1476" s="2" t="s">
        <v>2105</v>
      </c>
      <c r="Q1476" s="2" t="s">
        <v>836</v>
      </c>
    </row>
    <row r="1477" spans="2:17" x14ac:dyDescent="0.25">
      <c r="B1477" s="2" t="s">
        <v>2282</v>
      </c>
      <c r="C1477" s="2" t="s">
        <v>184</v>
      </c>
      <c r="D1477" s="2" t="s">
        <v>185</v>
      </c>
      <c r="E1477" s="2" t="s">
        <v>176</v>
      </c>
      <c r="F1477" s="2" t="s">
        <v>535</v>
      </c>
      <c r="G1477" s="2" t="s">
        <v>445</v>
      </c>
      <c r="H1477" s="2" t="s">
        <v>446</v>
      </c>
      <c r="I1477" s="26">
        <v>45416</v>
      </c>
      <c r="J1477" s="2">
        <v>24</v>
      </c>
      <c r="K1477" s="2" t="s">
        <v>180</v>
      </c>
      <c r="L1477" s="22">
        <v>1350</v>
      </c>
      <c r="M1477" s="22">
        <v>32400</v>
      </c>
      <c r="N1477" s="18">
        <v>34.65</v>
      </c>
      <c r="O1477" s="26">
        <v>45716</v>
      </c>
      <c r="P1477" s="2" t="s">
        <v>2105</v>
      </c>
      <c r="Q1477" s="2" t="s">
        <v>836</v>
      </c>
    </row>
    <row r="1478" spans="2:17" x14ac:dyDescent="0.25">
      <c r="B1478" s="2" t="s">
        <v>2283</v>
      </c>
      <c r="C1478" s="2" t="s">
        <v>184</v>
      </c>
      <c r="D1478" s="2" t="s">
        <v>185</v>
      </c>
      <c r="E1478" s="2" t="s">
        <v>176</v>
      </c>
      <c r="F1478" s="2" t="s">
        <v>535</v>
      </c>
      <c r="G1478" s="2" t="s">
        <v>445</v>
      </c>
      <c r="H1478" s="2" t="s">
        <v>446</v>
      </c>
      <c r="I1478" s="26">
        <v>45447</v>
      </c>
      <c r="J1478" s="2">
        <v>25</v>
      </c>
      <c r="K1478" s="2" t="s">
        <v>180</v>
      </c>
      <c r="L1478" s="22">
        <v>1350</v>
      </c>
      <c r="M1478" s="22">
        <v>33750</v>
      </c>
      <c r="N1478" s="18">
        <v>36.1</v>
      </c>
      <c r="O1478" s="26">
        <v>45747</v>
      </c>
      <c r="P1478" s="2" t="s">
        <v>2105</v>
      </c>
      <c r="Q1478" s="2" t="s">
        <v>806</v>
      </c>
    </row>
    <row r="1479" spans="2:17" x14ac:dyDescent="0.25">
      <c r="B1479" s="2" t="s">
        <v>2284</v>
      </c>
      <c r="C1479" s="2" t="s">
        <v>184</v>
      </c>
      <c r="D1479" s="2" t="s">
        <v>185</v>
      </c>
      <c r="E1479" s="2" t="s">
        <v>176</v>
      </c>
      <c r="F1479" s="2" t="s">
        <v>535</v>
      </c>
      <c r="G1479" s="2" t="s">
        <v>445</v>
      </c>
      <c r="H1479" s="2" t="s">
        <v>446</v>
      </c>
      <c r="I1479" s="26">
        <v>45482</v>
      </c>
      <c r="J1479" s="2">
        <v>22</v>
      </c>
      <c r="K1479" s="2" t="s">
        <v>180</v>
      </c>
      <c r="L1479" s="22">
        <v>1350</v>
      </c>
      <c r="M1479" s="22">
        <v>29700</v>
      </c>
      <c r="N1479" s="18">
        <v>31.76</v>
      </c>
      <c r="O1479" s="26">
        <v>45782</v>
      </c>
      <c r="P1479" s="2" t="s">
        <v>2105</v>
      </c>
      <c r="Q1479" s="2" t="s">
        <v>806</v>
      </c>
    </row>
    <row r="1480" spans="2:17" x14ac:dyDescent="0.25">
      <c r="B1480" s="2" t="s">
        <v>2285</v>
      </c>
      <c r="C1480" s="2" t="s">
        <v>184</v>
      </c>
      <c r="D1480" s="2" t="s">
        <v>185</v>
      </c>
      <c r="E1480" s="2" t="s">
        <v>176</v>
      </c>
      <c r="F1480" s="2" t="s">
        <v>535</v>
      </c>
      <c r="G1480" s="2" t="s">
        <v>445</v>
      </c>
      <c r="H1480" s="2" t="s">
        <v>446</v>
      </c>
      <c r="I1480" s="26">
        <v>45510</v>
      </c>
      <c r="J1480" s="2">
        <v>24</v>
      </c>
      <c r="K1480" s="2" t="s">
        <v>180</v>
      </c>
      <c r="L1480" s="22">
        <v>1350</v>
      </c>
      <c r="M1480" s="22">
        <v>32400</v>
      </c>
      <c r="N1480" s="18">
        <v>34.65</v>
      </c>
      <c r="O1480" s="26">
        <v>45810</v>
      </c>
      <c r="P1480" s="2" t="s">
        <v>2105</v>
      </c>
      <c r="Q1480" s="2" t="s">
        <v>806</v>
      </c>
    </row>
    <row r="1481" spans="2:17" x14ac:dyDescent="0.25">
      <c r="B1481" s="2" t="s">
        <v>2286</v>
      </c>
      <c r="C1481" s="2" t="s">
        <v>184</v>
      </c>
      <c r="D1481" s="2" t="s">
        <v>185</v>
      </c>
      <c r="E1481" s="2" t="s">
        <v>176</v>
      </c>
      <c r="F1481" s="2" t="s">
        <v>535</v>
      </c>
      <c r="G1481" s="2" t="s">
        <v>445</v>
      </c>
      <c r="H1481" s="2" t="s">
        <v>446</v>
      </c>
      <c r="I1481" s="26">
        <v>45538</v>
      </c>
      <c r="J1481" s="2">
        <v>32</v>
      </c>
      <c r="K1481" s="2" t="s">
        <v>180</v>
      </c>
      <c r="L1481" s="22">
        <v>1350</v>
      </c>
      <c r="M1481" s="22">
        <v>43200</v>
      </c>
      <c r="N1481" s="18">
        <v>46.2</v>
      </c>
      <c r="O1481" s="26">
        <v>45838</v>
      </c>
      <c r="P1481" s="2" t="s">
        <v>2105</v>
      </c>
      <c r="Q1481" s="2" t="s">
        <v>814</v>
      </c>
    </row>
    <row r="1482" spans="2:17" x14ac:dyDescent="0.25">
      <c r="B1482" s="2" t="s">
        <v>2287</v>
      </c>
      <c r="C1482" s="2" t="s">
        <v>184</v>
      </c>
      <c r="D1482" s="2" t="s">
        <v>185</v>
      </c>
      <c r="E1482" s="2" t="s">
        <v>176</v>
      </c>
      <c r="F1482" s="2" t="s">
        <v>535</v>
      </c>
      <c r="G1482" s="2" t="s">
        <v>445</v>
      </c>
      <c r="H1482" s="2" t="s">
        <v>446</v>
      </c>
      <c r="I1482" s="26">
        <v>45570</v>
      </c>
      <c r="J1482" s="2">
        <v>26</v>
      </c>
      <c r="K1482" s="2" t="s">
        <v>180</v>
      </c>
      <c r="L1482" s="22">
        <v>1350</v>
      </c>
      <c r="M1482" s="22">
        <v>35100</v>
      </c>
      <c r="N1482" s="18">
        <v>37.54</v>
      </c>
      <c r="O1482" s="26">
        <v>45870</v>
      </c>
      <c r="P1482" s="2" t="s">
        <v>2105</v>
      </c>
      <c r="Q1482" s="2" t="s">
        <v>814</v>
      </c>
    </row>
    <row r="1483" spans="2:17" x14ac:dyDescent="0.25">
      <c r="B1483" s="2" t="s">
        <v>2288</v>
      </c>
      <c r="C1483" s="2" t="s">
        <v>184</v>
      </c>
      <c r="D1483" s="2" t="s">
        <v>185</v>
      </c>
      <c r="E1483" s="2" t="s">
        <v>176</v>
      </c>
      <c r="F1483" s="2" t="s">
        <v>535</v>
      </c>
      <c r="G1483" s="2" t="s">
        <v>445</v>
      </c>
      <c r="H1483" s="2" t="s">
        <v>446</v>
      </c>
      <c r="I1483" s="26">
        <v>45604</v>
      </c>
      <c r="J1483" s="2">
        <v>23</v>
      </c>
      <c r="K1483" s="2" t="s">
        <v>180</v>
      </c>
      <c r="L1483" s="22">
        <v>1350</v>
      </c>
      <c r="M1483" s="22">
        <v>31050</v>
      </c>
      <c r="N1483" s="18">
        <v>33.21</v>
      </c>
      <c r="O1483" s="26">
        <v>45904</v>
      </c>
      <c r="P1483" s="2" t="s">
        <v>2105</v>
      </c>
      <c r="Q1483" s="2" t="s">
        <v>814</v>
      </c>
    </row>
    <row r="1484" spans="2:17" x14ac:dyDescent="0.25">
      <c r="B1484" s="2" t="s">
        <v>2289</v>
      </c>
      <c r="C1484" s="2" t="s">
        <v>184</v>
      </c>
      <c r="D1484" s="2" t="s">
        <v>185</v>
      </c>
      <c r="E1484" s="2" t="s">
        <v>176</v>
      </c>
      <c r="F1484" s="2" t="s">
        <v>535</v>
      </c>
      <c r="G1484" s="2" t="s">
        <v>445</v>
      </c>
      <c r="H1484" s="2" t="s">
        <v>446</v>
      </c>
      <c r="I1484" s="26">
        <v>45648</v>
      </c>
      <c r="J1484" s="2">
        <v>30</v>
      </c>
      <c r="K1484" s="2" t="s">
        <v>180</v>
      </c>
      <c r="L1484" s="22">
        <v>1350</v>
      </c>
      <c r="M1484" s="22">
        <v>40500</v>
      </c>
      <c r="N1484" s="18">
        <v>43.32</v>
      </c>
      <c r="O1484" s="26">
        <v>45948</v>
      </c>
      <c r="P1484" s="2" t="s">
        <v>2105</v>
      </c>
      <c r="Q1484" s="2" t="s">
        <v>825</v>
      </c>
    </row>
    <row r="1485" spans="2:17" x14ac:dyDescent="0.25">
      <c r="B1485" s="2" t="s">
        <v>2290</v>
      </c>
      <c r="C1485" s="2" t="s">
        <v>184</v>
      </c>
      <c r="D1485" s="2" t="s">
        <v>185</v>
      </c>
      <c r="E1485" s="2" t="s">
        <v>176</v>
      </c>
      <c r="F1485" s="2" t="s">
        <v>535</v>
      </c>
      <c r="G1485" s="2" t="s">
        <v>445</v>
      </c>
      <c r="H1485" s="2" t="s">
        <v>446</v>
      </c>
      <c r="I1485" s="26">
        <v>45685</v>
      </c>
      <c r="J1485" s="2">
        <v>23</v>
      </c>
      <c r="K1485" s="2" t="s">
        <v>180</v>
      </c>
      <c r="L1485" s="22">
        <v>1350</v>
      </c>
      <c r="M1485" s="22">
        <v>31050</v>
      </c>
      <c r="N1485" s="18">
        <v>33.21</v>
      </c>
      <c r="O1485" s="26">
        <v>45985</v>
      </c>
      <c r="P1485" s="2" t="s">
        <v>2105</v>
      </c>
      <c r="Q1485" s="2" t="s">
        <v>825</v>
      </c>
    </row>
    <row r="1486" spans="2:17" x14ac:dyDescent="0.25">
      <c r="B1486" s="2" t="s">
        <v>2291</v>
      </c>
      <c r="C1486" s="2" t="s">
        <v>184</v>
      </c>
      <c r="D1486" s="2" t="s">
        <v>185</v>
      </c>
      <c r="E1486" s="2" t="s">
        <v>176</v>
      </c>
      <c r="F1486" s="2" t="s">
        <v>535</v>
      </c>
      <c r="G1486" s="2" t="s">
        <v>445</v>
      </c>
      <c r="H1486" s="2" t="s">
        <v>446</v>
      </c>
      <c r="I1486" s="26">
        <v>45722</v>
      </c>
      <c r="J1486" s="2">
        <v>28</v>
      </c>
      <c r="K1486" s="2" t="s">
        <v>180</v>
      </c>
      <c r="L1486" s="22">
        <v>1350</v>
      </c>
      <c r="M1486" s="22">
        <v>37800</v>
      </c>
      <c r="N1486" s="18">
        <v>40.43</v>
      </c>
      <c r="O1486" s="26">
        <v>46022</v>
      </c>
      <c r="P1486" s="2" t="s">
        <v>2105</v>
      </c>
      <c r="Q1486" s="2" t="s">
        <v>836</v>
      </c>
    </row>
    <row r="1487" spans="2:17" x14ac:dyDescent="0.25">
      <c r="B1487" s="2" t="s">
        <v>2292</v>
      </c>
      <c r="C1487" s="2" t="s">
        <v>184</v>
      </c>
      <c r="D1487" s="2" t="s">
        <v>185</v>
      </c>
      <c r="E1487" s="2" t="s">
        <v>176</v>
      </c>
      <c r="F1487" s="2" t="s">
        <v>537</v>
      </c>
      <c r="G1487" s="2" t="s">
        <v>450</v>
      </c>
      <c r="H1487" s="2" t="s">
        <v>451</v>
      </c>
      <c r="I1487" s="26">
        <v>45763</v>
      </c>
      <c r="J1487" s="2">
        <v>25</v>
      </c>
      <c r="K1487" s="2" t="s">
        <v>180</v>
      </c>
      <c r="L1487" s="22">
        <v>1500</v>
      </c>
      <c r="M1487" s="22">
        <v>37500</v>
      </c>
      <c r="N1487" s="18">
        <v>40.11</v>
      </c>
      <c r="O1487" s="26">
        <v>46063</v>
      </c>
      <c r="P1487" s="2" t="s">
        <v>2105</v>
      </c>
      <c r="Q1487" s="2" t="s">
        <v>836</v>
      </c>
    </row>
    <row r="1488" spans="2:17" x14ac:dyDescent="0.25">
      <c r="B1488" s="2" t="s">
        <v>2293</v>
      </c>
      <c r="C1488" s="2" t="s">
        <v>184</v>
      </c>
      <c r="D1488" s="2" t="s">
        <v>185</v>
      </c>
      <c r="E1488" s="2" t="s">
        <v>176</v>
      </c>
      <c r="F1488" s="2" t="s">
        <v>535</v>
      </c>
      <c r="G1488" s="2" t="s">
        <v>445</v>
      </c>
      <c r="H1488" s="2" t="s">
        <v>446</v>
      </c>
      <c r="I1488" s="26">
        <v>45802</v>
      </c>
      <c r="J1488" s="2">
        <v>23</v>
      </c>
      <c r="K1488" s="2" t="s">
        <v>180</v>
      </c>
      <c r="L1488" s="22">
        <v>1350</v>
      </c>
      <c r="M1488" s="22">
        <v>31050</v>
      </c>
      <c r="N1488" s="18">
        <v>33.21</v>
      </c>
      <c r="O1488" s="26">
        <v>46102</v>
      </c>
      <c r="P1488" s="2" t="s">
        <v>2105</v>
      </c>
      <c r="Q1488" s="2" t="s">
        <v>836</v>
      </c>
    </row>
    <row r="1489" spans="2:17" x14ac:dyDescent="0.25">
      <c r="B1489" s="2" t="s">
        <v>2294</v>
      </c>
      <c r="C1489" s="2" t="s">
        <v>186</v>
      </c>
      <c r="D1489" s="2" t="s">
        <v>187</v>
      </c>
      <c r="E1489" s="2" t="s">
        <v>176</v>
      </c>
      <c r="F1489" s="2" t="s">
        <v>535</v>
      </c>
      <c r="G1489" s="2" t="s">
        <v>445</v>
      </c>
      <c r="H1489" s="2" t="s">
        <v>446</v>
      </c>
      <c r="I1489" s="26">
        <v>45140</v>
      </c>
      <c r="J1489" s="2">
        <v>81</v>
      </c>
      <c r="K1489" s="2" t="s">
        <v>188</v>
      </c>
      <c r="L1489" s="22">
        <v>1100</v>
      </c>
      <c r="M1489" s="22">
        <v>89100</v>
      </c>
      <c r="N1489" s="18">
        <v>95.29</v>
      </c>
      <c r="O1489" s="26">
        <v>45440</v>
      </c>
      <c r="P1489" s="2" t="s">
        <v>2105</v>
      </c>
      <c r="Q1489" s="2" t="s">
        <v>806</v>
      </c>
    </row>
    <row r="1490" spans="2:17" x14ac:dyDescent="0.25">
      <c r="B1490" s="2" t="s">
        <v>2295</v>
      </c>
      <c r="C1490" s="2" t="s">
        <v>186</v>
      </c>
      <c r="D1490" s="2" t="s">
        <v>187</v>
      </c>
      <c r="E1490" s="2" t="s">
        <v>176</v>
      </c>
      <c r="F1490" s="2" t="s">
        <v>535</v>
      </c>
      <c r="G1490" s="2" t="s">
        <v>445</v>
      </c>
      <c r="H1490" s="2" t="s">
        <v>446</v>
      </c>
      <c r="I1490" s="26">
        <v>45185</v>
      </c>
      <c r="J1490" s="2">
        <v>112</v>
      </c>
      <c r="K1490" s="2" t="s">
        <v>188</v>
      </c>
      <c r="L1490" s="22">
        <v>1100</v>
      </c>
      <c r="M1490" s="22">
        <v>123200</v>
      </c>
      <c r="N1490" s="18">
        <v>131.76</v>
      </c>
      <c r="O1490" s="26">
        <v>45485</v>
      </c>
      <c r="P1490" s="2" t="s">
        <v>2105</v>
      </c>
      <c r="Q1490" s="2" t="s">
        <v>814</v>
      </c>
    </row>
    <row r="1491" spans="2:17" x14ac:dyDescent="0.25">
      <c r="B1491" s="2" t="s">
        <v>2296</v>
      </c>
      <c r="C1491" s="2" t="s">
        <v>186</v>
      </c>
      <c r="D1491" s="2" t="s">
        <v>187</v>
      </c>
      <c r="E1491" s="2" t="s">
        <v>176</v>
      </c>
      <c r="F1491" s="2" t="s">
        <v>537</v>
      </c>
      <c r="G1491" s="2" t="s">
        <v>450</v>
      </c>
      <c r="H1491" s="2" t="s">
        <v>451</v>
      </c>
      <c r="I1491" s="26">
        <v>45215</v>
      </c>
      <c r="J1491" s="2">
        <v>32</v>
      </c>
      <c r="K1491" s="2" t="s">
        <v>188</v>
      </c>
      <c r="L1491" s="22">
        <v>1150</v>
      </c>
      <c r="M1491" s="22">
        <v>36800</v>
      </c>
      <c r="N1491" s="18">
        <v>39.36</v>
      </c>
      <c r="O1491" s="26">
        <v>45515</v>
      </c>
      <c r="P1491" s="2" t="s">
        <v>2105</v>
      </c>
      <c r="Q1491" s="2" t="s">
        <v>814</v>
      </c>
    </row>
    <row r="1492" spans="2:17" x14ac:dyDescent="0.25">
      <c r="B1492" s="2" t="s">
        <v>2297</v>
      </c>
      <c r="C1492" s="2" t="s">
        <v>186</v>
      </c>
      <c r="D1492" s="2" t="s">
        <v>187</v>
      </c>
      <c r="E1492" s="2" t="s">
        <v>176</v>
      </c>
      <c r="F1492" s="2" t="s">
        <v>535</v>
      </c>
      <c r="G1492" s="2" t="s">
        <v>445</v>
      </c>
      <c r="H1492" s="2" t="s">
        <v>446</v>
      </c>
      <c r="I1492" s="26">
        <v>45243</v>
      </c>
      <c r="J1492" s="2">
        <v>31</v>
      </c>
      <c r="K1492" s="2" t="s">
        <v>188</v>
      </c>
      <c r="L1492" s="22">
        <v>1100</v>
      </c>
      <c r="M1492" s="22">
        <v>34100</v>
      </c>
      <c r="N1492" s="18">
        <v>36.47</v>
      </c>
      <c r="O1492" s="26">
        <v>45543</v>
      </c>
      <c r="P1492" s="2" t="s">
        <v>2105</v>
      </c>
      <c r="Q1492" s="2" t="s">
        <v>814</v>
      </c>
    </row>
    <row r="1493" spans="2:17" x14ac:dyDescent="0.25">
      <c r="B1493" s="2" t="s">
        <v>2298</v>
      </c>
      <c r="C1493" s="2" t="s">
        <v>186</v>
      </c>
      <c r="D1493" s="2" t="s">
        <v>187</v>
      </c>
      <c r="E1493" s="2" t="s">
        <v>176</v>
      </c>
      <c r="F1493" s="2" t="s">
        <v>535</v>
      </c>
      <c r="G1493" s="2" t="s">
        <v>445</v>
      </c>
      <c r="H1493" s="2" t="s">
        <v>446</v>
      </c>
      <c r="I1493" s="26">
        <v>45275</v>
      </c>
      <c r="J1493" s="2">
        <v>34</v>
      </c>
      <c r="K1493" s="2" t="s">
        <v>188</v>
      </c>
      <c r="L1493" s="22">
        <v>1100</v>
      </c>
      <c r="M1493" s="22">
        <v>37400</v>
      </c>
      <c r="N1493" s="18">
        <v>40</v>
      </c>
      <c r="O1493" s="26">
        <v>45575</v>
      </c>
      <c r="P1493" s="2" t="s">
        <v>2105</v>
      </c>
      <c r="Q1493" s="2" t="s">
        <v>825</v>
      </c>
    </row>
    <row r="1494" spans="2:17" x14ac:dyDescent="0.25">
      <c r="B1494" s="2" t="s">
        <v>2299</v>
      </c>
      <c r="C1494" s="2" t="s">
        <v>186</v>
      </c>
      <c r="D1494" s="2" t="s">
        <v>187</v>
      </c>
      <c r="E1494" s="2" t="s">
        <v>176</v>
      </c>
      <c r="F1494" s="2" t="s">
        <v>535</v>
      </c>
      <c r="G1494" s="2" t="s">
        <v>445</v>
      </c>
      <c r="H1494" s="2" t="s">
        <v>446</v>
      </c>
      <c r="I1494" s="26">
        <v>45314</v>
      </c>
      <c r="J1494" s="2">
        <v>26</v>
      </c>
      <c r="K1494" s="2" t="s">
        <v>188</v>
      </c>
      <c r="L1494" s="22">
        <v>1100</v>
      </c>
      <c r="M1494" s="22">
        <v>28600</v>
      </c>
      <c r="N1494" s="18">
        <v>30.59</v>
      </c>
      <c r="O1494" s="26">
        <v>45614</v>
      </c>
      <c r="P1494" s="2" t="s">
        <v>2105</v>
      </c>
      <c r="Q1494" s="2" t="s">
        <v>825</v>
      </c>
    </row>
    <row r="1495" spans="2:17" x14ac:dyDescent="0.25">
      <c r="B1495" s="2" t="s">
        <v>2300</v>
      </c>
      <c r="C1495" s="2" t="s">
        <v>186</v>
      </c>
      <c r="D1495" s="2" t="s">
        <v>187</v>
      </c>
      <c r="E1495" s="2" t="s">
        <v>176</v>
      </c>
      <c r="F1495" s="2" t="s">
        <v>535</v>
      </c>
      <c r="G1495" s="2" t="s">
        <v>445</v>
      </c>
      <c r="H1495" s="2" t="s">
        <v>446</v>
      </c>
      <c r="I1495" s="26">
        <v>45351</v>
      </c>
      <c r="J1495" s="2">
        <v>34</v>
      </c>
      <c r="K1495" s="2" t="s">
        <v>188</v>
      </c>
      <c r="L1495" s="22">
        <v>1100</v>
      </c>
      <c r="M1495" s="22">
        <v>37400</v>
      </c>
      <c r="N1495" s="18">
        <v>40</v>
      </c>
      <c r="O1495" s="26">
        <v>45651</v>
      </c>
      <c r="P1495" s="2" t="s">
        <v>2105</v>
      </c>
      <c r="Q1495" s="2" t="s">
        <v>825</v>
      </c>
    </row>
    <row r="1496" spans="2:17" x14ac:dyDescent="0.25">
      <c r="B1496" s="2" t="s">
        <v>2301</v>
      </c>
      <c r="C1496" s="2" t="s">
        <v>186</v>
      </c>
      <c r="D1496" s="2" t="s">
        <v>187</v>
      </c>
      <c r="E1496" s="2" t="s">
        <v>176</v>
      </c>
      <c r="F1496" s="2" t="s">
        <v>535</v>
      </c>
      <c r="G1496" s="2" t="s">
        <v>445</v>
      </c>
      <c r="H1496" s="2" t="s">
        <v>446</v>
      </c>
      <c r="I1496" s="26">
        <v>45386</v>
      </c>
      <c r="J1496" s="2">
        <v>87</v>
      </c>
      <c r="K1496" s="2" t="s">
        <v>188</v>
      </c>
      <c r="L1496" s="22">
        <v>1100</v>
      </c>
      <c r="M1496" s="22">
        <v>95700</v>
      </c>
      <c r="N1496" s="18">
        <v>102.35</v>
      </c>
      <c r="O1496" s="26">
        <v>45686</v>
      </c>
      <c r="P1496" s="2" t="s">
        <v>2105</v>
      </c>
      <c r="Q1496" s="2" t="s">
        <v>836</v>
      </c>
    </row>
    <row r="1497" spans="2:17" x14ac:dyDescent="0.25">
      <c r="B1497" s="2" t="s">
        <v>2302</v>
      </c>
      <c r="C1497" s="2" t="s">
        <v>186</v>
      </c>
      <c r="D1497" s="2" t="s">
        <v>187</v>
      </c>
      <c r="E1497" s="2" t="s">
        <v>176</v>
      </c>
      <c r="F1497" s="2" t="s">
        <v>537</v>
      </c>
      <c r="G1497" s="2" t="s">
        <v>450</v>
      </c>
      <c r="H1497" s="2" t="s">
        <v>451</v>
      </c>
      <c r="I1497" s="26">
        <v>45429</v>
      </c>
      <c r="J1497" s="2">
        <v>89</v>
      </c>
      <c r="K1497" s="2" t="s">
        <v>188</v>
      </c>
      <c r="L1497" s="22">
        <v>1150</v>
      </c>
      <c r="M1497" s="22">
        <v>102350</v>
      </c>
      <c r="N1497" s="18">
        <v>109.47</v>
      </c>
      <c r="O1497" s="26">
        <v>45729</v>
      </c>
      <c r="P1497" s="2" t="s">
        <v>2105</v>
      </c>
      <c r="Q1497" s="2" t="s">
        <v>836</v>
      </c>
    </row>
    <row r="1498" spans="2:17" x14ac:dyDescent="0.25">
      <c r="B1498" s="2" t="s">
        <v>2303</v>
      </c>
      <c r="C1498" s="2" t="s">
        <v>186</v>
      </c>
      <c r="D1498" s="2" t="s">
        <v>187</v>
      </c>
      <c r="E1498" s="2" t="s">
        <v>176</v>
      </c>
      <c r="F1498" s="2" t="s">
        <v>535</v>
      </c>
      <c r="G1498" s="2" t="s">
        <v>445</v>
      </c>
      <c r="H1498" s="2" t="s">
        <v>446</v>
      </c>
      <c r="I1498" s="26">
        <v>45460</v>
      </c>
      <c r="J1498" s="2">
        <v>85</v>
      </c>
      <c r="K1498" s="2" t="s">
        <v>188</v>
      </c>
      <c r="L1498" s="22">
        <v>1100</v>
      </c>
      <c r="M1498" s="22">
        <v>93500</v>
      </c>
      <c r="N1498" s="18">
        <v>100</v>
      </c>
      <c r="O1498" s="26">
        <v>45760</v>
      </c>
      <c r="P1498" s="2" t="s">
        <v>2105</v>
      </c>
      <c r="Q1498" s="2" t="s">
        <v>806</v>
      </c>
    </row>
    <row r="1499" spans="2:17" x14ac:dyDescent="0.25">
      <c r="B1499" s="2" t="s">
        <v>2304</v>
      </c>
      <c r="C1499" s="2" t="s">
        <v>186</v>
      </c>
      <c r="D1499" s="2" t="s">
        <v>187</v>
      </c>
      <c r="E1499" s="2" t="s">
        <v>176</v>
      </c>
      <c r="F1499" s="2" t="s">
        <v>535</v>
      </c>
      <c r="G1499" s="2" t="s">
        <v>445</v>
      </c>
      <c r="H1499" s="2" t="s">
        <v>446</v>
      </c>
      <c r="I1499" s="26">
        <v>45503</v>
      </c>
      <c r="J1499" s="2">
        <v>82</v>
      </c>
      <c r="K1499" s="2" t="s">
        <v>188</v>
      </c>
      <c r="L1499" s="22">
        <v>1100</v>
      </c>
      <c r="M1499" s="22">
        <v>90200</v>
      </c>
      <c r="N1499" s="18">
        <v>96.47</v>
      </c>
      <c r="O1499" s="26">
        <v>45803</v>
      </c>
      <c r="P1499" s="2" t="s">
        <v>2105</v>
      </c>
      <c r="Q1499" s="2" t="s">
        <v>806</v>
      </c>
    </row>
    <row r="1500" spans="2:17" x14ac:dyDescent="0.25">
      <c r="B1500" s="2" t="s">
        <v>2305</v>
      </c>
      <c r="C1500" s="2" t="s">
        <v>186</v>
      </c>
      <c r="D1500" s="2" t="s">
        <v>187</v>
      </c>
      <c r="E1500" s="2" t="s">
        <v>176</v>
      </c>
      <c r="F1500" s="2" t="s">
        <v>535</v>
      </c>
      <c r="G1500" s="2" t="s">
        <v>445</v>
      </c>
      <c r="H1500" s="2" t="s">
        <v>446</v>
      </c>
      <c r="I1500" s="26">
        <v>45537</v>
      </c>
      <c r="J1500" s="2">
        <v>87</v>
      </c>
      <c r="K1500" s="2" t="s">
        <v>188</v>
      </c>
      <c r="L1500" s="22">
        <v>1100</v>
      </c>
      <c r="M1500" s="22">
        <v>95700</v>
      </c>
      <c r="N1500" s="18">
        <v>102.35</v>
      </c>
      <c r="O1500" s="26">
        <v>45837</v>
      </c>
      <c r="P1500" s="2" t="s">
        <v>2105</v>
      </c>
      <c r="Q1500" s="2" t="s">
        <v>814</v>
      </c>
    </row>
    <row r="1501" spans="2:17" x14ac:dyDescent="0.25">
      <c r="B1501" s="2" t="s">
        <v>2306</v>
      </c>
      <c r="C1501" s="2" t="s">
        <v>186</v>
      </c>
      <c r="D1501" s="2" t="s">
        <v>187</v>
      </c>
      <c r="E1501" s="2" t="s">
        <v>176</v>
      </c>
      <c r="F1501" s="2" t="s">
        <v>535</v>
      </c>
      <c r="G1501" s="2" t="s">
        <v>445</v>
      </c>
      <c r="H1501" s="2" t="s">
        <v>446</v>
      </c>
      <c r="I1501" s="26">
        <v>45567</v>
      </c>
      <c r="J1501" s="2">
        <v>26</v>
      </c>
      <c r="K1501" s="2" t="s">
        <v>188</v>
      </c>
      <c r="L1501" s="22">
        <v>1100</v>
      </c>
      <c r="M1501" s="22">
        <v>28600</v>
      </c>
      <c r="N1501" s="18">
        <v>30.59</v>
      </c>
      <c r="O1501" s="26">
        <v>45867</v>
      </c>
      <c r="P1501" s="2" t="s">
        <v>2105</v>
      </c>
      <c r="Q1501" s="2" t="s">
        <v>814</v>
      </c>
    </row>
    <row r="1502" spans="2:17" x14ac:dyDescent="0.25">
      <c r="B1502" s="2" t="s">
        <v>2307</v>
      </c>
      <c r="C1502" s="2" t="s">
        <v>186</v>
      </c>
      <c r="D1502" s="2" t="s">
        <v>187</v>
      </c>
      <c r="E1502" s="2" t="s">
        <v>176</v>
      </c>
      <c r="F1502" s="2" t="s">
        <v>535</v>
      </c>
      <c r="G1502" s="2" t="s">
        <v>445</v>
      </c>
      <c r="H1502" s="2" t="s">
        <v>446</v>
      </c>
      <c r="I1502" s="26">
        <v>45600</v>
      </c>
      <c r="J1502" s="2">
        <v>32</v>
      </c>
      <c r="K1502" s="2" t="s">
        <v>188</v>
      </c>
      <c r="L1502" s="22">
        <v>1100</v>
      </c>
      <c r="M1502" s="22">
        <v>35200</v>
      </c>
      <c r="N1502" s="18">
        <v>37.65</v>
      </c>
      <c r="O1502" s="26">
        <v>45900</v>
      </c>
      <c r="P1502" s="2" t="s">
        <v>2105</v>
      </c>
      <c r="Q1502" s="2" t="s">
        <v>814</v>
      </c>
    </row>
    <row r="1503" spans="2:17" x14ac:dyDescent="0.25">
      <c r="B1503" s="2" t="s">
        <v>2308</v>
      </c>
      <c r="C1503" s="2" t="s">
        <v>186</v>
      </c>
      <c r="D1503" s="2" t="s">
        <v>187</v>
      </c>
      <c r="E1503" s="2" t="s">
        <v>176</v>
      </c>
      <c r="F1503" s="2" t="s">
        <v>535</v>
      </c>
      <c r="G1503" s="2" t="s">
        <v>445</v>
      </c>
      <c r="H1503" s="2" t="s">
        <v>446</v>
      </c>
      <c r="I1503" s="26">
        <v>45634</v>
      </c>
      <c r="J1503" s="2">
        <v>35</v>
      </c>
      <c r="K1503" s="2" t="s">
        <v>188</v>
      </c>
      <c r="L1503" s="22">
        <v>1100</v>
      </c>
      <c r="M1503" s="22">
        <v>38500</v>
      </c>
      <c r="N1503" s="18">
        <v>41.18</v>
      </c>
      <c r="O1503" s="26">
        <v>45934</v>
      </c>
      <c r="P1503" s="2" t="s">
        <v>2105</v>
      </c>
      <c r="Q1503" s="2" t="s">
        <v>825</v>
      </c>
    </row>
    <row r="1504" spans="2:17" x14ac:dyDescent="0.25">
      <c r="B1504" s="2" t="s">
        <v>2309</v>
      </c>
      <c r="C1504" s="2" t="s">
        <v>186</v>
      </c>
      <c r="D1504" s="2" t="s">
        <v>187</v>
      </c>
      <c r="E1504" s="2" t="s">
        <v>176</v>
      </c>
      <c r="F1504" s="2" t="s">
        <v>535</v>
      </c>
      <c r="G1504" s="2" t="s">
        <v>445</v>
      </c>
      <c r="H1504" s="2" t="s">
        <v>446</v>
      </c>
      <c r="I1504" s="26">
        <v>45672</v>
      </c>
      <c r="J1504" s="2">
        <v>32</v>
      </c>
      <c r="K1504" s="2" t="s">
        <v>188</v>
      </c>
      <c r="L1504" s="22">
        <v>1100</v>
      </c>
      <c r="M1504" s="22">
        <v>35200</v>
      </c>
      <c r="N1504" s="18">
        <v>37.65</v>
      </c>
      <c r="O1504" s="26">
        <v>45972</v>
      </c>
      <c r="P1504" s="2" t="s">
        <v>2105</v>
      </c>
      <c r="Q1504" s="2" t="s">
        <v>825</v>
      </c>
    </row>
    <row r="1505" spans="2:17" x14ac:dyDescent="0.25">
      <c r="B1505" s="2" t="s">
        <v>2310</v>
      </c>
      <c r="C1505" s="2" t="s">
        <v>186</v>
      </c>
      <c r="D1505" s="2" t="s">
        <v>187</v>
      </c>
      <c r="E1505" s="2" t="s">
        <v>176</v>
      </c>
      <c r="F1505" s="2" t="s">
        <v>535</v>
      </c>
      <c r="G1505" s="2" t="s">
        <v>445</v>
      </c>
      <c r="H1505" s="2" t="s">
        <v>446</v>
      </c>
      <c r="I1505" s="26">
        <v>45707</v>
      </c>
      <c r="J1505" s="2">
        <v>35</v>
      </c>
      <c r="K1505" s="2" t="s">
        <v>188</v>
      </c>
      <c r="L1505" s="22">
        <v>1100</v>
      </c>
      <c r="M1505" s="22">
        <v>38500</v>
      </c>
      <c r="N1505" s="18">
        <v>41.18</v>
      </c>
      <c r="O1505" s="26">
        <v>46007</v>
      </c>
      <c r="P1505" s="2" t="s">
        <v>2105</v>
      </c>
      <c r="Q1505" s="2" t="s">
        <v>825</v>
      </c>
    </row>
    <row r="1506" spans="2:17" x14ac:dyDescent="0.25">
      <c r="B1506" s="2" t="s">
        <v>2311</v>
      </c>
      <c r="C1506" s="2" t="s">
        <v>186</v>
      </c>
      <c r="D1506" s="2" t="s">
        <v>187</v>
      </c>
      <c r="E1506" s="2" t="s">
        <v>176</v>
      </c>
      <c r="F1506" s="2" t="s">
        <v>535</v>
      </c>
      <c r="G1506" s="2" t="s">
        <v>445</v>
      </c>
      <c r="H1506" s="2" t="s">
        <v>446</v>
      </c>
      <c r="I1506" s="26">
        <v>45735</v>
      </c>
      <c r="J1506" s="2">
        <v>35</v>
      </c>
      <c r="K1506" s="2" t="s">
        <v>188</v>
      </c>
      <c r="L1506" s="22">
        <v>1100</v>
      </c>
      <c r="M1506" s="22">
        <v>38500</v>
      </c>
      <c r="N1506" s="18">
        <v>41.18</v>
      </c>
      <c r="O1506" s="26">
        <v>46035</v>
      </c>
      <c r="P1506" s="2" t="s">
        <v>2105</v>
      </c>
      <c r="Q1506" s="2" t="s">
        <v>836</v>
      </c>
    </row>
    <row r="1507" spans="2:17" x14ac:dyDescent="0.25">
      <c r="B1507" s="2" t="s">
        <v>2312</v>
      </c>
      <c r="C1507" s="2" t="s">
        <v>186</v>
      </c>
      <c r="D1507" s="2" t="s">
        <v>187</v>
      </c>
      <c r="E1507" s="2" t="s">
        <v>176</v>
      </c>
      <c r="F1507" s="2" t="s">
        <v>535</v>
      </c>
      <c r="G1507" s="2" t="s">
        <v>445</v>
      </c>
      <c r="H1507" s="2" t="s">
        <v>446</v>
      </c>
      <c r="I1507" s="26">
        <v>45766</v>
      </c>
      <c r="J1507" s="2">
        <v>82</v>
      </c>
      <c r="K1507" s="2" t="s">
        <v>188</v>
      </c>
      <c r="L1507" s="22">
        <v>1100</v>
      </c>
      <c r="M1507" s="22">
        <v>90200</v>
      </c>
      <c r="N1507" s="18">
        <v>96.47</v>
      </c>
      <c r="O1507" s="26">
        <v>46066</v>
      </c>
      <c r="P1507" s="2" t="s">
        <v>2105</v>
      </c>
      <c r="Q1507" s="2" t="s">
        <v>836</v>
      </c>
    </row>
    <row r="1508" spans="2:17" x14ac:dyDescent="0.25">
      <c r="B1508" s="2" t="s">
        <v>2313</v>
      </c>
      <c r="C1508" s="2" t="s">
        <v>186</v>
      </c>
      <c r="D1508" s="2" t="s">
        <v>187</v>
      </c>
      <c r="E1508" s="2" t="s">
        <v>176</v>
      </c>
      <c r="F1508" s="2" t="s">
        <v>535</v>
      </c>
      <c r="G1508" s="2" t="s">
        <v>445</v>
      </c>
      <c r="H1508" s="2" t="s">
        <v>446</v>
      </c>
      <c r="I1508" s="26">
        <v>45803</v>
      </c>
      <c r="J1508" s="2">
        <v>78</v>
      </c>
      <c r="K1508" s="2" t="s">
        <v>188</v>
      </c>
      <c r="L1508" s="22">
        <v>1100</v>
      </c>
      <c r="M1508" s="22">
        <v>85800</v>
      </c>
      <c r="N1508" s="18">
        <v>91.76</v>
      </c>
      <c r="O1508" s="26">
        <v>46103</v>
      </c>
      <c r="P1508" s="2" t="s">
        <v>2105</v>
      </c>
      <c r="Q1508" s="2" t="s">
        <v>836</v>
      </c>
    </row>
    <row r="1509" spans="2:17" x14ac:dyDescent="0.25">
      <c r="B1509" s="2" t="s">
        <v>2314</v>
      </c>
      <c r="C1509" s="2" t="s">
        <v>190</v>
      </c>
      <c r="D1509" s="2" t="s">
        <v>191</v>
      </c>
      <c r="E1509" s="2" t="s">
        <v>176</v>
      </c>
      <c r="F1509" s="2" t="s">
        <v>535</v>
      </c>
      <c r="G1509" s="2" t="s">
        <v>445</v>
      </c>
      <c r="H1509" s="2" t="s">
        <v>446</v>
      </c>
      <c r="I1509" s="26">
        <v>45129</v>
      </c>
      <c r="J1509" s="2">
        <v>83</v>
      </c>
      <c r="K1509" s="2" t="s">
        <v>192</v>
      </c>
      <c r="L1509" s="22">
        <v>1100</v>
      </c>
      <c r="M1509" s="22">
        <v>91300</v>
      </c>
      <c r="N1509" s="18">
        <v>97.65</v>
      </c>
      <c r="O1509" s="26">
        <v>45429</v>
      </c>
      <c r="P1509" s="2" t="s">
        <v>2105</v>
      </c>
      <c r="Q1509" s="2" t="s">
        <v>806</v>
      </c>
    </row>
    <row r="1510" spans="2:17" x14ac:dyDescent="0.25">
      <c r="B1510" s="2" t="s">
        <v>2315</v>
      </c>
      <c r="C1510" s="2" t="s">
        <v>190</v>
      </c>
      <c r="D1510" s="2" t="s">
        <v>191</v>
      </c>
      <c r="E1510" s="2" t="s">
        <v>176</v>
      </c>
      <c r="F1510" s="2" t="s">
        <v>535</v>
      </c>
      <c r="G1510" s="2" t="s">
        <v>445</v>
      </c>
      <c r="H1510" s="2" t="s">
        <v>446</v>
      </c>
      <c r="I1510" s="26">
        <v>45163</v>
      </c>
      <c r="J1510" s="2">
        <v>81</v>
      </c>
      <c r="K1510" s="2" t="s">
        <v>192</v>
      </c>
      <c r="L1510" s="22">
        <v>1100</v>
      </c>
      <c r="M1510" s="22">
        <v>89100</v>
      </c>
      <c r="N1510" s="18">
        <v>95.29</v>
      </c>
      <c r="O1510" s="26">
        <v>45463</v>
      </c>
      <c r="P1510" s="2" t="s">
        <v>2105</v>
      </c>
      <c r="Q1510" s="2" t="s">
        <v>806</v>
      </c>
    </row>
    <row r="1511" spans="2:17" x14ac:dyDescent="0.25">
      <c r="B1511" s="2" t="s">
        <v>2316</v>
      </c>
      <c r="C1511" s="2" t="s">
        <v>190</v>
      </c>
      <c r="D1511" s="2" t="s">
        <v>191</v>
      </c>
      <c r="E1511" s="2" t="s">
        <v>176</v>
      </c>
      <c r="F1511" s="2" t="s">
        <v>535</v>
      </c>
      <c r="G1511" s="2" t="s">
        <v>445</v>
      </c>
      <c r="H1511" s="2" t="s">
        <v>446</v>
      </c>
      <c r="I1511" s="26">
        <v>45197</v>
      </c>
      <c r="J1511" s="2">
        <v>104</v>
      </c>
      <c r="K1511" s="2" t="s">
        <v>192</v>
      </c>
      <c r="L1511" s="22">
        <v>1100</v>
      </c>
      <c r="M1511" s="22">
        <v>114400</v>
      </c>
      <c r="N1511" s="18">
        <v>122.35</v>
      </c>
      <c r="O1511" s="26">
        <v>45497</v>
      </c>
      <c r="P1511" s="2" t="s">
        <v>2105</v>
      </c>
      <c r="Q1511" s="2" t="s">
        <v>814</v>
      </c>
    </row>
    <row r="1512" spans="2:17" x14ac:dyDescent="0.25">
      <c r="B1512" s="2" t="s">
        <v>2317</v>
      </c>
      <c r="C1512" s="2" t="s">
        <v>190</v>
      </c>
      <c r="D1512" s="2" t="s">
        <v>191</v>
      </c>
      <c r="E1512" s="2" t="s">
        <v>176</v>
      </c>
      <c r="F1512" s="2" t="s">
        <v>535</v>
      </c>
      <c r="G1512" s="2" t="s">
        <v>445</v>
      </c>
      <c r="H1512" s="2" t="s">
        <v>446</v>
      </c>
      <c r="I1512" s="26">
        <v>45240</v>
      </c>
      <c r="J1512" s="2">
        <v>26</v>
      </c>
      <c r="K1512" s="2" t="s">
        <v>192</v>
      </c>
      <c r="L1512" s="22">
        <v>1100</v>
      </c>
      <c r="M1512" s="22">
        <v>28600</v>
      </c>
      <c r="N1512" s="18">
        <v>30.59</v>
      </c>
      <c r="O1512" s="26">
        <v>45540</v>
      </c>
      <c r="P1512" s="2" t="s">
        <v>2105</v>
      </c>
      <c r="Q1512" s="2" t="s">
        <v>814</v>
      </c>
    </row>
    <row r="1513" spans="2:17" x14ac:dyDescent="0.25">
      <c r="B1513" s="2" t="s">
        <v>2318</v>
      </c>
      <c r="C1513" s="2" t="s">
        <v>190</v>
      </c>
      <c r="D1513" s="2" t="s">
        <v>191</v>
      </c>
      <c r="E1513" s="2" t="s">
        <v>176</v>
      </c>
      <c r="F1513" s="2" t="s">
        <v>535</v>
      </c>
      <c r="G1513" s="2" t="s">
        <v>445</v>
      </c>
      <c r="H1513" s="2" t="s">
        <v>446</v>
      </c>
      <c r="I1513" s="26">
        <v>45271</v>
      </c>
      <c r="J1513" s="2">
        <v>40</v>
      </c>
      <c r="K1513" s="2" t="s">
        <v>192</v>
      </c>
      <c r="L1513" s="22">
        <v>1100</v>
      </c>
      <c r="M1513" s="22">
        <v>44000</v>
      </c>
      <c r="N1513" s="18">
        <v>47.06</v>
      </c>
      <c r="O1513" s="26">
        <v>45571</v>
      </c>
      <c r="P1513" s="2" t="s">
        <v>2105</v>
      </c>
      <c r="Q1513" s="2" t="s">
        <v>825</v>
      </c>
    </row>
    <row r="1514" spans="2:17" x14ac:dyDescent="0.25">
      <c r="B1514" s="2" t="s">
        <v>2319</v>
      </c>
      <c r="C1514" s="2" t="s">
        <v>190</v>
      </c>
      <c r="D1514" s="2" t="s">
        <v>191</v>
      </c>
      <c r="E1514" s="2" t="s">
        <v>176</v>
      </c>
      <c r="F1514" s="2" t="s">
        <v>537</v>
      </c>
      <c r="G1514" s="2" t="s">
        <v>450</v>
      </c>
      <c r="H1514" s="2" t="s">
        <v>451</v>
      </c>
      <c r="I1514" s="26">
        <v>45310</v>
      </c>
      <c r="J1514" s="2">
        <v>34</v>
      </c>
      <c r="K1514" s="2" t="s">
        <v>192</v>
      </c>
      <c r="L1514" s="22">
        <v>1100</v>
      </c>
      <c r="M1514" s="22">
        <v>37400</v>
      </c>
      <c r="N1514" s="18">
        <v>40</v>
      </c>
      <c r="O1514" s="26">
        <v>45610</v>
      </c>
      <c r="P1514" s="2" t="s">
        <v>2105</v>
      </c>
      <c r="Q1514" s="2" t="s">
        <v>825</v>
      </c>
    </row>
    <row r="1515" spans="2:17" x14ac:dyDescent="0.25">
      <c r="B1515" s="2" t="s">
        <v>2320</v>
      </c>
      <c r="C1515" s="2" t="s">
        <v>190</v>
      </c>
      <c r="D1515" s="2" t="s">
        <v>191</v>
      </c>
      <c r="E1515" s="2" t="s">
        <v>176</v>
      </c>
      <c r="F1515" s="2" t="s">
        <v>537</v>
      </c>
      <c r="G1515" s="2" t="s">
        <v>450</v>
      </c>
      <c r="H1515" s="2" t="s">
        <v>451</v>
      </c>
      <c r="I1515" s="26">
        <v>45348</v>
      </c>
      <c r="J1515" s="2">
        <v>29</v>
      </c>
      <c r="K1515" s="2" t="s">
        <v>192</v>
      </c>
      <c r="L1515" s="22">
        <v>1100</v>
      </c>
      <c r="M1515" s="22">
        <v>31900</v>
      </c>
      <c r="N1515" s="18">
        <v>34.119999999999997</v>
      </c>
      <c r="O1515" s="26">
        <v>45648</v>
      </c>
      <c r="P1515" s="2" t="s">
        <v>2105</v>
      </c>
      <c r="Q1515" s="2" t="s">
        <v>825</v>
      </c>
    </row>
    <row r="1516" spans="2:17" x14ac:dyDescent="0.25">
      <c r="B1516" s="2" t="s">
        <v>2321</v>
      </c>
      <c r="C1516" s="2" t="s">
        <v>190</v>
      </c>
      <c r="D1516" s="2" t="s">
        <v>191</v>
      </c>
      <c r="E1516" s="2" t="s">
        <v>176</v>
      </c>
      <c r="F1516" s="2" t="s">
        <v>535</v>
      </c>
      <c r="G1516" s="2" t="s">
        <v>445</v>
      </c>
      <c r="H1516" s="2" t="s">
        <v>446</v>
      </c>
      <c r="I1516" s="26">
        <v>45383</v>
      </c>
      <c r="J1516" s="2">
        <v>80</v>
      </c>
      <c r="K1516" s="2" t="s">
        <v>192</v>
      </c>
      <c r="L1516" s="22">
        <v>1100</v>
      </c>
      <c r="M1516" s="22">
        <v>88000</v>
      </c>
      <c r="N1516" s="18">
        <v>94.12</v>
      </c>
      <c r="O1516" s="26">
        <v>45683</v>
      </c>
      <c r="P1516" s="2" t="s">
        <v>2105</v>
      </c>
      <c r="Q1516" s="2" t="s">
        <v>836</v>
      </c>
    </row>
    <row r="1517" spans="2:17" x14ac:dyDescent="0.25">
      <c r="B1517" s="2" t="s">
        <v>2322</v>
      </c>
      <c r="C1517" s="2" t="s">
        <v>190</v>
      </c>
      <c r="D1517" s="2" t="s">
        <v>191</v>
      </c>
      <c r="E1517" s="2" t="s">
        <v>176</v>
      </c>
      <c r="F1517" s="2" t="s">
        <v>535</v>
      </c>
      <c r="G1517" s="2" t="s">
        <v>445</v>
      </c>
      <c r="H1517" s="2" t="s">
        <v>446</v>
      </c>
      <c r="I1517" s="26">
        <v>45424</v>
      </c>
      <c r="J1517" s="2">
        <v>90</v>
      </c>
      <c r="K1517" s="2" t="s">
        <v>192</v>
      </c>
      <c r="L1517" s="22">
        <v>1100</v>
      </c>
      <c r="M1517" s="22">
        <v>99000</v>
      </c>
      <c r="N1517" s="18">
        <v>105.88</v>
      </c>
      <c r="O1517" s="26">
        <v>45724</v>
      </c>
      <c r="P1517" s="2" t="s">
        <v>2105</v>
      </c>
      <c r="Q1517" s="2" t="s">
        <v>836</v>
      </c>
    </row>
    <row r="1518" spans="2:17" x14ac:dyDescent="0.25">
      <c r="B1518" s="2" t="s">
        <v>2323</v>
      </c>
      <c r="C1518" s="2" t="s">
        <v>190</v>
      </c>
      <c r="D1518" s="2" t="s">
        <v>191</v>
      </c>
      <c r="E1518" s="2" t="s">
        <v>176</v>
      </c>
      <c r="F1518" s="2" t="s">
        <v>535</v>
      </c>
      <c r="G1518" s="2" t="s">
        <v>445</v>
      </c>
      <c r="H1518" s="2" t="s">
        <v>446</v>
      </c>
      <c r="I1518" s="26">
        <v>45457</v>
      </c>
      <c r="J1518" s="2">
        <v>70</v>
      </c>
      <c r="K1518" s="2" t="s">
        <v>192</v>
      </c>
      <c r="L1518" s="22">
        <v>1100</v>
      </c>
      <c r="M1518" s="22">
        <v>77000</v>
      </c>
      <c r="N1518" s="18">
        <v>82.35</v>
      </c>
      <c r="O1518" s="26">
        <v>45757</v>
      </c>
      <c r="P1518" s="2" t="s">
        <v>2105</v>
      </c>
      <c r="Q1518" s="2" t="s">
        <v>806</v>
      </c>
    </row>
    <row r="1519" spans="2:17" x14ac:dyDescent="0.25">
      <c r="B1519" s="2" t="s">
        <v>2324</v>
      </c>
      <c r="C1519" s="2" t="s">
        <v>190</v>
      </c>
      <c r="D1519" s="2" t="s">
        <v>191</v>
      </c>
      <c r="E1519" s="2" t="s">
        <v>176</v>
      </c>
      <c r="F1519" s="2" t="s">
        <v>537</v>
      </c>
      <c r="G1519" s="2" t="s">
        <v>450</v>
      </c>
      <c r="H1519" s="2" t="s">
        <v>451</v>
      </c>
      <c r="I1519" s="26">
        <v>45498</v>
      </c>
      <c r="J1519" s="2">
        <v>91</v>
      </c>
      <c r="K1519" s="2" t="s">
        <v>192</v>
      </c>
      <c r="L1519" s="22">
        <v>1100</v>
      </c>
      <c r="M1519" s="22">
        <v>100100</v>
      </c>
      <c r="N1519" s="18">
        <v>107.06</v>
      </c>
      <c r="O1519" s="26">
        <v>45798</v>
      </c>
      <c r="P1519" s="2" t="s">
        <v>2105</v>
      </c>
      <c r="Q1519" s="2" t="s">
        <v>806</v>
      </c>
    </row>
    <row r="1520" spans="2:17" x14ac:dyDescent="0.25">
      <c r="B1520" s="2" t="s">
        <v>2325</v>
      </c>
      <c r="C1520" s="2" t="s">
        <v>190</v>
      </c>
      <c r="D1520" s="2" t="s">
        <v>191</v>
      </c>
      <c r="E1520" s="2" t="s">
        <v>176</v>
      </c>
      <c r="F1520" s="2" t="s">
        <v>535</v>
      </c>
      <c r="G1520" s="2" t="s">
        <v>445</v>
      </c>
      <c r="H1520" s="2" t="s">
        <v>446</v>
      </c>
      <c r="I1520" s="26">
        <v>45537</v>
      </c>
      <c r="J1520" s="2">
        <v>97</v>
      </c>
      <c r="K1520" s="2" t="s">
        <v>192</v>
      </c>
      <c r="L1520" s="22">
        <v>1100</v>
      </c>
      <c r="M1520" s="22">
        <v>106700</v>
      </c>
      <c r="N1520" s="18">
        <v>114.12</v>
      </c>
      <c r="O1520" s="26">
        <v>45837</v>
      </c>
      <c r="P1520" s="2" t="s">
        <v>2105</v>
      </c>
      <c r="Q1520" s="2" t="s">
        <v>814</v>
      </c>
    </row>
    <row r="1521" spans="2:17" x14ac:dyDescent="0.25">
      <c r="B1521" s="2" t="s">
        <v>2326</v>
      </c>
      <c r="C1521" s="2" t="s">
        <v>190</v>
      </c>
      <c r="D1521" s="2" t="s">
        <v>191</v>
      </c>
      <c r="E1521" s="2" t="s">
        <v>176</v>
      </c>
      <c r="F1521" s="2" t="s">
        <v>535</v>
      </c>
      <c r="G1521" s="2" t="s">
        <v>445</v>
      </c>
      <c r="H1521" s="2" t="s">
        <v>446</v>
      </c>
      <c r="I1521" s="26">
        <v>45563</v>
      </c>
      <c r="J1521" s="2">
        <v>91</v>
      </c>
      <c r="K1521" s="2" t="s">
        <v>192</v>
      </c>
      <c r="L1521" s="22">
        <v>1100</v>
      </c>
      <c r="M1521" s="22">
        <v>100100</v>
      </c>
      <c r="N1521" s="18">
        <v>107.06</v>
      </c>
      <c r="O1521" s="26">
        <v>45863</v>
      </c>
      <c r="P1521" s="2" t="s">
        <v>2105</v>
      </c>
      <c r="Q1521" s="2" t="s">
        <v>814</v>
      </c>
    </row>
    <row r="1522" spans="2:17" x14ac:dyDescent="0.25">
      <c r="B1522" s="2" t="s">
        <v>2327</v>
      </c>
      <c r="C1522" s="2" t="s">
        <v>190</v>
      </c>
      <c r="D1522" s="2" t="s">
        <v>191</v>
      </c>
      <c r="E1522" s="2" t="s">
        <v>176</v>
      </c>
      <c r="F1522" s="2" t="s">
        <v>535</v>
      </c>
      <c r="G1522" s="2" t="s">
        <v>445</v>
      </c>
      <c r="H1522" s="2" t="s">
        <v>446</v>
      </c>
      <c r="I1522" s="26">
        <v>45606</v>
      </c>
      <c r="J1522" s="2">
        <v>29</v>
      </c>
      <c r="K1522" s="2" t="s">
        <v>192</v>
      </c>
      <c r="L1522" s="22">
        <v>1100</v>
      </c>
      <c r="M1522" s="22">
        <v>31900</v>
      </c>
      <c r="N1522" s="18">
        <v>34.119999999999997</v>
      </c>
      <c r="O1522" s="26">
        <v>45906</v>
      </c>
      <c r="P1522" s="2" t="s">
        <v>2105</v>
      </c>
      <c r="Q1522" s="2" t="s">
        <v>814</v>
      </c>
    </row>
    <row r="1523" spans="2:17" x14ac:dyDescent="0.25">
      <c r="B1523" s="2" t="s">
        <v>2328</v>
      </c>
      <c r="C1523" s="2" t="s">
        <v>190</v>
      </c>
      <c r="D1523" s="2" t="s">
        <v>191</v>
      </c>
      <c r="E1523" s="2" t="s">
        <v>176</v>
      </c>
      <c r="F1523" s="2" t="s">
        <v>535</v>
      </c>
      <c r="G1523" s="2" t="s">
        <v>445</v>
      </c>
      <c r="H1523" s="2" t="s">
        <v>446</v>
      </c>
      <c r="I1523" s="26">
        <v>45639</v>
      </c>
      <c r="J1523" s="2">
        <v>45</v>
      </c>
      <c r="K1523" s="2" t="s">
        <v>192</v>
      </c>
      <c r="L1523" s="22">
        <v>1100</v>
      </c>
      <c r="M1523" s="22">
        <v>49500</v>
      </c>
      <c r="N1523" s="18">
        <v>52.94</v>
      </c>
      <c r="O1523" s="26">
        <v>45939</v>
      </c>
      <c r="P1523" s="2" t="s">
        <v>2105</v>
      </c>
      <c r="Q1523" s="2" t="s">
        <v>825</v>
      </c>
    </row>
    <row r="1524" spans="2:17" x14ac:dyDescent="0.25">
      <c r="B1524" s="2" t="s">
        <v>2329</v>
      </c>
      <c r="C1524" s="2" t="s">
        <v>190</v>
      </c>
      <c r="D1524" s="2" t="s">
        <v>191</v>
      </c>
      <c r="E1524" s="2" t="s">
        <v>176</v>
      </c>
      <c r="F1524" s="2" t="s">
        <v>535</v>
      </c>
      <c r="G1524" s="2" t="s">
        <v>445</v>
      </c>
      <c r="H1524" s="2" t="s">
        <v>446</v>
      </c>
      <c r="I1524" s="26">
        <v>45671</v>
      </c>
      <c r="J1524" s="2">
        <v>29</v>
      </c>
      <c r="K1524" s="2" t="s">
        <v>192</v>
      </c>
      <c r="L1524" s="22">
        <v>1100</v>
      </c>
      <c r="M1524" s="22">
        <v>31900</v>
      </c>
      <c r="N1524" s="18">
        <v>34.119999999999997</v>
      </c>
      <c r="O1524" s="26">
        <v>45971</v>
      </c>
      <c r="P1524" s="2" t="s">
        <v>2105</v>
      </c>
      <c r="Q1524" s="2" t="s">
        <v>825</v>
      </c>
    </row>
    <row r="1525" spans="2:17" x14ac:dyDescent="0.25">
      <c r="B1525" s="2" t="s">
        <v>2330</v>
      </c>
      <c r="C1525" s="2" t="s">
        <v>190</v>
      </c>
      <c r="D1525" s="2" t="s">
        <v>191</v>
      </c>
      <c r="E1525" s="2" t="s">
        <v>176</v>
      </c>
      <c r="F1525" s="2" t="s">
        <v>535</v>
      </c>
      <c r="G1525" s="2" t="s">
        <v>445</v>
      </c>
      <c r="H1525" s="2" t="s">
        <v>446</v>
      </c>
      <c r="I1525" s="26">
        <v>45713</v>
      </c>
      <c r="J1525" s="2">
        <v>28</v>
      </c>
      <c r="K1525" s="2" t="s">
        <v>192</v>
      </c>
      <c r="L1525" s="22">
        <v>1100</v>
      </c>
      <c r="M1525" s="22">
        <v>30800</v>
      </c>
      <c r="N1525" s="18">
        <v>32.94</v>
      </c>
      <c r="O1525" s="26">
        <v>46013</v>
      </c>
      <c r="P1525" s="2" t="s">
        <v>2105</v>
      </c>
      <c r="Q1525" s="2" t="s">
        <v>825</v>
      </c>
    </row>
    <row r="1526" spans="2:17" x14ac:dyDescent="0.25">
      <c r="B1526" s="2" t="s">
        <v>2331</v>
      </c>
      <c r="C1526" s="2" t="s">
        <v>190</v>
      </c>
      <c r="D1526" s="2" t="s">
        <v>191</v>
      </c>
      <c r="E1526" s="2" t="s">
        <v>176</v>
      </c>
      <c r="F1526" s="2" t="s">
        <v>535</v>
      </c>
      <c r="G1526" s="2" t="s">
        <v>445</v>
      </c>
      <c r="H1526" s="2" t="s">
        <v>446</v>
      </c>
      <c r="I1526" s="26">
        <v>45748</v>
      </c>
      <c r="J1526" s="2">
        <v>90</v>
      </c>
      <c r="K1526" s="2" t="s">
        <v>192</v>
      </c>
      <c r="L1526" s="22">
        <v>1100</v>
      </c>
      <c r="M1526" s="22">
        <v>99000</v>
      </c>
      <c r="N1526" s="18">
        <v>105.88</v>
      </c>
      <c r="O1526" s="26">
        <v>46048</v>
      </c>
      <c r="P1526" s="2" t="s">
        <v>2105</v>
      </c>
      <c r="Q1526" s="2" t="s">
        <v>836</v>
      </c>
    </row>
    <row r="1527" spans="2:17" x14ac:dyDescent="0.25">
      <c r="B1527" s="2" t="s">
        <v>2332</v>
      </c>
      <c r="C1527" s="2" t="s">
        <v>190</v>
      </c>
      <c r="D1527" s="2" t="s">
        <v>191</v>
      </c>
      <c r="E1527" s="2" t="s">
        <v>176</v>
      </c>
      <c r="F1527" s="2" t="s">
        <v>535</v>
      </c>
      <c r="G1527" s="2" t="s">
        <v>445</v>
      </c>
      <c r="H1527" s="2" t="s">
        <v>446</v>
      </c>
      <c r="I1527" s="26">
        <v>45779</v>
      </c>
      <c r="J1527" s="2">
        <v>97</v>
      </c>
      <c r="K1527" s="2" t="s">
        <v>192</v>
      </c>
      <c r="L1527" s="22">
        <v>1100</v>
      </c>
      <c r="M1527" s="22">
        <v>106700</v>
      </c>
      <c r="N1527" s="18">
        <v>114.12</v>
      </c>
      <c r="O1527" s="26">
        <v>46079</v>
      </c>
      <c r="P1527" s="2" t="s">
        <v>2105</v>
      </c>
      <c r="Q1527" s="2" t="s">
        <v>836</v>
      </c>
    </row>
    <row r="1528" spans="2:17" x14ac:dyDescent="0.25">
      <c r="B1528" s="2" t="s">
        <v>2333</v>
      </c>
      <c r="C1528" s="2" t="s">
        <v>190</v>
      </c>
      <c r="D1528" s="2" t="s">
        <v>191</v>
      </c>
      <c r="E1528" s="2" t="s">
        <v>176</v>
      </c>
      <c r="F1528" s="2" t="s">
        <v>535</v>
      </c>
      <c r="G1528" s="2" t="s">
        <v>445</v>
      </c>
      <c r="H1528" s="2" t="s">
        <v>446</v>
      </c>
      <c r="I1528" s="26">
        <v>45810</v>
      </c>
      <c r="J1528" s="2">
        <v>89</v>
      </c>
      <c r="K1528" s="2" t="s">
        <v>192</v>
      </c>
      <c r="L1528" s="22">
        <v>1100</v>
      </c>
      <c r="M1528" s="22">
        <v>97900</v>
      </c>
      <c r="N1528" s="18">
        <v>104.71</v>
      </c>
      <c r="O1528" s="26">
        <v>46110</v>
      </c>
      <c r="P1528" s="2" t="s">
        <v>2105</v>
      </c>
      <c r="Q1528" s="2" t="s">
        <v>806</v>
      </c>
    </row>
    <row r="1529" spans="2:17" x14ac:dyDescent="0.25">
      <c r="B1529" s="2" t="s">
        <v>2334</v>
      </c>
      <c r="C1529" s="2" t="s">
        <v>193</v>
      </c>
      <c r="D1529" s="2" t="s">
        <v>194</v>
      </c>
      <c r="E1529" s="2" t="s">
        <v>176</v>
      </c>
      <c r="F1529" s="2" t="s">
        <v>535</v>
      </c>
      <c r="G1529" s="2" t="s">
        <v>445</v>
      </c>
      <c r="H1529" s="2" t="s">
        <v>446</v>
      </c>
      <c r="I1529" s="26">
        <v>45138</v>
      </c>
      <c r="J1529" s="2">
        <v>71</v>
      </c>
      <c r="K1529" s="2" t="s">
        <v>177</v>
      </c>
      <c r="L1529" s="22">
        <v>1450</v>
      </c>
      <c r="M1529" s="22">
        <v>102950</v>
      </c>
      <c r="N1529" s="18">
        <v>110.11</v>
      </c>
      <c r="O1529" s="26">
        <v>45438</v>
      </c>
      <c r="P1529" s="2" t="s">
        <v>2105</v>
      </c>
      <c r="Q1529" s="2" t="s">
        <v>806</v>
      </c>
    </row>
    <row r="1530" spans="2:17" x14ac:dyDescent="0.25">
      <c r="B1530" s="2" t="s">
        <v>2335</v>
      </c>
      <c r="C1530" s="2" t="s">
        <v>193</v>
      </c>
      <c r="D1530" s="2" t="s">
        <v>194</v>
      </c>
      <c r="E1530" s="2" t="s">
        <v>176</v>
      </c>
      <c r="F1530" s="2" t="s">
        <v>535</v>
      </c>
      <c r="G1530" s="2" t="s">
        <v>445</v>
      </c>
      <c r="H1530" s="2" t="s">
        <v>446</v>
      </c>
      <c r="I1530" s="26">
        <v>45177</v>
      </c>
      <c r="J1530" s="2">
        <v>97</v>
      </c>
      <c r="K1530" s="2" t="s">
        <v>177</v>
      </c>
      <c r="L1530" s="22">
        <v>1450</v>
      </c>
      <c r="M1530" s="22">
        <v>140650</v>
      </c>
      <c r="N1530" s="18">
        <v>150.43</v>
      </c>
      <c r="O1530" s="26">
        <v>45477</v>
      </c>
      <c r="P1530" s="2" t="s">
        <v>2105</v>
      </c>
      <c r="Q1530" s="2" t="s">
        <v>814</v>
      </c>
    </row>
    <row r="1531" spans="2:17" x14ac:dyDescent="0.25">
      <c r="B1531" s="2" t="s">
        <v>2336</v>
      </c>
      <c r="C1531" s="2" t="s">
        <v>193</v>
      </c>
      <c r="D1531" s="2" t="s">
        <v>194</v>
      </c>
      <c r="E1531" s="2" t="s">
        <v>176</v>
      </c>
      <c r="F1531" s="2" t="s">
        <v>535</v>
      </c>
      <c r="G1531" s="2" t="s">
        <v>445</v>
      </c>
      <c r="H1531" s="2" t="s">
        <v>446</v>
      </c>
      <c r="I1531" s="26">
        <v>45215</v>
      </c>
      <c r="J1531" s="2">
        <v>34</v>
      </c>
      <c r="K1531" s="2" t="s">
        <v>177</v>
      </c>
      <c r="L1531" s="22">
        <v>1450</v>
      </c>
      <c r="M1531" s="22">
        <v>49300</v>
      </c>
      <c r="N1531" s="18">
        <v>52.73</v>
      </c>
      <c r="O1531" s="26">
        <v>45515</v>
      </c>
      <c r="P1531" s="2" t="s">
        <v>2105</v>
      </c>
      <c r="Q1531" s="2" t="s">
        <v>814</v>
      </c>
    </row>
    <row r="1532" spans="2:17" x14ac:dyDescent="0.25">
      <c r="B1532" s="2" t="s">
        <v>2337</v>
      </c>
      <c r="C1532" s="2" t="s">
        <v>193</v>
      </c>
      <c r="D1532" s="2" t="s">
        <v>194</v>
      </c>
      <c r="E1532" s="2" t="s">
        <v>176</v>
      </c>
      <c r="F1532" s="2" t="s">
        <v>535</v>
      </c>
      <c r="G1532" s="2" t="s">
        <v>445</v>
      </c>
      <c r="H1532" s="2" t="s">
        <v>446</v>
      </c>
      <c r="I1532" s="26">
        <v>45248</v>
      </c>
      <c r="J1532" s="2">
        <v>28</v>
      </c>
      <c r="K1532" s="2" t="s">
        <v>177</v>
      </c>
      <c r="L1532" s="22">
        <v>1450</v>
      </c>
      <c r="M1532" s="22">
        <v>40600</v>
      </c>
      <c r="N1532" s="18">
        <v>43.42</v>
      </c>
      <c r="O1532" s="26">
        <v>45548</v>
      </c>
      <c r="P1532" s="2" t="s">
        <v>2105</v>
      </c>
      <c r="Q1532" s="2" t="s">
        <v>814</v>
      </c>
    </row>
    <row r="1533" spans="2:17" x14ac:dyDescent="0.25">
      <c r="B1533" s="2" t="s">
        <v>2338</v>
      </c>
      <c r="C1533" s="2" t="s">
        <v>193</v>
      </c>
      <c r="D1533" s="2" t="s">
        <v>194</v>
      </c>
      <c r="E1533" s="2" t="s">
        <v>176</v>
      </c>
      <c r="F1533" s="2" t="s">
        <v>537</v>
      </c>
      <c r="G1533" s="2" t="s">
        <v>450</v>
      </c>
      <c r="H1533" s="2" t="s">
        <v>451</v>
      </c>
      <c r="I1533" s="26">
        <v>45277</v>
      </c>
      <c r="J1533" s="2">
        <v>40</v>
      </c>
      <c r="K1533" s="2" t="s">
        <v>177</v>
      </c>
      <c r="L1533" s="22">
        <v>1400</v>
      </c>
      <c r="M1533" s="22">
        <v>56000</v>
      </c>
      <c r="N1533" s="18">
        <v>59.89</v>
      </c>
      <c r="O1533" s="26">
        <v>45577</v>
      </c>
      <c r="P1533" s="2" t="s">
        <v>2105</v>
      </c>
      <c r="Q1533" s="2" t="s">
        <v>825</v>
      </c>
    </row>
    <row r="1534" spans="2:17" x14ac:dyDescent="0.25">
      <c r="B1534" s="2" t="s">
        <v>2339</v>
      </c>
      <c r="C1534" s="2" t="s">
        <v>193</v>
      </c>
      <c r="D1534" s="2" t="s">
        <v>194</v>
      </c>
      <c r="E1534" s="2" t="s">
        <v>176</v>
      </c>
      <c r="F1534" s="2" t="s">
        <v>537</v>
      </c>
      <c r="G1534" s="2" t="s">
        <v>450</v>
      </c>
      <c r="H1534" s="2" t="s">
        <v>451</v>
      </c>
      <c r="I1534" s="26">
        <v>45312</v>
      </c>
      <c r="J1534" s="2">
        <v>28</v>
      </c>
      <c r="K1534" s="2" t="s">
        <v>177</v>
      </c>
      <c r="L1534" s="22">
        <v>1400</v>
      </c>
      <c r="M1534" s="22">
        <v>39200</v>
      </c>
      <c r="N1534" s="18">
        <v>41.93</v>
      </c>
      <c r="O1534" s="26">
        <v>45612</v>
      </c>
      <c r="P1534" s="2" t="s">
        <v>2105</v>
      </c>
      <c r="Q1534" s="2" t="s">
        <v>825</v>
      </c>
    </row>
    <row r="1535" spans="2:17" x14ac:dyDescent="0.25">
      <c r="B1535" s="2" t="s">
        <v>2340</v>
      </c>
      <c r="C1535" s="2" t="s">
        <v>193</v>
      </c>
      <c r="D1535" s="2" t="s">
        <v>194</v>
      </c>
      <c r="E1535" s="2" t="s">
        <v>176</v>
      </c>
      <c r="F1535" s="2" t="s">
        <v>537</v>
      </c>
      <c r="G1535" s="2" t="s">
        <v>450</v>
      </c>
      <c r="H1535" s="2" t="s">
        <v>451</v>
      </c>
      <c r="I1535" s="26">
        <v>45347</v>
      </c>
      <c r="J1535" s="2">
        <v>33</v>
      </c>
      <c r="K1535" s="2" t="s">
        <v>177</v>
      </c>
      <c r="L1535" s="22">
        <v>1400</v>
      </c>
      <c r="M1535" s="22">
        <v>46200</v>
      </c>
      <c r="N1535" s="18">
        <v>49.41</v>
      </c>
      <c r="O1535" s="26">
        <v>45647</v>
      </c>
      <c r="P1535" s="2" t="s">
        <v>2105</v>
      </c>
      <c r="Q1535" s="2" t="s">
        <v>825</v>
      </c>
    </row>
    <row r="1536" spans="2:17" x14ac:dyDescent="0.25">
      <c r="B1536" s="2" t="s">
        <v>2341</v>
      </c>
      <c r="C1536" s="2" t="s">
        <v>193</v>
      </c>
      <c r="D1536" s="2" t="s">
        <v>194</v>
      </c>
      <c r="E1536" s="2" t="s">
        <v>176</v>
      </c>
      <c r="F1536" s="2" t="s">
        <v>535</v>
      </c>
      <c r="G1536" s="2" t="s">
        <v>445</v>
      </c>
      <c r="H1536" s="2" t="s">
        <v>446</v>
      </c>
      <c r="I1536" s="26">
        <v>45385</v>
      </c>
      <c r="J1536" s="2">
        <v>74</v>
      </c>
      <c r="K1536" s="2" t="s">
        <v>177</v>
      </c>
      <c r="L1536" s="22">
        <v>1450</v>
      </c>
      <c r="M1536" s="22">
        <v>107300</v>
      </c>
      <c r="N1536" s="18">
        <v>114.76</v>
      </c>
      <c r="O1536" s="26">
        <v>45685</v>
      </c>
      <c r="P1536" s="2" t="s">
        <v>2105</v>
      </c>
      <c r="Q1536" s="2" t="s">
        <v>836</v>
      </c>
    </row>
    <row r="1537" spans="2:17" x14ac:dyDescent="0.25">
      <c r="B1537" s="2" t="s">
        <v>2342</v>
      </c>
      <c r="C1537" s="2" t="s">
        <v>193</v>
      </c>
      <c r="D1537" s="2" t="s">
        <v>194</v>
      </c>
      <c r="E1537" s="2" t="s">
        <v>176</v>
      </c>
      <c r="F1537" s="2" t="s">
        <v>535</v>
      </c>
      <c r="G1537" s="2" t="s">
        <v>445</v>
      </c>
      <c r="H1537" s="2" t="s">
        <v>446</v>
      </c>
      <c r="I1537" s="26">
        <v>45425</v>
      </c>
      <c r="J1537" s="2">
        <v>69</v>
      </c>
      <c r="K1537" s="2" t="s">
        <v>177</v>
      </c>
      <c r="L1537" s="22">
        <v>1450</v>
      </c>
      <c r="M1537" s="22">
        <v>100050</v>
      </c>
      <c r="N1537" s="18">
        <v>107.01</v>
      </c>
      <c r="O1537" s="26">
        <v>45725</v>
      </c>
      <c r="P1537" s="2" t="s">
        <v>2105</v>
      </c>
      <c r="Q1537" s="2" t="s">
        <v>836</v>
      </c>
    </row>
    <row r="1538" spans="2:17" x14ac:dyDescent="0.25">
      <c r="B1538" s="2" t="s">
        <v>2343</v>
      </c>
      <c r="C1538" s="2" t="s">
        <v>193</v>
      </c>
      <c r="D1538" s="2" t="s">
        <v>194</v>
      </c>
      <c r="E1538" s="2" t="s">
        <v>176</v>
      </c>
      <c r="F1538" s="2" t="s">
        <v>535</v>
      </c>
      <c r="G1538" s="2" t="s">
        <v>445</v>
      </c>
      <c r="H1538" s="2" t="s">
        <v>446</v>
      </c>
      <c r="I1538" s="26">
        <v>45446</v>
      </c>
      <c r="J1538" s="2">
        <v>83</v>
      </c>
      <c r="K1538" s="2" t="s">
        <v>177</v>
      </c>
      <c r="L1538" s="22">
        <v>1450</v>
      </c>
      <c r="M1538" s="22">
        <v>120350</v>
      </c>
      <c r="N1538" s="18">
        <v>128.72</v>
      </c>
      <c r="O1538" s="26">
        <v>45746</v>
      </c>
      <c r="P1538" s="2" t="s">
        <v>2105</v>
      </c>
      <c r="Q1538" s="2" t="s">
        <v>806</v>
      </c>
    </row>
    <row r="1539" spans="2:17" x14ac:dyDescent="0.25">
      <c r="B1539" s="2" t="s">
        <v>2344</v>
      </c>
      <c r="C1539" s="2" t="s">
        <v>193</v>
      </c>
      <c r="D1539" s="2" t="s">
        <v>194</v>
      </c>
      <c r="E1539" s="2" t="s">
        <v>176</v>
      </c>
      <c r="F1539" s="2" t="s">
        <v>535</v>
      </c>
      <c r="G1539" s="2" t="s">
        <v>445</v>
      </c>
      <c r="H1539" s="2" t="s">
        <v>446</v>
      </c>
      <c r="I1539" s="26">
        <v>45486</v>
      </c>
      <c r="J1539" s="2">
        <v>85</v>
      </c>
      <c r="K1539" s="2" t="s">
        <v>177</v>
      </c>
      <c r="L1539" s="22">
        <v>1450</v>
      </c>
      <c r="M1539" s="22">
        <v>123250</v>
      </c>
      <c r="N1539" s="18">
        <v>131.82</v>
      </c>
      <c r="O1539" s="26">
        <v>45786</v>
      </c>
      <c r="P1539" s="2" t="s">
        <v>2105</v>
      </c>
      <c r="Q1539" s="2" t="s">
        <v>806</v>
      </c>
    </row>
    <row r="1540" spans="2:17" x14ac:dyDescent="0.25">
      <c r="B1540" s="2" t="s">
        <v>2345</v>
      </c>
      <c r="C1540" s="2" t="s">
        <v>193</v>
      </c>
      <c r="D1540" s="2" t="s">
        <v>194</v>
      </c>
      <c r="E1540" s="2" t="s">
        <v>176</v>
      </c>
      <c r="F1540" s="2" t="s">
        <v>535</v>
      </c>
      <c r="G1540" s="2" t="s">
        <v>445</v>
      </c>
      <c r="H1540" s="2" t="s">
        <v>446</v>
      </c>
      <c r="I1540" s="26">
        <v>45520</v>
      </c>
      <c r="J1540" s="2">
        <v>83</v>
      </c>
      <c r="K1540" s="2" t="s">
        <v>177</v>
      </c>
      <c r="L1540" s="22">
        <v>1450</v>
      </c>
      <c r="M1540" s="22">
        <v>120350</v>
      </c>
      <c r="N1540" s="18">
        <v>128.72</v>
      </c>
      <c r="O1540" s="26">
        <v>45820</v>
      </c>
      <c r="P1540" s="2" t="s">
        <v>2105</v>
      </c>
      <c r="Q1540" s="2" t="s">
        <v>806</v>
      </c>
    </row>
    <row r="1541" spans="2:17" x14ac:dyDescent="0.25">
      <c r="B1541" s="2" t="s">
        <v>2346</v>
      </c>
      <c r="C1541" s="2" t="s">
        <v>193</v>
      </c>
      <c r="D1541" s="2" t="s">
        <v>194</v>
      </c>
      <c r="E1541" s="2" t="s">
        <v>176</v>
      </c>
      <c r="F1541" s="2" t="s">
        <v>535</v>
      </c>
      <c r="G1541" s="2" t="s">
        <v>445</v>
      </c>
      <c r="H1541" s="2" t="s">
        <v>446</v>
      </c>
      <c r="I1541" s="26">
        <v>45557</v>
      </c>
      <c r="J1541" s="2">
        <v>112</v>
      </c>
      <c r="K1541" s="2" t="s">
        <v>177</v>
      </c>
      <c r="L1541" s="22">
        <v>1450</v>
      </c>
      <c r="M1541" s="22">
        <v>162400</v>
      </c>
      <c r="N1541" s="18">
        <v>173.69</v>
      </c>
      <c r="O1541" s="26">
        <v>45857</v>
      </c>
      <c r="P1541" s="2" t="s">
        <v>2105</v>
      </c>
      <c r="Q1541" s="2" t="s">
        <v>814</v>
      </c>
    </row>
    <row r="1542" spans="2:17" x14ac:dyDescent="0.25">
      <c r="B1542" s="2" t="s">
        <v>2347</v>
      </c>
      <c r="C1542" s="2" t="s">
        <v>193</v>
      </c>
      <c r="D1542" s="2" t="s">
        <v>194</v>
      </c>
      <c r="E1542" s="2" t="s">
        <v>176</v>
      </c>
      <c r="F1542" s="2" t="s">
        <v>535</v>
      </c>
      <c r="G1542" s="2" t="s">
        <v>445</v>
      </c>
      <c r="H1542" s="2" t="s">
        <v>446</v>
      </c>
      <c r="I1542" s="26">
        <v>45592</v>
      </c>
      <c r="J1542" s="2">
        <v>27</v>
      </c>
      <c r="K1542" s="2" t="s">
        <v>177</v>
      </c>
      <c r="L1542" s="22">
        <v>1450</v>
      </c>
      <c r="M1542" s="22">
        <v>39150</v>
      </c>
      <c r="N1542" s="18">
        <v>41.87</v>
      </c>
      <c r="O1542" s="26">
        <v>45892</v>
      </c>
      <c r="P1542" s="2" t="s">
        <v>2105</v>
      </c>
      <c r="Q1542" s="2" t="s">
        <v>814</v>
      </c>
    </row>
    <row r="1543" spans="2:17" x14ac:dyDescent="0.25">
      <c r="B1543" s="2" t="s">
        <v>2348</v>
      </c>
      <c r="C1543" s="2" t="s">
        <v>193</v>
      </c>
      <c r="D1543" s="2" t="s">
        <v>194</v>
      </c>
      <c r="E1543" s="2" t="s">
        <v>176</v>
      </c>
      <c r="F1543" s="2" t="s">
        <v>535</v>
      </c>
      <c r="G1543" s="2" t="s">
        <v>445</v>
      </c>
      <c r="H1543" s="2" t="s">
        <v>446</v>
      </c>
      <c r="I1543" s="26">
        <v>45621</v>
      </c>
      <c r="J1543" s="2">
        <v>28</v>
      </c>
      <c r="K1543" s="2" t="s">
        <v>177</v>
      </c>
      <c r="L1543" s="22">
        <v>1450</v>
      </c>
      <c r="M1543" s="22">
        <v>40600</v>
      </c>
      <c r="N1543" s="18">
        <v>43.42</v>
      </c>
      <c r="O1543" s="26">
        <v>45921</v>
      </c>
      <c r="P1543" s="2" t="s">
        <v>2105</v>
      </c>
      <c r="Q1543" s="2" t="s">
        <v>814</v>
      </c>
    </row>
    <row r="1544" spans="2:17" x14ac:dyDescent="0.25">
      <c r="B1544" s="2" t="s">
        <v>2349</v>
      </c>
      <c r="C1544" s="2" t="s">
        <v>193</v>
      </c>
      <c r="D1544" s="2" t="s">
        <v>194</v>
      </c>
      <c r="E1544" s="2" t="s">
        <v>176</v>
      </c>
      <c r="F1544" s="2" t="s">
        <v>537</v>
      </c>
      <c r="G1544" s="2" t="s">
        <v>450</v>
      </c>
      <c r="H1544" s="2" t="s">
        <v>451</v>
      </c>
      <c r="I1544" s="26">
        <v>45663</v>
      </c>
      <c r="J1544" s="2">
        <v>37</v>
      </c>
      <c r="K1544" s="2" t="s">
        <v>177</v>
      </c>
      <c r="L1544" s="22">
        <v>1400</v>
      </c>
      <c r="M1544" s="22">
        <v>51800</v>
      </c>
      <c r="N1544" s="18">
        <v>55.4</v>
      </c>
      <c r="O1544" s="26">
        <v>45963</v>
      </c>
      <c r="P1544" s="2" t="s">
        <v>2105</v>
      </c>
      <c r="Q1544" s="2" t="s">
        <v>825</v>
      </c>
    </row>
    <row r="1545" spans="2:17" x14ac:dyDescent="0.25">
      <c r="B1545" s="2" t="s">
        <v>2350</v>
      </c>
      <c r="C1545" s="2" t="s">
        <v>193</v>
      </c>
      <c r="D1545" s="2" t="s">
        <v>194</v>
      </c>
      <c r="E1545" s="2" t="s">
        <v>176</v>
      </c>
      <c r="F1545" s="2" t="s">
        <v>535</v>
      </c>
      <c r="G1545" s="2" t="s">
        <v>445</v>
      </c>
      <c r="H1545" s="2" t="s">
        <v>446</v>
      </c>
      <c r="I1545" s="26">
        <v>45699</v>
      </c>
      <c r="J1545" s="2">
        <v>30</v>
      </c>
      <c r="K1545" s="2" t="s">
        <v>177</v>
      </c>
      <c r="L1545" s="22">
        <v>1450</v>
      </c>
      <c r="M1545" s="22">
        <v>43500</v>
      </c>
      <c r="N1545" s="18">
        <v>46.52</v>
      </c>
      <c r="O1545" s="26">
        <v>45999</v>
      </c>
      <c r="P1545" s="2" t="s">
        <v>2105</v>
      </c>
      <c r="Q1545" s="2" t="s">
        <v>825</v>
      </c>
    </row>
    <row r="1546" spans="2:17" x14ac:dyDescent="0.25">
      <c r="B1546" s="2" t="s">
        <v>2351</v>
      </c>
      <c r="C1546" s="2" t="s">
        <v>193</v>
      </c>
      <c r="D1546" s="2" t="s">
        <v>194</v>
      </c>
      <c r="E1546" s="2" t="s">
        <v>176</v>
      </c>
      <c r="F1546" s="2" t="s">
        <v>535</v>
      </c>
      <c r="G1546" s="2" t="s">
        <v>445</v>
      </c>
      <c r="H1546" s="2" t="s">
        <v>446</v>
      </c>
      <c r="I1546" s="26">
        <v>45734</v>
      </c>
      <c r="J1546" s="2">
        <v>35</v>
      </c>
      <c r="K1546" s="2" t="s">
        <v>177</v>
      </c>
      <c r="L1546" s="22">
        <v>1450</v>
      </c>
      <c r="M1546" s="22">
        <v>50750</v>
      </c>
      <c r="N1546" s="18">
        <v>54.28</v>
      </c>
      <c r="O1546" s="26">
        <v>46034</v>
      </c>
      <c r="P1546" s="2" t="s">
        <v>2105</v>
      </c>
      <c r="Q1546" s="2" t="s">
        <v>836</v>
      </c>
    </row>
    <row r="1547" spans="2:17" x14ac:dyDescent="0.25">
      <c r="B1547" s="2" t="s">
        <v>2352</v>
      </c>
      <c r="C1547" s="2" t="s">
        <v>193</v>
      </c>
      <c r="D1547" s="2" t="s">
        <v>194</v>
      </c>
      <c r="E1547" s="2" t="s">
        <v>176</v>
      </c>
      <c r="F1547" s="2" t="s">
        <v>535</v>
      </c>
      <c r="G1547" s="2" t="s">
        <v>445</v>
      </c>
      <c r="H1547" s="2" t="s">
        <v>446</v>
      </c>
      <c r="I1547" s="26">
        <v>45763</v>
      </c>
      <c r="J1547" s="2">
        <v>80</v>
      </c>
      <c r="K1547" s="2" t="s">
        <v>177</v>
      </c>
      <c r="L1547" s="22">
        <v>1450</v>
      </c>
      <c r="M1547" s="22">
        <v>116000</v>
      </c>
      <c r="N1547" s="18">
        <v>124.06</v>
      </c>
      <c r="O1547" s="26">
        <v>46063</v>
      </c>
      <c r="P1547" s="2" t="s">
        <v>2105</v>
      </c>
      <c r="Q1547" s="2" t="s">
        <v>836</v>
      </c>
    </row>
    <row r="1548" spans="2:17" x14ac:dyDescent="0.25">
      <c r="B1548" s="2" t="s">
        <v>2353</v>
      </c>
      <c r="C1548" s="2" t="s">
        <v>193</v>
      </c>
      <c r="D1548" s="2" t="s">
        <v>194</v>
      </c>
      <c r="E1548" s="2" t="s">
        <v>176</v>
      </c>
      <c r="F1548" s="2" t="s">
        <v>535</v>
      </c>
      <c r="G1548" s="2" t="s">
        <v>445</v>
      </c>
      <c r="H1548" s="2" t="s">
        <v>446</v>
      </c>
      <c r="I1548" s="26">
        <v>45809</v>
      </c>
      <c r="J1548" s="2">
        <v>94</v>
      </c>
      <c r="K1548" s="2" t="s">
        <v>177</v>
      </c>
      <c r="L1548" s="22">
        <v>1450</v>
      </c>
      <c r="M1548" s="22">
        <v>136300</v>
      </c>
      <c r="N1548" s="18">
        <v>145.78</v>
      </c>
      <c r="O1548" s="26">
        <v>46109</v>
      </c>
      <c r="P1548" s="2" t="s">
        <v>2105</v>
      </c>
      <c r="Q1548" s="2" t="s">
        <v>806</v>
      </c>
    </row>
    <row r="1549" spans="2:17" x14ac:dyDescent="0.25">
      <c r="B1549" s="2" t="s">
        <v>2354</v>
      </c>
      <c r="C1549" s="2" t="s">
        <v>195</v>
      </c>
      <c r="D1549" s="2" t="s">
        <v>196</v>
      </c>
      <c r="E1549" s="2" t="s">
        <v>176</v>
      </c>
      <c r="F1549" s="2" t="s">
        <v>535</v>
      </c>
      <c r="G1549" s="2" t="s">
        <v>445</v>
      </c>
      <c r="H1549" s="2" t="s">
        <v>446</v>
      </c>
      <c r="I1549" s="26">
        <v>45121</v>
      </c>
      <c r="J1549" s="2">
        <v>69</v>
      </c>
      <c r="K1549" s="2" t="s">
        <v>177</v>
      </c>
      <c r="L1549" s="22">
        <v>1350</v>
      </c>
      <c r="M1549" s="22">
        <v>93150</v>
      </c>
      <c r="N1549" s="18">
        <v>99.63</v>
      </c>
      <c r="O1549" s="26">
        <v>45421</v>
      </c>
      <c r="P1549" s="2" t="s">
        <v>2105</v>
      </c>
      <c r="Q1549" s="2" t="s">
        <v>806</v>
      </c>
    </row>
    <row r="1550" spans="2:17" x14ac:dyDescent="0.25">
      <c r="B1550" s="2" t="s">
        <v>2355</v>
      </c>
      <c r="C1550" s="2" t="s">
        <v>195</v>
      </c>
      <c r="D1550" s="2" t="s">
        <v>196</v>
      </c>
      <c r="E1550" s="2" t="s">
        <v>176</v>
      </c>
      <c r="F1550" s="2" t="s">
        <v>535</v>
      </c>
      <c r="G1550" s="2" t="s">
        <v>445</v>
      </c>
      <c r="H1550" s="2" t="s">
        <v>446</v>
      </c>
      <c r="I1550" s="26">
        <v>45156</v>
      </c>
      <c r="J1550" s="2">
        <v>84</v>
      </c>
      <c r="K1550" s="2" t="s">
        <v>177</v>
      </c>
      <c r="L1550" s="22">
        <v>1350</v>
      </c>
      <c r="M1550" s="22">
        <v>113400</v>
      </c>
      <c r="N1550" s="18">
        <v>121.28</v>
      </c>
      <c r="O1550" s="26">
        <v>45456</v>
      </c>
      <c r="P1550" s="2" t="s">
        <v>2105</v>
      </c>
      <c r="Q1550" s="2" t="s">
        <v>806</v>
      </c>
    </row>
    <row r="1551" spans="2:17" x14ac:dyDescent="0.25">
      <c r="B1551" s="2" t="s">
        <v>2356</v>
      </c>
      <c r="C1551" s="2" t="s">
        <v>195</v>
      </c>
      <c r="D1551" s="2" t="s">
        <v>196</v>
      </c>
      <c r="E1551" s="2" t="s">
        <v>176</v>
      </c>
      <c r="F1551" s="2" t="s">
        <v>535</v>
      </c>
      <c r="G1551" s="2" t="s">
        <v>445</v>
      </c>
      <c r="H1551" s="2" t="s">
        <v>446</v>
      </c>
      <c r="I1551" s="26">
        <v>45194</v>
      </c>
      <c r="J1551" s="2">
        <v>98</v>
      </c>
      <c r="K1551" s="2" t="s">
        <v>177</v>
      </c>
      <c r="L1551" s="22">
        <v>1350</v>
      </c>
      <c r="M1551" s="22">
        <v>132300</v>
      </c>
      <c r="N1551" s="18">
        <v>141.5</v>
      </c>
      <c r="O1551" s="26">
        <v>45494</v>
      </c>
      <c r="P1551" s="2" t="s">
        <v>2105</v>
      </c>
      <c r="Q1551" s="2" t="s">
        <v>814</v>
      </c>
    </row>
    <row r="1552" spans="2:17" x14ac:dyDescent="0.25">
      <c r="B1552" s="2" t="s">
        <v>2357</v>
      </c>
      <c r="C1552" s="2" t="s">
        <v>195</v>
      </c>
      <c r="D1552" s="2" t="s">
        <v>196</v>
      </c>
      <c r="E1552" s="2" t="s">
        <v>176</v>
      </c>
      <c r="F1552" s="2" t="s">
        <v>535</v>
      </c>
      <c r="G1552" s="2" t="s">
        <v>445</v>
      </c>
      <c r="H1552" s="2" t="s">
        <v>446</v>
      </c>
      <c r="I1552" s="26">
        <v>45225</v>
      </c>
      <c r="J1552" s="2">
        <v>33</v>
      </c>
      <c r="K1552" s="2" t="s">
        <v>177</v>
      </c>
      <c r="L1552" s="22">
        <v>1350</v>
      </c>
      <c r="M1552" s="22">
        <v>44550</v>
      </c>
      <c r="N1552" s="18">
        <v>47.65</v>
      </c>
      <c r="O1552" s="26">
        <v>45525</v>
      </c>
      <c r="P1552" s="2" t="s">
        <v>2105</v>
      </c>
      <c r="Q1552" s="2" t="s">
        <v>814</v>
      </c>
    </row>
    <row r="1553" spans="2:17" x14ac:dyDescent="0.25">
      <c r="B1553" s="2" t="s">
        <v>2358</v>
      </c>
      <c r="C1553" s="2" t="s">
        <v>195</v>
      </c>
      <c r="D1553" s="2" t="s">
        <v>196</v>
      </c>
      <c r="E1553" s="2" t="s">
        <v>176</v>
      </c>
      <c r="F1553" s="2" t="s">
        <v>535</v>
      </c>
      <c r="G1553" s="2" t="s">
        <v>445</v>
      </c>
      <c r="H1553" s="2" t="s">
        <v>446</v>
      </c>
      <c r="I1553" s="26">
        <v>45260</v>
      </c>
      <c r="J1553" s="2">
        <v>32</v>
      </c>
      <c r="K1553" s="2" t="s">
        <v>177</v>
      </c>
      <c r="L1553" s="22">
        <v>1350</v>
      </c>
      <c r="M1553" s="22">
        <v>43200</v>
      </c>
      <c r="N1553" s="18">
        <v>46.2</v>
      </c>
      <c r="O1553" s="26">
        <v>45560</v>
      </c>
      <c r="P1553" s="2" t="s">
        <v>2105</v>
      </c>
      <c r="Q1553" s="2" t="s">
        <v>814</v>
      </c>
    </row>
    <row r="1554" spans="2:17" x14ac:dyDescent="0.25">
      <c r="B1554" s="2" t="s">
        <v>2359</v>
      </c>
      <c r="C1554" s="2" t="s">
        <v>195</v>
      </c>
      <c r="D1554" s="2" t="s">
        <v>196</v>
      </c>
      <c r="E1554" s="2" t="s">
        <v>176</v>
      </c>
      <c r="F1554" s="2" t="s">
        <v>535</v>
      </c>
      <c r="G1554" s="2" t="s">
        <v>445</v>
      </c>
      <c r="H1554" s="2" t="s">
        <v>446</v>
      </c>
      <c r="I1554" s="26">
        <v>45298</v>
      </c>
      <c r="J1554" s="2">
        <v>28</v>
      </c>
      <c r="K1554" s="2" t="s">
        <v>177</v>
      </c>
      <c r="L1554" s="22">
        <v>1350</v>
      </c>
      <c r="M1554" s="22">
        <v>37800</v>
      </c>
      <c r="N1554" s="18">
        <v>40.43</v>
      </c>
      <c r="O1554" s="26">
        <v>45598</v>
      </c>
      <c r="P1554" s="2" t="s">
        <v>2105</v>
      </c>
      <c r="Q1554" s="2" t="s">
        <v>825</v>
      </c>
    </row>
    <row r="1555" spans="2:17" x14ac:dyDescent="0.25">
      <c r="B1555" s="2" t="s">
        <v>2360</v>
      </c>
      <c r="C1555" s="2" t="s">
        <v>195</v>
      </c>
      <c r="D1555" s="2" t="s">
        <v>196</v>
      </c>
      <c r="E1555" s="2" t="s">
        <v>176</v>
      </c>
      <c r="F1555" s="2" t="s">
        <v>535</v>
      </c>
      <c r="G1555" s="2" t="s">
        <v>445</v>
      </c>
      <c r="H1555" s="2" t="s">
        <v>446</v>
      </c>
      <c r="I1555" s="26">
        <v>45336</v>
      </c>
      <c r="J1555" s="2">
        <v>28</v>
      </c>
      <c r="K1555" s="2" t="s">
        <v>177</v>
      </c>
      <c r="L1555" s="22">
        <v>1350</v>
      </c>
      <c r="M1555" s="22">
        <v>37800</v>
      </c>
      <c r="N1555" s="18">
        <v>40.43</v>
      </c>
      <c r="O1555" s="26">
        <v>45636</v>
      </c>
      <c r="P1555" s="2" t="s">
        <v>2105</v>
      </c>
      <c r="Q1555" s="2" t="s">
        <v>825</v>
      </c>
    </row>
    <row r="1556" spans="2:17" x14ac:dyDescent="0.25">
      <c r="B1556" s="2" t="s">
        <v>2361</v>
      </c>
      <c r="C1556" s="2" t="s">
        <v>195</v>
      </c>
      <c r="D1556" s="2" t="s">
        <v>196</v>
      </c>
      <c r="E1556" s="2" t="s">
        <v>176</v>
      </c>
      <c r="F1556" s="2" t="s">
        <v>535</v>
      </c>
      <c r="G1556" s="2" t="s">
        <v>445</v>
      </c>
      <c r="H1556" s="2" t="s">
        <v>446</v>
      </c>
      <c r="I1556" s="26">
        <v>45371</v>
      </c>
      <c r="J1556" s="2">
        <v>28</v>
      </c>
      <c r="K1556" s="2" t="s">
        <v>177</v>
      </c>
      <c r="L1556" s="22">
        <v>1350</v>
      </c>
      <c r="M1556" s="22">
        <v>37800</v>
      </c>
      <c r="N1556" s="18">
        <v>40.43</v>
      </c>
      <c r="O1556" s="26">
        <v>45671</v>
      </c>
      <c r="P1556" s="2" t="s">
        <v>2105</v>
      </c>
      <c r="Q1556" s="2" t="s">
        <v>836</v>
      </c>
    </row>
    <row r="1557" spans="2:17" x14ac:dyDescent="0.25">
      <c r="B1557" s="2" t="s">
        <v>2362</v>
      </c>
      <c r="C1557" s="2" t="s">
        <v>195</v>
      </c>
      <c r="D1557" s="2" t="s">
        <v>196</v>
      </c>
      <c r="E1557" s="2" t="s">
        <v>176</v>
      </c>
      <c r="F1557" s="2" t="s">
        <v>535</v>
      </c>
      <c r="G1557" s="2" t="s">
        <v>445</v>
      </c>
      <c r="H1557" s="2" t="s">
        <v>446</v>
      </c>
      <c r="I1557" s="26">
        <v>45397</v>
      </c>
      <c r="J1557" s="2">
        <v>68</v>
      </c>
      <c r="K1557" s="2" t="s">
        <v>177</v>
      </c>
      <c r="L1557" s="22">
        <v>1350</v>
      </c>
      <c r="M1557" s="22">
        <v>91800</v>
      </c>
      <c r="N1557" s="18">
        <v>98.18</v>
      </c>
      <c r="O1557" s="26">
        <v>45697</v>
      </c>
      <c r="P1557" s="2" t="s">
        <v>2105</v>
      </c>
      <c r="Q1557" s="2" t="s">
        <v>836</v>
      </c>
    </row>
    <row r="1558" spans="2:17" x14ac:dyDescent="0.25">
      <c r="B1558" s="2" t="s">
        <v>2363</v>
      </c>
      <c r="C1558" s="2" t="s">
        <v>195</v>
      </c>
      <c r="D1558" s="2" t="s">
        <v>196</v>
      </c>
      <c r="E1558" s="2" t="s">
        <v>176</v>
      </c>
      <c r="F1558" s="2" t="s">
        <v>535</v>
      </c>
      <c r="G1558" s="2" t="s">
        <v>445</v>
      </c>
      <c r="H1558" s="2" t="s">
        <v>446</v>
      </c>
      <c r="I1558" s="26">
        <v>45431</v>
      </c>
      <c r="J1558" s="2">
        <v>87</v>
      </c>
      <c r="K1558" s="2" t="s">
        <v>177</v>
      </c>
      <c r="L1558" s="22">
        <v>1350</v>
      </c>
      <c r="M1558" s="22">
        <v>117450</v>
      </c>
      <c r="N1558" s="18">
        <v>125.61</v>
      </c>
      <c r="O1558" s="26">
        <v>45731</v>
      </c>
      <c r="P1558" s="2" t="s">
        <v>2105</v>
      </c>
      <c r="Q1558" s="2" t="s">
        <v>836</v>
      </c>
    </row>
    <row r="1559" spans="2:17" x14ac:dyDescent="0.25">
      <c r="B1559" s="2" t="s">
        <v>2364</v>
      </c>
      <c r="C1559" s="2" t="s">
        <v>195</v>
      </c>
      <c r="D1559" s="2" t="s">
        <v>196</v>
      </c>
      <c r="E1559" s="2" t="s">
        <v>176</v>
      </c>
      <c r="F1559" s="2" t="s">
        <v>535</v>
      </c>
      <c r="G1559" s="2" t="s">
        <v>445</v>
      </c>
      <c r="H1559" s="2" t="s">
        <v>446</v>
      </c>
      <c r="I1559" s="26">
        <v>45473</v>
      </c>
      <c r="J1559" s="2">
        <v>90</v>
      </c>
      <c r="K1559" s="2" t="s">
        <v>177</v>
      </c>
      <c r="L1559" s="22">
        <v>1350</v>
      </c>
      <c r="M1559" s="22">
        <v>121500</v>
      </c>
      <c r="N1559" s="18">
        <v>129.94999999999999</v>
      </c>
      <c r="O1559" s="26">
        <v>45773</v>
      </c>
      <c r="P1559" s="2" t="s">
        <v>2105</v>
      </c>
      <c r="Q1559" s="2" t="s">
        <v>806</v>
      </c>
    </row>
    <row r="1560" spans="2:17" x14ac:dyDescent="0.25">
      <c r="B1560" s="2" t="s">
        <v>2365</v>
      </c>
      <c r="C1560" s="2" t="s">
        <v>195</v>
      </c>
      <c r="D1560" s="2" t="s">
        <v>196</v>
      </c>
      <c r="E1560" s="2" t="s">
        <v>176</v>
      </c>
      <c r="F1560" s="2" t="s">
        <v>535</v>
      </c>
      <c r="G1560" s="2" t="s">
        <v>445</v>
      </c>
      <c r="H1560" s="2" t="s">
        <v>446</v>
      </c>
      <c r="I1560" s="26">
        <v>45512</v>
      </c>
      <c r="J1560" s="2">
        <v>76</v>
      </c>
      <c r="K1560" s="2" t="s">
        <v>177</v>
      </c>
      <c r="L1560" s="22">
        <v>1350</v>
      </c>
      <c r="M1560" s="22">
        <v>102600</v>
      </c>
      <c r="N1560" s="18">
        <v>109.73</v>
      </c>
      <c r="O1560" s="26">
        <v>45812</v>
      </c>
      <c r="P1560" s="2" t="s">
        <v>2105</v>
      </c>
      <c r="Q1560" s="2" t="s">
        <v>806</v>
      </c>
    </row>
    <row r="1561" spans="2:17" x14ac:dyDescent="0.25">
      <c r="B1561" s="2" t="s">
        <v>2366</v>
      </c>
      <c r="C1561" s="2" t="s">
        <v>195</v>
      </c>
      <c r="D1561" s="2" t="s">
        <v>196</v>
      </c>
      <c r="E1561" s="2" t="s">
        <v>176</v>
      </c>
      <c r="F1561" s="2" t="s">
        <v>535</v>
      </c>
      <c r="G1561" s="2" t="s">
        <v>445</v>
      </c>
      <c r="H1561" s="2" t="s">
        <v>446</v>
      </c>
      <c r="I1561" s="26">
        <v>45541</v>
      </c>
      <c r="J1561" s="2">
        <v>106</v>
      </c>
      <c r="K1561" s="2" t="s">
        <v>177</v>
      </c>
      <c r="L1561" s="22">
        <v>1350</v>
      </c>
      <c r="M1561" s="22">
        <v>143100</v>
      </c>
      <c r="N1561" s="18">
        <v>153.05000000000001</v>
      </c>
      <c r="O1561" s="26">
        <v>45841</v>
      </c>
      <c r="P1561" s="2" t="s">
        <v>2105</v>
      </c>
      <c r="Q1561" s="2" t="s">
        <v>814</v>
      </c>
    </row>
    <row r="1562" spans="2:17" x14ac:dyDescent="0.25">
      <c r="B1562" s="2" t="s">
        <v>2367</v>
      </c>
      <c r="C1562" s="2" t="s">
        <v>195</v>
      </c>
      <c r="D1562" s="2" t="s">
        <v>196</v>
      </c>
      <c r="E1562" s="2" t="s">
        <v>176</v>
      </c>
      <c r="F1562" s="2" t="s">
        <v>535</v>
      </c>
      <c r="G1562" s="2" t="s">
        <v>445</v>
      </c>
      <c r="H1562" s="2" t="s">
        <v>446</v>
      </c>
      <c r="I1562" s="26">
        <v>45573</v>
      </c>
      <c r="J1562" s="2">
        <v>32</v>
      </c>
      <c r="K1562" s="2" t="s">
        <v>177</v>
      </c>
      <c r="L1562" s="22">
        <v>1350</v>
      </c>
      <c r="M1562" s="22">
        <v>43200</v>
      </c>
      <c r="N1562" s="18">
        <v>46.2</v>
      </c>
      <c r="O1562" s="26">
        <v>45873</v>
      </c>
      <c r="P1562" s="2" t="s">
        <v>2105</v>
      </c>
      <c r="Q1562" s="2" t="s">
        <v>814</v>
      </c>
    </row>
    <row r="1563" spans="2:17" x14ac:dyDescent="0.25">
      <c r="B1563" s="2" t="s">
        <v>2368</v>
      </c>
      <c r="C1563" s="2" t="s">
        <v>195</v>
      </c>
      <c r="D1563" s="2" t="s">
        <v>196</v>
      </c>
      <c r="E1563" s="2" t="s">
        <v>176</v>
      </c>
      <c r="F1563" s="2" t="s">
        <v>535</v>
      </c>
      <c r="G1563" s="2" t="s">
        <v>445</v>
      </c>
      <c r="H1563" s="2" t="s">
        <v>446</v>
      </c>
      <c r="I1563" s="26">
        <v>45609</v>
      </c>
      <c r="J1563" s="2">
        <v>33</v>
      </c>
      <c r="K1563" s="2" t="s">
        <v>177</v>
      </c>
      <c r="L1563" s="22">
        <v>1350</v>
      </c>
      <c r="M1563" s="22">
        <v>44550</v>
      </c>
      <c r="N1563" s="18">
        <v>47.65</v>
      </c>
      <c r="O1563" s="26">
        <v>45909</v>
      </c>
      <c r="P1563" s="2" t="s">
        <v>2105</v>
      </c>
      <c r="Q1563" s="2" t="s">
        <v>814</v>
      </c>
    </row>
    <row r="1564" spans="2:17" x14ac:dyDescent="0.25">
      <c r="B1564" s="2" t="s">
        <v>2369</v>
      </c>
      <c r="C1564" s="2" t="s">
        <v>195</v>
      </c>
      <c r="D1564" s="2" t="s">
        <v>196</v>
      </c>
      <c r="E1564" s="2" t="s">
        <v>176</v>
      </c>
      <c r="F1564" s="2" t="s">
        <v>535</v>
      </c>
      <c r="G1564" s="2" t="s">
        <v>445</v>
      </c>
      <c r="H1564" s="2" t="s">
        <v>446</v>
      </c>
      <c r="I1564" s="26">
        <v>45645</v>
      </c>
      <c r="J1564" s="2">
        <v>36</v>
      </c>
      <c r="K1564" s="2" t="s">
        <v>177</v>
      </c>
      <c r="L1564" s="22">
        <v>1350</v>
      </c>
      <c r="M1564" s="22">
        <v>48600</v>
      </c>
      <c r="N1564" s="18">
        <v>51.98</v>
      </c>
      <c r="O1564" s="26">
        <v>45945</v>
      </c>
      <c r="P1564" s="2" t="s">
        <v>2105</v>
      </c>
      <c r="Q1564" s="2" t="s">
        <v>825</v>
      </c>
    </row>
    <row r="1565" spans="2:17" x14ac:dyDescent="0.25">
      <c r="B1565" s="2" t="s">
        <v>2370</v>
      </c>
      <c r="C1565" s="2" t="s">
        <v>195</v>
      </c>
      <c r="D1565" s="2" t="s">
        <v>196</v>
      </c>
      <c r="E1565" s="2" t="s">
        <v>176</v>
      </c>
      <c r="F1565" s="2" t="s">
        <v>535</v>
      </c>
      <c r="G1565" s="2" t="s">
        <v>445</v>
      </c>
      <c r="H1565" s="2" t="s">
        <v>446</v>
      </c>
      <c r="I1565" s="26">
        <v>45681</v>
      </c>
      <c r="J1565" s="2">
        <v>29</v>
      </c>
      <c r="K1565" s="2" t="s">
        <v>177</v>
      </c>
      <c r="L1565" s="22">
        <v>1350</v>
      </c>
      <c r="M1565" s="22">
        <v>39150</v>
      </c>
      <c r="N1565" s="18">
        <v>41.87</v>
      </c>
      <c r="O1565" s="26">
        <v>45981</v>
      </c>
      <c r="P1565" s="2" t="s">
        <v>2105</v>
      </c>
      <c r="Q1565" s="2" t="s">
        <v>825</v>
      </c>
    </row>
    <row r="1566" spans="2:17" x14ac:dyDescent="0.25">
      <c r="B1566" s="2" t="s">
        <v>2371</v>
      </c>
      <c r="C1566" s="2" t="s">
        <v>195</v>
      </c>
      <c r="D1566" s="2" t="s">
        <v>196</v>
      </c>
      <c r="E1566" s="2" t="s">
        <v>176</v>
      </c>
      <c r="F1566" s="2" t="s">
        <v>535</v>
      </c>
      <c r="G1566" s="2" t="s">
        <v>445</v>
      </c>
      <c r="H1566" s="2" t="s">
        <v>446</v>
      </c>
      <c r="I1566" s="26">
        <v>45714</v>
      </c>
      <c r="J1566" s="2">
        <v>28</v>
      </c>
      <c r="K1566" s="2" t="s">
        <v>177</v>
      </c>
      <c r="L1566" s="22">
        <v>1350</v>
      </c>
      <c r="M1566" s="22">
        <v>37800</v>
      </c>
      <c r="N1566" s="18">
        <v>40.43</v>
      </c>
      <c r="O1566" s="26">
        <v>46014</v>
      </c>
      <c r="P1566" s="2" t="s">
        <v>2105</v>
      </c>
      <c r="Q1566" s="2" t="s">
        <v>825</v>
      </c>
    </row>
    <row r="1567" spans="2:17" x14ac:dyDescent="0.25">
      <c r="B1567" s="2" t="s">
        <v>2372</v>
      </c>
      <c r="C1567" s="2" t="s">
        <v>195</v>
      </c>
      <c r="D1567" s="2" t="s">
        <v>196</v>
      </c>
      <c r="E1567" s="2" t="s">
        <v>176</v>
      </c>
      <c r="F1567" s="2" t="s">
        <v>535</v>
      </c>
      <c r="G1567" s="2" t="s">
        <v>445</v>
      </c>
      <c r="H1567" s="2" t="s">
        <v>446</v>
      </c>
      <c r="I1567" s="26">
        <v>45747</v>
      </c>
      <c r="J1567" s="2">
        <v>30</v>
      </c>
      <c r="K1567" s="2" t="s">
        <v>177</v>
      </c>
      <c r="L1567" s="22">
        <v>1350</v>
      </c>
      <c r="M1567" s="22">
        <v>40500</v>
      </c>
      <c r="N1567" s="18">
        <v>43.32</v>
      </c>
      <c r="O1567" s="26">
        <v>46047</v>
      </c>
      <c r="P1567" s="2" t="s">
        <v>2105</v>
      </c>
      <c r="Q1567" s="2" t="s">
        <v>836</v>
      </c>
    </row>
    <row r="1568" spans="2:17" x14ac:dyDescent="0.25">
      <c r="B1568" s="2" t="s">
        <v>2373</v>
      </c>
      <c r="C1568" s="2" t="s">
        <v>195</v>
      </c>
      <c r="D1568" s="2" t="s">
        <v>196</v>
      </c>
      <c r="E1568" s="2" t="s">
        <v>176</v>
      </c>
      <c r="F1568" s="2" t="s">
        <v>535</v>
      </c>
      <c r="G1568" s="2" t="s">
        <v>445</v>
      </c>
      <c r="H1568" s="2" t="s">
        <v>446</v>
      </c>
      <c r="I1568" s="26">
        <v>45789</v>
      </c>
      <c r="J1568" s="2">
        <v>99</v>
      </c>
      <c r="K1568" s="2" t="s">
        <v>177</v>
      </c>
      <c r="L1568" s="22">
        <v>1350</v>
      </c>
      <c r="M1568" s="22">
        <v>133650</v>
      </c>
      <c r="N1568" s="18">
        <v>142.94</v>
      </c>
      <c r="O1568" s="26">
        <v>46089</v>
      </c>
      <c r="P1568" s="2" t="s">
        <v>2105</v>
      </c>
      <c r="Q1568" s="2" t="s">
        <v>836</v>
      </c>
    </row>
    <row r="1569" spans="2:17" x14ac:dyDescent="0.25">
      <c r="B1569" s="2" t="s">
        <v>2374</v>
      </c>
      <c r="C1569" s="2" t="s">
        <v>195</v>
      </c>
      <c r="D1569" s="2" t="s">
        <v>196</v>
      </c>
      <c r="E1569" s="2" t="s">
        <v>176</v>
      </c>
      <c r="F1569" s="2" t="s">
        <v>535</v>
      </c>
      <c r="G1569" s="2" t="s">
        <v>445</v>
      </c>
      <c r="H1569" s="2" t="s">
        <v>446</v>
      </c>
      <c r="I1569" s="26">
        <v>45824</v>
      </c>
      <c r="J1569" s="2">
        <v>75</v>
      </c>
      <c r="K1569" s="2" t="s">
        <v>177</v>
      </c>
      <c r="L1569" s="22">
        <v>1350</v>
      </c>
      <c r="M1569" s="22">
        <v>101250</v>
      </c>
      <c r="N1569" s="18">
        <v>108.29</v>
      </c>
      <c r="O1569" s="26">
        <v>46124</v>
      </c>
      <c r="P1569" s="2" t="s">
        <v>2105</v>
      </c>
      <c r="Q1569" s="2" t="s">
        <v>806</v>
      </c>
    </row>
    <row r="1570" spans="2:17" x14ac:dyDescent="0.25">
      <c r="B1570" s="2" t="s">
        <v>2375</v>
      </c>
      <c r="C1570" s="2" t="s">
        <v>197</v>
      </c>
      <c r="D1570" s="2" t="s">
        <v>198</v>
      </c>
      <c r="E1570" s="2" t="s">
        <v>176</v>
      </c>
      <c r="F1570" s="2" t="s">
        <v>535</v>
      </c>
      <c r="G1570" s="2" t="s">
        <v>445</v>
      </c>
      <c r="H1570" s="2" t="s">
        <v>446</v>
      </c>
      <c r="I1570" s="26">
        <v>45133</v>
      </c>
      <c r="J1570" s="2">
        <v>75</v>
      </c>
      <c r="K1570" s="2" t="s">
        <v>177</v>
      </c>
      <c r="L1570" s="22">
        <v>1400</v>
      </c>
      <c r="M1570" s="22">
        <v>105000</v>
      </c>
      <c r="N1570" s="18">
        <v>112.3</v>
      </c>
      <c r="O1570" s="26">
        <v>45433</v>
      </c>
      <c r="P1570" s="2" t="s">
        <v>2105</v>
      </c>
      <c r="Q1570" s="2" t="s">
        <v>806</v>
      </c>
    </row>
    <row r="1571" spans="2:17" x14ac:dyDescent="0.25">
      <c r="B1571" s="2" t="s">
        <v>2376</v>
      </c>
      <c r="C1571" s="2" t="s">
        <v>197</v>
      </c>
      <c r="D1571" s="2" t="s">
        <v>198</v>
      </c>
      <c r="E1571" s="2" t="s">
        <v>176</v>
      </c>
      <c r="F1571" s="2" t="s">
        <v>535</v>
      </c>
      <c r="G1571" s="2" t="s">
        <v>445</v>
      </c>
      <c r="H1571" s="2" t="s">
        <v>446</v>
      </c>
      <c r="I1571" s="26">
        <v>45163</v>
      </c>
      <c r="J1571" s="2">
        <v>84</v>
      </c>
      <c r="K1571" s="2" t="s">
        <v>177</v>
      </c>
      <c r="L1571" s="22">
        <v>1400</v>
      </c>
      <c r="M1571" s="22">
        <v>117600</v>
      </c>
      <c r="N1571" s="18">
        <v>125.78</v>
      </c>
      <c r="O1571" s="26">
        <v>45463</v>
      </c>
      <c r="P1571" s="2" t="s">
        <v>2105</v>
      </c>
      <c r="Q1571" s="2" t="s">
        <v>806</v>
      </c>
    </row>
    <row r="1572" spans="2:17" x14ac:dyDescent="0.25">
      <c r="B1572" s="2" t="s">
        <v>2377</v>
      </c>
      <c r="C1572" s="2" t="s">
        <v>197</v>
      </c>
      <c r="D1572" s="2" t="s">
        <v>198</v>
      </c>
      <c r="E1572" s="2" t="s">
        <v>176</v>
      </c>
      <c r="F1572" s="2" t="s">
        <v>535</v>
      </c>
      <c r="G1572" s="2" t="s">
        <v>445</v>
      </c>
      <c r="H1572" s="2" t="s">
        <v>446</v>
      </c>
      <c r="I1572" s="26">
        <v>45194</v>
      </c>
      <c r="J1572" s="2">
        <v>105</v>
      </c>
      <c r="K1572" s="2" t="s">
        <v>177</v>
      </c>
      <c r="L1572" s="22">
        <v>1400</v>
      </c>
      <c r="M1572" s="22">
        <v>147000</v>
      </c>
      <c r="N1572" s="18">
        <v>157.22</v>
      </c>
      <c r="O1572" s="26">
        <v>45494</v>
      </c>
      <c r="P1572" s="2" t="s">
        <v>2105</v>
      </c>
      <c r="Q1572" s="2" t="s">
        <v>814</v>
      </c>
    </row>
    <row r="1573" spans="2:17" x14ac:dyDescent="0.25">
      <c r="B1573" s="2" t="s">
        <v>2378</v>
      </c>
      <c r="C1573" s="2" t="s">
        <v>197</v>
      </c>
      <c r="D1573" s="2" t="s">
        <v>198</v>
      </c>
      <c r="E1573" s="2" t="s">
        <v>176</v>
      </c>
      <c r="F1573" s="2" t="s">
        <v>535</v>
      </c>
      <c r="G1573" s="2" t="s">
        <v>445</v>
      </c>
      <c r="H1573" s="2" t="s">
        <v>446</v>
      </c>
      <c r="I1573" s="26">
        <v>45229</v>
      </c>
      <c r="J1573" s="2">
        <v>33</v>
      </c>
      <c r="K1573" s="2" t="s">
        <v>177</v>
      </c>
      <c r="L1573" s="22">
        <v>1400</v>
      </c>
      <c r="M1573" s="22">
        <v>46200</v>
      </c>
      <c r="N1573" s="18">
        <v>49.41</v>
      </c>
      <c r="O1573" s="26">
        <v>45529</v>
      </c>
      <c r="P1573" s="2" t="s">
        <v>2105</v>
      </c>
      <c r="Q1573" s="2" t="s">
        <v>814</v>
      </c>
    </row>
    <row r="1574" spans="2:17" x14ac:dyDescent="0.25">
      <c r="B1574" s="2" t="s">
        <v>2379</v>
      </c>
      <c r="C1574" s="2" t="s">
        <v>197</v>
      </c>
      <c r="D1574" s="2" t="s">
        <v>198</v>
      </c>
      <c r="E1574" s="2" t="s">
        <v>176</v>
      </c>
      <c r="F1574" s="2" t="s">
        <v>535</v>
      </c>
      <c r="G1574" s="2" t="s">
        <v>445</v>
      </c>
      <c r="H1574" s="2" t="s">
        <v>446</v>
      </c>
      <c r="I1574" s="26">
        <v>45256</v>
      </c>
      <c r="J1574" s="2">
        <v>30</v>
      </c>
      <c r="K1574" s="2" t="s">
        <v>177</v>
      </c>
      <c r="L1574" s="22">
        <v>1400</v>
      </c>
      <c r="M1574" s="22">
        <v>42000</v>
      </c>
      <c r="N1574" s="18">
        <v>44.92</v>
      </c>
      <c r="O1574" s="26">
        <v>45556</v>
      </c>
      <c r="P1574" s="2" t="s">
        <v>2105</v>
      </c>
      <c r="Q1574" s="2" t="s">
        <v>814</v>
      </c>
    </row>
    <row r="1575" spans="2:17" x14ac:dyDescent="0.25">
      <c r="B1575" s="2" t="s">
        <v>2380</v>
      </c>
      <c r="C1575" s="2" t="s">
        <v>197</v>
      </c>
      <c r="D1575" s="2" t="s">
        <v>198</v>
      </c>
      <c r="E1575" s="2" t="s">
        <v>176</v>
      </c>
      <c r="F1575" s="2" t="s">
        <v>535</v>
      </c>
      <c r="G1575" s="2" t="s">
        <v>445</v>
      </c>
      <c r="H1575" s="2" t="s">
        <v>446</v>
      </c>
      <c r="I1575" s="26">
        <v>45298</v>
      </c>
      <c r="J1575" s="2">
        <v>28</v>
      </c>
      <c r="K1575" s="2" t="s">
        <v>177</v>
      </c>
      <c r="L1575" s="22">
        <v>1400</v>
      </c>
      <c r="M1575" s="22">
        <v>39200</v>
      </c>
      <c r="N1575" s="18">
        <v>41.93</v>
      </c>
      <c r="O1575" s="26">
        <v>45598</v>
      </c>
      <c r="P1575" s="2" t="s">
        <v>2105</v>
      </c>
      <c r="Q1575" s="2" t="s">
        <v>825</v>
      </c>
    </row>
    <row r="1576" spans="2:17" x14ac:dyDescent="0.25">
      <c r="B1576" s="2" t="s">
        <v>2381</v>
      </c>
      <c r="C1576" s="2" t="s">
        <v>197</v>
      </c>
      <c r="D1576" s="2" t="s">
        <v>198</v>
      </c>
      <c r="E1576" s="2" t="s">
        <v>176</v>
      </c>
      <c r="F1576" s="2" t="s">
        <v>535</v>
      </c>
      <c r="G1576" s="2" t="s">
        <v>445</v>
      </c>
      <c r="H1576" s="2" t="s">
        <v>446</v>
      </c>
      <c r="I1576" s="26">
        <v>45331</v>
      </c>
      <c r="J1576" s="2">
        <v>33</v>
      </c>
      <c r="K1576" s="2" t="s">
        <v>177</v>
      </c>
      <c r="L1576" s="22">
        <v>1400</v>
      </c>
      <c r="M1576" s="22">
        <v>46200</v>
      </c>
      <c r="N1576" s="18">
        <v>49.41</v>
      </c>
      <c r="O1576" s="26">
        <v>45631</v>
      </c>
      <c r="P1576" s="2" t="s">
        <v>2105</v>
      </c>
      <c r="Q1576" s="2" t="s">
        <v>825</v>
      </c>
    </row>
    <row r="1577" spans="2:17" x14ac:dyDescent="0.25">
      <c r="B1577" s="2" t="s">
        <v>2382</v>
      </c>
      <c r="C1577" s="2" t="s">
        <v>197</v>
      </c>
      <c r="D1577" s="2" t="s">
        <v>198</v>
      </c>
      <c r="E1577" s="2" t="s">
        <v>176</v>
      </c>
      <c r="F1577" s="2" t="s">
        <v>535</v>
      </c>
      <c r="G1577" s="2" t="s">
        <v>445</v>
      </c>
      <c r="H1577" s="2" t="s">
        <v>446</v>
      </c>
      <c r="I1577" s="26">
        <v>45370</v>
      </c>
      <c r="J1577" s="2">
        <v>33</v>
      </c>
      <c r="K1577" s="2" t="s">
        <v>177</v>
      </c>
      <c r="L1577" s="22">
        <v>1400</v>
      </c>
      <c r="M1577" s="22">
        <v>46200</v>
      </c>
      <c r="N1577" s="18">
        <v>49.41</v>
      </c>
      <c r="O1577" s="26">
        <v>45670</v>
      </c>
      <c r="P1577" s="2" t="s">
        <v>2105</v>
      </c>
      <c r="Q1577" s="2" t="s">
        <v>836</v>
      </c>
    </row>
    <row r="1578" spans="2:17" x14ac:dyDescent="0.25">
      <c r="B1578" s="2" t="s">
        <v>2383</v>
      </c>
      <c r="C1578" s="2" t="s">
        <v>197</v>
      </c>
      <c r="D1578" s="2" t="s">
        <v>198</v>
      </c>
      <c r="E1578" s="2" t="s">
        <v>176</v>
      </c>
      <c r="F1578" s="2" t="s">
        <v>535</v>
      </c>
      <c r="G1578" s="2" t="s">
        <v>445</v>
      </c>
      <c r="H1578" s="2" t="s">
        <v>446</v>
      </c>
      <c r="I1578" s="26">
        <v>45404</v>
      </c>
      <c r="J1578" s="2">
        <v>83</v>
      </c>
      <c r="K1578" s="2" t="s">
        <v>177</v>
      </c>
      <c r="L1578" s="22">
        <v>1400</v>
      </c>
      <c r="M1578" s="22">
        <v>116200</v>
      </c>
      <c r="N1578" s="18">
        <v>124.28</v>
      </c>
      <c r="O1578" s="26">
        <v>45704</v>
      </c>
      <c r="P1578" s="2" t="s">
        <v>2105</v>
      </c>
      <c r="Q1578" s="2" t="s">
        <v>836</v>
      </c>
    </row>
    <row r="1579" spans="2:17" x14ac:dyDescent="0.25">
      <c r="B1579" s="2" t="s">
        <v>2384</v>
      </c>
      <c r="C1579" s="2" t="s">
        <v>197</v>
      </c>
      <c r="D1579" s="2" t="s">
        <v>198</v>
      </c>
      <c r="E1579" s="2" t="s">
        <v>176</v>
      </c>
      <c r="F1579" s="2" t="s">
        <v>535</v>
      </c>
      <c r="G1579" s="2" t="s">
        <v>445</v>
      </c>
      <c r="H1579" s="2" t="s">
        <v>446</v>
      </c>
      <c r="I1579" s="26">
        <v>45429</v>
      </c>
      <c r="J1579" s="2">
        <v>70</v>
      </c>
      <c r="K1579" s="2" t="s">
        <v>177</v>
      </c>
      <c r="L1579" s="22">
        <v>1400</v>
      </c>
      <c r="M1579" s="22">
        <v>98000</v>
      </c>
      <c r="N1579" s="18">
        <v>104.81</v>
      </c>
      <c r="O1579" s="26">
        <v>45729</v>
      </c>
      <c r="P1579" s="2" t="s">
        <v>2105</v>
      </c>
      <c r="Q1579" s="2" t="s">
        <v>836</v>
      </c>
    </row>
    <row r="1580" spans="2:17" x14ac:dyDescent="0.25">
      <c r="B1580" s="2" t="s">
        <v>2385</v>
      </c>
      <c r="C1580" s="2" t="s">
        <v>197</v>
      </c>
      <c r="D1580" s="2" t="s">
        <v>198</v>
      </c>
      <c r="E1580" s="2" t="s">
        <v>176</v>
      </c>
      <c r="F1580" s="2" t="s">
        <v>535</v>
      </c>
      <c r="G1580" s="2" t="s">
        <v>445</v>
      </c>
      <c r="H1580" s="2" t="s">
        <v>446</v>
      </c>
      <c r="I1580" s="26">
        <v>45456</v>
      </c>
      <c r="J1580" s="2">
        <v>72</v>
      </c>
      <c r="K1580" s="2" t="s">
        <v>177</v>
      </c>
      <c r="L1580" s="22">
        <v>1400</v>
      </c>
      <c r="M1580" s="22">
        <v>100800</v>
      </c>
      <c r="N1580" s="18">
        <v>107.81</v>
      </c>
      <c r="O1580" s="26">
        <v>45756</v>
      </c>
      <c r="P1580" s="2" t="s">
        <v>2105</v>
      </c>
      <c r="Q1580" s="2" t="s">
        <v>806</v>
      </c>
    </row>
    <row r="1581" spans="2:17" x14ac:dyDescent="0.25">
      <c r="B1581" s="2" t="s">
        <v>2386</v>
      </c>
      <c r="C1581" s="2" t="s">
        <v>197</v>
      </c>
      <c r="D1581" s="2" t="s">
        <v>198</v>
      </c>
      <c r="E1581" s="2" t="s">
        <v>176</v>
      </c>
      <c r="F1581" s="2" t="s">
        <v>535</v>
      </c>
      <c r="G1581" s="2" t="s">
        <v>445</v>
      </c>
      <c r="H1581" s="2" t="s">
        <v>446</v>
      </c>
      <c r="I1581" s="26">
        <v>45494</v>
      </c>
      <c r="J1581" s="2">
        <v>69</v>
      </c>
      <c r="K1581" s="2" t="s">
        <v>177</v>
      </c>
      <c r="L1581" s="22">
        <v>1400</v>
      </c>
      <c r="M1581" s="22">
        <v>96600</v>
      </c>
      <c r="N1581" s="18">
        <v>103.32</v>
      </c>
      <c r="O1581" s="26">
        <v>45794</v>
      </c>
      <c r="P1581" s="2" t="s">
        <v>2105</v>
      </c>
      <c r="Q1581" s="2" t="s">
        <v>806</v>
      </c>
    </row>
    <row r="1582" spans="2:17" x14ac:dyDescent="0.25">
      <c r="B1582" s="2" t="s">
        <v>2387</v>
      </c>
      <c r="C1582" s="2" t="s">
        <v>197</v>
      </c>
      <c r="D1582" s="2" t="s">
        <v>198</v>
      </c>
      <c r="E1582" s="2" t="s">
        <v>176</v>
      </c>
      <c r="F1582" s="2" t="s">
        <v>535</v>
      </c>
      <c r="G1582" s="2" t="s">
        <v>445</v>
      </c>
      <c r="H1582" s="2" t="s">
        <v>446</v>
      </c>
      <c r="I1582" s="26">
        <v>45526</v>
      </c>
      <c r="J1582" s="2">
        <v>75</v>
      </c>
      <c r="K1582" s="2" t="s">
        <v>177</v>
      </c>
      <c r="L1582" s="22">
        <v>1400</v>
      </c>
      <c r="M1582" s="22">
        <v>105000</v>
      </c>
      <c r="N1582" s="18">
        <v>112.3</v>
      </c>
      <c r="O1582" s="26">
        <v>45826</v>
      </c>
      <c r="P1582" s="2" t="s">
        <v>2105</v>
      </c>
      <c r="Q1582" s="2" t="s">
        <v>806</v>
      </c>
    </row>
    <row r="1583" spans="2:17" x14ac:dyDescent="0.25">
      <c r="B1583" s="2" t="s">
        <v>2388</v>
      </c>
      <c r="C1583" s="2" t="s">
        <v>197</v>
      </c>
      <c r="D1583" s="2" t="s">
        <v>198</v>
      </c>
      <c r="E1583" s="2" t="s">
        <v>176</v>
      </c>
      <c r="F1583" s="2" t="s">
        <v>537</v>
      </c>
      <c r="G1583" s="2" t="s">
        <v>450</v>
      </c>
      <c r="H1583" s="2" t="s">
        <v>451</v>
      </c>
      <c r="I1583" s="26">
        <v>45560</v>
      </c>
      <c r="J1583" s="2">
        <v>108</v>
      </c>
      <c r="K1583" s="2" t="s">
        <v>177</v>
      </c>
      <c r="L1583" s="22">
        <v>1500</v>
      </c>
      <c r="M1583" s="22">
        <v>162000</v>
      </c>
      <c r="N1583" s="18">
        <v>173.26</v>
      </c>
      <c r="O1583" s="26">
        <v>45860</v>
      </c>
      <c r="P1583" s="2" t="s">
        <v>2105</v>
      </c>
      <c r="Q1583" s="2" t="s">
        <v>814</v>
      </c>
    </row>
    <row r="1584" spans="2:17" x14ac:dyDescent="0.25">
      <c r="B1584" s="2" t="s">
        <v>2389</v>
      </c>
      <c r="C1584" s="2" t="s">
        <v>197</v>
      </c>
      <c r="D1584" s="2" t="s">
        <v>198</v>
      </c>
      <c r="E1584" s="2" t="s">
        <v>176</v>
      </c>
      <c r="F1584" s="2" t="s">
        <v>535</v>
      </c>
      <c r="G1584" s="2" t="s">
        <v>445</v>
      </c>
      <c r="H1584" s="2" t="s">
        <v>446</v>
      </c>
      <c r="I1584" s="26">
        <v>45590</v>
      </c>
      <c r="J1584" s="2">
        <v>31</v>
      </c>
      <c r="K1584" s="2" t="s">
        <v>177</v>
      </c>
      <c r="L1584" s="22">
        <v>1400</v>
      </c>
      <c r="M1584" s="22">
        <v>43400</v>
      </c>
      <c r="N1584" s="18">
        <v>46.42</v>
      </c>
      <c r="O1584" s="26">
        <v>45890</v>
      </c>
      <c r="P1584" s="2" t="s">
        <v>2105</v>
      </c>
      <c r="Q1584" s="2" t="s">
        <v>814</v>
      </c>
    </row>
    <row r="1585" spans="2:17" x14ac:dyDescent="0.25">
      <c r="B1585" s="2" t="s">
        <v>2390</v>
      </c>
      <c r="C1585" s="2" t="s">
        <v>197</v>
      </c>
      <c r="D1585" s="2" t="s">
        <v>198</v>
      </c>
      <c r="E1585" s="2" t="s">
        <v>176</v>
      </c>
      <c r="F1585" s="2" t="s">
        <v>535</v>
      </c>
      <c r="G1585" s="2" t="s">
        <v>445</v>
      </c>
      <c r="H1585" s="2" t="s">
        <v>446</v>
      </c>
      <c r="I1585" s="26">
        <v>45628</v>
      </c>
      <c r="J1585" s="2">
        <v>34</v>
      </c>
      <c r="K1585" s="2" t="s">
        <v>177</v>
      </c>
      <c r="L1585" s="22">
        <v>1400</v>
      </c>
      <c r="M1585" s="22">
        <v>47600</v>
      </c>
      <c r="N1585" s="18">
        <v>50.91</v>
      </c>
      <c r="O1585" s="26">
        <v>45928</v>
      </c>
      <c r="P1585" s="2" t="s">
        <v>2105</v>
      </c>
      <c r="Q1585" s="2" t="s">
        <v>825</v>
      </c>
    </row>
    <row r="1586" spans="2:17" x14ac:dyDescent="0.25">
      <c r="B1586" s="2" t="s">
        <v>2391</v>
      </c>
      <c r="C1586" s="2" t="s">
        <v>197</v>
      </c>
      <c r="D1586" s="2" t="s">
        <v>198</v>
      </c>
      <c r="E1586" s="2" t="s">
        <v>176</v>
      </c>
      <c r="F1586" s="2" t="s">
        <v>535</v>
      </c>
      <c r="G1586" s="2" t="s">
        <v>445</v>
      </c>
      <c r="H1586" s="2" t="s">
        <v>446</v>
      </c>
      <c r="I1586" s="26">
        <v>45656</v>
      </c>
      <c r="J1586" s="2">
        <v>41</v>
      </c>
      <c r="K1586" s="2" t="s">
        <v>177</v>
      </c>
      <c r="L1586" s="22">
        <v>1400</v>
      </c>
      <c r="M1586" s="22">
        <v>57400</v>
      </c>
      <c r="N1586" s="18">
        <v>61.39</v>
      </c>
      <c r="O1586" s="26">
        <v>45956</v>
      </c>
      <c r="P1586" s="2" t="s">
        <v>2105</v>
      </c>
      <c r="Q1586" s="2" t="s">
        <v>825</v>
      </c>
    </row>
    <row r="1587" spans="2:17" x14ac:dyDescent="0.25">
      <c r="B1587" s="2" t="s">
        <v>2392</v>
      </c>
      <c r="C1587" s="2" t="s">
        <v>197</v>
      </c>
      <c r="D1587" s="2" t="s">
        <v>198</v>
      </c>
      <c r="E1587" s="2" t="s">
        <v>176</v>
      </c>
      <c r="F1587" s="2" t="s">
        <v>535</v>
      </c>
      <c r="G1587" s="2" t="s">
        <v>445</v>
      </c>
      <c r="H1587" s="2" t="s">
        <v>446</v>
      </c>
      <c r="I1587" s="26">
        <v>45681</v>
      </c>
      <c r="J1587" s="2">
        <v>29</v>
      </c>
      <c r="K1587" s="2" t="s">
        <v>177</v>
      </c>
      <c r="L1587" s="22">
        <v>1400</v>
      </c>
      <c r="M1587" s="22">
        <v>40600</v>
      </c>
      <c r="N1587" s="18">
        <v>43.42</v>
      </c>
      <c r="O1587" s="26">
        <v>45981</v>
      </c>
      <c r="P1587" s="2" t="s">
        <v>2105</v>
      </c>
      <c r="Q1587" s="2" t="s">
        <v>825</v>
      </c>
    </row>
    <row r="1588" spans="2:17" x14ac:dyDescent="0.25">
      <c r="B1588" s="2" t="s">
        <v>2393</v>
      </c>
      <c r="C1588" s="2" t="s">
        <v>197</v>
      </c>
      <c r="D1588" s="2" t="s">
        <v>198</v>
      </c>
      <c r="E1588" s="2" t="s">
        <v>176</v>
      </c>
      <c r="F1588" s="2" t="s">
        <v>535</v>
      </c>
      <c r="G1588" s="2" t="s">
        <v>445</v>
      </c>
      <c r="H1588" s="2" t="s">
        <v>446</v>
      </c>
      <c r="I1588" s="26">
        <v>45717</v>
      </c>
      <c r="J1588" s="2">
        <v>35</v>
      </c>
      <c r="K1588" s="2" t="s">
        <v>177</v>
      </c>
      <c r="L1588" s="22">
        <v>1400</v>
      </c>
      <c r="M1588" s="22">
        <v>49000</v>
      </c>
      <c r="N1588" s="18">
        <v>52.41</v>
      </c>
      <c r="O1588" s="26">
        <v>46017</v>
      </c>
      <c r="P1588" s="2" t="s">
        <v>2105</v>
      </c>
      <c r="Q1588" s="2" t="s">
        <v>836</v>
      </c>
    </row>
    <row r="1589" spans="2:17" x14ac:dyDescent="0.25">
      <c r="B1589" s="2" t="s">
        <v>2394</v>
      </c>
      <c r="C1589" s="2" t="s">
        <v>197</v>
      </c>
      <c r="D1589" s="2" t="s">
        <v>198</v>
      </c>
      <c r="E1589" s="2" t="s">
        <v>176</v>
      </c>
      <c r="F1589" s="2" t="s">
        <v>535</v>
      </c>
      <c r="G1589" s="2" t="s">
        <v>445</v>
      </c>
      <c r="H1589" s="2" t="s">
        <v>446</v>
      </c>
      <c r="I1589" s="26">
        <v>45747</v>
      </c>
      <c r="J1589" s="2">
        <v>33</v>
      </c>
      <c r="K1589" s="2" t="s">
        <v>177</v>
      </c>
      <c r="L1589" s="22">
        <v>1400</v>
      </c>
      <c r="M1589" s="22">
        <v>46200</v>
      </c>
      <c r="N1589" s="18">
        <v>49.41</v>
      </c>
      <c r="O1589" s="26">
        <v>46047</v>
      </c>
      <c r="P1589" s="2" t="s">
        <v>2105</v>
      </c>
      <c r="Q1589" s="2" t="s">
        <v>836</v>
      </c>
    </row>
    <row r="1590" spans="2:17" x14ac:dyDescent="0.25">
      <c r="B1590" s="2" t="s">
        <v>2395</v>
      </c>
      <c r="C1590" s="2" t="s">
        <v>197</v>
      </c>
      <c r="D1590" s="2" t="s">
        <v>198</v>
      </c>
      <c r="E1590" s="2" t="s">
        <v>176</v>
      </c>
      <c r="F1590" s="2" t="s">
        <v>535</v>
      </c>
      <c r="G1590" s="2" t="s">
        <v>445</v>
      </c>
      <c r="H1590" s="2" t="s">
        <v>446</v>
      </c>
      <c r="I1590" s="26">
        <v>45777</v>
      </c>
      <c r="J1590" s="2">
        <v>94</v>
      </c>
      <c r="K1590" s="2" t="s">
        <v>177</v>
      </c>
      <c r="L1590" s="22">
        <v>1400</v>
      </c>
      <c r="M1590" s="22">
        <v>131600</v>
      </c>
      <c r="N1590" s="18">
        <v>140.75</v>
      </c>
      <c r="O1590" s="26">
        <v>46077</v>
      </c>
      <c r="P1590" s="2" t="s">
        <v>2105</v>
      </c>
      <c r="Q1590" s="2" t="s">
        <v>836</v>
      </c>
    </row>
    <row r="1591" spans="2:17" x14ac:dyDescent="0.25">
      <c r="B1591" s="2" t="s">
        <v>2396</v>
      </c>
      <c r="C1591" s="2" t="s">
        <v>197</v>
      </c>
      <c r="D1591" s="2" t="s">
        <v>198</v>
      </c>
      <c r="E1591" s="2" t="s">
        <v>176</v>
      </c>
      <c r="F1591" s="2" t="s">
        <v>535</v>
      </c>
      <c r="G1591" s="2" t="s">
        <v>445</v>
      </c>
      <c r="H1591" s="2" t="s">
        <v>446</v>
      </c>
      <c r="I1591" s="26">
        <v>45820</v>
      </c>
      <c r="J1591" s="2">
        <v>78</v>
      </c>
      <c r="K1591" s="2" t="s">
        <v>177</v>
      </c>
      <c r="L1591" s="22">
        <v>1400</v>
      </c>
      <c r="M1591" s="22">
        <v>109200</v>
      </c>
      <c r="N1591" s="18">
        <v>116.79</v>
      </c>
      <c r="O1591" s="26">
        <v>46120</v>
      </c>
      <c r="P1591" s="2" t="s">
        <v>2105</v>
      </c>
      <c r="Q1591" s="2" t="s">
        <v>806</v>
      </c>
    </row>
    <row r="1592" spans="2:17" x14ac:dyDescent="0.25">
      <c r="B1592" s="2" t="s">
        <v>2397</v>
      </c>
      <c r="C1592" s="2" t="s">
        <v>199</v>
      </c>
      <c r="D1592" s="2" t="s">
        <v>200</v>
      </c>
      <c r="E1592" s="2" t="s">
        <v>201</v>
      </c>
      <c r="F1592" s="2" t="s">
        <v>535</v>
      </c>
      <c r="G1592" s="2" t="s">
        <v>455</v>
      </c>
      <c r="H1592" s="2" t="s">
        <v>456</v>
      </c>
      <c r="I1592" s="26">
        <v>45138</v>
      </c>
      <c r="J1592" s="2">
        <v>53</v>
      </c>
      <c r="K1592" s="2" t="s">
        <v>177</v>
      </c>
      <c r="L1592" s="22">
        <v>1050</v>
      </c>
      <c r="M1592" s="22">
        <v>55650</v>
      </c>
      <c r="N1592" s="18">
        <v>59.52</v>
      </c>
      <c r="O1592" s="26">
        <v>45678</v>
      </c>
      <c r="P1592" s="2" t="s">
        <v>2105</v>
      </c>
      <c r="Q1592" s="2" t="s">
        <v>806</v>
      </c>
    </row>
    <row r="1593" spans="2:17" x14ac:dyDescent="0.25">
      <c r="B1593" s="2" t="s">
        <v>2398</v>
      </c>
      <c r="C1593" s="2" t="s">
        <v>199</v>
      </c>
      <c r="D1593" s="2" t="s">
        <v>200</v>
      </c>
      <c r="E1593" s="2" t="s">
        <v>201</v>
      </c>
      <c r="F1593" s="2" t="s">
        <v>535</v>
      </c>
      <c r="G1593" s="2" t="s">
        <v>455</v>
      </c>
      <c r="H1593" s="2" t="s">
        <v>456</v>
      </c>
      <c r="I1593" s="26">
        <v>45203</v>
      </c>
      <c r="J1593" s="2">
        <v>44</v>
      </c>
      <c r="K1593" s="2" t="s">
        <v>177</v>
      </c>
      <c r="L1593" s="22">
        <v>1050</v>
      </c>
      <c r="M1593" s="22">
        <v>46200</v>
      </c>
      <c r="N1593" s="18">
        <v>49.41</v>
      </c>
      <c r="O1593" s="26">
        <v>45743</v>
      </c>
      <c r="P1593" s="2" t="s">
        <v>2105</v>
      </c>
      <c r="Q1593" s="2" t="s">
        <v>814</v>
      </c>
    </row>
    <row r="1594" spans="2:17" x14ac:dyDescent="0.25">
      <c r="B1594" s="2" t="s">
        <v>2399</v>
      </c>
      <c r="C1594" s="2" t="s">
        <v>199</v>
      </c>
      <c r="D1594" s="2" t="s">
        <v>200</v>
      </c>
      <c r="E1594" s="2" t="s">
        <v>201</v>
      </c>
      <c r="F1594" s="2" t="s">
        <v>535</v>
      </c>
      <c r="G1594" s="2" t="s">
        <v>455</v>
      </c>
      <c r="H1594" s="2" t="s">
        <v>456</v>
      </c>
      <c r="I1594" s="26">
        <v>45254</v>
      </c>
      <c r="J1594" s="2">
        <v>43</v>
      </c>
      <c r="K1594" s="2" t="s">
        <v>177</v>
      </c>
      <c r="L1594" s="22">
        <v>1050</v>
      </c>
      <c r="M1594" s="22">
        <v>45150</v>
      </c>
      <c r="N1594" s="18">
        <v>48.29</v>
      </c>
      <c r="O1594" s="26">
        <v>45794</v>
      </c>
      <c r="P1594" s="2" t="s">
        <v>2105</v>
      </c>
      <c r="Q1594" s="2" t="s">
        <v>814</v>
      </c>
    </row>
    <row r="1595" spans="2:17" x14ac:dyDescent="0.25">
      <c r="B1595" s="2" t="s">
        <v>2400</v>
      </c>
      <c r="C1595" s="2" t="s">
        <v>199</v>
      </c>
      <c r="D1595" s="2" t="s">
        <v>200</v>
      </c>
      <c r="E1595" s="2" t="s">
        <v>201</v>
      </c>
      <c r="F1595" s="2" t="s">
        <v>535</v>
      </c>
      <c r="G1595" s="2" t="s">
        <v>455</v>
      </c>
      <c r="H1595" s="2" t="s">
        <v>456</v>
      </c>
      <c r="I1595" s="26">
        <v>45319</v>
      </c>
      <c r="J1595" s="2">
        <v>52</v>
      </c>
      <c r="K1595" s="2" t="s">
        <v>177</v>
      </c>
      <c r="L1595" s="22">
        <v>1050</v>
      </c>
      <c r="M1595" s="22">
        <v>54600</v>
      </c>
      <c r="N1595" s="18">
        <v>58.4</v>
      </c>
      <c r="O1595" s="26">
        <v>45859</v>
      </c>
      <c r="P1595" s="2" t="s">
        <v>2105</v>
      </c>
      <c r="Q1595" s="2" t="s">
        <v>825</v>
      </c>
    </row>
    <row r="1596" spans="2:17" x14ac:dyDescent="0.25">
      <c r="B1596" s="2" t="s">
        <v>2401</v>
      </c>
      <c r="C1596" s="2" t="s">
        <v>199</v>
      </c>
      <c r="D1596" s="2" t="s">
        <v>200</v>
      </c>
      <c r="E1596" s="2" t="s">
        <v>201</v>
      </c>
      <c r="F1596" s="2" t="s">
        <v>535</v>
      </c>
      <c r="G1596" s="2" t="s">
        <v>455</v>
      </c>
      <c r="H1596" s="2" t="s">
        <v>456</v>
      </c>
      <c r="I1596" s="26">
        <v>45374</v>
      </c>
      <c r="J1596" s="2">
        <v>52</v>
      </c>
      <c r="K1596" s="2" t="s">
        <v>177</v>
      </c>
      <c r="L1596" s="22">
        <v>1050</v>
      </c>
      <c r="M1596" s="22">
        <v>54600</v>
      </c>
      <c r="N1596" s="18">
        <v>58.4</v>
      </c>
      <c r="O1596" s="26">
        <v>45914</v>
      </c>
      <c r="P1596" s="2" t="s">
        <v>2105</v>
      </c>
      <c r="Q1596" s="2" t="s">
        <v>836</v>
      </c>
    </row>
    <row r="1597" spans="2:17" x14ac:dyDescent="0.25">
      <c r="B1597" s="2" t="s">
        <v>2402</v>
      </c>
      <c r="C1597" s="2" t="s">
        <v>199</v>
      </c>
      <c r="D1597" s="2" t="s">
        <v>200</v>
      </c>
      <c r="E1597" s="2" t="s">
        <v>201</v>
      </c>
      <c r="F1597" s="2" t="s">
        <v>537</v>
      </c>
      <c r="G1597" s="2" t="s">
        <v>460</v>
      </c>
      <c r="H1597" s="2" t="s">
        <v>461</v>
      </c>
      <c r="I1597" s="26">
        <v>45438</v>
      </c>
      <c r="J1597" s="2">
        <v>45</v>
      </c>
      <c r="K1597" s="2" t="s">
        <v>177</v>
      </c>
      <c r="L1597" s="22">
        <v>1050</v>
      </c>
      <c r="M1597" s="22">
        <v>47250</v>
      </c>
      <c r="N1597" s="18">
        <v>50.53</v>
      </c>
      <c r="O1597" s="26">
        <v>45978</v>
      </c>
      <c r="P1597" s="2" t="s">
        <v>2105</v>
      </c>
      <c r="Q1597" s="2" t="s">
        <v>836</v>
      </c>
    </row>
    <row r="1598" spans="2:17" x14ac:dyDescent="0.25">
      <c r="B1598" s="2" t="s">
        <v>2403</v>
      </c>
      <c r="C1598" s="2" t="s">
        <v>199</v>
      </c>
      <c r="D1598" s="2" t="s">
        <v>200</v>
      </c>
      <c r="E1598" s="2" t="s">
        <v>201</v>
      </c>
      <c r="F1598" s="2" t="s">
        <v>537</v>
      </c>
      <c r="G1598" s="2" t="s">
        <v>460</v>
      </c>
      <c r="H1598" s="2" t="s">
        <v>461</v>
      </c>
      <c r="I1598" s="26">
        <v>45500</v>
      </c>
      <c r="J1598" s="2">
        <v>43</v>
      </c>
      <c r="K1598" s="2" t="s">
        <v>177</v>
      </c>
      <c r="L1598" s="22">
        <v>1050</v>
      </c>
      <c r="M1598" s="22">
        <v>45150</v>
      </c>
      <c r="N1598" s="18">
        <v>48.29</v>
      </c>
      <c r="O1598" s="26">
        <v>46040</v>
      </c>
      <c r="P1598" s="2" t="s">
        <v>2105</v>
      </c>
      <c r="Q1598" s="2" t="s">
        <v>806</v>
      </c>
    </row>
    <row r="1599" spans="2:17" x14ac:dyDescent="0.25">
      <c r="B1599" s="2" t="s">
        <v>2404</v>
      </c>
      <c r="C1599" s="2" t="s">
        <v>199</v>
      </c>
      <c r="D1599" s="2" t="s">
        <v>200</v>
      </c>
      <c r="E1599" s="2" t="s">
        <v>201</v>
      </c>
      <c r="F1599" s="2" t="s">
        <v>535</v>
      </c>
      <c r="G1599" s="2" t="s">
        <v>455</v>
      </c>
      <c r="H1599" s="2" t="s">
        <v>456</v>
      </c>
      <c r="I1599" s="26">
        <v>45548</v>
      </c>
      <c r="J1599" s="2">
        <v>65</v>
      </c>
      <c r="K1599" s="2" t="s">
        <v>177</v>
      </c>
      <c r="L1599" s="22">
        <v>1050</v>
      </c>
      <c r="M1599" s="22">
        <v>68250</v>
      </c>
      <c r="N1599" s="18">
        <v>72.989999999999995</v>
      </c>
      <c r="O1599" s="26">
        <v>46088</v>
      </c>
      <c r="P1599" s="2" t="s">
        <v>2105</v>
      </c>
      <c r="Q1599" s="2" t="s">
        <v>814</v>
      </c>
    </row>
    <row r="1600" spans="2:17" x14ac:dyDescent="0.25">
      <c r="B1600" s="2" t="s">
        <v>2405</v>
      </c>
      <c r="C1600" s="2" t="s">
        <v>199</v>
      </c>
      <c r="D1600" s="2" t="s">
        <v>200</v>
      </c>
      <c r="E1600" s="2" t="s">
        <v>201</v>
      </c>
      <c r="F1600" s="2" t="s">
        <v>535</v>
      </c>
      <c r="G1600" s="2" t="s">
        <v>455</v>
      </c>
      <c r="H1600" s="2" t="s">
        <v>456</v>
      </c>
      <c r="I1600" s="26">
        <v>45591</v>
      </c>
      <c r="J1600" s="2">
        <v>44</v>
      </c>
      <c r="K1600" s="2" t="s">
        <v>177</v>
      </c>
      <c r="L1600" s="22">
        <v>1050</v>
      </c>
      <c r="M1600" s="22">
        <v>46200</v>
      </c>
      <c r="N1600" s="18">
        <v>49.41</v>
      </c>
      <c r="O1600" s="26">
        <v>46131</v>
      </c>
      <c r="P1600" s="2" t="s">
        <v>2105</v>
      </c>
      <c r="Q1600" s="2" t="s">
        <v>814</v>
      </c>
    </row>
    <row r="1601" spans="2:17" x14ac:dyDescent="0.25">
      <c r="B1601" s="2" t="s">
        <v>2406</v>
      </c>
      <c r="C1601" s="2" t="s">
        <v>199</v>
      </c>
      <c r="D1601" s="2" t="s">
        <v>200</v>
      </c>
      <c r="E1601" s="2" t="s">
        <v>201</v>
      </c>
      <c r="F1601" s="2" t="s">
        <v>535</v>
      </c>
      <c r="G1601" s="2" t="s">
        <v>455</v>
      </c>
      <c r="H1601" s="2" t="s">
        <v>456</v>
      </c>
      <c r="I1601" s="26">
        <v>45654</v>
      </c>
      <c r="J1601" s="2">
        <v>64</v>
      </c>
      <c r="K1601" s="2" t="s">
        <v>177</v>
      </c>
      <c r="L1601" s="22">
        <v>1050</v>
      </c>
      <c r="M1601" s="22">
        <v>67200</v>
      </c>
      <c r="N1601" s="18">
        <v>71.87</v>
      </c>
      <c r="O1601" s="26">
        <v>46194</v>
      </c>
      <c r="P1601" s="2" t="s">
        <v>2105</v>
      </c>
      <c r="Q1601" s="2" t="s">
        <v>825</v>
      </c>
    </row>
    <row r="1602" spans="2:17" x14ac:dyDescent="0.25">
      <c r="B1602" s="2" t="s">
        <v>2407</v>
      </c>
      <c r="C1602" s="2" t="s">
        <v>199</v>
      </c>
      <c r="D1602" s="2" t="s">
        <v>200</v>
      </c>
      <c r="E1602" s="2" t="s">
        <v>201</v>
      </c>
      <c r="F1602" s="2" t="s">
        <v>537</v>
      </c>
      <c r="G1602" s="2" t="s">
        <v>460</v>
      </c>
      <c r="H1602" s="2" t="s">
        <v>461</v>
      </c>
      <c r="I1602" s="26">
        <v>45702</v>
      </c>
      <c r="J1602" s="2">
        <v>52</v>
      </c>
      <c r="K1602" s="2" t="s">
        <v>177</v>
      </c>
      <c r="L1602" s="22">
        <v>1050</v>
      </c>
      <c r="M1602" s="22">
        <v>54600</v>
      </c>
      <c r="N1602" s="18">
        <v>58.4</v>
      </c>
      <c r="O1602" s="26">
        <v>46242</v>
      </c>
      <c r="P1602" s="2" t="s">
        <v>2105</v>
      </c>
      <c r="Q1602" s="2" t="s">
        <v>825</v>
      </c>
    </row>
    <row r="1603" spans="2:17" x14ac:dyDescent="0.25">
      <c r="B1603" s="2" t="s">
        <v>2408</v>
      </c>
      <c r="C1603" s="2" t="s">
        <v>199</v>
      </c>
      <c r="D1603" s="2" t="s">
        <v>200</v>
      </c>
      <c r="E1603" s="2" t="s">
        <v>201</v>
      </c>
      <c r="F1603" s="2" t="s">
        <v>535</v>
      </c>
      <c r="G1603" s="2" t="s">
        <v>455</v>
      </c>
      <c r="H1603" s="2" t="s">
        <v>456</v>
      </c>
      <c r="I1603" s="26">
        <v>45777</v>
      </c>
      <c r="J1603" s="2">
        <v>49</v>
      </c>
      <c r="K1603" s="2" t="s">
        <v>177</v>
      </c>
      <c r="L1603" s="22">
        <v>1050</v>
      </c>
      <c r="M1603" s="22">
        <v>51450</v>
      </c>
      <c r="N1603" s="18">
        <v>55.03</v>
      </c>
      <c r="O1603" s="26">
        <v>46317</v>
      </c>
      <c r="P1603" s="2" t="s">
        <v>2105</v>
      </c>
      <c r="Q1603" s="2" t="s">
        <v>836</v>
      </c>
    </row>
    <row r="1604" spans="2:17" x14ac:dyDescent="0.25">
      <c r="B1604" s="2" t="s">
        <v>2409</v>
      </c>
      <c r="C1604" s="2" t="s">
        <v>202</v>
      </c>
      <c r="D1604" s="2" t="s">
        <v>203</v>
      </c>
      <c r="E1604" s="2" t="s">
        <v>201</v>
      </c>
      <c r="F1604" s="2" t="s">
        <v>535</v>
      </c>
      <c r="G1604" s="2" t="s">
        <v>455</v>
      </c>
      <c r="H1604" s="2" t="s">
        <v>456</v>
      </c>
      <c r="I1604" s="26">
        <v>45127</v>
      </c>
      <c r="J1604" s="2">
        <v>44</v>
      </c>
      <c r="K1604" s="2" t="s">
        <v>177</v>
      </c>
      <c r="L1604" s="22">
        <v>1050</v>
      </c>
      <c r="M1604" s="22">
        <v>46200</v>
      </c>
      <c r="N1604" s="18">
        <v>49.41</v>
      </c>
      <c r="O1604" s="26">
        <v>45667</v>
      </c>
      <c r="P1604" s="2" t="s">
        <v>2105</v>
      </c>
      <c r="Q1604" s="2" t="s">
        <v>806</v>
      </c>
    </row>
    <row r="1605" spans="2:17" x14ac:dyDescent="0.25">
      <c r="B1605" s="2" t="s">
        <v>2410</v>
      </c>
      <c r="C1605" s="2" t="s">
        <v>202</v>
      </c>
      <c r="D1605" s="2" t="s">
        <v>203</v>
      </c>
      <c r="E1605" s="2" t="s">
        <v>201</v>
      </c>
      <c r="F1605" s="2" t="s">
        <v>535</v>
      </c>
      <c r="G1605" s="2" t="s">
        <v>455</v>
      </c>
      <c r="H1605" s="2" t="s">
        <v>456</v>
      </c>
      <c r="I1605" s="26">
        <v>45175</v>
      </c>
      <c r="J1605" s="2">
        <v>61</v>
      </c>
      <c r="K1605" s="2" t="s">
        <v>177</v>
      </c>
      <c r="L1605" s="22">
        <v>1050</v>
      </c>
      <c r="M1605" s="22">
        <v>64050</v>
      </c>
      <c r="N1605" s="18">
        <v>68.5</v>
      </c>
      <c r="O1605" s="26">
        <v>45715</v>
      </c>
      <c r="P1605" s="2" t="s">
        <v>2105</v>
      </c>
      <c r="Q1605" s="2" t="s">
        <v>814</v>
      </c>
    </row>
    <row r="1606" spans="2:17" x14ac:dyDescent="0.25">
      <c r="B1606" s="2" t="s">
        <v>2411</v>
      </c>
      <c r="C1606" s="2" t="s">
        <v>202</v>
      </c>
      <c r="D1606" s="2" t="s">
        <v>203</v>
      </c>
      <c r="E1606" s="2" t="s">
        <v>201</v>
      </c>
      <c r="F1606" s="2" t="s">
        <v>535</v>
      </c>
      <c r="G1606" s="2" t="s">
        <v>455</v>
      </c>
      <c r="H1606" s="2" t="s">
        <v>456</v>
      </c>
      <c r="I1606" s="26">
        <v>45232</v>
      </c>
      <c r="J1606" s="2">
        <v>44</v>
      </c>
      <c r="K1606" s="2" t="s">
        <v>177</v>
      </c>
      <c r="L1606" s="22">
        <v>1050</v>
      </c>
      <c r="M1606" s="22">
        <v>46200</v>
      </c>
      <c r="N1606" s="18">
        <v>49.41</v>
      </c>
      <c r="O1606" s="26">
        <v>45772</v>
      </c>
      <c r="P1606" s="2" t="s">
        <v>2105</v>
      </c>
      <c r="Q1606" s="2" t="s">
        <v>814</v>
      </c>
    </row>
    <row r="1607" spans="2:17" x14ac:dyDescent="0.25">
      <c r="B1607" s="2" t="s">
        <v>2412</v>
      </c>
      <c r="C1607" s="2" t="s">
        <v>202</v>
      </c>
      <c r="D1607" s="2" t="s">
        <v>203</v>
      </c>
      <c r="E1607" s="2" t="s">
        <v>201</v>
      </c>
      <c r="F1607" s="2" t="s">
        <v>535</v>
      </c>
      <c r="G1607" s="2" t="s">
        <v>455</v>
      </c>
      <c r="H1607" s="2" t="s">
        <v>456</v>
      </c>
      <c r="I1607" s="26">
        <v>45296</v>
      </c>
      <c r="J1607" s="2">
        <v>45</v>
      </c>
      <c r="K1607" s="2" t="s">
        <v>177</v>
      </c>
      <c r="L1607" s="22">
        <v>1050</v>
      </c>
      <c r="M1607" s="22">
        <v>47250</v>
      </c>
      <c r="N1607" s="18">
        <v>50.53</v>
      </c>
      <c r="O1607" s="26">
        <v>45836</v>
      </c>
      <c r="P1607" s="2" t="s">
        <v>2105</v>
      </c>
      <c r="Q1607" s="2" t="s">
        <v>825</v>
      </c>
    </row>
    <row r="1608" spans="2:17" x14ac:dyDescent="0.25">
      <c r="B1608" s="2" t="s">
        <v>2413</v>
      </c>
      <c r="C1608" s="2" t="s">
        <v>202</v>
      </c>
      <c r="D1608" s="2" t="s">
        <v>203</v>
      </c>
      <c r="E1608" s="2" t="s">
        <v>201</v>
      </c>
      <c r="F1608" s="2" t="s">
        <v>535</v>
      </c>
      <c r="G1608" s="2" t="s">
        <v>455</v>
      </c>
      <c r="H1608" s="2" t="s">
        <v>456</v>
      </c>
      <c r="I1608" s="26">
        <v>45347</v>
      </c>
      <c r="J1608" s="2">
        <v>48</v>
      </c>
      <c r="K1608" s="2" t="s">
        <v>177</v>
      </c>
      <c r="L1608" s="22">
        <v>1050</v>
      </c>
      <c r="M1608" s="22">
        <v>50400</v>
      </c>
      <c r="N1608" s="18">
        <v>53.9</v>
      </c>
      <c r="O1608" s="26">
        <v>45887</v>
      </c>
      <c r="P1608" s="2" t="s">
        <v>2105</v>
      </c>
      <c r="Q1608" s="2" t="s">
        <v>825</v>
      </c>
    </row>
    <row r="1609" spans="2:17" x14ac:dyDescent="0.25">
      <c r="B1609" s="2" t="s">
        <v>2414</v>
      </c>
      <c r="C1609" s="2" t="s">
        <v>202</v>
      </c>
      <c r="D1609" s="2" t="s">
        <v>203</v>
      </c>
      <c r="E1609" s="2" t="s">
        <v>201</v>
      </c>
      <c r="F1609" s="2" t="s">
        <v>535</v>
      </c>
      <c r="G1609" s="2" t="s">
        <v>455</v>
      </c>
      <c r="H1609" s="2" t="s">
        <v>456</v>
      </c>
      <c r="I1609" s="26">
        <v>45398</v>
      </c>
      <c r="J1609" s="2">
        <v>56</v>
      </c>
      <c r="K1609" s="2" t="s">
        <v>177</v>
      </c>
      <c r="L1609" s="22">
        <v>1050</v>
      </c>
      <c r="M1609" s="22">
        <v>58800</v>
      </c>
      <c r="N1609" s="18">
        <v>62.89</v>
      </c>
      <c r="O1609" s="26">
        <v>45938</v>
      </c>
      <c r="P1609" s="2" t="s">
        <v>2105</v>
      </c>
      <c r="Q1609" s="2" t="s">
        <v>836</v>
      </c>
    </row>
    <row r="1610" spans="2:17" x14ac:dyDescent="0.25">
      <c r="B1610" s="2" t="s">
        <v>2415</v>
      </c>
      <c r="C1610" s="2" t="s">
        <v>202</v>
      </c>
      <c r="D1610" s="2" t="s">
        <v>203</v>
      </c>
      <c r="E1610" s="2" t="s">
        <v>201</v>
      </c>
      <c r="F1610" s="2" t="s">
        <v>537</v>
      </c>
      <c r="G1610" s="2" t="s">
        <v>460</v>
      </c>
      <c r="H1610" s="2" t="s">
        <v>461</v>
      </c>
      <c r="I1610" s="26">
        <v>45439</v>
      </c>
      <c r="J1610" s="2">
        <v>57</v>
      </c>
      <c r="K1610" s="2" t="s">
        <v>177</v>
      </c>
      <c r="L1610" s="22">
        <v>1050</v>
      </c>
      <c r="M1610" s="22">
        <v>59850</v>
      </c>
      <c r="N1610" s="18">
        <v>64.010000000000005</v>
      </c>
      <c r="O1610" s="26">
        <v>45979</v>
      </c>
      <c r="P1610" s="2" t="s">
        <v>2105</v>
      </c>
      <c r="Q1610" s="2" t="s">
        <v>836</v>
      </c>
    </row>
    <row r="1611" spans="2:17" x14ac:dyDescent="0.25">
      <c r="B1611" s="2" t="s">
        <v>2416</v>
      </c>
      <c r="C1611" s="2" t="s">
        <v>202</v>
      </c>
      <c r="D1611" s="2" t="s">
        <v>203</v>
      </c>
      <c r="E1611" s="2" t="s">
        <v>201</v>
      </c>
      <c r="F1611" s="2" t="s">
        <v>535</v>
      </c>
      <c r="G1611" s="2" t="s">
        <v>455</v>
      </c>
      <c r="H1611" s="2" t="s">
        <v>456</v>
      </c>
      <c r="I1611" s="26">
        <v>45511</v>
      </c>
      <c r="J1611" s="2">
        <v>47</v>
      </c>
      <c r="K1611" s="2" t="s">
        <v>177</v>
      </c>
      <c r="L1611" s="22">
        <v>1050</v>
      </c>
      <c r="M1611" s="22">
        <v>49350</v>
      </c>
      <c r="N1611" s="18">
        <v>52.78</v>
      </c>
      <c r="O1611" s="26">
        <v>46051</v>
      </c>
      <c r="P1611" s="2" t="s">
        <v>2105</v>
      </c>
      <c r="Q1611" s="2" t="s">
        <v>806</v>
      </c>
    </row>
    <row r="1612" spans="2:17" x14ac:dyDescent="0.25">
      <c r="B1612" s="2" t="s">
        <v>2417</v>
      </c>
      <c r="C1612" s="2" t="s">
        <v>202</v>
      </c>
      <c r="D1612" s="2" t="s">
        <v>203</v>
      </c>
      <c r="E1612" s="2" t="s">
        <v>201</v>
      </c>
      <c r="F1612" s="2" t="s">
        <v>535</v>
      </c>
      <c r="G1612" s="2" t="s">
        <v>455</v>
      </c>
      <c r="H1612" s="2" t="s">
        <v>456</v>
      </c>
      <c r="I1612" s="26">
        <v>45571</v>
      </c>
      <c r="J1612" s="2">
        <v>44</v>
      </c>
      <c r="K1612" s="2" t="s">
        <v>177</v>
      </c>
      <c r="L1612" s="22">
        <v>1050</v>
      </c>
      <c r="M1612" s="22">
        <v>46200</v>
      </c>
      <c r="N1612" s="18">
        <v>49.41</v>
      </c>
      <c r="O1612" s="26">
        <v>46111</v>
      </c>
      <c r="P1612" s="2" t="s">
        <v>2105</v>
      </c>
      <c r="Q1612" s="2" t="s">
        <v>814</v>
      </c>
    </row>
    <row r="1613" spans="2:17" x14ac:dyDescent="0.25">
      <c r="B1613" s="2" t="s">
        <v>2418</v>
      </c>
      <c r="C1613" s="2" t="s">
        <v>202</v>
      </c>
      <c r="D1613" s="2" t="s">
        <v>203</v>
      </c>
      <c r="E1613" s="2" t="s">
        <v>201</v>
      </c>
      <c r="F1613" s="2" t="s">
        <v>537</v>
      </c>
      <c r="G1613" s="2" t="s">
        <v>460</v>
      </c>
      <c r="H1613" s="2" t="s">
        <v>461</v>
      </c>
      <c r="I1613" s="26">
        <v>45626</v>
      </c>
      <c r="J1613" s="2">
        <v>56</v>
      </c>
      <c r="K1613" s="2" t="s">
        <v>177</v>
      </c>
      <c r="L1613" s="22">
        <v>1050</v>
      </c>
      <c r="M1613" s="22">
        <v>58800</v>
      </c>
      <c r="N1613" s="18">
        <v>62.89</v>
      </c>
      <c r="O1613" s="26">
        <v>46166</v>
      </c>
      <c r="P1613" s="2" t="s">
        <v>2105</v>
      </c>
      <c r="Q1613" s="2" t="s">
        <v>814</v>
      </c>
    </row>
    <row r="1614" spans="2:17" x14ac:dyDescent="0.25">
      <c r="B1614" s="2" t="s">
        <v>2419</v>
      </c>
      <c r="C1614" s="2" t="s">
        <v>202</v>
      </c>
      <c r="D1614" s="2" t="s">
        <v>203</v>
      </c>
      <c r="E1614" s="2" t="s">
        <v>201</v>
      </c>
      <c r="F1614" s="2" t="s">
        <v>535</v>
      </c>
      <c r="G1614" s="2" t="s">
        <v>455</v>
      </c>
      <c r="H1614" s="2" t="s">
        <v>456</v>
      </c>
      <c r="I1614" s="26">
        <v>45696</v>
      </c>
      <c r="J1614" s="2">
        <v>52</v>
      </c>
      <c r="K1614" s="2" t="s">
        <v>177</v>
      </c>
      <c r="L1614" s="22">
        <v>1050</v>
      </c>
      <c r="M1614" s="22">
        <v>54600</v>
      </c>
      <c r="N1614" s="18">
        <v>58.4</v>
      </c>
      <c r="O1614" s="26">
        <v>46236</v>
      </c>
      <c r="P1614" s="2" t="s">
        <v>2105</v>
      </c>
      <c r="Q1614" s="2" t="s">
        <v>825</v>
      </c>
    </row>
    <row r="1615" spans="2:17" x14ac:dyDescent="0.25">
      <c r="B1615" s="2" t="s">
        <v>2420</v>
      </c>
      <c r="C1615" s="2" t="s">
        <v>202</v>
      </c>
      <c r="D1615" s="2" t="s">
        <v>203</v>
      </c>
      <c r="E1615" s="2" t="s">
        <v>201</v>
      </c>
      <c r="F1615" s="2" t="s">
        <v>535</v>
      </c>
      <c r="G1615" s="2" t="s">
        <v>455</v>
      </c>
      <c r="H1615" s="2" t="s">
        <v>456</v>
      </c>
      <c r="I1615" s="26">
        <v>45765</v>
      </c>
      <c r="J1615" s="2">
        <v>50</v>
      </c>
      <c r="K1615" s="2" t="s">
        <v>177</v>
      </c>
      <c r="L1615" s="22">
        <v>1050</v>
      </c>
      <c r="M1615" s="22">
        <v>52500</v>
      </c>
      <c r="N1615" s="18">
        <v>56.15</v>
      </c>
      <c r="O1615" s="26">
        <v>46305</v>
      </c>
      <c r="P1615" s="2" t="s">
        <v>2105</v>
      </c>
      <c r="Q1615" s="2" t="s">
        <v>836</v>
      </c>
    </row>
    <row r="1616" spans="2:17" x14ac:dyDescent="0.25">
      <c r="B1616" s="2" t="s">
        <v>2421</v>
      </c>
      <c r="C1616" s="2" t="s">
        <v>202</v>
      </c>
      <c r="D1616" s="2" t="s">
        <v>203</v>
      </c>
      <c r="E1616" s="2" t="s">
        <v>201</v>
      </c>
      <c r="F1616" s="2" t="s">
        <v>535</v>
      </c>
      <c r="G1616" s="2" t="s">
        <v>455</v>
      </c>
      <c r="H1616" s="2" t="s">
        <v>456</v>
      </c>
      <c r="I1616" s="26">
        <v>45815</v>
      </c>
      <c r="J1616" s="2">
        <v>51</v>
      </c>
      <c r="K1616" s="2" t="s">
        <v>177</v>
      </c>
      <c r="L1616" s="22">
        <v>1050</v>
      </c>
      <c r="M1616" s="22">
        <v>53550</v>
      </c>
      <c r="N1616" s="18">
        <v>57.27</v>
      </c>
      <c r="O1616" s="26">
        <v>46355</v>
      </c>
      <c r="P1616" s="2" t="s">
        <v>2105</v>
      </c>
      <c r="Q1616" s="2" t="s">
        <v>806</v>
      </c>
    </row>
    <row r="1617" spans="2:17" x14ac:dyDescent="0.25">
      <c r="B1617" s="2" t="s">
        <v>2422</v>
      </c>
      <c r="C1617" s="2" t="s">
        <v>204</v>
      </c>
      <c r="D1617" s="2" t="s">
        <v>205</v>
      </c>
      <c r="E1617" s="2" t="s">
        <v>201</v>
      </c>
      <c r="F1617" s="2" t="s">
        <v>537</v>
      </c>
      <c r="G1617" s="2" t="s">
        <v>460</v>
      </c>
      <c r="H1617" s="2" t="s">
        <v>461</v>
      </c>
      <c r="I1617" s="26">
        <v>45151</v>
      </c>
      <c r="J1617" s="2">
        <v>55</v>
      </c>
      <c r="K1617" s="2" t="s">
        <v>192</v>
      </c>
      <c r="L1617" s="22">
        <v>700</v>
      </c>
      <c r="M1617" s="22">
        <v>38500</v>
      </c>
      <c r="N1617" s="18">
        <v>41.18</v>
      </c>
      <c r="O1617" s="26">
        <v>45691</v>
      </c>
      <c r="P1617" s="2" t="s">
        <v>2105</v>
      </c>
      <c r="Q1617" s="2" t="s">
        <v>806</v>
      </c>
    </row>
    <row r="1618" spans="2:17" x14ac:dyDescent="0.25">
      <c r="B1618" s="2" t="s">
        <v>2423</v>
      </c>
      <c r="C1618" s="2" t="s">
        <v>204</v>
      </c>
      <c r="D1618" s="2" t="s">
        <v>205</v>
      </c>
      <c r="E1618" s="2" t="s">
        <v>201</v>
      </c>
      <c r="F1618" s="2" t="s">
        <v>535</v>
      </c>
      <c r="G1618" s="2" t="s">
        <v>455</v>
      </c>
      <c r="H1618" s="2" t="s">
        <v>456</v>
      </c>
      <c r="I1618" s="26">
        <v>45213</v>
      </c>
      <c r="J1618" s="2">
        <v>49</v>
      </c>
      <c r="K1618" s="2" t="s">
        <v>192</v>
      </c>
      <c r="L1618" s="22">
        <v>700</v>
      </c>
      <c r="M1618" s="22">
        <v>34300</v>
      </c>
      <c r="N1618" s="18">
        <v>36.68</v>
      </c>
      <c r="O1618" s="26">
        <v>45753</v>
      </c>
      <c r="P1618" s="2" t="s">
        <v>2105</v>
      </c>
      <c r="Q1618" s="2" t="s">
        <v>814</v>
      </c>
    </row>
    <row r="1619" spans="2:17" x14ac:dyDescent="0.25">
      <c r="B1619" s="2" t="s">
        <v>2424</v>
      </c>
      <c r="C1619" s="2" t="s">
        <v>204</v>
      </c>
      <c r="D1619" s="2" t="s">
        <v>205</v>
      </c>
      <c r="E1619" s="2" t="s">
        <v>201</v>
      </c>
      <c r="F1619" s="2" t="s">
        <v>535</v>
      </c>
      <c r="G1619" s="2" t="s">
        <v>455</v>
      </c>
      <c r="H1619" s="2" t="s">
        <v>456</v>
      </c>
      <c r="I1619" s="26">
        <v>45254</v>
      </c>
      <c r="J1619" s="2">
        <v>51</v>
      </c>
      <c r="K1619" s="2" t="s">
        <v>192</v>
      </c>
      <c r="L1619" s="22">
        <v>700</v>
      </c>
      <c r="M1619" s="22">
        <v>35700</v>
      </c>
      <c r="N1619" s="18">
        <v>38.18</v>
      </c>
      <c r="O1619" s="26">
        <v>45794</v>
      </c>
      <c r="P1619" s="2" t="s">
        <v>2105</v>
      </c>
      <c r="Q1619" s="2" t="s">
        <v>814</v>
      </c>
    </row>
    <row r="1620" spans="2:17" x14ac:dyDescent="0.25">
      <c r="B1620" s="2" t="s">
        <v>2425</v>
      </c>
      <c r="C1620" s="2" t="s">
        <v>204</v>
      </c>
      <c r="D1620" s="2" t="s">
        <v>205</v>
      </c>
      <c r="E1620" s="2" t="s">
        <v>201</v>
      </c>
      <c r="F1620" s="2" t="s">
        <v>535</v>
      </c>
      <c r="G1620" s="2" t="s">
        <v>455</v>
      </c>
      <c r="H1620" s="2" t="s">
        <v>456</v>
      </c>
      <c r="I1620" s="26">
        <v>45327</v>
      </c>
      <c r="J1620" s="2">
        <v>52</v>
      </c>
      <c r="K1620" s="2" t="s">
        <v>192</v>
      </c>
      <c r="L1620" s="22">
        <v>700</v>
      </c>
      <c r="M1620" s="22">
        <v>36400</v>
      </c>
      <c r="N1620" s="18">
        <v>38.93</v>
      </c>
      <c r="O1620" s="26">
        <v>45867</v>
      </c>
      <c r="P1620" s="2" t="s">
        <v>2105</v>
      </c>
      <c r="Q1620" s="2" t="s">
        <v>825</v>
      </c>
    </row>
    <row r="1621" spans="2:17" x14ac:dyDescent="0.25">
      <c r="B1621" s="2" t="s">
        <v>2426</v>
      </c>
      <c r="C1621" s="2" t="s">
        <v>204</v>
      </c>
      <c r="D1621" s="2" t="s">
        <v>205</v>
      </c>
      <c r="E1621" s="2" t="s">
        <v>201</v>
      </c>
      <c r="F1621" s="2" t="s">
        <v>535</v>
      </c>
      <c r="G1621" s="2" t="s">
        <v>455</v>
      </c>
      <c r="H1621" s="2" t="s">
        <v>456</v>
      </c>
      <c r="I1621" s="26">
        <v>45394</v>
      </c>
      <c r="J1621" s="2">
        <v>54</v>
      </c>
      <c r="K1621" s="2" t="s">
        <v>192</v>
      </c>
      <c r="L1621" s="22">
        <v>700</v>
      </c>
      <c r="M1621" s="22">
        <v>37800</v>
      </c>
      <c r="N1621" s="18">
        <v>40.43</v>
      </c>
      <c r="O1621" s="26">
        <v>45934</v>
      </c>
      <c r="P1621" s="2" t="s">
        <v>2105</v>
      </c>
      <c r="Q1621" s="2" t="s">
        <v>836</v>
      </c>
    </row>
    <row r="1622" spans="2:17" x14ac:dyDescent="0.25">
      <c r="B1622" s="2" t="s">
        <v>2427</v>
      </c>
      <c r="C1622" s="2" t="s">
        <v>204</v>
      </c>
      <c r="D1622" s="2" t="s">
        <v>205</v>
      </c>
      <c r="E1622" s="2" t="s">
        <v>201</v>
      </c>
      <c r="F1622" s="2" t="s">
        <v>535</v>
      </c>
      <c r="G1622" s="2" t="s">
        <v>455</v>
      </c>
      <c r="H1622" s="2" t="s">
        <v>456</v>
      </c>
      <c r="I1622" s="26">
        <v>45463</v>
      </c>
      <c r="J1622" s="2">
        <v>51</v>
      </c>
      <c r="K1622" s="2" t="s">
        <v>192</v>
      </c>
      <c r="L1622" s="22">
        <v>700</v>
      </c>
      <c r="M1622" s="22">
        <v>35700</v>
      </c>
      <c r="N1622" s="18">
        <v>38.18</v>
      </c>
      <c r="O1622" s="26">
        <v>46003</v>
      </c>
      <c r="P1622" s="2" t="s">
        <v>2105</v>
      </c>
      <c r="Q1622" s="2" t="s">
        <v>806</v>
      </c>
    </row>
    <row r="1623" spans="2:17" x14ac:dyDescent="0.25">
      <c r="B1623" s="2" t="s">
        <v>2428</v>
      </c>
      <c r="C1623" s="2" t="s">
        <v>204</v>
      </c>
      <c r="D1623" s="2" t="s">
        <v>205</v>
      </c>
      <c r="E1623" s="2" t="s">
        <v>201</v>
      </c>
      <c r="F1623" s="2" t="s">
        <v>535</v>
      </c>
      <c r="G1623" s="2" t="s">
        <v>455</v>
      </c>
      <c r="H1623" s="2" t="s">
        <v>456</v>
      </c>
      <c r="I1623" s="26">
        <v>45519</v>
      </c>
      <c r="J1623" s="2">
        <v>44</v>
      </c>
      <c r="K1623" s="2" t="s">
        <v>192</v>
      </c>
      <c r="L1623" s="22">
        <v>700</v>
      </c>
      <c r="M1623" s="22">
        <v>30800</v>
      </c>
      <c r="N1623" s="18">
        <v>32.94</v>
      </c>
      <c r="O1623" s="26">
        <v>46059</v>
      </c>
      <c r="P1623" s="2" t="s">
        <v>2105</v>
      </c>
      <c r="Q1623" s="2" t="s">
        <v>806</v>
      </c>
    </row>
    <row r="1624" spans="2:17" x14ac:dyDescent="0.25">
      <c r="B1624" s="2" t="s">
        <v>2429</v>
      </c>
      <c r="C1624" s="2" t="s">
        <v>204</v>
      </c>
      <c r="D1624" s="2" t="s">
        <v>205</v>
      </c>
      <c r="E1624" s="2" t="s">
        <v>201</v>
      </c>
      <c r="F1624" s="2" t="s">
        <v>535</v>
      </c>
      <c r="G1624" s="2" t="s">
        <v>455</v>
      </c>
      <c r="H1624" s="2" t="s">
        <v>456</v>
      </c>
      <c r="I1624" s="26">
        <v>45580</v>
      </c>
      <c r="J1624" s="2">
        <v>57</v>
      </c>
      <c r="K1624" s="2" t="s">
        <v>192</v>
      </c>
      <c r="L1624" s="22">
        <v>700</v>
      </c>
      <c r="M1624" s="22">
        <v>39900</v>
      </c>
      <c r="N1624" s="18">
        <v>42.67</v>
      </c>
      <c r="O1624" s="26">
        <v>46120</v>
      </c>
      <c r="P1624" s="2" t="s">
        <v>2105</v>
      </c>
      <c r="Q1624" s="2" t="s">
        <v>814</v>
      </c>
    </row>
    <row r="1625" spans="2:17" x14ac:dyDescent="0.25">
      <c r="B1625" s="2" t="s">
        <v>2430</v>
      </c>
      <c r="C1625" s="2" t="s">
        <v>204</v>
      </c>
      <c r="D1625" s="2" t="s">
        <v>205</v>
      </c>
      <c r="E1625" s="2" t="s">
        <v>201</v>
      </c>
      <c r="F1625" s="2" t="s">
        <v>537</v>
      </c>
      <c r="G1625" s="2" t="s">
        <v>460</v>
      </c>
      <c r="H1625" s="2" t="s">
        <v>461</v>
      </c>
      <c r="I1625" s="26">
        <v>45627</v>
      </c>
      <c r="J1625" s="2">
        <v>59</v>
      </c>
      <c r="K1625" s="2" t="s">
        <v>192</v>
      </c>
      <c r="L1625" s="22">
        <v>700</v>
      </c>
      <c r="M1625" s="22">
        <v>41300</v>
      </c>
      <c r="N1625" s="18">
        <v>44.17</v>
      </c>
      <c r="O1625" s="26">
        <v>46167</v>
      </c>
      <c r="P1625" s="2" t="s">
        <v>2105</v>
      </c>
      <c r="Q1625" s="2" t="s">
        <v>825</v>
      </c>
    </row>
    <row r="1626" spans="2:17" x14ac:dyDescent="0.25">
      <c r="B1626" s="2" t="s">
        <v>2431</v>
      </c>
      <c r="C1626" s="2" t="s">
        <v>204</v>
      </c>
      <c r="D1626" s="2" t="s">
        <v>205</v>
      </c>
      <c r="E1626" s="2" t="s">
        <v>201</v>
      </c>
      <c r="F1626" s="2" t="s">
        <v>535</v>
      </c>
      <c r="G1626" s="2" t="s">
        <v>455</v>
      </c>
      <c r="H1626" s="2" t="s">
        <v>456</v>
      </c>
      <c r="I1626" s="26">
        <v>45682</v>
      </c>
      <c r="J1626" s="2">
        <v>56</v>
      </c>
      <c r="K1626" s="2" t="s">
        <v>192</v>
      </c>
      <c r="L1626" s="22">
        <v>700</v>
      </c>
      <c r="M1626" s="22">
        <v>39200</v>
      </c>
      <c r="N1626" s="18">
        <v>41.93</v>
      </c>
      <c r="O1626" s="26">
        <v>46222</v>
      </c>
      <c r="P1626" s="2" t="s">
        <v>2105</v>
      </c>
      <c r="Q1626" s="2" t="s">
        <v>825</v>
      </c>
    </row>
    <row r="1627" spans="2:17" x14ac:dyDescent="0.25">
      <c r="B1627" s="2" t="s">
        <v>2432</v>
      </c>
      <c r="C1627" s="2" t="s">
        <v>204</v>
      </c>
      <c r="D1627" s="2" t="s">
        <v>205</v>
      </c>
      <c r="E1627" s="2" t="s">
        <v>201</v>
      </c>
      <c r="F1627" s="2" t="s">
        <v>535</v>
      </c>
      <c r="G1627" s="2" t="s">
        <v>455</v>
      </c>
      <c r="H1627" s="2" t="s">
        <v>456</v>
      </c>
      <c r="I1627" s="26">
        <v>45748</v>
      </c>
      <c r="J1627" s="2">
        <v>52</v>
      </c>
      <c r="K1627" s="2" t="s">
        <v>192</v>
      </c>
      <c r="L1627" s="22">
        <v>700</v>
      </c>
      <c r="M1627" s="22">
        <v>36400</v>
      </c>
      <c r="N1627" s="18">
        <v>38.93</v>
      </c>
      <c r="O1627" s="26">
        <v>46288</v>
      </c>
      <c r="P1627" s="2" t="s">
        <v>2105</v>
      </c>
      <c r="Q1627" s="2" t="s">
        <v>836</v>
      </c>
    </row>
    <row r="1628" spans="2:17" x14ac:dyDescent="0.25">
      <c r="B1628" s="2" t="s">
        <v>2433</v>
      </c>
      <c r="C1628" s="2" t="s">
        <v>204</v>
      </c>
      <c r="D1628" s="2" t="s">
        <v>205</v>
      </c>
      <c r="E1628" s="2" t="s">
        <v>201</v>
      </c>
      <c r="F1628" s="2" t="s">
        <v>535</v>
      </c>
      <c r="G1628" s="2" t="s">
        <v>455</v>
      </c>
      <c r="H1628" s="2" t="s">
        <v>456</v>
      </c>
      <c r="I1628" s="26">
        <v>45797</v>
      </c>
      <c r="J1628" s="2">
        <v>48</v>
      </c>
      <c r="K1628" s="2" t="s">
        <v>192</v>
      </c>
      <c r="L1628" s="22">
        <v>700</v>
      </c>
      <c r="M1628" s="22">
        <v>33600</v>
      </c>
      <c r="N1628" s="18">
        <v>35.94</v>
      </c>
      <c r="O1628" s="26">
        <v>46337</v>
      </c>
      <c r="P1628" s="2" t="s">
        <v>2105</v>
      </c>
      <c r="Q1628" s="2" t="s">
        <v>836</v>
      </c>
    </row>
    <row r="1629" spans="2:17" x14ac:dyDescent="0.25">
      <c r="B1629" s="2" t="s">
        <v>2434</v>
      </c>
      <c r="C1629" s="2" t="s">
        <v>206</v>
      </c>
      <c r="D1629" s="2" t="s">
        <v>207</v>
      </c>
      <c r="E1629" s="2" t="s">
        <v>201</v>
      </c>
      <c r="F1629" s="2" t="s">
        <v>535</v>
      </c>
      <c r="G1629" s="2" t="s">
        <v>455</v>
      </c>
      <c r="H1629" s="2" t="s">
        <v>456</v>
      </c>
      <c r="I1629" s="26">
        <v>45121</v>
      </c>
      <c r="J1629" s="2">
        <v>44</v>
      </c>
      <c r="K1629" s="2" t="s">
        <v>177</v>
      </c>
      <c r="L1629" s="22">
        <v>1450</v>
      </c>
      <c r="M1629" s="22">
        <v>63800</v>
      </c>
      <c r="N1629" s="18">
        <v>68.239999999999995</v>
      </c>
      <c r="O1629" s="26">
        <v>45661</v>
      </c>
      <c r="P1629" s="2" t="s">
        <v>2105</v>
      </c>
      <c r="Q1629" s="2" t="s">
        <v>806</v>
      </c>
    </row>
    <row r="1630" spans="2:17" x14ac:dyDescent="0.25">
      <c r="B1630" s="2" t="s">
        <v>2435</v>
      </c>
      <c r="C1630" s="2" t="s">
        <v>206</v>
      </c>
      <c r="D1630" s="2" t="s">
        <v>207</v>
      </c>
      <c r="E1630" s="2" t="s">
        <v>201</v>
      </c>
      <c r="F1630" s="2" t="s">
        <v>535</v>
      </c>
      <c r="G1630" s="2" t="s">
        <v>455</v>
      </c>
      <c r="H1630" s="2" t="s">
        <v>456</v>
      </c>
      <c r="I1630" s="26">
        <v>45178</v>
      </c>
      <c r="J1630" s="2">
        <v>58</v>
      </c>
      <c r="K1630" s="2" t="s">
        <v>177</v>
      </c>
      <c r="L1630" s="22">
        <v>1450</v>
      </c>
      <c r="M1630" s="22">
        <v>84100</v>
      </c>
      <c r="N1630" s="18">
        <v>89.95</v>
      </c>
      <c r="O1630" s="26">
        <v>45718</v>
      </c>
      <c r="P1630" s="2" t="s">
        <v>2105</v>
      </c>
      <c r="Q1630" s="2" t="s">
        <v>814</v>
      </c>
    </row>
    <row r="1631" spans="2:17" x14ac:dyDescent="0.25">
      <c r="B1631" s="2" t="s">
        <v>2436</v>
      </c>
      <c r="C1631" s="2" t="s">
        <v>206</v>
      </c>
      <c r="D1631" s="2" t="s">
        <v>207</v>
      </c>
      <c r="E1631" s="2" t="s">
        <v>201</v>
      </c>
      <c r="F1631" s="2" t="s">
        <v>535</v>
      </c>
      <c r="G1631" s="2" t="s">
        <v>455</v>
      </c>
      <c r="H1631" s="2" t="s">
        <v>456</v>
      </c>
      <c r="I1631" s="26">
        <v>45243</v>
      </c>
      <c r="J1631" s="2">
        <v>44</v>
      </c>
      <c r="K1631" s="2" t="s">
        <v>177</v>
      </c>
      <c r="L1631" s="22">
        <v>1450</v>
      </c>
      <c r="M1631" s="22">
        <v>63800</v>
      </c>
      <c r="N1631" s="18">
        <v>68.239999999999995</v>
      </c>
      <c r="O1631" s="26">
        <v>45783</v>
      </c>
      <c r="P1631" s="2" t="s">
        <v>2105</v>
      </c>
      <c r="Q1631" s="2" t="s">
        <v>814</v>
      </c>
    </row>
    <row r="1632" spans="2:17" x14ac:dyDescent="0.25">
      <c r="B1632" s="2" t="s">
        <v>2437</v>
      </c>
      <c r="C1632" s="2" t="s">
        <v>206</v>
      </c>
      <c r="D1632" s="2" t="s">
        <v>207</v>
      </c>
      <c r="E1632" s="2" t="s">
        <v>201</v>
      </c>
      <c r="F1632" s="2" t="s">
        <v>535</v>
      </c>
      <c r="G1632" s="2" t="s">
        <v>455</v>
      </c>
      <c r="H1632" s="2" t="s">
        <v>456</v>
      </c>
      <c r="I1632" s="26">
        <v>45312</v>
      </c>
      <c r="J1632" s="2">
        <v>57</v>
      </c>
      <c r="K1632" s="2" t="s">
        <v>177</v>
      </c>
      <c r="L1632" s="22">
        <v>1450</v>
      </c>
      <c r="M1632" s="22">
        <v>82650</v>
      </c>
      <c r="N1632" s="18">
        <v>88.4</v>
      </c>
      <c r="O1632" s="26">
        <v>45852</v>
      </c>
      <c r="P1632" s="2" t="s">
        <v>2105</v>
      </c>
      <c r="Q1632" s="2" t="s">
        <v>825</v>
      </c>
    </row>
    <row r="1633" spans="2:17" x14ac:dyDescent="0.25">
      <c r="B1633" s="2" t="s">
        <v>2438</v>
      </c>
      <c r="C1633" s="2" t="s">
        <v>206</v>
      </c>
      <c r="D1633" s="2" t="s">
        <v>207</v>
      </c>
      <c r="E1633" s="2" t="s">
        <v>201</v>
      </c>
      <c r="F1633" s="2" t="s">
        <v>535</v>
      </c>
      <c r="G1633" s="2" t="s">
        <v>455</v>
      </c>
      <c r="H1633" s="2" t="s">
        <v>456</v>
      </c>
      <c r="I1633" s="26">
        <v>45365</v>
      </c>
      <c r="J1633" s="2">
        <v>53</v>
      </c>
      <c r="K1633" s="2" t="s">
        <v>177</v>
      </c>
      <c r="L1633" s="22">
        <v>1450</v>
      </c>
      <c r="M1633" s="22">
        <v>76850</v>
      </c>
      <c r="N1633" s="18">
        <v>82.19</v>
      </c>
      <c r="O1633" s="26">
        <v>45905</v>
      </c>
      <c r="P1633" s="2" t="s">
        <v>2105</v>
      </c>
      <c r="Q1633" s="2" t="s">
        <v>836</v>
      </c>
    </row>
    <row r="1634" spans="2:17" x14ac:dyDescent="0.25">
      <c r="B1634" s="2" t="s">
        <v>2439</v>
      </c>
      <c r="C1634" s="2" t="s">
        <v>206</v>
      </c>
      <c r="D1634" s="2" t="s">
        <v>207</v>
      </c>
      <c r="E1634" s="2" t="s">
        <v>201</v>
      </c>
      <c r="F1634" s="2" t="s">
        <v>537</v>
      </c>
      <c r="G1634" s="2" t="s">
        <v>460</v>
      </c>
      <c r="H1634" s="2" t="s">
        <v>461</v>
      </c>
      <c r="I1634" s="26">
        <v>45439</v>
      </c>
      <c r="J1634" s="2">
        <v>44</v>
      </c>
      <c r="K1634" s="2" t="s">
        <v>177</v>
      </c>
      <c r="L1634" s="22">
        <v>1350</v>
      </c>
      <c r="M1634" s="22">
        <v>59400</v>
      </c>
      <c r="N1634" s="18">
        <v>63.53</v>
      </c>
      <c r="O1634" s="26">
        <v>45979</v>
      </c>
      <c r="P1634" s="2" t="s">
        <v>2105</v>
      </c>
      <c r="Q1634" s="2" t="s">
        <v>836</v>
      </c>
    </row>
    <row r="1635" spans="2:17" x14ac:dyDescent="0.25">
      <c r="B1635" s="2" t="s">
        <v>2440</v>
      </c>
      <c r="C1635" s="2" t="s">
        <v>206</v>
      </c>
      <c r="D1635" s="2" t="s">
        <v>207</v>
      </c>
      <c r="E1635" s="2" t="s">
        <v>201</v>
      </c>
      <c r="F1635" s="2" t="s">
        <v>535</v>
      </c>
      <c r="G1635" s="2" t="s">
        <v>455</v>
      </c>
      <c r="H1635" s="2" t="s">
        <v>456</v>
      </c>
      <c r="I1635" s="26">
        <v>45502</v>
      </c>
      <c r="J1635" s="2">
        <v>54</v>
      </c>
      <c r="K1635" s="2" t="s">
        <v>177</v>
      </c>
      <c r="L1635" s="22">
        <v>1450</v>
      </c>
      <c r="M1635" s="22">
        <v>78300</v>
      </c>
      <c r="N1635" s="18">
        <v>83.74</v>
      </c>
      <c r="O1635" s="26">
        <v>46042</v>
      </c>
      <c r="P1635" s="2" t="s">
        <v>2105</v>
      </c>
      <c r="Q1635" s="2" t="s">
        <v>806</v>
      </c>
    </row>
    <row r="1636" spans="2:17" x14ac:dyDescent="0.25">
      <c r="B1636" s="2" t="s">
        <v>2441</v>
      </c>
      <c r="C1636" s="2" t="s">
        <v>206</v>
      </c>
      <c r="D1636" s="2" t="s">
        <v>207</v>
      </c>
      <c r="E1636" s="2" t="s">
        <v>201</v>
      </c>
      <c r="F1636" s="2" t="s">
        <v>535</v>
      </c>
      <c r="G1636" s="2" t="s">
        <v>455</v>
      </c>
      <c r="H1636" s="2" t="s">
        <v>456</v>
      </c>
      <c r="I1636" s="26">
        <v>45557</v>
      </c>
      <c r="J1636" s="2">
        <v>59</v>
      </c>
      <c r="K1636" s="2" t="s">
        <v>177</v>
      </c>
      <c r="L1636" s="22">
        <v>1450</v>
      </c>
      <c r="M1636" s="22">
        <v>85550</v>
      </c>
      <c r="N1636" s="18">
        <v>91.5</v>
      </c>
      <c r="O1636" s="26">
        <v>46097</v>
      </c>
      <c r="P1636" s="2" t="s">
        <v>2105</v>
      </c>
      <c r="Q1636" s="2" t="s">
        <v>814</v>
      </c>
    </row>
    <row r="1637" spans="2:17" x14ac:dyDescent="0.25">
      <c r="B1637" s="2" t="s">
        <v>2442</v>
      </c>
      <c r="C1637" s="2" t="s">
        <v>206</v>
      </c>
      <c r="D1637" s="2" t="s">
        <v>207</v>
      </c>
      <c r="E1637" s="2" t="s">
        <v>201</v>
      </c>
      <c r="F1637" s="2" t="s">
        <v>535</v>
      </c>
      <c r="G1637" s="2" t="s">
        <v>455</v>
      </c>
      <c r="H1637" s="2" t="s">
        <v>456</v>
      </c>
      <c r="I1637" s="26">
        <v>45608</v>
      </c>
      <c r="J1637" s="2">
        <v>52</v>
      </c>
      <c r="K1637" s="2" t="s">
        <v>177</v>
      </c>
      <c r="L1637" s="22">
        <v>1450</v>
      </c>
      <c r="M1637" s="22">
        <v>75400</v>
      </c>
      <c r="N1637" s="18">
        <v>80.64</v>
      </c>
      <c r="O1637" s="26">
        <v>46148</v>
      </c>
      <c r="P1637" s="2" t="s">
        <v>2105</v>
      </c>
      <c r="Q1637" s="2" t="s">
        <v>814</v>
      </c>
    </row>
    <row r="1638" spans="2:17" x14ac:dyDescent="0.25">
      <c r="B1638" s="2" t="s">
        <v>2443</v>
      </c>
      <c r="C1638" s="2" t="s">
        <v>206</v>
      </c>
      <c r="D1638" s="2" t="s">
        <v>207</v>
      </c>
      <c r="E1638" s="2" t="s">
        <v>201</v>
      </c>
      <c r="F1638" s="2" t="s">
        <v>537</v>
      </c>
      <c r="G1638" s="2" t="s">
        <v>460</v>
      </c>
      <c r="H1638" s="2" t="s">
        <v>461</v>
      </c>
      <c r="I1638" s="26">
        <v>45675</v>
      </c>
      <c r="J1638" s="2">
        <v>53</v>
      </c>
      <c r="K1638" s="2" t="s">
        <v>177</v>
      </c>
      <c r="L1638" s="22">
        <v>1350</v>
      </c>
      <c r="M1638" s="22">
        <v>71550</v>
      </c>
      <c r="N1638" s="18">
        <v>76.52</v>
      </c>
      <c r="O1638" s="26">
        <v>46215</v>
      </c>
      <c r="P1638" s="2" t="s">
        <v>2105</v>
      </c>
      <c r="Q1638" s="2" t="s">
        <v>825</v>
      </c>
    </row>
    <row r="1639" spans="2:17" x14ac:dyDescent="0.25">
      <c r="B1639" s="2" t="s">
        <v>2444</v>
      </c>
      <c r="C1639" s="2" t="s">
        <v>206</v>
      </c>
      <c r="D1639" s="2" t="s">
        <v>207</v>
      </c>
      <c r="E1639" s="2" t="s">
        <v>201</v>
      </c>
      <c r="F1639" s="2" t="s">
        <v>535</v>
      </c>
      <c r="G1639" s="2" t="s">
        <v>455</v>
      </c>
      <c r="H1639" s="2" t="s">
        <v>456</v>
      </c>
      <c r="I1639" s="26">
        <v>45738</v>
      </c>
      <c r="J1639" s="2">
        <v>46</v>
      </c>
      <c r="K1639" s="2" t="s">
        <v>177</v>
      </c>
      <c r="L1639" s="22">
        <v>1450</v>
      </c>
      <c r="M1639" s="22">
        <v>66700</v>
      </c>
      <c r="N1639" s="18">
        <v>71.34</v>
      </c>
      <c r="O1639" s="26">
        <v>46278</v>
      </c>
      <c r="P1639" s="2" t="s">
        <v>2105</v>
      </c>
      <c r="Q1639" s="2" t="s">
        <v>836</v>
      </c>
    </row>
    <row r="1640" spans="2:17" x14ac:dyDescent="0.25">
      <c r="B1640" s="2" t="s">
        <v>2445</v>
      </c>
      <c r="C1640" s="2" t="s">
        <v>206</v>
      </c>
      <c r="D1640" s="2" t="s">
        <v>207</v>
      </c>
      <c r="E1640" s="2" t="s">
        <v>201</v>
      </c>
      <c r="F1640" s="2" t="s">
        <v>535</v>
      </c>
      <c r="G1640" s="2" t="s">
        <v>455</v>
      </c>
      <c r="H1640" s="2" t="s">
        <v>456</v>
      </c>
      <c r="I1640" s="26">
        <v>45785</v>
      </c>
      <c r="J1640" s="2">
        <v>55</v>
      </c>
      <c r="K1640" s="2" t="s">
        <v>177</v>
      </c>
      <c r="L1640" s="22">
        <v>1450</v>
      </c>
      <c r="M1640" s="22">
        <v>79750</v>
      </c>
      <c r="N1640" s="18">
        <v>85.29</v>
      </c>
      <c r="O1640" s="26">
        <v>46325</v>
      </c>
      <c r="P1640" s="2" t="s">
        <v>2105</v>
      </c>
      <c r="Q1640" s="2" t="s">
        <v>836</v>
      </c>
    </row>
    <row r="1641" spans="2:17" x14ac:dyDescent="0.25">
      <c r="B1641" s="2" t="s">
        <v>2446</v>
      </c>
      <c r="C1641" s="2" t="s">
        <v>208</v>
      </c>
      <c r="D1641" s="2" t="s">
        <v>209</v>
      </c>
      <c r="E1641" s="2" t="s">
        <v>201</v>
      </c>
      <c r="F1641" s="2" t="s">
        <v>535</v>
      </c>
      <c r="G1641" s="2" t="s">
        <v>455</v>
      </c>
      <c r="H1641" s="2" t="s">
        <v>456</v>
      </c>
      <c r="I1641" s="26">
        <v>45109</v>
      </c>
      <c r="J1641" s="2">
        <v>43</v>
      </c>
      <c r="K1641" s="2" t="s">
        <v>192</v>
      </c>
      <c r="L1641" s="22">
        <v>650</v>
      </c>
      <c r="M1641" s="22">
        <v>27950</v>
      </c>
      <c r="N1641" s="18">
        <v>29.89</v>
      </c>
      <c r="O1641" s="26">
        <v>45649</v>
      </c>
      <c r="P1641" s="2" t="s">
        <v>2105</v>
      </c>
      <c r="Q1641" s="2" t="s">
        <v>806</v>
      </c>
    </row>
    <row r="1642" spans="2:17" x14ac:dyDescent="0.25">
      <c r="B1642" s="2" t="s">
        <v>2447</v>
      </c>
      <c r="C1642" s="2" t="s">
        <v>208</v>
      </c>
      <c r="D1642" s="2" t="s">
        <v>209</v>
      </c>
      <c r="E1642" s="2" t="s">
        <v>201</v>
      </c>
      <c r="F1642" s="2" t="s">
        <v>535</v>
      </c>
      <c r="G1642" s="2" t="s">
        <v>455</v>
      </c>
      <c r="H1642" s="2" t="s">
        <v>456</v>
      </c>
      <c r="I1642" s="26">
        <v>45166</v>
      </c>
      <c r="J1642" s="2">
        <v>47</v>
      </c>
      <c r="K1642" s="2" t="s">
        <v>192</v>
      </c>
      <c r="L1642" s="22">
        <v>650</v>
      </c>
      <c r="M1642" s="22">
        <v>30550</v>
      </c>
      <c r="N1642" s="18">
        <v>32.67</v>
      </c>
      <c r="O1642" s="26">
        <v>45706</v>
      </c>
      <c r="P1642" s="2" t="s">
        <v>2105</v>
      </c>
      <c r="Q1642" s="2" t="s">
        <v>806</v>
      </c>
    </row>
    <row r="1643" spans="2:17" x14ac:dyDescent="0.25">
      <c r="B1643" s="2" t="s">
        <v>2448</v>
      </c>
      <c r="C1643" s="2" t="s">
        <v>208</v>
      </c>
      <c r="D1643" s="2" t="s">
        <v>209</v>
      </c>
      <c r="E1643" s="2" t="s">
        <v>201</v>
      </c>
      <c r="F1643" s="2" t="s">
        <v>535</v>
      </c>
      <c r="G1643" s="2" t="s">
        <v>455</v>
      </c>
      <c r="H1643" s="2" t="s">
        <v>456</v>
      </c>
      <c r="I1643" s="26">
        <v>45210</v>
      </c>
      <c r="J1643" s="2">
        <v>43</v>
      </c>
      <c r="K1643" s="2" t="s">
        <v>192</v>
      </c>
      <c r="L1643" s="22">
        <v>650</v>
      </c>
      <c r="M1643" s="22">
        <v>27950</v>
      </c>
      <c r="N1643" s="18">
        <v>29.89</v>
      </c>
      <c r="O1643" s="26">
        <v>45750</v>
      </c>
      <c r="P1643" s="2" t="s">
        <v>2105</v>
      </c>
      <c r="Q1643" s="2" t="s">
        <v>814</v>
      </c>
    </row>
    <row r="1644" spans="2:17" x14ac:dyDescent="0.25">
      <c r="B1644" s="2" t="s">
        <v>2449</v>
      </c>
      <c r="C1644" s="2" t="s">
        <v>208</v>
      </c>
      <c r="D1644" s="2" t="s">
        <v>209</v>
      </c>
      <c r="E1644" s="2" t="s">
        <v>201</v>
      </c>
      <c r="F1644" s="2" t="s">
        <v>535</v>
      </c>
      <c r="G1644" s="2" t="s">
        <v>455</v>
      </c>
      <c r="H1644" s="2" t="s">
        <v>456</v>
      </c>
      <c r="I1644" s="26">
        <v>45264</v>
      </c>
      <c r="J1644" s="2">
        <v>73</v>
      </c>
      <c r="K1644" s="2" t="s">
        <v>192</v>
      </c>
      <c r="L1644" s="22">
        <v>650</v>
      </c>
      <c r="M1644" s="22">
        <v>47450</v>
      </c>
      <c r="N1644" s="18">
        <v>50.75</v>
      </c>
      <c r="O1644" s="26">
        <v>45804</v>
      </c>
      <c r="P1644" s="2" t="s">
        <v>2105</v>
      </c>
      <c r="Q1644" s="2" t="s">
        <v>825</v>
      </c>
    </row>
    <row r="1645" spans="2:17" x14ac:dyDescent="0.25">
      <c r="B1645" s="2" t="s">
        <v>2450</v>
      </c>
      <c r="C1645" s="2" t="s">
        <v>208</v>
      </c>
      <c r="D1645" s="2" t="s">
        <v>209</v>
      </c>
      <c r="E1645" s="2" t="s">
        <v>201</v>
      </c>
      <c r="F1645" s="2" t="s">
        <v>535</v>
      </c>
      <c r="G1645" s="2" t="s">
        <v>455</v>
      </c>
      <c r="H1645" s="2" t="s">
        <v>456</v>
      </c>
      <c r="I1645" s="26">
        <v>45323</v>
      </c>
      <c r="J1645" s="2">
        <v>57</v>
      </c>
      <c r="K1645" s="2" t="s">
        <v>192</v>
      </c>
      <c r="L1645" s="22">
        <v>650</v>
      </c>
      <c r="M1645" s="22">
        <v>37050</v>
      </c>
      <c r="N1645" s="18">
        <v>39.630000000000003</v>
      </c>
      <c r="O1645" s="26">
        <v>45863</v>
      </c>
      <c r="P1645" s="2" t="s">
        <v>2105</v>
      </c>
      <c r="Q1645" s="2" t="s">
        <v>825</v>
      </c>
    </row>
    <row r="1646" spans="2:17" x14ac:dyDescent="0.25">
      <c r="B1646" s="2" t="s">
        <v>2451</v>
      </c>
      <c r="C1646" s="2" t="s">
        <v>208</v>
      </c>
      <c r="D1646" s="2" t="s">
        <v>209</v>
      </c>
      <c r="E1646" s="2" t="s">
        <v>201</v>
      </c>
      <c r="F1646" s="2" t="s">
        <v>537</v>
      </c>
      <c r="G1646" s="2" t="s">
        <v>460</v>
      </c>
      <c r="H1646" s="2" t="s">
        <v>461</v>
      </c>
      <c r="I1646" s="26">
        <v>45370</v>
      </c>
      <c r="J1646" s="2">
        <v>51</v>
      </c>
      <c r="K1646" s="2" t="s">
        <v>192</v>
      </c>
      <c r="L1646" s="22">
        <v>650</v>
      </c>
      <c r="M1646" s="22">
        <v>33150</v>
      </c>
      <c r="N1646" s="18">
        <v>35.450000000000003</v>
      </c>
      <c r="O1646" s="26">
        <v>45910</v>
      </c>
      <c r="P1646" s="2" t="s">
        <v>2105</v>
      </c>
      <c r="Q1646" s="2" t="s">
        <v>836</v>
      </c>
    </row>
    <row r="1647" spans="2:17" x14ac:dyDescent="0.25">
      <c r="B1647" s="2" t="s">
        <v>2452</v>
      </c>
      <c r="C1647" s="2" t="s">
        <v>208</v>
      </c>
      <c r="D1647" s="2" t="s">
        <v>209</v>
      </c>
      <c r="E1647" s="2" t="s">
        <v>201</v>
      </c>
      <c r="F1647" s="2" t="s">
        <v>537</v>
      </c>
      <c r="G1647" s="2" t="s">
        <v>460</v>
      </c>
      <c r="H1647" s="2" t="s">
        <v>461</v>
      </c>
      <c r="I1647" s="26">
        <v>45441</v>
      </c>
      <c r="J1647" s="2">
        <v>50</v>
      </c>
      <c r="K1647" s="2" t="s">
        <v>192</v>
      </c>
      <c r="L1647" s="22">
        <v>650</v>
      </c>
      <c r="M1647" s="22">
        <v>32500</v>
      </c>
      <c r="N1647" s="18">
        <v>34.76</v>
      </c>
      <c r="O1647" s="26">
        <v>45981</v>
      </c>
      <c r="P1647" s="2" t="s">
        <v>2105</v>
      </c>
      <c r="Q1647" s="2" t="s">
        <v>836</v>
      </c>
    </row>
    <row r="1648" spans="2:17" x14ac:dyDescent="0.25">
      <c r="B1648" s="2" t="s">
        <v>2453</v>
      </c>
      <c r="C1648" s="2" t="s">
        <v>208</v>
      </c>
      <c r="D1648" s="2" t="s">
        <v>209</v>
      </c>
      <c r="E1648" s="2" t="s">
        <v>201</v>
      </c>
      <c r="F1648" s="2" t="s">
        <v>537</v>
      </c>
      <c r="G1648" s="2" t="s">
        <v>460</v>
      </c>
      <c r="H1648" s="2" t="s">
        <v>461</v>
      </c>
      <c r="I1648" s="26">
        <v>45496</v>
      </c>
      <c r="J1648" s="2">
        <v>57</v>
      </c>
      <c r="K1648" s="2" t="s">
        <v>192</v>
      </c>
      <c r="L1648" s="22">
        <v>650</v>
      </c>
      <c r="M1648" s="22">
        <v>37050</v>
      </c>
      <c r="N1648" s="18">
        <v>39.630000000000003</v>
      </c>
      <c r="O1648" s="26">
        <v>46036</v>
      </c>
      <c r="P1648" s="2" t="s">
        <v>2105</v>
      </c>
      <c r="Q1648" s="2" t="s">
        <v>806</v>
      </c>
    </row>
    <row r="1649" spans="2:17" x14ac:dyDescent="0.25">
      <c r="B1649" s="2" t="s">
        <v>2454</v>
      </c>
      <c r="C1649" s="2" t="s">
        <v>208</v>
      </c>
      <c r="D1649" s="2" t="s">
        <v>209</v>
      </c>
      <c r="E1649" s="2" t="s">
        <v>201</v>
      </c>
      <c r="F1649" s="2" t="s">
        <v>535</v>
      </c>
      <c r="G1649" s="2" t="s">
        <v>455</v>
      </c>
      <c r="H1649" s="2" t="s">
        <v>456</v>
      </c>
      <c r="I1649" s="26">
        <v>45556</v>
      </c>
      <c r="J1649" s="2">
        <v>66</v>
      </c>
      <c r="K1649" s="2" t="s">
        <v>192</v>
      </c>
      <c r="L1649" s="22">
        <v>650</v>
      </c>
      <c r="M1649" s="22">
        <v>42900</v>
      </c>
      <c r="N1649" s="18">
        <v>45.88</v>
      </c>
      <c r="O1649" s="26">
        <v>46096</v>
      </c>
      <c r="P1649" s="2" t="s">
        <v>2105</v>
      </c>
      <c r="Q1649" s="2" t="s">
        <v>814</v>
      </c>
    </row>
    <row r="1650" spans="2:17" x14ac:dyDescent="0.25">
      <c r="B1650" s="2" t="s">
        <v>2455</v>
      </c>
      <c r="C1650" s="2" t="s">
        <v>208</v>
      </c>
      <c r="D1650" s="2" t="s">
        <v>209</v>
      </c>
      <c r="E1650" s="2" t="s">
        <v>201</v>
      </c>
      <c r="F1650" s="2" t="s">
        <v>535</v>
      </c>
      <c r="G1650" s="2" t="s">
        <v>455</v>
      </c>
      <c r="H1650" s="2" t="s">
        <v>456</v>
      </c>
      <c r="I1650" s="26">
        <v>45608</v>
      </c>
      <c r="J1650" s="2">
        <v>57</v>
      </c>
      <c r="K1650" s="2" t="s">
        <v>192</v>
      </c>
      <c r="L1650" s="22">
        <v>650</v>
      </c>
      <c r="M1650" s="22">
        <v>37050</v>
      </c>
      <c r="N1650" s="18">
        <v>39.630000000000003</v>
      </c>
      <c r="O1650" s="26">
        <v>46148</v>
      </c>
      <c r="P1650" s="2" t="s">
        <v>2105</v>
      </c>
      <c r="Q1650" s="2" t="s">
        <v>814</v>
      </c>
    </row>
    <row r="1651" spans="2:17" x14ac:dyDescent="0.25">
      <c r="B1651" s="2" t="s">
        <v>2456</v>
      </c>
      <c r="C1651" s="2" t="s">
        <v>208</v>
      </c>
      <c r="D1651" s="2" t="s">
        <v>209</v>
      </c>
      <c r="E1651" s="2" t="s">
        <v>201</v>
      </c>
      <c r="F1651" s="2" t="s">
        <v>535</v>
      </c>
      <c r="G1651" s="2" t="s">
        <v>455</v>
      </c>
      <c r="H1651" s="2" t="s">
        <v>456</v>
      </c>
      <c r="I1651" s="26">
        <v>45649</v>
      </c>
      <c r="J1651" s="2">
        <v>58</v>
      </c>
      <c r="K1651" s="2" t="s">
        <v>192</v>
      </c>
      <c r="L1651" s="22">
        <v>650</v>
      </c>
      <c r="M1651" s="22">
        <v>37700</v>
      </c>
      <c r="N1651" s="18">
        <v>40.32</v>
      </c>
      <c r="O1651" s="26">
        <v>46189</v>
      </c>
      <c r="P1651" s="2" t="s">
        <v>2105</v>
      </c>
      <c r="Q1651" s="2" t="s">
        <v>825</v>
      </c>
    </row>
    <row r="1652" spans="2:17" x14ac:dyDescent="0.25">
      <c r="B1652" s="2" t="s">
        <v>2457</v>
      </c>
      <c r="C1652" s="2" t="s">
        <v>208</v>
      </c>
      <c r="D1652" s="2" t="s">
        <v>209</v>
      </c>
      <c r="E1652" s="2" t="s">
        <v>201</v>
      </c>
      <c r="F1652" s="2" t="s">
        <v>535</v>
      </c>
      <c r="G1652" s="2" t="s">
        <v>455</v>
      </c>
      <c r="H1652" s="2" t="s">
        <v>456</v>
      </c>
      <c r="I1652" s="26">
        <v>45704</v>
      </c>
      <c r="J1652" s="2">
        <v>49</v>
      </c>
      <c r="K1652" s="2" t="s">
        <v>192</v>
      </c>
      <c r="L1652" s="22">
        <v>650</v>
      </c>
      <c r="M1652" s="22">
        <v>31850</v>
      </c>
      <c r="N1652" s="18">
        <v>34.06</v>
      </c>
      <c r="O1652" s="26">
        <v>46244</v>
      </c>
      <c r="P1652" s="2" t="s">
        <v>2105</v>
      </c>
      <c r="Q1652" s="2" t="s">
        <v>825</v>
      </c>
    </row>
    <row r="1653" spans="2:17" x14ac:dyDescent="0.25">
      <c r="B1653" s="2" t="s">
        <v>2458</v>
      </c>
      <c r="C1653" s="2" t="s">
        <v>208</v>
      </c>
      <c r="D1653" s="2" t="s">
        <v>209</v>
      </c>
      <c r="E1653" s="2" t="s">
        <v>201</v>
      </c>
      <c r="F1653" s="2" t="s">
        <v>535</v>
      </c>
      <c r="G1653" s="2" t="s">
        <v>455</v>
      </c>
      <c r="H1653" s="2" t="s">
        <v>456</v>
      </c>
      <c r="I1653" s="26">
        <v>45759</v>
      </c>
      <c r="J1653" s="2">
        <v>50</v>
      </c>
      <c r="K1653" s="2" t="s">
        <v>192</v>
      </c>
      <c r="L1653" s="22">
        <v>650</v>
      </c>
      <c r="M1653" s="22">
        <v>32500</v>
      </c>
      <c r="N1653" s="18">
        <v>34.76</v>
      </c>
      <c r="O1653" s="26">
        <v>46299</v>
      </c>
      <c r="P1653" s="2" t="s">
        <v>2105</v>
      </c>
      <c r="Q1653" s="2" t="s">
        <v>836</v>
      </c>
    </row>
    <row r="1654" spans="2:17" x14ac:dyDescent="0.25">
      <c r="B1654" s="2" t="s">
        <v>2459</v>
      </c>
      <c r="C1654" s="2" t="s">
        <v>208</v>
      </c>
      <c r="D1654" s="2" t="s">
        <v>209</v>
      </c>
      <c r="E1654" s="2" t="s">
        <v>201</v>
      </c>
      <c r="F1654" s="2" t="s">
        <v>535</v>
      </c>
      <c r="G1654" s="2" t="s">
        <v>455</v>
      </c>
      <c r="H1654" s="2" t="s">
        <v>456</v>
      </c>
      <c r="I1654" s="26">
        <v>45827</v>
      </c>
      <c r="J1654" s="2">
        <v>51</v>
      </c>
      <c r="K1654" s="2" t="s">
        <v>192</v>
      </c>
      <c r="L1654" s="22">
        <v>650</v>
      </c>
      <c r="M1654" s="22">
        <v>33150</v>
      </c>
      <c r="N1654" s="18">
        <v>35.450000000000003</v>
      </c>
      <c r="O1654" s="26">
        <v>46367</v>
      </c>
      <c r="P1654" s="2" t="s">
        <v>2105</v>
      </c>
      <c r="Q1654" s="2" t="s">
        <v>806</v>
      </c>
    </row>
    <row r="1655" spans="2:17" x14ac:dyDescent="0.25">
      <c r="B1655" s="2" t="s">
        <v>2460</v>
      </c>
      <c r="C1655" s="2" t="s">
        <v>210</v>
      </c>
      <c r="D1655" s="2" t="s">
        <v>211</v>
      </c>
      <c r="E1655" s="2" t="s">
        <v>201</v>
      </c>
      <c r="F1655" s="2" t="s">
        <v>535</v>
      </c>
      <c r="G1655" s="2" t="s">
        <v>455</v>
      </c>
      <c r="H1655" s="2" t="s">
        <v>456</v>
      </c>
      <c r="I1655" s="26">
        <v>45145</v>
      </c>
      <c r="J1655" s="2">
        <v>50</v>
      </c>
      <c r="K1655" s="2" t="s">
        <v>177</v>
      </c>
      <c r="L1655" s="22">
        <v>1050</v>
      </c>
      <c r="M1655" s="22">
        <v>52500</v>
      </c>
      <c r="N1655" s="18">
        <v>56.15</v>
      </c>
      <c r="O1655" s="26">
        <v>45685</v>
      </c>
      <c r="P1655" s="2" t="s">
        <v>2105</v>
      </c>
      <c r="Q1655" s="2" t="s">
        <v>806</v>
      </c>
    </row>
    <row r="1656" spans="2:17" x14ac:dyDescent="0.25">
      <c r="B1656" s="2" t="s">
        <v>2461</v>
      </c>
      <c r="C1656" s="2" t="s">
        <v>210</v>
      </c>
      <c r="D1656" s="2" t="s">
        <v>211</v>
      </c>
      <c r="E1656" s="2" t="s">
        <v>201</v>
      </c>
      <c r="F1656" s="2" t="s">
        <v>535</v>
      </c>
      <c r="G1656" s="2" t="s">
        <v>455</v>
      </c>
      <c r="H1656" s="2" t="s">
        <v>456</v>
      </c>
      <c r="I1656" s="26">
        <v>45207</v>
      </c>
      <c r="J1656" s="2">
        <v>54</v>
      </c>
      <c r="K1656" s="2" t="s">
        <v>177</v>
      </c>
      <c r="L1656" s="22">
        <v>1050</v>
      </c>
      <c r="M1656" s="22">
        <v>56700</v>
      </c>
      <c r="N1656" s="18">
        <v>60.64</v>
      </c>
      <c r="O1656" s="26">
        <v>45747</v>
      </c>
      <c r="P1656" s="2" t="s">
        <v>2105</v>
      </c>
      <c r="Q1656" s="2" t="s">
        <v>814</v>
      </c>
    </row>
    <row r="1657" spans="2:17" x14ac:dyDescent="0.25">
      <c r="B1657" s="2" t="s">
        <v>2462</v>
      </c>
      <c r="C1657" s="2" t="s">
        <v>210</v>
      </c>
      <c r="D1657" s="2" t="s">
        <v>211</v>
      </c>
      <c r="E1657" s="2" t="s">
        <v>201</v>
      </c>
      <c r="F1657" s="2" t="s">
        <v>535</v>
      </c>
      <c r="G1657" s="2" t="s">
        <v>455</v>
      </c>
      <c r="H1657" s="2" t="s">
        <v>456</v>
      </c>
      <c r="I1657" s="26">
        <v>45275</v>
      </c>
      <c r="J1657" s="2">
        <v>67</v>
      </c>
      <c r="K1657" s="2" t="s">
        <v>177</v>
      </c>
      <c r="L1657" s="22">
        <v>1050</v>
      </c>
      <c r="M1657" s="22">
        <v>70350</v>
      </c>
      <c r="N1657" s="18">
        <v>75.239999999999995</v>
      </c>
      <c r="O1657" s="26">
        <v>45815</v>
      </c>
      <c r="P1657" s="2" t="s">
        <v>2105</v>
      </c>
      <c r="Q1657" s="2" t="s">
        <v>825</v>
      </c>
    </row>
    <row r="1658" spans="2:17" x14ac:dyDescent="0.25">
      <c r="B1658" s="2" t="s">
        <v>2463</v>
      </c>
      <c r="C1658" s="2" t="s">
        <v>210</v>
      </c>
      <c r="D1658" s="2" t="s">
        <v>211</v>
      </c>
      <c r="E1658" s="2" t="s">
        <v>201</v>
      </c>
      <c r="F1658" s="2" t="s">
        <v>535</v>
      </c>
      <c r="G1658" s="2" t="s">
        <v>455</v>
      </c>
      <c r="H1658" s="2" t="s">
        <v>456</v>
      </c>
      <c r="I1658" s="26">
        <v>45338</v>
      </c>
      <c r="J1658" s="2">
        <v>48</v>
      </c>
      <c r="K1658" s="2" t="s">
        <v>177</v>
      </c>
      <c r="L1658" s="22">
        <v>1050</v>
      </c>
      <c r="M1658" s="22">
        <v>50400</v>
      </c>
      <c r="N1658" s="18">
        <v>53.9</v>
      </c>
      <c r="O1658" s="26">
        <v>45878</v>
      </c>
      <c r="P1658" s="2" t="s">
        <v>2105</v>
      </c>
      <c r="Q1658" s="2" t="s">
        <v>825</v>
      </c>
    </row>
    <row r="1659" spans="2:17" x14ac:dyDescent="0.25">
      <c r="B1659" s="2" t="s">
        <v>2464</v>
      </c>
      <c r="C1659" s="2" t="s">
        <v>210</v>
      </c>
      <c r="D1659" s="2" t="s">
        <v>211</v>
      </c>
      <c r="E1659" s="2" t="s">
        <v>201</v>
      </c>
      <c r="F1659" s="2" t="s">
        <v>535</v>
      </c>
      <c r="G1659" s="2" t="s">
        <v>455</v>
      </c>
      <c r="H1659" s="2" t="s">
        <v>456</v>
      </c>
      <c r="I1659" s="26">
        <v>45404</v>
      </c>
      <c r="J1659" s="2">
        <v>45</v>
      </c>
      <c r="K1659" s="2" t="s">
        <v>177</v>
      </c>
      <c r="L1659" s="22">
        <v>1050</v>
      </c>
      <c r="M1659" s="22">
        <v>47250</v>
      </c>
      <c r="N1659" s="18">
        <v>50.53</v>
      </c>
      <c r="O1659" s="26">
        <v>45944</v>
      </c>
      <c r="P1659" s="2" t="s">
        <v>2105</v>
      </c>
      <c r="Q1659" s="2" t="s">
        <v>836</v>
      </c>
    </row>
    <row r="1660" spans="2:17" x14ac:dyDescent="0.25">
      <c r="B1660" s="2" t="s">
        <v>2465</v>
      </c>
      <c r="C1660" s="2" t="s">
        <v>210</v>
      </c>
      <c r="D1660" s="2" t="s">
        <v>211</v>
      </c>
      <c r="E1660" s="2" t="s">
        <v>201</v>
      </c>
      <c r="F1660" s="2" t="s">
        <v>535</v>
      </c>
      <c r="G1660" s="2" t="s">
        <v>455</v>
      </c>
      <c r="H1660" s="2" t="s">
        <v>456</v>
      </c>
      <c r="I1660" s="26">
        <v>45470</v>
      </c>
      <c r="J1660" s="2">
        <v>54</v>
      </c>
      <c r="K1660" s="2" t="s">
        <v>177</v>
      </c>
      <c r="L1660" s="22">
        <v>1050</v>
      </c>
      <c r="M1660" s="22">
        <v>56700</v>
      </c>
      <c r="N1660" s="18">
        <v>60.64</v>
      </c>
      <c r="O1660" s="26">
        <v>46010</v>
      </c>
      <c r="P1660" s="2" t="s">
        <v>2105</v>
      </c>
      <c r="Q1660" s="2" t="s">
        <v>806</v>
      </c>
    </row>
    <row r="1661" spans="2:17" x14ac:dyDescent="0.25">
      <c r="B1661" s="2" t="s">
        <v>2466</v>
      </c>
      <c r="C1661" s="2" t="s">
        <v>210</v>
      </c>
      <c r="D1661" s="2" t="s">
        <v>211</v>
      </c>
      <c r="E1661" s="2" t="s">
        <v>201</v>
      </c>
      <c r="F1661" s="2" t="s">
        <v>535</v>
      </c>
      <c r="G1661" s="2" t="s">
        <v>455</v>
      </c>
      <c r="H1661" s="2" t="s">
        <v>456</v>
      </c>
      <c r="I1661" s="26">
        <v>45526</v>
      </c>
      <c r="J1661" s="2">
        <v>43</v>
      </c>
      <c r="K1661" s="2" t="s">
        <v>177</v>
      </c>
      <c r="L1661" s="22">
        <v>1050</v>
      </c>
      <c r="M1661" s="22">
        <v>45150</v>
      </c>
      <c r="N1661" s="18">
        <v>48.29</v>
      </c>
      <c r="O1661" s="26">
        <v>46066</v>
      </c>
      <c r="P1661" s="2" t="s">
        <v>2105</v>
      </c>
      <c r="Q1661" s="2" t="s">
        <v>806</v>
      </c>
    </row>
    <row r="1662" spans="2:17" x14ac:dyDescent="0.25">
      <c r="B1662" s="2" t="s">
        <v>2467</v>
      </c>
      <c r="C1662" s="2" t="s">
        <v>210</v>
      </c>
      <c r="D1662" s="2" t="s">
        <v>211</v>
      </c>
      <c r="E1662" s="2" t="s">
        <v>201</v>
      </c>
      <c r="F1662" s="2" t="s">
        <v>535</v>
      </c>
      <c r="G1662" s="2" t="s">
        <v>455</v>
      </c>
      <c r="H1662" s="2" t="s">
        <v>456</v>
      </c>
      <c r="I1662" s="26">
        <v>45568</v>
      </c>
      <c r="J1662" s="2">
        <v>45</v>
      </c>
      <c r="K1662" s="2" t="s">
        <v>177</v>
      </c>
      <c r="L1662" s="22">
        <v>1050</v>
      </c>
      <c r="M1662" s="22">
        <v>47250</v>
      </c>
      <c r="N1662" s="18">
        <v>50.53</v>
      </c>
      <c r="O1662" s="26">
        <v>46108</v>
      </c>
      <c r="P1662" s="2" t="s">
        <v>2105</v>
      </c>
      <c r="Q1662" s="2" t="s">
        <v>814</v>
      </c>
    </row>
    <row r="1663" spans="2:17" x14ac:dyDescent="0.25">
      <c r="B1663" s="2" t="s">
        <v>2468</v>
      </c>
      <c r="C1663" s="2" t="s">
        <v>210</v>
      </c>
      <c r="D1663" s="2" t="s">
        <v>211</v>
      </c>
      <c r="E1663" s="2" t="s">
        <v>201</v>
      </c>
      <c r="F1663" s="2" t="s">
        <v>535</v>
      </c>
      <c r="G1663" s="2" t="s">
        <v>455</v>
      </c>
      <c r="H1663" s="2" t="s">
        <v>456</v>
      </c>
      <c r="I1663" s="26">
        <v>45618</v>
      </c>
      <c r="J1663" s="2">
        <v>52</v>
      </c>
      <c r="K1663" s="2" t="s">
        <v>177</v>
      </c>
      <c r="L1663" s="22">
        <v>1050</v>
      </c>
      <c r="M1663" s="22">
        <v>54600</v>
      </c>
      <c r="N1663" s="18">
        <v>58.4</v>
      </c>
      <c r="O1663" s="26">
        <v>46158</v>
      </c>
      <c r="P1663" s="2" t="s">
        <v>2105</v>
      </c>
      <c r="Q1663" s="2" t="s">
        <v>814</v>
      </c>
    </row>
    <row r="1664" spans="2:17" x14ac:dyDescent="0.25">
      <c r="B1664" s="2" t="s">
        <v>2469</v>
      </c>
      <c r="C1664" s="2" t="s">
        <v>210</v>
      </c>
      <c r="D1664" s="2" t="s">
        <v>211</v>
      </c>
      <c r="E1664" s="2" t="s">
        <v>201</v>
      </c>
      <c r="F1664" s="2" t="s">
        <v>535</v>
      </c>
      <c r="G1664" s="2" t="s">
        <v>455</v>
      </c>
      <c r="H1664" s="2" t="s">
        <v>456</v>
      </c>
      <c r="I1664" s="26">
        <v>45677</v>
      </c>
      <c r="J1664" s="2">
        <v>58</v>
      </c>
      <c r="K1664" s="2" t="s">
        <v>177</v>
      </c>
      <c r="L1664" s="22">
        <v>1050</v>
      </c>
      <c r="M1664" s="22">
        <v>60900</v>
      </c>
      <c r="N1664" s="18">
        <v>65.13</v>
      </c>
      <c r="O1664" s="26">
        <v>46217</v>
      </c>
      <c r="P1664" s="2" t="s">
        <v>2105</v>
      </c>
      <c r="Q1664" s="2" t="s">
        <v>825</v>
      </c>
    </row>
    <row r="1665" spans="2:17" x14ac:dyDescent="0.25">
      <c r="B1665" s="2" t="s">
        <v>2470</v>
      </c>
      <c r="C1665" s="2" t="s">
        <v>210</v>
      </c>
      <c r="D1665" s="2" t="s">
        <v>211</v>
      </c>
      <c r="E1665" s="2" t="s">
        <v>201</v>
      </c>
      <c r="F1665" s="2" t="s">
        <v>535</v>
      </c>
      <c r="G1665" s="2" t="s">
        <v>455</v>
      </c>
      <c r="H1665" s="2" t="s">
        <v>456</v>
      </c>
      <c r="I1665" s="26">
        <v>45740</v>
      </c>
      <c r="J1665" s="2">
        <v>52</v>
      </c>
      <c r="K1665" s="2" t="s">
        <v>177</v>
      </c>
      <c r="L1665" s="22">
        <v>1050</v>
      </c>
      <c r="M1665" s="22">
        <v>54600</v>
      </c>
      <c r="N1665" s="18">
        <v>58.4</v>
      </c>
      <c r="O1665" s="26">
        <v>46280</v>
      </c>
      <c r="P1665" s="2" t="s">
        <v>2105</v>
      </c>
      <c r="Q1665" s="2" t="s">
        <v>836</v>
      </c>
    </row>
    <row r="1666" spans="2:17" x14ac:dyDescent="0.25">
      <c r="B1666" s="2" t="s">
        <v>2471</v>
      </c>
      <c r="C1666" s="2" t="s">
        <v>210</v>
      </c>
      <c r="D1666" s="2" t="s">
        <v>211</v>
      </c>
      <c r="E1666" s="2" t="s">
        <v>201</v>
      </c>
      <c r="F1666" s="2" t="s">
        <v>535</v>
      </c>
      <c r="G1666" s="2" t="s">
        <v>455</v>
      </c>
      <c r="H1666" s="2" t="s">
        <v>456</v>
      </c>
      <c r="I1666" s="26">
        <v>45800</v>
      </c>
      <c r="J1666" s="2">
        <v>52</v>
      </c>
      <c r="K1666" s="2" t="s">
        <v>177</v>
      </c>
      <c r="L1666" s="22">
        <v>1050</v>
      </c>
      <c r="M1666" s="22">
        <v>54600</v>
      </c>
      <c r="N1666" s="18">
        <v>58.4</v>
      </c>
      <c r="O1666" s="26">
        <v>46340</v>
      </c>
      <c r="P1666" s="2" t="s">
        <v>2105</v>
      </c>
      <c r="Q1666" s="2" t="s">
        <v>836</v>
      </c>
    </row>
    <row r="1667" spans="2:17" x14ac:dyDescent="0.25">
      <c r="B1667" s="2" t="s">
        <v>2472</v>
      </c>
      <c r="C1667" s="2" t="s">
        <v>212</v>
      </c>
      <c r="D1667" s="2" t="s">
        <v>213</v>
      </c>
      <c r="E1667" s="2" t="s">
        <v>201</v>
      </c>
      <c r="F1667" s="2" t="s">
        <v>535</v>
      </c>
      <c r="G1667" s="2" t="s">
        <v>455</v>
      </c>
      <c r="H1667" s="2" t="s">
        <v>456</v>
      </c>
      <c r="I1667" s="26">
        <v>45141</v>
      </c>
      <c r="J1667" s="2">
        <v>51</v>
      </c>
      <c r="K1667" s="2" t="s">
        <v>177</v>
      </c>
      <c r="L1667" s="22">
        <v>1050</v>
      </c>
      <c r="M1667" s="22">
        <v>53550</v>
      </c>
      <c r="N1667" s="18">
        <v>57.27</v>
      </c>
      <c r="O1667" s="26">
        <v>45681</v>
      </c>
      <c r="P1667" s="2" t="s">
        <v>2105</v>
      </c>
      <c r="Q1667" s="2" t="s">
        <v>806</v>
      </c>
    </row>
    <row r="1668" spans="2:17" x14ac:dyDescent="0.25">
      <c r="B1668" s="2" t="s">
        <v>2473</v>
      </c>
      <c r="C1668" s="2" t="s">
        <v>212</v>
      </c>
      <c r="D1668" s="2" t="s">
        <v>213</v>
      </c>
      <c r="E1668" s="2" t="s">
        <v>201</v>
      </c>
      <c r="F1668" s="2" t="s">
        <v>535</v>
      </c>
      <c r="G1668" s="2" t="s">
        <v>455</v>
      </c>
      <c r="H1668" s="2" t="s">
        <v>456</v>
      </c>
      <c r="I1668" s="26">
        <v>45196</v>
      </c>
      <c r="J1668" s="2">
        <v>54</v>
      </c>
      <c r="K1668" s="2" t="s">
        <v>177</v>
      </c>
      <c r="L1668" s="22">
        <v>1050</v>
      </c>
      <c r="M1668" s="22">
        <v>56700</v>
      </c>
      <c r="N1668" s="18">
        <v>60.64</v>
      </c>
      <c r="O1668" s="26">
        <v>45736</v>
      </c>
      <c r="P1668" s="2" t="s">
        <v>2105</v>
      </c>
      <c r="Q1668" s="2" t="s">
        <v>814</v>
      </c>
    </row>
    <row r="1669" spans="2:17" x14ac:dyDescent="0.25">
      <c r="B1669" s="2" t="s">
        <v>2474</v>
      </c>
      <c r="C1669" s="2" t="s">
        <v>212</v>
      </c>
      <c r="D1669" s="2" t="s">
        <v>213</v>
      </c>
      <c r="E1669" s="2" t="s">
        <v>201</v>
      </c>
      <c r="F1669" s="2" t="s">
        <v>535</v>
      </c>
      <c r="G1669" s="2" t="s">
        <v>455</v>
      </c>
      <c r="H1669" s="2" t="s">
        <v>456</v>
      </c>
      <c r="I1669" s="26">
        <v>45251</v>
      </c>
      <c r="J1669" s="2">
        <v>51</v>
      </c>
      <c r="K1669" s="2" t="s">
        <v>177</v>
      </c>
      <c r="L1669" s="22">
        <v>1050</v>
      </c>
      <c r="M1669" s="22">
        <v>53550</v>
      </c>
      <c r="N1669" s="18">
        <v>57.27</v>
      </c>
      <c r="O1669" s="26">
        <v>45791</v>
      </c>
      <c r="P1669" s="2" t="s">
        <v>2105</v>
      </c>
      <c r="Q1669" s="2" t="s">
        <v>814</v>
      </c>
    </row>
    <row r="1670" spans="2:17" x14ac:dyDescent="0.25">
      <c r="B1670" s="2" t="s">
        <v>2475</v>
      </c>
      <c r="C1670" s="2" t="s">
        <v>212</v>
      </c>
      <c r="D1670" s="2" t="s">
        <v>213</v>
      </c>
      <c r="E1670" s="2" t="s">
        <v>201</v>
      </c>
      <c r="F1670" s="2" t="s">
        <v>535</v>
      </c>
      <c r="G1670" s="2" t="s">
        <v>455</v>
      </c>
      <c r="H1670" s="2" t="s">
        <v>456</v>
      </c>
      <c r="I1670" s="26">
        <v>45328</v>
      </c>
      <c r="J1670" s="2">
        <v>56</v>
      </c>
      <c r="K1670" s="2" t="s">
        <v>177</v>
      </c>
      <c r="L1670" s="22">
        <v>1050</v>
      </c>
      <c r="M1670" s="22">
        <v>58800</v>
      </c>
      <c r="N1670" s="18">
        <v>62.89</v>
      </c>
      <c r="O1670" s="26">
        <v>45868</v>
      </c>
      <c r="P1670" s="2" t="s">
        <v>2105</v>
      </c>
      <c r="Q1670" s="2" t="s">
        <v>825</v>
      </c>
    </row>
    <row r="1671" spans="2:17" x14ac:dyDescent="0.25">
      <c r="B1671" s="2" t="s">
        <v>2476</v>
      </c>
      <c r="C1671" s="2" t="s">
        <v>212</v>
      </c>
      <c r="D1671" s="2" t="s">
        <v>213</v>
      </c>
      <c r="E1671" s="2" t="s">
        <v>201</v>
      </c>
      <c r="F1671" s="2" t="s">
        <v>535</v>
      </c>
      <c r="G1671" s="2" t="s">
        <v>455</v>
      </c>
      <c r="H1671" s="2" t="s">
        <v>456</v>
      </c>
      <c r="I1671" s="26">
        <v>45384</v>
      </c>
      <c r="J1671" s="2">
        <v>48</v>
      </c>
      <c r="K1671" s="2" t="s">
        <v>177</v>
      </c>
      <c r="L1671" s="22">
        <v>1050</v>
      </c>
      <c r="M1671" s="22">
        <v>50400</v>
      </c>
      <c r="N1671" s="18">
        <v>53.9</v>
      </c>
      <c r="O1671" s="26">
        <v>45924</v>
      </c>
      <c r="P1671" s="2" t="s">
        <v>2105</v>
      </c>
      <c r="Q1671" s="2" t="s">
        <v>836</v>
      </c>
    </row>
    <row r="1672" spans="2:17" x14ac:dyDescent="0.25">
      <c r="B1672" s="2" t="s">
        <v>2477</v>
      </c>
      <c r="C1672" s="2" t="s">
        <v>212</v>
      </c>
      <c r="D1672" s="2" t="s">
        <v>213</v>
      </c>
      <c r="E1672" s="2" t="s">
        <v>201</v>
      </c>
      <c r="F1672" s="2" t="s">
        <v>535</v>
      </c>
      <c r="G1672" s="2" t="s">
        <v>455</v>
      </c>
      <c r="H1672" s="2" t="s">
        <v>456</v>
      </c>
      <c r="I1672" s="26">
        <v>45430</v>
      </c>
      <c r="J1672" s="2">
        <v>52</v>
      </c>
      <c r="K1672" s="2" t="s">
        <v>177</v>
      </c>
      <c r="L1672" s="22">
        <v>1050</v>
      </c>
      <c r="M1672" s="22">
        <v>54600</v>
      </c>
      <c r="N1672" s="18">
        <v>58.4</v>
      </c>
      <c r="O1672" s="26">
        <v>45970</v>
      </c>
      <c r="P1672" s="2" t="s">
        <v>2105</v>
      </c>
      <c r="Q1672" s="2" t="s">
        <v>836</v>
      </c>
    </row>
    <row r="1673" spans="2:17" x14ac:dyDescent="0.25">
      <c r="B1673" s="2" t="s">
        <v>2478</v>
      </c>
      <c r="C1673" s="2" t="s">
        <v>212</v>
      </c>
      <c r="D1673" s="2" t="s">
        <v>213</v>
      </c>
      <c r="E1673" s="2" t="s">
        <v>201</v>
      </c>
      <c r="F1673" s="2" t="s">
        <v>535</v>
      </c>
      <c r="G1673" s="2" t="s">
        <v>455</v>
      </c>
      <c r="H1673" s="2" t="s">
        <v>456</v>
      </c>
      <c r="I1673" s="26">
        <v>45487</v>
      </c>
      <c r="J1673" s="2">
        <v>46</v>
      </c>
      <c r="K1673" s="2" t="s">
        <v>177</v>
      </c>
      <c r="L1673" s="22">
        <v>1050</v>
      </c>
      <c r="M1673" s="22">
        <v>48300</v>
      </c>
      <c r="N1673" s="18">
        <v>51.66</v>
      </c>
      <c r="O1673" s="26">
        <v>46027</v>
      </c>
      <c r="P1673" s="2" t="s">
        <v>2105</v>
      </c>
      <c r="Q1673" s="2" t="s">
        <v>806</v>
      </c>
    </row>
    <row r="1674" spans="2:17" x14ac:dyDescent="0.25">
      <c r="B1674" s="2" t="s">
        <v>2479</v>
      </c>
      <c r="C1674" s="2" t="s">
        <v>212</v>
      </c>
      <c r="D1674" s="2" t="s">
        <v>213</v>
      </c>
      <c r="E1674" s="2" t="s">
        <v>201</v>
      </c>
      <c r="F1674" s="2" t="s">
        <v>535</v>
      </c>
      <c r="G1674" s="2" t="s">
        <v>455</v>
      </c>
      <c r="H1674" s="2" t="s">
        <v>456</v>
      </c>
      <c r="I1674" s="26">
        <v>45535</v>
      </c>
      <c r="J1674" s="2">
        <v>44</v>
      </c>
      <c r="K1674" s="2" t="s">
        <v>177</v>
      </c>
      <c r="L1674" s="22">
        <v>1050</v>
      </c>
      <c r="M1674" s="22">
        <v>46200</v>
      </c>
      <c r="N1674" s="18">
        <v>49.41</v>
      </c>
      <c r="O1674" s="26">
        <v>46075</v>
      </c>
      <c r="P1674" s="2" t="s">
        <v>2105</v>
      </c>
      <c r="Q1674" s="2" t="s">
        <v>806</v>
      </c>
    </row>
    <row r="1675" spans="2:17" x14ac:dyDescent="0.25">
      <c r="B1675" s="2" t="s">
        <v>2480</v>
      </c>
      <c r="C1675" s="2" t="s">
        <v>212</v>
      </c>
      <c r="D1675" s="2" t="s">
        <v>213</v>
      </c>
      <c r="E1675" s="2" t="s">
        <v>201</v>
      </c>
      <c r="F1675" s="2" t="s">
        <v>535</v>
      </c>
      <c r="G1675" s="2" t="s">
        <v>455</v>
      </c>
      <c r="H1675" s="2" t="s">
        <v>456</v>
      </c>
      <c r="I1675" s="26">
        <v>45598</v>
      </c>
      <c r="J1675" s="2">
        <v>46</v>
      </c>
      <c r="K1675" s="2" t="s">
        <v>177</v>
      </c>
      <c r="L1675" s="22">
        <v>1050</v>
      </c>
      <c r="M1675" s="22">
        <v>48300</v>
      </c>
      <c r="N1675" s="18">
        <v>51.66</v>
      </c>
      <c r="O1675" s="26">
        <v>46138</v>
      </c>
      <c r="P1675" s="2" t="s">
        <v>2105</v>
      </c>
      <c r="Q1675" s="2" t="s">
        <v>814</v>
      </c>
    </row>
    <row r="1676" spans="2:17" x14ac:dyDescent="0.25">
      <c r="B1676" s="2" t="s">
        <v>2481</v>
      </c>
      <c r="C1676" s="2" t="s">
        <v>212</v>
      </c>
      <c r="D1676" s="2" t="s">
        <v>213</v>
      </c>
      <c r="E1676" s="2" t="s">
        <v>201</v>
      </c>
      <c r="F1676" s="2" t="s">
        <v>535</v>
      </c>
      <c r="G1676" s="2" t="s">
        <v>455</v>
      </c>
      <c r="H1676" s="2" t="s">
        <v>456</v>
      </c>
      <c r="I1676" s="26">
        <v>45660</v>
      </c>
      <c r="J1676" s="2">
        <v>56</v>
      </c>
      <c r="K1676" s="2" t="s">
        <v>177</v>
      </c>
      <c r="L1676" s="22">
        <v>1050</v>
      </c>
      <c r="M1676" s="22">
        <v>58800</v>
      </c>
      <c r="N1676" s="18">
        <v>62.89</v>
      </c>
      <c r="O1676" s="26">
        <v>46200</v>
      </c>
      <c r="P1676" s="2" t="s">
        <v>2105</v>
      </c>
      <c r="Q1676" s="2" t="s">
        <v>825</v>
      </c>
    </row>
    <row r="1677" spans="2:17" x14ac:dyDescent="0.25">
      <c r="B1677" s="2" t="s">
        <v>2482</v>
      </c>
      <c r="C1677" s="2" t="s">
        <v>212</v>
      </c>
      <c r="D1677" s="2" t="s">
        <v>213</v>
      </c>
      <c r="E1677" s="2" t="s">
        <v>201</v>
      </c>
      <c r="F1677" s="2" t="s">
        <v>535</v>
      </c>
      <c r="G1677" s="2" t="s">
        <v>455</v>
      </c>
      <c r="H1677" s="2" t="s">
        <v>456</v>
      </c>
      <c r="I1677" s="26">
        <v>45715</v>
      </c>
      <c r="J1677" s="2">
        <v>46</v>
      </c>
      <c r="K1677" s="2" t="s">
        <v>177</v>
      </c>
      <c r="L1677" s="22">
        <v>1050</v>
      </c>
      <c r="M1677" s="22">
        <v>48300</v>
      </c>
      <c r="N1677" s="18">
        <v>51.66</v>
      </c>
      <c r="O1677" s="26">
        <v>46255</v>
      </c>
      <c r="P1677" s="2" t="s">
        <v>2105</v>
      </c>
      <c r="Q1677" s="2" t="s">
        <v>825</v>
      </c>
    </row>
    <row r="1678" spans="2:17" x14ac:dyDescent="0.25">
      <c r="B1678" s="2" t="s">
        <v>2483</v>
      </c>
      <c r="C1678" s="2" t="s">
        <v>212</v>
      </c>
      <c r="D1678" s="2" t="s">
        <v>213</v>
      </c>
      <c r="E1678" s="2" t="s">
        <v>201</v>
      </c>
      <c r="F1678" s="2" t="s">
        <v>535</v>
      </c>
      <c r="G1678" s="2" t="s">
        <v>455</v>
      </c>
      <c r="H1678" s="2" t="s">
        <v>456</v>
      </c>
      <c r="I1678" s="26">
        <v>45768</v>
      </c>
      <c r="J1678" s="2">
        <v>56</v>
      </c>
      <c r="K1678" s="2" t="s">
        <v>177</v>
      </c>
      <c r="L1678" s="22">
        <v>1050</v>
      </c>
      <c r="M1678" s="22">
        <v>58800</v>
      </c>
      <c r="N1678" s="18">
        <v>62.89</v>
      </c>
      <c r="O1678" s="26">
        <v>46308</v>
      </c>
      <c r="P1678" s="2" t="s">
        <v>2105</v>
      </c>
      <c r="Q1678" s="2" t="s">
        <v>836</v>
      </c>
    </row>
    <row r="1679" spans="2:17" x14ac:dyDescent="0.25">
      <c r="B1679" s="2" t="s">
        <v>2484</v>
      </c>
      <c r="C1679" s="2" t="s">
        <v>214</v>
      </c>
      <c r="D1679" s="2" t="s">
        <v>215</v>
      </c>
      <c r="E1679" s="2" t="s">
        <v>201</v>
      </c>
      <c r="F1679" s="2" t="s">
        <v>535</v>
      </c>
      <c r="G1679" s="2" t="s">
        <v>455</v>
      </c>
      <c r="H1679" s="2" t="s">
        <v>456</v>
      </c>
      <c r="I1679" s="26">
        <v>45142</v>
      </c>
      <c r="J1679" s="2">
        <v>46</v>
      </c>
      <c r="K1679" s="2" t="s">
        <v>177</v>
      </c>
      <c r="L1679" s="22">
        <v>1000</v>
      </c>
      <c r="M1679" s="22">
        <v>46000</v>
      </c>
      <c r="N1679" s="18">
        <v>49.2</v>
      </c>
      <c r="O1679" s="26">
        <v>45682</v>
      </c>
      <c r="P1679" s="2" t="s">
        <v>2105</v>
      </c>
      <c r="Q1679" s="2" t="s">
        <v>806</v>
      </c>
    </row>
    <row r="1680" spans="2:17" x14ac:dyDescent="0.25">
      <c r="B1680" s="2" t="s">
        <v>2485</v>
      </c>
      <c r="C1680" s="2" t="s">
        <v>214</v>
      </c>
      <c r="D1680" s="2" t="s">
        <v>215</v>
      </c>
      <c r="E1680" s="2" t="s">
        <v>201</v>
      </c>
      <c r="F1680" s="2" t="s">
        <v>535</v>
      </c>
      <c r="G1680" s="2" t="s">
        <v>455</v>
      </c>
      <c r="H1680" s="2" t="s">
        <v>456</v>
      </c>
      <c r="I1680" s="26">
        <v>45197</v>
      </c>
      <c r="J1680" s="2">
        <v>58</v>
      </c>
      <c r="K1680" s="2" t="s">
        <v>177</v>
      </c>
      <c r="L1680" s="22">
        <v>1000</v>
      </c>
      <c r="M1680" s="22">
        <v>58000</v>
      </c>
      <c r="N1680" s="18">
        <v>62.03</v>
      </c>
      <c r="O1680" s="26">
        <v>45737</v>
      </c>
      <c r="P1680" s="2" t="s">
        <v>2105</v>
      </c>
      <c r="Q1680" s="2" t="s">
        <v>814</v>
      </c>
    </row>
    <row r="1681" spans="2:17" x14ac:dyDescent="0.25">
      <c r="B1681" s="2" t="s">
        <v>2486</v>
      </c>
      <c r="C1681" s="2" t="s">
        <v>214</v>
      </c>
      <c r="D1681" s="2" t="s">
        <v>215</v>
      </c>
      <c r="E1681" s="2" t="s">
        <v>201</v>
      </c>
      <c r="F1681" s="2" t="s">
        <v>535</v>
      </c>
      <c r="G1681" s="2" t="s">
        <v>455</v>
      </c>
      <c r="H1681" s="2" t="s">
        <v>456</v>
      </c>
      <c r="I1681" s="26">
        <v>45237</v>
      </c>
      <c r="J1681" s="2">
        <v>53</v>
      </c>
      <c r="K1681" s="2" t="s">
        <v>177</v>
      </c>
      <c r="L1681" s="22">
        <v>1000</v>
      </c>
      <c r="M1681" s="22">
        <v>53000</v>
      </c>
      <c r="N1681" s="18">
        <v>56.68</v>
      </c>
      <c r="O1681" s="26">
        <v>45777</v>
      </c>
      <c r="P1681" s="2" t="s">
        <v>2105</v>
      </c>
      <c r="Q1681" s="2" t="s">
        <v>814</v>
      </c>
    </row>
    <row r="1682" spans="2:17" x14ac:dyDescent="0.25">
      <c r="B1682" s="2" t="s">
        <v>2487</v>
      </c>
      <c r="C1682" s="2" t="s">
        <v>214</v>
      </c>
      <c r="D1682" s="2" t="s">
        <v>215</v>
      </c>
      <c r="E1682" s="2" t="s">
        <v>201</v>
      </c>
      <c r="F1682" s="2" t="s">
        <v>535</v>
      </c>
      <c r="G1682" s="2" t="s">
        <v>455</v>
      </c>
      <c r="H1682" s="2" t="s">
        <v>456</v>
      </c>
      <c r="I1682" s="26">
        <v>45296</v>
      </c>
      <c r="J1682" s="2">
        <v>43</v>
      </c>
      <c r="K1682" s="2" t="s">
        <v>177</v>
      </c>
      <c r="L1682" s="22">
        <v>1000</v>
      </c>
      <c r="M1682" s="22">
        <v>43000</v>
      </c>
      <c r="N1682" s="18">
        <v>45.99</v>
      </c>
      <c r="O1682" s="26">
        <v>45836</v>
      </c>
      <c r="P1682" s="2" t="s">
        <v>2105</v>
      </c>
      <c r="Q1682" s="2" t="s">
        <v>825</v>
      </c>
    </row>
    <row r="1683" spans="2:17" x14ac:dyDescent="0.25">
      <c r="B1683" s="2" t="s">
        <v>2488</v>
      </c>
      <c r="C1683" s="2" t="s">
        <v>214</v>
      </c>
      <c r="D1683" s="2" t="s">
        <v>215</v>
      </c>
      <c r="E1683" s="2" t="s">
        <v>201</v>
      </c>
      <c r="F1683" s="2" t="s">
        <v>535</v>
      </c>
      <c r="G1683" s="2" t="s">
        <v>455</v>
      </c>
      <c r="H1683" s="2" t="s">
        <v>456</v>
      </c>
      <c r="I1683" s="26">
        <v>45363</v>
      </c>
      <c r="J1683" s="2">
        <v>49</v>
      </c>
      <c r="K1683" s="2" t="s">
        <v>177</v>
      </c>
      <c r="L1683" s="22">
        <v>1000</v>
      </c>
      <c r="M1683" s="22">
        <v>49000</v>
      </c>
      <c r="N1683" s="18">
        <v>52.41</v>
      </c>
      <c r="O1683" s="26">
        <v>45903</v>
      </c>
      <c r="P1683" s="2" t="s">
        <v>2105</v>
      </c>
      <c r="Q1683" s="2" t="s">
        <v>836</v>
      </c>
    </row>
    <row r="1684" spans="2:17" x14ac:dyDescent="0.25">
      <c r="B1684" s="2" t="s">
        <v>2489</v>
      </c>
      <c r="C1684" s="2" t="s">
        <v>214</v>
      </c>
      <c r="D1684" s="2" t="s">
        <v>215</v>
      </c>
      <c r="E1684" s="2" t="s">
        <v>201</v>
      </c>
      <c r="F1684" s="2" t="s">
        <v>537</v>
      </c>
      <c r="G1684" s="2" t="s">
        <v>460</v>
      </c>
      <c r="H1684" s="2" t="s">
        <v>461</v>
      </c>
      <c r="I1684" s="26">
        <v>45444</v>
      </c>
      <c r="J1684" s="2">
        <v>47</v>
      </c>
      <c r="K1684" s="2" t="s">
        <v>177</v>
      </c>
      <c r="L1684" s="22">
        <v>1000</v>
      </c>
      <c r="M1684" s="22">
        <v>47000</v>
      </c>
      <c r="N1684" s="18">
        <v>50.27</v>
      </c>
      <c r="O1684" s="26">
        <v>45984</v>
      </c>
      <c r="P1684" s="2" t="s">
        <v>2105</v>
      </c>
      <c r="Q1684" s="2" t="s">
        <v>806</v>
      </c>
    </row>
    <row r="1685" spans="2:17" x14ac:dyDescent="0.25">
      <c r="B1685" s="2" t="s">
        <v>2490</v>
      </c>
      <c r="C1685" s="2" t="s">
        <v>214</v>
      </c>
      <c r="D1685" s="2" t="s">
        <v>215</v>
      </c>
      <c r="E1685" s="2" t="s">
        <v>201</v>
      </c>
      <c r="F1685" s="2" t="s">
        <v>535</v>
      </c>
      <c r="G1685" s="2" t="s">
        <v>455</v>
      </c>
      <c r="H1685" s="2" t="s">
        <v>456</v>
      </c>
      <c r="I1685" s="26">
        <v>45506</v>
      </c>
      <c r="J1685" s="2">
        <v>45</v>
      </c>
      <c r="K1685" s="2" t="s">
        <v>177</v>
      </c>
      <c r="L1685" s="22">
        <v>1000</v>
      </c>
      <c r="M1685" s="22">
        <v>45000</v>
      </c>
      <c r="N1685" s="18">
        <v>48.13</v>
      </c>
      <c r="O1685" s="26">
        <v>46046</v>
      </c>
      <c r="P1685" s="2" t="s">
        <v>2105</v>
      </c>
      <c r="Q1685" s="2" t="s">
        <v>806</v>
      </c>
    </row>
    <row r="1686" spans="2:17" x14ac:dyDescent="0.25">
      <c r="B1686" s="2" t="s">
        <v>2491</v>
      </c>
      <c r="C1686" s="2" t="s">
        <v>214</v>
      </c>
      <c r="D1686" s="2" t="s">
        <v>215</v>
      </c>
      <c r="E1686" s="2" t="s">
        <v>201</v>
      </c>
      <c r="F1686" s="2" t="s">
        <v>535</v>
      </c>
      <c r="G1686" s="2" t="s">
        <v>455</v>
      </c>
      <c r="H1686" s="2" t="s">
        <v>456</v>
      </c>
      <c r="I1686" s="26">
        <v>45563</v>
      </c>
      <c r="J1686" s="2">
        <v>64</v>
      </c>
      <c r="K1686" s="2" t="s">
        <v>177</v>
      </c>
      <c r="L1686" s="22">
        <v>1000</v>
      </c>
      <c r="M1686" s="22">
        <v>64000</v>
      </c>
      <c r="N1686" s="18">
        <v>68.45</v>
      </c>
      <c r="O1686" s="26">
        <v>46103</v>
      </c>
      <c r="P1686" s="2" t="s">
        <v>2105</v>
      </c>
      <c r="Q1686" s="2" t="s">
        <v>814</v>
      </c>
    </row>
    <row r="1687" spans="2:17" x14ac:dyDescent="0.25">
      <c r="B1687" s="2" t="s">
        <v>2492</v>
      </c>
      <c r="C1687" s="2" t="s">
        <v>214</v>
      </c>
      <c r="D1687" s="2" t="s">
        <v>215</v>
      </c>
      <c r="E1687" s="2" t="s">
        <v>201</v>
      </c>
      <c r="F1687" s="2" t="s">
        <v>535</v>
      </c>
      <c r="G1687" s="2" t="s">
        <v>455</v>
      </c>
      <c r="H1687" s="2" t="s">
        <v>456</v>
      </c>
      <c r="I1687" s="26">
        <v>45641</v>
      </c>
      <c r="J1687" s="2">
        <v>70</v>
      </c>
      <c r="K1687" s="2" t="s">
        <v>177</v>
      </c>
      <c r="L1687" s="22">
        <v>1000</v>
      </c>
      <c r="M1687" s="22">
        <v>70000</v>
      </c>
      <c r="N1687" s="18">
        <v>74.87</v>
      </c>
      <c r="O1687" s="26">
        <v>46181</v>
      </c>
      <c r="P1687" s="2" t="s">
        <v>2105</v>
      </c>
      <c r="Q1687" s="2" t="s">
        <v>825</v>
      </c>
    </row>
    <row r="1688" spans="2:17" x14ac:dyDescent="0.25">
      <c r="B1688" s="2" t="s">
        <v>2493</v>
      </c>
      <c r="C1688" s="2" t="s">
        <v>214</v>
      </c>
      <c r="D1688" s="2" t="s">
        <v>215</v>
      </c>
      <c r="E1688" s="2" t="s">
        <v>201</v>
      </c>
      <c r="F1688" s="2" t="s">
        <v>535</v>
      </c>
      <c r="G1688" s="2" t="s">
        <v>455</v>
      </c>
      <c r="H1688" s="2" t="s">
        <v>456</v>
      </c>
      <c r="I1688" s="26">
        <v>45692</v>
      </c>
      <c r="J1688" s="2">
        <v>49</v>
      </c>
      <c r="K1688" s="2" t="s">
        <v>177</v>
      </c>
      <c r="L1688" s="22">
        <v>1000</v>
      </c>
      <c r="M1688" s="22">
        <v>49000</v>
      </c>
      <c r="N1688" s="18">
        <v>52.41</v>
      </c>
      <c r="O1688" s="26">
        <v>46232</v>
      </c>
      <c r="P1688" s="2" t="s">
        <v>2105</v>
      </c>
      <c r="Q1688" s="2" t="s">
        <v>825</v>
      </c>
    </row>
    <row r="1689" spans="2:17" x14ac:dyDescent="0.25">
      <c r="B1689" s="2" t="s">
        <v>2494</v>
      </c>
      <c r="C1689" s="2" t="s">
        <v>214</v>
      </c>
      <c r="D1689" s="2" t="s">
        <v>215</v>
      </c>
      <c r="E1689" s="2" t="s">
        <v>201</v>
      </c>
      <c r="F1689" s="2" t="s">
        <v>535</v>
      </c>
      <c r="G1689" s="2" t="s">
        <v>455</v>
      </c>
      <c r="H1689" s="2" t="s">
        <v>456</v>
      </c>
      <c r="I1689" s="26">
        <v>45753</v>
      </c>
      <c r="J1689" s="2">
        <v>48</v>
      </c>
      <c r="K1689" s="2" t="s">
        <v>177</v>
      </c>
      <c r="L1689" s="22">
        <v>1000</v>
      </c>
      <c r="M1689" s="22">
        <v>48000</v>
      </c>
      <c r="N1689" s="18">
        <v>51.34</v>
      </c>
      <c r="O1689" s="26">
        <v>46293</v>
      </c>
      <c r="P1689" s="2" t="s">
        <v>2105</v>
      </c>
      <c r="Q1689" s="2" t="s">
        <v>836</v>
      </c>
    </row>
    <row r="1690" spans="2:17" x14ac:dyDescent="0.25">
      <c r="B1690" s="2" t="s">
        <v>2495</v>
      </c>
      <c r="C1690" s="2" t="s">
        <v>214</v>
      </c>
      <c r="D1690" s="2" t="s">
        <v>215</v>
      </c>
      <c r="E1690" s="2" t="s">
        <v>201</v>
      </c>
      <c r="F1690" s="2" t="s">
        <v>535</v>
      </c>
      <c r="G1690" s="2" t="s">
        <v>455</v>
      </c>
      <c r="H1690" s="2" t="s">
        <v>456</v>
      </c>
      <c r="I1690" s="26">
        <v>45811</v>
      </c>
      <c r="J1690" s="2">
        <v>58</v>
      </c>
      <c r="K1690" s="2" t="s">
        <v>177</v>
      </c>
      <c r="L1690" s="22">
        <v>1000</v>
      </c>
      <c r="M1690" s="22">
        <v>58000</v>
      </c>
      <c r="N1690" s="18">
        <v>62.03</v>
      </c>
      <c r="O1690" s="26">
        <v>46351</v>
      </c>
      <c r="P1690" s="2" t="s">
        <v>2105</v>
      </c>
      <c r="Q1690" s="2" t="s">
        <v>806</v>
      </c>
    </row>
    <row r="1691" spans="2:17" x14ac:dyDescent="0.25">
      <c r="B1691" s="2" t="s">
        <v>2496</v>
      </c>
      <c r="C1691" s="2" t="s">
        <v>216</v>
      </c>
      <c r="D1691" s="2" t="s">
        <v>217</v>
      </c>
      <c r="E1691" s="2" t="s">
        <v>201</v>
      </c>
      <c r="F1691" s="2" t="s">
        <v>535</v>
      </c>
      <c r="G1691" s="2" t="s">
        <v>455</v>
      </c>
      <c r="H1691" s="2" t="s">
        <v>456</v>
      </c>
      <c r="I1691" s="26">
        <v>45125</v>
      </c>
      <c r="J1691" s="2">
        <v>73</v>
      </c>
      <c r="K1691" s="2" t="s">
        <v>177</v>
      </c>
      <c r="L1691" s="22">
        <v>1050</v>
      </c>
      <c r="M1691" s="22">
        <v>76650</v>
      </c>
      <c r="N1691" s="18">
        <v>81.98</v>
      </c>
      <c r="O1691" s="26">
        <v>45665</v>
      </c>
      <c r="P1691" s="2" t="s">
        <v>2105</v>
      </c>
      <c r="Q1691" s="2" t="s">
        <v>806</v>
      </c>
    </row>
    <row r="1692" spans="2:17" x14ac:dyDescent="0.25">
      <c r="B1692" s="2" t="s">
        <v>2497</v>
      </c>
      <c r="C1692" s="2" t="s">
        <v>216</v>
      </c>
      <c r="D1692" s="2" t="s">
        <v>217</v>
      </c>
      <c r="E1692" s="2" t="s">
        <v>201</v>
      </c>
      <c r="F1692" s="2" t="s">
        <v>535</v>
      </c>
      <c r="G1692" s="2" t="s">
        <v>455</v>
      </c>
      <c r="H1692" s="2" t="s">
        <v>456</v>
      </c>
      <c r="I1692" s="26">
        <v>45176</v>
      </c>
      <c r="J1692" s="2">
        <v>96</v>
      </c>
      <c r="K1692" s="2" t="s">
        <v>177</v>
      </c>
      <c r="L1692" s="22">
        <v>1050</v>
      </c>
      <c r="M1692" s="22">
        <v>100800</v>
      </c>
      <c r="N1692" s="18">
        <v>107.81</v>
      </c>
      <c r="O1692" s="26">
        <v>45716</v>
      </c>
      <c r="P1692" s="2" t="s">
        <v>2105</v>
      </c>
      <c r="Q1692" s="2" t="s">
        <v>814</v>
      </c>
    </row>
    <row r="1693" spans="2:17" x14ac:dyDescent="0.25">
      <c r="B1693" s="2" t="s">
        <v>2498</v>
      </c>
      <c r="C1693" s="2" t="s">
        <v>216</v>
      </c>
      <c r="D1693" s="2" t="s">
        <v>217</v>
      </c>
      <c r="E1693" s="2" t="s">
        <v>201</v>
      </c>
      <c r="F1693" s="2" t="s">
        <v>535</v>
      </c>
      <c r="G1693" s="2" t="s">
        <v>455</v>
      </c>
      <c r="H1693" s="2" t="s">
        <v>456</v>
      </c>
      <c r="I1693" s="26">
        <v>45222</v>
      </c>
      <c r="J1693" s="2">
        <v>27</v>
      </c>
      <c r="K1693" s="2" t="s">
        <v>177</v>
      </c>
      <c r="L1693" s="22">
        <v>1050</v>
      </c>
      <c r="M1693" s="22">
        <v>28350</v>
      </c>
      <c r="N1693" s="18">
        <v>30.32</v>
      </c>
      <c r="O1693" s="26">
        <v>45762</v>
      </c>
      <c r="P1693" s="2" t="s">
        <v>2105</v>
      </c>
      <c r="Q1693" s="2" t="s">
        <v>814</v>
      </c>
    </row>
    <row r="1694" spans="2:17" x14ac:dyDescent="0.25">
      <c r="B1694" s="2" t="s">
        <v>2499</v>
      </c>
      <c r="C1694" s="2" t="s">
        <v>216</v>
      </c>
      <c r="D1694" s="2" t="s">
        <v>217</v>
      </c>
      <c r="E1694" s="2" t="s">
        <v>201</v>
      </c>
      <c r="F1694" s="2" t="s">
        <v>535</v>
      </c>
      <c r="G1694" s="2" t="s">
        <v>455</v>
      </c>
      <c r="H1694" s="2" t="s">
        <v>456</v>
      </c>
      <c r="I1694" s="26">
        <v>45262</v>
      </c>
      <c r="J1694" s="2">
        <v>43</v>
      </c>
      <c r="K1694" s="2" t="s">
        <v>177</v>
      </c>
      <c r="L1694" s="22">
        <v>1050</v>
      </c>
      <c r="M1694" s="22">
        <v>45150</v>
      </c>
      <c r="N1694" s="18">
        <v>48.29</v>
      </c>
      <c r="O1694" s="26">
        <v>45802</v>
      </c>
      <c r="P1694" s="2" t="s">
        <v>2105</v>
      </c>
      <c r="Q1694" s="2" t="s">
        <v>825</v>
      </c>
    </row>
    <row r="1695" spans="2:17" x14ac:dyDescent="0.25">
      <c r="B1695" s="2" t="s">
        <v>2500</v>
      </c>
      <c r="C1695" s="2" t="s">
        <v>216</v>
      </c>
      <c r="D1695" s="2" t="s">
        <v>217</v>
      </c>
      <c r="E1695" s="2" t="s">
        <v>201</v>
      </c>
      <c r="F1695" s="2" t="s">
        <v>535</v>
      </c>
      <c r="G1695" s="2" t="s">
        <v>455</v>
      </c>
      <c r="H1695" s="2" t="s">
        <v>456</v>
      </c>
      <c r="I1695" s="26">
        <v>45322</v>
      </c>
      <c r="J1695" s="2">
        <v>27</v>
      </c>
      <c r="K1695" s="2" t="s">
        <v>177</v>
      </c>
      <c r="L1695" s="22">
        <v>1050</v>
      </c>
      <c r="M1695" s="22">
        <v>28350</v>
      </c>
      <c r="N1695" s="18">
        <v>30.32</v>
      </c>
      <c r="O1695" s="26">
        <v>45862</v>
      </c>
      <c r="P1695" s="2" t="s">
        <v>2105</v>
      </c>
      <c r="Q1695" s="2" t="s">
        <v>825</v>
      </c>
    </row>
    <row r="1696" spans="2:17" x14ac:dyDescent="0.25">
      <c r="B1696" s="2" t="s">
        <v>2501</v>
      </c>
      <c r="C1696" s="2" t="s">
        <v>216</v>
      </c>
      <c r="D1696" s="2" t="s">
        <v>217</v>
      </c>
      <c r="E1696" s="2" t="s">
        <v>201</v>
      </c>
      <c r="F1696" s="2" t="s">
        <v>535</v>
      </c>
      <c r="G1696" s="2" t="s">
        <v>455</v>
      </c>
      <c r="H1696" s="2" t="s">
        <v>456</v>
      </c>
      <c r="I1696" s="26">
        <v>45378</v>
      </c>
      <c r="J1696" s="2">
        <v>32</v>
      </c>
      <c r="K1696" s="2" t="s">
        <v>177</v>
      </c>
      <c r="L1696" s="22">
        <v>1050</v>
      </c>
      <c r="M1696" s="22">
        <v>33600</v>
      </c>
      <c r="N1696" s="18">
        <v>35.94</v>
      </c>
      <c r="O1696" s="26">
        <v>45918</v>
      </c>
      <c r="P1696" s="2" t="s">
        <v>2105</v>
      </c>
      <c r="Q1696" s="2" t="s">
        <v>836</v>
      </c>
    </row>
    <row r="1697" spans="2:17" x14ac:dyDescent="0.25">
      <c r="B1697" s="2" t="s">
        <v>2502</v>
      </c>
      <c r="C1697" s="2" t="s">
        <v>216</v>
      </c>
      <c r="D1697" s="2" t="s">
        <v>217</v>
      </c>
      <c r="E1697" s="2" t="s">
        <v>201</v>
      </c>
      <c r="F1697" s="2" t="s">
        <v>535</v>
      </c>
      <c r="G1697" s="2" t="s">
        <v>455</v>
      </c>
      <c r="H1697" s="2" t="s">
        <v>456</v>
      </c>
      <c r="I1697" s="26">
        <v>45421</v>
      </c>
      <c r="J1697" s="2">
        <v>78</v>
      </c>
      <c r="K1697" s="2" t="s">
        <v>177</v>
      </c>
      <c r="L1697" s="22">
        <v>1050</v>
      </c>
      <c r="M1697" s="22">
        <v>81900</v>
      </c>
      <c r="N1697" s="18">
        <v>87.59</v>
      </c>
      <c r="O1697" s="26">
        <v>45961</v>
      </c>
      <c r="P1697" s="2" t="s">
        <v>2105</v>
      </c>
      <c r="Q1697" s="2" t="s">
        <v>836</v>
      </c>
    </row>
    <row r="1698" spans="2:17" x14ac:dyDescent="0.25">
      <c r="B1698" s="2" t="s">
        <v>2503</v>
      </c>
      <c r="C1698" s="2" t="s">
        <v>216</v>
      </c>
      <c r="D1698" s="2" t="s">
        <v>217</v>
      </c>
      <c r="E1698" s="2" t="s">
        <v>201</v>
      </c>
      <c r="F1698" s="2" t="s">
        <v>535</v>
      </c>
      <c r="G1698" s="2" t="s">
        <v>455</v>
      </c>
      <c r="H1698" s="2" t="s">
        <v>456</v>
      </c>
      <c r="I1698" s="26">
        <v>45480</v>
      </c>
      <c r="J1698" s="2">
        <v>68</v>
      </c>
      <c r="K1698" s="2" t="s">
        <v>177</v>
      </c>
      <c r="L1698" s="22">
        <v>1050</v>
      </c>
      <c r="M1698" s="22">
        <v>71400</v>
      </c>
      <c r="N1698" s="18">
        <v>76.36</v>
      </c>
      <c r="O1698" s="26">
        <v>46020</v>
      </c>
      <c r="P1698" s="2" t="s">
        <v>2105</v>
      </c>
      <c r="Q1698" s="2" t="s">
        <v>806</v>
      </c>
    </row>
    <row r="1699" spans="2:17" x14ac:dyDescent="0.25">
      <c r="B1699" s="2" t="s">
        <v>2504</v>
      </c>
      <c r="C1699" s="2" t="s">
        <v>216</v>
      </c>
      <c r="D1699" s="2" t="s">
        <v>217</v>
      </c>
      <c r="E1699" s="2" t="s">
        <v>201</v>
      </c>
      <c r="F1699" s="2" t="s">
        <v>535</v>
      </c>
      <c r="G1699" s="2" t="s">
        <v>455</v>
      </c>
      <c r="H1699" s="2" t="s">
        <v>456</v>
      </c>
      <c r="I1699" s="26">
        <v>45557</v>
      </c>
      <c r="J1699" s="2">
        <v>98</v>
      </c>
      <c r="K1699" s="2" t="s">
        <v>177</v>
      </c>
      <c r="L1699" s="22">
        <v>1050</v>
      </c>
      <c r="M1699" s="22">
        <v>102900</v>
      </c>
      <c r="N1699" s="18">
        <v>110.05</v>
      </c>
      <c r="O1699" s="26">
        <v>46097</v>
      </c>
      <c r="P1699" s="2" t="s">
        <v>2105</v>
      </c>
      <c r="Q1699" s="2" t="s">
        <v>814</v>
      </c>
    </row>
    <row r="1700" spans="2:17" x14ac:dyDescent="0.25">
      <c r="B1700" s="2" t="s">
        <v>2505</v>
      </c>
      <c r="C1700" s="2" t="s">
        <v>216</v>
      </c>
      <c r="D1700" s="2" t="s">
        <v>217</v>
      </c>
      <c r="E1700" s="2" t="s">
        <v>201</v>
      </c>
      <c r="F1700" s="2" t="s">
        <v>535</v>
      </c>
      <c r="G1700" s="2" t="s">
        <v>455</v>
      </c>
      <c r="H1700" s="2" t="s">
        <v>456</v>
      </c>
      <c r="I1700" s="26">
        <v>45633</v>
      </c>
      <c r="J1700" s="2">
        <v>42</v>
      </c>
      <c r="K1700" s="2" t="s">
        <v>177</v>
      </c>
      <c r="L1700" s="22">
        <v>1050</v>
      </c>
      <c r="M1700" s="22">
        <v>44100</v>
      </c>
      <c r="N1700" s="18">
        <v>47.17</v>
      </c>
      <c r="O1700" s="26">
        <v>46173</v>
      </c>
      <c r="P1700" s="2" t="s">
        <v>2105</v>
      </c>
      <c r="Q1700" s="2" t="s">
        <v>825</v>
      </c>
    </row>
    <row r="1701" spans="2:17" x14ac:dyDescent="0.25">
      <c r="B1701" s="2" t="s">
        <v>2506</v>
      </c>
      <c r="C1701" s="2" t="s">
        <v>216</v>
      </c>
      <c r="D1701" s="2" t="s">
        <v>217</v>
      </c>
      <c r="E1701" s="2" t="s">
        <v>201</v>
      </c>
      <c r="F1701" s="2" t="s">
        <v>535</v>
      </c>
      <c r="G1701" s="2" t="s">
        <v>455</v>
      </c>
      <c r="H1701" s="2" t="s">
        <v>456</v>
      </c>
      <c r="I1701" s="26">
        <v>45691</v>
      </c>
      <c r="J1701" s="2">
        <v>36</v>
      </c>
      <c r="K1701" s="2" t="s">
        <v>177</v>
      </c>
      <c r="L1701" s="22">
        <v>1050</v>
      </c>
      <c r="M1701" s="22">
        <v>37800</v>
      </c>
      <c r="N1701" s="18">
        <v>40.43</v>
      </c>
      <c r="O1701" s="26">
        <v>46231</v>
      </c>
      <c r="P1701" s="2" t="s">
        <v>2105</v>
      </c>
      <c r="Q1701" s="2" t="s">
        <v>825</v>
      </c>
    </row>
    <row r="1702" spans="2:17" x14ac:dyDescent="0.25">
      <c r="B1702" s="2" t="s">
        <v>2507</v>
      </c>
      <c r="C1702" s="2" t="s">
        <v>216</v>
      </c>
      <c r="D1702" s="2" t="s">
        <v>217</v>
      </c>
      <c r="E1702" s="2" t="s">
        <v>201</v>
      </c>
      <c r="F1702" s="2" t="s">
        <v>535</v>
      </c>
      <c r="G1702" s="2" t="s">
        <v>455</v>
      </c>
      <c r="H1702" s="2" t="s">
        <v>456</v>
      </c>
      <c r="I1702" s="26">
        <v>45760</v>
      </c>
      <c r="J1702" s="2">
        <v>82</v>
      </c>
      <c r="K1702" s="2" t="s">
        <v>177</v>
      </c>
      <c r="L1702" s="22">
        <v>1050</v>
      </c>
      <c r="M1702" s="22">
        <v>86100</v>
      </c>
      <c r="N1702" s="18">
        <v>92.09</v>
      </c>
      <c r="O1702" s="26">
        <v>46300</v>
      </c>
      <c r="P1702" s="2" t="s">
        <v>2105</v>
      </c>
      <c r="Q1702" s="2" t="s">
        <v>836</v>
      </c>
    </row>
    <row r="1703" spans="2:17" x14ac:dyDescent="0.25">
      <c r="B1703" s="2" t="s">
        <v>2508</v>
      </c>
      <c r="C1703" s="2" t="s">
        <v>216</v>
      </c>
      <c r="D1703" s="2" t="s">
        <v>217</v>
      </c>
      <c r="E1703" s="2" t="s">
        <v>201</v>
      </c>
      <c r="F1703" s="2" t="s">
        <v>535</v>
      </c>
      <c r="G1703" s="2" t="s">
        <v>455</v>
      </c>
      <c r="H1703" s="2" t="s">
        <v>456</v>
      </c>
      <c r="I1703" s="26">
        <v>45828</v>
      </c>
      <c r="J1703" s="2">
        <v>82</v>
      </c>
      <c r="K1703" s="2" t="s">
        <v>177</v>
      </c>
      <c r="L1703" s="22">
        <v>1050</v>
      </c>
      <c r="M1703" s="22">
        <v>86100</v>
      </c>
      <c r="N1703" s="18">
        <v>92.09</v>
      </c>
      <c r="O1703" s="26">
        <v>46368</v>
      </c>
      <c r="P1703" s="2" t="s">
        <v>2105</v>
      </c>
      <c r="Q1703" s="2" t="s">
        <v>806</v>
      </c>
    </row>
    <row r="1704" spans="2:17" x14ac:dyDescent="0.25">
      <c r="B1704" s="2" t="s">
        <v>2509</v>
      </c>
      <c r="C1704" s="2" t="s">
        <v>218</v>
      </c>
      <c r="D1704" s="2" t="s">
        <v>219</v>
      </c>
      <c r="E1704" s="2" t="s">
        <v>201</v>
      </c>
      <c r="F1704" s="2" t="s">
        <v>535</v>
      </c>
      <c r="G1704" s="2" t="s">
        <v>455</v>
      </c>
      <c r="H1704" s="2" t="s">
        <v>456</v>
      </c>
      <c r="I1704" s="26">
        <v>45153</v>
      </c>
      <c r="J1704" s="2">
        <v>45</v>
      </c>
      <c r="K1704" s="2" t="s">
        <v>177</v>
      </c>
      <c r="L1704" s="22">
        <v>1050</v>
      </c>
      <c r="M1704" s="22">
        <v>47250</v>
      </c>
      <c r="N1704" s="18">
        <v>50.53</v>
      </c>
      <c r="O1704" s="26">
        <v>45693</v>
      </c>
      <c r="P1704" s="2" t="s">
        <v>2105</v>
      </c>
      <c r="Q1704" s="2" t="s">
        <v>806</v>
      </c>
    </row>
    <row r="1705" spans="2:17" x14ac:dyDescent="0.25">
      <c r="B1705" s="2" t="s">
        <v>2510</v>
      </c>
      <c r="C1705" s="2" t="s">
        <v>218</v>
      </c>
      <c r="D1705" s="2" t="s">
        <v>219</v>
      </c>
      <c r="E1705" s="2" t="s">
        <v>201</v>
      </c>
      <c r="F1705" s="2" t="s">
        <v>535</v>
      </c>
      <c r="G1705" s="2" t="s">
        <v>455</v>
      </c>
      <c r="H1705" s="2" t="s">
        <v>456</v>
      </c>
      <c r="I1705" s="26">
        <v>45221</v>
      </c>
      <c r="J1705" s="2">
        <v>49</v>
      </c>
      <c r="K1705" s="2" t="s">
        <v>177</v>
      </c>
      <c r="L1705" s="22">
        <v>1050</v>
      </c>
      <c r="M1705" s="22">
        <v>51450</v>
      </c>
      <c r="N1705" s="18">
        <v>55.03</v>
      </c>
      <c r="O1705" s="26">
        <v>45761</v>
      </c>
      <c r="P1705" s="2" t="s">
        <v>2105</v>
      </c>
      <c r="Q1705" s="2" t="s">
        <v>814</v>
      </c>
    </row>
    <row r="1706" spans="2:17" x14ac:dyDescent="0.25">
      <c r="B1706" s="2" t="s">
        <v>2511</v>
      </c>
      <c r="C1706" s="2" t="s">
        <v>218</v>
      </c>
      <c r="D1706" s="2" t="s">
        <v>219</v>
      </c>
      <c r="E1706" s="2" t="s">
        <v>201</v>
      </c>
      <c r="F1706" s="2" t="s">
        <v>535</v>
      </c>
      <c r="G1706" s="2" t="s">
        <v>455</v>
      </c>
      <c r="H1706" s="2" t="s">
        <v>456</v>
      </c>
      <c r="I1706" s="26">
        <v>45271</v>
      </c>
      <c r="J1706" s="2">
        <v>63</v>
      </c>
      <c r="K1706" s="2" t="s">
        <v>177</v>
      </c>
      <c r="L1706" s="22">
        <v>1050</v>
      </c>
      <c r="M1706" s="22">
        <v>66150</v>
      </c>
      <c r="N1706" s="18">
        <v>70.75</v>
      </c>
      <c r="O1706" s="26">
        <v>45811</v>
      </c>
      <c r="P1706" s="2" t="s">
        <v>2105</v>
      </c>
      <c r="Q1706" s="2" t="s">
        <v>825</v>
      </c>
    </row>
    <row r="1707" spans="2:17" x14ac:dyDescent="0.25">
      <c r="B1707" s="2" t="s">
        <v>2512</v>
      </c>
      <c r="C1707" s="2" t="s">
        <v>218</v>
      </c>
      <c r="D1707" s="2" t="s">
        <v>219</v>
      </c>
      <c r="E1707" s="2" t="s">
        <v>201</v>
      </c>
      <c r="F1707" s="2" t="s">
        <v>535</v>
      </c>
      <c r="G1707" s="2" t="s">
        <v>455</v>
      </c>
      <c r="H1707" s="2" t="s">
        <v>456</v>
      </c>
      <c r="I1707" s="26">
        <v>45328</v>
      </c>
      <c r="J1707" s="2">
        <v>55</v>
      </c>
      <c r="K1707" s="2" t="s">
        <v>177</v>
      </c>
      <c r="L1707" s="22">
        <v>1050</v>
      </c>
      <c r="M1707" s="22">
        <v>57750</v>
      </c>
      <c r="N1707" s="18">
        <v>61.76</v>
      </c>
      <c r="O1707" s="26">
        <v>45868</v>
      </c>
      <c r="P1707" s="2" t="s">
        <v>2105</v>
      </c>
      <c r="Q1707" s="2" t="s">
        <v>825</v>
      </c>
    </row>
    <row r="1708" spans="2:17" x14ac:dyDescent="0.25">
      <c r="B1708" s="2" t="s">
        <v>2513</v>
      </c>
      <c r="C1708" s="2" t="s">
        <v>218</v>
      </c>
      <c r="D1708" s="2" t="s">
        <v>219</v>
      </c>
      <c r="E1708" s="2" t="s">
        <v>201</v>
      </c>
      <c r="F1708" s="2" t="s">
        <v>535</v>
      </c>
      <c r="G1708" s="2" t="s">
        <v>455</v>
      </c>
      <c r="H1708" s="2" t="s">
        <v>456</v>
      </c>
      <c r="I1708" s="26">
        <v>45401</v>
      </c>
      <c r="J1708" s="2">
        <v>57</v>
      </c>
      <c r="K1708" s="2" t="s">
        <v>177</v>
      </c>
      <c r="L1708" s="22">
        <v>1050</v>
      </c>
      <c r="M1708" s="22">
        <v>59850</v>
      </c>
      <c r="N1708" s="18">
        <v>64.010000000000005</v>
      </c>
      <c r="O1708" s="26">
        <v>45941</v>
      </c>
      <c r="P1708" s="2" t="s">
        <v>2105</v>
      </c>
      <c r="Q1708" s="2" t="s">
        <v>836</v>
      </c>
    </row>
    <row r="1709" spans="2:17" x14ac:dyDescent="0.25">
      <c r="B1709" s="2" t="s">
        <v>2514</v>
      </c>
      <c r="C1709" s="2" t="s">
        <v>218</v>
      </c>
      <c r="D1709" s="2" t="s">
        <v>219</v>
      </c>
      <c r="E1709" s="2" t="s">
        <v>201</v>
      </c>
      <c r="F1709" s="2" t="s">
        <v>535</v>
      </c>
      <c r="G1709" s="2" t="s">
        <v>455</v>
      </c>
      <c r="H1709" s="2" t="s">
        <v>456</v>
      </c>
      <c r="I1709" s="26">
        <v>45440</v>
      </c>
      <c r="J1709" s="2">
        <v>56</v>
      </c>
      <c r="K1709" s="2" t="s">
        <v>177</v>
      </c>
      <c r="L1709" s="22">
        <v>1050</v>
      </c>
      <c r="M1709" s="22">
        <v>58800</v>
      </c>
      <c r="N1709" s="18">
        <v>62.89</v>
      </c>
      <c r="O1709" s="26">
        <v>45980</v>
      </c>
      <c r="P1709" s="2" t="s">
        <v>2105</v>
      </c>
      <c r="Q1709" s="2" t="s">
        <v>836</v>
      </c>
    </row>
    <row r="1710" spans="2:17" x14ac:dyDescent="0.25">
      <c r="B1710" s="2" t="s">
        <v>2515</v>
      </c>
      <c r="C1710" s="2" t="s">
        <v>218</v>
      </c>
      <c r="D1710" s="2" t="s">
        <v>219</v>
      </c>
      <c r="E1710" s="2" t="s">
        <v>201</v>
      </c>
      <c r="F1710" s="2" t="s">
        <v>535</v>
      </c>
      <c r="G1710" s="2" t="s">
        <v>455</v>
      </c>
      <c r="H1710" s="2" t="s">
        <v>456</v>
      </c>
      <c r="I1710" s="26">
        <v>45500</v>
      </c>
      <c r="J1710" s="2">
        <v>45</v>
      </c>
      <c r="K1710" s="2" t="s">
        <v>177</v>
      </c>
      <c r="L1710" s="22">
        <v>1050</v>
      </c>
      <c r="M1710" s="22">
        <v>47250</v>
      </c>
      <c r="N1710" s="18">
        <v>50.53</v>
      </c>
      <c r="O1710" s="26">
        <v>46040</v>
      </c>
      <c r="P1710" s="2" t="s">
        <v>2105</v>
      </c>
      <c r="Q1710" s="2" t="s">
        <v>806</v>
      </c>
    </row>
    <row r="1711" spans="2:17" x14ac:dyDescent="0.25">
      <c r="B1711" s="2" t="s">
        <v>2516</v>
      </c>
      <c r="C1711" s="2" t="s">
        <v>218</v>
      </c>
      <c r="D1711" s="2" t="s">
        <v>219</v>
      </c>
      <c r="E1711" s="2" t="s">
        <v>201</v>
      </c>
      <c r="F1711" s="2" t="s">
        <v>535</v>
      </c>
      <c r="G1711" s="2" t="s">
        <v>455</v>
      </c>
      <c r="H1711" s="2" t="s">
        <v>456</v>
      </c>
      <c r="I1711" s="26">
        <v>45560</v>
      </c>
      <c r="J1711" s="2">
        <v>65</v>
      </c>
      <c r="K1711" s="2" t="s">
        <v>177</v>
      </c>
      <c r="L1711" s="22">
        <v>1050</v>
      </c>
      <c r="M1711" s="22">
        <v>68250</v>
      </c>
      <c r="N1711" s="18">
        <v>72.989999999999995</v>
      </c>
      <c r="O1711" s="26">
        <v>46100</v>
      </c>
      <c r="P1711" s="2" t="s">
        <v>2105</v>
      </c>
      <c r="Q1711" s="2" t="s">
        <v>814</v>
      </c>
    </row>
    <row r="1712" spans="2:17" x14ac:dyDescent="0.25">
      <c r="B1712" s="2" t="s">
        <v>2517</v>
      </c>
      <c r="C1712" s="2" t="s">
        <v>218</v>
      </c>
      <c r="D1712" s="2" t="s">
        <v>219</v>
      </c>
      <c r="E1712" s="2" t="s">
        <v>201</v>
      </c>
      <c r="F1712" s="2" t="s">
        <v>535</v>
      </c>
      <c r="G1712" s="2" t="s">
        <v>455</v>
      </c>
      <c r="H1712" s="2" t="s">
        <v>456</v>
      </c>
      <c r="I1712" s="26">
        <v>45619</v>
      </c>
      <c r="J1712" s="2">
        <v>43</v>
      </c>
      <c r="K1712" s="2" t="s">
        <v>177</v>
      </c>
      <c r="L1712" s="22">
        <v>1050</v>
      </c>
      <c r="M1712" s="22">
        <v>45150</v>
      </c>
      <c r="N1712" s="18">
        <v>48.29</v>
      </c>
      <c r="O1712" s="26">
        <v>46159</v>
      </c>
      <c r="P1712" s="2" t="s">
        <v>2105</v>
      </c>
      <c r="Q1712" s="2" t="s">
        <v>814</v>
      </c>
    </row>
    <row r="1713" spans="2:17" x14ac:dyDescent="0.25">
      <c r="B1713" s="2" t="s">
        <v>2518</v>
      </c>
      <c r="C1713" s="2" t="s">
        <v>218</v>
      </c>
      <c r="D1713" s="2" t="s">
        <v>219</v>
      </c>
      <c r="E1713" s="2" t="s">
        <v>201</v>
      </c>
      <c r="F1713" s="2" t="s">
        <v>535</v>
      </c>
      <c r="G1713" s="2" t="s">
        <v>455</v>
      </c>
      <c r="H1713" s="2" t="s">
        <v>456</v>
      </c>
      <c r="I1713" s="26">
        <v>45677</v>
      </c>
      <c r="J1713" s="2">
        <v>55</v>
      </c>
      <c r="K1713" s="2" t="s">
        <v>177</v>
      </c>
      <c r="L1713" s="22">
        <v>1050</v>
      </c>
      <c r="M1713" s="22">
        <v>57750</v>
      </c>
      <c r="N1713" s="18">
        <v>61.76</v>
      </c>
      <c r="O1713" s="26">
        <v>46217</v>
      </c>
      <c r="P1713" s="2" t="s">
        <v>2105</v>
      </c>
      <c r="Q1713" s="2" t="s">
        <v>825</v>
      </c>
    </row>
    <row r="1714" spans="2:17" x14ac:dyDescent="0.25">
      <c r="B1714" s="2" t="s">
        <v>2519</v>
      </c>
      <c r="C1714" s="2" t="s">
        <v>218</v>
      </c>
      <c r="D1714" s="2" t="s">
        <v>219</v>
      </c>
      <c r="E1714" s="2" t="s">
        <v>201</v>
      </c>
      <c r="F1714" s="2" t="s">
        <v>535</v>
      </c>
      <c r="G1714" s="2" t="s">
        <v>455</v>
      </c>
      <c r="H1714" s="2" t="s">
        <v>456</v>
      </c>
      <c r="I1714" s="26">
        <v>45731</v>
      </c>
      <c r="J1714" s="2">
        <v>54</v>
      </c>
      <c r="K1714" s="2" t="s">
        <v>177</v>
      </c>
      <c r="L1714" s="22">
        <v>1050</v>
      </c>
      <c r="M1714" s="22">
        <v>56700</v>
      </c>
      <c r="N1714" s="18">
        <v>60.64</v>
      </c>
      <c r="O1714" s="26">
        <v>46271</v>
      </c>
      <c r="P1714" s="2" t="s">
        <v>2105</v>
      </c>
      <c r="Q1714" s="2" t="s">
        <v>836</v>
      </c>
    </row>
    <row r="1715" spans="2:17" x14ac:dyDescent="0.25">
      <c r="B1715" s="2" t="s">
        <v>2520</v>
      </c>
      <c r="C1715" s="2" t="s">
        <v>218</v>
      </c>
      <c r="D1715" s="2" t="s">
        <v>219</v>
      </c>
      <c r="E1715" s="2" t="s">
        <v>201</v>
      </c>
      <c r="F1715" s="2" t="s">
        <v>535</v>
      </c>
      <c r="G1715" s="2" t="s">
        <v>455</v>
      </c>
      <c r="H1715" s="2" t="s">
        <v>456</v>
      </c>
      <c r="I1715" s="26">
        <v>45783</v>
      </c>
      <c r="J1715" s="2">
        <v>55</v>
      </c>
      <c r="K1715" s="2" t="s">
        <v>177</v>
      </c>
      <c r="L1715" s="22">
        <v>1050</v>
      </c>
      <c r="M1715" s="22">
        <v>57750</v>
      </c>
      <c r="N1715" s="18">
        <v>61.76</v>
      </c>
      <c r="O1715" s="26">
        <v>46323</v>
      </c>
      <c r="P1715" s="2" t="s">
        <v>2105</v>
      </c>
      <c r="Q1715" s="2" t="s">
        <v>836</v>
      </c>
    </row>
    <row r="1716" spans="2:17" x14ac:dyDescent="0.25">
      <c r="B1716" s="2" t="s">
        <v>2521</v>
      </c>
      <c r="C1716" s="2" t="s">
        <v>220</v>
      </c>
      <c r="D1716" s="2" t="s">
        <v>221</v>
      </c>
      <c r="E1716" s="2" t="s">
        <v>201</v>
      </c>
      <c r="F1716" s="2" t="s">
        <v>537</v>
      </c>
      <c r="G1716" s="2" t="s">
        <v>460</v>
      </c>
      <c r="H1716" s="2" t="s">
        <v>461</v>
      </c>
      <c r="I1716" s="26">
        <v>45157</v>
      </c>
      <c r="J1716" s="2">
        <v>54</v>
      </c>
      <c r="K1716" s="2" t="s">
        <v>192</v>
      </c>
      <c r="L1716" s="22">
        <v>1450</v>
      </c>
      <c r="M1716" s="22">
        <v>78300</v>
      </c>
      <c r="N1716" s="18">
        <v>83.74</v>
      </c>
      <c r="O1716" s="26">
        <v>45697</v>
      </c>
      <c r="P1716" s="2" t="s">
        <v>2105</v>
      </c>
      <c r="Q1716" s="2" t="s">
        <v>806</v>
      </c>
    </row>
    <row r="1717" spans="2:17" x14ac:dyDescent="0.25">
      <c r="B1717" s="2" t="s">
        <v>2522</v>
      </c>
      <c r="C1717" s="2" t="s">
        <v>220</v>
      </c>
      <c r="D1717" s="2" t="s">
        <v>221</v>
      </c>
      <c r="E1717" s="2" t="s">
        <v>201</v>
      </c>
      <c r="F1717" s="2" t="s">
        <v>535</v>
      </c>
      <c r="G1717" s="2" t="s">
        <v>455</v>
      </c>
      <c r="H1717" s="2" t="s">
        <v>456</v>
      </c>
      <c r="I1717" s="26">
        <v>45226</v>
      </c>
      <c r="J1717" s="2">
        <v>57</v>
      </c>
      <c r="K1717" s="2" t="s">
        <v>192</v>
      </c>
      <c r="L1717" s="22">
        <v>1350</v>
      </c>
      <c r="M1717" s="22">
        <v>76950</v>
      </c>
      <c r="N1717" s="18">
        <v>82.3</v>
      </c>
      <c r="O1717" s="26">
        <v>45766</v>
      </c>
      <c r="P1717" s="2" t="s">
        <v>2105</v>
      </c>
      <c r="Q1717" s="2" t="s">
        <v>814</v>
      </c>
    </row>
    <row r="1718" spans="2:17" x14ac:dyDescent="0.25">
      <c r="B1718" s="2" t="s">
        <v>2523</v>
      </c>
      <c r="C1718" s="2" t="s">
        <v>220</v>
      </c>
      <c r="D1718" s="2" t="s">
        <v>221</v>
      </c>
      <c r="E1718" s="2" t="s">
        <v>201</v>
      </c>
      <c r="F1718" s="2" t="s">
        <v>535</v>
      </c>
      <c r="G1718" s="2" t="s">
        <v>455</v>
      </c>
      <c r="H1718" s="2" t="s">
        <v>456</v>
      </c>
      <c r="I1718" s="26">
        <v>45295</v>
      </c>
      <c r="J1718" s="2">
        <v>46</v>
      </c>
      <c r="K1718" s="2" t="s">
        <v>192</v>
      </c>
      <c r="L1718" s="22">
        <v>1350</v>
      </c>
      <c r="M1718" s="22">
        <v>62100</v>
      </c>
      <c r="N1718" s="18">
        <v>66.42</v>
      </c>
      <c r="O1718" s="26">
        <v>45835</v>
      </c>
      <c r="P1718" s="2" t="s">
        <v>2105</v>
      </c>
      <c r="Q1718" s="2" t="s">
        <v>825</v>
      </c>
    </row>
    <row r="1719" spans="2:17" x14ac:dyDescent="0.25">
      <c r="B1719" s="2" t="s">
        <v>2524</v>
      </c>
      <c r="C1719" s="2" t="s">
        <v>220</v>
      </c>
      <c r="D1719" s="2" t="s">
        <v>221</v>
      </c>
      <c r="E1719" s="2" t="s">
        <v>201</v>
      </c>
      <c r="F1719" s="2" t="s">
        <v>535</v>
      </c>
      <c r="G1719" s="2" t="s">
        <v>455</v>
      </c>
      <c r="H1719" s="2" t="s">
        <v>456</v>
      </c>
      <c r="I1719" s="26">
        <v>45359</v>
      </c>
      <c r="J1719" s="2">
        <v>56</v>
      </c>
      <c r="K1719" s="2" t="s">
        <v>192</v>
      </c>
      <c r="L1719" s="22">
        <v>1350</v>
      </c>
      <c r="M1719" s="22">
        <v>75600</v>
      </c>
      <c r="N1719" s="18">
        <v>80.86</v>
      </c>
      <c r="O1719" s="26">
        <v>45899</v>
      </c>
      <c r="P1719" s="2" t="s">
        <v>2105</v>
      </c>
      <c r="Q1719" s="2" t="s">
        <v>836</v>
      </c>
    </row>
    <row r="1720" spans="2:17" x14ac:dyDescent="0.25">
      <c r="B1720" s="2" t="s">
        <v>2525</v>
      </c>
      <c r="C1720" s="2" t="s">
        <v>220</v>
      </c>
      <c r="D1720" s="2" t="s">
        <v>221</v>
      </c>
      <c r="E1720" s="2" t="s">
        <v>201</v>
      </c>
      <c r="F1720" s="2" t="s">
        <v>535</v>
      </c>
      <c r="G1720" s="2" t="s">
        <v>455</v>
      </c>
      <c r="H1720" s="2" t="s">
        <v>456</v>
      </c>
      <c r="I1720" s="26">
        <v>45419</v>
      </c>
      <c r="J1720" s="2">
        <v>56</v>
      </c>
      <c r="K1720" s="2" t="s">
        <v>192</v>
      </c>
      <c r="L1720" s="22">
        <v>1350</v>
      </c>
      <c r="M1720" s="22">
        <v>75600</v>
      </c>
      <c r="N1720" s="18">
        <v>80.86</v>
      </c>
      <c r="O1720" s="26">
        <v>45959</v>
      </c>
      <c r="P1720" s="2" t="s">
        <v>2105</v>
      </c>
      <c r="Q1720" s="2" t="s">
        <v>836</v>
      </c>
    </row>
    <row r="1721" spans="2:17" x14ac:dyDescent="0.25">
      <c r="B1721" s="2" t="s">
        <v>2526</v>
      </c>
      <c r="C1721" s="2" t="s">
        <v>220</v>
      </c>
      <c r="D1721" s="2" t="s">
        <v>221</v>
      </c>
      <c r="E1721" s="2" t="s">
        <v>201</v>
      </c>
      <c r="F1721" s="2" t="s">
        <v>537</v>
      </c>
      <c r="G1721" s="2" t="s">
        <v>460</v>
      </c>
      <c r="H1721" s="2" t="s">
        <v>461</v>
      </c>
      <c r="I1721" s="26">
        <v>45473</v>
      </c>
      <c r="J1721" s="2">
        <v>50</v>
      </c>
      <c r="K1721" s="2" t="s">
        <v>192</v>
      </c>
      <c r="L1721" s="22">
        <v>1450</v>
      </c>
      <c r="M1721" s="22">
        <v>72500</v>
      </c>
      <c r="N1721" s="18">
        <v>77.540000000000006</v>
      </c>
      <c r="O1721" s="26">
        <v>46013</v>
      </c>
      <c r="P1721" s="2" t="s">
        <v>2105</v>
      </c>
      <c r="Q1721" s="2" t="s">
        <v>806</v>
      </c>
    </row>
    <row r="1722" spans="2:17" x14ac:dyDescent="0.25">
      <c r="B1722" s="2" t="s">
        <v>2527</v>
      </c>
      <c r="C1722" s="2" t="s">
        <v>220</v>
      </c>
      <c r="D1722" s="2" t="s">
        <v>221</v>
      </c>
      <c r="E1722" s="2" t="s">
        <v>201</v>
      </c>
      <c r="F1722" s="2" t="s">
        <v>535</v>
      </c>
      <c r="G1722" s="2" t="s">
        <v>455</v>
      </c>
      <c r="H1722" s="2" t="s">
        <v>456</v>
      </c>
      <c r="I1722" s="26">
        <v>45537</v>
      </c>
      <c r="J1722" s="2">
        <v>56</v>
      </c>
      <c r="K1722" s="2" t="s">
        <v>192</v>
      </c>
      <c r="L1722" s="22">
        <v>1350</v>
      </c>
      <c r="M1722" s="22">
        <v>75600</v>
      </c>
      <c r="N1722" s="18">
        <v>80.86</v>
      </c>
      <c r="O1722" s="26">
        <v>46077</v>
      </c>
      <c r="P1722" s="2" t="s">
        <v>2105</v>
      </c>
      <c r="Q1722" s="2" t="s">
        <v>814</v>
      </c>
    </row>
    <row r="1723" spans="2:17" x14ac:dyDescent="0.25">
      <c r="B1723" s="2" t="s">
        <v>2528</v>
      </c>
      <c r="C1723" s="2" t="s">
        <v>220</v>
      </c>
      <c r="D1723" s="2" t="s">
        <v>221</v>
      </c>
      <c r="E1723" s="2" t="s">
        <v>201</v>
      </c>
      <c r="F1723" s="2" t="s">
        <v>535</v>
      </c>
      <c r="G1723" s="2" t="s">
        <v>455</v>
      </c>
      <c r="H1723" s="2" t="s">
        <v>456</v>
      </c>
      <c r="I1723" s="26">
        <v>45596</v>
      </c>
      <c r="J1723" s="2">
        <v>55</v>
      </c>
      <c r="K1723" s="2" t="s">
        <v>192</v>
      </c>
      <c r="L1723" s="22">
        <v>1350</v>
      </c>
      <c r="M1723" s="22">
        <v>74250</v>
      </c>
      <c r="N1723" s="18">
        <v>79.41</v>
      </c>
      <c r="O1723" s="26">
        <v>46136</v>
      </c>
      <c r="P1723" s="2" t="s">
        <v>2105</v>
      </c>
      <c r="Q1723" s="2" t="s">
        <v>814</v>
      </c>
    </row>
    <row r="1724" spans="2:17" x14ac:dyDescent="0.25">
      <c r="B1724" s="2" t="s">
        <v>2529</v>
      </c>
      <c r="C1724" s="2" t="s">
        <v>220</v>
      </c>
      <c r="D1724" s="2" t="s">
        <v>221</v>
      </c>
      <c r="E1724" s="2" t="s">
        <v>201</v>
      </c>
      <c r="F1724" s="2" t="s">
        <v>535</v>
      </c>
      <c r="G1724" s="2" t="s">
        <v>455</v>
      </c>
      <c r="H1724" s="2" t="s">
        <v>456</v>
      </c>
      <c r="I1724" s="26">
        <v>45655</v>
      </c>
      <c r="J1724" s="2">
        <v>73</v>
      </c>
      <c r="K1724" s="2" t="s">
        <v>192</v>
      </c>
      <c r="L1724" s="22">
        <v>1350</v>
      </c>
      <c r="M1724" s="22">
        <v>98550</v>
      </c>
      <c r="N1724" s="18">
        <v>105.4</v>
      </c>
      <c r="O1724" s="26">
        <v>46195</v>
      </c>
      <c r="P1724" s="2" t="s">
        <v>2105</v>
      </c>
      <c r="Q1724" s="2" t="s">
        <v>825</v>
      </c>
    </row>
    <row r="1725" spans="2:17" x14ac:dyDescent="0.25">
      <c r="B1725" s="2" t="s">
        <v>2530</v>
      </c>
      <c r="C1725" s="2" t="s">
        <v>220</v>
      </c>
      <c r="D1725" s="2" t="s">
        <v>221</v>
      </c>
      <c r="E1725" s="2" t="s">
        <v>201</v>
      </c>
      <c r="F1725" s="2" t="s">
        <v>535</v>
      </c>
      <c r="G1725" s="2" t="s">
        <v>455</v>
      </c>
      <c r="H1725" s="2" t="s">
        <v>456</v>
      </c>
      <c r="I1725" s="26">
        <v>45708</v>
      </c>
      <c r="J1725" s="2">
        <v>51</v>
      </c>
      <c r="K1725" s="2" t="s">
        <v>192</v>
      </c>
      <c r="L1725" s="22">
        <v>1350</v>
      </c>
      <c r="M1725" s="22">
        <v>68850</v>
      </c>
      <c r="N1725" s="18">
        <v>73.64</v>
      </c>
      <c r="O1725" s="26">
        <v>46248</v>
      </c>
      <c r="P1725" s="2" t="s">
        <v>2105</v>
      </c>
      <c r="Q1725" s="2" t="s">
        <v>825</v>
      </c>
    </row>
    <row r="1726" spans="2:17" x14ac:dyDescent="0.25">
      <c r="B1726" s="2" t="s">
        <v>2531</v>
      </c>
      <c r="C1726" s="2" t="s">
        <v>220</v>
      </c>
      <c r="D1726" s="2" t="s">
        <v>221</v>
      </c>
      <c r="E1726" s="2" t="s">
        <v>201</v>
      </c>
      <c r="F1726" s="2" t="s">
        <v>535</v>
      </c>
      <c r="G1726" s="2" t="s">
        <v>455</v>
      </c>
      <c r="H1726" s="2" t="s">
        <v>456</v>
      </c>
      <c r="I1726" s="26">
        <v>45763</v>
      </c>
      <c r="J1726" s="2">
        <v>58</v>
      </c>
      <c r="K1726" s="2" t="s">
        <v>192</v>
      </c>
      <c r="L1726" s="22">
        <v>1350</v>
      </c>
      <c r="M1726" s="22">
        <v>78300</v>
      </c>
      <c r="N1726" s="18">
        <v>83.74</v>
      </c>
      <c r="O1726" s="26">
        <v>46303</v>
      </c>
      <c r="P1726" s="2" t="s">
        <v>2105</v>
      </c>
      <c r="Q1726" s="2" t="s">
        <v>836</v>
      </c>
    </row>
    <row r="1727" spans="2:17" x14ac:dyDescent="0.25">
      <c r="B1727" s="2" t="s">
        <v>2532</v>
      </c>
      <c r="C1727" s="2" t="s">
        <v>220</v>
      </c>
      <c r="D1727" s="2" t="s">
        <v>221</v>
      </c>
      <c r="E1727" s="2" t="s">
        <v>201</v>
      </c>
      <c r="F1727" s="2" t="s">
        <v>535</v>
      </c>
      <c r="G1727" s="2" t="s">
        <v>455</v>
      </c>
      <c r="H1727" s="2" t="s">
        <v>456</v>
      </c>
      <c r="I1727" s="26">
        <v>45819</v>
      </c>
      <c r="J1727" s="2">
        <v>46</v>
      </c>
      <c r="K1727" s="2" t="s">
        <v>192</v>
      </c>
      <c r="L1727" s="22">
        <v>1350</v>
      </c>
      <c r="M1727" s="22">
        <v>62100</v>
      </c>
      <c r="N1727" s="18">
        <v>66.42</v>
      </c>
      <c r="O1727" s="26">
        <v>46359</v>
      </c>
      <c r="P1727" s="2" t="s">
        <v>2105</v>
      </c>
      <c r="Q1727" s="2" t="s">
        <v>806</v>
      </c>
    </row>
    <row r="1728" spans="2:17" x14ac:dyDescent="0.25">
      <c r="B1728" s="2" t="s">
        <v>2533</v>
      </c>
      <c r="C1728" s="2" t="s">
        <v>222</v>
      </c>
      <c r="D1728" s="2" t="s">
        <v>223</v>
      </c>
      <c r="E1728" s="2" t="s">
        <v>224</v>
      </c>
      <c r="F1728" s="2" t="s">
        <v>535</v>
      </c>
      <c r="G1728" s="2" t="s">
        <v>465</v>
      </c>
      <c r="H1728" s="2" t="s">
        <v>466</v>
      </c>
      <c r="I1728" s="26">
        <v>45167</v>
      </c>
      <c r="J1728" s="2">
        <v>24</v>
      </c>
      <c r="K1728" s="2" t="s">
        <v>225</v>
      </c>
      <c r="L1728" s="22">
        <v>3150</v>
      </c>
      <c r="M1728" s="22">
        <v>75600</v>
      </c>
      <c r="N1728" s="18">
        <v>80.86</v>
      </c>
      <c r="O1728" s="26">
        <v>45897</v>
      </c>
      <c r="P1728" s="2" t="s">
        <v>2105</v>
      </c>
      <c r="Q1728" s="2" t="s">
        <v>806</v>
      </c>
    </row>
    <row r="1729" spans="2:17" x14ac:dyDescent="0.25">
      <c r="B1729" s="2" t="s">
        <v>2534</v>
      </c>
      <c r="C1729" s="2" t="s">
        <v>222</v>
      </c>
      <c r="D1729" s="2" t="s">
        <v>223</v>
      </c>
      <c r="E1729" s="2" t="s">
        <v>224</v>
      </c>
      <c r="F1729" s="2" t="s">
        <v>535</v>
      </c>
      <c r="G1729" s="2" t="s">
        <v>465</v>
      </c>
      <c r="H1729" s="2" t="s">
        <v>466</v>
      </c>
      <c r="I1729" s="26">
        <v>45213</v>
      </c>
      <c r="J1729" s="2">
        <v>21</v>
      </c>
      <c r="K1729" s="2" t="s">
        <v>225</v>
      </c>
      <c r="L1729" s="22">
        <v>3150</v>
      </c>
      <c r="M1729" s="22">
        <v>66150</v>
      </c>
      <c r="N1729" s="18">
        <v>70.75</v>
      </c>
      <c r="O1729" s="26">
        <v>45943</v>
      </c>
      <c r="P1729" s="2" t="s">
        <v>2105</v>
      </c>
      <c r="Q1729" s="2" t="s">
        <v>814</v>
      </c>
    </row>
    <row r="1730" spans="2:17" x14ac:dyDescent="0.25">
      <c r="B1730" s="2" t="s">
        <v>2535</v>
      </c>
      <c r="C1730" s="2" t="s">
        <v>222</v>
      </c>
      <c r="D1730" s="2" t="s">
        <v>223</v>
      </c>
      <c r="E1730" s="2" t="s">
        <v>224</v>
      </c>
      <c r="F1730" s="2" t="s">
        <v>535</v>
      </c>
      <c r="G1730" s="2" t="s">
        <v>465</v>
      </c>
      <c r="H1730" s="2" t="s">
        <v>466</v>
      </c>
      <c r="I1730" s="26">
        <v>45272</v>
      </c>
      <c r="J1730" s="2">
        <v>35</v>
      </c>
      <c r="K1730" s="2" t="s">
        <v>225</v>
      </c>
      <c r="L1730" s="22">
        <v>3150</v>
      </c>
      <c r="M1730" s="22">
        <v>110250</v>
      </c>
      <c r="N1730" s="18">
        <v>117.91</v>
      </c>
      <c r="O1730" s="26">
        <v>46002</v>
      </c>
      <c r="P1730" s="2" t="s">
        <v>2105</v>
      </c>
      <c r="Q1730" s="2" t="s">
        <v>825</v>
      </c>
    </row>
    <row r="1731" spans="2:17" x14ac:dyDescent="0.25">
      <c r="B1731" s="2" t="s">
        <v>2536</v>
      </c>
      <c r="C1731" s="2" t="s">
        <v>222</v>
      </c>
      <c r="D1731" s="2" t="s">
        <v>223</v>
      </c>
      <c r="E1731" s="2" t="s">
        <v>224</v>
      </c>
      <c r="F1731" s="2" t="s">
        <v>535</v>
      </c>
      <c r="G1731" s="2" t="s">
        <v>465</v>
      </c>
      <c r="H1731" s="2" t="s">
        <v>466</v>
      </c>
      <c r="I1731" s="26">
        <v>45335</v>
      </c>
      <c r="J1731" s="2">
        <v>27</v>
      </c>
      <c r="K1731" s="2" t="s">
        <v>225</v>
      </c>
      <c r="L1731" s="22">
        <v>3150</v>
      </c>
      <c r="M1731" s="22">
        <v>85050</v>
      </c>
      <c r="N1731" s="18">
        <v>90.96</v>
      </c>
      <c r="O1731" s="26">
        <v>46065</v>
      </c>
      <c r="P1731" s="2" t="s">
        <v>2105</v>
      </c>
      <c r="Q1731" s="2" t="s">
        <v>825</v>
      </c>
    </row>
    <row r="1732" spans="2:17" x14ac:dyDescent="0.25">
      <c r="B1732" s="2" t="s">
        <v>2537</v>
      </c>
      <c r="C1732" s="2" t="s">
        <v>222</v>
      </c>
      <c r="D1732" s="2" t="s">
        <v>223</v>
      </c>
      <c r="E1732" s="2" t="s">
        <v>224</v>
      </c>
      <c r="F1732" s="2" t="s">
        <v>535</v>
      </c>
      <c r="G1732" s="2" t="s">
        <v>465</v>
      </c>
      <c r="H1732" s="2" t="s">
        <v>466</v>
      </c>
      <c r="I1732" s="26">
        <v>45375</v>
      </c>
      <c r="J1732" s="2">
        <v>23</v>
      </c>
      <c r="K1732" s="2" t="s">
        <v>225</v>
      </c>
      <c r="L1732" s="22">
        <v>3150</v>
      </c>
      <c r="M1732" s="22">
        <v>72450</v>
      </c>
      <c r="N1732" s="18">
        <v>77.489999999999995</v>
      </c>
      <c r="O1732" s="26">
        <v>46105</v>
      </c>
      <c r="P1732" s="2" t="s">
        <v>2105</v>
      </c>
      <c r="Q1732" s="2" t="s">
        <v>836</v>
      </c>
    </row>
    <row r="1733" spans="2:17" x14ac:dyDescent="0.25">
      <c r="B1733" s="2" t="s">
        <v>2538</v>
      </c>
      <c r="C1733" s="2" t="s">
        <v>222</v>
      </c>
      <c r="D1733" s="2" t="s">
        <v>223</v>
      </c>
      <c r="E1733" s="2" t="s">
        <v>224</v>
      </c>
      <c r="F1733" s="2" t="s">
        <v>535</v>
      </c>
      <c r="G1733" s="2" t="s">
        <v>465</v>
      </c>
      <c r="H1733" s="2" t="s">
        <v>466</v>
      </c>
      <c r="I1733" s="26">
        <v>45432</v>
      </c>
      <c r="J1733" s="2">
        <v>26</v>
      </c>
      <c r="K1733" s="2" t="s">
        <v>225</v>
      </c>
      <c r="L1733" s="22">
        <v>3150</v>
      </c>
      <c r="M1733" s="22">
        <v>81900</v>
      </c>
      <c r="N1733" s="18">
        <v>87.59</v>
      </c>
      <c r="O1733" s="26">
        <v>46162</v>
      </c>
      <c r="P1733" s="2" t="s">
        <v>2105</v>
      </c>
      <c r="Q1733" s="2" t="s">
        <v>836</v>
      </c>
    </row>
    <row r="1734" spans="2:17" x14ac:dyDescent="0.25">
      <c r="B1734" s="2" t="s">
        <v>2539</v>
      </c>
      <c r="C1734" s="2" t="s">
        <v>222</v>
      </c>
      <c r="D1734" s="2" t="s">
        <v>223</v>
      </c>
      <c r="E1734" s="2" t="s">
        <v>224</v>
      </c>
      <c r="F1734" s="2" t="s">
        <v>537</v>
      </c>
      <c r="G1734" s="2" t="s">
        <v>470</v>
      </c>
      <c r="H1734" s="2" t="s">
        <v>471</v>
      </c>
      <c r="I1734" s="26">
        <v>45487</v>
      </c>
      <c r="J1734" s="2">
        <v>20</v>
      </c>
      <c r="K1734" s="2" t="s">
        <v>225</v>
      </c>
      <c r="L1734" s="22">
        <v>3350</v>
      </c>
      <c r="M1734" s="22">
        <v>67000</v>
      </c>
      <c r="N1734" s="18">
        <v>71.66</v>
      </c>
      <c r="O1734" s="26">
        <v>46217</v>
      </c>
      <c r="P1734" s="2" t="s">
        <v>2105</v>
      </c>
      <c r="Q1734" s="2" t="s">
        <v>806</v>
      </c>
    </row>
    <row r="1735" spans="2:17" x14ac:dyDescent="0.25">
      <c r="B1735" s="2" t="s">
        <v>2540</v>
      </c>
      <c r="C1735" s="2" t="s">
        <v>222</v>
      </c>
      <c r="D1735" s="2" t="s">
        <v>223</v>
      </c>
      <c r="E1735" s="2" t="s">
        <v>224</v>
      </c>
      <c r="F1735" s="2" t="s">
        <v>535</v>
      </c>
      <c r="G1735" s="2" t="s">
        <v>465</v>
      </c>
      <c r="H1735" s="2" t="s">
        <v>466</v>
      </c>
      <c r="I1735" s="26">
        <v>45561</v>
      </c>
      <c r="J1735" s="2">
        <v>32</v>
      </c>
      <c r="K1735" s="2" t="s">
        <v>225</v>
      </c>
      <c r="L1735" s="22">
        <v>3150</v>
      </c>
      <c r="M1735" s="22">
        <v>100800</v>
      </c>
      <c r="N1735" s="18">
        <v>107.81</v>
      </c>
      <c r="O1735" s="26">
        <v>46291</v>
      </c>
      <c r="P1735" s="2" t="s">
        <v>2105</v>
      </c>
      <c r="Q1735" s="2" t="s">
        <v>814</v>
      </c>
    </row>
    <row r="1736" spans="2:17" x14ac:dyDescent="0.25">
      <c r="B1736" s="2" t="s">
        <v>2541</v>
      </c>
      <c r="C1736" s="2" t="s">
        <v>222</v>
      </c>
      <c r="D1736" s="2" t="s">
        <v>223</v>
      </c>
      <c r="E1736" s="2" t="s">
        <v>224</v>
      </c>
      <c r="F1736" s="2" t="s">
        <v>535</v>
      </c>
      <c r="G1736" s="2" t="s">
        <v>465</v>
      </c>
      <c r="H1736" s="2" t="s">
        <v>466</v>
      </c>
      <c r="I1736" s="26">
        <v>45610</v>
      </c>
      <c r="J1736" s="2">
        <v>24</v>
      </c>
      <c r="K1736" s="2" t="s">
        <v>225</v>
      </c>
      <c r="L1736" s="22">
        <v>3150</v>
      </c>
      <c r="M1736" s="22">
        <v>75600</v>
      </c>
      <c r="N1736" s="18">
        <v>80.86</v>
      </c>
      <c r="O1736" s="26">
        <v>46340</v>
      </c>
      <c r="P1736" s="2" t="s">
        <v>2105</v>
      </c>
      <c r="Q1736" s="2" t="s">
        <v>814</v>
      </c>
    </row>
    <row r="1737" spans="2:17" x14ac:dyDescent="0.25">
      <c r="B1737" s="2" t="s">
        <v>2542</v>
      </c>
      <c r="C1737" s="2" t="s">
        <v>222</v>
      </c>
      <c r="D1737" s="2" t="s">
        <v>223</v>
      </c>
      <c r="E1737" s="2" t="s">
        <v>224</v>
      </c>
      <c r="F1737" s="2" t="s">
        <v>535</v>
      </c>
      <c r="G1737" s="2" t="s">
        <v>465</v>
      </c>
      <c r="H1737" s="2" t="s">
        <v>466</v>
      </c>
      <c r="I1737" s="26">
        <v>45685</v>
      </c>
      <c r="J1737" s="2">
        <v>25</v>
      </c>
      <c r="K1737" s="2" t="s">
        <v>225</v>
      </c>
      <c r="L1737" s="22">
        <v>3150</v>
      </c>
      <c r="M1737" s="22">
        <v>78750</v>
      </c>
      <c r="N1737" s="18">
        <v>84.22</v>
      </c>
      <c r="O1737" s="26">
        <v>46415</v>
      </c>
      <c r="P1737" s="2" t="s">
        <v>2105</v>
      </c>
      <c r="Q1737" s="2" t="s">
        <v>825</v>
      </c>
    </row>
    <row r="1738" spans="2:17" x14ac:dyDescent="0.25">
      <c r="B1738" s="2" t="s">
        <v>2543</v>
      </c>
      <c r="C1738" s="2" t="s">
        <v>222</v>
      </c>
      <c r="D1738" s="2" t="s">
        <v>223</v>
      </c>
      <c r="E1738" s="2" t="s">
        <v>224</v>
      </c>
      <c r="F1738" s="2" t="s">
        <v>537</v>
      </c>
      <c r="G1738" s="2" t="s">
        <v>470</v>
      </c>
      <c r="H1738" s="2" t="s">
        <v>471</v>
      </c>
      <c r="I1738" s="26">
        <v>45728</v>
      </c>
      <c r="J1738" s="2">
        <v>27</v>
      </c>
      <c r="K1738" s="2" t="s">
        <v>225</v>
      </c>
      <c r="L1738" s="22">
        <v>3350</v>
      </c>
      <c r="M1738" s="22">
        <v>90450</v>
      </c>
      <c r="N1738" s="18">
        <v>96.74</v>
      </c>
      <c r="O1738" s="26">
        <v>46458</v>
      </c>
      <c r="P1738" s="2" t="s">
        <v>2105</v>
      </c>
      <c r="Q1738" s="2" t="s">
        <v>836</v>
      </c>
    </row>
    <row r="1739" spans="2:17" x14ac:dyDescent="0.25">
      <c r="B1739" s="2" t="s">
        <v>2544</v>
      </c>
      <c r="C1739" s="2" t="s">
        <v>222</v>
      </c>
      <c r="D1739" s="2" t="s">
        <v>223</v>
      </c>
      <c r="E1739" s="2" t="s">
        <v>224</v>
      </c>
      <c r="F1739" s="2" t="s">
        <v>535</v>
      </c>
      <c r="G1739" s="2" t="s">
        <v>465</v>
      </c>
      <c r="H1739" s="2" t="s">
        <v>466</v>
      </c>
      <c r="I1739" s="26">
        <v>45803</v>
      </c>
      <c r="J1739" s="2">
        <v>23</v>
      </c>
      <c r="K1739" s="2" t="s">
        <v>225</v>
      </c>
      <c r="L1739" s="22">
        <v>3150</v>
      </c>
      <c r="M1739" s="22">
        <v>72450</v>
      </c>
      <c r="N1739" s="18">
        <v>77.489999999999995</v>
      </c>
      <c r="O1739" s="26">
        <v>46533</v>
      </c>
      <c r="P1739" s="2" t="s">
        <v>2105</v>
      </c>
      <c r="Q1739" s="2" t="s">
        <v>836</v>
      </c>
    </row>
    <row r="1740" spans="2:17" x14ac:dyDescent="0.25">
      <c r="B1740" s="2" t="s">
        <v>2545</v>
      </c>
      <c r="C1740" s="2" t="s">
        <v>226</v>
      </c>
      <c r="D1740" s="2" t="s">
        <v>227</v>
      </c>
      <c r="E1740" s="2" t="s">
        <v>224</v>
      </c>
      <c r="F1740" s="2" t="s">
        <v>535</v>
      </c>
      <c r="G1740" s="2" t="s">
        <v>465</v>
      </c>
      <c r="H1740" s="2" t="s">
        <v>466</v>
      </c>
      <c r="I1740" s="26">
        <v>45141</v>
      </c>
      <c r="J1740" s="2">
        <v>26</v>
      </c>
      <c r="K1740" s="2" t="s">
        <v>225</v>
      </c>
      <c r="L1740" s="22">
        <v>4000</v>
      </c>
      <c r="M1740" s="22">
        <v>104000</v>
      </c>
      <c r="N1740" s="18">
        <v>111.23</v>
      </c>
      <c r="O1740" s="26">
        <v>45871</v>
      </c>
      <c r="P1740" s="2" t="s">
        <v>2105</v>
      </c>
      <c r="Q1740" s="2" t="s">
        <v>806</v>
      </c>
    </row>
    <row r="1741" spans="2:17" x14ac:dyDescent="0.25">
      <c r="B1741" s="2" t="s">
        <v>2546</v>
      </c>
      <c r="C1741" s="2" t="s">
        <v>226</v>
      </c>
      <c r="D1741" s="2" t="s">
        <v>227</v>
      </c>
      <c r="E1741" s="2" t="s">
        <v>224</v>
      </c>
      <c r="F1741" s="2" t="s">
        <v>535</v>
      </c>
      <c r="G1741" s="2" t="s">
        <v>465</v>
      </c>
      <c r="H1741" s="2" t="s">
        <v>466</v>
      </c>
      <c r="I1741" s="26">
        <v>45201</v>
      </c>
      <c r="J1741" s="2">
        <v>26</v>
      </c>
      <c r="K1741" s="2" t="s">
        <v>225</v>
      </c>
      <c r="L1741" s="22">
        <v>4000</v>
      </c>
      <c r="M1741" s="22">
        <v>104000</v>
      </c>
      <c r="N1741" s="18">
        <v>111.23</v>
      </c>
      <c r="O1741" s="26">
        <v>45931</v>
      </c>
      <c r="P1741" s="2" t="s">
        <v>2105</v>
      </c>
      <c r="Q1741" s="2" t="s">
        <v>814</v>
      </c>
    </row>
    <row r="1742" spans="2:17" x14ac:dyDescent="0.25">
      <c r="B1742" s="2" t="s">
        <v>2547</v>
      </c>
      <c r="C1742" s="2" t="s">
        <v>226</v>
      </c>
      <c r="D1742" s="2" t="s">
        <v>227</v>
      </c>
      <c r="E1742" s="2" t="s">
        <v>224</v>
      </c>
      <c r="F1742" s="2" t="s">
        <v>535</v>
      </c>
      <c r="G1742" s="2" t="s">
        <v>465</v>
      </c>
      <c r="H1742" s="2" t="s">
        <v>466</v>
      </c>
      <c r="I1742" s="26">
        <v>45262</v>
      </c>
      <c r="J1742" s="2">
        <v>30</v>
      </c>
      <c r="K1742" s="2" t="s">
        <v>225</v>
      </c>
      <c r="L1742" s="22">
        <v>4000</v>
      </c>
      <c r="M1742" s="22">
        <v>120000</v>
      </c>
      <c r="N1742" s="18">
        <v>128.34</v>
      </c>
      <c r="O1742" s="26">
        <v>45992</v>
      </c>
      <c r="P1742" s="2" t="s">
        <v>2105</v>
      </c>
      <c r="Q1742" s="2" t="s">
        <v>825</v>
      </c>
    </row>
    <row r="1743" spans="2:17" x14ac:dyDescent="0.25">
      <c r="B1743" s="2" t="s">
        <v>2548</v>
      </c>
      <c r="C1743" s="2" t="s">
        <v>226</v>
      </c>
      <c r="D1743" s="2" t="s">
        <v>227</v>
      </c>
      <c r="E1743" s="2" t="s">
        <v>224</v>
      </c>
      <c r="F1743" s="2" t="s">
        <v>535</v>
      </c>
      <c r="G1743" s="2" t="s">
        <v>465</v>
      </c>
      <c r="H1743" s="2" t="s">
        <v>466</v>
      </c>
      <c r="I1743" s="26">
        <v>45323</v>
      </c>
      <c r="J1743" s="2">
        <v>28</v>
      </c>
      <c r="K1743" s="2" t="s">
        <v>225</v>
      </c>
      <c r="L1743" s="22">
        <v>4000</v>
      </c>
      <c r="M1743" s="22">
        <v>112000</v>
      </c>
      <c r="N1743" s="18">
        <v>119.79</v>
      </c>
      <c r="O1743" s="26">
        <v>46053</v>
      </c>
      <c r="P1743" s="2" t="s">
        <v>2105</v>
      </c>
      <c r="Q1743" s="2" t="s">
        <v>825</v>
      </c>
    </row>
    <row r="1744" spans="2:17" x14ac:dyDescent="0.25">
      <c r="B1744" s="2" t="s">
        <v>2549</v>
      </c>
      <c r="C1744" s="2" t="s">
        <v>226</v>
      </c>
      <c r="D1744" s="2" t="s">
        <v>227</v>
      </c>
      <c r="E1744" s="2" t="s">
        <v>224</v>
      </c>
      <c r="F1744" s="2" t="s">
        <v>535</v>
      </c>
      <c r="G1744" s="2" t="s">
        <v>465</v>
      </c>
      <c r="H1744" s="2" t="s">
        <v>466</v>
      </c>
      <c r="I1744" s="26">
        <v>45393</v>
      </c>
      <c r="J1744" s="2">
        <v>27</v>
      </c>
      <c r="K1744" s="2" t="s">
        <v>225</v>
      </c>
      <c r="L1744" s="22">
        <v>4000</v>
      </c>
      <c r="M1744" s="22">
        <v>108000</v>
      </c>
      <c r="N1744" s="18">
        <v>115.51</v>
      </c>
      <c r="O1744" s="26">
        <v>46123</v>
      </c>
      <c r="P1744" s="2" t="s">
        <v>2105</v>
      </c>
      <c r="Q1744" s="2" t="s">
        <v>836</v>
      </c>
    </row>
    <row r="1745" spans="2:17" x14ac:dyDescent="0.25">
      <c r="B1745" s="2" t="s">
        <v>2550</v>
      </c>
      <c r="C1745" s="2" t="s">
        <v>226</v>
      </c>
      <c r="D1745" s="2" t="s">
        <v>227</v>
      </c>
      <c r="E1745" s="2" t="s">
        <v>224</v>
      </c>
      <c r="F1745" s="2" t="s">
        <v>535</v>
      </c>
      <c r="G1745" s="2" t="s">
        <v>465</v>
      </c>
      <c r="H1745" s="2" t="s">
        <v>466</v>
      </c>
      <c r="I1745" s="26">
        <v>45465</v>
      </c>
      <c r="J1745" s="2">
        <v>25</v>
      </c>
      <c r="K1745" s="2" t="s">
        <v>225</v>
      </c>
      <c r="L1745" s="22">
        <v>4000</v>
      </c>
      <c r="M1745" s="22">
        <v>100000</v>
      </c>
      <c r="N1745" s="18">
        <v>106.95</v>
      </c>
      <c r="O1745" s="26">
        <v>46195</v>
      </c>
      <c r="P1745" s="2" t="s">
        <v>2105</v>
      </c>
      <c r="Q1745" s="2" t="s">
        <v>806</v>
      </c>
    </row>
    <row r="1746" spans="2:17" x14ac:dyDescent="0.25">
      <c r="B1746" s="2" t="s">
        <v>2551</v>
      </c>
      <c r="C1746" s="2" t="s">
        <v>226</v>
      </c>
      <c r="D1746" s="2" t="s">
        <v>227</v>
      </c>
      <c r="E1746" s="2" t="s">
        <v>224</v>
      </c>
      <c r="F1746" s="2" t="s">
        <v>537</v>
      </c>
      <c r="G1746" s="2" t="s">
        <v>470</v>
      </c>
      <c r="H1746" s="2" t="s">
        <v>471</v>
      </c>
      <c r="I1746" s="26">
        <v>45527</v>
      </c>
      <c r="J1746" s="2">
        <v>25</v>
      </c>
      <c r="K1746" s="2" t="s">
        <v>225</v>
      </c>
      <c r="L1746" s="22">
        <v>4050</v>
      </c>
      <c r="M1746" s="22">
        <v>101250</v>
      </c>
      <c r="N1746" s="18">
        <v>108.29</v>
      </c>
      <c r="O1746" s="26">
        <v>46257</v>
      </c>
      <c r="P1746" s="2" t="s">
        <v>2105</v>
      </c>
      <c r="Q1746" s="2" t="s">
        <v>806</v>
      </c>
    </row>
    <row r="1747" spans="2:17" x14ac:dyDescent="0.25">
      <c r="B1747" s="2" t="s">
        <v>2552</v>
      </c>
      <c r="C1747" s="2" t="s">
        <v>226</v>
      </c>
      <c r="D1747" s="2" t="s">
        <v>227</v>
      </c>
      <c r="E1747" s="2" t="s">
        <v>224</v>
      </c>
      <c r="F1747" s="2" t="s">
        <v>535</v>
      </c>
      <c r="G1747" s="2" t="s">
        <v>465</v>
      </c>
      <c r="H1747" s="2" t="s">
        <v>466</v>
      </c>
      <c r="I1747" s="26">
        <v>45572</v>
      </c>
      <c r="J1747" s="2">
        <v>20</v>
      </c>
      <c r="K1747" s="2" t="s">
        <v>225</v>
      </c>
      <c r="L1747" s="22">
        <v>4000</v>
      </c>
      <c r="M1747" s="22">
        <v>80000</v>
      </c>
      <c r="N1747" s="18">
        <v>85.56</v>
      </c>
      <c r="O1747" s="26">
        <v>46302</v>
      </c>
      <c r="P1747" s="2" t="s">
        <v>2105</v>
      </c>
      <c r="Q1747" s="2" t="s">
        <v>814</v>
      </c>
    </row>
    <row r="1748" spans="2:17" x14ac:dyDescent="0.25">
      <c r="B1748" s="2" t="s">
        <v>2553</v>
      </c>
      <c r="C1748" s="2" t="s">
        <v>226</v>
      </c>
      <c r="D1748" s="2" t="s">
        <v>227</v>
      </c>
      <c r="E1748" s="2" t="s">
        <v>224</v>
      </c>
      <c r="F1748" s="2" t="s">
        <v>535</v>
      </c>
      <c r="G1748" s="2" t="s">
        <v>465</v>
      </c>
      <c r="H1748" s="2" t="s">
        <v>466</v>
      </c>
      <c r="I1748" s="26">
        <v>45637</v>
      </c>
      <c r="J1748" s="2">
        <v>32</v>
      </c>
      <c r="K1748" s="2" t="s">
        <v>225</v>
      </c>
      <c r="L1748" s="22">
        <v>4000</v>
      </c>
      <c r="M1748" s="22">
        <v>128000</v>
      </c>
      <c r="N1748" s="18">
        <v>136.9</v>
      </c>
      <c r="O1748" s="26">
        <v>46367</v>
      </c>
      <c r="P1748" s="2" t="s">
        <v>2105</v>
      </c>
      <c r="Q1748" s="2" t="s">
        <v>825</v>
      </c>
    </row>
    <row r="1749" spans="2:17" x14ac:dyDescent="0.25">
      <c r="B1749" s="2" t="s">
        <v>2554</v>
      </c>
      <c r="C1749" s="2" t="s">
        <v>226</v>
      </c>
      <c r="D1749" s="2" t="s">
        <v>227</v>
      </c>
      <c r="E1749" s="2" t="s">
        <v>224</v>
      </c>
      <c r="F1749" s="2" t="s">
        <v>535</v>
      </c>
      <c r="G1749" s="2" t="s">
        <v>465</v>
      </c>
      <c r="H1749" s="2" t="s">
        <v>466</v>
      </c>
      <c r="I1749" s="26">
        <v>45698</v>
      </c>
      <c r="J1749" s="2">
        <v>26</v>
      </c>
      <c r="K1749" s="2" t="s">
        <v>225</v>
      </c>
      <c r="L1749" s="22">
        <v>4000</v>
      </c>
      <c r="M1749" s="22">
        <v>104000</v>
      </c>
      <c r="N1749" s="18">
        <v>111.23</v>
      </c>
      <c r="O1749" s="26">
        <v>46428</v>
      </c>
      <c r="P1749" s="2" t="s">
        <v>2105</v>
      </c>
      <c r="Q1749" s="2" t="s">
        <v>825</v>
      </c>
    </row>
    <row r="1750" spans="2:17" x14ac:dyDescent="0.25">
      <c r="B1750" s="2" t="s">
        <v>2555</v>
      </c>
      <c r="C1750" s="2" t="s">
        <v>226</v>
      </c>
      <c r="D1750" s="2" t="s">
        <v>227</v>
      </c>
      <c r="E1750" s="2" t="s">
        <v>224</v>
      </c>
      <c r="F1750" s="2" t="s">
        <v>535</v>
      </c>
      <c r="G1750" s="2" t="s">
        <v>465</v>
      </c>
      <c r="H1750" s="2" t="s">
        <v>466</v>
      </c>
      <c r="I1750" s="26">
        <v>45774</v>
      </c>
      <c r="J1750" s="2">
        <v>26</v>
      </c>
      <c r="K1750" s="2" t="s">
        <v>225</v>
      </c>
      <c r="L1750" s="22">
        <v>4000</v>
      </c>
      <c r="M1750" s="22">
        <v>104000</v>
      </c>
      <c r="N1750" s="18">
        <v>111.23</v>
      </c>
      <c r="O1750" s="26">
        <v>46504</v>
      </c>
      <c r="P1750" s="2" t="s">
        <v>2105</v>
      </c>
      <c r="Q1750" s="2" t="s">
        <v>836</v>
      </c>
    </row>
    <row r="1751" spans="2:17" x14ac:dyDescent="0.25">
      <c r="B1751" s="2" t="s">
        <v>2556</v>
      </c>
      <c r="C1751" s="2" t="s">
        <v>226</v>
      </c>
      <c r="D1751" s="2" t="s">
        <v>227</v>
      </c>
      <c r="E1751" s="2" t="s">
        <v>224</v>
      </c>
      <c r="F1751" s="2" t="s">
        <v>535</v>
      </c>
      <c r="G1751" s="2" t="s">
        <v>465</v>
      </c>
      <c r="H1751" s="2" t="s">
        <v>466</v>
      </c>
      <c r="I1751" s="26">
        <v>45829</v>
      </c>
      <c r="J1751" s="2">
        <v>30</v>
      </c>
      <c r="K1751" s="2" t="s">
        <v>225</v>
      </c>
      <c r="L1751" s="22">
        <v>4000</v>
      </c>
      <c r="M1751" s="22">
        <v>120000</v>
      </c>
      <c r="N1751" s="18">
        <v>128.34</v>
      </c>
      <c r="O1751" s="26">
        <v>46559</v>
      </c>
      <c r="P1751" s="2" t="s">
        <v>2105</v>
      </c>
      <c r="Q1751" s="2" t="s">
        <v>806</v>
      </c>
    </row>
    <row r="1752" spans="2:17" x14ac:dyDescent="0.25">
      <c r="B1752" s="2" t="s">
        <v>2557</v>
      </c>
      <c r="C1752" s="2" t="s">
        <v>228</v>
      </c>
      <c r="D1752" s="2" t="s">
        <v>229</v>
      </c>
      <c r="E1752" s="2" t="s">
        <v>224</v>
      </c>
      <c r="F1752" s="2" t="s">
        <v>535</v>
      </c>
      <c r="G1752" s="2" t="s">
        <v>465</v>
      </c>
      <c r="H1752" s="2" t="s">
        <v>466</v>
      </c>
      <c r="I1752" s="26">
        <v>45112</v>
      </c>
      <c r="J1752" s="2">
        <v>22</v>
      </c>
      <c r="K1752" s="2" t="s">
        <v>225</v>
      </c>
      <c r="L1752" s="22">
        <v>3450</v>
      </c>
      <c r="M1752" s="22">
        <v>75900</v>
      </c>
      <c r="N1752" s="18">
        <v>81.180000000000007</v>
      </c>
      <c r="O1752" s="26">
        <v>45842</v>
      </c>
      <c r="P1752" s="2" t="s">
        <v>2105</v>
      </c>
      <c r="Q1752" s="2" t="s">
        <v>806</v>
      </c>
    </row>
    <row r="1753" spans="2:17" x14ac:dyDescent="0.25">
      <c r="B1753" s="2" t="s">
        <v>2558</v>
      </c>
      <c r="C1753" s="2" t="s">
        <v>228</v>
      </c>
      <c r="D1753" s="2" t="s">
        <v>229</v>
      </c>
      <c r="E1753" s="2" t="s">
        <v>224</v>
      </c>
      <c r="F1753" s="2" t="s">
        <v>535</v>
      </c>
      <c r="G1753" s="2" t="s">
        <v>465</v>
      </c>
      <c r="H1753" s="2" t="s">
        <v>466</v>
      </c>
      <c r="I1753" s="26">
        <v>45173</v>
      </c>
      <c r="J1753" s="2">
        <v>27</v>
      </c>
      <c r="K1753" s="2" t="s">
        <v>225</v>
      </c>
      <c r="L1753" s="22">
        <v>3450</v>
      </c>
      <c r="M1753" s="22">
        <v>93150</v>
      </c>
      <c r="N1753" s="18">
        <v>99.63</v>
      </c>
      <c r="O1753" s="26">
        <v>45903</v>
      </c>
      <c r="P1753" s="2" t="s">
        <v>2105</v>
      </c>
      <c r="Q1753" s="2" t="s">
        <v>814</v>
      </c>
    </row>
    <row r="1754" spans="2:17" x14ac:dyDescent="0.25">
      <c r="B1754" s="2" t="s">
        <v>2559</v>
      </c>
      <c r="C1754" s="2" t="s">
        <v>228</v>
      </c>
      <c r="D1754" s="2" t="s">
        <v>229</v>
      </c>
      <c r="E1754" s="2" t="s">
        <v>224</v>
      </c>
      <c r="F1754" s="2" t="s">
        <v>535</v>
      </c>
      <c r="G1754" s="2" t="s">
        <v>465</v>
      </c>
      <c r="H1754" s="2" t="s">
        <v>466</v>
      </c>
      <c r="I1754" s="26">
        <v>45236</v>
      </c>
      <c r="J1754" s="2">
        <v>23</v>
      </c>
      <c r="K1754" s="2" t="s">
        <v>225</v>
      </c>
      <c r="L1754" s="22">
        <v>3450</v>
      </c>
      <c r="M1754" s="22">
        <v>79350</v>
      </c>
      <c r="N1754" s="18">
        <v>84.87</v>
      </c>
      <c r="O1754" s="26">
        <v>45966</v>
      </c>
      <c r="P1754" s="2" t="s">
        <v>2105</v>
      </c>
      <c r="Q1754" s="2" t="s">
        <v>814</v>
      </c>
    </row>
    <row r="1755" spans="2:17" x14ac:dyDescent="0.25">
      <c r="B1755" s="2" t="s">
        <v>2560</v>
      </c>
      <c r="C1755" s="2" t="s">
        <v>228</v>
      </c>
      <c r="D1755" s="2" t="s">
        <v>229</v>
      </c>
      <c r="E1755" s="2" t="s">
        <v>224</v>
      </c>
      <c r="F1755" s="2" t="s">
        <v>535</v>
      </c>
      <c r="G1755" s="2" t="s">
        <v>465</v>
      </c>
      <c r="H1755" s="2" t="s">
        <v>466</v>
      </c>
      <c r="I1755" s="26">
        <v>45324</v>
      </c>
      <c r="J1755" s="2">
        <v>25</v>
      </c>
      <c r="K1755" s="2" t="s">
        <v>225</v>
      </c>
      <c r="L1755" s="22">
        <v>3450</v>
      </c>
      <c r="M1755" s="22">
        <v>86250</v>
      </c>
      <c r="N1755" s="18">
        <v>92.25</v>
      </c>
      <c r="O1755" s="26">
        <v>46054</v>
      </c>
      <c r="P1755" s="2" t="s">
        <v>2105</v>
      </c>
      <c r="Q1755" s="2" t="s">
        <v>825</v>
      </c>
    </row>
    <row r="1756" spans="2:17" x14ac:dyDescent="0.25">
      <c r="B1756" s="2" t="s">
        <v>2561</v>
      </c>
      <c r="C1756" s="2" t="s">
        <v>228</v>
      </c>
      <c r="D1756" s="2" t="s">
        <v>229</v>
      </c>
      <c r="E1756" s="2" t="s">
        <v>224</v>
      </c>
      <c r="F1756" s="2" t="s">
        <v>535</v>
      </c>
      <c r="G1756" s="2" t="s">
        <v>465</v>
      </c>
      <c r="H1756" s="2" t="s">
        <v>466</v>
      </c>
      <c r="I1756" s="26">
        <v>45384</v>
      </c>
      <c r="J1756" s="2">
        <v>27</v>
      </c>
      <c r="K1756" s="2" t="s">
        <v>225</v>
      </c>
      <c r="L1756" s="22">
        <v>3450</v>
      </c>
      <c r="M1756" s="22">
        <v>93150</v>
      </c>
      <c r="N1756" s="18">
        <v>99.63</v>
      </c>
      <c r="O1756" s="26">
        <v>46114</v>
      </c>
      <c r="P1756" s="2" t="s">
        <v>2105</v>
      </c>
      <c r="Q1756" s="2" t="s">
        <v>836</v>
      </c>
    </row>
    <row r="1757" spans="2:17" x14ac:dyDescent="0.25">
      <c r="B1757" s="2" t="s">
        <v>2562</v>
      </c>
      <c r="C1757" s="2" t="s">
        <v>228</v>
      </c>
      <c r="D1757" s="2" t="s">
        <v>229</v>
      </c>
      <c r="E1757" s="2" t="s">
        <v>224</v>
      </c>
      <c r="F1757" s="2" t="s">
        <v>535</v>
      </c>
      <c r="G1757" s="2" t="s">
        <v>465</v>
      </c>
      <c r="H1757" s="2" t="s">
        <v>466</v>
      </c>
      <c r="I1757" s="26">
        <v>45438</v>
      </c>
      <c r="J1757" s="2">
        <v>27</v>
      </c>
      <c r="K1757" s="2" t="s">
        <v>225</v>
      </c>
      <c r="L1757" s="22">
        <v>3450</v>
      </c>
      <c r="M1757" s="22">
        <v>93150</v>
      </c>
      <c r="N1757" s="18">
        <v>99.63</v>
      </c>
      <c r="O1757" s="26">
        <v>46168</v>
      </c>
      <c r="P1757" s="2" t="s">
        <v>2105</v>
      </c>
      <c r="Q1757" s="2" t="s">
        <v>836</v>
      </c>
    </row>
    <row r="1758" spans="2:17" x14ac:dyDescent="0.25">
      <c r="B1758" s="2" t="s">
        <v>2563</v>
      </c>
      <c r="C1758" s="2" t="s">
        <v>228</v>
      </c>
      <c r="D1758" s="2" t="s">
        <v>229</v>
      </c>
      <c r="E1758" s="2" t="s">
        <v>224</v>
      </c>
      <c r="F1758" s="2" t="s">
        <v>535</v>
      </c>
      <c r="G1758" s="2" t="s">
        <v>465</v>
      </c>
      <c r="H1758" s="2" t="s">
        <v>466</v>
      </c>
      <c r="I1758" s="26">
        <v>45511</v>
      </c>
      <c r="J1758" s="2">
        <v>24</v>
      </c>
      <c r="K1758" s="2" t="s">
        <v>225</v>
      </c>
      <c r="L1758" s="22">
        <v>3450</v>
      </c>
      <c r="M1758" s="22">
        <v>82800</v>
      </c>
      <c r="N1758" s="18">
        <v>88.56</v>
      </c>
      <c r="O1758" s="26">
        <v>46241</v>
      </c>
      <c r="P1758" s="2" t="s">
        <v>2105</v>
      </c>
      <c r="Q1758" s="2" t="s">
        <v>806</v>
      </c>
    </row>
    <row r="1759" spans="2:17" x14ac:dyDescent="0.25">
      <c r="B1759" s="2" t="s">
        <v>2564</v>
      </c>
      <c r="C1759" s="2" t="s">
        <v>228</v>
      </c>
      <c r="D1759" s="2" t="s">
        <v>229</v>
      </c>
      <c r="E1759" s="2" t="s">
        <v>224</v>
      </c>
      <c r="F1759" s="2" t="s">
        <v>535</v>
      </c>
      <c r="G1759" s="2" t="s">
        <v>465</v>
      </c>
      <c r="H1759" s="2" t="s">
        <v>466</v>
      </c>
      <c r="I1759" s="26">
        <v>45571</v>
      </c>
      <c r="J1759" s="2">
        <v>25</v>
      </c>
      <c r="K1759" s="2" t="s">
        <v>225</v>
      </c>
      <c r="L1759" s="22">
        <v>3450</v>
      </c>
      <c r="M1759" s="22">
        <v>86250</v>
      </c>
      <c r="N1759" s="18">
        <v>92.25</v>
      </c>
      <c r="O1759" s="26">
        <v>46301</v>
      </c>
      <c r="P1759" s="2" t="s">
        <v>2105</v>
      </c>
      <c r="Q1759" s="2" t="s">
        <v>814</v>
      </c>
    </row>
    <row r="1760" spans="2:17" x14ac:dyDescent="0.25">
      <c r="B1760" s="2" t="s">
        <v>2565</v>
      </c>
      <c r="C1760" s="2" t="s">
        <v>228</v>
      </c>
      <c r="D1760" s="2" t="s">
        <v>229</v>
      </c>
      <c r="E1760" s="2" t="s">
        <v>224</v>
      </c>
      <c r="F1760" s="2" t="s">
        <v>535</v>
      </c>
      <c r="G1760" s="2" t="s">
        <v>465</v>
      </c>
      <c r="H1760" s="2" t="s">
        <v>466</v>
      </c>
      <c r="I1760" s="26">
        <v>45620</v>
      </c>
      <c r="J1760" s="2">
        <v>26</v>
      </c>
      <c r="K1760" s="2" t="s">
        <v>225</v>
      </c>
      <c r="L1760" s="22">
        <v>3450</v>
      </c>
      <c r="M1760" s="22">
        <v>89700</v>
      </c>
      <c r="N1760" s="18">
        <v>95.94</v>
      </c>
      <c r="O1760" s="26">
        <v>46350</v>
      </c>
      <c r="P1760" s="2" t="s">
        <v>2105</v>
      </c>
      <c r="Q1760" s="2" t="s">
        <v>814</v>
      </c>
    </row>
    <row r="1761" spans="2:17" x14ac:dyDescent="0.25">
      <c r="B1761" s="2" t="s">
        <v>2566</v>
      </c>
      <c r="C1761" s="2" t="s">
        <v>228</v>
      </c>
      <c r="D1761" s="2" t="s">
        <v>229</v>
      </c>
      <c r="E1761" s="2" t="s">
        <v>224</v>
      </c>
      <c r="F1761" s="2" t="s">
        <v>535</v>
      </c>
      <c r="G1761" s="2" t="s">
        <v>465</v>
      </c>
      <c r="H1761" s="2" t="s">
        <v>466</v>
      </c>
      <c r="I1761" s="26">
        <v>45670</v>
      </c>
      <c r="J1761" s="2">
        <v>26</v>
      </c>
      <c r="K1761" s="2" t="s">
        <v>225</v>
      </c>
      <c r="L1761" s="22">
        <v>3450</v>
      </c>
      <c r="M1761" s="22">
        <v>89700</v>
      </c>
      <c r="N1761" s="18">
        <v>95.94</v>
      </c>
      <c r="O1761" s="26">
        <v>46400</v>
      </c>
      <c r="P1761" s="2" t="s">
        <v>2105</v>
      </c>
      <c r="Q1761" s="2" t="s">
        <v>825</v>
      </c>
    </row>
    <row r="1762" spans="2:17" x14ac:dyDescent="0.25">
      <c r="B1762" s="2" t="s">
        <v>2567</v>
      </c>
      <c r="C1762" s="2" t="s">
        <v>228</v>
      </c>
      <c r="D1762" s="2" t="s">
        <v>229</v>
      </c>
      <c r="E1762" s="2" t="s">
        <v>224</v>
      </c>
      <c r="F1762" s="2" t="s">
        <v>535</v>
      </c>
      <c r="G1762" s="2" t="s">
        <v>465</v>
      </c>
      <c r="H1762" s="2" t="s">
        <v>466</v>
      </c>
      <c r="I1762" s="26">
        <v>45720</v>
      </c>
      <c r="J1762" s="2">
        <v>29</v>
      </c>
      <c r="K1762" s="2" t="s">
        <v>225</v>
      </c>
      <c r="L1762" s="22">
        <v>3450</v>
      </c>
      <c r="M1762" s="22">
        <v>100050</v>
      </c>
      <c r="N1762" s="18">
        <v>107.01</v>
      </c>
      <c r="O1762" s="26">
        <v>46450</v>
      </c>
      <c r="P1762" s="2" t="s">
        <v>2105</v>
      </c>
      <c r="Q1762" s="2" t="s">
        <v>836</v>
      </c>
    </row>
    <row r="1763" spans="2:17" x14ac:dyDescent="0.25">
      <c r="B1763" s="2" t="s">
        <v>2568</v>
      </c>
      <c r="C1763" s="2" t="s">
        <v>228</v>
      </c>
      <c r="D1763" s="2" t="s">
        <v>229</v>
      </c>
      <c r="E1763" s="2" t="s">
        <v>224</v>
      </c>
      <c r="F1763" s="2" t="s">
        <v>535</v>
      </c>
      <c r="G1763" s="2" t="s">
        <v>465</v>
      </c>
      <c r="H1763" s="2" t="s">
        <v>466</v>
      </c>
      <c r="I1763" s="26">
        <v>45782</v>
      </c>
      <c r="J1763" s="2">
        <v>24</v>
      </c>
      <c r="K1763" s="2" t="s">
        <v>225</v>
      </c>
      <c r="L1763" s="22">
        <v>3450</v>
      </c>
      <c r="M1763" s="22">
        <v>82800</v>
      </c>
      <c r="N1763" s="18">
        <v>88.56</v>
      </c>
      <c r="O1763" s="26">
        <v>46512</v>
      </c>
      <c r="P1763" s="2" t="s">
        <v>2105</v>
      </c>
      <c r="Q1763" s="2" t="s">
        <v>836</v>
      </c>
    </row>
    <row r="1764" spans="2:17" x14ac:dyDescent="0.25">
      <c r="B1764" s="2" t="s">
        <v>2569</v>
      </c>
      <c r="C1764" s="2" t="s">
        <v>230</v>
      </c>
      <c r="D1764" s="2" t="s">
        <v>231</v>
      </c>
      <c r="E1764" s="2" t="s">
        <v>224</v>
      </c>
      <c r="F1764" s="2" t="s">
        <v>535</v>
      </c>
      <c r="G1764" s="2" t="s">
        <v>465</v>
      </c>
      <c r="H1764" s="2" t="s">
        <v>466</v>
      </c>
      <c r="I1764" s="26">
        <v>45133</v>
      </c>
      <c r="J1764" s="2">
        <v>23</v>
      </c>
      <c r="K1764" s="2" t="s">
        <v>225</v>
      </c>
      <c r="L1764" s="22">
        <v>4100</v>
      </c>
      <c r="M1764" s="22">
        <v>94300</v>
      </c>
      <c r="N1764" s="18">
        <v>100.86</v>
      </c>
      <c r="O1764" s="26">
        <v>45863</v>
      </c>
      <c r="P1764" s="2" t="s">
        <v>2105</v>
      </c>
      <c r="Q1764" s="2" t="s">
        <v>806</v>
      </c>
    </row>
    <row r="1765" spans="2:17" x14ac:dyDescent="0.25">
      <c r="B1765" s="2" t="s">
        <v>2570</v>
      </c>
      <c r="C1765" s="2" t="s">
        <v>230</v>
      </c>
      <c r="D1765" s="2" t="s">
        <v>231</v>
      </c>
      <c r="E1765" s="2" t="s">
        <v>224</v>
      </c>
      <c r="F1765" s="2" t="s">
        <v>535</v>
      </c>
      <c r="G1765" s="2" t="s">
        <v>465</v>
      </c>
      <c r="H1765" s="2" t="s">
        <v>466</v>
      </c>
      <c r="I1765" s="26">
        <v>45181</v>
      </c>
      <c r="J1765" s="2">
        <v>27</v>
      </c>
      <c r="K1765" s="2" t="s">
        <v>225</v>
      </c>
      <c r="L1765" s="22">
        <v>4100</v>
      </c>
      <c r="M1765" s="22">
        <v>110700</v>
      </c>
      <c r="N1765" s="18">
        <v>118.4</v>
      </c>
      <c r="O1765" s="26">
        <v>45911</v>
      </c>
      <c r="P1765" s="2" t="s">
        <v>2105</v>
      </c>
      <c r="Q1765" s="2" t="s">
        <v>814</v>
      </c>
    </row>
    <row r="1766" spans="2:17" x14ac:dyDescent="0.25">
      <c r="B1766" s="2" t="s">
        <v>2571</v>
      </c>
      <c r="C1766" s="2" t="s">
        <v>230</v>
      </c>
      <c r="D1766" s="2" t="s">
        <v>231</v>
      </c>
      <c r="E1766" s="2" t="s">
        <v>224</v>
      </c>
      <c r="F1766" s="2" t="s">
        <v>535</v>
      </c>
      <c r="G1766" s="2" t="s">
        <v>465</v>
      </c>
      <c r="H1766" s="2" t="s">
        <v>466</v>
      </c>
      <c r="I1766" s="26">
        <v>45229</v>
      </c>
      <c r="J1766" s="2">
        <v>23</v>
      </c>
      <c r="K1766" s="2" t="s">
        <v>225</v>
      </c>
      <c r="L1766" s="22">
        <v>4100</v>
      </c>
      <c r="M1766" s="22">
        <v>94300</v>
      </c>
      <c r="N1766" s="18">
        <v>100.86</v>
      </c>
      <c r="O1766" s="26">
        <v>45959</v>
      </c>
      <c r="P1766" s="2" t="s">
        <v>2105</v>
      </c>
      <c r="Q1766" s="2" t="s">
        <v>814</v>
      </c>
    </row>
    <row r="1767" spans="2:17" x14ac:dyDescent="0.25">
      <c r="B1767" s="2" t="s">
        <v>2572</v>
      </c>
      <c r="C1767" s="2" t="s">
        <v>230</v>
      </c>
      <c r="D1767" s="2" t="s">
        <v>231</v>
      </c>
      <c r="E1767" s="2" t="s">
        <v>224</v>
      </c>
      <c r="F1767" s="2" t="s">
        <v>535</v>
      </c>
      <c r="G1767" s="2" t="s">
        <v>465</v>
      </c>
      <c r="H1767" s="2" t="s">
        <v>466</v>
      </c>
      <c r="I1767" s="26">
        <v>45274</v>
      </c>
      <c r="J1767" s="2">
        <v>28</v>
      </c>
      <c r="K1767" s="2" t="s">
        <v>225</v>
      </c>
      <c r="L1767" s="22">
        <v>4100</v>
      </c>
      <c r="M1767" s="22">
        <v>114800</v>
      </c>
      <c r="N1767" s="18">
        <v>122.78</v>
      </c>
      <c r="O1767" s="26">
        <v>46004</v>
      </c>
      <c r="P1767" s="2" t="s">
        <v>2105</v>
      </c>
      <c r="Q1767" s="2" t="s">
        <v>825</v>
      </c>
    </row>
    <row r="1768" spans="2:17" x14ac:dyDescent="0.25">
      <c r="B1768" s="2" t="s">
        <v>2573</v>
      </c>
      <c r="C1768" s="2" t="s">
        <v>230</v>
      </c>
      <c r="D1768" s="2" t="s">
        <v>231</v>
      </c>
      <c r="E1768" s="2" t="s">
        <v>224</v>
      </c>
      <c r="F1768" s="2" t="s">
        <v>537</v>
      </c>
      <c r="G1768" s="2" t="s">
        <v>470</v>
      </c>
      <c r="H1768" s="2" t="s">
        <v>471</v>
      </c>
      <c r="I1768" s="26">
        <v>45344</v>
      </c>
      <c r="J1768" s="2">
        <v>24</v>
      </c>
      <c r="K1768" s="2" t="s">
        <v>225</v>
      </c>
      <c r="L1768" s="22">
        <v>4450</v>
      </c>
      <c r="M1768" s="22">
        <v>106800</v>
      </c>
      <c r="N1768" s="18">
        <v>114.22</v>
      </c>
      <c r="O1768" s="26">
        <v>46074</v>
      </c>
      <c r="P1768" s="2" t="s">
        <v>2105</v>
      </c>
      <c r="Q1768" s="2" t="s">
        <v>825</v>
      </c>
    </row>
    <row r="1769" spans="2:17" x14ac:dyDescent="0.25">
      <c r="B1769" s="2" t="s">
        <v>2574</v>
      </c>
      <c r="C1769" s="2" t="s">
        <v>230</v>
      </c>
      <c r="D1769" s="2" t="s">
        <v>231</v>
      </c>
      <c r="E1769" s="2" t="s">
        <v>224</v>
      </c>
      <c r="F1769" s="2" t="s">
        <v>535</v>
      </c>
      <c r="G1769" s="2" t="s">
        <v>465</v>
      </c>
      <c r="H1769" s="2" t="s">
        <v>466</v>
      </c>
      <c r="I1769" s="26">
        <v>45407</v>
      </c>
      <c r="J1769" s="2">
        <v>22</v>
      </c>
      <c r="K1769" s="2" t="s">
        <v>225</v>
      </c>
      <c r="L1769" s="22">
        <v>4100</v>
      </c>
      <c r="M1769" s="22">
        <v>90200</v>
      </c>
      <c r="N1769" s="18">
        <v>96.47</v>
      </c>
      <c r="O1769" s="26">
        <v>46137</v>
      </c>
      <c r="P1769" s="2" t="s">
        <v>2105</v>
      </c>
      <c r="Q1769" s="2" t="s">
        <v>836</v>
      </c>
    </row>
    <row r="1770" spans="2:17" x14ac:dyDescent="0.25">
      <c r="B1770" s="2" t="s">
        <v>2575</v>
      </c>
      <c r="C1770" s="2" t="s">
        <v>230</v>
      </c>
      <c r="D1770" s="2" t="s">
        <v>231</v>
      </c>
      <c r="E1770" s="2" t="s">
        <v>224</v>
      </c>
      <c r="F1770" s="2" t="s">
        <v>535</v>
      </c>
      <c r="G1770" s="2" t="s">
        <v>465</v>
      </c>
      <c r="H1770" s="2" t="s">
        <v>466</v>
      </c>
      <c r="I1770" s="26">
        <v>45451</v>
      </c>
      <c r="J1770" s="2">
        <v>26</v>
      </c>
      <c r="K1770" s="2" t="s">
        <v>225</v>
      </c>
      <c r="L1770" s="22">
        <v>4100</v>
      </c>
      <c r="M1770" s="22">
        <v>106600</v>
      </c>
      <c r="N1770" s="18">
        <v>114.01</v>
      </c>
      <c r="O1770" s="26">
        <v>46181</v>
      </c>
      <c r="P1770" s="2" t="s">
        <v>2105</v>
      </c>
      <c r="Q1770" s="2" t="s">
        <v>806</v>
      </c>
    </row>
    <row r="1771" spans="2:17" x14ac:dyDescent="0.25">
      <c r="B1771" s="2" t="s">
        <v>2576</v>
      </c>
      <c r="C1771" s="2" t="s">
        <v>230</v>
      </c>
      <c r="D1771" s="2" t="s">
        <v>231</v>
      </c>
      <c r="E1771" s="2" t="s">
        <v>224</v>
      </c>
      <c r="F1771" s="2" t="s">
        <v>535</v>
      </c>
      <c r="G1771" s="2" t="s">
        <v>465</v>
      </c>
      <c r="H1771" s="2" t="s">
        <v>466</v>
      </c>
      <c r="I1771" s="26">
        <v>45518</v>
      </c>
      <c r="J1771" s="2">
        <v>25</v>
      </c>
      <c r="K1771" s="2" t="s">
        <v>225</v>
      </c>
      <c r="L1771" s="22">
        <v>4100</v>
      </c>
      <c r="M1771" s="22">
        <v>102500</v>
      </c>
      <c r="N1771" s="18">
        <v>109.63</v>
      </c>
      <c r="O1771" s="26">
        <v>46248</v>
      </c>
      <c r="P1771" s="2" t="s">
        <v>2105</v>
      </c>
      <c r="Q1771" s="2" t="s">
        <v>806</v>
      </c>
    </row>
    <row r="1772" spans="2:17" x14ac:dyDescent="0.25">
      <c r="B1772" s="2" t="s">
        <v>2577</v>
      </c>
      <c r="C1772" s="2" t="s">
        <v>230</v>
      </c>
      <c r="D1772" s="2" t="s">
        <v>231</v>
      </c>
      <c r="E1772" s="2" t="s">
        <v>224</v>
      </c>
      <c r="F1772" s="2" t="s">
        <v>535</v>
      </c>
      <c r="G1772" s="2" t="s">
        <v>465</v>
      </c>
      <c r="H1772" s="2" t="s">
        <v>466</v>
      </c>
      <c r="I1772" s="26">
        <v>45574</v>
      </c>
      <c r="J1772" s="2">
        <v>25</v>
      </c>
      <c r="K1772" s="2" t="s">
        <v>225</v>
      </c>
      <c r="L1772" s="22">
        <v>4100</v>
      </c>
      <c r="M1772" s="22">
        <v>102500</v>
      </c>
      <c r="N1772" s="18">
        <v>109.63</v>
      </c>
      <c r="O1772" s="26">
        <v>46304</v>
      </c>
      <c r="P1772" s="2" t="s">
        <v>2105</v>
      </c>
      <c r="Q1772" s="2" t="s">
        <v>814</v>
      </c>
    </row>
    <row r="1773" spans="2:17" x14ac:dyDescent="0.25">
      <c r="B1773" s="2" t="s">
        <v>2578</v>
      </c>
      <c r="C1773" s="2" t="s">
        <v>230</v>
      </c>
      <c r="D1773" s="2" t="s">
        <v>231</v>
      </c>
      <c r="E1773" s="2" t="s">
        <v>224</v>
      </c>
      <c r="F1773" s="2" t="s">
        <v>535</v>
      </c>
      <c r="G1773" s="2" t="s">
        <v>465</v>
      </c>
      <c r="H1773" s="2" t="s">
        <v>466</v>
      </c>
      <c r="I1773" s="26">
        <v>45632</v>
      </c>
      <c r="J1773" s="2">
        <v>29</v>
      </c>
      <c r="K1773" s="2" t="s">
        <v>225</v>
      </c>
      <c r="L1773" s="22">
        <v>4100</v>
      </c>
      <c r="M1773" s="22">
        <v>118900</v>
      </c>
      <c r="N1773" s="18">
        <v>127.17</v>
      </c>
      <c r="O1773" s="26">
        <v>46362</v>
      </c>
      <c r="P1773" s="2" t="s">
        <v>2105</v>
      </c>
      <c r="Q1773" s="2" t="s">
        <v>825</v>
      </c>
    </row>
    <row r="1774" spans="2:17" x14ac:dyDescent="0.25">
      <c r="B1774" s="2" t="s">
        <v>2579</v>
      </c>
      <c r="C1774" s="2" t="s">
        <v>230</v>
      </c>
      <c r="D1774" s="2" t="s">
        <v>231</v>
      </c>
      <c r="E1774" s="2" t="s">
        <v>224</v>
      </c>
      <c r="F1774" s="2" t="s">
        <v>535</v>
      </c>
      <c r="G1774" s="2" t="s">
        <v>465</v>
      </c>
      <c r="H1774" s="2" t="s">
        <v>466</v>
      </c>
      <c r="I1774" s="26">
        <v>45689</v>
      </c>
      <c r="J1774" s="2">
        <v>24</v>
      </c>
      <c r="K1774" s="2" t="s">
        <v>225</v>
      </c>
      <c r="L1774" s="22">
        <v>4100</v>
      </c>
      <c r="M1774" s="22">
        <v>98400</v>
      </c>
      <c r="N1774" s="18">
        <v>105.24</v>
      </c>
      <c r="O1774" s="26">
        <v>46419</v>
      </c>
      <c r="P1774" s="2" t="s">
        <v>2105</v>
      </c>
      <c r="Q1774" s="2" t="s">
        <v>825</v>
      </c>
    </row>
    <row r="1775" spans="2:17" x14ac:dyDescent="0.25">
      <c r="B1775" s="2" t="s">
        <v>2580</v>
      </c>
      <c r="C1775" s="2" t="s">
        <v>230</v>
      </c>
      <c r="D1775" s="2" t="s">
        <v>231</v>
      </c>
      <c r="E1775" s="2" t="s">
        <v>224</v>
      </c>
      <c r="F1775" s="2" t="s">
        <v>535</v>
      </c>
      <c r="G1775" s="2" t="s">
        <v>465</v>
      </c>
      <c r="H1775" s="2" t="s">
        <v>466</v>
      </c>
      <c r="I1775" s="26">
        <v>45749</v>
      </c>
      <c r="J1775" s="2">
        <v>24</v>
      </c>
      <c r="K1775" s="2" t="s">
        <v>225</v>
      </c>
      <c r="L1775" s="22">
        <v>4100</v>
      </c>
      <c r="M1775" s="22">
        <v>98400</v>
      </c>
      <c r="N1775" s="18">
        <v>105.24</v>
      </c>
      <c r="O1775" s="26">
        <v>46479</v>
      </c>
      <c r="P1775" s="2" t="s">
        <v>2105</v>
      </c>
      <c r="Q1775" s="2" t="s">
        <v>836</v>
      </c>
    </row>
    <row r="1776" spans="2:17" x14ac:dyDescent="0.25">
      <c r="B1776" s="2" t="s">
        <v>2581</v>
      </c>
      <c r="C1776" s="2" t="s">
        <v>230</v>
      </c>
      <c r="D1776" s="2" t="s">
        <v>231</v>
      </c>
      <c r="E1776" s="2" t="s">
        <v>224</v>
      </c>
      <c r="F1776" s="2" t="s">
        <v>535</v>
      </c>
      <c r="G1776" s="2" t="s">
        <v>465</v>
      </c>
      <c r="H1776" s="2" t="s">
        <v>466</v>
      </c>
      <c r="I1776" s="26">
        <v>45812</v>
      </c>
      <c r="J1776" s="2">
        <v>27</v>
      </c>
      <c r="K1776" s="2" t="s">
        <v>225</v>
      </c>
      <c r="L1776" s="22">
        <v>4100</v>
      </c>
      <c r="M1776" s="22">
        <v>110700</v>
      </c>
      <c r="N1776" s="18">
        <v>118.4</v>
      </c>
      <c r="O1776" s="26">
        <v>46542</v>
      </c>
      <c r="P1776" s="2" t="s">
        <v>2105</v>
      </c>
      <c r="Q1776" s="2" t="s">
        <v>806</v>
      </c>
    </row>
    <row r="1777" spans="2:17" x14ac:dyDescent="0.25">
      <c r="B1777" s="2" t="s">
        <v>2582</v>
      </c>
      <c r="C1777" s="2" t="s">
        <v>232</v>
      </c>
      <c r="D1777" s="2" t="s">
        <v>233</v>
      </c>
      <c r="E1777" s="2" t="s">
        <v>224</v>
      </c>
      <c r="F1777" s="2" t="s">
        <v>535</v>
      </c>
      <c r="G1777" s="2" t="s">
        <v>465</v>
      </c>
      <c r="H1777" s="2" t="s">
        <v>466</v>
      </c>
      <c r="I1777" s="26">
        <v>45135</v>
      </c>
      <c r="J1777" s="2">
        <v>26</v>
      </c>
      <c r="K1777" s="2" t="s">
        <v>234</v>
      </c>
      <c r="L1777" s="22">
        <v>4700</v>
      </c>
      <c r="M1777" s="22">
        <v>122200</v>
      </c>
      <c r="N1777" s="18">
        <v>130.69999999999999</v>
      </c>
      <c r="O1777" s="26">
        <v>45865</v>
      </c>
      <c r="P1777" s="2" t="s">
        <v>2105</v>
      </c>
      <c r="Q1777" s="2" t="s">
        <v>806</v>
      </c>
    </row>
    <row r="1778" spans="2:17" x14ac:dyDescent="0.25">
      <c r="B1778" s="2" t="s">
        <v>2583</v>
      </c>
      <c r="C1778" s="2" t="s">
        <v>232</v>
      </c>
      <c r="D1778" s="2" t="s">
        <v>233</v>
      </c>
      <c r="E1778" s="2" t="s">
        <v>224</v>
      </c>
      <c r="F1778" s="2" t="s">
        <v>535</v>
      </c>
      <c r="G1778" s="2" t="s">
        <v>465</v>
      </c>
      <c r="H1778" s="2" t="s">
        <v>466</v>
      </c>
      <c r="I1778" s="26">
        <v>45184</v>
      </c>
      <c r="J1778" s="2">
        <v>33</v>
      </c>
      <c r="K1778" s="2" t="s">
        <v>234</v>
      </c>
      <c r="L1778" s="22">
        <v>4700</v>
      </c>
      <c r="M1778" s="22">
        <v>155100</v>
      </c>
      <c r="N1778" s="18">
        <v>165.88</v>
      </c>
      <c r="O1778" s="26">
        <v>45914</v>
      </c>
      <c r="P1778" s="2" t="s">
        <v>2105</v>
      </c>
      <c r="Q1778" s="2" t="s">
        <v>814</v>
      </c>
    </row>
    <row r="1779" spans="2:17" x14ac:dyDescent="0.25">
      <c r="B1779" s="2" t="s">
        <v>2584</v>
      </c>
      <c r="C1779" s="2" t="s">
        <v>232</v>
      </c>
      <c r="D1779" s="2" t="s">
        <v>233</v>
      </c>
      <c r="E1779" s="2" t="s">
        <v>224</v>
      </c>
      <c r="F1779" s="2" t="s">
        <v>535</v>
      </c>
      <c r="G1779" s="2" t="s">
        <v>465</v>
      </c>
      <c r="H1779" s="2" t="s">
        <v>466</v>
      </c>
      <c r="I1779" s="26">
        <v>45241</v>
      </c>
      <c r="J1779" s="2">
        <v>25</v>
      </c>
      <c r="K1779" s="2" t="s">
        <v>234</v>
      </c>
      <c r="L1779" s="22">
        <v>4700</v>
      </c>
      <c r="M1779" s="22">
        <v>117500</v>
      </c>
      <c r="N1779" s="18">
        <v>125.67</v>
      </c>
      <c r="O1779" s="26">
        <v>45971</v>
      </c>
      <c r="P1779" s="2" t="s">
        <v>2105</v>
      </c>
      <c r="Q1779" s="2" t="s">
        <v>814</v>
      </c>
    </row>
    <row r="1780" spans="2:17" x14ac:dyDescent="0.25">
      <c r="B1780" s="2" t="s">
        <v>2585</v>
      </c>
      <c r="C1780" s="2" t="s">
        <v>232</v>
      </c>
      <c r="D1780" s="2" t="s">
        <v>233</v>
      </c>
      <c r="E1780" s="2" t="s">
        <v>224</v>
      </c>
      <c r="F1780" s="2" t="s">
        <v>535</v>
      </c>
      <c r="G1780" s="2" t="s">
        <v>465</v>
      </c>
      <c r="H1780" s="2" t="s">
        <v>466</v>
      </c>
      <c r="I1780" s="26">
        <v>45320</v>
      </c>
      <c r="J1780" s="2">
        <v>25</v>
      </c>
      <c r="K1780" s="2" t="s">
        <v>234</v>
      </c>
      <c r="L1780" s="22">
        <v>4700</v>
      </c>
      <c r="M1780" s="22">
        <v>117500</v>
      </c>
      <c r="N1780" s="18">
        <v>125.67</v>
      </c>
      <c r="O1780" s="26">
        <v>46050</v>
      </c>
      <c r="P1780" s="2" t="s">
        <v>2105</v>
      </c>
      <c r="Q1780" s="2" t="s">
        <v>825</v>
      </c>
    </row>
    <row r="1781" spans="2:17" x14ac:dyDescent="0.25">
      <c r="B1781" s="2" t="s">
        <v>2586</v>
      </c>
      <c r="C1781" s="2" t="s">
        <v>232</v>
      </c>
      <c r="D1781" s="2" t="s">
        <v>233</v>
      </c>
      <c r="E1781" s="2" t="s">
        <v>224</v>
      </c>
      <c r="F1781" s="2" t="s">
        <v>535</v>
      </c>
      <c r="G1781" s="2" t="s">
        <v>465</v>
      </c>
      <c r="H1781" s="2" t="s">
        <v>466</v>
      </c>
      <c r="I1781" s="26">
        <v>45365</v>
      </c>
      <c r="J1781" s="2">
        <v>25</v>
      </c>
      <c r="K1781" s="2" t="s">
        <v>234</v>
      </c>
      <c r="L1781" s="22">
        <v>4700</v>
      </c>
      <c r="M1781" s="22">
        <v>117500</v>
      </c>
      <c r="N1781" s="18">
        <v>125.67</v>
      </c>
      <c r="O1781" s="26">
        <v>46095</v>
      </c>
      <c r="P1781" s="2" t="s">
        <v>2105</v>
      </c>
      <c r="Q1781" s="2" t="s">
        <v>836</v>
      </c>
    </row>
    <row r="1782" spans="2:17" x14ac:dyDescent="0.25">
      <c r="B1782" s="2" t="s">
        <v>2587</v>
      </c>
      <c r="C1782" s="2" t="s">
        <v>232</v>
      </c>
      <c r="D1782" s="2" t="s">
        <v>233</v>
      </c>
      <c r="E1782" s="2" t="s">
        <v>224</v>
      </c>
      <c r="F1782" s="2" t="s">
        <v>535</v>
      </c>
      <c r="G1782" s="2" t="s">
        <v>465</v>
      </c>
      <c r="H1782" s="2" t="s">
        <v>466</v>
      </c>
      <c r="I1782" s="26">
        <v>45415</v>
      </c>
      <c r="J1782" s="2">
        <v>23</v>
      </c>
      <c r="K1782" s="2" t="s">
        <v>234</v>
      </c>
      <c r="L1782" s="22">
        <v>4700</v>
      </c>
      <c r="M1782" s="22">
        <v>108100</v>
      </c>
      <c r="N1782" s="18">
        <v>115.61</v>
      </c>
      <c r="O1782" s="26">
        <v>46145</v>
      </c>
      <c r="P1782" s="2" t="s">
        <v>2105</v>
      </c>
      <c r="Q1782" s="2" t="s">
        <v>836</v>
      </c>
    </row>
    <row r="1783" spans="2:17" x14ac:dyDescent="0.25">
      <c r="B1783" s="2" t="s">
        <v>2588</v>
      </c>
      <c r="C1783" s="2" t="s">
        <v>232</v>
      </c>
      <c r="D1783" s="2" t="s">
        <v>233</v>
      </c>
      <c r="E1783" s="2" t="s">
        <v>224</v>
      </c>
      <c r="F1783" s="2" t="s">
        <v>535</v>
      </c>
      <c r="G1783" s="2" t="s">
        <v>465</v>
      </c>
      <c r="H1783" s="2" t="s">
        <v>466</v>
      </c>
      <c r="I1783" s="26">
        <v>45467</v>
      </c>
      <c r="J1783" s="2">
        <v>26</v>
      </c>
      <c r="K1783" s="2" t="s">
        <v>234</v>
      </c>
      <c r="L1783" s="22">
        <v>4700</v>
      </c>
      <c r="M1783" s="22">
        <v>122200</v>
      </c>
      <c r="N1783" s="18">
        <v>130.69999999999999</v>
      </c>
      <c r="O1783" s="26">
        <v>46197</v>
      </c>
      <c r="P1783" s="2" t="s">
        <v>2105</v>
      </c>
      <c r="Q1783" s="2" t="s">
        <v>806</v>
      </c>
    </row>
    <row r="1784" spans="2:17" x14ac:dyDescent="0.25">
      <c r="B1784" s="2" t="s">
        <v>2589</v>
      </c>
      <c r="C1784" s="2" t="s">
        <v>232</v>
      </c>
      <c r="D1784" s="2" t="s">
        <v>233</v>
      </c>
      <c r="E1784" s="2" t="s">
        <v>224</v>
      </c>
      <c r="F1784" s="2" t="s">
        <v>535</v>
      </c>
      <c r="G1784" s="2" t="s">
        <v>465</v>
      </c>
      <c r="H1784" s="2" t="s">
        <v>466</v>
      </c>
      <c r="I1784" s="26">
        <v>45534</v>
      </c>
      <c r="J1784" s="2">
        <v>27</v>
      </c>
      <c r="K1784" s="2" t="s">
        <v>234</v>
      </c>
      <c r="L1784" s="22">
        <v>4700</v>
      </c>
      <c r="M1784" s="22">
        <v>126900</v>
      </c>
      <c r="N1784" s="18">
        <v>135.72</v>
      </c>
      <c r="O1784" s="26">
        <v>46264</v>
      </c>
      <c r="P1784" s="2" t="s">
        <v>2105</v>
      </c>
      <c r="Q1784" s="2" t="s">
        <v>806</v>
      </c>
    </row>
    <row r="1785" spans="2:17" x14ac:dyDescent="0.25">
      <c r="B1785" s="2" t="s">
        <v>2590</v>
      </c>
      <c r="C1785" s="2" t="s">
        <v>232</v>
      </c>
      <c r="D1785" s="2" t="s">
        <v>233</v>
      </c>
      <c r="E1785" s="2" t="s">
        <v>224</v>
      </c>
      <c r="F1785" s="2" t="s">
        <v>535</v>
      </c>
      <c r="G1785" s="2" t="s">
        <v>465</v>
      </c>
      <c r="H1785" s="2" t="s">
        <v>466</v>
      </c>
      <c r="I1785" s="26">
        <v>45593</v>
      </c>
      <c r="J1785" s="2">
        <v>27</v>
      </c>
      <c r="K1785" s="2" t="s">
        <v>234</v>
      </c>
      <c r="L1785" s="22">
        <v>4700</v>
      </c>
      <c r="M1785" s="22">
        <v>126900</v>
      </c>
      <c r="N1785" s="18">
        <v>135.72</v>
      </c>
      <c r="O1785" s="26">
        <v>46323</v>
      </c>
      <c r="P1785" s="2" t="s">
        <v>2105</v>
      </c>
      <c r="Q1785" s="2" t="s">
        <v>814</v>
      </c>
    </row>
    <row r="1786" spans="2:17" x14ac:dyDescent="0.25">
      <c r="B1786" s="2" t="s">
        <v>2591</v>
      </c>
      <c r="C1786" s="2" t="s">
        <v>232</v>
      </c>
      <c r="D1786" s="2" t="s">
        <v>233</v>
      </c>
      <c r="E1786" s="2" t="s">
        <v>224</v>
      </c>
      <c r="F1786" s="2" t="s">
        <v>535</v>
      </c>
      <c r="G1786" s="2" t="s">
        <v>465</v>
      </c>
      <c r="H1786" s="2" t="s">
        <v>466</v>
      </c>
      <c r="I1786" s="26">
        <v>45654</v>
      </c>
      <c r="J1786" s="2">
        <v>35</v>
      </c>
      <c r="K1786" s="2" t="s">
        <v>234</v>
      </c>
      <c r="L1786" s="22">
        <v>4700</v>
      </c>
      <c r="M1786" s="22">
        <v>164500</v>
      </c>
      <c r="N1786" s="18">
        <v>175.94</v>
      </c>
      <c r="O1786" s="26">
        <v>46384</v>
      </c>
      <c r="P1786" s="2" t="s">
        <v>2105</v>
      </c>
      <c r="Q1786" s="2" t="s">
        <v>825</v>
      </c>
    </row>
    <row r="1787" spans="2:17" x14ac:dyDescent="0.25">
      <c r="B1787" s="2" t="s">
        <v>2592</v>
      </c>
      <c r="C1787" s="2" t="s">
        <v>232</v>
      </c>
      <c r="D1787" s="2" t="s">
        <v>233</v>
      </c>
      <c r="E1787" s="2" t="s">
        <v>224</v>
      </c>
      <c r="F1787" s="2" t="s">
        <v>535</v>
      </c>
      <c r="G1787" s="2" t="s">
        <v>465</v>
      </c>
      <c r="H1787" s="2" t="s">
        <v>466</v>
      </c>
      <c r="I1787" s="26">
        <v>45706</v>
      </c>
      <c r="J1787" s="2">
        <v>26</v>
      </c>
      <c r="K1787" s="2" t="s">
        <v>234</v>
      </c>
      <c r="L1787" s="22">
        <v>4700</v>
      </c>
      <c r="M1787" s="22">
        <v>122200</v>
      </c>
      <c r="N1787" s="18">
        <v>130.69999999999999</v>
      </c>
      <c r="O1787" s="26">
        <v>46436</v>
      </c>
      <c r="P1787" s="2" t="s">
        <v>2105</v>
      </c>
      <c r="Q1787" s="2" t="s">
        <v>825</v>
      </c>
    </row>
    <row r="1788" spans="2:17" x14ac:dyDescent="0.25">
      <c r="B1788" s="2" t="s">
        <v>2593</v>
      </c>
      <c r="C1788" s="2" t="s">
        <v>232</v>
      </c>
      <c r="D1788" s="2" t="s">
        <v>233</v>
      </c>
      <c r="E1788" s="2" t="s">
        <v>224</v>
      </c>
      <c r="F1788" s="2" t="s">
        <v>535</v>
      </c>
      <c r="G1788" s="2" t="s">
        <v>465</v>
      </c>
      <c r="H1788" s="2" t="s">
        <v>466</v>
      </c>
      <c r="I1788" s="26">
        <v>45763</v>
      </c>
      <c r="J1788" s="2">
        <v>26</v>
      </c>
      <c r="K1788" s="2" t="s">
        <v>234</v>
      </c>
      <c r="L1788" s="22">
        <v>4700</v>
      </c>
      <c r="M1788" s="22">
        <v>122200</v>
      </c>
      <c r="N1788" s="18">
        <v>130.69999999999999</v>
      </c>
      <c r="O1788" s="26">
        <v>46493</v>
      </c>
      <c r="P1788" s="2" t="s">
        <v>2105</v>
      </c>
      <c r="Q1788" s="2" t="s">
        <v>836</v>
      </c>
    </row>
    <row r="1789" spans="2:17" x14ac:dyDescent="0.25">
      <c r="B1789" s="2" t="s">
        <v>2594</v>
      </c>
      <c r="C1789" s="2" t="s">
        <v>232</v>
      </c>
      <c r="D1789" s="2" t="s">
        <v>233</v>
      </c>
      <c r="E1789" s="2" t="s">
        <v>224</v>
      </c>
      <c r="F1789" s="2" t="s">
        <v>535</v>
      </c>
      <c r="G1789" s="2" t="s">
        <v>465</v>
      </c>
      <c r="H1789" s="2" t="s">
        <v>466</v>
      </c>
      <c r="I1789" s="26">
        <v>45817</v>
      </c>
      <c r="J1789" s="2">
        <v>30</v>
      </c>
      <c r="K1789" s="2" t="s">
        <v>234</v>
      </c>
      <c r="L1789" s="22">
        <v>4700</v>
      </c>
      <c r="M1789" s="22">
        <v>141000</v>
      </c>
      <c r="N1789" s="18">
        <v>150.80000000000001</v>
      </c>
      <c r="O1789" s="26">
        <v>46547</v>
      </c>
      <c r="P1789" s="2" t="s">
        <v>2105</v>
      </c>
      <c r="Q1789" s="2" t="s">
        <v>806</v>
      </c>
    </row>
    <row r="1790" spans="2:17" x14ac:dyDescent="0.25">
      <c r="B1790" s="2" t="s">
        <v>2595</v>
      </c>
      <c r="C1790" s="2" t="s">
        <v>235</v>
      </c>
      <c r="D1790" s="2" t="s">
        <v>236</v>
      </c>
      <c r="E1790" s="2" t="s">
        <v>237</v>
      </c>
      <c r="F1790" s="2" t="s">
        <v>535</v>
      </c>
      <c r="G1790" s="2" t="s">
        <v>475</v>
      </c>
      <c r="H1790" s="2" t="s">
        <v>476</v>
      </c>
      <c r="I1790" s="26">
        <v>45111</v>
      </c>
      <c r="J1790" s="2">
        <v>18</v>
      </c>
      <c r="K1790" s="2" t="s">
        <v>123</v>
      </c>
      <c r="L1790" s="22">
        <v>4750</v>
      </c>
      <c r="M1790" s="22">
        <v>85500</v>
      </c>
      <c r="N1790" s="18">
        <v>91.44</v>
      </c>
      <c r="O1790" s="26">
        <v>45291</v>
      </c>
      <c r="P1790" s="2" t="s">
        <v>2105</v>
      </c>
      <c r="Q1790" s="2" t="s">
        <v>806</v>
      </c>
    </row>
    <row r="1791" spans="2:17" x14ac:dyDescent="0.25">
      <c r="B1791" s="2" t="s">
        <v>2596</v>
      </c>
      <c r="C1791" s="2" t="s">
        <v>235</v>
      </c>
      <c r="D1791" s="2" t="s">
        <v>236</v>
      </c>
      <c r="E1791" s="2" t="s">
        <v>237</v>
      </c>
      <c r="F1791" s="2" t="s">
        <v>535</v>
      </c>
      <c r="G1791" s="2" t="s">
        <v>475</v>
      </c>
      <c r="H1791" s="2" t="s">
        <v>476</v>
      </c>
      <c r="I1791" s="26">
        <v>45129</v>
      </c>
      <c r="J1791" s="2">
        <v>17</v>
      </c>
      <c r="K1791" s="2" t="s">
        <v>123</v>
      </c>
      <c r="L1791" s="22">
        <v>4750</v>
      </c>
      <c r="M1791" s="22">
        <v>80750</v>
      </c>
      <c r="N1791" s="18">
        <v>86.36</v>
      </c>
      <c r="O1791" s="26">
        <v>45309</v>
      </c>
      <c r="P1791" s="2" t="s">
        <v>2105</v>
      </c>
      <c r="Q1791" s="2" t="s">
        <v>806</v>
      </c>
    </row>
    <row r="1792" spans="2:17" x14ac:dyDescent="0.25">
      <c r="B1792" s="2" t="s">
        <v>2597</v>
      </c>
      <c r="C1792" s="2" t="s">
        <v>235</v>
      </c>
      <c r="D1792" s="2" t="s">
        <v>236</v>
      </c>
      <c r="E1792" s="2" t="s">
        <v>237</v>
      </c>
      <c r="F1792" s="2" t="s">
        <v>535</v>
      </c>
      <c r="G1792" s="2" t="s">
        <v>475</v>
      </c>
      <c r="H1792" s="2" t="s">
        <v>476</v>
      </c>
      <c r="I1792" s="26">
        <v>45150</v>
      </c>
      <c r="J1792" s="2">
        <v>23</v>
      </c>
      <c r="K1792" s="2" t="s">
        <v>123</v>
      </c>
      <c r="L1792" s="22">
        <v>4750</v>
      </c>
      <c r="M1792" s="22">
        <v>109250</v>
      </c>
      <c r="N1792" s="18">
        <v>116.84</v>
      </c>
      <c r="O1792" s="26">
        <v>45330</v>
      </c>
      <c r="P1792" s="2" t="s">
        <v>2105</v>
      </c>
      <c r="Q1792" s="2" t="s">
        <v>806</v>
      </c>
    </row>
    <row r="1793" spans="2:17" x14ac:dyDescent="0.25">
      <c r="B1793" s="2" t="s">
        <v>2598</v>
      </c>
      <c r="C1793" s="2" t="s">
        <v>235</v>
      </c>
      <c r="D1793" s="2" t="s">
        <v>236</v>
      </c>
      <c r="E1793" s="2" t="s">
        <v>237</v>
      </c>
      <c r="F1793" s="2" t="s">
        <v>535</v>
      </c>
      <c r="G1793" s="2" t="s">
        <v>475</v>
      </c>
      <c r="H1793" s="2" t="s">
        <v>476</v>
      </c>
      <c r="I1793" s="26">
        <v>45173</v>
      </c>
      <c r="J1793" s="2">
        <v>28</v>
      </c>
      <c r="K1793" s="2" t="s">
        <v>123</v>
      </c>
      <c r="L1793" s="22">
        <v>4750</v>
      </c>
      <c r="M1793" s="22">
        <v>133000</v>
      </c>
      <c r="N1793" s="18">
        <v>142.25</v>
      </c>
      <c r="O1793" s="26">
        <v>45353</v>
      </c>
      <c r="P1793" s="2" t="s">
        <v>2105</v>
      </c>
      <c r="Q1793" s="2" t="s">
        <v>814</v>
      </c>
    </row>
    <row r="1794" spans="2:17" x14ac:dyDescent="0.25">
      <c r="B1794" s="2" t="s">
        <v>2599</v>
      </c>
      <c r="C1794" s="2" t="s">
        <v>235</v>
      </c>
      <c r="D1794" s="2" t="s">
        <v>236</v>
      </c>
      <c r="E1794" s="2" t="s">
        <v>237</v>
      </c>
      <c r="F1794" s="2" t="s">
        <v>535</v>
      </c>
      <c r="G1794" s="2" t="s">
        <v>475</v>
      </c>
      <c r="H1794" s="2" t="s">
        <v>476</v>
      </c>
      <c r="I1794" s="26">
        <v>45191</v>
      </c>
      <c r="J1794" s="2">
        <v>22</v>
      </c>
      <c r="K1794" s="2" t="s">
        <v>123</v>
      </c>
      <c r="L1794" s="22">
        <v>4750</v>
      </c>
      <c r="M1794" s="22">
        <v>104500</v>
      </c>
      <c r="N1794" s="18">
        <v>111.76</v>
      </c>
      <c r="O1794" s="26">
        <v>45371</v>
      </c>
      <c r="P1794" s="2" t="s">
        <v>2105</v>
      </c>
      <c r="Q1794" s="2" t="s">
        <v>814</v>
      </c>
    </row>
    <row r="1795" spans="2:17" x14ac:dyDescent="0.25">
      <c r="B1795" s="2" t="s">
        <v>2600</v>
      </c>
      <c r="C1795" s="2" t="s">
        <v>235</v>
      </c>
      <c r="D1795" s="2" t="s">
        <v>236</v>
      </c>
      <c r="E1795" s="2" t="s">
        <v>237</v>
      </c>
      <c r="F1795" s="2" t="s">
        <v>535</v>
      </c>
      <c r="G1795" s="2" t="s">
        <v>475</v>
      </c>
      <c r="H1795" s="2" t="s">
        <v>476</v>
      </c>
      <c r="I1795" s="26">
        <v>45208</v>
      </c>
      <c r="J1795" s="2">
        <v>19</v>
      </c>
      <c r="K1795" s="2" t="s">
        <v>123</v>
      </c>
      <c r="L1795" s="22">
        <v>4750</v>
      </c>
      <c r="M1795" s="22">
        <v>90250</v>
      </c>
      <c r="N1795" s="18">
        <v>96.52</v>
      </c>
      <c r="O1795" s="26">
        <v>45388</v>
      </c>
      <c r="P1795" s="2" t="s">
        <v>2105</v>
      </c>
      <c r="Q1795" s="2" t="s">
        <v>814</v>
      </c>
    </row>
    <row r="1796" spans="2:17" x14ac:dyDescent="0.25">
      <c r="B1796" s="2" t="s">
        <v>2601</v>
      </c>
      <c r="C1796" s="2" t="s">
        <v>235</v>
      </c>
      <c r="D1796" s="2" t="s">
        <v>236</v>
      </c>
      <c r="E1796" s="2" t="s">
        <v>237</v>
      </c>
      <c r="F1796" s="2" t="s">
        <v>535</v>
      </c>
      <c r="G1796" s="2" t="s">
        <v>475</v>
      </c>
      <c r="H1796" s="2" t="s">
        <v>476</v>
      </c>
      <c r="I1796" s="26">
        <v>45231</v>
      </c>
      <c r="J1796" s="2">
        <v>18</v>
      </c>
      <c r="K1796" s="2" t="s">
        <v>123</v>
      </c>
      <c r="L1796" s="22">
        <v>4750</v>
      </c>
      <c r="M1796" s="22">
        <v>85500</v>
      </c>
      <c r="N1796" s="18">
        <v>91.44</v>
      </c>
      <c r="O1796" s="26">
        <v>45411</v>
      </c>
      <c r="P1796" s="2" t="s">
        <v>2105</v>
      </c>
      <c r="Q1796" s="2" t="s">
        <v>814</v>
      </c>
    </row>
    <row r="1797" spans="2:17" x14ac:dyDescent="0.25">
      <c r="B1797" s="2" t="s">
        <v>2602</v>
      </c>
      <c r="C1797" s="2" t="s">
        <v>235</v>
      </c>
      <c r="D1797" s="2" t="s">
        <v>236</v>
      </c>
      <c r="E1797" s="2" t="s">
        <v>237</v>
      </c>
      <c r="F1797" s="2" t="s">
        <v>535</v>
      </c>
      <c r="G1797" s="2" t="s">
        <v>475</v>
      </c>
      <c r="H1797" s="2" t="s">
        <v>476</v>
      </c>
      <c r="I1797" s="26">
        <v>45252</v>
      </c>
      <c r="J1797" s="2">
        <v>18</v>
      </c>
      <c r="K1797" s="2" t="s">
        <v>123</v>
      </c>
      <c r="L1797" s="22">
        <v>4750</v>
      </c>
      <c r="M1797" s="22">
        <v>85500</v>
      </c>
      <c r="N1797" s="18">
        <v>91.44</v>
      </c>
      <c r="O1797" s="26">
        <v>45432</v>
      </c>
      <c r="P1797" s="2" t="s">
        <v>2105</v>
      </c>
      <c r="Q1797" s="2" t="s">
        <v>814</v>
      </c>
    </row>
    <row r="1798" spans="2:17" x14ac:dyDescent="0.25">
      <c r="B1798" s="2" t="s">
        <v>2603</v>
      </c>
      <c r="C1798" s="2" t="s">
        <v>235</v>
      </c>
      <c r="D1798" s="2" t="s">
        <v>236</v>
      </c>
      <c r="E1798" s="2" t="s">
        <v>237</v>
      </c>
      <c r="F1798" s="2" t="s">
        <v>535</v>
      </c>
      <c r="G1798" s="2" t="s">
        <v>475</v>
      </c>
      <c r="H1798" s="2" t="s">
        <v>476</v>
      </c>
      <c r="I1798" s="26">
        <v>45269</v>
      </c>
      <c r="J1798" s="2">
        <v>25</v>
      </c>
      <c r="K1798" s="2" t="s">
        <v>123</v>
      </c>
      <c r="L1798" s="22">
        <v>4750</v>
      </c>
      <c r="M1798" s="22">
        <v>118750</v>
      </c>
      <c r="N1798" s="18">
        <v>127.01</v>
      </c>
      <c r="O1798" s="26">
        <v>45449</v>
      </c>
      <c r="P1798" s="2" t="s">
        <v>2105</v>
      </c>
      <c r="Q1798" s="2" t="s">
        <v>825</v>
      </c>
    </row>
    <row r="1799" spans="2:17" x14ac:dyDescent="0.25">
      <c r="B1799" s="2" t="s">
        <v>2604</v>
      </c>
      <c r="C1799" s="2" t="s">
        <v>235</v>
      </c>
      <c r="D1799" s="2" t="s">
        <v>236</v>
      </c>
      <c r="E1799" s="2" t="s">
        <v>237</v>
      </c>
      <c r="F1799" s="2" t="s">
        <v>535</v>
      </c>
      <c r="G1799" s="2" t="s">
        <v>475</v>
      </c>
      <c r="H1799" s="2" t="s">
        <v>476</v>
      </c>
      <c r="I1799" s="26">
        <v>45293</v>
      </c>
      <c r="J1799" s="2">
        <v>18</v>
      </c>
      <c r="K1799" s="2" t="s">
        <v>123</v>
      </c>
      <c r="L1799" s="22">
        <v>4750</v>
      </c>
      <c r="M1799" s="22">
        <v>85500</v>
      </c>
      <c r="N1799" s="18">
        <v>91.44</v>
      </c>
      <c r="O1799" s="26">
        <v>45473</v>
      </c>
      <c r="P1799" s="2" t="s">
        <v>2105</v>
      </c>
      <c r="Q1799" s="2" t="s">
        <v>825</v>
      </c>
    </row>
    <row r="1800" spans="2:17" x14ac:dyDescent="0.25">
      <c r="B1800" s="2" t="s">
        <v>2605</v>
      </c>
      <c r="C1800" s="2" t="s">
        <v>235</v>
      </c>
      <c r="D1800" s="2" t="s">
        <v>236</v>
      </c>
      <c r="E1800" s="2" t="s">
        <v>237</v>
      </c>
      <c r="F1800" s="2" t="s">
        <v>537</v>
      </c>
      <c r="G1800" s="2" t="s">
        <v>480</v>
      </c>
      <c r="H1800" s="2" t="s">
        <v>481</v>
      </c>
      <c r="I1800" s="26">
        <v>45317</v>
      </c>
      <c r="J1800" s="2">
        <v>22</v>
      </c>
      <c r="K1800" s="2" t="s">
        <v>123</v>
      </c>
      <c r="L1800" s="22">
        <v>5100</v>
      </c>
      <c r="M1800" s="22">
        <v>112200</v>
      </c>
      <c r="N1800" s="18">
        <v>120</v>
      </c>
      <c r="O1800" s="26">
        <v>45497</v>
      </c>
      <c r="P1800" s="2" t="s">
        <v>2105</v>
      </c>
      <c r="Q1800" s="2" t="s">
        <v>825</v>
      </c>
    </row>
    <row r="1801" spans="2:17" x14ac:dyDescent="0.25">
      <c r="B1801" s="2" t="s">
        <v>2606</v>
      </c>
      <c r="C1801" s="2" t="s">
        <v>235</v>
      </c>
      <c r="D1801" s="2" t="s">
        <v>236</v>
      </c>
      <c r="E1801" s="2" t="s">
        <v>237</v>
      </c>
      <c r="F1801" s="2" t="s">
        <v>537</v>
      </c>
      <c r="G1801" s="2" t="s">
        <v>480</v>
      </c>
      <c r="H1801" s="2" t="s">
        <v>481</v>
      </c>
      <c r="I1801" s="26">
        <v>45337</v>
      </c>
      <c r="J1801" s="2">
        <v>17</v>
      </c>
      <c r="K1801" s="2" t="s">
        <v>123</v>
      </c>
      <c r="L1801" s="22">
        <v>5100</v>
      </c>
      <c r="M1801" s="22">
        <v>86700</v>
      </c>
      <c r="N1801" s="18">
        <v>92.73</v>
      </c>
      <c r="O1801" s="26">
        <v>45517</v>
      </c>
      <c r="P1801" s="2" t="s">
        <v>2105</v>
      </c>
      <c r="Q1801" s="2" t="s">
        <v>825</v>
      </c>
    </row>
    <row r="1802" spans="2:17" x14ac:dyDescent="0.25">
      <c r="B1802" s="2" t="s">
        <v>2607</v>
      </c>
      <c r="C1802" s="2" t="s">
        <v>235</v>
      </c>
      <c r="D1802" s="2" t="s">
        <v>236</v>
      </c>
      <c r="E1802" s="2" t="s">
        <v>237</v>
      </c>
      <c r="F1802" s="2" t="s">
        <v>535</v>
      </c>
      <c r="G1802" s="2" t="s">
        <v>475</v>
      </c>
      <c r="H1802" s="2" t="s">
        <v>476</v>
      </c>
      <c r="I1802" s="26">
        <v>45358</v>
      </c>
      <c r="J1802" s="2">
        <v>21</v>
      </c>
      <c r="K1802" s="2" t="s">
        <v>123</v>
      </c>
      <c r="L1802" s="22">
        <v>4750</v>
      </c>
      <c r="M1802" s="22">
        <v>99750</v>
      </c>
      <c r="N1802" s="18">
        <v>106.68</v>
      </c>
      <c r="O1802" s="26">
        <v>45538</v>
      </c>
      <c r="P1802" s="2" t="s">
        <v>2105</v>
      </c>
      <c r="Q1802" s="2" t="s">
        <v>836</v>
      </c>
    </row>
    <row r="1803" spans="2:17" x14ac:dyDescent="0.25">
      <c r="B1803" s="2" t="s">
        <v>2608</v>
      </c>
      <c r="C1803" s="2" t="s">
        <v>235</v>
      </c>
      <c r="D1803" s="2" t="s">
        <v>236</v>
      </c>
      <c r="E1803" s="2" t="s">
        <v>237</v>
      </c>
      <c r="F1803" s="2" t="s">
        <v>535</v>
      </c>
      <c r="G1803" s="2" t="s">
        <v>475</v>
      </c>
      <c r="H1803" s="2" t="s">
        <v>476</v>
      </c>
      <c r="I1803" s="26">
        <v>45377</v>
      </c>
      <c r="J1803" s="2">
        <v>21</v>
      </c>
      <c r="K1803" s="2" t="s">
        <v>123</v>
      </c>
      <c r="L1803" s="22">
        <v>4750</v>
      </c>
      <c r="M1803" s="22">
        <v>99750</v>
      </c>
      <c r="N1803" s="18">
        <v>106.68</v>
      </c>
      <c r="O1803" s="26">
        <v>45557</v>
      </c>
      <c r="P1803" s="2" t="s">
        <v>2105</v>
      </c>
      <c r="Q1803" s="2" t="s">
        <v>836</v>
      </c>
    </row>
    <row r="1804" spans="2:17" x14ac:dyDescent="0.25">
      <c r="B1804" s="2" t="s">
        <v>2609</v>
      </c>
      <c r="C1804" s="2" t="s">
        <v>235</v>
      </c>
      <c r="D1804" s="2" t="s">
        <v>236</v>
      </c>
      <c r="E1804" s="2" t="s">
        <v>237</v>
      </c>
      <c r="F1804" s="2" t="s">
        <v>535</v>
      </c>
      <c r="G1804" s="2" t="s">
        <v>475</v>
      </c>
      <c r="H1804" s="2" t="s">
        <v>476</v>
      </c>
      <c r="I1804" s="26">
        <v>45391</v>
      </c>
      <c r="J1804" s="2">
        <v>19</v>
      </c>
      <c r="K1804" s="2" t="s">
        <v>123</v>
      </c>
      <c r="L1804" s="22">
        <v>4750</v>
      </c>
      <c r="M1804" s="22">
        <v>90250</v>
      </c>
      <c r="N1804" s="18">
        <v>96.52</v>
      </c>
      <c r="O1804" s="26">
        <v>45571</v>
      </c>
      <c r="P1804" s="2" t="s">
        <v>2105</v>
      </c>
      <c r="Q1804" s="2" t="s">
        <v>836</v>
      </c>
    </row>
    <row r="1805" spans="2:17" x14ac:dyDescent="0.25">
      <c r="B1805" s="2" t="s">
        <v>2610</v>
      </c>
      <c r="C1805" s="2" t="s">
        <v>235</v>
      </c>
      <c r="D1805" s="2" t="s">
        <v>236</v>
      </c>
      <c r="E1805" s="2" t="s">
        <v>237</v>
      </c>
      <c r="F1805" s="2" t="s">
        <v>535</v>
      </c>
      <c r="G1805" s="2" t="s">
        <v>475</v>
      </c>
      <c r="H1805" s="2" t="s">
        <v>476</v>
      </c>
      <c r="I1805" s="26">
        <v>45411</v>
      </c>
      <c r="J1805" s="2">
        <v>17</v>
      </c>
      <c r="K1805" s="2" t="s">
        <v>123</v>
      </c>
      <c r="L1805" s="22">
        <v>4750</v>
      </c>
      <c r="M1805" s="22">
        <v>80750</v>
      </c>
      <c r="N1805" s="18">
        <v>86.36</v>
      </c>
      <c r="O1805" s="26">
        <v>45591</v>
      </c>
      <c r="P1805" s="2" t="s">
        <v>2105</v>
      </c>
      <c r="Q1805" s="2" t="s">
        <v>836</v>
      </c>
    </row>
    <row r="1806" spans="2:17" x14ac:dyDescent="0.25">
      <c r="B1806" s="2" t="s">
        <v>2611</v>
      </c>
      <c r="C1806" s="2" t="s">
        <v>235</v>
      </c>
      <c r="D1806" s="2" t="s">
        <v>236</v>
      </c>
      <c r="E1806" s="2" t="s">
        <v>237</v>
      </c>
      <c r="F1806" s="2" t="s">
        <v>535</v>
      </c>
      <c r="G1806" s="2" t="s">
        <v>475</v>
      </c>
      <c r="H1806" s="2" t="s">
        <v>476</v>
      </c>
      <c r="I1806" s="26">
        <v>45426</v>
      </c>
      <c r="J1806" s="2">
        <v>21</v>
      </c>
      <c r="K1806" s="2" t="s">
        <v>123</v>
      </c>
      <c r="L1806" s="22">
        <v>4750</v>
      </c>
      <c r="M1806" s="22">
        <v>99750</v>
      </c>
      <c r="N1806" s="18">
        <v>106.68</v>
      </c>
      <c r="O1806" s="26">
        <v>45606</v>
      </c>
      <c r="P1806" s="2" t="s">
        <v>2105</v>
      </c>
      <c r="Q1806" s="2" t="s">
        <v>836</v>
      </c>
    </row>
    <row r="1807" spans="2:17" x14ac:dyDescent="0.25">
      <c r="B1807" s="2" t="s">
        <v>2612</v>
      </c>
      <c r="C1807" s="2" t="s">
        <v>235</v>
      </c>
      <c r="D1807" s="2" t="s">
        <v>236</v>
      </c>
      <c r="E1807" s="2" t="s">
        <v>237</v>
      </c>
      <c r="F1807" s="2" t="s">
        <v>535</v>
      </c>
      <c r="G1807" s="2" t="s">
        <v>475</v>
      </c>
      <c r="H1807" s="2" t="s">
        <v>476</v>
      </c>
      <c r="I1807" s="26">
        <v>45452</v>
      </c>
      <c r="J1807" s="2">
        <v>19</v>
      </c>
      <c r="K1807" s="2" t="s">
        <v>123</v>
      </c>
      <c r="L1807" s="22">
        <v>4750</v>
      </c>
      <c r="M1807" s="22">
        <v>90250</v>
      </c>
      <c r="N1807" s="18">
        <v>96.52</v>
      </c>
      <c r="O1807" s="26">
        <v>45632</v>
      </c>
      <c r="P1807" s="2" t="s">
        <v>2105</v>
      </c>
      <c r="Q1807" s="2" t="s">
        <v>806</v>
      </c>
    </row>
    <row r="1808" spans="2:17" x14ac:dyDescent="0.25">
      <c r="B1808" s="2" t="s">
        <v>2613</v>
      </c>
      <c r="C1808" s="2" t="s">
        <v>235</v>
      </c>
      <c r="D1808" s="2" t="s">
        <v>236</v>
      </c>
      <c r="E1808" s="2" t="s">
        <v>237</v>
      </c>
      <c r="F1808" s="2" t="s">
        <v>535</v>
      </c>
      <c r="G1808" s="2" t="s">
        <v>475</v>
      </c>
      <c r="H1808" s="2" t="s">
        <v>476</v>
      </c>
      <c r="I1808" s="26">
        <v>45469</v>
      </c>
      <c r="J1808" s="2">
        <v>20</v>
      </c>
      <c r="K1808" s="2" t="s">
        <v>123</v>
      </c>
      <c r="L1808" s="22">
        <v>4750</v>
      </c>
      <c r="M1808" s="22">
        <v>95000</v>
      </c>
      <c r="N1808" s="18">
        <v>101.6</v>
      </c>
      <c r="O1808" s="26">
        <v>45649</v>
      </c>
      <c r="P1808" s="2" t="s">
        <v>2105</v>
      </c>
      <c r="Q1808" s="2" t="s">
        <v>806</v>
      </c>
    </row>
    <row r="1809" spans="2:17" x14ac:dyDescent="0.25">
      <c r="B1809" s="2" t="s">
        <v>2614</v>
      </c>
      <c r="C1809" s="2" t="s">
        <v>235</v>
      </c>
      <c r="D1809" s="2" t="s">
        <v>236</v>
      </c>
      <c r="E1809" s="2" t="s">
        <v>237</v>
      </c>
      <c r="F1809" s="2" t="s">
        <v>535</v>
      </c>
      <c r="G1809" s="2" t="s">
        <v>475</v>
      </c>
      <c r="H1809" s="2" t="s">
        <v>476</v>
      </c>
      <c r="I1809" s="26">
        <v>45488</v>
      </c>
      <c r="J1809" s="2">
        <v>19</v>
      </c>
      <c r="K1809" s="2" t="s">
        <v>123</v>
      </c>
      <c r="L1809" s="22">
        <v>4750</v>
      </c>
      <c r="M1809" s="22">
        <v>90250</v>
      </c>
      <c r="N1809" s="18">
        <v>96.52</v>
      </c>
      <c r="O1809" s="26">
        <v>45668</v>
      </c>
      <c r="P1809" s="2" t="s">
        <v>2105</v>
      </c>
      <c r="Q1809" s="2" t="s">
        <v>806</v>
      </c>
    </row>
    <row r="1810" spans="2:17" x14ac:dyDescent="0.25">
      <c r="B1810" s="2" t="s">
        <v>2615</v>
      </c>
      <c r="C1810" s="2" t="s">
        <v>235</v>
      </c>
      <c r="D1810" s="2" t="s">
        <v>236</v>
      </c>
      <c r="E1810" s="2" t="s">
        <v>237</v>
      </c>
      <c r="F1810" s="2" t="s">
        <v>535</v>
      </c>
      <c r="G1810" s="2" t="s">
        <v>475</v>
      </c>
      <c r="H1810" s="2" t="s">
        <v>476</v>
      </c>
      <c r="I1810" s="26">
        <v>45514</v>
      </c>
      <c r="J1810" s="2">
        <v>19</v>
      </c>
      <c r="K1810" s="2" t="s">
        <v>123</v>
      </c>
      <c r="L1810" s="22">
        <v>4750</v>
      </c>
      <c r="M1810" s="22">
        <v>90250</v>
      </c>
      <c r="N1810" s="18">
        <v>96.52</v>
      </c>
      <c r="O1810" s="26">
        <v>45694</v>
      </c>
      <c r="P1810" s="2" t="s">
        <v>2105</v>
      </c>
      <c r="Q1810" s="2" t="s">
        <v>806</v>
      </c>
    </row>
    <row r="1811" spans="2:17" x14ac:dyDescent="0.25">
      <c r="B1811" s="2" t="s">
        <v>2616</v>
      </c>
      <c r="C1811" s="2" t="s">
        <v>235</v>
      </c>
      <c r="D1811" s="2" t="s">
        <v>236</v>
      </c>
      <c r="E1811" s="2" t="s">
        <v>237</v>
      </c>
      <c r="F1811" s="2" t="s">
        <v>535</v>
      </c>
      <c r="G1811" s="2" t="s">
        <v>475</v>
      </c>
      <c r="H1811" s="2" t="s">
        <v>476</v>
      </c>
      <c r="I1811" s="26">
        <v>45539</v>
      </c>
      <c r="J1811" s="2">
        <v>23</v>
      </c>
      <c r="K1811" s="2" t="s">
        <v>123</v>
      </c>
      <c r="L1811" s="22">
        <v>4750</v>
      </c>
      <c r="M1811" s="22">
        <v>109250</v>
      </c>
      <c r="N1811" s="18">
        <v>116.84</v>
      </c>
      <c r="O1811" s="26">
        <v>45719</v>
      </c>
      <c r="P1811" s="2" t="s">
        <v>2105</v>
      </c>
      <c r="Q1811" s="2" t="s">
        <v>814</v>
      </c>
    </row>
    <row r="1812" spans="2:17" x14ac:dyDescent="0.25">
      <c r="B1812" s="2" t="s">
        <v>2617</v>
      </c>
      <c r="C1812" s="2" t="s">
        <v>235</v>
      </c>
      <c r="D1812" s="2" t="s">
        <v>236</v>
      </c>
      <c r="E1812" s="2" t="s">
        <v>237</v>
      </c>
      <c r="F1812" s="2" t="s">
        <v>535</v>
      </c>
      <c r="G1812" s="2" t="s">
        <v>475</v>
      </c>
      <c r="H1812" s="2" t="s">
        <v>476</v>
      </c>
      <c r="I1812" s="26">
        <v>45558</v>
      </c>
      <c r="J1812" s="2">
        <v>29</v>
      </c>
      <c r="K1812" s="2" t="s">
        <v>123</v>
      </c>
      <c r="L1812" s="22">
        <v>4750</v>
      </c>
      <c r="M1812" s="22">
        <v>137750</v>
      </c>
      <c r="N1812" s="18">
        <v>147.33000000000001</v>
      </c>
      <c r="O1812" s="26">
        <v>45738</v>
      </c>
      <c r="P1812" s="2" t="s">
        <v>2105</v>
      </c>
      <c r="Q1812" s="2" t="s">
        <v>814</v>
      </c>
    </row>
    <row r="1813" spans="2:17" x14ac:dyDescent="0.25">
      <c r="B1813" s="2" t="s">
        <v>2618</v>
      </c>
      <c r="C1813" s="2" t="s">
        <v>235</v>
      </c>
      <c r="D1813" s="2" t="s">
        <v>236</v>
      </c>
      <c r="E1813" s="2" t="s">
        <v>237</v>
      </c>
      <c r="F1813" s="2" t="s">
        <v>535</v>
      </c>
      <c r="G1813" s="2" t="s">
        <v>475</v>
      </c>
      <c r="H1813" s="2" t="s">
        <v>476</v>
      </c>
      <c r="I1813" s="26">
        <v>45579</v>
      </c>
      <c r="J1813" s="2">
        <v>19</v>
      </c>
      <c r="K1813" s="2" t="s">
        <v>123</v>
      </c>
      <c r="L1813" s="22">
        <v>4750</v>
      </c>
      <c r="M1813" s="22">
        <v>90250</v>
      </c>
      <c r="N1813" s="18">
        <v>96.52</v>
      </c>
      <c r="O1813" s="26">
        <v>45759</v>
      </c>
      <c r="P1813" s="2" t="s">
        <v>2105</v>
      </c>
      <c r="Q1813" s="2" t="s">
        <v>814</v>
      </c>
    </row>
    <row r="1814" spans="2:17" x14ac:dyDescent="0.25">
      <c r="B1814" s="2" t="s">
        <v>2619</v>
      </c>
      <c r="C1814" s="2" t="s">
        <v>235</v>
      </c>
      <c r="D1814" s="2" t="s">
        <v>236</v>
      </c>
      <c r="E1814" s="2" t="s">
        <v>237</v>
      </c>
      <c r="F1814" s="2" t="s">
        <v>535</v>
      </c>
      <c r="G1814" s="2" t="s">
        <v>475</v>
      </c>
      <c r="H1814" s="2" t="s">
        <v>476</v>
      </c>
      <c r="I1814" s="26">
        <v>45597</v>
      </c>
      <c r="J1814" s="2">
        <v>22</v>
      </c>
      <c r="K1814" s="2" t="s">
        <v>123</v>
      </c>
      <c r="L1814" s="22">
        <v>4750</v>
      </c>
      <c r="M1814" s="22">
        <v>104500</v>
      </c>
      <c r="N1814" s="18">
        <v>111.76</v>
      </c>
      <c r="O1814" s="26">
        <v>45777</v>
      </c>
      <c r="P1814" s="2" t="s">
        <v>2105</v>
      </c>
      <c r="Q1814" s="2" t="s">
        <v>814</v>
      </c>
    </row>
    <row r="1815" spans="2:17" x14ac:dyDescent="0.25">
      <c r="B1815" s="2" t="s">
        <v>2620</v>
      </c>
      <c r="C1815" s="2" t="s">
        <v>235</v>
      </c>
      <c r="D1815" s="2" t="s">
        <v>236</v>
      </c>
      <c r="E1815" s="2" t="s">
        <v>237</v>
      </c>
      <c r="F1815" s="2" t="s">
        <v>535</v>
      </c>
      <c r="G1815" s="2" t="s">
        <v>475</v>
      </c>
      <c r="H1815" s="2" t="s">
        <v>476</v>
      </c>
      <c r="I1815" s="26">
        <v>45617</v>
      </c>
      <c r="J1815" s="2">
        <v>18</v>
      </c>
      <c r="K1815" s="2" t="s">
        <v>123</v>
      </c>
      <c r="L1815" s="22">
        <v>4750</v>
      </c>
      <c r="M1815" s="22">
        <v>85500</v>
      </c>
      <c r="N1815" s="18">
        <v>91.44</v>
      </c>
      <c r="O1815" s="26">
        <v>45797</v>
      </c>
      <c r="P1815" s="2" t="s">
        <v>2105</v>
      </c>
      <c r="Q1815" s="2" t="s">
        <v>814</v>
      </c>
    </row>
    <row r="1816" spans="2:17" x14ac:dyDescent="0.25">
      <c r="B1816" s="2" t="s">
        <v>2621</v>
      </c>
      <c r="C1816" s="2" t="s">
        <v>235</v>
      </c>
      <c r="D1816" s="2" t="s">
        <v>236</v>
      </c>
      <c r="E1816" s="2" t="s">
        <v>237</v>
      </c>
      <c r="F1816" s="2" t="s">
        <v>537</v>
      </c>
      <c r="G1816" s="2" t="s">
        <v>480</v>
      </c>
      <c r="H1816" s="2" t="s">
        <v>481</v>
      </c>
      <c r="I1816" s="26">
        <v>45637</v>
      </c>
      <c r="J1816" s="2">
        <v>24</v>
      </c>
      <c r="K1816" s="2" t="s">
        <v>123</v>
      </c>
      <c r="L1816" s="22">
        <v>5100</v>
      </c>
      <c r="M1816" s="22">
        <v>122400</v>
      </c>
      <c r="N1816" s="18">
        <v>130.91</v>
      </c>
      <c r="O1816" s="26">
        <v>45817</v>
      </c>
      <c r="P1816" s="2" t="s">
        <v>2105</v>
      </c>
      <c r="Q1816" s="2" t="s">
        <v>825</v>
      </c>
    </row>
    <row r="1817" spans="2:17" x14ac:dyDescent="0.25">
      <c r="B1817" s="2" t="s">
        <v>2622</v>
      </c>
      <c r="C1817" s="2" t="s">
        <v>235</v>
      </c>
      <c r="D1817" s="2" t="s">
        <v>236</v>
      </c>
      <c r="E1817" s="2" t="s">
        <v>237</v>
      </c>
      <c r="F1817" s="2" t="s">
        <v>535</v>
      </c>
      <c r="G1817" s="2" t="s">
        <v>475</v>
      </c>
      <c r="H1817" s="2" t="s">
        <v>476</v>
      </c>
      <c r="I1817" s="26">
        <v>45654</v>
      </c>
      <c r="J1817" s="2">
        <v>27</v>
      </c>
      <c r="K1817" s="2" t="s">
        <v>123</v>
      </c>
      <c r="L1817" s="22">
        <v>4750</v>
      </c>
      <c r="M1817" s="22">
        <v>128250</v>
      </c>
      <c r="N1817" s="18">
        <v>137.16999999999999</v>
      </c>
      <c r="O1817" s="26">
        <v>45834</v>
      </c>
      <c r="P1817" s="2" t="s">
        <v>2105</v>
      </c>
      <c r="Q1817" s="2" t="s">
        <v>825</v>
      </c>
    </row>
    <row r="1818" spans="2:17" x14ac:dyDescent="0.25">
      <c r="B1818" s="2" t="s">
        <v>2623</v>
      </c>
      <c r="C1818" s="2" t="s">
        <v>235</v>
      </c>
      <c r="D1818" s="2" t="s">
        <v>236</v>
      </c>
      <c r="E1818" s="2" t="s">
        <v>237</v>
      </c>
      <c r="F1818" s="2" t="s">
        <v>535</v>
      </c>
      <c r="G1818" s="2" t="s">
        <v>475</v>
      </c>
      <c r="H1818" s="2" t="s">
        <v>476</v>
      </c>
      <c r="I1818" s="26">
        <v>45678</v>
      </c>
      <c r="J1818" s="2">
        <v>23</v>
      </c>
      <c r="K1818" s="2" t="s">
        <v>123</v>
      </c>
      <c r="L1818" s="22">
        <v>4750</v>
      </c>
      <c r="M1818" s="22">
        <v>109250</v>
      </c>
      <c r="N1818" s="18">
        <v>116.84</v>
      </c>
      <c r="O1818" s="26">
        <v>45858</v>
      </c>
      <c r="P1818" s="2" t="s">
        <v>2105</v>
      </c>
      <c r="Q1818" s="2" t="s">
        <v>825</v>
      </c>
    </row>
    <row r="1819" spans="2:17" x14ac:dyDescent="0.25">
      <c r="B1819" s="2" t="s">
        <v>2624</v>
      </c>
      <c r="C1819" s="2" t="s">
        <v>235</v>
      </c>
      <c r="D1819" s="2" t="s">
        <v>236</v>
      </c>
      <c r="E1819" s="2" t="s">
        <v>237</v>
      </c>
      <c r="F1819" s="2" t="s">
        <v>535</v>
      </c>
      <c r="G1819" s="2" t="s">
        <v>475</v>
      </c>
      <c r="H1819" s="2" t="s">
        <v>476</v>
      </c>
      <c r="I1819" s="26">
        <v>45695</v>
      </c>
      <c r="J1819" s="2">
        <v>21</v>
      </c>
      <c r="K1819" s="2" t="s">
        <v>123</v>
      </c>
      <c r="L1819" s="22">
        <v>4750</v>
      </c>
      <c r="M1819" s="22">
        <v>99750</v>
      </c>
      <c r="N1819" s="18">
        <v>106.68</v>
      </c>
      <c r="O1819" s="26">
        <v>45875</v>
      </c>
      <c r="P1819" s="2" t="s">
        <v>2105</v>
      </c>
      <c r="Q1819" s="2" t="s">
        <v>825</v>
      </c>
    </row>
    <row r="1820" spans="2:17" x14ac:dyDescent="0.25">
      <c r="B1820" s="2" t="s">
        <v>2625</v>
      </c>
      <c r="C1820" s="2" t="s">
        <v>235</v>
      </c>
      <c r="D1820" s="2" t="s">
        <v>236</v>
      </c>
      <c r="E1820" s="2" t="s">
        <v>237</v>
      </c>
      <c r="F1820" s="2" t="s">
        <v>535</v>
      </c>
      <c r="G1820" s="2" t="s">
        <v>475</v>
      </c>
      <c r="H1820" s="2" t="s">
        <v>476</v>
      </c>
      <c r="I1820" s="26">
        <v>45716</v>
      </c>
      <c r="J1820" s="2">
        <v>20</v>
      </c>
      <c r="K1820" s="2" t="s">
        <v>123</v>
      </c>
      <c r="L1820" s="22">
        <v>4750</v>
      </c>
      <c r="M1820" s="22">
        <v>95000</v>
      </c>
      <c r="N1820" s="18">
        <v>101.6</v>
      </c>
      <c r="O1820" s="26">
        <v>45896</v>
      </c>
      <c r="P1820" s="2" t="s">
        <v>2105</v>
      </c>
      <c r="Q1820" s="2" t="s">
        <v>825</v>
      </c>
    </row>
    <row r="1821" spans="2:17" x14ac:dyDescent="0.25">
      <c r="B1821" s="2" t="s">
        <v>2626</v>
      </c>
      <c r="C1821" s="2" t="s">
        <v>235</v>
      </c>
      <c r="D1821" s="2" t="s">
        <v>236</v>
      </c>
      <c r="E1821" s="2" t="s">
        <v>237</v>
      </c>
      <c r="F1821" s="2" t="s">
        <v>537</v>
      </c>
      <c r="G1821" s="2" t="s">
        <v>480</v>
      </c>
      <c r="H1821" s="2" t="s">
        <v>481</v>
      </c>
      <c r="I1821" s="26">
        <v>45733</v>
      </c>
      <c r="J1821" s="2">
        <v>19</v>
      </c>
      <c r="K1821" s="2" t="s">
        <v>123</v>
      </c>
      <c r="L1821" s="22">
        <v>5100</v>
      </c>
      <c r="M1821" s="22">
        <v>96900</v>
      </c>
      <c r="N1821" s="18">
        <v>103.64</v>
      </c>
      <c r="O1821" s="26">
        <v>45913</v>
      </c>
      <c r="P1821" s="2" t="s">
        <v>2105</v>
      </c>
      <c r="Q1821" s="2" t="s">
        <v>836</v>
      </c>
    </row>
    <row r="1822" spans="2:17" x14ac:dyDescent="0.25">
      <c r="B1822" s="2" t="s">
        <v>2627</v>
      </c>
      <c r="C1822" s="2" t="s">
        <v>235</v>
      </c>
      <c r="D1822" s="2" t="s">
        <v>236</v>
      </c>
      <c r="E1822" s="2" t="s">
        <v>237</v>
      </c>
      <c r="F1822" s="2" t="s">
        <v>537</v>
      </c>
      <c r="G1822" s="2" t="s">
        <v>480</v>
      </c>
      <c r="H1822" s="2" t="s">
        <v>481</v>
      </c>
      <c r="I1822" s="26">
        <v>45752</v>
      </c>
      <c r="J1822" s="2">
        <v>22</v>
      </c>
      <c r="K1822" s="2" t="s">
        <v>123</v>
      </c>
      <c r="L1822" s="22">
        <v>5100</v>
      </c>
      <c r="M1822" s="22">
        <v>112200</v>
      </c>
      <c r="N1822" s="18">
        <v>120</v>
      </c>
      <c r="O1822" s="26">
        <v>45932</v>
      </c>
      <c r="P1822" s="2" t="s">
        <v>2105</v>
      </c>
      <c r="Q1822" s="2" t="s">
        <v>836</v>
      </c>
    </row>
    <row r="1823" spans="2:17" x14ac:dyDescent="0.25">
      <c r="B1823" s="2" t="s">
        <v>2628</v>
      </c>
      <c r="C1823" s="2" t="s">
        <v>235</v>
      </c>
      <c r="D1823" s="2" t="s">
        <v>236</v>
      </c>
      <c r="E1823" s="2" t="s">
        <v>237</v>
      </c>
      <c r="F1823" s="2" t="s">
        <v>537</v>
      </c>
      <c r="G1823" s="2" t="s">
        <v>480</v>
      </c>
      <c r="H1823" s="2" t="s">
        <v>481</v>
      </c>
      <c r="I1823" s="26">
        <v>45771</v>
      </c>
      <c r="J1823" s="2">
        <v>23</v>
      </c>
      <c r="K1823" s="2" t="s">
        <v>123</v>
      </c>
      <c r="L1823" s="22">
        <v>5100</v>
      </c>
      <c r="M1823" s="22">
        <v>117300</v>
      </c>
      <c r="N1823" s="18">
        <v>125.45</v>
      </c>
      <c r="O1823" s="26">
        <v>45951</v>
      </c>
      <c r="P1823" s="2" t="s">
        <v>2105</v>
      </c>
      <c r="Q1823" s="2" t="s">
        <v>836</v>
      </c>
    </row>
    <row r="1824" spans="2:17" x14ac:dyDescent="0.25">
      <c r="B1824" s="2" t="s">
        <v>2629</v>
      </c>
      <c r="C1824" s="2" t="s">
        <v>235</v>
      </c>
      <c r="D1824" s="2" t="s">
        <v>236</v>
      </c>
      <c r="E1824" s="2" t="s">
        <v>237</v>
      </c>
      <c r="F1824" s="2" t="s">
        <v>537</v>
      </c>
      <c r="G1824" s="2" t="s">
        <v>480</v>
      </c>
      <c r="H1824" s="2" t="s">
        <v>481</v>
      </c>
      <c r="I1824" s="26">
        <v>45794</v>
      </c>
      <c r="J1824" s="2">
        <v>21</v>
      </c>
      <c r="K1824" s="2" t="s">
        <v>123</v>
      </c>
      <c r="L1824" s="22">
        <v>5100</v>
      </c>
      <c r="M1824" s="22">
        <v>107100</v>
      </c>
      <c r="N1824" s="18">
        <v>114.55</v>
      </c>
      <c r="O1824" s="26">
        <v>45974</v>
      </c>
      <c r="P1824" s="2" t="s">
        <v>2105</v>
      </c>
      <c r="Q1824" s="2" t="s">
        <v>836</v>
      </c>
    </row>
    <row r="1825" spans="2:17" x14ac:dyDescent="0.25">
      <c r="B1825" s="2" t="s">
        <v>2630</v>
      </c>
      <c r="C1825" s="2" t="s">
        <v>235</v>
      </c>
      <c r="D1825" s="2" t="s">
        <v>236</v>
      </c>
      <c r="E1825" s="2" t="s">
        <v>237</v>
      </c>
      <c r="F1825" s="2" t="s">
        <v>535</v>
      </c>
      <c r="G1825" s="2" t="s">
        <v>475</v>
      </c>
      <c r="H1825" s="2" t="s">
        <v>476</v>
      </c>
      <c r="I1825" s="26">
        <v>45814</v>
      </c>
      <c r="J1825" s="2">
        <v>22</v>
      </c>
      <c r="K1825" s="2" t="s">
        <v>123</v>
      </c>
      <c r="L1825" s="22">
        <v>4750</v>
      </c>
      <c r="M1825" s="22">
        <v>104500</v>
      </c>
      <c r="N1825" s="18">
        <v>111.76</v>
      </c>
      <c r="O1825" s="26">
        <v>45994</v>
      </c>
      <c r="P1825" s="2" t="s">
        <v>2105</v>
      </c>
      <c r="Q1825" s="2" t="s">
        <v>806</v>
      </c>
    </row>
    <row r="1826" spans="2:17" x14ac:dyDescent="0.25">
      <c r="B1826" s="2" t="s">
        <v>2631</v>
      </c>
      <c r="C1826" s="2" t="s">
        <v>235</v>
      </c>
      <c r="D1826" s="2" t="s">
        <v>236</v>
      </c>
      <c r="E1826" s="2" t="s">
        <v>237</v>
      </c>
      <c r="F1826" s="2" t="s">
        <v>535</v>
      </c>
      <c r="G1826" s="2" t="s">
        <v>475</v>
      </c>
      <c r="H1826" s="2" t="s">
        <v>476</v>
      </c>
      <c r="I1826" s="26">
        <v>45832</v>
      </c>
      <c r="J1826" s="2">
        <v>25</v>
      </c>
      <c r="K1826" s="2" t="s">
        <v>123</v>
      </c>
      <c r="L1826" s="22">
        <v>4750</v>
      </c>
      <c r="M1826" s="22">
        <v>118750</v>
      </c>
      <c r="N1826" s="18">
        <v>127.01</v>
      </c>
      <c r="O1826" s="26">
        <v>46012</v>
      </c>
      <c r="P1826" s="2" t="s">
        <v>2105</v>
      </c>
      <c r="Q1826" s="2" t="s">
        <v>806</v>
      </c>
    </row>
    <row r="1827" spans="2:17" x14ac:dyDescent="0.25">
      <c r="B1827" s="2" t="s">
        <v>2632</v>
      </c>
      <c r="C1827" s="2" t="s">
        <v>238</v>
      </c>
      <c r="D1827" s="2" t="s">
        <v>239</v>
      </c>
      <c r="E1827" s="2" t="s">
        <v>237</v>
      </c>
      <c r="F1827" s="2" t="s">
        <v>535</v>
      </c>
      <c r="G1827" s="2" t="s">
        <v>475</v>
      </c>
      <c r="H1827" s="2" t="s">
        <v>476</v>
      </c>
      <c r="I1827" s="26">
        <v>45111</v>
      </c>
      <c r="J1827" s="2">
        <v>17</v>
      </c>
      <c r="K1827" s="2" t="s">
        <v>123</v>
      </c>
      <c r="L1827" s="22">
        <v>4650</v>
      </c>
      <c r="M1827" s="22">
        <v>79050</v>
      </c>
      <c r="N1827" s="18">
        <v>84.55</v>
      </c>
      <c r="O1827" s="26">
        <v>45291</v>
      </c>
      <c r="P1827" s="2" t="s">
        <v>2105</v>
      </c>
      <c r="Q1827" s="2" t="s">
        <v>806</v>
      </c>
    </row>
    <row r="1828" spans="2:17" x14ac:dyDescent="0.25">
      <c r="B1828" s="2" t="s">
        <v>2633</v>
      </c>
      <c r="C1828" s="2" t="s">
        <v>238</v>
      </c>
      <c r="D1828" s="2" t="s">
        <v>239</v>
      </c>
      <c r="E1828" s="2" t="s">
        <v>237</v>
      </c>
      <c r="F1828" s="2" t="s">
        <v>537</v>
      </c>
      <c r="G1828" s="2" t="s">
        <v>480</v>
      </c>
      <c r="H1828" s="2" t="s">
        <v>481</v>
      </c>
      <c r="I1828" s="26">
        <v>45131</v>
      </c>
      <c r="J1828" s="2">
        <v>22</v>
      </c>
      <c r="K1828" s="2" t="s">
        <v>123</v>
      </c>
      <c r="L1828" s="22">
        <v>4700</v>
      </c>
      <c r="M1828" s="22">
        <v>103400</v>
      </c>
      <c r="N1828" s="18">
        <v>110.59</v>
      </c>
      <c r="O1828" s="26">
        <v>45311</v>
      </c>
      <c r="P1828" s="2" t="s">
        <v>2105</v>
      </c>
      <c r="Q1828" s="2" t="s">
        <v>806</v>
      </c>
    </row>
    <row r="1829" spans="2:17" x14ac:dyDescent="0.25">
      <c r="B1829" s="2" t="s">
        <v>2634</v>
      </c>
      <c r="C1829" s="2" t="s">
        <v>238</v>
      </c>
      <c r="D1829" s="2" t="s">
        <v>239</v>
      </c>
      <c r="E1829" s="2" t="s">
        <v>237</v>
      </c>
      <c r="F1829" s="2" t="s">
        <v>535</v>
      </c>
      <c r="G1829" s="2" t="s">
        <v>475</v>
      </c>
      <c r="H1829" s="2" t="s">
        <v>476</v>
      </c>
      <c r="I1829" s="26">
        <v>45153</v>
      </c>
      <c r="J1829" s="2">
        <v>21</v>
      </c>
      <c r="K1829" s="2" t="s">
        <v>123</v>
      </c>
      <c r="L1829" s="22">
        <v>4650</v>
      </c>
      <c r="M1829" s="22">
        <v>97650</v>
      </c>
      <c r="N1829" s="18">
        <v>104.44</v>
      </c>
      <c r="O1829" s="26">
        <v>45333</v>
      </c>
      <c r="P1829" s="2" t="s">
        <v>2105</v>
      </c>
      <c r="Q1829" s="2" t="s">
        <v>806</v>
      </c>
    </row>
    <row r="1830" spans="2:17" x14ac:dyDescent="0.25">
      <c r="B1830" s="2" t="s">
        <v>2635</v>
      </c>
      <c r="C1830" s="2" t="s">
        <v>238</v>
      </c>
      <c r="D1830" s="2" t="s">
        <v>239</v>
      </c>
      <c r="E1830" s="2" t="s">
        <v>237</v>
      </c>
      <c r="F1830" s="2" t="s">
        <v>535</v>
      </c>
      <c r="G1830" s="2" t="s">
        <v>475</v>
      </c>
      <c r="H1830" s="2" t="s">
        <v>476</v>
      </c>
      <c r="I1830" s="26">
        <v>45176</v>
      </c>
      <c r="J1830" s="2">
        <v>24</v>
      </c>
      <c r="K1830" s="2" t="s">
        <v>123</v>
      </c>
      <c r="L1830" s="22">
        <v>4650</v>
      </c>
      <c r="M1830" s="22">
        <v>111600</v>
      </c>
      <c r="N1830" s="18">
        <v>119.36</v>
      </c>
      <c r="O1830" s="26">
        <v>45356</v>
      </c>
      <c r="P1830" s="2" t="s">
        <v>2105</v>
      </c>
      <c r="Q1830" s="2" t="s">
        <v>814</v>
      </c>
    </row>
    <row r="1831" spans="2:17" x14ac:dyDescent="0.25">
      <c r="B1831" s="2" t="s">
        <v>2636</v>
      </c>
      <c r="C1831" s="2" t="s">
        <v>238</v>
      </c>
      <c r="D1831" s="2" t="s">
        <v>239</v>
      </c>
      <c r="E1831" s="2" t="s">
        <v>237</v>
      </c>
      <c r="F1831" s="2" t="s">
        <v>535</v>
      </c>
      <c r="G1831" s="2" t="s">
        <v>475</v>
      </c>
      <c r="H1831" s="2" t="s">
        <v>476</v>
      </c>
      <c r="I1831" s="26">
        <v>45197</v>
      </c>
      <c r="J1831" s="2">
        <v>29</v>
      </c>
      <c r="K1831" s="2" t="s">
        <v>123</v>
      </c>
      <c r="L1831" s="22">
        <v>4650</v>
      </c>
      <c r="M1831" s="22">
        <v>134850</v>
      </c>
      <c r="N1831" s="18">
        <v>144.22</v>
      </c>
      <c r="O1831" s="26">
        <v>45377</v>
      </c>
      <c r="P1831" s="2" t="s">
        <v>2105</v>
      </c>
      <c r="Q1831" s="2" t="s">
        <v>814</v>
      </c>
    </row>
    <row r="1832" spans="2:17" x14ac:dyDescent="0.25">
      <c r="B1832" s="2" t="s">
        <v>2637</v>
      </c>
      <c r="C1832" s="2" t="s">
        <v>238</v>
      </c>
      <c r="D1832" s="2" t="s">
        <v>239</v>
      </c>
      <c r="E1832" s="2" t="s">
        <v>237</v>
      </c>
      <c r="F1832" s="2" t="s">
        <v>535</v>
      </c>
      <c r="G1832" s="2" t="s">
        <v>475</v>
      </c>
      <c r="H1832" s="2" t="s">
        <v>476</v>
      </c>
      <c r="I1832" s="26">
        <v>45221</v>
      </c>
      <c r="J1832" s="2">
        <v>21</v>
      </c>
      <c r="K1832" s="2" t="s">
        <v>123</v>
      </c>
      <c r="L1832" s="22">
        <v>4650</v>
      </c>
      <c r="M1832" s="22">
        <v>97650</v>
      </c>
      <c r="N1832" s="18">
        <v>104.44</v>
      </c>
      <c r="O1832" s="26">
        <v>45401</v>
      </c>
      <c r="P1832" s="2" t="s">
        <v>2105</v>
      </c>
      <c r="Q1832" s="2" t="s">
        <v>814</v>
      </c>
    </row>
    <row r="1833" spans="2:17" x14ac:dyDescent="0.25">
      <c r="B1833" s="2" t="s">
        <v>2638</v>
      </c>
      <c r="C1833" s="2" t="s">
        <v>238</v>
      </c>
      <c r="D1833" s="2" t="s">
        <v>239</v>
      </c>
      <c r="E1833" s="2" t="s">
        <v>237</v>
      </c>
      <c r="F1833" s="2" t="s">
        <v>535</v>
      </c>
      <c r="G1833" s="2" t="s">
        <v>475</v>
      </c>
      <c r="H1833" s="2" t="s">
        <v>476</v>
      </c>
      <c r="I1833" s="26">
        <v>45242</v>
      </c>
      <c r="J1833" s="2">
        <v>19</v>
      </c>
      <c r="K1833" s="2" t="s">
        <v>123</v>
      </c>
      <c r="L1833" s="22">
        <v>4650</v>
      </c>
      <c r="M1833" s="22">
        <v>88350</v>
      </c>
      <c r="N1833" s="18">
        <v>94.49</v>
      </c>
      <c r="O1833" s="26">
        <v>45422</v>
      </c>
      <c r="P1833" s="2" t="s">
        <v>2105</v>
      </c>
      <c r="Q1833" s="2" t="s">
        <v>814</v>
      </c>
    </row>
    <row r="1834" spans="2:17" x14ac:dyDescent="0.25">
      <c r="B1834" s="2" t="s">
        <v>2639</v>
      </c>
      <c r="C1834" s="2" t="s">
        <v>238</v>
      </c>
      <c r="D1834" s="2" t="s">
        <v>239</v>
      </c>
      <c r="E1834" s="2" t="s">
        <v>237</v>
      </c>
      <c r="F1834" s="2" t="s">
        <v>535</v>
      </c>
      <c r="G1834" s="2" t="s">
        <v>475</v>
      </c>
      <c r="H1834" s="2" t="s">
        <v>476</v>
      </c>
      <c r="I1834" s="26">
        <v>45267</v>
      </c>
      <c r="J1834" s="2">
        <v>27</v>
      </c>
      <c r="K1834" s="2" t="s">
        <v>123</v>
      </c>
      <c r="L1834" s="22">
        <v>4650</v>
      </c>
      <c r="M1834" s="22">
        <v>125550</v>
      </c>
      <c r="N1834" s="18">
        <v>134.28</v>
      </c>
      <c r="O1834" s="26">
        <v>45447</v>
      </c>
      <c r="P1834" s="2" t="s">
        <v>2105</v>
      </c>
      <c r="Q1834" s="2" t="s">
        <v>825</v>
      </c>
    </row>
    <row r="1835" spans="2:17" x14ac:dyDescent="0.25">
      <c r="B1835" s="2" t="s">
        <v>2640</v>
      </c>
      <c r="C1835" s="2" t="s">
        <v>238</v>
      </c>
      <c r="D1835" s="2" t="s">
        <v>239</v>
      </c>
      <c r="E1835" s="2" t="s">
        <v>237</v>
      </c>
      <c r="F1835" s="2" t="s">
        <v>535</v>
      </c>
      <c r="G1835" s="2" t="s">
        <v>475</v>
      </c>
      <c r="H1835" s="2" t="s">
        <v>476</v>
      </c>
      <c r="I1835" s="26">
        <v>45289</v>
      </c>
      <c r="J1835" s="2">
        <v>24</v>
      </c>
      <c r="K1835" s="2" t="s">
        <v>123</v>
      </c>
      <c r="L1835" s="22">
        <v>4650</v>
      </c>
      <c r="M1835" s="22">
        <v>111600</v>
      </c>
      <c r="N1835" s="18">
        <v>119.36</v>
      </c>
      <c r="O1835" s="26">
        <v>45469</v>
      </c>
      <c r="P1835" s="2" t="s">
        <v>2105</v>
      </c>
      <c r="Q1835" s="2" t="s">
        <v>825</v>
      </c>
    </row>
    <row r="1836" spans="2:17" x14ac:dyDescent="0.25">
      <c r="B1836" s="2" t="s">
        <v>2641</v>
      </c>
      <c r="C1836" s="2" t="s">
        <v>238</v>
      </c>
      <c r="D1836" s="2" t="s">
        <v>239</v>
      </c>
      <c r="E1836" s="2" t="s">
        <v>237</v>
      </c>
      <c r="F1836" s="2" t="s">
        <v>537</v>
      </c>
      <c r="G1836" s="2" t="s">
        <v>480</v>
      </c>
      <c r="H1836" s="2" t="s">
        <v>481</v>
      </c>
      <c r="I1836" s="26">
        <v>45303</v>
      </c>
      <c r="J1836" s="2">
        <v>20</v>
      </c>
      <c r="K1836" s="2" t="s">
        <v>123</v>
      </c>
      <c r="L1836" s="22">
        <v>4700</v>
      </c>
      <c r="M1836" s="22">
        <v>94000</v>
      </c>
      <c r="N1836" s="18">
        <v>100.53</v>
      </c>
      <c r="O1836" s="26">
        <v>45483</v>
      </c>
      <c r="P1836" s="2" t="s">
        <v>2105</v>
      </c>
      <c r="Q1836" s="2" t="s">
        <v>825</v>
      </c>
    </row>
    <row r="1837" spans="2:17" x14ac:dyDescent="0.25">
      <c r="B1837" s="2" t="s">
        <v>2642</v>
      </c>
      <c r="C1837" s="2" t="s">
        <v>238</v>
      </c>
      <c r="D1837" s="2" t="s">
        <v>239</v>
      </c>
      <c r="E1837" s="2" t="s">
        <v>237</v>
      </c>
      <c r="F1837" s="2" t="s">
        <v>535</v>
      </c>
      <c r="G1837" s="2" t="s">
        <v>475</v>
      </c>
      <c r="H1837" s="2" t="s">
        <v>476</v>
      </c>
      <c r="I1837" s="26">
        <v>45317</v>
      </c>
      <c r="J1837" s="2">
        <v>18</v>
      </c>
      <c r="K1837" s="2" t="s">
        <v>123</v>
      </c>
      <c r="L1837" s="22">
        <v>4650</v>
      </c>
      <c r="M1837" s="22">
        <v>83700</v>
      </c>
      <c r="N1837" s="18">
        <v>89.52</v>
      </c>
      <c r="O1837" s="26">
        <v>45497</v>
      </c>
      <c r="P1837" s="2" t="s">
        <v>2105</v>
      </c>
      <c r="Q1837" s="2" t="s">
        <v>825</v>
      </c>
    </row>
    <row r="1838" spans="2:17" x14ac:dyDescent="0.25">
      <c r="B1838" s="2" t="s">
        <v>2643</v>
      </c>
      <c r="C1838" s="2" t="s">
        <v>238</v>
      </c>
      <c r="D1838" s="2" t="s">
        <v>239</v>
      </c>
      <c r="E1838" s="2" t="s">
        <v>237</v>
      </c>
      <c r="F1838" s="2" t="s">
        <v>535</v>
      </c>
      <c r="G1838" s="2" t="s">
        <v>475</v>
      </c>
      <c r="H1838" s="2" t="s">
        <v>476</v>
      </c>
      <c r="I1838" s="26">
        <v>45338</v>
      </c>
      <c r="J1838" s="2">
        <v>22</v>
      </c>
      <c r="K1838" s="2" t="s">
        <v>123</v>
      </c>
      <c r="L1838" s="22">
        <v>4650</v>
      </c>
      <c r="M1838" s="22">
        <v>102300</v>
      </c>
      <c r="N1838" s="18">
        <v>109.41</v>
      </c>
      <c r="O1838" s="26">
        <v>45518</v>
      </c>
      <c r="P1838" s="2" t="s">
        <v>2105</v>
      </c>
      <c r="Q1838" s="2" t="s">
        <v>825</v>
      </c>
    </row>
    <row r="1839" spans="2:17" x14ac:dyDescent="0.25">
      <c r="B1839" s="2" t="s">
        <v>2644</v>
      </c>
      <c r="C1839" s="2" t="s">
        <v>238</v>
      </c>
      <c r="D1839" s="2" t="s">
        <v>239</v>
      </c>
      <c r="E1839" s="2" t="s">
        <v>237</v>
      </c>
      <c r="F1839" s="2" t="s">
        <v>537</v>
      </c>
      <c r="G1839" s="2" t="s">
        <v>480</v>
      </c>
      <c r="H1839" s="2" t="s">
        <v>481</v>
      </c>
      <c r="I1839" s="26">
        <v>45358</v>
      </c>
      <c r="J1839" s="2">
        <v>23</v>
      </c>
      <c r="K1839" s="2" t="s">
        <v>123</v>
      </c>
      <c r="L1839" s="22">
        <v>4700</v>
      </c>
      <c r="M1839" s="22">
        <v>108100</v>
      </c>
      <c r="N1839" s="18">
        <v>115.61</v>
      </c>
      <c r="O1839" s="26">
        <v>45538</v>
      </c>
      <c r="P1839" s="2" t="s">
        <v>2105</v>
      </c>
      <c r="Q1839" s="2" t="s">
        <v>836</v>
      </c>
    </row>
    <row r="1840" spans="2:17" x14ac:dyDescent="0.25">
      <c r="B1840" s="2" t="s">
        <v>2645</v>
      </c>
      <c r="C1840" s="2" t="s">
        <v>238</v>
      </c>
      <c r="D1840" s="2" t="s">
        <v>239</v>
      </c>
      <c r="E1840" s="2" t="s">
        <v>237</v>
      </c>
      <c r="F1840" s="2" t="s">
        <v>535</v>
      </c>
      <c r="G1840" s="2" t="s">
        <v>475</v>
      </c>
      <c r="H1840" s="2" t="s">
        <v>476</v>
      </c>
      <c r="I1840" s="26">
        <v>45384</v>
      </c>
      <c r="J1840" s="2">
        <v>18</v>
      </c>
      <c r="K1840" s="2" t="s">
        <v>123</v>
      </c>
      <c r="L1840" s="22">
        <v>4650</v>
      </c>
      <c r="M1840" s="22">
        <v>83700</v>
      </c>
      <c r="N1840" s="18">
        <v>89.52</v>
      </c>
      <c r="O1840" s="26">
        <v>45564</v>
      </c>
      <c r="P1840" s="2" t="s">
        <v>2105</v>
      </c>
      <c r="Q1840" s="2" t="s">
        <v>836</v>
      </c>
    </row>
    <row r="1841" spans="2:17" x14ac:dyDescent="0.25">
      <c r="B1841" s="2" t="s">
        <v>2646</v>
      </c>
      <c r="C1841" s="2" t="s">
        <v>238</v>
      </c>
      <c r="D1841" s="2" t="s">
        <v>239</v>
      </c>
      <c r="E1841" s="2" t="s">
        <v>237</v>
      </c>
      <c r="F1841" s="2" t="s">
        <v>535</v>
      </c>
      <c r="G1841" s="2" t="s">
        <v>475</v>
      </c>
      <c r="H1841" s="2" t="s">
        <v>476</v>
      </c>
      <c r="I1841" s="26">
        <v>45404</v>
      </c>
      <c r="J1841" s="2">
        <v>22</v>
      </c>
      <c r="K1841" s="2" t="s">
        <v>123</v>
      </c>
      <c r="L1841" s="22">
        <v>4650</v>
      </c>
      <c r="M1841" s="22">
        <v>102300</v>
      </c>
      <c r="N1841" s="18">
        <v>109.41</v>
      </c>
      <c r="O1841" s="26">
        <v>45584</v>
      </c>
      <c r="P1841" s="2" t="s">
        <v>2105</v>
      </c>
      <c r="Q1841" s="2" t="s">
        <v>836</v>
      </c>
    </row>
    <row r="1842" spans="2:17" x14ac:dyDescent="0.25">
      <c r="B1842" s="2" t="s">
        <v>2647</v>
      </c>
      <c r="C1842" s="2" t="s">
        <v>238</v>
      </c>
      <c r="D1842" s="2" t="s">
        <v>239</v>
      </c>
      <c r="E1842" s="2" t="s">
        <v>237</v>
      </c>
      <c r="F1842" s="2" t="s">
        <v>535</v>
      </c>
      <c r="G1842" s="2" t="s">
        <v>475</v>
      </c>
      <c r="H1842" s="2" t="s">
        <v>476</v>
      </c>
      <c r="I1842" s="26">
        <v>45424</v>
      </c>
      <c r="J1842" s="2">
        <v>22</v>
      </c>
      <c r="K1842" s="2" t="s">
        <v>123</v>
      </c>
      <c r="L1842" s="22">
        <v>4650</v>
      </c>
      <c r="M1842" s="22">
        <v>102300</v>
      </c>
      <c r="N1842" s="18">
        <v>109.41</v>
      </c>
      <c r="O1842" s="26">
        <v>45604</v>
      </c>
      <c r="P1842" s="2" t="s">
        <v>2105</v>
      </c>
      <c r="Q1842" s="2" t="s">
        <v>836</v>
      </c>
    </row>
    <row r="1843" spans="2:17" x14ac:dyDescent="0.25">
      <c r="B1843" s="2" t="s">
        <v>2648</v>
      </c>
      <c r="C1843" s="2" t="s">
        <v>238</v>
      </c>
      <c r="D1843" s="2" t="s">
        <v>239</v>
      </c>
      <c r="E1843" s="2" t="s">
        <v>237</v>
      </c>
      <c r="F1843" s="2" t="s">
        <v>535</v>
      </c>
      <c r="G1843" s="2" t="s">
        <v>475</v>
      </c>
      <c r="H1843" s="2" t="s">
        <v>476</v>
      </c>
      <c r="I1843" s="26">
        <v>45436</v>
      </c>
      <c r="J1843" s="2">
        <v>21</v>
      </c>
      <c r="K1843" s="2" t="s">
        <v>123</v>
      </c>
      <c r="L1843" s="22">
        <v>4650</v>
      </c>
      <c r="M1843" s="22">
        <v>97650</v>
      </c>
      <c r="N1843" s="18">
        <v>104.44</v>
      </c>
      <c r="O1843" s="26">
        <v>45616</v>
      </c>
      <c r="P1843" s="2" t="s">
        <v>2105</v>
      </c>
      <c r="Q1843" s="2" t="s">
        <v>836</v>
      </c>
    </row>
    <row r="1844" spans="2:17" x14ac:dyDescent="0.25">
      <c r="B1844" s="2" t="s">
        <v>2649</v>
      </c>
      <c r="C1844" s="2" t="s">
        <v>238</v>
      </c>
      <c r="D1844" s="2" t="s">
        <v>239</v>
      </c>
      <c r="E1844" s="2" t="s">
        <v>237</v>
      </c>
      <c r="F1844" s="2" t="s">
        <v>535</v>
      </c>
      <c r="G1844" s="2" t="s">
        <v>475</v>
      </c>
      <c r="H1844" s="2" t="s">
        <v>476</v>
      </c>
      <c r="I1844" s="26">
        <v>45451</v>
      </c>
      <c r="J1844" s="2">
        <v>19</v>
      </c>
      <c r="K1844" s="2" t="s">
        <v>123</v>
      </c>
      <c r="L1844" s="22">
        <v>4650</v>
      </c>
      <c r="M1844" s="22">
        <v>88350</v>
      </c>
      <c r="N1844" s="18">
        <v>94.49</v>
      </c>
      <c r="O1844" s="26">
        <v>45631</v>
      </c>
      <c r="P1844" s="2" t="s">
        <v>2105</v>
      </c>
      <c r="Q1844" s="2" t="s">
        <v>806</v>
      </c>
    </row>
    <row r="1845" spans="2:17" x14ac:dyDescent="0.25">
      <c r="B1845" s="2" t="s">
        <v>2650</v>
      </c>
      <c r="C1845" s="2" t="s">
        <v>238</v>
      </c>
      <c r="D1845" s="2" t="s">
        <v>239</v>
      </c>
      <c r="E1845" s="2" t="s">
        <v>237</v>
      </c>
      <c r="F1845" s="2" t="s">
        <v>535</v>
      </c>
      <c r="G1845" s="2" t="s">
        <v>475</v>
      </c>
      <c r="H1845" s="2" t="s">
        <v>476</v>
      </c>
      <c r="I1845" s="26">
        <v>45470</v>
      </c>
      <c r="J1845" s="2">
        <v>19</v>
      </c>
      <c r="K1845" s="2" t="s">
        <v>123</v>
      </c>
      <c r="L1845" s="22">
        <v>4650</v>
      </c>
      <c r="M1845" s="22">
        <v>88350</v>
      </c>
      <c r="N1845" s="18">
        <v>94.49</v>
      </c>
      <c r="O1845" s="26">
        <v>45650</v>
      </c>
      <c r="P1845" s="2" t="s">
        <v>2105</v>
      </c>
      <c r="Q1845" s="2" t="s">
        <v>806</v>
      </c>
    </row>
    <row r="1846" spans="2:17" x14ac:dyDescent="0.25">
      <c r="B1846" s="2" t="s">
        <v>2651</v>
      </c>
      <c r="C1846" s="2" t="s">
        <v>238</v>
      </c>
      <c r="D1846" s="2" t="s">
        <v>239</v>
      </c>
      <c r="E1846" s="2" t="s">
        <v>237</v>
      </c>
      <c r="F1846" s="2" t="s">
        <v>535</v>
      </c>
      <c r="G1846" s="2" t="s">
        <v>475</v>
      </c>
      <c r="H1846" s="2" t="s">
        <v>476</v>
      </c>
      <c r="I1846" s="26">
        <v>45490</v>
      </c>
      <c r="J1846" s="2">
        <v>17</v>
      </c>
      <c r="K1846" s="2" t="s">
        <v>123</v>
      </c>
      <c r="L1846" s="22">
        <v>4650</v>
      </c>
      <c r="M1846" s="22">
        <v>79050</v>
      </c>
      <c r="N1846" s="18">
        <v>84.55</v>
      </c>
      <c r="O1846" s="26">
        <v>45670</v>
      </c>
      <c r="P1846" s="2" t="s">
        <v>2105</v>
      </c>
      <c r="Q1846" s="2" t="s">
        <v>806</v>
      </c>
    </row>
    <row r="1847" spans="2:17" x14ac:dyDescent="0.25">
      <c r="B1847" s="2" t="s">
        <v>2652</v>
      </c>
      <c r="C1847" s="2" t="s">
        <v>238</v>
      </c>
      <c r="D1847" s="2" t="s">
        <v>239</v>
      </c>
      <c r="E1847" s="2" t="s">
        <v>237</v>
      </c>
      <c r="F1847" s="2" t="s">
        <v>535</v>
      </c>
      <c r="G1847" s="2" t="s">
        <v>475</v>
      </c>
      <c r="H1847" s="2" t="s">
        <v>476</v>
      </c>
      <c r="I1847" s="26">
        <v>45508</v>
      </c>
      <c r="J1847" s="2">
        <v>23</v>
      </c>
      <c r="K1847" s="2" t="s">
        <v>123</v>
      </c>
      <c r="L1847" s="22">
        <v>4650</v>
      </c>
      <c r="M1847" s="22">
        <v>106950</v>
      </c>
      <c r="N1847" s="18">
        <v>114.39</v>
      </c>
      <c r="O1847" s="26">
        <v>45688</v>
      </c>
      <c r="P1847" s="2" t="s">
        <v>2105</v>
      </c>
      <c r="Q1847" s="2" t="s">
        <v>806</v>
      </c>
    </row>
    <row r="1848" spans="2:17" x14ac:dyDescent="0.25">
      <c r="B1848" s="2" t="s">
        <v>2653</v>
      </c>
      <c r="C1848" s="2" t="s">
        <v>238</v>
      </c>
      <c r="D1848" s="2" t="s">
        <v>239</v>
      </c>
      <c r="E1848" s="2" t="s">
        <v>237</v>
      </c>
      <c r="F1848" s="2" t="s">
        <v>535</v>
      </c>
      <c r="G1848" s="2" t="s">
        <v>475</v>
      </c>
      <c r="H1848" s="2" t="s">
        <v>476</v>
      </c>
      <c r="I1848" s="26">
        <v>45529</v>
      </c>
      <c r="J1848" s="2">
        <v>22</v>
      </c>
      <c r="K1848" s="2" t="s">
        <v>123</v>
      </c>
      <c r="L1848" s="22">
        <v>4650</v>
      </c>
      <c r="M1848" s="22">
        <v>102300</v>
      </c>
      <c r="N1848" s="18">
        <v>109.41</v>
      </c>
      <c r="O1848" s="26">
        <v>45709</v>
      </c>
      <c r="P1848" s="2" t="s">
        <v>2105</v>
      </c>
      <c r="Q1848" s="2" t="s">
        <v>806</v>
      </c>
    </row>
    <row r="1849" spans="2:17" x14ac:dyDescent="0.25">
      <c r="B1849" s="2" t="s">
        <v>2654</v>
      </c>
      <c r="C1849" s="2" t="s">
        <v>238</v>
      </c>
      <c r="D1849" s="2" t="s">
        <v>239</v>
      </c>
      <c r="E1849" s="2" t="s">
        <v>237</v>
      </c>
      <c r="F1849" s="2" t="s">
        <v>535</v>
      </c>
      <c r="G1849" s="2" t="s">
        <v>475</v>
      </c>
      <c r="H1849" s="2" t="s">
        <v>476</v>
      </c>
      <c r="I1849" s="26">
        <v>45549</v>
      </c>
      <c r="J1849" s="2">
        <v>25</v>
      </c>
      <c r="K1849" s="2" t="s">
        <v>123</v>
      </c>
      <c r="L1849" s="22">
        <v>4650</v>
      </c>
      <c r="M1849" s="22">
        <v>116250</v>
      </c>
      <c r="N1849" s="18">
        <v>124.33</v>
      </c>
      <c r="O1849" s="26">
        <v>45729</v>
      </c>
      <c r="P1849" s="2" t="s">
        <v>2105</v>
      </c>
      <c r="Q1849" s="2" t="s">
        <v>814</v>
      </c>
    </row>
    <row r="1850" spans="2:17" x14ac:dyDescent="0.25">
      <c r="B1850" s="2" t="s">
        <v>2655</v>
      </c>
      <c r="C1850" s="2" t="s">
        <v>238</v>
      </c>
      <c r="D1850" s="2" t="s">
        <v>239</v>
      </c>
      <c r="E1850" s="2" t="s">
        <v>237</v>
      </c>
      <c r="F1850" s="2" t="s">
        <v>535</v>
      </c>
      <c r="G1850" s="2" t="s">
        <v>475</v>
      </c>
      <c r="H1850" s="2" t="s">
        <v>476</v>
      </c>
      <c r="I1850" s="26">
        <v>45564</v>
      </c>
      <c r="J1850" s="2">
        <v>24</v>
      </c>
      <c r="K1850" s="2" t="s">
        <v>123</v>
      </c>
      <c r="L1850" s="22">
        <v>4650</v>
      </c>
      <c r="M1850" s="22">
        <v>111600</v>
      </c>
      <c r="N1850" s="18">
        <v>119.36</v>
      </c>
      <c r="O1850" s="26">
        <v>45744</v>
      </c>
      <c r="P1850" s="2" t="s">
        <v>2105</v>
      </c>
      <c r="Q1850" s="2" t="s">
        <v>814</v>
      </c>
    </row>
    <row r="1851" spans="2:17" x14ac:dyDescent="0.25">
      <c r="B1851" s="2" t="s">
        <v>2656</v>
      </c>
      <c r="C1851" s="2" t="s">
        <v>238</v>
      </c>
      <c r="D1851" s="2" t="s">
        <v>239</v>
      </c>
      <c r="E1851" s="2" t="s">
        <v>237</v>
      </c>
      <c r="F1851" s="2" t="s">
        <v>535</v>
      </c>
      <c r="G1851" s="2" t="s">
        <v>475</v>
      </c>
      <c r="H1851" s="2" t="s">
        <v>476</v>
      </c>
      <c r="I1851" s="26">
        <v>45584</v>
      </c>
      <c r="J1851" s="2">
        <v>19</v>
      </c>
      <c r="K1851" s="2" t="s">
        <v>123</v>
      </c>
      <c r="L1851" s="22">
        <v>4650</v>
      </c>
      <c r="M1851" s="22">
        <v>88350</v>
      </c>
      <c r="N1851" s="18">
        <v>94.49</v>
      </c>
      <c r="O1851" s="26">
        <v>45764</v>
      </c>
      <c r="P1851" s="2" t="s">
        <v>2105</v>
      </c>
      <c r="Q1851" s="2" t="s">
        <v>814</v>
      </c>
    </row>
    <row r="1852" spans="2:17" x14ac:dyDescent="0.25">
      <c r="B1852" s="2" t="s">
        <v>2657</v>
      </c>
      <c r="C1852" s="2" t="s">
        <v>238</v>
      </c>
      <c r="D1852" s="2" t="s">
        <v>239</v>
      </c>
      <c r="E1852" s="2" t="s">
        <v>237</v>
      </c>
      <c r="F1852" s="2" t="s">
        <v>535</v>
      </c>
      <c r="G1852" s="2" t="s">
        <v>475</v>
      </c>
      <c r="H1852" s="2" t="s">
        <v>476</v>
      </c>
      <c r="I1852" s="26">
        <v>45601</v>
      </c>
      <c r="J1852" s="2">
        <v>21</v>
      </c>
      <c r="K1852" s="2" t="s">
        <v>123</v>
      </c>
      <c r="L1852" s="22">
        <v>4650</v>
      </c>
      <c r="M1852" s="22">
        <v>97650</v>
      </c>
      <c r="N1852" s="18">
        <v>104.44</v>
      </c>
      <c r="O1852" s="26">
        <v>45781</v>
      </c>
      <c r="P1852" s="2" t="s">
        <v>2105</v>
      </c>
      <c r="Q1852" s="2" t="s">
        <v>814</v>
      </c>
    </row>
    <row r="1853" spans="2:17" x14ac:dyDescent="0.25">
      <c r="B1853" s="2" t="s">
        <v>2658</v>
      </c>
      <c r="C1853" s="2" t="s">
        <v>238</v>
      </c>
      <c r="D1853" s="2" t="s">
        <v>239</v>
      </c>
      <c r="E1853" s="2" t="s">
        <v>237</v>
      </c>
      <c r="F1853" s="2" t="s">
        <v>535</v>
      </c>
      <c r="G1853" s="2" t="s">
        <v>475</v>
      </c>
      <c r="H1853" s="2" t="s">
        <v>476</v>
      </c>
      <c r="I1853" s="26">
        <v>45623</v>
      </c>
      <c r="J1853" s="2">
        <v>18</v>
      </c>
      <c r="K1853" s="2" t="s">
        <v>123</v>
      </c>
      <c r="L1853" s="22">
        <v>4650</v>
      </c>
      <c r="M1853" s="22">
        <v>83700</v>
      </c>
      <c r="N1853" s="18">
        <v>89.52</v>
      </c>
      <c r="O1853" s="26">
        <v>45803</v>
      </c>
      <c r="P1853" s="2" t="s">
        <v>2105</v>
      </c>
      <c r="Q1853" s="2" t="s">
        <v>814</v>
      </c>
    </row>
    <row r="1854" spans="2:17" x14ac:dyDescent="0.25">
      <c r="B1854" s="2" t="s">
        <v>2659</v>
      </c>
      <c r="C1854" s="2" t="s">
        <v>238</v>
      </c>
      <c r="D1854" s="2" t="s">
        <v>239</v>
      </c>
      <c r="E1854" s="2" t="s">
        <v>237</v>
      </c>
      <c r="F1854" s="2" t="s">
        <v>535</v>
      </c>
      <c r="G1854" s="2" t="s">
        <v>475</v>
      </c>
      <c r="H1854" s="2" t="s">
        <v>476</v>
      </c>
      <c r="I1854" s="26">
        <v>45646</v>
      </c>
      <c r="J1854" s="2">
        <v>24</v>
      </c>
      <c r="K1854" s="2" t="s">
        <v>123</v>
      </c>
      <c r="L1854" s="22">
        <v>4650</v>
      </c>
      <c r="M1854" s="22">
        <v>111600</v>
      </c>
      <c r="N1854" s="18">
        <v>119.36</v>
      </c>
      <c r="O1854" s="26">
        <v>45826</v>
      </c>
      <c r="P1854" s="2" t="s">
        <v>2105</v>
      </c>
      <c r="Q1854" s="2" t="s">
        <v>825</v>
      </c>
    </row>
    <row r="1855" spans="2:17" x14ac:dyDescent="0.25">
      <c r="B1855" s="2" t="s">
        <v>2660</v>
      </c>
      <c r="C1855" s="2" t="s">
        <v>238</v>
      </c>
      <c r="D1855" s="2" t="s">
        <v>239</v>
      </c>
      <c r="E1855" s="2" t="s">
        <v>237</v>
      </c>
      <c r="F1855" s="2" t="s">
        <v>535</v>
      </c>
      <c r="G1855" s="2" t="s">
        <v>475</v>
      </c>
      <c r="H1855" s="2" t="s">
        <v>476</v>
      </c>
      <c r="I1855" s="26">
        <v>45670</v>
      </c>
      <c r="J1855" s="2">
        <v>22</v>
      </c>
      <c r="K1855" s="2" t="s">
        <v>123</v>
      </c>
      <c r="L1855" s="22">
        <v>4650</v>
      </c>
      <c r="M1855" s="22">
        <v>102300</v>
      </c>
      <c r="N1855" s="18">
        <v>109.41</v>
      </c>
      <c r="O1855" s="26">
        <v>45850</v>
      </c>
      <c r="P1855" s="2" t="s">
        <v>2105</v>
      </c>
      <c r="Q1855" s="2" t="s">
        <v>825</v>
      </c>
    </row>
    <row r="1856" spans="2:17" x14ac:dyDescent="0.25">
      <c r="B1856" s="2" t="s">
        <v>2661</v>
      </c>
      <c r="C1856" s="2" t="s">
        <v>238</v>
      </c>
      <c r="D1856" s="2" t="s">
        <v>239</v>
      </c>
      <c r="E1856" s="2" t="s">
        <v>237</v>
      </c>
      <c r="F1856" s="2" t="s">
        <v>535</v>
      </c>
      <c r="G1856" s="2" t="s">
        <v>475</v>
      </c>
      <c r="H1856" s="2" t="s">
        <v>476</v>
      </c>
      <c r="I1856" s="26">
        <v>45690</v>
      </c>
      <c r="J1856" s="2">
        <v>21</v>
      </c>
      <c r="K1856" s="2" t="s">
        <v>123</v>
      </c>
      <c r="L1856" s="22">
        <v>4650</v>
      </c>
      <c r="M1856" s="22">
        <v>97650</v>
      </c>
      <c r="N1856" s="18">
        <v>104.44</v>
      </c>
      <c r="O1856" s="26">
        <v>45870</v>
      </c>
      <c r="P1856" s="2" t="s">
        <v>2105</v>
      </c>
      <c r="Q1856" s="2" t="s">
        <v>825</v>
      </c>
    </row>
    <row r="1857" spans="2:17" x14ac:dyDescent="0.25">
      <c r="B1857" s="2" t="s">
        <v>2662</v>
      </c>
      <c r="C1857" s="2" t="s">
        <v>238</v>
      </c>
      <c r="D1857" s="2" t="s">
        <v>239</v>
      </c>
      <c r="E1857" s="2" t="s">
        <v>237</v>
      </c>
      <c r="F1857" s="2" t="s">
        <v>535</v>
      </c>
      <c r="G1857" s="2" t="s">
        <v>475</v>
      </c>
      <c r="H1857" s="2" t="s">
        <v>476</v>
      </c>
      <c r="I1857" s="26">
        <v>45719</v>
      </c>
      <c r="J1857" s="2">
        <v>22</v>
      </c>
      <c r="K1857" s="2" t="s">
        <v>123</v>
      </c>
      <c r="L1857" s="22">
        <v>4650</v>
      </c>
      <c r="M1857" s="22">
        <v>102300</v>
      </c>
      <c r="N1857" s="18">
        <v>109.41</v>
      </c>
      <c r="O1857" s="26">
        <v>45899</v>
      </c>
      <c r="P1857" s="2" t="s">
        <v>2105</v>
      </c>
      <c r="Q1857" s="2" t="s">
        <v>836</v>
      </c>
    </row>
    <row r="1858" spans="2:17" x14ac:dyDescent="0.25">
      <c r="B1858" s="2" t="s">
        <v>2663</v>
      </c>
      <c r="C1858" s="2" t="s">
        <v>238</v>
      </c>
      <c r="D1858" s="2" t="s">
        <v>239</v>
      </c>
      <c r="E1858" s="2" t="s">
        <v>237</v>
      </c>
      <c r="F1858" s="2" t="s">
        <v>535</v>
      </c>
      <c r="G1858" s="2" t="s">
        <v>475</v>
      </c>
      <c r="H1858" s="2" t="s">
        <v>476</v>
      </c>
      <c r="I1858" s="26">
        <v>45739</v>
      </c>
      <c r="J1858" s="2">
        <v>21</v>
      </c>
      <c r="K1858" s="2" t="s">
        <v>123</v>
      </c>
      <c r="L1858" s="22">
        <v>4650</v>
      </c>
      <c r="M1858" s="22">
        <v>97650</v>
      </c>
      <c r="N1858" s="18">
        <v>104.44</v>
      </c>
      <c r="O1858" s="26">
        <v>45919</v>
      </c>
      <c r="P1858" s="2" t="s">
        <v>2105</v>
      </c>
      <c r="Q1858" s="2" t="s">
        <v>836</v>
      </c>
    </row>
    <row r="1859" spans="2:17" x14ac:dyDescent="0.25">
      <c r="B1859" s="2" t="s">
        <v>2664</v>
      </c>
      <c r="C1859" s="2" t="s">
        <v>238</v>
      </c>
      <c r="D1859" s="2" t="s">
        <v>239</v>
      </c>
      <c r="E1859" s="2" t="s">
        <v>237</v>
      </c>
      <c r="F1859" s="2" t="s">
        <v>537</v>
      </c>
      <c r="G1859" s="2" t="s">
        <v>480</v>
      </c>
      <c r="H1859" s="2" t="s">
        <v>481</v>
      </c>
      <c r="I1859" s="26">
        <v>45757</v>
      </c>
      <c r="J1859" s="2">
        <v>20</v>
      </c>
      <c r="K1859" s="2" t="s">
        <v>123</v>
      </c>
      <c r="L1859" s="22">
        <v>4700</v>
      </c>
      <c r="M1859" s="22">
        <v>94000</v>
      </c>
      <c r="N1859" s="18">
        <v>100.53</v>
      </c>
      <c r="O1859" s="26">
        <v>45937</v>
      </c>
      <c r="P1859" s="2" t="s">
        <v>2105</v>
      </c>
      <c r="Q1859" s="2" t="s">
        <v>836</v>
      </c>
    </row>
    <row r="1860" spans="2:17" x14ac:dyDescent="0.25">
      <c r="B1860" s="2" t="s">
        <v>2665</v>
      </c>
      <c r="C1860" s="2" t="s">
        <v>238</v>
      </c>
      <c r="D1860" s="2" t="s">
        <v>239</v>
      </c>
      <c r="E1860" s="2" t="s">
        <v>237</v>
      </c>
      <c r="F1860" s="2" t="s">
        <v>535</v>
      </c>
      <c r="G1860" s="2" t="s">
        <v>475</v>
      </c>
      <c r="H1860" s="2" t="s">
        <v>476</v>
      </c>
      <c r="I1860" s="26">
        <v>45780</v>
      </c>
      <c r="J1860" s="2">
        <v>18</v>
      </c>
      <c r="K1860" s="2" t="s">
        <v>123</v>
      </c>
      <c r="L1860" s="22">
        <v>4650</v>
      </c>
      <c r="M1860" s="22">
        <v>83700</v>
      </c>
      <c r="N1860" s="18">
        <v>89.52</v>
      </c>
      <c r="O1860" s="26">
        <v>45960</v>
      </c>
      <c r="P1860" s="2" t="s">
        <v>2105</v>
      </c>
      <c r="Q1860" s="2" t="s">
        <v>836</v>
      </c>
    </row>
    <row r="1861" spans="2:17" x14ac:dyDescent="0.25">
      <c r="B1861" s="2" t="s">
        <v>2666</v>
      </c>
      <c r="C1861" s="2" t="s">
        <v>238</v>
      </c>
      <c r="D1861" s="2" t="s">
        <v>239</v>
      </c>
      <c r="E1861" s="2" t="s">
        <v>237</v>
      </c>
      <c r="F1861" s="2" t="s">
        <v>537</v>
      </c>
      <c r="G1861" s="2" t="s">
        <v>480</v>
      </c>
      <c r="H1861" s="2" t="s">
        <v>481</v>
      </c>
      <c r="I1861" s="26">
        <v>45795</v>
      </c>
      <c r="J1861" s="2">
        <v>19</v>
      </c>
      <c r="K1861" s="2" t="s">
        <v>123</v>
      </c>
      <c r="L1861" s="22">
        <v>4700</v>
      </c>
      <c r="M1861" s="22">
        <v>89300</v>
      </c>
      <c r="N1861" s="18">
        <v>95.51</v>
      </c>
      <c r="O1861" s="26">
        <v>45975</v>
      </c>
      <c r="P1861" s="2" t="s">
        <v>2105</v>
      </c>
      <c r="Q1861" s="2" t="s">
        <v>836</v>
      </c>
    </row>
    <row r="1862" spans="2:17" x14ac:dyDescent="0.25">
      <c r="B1862" s="2" t="s">
        <v>2667</v>
      </c>
      <c r="C1862" s="2" t="s">
        <v>238</v>
      </c>
      <c r="D1862" s="2" t="s">
        <v>239</v>
      </c>
      <c r="E1862" s="2" t="s">
        <v>237</v>
      </c>
      <c r="F1862" s="2" t="s">
        <v>535</v>
      </c>
      <c r="G1862" s="2" t="s">
        <v>475</v>
      </c>
      <c r="H1862" s="2" t="s">
        <v>476</v>
      </c>
      <c r="I1862" s="26">
        <v>45814</v>
      </c>
      <c r="J1862" s="2">
        <v>25</v>
      </c>
      <c r="K1862" s="2" t="s">
        <v>123</v>
      </c>
      <c r="L1862" s="22">
        <v>4650</v>
      </c>
      <c r="M1862" s="22">
        <v>116250</v>
      </c>
      <c r="N1862" s="18">
        <v>124.33</v>
      </c>
      <c r="O1862" s="26">
        <v>45994</v>
      </c>
      <c r="P1862" s="2" t="s">
        <v>2105</v>
      </c>
      <c r="Q1862" s="2" t="s">
        <v>806</v>
      </c>
    </row>
    <row r="1863" spans="2:17" x14ac:dyDescent="0.25">
      <c r="B1863" s="2" t="s">
        <v>2668</v>
      </c>
      <c r="C1863" s="2" t="s">
        <v>238</v>
      </c>
      <c r="D1863" s="2" t="s">
        <v>239</v>
      </c>
      <c r="E1863" s="2" t="s">
        <v>237</v>
      </c>
      <c r="F1863" s="2" t="s">
        <v>535</v>
      </c>
      <c r="G1863" s="2" t="s">
        <v>475</v>
      </c>
      <c r="H1863" s="2" t="s">
        <v>476</v>
      </c>
      <c r="I1863" s="26">
        <v>45838</v>
      </c>
      <c r="J1863" s="2">
        <v>25</v>
      </c>
      <c r="K1863" s="2" t="s">
        <v>123</v>
      </c>
      <c r="L1863" s="22">
        <v>4650</v>
      </c>
      <c r="M1863" s="22">
        <v>116250</v>
      </c>
      <c r="N1863" s="18">
        <v>124.33</v>
      </c>
      <c r="O1863" s="26">
        <v>46018</v>
      </c>
      <c r="P1863" s="2" t="s">
        <v>2105</v>
      </c>
      <c r="Q1863" s="2" t="s">
        <v>806</v>
      </c>
    </row>
    <row r="1864" spans="2:17" x14ac:dyDescent="0.25">
      <c r="B1864" s="2" t="s">
        <v>2669</v>
      </c>
      <c r="C1864" s="2" t="s">
        <v>240</v>
      </c>
      <c r="D1864" s="2" t="s">
        <v>241</v>
      </c>
      <c r="E1864" s="2" t="s">
        <v>237</v>
      </c>
      <c r="F1864" s="2" t="s">
        <v>535</v>
      </c>
      <c r="G1864" s="2" t="s">
        <v>475</v>
      </c>
      <c r="H1864" s="2" t="s">
        <v>476</v>
      </c>
      <c r="I1864" s="26">
        <v>45108</v>
      </c>
      <c r="J1864" s="2">
        <v>23</v>
      </c>
      <c r="K1864" s="2" t="s">
        <v>123</v>
      </c>
      <c r="L1864" s="22">
        <v>5050</v>
      </c>
      <c r="M1864" s="22">
        <v>116150</v>
      </c>
      <c r="N1864" s="18">
        <v>124.22</v>
      </c>
      <c r="O1864" s="26">
        <v>45288</v>
      </c>
      <c r="P1864" s="2" t="s">
        <v>2105</v>
      </c>
      <c r="Q1864" s="2" t="s">
        <v>806</v>
      </c>
    </row>
    <row r="1865" spans="2:17" x14ac:dyDescent="0.25">
      <c r="B1865" s="2" t="s">
        <v>2670</v>
      </c>
      <c r="C1865" s="2" t="s">
        <v>240</v>
      </c>
      <c r="D1865" s="2" t="s">
        <v>241</v>
      </c>
      <c r="E1865" s="2" t="s">
        <v>237</v>
      </c>
      <c r="F1865" s="2" t="s">
        <v>535</v>
      </c>
      <c r="G1865" s="2" t="s">
        <v>475</v>
      </c>
      <c r="H1865" s="2" t="s">
        <v>476</v>
      </c>
      <c r="I1865" s="26">
        <v>45123</v>
      </c>
      <c r="J1865" s="2">
        <v>18</v>
      </c>
      <c r="K1865" s="2" t="s">
        <v>123</v>
      </c>
      <c r="L1865" s="22">
        <v>5050</v>
      </c>
      <c r="M1865" s="22">
        <v>90900</v>
      </c>
      <c r="N1865" s="18">
        <v>97.22</v>
      </c>
      <c r="O1865" s="26">
        <v>45303</v>
      </c>
      <c r="P1865" s="2" t="s">
        <v>2105</v>
      </c>
      <c r="Q1865" s="2" t="s">
        <v>806</v>
      </c>
    </row>
    <row r="1866" spans="2:17" x14ac:dyDescent="0.25">
      <c r="B1866" s="2" t="s">
        <v>2671</v>
      </c>
      <c r="C1866" s="2" t="s">
        <v>240</v>
      </c>
      <c r="D1866" s="2" t="s">
        <v>241</v>
      </c>
      <c r="E1866" s="2" t="s">
        <v>237</v>
      </c>
      <c r="F1866" s="2" t="s">
        <v>535</v>
      </c>
      <c r="G1866" s="2" t="s">
        <v>475</v>
      </c>
      <c r="H1866" s="2" t="s">
        <v>476</v>
      </c>
      <c r="I1866" s="26">
        <v>45141</v>
      </c>
      <c r="J1866" s="2">
        <v>22</v>
      </c>
      <c r="K1866" s="2" t="s">
        <v>123</v>
      </c>
      <c r="L1866" s="22">
        <v>5050</v>
      </c>
      <c r="M1866" s="22">
        <v>111100</v>
      </c>
      <c r="N1866" s="18">
        <v>118.82</v>
      </c>
      <c r="O1866" s="26">
        <v>45321</v>
      </c>
      <c r="P1866" s="2" t="s">
        <v>2105</v>
      </c>
      <c r="Q1866" s="2" t="s">
        <v>806</v>
      </c>
    </row>
    <row r="1867" spans="2:17" x14ac:dyDescent="0.25">
      <c r="B1867" s="2" t="s">
        <v>2672</v>
      </c>
      <c r="C1867" s="2" t="s">
        <v>240</v>
      </c>
      <c r="D1867" s="2" t="s">
        <v>241</v>
      </c>
      <c r="E1867" s="2" t="s">
        <v>237</v>
      </c>
      <c r="F1867" s="2" t="s">
        <v>535</v>
      </c>
      <c r="G1867" s="2" t="s">
        <v>475</v>
      </c>
      <c r="H1867" s="2" t="s">
        <v>476</v>
      </c>
      <c r="I1867" s="26">
        <v>45167</v>
      </c>
      <c r="J1867" s="2">
        <v>23</v>
      </c>
      <c r="K1867" s="2" t="s">
        <v>123</v>
      </c>
      <c r="L1867" s="22">
        <v>5050</v>
      </c>
      <c r="M1867" s="22">
        <v>116150</v>
      </c>
      <c r="N1867" s="18">
        <v>124.22</v>
      </c>
      <c r="O1867" s="26">
        <v>45347</v>
      </c>
      <c r="P1867" s="2" t="s">
        <v>2105</v>
      </c>
      <c r="Q1867" s="2" t="s">
        <v>806</v>
      </c>
    </row>
    <row r="1868" spans="2:17" x14ac:dyDescent="0.25">
      <c r="B1868" s="2" t="s">
        <v>2673</v>
      </c>
      <c r="C1868" s="2" t="s">
        <v>240</v>
      </c>
      <c r="D1868" s="2" t="s">
        <v>241</v>
      </c>
      <c r="E1868" s="2" t="s">
        <v>237</v>
      </c>
      <c r="F1868" s="2" t="s">
        <v>535</v>
      </c>
      <c r="G1868" s="2" t="s">
        <v>475</v>
      </c>
      <c r="H1868" s="2" t="s">
        <v>476</v>
      </c>
      <c r="I1868" s="26">
        <v>45185</v>
      </c>
      <c r="J1868" s="2">
        <v>23</v>
      </c>
      <c r="K1868" s="2" t="s">
        <v>123</v>
      </c>
      <c r="L1868" s="22">
        <v>5050</v>
      </c>
      <c r="M1868" s="22">
        <v>116150</v>
      </c>
      <c r="N1868" s="18">
        <v>124.22</v>
      </c>
      <c r="O1868" s="26">
        <v>45365</v>
      </c>
      <c r="P1868" s="2" t="s">
        <v>2105</v>
      </c>
      <c r="Q1868" s="2" t="s">
        <v>814</v>
      </c>
    </row>
    <row r="1869" spans="2:17" x14ac:dyDescent="0.25">
      <c r="B1869" s="2" t="s">
        <v>2674</v>
      </c>
      <c r="C1869" s="2" t="s">
        <v>240</v>
      </c>
      <c r="D1869" s="2" t="s">
        <v>241</v>
      </c>
      <c r="E1869" s="2" t="s">
        <v>237</v>
      </c>
      <c r="F1869" s="2" t="s">
        <v>535</v>
      </c>
      <c r="G1869" s="2" t="s">
        <v>475</v>
      </c>
      <c r="H1869" s="2" t="s">
        <v>476</v>
      </c>
      <c r="I1869" s="26">
        <v>45208</v>
      </c>
      <c r="J1869" s="2">
        <v>23</v>
      </c>
      <c r="K1869" s="2" t="s">
        <v>123</v>
      </c>
      <c r="L1869" s="22">
        <v>5050</v>
      </c>
      <c r="M1869" s="22">
        <v>116150</v>
      </c>
      <c r="N1869" s="18">
        <v>124.22</v>
      </c>
      <c r="O1869" s="26">
        <v>45388</v>
      </c>
      <c r="P1869" s="2" t="s">
        <v>2105</v>
      </c>
      <c r="Q1869" s="2" t="s">
        <v>814</v>
      </c>
    </row>
    <row r="1870" spans="2:17" x14ac:dyDescent="0.25">
      <c r="B1870" s="2" t="s">
        <v>2675</v>
      </c>
      <c r="C1870" s="2" t="s">
        <v>240</v>
      </c>
      <c r="D1870" s="2" t="s">
        <v>241</v>
      </c>
      <c r="E1870" s="2" t="s">
        <v>237</v>
      </c>
      <c r="F1870" s="2" t="s">
        <v>535</v>
      </c>
      <c r="G1870" s="2" t="s">
        <v>475</v>
      </c>
      <c r="H1870" s="2" t="s">
        <v>476</v>
      </c>
      <c r="I1870" s="26">
        <v>45232</v>
      </c>
      <c r="J1870" s="2">
        <v>21</v>
      </c>
      <c r="K1870" s="2" t="s">
        <v>123</v>
      </c>
      <c r="L1870" s="22">
        <v>5050</v>
      </c>
      <c r="M1870" s="22">
        <v>106050</v>
      </c>
      <c r="N1870" s="18">
        <v>113.42</v>
      </c>
      <c r="O1870" s="26">
        <v>45412</v>
      </c>
      <c r="P1870" s="2" t="s">
        <v>2105</v>
      </c>
      <c r="Q1870" s="2" t="s">
        <v>814</v>
      </c>
    </row>
    <row r="1871" spans="2:17" x14ac:dyDescent="0.25">
      <c r="B1871" s="2" t="s">
        <v>2676</v>
      </c>
      <c r="C1871" s="2" t="s">
        <v>240</v>
      </c>
      <c r="D1871" s="2" t="s">
        <v>241</v>
      </c>
      <c r="E1871" s="2" t="s">
        <v>237</v>
      </c>
      <c r="F1871" s="2" t="s">
        <v>535</v>
      </c>
      <c r="G1871" s="2" t="s">
        <v>475</v>
      </c>
      <c r="H1871" s="2" t="s">
        <v>476</v>
      </c>
      <c r="I1871" s="26">
        <v>45252</v>
      </c>
      <c r="J1871" s="2">
        <v>20</v>
      </c>
      <c r="K1871" s="2" t="s">
        <v>123</v>
      </c>
      <c r="L1871" s="22">
        <v>5050</v>
      </c>
      <c r="M1871" s="22">
        <v>101000</v>
      </c>
      <c r="N1871" s="18">
        <v>108.02</v>
      </c>
      <c r="O1871" s="26">
        <v>45432</v>
      </c>
      <c r="P1871" s="2" t="s">
        <v>2105</v>
      </c>
      <c r="Q1871" s="2" t="s">
        <v>814</v>
      </c>
    </row>
    <row r="1872" spans="2:17" x14ac:dyDescent="0.25">
      <c r="B1872" s="2" t="s">
        <v>2677</v>
      </c>
      <c r="C1872" s="2" t="s">
        <v>240</v>
      </c>
      <c r="D1872" s="2" t="s">
        <v>241</v>
      </c>
      <c r="E1872" s="2" t="s">
        <v>237</v>
      </c>
      <c r="F1872" s="2" t="s">
        <v>535</v>
      </c>
      <c r="G1872" s="2" t="s">
        <v>475</v>
      </c>
      <c r="H1872" s="2" t="s">
        <v>476</v>
      </c>
      <c r="I1872" s="26">
        <v>45273</v>
      </c>
      <c r="J1872" s="2">
        <v>26</v>
      </c>
      <c r="K1872" s="2" t="s">
        <v>123</v>
      </c>
      <c r="L1872" s="22">
        <v>5050</v>
      </c>
      <c r="M1872" s="22">
        <v>131300</v>
      </c>
      <c r="N1872" s="18">
        <v>140.43</v>
      </c>
      <c r="O1872" s="26">
        <v>45453</v>
      </c>
      <c r="P1872" s="2" t="s">
        <v>2105</v>
      </c>
      <c r="Q1872" s="2" t="s">
        <v>825</v>
      </c>
    </row>
    <row r="1873" spans="2:17" x14ac:dyDescent="0.25">
      <c r="B1873" s="2" t="s">
        <v>2678</v>
      </c>
      <c r="C1873" s="2" t="s">
        <v>240</v>
      </c>
      <c r="D1873" s="2" t="s">
        <v>241</v>
      </c>
      <c r="E1873" s="2" t="s">
        <v>237</v>
      </c>
      <c r="F1873" s="2" t="s">
        <v>537</v>
      </c>
      <c r="G1873" s="2" t="s">
        <v>480</v>
      </c>
      <c r="H1873" s="2" t="s">
        <v>481</v>
      </c>
      <c r="I1873" s="26">
        <v>45300</v>
      </c>
      <c r="J1873" s="2">
        <v>21</v>
      </c>
      <c r="K1873" s="2" t="s">
        <v>123</v>
      </c>
      <c r="L1873" s="22">
        <v>5300</v>
      </c>
      <c r="M1873" s="22">
        <v>111300</v>
      </c>
      <c r="N1873" s="18">
        <v>119.04</v>
      </c>
      <c r="O1873" s="26">
        <v>45480</v>
      </c>
      <c r="P1873" s="2" t="s">
        <v>2105</v>
      </c>
      <c r="Q1873" s="2" t="s">
        <v>825</v>
      </c>
    </row>
    <row r="1874" spans="2:17" x14ac:dyDescent="0.25">
      <c r="B1874" s="2" t="s">
        <v>2679</v>
      </c>
      <c r="C1874" s="2" t="s">
        <v>240</v>
      </c>
      <c r="D1874" s="2" t="s">
        <v>241</v>
      </c>
      <c r="E1874" s="2" t="s">
        <v>237</v>
      </c>
      <c r="F1874" s="2" t="s">
        <v>535</v>
      </c>
      <c r="G1874" s="2" t="s">
        <v>475</v>
      </c>
      <c r="H1874" s="2" t="s">
        <v>476</v>
      </c>
      <c r="I1874" s="26">
        <v>45317</v>
      </c>
      <c r="J1874" s="2">
        <v>18</v>
      </c>
      <c r="K1874" s="2" t="s">
        <v>123</v>
      </c>
      <c r="L1874" s="22">
        <v>5050</v>
      </c>
      <c r="M1874" s="22">
        <v>90900</v>
      </c>
      <c r="N1874" s="18">
        <v>97.22</v>
      </c>
      <c r="O1874" s="26">
        <v>45497</v>
      </c>
      <c r="P1874" s="2" t="s">
        <v>2105</v>
      </c>
      <c r="Q1874" s="2" t="s">
        <v>825</v>
      </c>
    </row>
    <row r="1875" spans="2:17" x14ac:dyDescent="0.25">
      <c r="B1875" s="2" t="s">
        <v>2680</v>
      </c>
      <c r="C1875" s="2" t="s">
        <v>240</v>
      </c>
      <c r="D1875" s="2" t="s">
        <v>241</v>
      </c>
      <c r="E1875" s="2" t="s">
        <v>237</v>
      </c>
      <c r="F1875" s="2" t="s">
        <v>535</v>
      </c>
      <c r="G1875" s="2" t="s">
        <v>475</v>
      </c>
      <c r="H1875" s="2" t="s">
        <v>476</v>
      </c>
      <c r="I1875" s="26">
        <v>45341</v>
      </c>
      <c r="J1875" s="2">
        <v>18</v>
      </c>
      <c r="K1875" s="2" t="s">
        <v>123</v>
      </c>
      <c r="L1875" s="22">
        <v>5050</v>
      </c>
      <c r="M1875" s="22">
        <v>90900</v>
      </c>
      <c r="N1875" s="18">
        <v>97.22</v>
      </c>
      <c r="O1875" s="26">
        <v>45521</v>
      </c>
      <c r="P1875" s="2" t="s">
        <v>2105</v>
      </c>
      <c r="Q1875" s="2" t="s">
        <v>825</v>
      </c>
    </row>
    <row r="1876" spans="2:17" x14ac:dyDescent="0.25">
      <c r="B1876" s="2" t="s">
        <v>2681</v>
      </c>
      <c r="C1876" s="2" t="s">
        <v>240</v>
      </c>
      <c r="D1876" s="2" t="s">
        <v>241</v>
      </c>
      <c r="E1876" s="2" t="s">
        <v>237</v>
      </c>
      <c r="F1876" s="2" t="s">
        <v>535</v>
      </c>
      <c r="G1876" s="2" t="s">
        <v>475</v>
      </c>
      <c r="H1876" s="2" t="s">
        <v>476</v>
      </c>
      <c r="I1876" s="26">
        <v>45369</v>
      </c>
      <c r="J1876" s="2">
        <v>21</v>
      </c>
      <c r="K1876" s="2" t="s">
        <v>123</v>
      </c>
      <c r="L1876" s="22">
        <v>5050</v>
      </c>
      <c r="M1876" s="22">
        <v>106050</v>
      </c>
      <c r="N1876" s="18">
        <v>113.42</v>
      </c>
      <c r="O1876" s="26">
        <v>45549</v>
      </c>
      <c r="P1876" s="2" t="s">
        <v>2105</v>
      </c>
      <c r="Q1876" s="2" t="s">
        <v>836</v>
      </c>
    </row>
    <row r="1877" spans="2:17" x14ac:dyDescent="0.25">
      <c r="B1877" s="2" t="s">
        <v>2682</v>
      </c>
      <c r="C1877" s="2" t="s">
        <v>240</v>
      </c>
      <c r="D1877" s="2" t="s">
        <v>241</v>
      </c>
      <c r="E1877" s="2" t="s">
        <v>237</v>
      </c>
      <c r="F1877" s="2" t="s">
        <v>535</v>
      </c>
      <c r="G1877" s="2" t="s">
        <v>475</v>
      </c>
      <c r="H1877" s="2" t="s">
        <v>476</v>
      </c>
      <c r="I1877" s="26">
        <v>45387</v>
      </c>
      <c r="J1877" s="2">
        <v>19</v>
      </c>
      <c r="K1877" s="2" t="s">
        <v>123</v>
      </c>
      <c r="L1877" s="22">
        <v>5050</v>
      </c>
      <c r="M1877" s="22">
        <v>95950</v>
      </c>
      <c r="N1877" s="18">
        <v>102.62</v>
      </c>
      <c r="O1877" s="26">
        <v>45567</v>
      </c>
      <c r="P1877" s="2" t="s">
        <v>2105</v>
      </c>
      <c r="Q1877" s="2" t="s">
        <v>836</v>
      </c>
    </row>
    <row r="1878" spans="2:17" x14ac:dyDescent="0.25">
      <c r="B1878" s="2" t="s">
        <v>2683</v>
      </c>
      <c r="C1878" s="2" t="s">
        <v>240</v>
      </c>
      <c r="D1878" s="2" t="s">
        <v>241</v>
      </c>
      <c r="E1878" s="2" t="s">
        <v>237</v>
      </c>
      <c r="F1878" s="2" t="s">
        <v>535</v>
      </c>
      <c r="G1878" s="2" t="s">
        <v>475</v>
      </c>
      <c r="H1878" s="2" t="s">
        <v>476</v>
      </c>
      <c r="I1878" s="26">
        <v>45406</v>
      </c>
      <c r="J1878" s="2">
        <v>18</v>
      </c>
      <c r="K1878" s="2" t="s">
        <v>123</v>
      </c>
      <c r="L1878" s="22">
        <v>5050</v>
      </c>
      <c r="M1878" s="22">
        <v>90900</v>
      </c>
      <c r="N1878" s="18">
        <v>97.22</v>
      </c>
      <c r="O1878" s="26">
        <v>45586</v>
      </c>
      <c r="P1878" s="2" t="s">
        <v>2105</v>
      </c>
      <c r="Q1878" s="2" t="s">
        <v>836</v>
      </c>
    </row>
    <row r="1879" spans="2:17" x14ac:dyDescent="0.25">
      <c r="B1879" s="2" t="s">
        <v>2684</v>
      </c>
      <c r="C1879" s="2" t="s">
        <v>240</v>
      </c>
      <c r="D1879" s="2" t="s">
        <v>241</v>
      </c>
      <c r="E1879" s="2" t="s">
        <v>237</v>
      </c>
      <c r="F1879" s="2" t="s">
        <v>535</v>
      </c>
      <c r="G1879" s="2" t="s">
        <v>475</v>
      </c>
      <c r="H1879" s="2" t="s">
        <v>476</v>
      </c>
      <c r="I1879" s="26">
        <v>45426</v>
      </c>
      <c r="J1879" s="2">
        <v>19</v>
      </c>
      <c r="K1879" s="2" t="s">
        <v>123</v>
      </c>
      <c r="L1879" s="22">
        <v>5050</v>
      </c>
      <c r="M1879" s="22">
        <v>95950</v>
      </c>
      <c r="N1879" s="18">
        <v>102.62</v>
      </c>
      <c r="O1879" s="26">
        <v>45606</v>
      </c>
      <c r="P1879" s="2" t="s">
        <v>2105</v>
      </c>
      <c r="Q1879" s="2" t="s">
        <v>836</v>
      </c>
    </row>
    <row r="1880" spans="2:17" x14ac:dyDescent="0.25">
      <c r="B1880" s="2" t="s">
        <v>2685</v>
      </c>
      <c r="C1880" s="2" t="s">
        <v>240</v>
      </c>
      <c r="D1880" s="2" t="s">
        <v>241</v>
      </c>
      <c r="E1880" s="2" t="s">
        <v>237</v>
      </c>
      <c r="F1880" s="2" t="s">
        <v>535</v>
      </c>
      <c r="G1880" s="2" t="s">
        <v>475</v>
      </c>
      <c r="H1880" s="2" t="s">
        <v>476</v>
      </c>
      <c r="I1880" s="26">
        <v>45447</v>
      </c>
      <c r="J1880" s="2">
        <v>21</v>
      </c>
      <c r="K1880" s="2" t="s">
        <v>123</v>
      </c>
      <c r="L1880" s="22">
        <v>5050</v>
      </c>
      <c r="M1880" s="22">
        <v>106050</v>
      </c>
      <c r="N1880" s="18">
        <v>113.42</v>
      </c>
      <c r="O1880" s="26">
        <v>45627</v>
      </c>
      <c r="P1880" s="2" t="s">
        <v>2105</v>
      </c>
      <c r="Q1880" s="2" t="s">
        <v>806</v>
      </c>
    </row>
    <row r="1881" spans="2:17" x14ac:dyDescent="0.25">
      <c r="B1881" s="2" t="s">
        <v>2686</v>
      </c>
      <c r="C1881" s="2" t="s">
        <v>240</v>
      </c>
      <c r="D1881" s="2" t="s">
        <v>241</v>
      </c>
      <c r="E1881" s="2" t="s">
        <v>237</v>
      </c>
      <c r="F1881" s="2" t="s">
        <v>535</v>
      </c>
      <c r="G1881" s="2" t="s">
        <v>475</v>
      </c>
      <c r="H1881" s="2" t="s">
        <v>476</v>
      </c>
      <c r="I1881" s="26">
        <v>45465</v>
      </c>
      <c r="J1881" s="2">
        <v>23</v>
      </c>
      <c r="K1881" s="2" t="s">
        <v>123</v>
      </c>
      <c r="L1881" s="22">
        <v>5050</v>
      </c>
      <c r="M1881" s="22">
        <v>116150</v>
      </c>
      <c r="N1881" s="18">
        <v>124.22</v>
      </c>
      <c r="O1881" s="26">
        <v>45645</v>
      </c>
      <c r="P1881" s="2" t="s">
        <v>2105</v>
      </c>
      <c r="Q1881" s="2" t="s">
        <v>806</v>
      </c>
    </row>
    <row r="1882" spans="2:17" x14ac:dyDescent="0.25">
      <c r="B1882" s="2" t="s">
        <v>2687</v>
      </c>
      <c r="C1882" s="2" t="s">
        <v>240</v>
      </c>
      <c r="D1882" s="2" t="s">
        <v>241</v>
      </c>
      <c r="E1882" s="2" t="s">
        <v>237</v>
      </c>
      <c r="F1882" s="2" t="s">
        <v>535</v>
      </c>
      <c r="G1882" s="2" t="s">
        <v>475</v>
      </c>
      <c r="H1882" s="2" t="s">
        <v>476</v>
      </c>
      <c r="I1882" s="26">
        <v>45486</v>
      </c>
      <c r="J1882" s="2">
        <v>23</v>
      </c>
      <c r="K1882" s="2" t="s">
        <v>123</v>
      </c>
      <c r="L1882" s="22">
        <v>5050</v>
      </c>
      <c r="M1882" s="22">
        <v>116150</v>
      </c>
      <c r="N1882" s="18">
        <v>124.22</v>
      </c>
      <c r="O1882" s="26">
        <v>45666</v>
      </c>
      <c r="P1882" s="2" t="s">
        <v>2105</v>
      </c>
      <c r="Q1882" s="2" t="s">
        <v>806</v>
      </c>
    </row>
    <row r="1883" spans="2:17" x14ac:dyDescent="0.25">
      <c r="B1883" s="2" t="s">
        <v>2688</v>
      </c>
      <c r="C1883" s="2" t="s">
        <v>240</v>
      </c>
      <c r="D1883" s="2" t="s">
        <v>241</v>
      </c>
      <c r="E1883" s="2" t="s">
        <v>237</v>
      </c>
      <c r="F1883" s="2" t="s">
        <v>537</v>
      </c>
      <c r="G1883" s="2" t="s">
        <v>480</v>
      </c>
      <c r="H1883" s="2" t="s">
        <v>481</v>
      </c>
      <c r="I1883" s="26">
        <v>45507</v>
      </c>
      <c r="J1883" s="2">
        <v>23</v>
      </c>
      <c r="K1883" s="2" t="s">
        <v>123</v>
      </c>
      <c r="L1883" s="22">
        <v>5300</v>
      </c>
      <c r="M1883" s="22">
        <v>121900</v>
      </c>
      <c r="N1883" s="18">
        <v>130.37</v>
      </c>
      <c r="O1883" s="26">
        <v>45687</v>
      </c>
      <c r="P1883" s="2" t="s">
        <v>2105</v>
      </c>
      <c r="Q1883" s="2" t="s">
        <v>806</v>
      </c>
    </row>
    <row r="1884" spans="2:17" x14ac:dyDescent="0.25">
      <c r="B1884" s="2" t="s">
        <v>2689</v>
      </c>
      <c r="C1884" s="2" t="s">
        <v>240</v>
      </c>
      <c r="D1884" s="2" t="s">
        <v>241</v>
      </c>
      <c r="E1884" s="2" t="s">
        <v>237</v>
      </c>
      <c r="F1884" s="2" t="s">
        <v>537</v>
      </c>
      <c r="G1884" s="2" t="s">
        <v>480</v>
      </c>
      <c r="H1884" s="2" t="s">
        <v>481</v>
      </c>
      <c r="I1884" s="26">
        <v>45530</v>
      </c>
      <c r="J1884" s="2">
        <v>18</v>
      </c>
      <c r="K1884" s="2" t="s">
        <v>123</v>
      </c>
      <c r="L1884" s="22">
        <v>5300</v>
      </c>
      <c r="M1884" s="22">
        <v>95400</v>
      </c>
      <c r="N1884" s="18">
        <v>102.03</v>
      </c>
      <c r="O1884" s="26">
        <v>45710</v>
      </c>
      <c r="P1884" s="2" t="s">
        <v>2105</v>
      </c>
      <c r="Q1884" s="2" t="s">
        <v>806</v>
      </c>
    </row>
    <row r="1885" spans="2:17" x14ac:dyDescent="0.25">
      <c r="B1885" s="2" t="s">
        <v>2690</v>
      </c>
      <c r="C1885" s="2" t="s">
        <v>240</v>
      </c>
      <c r="D1885" s="2" t="s">
        <v>241</v>
      </c>
      <c r="E1885" s="2" t="s">
        <v>237</v>
      </c>
      <c r="F1885" s="2" t="s">
        <v>535</v>
      </c>
      <c r="G1885" s="2" t="s">
        <v>475</v>
      </c>
      <c r="H1885" s="2" t="s">
        <v>476</v>
      </c>
      <c r="I1885" s="26">
        <v>45555</v>
      </c>
      <c r="J1885" s="2">
        <v>24</v>
      </c>
      <c r="K1885" s="2" t="s">
        <v>123</v>
      </c>
      <c r="L1885" s="22">
        <v>5050</v>
      </c>
      <c r="M1885" s="22">
        <v>121200</v>
      </c>
      <c r="N1885" s="18">
        <v>129.63</v>
      </c>
      <c r="O1885" s="26">
        <v>45735</v>
      </c>
      <c r="P1885" s="2" t="s">
        <v>2105</v>
      </c>
      <c r="Q1885" s="2" t="s">
        <v>814</v>
      </c>
    </row>
    <row r="1886" spans="2:17" x14ac:dyDescent="0.25">
      <c r="B1886" s="2" t="s">
        <v>2691</v>
      </c>
      <c r="C1886" s="2" t="s">
        <v>240</v>
      </c>
      <c r="D1886" s="2" t="s">
        <v>241</v>
      </c>
      <c r="E1886" s="2" t="s">
        <v>237</v>
      </c>
      <c r="F1886" s="2" t="s">
        <v>537</v>
      </c>
      <c r="G1886" s="2" t="s">
        <v>480</v>
      </c>
      <c r="H1886" s="2" t="s">
        <v>481</v>
      </c>
      <c r="I1886" s="26">
        <v>45574</v>
      </c>
      <c r="J1886" s="2">
        <v>23</v>
      </c>
      <c r="K1886" s="2" t="s">
        <v>123</v>
      </c>
      <c r="L1886" s="22">
        <v>5300</v>
      </c>
      <c r="M1886" s="22">
        <v>121900</v>
      </c>
      <c r="N1886" s="18">
        <v>130.37</v>
      </c>
      <c r="O1886" s="26">
        <v>45754</v>
      </c>
      <c r="P1886" s="2" t="s">
        <v>2105</v>
      </c>
      <c r="Q1886" s="2" t="s">
        <v>814</v>
      </c>
    </row>
    <row r="1887" spans="2:17" x14ac:dyDescent="0.25">
      <c r="B1887" s="2" t="s">
        <v>2692</v>
      </c>
      <c r="C1887" s="2" t="s">
        <v>240</v>
      </c>
      <c r="D1887" s="2" t="s">
        <v>241</v>
      </c>
      <c r="E1887" s="2" t="s">
        <v>237</v>
      </c>
      <c r="F1887" s="2" t="s">
        <v>537</v>
      </c>
      <c r="G1887" s="2" t="s">
        <v>480</v>
      </c>
      <c r="H1887" s="2" t="s">
        <v>481</v>
      </c>
      <c r="I1887" s="26">
        <v>45594</v>
      </c>
      <c r="J1887" s="2">
        <v>19</v>
      </c>
      <c r="K1887" s="2" t="s">
        <v>123</v>
      </c>
      <c r="L1887" s="22">
        <v>5300</v>
      </c>
      <c r="M1887" s="22">
        <v>100700</v>
      </c>
      <c r="N1887" s="18">
        <v>107.7</v>
      </c>
      <c r="O1887" s="26">
        <v>45774</v>
      </c>
      <c r="P1887" s="2" t="s">
        <v>2105</v>
      </c>
      <c r="Q1887" s="2" t="s">
        <v>814</v>
      </c>
    </row>
    <row r="1888" spans="2:17" x14ac:dyDescent="0.25">
      <c r="B1888" s="2" t="s">
        <v>2693</v>
      </c>
      <c r="C1888" s="2" t="s">
        <v>240</v>
      </c>
      <c r="D1888" s="2" t="s">
        <v>241</v>
      </c>
      <c r="E1888" s="2" t="s">
        <v>237</v>
      </c>
      <c r="F1888" s="2" t="s">
        <v>535</v>
      </c>
      <c r="G1888" s="2" t="s">
        <v>475</v>
      </c>
      <c r="H1888" s="2" t="s">
        <v>476</v>
      </c>
      <c r="I1888" s="26">
        <v>45610</v>
      </c>
      <c r="J1888" s="2">
        <v>18</v>
      </c>
      <c r="K1888" s="2" t="s">
        <v>123</v>
      </c>
      <c r="L1888" s="22">
        <v>5050</v>
      </c>
      <c r="M1888" s="22">
        <v>90900</v>
      </c>
      <c r="N1888" s="18">
        <v>97.22</v>
      </c>
      <c r="O1888" s="26">
        <v>45790</v>
      </c>
      <c r="P1888" s="2" t="s">
        <v>2105</v>
      </c>
      <c r="Q1888" s="2" t="s">
        <v>814</v>
      </c>
    </row>
    <row r="1889" spans="2:17" x14ac:dyDescent="0.25">
      <c r="B1889" s="2" t="s">
        <v>2694</v>
      </c>
      <c r="C1889" s="2" t="s">
        <v>240</v>
      </c>
      <c r="D1889" s="2" t="s">
        <v>241</v>
      </c>
      <c r="E1889" s="2" t="s">
        <v>237</v>
      </c>
      <c r="F1889" s="2" t="s">
        <v>535</v>
      </c>
      <c r="G1889" s="2" t="s">
        <v>475</v>
      </c>
      <c r="H1889" s="2" t="s">
        <v>476</v>
      </c>
      <c r="I1889" s="26">
        <v>45628</v>
      </c>
      <c r="J1889" s="2">
        <v>27</v>
      </c>
      <c r="K1889" s="2" t="s">
        <v>123</v>
      </c>
      <c r="L1889" s="22">
        <v>5050</v>
      </c>
      <c r="M1889" s="22">
        <v>136350</v>
      </c>
      <c r="N1889" s="18">
        <v>145.83000000000001</v>
      </c>
      <c r="O1889" s="26">
        <v>45808</v>
      </c>
      <c r="P1889" s="2" t="s">
        <v>2105</v>
      </c>
      <c r="Q1889" s="2" t="s">
        <v>825</v>
      </c>
    </row>
    <row r="1890" spans="2:17" x14ac:dyDescent="0.25">
      <c r="B1890" s="2" t="s">
        <v>2695</v>
      </c>
      <c r="C1890" s="2" t="s">
        <v>240</v>
      </c>
      <c r="D1890" s="2" t="s">
        <v>241</v>
      </c>
      <c r="E1890" s="2" t="s">
        <v>237</v>
      </c>
      <c r="F1890" s="2" t="s">
        <v>535</v>
      </c>
      <c r="G1890" s="2" t="s">
        <v>475</v>
      </c>
      <c r="H1890" s="2" t="s">
        <v>476</v>
      </c>
      <c r="I1890" s="26">
        <v>45647</v>
      </c>
      <c r="J1890" s="2">
        <v>28</v>
      </c>
      <c r="K1890" s="2" t="s">
        <v>123</v>
      </c>
      <c r="L1890" s="22">
        <v>5050</v>
      </c>
      <c r="M1890" s="22">
        <v>141400</v>
      </c>
      <c r="N1890" s="18">
        <v>151.22999999999999</v>
      </c>
      <c r="O1890" s="26">
        <v>45827</v>
      </c>
      <c r="P1890" s="2" t="s">
        <v>2105</v>
      </c>
      <c r="Q1890" s="2" t="s">
        <v>825</v>
      </c>
    </row>
    <row r="1891" spans="2:17" x14ac:dyDescent="0.25">
      <c r="B1891" s="2" t="s">
        <v>2696</v>
      </c>
      <c r="C1891" s="2" t="s">
        <v>240</v>
      </c>
      <c r="D1891" s="2" t="s">
        <v>241</v>
      </c>
      <c r="E1891" s="2" t="s">
        <v>237</v>
      </c>
      <c r="F1891" s="2" t="s">
        <v>537</v>
      </c>
      <c r="G1891" s="2" t="s">
        <v>480</v>
      </c>
      <c r="H1891" s="2" t="s">
        <v>481</v>
      </c>
      <c r="I1891" s="26">
        <v>45670</v>
      </c>
      <c r="J1891" s="2">
        <v>20</v>
      </c>
      <c r="K1891" s="2" t="s">
        <v>123</v>
      </c>
      <c r="L1891" s="22">
        <v>5300</v>
      </c>
      <c r="M1891" s="22">
        <v>106000</v>
      </c>
      <c r="N1891" s="18">
        <v>113.37</v>
      </c>
      <c r="O1891" s="26">
        <v>45850</v>
      </c>
      <c r="P1891" s="2" t="s">
        <v>2105</v>
      </c>
      <c r="Q1891" s="2" t="s">
        <v>825</v>
      </c>
    </row>
    <row r="1892" spans="2:17" x14ac:dyDescent="0.25">
      <c r="B1892" s="2" t="s">
        <v>2697</v>
      </c>
      <c r="C1892" s="2" t="s">
        <v>240</v>
      </c>
      <c r="D1892" s="2" t="s">
        <v>241</v>
      </c>
      <c r="E1892" s="2" t="s">
        <v>237</v>
      </c>
      <c r="F1892" s="2" t="s">
        <v>535</v>
      </c>
      <c r="G1892" s="2" t="s">
        <v>475</v>
      </c>
      <c r="H1892" s="2" t="s">
        <v>476</v>
      </c>
      <c r="I1892" s="26">
        <v>45692</v>
      </c>
      <c r="J1892" s="2">
        <v>23</v>
      </c>
      <c r="K1892" s="2" t="s">
        <v>123</v>
      </c>
      <c r="L1892" s="22">
        <v>5050</v>
      </c>
      <c r="M1892" s="22">
        <v>116150</v>
      </c>
      <c r="N1892" s="18">
        <v>124.22</v>
      </c>
      <c r="O1892" s="26">
        <v>45872</v>
      </c>
      <c r="P1892" s="2" t="s">
        <v>2105</v>
      </c>
      <c r="Q1892" s="2" t="s">
        <v>825</v>
      </c>
    </row>
    <row r="1893" spans="2:17" x14ac:dyDescent="0.25">
      <c r="B1893" s="2" t="s">
        <v>2698</v>
      </c>
      <c r="C1893" s="2" t="s">
        <v>240</v>
      </c>
      <c r="D1893" s="2" t="s">
        <v>241</v>
      </c>
      <c r="E1893" s="2" t="s">
        <v>237</v>
      </c>
      <c r="F1893" s="2" t="s">
        <v>535</v>
      </c>
      <c r="G1893" s="2" t="s">
        <v>475</v>
      </c>
      <c r="H1893" s="2" t="s">
        <v>476</v>
      </c>
      <c r="I1893" s="26">
        <v>45707</v>
      </c>
      <c r="J1893" s="2">
        <v>22</v>
      </c>
      <c r="K1893" s="2" t="s">
        <v>123</v>
      </c>
      <c r="L1893" s="22">
        <v>5050</v>
      </c>
      <c r="M1893" s="22">
        <v>111100</v>
      </c>
      <c r="N1893" s="18">
        <v>118.82</v>
      </c>
      <c r="O1893" s="26">
        <v>45887</v>
      </c>
      <c r="P1893" s="2" t="s">
        <v>2105</v>
      </c>
      <c r="Q1893" s="2" t="s">
        <v>825</v>
      </c>
    </row>
    <row r="1894" spans="2:17" x14ac:dyDescent="0.25">
      <c r="B1894" s="2" t="s">
        <v>2699</v>
      </c>
      <c r="C1894" s="2" t="s">
        <v>240</v>
      </c>
      <c r="D1894" s="2" t="s">
        <v>241</v>
      </c>
      <c r="E1894" s="2" t="s">
        <v>237</v>
      </c>
      <c r="F1894" s="2" t="s">
        <v>537</v>
      </c>
      <c r="G1894" s="2" t="s">
        <v>480</v>
      </c>
      <c r="H1894" s="2" t="s">
        <v>481</v>
      </c>
      <c r="I1894" s="26">
        <v>45730</v>
      </c>
      <c r="J1894" s="2">
        <v>22</v>
      </c>
      <c r="K1894" s="2" t="s">
        <v>123</v>
      </c>
      <c r="L1894" s="22">
        <v>5300</v>
      </c>
      <c r="M1894" s="22">
        <v>116600</v>
      </c>
      <c r="N1894" s="18">
        <v>124.71</v>
      </c>
      <c r="O1894" s="26">
        <v>45910</v>
      </c>
      <c r="P1894" s="2" t="s">
        <v>2105</v>
      </c>
      <c r="Q1894" s="2" t="s">
        <v>836</v>
      </c>
    </row>
    <row r="1895" spans="2:17" x14ac:dyDescent="0.25">
      <c r="B1895" s="2" t="s">
        <v>2700</v>
      </c>
      <c r="C1895" s="2" t="s">
        <v>240</v>
      </c>
      <c r="D1895" s="2" t="s">
        <v>241</v>
      </c>
      <c r="E1895" s="2" t="s">
        <v>237</v>
      </c>
      <c r="F1895" s="2" t="s">
        <v>535</v>
      </c>
      <c r="G1895" s="2" t="s">
        <v>475</v>
      </c>
      <c r="H1895" s="2" t="s">
        <v>476</v>
      </c>
      <c r="I1895" s="26">
        <v>45750</v>
      </c>
      <c r="J1895" s="2">
        <v>23</v>
      </c>
      <c r="K1895" s="2" t="s">
        <v>123</v>
      </c>
      <c r="L1895" s="22">
        <v>5050</v>
      </c>
      <c r="M1895" s="22">
        <v>116150</v>
      </c>
      <c r="N1895" s="18">
        <v>124.22</v>
      </c>
      <c r="O1895" s="26">
        <v>45930</v>
      </c>
      <c r="P1895" s="2" t="s">
        <v>2105</v>
      </c>
      <c r="Q1895" s="2" t="s">
        <v>836</v>
      </c>
    </row>
    <row r="1896" spans="2:17" x14ac:dyDescent="0.25">
      <c r="B1896" s="2" t="s">
        <v>2701</v>
      </c>
      <c r="C1896" s="2" t="s">
        <v>240</v>
      </c>
      <c r="D1896" s="2" t="s">
        <v>241</v>
      </c>
      <c r="E1896" s="2" t="s">
        <v>237</v>
      </c>
      <c r="F1896" s="2" t="s">
        <v>535</v>
      </c>
      <c r="G1896" s="2" t="s">
        <v>475</v>
      </c>
      <c r="H1896" s="2" t="s">
        <v>476</v>
      </c>
      <c r="I1896" s="26">
        <v>45770</v>
      </c>
      <c r="J1896" s="2">
        <v>20</v>
      </c>
      <c r="K1896" s="2" t="s">
        <v>123</v>
      </c>
      <c r="L1896" s="22">
        <v>5050</v>
      </c>
      <c r="M1896" s="22">
        <v>101000</v>
      </c>
      <c r="N1896" s="18">
        <v>108.02</v>
      </c>
      <c r="O1896" s="26">
        <v>45950</v>
      </c>
      <c r="P1896" s="2" t="s">
        <v>2105</v>
      </c>
      <c r="Q1896" s="2" t="s">
        <v>836</v>
      </c>
    </row>
    <row r="1897" spans="2:17" x14ac:dyDescent="0.25">
      <c r="B1897" s="2" t="s">
        <v>2702</v>
      </c>
      <c r="C1897" s="2" t="s">
        <v>240</v>
      </c>
      <c r="D1897" s="2" t="s">
        <v>241</v>
      </c>
      <c r="E1897" s="2" t="s">
        <v>237</v>
      </c>
      <c r="F1897" s="2" t="s">
        <v>535</v>
      </c>
      <c r="G1897" s="2" t="s">
        <v>475</v>
      </c>
      <c r="H1897" s="2" t="s">
        <v>476</v>
      </c>
      <c r="I1897" s="26">
        <v>45788</v>
      </c>
      <c r="J1897" s="2">
        <v>23</v>
      </c>
      <c r="K1897" s="2" t="s">
        <v>123</v>
      </c>
      <c r="L1897" s="22">
        <v>5050</v>
      </c>
      <c r="M1897" s="22">
        <v>116150</v>
      </c>
      <c r="N1897" s="18">
        <v>124.22</v>
      </c>
      <c r="O1897" s="26">
        <v>45968</v>
      </c>
      <c r="P1897" s="2" t="s">
        <v>2105</v>
      </c>
      <c r="Q1897" s="2" t="s">
        <v>836</v>
      </c>
    </row>
    <row r="1898" spans="2:17" x14ac:dyDescent="0.25">
      <c r="B1898" s="2" t="s">
        <v>2703</v>
      </c>
      <c r="C1898" s="2" t="s">
        <v>240</v>
      </c>
      <c r="D1898" s="2" t="s">
        <v>241</v>
      </c>
      <c r="E1898" s="2" t="s">
        <v>237</v>
      </c>
      <c r="F1898" s="2" t="s">
        <v>535</v>
      </c>
      <c r="G1898" s="2" t="s">
        <v>475</v>
      </c>
      <c r="H1898" s="2" t="s">
        <v>476</v>
      </c>
      <c r="I1898" s="26">
        <v>45802</v>
      </c>
      <c r="J1898" s="2">
        <v>20</v>
      </c>
      <c r="K1898" s="2" t="s">
        <v>123</v>
      </c>
      <c r="L1898" s="22">
        <v>5050</v>
      </c>
      <c r="M1898" s="22">
        <v>101000</v>
      </c>
      <c r="N1898" s="18">
        <v>108.02</v>
      </c>
      <c r="O1898" s="26">
        <v>45982</v>
      </c>
      <c r="P1898" s="2" t="s">
        <v>2105</v>
      </c>
      <c r="Q1898" s="2" t="s">
        <v>836</v>
      </c>
    </row>
    <row r="1899" spans="2:17" x14ac:dyDescent="0.25">
      <c r="B1899" s="2" t="s">
        <v>2704</v>
      </c>
      <c r="C1899" s="2" t="s">
        <v>240</v>
      </c>
      <c r="D1899" s="2" t="s">
        <v>241</v>
      </c>
      <c r="E1899" s="2" t="s">
        <v>237</v>
      </c>
      <c r="F1899" s="2" t="s">
        <v>535</v>
      </c>
      <c r="G1899" s="2" t="s">
        <v>475</v>
      </c>
      <c r="H1899" s="2" t="s">
        <v>476</v>
      </c>
      <c r="I1899" s="26">
        <v>45820</v>
      </c>
      <c r="J1899" s="2">
        <v>21</v>
      </c>
      <c r="K1899" s="2" t="s">
        <v>123</v>
      </c>
      <c r="L1899" s="22">
        <v>5050</v>
      </c>
      <c r="M1899" s="22">
        <v>106050</v>
      </c>
      <c r="N1899" s="18">
        <v>113.42</v>
      </c>
      <c r="O1899" s="26">
        <v>46000</v>
      </c>
      <c r="P1899" s="2" t="s">
        <v>2105</v>
      </c>
      <c r="Q1899" s="2" t="s">
        <v>806</v>
      </c>
    </row>
    <row r="1900" spans="2:17" x14ac:dyDescent="0.25">
      <c r="B1900" s="2" t="s">
        <v>2705</v>
      </c>
      <c r="C1900" s="2" t="s">
        <v>242</v>
      </c>
      <c r="D1900" s="2" t="s">
        <v>243</v>
      </c>
      <c r="E1900" s="2" t="s">
        <v>237</v>
      </c>
      <c r="F1900" s="2" t="s">
        <v>535</v>
      </c>
      <c r="G1900" s="2" t="s">
        <v>475</v>
      </c>
      <c r="H1900" s="2" t="s">
        <v>476</v>
      </c>
      <c r="I1900" s="26">
        <v>45117</v>
      </c>
      <c r="J1900" s="2">
        <v>23</v>
      </c>
      <c r="K1900" s="2" t="s">
        <v>123</v>
      </c>
      <c r="L1900" s="22">
        <v>7050</v>
      </c>
      <c r="M1900" s="22">
        <v>162150</v>
      </c>
      <c r="N1900" s="18">
        <v>173.42</v>
      </c>
      <c r="O1900" s="26">
        <v>45297</v>
      </c>
      <c r="P1900" s="2" t="s">
        <v>2105</v>
      </c>
      <c r="Q1900" s="2" t="s">
        <v>806</v>
      </c>
    </row>
    <row r="1901" spans="2:17" x14ac:dyDescent="0.25">
      <c r="B1901" s="2" t="s">
        <v>2706</v>
      </c>
      <c r="C1901" s="2" t="s">
        <v>242</v>
      </c>
      <c r="D1901" s="2" t="s">
        <v>243</v>
      </c>
      <c r="E1901" s="2" t="s">
        <v>237</v>
      </c>
      <c r="F1901" s="2" t="s">
        <v>535</v>
      </c>
      <c r="G1901" s="2" t="s">
        <v>475</v>
      </c>
      <c r="H1901" s="2" t="s">
        <v>476</v>
      </c>
      <c r="I1901" s="26">
        <v>45133</v>
      </c>
      <c r="J1901" s="2">
        <v>18</v>
      </c>
      <c r="K1901" s="2" t="s">
        <v>123</v>
      </c>
      <c r="L1901" s="22">
        <v>7050</v>
      </c>
      <c r="M1901" s="22">
        <v>126900</v>
      </c>
      <c r="N1901" s="18">
        <v>135.72</v>
      </c>
      <c r="O1901" s="26">
        <v>45313</v>
      </c>
      <c r="P1901" s="2" t="s">
        <v>2105</v>
      </c>
      <c r="Q1901" s="2" t="s">
        <v>806</v>
      </c>
    </row>
    <row r="1902" spans="2:17" x14ac:dyDescent="0.25">
      <c r="B1902" s="2" t="s">
        <v>2707</v>
      </c>
      <c r="C1902" s="2" t="s">
        <v>242</v>
      </c>
      <c r="D1902" s="2" t="s">
        <v>243</v>
      </c>
      <c r="E1902" s="2" t="s">
        <v>237</v>
      </c>
      <c r="F1902" s="2" t="s">
        <v>535</v>
      </c>
      <c r="G1902" s="2" t="s">
        <v>475</v>
      </c>
      <c r="H1902" s="2" t="s">
        <v>476</v>
      </c>
      <c r="I1902" s="26">
        <v>45150</v>
      </c>
      <c r="J1902" s="2">
        <v>21</v>
      </c>
      <c r="K1902" s="2" t="s">
        <v>123</v>
      </c>
      <c r="L1902" s="22">
        <v>7050</v>
      </c>
      <c r="M1902" s="22">
        <v>148050</v>
      </c>
      <c r="N1902" s="18">
        <v>158.34</v>
      </c>
      <c r="O1902" s="26">
        <v>45330</v>
      </c>
      <c r="P1902" s="2" t="s">
        <v>2105</v>
      </c>
      <c r="Q1902" s="2" t="s">
        <v>806</v>
      </c>
    </row>
    <row r="1903" spans="2:17" x14ac:dyDescent="0.25">
      <c r="B1903" s="2" t="s">
        <v>2708</v>
      </c>
      <c r="C1903" s="2" t="s">
        <v>242</v>
      </c>
      <c r="D1903" s="2" t="s">
        <v>243</v>
      </c>
      <c r="E1903" s="2" t="s">
        <v>237</v>
      </c>
      <c r="F1903" s="2" t="s">
        <v>535</v>
      </c>
      <c r="G1903" s="2" t="s">
        <v>475</v>
      </c>
      <c r="H1903" s="2" t="s">
        <v>476</v>
      </c>
      <c r="I1903" s="26">
        <v>45176</v>
      </c>
      <c r="J1903" s="2">
        <v>27</v>
      </c>
      <c r="K1903" s="2" t="s">
        <v>123</v>
      </c>
      <c r="L1903" s="22">
        <v>7050</v>
      </c>
      <c r="M1903" s="22">
        <v>190350</v>
      </c>
      <c r="N1903" s="18">
        <v>203.58</v>
      </c>
      <c r="O1903" s="26">
        <v>45356</v>
      </c>
      <c r="P1903" s="2" t="s">
        <v>2105</v>
      </c>
      <c r="Q1903" s="2" t="s">
        <v>814</v>
      </c>
    </row>
    <row r="1904" spans="2:17" x14ac:dyDescent="0.25">
      <c r="B1904" s="2" t="s">
        <v>2709</v>
      </c>
      <c r="C1904" s="2" t="s">
        <v>242</v>
      </c>
      <c r="D1904" s="2" t="s">
        <v>243</v>
      </c>
      <c r="E1904" s="2" t="s">
        <v>237</v>
      </c>
      <c r="F1904" s="2" t="s">
        <v>535</v>
      </c>
      <c r="G1904" s="2" t="s">
        <v>475</v>
      </c>
      <c r="H1904" s="2" t="s">
        <v>476</v>
      </c>
      <c r="I1904" s="26">
        <v>45202</v>
      </c>
      <c r="J1904" s="2">
        <v>21</v>
      </c>
      <c r="K1904" s="2" t="s">
        <v>123</v>
      </c>
      <c r="L1904" s="22">
        <v>7050</v>
      </c>
      <c r="M1904" s="22">
        <v>148050</v>
      </c>
      <c r="N1904" s="18">
        <v>158.34</v>
      </c>
      <c r="O1904" s="26">
        <v>45382</v>
      </c>
      <c r="P1904" s="2" t="s">
        <v>2105</v>
      </c>
      <c r="Q1904" s="2" t="s">
        <v>814</v>
      </c>
    </row>
    <row r="1905" spans="2:17" x14ac:dyDescent="0.25">
      <c r="B1905" s="2" t="s">
        <v>2710</v>
      </c>
      <c r="C1905" s="2" t="s">
        <v>242</v>
      </c>
      <c r="D1905" s="2" t="s">
        <v>243</v>
      </c>
      <c r="E1905" s="2" t="s">
        <v>237</v>
      </c>
      <c r="F1905" s="2" t="s">
        <v>535</v>
      </c>
      <c r="G1905" s="2" t="s">
        <v>475</v>
      </c>
      <c r="H1905" s="2" t="s">
        <v>476</v>
      </c>
      <c r="I1905" s="26">
        <v>45227</v>
      </c>
      <c r="J1905" s="2">
        <v>19</v>
      </c>
      <c r="K1905" s="2" t="s">
        <v>123</v>
      </c>
      <c r="L1905" s="22">
        <v>7050</v>
      </c>
      <c r="M1905" s="22">
        <v>133950</v>
      </c>
      <c r="N1905" s="18">
        <v>143.26</v>
      </c>
      <c r="O1905" s="26">
        <v>45407</v>
      </c>
      <c r="P1905" s="2" t="s">
        <v>2105</v>
      </c>
      <c r="Q1905" s="2" t="s">
        <v>814</v>
      </c>
    </row>
    <row r="1906" spans="2:17" x14ac:dyDescent="0.25">
      <c r="B1906" s="2" t="s">
        <v>2711</v>
      </c>
      <c r="C1906" s="2" t="s">
        <v>242</v>
      </c>
      <c r="D1906" s="2" t="s">
        <v>243</v>
      </c>
      <c r="E1906" s="2" t="s">
        <v>237</v>
      </c>
      <c r="F1906" s="2" t="s">
        <v>535</v>
      </c>
      <c r="G1906" s="2" t="s">
        <v>475</v>
      </c>
      <c r="H1906" s="2" t="s">
        <v>476</v>
      </c>
      <c r="I1906" s="26">
        <v>45244</v>
      </c>
      <c r="J1906" s="2">
        <v>20</v>
      </c>
      <c r="K1906" s="2" t="s">
        <v>123</v>
      </c>
      <c r="L1906" s="22">
        <v>7050</v>
      </c>
      <c r="M1906" s="22">
        <v>141000</v>
      </c>
      <c r="N1906" s="18">
        <v>150.80000000000001</v>
      </c>
      <c r="O1906" s="26">
        <v>45424</v>
      </c>
      <c r="P1906" s="2" t="s">
        <v>2105</v>
      </c>
      <c r="Q1906" s="2" t="s">
        <v>814</v>
      </c>
    </row>
    <row r="1907" spans="2:17" x14ac:dyDescent="0.25">
      <c r="B1907" s="2" t="s">
        <v>2712</v>
      </c>
      <c r="C1907" s="2" t="s">
        <v>242</v>
      </c>
      <c r="D1907" s="2" t="s">
        <v>243</v>
      </c>
      <c r="E1907" s="2" t="s">
        <v>237</v>
      </c>
      <c r="F1907" s="2" t="s">
        <v>535</v>
      </c>
      <c r="G1907" s="2" t="s">
        <v>475</v>
      </c>
      <c r="H1907" s="2" t="s">
        <v>476</v>
      </c>
      <c r="I1907" s="26">
        <v>45260</v>
      </c>
      <c r="J1907" s="2">
        <v>22</v>
      </c>
      <c r="K1907" s="2" t="s">
        <v>123</v>
      </c>
      <c r="L1907" s="22">
        <v>7050</v>
      </c>
      <c r="M1907" s="22">
        <v>155100</v>
      </c>
      <c r="N1907" s="18">
        <v>165.88</v>
      </c>
      <c r="O1907" s="26">
        <v>45440</v>
      </c>
      <c r="P1907" s="2" t="s">
        <v>2105</v>
      </c>
      <c r="Q1907" s="2" t="s">
        <v>814</v>
      </c>
    </row>
    <row r="1908" spans="2:17" x14ac:dyDescent="0.25">
      <c r="B1908" s="2" t="s">
        <v>2713</v>
      </c>
      <c r="C1908" s="2" t="s">
        <v>242</v>
      </c>
      <c r="D1908" s="2" t="s">
        <v>243</v>
      </c>
      <c r="E1908" s="2" t="s">
        <v>237</v>
      </c>
      <c r="F1908" s="2" t="s">
        <v>535</v>
      </c>
      <c r="G1908" s="2" t="s">
        <v>475</v>
      </c>
      <c r="H1908" s="2" t="s">
        <v>476</v>
      </c>
      <c r="I1908" s="26">
        <v>45280</v>
      </c>
      <c r="J1908" s="2">
        <v>25</v>
      </c>
      <c r="K1908" s="2" t="s">
        <v>123</v>
      </c>
      <c r="L1908" s="22">
        <v>7050</v>
      </c>
      <c r="M1908" s="22">
        <v>176250</v>
      </c>
      <c r="N1908" s="18">
        <v>188.5</v>
      </c>
      <c r="O1908" s="26">
        <v>45460</v>
      </c>
      <c r="P1908" s="2" t="s">
        <v>2105</v>
      </c>
      <c r="Q1908" s="2" t="s">
        <v>825</v>
      </c>
    </row>
    <row r="1909" spans="2:17" x14ac:dyDescent="0.25">
      <c r="B1909" s="2" t="s">
        <v>2714</v>
      </c>
      <c r="C1909" s="2" t="s">
        <v>242</v>
      </c>
      <c r="D1909" s="2" t="s">
        <v>243</v>
      </c>
      <c r="E1909" s="2" t="s">
        <v>237</v>
      </c>
      <c r="F1909" s="2" t="s">
        <v>535</v>
      </c>
      <c r="G1909" s="2" t="s">
        <v>475</v>
      </c>
      <c r="H1909" s="2" t="s">
        <v>476</v>
      </c>
      <c r="I1909" s="26">
        <v>45305</v>
      </c>
      <c r="J1909" s="2">
        <v>22</v>
      </c>
      <c r="K1909" s="2" t="s">
        <v>123</v>
      </c>
      <c r="L1909" s="22">
        <v>7050</v>
      </c>
      <c r="M1909" s="22">
        <v>155100</v>
      </c>
      <c r="N1909" s="18">
        <v>165.88</v>
      </c>
      <c r="O1909" s="26">
        <v>45485</v>
      </c>
      <c r="P1909" s="2" t="s">
        <v>2105</v>
      </c>
      <c r="Q1909" s="2" t="s">
        <v>825</v>
      </c>
    </row>
    <row r="1910" spans="2:17" x14ac:dyDescent="0.25">
      <c r="B1910" s="2" t="s">
        <v>2715</v>
      </c>
      <c r="C1910" s="2" t="s">
        <v>242</v>
      </c>
      <c r="D1910" s="2" t="s">
        <v>243</v>
      </c>
      <c r="E1910" s="2" t="s">
        <v>237</v>
      </c>
      <c r="F1910" s="2" t="s">
        <v>535</v>
      </c>
      <c r="G1910" s="2" t="s">
        <v>475</v>
      </c>
      <c r="H1910" s="2" t="s">
        <v>476</v>
      </c>
      <c r="I1910" s="26">
        <v>45320</v>
      </c>
      <c r="J1910" s="2">
        <v>20</v>
      </c>
      <c r="K1910" s="2" t="s">
        <v>123</v>
      </c>
      <c r="L1910" s="22">
        <v>7050</v>
      </c>
      <c r="M1910" s="22">
        <v>141000</v>
      </c>
      <c r="N1910" s="18">
        <v>150.80000000000001</v>
      </c>
      <c r="O1910" s="26">
        <v>45500</v>
      </c>
      <c r="P1910" s="2" t="s">
        <v>2105</v>
      </c>
      <c r="Q1910" s="2" t="s">
        <v>825</v>
      </c>
    </row>
    <row r="1911" spans="2:17" x14ac:dyDescent="0.25">
      <c r="B1911" s="2" t="s">
        <v>2716</v>
      </c>
      <c r="C1911" s="2" t="s">
        <v>242</v>
      </c>
      <c r="D1911" s="2" t="s">
        <v>243</v>
      </c>
      <c r="E1911" s="2" t="s">
        <v>237</v>
      </c>
      <c r="F1911" s="2" t="s">
        <v>535</v>
      </c>
      <c r="G1911" s="2" t="s">
        <v>475</v>
      </c>
      <c r="H1911" s="2" t="s">
        <v>476</v>
      </c>
      <c r="I1911" s="26">
        <v>45339</v>
      </c>
      <c r="J1911" s="2">
        <v>20</v>
      </c>
      <c r="K1911" s="2" t="s">
        <v>123</v>
      </c>
      <c r="L1911" s="22">
        <v>7050</v>
      </c>
      <c r="M1911" s="22">
        <v>141000</v>
      </c>
      <c r="N1911" s="18">
        <v>150.80000000000001</v>
      </c>
      <c r="O1911" s="26">
        <v>45519</v>
      </c>
      <c r="P1911" s="2" t="s">
        <v>2105</v>
      </c>
      <c r="Q1911" s="2" t="s">
        <v>825</v>
      </c>
    </row>
    <row r="1912" spans="2:17" x14ac:dyDescent="0.25">
      <c r="B1912" s="2" t="s">
        <v>2717</v>
      </c>
      <c r="C1912" s="2" t="s">
        <v>242</v>
      </c>
      <c r="D1912" s="2" t="s">
        <v>243</v>
      </c>
      <c r="E1912" s="2" t="s">
        <v>237</v>
      </c>
      <c r="F1912" s="2" t="s">
        <v>535</v>
      </c>
      <c r="G1912" s="2" t="s">
        <v>475</v>
      </c>
      <c r="H1912" s="2" t="s">
        <v>476</v>
      </c>
      <c r="I1912" s="26">
        <v>45362</v>
      </c>
      <c r="J1912" s="2">
        <v>19</v>
      </c>
      <c r="K1912" s="2" t="s">
        <v>123</v>
      </c>
      <c r="L1912" s="22">
        <v>7050</v>
      </c>
      <c r="M1912" s="22">
        <v>133950</v>
      </c>
      <c r="N1912" s="18">
        <v>143.26</v>
      </c>
      <c r="O1912" s="26">
        <v>45542</v>
      </c>
      <c r="P1912" s="2" t="s">
        <v>2105</v>
      </c>
      <c r="Q1912" s="2" t="s">
        <v>836</v>
      </c>
    </row>
    <row r="1913" spans="2:17" x14ac:dyDescent="0.25">
      <c r="B1913" s="2" t="s">
        <v>2718</v>
      </c>
      <c r="C1913" s="2" t="s">
        <v>242</v>
      </c>
      <c r="D1913" s="2" t="s">
        <v>243</v>
      </c>
      <c r="E1913" s="2" t="s">
        <v>237</v>
      </c>
      <c r="F1913" s="2" t="s">
        <v>535</v>
      </c>
      <c r="G1913" s="2" t="s">
        <v>475</v>
      </c>
      <c r="H1913" s="2" t="s">
        <v>476</v>
      </c>
      <c r="I1913" s="26">
        <v>45385</v>
      </c>
      <c r="J1913" s="2">
        <v>17</v>
      </c>
      <c r="K1913" s="2" t="s">
        <v>123</v>
      </c>
      <c r="L1913" s="22">
        <v>7050</v>
      </c>
      <c r="M1913" s="22">
        <v>119850</v>
      </c>
      <c r="N1913" s="18">
        <v>128.18</v>
      </c>
      <c r="O1913" s="26">
        <v>45565</v>
      </c>
      <c r="P1913" s="2" t="s">
        <v>2105</v>
      </c>
      <c r="Q1913" s="2" t="s">
        <v>836</v>
      </c>
    </row>
    <row r="1914" spans="2:17" x14ac:dyDescent="0.25">
      <c r="B1914" s="2" t="s">
        <v>2719</v>
      </c>
      <c r="C1914" s="2" t="s">
        <v>242</v>
      </c>
      <c r="D1914" s="2" t="s">
        <v>243</v>
      </c>
      <c r="E1914" s="2" t="s">
        <v>237</v>
      </c>
      <c r="F1914" s="2" t="s">
        <v>535</v>
      </c>
      <c r="G1914" s="2" t="s">
        <v>475</v>
      </c>
      <c r="H1914" s="2" t="s">
        <v>476</v>
      </c>
      <c r="I1914" s="26">
        <v>45404</v>
      </c>
      <c r="J1914" s="2">
        <v>19</v>
      </c>
      <c r="K1914" s="2" t="s">
        <v>123</v>
      </c>
      <c r="L1914" s="22">
        <v>7050</v>
      </c>
      <c r="M1914" s="22">
        <v>133950</v>
      </c>
      <c r="N1914" s="18">
        <v>143.26</v>
      </c>
      <c r="O1914" s="26">
        <v>45584</v>
      </c>
      <c r="P1914" s="2" t="s">
        <v>2105</v>
      </c>
      <c r="Q1914" s="2" t="s">
        <v>836</v>
      </c>
    </row>
    <row r="1915" spans="2:17" x14ac:dyDescent="0.25">
      <c r="B1915" s="2" t="s">
        <v>2720</v>
      </c>
      <c r="C1915" s="2" t="s">
        <v>242</v>
      </c>
      <c r="D1915" s="2" t="s">
        <v>243</v>
      </c>
      <c r="E1915" s="2" t="s">
        <v>237</v>
      </c>
      <c r="F1915" s="2" t="s">
        <v>535</v>
      </c>
      <c r="G1915" s="2" t="s">
        <v>475</v>
      </c>
      <c r="H1915" s="2" t="s">
        <v>476</v>
      </c>
      <c r="I1915" s="26">
        <v>45425</v>
      </c>
      <c r="J1915" s="2">
        <v>18</v>
      </c>
      <c r="K1915" s="2" t="s">
        <v>123</v>
      </c>
      <c r="L1915" s="22">
        <v>7050</v>
      </c>
      <c r="M1915" s="22">
        <v>126900</v>
      </c>
      <c r="N1915" s="18">
        <v>135.72</v>
      </c>
      <c r="O1915" s="26">
        <v>45605</v>
      </c>
      <c r="P1915" s="2" t="s">
        <v>2105</v>
      </c>
      <c r="Q1915" s="2" t="s">
        <v>836</v>
      </c>
    </row>
    <row r="1916" spans="2:17" x14ac:dyDescent="0.25">
      <c r="B1916" s="2" t="s">
        <v>2721</v>
      </c>
      <c r="C1916" s="2" t="s">
        <v>242</v>
      </c>
      <c r="D1916" s="2" t="s">
        <v>243</v>
      </c>
      <c r="E1916" s="2" t="s">
        <v>237</v>
      </c>
      <c r="F1916" s="2" t="s">
        <v>537</v>
      </c>
      <c r="G1916" s="2" t="s">
        <v>480</v>
      </c>
      <c r="H1916" s="2" t="s">
        <v>481</v>
      </c>
      <c r="I1916" s="26">
        <v>45451</v>
      </c>
      <c r="J1916" s="2">
        <v>22</v>
      </c>
      <c r="K1916" s="2" t="s">
        <v>123</v>
      </c>
      <c r="L1916" s="22">
        <v>7400</v>
      </c>
      <c r="M1916" s="22">
        <v>162800</v>
      </c>
      <c r="N1916" s="18">
        <v>174.12</v>
      </c>
      <c r="O1916" s="26">
        <v>45631</v>
      </c>
      <c r="P1916" s="2" t="s">
        <v>2105</v>
      </c>
      <c r="Q1916" s="2" t="s">
        <v>806</v>
      </c>
    </row>
    <row r="1917" spans="2:17" x14ac:dyDescent="0.25">
      <c r="B1917" s="2" t="s">
        <v>2722</v>
      </c>
      <c r="C1917" s="2" t="s">
        <v>242</v>
      </c>
      <c r="D1917" s="2" t="s">
        <v>243</v>
      </c>
      <c r="E1917" s="2" t="s">
        <v>237</v>
      </c>
      <c r="F1917" s="2" t="s">
        <v>535</v>
      </c>
      <c r="G1917" s="2" t="s">
        <v>475</v>
      </c>
      <c r="H1917" s="2" t="s">
        <v>476</v>
      </c>
      <c r="I1917" s="26">
        <v>45469</v>
      </c>
      <c r="J1917" s="2">
        <v>19</v>
      </c>
      <c r="K1917" s="2" t="s">
        <v>123</v>
      </c>
      <c r="L1917" s="22">
        <v>7050</v>
      </c>
      <c r="M1917" s="22">
        <v>133950</v>
      </c>
      <c r="N1917" s="18">
        <v>143.26</v>
      </c>
      <c r="O1917" s="26">
        <v>45649</v>
      </c>
      <c r="P1917" s="2" t="s">
        <v>2105</v>
      </c>
      <c r="Q1917" s="2" t="s">
        <v>806</v>
      </c>
    </row>
    <row r="1918" spans="2:17" x14ac:dyDescent="0.25">
      <c r="B1918" s="2" t="s">
        <v>2723</v>
      </c>
      <c r="C1918" s="2" t="s">
        <v>242</v>
      </c>
      <c r="D1918" s="2" t="s">
        <v>243</v>
      </c>
      <c r="E1918" s="2" t="s">
        <v>237</v>
      </c>
      <c r="F1918" s="2" t="s">
        <v>535</v>
      </c>
      <c r="G1918" s="2" t="s">
        <v>475</v>
      </c>
      <c r="H1918" s="2" t="s">
        <v>476</v>
      </c>
      <c r="I1918" s="26">
        <v>45488</v>
      </c>
      <c r="J1918" s="2">
        <v>20</v>
      </c>
      <c r="K1918" s="2" t="s">
        <v>123</v>
      </c>
      <c r="L1918" s="22">
        <v>7050</v>
      </c>
      <c r="M1918" s="22">
        <v>141000</v>
      </c>
      <c r="N1918" s="18">
        <v>150.80000000000001</v>
      </c>
      <c r="O1918" s="26">
        <v>45668</v>
      </c>
      <c r="P1918" s="2" t="s">
        <v>2105</v>
      </c>
      <c r="Q1918" s="2" t="s">
        <v>806</v>
      </c>
    </row>
    <row r="1919" spans="2:17" x14ac:dyDescent="0.25">
      <c r="B1919" s="2" t="s">
        <v>2724</v>
      </c>
      <c r="C1919" s="2" t="s">
        <v>242</v>
      </c>
      <c r="D1919" s="2" t="s">
        <v>243</v>
      </c>
      <c r="E1919" s="2" t="s">
        <v>237</v>
      </c>
      <c r="F1919" s="2" t="s">
        <v>537</v>
      </c>
      <c r="G1919" s="2" t="s">
        <v>480</v>
      </c>
      <c r="H1919" s="2" t="s">
        <v>481</v>
      </c>
      <c r="I1919" s="26">
        <v>45508</v>
      </c>
      <c r="J1919" s="2">
        <v>21</v>
      </c>
      <c r="K1919" s="2" t="s">
        <v>123</v>
      </c>
      <c r="L1919" s="22">
        <v>7400</v>
      </c>
      <c r="M1919" s="22">
        <v>155400</v>
      </c>
      <c r="N1919" s="18">
        <v>166.2</v>
      </c>
      <c r="O1919" s="26">
        <v>45688</v>
      </c>
      <c r="P1919" s="2" t="s">
        <v>2105</v>
      </c>
      <c r="Q1919" s="2" t="s">
        <v>806</v>
      </c>
    </row>
    <row r="1920" spans="2:17" x14ac:dyDescent="0.25">
      <c r="B1920" s="2" t="s">
        <v>2725</v>
      </c>
      <c r="C1920" s="2" t="s">
        <v>242</v>
      </c>
      <c r="D1920" s="2" t="s">
        <v>243</v>
      </c>
      <c r="E1920" s="2" t="s">
        <v>237</v>
      </c>
      <c r="F1920" s="2" t="s">
        <v>535</v>
      </c>
      <c r="G1920" s="2" t="s">
        <v>475</v>
      </c>
      <c r="H1920" s="2" t="s">
        <v>476</v>
      </c>
      <c r="I1920" s="26">
        <v>45527</v>
      </c>
      <c r="J1920" s="2">
        <v>22</v>
      </c>
      <c r="K1920" s="2" t="s">
        <v>123</v>
      </c>
      <c r="L1920" s="22">
        <v>7050</v>
      </c>
      <c r="M1920" s="22">
        <v>155100</v>
      </c>
      <c r="N1920" s="18">
        <v>165.88</v>
      </c>
      <c r="O1920" s="26">
        <v>45707</v>
      </c>
      <c r="P1920" s="2" t="s">
        <v>2105</v>
      </c>
      <c r="Q1920" s="2" t="s">
        <v>806</v>
      </c>
    </row>
    <row r="1921" spans="2:17" x14ac:dyDescent="0.25">
      <c r="B1921" s="2" t="s">
        <v>2726</v>
      </c>
      <c r="C1921" s="2" t="s">
        <v>242</v>
      </c>
      <c r="D1921" s="2" t="s">
        <v>243</v>
      </c>
      <c r="E1921" s="2" t="s">
        <v>237</v>
      </c>
      <c r="F1921" s="2" t="s">
        <v>535</v>
      </c>
      <c r="G1921" s="2" t="s">
        <v>475</v>
      </c>
      <c r="H1921" s="2" t="s">
        <v>476</v>
      </c>
      <c r="I1921" s="26">
        <v>45547</v>
      </c>
      <c r="J1921" s="2">
        <v>24</v>
      </c>
      <c r="K1921" s="2" t="s">
        <v>123</v>
      </c>
      <c r="L1921" s="22">
        <v>7050</v>
      </c>
      <c r="M1921" s="22">
        <v>169200</v>
      </c>
      <c r="N1921" s="18">
        <v>180.96</v>
      </c>
      <c r="O1921" s="26">
        <v>45727</v>
      </c>
      <c r="P1921" s="2" t="s">
        <v>2105</v>
      </c>
      <c r="Q1921" s="2" t="s">
        <v>814</v>
      </c>
    </row>
    <row r="1922" spans="2:17" x14ac:dyDescent="0.25">
      <c r="B1922" s="2" t="s">
        <v>2727</v>
      </c>
      <c r="C1922" s="2" t="s">
        <v>242</v>
      </c>
      <c r="D1922" s="2" t="s">
        <v>243</v>
      </c>
      <c r="E1922" s="2" t="s">
        <v>237</v>
      </c>
      <c r="F1922" s="2" t="s">
        <v>535</v>
      </c>
      <c r="G1922" s="2" t="s">
        <v>475</v>
      </c>
      <c r="H1922" s="2" t="s">
        <v>476</v>
      </c>
      <c r="I1922" s="26">
        <v>45567</v>
      </c>
      <c r="J1922" s="2">
        <v>19</v>
      </c>
      <c r="K1922" s="2" t="s">
        <v>123</v>
      </c>
      <c r="L1922" s="22">
        <v>7050</v>
      </c>
      <c r="M1922" s="22">
        <v>133950</v>
      </c>
      <c r="N1922" s="18">
        <v>143.26</v>
      </c>
      <c r="O1922" s="26">
        <v>45747</v>
      </c>
      <c r="P1922" s="2" t="s">
        <v>2105</v>
      </c>
      <c r="Q1922" s="2" t="s">
        <v>814</v>
      </c>
    </row>
    <row r="1923" spans="2:17" x14ac:dyDescent="0.25">
      <c r="B1923" s="2" t="s">
        <v>2728</v>
      </c>
      <c r="C1923" s="2" t="s">
        <v>242</v>
      </c>
      <c r="D1923" s="2" t="s">
        <v>243</v>
      </c>
      <c r="E1923" s="2" t="s">
        <v>237</v>
      </c>
      <c r="F1923" s="2" t="s">
        <v>537</v>
      </c>
      <c r="G1923" s="2" t="s">
        <v>480</v>
      </c>
      <c r="H1923" s="2" t="s">
        <v>481</v>
      </c>
      <c r="I1923" s="26">
        <v>45583</v>
      </c>
      <c r="J1923" s="2">
        <v>21</v>
      </c>
      <c r="K1923" s="2" t="s">
        <v>123</v>
      </c>
      <c r="L1923" s="22">
        <v>7400</v>
      </c>
      <c r="M1923" s="22">
        <v>155400</v>
      </c>
      <c r="N1923" s="18">
        <v>166.2</v>
      </c>
      <c r="O1923" s="26">
        <v>45763</v>
      </c>
      <c r="P1923" s="2" t="s">
        <v>2105</v>
      </c>
      <c r="Q1923" s="2" t="s">
        <v>814</v>
      </c>
    </row>
    <row r="1924" spans="2:17" x14ac:dyDescent="0.25">
      <c r="B1924" s="2" t="s">
        <v>2729</v>
      </c>
      <c r="C1924" s="2" t="s">
        <v>242</v>
      </c>
      <c r="D1924" s="2" t="s">
        <v>243</v>
      </c>
      <c r="E1924" s="2" t="s">
        <v>237</v>
      </c>
      <c r="F1924" s="2" t="s">
        <v>535</v>
      </c>
      <c r="G1924" s="2" t="s">
        <v>475</v>
      </c>
      <c r="H1924" s="2" t="s">
        <v>476</v>
      </c>
      <c r="I1924" s="26">
        <v>45603</v>
      </c>
      <c r="J1924" s="2">
        <v>18</v>
      </c>
      <c r="K1924" s="2" t="s">
        <v>123</v>
      </c>
      <c r="L1924" s="22">
        <v>7050</v>
      </c>
      <c r="M1924" s="22">
        <v>126900</v>
      </c>
      <c r="N1924" s="18">
        <v>135.72</v>
      </c>
      <c r="O1924" s="26">
        <v>45783</v>
      </c>
      <c r="P1924" s="2" t="s">
        <v>2105</v>
      </c>
      <c r="Q1924" s="2" t="s">
        <v>814</v>
      </c>
    </row>
    <row r="1925" spans="2:17" x14ac:dyDescent="0.25">
      <c r="B1925" s="2" t="s">
        <v>2730</v>
      </c>
      <c r="C1925" s="2" t="s">
        <v>242</v>
      </c>
      <c r="D1925" s="2" t="s">
        <v>243</v>
      </c>
      <c r="E1925" s="2" t="s">
        <v>237</v>
      </c>
      <c r="F1925" s="2" t="s">
        <v>535</v>
      </c>
      <c r="G1925" s="2" t="s">
        <v>475</v>
      </c>
      <c r="H1925" s="2" t="s">
        <v>476</v>
      </c>
      <c r="I1925" s="26">
        <v>45630</v>
      </c>
      <c r="J1925" s="2">
        <v>25</v>
      </c>
      <c r="K1925" s="2" t="s">
        <v>123</v>
      </c>
      <c r="L1925" s="22">
        <v>7050</v>
      </c>
      <c r="M1925" s="22">
        <v>176250</v>
      </c>
      <c r="N1925" s="18">
        <v>188.5</v>
      </c>
      <c r="O1925" s="26">
        <v>45810</v>
      </c>
      <c r="P1925" s="2" t="s">
        <v>2105</v>
      </c>
      <c r="Q1925" s="2" t="s">
        <v>825</v>
      </c>
    </row>
    <row r="1926" spans="2:17" x14ac:dyDescent="0.25">
      <c r="B1926" s="2" t="s">
        <v>2731</v>
      </c>
      <c r="C1926" s="2" t="s">
        <v>242</v>
      </c>
      <c r="D1926" s="2" t="s">
        <v>243</v>
      </c>
      <c r="E1926" s="2" t="s">
        <v>237</v>
      </c>
      <c r="F1926" s="2" t="s">
        <v>535</v>
      </c>
      <c r="G1926" s="2" t="s">
        <v>475</v>
      </c>
      <c r="H1926" s="2" t="s">
        <v>476</v>
      </c>
      <c r="I1926" s="26">
        <v>45648</v>
      </c>
      <c r="J1926" s="2">
        <v>28</v>
      </c>
      <c r="K1926" s="2" t="s">
        <v>123</v>
      </c>
      <c r="L1926" s="22">
        <v>7050</v>
      </c>
      <c r="M1926" s="22">
        <v>197400</v>
      </c>
      <c r="N1926" s="18">
        <v>211.12</v>
      </c>
      <c r="O1926" s="26">
        <v>45828</v>
      </c>
      <c r="P1926" s="2" t="s">
        <v>2105</v>
      </c>
      <c r="Q1926" s="2" t="s">
        <v>825</v>
      </c>
    </row>
    <row r="1927" spans="2:17" x14ac:dyDescent="0.25">
      <c r="B1927" s="2" t="s">
        <v>2732</v>
      </c>
      <c r="C1927" s="2" t="s">
        <v>242</v>
      </c>
      <c r="D1927" s="2" t="s">
        <v>243</v>
      </c>
      <c r="E1927" s="2" t="s">
        <v>237</v>
      </c>
      <c r="F1927" s="2" t="s">
        <v>535</v>
      </c>
      <c r="G1927" s="2" t="s">
        <v>475</v>
      </c>
      <c r="H1927" s="2" t="s">
        <v>476</v>
      </c>
      <c r="I1927" s="26">
        <v>45676</v>
      </c>
      <c r="J1927" s="2">
        <v>23</v>
      </c>
      <c r="K1927" s="2" t="s">
        <v>123</v>
      </c>
      <c r="L1927" s="22">
        <v>7050</v>
      </c>
      <c r="M1927" s="22">
        <v>162150</v>
      </c>
      <c r="N1927" s="18">
        <v>173.42</v>
      </c>
      <c r="O1927" s="26">
        <v>45856</v>
      </c>
      <c r="P1927" s="2" t="s">
        <v>2105</v>
      </c>
      <c r="Q1927" s="2" t="s">
        <v>825</v>
      </c>
    </row>
    <row r="1928" spans="2:17" x14ac:dyDescent="0.25">
      <c r="B1928" s="2" t="s">
        <v>2733</v>
      </c>
      <c r="C1928" s="2" t="s">
        <v>242</v>
      </c>
      <c r="D1928" s="2" t="s">
        <v>243</v>
      </c>
      <c r="E1928" s="2" t="s">
        <v>237</v>
      </c>
      <c r="F1928" s="2" t="s">
        <v>537</v>
      </c>
      <c r="G1928" s="2" t="s">
        <v>480</v>
      </c>
      <c r="H1928" s="2" t="s">
        <v>481</v>
      </c>
      <c r="I1928" s="26">
        <v>45699</v>
      </c>
      <c r="J1928" s="2">
        <v>22</v>
      </c>
      <c r="K1928" s="2" t="s">
        <v>123</v>
      </c>
      <c r="L1928" s="22">
        <v>7400</v>
      </c>
      <c r="M1928" s="22">
        <v>162800</v>
      </c>
      <c r="N1928" s="18">
        <v>174.12</v>
      </c>
      <c r="O1928" s="26">
        <v>45879</v>
      </c>
      <c r="P1928" s="2" t="s">
        <v>2105</v>
      </c>
      <c r="Q1928" s="2" t="s">
        <v>825</v>
      </c>
    </row>
    <row r="1929" spans="2:17" x14ac:dyDescent="0.25">
      <c r="B1929" s="2" t="s">
        <v>2734</v>
      </c>
      <c r="C1929" s="2" t="s">
        <v>242</v>
      </c>
      <c r="D1929" s="2" t="s">
        <v>243</v>
      </c>
      <c r="E1929" s="2" t="s">
        <v>237</v>
      </c>
      <c r="F1929" s="2" t="s">
        <v>537</v>
      </c>
      <c r="G1929" s="2" t="s">
        <v>480</v>
      </c>
      <c r="H1929" s="2" t="s">
        <v>481</v>
      </c>
      <c r="I1929" s="26">
        <v>45720</v>
      </c>
      <c r="J1929" s="2">
        <v>24</v>
      </c>
      <c r="K1929" s="2" t="s">
        <v>123</v>
      </c>
      <c r="L1929" s="22">
        <v>7400</v>
      </c>
      <c r="M1929" s="22">
        <v>177600</v>
      </c>
      <c r="N1929" s="18">
        <v>189.95</v>
      </c>
      <c r="O1929" s="26">
        <v>45900</v>
      </c>
      <c r="P1929" s="2" t="s">
        <v>2105</v>
      </c>
      <c r="Q1929" s="2" t="s">
        <v>836</v>
      </c>
    </row>
    <row r="1930" spans="2:17" x14ac:dyDescent="0.25">
      <c r="B1930" s="2" t="s">
        <v>2735</v>
      </c>
      <c r="C1930" s="2" t="s">
        <v>242</v>
      </c>
      <c r="D1930" s="2" t="s">
        <v>243</v>
      </c>
      <c r="E1930" s="2" t="s">
        <v>237</v>
      </c>
      <c r="F1930" s="2" t="s">
        <v>535</v>
      </c>
      <c r="G1930" s="2" t="s">
        <v>475</v>
      </c>
      <c r="H1930" s="2" t="s">
        <v>476</v>
      </c>
      <c r="I1930" s="26">
        <v>45738</v>
      </c>
      <c r="J1930" s="2">
        <v>20</v>
      </c>
      <c r="K1930" s="2" t="s">
        <v>123</v>
      </c>
      <c r="L1930" s="22">
        <v>7050</v>
      </c>
      <c r="M1930" s="22">
        <v>141000</v>
      </c>
      <c r="N1930" s="18">
        <v>150.80000000000001</v>
      </c>
      <c r="O1930" s="26">
        <v>45918</v>
      </c>
      <c r="P1930" s="2" t="s">
        <v>2105</v>
      </c>
      <c r="Q1930" s="2" t="s">
        <v>836</v>
      </c>
    </row>
    <row r="1931" spans="2:17" x14ac:dyDescent="0.25">
      <c r="B1931" s="2" t="s">
        <v>2736</v>
      </c>
      <c r="C1931" s="2" t="s">
        <v>242</v>
      </c>
      <c r="D1931" s="2" t="s">
        <v>243</v>
      </c>
      <c r="E1931" s="2" t="s">
        <v>237</v>
      </c>
      <c r="F1931" s="2" t="s">
        <v>535</v>
      </c>
      <c r="G1931" s="2" t="s">
        <v>475</v>
      </c>
      <c r="H1931" s="2" t="s">
        <v>476</v>
      </c>
      <c r="I1931" s="26">
        <v>45756</v>
      </c>
      <c r="J1931" s="2">
        <v>23</v>
      </c>
      <c r="K1931" s="2" t="s">
        <v>123</v>
      </c>
      <c r="L1931" s="22">
        <v>7050</v>
      </c>
      <c r="M1931" s="22">
        <v>162150</v>
      </c>
      <c r="N1931" s="18">
        <v>173.42</v>
      </c>
      <c r="O1931" s="26">
        <v>45936</v>
      </c>
      <c r="P1931" s="2" t="s">
        <v>2105</v>
      </c>
      <c r="Q1931" s="2" t="s">
        <v>836</v>
      </c>
    </row>
    <row r="1932" spans="2:17" x14ac:dyDescent="0.25">
      <c r="B1932" s="2" t="s">
        <v>2737</v>
      </c>
      <c r="C1932" s="2" t="s">
        <v>242</v>
      </c>
      <c r="D1932" s="2" t="s">
        <v>243</v>
      </c>
      <c r="E1932" s="2" t="s">
        <v>237</v>
      </c>
      <c r="F1932" s="2" t="s">
        <v>535</v>
      </c>
      <c r="G1932" s="2" t="s">
        <v>475</v>
      </c>
      <c r="H1932" s="2" t="s">
        <v>476</v>
      </c>
      <c r="I1932" s="26">
        <v>45780</v>
      </c>
      <c r="J1932" s="2">
        <v>20</v>
      </c>
      <c r="K1932" s="2" t="s">
        <v>123</v>
      </c>
      <c r="L1932" s="22">
        <v>7050</v>
      </c>
      <c r="M1932" s="22">
        <v>141000</v>
      </c>
      <c r="N1932" s="18">
        <v>150.80000000000001</v>
      </c>
      <c r="O1932" s="26">
        <v>45960</v>
      </c>
      <c r="P1932" s="2" t="s">
        <v>2105</v>
      </c>
      <c r="Q1932" s="2" t="s">
        <v>836</v>
      </c>
    </row>
    <row r="1933" spans="2:17" x14ac:dyDescent="0.25">
      <c r="B1933" s="2" t="s">
        <v>2738</v>
      </c>
      <c r="C1933" s="2" t="s">
        <v>242</v>
      </c>
      <c r="D1933" s="2" t="s">
        <v>243</v>
      </c>
      <c r="E1933" s="2" t="s">
        <v>237</v>
      </c>
      <c r="F1933" s="2" t="s">
        <v>535</v>
      </c>
      <c r="G1933" s="2" t="s">
        <v>475</v>
      </c>
      <c r="H1933" s="2" t="s">
        <v>476</v>
      </c>
      <c r="I1933" s="26">
        <v>45802</v>
      </c>
      <c r="J1933" s="2">
        <v>25</v>
      </c>
      <c r="K1933" s="2" t="s">
        <v>123</v>
      </c>
      <c r="L1933" s="22">
        <v>7050</v>
      </c>
      <c r="M1933" s="22">
        <v>176250</v>
      </c>
      <c r="N1933" s="18">
        <v>188.5</v>
      </c>
      <c r="O1933" s="26">
        <v>45982</v>
      </c>
      <c r="P1933" s="2" t="s">
        <v>2105</v>
      </c>
      <c r="Q1933" s="2" t="s">
        <v>836</v>
      </c>
    </row>
    <row r="1934" spans="2:17" x14ac:dyDescent="0.25">
      <c r="B1934" s="2" t="s">
        <v>2739</v>
      </c>
      <c r="C1934" s="2" t="s">
        <v>242</v>
      </c>
      <c r="D1934" s="2" t="s">
        <v>243</v>
      </c>
      <c r="E1934" s="2" t="s">
        <v>237</v>
      </c>
      <c r="F1934" s="2" t="s">
        <v>535</v>
      </c>
      <c r="G1934" s="2" t="s">
        <v>475</v>
      </c>
      <c r="H1934" s="2" t="s">
        <v>476</v>
      </c>
      <c r="I1934" s="26">
        <v>45824</v>
      </c>
      <c r="J1934" s="2">
        <v>23</v>
      </c>
      <c r="K1934" s="2" t="s">
        <v>123</v>
      </c>
      <c r="L1934" s="22">
        <v>7050</v>
      </c>
      <c r="M1934" s="22">
        <v>162150</v>
      </c>
      <c r="N1934" s="18">
        <v>173.42</v>
      </c>
      <c r="O1934" s="26">
        <v>46004</v>
      </c>
      <c r="P1934" s="2" t="s">
        <v>2105</v>
      </c>
      <c r="Q1934" s="2" t="s">
        <v>806</v>
      </c>
    </row>
    <row r="1935" spans="2:17" x14ac:dyDescent="0.25">
      <c r="B1935" s="2" t="s">
        <v>2740</v>
      </c>
      <c r="C1935" s="2" t="s">
        <v>244</v>
      </c>
      <c r="D1935" s="2" t="s">
        <v>245</v>
      </c>
      <c r="E1935" s="2" t="s">
        <v>237</v>
      </c>
      <c r="F1935" s="2" t="s">
        <v>535</v>
      </c>
      <c r="G1935" s="2" t="s">
        <v>475</v>
      </c>
      <c r="H1935" s="2" t="s">
        <v>476</v>
      </c>
      <c r="I1935" s="26">
        <v>45118</v>
      </c>
      <c r="J1935" s="2">
        <v>20</v>
      </c>
      <c r="K1935" s="2" t="s">
        <v>123</v>
      </c>
      <c r="L1935" s="22">
        <v>6450</v>
      </c>
      <c r="M1935" s="22">
        <v>129000</v>
      </c>
      <c r="N1935" s="18">
        <v>137.97</v>
      </c>
      <c r="O1935" s="26">
        <v>45298</v>
      </c>
      <c r="P1935" s="2" t="s">
        <v>2105</v>
      </c>
      <c r="Q1935" s="2" t="s">
        <v>806</v>
      </c>
    </row>
    <row r="1936" spans="2:17" x14ac:dyDescent="0.25">
      <c r="B1936" s="2" t="s">
        <v>2741</v>
      </c>
      <c r="C1936" s="2" t="s">
        <v>244</v>
      </c>
      <c r="D1936" s="2" t="s">
        <v>245</v>
      </c>
      <c r="E1936" s="2" t="s">
        <v>237</v>
      </c>
      <c r="F1936" s="2" t="s">
        <v>535</v>
      </c>
      <c r="G1936" s="2" t="s">
        <v>475</v>
      </c>
      <c r="H1936" s="2" t="s">
        <v>476</v>
      </c>
      <c r="I1936" s="26">
        <v>45130</v>
      </c>
      <c r="J1936" s="2">
        <v>20</v>
      </c>
      <c r="K1936" s="2" t="s">
        <v>123</v>
      </c>
      <c r="L1936" s="22">
        <v>6450</v>
      </c>
      <c r="M1936" s="22">
        <v>129000</v>
      </c>
      <c r="N1936" s="18">
        <v>137.97</v>
      </c>
      <c r="O1936" s="26">
        <v>45310</v>
      </c>
      <c r="P1936" s="2" t="s">
        <v>2105</v>
      </c>
      <c r="Q1936" s="2" t="s">
        <v>806</v>
      </c>
    </row>
    <row r="1937" spans="2:17" x14ac:dyDescent="0.25">
      <c r="B1937" s="2" t="s">
        <v>2742</v>
      </c>
      <c r="C1937" s="2" t="s">
        <v>244</v>
      </c>
      <c r="D1937" s="2" t="s">
        <v>245</v>
      </c>
      <c r="E1937" s="2" t="s">
        <v>237</v>
      </c>
      <c r="F1937" s="2" t="s">
        <v>535</v>
      </c>
      <c r="G1937" s="2" t="s">
        <v>475</v>
      </c>
      <c r="H1937" s="2" t="s">
        <v>476</v>
      </c>
      <c r="I1937" s="26">
        <v>45149</v>
      </c>
      <c r="J1937" s="2">
        <v>17</v>
      </c>
      <c r="K1937" s="2" t="s">
        <v>123</v>
      </c>
      <c r="L1937" s="22">
        <v>6450</v>
      </c>
      <c r="M1937" s="22">
        <v>109650</v>
      </c>
      <c r="N1937" s="18">
        <v>117.27</v>
      </c>
      <c r="O1937" s="26">
        <v>45329</v>
      </c>
      <c r="P1937" s="2" t="s">
        <v>2105</v>
      </c>
      <c r="Q1937" s="2" t="s">
        <v>806</v>
      </c>
    </row>
    <row r="1938" spans="2:17" x14ac:dyDescent="0.25">
      <c r="B1938" s="2" t="s">
        <v>2743</v>
      </c>
      <c r="C1938" s="2" t="s">
        <v>244</v>
      </c>
      <c r="D1938" s="2" t="s">
        <v>245</v>
      </c>
      <c r="E1938" s="2" t="s">
        <v>237</v>
      </c>
      <c r="F1938" s="2" t="s">
        <v>535</v>
      </c>
      <c r="G1938" s="2" t="s">
        <v>475</v>
      </c>
      <c r="H1938" s="2" t="s">
        <v>476</v>
      </c>
      <c r="I1938" s="26">
        <v>45165</v>
      </c>
      <c r="J1938" s="2">
        <v>20</v>
      </c>
      <c r="K1938" s="2" t="s">
        <v>123</v>
      </c>
      <c r="L1938" s="22">
        <v>6450</v>
      </c>
      <c r="M1938" s="22">
        <v>129000</v>
      </c>
      <c r="N1938" s="18">
        <v>137.97</v>
      </c>
      <c r="O1938" s="26">
        <v>45345</v>
      </c>
      <c r="P1938" s="2" t="s">
        <v>2105</v>
      </c>
      <c r="Q1938" s="2" t="s">
        <v>806</v>
      </c>
    </row>
    <row r="1939" spans="2:17" x14ac:dyDescent="0.25">
      <c r="B1939" s="2" t="s">
        <v>2744</v>
      </c>
      <c r="C1939" s="2" t="s">
        <v>244</v>
      </c>
      <c r="D1939" s="2" t="s">
        <v>245</v>
      </c>
      <c r="E1939" s="2" t="s">
        <v>237</v>
      </c>
      <c r="F1939" s="2" t="s">
        <v>535</v>
      </c>
      <c r="G1939" s="2" t="s">
        <v>475</v>
      </c>
      <c r="H1939" s="2" t="s">
        <v>476</v>
      </c>
      <c r="I1939" s="26">
        <v>45187</v>
      </c>
      <c r="J1939" s="2">
        <v>22</v>
      </c>
      <c r="K1939" s="2" t="s">
        <v>123</v>
      </c>
      <c r="L1939" s="22">
        <v>6450</v>
      </c>
      <c r="M1939" s="22">
        <v>141900</v>
      </c>
      <c r="N1939" s="18">
        <v>151.76</v>
      </c>
      <c r="O1939" s="26">
        <v>45367</v>
      </c>
      <c r="P1939" s="2" t="s">
        <v>2105</v>
      </c>
      <c r="Q1939" s="2" t="s">
        <v>814</v>
      </c>
    </row>
    <row r="1940" spans="2:17" x14ac:dyDescent="0.25">
      <c r="B1940" s="2" t="s">
        <v>2745</v>
      </c>
      <c r="C1940" s="2" t="s">
        <v>244</v>
      </c>
      <c r="D1940" s="2" t="s">
        <v>245</v>
      </c>
      <c r="E1940" s="2" t="s">
        <v>237</v>
      </c>
      <c r="F1940" s="2" t="s">
        <v>537</v>
      </c>
      <c r="G1940" s="2" t="s">
        <v>480</v>
      </c>
      <c r="H1940" s="2" t="s">
        <v>481</v>
      </c>
      <c r="I1940" s="26">
        <v>45205</v>
      </c>
      <c r="J1940" s="2">
        <v>18</v>
      </c>
      <c r="K1940" s="2" t="s">
        <v>123</v>
      </c>
      <c r="L1940" s="22">
        <v>6650</v>
      </c>
      <c r="M1940" s="22">
        <v>119700</v>
      </c>
      <c r="N1940" s="18">
        <v>128.02000000000001</v>
      </c>
      <c r="O1940" s="26">
        <v>45385</v>
      </c>
      <c r="P1940" s="2" t="s">
        <v>2105</v>
      </c>
      <c r="Q1940" s="2" t="s">
        <v>814</v>
      </c>
    </row>
    <row r="1941" spans="2:17" x14ac:dyDescent="0.25">
      <c r="B1941" s="2" t="s">
        <v>2746</v>
      </c>
      <c r="C1941" s="2" t="s">
        <v>244</v>
      </c>
      <c r="D1941" s="2" t="s">
        <v>245</v>
      </c>
      <c r="E1941" s="2" t="s">
        <v>237</v>
      </c>
      <c r="F1941" s="2" t="s">
        <v>535</v>
      </c>
      <c r="G1941" s="2" t="s">
        <v>475</v>
      </c>
      <c r="H1941" s="2" t="s">
        <v>476</v>
      </c>
      <c r="I1941" s="26">
        <v>45225</v>
      </c>
      <c r="J1941" s="2">
        <v>21</v>
      </c>
      <c r="K1941" s="2" t="s">
        <v>123</v>
      </c>
      <c r="L1941" s="22">
        <v>6450</v>
      </c>
      <c r="M1941" s="22">
        <v>135450</v>
      </c>
      <c r="N1941" s="18">
        <v>144.87</v>
      </c>
      <c r="O1941" s="26">
        <v>45405</v>
      </c>
      <c r="P1941" s="2" t="s">
        <v>2105</v>
      </c>
      <c r="Q1941" s="2" t="s">
        <v>814</v>
      </c>
    </row>
    <row r="1942" spans="2:17" x14ac:dyDescent="0.25">
      <c r="B1942" s="2" t="s">
        <v>2747</v>
      </c>
      <c r="C1942" s="2" t="s">
        <v>244</v>
      </c>
      <c r="D1942" s="2" t="s">
        <v>245</v>
      </c>
      <c r="E1942" s="2" t="s">
        <v>237</v>
      </c>
      <c r="F1942" s="2" t="s">
        <v>535</v>
      </c>
      <c r="G1942" s="2" t="s">
        <v>475</v>
      </c>
      <c r="H1942" s="2" t="s">
        <v>476</v>
      </c>
      <c r="I1942" s="26">
        <v>45249</v>
      </c>
      <c r="J1942" s="2">
        <v>18</v>
      </c>
      <c r="K1942" s="2" t="s">
        <v>123</v>
      </c>
      <c r="L1942" s="22">
        <v>6450</v>
      </c>
      <c r="M1942" s="22">
        <v>116100</v>
      </c>
      <c r="N1942" s="18">
        <v>124.17</v>
      </c>
      <c r="O1942" s="26">
        <v>45429</v>
      </c>
      <c r="P1942" s="2" t="s">
        <v>2105</v>
      </c>
      <c r="Q1942" s="2" t="s">
        <v>814</v>
      </c>
    </row>
    <row r="1943" spans="2:17" x14ac:dyDescent="0.25">
      <c r="B1943" s="2" t="s">
        <v>2748</v>
      </c>
      <c r="C1943" s="2" t="s">
        <v>244</v>
      </c>
      <c r="D1943" s="2" t="s">
        <v>245</v>
      </c>
      <c r="E1943" s="2" t="s">
        <v>237</v>
      </c>
      <c r="F1943" s="2" t="s">
        <v>537</v>
      </c>
      <c r="G1943" s="2" t="s">
        <v>480</v>
      </c>
      <c r="H1943" s="2" t="s">
        <v>481</v>
      </c>
      <c r="I1943" s="26">
        <v>45276</v>
      </c>
      <c r="J1943" s="2">
        <v>26</v>
      </c>
      <c r="K1943" s="2" t="s">
        <v>123</v>
      </c>
      <c r="L1943" s="22">
        <v>6650</v>
      </c>
      <c r="M1943" s="22">
        <v>172900</v>
      </c>
      <c r="N1943" s="18">
        <v>184.92</v>
      </c>
      <c r="O1943" s="26">
        <v>45456</v>
      </c>
      <c r="P1943" s="2" t="s">
        <v>2105</v>
      </c>
      <c r="Q1943" s="2" t="s">
        <v>825</v>
      </c>
    </row>
    <row r="1944" spans="2:17" x14ac:dyDescent="0.25">
      <c r="B1944" s="2" t="s">
        <v>2749</v>
      </c>
      <c r="C1944" s="2" t="s">
        <v>244</v>
      </c>
      <c r="D1944" s="2" t="s">
        <v>245</v>
      </c>
      <c r="E1944" s="2" t="s">
        <v>237</v>
      </c>
      <c r="F1944" s="2" t="s">
        <v>535</v>
      </c>
      <c r="G1944" s="2" t="s">
        <v>475</v>
      </c>
      <c r="H1944" s="2" t="s">
        <v>476</v>
      </c>
      <c r="I1944" s="26">
        <v>45293</v>
      </c>
      <c r="J1944" s="2">
        <v>18</v>
      </c>
      <c r="K1944" s="2" t="s">
        <v>123</v>
      </c>
      <c r="L1944" s="22">
        <v>6450</v>
      </c>
      <c r="M1944" s="22">
        <v>116100</v>
      </c>
      <c r="N1944" s="18">
        <v>124.17</v>
      </c>
      <c r="O1944" s="26">
        <v>45473</v>
      </c>
      <c r="P1944" s="2" t="s">
        <v>2105</v>
      </c>
      <c r="Q1944" s="2" t="s">
        <v>825</v>
      </c>
    </row>
    <row r="1945" spans="2:17" x14ac:dyDescent="0.25">
      <c r="B1945" s="2" t="s">
        <v>2750</v>
      </c>
      <c r="C1945" s="2" t="s">
        <v>244</v>
      </c>
      <c r="D1945" s="2" t="s">
        <v>245</v>
      </c>
      <c r="E1945" s="2" t="s">
        <v>237</v>
      </c>
      <c r="F1945" s="2" t="s">
        <v>535</v>
      </c>
      <c r="G1945" s="2" t="s">
        <v>475</v>
      </c>
      <c r="H1945" s="2" t="s">
        <v>476</v>
      </c>
      <c r="I1945" s="26">
        <v>45310</v>
      </c>
      <c r="J1945" s="2">
        <v>20</v>
      </c>
      <c r="K1945" s="2" t="s">
        <v>123</v>
      </c>
      <c r="L1945" s="22">
        <v>6450</v>
      </c>
      <c r="M1945" s="22">
        <v>129000</v>
      </c>
      <c r="N1945" s="18">
        <v>137.97</v>
      </c>
      <c r="O1945" s="26">
        <v>45490</v>
      </c>
      <c r="P1945" s="2" t="s">
        <v>2105</v>
      </c>
      <c r="Q1945" s="2" t="s">
        <v>825</v>
      </c>
    </row>
    <row r="1946" spans="2:17" x14ac:dyDescent="0.25">
      <c r="B1946" s="2" t="s">
        <v>2751</v>
      </c>
      <c r="C1946" s="2" t="s">
        <v>244</v>
      </c>
      <c r="D1946" s="2" t="s">
        <v>245</v>
      </c>
      <c r="E1946" s="2" t="s">
        <v>237</v>
      </c>
      <c r="F1946" s="2" t="s">
        <v>537</v>
      </c>
      <c r="G1946" s="2" t="s">
        <v>480</v>
      </c>
      <c r="H1946" s="2" t="s">
        <v>481</v>
      </c>
      <c r="I1946" s="26">
        <v>45330</v>
      </c>
      <c r="J1946" s="2">
        <v>20</v>
      </c>
      <c r="K1946" s="2" t="s">
        <v>123</v>
      </c>
      <c r="L1946" s="22">
        <v>6650</v>
      </c>
      <c r="M1946" s="22">
        <v>133000</v>
      </c>
      <c r="N1946" s="18">
        <v>142.25</v>
      </c>
      <c r="O1946" s="26">
        <v>45510</v>
      </c>
      <c r="P1946" s="2" t="s">
        <v>2105</v>
      </c>
      <c r="Q1946" s="2" t="s">
        <v>825</v>
      </c>
    </row>
    <row r="1947" spans="2:17" x14ac:dyDescent="0.25">
      <c r="B1947" s="2" t="s">
        <v>2752</v>
      </c>
      <c r="C1947" s="2" t="s">
        <v>244</v>
      </c>
      <c r="D1947" s="2" t="s">
        <v>245</v>
      </c>
      <c r="E1947" s="2" t="s">
        <v>237</v>
      </c>
      <c r="F1947" s="2" t="s">
        <v>537</v>
      </c>
      <c r="G1947" s="2" t="s">
        <v>480</v>
      </c>
      <c r="H1947" s="2" t="s">
        <v>481</v>
      </c>
      <c r="I1947" s="26">
        <v>45348</v>
      </c>
      <c r="J1947" s="2">
        <v>22</v>
      </c>
      <c r="K1947" s="2" t="s">
        <v>123</v>
      </c>
      <c r="L1947" s="22">
        <v>6650</v>
      </c>
      <c r="M1947" s="22">
        <v>146300</v>
      </c>
      <c r="N1947" s="18">
        <v>156.47</v>
      </c>
      <c r="O1947" s="26">
        <v>45528</v>
      </c>
      <c r="P1947" s="2" t="s">
        <v>2105</v>
      </c>
      <c r="Q1947" s="2" t="s">
        <v>825</v>
      </c>
    </row>
    <row r="1948" spans="2:17" x14ac:dyDescent="0.25">
      <c r="B1948" s="2" t="s">
        <v>2753</v>
      </c>
      <c r="C1948" s="2" t="s">
        <v>244</v>
      </c>
      <c r="D1948" s="2" t="s">
        <v>245</v>
      </c>
      <c r="E1948" s="2" t="s">
        <v>237</v>
      </c>
      <c r="F1948" s="2" t="s">
        <v>535</v>
      </c>
      <c r="G1948" s="2" t="s">
        <v>475</v>
      </c>
      <c r="H1948" s="2" t="s">
        <v>476</v>
      </c>
      <c r="I1948" s="26">
        <v>45367</v>
      </c>
      <c r="J1948" s="2">
        <v>23</v>
      </c>
      <c r="K1948" s="2" t="s">
        <v>123</v>
      </c>
      <c r="L1948" s="22">
        <v>6450</v>
      </c>
      <c r="M1948" s="22">
        <v>148350</v>
      </c>
      <c r="N1948" s="18">
        <v>158.66</v>
      </c>
      <c r="O1948" s="26">
        <v>45547</v>
      </c>
      <c r="P1948" s="2" t="s">
        <v>2105</v>
      </c>
      <c r="Q1948" s="2" t="s">
        <v>836</v>
      </c>
    </row>
    <row r="1949" spans="2:17" x14ac:dyDescent="0.25">
      <c r="B1949" s="2" t="s">
        <v>2754</v>
      </c>
      <c r="C1949" s="2" t="s">
        <v>244</v>
      </c>
      <c r="D1949" s="2" t="s">
        <v>245</v>
      </c>
      <c r="E1949" s="2" t="s">
        <v>237</v>
      </c>
      <c r="F1949" s="2" t="s">
        <v>535</v>
      </c>
      <c r="G1949" s="2" t="s">
        <v>475</v>
      </c>
      <c r="H1949" s="2" t="s">
        <v>476</v>
      </c>
      <c r="I1949" s="26">
        <v>45382</v>
      </c>
      <c r="J1949" s="2">
        <v>18</v>
      </c>
      <c r="K1949" s="2" t="s">
        <v>123</v>
      </c>
      <c r="L1949" s="22">
        <v>6450</v>
      </c>
      <c r="M1949" s="22">
        <v>116100</v>
      </c>
      <c r="N1949" s="18">
        <v>124.17</v>
      </c>
      <c r="O1949" s="26">
        <v>45562</v>
      </c>
      <c r="P1949" s="2" t="s">
        <v>2105</v>
      </c>
      <c r="Q1949" s="2" t="s">
        <v>836</v>
      </c>
    </row>
    <row r="1950" spans="2:17" x14ac:dyDescent="0.25">
      <c r="B1950" s="2" t="s">
        <v>2755</v>
      </c>
      <c r="C1950" s="2" t="s">
        <v>244</v>
      </c>
      <c r="D1950" s="2" t="s">
        <v>245</v>
      </c>
      <c r="E1950" s="2" t="s">
        <v>237</v>
      </c>
      <c r="F1950" s="2" t="s">
        <v>535</v>
      </c>
      <c r="G1950" s="2" t="s">
        <v>475</v>
      </c>
      <c r="H1950" s="2" t="s">
        <v>476</v>
      </c>
      <c r="I1950" s="26">
        <v>45399</v>
      </c>
      <c r="J1950" s="2">
        <v>21</v>
      </c>
      <c r="K1950" s="2" t="s">
        <v>123</v>
      </c>
      <c r="L1950" s="22">
        <v>6450</v>
      </c>
      <c r="M1950" s="22">
        <v>135450</v>
      </c>
      <c r="N1950" s="18">
        <v>144.87</v>
      </c>
      <c r="O1950" s="26">
        <v>45579</v>
      </c>
      <c r="P1950" s="2" t="s">
        <v>2105</v>
      </c>
      <c r="Q1950" s="2" t="s">
        <v>836</v>
      </c>
    </row>
    <row r="1951" spans="2:17" x14ac:dyDescent="0.25">
      <c r="B1951" s="2" t="s">
        <v>2756</v>
      </c>
      <c r="C1951" s="2" t="s">
        <v>244</v>
      </c>
      <c r="D1951" s="2" t="s">
        <v>245</v>
      </c>
      <c r="E1951" s="2" t="s">
        <v>237</v>
      </c>
      <c r="F1951" s="2" t="s">
        <v>537</v>
      </c>
      <c r="G1951" s="2" t="s">
        <v>480</v>
      </c>
      <c r="H1951" s="2" t="s">
        <v>481</v>
      </c>
      <c r="I1951" s="26">
        <v>45424</v>
      </c>
      <c r="J1951" s="2">
        <v>20</v>
      </c>
      <c r="K1951" s="2" t="s">
        <v>123</v>
      </c>
      <c r="L1951" s="22">
        <v>6650</v>
      </c>
      <c r="M1951" s="22">
        <v>133000</v>
      </c>
      <c r="N1951" s="18">
        <v>142.25</v>
      </c>
      <c r="O1951" s="26">
        <v>45604</v>
      </c>
      <c r="P1951" s="2" t="s">
        <v>2105</v>
      </c>
      <c r="Q1951" s="2" t="s">
        <v>836</v>
      </c>
    </row>
    <row r="1952" spans="2:17" x14ac:dyDescent="0.25">
      <c r="B1952" s="2" t="s">
        <v>2757</v>
      </c>
      <c r="C1952" s="2" t="s">
        <v>244</v>
      </c>
      <c r="D1952" s="2" t="s">
        <v>245</v>
      </c>
      <c r="E1952" s="2" t="s">
        <v>237</v>
      </c>
      <c r="F1952" s="2" t="s">
        <v>537</v>
      </c>
      <c r="G1952" s="2" t="s">
        <v>480</v>
      </c>
      <c r="H1952" s="2" t="s">
        <v>481</v>
      </c>
      <c r="I1952" s="26">
        <v>45443</v>
      </c>
      <c r="J1952" s="2">
        <v>20</v>
      </c>
      <c r="K1952" s="2" t="s">
        <v>123</v>
      </c>
      <c r="L1952" s="22">
        <v>6650</v>
      </c>
      <c r="M1952" s="22">
        <v>133000</v>
      </c>
      <c r="N1952" s="18">
        <v>142.25</v>
      </c>
      <c r="O1952" s="26">
        <v>45623</v>
      </c>
      <c r="P1952" s="2" t="s">
        <v>2105</v>
      </c>
      <c r="Q1952" s="2" t="s">
        <v>836</v>
      </c>
    </row>
    <row r="1953" spans="2:17" x14ac:dyDescent="0.25">
      <c r="B1953" s="2" t="s">
        <v>2758</v>
      </c>
      <c r="C1953" s="2" t="s">
        <v>244</v>
      </c>
      <c r="D1953" s="2" t="s">
        <v>245</v>
      </c>
      <c r="E1953" s="2" t="s">
        <v>237</v>
      </c>
      <c r="F1953" s="2" t="s">
        <v>535</v>
      </c>
      <c r="G1953" s="2" t="s">
        <v>475</v>
      </c>
      <c r="H1953" s="2" t="s">
        <v>476</v>
      </c>
      <c r="I1953" s="26">
        <v>45460</v>
      </c>
      <c r="J1953" s="2">
        <v>18</v>
      </c>
      <c r="K1953" s="2" t="s">
        <v>123</v>
      </c>
      <c r="L1953" s="22">
        <v>6450</v>
      </c>
      <c r="M1953" s="22">
        <v>116100</v>
      </c>
      <c r="N1953" s="18">
        <v>124.17</v>
      </c>
      <c r="O1953" s="26">
        <v>45640</v>
      </c>
      <c r="P1953" s="2" t="s">
        <v>2105</v>
      </c>
      <c r="Q1953" s="2" t="s">
        <v>806</v>
      </c>
    </row>
    <row r="1954" spans="2:17" x14ac:dyDescent="0.25">
      <c r="B1954" s="2" t="s">
        <v>2759</v>
      </c>
      <c r="C1954" s="2" t="s">
        <v>244</v>
      </c>
      <c r="D1954" s="2" t="s">
        <v>245</v>
      </c>
      <c r="E1954" s="2" t="s">
        <v>237</v>
      </c>
      <c r="F1954" s="2" t="s">
        <v>535</v>
      </c>
      <c r="G1954" s="2" t="s">
        <v>475</v>
      </c>
      <c r="H1954" s="2" t="s">
        <v>476</v>
      </c>
      <c r="I1954" s="26">
        <v>45487</v>
      </c>
      <c r="J1954" s="2">
        <v>20</v>
      </c>
      <c r="K1954" s="2" t="s">
        <v>123</v>
      </c>
      <c r="L1954" s="22">
        <v>6450</v>
      </c>
      <c r="M1954" s="22">
        <v>129000</v>
      </c>
      <c r="N1954" s="18">
        <v>137.97</v>
      </c>
      <c r="O1954" s="26">
        <v>45667</v>
      </c>
      <c r="P1954" s="2" t="s">
        <v>2105</v>
      </c>
      <c r="Q1954" s="2" t="s">
        <v>806</v>
      </c>
    </row>
    <row r="1955" spans="2:17" x14ac:dyDescent="0.25">
      <c r="B1955" s="2" t="s">
        <v>2760</v>
      </c>
      <c r="C1955" s="2" t="s">
        <v>244</v>
      </c>
      <c r="D1955" s="2" t="s">
        <v>245</v>
      </c>
      <c r="E1955" s="2" t="s">
        <v>237</v>
      </c>
      <c r="F1955" s="2" t="s">
        <v>535</v>
      </c>
      <c r="G1955" s="2" t="s">
        <v>475</v>
      </c>
      <c r="H1955" s="2" t="s">
        <v>476</v>
      </c>
      <c r="I1955" s="26">
        <v>45505</v>
      </c>
      <c r="J1955" s="2">
        <v>20</v>
      </c>
      <c r="K1955" s="2" t="s">
        <v>123</v>
      </c>
      <c r="L1955" s="22">
        <v>6450</v>
      </c>
      <c r="M1955" s="22">
        <v>129000</v>
      </c>
      <c r="N1955" s="18">
        <v>137.97</v>
      </c>
      <c r="O1955" s="26">
        <v>45685</v>
      </c>
      <c r="P1955" s="2" t="s">
        <v>2105</v>
      </c>
      <c r="Q1955" s="2" t="s">
        <v>806</v>
      </c>
    </row>
    <row r="1956" spans="2:17" x14ac:dyDescent="0.25">
      <c r="B1956" s="2" t="s">
        <v>2761</v>
      </c>
      <c r="C1956" s="2" t="s">
        <v>244</v>
      </c>
      <c r="D1956" s="2" t="s">
        <v>245</v>
      </c>
      <c r="E1956" s="2" t="s">
        <v>237</v>
      </c>
      <c r="F1956" s="2" t="s">
        <v>535</v>
      </c>
      <c r="G1956" s="2" t="s">
        <v>475</v>
      </c>
      <c r="H1956" s="2" t="s">
        <v>476</v>
      </c>
      <c r="I1956" s="26">
        <v>45521</v>
      </c>
      <c r="J1956" s="2">
        <v>21</v>
      </c>
      <c r="K1956" s="2" t="s">
        <v>123</v>
      </c>
      <c r="L1956" s="22">
        <v>6450</v>
      </c>
      <c r="M1956" s="22">
        <v>135450</v>
      </c>
      <c r="N1956" s="18">
        <v>144.87</v>
      </c>
      <c r="O1956" s="26">
        <v>45701</v>
      </c>
      <c r="P1956" s="2" t="s">
        <v>2105</v>
      </c>
      <c r="Q1956" s="2" t="s">
        <v>806</v>
      </c>
    </row>
    <row r="1957" spans="2:17" x14ac:dyDescent="0.25">
      <c r="B1957" s="2" t="s">
        <v>2762</v>
      </c>
      <c r="C1957" s="2" t="s">
        <v>244</v>
      </c>
      <c r="D1957" s="2" t="s">
        <v>245</v>
      </c>
      <c r="E1957" s="2" t="s">
        <v>237</v>
      </c>
      <c r="F1957" s="2" t="s">
        <v>537</v>
      </c>
      <c r="G1957" s="2" t="s">
        <v>480</v>
      </c>
      <c r="H1957" s="2" t="s">
        <v>481</v>
      </c>
      <c r="I1957" s="26">
        <v>45544</v>
      </c>
      <c r="J1957" s="2">
        <v>25</v>
      </c>
      <c r="K1957" s="2" t="s">
        <v>123</v>
      </c>
      <c r="L1957" s="22">
        <v>6650</v>
      </c>
      <c r="M1957" s="22">
        <v>166250</v>
      </c>
      <c r="N1957" s="18">
        <v>177.81</v>
      </c>
      <c r="O1957" s="26">
        <v>45724</v>
      </c>
      <c r="P1957" s="2" t="s">
        <v>2105</v>
      </c>
      <c r="Q1957" s="2" t="s">
        <v>814</v>
      </c>
    </row>
    <row r="1958" spans="2:17" x14ac:dyDescent="0.25">
      <c r="B1958" s="2" t="s">
        <v>2763</v>
      </c>
      <c r="C1958" s="2" t="s">
        <v>244</v>
      </c>
      <c r="D1958" s="2" t="s">
        <v>245</v>
      </c>
      <c r="E1958" s="2" t="s">
        <v>237</v>
      </c>
      <c r="F1958" s="2" t="s">
        <v>537</v>
      </c>
      <c r="G1958" s="2" t="s">
        <v>480</v>
      </c>
      <c r="H1958" s="2" t="s">
        <v>481</v>
      </c>
      <c r="I1958" s="26">
        <v>45570</v>
      </c>
      <c r="J1958" s="2">
        <v>21</v>
      </c>
      <c r="K1958" s="2" t="s">
        <v>123</v>
      </c>
      <c r="L1958" s="22">
        <v>6650</v>
      </c>
      <c r="M1958" s="22">
        <v>139650</v>
      </c>
      <c r="N1958" s="18">
        <v>149.36000000000001</v>
      </c>
      <c r="O1958" s="26">
        <v>45750</v>
      </c>
      <c r="P1958" s="2" t="s">
        <v>2105</v>
      </c>
      <c r="Q1958" s="2" t="s">
        <v>814</v>
      </c>
    </row>
    <row r="1959" spans="2:17" x14ac:dyDescent="0.25">
      <c r="B1959" s="2" t="s">
        <v>2764</v>
      </c>
      <c r="C1959" s="2" t="s">
        <v>244</v>
      </c>
      <c r="D1959" s="2" t="s">
        <v>245</v>
      </c>
      <c r="E1959" s="2" t="s">
        <v>237</v>
      </c>
      <c r="F1959" s="2" t="s">
        <v>535</v>
      </c>
      <c r="G1959" s="2" t="s">
        <v>475</v>
      </c>
      <c r="H1959" s="2" t="s">
        <v>476</v>
      </c>
      <c r="I1959" s="26">
        <v>45593</v>
      </c>
      <c r="J1959" s="2">
        <v>20</v>
      </c>
      <c r="K1959" s="2" t="s">
        <v>123</v>
      </c>
      <c r="L1959" s="22">
        <v>6450</v>
      </c>
      <c r="M1959" s="22">
        <v>129000</v>
      </c>
      <c r="N1959" s="18">
        <v>137.97</v>
      </c>
      <c r="O1959" s="26">
        <v>45773</v>
      </c>
      <c r="P1959" s="2" t="s">
        <v>2105</v>
      </c>
      <c r="Q1959" s="2" t="s">
        <v>814</v>
      </c>
    </row>
    <row r="1960" spans="2:17" x14ac:dyDescent="0.25">
      <c r="B1960" s="2" t="s">
        <v>2765</v>
      </c>
      <c r="C1960" s="2" t="s">
        <v>244</v>
      </c>
      <c r="D1960" s="2" t="s">
        <v>245</v>
      </c>
      <c r="E1960" s="2" t="s">
        <v>237</v>
      </c>
      <c r="F1960" s="2" t="s">
        <v>535</v>
      </c>
      <c r="G1960" s="2" t="s">
        <v>475</v>
      </c>
      <c r="H1960" s="2" t="s">
        <v>476</v>
      </c>
      <c r="I1960" s="26">
        <v>45618</v>
      </c>
      <c r="J1960" s="2">
        <v>18</v>
      </c>
      <c r="K1960" s="2" t="s">
        <v>123</v>
      </c>
      <c r="L1960" s="22">
        <v>6450</v>
      </c>
      <c r="M1960" s="22">
        <v>116100</v>
      </c>
      <c r="N1960" s="18">
        <v>124.17</v>
      </c>
      <c r="O1960" s="26">
        <v>45798</v>
      </c>
      <c r="P1960" s="2" t="s">
        <v>2105</v>
      </c>
      <c r="Q1960" s="2" t="s">
        <v>814</v>
      </c>
    </row>
    <row r="1961" spans="2:17" x14ac:dyDescent="0.25">
      <c r="B1961" s="2" t="s">
        <v>2766</v>
      </c>
      <c r="C1961" s="2" t="s">
        <v>244</v>
      </c>
      <c r="D1961" s="2" t="s">
        <v>245</v>
      </c>
      <c r="E1961" s="2" t="s">
        <v>237</v>
      </c>
      <c r="F1961" s="2" t="s">
        <v>535</v>
      </c>
      <c r="G1961" s="2" t="s">
        <v>475</v>
      </c>
      <c r="H1961" s="2" t="s">
        <v>476</v>
      </c>
      <c r="I1961" s="26">
        <v>45634</v>
      </c>
      <c r="J1961" s="2">
        <v>27</v>
      </c>
      <c r="K1961" s="2" t="s">
        <v>123</v>
      </c>
      <c r="L1961" s="22">
        <v>6450</v>
      </c>
      <c r="M1961" s="22">
        <v>174150</v>
      </c>
      <c r="N1961" s="18">
        <v>186.26</v>
      </c>
      <c r="O1961" s="26">
        <v>45814</v>
      </c>
      <c r="P1961" s="2" t="s">
        <v>2105</v>
      </c>
      <c r="Q1961" s="2" t="s">
        <v>825</v>
      </c>
    </row>
    <row r="1962" spans="2:17" x14ac:dyDescent="0.25">
      <c r="B1962" s="2" t="s">
        <v>2767</v>
      </c>
      <c r="C1962" s="2" t="s">
        <v>244</v>
      </c>
      <c r="D1962" s="2" t="s">
        <v>245</v>
      </c>
      <c r="E1962" s="2" t="s">
        <v>237</v>
      </c>
      <c r="F1962" s="2" t="s">
        <v>537</v>
      </c>
      <c r="G1962" s="2" t="s">
        <v>480</v>
      </c>
      <c r="H1962" s="2" t="s">
        <v>481</v>
      </c>
      <c r="I1962" s="26">
        <v>45654</v>
      </c>
      <c r="J1962" s="2">
        <v>24</v>
      </c>
      <c r="K1962" s="2" t="s">
        <v>123</v>
      </c>
      <c r="L1962" s="22">
        <v>6650</v>
      </c>
      <c r="M1962" s="22">
        <v>159600</v>
      </c>
      <c r="N1962" s="18">
        <v>170.7</v>
      </c>
      <c r="O1962" s="26">
        <v>45834</v>
      </c>
      <c r="P1962" s="2" t="s">
        <v>2105</v>
      </c>
      <c r="Q1962" s="2" t="s">
        <v>825</v>
      </c>
    </row>
    <row r="1963" spans="2:17" x14ac:dyDescent="0.25">
      <c r="B1963" s="2" t="s">
        <v>2768</v>
      </c>
      <c r="C1963" s="2" t="s">
        <v>244</v>
      </c>
      <c r="D1963" s="2" t="s">
        <v>245</v>
      </c>
      <c r="E1963" s="2" t="s">
        <v>237</v>
      </c>
      <c r="F1963" s="2" t="s">
        <v>537</v>
      </c>
      <c r="G1963" s="2" t="s">
        <v>480</v>
      </c>
      <c r="H1963" s="2" t="s">
        <v>481</v>
      </c>
      <c r="I1963" s="26">
        <v>45671</v>
      </c>
      <c r="J1963" s="2">
        <v>22</v>
      </c>
      <c r="K1963" s="2" t="s">
        <v>123</v>
      </c>
      <c r="L1963" s="22">
        <v>6650</v>
      </c>
      <c r="M1963" s="22">
        <v>146300</v>
      </c>
      <c r="N1963" s="18">
        <v>156.47</v>
      </c>
      <c r="O1963" s="26">
        <v>45851</v>
      </c>
      <c r="P1963" s="2" t="s">
        <v>2105</v>
      </c>
      <c r="Q1963" s="2" t="s">
        <v>825</v>
      </c>
    </row>
    <row r="1964" spans="2:17" x14ac:dyDescent="0.25">
      <c r="B1964" s="2" t="s">
        <v>2769</v>
      </c>
      <c r="C1964" s="2" t="s">
        <v>244</v>
      </c>
      <c r="D1964" s="2" t="s">
        <v>245</v>
      </c>
      <c r="E1964" s="2" t="s">
        <v>237</v>
      </c>
      <c r="F1964" s="2" t="s">
        <v>535</v>
      </c>
      <c r="G1964" s="2" t="s">
        <v>475</v>
      </c>
      <c r="H1964" s="2" t="s">
        <v>476</v>
      </c>
      <c r="I1964" s="26">
        <v>45690</v>
      </c>
      <c r="J1964" s="2">
        <v>21</v>
      </c>
      <c r="K1964" s="2" t="s">
        <v>123</v>
      </c>
      <c r="L1964" s="22">
        <v>6450</v>
      </c>
      <c r="M1964" s="22">
        <v>135450</v>
      </c>
      <c r="N1964" s="18">
        <v>144.87</v>
      </c>
      <c r="O1964" s="26">
        <v>45870</v>
      </c>
      <c r="P1964" s="2" t="s">
        <v>2105</v>
      </c>
      <c r="Q1964" s="2" t="s">
        <v>825</v>
      </c>
    </row>
    <row r="1965" spans="2:17" x14ac:dyDescent="0.25">
      <c r="B1965" s="2" t="s">
        <v>2770</v>
      </c>
      <c r="C1965" s="2" t="s">
        <v>244</v>
      </c>
      <c r="D1965" s="2" t="s">
        <v>245</v>
      </c>
      <c r="E1965" s="2" t="s">
        <v>237</v>
      </c>
      <c r="F1965" s="2" t="s">
        <v>537</v>
      </c>
      <c r="G1965" s="2" t="s">
        <v>480</v>
      </c>
      <c r="H1965" s="2" t="s">
        <v>481</v>
      </c>
      <c r="I1965" s="26">
        <v>45710</v>
      </c>
      <c r="J1965" s="2">
        <v>23</v>
      </c>
      <c r="K1965" s="2" t="s">
        <v>123</v>
      </c>
      <c r="L1965" s="22">
        <v>6650</v>
      </c>
      <c r="M1965" s="22">
        <v>152950</v>
      </c>
      <c r="N1965" s="18">
        <v>163.58000000000001</v>
      </c>
      <c r="O1965" s="26">
        <v>45890</v>
      </c>
      <c r="P1965" s="2" t="s">
        <v>2105</v>
      </c>
      <c r="Q1965" s="2" t="s">
        <v>825</v>
      </c>
    </row>
    <row r="1966" spans="2:17" x14ac:dyDescent="0.25">
      <c r="B1966" s="2" t="s">
        <v>2771</v>
      </c>
      <c r="C1966" s="2" t="s">
        <v>244</v>
      </c>
      <c r="D1966" s="2" t="s">
        <v>245</v>
      </c>
      <c r="E1966" s="2" t="s">
        <v>237</v>
      </c>
      <c r="F1966" s="2" t="s">
        <v>535</v>
      </c>
      <c r="G1966" s="2" t="s">
        <v>475</v>
      </c>
      <c r="H1966" s="2" t="s">
        <v>476</v>
      </c>
      <c r="I1966" s="26">
        <v>45724</v>
      </c>
      <c r="J1966" s="2">
        <v>24</v>
      </c>
      <c r="K1966" s="2" t="s">
        <v>123</v>
      </c>
      <c r="L1966" s="22">
        <v>6450</v>
      </c>
      <c r="M1966" s="22">
        <v>154800</v>
      </c>
      <c r="N1966" s="18">
        <v>165.56</v>
      </c>
      <c r="O1966" s="26">
        <v>45904</v>
      </c>
      <c r="P1966" s="2" t="s">
        <v>2105</v>
      </c>
      <c r="Q1966" s="2" t="s">
        <v>836</v>
      </c>
    </row>
    <row r="1967" spans="2:17" x14ac:dyDescent="0.25">
      <c r="B1967" s="2" t="s">
        <v>2772</v>
      </c>
      <c r="C1967" s="2" t="s">
        <v>244</v>
      </c>
      <c r="D1967" s="2" t="s">
        <v>245</v>
      </c>
      <c r="E1967" s="2" t="s">
        <v>237</v>
      </c>
      <c r="F1967" s="2" t="s">
        <v>537</v>
      </c>
      <c r="G1967" s="2" t="s">
        <v>480</v>
      </c>
      <c r="H1967" s="2" t="s">
        <v>481</v>
      </c>
      <c r="I1967" s="26">
        <v>45741</v>
      </c>
      <c r="J1967" s="2">
        <v>21</v>
      </c>
      <c r="K1967" s="2" t="s">
        <v>123</v>
      </c>
      <c r="L1967" s="22">
        <v>6650</v>
      </c>
      <c r="M1967" s="22">
        <v>139650</v>
      </c>
      <c r="N1967" s="18">
        <v>149.36000000000001</v>
      </c>
      <c r="O1967" s="26">
        <v>45921</v>
      </c>
      <c r="P1967" s="2" t="s">
        <v>2105</v>
      </c>
      <c r="Q1967" s="2" t="s">
        <v>836</v>
      </c>
    </row>
    <row r="1968" spans="2:17" x14ac:dyDescent="0.25">
      <c r="B1968" s="2" t="s">
        <v>2773</v>
      </c>
      <c r="C1968" s="2" t="s">
        <v>244</v>
      </c>
      <c r="D1968" s="2" t="s">
        <v>245</v>
      </c>
      <c r="E1968" s="2" t="s">
        <v>237</v>
      </c>
      <c r="F1968" s="2" t="s">
        <v>535</v>
      </c>
      <c r="G1968" s="2" t="s">
        <v>475</v>
      </c>
      <c r="H1968" s="2" t="s">
        <v>476</v>
      </c>
      <c r="I1968" s="26">
        <v>45763</v>
      </c>
      <c r="J1968" s="2">
        <v>19</v>
      </c>
      <c r="K1968" s="2" t="s">
        <v>123</v>
      </c>
      <c r="L1968" s="22">
        <v>6450</v>
      </c>
      <c r="M1968" s="22">
        <v>122550</v>
      </c>
      <c r="N1968" s="18">
        <v>131.07</v>
      </c>
      <c r="O1968" s="26">
        <v>45943</v>
      </c>
      <c r="P1968" s="2" t="s">
        <v>2105</v>
      </c>
      <c r="Q1968" s="2" t="s">
        <v>836</v>
      </c>
    </row>
    <row r="1969" spans="2:17" x14ac:dyDescent="0.25">
      <c r="B1969" s="2" t="s">
        <v>2774</v>
      </c>
      <c r="C1969" s="2" t="s">
        <v>244</v>
      </c>
      <c r="D1969" s="2" t="s">
        <v>245</v>
      </c>
      <c r="E1969" s="2" t="s">
        <v>237</v>
      </c>
      <c r="F1969" s="2" t="s">
        <v>537</v>
      </c>
      <c r="G1969" s="2" t="s">
        <v>480</v>
      </c>
      <c r="H1969" s="2" t="s">
        <v>481</v>
      </c>
      <c r="I1969" s="26">
        <v>45784</v>
      </c>
      <c r="J1969" s="2">
        <v>25</v>
      </c>
      <c r="K1969" s="2" t="s">
        <v>123</v>
      </c>
      <c r="L1969" s="22">
        <v>6650</v>
      </c>
      <c r="M1969" s="22">
        <v>166250</v>
      </c>
      <c r="N1969" s="18">
        <v>177.81</v>
      </c>
      <c r="O1969" s="26">
        <v>45964</v>
      </c>
      <c r="P1969" s="2" t="s">
        <v>2105</v>
      </c>
      <c r="Q1969" s="2" t="s">
        <v>836</v>
      </c>
    </row>
    <row r="1970" spans="2:17" x14ac:dyDescent="0.25">
      <c r="B1970" s="2" t="s">
        <v>2775</v>
      </c>
      <c r="C1970" s="2" t="s">
        <v>244</v>
      </c>
      <c r="D1970" s="2" t="s">
        <v>245</v>
      </c>
      <c r="E1970" s="2" t="s">
        <v>237</v>
      </c>
      <c r="F1970" s="2" t="s">
        <v>535</v>
      </c>
      <c r="G1970" s="2" t="s">
        <v>475</v>
      </c>
      <c r="H1970" s="2" t="s">
        <v>476</v>
      </c>
      <c r="I1970" s="26">
        <v>45804</v>
      </c>
      <c r="J1970" s="2">
        <v>22</v>
      </c>
      <c r="K1970" s="2" t="s">
        <v>123</v>
      </c>
      <c r="L1970" s="22">
        <v>6450</v>
      </c>
      <c r="M1970" s="22">
        <v>141900</v>
      </c>
      <c r="N1970" s="18">
        <v>151.76</v>
      </c>
      <c r="O1970" s="26">
        <v>45984</v>
      </c>
      <c r="P1970" s="2" t="s">
        <v>2105</v>
      </c>
      <c r="Q1970" s="2" t="s">
        <v>836</v>
      </c>
    </row>
    <row r="1971" spans="2:17" x14ac:dyDescent="0.25">
      <c r="B1971" s="2" t="s">
        <v>2776</v>
      </c>
      <c r="C1971" s="2" t="s">
        <v>244</v>
      </c>
      <c r="D1971" s="2" t="s">
        <v>245</v>
      </c>
      <c r="E1971" s="2" t="s">
        <v>237</v>
      </c>
      <c r="F1971" s="2" t="s">
        <v>535</v>
      </c>
      <c r="G1971" s="2" t="s">
        <v>475</v>
      </c>
      <c r="H1971" s="2" t="s">
        <v>476</v>
      </c>
      <c r="I1971" s="26">
        <v>45826</v>
      </c>
      <c r="J1971" s="2">
        <v>20</v>
      </c>
      <c r="K1971" s="2" t="s">
        <v>123</v>
      </c>
      <c r="L1971" s="22">
        <v>6450</v>
      </c>
      <c r="M1971" s="22">
        <v>129000</v>
      </c>
      <c r="N1971" s="18">
        <v>137.97</v>
      </c>
      <c r="O1971" s="26">
        <v>46006</v>
      </c>
      <c r="P1971" s="2" t="s">
        <v>2105</v>
      </c>
      <c r="Q1971" s="2" t="s">
        <v>806</v>
      </c>
    </row>
    <row r="1972" spans="2:17" x14ac:dyDescent="0.25">
      <c r="B1972" s="2" t="s">
        <v>2777</v>
      </c>
      <c r="C1972" s="2" t="s">
        <v>246</v>
      </c>
      <c r="D1972" s="2" t="s">
        <v>247</v>
      </c>
      <c r="E1972" s="2" t="s">
        <v>237</v>
      </c>
      <c r="F1972" s="2" t="s">
        <v>535</v>
      </c>
      <c r="G1972" s="2" t="s">
        <v>475</v>
      </c>
      <c r="H1972" s="2" t="s">
        <v>476</v>
      </c>
      <c r="I1972" s="26">
        <v>45127</v>
      </c>
      <c r="J1972" s="2">
        <v>36</v>
      </c>
      <c r="K1972" s="2" t="s">
        <v>123</v>
      </c>
      <c r="L1972" s="22">
        <v>7700</v>
      </c>
      <c r="M1972" s="22">
        <v>277200</v>
      </c>
      <c r="N1972" s="18">
        <v>296.47000000000003</v>
      </c>
      <c r="O1972" s="26">
        <v>45307</v>
      </c>
      <c r="P1972" s="2" t="s">
        <v>2105</v>
      </c>
      <c r="Q1972" s="2" t="s">
        <v>806</v>
      </c>
    </row>
    <row r="1973" spans="2:17" x14ac:dyDescent="0.25">
      <c r="B1973" s="2" t="s">
        <v>2778</v>
      </c>
      <c r="C1973" s="2" t="s">
        <v>246</v>
      </c>
      <c r="D1973" s="2" t="s">
        <v>247</v>
      </c>
      <c r="E1973" s="2" t="s">
        <v>237</v>
      </c>
      <c r="F1973" s="2" t="s">
        <v>535</v>
      </c>
      <c r="G1973" s="2" t="s">
        <v>475</v>
      </c>
      <c r="H1973" s="2" t="s">
        <v>476</v>
      </c>
      <c r="I1973" s="26">
        <v>45145</v>
      </c>
      <c r="J1973" s="2">
        <v>30</v>
      </c>
      <c r="K1973" s="2" t="s">
        <v>123</v>
      </c>
      <c r="L1973" s="22">
        <v>7700</v>
      </c>
      <c r="M1973" s="22">
        <v>231000</v>
      </c>
      <c r="N1973" s="18">
        <v>247.06</v>
      </c>
      <c r="O1973" s="26">
        <v>45325</v>
      </c>
      <c r="P1973" s="2" t="s">
        <v>2105</v>
      </c>
      <c r="Q1973" s="2" t="s">
        <v>806</v>
      </c>
    </row>
    <row r="1974" spans="2:17" x14ac:dyDescent="0.25">
      <c r="B1974" s="2" t="s">
        <v>2779</v>
      </c>
      <c r="C1974" s="2" t="s">
        <v>246</v>
      </c>
      <c r="D1974" s="2" t="s">
        <v>247</v>
      </c>
      <c r="E1974" s="2" t="s">
        <v>237</v>
      </c>
      <c r="F1974" s="2" t="s">
        <v>535</v>
      </c>
      <c r="G1974" s="2" t="s">
        <v>475</v>
      </c>
      <c r="H1974" s="2" t="s">
        <v>476</v>
      </c>
      <c r="I1974" s="26">
        <v>45170</v>
      </c>
      <c r="J1974" s="2">
        <v>37</v>
      </c>
      <c r="K1974" s="2" t="s">
        <v>123</v>
      </c>
      <c r="L1974" s="22">
        <v>7700</v>
      </c>
      <c r="M1974" s="22">
        <v>284900</v>
      </c>
      <c r="N1974" s="18">
        <v>304.70999999999998</v>
      </c>
      <c r="O1974" s="26">
        <v>45350</v>
      </c>
      <c r="P1974" s="2" t="s">
        <v>2105</v>
      </c>
      <c r="Q1974" s="2" t="s">
        <v>814</v>
      </c>
    </row>
    <row r="1975" spans="2:17" x14ac:dyDescent="0.25">
      <c r="B1975" s="2" t="s">
        <v>2780</v>
      </c>
      <c r="C1975" s="2" t="s">
        <v>246</v>
      </c>
      <c r="D1975" s="2" t="s">
        <v>247</v>
      </c>
      <c r="E1975" s="2" t="s">
        <v>237</v>
      </c>
      <c r="F1975" s="2" t="s">
        <v>535</v>
      </c>
      <c r="G1975" s="2" t="s">
        <v>475</v>
      </c>
      <c r="H1975" s="2" t="s">
        <v>476</v>
      </c>
      <c r="I1975" s="26">
        <v>45193</v>
      </c>
      <c r="J1975" s="2">
        <v>38</v>
      </c>
      <c r="K1975" s="2" t="s">
        <v>123</v>
      </c>
      <c r="L1975" s="22">
        <v>7700</v>
      </c>
      <c r="M1975" s="22">
        <v>292600</v>
      </c>
      <c r="N1975" s="18">
        <v>312.94</v>
      </c>
      <c r="O1975" s="26">
        <v>45373</v>
      </c>
      <c r="P1975" s="2" t="s">
        <v>2105</v>
      </c>
      <c r="Q1975" s="2" t="s">
        <v>814</v>
      </c>
    </row>
    <row r="1976" spans="2:17" x14ac:dyDescent="0.25">
      <c r="B1976" s="2" t="s">
        <v>2781</v>
      </c>
      <c r="C1976" s="2" t="s">
        <v>246</v>
      </c>
      <c r="D1976" s="2" t="s">
        <v>247</v>
      </c>
      <c r="E1976" s="2" t="s">
        <v>237</v>
      </c>
      <c r="F1976" s="2" t="s">
        <v>535</v>
      </c>
      <c r="G1976" s="2" t="s">
        <v>475</v>
      </c>
      <c r="H1976" s="2" t="s">
        <v>476</v>
      </c>
      <c r="I1976" s="26">
        <v>45213</v>
      </c>
      <c r="J1976" s="2">
        <v>13</v>
      </c>
      <c r="K1976" s="2" t="s">
        <v>123</v>
      </c>
      <c r="L1976" s="22">
        <v>7700</v>
      </c>
      <c r="M1976" s="22">
        <v>100100</v>
      </c>
      <c r="N1976" s="18">
        <v>107.06</v>
      </c>
      <c r="O1976" s="26">
        <v>45393</v>
      </c>
      <c r="P1976" s="2" t="s">
        <v>2105</v>
      </c>
      <c r="Q1976" s="2" t="s">
        <v>814</v>
      </c>
    </row>
    <row r="1977" spans="2:17" x14ac:dyDescent="0.25">
      <c r="B1977" s="2" t="s">
        <v>2782</v>
      </c>
      <c r="C1977" s="2" t="s">
        <v>246</v>
      </c>
      <c r="D1977" s="2" t="s">
        <v>247</v>
      </c>
      <c r="E1977" s="2" t="s">
        <v>237</v>
      </c>
      <c r="F1977" s="2" t="s">
        <v>535</v>
      </c>
      <c r="G1977" s="2" t="s">
        <v>475</v>
      </c>
      <c r="H1977" s="2" t="s">
        <v>476</v>
      </c>
      <c r="I1977" s="26">
        <v>45229</v>
      </c>
      <c r="J1977" s="2">
        <v>12</v>
      </c>
      <c r="K1977" s="2" t="s">
        <v>123</v>
      </c>
      <c r="L1977" s="22">
        <v>7700</v>
      </c>
      <c r="M1977" s="22">
        <v>92400</v>
      </c>
      <c r="N1977" s="18">
        <v>98.82</v>
      </c>
      <c r="O1977" s="26">
        <v>45409</v>
      </c>
      <c r="P1977" s="2" t="s">
        <v>2105</v>
      </c>
      <c r="Q1977" s="2" t="s">
        <v>814</v>
      </c>
    </row>
    <row r="1978" spans="2:17" x14ac:dyDescent="0.25">
      <c r="B1978" s="2" t="s">
        <v>2783</v>
      </c>
      <c r="C1978" s="2" t="s">
        <v>246</v>
      </c>
      <c r="D1978" s="2" t="s">
        <v>247</v>
      </c>
      <c r="E1978" s="2" t="s">
        <v>237</v>
      </c>
      <c r="F1978" s="2" t="s">
        <v>535</v>
      </c>
      <c r="G1978" s="2" t="s">
        <v>475</v>
      </c>
      <c r="H1978" s="2" t="s">
        <v>476</v>
      </c>
      <c r="I1978" s="26">
        <v>45245</v>
      </c>
      <c r="J1978" s="2">
        <v>11</v>
      </c>
      <c r="K1978" s="2" t="s">
        <v>123</v>
      </c>
      <c r="L1978" s="22">
        <v>7700</v>
      </c>
      <c r="M1978" s="22">
        <v>84700</v>
      </c>
      <c r="N1978" s="18">
        <v>90.59</v>
      </c>
      <c r="O1978" s="26">
        <v>45425</v>
      </c>
      <c r="P1978" s="2" t="s">
        <v>2105</v>
      </c>
      <c r="Q1978" s="2" t="s">
        <v>814</v>
      </c>
    </row>
    <row r="1979" spans="2:17" x14ac:dyDescent="0.25">
      <c r="B1979" s="2" t="s">
        <v>2784</v>
      </c>
      <c r="C1979" s="2" t="s">
        <v>246</v>
      </c>
      <c r="D1979" s="2" t="s">
        <v>247</v>
      </c>
      <c r="E1979" s="2" t="s">
        <v>237</v>
      </c>
      <c r="F1979" s="2" t="s">
        <v>535</v>
      </c>
      <c r="G1979" s="2" t="s">
        <v>475</v>
      </c>
      <c r="H1979" s="2" t="s">
        <v>476</v>
      </c>
      <c r="I1979" s="26">
        <v>45268</v>
      </c>
      <c r="J1979" s="2">
        <v>16</v>
      </c>
      <c r="K1979" s="2" t="s">
        <v>123</v>
      </c>
      <c r="L1979" s="22">
        <v>7700</v>
      </c>
      <c r="M1979" s="22">
        <v>123200</v>
      </c>
      <c r="N1979" s="18">
        <v>131.76</v>
      </c>
      <c r="O1979" s="26">
        <v>45448</v>
      </c>
      <c r="P1979" s="2" t="s">
        <v>2105</v>
      </c>
      <c r="Q1979" s="2" t="s">
        <v>825</v>
      </c>
    </row>
    <row r="1980" spans="2:17" x14ac:dyDescent="0.25">
      <c r="B1980" s="2" t="s">
        <v>2785</v>
      </c>
      <c r="C1980" s="2" t="s">
        <v>246</v>
      </c>
      <c r="D1980" s="2" t="s">
        <v>247</v>
      </c>
      <c r="E1980" s="2" t="s">
        <v>237</v>
      </c>
      <c r="F1980" s="2" t="s">
        <v>535</v>
      </c>
      <c r="G1980" s="2" t="s">
        <v>475</v>
      </c>
      <c r="H1980" s="2" t="s">
        <v>476</v>
      </c>
      <c r="I1980" s="26">
        <v>45290</v>
      </c>
      <c r="J1980" s="2">
        <v>16</v>
      </c>
      <c r="K1980" s="2" t="s">
        <v>123</v>
      </c>
      <c r="L1980" s="22">
        <v>7700</v>
      </c>
      <c r="M1980" s="22">
        <v>123200</v>
      </c>
      <c r="N1980" s="18">
        <v>131.76</v>
      </c>
      <c r="O1980" s="26">
        <v>45470</v>
      </c>
      <c r="P1980" s="2" t="s">
        <v>2105</v>
      </c>
      <c r="Q1980" s="2" t="s">
        <v>825</v>
      </c>
    </row>
    <row r="1981" spans="2:17" x14ac:dyDescent="0.25">
      <c r="B1981" s="2" t="s">
        <v>2786</v>
      </c>
      <c r="C1981" s="2" t="s">
        <v>246</v>
      </c>
      <c r="D1981" s="2" t="s">
        <v>247</v>
      </c>
      <c r="E1981" s="2" t="s">
        <v>237</v>
      </c>
      <c r="F1981" s="2" t="s">
        <v>535</v>
      </c>
      <c r="G1981" s="2" t="s">
        <v>475</v>
      </c>
      <c r="H1981" s="2" t="s">
        <v>476</v>
      </c>
      <c r="I1981" s="26">
        <v>45313</v>
      </c>
      <c r="J1981" s="2">
        <v>11</v>
      </c>
      <c r="K1981" s="2" t="s">
        <v>123</v>
      </c>
      <c r="L1981" s="22">
        <v>7700</v>
      </c>
      <c r="M1981" s="22">
        <v>84700</v>
      </c>
      <c r="N1981" s="18">
        <v>90.59</v>
      </c>
      <c r="O1981" s="26">
        <v>45493</v>
      </c>
      <c r="P1981" s="2" t="s">
        <v>2105</v>
      </c>
      <c r="Q1981" s="2" t="s">
        <v>825</v>
      </c>
    </row>
    <row r="1982" spans="2:17" x14ac:dyDescent="0.25">
      <c r="B1982" s="2" t="s">
        <v>2787</v>
      </c>
      <c r="C1982" s="2" t="s">
        <v>246</v>
      </c>
      <c r="D1982" s="2" t="s">
        <v>247</v>
      </c>
      <c r="E1982" s="2" t="s">
        <v>237</v>
      </c>
      <c r="F1982" s="2" t="s">
        <v>535</v>
      </c>
      <c r="G1982" s="2" t="s">
        <v>475</v>
      </c>
      <c r="H1982" s="2" t="s">
        <v>476</v>
      </c>
      <c r="I1982" s="26">
        <v>45334</v>
      </c>
      <c r="J1982" s="2">
        <v>13</v>
      </c>
      <c r="K1982" s="2" t="s">
        <v>123</v>
      </c>
      <c r="L1982" s="22">
        <v>7700</v>
      </c>
      <c r="M1982" s="22">
        <v>100100</v>
      </c>
      <c r="N1982" s="18">
        <v>107.06</v>
      </c>
      <c r="O1982" s="26">
        <v>45514</v>
      </c>
      <c r="P1982" s="2" t="s">
        <v>2105</v>
      </c>
      <c r="Q1982" s="2" t="s">
        <v>825</v>
      </c>
    </row>
    <row r="1983" spans="2:17" x14ac:dyDescent="0.25">
      <c r="B1983" s="2" t="s">
        <v>2788</v>
      </c>
      <c r="C1983" s="2" t="s">
        <v>246</v>
      </c>
      <c r="D1983" s="2" t="s">
        <v>247</v>
      </c>
      <c r="E1983" s="2" t="s">
        <v>237</v>
      </c>
      <c r="F1983" s="2" t="s">
        <v>535</v>
      </c>
      <c r="G1983" s="2" t="s">
        <v>475</v>
      </c>
      <c r="H1983" s="2" t="s">
        <v>476</v>
      </c>
      <c r="I1983" s="26">
        <v>45350</v>
      </c>
      <c r="J1983" s="2">
        <v>13</v>
      </c>
      <c r="K1983" s="2" t="s">
        <v>123</v>
      </c>
      <c r="L1983" s="22">
        <v>7700</v>
      </c>
      <c r="M1983" s="22">
        <v>100100</v>
      </c>
      <c r="N1983" s="18">
        <v>107.06</v>
      </c>
      <c r="O1983" s="26">
        <v>45530</v>
      </c>
      <c r="P1983" s="2" t="s">
        <v>2105</v>
      </c>
      <c r="Q1983" s="2" t="s">
        <v>825</v>
      </c>
    </row>
    <row r="1984" spans="2:17" x14ac:dyDescent="0.25">
      <c r="B1984" s="2" t="s">
        <v>2789</v>
      </c>
      <c r="C1984" s="2" t="s">
        <v>246</v>
      </c>
      <c r="D1984" s="2" t="s">
        <v>247</v>
      </c>
      <c r="E1984" s="2" t="s">
        <v>237</v>
      </c>
      <c r="F1984" s="2" t="s">
        <v>535</v>
      </c>
      <c r="G1984" s="2" t="s">
        <v>475</v>
      </c>
      <c r="H1984" s="2" t="s">
        <v>476</v>
      </c>
      <c r="I1984" s="26">
        <v>45368</v>
      </c>
      <c r="J1984" s="2">
        <v>13</v>
      </c>
      <c r="K1984" s="2" t="s">
        <v>123</v>
      </c>
      <c r="L1984" s="22">
        <v>7700</v>
      </c>
      <c r="M1984" s="22">
        <v>100100</v>
      </c>
      <c r="N1984" s="18">
        <v>107.06</v>
      </c>
      <c r="O1984" s="26">
        <v>45548</v>
      </c>
      <c r="P1984" s="2" t="s">
        <v>2105</v>
      </c>
      <c r="Q1984" s="2" t="s">
        <v>836</v>
      </c>
    </row>
    <row r="1985" spans="2:17" x14ac:dyDescent="0.25">
      <c r="B1985" s="2" t="s">
        <v>2790</v>
      </c>
      <c r="C1985" s="2" t="s">
        <v>246</v>
      </c>
      <c r="D1985" s="2" t="s">
        <v>247</v>
      </c>
      <c r="E1985" s="2" t="s">
        <v>237</v>
      </c>
      <c r="F1985" s="2" t="s">
        <v>537</v>
      </c>
      <c r="G1985" s="2" t="s">
        <v>480</v>
      </c>
      <c r="H1985" s="2" t="s">
        <v>481</v>
      </c>
      <c r="I1985" s="26">
        <v>45384</v>
      </c>
      <c r="J1985" s="2">
        <v>35</v>
      </c>
      <c r="K1985" s="2" t="s">
        <v>123</v>
      </c>
      <c r="L1985" s="22">
        <v>8200</v>
      </c>
      <c r="M1985" s="22">
        <v>287000</v>
      </c>
      <c r="N1985" s="18">
        <v>306.95</v>
      </c>
      <c r="O1985" s="26">
        <v>45564</v>
      </c>
      <c r="P1985" s="2" t="s">
        <v>2105</v>
      </c>
      <c r="Q1985" s="2" t="s">
        <v>836</v>
      </c>
    </row>
    <row r="1986" spans="2:17" x14ac:dyDescent="0.25">
      <c r="B1986" s="2" t="s">
        <v>2791</v>
      </c>
      <c r="C1986" s="2" t="s">
        <v>246</v>
      </c>
      <c r="D1986" s="2" t="s">
        <v>247</v>
      </c>
      <c r="E1986" s="2" t="s">
        <v>237</v>
      </c>
      <c r="F1986" s="2" t="s">
        <v>535</v>
      </c>
      <c r="G1986" s="2" t="s">
        <v>475</v>
      </c>
      <c r="H1986" s="2" t="s">
        <v>476</v>
      </c>
      <c r="I1986" s="26">
        <v>45403</v>
      </c>
      <c r="J1986" s="2">
        <v>30</v>
      </c>
      <c r="K1986" s="2" t="s">
        <v>123</v>
      </c>
      <c r="L1986" s="22">
        <v>7700</v>
      </c>
      <c r="M1986" s="22">
        <v>231000</v>
      </c>
      <c r="N1986" s="18">
        <v>247.06</v>
      </c>
      <c r="O1986" s="26">
        <v>45583</v>
      </c>
      <c r="P1986" s="2" t="s">
        <v>2105</v>
      </c>
      <c r="Q1986" s="2" t="s">
        <v>836</v>
      </c>
    </row>
    <row r="1987" spans="2:17" x14ac:dyDescent="0.25">
      <c r="B1987" s="2" t="s">
        <v>2792</v>
      </c>
      <c r="C1987" s="2" t="s">
        <v>246</v>
      </c>
      <c r="D1987" s="2" t="s">
        <v>247</v>
      </c>
      <c r="E1987" s="2" t="s">
        <v>237</v>
      </c>
      <c r="F1987" s="2" t="s">
        <v>535</v>
      </c>
      <c r="G1987" s="2" t="s">
        <v>475</v>
      </c>
      <c r="H1987" s="2" t="s">
        <v>476</v>
      </c>
      <c r="I1987" s="26">
        <v>45429</v>
      </c>
      <c r="J1987" s="2">
        <v>28</v>
      </c>
      <c r="K1987" s="2" t="s">
        <v>123</v>
      </c>
      <c r="L1987" s="22">
        <v>7700</v>
      </c>
      <c r="M1987" s="22">
        <v>215600</v>
      </c>
      <c r="N1987" s="18">
        <v>230.59</v>
      </c>
      <c r="O1987" s="26">
        <v>45609</v>
      </c>
      <c r="P1987" s="2" t="s">
        <v>2105</v>
      </c>
      <c r="Q1987" s="2" t="s">
        <v>836</v>
      </c>
    </row>
    <row r="1988" spans="2:17" x14ac:dyDescent="0.25">
      <c r="B1988" s="2" t="s">
        <v>2793</v>
      </c>
      <c r="C1988" s="2" t="s">
        <v>246</v>
      </c>
      <c r="D1988" s="2" t="s">
        <v>247</v>
      </c>
      <c r="E1988" s="2" t="s">
        <v>237</v>
      </c>
      <c r="F1988" s="2" t="s">
        <v>535</v>
      </c>
      <c r="G1988" s="2" t="s">
        <v>475</v>
      </c>
      <c r="H1988" s="2" t="s">
        <v>476</v>
      </c>
      <c r="I1988" s="26">
        <v>45448</v>
      </c>
      <c r="J1988" s="2">
        <v>31</v>
      </c>
      <c r="K1988" s="2" t="s">
        <v>123</v>
      </c>
      <c r="L1988" s="22">
        <v>7700</v>
      </c>
      <c r="M1988" s="22">
        <v>238700</v>
      </c>
      <c r="N1988" s="18">
        <v>255.29</v>
      </c>
      <c r="O1988" s="26">
        <v>45628</v>
      </c>
      <c r="P1988" s="2" t="s">
        <v>2105</v>
      </c>
      <c r="Q1988" s="2" t="s">
        <v>806</v>
      </c>
    </row>
    <row r="1989" spans="2:17" x14ac:dyDescent="0.25">
      <c r="B1989" s="2" t="s">
        <v>2794</v>
      </c>
      <c r="C1989" s="2" t="s">
        <v>246</v>
      </c>
      <c r="D1989" s="2" t="s">
        <v>247</v>
      </c>
      <c r="E1989" s="2" t="s">
        <v>237</v>
      </c>
      <c r="F1989" s="2" t="s">
        <v>535</v>
      </c>
      <c r="G1989" s="2" t="s">
        <v>475</v>
      </c>
      <c r="H1989" s="2" t="s">
        <v>476</v>
      </c>
      <c r="I1989" s="26">
        <v>45468</v>
      </c>
      <c r="J1989" s="2">
        <v>27</v>
      </c>
      <c r="K1989" s="2" t="s">
        <v>123</v>
      </c>
      <c r="L1989" s="22">
        <v>7700</v>
      </c>
      <c r="M1989" s="22">
        <v>207900</v>
      </c>
      <c r="N1989" s="18">
        <v>222.35</v>
      </c>
      <c r="O1989" s="26">
        <v>45648</v>
      </c>
      <c r="P1989" s="2" t="s">
        <v>2105</v>
      </c>
      <c r="Q1989" s="2" t="s">
        <v>806</v>
      </c>
    </row>
    <row r="1990" spans="2:17" x14ac:dyDescent="0.25">
      <c r="B1990" s="2" t="s">
        <v>2795</v>
      </c>
      <c r="C1990" s="2" t="s">
        <v>246</v>
      </c>
      <c r="D1990" s="2" t="s">
        <v>247</v>
      </c>
      <c r="E1990" s="2" t="s">
        <v>237</v>
      </c>
      <c r="F1990" s="2" t="s">
        <v>535</v>
      </c>
      <c r="G1990" s="2" t="s">
        <v>475</v>
      </c>
      <c r="H1990" s="2" t="s">
        <v>476</v>
      </c>
      <c r="I1990" s="26">
        <v>45487</v>
      </c>
      <c r="J1990" s="2">
        <v>28</v>
      </c>
      <c r="K1990" s="2" t="s">
        <v>123</v>
      </c>
      <c r="L1990" s="22">
        <v>7700</v>
      </c>
      <c r="M1990" s="22">
        <v>215600</v>
      </c>
      <c r="N1990" s="18">
        <v>230.59</v>
      </c>
      <c r="O1990" s="26">
        <v>45667</v>
      </c>
      <c r="P1990" s="2" t="s">
        <v>2105</v>
      </c>
      <c r="Q1990" s="2" t="s">
        <v>806</v>
      </c>
    </row>
    <row r="1991" spans="2:17" x14ac:dyDescent="0.25">
      <c r="B1991" s="2" t="s">
        <v>2796</v>
      </c>
      <c r="C1991" s="2" t="s">
        <v>246</v>
      </c>
      <c r="D1991" s="2" t="s">
        <v>247</v>
      </c>
      <c r="E1991" s="2" t="s">
        <v>237</v>
      </c>
      <c r="F1991" s="2" t="s">
        <v>535</v>
      </c>
      <c r="G1991" s="2" t="s">
        <v>475</v>
      </c>
      <c r="H1991" s="2" t="s">
        <v>476</v>
      </c>
      <c r="I1991" s="26">
        <v>45509</v>
      </c>
      <c r="J1991" s="2">
        <v>31</v>
      </c>
      <c r="K1991" s="2" t="s">
        <v>123</v>
      </c>
      <c r="L1991" s="22">
        <v>7700</v>
      </c>
      <c r="M1991" s="22">
        <v>238700</v>
      </c>
      <c r="N1991" s="18">
        <v>255.29</v>
      </c>
      <c r="O1991" s="26">
        <v>45689</v>
      </c>
      <c r="P1991" s="2" t="s">
        <v>2105</v>
      </c>
      <c r="Q1991" s="2" t="s">
        <v>806</v>
      </c>
    </row>
    <row r="1992" spans="2:17" x14ac:dyDescent="0.25">
      <c r="B1992" s="2" t="s">
        <v>2797</v>
      </c>
      <c r="C1992" s="2" t="s">
        <v>246</v>
      </c>
      <c r="D1992" s="2" t="s">
        <v>247</v>
      </c>
      <c r="E1992" s="2" t="s">
        <v>237</v>
      </c>
      <c r="F1992" s="2" t="s">
        <v>535</v>
      </c>
      <c r="G1992" s="2" t="s">
        <v>475</v>
      </c>
      <c r="H1992" s="2" t="s">
        <v>476</v>
      </c>
      <c r="I1992" s="26">
        <v>45532</v>
      </c>
      <c r="J1992" s="2">
        <v>35</v>
      </c>
      <c r="K1992" s="2" t="s">
        <v>123</v>
      </c>
      <c r="L1992" s="22">
        <v>7700</v>
      </c>
      <c r="M1992" s="22">
        <v>269500</v>
      </c>
      <c r="N1992" s="18">
        <v>288.24</v>
      </c>
      <c r="O1992" s="26">
        <v>45712</v>
      </c>
      <c r="P1992" s="2" t="s">
        <v>2105</v>
      </c>
      <c r="Q1992" s="2" t="s">
        <v>806</v>
      </c>
    </row>
    <row r="1993" spans="2:17" x14ac:dyDescent="0.25">
      <c r="B1993" s="2" t="s">
        <v>2798</v>
      </c>
      <c r="C1993" s="2" t="s">
        <v>246</v>
      </c>
      <c r="D1993" s="2" t="s">
        <v>247</v>
      </c>
      <c r="E1993" s="2" t="s">
        <v>237</v>
      </c>
      <c r="F1993" s="2" t="s">
        <v>537</v>
      </c>
      <c r="G1993" s="2" t="s">
        <v>480</v>
      </c>
      <c r="H1993" s="2" t="s">
        <v>481</v>
      </c>
      <c r="I1993" s="26">
        <v>45555</v>
      </c>
      <c r="J1993" s="2">
        <v>45</v>
      </c>
      <c r="K1993" s="2" t="s">
        <v>123</v>
      </c>
      <c r="L1993" s="22">
        <v>8200</v>
      </c>
      <c r="M1993" s="22">
        <v>369000</v>
      </c>
      <c r="N1993" s="18">
        <v>394.65</v>
      </c>
      <c r="O1993" s="26">
        <v>45735</v>
      </c>
      <c r="P1993" s="2" t="s">
        <v>2105</v>
      </c>
      <c r="Q1993" s="2" t="s">
        <v>814</v>
      </c>
    </row>
    <row r="1994" spans="2:17" x14ac:dyDescent="0.25">
      <c r="B1994" s="2" t="s">
        <v>2799</v>
      </c>
      <c r="C1994" s="2" t="s">
        <v>246</v>
      </c>
      <c r="D1994" s="2" t="s">
        <v>247</v>
      </c>
      <c r="E1994" s="2" t="s">
        <v>237</v>
      </c>
      <c r="F1994" s="2" t="s">
        <v>535</v>
      </c>
      <c r="G1994" s="2" t="s">
        <v>475</v>
      </c>
      <c r="H1994" s="2" t="s">
        <v>476</v>
      </c>
      <c r="I1994" s="26">
        <v>45578</v>
      </c>
      <c r="J1994" s="2">
        <v>13</v>
      </c>
      <c r="K1994" s="2" t="s">
        <v>123</v>
      </c>
      <c r="L1994" s="22">
        <v>7700</v>
      </c>
      <c r="M1994" s="22">
        <v>100100</v>
      </c>
      <c r="N1994" s="18">
        <v>107.06</v>
      </c>
      <c r="O1994" s="26">
        <v>45758</v>
      </c>
      <c r="P1994" s="2" t="s">
        <v>2105</v>
      </c>
      <c r="Q1994" s="2" t="s">
        <v>814</v>
      </c>
    </row>
    <row r="1995" spans="2:17" x14ac:dyDescent="0.25">
      <c r="B1995" s="2" t="s">
        <v>2800</v>
      </c>
      <c r="C1995" s="2" t="s">
        <v>246</v>
      </c>
      <c r="D1995" s="2" t="s">
        <v>247</v>
      </c>
      <c r="E1995" s="2" t="s">
        <v>237</v>
      </c>
      <c r="F1995" s="2" t="s">
        <v>537</v>
      </c>
      <c r="G1995" s="2" t="s">
        <v>480</v>
      </c>
      <c r="H1995" s="2" t="s">
        <v>481</v>
      </c>
      <c r="I1995" s="26">
        <v>45605</v>
      </c>
      <c r="J1995" s="2">
        <v>12</v>
      </c>
      <c r="K1995" s="2" t="s">
        <v>123</v>
      </c>
      <c r="L1995" s="22">
        <v>8200</v>
      </c>
      <c r="M1995" s="22">
        <v>98400</v>
      </c>
      <c r="N1995" s="18">
        <v>105.24</v>
      </c>
      <c r="O1995" s="26">
        <v>45785</v>
      </c>
      <c r="P1995" s="2" t="s">
        <v>2105</v>
      </c>
      <c r="Q1995" s="2" t="s">
        <v>814</v>
      </c>
    </row>
    <row r="1996" spans="2:17" x14ac:dyDescent="0.25">
      <c r="B1996" s="2" t="s">
        <v>2801</v>
      </c>
      <c r="C1996" s="2" t="s">
        <v>246</v>
      </c>
      <c r="D1996" s="2" t="s">
        <v>247</v>
      </c>
      <c r="E1996" s="2" t="s">
        <v>237</v>
      </c>
      <c r="F1996" s="2" t="s">
        <v>535</v>
      </c>
      <c r="G1996" s="2" t="s">
        <v>475</v>
      </c>
      <c r="H1996" s="2" t="s">
        <v>476</v>
      </c>
      <c r="I1996" s="26">
        <v>45627</v>
      </c>
      <c r="J1996" s="2">
        <v>14</v>
      </c>
      <c r="K1996" s="2" t="s">
        <v>123</v>
      </c>
      <c r="L1996" s="22">
        <v>7700</v>
      </c>
      <c r="M1996" s="22">
        <v>107800</v>
      </c>
      <c r="N1996" s="18">
        <v>115.29</v>
      </c>
      <c r="O1996" s="26">
        <v>45807</v>
      </c>
      <c r="P1996" s="2" t="s">
        <v>2105</v>
      </c>
      <c r="Q1996" s="2" t="s">
        <v>825</v>
      </c>
    </row>
    <row r="1997" spans="2:17" x14ac:dyDescent="0.25">
      <c r="B1997" s="2" t="s">
        <v>2802</v>
      </c>
      <c r="C1997" s="2" t="s">
        <v>246</v>
      </c>
      <c r="D1997" s="2" t="s">
        <v>247</v>
      </c>
      <c r="E1997" s="2" t="s">
        <v>237</v>
      </c>
      <c r="F1997" s="2" t="s">
        <v>535</v>
      </c>
      <c r="G1997" s="2" t="s">
        <v>475</v>
      </c>
      <c r="H1997" s="2" t="s">
        <v>476</v>
      </c>
      <c r="I1997" s="26">
        <v>45649</v>
      </c>
      <c r="J1997" s="2">
        <v>14</v>
      </c>
      <c r="K1997" s="2" t="s">
        <v>123</v>
      </c>
      <c r="L1997" s="22">
        <v>7700</v>
      </c>
      <c r="M1997" s="22">
        <v>107800</v>
      </c>
      <c r="N1997" s="18">
        <v>115.29</v>
      </c>
      <c r="O1997" s="26">
        <v>45829</v>
      </c>
      <c r="P1997" s="2" t="s">
        <v>2105</v>
      </c>
      <c r="Q1997" s="2" t="s">
        <v>825</v>
      </c>
    </row>
    <row r="1998" spans="2:17" x14ac:dyDescent="0.25">
      <c r="B1998" s="2" t="s">
        <v>2803</v>
      </c>
      <c r="C1998" s="2" t="s">
        <v>246</v>
      </c>
      <c r="D1998" s="2" t="s">
        <v>247</v>
      </c>
      <c r="E1998" s="2" t="s">
        <v>237</v>
      </c>
      <c r="F1998" s="2" t="s">
        <v>535</v>
      </c>
      <c r="G1998" s="2" t="s">
        <v>475</v>
      </c>
      <c r="H1998" s="2" t="s">
        <v>476</v>
      </c>
      <c r="I1998" s="26">
        <v>45673</v>
      </c>
      <c r="J1998" s="2">
        <v>11</v>
      </c>
      <c r="K1998" s="2" t="s">
        <v>123</v>
      </c>
      <c r="L1998" s="22">
        <v>7700</v>
      </c>
      <c r="M1998" s="22">
        <v>84700</v>
      </c>
      <c r="N1998" s="18">
        <v>90.59</v>
      </c>
      <c r="O1998" s="26">
        <v>45853</v>
      </c>
      <c r="P1998" s="2" t="s">
        <v>2105</v>
      </c>
      <c r="Q1998" s="2" t="s">
        <v>825</v>
      </c>
    </row>
    <row r="1999" spans="2:17" x14ac:dyDescent="0.25">
      <c r="B1999" s="2" t="s">
        <v>2804</v>
      </c>
      <c r="C1999" s="2" t="s">
        <v>246</v>
      </c>
      <c r="D1999" s="2" t="s">
        <v>247</v>
      </c>
      <c r="E1999" s="2" t="s">
        <v>237</v>
      </c>
      <c r="F1999" s="2" t="s">
        <v>535</v>
      </c>
      <c r="G1999" s="2" t="s">
        <v>475</v>
      </c>
      <c r="H1999" s="2" t="s">
        <v>476</v>
      </c>
      <c r="I1999" s="26">
        <v>45696</v>
      </c>
      <c r="J1999" s="2">
        <v>14</v>
      </c>
      <c r="K1999" s="2" t="s">
        <v>123</v>
      </c>
      <c r="L1999" s="22">
        <v>7700</v>
      </c>
      <c r="M1999" s="22">
        <v>107800</v>
      </c>
      <c r="N1999" s="18">
        <v>115.29</v>
      </c>
      <c r="O1999" s="26">
        <v>45876</v>
      </c>
      <c r="P1999" s="2" t="s">
        <v>2105</v>
      </c>
      <c r="Q1999" s="2" t="s">
        <v>825</v>
      </c>
    </row>
    <row r="2000" spans="2:17" x14ac:dyDescent="0.25">
      <c r="B2000" s="2" t="s">
        <v>2805</v>
      </c>
      <c r="C2000" s="2" t="s">
        <v>246</v>
      </c>
      <c r="D2000" s="2" t="s">
        <v>247</v>
      </c>
      <c r="E2000" s="2" t="s">
        <v>237</v>
      </c>
      <c r="F2000" s="2" t="s">
        <v>535</v>
      </c>
      <c r="G2000" s="2" t="s">
        <v>475</v>
      </c>
      <c r="H2000" s="2" t="s">
        <v>476</v>
      </c>
      <c r="I2000" s="26">
        <v>45711</v>
      </c>
      <c r="J2000" s="2">
        <v>13</v>
      </c>
      <c r="K2000" s="2" t="s">
        <v>123</v>
      </c>
      <c r="L2000" s="22">
        <v>7700</v>
      </c>
      <c r="M2000" s="22">
        <v>100100</v>
      </c>
      <c r="N2000" s="18">
        <v>107.06</v>
      </c>
      <c r="O2000" s="26">
        <v>45891</v>
      </c>
      <c r="P2000" s="2" t="s">
        <v>2105</v>
      </c>
      <c r="Q2000" s="2" t="s">
        <v>825</v>
      </c>
    </row>
    <row r="2001" spans="2:17" x14ac:dyDescent="0.25">
      <c r="B2001" s="2" t="s">
        <v>2806</v>
      </c>
      <c r="C2001" s="2" t="s">
        <v>246</v>
      </c>
      <c r="D2001" s="2" t="s">
        <v>247</v>
      </c>
      <c r="E2001" s="2" t="s">
        <v>237</v>
      </c>
      <c r="F2001" s="2" t="s">
        <v>535</v>
      </c>
      <c r="G2001" s="2" t="s">
        <v>475</v>
      </c>
      <c r="H2001" s="2" t="s">
        <v>476</v>
      </c>
      <c r="I2001" s="26">
        <v>45728</v>
      </c>
      <c r="J2001" s="2">
        <v>12</v>
      </c>
      <c r="K2001" s="2" t="s">
        <v>123</v>
      </c>
      <c r="L2001" s="22">
        <v>7700</v>
      </c>
      <c r="M2001" s="22">
        <v>92400</v>
      </c>
      <c r="N2001" s="18">
        <v>98.82</v>
      </c>
      <c r="O2001" s="26">
        <v>45908</v>
      </c>
      <c r="P2001" s="2" t="s">
        <v>2105</v>
      </c>
      <c r="Q2001" s="2" t="s">
        <v>836</v>
      </c>
    </row>
    <row r="2002" spans="2:17" x14ac:dyDescent="0.25">
      <c r="B2002" s="2" t="s">
        <v>2807</v>
      </c>
      <c r="C2002" s="2" t="s">
        <v>246</v>
      </c>
      <c r="D2002" s="2" t="s">
        <v>247</v>
      </c>
      <c r="E2002" s="2" t="s">
        <v>237</v>
      </c>
      <c r="F2002" s="2" t="s">
        <v>535</v>
      </c>
      <c r="G2002" s="2" t="s">
        <v>475</v>
      </c>
      <c r="H2002" s="2" t="s">
        <v>476</v>
      </c>
      <c r="I2002" s="26">
        <v>45745</v>
      </c>
      <c r="J2002" s="2">
        <v>12</v>
      </c>
      <c r="K2002" s="2" t="s">
        <v>123</v>
      </c>
      <c r="L2002" s="22">
        <v>7700</v>
      </c>
      <c r="M2002" s="22">
        <v>92400</v>
      </c>
      <c r="N2002" s="18">
        <v>98.82</v>
      </c>
      <c r="O2002" s="26">
        <v>45925</v>
      </c>
      <c r="P2002" s="2" t="s">
        <v>2105</v>
      </c>
      <c r="Q2002" s="2" t="s">
        <v>836</v>
      </c>
    </row>
    <row r="2003" spans="2:17" x14ac:dyDescent="0.25">
      <c r="B2003" s="2" t="s">
        <v>2808</v>
      </c>
      <c r="C2003" s="2" t="s">
        <v>246</v>
      </c>
      <c r="D2003" s="2" t="s">
        <v>247</v>
      </c>
      <c r="E2003" s="2" t="s">
        <v>237</v>
      </c>
      <c r="F2003" s="2" t="s">
        <v>535</v>
      </c>
      <c r="G2003" s="2" t="s">
        <v>475</v>
      </c>
      <c r="H2003" s="2" t="s">
        <v>476</v>
      </c>
      <c r="I2003" s="26">
        <v>45773</v>
      </c>
      <c r="J2003" s="2">
        <v>37</v>
      </c>
      <c r="K2003" s="2" t="s">
        <v>123</v>
      </c>
      <c r="L2003" s="22">
        <v>7700</v>
      </c>
      <c r="M2003" s="22">
        <v>284900</v>
      </c>
      <c r="N2003" s="18">
        <v>304.70999999999998</v>
      </c>
      <c r="O2003" s="26">
        <v>45953</v>
      </c>
      <c r="P2003" s="2" t="s">
        <v>2105</v>
      </c>
      <c r="Q2003" s="2" t="s">
        <v>836</v>
      </c>
    </row>
    <row r="2004" spans="2:17" x14ac:dyDescent="0.25">
      <c r="B2004" s="2" t="s">
        <v>2809</v>
      </c>
      <c r="C2004" s="2" t="s">
        <v>246</v>
      </c>
      <c r="D2004" s="2" t="s">
        <v>247</v>
      </c>
      <c r="E2004" s="2" t="s">
        <v>237</v>
      </c>
      <c r="F2004" s="2" t="s">
        <v>535</v>
      </c>
      <c r="G2004" s="2" t="s">
        <v>475</v>
      </c>
      <c r="H2004" s="2" t="s">
        <v>476</v>
      </c>
      <c r="I2004" s="26">
        <v>45789</v>
      </c>
      <c r="J2004" s="2">
        <v>37</v>
      </c>
      <c r="K2004" s="2" t="s">
        <v>123</v>
      </c>
      <c r="L2004" s="22">
        <v>7700</v>
      </c>
      <c r="M2004" s="22">
        <v>284900</v>
      </c>
      <c r="N2004" s="18">
        <v>304.70999999999998</v>
      </c>
      <c r="O2004" s="26">
        <v>45969</v>
      </c>
      <c r="P2004" s="2" t="s">
        <v>2105</v>
      </c>
      <c r="Q2004" s="2" t="s">
        <v>836</v>
      </c>
    </row>
    <row r="2005" spans="2:17" x14ac:dyDescent="0.25">
      <c r="B2005" s="2" t="s">
        <v>2810</v>
      </c>
      <c r="C2005" s="2" t="s">
        <v>246</v>
      </c>
      <c r="D2005" s="2" t="s">
        <v>247</v>
      </c>
      <c r="E2005" s="2" t="s">
        <v>237</v>
      </c>
      <c r="F2005" s="2" t="s">
        <v>535</v>
      </c>
      <c r="G2005" s="2" t="s">
        <v>475</v>
      </c>
      <c r="H2005" s="2" t="s">
        <v>476</v>
      </c>
      <c r="I2005" s="26">
        <v>45813</v>
      </c>
      <c r="J2005" s="2">
        <v>38</v>
      </c>
      <c r="K2005" s="2" t="s">
        <v>123</v>
      </c>
      <c r="L2005" s="22">
        <v>7700</v>
      </c>
      <c r="M2005" s="22">
        <v>292600</v>
      </c>
      <c r="N2005" s="18">
        <v>312.94</v>
      </c>
      <c r="O2005" s="26">
        <v>45993</v>
      </c>
      <c r="P2005" s="2" t="s">
        <v>2105</v>
      </c>
      <c r="Q2005" s="2" t="s">
        <v>806</v>
      </c>
    </row>
    <row r="2006" spans="2:17" x14ac:dyDescent="0.25">
      <c r="B2006" s="2" t="s">
        <v>2811</v>
      </c>
      <c r="C2006" s="2" t="s">
        <v>246</v>
      </c>
      <c r="D2006" s="2" t="s">
        <v>247</v>
      </c>
      <c r="E2006" s="2" t="s">
        <v>237</v>
      </c>
      <c r="F2006" s="2" t="s">
        <v>535</v>
      </c>
      <c r="G2006" s="2" t="s">
        <v>475</v>
      </c>
      <c r="H2006" s="2" t="s">
        <v>476</v>
      </c>
      <c r="I2006" s="26">
        <v>45837</v>
      </c>
      <c r="J2006" s="2">
        <v>36</v>
      </c>
      <c r="K2006" s="2" t="s">
        <v>123</v>
      </c>
      <c r="L2006" s="22">
        <v>7700</v>
      </c>
      <c r="M2006" s="22">
        <v>277200</v>
      </c>
      <c r="N2006" s="18">
        <v>296.47000000000003</v>
      </c>
      <c r="O2006" s="26">
        <v>46017</v>
      </c>
      <c r="P2006" s="2" t="s">
        <v>2105</v>
      </c>
      <c r="Q2006" s="2" t="s">
        <v>806</v>
      </c>
    </row>
    <row r="2007" spans="2:17" x14ac:dyDescent="0.25">
      <c r="B2007" s="2" t="s">
        <v>2812</v>
      </c>
      <c r="C2007" s="2" t="s">
        <v>248</v>
      </c>
      <c r="D2007" s="2" t="s">
        <v>249</v>
      </c>
      <c r="E2007" s="2" t="s">
        <v>237</v>
      </c>
      <c r="F2007" s="2" t="s">
        <v>535</v>
      </c>
      <c r="G2007" s="2" t="s">
        <v>475</v>
      </c>
      <c r="H2007" s="2" t="s">
        <v>476</v>
      </c>
      <c r="I2007" s="26">
        <v>45123</v>
      </c>
      <c r="J2007" s="2">
        <v>23</v>
      </c>
      <c r="K2007" s="2" t="s">
        <v>123</v>
      </c>
      <c r="L2007" s="22">
        <v>5300</v>
      </c>
      <c r="M2007" s="22">
        <v>121900</v>
      </c>
      <c r="N2007" s="18">
        <v>130.37</v>
      </c>
      <c r="O2007" s="26">
        <v>45303</v>
      </c>
      <c r="P2007" s="2" t="s">
        <v>2105</v>
      </c>
      <c r="Q2007" s="2" t="s">
        <v>806</v>
      </c>
    </row>
    <row r="2008" spans="2:17" x14ac:dyDescent="0.25">
      <c r="B2008" s="2" t="s">
        <v>2813</v>
      </c>
      <c r="C2008" s="2" t="s">
        <v>248</v>
      </c>
      <c r="D2008" s="2" t="s">
        <v>249</v>
      </c>
      <c r="E2008" s="2" t="s">
        <v>237</v>
      </c>
      <c r="F2008" s="2" t="s">
        <v>535</v>
      </c>
      <c r="G2008" s="2" t="s">
        <v>475</v>
      </c>
      <c r="H2008" s="2" t="s">
        <v>476</v>
      </c>
      <c r="I2008" s="26">
        <v>45145</v>
      </c>
      <c r="J2008" s="2">
        <v>22</v>
      </c>
      <c r="K2008" s="2" t="s">
        <v>123</v>
      </c>
      <c r="L2008" s="22">
        <v>5300</v>
      </c>
      <c r="M2008" s="22">
        <v>116600</v>
      </c>
      <c r="N2008" s="18">
        <v>124.71</v>
      </c>
      <c r="O2008" s="26">
        <v>45325</v>
      </c>
      <c r="P2008" s="2" t="s">
        <v>2105</v>
      </c>
      <c r="Q2008" s="2" t="s">
        <v>806</v>
      </c>
    </row>
    <row r="2009" spans="2:17" x14ac:dyDescent="0.25">
      <c r="B2009" s="2" t="s">
        <v>2814</v>
      </c>
      <c r="C2009" s="2" t="s">
        <v>248</v>
      </c>
      <c r="D2009" s="2" t="s">
        <v>249</v>
      </c>
      <c r="E2009" s="2" t="s">
        <v>237</v>
      </c>
      <c r="F2009" s="2" t="s">
        <v>535</v>
      </c>
      <c r="G2009" s="2" t="s">
        <v>475</v>
      </c>
      <c r="H2009" s="2" t="s">
        <v>476</v>
      </c>
      <c r="I2009" s="26">
        <v>45172</v>
      </c>
      <c r="J2009" s="2">
        <v>23</v>
      </c>
      <c r="K2009" s="2" t="s">
        <v>123</v>
      </c>
      <c r="L2009" s="22">
        <v>5300</v>
      </c>
      <c r="M2009" s="22">
        <v>121900</v>
      </c>
      <c r="N2009" s="18">
        <v>130.37</v>
      </c>
      <c r="O2009" s="26">
        <v>45352</v>
      </c>
      <c r="P2009" s="2" t="s">
        <v>2105</v>
      </c>
      <c r="Q2009" s="2" t="s">
        <v>814</v>
      </c>
    </row>
    <row r="2010" spans="2:17" x14ac:dyDescent="0.25">
      <c r="B2010" s="2" t="s">
        <v>2815</v>
      </c>
      <c r="C2010" s="2" t="s">
        <v>248</v>
      </c>
      <c r="D2010" s="2" t="s">
        <v>249</v>
      </c>
      <c r="E2010" s="2" t="s">
        <v>237</v>
      </c>
      <c r="F2010" s="2" t="s">
        <v>535</v>
      </c>
      <c r="G2010" s="2" t="s">
        <v>475</v>
      </c>
      <c r="H2010" s="2" t="s">
        <v>476</v>
      </c>
      <c r="I2010" s="26">
        <v>45192</v>
      </c>
      <c r="J2010" s="2">
        <v>26</v>
      </c>
      <c r="K2010" s="2" t="s">
        <v>123</v>
      </c>
      <c r="L2010" s="22">
        <v>5300</v>
      </c>
      <c r="M2010" s="22">
        <v>137800</v>
      </c>
      <c r="N2010" s="18">
        <v>147.38</v>
      </c>
      <c r="O2010" s="26">
        <v>45372</v>
      </c>
      <c r="P2010" s="2" t="s">
        <v>2105</v>
      </c>
      <c r="Q2010" s="2" t="s">
        <v>814</v>
      </c>
    </row>
    <row r="2011" spans="2:17" x14ac:dyDescent="0.25">
      <c r="B2011" s="2" t="s">
        <v>2816</v>
      </c>
      <c r="C2011" s="2" t="s">
        <v>248</v>
      </c>
      <c r="D2011" s="2" t="s">
        <v>249</v>
      </c>
      <c r="E2011" s="2" t="s">
        <v>237</v>
      </c>
      <c r="F2011" s="2" t="s">
        <v>535</v>
      </c>
      <c r="G2011" s="2" t="s">
        <v>475</v>
      </c>
      <c r="H2011" s="2" t="s">
        <v>476</v>
      </c>
      <c r="I2011" s="26">
        <v>45212</v>
      </c>
      <c r="J2011" s="2">
        <v>19</v>
      </c>
      <c r="K2011" s="2" t="s">
        <v>123</v>
      </c>
      <c r="L2011" s="22">
        <v>5300</v>
      </c>
      <c r="M2011" s="22">
        <v>100700</v>
      </c>
      <c r="N2011" s="18">
        <v>107.7</v>
      </c>
      <c r="O2011" s="26">
        <v>45392</v>
      </c>
      <c r="P2011" s="2" t="s">
        <v>2105</v>
      </c>
      <c r="Q2011" s="2" t="s">
        <v>814</v>
      </c>
    </row>
    <row r="2012" spans="2:17" x14ac:dyDescent="0.25">
      <c r="B2012" s="2" t="s">
        <v>2817</v>
      </c>
      <c r="C2012" s="2" t="s">
        <v>248</v>
      </c>
      <c r="D2012" s="2" t="s">
        <v>249</v>
      </c>
      <c r="E2012" s="2" t="s">
        <v>237</v>
      </c>
      <c r="F2012" s="2" t="s">
        <v>537</v>
      </c>
      <c r="G2012" s="2" t="s">
        <v>480</v>
      </c>
      <c r="H2012" s="2" t="s">
        <v>481</v>
      </c>
      <c r="I2012" s="26">
        <v>45237</v>
      </c>
      <c r="J2012" s="2">
        <v>22</v>
      </c>
      <c r="K2012" s="2" t="s">
        <v>123</v>
      </c>
      <c r="L2012" s="22">
        <v>5500</v>
      </c>
      <c r="M2012" s="22">
        <v>121000</v>
      </c>
      <c r="N2012" s="18">
        <v>129.41</v>
      </c>
      <c r="O2012" s="26">
        <v>45417</v>
      </c>
      <c r="P2012" s="2" t="s">
        <v>2105</v>
      </c>
      <c r="Q2012" s="2" t="s">
        <v>814</v>
      </c>
    </row>
    <row r="2013" spans="2:17" x14ac:dyDescent="0.25">
      <c r="B2013" s="2" t="s">
        <v>2818</v>
      </c>
      <c r="C2013" s="2" t="s">
        <v>248</v>
      </c>
      <c r="D2013" s="2" t="s">
        <v>249</v>
      </c>
      <c r="E2013" s="2" t="s">
        <v>237</v>
      </c>
      <c r="F2013" s="2" t="s">
        <v>535</v>
      </c>
      <c r="G2013" s="2" t="s">
        <v>475</v>
      </c>
      <c r="H2013" s="2" t="s">
        <v>476</v>
      </c>
      <c r="I2013" s="26">
        <v>45259</v>
      </c>
      <c r="J2013" s="2">
        <v>20</v>
      </c>
      <c r="K2013" s="2" t="s">
        <v>123</v>
      </c>
      <c r="L2013" s="22">
        <v>5300</v>
      </c>
      <c r="M2013" s="22">
        <v>106000</v>
      </c>
      <c r="N2013" s="18">
        <v>113.37</v>
      </c>
      <c r="O2013" s="26">
        <v>45439</v>
      </c>
      <c r="P2013" s="2" t="s">
        <v>2105</v>
      </c>
      <c r="Q2013" s="2" t="s">
        <v>814</v>
      </c>
    </row>
    <row r="2014" spans="2:17" x14ac:dyDescent="0.25">
      <c r="B2014" s="2" t="s">
        <v>2819</v>
      </c>
      <c r="C2014" s="2" t="s">
        <v>248</v>
      </c>
      <c r="D2014" s="2" t="s">
        <v>249</v>
      </c>
      <c r="E2014" s="2" t="s">
        <v>237</v>
      </c>
      <c r="F2014" s="2" t="s">
        <v>537</v>
      </c>
      <c r="G2014" s="2" t="s">
        <v>480</v>
      </c>
      <c r="H2014" s="2" t="s">
        <v>481</v>
      </c>
      <c r="I2014" s="26">
        <v>45276</v>
      </c>
      <c r="J2014" s="2">
        <v>29</v>
      </c>
      <c r="K2014" s="2" t="s">
        <v>123</v>
      </c>
      <c r="L2014" s="22">
        <v>5500</v>
      </c>
      <c r="M2014" s="22">
        <v>159500</v>
      </c>
      <c r="N2014" s="18">
        <v>170.59</v>
      </c>
      <c r="O2014" s="26">
        <v>45456</v>
      </c>
      <c r="P2014" s="2" t="s">
        <v>2105</v>
      </c>
      <c r="Q2014" s="2" t="s">
        <v>825</v>
      </c>
    </row>
    <row r="2015" spans="2:17" x14ac:dyDescent="0.25">
      <c r="B2015" s="2" t="s">
        <v>2820</v>
      </c>
      <c r="C2015" s="2" t="s">
        <v>248</v>
      </c>
      <c r="D2015" s="2" t="s">
        <v>249</v>
      </c>
      <c r="E2015" s="2" t="s">
        <v>237</v>
      </c>
      <c r="F2015" s="2" t="s">
        <v>535</v>
      </c>
      <c r="G2015" s="2" t="s">
        <v>475</v>
      </c>
      <c r="H2015" s="2" t="s">
        <v>476</v>
      </c>
      <c r="I2015" s="26">
        <v>45296</v>
      </c>
      <c r="J2015" s="2">
        <v>23</v>
      </c>
      <c r="K2015" s="2" t="s">
        <v>123</v>
      </c>
      <c r="L2015" s="22">
        <v>5300</v>
      </c>
      <c r="M2015" s="22">
        <v>121900</v>
      </c>
      <c r="N2015" s="18">
        <v>130.37</v>
      </c>
      <c r="O2015" s="26">
        <v>45476</v>
      </c>
      <c r="P2015" s="2" t="s">
        <v>2105</v>
      </c>
      <c r="Q2015" s="2" t="s">
        <v>825</v>
      </c>
    </row>
    <row r="2016" spans="2:17" x14ac:dyDescent="0.25">
      <c r="B2016" s="2" t="s">
        <v>2821</v>
      </c>
      <c r="C2016" s="2" t="s">
        <v>248</v>
      </c>
      <c r="D2016" s="2" t="s">
        <v>249</v>
      </c>
      <c r="E2016" s="2" t="s">
        <v>237</v>
      </c>
      <c r="F2016" s="2" t="s">
        <v>535</v>
      </c>
      <c r="G2016" s="2" t="s">
        <v>475</v>
      </c>
      <c r="H2016" s="2" t="s">
        <v>476</v>
      </c>
      <c r="I2016" s="26">
        <v>45311</v>
      </c>
      <c r="J2016" s="2">
        <v>21</v>
      </c>
      <c r="K2016" s="2" t="s">
        <v>123</v>
      </c>
      <c r="L2016" s="22">
        <v>5300</v>
      </c>
      <c r="M2016" s="22">
        <v>111300</v>
      </c>
      <c r="N2016" s="18">
        <v>119.04</v>
      </c>
      <c r="O2016" s="26">
        <v>45491</v>
      </c>
      <c r="P2016" s="2" t="s">
        <v>2105</v>
      </c>
      <c r="Q2016" s="2" t="s">
        <v>825</v>
      </c>
    </row>
    <row r="2017" spans="2:17" x14ac:dyDescent="0.25">
      <c r="B2017" s="2" t="s">
        <v>2822</v>
      </c>
      <c r="C2017" s="2" t="s">
        <v>248</v>
      </c>
      <c r="D2017" s="2" t="s">
        <v>249</v>
      </c>
      <c r="E2017" s="2" t="s">
        <v>237</v>
      </c>
      <c r="F2017" s="2" t="s">
        <v>535</v>
      </c>
      <c r="G2017" s="2" t="s">
        <v>475</v>
      </c>
      <c r="H2017" s="2" t="s">
        <v>476</v>
      </c>
      <c r="I2017" s="26">
        <v>45329</v>
      </c>
      <c r="J2017" s="2">
        <v>19</v>
      </c>
      <c r="K2017" s="2" t="s">
        <v>123</v>
      </c>
      <c r="L2017" s="22">
        <v>5300</v>
      </c>
      <c r="M2017" s="22">
        <v>100700</v>
      </c>
      <c r="N2017" s="18">
        <v>107.7</v>
      </c>
      <c r="O2017" s="26">
        <v>45509</v>
      </c>
      <c r="P2017" s="2" t="s">
        <v>2105</v>
      </c>
      <c r="Q2017" s="2" t="s">
        <v>825</v>
      </c>
    </row>
    <row r="2018" spans="2:17" x14ac:dyDescent="0.25">
      <c r="B2018" s="2" t="s">
        <v>2823</v>
      </c>
      <c r="C2018" s="2" t="s">
        <v>248</v>
      </c>
      <c r="D2018" s="2" t="s">
        <v>249</v>
      </c>
      <c r="E2018" s="2" t="s">
        <v>237</v>
      </c>
      <c r="F2018" s="2" t="s">
        <v>535</v>
      </c>
      <c r="G2018" s="2" t="s">
        <v>475</v>
      </c>
      <c r="H2018" s="2" t="s">
        <v>476</v>
      </c>
      <c r="I2018" s="26">
        <v>45346</v>
      </c>
      <c r="J2018" s="2">
        <v>23</v>
      </c>
      <c r="K2018" s="2" t="s">
        <v>123</v>
      </c>
      <c r="L2018" s="22">
        <v>5300</v>
      </c>
      <c r="M2018" s="22">
        <v>121900</v>
      </c>
      <c r="N2018" s="18">
        <v>130.37</v>
      </c>
      <c r="O2018" s="26">
        <v>45526</v>
      </c>
      <c r="P2018" s="2" t="s">
        <v>2105</v>
      </c>
      <c r="Q2018" s="2" t="s">
        <v>825</v>
      </c>
    </row>
    <row r="2019" spans="2:17" x14ac:dyDescent="0.25">
      <c r="B2019" s="2" t="s">
        <v>2824</v>
      </c>
      <c r="C2019" s="2" t="s">
        <v>248</v>
      </c>
      <c r="D2019" s="2" t="s">
        <v>249</v>
      </c>
      <c r="E2019" s="2" t="s">
        <v>237</v>
      </c>
      <c r="F2019" s="2" t="s">
        <v>537</v>
      </c>
      <c r="G2019" s="2" t="s">
        <v>480</v>
      </c>
      <c r="H2019" s="2" t="s">
        <v>481</v>
      </c>
      <c r="I2019" s="26">
        <v>45365</v>
      </c>
      <c r="J2019" s="2">
        <v>22</v>
      </c>
      <c r="K2019" s="2" t="s">
        <v>123</v>
      </c>
      <c r="L2019" s="22">
        <v>5500</v>
      </c>
      <c r="M2019" s="22">
        <v>121000</v>
      </c>
      <c r="N2019" s="18">
        <v>129.41</v>
      </c>
      <c r="O2019" s="26">
        <v>45545</v>
      </c>
      <c r="P2019" s="2" t="s">
        <v>2105</v>
      </c>
      <c r="Q2019" s="2" t="s">
        <v>836</v>
      </c>
    </row>
    <row r="2020" spans="2:17" x14ac:dyDescent="0.25">
      <c r="B2020" s="2" t="s">
        <v>2825</v>
      </c>
      <c r="C2020" s="2" t="s">
        <v>248</v>
      </c>
      <c r="D2020" s="2" t="s">
        <v>249</v>
      </c>
      <c r="E2020" s="2" t="s">
        <v>237</v>
      </c>
      <c r="F2020" s="2" t="s">
        <v>535</v>
      </c>
      <c r="G2020" s="2" t="s">
        <v>475</v>
      </c>
      <c r="H2020" s="2" t="s">
        <v>476</v>
      </c>
      <c r="I2020" s="26">
        <v>45383</v>
      </c>
      <c r="J2020" s="2">
        <v>21</v>
      </c>
      <c r="K2020" s="2" t="s">
        <v>123</v>
      </c>
      <c r="L2020" s="22">
        <v>5300</v>
      </c>
      <c r="M2020" s="22">
        <v>111300</v>
      </c>
      <c r="N2020" s="18">
        <v>119.04</v>
      </c>
      <c r="O2020" s="26">
        <v>45563</v>
      </c>
      <c r="P2020" s="2" t="s">
        <v>2105</v>
      </c>
      <c r="Q2020" s="2" t="s">
        <v>836</v>
      </c>
    </row>
    <row r="2021" spans="2:17" x14ac:dyDescent="0.25">
      <c r="B2021" s="2" t="s">
        <v>2826</v>
      </c>
      <c r="C2021" s="2" t="s">
        <v>248</v>
      </c>
      <c r="D2021" s="2" t="s">
        <v>249</v>
      </c>
      <c r="E2021" s="2" t="s">
        <v>237</v>
      </c>
      <c r="F2021" s="2" t="s">
        <v>537</v>
      </c>
      <c r="G2021" s="2" t="s">
        <v>480</v>
      </c>
      <c r="H2021" s="2" t="s">
        <v>481</v>
      </c>
      <c r="I2021" s="26">
        <v>45402</v>
      </c>
      <c r="J2021" s="2">
        <v>18</v>
      </c>
      <c r="K2021" s="2" t="s">
        <v>123</v>
      </c>
      <c r="L2021" s="22">
        <v>5500</v>
      </c>
      <c r="M2021" s="22">
        <v>99000</v>
      </c>
      <c r="N2021" s="18">
        <v>105.88</v>
      </c>
      <c r="O2021" s="26">
        <v>45582</v>
      </c>
      <c r="P2021" s="2" t="s">
        <v>2105</v>
      </c>
      <c r="Q2021" s="2" t="s">
        <v>836</v>
      </c>
    </row>
    <row r="2022" spans="2:17" x14ac:dyDescent="0.25">
      <c r="B2022" s="2" t="s">
        <v>2827</v>
      </c>
      <c r="C2022" s="2" t="s">
        <v>248</v>
      </c>
      <c r="D2022" s="2" t="s">
        <v>249</v>
      </c>
      <c r="E2022" s="2" t="s">
        <v>237</v>
      </c>
      <c r="F2022" s="2" t="s">
        <v>535</v>
      </c>
      <c r="G2022" s="2" t="s">
        <v>475</v>
      </c>
      <c r="H2022" s="2" t="s">
        <v>476</v>
      </c>
      <c r="I2022" s="26">
        <v>45423</v>
      </c>
      <c r="J2022" s="2">
        <v>22</v>
      </c>
      <c r="K2022" s="2" t="s">
        <v>123</v>
      </c>
      <c r="L2022" s="22">
        <v>5300</v>
      </c>
      <c r="M2022" s="22">
        <v>116600</v>
      </c>
      <c r="N2022" s="18">
        <v>124.71</v>
      </c>
      <c r="O2022" s="26">
        <v>45603</v>
      </c>
      <c r="P2022" s="2" t="s">
        <v>2105</v>
      </c>
      <c r="Q2022" s="2" t="s">
        <v>836</v>
      </c>
    </row>
    <row r="2023" spans="2:17" x14ac:dyDescent="0.25">
      <c r="B2023" s="2" t="s">
        <v>2828</v>
      </c>
      <c r="C2023" s="2" t="s">
        <v>248</v>
      </c>
      <c r="D2023" s="2" t="s">
        <v>249</v>
      </c>
      <c r="E2023" s="2" t="s">
        <v>237</v>
      </c>
      <c r="F2023" s="2" t="s">
        <v>535</v>
      </c>
      <c r="G2023" s="2" t="s">
        <v>475</v>
      </c>
      <c r="H2023" s="2" t="s">
        <v>476</v>
      </c>
      <c r="I2023" s="26">
        <v>45440</v>
      </c>
      <c r="J2023" s="2">
        <v>20</v>
      </c>
      <c r="K2023" s="2" t="s">
        <v>123</v>
      </c>
      <c r="L2023" s="22">
        <v>5300</v>
      </c>
      <c r="M2023" s="22">
        <v>106000</v>
      </c>
      <c r="N2023" s="18">
        <v>113.37</v>
      </c>
      <c r="O2023" s="26">
        <v>45620</v>
      </c>
      <c r="P2023" s="2" t="s">
        <v>2105</v>
      </c>
      <c r="Q2023" s="2" t="s">
        <v>836</v>
      </c>
    </row>
    <row r="2024" spans="2:17" x14ac:dyDescent="0.25">
      <c r="B2024" s="2" t="s">
        <v>2829</v>
      </c>
      <c r="C2024" s="2" t="s">
        <v>248</v>
      </c>
      <c r="D2024" s="2" t="s">
        <v>249</v>
      </c>
      <c r="E2024" s="2" t="s">
        <v>237</v>
      </c>
      <c r="F2024" s="2" t="s">
        <v>535</v>
      </c>
      <c r="G2024" s="2" t="s">
        <v>475</v>
      </c>
      <c r="H2024" s="2" t="s">
        <v>476</v>
      </c>
      <c r="I2024" s="26">
        <v>45462</v>
      </c>
      <c r="J2024" s="2">
        <v>18</v>
      </c>
      <c r="K2024" s="2" t="s">
        <v>123</v>
      </c>
      <c r="L2024" s="22">
        <v>5300</v>
      </c>
      <c r="M2024" s="22">
        <v>95400</v>
      </c>
      <c r="N2024" s="18">
        <v>102.03</v>
      </c>
      <c r="O2024" s="26">
        <v>45642</v>
      </c>
      <c r="P2024" s="2" t="s">
        <v>2105</v>
      </c>
      <c r="Q2024" s="2" t="s">
        <v>806</v>
      </c>
    </row>
    <row r="2025" spans="2:17" x14ac:dyDescent="0.25">
      <c r="B2025" s="2" t="s">
        <v>2830</v>
      </c>
      <c r="C2025" s="2" t="s">
        <v>248</v>
      </c>
      <c r="D2025" s="2" t="s">
        <v>249</v>
      </c>
      <c r="E2025" s="2" t="s">
        <v>237</v>
      </c>
      <c r="F2025" s="2" t="s">
        <v>535</v>
      </c>
      <c r="G2025" s="2" t="s">
        <v>475</v>
      </c>
      <c r="H2025" s="2" t="s">
        <v>476</v>
      </c>
      <c r="I2025" s="26">
        <v>45479</v>
      </c>
      <c r="J2025" s="2">
        <v>23</v>
      </c>
      <c r="K2025" s="2" t="s">
        <v>123</v>
      </c>
      <c r="L2025" s="22">
        <v>5300</v>
      </c>
      <c r="M2025" s="22">
        <v>121900</v>
      </c>
      <c r="N2025" s="18">
        <v>130.37</v>
      </c>
      <c r="O2025" s="26">
        <v>45659</v>
      </c>
      <c r="P2025" s="2" t="s">
        <v>2105</v>
      </c>
      <c r="Q2025" s="2" t="s">
        <v>806</v>
      </c>
    </row>
    <row r="2026" spans="2:17" x14ac:dyDescent="0.25">
      <c r="B2026" s="2" t="s">
        <v>2831</v>
      </c>
      <c r="C2026" s="2" t="s">
        <v>248</v>
      </c>
      <c r="D2026" s="2" t="s">
        <v>249</v>
      </c>
      <c r="E2026" s="2" t="s">
        <v>237</v>
      </c>
      <c r="F2026" s="2" t="s">
        <v>535</v>
      </c>
      <c r="G2026" s="2" t="s">
        <v>475</v>
      </c>
      <c r="H2026" s="2" t="s">
        <v>476</v>
      </c>
      <c r="I2026" s="26">
        <v>45498</v>
      </c>
      <c r="J2026" s="2">
        <v>19</v>
      </c>
      <c r="K2026" s="2" t="s">
        <v>123</v>
      </c>
      <c r="L2026" s="22">
        <v>5300</v>
      </c>
      <c r="M2026" s="22">
        <v>100700</v>
      </c>
      <c r="N2026" s="18">
        <v>107.7</v>
      </c>
      <c r="O2026" s="26">
        <v>45678</v>
      </c>
      <c r="P2026" s="2" t="s">
        <v>2105</v>
      </c>
      <c r="Q2026" s="2" t="s">
        <v>806</v>
      </c>
    </row>
    <row r="2027" spans="2:17" x14ac:dyDescent="0.25">
      <c r="B2027" s="2" t="s">
        <v>2832</v>
      </c>
      <c r="C2027" s="2" t="s">
        <v>248</v>
      </c>
      <c r="D2027" s="2" t="s">
        <v>249</v>
      </c>
      <c r="E2027" s="2" t="s">
        <v>237</v>
      </c>
      <c r="F2027" s="2" t="s">
        <v>535</v>
      </c>
      <c r="G2027" s="2" t="s">
        <v>475</v>
      </c>
      <c r="H2027" s="2" t="s">
        <v>476</v>
      </c>
      <c r="I2027" s="26">
        <v>45520</v>
      </c>
      <c r="J2027" s="2">
        <v>23</v>
      </c>
      <c r="K2027" s="2" t="s">
        <v>123</v>
      </c>
      <c r="L2027" s="22">
        <v>5300</v>
      </c>
      <c r="M2027" s="22">
        <v>121900</v>
      </c>
      <c r="N2027" s="18">
        <v>130.37</v>
      </c>
      <c r="O2027" s="26">
        <v>45700</v>
      </c>
      <c r="P2027" s="2" t="s">
        <v>2105</v>
      </c>
      <c r="Q2027" s="2" t="s">
        <v>806</v>
      </c>
    </row>
    <row r="2028" spans="2:17" x14ac:dyDescent="0.25">
      <c r="B2028" s="2" t="s">
        <v>2833</v>
      </c>
      <c r="C2028" s="2" t="s">
        <v>248</v>
      </c>
      <c r="D2028" s="2" t="s">
        <v>249</v>
      </c>
      <c r="E2028" s="2" t="s">
        <v>237</v>
      </c>
      <c r="F2028" s="2" t="s">
        <v>535</v>
      </c>
      <c r="G2028" s="2" t="s">
        <v>475</v>
      </c>
      <c r="H2028" s="2" t="s">
        <v>476</v>
      </c>
      <c r="I2028" s="26">
        <v>45549</v>
      </c>
      <c r="J2028" s="2">
        <v>22</v>
      </c>
      <c r="K2028" s="2" t="s">
        <v>123</v>
      </c>
      <c r="L2028" s="22">
        <v>5300</v>
      </c>
      <c r="M2028" s="22">
        <v>116600</v>
      </c>
      <c r="N2028" s="18">
        <v>124.71</v>
      </c>
      <c r="O2028" s="26">
        <v>45729</v>
      </c>
      <c r="P2028" s="2" t="s">
        <v>2105</v>
      </c>
      <c r="Q2028" s="2" t="s">
        <v>814</v>
      </c>
    </row>
    <row r="2029" spans="2:17" x14ac:dyDescent="0.25">
      <c r="B2029" s="2" t="s">
        <v>2834</v>
      </c>
      <c r="C2029" s="2" t="s">
        <v>248</v>
      </c>
      <c r="D2029" s="2" t="s">
        <v>249</v>
      </c>
      <c r="E2029" s="2" t="s">
        <v>237</v>
      </c>
      <c r="F2029" s="2" t="s">
        <v>535</v>
      </c>
      <c r="G2029" s="2" t="s">
        <v>475</v>
      </c>
      <c r="H2029" s="2" t="s">
        <v>476</v>
      </c>
      <c r="I2029" s="26">
        <v>45569</v>
      </c>
      <c r="J2029" s="2">
        <v>22</v>
      </c>
      <c r="K2029" s="2" t="s">
        <v>123</v>
      </c>
      <c r="L2029" s="22">
        <v>5300</v>
      </c>
      <c r="M2029" s="22">
        <v>116600</v>
      </c>
      <c r="N2029" s="18">
        <v>124.71</v>
      </c>
      <c r="O2029" s="26">
        <v>45749</v>
      </c>
      <c r="P2029" s="2" t="s">
        <v>2105</v>
      </c>
      <c r="Q2029" s="2" t="s">
        <v>814</v>
      </c>
    </row>
    <row r="2030" spans="2:17" x14ac:dyDescent="0.25">
      <c r="B2030" s="2" t="s">
        <v>2835</v>
      </c>
      <c r="C2030" s="2" t="s">
        <v>248</v>
      </c>
      <c r="D2030" s="2" t="s">
        <v>249</v>
      </c>
      <c r="E2030" s="2" t="s">
        <v>237</v>
      </c>
      <c r="F2030" s="2" t="s">
        <v>535</v>
      </c>
      <c r="G2030" s="2" t="s">
        <v>475</v>
      </c>
      <c r="H2030" s="2" t="s">
        <v>476</v>
      </c>
      <c r="I2030" s="26">
        <v>45592</v>
      </c>
      <c r="J2030" s="2">
        <v>23</v>
      </c>
      <c r="K2030" s="2" t="s">
        <v>123</v>
      </c>
      <c r="L2030" s="22">
        <v>5300</v>
      </c>
      <c r="M2030" s="22">
        <v>121900</v>
      </c>
      <c r="N2030" s="18">
        <v>130.37</v>
      </c>
      <c r="O2030" s="26">
        <v>45772</v>
      </c>
      <c r="P2030" s="2" t="s">
        <v>2105</v>
      </c>
      <c r="Q2030" s="2" t="s">
        <v>814</v>
      </c>
    </row>
    <row r="2031" spans="2:17" x14ac:dyDescent="0.25">
      <c r="B2031" s="2" t="s">
        <v>2836</v>
      </c>
      <c r="C2031" s="2" t="s">
        <v>248</v>
      </c>
      <c r="D2031" s="2" t="s">
        <v>249</v>
      </c>
      <c r="E2031" s="2" t="s">
        <v>237</v>
      </c>
      <c r="F2031" s="2" t="s">
        <v>535</v>
      </c>
      <c r="G2031" s="2" t="s">
        <v>475</v>
      </c>
      <c r="H2031" s="2" t="s">
        <v>476</v>
      </c>
      <c r="I2031" s="26">
        <v>45615</v>
      </c>
      <c r="J2031" s="2">
        <v>21</v>
      </c>
      <c r="K2031" s="2" t="s">
        <v>123</v>
      </c>
      <c r="L2031" s="22">
        <v>5300</v>
      </c>
      <c r="M2031" s="22">
        <v>111300</v>
      </c>
      <c r="N2031" s="18">
        <v>119.04</v>
      </c>
      <c r="O2031" s="26">
        <v>45795</v>
      </c>
      <c r="P2031" s="2" t="s">
        <v>2105</v>
      </c>
      <c r="Q2031" s="2" t="s">
        <v>814</v>
      </c>
    </row>
    <row r="2032" spans="2:17" x14ac:dyDescent="0.25">
      <c r="B2032" s="2" t="s">
        <v>2837</v>
      </c>
      <c r="C2032" s="2" t="s">
        <v>248</v>
      </c>
      <c r="D2032" s="2" t="s">
        <v>249</v>
      </c>
      <c r="E2032" s="2" t="s">
        <v>237</v>
      </c>
      <c r="F2032" s="2" t="s">
        <v>535</v>
      </c>
      <c r="G2032" s="2" t="s">
        <v>475</v>
      </c>
      <c r="H2032" s="2" t="s">
        <v>476</v>
      </c>
      <c r="I2032" s="26">
        <v>45631</v>
      </c>
      <c r="J2032" s="2">
        <v>27</v>
      </c>
      <c r="K2032" s="2" t="s">
        <v>123</v>
      </c>
      <c r="L2032" s="22">
        <v>5300</v>
      </c>
      <c r="M2032" s="22">
        <v>143100</v>
      </c>
      <c r="N2032" s="18">
        <v>153.05000000000001</v>
      </c>
      <c r="O2032" s="26">
        <v>45811</v>
      </c>
      <c r="P2032" s="2" t="s">
        <v>2105</v>
      </c>
      <c r="Q2032" s="2" t="s">
        <v>825</v>
      </c>
    </row>
    <row r="2033" spans="2:17" x14ac:dyDescent="0.25">
      <c r="B2033" s="2" t="s">
        <v>2838</v>
      </c>
      <c r="C2033" s="2" t="s">
        <v>248</v>
      </c>
      <c r="D2033" s="2" t="s">
        <v>249</v>
      </c>
      <c r="E2033" s="2" t="s">
        <v>237</v>
      </c>
      <c r="F2033" s="2" t="s">
        <v>535</v>
      </c>
      <c r="G2033" s="2" t="s">
        <v>475</v>
      </c>
      <c r="H2033" s="2" t="s">
        <v>476</v>
      </c>
      <c r="I2033" s="26">
        <v>45653</v>
      </c>
      <c r="J2033" s="2">
        <v>28</v>
      </c>
      <c r="K2033" s="2" t="s">
        <v>123</v>
      </c>
      <c r="L2033" s="22">
        <v>5300</v>
      </c>
      <c r="M2033" s="22">
        <v>148400</v>
      </c>
      <c r="N2033" s="18">
        <v>158.72</v>
      </c>
      <c r="O2033" s="26">
        <v>45833</v>
      </c>
      <c r="P2033" s="2" t="s">
        <v>2105</v>
      </c>
      <c r="Q2033" s="2" t="s">
        <v>825</v>
      </c>
    </row>
    <row r="2034" spans="2:17" x14ac:dyDescent="0.25">
      <c r="B2034" s="2" t="s">
        <v>2839</v>
      </c>
      <c r="C2034" s="2" t="s">
        <v>248</v>
      </c>
      <c r="D2034" s="2" t="s">
        <v>249</v>
      </c>
      <c r="E2034" s="2" t="s">
        <v>237</v>
      </c>
      <c r="F2034" s="2" t="s">
        <v>535</v>
      </c>
      <c r="G2034" s="2" t="s">
        <v>475</v>
      </c>
      <c r="H2034" s="2" t="s">
        <v>476</v>
      </c>
      <c r="I2034" s="26">
        <v>45672</v>
      </c>
      <c r="J2034" s="2">
        <v>19</v>
      </c>
      <c r="K2034" s="2" t="s">
        <v>123</v>
      </c>
      <c r="L2034" s="22">
        <v>5300</v>
      </c>
      <c r="M2034" s="22">
        <v>100700</v>
      </c>
      <c r="N2034" s="18">
        <v>107.7</v>
      </c>
      <c r="O2034" s="26">
        <v>45852</v>
      </c>
      <c r="P2034" s="2" t="s">
        <v>2105</v>
      </c>
      <c r="Q2034" s="2" t="s">
        <v>825</v>
      </c>
    </row>
    <row r="2035" spans="2:17" x14ac:dyDescent="0.25">
      <c r="B2035" s="2" t="s">
        <v>2840</v>
      </c>
      <c r="C2035" s="2" t="s">
        <v>248</v>
      </c>
      <c r="D2035" s="2" t="s">
        <v>249</v>
      </c>
      <c r="E2035" s="2" t="s">
        <v>237</v>
      </c>
      <c r="F2035" s="2" t="s">
        <v>535</v>
      </c>
      <c r="G2035" s="2" t="s">
        <v>475</v>
      </c>
      <c r="H2035" s="2" t="s">
        <v>476</v>
      </c>
      <c r="I2035" s="26">
        <v>45692</v>
      </c>
      <c r="J2035" s="2">
        <v>21</v>
      </c>
      <c r="K2035" s="2" t="s">
        <v>123</v>
      </c>
      <c r="L2035" s="22">
        <v>5300</v>
      </c>
      <c r="M2035" s="22">
        <v>111300</v>
      </c>
      <c r="N2035" s="18">
        <v>119.04</v>
      </c>
      <c r="O2035" s="26">
        <v>45872</v>
      </c>
      <c r="P2035" s="2" t="s">
        <v>2105</v>
      </c>
      <c r="Q2035" s="2" t="s">
        <v>825</v>
      </c>
    </row>
    <row r="2036" spans="2:17" x14ac:dyDescent="0.25">
      <c r="B2036" s="2" t="s">
        <v>2841</v>
      </c>
      <c r="C2036" s="2" t="s">
        <v>248</v>
      </c>
      <c r="D2036" s="2" t="s">
        <v>249</v>
      </c>
      <c r="E2036" s="2" t="s">
        <v>237</v>
      </c>
      <c r="F2036" s="2" t="s">
        <v>535</v>
      </c>
      <c r="G2036" s="2" t="s">
        <v>475</v>
      </c>
      <c r="H2036" s="2" t="s">
        <v>476</v>
      </c>
      <c r="I2036" s="26">
        <v>45711</v>
      </c>
      <c r="J2036" s="2">
        <v>19</v>
      </c>
      <c r="K2036" s="2" t="s">
        <v>123</v>
      </c>
      <c r="L2036" s="22">
        <v>5300</v>
      </c>
      <c r="M2036" s="22">
        <v>100700</v>
      </c>
      <c r="N2036" s="18">
        <v>107.7</v>
      </c>
      <c r="O2036" s="26">
        <v>45891</v>
      </c>
      <c r="P2036" s="2" t="s">
        <v>2105</v>
      </c>
      <c r="Q2036" s="2" t="s">
        <v>825</v>
      </c>
    </row>
    <row r="2037" spans="2:17" x14ac:dyDescent="0.25">
      <c r="B2037" s="2" t="s">
        <v>2842</v>
      </c>
      <c r="C2037" s="2" t="s">
        <v>248</v>
      </c>
      <c r="D2037" s="2" t="s">
        <v>249</v>
      </c>
      <c r="E2037" s="2" t="s">
        <v>237</v>
      </c>
      <c r="F2037" s="2" t="s">
        <v>535</v>
      </c>
      <c r="G2037" s="2" t="s">
        <v>475</v>
      </c>
      <c r="H2037" s="2" t="s">
        <v>476</v>
      </c>
      <c r="I2037" s="26">
        <v>45734</v>
      </c>
      <c r="J2037" s="2">
        <v>22</v>
      </c>
      <c r="K2037" s="2" t="s">
        <v>123</v>
      </c>
      <c r="L2037" s="22">
        <v>5300</v>
      </c>
      <c r="M2037" s="22">
        <v>116600</v>
      </c>
      <c r="N2037" s="18">
        <v>124.71</v>
      </c>
      <c r="O2037" s="26">
        <v>45914</v>
      </c>
      <c r="P2037" s="2" t="s">
        <v>2105</v>
      </c>
      <c r="Q2037" s="2" t="s">
        <v>836</v>
      </c>
    </row>
    <row r="2038" spans="2:17" x14ac:dyDescent="0.25">
      <c r="B2038" s="2" t="s">
        <v>2843</v>
      </c>
      <c r="C2038" s="2" t="s">
        <v>248</v>
      </c>
      <c r="D2038" s="2" t="s">
        <v>249</v>
      </c>
      <c r="E2038" s="2" t="s">
        <v>237</v>
      </c>
      <c r="F2038" s="2" t="s">
        <v>535</v>
      </c>
      <c r="G2038" s="2" t="s">
        <v>475</v>
      </c>
      <c r="H2038" s="2" t="s">
        <v>476</v>
      </c>
      <c r="I2038" s="26">
        <v>45752</v>
      </c>
      <c r="J2038" s="2">
        <v>23</v>
      </c>
      <c r="K2038" s="2" t="s">
        <v>123</v>
      </c>
      <c r="L2038" s="22">
        <v>5300</v>
      </c>
      <c r="M2038" s="22">
        <v>121900</v>
      </c>
      <c r="N2038" s="18">
        <v>130.37</v>
      </c>
      <c r="O2038" s="26">
        <v>45932</v>
      </c>
      <c r="P2038" s="2" t="s">
        <v>2105</v>
      </c>
      <c r="Q2038" s="2" t="s">
        <v>836</v>
      </c>
    </row>
    <row r="2039" spans="2:17" x14ac:dyDescent="0.25">
      <c r="B2039" s="2" t="s">
        <v>2844</v>
      </c>
      <c r="C2039" s="2" t="s">
        <v>248</v>
      </c>
      <c r="D2039" s="2" t="s">
        <v>249</v>
      </c>
      <c r="E2039" s="2" t="s">
        <v>237</v>
      </c>
      <c r="F2039" s="2" t="s">
        <v>535</v>
      </c>
      <c r="G2039" s="2" t="s">
        <v>475</v>
      </c>
      <c r="H2039" s="2" t="s">
        <v>476</v>
      </c>
      <c r="I2039" s="26">
        <v>45774</v>
      </c>
      <c r="J2039" s="2">
        <v>21</v>
      </c>
      <c r="K2039" s="2" t="s">
        <v>123</v>
      </c>
      <c r="L2039" s="22">
        <v>5300</v>
      </c>
      <c r="M2039" s="22">
        <v>111300</v>
      </c>
      <c r="N2039" s="18">
        <v>119.04</v>
      </c>
      <c r="O2039" s="26">
        <v>45954</v>
      </c>
      <c r="P2039" s="2" t="s">
        <v>2105</v>
      </c>
      <c r="Q2039" s="2" t="s">
        <v>836</v>
      </c>
    </row>
    <row r="2040" spans="2:17" x14ac:dyDescent="0.25">
      <c r="B2040" s="2" t="s">
        <v>2845</v>
      </c>
      <c r="C2040" s="2" t="s">
        <v>248</v>
      </c>
      <c r="D2040" s="2" t="s">
        <v>249</v>
      </c>
      <c r="E2040" s="2" t="s">
        <v>237</v>
      </c>
      <c r="F2040" s="2" t="s">
        <v>535</v>
      </c>
      <c r="G2040" s="2" t="s">
        <v>475</v>
      </c>
      <c r="H2040" s="2" t="s">
        <v>476</v>
      </c>
      <c r="I2040" s="26">
        <v>45787</v>
      </c>
      <c r="J2040" s="2">
        <v>25</v>
      </c>
      <c r="K2040" s="2" t="s">
        <v>123</v>
      </c>
      <c r="L2040" s="22">
        <v>5300</v>
      </c>
      <c r="M2040" s="22">
        <v>132500</v>
      </c>
      <c r="N2040" s="18">
        <v>141.71</v>
      </c>
      <c r="O2040" s="26">
        <v>45967</v>
      </c>
      <c r="P2040" s="2" t="s">
        <v>2105</v>
      </c>
      <c r="Q2040" s="2" t="s">
        <v>836</v>
      </c>
    </row>
    <row r="2041" spans="2:17" x14ac:dyDescent="0.25">
      <c r="B2041" s="2" t="s">
        <v>2846</v>
      </c>
      <c r="C2041" s="2" t="s">
        <v>248</v>
      </c>
      <c r="D2041" s="2" t="s">
        <v>249</v>
      </c>
      <c r="E2041" s="2" t="s">
        <v>237</v>
      </c>
      <c r="F2041" s="2" t="s">
        <v>535</v>
      </c>
      <c r="G2041" s="2" t="s">
        <v>475</v>
      </c>
      <c r="H2041" s="2" t="s">
        <v>476</v>
      </c>
      <c r="I2041" s="26">
        <v>45805</v>
      </c>
      <c r="J2041" s="2">
        <v>21</v>
      </c>
      <c r="K2041" s="2" t="s">
        <v>123</v>
      </c>
      <c r="L2041" s="22">
        <v>5300</v>
      </c>
      <c r="M2041" s="22">
        <v>111300</v>
      </c>
      <c r="N2041" s="18">
        <v>119.04</v>
      </c>
      <c r="O2041" s="26">
        <v>45985</v>
      </c>
      <c r="P2041" s="2" t="s">
        <v>2105</v>
      </c>
      <c r="Q2041" s="2" t="s">
        <v>836</v>
      </c>
    </row>
    <row r="2042" spans="2:17" x14ac:dyDescent="0.25">
      <c r="B2042" s="2" t="s">
        <v>2847</v>
      </c>
      <c r="C2042" s="2" t="s">
        <v>248</v>
      </c>
      <c r="D2042" s="2" t="s">
        <v>249</v>
      </c>
      <c r="E2042" s="2" t="s">
        <v>237</v>
      </c>
      <c r="F2042" s="2" t="s">
        <v>535</v>
      </c>
      <c r="G2042" s="2" t="s">
        <v>475</v>
      </c>
      <c r="H2042" s="2" t="s">
        <v>476</v>
      </c>
      <c r="I2042" s="26">
        <v>45830</v>
      </c>
      <c r="J2042" s="2">
        <v>18</v>
      </c>
      <c r="K2042" s="2" t="s">
        <v>123</v>
      </c>
      <c r="L2042" s="22">
        <v>5300</v>
      </c>
      <c r="M2042" s="22">
        <v>95400</v>
      </c>
      <c r="N2042" s="18">
        <v>102.03</v>
      </c>
      <c r="O2042" s="26">
        <v>46010</v>
      </c>
      <c r="P2042" s="2" t="s">
        <v>2105</v>
      </c>
      <c r="Q2042" s="2" t="s">
        <v>806</v>
      </c>
    </row>
    <row r="2043" spans="2:17" x14ac:dyDescent="0.25">
      <c r="B2043" s="2" t="s">
        <v>2848</v>
      </c>
      <c r="C2043" s="2" t="s">
        <v>250</v>
      </c>
      <c r="D2043" s="2" t="s">
        <v>251</v>
      </c>
      <c r="E2043" s="2" t="s">
        <v>237</v>
      </c>
      <c r="F2043" s="2" t="s">
        <v>535</v>
      </c>
      <c r="G2043" s="2" t="s">
        <v>475</v>
      </c>
      <c r="H2043" s="2" t="s">
        <v>476</v>
      </c>
      <c r="I2043" s="26">
        <v>45110</v>
      </c>
      <c r="J2043" s="2">
        <v>21</v>
      </c>
      <c r="K2043" s="2" t="s">
        <v>123</v>
      </c>
      <c r="L2043" s="22">
        <v>5900</v>
      </c>
      <c r="M2043" s="22">
        <v>123900</v>
      </c>
      <c r="N2043" s="18">
        <v>132.51</v>
      </c>
      <c r="O2043" s="26">
        <v>45290</v>
      </c>
      <c r="P2043" s="2" t="s">
        <v>2105</v>
      </c>
      <c r="Q2043" s="2" t="s">
        <v>806</v>
      </c>
    </row>
    <row r="2044" spans="2:17" x14ac:dyDescent="0.25">
      <c r="B2044" s="2" t="s">
        <v>2849</v>
      </c>
      <c r="C2044" s="2" t="s">
        <v>250</v>
      </c>
      <c r="D2044" s="2" t="s">
        <v>251</v>
      </c>
      <c r="E2044" s="2" t="s">
        <v>237</v>
      </c>
      <c r="F2044" s="2" t="s">
        <v>535</v>
      </c>
      <c r="G2044" s="2" t="s">
        <v>475</v>
      </c>
      <c r="H2044" s="2" t="s">
        <v>476</v>
      </c>
      <c r="I2044" s="26">
        <v>45129</v>
      </c>
      <c r="J2044" s="2">
        <v>19</v>
      </c>
      <c r="K2044" s="2" t="s">
        <v>123</v>
      </c>
      <c r="L2044" s="22">
        <v>5900</v>
      </c>
      <c r="M2044" s="22">
        <v>112100</v>
      </c>
      <c r="N2044" s="18">
        <v>119.89</v>
      </c>
      <c r="O2044" s="26">
        <v>45309</v>
      </c>
      <c r="P2044" s="2" t="s">
        <v>2105</v>
      </c>
      <c r="Q2044" s="2" t="s">
        <v>806</v>
      </c>
    </row>
    <row r="2045" spans="2:17" x14ac:dyDescent="0.25">
      <c r="B2045" s="2" t="s">
        <v>2850</v>
      </c>
      <c r="C2045" s="2" t="s">
        <v>250</v>
      </c>
      <c r="D2045" s="2" t="s">
        <v>251</v>
      </c>
      <c r="E2045" s="2" t="s">
        <v>237</v>
      </c>
      <c r="F2045" s="2" t="s">
        <v>535</v>
      </c>
      <c r="G2045" s="2" t="s">
        <v>475</v>
      </c>
      <c r="H2045" s="2" t="s">
        <v>476</v>
      </c>
      <c r="I2045" s="26">
        <v>45147</v>
      </c>
      <c r="J2045" s="2">
        <v>18</v>
      </c>
      <c r="K2045" s="2" t="s">
        <v>123</v>
      </c>
      <c r="L2045" s="22">
        <v>5900</v>
      </c>
      <c r="M2045" s="22">
        <v>106200</v>
      </c>
      <c r="N2045" s="18">
        <v>113.58</v>
      </c>
      <c r="O2045" s="26">
        <v>45327</v>
      </c>
      <c r="P2045" s="2" t="s">
        <v>2105</v>
      </c>
      <c r="Q2045" s="2" t="s">
        <v>806</v>
      </c>
    </row>
    <row r="2046" spans="2:17" x14ac:dyDescent="0.25">
      <c r="B2046" s="2" t="s">
        <v>2851</v>
      </c>
      <c r="C2046" s="2" t="s">
        <v>250</v>
      </c>
      <c r="D2046" s="2" t="s">
        <v>251</v>
      </c>
      <c r="E2046" s="2" t="s">
        <v>237</v>
      </c>
      <c r="F2046" s="2" t="s">
        <v>535</v>
      </c>
      <c r="G2046" s="2" t="s">
        <v>475</v>
      </c>
      <c r="H2046" s="2" t="s">
        <v>476</v>
      </c>
      <c r="I2046" s="26">
        <v>45171</v>
      </c>
      <c r="J2046" s="2">
        <v>26</v>
      </c>
      <c r="K2046" s="2" t="s">
        <v>123</v>
      </c>
      <c r="L2046" s="22">
        <v>5900</v>
      </c>
      <c r="M2046" s="22">
        <v>153400</v>
      </c>
      <c r="N2046" s="18">
        <v>164.06</v>
      </c>
      <c r="O2046" s="26">
        <v>45351</v>
      </c>
      <c r="P2046" s="2" t="s">
        <v>2105</v>
      </c>
      <c r="Q2046" s="2" t="s">
        <v>814</v>
      </c>
    </row>
    <row r="2047" spans="2:17" x14ac:dyDescent="0.25">
      <c r="B2047" s="2" t="s">
        <v>2852</v>
      </c>
      <c r="C2047" s="2" t="s">
        <v>250</v>
      </c>
      <c r="D2047" s="2" t="s">
        <v>251</v>
      </c>
      <c r="E2047" s="2" t="s">
        <v>237</v>
      </c>
      <c r="F2047" s="2" t="s">
        <v>535</v>
      </c>
      <c r="G2047" s="2" t="s">
        <v>475</v>
      </c>
      <c r="H2047" s="2" t="s">
        <v>476</v>
      </c>
      <c r="I2047" s="26">
        <v>45194</v>
      </c>
      <c r="J2047" s="2">
        <v>26</v>
      </c>
      <c r="K2047" s="2" t="s">
        <v>123</v>
      </c>
      <c r="L2047" s="22">
        <v>5900</v>
      </c>
      <c r="M2047" s="22">
        <v>153400</v>
      </c>
      <c r="N2047" s="18">
        <v>164.06</v>
      </c>
      <c r="O2047" s="26">
        <v>45374</v>
      </c>
      <c r="P2047" s="2" t="s">
        <v>2105</v>
      </c>
      <c r="Q2047" s="2" t="s">
        <v>814</v>
      </c>
    </row>
    <row r="2048" spans="2:17" x14ac:dyDescent="0.25">
      <c r="B2048" s="2" t="s">
        <v>2853</v>
      </c>
      <c r="C2048" s="2" t="s">
        <v>250</v>
      </c>
      <c r="D2048" s="2" t="s">
        <v>251</v>
      </c>
      <c r="E2048" s="2" t="s">
        <v>237</v>
      </c>
      <c r="F2048" s="2" t="s">
        <v>535</v>
      </c>
      <c r="G2048" s="2" t="s">
        <v>475</v>
      </c>
      <c r="H2048" s="2" t="s">
        <v>476</v>
      </c>
      <c r="I2048" s="26">
        <v>45214</v>
      </c>
      <c r="J2048" s="2">
        <v>22</v>
      </c>
      <c r="K2048" s="2" t="s">
        <v>123</v>
      </c>
      <c r="L2048" s="22">
        <v>5900</v>
      </c>
      <c r="M2048" s="22">
        <v>129800</v>
      </c>
      <c r="N2048" s="18">
        <v>138.82</v>
      </c>
      <c r="O2048" s="26">
        <v>45394</v>
      </c>
      <c r="P2048" s="2" t="s">
        <v>2105</v>
      </c>
      <c r="Q2048" s="2" t="s">
        <v>814</v>
      </c>
    </row>
    <row r="2049" spans="2:17" x14ac:dyDescent="0.25">
      <c r="B2049" s="2" t="s">
        <v>2854</v>
      </c>
      <c r="C2049" s="2" t="s">
        <v>250</v>
      </c>
      <c r="D2049" s="2" t="s">
        <v>251</v>
      </c>
      <c r="E2049" s="2" t="s">
        <v>237</v>
      </c>
      <c r="F2049" s="2" t="s">
        <v>535</v>
      </c>
      <c r="G2049" s="2" t="s">
        <v>475</v>
      </c>
      <c r="H2049" s="2" t="s">
        <v>476</v>
      </c>
      <c r="I2049" s="26">
        <v>45233</v>
      </c>
      <c r="J2049" s="2">
        <v>19</v>
      </c>
      <c r="K2049" s="2" t="s">
        <v>123</v>
      </c>
      <c r="L2049" s="22">
        <v>5900</v>
      </c>
      <c r="M2049" s="22">
        <v>112100</v>
      </c>
      <c r="N2049" s="18">
        <v>119.89</v>
      </c>
      <c r="O2049" s="26">
        <v>45413</v>
      </c>
      <c r="P2049" s="2" t="s">
        <v>2105</v>
      </c>
      <c r="Q2049" s="2" t="s">
        <v>814</v>
      </c>
    </row>
    <row r="2050" spans="2:17" x14ac:dyDescent="0.25">
      <c r="B2050" s="2" t="s">
        <v>2855</v>
      </c>
      <c r="C2050" s="2" t="s">
        <v>250</v>
      </c>
      <c r="D2050" s="2" t="s">
        <v>251</v>
      </c>
      <c r="E2050" s="2" t="s">
        <v>237</v>
      </c>
      <c r="F2050" s="2" t="s">
        <v>535</v>
      </c>
      <c r="G2050" s="2" t="s">
        <v>475</v>
      </c>
      <c r="H2050" s="2" t="s">
        <v>476</v>
      </c>
      <c r="I2050" s="26">
        <v>45248</v>
      </c>
      <c r="J2050" s="2">
        <v>21</v>
      </c>
      <c r="K2050" s="2" t="s">
        <v>123</v>
      </c>
      <c r="L2050" s="22">
        <v>5900</v>
      </c>
      <c r="M2050" s="22">
        <v>123900</v>
      </c>
      <c r="N2050" s="18">
        <v>132.51</v>
      </c>
      <c r="O2050" s="26">
        <v>45428</v>
      </c>
      <c r="P2050" s="2" t="s">
        <v>2105</v>
      </c>
      <c r="Q2050" s="2" t="s">
        <v>814</v>
      </c>
    </row>
    <row r="2051" spans="2:17" x14ac:dyDescent="0.25">
      <c r="B2051" s="2" t="s">
        <v>2856</v>
      </c>
      <c r="C2051" s="2" t="s">
        <v>250</v>
      </c>
      <c r="D2051" s="2" t="s">
        <v>251</v>
      </c>
      <c r="E2051" s="2" t="s">
        <v>237</v>
      </c>
      <c r="F2051" s="2" t="s">
        <v>535</v>
      </c>
      <c r="G2051" s="2" t="s">
        <v>475</v>
      </c>
      <c r="H2051" s="2" t="s">
        <v>476</v>
      </c>
      <c r="I2051" s="26">
        <v>45270</v>
      </c>
      <c r="J2051" s="2">
        <v>29</v>
      </c>
      <c r="K2051" s="2" t="s">
        <v>123</v>
      </c>
      <c r="L2051" s="22">
        <v>5900</v>
      </c>
      <c r="M2051" s="22">
        <v>171100</v>
      </c>
      <c r="N2051" s="18">
        <v>182.99</v>
      </c>
      <c r="O2051" s="26">
        <v>45450</v>
      </c>
      <c r="P2051" s="2" t="s">
        <v>2105</v>
      </c>
      <c r="Q2051" s="2" t="s">
        <v>825</v>
      </c>
    </row>
    <row r="2052" spans="2:17" x14ac:dyDescent="0.25">
      <c r="B2052" s="2" t="s">
        <v>2857</v>
      </c>
      <c r="C2052" s="2" t="s">
        <v>250</v>
      </c>
      <c r="D2052" s="2" t="s">
        <v>251</v>
      </c>
      <c r="E2052" s="2" t="s">
        <v>237</v>
      </c>
      <c r="F2052" s="2" t="s">
        <v>535</v>
      </c>
      <c r="G2052" s="2" t="s">
        <v>475</v>
      </c>
      <c r="H2052" s="2" t="s">
        <v>476</v>
      </c>
      <c r="I2052" s="26">
        <v>45287</v>
      </c>
      <c r="J2052" s="2">
        <v>28</v>
      </c>
      <c r="K2052" s="2" t="s">
        <v>123</v>
      </c>
      <c r="L2052" s="22">
        <v>5900</v>
      </c>
      <c r="M2052" s="22">
        <v>165200</v>
      </c>
      <c r="N2052" s="18">
        <v>176.68</v>
      </c>
      <c r="O2052" s="26">
        <v>45467</v>
      </c>
      <c r="P2052" s="2" t="s">
        <v>2105</v>
      </c>
      <c r="Q2052" s="2" t="s">
        <v>825</v>
      </c>
    </row>
    <row r="2053" spans="2:17" x14ac:dyDescent="0.25">
      <c r="B2053" s="2" t="s">
        <v>2858</v>
      </c>
      <c r="C2053" s="2" t="s">
        <v>250</v>
      </c>
      <c r="D2053" s="2" t="s">
        <v>251</v>
      </c>
      <c r="E2053" s="2" t="s">
        <v>237</v>
      </c>
      <c r="F2053" s="2" t="s">
        <v>535</v>
      </c>
      <c r="G2053" s="2" t="s">
        <v>475</v>
      </c>
      <c r="H2053" s="2" t="s">
        <v>476</v>
      </c>
      <c r="I2053" s="26">
        <v>45306</v>
      </c>
      <c r="J2053" s="2">
        <v>23</v>
      </c>
      <c r="K2053" s="2" t="s">
        <v>123</v>
      </c>
      <c r="L2053" s="22">
        <v>5900</v>
      </c>
      <c r="M2053" s="22">
        <v>135700</v>
      </c>
      <c r="N2053" s="18">
        <v>145.13</v>
      </c>
      <c r="O2053" s="26">
        <v>45486</v>
      </c>
      <c r="P2053" s="2" t="s">
        <v>2105</v>
      </c>
      <c r="Q2053" s="2" t="s">
        <v>825</v>
      </c>
    </row>
    <row r="2054" spans="2:17" x14ac:dyDescent="0.25">
      <c r="B2054" s="2" t="s">
        <v>2859</v>
      </c>
      <c r="C2054" s="2" t="s">
        <v>250</v>
      </c>
      <c r="D2054" s="2" t="s">
        <v>251</v>
      </c>
      <c r="E2054" s="2" t="s">
        <v>237</v>
      </c>
      <c r="F2054" s="2" t="s">
        <v>535</v>
      </c>
      <c r="G2054" s="2" t="s">
        <v>475</v>
      </c>
      <c r="H2054" s="2" t="s">
        <v>476</v>
      </c>
      <c r="I2054" s="26">
        <v>45329</v>
      </c>
      <c r="J2054" s="2">
        <v>18</v>
      </c>
      <c r="K2054" s="2" t="s">
        <v>123</v>
      </c>
      <c r="L2054" s="22">
        <v>5900</v>
      </c>
      <c r="M2054" s="22">
        <v>106200</v>
      </c>
      <c r="N2054" s="18">
        <v>113.58</v>
      </c>
      <c r="O2054" s="26">
        <v>45509</v>
      </c>
      <c r="P2054" s="2" t="s">
        <v>2105</v>
      </c>
      <c r="Q2054" s="2" t="s">
        <v>825</v>
      </c>
    </row>
    <row r="2055" spans="2:17" x14ac:dyDescent="0.25">
      <c r="B2055" s="2" t="s">
        <v>2860</v>
      </c>
      <c r="C2055" s="2" t="s">
        <v>250</v>
      </c>
      <c r="D2055" s="2" t="s">
        <v>251</v>
      </c>
      <c r="E2055" s="2" t="s">
        <v>237</v>
      </c>
      <c r="F2055" s="2" t="s">
        <v>535</v>
      </c>
      <c r="G2055" s="2" t="s">
        <v>475</v>
      </c>
      <c r="H2055" s="2" t="s">
        <v>476</v>
      </c>
      <c r="I2055" s="26">
        <v>45349</v>
      </c>
      <c r="J2055" s="2">
        <v>21</v>
      </c>
      <c r="K2055" s="2" t="s">
        <v>123</v>
      </c>
      <c r="L2055" s="22">
        <v>5900</v>
      </c>
      <c r="M2055" s="22">
        <v>123900</v>
      </c>
      <c r="N2055" s="18">
        <v>132.51</v>
      </c>
      <c r="O2055" s="26">
        <v>45529</v>
      </c>
      <c r="P2055" s="2" t="s">
        <v>2105</v>
      </c>
      <c r="Q2055" s="2" t="s">
        <v>825</v>
      </c>
    </row>
    <row r="2056" spans="2:17" x14ac:dyDescent="0.25">
      <c r="B2056" s="2" t="s">
        <v>2861</v>
      </c>
      <c r="C2056" s="2" t="s">
        <v>250</v>
      </c>
      <c r="D2056" s="2" t="s">
        <v>251</v>
      </c>
      <c r="E2056" s="2" t="s">
        <v>237</v>
      </c>
      <c r="F2056" s="2" t="s">
        <v>535</v>
      </c>
      <c r="G2056" s="2" t="s">
        <v>475</v>
      </c>
      <c r="H2056" s="2" t="s">
        <v>476</v>
      </c>
      <c r="I2056" s="26">
        <v>45375</v>
      </c>
      <c r="J2056" s="2">
        <v>18</v>
      </c>
      <c r="K2056" s="2" t="s">
        <v>123</v>
      </c>
      <c r="L2056" s="22">
        <v>5900</v>
      </c>
      <c r="M2056" s="22">
        <v>106200</v>
      </c>
      <c r="N2056" s="18">
        <v>113.58</v>
      </c>
      <c r="O2056" s="26">
        <v>45555</v>
      </c>
      <c r="P2056" s="2" t="s">
        <v>2105</v>
      </c>
      <c r="Q2056" s="2" t="s">
        <v>836</v>
      </c>
    </row>
    <row r="2057" spans="2:17" x14ac:dyDescent="0.25">
      <c r="B2057" s="2" t="s">
        <v>2862</v>
      </c>
      <c r="C2057" s="2" t="s">
        <v>250</v>
      </c>
      <c r="D2057" s="2" t="s">
        <v>251</v>
      </c>
      <c r="E2057" s="2" t="s">
        <v>237</v>
      </c>
      <c r="F2057" s="2" t="s">
        <v>535</v>
      </c>
      <c r="G2057" s="2" t="s">
        <v>475</v>
      </c>
      <c r="H2057" s="2" t="s">
        <v>476</v>
      </c>
      <c r="I2057" s="26">
        <v>45394</v>
      </c>
      <c r="J2057" s="2">
        <v>19</v>
      </c>
      <c r="K2057" s="2" t="s">
        <v>123</v>
      </c>
      <c r="L2057" s="22">
        <v>5900</v>
      </c>
      <c r="M2057" s="22">
        <v>112100</v>
      </c>
      <c r="N2057" s="18">
        <v>119.89</v>
      </c>
      <c r="O2057" s="26">
        <v>45574</v>
      </c>
      <c r="P2057" s="2" t="s">
        <v>2105</v>
      </c>
      <c r="Q2057" s="2" t="s">
        <v>836</v>
      </c>
    </row>
    <row r="2058" spans="2:17" x14ac:dyDescent="0.25">
      <c r="B2058" s="2" t="s">
        <v>2863</v>
      </c>
      <c r="C2058" s="2" t="s">
        <v>250</v>
      </c>
      <c r="D2058" s="2" t="s">
        <v>251</v>
      </c>
      <c r="E2058" s="2" t="s">
        <v>237</v>
      </c>
      <c r="F2058" s="2" t="s">
        <v>535</v>
      </c>
      <c r="G2058" s="2" t="s">
        <v>475</v>
      </c>
      <c r="H2058" s="2" t="s">
        <v>476</v>
      </c>
      <c r="I2058" s="26">
        <v>45413</v>
      </c>
      <c r="J2058" s="2">
        <v>19</v>
      </c>
      <c r="K2058" s="2" t="s">
        <v>123</v>
      </c>
      <c r="L2058" s="22">
        <v>5900</v>
      </c>
      <c r="M2058" s="22">
        <v>112100</v>
      </c>
      <c r="N2058" s="18">
        <v>119.89</v>
      </c>
      <c r="O2058" s="26">
        <v>45593</v>
      </c>
      <c r="P2058" s="2" t="s">
        <v>2105</v>
      </c>
      <c r="Q2058" s="2" t="s">
        <v>836</v>
      </c>
    </row>
    <row r="2059" spans="2:17" x14ac:dyDescent="0.25">
      <c r="B2059" s="2" t="s">
        <v>2864</v>
      </c>
      <c r="C2059" s="2" t="s">
        <v>250</v>
      </c>
      <c r="D2059" s="2" t="s">
        <v>251</v>
      </c>
      <c r="E2059" s="2" t="s">
        <v>237</v>
      </c>
      <c r="F2059" s="2" t="s">
        <v>535</v>
      </c>
      <c r="G2059" s="2" t="s">
        <v>475</v>
      </c>
      <c r="H2059" s="2" t="s">
        <v>476</v>
      </c>
      <c r="I2059" s="26">
        <v>45437</v>
      </c>
      <c r="J2059" s="2">
        <v>17</v>
      </c>
      <c r="K2059" s="2" t="s">
        <v>123</v>
      </c>
      <c r="L2059" s="22">
        <v>5900</v>
      </c>
      <c r="M2059" s="22">
        <v>100300</v>
      </c>
      <c r="N2059" s="18">
        <v>107.27</v>
      </c>
      <c r="O2059" s="26">
        <v>45617</v>
      </c>
      <c r="P2059" s="2" t="s">
        <v>2105</v>
      </c>
      <c r="Q2059" s="2" t="s">
        <v>836</v>
      </c>
    </row>
    <row r="2060" spans="2:17" x14ac:dyDescent="0.25">
      <c r="B2060" s="2" t="s">
        <v>2865</v>
      </c>
      <c r="C2060" s="2" t="s">
        <v>250</v>
      </c>
      <c r="D2060" s="2" t="s">
        <v>251</v>
      </c>
      <c r="E2060" s="2" t="s">
        <v>237</v>
      </c>
      <c r="F2060" s="2" t="s">
        <v>535</v>
      </c>
      <c r="G2060" s="2" t="s">
        <v>475</v>
      </c>
      <c r="H2060" s="2" t="s">
        <v>476</v>
      </c>
      <c r="I2060" s="26">
        <v>45456</v>
      </c>
      <c r="J2060" s="2">
        <v>23</v>
      </c>
      <c r="K2060" s="2" t="s">
        <v>123</v>
      </c>
      <c r="L2060" s="22">
        <v>5900</v>
      </c>
      <c r="M2060" s="22">
        <v>135700</v>
      </c>
      <c r="N2060" s="18">
        <v>145.13</v>
      </c>
      <c r="O2060" s="26">
        <v>45636</v>
      </c>
      <c r="P2060" s="2" t="s">
        <v>2105</v>
      </c>
      <c r="Q2060" s="2" t="s">
        <v>806</v>
      </c>
    </row>
    <row r="2061" spans="2:17" x14ac:dyDescent="0.25">
      <c r="B2061" s="2" t="s">
        <v>2866</v>
      </c>
      <c r="C2061" s="2" t="s">
        <v>250</v>
      </c>
      <c r="D2061" s="2" t="s">
        <v>251</v>
      </c>
      <c r="E2061" s="2" t="s">
        <v>237</v>
      </c>
      <c r="F2061" s="2" t="s">
        <v>535</v>
      </c>
      <c r="G2061" s="2" t="s">
        <v>475</v>
      </c>
      <c r="H2061" s="2" t="s">
        <v>476</v>
      </c>
      <c r="I2061" s="26">
        <v>45475</v>
      </c>
      <c r="J2061" s="2">
        <v>20</v>
      </c>
      <c r="K2061" s="2" t="s">
        <v>123</v>
      </c>
      <c r="L2061" s="22">
        <v>5900</v>
      </c>
      <c r="M2061" s="22">
        <v>118000</v>
      </c>
      <c r="N2061" s="18">
        <v>126.2</v>
      </c>
      <c r="O2061" s="26">
        <v>45655</v>
      </c>
      <c r="P2061" s="2" t="s">
        <v>2105</v>
      </c>
      <c r="Q2061" s="2" t="s">
        <v>806</v>
      </c>
    </row>
    <row r="2062" spans="2:17" x14ac:dyDescent="0.25">
      <c r="B2062" s="2" t="s">
        <v>2867</v>
      </c>
      <c r="C2062" s="2" t="s">
        <v>250</v>
      </c>
      <c r="D2062" s="2" t="s">
        <v>251</v>
      </c>
      <c r="E2062" s="2" t="s">
        <v>237</v>
      </c>
      <c r="F2062" s="2" t="s">
        <v>535</v>
      </c>
      <c r="G2062" s="2" t="s">
        <v>475</v>
      </c>
      <c r="H2062" s="2" t="s">
        <v>476</v>
      </c>
      <c r="I2062" s="26">
        <v>45496</v>
      </c>
      <c r="J2062" s="2">
        <v>22</v>
      </c>
      <c r="K2062" s="2" t="s">
        <v>123</v>
      </c>
      <c r="L2062" s="22">
        <v>5900</v>
      </c>
      <c r="M2062" s="22">
        <v>129800</v>
      </c>
      <c r="N2062" s="18">
        <v>138.82</v>
      </c>
      <c r="O2062" s="26">
        <v>45676</v>
      </c>
      <c r="P2062" s="2" t="s">
        <v>2105</v>
      </c>
      <c r="Q2062" s="2" t="s">
        <v>806</v>
      </c>
    </row>
    <row r="2063" spans="2:17" x14ac:dyDescent="0.25">
      <c r="B2063" s="2" t="s">
        <v>2868</v>
      </c>
      <c r="C2063" s="2" t="s">
        <v>250</v>
      </c>
      <c r="D2063" s="2" t="s">
        <v>251</v>
      </c>
      <c r="E2063" s="2" t="s">
        <v>237</v>
      </c>
      <c r="F2063" s="2" t="s">
        <v>535</v>
      </c>
      <c r="G2063" s="2" t="s">
        <v>475</v>
      </c>
      <c r="H2063" s="2" t="s">
        <v>476</v>
      </c>
      <c r="I2063" s="26">
        <v>45520</v>
      </c>
      <c r="J2063" s="2">
        <v>18</v>
      </c>
      <c r="K2063" s="2" t="s">
        <v>123</v>
      </c>
      <c r="L2063" s="22">
        <v>5900</v>
      </c>
      <c r="M2063" s="22">
        <v>106200</v>
      </c>
      <c r="N2063" s="18">
        <v>113.58</v>
      </c>
      <c r="O2063" s="26">
        <v>45700</v>
      </c>
      <c r="P2063" s="2" t="s">
        <v>2105</v>
      </c>
      <c r="Q2063" s="2" t="s">
        <v>806</v>
      </c>
    </row>
    <row r="2064" spans="2:17" x14ac:dyDescent="0.25">
      <c r="B2064" s="2" t="s">
        <v>2869</v>
      </c>
      <c r="C2064" s="2" t="s">
        <v>250</v>
      </c>
      <c r="D2064" s="2" t="s">
        <v>251</v>
      </c>
      <c r="E2064" s="2" t="s">
        <v>237</v>
      </c>
      <c r="F2064" s="2" t="s">
        <v>535</v>
      </c>
      <c r="G2064" s="2" t="s">
        <v>475</v>
      </c>
      <c r="H2064" s="2" t="s">
        <v>476</v>
      </c>
      <c r="I2064" s="26">
        <v>45544</v>
      </c>
      <c r="J2064" s="2">
        <v>28</v>
      </c>
      <c r="K2064" s="2" t="s">
        <v>123</v>
      </c>
      <c r="L2064" s="22">
        <v>5900</v>
      </c>
      <c r="M2064" s="22">
        <v>165200</v>
      </c>
      <c r="N2064" s="18">
        <v>176.68</v>
      </c>
      <c r="O2064" s="26">
        <v>45724</v>
      </c>
      <c r="P2064" s="2" t="s">
        <v>2105</v>
      </c>
      <c r="Q2064" s="2" t="s">
        <v>814</v>
      </c>
    </row>
    <row r="2065" spans="2:17" x14ac:dyDescent="0.25">
      <c r="B2065" s="2" t="s">
        <v>2870</v>
      </c>
      <c r="C2065" s="2" t="s">
        <v>250</v>
      </c>
      <c r="D2065" s="2" t="s">
        <v>251</v>
      </c>
      <c r="E2065" s="2" t="s">
        <v>237</v>
      </c>
      <c r="F2065" s="2" t="s">
        <v>535</v>
      </c>
      <c r="G2065" s="2" t="s">
        <v>475</v>
      </c>
      <c r="H2065" s="2" t="s">
        <v>476</v>
      </c>
      <c r="I2065" s="26">
        <v>45566</v>
      </c>
      <c r="J2065" s="2">
        <v>19</v>
      </c>
      <c r="K2065" s="2" t="s">
        <v>123</v>
      </c>
      <c r="L2065" s="22">
        <v>5900</v>
      </c>
      <c r="M2065" s="22">
        <v>112100</v>
      </c>
      <c r="N2065" s="18">
        <v>119.89</v>
      </c>
      <c r="O2065" s="26">
        <v>45746</v>
      </c>
      <c r="P2065" s="2" t="s">
        <v>2105</v>
      </c>
      <c r="Q2065" s="2" t="s">
        <v>814</v>
      </c>
    </row>
    <row r="2066" spans="2:17" x14ac:dyDescent="0.25">
      <c r="B2066" s="2" t="s">
        <v>2871</v>
      </c>
      <c r="C2066" s="2" t="s">
        <v>250</v>
      </c>
      <c r="D2066" s="2" t="s">
        <v>251</v>
      </c>
      <c r="E2066" s="2" t="s">
        <v>237</v>
      </c>
      <c r="F2066" s="2" t="s">
        <v>535</v>
      </c>
      <c r="G2066" s="2" t="s">
        <v>475</v>
      </c>
      <c r="H2066" s="2" t="s">
        <v>476</v>
      </c>
      <c r="I2066" s="26">
        <v>45582</v>
      </c>
      <c r="J2066" s="2">
        <v>19</v>
      </c>
      <c r="K2066" s="2" t="s">
        <v>123</v>
      </c>
      <c r="L2066" s="22">
        <v>5900</v>
      </c>
      <c r="M2066" s="22">
        <v>112100</v>
      </c>
      <c r="N2066" s="18">
        <v>119.89</v>
      </c>
      <c r="O2066" s="26">
        <v>45762</v>
      </c>
      <c r="P2066" s="2" t="s">
        <v>2105</v>
      </c>
      <c r="Q2066" s="2" t="s">
        <v>814</v>
      </c>
    </row>
    <row r="2067" spans="2:17" x14ac:dyDescent="0.25">
      <c r="B2067" s="2" t="s">
        <v>2872</v>
      </c>
      <c r="C2067" s="2" t="s">
        <v>250</v>
      </c>
      <c r="D2067" s="2" t="s">
        <v>251</v>
      </c>
      <c r="E2067" s="2" t="s">
        <v>237</v>
      </c>
      <c r="F2067" s="2" t="s">
        <v>535</v>
      </c>
      <c r="G2067" s="2" t="s">
        <v>475</v>
      </c>
      <c r="H2067" s="2" t="s">
        <v>476</v>
      </c>
      <c r="I2067" s="26">
        <v>45594</v>
      </c>
      <c r="J2067" s="2">
        <v>19</v>
      </c>
      <c r="K2067" s="2" t="s">
        <v>123</v>
      </c>
      <c r="L2067" s="22">
        <v>5900</v>
      </c>
      <c r="M2067" s="22">
        <v>112100</v>
      </c>
      <c r="N2067" s="18">
        <v>119.89</v>
      </c>
      <c r="O2067" s="26">
        <v>45774</v>
      </c>
      <c r="P2067" s="2" t="s">
        <v>2105</v>
      </c>
      <c r="Q2067" s="2" t="s">
        <v>814</v>
      </c>
    </row>
    <row r="2068" spans="2:17" x14ac:dyDescent="0.25">
      <c r="B2068" s="2" t="s">
        <v>2873</v>
      </c>
      <c r="C2068" s="2" t="s">
        <v>250</v>
      </c>
      <c r="D2068" s="2" t="s">
        <v>251</v>
      </c>
      <c r="E2068" s="2" t="s">
        <v>237</v>
      </c>
      <c r="F2068" s="2" t="s">
        <v>535</v>
      </c>
      <c r="G2068" s="2" t="s">
        <v>475</v>
      </c>
      <c r="H2068" s="2" t="s">
        <v>476</v>
      </c>
      <c r="I2068" s="26">
        <v>45621</v>
      </c>
      <c r="J2068" s="2">
        <v>23</v>
      </c>
      <c r="K2068" s="2" t="s">
        <v>123</v>
      </c>
      <c r="L2068" s="22">
        <v>5900</v>
      </c>
      <c r="M2068" s="22">
        <v>135700</v>
      </c>
      <c r="N2068" s="18">
        <v>145.13</v>
      </c>
      <c r="O2068" s="26">
        <v>45801</v>
      </c>
      <c r="P2068" s="2" t="s">
        <v>2105</v>
      </c>
      <c r="Q2068" s="2" t="s">
        <v>814</v>
      </c>
    </row>
    <row r="2069" spans="2:17" x14ac:dyDescent="0.25">
      <c r="B2069" s="2" t="s">
        <v>2874</v>
      </c>
      <c r="C2069" s="2" t="s">
        <v>250</v>
      </c>
      <c r="D2069" s="2" t="s">
        <v>251</v>
      </c>
      <c r="E2069" s="2" t="s">
        <v>237</v>
      </c>
      <c r="F2069" s="2" t="s">
        <v>535</v>
      </c>
      <c r="G2069" s="2" t="s">
        <v>475</v>
      </c>
      <c r="H2069" s="2" t="s">
        <v>476</v>
      </c>
      <c r="I2069" s="26">
        <v>45641</v>
      </c>
      <c r="J2069" s="2">
        <v>28</v>
      </c>
      <c r="K2069" s="2" t="s">
        <v>123</v>
      </c>
      <c r="L2069" s="22">
        <v>5900</v>
      </c>
      <c r="M2069" s="22">
        <v>165200</v>
      </c>
      <c r="N2069" s="18">
        <v>176.68</v>
      </c>
      <c r="O2069" s="26">
        <v>45821</v>
      </c>
      <c r="P2069" s="2" t="s">
        <v>2105</v>
      </c>
      <c r="Q2069" s="2" t="s">
        <v>825</v>
      </c>
    </row>
    <row r="2070" spans="2:17" x14ac:dyDescent="0.25">
      <c r="B2070" s="2" t="s">
        <v>2875</v>
      </c>
      <c r="C2070" s="2" t="s">
        <v>250</v>
      </c>
      <c r="D2070" s="2" t="s">
        <v>251</v>
      </c>
      <c r="E2070" s="2" t="s">
        <v>237</v>
      </c>
      <c r="F2070" s="2" t="s">
        <v>535</v>
      </c>
      <c r="G2070" s="2" t="s">
        <v>475</v>
      </c>
      <c r="H2070" s="2" t="s">
        <v>476</v>
      </c>
      <c r="I2070" s="26">
        <v>45669</v>
      </c>
      <c r="J2070" s="2">
        <v>21</v>
      </c>
      <c r="K2070" s="2" t="s">
        <v>123</v>
      </c>
      <c r="L2070" s="22">
        <v>5900</v>
      </c>
      <c r="M2070" s="22">
        <v>123900</v>
      </c>
      <c r="N2070" s="18">
        <v>132.51</v>
      </c>
      <c r="O2070" s="26">
        <v>45849</v>
      </c>
      <c r="P2070" s="2" t="s">
        <v>2105</v>
      </c>
      <c r="Q2070" s="2" t="s">
        <v>825</v>
      </c>
    </row>
    <row r="2071" spans="2:17" x14ac:dyDescent="0.25">
      <c r="B2071" s="2" t="s">
        <v>2876</v>
      </c>
      <c r="C2071" s="2" t="s">
        <v>250</v>
      </c>
      <c r="D2071" s="2" t="s">
        <v>251</v>
      </c>
      <c r="E2071" s="2" t="s">
        <v>237</v>
      </c>
      <c r="F2071" s="2" t="s">
        <v>535</v>
      </c>
      <c r="G2071" s="2" t="s">
        <v>475</v>
      </c>
      <c r="H2071" s="2" t="s">
        <v>476</v>
      </c>
      <c r="I2071" s="26">
        <v>45684</v>
      </c>
      <c r="J2071" s="2">
        <v>20</v>
      </c>
      <c r="K2071" s="2" t="s">
        <v>123</v>
      </c>
      <c r="L2071" s="22">
        <v>5900</v>
      </c>
      <c r="M2071" s="22">
        <v>118000</v>
      </c>
      <c r="N2071" s="18">
        <v>126.2</v>
      </c>
      <c r="O2071" s="26">
        <v>45864</v>
      </c>
      <c r="P2071" s="2" t="s">
        <v>2105</v>
      </c>
      <c r="Q2071" s="2" t="s">
        <v>825</v>
      </c>
    </row>
    <row r="2072" spans="2:17" x14ac:dyDescent="0.25">
      <c r="B2072" s="2" t="s">
        <v>2877</v>
      </c>
      <c r="C2072" s="2" t="s">
        <v>250</v>
      </c>
      <c r="D2072" s="2" t="s">
        <v>251</v>
      </c>
      <c r="E2072" s="2" t="s">
        <v>237</v>
      </c>
      <c r="F2072" s="2" t="s">
        <v>535</v>
      </c>
      <c r="G2072" s="2" t="s">
        <v>475</v>
      </c>
      <c r="H2072" s="2" t="s">
        <v>476</v>
      </c>
      <c r="I2072" s="26">
        <v>45703</v>
      </c>
      <c r="J2072" s="2">
        <v>19</v>
      </c>
      <c r="K2072" s="2" t="s">
        <v>123</v>
      </c>
      <c r="L2072" s="22">
        <v>5900</v>
      </c>
      <c r="M2072" s="22">
        <v>112100</v>
      </c>
      <c r="N2072" s="18">
        <v>119.89</v>
      </c>
      <c r="O2072" s="26">
        <v>45883</v>
      </c>
      <c r="P2072" s="2" t="s">
        <v>2105</v>
      </c>
      <c r="Q2072" s="2" t="s">
        <v>825</v>
      </c>
    </row>
    <row r="2073" spans="2:17" x14ac:dyDescent="0.25">
      <c r="B2073" s="2" t="s">
        <v>2878</v>
      </c>
      <c r="C2073" s="2" t="s">
        <v>250</v>
      </c>
      <c r="D2073" s="2" t="s">
        <v>251</v>
      </c>
      <c r="E2073" s="2" t="s">
        <v>237</v>
      </c>
      <c r="F2073" s="2" t="s">
        <v>535</v>
      </c>
      <c r="G2073" s="2" t="s">
        <v>475</v>
      </c>
      <c r="H2073" s="2" t="s">
        <v>476</v>
      </c>
      <c r="I2073" s="26">
        <v>45724</v>
      </c>
      <c r="J2073" s="2">
        <v>23</v>
      </c>
      <c r="K2073" s="2" t="s">
        <v>123</v>
      </c>
      <c r="L2073" s="22">
        <v>5900</v>
      </c>
      <c r="M2073" s="22">
        <v>135700</v>
      </c>
      <c r="N2073" s="18">
        <v>145.13</v>
      </c>
      <c r="O2073" s="26">
        <v>45904</v>
      </c>
      <c r="P2073" s="2" t="s">
        <v>2105</v>
      </c>
      <c r="Q2073" s="2" t="s">
        <v>836</v>
      </c>
    </row>
    <row r="2074" spans="2:17" x14ac:dyDescent="0.25">
      <c r="B2074" s="2" t="s">
        <v>2879</v>
      </c>
      <c r="C2074" s="2" t="s">
        <v>250</v>
      </c>
      <c r="D2074" s="2" t="s">
        <v>251</v>
      </c>
      <c r="E2074" s="2" t="s">
        <v>237</v>
      </c>
      <c r="F2074" s="2" t="s">
        <v>535</v>
      </c>
      <c r="G2074" s="2" t="s">
        <v>475</v>
      </c>
      <c r="H2074" s="2" t="s">
        <v>476</v>
      </c>
      <c r="I2074" s="26">
        <v>45749</v>
      </c>
      <c r="J2074" s="2">
        <v>24</v>
      </c>
      <c r="K2074" s="2" t="s">
        <v>123</v>
      </c>
      <c r="L2074" s="22">
        <v>5900</v>
      </c>
      <c r="M2074" s="22">
        <v>141600</v>
      </c>
      <c r="N2074" s="18">
        <v>151.44</v>
      </c>
      <c r="O2074" s="26">
        <v>45929</v>
      </c>
      <c r="P2074" s="2" t="s">
        <v>2105</v>
      </c>
      <c r="Q2074" s="2" t="s">
        <v>836</v>
      </c>
    </row>
    <row r="2075" spans="2:17" x14ac:dyDescent="0.25">
      <c r="B2075" s="2" t="s">
        <v>2880</v>
      </c>
      <c r="C2075" s="2" t="s">
        <v>250</v>
      </c>
      <c r="D2075" s="2" t="s">
        <v>251</v>
      </c>
      <c r="E2075" s="2" t="s">
        <v>237</v>
      </c>
      <c r="F2075" s="2" t="s">
        <v>535</v>
      </c>
      <c r="G2075" s="2" t="s">
        <v>475</v>
      </c>
      <c r="H2075" s="2" t="s">
        <v>476</v>
      </c>
      <c r="I2075" s="26">
        <v>45762</v>
      </c>
      <c r="J2075" s="2">
        <v>19</v>
      </c>
      <c r="K2075" s="2" t="s">
        <v>123</v>
      </c>
      <c r="L2075" s="22">
        <v>5900</v>
      </c>
      <c r="M2075" s="22">
        <v>112100</v>
      </c>
      <c r="N2075" s="18">
        <v>119.89</v>
      </c>
      <c r="O2075" s="26">
        <v>45942</v>
      </c>
      <c r="P2075" s="2" t="s">
        <v>2105</v>
      </c>
      <c r="Q2075" s="2" t="s">
        <v>836</v>
      </c>
    </row>
    <row r="2076" spans="2:17" x14ac:dyDescent="0.25">
      <c r="B2076" s="2" t="s">
        <v>2881</v>
      </c>
      <c r="C2076" s="2" t="s">
        <v>250</v>
      </c>
      <c r="D2076" s="2" t="s">
        <v>251</v>
      </c>
      <c r="E2076" s="2" t="s">
        <v>237</v>
      </c>
      <c r="F2076" s="2" t="s">
        <v>535</v>
      </c>
      <c r="G2076" s="2" t="s">
        <v>475</v>
      </c>
      <c r="H2076" s="2" t="s">
        <v>476</v>
      </c>
      <c r="I2076" s="26">
        <v>45785</v>
      </c>
      <c r="J2076" s="2">
        <v>23</v>
      </c>
      <c r="K2076" s="2" t="s">
        <v>123</v>
      </c>
      <c r="L2076" s="22">
        <v>5900</v>
      </c>
      <c r="M2076" s="22">
        <v>135700</v>
      </c>
      <c r="N2076" s="18">
        <v>145.13</v>
      </c>
      <c r="O2076" s="26">
        <v>45965</v>
      </c>
      <c r="P2076" s="2" t="s">
        <v>2105</v>
      </c>
      <c r="Q2076" s="2" t="s">
        <v>836</v>
      </c>
    </row>
    <row r="2077" spans="2:17" x14ac:dyDescent="0.25">
      <c r="B2077" s="2" t="s">
        <v>2882</v>
      </c>
      <c r="C2077" s="2" t="s">
        <v>250</v>
      </c>
      <c r="D2077" s="2" t="s">
        <v>251</v>
      </c>
      <c r="E2077" s="2" t="s">
        <v>237</v>
      </c>
      <c r="F2077" s="2" t="s">
        <v>535</v>
      </c>
      <c r="G2077" s="2" t="s">
        <v>475</v>
      </c>
      <c r="H2077" s="2" t="s">
        <v>476</v>
      </c>
      <c r="I2077" s="26">
        <v>45802</v>
      </c>
      <c r="J2077" s="2">
        <v>21</v>
      </c>
      <c r="K2077" s="2" t="s">
        <v>123</v>
      </c>
      <c r="L2077" s="22">
        <v>5900</v>
      </c>
      <c r="M2077" s="22">
        <v>123900</v>
      </c>
      <c r="N2077" s="18">
        <v>132.51</v>
      </c>
      <c r="O2077" s="26">
        <v>45982</v>
      </c>
      <c r="P2077" s="2" t="s">
        <v>2105</v>
      </c>
      <c r="Q2077" s="2" t="s">
        <v>836</v>
      </c>
    </row>
    <row r="2078" spans="2:17" x14ac:dyDescent="0.25">
      <c r="B2078" s="2" t="s">
        <v>2883</v>
      </c>
      <c r="C2078" s="2" t="s">
        <v>250</v>
      </c>
      <c r="D2078" s="2" t="s">
        <v>251</v>
      </c>
      <c r="E2078" s="2" t="s">
        <v>237</v>
      </c>
      <c r="F2078" s="2" t="s">
        <v>535</v>
      </c>
      <c r="G2078" s="2" t="s">
        <v>475</v>
      </c>
      <c r="H2078" s="2" t="s">
        <v>476</v>
      </c>
      <c r="I2078" s="26">
        <v>45821</v>
      </c>
      <c r="J2078" s="2">
        <v>21</v>
      </c>
      <c r="K2078" s="2" t="s">
        <v>123</v>
      </c>
      <c r="L2078" s="22">
        <v>5900</v>
      </c>
      <c r="M2078" s="22">
        <v>123900</v>
      </c>
      <c r="N2078" s="18">
        <v>132.51</v>
      </c>
      <c r="O2078" s="26">
        <v>46001</v>
      </c>
      <c r="P2078" s="2" t="s">
        <v>2105</v>
      </c>
      <c r="Q2078" s="2" t="s">
        <v>806</v>
      </c>
    </row>
    <row r="2079" spans="2:17" x14ac:dyDescent="0.25">
      <c r="B2079" s="2" t="s">
        <v>2884</v>
      </c>
      <c r="C2079" s="2" t="s">
        <v>252</v>
      </c>
      <c r="D2079" s="2" t="s">
        <v>253</v>
      </c>
      <c r="E2079" s="2" t="s">
        <v>237</v>
      </c>
      <c r="F2079" s="2" t="s">
        <v>537</v>
      </c>
      <c r="G2079" s="2" t="s">
        <v>480</v>
      </c>
      <c r="H2079" s="2" t="s">
        <v>481</v>
      </c>
      <c r="I2079" s="26">
        <v>45112</v>
      </c>
      <c r="J2079" s="2">
        <v>23</v>
      </c>
      <c r="K2079" s="2" t="s">
        <v>123</v>
      </c>
      <c r="L2079" s="22">
        <v>4300</v>
      </c>
      <c r="M2079" s="22">
        <v>98900</v>
      </c>
      <c r="N2079" s="18">
        <v>105.78</v>
      </c>
      <c r="O2079" s="26">
        <v>45292</v>
      </c>
      <c r="P2079" s="2" t="s">
        <v>2105</v>
      </c>
      <c r="Q2079" s="2" t="s">
        <v>806</v>
      </c>
    </row>
    <row r="2080" spans="2:17" x14ac:dyDescent="0.25">
      <c r="B2080" s="2" t="s">
        <v>2885</v>
      </c>
      <c r="C2080" s="2" t="s">
        <v>252</v>
      </c>
      <c r="D2080" s="2" t="s">
        <v>253</v>
      </c>
      <c r="E2080" s="2" t="s">
        <v>237</v>
      </c>
      <c r="F2080" s="2" t="s">
        <v>535</v>
      </c>
      <c r="G2080" s="2" t="s">
        <v>475</v>
      </c>
      <c r="H2080" s="2" t="s">
        <v>476</v>
      </c>
      <c r="I2080" s="26">
        <v>45126</v>
      </c>
      <c r="J2080" s="2">
        <v>22</v>
      </c>
      <c r="K2080" s="2" t="s">
        <v>123</v>
      </c>
      <c r="L2080" s="22">
        <v>4050</v>
      </c>
      <c r="M2080" s="22">
        <v>89100</v>
      </c>
      <c r="N2080" s="18">
        <v>95.29</v>
      </c>
      <c r="O2080" s="26">
        <v>45306</v>
      </c>
      <c r="P2080" s="2" t="s">
        <v>2105</v>
      </c>
      <c r="Q2080" s="2" t="s">
        <v>806</v>
      </c>
    </row>
    <row r="2081" spans="2:17" x14ac:dyDescent="0.25">
      <c r="B2081" s="2" t="s">
        <v>2886</v>
      </c>
      <c r="C2081" s="2" t="s">
        <v>252</v>
      </c>
      <c r="D2081" s="2" t="s">
        <v>253</v>
      </c>
      <c r="E2081" s="2" t="s">
        <v>237</v>
      </c>
      <c r="F2081" s="2" t="s">
        <v>535</v>
      </c>
      <c r="G2081" s="2" t="s">
        <v>475</v>
      </c>
      <c r="H2081" s="2" t="s">
        <v>476</v>
      </c>
      <c r="I2081" s="26">
        <v>45149</v>
      </c>
      <c r="J2081" s="2">
        <v>19</v>
      </c>
      <c r="K2081" s="2" t="s">
        <v>123</v>
      </c>
      <c r="L2081" s="22">
        <v>4050</v>
      </c>
      <c r="M2081" s="22">
        <v>76950</v>
      </c>
      <c r="N2081" s="18">
        <v>82.3</v>
      </c>
      <c r="O2081" s="26">
        <v>45329</v>
      </c>
      <c r="P2081" s="2" t="s">
        <v>2105</v>
      </c>
      <c r="Q2081" s="2" t="s">
        <v>806</v>
      </c>
    </row>
    <row r="2082" spans="2:17" x14ac:dyDescent="0.25">
      <c r="B2082" s="2" t="s">
        <v>2887</v>
      </c>
      <c r="C2082" s="2" t="s">
        <v>252</v>
      </c>
      <c r="D2082" s="2" t="s">
        <v>253</v>
      </c>
      <c r="E2082" s="2" t="s">
        <v>237</v>
      </c>
      <c r="F2082" s="2" t="s">
        <v>535</v>
      </c>
      <c r="G2082" s="2" t="s">
        <v>475</v>
      </c>
      <c r="H2082" s="2" t="s">
        <v>476</v>
      </c>
      <c r="I2082" s="26">
        <v>45165</v>
      </c>
      <c r="J2082" s="2">
        <v>20</v>
      </c>
      <c r="K2082" s="2" t="s">
        <v>123</v>
      </c>
      <c r="L2082" s="22">
        <v>4050</v>
      </c>
      <c r="M2082" s="22">
        <v>81000</v>
      </c>
      <c r="N2082" s="18">
        <v>86.63</v>
      </c>
      <c r="O2082" s="26">
        <v>45345</v>
      </c>
      <c r="P2082" s="2" t="s">
        <v>2105</v>
      </c>
      <c r="Q2082" s="2" t="s">
        <v>806</v>
      </c>
    </row>
    <row r="2083" spans="2:17" x14ac:dyDescent="0.25">
      <c r="B2083" s="2" t="s">
        <v>2888</v>
      </c>
      <c r="C2083" s="2" t="s">
        <v>252</v>
      </c>
      <c r="D2083" s="2" t="s">
        <v>253</v>
      </c>
      <c r="E2083" s="2" t="s">
        <v>237</v>
      </c>
      <c r="F2083" s="2" t="s">
        <v>535</v>
      </c>
      <c r="G2083" s="2" t="s">
        <v>475</v>
      </c>
      <c r="H2083" s="2" t="s">
        <v>476</v>
      </c>
      <c r="I2083" s="26">
        <v>45186</v>
      </c>
      <c r="J2083" s="2">
        <v>23</v>
      </c>
      <c r="K2083" s="2" t="s">
        <v>123</v>
      </c>
      <c r="L2083" s="22">
        <v>4050</v>
      </c>
      <c r="M2083" s="22">
        <v>93150</v>
      </c>
      <c r="N2083" s="18">
        <v>99.63</v>
      </c>
      <c r="O2083" s="26">
        <v>45366</v>
      </c>
      <c r="P2083" s="2" t="s">
        <v>2105</v>
      </c>
      <c r="Q2083" s="2" t="s">
        <v>814</v>
      </c>
    </row>
    <row r="2084" spans="2:17" x14ac:dyDescent="0.25">
      <c r="B2084" s="2" t="s">
        <v>2889</v>
      </c>
      <c r="C2084" s="2" t="s">
        <v>252</v>
      </c>
      <c r="D2084" s="2" t="s">
        <v>253</v>
      </c>
      <c r="E2084" s="2" t="s">
        <v>237</v>
      </c>
      <c r="F2084" s="2" t="s">
        <v>535</v>
      </c>
      <c r="G2084" s="2" t="s">
        <v>475</v>
      </c>
      <c r="H2084" s="2" t="s">
        <v>476</v>
      </c>
      <c r="I2084" s="26">
        <v>45206</v>
      </c>
      <c r="J2084" s="2">
        <v>21</v>
      </c>
      <c r="K2084" s="2" t="s">
        <v>123</v>
      </c>
      <c r="L2084" s="22">
        <v>4050</v>
      </c>
      <c r="M2084" s="22">
        <v>85050</v>
      </c>
      <c r="N2084" s="18">
        <v>90.96</v>
      </c>
      <c r="O2084" s="26">
        <v>45386</v>
      </c>
      <c r="P2084" s="2" t="s">
        <v>2105</v>
      </c>
      <c r="Q2084" s="2" t="s">
        <v>814</v>
      </c>
    </row>
    <row r="2085" spans="2:17" x14ac:dyDescent="0.25">
      <c r="B2085" s="2" t="s">
        <v>2890</v>
      </c>
      <c r="C2085" s="2" t="s">
        <v>252</v>
      </c>
      <c r="D2085" s="2" t="s">
        <v>253</v>
      </c>
      <c r="E2085" s="2" t="s">
        <v>237</v>
      </c>
      <c r="F2085" s="2" t="s">
        <v>535</v>
      </c>
      <c r="G2085" s="2" t="s">
        <v>475</v>
      </c>
      <c r="H2085" s="2" t="s">
        <v>476</v>
      </c>
      <c r="I2085" s="26">
        <v>45225</v>
      </c>
      <c r="J2085" s="2">
        <v>18</v>
      </c>
      <c r="K2085" s="2" t="s">
        <v>123</v>
      </c>
      <c r="L2085" s="22">
        <v>4050</v>
      </c>
      <c r="M2085" s="22">
        <v>72900</v>
      </c>
      <c r="N2085" s="18">
        <v>77.97</v>
      </c>
      <c r="O2085" s="26">
        <v>45405</v>
      </c>
      <c r="P2085" s="2" t="s">
        <v>2105</v>
      </c>
      <c r="Q2085" s="2" t="s">
        <v>814</v>
      </c>
    </row>
    <row r="2086" spans="2:17" x14ac:dyDescent="0.25">
      <c r="B2086" s="2" t="s">
        <v>2891</v>
      </c>
      <c r="C2086" s="2" t="s">
        <v>252</v>
      </c>
      <c r="D2086" s="2" t="s">
        <v>253</v>
      </c>
      <c r="E2086" s="2" t="s">
        <v>237</v>
      </c>
      <c r="F2086" s="2" t="s">
        <v>535</v>
      </c>
      <c r="G2086" s="2" t="s">
        <v>475</v>
      </c>
      <c r="H2086" s="2" t="s">
        <v>476</v>
      </c>
      <c r="I2086" s="26">
        <v>45244</v>
      </c>
      <c r="J2086" s="2">
        <v>19</v>
      </c>
      <c r="K2086" s="2" t="s">
        <v>123</v>
      </c>
      <c r="L2086" s="22">
        <v>4050</v>
      </c>
      <c r="M2086" s="22">
        <v>76950</v>
      </c>
      <c r="N2086" s="18">
        <v>82.3</v>
      </c>
      <c r="O2086" s="26">
        <v>45424</v>
      </c>
      <c r="P2086" s="2" t="s">
        <v>2105</v>
      </c>
      <c r="Q2086" s="2" t="s">
        <v>814</v>
      </c>
    </row>
    <row r="2087" spans="2:17" x14ac:dyDescent="0.25">
      <c r="B2087" s="2" t="s">
        <v>2892</v>
      </c>
      <c r="C2087" s="2" t="s">
        <v>252</v>
      </c>
      <c r="D2087" s="2" t="s">
        <v>253</v>
      </c>
      <c r="E2087" s="2" t="s">
        <v>237</v>
      </c>
      <c r="F2087" s="2" t="s">
        <v>535</v>
      </c>
      <c r="G2087" s="2" t="s">
        <v>475</v>
      </c>
      <c r="H2087" s="2" t="s">
        <v>476</v>
      </c>
      <c r="I2087" s="26">
        <v>45263</v>
      </c>
      <c r="J2087" s="2">
        <v>29</v>
      </c>
      <c r="K2087" s="2" t="s">
        <v>123</v>
      </c>
      <c r="L2087" s="22">
        <v>4050</v>
      </c>
      <c r="M2087" s="22">
        <v>117450</v>
      </c>
      <c r="N2087" s="18">
        <v>125.61</v>
      </c>
      <c r="O2087" s="26">
        <v>45443</v>
      </c>
      <c r="P2087" s="2" t="s">
        <v>2105</v>
      </c>
      <c r="Q2087" s="2" t="s">
        <v>825</v>
      </c>
    </row>
    <row r="2088" spans="2:17" x14ac:dyDescent="0.25">
      <c r="B2088" s="2" t="s">
        <v>2893</v>
      </c>
      <c r="C2088" s="2" t="s">
        <v>252</v>
      </c>
      <c r="D2088" s="2" t="s">
        <v>253</v>
      </c>
      <c r="E2088" s="2" t="s">
        <v>237</v>
      </c>
      <c r="F2088" s="2" t="s">
        <v>535</v>
      </c>
      <c r="G2088" s="2" t="s">
        <v>475</v>
      </c>
      <c r="H2088" s="2" t="s">
        <v>476</v>
      </c>
      <c r="I2088" s="26">
        <v>45284</v>
      </c>
      <c r="J2088" s="2">
        <v>23</v>
      </c>
      <c r="K2088" s="2" t="s">
        <v>123</v>
      </c>
      <c r="L2088" s="22">
        <v>4050</v>
      </c>
      <c r="M2088" s="22">
        <v>93150</v>
      </c>
      <c r="N2088" s="18">
        <v>99.63</v>
      </c>
      <c r="O2088" s="26">
        <v>45464</v>
      </c>
      <c r="P2088" s="2" t="s">
        <v>2105</v>
      </c>
      <c r="Q2088" s="2" t="s">
        <v>825</v>
      </c>
    </row>
    <row r="2089" spans="2:17" x14ac:dyDescent="0.25">
      <c r="B2089" s="2" t="s">
        <v>2894</v>
      </c>
      <c r="C2089" s="2" t="s">
        <v>252</v>
      </c>
      <c r="D2089" s="2" t="s">
        <v>253</v>
      </c>
      <c r="E2089" s="2" t="s">
        <v>237</v>
      </c>
      <c r="F2089" s="2" t="s">
        <v>535</v>
      </c>
      <c r="G2089" s="2" t="s">
        <v>475</v>
      </c>
      <c r="H2089" s="2" t="s">
        <v>476</v>
      </c>
      <c r="I2089" s="26">
        <v>45303</v>
      </c>
      <c r="J2089" s="2">
        <v>22</v>
      </c>
      <c r="K2089" s="2" t="s">
        <v>123</v>
      </c>
      <c r="L2089" s="22">
        <v>4050</v>
      </c>
      <c r="M2089" s="22">
        <v>89100</v>
      </c>
      <c r="N2089" s="18">
        <v>95.29</v>
      </c>
      <c r="O2089" s="26">
        <v>45483</v>
      </c>
      <c r="P2089" s="2" t="s">
        <v>2105</v>
      </c>
      <c r="Q2089" s="2" t="s">
        <v>825</v>
      </c>
    </row>
    <row r="2090" spans="2:17" x14ac:dyDescent="0.25">
      <c r="B2090" s="2" t="s">
        <v>2895</v>
      </c>
      <c r="C2090" s="2" t="s">
        <v>252</v>
      </c>
      <c r="D2090" s="2" t="s">
        <v>253</v>
      </c>
      <c r="E2090" s="2" t="s">
        <v>237</v>
      </c>
      <c r="F2090" s="2" t="s">
        <v>537</v>
      </c>
      <c r="G2090" s="2" t="s">
        <v>480</v>
      </c>
      <c r="H2090" s="2" t="s">
        <v>481</v>
      </c>
      <c r="I2090" s="26">
        <v>45326</v>
      </c>
      <c r="J2090" s="2">
        <v>18</v>
      </c>
      <c r="K2090" s="2" t="s">
        <v>123</v>
      </c>
      <c r="L2090" s="22">
        <v>4300</v>
      </c>
      <c r="M2090" s="22">
        <v>77400</v>
      </c>
      <c r="N2090" s="18">
        <v>82.78</v>
      </c>
      <c r="O2090" s="26">
        <v>45506</v>
      </c>
      <c r="P2090" s="2" t="s">
        <v>2105</v>
      </c>
      <c r="Q2090" s="2" t="s">
        <v>825</v>
      </c>
    </row>
    <row r="2091" spans="2:17" x14ac:dyDescent="0.25">
      <c r="B2091" s="2" t="s">
        <v>2896</v>
      </c>
      <c r="C2091" s="2" t="s">
        <v>252</v>
      </c>
      <c r="D2091" s="2" t="s">
        <v>253</v>
      </c>
      <c r="E2091" s="2" t="s">
        <v>237</v>
      </c>
      <c r="F2091" s="2" t="s">
        <v>535</v>
      </c>
      <c r="G2091" s="2" t="s">
        <v>475</v>
      </c>
      <c r="H2091" s="2" t="s">
        <v>476</v>
      </c>
      <c r="I2091" s="26">
        <v>45346</v>
      </c>
      <c r="J2091" s="2">
        <v>21</v>
      </c>
      <c r="K2091" s="2" t="s">
        <v>123</v>
      </c>
      <c r="L2091" s="22">
        <v>4050</v>
      </c>
      <c r="M2091" s="22">
        <v>85050</v>
      </c>
      <c r="N2091" s="18">
        <v>90.96</v>
      </c>
      <c r="O2091" s="26">
        <v>45526</v>
      </c>
      <c r="P2091" s="2" t="s">
        <v>2105</v>
      </c>
      <c r="Q2091" s="2" t="s">
        <v>825</v>
      </c>
    </row>
    <row r="2092" spans="2:17" x14ac:dyDescent="0.25">
      <c r="B2092" s="2" t="s">
        <v>2897</v>
      </c>
      <c r="C2092" s="2" t="s">
        <v>252</v>
      </c>
      <c r="D2092" s="2" t="s">
        <v>253</v>
      </c>
      <c r="E2092" s="2" t="s">
        <v>237</v>
      </c>
      <c r="F2092" s="2" t="s">
        <v>535</v>
      </c>
      <c r="G2092" s="2" t="s">
        <v>475</v>
      </c>
      <c r="H2092" s="2" t="s">
        <v>476</v>
      </c>
      <c r="I2092" s="26">
        <v>45372</v>
      </c>
      <c r="J2092" s="2">
        <v>19</v>
      </c>
      <c r="K2092" s="2" t="s">
        <v>123</v>
      </c>
      <c r="L2092" s="22">
        <v>4050</v>
      </c>
      <c r="M2092" s="22">
        <v>76950</v>
      </c>
      <c r="N2092" s="18">
        <v>82.3</v>
      </c>
      <c r="O2092" s="26">
        <v>45552</v>
      </c>
      <c r="P2092" s="2" t="s">
        <v>2105</v>
      </c>
      <c r="Q2092" s="2" t="s">
        <v>836</v>
      </c>
    </row>
    <row r="2093" spans="2:17" x14ac:dyDescent="0.25">
      <c r="B2093" s="2" t="s">
        <v>2898</v>
      </c>
      <c r="C2093" s="2" t="s">
        <v>252</v>
      </c>
      <c r="D2093" s="2" t="s">
        <v>253</v>
      </c>
      <c r="E2093" s="2" t="s">
        <v>237</v>
      </c>
      <c r="F2093" s="2" t="s">
        <v>535</v>
      </c>
      <c r="G2093" s="2" t="s">
        <v>475</v>
      </c>
      <c r="H2093" s="2" t="s">
        <v>476</v>
      </c>
      <c r="I2093" s="26">
        <v>45390</v>
      </c>
      <c r="J2093" s="2">
        <v>17</v>
      </c>
      <c r="K2093" s="2" t="s">
        <v>123</v>
      </c>
      <c r="L2093" s="22">
        <v>4050</v>
      </c>
      <c r="M2093" s="22">
        <v>68850</v>
      </c>
      <c r="N2093" s="18">
        <v>73.64</v>
      </c>
      <c r="O2093" s="26">
        <v>45570</v>
      </c>
      <c r="P2093" s="2" t="s">
        <v>2105</v>
      </c>
      <c r="Q2093" s="2" t="s">
        <v>836</v>
      </c>
    </row>
    <row r="2094" spans="2:17" x14ac:dyDescent="0.25">
      <c r="B2094" s="2" t="s">
        <v>2899</v>
      </c>
      <c r="C2094" s="2" t="s">
        <v>252</v>
      </c>
      <c r="D2094" s="2" t="s">
        <v>253</v>
      </c>
      <c r="E2094" s="2" t="s">
        <v>237</v>
      </c>
      <c r="F2094" s="2" t="s">
        <v>535</v>
      </c>
      <c r="G2094" s="2" t="s">
        <v>475</v>
      </c>
      <c r="H2094" s="2" t="s">
        <v>476</v>
      </c>
      <c r="I2094" s="26">
        <v>45410</v>
      </c>
      <c r="J2094" s="2">
        <v>23</v>
      </c>
      <c r="K2094" s="2" t="s">
        <v>123</v>
      </c>
      <c r="L2094" s="22">
        <v>4050</v>
      </c>
      <c r="M2094" s="22">
        <v>93150</v>
      </c>
      <c r="N2094" s="18">
        <v>99.63</v>
      </c>
      <c r="O2094" s="26">
        <v>45590</v>
      </c>
      <c r="P2094" s="2" t="s">
        <v>2105</v>
      </c>
      <c r="Q2094" s="2" t="s">
        <v>836</v>
      </c>
    </row>
    <row r="2095" spans="2:17" x14ac:dyDescent="0.25">
      <c r="B2095" s="2" t="s">
        <v>2900</v>
      </c>
      <c r="C2095" s="2" t="s">
        <v>252</v>
      </c>
      <c r="D2095" s="2" t="s">
        <v>253</v>
      </c>
      <c r="E2095" s="2" t="s">
        <v>237</v>
      </c>
      <c r="F2095" s="2" t="s">
        <v>535</v>
      </c>
      <c r="G2095" s="2" t="s">
        <v>475</v>
      </c>
      <c r="H2095" s="2" t="s">
        <v>476</v>
      </c>
      <c r="I2095" s="26">
        <v>45428</v>
      </c>
      <c r="J2095" s="2">
        <v>19</v>
      </c>
      <c r="K2095" s="2" t="s">
        <v>123</v>
      </c>
      <c r="L2095" s="22">
        <v>4050</v>
      </c>
      <c r="M2095" s="22">
        <v>76950</v>
      </c>
      <c r="N2095" s="18">
        <v>82.3</v>
      </c>
      <c r="O2095" s="26">
        <v>45608</v>
      </c>
      <c r="P2095" s="2" t="s">
        <v>2105</v>
      </c>
      <c r="Q2095" s="2" t="s">
        <v>836</v>
      </c>
    </row>
    <row r="2096" spans="2:17" x14ac:dyDescent="0.25">
      <c r="B2096" s="2" t="s">
        <v>2901</v>
      </c>
      <c r="C2096" s="2" t="s">
        <v>252</v>
      </c>
      <c r="D2096" s="2" t="s">
        <v>253</v>
      </c>
      <c r="E2096" s="2" t="s">
        <v>237</v>
      </c>
      <c r="F2096" s="2" t="s">
        <v>535</v>
      </c>
      <c r="G2096" s="2" t="s">
        <v>475</v>
      </c>
      <c r="H2096" s="2" t="s">
        <v>476</v>
      </c>
      <c r="I2096" s="26">
        <v>45441</v>
      </c>
      <c r="J2096" s="2">
        <v>19</v>
      </c>
      <c r="K2096" s="2" t="s">
        <v>123</v>
      </c>
      <c r="L2096" s="22">
        <v>4050</v>
      </c>
      <c r="M2096" s="22">
        <v>76950</v>
      </c>
      <c r="N2096" s="18">
        <v>82.3</v>
      </c>
      <c r="O2096" s="26">
        <v>45621</v>
      </c>
      <c r="P2096" s="2" t="s">
        <v>2105</v>
      </c>
      <c r="Q2096" s="2" t="s">
        <v>836</v>
      </c>
    </row>
    <row r="2097" spans="2:17" x14ac:dyDescent="0.25">
      <c r="B2097" s="2" t="s">
        <v>2902</v>
      </c>
      <c r="C2097" s="2" t="s">
        <v>252</v>
      </c>
      <c r="D2097" s="2" t="s">
        <v>253</v>
      </c>
      <c r="E2097" s="2" t="s">
        <v>237</v>
      </c>
      <c r="F2097" s="2" t="s">
        <v>535</v>
      </c>
      <c r="G2097" s="2" t="s">
        <v>475</v>
      </c>
      <c r="H2097" s="2" t="s">
        <v>476</v>
      </c>
      <c r="I2097" s="26">
        <v>45458</v>
      </c>
      <c r="J2097" s="2">
        <v>19</v>
      </c>
      <c r="K2097" s="2" t="s">
        <v>123</v>
      </c>
      <c r="L2097" s="22">
        <v>4050</v>
      </c>
      <c r="M2097" s="22">
        <v>76950</v>
      </c>
      <c r="N2097" s="18">
        <v>82.3</v>
      </c>
      <c r="O2097" s="26">
        <v>45638</v>
      </c>
      <c r="P2097" s="2" t="s">
        <v>2105</v>
      </c>
      <c r="Q2097" s="2" t="s">
        <v>806</v>
      </c>
    </row>
    <row r="2098" spans="2:17" x14ac:dyDescent="0.25">
      <c r="B2098" s="2" t="s">
        <v>2903</v>
      </c>
      <c r="C2098" s="2" t="s">
        <v>252</v>
      </c>
      <c r="D2098" s="2" t="s">
        <v>253</v>
      </c>
      <c r="E2098" s="2" t="s">
        <v>237</v>
      </c>
      <c r="F2098" s="2" t="s">
        <v>535</v>
      </c>
      <c r="G2098" s="2" t="s">
        <v>475</v>
      </c>
      <c r="H2098" s="2" t="s">
        <v>476</v>
      </c>
      <c r="I2098" s="26">
        <v>45479</v>
      </c>
      <c r="J2098" s="2">
        <v>19</v>
      </c>
      <c r="K2098" s="2" t="s">
        <v>123</v>
      </c>
      <c r="L2098" s="22">
        <v>4050</v>
      </c>
      <c r="M2098" s="22">
        <v>76950</v>
      </c>
      <c r="N2098" s="18">
        <v>82.3</v>
      </c>
      <c r="O2098" s="26">
        <v>45659</v>
      </c>
      <c r="P2098" s="2" t="s">
        <v>2105</v>
      </c>
      <c r="Q2098" s="2" t="s">
        <v>806</v>
      </c>
    </row>
    <row r="2099" spans="2:17" x14ac:dyDescent="0.25">
      <c r="B2099" s="2" t="s">
        <v>2904</v>
      </c>
      <c r="C2099" s="2" t="s">
        <v>252</v>
      </c>
      <c r="D2099" s="2" t="s">
        <v>253</v>
      </c>
      <c r="E2099" s="2" t="s">
        <v>237</v>
      </c>
      <c r="F2099" s="2" t="s">
        <v>535</v>
      </c>
      <c r="G2099" s="2" t="s">
        <v>475</v>
      </c>
      <c r="H2099" s="2" t="s">
        <v>476</v>
      </c>
      <c r="I2099" s="26">
        <v>45497</v>
      </c>
      <c r="J2099" s="2">
        <v>23</v>
      </c>
      <c r="K2099" s="2" t="s">
        <v>123</v>
      </c>
      <c r="L2099" s="22">
        <v>4050</v>
      </c>
      <c r="M2099" s="22">
        <v>93150</v>
      </c>
      <c r="N2099" s="18">
        <v>99.63</v>
      </c>
      <c r="O2099" s="26">
        <v>45677</v>
      </c>
      <c r="P2099" s="2" t="s">
        <v>2105</v>
      </c>
      <c r="Q2099" s="2" t="s">
        <v>806</v>
      </c>
    </row>
    <row r="2100" spans="2:17" x14ac:dyDescent="0.25">
      <c r="B2100" s="2" t="s">
        <v>2905</v>
      </c>
      <c r="C2100" s="2" t="s">
        <v>252</v>
      </c>
      <c r="D2100" s="2" t="s">
        <v>253</v>
      </c>
      <c r="E2100" s="2" t="s">
        <v>237</v>
      </c>
      <c r="F2100" s="2" t="s">
        <v>535</v>
      </c>
      <c r="G2100" s="2" t="s">
        <v>475</v>
      </c>
      <c r="H2100" s="2" t="s">
        <v>476</v>
      </c>
      <c r="I2100" s="26">
        <v>45511</v>
      </c>
      <c r="J2100" s="2">
        <v>22</v>
      </c>
      <c r="K2100" s="2" t="s">
        <v>123</v>
      </c>
      <c r="L2100" s="22">
        <v>4050</v>
      </c>
      <c r="M2100" s="22">
        <v>89100</v>
      </c>
      <c r="N2100" s="18">
        <v>95.29</v>
      </c>
      <c r="O2100" s="26">
        <v>45691</v>
      </c>
      <c r="P2100" s="2" t="s">
        <v>2105</v>
      </c>
      <c r="Q2100" s="2" t="s">
        <v>806</v>
      </c>
    </row>
    <row r="2101" spans="2:17" x14ac:dyDescent="0.25">
      <c r="B2101" s="2" t="s">
        <v>2906</v>
      </c>
      <c r="C2101" s="2" t="s">
        <v>252</v>
      </c>
      <c r="D2101" s="2" t="s">
        <v>253</v>
      </c>
      <c r="E2101" s="2" t="s">
        <v>237</v>
      </c>
      <c r="F2101" s="2" t="s">
        <v>535</v>
      </c>
      <c r="G2101" s="2" t="s">
        <v>475</v>
      </c>
      <c r="H2101" s="2" t="s">
        <v>476</v>
      </c>
      <c r="I2101" s="26">
        <v>45534</v>
      </c>
      <c r="J2101" s="2">
        <v>21</v>
      </c>
      <c r="K2101" s="2" t="s">
        <v>123</v>
      </c>
      <c r="L2101" s="22">
        <v>4050</v>
      </c>
      <c r="M2101" s="22">
        <v>85050</v>
      </c>
      <c r="N2101" s="18">
        <v>90.96</v>
      </c>
      <c r="O2101" s="26">
        <v>45714</v>
      </c>
      <c r="P2101" s="2" t="s">
        <v>2105</v>
      </c>
      <c r="Q2101" s="2" t="s">
        <v>806</v>
      </c>
    </row>
    <row r="2102" spans="2:17" x14ac:dyDescent="0.25">
      <c r="B2102" s="2" t="s">
        <v>2907</v>
      </c>
      <c r="C2102" s="2" t="s">
        <v>252</v>
      </c>
      <c r="D2102" s="2" t="s">
        <v>253</v>
      </c>
      <c r="E2102" s="2" t="s">
        <v>237</v>
      </c>
      <c r="F2102" s="2" t="s">
        <v>537</v>
      </c>
      <c r="G2102" s="2" t="s">
        <v>480</v>
      </c>
      <c r="H2102" s="2" t="s">
        <v>481</v>
      </c>
      <c r="I2102" s="26">
        <v>45561</v>
      </c>
      <c r="J2102" s="2">
        <v>23</v>
      </c>
      <c r="K2102" s="2" t="s">
        <v>123</v>
      </c>
      <c r="L2102" s="22">
        <v>4300</v>
      </c>
      <c r="M2102" s="22">
        <v>98900</v>
      </c>
      <c r="N2102" s="18">
        <v>105.78</v>
      </c>
      <c r="O2102" s="26">
        <v>45741</v>
      </c>
      <c r="P2102" s="2" t="s">
        <v>2105</v>
      </c>
      <c r="Q2102" s="2" t="s">
        <v>814</v>
      </c>
    </row>
    <row r="2103" spans="2:17" x14ac:dyDescent="0.25">
      <c r="B2103" s="2" t="s">
        <v>2908</v>
      </c>
      <c r="C2103" s="2" t="s">
        <v>252</v>
      </c>
      <c r="D2103" s="2" t="s">
        <v>253</v>
      </c>
      <c r="E2103" s="2" t="s">
        <v>237</v>
      </c>
      <c r="F2103" s="2" t="s">
        <v>535</v>
      </c>
      <c r="G2103" s="2" t="s">
        <v>475</v>
      </c>
      <c r="H2103" s="2" t="s">
        <v>476</v>
      </c>
      <c r="I2103" s="26">
        <v>45582</v>
      </c>
      <c r="J2103" s="2">
        <v>18</v>
      </c>
      <c r="K2103" s="2" t="s">
        <v>123</v>
      </c>
      <c r="L2103" s="22">
        <v>4050</v>
      </c>
      <c r="M2103" s="22">
        <v>72900</v>
      </c>
      <c r="N2103" s="18">
        <v>77.97</v>
      </c>
      <c r="O2103" s="26">
        <v>45762</v>
      </c>
      <c r="P2103" s="2" t="s">
        <v>2105</v>
      </c>
      <c r="Q2103" s="2" t="s">
        <v>814</v>
      </c>
    </row>
    <row r="2104" spans="2:17" x14ac:dyDescent="0.25">
      <c r="B2104" s="2" t="s">
        <v>2909</v>
      </c>
      <c r="C2104" s="2" t="s">
        <v>252</v>
      </c>
      <c r="D2104" s="2" t="s">
        <v>253</v>
      </c>
      <c r="E2104" s="2" t="s">
        <v>237</v>
      </c>
      <c r="F2104" s="2" t="s">
        <v>535</v>
      </c>
      <c r="G2104" s="2" t="s">
        <v>475</v>
      </c>
      <c r="H2104" s="2" t="s">
        <v>476</v>
      </c>
      <c r="I2104" s="26">
        <v>45602</v>
      </c>
      <c r="J2104" s="2">
        <v>22</v>
      </c>
      <c r="K2104" s="2" t="s">
        <v>123</v>
      </c>
      <c r="L2104" s="22">
        <v>4050</v>
      </c>
      <c r="M2104" s="22">
        <v>89100</v>
      </c>
      <c r="N2104" s="18">
        <v>95.29</v>
      </c>
      <c r="O2104" s="26">
        <v>45782</v>
      </c>
      <c r="P2104" s="2" t="s">
        <v>2105</v>
      </c>
      <c r="Q2104" s="2" t="s">
        <v>814</v>
      </c>
    </row>
    <row r="2105" spans="2:17" x14ac:dyDescent="0.25">
      <c r="B2105" s="2" t="s">
        <v>2910</v>
      </c>
      <c r="C2105" s="2" t="s">
        <v>252</v>
      </c>
      <c r="D2105" s="2" t="s">
        <v>253</v>
      </c>
      <c r="E2105" s="2" t="s">
        <v>237</v>
      </c>
      <c r="F2105" s="2" t="s">
        <v>535</v>
      </c>
      <c r="G2105" s="2" t="s">
        <v>475</v>
      </c>
      <c r="H2105" s="2" t="s">
        <v>476</v>
      </c>
      <c r="I2105" s="26">
        <v>45625</v>
      </c>
      <c r="J2105" s="2">
        <v>19</v>
      </c>
      <c r="K2105" s="2" t="s">
        <v>123</v>
      </c>
      <c r="L2105" s="22">
        <v>4050</v>
      </c>
      <c r="M2105" s="22">
        <v>76950</v>
      </c>
      <c r="N2105" s="18">
        <v>82.3</v>
      </c>
      <c r="O2105" s="26">
        <v>45805</v>
      </c>
      <c r="P2105" s="2" t="s">
        <v>2105</v>
      </c>
      <c r="Q2105" s="2" t="s">
        <v>814</v>
      </c>
    </row>
    <row r="2106" spans="2:17" x14ac:dyDescent="0.25">
      <c r="B2106" s="2" t="s">
        <v>2911</v>
      </c>
      <c r="C2106" s="2" t="s">
        <v>252</v>
      </c>
      <c r="D2106" s="2" t="s">
        <v>253</v>
      </c>
      <c r="E2106" s="2" t="s">
        <v>237</v>
      </c>
      <c r="F2106" s="2" t="s">
        <v>535</v>
      </c>
      <c r="G2106" s="2" t="s">
        <v>475</v>
      </c>
      <c r="H2106" s="2" t="s">
        <v>476</v>
      </c>
      <c r="I2106" s="26">
        <v>45644</v>
      </c>
      <c r="J2106" s="2">
        <v>26</v>
      </c>
      <c r="K2106" s="2" t="s">
        <v>123</v>
      </c>
      <c r="L2106" s="22">
        <v>4050</v>
      </c>
      <c r="M2106" s="22">
        <v>105300</v>
      </c>
      <c r="N2106" s="18">
        <v>112.62</v>
      </c>
      <c r="O2106" s="26">
        <v>45824</v>
      </c>
      <c r="P2106" s="2" t="s">
        <v>2105</v>
      </c>
      <c r="Q2106" s="2" t="s">
        <v>825</v>
      </c>
    </row>
    <row r="2107" spans="2:17" x14ac:dyDescent="0.25">
      <c r="B2107" s="2" t="s">
        <v>2912</v>
      </c>
      <c r="C2107" s="2" t="s">
        <v>252</v>
      </c>
      <c r="D2107" s="2" t="s">
        <v>253</v>
      </c>
      <c r="E2107" s="2" t="s">
        <v>237</v>
      </c>
      <c r="F2107" s="2" t="s">
        <v>535</v>
      </c>
      <c r="G2107" s="2" t="s">
        <v>475</v>
      </c>
      <c r="H2107" s="2" t="s">
        <v>476</v>
      </c>
      <c r="I2107" s="26">
        <v>45662</v>
      </c>
      <c r="J2107" s="2">
        <v>25</v>
      </c>
      <c r="K2107" s="2" t="s">
        <v>123</v>
      </c>
      <c r="L2107" s="22">
        <v>4050</v>
      </c>
      <c r="M2107" s="22">
        <v>101250</v>
      </c>
      <c r="N2107" s="18">
        <v>108.29</v>
      </c>
      <c r="O2107" s="26">
        <v>45842</v>
      </c>
      <c r="P2107" s="2" t="s">
        <v>2105</v>
      </c>
      <c r="Q2107" s="2" t="s">
        <v>825</v>
      </c>
    </row>
    <row r="2108" spans="2:17" x14ac:dyDescent="0.25">
      <c r="B2108" s="2" t="s">
        <v>2913</v>
      </c>
      <c r="C2108" s="2" t="s">
        <v>252</v>
      </c>
      <c r="D2108" s="2" t="s">
        <v>253</v>
      </c>
      <c r="E2108" s="2" t="s">
        <v>237</v>
      </c>
      <c r="F2108" s="2" t="s">
        <v>535</v>
      </c>
      <c r="G2108" s="2" t="s">
        <v>475</v>
      </c>
      <c r="H2108" s="2" t="s">
        <v>476</v>
      </c>
      <c r="I2108" s="26">
        <v>45681</v>
      </c>
      <c r="J2108" s="2">
        <v>21</v>
      </c>
      <c r="K2108" s="2" t="s">
        <v>123</v>
      </c>
      <c r="L2108" s="22">
        <v>4050</v>
      </c>
      <c r="M2108" s="22">
        <v>85050</v>
      </c>
      <c r="N2108" s="18">
        <v>90.96</v>
      </c>
      <c r="O2108" s="26">
        <v>45861</v>
      </c>
      <c r="P2108" s="2" t="s">
        <v>2105</v>
      </c>
      <c r="Q2108" s="2" t="s">
        <v>825</v>
      </c>
    </row>
    <row r="2109" spans="2:17" x14ac:dyDescent="0.25">
      <c r="B2109" s="2" t="s">
        <v>2914</v>
      </c>
      <c r="C2109" s="2" t="s">
        <v>252</v>
      </c>
      <c r="D2109" s="2" t="s">
        <v>253</v>
      </c>
      <c r="E2109" s="2" t="s">
        <v>237</v>
      </c>
      <c r="F2109" s="2" t="s">
        <v>535</v>
      </c>
      <c r="G2109" s="2" t="s">
        <v>475</v>
      </c>
      <c r="H2109" s="2" t="s">
        <v>476</v>
      </c>
      <c r="I2109" s="26">
        <v>45707</v>
      </c>
      <c r="J2109" s="2">
        <v>20</v>
      </c>
      <c r="K2109" s="2" t="s">
        <v>123</v>
      </c>
      <c r="L2109" s="22">
        <v>4050</v>
      </c>
      <c r="M2109" s="22">
        <v>81000</v>
      </c>
      <c r="N2109" s="18">
        <v>86.63</v>
      </c>
      <c r="O2109" s="26">
        <v>45887</v>
      </c>
      <c r="P2109" s="2" t="s">
        <v>2105</v>
      </c>
      <c r="Q2109" s="2" t="s">
        <v>825</v>
      </c>
    </row>
    <row r="2110" spans="2:17" x14ac:dyDescent="0.25">
      <c r="B2110" s="2" t="s">
        <v>2915</v>
      </c>
      <c r="C2110" s="2" t="s">
        <v>252</v>
      </c>
      <c r="D2110" s="2" t="s">
        <v>253</v>
      </c>
      <c r="E2110" s="2" t="s">
        <v>237</v>
      </c>
      <c r="F2110" s="2" t="s">
        <v>535</v>
      </c>
      <c r="G2110" s="2" t="s">
        <v>475</v>
      </c>
      <c r="H2110" s="2" t="s">
        <v>476</v>
      </c>
      <c r="I2110" s="26">
        <v>45727</v>
      </c>
      <c r="J2110" s="2">
        <v>20</v>
      </c>
      <c r="K2110" s="2" t="s">
        <v>123</v>
      </c>
      <c r="L2110" s="22">
        <v>4050</v>
      </c>
      <c r="M2110" s="22">
        <v>81000</v>
      </c>
      <c r="N2110" s="18">
        <v>86.63</v>
      </c>
      <c r="O2110" s="26">
        <v>45907</v>
      </c>
      <c r="P2110" s="2" t="s">
        <v>2105</v>
      </c>
      <c r="Q2110" s="2" t="s">
        <v>836</v>
      </c>
    </row>
    <row r="2111" spans="2:17" x14ac:dyDescent="0.25">
      <c r="B2111" s="2" t="s">
        <v>2916</v>
      </c>
      <c r="C2111" s="2" t="s">
        <v>252</v>
      </c>
      <c r="D2111" s="2" t="s">
        <v>253</v>
      </c>
      <c r="E2111" s="2" t="s">
        <v>237</v>
      </c>
      <c r="F2111" s="2" t="s">
        <v>535</v>
      </c>
      <c r="G2111" s="2" t="s">
        <v>475</v>
      </c>
      <c r="H2111" s="2" t="s">
        <v>476</v>
      </c>
      <c r="I2111" s="26">
        <v>45748</v>
      </c>
      <c r="J2111" s="2">
        <v>19</v>
      </c>
      <c r="K2111" s="2" t="s">
        <v>123</v>
      </c>
      <c r="L2111" s="22">
        <v>4050</v>
      </c>
      <c r="M2111" s="22">
        <v>76950</v>
      </c>
      <c r="N2111" s="18">
        <v>82.3</v>
      </c>
      <c r="O2111" s="26">
        <v>45928</v>
      </c>
      <c r="P2111" s="2" t="s">
        <v>2105</v>
      </c>
      <c r="Q2111" s="2" t="s">
        <v>836</v>
      </c>
    </row>
    <row r="2112" spans="2:17" x14ac:dyDescent="0.25">
      <c r="B2112" s="2" t="s">
        <v>2917</v>
      </c>
      <c r="C2112" s="2" t="s">
        <v>252</v>
      </c>
      <c r="D2112" s="2" t="s">
        <v>253</v>
      </c>
      <c r="E2112" s="2" t="s">
        <v>237</v>
      </c>
      <c r="F2112" s="2" t="s">
        <v>535</v>
      </c>
      <c r="G2112" s="2" t="s">
        <v>475</v>
      </c>
      <c r="H2112" s="2" t="s">
        <v>476</v>
      </c>
      <c r="I2112" s="26">
        <v>45767</v>
      </c>
      <c r="J2112" s="2">
        <v>21</v>
      </c>
      <c r="K2112" s="2" t="s">
        <v>123</v>
      </c>
      <c r="L2112" s="22">
        <v>4050</v>
      </c>
      <c r="M2112" s="22">
        <v>85050</v>
      </c>
      <c r="N2112" s="18">
        <v>90.96</v>
      </c>
      <c r="O2112" s="26">
        <v>45947</v>
      </c>
      <c r="P2112" s="2" t="s">
        <v>2105</v>
      </c>
      <c r="Q2112" s="2" t="s">
        <v>836</v>
      </c>
    </row>
    <row r="2113" spans="2:17" x14ac:dyDescent="0.25">
      <c r="B2113" s="2" t="s">
        <v>2918</v>
      </c>
      <c r="C2113" s="2" t="s">
        <v>252</v>
      </c>
      <c r="D2113" s="2" t="s">
        <v>253</v>
      </c>
      <c r="E2113" s="2" t="s">
        <v>237</v>
      </c>
      <c r="F2113" s="2" t="s">
        <v>535</v>
      </c>
      <c r="G2113" s="2" t="s">
        <v>475</v>
      </c>
      <c r="H2113" s="2" t="s">
        <v>476</v>
      </c>
      <c r="I2113" s="26">
        <v>45788</v>
      </c>
      <c r="J2113" s="2">
        <v>25</v>
      </c>
      <c r="K2113" s="2" t="s">
        <v>123</v>
      </c>
      <c r="L2113" s="22">
        <v>4050</v>
      </c>
      <c r="M2113" s="22">
        <v>101250</v>
      </c>
      <c r="N2113" s="18">
        <v>108.29</v>
      </c>
      <c r="O2113" s="26">
        <v>45968</v>
      </c>
      <c r="P2113" s="2" t="s">
        <v>2105</v>
      </c>
      <c r="Q2113" s="2" t="s">
        <v>836</v>
      </c>
    </row>
    <row r="2114" spans="2:17" x14ac:dyDescent="0.25">
      <c r="B2114" s="2" t="s">
        <v>2919</v>
      </c>
      <c r="C2114" s="2" t="s">
        <v>252</v>
      </c>
      <c r="D2114" s="2" t="s">
        <v>253</v>
      </c>
      <c r="E2114" s="2" t="s">
        <v>237</v>
      </c>
      <c r="F2114" s="2" t="s">
        <v>535</v>
      </c>
      <c r="G2114" s="2" t="s">
        <v>475</v>
      </c>
      <c r="H2114" s="2" t="s">
        <v>476</v>
      </c>
      <c r="I2114" s="26">
        <v>45810</v>
      </c>
      <c r="J2114" s="2">
        <v>21</v>
      </c>
      <c r="K2114" s="2" t="s">
        <v>123</v>
      </c>
      <c r="L2114" s="22">
        <v>4050</v>
      </c>
      <c r="M2114" s="22">
        <v>85050</v>
      </c>
      <c r="N2114" s="18">
        <v>90.96</v>
      </c>
      <c r="O2114" s="26">
        <v>45990</v>
      </c>
      <c r="P2114" s="2" t="s">
        <v>2105</v>
      </c>
      <c r="Q2114" s="2" t="s">
        <v>806</v>
      </c>
    </row>
    <row r="2115" spans="2:17" x14ac:dyDescent="0.25">
      <c r="B2115" s="2" t="s">
        <v>2920</v>
      </c>
      <c r="C2115" s="2" t="s">
        <v>252</v>
      </c>
      <c r="D2115" s="2" t="s">
        <v>253</v>
      </c>
      <c r="E2115" s="2" t="s">
        <v>237</v>
      </c>
      <c r="F2115" s="2" t="s">
        <v>535</v>
      </c>
      <c r="G2115" s="2" t="s">
        <v>475</v>
      </c>
      <c r="H2115" s="2" t="s">
        <v>476</v>
      </c>
      <c r="I2115" s="26">
        <v>45834</v>
      </c>
      <c r="J2115" s="2">
        <v>22</v>
      </c>
      <c r="K2115" s="2" t="s">
        <v>123</v>
      </c>
      <c r="L2115" s="22">
        <v>4050</v>
      </c>
      <c r="M2115" s="22">
        <v>89100</v>
      </c>
      <c r="N2115" s="18">
        <v>95.29</v>
      </c>
      <c r="O2115" s="26">
        <v>46014</v>
      </c>
      <c r="P2115" s="2" t="s">
        <v>2105</v>
      </c>
      <c r="Q2115" s="2" t="s">
        <v>806</v>
      </c>
    </row>
    <row r="2116" spans="2:17" x14ac:dyDescent="0.25">
      <c r="B2116" s="2" t="s">
        <v>2921</v>
      </c>
      <c r="C2116" s="2" t="s">
        <v>254</v>
      </c>
      <c r="D2116" s="2" t="s">
        <v>255</v>
      </c>
      <c r="E2116" s="2" t="s">
        <v>256</v>
      </c>
      <c r="F2116" s="2" t="s">
        <v>535</v>
      </c>
      <c r="G2116" s="2" t="s">
        <v>475</v>
      </c>
      <c r="H2116" s="2" t="s">
        <v>476</v>
      </c>
      <c r="I2116" s="26">
        <v>45120</v>
      </c>
      <c r="J2116" s="2">
        <v>22</v>
      </c>
      <c r="K2116" s="2" t="s">
        <v>123</v>
      </c>
      <c r="L2116" s="22">
        <v>6800</v>
      </c>
      <c r="M2116" s="22">
        <v>149600</v>
      </c>
      <c r="N2116" s="18">
        <v>160</v>
      </c>
      <c r="O2116" s="26">
        <v>45330</v>
      </c>
      <c r="P2116" s="2" t="s">
        <v>2105</v>
      </c>
      <c r="Q2116" s="2" t="s">
        <v>806</v>
      </c>
    </row>
    <row r="2117" spans="2:17" x14ac:dyDescent="0.25">
      <c r="B2117" s="2" t="s">
        <v>2922</v>
      </c>
      <c r="C2117" s="2" t="s">
        <v>254</v>
      </c>
      <c r="D2117" s="2" t="s">
        <v>255</v>
      </c>
      <c r="E2117" s="2" t="s">
        <v>256</v>
      </c>
      <c r="F2117" s="2" t="s">
        <v>535</v>
      </c>
      <c r="G2117" s="2" t="s">
        <v>475</v>
      </c>
      <c r="H2117" s="2" t="s">
        <v>476</v>
      </c>
      <c r="I2117" s="26">
        <v>45145</v>
      </c>
      <c r="J2117" s="2">
        <v>22</v>
      </c>
      <c r="K2117" s="2" t="s">
        <v>123</v>
      </c>
      <c r="L2117" s="22">
        <v>6800</v>
      </c>
      <c r="M2117" s="22">
        <v>149600</v>
      </c>
      <c r="N2117" s="18">
        <v>160</v>
      </c>
      <c r="O2117" s="26">
        <v>45355</v>
      </c>
      <c r="P2117" s="2" t="s">
        <v>2105</v>
      </c>
      <c r="Q2117" s="2" t="s">
        <v>806</v>
      </c>
    </row>
    <row r="2118" spans="2:17" x14ac:dyDescent="0.25">
      <c r="B2118" s="2" t="s">
        <v>2923</v>
      </c>
      <c r="C2118" s="2" t="s">
        <v>254</v>
      </c>
      <c r="D2118" s="2" t="s">
        <v>255</v>
      </c>
      <c r="E2118" s="2" t="s">
        <v>256</v>
      </c>
      <c r="F2118" s="2" t="s">
        <v>535</v>
      </c>
      <c r="G2118" s="2" t="s">
        <v>475</v>
      </c>
      <c r="H2118" s="2" t="s">
        <v>476</v>
      </c>
      <c r="I2118" s="26">
        <v>45168</v>
      </c>
      <c r="J2118" s="2">
        <v>21</v>
      </c>
      <c r="K2118" s="2" t="s">
        <v>123</v>
      </c>
      <c r="L2118" s="22">
        <v>6800</v>
      </c>
      <c r="M2118" s="22">
        <v>142800</v>
      </c>
      <c r="N2118" s="18">
        <v>152.72999999999999</v>
      </c>
      <c r="O2118" s="26">
        <v>45378</v>
      </c>
      <c r="P2118" s="2" t="s">
        <v>2105</v>
      </c>
      <c r="Q2118" s="2" t="s">
        <v>806</v>
      </c>
    </row>
    <row r="2119" spans="2:17" x14ac:dyDescent="0.25">
      <c r="B2119" s="2" t="s">
        <v>2924</v>
      </c>
      <c r="C2119" s="2" t="s">
        <v>254</v>
      </c>
      <c r="D2119" s="2" t="s">
        <v>255</v>
      </c>
      <c r="E2119" s="2" t="s">
        <v>256</v>
      </c>
      <c r="F2119" s="2" t="s">
        <v>535</v>
      </c>
      <c r="G2119" s="2" t="s">
        <v>475</v>
      </c>
      <c r="H2119" s="2" t="s">
        <v>476</v>
      </c>
      <c r="I2119" s="26">
        <v>45190</v>
      </c>
      <c r="J2119" s="2">
        <v>22</v>
      </c>
      <c r="K2119" s="2" t="s">
        <v>123</v>
      </c>
      <c r="L2119" s="22">
        <v>6800</v>
      </c>
      <c r="M2119" s="22">
        <v>149600</v>
      </c>
      <c r="N2119" s="18">
        <v>160</v>
      </c>
      <c r="O2119" s="26">
        <v>45400</v>
      </c>
      <c r="P2119" s="2" t="s">
        <v>2105</v>
      </c>
      <c r="Q2119" s="2" t="s">
        <v>814</v>
      </c>
    </row>
    <row r="2120" spans="2:17" x14ac:dyDescent="0.25">
      <c r="B2120" s="2" t="s">
        <v>2925</v>
      </c>
      <c r="C2120" s="2" t="s">
        <v>254</v>
      </c>
      <c r="D2120" s="2" t="s">
        <v>255</v>
      </c>
      <c r="E2120" s="2" t="s">
        <v>256</v>
      </c>
      <c r="F2120" s="2" t="s">
        <v>535</v>
      </c>
      <c r="G2120" s="2" t="s">
        <v>475</v>
      </c>
      <c r="H2120" s="2" t="s">
        <v>476</v>
      </c>
      <c r="I2120" s="26">
        <v>45206</v>
      </c>
      <c r="J2120" s="2">
        <v>8</v>
      </c>
      <c r="K2120" s="2" t="s">
        <v>123</v>
      </c>
      <c r="L2120" s="22">
        <v>6800</v>
      </c>
      <c r="M2120" s="22">
        <v>54400</v>
      </c>
      <c r="N2120" s="18">
        <v>58.18</v>
      </c>
      <c r="O2120" s="26">
        <v>45416</v>
      </c>
      <c r="P2120" s="2" t="s">
        <v>2105</v>
      </c>
      <c r="Q2120" s="2" t="s">
        <v>814</v>
      </c>
    </row>
    <row r="2121" spans="2:17" x14ac:dyDescent="0.25">
      <c r="B2121" s="2" t="s">
        <v>2926</v>
      </c>
      <c r="C2121" s="2" t="s">
        <v>254</v>
      </c>
      <c r="D2121" s="2" t="s">
        <v>255</v>
      </c>
      <c r="E2121" s="2" t="s">
        <v>256</v>
      </c>
      <c r="F2121" s="2" t="s">
        <v>535</v>
      </c>
      <c r="G2121" s="2" t="s">
        <v>475</v>
      </c>
      <c r="H2121" s="2" t="s">
        <v>476</v>
      </c>
      <c r="I2121" s="26">
        <v>45226</v>
      </c>
      <c r="J2121" s="2">
        <v>6</v>
      </c>
      <c r="K2121" s="2" t="s">
        <v>123</v>
      </c>
      <c r="L2121" s="22">
        <v>6800</v>
      </c>
      <c r="M2121" s="22">
        <v>40800</v>
      </c>
      <c r="N2121" s="18">
        <v>43.64</v>
      </c>
      <c r="O2121" s="26">
        <v>45436</v>
      </c>
      <c r="P2121" s="2" t="s">
        <v>2105</v>
      </c>
      <c r="Q2121" s="2" t="s">
        <v>814</v>
      </c>
    </row>
    <row r="2122" spans="2:17" x14ac:dyDescent="0.25">
      <c r="B2122" s="2" t="s">
        <v>2927</v>
      </c>
      <c r="C2122" s="2" t="s">
        <v>254</v>
      </c>
      <c r="D2122" s="2" t="s">
        <v>255</v>
      </c>
      <c r="E2122" s="2" t="s">
        <v>256</v>
      </c>
      <c r="F2122" s="2" t="s">
        <v>535</v>
      </c>
      <c r="G2122" s="2" t="s">
        <v>475</v>
      </c>
      <c r="H2122" s="2" t="s">
        <v>476</v>
      </c>
      <c r="I2122" s="26">
        <v>45248</v>
      </c>
      <c r="J2122" s="2">
        <v>6</v>
      </c>
      <c r="K2122" s="2" t="s">
        <v>123</v>
      </c>
      <c r="L2122" s="22">
        <v>6800</v>
      </c>
      <c r="M2122" s="22">
        <v>40800</v>
      </c>
      <c r="N2122" s="18">
        <v>43.64</v>
      </c>
      <c r="O2122" s="26">
        <v>45458</v>
      </c>
      <c r="P2122" s="2" t="s">
        <v>2105</v>
      </c>
      <c r="Q2122" s="2" t="s">
        <v>814</v>
      </c>
    </row>
    <row r="2123" spans="2:17" x14ac:dyDescent="0.25">
      <c r="B2123" s="2" t="s">
        <v>2928</v>
      </c>
      <c r="C2123" s="2" t="s">
        <v>254</v>
      </c>
      <c r="D2123" s="2" t="s">
        <v>255</v>
      </c>
      <c r="E2123" s="2" t="s">
        <v>256</v>
      </c>
      <c r="F2123" s="2" t="s">
        <v>535</v>
      </c>
      <c r="G2123" s="2" t="s">
        <v>475</v>
      </c>
      <c r="H2123" s="2" t="s">
        <v>476</v>
      </c>
      <c r="I2123" s="26">
        <v>45264</v>
      </c>
      <c r="J2123" s="2">
        <v>9</v>
      </c>
      <c r="K2123" s="2" t="s">
        <v>123</v>
      </c>
      <c r="L2123" s="22">
        <v>6800</v>
      </c>
      <c r="M2123" s="22">
        <v>61200</v>
      </c>
      <c r="N2123" s="18">
        <v>65.45</v>
      </c>
      <c r="O2123" s="26">
        <v>45474</v>
      </c>
      <c r="P2123" s="2" t="s">
        <v>2105</v>
      </c>
      <c r="Q2123" s="2" t="s">
        <v>825</v>
      </c>
    </row>
    <row r="2124" spans="2:17" x14ac:dyDescent="0.25">
      <c r="B2124" s="2" t="s">
        <v>2929</v>
      </c>
      <c r="C2124" s="2" t="s">
        <v>254</v>
      </c>
      <c r="D2124" s="2" t="s">
        <v>255</v>
      </c>
      <c r="E2124" s="2" t="s">
        <v>256</v>
      </c>
      <c r="F2124" s="2" t="s">
        <v>535</v>
      </c>
      <c r="G2124" s="2" t="s">
        <v>475</v>
      </c>
      <c r="H2124" s="2" t="s">
        <v>476</v>
      </c>
      <c r="I2124" s="26">
        <v>45285</v>
      </c>
      <c r="J2124" s="2">
        <v>9</v>
      </c>
      <c r="K2124" s="2" t="s">
        <v>123</v>
      </c>
      <c r="L2124" s="22">
        <v>6800</v>
      </c>
      <c r="M2124" s="22">
        <v>61200</v>
      </c>
      <c r="N2124" s="18">
        <v>65.45</v>
      </c>
      <c r="O2124" s="26">
        <v>45495</v>
      </c>
      <c r="P2124" s="2" t="s">
        <v>2105</v>
      </c>
      <c r="Q2124" s="2" t="s">
        <v>825</v>
      </c>
    </row>
    <row r="2125" spans="2:17" x14ac:dyDescent="0.25">
      <c r="B2125" s="2" t="s">
        <v>2930</v>
      </c>
      <c r="C2125" s="2" t="s">
        <v>254</v>
      </c>
      <c r="D2125" s="2" t="s">
        <v>255</v>
      </c>
      <c r="E2125" s="2" t="s">
        <v>256</v>
      </c>
      <c r="F2125" s="2" t="s">
        <v>535</v>
      </c>
      <c r="G2125" s="2" t="s">
        <v>475</v>
      </c>
      <c r="H2125" s="2" t="s">
        <v>476</v>
      </c>
      <c r="I2125" s="26">
        <v>45307</v>
      </c>
      <c r="J2125" s="2">
        <v>8</v>
      </c>
      <c r="K2125" s="2" t="s">
        <v>123</v>
      </c>
      <c r="L2125" s="22">
        <v>6800</v>
      </c>
      <c r="M2125" s="22">
        <v>54400</v>
      </c>
      <c r="N2125" s="18">
        <v>58.18</v>
      </c>
      <c r="O2125" s="26">
        <v>45517</v>
      </c>
      <c r="P2125" s="2" t="s">
        <v>2105</v>
      </c>
      <c r="Q2125" s="2" t="s">
        <v>825</v>
      </c>
    </row>
    <row r="2126" spans="2:17" x14ac:dyDescent="0.25">
      <c r="B2126" s="2" t="s">
        <v>2931</v>
      </c>
      <c r="C2126" s="2" t="s">
        <v>254</v>
      </c>
      <c r="D2126" s="2" t="s">
        <v>255</v>
      </c>
      <c r="E2126" s="2" t="s">
        <v>256</v>
      </c>
      <c r="F2126" s="2" t="s">
        <v>535</v>
      </c>
      <c r="G2126" s="2" t="s">
        <v>475</v>
      </c>
      <c r="H2126" s="2" t="s">
        <v>476</v>
      </c>
      <c r="I2126" s="26">
        <v>45334</v>
      </c>
      <c r="J2126" s="2">
        <v>7</v>
      </c>
      <c r="K2126" s="2" t="s">
        <v>123</v>
      </c>
      <c r="L2126" s="22">
        <v>6800</v>
      </c>
      <c r="M2126" s="22">
        <v>47600</v>
      </c>
      <c r="N2126" s="18">
        <v>50.91</v>
      </c>
      <c r="O2126" s="26">
        <v>45544</v>
      </c>
      <c r="P2126" s="2" t="s">
        <v>2105</v>
      </c>
      <c r="Q2126" s="2" t="s">
        <v>825</v>
      </c>
    </row>
    <row r="2127" spans="2:17" x14ac:dyDescent="0.25">
      <c r="B2127" s="2" t="s">
        <v>2932</v>
      </c>
      <c r="C2127" s="2" t="s">
        <v>254</v>
      </c>
      <c r="D2127" s="2" t="s">
        <v>255</v>
      </c>
      <c r="E2127" s="2" t="s">
        <v>256</v>
      </c>
      <c r="F2127" s="2" t="s">
        <v>535</v>
      </c>
      <c r="G2127" s="2" t="s">
        <v>475</v>
      </c>
      <c r="H2127" s="2" t="s">
        <v>476</v>
      </c>
      <c r="I2127" s="26">
        <v>45352</v>
      </c>
      <c r="J2127" s="2">
        <v>7</v>
      </c>
      <c r="K2127" s="2" t="s">
        <v>123</v>
      </c>
      <c r="L2127" s="22">
        <v>6800</v>
      </c>
      <c r="M2127" s="22">
        <v>47600</v>
      </c>
      <c r="N2127" s="18">
        <v>50.91</v>
      </c>
      <c r="O2127" s="26">
        <v>45562</v>
      </c>
      <c r="P2127" s="2" t="s">
        <v>2105</v>
      </c>
      <c r="Q2127" s="2" t="s">
        <v>836</v>
      </c>
    </row>
    <row r="2128" spans="2:17" x14ac:dyDescent="0.25">
      <c r="B2128" s="2" t="s">
        <v>2933</v>
      </c>
      <c r="C2128" s="2" t="s">
        <v>254</v>
      </c>
      <c r="D2128" s="2" t="s">
        <v>255</v>
      </c>
      <c r="E2128" s="2" t="s">
        <v>256</v>
      </c>
      <c r="F2128" s="2" t="s">
        <v>535</v>
      </c>
      <c r="G2128" s="2" t="s">
        <v>475</v>
      </c>
      <c r="H2128" s="2" t="s">
        <v>476</v>
      </c>
      <c r="I2128" s="26">
        <v>45371</v>
      </c>
      <c r="J2128" s="2">
        <v>6</v>
      </c>
      <c r="K2128" s="2" t="s">
        <v>123</v>
      </c>
      <c r="L2128" s="22">
        <v>6800</v>
      </c>
      <c r="M2128" s="22">
        <v>40800</v>
      </c>
      <c r="N2128" s="18">
        <v>43.64</v>
      </c>
      <c r="O2128" s="26">
        <v>45581</v>
      </c>
      <c r="P2128" s="2" t="s">
        <v>2105</v>
      </c>
      <c r="Q2128" s="2" t="s">
        <v>836</v>
      </c>
    </row>
    <row r="2129" spans="2:17" x14ac:dyDescent="0.25">
      <c r="B2129" s="2" t="s">
        <v>2934</v>
      </c>
      <c r="C2129" s="2" t="s">
        <v>254</v>
      </c>
      <c r="D2129" s="2" t="s">
        <v>255</v>
      </c>
      <c r="E2129" s="2" t="s">
        <v>256</v>
      </c>
      <c r="F2129" s="2" t="s">
        <v>535</v>
      </c>
      <c r="G2129" s="2" t="s">
        <v>475</v>
      </c>
      <c r="H2129" s="2" t="s">
        <v>476</v>
      </c>
      <c r="I2129" s="26">
        <v>45389</v>
      </c>
      <c r="J2129" s="2">
        <v>19</v>
      </c>
      <c r="K2129" s="2" t="s">
        <v>123</v>
      </c>
      <c r="L2129" s="22">
        <v>6800</v>
      </c>
      <c r="M2129" s="22">
        <v>129200</v>
      </c>
      <c r="N2129" s="18">
        <v>138.18</v>
      </c>
      <c r="O2129" s="26">
        <v>45599</v>
      </c>
      <c r="P2129" s="2" t="s">
        <v>2105</v>
      </c>
      <c r="Q2129" s="2" t="s">
        <v>836</v>
      </c>
    </row>
    <row r="2130" spans="2:17" x14ac:dyDescent="0.25">
      <c r="B2130" s="2" t="s">
        <v>2935</v>
      </c>
      <c r="C2130" s="2" t="s">
        <v>254</v>
      </c>
      <c r="D2130" s="2" t="s">
        <v>255</v>
      </c>
      <c r="E2130" s="2" t="s">
        <v>256</v>
      </c>
      <c r="F2130" s="2" t="s">
        <v>535</v>
      </c>
      <c r="G2130" s="2" t="s">
        <v>475</v>
      </c>
      <c r="H2130" s="2" t="s">
        <v>476</v>
      </c>
      <c r="I2130" s="26">
        <v>45407</v>
      </c>
      <c r="J2130" s="2">
        <v>20</v>
      </c>
      <c r="K2130" s="2" t="s">
        <v>123</v>
      </c>
      <c r="L2130" s="22">
        <v>6800</v>
      </c>
      <c r="M2130" s="22">
        <v>136000</v>
      </c>
      <c r="N2130" s="18">
        <v>145.44999999999999</v>
      </c>
      <c r="O2130" s="26">
        <v>45617</v>
      </c>
      <c r="P2130" s="2" t="s">
        <v>2105</v>
      </c>
      <c r="Q2130" s="2" t="s">
        <v>836</v>
      </c>
    </row>
    <row r="2131" spans="2:17" x14ac:dyDescent="0.25">
      <c r="B2131" s="2" t="s">
        <v>2936</v>
      </c>
      <c r="C2131" s="2" t="s">
        <v>254</v>
      </c>
      <c r="D2131" s="2" t="s">
        <v>255</v>
      </c>
      <c r="E2131" s="2" t="s">
        <v>256</v>
      </c>
      <c r="F2131" s="2" t="s">
        <v>535</v>
      </c>
      <c r="G2131" s="2" t="s">
        <v>475</v>
      </c>
      <c r="H2131" s="2" t="s">
        <v>476</v>
      </c>
      <c r="I2131" s="26">
        <v>45431</v>
      </c>
      <c r="J2131" s="2">
        <v>20</v>
      </c>
      <c r="K2131" s="2" t="s">
        <v>123</v>
      </c>
      <c r="L2131" s="22">
        <v>6800</v>
      </c>
      <c r="M2131" s="22">
        <v>136000</v>
      </c>
      <c r="N2131" s="18">
        <v>145.44999999999999</v>
      </c>
      <c r="O2131" s="26">
        <v>45641</v>
      </c>
      <c r="P2131" s="2" t="s">
        <v>2105</v>
      </c>
      <c r="Q2131" s="2" t="s">
        <v>836</v>
      </c>
    </row>
    <row r="2132" spans="2:17" x14ac:dyDescent="0.25">
      <c r="B2132" s="2" t="s">
        <v>2937</v>
      </c>
      <c r="C2132" s="2" t="s">
        <v>254</v>
      </c>
      <c r="D2132" s="2" t="s">
        <v>255</v>
      </c>
      <c r="E2132" s="2" t="s">
        <v>256</v>
      </c>
      <c r="F2132" s="2" t="s">
        <v>535</v>
      </c>
      <c r="G2132" s="2" t="s">
        <v>475</v>
      </c>
      <c r="H2132" s="2" t="s">
        <v>476</v>
      </c>
      <c r="I2132" s="26">
        <v>45448</v>
      </c>
      <c r="J2132" s="2">
        <v>22</v>
      </c>
      <c r="K2132" s="2" t="s">
        <v>123</v>
      </c>
      <c r="L2132" s="22">
        <v>6800</v>
      </c>
      <c r="M2132" s="22">
        <v>149600</v>
      </c>
      <c r="N2132" s="18">
        <v>160</v>
      </c>
      <c r="O2132" s="26">
        <v>45658</v>
      </c>
      <c r="P2132" s="2" t="s">
        <v>2105</v>
      </c>
      <c r="Q2132" s="2" t="s">
        <v>806</v>
      </c>
    </row>
    <row r="2133" spans="2:17" x14ac:dyDescent="0.25">
      <c r="B2133" s="2" t="s">
        <v>2938</v>
      </c>
      <c r="C2133" s="2" t="s">
        <v>254</v>
      </c>
      <c r="D2133" s="2" t="s">
        <v>255</v>
      </c>
      <c r="E2133" s="2" t="s">
        <v>256</v>
      </c>
      <c r="F2133" s="2" t="s">
        <v>537</v>
      </c>
      <c r="G2133" s="2" t="s">
        <v>485</v>
      </c>
      <c r="H2133" s="2" t="s">
        <v>486</v>
      </c>
      <c r="I2133" s="26">
        <v>45471</v>
      </c>
      <c r="J2133" s="2">
        <v>20</v>
      </c>
      <c r="K2133" s="2" t="s">
        <v>123</v>
      </c>
      <c r="L2133" s="22">
        <v>7300</v>
      </c>
      <c r="M2133" s="22">
        <v>146000</v>
      </c>
      <c r="N2133" s="18">
        <v>156.15</v>
      </c>
      <c r="O2133" s="26">
        <v>45681</v>
      </c>
      <c r="P2133" s="2" t="s">
        <v>2105</v>
      </c>
      <c r="Q2133" s="2" t="s">
        <v>806</v>
      </c>
    </row>
    <row r="2134" spans="2:17" x14ac:dyDescent="0.25">
      <c r="B2134" s="2" t="s">
        <v>2939</v>
      </c>
      <c r="C2134" s="2" t="s">
        <v>254</v>
      </c>
      <c r="D2134" s="2" t="s">
        <v>255</v>
      </c>
      <c r="E2134" s="2" t="s">
        <v>256</v>
      </c>
      <c r="F2134" s="2" t="s">
        <v>537</v>
      </c>
      <c r="G2134" s="2" t="s">
        <v>485</v>
      </c>
      <c r="H2134" s="2" t="s">
        <v>486</v>
      </c>
      <c r="I2134" s="26">
        <v>45489</v>
      </c>
      <c r="J2134" s="2">
        <v>19</v>
      </c>
      <c r="K2134" s="2" t="s">
        <v>123</v>
      </c>
      <c r="L2134" s="22">
        <v>7300</v>
      </c>
      <c r="M2134" s="22">
        <v>138700</v>
      </c>
      <c r="N2134" s="18">
        <v>148.34</v>
      </c>
      <c r="O2134" s="26">
        <v>45699</v>
      </c>
      <c r="P2134" s="2" t="s">
        <v>2105</v>
      </c>
      <c r="Q2134" s="2" t="s">
        <v>806</v>
      </c>
    </row>
    <row r="2135" spans="2:17" x14ac:dyDescent="0.25">
      <c r="B2135" s="2" t="s">
        <v>2940</v>
      </c>
      <c r="C2135" s="2" t="s">
        <v>254</v>
      </c>
      <c r="D2135" s="2" t="s">
        <v>255</v>
      </c>
      <c r="E2135" s="2" t="s">
        <v>256</v>
      </c>
      <c r="F2135" s="2" t="s">
        <v>535</v>
      </c>
      <c r="G2135" s="2" t="s">
        <v>475</v>
      </c>
      <c r="H2135" s="2" t="s">
        <v>476</v>
      </c>
      <c r="I2135" s="26">
        <v>45501</v>
      </c>
      <c r="J2135" s="2">
        <v>18</v>
      </c>
      <c r="K2135" s="2" t="s">
        <v>123</v>
      </c>
      <c r="L2135" s="22">
        <v>6800</v>
      </c>
      <c r="M2135" s="22">
        <v>122400</v>
      </c>
      <c r="N2135" s="18">
        <v>130.91</v>
      </c>
      <c r="O2135" s="26">
        <v>45711</v>
      </c>
      <c r="P2135" s="2" t="s">
        <v>2105</v>
      </c>
      <c r="Q2135" s="2" t="s">
        <v>806</v>
      </c>
    </row>
    <row r="2136" spans="2:17" x14ac:dyDescent="0.25">
      <c r="B2136" s="2" t="s">
        <v>2941</v>
      </c>
      <c r="C2136" s="2" t="s">
        <v>254</v>
      </c>
      <c r="D2136" s="2" t="s">
        <v>255</v>
      </c>
      <c r="E2136" s="2" t="s">
        <v>256</v>
      </c>
      <c r="F2136" s="2" t="s">
        <v>535</v>
      </c>
      <c r="G2136" s="2" t="s">
        <v>475</v>
      </c>
      <c r="H2136" s="2" t="s">
        <v>476</v>
      </c>
      <c r="I2136" s="26">
        <v>45527</v>
      </c>
      <c r="J2136" s="2">
        <v>22</v>
      </c>
      <c r="K2136" s="2" t="s">
        <v>123</v>
      </c>
      <c r="L2136" s="22">
        <v>6800</v>
      </c>
      <c r="M2136" s="22">
        <v>149600</v>
      </c>
      <c r="N2136" s="18">
        <v>160</v>
      </c>
      <c r="O2136" s="26">
        <v>45737</v>
      </c>
      <c r="P2136" s="2" t="s">
        <v>2105</v>
      </c>
      <c r="Q2136" s="2" t="s">
        <v>806</v>
      </c>
    </row>
    <row r="2137" spans="2:17" x14ac:dyDescent="0.25">
      <c r="B2137" s="2" t="s">
        <v>2942</v>
      </c>
      <c r="C2137" s="2" t="s">
        <v>254</v>
      </c>
      <c r="D2137" s="2" t="s">
        <v>255</v>
      </c>
      <c r="E2137" s="2" t="s">
        <v>256</v>
      </c>
      <c r="F2137" s="2" t="s">
        <v>537</v>
      </c>
      <c r="G2137" s="2" t="s">
        <v>485</v>
      </c>
      <c r="H2137" s="2" t="s">
        <v>486</v>
      </c>
      <c r="I2137" s="26">
        <v>45547</v>
      </c>
      <c r="J2137" s="2">
        <v>28</v>
      </c>
      <c r="K2137" s="2" t="s">
        <v>123</v>
      </c>
      <c r="L2137" s="22">
        <v>7300</v>
      </c>
      <c r="M2137" s="22">
        <v>204400</v>
      </c>
      <c r="N2137" s="18">
        <v>218.61</v>
      </c>
      <c r="O2137" s="26">
        <v>45757</v>
      </c>
      <c r="P2137" s="2" t="s">
        <v>2105</v>
      </c>
      <c r="Q2137" s="2" t="s">
        <v>814</v>
      </c>
    </row>
    <row r="2138" spans="2:17" x14ac:dyDescent="0.25">
      <c r="B2138" s="2" t="s">
        <v>2943</v>
      </c>
      <c r="C2138" s="2" t="s">
        <v>254</v>
      </c>
      <c r="D2138" s="2" t="s">
        <v>255</v>
      </c>
      <c r="E2138" s="2" t="s">
        <v>256</v>
      </c>
      <c r="F2138" s="2" t="s">
        <v>535</v>
      </c>
      <c r="G2138" s="2" t="s">
        <v>475</v>
      </c>
      <c r="H2138" s="2" t="s">
        <v>476</v>
      </c>
      <c r="I2138" s="26">
        <v>45574</v>
      </c>
      <c r="J2138" s="2">
        <v>6</v>
      </c>
      <c r="K2138" s="2" t="s">
        <v>123</v>
      </c>
      <c r="L2138" s="22">
        <v>6800</v>
      </c>
      <c r="M2138" s="22">
        <v>40800</v>
      </c>
      <c r="N2138" s="18">
        <v>43.64</v>
      </c>
      <c r="O2138" s="26">
        <v>45784</v>
      </c>
      <c r="P2138" s="2" t="s">
        <v>2105</v>
      </c>
      <c r="Q2138" s="2" t="s">
        <v>814</v>
      </c>
    </row>
    <row r="2139" spans="2:17" x14ac:dyDescent="0.25">
      <c r="B2139" s="2" t="s">
        <v>2944</v>
      </c>
      <c r="C2139" s="2" t="s">
        <v>254</v>
      </c>
      <c r="D2139" s="2" t="s">
        <v>255</v>
      </c>
      <c r="E2139" s="2" t="s">
        <v>256</v>
      </c>
      <c r="F2139" s="2" t="s">
        <v>537</v>
      </c>
      <c r="G2139" s="2" t="s">
        <v>485</v>
      </c>
      <c r="H2139" s="2" t="s">
        <v>486</v>
      </c>
      <c r="I2139" s="26">
        <v>45595</v>
      </c>
      <c r="J2139" s="2">
        <v>7</v>
      </c>
      <c r="K2139" s="2" t="s">
        <v>123</v>
      </c>
      <c r="L2139" s="22">
        <v>7300</v>
      </c>
      <c r="M2139" s="22">
        <v>51100</v>
      </c>
      <c r="N2139" s="18">
        <v>54.65</v>
      </c>
      <c r="O2139" s="26">
        <v>45805</v>
      </c>
      <c r="P2139" s="2" t="s">
        <v>2105</v>
      </c>
      <c r="Q2139" s="2" t="s">
        <v>814</v>
      </c>
    </row>
    <row r="2140" spans="2:17" x14ac:dyDescent="0.25">
      <c r="B2140" s="2" t="s">
        <v>2945</v>
      </c>
      <c r="C2140" s="2" t="s">
        <v>254</v>
      </c>
      <c r="D2140" s="2" t="s">
        <v>255</v>
      </c>
      <c r="E2140" s="2" t="s">
        <v>256</v>
      </c>
      <c r="F2140" s="2" t="s">
        <v>537</v>
      </c>
      <c r="G2140" s="2" t="s">
        <v>485</v>
      </c>
      <c r="H2140" s="2" t="s">
        <v>486</v>
      </c>
      <c r="I2140" s="26">
        <v>45616</v>
      </c>
      <c r="J2140" s="2">
        <v>8</v>
      </c>
      <c r="K2140" s="2" t="s">
        <v>123</v>
      </c>
      <c r="L2140" s="22">
        <v>7300</v>
      </c>
      <c r="M2140" s="22">
        <v>58400</v>
      </c>
      <c r="N2140" s="18">
        <v>62.46</v>
      </c>
      <c r="O2140" s="26">
        <v>45826</v>
      </c>
      <c r="P2140" s="2" t="s">
        <v>2105</v>
      </c>
      <c r="Q2140" s="2" t="s">
        <v>814</v>
      </c>
    </row>
    <row r="2141" spans="2:17" x14ac:dyDescent="0.25">
      <c r="B2141" s="2" t="s">
        <v>2946</v>
      </c>
      <c r="C2141" s="2" t="s">
        <v>254</v>
      </c>
      <c r="D2141" s="2" t="s">
        <v>255</v>
      </c>
      <c r="E2141" s="2" t="s">
        <v>256</v>
      </c>
      <c r="F2141" s="2" t="s">
        <v>537</v>
      </c>
      <c r="G2141" s="2" t="s">
        <v>485</v>
      </c>
      <c r="H2141" s="2" t="s">
        <v>486</v>
      </c>
      <c r="I2141" s="26">
        <v>45638</v>
      </c>
      <c r="J2141" s="2">
        <v>10</v>
      </c>
      <c r="K2141" s="2" t="s">
        <v>123</v>
      </c>
      <c r="L2141" s="22">
        <v>7300</v>
      </c>
      <c r="M2141" s="22">
        <v>73000</v>
      </c>
      <c r="N2141" s="18">
        <v>78.069999999999993</v>
      </c>
      <c r="O2141" s="26">
        <v>45848</v>
      </c>
      <c r="P2141" s="2" t="s">
        <v>2105</v>
      </c>
      <c r="Q2141" s="2" t="s">
        <v>825</v>
      </c>
    </row>
    <row r="2142" spans="2:17" x14ac:dyDescent="0.25">
      <c r="B2142" s="2" t="s">
        <v>2947</v>
      </c>
      <c r="C2142" s="2" t="s">
        <v>254</v>
      </c>
      <c r="D2142" s="2" t="s">
        <v>255</v>
      </c>
      <c r="E2142" s="2" t="s">
        <v>256</v>
      </c>
      <c r="F2142" s="2" t="s">
        <v>535</v>
      </c>
      <c r="G2142" s="2" t="s">
        <v>475</v>
      </c>
      <c r="H2142" s="2" t="s">
        <v>476</v>
      </c>
      <c r="I2142" s="26">
        <v>45658</v>
      </c>
      <c r="J2142" s="2">
        <v>7</v>
      </c>
      <c r="K2142" s="2" t="s">
        <v>123</v>
      </c>
      <c r="L2142" s="22">
        <v>6800</v>
      </c>
      <c r="M2142" s="22">
        <v>47600</v>
      </c>
      <c r="N2142" s="18">
        <v>50.91</v>
      </c>
      <c r="O2142" s="26">
        <v>45868</v>
      </c>
      <c r="P2142" s="2" t="s">
        <v>2105</v>
      </c>
      <c r="Q2142" s="2" t="s">
        <v>825</v>
      </c>
    </row>
    <row r="2143" spans="2:17" x14ac:dyDescent="0.25">
      <c r="B2143" s="2" t="s">
        <v>2948</v>
      </c>
      <c r="C2143" s="2" t="s">
        <v>254</v>
      </c>
      <c r="D2143" s="2" t="s">
        <v>255</v>
      </c>
      <c r="E2143" s="2" t="s">
        <v>256</v>
      </c>
      <c r="F2143" s="2" t="s">
        <v>535</v>
      </c>
      <c r="G2143" s="2" t="s">
        <v>475</v>
      </c>
      <c r="H2143" s="2" t="s">
        <v>476</v>
      </c>
      <c r="I2143" s="26">
        <v>45676</v>
      </c>
      <c r="J2143" s="2">
        <v>7</v>
      </c>
      <c r="K2143" s="2" t="s">
        <v>123</v>
      </c>
      <c r="L2143" s="22">
        <v>6800</v>
      </c>
      <c r="M2143" s="22">
        <v>47600</v>
      </c>
      <c r="N2143" s="18">
        <v>50.91</v>
      </c>
      <c r="O2143" s="26">
        <v>45886</v>
      </c>
      <c r="P2143" s="2" t="s">
        <v>2105</v>
      </c>
      <c r="Q2143" s="2" t="s">
        <v>825</v>
      </c>
    </row>
    <row r="2144" spans="2:17" x14ac:dyDescent="0.25">
      <c r="B2144" s="2" t="s">
        <v>2949</v>
      </c>
      <c r="C2144" s="2" t="s">
        <v>254</v>
      </c>
      <c r="D2144" s="2" t="s">
        <v>255</v>
      </c>
      <c r="E2144" s="2" t="s">
        <v>256</v>
      </c>
      <c r="F2144" s="2" t="s">
        <v>535</v>
      </c>
      <c r="G2144" s="2" t="s">
        <v>475</v>
      </c>
      <c r="H2144" s="2" t="s">
        <v>476</v>
      </c>
      <c r="I2144" s="26">
        <v>45701</v>
      </c>
      <c r="J2144" s="2">
        <v>7</v>
      </c>
      <c r="K2144" s="2" t="s">
        <v>123</v>
      </c>
      <c r="L2144" s="22">
        <v>6800</v>
      </c>
      <c r="M2144" s="22">
        <v>47600</v>
      </c>
      <c r="N2144" s="18">
        <v>50.91</v>
      </c>
      <c r="O2144" s="26">
        <v>45911</v>
      </c>
      <c r="P2144" s="2" t="s">
        <v>2105</v>
      </c>
      <c r="Q2144" s="2" t="s">
        <v>825</v>
      </c>
    </row>
    <row r="2145" spans="2:17" x14ac:dyDescent="0.25">
      <c r="B2145" s="2" t="s">
        <v>2950</v>
      </c>
      <c r="C2145" s="2" t="s">
        <v>254</v>
      </c>
      <c r="D2145" s="2" t="s">
        <v>255</v>
      </c>
      <c r="E2145" s="2" t="s">
        <v>256</v>
      </c>
      <c r="F2145" s="2" t="s">
        <v>535</v>
      </c>
      <c r="G2145" s="2" t="s">
        <v>475</v>
      </c>
      <c r="H2145" s="2" t="s">
        <v>476</v>
      </c>
      <c r="I2145" s="26">
        <v>45715</v>
      </c>
      <c r="J2145" s="2">
        <v>7</v>
      </c>
      <c r="K2145" s="2" t="s">
        <v>123</v>
      </c>
      <c r="L2145" s="22">
        <v>6800</v>
      </c>
      <c r="M2145" s="22">
        <v>47600</v>
      </c>
      <c r="N2145" s="18">
        <v>50.91</v>
      </c>
      <c r="O2145" s="26">
        <v>45925</v>
      </c>
      <c r="P2145" s="2" t="s">
        <v>2105</v>
      </c>
      <c r="Q2145" s="2" t="s">
        <v>825</v>
      </c>
    </row>
    <row r="2146" spans="2:17" x14ac:dyDescent="0.25">
      <c r="B2146" s="2" t="s">
        <v>2951</v>
      </c>
      <c r="C2146" s="2" t="s">
        <v>254</v>
      </c>
      <c r="D2146" s="2" t="s">
        <v>255</v>
      </c>
      <c r="E2146" s="2" t="s">
        <v>256</v>
      </c>
      <c r="F2146" s="2" t="s">
        <v>535</v>
      </c>
      <c r="G2146" s="2" t="s">
        <v>475</v>
      </c>
      <c r="H2146" s="2" t="s">
        <v>476</v>
      </c>
      <c r="I2146" s="26">
        <v>45739</v>
      </c>
      <c r="J2146" s="2">
        <v>7</v>
      </c>
      <c r="K2146" s="2" t="s">
        <v>123</v>
      </c>
      <c r="L2146" s="22">
        <v>6800</v>
      </c>
      <c r="M2146" s="22">
        <v>47600</v>
      </c>
      <c r="N2146" s="18">
        <v>50.91</v>
      </c>
      <c r="O2146" s="26">
        <v>45949</v>
      </c>
      <c r="P2146" s="2" t="s">
        <v>2105</v>
      </c>
      <c r="Q2146" s="2" t="s">
        <v>836</v>
      </c>
    </row>
    <row r="2147" spans="2:17" x14ac:dyDescent="0.25">
      <c r="B2147" s="2" t="s">
        <v>2952</v>
      </c>
      <c r="C2147" s="2" t="s">
        <v>254</v>
      </c>
      <c r="D2147" s="2" t="s">
        <v>255</v>
      </c>
      <c r="E2147" s="2" t="s">
        <v>256</v>
      </c>
      <c r="F2147" s="2" t="s">
        <v>535</v>
      </c>
      <c r="G2147" s="2" t="s">
        <v>475</v>
      </c>
      <c r="H2147" s="2" t="s">
        <v>476</v>
      </c>
      <c r="I2147" s="26">
        <v>45760</v>
      </c>
      <c r="J2147" s="2">
        <v>19</v>
      </c>
      <c r="K2147" s="2" t="s">
        <v>123</v>
      </c>
      <c r="L2147" s="22">
        <v>6800</v>
      </c>
      <c r="M2147" s="22">
        <v>129200</v>
      </c>
      <c r="N2147" s="18">
        <v>138.18</v>
      </c>
      <c r="O2147" s="26">
        <v>45970</v>
      </c>
      <c r="P2147" s="2" t="s">
        <v>2105</v>
      </c>
      <c r="Q2147" s="2" t="s">
        <v>836</v>
      </c>
    </row>
    <row r="2148" spans="2:17" x14ac:dyDescent="0.25">
      <c r="B2148" s="2" t="s">
        <v>2953</v>
      </c>
      <c r="C2148" s="2" t="s">
        <v>254</v>
      </c>
      <c r="D2148" s="2" t="s">
        <v>255</v>
      </c>
      <c r="E2148" s="2" t="s">
        <v>256</v>
      </c>
      <c r="F2148" s="2" t="s">
        <v>535</v>
      </c>
      <c r="G2148" s="2" t="s">
        <v>475</v>
      </c>
      <c r="H2148" s="2" t="s">
        <v>476</v>
      </c>
      <c r="I2148" s="26">
        <v>45782</v>
      </c>
      <c r="J2148" s="2">
        <v>18</v>
      </c>
      <c r="K2148" s="2" t="s">
        <v>123</v>
      </c>
      <c r="L2148" s="22">
        <v>6800</v>
      </c>
      <c r="M2148" s="22">
        <v>122400</v>
      </c>
      <c r="N2148" s="18">
        <v>130.91</v>
      </c>
      <c r="O2148" s="26">
        <v>45992</v>
      </c>
      <c r="P2148" s="2" t="s">
        <v>2105</v>
      </c>
      <c r="Q2148" s="2" t="s">
        <v>836</v>
      </c>
    </row>
    <row r="2149" spans="2:17" x14ac:dyDescent="0.25">
      <c r="B2149" s="2" t="s">
        <v>2954</v>
      </c>
      <c r="C2149" s="2" t="s">
        <v>254</v>
      </c>
      <c r="D2149" s="2" t="s">
        <v>255</v>
      </c>
      <c r="E2149" s="2" t="s">
        <v>256</v>
      </c>
      <c r="F2149" s="2" t="s">
        <v>535</v>
      </c>
      <c r="G2149" s="2" t="s">
        <v>475</v>
      </c>
      <c r="H2149" s="2" t="s">
        <v>476</v>
      </c>
      <c r="I2149" s="26">
        <v>45799</v>
      </c>
      <c r="J2149" s="2">
        <v>23</v>
      </c>
      <c r="K2149" s="2" t="s">
        <v>123</v>
      </c>
      <c r="L2149" s="22">
        <v>6800</v>
      </c>
      <c r="M2149" s="22">
        <v>156400</v>
      </c>
      <c r="N2149" s="18">
        <v>167.27</v>
      </c>
      <c r="O2149" s="26">
        <v>46009</v>
      </c>
      <c r="P2149" s="2" t="s">
        <v>2105</v>
      </c>
      <c r="Q2149" s="2" t="s">
        <v>836</v>
      </c>
    </row>
    <row r="2150" spans="2:17" x14ac:dyDescent="0.25">
      <c r="B2150" s="2" t="s">
        <v>2955</v>
      </c>
      <c r="C2150" s="2" t="s">
        <v>254</v>
      </c>
      <c r="D2150" s="2" t="s">
        <v>255</v>
      </c>
      <c r="E2150" s="2" t="s">
        <v>256</v>
      </c>
      <c r="F2150" s="2" t="s">
        <v>535</v>
      </c>
      <c r="G2150" s="2" t="s">
        <v>475</v>
      </c>
      <c r="H2150" s="2" t="s">
        <v>476</v>
      </c>
      <c r="I2150" s="26">
        <v>45822</v>
      </c>
      <c r="J2150" s="2">
        <v>22</v>
      </c>
      <c r="K2150" s="2" t="s">
        <v>123</v>
      </c>
      <c r="L2150" s="22">
        <v>6800</v>
      </c>
      <c r="M2150" s="22">
        <v>149600</v>
      </c>
      <c r="N2150" s="18">
        <v>160</v>
      </c>
      <c r="O2150" s="26">
        <v>46032</v>
      </c>
      <c r="P2150" s="2" t="s">
        <v>2105</v>
      </c>
      <c r="Q2150" s="2" t="s">
        <v>806</v>
      </c>
    </row>
    <row r="2151" spans="2:17" x14ac:dyDescent="0.25">
      <c r="B2151" s="2" t="s">
        <v>2956</v>
      </c>
      <c r="C2151" s="2" t="s">
        <v>257</v>
      </c>
      <c r="D2151" s="2" t="s">
        <v>258</v>
      </c>
      <c r="E2151" s="2" t="s">
        <v>256</v>
      </c>
      <c r="F2151" s="2" t="s">
        <v>535</v>
      </c>
      <c r="G2151" s="2" t="s">
        <v>475</v>
      </c>
      <c r="H2151" s="2" t="s">
        <v>476</v>
      </c>
      <c r="I2151" s="26">
        <v>45122</v>
      </c>
      <c r="J2151" s="2">
        <v>18</v>
      </c>
      <c r="K2151" s="2" t="s">
        <v>123</v>
      </c>
      <c r="L2151" s="22">
        <v>10000</v>
      </c>
      <c r="M2151" s="22">
        <v>180000</v>
      </c>
      <c r="N2151" s="18">
        <v>192.51</v>
      </c>
      <c r="O2151" s="26">
        <v>45332</v>
      </c>
      <c r="P2151" s="2" t="s">
        <v>2105</v>
      </c>
      <c r="Q2151" s="2" t="s">
        <v>806</v>
      </c>
    </row>
    <row r="2152" spans="2:17" x14ac:dyDescent="0.25">
      <c r="B2152" s="2" t="s">
        <v>2957</v>
      </c>
      <c r="C2152" s="2" t="s">
        <v>257</v>
      </c>
      <c r="D2152" s="2" t="s">
        <v>258</v>
      </c>
      <c r="E2152" s="2" t="s">
        <v>256</v>
      </c>
      <c r="F2152" s="2" t="s">
        <v>535</v>
      </c>
      <c r="G2152" s="2" t="s">
        <v>475</v>
      </c>
      <c r="H2152" s="2" t="s">
        <v>476</v>
      </c>
      <c r="I2152" s="26">
        <v>45148</v>
      </c>
      <c r="J2152" s="2">
        <v>18</v>
      </c>
      <c r="K2152" s="2" t="s">
        <v>123</v>
      </c>
      <c r="L2152" s="22">
        <v>10000</v>
      </c>
      <c r="M2152" s="22">
        <v>180000</v>
      </c>
      <c r="N2152" s="18">
        <v>192.51</v>
      </c>
      <c r="O2152" s="26">
        <v>45358</v>
      </c>
      <c r="P2152" s="2" t="s">
        <v>2105</v>
      </c>
      <c r="Q2152" s="2" t="s">
        <v>806</v>
      </c>
    </row>
    <row r="2153" spans="2:17" x14ac:dyDescent="0.25">
      <c r="B2153" s="2" t="s">
        <v>2958</v>
      </c>
      <c r="C2153" s="2" t="s">
        <v>257</v>
      </c>
      <c r="D2153" s="2" t="s">
        <v>258</v>
      </c>
      <c r="E2153" s="2" t="s">
        <v>256</v>
      </c>
      <c r="F2153" s="2" t="s">
        <v>535</v>
      </c>
      <c r="G2153" s="2" t="s">
        <v>475</v>
      </c>
      <c r="H2153" s="2" t="s">
        <v>476</v>
      </c>
      <c r="I2153" s="26">
        <v>45171</v>
      </c>
      <c r="J2153" s="2">
        <v>28</v>
      </c>
      <c r="K2153" s="2" t="s">
        <v>123</v>
      </c>
      <c r="L2153" s="22">
        <v>10000</v>
      </c>
      <c r="M2153" s="22">
        <v>280000</v>
      </c>
      <c r="N2153" s="18">
        <v>299.47000000000003</v>
      </c>
      <c r="O2153" s="26">
        <v>45381</v>
      </c>
      <c r="P2153" s="2" t="s">
        <v>2105</v>
      </c>
      <c r="Q2153" s="2" t="s">
        <v>814</v>
      </c>
    </row>
    <row r="2154" spans="2:17" x14ac:dyDescent="0.25">
      <c r="B2154" s="2" t="s">
        <v>2959</v>
      </c>
      <c r="C2154" s="2" t="s">
        <v>257</v>
      </c>
      <c r="D2154" s="2" t="s">
        <v>258</v>
      </c>
      <c r="E2154" s="2" t="s">
        <v>256</v>
      </c>
      <c r="F2154" s="2" t="s">
        <v>535</v>
      </c>
      <c r="G2154" s="2" t="s">
        <v>475</v>
      </c>
      <c r="H2154" s="2" t="s">
        <v>476</v>
      </c>
      <c r="I2154" s="26">
        <v>45187</v>
      </c>
      <c r="J2154" s="2">
        <v>22</v>
      </c>
      <c r="K2154" s="2" t="s">
        <v>123</v>
      </c>
      <c r="L2154" s="22">
        <v>10000</v>
      </c>
      <c r="M2154" s="22">
        <v>220000</v>
      </c>
      <c r="N2154" s="18">
        <v>235.29</v>
      </c>
      <c r="O2154" s="26">
        <v>45397</v>
      </c>
      <c r="P2154" s="2" t="s">
        <v>2105</v>
      </c>
      <c r="Q2154" s="2" t="s">
        <v>814</v>
      </c>
    </row>
    <row r="2155" spans="2:17" x14ac:dyDescent="0.25">
      <c r="B2155" s="2" t="s">
        <v>2960</v>
      </c>
      <c r="C2155" s="2" t="s">
        <v>257</v>
      </c>
      <c r="D2155" s="2" t="s">
        <v>258</v>
      </c>
      <c r="E2155" s="2" t="s">
        <v>256</v>
      </c>
      <c r="F2155" s="2" t="s">
        <v>535</v>
      </c>
      <c r="G2155" s="2" t="s">
        <v>475</v>
      </c>
      <c r="H2155" s="2" t="s">
        <v>476</v>
      </c>
      <c r="I2155" s="26">
        <v>45208</v>
      </c>
      <c r="J2155" s="2">
        <v>8</v>
      </c>
      <c r="K2155" s="2" t="s">
        <v>123</v>
      </c>
      <c r="L2155" s="22">
        <v>10000</v>
      </c>
      <c r="M2155" s="22">
        <v>80000</v>
      </c>
      <c r="N2155" s="18">
        <v>85.56</v>
      </c>
      <c r="O2155" s="26">
        <v>45418</v>
      </c>
      <c r="P2155" s="2" t="s">
        <v>2105</v>
      </c>
      <c r="Q2155" s="2" t="s">
        <v>814</v>
      </c>
    </row>
    <row r="2156" spans="2:17" x14ac:dyDescent="0.25">
      <c r="B2156" s="2" t="s">
        <v>2961</v>
      </c>
      <c r="C2156" s="2" t="s">
        <v>257</v>
      </c>
      <c r="D2156" s="2" t="s">
        <v>258</v>
      </c>
      <c r="E2156" s="2" t="s">
        <v>256</v>
      </c>
      <c r="F2156" s="2" t="s">
        <v>535</v>
      </c>
      <c r="G2156" s="2" t="s">
        <v>475</v>
      </c>
      <c r="H2156" s="2" t="s">
        <v>476</v>
      </c>
      <c r="I2156" s="26">
        <v>45230</v>
      </c>
      <c r="J2156" s="2">
        <v>8</v>
      </c>
      <c r="K2156" s="2" t="s">
        <v>123</v>
      </c>
      <c r="L2156" s="22">
        <v>10000</v>
      </c>
      <c r="M2156" s="22">
        <v>80000</v>
      </c>
      <c r="N2156" s="18">
        <v>85.56</v>
      </c>
      <c r="O2156" s="26">
        <v>45440</v>
      </c>
      <c r="P2156" s="2" t="s">
        <v>2105</v>
      </c>
      <c r="Q2156" s="2" t="s">
        <v>814</v>
      </c>
    </row>
    <row r="2157" spans="2:17" x14ac:dyDescent="0.25">
      <c r="B2157" s="2" t="s">
        <v>2962</v>
      </c>
      <c r="C2157" s="2" t="s">
        <v>257</v>
      </c>
      <c r="D2157" s="2" t="s">
        <v>258</v>
      </c>
      <c r="E2157" s="2" t="s">
        <v>256</v>
      </c>
      <c r="F2157" s="2" t="s">
        <v>535</v>
      </c>
      <c r="G2157" s="2" t="s">
        <v>475</v>
      </c>
      <c r="H2157" s="2" t="s">
        <v>476</v>
      </c>
      <c r="I2157" s="26">
        <v>45251</v>
      </c>
      <c r="J2157" s="2">
        <v>8</v>
      </c>
      <c r="K2157" s="2" t="s">
        <v>123</v>
      </c>
      <c r="L2157" s="22">
        <v>10000</v>
      </c>
      <c r="M2157" s="22">
        <v>80000</v>
      </c>
      <c r="N2157" s="18">
        <v>85.56</v>
      </c>
      <c r="O2157" s="26">
        <v>45461</v>
      </c>
      <c r="P2157" s="2" t="s">
        <v>2105</v>
      </c>
      <c r="Q2157" s="2" t="s">
        <v>814</v>
      </c>
    </row>
    <row r="2158" spans="2:17" x14ac:dyDescent="0.25">
      <c r="B2158" s="2" t="s">
        <v>2963</v>
      </c>
      <c r="C2158" s="2" t="s">
        <v>257</v>
      </c>
      <c r="D2158" s="2" t="s">
        <v>258</v>
      </c>
      <c r="E2158" s="2" t="s">
        <v>256</v>
      </c>
      <c r="F2158" s="2" t="s">
        <v>535</v>
      </c>
      <c r="G2158" s="2" t="s">
        <v>475</v>
      </c>
      <c r="H2158" s="2" t="s">
        <v>476</v>
      </c>
      <c r="I2158" s="26">
        <v>45276</v>
      </c>
      <c r="J2158" s="2">
        <v>10</v>
      </c>
      <c r="K2158" s="2" t="s">
        <v>123</v>
      </c>
      <c r="L2158" s="22">
        <v>10000</v>
      </c>
      <c r="M2158" s="22">
        <v>100000</v>
      </c>
      <c r="N2158" s="18">
        <v>106.95</v>
      </c>
      <c r="O2158" s="26">
        <v>45486</v>
      </c>
      <c r="P2158" s="2" t="s">
        <v>2105</v>
      </c>
      <c r="Q2158" s="2" t="s">
        <v>825</v>
      </c>
    </row>
    <row r="2159" spans="2:17" x14ac:dyDescent="0.25">
      <c r="B2159" s="2" t="s">
        <v>2964</v>
      </c>
      <c r="C2159" s="2" t="s">
        <v>257</v>
      </c>
      <c r="D2159" s="2" t="s">
        <v>258</v>
      </c>
      <c r="E2159" s="2" t="s">
        <v>256</v>
      </c>
      <c r="F2159" s="2" t="s">
        <v>535</v>
      </c>
      <c r="G2159" s="2" t="s">
        <v>475</v>
      </c>
      <c r="H2159" s="2" t="s">
        <v>476</v>
      </c>
      <c r="I2159" s="26">
        <v>45299</v>
      </c>
      <c r="J2159" s="2">
        <v>7</v>
      </c>
      <c r="K2159" s="2" t="s">
        <v>123</v>
      </c>
      <c r="L2159" s="22">
        <v>10000</v>
      </c>
      <c r="M2159" s="22">
        <v>70000</v>
      </c>
      <c r="N2159" s="18">
        <v>74.87</v>
      </c>
      <c r="O2159" s="26">
        <v>45509</v>
      </c>
      <c r="P2159" s="2" t="s">
        <v>2105</v>
      </c>
      <c r="Q2159" s="2" t="s">
        <v>825</v>
      </c>
    </row>
    <row r="2160" spans="2:17" x14ac:dyDescent="0.25">
      <c r="B2160" s="2" t="s">
        <v>2965</v>
      </c>
      <c r="C2160" s="2" t="s">
        <v>257</v>
      </c>
      <c r="D2160" s="2" t="s">
        <v>258</v>
      </c>
      <c r="E2160" s="2" t="s">
        <v>256</v>
      </c>
      <c r="F2160" s="2" t="s">
        <v>535</v>
      </c>
      <c r="G2160" s="2" t="s">
        <v>475</v>
      </c>
      <c r="H2160" s="2" t="s">
        <v>476</v>
      </c>
      <c r="I2160" s="26">
        <v>45316</v>
      </c>
      <c r="J2160" s="2">
        <v>7</v>
      </c>
      <c r="K2160" s="2" t="s">
        <v>123</v>
      </c>
      <c r="L2160" s="22">
        <v>10000</v>
      </c>
      <c r="M2160" s="22">
        <v>70000</v>
      </c>
      <c r="N2160" s="18">
        <v>74.87</v>
      </c>
      <c r="O2160" s="26">
        <v>45526</v>
      </c>
      <c r="P2160" s="2" t="s">
        <v>2105</v>
      </c>
      <c r="Q2160" s="2" t="s">
        <v>825</v>
      </c>
    </row>
    <row r="2161" spans="2:17" x14ac:dyDescent="0.25">
      <c r="B2161" s="2" t="s">
        <v>2966</v>
      </c>
      <c r="C2161" s="2" t="s">
        <v>257</v>
      </c>
      <c r="D2161" s="2" t="s">
        <v>258</v>
      </c>
      <c r="E2161" s="2" t="s">
        <v>256</v>
      </c>
      <c r="F2161" s="2" t="s">
        <v>537</v>
      </c>
      <c r="G2161" s="2" t="s">
        <v>485</v>
      </c>
      <c r="H2161" s="2" t="s">
        <v>486</v>
      </c>
      <c r="I2161" s="26">
        <v>45335</v>
      </c>
      <c r="J2161" s="2">
        <v>7</v>
      </c>
      <c r="K2161" s="2" t="s">
        <v>123</v>
      </c>
      <c r="L2161" s="22">
        <v>9650</v>
      </c>
      <c r="M2161" s="22">
        <v>67550</v>
      </c>
      <c r="N2161" s="18">
        <v>72.25</v>
      </c>
      <c r="O2161" s="26">
        <v>45545</v>
      </c>
      <c r="P2161" s="2" t="s">
        <v>2105</v>
      </c>
      <c r="Q2161" s="2" t="s">
        <v>825</v>
      </c>
    </row>
    <row r="2162" spans="2:17" x14ac:dyDescent="0.25">
      <c r="B2162" s="2" t="s">
        <v>2967</v>
      </c>
      <c r="C2162" s="2" t="s">
        <v>257</v>
      </c>
      <c r="D2162" s="2" t="s">
        <v>258</v>
      </c>
      <c r="E2162" s="2" t="s">
        <v>256</v>
      </c>
      <c r="F2162" s="2" t="s">
        <v>535</v>
      </c>
      <c r="G2162" s="2" t="s">
        <v>475</v>
      </c>
      <c r="H2162" s="2" t="s">
        <v>476</v>
      </c>
      <c r="I2162" s="26">
        <v>45350</v>
      </c>
      <c r="J2162" s="2">
        <v>8</v>
      </c>
      <c r="K2162" s="2" t="s">
        <v>123</v>
      </c>
      <c r="L2162" s="22">
        <v>10000</v>
      </c>
      <c r="M2162" s="22">
        <v>80000</v>
      </c>
      <c r="N2162" s="18">
        <v>85.56</v>
      </c>
      <c r="O2162" s="26">
        <v>45560</v>
      </c>
      <c r="P2162" s="2" t="s">
        <v>2105</v>
      </c>
      <c r="Q2162" s="2" t="s">
        <v>825</v>
      </c>
    </row>
    <row r="2163" spans="2:17" x14ac:dyDescent="0.25">
      <c r="B2163" s="2" t="s">
        <v>2968</v>
      </c>
      <c r="C2163" s="2" t="s">
        <v>257</v>
      </c>
      <c r="D2163" s="2" t="s">
        <v>258</v>
      </c>
      <c r="E2163" s="2" t="s">
        <v>256</v>
      </c>
      <c r="F2163" s="2" t="s">
        <v>535</v>
      </c>
      <c r="G2163" s="2" t="s">
        <v>475</v>
      </c>
      <c r="H2163" s="2" t="s">
        <v>476</v>
      </c>
      <c r="I2163" s="26">
        <v>45370</v>
      </c>
      <c r="J2163" s="2">
        <v>6</v>
      </c>
      <c r="K2163" s="2" t="s">
        <v>123</v>
      </c>
      <c r="L2163" s="22">
        <v>10000</v>
      </c>
      <c r="M2163" s="22">
        <v>60000</v>
      </c>
      <c r="N2163" s="18">
        <v>64.17</v>
      </c>
      <c r="O2163" s="26">
        <v>45580</v>
      </c>
      <c r="P2163" s="2" t="s">
        <v>2105</v>
      </c>
      <c r="Q2163" s="2" t="s">
        <v>836</v>
      </c>
    </row>
    <row r="2164" spans="2:17" x14ac:dyDescent="0.25">
      <c r="B2164" s="2" t="s">
        <v>2969</v>
      </c>
      <c r="C2164" s="2" t="s">
        <v>257</v>
      </c>
      <c r="D2164" s="2" t="s">
        <v>258</v>
      </c>
      <c r="E2164" s="2" t="s">
        <v>256</v>
      </c>
      <c r="F2164" s="2" t="s">
        <v>535</v>
      </c>
      <c r="G2164" s="2" t="s">
        <v>475</v>
      </c>
      <c r="H2164" s="2" t="s">
        <v>476</v>
      </c>
      <c r="I2164" s="26">
        <v>45393</v>
      </c>
      <c r="J2164" s="2">
        <v>20</v>
      </c>
      <c r="K2164" s="2" t="s">
        <v>123</v>
      </c>
      <c r="L2164" s="22">
        <v>10000</v>
      </c>
      <c r="M2164" s="22">
        <v>200000</v>
      </c>
      <c r="N2164" s="18">
        <v>213.9</v>
      </c>
      <c r="O2164" s="26">
        <v>45603</v>
      </c>
      <c r="P2164" s="2" t="s">
        <v>2105</v>
      </c>
      <c r="Q2164" s="2" t="s">
        <v>836</v>
      </c>
    </row>
    <row r="2165" spans="2:17" x14ac:dyDescent="0.25">
      <c r="B2165" s="2" t="s">
        <v>2970</v>
      </c>
      <c r="C2165" s="2" t="s">
        <v>257</v>
      </c>
      <c r="D2165" s="2" t="s">
        <v>258</v>
      </c>
      <c r="E2165" s="2" t="s">
        <v>256</v>
      </c>
      <c r="F2165" s="2" t="s">
        <v>535</v>
      </c>
      <c r="G2165" s="2" t="s">
        <v>475</v>
      </c>
      <c r="H2165" s="2" t="s">
        <v>476</v>
      </c>
      <c r="I2165" s="26">
        <v>45417</v>
      </c>
      <c r="J2165" s="2">
        <v>21</v>
      </c>
      <c r="K2165" s="2" t="s">
        <v>123</v>
      </c>
      <c r="L2165" s="22">
        <v>10000</v>
      </c>
      <c r="M2165" s="22">
        <v>210000</v>
      </c>
      <c r="N2165" s="18">
        <v>224.6</v>
      </c>
      <c r="O2165" s="26">
        <v>45627</v>
      </c>
      <c r="P2165" s="2" t="s">
        <v>2105</v>
      </c>
      <c r="Q2165" s="2" t="s">
        <v>836</v>
      </c>
    </row>
    <row r="2166" spans="2:17" x14ac:dyDescent="0.25">
      <c r="B2166" s="2" t="s">
        <v>2971</v>
      </c>
      <c r="C2166" s="2" t="s">
        <v>257</v>
      </c>
      <c r="D2166" s="2" t="s">
        <v>258</v>
      </c>
      <c r="E2166" s="2" t="s">
        <v>256</v>
      </c>
      <c r="F2166" s="2" t="s">
        <v>535</v>
      </c>
      <c r="G2166" s="2" t="s">
        <v>475</v>
      </c>
      <c r="H2166" s="2" t="s">
        <v>476</v>
      </c>
      <c r="I2166" s="26">
        <v>45437</v>
      </c>
      <c r="J2166" s="2">
        <v>22</v>
      </c>
      <c r="K2166" s="2" t="s">
        <v>123</v>
      </c>
      <c r="L2166" s="22">
        <v>10000</v>
      </c>
      <c r="M2166" s="22">
        <v>220000</v>
      </c>
      <c r="N2166" s="18">
        <v>235.29</v>
      </c>
      <c r="O2166" s="26">
        <v>45647</v>
      </c>
      <c r="P2166" s="2" t="s">
        <v>2105</v>
      </c>
      <c r="Q2166" s="2" t="s">
        <v>836</v>
      </c>
    </row>
    <row r="2167" spans="2:17" x14ac:dyDescent="0.25">
      <c r="B2167" s="2" t="s">
        <v>2972</v>
      </c>
      <c r="C2167" s="2" t="s">
        <v>257</v>
      </c>
      <c r="D2167" s="2" t="s">
        <v>258</v>
      </c>
      <c r="E2167" s="2" t="s">
        <v>256</v>
      </c>
      <c r="F2167" s="2" t="s">
        <v>535</v>
      </c>
      <c r="G2167" s="2" t="s">
        <v>475</v>
      </c>
      <c r="H2167" s="2" t="s">
        <v>476</v>
      </c>
      <c r="I2167" s="26">
        <v>45457</v>
      </c>
      <c r="J2167" s="2">
        <v>17</v>
      </c>
      <c r="K2167" s="2" t="s">
        <v>123</v>
      </c>
      <c r="L2167" s="22">
        <v>10000</v>
      </c>
      <c r="M2167" s="22">
        <v>170000</v>
      </c>
      <c r="N2167" s="18">
        <v>181.82</v>
      </c>
      <c r="O2167" s="26">
        <v>45667</v>
      </c>
      <c r="P2167" s="2" t="s">
        <v>2105</v>
      </c>
      <c r="Q2167" s="2" t="s">
        <v>806</v>
      </c>
    </row>
    <row r="2168" spans="2:17" x14ac:dyDescent="0.25">
      <c r="B2168" s="2" t="s">
        <v>2973</v>
      </c>
      <c r="C2168" s="2" t="s">
        <v>257</v>
      </c>
      <c r="D2168" s="2" t="s">
        <v>258</v>
      </c>
      <c r="E2168" s="2" t="s">
        <v>256</v>
      </c>
      <c r="F2168" s="2" t="s">
        <v>535</v>
      </c>
      <c r="G2168" s="2" t="s">
        <v>475</v>
      </c>
      <c r="H2168" s="2" t="s">
        <v>476</v>
      </c>
      <c r="I2168" s="26">
        <v>45471</v>
      </c>
      <c r="J2168" s="2">
        <v>22</v>
      </c>
      <c r="K2168" s="2" t="s">
        <v>123</v>
      </c>
      <c r="L2168" s="22">
        <v>10000</v>
      </c>
      <c r="M2168" s="22">
        <v>220000</v>
      </c>
      <c r="N2168" s="18">
        <v>235.29</v>
      </c>
      <c r="O2168" s="26">
        <v>45681</v>
      </c>
      <c r="P2168" s="2" t="s">
        <v>2105</v>
      </c>
      <c r="Q2168" s="2" t="s">
        <v>806</v>
      </c>
    </row>
    <row r="2169" spans="2:17" x14ac:dyDescent="0.25">
      <c r="B2169" s="2" t="s">
        <v>2974</v>
      </c>
      <c r="C2169" s="2" t="s">
        <v>257</v>
      </c>
      <c r="D2169" s="2" t="s">
        <v>258</v>
      </c>
      <c r="E2169" s="2" t="s">
        <v>256</v>
      </c>
      <c r="F2169" s="2" t="s">
        <v>535</v>
      </c>
      <c r="G2169" s="2" t="s">
        <v>475</v>
      </c>
      <c r="H2169" s="2" t="s">
        <v>476</v>
      </c>
      <c r="I2169" s="26">
        <v>45489</v>
      </c>
      <c r="J2169" s="2">
        <v>16</v>
      </c>
      <c r="K2169" s="2" t="s">
        <v>123</v>
      </c>
      <c r="L2169" s="22">
        <v>10000</v>
      </c>
      <c r="M2169" s="22">
        <v>160000</v>
      </c>
      <c r="N2169" s="18">
        <v>171.12</v>
      </c>
      <c r="O2169" s="26">
        <v>45699</v>
      </c>
      <c r="P2169" s="2" t="s">
        <v>2105</v>
      </c>
      <c r="Q2169" s="2" t="s">
        <v>806</v>
      </c>
    </row>
    <row r="2170" spans="2:17" x14ac:dyDescent="0.25">
      <c r="B2170" s="2" t="s">
        <v>2975</v>
      </c>
      <c r="C2170" s="2" t="s">
        <v>257</v>
      </c>
      <c r="D2170" s="2" t="s">
        <v>258</v>
      </c>
      <c r="E2170" s="2" t="s">
        <v>256</v>
      </c>
      <c r="F2170" s="2" t="s">
        <v>535</v>
      </c>
      <c r="G2170" s="2" t="s">
        <v>475</v>
      </c>
      <c r="H2170" s="2" t="s">
        <v>476</v>
      </c>
      <c r="I2170" s="26">
        <v>45512</v>
      </c>
      <c r="J2170" s="2">
        <v>21</v>
      </c>
      <c r="K2170" s="2" t="s">
        <v>123</v>
      </c>
      <c r="L2170" s="22">
        <v>10000</v>
      </c>
      <c r="M2170" s="22">
        <v>210000</v>
      </c>
      <c r="N2170" s="18">
        <v>224.6</v>
      </c>
      <c r="O2170" s="26">
        <v>45722</v>
      </c>
      <c r="P2170" s="2" t="s">
        <v>2105</v>
      </c>
      <c r="Q2170" s="2" t="s">
        <v>806</v>
      </c>
    </row>
    <row r="2171" spans="2:17" x14ac:dyDescent="0.25">
      <c r="B2171" s="2" t="s">
        <v>2976</v>
      </c>
      <c r="C2171" s="2" t="s">
        <v>257</v>
      </c>
      <c r="D2171" s="2" t="s">
        <v>258</v>
      </c>
      <c r="E2171" s="2" t="s">
        <v>256</v>
      </c>
      <c r="F2171" s="2" t="s">
        <v>535</v>
      </c>
      <c r="G2171" s="2" t="s">
        <v>475</v>
      </c>
      <c r="H2171" s="2" t="s">
        <v>476</v>
      </c>
      <c r="I2171" s="26">
        <v>45530</v>
      </c>
      <c r="J2171" s="2">
        <v>16</v>
      </c>
      <c r="K2171" s="2" t="s">
        <v>123</v>
      </c>
      <c r="L2171" s="22">
        <v>10000</v>
      </c>
      <c r="M2171" s="22">
        <v>160000</v>
      </c>
      <c r="N2171" s="18">
        <v>171.12</v>
      </c>
      <c r="O2171" s="26">
        <v>45740</v>
      </c>
      <c r="P2171" s="2" t="s">
        <v>2105</v>
      </c>
      <c r="Q2171" s="2" t="s">
        <v>806</v>
      </c>
    </row>
    <row r="2172" spans="2:17" x14ac:dyDescent="0.25">
      <c r="B2172" s="2" t="s">
        <v>2977</v>
      </c>
      <c r="C2172" s="2" t="s">
        <v>257</v>
      </c>
      <c r="D2172" s="2" t="s">
        <v>258</v>
      </c>
      <c r="E2172" s="2" t="s">
        <v>256</v>
      </c>
      <c r="F2172" s="2" t="s">
        <v>537</v>
      </c>
      <c r="G2172" s="2" t="s">
        <v>485</v>
      </c>
      <c r="H2172" s="2" t="s">
        <v>486</v>
      </c>
      <c r="I2172" s="26">
        <v>45551</v>
      </c>
      <c r="J2172" s="2">
        <v>28</v>
      </c>
      <c r="K2172" s="2" t="s">
        <v>123</v>
      </c>
      <c r="L2172" s="22">
        <v>9650</v>
      </c>
      <c r="M2172" s="22">
        <v>270200</v>
      </c>
      <c r="N2172" s="18">
        <v>288.98</v>
      </c>
      <c r="O2172" s="26">
        <v>45761</v>
      </c>
      <c r="P2172" s="2" t="s">
        <v>2105</v>
      </c>
      <c r="Q2172" s="2" t="s">
        <v>814</v>
      </c>
    </row>
    <row r="2173" spans="2:17" x14ac:dyDescent="0.25">
      <c r="B2173" s="2" t="s">
        <v>2978</v>
      </c>
      <c r="C2173" s="2" t="s">
        <v>257</v>
      </c>
      <c r="D2173" s="2" t="s">
        <v>258</v>
      </c>
      <c r="E2173" s="2" t="s">
        <v>256</v>
      </c>
      <c r="F2173" s="2" t="s">
        <v>535</v>
      </c>
      <c r="G2173" s="2" t="s">
        <v>475</v>
      </c>
      <c r="H2173" s="2" t="s">
        <v>476</v>
      </c>
      <c r="I2173" s="26">
        <v>45573</v>
      </c>
      <c r="J2173" s="2">
        <v>7</v>
      </c>
      <c r="K2173" s="2" t="s">
        <v>123</v>
      </c>
      <c r="L2173" s="22">
        <v>10000</v>
      </c>
      <c r="M2173" s="22">
        <v>70000</v>
      </c>
      <c r="N2173" s="18">
        <v>74.87</v>
      </c>
      <c r="O2173" s="26">
        <v>45783</v>
      </c>
      <c r="P2173" s="2" t="s">
        <v>2105</v>
      </c>
      <c r="Q2173" s="2" t="s">
        <v>814</v>
      </c>
    </row>
    <row r="2174" spans="2:17" x14ac:dyDescent="0.25">
      <c r="B2174" s="2" t="s">
        <v>2979</v>
      </c>
      <c r="C2174" s="2" t="s">
        <v>257</v>
      </c>
      <c r="D2174" s="2" t="s">
        <v>258</v>
      </c>
      <c r="E2174" s="2" t="s">
        <v>256</v>
      </c>
      <c r="F2174" s="2" t="s">
        <v>535</v>
      </c>
      <c r="G2174" s="2" t="s">
        <v>475</v>
      </c>
      <c r="H2174" s="2" t="s">
        <v>476</v>
      </c>
      <c r="I2174" s="26">
        <v>45596</v>
      </c>
      <c r="J2174" s="2">
        <v>7</v>
      </c>
      <c r="K2174" s="2" t="s">
        <v>123</v>
      </c>
      <c r="L2174" s="22">
        <v>10000</v>
      </c>
      <c r="M2174" s="22">
        <v>70000</v>
      </c>
      <c r="N2174" s="18">
        <v>74.87</v>
      </c>
      <c r="O2174" s="26">
        <v>45806</v>
      </c>
      <c r="P2174" s="2" t="s">
        <v>2105</v>
      </c>
      <c r="Q2174" s="2" t="s">
        <v>814</v>
      </c>
    </row>
    <row r="2175" spans="2:17" x14ac:dyDescent="0.25">
      <c r="B2175" s="2" t="s">
        <v>2980</v>
      </c>
      <c r="C2175" s="2" t="s">
        <v>257</v>
      </c>
      <c r="D2175" s="2" t="s">
        <v>258</v>
      </c>
      <c r="E2175" s="2" t="s">
        <v>256</v>
      </c>
      <c r="F2175" s="2" t="s">
        <v>535</v>
      </c>
      <c r="G2175" s="2" t="s">
        <v>475</v>
      </c>
      <c r="H2175" s="2" t="s">
        <v>476</v>
      </c>
      <c r="I2175" s="26">
        <v>45618</v>
      </c>
      <c r="J2175" s="2">
        <v>8</v>
      </c>
      <c r="K2175" s="2" t="s">
        <v>123</v>
      </c>
      <c r="L2175" s="22">
        <v>10000</v>
      </c>
      <c r="M2175" s="22">
        <v>80000</v>
      </c>
      <c r="N2175" s="18">
        <v>85.56</v>
      </c>
      <c r="O2175" s="26">
        <v>45828</v>
      </c>
      <c r="P2175" s="2" t="s">
        <v>2105</v>
      </c>
      <c r="Q2175" s="2" t="s">
        <v>814</v>
      </c>
    </row>
    <row r="2176" spans="2:17" x14ac:dyDescent="0.25">
      <c r="B2176" s="2" t="s">
        <v>2981</v>
      </c>
      <c r="C2176" s="2" t="s">
        <v>257</v>
      </c>
      <c r="D2176" s="2" t="s">
        <v>258</v>
      </c>
      <c r="E2176" s="2" t="s">
        <v>256</v>
      </c>
      <c r="F2176" s="2" t="s">
        <v>535</v>
      </c>
      <c r="G2176" s="2" t="s">
        <v>475</v>
      </c>
      <c r="H2176" s="2" t="s">
        <v>476</v>
      </c>
      <c r="I2176" s="26">
        <v>45641</v>
      </c>
      <c r="J2176" s="2">
        <v>9</v>
      </c>
      <c r="K2176" s="2" t="s">
        <v>123</v>
      </c>
      <c r="L2176" s="22">
        <v>10000</v>
      </c>
      <c r="M2176" s="22">
        <v>90000</v>
      </c>
      <c r="N2176" s="18">
        <v>96.26</v>
      </c>
      <c r="O2176" s="26">
        <v>45851</v>
      </c>
      <c r="P2176" s="2" t="s">
        <v>2105</v>
      </c>
      <c r="Q2176" s="2" t="s">
        <v>825</v>
      </c>
    </row>
    <row r="2177" spans="2:17" x14ac:dyDescent="0.25">
      <c r="B2177" s="2" t="s">
        <v>2982</v>
      </c>
      <c r="C2177" s="2" t="s">
        <v>257</v>
      </c>
      <c r="D2177" s="2" t="s">
        <v>258</v>
      </c>
      <c r="E2177" s="2" t="s">
        <v>256</v>
      </c>
      <c r="F2177" s="2" t="s">
        <v>537</v>
      </c>
      <c r="G2177" s="2" t="s">
        <v>485</v>
      </c>
      <c r="H2177" s="2" t="s">
        <v>486</v>
      </c>
      <c r="I2177" s="26">
        <v>45661</v>
      </c>
      <c r="J2177" s="2">
        <v>7</v>
      </c>
      <c r="K2177" s="2" t="s">
        <v>123</v>
      </c>
      <c r="L2177" s="22">
        <v>9650</v>
      </c>
      <c r="M2177" s="22">
        <v>67550</v>
      </c>
      <c r="N2177" s="18">
        <v>72.25</v>
      </c>
      <c r="O2177" s="26">
        <v>45871</v>
      </c>
      <c r="P2177" s="2" t="s">
        <v>2105</v>
      </c>
      <c r="Q2177" s="2" t="s">
        <v>825</v>
      </c>
    </row>
    <row r="2178" spans="2:17" x14ac:dyDescent="0.25">
      <c r="B2178" s="2" t="s">
        <v>2983</v>
      </c>
      <c r="C2178" s="2" t="s">
        <v>257</v>
      </c>
      <c r="D2178" s="2" t="s">
        <v>258</v>
      </c>
      <c r="E2178" s="2" t="s">
        <v>256</v>
      </c>
      <c r="F2178" s="2" t="s">
        <v>535</v>
      </c>
      <c r="G2178" s="2" t="s">
        <v>475</v>
      </c>
      <c r="H2178" s="2" t="s">
        <v>476</v>
      </c>
      <c r="I2178" s="26">
        <v>45683</v>
      </c>
      <c r="J2178" s="2">
        <v>8</v>
      </c>
      <c r="K2178" s="2" t="s">
        <v>123</v>
      </c>
      <c r="L2178" s="22">
        <v>10000</v>
      </c>
      <c r="M2178" s="22">
        <v>80000</v>
      </c>
      <c r="N2178" s="18">
        <v>85.56</v>
      </c>
      <c r="O2178" s="26">
        <v>45893</v>
      </c>
      <c r="P2178" s="2" t="s">
        <v>2105</v>
      </c>
      <c r="Q2178" s="2" t="s">
        <v>825</v>
      </c>
    </row>
    <row r="2179" spans="2:17" x14ac:dyDescent="0.25">
      <c r="B2179" s="2" t="s">
        <v>2984</v>
      </c>
      <c r="C2179" s="2" t="s">
        <v>257</v>
      </c>
      <c r="D2179" s="2" t="s">
        <v>258</v>
      </c>
      <c r="E2179" s="2" t="s">
        <v>256</v>
      </c>
      <c r="F2179" s="2" t="s">
        <v>535</v>
      </c>
      <c r="G2179" s="2" t="s">
        <v>475</v>
      </c>
      <c r="H2179" s="2" t="s">
        <v>476</v>
      </c>
      <c r="I2179" s="26">
        <v>45705</v>
      </c>
      <c r="J2179" s="2">
        <v>8</v>
      </c>
      <c r="K2179" s="2" t="s">
        <v>123</v>
      </c>
      <c r="L2179" s="22">
        <v>10000</v>
      </c>
      <c r="M2179" s="22">
        <v>80000</v>
      </c>
      <c r="N2179" s="18">
        <v>85.56</v>
      </c>
      <c r="O2179" s="26">
        <v>45915</v>
      </c>
      <c r="P2179" s="2" t="s">
        <v>2105</v>
      </c>
      <c r="Q2179" s="2" t="s">
        <v>825</v>
      </c>
    </row>
    <row r="2180" spans="2:17" x14ac:dyDescent="0.25">
      <c r="B2180" s="2" t="s">
        <v>2985</v>
      </c>
      <c r="C2180" s="2" t="s">
        <v>257</v>
      </c>
      <c r="D2180" s="2" t="s">
        <v>258</v>
      </c>
      <c r="E2180" s="2" t="s">
        <v>256</v>
      </c>
      <c r="F2180" s="2" t="s">
        <v>535</v>
      </c>
      <c r="G2180" s="2" t="s">
        <v>475</v>
      </c>
      <c r="H2180" s="2" t="s">
        <v>476</v>
      </c>
      <c r="I2180" s="26">
        <v>45723</v>
      </c>
      <c r="J2180" s="2">
        <v>8</v>
      </c>
      <c r="K2180" s="2" t="s">
        <v>123</v>
      </c>
      <c r="L2180" s="22">
        <v>10000</v>
      </c>
      <c r="M2180" s="22">
        <v>80000</v>
      </c>
      <c r="N2180" s="18">
        <v>85.56</v>
      </c>
      <c r="O2180" s="26">
        <v>45933</v>
      </c>
      <c r="P2180" s="2" t="s">
        <v>2105</v>
      </c>
      <c r="Q2180" s="2" t="s">
        <v>836</v>
      </c>
    </row>
    <row r="2181" spans="2:17" x14ac:dyDescent="0.25">
      <c r="B2181" s="2" t="s">
        <v>2986</v>
      </c>
      <c r="C2181" s="2" t="s">
        <v>257</v>
      </c>
      <c r="D2181" s="2" t="s">
        <v>258</v>
      </c>
      <c r="E2181" s="2" t="s">
        <v>256</v>
      </c>
      <c r="F2181" s="2" t="s">
        <v>535</v>
      </c>
      <c r="G2181" s="2" t="s">
        <v>475</v>
      </c>
      <c r="H2181" s="2" t="s">
        <v>476</v>
      </c>
      <c r="I2181" s="26">
        <v>45748</v>
      </c>
      <c r="J2181" s="2">
        <v>19</v>
      </c>
      <c r="K2181" s="2" t="s">
        <v>123</v>
      </c>
      <c r="L2181" s="22">
        <v>10000</v>
      </c>
      <c r="M2181" s="22">
        <v>190000</v>
      </c>
      <c r="N2181" s="18">
        <v>203.21</v>
      </c>
      <c r="O2181" s="26">
        <v>45958</v>
      </c>
      <c r="P2181" s="2" t="s">
        <v>2105</v>
      </c>
      <c r="Q2181" s="2" t="s">
        <v>836</v>
      </c>
    </row>
    <row r="2182" spans="2:17" x14ac:dyDescent="0.25">
      <c r="B2182" s="2" t="s">
        <v>2987</v>
      </c>
      <c r="C2182" s="2" t="s">
        <v>257</v>
      </c>
      <c r="D2182" s="2" t="s">
        <v>258</v>
      </c>
      <c r="E2182" s="2" t="s">
        <v>256</v>
      </c>
      <c r="F2182" s="2" t="s">
        <v>535</v>
      </c>
      <c r="G2182" s="2" t="s">
        <v>475</v>
      </c>
      <c r="H2182" s="2" t="s">
        <v>476</v>
      </c>
      <c r="I2182" s="26">
        <v>45770</v>
      </c>
      <c r="J2182" s="2">
        <v>21</v>
      </c>
      <c r="K2182" s="2" t="s">
        <v>123</v>
      </c>
      <c r="L2182" s="22">
        <v>10000</v>
      </c>
      <c r="M2182" s="22">
        <v>210000</v>
      </c>
      <c r="N2182" s="18">
        <v>224.6</v>
      </c>
      <c r="O2182" s="26">
        <v>45980</v>
      </c>
      <c r="P2182" s="2" t="s">
        <v>2105</v>
      </c>
      <c r="Q2182" s="2" t="s">
        <v>836</v>
      </c>
    </row>
    <row r="2183" spans="2:17" x14ac:dyDescent="0.25">
      <c r="B2183" s="2" t="s">
        <v>2988</v>
      </c>
      <c r="C2183" s="2" t="s">
        <v>257</v>
      </c>
      <c r="D2183" s="2" t="s">
        <v>258</v>
      </c>
      <c r="E2183" s="2" t="s">
        <v>256</v>
      </c>
      <c r="F2183" s="2" t="s">
        <v>535</v>
      </c>
      <c r="G2183" s="2" t="s">
        <v>475</v>
      </c>
      <c r="H2183" s="2" t="s">
        <v>476</v>
      </c>
      <c r="I2183" s="26">
        <v>45788</v>
      </c>
      <c r="J2183" s="2">
        <v>22</v>
      </c>
      <c r="K2183" s="2" t="s">
        <v>123</v>
      </c>
      <c r="L2183" s="22">
        <v>10000</v>
      </c>
      <c r="M2183" s="22">
        <v>220000</v>
      </c>
      <c r="N2183" s="18">
        <v>235.29</v>
      </c>
      <c r="O2183" s="26">
        <v>45998</v>
      </c>
      <c r="P2183" s="2" t="s">
        <v>2105</v>
      </c>
      <c r="Q2183" s="2" t="s">
        <v>836</v>
      </c>
    </row>
    <row r="2184" spans="2:17" x14ac:dyDescent="0.25">
      <c r="B2184" s="2" t="s">
        <v>2989</v>
      </c>
      <c r="C2184" s="2" t="s">
        <v>257</v>
      </c>
      <c r="D2184" s="2" t="s">
        <v>258</v>
      </c>
      <c r="E2184" s="2" t="s">
        <v>256</v>
      </c>
      <c r="F2184" s="2" t="s">
        <v>535</v>
      </c>
      <c r="G2184" s="2" t="s">
        <v>475</v>
      </c>
      <c r="H2184" s="2" t="s">
        <v>476</v>
      </c>
      <c r="I2184" s="26">
        <v>45814</v>
      </c>
      <c r="J2184" s="2">
        <v>22</v>
      </c>
      <c r="K2184" s="2" t="s">
        <v>123</v>
      </c>
      <c r="L2184" s="22">
        <v>10000</v>
      </c>
      <c r="M2184" s="22">
        <v>220000</v>
      </c>
      <c r="N2184" s="18">
        <v>235.29</v>
      </c>
      <c r="O2184" s="26">
        <v>46024</v>
      </c>
      <c r="P2184" s="2" t="s">
        <v>2105</v>
      </c>
      <c r="Q2184" s="2" t="s">
        <v>806</v>
      </c>
    </row>
    <row r="2185" spans="2:17" x14ac:dyDescent="0.25">
      <c r="B2185" s="2" t="s">
        <v>2990</v>
      </c>
      <c r="C2185" s="2" t="s">
        <v>257</v>
      </c>
      <c r="D2185" s="2" t="s">
        <v>258</v>
      </c>
      <c r="E2185" s="2" t="s">
        <v>256</v>
      </c>
      <c r="F2185" s="2" t="s">
        <v>537</v>
      </c>
      <c r="G2185" s="2" t="s">
        <v>485</v>
      </c>
      <c r="H2185" s="2" t="s">
        <v>486</v>
      </c>
      <c r="I2185" s="26">
        <v>45834</v>
      </c>
      <c r="J2185" s="2">
        <v>23</v>
      </c>
      <c r="K2185" s="2" t="s">
        <v>123</v>
      </c>
      <c r="L2185" s="22">
        <v>9650</v>
      </c>
      <c r="M2185" s="22">
        <v>221950</v>
      </c>
      <c r="N2185" s="18">
        <v>237.38</v>
      </c>
      <c r="O2185" s="26">
        <v>46044</v>
      </c>
      <c r="P2185" s="2" t="s">
        <v>2105</v>
      </c>
      <c r="Q2185" s="2" t="s">
        <v>806</v>
      </c>
    </row>
    <row r="2186" spans="2:17" x14ac:dyDescent="0.25">
      <c r="B2186" s="2" t="s">
        <v>2991</v>
      </c>
      <c r="C2186" s="2" t="s">
        <v>259</v>
      </c>
      <c r="D2186" s="2" t="s">
        <v>260</v>
      </c>
      <c r="E2186" s="2" t="s">
        <v>256</v>
      </c>
      <c r="F2186" s="2" t="s">
        <v>535</v>
      </c>
      <c r="G2186" s="2" t="s">
        <v>475</v>
      </c>
      <c r="H2186" s="2" t="s">
        <v>476</v>
      </c>
      <c r="I2186" s="26">
        <v>45113</v>
      </c>
      <c r="J2186" s="2">
        <v>18</v>
      </c>
      <c r="K2186" s="2" t="s">
        <v>123</v>
      </c>
      <c r="L2186" s="22">
        <v>4650</v>
      </c>
      <c r="M2186" s="22">
        <v>83700</v>
      </c>
      <c r="N2186" s="18">
        <v>89.52</v>
      </c>
      <c r="O2186" s="26">
        <v>45323</v>
      </c>
      <c r="P2186" s="2" t="s">
        <v>2105</v>
      </c>
      <c r="Q2186" s="2" t="s">
        <v>806</v>
      </c>
    </row>
    <row r="2187" spans="2:17" x14ac:dyDescent="0.25">
      <c r="B2187" s="2" t="s">
        <v>2992</v>
      </c>
      <c r="C2187" s="2" t="s">
        <v>259</v>
      </c>
      <c r="D2187" s="2" t="s">
        <v>260</v>
      </c>
      <c r="E2187" s="2" t="s">
        <v>256</v>
      </c>
      <c r="F2187" s="2" t="s">
        <v>535</v>
      </c>
      <c r="G2187" s="2" t="s">
        <v>475</v>
      </c>
      <c r="H2187" s="2" t="s">
        <v>476</v>
      </c>
      <c r="I2187" s="26">
        <v>45137</v>
      </c>
      <c r="J2187" s="2">
        <v>21</v>
      </c>
      <c r="K2187" s="2" t="s">
        <v>123</v>
      </c>
      <c r="L2187" s="22">
        <v>4650</v>
      </c>
      <c r="M2187" s="22">
        <v>97650</v>
      </c>
      <c r="N2187" s="18">
        <v>104.44</v>
      </c>
      <c r="O2187" s="26">
        <v>45347</v>
      </c>
      <c r="P2187" s="2" t="s">
        <v>2105</v>
      </c>
      <c r="Q2187" s="2" t="s">
        <v>806</v>
      </c>
    </row>
    <row r="2188" spans="2:17" x14ac:dyDescent="0.25">
      <c r="B2188" s="2" t="s">
        <v>2993</v>
      </c>
      <c r="C2188" s="2" t="s">
        <v>259</v>
      </c>
      <c r="D2188" s="2" t="s">
        <v>260</v>
      </c>
      <c r="E2188" s="2" t="s">
        <v>256</v>
      </c>
      <c r="F2188" s="2" t="s">
        <v>535</v>
      </c>
      <c r="G2188" s="2" t="s">
        <v>475</v>
      </c>
      <c r="H2188" s="2" t="s">
        <v>476</v>
      </c>
      <c r="I2188" s="26">
        <v>45164</v>
      </c>
      <c r="J2188" s="2">
        <v>18</v>
      </c>
      <c r="K2188" s="2" t="s">
        <v>123</v>
      </c>
      <c r="L2188" s="22">
        <v>4650</v>
      </c>
      <c r="M2188" s="22">
        <v>83700</v>
      </c>
      <c r="N2188" s="18">
        <v>89.52</v>
      </c>
      <c r="O2188" s="26">
        <v>45374</v>
      </c>
      <c r="P2188" s="2" t="s">
        <v>2105</v>
      </c>
      <c r="Q2188" s="2" t="s">
        <v>806</v>
      </c>
    </row>
    <row r="2189" spans="2:17" x14ac:dyDescent="0.25">
      <c r="B2189" s="2" t="s">
        <v>2994</v>
      </c>
      <c r="C2189" s="2" t="s">
        <v>259</v>
      </c>
      <c r="D2189" s="2" t="s">
        <v>260</v>
      </c>
      <c r="E2189" s="2" t="s">
        <v>256</v>
      </c>
      <c r="F2189" s="2" t="s">
        <v>535</v>
      </c>
      <c r="G2189" s="2" t="s">
        <v>475</v>
      </c>
      <c r="H2189" s="2" t="s">
        <v>476</v>
      </c>
      <c r="I2189" s="26">
        <v>45179</v>
      </c>
      <c r="J2189" s="2">
        <v>22</v>
      </c>
      <c r="K2189" s="2" t="s">
        <v>123</v>
      </c>
      <c r="L2189" s="22">
        <v>4650</v>
      </c>
      <c r="M2189" s="22">
        <v>102300</v>
      </c>
      <c r="N2189" s="18">
        <v>109.41</v>
      </c>
      <c r="O2189" s="26">
        <v>45389</v>
      </c>
      <c r="P2189" s="2" t="s">
        <v>2105</v>
      </c>
      <c r="Q2189" s="2" t="s">
        <v>814</v>
      </c>
    </row>
    <row r="2190" spans="2:17" x14ac:dyDescent="0.25">
      <c r="B2190" s="2" t="s">
        <v>2995</v>
      </c>
      <c r="C2190" s="2" t="s">
        <v>259</v>
      </c>
      <c r="D2190" s="2" t="s">
        <v>260</v>
      </c>
      <c r="E2190" s="2" t="s">
        <v>256</v>
      </c>
      <c r="F2190" s="2" t="s">
        <v>535</v>
      </c>
      <c r="G2190" s="2" t="s">
        <v>475</v>
      </c>
      <c r="H2190" s="2" t="s">
        <v>476</v>
      </c>
      <c r="I2190" s="26">
        <v>45194</v>
      </c>
      <c r="J2190" s="2">
        <v>25</v>
      </c>
      <c r="K2190" s="2" t="s">
        <v>123</v>
      </c>
      <c r="L2190" s="22">
        <v>4650</v>
      </c>
      <c r="M2190" s="22">
        <v>116250</v>
      </c>
      <c r="N2190" s="18">
        <v>124.33</v>
      </c>
      <c r="O2190" s="26">
        <v>45404</v>
      </c>
      <c r="P2190" s="2" t="s">
        <v>2105</v>
      </c>
      <c r="Q2190" s="2" t="s">
        <v>814</v>
      </c>
    </row>
    <row r="2191" spans="2:17" x14ac:dyDescent="0.25">
      <c r="B2191" s="2" t="s">
        <v>2996</v>
      </c>
      <c r="C2191" s="2" t="s">
        <v>259</v>
      </c>
      <c r="D2191" s="2" t="s">
        <v>260</v>
      </c>
      <c r="E2191" s="2" t="s">
        <v>256</v>
      </c>
      <c r="F2191" s="2" t="s">
        <v>535</v>
      </c>
      <c r="G2191" s="2" t="s">
        <v>475</v>
      </c>
      <c r="H2191" s="2" t="s">
        <v>476</v>
      </c>
      <c r="I2191" s="26">
        <v>45214</v>
      </c>
      <c r="J2191" s="2">
        <v>7</v>
      </c>
      <c r="K2191" s="2" t="s">
        <v>123</v>
      </c>
      <c r="L2191" s="22">
        <v>4650</v>
      </c>
      <c r="M2191" s="22">
        <v>32550</v>
      </c>
      <c r="N2191" s="18">
        <v>34.81</v>
      </c>
      <c r="O2191" s="26">
        <v>45424</v>
      </c>
      <c r="P2191" s="2" t="s">
        <v>2105</v>
      </c>
      <c r="Q2191" s="2" t="s">
        <v>814</v>
      </c>
    </row>
    <row r="2192" spans="2:17" x14ac:dyDescent="0.25">
      <c r="B2192" s="2" t="s">
        <v>2997</v>
      </c>
      <c r="C2192" s="2" t="s">
        <v>259</v>
      </c>
      <c r="D2192" s="2" t="s">
        <v>260</v>
      </c>
      <c r="E2192" s="2" t="s">
        <v>256</v>
      </c>
      <c r="F2192" s="2" t="s">
        <v>535</v>
      </c>
      <c r="G2192" s="2" t="s">
        <v>475</v>
      </c>
      <c r="H2192" s="2" t="s">
        <v>476</v>
      </c>
      <c r="I2192" s="26">
        <v>45240</v>
      </c>
      <c r="J2192" s="2">
        <v>6</v>
      </c>
      <c r="K2192" s="2" t="s">
        <v>123</v>
      </c>
      <c r="L2192" s="22">
        <v>4650</v>
      </c>
      <c r="M2192" s="22">
        <v>27900</v>
      </c>
      <c r="N2192" s="18">
        <v>29.84</v>
      </c>
      <c r="O2192" s="26">
        <v>45450</v>
      </c>
      <c r="P2192" s="2" t="s">
        <v>2105</v>
      </c>
      <c r="Q2192" s="2" t="s">
        <v>814</v>
      </c>
    </row>
    <row r="2193" spans="2:17" x14ac:dyDescent="0.25">
      <c r="B2193" s="2" t="s">
        <v>2998</v>
      </c>
      <c r="C2193" s="2" t="s">
        <v>259</v>
      </c>
      <c r="D2193" s="2" t="s">
        <v>260</v>
      </c>
      <c r="E2193" s="2" t="s">
        <v>256</v>
      </c>
      <c r="F2193" s="2" t="s">
        <v>537</v>
      </c>
      <c r="G2193" s="2" t="s">
        <v>485</v>
      </c>
      <c r="H2193" s="2" t="s">
        <v>486</v>
      </c>
      <c r="I2193" s="26">
        <v>45259</v>
      </c>
      <c r="J2193" s="2">
        <v>7</v>
      </c>
      <c r="K2193" s="2" t="s">
        <v>123</v>
      </c>
      <c r="L2193" s="22">
        <v>4600</v>
      </c>
      <c r="M2193" s="22">
        <v>32200</v>
      </c>
      <c r="N2193" s="18">
        <v>34.44</v>
      </c>
      <c r="O2193" s="26">
        <v>45469</v>
      </c>
      <c r="P2193" s="2" t="s">
        <v>2105</v>
      </c>
      <c r="Q2193" s="2" t="s">
        <v>814</v>
      </c>
    </row>
    <row r="2194" spans="2:17" x14ac:dyDescent="0.25">
      <c r="B2194" s="2" t="s">
        <v>2999</v>
      </c>
      <c r="C2194" s="2" t="s">
        <v>259</v>
      </c>
      <c r="D2194" s="2" t="s">
        <v>260</v>
      </c>
      <c r="E2194" s="2" t="s">
        <v>256</v>
      </c>
      <c r="F2194" s="2" t="s">
        <v>535</v>
      </c>
      <c r="G2194" s="2" t="s">
        <v>475</v>
      </c>
      <c r="H2194" s="2" t="s">
        <v>476</v>
      </c>
      <c r="I2194" s="26">
        <v>45277</v>
      </c>
      <c r="J2194" s="2">
        <v>9</v>
      </c>
      <c r="K2194" s="2" t="s">
        <v>123</v>
      </c>
      <c r="L2194" s="22">
        <v>4650</v>
      </c>
      <c r="M2194" s="22">
        <v>41850</v>
      </c>
      <c r="N2194" s="18">
        <v>44.76</v>
      </c>
      <c r="O2194" s="26">
        <v>45487</v>
      </c>
      <c r="P2194" s="2" t="s">
        <v>2105</v>
      </c>
      <c r="Q2194" s="2" t="s">
        <v>825</v>
      </c>
    </row>
    <row r="2195" spans="2:17" x14ac:dyDescent="0.25">
      <c r="B2195" s="2" t="s">
        <v>3000</v>
      </c>
      <c r="C2195" s="2" t="s">
        <v>259</v>
      </c>
      <c r="D2195" s="2" t="s">
        <v>260</v>
      </c>
      <c r="E2195" s="2" t="s">
        <v>256</v>
      </c>
      <c r="F2195" s="2" t="s">
        <v>535</v>
      </c>
      <c r="G2195" s="2" t="s">
        <v>475</v>
      </c>
      <c r="H2195" s="2" t="s">
        <v>476</v>
      </c>
      <c r="I2195" s="26">
        <v>45295</v>
      </c>
      <c r="J2195" s="2">
        <v>8</v>
      </c>
      <c r="K2195" s="2" t="s">
        <v>123</v>
      </c>
      <c r="L2195" s="22">
        <v>4650</v>
      </c>
      <c r="M2195" s="22">
        <v>37200</v>
      </c>
      <c r="N2195" s="18">
        <v>39.79</v>
      </c>
      <c r="O2195" s="26">
        <v>45505</v>
      </c>
      <c r="P2195" s="2" t="s">
        <v>2105</v>
      </c>
      <c r="Q2195" s="2" t="s">
        <v>825</v>
      </c>
    </row>
    <row r="2196" spans="2:17" x14ac:dyDescent="0.25">
      <c r="B2196" s="2" t="s">
        <v>3001</v>
      </c>
      <c r="C2196" s="2" t="s">
        <v>259</v>
      </c>
      <c r="D2196" s="2" t="s">
        <v>260</v>
      </c>
      <c r="E2196" s="2" t="s">
        <v>256</v>
      </c>
      <c r="F2196" s="2" t="s">
        <v>535</v>
      </c>
      <c r="G2196" s="2" t="s">
        <v>475</v>
      </c>
      <c r="H2196" s="2" t="s">
        <v>476</v>
      </c>
      <c r="I2196" s="26">
        <v>45314</v>
      </c>
      <c r="J2196" s="2">
        <v>8</v>
      </c>
      <c r="K2196" s="2" t="s">
        <v>123</v>
      </c>
      <c r="L2196" s="22">
        <v>4650</v>
      </c>
      <c r="M2196" s="22">
        <v>37200</v>
      </c>
      <c r="N2196" s="18">
        <v>39.79</v>
      </c>
      <c r="O2196" s="26">
        <v>45524</v>
      </c>
      <c r="P2196" s="2" t="s">
        <v>2105</v>
      </c>
      <c r="Q2196" s="2" t="s">
        <v>825</v>
      </c>
    </row>
    <row r="2197" spans="2:17" x14ac:dyDescent="0.25">
      <c r="B2197" s="2" t="s">
        <v>3002</v>
      </c>
      <c r="C2197" s="2" t="s">
        <v>259</v>
      </c>
      <c r="D2197" s="2" t="s">
        <v>260</v>
      </c>
      <c r="E2197" s="2" t="s">
        <v>256</v>
      </c>
      <c r="F2197" s="2" t="s">
        <v>535</v>
      </c>
      <c r="G2197" s="2" t="s">
        <v>475</v>
      </c>
      <c r="H2197" s="2" t="s">
        <v>476</v>
      </c>
      <c r="I2197" s="26">
        <v>45335</v>
      </c>
      <c r="J2197" s="2">
        <v>8</v>
      </c>
      <c r="K2197" s="2" t="s">
        <v>123</v>
      </c>
      <c r="L2197" s="22">
        <v>4650</v>
      </c>
      <c r="M2197" s="22">
        <v>37200</v>
      </c>
      <c r="N2197" s="18">
        <v>39.79</v>
      </c>
      <c r="O2197" s="26">
        <v>45545</v>
      </c>
      <c r="P2197" s="2" t="s">
        <v>2105</v>
      </c>
      <c r="Q2197" s="2" t="s">
        <v>825</v>
      </c>
    </row>
    <row r="2198" spans="2:17" x14ac:dyDescent="0.25">
      <c r="B2198" s="2" t="s">
        <v>3003</v>
      </c>
      <c r="C2198" s="2" t="s">
        <v>259</v>
      </c>
      <c r="D2198" s="2" t="s">
        <v>260</v>
      </c>
      <c r="E2198" s="2" t="s">
        <v>256</v>
      </c>
      <c r="F2198" s="2" t="s">
        <v>535</v>
      </c>
      <c r="G2198" s="2" t="s">
        <v>475</v>
      </c>
      <c r="H2198" s="2" t="s">
        <v>476</v>
      </c>
      <c r="I2198" s="26">
        <v>45354</v>
      </c>
      <c r="J2198" s="2">
        <v>7</v>
      </c>
      <c r="K2198" s="2" t="s">
        <v>123</v>
      </c>
      <c r="L2198" s="22">
        <v>4650</v>
      </c>
      <c r="M2198" s="22">
        <v>32550</v>
      </c>
      <c r="N2198" s="18">
        <v>34.81</v>
      </c>
      <c r="O2198" s="26">
        <v>45564</v>
      </c>
      <c r="P2198" s="2" t="s">
        <v>2105</v>
      </c>
      <c r="Q2198" s="2" t="s">
        <v>836</v>
      </c>
    </row>
    <row r="2199" spans="2:17" x14ac:dyDescent="0.25">
      <c r="B2199" s="2" t="s">
        <v>3004</v>
      </c>
      <c r="C2199" s="2" t="s">
        <v>259</v>
      </c>
      <c r="D2199" s="2" t="s">
        <v>260</v>
      </c>
      <c r="E2199" s="2" t="s">
        <v>256</v>
      </c>
      <c r="F2199" s="2" t="s">
        <v>537</v>
      </c>
      <c r="G2199" s="2" t="s">
        <v>485</v>
      </c>
      <c r="H2199" s="2" t="s">
        <v>486</v>
      </c>
      <c r="I2199" s="26">
        <v>45372</v>
      </c>
      <c r="J2199" s="2">
        <v>7</v>
      </c>
      <c r="K2199" s="2" t="s">
        <v>123</v>
      </c>
      <c r="L2199" s="22">
        <v>4600</v>
      </c>
      <c r="M2199" s="22">
        <v>32200</v>
      </c>
      <c r="N2199" s="18">
        <v>34.44</v>
      </c>
      <c r="O2199" s="26">
        <v>45582</v>
      </c>
      <c r="P2199" s="2" t="s">
        <v>2105</v>
      </c>
      <c r="Q2199" s="2" t="s">
        <v>836</v>
      </c>
    </row>
    <row r="2200" spans="2:17" x14ac:dyDescent="0.25">
      <c r="B2200" s="2" t="s">
        <v>3005</v>
      </c>
      <c r="C2200" s="2" t="s">
        <v>259</v>
      </c>
      <c r="D2200" s="2" t="s">
        <v>260</v>
      </c>
      <c r="E2200" s="2" t="s">
        <v>256</v>
      </c>
      <c r="F2200" s="2" t="s">
        <v>535</v>
      </c>
      <c r="G2200" s="2" t="s">
        <v>475</v>
      </c>
      <c r="H2200" s="2" t="s">
        <v>476</v>
      </c>
      <c r="I2200" s="26">
        <v>45393</v>
      </c>
      <c r="J2200" s="2">
        <v>17</v>
      </c>
      <c r="K2200" s="2" t="s">
        <v>123</v>
      </c>
      <c r="L2200" s="22">
        <v>4650</v>
      </c>
      <c r="M2200" s="22">
        <v>79050</v>
      </c>
      <c r="N2200" s="18">
        <v>84.55</v>
      </c>
      <c r="O2200" s="26">
        <v>45603</v>
      </c>
      <c r="P2200" s="2" t="s">
        <v>2105</v>
      </c>
      <c r="Q2200" s="2" t="s">
        <v>836</v>
      </c>
    </row>
    <row r="2201" spans="2:17" x14ac:dyDescent="0.25">
      <c r="B2201" s="2" t="s">
        <v>3006</v>
      </c>
      <c r="C2201" s="2" t="s">
        <v>259</v>
      </c>
      <c r="D2201" s="2" t="s">
        <v>260</v>
      </c>
      <c r="E2201" s="2" t="s">
        <v>256</v>
      </c>
      <c r="F2201" s="2" t="s">
        <v>535</v>
      </c>
      <c r="G2201" s="2" t="s">
        <v>475</v>
      </c>
      <c r="H2201" s="2" t="s">
        <v>476</v>
      </c>
      <c r="I2201" s="26">
        <v>45416</v>
      </c>
      <c r="J2201" s="2">
        <v>20</v>
      </c>
      <c r="K2201" s="2" t="s">
        <v>123</v>
      </c>
      <c r="L2201" s="22">
        <v>4650</v>
      </c>
      <c r="M2201" s="22">
        <v>93000</v>
      </c>
      <c r="N2201" s="18">
        <v>99.47</v>
      </c>
      <c r="O2201" s="26">
        <v>45626</v>
      </c>
      <c r="P2201" s="2" t="s">
        <v>2105</v>
      </c>
      <c r="Q2201" s="2" t="s">
        <v>836</v>
      </c>
    </row>
    <row r="2202" spans="2:17" x14ac:dyDescent="0.25">
      <c r="B2202" s="2" t="s">
        <v>3007</v>
      </c>
      <c r="C2202" s="2" t="s">
        <v>259</v>
      </c>
      <c r="D2202" s="2" t="s">
        <v>260</v>
      </c>
      <c r="E2202" s="2" t="s">
        <v>256</v>
      </c>
      <c r="F2202" s="2" t="s">
        <v>535</v>
      </c>
      <c r="G2202" s="2" t="s">
        <v>475</v>
      </c>
      <c r="H2202" s="2" t="s">
        <v>476</v>
      </c>
      <c r="I2202" s="26">
        <v>45437</v>
      </c>
      <c r="J2202" s="2">
        <v>18</v>
      </c>
      <c r="K2202" s="2" t="s">
        <v>123</v>
      </c>
      <c r="L2202" s="22">
        <v>4650</v>
      </c>
      <c r="M2202" s="22">
        <v>83700</v>
      </c>
      <c r="N2202" s="18">
        <v>89.52</v>
      </c>
      <c r="O2202" s="26">
        <v>45647</v>
      </c>
      <c r="P2202" s="2" t="s">
        <v>2105</v>
      </c>
      <c r="Q2202" s="2" t="s">
        <v>836</v>
      </c>
    </row>
    <row r="2203" spans="2:17" x14ac:dyDescent="0.25">
      <c r="B2203" s="2" t="s">
        <v>3008</v>
      </c>
      <c r="C2203" s="2" t="s">
        <v>259</v>
      </c>
      <c r="D2203" s="2" t="s">
        <v>260</v>
      </c>
      <c r="E2203" s="2" t="s">
        <v>256</v>
      </c>
      <c r="F2203" s="2" t="s">
        <v>535</v>
      </c>
      <c r="G2203" s="2" t="s">
        <v>475</v>
      </c>
      <c r="H2203" s="2" t="s">
        <v>476</v>
      </c>
      <c r="I2203" s="26">
        <v>45457</v>
      </c>
      <c r="J2203" s="2">
        <v>17</v>
      </c>
      <c r="K2203" s="2" t="s">
        <v>123</v>
      </c>
      <c r="L2203" s="22">
        <v>4650</v>
      </c>
      <c r="M2203" s="22">
        <v>79050</v>
      </c>
      <c r="N2203" s="18">
        <v>84.55</v>
      </c>
      <c r="O2203" s="26">
        <v>45667</v>
      </c>
      <c r="P2203" s="2" t="s">
        <v>2105</v>
      </c>
      <c r="Q2203" s="2" t="s">
        <v>806</v>
      </c>
    </row>
    <row r="2204" spans="2:17" x14ac:dyDescent="0.25">
      <c r="B2204" s="2" t="s">
        <v>3009</v>
      </c>
      <c r="C2204" s="2" t="s">
        <v>259</v>
      </c>
      <c r="D2204" s="2" t="s">
        <v>260</v>
      </c>
      <c r="E2204" s="2" t="s">
        <v>256</v>
      </c>
      <c r="F2204" s="2" t="s">
        <v>535</v>
      </c>
      <c r="G2204" s="2" t="s">
        <v>475</v>
      </c>
      <c r="H2204" s="2" t="s">
        <v>476</v>
      </c>
      <c r="I2204" s="26">
        <v>45477</v>
      </c>
      <c r="J2204" s="2">
        <v>19</v>
      </c>
      <c r="K2204" s="2" t="s">
        <v>123</v>
      </c>
      <c r="L2204" s="22">
        <v>4650</v>
      </c>
      <c r="M2204" s="22">
        <v>88350</v>
      </c>
      <c r="N2204" s="18">
        <v>94.49</v>
      </c>
      <c r="O2204" s="26">
        <v>45687</v>
      </c>
      <c r="P2204" s="2" t="s">
        <v>2105</v>
      </c>
      <c r="Q2204" s="2" t="s">
        <v>806</v>
      </c>
    </row>
    <row r="2205" spans="2:17" x14ac:dyDescent="0.25">
      <c r="B2205" s="2" t="s">
        <v>3010</v>
      </c>
      <c r="C2205" s="2" t="s">
        <v>259</v>
      </c>
      <c r="D2205" s="2" t="s">
        <v>260</v>
      </c>
      <c r="E2205" s="2" t="s">
        <v>256</v>
      </c>
      <c r="F2205" s="2" t="s">
        <v>537</v>
      </c>
      <c r="G2205" s="2" t="s">
        <v>485</v>
      </c>
      <c r="H2205" s="2" t="s">
        <v>486</v>
      </c>
      <c r="I2205" s="26">
        <v>45492</v>
      </c>
      <c r="J2205" s="2">
        <v>19</v>
      </c>
      <c r="K2205" s="2" t="s">
        <v>123</v>
      </c>
      <c r="L2205" s="22">
        <v>4600</v>
      </c>
      <c r="M2205" s="22">
        <v>87400</v>
      </c>
      <c r="N2205" s="18">
        <v>93.48</v>
      </c>
      <c r="O2205" s="26">
        <v>45702</v>
      </c>
      <c r="P2205" s="2" t="s">
        <v>2105</v>
      </c>
      <c r="Q2205" s="2" t="s">
        <v>806</v>
      </c>
    </row>
    <row r="2206" spans="2:17" x14ac:dyDescent="0.25">
      <c r="B2206" s="2" t="s">
        <v>3011</v>
      </c>
      <c r="C2206" s="2" t="s">
        <v>259</v>
      </c>
      <c r="D2206" s="2" t="s">
        <v>260</v>
      </c>
      <c r="E2206" s="2" t="s">
        <v>256</v>
      </c>
      <c r="F2206" s="2" t="s">
        <v>535</v>
      </c>
      <c r="G2206" s="2" t="s">
        <v>475</v>
      </c>
      <c r="H2206" s="2" t="s">
        <v>476</v>
      </c>
      <c r="I2206" s="26">
        <v>45518</v>
      </c>
      <c r="J2206" s="2">
        <v>18</v>
      </c>
      <c r="K2206" s="2" t="s">
        <v>123</v>
      </c>
      <c r="L2206" s="22">
        <v>4650</v>
      </c>
      <c r="M2206" s="22">
        <v>83700</v>
      </c>
      <c r="N2206" s="18">
        <v>89.52</v>
      </c>
      <c r="O2206" s="26">
        <v>45728</v>
      </c>
      <c r="P2206" s="2" t="s">
        <v>2105</v>
      </c>
      <c r="Q2206" s="2" t="s">
        <v>806</v>
      </c>
    </row>
    <row r="2207" spans="2:17" x14ac:dyDescent="0.25">
      <c r="B2207" s="2" t="s">
        <v>3012</v>
      </c>
      <c r="C2207" s="2" t="s">
        <v>259</v>
      </c>
      <c r="D2207" s="2" t="s">
        <v>260</v>
      </c>
      <c r="E2207" s="2" t="s">
        <v>256</v>
      </c>
      <c r="F2207" s="2" t="s">
        <v>535</v>
      </c>
      <c r="G2207" s="2" t="s">
        <v>475</v>
      </c>
      <c r="H2207" s="2" t="s">
        <v>476</v>
      </c>
      <c r="I2207" s="26">
        <v>45536</v>
      </c>
      <c r="J2207" s="2">
        <v>22</v>
      </c>
      <c r="K2207" s="2" t="s">
        <v>123</v>
      </c>
      <c r="L2207" s="22">
        <v>4650</v>
      </c>
      <c r="M2207" s="22">
        <v>102300</v>
      </c>
      <c r="N2207" s="18">
        <v>109.41</v>
      </c>
      <c r="O2207" s="26">
        <v>45746</v>
      </c>
      <c r="P2207" s="2" t="s">
        <v>2105</v>
      </c>
      <c r="Q2207" s="2" t="s">
        <v>814</v>
      </c>
    </row>
    <row r="2208" spans="2:17" x14ac:dyDescent="0.25">
      <c r="B2208" s="2" t="s">
        <v>3013</v>
      </c>
      <c r="C2208" s="2" t="s">
        <v>259</v>
      </c>
      <c r="D2208" s="2" t="s">
        <v>260</v>
      </c>
      <c r="E2208" s="2" t="s">
        <v>256</v>
      </c>
      <c r="F2208" s="2" t="s">
        <v>535</v>
      </c>
      <c r="G2208" s="2" t="s">
        <v>475</v>
      </c>
      <c r="H2208" s="2" t="s">
        <v>476</v>
      </c>
      <c r="I2208" s="26">
        <v>45556</v>
      </c>
      <c r="J2208" s="2">
        <v>24</v>
      </c>
      <c r="K2208" s="2" t="s">
        <v>123</v>
      </c>
      <c r="L2208" s="22">
        <v>4650</v>
      </c>
      <c r="M2208" s="22">
        <v>111600</v>
      </c>
      <c r="N2208" s="18">
        <v>119.36</v>
      </c>
      <c r="O2208" s="26">
        <v>45766</v>
      </c>
      <c r="P2208" s="2" t="s">
        <v>2105</v>
      </c>
      <c r="Q2208" s="2" t="s">
        <v>814</v>
      </c>
    </row>
    <row r="2209" spans="2:17" x14ac:dyDescent="0.25">
      <c r="B2209" s="2" t="s">
        <v>3014</v>
      </c>
      <c r="C2209" s="2" t="s">
        <v>259</v>
      </c>
      <c r="D2209" s="2" t="s">
        <v>260</v>
      </c>
      <c r="E2209" s="2" t="s">
        <v>256</v>
      </c>
      <c r="F2209" s="2" t="s">
        <v>535</v>
      </c>
      <c r="G2209" s="2" t="s">
        <v>475</v>
      </c>
      <c r="H2209" s="2" t="s">
        <v>476</v>
      </c>
      <c r="I2209" s="26">
        <v>45583</v>
      </c>
      <c r="J2209" s="2">
        <v>6</v>
      </c>
      <c r="K2209" s="2" t="s">
        <v>123</v>
      </c>
      <c r="L2209" s="22">
        <v>4650</v>
      </c>
      <c r="M2209" s="22">
        <v>27900</v>
      </c>
      <c r="N2209" s="18">
        <v>29.84</v>
      </c>
      <c r="O2209" s="26">
        <v>45793</v>
      </c>
      <c r="P2209" s="2" t="s">
        <v>2105</v>
      </c>
      <c r="Q2209" s="2" t="s">
        <v>814</v>
      </c>
    </row>
    <row r="2210" spans="2:17" x14ac:dyDescent="0.25">
      <c r="B2210" s="2" t="s">
        <v>3015</v>
      </c>
      <c r="C2210" s="2" t="s">
        <v>259</v>
      </c>
      <c r="D2210" s="2" t="s">
        <v>260</v>
      </c>
      <c r="E2210" s="2" t="s">
        <v>256</v>
      </c>
      <c r="F2210" s="2" t="s">
        <v>535</v>
      </c>
      <c r="G2210" s="2" t="s">
        <v>475</v>
      </c>
      <c r="H2210" s="2" t="s">
        <v>476</v>
      </c>
      <c r="I2210" s="26">
        <v>45604</v>
      </c>
      <c r="J2210" s="2">
        <v>8</v>
      </c>
      <c r="K2210" s="2" t="s">
        <v>123</v>
      </c>
      <c r="L2210" s="22">
        <v>4650</v>
      </c>
      <c r="M2210" s="22">
        <v>37200</v>
      </c>
      <c r="N2210" s="18">
        <v>39.79</v>
      </c>
      <c r="O2210" s="26">
        <v>45814</v>
      </c>
      <c r="P2210" s="2" t="s">
        <v>2105</v>
      </c>
      <c r="Q2210" s="2" t="s">
        <v>814</v>
      </c>
    </row>
    <row r="2211" spans="2:17" x14ac:dyDescent="0.25">
      <c r="B2211" s="2" t="s">
        <v>3016</v>
      </c>
      <c r="C2211" s="2" t="s">
        <v>259</v>
      </c>
      <c r="D2211" s="2" t="s">
        <v>260</v>
      </c>
      <c r="E2211" s="2" t="s">
        <v>256</v>
      </c>
      <c r="F2211" s="2" t="s">
        <v>535</v>
      </c>
      <c r="G2211" s="2" t="s">
        <v>475</v>
      </c>
      <c r="H2211" s="2" t="s">
        <v>476</v>
      </c>
      <c r="I2211" s="26">
        <v>45625</v>
      </c>
      <c r="J2211" s="2">
        <v>8</v>
      </c>
      <c r="K2211" s="2" t="s">
        <v>123</v>
      </c>
      <c r="L2211" s="22">
        <v>4650</v>
      </c>
      <c r="M2211" s="22">
        <v>37200</v>
      </c>
      <c r="N2211" s="18">
        <v>39.79</v>
      </c>
      <c r="O2211" s="26">
        <v>45835</v>
      </c>
      <c r="P2211" s="2" t="s">
        <v>2105</v>
      </c>
      <c r="Q2211" s="2" t="s">
        <v>814</v>
      </c>
    </row>
    <row r="2212" spans="2:17" x14ac:dyDescent="0.25">
      <c r="B2212" s="2" t="s">
        <v>3017</v>
      </c>
      <c r="C2212" s="2" t="s">
        <v>259</v>
      </c>
      <c r="D2212" s="2" t="s">
        <v>260</v>
      </c>
      <c r="E2212" s="2" t="s">
        <v>256</v>
      </c>
      <c r="F2212" s="2" t="s">
        <v>535</v>
      </c>
      <c r="G2212" s="2" t="s">
        <v>475</v>
      </c>
      <c r="H2212" s="2" t="s">
        <v>476</v>
      </c>
      <c r="I2212" s="26">
        <v>45638</v>
      </c>
      <c r="J2212" s="2">
        <v>9</v>
      </c>
      <c r="K2212" s="2" t="s">
        <v>123</v>
      </c>
      <c r="L2212" s="22">
        <v>4650</v>
      </c>
      <c r="M2212" s="22">
        <v>41850</v>
      </c>
      <c r="N2212" s="18">
        <v>44.76</v>
      </c>
      <c r="O2212" s="26">
        <v>45848</v>
      </c>
      <c r="P2212" s="2" t="s">
        <v>2105</v>
      </c>
      <c r="Q2212" s="2" t="s">
        <v>825</v>
      </c>
    </row>
    <row r="2213" spans="2:17" x14ac:dyDescent="0.25">
      <c r="B2213" s="2" t="s">
        <v>3018</v>
      </c>
      <c r="C2213" s="2" t="s">
        <v>259</v>
      </c>
      <c r="D2213" s="2" t="s">
        <v>260</v>
      </c>
      <c r="E2213" s="2" t="s">
        <v>256</v>
      </c>
      <c r="F2213" s="2" t="s">
        <v>535</v>
      </c>
      <c r="G2213" s="2" t="s">
        <v>475</v>
      </c>
      <c r="H2213" s="2" t="s">
        <v>476</v>
      </c>
      <c r="I2213" s="26">
        <v>45658</v>
      </c>
      <c r="J2213" s="2">
        <v>8</v>
      </c>
      <c r="K2213" s="2" t="s">
        <v>123</v>
      </c>
      <c r="L2213" s="22">
        <v>4650</v>
      </c>
      <c r="M2213" s="22">
        <v>37200</v>
      </c>
      <c r="N2213" s="18">
        <v>39.79</v>
      </c>
      <c r="O2213" s="26">
        <v>45868</v>
      </c>
      <c r="P2213" s="2" t="s">
        <v>2105</v>
      </c>
      <c r="Q2213" s="2" t="s">
        <v>825</v>
      </c>
    </row>
    <row r="2214" spans="2:17" x14ac:dyDescent="0.25">
      <c r="B2214" s="2" t="s">
        <v>3019</v>
      </c>
      <c r="C2214" s="2" t="s">
        <v>259</v>
      </c>
      <c r="D2214" s="2" t="s">
        <v>260</v>
      </c>
      <c r="E2214" s="2" t="s">
        <v>256</v>
      </c>
      <c r="F2214" s="2" t="s">
        <v>535</v>
      </c>
      <c r="G2214" s="2" t="s">
        <v>475</v>
      </c>
      <c r="H2214" s="2" t="s">
        <v>476</v>
      </c>
      <c r="I2214" s="26">
        <v>45680</v>
      </c>
      <c r="J2214" s="2">
        <v>9</v>
      </c>
      <c r="K2214" s="2" t="s">
        <v>123</v>
      </c>
      <c r="L2214" s="22">
        <v>4650</v>
      </c>
      <c r="M2214" s="22">
        <v>41850</v>
      </c>
      <c r="N2214" s="18">
        <v>44.76</v>
      </c>
      <c r="O2214" s="26">
        <v>45890</v>
      </c>
      <c r="P2214" s="2" t="s">
        <v>2105</v>
      </c>
      <c r="Q2214" s="2" t="s">
        <v>825</v>
      </c>
    </row>
    <row r="2215" spans="2:17" x14ac:dyDescent="0.25">
      <c r="B2215" s="2" t="s">
        <v>3020</v>
      </c>
      <c r="C2215" s="2" t="s">
        <v>259</v>
      </c>
      <c r="D2215" s="2" t="s">
        <v>260</v>
      </c>
      <c r="E2215" s="2" t="s">
        <v>256</v>
      </c>
      <c r="F2215" s="2" t="s">
        <v>537</v>
      </c>
      <c r="G2215" s="2" t="s">
        <v>485</v>
      </c>
      <c r="H2215" s="2" t="s">
        <v>486</v>
      </c>
      <c r="I2215" s="26">
        <v>45702</v>
      </c>
      <c r="J2215" s="2">
        <v>8</v>
      </c>
      <c r="K2215" s="2" t="s">
        <v>123</v>
      </c>
      <c r="L2215" s="22">
        <v>4600</v>
      </c>
      <c r="M2215" s="22">
        <v>36800</v>
      </c>
      <c r="N2215" s="18">
        <v>39.36</v>
      </c>
      <c r="O2215" s="26">
        <v>45912</v>
      </c>
      <c r="P2215" s="2" t="s">
        <v>2105</v>
      </c>
      <c r="Q2215" s="2" t="s">
        <v>825</v>
      </c>
    </row>
    <row r="2216" spans="2:17" x14ac:dyDescent="0.25">
      <c r="B2216" s="2" t="s">
        <v>3021</v>
      </c>
      <c r="C2216" s="2" t="s">
        <v>259</v>
      </c>
      <c r="D2216" s="2" t="s">
        <v>260</v>
      </c>
      <c r="E2216" s="2" t="s">
        <v>256</v>
      </c>
      <c r="F2216" s="2" t="s">
        <v>535</v>
      </c>
      <c r="G2216" s="2" t="s">
        <v>475</v>
      </c>
      <c r="H2216" s="2" t="s">
        <v>476</v>
      </c>
      <c r="I2216" s="26">
        <v>45726</v>
      </c>
      <c r="J2216" s="2">
        <v>9</v>
      </c>
      <c r="K2216" s="2" t="s">
        <v>123</v>
      </c>
      <c r="L2216" s="22">
        <v>4650</v>
      </c>
      <c r="M2216" s="22">
        <v>41850</v>
      </c>
      <c r="N2216" s="18">
        <v>44.76</v>
      </c>
      <c r="O2216" s="26">
        <v>45936</v>
      </c>
      <c r="P2216" s="2" t="s">
        <v>2105</v>
      </c>
      <c r="Q2216" s="2" t="s">
        <v>836</v>
      </c>
    </row>
    <row r="2217" spans="2:17" x14ac:dyDescent="0.25">
      <c r="B2217" s="2" t="s">
        <v>3022</v>
      </c>
      <c r="C2217" s="2" t="s">
        <v>259</v>
      </c>
      <c r="D2217" s="2" t="s">
        <v>260</v>
      </c>
      <c r="E2217" s="2" t="s">
        <v>256</v>
      </c>
      <c r="F2217" s="2" t="s">
        <v>535</v>
      </c>
      <c r="G2217" s="2" t="s">
        <v>475</v>
      </c>
      <c r="H2217" s="2" t="s">
        <v>476</v>
      </c>
      <c r="I2217" s="26">
        <v>45753</v>
      </c>
      <c r="J2217" s="2">
        <v>21</v>
      </c>
      <c r="K2217" s="2" t="s">
        <v>123</v>
      </c>
      <c r="L2217" s="22">
        <v>4650</v>
      </c>
      <c r="M2217" s="22">
        <v>97650</v>
      </c>
      <c r="N2217" s="18">
        <v>104.44</v>
      </c>
      <c r="O2217" s="26">
        <v>45963</v>
      </c>
      <c r="P2217" s="2" t="s">
        <v>2105</v>
      </c>
      <c r="Q2217" s="2" t="s">
        <v>836</v>
      </c>
    </row>
    <row r="2218" spans="2:17" x14ac:dyDescent="0.25">
      <c r="B2218" s="2" t="s">
        <v>3023</v>
      </c>
      <c r="C2218" s="2" t="s">
        <v>259</v>
      </c>
      <c r="D2218" s="2" t="s">
        <v>260</v>
      </c>
      <c r="E2218" s="2" t="s">
        <v>256</v>
      </c>
      <c r="F2218" s="2" t="s">
        <v>535</v>
      </c>
      <c r="G2218" s="2" t="s">
        <v>475</v>
      </c>
      <c r="H2218" s="2" t="s">
        <v>476</v>
      </c>
      <c r="I2218" s="26">
        <v>45770</v>
      </c>
      <c r="J2218" s="2">
        <v>20</v>
      </c>
      <c r="K2218" s="2" t="s">
        <v>123</v>
      </c>
      <c r="L2218" s="22">
        <v>4650</v>
      </c>
      <c r="M2218" s="22">
        <v>93000</v>
      </c>
      <c r="N2218" s="18">
        <v>99.47</v>
      </c>
      <c r="O2218" s="26">
        <v>45980</v>
      </c>
      <c r="P2218" s="2" t="s">
        <v>2105</v>
      </c>
      <c r="Q2218" s="2" t="s">
        <v>836</v>
      </c>
    </row>
    <row r="2219" spans="2:17" x14ac:dyDescent="0.25">
      <c r="B2219" s="2" t="s">
        <v>3024</v>
      </c>
      <c r="C2219" s="2" t="s">
        <v>259</v>
      </c>
      <c r="D2219" s="2" t="s">
        <v>260</v>
      </c>
      <c r="E2219" s="2" t="s">
        <v>256</v>
      </c>
      <c r="F2219" s="2" t="s">
        <v>535</v>
      </c>
      <c r="G2219" s="2" t="s">
        <v>475</v>
      </c>
      <c r="H2219" s="2" t="s">
        <v>476</v>
      </c>
      <c r="I2219" s="26">
        <v>45791</v>
      </c>
      <c r="J2219" s="2">
        <v>19</v>
      </c>
      <c r="K2219" s="2" t="s">
        <v>123</v>
      </c>
      <c r="L2219" s="22">
        <v>4650</v>
      </c>
      <c r="M2219" s="22">
        <v>88350</v>
      </c>
      <c r="N2219" s="18">
        <v>94.49</v>
      </c>
      <c r="O2219" s="26">
        <v>46001</v>
      </c>
      <c r="P2219" s="2" t="s">
        <v>2105</v>
      </c>
      <c r="Q2219" s="2" t="s">
        <v>836</v>
      </c>
    </row>
    <row r="2220" spans="2:17" x14ac:dyDescent="0.25">
      <c r="B2220" s="2" t="s">
        <v>3025</v>
      </c>
      <c r="C2220" s="2" t="s">
        <v>259</v>
      </c>
      <c r="D2220" s="2" t="s">
        <v>260</v>
      </c>
      <c r="E2220" s="2" t="s">
        <v>256</v>
      </c>
      <c r="F2220" s="2" t="s">
        <v>535</v>
      </c>
      <c r="G2220" s="2" t="s">
        <v>475</v>
      </c>
      <c r="H2220" s="2" t="s">
        <v>476</v>
      </c>
      <c r="I2220" s="26">
        <v>45813</v>
      </c>
      <c r="J2220" s="2">
        <v>22</v>
      </c>
      <c r="K2220" s="2" t="s">
        <v>123</v>
      </c>
      <c r="L2220" s="22">
        <v>4650</v>
      </c>
      <c r="M2220" s="22">
        <v>102300</v>
      </c>
      <c r="N2220" s="18">
        <v>109.41</v>
      </c>
      <c r="O2220" s="26">
        <v>46023</v>
      </c>
      <c r="P2220" s="2" t="s">
        <v>2105</v>
      </c>
      <c r="Q2220" s="2" t="s">
        <v>806</v>
      </c>
    </row>
    <row r="2221" spans="2:17" x14ac:dyDescent="0.25">
      <c r="B2221" s="2" t="s">
        <v>3026</v>
      </c>
      <c r="C2221" s="2" t="s">
        <v>259</v>
      </c>
      <c r="D2221" s="2" t="s">
        <v>260</v>
      </c>
      <c r="E2221" s="2" t="s">
        <v>256</v>
      </c>
      <c r="F2221" s="2" t="s">
        <v>535</v>
      </c>
      <c r="G2221" s="2" t="s">
        <v>475</v>
      </c>
      <c r="H2221" s="2" t="s">
        <v>476</v>
      </c>
      <c r="I2221" s="26">
        <v>45829</v>
      </c>
      <c r="J2221" s="2">
        <v>23</v>
      </c>
      <c r="K2221" s="2" t="s">
        <v>123</v>
      </c>
      <c r="L2221" s="22">
        <v>4650</v>
      </c>
      <c r="M2221" s="22">
        <v>106950</v>
      </c>
      <c r="N2221" s="18">
        <v>114.39</v>
      </c>
      <c r="O2221" s="26">
        <v>46039</v>
      </c>
      <c r="P2221" s="2" t="s">
        <v>2105</v>
      </c>
      <c r="Q2221" s="2" t="s">
        <v>806</v>
      </c>
    </row>
    <row r="2222" spans="2:17" x14ac:dyDescent="0.25">
      <c r="B2222" s="2" t="s">
        <v>3027</v>
      </c>
      <c r="C2222" s="2" t="s">
        <v>261</v>
      </c>
      <c r="D2222" s="2" t="s">
        <v>262</v>
      </c>
      <c r="E2222" s="2" t="s">
        <v>256</v>
      </c>
      <c r="F2222" s="2" t="s">
        <v>535</v>
      </c>
      <c r="G2222" s="2" t="s">
        <v>475</v>
      </c>
      <c r="H2222" s="2" t="s">
        <v>476</v>
      </c>
      <c r="I2222" s="26">
        <v>45109</v>
      </c>
      <c r="J2222" s="2">
        <v>19</v>
      </c>
      <c r="K2222" s="2" t="s">
        <v>123</v>
      </c>
      <c r="L2222" s="22">
        <v>7550</v>
      </c>
      <c r="M2222" s="22">
        <v>143450</v>
      </c>
      <c r="N2222" s="18">
        <v>153.41999999999999</v>
      </c>
      <c r="O2222" s="26">
        <v>45319</v>
      </c>
      <c r="P2222" s="2" t="s">
        <v>2105</v>
      </c>
      <c r="Q2222" s="2" t="s">
        <v>806</v>
      </c>
    </row>
    <row r="2223" spans="2:17" x14ac:dyDescent="0.25">
      <c r="B2223" s="2" t="s">
        <v>3028</v>
      </c>
      <c r="C2223" s="2" t="s">
        <v>261</v>
      </c>
      <c r="D2223" s="2" t="s">
        <v>262</v>
      </c>
      <c r="E2223" s="2" t="s">
        <v>256</v>
      </c>
      <c r="F2223" s="2" t="s">
        <v>535</v>
      </c>
      <c r="G2223" s="2" t="s">
        <v>475</v>
      </c>
      <c r="H2223" s="2" t="s">
        <v>476</v>
      </c>
      <c r="I2223" s="26">
        <v>45134</v>
      </c>
      <c r="J2223" s="2">
        <v>22</v>
      </c>
      <c r="K2223" s="2" t="s">
        <v>123</v>
      </c>
      <c r="L2223" s="22">
        <v>7550</v>
      </c>
      <c r="M2223" s="22">
        <v>166100</v>
      </c>
      <c r="N2223" s="18">
        <v>177.65</v>
      </c>
      <c r="O2223" s="26">
        <v>45344</v>
      </c>
      <c r="P2223" s="2" t="s">
        <v>2105</v>
      </c>
      <c r="Q2223" s="2" t="s">
        <v>806</v>
      </c>
    </row>
    <row r="2224" spans="2:17" x14ac:dyDescent="0.25">
      <c r="B2224" s="2" t="s">
        <v>3029</v>
      </c>
      <c r="C2224" s="2" t="s">
        <v>261</v>
      </c>
      <c r="D2224" s="2" t="s">
        <v>262</v>
      </c>
      <c r="E2224" s="2" t="s">
        <v>256</v>
      </c>
      <c r="F2224" s="2" t="s">
        <v>535</v>
      </c>
      <c r="G2224" s="2" t="s">
        <v>475</v>
      </c>
      <c r="H2224" s="2" t="s">
        <v>476</v>
      </c>
      <c r="I2224" s="26">
        <v>45150</v>
      </c>
      <c r="J2224" s="2">
        <v>20</v>
      </c>
      <c r="K2224" s="2" t="s">
        <v>123</v>
      </c>
      <c r="L2224" s="22">
        <v>7550</v>
      </c>
      <c r="M2224" s="22">
        <v>151000</v>
      </c>
      <c r="N2224" s="18">
        <v>161.5</v>
      </c>
      <c r="O2224" s="26">
        <v>45360</v>
      </c>
      <c r="P2224" s="2" t="s">
        <v>2105</v>
      </c>
      <c r="Q2224" s="2" t="s">
        <v>806</v>
      </c>
    </row>
    <row r="2225" spans="2:17" x14ac:dyDescent="0.25">
      <c r="B2225" s="2" t="s">
        <v>3030</v>
      </c>
      <c r="C2225" s="2" t="s">
        <v>261</v>
      </c>
      <c r="D2225" s="2" t="s">
        <v>262</v>
      </c>
      <c r="E2225" s="2" t="s">
        <v>256</v>
      </c>
      <c r="F2225" s="2" t="s">
        <v>537</v>
      </c>
      <c r="G2225" s="2" t="s">
        <v>485</v>
      </c>
      <c r="H2225" s="2" t="s">
        <v>486</v>
      </c>
      <c r="I2225" s="26">
        <v>45166</v>
      </c>
      <c r="J2225" s="2">
        <v>21</v>
      </c>
      <c r="K2225" s="2" t="s">
        <v>123</v>
      </c>
      <c r="L2225" s="22">
        <v>7650</v>
      </c>
      <c r="M2225" s="22">
        <v>160650</v>
      </c>
      <c r="N2225" s="18">
        <v>171.82</v>
      </c>
      <c r="O2225" s="26">
        <v>45376</v>
      </c>
      <c r="P2225" s="2" t="s">
        <v>2105</v>
      </c>
      <c r="Q2225" s="2" t="s">
        <v>806</v>
      </c>
    </row>
    <row r="2226" spans="2:17" x14ac:dyDescent="0.25">
      <c r="B2226" s="2" t="s">
        <v>3031</v>
      </c>
      <c r="C2226" s="2" t="s">
        <v>261</v>
      </c>
      <c r="D2226" s="2" t="s">
        <v>262</v>
      </c>
      <c r="E2226" s="2" t="s">
        <v>256</v>
      </c>
      <c r="F2226" s="2" t="s">
        <v>537</v>
      </c>
      <c r="G2226" s="2" t="s">
        <v>485</v>
      </c>
      <c r="H2226" s="2" t="s">
        <v>486</v>
      </c>
      <c r="I2226" s="26">
        <v>45189</v>
      </c>
      <c r="J2226" s="2">
        <v>26</v>
      </c>
      <c r="K2226" s="2" t="s">
        <v>123</v>
      </c>
      <c r="L2226" s="22">
        <v>7650</v>
      </c>
      <c r="M2226" s="22">
        <v>198900</v>
      </c>
      <c r="N2226" s="18">
        <v>212.73</v>
      </c>
      <c r="O2226" s="26">
        <v>45399</v>
      </c>
      <c r="P2226" s="2" t="s">
        <v>2105</v>
      </c>
      <c r="Q2226" s="2" t="s">
        <v>814</v>
      </c>
    </row>
    <row r="2227" spans="2:17" x14ac:dyDescent="0.25">
      <c r="B2227" s="2" t="s">
        <v>3032</v>
      </c>
      <c r="C2227" s="2" t="s">
        <v>261</v>
      </c>
      <c r="D2227" s="2" t="s">
        <v>262</v>
      </c>
      <c r="E2227" s="2" t="s">
        <v>256</v>
      </c>
      <c r="F2227" s="2" t="s">
        <v>535</v>
      </c>
      <c r="G2227" s="2" t="s">
        <v>475</v>
      </c>
      <c r="H2227" s="2" t="s">
        <v>476</v>
      </c>
      <c r="I2227" s="26">
        <v>45212</v>
      </c>
      <c r="J2227" s="2">
        <v>6</v>
      </c>
      <c r="K2227" s="2" t="s">
        <v>123</v>
      </c>
      <c r="L2227" s="22">
        <v>7550</v>
      </c>
      <c r="M2227" s="22">
        <v>45300</v>
      </c>
      <c r="N2227" s="18">
        <v>48.45</v>
      </c>
      <c r="O2227" s="26">
        <v>45422</v>
      </c>
      <c r="P2227" s="2" t="s">
        <v>2105</v>
      </c>
      <c r="Q2227" s="2" t="s">
        <v>814</v>
      </c>
    </row>
    <row r="2228" spans="2:17" x14ac:dyDescent="0.25">
      <c r="B2228" s="2" t="s">
        <v>3033</v>
      </c>
      <c r="C2228" s="2" t="s">
        <v>261</v>
      </c>
      <c r="D2228" s="2" t="s">
        <v>262</v>
      </c>
      <c r="E2228" s="2" t="s">
        <v>256</v>
      </c>
      <c r="F2228" s="2" t="s">
        <v>535</v>
      </c>
      <c r="G2228" s="2" t="s">
        <v>475</v>
      </c>
      <c r="H2228" s="2" t="s">
        <v>476</v>
      </c>
      <c r="I2228" s="26">
        <v>45237</v>
      </c>
      <c r="J2228" s="2">
        <v>7</v>
      </c>
      <c r="K2228" s="2" t="s">
        <v>123</v>
      </c>
      <c r="L2228" s="22">
        <v>7550</v>
      </c>
      <c r="M2228" s="22">
        <v>52850</v>
      </c>
      <c r="N2228" s="18">
        <v>56.52</v>
      </c>
      <c r="O2228" s="26">
        <v>45447</v>
      </c>
      <c r="P2228" s="2" t="s">
        <v>2105</v>
      </c>
      <c r="Q2228" s="2" t="s">
        <v>814</v>
      </c>
    </row>
    <row r="2229" spans="2:17" x14ac:dyDescent="0.25">
      <c r="B2229" s="2" t="s">
        <v>3034</v>
      </c>
      <c r="C2229" s="2" t="s">
        <v>261</v>
      </c>
      <c r="D2229" s="2" t="s">
        <v>262</v>
      </c>
      <c r="E2229" s="2" t="s">
        <v>256</v>
      </c>
      <c r="F2229" s="2" t="s">
        <v>535</v>
      </c>
      <c r="G2229" s="2" t="s">
        <v>475</v>
      </c>
      <c r="H2229" s="2" t="s">
        <v>476</v>
      </c>
      <c r="I2229" s="26">
        <v>45259</v>
      </c>
      <c r="J2229" s="2">
        <v>7</v>
      </c>
      <c r="K2229" s="2" t="s">
        <v>123</v>
      </c>
      <c r="L2229" s="22">
        <v>7550</v>
      </c>
      <c r="M2229" s="22">
        <v>52850</v>
      </c>
      <c r="N2229" s="18">
        <v>56.52</v>
      </c>
      <c r="O2229" s="26">
        <v>45469</v>
      </c>
      <c r="P2229" s="2" t="s">
        <v>2105</v>
      </c>
      <c r="Q2229" s="2" t="s">
        <v>814</v>
      </c>
    </row>
    <row r="2230" spans="2:17" x14ac:dyDescent="0.25">
      <c r="B2230" s="2" t="s">
        <v>3035</v>
      </c>
      <c r="C2230" s="2" t="s">
        <v>261</v>
      </c>
      <c r="D2230" s="2" t="s">
        <v>262</v>
      </c>
      <c r="E2230" s="2" t="s">
        <v>256</v>
      </c>
      <c r="F2230" s="2" t="s">
        <v>535</v>
      </c>
      <c r="G2230" s="2" t="s">
        <v>475</v>
      </c>
      <c r="H2230" s="2" t="s">
        <v>476</v>
      </c>
      <c r="I2230" s="26">
        <v>45281</v>
      </c>
      <c r="J2230" s="2">
        <v>10</v>
      </c>
      <c r="K2230" s="2" t="s">
        <v>123</v>
      </c>
      <c r="L2230" s="22">
        <v>7550</v>
      </c>
      <c r="M2230" s="22">
        <v>75500</v>
      </c>
      <c r="N2230" s="18">
        <v>80.75</v>
      </c>
      <c r="O2230" s="26">
        <v>45491</v>
      </c>
      <c r="P2230" s="2" t="s">
        <v>2105</v>
      </c>
      <c r="Q2230" s="2" t="s">
        <v>825</v>
      </c>
    </row>
    <row r="2231" spans="2:17" x14ac:dyDescent="0.25">
      <c r="B2231" s="2" t="s">
        <v>3036</v>
      </c>
      <c r="C2231" s="2" t="s">
        <v>261</v>
      </c>
      <c r="D2231" s="2" t="s">
        <v>262</v>
      </c>
      <c r="E2231" s="2" t="s">
        <v>256</v>
      </c>
      <c r="F2231" s="2" t="s">
        <v>535</v>
      </c>
      <c r="G2231" s="2" t="s">
        <v>475</v>
      </c>
      <c r="H2231" s="2" t="s">
        <v>476</v>
      </c>
      <c r="I2231" s="26">
        <v>45302</v>
      </c>
      <c r="J2231" s="2">
        <v>7</v>
      </c>
      <c r="K2231" s="2" t="s">
        <v>123</v>
      </c>
      <c r="L2231" s="22">
        <v>7550</v>
      </c>
      <c r="M2231" s="22">
        <v>52850</v>
      </c>
      <c r="N2231" s="18">
        <v>56.52</v>
      </c>
      <c r="O2231" s="26">
        <v>45512</v>
      </c>
      <c r="P2231" s="2" t="s">
        <v>2105</v>
      </c>
      <c r="Q2231" s="2" t="s">
        <v>825</v>
      </c>
    </row>
    <row r="2232" spans="2:17" x14ac:dyDescent="0.25">
      <c r="B2232" s="2" t="s">
        <v>3037</v>
      </c>
      <c r="C2232" s="2" t="s">
        <v>261</v>
      </c>
      <c r="D2232" s="2" t="s">
        <v>262</v>
      </c>
      <c r="E2232" s="2" t="s">
        <v>256</v>
      </c>
      <c r="F2232" s="2" t="s">
        <v>535</v>
      </c>
      <c r="G2232" s="2" t="s">
        <v>475</v>
      </c>
      <c r="H2232" s="2" t="s">
        <v>476</v>
      </c>
      <c r="I2232" s="26">
        <v>45326</v>
      </c>
      <c r="J2232" s="2">
        <v>6</v>
      </c>
      <c r="K2232" s="2" t="s">
        <v>123</v>
      </c>
      <c r="L2232" s="22">
        <v>7550</v>
      </c>
      <c r="M2232" s="22">
        <v>45300</v>
      </c>
      <c r="N2232" s="18">
        <v>48.45</v>
      </c>
      <c r="O2232" s="26">
        <v>45536</v>
      </c>
      <c r="P2232" s="2" t="s">
        <v>2105</v>
      </c>
      <c r="Q2232" s="2" t="s">
        <v>825</v>
      </c>
    </row>
    <row r="2233" spans="2:17" x14ac:dyDescent="0.25">
      <c r="B2233" s="2" t="s">
        <v>3038</v>
      </c>
      <c r="C2233" s="2" t="s">
        <v>261</v>
      </c>
      <c r="D2233" s="2" t="s">
        <v>262</v>
      </c>
      <c r="E2233" s="2" t="s">
        <v>256</v>
      </c>
      <c r="F2233" s="2" t="s">
        <v>535</v>
      </c>
      <c r="G2233" s="2" t="s">
        <v>475</v>
      </c>
      <c r="H2233" s="2" t="s">
        <v>476</v>
      </c>
      <c r="I2233" s="26">
        <v>45347</v>
      </c>
      <c r="J2233" s="2">
        <v>8</v>
      </c>
      <c r="K2233" s="2" t="s">
        <v>123</v>
      </c>
      <c r="L2233" s="22">
        <v>7550</v>
      </c>
      <c r="M2233" s="22">
        <v>60400</v>
      </c>
      <c r="N2233" s="18">
        <v>64.599999999999994</v>
      </c>
      <c r="O2233" s="26">
        <v>45557</v>
      </c>
      <c r="P2233" s="2" t="s">
        <v>2105</v>
      </c>
      <c r="Q2233" s="2" t="s">
        <v>825</v>
      </c>
    </row>
    <row r="2234" spans="2:17" x14ac:dyDescent="0.25">
      <c r="B2234" s="2" t="s">
        <v>3039</v>
      </c>
      <c r="C2234" s="2" t="s">
        <v>261</v>
      </c>
      <c r="D2234" s="2" t="s">
        <v>262</v>
      </c>
      <c r="E2234" s="2" t="s">
        <v>256</v>
      </c>
      <c r="F2234" s="2" t="s">
        <v>537</v>
      </c>
      <c r="G2234" s="2" t="s">
        <v>485</v>
      </c>
      <c r="H2234" s="2" t="s">
        <v>486</v>
      </c>
      <c r="I2234" s="26">
        <v>45366</v>
      </c>
      <c r="J2234" s="2">
        <v>6</v>
      </c>
      <c r="K2234" s="2" t="s">
        <v>123</v>
      </c>
      <c r="L2234" s="22">
        <v>7650</v>
      </c>
      <c r="M2234" s="22">
        <v>45900</v>
      </c>
      <c r="N2234" s="18">
        <v>49.09</v>
      </c>
      <c r="O2234" s="26">
        <v>45576</v>
      </c>
      <c r="P2234" s="2" t="s">
        <v>2105</v>
      </c>
      <c r="Q2234" s="2" t="s">
        <v>836</v>
      </c>
    </row>
    <row r="2235" spans="2:17" x14ac:dyDescent="0.25">
      <c r="B2235" s="2" t="s">
        <v>3040</v>
      </c>
      <c r="C2235" s="2" t="s">
        <v>261</v>
      </c>
      <c r="D2235" s="2" t="s">
        <v>262</v>
      </c>
      <c r="E2235" s="2" t="s">
        <v>256</v>
      </c>
      <c r="F2235" s="2" t="s">
        <v>535</v>
      </c>
      <c r="G2235" s="2" t="s">
        <v>475</v>
      </c>
      <c r="H2235" s="2" t="s">
        <v>476</v>
      </c>
      <c r="I2235" s="26">
        <v>45378</v>
      </c>
      <c r="J2235" s="2">
        <v>8</v>
      </c>
      <c r="K2235" s="2" t="s">
        <v>123</v>
      </c>
      <c r="L2235" s="22">
        <v>7550</v>
      </c>
      <c r="M2235" s="22">
        <v>60400</v>
      </c>
      <c r="N2235" s="18">
        <v>64.599999999999994</v>
      </c>
      <c r="O2235" s="26">
        <v>45588</v>
      </c>
      <c r="P2235" s="2" t="s">
        <v>2105</v>
      </c>
      <c r="Q2235" s="2" t="s">
        <v>836</v>
      </c>
    </row>
    <row r="2236" spans="2:17" x14ac:dyDescent="0.25">
      <c r="B2236" s="2" t="s">
        <v>3041</v>
      </c>
      <c r="C2236" s="2" t="s">
        <v>261</v>
      </c>
      <c r="D2236" s="2" t="s">
        <v>262</v>
      </c>
      <c r="E2236" s="2" t="s">
        <v>256</v>
      </c>
      <c r="F2236" s="2" t="s">
        <v>535</v>
      </c>
      <c r="G2236" s="2" t="s">
        <v>475</v>
      </c>
      <c r="H2236" s="2" t="s">
        <v>476</v>
      </c>
      <c r="I2236" s="26">
        <v>45400</v>
      </c>
      <c r="J2236" s="2">
        <v>20</v>
      </c>
      <c r="K2236" s="2" t="s">
        <v>123</v>
      </c>
      <c r="L2236" s="22">
        <v>7550</v>
      </c>
      <c r="M2236" s="22">
        <v>151000</v>
      </c>
      <c r="N2236" s="18">
        <v>161.5</v>
      </c>
      <c r="O2236" s="26">
        <v>45610</v>
      </c>
      <c r="P2236" s="2" t="s">
        <v>2105</v>
      </c>
      <c r="Q2236" s="2" t="s">
        <v>836</v>
      </c>
    </row>
    <row r="2237" spans="2:17" x14ac:dyDescent="0.25">
      <c r="B2237" s="2" t="s">
        <v>3042</v>
      </c>
      <c r="C2237" s="2" t="s">
        <v>261</v>
      </c>
      <c r="D2237" s="2" t="s">
        <v>262</v>
      </c>
      <c r="E2237" s="2" t="s">
        <v>256</v>
      </c>
      <c r="F2237" s="2" t="s">
        <v>535</v>
      </c>
      <c r="G2237" s="2" t="s">
        <v>475</v>
      </c>
      <c r="H2237" s="2" t="s">
        <v>476</v>
      </c>
      <c r="I2237" s="26">
        <v>45426</v>
      </c>
      <c r="J2237" s="2">
        <v>21</v>
      </c>
      <c r="K2237" s="2" t="s">
        <v>123</v>
      </c>
      <c r="L2237" s="22">
        <v>7550</v>
      </c>
      <c r="M2237" s="22">
        <v>158550</v>
      </c>
      <c r="N2237" s="18">
        <v>169.57</v>
      </c>
      <c r="O2237" s="26">
        <v>45636</v>
      </c>
      <c r="P2237" s="2" t="s">
        <v>2105</v>
      </c>
      <c r="Q2237" s="2" t="s">
        <v>836</v>
      </c>
    </row>
    <row r="2238" spans="2:17" x14ac:dyDescent="0.25">
      <c r="B2238" s="2" t="s">
        <v>3043</v>
      </c>
      <c r="C2238" s="2" t="s">
        <v>261</v>
      </c>
      <c r="D2238" s="2" t="s">
        <v>262</v>
      </c>
      <c r="E2238" s="2" t="s">
        <v>256</v>
      </c>
      <c r="F2238" s="2" t="s">
        <v>535</v>
      </c>
      <c r="G2238" s="2" t="s">
        <v>475</v>
      </c>
      <c r="H2238" s="2" t="s">
        <v>476</v>
      </c>
      <c r="I2238" s="26">
        <v>45446</v>
      </c>
      <c r="J2238" s="2">
        <v>19</v>
      </c>
      <c r="K2238" s="2" t="s">
        <v>123</v>
      </c>
      <c r="L2238" s="22">
        <v>7550</v>
      </c>
      <c r="M2238" s="22">
        <v>143450</v>
      </c>
      <c r="N2238" s="18">
        <v>153.41999999999999</v>
      </c>
      <c r="O2238" s="26">
        <v>45656</v>
      </c>
      <c r="P2238" s="2" t="s">
        <v>2105</v>
      </c>
      <c r="Q2238" s="2" t="s">
        <v>806</v>
      </c>
    </row>
    <row r="2239" spans="2:17" x14ac:dyDescent="0.25">
      <c r="B2239" s="2" t="s">
        <v>3044</v>
      </c>
      <c r="C2239" s="2" t="s">
        <v>261</v>
      </c>
      <c r="D2239" s="2" t="s">
        <v>262</v>
      </c>
      <c r="E2239" s="2" t="s">
        <v>256</v>
      </c>
      <c r="F2239" s="2" t="s">
        <v>535</v>
      </c>
      <c r="G2239" s="2" t="s">
        <v>475</v>
      </c>
      <c r="H2239" s="2" t="s">
        <v>476</v>
      </c>
      <c r="I2239" s="26">
        <v>45462</v>
      </c>
      <c r="J2239" s="2">
        <v>19</v>
      </c>
      <c r="K2239" s="2" t="s">
        <v>123</v>
      </c>
      <c r="L2239" s="22">
        <v>7550</v>
      </c>
      <c r="M2239" s="22">
        <v>143450</v>
      </c>
      <c r="N2239" s="18">
        <v>153.41999999999999</v>
      </c>
      <c r="O2239" s="26">
        <v>45672</v>
      </c>
      <c r="P2239" s="2" t="s">
        <v>2105</v>
      </c>
      <c r="Q2239" s="2" t="s">
        <v>806</v>
      </c>
    </row>
    <row r="2240" spans="2:17" x14ac:dyDescent="0.25">
      <c r="B2240" s="2" t="s">
        <v>3045</v>
      </c>
      <c r="C2240" s="2" t="s">
        <v>261</v>
      </c>
      <c r="D2240" s="2" t="s">
        <v>262</v>
      </c>
      <c r="E2240" s="2" t="s">
        <v>256</v>
      </c>
      <c r="F2240" s="2" t="s">
        <v>535</v>
      </c>
      <c r="G2240" s="2" t="s">
        <v>475</v>
      </c>
      <c r="H2240" s="2" t="s">
        <v>476</v>
      </c>
      <c r="I2240" s="26">
        <v>45478</v>
      </c>
      <c r="J2240" s="2">
        <v>20</v>
      </c>
      <c r="K2240" s="2" t="s">
        <v>123</v>
      </c>
      <c r="L2240" s="22">
        <v>7550</v>
      </c>
      <c r="M2240" s="22">
        <v>151000</v>
      </c>
      <c r="N2240" s="18">
        <v>161.5</v>
      </c>
      <c r="O2240" s="26">
        <v>45688</v>
      </c>
      <c r="P2240" s="2" t="s">
        <v>2105</v>
      </c>
      <c r="Q2240" s="2" t="s">
        <v>806</v>
      </c>
    </row>
    <row r="2241" spans="2:17" x14ac:dyDescent="0.25">
      <c r="B2241" s="2" t="s">
        <v>3046</v>
      </c>
      <c r="C2241" s="2" t="s">
        <v>261</v>
      </c>
      <c r="D2241" s="2" t="s">
        <v>262</v>
      </c>
      <c r="E2241" s="2" t="s">
        <v>256</v>
      </c>
      <c r="F2241" s="2" t="s">
        <v>535</v>
      </c>
      <c r="G2241" s="2" t="s">
        <v>475</v>
      </c>
      <c r="H2241" s="2" t="s">
        <v>476</v>
      </c>
      <c r="I2241" s="26">
        <v>45500</v>
      </c>
      <c r="J2241" s="2">
        <v>18</v>
      </c>
      <c r="K2241" s="2" t="s">
        <v>123</v>
      </c>
      <c r="L2241" s="22">
        <v>7550</v>
      </c>
      <c r="M2241" s="22">
        <v>135900</v>
      </c>
      <c r="N2241" s="18">
        <v>145.35</v>
      </c>
      <c r="O2241" s="26">
        <v>45710</v>
      </c>
      <c r="P2241" s="2" t="s">
        <v>2105</v>
      </c>
      <c r="Q2241" s="2" t="s">
        <v>806</v>
      </c>
    </row>
    <row r="2242" spans="2:17" x14ac:dyDescent="0.25">
      <c r="B2242" s="2" t="s">
        <v>3047</v>
      </c>
      <c r="C2242" s="2" t="s">
        <v>261</v>
      </c>
      <c r="D2242" s="2" t="s">
        <v>262</v>
      </c>
      <c r="E2242" s="2" t="s">
        <v>256</v>
      </c>
      <c r="F2242" s="2" t="s">
        <v>535</v>
      </c>
      <c r="G2242" s="2" t="s">
        <v>475</v>
      </c>
      <c r="H2242" s="2" t="s">
        <v>476</v>
      </c>
      <c r="I2242" s="26">
        <v>45519</v>
      </c>
      <c r="J2242" s="2">
        <v>17</v>
      </c>
      <c r="K2242" s="2" t="s">
        <v>123</v>
      </c>
      <c r="L2242" s="22">
        <v>7550</v>
      </c>
      <c r="M2242" s="22">
        <v>128350</v>
      </c>
      <c r="N2242" s="18">
        <v>137.27000000000001</v>
      </c>
      <c r="O2242" s="26">
        <v>45729</v>
      </c>
      <c r="P2242" s="2" t="s">
        <v>2105</v>
      </c>
      <c r="Q2242" s="2" t="s">
        <v>806</v>
      </c>
    </row>
    <row r="2243" spans="2:17" x14ac:dyDescent="0.25">
      <c r="B2243" s="2" t="s">
        <v>3048</v>
      </c>
      <c r="C2243" s="2" t="s">
        <v>261</v>
      </c>
      <c r="D2243" s="2" t="s">
        <v>262</v>
      </c>
      <c r="E2243" s="2" t="s">
        <v>256</v>
      </c>
      <c r="F2243" s="2" t="s">
        <v>535</v>
      </c>
      <c r="G2243" s="2" t="s">
        <v>475</v>
      </c>
      <c r="H2243" s="2" t="s">
        <v>476</v>
      </c>
      <c r="I2243" s="26">
        <v>45539</v>
      </c>
      <c r="J2243" s="2">
        <v>26</v>
      </c>
      <c r="K2243" s="2" t="s">
        <v>123</v>
      </c>
      <c r="L2243" s="22">
        <v>7550</v>
      </c>
      <c r="M2243" s="22">
        <v>196300</v>
      </c>
      <c r="N2243" s="18">
        <v>209.95</v>
      </c>
      <c r="O2243" s="26">
        <v>45749</v>
      </c>
      <c r="P2243" s="2" t="s">
        <v>2105</v>
      </c>
      <c r="Q2243" s="2" t="s">
        <v>814</v>
      </c>
    </row>
    <row r="2244" spans="2:17" x14ac:dyDescent="0.25">
      <c r="B2244" s="2" t="s">
        <v>3049</v>
      </c>
      <c r="C2244" s="2" t="s">
        <v>261</v>
      </c>
      <c r="D2244" s="2" t="s">
        <v>262</v>
      </c>
      <c r="E2244" s="2" t="s">
        <v>256</v>
      </c>
      <c r="F2244" s="2" t="s">
        <v>535</v>
      </c>
      <c r="G2244" s="2" t="s">
        <v>475</v>
      </c>
      <c r="H2244" s="2" t="s">
        <v>476</v>
      </c>
      <c r="I2244" s="26">
        <v>45563</v>
      </c>
      <c r="J2244" s="2">
        <v>21</v>
      </c>
      <c r="K2244" s="2" t="s">
        <v>123</v>
      </c>
      <c r="L2244" s="22">
        <v>7550</v>
      </c>
      <c r="M2244" s="22">
        <v>158550</v>
      </c>
      <c r="N2244" s="18">
        <v>169.57</v>
      </c>
      <c r="O2244" s="26">
        <v>45773</v>
      </c>
      <c r="P2244" s="2" t="s">
        <v>2105</v>
      </c>
      <c r="Q2244" s="2" t="s">
        <v>814</v>
      </c>
    </row>
    <row r="2245" spans="2:17" x14ac:dyDescent="0.25">
      <c r="B2245" s="2" t="s">
        <v>3050</v>
      </c>
      <c r="C2245" s="2" t="s">
        <v>261</v>
      </c>
      <c r="D2245" s="2" t="s">
        <v>262</v>
      </c>
      <c r="E2245" s="2" t="s">
        <v>256</v>
      </c>
      <c r="F2245" s="2" t="s">
        <v>535</v>
      </c>
      <c r="G2245" s="2" t="s">
        <v>475</v>
      </c>
      <c r="H2245" s="2" t="s">
        <v>476</v>
      </c>
      <c r="I2245" s="26">
        <v>45581</v>
      </c>
      <c r="J2245" s="2">
        <v>7</v>
      </c>
      <c r="K2245" s="2" t="s">
        <v>123</v>
      </c>
      <c r="L2245" s="22">
        <v>7550</v>
      </c>
      <c r="M2245" s="22">
        <v>52850</v>
      </c>
      <c r="N2245" s="18">
        <v>56.52</v>
      </c>
      <c r="O2245" s="26">
        <v>45791</v>
      </c>
      <c r="P2245" s="2" t="s">
        <v>2105</v>
      </c>
      <c r="Q2245" s="2" t="s">
        <v>814</v>
      </c>
    </row>
    <row r="2246" spans="2:17" x14ac:dyDescent="0.25">
      <c r="B2246" s="2" t="s">
        <v>3051</v>
      </c>
      <c r="C2246" s="2" t="s">
        <v>261</v>
      </c>
      <c r="D2246" s="2" t="s">
        <v>262</v>
      </c>
      <c r="E2246" s="2" t="s">
        <v>256</v>
      </c>
      <c r="F2246" s="2" t="s">
        <v>535</v>
      </c>
      <c r="G2246" s="2" t="s">
        <v>475</v>
      </c>
      <c r="H2246" s="2" t="s">
        <v>476</v>
      </c>
      <c r="I2246" s="26">
        <v>45600</v>
      </c>
      <c r="J2246" s="2">
        <v>7</v>
      </c>
      <c r="K2246" s="2" t="s">
        <v>123</v>
      </c>
      <c r="L2246" s="22">
        <v>7550</v>
      </c>
      <c r="M2246" s="22">
        <v>52850</v>
      </c>
      <c r="N2246" s="18">
        <v>56.52</v>
      </c>
      <c r="O2246" s="26">
        <v>45810</v>
      </c>
      <c r="P2246" s="2" t="s">
        <v>2105</v>
      </c>
      <c r="Q2246" s="2" t="s">
        <v>814</v>
      </c>
    </row>
    <row r="2247" spans="2:17" x14ac:dyDescent="0.25">
      <c r="B2247" s="2" t="s">
        <v>3052</v>
      </c>
      <c r="C2247" s="2" t="s">
        <v>261</v>
      </c>
      <c r="D2247" s="2" t="s">
        <v>262</v>
      </c>
      <c r="E2247" s="2" t="s">
        <v>256</v>
      </c>
      <c r="F2247" s="2" t="s">
        <v>535</v>
      </c>
      <c r="G2247" s="2" t="s">
        <v>475</v>
      </c>
      <c r="H2247" s="2" t="s">
        <v>476</v>
      </c>
      <c r="I2247" s="26">
        <v>45621</v>
      </c>
      <c r="J2247" s="2">
        <v>7</v>
      </c>
      <c r="K2247" s="2" t="s">
        <v>123</v>
      </c>
      <c r="L2247" s="22">
        <v>7550</v>
      </c>
      <c r="M2247" s="22">
        <v>52850</v>
      </c>
      <c r="N2247" s="18">
        <v>56.52</v>
      </c>
      <c r="O2247" s="26">
        <v>45831</v>
      </c>
      <c r="P2247" s="2" t="s">
        <v>2105</v>
      </c>
      <c r="Q2247" s="2" t="s">
        <v>814</v>
      </c>
    </row>
    <row r="2248" spans="2:17" x14ac:dyDescent="0.25">
      <c r="B2248" s="2" t="s">
        <v>3053</v>
      </c>
      <c r="C2248" s="2" t="s">
        <v>261</v>
      </c>
      <c r="D2248" s="2" t="s">
        <v>262</v>
      </c>
      <c r="E2248" s="2" t="s">
        <v>256</v>
      </c>
      <c r="F2248" s="2" t="s">
        <v>535</v>
      </c>
      <c r="G2248" s="2" t="s">
        <v>475</v>
      </c>
      <c r="H2248" s="2" t="s">
        <v>476</v>
      </c>
      <c r="I2248" s="26">
        <v>45644</v>
      </c>
      <c r="J2248" s="2">
        <v>8</v>
      </c>
      <c r="K2248" s="2" t="s">
        <v>123</v>
      </c>
      <c r="L2248" s="22">
        <v>7550</v>
      </c>
      <c r="M2248" s="22">
        <v>60400</v>
      </c>
      <c r="N2248" s="18">
        <v>64.599999999999994</v>
      </c>
      <c r="O2248" s="26">
        <v>45854</v>
      </c>
      <c r="P2248" s="2" t="s">
        <v>2105</v>
      </c>
      <c r="Q2248" s="2" t="s">
        <v>825</v>
      </c>
    </row>
    <row r="2249" spans="2:17" x14ac:dyDescent="0.25">
      <c r="B2249" s="2" t="s">
        <v>3054</v>
      </c>
      <c r="C2249" s="2" t="s">
        <v>261</v>
      </c>
      <c r="D2249" s="2" t="s">
        <v>262</v>
      </c>
      <c r="E2249" s="2" t="s">
        <v>256</v>
      </c>
      <c r="F2249" s="2" t="s">
        <v>535</v>
      </c>
      <c r="G2249" s="2" t="s">
        <v>475</v>
      </c>
      <c r="H2249" s="2" t="s">
        <v>476</v>
      </c>
      <c r="I2249" s="26">
        <v>45665</v>
      </c>
      <c r="J2249" s="2">
        <v>7</v>
      </c>
      <c r="K2249" s="2" t="s">
        <v>123</v>
      </c>
      <c r="L2249" s="22">
        <v>7550</v>
      </c>
      <c r="M2249" s="22">
        <v>52850</v>
      </c>
      <c r="N2249" s="18">
        <v>56.52</v>
      </c>
      <c r="O2249" s="26">
        <v>45875</v>
      </c>
      <c r="P2249" s="2" t="s">
        <v>2105</v>
      </c>
      <c r="Q2249" s="2" t="s">
        <v>825</v>
      </c>
    </row>
    <row r="2250" spans="2:17" x14ac:dyDescent="0.25">
      <c r="B2250" s="2" t="s">
        <v>3055</v>
      </c>
      <c r="C2250" s="2" t="s">
        <v>261</v>
      </c>
      <c r="D2250" s="2" t="s">
        <v>262</v>
      </c>
      <c r="E2250" s="2" t="s">
        <v>256</v>
      </c>
      <c r="F2250" s="2" t="s">
        <v>535</v>
      </c>
      <c r="G2250" s="2" t="s">
        <v>475</v>
      </c>
      <c r="H2250" s="2" t="s">
        <v>476</v>
      </c>
      <c r="I2250" s="26">
        <v>45688</v>
      </c>
      <c r="J2250" s="2">
        <v>8</v>
      </c>
      <c r="K2250" s="2" t="s">
        <v>123</v>
      </c>
      <c r="L2250" s="22">
        <v>7550</v>
      </c>
      <c r="M2250" s="22">
        <v>60400</v>
      </c>
      <c r="N2250" s="18">
        <v>64.599999999999994</v>
      </c>
      <c r="O2250" s="26">
        <v>45898</v>
      </c>
      <c r="P2250" s="2" t="s">
        <v>2105</v>
      </c>
      <c r="Q2250" s="2" t="s">
        <v>825</v>
      </c>
    </row>
    <row r="2251" spans="2:17" x14ac:dyDescent="0.25">
      <c r="B2251" s="2" t="s">
        <v>3056</v>
      </c>
      <c r="C2251" s="2" t="s">
        <v>261</v>
      </c>
      <c r="D2251" s="2" t="s">
        <v>262</v>
      </c>
      <c r="E2251" s="2" t="s">
        <v>256</v>
      </c>
      <c r="F2251" s="2" t="s">
        <v>535</v>
      </c>
      <c r="G2251" s="2" t="s">
        <v>475</v>
      </c>
      <c r="H2251" s="2" t="s">
        <v>476</v>
      </c>
      <c r="I2251" s="26">
        <v>45707</v>
      </c>
      <c r="J2251" s="2">
        <v>7</v>
      </c>
      <c r="K2251" s="2" t="s">
        <v>123</v>
      </c>
      <c r="L2251" s="22">
        <v>7550</v>
      </c>
      <c r="M2251" s="22">
        <v>52850</v>
      </c>
      <c r="N2251" s="18">
        <v>56.52</v>
      </c>
      <c r="O2251" s="26">
        <v>45917</v>
      </c>
      <c r="P2251" s="2" t="s">
        <v>2105</v>
      </c>
      <c r="Q2251" s="2" t="s">
        <v>825</v>
      </c>
    </row>
    <row r="2252" spans="2:17" x14ac:dyDescent="0.25">
      <c r="B2252" s="2" t="s">
        <v>3057</v>
      </c>
      <c r="C2252" s="2" t="s">
        <v>261</v>
      </c>
      <c r="D2252" s="2" t="s">
        <v>262</v>
      </c>
      <c r="E2252" s="2" t="s">
        <v>256</v>
      </c>
      <c r="F2252" s="2" t="s">
        <v>535</v>
      </c>
      <c r="G2252" s="2" t="s">
        <v>475</v>
      </c>
      <c r="H2252" s="2" t="s">
        <v>476</v>
      </c>
      <c r="I2252" s="26">
        <v>45730</v>
      </c>
      <c r="J2252" s="2">
        <v>9</v>
      </c>
      <c r="K2252" s="2" t="s">
        <v>123</v>
      </c>
      <c r="L2252" s="22">
        <v>7550</v>
      </c>
      <c r="M2252" s="22">
        <v>67950</v>
      </c>
      <c r="N2252" s="18">
        <v>72.67</v>
      </c>
      <c r="O2252" s="26">
        <v>45940</v>
      </c>
      <c r="P2252" s="2" t="s">
        <v>2105</v>
      </c>
      <c r="Q2252" s="2" t="s">
        <v>836</v>
      </c>
    </row>
    <row r="2253" spans="2:17" x14ac:dyDescent="0.25">
      <c r="B2253" s="2" t="s">
        <v>3058</v>
      </c>
      <c r="C2253" s="2" t="s">
        <v>261</v>
      </c>
      <c r="D2253" s="2" t="s">
        <v>262</v>
      </c>
      <c r="E2253" s="2" t="s">
        <v>256</v>
      </c>
      <c r="F2253" s="2" t="s">
        <v>535</v>
      </c>
      <c r="G2253" s="2" t="s">
        <v>475</v>
      </c>
      <c r="H2253" s="2" t="s">
        <v>476</v>
      </c>
      <c r="I2253" s="26">
        <v>45753</v>
      </c>
      <c r="J2253" s="2">
        <v>22</v>
      </c>
      <c r="K2253" s="2" t="s">
        <v>123</v>
      </c>
      <c r="L2253" s="22">
        <v>7550</v>
      </c>
      <c r="M2253" s="22">
        <v>166100</v>
      </c>
      <c r="N2253" s="18">
        <v>177.65</v>
      </c>
      <c r="O2253" s="26">
        <v>45963</v>
      </c>
      <c r="P2253" s="2" t="s">
        <v>2105</v>
      </c>
      <c r="Q2253" s="2" t="s">
        <v>836</v>
      </c>
    </row>
    <row r="2254" spans="2:17" x14ac:dyDescent="0.25">
      <c r="B2254" s="2" t="s">
        <v>3059</v>
      </c>
      <c r="C2254" s="2" t="s">
        <v>261</v>
      </c>
      <c r="D2254" s="2" t="s">
        <v>262</v>
      </c>
      <c r="E2254" s="2" t="s">
        <v>256</v>
      </c>
      <c r="F2254" s="2" t="s">
        <v>535</v>
      </c>
      <c r="G2254" s="2" t="s">
        <v>475</v>
      </c>
      <c r="H2254" s="2" t="s">
        <v>476</v>
      </c>
      <c r="I2254" s="26">
        <v>45773</v>
      </c>
      <c r="J2254" s="2">
        <v>23</v>
      </c>
      <c r="K2254" s="2" t="s">
        <v>123</v>
      </c>
      <c r="L2254" s="22">
        <v>7550</v>
      </c>
      <c r="M2254" s="22">
        <v>173650</v>
      </c>
      <c r="N2254" s="18">
        <v>185.72</v>
      </c>
      <c r="O2254" s="26">
        <v>45983</v>
      </c>
      <c r="P2254" s="2" t="s">
        <v>2105</v>
      </c>
      <c r="Q2254" s="2" t="s">
        <v>836</v>
      </c>
    </row>
    <row r="2255" spans="2:17" x14ac:dyDescent="0.25">
      <c r="B2255" s="2" t="s">
        <v>3060</v>
      </c>
      <c r="C2255" s="2" t="s">
        <v>261</v>
      </c>
      <c r="D2255" s="2" t="s">
        <v>262</v>
      </c>
      <c r="E2255" s="2" t="s">
        <v>256</v>
      </c>
      <c r="F2255" s="2" t="s">
        <v>535</v>
      </c>
      <c r="G2255" s="2" t="s">
        <v>475</v>
      </c>
      <c r="H2255" s="2" t="s">
        <v>476</v>
      </c>
      <c r="I2255" s="26">
        <v>45794</v>
      </c>
      <c r="J2255" s="2">
        <v>20</v>
      </c>
      <c r="K2255" s="2" t="s">
        <v>123</v>
      </c>
      <c r="L2255" s="22">
        <v>7550</v>
      </c>
      <c r="M2255" s="22">
        <v>151000</v>
      </c>
      <c r="N2255" s="18">
        <v>161.5</v>
      </c>
      <c r="O2255" s="26">
        <v>46004</v>
      </c>
      <c r="P2255" s="2" t="s">
        <v>2105</v>
      </c>
      <c r="Q2255" s="2" t="s">
        <v>836</v>
      </c>
    </row>
    <row r="2256" spans="2:17" x14ac:dyDescent="0.25">
      <c r="B2256" s="2" t="s">
        <v>3061</v>
      </c>
      <c r="C2256" s="2" t="s">
        <v>261</v>
      </c>
      <c r="D2256" s="2" t="s">
        <v>262</v>
      </c>
      <c r="E2256" s="2" t="s">
        <v>256</v>
      </c>
      <c r="F2256" s="2" t="s">
        <v>535</v>
      </c>
      <c r="G2256" s="2" t="s">
        <v>475</v>
      </c>
      <c r="H2256" s="2" t="s">
        <v>476</v>
      </c>
      <c r="I2256" s="26">
        <v>45810</v>
      </c>
      <c r="J2256" s="2">
        <v>22</v>
      </c>
      <c r="K2256" s="2" t="s">
        <v>123</v>
      </c>
      <c r="L2256" s="22">
        <v>7550</v>
      </c>
      <c r="M2256" s="22">
        <v>166100</v>
      </c>
      <c r="N2256" s="18">
        <v>177.65</v>
      </c>
      <c r="O2256" s="26">
        <v>46020</v>
      </c>
      <c r="P2256" s="2" t="s">
        <v>2105</v>
      </c>
      <c r="Q2256" s="2" t="s">
        <v>806</v>
      </c>
    </row>
    <row r="2257" spans="2:17" x14ac:dyDescent="0.25">
      <c r="B2257" s="2" t="s">
        <v>3062</v>
      </c>
      <c r="C2257" s="2" t="s">
        <v>261</v>
      </c>
      <c r="D2257" s="2" t="s">
        <v>262</v>
      </c>
      <c r="E2257" s="2" t="s">
        <v>256</v>
      </c>
      <c r="F2257" s="2" t="s">
        <v>535</v>
      </c>
      <c r="G2257" s="2" t="s">
        <v>475</v>
      </c>
      <c r="H2257" s="2" t="s">
        <v>476</v>
      </c>
      <c r="I2257" s="26">
        <v>45830</v>
      </c>
      <c r="J2257" s="2">
        <v>19</v>
      </c>
      <c r="K2257" s="2" t="s">
        <v>123</v>
      </c>
      <c r="L2257" s="22">
        <v>7550</v>
      </c>
      <c r="M2257" s="22">
        <v>143450</v>
      </c>
      <c r="N2257" s="18">
        <v>153.41999999999999</v>
      </c>
      <c r="O2257" s="26">
        <v>46040</v>
      </c>
      <c r="P2257" s="2" t="s">
        <v>2105</v>
      </c>
      <c r="Q2257" s="2" t="s">
        <v>806</v>
      </c>
    </row>
    <row r="2258" spans="2:17" x14ac:dyDescent="0.25">
      <c r="B2258" s="2" t="s">
        <v>3063</v>
      </c>
      <c r="C2258" s="2" t="s">
        <v>263</v>
      </c>
      <c r="D2258" s="2" t="s">
        <v>264</v>
      </c>
      <c r="E2258" s="2" t="s">
        <v>256</v>
      </c>
      <c r="F2258" s="2" t="s">
        <v>535</v>
      </c>
      <c r="G2258" s="2" t="s">
        <v>475</v>
      </c>
      <c r="H2258" s="2" t="s">
        <v>476</v>
      </c>
      <c r="I2258" s="26">
        <v>45121</v>
      </c>
      <c r="J2258" s="2">
        <v>20</v>
      </c>
      <c r="K2258" s="2" t="s">
        <v>123</v>
      </c>
      <c r="L2258" s="22">
        <v>9250</v>
      </c>
      <c r="M2258" s="22">
        <v>185000</v>
      </c>
      <c r="N2258" s="18">
        <v>197.86</v>
      </c>
      <c r="O2258" s="26">
        <v>45331</v>
      </c>
      <c r="P2258" s="2" t="s">
        <v>2105</v>
      </c>
      <c r="Q2258" s="2" t="s">
        <v>806</v>
      </c>
    </row>
    <row r="2259" spans="2:17" x14ac:dyDescent="0.25">
      <c r="B2259" s="2" t="s">
        <v>3064</v>
      </c>
      <c r="C2259" s="2" t="s">
        <v>263</v>
      </c>
      <c r="D2259" s="2" t="s">
        <v>264</v>
      </c>
      <c r="E2259" s="2" t="s">
        <v>256</v>
      </c>
      <c r="F2259" s="2" t="s">
        <v>535</v>
      </c>
      <c r="G2259" s="2" t="s">
        <v>475</v>
      </c>
      <c r="H2259" s="2" t="s">
        <v>476</v>
      </c>
      <c r="I2259" s="26">
        <v>45140</v>
      </c>
      <c r="J2259" s="2">
        <v>21</v>
      </c>
      <c r="K2259" s="2" t="s">
        <v>123</v>
      </c>
      <c r="L2259" s="22">
        <v>9250</v>
      </c>
      <c r="M2259" s="22">
        <v>194250</v>
      </c>
      <c r="N2259" s="18">
        <v>207.75</v>
      </c>
      <c r="O2259" s="26">
        <v>45350</v>
      </c>
      <c r="P2259" s="2" t="s">
        <v>2105</v>
      </c>
      <c r="Q2259" s="2" t="s">
        <v>806</v>
      </c>
    </row>
    <row r="2260" spans="2:17" x14ac:dyDescent="0.25">
      <c r="B2260" s="2" t="s">
        <v>3065</v>
      </c>
      <c r="C2260" s="2" t="s">
        <v>263</v>
      </c>
      <c r="D2260" s="2" t="s">
        <v>264</v>
      </c>
      <c r="E2260" s="2" t="s">
        <v>256</v>
      </c>
      <c r="F2260" s="2" t="s">
        <v>535</v>
      </c>
      <c r="G2260" s="2" t="s">
        <v>475</v>
      </c>
      <c r="H2260" s="2" t="s">
        <v>476</v>
      </c>
      <c r="I2260" s="26">
        <v>45162</v>
      </c>
      <c r="J2260" s="2">
        <v>18</v>
      </c>
      <c r="K2260" s="2" t="s">
        <v>123</v>
      </c>
      <c r="L2260" s="22">
        <v>9250</v>
      </c>
      <c r="M2260" s="22">
        <v>166500</v>
      </c>
      <c r="N2260" s="18">
        <v>178.07</v>
      </c>
      <c r="O2260" s="26">
        <v>45372</v>
      </c>
      <c r="P2260" s="2" t="s">
        <v>2105</v>
      </c>
      <c r="Q2260" s="2" t="s">
        <v>806</v>
      </c>
    </row>
    <row r="2261" spans="2:17" x14ac:dyDescent="0.25">
      <c r="B2261" s="2" t="s">
        <v>3066</v>
      </c>
      <c r="C2261" s="2" t="s">
        <v>263</v>
      </c>
      <c r="D2261" s="2" t="s">
        <v>264</v>
      </c>
      <c r="E2261" s="2" t="s">
        <v>256</v>
      </c>
      <c r="F2261" s="2" t="s">
        <v>535</v>
      </c>
      <c r="G2261" s="2" t="s">
        <v>475</v>
      </c>
      <c r="H2261" s="2" t="s">
        <v>476</v>
      </c>
      <c r="I2261" s="26">
        <v>45183</v>
      </c>
      <c r="J2261" s="2">
        <v>27</v>
      </c>
      <c r="K2261" s="2" t="s">
        <v>123</v>
      </c>
      <c r="L2261" s="22">
        <v>9250</v>
      </c>
      <c r="M2261" s="22">
        <v>249750</v>
      </c>
      <c r="N2261" s="18">
        <v>267.11</v>
      </c>
      <c r="O2261" s="26">
        <v>45393</v>
      </c>
      <c r="P2261" s="2" t="s">
        <v>2105</v>
      </c>
      <c r="Q2261" s="2" t="s">
        <v>814</v>
      </c>
    </row>
    <row r="2262" spans="2:17" x14ac:dyDescent="0.25">
      <c r="B2262" s="2" t="s">
        <v>3067</v>
      </c>
      <c r="C2262" s="2" t="s">
        <v>263</v>
      </c>
      <c r="D2262" s="2" t="s">
        <v>264</v>
      </c>
      <c r="E2262" s="2" t="s">
        <v>256</v>
      </c>
      <c r="F2262" s="2" t="s">
        <v>535</v>
      </c>
      <c r="G2262" s="2" t="s">
        <v>475</v>
      </c>
      <c r="H2262" s="2" t="s">
        <v>476</v>
      </c>
      <c r="I2262" s="26">
        <v>45204</v>
      </c>
      <c r="J2262" s="2">
        <v>8</v>
      </c>
      <c r="K2262" s="2" t="s">
        <v>123</v>
      </c>
      <c r="L2262" s="22">
        <v>9250</v>
      </c>
      <c r="M2262" s="22">
        <v>74000</v>
      </c>
      <c r="N2262" s="18">
        <v>79.14</v>
      </c>
      <c r="O2262" s="26">
        <v>45414</v>
      </c>
      <c r="P2262" s="2" t="s">
        <v>2105</v>
      </c>
      <c r="Q2262" s="2" t="s">
        <v>814</v>
      </c>
    </row>
    <row r="2263" spans="2:17" x14ac:dyDescent="0.25">
      <c r="B2263" s="2" t="s">
        <v>3068</v>
      </c>
      <c r="C2263" s="2" t="s">
        <v>263</v>
      </c>
      <c r="D2263" s="2" t="s">
        <v>264</v>
      </c>
      <c r="E2263" s="2" t="s">
        <v>256</v>
      </c>
      <c r="F2263" s="2" t="s">
        <v>535</v>
      </c>
      <c r="G2263" s="2" t="s">
        <v>475</v>
      </c>
      <c r="H2263" s="2" t="s">
        <v>476</v>
      </c>
      <c r="I2263" s="26">
        <v>45221</v>
      </c>
      <c r="J2263" s="2">
        <v>7</v>
      </c>
      <c r="K2263" s="2" t="s">
        <v>123</v>
      </c>
      <c r="L2263" s="22">
        <v>9250</v>
      </c>
      <c r="M2263" s="22">
        <v>64750</v>
      </c>
      <c r="N2263" s="18">
        <v>69.25</v>
      </c>
      <c r="O2263" s="26">
        <v>45431</v>
      </c>
      <c r="P2263" s="2" t="s">
        <v>2105</v>
      </c>
      <c r="Q2263" s="2" t="s">
        <v>814</v>
      </c>
    </row>
    <row r="2264" spans="2:17" x14ac:dyDescent="0.25">
      <c r="B2264" s="2" t="s">
        <v>3069</v>
      </c>
      <c r="C2264" s="2" t="s">
        <v>263</v>
      </c>
      <c r="D2264" s="2" t="s">
        <v>264</v>
      </c>
      <c r="E2264" s="2" t="s">
        <v>256</v>
      </c>
      <c r="F2264" s="2" t="s">
        <v>535</v>
      </c>
      <c r="G2264" s="2" t="s">
        <v>475</v>
      </c>
      <c r="H2264" s="2" t="s">
        <v>476</v>
      </c>
      <c r="I2264" s="26">
        <v>45240</v>
      </c>
      <c r="J2264" s="2">
        <v>7</v>
      </c>
      <c r="K2264" s="2" t="s">
        <v>123</v>
      </c>
      <c r="L2264" s="22">
        <v>9250</v>
      </c>
      <c r="M2264" s="22">
        <v>64750</v>
      </c>
      <c r="N2264" s="18">
        <v>69.25</v>
      </c>
      <c r="O2264" s="26">
        <v>45450</v>
      </c>
      <c r="P2264" s="2" t="s">
        <v>2105</v>
      </c>
      <c r="Q2264" s="2" t="s">
        <v>814</v>
      </c>
    </row>
    <row r="2265" spans="2:17" x14ac:dyDescent="0.25">
      <c r="B2265" s="2" t="s">
        <v>3070</v>
      </c>
      <c r="C2265" s="2" t="s">
        <v>263</v>
      </c>
      <c r="D2265" s="2" t="s">
        <v>264</v>
      </c>
      <c r="E2265" s="2" t="s">
        <v>256</v>
      </c>
      <c r="F2265" s="2" t="s">
        <v>535</v>
      </c>
      <c r="G2265" s="2" t="s">
        <v>475</v>
      </c>
      <c r="H2265" s="2" t="s">
        <v>476</v>
      </c>
      <c r="I2265" s="26">
        <v>45259</v>
      </c>
      <c r="J2265" s="2">
        <v>8</v>
      </c>
      <c r="K2265" s="2" t="s">
        <v>123</v>
      </c>
      <c r="L2265" s="22">
        <v>9250</v>
      </c>
      <c r="M2265" s="22">
        <v>74000</v>
      </c>
      <c r="N2265" s="18">
        <v>79.14</v>
      </c>
      <c r="O2265" s="26">
        <v>45469</v>
      </c>
      <c r="P2265" s="2" t="s">
        <v>2105</v>
      </c>
      <c r="Q2265" s="2" t="s">
        <v>814</v>
      </c>
    </row>
    <row r="2266" spans="2:17" x14ac:dyDescent="0.25">
      <c r="B2266" s="2" t="s">
        <v>3071</v>
      </c>
      <c r="C2266" s="2" t="s">
        <v>263</v>
      </c>
      <c r="D2266" s="2" t="s">
        <v>264</v>
      </c>
      <c r="E2266" s="2" t="s">
        <v>256</v>
      </c>
      <c r="F2266" s="2" t="s">
        <v>535</v>
      </c>
      <c r="G2266" s="2" t="s">
        <v>475</v>
      </c>
      <c r="H2266" s="2" t="s">
        <v>476</v>
      </c>
      <c r="I2266" s="26">
        <v>45278</v>
      </c>
      <c r="J2266" s="2">
        <v>8</v>
      </c>
      <c r="K2266" s="2" t="s">
        <v>123</v>
      </c>
      <c r="L2266" s="22">
        <v>9250</v>
      </c>
      <c r="M2266" s="22">
        <v>74000</v>
      </c>
      <c r="N2266" s="18">
        <v>79.14</v>
      </c>
      <c r="O2266" s="26">
        <v>45488</v>
      </c>
      <c r="P2266" s="2" t="s">
        <v>2105</v>
      </c>
      <c r="Q2266" s="2" t="s">
        <v>825</v>
      </c>
    </row>
    <row r="2267" spans="2:17" x14ac:dyDescent="0.25">
      <c r="B2267" s="2" t="s">
        <v>3072</v>
      </c>
      <c r="C2267" s="2" t="s">
        <v>263</v>
      </c>
      <c r="D2267" s="2" t="s">
        <v>264</v>
      </c>
      <c r="E2267" s="2" t="s">
        <v>256</v>
      </c>
      <c r="F2267" s="2" t="s">
        <v>535</v>
      </c>
      <c r="G2267" s="2" t="s">
        <v>475</v>
      </c>
      <c r="H2267" s="2" t="s">
        <v>476</v>
      </c>
      <c r="I2267" s="26">
        <v>45297</v>
      </c>
      <c r="J2267" s="2">
        <v>8</v>
      </c>
      <c r="K2267" s="2" t="s">
        <v>123</v>
      </c>
      <c r="L2267" s="22">
        <v>9250</v>
      </c>
      <c r="M2267" s="22">
        <v>74000</v>
      </c>
      <c r="N2267" s="18">
        <v>79.14</v>
      </c>
      <c r="O2267" s="26">
        <v>45507</v>
      </c>
      <c r="P2267" s="2" t="s">
        <v>2105</v>
      </c>
      <c r="Q2267" s="2" t="s">
        <v>825</v>
      </c>
    </row>
    <row r="2268" spans="2:17" x14ac:dyDescent="0.25">
      <c r="B2268" s="2" t="s">
        <v>3073</v>
      </c>
      <c r="C2268" s="2" t="s">
        <v>263</v>
      </c>
      <c r="D2268" s="2" t="s">
        <v>264</v>
      </c>
      <c r="E2268" s="2" t="s">
        <v>256</v>
      </c>
      <c r="F2268" s="2" t="s">
        <v>537</v>
      </c>
      <c r="G2268" s="2" t="s">
        <v>485</v>
      </c>
      <c r="H2268" s="2" t="s">
        <v>486</v>
      </c>
      <c r="I2268" s="26">
        <v>45315</v>
      </c>
      <c r="J2268" s="2">
        <v>7</v>
      </c>
      <c r="K2268" s="2" t="s">
        <v>123</v>
      </c>
      <c r="L2268" s="22">
        <v>9550</v>
      </c>
      <c r="M2268" s="22">
        <v>66850</v>
      </c>
      <c r="N2268" s="18">
        <v>71.5</v>
      </c>
      <c r="O2268" s="26">
        <v>45525</v>
      </c>
      <c r="P2268" s="2" t="s">
        <v>2105</v>
      </c>
      <c r="Q2268" s="2" t="s">
        <v>825</v>
      </c>
    </row>
    <row r="2269" spans="2:17" x14ac:dyDescent="0.25">
      <c r="B2269" s="2" t="s">
        <v>3074</v>
      </c>
      <c r="C2269" s="2" t="s">
        <v>263</v>
      </c>
      <c r="D2269" s="2" t="s">
        <v>264</v>
      </c>
      <c r="E2269" s="2" t="s">
        <v>256</v>
      </c>
      <c r="F2269" s="2" t="s">
        <v>535</v>
      </c>
      <c r="G2269" s="2" t="s">
        <v>475</v>
      </c>
      <c r="H2269" s="2" t="s">
        <v>476</v>
      </c>
      <c r="I2269" s="26">
        <v>45333</v>
      </c>
      <c r="J2269" s="2">
        <v>7</v>
      </c>
      <c r="K2269" s="2" t="s">
        <v>123</v>
      </c>
      <c r="L2269" s="22">
        <v>9250</v>
      </c>
      <c r="M2269" s="22">
        <v>64750</v>
      </c>
      <c r="N2269" s="18">
        <v>69.25</v>
      </c>
      <c r="O2269" s="26">
        <v>45543</v>
      </c>
      <c r="P2269" s="2" t="s">
        <v>2105</v>
      </c>
      <c r="Q2269" s="2" t="s">
        <v>825</v>
      </c>
    </row>
    <row r="2270" spans="2:17" x14ac:dyDescent="0.25">
      <c r="B2270" s="2" t="s">
        <v>3075</v>
      </c>
      <c r="C2270" s="2" t="s">
        <v>263</v>
      </c>
      <c r="D2270" s="2" t="s">
        <v>264</v>
      </c>
      <c r="E2270" s="2" t="s">
        <v>256</v>
      </c>
      <c r="F2270" s="2" t="s">
        <v>535</v>
      </c>
      <c r="G2270" s="2" t="s">
        <v>475</v>
      </c>
      <c r="H2270" s="2" t="s">
        <v>476</v>
      </c>
      <c r="I2270" s="26">
        <v>45353</v>
      </c>
      <c r="J2270" s="2">
        <v>7</v>
      </c>
      <c r="K2270" s="2" t="s">
        <v>123</v>
      </c>
      <c r="L2270" s="22">
        <v>9250</v>
      </c>
      <c r="M2270" s="22">
        <v>64750</v>
      </c>
      <c r="N2270" s="18">
        <v>69.25</v>
      </c>
      <c r="O2270" s="26">
        <v>45563</v>
      </c>
      <c r="P2270" s="2" t="s">
        <v>2105</v>
      </c>
      <c r="Q2270" s="2" t="s">
        <v>836</v>
      </c>
    </row>
    <row r="2271" spans="2:17" x14ac:dyDescent="0.25">
      <c r="B2271" s="2" t="s">
        <v>3076</v>
      </c>
      <c r="C2271" s="2" t="s">
        <v>263</v>
      </c>
      <c r="D2271" s="2" t="s">
        <v>264</v>
      </c>
      <c r="E2271" s="2" t="s">
        <v>256</v>
      </c>
      <c r="F2271" s="2" t="s">
        <v>535</v>
      </c>
      <c r="G2271" s="2" t="s">
        <v>475</v>
      </c>
      <c r="H2271" s="2" t="s">
        <v>476</v>
      </c>
      <c r="I2271" s="26">
        <v>45381</v>
      </c>
      <c r="J2271" s="2">
        <v>8</v>
      </c>
      <c r="K2271" s="2" t="s">
        <v>123</v>
      </c>
      <c r="L2271" s="22">
        <v>9250</v>
      </c>
      <c r="M2271" s="22">
        <v>74000</v>
      </c>
      <c r="N2271" s="18">
        <v>79.14</v>
      </c>
      <c r="O2271" s="26">
        <v>45591</v>
      </c>
      <c r="P2271" s="2" t="s">
        <v>2105</v>
      </c>
      <c r="Q2271" s="2" t="s">
        <v>836</v>
      </c>
    </row>
    <row r="2272" spans="2:17" x14ac:dyDescent="0.25">
      <c r="B2272" s="2" t="s">
        <v>3077</v>
      </c>
      <c r="C2272" s="2" t="s">
        <v>263</v>
      </c>
      <c r="D2272" s="2" t="s">
        <v>264</v>
      </c>
      <c r="E2272" s="2" t="s">
        <v>256</v>
      </c>
      <c r="F2272" s="2" t="s">
        <v>537</v>
      </c>
      <c r="G2272" s="2" t="s">
        <v>485</v>
      </c>
      <c r="H2272" s="2" t="s">
        <v>486</v>
      </c>
      <c r="I2272" s="26">
        <v>45401</v>
      </c>
      <c r="J2272" s="2">
        <v>18</v>
      </c>
      <c r="K2272" s="2" t="s">
        <v>123</v>
      </c>
      <c r="L2272" s="22">
        <v>9550</v>
      </c>
      <c r="M2272" s="22">
        <v>171900</v>
      </c>
      <c r="N2272" s="18">
        <v>183.85</v>
      </c>
      <c r="O2272" s="26">
        <v>45611</v>
      </c>
      <c r="P2272" s="2" t="s">
        <v>2105</v>
      </c>
      <c r="Q2272" s="2" t="s">
        <v>836</v>
      </c>
    </row>
    <row r="2273" spans="2:17" x14ac:dyDescent="0.25">
      <c r="B2273" s="2" t="s">
        <v>3078</v>
      </c>
      <c r="C2273" s="2" t="s">
        <v>263</v>
      </c>
      <c r="D2273" s="2" t="s">
        <v>264</v>
      </c>
      <c r="E2273" s="2" t="s">
        <v>256</v>
      </c>
      <c r="F2273" s="2" t="s">
        <v>535</v>
      </c>
      <c r="G2273" s="2" t="s">
        <v>475</v>
      </c>
      <c r="H2273" s="2" t="s">
        <v>476</v>
      </c>
      <c r="I2273" s="26">
        <v>45422</v>
      </c>
      <c r="J2273" s="2">
        <v>20</v>
      </c>
      <c r="K2273" s="2" t="s">
        <v>123</v>
      </c>
      <c r="L2273" s="22">
        <v>9250</v>
      </c>
      <c r="M2273" s="22">
        <v>185000</v>
      </c>
      <c r="N2273" s="18">
        <v>197.86</v>
      </c>
      <c r="O2273" s="26">
        <v>45632</v>
      </c>
      <c r="P2273" s="2" t="s">
        <v>2105</v>
      </c>
      <c r="Q2273" s="2" t="s">
        <v>836</v>
      </c>
    </row>
    <row r="2274" spans="2:17" x14ac:dyDescent="0.25">
      <c r="B2274" s="2" t="s">
        <v>3079</v>
      </c>
      <c r="C2274" s="2" t="s">
        <v>263</v>
      </c>
      <c r="D2274" s="2" t="s">
        <v>264</v>
      </c>
      <c r="E2274" s="2" t="s">
        <v>256</v>
      </c>
      <c r="F2274" s="2" t="s">
        <v>537</v>
      </c>
      <c r="G2274" s="2" t="s">
        <v>485</v>
      </c>
      <c r="H2274" s="2" t="s">
        <v>486</v>
      </c>
      <c r="I2274" s="26">
        <v>45437</v>
      </c>
      <c r="J2274" s="2">
        <v>21</v>
      </c>
      <c r="K2274" s="2" t="s">
        <v>123</v>
      </c>
      <c r="L2274" s="22">
        <v>9550</v>
      </c>
      <c r="M2274" s="22">
        <v>200550</v>
      </c>
      <c r="N2274" s="18">
        <v>214.49</v>
      </c>
      <c r="O2274" s="26">
        <v>45647</v>
      </c>
      <c r="P2274" s="2" t="s">
        <v>2105</v>
      </c>
      <c r="Q2274" s="2" t="s">
        <v>836</v>
      </c>
    </row>
    <row r="2275" spans="2:17" x14ac:dyDescent="0.25">
      <c r="B2275" s="2" t="s">
        <v>3080</v>
      </c>
      <c r="C2275" s="2" t="s">
        <v>263</v>
      </c>
      <c r="D2275" s="2" t="s">
        <v>264</v>
      </c>
      <c r="E2275" s="2" t="s">
        <v>256</v>
      </c>
      <c r="F2275" s="2" t="s">
        <v>535</v>
      </c>
      <c r="G2275" s="2" t="s">
        <v>475</v>
      </c>
      <c r="H2275" s="2" t="s">
        <v>476</v>
      </c>
      <c r="I2275" s="26">
        <v>45456</v>
      </c>
      <c r="J2275" s="2">
        <v>18</v>
      </c>
      <c r="K2275" s="2" t="s">
        <v>123</v>
      </c>
      <c r="L2275" s="22">
        <v>9250</v>
      </c>
      <c r="M2275" s="22">
        <v>166500</v>
      </c>
      <c r="N2275" s="18">
        <v>178.07</v>
      </c>
      <c r="O2275" s="26">
        <v>45666</v>
      </c>
      <c r="P2275" s="2" t="s">
        <v>2105</v>
      </c>
      <c r="Q2275" s="2" t="s">
        <v>806</v>
      </c>
    </row>
    <row r="2276" spans="2:17" x14ac:dyDescent="0.25">
      <c r="B2276" s="2" t="s">
        <v>3081</v>
      </c>
      <c r="C2276" s="2" t="s">
        <v>263</v>
      </c>
      <c r="D2276" s="2" t="s">
        <v>264</v>
      </c>
      <c r="E2276" s="2" t="s">
        <v>256</v>
      </c>
      <c r="F2276" s="2" t="s">
        <v>535</v>
      </c>
      <c r="G2276" s="2" t="s">
        <v>475</v>
      </c>
      <c r="H2276" s="2" t="s">
        <v>476</v>
      </c>
      <c r="I2276" s="26">
        <v>45473</v>
      </c>
      <c r="J2276" s="2">
        <v>19</v>
      </c>
      <c r="K2276" s="2" t="s">
        <v>123</v>
      </c>
      <c r="L2276" s="22">
        <v>9250</v>
      </c>
      <c r="M2276" s="22">
        <v>175750</v>
      </c>
      <c r="N2276" s="18">
        <v>187.97</v>
      </c>
      <c r="O2276" s="26">
        <v>45683</v>
      </c>
      <c r="P2276" s="2" t="s">
        <v>2105</v>
      </c>
      <c r="Q2276" s="2" t="s">
        <v>806</v>
      </c>
    </row>
    <row r="2277" spans="2:17" x14ac:dyDescent="0.25">
      <c r="B2277" s="2" t="s">
        <v>3082</v>
      </c>
      <c r="C2277" s="2" t="s">
        <v>263</v>
      </c>
      <c r="D2277" s="2" t="s">
        <v>264</v>
      </c>
      <c r="E2277" s="2" t="s">
        <v>256</v>
      </c>
      <c r="F2277" s="2" t="s">
        <v>535</v>
      </c>
      <c r="G2277" s="2" t="s">
        <v>475</v>
      </c>
      <c r="H2277" s="2" t="s">
        <v>476</v>
      </c>
      <c r="I2277" s="26">
        <v>45494</v>
      </c>
      <c r="J2277" s="2">
        <v>21</v>
      </c>
      <c r="K2277" s="2" t="s">
        <v>123</v>
      </c>
      <c r="L2277" s="22">
        <v>9250</v>
      </c>
      <c r="M2277" s="22">
        <v>194250</v>
      </c>
      <c r="N2277" s="18">
        <v>207.75</v>
      </c>
      <c r="O2277" s="26">
        <v>45704</v>
      </c>
      <c r="P2277" s="2" t="s">
        <v>2105</v>
      </c>
      <c r="Q2277" s="2" t="s">
        <v>806</v>
      </c>
    </row>
    <row r="2278" spans="2:17" x14ac:dyDescent="0.25">
      <c r="B2278" s="2" t="s">
        <v>3083</v>
      </c>
      <c r="C2278" s="2" t="s">
        <v>263</v>
      </c>
      <c r="D2278" s="2" t="s">
        <v>264</v>
      </c>
      <c r="E2278" s="2" t="s">
        <v>256</v>
      </c>
      <c r="F2278" s="2" t="s">
        <v>535</v>
      </c>
      <c r="G2278" s="2" t="s">
        <v>475</v>
      </c>
      <c r="H2278" s="2" t="s">
        <v>476</v>
      </c>
      <c r="I2278" s="26">
        <v>45513</v>
      </c>
      <c r="J2278" s="2">
        <v>20</v>
      </c>
      <c r="K2278" s="2" t="s">
        <v>123</v>
      </c>
      <c r="L2278" s="22">
        <v>9250</v>
      </c>
      <c r="M2278" s="22">
        <v>185000</v>
      </c>
      <c r="N2278" s="18">
        <v>197.86</v>
      </c>
      <c r="O2278" s="26">
        <v>45723</v>
      </c>
      <c r="P2278" s="2" t="s">
        <v>2105</v>
      </c>
      <c r="Q2278" s="2" t="s">
        <v>806</v>
      </c>
    </row>
    <row r="2279" spans="2:17" x14ac:dyDescent="0.25">
      <c r="B2279" s="2" t="s">
        <v>3084</v>
      </c>
      <c r="C2279" s="2" t="s">
        <v>263</v>
      </c>
      <c r="D2279" s="2" t="s">
        <v>264</v>
      </c>
      <c r="E2279" s="2" t="s">
        <v>256</v>
      </c>
      <c r="F2279" s="2" t="s">
        <v>537</v>
      </c>
      <c r="G2279" s="2" t="s">
        <v>485</v>
      </c>
      <c r="H2279" s="2" t="s">
        <v>486</v>
      </c>
      <c r="I2279" s="26">
        <v>45537</v>
      </c>
      <c r="J2279" s="2">
        <v>24</v>
      </c>
      <c r="K2279" s="2" t="s">
        <v>123</v>
      </c>
      <c r="L2279" s="22">
        <v>9550</v>
      </c>
      <c r="M2279" s="22">
        <v>229200</v>
      </c>
      <c r="N2279" s="18">
        <v>245.13</v>
      </c>
      <c r="O2279" s="26">
        <v>45747</v>
      </c>
      <c r="P2279" s="2" t="s">
        <v>2105</v>
      </c>
      <c r="Q2279" s="2" t="s">
        <v>814</v>
      </c>
    </row>
    <row r="2280" spans="2:17" x14ac:dyDescent="0.25">
      <c r="B2280" s="2" t="s">
        <v>3085</v>
      </c>
      <c r="C2280" s="2" t="s">
        <v>263</v>
      </c>
      <c r="D2280" s="2" t="s">
        <v>264</v>
      </c>
      <c r="E2280" s="2" t="s">
        <v>256</v>
      </c>
      <c r="F2280" s="2" t="s">
        <v>535</v>
      </c>
      <c r="G2280" s="2" t="s">
        <v>475</v>
      </c>
      <c r="H2280" s="2" t="s">
        <v>476</v>
      </c>
      <c r="I2280" s="26">
        <v>45565</v>
      </c>
      <c r="J2280" s="2">
        <v>21</v>
      </c>
      <c r="K2280" s="2" t="s">
        <v>123</v>
      </c>
      <c r="L2280" s="22">
        <v>9250</v>
      </c>
      <c r="M2280" s="22">
        <v>194250</v>
      </c>
      <c r="N2280" s="18">
        <v>207.75</v>
      </c>
      <c r="O2280" s="26">
        <v>45775</v>
      </c>
      <c r="P2280" s="2" t="s">
        <v>2105</v>
      </c>
      <c r="Q2280" s="2" t="s">
        <v>814</v>
      </c>
    </row>
    <row r="2281" spans="2:17" x14ac:dyDescent="0.25">
      <c r="B2281" s="2" t="s">
        <v>3086</v>
      </c>
      <c r="C2281" s="2" t="s">
        <v>263</v>
      </c>
      <c r="D2281" s="2" t="s">
        <v>264</v>
      </c>
      <c r="E2281" s="2" t="s">
        <v>256</v>
      </c>
      <c r="F2281" s="2" t="s">
        <v>535</v>
      </c>
      <c r="G2281" s="2" t="s">
        <v>475</v>
      </c>
      <c r="H2281" s="2" t="s">
        <v>476</v>
      </c>
      <c r="I2281" s="26">
        <v>45583</v>
      </c>
      <c r="J2281" s="2">
        <v>6</v>
      </c>
      <c r="K2281" s="2" t="s">
        <v>123</v>
      </c>
      <c r="L2281" s="22">
        <v>9250</v>
      </c>
      <c r="M2281" s="22">
        <v>55500</v>
      </c>
      <c r="N2281" s="18">
        <v>59.36</v>
      </c>
      <c r="O2281" s="26">
        <v>45793</v>
      </c>
      <c r="P2281" s="2" t="s">
        <v>2105</v>
      </c>
      <c r="Q2281" s="2" t="s">
        <v>814</v>
      </c>
    </row>
    <row r="2282" spans="2:17" x14ac:dyDescent="0.25">
      <c r="B2282" s="2" t="s">
        <v>3087</v>
      </c>
      <c r="C2282" s="2" t="s">
        <v>263</v>
      </c>
      <c r="D2282" s="2" t="s">
        <v>264</v>
      </c>
      <c r="E2282" s="2" t="s">
        <v>256</v>
      </c>
      <c r="F2282" s="2" t="s">
        <v>535</v>
      </c>
      <c r="G2282" s="2" t="s">
        <v>475</v>
      </c>
      <c r="H2282" s="2" t="s">
        <v>476</v>
      </c>
      <c r="I2282" s="26">
        <v>45599</v>
      </c>
      <c r="J2282" s="2">
        <v>7</v>
      </c>
      <c r="K2282" s="2" t="s">
        <v>123</v>
      </c>
      <c r="L2282" s="22">
        <v>9250</v>
      </c>
      <c r="M2282" s="22">
        <v>64750</v>
      </c>
      <c r="N2282" s="18">
        <v>69.25</v>
      </c>
      <c r="O2282" s="26">
        <v>45809</v>
      </c>
      <c r="P2282" s="2" t="s">
        <v>2105</v>
      </c>
      <c r="Q2282" s="2" t="s">
        <v>814</v>
      </c>
    </row>
    <row r="2283" spans="2:17" x14ac:dyDescent="0.25">
      <c r="B2283" s="2" t="s">
        <v>3088</v>
      </c>
      <c r="C2283" s="2" t="s">
        <v>263</v>
      </c>
      <c r="D2283" s="2" t="s">
        <v>264</v>
      </c>
      <c r="E2283" s="2" t="s">
        <v>256</v>
      </c>
      <c r="F2283" s="2" t="s">
        <v>535</v>
      </c>
      <c r="G2283" s="2" t="s">
        <v>475</v>
      </c>
      <c r="H2283" s="2" t="s">
        <v>476</v>
      </c>
      <c r="I2283" s="26">
        <v>45614</v>
      </c>
      <c r="J2283" s="2">
        <v>7</v>
      </c>
      <c r="K2283" s="2" t="s">
        <v>123</v>
      </c>
      <c r="L2283" s="22">
        <v>9250</v>
      </c>
      <c r="M2283" s="22">
        <v>64750</v>
      </c>
      <c r="N2283" s="18">
        <v>69.25</v>
      </c>
      <c r="O2283" s="26">
        <v>45824</v>
      </c>
      <c r="P2283" s="2" t="s">
        <v>2105</v>
      </c>
      <c r="Q2283" s="2" t="s">
        <v>814</v>
      </c>
    </row>
    <row r="2284" spans="2:17" x14ac:dyDescent="0.25">
      <c r="B2284" s="2" t="s">
        <v>3089</v>
      </c>
      <c r="C2284" s="2" t="s">
        <v>263</v>
      </c>
      <c r="D2284" s="2" t="s">
        <v>264</v>
      </c>
      <c r="E2284" s="2" t="s">
        <v>256</v>
      </c>
      <c r="F2284" s="2" t="s">
        <v>535</v>
      </c>
      <c r="G2284" s="2" t="s">
        <v>475</v>
      </c>
      <c r="H2284" s="2" t="s">
        <v>476</v>
      </c>
      <c r="I2284" s="26">
        <v>45633</v>
      </c>
      <c r="J2284" s="2">
        <v>8</v>
      </c>
      <c r="K2284" s="2" t="s">
        <v>123</v>
      </c>
      <c r="L2284" s="22">
        <v>9250</v>
      </c>
      <c r="M2284" s="22">
        <v>74000</v>
      </c>
      <c r="N2284" s="18">
        <v>79.14</v>
      </c>
      <c r="O2284" s="26">
        <v>45843</v>
      </c>
      <c r="P2284" s="2" t="s">
        <v>2105</v>
      </c>
      <c r="Q2284" s="2" t="s">
        <v>825</v>
      </c>
    </row>
    <row r="2285" spans="2:17" x14ac:dyDescent="0.25">
      <c r="B2285" s="2" t="s">
        <v>3090</v>
      </c>
      <c r="C2285" s="2" t="s">
        <v>263</v>
      </c>
      <c r="D2285" s="2" t="s">
        <v>264</v>
      </c>
      <c r="E2285" s="2" t="s">
        <v>256</v>
      </c>
      <c r="F2285" s="2" t="s">
        <v>537</v>
      </c>
      <c r="G2285" s="2" t="s">
        <v>485</v>
      </c>
      <c r="H2285" s="2" t="s">
        <v>486</v>
      </c>
      <c r="I2285" s="26">
        <v>45652</v>
      </c>
      <c r="J2285" s="2">
        <v>8</v>
      </c>
      <c r="K2285" s="2" t="s">
        <v>123</v>
      </c>
      <c r="L2285" s="22">
        <v>9550</v>
      </c>
      <c r="M2285" s="22">
        <v>76400</v>
      </c>
      <c r="N2285" s="18">
        <v>81.709999999999994</v>
      </c>
      <c r="O2285" s="26">
        <v>45862</v>
      </c>
      <c r="P2285" s="2" t="s">
        <v>2105</v>
      </c>
      <c r="Q2285" s="2" t="s">
        <v>825</v>
      </c>
    </row>
    <row r="2286" spans="2:17" x14ac:dyDescent="0.25">
      <c r="B2286" s="2" t="s">
        <v>3091</v>
      </c>
      <c r="C2286" s="2" t="s">
        <v>263</v>
      </c>
      <c r="D2286" s="2" t="s">
        <v>264</v>
      </c>
      <c r="E2286" s="2" t="s">
        <v>256</v>
      </c>
      <c r="F2286" s="2" t="s">
        <v>535</v>
      </c>
      <c r="G2286" s="2" t="s">
        <v>475</v>
      </c>
      <c r="H2286" s="2" t="s">
        <v>476</v>
      </c>
      <c r="I2286" s="26">
        <v>45671</v>
      </c>
      <c r="J2286" s="2">
        <v>7</v>
      </c>
      <c r="K2286" s="2" t="s">
        <v>123</v>
      </c>
      <c r="L2286" s="22">
        <v>9250</v>
      </c>
      <c r="M2286" s="22">
        <v>64750</v>
      </c>
      <c r="N2286" s="18">
        <v>69.25</v>
      </c>
      <c r="O2286" s="26">
        <v>45881</v>
      </c>
      <c r="P2286" s="2" t="s">
        <v>2105</v>
      </c>
      <c r="Q2286" s="2" t="s">
        <v>825</v>
      </c>
    </row>
    <row r="2287" spans="2:17" x14ac:dyDescent="0.25">
      <c r="B2287" s="2" t="s">
        <v>3092</v>
      </c>
      <c r="C2287" s="2" t="s">
        <v>263</v>
      </c>
      <c r="D2287" s="2" t="s">
        <v>264</v>
      </c>
      <c r="E2287" s="2" t="s">
        <v>256</v>
      </c>
      <c r="F2287" s="2" t="s">
        <v>535</v>
      </c>
      <c r="G2287" s="2" t="s">
        <v>475</v>
      </c>
      <c r="H2287" s="2" t="s">
        <v>476</v>
      </c>
      <c r="I2287" s="26">
        <v>45690</v>
      </c>
      <c r="J2287" s="2">
        <v>8</v>
      </c>
      <c r="K2287" s="2" t="s">
        <v>123</v>
      </c>
      <c r="L2287" s="22">
        <v>9250</v>
      </c>
      <c r="M2287" s="22">
        <v>74000</v>
      </c>
      <c r="N2287" s="18">
        <v>79.14</v>
      </c>
      <c r="O2287" s="26">
        <v>45900</v>
      </c>
      <c r="P2287" s="2" t="s">
        <v>2105</v>
      </c>
      <c r="Q2287" s="2" t="s">
        <v>825</v>
      </c>
    </row>
    <row r="2288" spans="2:17" x14ac:dyDescent="0.25">
      <c r="B2288" s="2" t="s">
        <v>3093</v>
      </c>
      <c r="C2288" s="2" t="s">
        <v>263</v>
      </c>
      <c r="D2288" s="2" t="s">
        <v>264</v>
      </c>
      <c r="E2288" s="2" t="s">
        <v>256</v>
      </c>
      <c r="F2288" s="2" t="s">
        <v>535</v>
      </c>
      <c r="G2288" s="2" t="s">
        <v>475</v>
      </c>
      <c r="H2288" s="2" t="s">
        <v>476</v>
      </c>
      <c r="I2288" s="26">
        <v>45715</v>
      </c>
      <c r="J2288" s="2">
        <v>8</v>
      </c>
      <c r="K2288" s="2" t="s">
        <v>123</v>
      </c>
      <c r="L2288" s="22">
        <v>9250</v>
      </c>
      <c r="M2288" s="22">
        <v>74000</v>
      </c>
      <c r="N2288" s="18">
        <v>79.14</v>
      </c>
      <c r="O2288" s="26">
        <v>45925</v>
      </c>
      <c r="P2288" s="2" t="s">
        <v>2105</v>
      </c>
      <c r="Q2288" s="2" t="s">
        <v>825</v>
      </c>
    </row>
    <row r="2289" spans="2:17" x14ac:dyDescent="0.25">
      <c r="B2289" s="2" t="s">
        <v>3094</v>
      </c>
      <c r="C2289" s="2" t="s">
        <v>263</v>
      </c>
      <c r="D2289" s="2" t="s">
        <v>264</v>
      </c>
      <c r="E2289" s="2" t="s">
        <v>256</v>
      </c>
      <c r="F2289" s="2" t="s">
        <v>535</v>
      </c>
      <c r="G2289" s="2" t="s">
        <v>475</v>
      </c>
      <c r="H2289" s="2" t="s">
        <v>476</v>
      </c>
      <c r="I2289" s="26">
        <v>45741</v>
      </c>
      <c r="J2289" s="2">
        <v>7</v>
      </c>
      <c r="K2289" s="2" t="s">
        <v>123</v>
      </c>
      <c r="L2289" s="22">
        <v>9250</v>
      </c>
      <c r="M2289" s="22">
        <v>64750</v>
      </c>
      <c r="N2289" s="18">
        <v>69.25</v>
      </c>
      <c r="O2289" s="26">
        <v>45951</v>
      </c>
      <c r="P2289" s="2" t="s">
        <v>2105</v>
      </c>
      <c r="Q2289" s="2" t="s">
        <v>836</v>
      </c>
    </row>
    <row r="2290" spans="2:17" x14ac:dyDescent="0.25">
      <c r="B2290" s="2" t="s">
        <v>3095</v>
      </c>
      <c r="C2290" s="2" t="s">
        <v>263</v>
      </c>
      <c r="D2290" s="2" t="s">
        <v>264</v>
      </c>
      <c r="E2290" s="2" t="s">
        <v>256</v>
      </c>
      <c r="F2290" s="2" t="s">
        <v>535</v>
      </c>
      <c r="G2290" s="2" t="s">
        <v>475</v>
      </c>
      <c r="H2290" s="2" t="s">
        <v>476</v>
      </c>
      <c r="I2290" s="26">
        <v>45768</v>
      </c>
      <c r="J2290" s="2">
        <v>21</v>
      </c>
      <c r="K2290" s="2" t="s">
        <v>123</v>
      </c>
      <c r="L2290" s="22">
        <v>9250</v>
      </c>
      <c r="M2290" s="22">
        <v>194250</v>
      </c>
      <c r="N2290" s="18">
        <v>207.75</v>
      </c>
      <c r="O2290" s="26">
        <v>45978</v>
      </c>
      <c r="P2290" s="2" t="s">
        <v>2105</v>
      </c>
      <c r="Q2290" s="2" t="s">
        <v>836</v>
      </c>
    </row>
    <row r="2291" spans="2:17" x14ac:dyDescent="0.25">
      <c r="B2291" s="2" t="s">
        <v>3096</v>
      </c>
      <c r="C2291" s="2" t="s">
        <v>263</v>
      </c>
      <c r="D2291" s="2" t="s">
        <v>264</v>
      </c>
      <c r="E2291" s="2" t="s">
        <v>256</v>
      </c>
      <c r="F2291" s="2" t="s">
        <v>535</v>
      </c>
      <c r="G2291" s="2" t="s">
        <v>475</v>
      </c>
      <c r="H2291" s="2" t="s">
        <v>476</v>
      </c>
      <c r="I2291" s="26">
        <v>45794</v>
      </c>
      <c r="J2291" s="2">
        <v>19</v>
      </c>
      <c r="K2291" s="2" t="s">
        <v>123</v>
      </c>
      <c r="L2291" s="22">
        <v>9250</v>
      </c>
      <c r="M2291" s="22">
        <v>175750</v>
      </c>
      <c r="N2291" s="18">
        <v>187.97</v>
      </c>
      <c r="O2291" s="26">
        <v>46004</v>
      </c>
      <c r="P2291" s="2" t="s">
        <v>2105</v>
      </c>
      <c r="Q2291" s="2" t="s">
        <v>836</v>
      </c>
    </row>
    <row r="2292" spans="2:17" x14ac:dyDescent="0.25">
      <c r="B2292" s="2" t="s">
        <v>3097</v>
      </c>
      <c r="C2292" s="2" t="s">
        <v>263</v>
      </c>
      <c r="D2292" s="2" t="s">
        <v>264</v>
      </c>
      <c r="E2292" s="2" t="s">
        <v>256</v>
      </c>
      <c r="F2292" s="2" t="s">
        <v>535</v>
      </c>
      <c r="G2292" s="2" t="s">
        <v>475</v>
      </c>
      <c r="H2292" s="2" t="s">
        <v>476</v>
      </c>
      <c r="I2292" s="26">
        <v>45816</v>
      </c>
      <c r="J2292" s="2">
        <v>22</v>
      </c>
      <c r="K2292" s="2" t="s">
        <v>123</v>
      </c>
      <c r="L2292" s="22">
        <v>9250</v>
      </c>
      <c r="M2292" s="22">
        <v>203500</v>
      </c>
      <c r="N2292" s="18">
        <v>217.65</v>
      </c>
      <c r="O2292" s="26">
        <v>46026</v>
      </c>
      <c r="P2292" s="2" t="s">
        <v>2105</v>
      </c>
      <c r="Q2292" s="2" t="s">
        <v>806</v>
      </c>
    </row>
    <row r="2293" spans="2:17" x14ac:dyDescent="0.25">
      <c r="B2293" s="2" t="s">
        <v>3098</v>
      </c>
      <c r="C2293" s="2" t="s">
        <v>263</v>
      </c>
      <c r="D2293" s="2" t="s">
        <v>264</v>
      </c>
      <c r="E2293" s="2" t="s">
        <v>256</v>
      </c>
      <c r="F2293" s="2" t="s">
        <v>535</v>
      </c>
      <c r="G2293" s="2" t="s">
        <v>475</v>
      </c>
      <c r="H2293" s="2" t="s">
        <v>476</v>
      </c>
      <c r="I2293" s="26">
        <v>45832</v>
      </c>
      <c r="J2293" s="2">
        <v>23</v>
      </c>
      <c r="K2293" s="2" t="s">
        <v>123</v>
      </c>
      <c r="L2293" s="22">
        <v>9250</v>
      </c>
      <c r="M2293" s="22">
        <v>212750</v>
      </c>
      <c r="N2293" s="18">
        <v>227.54</v>
      </c>
      <c r="O2293" s="26">
        <v>46042</v>
      </c>
      <c r="P2293" s="2" t="s">
        <v>2105</v>
      </c>
      <c r="Q2293" s="2" t="s">
        <v>806</v>
      </c>
    </row>
    <row r="2294" spans="2:17" x14ac:dyDescent="0.25">
      <c r="B2294" s="2" t="s">
        <v>3099</v>
      </c>
      <c r="C2294" s="2" t="s">
        <v>265</v>
      </c>
      <c r="D2294" s="2" t="s">
        <v>266</v>
      </c>
      <c r="E2294" s="2" t="s">
        <v>256</v>
      </c>
      <c r="F2294" s="2" t="s">
        <v>535</v>
      </c>
      <c r="G2294" s="2" t="s">
        <v>475</v>
      </c>
      <c r="H2294" s="2" t="s">
        <v>476</v>
      </c>
      <c r="I2294" s="26">
        <v>45128</v>
      </c>
      <c r="J2294" s="2">
        <v>20</v>
      </c>
      <c r="K2294" s="2" t="s">
        <v>123</v>
      </c>
      <c r="L2294" s="22">
        <v>8500</v>
      </c>
      <c r="M2294" s="22">
        <v>170000</v>
      </c>
      <c r="N2294" s="18">
        <v>181.82</v>
      </c>
      <c r="O2294" s="26">
        <v>45338</v>
      </c>
      <c r="P2294" s="2" t="s">
        <v>2105</v>
      </c>
      <c r="Q2294" s="2" t="s">
        <v>806</v>
      </c>
    </row>
    <row r="2295" spans="2:17" x14ac:dyDescent="0.25">
      <c r="B2295" s="2" t="s">
        <v>3100</v>
      </c>
      <c r="C2295" s="2" t="s">
        <v>265</v>
      </c>
      <c r="D2295" s="2" t="s">
        <v>266</v>
      </c>
      <c r="E2295" s="2" t="s">
        <v>256</v>
      </c>
      <c r="F2295" s="2" t="s">
        <v>535</v>
      </c>
      <c r="G2295" s="2" t="s">
        <v>475</v>
      </c>
      <c r="H2295" s="2" t="s">
        <v>476</v>
      </c>
      <c r="I2295" s="26">
        <v>45150</v>
      </c>
      <c r="J2295" s="2">
        <v>22</v>
      </c>
      <c r="K2295" s="2" t="s">
        <v>123</v>
      </c>
      <c r="L2295" s="22">
        <v>8500</v>
      </c>
      <c r="M2295" s="22">
        <v>187000</v>
      </c>
      <c r="N2295" s="18">
        <v>200</v>
      </c>
      <c r="O2295" s="26">
        <v>45360</v>
      </c>
      <c r="P2295" s="2" t="s">
        <v>2105</v>
      </c>
      <c r="Q2295" s="2" t="s">
        <v>806</v>
      </c>
    </row>
    <row r="2296" spans="2:17" x14ac:dyDescent="0.25">
      <c r="B2296" s="2" t="s">
        <v>3101</v>
      </c>
      <c r="C2296" s="2" t="s">
        <v>265</v>
      </c>
      <c r="D2296" s="2" t="s">
        <v>266</v>
      </c>
      <c r="E2296" s="2" t="s">
        <v>256</v>
      </c>
      <c r="F2296" s="2" t="s">
        <v>535</v>
      </c>
      <c r="G2296" s="2" t="s">
        <v>475</v>
      </c>
      <c r="H2296" s="2" t="s">
        <v>476</v>
      </c>
      <c r="I2296" s="26">
        <v>45169</v>
      </c>
      <c r="J2296" s="2">
        <v>19</v>
      </c>
      <c r="K2296" s="2" t="s">
        <v>123</v>
      </c>
      <c r="L2296" s="22">
        <v>8500</v>
      </c>
      <c r="M2296" s="22">
        <v>161500</v>
      </c>
      <c r="N2296" s="18">
        <v>172.73</v>
      </c>
      <c r="O2296" s="26">
        <v>45379</v>
      </c>
      <c r="P2296" s="2" t="s">
        <v>2105</v>
      </c>
      <c r="Q2296" s="2" t="s">
        <v>806</v>
      </c>
    </row>
    <row r="2297" spans="2:17" x14ac:dyDescent="0.25">
      <c r="B2297" s="2" t="s">
        <v>3102</v>
      </c>
      <c r="C2297" s="2" t="s">
        <v>265</v>
      </c>
      <c r="D2297" s="2" t="s">
        <v>266</v>
      </c>
      <c r="E2297" s="2" t="s">
        <v>256</v>
      </c>
      <c r="F2297" s="2" t="s">
        <v>537</v>
      </c>
      <c r="G2297" s="2" t="s">
        <v>485</v>
      </c>
      <c r="H2297" s="2" t="s">
        <v>486</v>
      </c>
      <c r="I2297" s="26">
        <v>45196</v>
      </c>
      <c r="J2297" s="2">
        <v>23</v>
      </c>
      <c r="K2297" s="2" t="s">
        <v>123</v>
      </c>
      <c r="L2297" s="22">
        <v>8800</v>
      </c>
      <c r="M2297" s="22">
        <v>202400</v>
      </c>
      <c r="N2297" s="18">
        <v>216.47</v>
      </c>
      <c r="O2297" s="26">
        <v>45406</v>
      </c>
      <c r="P2297" s="2" t="s">
        <v>2105</v>
      </c>
      <c r="Q2297" s="2" t="s">
        <v>814</v>
      </c>
    </row>
    <row r="2298" spans="2:17" x14ac:dyDescent="0.25">
      <c r="B2298" s="2" t="s">
        <v>3103</v>
      </c>
      <c r="C2298" s="2" t="s">
        <v>265</v>
      </c>
      <c r="D2298" s="2" t="s">
        <v>266</v>
      </c>
      <c r="E2298" s="2" t="s">
        <v>256</v>
      </c>
      <c r="F2298" s="2" t="s">
        <v>535</v>
      </c>
      <c r="G2298" s="2" t="s">
        <v>475</v>
      </c>
      <c r="H2298" s="2" t="s">
        <v>476</v>
      </c>
      <c r="I2298" s="26">
        <v>45211</v>
      </c>
      <c r="J2298" s="2">
        <v>8</v>
      </c>
      <c r="K2298" s="2" t="s">
        <v>123</v>
      </c>
      <c r="L2298" s="22">
        <v>8500</v>
      </c>
      <c r="M2298" s="22">
        <v>68000</v>
      </c>
      <c r="N2298" s="18">
        <v>72.73</v>
      </c>
      <c r="O2298" s="26">
        <v>45421</v>
      </c>
      <c r="P2298" s="2" t="s">
        <v>2105</v>
      </c>
      <c r="Q2298" s="2" t="s">
        <v>814</v>
      </c>
    </row>
    <row r="2299" spans="2:17" x14ac:dyDescent="0.25">
      <c r="B2299" s="2" t="s">
        <v>3104</v>
      </c>
      <c r="C2299" s="2" t="s">
        <v>265</v>
      </c>
      <c r="D2299" s="2" t="s">
        <v>266</v>
      </c>
      <c r="E2299" s="2" t="s">
        <v>256</v>
      </c>
      <c r="F2299" s="2" t="s">
        <v>537</v>
      </c>
      <c r="G2299" s="2" t="s">
        <v>485</v>
      </c>
      <c r="H2299" s="2" t="s">
        <v>486</v>
      </c>
      <c r="I2299" s="26">
        <v>45226</v>
      </c>
      <c r="J2299" s="2">
        <v>8</v>
      </c>
      <c r="K2299" s="2" t="s">
        <v>123</v>
      </c>
      <c r="L2299" s="22">
        <v>8800</v>
      </c>
      <c r="M2299" s="22">
        <v>70400</v>
      </c>
      <c r="N2299" s="18">
        <v>75.290000000000006</v>
      </c>
      <c r="O2299" s="26">
        <v>45436</v>
      </c>
      <c r="P2299" s="2" t="s">
        <v>2105</v>
      </c>
      <c r="Q2299" s="2" t="s">
        <v>814</v>
      </c>
    </row>
    <row r="2300" spans="2:17" x14ac:dyDescent="0.25">
      <c r="B2300" s="2" t="s">
        <v>3105</v>
      </c>
      <c r="C2300" s="2" t="s">
        <v>265</v>
      </c>
      <c r="D2300" s="2" t="s">
        <v>266</v>
      </c>
      <c r="E2300" s="2" t="s">
        <v>256</v>
      </c>
      <c r="F2300" s="2" t="s">
        <v>535</v>
      </c>
      <c r="G2300" s="2" t="s">
        <v>475</v>
      </c>
      <c r="H2300" s="2" t="s">
        <v>476</v>
      </c>
      <c r="I2300" s="26">
        <v>45250</v>
      </c>
      <c r="J2300" s="2">
        <v>8</v>
      </c>
      <c r="K2300" s="2" t="s">
        <v>123</v>
      </c>
      <c r="L2300" s="22">
        <v>8500</v>
      </c>
      <c r="M2300" s="22">
        <v>68000</v>
      </c>
      <c r="N2300" s="18">
        <v>72.73</v>
      </c>
      <c r="O2300" s="26">
        <v>45460</v>
      </c>
      <c r="P2300" s="2" t="s">
        <v>2105</v>
      </c>
      <c r="Q2300" s="2" t="s">
        <v>814</v>
      </c>
    </row>
    <row r="2301" spans="2:17" x14ac:dyDescent="0.25">
      <c r="B2301" s="2" t="s">
        <v>3106</v>
      </c>
      <c r="C2301" s="2" t="s">
        <v>265</v>
      </c>
      <c r="D2301" s="2" t="s">
        <v>266</v>
      </c>
      <c r="E2301" s="2" t="s">
        <v>256</v>
      </c>
      <c r="F2301" s="2" t="s">
        <v>535</v>
      </c>
      <c r="G2301" s="2" t="s">
        <v>475</v>
      </c>
      <c r="H2301" s="2" t="s">
        <v>476</v>
      </c>
      <c r="I2301" s="26">
        <v>45272</v>
      </c>
      <c r="J2301" s="2">
        <v>8</v>
      </c>
      <c r="K2301" s="2" t="s">
        <v>123</v>
      </c>
      <c r="L2301" s="22">
        <v>8500</v>
      </c>
      <c r="M2301" s="22">
        <v>68000</v>
      </c>
      <c r="N2301" s="18">
        <v>72.73</v>
      </c>
      <c r="O2301" s="26">
        <v>45482</v>
      </c>
      <c r="P2301" s="2" t="s">
        <v>2105</v>
      </c>
      <c r="Q2301" s="2" t="s">
        <v>825</v>
      </c>
    </row>
    <row r="2302" spans="2:17" x14ac:dyDescent="0.25">
      <c r="B2302" s="2" t="s">
        <v>3107</v>
      </c>
      <c r="C2302" s="2" t="s">
        <v>265</v>
      </c>
      <c r="D2302" s="2" t="s">
        <v>266</v>
      </c>
      <c r="E2302" s="2" t="s">
        <v>256</v>
      </c>
      <c r="F2302" s="2" t="s">
        <v>535</v>
      </c>
      <c r="G2302" s="2" t="s">
        <v>475</v>
      </c>
      <c r="H2302" s="2" t="s">
        <v>476</v>
      </c>
      <c r="I2302" s="26">
        <v>45291</v>
      </c>
      <c r="J2302" s="2">
        <v>10</v>
      </c>
      <c r="K2302" s="2" t="s">
        <v>123</v>
      </c>
      <c r="L2302" s="22">
        <v>8500</v>
      </c>
      <c r="M2302" s="22">
        <v>85000</v>
      </c>
      <c r="N2302" s="18">
        <v>90.91</v>
      </c>
      <c r="O2302" s="26">
        <v>45501</v>
      </c>
      <c r="P2302" s="2" t="s">
        <v>2105</v>
      </c>
      <c r="Q2302" s="2" t="s">
        <v>825</v>
      </c>
    </row>
    <row r="2303" spans="2:17" x14ac:dyDescent="0.25">
      <c r="B2303" s="2" t="s">
        <v>3108</v>
      </c>
      <c r="C2303" s="2" t="s">
        <v>265</v>
      </c>
      <c r="D2303" s="2" t="s">
        <v>266</v>
      </c>
      <c r="E2303" s="2" t="s">
        <v>256</v>
      </c>
      <c r="F2303" s="2" t="s">
        <v>535</v>
      </c>
      <c r="G2303" s="2" t="s">
        <v>475</v>
      </c>
      <c r="H2303" s="2" t="s">
        <v>476</v>
      </c>
      <c r="I2303" s="26">
        <v>45307</v>
      </c>
      <c r="J2303" s="2">
        <v>6</v>
      </c>
      <c r="K2303" s="2" t="s">
        <v>123</v>
      </c>
      <c r="L2303" s="22">
        <v>8500</v>
      </c>
      <c r="M2303" s="22">
        <v>51000</v>
      </c>
      <c r="N2303" s="18">
        <v>54.55</v>
      </c>
      <c r="O2303" s="26">
        <v>45517</v>
      </c>
      <c r="P2303" s="2" t="s">
        <v>2105</v>
      </c>
      <c r="Q2303" s="2" t="s">
        <v>825</v>
      </c>
    </row>
    <row r="2304" spans="2:17" x14ac:dyDescent="0.25">
      <c r="B2304" s="2" t="s">
        <v>3109</v>
      </c>
      <c r="C2304" s="2" t="s">
        <v>265</v>
      </c>
      <c r="D2304" s="2" t="s">
        <v>266</v>
      </c>
      <c r="E2304" s="2" t="s">
        <v>256</v>
      </c>
      <c r="F2304" s="2" t="s">
        <v>535</v>
      </c>
      <c r="G2304" s="2" t="s">
        <v>475</v>
      </c>
      <c r="H2304" s="2" t="s">
        <v>476</v>
      </c>
      <c r="I2304" s="26">
        <v>45329</v>
      </c>
      <c r="J2304" s="2">
        <v>7</v>
      </c>
      <c r="K2304" s="2" t="s">
        <v>123</v>
      </c>
      <c r="L2304" s="22">
        <v>8500</v>
      </c>
      <c r="M2304" s="22">
        <v>59500</v>
      </c>
      <c r="N2304" s="18">
        <v>63.64</v>
      </c>
      <c r="O2304" s="26">
        <v>45539</v>
      </c>
      <c r="P2304" s="2" t="s">
        <v>2105</v>
      </c>
      <c r="Q2304" s="2" t="s">
        <v>825</v>
      </c>
    </row>
    <row r="2305" spans="2:17" x14ac:dyDescent="0.25">
      <c r="B2305" s="2" t="s">
        <v>3110</v>
      </c>
      <c r="C2305" s="2" t="s">
        <v>265</v>
      </c>
      <c r="D2305" s="2" t="s">
        <v>266</v>
      </c>
      <c r="E2305" s="2" t="s">
        <v>256</v>
      </c>
      <c r="F2305" s="2" t="s">
        <v>535</v>
      </c>
      <c r="G2305" s="2" t="s">
        <v>475</v>
      </c>
      <c r="H2305" s="2" t="s">
        <v>476</v>
      </c>
      <c r="I2305" s="26">
        <v>45353</v>
      </c>
      <c r="J2305" s="2">
        <v>8</v>
      </c>
      <c r="K2305" s="2" t="s">
        <v>123</v>
      </c>
      <c r="L2305" s="22">
        <v>8500</v>
      </c>
      <c r="M2305" s="22">
        <v>68000</v>
      </c>
      <c r="N2305" s="18">
        <v>72.73</v>
      </c>
      <c r="O2305" s="26">
        <v>45563</v>
      </c>
      <c r="P2305" s="2" t="s">
        <v>2105</v>
      </c>
      <c r="Q2305" s="2" t="s">
        <v>836</v>
      </c>
    </row>
    <row r="2306" spans="2:17" x14ac:dyDescent="0.25">
      <c r="B2306" s="2" t="s">
        <v>3111</v>
      </c>
      <c r="C2306" s="2" t="s">
        <v>265</v>
      </c>
      <c r="D2306" s="2" t="s">
        <v>266</v>
      </c>
      <c r="E2306" s="2" t="s">
        <v>256</v>
      </c>
      <c r="F2306" s="2" t="s">
        <v>535</v>
      </c>
      <c r="G2306" s="2" t="s">
        <v>475</v>
      </c>
      <c r="H2306" s="2" t="s">
        <v>476</v>
      </c>
      <c r="I2306" s="26">
        <v>45371</v>
      </c>
      <c r="J2306" s="2">
        <v>7</v>
      </c>
      <c r="K2306" s="2" t="s">
        <v>123</v>
      </c>
      <c r="L2306" s="22">
        <v>8500</v>
      </c>
      <c r="M2306" s="22">
        <v>59500</v>
      </c>
      <c r="N2306" s="18">
        <v>63.64</v>
      </c>
      <c r="O2306" s="26">
        <v>45581</v>
      </c>
      <c r="P2306" s="2" t="s">
        <v>2105</v>
      </c>
      <c r="Q2306" s="2" t="s">
        <v>836</v>
      </c>
    </row>
    <row r="2307" spans="2:17" x14ac:dyDescent="0.25">
      <c r="B2307" s="2" t="s">
        <v>3112</v>
      </c>
      <c r="C2307" s="2" t="s">
        <v>265</v>
      </c>
      <c r="D2307" s="2" t="s">
        <v>266</v>
      </c>
      <c r="E2307" s="2" t="s">
        <v>256</v>
      </c>
      <c r="F2307" s="2" t="s">
        <v>535</v>
      </c>
      <c r="G2307" s="2" t="s">
        <v>475</v>
      </c>
      <c r="H2307" s="2" t="s">
        <v>476</v>
      </c>
      <c r="I2307" s="26">
        <v>45390</v>
      </c>
      <c r="J2307" s="2">
        <v>20</v>
      </c>
      <c r="K2307" s="2" t="s">
        <v>123</v>
      </c>
      <c r="L2307" s="22">
        <v>8500</v>
      </c>
      <c r="M2307" s="22">
        <v>170000</v>
      </c>
      <c r="N2307" s="18">
        <v>181.82</v>
      </c>
      <c r="O2307" s="26">
        <v>45600</v>
      </c>
      <c r="P2307" s="2" t="s">
        <v>2105</v>
      </c>
      <c r="Q2307" s="2" t="s">
        <v>836</v>
      </c>
    </row>
    <row r="2308" spans="2:17" x14ac:dyDescent="0.25">
      <c r="B2308" s="2" t="s">
        <v>3113</v>
      </c>
      <c r="C2308" s="2" t="s">
        <v>265</v>
      </c>
      <c r="D2308" s="2" t="s">
        <v>266</v>
      </c>
      <c r="E2308" s="2" t="s">
        <v>256</v>
      </c>
      <c r="F2308" s="2" t="s">
        <v>535</v>
      </c>
      <c r="G2308" s="2" t="s">
        <v>475</v>
      </c>
      <c r="H2308" s="2" t="s">
        <v>476</v>
      </c>
      <c r="I2308" s="26">
        <v>45411</v>
      </c>
      <c r="J2308" s="2">
        <v>22</v>
      </c>
      <c r="K2308" s="2" t="s">
        <v>123</v>
      </c>
      <c r="L2308" s="22">
        <v>8500</v>
      </c>
      <c r="M2308" s="22">
        <v>187000</v>
      </c>
      <c r="N2308" s="18">
        <v>200</v>
      </c>
      <c r="O2308" s="26">
        <v>45621</v>
      </c>
      <c r="P2308" s="2" t="s">
        <v>2105</v>
      </c>
      <c r="Q2308" s="2" t="s">
        <v>836</v>
      </c>
    </row>
    <row r="2309" spans="2:17" x14ac:dyDescent="0.25">
      <c r="B2309" s="2" t="s">
        <v>3114</v>
      </c>
      <c r="C2309" s="2" t="s">
        <v>265</v>
      </c>
      <c r="D2309" s="2" t="s">
        <v>266</v>
      </c>
      <c r="E2309" s="2" t="s">
        <v>256</v>
      </c>
      <c r="F2309" s="2" t="s">
        <v>535</v>
      </c>
      <c r="G2309" s="2" t="s">
        <v>475</v>
      </c>
      <c r="H2309" s="2" t="s">
        <v>476</v>
      </c>
      <c r="I2309" s="26">
        <v>45429</v>
      </c>
      <c r="J2309" s="2">
        <v>22</v>
      </c>
      <c r="K2309" s="2" t="s">
        <v>123</v>
      </c>
      <c r="L2309" s="22">
        <v>8500</v>
      </c>
      <c r="M2309" s="22">
        <v>187000</v>
      </c>
      <c r="N2309" s="18">
        <v>200</v>
      </c>
      <c r="O2309" s="26">
        <v>45639</v>
      </c>
      <c r="P2309" s="2" t="s">
        <v>2105</v>
      </c>
      <c r="Q2309" s="2" t="s">
        <v>836</v>
      </c>
    </row>
    <row r="2310" spans="2:17" x14ac:dyDescent="0.25">
      <c r="B2310" s="2" t="s">
        <v>3115</v>
      </c>
      <c r="C2310" s="2" t="s">
        <v>265</v>
      </c>
      <c r="D2310" s="2" t="s">
        <v>266</v>
      </c>
      <c r="E2310" s="2" t="s">
        <v>256</v>
      </c>
      <c r="F2310" s="2" t="s">
        <v>535</v>
      </c>
      <c r="G2310" s="2" t="s">
        <v>475</v>
      </c>
      <c r="H2310" s="2" t="s">
        <v>476</v>
      </c>
      <c r="I2310" s="26">
        <v>45449</v>
      </c>
      <c r="J2310" s="2">
        <v>19</v>
      </c>
      <c r="K2310" s="2" t="s">
        <v>123</v>
      </c>
      <c r="L2310" s="22">
        <v>8500</v>
      </c>
      <c r="M2310" s="22">
        <v>161500</v>
      </c>
      <c r="N2310" s="18">
        <v>172.73</v>
      </c>
      <c r="O2310" s="26">
        <v>45659</v>
      </c>
      <c r="P2310" s="2" t="s">
        <v>2105</v>
      </c>
      <c r="Q2310" s="2" t="s">
        <v>806</v>
      </c>
    </row>
    <row r="2311" spans="2:17" x14ac:dyDescent="0.25">
      <c r="B2311" s="2" t="s">
        <v>3116</v>
      </c>
      <c r="C2311" s="2" t="s">
        <v>265</v>
      </c>
      <c r="D2311" s="2" t="s">
        <v>266</v>
      </c>
      <c r="E2311" s="2" t="s">
        <v>256</v>
      </c>
      <c r="F2311" s="2" t="s">
        <v>535</v>
      </c>
      <c r="G2311" s="2" t="s">
        <v>475</v>
      </c>
      <c r="H2311" s="2" t="s">
        <v>476</v>
      </c>
      <c r="I2311" s="26">
        <v>45469</v>
      </c>
      <c r="J2311" s="2">
        <v>19</v>
      </c>
      <c r="K2311" s="2" t="s">
        <v>123</v>
      </c>
      <c r="L2311" s="22">
        <v>8500</v>
      </c>
      <c r="M2311" s="22">
        <v>161500</v>
      </c>
      <c r="N2311" s="18">
        <v>172.73</v>
      </c>
      <c r="O2311" s="26">
        <v>45679</v>
      </c>
      <c r="P2311" s="2" t="s">
        <v>2105</v>
      </c>
      <c r="Q2311" s="2" t="s">
        <v>806</v>
      </c>
    </row>
    <row r="2312" spans="2:17" x14ac:dyDescent="0.25">
      <c r="B2312" s="2" t="s">
        <v>3117</v>
      </c>
      <c r="C2312" s="2" t="s">
        <v>265</v>
      </c>
      <c r="D2312" s="2" t="s">
        <v>266</v>
      </c>
      <c r="E2312" s="2" t="s">
        <v>256</v>
      </c>
      <c r="F2312" s="2" t="s">
        <v>535</v>
      </c>
      <c r="G2312" s="2" t="s">
        <v>475</v>
      </c>
      <c r="H2312" s="2" t="s">
        <v>476</v>
      </c>
      <c r="I2312" s="26">
        <v>45489</v>
      </c>
      <c r="J2312" s="2">
        <v>19</v>
      </c>
      <c r="K2312" s="2" t="s">
        <v>123</v>
      </c>
      <c r="L2312" s="22">
        <v>8500</v>
      </c>
      <c r="M2312" s="22">
        <v>161500</v>
      </c>
      <c r="N2312" s="18">
        <v>172.73</v>
      </c>
      <c r="O2312" s="26">
        <v>45699</v>
      </c>
      <c r="P2312" s="2" t="s">
        <v>2105</v>
      </c>
      <c r="Q2312" s="2" t="s">
        <v>806</v>
      </c>
    </row>
    <row r="2313" spans="2:17" x14ac:dyDescent="0.25">
      <c r="B2313" s="2" t="s">
        <v>3118</v>
      </c>
      <c r="C2313" s="2" t="s">
        <v>265</v>
      </c>
      <c r="D2313" s="2" t="s">
        <v>266</v>
      </c>
      <c r="E2313" s="2" t="s">
        <v>256</v>
      </c>
      <c r="F2313" s="2" t="s">
        <v>535</v>
      </c>
      <c r="G2313" s="2" t="s">
        <v>475</v>
      </c>
      <c r="H2313" s="2" t="s">
        <v>476</v>
      </c>
      <c r="I2313" s="26">
        <v>45513</v>
      </c>
      <c r="J2313" s="2">
        <v>19</v>
      </c>
      <c r="K2313" s="2" t="s">
        <v>123</v>
      </c>
      <c r="L2313" s="22">
        <v>8500</v>
      </c>
      <c r="M2313" s="22">
        <v>161500</v>
      </c>
      <c r="N2313" s="18">
        <v>172.73</v>
      </c>
      <c r="O2313" s="26">
        <v>45723</v>
      </c>
      <c r="P2313" s="2" t="s">
        <v>2105</v>
      </c>
      <c r="Q2313" s="2" t="s">
        <v>806</v>
      </c>
    </row>
    <row r="2314" spans="2:17" x14ac:dyDescent="0.25">
      <c r="B2314" s="2" t="s">
        <v>3119</v>
      </c>
      <c r="C2314" s="2" t="s">
        <v>265</v>
      </c>
      <c r="D2314" s="2" t="s">
        <v>266</v>
      </c>
      <c r="E2314" s="2" t="s">
        <v>256</v>
      </c>
      <c r="F2314" s="2" t="s">
        <v>535</v>
      </c>
      <c r="G2314" s="2" t="s">
        <v>475</v>
      </c>
      <c r="H2314" s="2" t="s">
        <v>476</v>
      </c>
      <c r="I2314" s="26">
        <v>45535</v>
      </c>
      <c r="J2314" s="2">
        <v>20</v>
      </c>
      <c r="K2314" s="2" t="s">
        <v>123</v>
      </c>
      <c r="L2314" s="22">
        <v>8500</v>
      </c>
      <c r="M2314" s="22">
        <v>170000</v>
      </c>
      <c r="N2314" s="18">
        <v>181.82</v>
      </c>
      <c r="O2314" s="26">
        <v>45745</v>
      </c>
      <c r="P2314" s="2" t="s">
        <v>2105</v>
      </c>
      <c r="Q2314" s="2" t="s">
        <v>806</v>
      </c>
    </row>
    <row r="2315" spans="2:17" x14ac:dyDescent="0.25">
      <c r="B2315" s="2" t="s">
        <v>3120</v>
      </c>
      <c r="C2315" s="2" t="s">
        <v>265</v>
      </c>
      <c r="D2315" s="2" t="s">
        <v>266</v>
      </c>
      <c r="E2315" s="2" t="s">
        <v>256</v>
      </c>
      <c r="F2315" s="2" t="s">
        <v>535</v>
      </c>
      <c r="G2315" s="2" t="s">
        <v>475</v>
      </c>
      <c r="H2315" s="2" t="s">
        <v>476</v>
      </c>
      <c r="I2315" s="26">
        <v>45555</v>
      </c>
      <c r="J2315" s="2">
        <v>27</v>
      </c>
      <c r="K2315" s="2" t="s">
        <v>123</v>
      </c>
      <c r="L2315" s="22">
        <v>8500</v>
      </c>
      <c r="M2315" s="22">
        <v>229500</v>
      </c>
      <c r="N2315" s="18">
        <v>245.45</v>
      </c>
      <c r="O2315" s="26">
        <v>45765</v>
      </c>
      <c r="P2315" s="2" t="s">
        <v>2105</v>
      </c>
      <c r="Q2315" s="2" t="s">
        <v>814</v>
      </c>
    </row>
    <row r="2316" spans="2:17" x14ac:dyDescent="0.25">
      <c r="B2316" s="2" t="s">
        <v>3121</v>
      </c>
      <c r="C2316" s="2" t="s">
        <v>265</v>
      </c>
      <c r="D2316" s="2" t="s">
        <v>266</v>
      </c>
      <c r="E2316" s="2" t="s">
        <v>256</v>
      </c>
      <c r="F2316" s="2" t="s">
        <v>535</v>
      </c>
      <c r="G2316" s="2" t="s">
        <v>475</v>
      </c>
      <c r="H2316" s="2" t="s">
        <v>476</v>
      </c>
      <c r="I2316" s="26">
        <v>45576</v>
      </c>
      <c r="J2316" s="2">
        <v>7</v>
      </c>
      <c r="K2316" s="2" t="s">
        <v>123</v>
      </c>
      <c r="L2316" s="22">
        <v>8500</v>
      </c>
      <c r="M2316" s="22">
        <v>59500</v>
      </c>
      <c r="N2316" s="18">
        <v>63.64</v>
      </c>
      <c r="O2316" s="26">
        <v>45786</v>
      </c>
      <c r="P2316" s="2" t="s">
        <v>2105</v>
      </c>
      <c r="Q2316" s="2" t="s">
        <v>814</v>
      </c>
    </row>
    <row r="2317" spans="2:17" x14ac:dyDescent="0.25">
      <c r="B2317" s="2" t="s">
        <v>3122</v>
      </c>
      <c r="C2317" s="2" t="s">
        <v>265</v>
      </c>
      <c r="D2317" s="2" t="s">
        <v>266</v>
      </c>
      <c r="E2317" s="2" t="s">
        <v>256</v>
      </c>
      <c r="F2317" s="2" t="s">
        <v>535</v>
      </c>
      <c r="G2317" s="2" t="s">
        <v>475</v>
      </c>
      <c r="H2317" s="2" t="s">
        <v>476</v>
      </c>
      <c r="I2317" s="26">
        <v>45595</v>
      </c>
      <c r="J2317" s="2">
        <v>7</v>
      </c>
      <c r="K2317" s="2" t="s">
        <v>123</v>
      </c>
      <c r="L2317" s="22">
        <v>8500</v>
      </c>
      <c r="M2317" s="22">
        <v>59500</v>
      </c>
      <c r="N2317" s="18">
        <v>63.64</v>
      </c>
      <c r="O2317" s="26">
        <v>45805</v>
      </c>
      <c r="P2317" s="2" t="s">
        <v>2105</v>
      </c>
      <c r="Q2317" s="2" t="s">
        <v>814</v>
      </c>
    </row>
    <row r="2318" spans="2:17" x14ac:dyDescent="0.25">
      <c r="B2318" s="2" t="s">
        <v>3123</v>
      </c>
      <c r="C2318" s="2" t="s">
        <v>265</v>
      </c>
      <c r="D2318" s="2" t="s">
        <v>266</v>
      </c>
      <c r="E2318" s="2" t="s">
        <v>256</v>
      </c>
      <c r="F2318" s="2" t="s">
        <v>535</v>
      </c>
      <c r="G2318" s="2" t="s">
        <v>475</v>
      </c>
      <c r="H2318" s="2" t="s">
        <v>476</v>
      </c>
      <c r="I2318" s="26">
        <v>45616</v>
      </c>
      <c r="J2318" s="2">
        <v>7</v>
      </c>
      <c r="K2318" s="2" t="s">
        <v>123</v>
      </c>
      <c r="L2318" s="22">
        <v>8500</v>
      </c>
      <c r="M2318" s="22">
        <v>59500</v>
      </c>
      <c r="N2318" s="18">
        <v>63.64</v>
      </c>
      <c r="O2318" s="26">
        <v>45826</v>
      </c>
      <c r="P2318" s="2" t="s">
        <v>2105</v>
      </c>
      <c r="Q2318" s="2" t="s">
        <v>814</v>
      </c>
    </row>
    <row r="2319" spans="2:17" x14ac:dyDescent="0.25">
      <c r="B2319" s="2" t="s">
        <v>3124</v>
      </c>
      <c r="C2319" s="2" t="s">
        <v>265</v>
      </c>
      <c r="D2319" s="2" t="s">
        <v>266</v>
      </c>
      <c r="E2319" s="2" t="s">
        <v>256</v>
      </c>
      <c r="F2319" s="2" t="s">
        <v>535</v>
      </c>
      <c r="G2319" s="2" t="s">
        <v>475</v>
      </c>
      <c r="H2319" s="2" t="s">
        <v>476</v>
      </c>
      <c r="I2319" s="26">
        <v>45634</v>
      </c>
      <c r="J2319" s="2">
        <v>10</v>
      </c>
      <c r="K2319" s="2" t="s">
        <v>123</v>
      </c>
      <c r="L2319" s="22">
        <v>8500</v>
      </c>
      <c r="M2319" s="22">
        <v>85000</v>
      </c>
      <c r="N2319" s="18">
        <v>90.91</v>
      </c>
      <c r="O2319" s="26">
        <v>45844</v>
      </c>
      <c r="P2319" s="2" t="s">
        <v>2105</v>
      </c>
      <c r="Q2319" s="2" t="s">
        <v>825</v>
      </c>
    </row>
    <row r="2320" spans="2:17" x14ac:dyDescent="0.25">
      <c r="B2320" s="2" t="s">
        <v>3125</v>
      </c>
      <c r="C2320" s="2" t="s">
        <v>265</v>
      </c>
      <c r="D2320" s="2" t="s">
        <v>266</v>
      </c>
      <c r="E2320" s="2" t="s">
        <v>256</v>
      </c>
      <c r="F2320" s="2" t="s">
        <v>535</v>
      </c>
      <c r="G2320" s="2" t="s">
        <v>475</v>
      </c>
      <c r="H2320" s="2" t="s">
        <v>476</v>
      </c>
      <c r="I2320" s="26">
        <v>45651</v>
      </c>
      <c r="J2320" s="2">
        <v>8</v>
      </c>
      <c r="K2320" s="2" t="s">
        <v>123</v>
      </c>
      <c r="L2320" s="22">
        <v>8500</v>
      </c>
      <c r="M2320" s="22">
        <v>68000</v>
      </c>
      <c r="N2320" s="18">
        <v>72.73</v>
      </c>
      <c r="O2320" s="26">
        <v>45861</v>
      </c>
      <c r="P2320" s="2" t="s">
        <v>2105</v>
      </c>
      <c r="Q2320" s="2" t="s">
        <v>825</v>
      </c>
    </row>
    <row r="2321" spans="2:17" x14ac:dyDescent="0.25">
      <c r="B2321" s="2" t="s">
        <v>3126</v>
      </c>
      <c r="C2321" s="2" t="s">
        <v>265</v>
      </c>
      <c r="D2321" s="2" t="s">
        <v>266</v>
      </c>
      <c r="E2321" s="2" t="s">
        <v>256</v>
      </c>
      <c r="F2321" s="2" t="s">
        <v>535</v>
      </c>
      <c r="G2321" s="2" t="s">
        <v>475</v>
      </c>
      <c r="H2321" s="2" t="s">
        <v>476</v>
      </c>
      <c r="I2321" s="26">
        <v>45669</v>
      </c>
      <c r="J2321" s="2">
        <v>7</v>
      </c>
      <c r="K2321" s="2" t="s">
        <v>123</v>
      </c>
      <c r="L2321" s="22">
        <v>8500</v>
      </c>
      <c r="M2321" s="22">
        <v>59500</v>
      </c>
      <c r="N2321" s="18">
        <v>63.64</v>
      </c>
      <c r="O2321" s="26">
        <v>45879</v>
      </c>
      <c r="P2321" s="2" t="s">
        <v>2105</v>
      </c>
      <c r="Q2321" s="2" t="s">
        <v>825</v>
      </c>
    </row>
    <row r="2322" spans="2:17" x14ac:dyDescent="0.25">
      <c r="B2322" s="2" t="s">
        <v>3127</v>
      </c>
      <c r="C2322" s="2" t="s">
        <v>265</v>
      </c>
      <c r="D2322" s="2" t="s">
        <v>266</v>
      </c>
      <c r="E2322" s="2" t="s">
        <v>256</v>
      </c>
      <c r="F2322" s="2" t="s">
        <v>535</v>
      </c>
      <c r="G2322" s="2" t="s">
        <v>475</v>
      </c>
      <c r="H2322" s="2" t="s">
        <v>476</v>
      </c>
      <c r="I2322" s="26">
        <v>45690</v>
      </c>
      <c r="J2322" s="2">
        <v>7</v>
      </c>
      <c r="K2322" s="2" t="s">
        <v>123</v>
      </c>
      <c r="L2322" s="22">
        <v>8500</v>
      </c>
      <c r="M2322" s="22">
        <v>59500</v>
      </c>
      <c r="N2322" s="18">
        <v>63.64</v>
      </c>
      <c r="O2322" s="26">
        <v>45900</v>
      </c>
      <c r="P2322" s="2" t="s">
        <v>2105</v>
      </c>
      <c r="Q2322" s="2" t="s">
        <v>825</v>
      </c>
    </row>
    <row r="2323" spans="2:17" x14ac:dyDescent="0.25">
      <c r="B2323" s="2" t="s">
        <v>3128</v>
      </c>
      <c r="C2323" s="2" t="s">
        <v>265</v>
      </c>
      <c r="D2323" s="2" t="s">
        <v>266</v>
      </c>
      <c r="E2323" s="2" t="s">
        <v>256</v>
      </c>
      <c r="F2323" s="2" t="s">
        <v>535</v>
      </c>
      <c r="G2323" s="2" t="s">
        <v>475</v>
      </c>
      <c r="H2323" s="2" t="s">
        <v>476</v>
      </c>
      <c r="I2323" s="26">
        <v>45713</v>
      </c>
      <c r="J2323" s="2">
        <v>7</v>
      </c>
      <c r="K2323" s="2" t="s">
        <v>123</v>
      </c>
      <c r="L2323" s="22">
        <v>8500</v>
      </c>
      <c r="M2323" s="22">
        <v>59500</v>
      </c>
      <c r="N2323" s="18">
        <v>63.64</v>
      </c>
      <c r="O2323" s="26">
        <v>45923</v>
      </c>
      <c r="P2323" s="2" t="s">
        <v>2105</v>
      </c>
      <c r="Q2323" s="2" t="s">
        <v>825</v>
      </c>
    </row>
    <row r="2324" spans="2:17" x14ac:dyDescent="0.25">
      <c r="B2324" s="2" t="s">
        <v>3129</v>
      </c>
      <c r="C2324" s="2" t="s">
        <v>265</v>
      </c>
      <c r="D2324" s="2" t="s">
        <v>266</v>
      </c>
      <c r="E2324" s="2" t="s">
        <v>256</v>
      </c>
      <c r="F2324" s="2" t="s">
        <v>535</v>
      </c>
      <c r="G2324" s="2" t="s">
        <v>475</v>
      </c>
      <c r="H2324" s="2" t="s">
        <v>476</v>
      </c>
      <c r="I2324" s="26">
        <v>45738</v>
      </c>
      <c r="J2324" s="2">
        <v>8</v>
      </c>
      <c r="K2324" s="2" t="s">
        <v>123</v>
      </c>
      <c r="L2324" s="22">
        <v>8500</v>
      </c>
      <c r="M2324" s="22">
        <v>68000</v>
      </c>
      <c r="N2324" s="18">
        <v>72.73</v>
      </c>
      <c r="O2324" s="26">
        <v>45948</v>
      </c>
      <c r="P2324" s="2" t="s">
        <v>2105</v>
      </c>
      <c r="Q2324" s="2" t="s">
        <v>836</v>
      </c>
    </row>
    <row r="2325" spans="2:17" x14ac:dyDescent="0.25">
      <c r="B2325" s="2" t="s">
        <v>3130</v>
      </c>
      <c r="C2325" s="2" t="s">
        <v>265</v>
      </c>
      <c r="D2325" s="2" t="s">
        <v>266</v>
      </c>
      <c r="E2325" s="2" t="s">
        <v>256</v>
      </c>
      <c r="F2325" s="2" t="s">
        <v>535</v>
      </c>
      <c r="G2325" s="2" t="s">
        <v>475</v>
      </c>
      <c r="H2325" s="2" t="s">
        <v>476</v>
      </c>
      <c r="I2325" s="26">
        <v>45760</v>
      </c>
      <c r="J2325" s="2">
        <v>20</v>
      </c>
      <c r="K2325" s="2" t="s">
        <v>123</v>
      </c>
      <c r="L2325" s="22">
        <v>8500</v>
      </c>
      <c r="M2325" s="22">
        <v>170000</v>
      </c>
      <c r="N2325" s="18">
        <v>181.82</v>
      </c>
      <c r="O2325" s="26">
        <v>45970</v>
      </c>
      <c r="P2325" s="2" t="s">
        <v>2105</v>
      </c>
      <c r="Q2325" s="2" t="s">
        <v>836</v>
      </c>
    </row>
    <row r="2326" spans="2:17" x14ac:dyDescent="0.25">
      <c r="B2326" s="2" t="s">
        <v>3131</v>
      </c>
      <c r="C2326" s="2" t="s">
        <v>265</v>
      </c>
      <c r="D2326" s="2" t="s">
        <v>266</v>
      </c>
      <c r="E2326" s="2" t="s">
        <v>256</v>
      </c>
      <c r="F2326" s="2" t="s">
        <v>535</v>
      </c>
      <c r="G2326" s="2" t="s">
        <v>475</v>
      </c>
      <c r="H2326" s="2" t="s">
        <v>476</v>
      </c>
      <c r="I2326" s="26">
        <v>45779</v>
      </c>
      <c r="J2326" s="2">
        <v>20</v>
      </c>
      <c r="K2326" s="2" t="s">
        <v>123</v>
      </c>
      <c r="L2326" s="22">
        <v>8500</v>
      </c>
      <c r="M2326" s="22">
        <v>170000</v>
      </c>
      <c r="N2326" s="18">
        <v>181.82</v>
      </c>
      <c r="O2326" s="26">
        <v>45989</v>
      </c>
      <c r="P2326" s="2" t="s">
        <v>2105</v>
      </c>
      <c r="Q2326" s="2" t="s">
        <v>836</v>
      </c>
    </row>
    <row r="2327" spans="2:17" x14ac:dyDescent="0.25">
      <c r="B2327" s="2" t="s">
        <v>3132</v>
      </c>
      <c r="C2327" s="2" t="s">
        <v>265</v>
      </c>
      <c r="D2327" s="2" t="s">
        <v>266</v>
      </c>
      <c r="E2327" s="2" t="s">
        <v>256</v>
      </c>
      <c r="F2327" s="2" t="s">
        <v>535</v>
      </c>
      <c r="G2327" s="2" t="s">
        <v>475</v>
      </c>
      <c r="H2327" s="2" t="s">
        <v>476</v>
      </c>
      <c r="I2327" s="26">
        <v>45805</v>
      </c>
      <c r="J2327" s="2">
        <v>20</v>
      </c>
      <c r="K2327" s="2" t="s">
        <v>123</v>
      </c>
      <c r="L2327" s="22">
        <v>8500</v>
      </c>
      <c r="M2327" s="22">
        <v>170000</v>
      </c>
      <c r="N2327" s="18">
        <v>181.82</v>
      </c>
      <c r="O2327" s="26">
        <v>46015</v>
      </c>
      <c r="P2327" s="2" t="s">
        <v>2105</v>
      </c>
      <c r="Q2327" s="2" t="s">
        <v>836</v>
      </c>
    </row>
    <row r="2328" spans="2:17" x14ac:dyDescent="0.25">
      <c r="B2328" s="2" t="s">
        <v>3133</v>
      </c>
      <c r="C2328" s="2" t="s">
        <v>265</v>
      </c>
      <c r="D2328" s="2" t="s">
        <v>266</v>
      </c>
      <c r="E2328" s="2" t="s">
        <v>256</v>
      </c>
      <c r="F2328" s="2" t="s">
        <v>535</v>
      </c>
      <c r="G2328" s="2" t="s">
        <v>475</v>
      </c>
      <c r="H2328" s="2" t="s">
        <v>476</v>
      </c>
      <c r="I2328" s="26">
        <v>45824</v>
      </c>
      <c r="J2328" s="2">
        <v>21</v>
      </c>
      <c r="K2328" s="2" t="s">
        <v>123</v>
      </c>
      <c r="L2328" s="22">
        <v>8500</v>
      </c>
      <c r="M2328" s="22">
        <v>178500</v>
      </c>
      <c r="N2328" s="18">
        <v>190.91</v>
      </c>
      <c r="O2328" s="26">
        <v>46034</v>
      </c>
      <c r="P2328" s="2" t="s">
        <v>2105</v>
      </c>
      <c r="Q2328" s="2" t="s">
        <v>806</v>
      </c>
    </row>
    <row r="2329" spans="2:17" x14ac:dyDescent="0.25">
      <c r="B2329" s="2" t="s">
        <v>3134</v>
      </c>
      <c r="C2329" s="2" t="s">
        <v>267</v>
      </c>
      <c r="D2329" s="2" t="s">
        <v>268</v>
      </c>
      <c r="E2329" s="2" t="s">
        <v>256</v>
      </c>
      <c r="F2329" s="2" t="s">
        <v>535</v>
      </c>
      <c r="G2329" s="2" t="s">
        <v>475</v>
      </c>
      <c r="H2329" s="2" t="s">
        <v>476</v>
      </c>
      <c r="I2329" s="26">
        <v>45120</v>
      </c>
      <c r="J2329" s="2">
        <v>17</v>
      </c>
      <c r="K2329" s="2" t="s">
        <v>123</v>
      </c>
      <c r="L2329" s="22">
        <v>5400</v>
      </c>
      <c r="M2329" s="22">
        <v>91800</v>
      </c>
      <c r="N2329" s="18">
        <v>98.18</v>
      </c>
      <c r="O2329" s="26">
        <v>45330</v>
      </c>
      <c r="P2329" s="2" t="s">
        <v>2105</v>
      </c>
      <c r="Q2329" s="2" t="s">
        <v>806</v>
      </c>
    </row>
    <row r="2330" spans="2:17" x14ac:dyDescent="0.25">
      <c r="B2330" s="2" t="s">
        <v>3135</v>
      </c>
      <c r="C2330" s="2" t="s">
        <v>267</v>
      </c>
      <c r="D2330" s="2" t="s">
        <v>268</v>
      </c>
      <c r="E2330" s="2" t="s">
        <v>256</v>
      </c>
      <c r="F2330" s="2" t="s">
        <v>535</v>
      </c>
      <c r="G2330" s="2" t="s">
        <v>475</v>
      </c>
      <c r="H2330" s="2" t="s">
        <v>476</v>
      </c>
      <c r="I2330" s="26">
        <v>45138</v>
      </c>
      <c r="J2330" s="2">
        <v>18</v>
      </c>
      <c r="K2330" s="2" t="s">
        <v>123</v>
      </c>
      <c r="L2330" s="22">
        <v>5400</v>
      </c>
      <c r="M2330" s="22">
        <v>97200</v>
      </c>
      <c r="N2330" s="18">
        <v>103.96</v>
      </c>
      <c r="O2330" s="26">
        <v>45348</v>
      </c>
      <c r="P2330" s="2" t="s">
        <v>2105</v>
      </c>
      <c r="Q2330" s="2" t="s">
        <v>806</v>
      </c>
    </row>
    <row r="2331" spans="2:17" x14ac:dyDescent="0.25">
      <c r="B2331" s="2" t="s">
        <v>3136</v>
      </c>
      <c r="C2331" s="2" t="s">
        <v>267</v>
      </c>
      <c r="D2331" s="2" t="s">
        <v>268</v>
      </c>
      <c r="E2331" s="2" t="s">
        <v>256</v>
      </c>
      <c r="F2331" s="2" t="s">
        <v>537</v>
      </c>
      <c r="G2331" s="2" t="s">
        <v>485</v>
      </c>
      <c r="H2331" s="2" t="s">
        <v>486</v>
      </c>
      <c r="I2331" s="26">
        <v>45160</v>
      </c>
      <c r="J2331" s="2">
        <v>19</v>
      </c>
      <c r="K2331" s="2" t="s">
        <v>123</v>
      </c>
      <c r="L2331" s="22">
        <v>6250</v>
      </c>
      <c r="M2331" s="22">
        <v>118750</v>
      </c>
      <c r="N2331" s="18">
        <v>127.01</v>
      </c>
      <c r="O2331" s="26">
        <v>45370</v>
      </c>
      <c r="P2331" s="2" t="s">
        <v>2105</v>
      </c>
      <c r="Q2331" s="2" t="s">
        <v>806</v>
      </c>
    </row>
    <row r="2332" spans="2:17" x14ac:dyDescent="0.25">
      <c r="B2332" s="2" t="s">
        <v>3137</v>
      </c>
      <c r="C2332" s="2" t="s">
        <v>267</v>
      </c>
      <c r="D2332" s="2" t="s">
        <v>268</v>
      </c>
      <c r="E2332" s="2" t="s">
        <v>256</v>
      </c>
      <c r="F2332" s="2" t="s">
        <v>535</v>
      </c>
      <c r="G2332" s="2" t="s">
        <v>475</v>
      </c>
      <c r="H2332" s="2" t="s">
        <v>476</v>
      </c>
      <c r="I2332" s="26">
        <v>45182</v>
      </c>
      <c r="J2332" s="2">
        <v>23</v>
      </c>
      <c r="K2332" s="2" t="s">
        <v>123</v>
      </c>
      <c r="L2332" s="22">
        <v>5400</v>
      </c>
      <c r="M2332" s="22">
        <v>124200</v>
      </c>
      <c r="N2332" s="18">
        <v>132.83000000000001</v>
      </c>
      <c r="O2332" s="26">
        <v>45392</v>
      </c>
      <c r="P2332" s="2" t="s">
        <v>2105</v>
      </c>
      <c r="Q2332" s="2" t="s">
        <v>814</v>
      </c>
    </row>
    <row r="2333" spans="2:17" x14ac:dyDescent="0.25">
      <c r="B2333" s="2" t="s">
        <v>3138</v>
      </c>
      <c r="C2333" s="2" t="s">
        <v>267</v>
      </c>
      <c r="D2333" s="2" t="s">
        <v>268</v>
      </c>
      <c r="E2333" s="2" t="s">
        <v>256</v>
      </c>
      <c r="F2333" s="2" t="s">
        <v>535</v>
      </c>
      <c r="G2333" s="2" t="s">
        <v>475</v>
      </c>
      <c r="H2333" s="2" t="s">
        <v>476</v>
      </c>
      <c r="I2333" s="26">
        <v>45202</v>
      </c>
      <c r="J2333" s="2">
        <v>8</v>
      </c>
      <c r="K2333" s="2" t="s">
        <v>123</v>
      </c>
      <c r="L2333" s="22">
        <v>5400</v>
      </c>
      <c r="M2333" s="22">
        <v>43200</v>
      </c>
      <c r="N2333" s="18">
        <v>46.2</v>
      </c>
      <c r="O2333" s="26">
        <v>45412</v>
      </c>
      <c r="P2333" s="2" t="s">
        <v>2105</v>
      </c>
      <c r="Q2333" s="2" t="s">
        <v>814</v>
      </c>
    </row>
    <row r="2334" spans="2:17" x14ac:dyDescent="0.25">
      <c r="B2334" s="2" t="s">
        <v>3139</v>
      </c>
      <c r="C2334" s="2" t="s">
        <v>267</v>
      </c>
      <c r="D2334" s="2" t="s">
        <v>268</v>
      </c>
      <c r="E2334" s="2" t="s">
        <v>256</v>
      </c>
      <c r="F2334" s="2" t="s">
        <v>535</v>
      </c>
      <c r="G2334" s="2" t="s">
        <v>475</v>
      </c>
      <c r="H2334" s="2" t="s">
        <v>476</v>
      </c>
      <c r="I2334" s="26">
        <v>45223</v>
      </c>
      <c r="J2334" s="2">
        <v>7</v>
      </c>
      <c r="K2334" s="2" t="s">
        <v>123</v>
      </c>
      <c r="L2334" s="22">
        <v>5400</v>
      </c>
      <c r="M2334" s="22">
        <v>37800</v>
      </c>
      <c r="N2334" s="18">
        <v>40.43</v>
      </c>
      <c r="O2334" s="26">
        <v>45433</v>
      </c>
      <c r="P2334" s="2" t="s">
        <v>2105</v>
      </c>
      <c r="Q2334" s="2" t="s">
        <v>814</v>
      </c>
    </row>
    <row r="2335" spans="2:17" x14ac:dyDescent="0.25">
      <c r="B2335" s="2" t="s">
        <v>3140</v>
      </c>
      <c r="C2335" s="2" t="s">
        <v>267</v>
      </c>
      <c r="D2335" s="2" t="s">
        <v>268</v>
      </c>
      <c r="E2335" s="2" t="s">
        <v>256</v>
      </c>
      <c r="F2335" s="2" t="s">
        <v>535</v>
      </c>
      <c r="G2335" s="2" t="s">
        <v>475</v>
      </c>
      <c r="H2335" s="2" t="s">
        <v>476</v>
      </c>
      <c r="I2335" s="26">
        <v>45248</v>
      </c>
      <c r="J2335" s="2">
        <v>8</v>
      </c>
      <c r="K2335" s="2" t="s">
        <v>123</v>
      </c>
      <c r="L2335" s="22">
        <v>5400</v>
      </c>
      <c r="M2335" s="22">
        <v>43200</v>
      </c>
      <c r="N2335" s="18">
        <v>46.2</v>
      </c>
      <c r="O2335" s="26">
        <v>45458</v>
      </c>
      <c r="P2335" s="2" t="s">
        <v>2105</v>
      </c>
      <c r="Q2335" s="2" t="s">
        <v>814</v>
      </c>
    </row>
    <row r="2336" spans="2:17" x14ac:dyDescent="0.25">
      <c r="B2336" s="2" t="s">
        <v>3141</v>
      </c>
      <c r="C2336" s="2" t="s">
        <v>267</v>
      </c>
      <c r="D2336" s="2" t="s">
        <v>268</v>
      </c>
      <c r="E2336" s="2" t="s">
        <v>256</v>
      </c>
      <c r="F2336" s="2" t="s">
        <v>535</v>
      </c>
      <c r="G2336" s="2" t="s">
        <v>475</v>
      </c>
      <c r="H2336" s="2" t="s">
        <v>476</v>
      </c>
      <c r="I2336" s="26">
        <v>45274</v>
      </c>
      <c r="J2336" s="2">
        <v>10</v>
      </c>
      <c r="K2336" s="2" t="s">
        <v>123</v>
      </c>
      <c r="L2336" s="22">
        <v>5400</v>
      </c>
      <c r="M2336" s="22">
        <v>54000</v>
      </c>
      <c r="N2336" s="18">
        <v>57.75</v>
      </c>
      <c r="O2336" s="26">
        <v>45484</v>
      </c>
      <c r="P2336" s="2" t="s">
        <v>2105</v>
      </c>
      <c r="Q2336" s="2" t="s">
        <v>825</v>
      </c>
    </row>
    <row r="2337" spans="2:17" x14ac:dyDescent="0.25">
      <c r="B2337" s="2" t="s">
        <v>3142</v>
      </c>
      <c r="C2337" s="2" t="s">
        <v>267</v>
      </c>
      <c r="D2337" s="2" t="s">
        <v>268</v>
      </c>
      <c r="E2337" s="2" t="s">
        <v>256</v>
      </c>
      <c r="F2337" s="2" t="s">
        <v>535</v>
      </c>
      <c r="G2337" s="2" t="s">
        <v>475</v>
      </c>
      <c r="H2337" s="2" t="s">
        <v>476</v>
      </c>
      <c r="I2337" s="26">
        <v>45296</v>
      </c>
      <c r="J2337" s="2">
        <v>6</v>
      </c>
      <c r="K2337" s="2" t="s">
        <v>123</v>
      </c>
      <c r="L2337" s="22">
        <v>5400</v>
      </c>
      <c r="M2337" s="22">
        <v>32400</v>
      </c>
      <c r="N2337" s="18">
        <v>34.65</v>
      </c>
      <c r="O2337" s="26">
        <v>45506</v>
      </c>
      <c r="P2337" s="2" t="s">
        <v>2105</v>
      </c>
      <c r="Q2337" s="2" t="s">
        <v>825</v>
      </c>
    </row>
    <row r="2338" spans="2:17" x14ac:dyDescent="0.25">
      <c r="B2338" s="2" t="s">
        <v>3143</v>
      </c>
      <c r="C2338" s="2" t="s">
        <v>267</v>
      </c>
      <c r="D2338" s="2" t="s">
        <v>268</v>
      </c>
      <c r="E2338" s="2" t="s">
        <v>256</v>
      </c>
      <c r="F2338" s="2" t="s">
        <v>535</v>
      </c>
      <c r="G2338" s="2" t="s">
        <v>475</v>
      </c>
      <c r="H2338" s="2" t="s">
        <v>476</v>
      </c>
      <c r="I2338" s="26">
        <v>45319</v>
      </c>
      <c r="J2338" s="2">
        <v>7</v>
      </c>
      <c r="K2338" s="2" t="s">
        <v>123</v>
      </c>
      <c r="L2338" s="22">
        <v>5400</v>
      </c>
      <c r="M2338" s="22">
        <v>37800</v>
      </c>
      <c r="N2338" s="18">
        <v>40.43</v>
      </c>
      <c r="O2338" s="26">
        <v>45529</v>
      </c>
      <c r="P2338" s="2" t="s">
        <v>2105</v>
      </c>
      <c r="Q2338" s="2" t="s">
        <v>825</v>
      </c>
    </row>
    <row r="2339" spans="2:17" x14ac:dyDescent="0.25">
      <c r="B2339" s="2" t="s">
        <v>3144</v>
      </c>
      <c r="C2339" s="2" t="s">
        <v>267</v>
      </c>
      <c r="D2339" s="2" t="s">
        <v>268</v>
      </c>
      <c r="E2339" s="2" t="s">
        <v>256</v>
      </c>
      <c r="F2339" s="2" t="s">
        <v>535</v>
      </c>
      <c r="G2339" s="2" t="s">
        <v>475</v>
      </c>
      <c r="H2339" s="2" t="s">
        <v>476</v>
      </c>
      <c r="I2339" s="26">
        <v>45346</v>
      </c>
      <c r="J2339" s="2">
        <v>8</v>
      </c>
      <c r="K2339" s="2" t="s">
        <v>123</v>
      </c>
      <c r="L2339" s="22">
        <v>5400</v>
      </c>
      <c r="M2339" s="22">
        <v>43200</v>
      </c>
      <c r="N2339" s="18">
        <v>46.2</v>
      </c>
      <c r="O2339" s="26">
        <v>45556</v>
      </c>
      <c r="P2339" s="2" t="s">
        <v>2105</v>
      </c>
      <c r="Q2339" s="2" t="s">
        <v>825</v>
      </c>
    </row>
    <row r="2340" spans="2:17" x14ac:dyDescent="0.25">
      <c r="B2340" s="2" t="s">
        <v>3145</v>
      </c>
      <c r="C2340" s="2" t="s">
        <v>267</v>
      </c>
      <c r="D2340" s="2" t="s">
        <v>268</v>
      </c>
      <c r="E2340" s="2" t="s">
        <v>256</v>
      </c>
      <c r="F2340" s="2" t="s">
        <v>535</v>
      </c>
      <c r="G2340" s="2" t="s">
        <v>475</v>
      </c>
      <c r="H2340" s="2" t="s">
        <v>476</v>
      </c>
      <c r="I2340" s="26">
        <v>45370</v>
      </c>
      <c r="J2340" s="2">
        <v>6</v>
      </c>
      <c r="K2340" s="2" t="s">
        <v>123</v>
      </c>
      <c r="L2340" s="22">
        <v>5400</v>
      </c>
      <c r="M2340" s="22">
        <v>32400</v>
      </c>
      <c r="N2340" s="18">
        <v>34.65</v>
      </c>
      <c r="O2340" s="26">
        <v>45580</v>
      </c>
      <c r="P2340" s="2" t="s">
        <v>2105</v>
      </c>
      <c r="Q2340" s="2" t="s">
        <v>836</v>
      </c>
    </row>
    <row r="2341" spans="2:17" x14ac:dyDescent="0.25">
      <c r="B2341" s="2" t="s">
        <v>3146</v>
      </c>
      <c r="C2341" s="2" t="s">
        <v>267</v>
      </c>
      <c r="D2341" s="2" t="s">
        <v>268</v>
      </c>
      <c r="E2341" s="2" t="s">
        <v>256</v>
      </c>
      <c r="F2341" s="2" t="s">
        <v>535</v>
      </c>
      <c r="G2341" s="2" t="s">
        <v>475</v>
      </c>
      <c r="H2341" s="2" t="s">
        <v>476</v>
      </c>
      <c r="I2341" s="26">
        <v>45395</v>
      </c>
      <c r="J2341" s="2">
        <v>17</v>
      </c>
      <c r="K2341" s="2" t="s">
        <v>123</v>
      </c>
      <c r="L2341" s="22">
        <v>5400</v>
      </c>
      <c r="M2341" s="22">
        <v>91800</v>
      </c>
      <c r="N2341" s="18">
        <v>98.18</v>
      </c>
      <c r="O2341" s="26">
        <v>45605</v>
      </c>
      <c r="P2341" s="2" t="s">
        <v>2105</v>
      </c>
      <c r="Q2341" s="2" t="s">
        <v>836</v>
      </c>
    </row>
    <row r="2342" spans="2:17" x14ac:dyDescent="0.25">
      <c r="B2342" s="2" t="s">
        <v>3147</v>
      </c>
      <c r="C2342" s="2" t="s">
        <v>267</v>
      </c>
      <c r="D2342" s="2" t="s">
        <v>268</v>
      </c>
      <c r="E2342" s="2" t="s">
        <v>256</v>
      </c>
      <c r="F2342" s="2" t="s">
        <v>535</v>
      </c>
      <c r="G2342" s="2" t="s">
        <v>475</v>
      </c>
      <c r="H2342" s="2" t="s">
        <v>476</v>
      </c>
      <c r="I2342" s="26">
        <v>45412</v>
      </c>
      <c r="J2342" s="2">
        <v>18</v>
      </c>
      <c r="K2342" s="2" t="s">
        <v>123</v>
      </c>
      <c r="L2342" s="22">
        <v>5400</v>
      </c>
      <c r="M2342" s="22">
        <v>97200</v>
      </c>
      <c r="N2342" s="18">
        <v>103.96</v>
      </c>
      <c r="O2342" s="26">
        <v>45622</v>
      </c>
      <c r="P2342" s="2" t="s">
        <v>2105</v>
      </c>
      <c r="Q2342" s="2" t="s">
        <v>836</v>
      </c>
    </row>
    <row r="2343" spans="2:17" x14ac:dyDescent="0.25">
      <c r="B2343" s="2" t="s">
        <v>3148</v>
      </c>
      <c r="C2343" s="2" t="s">
        <v>267</v>
      </c>
      <c r="D2343" s="2" t="s">
        <v>268</v>
      </c>
      <c r="E2343" s="2" t="s">
        <v>256</v>
      </c>
      <c r="F2343" s="2" t="s">
        <v>537</v>
      </c>
      <c r="G2343" s="2" t="s">
        <v>485</v>
      </c>
      <c r="H2343" s="2" t="s">
        <v>486</v>
      </c>
      <c r="I2343" s="26">
        <v>45437</v>
      </c>
      <c r="J2343" s="2">
        <v>19</v>
      </c>
      <c r="K2343" s="2" t="s">
        <v>123</v>
      </c>
      <c r="L2343" s="22">
        <v>6250</v>
      </c>
      <c r="M2343" s="22">
        <v>118750</v>
      </c>
      <c r="N2343" s="18">
        <v>127.01</v>
      </c>
      <c r="O2343" s="26">
        <v>45647</v>
      </c>
      <c r="P2343" s="2" t="s">
        <v>2105</v>
      </c>
      <c r="Q2343" s="2" t="s">
        <v>836</v>
      </c>
    </row>
    <row r="2344" spans="2:17" x14ac:dyDescent="0.25">
      <c r="B2344" s="2" t="s">
        <v>3149</v>
      </c>
      <c r="C2344" s="2" t="s">
        <v>267</v>
      </c>
      <c r="D2344" s="2" t="s">
        <v>268</v>
      </c>
      <c r="E2344" s="2" t="s">
        <v>256</v>
      </c>
      <c r="F2344" s="2" t="s">
        <v>535</v>
      </c>
      <c r="G2344" s="2" t="s">
        <v>475</v>
      </c>
      <c r="H2344" s="2" t="s">
        <v>476</v>
      </c>
      <c r="I2344" s="26">
        <v>45459</v>
      </c>
      <c r="J2344" s="2">
        <v>17</v>
      </c>
      <c r="K2344" s="2" t="s">
        <v>123</v>
      </c>
      <c r="L2344" s="22">
        <v>5400</v>
      </c>
      <c r="M2344" s="22">
        <v>91800</v>
      </c>
      <c r="N2344" s="18">
        <v>98.18</v>
      </c>
      <c r="O2344" s="26">
        <v>45669</v>
      </c>
      <c r="P2344" s="2" t="s">
        <v>2105</v>
      </c>
      <c r="Q2344" s="2" t="s">
        <v>806</v>
      </c>
    </row>
    <row r="2345" spans="2:17" x14ac:dyDescent="0.25">
      <c r="B2345" s="2" t="s">
        <v>3150</v>
      </c>
      <c r="C2345" s="2" t="s">
        <v>267</v>
      </c>
      <c r="D2345" s="2" t="s">
        <v>268</v>
      </c>
      <c r="E2345" s="2" t="s">
        <v>256</v>
      </c>
      <c r="F2345" s="2" t="s">
        <v>535</v>
      </c>
      <c r="G2345" s="2" t="s">
        <v>475</v>
      </c>
      <c r="H2345" s="2" t="s">
        <v>476</v>
      </c>
      <c r="I2345" s="26">
        <v>45476</v>
      </c>
      <c r="J2345" s="2">
        <v>17</v>
      </c>
      <c r="K2345" s="2" t="s">
        <v>123</v>
      </c>
      <c r="L2345" s="22">
        <v>5400</v>
      </c>
      <c r="M2345" s="22">
        <v>91800</v>
      </c>
      <c r="N2345" s="18">
        <v>98.18</v>
      </c>
      <c r="O2345" s="26">
        <v>45686</v>
      </c>
      <c r="P2345" s="2" t="s">
        <v>2105</v>
      </c>
      <c r="Q2345" s="2" t="s">
        <v>806</v>
      </c>
    </row>
    <row r="2346" spans="2:17" x14ac:dyDescent="0.25">
      <c r="B2346" s="2" t="s">
        <v>3151</v>
      </c>
      <c r="C2346" s="2" t="s">
        <v>267</v>
      </c>
      <c r="D2346" s="2" t="s">
        <v>268</v>
      </c>
      <c r="E2346" s="2" t="s">
        <v>256</v>
      </c>
      <c r="F2346" s="2" t="s">
        <v>535</v>
      </c>
      <c r="G2346" s="2" t="s">
        <v>475</v>
      </c>
      <c r="H2346" s="2" t="s">
        <v>476</v>
      </c>
      <c r="I2346" s="26">
        <v>45499</v>
      </c>
      <c r="J2346" s="2">
        <v>19</v>
      </c>
      <c r="K2346" s="2" t="s">
        <v>123</v>
      </c>
      <c r="L2346" s="22">
        <v>5400</v>
      </c>
      <c r="M2346" s="22">
        <v>102600</v>
      </c>
      <c r="N2346" s="18">
        <v>109.73</v>
      </c>
      <c r="O2346" s="26">
        <v>45709</v>
      </c>
      <c r="P2346" s="2" t="s">
        <v>2105</v>
      </c>
      <c r="Q2346" s="2" t="s">
        <v>806</v>
      </c>
    </row>
    <row r="2347" spans="2:17" x14ac:dyDescent="0.25">
      <c r="B2347" s="2" t="s">
        <v>3152</v>
      </c>
      <c r="C2347" s="2" t="s">
        <v>267</v>
      </c>
      <c r="D2347" s="2" t="s">
        <v>268</v>
      </c>
      <c r="E2347" s="2" t="s">
        <v>256</v>
      </c>
      <c r="F2347" s="2" t="s">
        <v>535</v>
      </c>
      <c r="G2347" s="2" t="s">
        <v>475</v>
      </c>
      <c r="H2347" s="2" t="s">
        <v>476</v>
      </c>
      <c r="I2347" s="26">
        <v>45520</v>
      </c>
      <c r="J2347" s="2">
        <v>21</v>
      </c>
      <c r="K2347" s="2" t="s">
        <v>123</v>
      </c>
      <c r="L2347" s="22">
        <v>5400</v>
      </c>
      <c r="M2347" s="22">
        <v>113400</v>
      </c>
      <c r="N2347" s="18">
        <v>121.28</v>
      </c>
      <c r="O2347" s="26">
        <v>45730</v>
      </c>
      <c r="P2347" s="2" t="s">
        <v>2105</v>
      </c>
      <c r="Q2347" s="2" t="s">
        <v>806</v>
      </c>
    </row>
    <row r="2348" spans="2:17" x14ac:dyDescent="0.25">
      <c r="B2348" s="2" t="s">
        <v>3153</v>
      </c>
      <c r="C2348" s="2" t="s">
        <v>267</v>
      </c>
      <c r="D2348" s="2" t="s">
        <v>268</v>
      </c>
      <c r="E2348" s="2" t="s">
        <v>256</v>
      </c>
      <c r="F2348" s="2" t="s">
        <v>535</v>
      </c>
      <c r="G2348" s="2" t="s">
        <v>475</v>
      </c>
      <c r="H2348" s="2" t="s">
        <v>476</v>
      </c>
      <c r="I2348" s="26">
        <v>45540</v>
      </c>
      <c r="J2348" s="2">
        <v>26</v>
      </c>
      <c r="K2348" s="2" t="s">
        <v>123</v>
      </c>
      <c r="L2348" s="22">
        <v>5400</v>
      </c>
      <c r="M2348" s="22">
        <v>140400</v>
      </c>
      <c r="N2348" s="18">
        <v>150.16</v>
      </c>
      <c r="O2348" s="26">
        <v>45750</v>
      </c>
      <c r="P2348" s="2" t="s">
        <v>2105</v>
      </c>
      <c r="Q2348" s="2" t="s">
        <v>814</v>
      </c>
    </row>
    <row r="2349" spans="2:17" x14ac:dyDescent="0.25">
      <c r="B2349" s="2" t="s">
        <v>3154</v>
      </c>
      <c r="C2349" s="2" t="s">
        <v>267</v>
      </c>
      <c r="D2349" s="2" t="s">
        <v>268</v>
      </c>
      <c r="E2349" s="2" t="s">
        <v>256</v>
      </c>
      <c r="F2349" s="2" t="s">
        <v>535</v>
      </c>
      <c r="G2349" s="2" t="s">
        <v>475</v>
      </c>
      <c r="H2349" s="2" t="s">
        <v>476</v>
      </c>
      <c r="I2349" s="26">
        <v>45566</v>
      </c>
      <c r="J2349" s="2">
        <v>8</v>
      </c>
      <c r="K2349" s="2" t="s">
        <v>123</v>
      </c>
      <c r="L2349" s="22">
        <v>5400</v>
      </c>
      <c r="M2349" s="22">
        <v>43200</v>
      </c>
      <c r="N2349" s="18">
        <v>46.2</v>
      </c>
      <c r="O2349" s="26">
        <v>45776</v>
      </c>
      <c r="P2349" s="2" t="s">
        <v>2105</v>
      </c>
      <c r="Q2349" s="2" t="s">
        <v>814</v>
      </c>
    </row>
    <row r="2350" spans="2:17" x14ac:dyDescent="0.25">
      <c r="B2350" s="2" t="s">
        <v>3155</v>
      </c>
      <c r="C2350" s="2" t="s">
        <v>267</v>
      </c>
      <c r="D2350" s="2" t="s">
        <v>268</v>
      </c>
      <c r="E2350" s="2" t="s">
        <v>256</v>
      </c>
      <c r="F2350" s="2" t="s">
        <v>535</v>
      </c>
      <c r="G2350" s="2" t="s">
        <v>475</v>
      </c>
      <c r="H2350" s="2" t="s">
        <v>476</v>
      </c>
      <c r="I2350" s="26">
        <v>45584</v>
      </c>
      <c r="J2350" s="2">
        <v>8</v>
      </c>
      <c r="K2350" s="2" t="s">
        <v>123</v>
      </c>
      <c r="L2350" s="22">
        <v>5400</v>
      </c>
      <c r="M2350" s="22">
        <v>43200</v>
      </c>
      <c r="N2350" s="18">
        <v>46.2</v>
      </c>
      <c r="O2350" s="26">
        <v>45794</v>
      </c>
      <c r="P2350" s="2" t="s">
        <v>2105</v>
      </c>
      <c r="Q2350" s="2" t="s">
        <v>814</v>
      </c>
    </row>
    <row r="2351" spans="2:17" x14ac:dyDescent="0.25">
      <c r="B2351" s="2" t="s">
        <v>3156</v>
      </c>
      <c r="C2351" s="2" t="s">
        <v>267</v>
      </c>
      <c r="D2351" s="2" t="s">
        <v>268</v>
      </c>
      <c r="E2351" s="2" t="s">
        <v>256</v>
      </c>
      <c r="F2351" s="2" t="s">
        <v>535</v>
      </c>
      <c r="G2351" s="2" t="s">
        <v>475</v>
      </c>
      <c r="H2351" s="2" t="s">
        <v>476</v>
      </c>
      <c r="I2351" s="26">
        <v>45607</v>
      </c>
      <c r="J2351" s="2">
        <v>7</v>
      </c>
      <c r="K2351" s="2" t="s">
        <v>123</v>
      </c>
      <c r="L2351" s="22">
        <v>5400</v>
      </c>
      <c r="M2351" s="22">
        <v>37800</v>
      </c>
      <c r="N2351" s="18">
        <v>40.43</v>
      </c>
      <c r="O2351" s="26">
        <v>45817</v>
      </c>
      <c r="P2351" s="2" t="s">
        <v>2105</v>
      </c>
      <c r="Q2351" s="2" t="s">
        <v>814</v>
      </c>
    </row>
    <row r="2352" spans="2:17" x14ac:dyDescent="0.25">
      <c r="B2352" s="2" t="s">
        <v>3157</v>
      </c>
      <c r="C2352" s="2" t="s">
        <v>267</v>
      </c>
      <c r="D2352" s="2" t="s">
        <v>268</v>
      </c>
      <c r="E2352" s="2" t="s">
        <v>256</v>
      </c>
      <c r="F2352" s="2" t="s">
        <v>535</v>
      </c>
      <c r="G2352" s="2" t="s">
        <v>475</v>
      </c>
      <c r="H2352" s="2" t="s">
        <v>476</v>
      </c>
      <c r="I2352" s="26">
        <v>45626</v>
      </c>
      <c r="J2352" s="2">
        <v>7</v>
      </c>
      <c r="K2352" s="2" t="s">
        <v>123</v>
      </c>
      <c r="L2352" s="22">
        <v>5400</v>
      </c>
      <c r="M2352" s="22">
        <v>37800</v>
      </c>
      <c r="N2352" s="18">
        <v>40.43</v>
      </c>
      <c r="O2352" s="26">
        <v>45836</v>
      </c>
      <c r="P2352" s="2" t="s">
        <v>2105</v>
      </c>
      <c r="Q2352" s="2" t="s">
        <v>814</v>
      </c>
    </row>
    <row r="2353" spans="2:17" x14ac:dyDescent="0.25">
      <c r="B2353" s="2" t="s">
        <v>3158</v>
      </c>
      <c r="C2353" s="2" t="s">
        <v>267</v>
      </c>
      <c r="D2353" s="2" t="s">
        <v>268</v>
      </c>
      <c r="E2353" s="2" t="s">
        <v>256</v>
      </c>
      <c r="F2353" s="2" t="s">
        <v>537</v>
      </c>
      <c r="G2353" s="2" t="s">
        <v>485</v>
      </c>
      <c r="H2353" s="2" t="s">
        <v>486</v>
      </c>
      <c r="I2353" s="26">
        <v>45647</v>
      </c>
      <c r="J2353" s="2">
        <v>11</v>
      </c>
      <c r="K2353" s="2" t="s">
        <v>123</v>
      </c>
      <c r="L2353" s="22">
        <v>6250</v>
      </c>
      <c r="M2353" s="22">
        <v>68750</v>
      </c>
      <c r="N2353" s="18">
        <v>73.53</v>
      </c>
      <c r="O2353" s="26">
        <v>45857</v>
      </c>
      <c r="P2353" s="2" t="s">
        <v>2105</v>
      </c>
      <c r="Q2353" s="2" t="s">
        <v>825</v>
      </c>
    </row>
    <row r="2354" spans="2:17" x14ac:dyDescent="0.25">
      <c r="B2354" s="2" t="s">
        <v>3159</v>
      </c>
      <c r="C2354" s="2" t="s">
        <v>267</v>
      </c>
      <c r="D2354" s="2" t="s">
        <v>268</v>
      </c>
      <c r="E2354" s="2" t="s">
        <v>256</v>
      </c>
      <c r="F2354" s="2" t="s">
        <v>535</v>
      </c>
      <c r="G2354" s="2" t="s">
        <v>475</v>
      </c>
      <c r="H2354" s="2" t="s">
        <v>476</v>
      </c>
      <c r="I2354" s="26">
        <v>45669</v>
      </c>
      <c r="J2354" s="2">
        <v>7</v>
      </c>
      <c r="K2354" s="2" t="s">
        <v>123</v>
      </c>
      <c r="L2354" s="22">
        <v>5400</v>
      </c>
      <c r="M2354" s="22">
        <v>37800</v>
      </c>
      <c r="N2354" s="18">
        <v>40.43</v>
      </c>
      <c r="O2354" s="26">
        <v>45879</v>
      </c>
      <c r="P2354" s="2" t="s">
        <v>2105</v>
      </c>
      <c r="Q2354" s="2" t="s">
        <v>825</v>
      </c>
    </row>
    <row r="2355" spans="2:17" x14ac:dyDescent="0.25">
      <c r="B2355" s="2" t="s">
        <v>3160</v>
      </c>
      <c r="C2355" s="2" t="s">
        <v>267</v>
      </c>
      <c r="D2355" s="2" t="s">
        <v>268</v>
      </c>
      <c r="E2355" s="2" t="s">
        <v>256</v>
      </c>
      <c r="F2355" s="2" t="s">
        <v>535</v>
      </c>
      <c r="G2355" s="2" t="s">
        <v>475</v>
      </c>
      <c r="H2355" s="2" t="s">
        <v>476</v>
      </c>
      <c r="I2355" s="26">
        <v>45688</v>
      </c>
      <c r="J2355" s="2">
        <v>7</v>
      </c>
      <c r="K2355" s="2" t="s">
        <v>123</v>
      </c>
      <c r="L2355" s="22">
        <v>5400</v>
      </c>
      <c r="M2355" s="22">
        <v>37800</v>
      </c>
      <c r="N2355" s="18">
        <v>40.43</v>
      </c>
      <c r="O2355" s="26">
        <v>45898</v>
      </c>
      <c r="P2355" s="2" t="s">
        <v>2105</v>
      </c>
      <c r="Q2355" s="2" t="s">
        <v>825</v>
      </c>
    </row>
    <row r="2356" spans="2:17" x14ac:dyDescent="0.25">
      <c r="B2356" s="2" t="s">
        <v>3161</v>
      </c>
      <c r="C2356" s="2" t="s">
        <v>267</v>
      </c>
      <c r="D2356" s="2" t="s">
        <v>268</v>
      </c>
      <c r="E2356" s="2" t="s">
        <v>256</v>
      </c>
      <c r="F2356" s="2" t="s">
        <v>535</v>
      </c>
      <c r="G2356" s="2" t="s">
        <v>475</v>
      </c>
      <c r="H2356" s="2" t="s">
        <v>476</v>
      </c>
      <c r="I2356" s="26">
        <v>45711</v>
      </c>
      <c r="J2356" s="2">
        <v>7</v>
      </c>
      <c r="K2356" s="2" t="s">
        <v>123</v>
      </c>
      <c r="L2356" s="22">
        <v>5400</v>
      </c>
      <c r="M2356" s="22">
        <v>37800</v>
      </c>
      <c r="N2356" s="18">
        <v>40.43</v>
      </c>
      <c r="O2356" s="26">
        <v>45921</v>
      </c>
      <c r="P2356" s="2" t="s">
        <v>2105</v>
      </c>
      <c r="Q2356" s="2" t="s">
        <v>825</v>
      </c>
    </row>
    <row r="2357" spans="2:17" x14ac:dyDescent="0.25">
      <c r="B2357" s="2" t="s">
        <v>3162</v>
      </c>
      <c r="C2357" s="2" t="s">
        <v>267</v>
      </c>
      <c r="D2357" s="2" t="s">
        <v>268</v>
      </c>
      <c r="E2357" s="2" t="s">
        <v>256</v>
      </c>
      <c r="F2357" s="2" t="s">
        <v>535</v>
      </c>
      <c r="G2357" s="2" t="s">
        <v>475</v>
      </c>
      <c r="H2357" s="2" t="s">
        <v>476</v>
      </c>
      <c r="I2357" s="26">
        <v>45733</v>
      </c>
      <c r="J2357" s="2">
        <v>8</v>
      </c>
      <c r="K2357" s="2" t="s">
        <v>123</v>
      </c>
      <c r="L2357" s="22">
        <v>5400</v>
      </c>
      <c r="M2357" s="22">
        <v>43200</v>
      </c>
      <c r="N2357" s="18">
        <v>46.2</v>
      </c>
      <c r="O2357" s="26">
        <v>45943</v>
      </c>
      <c r="P2357" s="2" t="s">
        <v>2105</v>
      </c>
      <c r="Q2357" s="2" t="s">
        <v>836</v>
      </c>
    </row>
    <row r="2358" spans="2:17" x14ac:dyDescent="0.25">
      <c r="B2358" s="2" t="s">
        <v>3163</v>
      </c>
      <c r="C2358" s="2" t="s">
        <v>267</v>
      </c>
      <c r="D2358" s="2" t="s">
        <v>268</v>
      </c>
      <c r="E2358" s="2" t="s">
        <v>256</v>
      </c>
      <c r="F2358" s="2" t="s">
        <v>535</v>
      </c>
      <c r="G2358" s="2" t="s">
        <v>475</v>
      </c>
      <c r="H2358" s="2" t="s">
        <v>476</v>
      </c>
      <c r="I2358" s="26">
        <v>45754</v>
      </c>
      <c r="J2358" s="2">
        <v>22</v>
      </c>
      <c r="K2358" s="2" t="s">
        <v>123</v>
      </c>
      <c r="L2358" s="22">
        <v>5400</v>
      </c>
      <c r="M2358" s="22">
        <v>118800</v>
      </c>
      <c r="N2358" s="18">
        <v>127.06</v>
      </c>
      <c r="O2358" s="26">
        <v>45964</v>
      </c>
      <c r="P2358" s="2" t="s">
        <v>2105</v>
      </c>
      <c r="Q2358" s="2" t="s">
        <v>836</v>
      </c>
    </row>
    <row r="2359" spans="2:17" x14ac:dyDescent="0.25">
      <c r="B2359" s="2" t="s">
        <v>3164</v>
      </c>
      <c r="C2359" s="2" t="s">
        <v>267</v>
      </c>
      <c r="D2359" s="2" t="s">
        <v>268</v>
      </c>
      <c r="E2359" s="2" t="s">
        <v>256</v>
      </c>
      <c r="F2359" s="2" t="s">
        <v>535</v>
      </c>
      <c r="G2359" s="2" t="s">
        <v>475</v>
      </c>
      <c r="H2359" s="2" t="s">
        <v>476</v>
      </c>
      <c r="I2359" s="26">
        <v>45780</v>
      </c>
      <c r="J2359" s="2">
        <v>23</v>
      </c>
      <c r="K2359" s="2" t="s">
        <v>123</v>
      </c>
      <c r="L2359" s="22">
        <v>5400</v>
      </c>
      <c r="M2359" s="22">
        <v>124200</v>
      </c>
      <c r="N2359" s="18">
        <v>132.83000000000001</v>
      </c>
      <c r="O2359" s="26">
        <v>45990</v>
      </c>
      <c r="P2359" s="2" t="s">
        <v>2105</v>
      </c>
      <c r="Q2359" s="2" t="s">
        <v>836</v>
      </c>
    </row>
    <row r="2360" spans="2:17" x14ac:dyDescent="0.25">
      <c r="B2360" s="2" t="s">
        <v>3165</v>
      </c>
      <c r="C2360" s="2" t="s">
        <v>267</v>
      </c>
      <c r="D2360" s="2" t="s">
        <v>268</v>
      </c>
      <c r="E2360" s="2" t="s">
        <v>256</v>
      </c>
      <c r="F2360" s="2" t="s">
        <v>535</v>
      </c>
      <c r="G2360" s="2" t="s">
        <v>475</v>
      </c>
      <c r="H2360" s="2" t="s">
        <v>476</v>
      </c>
      <c r="I2360" s="26">
        <v>45804</v>
      </c>
      <c r="J2360" s="2">
        <v>20</v>
      </c>
      <c r="K2360" s="2" t="s">
        <v>123</v>
      </c>
      <c r="L2360" s="22">
        <v>5400</v>
      </c>
      <c r="M2360" s="22">
        <v>108000</v>
      </c>
      <c r="N2360" s="18">
        <v>115.51</v>
      </c>
      <c r="O2360" s="26">
        <v>46014</v>
      </c>
      <c r="P2360" s="2" t="s">
        <v>2105</v>
      </c>
      <c r="Q2360" s="2" t="s">
        <v>836</v>
      </c>
    </row>
    <row r="2361" spans="2:17" x14ac:dyDescent="0.25">
      <c r="B2361" s="2" t="s">
        <v>3166</v>
      </c>
      <c r="C2361" s="2" t="s">
        <v>267</v>
      </c>
      <c r="D2361" s="2" t="s">
        <v>268</v>
      </c>
      <c r="E2361" s="2" t="s">
        <v>256</v>
      </c>
      <c r="F2361" s="2" t="s">
        <v>535</v>
      </c>
      <c r="G2361" s="2" t="s">
        <v>475</v>
      </c>
      <c r="H2361" s="2" t="s">
        <v>476</v>
      </c>
      <c r="I2361" s="26">
        <v>45825</v>
      </c>
      <c r="J2361" s="2">
        <v>22</v>
      </c>
      <c r="K2361" s="2" t="s">
        <v>123</v>
      </c>
      <c r="L2361" s="22">
        <v>5400</v>
      </c>
      <c r="M2361" s="22">
        <v>118800</v>
      </c>
      <c r="N2361" s="18">
        <v>127.06</v>
      </c>
      <c r="O2361" s="26">
        <v>46035</v>
      </c>
      <c r="P2361" s="2" t="s">
        <v>2105</v>
      </c>
      <c r="Q2361" s="2" t="s">
        <v>806</v>
      </c>
    </row>
    <row r="2362" spans="2:17" x14ac:dyDescent="0.25">
      <c r="B2362" s="2" t="s">
        <v>3167</v>
      </c>
      <c r="C2362" s="2" t="s">
        <v>269</v>
      </c>
      <c r="D2362" s="2" t="s">
        <v>270</v>
      </c>
      <c r="E2362" s="2" t="s">
        <v>256</v>
      </c>
      <c r="F2362" s="2" t="s">
        <v>537</v>
      </c>
      <c r="G2362" s="2" t="s">
        <v>485</v>
      </c>
      <c r="H2362" s="2" t="s">
        <v>486</v>
      </c>
      <c r="I2362" s="26">
        <v>45125</v>
      </c>
      <c r="J2362" s="2">
        <v>20</v>
      </c>
      <c r="K2362" s="2" t="s">
        <v>123</v>
      </c>
      <c r="L2362" s="22">
        <v>16700</v>
      </c>
      <c r="M2362" s="22">
        <v>334000</v>
      </c>
      <c r="N2362" s="18">
        <v>357.22</v>
      </c>
      <c r="O2362" s="26">
        <v>45335</v>
      </c>
      <c r="P2362" s="2" t="s">
        <v>2105</v>
      </c>
      <c r="Q2362" s="2" t="s">
        <v>806</v>
      </c>
    </row>
    <row r="2363" spans="2:17" x14ac:dyDescent="0.25">
      <c r="B2363" s="2" t="s">
        <v>3168</v>
      </c>
      <c r="C2363" s="2" t="s">
        <v>269</v>
      </c>
      <c r="D2363" s="2" t="s">
        <v>270</v>
      </c>
      <c r="E2363" s="2" t="s">
        <v>256</v>
      </c>
      <c r="F2363" s="2" t="s">
        <v>535</v>
      </c>
      <c r="G2363" s="2" t="s">
        <v>475</v>
      </c>
      <c r="H2363" s="2" t="s">
        <v>476</v>
      </c>
      <c r="I2363" s="26">
        <v>45152</v>
      </c>
      <c r="J2363" s="2">
        <v>18</v>
      </c>
      <c r="K2363" s="2" t="s">
        <v>123</v>
      </c>
      <c r="L2363" s="22">
        <v>16600</v>
      </c>
      <c r="M2363" s="22">
        <v>298800</v>
      </c>
      <c r="N2363" s="18">
        <v>319.57</v>
      </c>
      <c r="O2363" s="26">
        <v>45362</v>
      </c>
      <c r="P2363" s="2" t="s">
        <v>2105</v>
      </c>
      <c r="Q2363" s="2" t="s">
        <v>806</v>
      </c>
    </row>
    <row r="2364" spans="2:17" x14ac:dyDescent="0.25">
      <c r="B2364" s="2" t="s">
        <v>3169</v>
      </c>
      <c r="C2364" s="2" t="s">
        <v>269</v>
      </c>
      <c r="D2364" s="2" t="s">
        <v>270</v>
      </c>
      <c r="E2364" s="2" t="s">
        <v>256</v>
      </c>
      <c r="F2364" s="2" t="s">
        <v>535</v>
      </c>
      <c r="G2364" s="2" t="s">
        <v>475</v>
      </c>
      <c r="H2364" s="2" t="s">
        <v>476</v>
      </c>
      <c r="I2364" s="26">
        <v>45167</v>
      </c>
      <c r="J2364" s="2">
        <v>18</v>
      </c>
      <c r="K2364" s="2" t="s">
        <v>123</v>
      </c>
      <c r="L2364" s="22">
        <v>16600</v>
      </c>
      <c r="M2364" s="22">
        <v>298800</v>
      </c>
      <c r="N2364" s="18">
        <v>319.57</v>
      </c>
      <c r="O2364" s="26">
        <v>45377</v>
      </c>
      <c r="P2364" s="2" t="s">
        <v>2105</v>
      </c>
      <c r="Q2364" s="2" t="s">
        <v>806</v>
      </c>
    </row>
    <row r="2365" spans="2:17" x14ac:dyDescent="0.25">
      <c r="B2365" s="2" t="s">
        <v>3170</v>
      </c>
      <c r="C2365" s="2" t="s">
        <v>269</v>
      </c>
      <c r="D2365" s="2" t="s">
        <v>270</v>
      </c>
      <c r="E2365" s="2" t="s">
        <v>256</v>
      </c>
      <c r="F2365" s="2" t="s">
        <v>535</v>
      </c>
      <c r="G2365" s="2" t="s">
        <v>475</v>
      </c>
      <c r="H2365" s="2" t="s">
        <v>476</v>
      </c>
      <c r="I2365" s="26">
        <v>45181</v>
      </c>
      <c r="J2365" s="2">
        <v>27</v>
      </c>
      <c r="K2365" s="2" t="s">
        <v>123</v>
      </c>
      <c r="L2365" s="22">
        <v>16600</v>
      </c>
      <c r="M2365" s="22">
        <v>448200</v>
      </c>
      <c r="N2365" s="18">
        <v>479.36</v>
      </c>
      <c r="O2365" s="26">
        <v>45391</v>
      </c>
      <c r="P2365" s="2" t="s">
        <v>2105</v>
      </c>
      <c r="Q2365" s="2" t="s">
        <v>814</v>
      </c>
    </row>
    <row r="2366" spans="2:17" x14ac:dyDescent="0.25">
      <c r="B2366" s="2" t="s">
        <v>3171</v>
      </c>
      <c r="C2366" s="2" t="s">
        <v>269</v>
      </c>
      <c r="D2366" s="2" t="s">
        <v>270</v>
      </c>
      <c r="E2366" s="2" t="s">
        <v>256</v>
      </c>
      <c r="F2366" s="2" t="s">
        <v>535</v>
      </c>
      <c r="G2366" s="2" t="s">
        <v>475</v>
      </c>
      <c r="H2366" s="2" t="s">
        <v>476</v>
      </c>
      <c r="I2366" s="26">
        <v>45204</v>
      </c>
      <c r="J2366" s="2">
        <v>7</v>
      </c>
      <c r="K2366" s="2" t="s">
        <v>123</v>
      </c>
      <c r="L2366" s="22">
        <v>16600</v>
      </c>
      <c r="M2366" s="22">
        <v>116200</v>
      </c>
      <c r="N2366" s="18">
        <v>124.28</v>
      </c>
      <c r="O2366" s="26">
        <v>45414</v>
      </c>
      <c r="P2366" s="2" t="s">
        <v>2105</v>
      </c>
      <c r="Q2366" s="2" t="s">
        <v>814</v>
      </c>
    </row>
    <row r="2367" spans="2:17" x14ac:dyDescent="0.25">
      <c r="B2367" s="2" t="s">
        <v>3172</v>
      </c>
      <c r="C2367" s="2" t="s">
        <v>269</v>
      </c>
      <c r="D2367" s="2" t="s">
        <v>270</v>
      </c>
      <c r="E2367" s="2" t="s">
        <v>256</v>
      </c>
      <c r="F2367" s="2" t="s">
        <v>535</v>
      </c>
      <c r="G2367" s="2" t="s">
        <v>475</v>
      </c>
      <c r="H2367" s="2" t="s">
        <v>476</v>
      </c>
      <c r="I2367" s="26">
        <v>45226</v>
      </c>
      <c r="J2367" s="2">
        <v>7</v>
      </c>
      <c r="K2367" s="2" t="s">
        <v>123</v>
      </c>
      <c r="L2367" s="22">
        <v>16600</v>
      </c>
      <c r="M2367" s="22">
        <v>116200</v>
      </c>
      <c r="N2367" s="18">
        <v>124.28</v>
      </c>
      <c r="O2367" s="26">
        <v>45436</v>
      </c>
      <c r="P2367" s="2" t="s">
        <v>2105</v>
      </c>
      <c r="Q2367" s="2" t="s">
        <v>814</v>
      </c>
    </row>
    <row r="2368" spans="2:17" x14ac:dyDescent="0.25">
      <c r="B2368" s="2" t="s">
        <v>3173</v>
      </c>
      <c r="C2368" s="2" t="s">
        <v>269</v>
      </c>
      <c r="D2368" s="2" t="s">
        <v>270</v>
      </c>
      <c r="E2368" s="2" t="s">
        <v>256</v>
      </c>
      <c r="F2368" s="2" t="s">
        <v>535</v>
      </c>
      <c r="G2368" s="2" t="s">
        <v>475</v>
      </c>
      <c r="H2368" s="2" t="s">
        <v>476</v>
      </c>
      <c r="I2368" s="26">
        <v>45247</v>
      </c>
      <c r="J2368" s="2">
        <v>6</v>
      </c>
      <c r="K2368" s="2" t="s">
        <v>123</v>
      </c>
      <c r="L2368" s="22">
        <v>16600</v>
      </c>
      <c r="M2368" s="22">
        <v>99600</v>
      </c>
      <c r="N2368" s="18">
        <v>106.52</v>
      </c>
      <c r="O2368" s="26">
        <v>45457</v>
      </c>
      <c r="P2368" s="2" t="s">
        <v>2105</v>
      </c>
      <c r="Q2368" s="2" t="s">
        <v>814</v>
      </c>
    </row>
    <row r="2369" spans="2:17" x14ac:dyDescent="0.25">
      <c r="B2369" s="2" t="s">
        <v>3174</v>
      </c>
      <c r="C2369" s="2" t="s">
        <v>269</v>
      </c>
      <c r="D2369" s="2" t="s">
        <v>270</v>
      </c>
      <c r="E2369" s="2" t="s">
        <v>256</v>
      </c>
      <c r="F2369" s="2" t="s">
        <v>535</v>
      </c>
      <c r="G2369" s="2" t="s">
        <v>475</v>
      </c>
      <c r="H2369" s="2" t="s">
        <v>476</v>
      </c>
      <c r="I2369" s="26">
        <v>45264</v>
      </c>
      <c r="J2369" s="2">
        <v>10</v>
      </c>
      <c r="K2369" s="2" t="s">
        <v>123</v>
      </c>
      <c r="L2369" s="22">
        <v>16600</v>
      </c>
      <c r="M2369" s="22">
        <v>166000</v>
      </c>
      <c r="N2369" s="18">
        <v>177.54</v>
      </c>
      <c r="O2369" s="26">
        <v>45474</v>
      </c>
      <c r="P2369" s="2" t="s">
        <v>2105</v>
      </c>
      <c r="Q2369" s="2" t="s">
        <v>825</v>
      </c>
    </row>
    <row r="2370" spans="2:17" x14ac:dyDescent="0.25">
      <c r="B2370" s="2" t="s">
        <v>3175</v>
      </c>
      <c r="C2370" s="2" t="s">
        <v>269</v>
      </c>
      <c r="D2370" s="2" t="s">
        <v>270</v>
      </c>
      <c r="E2370" s="2" t="s">
        <v>256</v>
      </c>
      <c r="F2370" s="2" t="s">
        <v>535</v>
      </c>
      <c r="G2370" s="2" t="s">
        <v>475</v>
      </c>
      <c r="H2370" s="2" t="s">
        <v>476</v>
      </c>
      <c r="I2370" s="26">
        <v>45290</v>
      </c>
      <c r="J2370" s="2">
        <v>10</v>
      </c>
      <c r="K2370" s="2" t="s">
        <v>123</v>
      </c>
      <c r="L2370" s="22">
        <v>16600</v>
      </c>
      <c r="M2370" s="22">
        <v>166000</v>
      </c>
      <c r="N2370" s="18">
        <v>177.54</v>
      </c>
      <c r="O2370" s="26">
        <v>45500</v>
      </c>
      <c r="P2370" s="2" t="s">
        <v>2105</v>
      </c>
      <c r="Q2370" s="2" t="s">
        <v>825</v>
      </c>
    </row>
    <row r="2371" spans="2:17" x14ac:dyDescent="0.25">
      <c r="B2371" s="2" t="s">
        <v>3176</v>
      </c>
      <c r="C2371" s="2" t="s">
        <v>269</v>
      </c>
      <c r="D2371" s="2" t="s">
        <v>270</v>
      </c>
      <c r="E2371" s="2" t="s">
        <v>256</v>
      </c>
      <c r="F2371" s="2" t="s">
        <v>535</v>
      </c>
      <c r="G2371" s="2" t="s">
        <v>475</v>
      </c>
      <c r="H2371" s="2" t="s">
        <v>476</v>
      </c>
      <c r="I2371" s="26">
        <v>45309</v>
      </c>
      <c r="J2371" s="2">
        <v>8</v>
      </c>
      <c r="K2371" s="2" t="s">
        <v>123</v>
      </c>
      <c r="L2371" s="22">
        <v>16600</v>
      </c>
      <c r="M2371" s="22">
        <v>132800</v>
      </c>
      <c r="N2371" s="18">
        <v>142.03</v>
      </c>
      <c r="O2371" s="26">
        <v>45519</v>
      </c>
      <c r="P2371" s="2" t="s">
        <v>2105</v>
      </c>
      <c r="Q2371" s="2" t="s">
        <v>825</v>
      </c>
    </row>
    <row r="2372" spans="2:17" x14ac:dyDescent="0.25">
      <c r="B2372" s="2" t="s">
        <v>3177</v>
      </c>
      <c r="C2372" s="2" t="s">
        <v>269</v>
      </c>
      <c r="D2372" s="2" t="s">
        <v>270</v>
      </c>
      <c r="E2372" s="2" t="s">
        <v>256</v>
      </c>
      <c r="F2372" s="2" t="s">
        <v>535</v>
      </c>
      <c r="G2372" s="2" t="s">
        <v>475</v>
      </c>
      <c r="H2372" s="2" t="s">
        <v>476</v>
      </c>
      <c r="I2372" s="26">
        <v>45330</v>
      </c>
      <c r="J2372" s="2">
        <v>7</v>
      </c>
      <c r="K2372" s="2" t="s">
        <v>123</v>
      </c>
      <c r="L2372" s="22">
        <v>16600</v>
      </c>
      <c r="M2372" s="22">
        <v>116200</v>
      </c>
      <c r="N2372" s="18">
        <v>124.28</v>
      </c>
      <c r="O2372" s="26">
        <v>45540</v>
      </c>
      <c r="P2372" s="2" t="s">
        <v>2105</v>
      </c>
      <c r="Q2372" s="2" t="s">
        <v>825</v>
      </c>
    </row>
    <row r="2373" spans="2:17" x14ac:dyDescent="0.25">
      <c r="B2373" s="2" t="s">
        <v>3178</v>
      </c>
      <c r="C2373" s="2" t="s">
        <v>269</v>
      </c>
      <c r="D2373" s="2" t="s">
        <v>270</v>
      </c>
      <c r="E2373" s="2" t="s">
        <v>256</v>
      </c>
      <c r="F2373" s="2" t="s">
        <v>535</v>
      </c>
      <c r="G2373" s="2" t="s">
        <v>475</v>
      </c>
      <c r="H2373" s="2" t="s">
        <v>476</v>
      </c>
      <c r="I2373" s="26">
        <v>45352</v>
      </c>
      <c r="J2373" s="2">
        <v>8</v>
      </c>
      <c r="K2373" s="2" t="s">
        <v>123</v>
      </c>
      <c r="L2373" s="22">
        <v>16600</v>
      </c>
      <c r="M2373" s="22">
        <v>132800</v>
      </c>
      <c r="N2373" s="18">
        <v>142.03</v>
      </c>
      <c r="O2373" s="26">
        <v>45562</v>
      </c>
      <c r="P2373" s="2" t="s">
        <v>2105</v>
      </c>
      <c r="Q2373" s="2" t="s">
        <v>836</v>
      </c>
    </row>
    <row r="2374" spans="2:17" x14ac:dyDescent="0.25">
      <c r="B2374" s="2" t="s">
        <v>3179</v>
      </c>
      <c r="C2374" s="2" t="s">
        <v>269</v>
      </c>
      <c r="D2374" s="2" t="s">
        <v>270</v>
      </c>
      <c r="E2374" s="2" t="s">
        <v>256</v>
      </c>
      <c r="F2374" s="2" t="s">
        <v>535</v>
      </c>
      <c r="G2374" s="2" t="s">
        <v>475</v>
      </c>
      <c r="H2374" s="2" t="s">
        <v>476</v>
      </c>
      <c r="I2374" s="26">
        <v>45372</v>
      </c>
      <c r="J2374" s="2">
        <v>7</v>
      </c>
      <c r="K2374" s="2" t="s">
        <v>123</v>
      </c>
      <c r="L2374" s="22">
        <v>16600</v>
      </c>
      <c r="M2374" s="22">
        <v>116200</v>
      </c>
      <c r="N2374" s="18">
        <v>124.28</v>
      </c>
      <c r="O2374" s="26">
        <v>45582</v>
      </c>
      <c r="P2374" s="2" t="s">
        <v>2105</v>
      </c>
      <c r="Q2374" s="2" t="s">
        <v>836</v>
      </c>
    </row>
    <row r="2375" spans="2:17" x14ac:dyDescent="0.25">
      <c r="B2375" s="2" t="s">
        <v>3180</v>
      </c>
      <c r="C2375" s="2" t="s">
        <v>269</v>
      </c>
      <c r="D2375" s="2" t="s">
        <v>270</v>
      </c>
      <c r="E2375" s="2" t="s">
        <v>256</v>
      </c>
      <c r="F2375" s="2" t="s">
        <v>535</v>
      </c>
      <c r="G2375" s="2" t="s">
        <v>475</v>
      </c>
      <c r="H2375" s="2" t="s">
        <v>476</v>
      </c>
      <c r="I2375" s="26">
        <v>45398</v>
      </c>
      <c r="J2375" s="2">
        <v>18</v>
      </c>
      <c r="K2375" s="2" t="s">
        <v>123</v>
      </c>
      <c r="L2375" s="22">
        <v>16600</v>
      </c>
      <c r="M2375" s="22">
        <v>298800</v>
      </c>
      <c r="N2375" s="18">
        <v>319.57</v>
      </c>
      <c r="O2375" s="26">
        <v>45608</v>
      </c>
      <c r="P2375" s="2" t="s">
        <v>2105</v>
      </c>
      <c r="Q2375" s="2" t="s">
        <v>836</v>
      </c>
    </row>
    <row r="2376" spans="2:17" x14ac:dyDescent="0.25">
      <c r="B2376" s="2" t="s">
        <v>3181</v>
      </c>
      <c r="C2376" s="2" t="s">
        <v>269</v>
      </c>
      <c r="D2376" s="2" t="s">
        <v>270</v>
      </c>
      <c r="E2376" s="2" t="s">
        <v>256</v>
      </c>
      <c r="F2376" s="2" t="s">
        <v>537</v>
      </c>
      <c r="G2376" s="2" t="s">
        <v>485</v>
      </c>
      <c r="H2376" s="2" t="s">
        <v>486</v>
      </c>
      <c r="I2376" s="26">
        <v>45418</v>
      </c>
      <c r="J2376" s="2">
        <v>22</v>
      </c>
      <c r="K2376" s="2" t="s">
        <v>123</v>
      </c>
      <c r="L2376" s="22">
        <v>16700</v>
      </c>
      <c r="M2376" s="22">
        <v>367400</v>
      </c>
      <c r="N2376" s="18">
        <v>392.94</v>
      </c>
      <c r="O2376" s="26">
        <v>45628</v>
      </c>
      <c r="P2376" s="2" t="s">
        <v>2105</v>
      </c>
      <c r="Q2376" s="2" t="s">
        <v>836</v>
      </c>
    </row>
    <row r="2377" spans="2:17" x14ac:dyDescent="0.25">
      <c r="B2377" s="2" t="s">
        <v>3182</v>
      </c>
      <c r="C2377" s="2" t="s">
        <v>269</v>
      </c>
      <c r="D2377" s="2" t="s">
        <v>270</v>
      </c>
      <c r="E2377" s="2" t="s">
        <v>256</v>
      </c>
      <c r="F2377" s="2" t="s">
        <v>537</v>
      </c>
      <c r="G2377" s="2" t="s">
        <v>485</v>
      </c>
      <c r="H2377" s="2" t="s">
        <v>486</v>
      </c>
      <c r="I2377" s="26">
        <v>45434</v>
      </c>
      <c r="J2377" s="2">
        <v>19</v>
      </c>
      <c r="K2377" s="2" t="s">
        <v>123</v>
      </c>
      <c r="L2377" s="22">
        <v>16700</v>
      </c>
      <c r="M2377" s="22">
        <v>317300</v>
      </c>
      <c r="N2377" s="18">
        <v>339.36</v>
      </c>
      <c r="O2377" s="26">
        <v>45644</v>
      </c>
      <c r="P2377" s="2" t="s">
        <v>2105</v>
      </c>
      <c r="Q2377" s="2" t="s">
        <v>836</v>
      </c>
    </row>
    <row r="2378" spans="2:17" x14ac:dyDescent="0.25">
      <c r="B2378" s="2" t="s">
        <v>3183</v>
      </c>
      <c r="C2378" s="2" t="s">
        <v>269</v>
      </c>
      <c r="D2378" s="2" t="s">
        <v>270</v>
      </c>
      <c r="E2378" s="2" t="s">
        <v>256</v>
      </c>
      <c r="F2378" s="2" t="s">
        <v>535</v>
      </c>
      <c r="G2378" s="2" t="s">
        <v>475</v>
      </c>
      <c r="H2378" s="2" t="s">
        <v>476</v>
      </c>
      <c r="I2378" s="26">
        <v>45454</v>
      </c>
      <c r="J2378" s="2">
        <v>21</v>
      </c>
      <c r="K2378" s="2" t="s">
        <v>123</v>
      </c>
      <c r="L2378" s="22">
        <v>16600</v>
      </c>
      <c r="M2378" s="22">
        <v>348600</v>
      </c>
      <c r="N2378" s="18">
        <v>372.83</v>
      </c>
      <c r="O2378" s="26">
        <v>45664</v>
      </c>
      <c r="P2378" s="2" t="s">
        <v>2105</v>
      </c>
      <c r="Q2378" s="2" t="s">
        <v>806</v>
      </c>
    </row>
    <row r="2379" spans="2:17" x14ac:dyDescent="0.25">
      <c r="B2379" s="2" t="s">
        <v>3184</v>
      </c>
      <c r="C2379" s="2" t="s">
        <v>269</v>
      </c>
      <c r="D2379" s="2" t="s">
        <v>270</v>
      </c>
      <c r="E2379" s="2" t="s">
        <v>256</v>
      </c>
      <c r="F2379" s="2" t="s">
        <v>535</v>
      </c>
      <c r="G2379" s="2" t="s">
        <v>475</v>
      </c>
      <c r="H2379" s="2" t="s">
        <v>476</v>
      </c>
      <c r="I2379" s="26">
        <v>45471</v>
      </c>
      <c r="J2379" s="2">
        <v>20</v>
      </c>
      <c r="K2379" s="2" t="s">
        <v>123</v>
      </c>
      <c r="L2379" s="22">
        <v>16600</v>
      </c>
      <c r="M2379" s="22">
        <v>332000</v>
      </c>
      <c r="N2379" s="18">
        <v>355.08</v>
      </c>
      <c r="O2379" s="26">
        <v>45681</v>
      </c>
      <c r="P2379" s="2" t="s">
        <v>2105</v>
      </c>
      <c r="Q2379" s="2" t="s">
        <v>806</v>
      </c>
    </row>
    <row r="2380" spans="2:17" x14ac:dyDescent="0.25">
      <c r="B2380" s="2" t="s">
        <v>3185</v>
      </c>
      <c r="C2380" s="2" t="s">
        <v>269</v>
      </c>
      <c r="D2380" s="2" t="s">
        <v>270</v>
      </c>
      <c r="E2380" s="2" t="s">
        <v>256</v>
      </c>
      <c r="F2380" s="2" t="s">
        <v>535</v>
      </c>
      <c r="G2380" s="2" t="s">
        <v>475</v>
      </c>
      <c r="H2380" s="2" t="s">
        <v>476</v>
      </c>
      <c r="I2380" s="26">
        <v>45484</v>
      </c>
      <c r="J2380" s="2">
        <v>21</v>
      </c>
      <c r="K2380" s="2" t="s">
        <v>123</v>
      </c>
      <c r="L2380" s="22">
        <v>16600</v>
      </c>
      <c r="M2380" s="22">
        <v>348600</v>
      </c>
      <c r="N2380" s="18">
        <v>372.83</v>
      </c>
      <c r="O2380" s="26">
        <v>45694</v>
      </c>
      <c r="P2380" s="2" t="s">
        <v>2105</v>
      </c>
      <c r="Q2380" s="2" t="s">
        <v>806</v>
      </c>
    </row>
    <row r="2381" spans="2:17" x14ac:dyDescent="0.25">
      <c r="B2381" s="2" t="s">
        <v>3186</v>
      </c>
      <c r="C2381" s="2" t="s">
        <v>269</v>
      </c>
      <c r="D2381" s="2" t="s">
        <v>270</v>
      </c>
      <c r="E2381" s="2" t="s">
        <v>256</v>
      </c>
      <c r="F2381" s="2" t="s">
        <v>535</v>
      </c>
      <c r="G2381" s="2" t="s">
        <v>475</v>
      </c>
      <c r="H2381" s="2" t="s">
        <v>476</v>
      </c>
      <c r="I2381" s="26">
        <v>45503</v>
      </c>
      <c r="J2381" s="2">
        <v>20</v>
      </c>
      <c r="K2381" s="2" t="s">
        <v>123</v>
      </c>
      <c r="L2381" s="22">
        <v>16600</v>
      </c>
      <c r="M2381" s="22">
        <v>332000</v>
      </c>
      <c r="N2381" s="18">
        <v>355.08</v>
      </c>
      <c r="O2381" s="26">
        <v>45713</v>
      </c>
      <c r="P2381" s="2" t="s">
        <v>2105</v>
      </c>
      <c r="Q2381" s="2" t="s">
        <v>806</v>
      </c>
    </row>
    <row r="2382" spans="2:17" x14ac:dyDescent="0.25">
      <c r="B2382" s="2" t="s">
        <v>3187</v>
      </c>
      <c r="C2382" s="2" t="s">
        <v>269</v>
      </c>
      <c r="D2382" s="2" t="s">
        <v>270</v>
      </c>
      <c r="E2382" s="2" t="s">
        <v>256</v>
      </c>
      <c r="F2382" s="2" t="s">
        <v>535</v>
      </c>
      <c r="G2382" s="2" t="s">
        <v>475</v>
      </c>
      <c r="H2382" s="2" t="s">
        <v>476</v>
      </c>
      <c r="I2382" s="26">
        <v>45522</v>
      </c>
      <c r="J2382" s="2">
        <v>21</v>
      </c>
      <c r="K2382" s="2" t="s">
        <v>123</v>
      </c>
      <c r="L2382" s="22">
        <v>16600</v>
      </c>
      <c r="M2382" s="22">
        <v>348600</v>
      </c>
      <c r="N2382" s="18">
        <v>372.83</v>
      </c>
      <c r="O2382" s="26">
        <v>45732</v>
      </c>
      <c r="P2382" s="2" t="s">
        <v>2105</v>
      </c>
      <c r="Q2382" s="2" t="s">
        <v>806</v>
      </c>
    </row>
    <row r="2383" spans="2:17" x14ac:dyDescent="0.25">
      <c r="B2383" s="2" t="s">
        <v>3188</v>
      </c>
      <c r="C2383" s="2" t="s">
        <v>269</v>
      </c>
      <c r="D2383" s="2" t="s">
        <v>270</v>
      </c>
      <c r="E2383" s="2" t="s">
        <v>256</v>
      </c>
      <c r="F2383" s="2" t="s">
        <v>535</v>
      </c>
      <c r="G2383" s="2" t="s">
        <v>475</v>
      </c>
      <c r="H2383" s="2" t="s">
        <v>476</v>
      </c>
      <c r="I2383" s="26">
        <v>45543</v>
      </c>
      <c r="J2383" s="2">
        <v>24</v>
      </c>
      <c r="K2383" s="2" t="s">
        <v>123</v>
      </c>
      <c r="L2383" s="22">
        <v>16600</v>
      </c>
      <c r="M2383" s="22">
        <v>398400</v>
      </c>
      <c r="N2383" s="18">
        <v>426.1</v>
      </c>
      <c r="O2383" s="26">
        <v>45753</v>
      </c>
      <c r="P2383" s="2" t="s">
        <v>2105</v>
      </c>
      <c r="Q2383" s="2" t="s">
        <v>814</v>
      </c>
    </row>
    <row r="2384" spans="2:17" x14ac:dyDescent="0.25">
      <c r="B2384" s="2" t="s">
        <v>3189</v>
      </c>
      <c r="C2384" s="2" t="s">
        <v>269</v>
      </c>
      <c r="D2384" s="2" t="s">
        <v>270</v>
      </c>
      <c r="E2384" s="2" t="s">
        <v>256</v>
      </c>
      <c r="F2384" s="2" t="s">
        <v>535</v>
      </c>
      <c r="G2384" s="2" t="s">
        <v>475</v>
      </c>
      <c r="H2384" s="2" t="s">
        <v>476</v>
      </c>
      <c r="I2384" s="26">
        <v>45566</v>
      </c>
      <c r="J2384" s="2">
        <v>8</v>
      </c>
      <c r="K2384" s="2" t="s">
        <v>123</v>
      </c>
      <c r="L2384" s="22">
        <v>16600</v>
      </c>
      <c r="M2384" s="22">
        <v>132800</v>
      </c>
      <c r="N2384" s="18">
        <v>142.03</v>
      </c>
      <c r="O2384" s="26">
        <v>45776</v>
      </c>
      <c r="P2384" s="2" t="s">
        <v>2105</v>
      </c>
      <c r="Q2384" s="2" t="s">
        <v>814</v>
      </c>
    </row>
    <row r="2385" spans="2:17" x14ac:dyDescent="0.25">
      <c r="B2385" s="2" t="s">
        <v>3190</v>
      </c>
      <c r="C2385" s="2" t="s">
        <v>269</v>
      </c>
      <c r="D2385" s="2" t="s">
        <v>270</v>
      </c>
      <c r="E2385" s="2" t="s">
        <v>256</v>
      </c>
      <c r="F2385" s="2" t="s">
        <v>537</v>
      </c>
      <c r="G2385" s="2" t="s">
        <v>485</v>
      </c>
      <c r="H2385" s="2" t="s">
        <v>486</v>
      </c>
      <c r="I2385" s="26">
        <v>45590</v>
      </c>
      <c r="J2385" s="2">
        <v>8</v>
      </c>
      <c r="K2385" s="2" t="s">
        <v>123</v>
      </c>
      <c r="L2385" s="22">
        <v>16700</v>
      </c>
      <c r="M2385" s="22">
        <v>133600</v>
      </c>
      <c r="N2385" s="18">
        <v>142.88999999999999</v>
      </c>
      <c r="O2385" s="26">
        <v>45800</v>
      </c>
      <c r="P2385" s="2" t="s">
        <v>2105</v>
      </c>
      <c r="Q2385" s="2" t="s">
        <v>814</v>
      </c>
    </row>
    <row r="2386" spans="2:17" x14ac:dyDescent="0.25">
      <c r="B2386" s="2" t="s">
        <v>3191</v>
      </c>
      <c r="C2386" s="2" t="s">
        <v>269</v>
      </c>
      <c r="D2386" s="2" t="s">
        <v>270</v>
      </c>
      <c r="E2386" s="2" t="s">
        <v>256</v>
      </c>
      <c r="F2386" s="2" t="s">
        <v>535</v>
      </c>
      <c r="G2386" s="2" t="s">
        <v>475</v>
      </c>
      <c r="H2386" s="2" t="s">
        <v>476</v>
      </c>
      <c r="I2386" s="26">
        <v>45613</v>
      </c>
      <c r="J2386" s="2">
        <v>8</v>
      </c>
      <c r="K2386" s="2" t="s">
        <v>123</v>
      </c>
      <c r="L2386" s="22">
        <v>16600</v>
      </c>
      <c r="M2386" s="22">
        <v>132800</v>
      </c>
      <c r="N2386" s="18">
        <v>142.03</v>
      </c>
      <c r="O2386" s="26">
        <v>45823</v>
      </c>
      <c r="P2386" s="2" t="s">
        <v>2105</v>
      </c>
      <c r="Q2386" s="2" t="s">
        <v>814</v>
      </c>
    </row>
    <row r="2387" spans="2:17" x14ac:dyDescent="0.25">
      <c r="B2387" s="2" t="s">
        <v>3192</v>
      </c>
      <c r="C2387" s="2" t="s">
        <v>269</v>
      </c>
      <c r="D2387" s="2" t="s">
        <v>270</v>
      </c>
      <c r="E2387" s="2" t="s">
        <v>256</v>
      </c>
      <c r="F2387" s="2" t="s">
        <v>535</v>
      </c>
      <c r="G2387" s="2" t="s">
        <v>475</v>
      </c>
      <c r="H2387" s="2" t="s">
        <v>476</v>
      </c>
      <c r="I2387" s="26">
        <v>45631</v>
      </c>
      <c r="J2387" s="2">
        <v>8</v>
      </c>
      <c r="K2387" s="2" t="s">
        <v>123</v>
      </c>
      <c r="L2387" s="22">
        <v>16600</v>
      </c>
      <c r="M2387" s="22">
        <v>132800</v>
      </c>
      <c r="N2387" s="18">
        <v>142.03</v>
      </c>
      <c r="O2387" s="26">
        <v>45841</v>
      </c>
      <c r="P2387" s="2" t="s">
        <v>2105</v>
      </c>
      <c r="Q2387" s="2" t="s">
        <v>825</v>
      </c>
    </row>
    <row r="2388" spans="2:17" x14ac:dyDescent="0.25">
      <c r="B2388" s="2" t="s">
        <v>3193</v>
      </c>
      <c r="C2388" s="2" t="s">
        <v>269</v>
      </c>
      <c r="D2388" s="2" t="s">
        <v>270</v>
      </c>
      <c r="E2388" s="2" t="s">
        <v>256</v>
      </c>
      <c r="F2388" s="2" t="s">
        <v>535</v>
      </c>
      <c r="G2388" s="2" t="s">
        <v>475</v>
      </c>
      <c r="H2388" s="2" t="s">
        <v>476</v>
      </c>
      <c r="I2388" s="26">
        <v>45649</v>
      </c>
      <c r="J2388" s="2">
        <v>10</v>
      </c>
      <c r="K2388" s="2" t="s">
        <v>123</v>
      </c>
      <c r="L2388" s="22">
        <v>16600</v>
      </c>
      <c r="M2388" s="22">
        <v>166000</v>
      </c>
      <c r="N2388" s="18">
        <v>177.54</v>
      </c>
      <c r="O2388" s="26">
        <v>45859</v>
      </c>
      <c r="P2388" s="2" t="s">
        <v>2105</v>
      </c>
      <c r="Q2388" s="2" t="s">
        <v>825</v>
      </c>
    </row>
    <row r="2389" spans="2:17" x14ac:dyDescent="0.25">
      <c r="B2389" s="2" t="s">
        <v>3194</v>
      </c>
      <c r="C2389" s="2" t="s">
        <v>269</v>
      </c>
      <c r="D2389" s="2" t="s">
        <v>270</v>
      </c>
      <c r="E2389" s="2" t="s">
        <v>256</v>
      </c>
      <c r="F2389" s="2" t="s">
        <v>535</v>
      </c>
      <c r="G2389" s="2" t="s">
        <v>475</v>
      </c>
      <c r="H2389" s="2" t="s">
        <v>476</v>
      </c>
      <c r="I2389" s="26">
        <v>45670</v>
      </c>
      <c r="J2389" s="2">
        <v>8</v>
      </c>
      <c r="K2389" s="2" t="s">
        <v>123</v>
      </c>
      <c r="L2389" s="22">
        <v>16600</v>
      </c>
      <c r="M2389" s="22">
        <v>132800</v>
      </c>
      <c r="N2389" s="18">
        <v>142.03</v>
      </c>
      <c r="O2389" s="26">
        <v>45880</v>
      </c>
      <c r="P2389" s="2" t="s">
        <v>2105</v>
      </c>
      <c r="Q2389" s="2" t="s">
        <v>825</v>
      </c>
    </row>
    <row r="2390" spans="2:17" x14ac:dyDescent="0.25">
      <c r="B2390" s="2" t="s">
        <v>3195</v>
      </c>
      <c r="C2390" s="2" t="s">
        <v>269</v>
      </c>
      <c r="D2390" s="2" t="s">
        <v>270</v>
      </c>
      <c r="E2390" s="2" t="s">
        <v>256</v>
      </c>
      <c r="F2390" s="2" t="s">
        <v>535</v>
      </c>
      <c r="G2390" s="2" t="s">
        <v>475</v>
      </c>
      <c r="H2390" s="2" t="s">
        <v>476</v>
      </c>
      <c r="I2390" s="26">
        <v>45687</v>
      </c>
      <c r="J2390" s="2">
        <v>8</v>
      </c>
      <c r="K2390" s="2" t="s">
        <v>123</v>
      </c>
      <c r="L2390" s="22">
        <v>16600</v>
      </c>
      <c r="M2390" s="22">
        <v>132800</v>
      </c>
      <c r="N2390" s="18">
        <v>142.03</v>
      </c>
      <c r="O2390" s="26">
        <v>45897</v>
      </c>
      <c r="P2390" s="2" t="s">
        <v>2105</v>
      </c>
      <c r="Q2390" s="2" t="s">
        <v>825</v>
      </c>
    </row>
    <row r="2391" spans="2:17" x14ac:dyDescent="0.25">
      <c r="B2391" s="2" t="s">
        <v>3196</v>
      </c>
      <c r="C2391" s="2" t="s">
        <v>269</v>
      </c>
      <c r="D2391" s="2" t="s">
        <v>270</v>
      </c>
      <c r="E2391" s="2" t="s">
        <v>256</v>
      </c>
      <c r="F2391" s="2" t="s">
        <v>535</v>
      </c>
      <c r="G2391" s="2" t="s">
        <v>475</v>
      </c>
      <c r="H2391" s="2" t="s">
        <v>476</v>
      </c>
      <c r="I2391" s="26">
        <v>45704</v>
      </c>
      <c r="J2391" s="2">
        <v>7</v>
      </c>
      <c r="K2391" s="2" t="s">
        <v>123</v>
      </c>
      <c r="L2391" s="22">
        <v>16600</v>
      </c>
      <c r="M2391" s="22">
        <v>116200</v>
      </c>
      <c r="N2391" s="18">
        <v>124.28</v>
      </c>
      <c r="O2391" s="26">
        <v>45914</v>
      </c>
      <c r="P2391" s="2" t="s">
        <v>2105</v>
      </c>
      <c r="Q2391" s="2" t="s">
        <v>825</v>
      </c>
    </row>
    <row r="2392" spans="2:17" x14ac:dyDescent="0.25">
      <c r="B2392" s="2" t="s">
        <v>3197</v>
      </c>
      <c r="C2392" s="2" t="s">
        <v>269</v>
      </c>
      <c r="D2392" s="2" t="s">
        <v>270</v>
      </c>
      <c r="E2392" s="2" t="s">
        <v>256</v>
      </c>
      <c r="F2392" s="2" t="s">
        <v>535</v>
      </c>
      <c r="G2392" s="2" t="s">
        <v>475</v>
      </c>
      <c r="H2392" s="2" t="s">
        <v>476</v>
      </c>
      <c r="I2392" s="26">
        <v>45720</v>
      </c>
      <c r="J2392" s="2">
        <v>7</v>
      </c>
      <c r="K2392" s="2" t="s">
        <v>123</v>
      </c>
      <c r="L2392" s="22">
        <v>16600</v>
      </c>
      <c r="M2392" s="22">
        <v>116200</v>
      </c>
      <c r="N2392" s="18">
        <v>124.28</v>
      </c>
      <c r="O2392" s="26">
        <v>45930</v>
      </c>
      <c r="P2392" s="2" t="s">
        <v>2105</v>
      </c>
      <c r="Q2392" s="2" t="s">
        <v>836</v>
      </c>
    </row>
    <row r="2393" spans="2:17" x14ac:dyDescent="0.25">
      <c r="B2393" s="2" t="s">
        <v>3198</v>
      </c>
      <c r="C2393" s="2" t="s">
        <v>269</v>
      </c>
      <c r="D2393" s="2" t="s">
        <v>270</v>
      </c>
      <c r="E2393" s="2" t="s">
        <v>256</v>
      </c>
      <c r="F2393" s="2" t="s">
        <v>537</v>
      </c>
      <c r="G2393" s="2" t="s">
        <v>485</v>
      </c>
      <c r="H2393" s="2" t="s">
        <v>486</v>
      </c>
      <c r="I2393" s="26">
        <v>45745</v>
      </c>
      <c r="J2393" s="2">
        <v>8</v>
      </c>
      <c r="K2393" s="2" t="s">
        <v>123</v>
      </c>
      <c r="L2393" s="22">
        <v>16700</v>
      </c>
      <c r="M2393" s="22">
        <v>133600</v>
      </c>
      <c r="N2393" s="18">
        <v>142.88999999999999</v>
      </c>
      <c r="O2393" s="26">
        <v>45955</v>
      </c>
      <c r="P2393" s="2" t="s">
        <v>2105</v>
      </c>
      <c r="Q2393" s="2" t="s">
        <v>836</v>
      </c>
    </row>
    <row r="2394" spans="2:17" x14ac:dyDescent="0.25">
      <c r="B2394" s="2" t="s">
        <v>3199</v>
      </c>
      <c r="C2394" s="2" t="s">
        <v>269</v>
      </c>
      <c r="D2394" s="2" t="s">
        <v>270</v>
      </c>
      <c r="E2394" s="2" t="s">
        <v>256</v>
      </c>
      <c r="F2394" s="2" t="s">
        <v>535</v>
      </c>
      <c r="G2394" s="2" t="s">
        <v>475</v>
      </c>
      <c r="H2394" s="2" t="s">
        <v>476</v>
      </c>
      <c r="I2394" s="26">
        <v>45769</v>
      </c>
      <c r="J2394" s="2">
        <v>18</v>
      </c>
      <c r="K2394" s="2" t="s">
        <v>123</v>
      </c>
      <c r="L2394" s="22">
        <v>16600</v>
      </c>
      <c r="M2394" s="22">
        <v>298800</v>
      </c>
      <c r="N2394" s="18">
        <v>319.57</v>
      </c>
      <c r="O2394" s="26">
        <v>45979</v>
      </c>
      <c r="P2394" s="2" t="s">
        <v>2105</v>
      </c>
      <c r="Q2394" s="2" t="s">
        <v>836</v>
      </c>
    </row>
    <row r="2395" spans="2:17" x14ac:dyDescent="0.25">
      <c r="B2395" s="2" t="s">
        <v>3200</v>
      </c>
      <c r="C2395" s="2" t="s">
        <v>269</v>
      </c>
      <c r="D2395" s="2" t="s">
        <v>270</v>
      </c>
      <c r="E2395" s="2" t="s">
        <v>256</v>
      </c>
      <c r="F2395" s="2" t="s">
        <v>535</v>
      </c>
      <c r="G2395" s="2" t="s">
        <v>475</v>
      </c>
      <c r="H2395" s="2" t="s">
        <v>476</v>
      </c>
      <c r="I2395" s="26">
        <v>45787</v>
      </c>
      <c r="J2395" s="2">
        <v>23</v>
      </c>
      <c r="K2395" s="2" t="s">
        <v>123</v>
      </c>
      <c r="L2395" s="22">
        <v>16600</v>
      </c>
      <c r="M2395" s="22">
        <v>381800</v>
      </c>
      <c r="N2395" s="18">
        <v>408.34</v>
      </c>
      <c r="O2395" s="26">
        <v>45997</v>
      </c>
      <c r="P2395" s="2" t="s">
        <v>2105</v>
      </c>
      <c r="Q2395" s="2" t="s">
        <v>836</v>
      </c>
    </row>
    <row r="2396" spans="2:17" x14ac:dyDescent="0.25">
      <c r="B2396" s="2" t="s">
        <v>3201</v>
      </c>
      <c r="C2396" s="2" t="s">
        <v>269</v>
      </c>
      <c r="D2396" s="2" t="s">
        <v>270</v>
      </c>
      <c r="E2396" s="2" t="s">
        <v>256</v>
      </c>
      <c r="F2396" s="2" t="s">
        <v>535</v>
      </c>
      <c r="G2396" s="2" t="s">
        <v>475</v>
      </c>
      <c r="H2396" s="2" t="s">
        <v>476</v>
      </c>
      <c r="I2396" s="26">
        <v>45804</v>
      </c>
      <c r="J2396" s="2">
        <v>19</v>
      </c>
      <c r="K2396" s="2" t="s">
        <v>123</v>
      </c>
      <c r="L2396" s="22">
        <v>16600</v>
      </c>
      <c r="M2396" s="22">
        <v>315400</v>
      </c>
      <c r="N2396" s="18">
        <v>337.33</v>
      </c>
      <c r="O2396" s="26">
        <v>46014</v>
      </c>
      <c r="P2396" s="2" t="s">
        <v>2105</v>
      </c>
      <c r="Q2396" s="2" t="s">
        <v>836</v>
      </c>
    </row>
    <row r="2397" spans="2:17" x14ac:dyDescent="0.25">
      <c r="B2397" s="2" t="s">
        <v>3202</v>
      </c>
      <c r="C2397" s="2" t="s">
        <v>269</v>
      </c>
      <c r="D2397" s="2" t="s">
        <v>270</v>
      </c>
      <c r="E2397" s="2" t="s">
        <v>256</v>
      </c>
      <c r="F2397" s="2" t="s">
        <v>535</v>
      </c>
      <c r="G2397" s="2" t="s">
        <v>475</v>
      </c>
      <c r="H2397" s="2" t="s">
        <v>476</v>
      </c>
      <c r="I2397" s="26">
        <v>45825</v>
      </c>
      <c r="J2397" s="2">
        <v>22</v>
      </c>
      <c r="K2397" s="2" t="s">
        <v>123</v>
      </c>
      <c r="L2397" s="22">
        <v>16600</v>
      </c>
      <c r="M2397" s="22">
        <v>365200</v>
      </c>
      <c r="N2397" s="18">
        <v>390.59</v>
      </c>
      <c r="O2397" s="26">
        <v>46035</v>
      </c>
      <c r="P2397" s="2" t="s">
        <v>2105</v>
      </c>
      <c r="Q2397" s="2" t="s">
        <v>806</v>
      </c>
    </row>
    <row r="2398" spans="2:17" x14ac:dyDescent="0.25">
      <c r="B2398" s="2" t="s">
        <v>3203</v>
      </c>
      <c r="C2398" s="2" t="s">
        <v>271</v>
      </c>
      <c r="D2398" s="2" t="s">
        <v>272</v>
      </c>
      <c r="E2398" s="2" t="s">
        <v>256</v>
      </c>
      <c r="F2398" s="2" t="s">
        <v>537</v>
      </c>
      <c r="G2398" s="2" t="s">
        <v>485</v>
      </c>
      <c r="H2398" s="2" t="s">
        <v>486</v>
      </c>
      <c r="I2398" s="26">
        <v>45128</v>
      </c>
      <c r="J2398" s="2">
        <v>19</v>
      </c>
      <c r="K2398" s="2" t="s">
        <v>123</v>
      </c>
      <c r="L2398" s="22">
        <v>19850</v>
      </c>
      <c r="M2398" s="22">
        <v>377150</v>
      </c>
      <c r="N2398" s="18">
        <v>403.37</v>
      </c>
      <c r="O2398" s="26">
        <v>45338</v>
      </c>
      <c r="P2398" s="2" t="s">
        <v>2105</v>
      </c>
      <c r="Q2398" s="2" t="s">
        <v>806</v>
      </c>
    </row>
    <row r="2399" spans="2:17" x14ac:dyDescent="0.25">
      <c r="B2399" s="2" t="s">
        <v>3204</v>
      </c>
      <c r="C2399" s="2" t="s">
        <v>271</v>
      </c>
      <c r="D2399" s="2" t="s">
        <v>272</v>
      </c>
      <c r="E2399" s="2" t="s">
        <v>256</v>
      </c>
      <c r="F2399" s="2" t="s">
        <v>535</v>
      </c>
      <c r="G2399" s="2" t="s">
        <v>475</v>
      </c>
      <c r="H2399" s="2" t="s">
        <v>476</v>
      </c>
      <c r="I2399" s="26">
        <v>45147</v>
      </c>
      <c r="J2399" s="2">
        <v>17</v>
      </c>
      <c r="K2399" s="2" t="s">
        <v>123</v>
      </c>
      <c r="L2399" s="22">
        <v>19600</v>
      </c>
      <c r="M2399" s="22">
        <v>333200</v>
      </c>
      <c r="N2399" s="18">
        <v>356.36</v>
      </c>
      <c r="O2399" s="26">
        <v>45357</v>
      </c>
      <c r="P2399" s="2" t="s">
        <v>2105</v>
      </c>
      <c r="Q2399" s="2" t="s">
        <v>806</v>
      </c>
    </row>
    <row r="2400" spans="2:17" x14ac:dyDescent="0.25">
      <c r="B2400" s="2" t="s">
        <v>3205</v>
      </c>
      <c r="C2400" s="2" t="s">
        <v>271</v>
      </c>
      <c r="D2400" s="2" t="s">
        <v>272</v>
      </c>
      <c r="E2400" s="2" t="s">
        <v>256</v>
      </c>
      <c r="F2400" s="2" t="s">
        <v>535</v>
      </c>
      <c r="G2400" s="2" t="s">
        <v>475</v>
      </c>
      <c r="H2400" s="2" t="s">
        <v>476</v>
      </c>
      <c r="I2400" s="26">
        <v>45165</v>
      </c>
      <c r="J2400" s="2">
        <v>17</v>
      </c>
      <c r="K2400" s="2" t="s">
        <v>123</v>
      </c>
      <c r="L2400" s="22">
        <v>19600</v>
      </c>
      <c r="M2400" s="22">
        <v>333200</v>
      </c>
      <c r="N2400" s="18">
        <v>356.36</v>
      </c>
      <c r="O2400" s="26">
        <v>45375</v>
      </c>
      <c r="P2400" s="2" t="s">
        <v>2105</v>
      </c>
      <c r="Q2400" s="2" t="s">
        <v>806</v>
      </c>
    </row>
    <row r="2401" spans="2:17" x14ac:dyDescent="0.25">
      <c r="B2401" s="2" t="s">
        <v>3206</v>
      </c>
      <c r="C2401" s="2" t="s">
        <v>271</v>
      </c>
      <c r="D2401" s="2" t="s">
        <v>272</v>
      </c>
      <c r="E2401" s="2" t="s">
        <v>256</v>
      </c>
      <c r="F2401" s="2" t="s">
        <v>535</v>
      </c>
      <c r="G2401" s="2" t="s">
        <v>475</v>
      </c>
      <c r="H2401" s="2" t="s">
        <v>476</v>
      </c>
      <c r="I2401" s="26">
        <v>45188</v>
      </c>
      <c r="J2401" s="2">
        <v>26</v>
      </c>
      <c r="K2401" s="2" t="s">
        <v>123</v>
      </c>
      <c r="L2401" s="22">
        <v>19600</v>
      </c>
      <c r="M2401" s="22">
        <v>509600</v>
      </c>
      <c r="N2401" s="18">
        <v>545.03</v>
      </c>
      <c r="O2401" s="26">
        <v>45398</v>
      </c>
      <c r="P2401" s="2" t="s">
        <v>2105</v>
      </c>
      <c r="Q2401" s="2" t="s">
        <v>814</v>
      </c>
    </row>
    <row r="2402" spans="2:17" x14ac:dyDescent="0.25">
      <c r="B2402" s="2" t="s">
        <v>3207</v>
      </c>
      <c r="C2402" s="2" t="s">
        <v>271</v>
      </c>
      <c r="D2402" s="2" t="s">
        <v>272</v>
      </c>
      <c r="E2402" s="2" t="s">
        <v>256</v>
      </c>
      <c r="F2402" s="2" t="s">
        <v>535</v>
      </c>
      <c r="G2402" s="2" t="s">
        <v>475</v>
      </c>
      <c r="H2402" s="2" t="s">
        <v>476</v>
      </c>
      <c r="I2402" s="26">
        <v>45205</v>
      </c>
      <c r="J2402" s="2">
        <v>8</v>
      </c>
      <c r="K2402" s="2" t="s">
        <v>123</v>
      </c>
      <c r="L2402" s="22">
        <v>19600</v>
      </c>
      <c r="M2402" s="22">
        <v>156800</v>
      </c>
      <c r="N2402" s="18">
        <v>167.7</v>
      </c>
      <c r="O2402" s="26">
        <v>45415</v>
      </c>
      <c r="P2402" s="2" t="s">
        <v>2105</v>
      </c>
      <c r="Q2402" s="2" t="s">
        <v>814</v>
      </c>
    </row>
    <row r="2403" spans="2:17" x14ac:dyDescent="0.25">
      <c r="B2403" s="2" t="s">
        <v>3208</v>
      </c>
      <c r="C2403" s="2" t="s">
        <v>271</v>
      </c>
      <c r="D2403" s="2" t="s">
        <v>272</v>
      </c>
      <c r="E2403" s="2" t="s">
        <v>256</v>
      </c>
      <c r="F2403" s="2" t="s">
        <v>535</v>
      </c>
      <c r="G2403" s="2" t="s">
        <v>475</v>
      </c>
      <c r="H2403" s="2" t="s">
        <v>476</v>
      </c>
      <c r="I2403" s="26">
        <v>45228</v>
      </c>
      <c r="J2403" s="2">
        <v>7</v>
      </c>
      <c r="K2403" s="2" t="s">
        <v>123</v>
      </c>
      <c r="L2403" s="22">
        <v>19600</v>
      </c>
      <c r="M2403" s="22">
        <v>137200</v>
      </c>
      <c r="N2403" s="18">
        <v>146.74</v>
      </c>
      <c r="O2403" s="26">
        <v>45438</v>
      </c>
      <c r="P2403" s="2" t="s">
        <v>2105</v>
      </c>
      <c r="Q2403" s="2" t="s">
        <v>814</v>
      </c>
    </row>
    <row r="2404" spans="2:17" x14ac:dyDescent="0.25">
      <c r="B2404" s="2" t="s">
        <v>3209</v>
      </c>
      <c r="C2404" s="2" t="s">
        <v>271</v>
      </c>
      <c r="D2404" s="2" t="s">
        <v>272</v>
      </c>
      <c r="E2404" s="2" t="s">
        <v>256</v>
      </c>
      <c r="F2404" s="2" t="s">
        <v>535</v>
      </c>
      <c r="G2404" s="2" t="s">
        <v>475</v>
      </c>
      <c r="H2404" s="2" t="s">
        <v>476</v>
      </c>
      <c r="I2404" s="26">
        <v>45248</v>
      </c>
      <c r="J2404" s="2">
        <v>8</v>
      </c>
      <c r="K2404" s="2" t="s">
        <v>123</v>
      </c>
      <c r="L2404" s="22">
        <v>19600</v>
      </c>
      <c r="M2404" s="22">
        <v>156800</v>
      </c>
      <c r="N2404" s="18">
        <v>167.7</v>
      </c>
      <c r="O2404" s="26">
        <v>45458</v>
      </c>
      <c r="P2404" s="2" t="s">
        <v>2105</v>
      </c>
      <c r="Q2404" s="2" t="s">
        <v>814</v>
      </c>
    </row>
    <row r="2405" spans="2:17" x14ac:dyDescent="0.25">
      <c r="B2405" s="2" t="s">
        <v>3210</v>
      </c>
      <c r="C2405" s="2" t="s">
        <v>271</v>
      </c>
      <c r="D2405" s="2" t="s">
        <v>272</v>
      </c>
      <c r="E2405" s="2" t="s">
        <v>256</v>
      </c>
      <c r="F2405" s="2" t="s">
        <v>535</v>
      </c>
      <c r="G2405" s="2" t="s">
        <v>475</v>
      </c>
      <c r="H2405" s="2" t="s">
        <v>476</v>
      </c>
      <c r="I2405" s="26">
        <v>45265</v>
      </c>
      <c r="J2405" s="2">
        <v>9</v>
      </c>
      <c r="K2405" s="2" t="s">
        <v>123</v>
      </c>
      <c r="L2405" s="22">
        <v>19600</v>
      </c>
      <c r="M2405" s="22">
        <v>176400</v>
      </c>
      <c r="N2405" s="18">
        <v>188.66</v>
      </c>
      <c r="O2405" s="26">
        <v>45475</v>
      </c>
      <c r="P2405" s="2" t="s">
        <v>2105</v>
      </c>
      <c r="Q2405" s="2" t="s">
        <v>825</v>
      </c>
    </row>
    <row r="2406" spans="2:17" x14ac:dyDescent="0.25">
      <c r="B2406" s="2" t="s">
        <v>3211</v>
      </c>
      <c r="C2406" s="2" t="s">
        <v>271</v>
      </c>
      <c r="D2406" s="2" t="s">
        <v>272</v>
      </c>
      <c r="E2406" s="2" t="s">
        <v>256</v>
      </c>
      <c r="F2406" s="2" t="s">
        <v>537</v>
      </c>
      <c r="G2406" s="2" t="s">
        <v>485</v>
      </c>
      <c r="H2406" s="2" t="s">
        <v>486</v>
      </c>
      <c r="I2406" s="26">
        <v>45285</v>
      </c>
      <c r="J2406" s="2">
        <v>9</v>
      </c>
      <c r="K2406" s="2" t="s">
        <v>123</v>
      </c>
      <c r="L2406" s="22">
        <v>19850</v>
      </c>
      <c r="M2406" s="22">
        <v>178650</v>
      </c>
      <c r="N2406" s="18">
        <v>191.07</v>
      </c>
      <c r="O2406" s="26">
        <v>45495</v>
      </c>
      <c r="P2406" s="2" t="s">
        <v>2105</v>
      </c>
      <c r="Q2406" s="2" t="s">
        <v>825</v>
      </c>
    </row>
    <row r="2407" spans="2:17" x14ac:dyDescent="0.25">
      <c r="B2407" s="2" t="s">
        <v>3212</v>
      </c>
      <c r="C2407" s="2" t="s">
        <v>271</v>
      </c>
      <c r="D2407" s="2" t="s">
        <v>272</v>
      </c>
      <c r="E2407" s="2" t="s">
        <v>256</v>
      </c>
      <c r="F2407" s="2" t="s">
        <v>535</v>
      </c>
      <c r="G2407" s="2" t="s">
        <v>475</v>
      </c>
      <c r="H2407" s="2" t="s">
        <v>476</v>
      </c>
      <c r="I2407" s="26">
        <v>45309</v>
      </c>
      <c r="J2407" s="2">
        <v>8</v>
      </c>
      <c r="K2407" s="2" t="s">
        <v>123</v>
      </c>
      <c r="L2407" s="22">
        <v>19600</v>
      </c>
      <c r="M2407" s="22">
        <v>156800</v>
      </c>
      <c r="N2407" s="18">
        <v>167.7</v>
      </c>
      <c r="O2407" s="26">
        <v>45519</v>
      </c>
      <c r="P2407" s="2" t="s">
        <v>2105</v>
      </c>
      <c r="Q2407" s="2" t="s">
        <v>825</v>
      </c>
    </row>
    <row r="2408" spans="2:17" x14ac:dyDescent="0.25">
      <c r="B2408" s="2" t="s">
        <v>3213</v>
      </c>
      <c r="C2408" s="2" t="s">
        <v>271</v>
      </c>
      <c r="D2408" s="2" t="s">
        <v>272</v>
      </c>
      <c r="E2408" s="2" t="s">
        <v>256</v>
      </c>
      <c r="F2408" s="2" t="s">
        <v>535</v>
      </c>
      <c r="G2408" s="2" t="s">
        <v>475</v>
      </c>
      <c r="H2408" s="2" t="s">
        <v>476</v>
      </c>
      <c r="I2408" s="26">
        <v>45326</v>
      </c>
      <c r="J2408" s="2">
        <v>6</v>
      </c>
      <c r="K2408" s="2" t="s">
        <v>123</v>
      </c>
      <c r="L2408" s="22">
        <v>19600</v>
      </c>
      <c r="M2408" s="22">
        <v>117600</v>
      </c>
      <c r="N2408" s="18">
        <v>125.78</v>
      </c>
      <c r="O2408" s="26">
        <v>45536</v>
      </c>
      <c r="P2408" s="2" t="s">
        <v>2105</v>
      </c>
      <c r="Q2408" s="2" t="s">
        <v>825</v>
      </c>
    </row>
    <row r="2409" spans="2:17" x14ac:dyDescent="0.25">
      <c r="B2409" s="2" t="s">
        <v>3214</v>
      </c>
      <c r="C2409" s="2" t="s">
        <v>271</v>
      </c>
      <c r="D2409" s="2" t="s">
        <v>272</v>
      </c>
      <c r="E2409" s="2" t="s">
        <v>256</v>
      </c>
      <c r="F2409" s="2" t="s">
        <v>535</v>
      </c>
      <c r="G2409" s="2" t="s">
        <v>475</v>
      </c>
      <c r="H2409" s="2" t="s">
        <v>476</v>
      </c>
      <c r="I2409" s="26">
        <v>45350</v>
      </c>
      <c r="J2409" s="2">
        <v>8</v>
      </c>
      <c r="K2409" s="2" t="s">
        <v>123</v>
      </c>
      <c r="L2409" s="22">
        <v>19600</v>
      </c>
      <c r="M2409" s="22">
        <v>156800</v>
      </c>
      <c r="N2409" s="18">
        <v>167.7</v>
      </c>
      <c r="O2409" s="26">
        <v>45560</v>
      </c>
      <c r="P2409" s="2" t="s">
        <v>2105</v>
      </c>
      <c r="Q2409" s="2" t="s">
        <v>825</v>
      </c>
    </row>
    <row r="2410" spans="2:17" x14ac:dyDescent="0.25">
      <c r="B2410" s="2" t="s">
        <v>3215</v>
      </c>
      <c r="C2410" s="2" t="s">
        <v>271</v>
      </c>
      <c r="D2410" s="2" t="s">
        <v>272</v>
      </c>
      <c r="E2410" s="2" t="s">
        <v>256</v>
      </c>
      <c r="F2410" s="2" t="s">
        <v>535</v>
      </c>
      <c r="G2410" s="2" t="s">
        <v>475</v>
      </c>
      <c r="H2410" s="2" t="s">
        <v>476</v>
      </c>
      <c r="I2410" s="26">
        <v>45365</v>
      </c>
      <c r="J2410" s="2">
        <v>8</v>
      </c>
      <c r="K2410" s="2" t="s">
        <v>123</v>
      </c>
      <c r="L2410" s="22">
        <v>19600</v>
      </c>
      <c r="M2410" s="22">
        <v>156800</v>
      </c>
      <c r="N2410" s="18">
        <v>167.7</v>
      </c>
      <c r="O2410" s="26">
        <v>45575</v>
      </c>
      <c r="P2410" s="2" t="s">
        <v>2105</v>
      </c>
      <c r="Q2410" s="2" t="s">
        <v>836</v>
      </c>
    </row>
    <row r="2411" spans="2:17" x14ac:dyDescent="0.25">
      <c r="B2411" s="2" t="s">
        <v>3216</v>
      </c>
      <c r="C2411" s="2" t="s">
        <v>271</v>
      </c>
      <c r="D2411" s="2" t="s">
        <v>272</v>
      </c>
      <c r="E2411" s="2" t="s">
        <v>256</v>
      </c>
      <c r="F2411" s="2" t="s">
        <v>535</v>
      </c>
      <c r="G2411" s="2" t="s">
        <v>475</v>
      </c>
      <c r="H2411" s="2" t="s">
        <v>476</v>
      </c>
      <c r="I2411" s="26">
        <v>45392</v>
      </c>
      <c r="J2411" s="2">
        <v>18</v>
      </c>
      <c r="K2411" s="2" t="s">
        <v>123</v>
      </c>
      <c r="L2411" s="22">
        <v>19600</v>
      </c>
      <c r="M2411" s="22">
        <v>352800</v>
      </c>
      <c r="N2411" s="18">
        <v>377.33</v>
      </c>
      <c r="O2411" s="26">
        <v>45602</v>
      </c>
      <c r="P2411" s="2" t="s">
        <v>2105</v>
      </c>
      <c r="Q2411" s="2" t="s">
        <v>836</v>
      </c>
    </row>
    <row r="2412" spans="2:17" x14ac:dyDescent="0.25">
      <c r="B2412" s="2" t="s">
        <v>3217</v>
      </c>
      <c r="C2412" s="2" t="s">
        <v>271</v>
      </c>
      <c r="D2412" s="2" t="s">
        <v>272</v>
      </c>
      <c r="E2412" s="2" t="s">
        <v>256</v>
      </c>
      <c r="F2412" s="2" t="s">
        <v>535</v>
      </c>
      <c r="G2412" s="2" t="s">
        <v>475</v>
      </c>
      <c r="H2412" s="2" t="s">
        <v>476</v>
      </c>
      <c r="I2412" s="26">
        <v>45411</v>
      </c>
      <c r="J2412" s="2">
        <v>20</v>
      </c>
      <c r="K2412" s="2" t="s">
        <v>123</v>
      </c>
      <c r="L2412" s="22">
        <v>19600</v>
      </c>
      <c r="M2412" s="22">
        <v>392000</v>
      </c>
      <c r="N2412" s="18">
        <v>419.25</v>
      </c>
      <c r="O2412" s="26">
        <v>45621</v>
      </c>
      <c r="P2412" s="2" t="s">
        <v>2105</v>
      </c>
      <c r="Q2412" s="2" t="s">
        <v>836</v>
      </c>
    </row>
    <row r="2413" spans="2:17" x14ac:dyDescent="0.25">
      <c r="B2413" s="2" t="s">
        <v>3218</v>
      </c>
      <c r="C2413" s="2" t="s">
        <v>271</v>
      </c>
      <c r="D2413" s="2" t="s">
        <v>272</v>
      </c>
      <c r="E2413" s="2" t="s">
        <v>256</v>
      </c>
      <c r="F2413" s="2" t="s">
        <v>535</v>
      </c>
      <c r="G2413" s="2" t="s">
        <v>475</v>
      </c>
      <c r="H2413" s="2" t="s">
        <v>476</v>
      </c>
      <c r="I2413" s="26">
        <v>45435</v>
      </c>
      <c r="J2413" s="2">
        <v>21</v>
      </c>
      <c r="K2413" s="2" t="s">
        <v>123</v>
      </c>
      <c r="L2413" s="22">
        <v>19600</v>
      </c>
      <c r="M2413" s="22">
        <v>411600</v>
      </c>
      <c r="N2413" s="18">
        <v>440.21</v>
      </c>
      <c r="O2413" s="26">
        <v>45645</v>
      </c>
      <c r="P2413" s="2" t="s">
        <v>2105</v>
      </c>
      <c r="Q2413" s="2" t="s">
        <v>836</v>
      </c>
    </row>
    <row r="2414" spans="2:17" x14ac:dyDescent="0.25">
      <c r="B2414" s="2" t="s">
        <v>3219</v>
      </c>
      <c r="C2414" s="2" t="s">
        <v>271</v>
      </c>
      <c r="D2414" s="2" t="s">
        <v>272</v>
      </c>
      <c r="E2414" s="2" t="s">
        <v>256</v>
      </c>
      <c r="F2414" s="2" t="s">
        <v>535</v>
      </c>
      <c r="G2414" s="2" t="s">
        <v>475</v>
      </c>
      <c r="H2414" s="2" t="s">
        <v>476</v>
      </c>
      <c r="I2414" s="26">
        <v>45454</v>
      </c>
      <c r="J2414" s="2">
        <v>20</v>
      </c>
      <c r="K2414" s="2" t="s">
        <v>123</v>
      </c>
      <c r="L2414" s="22">
        <v>19600</v>
      </c>
      <c r="M2414" s="22">
        <v>392000</v>
      </c>
      <c r="N2414" s="18">
        <v>419.25</v>
      </c>
      <c r="O2414" s="26">
        <v>45664</v>
      </c>
      <c r="P2414" s="2" t="s">
        <v>2105</v>
      </c>
      <c r="Q2414" s="2" t="s">
        <v>806</v>
      </c>
    </row>
    <row r="2415" spans="2:17" x14ac:dyDescent="0.25">
      <c r="B2415" s="2" t="s">
        <v>3220</v>
      </c>
      <c r="C2415" s="2" t="s">
        <v>271</v>
      </c>
      <c r="D2415" s="2" t="s">
        <v>272</v>
      </c>
      <c r="E2415" s="2" t="s">
        <v>256</v>
      </c>
      <c r="F2415" s="2" t="s">
        <v>537</v>
      </c>
      <c r="G2415" s="2" t="s">
        <v>485</v>
      </c>
      <c r="H2415" s="2" t="s">
        <v>486</v>
      </c>
      <c r="I2415" s="26">
        <v>45471</v>
      </c>
      <c r="J2415" s="2">
        <v>20</v>
      </c>
      <c r="K2415" s="2" t="s">
        <v>123</v>
      </c>
      <c r="L2415" s="22">
        <v>19850</v>
      </c>
      <c r="M2415" s="22">
        <v>397000</v>
      </c>
      <c r="N2415" s="18">
        <v>424.6</v>
      </c>
      <c r="O2415" s="26">
        <v>45681</v>
      </c>
      <c r="P2415" s="2" t="s">
        <v>2105</v>
      </c>
      <c r="Q2415" s="2" t="s">
        <v>806</v>
      </c>
    </row>
    <row r="2416" spans="2:17" x14ac:dyDescent="0.25">
      <c r="B2416" s="2" t="s">
        <v>3221</v>
      </c>
      <c r="C2416" s="2" t="s">
        <v>271</v>
      </c>
      <c r="D2416" s="2" t="s">
        <v>272</v>
      </c>
      <c r="E2416" s="2" t="s">
        <v>256</v>
      </c>
      <c r="F2416" s="2" t="s">
        <v>535</v>
      </c>
      <c r="G2416" s="2" t="s">
        <v>475</v>
      </c>
      <c r="H2416" s="2" t="s">
        <v>476</v>
      </c>
      <c r="I2416" s="26">
        <v>45495</v>
      </c>
      <c r="J2416" s="2">
        <v>20</v>
      </c>
      <c r="K2416" s="2" t="s">
        <v>123</v>
      </c>
      <c r="L2416" s="22">
        <v>19600</v>
      </c>
      <c r="M2416" s="22">
        <v>392000</v>
      </c>
      <c r="N2416" s="18">
        <v>419.25</v>
      </c>
      <c r="O2416" s="26">
        <v>45705</v>
      </c>
      <c r="P2416" s="2" t="s">
        <v>2105</v>
      </c>
      <c r="Q2416" s="2" t="s">
        <v>806</v>
      </c>
    </row>
    <row r="2417" spans="2:17" x14ac:dyDescent="0.25">
      <c r="B2417" s="2" t="s">
        <v>3222</v>
      </c>
      <c r="C2417" s="2" t="s">
        <v>271</v>
      </c>
      <c r="D2417" s="2" t="s">
        <v>272</v>
      </c>
      <c r="E2417" s="2" t="s">
        <v>256</v>
      </c>
      <c r="F2417" s="2" t="s">
        <v>535</v>
      </c>
      <c r="G2417" s="2" t="s">
        <v>475</v>
      </c>
      <c r="H2417" s="2" t="s">
        <v>476</v>
      </c>
      <c r="I2417" s="26">
        <v>45517</v>
      </c>
      <c r="J2417" s="2">
        <v>22</v>
      </c>
      <c r="K2417" s="2" t="s">
        <v>123</v>
      </c>
      <c r="L2417" s="22">
        <v>19600</v>
      </c>
      <c r="M2417" s="22">
        <v>431200</v>
      </c>
      <c r="N2417" s="18">
        <v>461.18</v>
      </c>
      <c r="O2417" s="26">
        <v>45727</v>
      </c>
      <c r="P2417" s="2" t="s">
        <v>2105</v>
      </c>
      <c r="Q2417" s="2" t="s">
        <v>806</v>
      </c>
    </row>
    <row r="2418" spans="2:17" x14ac:dyDescent="0.25">
      <c r="B2418" s="2" t="s">
        <v>3223</v>
      </c>
      <c r="C2418" s="2" t="s">
        <v>271</v>
      </c>
      <c r="D2418" s="2" t="s">
        <v>272</v>
      </c>
      <c r="E2418" s="2" t="s">
        <v>256</v>
      </c>
      <c r="F2418" s="2" t="s">
        <v>535</v>
      </c>
      <c r="G2418" s="2" t="s">
        <v>475</v>
      </c>
      <c r="H2418" s="2" t="s">
        <v>476</v>
      </c>
      <c r="I2418" s="26">
        <v>45542</v>
      </c>
      <c r="J2418" s="2">
        <v>24</v>
      </c>
      <c r="K2418" s="2" t="s">
        <v>123</v>
      </c>
      <c r="L2418" s="22">
        <v>19600</v>
      </c>
      <c r="M2418" s="22">
        <v>470400</v>
      </c>
      <c r="N2418" s="18">
        <v>503.1</v>
      </c>
      <c r="O2418" s="26">
        <v>45752</v>
      </c>
      <c r="P2418" s="2" t="s">
        <v>2105</v>
      </c>
      <c r="Q2418" s="2" t="s">
        <v>814</v>
      </c>
    </row>
    <row r="2419" spans="2:17" x14ac:dyDescent="0.25">
      <c r="B2419" s="2" t="s">
        <v>3224</v>
      </c>
      <c r="C2419" s="2" t="s">
        <v>271</v>
      </c>
      <c r="D2419" s="2" t="s">
        <v>272</v>
      </c>
      <c r="E2419" s="2" t="s">
        <v>256</v>
      </c>
      <c r="F2419" s="2" t="s">
        <v>535</v>
      </c>
      <c r="G2419" s="2" t="s">
        <v>475</v>
      </c>
      <c r="H2419" s="2" t="s">
        <v>476</v>
      </c>
      <c r="I2419" s="26">
        <v>45563</v>
      </c>
      <c r="J2419" s="2">
        <v>23</v>
      </c>
      <c r="K2419" s="2" t="s">
        <v>123</v>
      </c>
      <c r="L2419" s="22">
        <v>19600</v>
      </c>
      <c r="M2419" s="22">
        <v>450800</v>
      </c>
      <c r="N2419" s="18">
        <v>482.14</v>
      </c>
      <c r="O2419" s="26">
        <v>45773</v>
      </c>
      <c r="P2419" s="2" t="s">
        <v>2105</v>
      </c>
      <c r="Q2419" s="2" t="s">
        <v>814</v>
      </c>
    </row>
    <row r="2420" spans="2:17" x14ac:dyDescent="0.25">
      <c r="B2420" s="2" t="s">
        <v>3225</v>
      </c>
      <c r="C2420" s="2" t="s">
        <v>271</v>
      </c>
      <c r="D2420" s="2" t="s">
        <v>272</v>
      </c>
      <c r="E2420" s="2" t="s">
        <v>256</v>
      </c>
      <c r="F2420" s="2" t="s">
        <v>535</v>
      </c>
      <c r="G2420" s="2" t="s">
        <v>475</v>
      </c>
      <c r="H2420" s="2" t="s">
        <v>476</v>
      </c>
      <c r="I2420" s="26">
        <v>45581</v>
      </c>
      <c r="J2420" s="2">
        <v>7</v>
      </c>
      <c r="K2420" s="2" t="s">
        <v>123</v>
      </c>
      <c r="L2420" s="22">
        <v>19600</v>
      </c>
      <c r="M2420" s="22">
        <v>137200</v>
      </c>
      <c r="N2420" s="18">
        <v>146.74</v>
      </c>
      <c r="O2420" s="26">
        <v>45791</v>
      </c>
      <c r="P2420" s="2" t="s">
        <v>2105</v>
      </c>
      <c r="Q2420" s="2" t="s">
        <v>814</v>
      </c>
    </row>
    <row r="2421" spans="2:17" x14ac:dyDescent="0.25">
      <c r="B2421" s="2" t="s">
        <v>3226</v>
      </c>
      <c r="C2421" s="2" t="s">
        <v>271</v>
      </c>
      <c r="D2421" s="2" t="s">
        <v>272</v>
      </c>
      <c r="E2421" s="2" t="s">
        <v>256</v>
      </c>
      <c r="F2421" s="2" t="s">
        <v>535</v>
      </c>
      <c r="G2421" s="2" t="s">
        <v>475</v>
      </c>
      <c r="H2421" s="2" t="s">
        <v>476</v>
      </c>
      <c r="I2421" s="26">
        <v>45601</v>
      </c>
      <c r="J2421" s="2">
        <v>8</v>
      </c>
      <c r="K2421" s="2" t="s">
        <v>123</v>
      </c>
      <c r="L2421" s="22">
        <v>19600</v>
      </c>
      <c r="M2421" s="22">
        <v>156800</v>
      </c>
      <c r="N2421" s="18">
        <v>167.7</v>
      </c>
      <c r="O2421" s="26">
        <v>45811</v>
      </c>
      <c r="P2421" s="2" t="s">
        <v>2105</v>
      </c>
      <c r="Q2421" s="2" t="s">
        <v>814</v>
      </c>
    </row>
    <row r="2422" spans="2:17" x14ac:dyDescent="0.25">
      <c r="B2422" s="2" t="s">
        <v>3227</v>
      </c>
      <c r="C2422" s="2" t="s">
        <v>271</v>
      </c>
      <c r="D2422" s="2" t="s">
        <v>272</v>
      </c>
      <c r="E2422" s="2" t="s">
        <v>256</v>
      </c>
      <c r="F2422" s="2" t="s">
        <v>535</v>
      </c>
      <c r="G2422" s="2" t="s">
        <v>475</v>
      </c>
      <c r="H2422" s="2" t="s">
        <v>476</v>
      </c>
      <c r="I2422" s="26">
        <v>45624</v>
      </c>
      <c r="J2422" s="2">
        <v>8</v>
      </c>
      <c r="K2422" s="2" t="s">
        <v>123</v>
      </c>
      <c r="L2422" s="22">
        <v>19600</v>
      </c>
      <c r="M2422" s="22">
        <v>156800</v>
      </c>
      <c r="N2422" s="18">
        <v>167.7</v>
      </c>
      <c r="O2422" s="26">
        <v>45834</v>
      </c>
      <c r="P2422" s="2" t="s">
        <v>2105</v>
      </c>
      <c r="Q2422" s="2" t="s">
        <v>814</v>
      </c>
    </row>
    <row r="2423" spans="2:17" x14ac:dyDescent="0.25">
      <c r="B2423" s="2" t="s">
        <v>3228</v>
      </c>
      <c r="C2423" s="2" t="s">
        <v>271</v>
      </c>
      <c r="D2423" s="2" t="s">
        <v>272</v>
      </c>
      <c r="E2423" s="2" t="s">
        <v>256</v>
      </c>
      <c r="F2423" s="2" t="s">
        <v>535</v>
      </c>
      <c r="G2423" s="2" t="s">
        <v>475</v>
      </c>
      <c r="H2423" s="2" t="s">
        <v>476</v>
      </c>
      <c r="I2423" s="26">
        <v>45639</v>
      </c>
      <c r="J2423" s="2">
        <v>8</v>
      </c>
      <c r="K2423" s="2" t="s">
        <v>123</v>
      </c>
      <c r="L2423" s="22">
        <v>19600</v>
      </c>
      <c r="M2423" s="22">
        <v>156800</v>
      </c>
      <c r="N2423" s="18">
        <v>167.7</v>
      </c>
      <c r="O2423" s="26">
        <v>45849</v>
      </c>
      <c r="P2423" s="2" t="s">
        <v>2105</v>
      </c>
      <c r="Q2423" s="2" t="s">
        <v>825</v>
      </c>
    </row>
    <row r="2424" spans="2:17" x14ac:dyDescent="0.25">
      <c r="B2424" s="2" t="s">
        <v>3229</v>
      </c>
      <c r="C2424" s="2" t="s">
        <v>271</v>
      </c>
      <c r="D2424" s="2" t="s">
        <v>272</v>
      </c>
      <c r="E2424" s="2" t="s">
        <v>256</v>
      </c>
      <c r="F2424" s="2" t="s">
        <v>535</v>
      </c>
      <c r="G2424" s="2" t="s">
        <v>475</v>
      </c>
      <c r="H2424" s="2" t="s">
        <v>476</v>
      </c>
      <c r="I2424" s="26">
        <v>45656</v>
      </c>
      <c r="J2424" s="2">
        <v>10</v>
      </c>
      <c r="K2424" s="2" t="s">
        <v>123</v>
      </c>
      <c r="L2424" s="22">
        <v>19600</v>
      </c>
      <c r="M2424" s="22">
        <v>196000</v>
      </c>
      <c r="N2424" s="18">
        <v>209.63</v>
      </c>
      <c r="O2424" s="26">
        <v>45866</v>
      </c>
      <c r="P2424" s="2" t="s">
        <v>2105</v>
      </c>
      <c r="Q2424" s="2" t="s">
        <v>825</v>
      </c>
    </row>
    <row r="2425" spans="2:17" x14ac:dyDescent="0.25">
      <c r="B2425" s="2" t="s">
        <v>3230</v>
      </c>
      <c r="C2425" s="2" t="s">
        <v>271</v>
      </c>
      <c r="D2425" s="2" t="s">
        <v>272</v>
      </c>
      <c r="E2425" s="2" t="s">
        <v>256</v>
      </c>
      <c r="F2425" s="2" t="s">
        <v>537</v>
      </c>
      <c r="G2425" s="2" t="s">
        <v>485</v>
      </c>
      <c r="H2425" s="2" t="s">
        <v>486</v>
      </c>
      <c r="I2425" s="26">
        <v>45677</v>
      </c>
      <c r="J2425" s="2">
        <v>9</v>
      </c>
      <c r="K2425" s="2" t="s">
        <v>123</v>
      </c>
      <c r="L2425" s="22">
        <v>19850</v>
      </c>
      <c r="M2425" s="22">
        <v>178650</v>
      </c>
      <c r="N2425" s="18">
        <v>191.07</v>
      </c>
      <c r="O2425" s="26">
        <v>45887</v>
      </c>
      <c r="P2425" s="2" t="s">
        <v>2105</v>
      </c>
      <c r="Q2425" s="2" t="s">
        <v>825</v>
      </c>
    </row>
    <row r="2426" spans="2:17" x14ac:dyDescent="0.25">
      <c r="B2426" s="2" t="s">
        <v>3231</v>
      </c>
      <c r="C2426" s="2" t="s">
        <v>271</v>
      </c>
      <c r="D2426" s="2" t="s">
        <v>272</v>
      </c>
      <c r="E2426" s="2" t="s">
        <v>256</v>
      </c>
      <c r="F2426" s="2" t="s">
        <v>535</v>
      </c>
      <c r="G2426" s="2" t="s">
        <v>475</v>
      </c>
      <c r="H2426" s="2" t="s">
        <v>476</v>
      </c>
      <c r="I2426" s="26">
        <v>45695</v>
      </c>
      <c r="J2426" s="2">
        <v>8</v>
      </c>
      <c r="K2426" s="2" t="s">
        <v>123</v>
      </c>
      <c r="L2426" s="22">
        <v>19600</v>
      </c>
      <c r="M2426" s="22">
        <v>156800</v>
      </c>
      <c r="N2426" s="18">
        <v>167.7</v>
      </c>
      <c r="O2426" s="26">
        <v>45905</v>
      </c>
      <c r="P2426" s="2" t="s">
        <v>2105</v>
      </c>
      <c r="Q2426" s="2" t="s">
        <v>825</v>
      </c>
    </row>
    <row r="2427" spans="2:17" x14ac:dyDescent="0.25">
      <c r="B2427" s="2" t="s">
        <v>3232</v>
      </c>
      <c r="C2427" s="2" t="s">
        <v>271</v>
      </c>
      <c r="D2427" s="2" t="s">
        <v>272</v>
      </c>
      <c r="E2427" s="2" t="s">
        <v>256</v>
      </c>
      <c r="F2427" s="2" t="s">
        <v>535</v>
      </c>
      <c r="G2427" s="2" t="s">
        <v>475</v>
      </c>
      <c r="H2427" s="2" t="s">
        <v>476</v>
      </c>
      <c r="I2427" s="26">
        <v>45712</v>
      </c>
      <c r="J2427" s="2">
        <v>7</v>
      </c>
      <c r="K2427" s="2" t="s">
        <v>123</v>
      </c>
      <c r="L2427" s="22">
        <v>19600</v>
      </c>
      <c r="M2427" s="22">
        <v>137200</v>
      </c>
      <c r="N2427" s="18">
        <v>146.74</v>
      </c>
      <c r="O2427" s="26">
        <v>45922</v>
      </c>
      <c r="P2427" s="2" t="s">
        <v>2105</v>
      </c>
      <c r="Q2427" s="2" t="s">
        <v>825</v>
      </c>
    </row>
    <row r="2428" spans="2:17" x14ac:dyDescent="0.25">
      <c r="B2428" s="2" t="s">
        <v>3233</v>
      </c>
      <c r="C2428" s="2" t="s">
        <v>271</v>
      </c>
      <c r="D2428" s="2" t="s">
        <v>272</v>
      </c>
      <c r="E2428" s="2" t="s">
        <v>256</v>
      </c>
      <c r="F2428" s="2" t="s">
        <v>535</v>
      </c>
      <c r="G2428" s="2" t="s">
        <v>475</v>
      </c>
      <c r="H2428" s="2" t="s">
        <v>476</v>
      </c>
      <c r="I2428" s="26">
        <v>45728</v>
      </c>
      <c r="J2428" s="2">
        <v>7</v>
      </c>
      <c r="K2428" s="2" t="s">
        <v>123</v>
      </c>
      <c r="L2428" s="22">
        <v>19600</v>
      </c>
      <c r="M2428" s="22">
        <v>137200</v>
      </c>
      <c r="N2428" s="18">
        <v>146.74</v>
      </c>
      <c r="O2428" s="26">
        <v>45938</v>
      </c>
      <c r="P2428" s="2" t="s">
        <v>2105</v>
      </c>
      <c r="Q2428" s="2" t="s">
        <v>836</v>
      </c>
    </row>
    <row r="2429" spans="2:17" x14ac:dyDescent="0.25">
      <c r="B2429" s="2" t="s">
        <v>3234</v>
      </c>
      <c r="C2429" s="2" t="s">
        <v>271</v>
      </c>
      <c r="D2429" s="2" t="s">
        <v>272</v>
      </c>
      <c r="E2429" s="2" t="s">
        <v>256</v>
      </c>
      <c r="F2429" s="2" t="s">
        <v>537</v>
      </c>
      <c r="G2429" s="2" t="s">
        <v>485</v>
      </c>
      <c r="H2429" s="2" t="s">
        <v>486</v>
      </c>
      <c r="I2429" s="26">
        <v>45752</v>
      </c>
      <c r="J2429" s="2">
        <v>20</v>
      </c>
      <c r="K2429" s="2" t="s">
        <v>123</v>
      </c>
      <c r="L2429" s="22">
        <v>19850</v>
      </c>
      <c r="M2429" s="22">
        <v>397000</v>
      </c>
      <c r="N2429" s="18">
        <v>424.6</v>
      </c>
      <c r="O2429" s="26">
        <v>45962</v>
      </c>
      <c r="P2429" s="2" t="s">
        <v>2105</v>
      </c>
      <c r="Q2429" s="2" t="s">
        <v>836</v>
      </c>
    </row>
    <row r="2430" spans="2:17" x14ac:dyDescent="0.25">
      <c r="B2430" s="2" t="s">
        <v>3235</v>
      </c>
      <c r="C2430" s="2" t="s">
        <v>271</v>
      </c>
      <c r="D2430" s="2" t="s">
        <v>272</v>
      </c>
      <c r="E2430" s="2" t="s">
        <v>256</v>
      </c>
      <c r="F2430" s="2" t="s">
        <v>535</v>
      </c>
      <c r="G2430" s="2" t="s">
        <v>475</v>
      </c>
      <c r="H2430" s="2" t="s">
        <v>476</v>
      </c>
      <c r="I2430" s="26">
        <v>45773</v>
      </c>
      <c r="J2430" s="2">
        <v>18</v>
      </c>
      <c r="K2430" s="2" t="s">
        <v>123</v>
      </c>
      <c r="L2430" s="22">
        <v>19600</v>
      </c>
      <c r="M2430" s="22">
        <v>352800</v>
      </c>
      <c r="N2430" s="18">
        <v>377.33</v>
      </c>
      <c r="O2430" s="26">
        <v>45983</v>
      </c>
      <c r="P2430" s="2" t="s">
        <v>2105</v>
      </c>
      <c r="Q2430" s="2" t="s">
        <v>836</v>
      </c>
    </row>
    <row r="2431" spans="2:17" x14ac:dyDescent="0.25">
      <c r="B2431" s="2" t="s">
        <v>3236</v>
      </c>
      <c r="C2431" s="2" t="s">
        <v>271</v>
      </c>
      <c r="D2431" s="2" t="s">
        <v>272</v>
      </c>
      <c r="E2431" s="2" t="s">
        <v>256</v>
      </c>
      <c r="F2431" s="2" t="s">
        <v>535</v>
      </c>
      <c r="G2431" s="2" t="s">
        <v>475</v>
      </c>
      <c r="H2431" s="2" t="s">
        <v>476</v>
      </c>
      <c r="I2431" s="26">
        <v>45791</v>
      </c>
      <c r="J2431" s="2">
        <v>18</v>
      </c>
      <c r="K2431" s="2" t="s">
        <v>123</v>
      </c>
      <c r="L2431" s="22">
        <v>19600</v>
      </c>
      <c r="M2431" s="22">
        <v>352800</v>
      </c>
      <c r="N2431" s="18">
        <v>377.33</v>
      </c>
      <c r="O2431" s="26">
        <v>46001</v>
      </c>
      <c r="P2431" s="2" t="s">
        <v>2105</v>
      </c>
      <c r="Q2431" s="2" t="s">
        <v>836</v>
      </c>
    </row>
    <row r="2432" spans="2:17" x14ac:dyDescent="0.25">
      <c r="B2432" s="2" t="s">
        <v>3237</v>
      </c>
      <c r="C2432" s="2" t="s">
        <v>271</v>
      </c>
      <c r="D2432" s="2" t="s">
        <v>272</v>
      </c>
      <c r="E2432" s="2" t="s">
        <v>256</v>
      </c>
      <c r="F2432" s="2" t="s">
        <v>535</v>
      </c>
      <c r="G2432" s="2" t="s">
        <v>475</v>
      </c>
      <c r="H2432" s="2" t="s">
        <v>476</v>
      </c>
      <c r="I2432" s="26">
        <v>45810</v>
      </c>
      <c r="J2432" s="2">
        <v>22</v>
      </c>
      <c r="K2432" s="2" t="s">
        <v>123</v>
      </c>
      <c r="L2432" s="22">
        <v>19600</v>
      </c>
      <c r="M2432" s="22">
        <v>431200</v>
      </c>
      <c r="N2432" s="18">
        <v>461.18</v>
      </c>
      <c r="O2432" s="26">
        <v>46020</v>
      </c>
      <c r="P2432" s="2" t="s">
        <v>2105</v>
      </c>
      <c r="Q2432" s="2" t="s">
        <v>806</v>
      </c>
    </row>
    <row r="2433" spans="2:17" x14ac:dyDescent="0.25">
      <c r="B2433" s="2" t="s">
        <v>3238</v>
      </c>
      <c r="C2433" s="2" t="s">
        <v>271</v>
      </c>
      <c r="D2433" s="2" t="s">
        <v>272</v>
      </c>
      <c r="E2433" s="2" t="s">
        <v>256</v>
      </c>
      <c r="F2433" s="2" t="s">
        <v>535</v>
      </c>
      <c r="G2433" s="2" t="s">
        <v>475</v>
      </c>
      <c r="H2433" s="2" t="s">
        <v>476</v>
      </c>
      <c r="I2433" s="26">
        <v>45832</v>
      </c>
      <c r="J2433" s="2">
        <v>19</v>
      </c>
      <c r="K2433" s="2" t="s">
        <v>123</v>
      </c>
      <c r="L2433" s="22">
        <v>19600</v>
      </c>
      <c r="M2433" s="22">
        <v>372400</v>
      </c>
      <c r="N2433" s="18">
        <v>398.29</v>
      </c>
      <c r="O2433" s="26">
        <v>46042</v>
      </c>
      <c r="P2433" s="2" t="s">
        <v>2105</v>
      </c>
      <c r="Q2433" s="2" t="s">
        <v>806</v>
      </c>
    </row>
    <row r="2434" spans="2:17" x14ac:dyDescent="0.25">
      <c r="B2434" s="2" t="s">
        <v>3239</v>
      </c>
      <c r="C2434" s="2" t="s">
        <v>273</v>
      </c>
      <c r="D2434" s="2" t="s">
        <v>274</v>
      </c>
      <c r="E2434" s="2" t="s">
        <v>256</v>
      </c>
      <c r="F2434" s="2" t="s">
        <v>535</v>
      </c>
      <c r="G2434" s="2" t="s">
        <v>475</v>
      </c>
      <c r="H2434" s="2" t="s">
        <v>476</v>
      </c>
      <c r="I2434" s="26">
        <v>45109</v>
      </c>
      <c r="J2434" s="2">
        <v>22</v>
      </c>
      <c r="K2434" s="2" t="s">
        <v>123</v>
      </c>
      <c r="L2434" s="22">
        <v>20150</v>
      </c>
      <c r="M2434" s="22">
        <v>443300</v>
      </c>
      <c r="N2434" s="18">
        <v>474.12</v>
      </c>
      <c r="O2434" s="26">
        <v>45319</v>
      </c>
      <c r="P2434" s="2" t="s">
        <v>2105</v>
      </c>
      <c r="Q2434" s="2" t="s">
        <v>806</v>
      </c>
    </row>
    <row r="2435" spans="2:17" x14ac:dyDescent="0.25">
      <c r="B2435" s="2" t="s">
        <v>3240</v>
      </c>
      <c r="C2435" s="2" t="s">
        <v>273</v>
      </c>
      <c r="D2435" s="2" t="s">
        <v>274</v>
      </c>
      <c r="E2435" s="2" t="s">
        <v>256</v>
      </c>
      <c r="F2435" s="2" t="s">
        <v>535</v>
      </c>
      <c r="G2435" s="2" t="s">
        <v>475</v>
      </c>
      <c r="H2435" s="2" t="s">
        <v>476</v>
      </c>
      <c r="I2435" s="26">
        <v>45132</v>
      </c>
      <c r="J2435" s="2">
        <v>21</v>
      </c>
      <c r="K2435" s="2" t="s">
        <v>123</v>
      </c>
      <c r="L2435" s="22">
        <v>20150</v>
      </c>
      <c r="M2435" s="22">
        <v>423150</v>
      </c>
      <c r="N2435" s="18">
        <v>452.57</v>
      </c>
      <c r="O2435" s="26">
        <v>45342</v>
      </c>
      <c r="P2435" s="2" t="s">
        <v>2105</v>
      </c>
      <c r="Q2435" s="2" t="s">
        <v>806</v>
      </c>
    </row>
    <row r="2436" spans="2:17" x14ac:dyDescent="0.25">
      <c r="B2436" s="2" t="s">
        <v>3241</v>
      </c>
      <c r="C2436" s="2" t="s">
        <v>273</v>
      </c>
      <c r="D2436" s="2" t="s">
        <v>274</v>
      </c>
      <c r="E2436" s="2" t="s">
        <v>256</v>
      </c>
      <c r="F2436" s="2" t="s">
        <v>535</v>
      </c>
      <c r="G2436" s="2" t="s">
        <v>475</v>
      </c>
      <c r="H2436" s="2" t="s">
        <v>476</v>
      </c>
      <c r="I2436" s="26">
        <v>45158</v>
      </c>
      <c r="J2436" s="2">
        <v>17</v>
      </c>
      <c r="K2436" s="2" t="s">
        <v>123</v>
      </c>
      <c r="L2436" s="22">
        <v>20150</v>
      </c>
      <c r="M2436" s="22">
        <v>342550</v>
      </c>
      <c r="N2436" s="18">
        <v>366.36</v>
      </c>
      <c r="O2436" s="26">
        <v>45368</v>
      </c>
      <c r="P2436" s="2" t="s">
        <v>2105</v>
      </c>
      <c r="Q2436" s="2" t="s">
        <v>806</v>
      </c>
    </row>
    <row r="2437" spans="2:17" x14ac:dyDescent="0.25">
      <c r="B2437" s="2" t="s">
        <v>3242</v>
      </c>
      <c r="C2437" s="2" t="s">
        <v>273</v>
      </c>
      <c r="D2437" s="2" t="s">
        <v>274</v>
      </c>
      <c r="E2437" s="2" t="s">
        <v>256</v>
      </c>
      <c r="F2437" s="2" t="s">
        <v>535</v>
      </c>
      <c r="G2437" s="2" t="s">
        <v>475</v>
      </c>
      <c r="H2437" s="2" t="s">
        <v>476</v>
      </c>
      <c r="I2437" s="26">
        <v>45179</v>
      </c>
      <c r="J2437" s="2">
        <v>23</v>
      </c>
      <c r="K2437" s="2" t="s">
        <v>123</v>
      </c>
      <c r="L2437" s="22">
        <v>20150</v>
      </c>
      <c r="M2437" s="22">
        <v>463450</v>
      </c>
      <c r="N2437" s="18">
        <v>495.67</v>
      </c>
      <c r="O2437" s="26">
        <v>45389</v>
      </c>
      <c r="P2437" s="2" t="s">
        <v>2105</v>
      </c>
      <c r="Q2437" s="2" t="s">
        <v>814</v>
      </c>
    </row>
    <row r="2438" spans="2:17" x14ac:dyDescent="0.25">
      <c r="B2438" s="2" t="s">
        <v>3243</v>
      </c>
      <c r="C2438" s="2" t="s">
        <v>273</v>
      </c>
      <c r="D2438" s="2" t="s">
        <v>274</v>
      </c>
      <c r="E2438" s="2" t="s">
        <v>256</v>
      </c>
      <c r="F2438" s="2" t="s">
        <v>535</v>
      </c>
      <c r="G2438" s="2" t="s">
        <v>475</v>
      </c>
      <c r="H2438" s="2" t="s">
        <v>476</v>
      </c>
      <c r="I2438" s="26">
        <v>45203</v>
      </c>
      <c r="J2438" s="2">
        <v>6</v>
      </c>
      <c r="K2438" s="2" t="s">
        <v>123</v>
      </c>
      <c r="L2438" s="22">
        <v>20150</v>
      </c>
      <c r="M2438" s="22">
        <v>120900</v>
      </c>
      <c r="N2438" s="18">
        <v>129.30000000000001</v>
      </c>
      <c r="O2438" s="26">
        <v>45413</v>
      </c>
      <c r="P2438" s="2" t="s">
        <v>2105</v>
      </c>
      <c r="Q2438" s="2" t="s">
        <v>814</v>
      </c>
    </row>
    <row r="2439" spans="2:17" x14ac:dyDescent="0.25">
      <c r="B2439" s="2" t="s">
        <v>3244</v>
      </c>
      <c r="C2439" s="2" t="s">
        <v>273</v>
      </c>
      <c r="D2439" s="2" t="s">
        <v>274</v>
      </c>
      <c r="E2439" s="2" t="s">
        <v>256</v>
      </c>
      <c r="F2439" s="2" t="s">
        <v>535</v>
      </c>
      <c r="G2439" s="2" t="s">
        <v>475</v>
      </c>
      <c r="H2439" s="2" t="s">
        <v>476</v>
      </c>
      <c r="I2439" s="26">
        <v>45223</v>
      </c>
      <c r="J2439" s="2">
        <v>8</v>
      </c>
      <c r="K2439" s="2" t="s">
        <v>123</v>
      </c>
      <c r="L2439" s="22">
        <v>20150</v>
      </c>
      <c r="M2439" s="22">
        <v>161200</v>
      </c>
      <c r="N2439" s="18">
        <v>172.41</v>
      </c>
      <c r="O2439" s="26">
        <v>45433</v>
      </c>
      <c r="P2439" s="2" t="s">
        <v>2105</v>
      </c>
      <c r="Q2439" s="2" t="s">
        <v>814</v>
      </c>
    </row>
    <row r="2440" spans="2:17" x14ac:dyDescent="0.25">
      <c r="B2440" s="2" t="s">
        <v>3245</v>
      </c>
      <c r="C2440" s="2" t="s">
        <v>273</v>
      </c>
      <c r="D2440" s="2" t="s">
        <v>274</v>
      </c>
      <c r="E2440" s="2" t="s">
        <v>256</v>
      </c>
      <c r="F2440" s="2" t="s">
        <v>537</v>
      </c>
      <c r="G2440" s="2" t="s">
        <v>485</v>
      </c>
      <c r="H2440" s="2" t="s">
        <v>486</v>
      </c>
      <c r="I2440" s="26">
        <v>45236</v>
      </c>
      <c r="J2440" s="2">
        <v>6</v>
      </c>
      <c r="K2440" s="2" t="s">
        <v>123</v>
      </c>
      <c r="L2440" s="22">
        <v>20250</v>
      </c>
      <c r="M2440" s="22">
        <v>121500</v>
      </c>
      <c r="N2440" s="18">
        <v>129.94999999999999</v>
      </c>
      <c r="O2440" s="26">
        <v>45446</v>
      </c>
      <c r="P2440" s="2" t="s">
        <v>2105</v>
      </c>
      <c r="Q2440" s="2" t="s">
        <v>814</v>
      </c>
    </row>
    <row r="2441" spans="2:17" x14ac:dyDescent="0.25">
      <c r="B2441" s="2" t="s">
        <v>3246</v>
      </c>
      <c r="C2441" s="2" t="s">
        <v>273</v>
      </c>
      <c r="D2441" s="2" t="s">
        <v>274</v>
      </c>
      <c r="E2441" s="2" t="s">
        <v>256</v>
      </c>
      <c r="F2441" s="2" t="s">
        <v>535</v>
      </c>
      <c r="G2441" s="2" t="s">
        <v>475</v>
      </c>
      <c r="H2441" s="2" t="s">
        <v>476</v>
      </c>
      <c r="I2441" s="26">
        <v>45255</v>
      </c>
      <c r="J2441" s="2">
        <v>7</v>
      </c>
      <c r="K2441" s="2" t="s">
        <v>123</v>
      </c>
      <c r="L2441" s="22">
        <v>20150</v>
      </c>
      <c r="M2441" s="22">
        <v>141050</v>
      </c>
      <c r="N2441" s="18">
        <v>150.86000000000001</v>
      </c>
      <c r="O2441" s="26">
        <v>45465</v>
      </c>
      <c r="P2441" s="2" t="s">
        <v>2105</v>
      </c>
      <c r="Q2441" s="2" t="s">
        <v>814</v>
      </c>
    </row>
    <row r="2442" spans="2:17" x14ac:dyDescent="0.25">
      <c r="B2442" s="2" t="s">
        <v>3247</v>
      </c>
      <c r="C2442" s="2" t="s">
        <v>273</v>
      </c>
      <c r="D2442" s="2" t="s">
        <v>274</v>
      </c>
      <c r="E2442" s="2" t="s">
        <v>256</v>
      </c>
      <c r="F2442" s="2" t="s">
        <v>535</v>
      </c>
      <c r="G2442" s="2" t="s">
        <v>475</v>
      </c>
      <c r="H2442" s="2" t="s">
        <v>476</v>
      </c>
      <c r="I2442" s="26">
        <v>45282</v>
      </c>
      <c r="J2442" s="2">
        <v>11</v>
      </c>
      <c r="K2442" s="2" t="s">
        <v>123</v>
      </c>
      <c r="L2442" s="22">
        <v>20150</v>
      </c>
      <c r="M2442" s="22">
        <v>221650</v>
      </c>
      <c r="N2442" s="18">
        <v>237.06</v>
      </c>
      <c r="O2442" s="26">
        <v>45492</v>
      </c>
      <c r="P2442" s="2" t="s">
        <v>2105</v>
      </c>
      <c r="Q2442" s="2" t="s">
        <v>825</v>
      </c>
    </row>
    <row r="2443" spans="2:17" x14ac:dyDescent="0.25">
      <c r="B2443" s="2" t="s">
        <v>3248</v>
      </c>
      <c r="C2443" s="2" t="s">
        <v>273</v>
      </c>
      <c r="D2443" s="2" t="s">
        <v>274</v>
      </c>
      <c r="E2443" s="2" t="s">
        <v>256</v>
      </c>
      <c r="F2443" s="2" t="s">
        <v>535</v>
      </c>
      <c r="G2443" s="2" t="s">
        <v>475</v>
      </c>
      <c r="H2443" s="2" t="s">
        <v>476</v>
      </c>
      <c r="I2443" s="26">
        <v>45301</v>
      </c>
      <c r="J2443" s="2">
        <v>7</v>
      </c>
      <c r="K2443" s="2" t="s">
        <v>123</v>
      </c>
      <c r="L2443" s="22">
        <v>20150</v>
      </c>
      <c r="M2443" s="22">
        <v>141050</v>
      </c>
      <c r="N2443" s="18">
        <v>150.86000000000001</v>
      </c>
      <c r="O2443" s="26">
        <v>45511</v>
      </c>
      <c r="P2443" s="2" t="s">
        <v>2105</v>
      </c>
      <c r="Q2443" s="2" t="s">
        <v>825</v>
      </c>
    </row>
    <row r="2444" spans="2:17" x14ac:dyDescent="0.25">
      <c r="B2444" s="2" t="s">
        <v>3249</v>
      </c>
      <c r="C2444" s="2" t="s">
        <v>273</v>
      </c>
      <c r="D2444" s="2" t="s">
        <v>274</v>
      </c>
      <c r="E2444" s="2" t="s">
        <v>256</v>
      </c>
      <c r="F2444" s="2" t="s">
        <v>535</v>
      </c>
      <c r="G2444" s="2" t="s">
        <v>475</v>
      </c>
      <c r="H2444" s="2" t="s">
        <v>476</v>
      </c>
      <c r="I2444" s="26">
        <v>45324</v>
      </c>
      <c r="J2444" s="2">
        <v>7</v>
      </c>
      <c r="K2444" s="2" t="s">
        <v>123</v>
      </c>
      <c r="L2444" s="22">
        <v>20150</v>
      </c>
      <c r="M2444" s="22">
        <v>141050</v>
      </c>
      <c r="N2444" s="18">
        <v>150.86000000000001</v>
      </c>
      <c r="O2444" s="26">
        <v>45534</v>
      </c>
      <c r="P2444" s="2" t="s">
        <v>2105</v>
      </c>
      <c r="Q2444" s="2" t="s">
        <v>825</v>
      </c>
    </row>
    <row r="2445" spans="2:17" x14ac:dyDescent="0.25">
      <c r="B2445" s="2" t="s">
        <v>3250</v>
      </c>
      <c r="C2445" s="2" t="s">
        <v>273</v>
      </c>
      <c r="D2445" s="2" t="s">
        <v>274</v>
      </c>
      <c r="E2445" s="2" t="s">
        <v>256</v>
      </c>
      <c r="F2445" s="2" t="s">
        <v>535</v>
      </c>
      <c r="G2445" s="2" t="s">
        <v>475</v>
      </c>
      <c r="H2445" s="2" t="s">
        <v>476</v>
      </c>
      <c r="I2445" s="26">
        <v>45348</v>
      </c>
      <c r="J2445" s="2">
        <v>7</v>
      </c>
      <c r="K2445" s="2" t="s">
        <v>123</v>
      </c>
      <c r="L2445" s="22">
        <v>20150</v>
      </c>
      <c r="M2445" s="22">
        <v>141050</v>
      </c>
      <c r="N2445" s="18">
        <v>150.86000000000001</v>
      </c>
      <c r="O2445" s="26">
        <v>45558</v>
      </c>
      <c r="P2445" s="2" t="s">
        <v>2105</v>
      </c>
      <c r="Q2445" s="2" t="s">
        <v>825</v>
      </c>
    </row>
    <row r="2446" spans="2:17" x14ac:dyDescent="0.25">
      <c r="B2446" s="2" t="s">
        <v>3251</v>
      </c>
      <c r="C2446" s="2" t="s">
        <v>273</v>
      </c>
      <c r="D2446" s="2" t="s">
        <v>274</v>
      </c>
      <c r="E2446" s="2" t="s">
        <v>256</v>
      </c>
      <c r="F2446" s="2" t="s">
        <v>535</v>
      </c>
      <c r="G2446" s="2" t="s">
        <v>475</v>
      </c>
      <c r="H2446" s="2" t="s">
        <v>476</v>
      </c>
      <c r="I2446" s="26">
        <v>45368</v>
      </c>
      <c r="J2446" s="2">
        <v>6</v>
      </c>
      <c r="K2446" s="2" t="s">
        <v>123</v>
      </c>
      <c r="L2446" s="22">
        <v>20150</v>
      </c>
      <c r="M2446" s="22">
        <v>120900</v>
      </c>
      <c r="N2446" s="18">
        <v>129.30000000000001</v>
      </c>
      <c r="O2446" s="26">
        <v>45578</v>
      </c>
      <c r="P2446" s="2" t="s">
        <v>2105</v>
      </c>
      <c r="Q2446" s="2" t="s">
        <v>836</v>
      </c>
    </row>
    <row r="2447" spans="2:17" x14ac:dyDescent="0.25">
      <c r="B2447" s="2" t="s">
        <v>3252</v>
      </c>
      <c r="C2447" s="2" t="s">
        <v>273</v>
      </c>
      <c r="D2447" s="2" t="s">
        <v>274</v>
      </c>
      <c r="E2447" s="2" t="s">
        <v>256</v>
      </c>
      <c r="F2447" s="2" t="s">
        <v>535</v>
      </c>
      <c r="G2447" s="2" t="s">
        <v>475</v>
      </c>
      <c r="H2447" s="2" t="s">
        <v>476</v>
      </c>
      <c r="I2447" s="26">
        <v>45384</v>
      </c>
      <c r="J2447" s="2">
        <v>19</v>
      </c>
      <c r="K2447" s="2" t="s">
        <v>123</v>
      </c>
      <c r="L2447" s="22">
        <v>20150</v>
      </c>
      <c r="M2447" s="22">
        <v>382850</v>
      </c>
      <c r="N2447" s="18">
        <v>409.47</v>
      </c>
      <c r="O2447" s="26">
        <v>45594</v>
      </c>
      <c r="P2447" s="2" t="s">
        <v>2105</v>
      </c>
      <c r="Q2447" s="2" t="s">
        <v>836</v>
      </c>
    </row>
    <row r="2448" spans="2:17" x14ac:dyDescent="0.25">
      <c r="B2448" s="2" t="s">
        <v>3253</v>
      </c>
      <c r="C2448" s="2" t="s">
        <v>273</v>
      </c>
      <c r="D2448" s="2" t="s">
        <v>274</v>
      </c>
      <c r="E2448" s="2" t="s">
        <v>256</v>
      </c>
      <c r="F2448" s="2" t="s">
        <v>535</v>
      </c>
      <c r="G2448" s="2" t="s">
        <v>475</v>
      </c>
      <c r="H2448" s="2" t="s">
        <v>476</v>
      </c>
      <c r="I2448" s="26">
        <v>45405</v>
      </c>
      <c r="J2448" s="2">
        <v>18</v>
      </c>
      <c r="K2448" s="2" t="s">
        <v>123</v>
      </c>
      <c r="L2448" s="22">
        <v>20150</v>
      </c>
      <c r="M2448" s="22">
        <v>362700</v>
      </c>
      <c r="N2448" s="18">
        <v>387.91</v>
      </c>
      <c r="O2448" s="26">
        <v>45615</v>
      </c>
      <c r="P2448" s="2" t="s">
        <v>2105</v>
      </c>
      <c r="Q2448" s="2" t="s">
        <v>836</v>
      </c>
    </row>
    <row r="2449" spans="2:17" x14ac:dyDescent="0.25">
      <c r="B2449" s="2" t="s">
        <v>3254</v>
      </c>
      <c r="C2449" s="2" t="s">
        <v>273</v>
      </c>
      <c r="D2449" s="2" t="s">
        <v>274</v>
      </c>
      <c r="E2449" s="2" t="s">
        <v>256</v>
      </c>
      <c r="F2449" s="2" t="s">
        <v>535</v>
      </c>
      <c r="G2449" s="2" t="s">
        <v>475</v>
      </c>
      <c r="H2449" s="2" t="s">
        <v>476</v>
      </c>
      <c r="I2449" s="26">
        <v>45429</v>
      </c>
      <c r="J2449" s="2">
        <v>20</v>
      </c>
      <c r="K2449" s="2" t="s">
        <v>123</v>
      </c>
      <c r="L2449" s="22">
        <v>20150</v>
      </c>
      <c r="M2449" s="22">
        <v>403000</v>
      </c>
      <c r="N2449" s="18">
        <v>431.02</v>
      </c>
      <c r="O2449" s="26">
        <v>45639</v>
      </c>
      <c r="P2449" s="2" t="s">
        <v>2105</v>
      </c>
      <c r="Q2449" s="2" t="s">
        <v>836</v>
      </c>
    </row>
    <row r="2450" spans="2:17" x14ac:dyDescent="0.25">
      <c r="B2450" s="2" t="s">
        <v>3255</v>
      </c>
      <c r="C2450" s="2" t="s">
        <v>273</v>
      </c>
      <c r="D2450" s="2" t="s">
        <v>274</v>
      </c>
      <c r="E2450" s="2" t="s">
        <v>256</v>
      </c>
      <c r="F2450" s="2" t="s">
        <v>535</v>
      </c>
      <c r="G2450" s="2" t="s">
        <v>475</v>
      </c>
      <c r="H2450" s="2" t="s">
        <v>476</v>
      </c>
      <c r="I2450" s="26">
        <v>45447</v>
      </c>
      <c r="J2450" s="2">
        <v>20</v>
      </c>
      <c r="K2450" s="2" t="s">
        <v>123</v>
      </c>
      <c r="L2450" s="22">
        <v>20150</v>
      </c>
      <c r="M2450" s="22">
        <v>403000</v>
      </c>
      <c r="N2450" s="18">
        <v>431.02</v>
      </c>
      <c r="O2450" s="26">
        <v>45657</v>
      </c>
      <c r="P2450" s="2" t="s">
        <v>2105</v>
      </c>
      <c r="Q2450" s="2" t="s">
        <v>806</v>
      </c>
    </row>
    <row r="2451" spans="2:17" x14ac:dyDescent="0.25">
      <c r="B2451" s="2" t="s">
        <v>3256</v>
      </c>
      <c r="C2451" s="2" t="s">
        <v>273</v>
      </c>
      <c r="D2451" s="2" t="s">
        <v>274</v>
      </c>
      <c r="E2451" s="2" t="s">
        <v>256</v>
      </c>
      <c r="F2451" s="2" t="s">
        <v>535</v>
      </c>
      <c r="G2451" s="2" t="s">
        <v>475</v>
      </c>
      <c r="H2451" s="2" t="s">
        <v>476</v>
      </c>
      <c r="I2451" s="26">
        <v>45469</v>
      </c>
      <c r="J2451" s="2">
        <v>19</v>
      </c>
      <c r="K2451" s="2" t="s">
        <v>123</v>
      </c>
      <c r="L2451" s="22">
        <v>20150</v>
      </c>
      <c r="M2451" s="22">
        <v>382850</v>
      </c>
      <c r="N2451" s="18">
        <v>409.47</v>
      </c>
      <c r="O2451" s="26">
        <v>45679</v>
      </c>
      <c r="P2451" s="2" t="s">
        <v>2105</v>
      </c>
      <c r="Q2451" s="2" t="s">
        <v>806</v>
      </c>
    </row>
    <row r="2452" spans="2:17" x14ac:dyDescent="0.25">
      <c r="B2452" s="2" t="s">
        <v>3257</v>
      </c>
      <c r="C2452" s="2" t="s">
        <v>273</v>
      </c>
      <c r="D2452" s="2" t="s">
        <v>274</v>
      </c>
      <c r="E2452" s="2" t="s">
        <v>256</v>
      </c>
      <c r="F2452" s="2" t="s">
        <v>537</v>
      </c>
      <c r="G2452" s="2" t="s">
        <v>485</v>
      </c>
      <c r="H2452" s="2" t="s">
        <v>486</v>
      </c>
      <c r="I2452" s="26">
        <v>45492</v>
      </c>
      <c r="J2452" s="2">
        <v>21</v>
      </c>
      <c r="K2452" s="2" t="s">
        <v>123</v>
      </c>
      <c r="L2452" s="22">
        <v>20250</v>
      </c>
      <c r="M2452" s="22">
        <v>425250</v>
      </c>
      <c r="N2452" s="18">
        <v>454.81</v>
      </c>
      <c r="O2452" s="26">
        <v>45702</v>
      </c>
      <c r="P2452" s="2" t="s">
        <v>2105</v>
      </c>
      <c r="Q2452" s="2" t="s">
        <v>806</v>
      </c>
    </row>
    <row r="2453" spans="2:17" x14ac:dyDescent="0.25">
      <c r="B2453" s="2" t="s">
        <v>3258</v>
      </c>
      <c r="C2453" s="2" t="s">
        <v>273</v>
      </c>
      <c r="D2453" s="2" t="s">
        <v>274</v>
      </c>
      <c r="E2453" s="2" t="s">
        <v>256</v>
      </c>
      <c r="F2453" s="2" t="s">
        <v>535</v>
      </c>
      <c r="G2453" s="2" t="s">
        <v>475</v>
      </c>
      <c r="H2453" s="2" t="s">
        <v>476</v>
      </c>
      <c r="I2453" s="26">
        <v>45511</v>
      </c>
      <c r="J2453" s="2">
        <v>19</v>
      </c>
      <c r="K2453" s="2" t="s">
        <v>123</v>
      </c>
      <c r="L2453" s="22">
        <v>20150</v>
      </c>
      <c r="M2453" s="22">
        <v>382850</v>
      </c>
      <c r="N2453" s="18">
        <v>409.47</v>
      </c>
      <c r="O2453" s="26">
        <v>45721</v>
      </c>
      <c r="P2453" s="2" t="s">
        <v>2105</v>
      </c>
      <c r="Q2453" s="2" t="s">
        <v>806</v>
      </c>
    </row>
    <row r="2454" spans="2:17" x14ac:dyDescent="0.25">
      <c r="B2454" s="2" t="s">
        <v>3259</v>
      </c>
      <c r="C2454" s="2" t="s">
        <v>273</v>
      </c>
      <c r="D2454" s="2" t="s">
        <v>274</v>
      </c>
      <c r="E2454" s="2" t="s">
        <v>256</v>
      </c>
      <c r="F2454" s="2" t="s">
        <v>535</v>
      </c>
      <c r="G2454" s="2" t="s">
        <v>475</v>
      </c>
      <c r="H2454" s="2" t="s">
        <v>476</v>
      </c>
      <c r="I2454" s="26">
        <v>45532</v>
      </c>
      <c r="J2454" s="2">
        <v>19</v>
      </c>
      <c r="K2454" s="2" t="s">
        <v>123</v>
      </c>
      <c r="L2454" s="22">
        <v>20150</v>
      </c>
      <c r="M2454" s="22">
        <v>382850</v>
      </c>
      <c r="N2454" s="18">
        <v>409.47</v>
      </c>
      <c r="O2454" s="26">
        <v>45742</v>
      </c>
      <c r="P2454" s="2" t="s">
        <v>2105</v>
      </c>
      <c r="Q2454" s="2" t="s">
        <v>806</v>
      </c>
    </row>
    <row r="2455" spans="2:17" x14ac:dyDescent="0.25">
      <c r="B2455" s="2" t="s">
        <v>3260</v>
      </c>
      <c r="C2455" s="2" t="s">
        <v>273</v>
      </c>
      <c r="D2455" s="2" t="s">
        <v>274</v>
      </c>
      <c r="E2455" s="2" t="s">
        <v>256</v>
      </c>
      <c r="F2455" s="2" t="s">
        <v>535</v>
      </c>
      <c r="G2455" s="2" t="s">
        <v>475</v>
      </c>
      <c r="H2455" s="2" t="s">
        <v>476</v>
      </c>
      <c r="I2455" s="26">
        <v>45548</v>
      </c>
      <c r="J2455" s="2">
        <v>27</v>
      </c>
      <c r="K2455" s="2" t="s">
        <v>123</v>
      </c>
      <c r="L2455" s="22">
        <v>20150</v>
      </c>
      <c r="M2455" s="22">
        <v>544050</v>
      </c>
      <c r="N2455" s="18">
        <v>581.87</v>
      </c>
      <c r="O2455" s="26">
        <v>45758</v>
      </c>
      <c r="P2455" s="2" t="s">
        <v>2105</v>
      </c>
      <c r="Q2455" s="2" t="s">
        <v>814</v>
      </c>
    </row>
    <row r="2456" spans="2:17" x14ac:dyDescent="0.25">
      <c r="B2456" s="2" t="s">
        <v>3261</v>
      </c>
      <c r="C2456" s="2" t="s">
        <v>273</v>
      </c>
      <c r="D2456" s="2" t="s">
        <v>274</v>
      </c>
      <c r="E2456" s="2" t="s">
        <v>256</v>
      </c>
      <c r="F2456" s="2" t="s">
        <v>535</v>
      </c>
      <c r="G2456" s="2" t="s">
        <v>475</v>
      </c>
      <c r="H2456" s="2" t="s">
        <v>476</v>
      </c>
      <c r="I2456" s="26">
        <v>45571</v>
      </c>
      <c r="J2456" s="2">
        <v>6</v>
      </c>
      <c r="K2456" s="2" t="s">
        <v>123</v>
      </c>
      <c r="L2456" s="22">
        <v>20150</v>
      </c>
      <c r="M2456" s="22">
        <v>120900</v>
      </c>
      <c r="N2456" s="18">
        <v>129.30000000000001</v>
      </c>
      <c r="O2456" s="26">
        <v>45781</v>
      </c>
      <c r="P2456" s="2" t="s">
        <v>2105</v>
      </c>
      <c r="Q2456" s="2" t="s">
        <v>814</v>
      </c>
    </row>
    <row r="2457" spans="2:17" x14ac:dyDescent="0.25">
      <c r="B2457" s="2" t="s">
        <v>3262</v>
      </c>
      <c r="C2457" s="2" t="s">
        <v>273</v>
      </c>
      <c r="D2457" s="2" t="s">
        <v>274</v>
      </c>
      <c r="E2457" s="2" t="s">
        <v>256</v>
      </c>
      <c r="F2457" s="2" t="s">
        <v>535</v>
      </c>
      <c r="G2457" s="2" t="s">
        <v>475</v>
      </c>
      <c r="H2457" s="2" t="s">
        <v>476</v>
      </c>
      <c r="I2457" s="26">
        <v>45591</v>
      </c>
      <c r="J2457" s="2">
        <v>7</v>
      </c>
      <c r="K2457" s="2" t="s">
        <v>123</v>
      </c>
      <c r="L2457" s="22">
        <v>20150</v>
      </c>
      <c r="M2457" s="22">
        <v>141050</v>
      </c>
      <c r="N2457" s="18">
        <v>150.86000000000001</v>
      </c>
      <c r="O2457" s="26">
        <v>45801</v>
      </c>
      <c r="P2457" s="2" t="s">
        <v>2105</v>
      </c>
      <c r="Q2457" s="2" t="s">
        <v>814</v>
      </c>
    </row>
    <row r="2458" spans="2:17" x14ac:dyDescent="0.25">
      <c r="B2458" s="2" t="s">
        <v>3263</v>
      </c>
      <c r="C2458" s="2" t="s">
        <v>273</v>
      </c>
      <c r="D2458" s="2" t="s">
        <v>274</v>
      </c>
      <c r="E2458" s="2" t="s">
        <v>256</v>
      </c>
      <c r="F2458" s="2" t="s">
        <v>535</v>
      </c>
      <c r="G2458" s="2" t="s">
        <v>475</v>
      </c>
      <c r="H2458" s="2" t="s">
        <v>476</v>
      </c>
      <c r="I2458" s="26">
        <v>45613</v>
      </c>
      <c r="J2458" s="2">
        <v>8</v>
      </c>
      <c r="K2458" s="2" t="s">
        <v>123</v>
      </c>
      <c r="L2458" s="22">
        <v>20150</v>
      </c>
      <c r="M2458" s="22">
        <v>161200</v>
      </c>
      <c r="N2458" s="18">
        <v>172.41</v>
      </c>
      <c r="O2458" s="26">
        <v>45823</v>
      </c>
      <c r="P2458" s="2" t="s">
        <v>2105</v>
      </c>
      <c r="Q2458" s="2" t="s">
        <v>814</v>
      </c>
    </row>
    <row r="2459" spans="2:17" x14ac:dyDescent="0.25">
      <c r="B2459" s="2" t="s">
        <v>3264</v>
      </c>
      <c r="C2459" s="2" t="s">
        <v>273</v>
      </c>
      <c r="D2459" s="2" t="s">
        <v>274</v>
      </c>
      <c r="E2459" s="2" t="s">
        <v>256</v>
      </c>
      <c r="F2459" s="2" t="s">
        <v>535</v>
      </c>
      <c r="G2459" s="2" t="s">
        <v>475</v>
      </c>
      <c r="H2459" s="2" t="s">
        <v>476</v>
      </c>
      <c r="I2459" s="26">
        <v>45633</v>
      </c>
      <c r="J2459" s="2">
        <v>9</v>
      </c>
      <c r="K2459" s="2" t="s">
        <v>123</v>
      </c>
      <c r="L2459" s="22">
        <v>20150</v>
      </c>
      <c r="M2459" s="22">
        <v>181350</v>
      </c>
      <c r="N2459" s="18">
        <v>193.96</v>
      </c>
      <c r="O2459" s="26">
        <v>45843</v>
      </c>
      <c r="P2459" s="2" t="s">
        <v>2105</v>
      </c>
      <c r="Q2459" s="2" t="s">
        <v>825</v>
      </c>
    </row>
    <row r="2460" spans="2:17" x14ac:dyDescent="0.25">
      <c r="B2460" s="2" t="s">
        <v>3265</v>
      </c>
      <c r="C2460" s="2" t="s">
        <v>273</v>
      </c>
      <c r="D2460" s="2" t="s">
        <v>274</v>
      </c>
      <c r="E2460" s="2" t="s">
        <v>256</v>
      </c>
      <c r="F2460" s="2" t="s">
        <v>537</v>
      </c>
      <c r="G2460" s="2" t="s">
        <v>485</v>
      </c>
      <c r="H2460" s="2" t="s">
        <v>486</v>
      </c>
      <c r="I2460" s="26">
        <v>45655</v>
      </c>
      <c r="J2460" s="2">
        <v>9</v>
      </c>
      <c r="K2460" s="2" t="s">
        <v>123</v>
      </c>
      <c r="L2460" s="22">
        <v>20250</v>
      </c>
      <c r="M2460" s="22">
        <v>182250</v>
      </c>
      <c r="N2460" s="18">
        <v>194.92</v>
      </c>
      <c r="O2460" s="26">
        <v>45865</v>
      </c>
      <c r="P2460" s="2" t="s">
        <v>2105</v>
      </c>
      <c r="Q2460" s="2" t="s">
        <v>825</v>
      </c>
    </row>
    <row r="2461" spans="2:17" x14ac:dyDescent="0.25">
      <c r="B2461" s="2" t="s">
        <v>3266</v>
      </c>
      <c r="C2461" s="2" t="s">
        <v>273</v>
      </c>
      <c r="D2461" s="2" t="s">
        <v>274</v>
      </c>
      <c r="E2461" s="2" t="s">
        <v>256</v>
      </c>
      <c r="F2461" s="2" t="s">
        <v>535</v>
      </c>
      <c r="G2461" s="2" t="s">
        <v>475</v>
      </c>
      <c r="H2461" s="2" t="s">
        <v>476</v>
      </c>
      <c r="I2461" s="26">
        <v>45672</v>
      </c>
      <c r="J2461" s="2">
        <v>9</v>
      </c>
      <c r="K2461" s="2" t="s">
        <v>123</v>
      </c>
      <c r="L2461" s="22">
        <v>20150</v>
      </c>
      <c r="M2461" s="22">
        <v>181350</v>
      </c>
      <c r="N2461" s="18">
        <v>193.96</v>
      </c>
      <c r="O2461" s="26">
        <v>45882</v>
      </c>
      <c r="P2461" s="2" t="s">
        <v>2105</v>
      </c>
      <c r="Q2461" s="2" t="s">
        <v>825</v>
      </c>
    </row>
    <row r="2462" spans="2:17" x14ac:dyDescent="0.25">
      <c r="B2462" s="2" t="s">
        <v>3267</v>
      </c>
      <c r="C2462" s="2" t="s">
        <v>273</v>
      </c>
      <c r="D2462" s="2" t="s">
        <v>274</v>
      </c>
      <c r="E2462" s="2" t="s">
        <v>256</v>
      </c>
      <c r="F2462" s="2" t="s">
        <v>535</v>
      </c>
      <c r="G2462" s="2" t="s">
        <v>475</v>
      </c>
      <c r="H2462" s="2" t="s">
        <v>476</v>
      </c>
      <c r="I2462" s="26">
        <v>45692</v>
      </c>
      <c r="J2462" s="2">
        <v>7</v>
      </c>
      <c r="K2462" s="2" t="s">
        <v>123</v>
      </c>
      <c r="L2462" s="22">
        <v>20150</v>
      </c>
      <c r="M2462" s="22">
        <v>141050</v>
      </c>
      <c r="N2462" s="18">
        <v>150.86000000000001</v>
      </c>
      <c r="O2462" s="26">
        <v>45902</v>
      </c>
      <c r="P2462" s="2" t="s">
        <v>2105</v>
      </c>
      <c r="Q2462" s="2" t="s">
        <v>825</v>
      </c>
    </row>
    <row r="2463" spans="2:17" x14ac:dyDescent="0.25">
      <c r="B2463" s="2" t="s">
        <v>3268</v>
      </c>
      <c r="C2463" s="2" t="s">
        <v>273</v>
      </c>
      <c r="D2463" s="2" t="s">
        <v>274</v>
      </c>
      <c r="E2463" s="2" t="s">
        <v>256</v>
      </c>
      <c r="F2463" s="2" t="s">
        <v>535</v>
      </c>
      <c r="G2463" s="2" t="s">
        <v>475</v>
      </c>
      <c r="H2463" s="2" t="s">
        <v>476</v>
      </c>
      <c r="I2463" s="26">
        <v>45714</v>
      </c>
      <c r="J2463" s="2">
        <v>8</v>
      </c>
      <c r="K2463" s="2" t="s">
        <v>123</v>
      </c>
      <c r="L2463" s="22">
        <v>20150</v>
      </c>
      <c r="M2463" s="22">
        <v>161200</v>
      </c>
      <c r="N2463" s="18">
        <v>172.41</v>
      </c>
      <c r="O2463" s="26">
        <v>45924</v>
      </c>
      <c r="P2463" s="2" t="s">
        <v>2105</v>
      </c>
      <c r="Q2463" s="2" t="s">
        <v>825</v>
      </c>
    </row>
    <row r="2464" spans="2:17" x14ac:dyDescent="0.25">
      <c r="B2464" s="2" t="s">
        <v>3269</v>
      </c>
      <c r="C2464" s="2" t="s">
        <v>273</v>
      </c>
      <c r="D2464" s="2" t="s">
        <v>274</v>
      </c>
      <c r="E2464" s="2" t="s">
        <v>256</v>
      </c>
      <c r="F2464" s="2" t="s">
        <v>535</v>
      </c>
      <c r="G2464" s="2" t="s">
        <v>475</v>
      </c>
      <c r="H2464" s="2" t="s">
        <v>476</v>
      </c>
      <c r="I2464" s="26">
        <v>45732</v>
      </c>
      <c r="J2464" s="2">
        <v>7</v>
      </c>
      <c r="K2464" s="2" t="s">
        <v>123</v>
      </c>
      <c r="L2464" s="22">
        <v>20150</v>
      </c>
      <c r="M2464" s="22">
        <v>141050</v>
      </c>
      <c r="N2464" s="18">
        <v>150.86000000000001</v>
      </c>
      <c r="O2464" s="26">
        <v>45942</v>
      </c>
      <c r="P2464" s="2" t="s">
        <v>2105</v>
      </c>
      <c r="Q2464" s="2" t="s">
        <v>836</v>
      </c>
    </row>
    <row r="2465" spans="2:17" x14ac:dyDescent="0.25">
      <c r="B2465" s="2" t="s">
        <v>3270</v>
      </c>
      <c r="C2465" s="2" t="s">
        <v>273</v>
      </c>
      <c r="D2465" s="2" t="s">
        <v>274</v>
      </c>
      <c r="E2465" s="2" t="s">
        <v>256</v>
      </c>
      <c r="F2465" s="2" t="s">
        <v>535</v>
      </c>
      <c r="G2465" s="2" t="s">
        <v>475</v>
      </c>
      <c r="H2465" s="2" t="s">
        <v>476</v>
      </c>
      <c r="I2465" s="26">
        <v>45759</v>
      </c>
      <c r="J2465" s="2">
        <v>21</v>
      </c>
      <c r="K2465" s="2" t="s">
        <v>123</v>
      </c>
      <c r="L2465" s="22">
        <v>20150</v>
      </c>
      <c r="M2465" s="22">
        <v>423150</v>
      </c>
      <c r="N2465" s="18">
        <v>452.57</v>
      </c>
      <c r="O2465" s="26">
        <v>45969</v>
      </c>
      <c r="P2465" s="2" t="s">
        <v>2105</v>
      </c>
      <c r="Q2465" s="2" t="s">
        <v>836</v>
      </c>
    </row>
    <row r="2466" spans="2:17" x14ac:dyDescent="0.25">
      <c r="B2466" s="2" t="s">
        <v>3271</v>
      </c>
      <c r="C2466" s="2" t="s">
        <v>273</v>
      </c>
      <c r="D2466" s="2" t="s">
        <v>274</v>
      </c>
      <c r="E2466" s="2" t="s">
        <v>256</v>
      </c>
      <c r="F2466" s="2" t="s">
        <v>535</v>
      </c>
      <c r="G2466" s="2" t="s">
        <v>475</v>
      </c>
      <c r="H2466" s="2" t="s">
        <v>476</v>
      </c>
      <c r="I2466" s="26">
        <v>45780</v>
      </c>
      <c r="J2466" s="2">
        <v>21</v>
      </c>
      <c r="K2466" s="2" t="s">
        <v>123</v>
      </c>
      <c r="L2466" s="22">
        <v>20150</v>
      </c>
      <c r="M2466" s="22">
        <v>423150</v>
      </c>
      <c r="N2466" s="18">
        <v>452.57</v>
      </c>
      <c r="O2466" s="26">
        <v>45990</v>
      </c>
      <c r="P2466" s="2" t="s">
        <v>2105</v>
      </c>
      <c r="Q2466" s="2" t="s">
        <v>836</v>
      </c>
    </row>
    <row r="2467" spans="2:17" x14ac:dyDescent="0.25">
      <c r="B2467" s="2" t="s">
        <v>3272</v>
      </c>
      <c r="C2467" s="2" t="s">
        <v>273</v>
      </c>
      <c r="D2467" s="2" t="s">
        <v>274</v>
      </c>
      <c r="E2467" s="2" t="s">
        <v>256</v>
      </c>
      <c r="F2467" s="2" t="s">
        <v>535</v>
      </c>
      <c r="G2467" s="2" t="s">
        <v>475</v>
      </c>
      <c r="H2467" s="2" t="s">
        <v>476</v>
      </c>
      <c r="I2467" s="26">
        <v>45804</v>
      </c>
      <c r="J2467" s="2">
        <v>22</v>
      </c>
      <c r="K2467" s="2" t="s">
        <v>123</v>
      </c>
      <c r="L2467" s="22">
        <v>20150</v>
      </c>
      <c r="M2467" s="22">
        <v>443300</v>
      </c>
      <c r="N2467" s="18">
        <v>474.12</v>
      </c>
      <c r="O2467" s="26">
        <v>46014</v>
      </c>
      <c r="P2467" s="2" t="s">
        <v>2105</v>
      </c>
      <c r="Q2467" s="2" t="s">
        <v>836</v>
      </c>
    </row>
    <row r="2468" spans="2:17" x14ac:dyDescent="0.25">
      <c r="B2468" s="2" t="s">
        <v>3273</v>
      </c>
      <c r="C2468" s="2" t="s">
        <v>273</v>
      </c>
      <c r="D2468" s="2" t="s">
        <v>274</v>
      </c>
      <c r="E2468" s="2" t="s">
        <v>256</v>
      </c>
      <c r="F2468" s="2" t="s">
        <v>535</v>
      </c>
      <c r="G2468" s="2" t="s">
        <v>475</v>
      </c>
      <c r="H2468" s="2" t="s">
        <v>476</v>
      </c>
      <c r="I2468" s="26">
        <v>45824</v>
      </c>
      <c r="J2468" s="2">
        <v>22</v>
      </c>
      <c r="K2468" s="2" t="s">
        <v>123</v>
      </c>
      <c r="L2468" s="22">
        <v>20150</v>
      </c>
      <c r="M2468" s="22">
        <v>443300</v>
      </c>
      <c r="N2468" s="18">
        <v>474.12</v>
      </c>
      <c r="O2468" s="26">
        <v>46034</v>
      </c>
      <c r="P2468" s="2" t="s">
        <v>2105</v>
      </c>
      <c r="Q2468" s="2" t="s">
        <v>806</v>
      </c>
    </row>
    <row r="2469" spans="2:17" x14ac:dyDescent="0.25">
      <c r="B2469" s="2" t="s">
        <v>3274</v>
      </c>
      <c r="C2469" s="2" t="s">
        <v>275</v>
      </c>
      <c r="D2469" s="2" t="s">
        <v>276</v>
      </c>
      <c r="E2469" s="2" t="s">
        <v>256</v>
      </c>
      <c r="F2469" s="2" t="s">
        <v>535</v>
      </c>
      <c r="G2469" s="2" t="s">
        <v>475</v>
      </c>
      <c r="H2469" s="2" t="s">
        <v>476</v>
      </c>
      <c r="I2469" s="26">
        <v>45123</v>
      </c>
      <c r="J2469" s="2">
        <v>21</v>
      </c>
      <c r="K2469" s="2" t="s">
        <v>123</v>
      </c>
      <c r="L2469" s="22">
        <v>22950</v>
      </c>
      <c r="M2469" s="22">
        <v>481950</v>
      </c>
      <c r="N2469" s="18">
        <v>515.45000000000005</v>
      </c>
      <c r="O2469" s="26">
        <v>45333</v>
      </c>
      <c r="P2469" s="2" t="s">
        <v>2105</v>
      </c>
      <c r="Q2469" s="2" t="s">
        <v>806</v>
      </c>
    </row>
    <row r="2470" spans="2:17" x14ac:dyDescent="0.25">
      <c r="B2470" s="2" t="s">
        <v>3275</v>
      </c>
      <c r="C2470" s="2" t="s">
        <v>275</v>
      </c>
      <c r="D2470" s="2" t="s">
        <v>276</v>
      </c>
      <c r="E2470" s="2" t="s">
        <v>256</v>
      </c>
      <c r="F2470" s="2" t="s">
        <v>535</v>
      </c>
      <c r="G2470" s="2" t="s">
        <v>475</v>
      </c>
      <c r="H2470" s="2" t="s">
        <v>476</v>
      </c>
      <c r="I2470" s="26">
        <v>45143</v>
      </c>
      <c r="J2470" s="2">
        <v>21</v>
      </c>
      <c r="K2470" s="2" t="s">
        <v>123</v>
      </c>
      <c r="L2470" s="22">
        <v>22950</v>
      </c>
      <c r="M2470" s="22">
        <v>481950</v>
      </c>
      <c r="N2470" s="18">
        <v>515.45000000000005</v>
      </c>
      <c r="O2470" s="26">
        <v>45353</v>
      </c>
      <c r="P2470" s="2" t="s">
        <v>2105</v>
      </c>
      <c r="Q2470" s="2" t="s">
        <v>806</v>
      </c>
    </row>
    <row r="2471" spans="2:17" x14ac:dyDescent="0.25">
      <c r="B2471" s="2" t="s">
        <v>3276</v>
      </c>
      <c r="C2471" s="2" t="s">
        <v>275</v>
      </c>
      <c r="D2471" s="2" t="s">
        <v>276</v>
      </c>
      <c r="E2471" s="2" t="s">
        <v>256</v>
      </c>
      <c r="F2471" s="2" t="s">
        <v>535</v>
      </c>
      <c r="G2471" s="2" t="s">
        <v>475</v>
      </c>
      <c r="H2471" s="2" t="s">
        <v>476</v>
      </c>
      <c r="I2471" s="26">
        <v>45159</v>
      </c>
      <c r="J2471" s="2">
        <v>20</v>
      </c>
      <c r="K2471" s="2" t="s">
        <v>123</v>
      </c>
      <c r="L2471" s="22">
        <v>22950</v>
      </c>
      <c r="M2471" s="22">
        <v>459000</v>
      </c>
      <c r="N2471" s="18">
        <v>490.91</v>
      </c>
      <c r="O2471" s="26">
        <v>45369</v>
      </c>
      <c r="P2471" s="2" t="s">
        <v>2105</v>
      </c>
      <c r="Q2471" s="2" t="s">
        <v>806</v>
      </c>
    </row>
    <row r="2472" spans="2:17" x14ac:dyDescent="0.25">
      <c r="B2472" s="2" t="s">
        <v>3277</v>
      </c>
      <c r="C2472" s="2" t="s">
        <v>275</v>
      </c>
      <c r="D2472" s="2" t="s">
        <v>276</v>
      </c>
      <c r="E2472" s="2" t="s">
        <v>256</v>
      </c>
      <c r="F2472" s="2" t="s">
        <v>535</v>
      </c>
      <c r="G2472" s="2" t="s">
        <v>475</v>
      </c>
      <c r="H2472" s="2" t="s">
        <v>476</v>
      </c>
      <c r="I2472" s="26">
        <v>45180</v>
      </c>
      <c r="J2472" s="2">
        <v>23</v>
      </c>
      <c r="K2472" s="2" t="s">
        <v>123</v>
      </c>
      <c r="L2472" s="22">
        <v>22950</v>
      </c>
      <c r="M2472" s="22">
        <v>527850</v>
      </c>
      <c r="N2472" s="18">
        <v>564.54999999999995</v>
      </c>
      <c r="O2472" s="26">
        <v>45390</v>
      </c>
      <c r="P2472" s="2" t="s">
        <v>2105</v>
      </c>
      <c r="Q2472" s="2" t="s">
        <v>814</v>
      </c>
    </row>
    <row r="2473" spans="2:17" x14ac:dyDescent="0.25">
      <c r="B2473" s="2" t="s">
        <v>3278</v>
      </c>
      <c r="C2473" s="2" t="s">
        <v>275</v>
      </c>
      <c r="D2473" s="2" t="s">
        <v>276</v>
      </c>
      <c r="E2473" s="2" t="s">
        <v>256</v>
      </c>
      <c r="F2473" s="2" t="s">
        <v>535</v>
      </c>
      <c r="G2473" s="2" t="s">
        <v>475</v>
      </c>
      <c r="H2473" s="2" t="s">
        <v>476</v>
      </c>
      <c r="I2473" s="26">
        <v>45200</v>
      </c>
      <c r="J2473" s="2">
        <v>7</v>
      </c>
      <c r="K2473" s="2" t="s">
        <v>123</v>
      </c>
      <c r="L2473" s="22">
        <v>22950</v>
      </c>
      <c r="M2473" s="22">
        <v>160650</v>
      </c>
      <c r="N2473" s="18">
        <v>171.82</v>
      </c>
      <c r="O2473" s="26">
        <v>45410</v>
      </c>
      <c r="P2473" s="2" t="s">
        <v>2105</v>
      </c>
      <c r="Q2473" s="2" t="s">
        <v>814</v>
      </c>
    </row>
    <row r="2474" spans="2:17" x14ac:dyDescent="0.25">
      <c r="B2474" s="2" t="s">
        <v>3279</v>
      </c>
      <c r="C2474" s="2" t="s">
        <v>275</v>
      </c>
      <c r="D2474" s="2" t="s">
        <v>276</v>
      </c>
      <c r="E2474" s="2" t="s">
        <v>256</v>
      </c>
      <c r="F2474" s="2" t="s">
        <v>535</v>
      </c>
      <c r="G2474" s="2" t="s">
        <v>475</v>
      </c>
      <c r="H2474" s="2" t="s">
        <v>476</v>
      </c>
      <c r="I2474" s="26">
        <v>45223</v>
      </c>
      <c r="J2474" s="2">
        <v>8</v>
      </c>
      <c r="K2474" s="2" t="s">
        <v>123</v>
      </c>
      <c r="L2474" s="22">
        <v>22950</v>
      </c>
      <c r="M2474" s="22">
        <v>183600</v>
      </c>
      <c r="N2474" s="18">
        <v>196.36</v>
      </c>
      <c r="O2474" s="26">
        <v>45433</v>
      </c>
      <c r="P2474" s="2" t="s">
        <v>2105</v>
      </c>
      <c r="Q2474" s="2" t="s">
        <v>814</v>
      </c>
    </row>
    <row r="2475" spans="2:17" x14ac:dyDescent="0.25">
      <c r="B2475" s="2" t="s">
        <v>3280</v>
      </c>
      <c r="C2475" s="2" t="s">
        <v>275</v>
      </c>
      <c r="D2475" s="2" t="s">
        <v>276</v>
      </c>
      <c r="E2475" s="2" t="s">
        <v>256</v>
      </c>
      <c r="F2475" s="2" t="s">
        <v>535</v>
      </c>
      <c r="G2475" s="2" t="s">
        <v>475</v>
      </c>
      <c r="H2475" s="2" t="s">
        <v>476</v>
      </c>
      <c r="I2475" s="26">
        <v>45243</v>
      </c>
      <c r="J2475" s="2">
        <v>7</v>
      </c>
      <c r="K2475" s="2" t="s">
        <v>123</v>
      </c>
      <c r="L2475" s="22">
        <v>22950</v>
      </c>
      <c r="M2475" s="22">
        <v>160650</v>
      </c>
      <c r="N2475" s="18">
        <v>171.82</v>
      </c>
      <c r="O2475" s="26">
        <v>45453</v>
      </c>
      <c r="P2475" s="2" t="s">
        <v>2105</v>
      </c>
      <c r="Q2475" s="2" t="s">
        <v>814</v>
      </c>
    </row>
    <row r="2476" spans="2:17" x14ac:dyDescent="0.25">
      <c r="B2476" s="2" t="s">
        <v>3281</v>
      </c>
      <c r="C2476" s="2" t="s">
        <v>275</v>
      </c>
      <c r="D2476" s="2" t="s">
        <v>276</v>
      </c>
      <c r="E2476" s="2" t="s">
        <v>256</v>
      </c>
      <c r="F2476" s="2" t="s">
        <v>535</v>
      </c>
      <c r="G2476" s="2" t="s">
        <v>475</v>
      </c>
      <c r="H2476" s="2" t="s">
        <v>476</v>
      </c>
      <c r="I2476" s="26">
        <v>45262</v>
      </c>
      <c r="J2476" s="2">
        <v>9</v>
      </c>
      <c r="K2476" s="2" t="s">
        <v>123</v>
      </c>
      <c r="L2476" s="22">
        <v>22950</v>
      </c>
      <c r="M2476" s="22">
        <v>206550</v>
      </c>
      <c r="N2476" s="18">
        <v>220.91</v>
      </c>
      <c r="O2476" s="26">
        <v>45472</v>
      </c>
      <c r="P2476" s="2" t="s">
        <v>2105</v>
      </c>
      <c r="Q2476" s="2" t="s">
        <v>825</v>
      </c>
    </row>
    <row r="2477" spans="2:17" x14ac:dyDescent="0.25">
      <c r="B2477" s="2" t="s">
        <v>3282</v>
      </c>
      <c r="C2477" s="2" t="s">
        <v>275</v>
      </c>
      <c r="D2477" s="2" t="s">
        <v>276</v>
      </c>
      <c r="E2477" s="2" t="s">
        <v>256</v>
      </c>
      <c r="F2477" s="2" t="s">
        <v>535</v>
      </c>
      <c r="G2477" s="2" t="s">
        <v>475</v>
      </c>
      <c r="H2477" s="2" t="s">
        <v>476</v>
      </c>
      <c r="I2477" s="26">
        <v>45281</v>
      </c>
      <c r="J2477" s="2">
        <v>10</v>
      </c>
      <c r="K2477" s="2" t="s">
        <v>123</v>
      </c>
      <c r="L2477" s="22">
        <v>22950</v>
      </c>
      <c r="M2477" s="22">
        <v>229500</v>
      </c>
      <c r="N2477" s="18">
        <v>245.45</v>
      </c>
      <c r="O2477" s="26">
        <v>45491</v>
      </c>
      <c r="P2477" s="2" t="s">
        <v>2105</v>
      </c>
      <c r="Q2477" s="2" t="s">
        <v>825</v>
      </c>
    </row>
    <row r="2478" spans="2:17" x14ac:dyDescent="0.25">
      <c r="B2478" s="2" t="s">
        <v>3283</v>
      </c>
      <c r="C2478" s="2" t="s">
        <v>275</v>
      </c>
      <c r="D2478" s="2" t="s">
        <v>276</v>
      </c>
      <c r="E2478" s="2" t="s">
        <v>256</v>
      </c>
      <c r="F2478" s="2" t="s">
        <v>535</v>
      </c>
      <c r="G2478" s="2" t="s">
        <v>475</v>
      </c>
      <c r="H2478" s="2" t="s">
        <v>476</v>
      </c>
      <c r="I2478" s="26">
        <v>45297</v>
      </c>
      <c r="J2478" s="2">
        <v>7</v>
      </c>
      <c r="K2478" s="2" t="s">
        <v>123</v>
      </c>
      <c r="L2478" s="22">
        <v>22950</v>
      </c>
      <c r="M2478" s="22">
        <v>160650</v>
      </c>
      <c r="N2478" s="18">
        <v>171.82</v>
      </c>
      <c r="O2478" s="26">
        <v>45507</v>
      </c>
      <c r="P2478" s="2" t="s">
        <v>2105</v>
      </c>
      <c r="Q2478" s="2" t="s">
        <v>825</v>
      </c>
    </row>
    <row r="2479" spans="2:17" x14ac:dyDescent="0.25">
      <c r="B2479" s="2" t="s">
        <v>3284</v>
      </c>
      <c r="C2479" s="2" t="s">
        <v>275</v>
      </c>
      <c r="D2479" s="2" t="s">
        <v>276</v>
      </c>
      <c r="E2479" s="2" t="s">
        <v>256</v>
      </c>
      <c r="F2479" s="2" t="s">
        <v>535</v>
      </c>
      <c r="G2479" s="2" t="s">
        <v>475</v>
      </c>
      <c r="H2479" s="2" t="s">
        <v>476</v>
      </c>
      <c r="I2479" s="26">
        <v>45311</v>
      </c>
      <c r="J2479" s="2">
        <v>8</v>
      </c>
      <c r="K2479" s="2" t="s">
        <v>123</v>
      </c>
      <c r="L2479" s="22">
        <v>22950</v>
      </c>
      <c r="M2479" s="22">
        <v>183600</v>
      </c>
      <c r="N2479" s="18">
        <v>196.36</v>
      </c>
      <c r="O2479" s="26">
        <v>45521</v>
      </c>
      <c r="P2479" s="2" t="s">
        <v>2105</v>
      </c>
      <c r="Q2479" s="2" t="s">
        <v>825</v>
      </c>
    </row>
    <row r="2480" spans="2:17" x14ac:dyDescent="0.25">
      <c r="B2480" s="2" t="s">
        <v>3285</v>
      </c>
      <c r="C2480" s="2" t="s">
        <v>275</v>
      </c>
      <c r="D2480" s="2" t="s">
        <v>276</v>
      </c>
      <c r="E2480" s="2" t="s">
        <v>256</v>
      </c>
      <c r="F2480" s="2" t="s">
        <v>535</v>
      </c>
      <c r="G2480" s="2" t="s">
        <v>475</v>
      </c>
      <c r="H2480" s="2" t="s">
        <v>476</v>
      </c>
      <c r="I2480" s="26">
        <v>45330</v>
      </c>
      <c r="J2480" s="2">
        <v>8</v>
      </c>
      <c r="K2480" s="2" t="s">
        <v>123</v>
      </c>
      <c r="L2480" s="22">
        <v>22950</v>
      </c>
      <c r="M2480" s="22">
        <v>183600</v>
      </c>
      <c r="N2480" s="18">
        <v>196.36</v>
      </c>
      <c r="O2480" s="26">
        <v>45540</v>
      </c>
      <c r="P2480" s="2" t="s">
        <v>2105</v>
      </c>
      <c r="Q2480" s="2" t="s">
        <v>825</v>
      </c>
    </row>
    <row r="2481" spans="2:17" x14ac:dyDescent="0.25">
      <c r="B2481" s="2" t="s">
        <v>3286</v>
      </c>
      <c r="C2481" s="2" t="s">
        <v>275</v>
      </c>
      <c r="D2481" s="2" t="s">
        <v>276</v>
      </c>
      <c r="E2481" s="2" t="s">
        <v>256</v>
      </c>
      <c r="F2481" s="2" t="s">
        <v>535</v>
      </c>
      <c r="G2481" s="2" t="s">
        <v>475</v>
      </c>
      <c r="H2481" s="2" t="s">
        <v>476</v>
      </c>
      <c r="I2481" s="26">
        <v>45354</v>
      </c>
      <c r="J2481" s="2">
        <v>7</v>
      </c>
      <c r="K2481" s="2" t="s">
        <v>123</v>
      </c>
      <c r="L2481" s="22">
        <v>22950</v>
      </c>
      <c r="M2481" s="22">
        <v>160650</v>
      </c>
      <c r="N2481" s="18">
        <v>171.82</v>
      </c>
      <c r="O2481" s="26">
        <v>45564</v>
      </c>
      <c r="P2481" s="2" t="s">
        <v>2105</v>
      </c>
      <c r="Q2481" s="2" t="s">
        <v>836</v>
      </c>
    </row>
    <row r="2482" spans="2:17" x14ac:dyDescent="0.25">
      <c r="B2482" s="2" t="s">
        <v>3287</v>
      </c>
      <c r="C2482" s="2" t="s">
        <v>275</v>
      </c>
      <c r="D2482" s="2" t="s">
        <v>276</v>
      </c>
      <c r="E2482" s="2" t="s">
        <v>256</v>
      </c>
      <c r="F2482" s="2" t="s">
        <v>535</v>
      </c>
      <c r="G2482" s="2" t="s">
        <v>475</v>
      </c>
      <c r="H2482" s="2" t="s">
        <v>476</v>
      </c>
      <c r="I2482" s="26">
        <v>45377</v>
      </c>
      <c r="J2482" s="2">
        <v>7</v>
      </c>
      <c r="K2482" s="2" t="s">
        <v>123</v>
      </c>
      <c r="L2482" s="22">
        <v>22950</v>
      </c>
      <c r="M2482" s="22">
        <v>160650</v>
      </c>
      <c r="N2482" s="18">
        <v>171.82</v>
      </c>
      <c r="O2482" s="26">
        <v>45587</v>
      </c>
      <c r="P2482" s="2" t="s">
        <v>2105</v>
      </c>
      <c r="Q2482" s="2" t="s">
        <v>836</v>
      </c>
    </row>
    <row r="2483" spans="2:17" x14ac:dyDescent="0.25">
      <c r="B2483" s="2" t="s">
        <v>3288</v>
      </c>
      <c r="C2483" s="2" t="s">
        <v>275</v>
      </c>
      <c r="D2483" s="2" t="s">
        <v>276</v>
      </c>
      <c r="E2483" s="2" t="s">
        <v>256</v>
      </c>
      <c r="F2483" s="2" t="s">
        <v>537</v>
      </c>
      <c r="G2483" s="2" t="s">
        <v>485</v>
      </c>
      <c r="H2483" s="2" t="s">
        <v>486</v>
      </c>
      <c r="I2483" s="26">
        <v>45398</v>
      </c>
      <c r="J2483" s="2">
        <v>20</v>
      </c>
      <c r="K2483" s="2" t="s">
        <v>123</v>
      </c>
      <c r="L2483" s="22">
        <v>23900</v>
      </c>
      <c r="M2483" s="22">
        <v>478000</v>
      </c>
      <c r="N2483" s="18">
        <v>511.23</v>
      </c>
      <c r="O2483" s="26">
        <v>45608</v>
      </c>
      <c r="P2483" s="2" t="s">
        <v>2105</v>
      </c>
      <c r="Q2483" s="2" t="s">
        <v>836</v>
      </c>
    </row>
    <row r="2484" spans="2:17" x14ac:dyDescent="0.25">
      <c r="B2484" s="2" t="s">
        <v>3289</v>
      </c>
      <c r="C2484" s="2" t="s">
        <v>275</v>
      </c>
      <c r="D2484" s="2" t="s">
        <v>276</v>
      </c>
      <c r="E2484" s="2" t="s">
        <v>256</v>
      </c>
      <c r="F2484" s="2" t="s">
        <v>535</v>
      </c>
      <c r="G2484" s="2" t="s">
        <v>475</v>
      </c>
      <c r="H2484" s="2" t="s">
        <v>476</v>
      </c>
      <c r="I2484" s="26">
        <v>45418</v>
      </c>
      <c r="J2484" s="2">
        <v>20</v>
      </c>
      <c r="K2484" s="2" t="s">
        <v>123</v>
      </c>
      <c r="L2484" s="22">
        <v>22950</v>
      </c>
      <c r="M2484" s="22">
        <v>459000</v>
      </c>
      <c r="N2484" s="18">
        <v>490.91</v>
      </c>
      <c r="O2484" s="26">
        <v>45628</v>
      </c>
      <c r="P2484" s="2" t="s">
        <v>2105</v>
      </c>
      <c r="Q2484" s="2" t="s">
        <v>836</v>
      </c>
    </row>
    <row r="2485" spans="2:17" x14ac:dyDescent="0.25">
      <c r="B2485" s="2" t="s">
        <v>3290</v>
      </c>
      <c r="C2485" s="2" t="s">
        <v>275</v>
      </c>
      <c r="D2485" s="2" t="s">
        <v>276</v>
      </c>
      <c r="E2485" s="2" t="s">
        <v>256</v>
      </c>
      <c r="F2485" s="2" t="s">
        <v>537</v>
      </c>
      <c r="G2485" s="2" t="s">
        <v>485</v>
      </c>
      <c r="H2485" s="2" t="s">
        <v>486</v>
      </c>
      <c r="I2485" s="26">
        <v>45435</v>
      </c>
      <c r="J2485" s="2">
        <v>20</v>
      </c>
      <c r="K2485" s="2" t="s">
        <v>123</v>
      </c>
      <c r="L2485" s="22">
        <v>23900</v>
      </c>
      <c r="M2485" s="22">
        <v>478000</v>
      </c>
      <c r="N2485" s="18">
        <v>511.23</v>
      </c>
      <c r="O2485" s="26">
        <v>45645</v>
      </c>
      <c r="P2485" s="2" t="s">
        <v>2105</v>
      </c>
      <c r="Q2485" s="2" t="s">
        <v>836</v>
      </c>
    </row>
    <row r="2486" spans="2:17" x14ac:dyDescent="0.25">
      <c r="B2486" s="2" t="s">
        <v>3291</v>
      </c>
      <c r="C2486" s="2" t="s">
        <v>275</v>
      </c>
      <c r="D2486" s="2" t="s">
        <v>276</v>
      </c>
      <c r="E2486" s="2" t="s">
        <v>256</v>
      </c>
      <c r="F2486" s="2" t="s">
        <v>535</v>
      </c>
      <c r="G2486" s="2" t="s">
        <v>475</v>
      </c>
      <c r="H2486" s="2" t="s">
        <v>476</v>
      </c>
      <c r="I2486" s="26">
        <v>45447</v>
      </c>
      <c r="J2486" s="2">
        <v>19</v>
      </c>
      <c r="K2486" s="2" t="s">
        <v>123</v>
      </c>
      <c r="L2486" s="22">
        <v>22950</v>
      </c>
      <c r="M2486" s="22">
        <v>436050</v>
      </c>
      <c r="N2486" s="18">
        <v>466.36</v>
      </c>
      <c r="O2486" s="26">
        <v>45657</v>
      </c>
      <c r="P2486" s="2" t="s">
        <v>2105</v>
      </c>
      <c r="Q2486" s="2" t="s">
        <v>806</v>
      </c>
    </row>
    <row r="2487" spans="2:17" x14ac:dyDescent="0.25">
      <c r="B2487" s="2" t="s">
        <v>3292</v>
      </c>
      <c r="C2487" s="2" t="s">
        <v>275</v>
      </c>
      <c r="D2487" s="2" t="s">
        <v>276</v>
      </c>
      <c r="E2487" s="2" t="s">
        <v>256</v>
      </c>
      <c r="F2487" s="2" t="s">
        <v>535</v>
      </c>
      <c r="G2487" s="2" t="s">
        <v>475</v>
      </c>
      <c r="H2487" s="2" t="s">
        <v>476</v>
      </c>
      <c r="I2487" s="26">
        <v>45468</v>
      </c>
      <c r="J2487" s="2">
        <v>22</v>
      </c>
      <c r="K2487" s="2" t="s">
        <v>123</v>
      </c>
      <c r="L2487" s="22">
        <v>22950</v>
      </c>
      <c r="M2487" s="22">
        <v>504900</v>
      </c>
      <c r="N2487" s="18">
        <v>540</v>
      </c>
      <c r="O2487" s="26">
        <v>45678</v>
      </c>
      <c r="P2487" s="2" t="s">
        <v>2105</v>
      </c>
      <c r="Q2487" s="2" t="s">
        <v>806</v>
      </c>
    </row>
    <row r="2488" spans="2:17" x14ac:dyDescent="0.25">
      <c r="B2488" s="2" t="s">
        <v>3293</v>
      </c>
      <c r="C2488" s="2" t="s">
        <v>275</v>
      </c>
      <c r="D2488" s="2" t="s">
        <v>276</v>
      </c>
      <c r="E2488" s="2" t="s">
        <v>256</v>
      </c>
      <c r="F2488" s="2" t="s">
        <v>535</v>
      </c>
      <c r="G2488" s="2" t="s">
        <v>475</v>
      </c>
      <c r="H2488" s="2" t="s">
        <v>476</v>
      </c>
      <c r="I2488" s="26">
        <v>45480</v>
      </c>
      <c r="J2488" s="2">
        <v>21</v>
      </c>
      <c r="K2488" s="2" t="s">
        <v>123</v>
      </c>
      <c r="L2488" s="22">
        <v>22950</v>
      </c>
      <c r="M2488" s="22">
        <v>481950</v>
      </c>
      <c r="N2488" s="18">
        <v>515.45000000000005</v>
      </c>
      <c r="O2488" s="26">
        <v>45690</v>
      </c>
      <c r="P2488" s="2" t="s">
        <v>2105</v>
      </c>
      <c r="Q2488" s="2" t="s">
        <v>806</v>
      </c>
    </row>
    <row r="2489" spans="2:17" x14ac:dyDescent="0.25">
      <c r="B2489" s="2" t="s">
        <v>3294</v>
      </c>
      <c r="C2489" s="2" t="s">
        <v>275</v>
      </c>
      <c r="D2489" s="2" t="s">
        <v>276</v>
      </c>
      <c r="E2489" s="2" t="s">
        <v>256</v>
      </c>
      <c r="F2489" s="2" t="s">
        <v>535</v>
      </c>
      <c r="G2489" s="2" t="s">
        <v>475</v>
      </c>
      <c r="H2489" s="2" t="s">
        <v>476</v>
      </c>
      <c r="I2489" s="26">
        <v>45498</v>
      </c>
      <c r="J2489" s="2">
        <v>20</v>
      </c>
      <c r="K2489" s="2" t="s">
        <v>123</v>
      </c>
      <c r="L2489" s="22">
        <v>22950</v>
      </c>
      <c r="M2489" s="22">
        <v>459000</v>
      </c>
      <c r="N2489" s="18">
        <v>490.91</v>
      </c>
      <c r="O2489" s="26">
        <v>45708</v>
      </c>
      <c r="P2489" s="2" t="s">
        <v>2105</v>
      </c>
      <c r="Q2489" s="2" t="s">
        <v>806</v>
      </c>
    </row>
    <row r="2490" spans="2:17" x14ac:dyDescent="0.25">
      <c r="B2490" s="2" t="s">
        <v>3295</v>
      </c>
      <c r="C2490" s="2" t="s">
        <v>275</v>
      </c>
      <c r="D2490" s="2" t="s">
        <v>276</v>
      </c>
      <c r="E2490" s="2" t="s">
        <v>256</v>
      </c>
      <c r="F2490" s="2" t="s">
        <v>535</v>
      </c>
      <c r="G2490" s="2" t="s">
        <v>475</v>
      </c>
      <c r="H2490" s="2" t="s">
        <v>476</v>
      </c>
      <c r="I2490" s="26">
        <v>45521</v>
      </c>
      <c r="J2490" s="2">
        <v>19</v>
      </c>
      <c r="K2490" s="2" t="s">
        <v>123</v>
      </c>
      <c r="L2490" s="22">
        <v>22950</v>
      </c>
      <c r="M2490" s="22">
        <v>436050</v>
      </c>
      <c r="N2490" s="18">
        <v>466.36</v>
      </c>
      <c r="O2490" s="26">
        <v>45731</v>
      </c>
      <c r="P2490" s="2" t="s">
        <v>2105</v>
      </c>
      <c r="Q2490" s="2" t="s">
        <v>806</v>
      </c>
    </row>
    <row r="2491" spans="2:17" x14ac:dyDescent="0.25">
      <c r="B2491" s="2" t="s">
        <v>3296</v>
      </c>
      <c r="C2491" s="2" t="s">
        <v>275</v>
      </c>
      <c r="D2491" s="2" t="s">
        <v>276</v>
      </c>
      <c r="E2491" s="2" t="s">
        <v>256</v>
      </c>
      <c r="F2491" s="2" t="s">
        <v>535</v>
      </c>
      <c r="G2491" s="2" t="s">
        <v>475</v>
      </c>
      <c r="H2491" s="2" t="s">
        <v>476</v>
      </c>
      <c r="I2491" s="26">
        <v>45536</v>
      </c>
      <c r="J2491" s="2">
        <v>25</v>
      </c>
      <c r="K2491" s="2" t="s">
        <v>123</v>
      </c>
      <c r="L2491" s="22">
        <v>22950</v>
      </c>
      <c r="M2491" s="22">
        <v>573750</v>
      </c>
      <c r="N2491" s="18">
        <v>613.64</v>
      </c>
      <c r="O2491" s="26">
        <v>45746</v>
      </c>
      <c r="P2491" s="2" t="s">
        <v>2105</v>
      </c>
      <c r="Q2491" s="2" t="s">
        <v>814</v>
      </c>
    </row>
    <row r="2492" spans="2:17" x14ac:dyDescent="0.25">
      <c r="B2492" s="2" t="s">
        <v>3297</v>
      </c>
      <c r="C2492" s="2" t="s">
        <v>275</v>
      </c>
      <c r="D2492" s="2" t="s">
        <v>276</v>
      </c>
      <c r="E2492" s="2" t="s">
        <v>256</v>
      </c>
      <c r="F2492" s="2" t="s">
        <v>535</v>
      </c>
      <c r="G2492" s="2" t="s">
        <v>475</v>
      </c>
      <c r="H2492" s="2" t="s">
        <v>476</v>
      </c>
      <c r="I2492" s="26">
        <v>45558</v>
      </c>
      <c r="J2492" s="2">
        <v>23</v>
      </c>
      <c r="K2492" s="2" t="s">
        <v>123</v>
      </c>
      <c r="L2492" s="22">
        <v>22950</v>
      </c>
      <c r="M2492" s="22">
        <v>527850</v>
      </c>
      <c r="N2492" s="18">
        <v>564.54999999999995</v>
      </c>
      <c r="O2492" s="26">
        <v>45768</v>
      </c>
      <c r="P2492" s="2" t="s">
        <v>2105</v>
      </c>
      <c r="Q2492" s="2" t="s">
        <v>814</v>
      </c>
    </row>
    <row r="2493" spans="2:17" x14ac:dyDescent="0.25">
      <c r="B2493" s="2" t="s">
        <v>3298</v>
      </c>
      <c r="C2493" s="2" t="s">
        <v>275</v>
      </c>
      <c r="D2493" s="2" t="s">
        <v>276</v>
      </c>
      <c r="E2493" s="2" t="s">
        <v>256</v>
      </c>
      <c r="F2493" s="2" t="s">
        <v>535</v>
      </c>
      <c r="G2493" s="2" t="s">
        <v>475</v>
      </c>
      <c r="H2493" s="2" t="s">
        <v>476</v>
      </c>
      <c r="I2493" s="26">
        <v>45580</v>
      </c>
      <c r="J2493" s="2">
        <v>7</v>
      </c>
      <c r="K2493" s="2" t="s">
        <v>123</v>
      </c>
      <c r="L2493" s="22">
        <v>22950</v>
      </c>
      <c r="M2493" s="22">
        <v>160650</v>
      </c>
      <c r="N2493" s="18">
        <v>171.82</v>
      </c>
      <c r="O2493" s="26">
        <v>45790</v>
      </c>
      <c r="P2493" s="2" t="s">
        <v>2105</v>
      </c>
      <c r="Q2493" s="2" t="s">
        <v>814</v>
      </c>
    </row>
    <row r="2494" spans="2:17" x14ac:dyDescent="0.25">
      <c r="B2494" s="2" t="s">
        <v>3299</v>
      </c>
      <c r="C2494" s="2" t="s">
        <v>275</v>
      </c>
      <c r="D2494" s="2" t="s">
        <v>276</v>
      </c>
      <c r="E2494" s="2" t="s">
        <v>256</v>
      </c>
      <c r="F2494" s="2" t="s">
        <v>535</v>
      </c>
      <c r="G2494" s="2" t="s">
        <v>475</v>
      </c>
      <c r="H2494" s="2" t="s">
        <v>476</v>
      </c>
      <c r="I2494" s="26">
        <v>45603</v>
      </c>
      <c r="J2494" s="2">
        <v>7</v>
      </c>
      <c r="K2494" s="2" t="s">
        <v>123</v>
      </c>
      <c r="L2494" s="22">
        <v>22950</v>
      </c>
      <c r="M2494" s="22">
        <v>160650</v>
      </c>
      <c r="N2494" s="18">
        <v>171.82</v>
      </c>
      <c r="O2494" s="26">
        <v>45813</v>
      </c>
      <c r="P2494" s="2" t="s">
        <v>2105</v>
      </c>
      <c r="Q2494" s="2" t="s">
        <v>814</v>
      </c>
    </row>
    <row r="2495" spans="2:17" x14ac:dyDescent="0.25">
      <c r="B2495" s="2" t="s">
        <v>3300</v>
      </c>
      <c r="C2495" s="2" t="s">
        <v>275</v>
      </c>
      <c r="D2495" s="2" t="s">
        <v>276</v>
      </c>
      <c r="E2495" s="2" t="s">
        <v>256</v>
      </c>
      <c r="F2495" s="2" t="s">
        <v>535</v>
      </c>
      <c r="G2495" s="2" t="s">
        <v>475</v>
      </c>
      <c r="H2495" s="2" t="s">
        <v>476</v>
      </c>
      <c r="I2495" s="26">
        <v>45621</v>
      </c>
      <c r="J2495" s="2">
        <v>8</v>
      </c>
      <c r="K2495" s="2" t="s">
        <v>123</v>
      </c>
      <c r="L2495" s="22">
        <v>22950</v>
      </c>
      <c r="M2495" s="22">
        <v>183600</v>
      </c>
      <c r="N2495" s="18">
        <v>196.36</v>
      </c>
      <c r="O2495" s="26">
        <v>45831</v>
      </c>
      <c r="P2495" s="2" t="s">
        <v>2105</v>
      </c>
      <c r="Q2495" s="2" t="s">
        <v>814</v>
      </c>
    </row>
    <row r="2496" spans="2:17" x14ac:dyDescent="0.25">
      <c r="B2496" s="2" t="s">
        <v>3301</v>
      </c>
      <c r="C2496" s="2" t="s">
        <v>275</v>
      </c>
      <c r="D2496" s="2" t="s">
        <v>276</v>
      </c>
      <c r="E2496" s="2" t="s">
        <v>256</v>
      </c>
      <c r="F2496" s="2" t="s">
        <v>535</v>
      </c>
      <c r="G2496" s="2" t="s">
        <v>475</v>
      </c>
      <c r="H2496" s="2" t="s">
        <v>476</v>
      </c>
      <c r="I2496" s="26">
        <v>45642</v>
      </c>
      <c r="J2496" s="2">
        <v>9</v>
      </c>
      <c r="K2496" s="2" t="s">
        <v>123</v>
      </c>
      <c r="L2496" s="22">
        <v>22950</v>
      </c>
      <c r="M2496" s="22">
        <v>206550</v>
      </c>
      <c r="N2496" s="18">
        <v>220.91</v>
      </c>
      <c r="O2496" s="26">
        <v>45852</v>
      </c>
      <c r="P2496" s="2" t="s">
        <v>2105</v>
      </c>
      <c r="Q2496" s="2" t="s">
        <v>825</v>
      </c>
    </row>
    <row r="2497" spans="2:17" x14ac:dyDescent="0.25">
      <c r="B2497" s="2" t="s">
        <v>3302</v>
      </c>
      <c r="C2497" s="2" t="s">
        <v>275</v>
      </c>
      <c r="D2497" s="2" t="s">
        <v>276</v>
      </c>
      <c r="E2497" s="2" t="s">
        <v>256</v>
      </c>
      <c r="F2497" s="2" t="s">
        <v>535</v>
      </c>
      <c r="G2497" s="2" t="s">
        <v>475</v>
      </c>
      <c r="H2497" s="2" t="s">
        <v>476</v>
      </c>
      <c r="I2497" s="26">
        <v>45659</v>
      </c>
      <c r="J2497" s="2">
        <v>9</v>
      </c>
      <c r="K2497" s="2" t="s">
        <v>123</v>
      </c>
      <c r="L2497" s="22">
        <v>22950</v>
      </c>
      <c r="M2497" s="22">
        <v>206550</v>
      </c>
      <c r="N2497" s="18">
        <v>220.91</v>
      </c>
      <c r="O2497" s="26">
        <v>45869</v>
      </c>
      <c r="P2497" s="2" t="s">
        <v>2105</v>
      </c>
      <c r="Q2497" s="2" t="s">
        <v>825</v>
      </c>
    </row>
    <row r="2498" spans="2:17" x14ac:dyDescent="0.25">
      <c r="B2498" s="2" t="s">
        <v>3303</v>
      </c>
      <c r="C2498" s="2" t="s">
        <v>275</v>
      </c>
      <c r="D2498" s="2" t="s">
        <v>276</v>
      </c>
      <c r="E2498" s="2" t="s">
        <v>256</v>
      </c>
      <c r="F2498" s="2" t="s">
        <v>535</v>
      </c>
      <c r="G2498" s="2" t="s">
        <v>475</v>
      </c>
      <c r="H2498" s="2" t="s">
        <v>476</v>
      </c>
      <c r="I2498" s="26">
        <v>45682</v>
      </c>
      <c r="J2498" s="2">
        <v>8</v>
      </c>
      <c r="K2498" s="2" t="s">
        <v>123</v>
      </c>
      <c r="L2498" s="22">
        <v>22950</v>
      </c>
      <c r="M2498" s="22">
        <v>183600</v>
      </c>
      <c r="N2498" s="18">
        <v>196.36</v>
      </c>
      <c r="O2498" s="26">
        <v>45892</v>
      </c>
      <c r="P2498" s="2" t="s">
        <v>2105</v>
      </c>
      <c r="Q2498" s="2" t="s">
        <v>825</v>
      </c>
    </row>
    <row r="2499" spans="2:17" x14ac:dyDescent="0.25">
      <c r="B2499" s="2" t="s">
        <v>3304</v>
      </c>
      <c r="C2499" s="2" t="s">
        <v>275</v>
      </c>
      <c r="D2499" s="2" t="s">
        <v>276</v>
      </c>
      <c r="E2499" s="2" t="s">
        <v>256</v>
      </c>
      <c r="F2499" s="2" t="s">
        <v>535</v>
      </c>
      <c r="G2499" s="2" t="s">
        <v>475</v>
      </c>
      <c r="H2499" s="2" t="s">
        <v>476</v>
      </c>
      <c r="I2499" s="26">
        <v>45703</v>
      </c>
      <c r="J2499" s="2">
        <v>7</v>
      </c>
      <c r="K2499" s="2" t="s">
        <v>123</v>
      </c>
      <c r="L2499" s="22">
        <v>22950</v>
      </c>
      <c r="M2499" s="22">
        <v>160650</v>
      </c>
      <c r="N2499" s="18">
        <v>171.82</v>
      </c>
      <c r="O2499" s="26">
        <v>45913</v>
      </c>
      <c r="P2499" s="2" t="s">
        <v>2105</v>
      </c>
      <c r="Q2499" s="2" t="s">
        <v>825</v>
      </c>
    </row>
    <row r="2500" spans="2:17" x14ac:dyDescent="0.25">
      <c r="B2500" s="2" t="s">
        <v>3305</v>
      </c>
      <c r="C2500" s="2" t="s">
        <v>275</v>
      </c>
      <c r="D2500" s="2" t="s">
        <v>276</v>
      </c>
      <c r="E2500" s="2" t="s">
        <v>256</v>
      </c>
      <c r="F2500" s="2" t="s">
        <v>535</v>
      </c>
      <c r="G2500" s="2" t="s">
        <v>475</v>
      </c>
      <c r="H2500" s="2" t="s">
        <v>476</v>
      </c>
      <c r="I2500" s="26">
        <v>45724</v>
      </c>
      <c r="J2500" s="2">
        <v>7</v>
      </c>
      <c r="K2500" s="2" t="s">
        <v>123</v>
      </c>
      <c r="L2500" s="22">
        <v>22950</v>
      </c>
      <c r="M2500" s="22">
        <v>160650</v>
      </c>
      <c r="N2500" s="18">
        <v>171.82</v>
      </c>
      <c r="O2500" s="26">
        <v>45934</v>
      </c>
      <c r="P2500" s="2" t="s">
        <v>2105</v>
      </c>
      <c r="Q2500" s="2" t="s">
        <v>836</v>
      </c>
    </row>
    <row r="2501" spans="2:17" x14ac:dyDescent="0.25">
      <c r="B2501" s="2" t="s">
        <v>3306</v>
      </c>
      <c r="C2501" s="2" t="s">
        <v>275</v>
      </c>
      <c r="D2501" s="2" t="s">
        <v>276</v>
      </c>
      <c r="E2501" s="2" t="s">
        <v>256</v>
      </c>
      <c r="F2501" s="2" t="s">
        <v>535</v>
      </c>
      <c r="G2501" s="2" t="s">
        <v>475</v>
      </c>
      <c r="H2501" s="2" t="s">
        <v>476</v>
      </c>
      <c r="I2501" s="26">
        <v>45743</v>
      </c>
      <c r="J2501" s="2">
        <v>9</v>
      </c>
      <c r="K2501" s="2" t="s">
        <v>123</v>
      </c>
      <c r="L2501" s="22">
        <v>22950</v>
      </c>
      <c r="M2501" s="22">
        <v>206550</v>
      </c>
      <c r="N2501" s="18">
        <v>220.91</v>
      </c>
      <c r="O2501" s="26">
        <v>45953</v>
      </c>
      <c r="P2501" s="2" t="s">
        <v>2105</v>
      </c>
      <c r="Q2501" s="2" t="s">
        <v>836</v>
      </c>
    </row>
    <row r="2502" spans="2:17" x14ac:dyDescent="0.25">
      <c r="B2502" s="2" t="s">
        <v>3307</v>
      </c>
      <c r="C2502" s="2" t="s">
        <v>275</v>
      </c>
      <c r="D2502" s="2" t="s">
        <v>276</v>
      </c>
      <c r="E2502" s="2" t="s">
        <v>256</v>
      </c>
      <c r="F2502" s="2" t="s">
        <v>535</v>
      </c>
      <c r="G2502" s="2" t="s">
        <v>475</v>
      </c>
      <c r="H2502" s="2" t="s">
        <v>476</v>
      </c>
      <c r="I2502" s="26">
        <v>45765</v>
      </c>
      <c r="J2502" s="2">
        <v>22</v>
      </c>
      <c r="K2502" s="2" t="s">
        <v>123</v>
      </c>
      <c r="L2502" s="22">
        <v>22950</v>
      </c>
      <c r="M2502" s="22">
        <v>504900</v>
      </c>
      <c r="N2502" s="18">
        <v>540</v>
      </c>
      <c r="O2502" s="26">
        <v>45975</v>
      </c>
      <c r="P2502" s="2" t="s">
        <v>2105</v>
      </c>
      <c r="Q2502" s="2" t="s">
        <v>836</v>
      </c>
    </row>
    <row r="2503" spans="2:17" x14ac:dyDescent="0.25">
      <c r="B2503" s="2" t="s">
        <v>3308</v>
      </c>
      <c r="C2503" s="2" t="s">
        <v>275</v>
      </c>
      <c r="D2503" s="2" t="s">
        <v>276</v>
      </c>
      <c r="E2503" s="2" t="s">
        <v>256</v>
      </c>
      <c r="F2503" s="2" t="s">
        <v>537</v>
      </c>
      <c r="G2503" s="2" t="s">
        <v>485</v>
      </c>
      <c r="H2503" s="2" t="s">
        <v>486</v>
      </c>
      <c r="I2503" s="26">
        <v>45785</v>
      </c>
      <c r="J2503" s="2">
        <v>19</v>
      </c>
      <c r="K2503" s="2" t="s">
        <v>123</v>
      </c>
      <c r="L2503" s="22">
        <v>23900</v>
      </c>
      <c r="M2503" s="22">
        <v>454100</v>
      </c>
      <c r="N2503" s="18">
        <v>485.67</v>
      </c>
      <c r="O2503" s="26">
        <v>45995</v>
      </c>
      <c r="P2503" s="2" t="s">
        <v>2105</v>
      </c>
      <c r="Q2503" s="2" t="s">
        <v>836</v>
      </c>
    </row>
    <row r="2504" spans="2:17" x14ac:dyDescent="0.25">
      <c r="B2504" s="2" t="s">
        <v>3309</v>
      </c>
      <c r="C2504" s="2" t="s">
        <v>275</v>
      </c>
      <c r="D2504" s="2" t="s">
        <v>276</v>
      </c>
      <c r="E2504" s="2" t="s">
        <v>256</v>
      </c>
      <c r="F2504" s="2" t="s">
        <v>535</v>
      </c>
      <c r="G2504" s="2" t="s">
        <v>475</v>
      </c>
      <c r="H2504" s="2" t="s">
        <v>476</v>
      </c>
      <c r="I2504" s="26">
        <v>45811</v>
      </c>
      <c r="J2504" s="2">
        <v>23</v>
      </c>
      <c r="K2504" s="2" t="s">
        <v>123</v>
      </c>
      <c r="L2504" s="22">
        <v>22950</v>
      </c>
      <c r="M2504" s="22">
        <v>527850</v>
      </c>
      <c r="N2504" s="18">
        <v>564.54999999999995</v>
      </c>
      <c r="O2504" s="26">
        <v>46021</v>
      </c>
      <c r="P2504" s="2" t="s">
        <v>2105</v>
      </c>
      <c r="Q2504" s="2" t="s">
        <v>806</v>
      </c>
    </row>
    <row r="2505" spans="2:17" x14ac:dyDescent="0.25">
      <c r="B2505" s="2" t="s">
        <v>3310</v>
      </c>
      <c r="C2505" s="2" t="s">
        <v>275</v>
      </c>
      <c r="D2505" s="2" t="s">
        <v>276</v>
      </c>
      <c r="E2505" s="2" t="s">
        <v>256</v>
      </c>
      <c r="F2505" s="2" t="s">
        <v>535</v>
      </c>
      <c r="G2505" s="2" t="s">
        <v>475</v>
      </c>
      <c r="H2505" s="2" t="s">
        <v>476</v>
      </c>
      <c r="I2505" s="26">
        <v>45830</v>
      </c>
      <c r="J2505" s="2">
        <v>22</v>
      </c>
      <c r="K2505" s="2" t="s">
        <v>123</v>
      </c>
      <c r="L2505" s="22">
        <v>22950</v>
      </c>
      <c r="M2505" s="22">
        <v>504900</v>
      </c>
      <c r="N2505" s="18">
        <v>540</v>
      </c>
      <c r="O2505" s="26">
        <v>46040</v>
      </c>
      <c r="P2505" s="2" t="s">
        <v>2105</v>
      </c>
      <c r="Q2505" s="2" t="s">
        <v>806</v>
      </c>
    </row>
    <row r="2506" spans="2:17" x14ac:dyDescent="0.25">
      <c r="B2506" s="2" t="s">
        <v>3311</v>
      </c>
      <c r="C2506" s="2" t="s">
        <v>277</v>
      </c>
      <c r="D2506" s="2" t="s">
        <v>278</v>
      </c>
      <c r="E2506" s="2" t="s">
        <v>256</v>
      </c>
      <c r="F2506" s="2" t="s">
        <v>535</v>
      </c>
      <c r="G2506" s="2" t="s">
        <v>475</v>
      </c>
      <c r="H2506" s="2" t="s">
        <v>476</v>
      </c>
      <c r="I2506" s="26">
        <v>45125</v>
      </c>
      <c r="J2506" s="2">
        <v>21</v>
      </c>
      <c r="K2506" s="2" t="s">
        <v>123</v>
      </c>
      <c r="L2506" s="22">
        <v>22450</v>
      </c>
      <c r="M2506" s="22">
        <v>471450</v>
      </c>
      <c r="N2506" s="18">
        <v>504.22</v>
      </c>
      <c r="O2506" s="26">
        <v>45335</v>
      </c>
      <c r="P2506" s="2" t="s">
        <v>2105</v>
      </c>
      <c r="Q2506" s="2" t="s">
        <v>806</v>
      </c>
    </row>
    <row r="2507" spans="2:17" x14ac:dyDescent="0.25">
      <c r="B2507" s="2" t="s">
        <v>3312</v>
      </c>
      <c r="C2507" s="2" t="s">
        <v>277</v>
      </c>
      <c r="D2507" s="2" t="s">
        <v>278</v>
      </c>
      <c r="E2507" s="2" t="s">
        <v>256</v>
      </c>
      <c r="F2507" s="2" t="s">
        <v>535</v>
      </c>
      <c r="G2507" s="2" t="s">
        <v>475</v>
      </c>
      <c r="H2507" s="2" t="s">
        <v>476</v>
      </c>
      <c r="I2507" s="26">
        <v>45149</v>
      </c>
      <c r="J2507" s="2">
        <v>17</v>
      </c>
      <c r="K2507" s="2" t="s">
        <v>123</v>
      </c>
      <c r="L2507" s="22">
        <v>22450</v>
      </c>
      <c r="M2507" s="22">
        <v>381650</v>
      </c>
      <c r="N2507" s="18">
        <v>408.18</v>
      </c>
      <c r="O2507" s="26">
        <v>45359</v>
      </c>
      <c r="P2507" s="2" t="s">
        <v>2105</v>
      </c>
      <c r="Q2507" s="2" t="s">
        <v>806</v>
      </c>
    </row>
    <row r="2508" spans="2:17" x14ac:dyDescent="0.25">
      <c r="B2508" s="2" t="s">
        <v>3313</v>
      </c>
      <c r="C2508" s="2" t="s">
        <v>277</v>
      </c>
      <c r="D2508" s="2" t="s">
        <v>278</v>
      </c>
      <c r="E2508" s="2" t="s">
        <v>256</v>
      </c>
      <c r="F2508" s="2" t="s">
        <v>535</v>
      </c>
      <c r="G2508" s="2" t="s">
        <v>475</v>
      </c>
      <c r="H2508" s="2" t="s">
        <v>476</v>
      </c>
      <c r="I2508" s="26">
        <v>45168</v>
      </c>
      <c r="J2508" s="2">
        <v>18</v>
      </c>
      <c r="K2508" s="2" t="s">
        <v>123</v>
      </c>
      <c r="L2508" s="22">
        <v>22450</v>
      </c>
      <c r="M2508" s="22">
        <v>404100</v>
      </c>
      <c r="N2508" s="18">
        <v>432.19</v>
      </c>
      <c r="O2508" s="26">
        <v>45378</v>
      </c>
      <c r="P2508" s="2" t="s">
        <v>2105</v>
      </c>
      <c r="Q2508" s="2" t="s">
        <v>806</v>
      </c>
    </row>
    <row r="2509" spans="2:17" x14ac:dyDescent="0.25">
      <c r="B2509" s="2" t="s">
        <v>3314</v>
      </c>
      <c r="C2509" s="2" t="s">
        <v>277</v>
      </c>
      <c r="D2509" s="2" t="s">
        <v>278</v>
      </c>
      <c r="E2509" s="2" t="s">
        <v>256</v>
      </c>
      <c r="F2509" s="2" t="s">
        <v>535</v>
      </c>
      <c r="G2509" s="2" t="s">
        <v>475</v>
      </c>
      <c r="H2509" s="2" t="s">
        <v>476</v>
      </c>
      <c r="I2509" s="26">
        <v>45185</v>
      </c>
      <c r="J2509" s="2">
        <v>25</v>
      </c>
      <c r="K2509" s="2" t="s">
        <v>123</v>
      </c>
      <c r="L2509" s="22">
        <v>22450</v>
      </c>
      <c r="M2509" s="22">
        <v>561250</v>
      </c>
      <c r="N2509" s="18">
        <v>600.27</v>
      </c>
      <c r="O2509" s="26">
        <v>45395</v>
      </c>
      <c r="P2509" s="2" t="s">
        <v>2105</v>
      </c>
      <c r="Q2509" s="2" t="s">
        <v>814</v>
      </c>
    </row>
    <row r="2510" spans="2:17" x14ac:dyDescent="0.25">
      <c r="B2510" s="2" t="s">
        <v>3315</v>
      </c>
      <c r="C2510" s="2" t="s">
        <v>277</v>
      </c>
      <c r="D2510" s="2" t="s">
        <v>278</v>
      </c>
      <c r="E2510" s="2" t="s">
        <v>256</v>
      </c>
      <c r="F2510" s="2" t="s">
        <v>535</v>
      </c>
      <c r="G2510" s="2" t="s">
        <v>475</v>
      </c>
      <c r="H2510" s="2" t="s">
        <v>476</v>
      </c>
      <c r="I2510" s="26">
        <v>45205</v>
      </c>
      <c r="J2510" s="2">
        <v>6</v>
      </c>
      <c r="K2510" s="2" t="s">
        <v>123</v>
      </c>
      <c r="L2510" s="22">
        <v>22450</v>
      </c>
      <c r="M2510" s="22">
        <v>134700</v>
      </c>
      <c r="N2510" s="18">
        <v>144.06</v>
      </c>
      <c r="O2510" s="26">
        <v>45415</v>
      </c>
      <c r="P2510" s="2" t="s">
        <v>2105</v>
      </c>
      <c r="Q2510" s="2" t="s">
        <v>814</v>
      </c>
    </row>
    <row r="2511" spans="2:17" x14ac:dyDescent="0.25">
      <c r="B2511" s="2" t="s">
        <v>3316</v>
      </c>
      <c r="C2511" s="2" t="s">
        <v>277</v>
      </c>
      <c r="D2511" s="2" t="s">
        <v>278</v>
      </c>
      <c r="E2511" s="2" t="s">
        <v>256</v>
      </c>
      <c r="F2511" s="2" t="s">
        <v>535</v>
      </c>
      <c r="G2511" s="2" t="s">
        <v>475</v>
      </c>
      <c r="H2511" s="2" t="s">
        <v>476</v>
      </c>
      <c r="I2511" s="26">
        <v>45227</v>
      </c>
      <c r="J2511" s="2">
        <v>8</v>
      </c>
      <c r="K2511" s="2" t="s">
        <v>123</v>
      </c>
      <c r="L2511" s="22">
        <v>22450</v>
      </c>
      <c r="M2511" s="22">
        <v>179600</v>
      </c>
      <c r="N2511" s="18">
        <v>192.09</v>
      </c>
      <c r="O2511" s="26">
        <v>45437</v>
      </c>
      <c r="P2511" s="2" t="s">
        <v>2105</v>
      </c>
      <c r="Q2511" s="2" t="s">
        <v>814</v>
      </c>
    </row>
    <row r="2512" spans="2:17" x14ac:dyDescent="0.25">
      <c r="B2512" s="2" t="s">
        <v>3317</v>
      </c>
      <c r="C2512" s="2" t="s">
        <v>277</v>
      </c>
      <c r="D2512" s="2" t="s">
        <v>278</v>
      </c>
      <c r="E2512" s="2" t="s">
        <v>256</v>
      </c>
      <c r="F2512" s="2" t="s">
        <v>535</v>
      </c>
      <c r="G2512" s="2" t="s">
        <v>475</v>
      </c>
      <c r="H2512" s="2" t="s">
        <v>476</v>
      </c>
      <c r="I2512" s="26">
        <v>45247</v>
      </c>
      <c r="J2512" s="2">
        <v>6</v>
      </c>
      <c r="K2512" s="2" t="s">
        <v>123</v>
      </c>
      <c r="L2512" s="22">
        <v>22450</v>
      </c>
      <c r="M2512" s="22">
        <v>134700</v>
      </c>
      <c r="N2512" s="18">
        <v>144.06</v>
      </c>
      <c r="O2512" s="26">
        <v>45457</v>
      </c>
      <c r="P2512" s="2" t="s">
        <v>2105</v>
      </c>
      <c r="Q2512" s="2" t="s">
        <v>814</v>
      </c>
    </row>
    <row r="2513" spans="2:17" x14ac:dyDescent="0.25">
      <c r="B2513" s="2" t="s">
        <v>3318</v>
      </c>
      <c r="C2513" s="2" t="s">
        <v>277</v>
      </c>
      <c r="D2513" s="2" t="s">
        <v>278</v>
      </c>
      <c r="E2513" s="2" t="s">
        <v>256</v>
      </c>
      <c r="F2513" s="2" t="s">
        <v>535</v>
      </c>
      <c r="G2513" s="2" t="s">
        <v>475</v>
      </c>
      <c r="H2513" s="2" t="s">
        <v>476</v>
      </c>
      <c r="I2513" s="26">
        <v>45268</v>
      </c>
      <c r="J2513" s="2">
        <v>10</v>
      </c>
      <c r="K2513" s="2" t="s">
        <v>123</v>
      </c>
      <c r="L2513" s="22">
        <v>22450</v>
      </c>
      <c r="M2513" s="22">
        <v>224500</v>
      </c>
      <c r="N2513" s="18">
        <v>240.11</v>
      </c>
      <c r="O2513" s="26">
        <v>45478</v>
      </c>
      <c r="P2513" s="2" t="s">
        <v>2105</v>
      </c>
      <c r="Q2513" s="2" t="s">
        <v>825</v>
      </c>
    </row>
    <row r="2514" spans="2:17" x14ac:dyDescent="0.25">
      <c r="B2514" s="2" t="s">
        <v>3319</v>
      </c>
      <c r="C2514" s="2" t="s">
        <v>277</v>
      </c>
      <c r="D2514" s="2" t="s">
        <v>278</v>
      </c>
      <c r="E2514" s="2" t="s">
        <v>256</v>
      </c>
      <c r="F2514" s="2" t="s">
        <v>535</v>
      </c>
      <c r="G2514" s="2" t="s">
        <v>475</v>
      </c>
      <c r="H2514" s="2" t="s">
        <v>476</v>
      </c>
      <c r="I2514" s="26">
        <v>45289</v>
      </c>
      <c r="J2514" s="2">
        <v>9</v>
      </c>
      <c r="K2514" s="2" t="s">
        <v>123</v>
      </c>
      <c r="L2514" s="22">
        <v>22450</v>
      </c>
      <c r="M2514" s="22">
        <v>202050</v>
      </c>
      <c r="N2514" s="18">
        <v>216.1</v>
      </c>
      <c r="O2514" s="26">
        <v>45499</v>
      </c>
      <c r="P2514" s="2" t="s">
        <v>2105</v>
      </c>
      <c r="Q2514" s="2" t="s">
        <v>825</v>
      </c>
    </row>
    <row r="2515" spans="2:17" x14ac:dyDescent="0.25">
      <c r="B2515" s="2" t="s">
        <v>3320</v>
      </c>
      <c r="C2515" s="2" t="s">
        <v>277</v>
      </c>
      <c r="D2515" s="2" t="s">
        <v>278</v>
      </c>
      <c r="E2515" s="2" t="s">
        <v>256</v>
      </c>
      <c r="F2515" s="2" t="s">
        <v>535</v>
      </c>
      <c r="G2515" s="2" t="s">
        <v>475</v>
      </c>
      <c r="H2515" s="2" t="s">
        <v>476</v>
      </c>
      <c r="I2515" s="26">
        <v>45307</v>
      </c>
      <c r="J2515" s="2">
        <v>7</v>
      </c>
      <c r="K2515" s="2" t="s">
        <v>123</v>
      </c>
      <c r="L2515" s="22">
        <v>22450</v>
      </c>
      <c r="M2515" s="22">
        <v>157150</v>
      </c>
      <c r="N2515" s="18">
        <v>168.07</v>
      </c>
      <c r="O2515" s="26">
        <v>45517</v>
      </c>
      <c r="P2515" s="2" t="s">
        <v>2105</v>
      </c>
      <c r="Q2515" s="2" t="s">
        <v>825</v>
      </c>
    </row>
    <row r="2516" spans="2:17" x14ac:dyDescent="0.25">
      <c r="B2516" s="2" t="s">
        <v>3321</v>
      </c>
      <c r="C2516" s="2" t="s">
        <v>277</v>
      </c>
      <c r="D2516" s="2" t="s">
        <v>278</v>
      </c>
      <c r="E2516" s="2" t="s">
        <v>256</v>
      </c>
      <c r="F2516" s="2" t="s">
        <v>535</v>
      </c>
      <c r="G2516" s="2" t="s">
        <v>475</v>
      </c>
      <c r="H2516" s="2" t="s">
        <v>476</v>
      </c>
      <c r="I2516" s="26">
        <v>45324</v>
      </c>
      <c r="J2516" s="2">
        <v>7</v>
      </c>
      <c r="K2516" s="2" t="s">
        <v>123</v>
      </c>
      <c r="L2516" s="22">
        <v>22450</v>
      </c>
      <c r="M2516" s="22">
        <v>157150</v>
      </c>
      <c r="N2516" s="18">
        <v>168.07</v>
      </c>
      <c r="O2516" s="26">
        <v>45534</v>
      </c>
      <c r="P2516" s="2" t="s">
        <v>2105</v>
      </c>
      <c r="Q2516" s="2" t="s">
        <v>825</v>
      </c>
    </row>
    <row r="2517" spans="2:17" x14ac:dyDescent="0.25">
      <c r="B2517" s="2" t="s">
        <v>3322</v>
      </c>
      <c r="C2517" s="2" t="s">
        <v>277</v>
      </c>
      <c r="D2517" s="2" t="s">
        <v>278</v>
      </c>
      <c r="E2517" s="2" t="s">
        <v>256</v>
      </c>
      <c r="F2517" s="2" t="s">
        <v>535</v>
      </c>
      <c r="G2517" s="2" t="s">
        <v>475</v>
      </c>
      <c r="H2517" s="2" t="s">
        <v>476</v>
      </c>
      <c r="I2517" s="26">
        <v>45352</v>
      </c>
      <c r="J2517" s="2">
        <v>7</v>
      </c>
      <c r="K2517" s="2" t="s">
        <v>123</v>
      </c>
      <c r="L2517" s="22">
        <v>22450</v>
      </c>
      <c r="M2517" s="22">
        <v>157150</v>
      </c>
      <c r="N2517" s="18">
        <v>168.07</v>
      </c>
      <c r="O2517" s="26">
        <v>45562</v>
      </c>
      <c r="P2517" s="2" t="s">
        <v>2105</v>
      </c>
      <c r="Q2517" s="2" t="s">
        <v>836</v>
      </c>
    </row>
    <row r="2518" spans="2:17" x14ac:dyDescent="0.25">
      <c r="B2518" s="2" t="s">
        <v>3323</v>
      </c>
      <c r="C2518" s="2" t="s">
        <v>277</v>
      </c>
      <c r="D2518" s="2" t="s">
        <v>278</v>
      </c>
      <c r="E2518" s="2" t="s">
        <v>256</v>
      </c>
      <c r="F2518" s="2" t="s">
        <v>535</v>
      </c>
      <c r="G2518" s="2" t="s">
        <v>475</v>
      </c>
      <c r="H2518" s="2" t="s">
        <v>476</v>
      </c>
      <c r="I2518" s="26">
        <v>45366</v>
      </c>
      <c r="J2518" s="2">
        <v>8</v>
      </c>
      <c r="K2518" s="2" t="s">
        <v>123</v>
      </c>
      <c r="L2518" s="22">
        <v>22450</v>
      </c>
      <c r="M2518" s="22">
        <v>179600</v>
      </c>
      <c r="N2518" s="18">
        <v>192.09</v>
      </c>
      <c r="O2518" s="26">
        <v>45576</v>
      </c>
      <c r="P2518" s="2" t="s">
        <v>2105</v>
      </c>
      <c r="Q2518" s="2" t="s">
        <v>836</v>
      </c>
    </row>
    <row r="2519" spans="2:17" x14ac:dyDescent="0.25">
      <c r="B2519" s="2" t="s">
        <v>3324</v>
      </c>
      <c r="C2519" s="2" t="s">
        <v>277</v>
      </c>
      <c r="D2519" s="2" t="s">
        <v>278</v>
      </c>
      <c r="E2519" s="2" t="s">
        <v>256</v>
      </c>
      <c r="F2519" s="2" t="s">
        <v>535</v>
      </c>
      <c r="G2519" s="2" t="s">
        <v>475</v>
      </c>
      <c r="H2519" s="2" t="s">
        <v>476</v>
      </c>
      <c r="I2519" s="26">
        <v>45386</v>
      </c>
      <c r="J2519" s="2">
        <v>18</v>
      </c>
      <c r="K2519" s="2" t="s">
        <v>123</v>
      </c>
      <c r="L2519" s="22">
        <v>22450</v>
      </c>
      <c r="M2519" s="22">
        <v>404100</v>
      </c>
      <c r="N2519" s="18">
        <v>432.19</v>
      </c>
      <c r="O2519" s="26">
        <v>45596</v>
      </c>
      <c r="P2519" s="2" t="s">
        <v>2105</v>
      </c>
      <c r="Q2519" s="2" t="s">
        <v>836</v>
      </c>
    </row>
    <row r="2520" spans="2:17" x14ac:dyDescent="0.25">
      <c r="B2520" s="2" t="s">
        <v>3325</v>
      </c>
      <c r="C2520" s="2" t="s">
        <v>277</v>
      </c>
      <c r="D2520" s="2" t="s">
        <v>278</v>
      </c>
      <c r="E2520" s="2" t="s">
        <v>256</v>
      </c>
      <c r="F2520" s="2" t="s">
        <v>535</v>
      </c>
      <c r="G2520" s="2" t="s">
        <v>475</v>
      </c>
      <c r="H2520" s="2" t="s">
        <v>476</v>
      </c>
      <c r="I2520" s="26">
        <v>45403</v>
      </c>
      <c r="J2520" s="2">
        <v>20</v>
      </c>
      <c r="K2520" s="2" t="s">
        <v>123</v>
      </c>
      <c r="L2520" s="22">
        <v>22450</v>
      </c>
      <c r="M2520" s="22">
        <v>449000</v>
      </c>
      <c r="N2520" s="18">
        <v>480.21</v>
      </c>
      <c r="O2520" s="26">
        <v>45613</v>
      </c>
      <c r="P2520" s="2" t="s">
        <v>2105</v>
      </c>
      <c r="Q2520" s="2" t="s">
        <v>836</v>
      </c>
    </row>
    <row r="2521" spans="2:17" x14ac:dyDescent="0.25">
      <c r="B2521" s="2" t="s">
        <v>3326</v>
      </c>
      <c r="C2521" s="2" t="s">
        <v>277</v>
      </c>
      <c r="D2521" s="2" t="s">
        <v>278</v>
      </c>
      <c r="E2521" s="2" t="s">
        <v>256</v>
      </c>
      <c r="F2521" s="2" t="s">
        <v>535</v>
      </c>
      <c r="G2521" s="2" t="s">
        <v>475</v>
      </c>
      <c r="H2521" s="2" t="s">
        <v>476</v>
      </c>
      <c r="I2521" s="26">
        <v>45422</v>
      </c>
      <c r="J2521" s="2">
        <v>19</v>
      </c>
      <c r="K2521" s="2" t="s">
        <v>123</v>
      </c>
      <c r="L2521" s="22">
        <v>22450</v>
      </c>
      <c r="M2521" s="22">
        <v>426550</v>
      </c>
      <c r="N2521" s="18">
        <v>456.2</v>
      </c>
      <c r="O2521" s="26">
        <v>45632</v>
      </c>
      <c r="P2521" s="2" t="s">
        <v>2105</v>
      </c>
      <c r="Q2521" s="2" t="s">
        <v>836</v>
      </c>
    </row>
    <row r="2522" spans="2:17" x14ac:dyDescent="0.25">
      <c r="B2522" s="2" t="s">
        <v>3327</v>
      </c>
      <c r="C2522" s="2" t="s">
        <v>277</v>
      </c>
      <c r="D2522" s="2" t="s">
        <v>278</v>
      </c>
      <c r="E2522" s="2" t="s">
        <v>256</v>
      </c>
      <c r="F2522" s="2" t="s">
        <v>535</v>
      </c>
      <c r="G2522" s="2" t="s">
        <v>475</v>
      </c>
      <c r="H2522" s="2" t="s">
        <v>476</v>
      </c>
      <c r="I2522" s="26">
        <v>45439</v>
      </c>
      <c r="J2522" s="2">
        <v>21</v>
      </c>
      <c r="K2522" s="2" t="s">
        <v>123</v>
      </c>
      <c r="L2522" s="22">
        <v>22450</v>
      </c>
      <c r="M2522" s="22">
        <v>471450</v>
      </c>
      <c r="N2522" s="18">
        <v>504.22</v>
      </c>
      <c r="O2522" s="26">
        <v>45649</v>
      </c>
      <c r="P2522" s="2" t="s">
        <v>2105</v>
      </c>
      <c r="Q2522" s="2" t="s">
        <v>836</v>
      </c>
    </row>
    <row r="2523" spans="2:17" x14ac:dyDescent="0.25">
      <c r="B2523" s="2" t="s">
        <v>3328</v>
      </c>
      <c r="C2523" s="2" t="s">
        <v>277</v>
      </c>
      <c r="D2523" s="2" t="s">
        <v>278</v>
      </c>
      <c r="E2523" s="2" t="s">
        <v>256</v>
      </c>
      <c r="F2523" s="2" t="s">
        <v>537</v>
      </c>
      <c r="G2523" s="2" t="s">
        <v>485</v>
      </c>
      <c r="H2523" s="2" t="s">
        <v>486</v>
      </c>
      <c r="I2523" s="26">
        <v>45456</v>
      </c>
      <c r="J2523" s="2">
        <v>18</v>
      </c>
      <c r="K2523" s="2" t="s">
        <v>123</v>
      </c>
      <c r="L2523" s="22">
        <v>24400</v>
      </c>
      <c r="M2523" s="22">
        <v>439200</v>
      </c>
      <c r="N2523" s="18">
        <v>469.73</v>
      </c>
      <c r="O2523" s="26">
        <v>45666</v>
      </c>
      <c r="P2523" s="2" t="s">
        <v>2105</v>
      </c>
      <c r="Q2523" s="2" t="s">
        <v>806</v>
      </c>
    </row>
    <row r="2524" spans="2:17" x14ac:dyDescent="0.25">
      <c r="B2524" s="2" t="s">
        <v>3329</v>
      </c>
      <c r="C2524" s="2" t="s">
        <v>277</v>
      </c>
      <c r="D2524" s="2" t="s">
        <v>278</v>
      </c>
      <c r="E2524" s="2" t="s">
        <v>256</v>
      </c>
      <c r="F2524" s="2" t="s">
        <v>535</v>
      </c>
      <c r="G2524" s="2" t="s">
        <v>475</v>
      </c>
      <c r="H2524" s="2" t="s">
        <v>476</v>
      </c>
      <c r="I2524" s="26">
        <v>45476</v>
      </c>
      <c r="J2524" s="2">
        <v>21</v>
      </c>
      <c r="K2524" s="2" t="s">
        <v>123</v>
      </c>
      <c r="L2524" s="22">
        <v>22450</v>
      </c>
      <c r="M2524" s="22">
        <v>471450</v>
      </c>
      <c r="N2524" s="18">
        <v>504.22</v>
      </c>
      <c r="O2524" s="26">
        <v>45686</v>
      </c>
      <c r="P2524" s="2" t="s">
        <v>2105</v>
      </c>
      <c r="Q2524" s="2" t="s">
        <v>806</v>
      </c>
    </row>
    <row r="2525" spans="2:17" x14ac:dyDescent="0.25">
      <c r="B2525" s="2" t="s">
        <v>3330</v>
      </c>
      <c r="C2525" s="2" t="s">
        <v>277</v>
      </c>
      <c r="D2525" s="2" t="s">
        <v>278</v>
      </c>
      <c r="E2525" s="2" t="s">
        <v>256</v>
      </c>
      <c r="F2525" s="2" t="s">
        <v>535</v>
      </c>
      <c r="G2525" s="2" t="s">
        <v>475</v>
      </c>
      <c r="H2525" s="2" t="s">
        <v>476</v>
      </c>
      <c r="I2525" s="26">
        <v>45500</v>
      </c>
      <c r="J2525" s="2">
        <v>22</v>
      </c>
      <c r="K2525" s="2" t="s">
        <v>123</v>
      </c>
      <c r="L2525" s="22">
        <v>22450</v>
      </c>
      <c r="M2525" s="22">
        <v>493900</v>
      </c>
      <c r="N2525" s="18">
        <v>528.24</v>
      </c>
      <c r="O2525" s="26">
        <v>45710</v>
      </c>
      <c r="P2525" s="2" t="s">
        <v>2105</v>
      </c>
      <c r="Q2525" s="2" t="s">
        <v>806</v>
      </c>
    </row>
    <row r="2526" spans="2:17" x14ac:dyDescent="0.25">
      <c r="B2526" s="2" t="s">
        <v>3331</v>
      </c>
      <c r="C2526" s="2" t="s">
        <v>277</v>
      </c>
      <c r="D2526" s="2" t="s">
        <v>278</v>
      </c>
      <c r="E2526" s="2" t="s">
        <v>256</v>
      </c>
      <c r="F2526" s="2" t="s">
        <v>537</v>
      </c>
      <c r="G2526" s="2" t="s">
        <v>485</v>
      </c>
      <c r="H2526" s="2" t="s">
        <v>486</v>
      </c>
      <c r="I2526" s="26">
        <v>45519</v>
      </c>
      <c r="J2526" s="2">
        <v>22</v>
      </c>
      <c r="K2526" s="2" t="s">
        <v>123</v>
      </c>
      <c r="L2526" s="22">
        <v>24400</v>
      </c>
      <c r="M2526" s="22">
        <v>536800</v>
      </c>
      <c r="N2526" s="18">
        <v>574.12</v>
      </c>
      <c r="O2526" s="26">
        <v>45729</v>
      </c>
      <c r="P2526" s="2" t="s">
        <v>2105</v>
      </c>
      <c r="Q2526" s="2" t="s">
        <v>806</v>
      </c>
    </row>
    <row r="2527" spans="2:17" x14ac:dyDescent="0.25">
      <c r="B2527" s="2" t="s">
        <v>3332</v>
      </c>
      <c r="C2527" s="2" t="s">
        <v>277</v>
      </c>
      <c r="D2527" s="2" t="s">
        <v>278</v>
      </c>
      <c r="E2527" s="2" t="s">
        <v>256</v>
      </c>
      <c r="F2527" s="2" t="s">
        <v>535</v>
      </c>
      <c r="G2527" s="2" t="s">
        <v>475</v>
      </c>
      <c r="H2527" s="2" t="s">
        <v>476</v>
      </c>
      <c r="I2527" s="26">
        <v>45544</v>
      </c>
      <c r="J2527" s="2">
        <v>26</v>
      </c>
      <c r="K2527" s="2" t="s">
        <v>123</v>
      </c>
      <c r="L2527" s="22">
        <v>22450</v>
      </c>
      <c r="M2527" s="22">
        <v>583700</v>
      </c>
      <c r="N2527" s="18">
        <v>624.28</v>
      </c>
      <c r="O2527" s="26">
        <v>45754</v>
      </c>
      <c r="P2527" s="2" t="s">
        <v>2105</v>
      </c>
      <c r="Q2527" s="2" t="s">
        <v>814</v>
      </c>
    </row>
    <row r="2528" spans="2:17" x14ac:dyDescent="0.25">
      <c r="B2528" s="2" t="s">
        <v>3333</v>
      </c>
      <c r="C2528" s="2" t="s">
        <v>277</v>
      </c>
      <c r="D2528" s="2" t="s">
        <v>278</v>
      </c>
      <c r="E2528" s="2" t="s">
        <v>256</v>
      </c>
      <c r="F2528" s="2" t="s">
        <v>535</v>
      </c>
      <c r="G2528" s="2" t="s">
        <v>475</v>
      </c>
      <c r="H2528" s="2" t="s">
        <v>476</v>
      </c>
      <c r="I2528" s="26">
        <v>45565</v>
      </c>
      <c r="J2528" s="2">
        <v>27</v>
      </c>
      <c r="K2528" s="2" t="s">
        <v>123</v>
      </c>
      <c r="L2528" s="22">
        <v>22450</v>
      </c>
      <c r="M2528" s="22">
        <v>606150</v>
      </c>
      <c r="N2528" s="18">
        <v>648.29</v>
      </c>
      <c r="O2528" s="26">
        <v>45775</v>
      </c>
      <c r="P2528" s="2" t="s">
        <v>2105</v>
      </c>
      <c r="Q2528" s="2" t="s">
        <v>814</v>
      </c>
    </row>
    <row r="2529" spans="2:17" x14ac:dyDescent="0.25">
      <c r="B2529" s="2" t="s">
        <v>3334</v>
      </c>
      <c r="C2529" s="2" t="s">
        <v>277</v>
      </c>
      <c r="D2529" s="2" t="s">
        <v>278</v>
      </c>
      <c r="E2529" s="2" t="s">
        <v>256</v>
      </c>
      <c r="F2529" s="2" t="s">
        <v>535</v>
      </c>
      <c r="G2529" s="2" t="s">
        <v>475</v>
      </c>
      <c r="H2529" s="2" t="s">
        <v>476</v>
      </c>
      <c r="I2529" s="26">
        <v>45583</v>
      </c>
      <c r="J2529" s="2">
        <v>6</v>
      </c>
      <c r="K2529" s="2" t="s">
        <v>123</v>
      </c>
      <c r="L2529" s="22">
        <v>22450</v>
      </c>
      <c r="M2529" s="22">
        <v>134700</v>
      </c>
      <c r="N2529" s="18">
        <v>144.06</v>
      </c>
      <c r="O2529" s="26">
        <v>45793</v>
      </c>
      <c r="P2529" s="2" t="s">
        <v>2105</v>
      </c>
      <c r="Q2529" s="2" t="s">
        <v>814</v>
      </c>
    </row>
    <row r="2530" spans="2:17" x14ac:dyDescent="0.25">
      <c r="B2530" s="2" t="s">
        <v>3335</v>
      </c>
      <c r="C2530" s="2" t="s">
        <v>277</v>
      </c>
      <c r="D2530" s="2" t="s">
        <v>278</v>
      </c>
      <c r="E2530" s="2" t="s">
        <v>256</v>
      </c>
      <c r="F2530" s="2" t="s">
        <v>535</v>
      </c>
      <c r="G2530" s="2" t="s">
        <v>475</v>
      </c>
      <c r="H2530" s="2" t="s">
        <v>476</v>
      </c>
      <c r="I2530" s="26">
        <v>45602</v>
      </c>
      <c r="J2530" s="2">
        <v>7</v>
      </c>
      <c r="K2530" s="2" t="s">
        <v>123</v>
      </c>
      <c r="L2530" s="22">
        <v>22450</v>
      </c>
      <c r="M2530" s="22">
        <v>157150</v>
      </c>
      <c r="N2530" s="18">
        <v>168.07</v>
      </c>
      <c r="O2530" s="26">
        <v>45812</v>
      </c>
      <c r="P2530" s="2" t="s">
        <v>2105</v>
      </c>
      <c r="Q2530" s="2" t="s">
        <v>814</v>
      </c>
    </row>
    <row r="2531" spans="2:17" x14ac:dyDescent="0.25">
      <c r="B2531" s="2" t="s">
        <v>3336</v>
      </c>
      <c r="C2531" s="2" t="s">
        <v>277</v>
      </c>
      <c r="D2531" s="2" t="s">
        <v>278</v>
      </c>
      <c r="E2531" s="2" t="s">
        <v>256</v>
      </c>
      <c r="F2531" s="2" t="s">
        <v>535</v>
      </c>
      <c r="G2531" s="2" t="s">
        <v>475</v>
      </c>
      <c r="H2531" s="2" t="s">
        <v>476</v>
      </c>
      <c r="I2531" s="26">
        <v>45623</v>
      </c>
      <c r="J2531" s="2">
        <v>8</v>
      </c>
      <c r="K2531" s="2" t="s">
        <v>123</v>
      </c>
      <c r="L2531" s="22">
        <v>22450</v>
      </c>
      <c r="M2531" s="22">
        <v>179600</v>
      </c>
      <c r="N2531" s="18">
        <v>192.09</v>
      </c>
      <c r="O2531" s="26">
        <v>45833</v>
      </c>
      <c r="P2531" s="2" t="s">
        <v>2105</v>
      </c>
      <c r="Q2531" s="2" t="s">
        <v>814</v>
      </c>
    </row>
    <row r="2532" spans="2:17" x14ac:dyDescent="0.25">
      <c r="B2532" s="2" t="s">
        <v>3337</v>
      </c>
      <c r="C2532" s="2" t="s">
        <v>277</v>
      </c>
      <c r="D2532" s="2" t="s">
        <v>278</v>
      </c>
      <c r="E2532" s="2" t="s">
        <v>256</v>
      </c>
      <c r="F2532" s="2" t="s">
        <v>535</v>
      </c>
      <c r="G2532" s="2" t="s">
        <v>475</v>
      </c>
      <c r="H2532" s="2" t="s">
        <v>476</v>
      </c>
      <c r="I2532" s="26">
        <v>45639</v>
      </c>
      <c r="J2532" s="2">
        <v>10</v>
      </c>
      <c r="K2532" s="2" t="s">
        <v>123</v>
      </c>
      <c r="L2532" s="22">
        <v>22450</v>
      </c>
      <c r="M2532" s="22">
        <v>224500</v>
      </c>
      <c r="N2532" s="18">
        <v>240.11</v>
      </c>
      <c r="O2532" s="26">
        <v>45849</v>
      </c>
      <c r="P2532" s="2" t="s">
        <v>2105</v>
      </c>
      <c r="Q2532" s="2" t="s">
        <v>825</v>
      </c>
    </row>
    <row r="2533" spans="2:17" x14ac:dyDescent="0.25">
      <c r="B2533" s="2" t="s">
        <v>3338</v>
      </c>
      <c r="C2533" s="2" t="s">
        <v>277</v>
      </c>
      <c r="D2533" s="2" t="s">
        <v>278</v>
      </c>
      <c r="E2533" s="2" t="s">
        <v>256</v>
      </c>
      <c r="F2533" s="2" t="s">
        <v>535</v>
      </c>
      <c r="G2533" s="2" t="s">
        <v>475</v>
      </c>
      <c r="H2533" s="2" t="s">
        <v>476</v>
      </c>
      <c r="I2533" s="26">
        <v>45662</v>
      </c>
      <c r="J2533" s="2">
        <v>7</v>
      </c>
      <c r="K2533" s="2" t="s">
        <v>123</v>
      </c>
      <c r="L2533" s="22">
        <v>22450</v>
      </c>
      <c r="M2533" s="22">
        <v>157150</v>
      </c>
      <c r="N2533" s="18">
        <v>168.07</v>
      </c>
      <c r="O2533" s="26">
        <v>45872</v>
      </c>
      <c r="P2533" s="2" t="s">
        <v>2105</v>
      </c>
      <c r="Q2533" s="2" t="s">
        <v>825</v>
      </c>
    </row>
    <row r="2534" spans="2:17" x14ac:dyDescent="0.25">
      <c r="B2534" s="2" t="s">
        <v>3339</v>
      </c>
      <c r="C2534" s="2" t="s">
        <v>277</v>
      </c>
      <c r="D2534" s="2" t="s">
        <v>278</v>
      </c>
      <c r="E2534" s="2" t="s">
        <v>256</v>
      </c>
      <c r="F2534" s="2" t="s">
        <v>537</v>
      </c>
      <c r="G2534" s="2" t="s">
        <v>485</v>
      </c>
      <c r="H2534" s="2" t="s">
        <v>486</v>
      </c>
      <c r="I2534" s="26">
        <v>45680</v>
      </c>
      <c r="J2534" s="2">
        <v>8</v>
      </c>
      <c r="K2534" s="2" t="s">
        <v>123</v>
      </c>
      <c r="L2534" s="22">
        <v>24400</v>
      </c>
      <c r="M2534" s="22">
        <v>195200</v>
      </c>
      <c r="N2534" s="18">
        <v>208.77</v>
      </c>
      <c r="O2534" s="26">
        <v>45890</v>
      </c>
      <c r="P2534" s="2" t="s">
        <v>2105</v>
      </c>
      <c r="Q2534" s="2" t="s">
        <v>825</v>
      </c>
    </row>
    <row r="2535" spans="2:17" x14ac:dyDescent="0.25">
      <c r="B2535" s="2" t="s">
        <v>3340</v>
      </c>
      <c r="C2535" s="2" t="s">
        <v>277</v>
      </c>
      <c r="D2535" s="2" t="s">
        <v>278</v>
      </c>
      <c r="E2535" s="2" t="s">
        <v>256</v>
      </c>
      <c r="F2535" s="2" t="s">
        <v>535</v>
      </c>
      <c r="G2535" s="2" t="s">
        <v>475</v>
      </c>
      <c r="H2535" s="2" t="s">
        <v>476</v>
      </c>
      <c r="I2535" s="26">
        <v>45699</v>
      </c>
      <c r="J2535" s="2">
        <v>7</v>
      </c>
      <c r="K2535" s="2" t="s">
        <v>123</v>
      </c>
      <c r="L2535" s="22">
        <v>22450</v>
      </c>
      <c r="M2535" s="22">
        <v>157150</v>
      </c>
      <c r="N2535" s="18">
        <v>168.07</v>
      </c>
      <c r="O2535" s="26">
        <v>45909</v>
      </c>
      <c r="P2535" s="2" t="s">
        <v>2105</v>
      </c>
      <c r="Q2535" s="2" t="s">
        <v>825</v>
      </c>
    </row>
    <row r="2536" spans="2:17" x14ac:dyDescent="0.25">
      <c r="B2536" s="2" t="s">
        <v>3341</v>
      </c>
      <c r="C2536" s="2" t="s">
        <v>277</v>
      </c>
      <c r="D2536" s="2" t="s">
        <v>278</v>
      </c>
      <c r="E2536" s="2" t="s">
        <v>256</v>
      </c>
      <c r="F2536" s="2" t="s">
        <v>535</v>
      </c>
      <c r="G2536" s="2" t="s">
        <v>475</v>
      </c>
      <c r="H2536" s="2" t="s">
        <v>476</v>
      </c>
      <c r="I2536" s="26">
        <v>45724</v>
      </c>
      <c r="J2536" s="2">
        <v>9</v>
      </c>
      <c r="K2536" s="2" t="s">
        <v>123</v>
      </c>
      <c r="L2536" s="22">
        <v>22450</v>
      </c>
      <c r="M2536" s="22">
        <v>202050</v>
      </c>
      <c r="N2536" s="18">
        <v>216.1</v>
      </c>
      <c r="O2536" s="26">
        <v>45934</v>
      </c>
      <c r="P2536" s="2" t="s">
        <v>2105</v>
      </c>
      <c r="Q2536" s="2" t="s">
        <v>836</v>
      </c>
    </row>
    <row r="2537" spans="2:17" x14ac:dyDescent="0.25">
      <c r="B2537" s="2" t="s">
        <v>3342</v>
      </c>
      <c r="C2537" s="2" t="s">
        <v>277</v>
      </c>
      <c r="D2537" s="2" t="s">
        <v>278</v>
      </c>
      <c r="E2537" s="2" t="s">
        <v>256</v>
      </c>
      <c r="F2537" s="2" t="s">
        <v>535</v>
      </c>
      <c r="G2537" s="2" t="s">
        <v>475</v>
      </c>
      <c r="H2537" s="2" t="s">
        <v>476</v>
      </c>
      <c r="I2537" s="26">
        <v>45744</v>
      </c>
      <c r="J2537" s="2">
        <v>9</v>
      </c>
      <c r="K2537" s="2" t="s">
        <v>123</v>
      </c>
      <c r="L2537" s="22">
        <v>22450</v>
      </c>
      <c r="M2537" s="22">
        <v>202050</v>
      </c>
      <c r="N2537" s="18">
        <v>216.1</v>
      </c>
      <c r="O2537" s="26">
        <v>45954</v>
      </c>
      <c r="P2537" s="2" t="s">
        <v>2105</v>
      </c>
      <c r="Q2537" s="2" t="s">
        <v>836</v>
      </c>
    </row>
    <row r="2538" spans="2:17" x14ac:dyDescent="0.25">
      <c r="B2538" s="2" t="s">
        <v>3343</v>
      </c>
      <c r="C2538" s="2" t="s">
        <v>277</v>
      </c>
      <c r="D2538" s="2" t="s">
        <v>278</v>
      </c>
      <c r="E2538" s="2" t="s">
        <v>256</v>
      </c>
      <c r="F2538" s="2" t="s">
        <v>535</v>
      </c>
      <c r="G2538" s="2" t="s">
        <v>475</v>
      </c>
      <c r="H2538" s="2" t="s">
        <v>476</v>
      </c>
      <c r="I2538" s="26">
        <v>45768</v>
      </c>
      <c r="J2538" s="2">
        <v>19</v>
      </c>
      <c r="K2538" s="2" t="s">
        <v>123</v>
      </c>
      <c r="L2538" s="22">
        <v>22450</v>
      </c>
      <c r="M2538" s="22">
        <v>426550</v>
      </c>
      <c r="N2538" s="18">
        <v>456.2</v>
      </c>
      <c r="O2538" s="26">
        <v>45978</v>
      </c>
      <c r="P2538" s="2" t="s">
        <v>2105</v>
      </c>
      <c r="Q2538" s="2" t="s">
        <v>836</v>
      </c>
    </row>
    <row r="2539" spans="2:17" x14ac:dyDescent="0.25">
      <c r="B2539" s="2" t="s">
        <v>3344</v>
      </c>
      <c r="C2539" s="2" t="s">
        <v>277</v>
      </c>
      <c r="D2539" s="2" t="s">
        <v>278</v>
      </c>
      <c r="E2539" s="2" t="s">
        <v>256</v>
      </c>
      <c r="F2539" s="2" t="s">
        <v>535</v>
      </c>
      <c r="G2539" s="2" t="s">
        <v>475</v>
      </c>
      <c r="H2539" s="2" t="s">
        <v>476</v>
      </c>
      <c r="I2539" s="26">
        <v>45787</v>
      </c>
      <c r="J2539" s="2">
        <v>20</v>
      </c>
      <c r="K2539" s="2" t="s">
        <v>123</v>
      </c>
      <c r="L2539" s="22">
        <v>22450</v>
      </c>
      <c r="M2539" s="22">
        <v>449000</v>
      </c>
      <c r="N2539" s="18">
        <v>480.21</v>
      </c>
      <c r="O2539" s="26">
        <v>45997</v>
      </c>
      <c r="P2539" s="2" t="s">
        <v>2105</v>
      </c>
      <c r="Q2539" s="2" t="s">
        <v>836</v>
      </c>
    </row>
    <row r="2540" spans="2:17" x14ac:dyDescent="0.25">
      <c r="B2540" s="2" t="s">
        <v>3345</v>
      </c>
      <c r="C2540" s="2" t="s">
        <v>277</v>
      </c>
      <c r="D2540" s="2" t="s">
        <v>278</v>
      </c>
      <c r="E2540" s="2" t="s">
        <v>256</v>
      </c>
      <c r="F2540" s="2" t="s">
        <v>535</v>
      </c>
      <c r="G2540" s="2" t="s">
        <v>475</v>
      </c>
      <c r="H2540" s="2" t="s">
        <v>476</v>
      </c>
      <c r="I2540" s="26">
        <v>45808</v>
      </c>
      <c r="J2540" s="2">
        <v>22</v>
      </c>
      <c r="K2540" s="2" t="s">
        <v>123</v>
      </c>
      <c r="L2540" s="22">
        <v>22450</v>
      </c>
      <c r="M2540" s="22">
        <v>493900</v>
      </c>
      <c r="N2540" s="18">
        <v>528.24</v>
      </c>
      <c r="O2540" s="26">
        <v>46018</v>
      </c>
      <c r="P2540" s="2" t="s">
        <v>2105</v>
      </c>
      <c r="Q2540" s="2" t="s">
        <v>836</v>
      </c>
    </row>
    <row r="2541" spans="2:17" x14ac:dyDescent="0.25">
      <c r="B2541" s="2" t="s">
        <v>3346</v>
      </c>
      <c r="C2541" s="2" t="s">
        <v>277</v>
      </c>
      <c r="D2541" s="2" t="s">
        <v>278</v>
      </c>
      <c r="E2541" s="2" t="s">
        <v>256</v>
      </c>
      <c r="F2541" s="2" t="s">
        <v>535</v>
      </c>
      <c r="G2541" s="2" t="s">
        <v>475</v>
      </c>
      <c r="H2541" s="2" t="s">
        <v>476</v>
      </c>
      <c r="I2541" s="26">
        <v>45825</v>
      </c>
      <c r="J2541" s="2">
        <v>20</v>
      </c>
      <c r="K2541" s="2" t="s">
        <v>123</v>
      </c>
      <c r="L2541" s="22">
        <v>22450</v>
      </c>
      <c r="M2541" s="22">
        <v>449000</v>
      </c>
      <c r="N2541" s="18">
        <v>480.21</v>
      </c>
      <c r="O2541" s="26">
        <v>46035</v>
      </c>
      <c r="P2541" s="2" t="s">
        <v>2105</v>
      </c>
      <c r="Q2541" s="2" t="s">
        <v>806</v>
      </c>
    </row>
    <row r="2542" spans="2:17" x14ac:dyDescent="0.25">
      <c r="B2542" s="2" t="s">
        <v>3347</v>
      </c>
      <c r="C2542" s="2" t="s">
        <v>279</v>
      </c>
      <c r="D2542" s="2" t="s">
        <v>280</v>
      </c>
      <c r="E2542" s="2" t="s">
        <v>256</v>
      </c>
      <c r="F2542" s="2" t="s">
        <v>535</v>
      </c>
      <c r="G2542" s="2" t="s">
        <v>475</v>
      </c>
      <c r="H2542" s="2" t="s">
        <v>476</v>
      </c>
      <c r="I2542" s="26">
        <v>45113</v>
      </c>
      <c r="J2542" s="2">
        <v>17</v>
      </c>
      <c r="K2542" s="2" t="s">
        <v>123</v>
      </c>
      <c r="L2542" s="22">
        <v>13000</v>
      </c>
      <c r="M2542" s="22">
        <v>221000</v>
      </c>
      <c r="N2542" s="18">
        <v>236.36</v>
      </c>
      <c r="O2542" s="26">
        <v>45323</v>
      </c>
      <c r="P2542" s="2" t="s">
        <v>2105</v>
      </c>
      <c r="Q2542" s="2" t="s">
        <v>806</v>
      </c>
    </row>
    <row r="2543" spans="2:17" x14ac:dyDescent="0.25">
      <c r="B2543" s="2" t="s">
        <v>3348</v>
      </c>
      <c r="C2543" s="2" t="s">
        <v>279</v>
      </c>
      <c r="D2543" s="2" t="s">
        <v>280</v>
      </c>
      <c r="E2543" s="2" t="s">
        <v>256</v>
      </c>
      <c r="F2543" s="2" t="s">
        <v>535</v>
      </c>
      <c r="G2543" s="2" t="s">
        <v>475</v>
      </c>
      <c r="H2543" s="2" t="s">
        <v>476</v>
      </c>
      <c r="I2543" s="26">
        <v>45125</v>
      </c>
      <c r="J2543" s="2">
        <v>19</v>
      </c>
      <c r="K2543" s="2" t="s">
        <v>123</v>
      </c>
      <c r="L2543" s="22">
        <v>13000</v>
      </c>
      <c r="M2543" s="22">
        <v>247000</v>
      </c>
      <c r="N2543" s="18">
        <v>264.17</v>
      </c>
      <c r="O2543" s="26">
        <v>45335</v>
      </c>
      <c r="P2543" s="2" t="s">
        <v>2105</v>
      </c>
      <c r="Q2543" s="2" t="s">
        <v>806</v>
      </c>
    </row>
    <row r="2544" spans="2:17" x14ac:dyDescent="0.25">
      <c r="B2544" s="2" t="s">
        <v>3349</v>
      </c>
      <c r="C2544" s="2" t="s">
        <v>279</v>
      </c>
      <c r="D2544" s="2" t="s">
        <v>280</v>
      </c>
      <c r="E2544" s="2" t="s">
        <v>256</v>
      </c>
      <c r="F2544" s="2" t="s">
        <v>535</v>
      </c>
      <c r="G2544" s="2" t="s">
        <v>475</v>
      </c>
      <c r="H2544" s="2" t="s">
        <v>476</v>
      </c>
      <c r="I2544" s="26">
        <v>45145</v>
      </c>
      <c r="J2544" s="2">
        <v>19</v>
      </c>
      <c r="K2544" s="2" t="s">
        <v>123</v>
      </c>
      <c r="L2544" s="22">
        <v>13000</v>
      </c>
      <c r="M2544" s="22">
        <v>247000</v>
      </c>
      <c r="N2544" s="18">
        <v>264.17</v>
      </c>
      <c r="O2544" s="26">
        <v>45355</v>
      </c>
      <c r="P2544" s="2" t="s">
        <v>2105</v>
      </c>
      <c r="Q2544" s="2" t="s">
        <v>806</v>
      </c>
    </row>
    <row r="2545" spans="2:17" x14ac:dyDescent="0.25">
      <c r="B2545" s="2" t="s">
        <v>3350</v>
      </c>
      <c r="C2545" s="2" t="s">
        <v>279</v>
      </c>
      <c r="D2545" s="2" t="s">
        <v>280</v>
      </c>
      <c r="E2545" s="2" t="s">
        <v>256</v>
      </c>
      <c r="F2545" s="2" t="s">
        <v>535</v>
      </c>
      <c r="G2545" s="2" t="s">
        <v>475</v>
      </c>
      <c r="H2545" s="2" t="s">
        <v>476</v>
      </c>
      <c r="I2545" s="26">
        <v>45169</v>
      </c>
      <c r="J2545" s="2">
        <v>18</v>
      </c>
      <c r="K2545" s="2" t="s">
        <v>123</v>
      </c>
      <c r="L2545" s="22">
        <v>13000</v>
      </c>
      <c r="M2545" s="22">
        <v>234000</v>
      </c>
      <c r="N2545" s="18">
        <v>250.27</v>
      </c>
      <c r="O2545" s="26">
        <v>45379</v>
      </c>
      <c r="P2545" s="2" t="s">
        <v>2105</v>
      </c>
      <c r="Q2545" s="2" t="s">
        <v>806</v>
      </c>
    </row>
    <row r="2546" spans="2:17" x14ac:dyDescent="0.25">
      <c r="B2546" s="2" t="s">
        <v>3351</v>
      </c>
      <c r="C2546" s="2" t="s">
        <v>279</v>
      </c>
      <c r="D2546" s="2" t="s">
        <v>280</v>
      </c>
      <c r="E2546" s="2" t="s">
        <v>256</v>
      </c>
      <c r="F2546" s="2" t="s">
        <v>535</v>
      </c>
      <c r="G2546" s="2" t="s">
        <v>475</v>
      </c>
      <c r="H2546" s="2" t="s">
        <v>476</v>
      </c>
      <c r="I2546" s="26">
        <v>45189</v>
      </c>
      <c r="J2546" s="2">
        <v>26</v>
      </c>
      <c r="K2546" s="2" t="s">
        <v>123</v>
      </c>
      <c r="L2546" s="22">
        <v>13000</v>
      </c>
      <c r="M2546" s="22">
        <v>338000</v>
      </c>
      <c r="N2546" s="18">
        <v>361.5</v>
      </c>
      <c r="O2546" s="26">
        <v>45399</v>
      </c>
      <c r="P2546" s="2" t="s">
        <v>2105</v>
      </c>
      <c r="Q2546" s="2" t="s">
        <v>814</v>
      </c>
    </row>
    <row r="2547" spans="2:17" x14ac:dyDescent="0.25">
      <c r="B2547" s="2" t="s">
        <v>3352</v>
      </c>
      <c r="C2547" s="2" t="s">
        <v>279</v>
      </c>
      <c r="D2547" s="2" t="s">
        <v>280</v>
      </c>
      <c r="E2547" s="2" t="s">
        <v>256</v>
      </c>
      <c r="F2547" s="2" t="s">
        <v>535</v>
      </c>
      <c r="G2547" s="2" t="s">
        <v>475</v>
      </c>
      <c r="H2547" s="2" t="s">
        <v>476</v>
      </c>
      <c r="I2547" s="26">
        <v>45209</v>
      </c>
      <c r="J2547" s="2">
        <v>7</v>
      </c>
      <c r="K2547" s="2" t="s">
        <v>123</v>
      </c>
      <c r="L2547" s="22">
        <v>13000</v>
      </c>
      <c r="M2547" s="22">
        <v>91000</v>
      </c>
      <c r="N2547" s="18">
        <v>97.33</v>
      </c>
      <c r="O2547" s="26">
        <v>45419</v>
      </c>
      <c r="P2547" s="2" t="s">
        <v>2105</v>
      </c>
      <c r="Q2547" s="2" t="s">
        <v>814</v>
      </c>
    </row>
    <row r="2548" spans="2:17" x14ac:dyDescent="0.25">
      <c r="B2548" s="2" t="s">
        <v>3353</v>
      </c>
      <c r="C2548" s="2" t="s">
        <v>279</v>
      </c>
      <c r="D2548" s="2" t="s">
        <v>280</v>
      </c>
      <c r="E2548" s="2" t="s">
        <v>256</v>
      </c>
      <c r="F2548" s="2" t="s">
        <v>535</v>
      </c>
      <c r="G2548" s="2" t="s">
        <v>475</v>
      </c>
      <c r="H2548" s="2" t="s">
        <v>476</v>
      </c>
      <c r="I2548" s="26">
        <v>45225</v>
      </c>
      <c r="J2548" s="2">
        <v>8</v>
      </c>
      <c r="K2548" s="2" t="s">
        <v>123</v>
      </c>
      <c r="L2548" s="22">
        <v>13000</v>
      </c>
      <c r="M2548" s="22">
        <v>104000</v>
      </c>
      <c r="N2548" s="18">
        <v>111.23</v>
      </c>
      <c r="O2548" s="26">
        <v>45435</v>
      </c>
      <c r="P2548" s="2" t="s">
        <v>2105</v>
      </c>
      <c r="Q2548" s="2" t="s">
        <v>814</v>
      </c>
    </row>
    <row r="2549" spans="2:17" x14ac:dyDescent="0.25">
      <c r="B2549" s="2" t="s">
        <v>3354</v>
      </c>
      <c r="C2549" s="2" t="s">
        <v>279</v>
      </c>
      <c r="D2549" s="2" t="s">
        <v>280</v>
      </c>
      <c r="E2549" s="2" t="s">
        <v>256</v>
      </c>
      <c r="F2549" s="2" t="s">
        <v>535</v>
      </c>
      <c r="G2549" s="2" t="s">
        <v>475</v>
      </c>
      <c r="H2549" s="2" t="s">
        <v>476</v>
      </c>
      <c r="I2549" s="26">
        <v>45247</v>
      </c>
      <c r="J2549" s="2">
        <v>7</v>
      </c>
      <c r="K2549" s="2" t="s">
        <v>123</v>
      </c>
      <c r="L2549" s="22">
        <v>13000</v>
      </c>
      <c r="M2549" s="22">
        <v>91000</v>
      </c>
      <c r="N2549" s="18">
        <v>97.33</v>
      </c>
      <c r="O2549" s="26">
        <v>45457</v>
      </c>
      <c r="P2549" s="2" t="s">
        <v>2105</v>
      </c>
      <c r="Q2549" s="2" t="s">
        <v>814</v>
      </c>
    </row>
    <row r="2550" spans="2:17" x14ac:dyDescent="0.25">
      <c r="B2550" s="2" t="s">
        <v>3355</v>
      </c>
      <c r="C2550" s="2" t="s">
        <v>279</v>
      </c>
      <c r="D2550" s="2" t="s">
        <v>280</v>
      </c>
      <c r="E2550" s="2" t="s">
        <v>256</v>
      </c>
      <c r="F2550" s="2" t="s">
        <v>535</v>
      </c>
      <c r="G2550" s="2" t="s">
        <v>475</v>
      </c>
      <c r="H2550" s="2" t="s">
        <v>476</v>
      </c>
      <c r="I2550" s="26">
        <v>45260</v>
      </c>
      <c r="J2550" s="2">
        <v>7</v>
      </c>
      <c r="K2550" s="2" t="s">
        <v>123</v>
      </c>
      <c r="L2550" s="22">
        <v>13000</v>
      </c>
      <c r="M2550" s="22">
        <v>91000</v>
      </c>
      <c r="N2550" s="18">
        <v>97.33</v>
      </c>
      <c r="O2550" s="26">
        <v>45470</v>
      </c>
      <c r="P2550" s="2" t="s">
        <v>2105</v>
      </c>
      <c r="Q2550" s="2" t="s">
        <v>814</v>
      </c>
    </row>
    <row r="2551" spans="2:17" x14ac:dyDescent="0.25">
      <c r="B2551" s="2" t="s">
        <v>3356</v>
      </c>
      <c r="C2551" s="2" t="s">
        <v>279</v>
      </c>
      <c r="D2551" s="2" t="s">
        <v>280</v>
      </c>
      <c r="E2551" s="2" t="s">
        <v>256</v>
      </c>
      <c r="F2551" s="2" t="s">
        <v>535</v>
      </c>
      <c r="G2551" s="2" t="s">
        <v>475</v>
      </c>
      <c r="H2551" s="2" t="s">
        <v>476</v>
      </c>
      <c r="I2551" s="26">
        <v>45277</v>
      </c>
      <c r="J2551" s="2">
        <v>10</v>
      </c>
      <c r="K2551" s="2" t="s">
        <v>123</v>
      </c>
      <c r="L2551" s="22">
        <v>13000</v>
      </c>
      <c r="M2551" s="22">
        <v>130000</v>
      </c>
      <c r="N2551" s="18">
        <v>139.04</v>
      </c>
      <c r="O2551" s="26">
        <v>45487</v>
      </c>
      <c r="P2551" s="2" t="s">
        <v>2105</v>
      </c>
      <c r="Q2551" s="2" t="s">
        <v>825</v>
      </c>
    </row>
    <row r="2552" spans="2:17" x14ac:dyDescent="0.25">
      <c r="B2552" s="2" t="s">
        <v>3357</v>
      </c>
      <c r="C2552" s="2" t="s">
        <v>279</v>
      </c>
      <c r="D2552" s="2" t="s">
        <v>280</v>
      </c>
      <c r="E2552" s="2" t="s">
        <v>256</v>
      </c>
      <c r="F2552" s="2" t="s">
        <v>535</v>
      </c>
      <c r="G2552" s="2" t="s">
        <v>475</v>
      </c>
      <c r="H2552" s="2" t="s">
        <v>476</v>
      </c>
      <c r="I2552" s="26">
        <v>45299</v>
      </c>
      <c r="J2552" s="2">
        <v>8</v>
      </c>
      <c r="K2552" s="2" t="s">
        <v>123</v>
      </c>
      <c r="L2552" s="22">
        <v>13000</v>
      </c>
      <c r="M2552" s="22">
        <v>104000</v>
      </c>
      <c r="N2552" s="18">
        <v>111.23</v>
      </c>
      <c r="O2552" s="26">
        <v>45509</v>
      </c>
      <c r="P2552" s="2" t="s">
        <v>2105</v>
      </c>
      <c r="Q2552" s="2" t="s">
        <v>825</v>
      </c>
    </row>
    <row r="2553" spans="2:17" x14ac:dyDescent="0.25">
      <c r="B2553" s="2" t="s">
        <v>3358</v>
      </c>
      <c r="C2553" s="2" t="s">
        <v>279</v>
      </c>
      <c r="D2553" s="2" t="s">
        <v>280</v>
      </c>
      <c r="E2553" s="2" t="s">
        <v>256</v>
      </c>
      <c r="F2553" s="2" t="s">
        <v>535</v>
      </c>
      <c r="G2553" s="2" t="s">
        <v>475</v>
      </c>
      <c r="H2553" s="2" t="s">
        <v>476</v>
      </c>
      <c r="I2553" s="26">
        <v>45317</v>
      </c>
      <c r="J2553" s="2">
        <v>7</v>
      </c>
      <c r="K2553" s="2" t="s">
        <v>123</v>
      </c>
      <c r="L2553" s="22">
        <v>13000</v>
      </c>
      <c r="M2553" s="22">
        <v>91000</v>
      </c>
      <c r="N2553" s="18">
        <v>97.33</v>
      </c>
      <c r="O2553" s="26">
        <v>45527</v>
      </c>
      <c r="P2553" s="2" t="s">
        <v>2105</v>
      </c>
      <c r="Q2553" s="2" t="s">
        <v>825</v>
      </c>
    </row>
    <row r="2554" spans="2:17" x14ac:dyDescent="0.25">
      <c r="B2554" s="2" t="s">
        <v>3359</v>
      </c>
      <c r="C2554" s="2" t="s">
        <v>279</v>
      </c>
      <c r="D2554" s="2" t="s">
        <v>280</v>
      </c>
      <c r="E2554" s="2" t="s">
        <v>256</v>
      </c>
      <c r="F2554" s="2" t="s">
        <v>537</v>
      </c>
      <c r="G2554" s="2" t="s">
        <v>485</v>
      </c>
      <c r="H2554" s="2" t="s">
        <v>486</v>
      </c>
      <c r="I2554" s="26">
        <v>45337</v>
      </c>
      <c r="J2554" s="2">
        <v>6</v>
      </c>
      <c r="K2554" s="2" t="s">
        <v>123</v>
      </c>
      <c r="L2554" s="22">
        <v>14800</v>
      </c>
      <c r="M2554" s="22">
        <v>88800</v>
      </c>
      <c r="N2554" s="18">
        <v>94.97</v>
      </c>
      <c r="O2554" s="26">
        <v>45547</v>
      </c>
      <c r="P2554" s="2" t="s">
        <v>2105</v>
      </c>
      <c r="Q2554" s="2" t="s">
        <v>825</v>
      </c>
    </row>
    <row r="2555" spans="2:17" x14ac:dyDescent="0.25">
      <c r="B2555" s="2" t="s">
        <v>3360</v>
      </c>
      <c r="C2555" s="2" t="s">
        <v>279</v>
      </c>
      <c r="D2555" s="2" t="s">
        <v>280</v>
      </c>
      <c r="E2555" s="2" t="s">
        <v>256</v>
      </c>
      <c r="F2555" s="2" t="s">
        <v>535</v>
      </c>
      <c r="G2555" s="2" t="s">
        <v>475</v>
      </c>
      <c r="H2555" s="2" t="s">
        <v>476</v>
      </c>
      <c r="I2555" s="26">
        <v>45357</v>
      </c>
      <c r="J2555" s="2">
        <v>7</v>
      </c>
      <c r="K2555" s="2" t="s">
        <v>123</v>
      </c>
      <c r="L2555" s="22">
        <v>13000</v>
      </c>
      <c r="M2555" s="22">
        <v>91000</v>
      </c>
      <c r="N2555" s="18">
        <v>97.33</v>
      </c>
      <c r="O2555" s="26">
        <v>45567</v>
      </c>
      <c r="P2555" s="2" t="s">
        <v>2105</v>
      </c>
      <c r="Q2555" s="2" t="s">
        <v>836</v>
      </c>
    </row>
    <row r="2556" spans="2:17" x14ac:dyDescent="0.25">
      <c r="B2556" s="2" t="s">
        <v>3361</v>
      </c>
      <c r="C2556" s="2" t="s">
        <v>279</v>
      </c>
      <c r="D2556" s="2" t="s">
        <v>280</v>
      </c>
      <c r="E2556" s="2" t="s">
        <v>256</v>
      </c>
      <c r="F2556" s="2" t="s">
        <v>535</v>
      </c>
      <c r="G2556" s="2" t="s">
        <v>475</v>
      </c>
      <c r="H2556" s="2" t="s">
        <v>476</v>
      </c>
      <c r="I2556" s="26">
        <v>45374</v>
      </c>
      <c r="J2556" s="2">
        <v>8</v>
      </c>
      <c r="K2556" s="2" t="s">
        <v>123</v>
      </c>
      <c r="L2556" s="22">
        <v>13000</v>
      </c>
      <c r="M2556" s="22">
        <v>104000</v>
      </c>
      <c r="N2556" s="18">
        <v>111.23</v>
      </c>
      <c r="O2556" s="26">
        <v>45584</v>
      </c>
      <c r="P2556" s="2" t="s">
        <v>2105</v>
      </c>
      <c r="Q2556" s="2" t="s">
        <v>836</v>
      </c>
    </row>
    <row r="2557" spans="2:17" x14ac:dyDescent="0.25">
      <c r="B2557" s="2" t="s">
        <v>3362</v>
      </c>
      <c r="C2557" s="2" t="s">
        <v>279</v>
      </c>
      <c r="D2557" s="2" t="s">
        <v>280</v>
      </c>
      <c r="E2557" s="2" t="s">
        <v>256</v>
      </c>
      <c r="F2557" s="2" t="s">
        <v>535</v>
      </c>
      <c r="G2557" s="2" t="s">
        <v>475</v>
      </c>
      <c r="H2557" s="2" t="s">
        <v>476</v>
      </c>
      <c r="I2557" s="26">
        <v>45396</v>
      </c>
      <c r="J2557" s="2">
        <v>22</v>
      </c>
      <c r="K2557" s="2" t="s">
        <v>123</v>
      </c>
      <c r="L2557" s="22">
        <v>13000</v>
      </c>
      <c r="M2557" s="22">
        <v>286000</v>
      </c>
      <c r="N2557" s="18">
        <v>305.88</v>
      </c>
      <c r="O2557" s="26">
        <v>45606</v>
      </c>
      <c r="P2557" s="2" t="s">
        <v>2105</v>
      </c>
      <c r="Q2557" s="2" t="s">
        <v>836</v>
      </c>
    </row>
    <row r="2558" spans="2:17" x14ac:dyDescent="0.25">
      <c r="B2558" s="2" t="s">
        <v>3363</v>
      </c>
      <c r="C2558" s="2" t="s">
        <v>279</v>
      </c>
      <c r="D2558" s="2" t="s">
        <v>280</v>
      </c>
      <c r="E2558" s="2" t="s">
        <v>256</v>
      </c>
      <c r="F2558" s="2" t="s">
        <v>535</v>
      </c>
      <c r="G2558" s="2" t="s">
        <v>475</v>
      </c>
      <c r="H2558" s="2" t="s">
        <v>476</v>
      </c>
      <c r="I2558" s="26">
        <v>45419</v>
      </c>
      <c r="J2558" s="2">
        <v>18</v>
      </c>
      <c r="K2558" s="2" t="s">
        <v>123</v>
      </c>
      <c r="L2558" s="22">
        <v>13000</v>
      </c>
      <c r="M2558" s="22">
        <v>234000</v>
      </c>
      <c r="N2558" s="18">
        <v>250.27</v>
      </c>
      <c r="O2558" s="26">
        <v>45629</v>
      </c>
      <c r="P2558" s="2" t="s">
        <v>2105</v>
      </c>
      <c r="Q2558" s="2" t="s">
        <v>836</v>
      </c>
    </row>
    <row r="2559" spans="2:17" x14ac:dyDescent="0.25">
      <c r="B2559" s="2" t="s">
        <v>3364</v>
      </c>
      <c r="C2559" s="2" t="s">
        <v>279</v>
      </c>
      <c r="D2559" s="2" t="s">
        <v>280</v>
      </c>
      <c r="E2559" s="2" t="s">
        <v>256</v>
      </c>
      <c r="F2559" s="2" t="s">
        <v>535</v>
      </c>
      <c r="G2559" s="2" t="s">
        <v>475</v>
      </c>
      <c r="H2559" s="2" t="s">
        <v>476</v>
      </c>
      <c r="I2559" s="26">
        <v>45437</v>
      </c>
      <c r="J2559" s="2">
        <v>19</v>
      </c>
      <c r="K2559" s="2" t="s">
        <v>123</v>
      </c>
      <c r="L2559" s="22">
        <v>13000</v>
      </c>
      <c r="M2559" s="22">
        <v>247000</v>
      </c>
      <c r="N2559" s="18">
        <v>264.17</v>
      </c>
      <c r="O2559" s="26">
        <v>45647</v>
      </c>
      <c r="P2559" s="2" t="s">
        <v>2105</v>
      </c>
      <c r="Q2559" s="2" t="s">
        <v>836</v>
      </c>
    </row>
    <row r="2560" spans="2:17" x14ac:dyDescent="0.25">
      <c r="B2560" s="2" t="s">
        <v>3365</v>
      </c>
      <c r="C2560" s="2" t="s">
        <v>279</v>
      </c>
      <c r="D2560" s="2" t="s">
        <v>280</v>
      </c>
      <c r="E2560" s="2" t="s">
        <v>256</v>
      </c>
      <c r="F2560" s="2" t="s">
        <v>535</v>
      </c>
      <c r="G2560" s="2" t="s">
        <v>475</v>
      </c>
      <c r="H2560" s="2" t="s">
        <v>476</v>
      </c>
      <c r="I2560" s="26">
        <v>45457</v>
      </c>
      <c r="J2560" s="2">
        <v>21</v>
      </c>
      <c r="K2560" s="2" t="s">
        <v>123</v>
      </c>
      <c r="L2560" s="22">
        <v>13000</v>
      </c>
      <c r="M2560" s="22">
        <v>273000</v>
      </c>
      <c r="N2560" s="18">
        <v>291.98</v>
      </c>
      <c r="O2560" s="26">
        <v>45667</v>
      </c>
      <c r="P2560" s="2" t="s">
        <v>2105</v>
      </c>
      <c r="Q2560" s="2" t="s">
        <v>806</v>
      </c>
    </row>
    <row r="2561" spans="2:17" x14ac:dyDescent="0.25">
      <c r="B2561" s="2" t="s">
        <v>3366</v>
      </c>
      <c r="C2561" s="2" t="s">
        <v>279</v>
      </c>
      <c r="D2561" s="2" t="s">
        <v>280</v>
      </c>
      <c r="E2561" s="2" t="s">
        <v>256</v>
      </c>
      <c r="F2561" s="2" t="s">
        <v>535</v>
      </c>
      <c r="G2561" s="2" t="s">
        <v>475</v>
      </c>
      <c r="H2561" s="2" t="s">
        <v>476</v>
      </c>
      <c r="I2561" s="26">
        <v>45474</v>
      </c>
      <c r="J2561" s="2">
        <v>16</v>
      </c>
      <c r="K2561" s="2" t="s">
        <v>123</v>
      </c>
      <c r="L2561" s="22">
        <v>13000</v>
      </c>
      <c r="M2561" s="22">
        <v>208000</v>
      </c>
      <c r="N2561" s="18">
        <v>222.46</v>
      </c>
      <c r="O2561" s="26">
        <v>45684</v>
      </c>
      <c r="P2561" s="2" t="s">
        <v>2105</v>
      </c>
      <c r="Q2561" s="2" t="s">
        <v>806</v>
      </c>
    </row>
    <row r="2562" spans="2:17" x14ac:dyDescent="0.25">
      <c r="B2562" s="2" t="s">
        <v>3367</v>
      </c>
      <c r="C2562" s="2" t="s">
        <v>279</v>
      </c>
      <c r="D2562" s="2" t="s">
        <v>280</v>
      </c>
      <c r="E2562" s="2" t="s">
        <v>256</v>
      </c>
      <c r="F2562" s="2" t="s">
        <v>535</v>
      </c>
      <c r="G2562" s="2" t="s">
        <v>475</v>
      </c>
      <c r="H2562" s="2" t="s">
        <v>476</v>
      </c>
      <c r="I2562" s="26">
        <v>45490</v>
      </c>
      <c r="J2562" s="2">
        <v>19</v>
      </c>
      <c r="K2562" s="2" t="s">
        <v>123</v>
      </c>
      <c r="L2562" s="22">
        <v>13000</v>
      </c>
      <c r="M2562" s="22">
        <v>247000</v>
      </c>
      <c r="N2562" s="18">
        <v>264.17</v>
      </c>
      <c r="O2562" s="26">
        <v>45700</v>
      </c>
      <c r="P2562" s="2" t="s">
        <v>2105</v>
      </c>
      <c r="Q2562" s="2" t="s">
        <v>806</v>
      </c>
    </row>
    <row r="2563" spans="2:17" x14ac:dyDescent="0.25">
      <c r="B2563" s="2" t="s">
        <v>3368</v>
      </c>
      <c r="C2563" s="2" t="s">
        <v>279</v>
      </c>
      <c r="D2563" s="2" t="s">
        <v>280</v>
      </c>
      <c r="E2563" s="2" t="s">
        <v>256</v>
      </c>
      <c r="F2563" s="2" t="s">
        <v>535</v>
      </c>
      <c r="G2563" s="2" t="s">
        <v>475</v>
      </c>
      <c r="H2563" s="2" t="s">
        <v>476</v>
      </c>
      <c r="I2563" s="26">
        <v>45511</v>
      </c>
      <c r="J2563" s="2">
        <v>22</v>
      </c>
      <c r="K2563" s="2" t="s">
        <v>123</v>
      </c>
      <c r="L2563" s="22">
        <v>13000</v>
      </c>
      <c r="M2563" s="22">
        <v>286000</v>
      </c>
      <c r="N2563" s="18">
        <v>305.88</v>
      </c>
      <c r="O2563" s="26">
        <v>45721</v>
      </c>
      <c r="P2563" s="2" t="s">
        <v>2105</v>
      </c>
      <c r="Q2563" s="2" t="s">
        <v>806</v>
      </c>
    </row>
    <row r="2564" spans="2:17" x14ac:dyDescent="0.25">
      <c r="B2564" s="2" t="s">
        <v>3369</v>
      </c>
      <c r="C2564" s="2" t="s">
        <v>279</v>
      </c>
      <c r="D2564" s="2" t="s">
        <v>280</v>
      </c>
      <c r="E2564" s="2" t="s">
        <v>256</v>
      </c>
      <c r="F2564" s="2" t="s">
        <v>535</v>
      </c>
      <c r="G2564" s="2" t="s">
        <v>475</v>
      </c>
      <c r="H2564" s="2" t="s">
        <v>476</v>
      </c>
      <c r="I2564" s="26">
        <v>45532</v>
      </c>
      <c r="J2564" s="2">
        <v>17</v>
      </c>
      <c r="K2564" s="2" t="s">
        <v>123</v>
      </c>
      <c r="L2564" s="22">
        <v>13000</v>
      </c>
      <c r="M2564" s="22">
        <v>221000</v>
      </c>
      <c r="N2564" s="18">
        <v>236.36</v>
      </c>
      <c r="O2564" s="26">
        <v>45742</v>
      </c>
      <c r="P2564" s="2" t="s">
        <v>2105</v>
      </c>
      <c r="Q2564" s="2" t="s">
        <v>806</v>
      </c>
    </row>
    <row r="2565" spans="2:17" x14ac:dyDescent="0.25">
      <c r="B2565" s="2" t="s">
        <v>3370</v>
      </c>
      <c r="C2565" s="2" t="s">
        <v>279</v>
      </c>
      <c r="D2565" s="2" t="s">
        <v>280</v>
      </c>
      <c r="E2565" s="2" t="s">
        <v>256</v>
      </c>
      <c r="F2565" s="2" t="s">
        <v>535</v>
      </c>
      <c r="G2565" s="2" t="s">
        <v>475</v>
      </c>
      <c r="H2565" s="2" t="s">
        <v>476</v>
      </c>
      <c r="I2565" s="26">
        <v>45547</v>
      </c>
      <c r="J2565" s="2">
        <v>25</v>
      </c>
      <c r="K2565" s="2" t="s">
        <v>123</v>
      </c>
      <c r="L2565" s="22">
        <v>13000</v>
      </c>
      <c r="M2565" s="22">
        <v>325000</v>
      </c>
      <c r="N2565" s="18">
        <v>347.59</v>
      </c>
      <c r="O2565" s="26">
        <v>45757</v>
      </c>
      <c r="P2565" s="2" t="s">
        <v>2105</v>
      </c>
      <c r="Q2565" s="2" t="s">
        <v>814</v>
      </c>
    </row>
    <row r="2566" spans="2:17" x14ac:dyDescent="0.25">
      <c r="B2566" s="2" t="s">
        <v>3371</v>
      </c>
      <c r="C2566" s="2" t="s">
        <v>279</v>
      </c>
      <c r="D2566" s="2" t="s">
        <v>280</v>
      </c>
      <c r="E2566" s="2" t="s">
        <v>256</v>
      </c>
      <c r="F2566" s="2" t="s">
        <v>537</v>
      </c>
      <c r="G2566" s="2" t="s">
        <v>485</v>
      </c>
      <c r="H2566" s="2" t="s">
        <v>486</v>
      </c>
      <c r="I2566" s="26">
        <v>45568</v>
      </c>
      <c r="J2566" s="2">
        <v>8</v>
      </c>
      <c r="K2566" s="2" t="s">
        <v>123</v>
      </c>
      <c r="L2566" s="22">
        <v>14800</v>
      </c>
      <c r="M2566" s="22">
        <v>118400</v>
      </c>
      <c r="N2566" s="18">
        <v>126.63</v>
      </c>
      <c r="O2566" s="26">
        <v>45778</v>
      </c>
      <c r="P2566" s="2" t="s">
        <v>2105</v>
      </c>
      <c r="Q2566" s="2" t="s">
        <v>814</v>
      </c>
    </row>
    <row r="2567" spans="2:17" x14ac:dyDescent="0.25">
      <c r="B2567" s="2" t="s">
        <v>3372</v>
      </c>
      <c r="C2567" s="2" t="s">
        <v>279</v>
      </c>
      <c r="D2567" s="2" t="s">
        <v>280</v>
      </c>
      <c r="E2567" s="2" t="s">
        <v>256</v>
      </c>
      <c r="F2567" s="2" t="s">
        <v>535</v>
      </c>
      <c r="G2567" s="2" t="s">
        <v>475</v>
      </c>
      <c r="H2567" s="2" t="s">
        <v>476</v>
      </c>
      <c r="I2567" s="26">
        <v>45586</v>
      </c>
      <c r="J2567" s="2">
        <v>6</v>
      </c>
      <c r="K2567" s="2" t="s">
        <v>123</v>
      </c>
      <c r="L2567" s="22">
        <v>13000</v>
      </c>
      <c r="M2567" s="22">
        <v>78000</v>
      </c>
      <c r="N2567" s="18">
        <v>83.42</v>
      </c>
      <c r="O2567" s="26">
        <v>45796</v>
      </c>
      <c r="P2567" s="2" t="s">
        <v>2105</v>
      </c>
      <c r="Q2567" s="2" t="s">
        <v>814</v>
      </c>
    </row>
    <row r="2568" spans="2:17" x14ac:dyDescent="0.25">
      <c r="B2568" s="2" t="s">
        <v>3373</v>
      </c>
      <c r="C2568" s="2" t="s">
        <v>279</v>
      </c>
      <c r="D2568" s="2" t="s">
        <v>280</v>
      </c>
      <c r="E2568" s="2" t="s">
        <v>256</v>
      </c>
      <c r="F2568" s="2" t="s">
        <v>535</v>
      </c>
      <c r="G2568" s="2" t="s">
        <v>475</v>
      </c>
      <c r="H2568" s="2" t="s">
        <v>476</v>
      </c>
      <c r="I2568" s="26">
        <v>45610</v>
      </c>
      <c r="J2568" s="2">
        <v>7</v>
      </c>
      <c r="K2568" s="2" t="s">
        <v>123</v>
      </c>
      <c r="L2568" s="22">
        <v>13000</v>
      </c>
      <c r="M2568" s="22">
        <v>91000</v>
      </c>
      <c r="N2568" s="18">
        <v>97.33</v>
      </c>
      <c r="O2568" s="26">
        <v>45820</v>
      </c>
      <c r="P2568" s="2" t="s">
        <v>2105</v>
      </c>
      <c r="Q2568" s="2" t="s">
        <v>814</v>
      </c>
    </row>
    <row r="2569" spans="2:17" x14ac:dyDescent="0.25">
      <c r="B2569" s="2" t="s">
        <v>3374</v>
      </c>
      <c r="C2569" s="2" t="s">
        <v>279</v>
      </c>
      <c r="D2569" s="2" t="s">
        <v>280</v>
      </c>
      <c r="E2569" s="2" t="s">
        <v>256</v>
      </c>
      <c r="F2569" s="2" t="s">
        <v>535</v>
      </c>
      <c r="G2569" s="2" t="s">
        <v>475</v>
      </c>
      <c r="H2569" s="2" t="s">
        <v>476</v>
      </c>
      <c r="I2569" s="26">
        <v>45638</v>
      </c>
      <c r="J2569" s="2">
        <v>10</v>
      </c>
      <c r="K2569" s="2" t="s">
        <v>123</v>
      </c>
      <c r="L2569" s="22">
        <v>13000</v>
      </c>
      <c r="M2569" s="22">
        <v>130000</v>
      </c>
      <c r="N2569" s="18">
        <v>139.04</v>
      </c>
      <c r="O2569" s="26">
        <v>45848</v>
      </c>
      <c r="P2569" s="2" t="s">
        <v>2105</v>
      </c>
      <c r="Q2569" s="2" t="s">
        <v>825</v>
      </c>
    </row>
    <row r="2570" spans="2:17" x14ac:dyDescent="0.25">
      <c r="B2570" s="2" t="s">
        <v>3375</v>
      </c>
      <c r="C2570" s="2" t="s">
        <v>279</v>
      </c>
      <c r="D2570" s="2" t="s">
        <v>280</v>
      </c>
      <c r="E2570" s="2" t="s">
        <v>256</v>
      </c>
      <c r="F2570" s="2" t="s">
        <v>537</v>
      </c>
      <c r="G2570" s="2" t="s">
        <v>485</v>
      </c>
      <c r="H2570" s="2" t="s">
        <v>486</v>
      </c>
      <c r="I2570" s="26">
        <v>45657</v>
      </c>
      <c r="J2570" s="2">
        <v>10</v>
      </c>
      <c r="K2570" s="2" t="s">
        <v>123</v>
      </c>
      <c r="L2570" s="22">
        <v>14800</v>
      </c>
      <c r="M2570" s="22">
        <v>148000</v>
      </c>
      <c r="N2570" s="18">
        <v>158.29</v>
      </c>
      <c r="O2570" s="26">
        <v>45867</v>
      </c>
      <c r="P2570" s="2" t="s">
        <v>2105</v>
      </c>
      <c r="Q2570" s="2" t="s">
        <v>825</v>
      </c>
    </row>
    <row r="2571" spans="2:17" x14ac:dyDescent="0.25">
      <c r="B2571" s="2" t="s">
        <v>3376</v>
      </c>
      <c r="C2571" s="2" t="s">
        <v>279</v>
      </c>
      <c r="D2571" s="2" t="s">
        <v>280</v>
      </c>
      <c r="E2571" s="2" t="s">
        <v>256</v>
      </c>
      <c r="F2571" s="2" t="s">
        <v>535</v>
      </c>
      <c r="G2571" s="2" t="s">
        <v>475</v>
      </c>
      <c r="H2571" s="2" t="s">
        <v>476</v>
      </c>
      <c r="I2571" s="26">
        <v>45679</v>
      </c>
      <c r="J2571" s="2">
        <v>8</v>
      </c>
      <c r="K2571" s="2" t="s">
        <v>123</v>
      </c>
      <c r="L2571" s="22">
        <v>13000</v>
      </c>
      <c r="M2571" s="22">
        <v>104000</v>
      </c>
      <c r="N2571" s="18">
        <v>111.23</v>
      </c>
      <c r="O2571" s="26">
        <v>45889</v>
      </c>
      <c r="P2571" s="2" t="s">
        <v>2105</v>
      </c>
      <c r="Q2571" s="2" t="s">
        <v>825</v>
      </c>
    </row>
    <row r="2572" spans="2:17" x14ac:dyDescent="0.25">
      <c r="B2572" s="2" t="s">
        <v>3377</v>
      </c>
      <c r="C2572" s="2" t="s">
        <v>279</v>
      </c>
      <c r="D2572" s="2" t="s">
        <v>280</v>
      </c>
      <c r="E2572" s="2" t="s">
        <v>256</v>
      </c>
      <c r="F2572" s="2" t="s">
        <v>535</v>
      </c>
      <c r="G2572" s="2" t="s">
        <v>475</v>
      </c>
      <c r="H2572" s="2" t="s">
        <v>476</v>
      </c>
      <c r="I2572" s="26">
        <v>45697</v>
      </c>
      <c r="J2572" s="2">
        <v>8</v>
      </c>
      <c r="K2572" s="2" t="s">
        <v>123</v>
      </c>
      <c r="L2572" s="22">
        <v>13000</v>
      </c>
      <c r="M2572" s="22">
        <v>104000</v>
      </c>
      <c r="N2572" s="18">
        <v>111.23</v>
      </c>
      <c r="O2572" s="26">
        <v>45907</v>
      </c>
      <c r="P2572" s="2" t="s">
        <v>2105</v>
      </c>
      <c r="Q2572" s="2" t="s">
        <v>825</v>
      </c>
    </row>
    <row r="2573" spans="2:17" x14ac:dyDescent="0.25">
      <c r="B2573" s="2" t="s">
        <v>3378</v>
      </c>
      <c r="C2573" s="2" t="s">
        <v>279</v>
      </c>
      <c r="D2573" s="2" t="s">
        <v>280</v>
      </c>
      <c r="E2573" s="2" t="s">
        <v>256</v>
      </c>
      <c r="F2573" s="2" t="s">
        <v>535</v>
      </c>
      <c r="G2573" s="2" t="s">
        <v>475</v>
      </c>
      <c r="H2573" s="2" t="s">
        <v>476</v>
      </c>
      <c r="I2573" s="26">
        <v>45716</v>
      </c>
      <c r="J2573" s="2">
        <v>9</v>
      </c>
      <c r="K2573" s="2" t="s">
        <v>123</v>
      </c>
      <c r="L2573" s="22">
        <v>13000</v>
      </c>
      <c r="M2573" s="22">
        <v>117000</v>
      </c>
      <c r="N2573" s="18">
        <v>125.13</v>
      </c>
      <c r="O2573" s="26">
        <v>45926</v>
      </c>
      <c r="P2573" s="2" t="s">
        <v>2105</v>
      </c>
      <c r="Q2573" s="2" t="s">
        <v>825</v>
      </c>
    </row>
    <row r="2574" spans="2:17" x14ac:dyDescent="0.25">
      <c r="B2574" s="2" t="s">
        <v>3379</v>
      </c>
      <c r="C2574" s="2" t="s">
        <v>279</v>
      </c>
      <c r="D2574" s="2" t="s">
        <v>280</v>
      </c>
      <c r="E2574" s="2" t="s">
        <v>256</v>
      </c>
      <c r="F2574" s="2" t="s">
        <v>535</v>
      </c>
      <c r="G2574" s="2" t="s">
        <v>475</v>
      </c>
      <c r="H2574" s="2" t="s">
        <v>476</v>
      </c>
      <c r="I2574" s="26">
        <v>45744</v>
      </c>
      <c r="J2574" s="2">
        <v>8</v>
      </c>
      <c r="K2574" s="2" t="s">
        <v>123</v>
      </c>
      <c r="L2574" s="22">
        <v>13000</v>
      </c>
      <c r="M2574" s="22">
        <v>104000</v>
      </c>
      <c r="N2574" s="18">
        <v>111.23</v>
      </c>
      <c r="O2574" s="26">
        <v>45954</v>
      </c>
      <c r="P2574" s="2" t="s">
        <v>2105</v>
      </c>
      <c r="Q2574" s="2" t="s">
        <v>836</v>
      </c>
    </row>
    <row r="2575" spans="2:17" x14ac:dyDescent="0.25">
      <c r="B2575" s="2" t="s">
        <v>3380</v>
      </c>
      <c r="C2575" s="2" t="s">
        <v>279</v>
      </c>
      <c r="D2575" s="2" t="s">
        <v>280</v>
      </c>
      <c r="E2575" s="2" t="s">
        <v>256</v>
      </c>
      <c r="F2575" s="2" t="s">
        <v>535</v>
      </c>
      <c r="G2575" s="2" t="s">
        <v>475</v>
      </c>
      <c r="H2575" s="2" t="s">
        <v>476</v>
      </c>
      <c r="I2575" s="26">
        <v>45764</v>
      </c>
      <c r="J2575" s="2">
        <v>18</v>
      </c>
      <c r="K2575" s="2" t="s">
        <v>123</v>
      </c>
      <c r="L2575" s="22">
        <v>13000</v>
      </c>
      <c r="M2575" s="22">
        <v>234000</v>
      </c>
      <c r="N2575" s="18">
        <v>250.27</v>
      </c>
      <c r="O2575" s="26">
        <v>45974</v>
      </c>
      <c r="P2575" s="2" t="s">
        <v>2105</v>
      </c>
      <c r="Q2575" s="2" t="s">
        <v>836</v>
      </c>
    </row>
    <row r="2576" spans="2:17" x14ac:dyDescent="0.25">
      <c r="B2576" s="2" t="s">
        <v>3381</v>
      </c>
      <c r="C2576" s="2" t="s">
        <v>279</v>
      </c>
      <c r="D2576" s="2" t="s">
        <v>280</v>
      </c>
      <c r="E2576" s="2" t="s">
        <v>256</v>
      </c>
      <c r="F2576" s="2" t="s">
        <v>535</v>
      </c>
      <c r="G2576" s="2" t="s">
        <v>475</v>
      </c>
      <c r="H2576" s="2" t="s">
        <v>476</v>
      </c>
      <c r="I2576" s="26">
        <v>45787</v>
      </c>
      <c r="J2576" s="2">
        <v>18</v>
      </c>
      <c r="K2576" s="2" t="s">
        <v>123</v>
      </c>
      <c r="L2576" s="22">
        <v>13000</v>
      </c>
      <c r="M2576" s="22">
        <v>234000</v>
      </c>
      <c r="N2576" s="18">
        <v>250.27</v>
      </c>
      <c r="O2576" s="26">
        <v>45997</v>
      </c>
      <c r="P2576" s="2" t="s">
        <v>2105</v>
      </c>
      <c r="Q2576" s="2" t="s">
        <v>836</v>
      </c>
    </row>
    <row r="2577" spans="2:17" x14ac:dyDescent="0.25">
      <c r="B2577" s="2" t="s">
        <v>3382</v>
      </c>
      <c r="C2577" s="2" t="s">
        <v>279</v>
      </c>
      <c r="D2577" s="2" t="s">
        <v>280</v>
      </c>
      <c r="E2577" s="2" t="s">
        <v>256</v>
      </c>
      <c r="F2577" s="2" t="s">
        <v>535</v>
      </c>
      <c r="G2577" s="2" t="s">
        <v>475</v>
      </c>
      <c r="H2577" s="2" t="s">
        <v>476</v>
      </c>
      <c r="I2577" s="26">
        <v>45814</v>
      </c>
      <c r="J2577" s="2">
        <v>18</v>
      </c>
      <c r="K2577" s="2" t="s">
        <v>123</v>
      </c>
      <c r="L2577" s="22">
        <v>13000</v>
      </c>
      <c r="M2577" s="22">
        <v>234000</v>
      </c>
      <c r="N2577" s="18">
        <v>250.27</v>
      </c>
      <c r="O2577" s="26">
        <v>46024</v>
      </c>
      <c r="P2577" s="2" t="s">
        <v>2105</v>
      </c>
      <c r="Q2577" s="2" t="s">
        <v>806</v>
      </c>
    </row>
    <row r="2578" spans="2:17" x14ac:dyDescent="0.25">
      <c r="B2578" s="2" t="s">
        <v>3383</v>
      </c>
      <c r="C2578" s="2" t="s">
        <v>279</v>
      </c>
      <c r="D2578" s="2" t="s">
        <v>280</v>
      </c>
      <c r="E2578" s="2" t="s">
        <v>256</v>
      </c>
      <c r="F2578" s="2" t="s">
        <v>535</v>
      </c>
      <c r="G2578" s="2" t="s">
        <v>475</v>
      </c>
      <c r="H2578" s="2" t="s">
        <v>476</v>
      </c>
      <c r="I2578" s="26">
        <v>45834</v>
      </c>
      <c r="J2578" s="2">
        <v>21</v>
      </c>
      <c r="K2578" s="2" t="s">
        <v>123</v>
      </c>
      <c r="L2578" s="22">
        <v>13000</v>
      </c>
      <c r="M2578" s="22">
        <v>273000</v>
      </c>
      <c r="N2578" s="18">
        <v>291.98</v>
      </c>
      <c r="O2578" s="26">
        <v>46044</v>
      </c>
      <c r="P2578" s="2" t="s">
        <v>2105</v>
      </c>
      <c r="Q2578" s="2" t="s">
        <v>806</v>
      </c>
    </row>
    <row r="2579" spans="2:17" x14ac:dyDescent="0.25">
      <c r="B2579" s="2" t="s">
        <v>3384</v>
      </c>
      <c r="C2579" s="2" t="s">
        <v>281</v>
      </c>
      <c r="D2579" s="2" t="s">
        <v>282</v>
      </c>
      <c r="E2579" s="2" t="s">
        <v>256</v>
      </c>
      <c r="F2579" s="2" t="s">
        <v>535</v>
      </c>
      <c r="G2579" s="2" t="s">
        <v>475</v>
      </c>
      <c r="H2579" s="2" t="s">
        <v>476</v>
      </c>
      <c r="I2579" s="26">
        <v>45116</v>
      </c>
      <c r="J2579" s="2">
        <v>21</v>
      </c>
      <c r="K2579" s="2" t="s">
        <v>123</v>
      </c>
      <c r="L2579" s="22">
        <v>11600</v>
      </c>
      <c r="M2579" s="22">
        <v>243600</v>
      </c>
      <c r="N2579" s="18">
        <v>260.52999999999997</v>
      </c>
      <c r="O2579" s="26">
        <v>45326</v>
      </c>
      <c r="P2579" s="2" t="s">
        <v>2105</v>
      </c>
      <c r="Q2579" s="2" t="s">
        <v>806</v>
      </c>
    </row>
    <row r="2580" spans="2:17" x14ac:dyDescent="0.25">
      <c r="B2580" s="2" t="s">
        <v>3385</v>
      </c>
      <c r="C2580" s="2" t="s">
        <v>281</v>
      </c>
      <c r="D2580" s="2" t="s">
        <v>282</v>
      </c>
      <c r="E2580" s="2" t="s">
        <v>256</v>
      </c>
      <c r="F2580" s="2" t="s">
        <v>535</v>
      </c>
      <c r="G2580" s="2" t="s">
        <v>475</v>
      </c>
      <c r="H2580" s="2" t="s">
        <v>476</v>
      </c>
      <c r="I2580" s="26">
        <v>45132</v>
      </c>
      <c r="J2580" s="2">
        <v>18</v>
      </c>
      <c r="K2580" s="2" t="s">
        <v>123</v>
      </c>
      <c r="L2580" s="22">
        <v>11600</v>
      </c>
      <c r="M2580" s="22">
        <v>208800</v>
      </c>
      <c r="N2580" s="18">
        <v>223.32</v>
      </c>
      <c r="O2580" s="26">
        <v>45342</v>
      </c>
      <c r="P2580" s="2" t="s">
        <v>2105</v>
      </c>
      <c r="Q2580" s="2" t="s">
        <v>806</v>
      </c>
    </row>
    <row r="2581" spans="2:17" x14ac:dyDescent="0.25">
      <c r="B2581" s="2" t="s">
        <v>3386</v>
      </c>
      <c r="C2581" s="2" t="s">
        <v>281</v>
      </c>
      <c r="D2581" s="2" t="s">
        <v>282</v>
      </c>
      <c r="E2581" s="2" t="s">
        <v>256</v>
      </c>
      <c r="F2581" s="2" t="s">
        <v>535</v>
      </c>
      <c r="G2581" s="2" t="s">
        <v>475</v>
      </c>
      <c r="H2581" s="2" t="s">
        <v>476</v>
      </c>
      <c r="I2581" s="26">
        <v>45154</v>
      </c>
      <c r="J2581" s="2">
        <v>21</v>
      </c>
      <c r="K2581" s="2" t="s">
        <v>123</v>
      </c>
      <c r="L2581" s="22">
        <v>11600</v>
      </c>
      <c r="M2581" s="22">
        <v>243600</v>
      </c>
      <c r="N2581" s="18">
        <v>260.52999999999997</v>
      </c>
      <c r="O2581" s="26">
        <v>45364</v>
      </c>
      <c r="P2581" s="2" t="s">
        <v>2105</v>
      </c>
      <c r="Q2581" s="2" t="s">
        <v>806</v>
      </c>
    </row>
    <row r="2582" spans="2:17" x14ac:dyDescent="0.25">
      <c r="B2582" s="2" t="s">
        <v>3387</v>
      </c>
      <c r="C2582" s="2" t="s">
        <v>281</v>
      </c>
      <c r="D2582" s="2" t="s">
        <v>282</v>
      </c>
      <c r="E2582" s="2" t="s">
        <v>256</v>
      </c>
      <c r="F2582" s="2" t="s">
        <v>537</v>
      </c>
      <c r="G2582" s="2" t="s">
        <v>485</v>
      </c>
      <c r="H2582" s="2" t="s">
        <v>486</v>
      </c>
      <c r="I2582" s="26">
        <v>45179</v>
      </c>
      <c r="J2582" s="2">
        <v>25</v>
      </c>
      <c r="K2582" s="2" t="s">
        <v>123</v>
      </c>
      <c r="L2582" s="22">
        <v>12100</v>
      </c>
      <c r="M2582" s="22">
        <v>302500</v>
      </c>
      <c r="N2582" s="18">
        <v>323.52999999999997</v>
      </c>
      <c r="O2582" s="26">
        <v>45389</v>
      </c>
      <c r="P2582" s="2" t="s">
        <v>2105</v>
      </c>
      <c r="Q2582" s="2" t="s">
        <v>814</v>
      </c>
    </row>
    <row r="2583" spans="2:17" x14ac:dyDescent="0.25">
      <c r="B2583" s="2" t="s">
        <v>3388</v>
      </c>
      <c r="C2583" s="2" t="s">
        <v>281</v>
      </c>
      <c r="D2583" s="2" t="s">
        <v>282</v>
      </c>
      <c r="E2583" s="2" t="s">
        <v>256</v>
      </c>
      <c r="F2583" s="2" t="s">
        <v>535</v>
      </c>
      <c r="G2583" s="2" t="s">
        <v>475</v>
      </c>
      <c r="H2583" s="2" t="s">
        <v>476</v>
      </c>
      <c r="I2583" s="26">
        <v>45191</v>
      </c>
      <c r="J2583" s="2">
        <v>24</v>
      </c>
      <c r="K2583" s="2" t="s">
        <v>123</v>
      </c>
      <c r="L2583" s="22">
        <v>11600</v>
      </c>
      <c r="M2583" s="22">
        <v>278400</v>
      </c>
      <c r="N2583" s="18">
        <v>297.75</v>
      </c>
      <c r="O2583" s="26">
        <v>45401</v>
      </c>
      <c r="P2583" s="2" t="s">
        <v>2105</v>
      </c>
      <c r="Q2583" s="2" t="s">
        <v>814</v>
      </c>
    </row>
    <row r="2584" spans="2:17" x14ac:dyDescent="0.25">
      <c r="B2584" s="2" t="s">
        <v>3389</v>
      </c>
      <c r="C2584" s="2" t="s">
        <v>281</v>
      </c>
      <c r="D2584" s="2" t="s">
        <v>282</v>
      </c>
      <c r="E2584" s="2" t="s">
        <v>256</v>
      </c>
      <c r="F2584" s="2" t="s">
        <v>535</v>
      </c>
      <c r="G2584" s="2" t="s">
        <v>475</v>
      </c>
      <c r="H2584" s="2" t="s">
        <v>476</v>
      </c>
      <c r="I2584" s="26">
        <v>45215</v>
      </c>
      <c r="J2584" s="2">
        <v>6</v>
      </c>
      <c r="K2584" s="2" t="s">
        <v>123</v>
      </c>
      <c r="L2584" s="22">
        <v>11600</v>
      </c>
      <c r="M2584" s="22">
        <v>69600</v>
      </c>
      <c r="N2584" s="18">
        <v>74.44</v>
      </c>
      <c r="O2584" s="26">
        <v>45425</v>
      </c>
      <c r="P2584" s="2" t="s">
        <v>2105</v>
      </c>
      <c r="Q2584" s="2" t="s">
        <v>814</v>
      </c>
    </row>
    <row r="2585" spans="2:17" x14ac:dyDescent="0.25">
      <c r="B2585" s="2" t="s">
        <v>3390</v>
      </c>
      <c r="C2585" s="2" t="s">
        <v>281</v>
      </c>
      <c r="D2585" s="2" t="s">
        <v>282</v>
      </c>
      <c r="E2585" s="2" t="s">
        <v>256</v>
      </c>
      <c r="F2585" s="2" t="s">
        <v>535</v>
      </c>
      <c r="G2585" s="2" t="s">
        <v>475</v>
      </c>
      <c r="H2585" s="2" t="s">
        <v>476</v>
      </c>
      <c r="I2585" s="26">
        <v>45237</v>
      </c>
      <c r="J2585" s="2">
        <v>7</v>
      </c>
      <c r="K2585" s="2" t="s">
        <v>123</v>
      </c>
      <c r="L2585" s="22">
        <v>11600</v>
      </c>
      <c r="M2585" s="22">
        <v>81200</v>
      </c>
      <c r="N2585" s="18">
        <v>86.84</v>
      </c>
      <c r="O2585" s="26">
        <v>45447</v>
      </c>
      <c r="P2585" s="2" t="s">
        <v>2105</v>
      </c>
      <c r="Q2585" s="2" t="s">
        <v>814</v>
      </c>
    </row>
    <row r="2586" spans="2:17" x14ac:dyDescent="0.25">
      <c r="B2586" s="2" t="s">
        <v>3391</v>
      </c>
      <c r="C2586" s="2" t="s">
        <v>281</v>
      </c>
      <c r="D2586" s="2" t="s">
        <v>282</v>
      </c>
      <c r="E2586" s="2" t="s">
        <v>256</v>
      </c>
      <c r="F2586" s="2" t="s">
        <v>535</v>
      </c>
      <c r="G2586" s="2" t="s">
        <v>475</v>
      </c>
      <c r="H2586" s="2" t="s">
        <v>476</v>
      </c>
      <c r="I2586" s="26">
        <v>45256</v>
      </c>
      <c r="J2586" s="2">
        <v>7</v>
      </c>
      <c r="K2586" s="2" t="s">
        <v>123</v>
      </c>
      <c r="L2586" s="22">
        <v>11600</v>
      </c>
      <c r="M2586" s="22">
        <v>81200</v>
      </c>
      <c r="N2586" s="18">
        <v>86.84</v>
      </c>
      <c r="O2586" s="26">
        <v>45466</v>
      </c>
      <c r="P2586" s="2" t="s">
        <v>2105</v>
      </c>
      <c r="Q2586" s="2" t="s">
        <v>814</v>
      </c>
    </row>
    <row r="2587" spans="2:17" x14ac:dyDescent="0.25">
      <c r="B2587" s="2" t="s">
        <v>3392</v>
      </c>
      <c r="C2587" s="2" t="s">
        <v>281</v>
      </c>
      <c r="D2587" s="2" t="s">
        <v>282</v>
      </c>
      <c r="E2587" s="2" t="s">
        <v>256</v>
      </c>
      <c r="F2587" s="2" t="s">
        <v>535</v>
      </c>
      <c r="G2587" s="2" t="s">
        <v>475</v>
      </c>
      <c r="H2587" s="2" t="s">
        <v>476</v>
      </c>
      <c r="I2587" s="26">
        <v>45279</v>
      </c>
      <c r="J2587" s="2">
        <v>8</v>
      </c>
      <c r="K2587" s="2" t="s">
        <v>123</v>
      </c>
      <c r="L2587" s="22">
        <v>11600</v>
      </c>
      <c r="M2587" s="22">
        <v>92800</v>
      </c>
      <c r="N2587" s="18">
        <v>99.25</v>
      </c>
      <c r="O2587" s="26">
        <v>45489</v>
      </c>
      <c r="P2587" s="2" t="s">
        <v>2105</v>
      </c>
      <c r="Q2587" s="2" t="s">
        <v>825</v>
      </c>
    </row>
    <row r="2588" spans="2:17" x14ac:dyDescent="0.25">
      <c r="B2588" s="2" t="s">
        <v>3393</v>
      </c>
      <c r="C2588" s="2" t="s">
        <v>281</v>
      </c>
      <c r="D2588" s="2" t="s">
        <v>282</v>
      </c>
      <c r="E2588" s="2" t="s">
        <v>256</v>
      </c>
      <c r="F2588" s="2" t="s">
        <v>535</v>
      </c>
      <c r="G2588" s="2" t="s">
        <v>475</v>
      </c>
      <c r="H2588" s="2" t="s">
        <v>476</v>
      </c>
      <c r="I2588" s="26">
        <v>45305</v>
      </c>
      <c r="J2588" s="2">
        <v>8</v>
      </c>
      <c r="K2588" s="2" t="s">
        <v>123</v>
      </c>
      <c r="L2588" s="22">
        <v>11600</v>
      </c>
      <c r="M2588" s="22">
        <v>92800</v>
      </c>
      <c r="N2588" s="18">
        <v>99.25</v>
      </c>
      <c r="O2588" s="26">
        <v>45515</v>
      </c>
      <c r="P2588" s="2" t="s">
        <v>2105</v>
      </c>
      <c r="Q2588" s="2" t="s">
        <v>825</v>
      </c>
    </row>
    <row r="2589" spans="2:17" x14ac:dyDescent="0.25">
      <c r="B2589" s="2" t="s">
        <v>3394</v>
      </c>
      <c r="C2589" s="2" t="s">
        <v>281</v>
      </c>
      <c r="D2589" s="2" t="s">
        <v>282</v>
      </c>
      <c r="E2589" s="2" t="s">
        <v>256</v>
      </c>
      <c r="F2589" s="2" t="s">
        <v>535</v>
      </c>
      <c r="G2589" s="2" t="s">
        <v>475</v>
      </c>
      <c r="H2589" s="2" t="s">
        <v>476</v>
      </c>
      <c r="I2589" s="26">
        <v>45325</v>
      </c>
      <c r="J2589" s="2">
        <v>7</v>
      </c>
      <c r="K2589" s="2" t="s">
        <v>123</v>
      </c>
      <c r="L2589" s="22">
        <v>11600</v>
      </c>
      <c r="M2589" s="22">
        <v>81200</v>
      </c>
      <c r="N2589" s="18">
        <v>86.84</v>
      </c>
      <c r="O2589" s="26">
        <v>45535</v>
      </c>
      <c r="P2589" s="2" t="s">
        <v>2105</v>
      </c>
      <c r="Q2589" s="2" t="s">
        <v>825</v>
      </c>
    </row>
    <row r="2590" spans="2:17" x14ac:dyDescent="0.25">
      <c r="B2590" s="2" t="s">
        <v>3395</v>
      </c>
      <c r="C2590" s="2" t="s">
        <v>281</v>
      </c>
      <c r="D2590" s="2" t="s">
        <v>282</v>
      </c>
      <c r="E2590" s="2" t="s">
        <v>256</v>
      </c>
      <c r="F2590" s="2" t="s">
        <v>535</v>
      </c>
      <c r="G2590" s="2" t="s">
        <v>475</v>
      </c>
      <c r="H2590" s="2" t="s">
        <v>476</v>
      </c>
      <c r="I2590" s="26">
        <v>45349</v>
      </c>
      <c r="J2590" s="2">
        <v>7</v>
      </c>
      <c r="K2590" s="2" t="s">
        <v>123</v>
      </c>
      <c r="L2590" s="22">
        <v>11600</v>
      </c>
      <c r="M2590" s="22">
        <v>81200</v>
      </c>
      <c r="N2590" s="18">
        <v>86.84</v>
      </c>
      <c r="O2590" s="26">
        <v>45559</v>
      </c>
      <c r="P2590" s="2" t="s">
        <v>2105</v>
      </c>
      <c r="Q2590" s="2" t="s">
        <v>825</v>
      </c>
    </row>
    <row r="2591" spans="2:17" x14ac:dyDescent="0.25">
      <c r="B2591" s="2" t="s">
        <v>3396</v>
      </c>
      <c r="C2591" s="2" t="s">
        <v>281</v>
      </c>
      <c r="D2591" s="2" t="s">
        <v>282</v>
      </c>
      <c r="E2591" s="2" t="s">
        <v>256</v>
      </c>
      <c r="F2591" s="2" t="s">
        <v>535</v>
      </c>
      <c r="G2591" s="2" t="s">
        <v>475</v>
      </c>
      <c r="H2591" s="2" t="s">
        <v>476</v>
      </c>
      <c r="I2591" s="26">
        <v>45369</v>
      </c>
      <c r="J2591" s="2">
        <v>7</v>
      </c>
      <c r="K2591" s="2" t="s">
        <v>123</v>
      </c>
      <c r="L2591" s="22">
        <v>11600</v>
      </c>
      <c r="M2591" s="22">
        <v>81200</v>
      </c>
      <c r="N2591" s="18">
        <v>86.84</v>
      </c>
      <c r="O2591" s="26">
        <v>45579</v>
      </c>
      <c r="P2591" s="2" t="s">
        <v>2105</v>
      </c>
      <c r="Q2591" s="2" t="s">
        <v>836</v>
      </c>
    </row>
    <row r="2592" spans="2:17" x14ac:dyDescent="0.25">
      <c r="B2592" s="2" t="s">
        <v>3397</v>
      </c>
      <c r="C2592" s="2" t="s">
        <v>281</v>
      </c>
      <c r="D2592" s="2" t="s">
        <v>282</v>
      </c>
      <c r="E2592" s="2" t="s">
        <v>256</v>
      </c>
      <c r="F2592" s="2" t="s">
        <v>535</v>
      </c>
      <c r="G2592" s="2" t="s">
        <v>475</v>
      </c>
      <c r="H2592" s="2" t="s">
        <v>476</v>
      </c>
      <c r="I2592" s="26">
        <v>45393</v>
      </c>
      <c r="J2592" s="2">
        <v>17</v>
      </c>
      <c r="K2592" s="2" t="s">
        <v>123</v>
      </c>
      <c r="L2592" s="22">
        <v>11600</v>
      </c>
      <c r="M2592" s="22">
        <v>197200</v>
      </c>
      <c r="N2592" s="18">
        <v>210.91</v>
      </c>
      <c r="O2592" s="26">
        <v>45603</v>
      </c>
      <c r="P2592" s="2" t="s">
        <v>2105</v>
      </c>
      <c r="Q2592" s="2" t="s">
        <v>836</v>
      </c>
    </row>
    <row r="2593" spans="2:17" x14ac:dyDescent="0.25">
      <c r="B2593" s="2" t="s">
        <v>3398</v>
      </c>
      <c r="C2593" s="2" t="s">
        <v>281</v>
      </c>
      <c r="D2593" s="2" t="s">
        <v>282</v>
      </c>
      <c r="E2593" s="2" t="s">
        <v>256</v>
      </c>
      <c r="F2593" s="2" t="s">
        <v>535</v>
      </c>
      <c r="G2593" s="2" t="s">
        <v>475</v>
      </c>
      <c r="H2593" s="2" t="s">
        <v>476</v>
      </c>
      <c r="I2593" s="26">
        <v>45416</v>
      </c>
      <c r="J2593" s="2">
        <v>18</v>
      </c>
      <c r="K2593" s="2" t="s">
        <v>123</v>
      </c>
      <c r="L2593" s="22">
        <v>11600</v>
      </c>
      <c r="M2593" s="22">
        <v>208800</v>
      </c>
      <c r="N2593" s="18">
        <v>223.32</v>
      </c>
      <c r="O2593" s="26">
        <v>45626</v>
      </c>
      <c r="P2593" s="2" t="s">
        <v>2105</v>
      </c>
      <c r="Q2593" s="2" t="s">
        <v>836</v>
      </c>
    </row>
    <row r="2594" spans="2:17" x14ac:dyDescent="0.25">
      <c r="B2594" s="2" t="s">
        <v>3399</v>
      </c>
      <c r="C2594" s="2" t="s">
        <v>281</v>
      </c>
      <c r="D2594" s="2" t="s">
        <v>282</v>
      </c>
      <c r="E2594" s="2" t="s">
        <v>256</v>
      </c>
      <c r="F2594" s="2" t="s">
        <v>537</v>
      </c>
      <c r="G2594" s="2" t="s">
        <v>485</v>
      </c>
      <c r="H2594" s="2" t="s">
        <v>486</v>
      </c>
      <c r="I2594" s="26">
        <v>45437</v>
      </c>
      <c r="J2594" s="2">
        <v>21</v>
      </c>
      <c r="K2594" s="2" t="s">
        <v>123</v>
      </c>
      <c r="L2594" s="22">
        <v>12100</v>
      </c>
      <c r="M2594" s="22">
        <v>254100</v>
      </c>
      <c r="N2594" s="18">
        <v>271.76</v>
      </c>
      <c r="O2594" s="26">
        <v>45647</v>
      </c>
      <c r="P2594" s="2" t="s">
        <v>2105</v>
      </c>
      <c r="Q2594" s="2" t="s">
        <v>836</v>
      </c>
    </row>
    <row r="2595" spans="2:17" x14ac:dyDescent="0.25">
      <c r="B2595" s="2" t="s">
        <v>3400</v>
      </c>
      <c r="C2595" s="2" t="s">
        <v>281</v>
      </c>
      <c r="D2595" s="2" t="s">
        <v>282</v>
      </c>
      <c r="E2595" s="2" t="s">
        <v>256</v>
      </c>
      <c r="F2595" s="2" t="s">
        <v>535</v>
      </c>
      <c r="G2595" s="2" t="s">
        <v>475</v>
      </c>
      <c r="H2595" s="2" t="s">
        <v>476</v>
      </c>
      <c r="I2595" s="26">
        <v>45463</v>
      </c>
      <c r="J2595" s="2">
        <v>22</v>
      </c>
      <c r="K2595" s="2" t="s">
        <v>123</v>
      </c>
      <c r="L2595" s="22">
        <v>11600</v>
      </c>
      <c r="M2595" s="22">
        <v>255200</v>
      </c>
      <c r="N2595" s="18">
        <v>272.94</v>
      </c>
      <c r="O2595" s="26">
        <v>45673</v>
      </c>
      <c r="P2595" s="2" t="s">
        <v>2105</v>
      </c>
      <c r="Q2595" s="2" t="s">
        <v>806</v>
      </c>
    </row>
    <row r="2596" spans="2:17" x14ac:dyDescent="0.25">
      <c r="B2596" s="2" t="s">
        <v>3401</v>
      </c>
      <c r="C2596" s="2" t="s">
        <v>281</v>
      </c>
      <c r="D2596" s="2" t="s">
        <v>282</v>
      </c>
      <c r="E2596" s="2" t="s">
        <v>256</v>
      </c>
      <c r="F2596" s="2" t="s">
        <v>537</v>
      </c>
      <c r="G2596" s="2" t="s">
        <v>485</v>
      </c>
      <c r="H2596" s="2" t="s">
        <v>486</v>
      </c>
      <c r="I2596" s="26">
        <v>45487</v>
      </c>
      <c r="J2596" s="2">
        <v>20</v>
      </c>
      <c r="K2596" s="2" t="s">
        <v>123</v>
      </c>
      <c r="L2596" s="22">
        <v>12100</v>
      </c>
      <c r="M2596" s="22">
        <v>242000</v>
      </c>
      <c r="N2596" s="18">
        <v>258.82</v>
      </c>
      <c r="O2596" s="26">
        <v>45697</v>
      </c>
      <c r="P2596" s="2" t="s">
        <v>2105</v>
      </c>
      <c r="Q2596" s="2" t="s">
        <v>806</v>
      </c>
    </row>
    <row r="2597" spans="2:17" x14ac:dyDescent="0.25">
      <c r="B2597" s="2" t="s">
        <v>3402</v>
      </c>
      <c r="C2597" s="2" t="s">
        <v>281</v>
      </c>
      <c r="D2597" s="2" t="s">
        <v>282</v>
      </c>
      <c r="E2597" s="2" t="s">
        <v>256</v>
      </c>
      <c r="F2597" s="2" t="s">
        <v>535</v>
      </c>
      <c r="G2597" s="2" t="s">
        <v>475</v>
      </c>
      <c r="H2597" s="2" t="s">
        <v>476</v>
      </c>
      <c r="I2597" s="26">
        <v>45506</v>
      </c>
      <c r="J2597" s="2">
        <v>17</v>
      </c>
      <c r="K2597" s="2" t="s">
        <v>123</v>
      </c>
      <c r="L2597" s="22">
        <v>11600</v>
      </c>
      <c r="M2597" s="22">
        <v>197200</v>
      </c>
      <c r="N2597" s="18">
        <v>210.91</v>
      </c>
      <c r="O2597" s="26">
        <v>45716</v>
      </c>
      <c r="P2597" s="2" t="s">
        <v>2105</v>
      </c>
      <c r="Q2597" s="2" t="s">
        <v>806</v>
      </c>
    </row>
    <row r="2598" spans="2:17" x14ac:dyDescent="0.25">
      <c r="B2598" s="2" t="s">
        <v>3403</v>
      </c>
      <c r="C2598" s="2" t="s">
        <v>281</v>
      </c>
      <c r="D2598" s="2" t="s">
        <v>282</v>
      </c>
      <c r="E2598" s="2" t="s">
        <v>256</v>
      </c>
      <c r="F2598" s="2" t="s">
        <v>535</v>
      </c>
      <c r="G2598" s="2" t="s">
        <v>475</v>
      </c>
      <c r="H2598" s="2" t="s">
        <v>476</v>
      </c>
      <c r="I2598" s="26">
        <v>45528</v>
      </c>
      <c r="J2598" s="2">
        <v>19</v>
      </c>
      <c r="K2598" s="2" t="s">
        <v>123</v>
      </c>
      <c r="L2598" s="22">
        <v>11600</v>
      </c>
      <c r="M2598" s="22">
        <v>220400</v>
      </c>
      <c r="N2598" s="18">
        <v>235.72</v>
      </c>
      <c r="O2598" s="26">
        <v>45738</v>
      </c>
      <c r="P2598" s="2" t="s">
        <v>2105</v>
      </c>
      <c r="Q2598" s="2" t="s">
        <v>806</v>
      </c>
    </row>
    <row r="2599" spans="2:17" x14ac:dyDescent="0.25">
      <c r="B2599" s="2" t="s">
        <v>3404</v>
      </c>
      <c r="C2599" s="2" t="s">
        <v>281</v>
      </c>
      <c r="D2599" s="2" t="s">
        <v>282</v>
      </c>
      <c r="E2599" s="2" t="s">
        <v>256</v>
      </c>
      <c r="F2599" s="2" t="s">
        <v>535</v>
      </c>
      <c r="G2599" s="2" t="s">
        <v>475</v>
      </c>
      <c r="H2599" s="2" t="s">
        <v>476</v>
      </c>
      <c r="I2599" s="26">
        <v>45549</v>
      </c>
      <c r="J2599" s="2">
        <v>25</v>
      </c>
      <c r="K2599" s="2" t="s">
        <v>123</v>
      </c>
      <c r="L2599" s="22">
        <v>11600</v>
      </c>
      <c r="M2599" s="22">
        <v>290000</v>
      </c>
      <c r="N2599" s="18">
        <v>310.16000000000003</v>
      </c>
      <c r="O2599" s="26">
        <v>45759</v>
      </c>
      <c r="P2599" s="2" t="s">
        <v>2105</v>
      </c>
      <c r="Q2599" s="2" t="s">
        <v>814</v>
      </c>
    </row>
    <row r="2600" spans="2:17" x14ac:dyDescent="0.25">
      <c r="B2600" s="2" t="s">
        <v>3405</v>
      </c>
      <c r="C2600" s="2" t="s">
        <v>281</v>
      </c>
      <c r="D2600" s="2" t="s">
        <v>282</v>
      </c>
      <c r="E2600" s="2" t="s">
        <v>256</v>
      </c>
      <c r="F2600" s="2" t="s">
        <v>535</v>
      </c>
      <c r="G2600" s="2" t="s">
        <v>475</v>
      </c>
      <c r="H2600" s="2" t="s">
        <v>476</v>
      </c>
      <c r="I2600" s="26">
        <v>45569</v>
      </c>
      <c r="J2600" s="2">
        <v>7</v>
      </c>
      <c r="K2600" s="2" t="s">
        <v>123</v>
      </c>
      <c r="L2600" s="22">
        <v>11600</v>
      </c>
      <c r="M2600" s="22">
        <v>81200</v>
      </c>
      <c r="N2600" s="18">
        <v>86.84</v>
      </c>
      <c r="O2600" s="26">
        <v>45779</v>
      </c>
      <c r="P2600" s="2" t="s">
        <v>2105</v>
      </c>
      <c r="Q2600" s="2" t="s">
        <v>814</v>
      </c>
    </row>
    <row r="2601" spans="2:17" x14ac:dyDescent="0.25">
      <c r="B2601" s="2" t="s">
        <v>3406</v>
      </c>
      <c r="C2601" s="2" t="s">
        <v>281</v>
      </c>
      <c r="D2601" s="2" t="s">
        <v>282</v>
      </c>
      <c r="E2601" s="2" t="s">
        <v>256</v>
      </c>
      <c r="F2601" s="2" t="s">
        <v>535</v>
      </c>
      <c r="G2601" s="2" t="s">
        <v>475</v>
      </c>
      <c r="H2601" s="2" t="s">
        <v>476</v>
      </c>
      <c r="I2601" s="26">
        <v>45592</v>
      </c>
      <c r="J2601" s="2">
        <v>8</v>
      </c>
      <c r="K2601" s="2" t="s">
        <v>123</v>
      </c>
      <c r="L2601" s="22">
        <v>11600</v>
      </c>
      <c r="M2601" s="22">
        <v>92800</v>
      </c>
      <c r="N2601" s="18">
        <v>99.25</v>
      </c>
      <c r="O2601" s="26">
        <v>45802</v>
      </c>
      <c r="P2601" s="2" t="s">
        <v>2105</v>
      </c>
      <c r="Q2601" s="2" t="s">
        <v>814</v>
      </c>
    </row>
    <row r="2602" spans="2:17" x14ac:dyDescent="0.25">
      <c r="B2602" s="2" t="s">
        <v>3407</v>
      </c>
      <c r="C2602" s="2" t="s">
        <v>281</v>
      </c>
      <c r="D2602" s="2" t="s">
        <v>282</v>
      </c>
      <c r="E2602" s="2" t="s">
        <v>256</v>
      </c>
      <c r="F2602" s="2" t="s">
        <v>535</v>
      </c>
      <c r="G2602" s="2" t="s">
        <v>475</v>
      </c>
      <c r="H2602" s="2" t="s">
        <v>476</v>
      </c>
      <c r="I2602" s="26">
        <v>45608</v>
      </c>
      <c r="J2602" s="2">
        <v>8</v>
      </c>
      <c r="K2602" s="2" t="s">
        <v>123</v>
      </c>
      <c r="L2602" s="22">
        <v>11600</v>
      </c>
      <c r="M2602" s="22">
        <v>92800</v>
      </c>
      <c r="N2602" s="18">
        <v>99.25</v>
      </c>
      <c r="O2602" s="26">
        <v>45818</v>
      </c>
      <c r="P2602" s="2" t="s">
        <v>2105</v>
      </c>
      <c r="Q2602" s="2" t="s">
        <v>814</v>
      </c>
    </row>
    <row r="2603" spans="2:17" x14ac:dyDescent="0.25">
      <c r="B2603" s="2" t="s">
        <v>3408</v>
      </c>
      <c r="C2603" s="2" t="s">
        <v>281</v>
      </c>
      <c r="D2603" s="2" t="s">
        <v>282</v>
      </c>
      <c r="E2603" s="2" t="s">
        <v>256</v>
      </c>
      <c r="F2603" s="2" t="s">
        <v>535</v>
      </c>
      <c r="G2603" s="2" t="s">
        <v>475</v>
      </c>
      <c r="H2603" s="2" t="s">
        <v>476</v>
      </c>
      <c r="I2603" s="26">
        <v>45626</v>
      </c>
      <c r="J2603" s="2">
        <v>8</v>
      </c>
      <c r="K2603" s="2" t="s">
        <v>123</v>
      </c>
      <c r="L2603" s="22">
        <v>11600</v>
      </c>
      <c r="M2603" s="22">
        <v>92800</v>
      </c>
      <c r="N2603" s="18">
        <v>99.25</v>
      </c>
      <c r="O2603" s="26">
        <v>45836</v>
      </c>
      <c r="P2603" s="2" t="s">
        <v>2105</v>
      </c>
      <c r="Q2603" s="2" t="s">
        <v>814</v>
      </c>
    </row>
    <row r="2604" spans="2:17" x14ac:dyDescent="0.25">
      <c r="B2604" s="2" t="s">
        <v>3409</v>
      </c>
      <c r="C2604" s="2" t="s">
        <v>281</v>
      </c>
      <c r="D2604" s="2" t="s">
        <v>282</v>
      </c>
      <c r="E2604" s="2" t="s">
        <v>256</v>
      </c>
      <c r="F2604" s="2" t="s">
        <v>535</v>
      </c>
      <c r="G2604" s="2" t="s">
        <v>475</v>
      </c>
      <c r="H2604" s="2" t="s">
        <v>476</v>
      </c>
      <c r="I2604" s="26">
        <v>45648</v>
      </c>
      <c r="J2604" s="2">
        <v>8</v>
      </c>
      <c r="K2604" s="2" t="s">
        <v>123</v>
      </c>
      <c r="L2604" s="22">
        <v>11600</v>
      </c>
      <c r="M2604" s="22">
        <v>92800</v>
      </c>
      <c r="N2604" s="18">
        <v>99.25</v>
      </c>
      <c r="O2604" s="26">
        <v>45858</v>
      </c>
      <c r="P2604" s="2" t="s">
        <v>2105</v>
      </c>
      <c r="Q2604" s="2" t="s">
        <v>825</v>
      </c>
    </row>
    <row r="2605" spans="2:17" x14ac:dyDescent="0.25">
      <c r="B2605" s="2" t="s">
        <v>3410</v>
      </c>
      <c r="C2605" s="2" t="s">
        <v>281</v>
      </c>
      <c r="D2605" s="2" t="s">
        <v>282</v>
      </c>
      <c r="E2605" s="2" t="s">
        <v>256</v>
      </c>
      <c r="F2605" s="2" t="s">
        <v>535</v>
      </c>
      <c r="G2605" s="2" t="s">
        <v>475</v>
      </c>
      <c r="H2605" s="2" t="s">
        <v>476</v>
      </c>
      <c r="I2605" s="26">
        <v>45669</v>
      </c>
      <c r="J2605" s="2">
        <v>8</v>
      </c>
      <c r="K2605" s="2" t="s">
        <v>123</v>
      </c>
      <c r="L2605" s="22">
        <v>11600</v>
      </c>
      <c r="M2605" s="22">
        <v>92800</v>
      </c>
      <c r="N2605" s="18">
        <v>99.25</v>
      </c>
      <c r="O2605" s="26">
        <v>45879</v>
      </c>
      <c r="P2605" s="2" t="s">
        <v>2105</v>
      </c>
      <c r="Q2605" s="2" t="s">
        <v>825</v>
      </c>
    </row>
    <row r="2606" spans="2:17" x14ac:dyDescent="0.25">
      <c r="B2606" s="2" t="s">
        <v>3411</v>
      </c>
      <c r="C2606" s="2" t="s">
        <v>281</v>
      </c>
      <c r="D2606" s="2" t="s">
        <v>282</v>
      </c>
      <c r="E2606" s="2" t="s">
        <v>256</v>
      </c>
      <c r="F2606" s="2" t="s">
        <v>535</v>
      </c>
      <c r="G2606" s="2" t="s">
        <v>475</v>
      </c>
      <c r="H2606" s="2" t="s">
        <v>476</v>
      </c>
      <c r="I2606" s="26">
        <v>45687</v>
      </c>
      <c r="J2606" s="2">
        <v>8</v>
      </c>
      <c r="K2606" s="2" t="s">
        <v>123</v>
      </c>
      <c r="L2606" s="22">
        <v>11600</v>
      </c>
      <c r="M2606" s="22">
        <v>92800</v>
      </c>
      <c r="N2606" s="18">
        <v>99.25</v>
      </c>
      <c r="O2606" s="26">
        <v>45897</v>
      </c>
      <c r="P2606" s="2" t="s">
        <v>2105</v>
      </c>
      <c r="Q2606" s="2" t="s">
        <v>825</v>
      </c>
    </row>
    <row r="2607" spans="2:17" x14ac:dyDescent="0.25">
      <c r="B2607" s="2" t="s">
        <v>3412</v>
      </c>
      <c r="C2607" s="2" t="s">
        <v>281</v>
      </c>
      <c r="D2607" s="2" t="s">
        <v>282</v>
      </c>
      <c r="E2607" s="2" t="s">
        <v>256</v>
      </c>
      <c r="F2607" s="2" t="s">
        <v>535</v>
      </c>
      <c r="G2607" s="2" t="s">
        <v>475</v>
      </c>
      <c r="H2607" s="2" t="s">
        <v>476</v>
      </c>
      <c r="I2607" s="26">
        <v>45713</v>
      </c>
      <c r="J2607" s="2">
        <v>8</v>
      </c>
      <c r="K2607" s="2" t="s">
        <v>123</v>
      </c>
      <c r="L2607" s="22">
        <v>11600</v>
      </c>
      <c r="M2607" s="22">
        <v>92800</v>
      </c>
      <c r="N2607" s="18">
        <v>99.25</v>
      </c>
      <c r="O2607" s="26">
        <v>45923</v>
      </c>
      <c r="P2607" s="2" t="s">
        <v>2105</v>
      </c>
      <c r="Q2607" s="2" t="s">
        <v>825</v>
      </c>
    </row>
    <row r="2608" spans="2:17" x14ac:dyDescent="0.25">
      <c r="B2608" s="2" t="s">
        <v>3413</v>
      </c>
      <c r="C2608" s="2" t="s">
        <v>281</v>
      </c>
      <c r="D2608" s="2" t="s">
        <v>282</v>
      </c>
      <c r="E2608" s="2" t="s">
        <v>256</v>
      </c>
      <c r="F2608" s="2" t="s">
        <v>535</v>
      </c>
      <c r="G2608" s="2" t="s">
        <v>475</v>
      </c>
      <c r="H2608" s="2" t="s">
        <v>476</v>
      </c>
      <c r="I2608" s="26">
        <v>45729</v>
      </c>
      <c r="J2608" s="2">
        <v>7</v>
      </c>
      <c r="K2608" s="2" t="s">
        <v>123</v>
      </c>
      <c r="L2608" s="22">
        <v>11600</v>
      </c>
      <c r="M2608" s="22">
        <v>81200</v>
      </c>
      <c r="N2608" s="18">
        <v>86.84</v>
      </c>
      <c r="O2608" s="26">
        <v>45939</v>
      </c>
      <c r="P2608" s="2" t="s">
        <v>2105</v>
      </c>
      <c r="Q2608" s="2" t="s">
        <v>836</v>
      </c>
    </row>
    <row r="2609" spans="2:17" x14ac:dyDescent="0.25">
      <c r="B2609" s="2" t="s">
        <v>3414</v>
      </c>
      <c r="C2609" s="2" t="s">
        <v>281</v>
      </c>
      <c r="D2609" s="2" t="s">
        <v>282</v>
      </c>
      <c r="E2609" s="2" t="s">
        <v>256</v>
      </c>
      <c r="F2609" s="2" t="s">
        <v>535</v>
      </c>
      <c r="G2609" s="2" t="s">
        <v>475</v>
      </c>
      <c r="H2609" s="2" t="s">
        <v>476</v>
      </c>
      <c r="I2609" s="26">
        <v>45753</v>
      </c>
      <c r="J2609" s="2">
        <v>19</v>
      </c>
      <c r="K2609" s="2" t="s">
        <v>123</v>
      </c>
      <c r="L2609" s="22">
        <v>11600</v>
      </c>
      <c r="M2609" s="22">
        <v>220400</v>
      </c>
      <c r="N2609" s="18">
        <v>235.72</v>
      </c>
      <c r="O2609" s="26">
        <v>45963</v>
      </c>
      <c r="P2609" s="2" t="s">
        <v>2105</v>
      </c>
      <c r="Q2609" s="2" t="s">
        <v>836</v>
      </c>
    </row>
    <row r="2610" spans="2:17" x14ac:dyDescent="0.25">
      <c r="B2610" s="2" t="s">
        <v>3415</v>
      </c>
      <c r="C2610" s="2" t="s">
        <v>281</v>
      </c>
      <c r="D2610" s="2" t="s">
        <v>282</v>
      </c>
      <c r="E2610" s="2" t="s">
        <v>256</v>
      </c>
      <c r="F2610" s="2" t="s">
        <v>535</v>
      </c>
      <c r="G2610" s="2" t="s">
        <v>475</v>
      </c>
      <c r="H2610" s="2" t="s">
        <v>476</v>
      </c>
      <c r="I2610" s="26">
        <v>45771</v>
      </c>
      <c r="J2610" s="2">
        <v>23</v>
      </c>
      <c r="K2610" s="2" t="s">
        <v>123</v>
      </c>
      <c r="L2610" s="22">
        <v>11600</v>
      </c>
      <c r="M2610" s="22">
        <v>266800</v>
      </c>
      <c r="N2610" s="18">
        <v>285.35000000000002</v>
      </c>
      <c r="O2610" s="26">
        <v>45981</v>
      </c>
      <c r="P2610" s="2" t="s">
        <v>2105</v>
      </c>
      <c r="Q2610" s="2" t="s">
        <v>836</v>
      </c>
    </row>
    <row r="2611" spans="2:17" x14ac:dyDescent="0.25">
      <c r="B2611" s="2" t="s">
        <v>3416</v>
      </c>
      <c r="C2611" s="2" t="s">
        <v>281</v>
      </c>
      <c r="D2611" s="2" t="s">
        <v>282</v>
      </c>
      <c r="E2611" s="2" t="s">
        <v>256</v>
      </c>
      <c r="F2611" s="2" t="s">
        <v>535</v>
      </c>
      <c r="G2611" s="2" t="s">
        <v>475</v>
      </c>
      <c r="H2611" s="2" t="s">
        <v>476</v>
      </c>
      <c r="I2611" s="26">
        <v>45791</v>
      </c>
      <c r="J2611" s="2">
        <v>22</v>
      </c>
      <c r="K2611" s="2" t="s">
        <v>123</v>
      </c>
      <c r="L2611" s="22">
        <v>11600</v>
      </c>
      <c r="M2611" s="22">
        <v>255200</v>
      </c>
      <c r="N2611" s="18">
        <v>272.94</v>
      </c>
      <c r="O2611" s="26">
        <v>46001</v>
      </c>
      <c r="P2611" s="2" t="s">
        <v>2105</v>
      </c>
      <c r="Q2611" s="2" t="s">
        <v>836</v>
      </c>
    </row>
    <row r="2612" spans="2:17" x14ac:dyDescent="0.25">
      <c r="B2612" s="2" t="s">
        <v>3417</v>
      </c>
      <c r="C2612" s="2" t="s">
        <v>281</v>
      </c>
      <c r="D2612" s="2" t="s">
        <v>282</v>
      </c>
      <c r="E2612" s="2" t="s">
        <v>256</v>
      </c>
      <c r="F2612" s="2" t="s">
        <v>537</v>
      </c>
      <c r="G2612" s="2" t="s">
        <v>485</v>
      </c>
      <c r="H2612" s="2" t="s">
        <v>486</v>
      </c>
      <c r="I2612" s="26">
        <v>45821</v>
      </c>
      <c r="J2612" s="2">
        <v>23</v>
      </c>
      <c r="K2612" s="2" t="s">
        <v>123</v>
      </c>
      <c r="L2612" s="22">
        <v>12100</v>
      </c>
      <c r="M2612" s="22">
        <v>278300</v>
      </c>
      <c r="N2612" s="18">
        <v>297.64999999999998</v>
      </c>
      <c r="O2612" s="26">
        <v>46031</v>
      </c>
      <c r="P2612" s="2" t="s">
        <v>2105</v>
      </c>
      <c r="Q2612" s="2" t="s">
        <v>806</v>
      </c>
    </row>
    <row r="2613" spans="2:17" x14ac:dyDescent="0.25">
      <c r="B2613" s="2" t="s">
        <v>3418</v>
      </c>
      <c r="C2613" s="2" t="s">
        <v>283</v>
      </c>
      <c r="D2613" s="2" t="s">
        <v>284</v>
      </c>
      <c r="E2613" s="2" t="s">
        <v>256</v>
      </c>
      <c r="F2613" s="2" t="s">
        <v>535</v>
      </c>
      <c r="G2613" s="2" t="s">
        <v>475</v>
      </c>
      <c r="H2613" s="2" t="s">
        <v>476</v>
      </c>
      <c r="I2613" s="26">
        <v>45111</v>
      </c>
      <c r="J2613" s="2">
        <v>20</v>
      </c>
      <c r="K2613" s="2" t="s">
        <v>123</v>
      </c>
      <c r="L2613" s="22">
        <v>17200</v>
      </c>
      <c r="M2613" s="22">
        <v>344000</v>
      </c>
      <c r="N2613" s="18">
        <v>367.91</v>
      </c>
      <c r="O2613" s="26">
        <v>45321</v>
      </c>
      <c r="P2613" s="2" t="s">
        <v>2105</v>
      </c>
      <c r="Q2613" s="2" t="s">
        <v>806</v>
      </c>
    </row>
    <row r="2614" spans="2:17" x14ac:dyDescent="0.25">
      <c r="B2614" s="2" t="s">
        <v>3419</v>
      </c>
      <c r="C2614" s="2" t="s">
        <v>283</v>
      </c>
      <c r="D2614" s="2" t="s">
        <v>284</v>
      </c>
      <c r="E2614" s="2" t="s">
        <v>256</v>
      </c>
      <c r="F2614" s="2" t="s">
        <v>535</v>
      </c>
      <c r="G2614" s="2" t="s">
        <v>475</v>
      </c>
      <c r="H2614" s="2" t="s">
        <v>476</v>
      </c>
      <c r="I2614" s="26">
        <v>45128</v>
      </c>
      <c r="J2614" s="2">
        <v>18</v>
      </c>
      <c r="K2614" s="2" t="s">
        <v>123</v>
      </c>
      <c r="L2614" s="22">
        <v>17200</v>
      </c>
      <c r="M2614" s="22">
        <v>309600</v>
      </c>
      <c r="N2614" s="18">
        <v>331.12</v>
      </c>
      <c r="O2614" s="26">
        <v>45338</v>
      </c>
      <c r="P2614" s="2" t="s">
        <v>2105</v>
      </c>
      <c r="Q2614" s="2" t="s">
        <v>806</v>
      </c>
    </row>
    <row r="2615" spans="2:17" x14ac:dyDescent="0.25">
      <c r="B2615" s="2" t="s">
        <v>3420</v>
      </c>
      <c r="C2615" s="2" t="s">
        <v>283</v>
      </c>
      <c r="D2615" s="2" t="s">
        <v>284</v>
      </c>
      <c r="E2615" s="2" t="s">
        <v>256</v>
      </c>
      <c r="F2615" s="2" t="s">
        <v>535</v>
      </c>
      <c r="G2615" s="2" t="s">
        <v>475</v>
      </c>
      <c r="H2615" s="2" t="s">
        <v>476</v>
      </c>
      <c r="I2615" s="26">
        <v>45159</v>
      </c>
      <c r="J2615" s="2">
        <v>17</v>
      </c>
      <c r="K2615" s="2" t="s">
        <v>123</v>
      </c>
      <c r="L2615" s="22">
        <v>17200</v>
      </c>
      <c r="M2615" s="22">
        <v>292400</v>
      </c>
      <c r="N2615" s="18">
        <v>312.73</v>
      </c>
      <c r="O2615" s="26">
        <v>45369</v>
      </c>
      <c r="P2615" s="2" t="s">
        <v>2105</v>
      </c>
      <c r="Q2615" s="2" t="s">
        <v>806</v>
      </c>
    </row>
    <row r="2616" spans="2:17" x14ac:dyDescent="0.25">
      <c r="B2616" s="2" t="s">
        <v>3421</v>
      </c>
      <c r="C2616" s="2" t="s">
        <v>283</v>
      </c>
      <c r="D2616" s="2" t="s">
        <v>284</v>
      </c>
      <c r="E2616" s="2" t="s">
        <v>256</v>
      </c>
      <c r="F2616" s="2" t="s">
        <v>535</v>
      </c>
      <c r="G2616" s="2" t="s">
        <v>475</v>
      </c>
      <c r="H2616" s="2" t="s">
        <v>476</v>
      </c>
      <c r="I2616" s="26">
        <v>45179</v>
      </c>
      <c r="J2616" s="2">
        <v>24</v>
      </c>
      <c r="K2616" s="2" t="s">
        <v>123</v>
      </c>
      <c r="L2616" s="22">
        <v>17200</v>
      </c>
      <c r="M2616" s="22">
        <v>412800</v>
      </c>
      <c r="N2616" s="18">
        <v>441.5</v>
      </c>
      <c r="O2616" s="26">
        <v>45389</v>
      </c>
      <c r="P2616" s="2" t="s">
        <v>2105</v>
      </c>
      <c r="Q2616" s="2" t="s">
        <v>814</v>
      </c>
    </row>
    <row r="2617" spans="2:17" x14ac:dyDescent="0.25">
      <c r="B2617" s="2" t="s">
        <v>3422</v>
      </c>
      <c r="C2617" s="2" t="s">
        <v>283</v>
      </c>
      <c r="D2617" s="2" t="s">
        <v>284</v>
      </c>
      <c r="E2617" s="2" t="s">
        <v>256</v>
      </c>
      <c r="F2617" s="2" t="s">
        <v>537</v>
      </c>
      <c r="G2617" s="2" t="s">
        <v>485</v>
      </c>
      <c r="H2617" s="2" t="s">
        <v>486</v>
      </c>
      <c r="I2617" s="26">
        <v>45199</v>
      </c>
      <c r="J2617" s="2">
        <v>26</v>
      </c>
      <c r="K2617" s="2" t="s">
        <v>123</v>
      </c>
      <c r="L2617" s="22">
        <v>18600</v>
      </c>
      <c r="M2617" s="22">
        <v>483600</v>
      </c>
      <c r="N2617" s="18">
        <v>517.22</v>
      </c>
      <c r="O2617" s="26">
        <v>45409</v>
      </c>
      <c r="P2617" s="2" t="s">
        <v>2105</v>
      </c>
      <c r="Q2617" s="2" t="s">
        <v>814</v>
      </c>
    </row>
    <row r="2618" spans="2:17" x14ac:dyDescent="0.25">
      <c r="B2618" s="2" t="s">
        <v>3423</v>
      </c>
      <c r="C2618" s="2" t="s">
        <v>283</v>
      </c>
      <c r="D2618" s="2" t="s">
        <v>284</v>
      </c>
      <c r="E2618" s="2" t="s">
        <v>256</v>
      </c>
      <c r="F2618" s="2" t="s">
        <v>535</v>
      </c>
      <c r="G2618" s="2" t="s">
        <v>475</v>
      </c>
      <c r="H2618" s="2" t="s">
        <v>476</v>
      </c>
      <c r="I2618" s="26">
        <v>45217</v>
      </c>
      <c r="J2618" s="2">
        <v>6</v>
      </c>
      <c r="K2618" s="2" t="s">
        <v>123</v>
      </c>
      <c r="L2618" s="22">
        <v>17200</v>
      </c>
      <c r="M2618" s="22">
        <v>103200</v>
      </c>
      <c r="N2618" s="18">
        <v>110.37</v>
      </c>
      <c r="O2618" s="26">
        <v>45427</v>
      </c>
      <c r="P2618" s="2" t="s">
        <v>2105</v>
      </c>
      <c r="Q2618" s="2" t="s">
        <v>814</v>
      </c>
    </row>
    <row r="2619" spans="2:17" x14ac:dyDescent="0.25">
      <c r="B2619" s="2" t="s">
        <v>3424</v>
      </c>
      <c r="C2619" s="2" t="s">
        <v>283</v>
      </c>
      <c r="D2619" s="2" t="s">
        <v>284</v>
      </c>
      <c r="E2619" s="2" t="s">
        <v>256</v>
      </c>
      <c r="F2619" s="2" t="s">
        <v>535</v>
      </c>
      <c r="G2619" s="2" t="s">
        <v>475</v>
      </c>
      <c r="H2619" s="2" t="s">
        <v>476</v>
      </c>
      <c r="I2619" s="26">
        <v>45238</v>
      </c>
      <c r="J2619" s="2">
        <v>7</v>
      </c>
      <c r="K2619" s="2" t="s">
        <v>123</v>
      </c>
      <c r="L2619" s="22">
        <v>17200</v>
      </c>
      <c r="M2619" s="22">
        <v>120400</v>
      </c>
      <c r="N2619" s="18">
        <v>128.77000000000001</v>
      </c>
      <c r="O2619" s="26">
        <v>45448</v>
      </c>
      <c r="P2619" s="2" t="s">
        <v>2105</v>
      </c>
      <c r="Q2619" s="2" t="s">
        <v>814</v>
      </c>
    </row>
    <row r="2620" spans="2:17" x14ac:dyDescent="0.25">
      <c r="B2620" s="2" t="s">
        <v>3425</v>
      </c>
      <c r="C2620" s="2" t="s">
        <v>283</v>
      </c>
      <c r="D2620" s="2" t="s">
        <v>284</v>
      </c>
      <c r="E2620" s="2" t="s">
        <v>256</v>
      </c>
      <c r="F2620" s="2" t="s">
        <v>535</v>
      </c>
      <c r="G2620" s="2" t="s">
        <v>475</v>
      </c>
      <c r="H2620" s="2" t="s">
        <v>476</v>
      </c>
      <c r="I2620" s="26">
        <v>45259</v>
      </c>
      <c r="J2620" s="2">
        <v>7</v>
      </c>
      <c r="K2620" s="2" t="s">
        <v>123</v>
      </c>
      <c r="L2620" s="22">
        <v>17200</v>
      </c>
      <c r="M2620" s="22">
        <v>120400</v>
      </c>
      <c r="N2620" s="18">
        <v>128.77000000000001</v>
      </c>
      <c r="O2620" s="26">
        <v>45469</v>
      </c>
      <c r="P2620" s="2" t="s">
        <v>2105</v>
      </c>
      <c r="Q2620" s="2" t="s">
        <v>814</v>
      </c>
    </row>
    <row r="2621" spans="2:17" x14ac:dyDescent="0.25">
      <c r="B2621" s="2" t="s">
        <v>3426</v>
      </c>
      <c r="C2621" s="2" t="s">
        <v>283</v>
      </c>
      <c r="D2621" s="2" t="s">
        <v>284</v>
      </c>
      <c r="E2621" s="2" t="s">
        <v>256</v>
      </c>
      <c r="F2621" s="2" t="s">
        <v>535</v>
      </c>
      <c r="G2621" s="2" t="s">
        <v>475</v>
      </c>
      <c r="H2621" s="2" t="s">
        <v>476</v>
      </c>
      <c r="I2621" s="26">
        <v>45276</v>
      </c>
      <c r="J2621" s="2">
        <v>8</v>
      </c>
      <c r="K2621" s="2" t="s">
        <v>123</v>
      </c>
      <c r="L2621" s="22">
        <v>17200</v>
      </c>
      <c r="M2621" s="22">
        <v>137600</v>
      </c>
      <c r="N2621" s="18">
        <v>147.16999999999999</v>
      </c>
      <c r="O2621" s="26">
        <v>45486</v>
      </c>
      <c r="P2621" s="2" t="s">
        <v>2105</v>
      </c>
      <c r="Q2621" s="2" t="s">
        <v>825</v>
      </c>
    </row>
    <row r="2622" spans="2:17" x14ac:dyDescent="0.25">
      <c r="B2622" s="2" t="s">
        <v>3427</v>
      </c>
      <c r="C2622" s="2" t="s">
        <v>283</v>
      </c>
      <c r="D2622" s="2" t="s">
        <v>284</v>
      </c>
      <c r="E2622" s="2" t="s">
        <v>256</v>
      </c>
      <c r="F2622" s="2" t="s">
        <v>535</v>
      </c>
      <c r="G2622" s="2" t="s">
        <v>475</v>
      </c>
      <c r="H2622" s="2" t="s">
        <v>476</v>
      </c>
      <c r="I2622" s="26">
        <v>45296</v>
      </c>
      <c r="J2622" s="2">
        <v>7</v>
      </c>
      <c r="K2622" s="2" t="s">
        <v>123</v>
      </c>
      <c r="L2622" s="22">
        <v>17200</v>
      </c>
      <c r="M2622" s="22">
        <v>120400</v>
      </c>
      <c r="N2622" s="18">
        <v>128.77000000000001</v>
      </c>
      <c r="O2622" s="26">
        <v>45506</v>
      </c>
      <c r="P2622" s="2" t="s">
        <v>2105</v>
      </c>
      <c r="Q2622" s="2" t="s">
        <v>825</v>
      </c>
    </row>
    <row r="2623" spans="2:17" x14ac:dyDescent="0.25">
      <c r="B2623" s="2" t="s">
        <v>3428</v>
      </c>
      <c r="C2623" s="2" t="s">
        <v>283</v>
      </c>
      <c r="D2623" s="2" t="s">
        <v>284</v>
      </c>
      <c r="E2623" s="2" t="s">
        <v>256</v>
      </c>
      <c r="F2623" s="2" t="s">
        <v>535</v>
      </c>
      <c r="G2623" s="2" t="s">
        <v>475</v>
      </c>
      <c r="H2623" s="2" t="s">
        <v>476</v>
      </c>
      <c r="I2623" s="26">
        <v>45316</v>
      </c>
      <c r="J2623" s="2">
        <v>6</v>
      </c>
      <c r="K2623" s="2" t="s">
        <v>123</v>
      </c>
      <c r="L2623" s="22">
        <v>17200</v>
      </c>
      <c r="M2623" s="22">
        <v>103200</v>
      </c>
      <c r="N2623" s="18">
        <v>110.37</v>
      </c>
      <c r="O2623" s="26">
        <v>45526</v>
      </c>
      <c r="P2623" s="2" t="s">
        <v>2105</v>
      </c>
      <c r="Q2623" s="2" t="s">
        <v>825</v>
      </c>
    </row>
    <row r="2624" spans="2:17" x14ac:dyDescent="0.25">
      <c r="B2624" s="2" t="s">
        <v>3429</v>
      </c>
      <c r="C2624" s="2" t="s">
        <v>283</v>
      </c>
      <c r="D2624" s="2" t="s">
        <v>284</v>
      </c>
      <c r="E2624" s="2" t="s">
        <v>256</v>
      </c>
      <c r="F2624" s="2" t="s">
        <v>535</v>
      </c>
      <c r="G2624" s="2" t="s">
        <v>475</v>
      </c>
      <c r="H2624" s="2" t="s">
        <v>476</v>
      </c>
      <c r="I2624" s="26">
        <v>45344</v>
      </c>
      <c r="J2624" s="2">
        <v>7</v>
      </c>
      <c r="K2624" s="2" t="s">
        <v>123</v>
      </c>
      <c r="L2624" s="22">
        <v>17200</v>
      </c>
      <c r="M2624" s="22">
        <v>120400</v>
      </c>
      <c r="N2624" s="18">
        <v>128.77000000000001</v>
      </c>
      <c r="O2624" s="26">
        <v>45554</v>
      </c>
      <c r="P2624" s="2" t="s">
        <v>2105</v>
      </c>
      <c r="Q2624" s="2" t="s">
        <v>825</v>
      </c>
    </row>
    <row r="2625" spans="2:17" x14ac:dyDescent="0.25">
      <c r="B2625" s="2" t="s">
        <v>3430</v>
      </c>
      <c r="C2625" s="2" t="s">
        <v>283</v>
      </c>
      <c r="D2625" s="2" t="s">
        <v>284</v>
      </c>
      <c r="E2625" s="2" t="s">
        <v>256</v>
      </c>
      <c r="F2625" s="2" t="s">
        <v>535</v>
      </c>
      <c r="G2625" s="2" t="s">
        <v>475</v>
      </c>
      <c r="H2625" s="2" t="s">
        <v>476</v>
      </c>
      <c r="I2625" s="26">
        <v>45363</v>
      </c>
      <c r="J2625" s="2">
        <v>7</v>
      </c>
      <c r="K2625" s="2" t="s">
        <v>123</v>
      </c>
      <c r="L2625" s="22">
        <v>17200</v>
      </c>
      <c r="M2625" s="22">
        <v>120400</v>
      </c>
      <c r="N2625" s="18">
        <v>128.77000000000001</v>
      </c>
      <c r="O2625" s="26">
        <v>45573</v>
      </c>
      <c r="P2625" s="2" t="s">
        <v>2105</v>
      </c>
      <c r="Q2625" s="2" t="s">
        <v>836</v>
      </c>
    </row>
    <row r="2626" spans="2:17" x14ac:dyDescent="0.25">
      <c r="B2626" s="2" t="s">
        <v>3431</v>
      </c>
      <c r="C2626" s="2" t="s">
        <v>283</v>
      </c>
      <c r="D2626" s="2" t="s">
        <v>284</v>
      </c>
      <c r="E2626" s="2" t="s">
        <v>256</v>
      </c>
      <c r="F2626" s="2" t="s">
        <v>535</v>
      </c>
      <c r="G2626" s="2" t="s">
        <v>475</v>
      </c>
      <c r="H2626" s="2" t="s">
        <v>476</v>
      </c>
      <c r="I2626" s="26">
        <v>45384</v>
      </c>
      <c r="J2626" s="2">
        <v>22</v>
      </c>
      <c r="K2626" s="2" t="s">
        <v>123</v>
      </c>
      <c r="L2626" s="22">
        <v>17200</v>
      </c>
      <c r="M2626" s="22">
        <v>378400</v>
      </c>
      <c r="N2626" s="18">
        <v>404.71</v>
      </c>
      <c r="O2626" s="26">
        <v>45594</v>
      </c>
      <c r="P2626" s="2" t="s">
        <v>2105</v>
      </c>
      <c r="Q2626" s="2" t="s">
        <v>836</v>
      </c>
    </row>
    <row r="2627" spans="2:17" x14ac:dyDescent="0.25">
      <c r="B2627" s="2" t="s">
        <v>3432</v>
      </c>
      <c r="C2627" s="2" t="s">
        <v>283</v>
      </c>
      <c r="D2627" s="2" t="s">
        <v>284</v>
      </c>
      <c r="E2627" s="2" t="s">
        <v>256</v>
      </c>
      <c r="F2627" s="2" t="s">
        <v>535</v>
      </c>
      <c r="G2627" s="2" t="s">
        <v>475</v>
      </c>
      <c r="H2627" s="2" t="s">
        <v>476</v>
      </c>
      <c r="I2627" s="26">
        <v>45404</v>
      </c>
      <c r="J2627" s="2">
        <v>18</v>
      </c>
      <c r="K2627" s="2" t="s">
        <v>123</v>
      </c>
      <c r="L2627" s="22">
        <v>17200</v>
      </c>
      <c r="M2627" s="22">
        <v>309600</v>
      </c>
      <c r="N2627" s="18">
        <v>331.12</v>
      </c>
      <c r="O2627" s="26">
        <v>45614</v>
      </c>
      <c r="P2627" s="2" t="s">
        <v>2105</v>
      </c>
      <c r="Q2627" s="2" t="s">
        <v>836</v>
      </c>
    </row>
    <row r="2628" spans="2:17" x14ac:dyDescent="0.25">
      <c r="B2628" s="2" t="s">
        <v>3433</v>
      </c>
      <c r="C2628" s="2" t="s">
        <v>283</v>
      </c>
      <c r="D2628" s="2" t="s">
        <v>284</v>
      </c>
      <c r="E2628" s="2" t="s">
        <v>256</v>
      </c>
      <c r="F2628" s="2" t="s">
        <v>535</v>
      </c>
      <c r="G2628" s="2" t="s">
        <v>475</v>
      </c>
      <c r="H2628" s="2" t="s">
        <v>476</v>
      </c>
      <c r="I2628" s="26">
        <v>45425</v>
      </c>
      <c r="J2628" s="2">
        <v>19</v>
      </c>
      <c r="K2628" s="2" t="s">
        <v>123</v>
      </c>
      <c r="L2628" s="22">
        <v>17200</v>
      </c>
      <c r="M2628" s="22">
        <v>326800</v>
      </c>
      <c r="N2628" s="18">
        <v>349.52</v>
      </c>
      <c r="O2628" s="26">
        <v>45635</v>
      </c>
      <c r="P2628" s="2" t="s">
        <v>2105</v>
      </c>
      <c r="Q2628" s="2" t="s">
        <v>836</v>
      </c>
    </row>
    <row r="2629" spans="2:17" x14ac:dyDescent="0.25">
      <c r="B2629" s="2" t="s">
        <v>3434</v>
      </c>
      <c r="C2629" s="2" t="s">
        <v>283</v>
      </c>
      <c r="D2629" s="2" t="s">
        <v>284</v>
      </c>
      <c r="E2629" s="2" t="s">
        <v>256</v>
      </c>
      <c r="F2629" s="2" t="s">
        <v>535</v>
      </c>
      <c r="G2629" s="2" t="s">
        <v>475</v>
      </c>
      <c r="H2629" s="2" t="s">
        <v>476</v>
      </c>
      <c r="I2629" s="26">
        <v>45444</v>
      </c>
      <c r="J2629" s="2">
        <v>21</v>
      </c>
      <c r="K2629" s="2" t="s">
        <v>123</v>
      </c>
      <c r="L2629" s="22">
        <v>17200</v>
      </c>
      <c r="M2629" s="22">
        <v>361200</v>
      </c>
      <c r="N2629" s="18">
        <v>386.31</v>
      </c>
      <c r="O2629" s="26">
        <v>45654</v>
      </c>
      <c r="P2629" s="2" t="s">
        <v>2105</v>
      </c>
      <c r="Q2629" s="2" t="s">
        <v>806</v>
      </c>
    </row>
    <row r="2630" spans="2:17" x14ac:dyDescent="0.25">
      <c r="B2630" s="2" t="s">
        <v>3435</v>
      </c>
      <c r="C2630" s="2" t="s">
        <v>283</v>
      </c>
      <c r="D2630" s="2" t="s">
        <v>284</v>
      </c>
      <c r="E2630" s="2" t="s">
        <v>256</v>
      </c>
      <c r="F2630" s="2" t="s">
        <v>535</v>
      </c>
      <c r="G2630" s="2" t="s">
        <v>475</v>
      </c>
      <c r="H2630" s="2" t="s">
        <v>476</v>
      </c>
      <c r="I2630" s="26">
        <v>45468</v>
      </c>
      <c r="J2630" s="2">
        <v>18</v>
      </c>
      <c r="K2630" s="2" t="s">
        <v>123</v>
      </c>
      <c r="L2630" s="22">
        <v>17200</v>
      </c>
      <c r="M2630" s="22">
        <v>309600</v>
      </c>
      <c r="N2630" s="18">
        <v>331.12</v>
      </c>
      <c r="O2630" s="26">
        <v>45678</v>
      </c>
      <c r="P2630" s="2" t="s">
        <v>2105</v>
      </c>
      <c r="Q2630" s="2" t="s">
        <v>806</v>
      </c>
    </row>
    <row r="2631" spans="2:17" x14ac:dyDescent="0.25">
      <c r="B2631" s="2" t="s">
        <v>3436</v>
      </c>
      <c r="C2631" s="2" t="s">
        <v>283</v>
      </c>
      <c r="D2631" s="2" t="s">
        <v>284</v>
      </c>
      <c r="E2631" s="2" t="s">
        <v>256</v>
      </c>
      <c r="F2631" s="2" t="s">
        <v>535</v>
      </c>
      <c r="G2631" s="2" t="s">
        <v>475</v>
      </c>
      <c r="H2631" s="2" t="s">
        <v>476</v>
      </c>
      <c r="I2631" s="26">
        <v>45483</v>
      </c>
      <c r="J2631" s="2">
        <v>17</v>
      </c>
      <c r="K2631" s="2" t="s">
        <v>123</v>
      </c>
      <c r="L2631" s="22">
        <v>17200</v>
      </c>
      <c r="M2631" s="22">
        <v>292400</v>
      </c>
      <c r="N2631" s="18">
        <v>312.73</v>
      </c>
      <c r="O2631" s="26">
        <v>45693</v>
      </c>
      <c r="P2631" s="2" t="s">
        <v>2105</v>
      </c>
      <c r="Q2631" s="2" t="s">
        <v>806</v>
      </c>
    </row>
    <row r="2632" spans="2:17" x14ac:dyDescent="0.25">
      <c r="B2632" s="2" t="s">
        <v>3437</v>
      </c>
      <c r="C2632" s="2" t="s">
        <v>283</v>
      </c>
      <c r="D2632" s="2" t="s">
        <v>284</v>
      </c>
      <c r="E2632" s="2" t="s">
        <v>256</v>
      </c>
      <c r="F2632" s="2" t="s">
        <v>535</v>
      </c>
      <c r="G2632" s="2" t="s">
        <v>475</v>
      </c>
      <c r="H2632" s="2" t="s">
        <v>476</v>
      </c>
      <c r="I2632" s="26">
        <v>45506</v>
      </c>
      <c r="J2632" s="2">
        <v>17</v>
      </c>
      <c r="K2632" s="2" t="s">
        <v>123</v>
      </c>
      <c r="L2632" s="22">
        <v>17200</v>
      </c>
      <c r="M2632" s="22">
        <v>292400</v>
      </c>
      <c r="N2632" s="18">
        <v>312.73</v>
      </c>
      <c r="O2632" s="26">
        <v>45716</v>
      </c>
      <c r="P2632" s="2" t="s">
        <v>2105</v>
      </c>
      <c r="Q2632" s="2" t="s">
        <v>806</v>
      </c>
    </row>
    <row r="2633" spans="2:17" x14ac:dyDescent="0.25">
      <c r="B2633" s="2" t="s">
        <v>3438</v>
      </c>
      <c r="C2633" s="2" t="s">
        <v>283</v>
      </c>
      <c r="D2633" s="2" t="s">
        <v>284</v>
      </c>
      <c r="E2633" s="2" t="s">
        <v>256</v>
      </c>
      <c r="F2633" s="2" t="s">
        <v>535</v>
      </c>
      <c r="G2633" s="2" t="s">
        <v>475</v>
      </c>
      <c r="H2633" s="2" t="s">
        <v>476</v>
      </c>
      <c r="I2633" s="26">
        <v>45528</v>
      </c>
      <c r="J2633" s="2">
        <v>18</v>
      </c>
      <c r="K2633" s="2" t="s">
        <v>123</v>
      </c>
      <c r="L2633" s="22">
        <v>17200</v>
      </c>
      <c r="M2633" s="22">
        <v>309600</v>
      </c>
      <c r="N2633" s="18">
        <v>331.12</v>
      </c>
      <c r="O2633" s="26">
        <v>45738</v>
      </c>
      <c r="P2633" s="2" t="s">
        <v>2105</v>
      </c>
      <c r="Q2633" s="2" t="s">
        <v>806</v>
      </c>
    </row>
    <row r="2634" spans="2:17" x14ac:dyDescent="0.25">
      <c r="B2634" s="2" t="s">
        <v>3439</v>
      </c>
      <c r="C2634" s="2" t="s">
        <v>283</v>
      </c>
      <c r="D2634" s="2" t="s">
        <v>284</v>
      </c>
      <c r="E2634" s="2" t="s">
        <v>256</v>
      </c>
      <c r="F2634" s="2" t="s">
        <v>535</v>
      </c>
      <c r="G2634" s="2" t="s">
        <v>475</v>
      </c>
      <c r="H2634" s="2" t="s">
        <v>476</v>
      </c>
      <c r="I2634" s="26">
        <v>45554</v>
      </c>
      <c r="J2634" s="2">
        <v>23</v>
      </c>
      <c r="K2634" s="2" t="s">
        <v>123</v>
      </c>
      <c r="L2634" s="22">
        <v>17200</v>
      </c>
      <c r="M2634" s="22">
        <v>395600</v>
      </c>
      <c r="N2634" s="18">
        <v>423.1</v>
      </c>
      <c r="O2634" s="26">
        <v>45764</v>
      </c>
      <c r="P2634" s="2" t="s">
        <v>2105</v>
      </c>
      <c r="Q2634" s="2" t="s">
        <v>814</v>
      </c>
    </row>
    <row r="2635" spans="2:17" x14ac:dyDescent="0.25">
      <c r="B2635" s="2" t="s">
        <v>3440</v>
      </c>
      <c r="C2635" s="2" t="s">
        <v>283</v>
      </c>
      <c r="D2635" s="2" t="s">
        <v>284</v>
      </c>
      <c r="E2635" s="2" t="s">
        <v>256</v>
      </c>
      <c r="F2635" s="2" t="s">
        <v>535</v>
      </c>
      <c r="G2635" s="2" t="s">
        <v>475</v>
      </c>
      <c r="H2635" s="2" t="s">
        <v>476</v>
      </c>
      <c r="I2635" s="26">
        <v>45572</v>
      </c>
      <c r="J2635" s="2">
        <v>6</v>
      </c>
      <c r="K2635" s="2" t="s">
        <v>123</v>
      </c>
      <c r="L2635" s="22">
        <v>17200</v>
      </c>
      <c r="M2635" s="22">
        <v>103200</v>
      </c>
      <c r="N2635" s="18">
        <v>110.37</v>
      </c>
      <c r="O2635" s="26">
        <v>45782</v>
      </c>
      <c r="P2635" s="2" t="s">
        <v>2105</v>
      </c>
      <c r="Q2635" s="2" t="s">
        <v>814</v>
      </c>
    </row>
    <row r="2636" spans="2:17" x14ac:dyDescent="0.25">
      <c r="B2636" s="2" t="s">
        <v>3441</v>
      </c>
      <c r="C2636" s="2" t="s">
        <v>283</v>
      </c>
      <c r="D2636" s="2" t="s">
        <v>284</v>
      </c>
      <c r="E2636" s="2" t="s">
        <v>256</v>
      </c>
      <c r="F2636" s="2" t="s">
        <v>535</v>
      </c>
      <c r="G2636" s="2" t="s">
        <v>475</v>
      </c>
      <c r="H2636" s="2" t="s">
        <v>476</v>
      </c>
      <c r="I2636" s="26">
        <v>45591</v>
      </c>
      <c r="J2636" s="2">
        <v>7</v>
      </c>
      <c r="K2636" s="2" t="s">
        <v>123</v>
      </c>
      <c r="L2636" s="22">
        <v>17200</v>
      </c>
      <c r="M2636" s="22">
        <v>120400</v>
      </c>
      <c r="N2636" s="18">
        <v>128.77000000000001</v>
      </c>
      <c r="O2636" s="26">
        <v>45801</v>
      </c>
      <c r="P2636" s="2" t="s">
        <v>2105</v>
      </c>
      <c r="Q2636" s="2" t="s">
        <v>814</v>
      </c>
    </row>
    <row r="2637" spans="2:17" x14ac:dyDescent="0.25">
      <c r="B2637" s="2" t="s">
        <v>3442</v>
      </c>
      <c r="C2637" s="2" t="s">
        <v>283</v>
      </c>
      <c r="D2637" s="2" t="s">
        <v>284</v>
      </c>
      <c r="E2637" s="2" t="s">
        <v>256</v>
      </c>
      <c r="F2637" s="2" t="s">
        <v>535</v>
      </c>
      <c r="G2637" s="2" t="s">
        <v>475</v>
      </c>
      <c r="H2637" s="2" t="s">
        <v>476</v>
      </c>
      <c r="I2637" s="26">
        <v>45615</v>
      </c>
      <c r="J2637" s="2">
        <v>8</v>
      </c>
      <c r="K2637" s="2" t="s">
        <v>123</v>
      </c>
      <c r="L2637" s="22">
        <v>17200</v>
      </c>
      <c r="M2637" s="22">
        <v>137600</v>
      </c>
      <c r="N2637" s="18">
        <v>147.16999999999999</v>
      </c>
      <c r="O2637" s="26">
        <v>45825</v>
      </c>
      <c r="P2637" s="2" t="s">
        <v>2105</v>
      </c>
      <c r="Q2637" s="2" t="s">
        <v>814</v>
      </c>
    </row>
    <row r="2638" spans="2:17" x14ac:dyDescent="0.25">
      <c r="B2638" s="2" t="s">
        <v>3443</v>
      </c>
      <c r="C2638" s="2" t="s">
        <v>283</v>
      </c>
      <c r="D2638" s="2" t="s">
        <v>284</v>
      </c>
      <c r="E2638" s="2" t="s">
        <v>256</v>
      </c>
      <c r="F2638" s="2" t="s">
        <v>537</v>
      </c>
      <c r="G2638" s="2" t="s">
        <v>485</v>
      </c>
      <c r="H2638" s="2" t="s">
        <v>486</v>
      </c>
      <c r="I2638" s="26">
        <v>45628</v>
      </c>
      <c r="J2638" s="2">
        <v>8</v>
      </c>
      <c r="K2638" s="2" t="s">
        <v>123</v>
      </c>
      <c r="L2638" s="22">
        <v>18600</v>
      </c>
      <c r="M2638" s="22">
        <v>148800</v>
      </c>
      <c r="N2638" s="18">
        <v>159.13999999999999</v>
      </c>
      <c r="O2638" s="26">
        <v>45838</v>
      </c>
      <c r="P2638" s="2" t="s">
        <v>2105</v>
      </c>
      <c r="Q2638" s="2" t="s">
        <v>825</v>
      </c>
    </row>
    <row r="2639" spans="2:17" x14ac:dyDescent="0.25">
      <c r="B2639" s="2" t="s">
        <v>3444</v>
      </c>
      <c r="C2639" s="2" t="s">
        <v>283</v>
      </c>
      <c r="D2639" s="2" t="s">
        <v>284</v>
      </c>
      <c r="E2639" s="2" t="s">
        <v>256</v>
      </c>
      <c r="F2639" s="2" t="s">
        <v>535</v>
      </c>
      <c r="G2639" s="2" t="s">
        <v>475</v>
      </c>
      <c r="H2639" s="2" t="s">
        <v>476</v>
      </c>
      <c r="I2639" s="26">
        <v>45649</v>
      </c>
      <c r="J2639" s="2">
        <v>9</v>
      </c>
      <c r="K2639" s="2" t="s">
        <v>123</v>
      </c>
      <c r="L2639" s="22">
        <v>17200</v>
      </c>
      <c r="M2639" s="22">
        <v>154800</v>
      </c>
      <c r="N2639" s="18">
        <v>165.56</v>
      </c>
      <c r="O2639" s="26">
        <v>45859</v>
      </c>
      <c r="P2639" s="2" t="s">
        <v>2105</v>
      </c>
      <c r="Q2639" s="2" t="s">
        <v>825</v>
      </c>
    </row>
    <row r="2640" spans="2:17" x14ac:dyDescent="0.25">
      <c r="B2640" s="2" t="s">
        <v>3445</v>
      </c>
      <c r="C2640" s="2" t="s">
        <v>283</v>
      </c>
      <c r="D2640" s="2" t="s">
        <v>284</v>
      </c>
      <c r="E2640" s="2" t="s">
        <v>256</v>
      </c>
      <c r="F2640" s="2" t="s">
        <v>535</v>
      </c>
      <c r="G2640" s="2" t="s">
        <v>475</v>
      </c>
      <c r="H2640" s="2" t="s">
        <v>476</v>
      </c>
      <c r="I2640" s="26">
        <v>45671</v>
      </c>
      <c r="J2640" s="2">
        <v>9</v>
      </c>
      <c r="K2640" s="2" t="s">
        <v>123</v>
      </c>
      <c r="L2640" s="22">
        <v>17200</v>
      </c>
      <c r="M2640" s="22">
        <v>154800</v>
      </c>
      <c r="N2640" s="18">
        <v>165.56</v>
      </c>
      <c r="O2640" s="26">
        <v>45881</v>
      </c>
      <c r="P2640" s="2" t="s">
        <v>2105</v>
      </c>
      <c r="Q2640" s="2" t="s">
        <v>825</v>
      </c>
    </row>
    <row r="2641" spans="2:17" x14ac:dyDescent="0.25">
      <c r="B2641" s="2" t="s">
        <v>3446</v>
      </c>
      <c r="C2641" s="2" t="s">
        <v>283</v>
      </c>
      <c r="D2641" s="2" t="s">
        <v>284</v>
      </c>
      <c r="E2641" s="2" t="s">
        <v>256</v>
      </c>
      <c r="F2641" s="2" t="s">
        <v>537</v>
      </c>
      <c r="G2641" s="2" t="s">
        <v>485</v>
      </c>
      <c r="H2641" s="2" t="s">
        <v>486</v>
      </c>
      <c r="I2641" s="26">
        <v>45693</v>
      </c>
      <c r="J2641" s="2">
        <v>7</v>
      </c>
      <c r="K2641" s="2" t="s">
        <v>123</v>
      </c>
      <c r="L2641" s="22">
        <v>18600</v>
      </c>
      <c r="M2641" s="22">
        <v>130200</v>
      </c>
      <c r="N2641" s="18">
        <v>139.25</v>
      </c>
      <c r="O2641" s="26">
        <v>45903</v>
      </c>
      <c r="P2641" s="2" t="s">
        <v>2105</v>
      </c>
      <c r="Q2641" s="2" t="s">
        <v>825</v>
      </c>
    </row>
    <row r="2642" spans="2:17" x14ac:dyDescent="0.25">
      <c r="B2642" s="2" t="s">
        <v>3447</v>
      </c>
      <c r="C2642" s="2" t="s">
        <v>283</v>
      </c>
      <c r="D2642" s="2" t="s">
        <v>284</v>
      </c>
      <c r="E2642" s="2" t="s">
        <v>256</v>
      </c>
      <c r="F2642" s="2" t="s">
        <v>535</v>
      </c>
      <c r="G2642" s="2" t="s">
        <v>475</v>
      </c>
      <c r="H2642" s="2" t="s">
        <v>476</v>
      </c>
      <c r="I2642" s="26">
        <v>45712</v>
      </c>
      <c r="J2642" s="2">
        <v>8</v>
      </c>
      <c r="K2642" s="2" t="s">
        <v>123</v>
      </c>
      <c r="L2642" s="22">
        <v>17200</v>
      </c>
      <c r="M2642" s="22">
        <v>137600</v>
      </c>
      <c r="N2642" s="18">
        <v>147.16999999999999</v>
      </c>
      <c r="O2642" s="26">
        <v>45922</v>
      </c>
      <c r="P2642" s="2" t="s">
        <v>2105</v>
      </c>
      <c r="Q2642" s="2" t="s">
        <v>825</v>
      </c>
    </row>
    <row r="2643" spans="2:17" x14ac:dyDescent="0.25">
      <c r="B2643" s="2" t="s">
        <v>3448</v>
      </c>
      <c r="C2643" s="2" t="s">
        <v>283</v>
      </c>
      <c r="D2643" s="2" t="s">
        <v>284</v>
      </c>
      <c r="E2643" s="2" t="s">
        <v>256</v>
      </c>
      <c r="F2643" s="2" t="s">
        <v>535</v>
      </c>
      <c r="G2643" s="2" t="s">
        <v>475</v>
      </c>
      <c r="H2643" s="2" t="s">
        <v>476</v>
      </c>
      <c r="I2643" s="26">
        <v>45730</v>
      </c>
      <c r="J2643" s="2">
        <v>7</v>
      </c>
      <c r="K2643" s="2" t="s">
        <v>123</v>
      </c>
      <c r="L2643" s="22">
        <v>17200</v>
      </c>
      <c r="M2643" s="22">
        <v>120400</v>
      </c>
      <c r="N2643" s="18">
        <v>128.77000000000001</v>
      </c>
      <c r="O2643" s="26">
        <v>45940</v>
      </c>
      <c r="P2643" s="2" t="s">
        <v>2105</v>
      </c>
      <c r="Q2643" s="2" t="s">
        <v>836</v>
      </c>
    </row>
    <row r="2644" spans="2:17" x14ac:dyDescent="0.25">
      <c r="B2644" s="2" t="s">
        <v>3449</v>
      </c>
      <c r="C2644" s="2" t="s">
        <v>283</v>
      </c>
      <c r="D2644" s="2" t="s">
        <v>284</v>
      </c>
      <c r="E2644" s="2" t="s">
        <v>256</v>
      </c>
      <c r="F2644" s="2" t="s">
        <v>535</v>
      </c>
      <c r="G2644" s="2" t="s">
        <v>475</v>
      </c>
      <c r="H2644" s="2" t="s">
        <v>476</v>
      </c>
      <c r="I2644" s="26">
        <v>45746</v>
      </c>
      <c r="J2644" s="2">
        <v>7</v>
      </c>
      <c r="K2644" s="2" t="s">
        <v>123</v>
      </c>
      <c r="L2644" s="22">
        <v>17200</v>
      </c>
      <c r="M2644" s="22">
        <v>120400</v>
      </c>
      <c r="N2644" s="18">
        <v>128.77000000000001</v>
      </c>
      <c r="O2644" s="26">
        <v>45956</v>
      </c>
      <c r="P2644" s="2" t="s">
        <v>2105</v>
      </c>
      <c r="Q2644" s="2" t="s">
        <v>836</v>
      </c>
    </row>
    <row r="2645" spans="2:17" x14ac:dyDescent="0.25">
      <c r="B2645" s="2" t="s">
        <v>3450</v>
      </c>
      <c r="C2645" s="2" t="s">
        <v>283</v>
      </c>
      <c r="D2645" s="2" t="s">
        <v>284</v>
      </c>
      <c r="E2645" s="2" t="s">
        <v>256</v>
      </c>
      <c r="F2645" s="2" t="s">
        <v>535</v>
      </c>
      <c r="G2645" s="2" t="s">
        <v>475</v>
      </c>
      <c r="H2645" s="2" t="s">
        <v>476</v>
      </c>
      <c r="I2645" s="26">
        <v>45760</v>
      </c>
      <c r="J2645" s="2">
        <v>18</v>
      </c>
      <c r="K2645" s="2" t="s">
        <v>123</v>
      </c>
      <c r="L2645" s="22">
        <v>17200</v>
      </c>
      <c r="M2645" s="22">
        <v>309600</v>
      </c>
      <c r="N2645" s="18">
        <v>331.12</v>
      </c>
      <c r="O2645" s="26">
        <v>45970</v>
      </c>
      <c r="P2645" s="2" t="s">
        <v>2105</v>
      </c>
      <c r="Q2645" s="2" t="s">
        <v>836</v>
      </c>
    </row>
    <row r="2646" spans="2:17" x14ac:dyDescent="0.25">
      <c r="B2646" s="2" t="s">
        <v>3451</v>
      </c>
      <c r="C2646" s="2" t="s">
        <v>283</v>
      </c>
      <c r="D2646" s="2" t="s">
        <v>284</v>
      </c>
      <c r="E2646" s="2" t="s">
        <v>256</v>
      </c>
      <c r="F2646" s="2" t="s">
        <v>535</v>
      </c>
      <c r="G2646" s="2" t="s">
        <v>475</v>
      </c>
      <c r="H2646" s="2" t="s">
        <v>476</v>
      </c>
      <c r="I2646" s="26">
        <v>45781</v>
      </c>
      <c r="J2646" s="2">
        <v>19</v>
      </c>
      <c r="K2646" s="2" t="s">
        <v>123</v>
      </c>
      <c r="L2646" s="22">
        <v>17200</v>
      </c>
      <c r="M2646" s="22">
        <v>326800</v>
      </c>
      <c r="N2646" s="18">
        <v>349.52</v>
      </c>
      <c r="O2646" s="26">
        <v>45991</v>
      </c>
      <c r="P2646" s="2" t="s">
        <v>2105</v>
      </c>
      <c r="Q2646" s="2" t="s">
        <v>836</v>
      </c>
    </row>
    <row r="2647" spans="2:17" x14ac:dyDescent="0.25">
      <c r="B2647" s="2" t="s">
        <v>3452</v>
      </c>
      <c r="C2647" s="2" t="s">
        <v>283</v>
      </c>
      <c r="D2647" s="2" t="s">
        <v>284</v>
      </c>
      <c r="E2647" s="2" t="s">
        <v>256</v>
      </c>
      <c r="F2647" s="2" t="s">
        <v>535</v>
      </c>
      <c r="G2647" s="2" t="s">
        <v>475</v>
      </c>
      <c r="H2647" s="2" t="s">
        <v>476</v>
      </c>
      <c r="I2647" s="26">
        <v>45799</v>
      </c>
      <c r="J2647" s="2">
        <v>18</v>
      </c>
      <c r="K2647" s="2" t="s">
        <v>123</v>
      </c>
      <c r="L2647" s="22">
        <v>17200</v>
      </c>
      <c r="M2647" s="22">
        <v>309600</v>
      </c>
      <c r="N2647" s="18">
        <v>331.12</v>
      </c>
      <c r="O2647" s="26">
        <v>46009</v>
      </c>
      <c r="P2647" s="2" t="s">
        <v>2105</v>
      </c>
      <c r="Q2647" s="2" t="s">
        <v>836</v>
      </c>
    </row>
    <row r="2648" spans="2:17" x14ac:dyDescent="0.25">
      <c r="B2648" s="2" t="s">
        <v>3453</v>
      </c>
      <c r="C2648" s="2" t="s">
        <v>283</v>
      </c>
      <c r="D2648" s="2" t="s">
        <v>284</v>
      </c>
      <c r="E2648" s="2" t="s">
        <v>256</v>
      </c>
      <c r="F2648" s="2" t="s">
        <v>535</v>
      </c>
      <c r="G2648" s="2" t="s">
        <v>475</v>
      </c>
      <c r="H2648" s="2" t="s">
        <v>476</v>
      </c>
      <c r="I2648" s="26">
        <v>45821</v>
      </c>
      <c r="J2648" s="2">
        <v>19</v>
      </c>
      <c r="K2648" s="2" t="s">
        <v>123</v>
      </c>
      <c r="L2648" s="22">
        <v>17200</v>
      </c>
      <c r="M2648" s="22">
        <v>326800</v>
      </c>
      <c r="N2648" s="18">
        <v>349.52</v>
      </c>
      <c r="O2648" s="26">
        <v>46031</v>
      </c>
      <c r="P2648" s="2" t="s">
        <v>2105</v>
      </c>
      <c r="Q2648" s="2" t="s">
        <v>806</v>
      </c>
    </row>
    <row r="2649" spans="2:17" x14ac:dyDescent="0.25">
      <c r="B2649" s="2" t="s">
        <v>3454</v>
      </c>
      <c r="C2649" s="2" t="s">
        <v>285</v>
      </c>
      <c r="D2649" s="2" t="s">
        <v>286</v>
      </c>
      <c r="E2649" s="2" t="s">
        <v>287</v>
      </c>
      <c r="F2649" s="2" t="s">
        <v>535</v>
      </c>
      <c r="G2649" s="2" t="s">
        <v>475</v>
      </c>
      <c r="H2649" s="2" t="s">
        <v>476</v>
      </c>
      <c r="I2649" s="26">
        <v>45114</v>
      </c>
      <c r="J2649" s="2">
        <v>11</v>
      </c>
      <c r="K2649" s="2" t="s">
        <v>123</v>
      </c>
      <c r="L2649" s="22">
        <v>2800</v>
      </c>
      <c r="M2649" s="22">
        <v>30800</v>
      </c>
      <c r="N2649" s="18">
        <v>32.94</v>
      </c>
      <c r="O2649" s="26">
        <v>45354</v>
      </c>
      <c r="P2649" s="2" t="s">
        <v>2105</v>
      </c>
      <c r="Q2649" s="2" t="s">
        <v>806</v>
      </c>
    </row>
    <row r="2650" spans="2:17" x14ac:dyDescent="0.25">
      <c r="B2650" s="2" t="s">
        <v>3455</v>
      </c>
      <c r="C2650" s="2" t="s">
        <v>285</v>
      </c>
      <c r="D2650" s="2" t="s">
        <v>286</v>
      </c>
      <c r="E2650" s="2" t="s">
        <v>287</v>
      </c>
      <c r="F2650" s="2" t="s">
        <v>535</v>
      </c>
      <c r="G2650" s="2" t="s">
        <v>475</v>
      </c>
      <c r="H2650" s="2" t="s">
        <v>476</v>
      </c>
      <c r="I2650" s="26">
        <v>45149</v>
      </c>
      <c r="J2650" s="2">
        <v>11</v>
      </c>
      <c r="K2650" s="2" t="s">
        <v>123</v>
      </c>
      <c r="L2650" s="22">
        <v>2800</v>
      </c>
      <c r="M2650" s="22">
        <v>30800</v>
      </c>
      <c r="N2650" s="18">
        <v>32.94</v>
      </c>
      <c r="O2650" s="26">
        <v>45389</v>
      </c>
      <c r="P2650" s="2" t="s">
        <v>2105</v>
      </c>
      <c r="Q2650" s="2" t="s">
        <v>806</v>
      </c>
    </row>
    <row r="2651" spans="2:17" x14ac:dyDescent="0.25">
      <c r="B2651" s="2" t="s">
        <v>3456</v>
      </c>
      <c r="C2651" s="2" t="s">
        <v>285</v>
      </c>
      <c r="D2651" s="2" t="s">
        <v>286</v>
      </c>
      <c r="E2651" s="2" t="s">
        <v>287</v>
      </c>
      <c r="F2651" s="2" t="s">
        <v>535</v>
      </c>
      <c r="G2651" s="2" t="s">
        <v>475</v>
      </c>
      <c r="H2651" s="2" t="s">
        <v>476</v>
      </c>
      <c r="I2651" s="26">
        <v>45177</v>
      </c>
      <c r="J2651" s="2">
        <v>13</v>
      </c>
      <c r="K2651" s="2" t="s">
        <v>123</v>
      </c>
      <c r="L2651" s="22">
        <v>2800</v>
      </c>
      <c r="M2651" s="22">
        <v>36400</v>
      </c>
      <c r="N2651" s="18">
        <v>38.93</v>
      </c>
      <c r="O2651" s="26">
        <v>45417</v>
      </c>
      <c r="P2651" s="2" t="s">
        <v>2105</v>
      </c>
      <c r="Q2651" s="2" t="s">
        <v>814</v>
      </c>
    </row>
    <row r="2652" spans="2:17" x14ac:dyDescent="0.25">
      <c r="B2652" s="2" t="s">
        <v>3457</v>
      </c>
      <c r="C2652" s="2" t="s">
        <v>285</v>
      </c>
      <c r="D2652" s="2" t="s">
        <v>286</v>
      </c>
      <c r="E2652" s="2" t="s">
        <v>287</v>
      </c>
      <c r="F2652" s="2" t="s">
        <v>537</v>
      </c>
      <c r="G2652" s="2" t="s">
        <v>490</v>
      </c>
      <c r="H2652" s="2" t="s">
        <v>491</v>
      </c>
      <c r="I2652" s="26">
        <v>45206</v>
      </c>
      <c r="J2652" s="2">
        <v>9</v>
      </c>
      <c r="K2652" s="2" t="s">
        <v>123</v>
      </c>
      <c r="L2652" s="22">
        <v>3050</v>
      </c>
      <c r="M2652" s="22">
        <v>27450</v>
      </c>
      <c r="N2652" s="18">
        <v>29.36</v>
      </c>
      <c r="O2652" s="26">
        <v>45446</v>
      </c>
      <c r="P2652" s="2" t="s">
        <v>2105</v>
      </c>
      <c r="Q2652" s="2" t="s">
        <v>814</v>
      </c>
    </row>
    <row r="2653" spans="2:17" x14ac:dyDescent="0.25">
      <c r="B2653" s="2" t="s">
        <v>3458</v>
      </c>
      <c r="C2653" s="2" t="s">
        <v>285</v>
      </c>
      <c r="D2653" s="2" t="s">
        <v>286</v>
      </c>
      <c r="E2653" s="2" t="s">
        <v>287</v>
      </c>
      <c r="F2653" s="2" t="s">
        <v>535</v>
      </c>
      <c r="G2653" s="2" t="s">
        <v>475</v>
      </c>
      <c r="H2653" s="2" t="s">
        <v>476</v>
      </c>
      <c r="I2653" s="26">
        <v>45238</v>
      </c>
      <c r="J2653" s="2">
        <v>11</v>
      </c>
      <c r="K2653" s="2" t="s">
        <v>123</v>
      </c>
      <c r="L2653" s="22">
        <v>2800</v>
      </c>
      <c r="M2653" s="22">
        <v>30800</v>
      </c>
      <c r="N2653" s="18">
        <v>32.94</v>
      </c>
      <c r="O2653" s="26">
        <v>45478</v>
      </c>
      <c r="P2653" s="2" t="s">
        <v>2105</v>
      </c>
      <c r="Q2653" s="2" t="s">
        <v>814</v>
      </c>
    </row>
    <row r="2654" spans="2:17" x14ac:dyDescent="0.25">
      <c r="B2654" s="2" t="s">
        <v>3459</v>
      </c>
      <c r="C2654" s="2" t="s">
        <v>285</v>
      </c>
      <c r="D2654" s="2" t="s">
        <v>286</v>
      </c>
      <c r="E2654" s="2" t="s">
        <v>287</v>
      </c>
      <c r="F2654" s="2" t="s">
        <v>535</v>
      </c>
      <c r="G2654" s="2" t="s">
        <v>475</v>
      </c>
      <c r="H2654" s="2" t="s">
        <v>476</v>
      </c>
      <c r="I2654" s="26">
        <v>45270</v>
      </c>
      <c r="J2654" s="2">
        <v>14</v>
      </c>
      <c r="K2654" s="2" t="s">
        <v>123</v>
      </c>
      <c r="L2654" s="22">
        <v>2800</v>
      </c>
      <c r="M2654" s="22">
        <v>39200</v>
      </c>
      <c r="N2654" s="18">
        <v>41.93</v>
      </c>
      <c r="O2654" s="26">
        <v>45510</v>
      </c>
      <c r="P2654" s="2" t="s">
        <v>2105</v>
      </c>
      <c r="Q2654" s="2" t="s">
        <v>825</v>
      </c>
    </row>
    <row r="2655" spans="2:17" x14ac:dyDescent="0.25">
      <c r="B2655" s="2" t="s">
        <v>3460</v>
      </c>
      <c r="C2655" s="2" t="s">
        <v>285</v>
      </c>
      <c r="D2655" s="2" t="s">
        <v>286</v>
      </c>
      <c r="E2655" s="2" t="s">
        <v>287</v>
      </c>
      <c r="F2655" s="2" t="s">
        <v>535</v>
      </c>
      <c r="G2655" s="2" t="s">
        <v>475</v>
      </c>
      <c r="H2655" s="2" t="s">
        <v>476</v>
      </c>
      <c r="I2655" s="26">
        <v>45292</v>
      </c>
      <c r="J2655" s="2">
        <v>10</v>
      </c>
      <c r="K2655" s="2" t="s">
        <v>123</v>
      </c>
      <c r="L2655" s="22">
        <v>2800</v>
      </c>
      <c r="M2655" s="22">
        <v>28000</v>
      </c>
      <c r="N2655" s="18">
        <v>29.95</v>
      </c>
      <c r="O2655" s="26">
        <v>45532</v>
      </c>
      <c r="P2655" s="2" t="s">
        <v>2105</v>
      </c>
      <c r="Q2655" s="2" t="s">
        <v>825</v>
      </c>
    </row>
    <row r="2656" spans="2:17" x14ac:dyDescent="0.25">
      <c r="B2656" s="2" t="s">
        <v>3461</v>
      </c>
      <c r="C2656" s="2" t="s">
        <v>285</v>
      </c>
      <c r="D2656" s="2" t="s">
        <v>286</v>
      </c>
      <c r="E2656" s="2" t="s">
        <v>287</v>
      </c>
      <c r="F2656" s="2" t="s">
        <v>535</v>
      </c>
      <c r="G2656" s="2" t="s">
        <v>475</v>
      </c>
      <c r="H2656" s="2" t="s">
        <v>476</v>
      </c>
      <c r="I2656" s="26">
        <v>45333</v>
      </c>
      <c r="J2656" s="2">
        <v>9</v>
      </c>
      <c r="K2656" s="2" t="s">
        <v>123</v>
      </c>
      <c r="L2656" s="22">
        <v>2800</v>
      </c>
      <c r="M2656" s="22">
        <v>25200</v>
      </c>
      <c r="N2656" s="18">
        <v>26.95</v>
      </c>
      <c r="O2656" s="26">
        <v>45573</v>
      </c>
      <c r="P2656" s="2" t="s">
        <v>2105</v>
      </c>
      <c r="Q2656" s="2" t="s">
        <v>825</v>
      </c>
    </row>
    <row r="2657" spans="2:17" x14ac:dyDescent="0.25">
      <c r="B2657" s="2" t="s">
        <v>3462</v>
      </c>
      <c r="C2657" s="2" t="s">
        <v>285</v>
      </c>
      <c r="D2657" s="2" t="s">
        <v>286</v>
      </c>
      <c r="E2657" s="2" t="s">
        <v>287</v>
      </c>
      <c r="F2657" s="2" t="s">
        <v>537</v>
      </c>
      <c r="G2657" s="2" t="s">
        <v>490</v>
      </c>
      <c r="H2657" s="2" t="s">
        <v>491</v>
      </c>
      <c r="I2657" s="26">
        <v>45370</v>
      </c>
      <c r="J2657" s="2">
        <v>10</v>
      </c>
      <c r="K2657" s="2" t="s">
        <v>123</v>
      </c>
      <c r="L2657" s="22">
        <v>3050</v>
      </c>
      <c r="M2657" s="22">
        <v>30500</v>
      </c>
      <c r="N2657" s="18">
        <v>32.619999999999997</v>
      </c>
      <c r="O2657" s="26">
        <v>45610</v>
      </c>
      <c r="P2657" s="2" t="s">
        <v>2105</v>
      </c>
      <c r="Q2657" s="2" t="s">
        <v>836</v>
      </c>
    </row>
    <row r="2658" spans="2:17" x14ac:dyDescent="0.25">
      <c r="B2658" s="2" t="s">
        <v>3463</v>
      </c>
      <c r="C2658" s="2" t="s">
        <v>285</v>
      </c>
      <c r="D2658" s="2" t="s">
        <v>286</v>
      </c>
      <c r="E2658" s="2" t="s">
        <v>287</v>
      </c>
      <c r="F2658" s="2" t="s">
        <v>535</v>
      </c>
      <c r="G2658" s="2" t="s">
        <v>475</v>
      </c>
      <c r="H2658" s="2" t="s">
        <v>476</v>
      </c>
      <c r="I2658" s="26">
        <v>45404</v>
      </c>
      <c r="J2658" s="2">
        <v>9</v>
      </c>
      <c r="K2658" s="2" t="s">
        <v>123</v>
      </c>
      <c r="L2658" s="22">
        <v>2800</v>
      </c>
      <c r="M2658" s="22">
        <v>25200</v>
      </c>
      <c r="N2658" s="18">
        <v>26.95</v>
      </c>
      <c r="O2658" s="26">
        <v>45644</v>
      </c>
      <c r="P2658" s="2" t="s">
        <v>2105</v>
      </c>
      <c r="Q2658" s="2" t="s">
        <v>836</v>
      </c>
    </row>
    <row r="2659" spans="2:17" x14ac:dyDescent="0.25">
      <c r="B2659" s="2" t="s">
        <v>3464</v>
      </c>
      <c r="C2659" s="2" t="s">
        <v>285</v>
      </c>
      <c r="D2659" s="2" t="s">
        <v>286</v>
      </c>
      <c r="E2659" s="2" t="s">
        <v>287</v>
      </c>
      <c r="F2659" s="2" t="s">
        <v>535</v>
      </c>
      <c r="G2659" s="2" t="s">
        <v>475</v>
      </c>
      <c r="H2659" s="2" t="s">
        <v>476</v>
      </c>
      <c r="I2659" s="26">
        <v>45440</v>
      </c>
      <c r="J2659" s="2">
        <v>11</v>
      </c>
      <c r="K2659" s="2" t="s">
        <v>123</v>
      </c>
      <c r="L2659" s="22">
        <v>2800</v>
      </c>
      <c r="M2659" s="22">
        <v>30800</v>
      </c>
      <c r="N2659" s="18">
        <v>32.94</v>
      </c>
      <c r="O2659" s="26">
        <v>45680</v>
      </c>
      <c r="P2659" s="2" t="s">
        <v>2105</v>
      </c>
      <c r="Q2659" s="2" t="s">
        <v>836</v>
      </c>
    </row>
    <row r="2660" spans="2:17" x14ac:dyDescent="0.25">
      <c r="B2660" s="2" t="s">
        <v>3465</v>
      </c>
      <c r="C2660" s="2" t="s">
        <v>285</v>
      </c>
      <c r="D2660" s="2" t="s">
        <v>286</v>
      </c>
      <c r="E2660" s="2" t="s">
        <v>287</v>
      </c>
      <c r="F2660" s="2" t="s">
        <v>535</v>
      </c>
      <c r="G2660" s="2" t="s">
        <v>475</v>
      </c>
      <c r="H2660" s="2" t="s">
        <v>476</v>
      </c>
      <c r="I2660" s="26">
        <v>45476</v>
      </c>
      <c r="J2660" s="2">
        <v>9</v>
      </c>
      <c r="K2660" s="2" t="s">
        <v>123</v>
      </c>
      <c r="L2660" s="22">
        <v>2800</v>
      </c>
      <c r="M2660" s="22">
        <v>25200</v>
      </c>
      <c r="N2660" s="18">
        <v>26.95</v>
      </c>
      <c r="O2660" s="26">
        <v>45716</v>
      </c>
      <c r="P2660" s="2" t="s">
        <v>2105</v>
      </c>
      <c r="Q2660" s="2" t="s">
        <v>806</v>
      </c>
    </row>
    <row r="2661" spans="2:17" x14ac:dyDescent="0.25">
      <c r="B2661" s="2" t="s">
        <v>3466</v>
      </c>
      <c r="C2661" s="2" t="s">
        <v>285</v>
      </c>
      <c r="D2661" s="2" t="s">
        <v>286</v>
      </c>
      <c r="E2661" s="2" t="s">
        <v>287</v>
      </c>
      <c r="F2661" s="2" t="s">
        <v>535</v>
      </c>
      <c r="G2661" s="2" t="s">
        <v>475</v>
      </c>
      <c r="H2661" s="2" t="s">
        <v>476</v>
      </c>
      <c r="I2661" s="26">
        <v>45506</v>
      </c>
      <c r="J2661" s="2">
        <v>11</v>
      </c>
      <c r="K2661" s="2" t="s">
        <v>123</v>
      </c>
      <c r="L2661" s="22">
        <v>2800</v>
      </c>
      <c r="M2661" s="22">
        <v>30800</v>
      </c>
      <c r="N2661" s="18">
        <v>32.94</v>
      </c>
      <c r="O2661" s="26">
        <v>45746</v>
      </c>
      <c r="P2661" s="2" t="s">
        <v>2105</v>
      </c>
      <c r="Q2661" s="2" t="s">
        <v>806</v>
      </c>
    </row>
    <row r="2662" spans="2:17" x14ac:dyDescent="0.25">
      <c r="B2662" s="2" t="s">
        <v>3467</v>
      </c>
      <c r="C2662" s="2" t="s">
        <v>285</v>
      </c>
      <c r="D2662" s="2" t="s">
        <v>286</v>
      </c>
      <c r="E2662" s="2" t="s">
        <v>287</v>
      </c>
      <c r="F2662" s="2" t="s">
        <v>535</v>
      </c>
      <c r="G2662" s="2" t="s">
        <v>475</v>
      </c>
      <c r="H2662" s="2" t="s">
        <v>476</v>
      </c>
      <c r="I2662" s="26">
        <v>45541</v>
      </c>
      <c r="J2662" s="2">
        <v>12</v>
      </c>
      <c r="K2662" s="2" t="s">
        <v>123</v>
      </c>
      <c r="L2662" s="22">
        <v>2800</v>
      </c>
      <c r="M2662" s="22">
        <v>33600</v>
      </c>
      <c r="N2662" s="18">
        <v>35.94</v>
      </c>
      <c r="O2662" s="26">
        <v>45781</v>
      </c>
      <c r="P2662" s="2" t="s">
        <v>2105</v>
      </c>
      <c r="Q2662" s="2" t="s">
        <v>814</v>
      </c>
    </row>
    <row r="2663" spans="2:17" x14ac:dyDescent="0.25">
      <c r="B2663" s="2" t="s">
        <v>3468</v>
      </c>
      <c r="C2663" s="2" t="s">
        <v>285</v>
      </c>
      <c r="D2663" s="2" t="s">
        <v>286</v>
      </c>
      <c r="E2663" s="2" t="s">
        <v>287</v>
      </c>
      <c r="F2663" s="2" t="s">
        <v>535</v>
      </c>
      <c r="G2663" s="2" t="s">
        <v>475</v>
      </c>
      <c r="H2663" s="2" t="s">
        <v>476</v>
      </c>
      <c r="I2663" s="26">
        <v>45577</v>
      </c>
      <c r="J2663" s="2">
        <v>10</v>
      </c>
      <c r="K2663" s="2" t="s">
        <v>123</v>
      </c>
      <c r="L2663" s="22">
        <v>2800</v>
      </c>
      <c r="M2663" s="22">
        <v>28000</v>
      </c>
      <c r="N2663" s="18">
        <v>29.95</v>
      </c>
      <c r="O2663" s="26">
        <v>45817</v>
      </c>
      <c r="P2663" s="2" t="s">
        <v>2105</v>
      </c>
      <c r="Q2663" s="2" t="s">
        <v>814</v>
      </c>
    </row>
    <row r="2664" spans="2:17" x14ac:dyDescent="0.25">
      <c r="B2664" s="2" t="s">
        <v>3469</v>
      </c>
      <c r="C2664" s="2" t="s">
        <v>285</v>
      </c>
      <c r="D2664" s="2" t="s">
        <v>286</v>
      </c>
      <c r="E2664" s="2" t="s">
        <v>287</v>
      </c>
      <c r="F2664" s="2" t="s">
        <v>535</v>
      </c>
      <c r="G2664" s="2" t="s">
        <v>475</v>
      </c>
      <c r="H2664" s="2" t="s">
        <v>476</v>
      </c>
      <c r="I2664" s="26">
        <v>45615</v>
      </c>
      <c r="J2664" s="2">
        <v>9</v>
      </c>
      <c r="K2664" s="2" t="s">
        <v>123</v>
      </c>
      <c r="L2664" s="22">
        <v>2800</v>
      </c>
      <c r="M2664" s="22">
        <v>25200</v>
      </c>
      <c r="N2664" s="18">
        <v>26.95</v>
      </c>
      <c r="O2664" s="26">
        <v>45855</v>
      </c>
      <c r="P2664" s="2" t="s">
        <v>2105</v>
      </c>
      <c r="Q2664" s="2" t="s">
        <v>814</v>
      </c>
    </row>
    <row r="2665" spans="2:17" x14ac:dyDescent="0.25">
      <c r="B2665" s="2" t="s">
        <v>3470</v>
      </c>
      <c r="C2665" s="2" t="s">
        <v>285</v>
      </c>
      <c r="D2665" s="2" t="s">
        <v>286</v>
      </c>
      <c r="E2665" s="2" t="s">
        <v>287</v>
      </c>
      <c r="F2665" s="2" t="s">
        <v>535</v>
      </c>
      <c r="G2665" s="2" t="s">
        <v>475</v>
      </c>
      <c r="H2665" s="2" t="s">
        <v>476</v>
      </c>
      <c r="I2665" s="26">
        <v>45648</v>
      </c>
      <c r="J2665" s="2">
        <v>13</v>
      </c>
      <c r="K2665" s="2" t="s">
        <v>123</v>
      </c>
      <c r="L2665" s="22">
        <v>2800</v>
      </c>
      <c r="M2665" s="22">
        <v>36400</v>
      </c>
      <c r="N2665" s="18">
        <v>38.93</v>
      </c>
      <c r="O2665" s="26">
        <v>45888</v>
      </c>
      <c r="P2665" s="2" t="s">
        <v>2105</v>
      </c>
      <c r="Q2665" s="2" t="s">
        <v>825</v>
      </c>
    </row>
    <row r="2666" spans="2:17" x14ac:dyDescent="0.25">
      <c r="B2666" s="2" t="s">
        <v>3471</v>
      </c>
      <c r="C2666" s="2" t="s">
        <v>285</v>
      </c>
      <c r="D2666" s="2" t="s">
        <v>286</v>
      </c>
      <c r="E2666" s="2" t="s">
        <v>287</v>
      </c>
      <c r="F2666" s="2" t="s">
        <v>535</v>
      </c>
      <c r="G2666" s="2" t="s">
        <v>475</v>
      </c>
      <c r="H2666" s="2" t="s">
        <v>476</v>
      </c>
      <c r="I2666" s="26">
        <v>45679</v>
      </c>
      <c r="J2666" s="2">
        <v>10</v>
      </c>
      <c r="K2666" s="2" t="s">
        <v>123</v>
      </c>
      <c r="L2666" s="22">
        <v>2800</v>
      </c>
      <c r="M2666" s="22">
        <v>28000</v>
      </c>
      <c r="N2666" s="18">
        <v>29.95</v>
      </c>
      <c r="O2666" s="26">
        <v>45919</v>
      </c>
      <c r="P2666" s="2" t="s">
        <v>2105</v>
      </c>
      <c r="Q2666" s="2" t="s">
        <v>825</v>
      </c>
    </row>
    <row r="2667" spans="2:17" x14ac:dyDescent="0.25">
      <c r="B2667" s="2" t="s">
        <v>3472</v>
      </c>
      <c r="C2667" s="2" t="s">
        <v>285</v>
      </c>
      <c r="D2667" s="2" t="s">
        <v>286</v>
      </c>
      <c r="E2667" s="2" t="s">
        <v>287</v>
      </c>
      <c r="F2667" s="2" t="s">
        <v>535</v>
      </c>
      <c r="G2667" s="2" t="s">
        <v>475</v>
      </c>
      <c r="H2667" s="2" t="s">
        <v>476</v>
      </c>
      <c r="I2667" s="26">
        <v>45713</v>
      </c>
      <c r="J2667" s="2">
        <v>10</v>
      </c>
      <c r="K2667" s="2" t="s">
        <v>123</v>
      </c>
      <c r="L2667" s="22">
        <v>2800</v>
      </c>
      <c r="M2667" s="22">
        <v>28000</v>
      </c>
      <c r="N2667" s="18">
        <v>29.95</v>
      </c>
      <c r="O2667" s="26">
        <v>45953</v>
      </c>
      <c r="P2667" s="2" t="s">
        <v>2105</v>
      </c>
      <c r="Q2667" s="2" t="s">
        <v>825</v>
      </c>
    </row>
    <row r="2668" spans="2:17" x14ac:dyDescent="0.25">
      <c r="B2668" s="2" t="s">
        <v>3473</v>
      </c>
      <c r="C2668" s="2" t="s">
        <v>285</v>
      </c>
      <c r="D2668" s="2" t="s">
        <v>286</v>
      </c>
      <c r="E2668" s="2" t="s">
        <v>287</v>
      </c>
      <c r="F2668" s="2" t="s">
        <v>535</v>
      </c>
      <c r="G2668" s="2" t="s">
        <v>475</v>
      </c>
      <c r="H2668" s="2" t="s">
        <v>476</v>
      </c>
      <c r="I2668" s="26">
        <v>45751</v>
      </c>
      <c r="J2668" s="2">
        <v>10</v>
      </c>
      <c r="K2668" s="2" t="s">
        <v>123</v>
      </c>
      <c r="L2668" s="22">
        <v>2800</v>
      </c>
      <c r="M2668" s="22">
        <v>28000</v>
      </c>
      <c r="N2668" s="18">
        <v>29.95</v>
      </c>
      <c r="O2668" s="26">
        <v>45991</v>
      </c>
      <c r="P2668" s="2" t="s">
        <v>2105</v>
      </c>
      <c r="Q2668" s="2" t="s">
        <v>836</v>
      </c>
    </row>
    <row r="2669" spans="2:17" x14ac:dyDescent="0.25">
      <c r="B2669" s="2" t="s">
        <v>3474</v>
      </c>
      <c r="C2669" s="2" t="s">
        <v>285</v>
      </c>
      <c r="D2669" s="2" t="s">
        <v>286</v>
      </c>
      <c r="E2669" s="2" t="s">
        <v>287</v>
      </c>
      <c r="F2669" s="2" t="s">
        <v>535</v>
      </c>
      <c r="G2669" s="2" t="s">
        <v>475</v>
      </c>
      <c r="H2669" s="2" t="s">
        <v>476</v>
      </c>
      <c r="I2669" s="26">
        <v>45791</v>
      </c>
      <c r="J2669" s="2">
        <v>12</v>
      </c>
      <c r="K2669" s="2" t="s">
        <v>123</v>
      </c>
      <c r="L2669" s="22">
        <v>2800</v>
      </c>
      <c r="M2669" s="22">
        <v>33600</v>
      </c>
      <c r="N2669" s="18">
        <v>35.94</v>
      </c>
      <c r="O2669" s="26">
        <v>46031</v>
      </c>
      <c r="P2669" s="2" t="s">
        <v>2105</v>
      </c>
      <c r="Q2669" s="2" t="s">
        <v>836</v>
      </c>
    </row>
    <row r="2670" spans="2:17" x14ac:dyDescent="0.25">
      <c r="B2670" s="2" t="s">
        <v>3475</v>
      </c>
      <c r="C2670" s="2" t="s">
        <v>285</v>
      </c>
      <c r="D2670" s="2" t="s">
        <v>286</v>
      </c>
      <c r="E2670" s="2" t="s">
        <v>287</v>
      </c>
      <c r="F2670" s="2" t="s">
        <v>535</v>
      </c>
      <c r="G2670" s="2" t="s">
        <v>475</v>
      </c>
      <c r="H2670" s="2" t="s">
        <v>476</v>
      </c>
      <c r="I2670" s="26">
        <v>45824</v>
      </c>
      <c r="J2670" s="2">
        <v>11</v>
      </c>
      <c r="K2670" s="2" t="s">
        <v>123</v>
      </c>
      <c r="L2670" s="22">
        <v>2800</v>
      </c>
      <c r="M2670" s="22">
        <v>30800</v>
      </c>
      <c r="N2670" s="18">
        <v>32.94</v>
      </c>
      <c r="O2670" s="26">
        <v>46064</v>
      </c>
      <c r="P2670" s="2" t="s">
        <v>2105</v>
      </c>
      <c r="Q2670" s="2" t="s">
        <v>806</v>
      </c>
    </row>
    <row r="2671" spans="2:17" x14ac:dyDescent="0.25">
      <c r="B2671" s="2" t="s">
        <v>3476</v>
      </c>
      <c r="C2671" s="2" t="s">
        <v>288</v>
      </c>
      <c r="D2671" s="2" t="s">
        <v>289</v>
      </c>
      <c r="E2671" s="2" t="s">
        <v>287</v>
      </c>
      <c r="F2671" s="2" t="s">
        <v>535</v>
      </c>
      <c r="G2671" s="2" t="s">
        <v>475</v>
      </c>
      <c r="H2671" s="2" t="s">
        <v>476</v>
      </c>
      <c r="I2671" s="26">
        <v>45138</v>
      </c>
      <c r="J2671" s="2">
        <v>9</v>
      </c>
      <c r="K2671" s="2" t="s">
        <v>123</v>
      </c>
      <c r="L2671" s="22">
        <v>4200</v>
      </c>
      <c r="M2671" s="22">
        <v>37800</v>
      </c>
      <c r="N2671" s="18">
        <v>40.43</v>
      </c>
      <c r="O2671" s="26">
        <v>45378</v>
      </c>
      <c r="P2671" s="2" t="s">
        <v>2105</v>
      </c>
      <c r="Q2671" s="2" t="s">
        <v>806</v>
      </c>
    </row>
    <row r="2672" spans="2:17" x14ac:dyDescent="0.25">
      <c r="B2672" s="2" t="s">
        <v>3477</v>
      </c>
      <c r="C2672" s="2" t="s">
        <v>288</v>
      </c>
      <c r="D2672" s="2" t="s">
        <v>289</v>
      </c>
      <c r="E2672" s="2" t="s">
        <v>287</v>
      </c>
      <c r="F2672" s="2" t="s">
        <v>535</v>
      </c>
      <c r="G2672" s="2" t="s">
        <v>475</v>
      </c>
      <c r="H2672" s="2" t="s">
        <v>476</v>
      </c>
      <c r="I2672" s="26">
        <v>45164</v>
      </c>
      <c r="J2672" s="2">
        <v>9</v>
      </c>
      <c r="K2672" s="2" t="s">
        <v>123</v>
      </c>
      <c r="L2672" s="22">
        <v>4200</v>
      </c>
      <c r="M2672" s="22">
        <v>37800</v>
      </c>
      <c r="N2672" s="18">
        <v>40.43</v>
      </c>
      <c r="O2672" s="26">
        <v>45404</v>
      </c>
      <c r="P2672" s="2" t="s">
        <v>2105</v>
      </c>
      <c r="Q2672" s="2" t="s">
        <v>806</v>
      </c>
    </row>
    <row r="2673" spans="2:17" x14ac:dyDescent="0.25">
      <c r="B2673" s="2" t="s">
        <v>3478</v>
      </c>
      <c r="C2673" s="2" t="s">
        <v>288</v>
      </c>
      <c r="D2673" s="2" t="s">
        <v>289</v>
      </c>
      <c r="E2673" s="2" t="s">
        <v>287</v>
      </c>
      <c r="F2673" s="2" t="s">
        <v>535</v>
      </c>
      <c r="G2673" s="2" t="s">
        <v>475</v>
      </c>
      <c r="H2673" s="2" t="s">
        <v>476</v>
      </c>
      <c r="I2673" s="26">
        <v>45196</v>
      </c>
      <c r="J2673" s="2">
        <v>12</v>
      </c>
      <c r="K2673" s="2" t="s">
        <v>123</v>
      </c>
      <c r="L2673" s="22">
        <v>4200</v>
      </c>
      <c r="M2673" s="22">
        <v>50400</v>
      </c>
      <c r="N2673" s="18">
        <v>53.9</v>
      </c>
      <c r="O2673" s="26">
        <v>45436</v>
      </c>
      <c r="P2673" s="2" t="s">
        <v>2105</v>
      </c>
      <c r="Q2673" s="2" t="s">
        <v>814</v>
      </c>
    </row>
    <row r="2674" spans="2:17" x14ac:dyDescent="0.25">
      <c r="B2674" s="2" t="s">
        <v>3479</v>
      </c>
      <c r="C2674" s="2" t="s">
        <v>288</v>
      </c>
      <c r="D2674" s="2" t="s">
        <v>289</v>
      </c>
      <c r="E2674" s="2" t="s">
        <v>287</v>
      </c>
      <c r="F2674" s="2" t="s">
        <v>535</v>
      </c>
      <c r="G2674" s="2" t="s">
        <v>475</v>
      </c>
      <c r="H2674" s="2" t="s">
        <v>476</v>
      </c>
      <c r="I2674" s="26">
        <v>45235</v>
      </c>
      <c r="J2674" s="2">
        <v>10</v>
      </c>
      <c r="K2674" s="2" t="s">
        <v>123</v>
      </c>
      <c r="L2674" s="22">
        <v>4200</v>
      </c>
      <c r="M2674" s="22">
        <v>42000</v>
      </c>
      <c r="N2674" s="18">
        <v>44.92</v>
      </c>
      <c r="O2674" s="26">
        <v>45475</v>
      </c>
      <c r="P2674" s="2" t="s">
        <v>2105</v>
      </c>
      <c r="Q2674" s="2" t="s">
        <v>814</v>
      </c>
    </row>
    <row r="2675" spans="2:17" x14ac:dyDescent="0.25">
      <c r="B2675" s="2" t="s">
        <v>3480</v>
      </c>
      <c r="C2675" s="2" t="s">
        <v>288</v>
      </c>
      <c r="D2675" s="2" t="s">
        <v>289</v>
      </c>
      <c r="E2675" s="2" t="s">
        <v>287</v>
      </c>
      <c r="F2675" s="2" t="s">
        <v>535</v>
      </c>
      <c r="G2675" s="2" t="s">
        <v>475</v>
      </c>
      <c r="H2675" s="2" t="s">
        <v>476</v>
      </c>
      <c r="I2675" s="26">
        <v>45268</v>
      </c>
      <c r="J2675" s="2">
        <v>15</v>
      </c>
      <c r="K2675" s="2" t="s">
        <v>123</v>
      </c>
      <c r="L2675" s="22">
        <v>4200</v>
      </c>
      <c r="M2675" s="22">
        <v>63000</v>
      </c>
      <c r="N2675" s="18">
        <v>67.38</v>
      </c>
      <c r="O2675" s="26">
        <v>45508</v>
      </c>
      <c r="P2675" s="2" t="s">
        <v>2105</v>
      </c>
      <c r="Q2675" s="2" t="s">
        <v>825</v>
      </c>
    </row>
    <row r="2676" spans="2:17" x14ac:dyDescent="0.25">
      <c r="B2676" s="2" t="s">
        <v>3481</v>
      </c>
      <c r="C2676" s="2" t="s">
        <v>288</v>
      </c>
      <c r="D2676" s="2" t="s">
        <v>289</v>
      </c>
      <c r="E2676" s="2" t="s">
        <v>287</v>
      </c>
      <c r="F2676" s="2" t="s">
        <v>535</v>
      </c>
      <c r="G2676" s="2" t="s">
        <v>475</v>
      </c>
      <c r="H2676" s="2" t="s">
        <v>476</v>
      </c>
      <c r="I2676" s="26">
        <v>45293</v>
      </c>
      <c r="J2676" s="2">
        <v>10</v>
      </c>
      <c r="K2676" s="2" t="s">
        <v>123</v>
      </c>
      <c r="L2676" s="22">
        <v>4200</v>
      </c>
      <c r="M2676" s="22">
        <v>42000</v>
      </c>
      <c r="N2676" s="18">
        <v>44.92</v>
      </c>
      <c r="O2676" s="26">
        <v>45533</v>
      </c>
      <c r="P2676" s="2" t="s">
        <v>2105</v>
      </c>
      <c r="Q2676" s="2" t="s">
        <v>825</v>
      </c>
    </row>
    <row r="2677" spans="2:17" x14ac:dyDescent="0.25">
      <c r="B2677" s="2" t="s">
        <v>3482</v>
      </c>
      <c r="C2677" s="2" t="s">
        <v>288</v>
      </c>
      <c r="D2677" s="2" t="s">
        <v>289</v>
      </c>
      <c r="E2677" s="2" t="s">
        <v>287</v>
      </c>
      <c r="F2677" s="2" t="s">
        <v>535</v>
      </c>
      <c r="G2677" s="2" t="s">
        <v>475</v>
      </c>
      <c r="H2677" s="2" t="s">
        <v>476</v>
      </c>
      <c r="I2677" s="26">
        <v>45330</v>
      </c>
      <c r="J2677" s="2">
        <v>11</v>
      </c>
      <c r="K2677" s="2" t="s">
        <v>123</v>
      </c>
      <c r="L2677" s="22">
        <v>4200</v>
      </c>
      <c r="M2677" s="22">
        <v>46200</v>
      </c>
      <c r="N2677" s="18">
        <v>49.41</v>
      </c>
      <c r="O2677" s="26">
        <v>45570</v>
      </c>
      <c r="P2677" s="2" t="s">
        <v>2105</v>
      </c>
      <c r="Q2677" s="2" t="s">
        <v>825</v>
      </c>
    </row>
    <row r="2678" spans="2:17" x14ac:dyDescent="0.25">
      <c r="B2678" s="2" t="s">
        <v>3483</v>
      </c>
      <c r="C2678" s="2" t="s">
        <v>288</v>
      </c>
      <c r="D2678" s="2" t="s">
        <v>289</v>
      </c>
      <c r="E2678" s="2" t="s">
        <v>287</v>
      </c>
      <c r="F2678" s="2" t="s">
        <v>535</v>
      </c>
      <c r="G2678" s="2" t="s">
        <v>475</v>
      </c>
      <c r="H2678" s="2" t="s">
        <v>476</v>
      </c>
      <c r="I2678" s="26">
        <v>45369</v>
      </c>
      <c r="J2678" s="2">
        <v>9</v>
      </c>
      <c r="K2678" s="2" t="s">
        <v>123</v>
      </c>
      <c r="L2678" s="22">
        <v>4200</v>
      </c>
      <c r="M2678" s="22">
        <v>37800</v>
      </c>
      <c r="N2678" s="18">
        <v>40.43</v>
      </c>
      <c r="O2678" s="26">
        <v>45609</v>
      </c>
      <c r="P2678" s="2" t="s">
        <v>2105</v>
      </c>
      <c r="Q2678" s="2" t="s">
        <v>836</v>
      </c>
    </row>
    <row r="2679" spans="2:17" x14ac:dyDescent="0.25">
      <c r="B2679" s="2" t="s">
        <v>3484</v>
      </c>
      <c r="C2679" s="2" t="s">
        <v>288</v>
      </c>
      <c r="D2679" s="2" t="s">
        <v>289</v>
      </c>
      <c r="E2679" s="2" t="s">
        <v>287</v>
      </c>
      <c r="F2679" s="2" t="s">
        <v>535</v>
      </c>
      <c r="G2679" s="2" t="s">
        <v>475</v>
      </c>
      <c r="H2679" s="2" t="s">
        <v>476</v>
      </c>
      <c r="I2679" s="26">
        <v>45399</v>
      </c>
      <c r="J2679" s="2">
        <v>11</v>
      </c>
      <c r="K2679" s="2" t="s">
        <v>123</v>
      </c>
      <c r="L2679" s="22">
        <v>4200</v>
      </c>
      <c r="M2679" s="22">
        <v>46200</v>
      </c>
      <c r="N2679" s="18">
        <v>49.41</v>
      </c>
      <c r="O2679" s="26">
        <v>45639</v>
      </c>
      <c r="P2679" s="2" t="s">
        <v>2105</v>
      </c>
      <c r="Q2679" s="2" t="s">
        <v>836</v>
      </c>
    </row>
    <row r="2680" spans="2:17" x14ac:dyDescent="0.25">
      <c r="B2680" s="2" t="s">
        <v>3485</v>
      </c>
      <c r="C2680" s="2" t="s">
        <v>288</v>
      </c>
      <c r="D2680" s="2" t="s">
        <v>289</v>
      </c>
      <c r="E2680" s="2" t="s">
        <v>287</v>
      </c>
      <c r="F2680" s="2" t="s">
        <v>535</v>
      </c>
      <c r="G2680" s="2" t="s">
        <v>475</v>
      </c>
      <c r="H2680" s="2" t="s">
        <v>476</v>
      </c>
      <c r="I2680" s="26">
        <v>45432</v>
      </c>
      <c r="J2680" s="2">
        <v>11</v>
      </c>
      <c r="K2680" s="2" t="s">
        <v>123</v>
      </c>
      <c r="L2680" s="22">
        <v>4200</v>
      </c>
      <c r="M2680" s="22">
        <v>46200</v>
      </c>
      <c r="N2680" s="18">
        <v>49.41</v>
      </c>
      <c r="O2680" s="26">
        <v>45672</v>
      </c>
      <c r="P2680" s="2" t="s">
        <v>2105</v>
      </c>
      <c r="Q2680" s="2" t="s">
        <v>836</v>
      </c>
    </row>
    <row r="2681" spans="2:17" x14ac:dyDescent="0.25">
      <c r="B2681" s="2" t="s">
        <v>3486</v>
      </c>
      <c r="C2681" s="2" t="s">
        <v>288</v>
      </c>
      <c r="D2681" s="2" t="s">
        <v>289</v>
      </c>
      <c r="E2681" s="2" t="s">
        <v>287</v>
      </c>
      <c r="F2681" s="2" t="s">
        <v>535</v>
      </c>
      <c r="G2681" s="2" t="s">
        <v>475</v>
      </c>
      <c r="H2681" s="2" t="s">
        <v>476</v>
      </c>
      <c r="I2681" s="26">
        <v>45463</v>
      </c>
      <c r="J2681" s="2">
        <v>11</v>
      </c>
      <c r="K2681" s="2" t="s">
        <v>123</v>
      </c>
      <c r="L2681" s="22">
        <v>4200</v>
      </c>
      <c r="M2681" s="22">
        <v>46200</v>
      </c>
      <c r="N2681" s="18">
        <v>49.41</v>
      </c>
      <c r="O2681" s="26">
        <v>45703</v>
      </c>
      <c r="P2681" s="2" t="s">
        <v>2105</v>
      </c>
      <c r="Q2681" s="2" t="s">
        <v>806</v>
      </c>
    </row>
    <row r="2682" spans="2:17" x14ac:dyDescent="0.25">
      <c r="B2682" s="2" t="s">
        <v>3487</v>
      </c>
      <c r="C2682" s="2" t="s">
        <v>288</v>
      </c>
      <c r="D2682" s="2" t="s">
        <v>289</v>
      </c>
      <c r="E2682" s="2" t="s">
        <v>287</v>
      </c>
      <c r="F2682" s="2" t="s">
        <v>535</v>
      </c>
      <c r="G2682" s="2" t="s">
        <v>475</v>
      </c>
      <c r="H2682" s="2" t="s">
        <v>476</v>
      </c>
      <c r="I2682" s="26">
        <v>45501</v>
      </c>
      <c r="J2682" s="2">
        <v>11</v>
      </c>
      <c r="K2682" s="2" t="s">
        <v>123</v>
      </c>
      <c r="L2682" s="22">
        <v>4200</v>
      </c>
      <c r="M2682" s="22">
        <v>46200</v>
      </c>
      <c r="N2682" s="18">
        <v>49.41</v>
      </c>
      <c r="O2682" s="26">
        <v>45741</v>
      </c>
      <c r="P2682" s="2" t="s">
        <v>2105</v>
      </c>
      <c r="Q2682" s="2" t="s">
        <v>806</v>
      </c>
    </row>
    <row r="2683" spans="2:17" x14ac:dyDescent="0.25">
      <c r="B2683" s="2" t="s">
        <v>3488</v>
      </c>
      <c r="C2683" s="2" t="s">
        <v>288</v>
      </c>
      <c r="D2683" s="2" t="s">
        <v>289</v>
      </c>
      <c r="E2683" s="2" t="s">
        <v>287</v>
      </c>
      <c r="F2683" s="2" t="s">
        <v>535</v>
      </c>
      <c r="G2683" s="2" t="s">
        <v>475</v>
      </c>
      <c r="H2683" s="2" t="s">
        <v>476</v>
      </c>
      <c r="I2683" s="26">
        <v>45528</v>
      </c>
      <c r="J2683" s="2">
        <v>10</v>
      </c>
      <c r="K2683" s="2" t="s">
        <v>123</v>
      </c>
      <c r="L2683" s="22">
        <v>4200</v>
      </c>
      <c r="M2683" s="22">
        <v>42000</v>
      </c>
      <c r="N2683" s="18">
        <v>44.92</v>
      </c>
      <c r="O2683" s="26">
        <v>45768</v>
      </c>
      <c r="P2683" s="2" t="s">
        <v>2105</v>
      </c>
      <c r="Q2683" s="2" t="s">
        <v>806</v>
      </c>
    </row>
    <row r="2684" spans="2:17" x14ac:dyDescent="0.25">
      <c r="B2684" s="2" t="s">
        <v>3489</v>
      </c>
      <c r="C2684" s="2" t="s">
        <v>288</v>
      </c>
      <c r="D2684" s="2" t="s">
        <v>289</v>
      </c>
      <c r="E2684" s="2" t="s">
        <v>287</v>
      </c>
      <c r="F2684" s="2" t="s">
        <v>535</v>
      </c>
      <c r="G2684" s="2" t="s">
        <v>475</v>
      </c>
      <c r="H2684" s="2" t="s">
        <v>476</v>
      </c>
      <c r="I2684" s="26">
        <v>45567</v>
      </c>
      <c r="J2684" s="2">
        <v>10</v>
      </c>
      <c r="K2684" s="2" t="s">
        <v>123</v>
      </c>
      <c r="L2684" s="22">
        <v>4200</v>
      </c>
      <c r="M2684" s="22">
        <v>42000</v>
      </c>
      <c r="N2684" s="18">
        <v>44.92</v>
      </c>
      <c r="O2684" s="26">
        <v>45807</v>
      </c>
      <c r="P2684" s="2" t="s">
        <v>2105</v>
      </c>
      <c r="Q2684" s="2" t="s">
        <v>814</v>
      </c>
    </row>
    <row r="2685" spans="2:17" x14ac:dyDescent="0.25">
      <c r="B2685" s="2" t="s">
        <v>3490</v>
      </c>
      <c r="C2685" s="2" t="s">
        <v>288</v>
      </c>
      <c r="D2685" s="2" t="s">
        <v>289</v>
      </c>
      <c r="E2685" s="2" t="s">
        <v>287</v>
      </c>
      <c r="F2685" s="2" t="s">
        <v>535</v>
      </c>
      <c r="G2685" s="2" t="s">
        <v>475</v>
      </c>
      <c r="H2685" s="2" t="s">
        <v>476</v>
      </c>
      <c r="I2685" s="26">
        <v>45605</v>
      </c>
      <c r="J2685" s="2">
        <v>9</v>
      </c>
      <c r="K2685" s="2" t="s">
        <v>123</v>
      </c>
      <c r="L2685" s="22">
        <v>4200</v>
      </c>
      <c r="M2685" s="22">
        <v>37800</v>
      </c>
      <c r="N2685" s="18">
        <v>40.43</v>
      </c>
      <c r="O2685" s="26">
        <v>45845</v>
      </c>
      <c r="P2685" s="2" t="s">
        <v>2105</v>
      </c>
      <c r="Q2685" s="2" t="s">
        <v>814</v>
      </c>
    </row>
    <row r="2686" spans="2:17" x14ac:dyDescent="0.25">
      <c r="B2686" s="2" t="s">
        <v>3491</v>
      </c>
      <c r="C2686" s="2" t="s">
        <v>288</v>
      </c>
      <c r="D2686" s="2" t="s">
        <v>289</v>
      </c>
      <c r="E2686" s="2" t="s">
        <v>287</v>
      </c>
      <c r="F2686" s="2" t="s">
        <v>535</v>
      </c>
      <c r="G2686" s="2" t="s">
        <v>475</v>
      </c>
      <c r="H2686" s="2" t="s">
        <v>476</v>
      </c>
      <c r="I2686" s="26">
        <v>45627</v>
      </c>
      <c r="J2686" s="2">
        <v>15</v>
      </c>
      <c r="K2686" s="2" t="s">
        <v>123</v>
      </c>
      <c r="L2686" s="22">
        <v>4200</v>
      </c>
      <c r="M2686" s="22">
        <v>63000</v>
      </c>
      <c r="N2686" s="18">
        <v>67.38</v>
      </c>
      <c r="O2686" s="26">
        <v>45867</v>
      </c>
      <c r="P2686" s="2" t="s">
        <v>2105</v>
      </c>
      <c r="Q2686" s="2" t="s">
        <v>825</v>
      </c>
    </row>
    <row r="2687" spans="2:17" x14ac:dyDescent="0.25">
      <c r="B2687" s="2" t="s">
        <v>3492</v>
      </c>
      <c r="C2687" s="2" t="s">
        <v>288</v>
      </c>
      <c r="D2687" s="2" t="s">
        <v>289</v>
      </c>
      <c r="E2687" s="2" t="s">
        <v>287</v>
      </c>
      <c r="F2687" s="2" t="s">
        <v>535</v>
      </c>
      <c r="G2687" s="2" t="s">
        <v>475</v>
      </c>
      <c r="H2687" s="2" t="s">
        <v>476</v>
      </c>
      <c r="I2687" s="26">
        <v>45655</v>
      </c>
      <c r="J2687" s="2">
        <v>12</v>
      </c>
      <c r="K2687" s="2" t="s">
        <v>123</v>
      </c>
      <c r="L2687" s="22">
        <v>4200</v>
      </c>
      <c r="M2687" s="22">
        <v>50400</v>
      </c>
      <c r="N2687" s="18">
        <v>53.9</v>
      </c>
      <c r="O2687" s="26">
        <v>45895</v>
      </c>
      <c r="P2687" s="2" t="s">
        <v>2105</v>
      </c>
      <c r="Q2687" s="2" t="s">
        <v>825</v>
      </c>
    </row>
    <row r="2688" spans="2:17" x14ac:dyDescent="0.25">
      <c r="B2688" s="2" t="s">
        <v>3493</v>
      </c>
      <c r="C2688" s="2" t="s">
        <v>288</v>
      </c>
      <c r="D2688" s="2" t="s">
        <v>289</v>
      </c>
      <c r="E2688" s="2" t="s">
        <v>287</v>
      </c>
      <c r="F2688" s="2" t="s">
        <v>535</v>
      </c>
      <c r="G2688" s="2" t="s">
        <v>475</v>
      </c>
      <c r="H2688" s="2" t="s">
        <v>476</v>
      </c>
      <c r="I2688" s="26">
        <v>45699</v>
      </c>
      <c r="J2688" s="2">
        <v>11</v>
      </c>
      <c r="K2688" s="2" t="s">
        <v>123</v>
      </c>
      <c r="L2688" s="22">
        <v>4200</v>
      </c>
      <c r="M2688" s="22">
        <v>46200</v>
      </c>
      <c r="N2688" s="18">
        <v>49.41</v>
      </c>
      <c r="O2688" s="26">
        <v>45939</v>
      </c>
      <c r="P2688" s="2" t="s">
        <v>2105</v>
      </c>
      <c r="Q2688" s="2" t="s">
        <v>825</v>
      </c>
    </row>
    <row r="2689" spans="2:17" x14ac:dyDescent="0.25">
      <c r="B2689" s="2" t="s">
        <v>3494</v>
      </c>
      <c r="C2689" s="2" t="s">
        <v>288</v>
      </c>
      <c r="D2689" s="2" t="s">
        <v>289</v>
      </c>
      <c r="E2689" s="2" t="s">
        <v>287</v>
      </c>
      <c r="F2689" s="2" t="s">
        <v>535</v>
      </c>
      <c r="G2689" s="2" t="s">
        <v>475</v>
      </c>
      <c r="H2689" s="2" t="s">
        <v>476</v>
      </c>
      <c r="I2689" s="26">
        <v>45725</v>
      </c>
      <c r="J2689" s="2">
        <v>12</v>
      </c>
      <c r="K2689" s="2" t="s">
        <v>123</v>
      </c>
      <c r="L2689" s="22">
        <v>4200</v>
      </c>
      <c r="M2689" s="22">
        <v>50400</v>
      </c>
      <c r="N2689" s="18">
        <v>53.9</v>
      </c>
      <c r="O2689" s="26">
        <v>45965</v>
      </c>
      <c r="P2689" s="2" t="s">
        <v>2105</v>
      </c>
      <c r="Q2689" s="2" t="s">
        <v>836</v>
      </c>
    </row>
    <row r="2690" spans="2:17" x14ac:dyDescent="0.25">
      <c r="B2690" s="2" t="s">
        <v>3495</v>
      </c>
      <c r="C2690" s="2" t="s">
        <v>288</v>
      </c>
      <c r="D2690" s="2" t="s">
        <v>289</v>
      </c>
      <c r="E2690" s="2" t="s">
        <v>287</v>
      </c>
      <c r="F2690" s="2" t="s">
        <v>535</v>
      </c>
      <c r="G2690" s="2" t="s">
        <v>475</v>
      </c>
      <c r="H2690" s="2" t="s">
        <v>476</v>
      </c>
      <c r="I2690" s="26">
        <v>45759</v>
      </c>
      <c r="J2690" s="2">
        <v>11</v>
      </c>
      <c r="K2690" s="2" t="s">
        <v>123</v>
      </c>
      <c r="L2690" s="22">
        <v>4200</v>
      </c>
      <c r="M2690" s="22">
        <v>46200</v>
      </c>
      <c r="N2690" s="18">
        <v>49.41</v>
      </c>
      <c r="O2690" s="26">
        <v>45999</v>
      </c>
      <c r="P2690" s="2" t="s">
        <v>2105</v>
      </c>
      <c r="Q2690" s="2" t="s">
        <v>836</v>
      </c>
    </row>
    <row r="2691" spans="2:17" x14ac:dyDescent="0.25">
      <c r="B2691" s="2" t="s">
        <v>3496</v>
      </c>
      <c r="C2691" s="2" t="s">
        <v>288</v>
      </c>
      <c r="D2691" s="2" t="s">
        <v>289</v>
      </c>
      <c r="E2691" s="2" t="s">
        <v>287</v>
      </c>
      <c r="F2691" s="2" t="s">
        <v>535</v>
      </c>
      <c r="G2691" s="2" t="s">
        <v>475</v>
      </c>
      <c r="H2691" s="2" t="s">
        <v>476</v>
      </c>
      <c r="I2691" s="26">
        <v>45796</v>
      </c>
      <c r="J2691" s="2">
        <v>10</v>
      </c>
      <c r="K2691" s="2" t="s">
        <v>123</v>
      </c>
      <c r="L2691" s="22">
        <v>4200</v>
      </c>
      <c r="M2691" s="22">
        <v>42000</v>
      </c>
      <c r="N2691" s="18">
        <v>44.92</v>
      </c>
      <c r="O2691" s="26">
        <v>46036</v>
      </c>
      <c r="P2691" s="2" t="s">
        <v>2105</v>
      </c>
      <c r="Q2691" s="2" t="s">
        <v>836</v>
      </c>
    </row>
    <row r="2692" spans="2:17" x14ac:dyDescent="0.25">
      <c r="B2692" s="2" t="s">
        <v>3497</v>
      </c>
      <c r="C2692" s="2" t="s">
        <v>290</v>
      </c>
      <c r="D2692" s="2" t="s">
        <v>291</v>
      </c>
      <c r="E2692" s="2" t="s">
        <v>287</v>
      </c>
      <c r="F2692" s="2" t="s">
        <v>535</v>
      </c>
      <c r="G2692" s="2" t="s">
        <v>475</v>
      </c>
      <c r="H2692" s="2" t="s">
        <v>476</v>
      </c>
      <c r="I2692" s="26">
        <v>45130</v>
      </c>
      <c r="J2692" s="2">
        <v>9</v>
      </c>
      <c r="K2692" s="2" t="s">
        <v>123</v>
      </c>
      <c r="L2692" s="22">
        <v>3700</v>
      </c>
      <c r="M2692" s="22">
        <v>33300</v>
      </c>
      <c r="N2692" s="18">
        <v>35.61</v>
      </c>
      <c r="O2692" s="26">
        <v>45370</v>
      </c>
      <c r="P2692" s="2" t="s">
        <v>2105</v>
      </c>
      <c r="Q2692" s="2" t="s">
        <v>806</v>
      </c>
    </row>
    <row r="2693" spans="2:17" x14ac:dyDescent="0.25">
      <c r="B2693" s="2" t="s">
        <v>3498</v>
      </c>
      <c r="C2693" s="2" t="s">
        <v>290</v>
      </c>
      <c r="D2693" s="2" t="s">
        <v>291</v>
      </c>
      <c r="E2693" s="2" t="s">
        <v>287</v>
      </c>
      <c r="F2693" s="2" t="s">
        <v>535</v>
      </c>
      <c r="G2693" s="2" t="s">
        <v>475</v>
      </c>
      <c r="H2693" s="2" t="s">
        <v>476</v>
      </c>
      <c r="I2693" s="26">
        <v>45161</v>
      </c>
      <c r="J2693" s="2">
        <v>9</v>
      </c>
      <c r="K2693" s="2" t="s">
        <v>123</v>
      </c>
      <c r="L2693" s="22">
        <v>3700</v>
      </c>
      <c r="M2693" s="22">
        <v>33300</v>
      </c>
      <c r="N2693" s="18">
        <v>35.61</v>
      </c>
      <c r="O2693" s="26">
        <v>45401</v>
      </c>
      <c r="P2693" s="2" t="s">
        <v>2105</v>
      </c>
      <c r="Q2693" s="2" t="s">
        <v>806</v>
      </c>
    </row>
    <row r="2694" spans="2:17" x14ac:dyDescent="0.25">
      <c r="B2694" s="2" t="s">
        <v>3499</v>
      </c>
      <c r="C2694" s="2" t="s">
        <v>290</v>
      </c>
      <c r="D2694" s="2" t="s">
        <v>291</v>
      </c>
      <c r="E2694" s="2" t="s">
        <v>287</v>
      </c>
      <c r="F2694" s="2" t="s">
        <v>535</v>
      </c>
      <c r="G2694" s="2" t="s">
        <v>475</v>
      </c>
      <c r="H2694" s="2" t="s">
        <v>476</v>
      </c>
      <c r="I2694" s="26">
        <v>45192</v>
      </c>
      <c r="J2694" s="2">
        <v>11</v>
      </c>
      <c r="K2694" s="2" t="s">
        <v>123</v>
      </c>
      <c r="L2694" s="22">
        <v>3700</v>
      </c>
      <c r="M2694" s="22">
        <v>40700</v>
      </c>
      <c r="N2694" s="18">
        <v>43.53</v>
      </c>
      <c r="O2694" s="26">
        <v>45432</v>
      </c>
      <c r="P2694" s="2" t="s">
        <v>2105</v>
      </c>
      <c r="Q2694" s="2" t="s">
        <v>814</v>
      </c>
    </row>
    <row r="2695" spans="2:17" x14ac:dyDescent="0.25">
      <c r="B2695" s="2" t="s">
        <v>3500</v>
      </c>
      <c r="C2695" s="2" t="s">
        <v>290</v>
      </c>
      <c r="D2695" s="2" t="s">
        <v>291</v>
      </c>
      <c r="E2695" s="2" t="s">
        <v>287</v>
      </c>
      <c r="F2695" s="2" t="s">
        <v>535</v>
      </c>
      <c r="G2695" s="2" t="s">
        <v>475</v>
      </c>
      <c r="H2695" s="2" t="s">
        <v>476</v>
      </c>
      <c r="I2695" s="26">
        <v>45230</v>
      </c>
      <c r="J2695" s="2">
        <v>9</v>
      </c>
      <c r="K2695" s="2" t="s">
        <v>123</v>
      </c>
      <c r="L2695" s="22">
        <v>3700</v>
      </c>
      <c r="M2695" s="22">
        <v>33300</v>
      </c>
      <c r="N2695" s="18">
        <v>35.61</v>
      </c>
      <c r="O2695" s="26">
        <v>45470</v>
      </c>
      <c r="P2695" s="2" t="s">
        <v>2105</v>
      </c>
      <c r="Q2695" s="2" t="s">
        <v>814</v>
      </c>
    </row>
    <row r="2696" spans="2:17" x14ac:dyDescent="0.25">
      <c r="B2696" s="2" t="s">
        <v>3501</v>
      </c>
      <c r="C2696" s="2" t="s">
        <v>290</v>
      </c>
      <c r="D2696" s="2" t="s">
        <v>291</v>
      </c>
      <c r="E2696" s="2" t="s">
        <v>287</v>
      </c>
      <c r="F2696" s="2" t="s">
        <v>535</v>
      </c>
      <c r="G2696" s="2" t="s">
        <v>475</v>
      </c>
      <c r="H2696" s="2" t="s">
        <v>476</v>
      </c>
      <c r="I2696" s="26">
        <v>45267</v>
      </c>
      <c r="J2696" s="2">
        <v>15</v>
      </c>
      <c r="K2696" s="2" t="s">
        <v>123</v>
      </c>
      <c r="L2696" s="22">
        <v>3700</v>
      </c>
      <c r="M2696" s="22">
        <v>55500</v>
      </c>
      <c r="N2696" s="18">
        <v>59.36</v>
      </c>
      <c r="O2696" s="26">
        <v>45507</v>
      </c>
      <c r="P2696" s="2" t="s">
        <v>2105</v>
      </c>
      <c r="Q2696" s="2" t="s">
        <v>825</v>
      </c>
    </row>
    <row r="2697" spans="2:17" x14ac:dyDescent="0.25">
      <c r="B2697" s="2" t="s">
        <v>3502</v>
      </c>
      <c r="C2697" s="2" t="s">
        <v>290</v>
      </c>
      <c r="D2697" s="2" t="s">
        <v>291</v>
      </c>
      <c r="E2697" s="2" t="s">
        <v>287</v>
      </c>
      <c r="F2697" s="2" t="s">
        <v>535</v>
      </c>
      <c r="G2697" s="2" t="s">
        <v>475</v>
      </c>
      <c r="H2697" s="2" t="s">
        <v>476</v>
      </c>
      <c r="I2697" s="26">
        <v>45302</v>
      </c>
      <c r="J2697" s="2">
        <v>11</v>
      </c>
      <c r="K2697" s="2" t="s">
        <v>123</v>
      </c>
      <c r="L2697" s="22">
        <v>3700</v>
      </c>
      <c r="M2697" s="22">
        <v>40700</v>
      </c>
      <c r="N2697" s="18">
        <v>43.53</v>
      </c>
      <c r="O2697" s="26">
        <v>45542</v>
      </c>
      <c r="P2697" s="2" t="s">
        <v>2105</v>
      </c>
      <c r="Q2697" s="2" t="s">
        <v>825</v>
      </c>
    </row>
    <row r="2698" spans="2:17" x14ac:dyDescent="0.25">
      <c r="B2698" s="2" t="s">
        <v>3503</v>
      </c>
      <c r="C2698" s="2" t="s">
        <v>290</v>
      </c>
      <c r="D2698" s="2" t="s">
        <v>291</v>
      </c>
      <c r="E2698" s="2" t="s">
        <v>287</v>
      </c>
      <c r="F2698" s="2" t="s">
        <v>535</v>
      </c>
      <c r="G2698" s="2" t="s">
        <v>475</v>
      </c>
      <c r="H2698" s="2" t="s">
        <v>476</v>
      </c>
      <c r="I2698" s="26">
        <v>45346</v>
      </c>
      <c r="J2698" s="2">
        <v>10</v>
      </c>
      <c r="K2698" s="2" t="s">
        <v>123</v>
      </c>
      <c r="L2698" s="22">
        <v>3700</v>
      </c>
      <c r="M2698" s="22">
        <v>37000</v>
      </c>
      <c r="N2698" s="18">
        <v>39.57</v>
      </c>
      <c r="O2698" s="26">
        <v>45586</v>
      </c>
      <c r="P2698" s="2" t="s">
        <v>2105</v>
      </c>
      <c r="Q2698" s="2" t="s">
        <v>825</v>
      </c>
    </row>
    <row r="2699" spans="2:17" x14ac:dyDescent="0.25">
      <c r="B2699" s="2" t="s">
        <v>3504</v>
      </c>
      <c r="C2699" s="2" t="s">
        <v>290</v>
      </c>
      <c r="D2699" s="2" t="s">
        <v>291</v>
      </c>
      <c r="E2699" s="2" t="s">
        <v>287</v>
      </c>
      <c r="F2699" s="2" t="s">
        <v>535</v>
      </c>
      <c r="G2699" s="2" t="s">
        <v>475</v>
      </c>
      <c r="H2699" s="2" t="s">
        <v>476</v>
      </c>
      <c r="I2699" s="26">
        <v>45377</v>
      </c>
      <c r="J2699" s="2">
        <v>9</v>
      </c>
      <c r="K2699" s="2" t="s">
        <v>123</v>
      </c>
      <c r="L2699" s="22">
        <v>3700</v>
      </c>
      <c r="M2699" s="22">
        <v>33300</v>
      </c>
      <c r="N2699" s="18">
        <v>35.61</v>
      </c>
      <c r="O2699" s="26">
        <v>45617</v>
      </c>
      <c r="P2699" s="2" t="s">
        <v>2105</v>
      </c>
      <c r="Q2699" s="2" t="s">
        <v>836</v>
      </c>
    </row>
    <row r="2700" spans="2:17" x14ac:dyDescent="0.25">
      <c r="B2700" s="2" t="s">
        <v>3505</v>
      </c>
      <c r="C2700" s="2" t="s">
        <v>290</v>
      </c>
      <c r="D2700" s="2" t="s">
        <v>291</v>
      </c>
      <c r="E2700" s="2" t="s">
        <v>287</v>
      </c>
      <c r="F2700" s="2" t="s">
        <v>535</v>
      </c>
      <c r="G2700" s="2" t="s">
        <v>475</v>
      </c>
      <c r="H2700" s="2" t="s">
        <v>476</v>
      </c>
      <c r="I2700" s="26">
        <v>45417</v>
      </c>
      <c r="J2700" s="2">
        <v>9</v>
      </c>
      <c r="K2700" s="2" t="s">
        <v>123</v>
      </c>
      <c r="L2700" s="22">
        <v>3700</v>
      </c>
      <c r="M2700" s="22">
        <v>33300</v>
      </c>
      <c r="N2700" s="18">
        <v>35.61</v>
      </c>
      <c r="O2700" s="26">
        <v>45657</v>
      </c>
      <c r="P2700" s="2" t="s">
        <v>2105</v>
      </c>
      <c r="Q2700" s="2" t="s">
        <v>836</v>
      </c>
    </row>
    <row r="2701" spans="2:17" x14ac:dyDescent="0.25">
      <c r="B2701" s="2" t="s">
        <v>3506</v>
      </c>
      <c r="C2701" s="2" t="s">
        <v>290</v>
      </c>
      <c r="D2701" s="2" t="s">
        <v>291</v>
      </c>
      <c r="E2701" s="2" t="s">
        <v>287</v>
      </c>
      <c r="F2701" s="2" t="s">
        <v>535</v>
      </c>
      <c r="G2701" s="2" t="s">
        <v>475</v>
      </c>
      <c r="H2701" s="2" t="s">
        <v>476</v>
      </c>
      <c r="I2701" s="26">
        <v>45456</v>
      </c>
      <c r="J2701" s="2">
        <v>9</v>
      </c>
      <c r="K2701" s="2" t="s">
        <v>123</v>
      </c>
      <c r="L2701" s="22">
        <v>3700</v>
      </c>
      <c r="M2701" s="22">
        <v>33300</v>
      </c>
      <c r="N2701" s="18">
        <v>35.61</v>
      </c>
      <c r="O2701" s="26">
        <v>45696</v>
      </c>
      <c r="P2701" s="2" t="s">
        <v>2105</v>
      </c>
      <c r="Q2701" s="2" t="s">
        <v>806</v>
      </c>
    </row>
    <row r="2702" spans="2:17" x14ac:dyDescent="0.25">
      <c r="B2702" s="2" t="s">
        <v>3507</v>
      </c>
      <c r="C2702" s="2" t="s">
        <v>290</v>
      </c>
      <c r="D2702" s="2" t="s">
        <v>291</v>
      </c>
      <c r="E2702" s="2" t="s">
        <v>287</v>
      </c>
      <c r="F2702" s="2" t="s">
        <v>535</v>
      </c>
      <c r="G2702" s="2" t="s">
        <v>475</v>
      </c>
      <c r="H2702" s="2" t="s">
        <v>476</v>
      </c>
      <c r="I2702" s="26">
        <v>45498</v>
      </c>
      <c r="J2702" s="2">
        <v>10</v>
      </c>
      <c r="K2702" s="2" t="s">
        <v>123</v>
      </c>
      <c r="L2702" s="22">
        <v>3700</v>
      </c>
      <c r="M2702" s="22">
        <v>37000</v>
      </c>
      <c r="N2702" s="18">
        <v>39.57</v>
      </c>
      <c r="O2702" s="26">
        <v>45738</v>
      </c>
      <c r="P2702" s="2" t="s">
        <v>2105</v>
      </c>
      <c r="Q2702" s="2" t="s">
        <v>806</v>
      </c>
    </row>
    <row r="2703" spans="2:17" x14ac:dyDescent="0.25">
      <c r="B2703" s="2" t="s">
        <v>3508</v>
      </c>
      <c r="C2703" s="2" t="s">
        <v>290</v>
      </c>
      <c r="D2703" s="2" t="s">
        <v>291</v>
      </c>
      <c r="E2703" s="2" t="s">
        <v>287</v>
      </c>
      <c r="F2703" s="2" t="s">
        <v>535</v>
      </c>
      <c r="G2703" s="2" t="s">
        <v>475</v>
      </c>
      <c r="H2703" s="2" t="s">
        <v>476</v>
      </c>
      <c r="I2703" s="26">
        <v>45531</v>
      </c>
      <c r="J2703" s="2">
        <v>11</v>
      </c>
      <c r="K2703" s="2" t="s">
        <v>123</v>
      </c>
      <c r="L2703" s="22">
        <v>3700</v>
      </c>
      <c r="M2703" s="22">
        <v>40700</v>
      </c>
      <c r="N2703" s="18">
        <v>43.53</v>
      </c>
      <c r="O2703" s="26">
        <v>45771</v>
      </c>
      <c r="P2703" s="2" t="s">
        <v>2105</v>
      </c>
      <c r="Q2703" s="2" t="s">
        <v>806</v>
      </c>
    </row>
    <row r="2704" spans="2:17" x14ac:dyDescent="0.25">
      <c r="B2704" s="2" t="s">
        <v>3509</v>
      </c>
      <c r="C2704" s="2" t="s">
        <v>290</v>
      </c>
      <c r="D2704" s="2" t="s">
        <v>291</v>
      </c>
      <c r="E2704" s="2" t="s">
        <v>287</v>
      </c>
      <c r="F2704" s="2" t="s">
        <v>535</v>
      </c>
      <c r="G2704" s="2" t="s">
        <v>475</v>
      </c>
      <c r="H2704" s="2" t="s">
        <v>476</v>
      </c>
      <c r="I2704" s="26">
        <v>45563</v>
      </c>
      <c r="J2704" s="2">
        <v>11</v>
      </c>
      <c r="K2704" s="2" t="s">
        <v>123</v>
      </c>
      <c r="L2704" s="22">
        <v>3700</v>
      </c>
      <c r="M2704" s="22">
        <v>40700</v>
      </c>
      <c r="N2704" s="18">
        <v>43.53</v>
      </c>
      <c r="O2704" s="26">
        <v>45803</v>
      </c>
      <c r="P2704" s="2" t="s">
        <v>2105</v>
      </c>
      <c r="Q2704" s="2" t="s">
        <v>814</v>
      </c>
    </row>
    <row r="2705" spans="2:17" x14ac:dyDescent="0.25">
      <c r="B2705" s="2" t="s">
        <v>3510</v>
      </c>
      <c r="C2705" s="2" t="s">
        <v>290</v>
      </c>
      <c r="D2705" s="2" t="s">
        <v>291</v>
      </c>
      <c r="E2705" s="2" t="s">
        <v>287</v>
      </c>
      <c r="F2705" s="2" t="s">
        <v>535</v>
      </c>
      <c r="G2705" s="2" t="s">
        <v>475</v>
      </c>
      <c r="H2705" s="2" t="s">
        <v>476</v>
      </c>
      <c r="I2705" s="26">
        <v>45602</v>
      </c>
      <c r="J2705" s="2">
        <v>10</v>
      </c>
      <c r="K2705" s="2" t="s">
        <v>123</v>
      </c>
      <c r="L2705" s="22">
        <v>3700</v>
      </c>
      <c r="M2705" s="22">
        <v>37000</v>
      </c>
      <c r="N2705" s="18">
        <v>39.57</v>
      </c>
      <c r="O2705" s="26">
        <v>45842</v>
      </c>
      <c r="P2705" s="2" t="s">
        <v>2105</v>
      </c>
      <c r="Q2705" s="2" t="s">
        <v>814</v>
      </c>
    </row>
    <row r="2706" spans="2:17" x14ac:dyDescent="0.25">
      <c r="B2706" s="2" t="s">
        <v>3511</v>
      </c>
      <c r="C2706" s="2" t="s">
        <v>290</v>
      </c>
      <c r="D2706" s="2" t="s">
        <v>291</v>
      </c>
      <c r="E2706" s="2" t="s">
        <v>287</v>
      </c>
      <c r="F2706" s="2" t="s">
        <v>535</v>
      </c>
      <c r="G2706" s="2" t="s">
        <v>475</v>
      </c>
      <c r="H2706" s="2" t="s">
        <v>476</v>
      </c>
      <c r="I2706" s="26">
        <v>45647</v>
      </c>
      <c r="J2706" s="2">
        <v>12</v>
      </c>
      <c r="K2706" s="2" t="s">
        <v>123</v>
      </c>
      <c r="L2706" s="22">
        <v>3700</v>
      </c>
      <c r="M2706" s="22">
        <v>44400</v>
      </c>
      <c r="N2706" s="18">
        <v>47.49</v>
      </c>
      <c r="O2706" s="26">
        <v>45887</v>
      </c>
      <c r="P2706" s="2" t="s">
        <v>2105</v>
      </c>
      <c r="Q2706" s="2" t="s">
        <v>825</v>
      </c>
    </row>
    <row r="2707" spans="2:17" x14ac:dyDescent="0.25">
      <c r="B2707" s="2" t="s">
        <v>3512</v>
      </c>
      <c r="C2707" s="2" t="s">
        <v>290</v>
      </c>
      <c r="D2707" s="2" t="s">
        <v>291</v>
      </c>
      <c r="E2707" s="2" t="s">
        <v>287</v>
      </c>
      <c r="F2707" s="2" t="s">
        <v>535</v>
      </c>
      <c r="G2707" s="2" t="s">
        <v>475</v>
      </c>
      <c r="H2707" s="2" t="s">
        <v>476</v>
      </c>
      <c r="I2707" s="26">
        <v>45670</v>
      </c>
      <c r="J2707" s="2">
        <v>9</v>
      </c>
      <c r="K2707" s="2" t="s">
        <v>123</v>
      </c>
      <c r="L2707" s="22">
        <v>3700</v>
      </c>
      <c r="M2707" s="22">
        <v>33300</v>
      </c>
      <c r="N2707" s="18">
        <v>35.61</v>
      </c>
      <c r="O2707" s="26">
        <v>45910</v>
      </c>
      <c r="P2707" s="2" t="s">
        <v>2105</v>
      </c>
      <c r="Q2707" s="2" t="s">
        <v>825</v>
      </c>
    </row>
    <row r="2708" spans="2:17" x14ac:dyDescent="0.25">
      <c r="B2708" s="2" t="s">
        <v>3513</v>
      </c>
      <c r="C2708" s="2" t="s">
        <v>290</v>
      </c>
      <c r="D2708" s="2" t="s">
        <v>291</v>
      </c>
      <c r="E2708" s="2" t="s">
        <v>287</v>
      </c>
      <c r="F2708" s="2" t="s">
        <v>535</v>
      </c>
      <c r="G2708" s="2" t="s">
        <v>475</v>
      </c>
      <c r="H2708" s="2" t="s">
        <v>476</v>
      </c>
      <c r="I2708" s="26">
        <v>45703</v>
      </c>
      <c r="J2708" s="2">
        <v>11</v>
      </c>
      <c r="K2708" s="2" t="s">
        <v>123</v>
      </c>
      <c r="L2708" s="22">
        <v>3700</v>
      </c>
      <c r="M2708" s="22">
        <v>40700</v>
      </c>
      <c r="N2708" s="18">
        <v>43.53</v>
      </c>
      <c r="O2708" s="26">
        <v>45943</v>
      </c>
      <c r="P2708" s="2" t="s">
        <v>2105</v>
      </c>
      <c r="Q2708" s="2" t="s">
        <v>825</v>
      </c>
    </row>
    <row r="2709" spans="2:17" x14ac:dyDescent="0.25">
      <c r="B2709" s="2" t="s">
        <v>3514</v>
      </c>
      <c r="C2709" s="2" t="s">
        <v>290</v>
      </c>
      <c r="D2709" s="2" t="s">
        <v>291</v>
      </c>
      <c r="E2709" s="2" t="s">
        <v>287</v>
      </c>
      <c r="F2709" s="2" t="s">
        <v>535</v>
      </c>
      <c r="G2709" s="2" t="s">
        <v>475</v>
      </c>
      <c r="H2709" s="2" t="s">
        <v>476</v>
      </c>
      <c r="I2709" s="26">
        <v>45734</v>
      </c>
      <c r="J2709" s="2">
        <v>10</v>
      </c>
      <c r="K2709" s="2" t="s">
        <v>123</v>
      </c>
      <c r="L2709" s="22">
        <v>3700</v>
      </c>
      <c r="M2709" s="22">
        <v>37000</v>
      </c>
      <c r="N2709" s="18">
        <v>39.57</v>
      </c>
      <c r="O2709" s="26">
        <v>45974</v>
      </c>
      <c r="P2709" s="2" t="s">
        <v>2105</v>
      </c>
      <c r="Q2709" s="2" t="s">
        <v>836</v>
      </c>
    </row>
    <row r="2710" spans="2:17" x14ac:dyDescent="0.25">
      <c r="B2710" s="2" t="s">
        <v>3515</v>
      </c>
      <c r="C2710" s="2" t="s">
        <v>290</v>
      </c>
      <c r="D2710" s="2" t="s">
        <v>291</v>
      </c>
      <c r="E2710" s="2" t="s">
        <v>287</v>
      </c>
      <c r="F2710" s="2" t="s">
        <v>535</v>
      </c>
      <c r="G2710" s="2" t="s">
        <v>475</v>
      </c>
      <c r="H2710" s="2" t="s">
        <v>476</v>
      </c>
      <c r="I2710" s="26">
        <v>45774</v>
      </c>
      <c r="J2710" s="2">
        <v>11</v>
      </c>
      <c r="K2710" s="2" t="s">
        <v>123</v>
      </c>
      <c r="L2710" s="22">
        <v>3700</v>
      </c>
      <c r="M2710" s="22">
        <v>40700</v>
      </c>
      <c r="N2710" s="18">
        <v>43.53</v>
      </c>
      <c r="O2710" s="26">
        <v>46014</v>
      </c>
      <c r="P2710" s="2" t="s">
        <v>2105</v>
      </c>
      <c r="Q2710" s="2" t="s">
        <v>836</v>
      </c>
    </row>
    <row r="2711" spans="2:17" x14ac:dyDescent="0.25">
      <c r="B2711" s="2" t="s">
        <v>3516</v>
      </c>
      <c r="C2711" s="2" t="s">
        <v>290</v>
      </c>
      <c r="D2711" s="2" t="s">
        <v>291</v>
      </c>
      <c r="E2711" s="2" t="s">
        <v>287</v>
      </c>
      <c r="F2711" s="2" t="s">
        <v>535</v>
      </c>
      <c r="G2711" s="2" t="s">
        <v>475</v>
      </c>
      <c r="H2711" s="2" t="s">
        <v>476</v>
      </c>
      <c r="I2711" s="26">
        <v>45812</v>
      </c>
      <c r="J2711" s="2">
        <v>10</v>
      </c>
      <c r="K2711" s="2" t="s">
        <v>123</v>
      </c>
      <c r="L2711" s="22">
        <v>3700</v>
      </c>
      <c r="M2711" s="22">
        <v>37000</v>
      </c>
      <c r="N2711" s="18">
        <v>39.57</v>
      </c>
      <c r="O2711" s="26">
        <v>46052</v>
      </c>
      <c r="P2711" s="2" t="s">
        <v>2105</v>
      </c>
      <c r="Q2711" s="2" t="s">
        <v>806</v>
      </c>
    </row>
    <row r="2712" spans="2:17" x14ac:dyDescent="0.25">
      <c r="B2712" s="2" t="s">
        <v>3517</v>
      </c>
      <c r="C2712" s="2" t="s">
        <v>292</v>
      </c>
      <c r="D2712" s="2" t="s">
        <v>293</v>
      </c>
      <c r="E2712" s="2" t="s">
        <v>287</v>
      </c>
      <c r="F2712" s="2" t="s">
        <v>535</v>
      </c>
      <c r="G2712" s="2" t="s">
        <v>475</v>
      </c>
      <c r="H2712" s="2" t="s">
        <v>476</v>
      </c>
      <c r="I2712" s="26">
        <v>45123</v>
      </c>
      <c r="J2712" s="2">
        <v>10</v>
      </c>
      <c r="K2712" s="2" t="s">
        <v>123</v>
      </c>
      <c r="L2712" s="22">
        <v>2550</v>
      </c>
      <c r="M2712" s="22">
        <v>25500</v>
      </c>
      <c r="N2712" s="18">
        <v>27.27</v>
      </c>
      <c r="O2712" s="26">
        <v>45363</v>
      </c>
      <c r="P2712" s="2" t="s">
        <v>2105</v>
      </c>
      <c r="Q2712" s="2" t="s">
        <v>806</v>
      </c>
    </row>
    <row r="2713" spans="2:17" x14ac:dyDescent="0.25">
      <c r="B2713" s="2" t="s">
        <v>3518</v>
      </c>
      <c r="C2713" s="2" t="s">
        <v>292</v>
      </c>
      <c r="D2713" s="2" t="s">
        <v>293</v>
      </c>
      <c r="E2713" s="2" t="s">
        <v>287</v>
      </c>
      <c r="F2713" s="2" t="s">
        <v>535</v>
      </c>
      <c r="G2713" s="2" t="s">
        <v>475</v>
      </c>
      <c r="H2713" s="2" t="s">
        <v>476</v>
      </c>
      <c r="I2713" s="26">
        <v>45155</v>
      </c>
      <c r="J2713" s="2">
        <v>10</v>
      </c>
      <c r="K2713" s="2" t="s">
        <v>123</v>
      </c>
      <c r="L2713" s="22">
        <v>2550</v>
      </c>
      <c r="M2713" s="22">
        <v>25500</v>
      </c>
      <c r="N2713" s="18">
        <v>27.27</v>
      </c>
      <c r="O2713" s="26">
        <v>45395</v>
      </c>
      <c r="P2713" s="2" t="s">
        <v>2105</v>
      </c>
      <c r="Q2713" s="2" t="s">
        <v>806</v>
      </c>
    </row>
    <row r="2714" spans="2:17" x14ac:dyDescent="0.25">
      <c r="B2714" s="2" t="s">
        <v>3519</v>
      </c>
      <c r="C2714" s="2" t="s">
        <v>292</v>
      </c>
      <c r="D2714" s="2" t="s">
        <v>293</v>
      </c>
      <c r="E2714" s="2" t="s">
        <v>287</v>
      </c>
      <c r="F2714" s="2" t="s">
        <v>535</v>
      </c>
      <c r="G2714" s="2" t="s">
        <v>475</v>
      </c>
      <c r="H2714" s="2" t="s">
        <v>476</v>
      </c>
      <c r="I2714" s="26">
        <v>45182</v>
      </c>
      <c r="J2714" s="2">
        <v>14</v>
      </c>
      <c r="K2714" s="2" t="s">
        <v>123</v>
      </c>
      <c r="L2714" s="22">
        <v>2550</v>
      </c>
      <c r="M2714" s="22">
        <v>35700</v>
      </c>
      <c r="N2714" s="18">
        <v>38.18</v>
      </c>
      <c r="O2714" s="26">
        <v>45422</v>
      </c>
      <c r="P2714" s="2" t="s">
        <v>2105</v>
      </c>
      <c r="Q2714" s="2" t="s">
        <v>814</v>
      </c>
    </row>
    <row r="2715" spans="2:17" x14ac:dyDescent="0.25">
      <c r="B2715" s="2" t="s">
        <v>3520</v>
      </c>
      <c r="C2715" s="2" t="s">
        <v>292</v>
      </c>
      <c r="D2715" s="2" t="s">
        <v>293</v>
      </c>
      <c r="E2715" s="2" t="s">
        <v>287</v>
      </c>
      <c r="F2715" s="2" t="s">
        <v>535</v>
      </c>
      <c r="G2715" s="2" t="s">
        <v>475</v>
      </c>
      <c r="H2715" s="2" t="s">
        <v>476</v>
      </c>
      <c r="I2715" s="26">
        <v>45221</v>
      </c>
      <c r="J2715" s="2">
        <v>11</v>
      </c>
      <c r="K2715" s="2" t="s">
        <v>123</v>
      </c>
      <c r="L2715" s="22">
        <v>2550</v>
      </c>
      <c r="M2715" s="22">
        <v>28050</v>
      </c>
      <c r="N2715" s="18">
        <v>30</v>
      </c>
      <c r="O2715" s="26">
        <v>45461</v>
      </c>
      <c r="P2715" s="2" t="s">
        <v>2105</v>
      </c>
      <c r="Q2715" s="2" t="s">
        <v>814</v>
      </c>
    </row>
    <row r="2716" spans="2:17" x14ac:dyDescent="0.25">
      <c r="B2716" s="2" t="s">
        <v>3521</v>
      </c>
      <c r="C2716" s="2" t="s">
        <v>292</v>
      </c>
      <c r="D2716" s="2" t="s">
        <v>293</v>
      </c>
      <c r="E2716" s="2" t="s">
        <v>287</v>
      </c>
      <c r="F2716" s="2" t="s">
        <v>535</v>
      </c>
      <c r="G2716" s="2" t="s">
        <v>475</v>
      </c>
      <c r="H2716" s="2" t="s">
        <v>476</v>
      </c>
      <c r="I2716" s="26">
        <v>45256</v>
      </c>
      <c r="J2716" s="2">
        <v>10</v>
      </c>
      <c r="K2716" s="2" t="s">
        <v>123</v>
      </c>
      <c r="L2716" s="22">
        <v>2550</v>
      </c>
      <c r="M2716" s="22">
        <v>25500</v>
      </c>
      <c r="N2716" s="18">
        <v>27.27</v>
      </c>
      <c r="O2716" s="26">
        <v>45496</v>
      </c>
      <c r="P2716" s="2" t="s">
        <v>2105</v>
      </c>
      <c r="Q2716" s="2" t="s">
        <v>814</v>
      </c>
    </row>
    <row r="2717" spans="2:17" x14ac:dyDescent="0.25">
      <c r="B2717" s="2" t="s">
        <v>3522</v>
      </c>
      <c r="C2717" s="2" t="s">
        <v>292</v>
      </c>
      <c r="D2717" s="2" t="s">
        <v>293</v>
      </c>
      <c r="E2717" s="2" t="s">
        <v>287</v>
      </c>
      <c r="F2717" s="2" t="s">
        <v>537</v>
      </c>
      <c r="G2717" s="2" t="s">
        <v>490</v>
      </c>
      <c r="H2717" s="2" t="s">
        <v>491</v>
      </c>
      <c r="I2717" s="26">
        <v>45296</v>
      </c>
      <c r="J2717" s="2">
        <v>10</v>
      </c>
      <c r="K2717" s="2" t="s">
        <v>123</v>
      </c>
      <c r="L2717" s="22">
        <v>2550</v>
      </c>
      <c r="M2717" s="22">
        <v>25500</v>
      </c>
      <c r="N2717" s="18">
        <v>27.27</v>
      </c>
      <c r="O2717" s="26">
        <v>45536</v>
      </c>
      <c r="P2717" s="2" t="s">
        <v>2105</v>
      </c>
      <c r="Q2717" s="2" t="s">
        <v>825</v>
      </c>
    </row>
    <row r="2718" spans="2:17" x14ac:dyDescent="0.25">
      <c r="B2718" s="2" t="s">
        <v>3523</v>
      </c>
      <c r="C2718" s="2" t="s">
        <v>292</v>
      </c>
      <c r="D2718" s="2" t="s">
        <v>293</v>
      </c>
      <c r="E2718" s="2" t="s">
        <v>287</v>
      </c>
      <c r="F2718" s="2" t="s">
        <v>535</v>
      </c>
      <c r="G2718" s="2" t="s">
        <v>475</v>
      </c>
      <c r="H2718" s="2" t="s">
        <v>476</v>
      </c>
      <c r="I2718" s="26">
        <v>45343</v>
      </c>
      <c r="J2718" s="2">
        <v>9</v>
      </c>
      <c r="K2718" s="2" t="s">
        <v>123</v>
      </c>
      <c r="L2718" s="22">
        <v>2550</v>
      </c>
      <c r="M2718" s="22">
        <v>22950</v>
      </c>
      <c r="N2718" s="18">
        <v>24.55</v>
      </c>
      <c r="O2718" s="26">
        <v>45583</v>
      </c>
      <c r="P2718" s="2" t="s">
        <v>2105</v>
      </c>
      <c r="Q2718" s="2" t="s">
        <v>825</v>
      </c>
    </row>
    <row r="2719" spans="2:17" x14ac:dyDescent="0.25">
      <c r="B2719" s="2" t="s">
        <v>3524</v>
      </c>
      <c r="C2719" s="2" t="s">
        <v>292</v>
      </c>
      <c r="D2719" s="2" t="s">
        <v>293</v>
      </c>
      <c r="E2719" s="2" t="s">
        <v>287</v>
      </c>
      <c r="F2719" s="2" t="s">
        <v>535</v>
      </c>
      <c r="G2719" s="2" t="s">
        <v>475</v>
      </c>
      <c r="H2719" s="2" t="s">
        <v>476</v>
      </c>
      <c r="I2719" s="26">
        <v>45372</v>
      </c>
      <c r="J2719" s="2">
        <v>10</v>
      </c>
      <c r="K2719" s="2" t="s">
        <v>123</v>
      </c>
      <c r="L2719" s="22">
        <v>2550</v>
      </c>
      <c r="M2719" s="22">
        <v>25500</v>
      </c>
      <c r="N2719" s="18">
        <v>27.27</v>
      </c>
      <c r="O2719" s="26">
        <v>45612</v>
      </c>
      <c r="P2719" s="2" t="s">
        <v>2105</v>
      </c>
      <c r="Q2719" s="2" t="s">
        <v>836</v>
      </c>
    </row>
    <row r="2720" spans="2:17" x14ac:dyDescent="0.25">
      <c r="B2720" s="2" t="s">
        <v>3525</v>
      </c>
      <c r="C2720" s="2" t="s">
        <v>292</v>
      </c>
      <c r="D2720" s="2" t="s">
        <v>293</v>
      </c>
      <c r="E2720" s="2" t="s">
        <v>287</v>
      </c>
      <c r="F2720" s="2" t="s">
        <v>535</v>
      </c>
      <c r="G2720" s="2" t="s">
        <v>475</v>
      </c>
      <c r="H2720" s="2" t="s">
        <v>476</v>
      </c>
      <c r="I2720" s="26">
        <v>45405</v>
      </c>
      <c r="J2720" s="2">
        <v>9</v>
      </c>
      <c r="K2720" s="2" t="s">
        <v>123</v>
      </c>
      <c r="L2720" s="22">
        <v>2550</v>
      </c>
      <c r="M2720" s="22">
        <v>22950</v>
      </c>
      <c r="N2720" s="18">
        <v>24.55</v>
      </c>
      <c r="O2720" s="26">
        <v>45645</v>
      </c>
      <c r="P2720" s="2" t="s">
        <v>2105</v>
      </c>
      <c r="Q2720" s="2" t="s">
        <v>836</v>
      </c>
    </row>
    <row r="2721" spans="2:17" x14ac:dyDescent="0.25">
      <c r="B2721" s="2" t="s">
        <v>3526</v>
      </c>
      <c r="C2721" s="2" t="s">
        <v>292</v>
      </c>
      <c r="D2721" s="2" t="s">
        <v>293</v>
      </c>
      <c r="E2721" s="2" t="s">
        <v>287</v>
      </c>
      <c r="F2721" s="2" t="s">
        <v>535</v>
      </c>
      <c r="G2721" s="2" t="s">
        <v>475</v>
      </c>
      <c r="H2721" s="2" t="s">
        <v>476</v>
      </c>
      <c r="I2721" s="26">
        <v>45436</v>
      </c>
      <c r="J2721" s="2">
        <v>11</v>
      </c>
      <c r="K2721" s="2" t="s">
        <v>123</v>
      </c>
      <c r="L2721" s="22">
        <v>2550</v>
      </c>
      <c r="M2721" s="22">
        <v>28050</v>
      </c>
      <c r="N2721" s="18">
        <v>30</v>
      </c>
      <c r="O2721" s="26">
        <v>45676</v>
      </c>
      <c r="P2721" s="2" t="s">
        <v>2105</v>
      </c>
      <c r="Q2721" s="2" t="s">
        <v>836</v>
      </c>
    </row>
    <row r="2722" spans="2:17" x14ac:dyDescent="0.25">
      <c r="B2722" s="2" t="s">
        <v>3527</v>
      </c>
      <c r="C2722" s="2" t="s">
        <v>292</v>
      </c>
      <c r="D2722" s="2" t="s">
        <v>293</v>
      </c>
      <c r="E2722" s="2" t="s">
        <v>287</v>
      </c>
      <c r="F2722" s="2" t="s">
        <v>535</v>
      </c>
      <c r="G2722" s="2" t="s">
        <v>475</v>
      </c>
      <c r="H2722" s="2" t="s">
        <v>476</v>
      </c>
      <c r="I2722" s="26">
        <v>45472</v>
      </c>
      <c r="J2722" s="2">
        <v>9</v>
      </c>
      <c r="K2722" s="2" t="s">
        <v>123</v>
      </c>
      <c r="L2722" s="22">
        <v>2550</v>
      </c>
      <c r="M2722" s="22">
        <v>22950</v>
      </c>
      <c r="N2722" s="18">
        <v>24.55</v>
      </c>
      <c r="O2722" s="26">
        <v>45712</v>
      </c>
      <c r="P2722" s="2" t="s">
        <v>2105</v>
      </c>
      <c r="Q2722" s="2" t="s">
        <v>806</v>
      </c>
    </row>
    <row r="2723" spans="2:17" x14ac:dyDescent="0.25">
      <c r="B2723" s="2" t="s">
        <v>3528</v>
      </c>
      <c r="C2723" s="2" t="s">
        <v>292</v>
      </c>
      <c r="D2723" s="2" t="s">
        <v>293</v>
      </c>
      <c r="E2723" s="2" t="s">
        <v>287</v>
      </c>
      <c r="F2723" s="2" t="s">
        <v>535</v>
      </c>
      <c r="G2723" s="2" t="s">
        <v>475</v>
      </c>
      <c r="H2723" s="2" t="s">
        <v>476</v>
      </c>
      <c r="I2723" s="26">
        <v>45499</v>
      </c>
      <c r="J2723" s="2">
        <v>9</v>
      </c>
      <c r="K2723" s="2" t="s">
        <v>123</v>
      </c>
      <c r="L2723" s="22">
        <v>2550</v>
      </c>
      <c r="M2723" s="22">
        <v>22950</v>
      </c>
      <c r="N2723" s="18">
        <v>24.55</v>
      </c>
      <c r="O2723" s="26">
        <v>45739</v>
      </c>
      <c r="P2723" s="2" t="s">
        <v>2105</v>
      </c>
      <c r="Q2723" s="2" t="s">
        <v>806</v>
      </c>
    </row>
    <row r="2724" spans="2:17" x14ac:dyDescent="0.25">
      <c r="B2724" s="2" t="s">
        <v>3529</v>
      </c>
      <c r="C2724" s="2" t="s">
        <v>292</v>
      </c>
      <c r="D2724" s="2" t="s">
        <v>293</v>
      </c>
      <c r="E2724" s="2" t="s">
        <v>287</v>
      </c>
      <c r="F2724" s="2" t="s">
        <v>535</v>
      </c>
      <c r="G2724" s="2" t="s">
        <v>475</v>
      </c>
      <c r="H2724" s="2" t="s">
        <v>476</v>
      </c>
      <c r="I2724" s="26">
        <v>45532</v>
      </c>
      <c r="J2724" s="2">
        <v>10</v>
      </c>
      <c r="K2724" s="2" t="s">
        <v>123</v>
      </c>
      <c r="L2724" s="22">
        <v>2550</v>
      </c>
      <c r="M2724" s="22">
        <v>25500</v>
      </c>
      <c r="N2724" s="18">
        <v>27.27</v>
      </c>
      <c r="O2724" s="26">
        <v>45772</v>
      </c>
      <c r="P2724" s="2" t="s">
        <v>2105</v>
      </c>
      <c r="Q2724" s="2" t="s">
        <v>806</v>
      </c>
    </row>
    <row r="2725" spans="2:17" x14ac:dyDescent="0.25">
      <c r="B2725" s="2" t="s">
        <v>3530</v>
      </c>
      <c r="C2725" s="2" t="s">
        <v>292</v>
      </c>
      <c r="D2725" s="2" t="s">
        <v>293</v>
      </c>
      <c r="E2725" s="2" t="s">
        <v>287</v>
      </c>
      <c r="F2725" s="2" t="s">
        <v>535</v>
      </c>
      <c r="G2725" s="2" t="s">
        <v>475</v>
      </c>
      <c r="H2725" s="2" t="s">
        <v>476</v>
      </c>
      <c r="I2725" s="26">
        <v>45572</v>
      </c>
      <c r="J2725" s="2">
        <v>9</v>
      </c>
      <c r="K2725" s="2" t="s">
        <v>123</v>
      </c>
      <c r="L2725" s="22">
        <v>2550</v>
      </c>
      <c r="M2725" s="22">
        <v>22950</v>
      </c>
      <c r="N2725" s="18">
        <v>24.55</v>
      </c>
      <c r="O2725" s="26">
        <v>45812</v>
      </c>
      <c r="P2725" s="2" t="s">
        <v>2105</v>
      </c>
      <c r="Q2725" s="2" t="s">
        <v>814</v>
      </c>
    </row>
    <row r="2726" spans="2:17" x14ac:dyDescent="0.25">
      <c r="B2726" s="2" t="s">
        <v>3531</v>
      </c>
      <c r="C2726" s="2" t="s">
        <v>292</v>
      </c>
      <c r="D2726" s="2" t="s">
        <v>293</v>
      </c>
      <c r="E2726" s="2" t="s">
        <v>287</v>
      </c>
      <c r="F2726" s="2" t="s">
        <v>537</v>
      </c>
      <c r="G2726" s="2" t="s">
        <v>490</v>
      </c>
      <c r="H2726" s="2" t="s">
        <v>491</v>
      </c>
      <c r="I2726" s="26">
        <v>45615</v>
      </c>
      <c r="J2726" s="2">
        <v>11</v>
      </c>
      <c r="K2726" s="2" t="s">
        <v>123</v>
      </c>
      <c r="L2726" s="22">
        <v>2550</v>
      </c>
      <c r="M2726" s="22">
        <v>28050</v>
      </c>
      <c r="N2726" s="18">
        <v>30</v>
      </c>
      <c r="O2726" s="26">
        <v>45855</v>
      </c>
      <c r="P2726" s="2" t="s">
        <v>2105</v>
      </c>
      <c r="Q2726" s="2" t="s">
        <v>814</v>
      </c>
    </row>
    <row r="2727" spans="2:17" x14ac:dyDescent="0.25">
      <c r="B2727" s="2" t="s">
        <v>3532</v>
      </c>
      <c r="C2727" s="2" t="s">
        <v>292</v>
      </c>
      <c r="D2727" s="2" t="s">
        <v>293</v>
      </c>
      <c r="E2727" s="2" t="s">
        <v>287</v>
      </c>
      <c r="F2727" s="2" t="s">
        <v>535</v>
      </c>
      <c r="G2727" s="2" t="s">
        <v>475</v>
      </c>
      <c r="H2727" s="2" t="s">
        <v>476</v>
      </c>
      <c r="I2727" s="26">
        <v>45652</v>
      </c>
      <c r="J2727" s="2">
        <v>12</v>
      </c>
      <c r="K2727" s="2" t="s">
        <v>123</v>
      </c>
      <c r="L2727" s="22">
        <v>2550</v>
      </c>
      <c r="M2727" s="22">
        <v>30600</v>
      </c>
      <c r="N2727" s="18">
        <v>32.729999999999997</v>
      </c>
      <c r="O2727" s="26">
        <v>45892</v>
      </c>
      <c r="P2727" s="2" t="s">
        <v>2105</v>
      </c>
      <c r="Q2727" s="2" t="s">
        <v>825</v>
      </c>
    </row>
    <row r="2728" spans="2:17" x14ac:dyDescent="0.25">
      <c r="B2728" s="2" t="s">
        <v>3533</v>
      </c>
      <c r="C2728" s="2" t="s">
        <v>292</v>
      </c>
      <c r="D2728" s="2" t="s">
        <v>293</v>
      </c>
      <c r="E2728" s="2" t="s">
        <v>287</v>
      </c>
      <c r="F2728" s="2" t="s">
        <v>535</v>
      </c>
      <c r="G2728" s="2" t="s">
        <v>475</v>
      </c>
      <c r="H2728" s="2" t="s">
        <v>476</v>
      </c>
      <c r="I2728" s="26">
        <v>45688</v>
      </c>
      <c r="J2728" s="2">
        <v>10</v>
      </c>
      <c r="K2728" s="2" t="s">
        <v>123</v>
      </c>
      <c r="L2728" s="22">
        <v>2550</v>
      </c>
      <c r="M2728" s="22">
        <v>25500</v>
      </c>
      <c r="N2728" s="18">
        <v>27.27</v>
      </c>
      <c r="O2728" s="26">
        <v>45928</v>
      </c>
      <c r="P2728" s="2" t="s">
        <v>2105</v>
      </c>
      <c r="Q2728" s="2" t="s">
        <v>825</v>
      </c>
    </row>
    <row r="2729" spans="2:17" x14ac:dyDescent="0.25">
      <c r="B2729" s="2" t="s">
        <v>3534</v>
      </c>
      <c r="C2729" s="2" t="s">
        <v>292</v>
      </c>
      <c r="D2729" s="2" t="s">
        <v>293</v>
      </c>
      <c r="E2729" s="2" t="s">
        <v>287</v>
      </c>
      <c r="F2729" s="2" t="s">
        <v>537</v>
      </c>
      <c r="G2729" s="2" t="s">
        <v>490</v>
      </c>
      <c r="H2729" s="2" t="s">
        <v>491</v>
      </c>
      <c r="I2729" s="26">
        <v>45726</v>
      </c>
      <c r="J2729" s="2">
        <v>12</v>
      </c>
      <c r="K2729" s="2" t="s">
        <v>123</v>
      </c>
      <c r="L2729" s="22">
        <v>2550</v>
      </c>
      <c r="M2729" s="22">
        <v>30600</v>
      </c>
      <c r="N2729" s="18">
        <v>32.729999999999997</v>
      </c>
      <c r="O2729" s="26">
        <v>45966</v>
      </c>
      <c r="P2729" s="2" t="s">
        <v>2105</v>
      </c>
      <c r="Q2729" s="2" t="s">
        <v>836</v>
      </c>
    </row>
    <row r="2730" spans="2:17" x14ac:dyDescent="0.25">
      <c r="B2730" s="2" t="s">
        <v>3535</v>
      </c>
      <c r="C2730" s="2" t="s">
        <v>292</v>
      </c>
      <c r="D2730" s="2" t="s">
        <v>293</v>
      </c>
      <c r="E2730" s="2" t="s">
        <v>287</v>
      </c>
      <c r="F2730" s="2" t="s">
        <v>535</v>
      </c>
      <c r="G2730" s="2" t="s">
        <v>475</v>
      </c>
      <c r="H2730" s="2" t="s">
        <v>476</v>
      </c>
      <c r="I2730" s="26">
        <v>45759</v>
      </c>
      <c r="J2730" s="2">
        <v>11</v>
      </c>
      <c r="K2730" s="2" t="s">
        <v>123</v>
      </c>
      <c r="L2730" s="22">
        <v>2550</v>
      </c>
      <c r="M2730" s="22">
        <v>28050</v>
      </c>
      <c r="N2730" s="18">
        <v>30</v>
      </c>
      <c r="O2730" s="26">
        <v>45999</v>
      </c>
      <c r="P2730" s="2" t="s">
        <v>2105</v>
      </c>
      <c r="Q2730" s="2" t="s">
        <v>836</v>
      </c>
    </row>
    <row r="2731" spans="2:17" x14ac:dyDescent="0.25">
      <c r="B2731" s="2" t="s">
        <v>3536</v>
      </c>
      <c r="C2731" s="2" t="s">
        <v>292</v>
      </c>
      <c r="D2731" s="2" t="s">
        <v>293</v>
      </c>
      <c r="E2731" s="2" t="s">
        <v>287</v>
      </c>
      <c r="F2731" s="2" t="s">
        <v>535</v>
      </c>
      <c r="G2731" s="2" t="s">
        <v>475</v>
      </c>
      <c r="H2731" s="2" t="s">
        <v>476</v>
      </c>
      <c r="I2731" s="26">
        <v>45788</v>
      </c>
      <c r="J2731" s="2">
        <v>11</v>
      </c>
      <c r="K2731" s="2" t="s">
        <v>123</v>
      </c>
      <c r="L2731" s="22">
        <v>2550</v>
      </c>
      <c r="M2731" s="22">
        <v>28050</v>
      </c>
      <c r="N2731" s="18">
        <v>30</v>
      </c>
      <c r="O2731" s="26">
        <v>46028</v>
      </c>
      <c r="P2731" s="2" t="s">
        <v>2105</v>
      </c>
      <c r="Q2731" s="2" t="s">
        <v>836</v>
      </c>
    </row>
    <row r="2732" spans="2:17" x14ac:dyDescent="0.25">
      <c r="B2732" s="2" t="s">
        <v>3537</v>
      </c>
      <c r="C2732" s="2" t="s">
        <v>292</v>
      </c>
      <c r="D2732" s="2" t="s">
        <v>293</v>
      </c>
      <c r="E2732" s="2" t="s">
        <v>287</v>
      </c>
      <c r="F2732" s="2" t="s">
        <v>535</v>
      </c>
      <c r="G2732" s="2" t="s">
        <v>475</v>
      </c>
      <c r="H2732" s="2" t="s">
        <v>476</v>
      </c>
      <c r="I2732" s="26">
        <v>45826</v>
      </c>
      <c r="J2732" s="2">
        <v>12</v>
      </c>
      <c r="K2732" s="2" t="s">
        <v>123</v>
      </c>
      <c r="L2732" s="22">
        <v>2550</v>
      </c>
      <c r="M2732" s="22">
        <v>30600</v>
      </c>
      <c r="N2732" s="18">
        <v>32.729999999999997</v>
      </c>
      <c r="O2732" s="26">
        <v>46066</v>
      </c>
      <c r="P2732" s="2" t="s">
        <v>2105</v>
      </c>
      <c r="Q2732" s="2" t="s">
        <v>806</v>
      </c>
    </row>
    <row r="2733" spans="2:17" x14ac:dyDescent="0.25">
      <c r="B2733" s="2" t="s">
        <v>3538</v>
      </c>
      <c r="C2733" s="2" t="s">
        <v>294</v>
      </c>
      <c r="D2733" s="2" t="s">
        <v>295</v>
      </c>
      <c r="E2733" s="2" t="s">
        <v>287</v>
      </c>
      <c r="F2733" s="2" t="s">
        <v>535</v>
      </c>
      <c r="G2733" s="2" t="s">
        <v>475</v>
      </c>
      <c r="H2733" s="2" t="s">
        <v>476</v>
      </c>
      <c r="I2733" s="26">
        <v>45136</v>
      </c>
      <c r="J2733" s="2">
        <v>11</v>
      </c>
      <c r="K2733" s="2" t="s">
        <v>123</v>
      </c>
      <c r="L2733" s="22">
        <v>3300</v>
      </c>
      <c r="M2733" s="22">
        <v>36300</v>
      </c>
      <c r="N2733" s="18">
        <v>38.82</v>
      </c>
      <c r="O2733" s="26">
        <v>45376</v>
      </c>
      <c r="P2733" s="2" t="s">
        <v>2105</v>
      </c>
      <c r="Q2733" s="2" t="s">
        <v>806</v>
      </c>
    </row>
    <row r="2734" spans="2:17" x14ac:dyDescent="0.25">
      <c r="B2734" s="2" t="s">
        <v>3539</v>
      </c>
      <c r="C2734" s="2" t="s">
        <v>294</v>
      </c>
      <c r="D2734" s="2" t="s">
        <v>295</v>
      </c>
      <c r="E2734" s="2" t="s">
        <v>287</v>
      </c>
      <c r="F2734" s="2" t="s">
        <v>535</v>
      </c>
      <c r="G2734" s="2" t="s">
        <v>475</v>
      </c>
      <c r="H2734" s="2" t="s">
        <v>476</v>
      </c>
      <c r="I2734" s="26">
        <v>45172</v>
      </c>
      <c r="J2734" s="2">
        <v>13</v>
      </c>
      <c r="K2734" s="2" t="s">
        <v>123</v>
      </c>
      <c r="L2734" s="22">
        <v>3300</v>
      </c>
      <c r="M2734" s="22">
        <v>42900</v>
      </c>
      <c r="N2734" s="18">
        <v>45.88</v>
      </c>
      <c r="O2734" s="26">
        <v>45412</v>
      </c>
      <c r="P2734" s="2" t="s">
        <v>2105</v>
      </c>
      <c r="Q2734" s="2" t="s">
        <v>814</v>
      </c>
    </row>
    <row r="2735" spans="2:17" x14ac:dyDescent="0.25">
      <c r="B2735" s="2" t="s">
        <v>3540</v>
      </c>
      <c r="C2735" s="2" t="s">
        <v>294</v>
      </c>
      <c r="D2735" s="2" t="s">
        <v>295</v>
      </c>
      <c r="E2735" s="2" t="s">
        <v>287</v>
      </c>
      <c r="F2735" s="2" t="s">
        <v>535</v>
      </c>
      <c r="G2735" s="2" t="s">
        <v>475</v>
      </c>
      <c r="H2735" s="2" t="s">
        <v>476</v>
      </c>
      <c r="I2735" s="26">
        <v>45202</v>
      </c>
      <c r="J2735" s="2">
        <v>11</v>
      </c>
      <c r="K2735" s="2" t="s">
        <v>123</v>
      </c>
      <c r="L2735" s="22">
        <v>3300</v>
      </c>
      <c r="M2735" s="22">
        <v>36300</v>
      </c>
      <c r="N2735" s="18">
        <v>38.82</v>
      </c>
      <c r="O2735" s="26">
        <v>45442</v>
      </c>
      <c r="P2735" s="2" t="s">
        <v>2105</v>
      </c>
      <c r="Q2735" s="2" t="s">
        <v>814</v>
      </c>
    </row>
    <row r="2736" spans="2:17" x14ac:dyDescent="0.25">
      <c r="B2736" s="2" t="s">
        <v>3541</v>
      </c>
      <c r="C2736" s="2" t="s">
        <v>294</v>
      </c>
      <c r="D2736" s="2" t="s">
        <v>295</v>
      </c>
      <c r="E2736" s="2" t="s">
        <v>287</v>
      </c>
      <c r="F2736" s="2" t="s">
        <v>535</v>
      </c>
      <c r="G2736" s="2" t="s">
        <v>475</v>
      </c>
      <c r="H2736" s="2" t="s">
        <v>476</v>
      </c>
      <c r="I2736" s="26">
        <v>45238</v>
      </c>
      <c r="J2736" s="2">
        <v>10</v>
      </c>
      <c r="K2736" s="2" t="s">
        <v>123</v>
      </c>
      <c r="L2736" s="22">
        <v>3300</v>
      </c>
      <c r="M2736" s="22">
        <v>33000</v>
      </c>
      <c r="N2736" s="18">
        <v>35.29</v>
      </c>
      <c r="O2736" s="26">
        <v>45478</v>
      </c>
      <c r="P2736" s="2" t="s">
        <v>2105</v>
      </c>
      <c r="Q2736" s="2" t="s">
        <v>814</v>
      </c>
    </row>
    <row r="2737" spans="2:17" x14ac:dyDescent="0.25">
      <c r="B2737" s="2" t="s">
        <v>3542</v>
      </c>
      <c r="C2737" s="2" t="s">
        <v>294</v>
      </c>
      <c r="D2737" s="2" t="s">
        <v>295</v>
      </c>
      <c r="E2737" s="2" t="s">
        <v>287</v>
      </c>
      <c r="F2737" s="2" t="s">
        <v>535</v>
      </c>
      <c r="G2737" s="2" t="s">
        <v>475</v>
      </c>
      <c r="H2737" s="2" t="s">
        <v>476</v>
      </c>
      <c r="I2737" s="26">
        <v>45279</v>
      </c>
      <c r="J2737" s="2">
        <v>13</v>
      </c>
      <c r="K2737" s="2" t="s">
        <v>123</v>
      </c>
      <c r="L2737" s="22">
        <v>3300</v>
      </c>
      <c r="M2737" s="22">
        <v>42900</v>
      </c>
      <c r="N2737" s="18">
        <v>45.88</v>
      </c>
      <c r="O2737" s="26">
        <v>45519</v>
      </c>
      <c r="P2737" s="2" t="s">
        <v>2105</v>
      </c>
      <c r="Q2737" s="2" t="s">
        <v>825</v>
      </c>
    </row>
    <row r="2738" spans="2:17" x14ac:dyDescent="0.25">
      <c r="B2738" s="2" t="s">
        <v>3543</v>
      </c>
      <c r="C2738" s="2" t="s">
        <v>294</v>
      </c>
      <c r="D2738" s="2" t="s">
        <v>295</v>
      </c>
      <c r="E2738" s="2" t="s">
        <v>287</v>
      </c>
      <c r="F2738" s="2" t="s">
        <v>535</v>
      </c>
      <c r="G2738" s="2" t="s">
        <v>475</v>
      </c>
      <c r="H2738" s="2" t="s">
        <v>476</v>
      </c>
      <c r="I2738" s="26">
        <v>45308</v>
      </c>
      <c r="J2738" s="2">
        <v>11</v>
      </c>
      <c r="K2738" s="2" t="s">
        <v>123</v>
      </c>
      <c r="L2738" s="22">
        <v>3300</v>
      </c>
      <c r="M2738" s="22">
        <v>36300</v>
      </c>
      <c r="N2738" s="18">
        <v>38.82</v>
      </c>
      <c r="O2738" s="26">
        <v>45548</v>
      </c>
      <c r="P2738" s="2" t="s">
        <v>2105</v>
      </c>
      <c r="Q2738" s="2" t="s">
        <v>825</v>
      </c>
    </row>
    <row r="2739" spans="2:17" x14ac:dyDescent="0.25">
      <c r="B2739" s="2" t="s">
        <v>3544</v>
      </c>
      <c r="C2739" s="2" t="s">
        <v>294</v>
      </c>
      <c r="D2739" s="2" t="s">
        <v>295</v>
      </c>
      <c r="E2739" s="2" t="s">
        <v>287</v>
      </c>
      <c r="F2739" s="2" t="s">
        <v>535</v>
      </c>
      <c r="G2739" s="2" t="s">
        <v>475</v>
      </c>
      <c r="H2739" s="2" t="s">
        <v>476</v>
      </c>
      <c r="I2739" s="26">
        <v>45351</v>
      </c>
      <c r="J2739" s="2">
        <v>10</v>
      </c>
      <c r="K2739" s="2" t="s">
        <v>123</v>
      </c>
      <c r="L2739" s="22">
        <v>3300</v>
      </c>
      <c r="M2739" s="22">
        <v>33000</v>
      </c>
      <c r="N2739" s="18">
        <v>35.29</v>
      </c>
      <c r="O2739" s="26">
        <v>45591</v>
      </c>
      <c r="P2739" s="2" t="s">
        <v>2105</v>
      </c>
      <c r="Q2739" s="2" t="s">
        <v>825</v>
      </c>
    </row>
    <row r="2740" spans="2:17" x14ac:dyDescent="0.25">
      <c r="B2740" s="2" t="s">
        <v>3545</v>
      </c>
      <c r="C2740" s="2" t="s">
        <v>294</v>
      </c>
      <c r="D2740" s="2" t="s">
        <v>295</v>
      </c>
      <c r="E2740" s="2" t="s">
        <v>287</v>
      </c>
      <c r="F2740" s="2" t="s">
        <v>535</v>
      </c>
      <c r="G2740" s="2" t="s">
        <v>475</v>
      </c>
      <c r="H2740" s="2" t="s">
        <v>476</v>
      </c>
      <c r="I2740" s="26">
        <v>45376</v>
      </c>
      <c r="J2740" s="2">
        <v>11</v>
      </c>
      <c r="K2740" s="2" t="s">
        <v>123</v>
      </c>
      <c r="L2740" s="22">
        <v>3300</v>
      </c>
      <c r="M2740" s="22">
        <v>36300</v>
      </c>
      <c r="N2740" s="18">
        <v>38.82</v>
      </c>
      <c r="O2740" s="26">
        <v>45616</v>
      </c>
      <c r="P2740" s="2" t="s">
        <v>2105</v>
      </c>
      <c r="Q2740" s="2" t="s">
        <v>836</v>
      </c>
    </row>
    <row r="2741" spans="2:17" x14ac:dyDescent="0.25">
      <c r="B2741" s="2" t="s">
        <v>3546</v>
      </c>
      <c r="C2741" s="2" t="s">
        <v>294</v>
      </c>
      <c r="D2741" s="2" t="s">
        <v>295</v>
      </c>
      <c r="E2741" s="2" t="s">
        <v>287</v>
      </c>
      <c r="F2741" s="2" t="s">
        <v>535</v>
      </c>
      <c r="G2741" s="2" t="s">
        <v>475</v>
      </c>
      <c r="H2741" s="2" t="s">
        <v>476</v>
      </c>
      <c r="I2741" s="26">
        <v>45416</v>
      </c>
      <c r="J2741" s="2">
        <v>11</v>
      </c>
      <c r="K2741" s="2" t="s">
        <v>123</v>
      </c>
      <c r="L2741" s="22">
        <v>3300</v>
      </c>
      <c r="M2741" s="22">
        <v>36300</v>
      </c>
      <c r="N2741" s="18">
        <v>38.82</v>
      </c>
      <c r="O2741" s="26">
        <v>45656</v>
      </c>
      <c r="P2741" s="2" t="s">
        <v>2105</v>
      </c>
      <c r="Q2741" s="2" t="s">
        <v>836</v>
      </c>
    </row>
    <row r="2742" spans="2:17" x14ac:dyDescent="0.25">
      <c r="B2742" s="2" t="s">
        <v>3547</v>
      </c>
      <c r="C2742" s="2" t="s">
        <v>294</v>
      </c>
      <c r="D2742" s="2" t="s">
        <v>295</v>
      </c>
      <c r="E2742" s="2" t="s">
        <v>287</v>
      </c>
      <c r="F2742" s="2" t="s">
        <v>535</v>
      </c>
      <c r="G2742" s="2" t="s">
        <v>475</v>
      </c>
      <c r="H2742" s="2" t="s">
        <v>476</v>
      </c>
      <c r="I2742" s="26">
        <v>45456</v>
      </c>
      <c r="J2742" s="2">
        <v>9</v>
      </c>
      <c r="K2742" s="2" t="s">
        <v>123</v>
      </c>
      <c r="L2742" s="22">
        <v>3300</v>
      </c>
      <c r="M2742" s="22">
        <v>29700</v>
      </c>
      <c r="N2742" s="18">
        <v>31.76</v>
      </c>
      <c r="O2742" s="26">
        <v>45696</v>
      </c>
      <c r="P2742" s="2" t="s">
        <v>2105</v>
      </c>
      <c r="Q2742" s="2" t="s">
        <v>806</v>
      </c>
    </row>
    <row r="2743" spans="2:17" x14ac:dyDescent="0.25">
      <c r="B2743" s="2" t="s">
        <v>3548</v>
      </c>
      <c r="C2743" s="2" t="s">
        <v>294</v>
      </c>
      <c r="D2743" s="2" t="s">
        <v>295</v>
      </c>
      <c r="E2743" s="2" t="s">
        <v>287</v>
      </c>
      <c r="F2743" s="2" t="s">
        <v>535</v>
      </c>
      <c r="G2743" s="2" t="s">
        <v>475</v>
      </c>
      <c r="H2743" s="2" t="s">
        <v>476</v>
      </c>
      <c r="I2743" s="26">
        <v>45491</v>
      </c>
      <c r="J2743" s="2">
        <v>11</v>
      </c>
      <c r="K2743" s="2" t="s">
        <v>123</v>
      </c>
      <c r="L2743" s="22">
        <v>3300</v>
      </c>
      <c r="M2743" s="22">
        <v>36300</v>
      </c>
      <c r="N2743" s="18">
        <v>38.82</v>
      </c>
      <c r="O2743" s="26">
        <v>45731</v>
      </c>
      <c r="P2743" s="2" t="s">
        <v>2105</v>
      </c>
      <c r="Q2743" s="2" t="s">
        <v>806</v>
      </c>
    </row>
    <row r="2744" spans="2:17" x14ac:dyDescent="0.25">
      <c r="B2744" s="2" t="s">
        <v>3549</v>
      </c>
      <c r="C2744" s="2" t="s">
        <v>294</v>
      </c>
      <c r="D2744" s="2" t="s">
        <v>295</v>
      </c>
      <c r="E2744" s="2" t="s">
        <v>287</v>
      </c>
      <c r="F2744" s="2" t="s">
        <v>537</v>
      </c>
      <c r="G2744" s="2" t="s">
        <v>490</v>
      </c>
      <c r="H2744" s="2" t="s">
        <v>491</v>
      </c>
      <c r="I2744" s="26">
        <v>45528</v>
      </c>
      <c r="J2744" s="2">
        <v>10</v>
      </c>
      <c r="K2744" s="2" t="s">
        <v>123</v>
      </c>
      <c r="L2744" s="22">
        <v>3450</v>
      </c>
      <c r="M2744" s="22">
        <v>34500</v>
      </c>
      <c r="N2744" s="18">
        <v>36.9</v>
      </c>
      <c r="O2744" s="26">
        <v>45768</v>
      </c>
      <c r="P2744" s="2" t="s">
        <v>2105</v>
      </c>
      <c r="Q2744" s="2" t="s">
        <v>806</v>
      </c>
    </row>
    <row r="2745" spans="2:17" x14ac:dyDescent="0.25">
      <c r="B2745" s="2" t="s">
        <v>3550</v>
      </c>
      <c r="C2745" s="2" t="s">
        <v>294</v>
      </c>
      <c r="D2745" s="2" t="s">
        <v>295</v>
      </c>
      <c r="E2745" s="2" t="s">
        <v>287</v>
      </c>
      <c r="F2745" s="2" t="s">
        <v>535</v>
      </c>
      <c r="G2745" s="2" t="s">
        <v>475</v>
      </c>
      <c r="H2745" s="2" t="s">
        <v>476</v>
      </c>
      <c r="I2745" s="26">
        <v>45557</v>
      </c>
      <c r="J2745" s="2">
        <v>14</v>
      </c>
      <c r="K2745" s="2" t="s">
        <v>123</v>
      </c>
      <c r="L2745" s="22">
        <v>3300</v>
      </c>
      <c r="M2745" s="22">
        <v>46200</v>
      </c>
      <c r="N2745" s="18">
        <v>49.41</v>
      </c>
      <c r="O2745" s="26">
        <v>45797</v>
      </c>
      <c r="P2745" s="2" t="s">
        <v>2105</v>
      </c>
      <c r="Q2745" s="2" t="s">
        <v>814</v>
      </c>
    </row>
    <row r="2746" spans="2:17" x14ac:dyDescent="0.25">
      <c r="B2746" s="2" t="s">
        <v>3551</v>
      </c>
      <c r="C2746" s="2" t="s">
        <v>294</v>
      </c>
      <c r="D2746" s="2" t="s">
        <v>295</v>
      </c>
      <c r="E2746" s="2" t="s">
        <v>287</v>
      </c>
      <c r="F2746" s="2" t="s">
        <v>535</v>
      </c>
      <c r="G2746" s="2" t="s">
        <v>475</v>
      </c>
      <c r="H2746" s="2" t="s">
        <v>476</v>
      </c>
      <c r="I2746" s="26">
        <v>45584</v>
      </c>
      <c r="J2746" s="2">
        <v>11</v>
      </c>
      <c r="K2746" s="2" t="s">
        <v>123</v>
      </c>
      <c r="L2746" s="22">
        <v>3300</v>
      </c>
      <c r="M2746" s="22">
        <v>36300</v>
      </c>
      <c r="N2746" s="18">
        <v>38.82</v>
      </c>
      <c r="O2746" s="26">
        <v>45824</v>
      </c>
      <c r="P2746" s="2" t="s">
        <v>2105</v>
      </c>
      <c r="Q2746" s="2" t="s">
        <v>814</v>
      </c>
    </row>
    <row r="2747" spans="2:17" x14ac:dyDescent="0.25">
      <c r="B2747" s="2" t="s">
        <v>3552</v>
      </c>
      <c r="C2747" s="2" t="s">
        <v>294</v>
      </c>
      <c r="D2747" s="2" t="s">
        <v>295</v>
      </c>
      <c r="E2747" s="2" t="s">
        <v>287</v>
      </c>
      <c r="F2747" s="2" t="s">
        <v>537</v>
      </c>
      <c r="G2747" s="2" t="s">
        <v>490</v>
      </c>
      <c r="H2747" s="2" t="s">
        <v>491</v>
      </c>
      <c r="I2747" s="26">
        <v>45616</v>
      </c>
      <c r="J2747" s="2">
        <v>11</v>
      </c>
      <c r="K2747" s="2" t="s">
        <v>123</v>
      </c>
      <c r="L2747" s="22">
        <v>3450</v>
      </c>
      <c r="M2747" s="22">
        <v>37950</v>
      </c>
      <c r="N2747" s="18">
        <v>40.590000000000003</v>
      </c>
      <c r="O2747" s="26">
        <v>45856</v>
      </c>
      <c r="P2747" s="2" t="s">
        <v>2105</v>
      </c>
      <c r="Q2747" s="2" t="s">
        <v>814</v>
      </c>
    </row>
    <row r="2748" spans="2:17" x14ac:dyDescent="0.25">
      <c r="B2748" s="2" t="s">
        <v>3553</v>
      </c>
      <c r="C2748" s="2" t="s">
        <v>294</v>
      </c>
      <c r="D2748" s="2" t="s">
        <v>295</v>
      </c>
      <c r="E2748" s="2" t="s">
        <v>287</v>
      </c>
      <c r="F2748" s="2" t="s">
        <v>535</v>
      </c>
      <c r="G2748" s="2" t="s">
        <v>475</v>
      </c>
      <c r="H2748" s="2" t="s">
        <v>476</v>
      </c>
      <c r="I2748" s="26">
        <v>45648</v>
      </c>
      <c r="J2748" s="2">
        <v>14</v>
      </c>
      <c r="K2748" s="2" t="s">
        <v>123</v>
      </c>
      <c r="L2748" s="22">
        <v>3300</v>
      </c>
      <c r="M2748" s="22">
        <v>46200</v>
      </c>
      <c r="N2748" s="18">
        <v>49.41</v>
      </c>
      <c r="O2748" s="26">
        <v>45888</v>
      </c>
      <c r="P2748" s="2" t="s">
        <v>2105</v>
      </c>
      <c r="Q2748" s="2" t="s">
        <v>825</v>
      </c>
    </row>
    <row r="2749" spans="2:17" x14ac:dyDescent="0.25">
      <c r="B2749" s="2" t="s">
        <v>3554</v>
      </c>
      <c r="C2749" s="2" t="s">
        <v>294</v>
      </c>
      <c r="D2749" s="2" t="s">
        <v>295</v>
      </c>
      <c r="E2749" s="2" t="s">
        <v>287</v>
      </c>
      <c r="F2749" s="2" t="s">
        <v>535</v>
      </c>
      <c r="G2749" s="2" t="s">
        <v>475</v>
      </c>
      <c r="H2749" s="2" t="s">
        <v>476</v>
      </c>
      <c r="I2749" s="26">
        <v>45683</v>
      </c>
      <c r="J2749" s="2">
        <v>10</v>
      </c>
      <c r="K2749" s="2" t="s">
        <v>123</v>
      </c>
      <c r="L2749" s="22">
        <v>3300</v>
      </c>
      <c r="M2749" s="22">
        <v>33000</v>
      </c>
      <c r="N2749" s="18">
        <v>35.29</v>
      </c>
      <c r="O2749" s="26">
        <v>45923</v>
      </c>
      <c r="P2749" s="2" t="s">
        <v>2105</v>
      </c>
      <c r="Q2749" s="2" t="s">
        <v>825</v>
      </c>
    </row>
    <row r="2750" spans="2:17" x14ac:dyDescent="0.25">
      <c r="B2750" s="2" t="s">
        <v>3555</v>
      </c>
      <c r="C2750" s="2" t="s">
        <v>294</v>
      </c>
      <c r="D2750" s="2" t="s">
        <v>295</v>
      </c>
      <c r="E2750" s="2" t="s">
        <v>287</v>
      </c>
      <c r="F2750" s="2" t="s">
        <v>535</v>
      </c>
      <c r="G2750" s="2" t="s">
        <v>475</v>
      </c>
      <c r="H2750" s="2" t="s">
        <v>476</v>
      </c>
      <c r="I2750" s="26">
        <v>45704</v>
      </c>
      <c r="J2750" s="2">
        <v>10</v>
      </c>
      <c r="K2750" s="2" t="s">
        <v>123</v>
      </c>
      <c r="L2750" s="22">
        <v>3300</v>
      </c>
      <c r="M2750" s="22">
        <v>33000</v>
      </c>
      <c r="N2750" s="18">
        <v>35.29</v>
      </c>
      <c r="O2750" s="26">
        <v>45944</v>
      </c>
      <c r="P2750" s="2" t="s">
        <v>2105</v>
      </c>
      <c r="Q2750" s="2" t="s">
        <v>825</v>
      </c>
    </row>
    <row r="2751" spans="2:17" x14ac:dyDescent="0.25">
      <c r="B2751" s="2" t="s">
        <v>3556</v>
      </c>
      <c r="C2751" s="2" t="s">
        <v>294</v>
      </c>
      <c r="D2751" s="2" t="s">
        <v>295</v>
      </c>
      <c r="E2751" s="2" t="s">
        <v>287</v>
      </c>
      <c r="F2751" s="2" t="s">
        <v>535</v>
      </c>
      <c r="G2751" s="2" t="s">
        <v>475</v>
      </c>
      <c r="H2751" s="2" t="s">
        <v>476</v>
      </c>
      <c r="I2751" s="26">
        <v>45736</v>
      </c>
      <c r="J2751" s="2">
        <v>10</v>
      </c>
      <c r="K2751" s="2" t="s">
        <v>123</v>
      </c>
      <c r="L2751" s="22">
        <v>3300</v>
      </c>
      <c r="M2751" s="22">
        <v>33000</v>
      </c>
      <c r="N2751" s="18">
        <v>35.29</v>
      </c>
      <c r="O2751" s="26">
        <v>45976</v>
      </c>
      <c r="P2751" s="2" t="s">
        <v>2105</v>
      </c>
      <c r="Q2751" s="2" t="s">
        <v>836</v>
      </c>
    </row>
    <row r="2752" spans="2:17" x14ac:dyDescent="0.25">
      <c r="B2752" s="2" t="s">
        <v>3557</v>
      </c>
      <c r="C2752" s="2" t="s">
        <v>294</v>
      </c>
      <c r="D2752" s="2" t="s">
        <v>295</v>
      </c>
      <c r="E2752" s="2" t="s">
        <v>287</v>
      </c>
      <c r="F2752" s="2" t="s">
        <v>535</v>
      </c>
      <c r="G2752" s="2" t="s">
        <v>475</v>
      </c>
      <c r="H2752" s="2" t="s">
        <v>476</v>
      </c>
      <c r="I2752" s="26">
        <v>45766</v>
      </c>
      <c r="J2752" s="2">
        <v>10</v>
      </c>
      <c r="K2752" s="2" t="s">
        <v>123</v>
      </c>
      <c r="L2752" s="22">
        <v>3300</v>
      </c>
      <c r="M2752" s="22">
        <v>33000</v>
      </c>
      <c r="N2752" s="18">
        <v>35.29</v>
      </c>
      <c r="O2752" s="26">
        <v>46006</v>
      </c>
      <c r="P2752" s="2" t="s">
        <v>2105</v>
      </c>
      <c r="Q2752" s="2" t="s">
        <v>836</v>
      </c>
    </row>
    <row r="2753" spans="2:17" x14ac:dyDescent="0.25">
      <c r="B2753" s="2" t="s">
        <v>3558</v>
      </c>
      <c r="C2753" s="2" t="s">
        <v>294</v>
      </c>
      <c r="D2753" s="2" t="s">
        <v>295</v>
      </c>
      <c r="E2753" s="2" t="s">
        <v>287</v>
      </c>
      <c r="F2753" s="2" t="s">
        <v>535</v>
      </c>
      <c r="G2753" s="2" t="s">
        <v>475</v>
      </c>
      <c r="H2753" s="2" t="s">
        <v>476</v>
      </c>
      <c r="I2753" s="26">
        <v>45808</v>
      </c>
      <c r="J2753" s="2">
        <v>10</v>
      </c>
      <c r="K2753" s="2" t="s">
        <v>123</v>
      </c>
      <c r="L2753" s="22">
        <v>3300</v>
      </c>
      <c r="M2753" s="22">
        <v>33000</v>
      </c>
      <c r="N2753" s="18">
        <v>35.29</v>
      </c>
      <c r="O2753" s="26">
        <v>46048</v>
      </c>
      <c r="P2753" s="2" t="s">
        <v>2105</v>
      </c>
      <c r="Q2753" s="2" t="s">
        <v>836</v>
      </c>
    </row>
    <row r="2754" spans="2:17" x14ac:dyDescent="0.25">
      <c r="B2754" s="2" t="s">
        <v>3559</v>
      </c>
      <c r="C2754" s="2" t="s">
        <v>294</v>
      </c>
      <c r="D2754" s="2" t="s">
        <v>295</v>
      </c>
      <c r="E2754" s="2" t="s">
        <v>287</v>
      </c>
      <c r="F2754" s="2" t="s">
        <v>535</v>
      </c>
      <c r="G2754" s="2" t="s">
        <v>475</v>
      </c>
      <c r="H2754" s="2" t="s">
        <v>476</v>
      </c>
      <c r="I2754" s="26">
        <v>45838</v>
      </c>
      <c r="J2754" s="2">
        <v>10</v>
      </c>
      <c r="K2754" s="2" t="s">
        <v>123</v>
      </c>
      <c r="L2754" s="22">
        <v>3300</v>
      </c>
      <c r="M2754" s="22">
        <v>33000</v>
      </c>
      <c r="N2754" s="18">
        <v>35.29</v>
      </c>
      <c r="O2754" s="26">
        <v>46078</v>
      </c>
      <c r="P2754" s="2" t="s">
        <v>2105</v>
      </c>
      <c r="Q2754" s="2" t="s">
        <v>806</v>
      </c>
    </row>
    <row r="2755" spans="2:17" x14ac:dyDescent="0.25">
      <c r="B2755" s="2" t="s">
        <v>3560</v>
      </c>
      <c r="C2755" s="2" t="s">
        <v>296</v>
      </c>
      <c r="D2755" s="2" t="s">
        <v>297</v>
      </c>
      <c r="E2755" s="2" t="s">
        <v>71</v>
      </c>
      <c r="F2755" s="2" t="s">
        <v>535</v>
      </c>
      <c r="G2755" s="2" t="s">
        <v>495</v>
      </c>
      <c r="H2755" s="2" t="s">
        <v>496</v>
      </c>
      <c r="I2755" s="26">
        <v>45116</v>
      </c>
      <c r="J2755" s="2">
        <v>44</v>
      </c>
      <c r="K2755" s="2" t="s">
        <v>298</v>
      </c>
      <c r="L2755" s="22">
        <v>700</v>
      </c>
      <c r="M2755" s="22">
        <v>30800</v>
      </c>
      <c r="N2755" s="18">
        <v>32.94</v>
      </c>
      <c r="O2755" s="26">
        <v>45416</v>
      </c>
      <c r="P2755" s="2" t="s">
        <v>2105</v>
      </c>
      <c r="Q2755" s="2" t="s">
        <v>806</v>
      </c>
    </row>
    <row r="2756" spans="2:17" x14ac:dyDescent="0.25">
      <c r="B2756" s="2" t="s">
        <v>3561</v>
      </c>
      <c r="C2756" s="2" t="s">
        <v>296</v>
      </c>
      <c r="D2756" s="2" t="s">
        <v>297</v>
      </c>
      <c r="E2756" s="2" t="s">
        <v>71</v>
      </c>
      <c r="F2756" s="2" t="s">
        <v>535</v>
      </c>
      <c r="G2756" s="2" t="s">
        <v>495</v>
      </c>
      <c r="H2756" s="2" t="s">
        <v>496</v>
      </c>
      <c r="I2756" s="26">
        <v>45149</v>
      </c>
      <c r="J2756" s="2">
        <v>37</v>
      </c>
      <c r="K2756" s="2" t="s">
        <v>298</v>
      </c>
      <c r="L2756" s="22">
        <v>700</v>
      </c>
      <c r="M2756" s="22">
        <v>25900</v>
      </c>
      <c r="N2756" s="18">
        <v>27.7</v>
      </c>
      <c r="O2756" s="26">
        <v>45449</v>
      </c>
      <c r="P2756" s="2" t="s">
        <v>2105</v>
      </c>
      <c r="Q2756" s="2" t="s">
        <v>806</v>
      </c>
    </row>
    <row r="2757" spans="2:17" x14ac:dyDescent="0.25">
      <c r="B2757" s="2" t="s">
        <v>3562</v>
      </c>
      <c r="C2757" s="2" t="s">
        <v>296</v>
      </c>
      <c r="D2757" s="2" t="s">
        <v>297</v>
      </c>
      <c r="E2757" s="2" t="s">
        <v>71</v>
      </c>
      <c r="F2757" s="2" t="s">
        <v>535</v>
      </c>
      <c r="G2757" s="2" t="s">
        <v>495</v>
      </c>
      <c r="H2757" s="2" t="s">
        <v>496</v>
      </c>
      <c r="I2757" s="26">
        <v>45180</v>
      </c>
      <c r="J2757" s="2">
        <v>50</v>
      </c>
      <c r="K2757" s="2" t="s">
        <v>298</v>
      </c>
      <c r="L2757" s="22">
        <v>700</v>
      </c>
      <c r="M2757" s="22">
        <v>35000</v>
      </c>
      <c r="N2757" s="18">
        <v>37.43</v>
      </c>
      <c r="O2757" s="26">
        <v>45480</v>
      </c>
      <c r="P2757" s="2" t="s">
        <v>2105</v>
      </c>
      <c r="Q2757" s="2" t="s">
        <v>814</v>
      </c>
    </row>
    <row r="2758" spans="2:17" x14ac:dyDescent="0.25">
      <c r="B2758" s="2" t="s">
        <v>3563</v>
      </c>
      <c r="C2758" s="2" t="s">
        <v>296</v>
      </c>
      <c r="D2758" s="2" t="s">
        <v>297</v>
      </c>
      <c r="E2758" s="2" t="s">
        <v>71</v>
      </c>
      <c r="F2758" s="2" t="s">
        <v>535</v>
      </c>
      <c r="G2758" s="2" t="s">
        <v>495</v>
      </c>
      <c r="H2758" s="2" t="s">
        <v>496</v>
      </c>
      <c r="I2758" s="26">
        <v>45209</v>
      </c>
      <c r="J2758" s="2">
        <v>36</v>
      </c>
      <c r="K2758" s="2" t="s">
        <v>298</v>
      </c>
      <c r="L2758" s="22">
        <v>700</v>
      </c>
      <c r="M2758" s="22">
        <v>25200</v>
      </c>
      <c r="N2758" s="18">
        <v>26.95</v>
      </c>
      <c r="O2758" s="26">
        <v>45509</v>
      </c>
      <c r="P2758" s="2" t="s">
        <v>2105</v>
      </c>
      <c r="Q2758" s="2" t="s">
        <v>814</v>
      </c>
    </row>
    <row r="2759" spans="2:17" x14ac:dyDescent="0.25">
      <c r="B2759" s="2" t="s">
        <v>3564</v>
      </c>
      <c r="C2759" s="2" t="s">
        <v>296</v>
      </c>
      <c r="D2759" s="2" t="s">
        <v>297</v>
      </c>
      <c r="E2759" s="2" t="s">
        <v>71</v>
      </c>
      <c r="F2759" s="2" t="s">
        <v>537</v>
      </c>
      <c r="G2759" s="2" t="s">
        <v>500</v>
      </c>
      <c r="H2759" s="2" t="s">
        <v>501</v>
      </c>
      <c r="I2759" s="26">
        <v>45254</v>
      </c>
      <c r="J2759" s="2">
        <v>35</v>
      </c>
      <c r="K2759" s="2" t="s">
        <v>298</v>
      </c>
      <c r="L2759" s="22">
        <v>700</v>
      </c>
      <c r="M2759" s="22">
        <v>24500</v>
      </c>
      <c r="N2759" s="18">
        <v>26.2</v>
      </c>
      <c r="O2759" s="26">
        <v>45554</v>
      </c>
      <c r="P2759" s="2" t="s">
        <v>2105</v>
      </c>
      <c r="Q2759" s="2" t="s">
        <v>814</v>
      </c>
    </row>
    <row r="2760" spans="2:17" x14ac:dyDescent="0.25">
      <c r="B2760" s="2" t="s">
        <v>3565</v>
      </c>
      <c r="C2760" s="2" t="s">
        <v>296</v>
      </c>
      <c r="D2760" s="2" t="s">
        <v>297</v>
      </c>
      <c r="E2760" s="2" t="s">
        <v>71</v>
      </c>
      <c r="F2760" s="2" t="s">
        <v>535</v>
      </c>
      <c r="G2760" s="2" t="s">
        <v>495</v>
      </c>
      <c r="H2760" s="2" t="s">
        <v>496</v>
      </c>
      <c r="I2760" s="26">
        <v>45289</v>
      </c>
      <c r="J2760" s="2">
        <v>48</v>
      </c>
      <c r="K2760" s="2" t="s">
        <v>298</v>
      </c>
      <c r="L2760" s="22">
        <v>700</v>
      </c>
      <c r="M2760" s="22">
        <v>33600</v>
      </c>
      <c r="N2760" s="18">
        <v>35.94</v>
      </c>
      <c r="O2760" s="26">
        <v>45589</v>
      </c>
      <c r="P2760" s="2" t="s">
        <v>2105</v>
      </c>
      <c r="Q2760" s="2" t="s">
        <v>825</v>
      </c>
    </row>
    <row r="2761" spans="2:17" x14ac:dyDescent="0.25">
      <c r="B2761" s="2" t="s">
        <v>3566</v>
      </c>
      <c r="C2761" s="2" t="s">
        <v>296</v>
      </c>
      <c r="D2761" s="2" t="s">
        <v>297</v>
      </c>
      <c r="E2761" s="2" t="s">
        <v>71</v>
      </c>
      <c r="F2761" s="2" t="s">
        <v>535</v>
      </c>
      <c r="G2761" s="2" t="s">
        <v>495</v>
      </c>
      <c r="H2761" s="2" t="s">
        <v>496</v>
      </c>
      <c r="I2761" s="26">
        <v>45323</v>
      </c>
      <c r="J2761" s="2">
        <v>42</v>
      </c>
      <c r="K2761" s="2" t="s">
        <v>298</v>
      </c>
      <c r="L2761" s="22">
        <v>700</v>
      </c>
      <c r="M2761" s="22">
        <v>29400</v>
      </c>
      <c r="N2761" s="18">
        <v>31.44</v>
      </c>
      <c r="O2761" s="26">
        <v>45623</v>
      </c>
      <c r="P2761" s="2" t="s">
        <v>2105</v>
      </c>
      <c r="Q2761" s="2" t="s">
        <v>825</v>
      </c>
    </row>
    <row r="2762" spans="2:17" x14ac:dyDescent="0.25">
      <c r="B2762" s="2" t="s">
        <v>3567</v>
      </c>
      <c r="C2762" s="2" t="s">
        <v>296</v>
      </c>
      <c r="D2762" s="2" t="s">
        <v>297</v>
      </c>
      <c r="E2762" s="2" t="s">
        <v>71</v>
      </c>
      <c r="F2762" s="2" t="s">
        <v>535</v>
      </c>
      <c r="G2762" s="2" t="s">
        <v>495</v>
      </c>
      <c r="H2762" s="2" t="s">
        <v>496</v>
      </c>
      <c r="I2762" s="26">
        <v>45364</v>
      </c>
      <c r="J2762" s="2">
        <v>44</v>
      </c>
      <c r="K2762" s="2" t="s">
        <v>298</v>
      </c>
      <c r="L2762" s="22">
        <v>700</v>
      </c>
      <c r="M2762" s="22">
        <v>30800</v>
      </c>
      <c r="N2762" s="18">
        <v>32.94</v>
      </c>
      <c r="O2762" s="26">
        <v>45664</v>
      </c>
      <c r="P2762" s="2" t="s">
        <v>2105</v>
      </c>
      <c r="Q2762" s="2" t="s">
        <v>836</v>
      </c>
    </row>
    <row r="2763" spans="2:17" x14ac:dyDescent="0.25">
      <c r="B2763" s="2" t="s">
        <v>3568</v>
      </c>
      <c r="C2763" s="2" t="s">
        <v>296</v>
      </c>
      <c r="D2763" s="2" t="s">
        <v>297</v>
      </c>
      <c r="E2763" s="2" t="s">
        <v>71</v>
      </c>
      <c r="F2763" s="2" t="s">
        <v>537</v>
      </c>
      <c r="G2763" s="2" t="s">
        <v>500</v>
      </c>
      <c r="H2763" s="2" t="s">
        <v>501</v>
      </c>
      <c r="I2763" s="26">
        <v>45398</v>
      </c>
      <c r="J2763" s="2">
        <v>34</v>
      </c>
      <c r="K2763" s="2" t="s">
        <v>298</v>
      </c>
      <c r="L2763" s="22">
        <v>700</v>
      </c>
      <c r="M2763" s="22">
        <v>23800</v>
      </c>
      <c r="N2763" s="18">
        <v>25.45</v>
      </c>
      <c r="O2763" s="26">
        <v>45698</v>
      </c>
      <c r="P2763" s="2" t="s">
        <v>2105</v>
      </c>
      <c r="Q2763" s="2" t="s">
        <v>836</v>
      </c>
    </row>
    <row r="2764" spans="2:17" x14ac:dyDescent="0.25">
      <c r="B2764" s="2" t="s">
        <v>3569</v>
      </c>
      <c r="C2764" s="2" t="s">
        <v>296</v>
      </c>
      <c r="D2764" s="2" t="s">
        <v>297</v>
      </c>
      <c r="E2764" s="2" t="s">
        <v>71</v>
      </c>
      <c r="F2764" s="2" t="s">
        <v>535</v>
      </c>
      <c r="G2764" s="2" t="s">
        <v>495</v>
      </c>
      <c r="H2764" s="2" t="s">
        <v>496</v>
      </c>
      <c r="I2764" s="26">
        <v>45436</v>
      </c>
      <c r="J2764" s="2">
        <v>41</v>
      </c>
      <c r="K2764" s="2" t="s">
        <v>298</v>
      </c>
      <c r="L2764" s="22">
        <v>700</v>
      </c>
      <c r="M2764" s="22">
        <v>28700</v>
      </c>
      <c r="N2764" s="18">
        <v>30.7</v>
      </c>
      <c r="O2764" s="26">
        <v>45736</v>
      </c>
      <c r="P2764" s="2" t="s">
        <v>2105</v>
      </c>
      <c r="Q2764" s="2" t="s">
        <v>836</v>
      </c>
    </row>
    <row r="2765" spans="2:17" x14ac:dyDescent="0.25">
      <c r="B2765" s="2" t="s">
        <v>3570</v>
      </c>
      <c r="C2765" s="2" t="s">
        <v>296</v>
      </c>
      <c r="D2765" s="2" t="s">
        <v>297</v>
      </c>
      <c r="E2765" s="2" t="s">
        <v>71</v>
      </c>
      <c r="F2765" s="2" t="s">
        <v>535</v>
      </c>
      <c r="G2765" s="2" t="s">
        <v>495</v>
      </c>
      <c r="H2765" s="2" t="s">
        <v>496</v>
      </c>
      <c r="I2765" s="26">
        <v>45474</v>
      </c>
      <c r="J2765" s="2">
        <v>36</v>
      </c>
      <c r="K2765" s="2" t="s">
        <v>298</v>
      </c>
      <c r="L2765" s="22">
        <v>700</v>
      </c>
      <c r="M2765" s="22">
        <v>25200</v>
      </c>
      <c r="N2765" s="18">
        <v>26.95</v>
      </c>
      <c r="O2765" s="26">
        <v>45774</v>
      </c>
      <c r="P2765" s="2" t="s">
        <v>2105</v>
      </c>
      <c r="Q2765" s="2" t="s">
        <v>806</v>
      </c>
    </row>
    <row r="2766" spans="2:17" x14ac:dyDescent="0.25">
      <c r="B2766" s="2" t="s">
        <v>3571</v>
      </c>
      <c r="C2766" s="2" t="s">
        <v>296</v>
      </c>
      <c r="D2766" s="2" t="s">
        <v>297</v>
      </c>
      <c r="E2766" s="2" t="s">
        <v>71</v>
      </c>
      <c r="F2766" s="2" t="s">
        <v>537</v>
      </c>
      <c r="G2766" s="2" t="s">
        <v>500</v>
      </c>
      <c r="H2766" s="2" t="s">
        <v>501</v>
      </c>
      <c r="I2766" s="26">
        <v>45504</v>
      </c>
      <c r="J2766" s="2">
        <v>45</v>
      </c>
      <c r="K2766" s="2" t="s">
        <v>298</v>
      </c>
      <c r="L2766" s="22">
        <v>700</v>
      </c>
      <c r="M2766" s="22">
        <v>31500</v>
      </c>
      <c r="N2766" s="18">
        <v>33.69</v>
      </c>
      <c r="O2766" s="26">
        <v>45804</v>
      </c>
      <c r="P2766" s="2" t="s">
        <v>2105</v>
      </c>
      <c r="Q2766" s="2" t="s">
        <v>806</v>
      </c>
    </row>
    <row r="2767" spans="2:17" x14ac:dyDescent="0.25">
      <c r="B2767" s="2" t="s">
        <v>3572</v>
      </c>
      <c r="C2767" s="2" t="s">
        <v>296</v>
      </c>
      <c r="D2767" s="2" t="s">
        <v>297</v>
      </c>
      <c r="E2767" s="2" t="s">
        <v>71</v>
      </c>
      <c r="F2767" s="2" t="s">
        <v>535</v>
      </c>
      <c r="G2767" s="2" t="s">
        <v>495</v>
      </c>
      <c r="H2767" s="2" t="s">
        <v>496</v>
      </c>
      <c r="I2767" s="26">
        <v>45550</v>
      </c>
      <c r="J2767" s="2">
        <v>45</v>
      </c>
      <c r="K2767" s="2" t="s">
        <v>298</v>
      </c>
      <c r="L2767" s="22">
        <v>700</v>
      </c>
      <c r="M2767" s="22">
        <v>31500</v>
      </c>
      <c r="N2767" s="18">
        <v>33.69</v>
      </c>
      <c r="O2767" s="26">
        <v>45850</v>
      </c>
      <c r="P2767" s="2" t="s">
        <v>2105</v>
      </c>
      <c r="Q2767" s="2" t="s">
        <v>814</v>
      </c>
    </row>
    <row r="2768" spans="2:17" x14ac:dyDescent="0.25">
      <c r="B2768" s="2" t="s">
        <v>3573</v>
      </c>
      <c r="C2768" s="2" t="s">
        <v>296</v>
      </c>
      <c r="D2768" s="2" t="s">
        <v>297</v>
      </c>
      <c r="E2768" s="2" t="s">
        <v>71</v>
      </c>
      <c r="F2768" s="2" t="s">
        <v>535</v>
      </c>
      <c r="G2768" s="2" t="s">
        <v>495</v>
      </c>
      <c r="H2768" s="2" t="s">
        <v>496</v>
      </c>
      <c r="I2768" s="26">
        <v>45590</v>
      </c>
      <c r="J2768" s="2">
        <v>38</v>
      </c>
      <c r="K2768" s="2" t="s">
        <v>298</v>
      </c>
      <c r="L2768" s="22">
        <v>700</v>
      </c>
      <c r="M2768" s="22">
        <v>26600</v>
      </c>
      <c r="N2768" s="18">
        <v>28.45</v>
      </c>
      <c r="O2768" s="26">
        <v>45890</v>
      </c>
      <c r="P2768" s="2" t="s">
        <v>2105</v>
      </c>
      <c r="Q2768" s="2" t="s">
        <v>814</v>
      </c>
    </row>
    <row r="2769" spans="2:17" x14ac:dyDescent="0.25">
      <c r="B2769" s="2" t="s">
        <v>3574</v>
      </c>
      <c r="C2769" s="2" t="s">
        <v>296</v>
      </c>
      <c r="D2769" s="2" t="s">
        <v>297</v>
      </c>
      <c r="E2769" s="2" t="s">
        <v>71</v>
      </c>
      <c r="F2769" s="2" t="s">
        <v>537</v>
      </c>
      <c r="G2769" s="2" t="s">
        <v>500</v>
      </c>
      <c r="H2769" s="2" t="s">
        <v>501</v>
      </c>
      <c r="I2769" s="26">
        <v>45626</v>
      </c>
      <c r="J2769" s="2">
        <v>40</v>
      </c>
      <c r="K2769" s="2" t="s">
        <v>298</v>
      </c>
      <c r="L2769" s="22">
        <v>700</v>
      </c>
      <c r="M2769" s="22">
        <v>28000</v>
      </c>
      <c r="N2769" s="18">
        <v>29.95</v>
      </c>
      <c r="O2769" s="26">
        <v>45926</v>
      </c>
      <c r="P2769" s="2" t="s">
        <v>2105</v>
      </c>
      <c r="Q2769" s="2" t="s">
        <v>814</v>
      </c>
    </row>
    <row r="2770" spans="2:17" x14ac:dyDescent="0.25">
      <c r="B2770" s="2" t="s">
        <v>3575</v>
      </c>
      <c r="C2770" s="2" t="s">
        <v>296</v>
      </c>
      <c r="D2770" s="2" t="s">
        <v>297</v>
      </c>
      <c r="E2770" s="2" t="s">
        <v>71</v>
      </c>
      <c r="F2770" s="2" t="s">
        <v>537</v>
      </c>
      <c r="G2770" s="2" t="s">
        <v>500</v>
      </c>
      <c r="H2770" s="2" t="s">
        <v>501</v>
      </c>
      <c r="I2770" s="26">
        <v>45663</v>
      </c>
      <c r="J2770" s="2">
        <v>45</v>
      </c>
      <c r="K2770" s="2" t="s">
        <v>298</v>
      </c>
      <c r="L2770" s="22">
        <v>700</v>
      </c>
      <c r="M2770" s="22">
        <v>31500</v>
      </c>
      <c r="N2770" s="18">
        <v>33.69</v>
      </c>
      <c r="O2770" s="26">
        <v>45963</v>
      </c>
      <c r="P2770" s="2" t="s">
        <v>2105</v>
      </c>
      <c r="Q2770" s="2" t="s">
        <v>825</v>
      </c>
    </row>
    <row r="2771" spans="2:17" x14ac:dyDescent="0.25">
      <c r="B2771" s="2" t="s">
        <v>3576</v>
      </c>
      <c r="C2771" s="2" t="s">
        <v>296</v>
      </c>
      <c r="D2771" s="2" t="s">
        <v>297</v>
      </c>
      <c r="E2771" s="2" t="s">
        <v>71</v>
      </c>
      <c r="F2771" s="2" t="s">
        <v>535</v>
      </c>
      <c r="G2771" s="2" t="s">
        <v>495</v>
      </c>
      <c r="H2771" s="2" t="s">
        <v>496</v>
      </c>
      <c r="I2771" s="26">
        <v>45690</v>
      </c>
      <c r="J2771" s="2">
        <v>42</v>
      </c>
      <c r="K2771" s="2" t="s">
        <v>298</v>
      </c>
      <c r="L2771" s="22">
        <v>700</v>
      </c>
      <c r="M2771" s="22">
        <v>29400</v>
      </c>
      <c r="N2771" s="18">
        <v>31.44</v>
      </c>
      <c r="O2771" s="26">
        <v>45990</v>
      </c>
      <c r="P2771" s="2" t="s">
        <v>2105</v>
      </c>
      <c r="Q2771" s="2" t="s">
        <v>825</v>
      </c>
    </row>
    <row r="2772" spans="2:17" x14ac:dyDescent="0.25">
      <c r="B2772" s="2" t="s">
        <v>3577</v>
      </c>
      <c r="C2772" s="2" t="s">
        <v>296</v>
      </c>
      <c r="D2772" s="2" t="s">
        <v>297</v>
      </c>
      <c r="E2772" s="2" t="s">
        <v>71</v>
      </c>
      <c r="F2772" s="2" t="s">
        <v>535</v>
      </c>
      <c r="G2772" s="2" t="s">
        <v>495</v>
      </c>
      <c r="H2772" s="2" t="s">
        <v>496</v>
      </c>
      <c r="I2772" s="26">
        <v>45728</v>
      </c>
      <c r="J2772" s="2">
        <v>44</v>
      </c>
      <c r="K2772" s="2" t="s">
        <v>298</v>
      </c>
      <c r="L2772" s="22">
        <v>700</v>
      </c>
      <c r="M2772" s="22">
        <v>30800</v>
      </c>
      <c r="N2772" s="18">
        <v>32.94</v>
      </c>
      <c r="O2772" s="26">
        <v>46028</v>
      </c>
      <c r="P2772" s="2" t="s">
        <v>2105</v>
      </c>
      <c r="Q2772" s="2" t="s">
        <v>836</v>
      </c>
    </row>
    <row r="2773" spans="2:17" x14ac:dyDescent="0.25">
      <c r="B2773" s="2" t="s">
        <v>3578</v>
      </c>
      <c r="C2773" s="2" t="s">
        <v>296</v>
      </c>
      <c r="D2773" s="2" t="s">
        <v>297</v>
      </c>
      <c r="E2773" s="2" t="s">
        <v>71</v>
      </c>
      <c r="F2773" s="2" t="s">
        <v>537</v>
      </c>
      <c r="G2773" s="2" t="s">
        <v>500</v>
      </c>
      <c r="H2773" s="2" t="s">
        <v>501</v>
      </c>
      <c r="I2773" s="26">
        <v>45767</v>
      </c>
      <c r="J2773" s="2">
        <v>37</v>
      </c>
      <c r="K2773" s="2" t="s">
        <v>298</v>
      </c>
      <c r="L2773" s="22">
        <v>700</v>
      </c>
      <c r="M2773" s="22">
        <v>25900</v>
      </c>
      <c r="N2773" s="18">
        <v>27.7</v>
      </c>
      <c r="O2773" s="26">
        <v>46067</v>
      </c>
      <c r="P2773" s="2" t="s">
        <v>2105</v>
      </c>
      <c r="Q2773" s="2" t="s">
        <v>836</v>
      </c>
    </row>
    <row r="2774" spans="2:17" x14ac:dyDescent="0.25">
      <c r="B2774" s="2" t="s">
        <v>3579</v>
      </c>
      <c r="C2774" s="2" t="s">
        <v>296</v>
      </c>
      <c r="D2774" s="2" t="s">
        <v>297</v>
      </c>
      <c r="E2774" s="2" t="s">
        <v>71</v>
      </c>
      <c r="F2774" s="2" t="s">
        <v>535</v>
      </c>
      <c r="G2774" s="2" t="s">
        <v>495</v>
      </c>
      <c r="H2774" s="2" t="s">
        <v>496</v>
      </c>
      <c r="I2774" s="26">
        <v>45800</v>
      </c>
      <c r="J2774" s="2">
        <v>39</v>
      </c>
      <c r="K2774" s="2" t="s">
        <v>298</v>
      </c>
      <c r="L2774" s="22">
        <v>700</v>
      </c>
      <c r="M2774" s="22">
        <v>27300</v>
      </c>
      <c r="N2774" s="18">
        <v>29.2</v>
      </c>
      <c r="O2774" s="26">
        <v>46100</v>
      </c>
      <c r="P2774" s="2" t="s">
        <v>2105</v>
      </c>
      <c r="Q2774" s="2" t="s">
        <v>836</v>
      </c>
    </row>
    <row r="2775" spans="2:17" x14ac:dyDescent="0.25">
      <c r="B2775" s="2" t="s">
        <v>3580</v>
      </c>
      <c r="C2775" s="2" t="s">
        <v>296</v>
      </c>
      <c r="D2775" s="2" t="s">
        <v>297</v>
      </c>
      <c r="E2775" s="2" t="s">
        <v>71</v>
      </c>
      <c r="F2775" s="2" t="s">
        <v>535</v>
      </c>
      <c r="G2775" s="2" t="s">
        <v>495</v>
      </c>
      <c r="H2775" s="2" t="s">
        <v>496</v>
      </c>
      <c r="I2775" s="26">
        <v>45823</v>
      </c>
      <c r="J2775" s="2">
        <v>39</v>
      </c>
      <c r="K2775" s="2" t="s">
        <v>298</v>
      </c>
      <c r="L2775" s="22">
        <v>700</v>
      </c>
      <c r="M2775" s="22">
        <v>27300</v>
      </c>
      <c r="N2775" s="18">
        <v>29.2</v>
      </c>
      <c r="O2775" s="26">
        <v>46123</v>
      </c>
      <c r="P2775" s="2" t="s">
        <v>2105</v>
      </c>
      <c r="Q2775" s="2" t="s">
        <v>806</v>
      </c>
    </row>
    <row r="2776" spans="2:17" x14ac:dyDescent="0.25">
      <c r="B2776" s="2" t="s">
        <v>3581</v>
      </c>
      <c r="C2776" s="2" t="s">
        <v>299</v>
      </c>
      <c r="D2776" s="2" t="s">
        <v>300</v>
      </c>
      <c r="E2776" s="2" t="s">
        <v>71</v>
      </c>
      <c r="F2776" s="2" t="s">
        <v>535</v>
      </c>
      <c r="G2776" s="2" t="s">
        <v>495</v>
      </c>
      <c r="H2776" s="2" t="s">
        <v>496</v>
      </c>
      <c r="I2776" s="26">
        <v>45114</v>
      </c>
      <c r="J2776" s="2">
        <v>14</v>
      </c>
      <c r="K2776" s="2" t="s">
        <v>123</v>
      </c>
      <c r="L2776" s="22">
        <v>2450</v>
      </c>
      <c r="M2776" s="22">
        <v>34300</v>
      </c>
      <c r="N2776" s="18">
        <v>36.68</v>
      </c>
      <c r="O2776" s="26">
        <v>45414</v>
      </c>
      <c r="P2776" s="2" t="s">
        <v>2105</v>
      </c>
      <c r="Q2776" s="2" t="s">
        <v>806</v>
      </c>
    </row>
    <row r="2777" spans="2:17" x14ac:dyDescent="0.25">
      <c r="B2777" s="2" t="s">
        <v>3582</v>
      </c>
      <c r="C2777" s="2" t="s">
        <v>299</v>
      </c>
      <c r="D2777" s="2" t="s">
        <v>300</v>
      </c>
      <c r="E2777" s="2" t="s">
        <v>71</v>
      </c>
      <c r="F2777" s="2" t="s">
        <v>535</v>
      </c>
      <c r="G2777" s="2" t="s">
        <v>495</v>
      </c>
      <c r="H2777" s="2" t="s">
        <v>496</v>
      </c>
      <c r="I2777" s="26">
        <v>45151</v>
      </c>
      <c r="J2777" s="2">
        <v>14</v>
      </c>
      <c r="K2777" s="2" t="s">
        <v>123</v>
      </c>
      <c r="L2777" s="22">
        <v>2450</v>
      </c>
      <c r="M2777" s="22">
        <v>34300</v>
      </c>
      <c r="N2777" s="18">
        <v>36.68</v>
      </c>
      <c r="O2777" s="26">
        <v>45451</v>
      </c>
      <c r="P2777" s="2" t="s">
        <v>2105</v>
      </c>
      <c r="Q2777" s="2" t="s">
        <v>806</v>
      </c>
    </row>
    <row r="2778" spans="2:17" x14ac:dyDescent="0.25">
      <c r="B2778" s="2" t="s">
        <v>3583</v>
      </c>
      <c r="C2778" s="2" t="s">
        <v>299</v>
      </c>
      <c r="D2778" s="2" t="s">
        <v>300</v>
      </c>
      <c r="E2778" s="2" t="s">
        <v>71</v>
      </c>
      <c r="F2778" s="2" t="s">
        <v>535</v>
      </c>
      <c r="G2778" s="2" t="s">
        <v>495</v>
      </c>
      <c r="H2778" s="2" t="s">
        <v>496</v>
      </c>
      <c r="I2778" s="26">
        <v>45195</v>
      </c>
      <c r="J2778" s="2">
        <v>18</v>
      </c>
      <c r="K2778" s="2" t="s">
        <v>123</v>
      </c>
      <c r="L2778" s="22">
        <v>2450</v>
      </c>
      <c r="M2778" s="22">
        <v>44100</v>
      </c>
      <c r="N2778" s="18">
        <v>47.17</v>
      </c>
      <c r="O2778" s="26">
        <v>45495</v>
      </c>
      <c r="P2778" s="2" t="s">
        <v>2105</v>
      </c>
      <c r="Q2778" s="2" t="s">
        <v>814</v>
      </c>
    </row>
    <row r="2779" spans="2:17" x14ac:dyDescent="0.25">
      <c r="B2779" s="2" t="s">
        <v>3584</v>
      </c>
      <c r="C2779" s="2" t="s">
        <v>299</v>
      </c>
      <c r="D2779" s="2" t="s">
        <v>300</v>
      </c>
      <c r="E2779" s="2" t="s">
        <v>71</v>
      </c>
      <c r="F2779" s="2" t="s">
        <v>535</v>
      </c>
      <c r="G2779" s="2" t="s">
        <v>495</v>
      </c>
      <c r="H2779" s="2" t="s">
        <v>496</v>
      </c>
      <c r="I2779" s="26">
        <v>45221</v>
      </c>
      <c r="J2779" s="2">
        <v>5</v>
      </c>
      <c r="K2779" s="2" t="s">
        <v>123</v>
      </c>
      <c r="L2779" s="22">
        <v>2450</v>
      </c>
      <c r="M2779" s="22">
        <v>12250</v>
      </c>
      <c r="N2779" s="18">
        <v>13.1</v>
      </c>
      <c r="O2779" s="26">
        <v>45521</v>
      </c>
      <c r="P2779" s="2" t="s">
        <v>2105</v>
      </c>
      <c r="Q2779" s="2" t="s">
        <v>814</v>
      </c>
    </row>
    <row r="2780" spans="2:17" x14ac:dyDescent="0.25">
      <c r="B2780" s="2" t="s">
        <v>3585</v>
      </c>
      <c r="C2780" s="2" t="s">
        <v>299</v>
      </c>
      <c r="D2780" s="2" t="s">
        <v>300</v>
      </c>
      <c r="E2780" s="2" t="s">
        <v>71</v>
      </c>
      <c r="F2780" s="2" t="s">
        <v>535</v>
      </c>
      <c r="G2780" s="2" t="s">
        <v>495</v>
      </c>
      <c r="H2780" s="2" t="s">
        <v>496</v>
      </c>
      <c r="I2780" s="26">
        <v>45259</v>
      </c>
      <c r="J2780" s="2">
        <v>5</v>
      </c>
      <c r="K2780" s="2" t="s">
        <v>123</v>
      </c>
      <c r="L2780" s="22">
        <v>2450</v>
      </c>
      <c r="M2780" s="22">
        <v>12250</v>
      </c>
      <c r="N2780" s="18">
        <v>13.1</v>
      </c>
      <c r="O2780" s="26">
        <v>45559</v>
      </c>
      <c r="P2780" s="2" t="s">
        <v>2105</v>
      </c>
      <c r="Q2780" s="2" t="s">
        <v>814</v>
      </c>
    </row>
    <row r="2781" spans="2:17" x14ac:dyDescent="0.25">
      <c r="B2781" s="2" t="s">
        <v>3586</v>
      </c>
      <c r="C2781" s="2" t="s">
        <v>299</v>
      </c>
      <c r="D2781" s="2" t="s">
        <v>300</v>
      </c>
      <c r="E2781" s="2" t="s">
        <v>71</v>
      </c>
      <c r="F2781" s="2" t="s">
        <v>535</v>
      </c>
      <c r="G2781" s="2" t="s">
        <v>495</v>
      </c>
      <c r="H2781" s="2" t="s">
        <v>496</v>
      </c>
      <c r="I2781" s="26">
        <v>45292</v>
      </c>
      <c r="J2781" s="2">
        <v>5</v>
      </c>
      <c r="K2781" s="2" t="s">
        <v>123</v>
      </c>
      <c r="L2781" s="22">
        <v>2450</v>
      </c>
      <c r="M2781" s="22">
        <v>12250</v>
      </c>
      <c r="N2781" s="18">
        <v>13.1</v>
      </c>
      <c r="O2781" s="26">
        <v>45592</v>
      </c>
      <c r="P2781" s="2" t="s">
        <v>2105</v>
      </c>
      <c r="Q2781" s="2" t="s">
        <v>825</v>
      </c>
    </row>
    <row r="2782" spans="2:17" x14ac:dyDescent="0.25">
      <c r="B2782" s="2" t="s">
        <v>3587</v>
      </c>
      <c r="C2782" s="2" t="s">
        <v>299</v>
      </c>
      <c r="D2782" s="2" t="s">
        <v>300</v>
      </c>
      <c r="E2782" s="2" t="s">
        <v>71</v>
      </c>
      <c r="F2782" s="2" t="s">
        <v>537</v>
      </c>
      <c r="G2782" s="2" t="s">
        <v>500</v>
      </c>
      <c r="H2782" s="2" t="s">
        <v>501</v>
      </c>
      <c r="I2782" s="26">
        <v>45326</v>
      </c>
      <c r="J2782" s="2">
        <v>4</v>
      </c>
      <c r="K2782" s="2" t="s">
        <v>123</v>
      </c>
      <c r="L2782" s="22">
        <v>2400</v>
      </c>
      <c r="M2782" s="22">
        <v>9600</v>
      </c>
      <c r="N2782" s="18">
        <v>10.27</v>
      </c>
      <c r="O2782" s="26">
        <v>45626</v>
      </c>
      <c r="P2782" s="2" t="s">
        <v>2105</v>
      </c>
      <c r="Q2782" s="2" t="s">
        <v>825</v>
      </c>
    </row>
    <row r="2783" spans="2:17" x14ac:dyDescent="0.25">
      <c r="B2783" s="2" t="s">
        <v>3588</v>
      </c>
      <c r="C2783" s="2" t="s">
        <v>299</v>
      </c>
      <c r="D2783" s="2" t="s">
        <v>300</v>
      </c>
      <c r="E2783" s="2" t="s">
        <v>71</v>
      </c>
      <c r="F2783" s="2" t="s">
        <v>535</v>
      </c>
      <c r="G2783" s="2" t="s">
        <v>495</v>
      </c>
      <c r="H2783" s="2" t="s">
        <v>496</v>
      </c>
      <c r="I2783" s="26">
        <v>45365</v>
      </c>
      <c r="J2783" s="2">
        <v>5</v>
      </c>
      <c r="K2783" s="2" t="s">
        <v>123</v>
      </c>
      <c r="L2783" s="22">
        <v>2450</v>
      </c>
      <c r="M2783" s="22">
        <v>12250</v>
      </c>
      <c r="N2783" s="18">
        <v>13.1</v>
      </c>
      <c r="O2783" s="26">
        <v>45665</v>
      </c>
      <c r="P2783" s="2" t="s">
        <v>2105</v>
      </c>
      <c r="Q2783" s="2" t="s">
        <v>836</v>
      </c>
    </row>
    <row r="2784" spans="2:17" x14ac:dyDescent="0.25">
      <c r="B2784" s="2" t="s">
        <v>3589</v>
      </c>
      <c r="C2784" s="2" t="s">
        <v>299</v>
      </c>
      <c r="D2784" s="2" t="s">
        <v>300</v>
      </c>
      <c r="E2784" s="2" t="s">
        <v>71</v>
      </c>
      <c r="F2784" s="2" t="s">
        <v>535</v>
      </c>
      <c r="G2784" s="2" t="s">
        <v>495</v>
      </c>
      <c r="H2784" s="2" t="s">
        <v>496</v>
      </c>
      <c r="I2784" s="26">
        <v>45403</v>
      </c>
      <c r="J2784" s="2">
        <v>13</v>
      </c>
      <c r="K2784" s="2" t="s">
        <v>123</v>
      </c>
      <c r="L2784" s="22">
        <v>2450</v>
      </c>
      <c r="M2784" s="22">
        <v>31850</v>
      </c>
      <c r="N2784" s="18">
        <v>34.06</v>
      </c>
      <c r="O2784" s="26">
        <v>45703</v>
      </c>
      <c r="P2784" s="2" t="s">
        <v>2105</v>
      </c>
      <c r="Q2784" s="2" t="s">
        <v>836</v>
      </c>
    </row>
    <row r="2785" spans="2:17" x14ac:dyDescent="0.25">
      <c r="B2785" s="2" t="s">
        <v>3590</v>
      </c>
      <c r="C2785" s="2" t="s">
        <v>299</v>
      </c>
      <c r="D2785" s="2" t="s">
        <v>300</v>
      </c>
      <c r="E2785" s="2" t="s">
        <v>71</v>
      </c>
      <c r="F2785" s="2" t="s">
        <v>535</v>
      </c>
      <c r="G2785" s="2" t="s">
        <v>495</v>
      </c>
      <c r="H2785" s="2" t="s">
        <v>496</v>
      </c>
      <c r="I2785" s="26">
        <v>45441</v>
      </c>
      <c r="J2785" s="2">
        <v>12</v>
      </c>
      <c r="K2785" s="2" t="s">
        <v>123</v>
      </c>
      <c r="L2785" s="22">
        <v>2450</v>
      </c>
      <c r="M2785" s="22">
        <v>29400</v>
      </c>
      <c r="N2785" s="18">
        <v>31.44</v>
      </c>
      <c r="O2785" s="26">
        <v>45741</v>
      </c>
      <c r="P2785" s="2" t="s">
        <v>2105</v>
      </c>
      <c r="Q2785" s="2" t="s">
        <v>836</v>
      </c>
    </row>
    <row r="2786" spans="2:17" x14ac:dyDescent="0.25">
      <c r="B2786" s="2" t="s">
        <v>3591</v>
      </c>
      <c r="C2786" s="2" t="s">
        <v>299</v>
      </c>
      <c r="D2786" s="2" t="s">
        <v>300</v>
      </c>
      <c r="E2786" s="2" t="s">
        <v>71</v>
      </c>
      <c r="F2786" s="2" t="s">
        <v>535</v>
      </c>
      <c r="G2786" s="2" t="s">
        <v>495</v>
      </c>
      <c r="H2786" s="2" t="s">
        <v>496</v>
      </c>
      <c r="I2786" s="26">
        <v>45475</v>
      </c>
      <c r="J2786" s="2">
        <v>12</v>
      </c>
      <c r="K2786" s="2" t="s">
        <v>123</v>
      </c>
      <c r="L2786" s="22">
        <v>2450</v>
      </c>
      <c r="M2786" s="22">
        <v>29400</v>
      </c>
      <c r="N2786" s="18">
        <v>31.44</v>
      </c>
      <c r="O2786" s="26">
        <v>45775</v>
      </c>
      <c r="P2786" s="2" t="s">
        <v>2105</v>
      </c>
      <c r="Q2786" s="2" t="s">
        <v>806</v>
      </c>
    </row>
    <row r="2787" spans="2:17" x14ac:dyDescent="0.25">
      <c r="B2787" s="2" t="s">
        <v>3592</v>
      </c>
      <c r="C2787" s="2" t="s">
        <v>299</v>
      </c>
      <c r="D2787" s="2" t="s">
        <v>300</v>
      </c>
      <c r="E2787" s="2" t="s">
        <v>71</v>
      </c>
      <c r="F2787" s="2" t="s">
        <v>537</v>
      </c>
      <c r="G2787" s="2" t="s">
        <v>500</v>
      </c>
      <c r="H2787" s="2" t="s">
        <v>501</v>
      </c>
      <c r="I2787" s="26">
        <v>45512</v>
      </c>
      <c r="J2787" s="2">
        <v>14</v>
      </c>
      <c r="K2787" s="2" t="s">
        <v>123</v>
      </c>
      <c r="L2787" s="22">
        <v>2400</v>
      </c>
      <c r="M2787" s="22">
        <v>33600</v>
      </c>
      <c r="N2787" s="18">
        <v>35.94</v>
      </c>
      <c r="O2787" s="26">
        <v>45812</v>
      </c>
      <c r="P2787" s="2" t="s">
        <v>2105</v>
      </c>
      <c r="Q2787" s="2" t="s">
        <v>806</v>
      </c>
    </row>
    <row r="2788" spans="2:17" x14ac:dyDescent="0.25">
      <c r="B2788" s="2" t="s">
        <v>3593</v>
      </c>
      <c r="C2788" s="2" t="s">
        <v>299</v>
      </c>
      <c r="D2788" s="2" t="s">
        <v>300</v>
      </c>
      <c r="E2788" s="2" t="s">
        <v>71</v>
      </c>
      <c r="F2788" s="2" t="s">
        <v>535</v>
      </c>
      <c r="G2788" s="2" t="s">
        <v>495</v>
      </c>
      <c r="H2788" s="2" t="s">
        <v>496</v>
      </c>
      <c r="I2788" s="26">
        <v>45548</v>
      </c>
      <c r="J2788" s="2">
        <v>16</v>
      </c>
      <c r="K2788" s="2" t="s">
        <v>123</v>
      </c>
      <c r="L2788" s="22">
        <v>2450</v>
      </c>
      <c r="M2788" s="22">
        <v>39200</v>
      </c>
      <c r="N2788" s="18">
        <v>41.93</v>
      </c>
      <c r="O2788" s="26">
        <v>45848</v>
      </c>
      <c r="P2788" s="2" t="s">
        <v>2105</v>
      </c>
      <c r="Q2788" s="2" t="s">
        <v>814</v>
      </c>
    </row>
    <row r="2789" spans="2:17" x14ac:dyDescent="0.25">
      <c r="B2789" s="2" t="s">
        <v>3594</v>
      </c>
      <c r="C2789" s="2" t="s">
        <v>299</v>
      </c>
      <c r="D2789" s="2" t="s">
        <v>300</v>
      </c>
      <c r="E2789" s="2" t="s">
        <v>71</v>
      </c>
      <c r="F2789" s="2" t="s">
        <v>535</v>
      </c>
      <c r="G2789" s="2" t="s">
        <v>495</v>
      </c>
      <c r="H2789" s="2" t="s">
        <v>496</v>
      </c>
      <c r="I2789" s="26">
        <v>45581</v>
      </c>
      <c r="J2789" s="2">
        <v>4</v>
      </c>
      <c r="K2789" s="2" t="s">
        <v>123</v>
      </c>
      <c r="L2789" s="22">
        <v>2450</v>
      </c>
      <c r="M2789" s="22">
        <v>9800</v>
      </c>
      <c r="N2789" s="18">
        <v>10.48</v>
      </c>
      <c r="O2789" s="26">
        <v>45881</v>
      </c>
      <c r="P2789" s="2" t="s">
        <v>2105</v>
      </c>
      <c r="Q2789" s="2" t="s">
        <v>814</v>
      </c>
    </row>
    <row r="2790" spans="2:17" x14ac:dyDescent="0.25">
      <c r="B2790" s="2" t="s">
        <v>3595</v>
      </c>
      <c r="C2790" s="2" t="s">
        <v>299</v>
      </c>
      <c r="D2790" s="2" t="s">
        <v>300</v>
      </c>
      <c r="E2790" s="2" t="s">
        <v>71</v>
      </c>
      <c r="F2790" s="2" t="s">
        <v>537</v>
      </c>
      <c r="G2790" s="2" t="s">
        <v>500</v>
      </c>
      <c r="H2790" s="2" t="s">
        <v>501</v>
      </c>
      <c r="I2790" s="26">
        <v>45621</v>
      </c>
      <c r="J2790" s="2">
        <v>4</v>
      </c>
      <c r="K2790" s="2" t="s">
        <v>123</v>
      </c>
      <c r="L2790" s="22">
        <v>2400</v>
      </c>
      <c r="M2790" s="22">
        <v>9600</v>
      </c>
      <c r="N2790" s="18">
        <v>10.27</v>
      </c>
      <c r="O2790" s="26">
        <v>45921</v>
      </c>
      <c r="P2790" s="2" t="s">
        <v>2105</v>
      </c>
      <c r="Q2790" s="2" t="s">
        <v>814</v>
      </c>
    </row>
    <row r="2791" spans="2:17" x14ac:dyDescent="0.25">
      <c r="B2791" s="2" t="s">
        <v>3596</v>
      </c>
      <c r="C2791" s="2" t="s">
        <v>299</v>
      </c>
      <c r="D2791" s="2" t="s">
        <v>300</v>
      </c>
      <c r="E2791" s="2" t="s">
        <v>71</v>
      </c>
      <c r="F2791" s="2" t="s">
        <v>535</v>
      </c>
      <c r="G2791" s="2" t="s">
        <v>495</v>
      </c>
      <c r="H2791" s="2" t="s">
        <v>496</v>
      </c>
      <c r="I2791" s="26">
        <v>45656</v>
      </c>
      <c r="J2791" s="2">
        <v>7</v>
      </c>
      <c r="K2791" s="2" t="s">
        <v>123</v>
      </c>
      <c r="L2791" s="22">
        <v>2450</v>
      </c>
      <c r="M2791" s="22">
        <v>17150</v>
      </c>
      <c r="N2791" s="18">
        <v>18.34</v>
      </c>
      <c r="O2791" s="26">
        <v>45956</v>
      </c>
      <c r="P2791" s="2" t="s">
        <v>2105</v>
      </c>
      <c r="Q2791" s="2" t="s">
        <v>825</v>
      </c>
    </row>
    <row r="2792" spans="2:17" x14ac:dyDescent="0.25">
      <c r="B2792" s="2" t="s">
        <v>3597</v>
      </c>
      <c r="C2792" s="2" t="s">
        <v>299</v>
      </c>
      <c r="D2792" s="2" t="s">
        <v>300</v>
      </c>
      <c r="E2792" s="2" t="s">
        <v>71</v>
      </c>
      <c r="F2792" s="2" t="s">
        <v>535</v>
      </c>
      <c r="G2792" s="2" t="s">
        <v>495</v>
      </c>
      <c r="H2792" s="2" t="s">
        <v>496</v>
      </c>
      <c r="I2792" s="26">
        <v>45691</v>
      </c>
      <c r="J2792" s="2">
        <v>5</v>
      </c>
      <c r="K2792" s="2" t="s">
        <v>123</v>
      </c>
      <c r="L2792" s="22">
        <v>2450</v>
      </c>
      <c r="M2792" s="22">
        <v>12250</v>
      </c>
      <c r="N2792" s="18">
        <v>13.1</v>
      </c>
      <c r="O2792" s="26">
        <v>45991</v>
      </c>
      <c r="P2792" s="2" t="s">
        <v>2105</v>
      </c>
      <c r="Q2792" s="2" t="s">
        <v>825</v>
      </c>
    </row>
    <row r="2793" spans="2:17" x14ac:dyDescent="0.25">
      <c r="B2793" s="2" t="s">
        <v>3598</v>
      </c>
      <c r="C2793" s="2" t="s">
        <v>299</v>
      </c>
      <c r="D2793" s="2" t="s">
        <v>300</v>
      </c>
      <c r="E2793" s="2" t="s">
        <v>71</v>
      </c>
      <c r="F2793" s="2" t="s">
        <v>535</v>
      </c>
      <c r="G2793" s="2" t="s">
        <v>495</v>
      </c>
      <c r="H2793" s="2" t="s">
        <v>496</v>
      </c>
      <c r="I2793" s="26">
        <v>45723</v>
      </c>
      <c r="J2793" s="2">
        <v>5</v>
      </c>
      <c r="K2793" s="2" t="s">
        <v>123</v>
      </c>
      <c r="L2793" s="22">
        <v>2450</v>
      </c>
      <c r="M2793" s="22">
        <v>12250</v>
      </c>
      <c r="N2793" s="18">
        <v>13.1</v>
      </c>
      <c r="O2793" s="26">
        <v>46023</v>
      </c>
      <c r="P2793" s="2" t="s">
        <v>2105</v>
      </c>
      <c r="Q2793" s="2" t="s">
        <v>836</v>
      </c>
    </row>
    <row r="2794" spans="2:17" x14ac:dyDescent="0.25">
      <c r="B2794" s="2" t="s">
        <v>3599</v>
      </c>
      <c r="C2794" s="2" t="s">
        <v>299</v>
      </c>
      <c r="D2794" s="2" t="s">
        <v>300</v>
      </c>
      <c r="E2794" s="2" t="s">
        <v>71</v>
      </c>
      <c r="F2794" s="2" t="s">
        <v>535</v>
      </c>
      <c r="G2794" s="2" t="s">
        <v>495</v>
      </c>
      <c r="H2794" s="2" t="s">
        <v>496</v>
      </c>
      <c r="I2794" s="26">
        <v>45758</v>
      </c>
      <c r="J2794" s="2">
        <v>14</v>
      </c>
      <c r="K2794" s="2" t="s">
        <v>123</v>
      </c>
      <c r="L2794" s="22">
        <v>2450</v>
      </c>
      <c r="M2794" s="22">
        <v>34300</v>
      </c>
      <c r="N2794" s="18">
        <v>36.68</v>
      </c>
      <c r="O2794" s="26">
        <v>46058</v>
      </c>
      <c r="P2794" s="2" t="s">
        <v>2105</v>
      </c>
      <c r="Q2794" s="2" t="s">
        <v>836</v>
      </c>
    </row>
    <row r="2795" spans="2:17" x14ac:dyDescent="0.25">
      <c r="B2795" s="2" t="s">
        <v>3600</v>
      </c>
      <c r="C2795" s="2" t="s">
        <v>299</v>
      </c>
      <c r="D2795" s="2" t="s">
        <v>300</v>
      </c>
      <c r="E2795" s="2" t="s">
        <v>71</v>
      </c>
      <c r="F2795" s="2" t="s">
        <v>535</v>
      </c>
      <c r="G2795" s="2" t="s">
        <v>495</v>
      </c>
      <c r="H2795" s="2" t="s">
        <v>496</v>
      </c>
      <c r="I2795" s="26">
        <v>45789</v>
      </c>
      <c r="J2795" s="2">
        <v>14</v>
      </c>
      <c r="K2795" s="2" t="s">
        <v>123</v>
      </c>
      <c r="L2795" s="22">
        <v>2450</v>
      </c>
      <c r="M2795" s="22">
        <v>34300</v>
      </c>
      <c r="N2795" s="18">
        <v>36.68</v>
      </c>
      <c r="O2795" s="26">
        <v>46089</v>
      </c>
      <c r="P2795" s="2" t="s">
        <v>2105</v>
      </c>
      <c r="Q2795" s="2" t="s">
        <v>836</v>
      </c>
    </row>
    <row r="2796" spans="2:17" x14ac:dyDescent="0.25">
      <c r="B2796" s="2" t="s">
        <v>3601</v>
      </c>
      <c r="C2796" s="2" t="s">
        <v>299</v>
      </c>
      <c r="D2796" s="2" t="s">
        <v>300</v>
      </c>
      <c r="E2796" s="2" t="s">
        <v>71</v>
      </c>
      <c r="F2796" s="2" t="s">
        <v>537</v>
      </c>
      <c r="G2796" s="2" t="s">
        <v>500</v>
      </c>
      <c r="H2796" s="2" t="s">
        <v>501</v>
      </c>
      <c r="I2796" s="26">
        <v>45819</v>
      </c>
      <c r="J2796" s="2">
        <v>13</v>
      </c>
      <c r="K2796" s="2" t="s">
        <v>123</v>
      </c>
      <c r="L2796" s="22">
        <v>2400</v>
      </c>
      <c r="M2796" s="22">
        <v>31200</v>
      </c>
      <c r="N2796" s="18">
        <v>33.369999999999997</v>
      </c>
      <c r="O2796" s="26">
        <v>46119</v>
      </c>
      <c r="P2796" s="2" t="s">
        <v>2105</v>
      </c>
      <c r="Q2796" s="2" t="s">
        <v>806</v>
      </c>
    </row>
    <row r="2797" spans="2:17" x14ac:dyDescent="0.25">
      <c r="B2797" s="2" t="s">
        <v>3602</v>
      </c>
      <c r="C2797" s="2" t="s">
        <v>301</v>
      </c>
      <c r="D2797" s="2" t="s">
        <v>302</v>
      </c>
      <c r="E2797" s="2" t="s">
        <v>71</v>
      </c>
      <c r="F2797" s="2" t="s">
        <v>535</v>
      </c>
      <c r="G2797" s="2" t="s">
        <v>495</v>
      </c>
      <c r="H2797" s="2" t="s">
        <v>496</v>
      </c>
      <c r="I2797" s="26">
        <v>45121</v>
      </c>
      <c r="J2797" s="2">
        <v>27</v>
      </c>
      <c r="K2797" s="2" t="s">
        <v>303</v>
      </c>
      <c r="L2797" s="22">
        <v>1350</v>
      </c>
      <c r="M2797" s="22">
        <v>36450</v>
      </c>
      <c r="N2797" s="18">
        <v>38.979999999999997</v>
      </c>
      <c r="O2797" s="26">
        <v>45421</v>
      </c>
      <c r="P2797" s="2" t="s">
        <v>2105</v>
      </c>
      <c r="Q2797" s="2" t="s">
        <v>806</v>
      </c>
    </row>
    <row r="2798" spans="2:17" x14ac:dyDescent="0.25">
      <c r="B2798" s="2" t="s">
        <v>3603</v>
      </c>
      <c r="C2798" s="2" t="s">
        <v>301</v>
      </c>
      <c r="D2798" s="2" t="s">
        <v>302</v>
      </c>
      <c r="E2798" s="2" t="s">
        <v>71</v>
      </c>
      <c r="F2798" s="2" t="s">
        <v>535</v>
      </c>
      <c r="G2798" s="2" t="s">
        <v>495</v>
      </c>
      <c r="H2798" s="2" t="s">
        <v>496</v>
      </c>
      <c r="I2798" s="26">
        <v>45154</v>
      </c>
      <c r="J2798" s="2">
        <v>21</v>
      </c>
      <c r="K2798" s="2" t="s">
        <v>303</v>
      </c>
      <c r="L2798" s="22">
        <v>1350</v>
      </c>
      <c r="M2798" s="22">
        <v>28350</v>
      </c>
      <c r="N2798" s="18">
        <v>30.32</v>
      </c>
      <c r="O2798" s="26">
        <v>45454</v>
      </c>
      <c r="P2798" s="2" t="s">
        <v>2105</v>
      </c>
      <c r="Q2798" s="2" t="s">
        <v>806</v>
      </c>
    </row>
    <row r="2799" spans="2:17" x14ac:dyDescent="0.25">
      <c r="B2799" s="2" t="s">
        <v>3604</v>
      </c>
      <c r="C2799" s="2" t="s">
        <v>301</v>
      </c>
      <c r="D2799" s="2" t="s">
        <v>302</v>
      </c>
      <c r="E2799" s="2" t="s">
        <v>71</v>
      </c>
      <c r="F2799" s="2" t="s">
        <v>535</v>
      </c>
      <c r="G2799" s="2" t="s">
        <v>495</v>
      </c>
      <c r="H2799" s="2" t="s">
        <v>496</v>
      </c>
      <c r="I2799" s="26">
        <v>45206</v>
      </c>
      <c r="J2799" s="2">
        <v>24</v>
      </c>
      <c r="K2799" s="2" t="s">
        <v>303</v>
      </c>
      <c r="L2799" s="22">
        <v>1350</v>
      </c>
      <c r="M2799" s="22">
        <v>32400</v>
      </c>
      <c r="N2799" s="18">
        <v>34.65</v>
      </c>
      <c r="O2799" s="26">
        <v>45506</v>
      </c>
      <c r="P2799" s="2" t="s">
        <v>2105</v>
      </c>
      <c r="Q2799" s="2" t="s">
        <v>814</v>
      </c>
    </row>
    <row r="2800" spans="2:17" x14ac:dyDescent="0.25">
      <c r="B2800" s="2" t="s">
        <v>3605</v>
      </c>
      <c r="C2800" s="2" t="s">
        <v>301</v>
      </c>
      <c r="D2800" s="2" t="s">
        <v>302</v>
      </c>
      <c r="E2800" s="2" t="s">
        <v>71</v>
      </c>
      <c r="F2800" s="2" t="s">
        <v>537</v>
      </c>
      <c r="G2800" s="2" t="s">
        <v>500</v>
      </c>
      <c r="H2800" s="2" t="s">
        <v>501</v>
      </c>
      <c r="I2800" s="26">
        <v>45241</v>
      </c>
      <c r="J2800" s="2">
        <v>24</v>
      </c>
      <c r="K2800" s="2" t="s">
        <v>303</v>
      </c>
      <c r="L2800" s="22">
        <v>1450</v>
      </c>
      <c r="M2800" s="22">
        <v>34800</v>
      </c>
      <c r="N2800" s="18">
        <v>37.22</v>
      </c>
      <c r="O2800" s="26">
        <v>45541</v>
      </c>
      <c r="P2800" s="2" t="s">
        <v>2105</v>
      </c>
      <c r="Q2800" s="2" t="s">
        <v>814</v>
      </c>
    </row>
    <row r="2801" spans="2:17" x14ac:dyDescent="0.25">
      <c r="B2801" s="2" t="s">
        <v>3606</v>
      </c>
      <c r="C2801" s="2" t="s">
        <v>301</v>
      </c>
      <c r="D2801" s="2" t="s">
        <v>302</v>
      </c>
      <c r="E2801" s="2" t="s">
        <v>71</v>
      </c>
      <c r="F2801" s="2" t="s">
        <v>535</v>
      </c>
      <c r="G2801" s="2" t="s">
        <v>495</v>
      </c>
      <c r="H2801" s="2" t="s">
        <v>496</v>
      </c>
      <c r="I2801" s="26">
        <v>45271</v>
      </c>
      <c r="J2801" s="2">
        <v>35</v>
      </c>
      <c r="K2801" s="2" t="s">
        <v>303</v>
      </c>
      <c r="L2801" s="22">
        <v>1350</v>
      </c>
      <c r="M2801" s="22">
        <v>47250</v>
      </c>
      <c r="N2801" s="18">
        <v>50.53</v>
      </c>
      <c r="O2801" s="26">
        <v>45571</v>
      </c>
      <c r="P2801" s="2" t="s">
        <v>2105</v>
      </c>
      <c r="Q2801" s="2" t="s">
        <v>825</v>
      </c>
    </row>
    <row r="2802" spans="2:17" x14ac:dyDescent="0.25">
      <c r="B2802" s="2" t="s">
        <v>3607</v>
      </c>
      <c r="C2802" s="2" t="s">
        <v>301</v>
      </c>
      <c r="D2802" s="2" t="s">
        <v>302</v>
      </c>
      <c r="E2802" s="2" t="s">
        <v>71</v>
      </c>
      <c r="F2802" s="2" t="s">
        <v>535</v>
      </c>
      <c r="G2802" s="2" t="s">
        <v>495</v>
      </c>
      <c r="H2802" s="2" t="s">
        <v>496</v>
      </c>
      <c r="I2802" s="26">
        <v>45308</v>
      </c>
      <c r="J2802" s="2">
        <v>26</v>
      </c>
      <c r="K2802" s="2" t="s">
        <v>303</v>
      </c>
      <c r="L2802" s="22">
        <v>1350</v>
      </c>
      <c r="M2802" s="22">
        <v>35100</v>
      </c>
      <c r="N2802" s="18">
        <v>37.54</v>
      </c>
      <c r="O2802" s="26">
        <v>45608</v>
      </c>
      <c r="P2802" s="2" t="s">
        <v>2105</v>
      </c>
      <c r="Q2802" s="2" t="s">
        <v>825</v>
      </c>
    </row>
    <row r="2803" spans="2:17" x14ac:dyDescent="0.25">
      <c r="B2803" s="2" t="s">
        <v>3608</v>
      </c>
      <c r="C2803" s="2" t="s">
        <v>301</v>
      </c>
      <c r="D2803" s="2" t="s">
        <v>302</v>
      </c>
      <c r="E2803" s="2" t="s">
        <v>71</v>
      </c>
      <c r="F2803" s="2" t="s">
        <v>535</v>
      </c>
      <c r="G2803" s="2" t="s">
        <v>495</v>
      </c>
      <c r="H2803" s="2" t="s">
        <v>496</v>
      </c>
      <c r="I2803" s="26">
        <v>45350</v>
      </c>
      <c r="J2803" s="2">
        <v>27</v>
      </c>
      <c r="K2803" s="2" t="s">
        <v>303</v>
      </c>
      <c r="L2803" s="22">
        <v>1350</v>
      </c>
      <c r="M2803" s="22">
        <v>36450</v>
      </c>
      <c r="N2803" s="18">
        <v>38.979999999999997</v>
      </c>
      <c r="O2803" s="26">
        <v>45650</v>
      </c>
      <c r="P2803" s="2" t="s">
        <v>2105</v>
      </c>
      <c r="Q2803" s="2" t="s">
        <v>825</v>
      </c>
    </row>
    <row r="2804" spans="2:17" x14ac:dyDescent="0.25">
      <c r="B2804" s="2" t="s">
        <v>3609</v>
      </c>
      <c r="C2804" s="2" t="s">
        <v>301</v>
      </c>
      <c r="D2804" s="2" t="s">
        <v>302</v>
      </c>
      <c r="E2804" s="2" t="s">
        <v>71</v>
      </c>
      <c r="F2804" s="2" t="s">
        <v>535</v>
      </c>
      <c r="G2804" s="2" t="s">
        <v>495</v>
      </c>
      <c r="H2804" s="2" t="s">
        <v>496</v>
      </c>
      <c r="I2804" s="26">
        <v>45391</v>
      </c>
      <c r="J2804" s="2">
        <v>25</v>
      </c>
      <c r="K2804" s="2" t="s">
        <v>303</v>
      </c>
      <c r="L2804" s="22">
        <v>1350</v>
      </c>
      <c r="M2804" s="22">
        <v>33750</v>
      </c>
      <c r="N2804" s="18">
        <v>36.1</v>
      </c>
      <c r="O2804" s="26">
        <v>45691</v>
      </c>
      <c r="P2804" s="2" t="s">
        <v>2105</v>
      </c>
      <c r="Q2804" s="2" t="s">
        <v>836</v>
      </c>
    </row>
    <row r="2805" spans="2:17" x14ac:dyDescent="0.25">
      <c r="B2805" s="2" t="s">
        <v>3610</v>
      </c>
      <c r="C2805" s="2" t="s">
        <v>301</v>
      </c>
      <c r="D2805" s="2" t="s">
        <v>302</v>
      </c>
      <c r="E2805" s="2" t="s">
        <v>71</v>
      </c>
      <c r="F2805" s="2" t="s">
        <v>535</v>
      </c>
      <c r="G2805" s="2" t="s">
        <v>495</v>
      </c>
      <c r="H2805" s="2" t="s">
        <v>496</v>
      </c>
      <c r="I2805" s="26">
        <v>45421</v>
      </c>
      <c r="J2805" s="2">
        <v>23</v>
      </c>
      <c r="K2805" s="2" t="s">
        <v>303</v>
      </c>
      <c r="L2805" s="22">
        <v>1350</v>
      </c>
      <c r="M2805" s="22">
        <v>31050</v>
      </c>
      <c r="N2805" s="18">
        <v>33.21</v>
      </c>
      <c r="O2805" s="26">
        <v>45721</v>
      </c>
      <c r="P2805" s="2" t="s">
        <v>2105</v>
      </c>
      <c r="Q2805" s="2" t="s">
        <v>836</v>
      </c>
    </row>
    <row r="2806" spans="2:17" x14ac:dyDescent="0.25">
      <c r="B2806" s="2" t="s">
        <v>3611</v>
      </c>
      <c r="C2806" s="2" t="s">
        <v>301</v>
      </c>
      <c r="D2806" s="2" t="s">
        <v>302</v>
      </c>
      <c r="E2806" s="2" t="s">
        <v>71</v>
      </c>
      <c r="F2806" s="2" t="s">
        <v>535</v>
      </c>
      <c r="G2806" s="2" t="s">
        <v>495</v>
      </c>
      <c r="H2806" s="2" t="s">
        <v>496</v>
      </c>
      <c r="I2806" s="26">
        <v>45459</v>
      </c>
      <c r="J2806" s="2">
        <v>22</v>
      </c>
      <c r="K2806" s="2" t="s">
        <v>303</v>
      </c>
      <c r="L2806" s="22">
        <v>1350</v>
      </c>
      <c r="M2806" s="22">
        <v>29700</v>
      </c>
      <c r="N2806" s="18">
        <v>31.76</v>
      </c>
      <c r="O2806" s="26">
        <v>45759</v>
      </c>
      <c r="P2806" s="2" t="s">
        <v>2105</v>
      </c>
      <c r="Q2806" s="2" t="s">
        <v>806</v>
      </c>
    </row>
    <row r="2807" spans="2:17" x14ac:dyDescent="0.25">
      <c r="B2807" s="2" t="s">
        <v>3612</v>
      </c>
      <c r="C2807" s="2" t="s">
        <v>301</v>
      </c>
      <c r="D2807" s="2" t="s">
        <v>302</v>
      </c>
      <c r="E2807" s="2" t="s">
        <v>71</v>
      </c>
      <c r="F2807" s="2" t="s">
        <v>535</v>
      </c>
      <c r="G2807" s="2" t="s">
        <v>495</v>
      </c>
      <c r="H2807" s="2" t="s">
        <v>496</v>
      </c>
      <c r="I2807" s="26">
        <v>45503</v>
      </c>
      <c r="J2807" s="2">
        <v>27</v>
      </c>
      <c r="K2807" s="2" t="s">
        <v>303</v>
      </c>
      <c r="L2807" s="22">
        <v>1350</v>
      </c>
      <c r="M2807" s="22">
        <v>36450</v>
      </c>
      <c r="N2807" s="18">
        <v>38.979999999999997</v>
      </c>
      <c r="O2807" s="26">
        <v>45803</v>
      </c>
      <c r="P2807" s="2" t="s">
        <v>2105</v>
      </c>
      <c r="Q2807" s="2" t="s">
        <v>806</v>
      </c>
    </row>
    <row r="2808" spans="2:17" x14ac:dyDescent="0.25">
      <c r="B2808" s="2" t="s">
        <v>3613</v>
      </c>
      <c r="C2808" s="2" t="s">
        <v>301</v>
      </c>
      <c r="D2808" s="2" t="s">
        <v>302</v>
      </c>
      <c r="E2808" s="2" t="s">
        <v>71</v>
      </c>
      <c r="F2808" s="2" t="s">
        <v>535</v>
      </c>
      <c r="G2808" s="2" t="s">
        <v>495</v>
      </c>
      <c r="H2808" s="2" t="s">
        <v>496</v>
      </c>
      <c r="I2808" s="26">
        <v>45534</v>
      </c>
      <c r="J2808" s="2">
        <v>26</v>
      </c>
      <c r="K2808" s="2" t="s">
        <v>303</v>
      </c>
      <c r="L2808" s="22">
        <v>1350</v>
      </c>
      <c r="M2808" s="22">
        <v>35100</v>
      </c>
      <c r="N2808" s="18">
        <v>37.54</v>
      </c>
      <c r="O2808" s="26">
        <v>45834</v>
      </c>
      <c r="P2808" s="2" t="s">
        <v>2105</v>
      </c>
      <c r="Q2808" s="2" t="s">
        <v>806</v>
      </c>
    </row>
    <row r="2809" spans="2:17" x14ac:dyDescent="0.25">
      <c r="B2809" s="2" t="s">
        <v>3614</v>
      </c>
      <c r="C2809" s="2" t="s">
        <v>301</v>
      </c>
      <c r="D2809" s="2" t="s">
        <v>302</v>
      </c>
      <c r="E2809" s="2" t="s">
        <v>71</v>
      </c>
      <c r="F2809" s="2" t="s">
        <v>537</v>
      </c>
      <c r="G2809" s="2" t="s">
        <v>500</v>
      </c>
      <c r="H2809" s="2" t="s">
        <v>501</v>
      </c>
      <c r="I2809" s="26">
        <v>45567</v>
      </c>
      <c r="J2809" s="2">
        <v>22</v>
      </c>
      <c r="K2809" s="2" t="s">
        <v>303</v>
      </c>
      <c r="L2809" s="22">
        <v>1450</v>
      </c>
      <c r="M2809" s="22">
        <v>31900</v>
      </c>
      <c r="N2809" s="18">
        <v>34.119999999999997</v>
      </c>
      <c r="O2809" s="26">
        <v>45867</v>
      </c>
      <c r="P2809" s="2" t="s">
        <v>2105</v>
      </c>
      <c r="Q2809" s="2" t="s">
        <v>814</v>
      </c>
    </row>
    <row r="2810" spans="2:17" x14ac:dyDescent="0.25">
      <c r="B2810" s="2" t="s">
        <v>3615</v>
      </c>
      <c r="C2810" s="2" t="s">
        <v>301</v>
      </c>
      <c r="D2810" s="2" t="s">
        <v>302</v>
      </c>
      <c r="E2810" s="2" t="s">
        <v>71</v>
      </c>
      <c r="F2810" s="2" t="s">
        <v>535</v>
      </c>
      <c r="G2810" s="2" t="s">
        <v>495</v>
      </c>
      <c r="H2810" s="2" t="s">
        <v>496</v>
      </c>
      <c r="I2810" s="26">
        <v>45600</v>
      </c>
      <c r="J2810" s="2">
        <v>21</v>
      </c>
      <c r="K2810" s="2" t="s">
        <v>303</v>
      </c>
      <c r="L2810" s="22">
        <v>1350</v>
      </c>
      <c r="M2810" s="22">
        <v>28350</v>
      </c>
      <c r="N2810" s="18">
        <v>30.32</v>
      </c>
      <c r="O2810" s="26">
        <v>45900</v>
      </c>
      <c r="P2810" s="2" t="s">
        <v>2105</v>
      </c>
      <c r="Q2810" s="2" t="s">
        <v>814</v>
      </c>
    </row>
    <row r="2811" spans="2:17" x14ac:dyDescent="0.25">
      <c r="B2811" s="2" t="s">
        <v>3616</v>
      </c>
      <c r="C2811" s="2" t="s">
        <v>301</v>
      </c>
      <c r="D2811" s="2" t="s">
        <v>302</v>
      </c>
      <c r="E2811" s="2" t="s">
        <v>71</v>
      </c>
      <c r="F2811" s="2" t="s">
        <v>535</v>
      </c>
      <c r="G2811" s="2" t="s">
        <v>495</v>
      </c>
      <c r="H2811" s="2" t="s">
        <v>496</v>
      </c>
      <c r="I2811" s="26">
        <v>45636</v>
      </c>
      <c r="J2811" s="2">
        <v>31</v>
      </c>
      <c r="K2811" s="2" t="s">
        <v>303</v>
      </c>
      <c r="L2811" s="22">
        <v>1350</v>
      </c>
      <c r="M2811" s="22">
        <v>41850</v>
      </c>
      <c r="N2811" s="18">
        <v>44.76</v>
      </c>
      <c r="O2811" s="26">
        <v>45936</v>
      </c>
      <c r="P2811" s="2" t="s">
        <v>2105</v>
      </c>
      <c r="Q2811" s="2" t="s">
        <v>825</v>
      </c>
    </row>
    <row r="2812" spans="2:17" x14ac:dyDescent="0.25">
      <c r="B2812" s="2" t="s">
        <v>3617</v>
      </c>
      <c r="C2812" s="2" t="s">
        <v>301</v>
      </c>
      <c r="D2812" s="2" t="s">
        <v>302</v>
      </c>
      <c r="E2812" s="2" t="s">
        <v>71</v>
      </c>
      <c r="F2812" s="2" t="s">
        <v>535</v>
      </c>
      <c r="G2812" s="2" t="s">
        <v>495</v>
      </c>
      <c r="H2812" s="2" t="s">
        <v>496</v>
      </c>
      <c r="I2812" s="26">
        <v>45665</v>
      </c>
      <c r="J2812" s="2">
        <v>27</v>
      </c>
      <c r="K2812" s="2" t="s">
        <v>303</v>
      </c>
      <c r="L2812" s="22">
        <v>1350</v>
      </c>
      <c r="M2812" s="22">
        <v>36450</v>
      </c>
      <c r="N2812" s="18">
        <v>38.979999999999997</v>
      </c>
      <c r="O2812" s="26">
        <v>45965</v>
      </c>
      <c r="P2812" s="2" t="s">
        <v>2105</v>
      </c>
      <c r="Q2812" s="2" t="s">
        <v>825</v>
      </c>
    </row>
    <row r="2813" spans="2:17" x14ac:dyDescent="0.25">
      <c r="B2813" s="2" t="s">
        <v>3618</v>
      </c>
      <c r="C2813" s="2" t="s">
        <v>301</v>
      </c>
      <c r="D2813" s="2" t="s">
        <v>302</v>
      </c>
      <c r="E2813" s="2" t="s">
        <v>71</v>
      </c>
      <c r="F2813" s="2" t="s">
        <v>535</v>
      </c>
      <c r="G2813" s="2" t="s">
        <v>495</v>
      </c>
      <c r="H2813" s="2" t="s">
        <v>496</v>
      </c>
      <c r="I2813" s="26">
        <v>45698</v>
      </c>
      <c r="J2813" s="2">
        <v>23</v>
      </c>
      <c r="K2813" s="2" t="s">
        <v>303</v>
      </c>
      <c r="L2813" s="22">
        <v>1350</v>
      </c>
      <c r="M2813" s="22">
        <v>31050</v>
      </c>
      <c r="N2813" s="18">
        <v>33.21</v>
      </c>
      <c r="O2813" s="26">
        <v>45998</v>
      </c>
      <c r="P2813" s="2" t="s">
        <v>2105</v>
      </c>
      <c r="Q2813" s="2" t="s">
        <v>825</v>
      </c>
    </row>
    <row r="2814" spans="2:17" x14ac:dyDescent="0.25">
      <c r="B2814" s="2" t="s">
        <v>3619</v>
      </c>
      <c r="C2814" s="2" t="s">
        <v>301</v>
      </c>
      <c r="D2814" s="2" t="s">
        <v>302</v>
      </c>
      <c r="E2814" s="2" t="s">
        <v>71</v>
      </c>
      <c r="F2814" s="2" t="s">
        <v>535</v>
      </c>
      <c r="G2814" s="2" t="s">
        <v>495</v>
      </c>
      <c r="H2814" s="2" t="s">
        <v>496</v>
      </c>
      <c r="I2814" s="26">
        <v>45736</v>
      </c>
      <c r="J2814" s="2">
        <v>28</v>
      </c>
      <c r="K2814" s="2" t="s">
        <v>303</v>
      </c>
      <c r="L2814" s="22">
        <v>1350</v>
      </c>
      <c r="M2814" s="22">
        <v>37800</v>
      </c>
      <c r="N2814" s="18">
        <v>40.43</v>
      </c>
      <c r="O2814" s="26">
        <v>46036</v>
      </c>
      <c r="P2814" s="2" t="s">
        <v>2105</v>
      </c>
      <c r="Q2814" s="2" t="s">
        <v>836</v>
      </c>
    </row>
    <row r="2815" spans="2:17" x14ac:dyDescent="0.25">
      <c r="B2815" s="2" t="s">
        <v>3620</v>
      </c>
      <c r="C2815" s="2" t="s">
        <v>301</v>
      </c>
      <c r="D2815" s="2" t="s">
        <v>302</v>
      </c>
      <c r="E2815" s="2" t="s">
        <v>71</v>
      </c>
      <c r="F2815" s="2" t="s">
        <v>537</v>
      </c>
      <c r="G2815" s="2" t="s">
        <v>500</v>
      </c>
      <c r="H2815" s="2" t="s">
        <v>501</v>
      </c>
      <c r="I2815" s="26">
        <v>45765</v>
      </c>
      <c r="J2815" s="2">
        <v>23</v>
      </c>
      <c r="K2815" s="2" t="s">
        <v>303</v>
      </c>
      <c r="L2815" s="22">
        <v>1450</v>
      </c>
      <c r="M2815" s="22">
        <v>33350</v>
      </c>
      <c r="N2815" s="18">
        <v>35.67</v>
      </c>
      <c r="O2815" s="26">
        <v>46065</v>
      </c>
      <c r="P2815" s="2" t="s">
        <v>2105</v>
      </c>
      <c r="Q2815" s="2" t="s">
        <v>836</v>
      </c>
    </row>
    <row r="2816" spans="2:17" x14ac:dyDescent="0.25">
      <c r="B2816" s="2" t="s">
        <v>3621</v>
      </c>
      <c r="C2816" s="2" t="s">
        <v>301</v>
      </c>
      <c r="D2816" s="2" t="s">
        <v>302</v>
      </c>
      <c r="E2816" s="2" t="s">
        <v>71</v>
      </c>
      <c r="F2816" s="2" t="s">
        <v>535</v>
      </c>
      <c r="G2816" s="2" t="s">
        <v>495</v>
      </c>
      <c r="H2816" s="2" t="s">
        <v>496</v>
      </c>
      <c r="I2816" s="26">
        <v>45800</v>
      </c>
      <c r="J2816" s="2">
        <v>26</v>
      </c>
      <c r="K2816" s="2" t="s">
        <v>303</v>
      </c>
      <c r="L2816" s="22">
        <v>1350</v>
      </c>
      <c r="M2816" s="22">
        <v>35100</v>
      </c>
      <c r="N2816" s="18">
        <v>37.54</v>
      </c>
      <c r="O2816" s="26">
        <v>46100</v>
      </c>
      <c r="P2816" s="2" t="s">
        <v>2105</v>
      </c>
      <c r="Q2816" s="2" t="s">
        <v>836</v>
      </c>
    </row>
    <row r="2817" spans="2:17" x14ac:dyDescent="0.25">
      <c r="B2817" s="2" t="s">
        <v>3622</v>
      </c>
      <c r="C2817" s="2" t="s">
        <v>301</v>
      </c>
      <c r="D2817" s="2" t="s">
        <v>302</v>
      </c>
      <c r="E2817" s="2" t="s">
        <v>71</v>
      </c>
      <c r="F2817" s="2" t="s">
        <v>535</v>
      </c>
      <c r="G2817" s="2" t="s">
        <v>495</v>
      </c>
      <c r="H2817" s="2" t="s">
        <v>496</v>
      </c>
      <c r="I2817" s="26">
        <v>45833</v>
      </c>
      <c r="J2817" s="2">
        <v>22</v>
      </c>
      <c r="K2817" s="2" t="s">
        <v>303</v>
      </c>
      <c r="L2817" s="22">
        <v>1350</v>
      </c>
      <c r="M2817" s="22">
        <v>29700</v>
      </c>
      <c r="N2817" s="18">
        <v>31.76</v>
      </c>
      <c r="O2817" s="26">
        <v>46133</v>
      </c>
      <c r="P2817" s="2" t="s">
        <v>2105</v>
      </c>
      <c r="Q2817" s="2" t="s">
        <v>806</v>
      </c>
    </row>
    <row r="2818" spans="2:17" x14ac:dyDescent="0.25">
      <c r="B2818" s="2" t="s">
        <v>3623</v>
      </c>
      <c r="C2818" s="2" t="s">
        <v>304</v>
      </c>
      <c r="D2818" s="2" t="s">
        <v>305</v>
      </c>
      <c r="E2818" s="2" t="s">
        <v>71</v>
      </c>
      <c r="F2818" s="2" t="s">
        <v>535</v>
      </c>
      <c r="G2818" s="2" t="s">
        <v>495</v>
      </c>
      <c r="H2818" s="2" t="s">
        <v>496</v>
      </c>
      <c r="I2818" s="26">
        <v>45116</v>
      </c>
      <c r="J2818" s="2">
        <v>45</v>
      </c>
      <c r="K2818" s="2" t="s">
        <v>298</v>
      </c>
      <c r="L2818" s="22">
        <v>700</v>
      </c>
      <c r="M2818" s="22">
        <v>31500</v>
      </c>
      <c r="N2818" s="18">
        <v>33.69</v>
      </c>
      <c r="O2818" s="26">
        <v>45416</v>
      </c>
      <c r="P2818" s="2" t="s">
        <v>2105</v>
      </c>
      <c r="Q2818" s="2" t="s">
        <v>806</v>
      </c>
    </row>
    <row r="2819" spans="2:17" x14ac:dyDescent="0.25">
      <c r="B2819" s="2" t="s">
        <v>3624</v>
      </c>
      <c r="C2819" s="2" t="s">
        <v>304</v>
      </c>
      <c r="D2819" s="2" t="s">
        <v>305</v>
      </c>
      <c r="E2819" s="2" t="s">
        <v>71</v>
      </c>
      <c r="F2819" s="2" t="s">
        <v>535</v>
      </c>
      <c r="G2819" s="2" t="s">
        <v>495</v>
      </c>
      <c r="H2819" s="2" t="s">
        <v>496</v>
      </c>
      <c r="I2819" s="26">
        <v>45147</v>
      </c>
      <c r="J2819" s="2">
        <v>45</v>
      </c>
      <c r="K2819" s="2" t="s">
        <v>298</v>
      </c>
      <c r="L2819" s="22">
        <v>700</v>
      </c>
      <c r="M2819" s="22">
        <v>31500</v>
      </c>
      <c r="N2819" s="18">
        <v>33.69</v>
      </c>
      <c r="O2819" s="26">
        <v>45447</v>
      </c>
      <c r="P2819" s="2" t="s">
        <v>2105</v>
      </c>
      <c r="Q2819" s="2" t="s">
        <v>806</v>
      </c>
    </row>
    <row r="2820" spans="2:17" x14ac:dyDescent="0.25">
      <c r="B2820" s="2" t="s">
        <v>3625</v>
      </c>
      <c r="C2820" s="2" t="s">
        <v>304</v>
      </c>
      <c r="D2820" s="2" t="s">
        <v>305</v>
      </c>
      <c r="E2820" s="2" t="s">
        <v>71</v>
      </c>
      <c r="F2820" s="2" t="s">
        <v>535</v>
      </c>
      <c r="G2820" s="2" t="s">
        <v>495</v>
      </c>
      <c r="H2820" s="2" t="s">
        <v>496</v>
      </c>
      <c r="I2820" s="26">
        <v>45173</v>
      </c>
      <c r="J2820" s="2">
        <v>45</v>
      </c>
      <c r="K2820" s="2" t="s">
        <v>298</v>
      </c>
      <c r="L2820" s="22">
        <v>700</v>
      </c>
      <c r="M2820" s="22">
        <v>31500</v>
      </c>
      <c r="N2820" s="18">
        <v>33.69</v>
      </c>
      <c r="O2820" s="26">
        <v>45473</v>
      </c>
      <c r="P2820" s="2" t="s">
        <v>2105</v>
      </c>
      <c r="Q2820" s="2" t="s">
        <v>814</v>
      </c>
    </row>
    <row r="2821" spans="2:17" x14ac:dyDescent="0.25">
      <c r="B2821" s="2" t="s">
        <v>3626</v>
      </c>
      <c r="C2821" s="2" t="s">
        <v>304</v>
      </c>
      <c r="D2821" s="2" t="s">
        <v>305</v>
      </c>
      <c r="E2821" s="2" t="s">
        <v>71</v>
      </c>
      <c r="F2821" s="2" t="s">
        <v>535</v>
      </c>
      <c r="G2821" s="2" t="s">
        <v>495</v>
      </c>
      <c r="H2821" s="2" t="s">
        <v>496</v>
      </c>
      <c r="I2821" s="26">
        <v>45208</v>
      </c>
      <c r="J2821" s="2">
        <v>41</v>
      </c>
      <c r="K2821" s="2" t="s">
        <v>298</v>
      </c>
      <c r="L2821" s="22">
        <v>700</v>
      </c>
      <c r="M2821" s="22">
        <v>28700</v>
      </c>
      <c r="N2821" s="18">
        <v>30.7</v>
      </c>
      <c r="O2821" s="26">
        <v>45508</v>
      </c>
      <c r="P2821" s="2" t="s">
        <v>2105</v>
      </c>
      <c r="Q2821" s="2" t="s">
        <v>814</v>
      </c>
    </row>
    <row r="2822" spans="2:17" x14ac:dyDescent="0.25">
      <c r="B2822" s="2" t="s">
        <v>3627</v>
      </c>
      <c r="C2822" s="2" t="s">
        <v>304</v>
      </c>
      <c r="D2822" s="2" t="s">
        <v>305</v>
      </c>
      <c r="E2822" s="2" t="s">
        <v>71</v>
      </c>
      <c r="F2822" s="2" t="s">
        <v>535</v>
      </c>
      <c r="G2822" s="2" t="s">
        <v>495</v>
      </c>
      <c r="H2822" s="2" t="s">
        <v>496</v>
      </c>
      <c r="I2822" s="26">
        <v>45246</v>
      </c>
      <c r="J2822" s="2">
        <v>44</v>
      </c>
      <c r="K2822" s="2" t="s">
        <v>298</v>
      </c>
      <c r="L2822" s="22">
        <v>700</v>
      </c>
      <c r="M2822" s="22">
        <v>30800</v>
      </c>
      <c r="N2822" s="18">
        <v>32.94</v>
      </c>
      <c r="O2822" s="26">
        <v>45546</v>
      </c>
      <c r="P2822" s="2" t="s">
        <v>2105</v>
      </c>
      <c r="Q2822" s="2" t="s">
        <v>814</v>
      </c>
    </row>
    <row r="2823" spans="2:17" x14ac:dyDescent="0.25">
      <c r="B2823" s="2" t="s">
        <v>3628</v>
      </c>
      <c r="C2823" s="2" t="s">
        <v>304</v>
      </c>
      <c r="D2823" s="2" t="s">
        <v>305</v>
      </c>
      <c r="E2823" s="2" t="s">
        <v>71</v>
      </c>
      <c r="F2823" s="2" t="s">
        <v>535</v>
      </c>
      <c r="G2823" s="2" t="s">
        <v>495</v>
      </c>
      <c r="H2823" s="2" t="s">
        <v>496</v>
      </c>
      <c r="I2823" s="26">
        <v>45280</v>
      </c>
      <c r="J2823" s="2">
        <v>47</v>
      </c>
      <c r="K2823" s="2" t="s">
        <v>298</v>
      </c>
      <c r="L2823" s="22">
        <v>700</v>
      </c>
      <c r="M2823" s="22">
        <v>32900</v>
      </c>
      <c r="N2823" s="18">
        <v>35.19</v>
      </c>
      <c r="O2823" s="26">
        <v>45580</v>
      </c>
      <c r="P2823" s="2" t="s">
        <v>2105</v>
      </c>
      <c r="Q2823" s="2" t="s">
        <v>825</v>
      </c>
    </row>
    <row r="2824" spans="2:17" x14ac:dyDescent="0.25">
      <c r="B2824" s="2" t="s">
        <v>3629</v>
      </c>
      <c r="C2824" s="2" t="s">
        <v>304</v>
      </c>
      <c r="D2824" s="2" t="s">
        <v>305</v>
      </c>
      <c r="E2824" s="2" t="s">
        <v>71</v>
      </c>
      <c r="F2824" s="2" t="s">
        <v>535</v>
      </c>
      <c r="G2824" s="2" t="s">
        <v>495</v>
      </c>
      <c r="H2824" s="2" t="s">
        <v>496</v>
      </c>
      <c r="I2824" s="26">
        <v>45323</v>
      </c>
      <c r="J2824" s="2">
        <v>39</v>
      </c>
      <c r="K2824" s="2" t="s">
        <v>298</v>
      </c>
      <c r="L2824" s="22">
        <v>700</v>
      </c>
      <c r="M2824" s="22">
        <v>27300</v>
      </c>
      <c r="N2824" s="18">
        <v>29.2</v>
      </c>
      <c r="O2824" s="26">
        <v>45623</v>
      </c>
      <c r="P2824" s="2" t="s">
        <v>2105</v>
      </c>
      <c r="Q2824" s="2" t="s">
        <v>825</v>
      </c>
    </row>
    <row r="2825" spans="2:17" x14ac:dyDescent="0.25">
      <c r="B2825" s="2" t="s">
        <v>3630</v>
      </c>
      <c r="C2825" s="2" t="s">
        <v>304</v>
      </c>
      <c r="D2825" s="2" t="s">
        <v>305</v>
      </c>
      <c r="E2825" s="2" t="s">
        <v>71</v>
      </c>
      <c r="F2825" s="2" t="s">
        <v>535</v>
      </c>
      <c r="G2825" s="2" t="s">
        <v>495</v>
      </c>
      <c r="H2825" s="2" t="s">
        <v>496</v>
      </c>
      <c r="I2825" s="26">
        <v>45360</v>
      </c>
      <c r="J2825" s="2">
        <v>45</v>
      </c>
      <c r="K2825" s="2" t="s">
        <v>298</v>
      </c>
      <c r="L2825" s="22">
        <v>700</v>
      </c>
      <c r="M2825" s="22">
        <v>31500</v>
      </c>
      <c r="N2825" s="18">
        <v>33.69</v>
      </c>
      <c r="O2825" s="26">
        <v>45660</v>
      </c>
      <c r="P2825" s="2" t="s">
        <v>2105</v>
      </c>
      <c r="Q2825" s="2" t="s">
        <v>836</v>
      </c>
    </row>
    <row r="2826" spans="2:17" x14ac:dyDescent="0.25">
      <c r="B2826" s="2" t="s">
        <v>3631</v>
      </c>
      <c r="C2826" s="2" t="s">
        <v>304</v>
      </c>
      <c r="D2826" s="2" t="s">
        <v>305</v>
      </c>
      <c r="E2826" s="2" t="s">
        <v>71</v>
      </c>
      <c r="F2826" s="2" t="s">
        <v>535</v>
      </c>
      <c r="G2826" s="2" t="s">
        <v>495</v>
      </c>
      <c r="H2826" s="2" t="s">
        <v>496</v>
      </c>
      <c r="I2826" s="26">
        <v>45397</v>
      </c>
      <c r="J2826" s="2">
        <v>39</v>
      </c>
      <c r="K2826" s="2" t="s">
        <v>298</v>
      </c>
      <c r="L2826" s="22">
        <v>700</v>
      </c>
      <c r="M2826" s="22">
        <v>27300</v>
      </c>
      <c r="N2826" s="18">
        <v>29.2</v>
      </c>
      <c r="O2826" s="26">
        <v>45697</v>
      </c>
      <c r="P2826" s="2" t="s">
        <v>2105</v>
      </c>
      <c r="Q2826" s="2" t="s">
        <v>836</v>
      </c>
    </row>
    <row r="2827" spans="2:17" x14ac:dyDescent="0.25">
      <c r="B2827" s="2" t="s">
        <v>3632</v>
      </c>
      <c r="C2827" s="2" t="s">
        <v>304</v>
      </c>
      <c r="D2827" s="2" t="s">
        <v>305</v>
      </c>
      <c r="E2827" s="2" t="s">
        <v>71</v>
      </c>
      <c r="F2827" s="2" t="s">
        <v>535</v>
      </c>
      <c r="G2827" s="2" t="s">
        <v>495</v>
      </c>
      <c r="H2827" s="2" t="s">
        <v>496</v>
      </c>
      <c r="I2827" s="26">
        <v>45426</v>
      </c>
      <c r="J2827" s="2">
        <v>44</v>
      </c>
      <c r="K2827" s="2" t="s">
        <v>298</v>
      </c>
      <c r="L2827" s="22">
        <v>700</v>
      </c>
      <c r="M2827" s="22">
        <v>30800</v>
      </c>
      <c r="N2827" s="18">
        <v>32.94</v>
      </c>
      <c r="O2827" s="26">
        <v>45726</v>
      </c>
      <c r="P2827" s="2" t="s">
        <v>2105</v>
      </c>
      <c r="Q2827" s="2" t="s">
        <v>836</v>
      </c>
    </row>
    <row r="2828" spans="2:17" x14ac:dyDescent="0.25">
      <c r="B2828" s="2" t="s">
        <v>3633</v>
      </c>
      <c r="C2828" s="2" t="s">
        <v>304</v>
      </c>
      <c r="D2828" s="2" t="s">
        <v>305</v>
      </c>
      <c r="E2828" s="2" t="s">
        <v>71</v>
      </c>
      <c r="F2828" s="2" t="s">
        <v>535</v>
      </c>
      <c r="G2828" s="2" t="s">
        <v>495</v>
      </c>
      <c r="H2828" s="2" t="s">
        <v>496</v>
      </c>
      <c r="I2828" s="26">
        <v>45466</v>
      </c>
      <c r="J2828" s="2">
        <v>41</v>
      </c>
      <c r="K2828" s="2" t="s">
        <v>298</v>
      </c>
      <c r="L2828" s="22">
        <v>700</v>
      </c>
      <c r="M2828" s="22">
        <v>28700</v>
      </c>
      <c r="N2828" s="18">
        <v>30.7</v>
      </c>
      <c r="O2828" s="26">
        <v>45766</v>
      </c>
      <c r="P2828" s="2" t="s">
        <v>2105</v>
      </c>
      <c r="Q2828" s="2" t="s">
        <v>806</v>
      </c>
    </row>
    <row r="2829" spans="2:17" x14ac:dyDescent="0.25">
      <c r="B2829" s="2" t="s">
        <v>3634</v>
      </c>
      <c r="C2829" s="2" t="s">
        <v>304</v>
      </c>
      <c r="D2829" s="2" t="s">
        <v>305</v>
      </c>
      <c r="E2829" s="2" t="s">
        <v>71</v>
      </c>
      <c r="F2829" s="2" t="s">
        <v>535</v>
      </c>
      <c r="G2829" s="2" t="s">
        <v>495</v>
      </c>
      <c r="H2829" s="2" t="s">
        <v>496</v>
      </c>
      <c r="I2829" s="26">
        <v>45497</v>
      </c>
      <c r="J2829" s="2">
        <v>42</v>
      </c>
      <c r="K2829" s="2" t="s">
        <v>298</v>
      </c>
      <c r="L2829" s="22">
        <v>700</v>
      </c>
      <c r="M2829" s="22">
        <v>29400</v>
      </c>
      <c r="N2829" s="18">
        <v>31.44</v>
      </c>
      <c r="O2829" s="26">
        <v>45797</v>
      </c>
      <c r="P2829" s="2" t="s">
        <v>2105</v>
      </c>
      <c r="Q2829" s="2" t="s">
        <v>806</v>
      </c>
    </row>
    <row r="2830" spans="2:17" x14ac:dyDescent="0.25">
      <c r="B2830" s="2" t="s">
        <v>3635</v>
      </c>
      <c r="C2830" s="2" t="s">
        <v>304</v>
      </c>
      <c r="D2830" s="2" t="s">
        <v>305</v>
      </c>
      <c r="E2830" s="2" t="s">
        <v>71</v>
      </c>
      <c r="F2830" s="2" t="s">
        <v>537</v>
      </c>
      <c r="G2830" s="2" t="s">
        <v>500</v>
      </c>
      <c r="H2830" s="2" t="s">
        <v>501</v>
      </c>
      <c r="I2830" s="26">
        <v>45531</v>
      </c>
      <c r="J2830" s="2">
        <v>43</v>
      </c>
      <c r="K2830" s="2" t="s">
        <v>298</v>
      </c>
      <c r="L2830" s="22">
        <v>750</v>
      </c>
      <c r="M2830" s="22">
        <v>32250</v>
      </c>
      <c r="N2830" s="18">
        <v>34.49</v>
      </c>
      <c r="O2830" s="26">
        <v>45831</v>
      </c>
      <c r="P2830" s="2" t="s">
        <v>2105</v>
      </c>
      <c r="Q2830" s="2" t="s">
        <v>806</v>
      </c>
    </row>
    <row r="2831" spans="2:17" x14ac:dyDescent="0.25">
      <c r="B2831" s="2" t="s">
        <v>3636</v>
      </c>
      <c r="C2831" s="2" t="s">
        <v>304</v>
      </c>
      <c r="D2831" s="2" t="s">
        <v>305</v>
      </c>
      <c r="E2831" s="2" t="s">
        <v>71</v>
      </c>
      <c r="F2831" s="2" t="s">
        <v>535</v>
      </c>
      <c r="G2831" s="2" t="s">
        <v>495</v>
      </c>
      <c r="H2831" s="2" t="s">
        <v>496</v>
      </c>
      <c r="I2831" s="26">
        <v>45563</v>
      </c>
      <c r="J2831" s="2">
        <v>53</v>
      </c>
      <c r="K2831" s="2" t="s">
        <v>298</v>
      </c>
      <c r="L2831" s="22">
        <v>700</v>
      </c>
      <c r="M2831" s="22">
        <v>37100</v>
      </c>
      <c r="N2831" s="18">
        <v>39.68</v>
      </c>
      <c r="O2831" s="26">
        <v>45863</v>
      </c>
      <c r="P2831" s="2" t="s">
        <v>2105</v>
      </c>
      <c r="Q2831" s="2" t="s">
        <v>814</v>
      </c>
    </row>
    <row r="2832" spans="2:17" x14ac:dyDescent="0.25">
      <c r="B2832" s="2" t="s">
        <v>3637</v>
      </c>
      <c r="C2832" s="2" t="s">
        <v>304</v>
      </c>
      <c r="D2832" s="2" t="s">
        <v>305</v>
      </c>
      <c r="E2832" s="2" t="s">
        <v>71</v>
      </c>
      <c r="F2832" s="2" t="s">
        <v>535</v>
      </c>
      <c r="G2832" s="2" t="s">
        <v>495</v>
      </c>
      <c r="H2832" s="2" t="s">
        <v>496</v>
      </c>
      <c r="I2832" s="26">
        <v>45593</v>
      </c>
      <c r="J2832" s="2">
        <v>37</v>
      </c>
      <c r="K2832" s="2" t="s">
        <v>298</v>
      </c>
      <c r="L2832" s="22">
        <v>700</v>
      </c>
      <c r="M2832" s="22">
        <v>25900</v>
      </c>
      <c r="N2832" s="18">
        <v>27.7</v>
      </c>
      <c r="O2832" s="26">
        <v>45893</v>
      </c>
      <c r="P2832" s="2" t="s">
        <v>2105</v>
      </c>
      <c r="Q2832" s="2" t="s">
        <v>814</v>
      </c>
    </row>
    <row r="2833" spans="2:17" x14ac:dyDescent="0.25">
      <c r="B2833" s="2" t="s">
        <v>3638</v>
      </c>
      <c r="C2833" s="2" t="s">
        <v>304</v>
      </c>
      <c r="D2833" s="2" t="s">
        <v>305</v>
      </c>
      <c r="E2833" s="2" t="s">
        <v>71</v>
      </c>
      <c r="F2833" s="2" t="s">
        <v>535</v>
      </c>
      <c r="G2833" s="2" t="s">
        <v>495</v>
      </c>
      <c r="H2833" s="2" t="s">
        <v>496</v>
      </c>
      <c r="I2833" s="26">
        <v>45623</v>
      </c>
      <c r="J2833" s="2">
        <v>45</v>
      </c>
      <c r="K2833" s="2" t="s">
        <v>298</v>
      </c>
      <c r="L2833" s="22">
        <v>700</v>
      </c>
      <c r="M2833" s="22">
        <v>31500</v>
      </c>
      <c r="N2833" s="18">
        <v>33.69</v>
      </c>
      <c r="O2833" s="26">
        <v>45923</v>
      </c>
      <c r="P2833" s="2" t="s">
        <v>2105</v>
      </c>
      <c r="Q2833" s="2" t="s">
        <v>814</v>
      </c>
    </row>
    <row r="2834" spans="2:17" x14ac:dyDescent="0.25">
      <c r="B2834" s="2" t="s">
        <v>3639</v>
      </c>
      <c r="C2834" s="2" t="s">
        <v>304</v>
      </c>
      <c r="D2834" s="2" t="s">
        <v>305</v>
      </c>
      <c r="E2834" s="2" t="s">
        <v>71</v>
      </c>
      <c r="F2834" s="2" t="s">
        <v>535</v>
      </c>
      <c r="G2834" s="2" t="s">
        <v>495</v>
      </c>
      <c r="H2834" s="2" t="s">
        <v>496</v>
      </c>
      <c r="I2834" s="26">
        <v>45669</v>
      </c>
      <c r="J2834" s="2">
        <v>39</v>
      </c>
      <c r="K2834" s="2" t="s">
        <v>298</v>
      </c>
      <c r="L2834" s="22">
        <v>700</v>
      </c>
      <c r="M2834" s="22">
        <v>27300</v>
      </c>
      <c r="N2834" s="18">
        <v>29.2</v>
      </c>
      <c r="O2834" s="26">
        <v>45969</v>
      </c>
      <c r="P2834" s="2" t="s">
        <v>2105</v>
      </c>
      <c r="Q2834" s="2" t="s">
        <v>825</v>
      </c>
    </row>
    <row r="2835" spans="2:17" x14ac:dyDescent="0.25">
      <c r="B2835" s="2" t="s">
        <v>3640</v>
      </c>
      <c r="C2835" s="2" t="s">
        <v>304</v>
      </c>
      <c r="D2835" s="2" t="s">
        <v>305</v>
      </c>
      <c r="E2835" s="2" t="s">
        <v>71</v>
      </c>
      <c r="F2835" s="2" t="s">
        <v>535</v>
      </c>
      <c r="G2835" s="2" t="s">
        <v>495</v>
      </c>
      <c r="H2835" s="2" t="s">
        <v>496</v>
      </c>
      <c r="I2835" s="26">
        <v>45705</v>
      </c>
      <c r="J2835" s="2">
        <v>45</v>
      </c>
      <c r="K2835" s="2" t="s">
        <v>298</v>
      </c>
      <c r="L2835" s="22">
        <v>700</v>
      </c>
      <c r="M2835" s="22">
        <v>31500</v>
      </c>
      <c r="N2835" s="18">
        <v>33.69</v>
      </c>
      <c r="O2835" s="26">
        <v>46005</v>
      </c>
      <c r="P2835" s="2" t="s">
        <v>2105</v>
      </c>
      <c r="Q2835" s="2" t="s">
        <v>825</v>
      </c>
    </row>
    <row r="2836" spans="2:17" x14ac:dyDescent="0.25">
      <c r="B2836" s="2" t="s">
        <v>3641</v>
      </c>
      <c r="C2836" s="2" t="s">
        <v>304</v>
      </c>
      <c r="D2836" s="2" t="s">
        <v>305</v>
      </c>
      <c r="E2836" s="2" t="s">
        <v>71</v>
      </c>
      <c r="F2836" s="2" t="s">
        <v>535</v>
      </c>
      <c r="G2836" s="2" t="s">
        <v>495</v>
      </c>
      <c r="H2836" s="2" t="s">
        <v>496</v>
      </c>
      <c r="I2836" s="26">
        <v>45742</v>
      </c>
      <c r="J2836" s="2">
        <v>45</v>
      </c>
      <c r="K2836" s="2" t="s">
        <v>298</v>
      </c>
      <c r="L2836" s="22">
        <v>700</v>
      </c>
      <c r="M2836" s="22">
        <v>31500</v>
      </c>
      <c r="N2836" s="18">
        <v>33.69</v>
      </c>
      <c r="O2836" s="26">
        <v>46042</v>
      </c>
      <c r="P2836" s="2" t="s">
        <v>2105</v>
      </c>
      <c r="Q2836" s="2" t="s">
        <v>836</v>
      </c>
    </row>
    <row r="2837" spans="2:17" x14ac:dyDescent="0.25">
      <c r="B2837" s="2" t="s">
        <v>3642</v>
      </c>
      <c r="C2837" s="2" t="s">
        <v>304</v>
      </c>
      <c r="D2837" s="2" t="s">
        <v>305</v>
      </c>
      <c r="E2837" s="2" t="s">
        <v>71</v>
      </c>
      <c r="F2837" s="2" t="s">
        <v>537</v>
      </c>
      <c r="G2837" s="2" t="s">
        <v>500</v>
      </c>
      <c r="H2837" s="2" t="s">
        <v>501</v>
      </c>
      <c r="I2837" s="26">
        <v>45787</v>
      </c>
      <c r="J2837" s="2">
        <v>49</v>
      </c>
      <c r="K2837" s="2" t="s">
        <v>298</v>
      </c>
      <c r="L2837" s="22">
        <v>750</v>
      </c>
      <c r="M2837" s="22">
        <v>36750</v>
      </c>
      <c r="N2837" s="18">
        <v>39.299999999999997</v>
      </c>
      <c r="O2837" s="26">
        <v>46087</v>
      </c>
      <c r="P2837" s="2" t="s">
        <v>2105</v>
      </c>
      <c r="Q2837" s="2" t="s">
        <v>836</v>
      </c>
    </row>
    <row r="2838" spans="2:17" x14ac:dyDescent="0.25">
      <c r="B2838" s="2" t="s">
        <v>3643</v>
      </c>
      <c r="C2838" s="2" t="s">
        <v>304</v>
      </c>
      <c r="D2838" s="2" t="s">
        <v>305</v>
      </c>
      <c r="E2838" s="2" t="s">
        <v>71</v>
      </c>
      <c r="F2838" s="2" t="s">
        <v>535</v>
      </c>
      <c r="G2838" s="2" t="s">
        <v>495</v>
      </c>
      <c r="H2838" s="2" t="s">
        <v>496</v>
      </c>
      <c r="I2838" s="26">
        <v>45815</v>
      </c>
      <c r="J2838" s="2">
        <v>45</v>
      </c>
      <c r="K2838" s="2" t="s">
        <v>298</v>
      </c>
      <c r="L2838" s="22">
        <v>700</v>
      </c>
      <c r="M2838" s="22">
        <v>31500</v>
      </c>
      <c r="N2838" s="18">
        <v>33.69</v>
      </c>
      <c r="O2838" s="26">
        <v>46115</v>
      </c>
      <c r="P2838" s="2" t="s">
        <v>2105</v>
      </c>
      <c r="Q2838" s="2" t="s">
        <v>806</v>
      </c>
    </row>
    <row r="2839" spans="2:17" x14ac:dyDescent="0.25">
      <c r="B2839" s="2" t="s">
        <v>3644</v>
      </c>
      <c r="C2839" s="2" t="s">
        <v>306</v>
      </c>
      <c r="D2839" s="2" t="s">
        <v>307</v>
      </c>
      <c r="E2839" s="2" t="s">
        <v>71</v>
      </c>
      <c r="F2839" s="2" t="s">
        <v>535</v>
      </c>
      <c r="G2839" s="2" t="s">
        <v>495</v>
      </c>
      <c r="H2839" s="2" t="s">
        <v>496</v>
      </c>
      <c r="I2839" s="26">
        <v>45138</v>
      </c>
      <c r="J2839" s="2">
        <v>71</v>
      </c>
      <c r="K2839" s="2" t="s">
        <v>298</v>
      </c>
      <c r="L2839" s="22">
        <v>700</v>
      </c>
      <c r="M2839" s="22">
        <v>49700</v>
      </c>
      <c r="N2839" s="18">
        <v>53.16</v>
      </c>
      <c r="O2839" s="26">
        <v>45438</v>
      </c>
      <c r="P2839" s="2" t="s">
        <v>2105</v>
      </c>
      <c r="Q2839" s="2" t="s">
        <v>806</v>
      </c>
    </row>
    <row r="2840" spans="2:17" x14ac:dyDescent="0.25">
      <c r="B2840" s="2" t="s">
        <v>3645</v>
      </c>
      <c r="C2840" s="2" t="s">
        <v>306</v>
      </c>
      <c r="D2840" s="2" t="s">
        <v>307</v>
      </c>
      <c r="E2840" s="2" t="s">
        <v>71</v>
      </c>
      <c r="F2840" s="2" t="s">
        <v>535</v>
      </c>
      <c r="G2840" s="2" t="s">
        <v>495</v>
      </c>
      <c r="H2840" s="2" t="s">
        <v>496</v>
      </c>
      <c r="I2840" s="26">
        <v>45168</v>
      </c>
      <c r="J2840" s="2">
        <v>64</v>
      </c>
      <c r="K2840" s="2" t="s">
        <v>298</v>
      </c>
      <c r="L2840" s="22">
        <v>700</v>
      </c>
      <c r="M2840" s="22">
        <v>44800</v>
      </c>
      <c r="N2840" s="18">
        <v>47.91</v>
      </c>
      <c r="O2840" s="26">
        <v>45468</v>
      </c>
      <c r="P2840" s="2" t="s">
        <v>2105</v>
      </c>
      <c r="Q2840" s="2" t="s">
        <v>806</v>
      </c>
    </row>
    <row r="2841" spans="2:17" x14ac:dyDescent="0.25">
      <c r="B2841" s="2" t="s">
        <v>3646</v>
      </c>
      <c r="C2841" s="2" t="s">
        <v>306</v>
      </c>
      <c r="D2841" s="2" t="s">
        <v>307</v>
      </c>
      <c r="E2841" s="2" t="s">
        <v>71</v>
      </c>
      <c r="F2841" s="2" t="s">
        <v>535</v>
      </c>
      <c r="G2841" s="2" t="s">
        <v>495</v>
      </c>
      <c r="H2841" s="2" t="s">
        <v>496</v>
      </c>
      <c r="I2841" s="26">
        <v>45201</v>
      </c>
      <c r="J2841" s="2">
        <v>23</v>
      </c>
      <c r="K2841" s="2" t="s">
        <v>298</v>
      </c>
      <c r="L2841" s="22">
        <v>700</v>
      </c>
      <c r="M2841" s="22">
        <v>16100</v>
      </c>
      <c r="N2841" s="18">
        <v>17.22</v>
      </c>
      <c r="O2841" s="26">
        <v>45501</v>
      </c>
      <c r="P2841" s="2" t="s">
        <v>2105</v>
      </c>
      <c r="Q2841" s="2" t="s">
        <v>814</v>
      </c>
    </row>
    <row r="2842" spans="2:17" x14ac:dyDescent="0.25">
      <c r="B2842" s="2" t="s">
        <v>3647</v>
      </c>
      <c r="C2842" s="2" t="s">
        <v>306</v>
      </c>
      <c r="D2842" s="2" t="s">
        <v>307</v>
      </c>
      <c r="E2842" s="2" t="s">
        <v>71</v>
      </c>
      <c r="F2842" s="2" t="s">
        <v>535</v>
      </c>
      <c r="G2842" s="2" t="s">
        <v>495</v>
      </c>
      <c r="H2842" s="2" t="s">
        <v>496</v>
      </c>
      <c r="I2842" s="26">
        <v>45232</v>
      </c>
      <c r="J2842" s="2">
        <v>25</v>
      </c>
      <c r="K2842" s="2" t="s">
        <v>298</v>
      </c>
      <c r="L2842" s="22">
        <v>700</v>
      </c>
      <c r="M2842" s="22">
        <v>17500</v>
      </c>
      <c r="N2842" s="18">
        <v>18.72</v>
      </c>
      <c r="O2842" s="26">
        <v>45532</v>
      </c>
      <c r="P2842" s="2" t="s">
        <v>2105</v>
      </c>
      <c r="Q2842" s="2" t="s">
        <v>814</v>
      </c>
    </row>
    <row r="2843" spans="2:17" x14ac:dyDescent="0.25">
      <c r="B2843" s="2" t="s">
        <v>3648</v>
      </c>
      <c r="C2843" s="2" t="s">
        <v>306</v>
      </c>
      <c r="D2843" s="2" t="s">
        <v>307</v>
      </c>
      <c r="E2843" s="2" t="s">
        <v>71</v>
      </c>
      <c r="F2843" s="2" t="s">
        <v>537</v>
      </c>
      <c r="G2843" s="2" t="s">
        <v>500</v>
      </c>
      <c r="H2843" s="2" t="s">
        <v>501</v>
      </c>
      <c r="I2843" s="26">
        <v>45260</v>
      </c>
      <c r="J2843" s="2">
        <v>25</v>
      </c>
      <c r="K2843" s="2" t="s">
        <v>298</v>
      </c>
      <c r="L2843" s="22">
        <v>750</v>
      </c>
      <c r="M2843" s="22">
        <v>18750</v>
      </c>
      <c r="N2843" s="18">
        <v>20.05</v>
      </c>
      <c r="O2843" s="26">
        <v>45560</v>
      </c>
      <c r="P2843" s="2" t="s">
        <v>2105</v>
      </c>
      <c r="Q2843" s="2" t="s">
        <v>814</v>
      </c>
    </row>
    <row r="2844" spans="2:17" x14ac:dyDescent="0.25">
      <c r="B2844" s="2" t="s">
        <v>3649</v>
      </c>
      <c r="C2844" s="2" t="s">
        <v>306</v>
      </c>
      <c r="D2844" s="2" t="s">
        <v>307</v>
      </c>
      <c r="E2844" s="2" t="s">
        <v>71</v>
      </c>
      <c r="F2844" s="2" t="s">
        <v>535</v>
      </c>
      <c r="G2844" s="2" t="s">
        <v>495</v>
      </c>
      <c r="H2844" s="2" t="s">
        <v>496</v>
      </c>
      <c r="I2844" s="26">
        <v>45292</v>
      </c>
      <c r="J2844" s="2">
        <v>24</v>
      </c>
      <c r="K2844" s="2" t="s">
        <v>298</v>
      </c>
      <c r="L2844" s="22">
        <v>700</v>
      </c>
      <c r="M2844" s="22">
        <v>16800</v>
      </c>
      <c r="N2844" s="18">
        <v>17.97</v>
      </c>
      <c r="O2844" s="26">
        <v>45592</v>
      </c>
      <c r="P2844" s="2" t="s">
        <v>2105</v>
      </c>
      <c r="Q2844" s="2" t="s">
        <v>825</v>
      </c>
    </row>
    <row r="2845" spans="2:17" x14ac:dyDescent="0.25">
      <c r="B2845" s="2" t="s">
        <v>3650</v>
      </c>
      <c r="C2845" s="2" t="s">
        <v>306</v>
      </c>
      <c r="D2845" s="2" t="s">
        <v>307</v>
      </c>
      <c r="E2845" s="2" t="s">
        <v>71</v>
      </c>
      <c r="F2845" s="2" t="s">
        <v>535</v>
      </c>
      <c r="G2845" s="2" t="s">
        <v>495</v>
      </c>
      <c r="H2845" s="2" t="s">
        <v>496</v>
      </c>
      <c r="I2845" s="26">
        <v>45333</v>
      </c>
      <c r="J2845" s="2">
        <v>27</v>
      </c>
      <c r="K2845" s="2" t="s">
        <v>298</v>
      </c>
      <c r="L2845" s="22">
        <v>700</v>
      </c>
      <c r="M2845" s="22">
        <v>18900</v>
      </c>
      <c r="N2845" s="18">
        <v>20.21</v>
      </c>
      <c r="O2845" s="26">
        <v>45633</v>
      </c>
      <c r="P2845" s="2" t="s">
        <v>2105</v>
      </c>
      <c r="Q2845" s="2" t="s">
        <v>825</v>
      </c>
    </row>
    <row r="2846" spans="2:17" x14ac:dyDescent="0.25">
      <c r="B2846" s="2" t="s">
        <v>3651</v>
      </c>
      <c r="C2846" s="2" t="s">
        <v>306</v>
      </c>
      <c r="D2846" s="2" t="s">
        <v>307</v>
      </c>
      <c r="E2846" s="2" t="s">
        <v>71</v>
      </c>
      <c r="F2846" s="2" t="s">
        <v>535</v>
      </c>
      <c r="G2846" s="2" t="s">
        <v>495</v>
      </c>
      <c r="H2846" s="2" t="s">
        <v>496</v>
      </c>
      <c r="I2846" s="26">
        <v>45364</v>
      </c>
      <c r="J2846" s="2">
        <v>23</v>
      </c>
      <c r="K2846" s="2" t="s">
        <v>298</v>
      </c>
      <c r="L2846" s="22">
        <v>700</v>
      </c>
      <c r="M2846" s="22">
        <v>16100</v>
      </c>
      <c r="N2846" s="18">
        <v>17.22</v>
      </c>
      <c r="O2846" s="26">
        <v>45664</v>
      </c>
      <c r="P2846" s="2" t="s">
        <v>2105</v>
      </c>
      <c r="Q2846" s="2" t="s">
        <v>836</v>
      </c>
    </row>
    <row r="2847" spans="2:17" x14ac:dyDescent="0.25">
      <c r="B2847" s="2" t="s">
        <v>3652</v>
      </c>
      <c r="C2847" s="2" t="s">
        <v>306</v>
      </c>
      <c r="D2847" s="2" t="s">
        <v>307</v>
      </c>
      <c r="E2847" s="2" t="s">
        <v>71</v>
      </c>
      <c r="F2847" s="2" t="s">
        <v>535</v>
      </c>
      <c r="G2847" s="2" t="s">
        <v>495</v>
      </c>
      <c r="H2847" s="2" t="s">
        <v>496</v>
      </c>
      <c r="I2847" s="26">
        <v>45402</v>
      </c>
      <c r="J2847" s="2">
        <v>68</v>
      </c>
      <c r="K2847" s="2" t="s">
        <v>298</v>
      </c>
      <c r="L2847" s="22">
        <v>700</v>
      </c>
      <c r="M2847" s="22">
        <v>47600</v>
      </c>
      <c r="N2847" s="18">
        <v>50.91</v>
      </c>
      <c r="O2847" s="26">
        <v>45702</v>
      </c>
      <c r="P2847" s="2" t="s">
        <v>2105</v>
      </c>
      <c r="Q2847" s="2" t="s">
        <v>836</v>
      </c>
    </row>
    <row r="2848" spans="2:17" x14ac:dyDescent="0.25">
      <c r="B2848" s="2" t="s">
        <v>3653</v>
      </c>
      <c r="C2848" s="2" t="s">
        <v>306</v>
      </c>
      <c r="D2848" s="2" t="s">
        <v>307</v>
      </c>
      <c r="E2848" s="2" t="s">
        <v>71</v>
      </c>
      <c r="F2848" s="2" t="s">
        <v>535</v>
      </c>
      <c r="G2848" s="2" t="s">
        <v>495</v>
      </c>
      <c r="H2848" s="2" t="s">
        <v>496</v>
      </c>
      <c r="I2848" s="26">
        <v>45425</v>
      </c>
      <c r="J2848" s="2">
        <v>73</v>
      </c>
      <c r="K2848" s="2" t="s">
        <v>298</v>
      </c>
      <c r="L2848" s="22">
        <v>700</v>
      </c>
      <c r="M2848" s="22">
        <v>51100</v>
      </c>
      <c r="N2848" s="18">
        <v>54.65</v>
      </c>
      <c r="O2848" s="26">
        <v>45725</v>
      </c>
      <c r="P2848" s="2" t="s">
        <v>2105</v>
      </c>
      <c r="Q2848" s="2" t="s">
        <v>836</v>
      </c>
    </row>
    <row r="2849" spans="2:17" x14ac:dyDescent="0.25">
      <c r="B2849" s="2" t="s">
        <v>3654</v>
      </c>
      <c r="C2849" s="2" t="s">
        <v>306</v>
      </c>
      <c r="D2849" s="2" t="s">
        <v>307</v>
      </c>
      <c r="E2849" s="2" t="s">
        <v>71</v>
      </c>
      <c r="F2849" s="2" t="s">
        <v>537</v>
      </c>
      <c r="G2849" s="2" t="s">
        <v>500</v>
      </c>
      <c r="H2849" s="2" t="s">
        <v>501</v>
      </c>
      <c r="I2849" s="26">
        <v>45464</v>
      </c>
      <c r="J2849" s="2">
        <v>73</v>
      </c>
      <c r="K2849" s="2" t="s">
        <v>298</v>
      </c>
      <c r="L2849" s="22">
        <v>750</v>
      </c>
      <c r="M2849" s="22">
        <v>54750</v>
      </c>
      <c r="N2849" s="18">
        <v>58.56</v>
      </c>
      <c r="O2849" s="26">
        <v>45764</v>
      </c>
      <c r="P2849" s="2" t="s">
        <v>2105</v>
      </c>
      <c r="Q2849" s="2" t="s">
        <v>806</v>
      </c>
    </row>
    <row r="2850" spans="2:17" x14ac:dyDescent="0.25">
      <c r="B2850" s="2" t="s">
        <v>3655</v>
      </c>
      <c r="C2850" s="2" t="s">
        <v>306</v>
      </c>
      <c r="D2850" s="2" t="s">
        <v>307</v>
      </c>
      <c r="E2850" s="2" t="s">
        <v>71</v>
      </c>
      <c r="F2850" s="2" t="s">
        <v>535</v>
      </c>
      <c r="G2850" s="2" t="s">
        <v>495</v>
      </c>
      <c r="H2850" s="2" t="s">
        <v>496</v>
      </c>
      <c r="I2850" s="26">
        <v>45499</v>
      </c>
      <c r="J2850" s="2">
        <v>66</v>
      </c>
      <c r="K2850" s="2" t="s">
        <v>298</v>
      </c>
      <c r="L2850" s="22">
        <v>700</v>
      </c>
      <c r="M2850" s="22">
        <v>46200</v>
      </c>
      <c r="N2850" s="18">
        <v>49.41</v>
      </c>
      <c r="O2850" s="26">
        <v>45799</v>
      </c>
      <c r="P2850" s="2" t="s">
        <v>2105</v>
      </c>
      <c r="Q2850" s="2" t="s">
        <v>806</v>
      </c>
    </row>
    <row r="2851" spans="2:17" x14ac:dyDescent="0.25">
      <c r="B2851" s="2" t="s">
        <v>3656</v>
      </c>
      <c r="C2851" s="2" t="s">
        <v>306</v>
      </c>
      <c r="D2851" s="2" t="s">
        <v>307</v>
      </c>
      <c r="E2851" s="2" t="s">
        <v>71</v>
      </c>
      <c r="F2851" s="2" t="s">
        <v>535</v>
      </c>
      <c r="G2851" s="2" t="s">
        <v>495</v>
      </c>
      <c r="H2851" s="2" t="s">
        <v>496</v>
      </c>
      <c r="I2851" s="26">
        <v>45544</v>
      </c>
      <c r="J2851" s="2">
        <v>80</v>
      </c>
      <c r="K2851" s="2" t="s">
        <v>298</v>
      </c>
      <c r="L2851" s="22">
        <v>700</v>
      </c>
      <c r="M2851" s="22">
        <v>56000</v>
      </c>
      <c r="N2851" s="18">
        <v>59.89</v>
      </c>
      <c r="O2851" s="26">
        <v>45844</v>
      </c>
      <c r="P2851" s="2" t="s">
        <v>2105</v>
      </c>
      <c r="Q2851" s="2" t="s">
        <v>814</v>
      </c>
    </row>
    <row r="2852" spans="2:17" x14ac:dyDescent="0.25">
      <c r="B2852" s="2" t="s">
        <v>3657</v>
      </c>
      <c r="C2852" s="2" t="s">
        <v>306</v>
      </c>
      <c r="D2852" s="2" t="s">
        <v>307</v>
      </c>
      <c r="E2852" s="2" t="s">
        <v>71</v>
      </c>
      <c r="F2852" s="2" t="s">
        <v>535</v>
      </c>
      <c r="G2852" s="2" t="s">
        <v>495</v>
      </c>
      <c r="H2852" s="2" t="s">
        <v>496</v>
      </c>
      <c r="I2852" s="26">
        <v>45577</v>
      </c>
      <c r="J2852" s="2">
        <v>26</v>
      </c>
      <c r="K2852" s="2" t="s">
        <v>298</v>
      </c>
      <c r="L2852" s="22">
        <v>700</v>
      </c>
      <c r="M2852" s="22">
        <v>18200</v>
      </c>
      <c r="N2852" s="18">
        <v>19.47</v>
      </c>
      <c r="O2852" s="26">
        <v>45877</v>
      </c>
      <c r="P2852" s="2" t="s">
        <v>2105</v>
      </c>
      <c r="Q2852" s="2" t="s">
        <v>814</v>
      </c>
    </row>
    <row r="2853" spans="2:17" x14ac:dyDescent="0.25">
      <c r="B2853" s="2" t="s">
        <v>3658</v>
      </c>
      <c r="C2853" s="2" t="s">
        <v>306</v>
      </c>
      <c r="D2853" s="2" t="s">
        <v>307</v>
      </c>
      <c r="E2853" s="2" t="s">
        <v>71</v>
      </c>
      <c r="F2853" s="2" t="s">
        <v>535</v>
      </c>
      <c r="G2853" s="2" t="s">
        <v>495</v>
      </c>
      <c r="H2853" s="2" t="s">
        <v>496</v>
      </c>
      <c r="I2853" s="26">
        <v>45610</v>
      </c>
      <c r="J2853" s="2">
        <v>24</v>
      </c>
      <c r="K2853" s="2" t="s">
        <v>298</v>
      </c>
      <c r="L2853" s="22">
        <v>700</v>
      </c>
      <c r="M2853" s="22">
        <v>16800</v>
      </c>
      <c r="N2853" s="18">
        <v>17.97</v>
      </c>
      <c r="O2853" s="26">
        <v>45910</v>
      </c>
      <c r="P2853" s="2" t="s">
        <v>2105</v>
      </c>
      <c r="Q2853" s="2" t="s">
        <v>814</v>
      </c>
    </row>
    <row r="2854" spans="2:17" x14ac:dyDescent="0.25">
      <c r="B2854" s="2" t="s">
        <v>3659</v>
      </c>
      <c r="C2854" s="2" t="s">
        <v>306</v>
      </c>
      <c r="D2854" s="2" t="s">
        <v>307</v>
      </c>
      <c r="E2854" s="2" t="s">
        <v>71</v>
      </c>
      <c r="F2854" s="2" t="s">
        <v>535</v>
      </c>
      <c r="G2854" s="2" t="s">
        <v>495</v>
      </c>
      <c r="H2854" s="2" t="s">
        <v>496</v>
      </c>
      <c r="I2854" s="26">
        <v>45647</v>
      </c>
      <c r="J2854" s="2">
        <v>35</v>
      </c>
      <c r="K2854" s="2" t="s">
        <v>298</v>
      </c>
      <c r="L2854" s="22">
        <v>700</v>
      </c>
      <c r="M2854" s="22">
        <v>24500</v>
      </c>
      <c r="N2854" s="18">
        <v>26.2</v>
      </c>
      <c r="O2854" s="26">
        <v>45947</v>
      </c>
      <c r="P2854" s="2" t="s">
        <v>2105</v>
      </c>
      <c r="Q2854" s="2" t="s">
        <v>825</v>
      </c>
    </row>
    <row r="2855" spans="2:17" x14ac:dyDescent="0.25">
      <c r="B2855" s="2" t="s">
        <v>3660</v>
      </c>
      <c r="C2855" s="2" t="s">
        <v>306</v>
      </c>
      <c r="D2855" s="2" t="s">
        <v>307</v>
      </c>
      <c r="E2855" s="2" t="s">
        <v>71</v>
      </c>
      <c r="F2855" s="2" t="s">
        <v>535</v>
      </c>
      <c r="G2855" s="2" t="s">
        <v>495</v>
      </c>
      <c r="H2855" s="2" t="s">
        <v>496</v>
      </c>
      <c r="I2855" s="26">
        <v>45679</v>
      </c>
      <c r="J2855" s="2">
        <v>27</v>
      </c>
      <c r="K2855" s="2" t="s">
        <v>298</v>
      </c>
      <c r="L2855" s="22">
        <v>700</v>
      </c>
      <c r="M2855" s="22">
        <v>18900</v>
      </c>
      <c r="N2855" s="18">
        <v>20.21</v>
      </c>
      <c r="O2855" s="26">
        <v>45979</v>
      </c>
      <c r="P2855" s="2" t="s">
        <v>2105</v>
      </c>
      <c r="Q2855" s="2" t="s">
        <v>825</v>
      </c>
    </row>
    <row r="2856" spans="2:17" x14ac:dyDescent="0.25">
      <c r="B2856" s="2" t="s">
        <v>3661</v>
      </c>
      <c r="C2856" s="2" t="s">
        <v>306</v>
      </c>
      <c r="D2856" s="2" t="s">
        <v>307</v>
      </c>
      <c r="E2856" s="2" t="s">
        <v>71</v>
      </c>
      <c r="F2856" s="2" t="s">
        <v>535</v>
      </c>
      <c r="G2856" s="2" t="s">
        <v>495</v>
      </c>
      <c r="H2856" s="2" t="s">
        <v>496</v>
      </c>
      <c r="I2856" s="26">
        <v>45715</v>
      </c>
      <c r="J2856" s="2">
        <v>26</v>
      </c>
      <c r="K2856" s="2" t="s">
        <v>298</v>
      </c>
      <c r="L2856" s="22">
        <v>700</v>
      </c>
      <c r="M2856" s="22">
        <v>18200</v>
      </c>
      <c r="N2856" s="18">
        <v>19.47</v>
      </c>
      <c r="O2856" s="26">
        <v>46015</v>
      </c>
      <c r="P2856" s="2" t="s">
        <v>2105</v>
      </c>
      <c r="Q2856" s="2" t="s">
        <v>825</v>
      </c>
    </row>
    <row r="2857" spans="2:17" x14ac:dyDescent="0.25">
      <c r="B2857" s="2" t="s">
        <v>3662</v>
      </c>
      <c r="C2857" s="2" t="s">
        <v>306</v>
      </c>
      <c r="D2857" s="2" t="s">
        <v>307</v>
      </c>
      <c r="E2857" s="2" t="s">
        <v>71</v>
      </c>
      <c r="F2857" s="2" t="s">
        <v>537</v>
      </c>
      <c r="G2857" s="2" t="s">
        <v>500</v>
      </c>
      <c r="H2857" s="2" t="s">
        <v>501</v>
      </c>
      <c r="I2857" s="26">
        <v>45739</v>
      </c>
      <c r="J2857" s="2">
        <v>28</v>
      </c>
      <c r="K2857" s="2" t="s">
        <v>298</v>
      </c>
      <c r="L2857" s="22">
        <v>750</v>
      </c>
      <c r="M2857" s="22">
        <v>21000</v>
      </c>
      <c r="N2857" s="18">
        <v>22.46</v>
      </c>
      <c r="O2857" s="26">
        <v>46039</v>
      </c>
      <c r="P2857" s="2" t="s">
        <v>2105</v>
      </c>
      <c r="Q2857" s="2" t="s">
        <v>836</v>
      </c>
    </row>
    <row r="2858" spans="2:17" x14ac:dyDescent="0.25">
      <c r="B2858" s="2" t="s">
        <v>3663</v>
      </c>
      <c r="C2858" s="2" t="s">
        <v>306</v>
      </c>
      <c r="D2858" s="2" t="s">
        <v>307</v>
      </c>
      <c r="E2858" s="2" t="s">
        <v>71</v>
      </c>
      <c r="F2858" s="2" t="s">
        <v>537</v>
      </c>
      <c r="G2858" s="2" t="s">
        <v>500</v>
      </c>
      <c r="H2858" s="2" t="s">
        <v>501</v>
      </c>
      <c r="I2858" s="26">
        <v>45774</v>
      </c>
      <c r="J2858" s="2">
        <v>70</v>
      </c>
      <c r="K2858" s="2" t="s">
        <v>298</v>
      </c>
      <c r="L2858" s="22">
        <v>750</v>
      </c>
      <c r="M2858" s="22">
        <v>52500</v>
      </c>
      <c r="N2858" s="18">
        <v>56.15</v>
      </c>
      <c r="O2858" s="26">
        <v>46074</v>
      </c>
      <c r="P2858" s="2" t="s">
        <v>2105</v>
      </c>
      <c r="Q2858" s="2" t="s">
        <v>836</v>
      </c>
    </row>
    <row r="2859" spans="2:17" x14ac:dyDescent="0.25">
      <c r="B2859" s="2" t="s">
        <v>3664</v>
      </c>
      <c r="C2859" s="2" t="s">
        <v>306</v>
      </c>
      <c r="D2859" s="2" t="s">
        <v>307</v>
      </c>
      <c r="E2859" s="2" t="s">
        <v>71</v>
      </c>
      <c r="F2859" s="2" t="s">
        <v>535</v>
      </c>
      <c r="G2859" s="2" t="s">
        <v>495</v>
      </c>
      <c r="H2859" s="2" t="s">
        <v>496</v>
      </c>
      <c r="I2859" s="26">
        <v>45806</v>
      </c>
      <c r="J2859" s="2">
        <v>67</v>
      </c>
      <c r="K2859" s="2" t="s">
        <v>298</v>
      </c>
      <c r="L2859" s="22">
        <v>700</v>
      </c>
      <c r="M2859" s="22">
        <v>46900</v>
      </c>
      <c r="N2859" s="18">
        <v>50.16</v>
      </c>
      <c r="O2859" s="26">
        <v>46106</v>
      </c>
      <c r="P2859" s="2" t="s">
        <v>2105</v>
      </c>
      <c r="Q2859" s="2" t="s">
        <v>836</v>
      </c>
    </row>
    <row r="2860" spans="2:17" x14ac:dyDescent="0.25">
      <c r="B2860" s="2" t="s">
        <v>3665</v>
      </c>
      <c r="C2860" s="2" t="s">
        <v>308</v>
      </c>
      <c r="D2860" s="2" t="s">
        <v>309</v>
      </c>
      <c r="E2860" s="2" t="s">
        <v>71</v>
      </c>
      <c r="F2860" s="2" t="s">
        <v>535</v>
      </c>
      <c r="G2860" s="2" t="s">
        <v>495</v>
      </c>
      <c r="H2860" s="2" t="s">
        <v>496</v>
      </c>
      <c r="I2860" s="26">
        <v>45114</v>
      </c>
      <c r="J2860" s="2">
        <v>46</v>
      </c>
      <c r="K2860" s="2" t="s">
        <v>177</v>
      </c>
      <c r="L2860" s="22">
        <v>650</v>
      </c>
      <c r="M2860" s="22">
        <v>29900</v>
      </c>
      <c r="N2860" s="18">
        <v>31.98</v>
      </c>
      <c r="O2860" s="26">
        <v>45414</v>
      </c>
      <c r="P2860" s="2" t="s">
        <v>2105</v>
      </c>
      <c r="Q2860" s="2" t="s">
        <v>806</v>
      </c>
    </row>
    <row r="2861" spans="2:17" x14ac:dyDescent="0.25">
      <c r="B2861" s="2" t="s">
        <v>3666</v>
      </c>
      <c r="C2861" s="2" t="s">
        <v>308</v>
      </c>
      <c r="D2861" s="2" t="s">
        <v>309</v>
      </c>
      <c r="E2861" s="2" t="s">
        <v>71</v>
      </c>
      <c r="F2861" s="2" t="s">
        <v>535</v>
      </c>
      <c r="G2861" s="2" t="s">
        <v>495</v>
      </c>
      <c r="H2861" s="2" t="s">
        <v>496</v>
      </c>
      <c r="I2861" s="26">
        <v>45149</v>
      </c>
      <c r="J2861" s="2">
        <v>55</v>
      </c>
      <c r="K2861" s="2" t="s">
        <v>177</v>
      </c>
      <c r="L2861" s="22">
        <v>650</v>
      </c>
      <c r="M2861" s="22">
        <v>35750</v>
      </c>
      <c r="N2861" s="18">
        <v>38.24</v>
      </c>
      <c r="O2861" s="26">
        <v>45449</v>
      </c>
      <c r="P2861" s="2" t="s">
        <v>2105</v>
      </c>
      <c r="Q2861" s="2" t="s">
        <v>806</v>
      </c>
    </row>
    <row r="2862" spans="2:17" x14ac:dyDescent="0.25">
      <c r="B2862" s="2" t="s">
        <v>3667</v>
      </c>
      <c r="C2862" s="2" t="s">
        <v>308</v>
      </c>
      <c r="D2862" s="2" t="s">
        <v>309</v>
      </c>
      <c r="E2862" s="2" t="s">
        <v>71</v>
      </c>
      <c r="F2862" s="2" t="s">
        <v>535</v>
      </c>
      <c r="G2862" s="2" t="s">
        <v>495</v>
      </c>
      <c r="H2862" s="2" t="s">
        <v>496</v>
      </c>
      <c r="I2862" s="26">
        <v>45182</v>
      </c>
      <c r="J2862" s="2">
        <v>57</v>
      </c>
      <c r="K2862" s="2" t="s">
        <v>177</v>
      </c>
      <c r="L2862" s="22">
        <v>650</v>
      </c>
      <c r="M2862" s="22">
        <v>37050</v>
      </c>
      <c r="N2862" s="18">
        <v>39.630000000000003</v>
      </c>
      <c r="O2862" s="26">
        <v>45482</v>
      </c>
      <c r="P2862" s="2" t="s">
        <v>2105</v>
      </c>
      <c r="Q2862" s="2" t="s">
        <v>814</v>
      </c>
    </row>
    <row r="2863" spans="2:17" x14ac:dyDescent="0.25">
      <c r="B2863" s="2" t="s">
        <v>3668</v>
      </c>
      <c r="C2863" s="2" t="s">
        <v>308</v>
      </c>
      <c r="D2863" s="2" t="s">
        <v>309</v>
      </c>
      <c r="E2863" s="2" t="s">
        <v>71</v>
      </c>
      <c r="F2863" s="2" t="s">
        <v>535</v>
      </c>
      <c r="G2863" s="2" t="s">
        <v>495</v>
      </c>
      <c r="H2863" s="2" t="s">
        <v>496</v>
      </c>
      <c r="I2863" s="26">
        <v>45223</v>
      </c>
      <c r="J2863" s="2">
        <v>49</v>
      </c>
      <c r="K2863" s="2" t="s">
        <v>177</v>
      </c>
      <c r="L2863" s="22">
        <v>650</v>
      </c>
      <c r="M2863" s="22">
        <v>31850</v>
      </c>
      <c r="N2863" s="18">
        <v>34.06</v>
      </c>
      <c r="O2863" s="26">
        <v>45523</v>
      </c>
      <c r="P2863" s="2" t="s">
        <v>2105</v>
      </c>
      <c r="Q2863" s="2" t="s">
        <v>814</v>
      </c>
    </row>
    <row r="2864" spans="2:17" x14ac:dyDescent="0.25">
      <c r="B2864" s="2" t="s">
        <v>3669</v>
      </c>
      <c r="C2864" s="2" t="s">
        <v>308</v>
      </c>
      <c r="D2864" s="2" t="s">
        <v>309</v>
      </c>
      <c r="E2864" s="2" t="s">
        <v>71</v>
      </c>
      <c r="F2864" s="2" t="s">
        <v>535</v>
      </c>
      <c r="G2864" s="2" t="s">
        <v>495</v>
      </c>
      <c r="H2864" s="2" t="s">
        <v>496</v>
      </c>
      <c r="I2864" s="26">
        <v>45259</v>
      </c>
      <c r="J2864" s="2">
        <v>50</v>
      </c>
      <c r="K2864" s="2" t="s">
        <v>177</v>
      </c>
      <c r="L2864" s="22">
        <v>650</v>
      </c>
      <c r="M2864" s="22">
        <v>32500</v>
      </c>
      <c r="N2864" s="18">
        <v>34.76</v>
      </c>
      <c r="O2864" s="26">
        <v>45559</v>
      </c>
      <c r="P2864" s="2" t="s">
        <v>2105</v>
      </c>
      <c r="Q2864" s="2" t="s">
        <v>814</v>
      </c>
    </row>
    <row r="2865" spans="2:17" x14ac:dyDescent="0.25">
      <c r="B2865" s="2" t="s">
        <v>3670</v>
      </c>
      <c r="C2865" s="2" t="s">
        <v>308</v>
      </c>
      <c r="D2865" s="2" t="s">
        <v>309</v>
      </c>
      <c r="E2865" s="2" t="s">
        <v>71</v>
      </c>
      <c r="F2865" s="2" t="s">
        <v>537</v>
      </c>
      <c r="G2865" s="2" t="s">
        <v>500</v>
      </c>
      <c r="H2865" s="2" t="s">
        <v>501</v>
      </c>
      <c r="I2865" s="26">
        <v>45287</v>
      </c>
      <c r="J2865" s="2">
        <v>63</v>
      </c>
      <c r="K2865" s="2" t="s">
        <v>177</v>
      </c>
      <c r="L2865" s="22">
        <v>750</v>
      </c>
      <c r="M2865" s="22">
        <v>47250</v>
      </c>
      <c r="N2865" s="18">
        <v>50.53</v>
      </c>
      <c r="O2865" s="26">
        <v>45587</v>
      </c>
      <c r="P2865" s="2" t="s">
        <v>2105</v>
      </c>
      <c r="Q2865" s="2" t="s">
        <v>825</v>
      </c>
    </row>
    <row r="2866" spans="2:17" x14ac:dyDescent="0.25">
      <c r="B2866" s="2" t="s">
        <v>3671</v>
      </c>
      <c r="C2866" s="2" t="s">
        <v>308</v>
      </c>
      <c r="D2866" s="2" t="s">
        <v>309</v>
      </c>
      <c r="E2866" s="2" t="s">
        <v>71</v>
      </c>
      <c r="F2866" s="2" t="s">
        <v>535</v>
      </c>
      <c r="G2866" s="2" t="s">
        <v>495</v>
      </c>
      <c r="H2866" s="2" t="s">
        <v>496</v>
      </c>
      <c r="I2866" s="26">
        <v>45321</v>
      </c>
      <c r="J2866" s="2">
        <v>47</v>
      </c>
      <c r="K2866" s="2" t="s">
        <v>177</v>
      </c>
      <c r="L2866" s="22">
        <v>650</v>
      </c>
      <c r="M2866" s="22">
        <v>30550</v>
      </c>
      <c r="N2866" s="18">
        <v>32.67</v>
      </c>
      <c r="O2866" s="26">
        <v>45621</v>
      </c>
      <c r="P2866" s="2" t="s">
        <v>2105</v>
      </c>
      <c r="Q2866" s="2" t="s">
        <v>825</v>
      </c>
    </row>
    <row r="2867" spans="2:17" x14ac:dyDescent="0.25">
      <c r="B2867" s="2" t="s">
        <v>3672</v>
      </c>
      <c r="C2867" s="2" t="s">
        <v>308</v>
      </c>
      <c r="D2867" s="2" t="s">
        <v>309</v>
      </c>
      <c r="E2867" s="2" t="s">
        <v>71</v>
      </c>
      <c r="F2867" s="2" t="s">
        <v>535</v>
      </c>
      <c r="G2867" s="2" t="s">
        <v>495</v>
      </c>
      <c r="H2867" s="2" t="s">
        <v>496</v>
      </c>
      <c r="I2867" s="26">
        <v>45355</v>
      </c>
      <c r="J2867" s="2">
        <v>51</v>
      </c>
      <c r="K2867" s="2" t="s">
        <v>177</v>
      </c>
      <c r="L2867" s="22">
        <v>650</v>
      </c>
      <c r="M2867" s="22">
        <v>33150</v>
      </c>
      <c r="N2867" s="18">
        <v>35.450000000000003</v>
      </c>
      <c r="O2867" s="26">
        <v>45655</v>
      </c>
      <c r="P2867" s="2" t="s">
        <v>2105</v>
      </c>
      <c r="Q2867" s="2" t="s">
        <v>836</v>
      </c>
    </row>
    <row r="2868" spans="2:17" x14ac:dyDescent="0.25">
      <c r="B2868" s="2" t="s">
        <v>3673</v>
      </c>
      <c r="C2868" s="2" t="s">
        <v>308</v>
      </c>
      <c r="D2868" s="2" t="s">
        <v>309</v>
      </c>
      <c r="E2868" s="2" t="s">
        <v>71</v>
      </c>
      <c r="F2868" s="2" t="s">
        <v>535</v>
      </c>
      <c r="G2868" s="2" t="s">
        <v>495</v>
      </c>
      <c r="H2868" s="2" t="s">
        <v>496</v>
      </c>
      <c r="I2868" s="26">
        <v>45393</v>
      </c>
      <c r="J2868" s="2">
        <v>53</v>
      </c>
      <c r="K2868" s="2" t="s">
        <v>177</v>
      </c>
      <c r="L2868" s="22">
        <v>650</v>
      </c>
      <c r="M2868" s="22">
        <v>34450</v>
      </c>
      <c r="N2868" s="18">
        <v>36.840000000000003</v>
      </c>
      <c r="O2868" s="26">
        <v>45693</v>
      </c>
      <c r="P2868" s="2" t="s">
        <v>2105</v>
      </c>
      <c r="Q2868" s="2" t="s">
        <v>836</v>
      </c>
    </row>
    <row r="2869" spans="2:17" x14ac:dyDescent="0.25">
      <c r="B2869" s="2" t="s">
        <v>3674</v>
      </c>
      <c r="C2869" s="2" t="s">
        <v>308</v>
      </c>
      <c r="D2869" s="2" t="s">
        <v>309</v>
      </c>
      <c r="E2869" s="2" t="s">
        <v>71</v>
      </c>
      <c r="F2869" s="2" t="s">
        <v>537</v>
      </c>
      <c r="G2869" s="2" t="s">
        <v>500</v>
      </c>
      <c r="H2869" s="2" t="s">
        <v>501</v>
      </c>
      <c r="I2869" s="26">
        <v>45422</v>
      </c>
      <c r="J2869" s="2">
        <v>48</v>
      </c>
      <c r="K2869" s="2" t="s">
        <v>177</v>
      </c>
      <c r="L2869" s="22">
        <v>750</v>
      </c>
      <c r="M2869" s="22">
        <v>36000</v>
      </c>
      <c r="N2869" s="18">
        <v>38.5</v>
      </c>
      <c r="O2869" s="26">
        <v>45722</v>
      </c>
      <c r="P2869" s="2" t="s">
        <v>2105</v>
      </c>
      <c r="Q2869" s="2" t="s">
        <v>836</v>
      </c>
    </row>
    <row r="2870" spans="2:17" x14ac:dyDescent="0.25">
      <c r="B2870" s="2" t="s">
        <v>3675</v>
      </c>
      <c r="C2870" s="2" t="s">
        <v>308</v>
      </c>
      <c r="D2870" s="2" t="s">
        <v>309</v>
      </c>
      <c r="E2870" s="2" t="s">
        <v>71</v>
      </c>
      <c r="F2870" s="2" t="s">
        <v>535</v>
      </c>
      <c r="G2870" s="2" t="s">
        <v>495</v>
      </c>
      <c r="H2870" s="2" t="s">
        <v>496</v>
      </c>
      <c r="I2870" s="26">
        <v>45445</v>
      </c>
      <c r="J2870" s="2">
        <v>55</v>
      </c>
      <c r="K2870" s="2" t="s">
        <v>177</v>
      </c>
      <c r="L2870" s="22">
        <v>650</v>
      </c>
      <c r="M2870" s="22">
        <v>35750</v>
      </c>
      <c r="N2870" s="18">
        <v>38.24</v>
      </c>
      <c r="O2870" s="26">
        <v>45745</v>
      </c>
      <c r="P2870" s="2" t="s">
        <v>2105</v>
      </c>
      <c r="Q2870" s="2" t="s">
        <v>806</v>
      </c>
    </row>
    <row r="2871" spans="2:17" x14ac:dyDescent="0.25">
      <c r="B2871" s="2" t="s">
        <v>3676</v>
      </c>
      <c r="C2871" s="2" t="s">
        <v>308</v>
      </c>
      <c r="D2871" s="2" t="s">
        <v>309</v>
      </c>
      <c r="E2871" s="2" t="s">
        <v>71</v>
      </c>
      <c r="F2871" s="2" t="s">
        <v>537</v>
      </c>
      <c r="G2871" s="2" t="s">
        <v>500</v>
      </c>
      <c r="H2871" s="2" t="s">
        <v>501</v>
      </c>
      <c r="I2871" s="26">
        <v>45481</v>
      </c>
      <c r="J2871" s="2">
        <v>56</v>
      </c>
      <c r="K2871" s="2" t="s">
        <v>177</v>
      </c>
      <c r="L2871" s="22">
        <v>750</v>
      </c>
      <c r="M2871" s="22">
        <v>42000</v>
      </c>
      <c r="N2871" s="18">
        <v>44.92</v>
      </c>
      <c r="O2871" s="26">
        <v>45781</v>
      </c>
      <c r="P2871" s="2" t="s">
        <v>2105</v>
      </c>
      <c r="Q2871" s="2" t="s">
        <v>806</v>
      </c>
    </row>
    <row r="2872" spans="2:17" x14ac:dyDescent="0.25">
      <c r="B2872" s="2" t="s">
        <v>3677</v>
      </c>
      <c r="C2872" s="2" t="s">
        <v>308</v>
      </c>
      <c r="D2872" s="2" t="s">
        <v>309</v>
      </c>
      <c r="E2872" s="2" t="s">
        <v>71</v>
      </c>
      <c r="F2872" s="2" t="s">
        <v>535</v>
      </c>
      <c r="G2872" s="2" t="s">
        <v>495</v>
      </c>
      <c r="H2872" s="2" t="s">
        <v>496</v>
      </c>
      <c r="I2872" s="26">
        <v>45517</v>
      </c>
      <c r="J2872" s="2">
        <v>53</v>
      </c>
      <c r="K2872" s="2" t="s">
        <v>177</v>
      </c>
      <c r="L2872" s="22">
        <v>650</v>
      </c>
      <c r="M2872" s="22">
        <v>34450</v>
      </c>
      <c r="N2872" s="18">
        <v>36.840000000000003</v>
      </c>
      <c r="O2872" s="26">
        <v>45817</v>
      </c>
      <c r="P2872" s="2" t="s">
        <v>2105</v>
      </c>
      <c r="Q2872" s="2" t="s">
        <v>806</v>
      </c>
    </row>
    <row r="2873" spans="2:17" x14ac:dyDescent="0.25">
      <c r="B2873" s="2" t="s">
        <v>3678</v>
      </c>
      <c r="C2873" s="2" t="s">
        <v>308</v>
      </c>
      <c r="D2873" s="2" t="s">
        <v>309</v>
      </c>
      <c r="E2873" s="2" t="s">
        <v>71</v>
      </c>
      <c r="F2873" s="2" t="s">
        <v>537</v>
      </c>
      <c r="G2873" s="2" t="s">
        <v>500</v>
      </c>
      <c r="H2873" s="2" t="s">
        <v>501</v>
      </c>
      <c r="I2873" s="26">
        <v>45552</v>
      </c>
      <c r="J2873" s="2">
        <v>61</v>
      </c>
      <c r="K2873" s="2" t="s">
        <v>177</v>
      </c>
      <c r="L2873" s="22">
        <v>750</v>
      </c>
      <c r="M2873" s="22">
        <v>45750</v>
      </c>
      <c r="N2873" s="18">
        <v>48.93</v>
      </c>
      <c r="O2873" s="26">
        <v>45852</v>
      </c>
      <c r="P2873" s="2" t="s">
        <v>2105</v>
      </c>
      <c r="Q2873" s="2" t="s">
        <v>814</v>
      </c>
    </row>
    <row r="2874" spans="2:17" x14ac:dyDescent="0.25">
      <c r="B2874" s="2" t="s">
        <v>3679</v>
      </c>
      <c r="C2874" s="2" t="s">
        <v>308</v>
      </c>
      <c r="D2874" s="2" t="s">
        <v>309</v>
      </c>
      <c r="E2874" s="2" t="s">
        <v>71</v>
      </c>
      <c r="F2874" s="2" t="s">
        <v>535</v>
      </c>
      <c r="G2874" s="2" t="s">
        <v>495</v>
      </c>
      <c r="H2874" s="2" t="s">
        <v>496</v>
      </c>
      <c r="I2874" s="26">
        <v>45582</v>
      </c>
      <c r="J2874" s="2">
        <v>54</v>
      </c>
      <c r="K2874" s="2" t="s">
        <v>177</v>
      </c>
      <c r="L2874" s="22">
        <v>650</v>
      </c>
      <c r="M2874" s="22">
        <v>35100</v>
      </c>
      <c r="N2874" s="18">
        <v>37.54</v>
      </c>
      <c r="O2874" s="26">
        <v>45882</v>
      </c>
      <c r="P2874" s="2" t="s">
        <v>2105</v>
      </c>
      <c r="Q2874" s="2" t="s">
        <v>814</v>
      </c>
    </row>
    <row r="2875" spans="2:17" x14ac:dyDescent="0.25">
      <c r="B2875" s="2" t="s">
        <v>3680</v>
      </c>
      <c r="C2875" s="2" t="s">
        <v>308</v>
      </c>
      <c r="D2875" s="2" t="s">
        <v>309</v>
      </c>
      <c r="E2875" s="2" t="s">
        <v>71</v>
      </c>
      <c r="F2875" s="2" t="s">
        <v>535</v>
      </c>
      <c r="G2875" s="2" t="s">
        <v>495</v>
      </c>
      <c r="H2875" s="2" t="s">
        <v>496</v>
      </c>
      <c r="I2875" s="26">
        <v>45614</v>
      </c>
      <c r="J2875" s="2">
        <v>57</v>
      </c>
      <c r="K2875" s="2" t="s">
        <v>177</v>
      </c>
      <c r="L2875" s="22">
        <v>650</v>
      </c>
      <c r="M2875" s="22">
        <v>37050</v>
      </c>
      <c r="N2875" s="18">
        <v>39.630000000000003</v>
      </c>
      <c r="O2875" s="26">
        <v>45914</v>
      </c>
      <c r="P2875" s="2" t="s">
        <v>2105</v>
      </c>
      <c r="Q2875" s="2" t="s">
        <v>814</v>
      </c>
    </row>
    <row r="2876" spans="2:17" x14ac:dyDescent="0.25">
      <c r="B2876" s="2" t="s">
        <v>3681</v>
      </c>
      <c r="C2876" s="2" t="s">
        <v>308</v>
      </c>
      <c r="D2876" s="2" t="s">
        <v>309</v>
      </c>
      <c r="E2876" s="2" t="s">
        <v>71</v>
      </c>
      <c r="F2876" s="2" t="s">
        <v>535</v>
      </c>
      <c r="G2876" s="2" t="s">
        <v>495</v>
      </c>
      <c r="H2876" s="2" t="s">
        <v>496</v>
      </c>
      <c r="I2876" s="26">
        <v>45651</v>
      </c>
      <c r="J2876" s="2">
        <v>65</v>
      </c>
      <c r="K2876" s="2" t="s">
        <v>177</v>
      </c>
      <c r="L2876" s="22">
        <v>650</v>
      </c>
      <c r="M2876" s="22">
        <v>42250</v>
      </c>
      <c r="N2876" s="18">
        <v>45.19</v>
      </c>
      <c r="O2876" s="26">
        <v>45951</v>
      </c>
      <c r="P2876" s="2" t="s">
        <v>2105</v>
      </c>
      <c r="Q2876" s="2" t="s">
        <v>825</v>
      </c>
    </row>
    <row r="2877" spans="2:17" x14ac:dyDescent="0.25">
      <c r="B2877" s="2" t="s">
        <v>3682</v>
      </c>
      <c r="C2877" s="2" t="s">
        <v>308</v>
      </c>
      <c r="D2877" s="2" t="s">
        <v>309</v>
      </c>
      <c r="E2877" s="2" t="s">
        <v>71</v>
      </c>
      <c r="F2877" s="2" t="s">
        <v>537</v>
      </c>
      <c r="G2877" s="2" t="s">
        <v>500</v>
      </c>
      <c r="H2877" s="2" t="s">
        <v>501</v>
      </c>
      <c r="I2877" s="26">
        <v>45686</v>
      </c>
      <c r="J2877" s="2">
        <v>50</v>
      </c>
      <c r="K2877" s="2" t="s">
        <v>177</v>
      </c>
      <c r="L2877" s="22">
        <v>750</v>
      </c>
      <c r="M2877" s="22">
        <v>37500</v>
      </c>
      <c r="N2877" s="18">
        <v>40.11</v>
      </c>
      <c r="O2877" s="26">
        <v>45986</v>
      </c>
      <c r="P2877" s="2" t="s">
        <v>2105</v>
      </c>
      <c r="Q2877" s="2" t="s">
        <v>825</v>
      </c>
    </row>
    <row r="2878" spans="2:17" x14ac:dyDescent="0.25">
      <c r="B2878" s="2" t="s">
        <v>3683</v>
      </c>
      <c r="C2878" s="2" t="s">
        <v>308</v>
      </c>
      <c r="D2878" s="2" t="s">
        <v>309</v>
      </c>
      <c r="E2878" s="2" t="s">
        <v>71</v>
      </c>
      <c r="F2878" s="2" t="s">
        <v>535</v>
      </c>
      <c r="G2878" s="2" t="s">
        <v>495</v>
      </c>
      <c r="H2878" s="2" t="s">
        <v>496</v>
      </c>
      <c r="I2878" s="26">
        <v>45718</v>
      </c>
      <c r="J2878" s="2">
        <v>48</v>
      </c>
      <c r="K2878" s="2" t="s">
        <v>177</v>
      </c>
      <c r="L2878" s="22">
        <v>650</v>
      </c>
      <c r="M2878" s="22">
        <v>31200</v>
      </c>
      <c r="N2878" s="18">
        <v>33.369999999999997</v>
      </c>
      <c r="O2878" s="26">
        <v>46018</v>
      </c>
      <c r="P2878" s="2" t="s">
        <v>2105</v>
      </c>
      <c r="Q2878" s="2" t="s">
        <v>836</v>
      </c>
    </row>
    <row r="2879" spans="2:17" x14ac:dyDescent="0.25">
      <c r="B2879" s="2" t="s">
        <v>3684</v>
      </c>
      <c r="C2879" s="2" t="s">
        <v>308</v>
      </c>
      <c r="D2879" s="2" t="s">
        <v>309</v>
      </c>
      <c r="E2879" s="2" t="s">
        <v>71</v>
      </c>
      <c r="F2879" s="2" t="s">
        <v>535</v>
      </c>
      <c r="G2879" s="2" t="s">
        <v>495</v>
      </c>
      <c r="H2879" s="2" t="s">
        <v>496</v>
      </c>
      <c r="I2879" s="26">
        <v>45753</v>
      </c>
      <c r="J2879" s="2">
        <v>59</v>
      </c>
      <c r="K2879" s="2" t="s">
        <v>177</v>
      </c>
      <c r="L2879" s="22">
        <v>650</v>
      </c>
      <c r="M2879" s="22">
        <v>38350</v>
      </c>
      <c r="N2879" s="18">
        <v>41.02</v>
      </c>
      <c r="O2879" s="26">
        <v>46053</v>
      </c>
      <c r="P2879" s="2" t="s">
        <v>2105</v>
      </c>
      <c r="Q2879" s="2" t="s">
        <v>836</v>
      </c>
    </row>
    <row r="2880" spans="2:17" x14ac:dyDescent="0.25">
      <c r="B2880" s="2" t="s">
        <v>3685</v>
      </c>
      <c r="C2880" s="2" t="s">
        <v>308</v>
      </c>
      <c r="D2880" s="2" t="s">
        <v>309</v>
      </c>
      <c r="E2880" s="2" t="s">
        <v>71</v>
      </c>
      <c r="F2880" s="2" t="s">
        <v>535</v>
      </c>
      <c r="G2880" s="2" t="s">
        <v>495</v>
      </c>
      <c r="H2880" s="2" t="s">
        <v>496</v>
      </c>
      <c r="I2880" s="26">
        <v>45778</v>
      </c>
      <c r="J2880" s="2">
        <v>54</v>
      </c>
      <c r="K2880" s="2" t="s">
        <v>177</v>
      </c>
      <c r="L2880" s="22">
        <v>650</v>
      </c>
      <c r="M2880" s="22">
        <v>35100</v>
      </c>
      <c r="N2880" s="18">
        <v>37.54</v>
      </c>
      <c r="O2880" s="26">
        <v>46078</v>
      </c>
      <c r="P2880" s="2" t="s">
        <v>2105</v>
      </c>
      <c r="Q2880" s="2" t="s">
        <v>836</v>
      </c>
    </row>
    <row r="2881" spans="2:17" x14ac:dyDescent="0.25">
      <c r="B2881" s="2" t="s">
        <v>3686</v>
      </c>
      <c r="C2881" s="2" t="s">
        <v>308</v>
      </c>
      <c r="D2881" s="2" t="s">
        <v>309</v>
      </c>
      <c r="E2881" s="2" t="s">
        <v>71</v>
      </c>
      <c r="F2881" s="2" t="s">
        <v>535</v>
      </c>
      <c r="G2881" s="2" t="s">
        <v>495</v>
      </c>
      <c r="H2881" s="2" t="s">
        <v>496</v>
      </c>
      <c r="I2881" s="26">
        <v>45810</v>
      </c>
      <c r="J2881" s="2">
        <v>55</v>
      </c>
      <c r="K2881" s="2" t="s">
        <v>177</v>
      </c>
      <c r="L2881" s="22">
        <v>650</v>
      </c>
      <c r="M2881" s="22">
        <v>35750</v>
      </c>
      <c r="N2881" s="18">
        <v>38.24</v>
      </c>
      <c r="O2881" s="26">
        <v>46110</v>
      </c>
      <c r="P2881" s="2" t="s">
        <v>2105</v>
      </c>
      <c r="Q2881" s="2" t="s">
        <v>806</v>
      </c>
    </row>
    <row r="2882" spans="2:17" x14ac:dyDescent="0.25">
      <c r="B2882" s="2" t="s">
        <v>3687</v>
      </c>
      <c r="C2882" s="2" t="s">
        <v>310</v>
      </c>
      <c r="D2882" s="2" t="s">
        <v>311</v>
      </c>
      <c r="E2882" s="2" t="s">
        <v>71</v>
      </c>
      <c r="F2882" s="2" t="s">
        <v>535</v>
      </c>
      <c r="G2882" s="2" t="s">
        <v>495</v>
      </c>
      <c r="H2882" s="2" t="s">
        <v>496</v>
      </c>
      <c r="I2882" s="26">
        <v>45119</v>
      </c>
      <c r="J2882" s="2">
        <v>56</v>
      </c>
      <c r="K2882" s="2" t="s">
        <v>192</v>
      </c>
      <c r="L2882" s="22">
        <v>350</v>
      </c>
      <c r="M2882" s="22">
        <v>19600</v>
      </c>
      <c r="N2882" s="18">
        <v>20.96</v>
      </c>
      <c r="O2882" s="26">
        <v>45419</v>
      </c>
      <c r="P2882" s="2" t="s">
        <v>2105</v>
      </c>
      <c r="Q2882" s="2" t="s">
        <v>806</v>
      </c>
    </row>
    <row r="2883" spans="2:17" x14ac:dyDescent="0.25">
      <c r="B2883" s="2" t="s">
        <v>3688</v>
      </c>
      <c r="C2883" s="2" t="s">
        <v>310</v>
      </c>
      <c r="D2883" s="2" t="s">
        <v>311</v>
      </c>
      <c r="E2883" s="2" t="s">
        <v>71</v>
      </c>
      <c r="F2883" s="2" t="s">
        <v>537</v>
      </c>
      <c r="G2883" s="2" t="s">
        <v>500</v>
      </c>
      <c r="H2883" s="2" t="s">
        <v>501</v>
      </c>
      <c r="I2883" s="26">
        <v>45160</v>
      </c>
      <c r="J2883" s="2">
        <v>51</v>
      </c>
      <c r="K2883" s="2" t="s">
        <v>192</v>
      </c>
      <c r="L2883" s="22">
        <v>350</v>
      </c>
      <c r="M2883" s="22">
        <v>17850</v>
      </c>
      <c r="N2883" s="18">
        <v>19.09</v>
      </c>
      <c r="O2883" s="26">
        <v>45460</v>
      </c>
      <c r="P2883" s="2" t="s">
        <v>2105</v>
      </c>
      <c r="Q2883" s="2" t="s">
        <v>806</v>
      </c>
    </row>
    <row r="2884" spans="2:17" x14ac:dyDescent="0.25">
      <c r="B2884" s="2" t="s">
        <v>3689</v>
      </c>
      <c r="C2884" s="2" t="s">
        <v>310</v>
      </c>
      <c r="D2884" s="2" t="s">
        <v>311</v>
      </c>
      <c r="E2884" s="2" t="s">
        <v>71</v>
      </c>
      <c r="F2884" s="2" t="s">
        <v>535</v>
      </c>
      <c r="G2884" s="2" t="s">
        <v>495</v>
      </c>
      <c r="H2884" s="2" t="s">
        <v>496</v>
      </c>
      <c r="I2884" s="26">
        <v>45197</v>
      </c>
      <c r="J2884" s="2">
        <v>60</v>
      </c>
      <c r="K2884" s="2" t="s">
        <v>192</v>
      </c>
      <c r="L2884" s="22">
        <v>350</v>
      </c>
      <c r="M2884" s="22">
        <v>21000</v>
      </c>
      <c r="N2884" s="18">
        <v>22.46</v>
      </c>
      <c r="O2884" s="26">
        <v>45497</v>
      </c>
      <c r="P2884" s="2" t="s">
        <v>2105</v>
      </c>
      <c r="Q2884" s="2" t="s">
        <v>814</v>
      </c>
    </row>
    <row r="2885" spans="2:17" x14ac:dyDescent="0.25">
      <c r="B2885" s="2" t="s">
        <v>3690</v>
      </c>
      <c r="C2885" s="2" t="s">
        <v>310</v>
      </c>
      <c r="D2885" s="2" t="s">
        <v>311</v>
      </c>
      <c r="E2885" s="2" t="s">
        <v>71</v>
      </c>
      <c r="F2885" s="2" t="s">
        <v>535</v>
      </c>
      <c r="G2885" s="2" t="s">
        <v>495</v>
      </c>
      <c r="H2885" s="2" t="s">
        <v>496</v>
      </c>
      <c r="I2885" s="26">
        <v>45235</v>
      </c>
      <c r="J2885" s="2">
        <v>46</v>
      </c>
      <c r="K2885" s="2" t="s">
        <v>192</v>
      </c>
      <c r="L2885" s="22">
        <v>350</v>
      </c>
      <c r="M2885" s="22">
        <v>16100</v>
      </c>
      <c r="N2885" s="18">
        <v>17.22</v>
      </c>
      <c r="O2885" s="26">
        <v>45535</v>
      </c>
      <c r="P2885" s="2" t="s">
        <v>2105</v>
      </c>
      <c r="Q2885" s="2" t="s">
        <v>814</v>
      </c>
    </row>
    <row r="2886" spans="2:17" x14ac:dyDescent="0.25">
      <c r="B2886" s="2" t="s">
        <v>3691</v>
      </c>
      <c r="C2886" s="2" t="s">
        <v>310</v>
      </c>
      <c r="D2886" s="2" t="s">
        <v>311</v>
      </c>
      <c r="E2886" s="2" t="s">
        <v>71</v>
      </c>
      <c r="F2886" s="2" t="s">
        <v>535</v>
      </c>
      <c r="G2886" s="2" t="s">
        <v>495</v>
      </c>
      <c r="H2886" s="2" t="s">
        <v>496</v>
      </c>
      <c r="I2886" s="26">
        <v>45265</v>
      </c>
      <c r="J2886" s="2">
        <v>59</v>
      </c>
      <c r="K2886" s="2" t="s">
        <v>192</v>
      </c>
      <c r="L2886" s="22">
        <v>350</v>
      </c>
      <c r="M2886" s="22">
        <v>20650</v>
      </c>
      <c r="N2886" s="18">
        <v>22.09</v>
      </c>
      <c r="O2886" s="26">
        <v>45565</v>
      </c>
      <c r="P2886" s="2" t="s">
        <v>2105</v>
      </c>
      <c r="Q2886" s="2" t="s">
        <v>825</v>
      </c>
    </row>
    <row r="2887" spans="2:17" x14ac:dyDescent="0.25">
      <c r="B2887" s="2" t="s">
        <v>3692</v>
      </c>
      <c r="C2887" s="2" t="s">
        <v>310</v>
      </c>
      <c r="D2887" s="2" t="s">
        <v>311</v>
      </c>
      <c r="E2887" s="2" t="s">
        <v>71</v>
      </c>
      <c r="F2887" s="2" t="s">
        <v>537</v>
      </c>
      <c r="G2887" s="2" t="s">
        <v>500</v>
      </c>
      <c r="H2887" s="2" t="s">
        <v>501</v>
      </c>
      <c r="I2887" s="26">
        <v>45292</v>
      </c>
      <c r="J2887" s="2">
        <v>52</v>
      </c>
      <c r="K2887" s="2" t="s">
        <v>192</v>
      </c>
      <c r="L2887" s="22">
        <v>350</v>
      </c>
      <c r="M2887" s="22">
        <v>18200</v>
      </c>
      <c r="N2887" s="18">
        <v>19.47</v>
      </c>
      <c r="O2887" s="26">
        <v>45592</v>
      </c>
      <c r="P2887" s="2" t="s">
        <v>2105</v>
      </c>
      <c r="Q2887" s="2" t="s">
        <v>825</v>
      </c>
    </row>
    <row r="2888" spans="2:17" x14ac:dyDescent="0.25">
      <c r="B2888" s="2" t="s">
        <v>3693</v>
      </c>
      <c r="C2888" s="2" t="s">
        <v>310</v>
      </c>
      <c r="D2888" s="2" t="s">
        <v>311</v>
      </c>
      <c r="E2888" s="2" t="s">
        <v>71</v>
      </c>
      <c r="F2888" s="2" t="s">
        <v>535</v>
      </c>
      <c r="G2888" s="2" t="s">
        <v>495</v>
      </c>
      <c r="H2888" s="2" t="s">
        <v>496</v>
      </c>
      <c r="I2888" s="26">
        <v>45328</v>
      </c>
      <c r="J2888" s="2">
        <v>44</v>
      </c>
      <c r="K2888" s="2" t="s">
        <v>192</v>
      </c>
      <c r="L2888" s="22">
        <v>350</v>
      </c>
      <c r="M2888" s="22">
        <v>15400</v>
      </c>
      <c r="N2888" s="18">
        <v>16.47</v>
      </c>
      <c r="O2888" s="26">
        <v>45628</v>
      </c>
      <c r="P2888" s="2" t="s">
        <v>2105</v>
      </c>
      <c r="Q2888" s="2" t="s">
        <v>825</v>
      </c>
    </row>
    <row r="2889" spans="2:17" x14ac:dyDescent="0.25">
      <c r="B2889" s="2" t="s">
        <v>3694</v>
      </c>
      <c r="C2889" s="2" t="s">
        <v>310</v>
      </c>
      <c r="D2889" s="2" t="s">
        <v>311</v>
      </c>
      <c r="E2889" s="2" t="s">
        <v>71</v>
      </c>
      <c r="F2889" s="2" t="s">
        <v>535</v>
      </c>
      <c r="G2889" s="2" t="s">
        <v>495</v>
      </c>
      <c r="H2889" s="2" t="s">
        <v>496</v>
      </c>
      <c r="I2889" s="26">
        <v>45364</v>
      </c>
      <c r="J2889" s="2">
        <v>56</v>
      </c>
      <c r="K2889" s="2" t="s">
        <v>192</v>
      </c>
      <c r="L2889" s="22">
        <v>350</v>
      </c>
      <c r="M2889" s="22">
        <v>19600</v>
      </c>
      <c r="N2889" s="18">
        <v>20.96</v>
      </c>
      <c r="O2889" s="26">
        <v>45664</v>
      </c>
      <c r="P2889" s="2" t="s">
        <v>2105</v>
      </c>
      <c r="Q2889" s="2" t="s">
        <v>836</v>
      </c>
    </row>
    <row r="2890" spans="2:17" x14ac:dyDescent="0.25">
      <c r="B2890" s="2" t="s">
        <v>3695</v>
      </c>
      <c r="C2890" s="2" t="s">
        <v>310</v>
      </c>
      <c r="D2890" s="2" t="s">
        <v>311</v>
      </c>
      <c r="E2890" s="2" t="s">
        <v>71</v>
      </c>
      <c r="F2890" s="2" t="s">
        <v>535</v>
      </c>
      <c r="G2890" s="2" t="s">
        <v>495</v>
      </c>
      <c r="H2890" s="2" t="s">
        <v>496</v>
      </c>
      <c r="I2890" s="26">
        <v>45403</v>
      </c>
      <c r="J2890" s="2">
        <v>49</v>
      </c>
      <c r="K2890" s="2" t="s">
        <v>192</v>
      </c>
      <c r="L2890" s="22">
        <v>350</v>
      </c>
      <c r="M2890" s="22">
        <v>17150</v>
      </c>
      <c r="N2890" s="18">
        <v>18.34</v>
      </c>
      <c r="O2890" s="26">
        <v>45703</v>
      </c>
      <c r="P2890" s="2" t="s">
        <v>2105</v>
      </c>
      <c r="Q2890" s="2" t="s">
        <v>836</v>
      </c>
    </row>
    <row r="2891" spans="2:17" x14ac:dyDescent="0.25">
      <c r="B2891" s="2" t="s">
        <v>3696</v>
      </c>
      <c r="C2891" s="2" t="s">
        <v>310</v>
      </c>
      <c r="D2891" s="2" t="s">
        <v>311</v>
      </c>
      <c r="E2891" s="2" t="s">
        <v>71</v>
      </c>
      <c r="F2891" s="2" t="s">
        <v>535</v>
      </c>
      <c r="G2891" s="2" t="s">
        <v>495</v>
      </c>
      <c r="H2891" s="2" t="s">
        <v>496</v>
      </c>
      <c r="I2891" s="26">
        <v>45439</v>
      </c>
      <c r="J2891" s="2">
        <v>44</v>
      </c>
      <c r="K2891" s="2" t="s">
        <v>192</v>
      </c>
      <c r="L2891" s="22">
        <v>350</v>
      </c>
      <c r="M2891" s="22">
        <v>15400</v>
      </c>
      <c r="N2891" s="18">
        <v>16.47</v>
      </c>
      <c r="O2891" s="26">
        <v>45739</v>
      </c>
      <c r="P2891" s="2" t="s">
        <v>2105</v>
      </c>
      <c r="Q2891" s="2" t="s">
        <v>836</v>
      </c>
    </row>
    <row r="2892" spans="2:17" x14ac:dyDescent="0.25">
      <c r="B2892" s="2" t="s">
        <v>3697</v>
      </c>
      <c r="C2892" s="2" t="s">
        <v>310</v>
      </c>
      <c r="D2892" s="2" t="s">
        <v>311</v>
      </c>
      <c r="E2892" s="2" t="s">
        <v>71</v>
      </c>
      <c r="F2892" s="2" t="s">
        <v>535</v>
      </c>
      <c r="G2892" s="2" t="s">
        <v>495</v>
      </c>
      <c r="H2892" s="2" t="s">
        <v>496</v>
      </c>
      <c r="I2892" s="26">
        <v>45468</v>
      </c>
      <c r="J2892" s="2">
        <v>46</v>
      </c>
      <c r="K2892" s="2" t="s">
        <v>192</v>
      </c>
      <c r="L2892" s="22">
        <v>350</v>
      </c>
      <c r="M2892" s="22">
        <v>16100</v>
      </c>
      <c r="N2892" s="18">
        <v>17.22</v>
      </c>
      <c r="O2892" s="26">
        <v>45768</v>
      </c>
      <c r="P2892" s="2" t="s">
        <v>2105</v>
      </c>
      <c r="Q2892" s="2" t="s">
        <v>806</v>
      </c>
    </row>
    <row r="2893" spans="2:17" x14ac:dyDescent="0.25">
      <c r="B2893" s="2" t="s">
        <v>3698</v>
      </c>
      <c r="C2893" s="2" t="s">
        <v>310</v>
      </c>
      <c r="D2893" s="2" t="s">
        <v>311</v>
      </c>
      <c r="E2893" s="2" t="s">
        <v>71</v>
      </c>
      <c r="F2893" s="2" t="s">
        <v>535</v>
      </c>
      <c r="G2893" s="2" t="s">
        <v>495</v>
      </c>
      <c r="H2893" s="2" t="s">
        <v>496</v>
      </c>
      <c r="I2893" s="26">
        <v>45500</v>
      </c>
      <c r="J2893" s="2">
        <v>46</v>
      </c>
      <c r="K2893" s="2" t="s">
        <v>192</v>
      </c>
      <c r="L2893" s="22">
        <v>350</v>
      </c>
      <c r="M2893" s="22">
        <v>16100</v>
      </c>
      <c r="N2893" s="18">
        <v>17.22</v>
      </c>
      <c r="O2893" s="26">
        <v>45800</v>
      </c>
      <c r="P2893" s="2" t="s">
        <v>2105</v>
      </c>
      <c r="Q2893" s="2" t="s">
        <v>806</v>
      </c>
    </row>
    <row r="2894" spans="2:17" x14ac:dyDescent="0.25">
      <c r="B2894" s="2" t="s">
        <v>3699</v>
      </c>
      <c r="C2894" s="2" t="s">
        <v>310</v>
      </c>
      <c r="D2894" s="2" t="s">
        <v>311</v>
      </c>
      <c r="E2894" s="2" t="s">
        <v>71</v>
      </c>
      <c r="F2894" s="2" t="s">
        <v>535</v>
      </c>
      <c r="G2894" s="2" t="s">
        <v>495</v>
      </c>
      <c r="H2894" s="2" t="s">
        <v>496</v>
      </c>
      <c r="I2894" s="26">
        <v>45530</v>
      </c>
      <c r="J2894" s="2">
        <v>50</v>
      </c>
      <c r="K2894" s="2" t="s">
        <v>192</v>
      </c>
      <c r="L2894" s="22">
        <v>350</v>
      </c>
      <c r="M2894" s="22">
        <v>17500</v>
      </c>
      <c r="N2894" s="18">
        <v>18.72</v>
      </c>
      <c r="O2894" s="26">
        <v>45830</v>
      </c>
      <c r="P2894" s="2" t="s">
        <v>2105</v>
      </c>
      <c r="Q2894" s="2" t="s">
        <v>806</v>
      </c>
    </row>
    <row r="2895" spans="2:17" x14ac:dyDescent="0.25">
      <c r="B2895" s="2" t="s">
        <v>3700</v>
      </c>
      <c r="C2895" s="2" t="s">
        <v>310</v>
      </c>
      <c r="D2895" s="2" t="s">
        <v>311</v>
      </c>
      <c r="E2895" s="2" t="s">
        <v>71</v>
      </c>
      <c r="F2895" s="2" t="s">
        <v>535</v>
      </c>
      <c r="G2895" s="2" t="s">
        <v>495</v>
      </c>
      <c r="H2895" s="2" t="s">
        <v>496</v>
      </c>
      <c r="I2895" s="26">
        <v>45552</v>
      </c>
      <c r="J2895" s="2">
        <v>69</v>
      </c>
      <c r="K2895" s="2" t="s">
        <v>192</v>
      </c>
      <c r="L2895" s="22">
        <v>350</v>
      </c>
      <c r="M2895" s="22">
        <v>24150</v>
      </c>
      <c r="N2895" s="18">
        <v>25.83</v>
      </c>
      <c r="O2895" s="26">
        <v>45852</v>
      </c>
      <c r="P2895" s="2" t="s">
        <v>2105</v>
      </c>
      <c r="Q2895" s="2" t="s">
        <v>814</v>
      </c>
    </row>
    <row r="2896" spans="2:17" x14ac:dyDescent="0.25">
      <c r="B2896" s="2" t="s">
        <v>3701</v>
      </c>
      <c r="C2896" s="2" t="s">
        <v>310</v>
      </c>
      <c r="D2896" s="2" t="s">
        <v>311</v>
      </c>
      <c r="E2896" s="2" t="s">
        <v>71</v>
      </c>
      <c r="F2896" s="2" t="s">
        <v>535</v>
      </c>
      <c r="G2896" s="2" t="s">
        <v>495</v>
      </c>
      <c r="H2896" s="2" t="s">
        <v>496</v>
      </c>
      <c r="I2896" s="26">
        <v>45577</v>
      </c>
      <c r="J2896" s="2">
        <v>48</v>
      </c>
      <c r="K2896" s="2" t="s">
        <v>192</v>
      </c>
      <c r="L2896" s="22">
        <v>350</v>
      </c>
      <c r="M2896" s="22">
        <v>16800</v>
      </c>
      <c r="N2896" s="18">
        <v>17.97</v>
      </c>
      <c r="O2896" s="26">
        <v>45877</v>
      </c>
      <c r="P2896" s="2" t="s">
        <v>2105</v>
      </c>
      <c r="Q2896" s="2" t="s">
        <v>814</v>
      </c>
    </row>
    <row r="2897" spans="2:17" x14ac:dyDescent="0.25">
      <c r="B2897" s="2" t="s">
        <v>3702</v>
      </c>
      <c r="C2897" s="2" t="s">
        <v>310</v>
      </c>
      <c r="D2897" s="2" t="s">
        <v>311</v>
      </c>
      <c r="E2897" s="2" t="s">
        <v>71</v>
      </c>
      <c r="F2897" s="2" t="s">
        <v>535</v>
      </c>
      <c r="G2897" s="2" t="s">
        <v>495</v>
      </c>
      <c r="H2897" s="2" t="s">
        <v>496</v>
      </c>
      <c r="I2897" s="26">
        <v>45608</v>
      </c>
      <c r="J2897" s="2">
        <v>57</v>
      </c>
      <c r="K2897" s="2" t="s">
        <v>192</v>
      </c>
      <c r="L2897" s="22">
        <v>350</v>
      </c>
      <c r="M2897" s="22">
        <v>19950</v>
      </c>
      <c r="N2897" s="18">
        <v>21.34</v>
      </c>
      <c r="O2897" s="26">
        <v>45908</v>
      </c>
      <c r="P2897" s="2" t="s">
        <v>2105</v>
      </c>
      <c r="Q2897" s="2" t="s">
        <v>814</v>
      </c>
    </row>
    <row r="2898" spans="2:17" x14ac:dyDescent="0.25">
      <c r="B2898" s="2" t="s">
        <v>3703</v>
      </c>
      <c r="C2898" s="2" t="s">
        <v>310</v>
      </c>
      <c r="D2898" s="2" t="s">
        <v>311</v>
      </c>
      <c r="E2898" s="2" t="s">
        <v>71</v>
      </c>
      <c r="F2898" s="2" t="s">
        <v>535</v>
      </c>
      <c r="G2898" s="2" t="s">
        <v>495</v>
      </c>
      <c r="H2898" s="2" t="s">
        <v>496</v>
      </c>
      <c r="I2898" s="26">
        <v>45645</v>
      </c>
      <c r="J2898" s="2">
        <v>68</v>
      </c>
      <c r="K2898" s="2" t="s">
        <v>192</v>
      </c>
      <c r="L2898" s="22">
        <v>350</v>
      </c>
      <c r="M2898" s="22">
        <v>23800</v>
      </c>
      <c r="N2898" s="18">
        <v>25.45</v>
      </c>
      <c r="O2898" s="26">
        <v>45945</v>
      </c>
      <c r="P2898" s="2" t="s">
        <v>2105</v>
      </c>
      <c r="Q2898" s="2" t="s">
        <v>825</v>
      </c>
    </row>
    <row r="2899" spans="2:17" x14ac:dyDescent="0.25">
      <c r="B2899" s="2" t="s">
        <v>3704</v>
      </c>
      <c r="C2899" s="2" t="s">
        <v>310</v>
      </c>
      <c r="D2899" s="2" t="s">
        <v>311</v>
      </c>
      <c r="E2899" s="2" t="s">
        <v>71</v>
      </c>
      <c r="F2899" s="2" t="s">
        <v>535</v>
      </c>
      <c r="G2899" s="2" t="s">
        <v>495</v>
      </c>
      <c r="H2899" s="2" t="s">
        <v>496</v>
      </c>
      <c r="I2899" s="26">
        <v>45676</v>
      </c>
      <c r="J2899" s="2">
        <v>47</v>
      </c>
      <c r="K2899" s="2" t="s">
        <v>192</v>
      </c>
      <c r="L2899" s="22">
        <v>350</v>
      </c>
      <c r="M2899" s="22">
        <v>16450</v>
      </c>
      <c r="N2899" s="18">
        <v>17.59</v>
      </c>
      <c r="O2899" s="26">
        <v>45976</v>
      </c>
      <c r="P2899" s="2" t="s">
        <v>2105</v>
      </c>
      <c r="Q2899" s="2" t="s">
        <v>825</v>
      </c>
    </row>
    <row r="2900" spans="2:17" x14ac:dyDescent="0.25">
      <c r="B2900" s="2" t="s">
        <v>3705</v>
      </c>
      <c r="C2900" s="2" t="s">
        <v>310</v>
      </c>
      <c r="D2900" s="2" t="s">
        <v>311</v>
      </c>
      <c r="E2900" s="2" t="s">
        <v>71</v>
      </c>
      <c r="F2900" s="2" t="s">
        <v>535</v>
      </c>
      <c r="G2900" s="2" t="s">
        <v>495</v>
      </c>
      <c r="H2900" s="2" t="s">
        <v>496</v>
      </c>
      <c r="I2900" s="26">
        <v>45716</v>
      </c>
      <c r="J2900" s="2">
        <v>59</v>
      </c>
      <c r="K2900" s="2" t="s">
        <v>192</v>
      </c>
      <c r="L2900" s="22">
        <v>350</v>
      </c>
      <c r="M2900" s="22">
        <v>20650</v>
      </c>
      <c r="N2900" s="18">
        <v>22.09</v>
      </c>
      <c r="O2900" s="26">
        <v>46016</v>
      </c>
      <c r="P2900" s="2" t="s">
        <v>2105</v>
      </c>
      <c r="Q2900" s="2" t="s">
        <v>825</v>
      </c>
    </row>
    <row r="2901" spans="2:17" x14ac:dyDescent="0.25">
      <c r="B2901" s="2" t="s">
        <v>3706</v>
      </c>
      <c r="C2901" s="2" t="s">
        <v>310</v>
      </c>
      <c r="D2901" s="2" t="s">
        <v>311</v>
      </c>
      <c r="E2901" s="2" t="s">
        <v>71</v>
      </c>
      <c r="F2901" s="2" t="s">
        <v>535</v>
      </c>
      <c r="G2901" s="2" t="s">
        <v>495</v>
      </c>
      <c r="H2901" s="2" t="s">
        <v>496</v>
      </c>
      <c r="I2901" s="26">
        <v>45750</v>
      </c>
      <c r="J2901" s="2">
        <v>58</v>
      </c>
      <c r="K2901" s="2" t="s">
        <v>192</v>
      </c>
      <c r="L2901" s="22">
        <v>350</v>
      </c>
      <c r="M2901" s="22">
        <v>20300</v>
      </c>
      <c r="N2901" s="18">
        <v>21.71</v>
      </c>
      <c r="O2901" s="26">
        <v>46050</v>
      </c>
      <c r="P2901" s="2" t="s">
        <v>2105</v>
      </c>
      <c r="Q2901" s="2" t="s">
        <v>836</v>
      </c>
    </row>
    <row r="2902" spans="2:17" x14ac:dyDescent="0.25">
      <c r="B2902" s="2" t="s">
        <v>3707</v>
      </c>
      <c r="C2902" s="2" t="s">
        <v>310</v>
      </c>
      <c r="D2902" s="2" t="s">
        <v>311</v>
      </c>
      <c r="E2902" s="2" t="s">
        <v>71</v>
      </c>
      <c r="F2902" s="2" t="s">
        <v>535</v>
      </c>
      <c r="G2902" s="2" t="s">
        <v>495</v>
      </c>
      <c r="H2902" s="2" t="s">
        <v>496</v>
      </c>
      <c r="I2902" s="26">
        <v>45786</v>
      </c>
      <c r="J2902" s="2">
        <v>59</v>
      </c>
      <c r="K2902" s="2" t="s">
        <v>192</v>
      </c>
      <c r="L2902" s="22">
        <v>350</v>
      </c>
      <c r="M2902" s="22">
        <v>20650</v>
      </c>
      <c r="N2902" s="18">
        <v>22.09</v>
      </c>
      <c r="O2902" s="26">
        <v>46086</v>
      </c>
      <c r="P2902" s="2" t="s">
        <v>2105</v>
      </c>
      <c r="Q2902" s="2" t="s">
        <v>836</v>
      </c>
    </row>
    <row r="2903" spans="2:17" x14ac:dyDescent="0.25">
      <c r="B2903" s="2" t="s">
        <v>3708</v>
      </c>
      <c r="C2903" s="2" t="s">
        <v>310</v>
      </c>
      <c r="D2903" s="2" t="s">
        <v>311</v>
      </c>
      <c r="E2903" s="2" t="s">
        <v>71</v>
      </c>
      <c r="F2903" s="2" t="s">
        <v>535</v>
      </c>
      <c r="G2903" s="2" t="s">
        <v>495</v>
      </c>
      <c r="H2903" s="2" t="s">
        <v>496</v>
      </c>
      <c r="I2903" s="26">
        <v>45831</v>
      </c>
      <c r="J2903" s="2">
        <v>61</v>
      </c>
      <c r="K2903" s="2" t="s">
        <v>192</v>
      </c>
      <c r="L2903" s="22">
        <v>350</v>
      </c>
      <c r="M2903" s="22">
        <v>21350</v>
      </c>
      <c r="N2903" s="18">
        <v>22.83</v>
      </c>
      <c r="O2903" s="26">
        <v>46131</v>
      </c>
      <c r="P2903" s="2" t="s">
        <v>2105</v>
      </c>
      <c r="Q2903" s="2" t="s">
        <v>806</v>
      </c>
    </row>
    <row r="2904" spans="2:17" x14ac:dyDescent="0.25">
      <c r="B2904" s="2" t="s">
        <v>3709</v>
      </c>
      <c r="C2904" s="2" t="s">
        <v>312</v>
      </c>
      <c r="D2904" s="2" t="s">
        <v>313</v>
      </c>
      <c r="E2904" s="2" t="s">
        <v>71</v>
      </c>
      <c r="F2904" s="2" t="s">
        <v>535</v>
      </c>
      <c r="G2904" s="2" t="s">
        <v>495</v>
      </c>
      <c r="H2904" s="2" t="s">
        <v>496</v>
      </c>
      <c r="I2904" s="26">
        <v>45135</v>
      </c>
      <c r="J2904" s="2">
        <v>46</v>
      </c>
      <c r="K2904" s="2" t="s">
        <v>177</v>
      </c>
      <c r="L2904" s="22">
        <v>700</v>
      </c>
      <c r="M2904" s="22">
        <v>32200</v>
      </c>
      <c r="N2904" s="18">
        <v>34.44</v>
      </c>
      <c r="O2904" s="26">
        <v>45435</v>
      </c>
      <c r="P2904" s="2" t="s">
        <v>2105</v>
      </c>
      <c r="Q2904" s="2" t="s">
        <v>806</v>
      </c>
    </row>
    <row r="2905" spans="2:17" x14ac:dyDescent="0.25">
      <c r="B2905" s="2" t="s">
        <v>3710</v>
      </c>
      <c r="C2905" s="2" t="s">
        <v>312</v>
      </c>
      <c r="D2905" s="2" t="s">
        <v>313</v>
      </c>
      <c r="E2905" s="2" t="s">
        <v>71</v>
      </c>
      <c r="F2905" s="2" t="s">
        <v>535</v>
      </c>
      <c r="G2905" s="2" t="s">
        <v>495</v>
      </c>
      <c r="H2905" s="2" t="s">
        <v>496</v>
      </c>
      <c r="I2905" s="26">
        <v>45172</v>
      </c>
      <c r="J2905" s="2">
        <v>61</v>
      </c>
      <c r="K2905" s="2" t="s">
        <v>177</v>
      </c>
      <c r="L2905" s="22">
        <v>700</v>
      </c>
      <c r="M2905" s="22">
        <v>42700</v>
      </c>
      <c r="N2905" s="18">
        <v>45.67</v>
      </c>
      <c r="O2905" s="26">
        <v>45472</v>
      </c>
      <c r="P2905" s="2" t="s">
        <v>2105</v>
      </c>
      <c r="Q2905" s="2" t="s">
        <v>814</v>
      </c>
    </row>
    <row r="2906" spans="2:17" x14ac:dyDescent="0.25">
      <c r="B2906" s="2" t="s">
        <v>3711</v>
      </c>
      <c r="C2906" s="2" t="s">
        <v>312</v>
      </c>
      <c r="D2906" s="2" t="s">
        <v>313</v>
      </c>
      <c r="E2906" s="2" t="s">
        <v>71</v>
      </c>
      <c r="F2906" s="2" t="s">
        <v>535</v>
      </c>
      <c r="G2906" s="2" t="s">
        <v>495</v>
      </c>
      <c r="H2906" s="2" t="s">
        <v>496</v>
      </c>
      <c r="I2906" s="26">
        <v>45202</v>
      </c>
      <c r="J2906" s="2">
        <v>51</v>
      </c>
      <c r="K2906" s="2" t="s">
        <v>177</v>
      </c>
      <c r="L2906" s="22">
        <v>700</v>
      </c>
      <c r="M2906" s="22">
        <v>35700</v>
      </c>
      <c r="N2906" s="18">
        <v>38.18</v>
      </c>
      <c r="O2906" s="26">
        <v>45502</v>
      </c>
      <c r="P2906" s="2" t="s">
        <v>2105</v>
      </c>
      <c r="Q2906" s="2" t="s">
        <v>814</v>
      </c>
    </row>
    <row r="2907" spans="2:17" x14ac:dyDescent="0.25">
      <c r="B2907" s="2" t="s">
        <v>3712</v>
      </c>
      <c r="C2907" s="2" t="s">
        <v>312</v>
      </c>
      <c r="D2907" s="2" t="s">
        <v>313</v>
      </c>
      <c r="E2907" s="2" t="s">
        <v>71</v>
      </c>
      <c r="F2907" s="2" t="s">
        <v>535</v>
      </c>
      <c r="G2907" s="2" t="s">
        <v>495</v>
      </c>
      <c r="H2907" s="2" t="s">
        <v>496</v>
      </c>
      <c r="I2907" s="26">
        <v>45228</v>
      </c>
      <c r="J2907" s="2">
        <v>43</v>
      </c>
      <c r="K2907" s="2" t="s">
        <v>177</v>
      </c>
      <c r="L2907" s="22">
        <v>700</v>
      </c>
      <c r="M2907" s="22">
        <v>30100</v>
      </c>
      <c r="N2907" s="18">
        <v>32.19</v>
      </c>
      <c r="O2907" s="26">
        <v>45528</v>
      </c>
      <c r="P2907" s="2" t="s">
        <v>2105</v>
      </c>
      <c r="Q2907" s="2" t="s">
        <v>814</v>
      </c>
    </row>
    <row r="2908" spans="2:17" x14ac:dyDescent="0.25">
      <c r="B2908" s="2" t="s">
        <v>3713</v>
      </c>
      <c r="C2908" s="2" t="s">
        <v>312</v>
      </c>
      <c r="D2908" s="2" t="s">
        <v>313</v>
      </c>
      <c r="E2908" s="2" t="s">
        <v>71</v>
      </c>
      <c r="F2908" s="2" t="s">
        <v>535</v>
      </c>
      <c r="G2908" s="2" t="s">
        <v>495</v>
      </c>
      <c r="H2908" s="2" t="s">
        <v>496</v>
      </c>
      <c r="I2908" s="26">
        <v>45259</v>
      </c>
      <c r="J2908" s="2">
        <v>55</v>
      </c>
      <c r="K2908" s="2" t="s">
        <v>177</v>
      </c>
      <c r="L2908" s="22">
        <v>700</v>
      </c>
      <c r="M2908" s="22">
        <v>38500</v>
      </c>
      <c r="N2908" s="18">
        <v>41.18</v>
      </c>
      <c r="O2908" s="26">
        <v>45559</v>
      </c>
      <c r="P2908" s="2" t="s">
        <v>2105</v>
      </c>
      <c r="Q2908" s="2" t="s">
        <v>814</v>
      </c>
    </row>
    <row r="2909" spans="2:17" x14ac:dyDescent="0.25">
      <c r="B2909" s="2" t="s">
        <v>3714</v>
      </c>
      <c r="C2909" s="2" t="s">
        <v>312</v>
      </c>
      <c r="D2909" s="2" t="s">
        <v>313</v>
      </c>
      <c r="E2909" s="2" t="s">
        <v>71</v>
      </c>
      <c r="F2909" s="2" t="s">
        <v>537</v>
      </c>
      <c r="G2909" s="2" t="s">
        <v>500</v>
      </c>
      <c r="H2909" s="2" t="s">
        <v>501</v>
      </c>
      <c r="I2909" s="26">
        <v>45298</v>
      </c>
      <c r="J2909" s="2">
        <v>48</v>
      </c>
      <c r="K2909" s="2" t="s">
        <v>177</v>
      </c>
      <c r="L2909" s="22">
        <v>700</v>
      </c>
      <c r="M2909" s="22">
        <v>33600</v>
      </c>
      <c r="N2909" s="18">
        <v>35.94</v>
      </c>
      <c r="O2909" s="26">
        <v>45598</v>
      </c>
      <c r="P2909" s="2" t="s">
        <v>2105</v>
      </c>
      <c r="Q2909" s="2" t="s">
        <v>825</v>
      </c>
    </row>
    <row r="2910" spans="2:17" x14ac:dyDescent="0.25">
      <c r="B2910" s="2" t="s">
        <v>3715</v>
      </c>
      <c r="C2910" s="2" t="s">
        <v>312</v>
      </c>
      <c r="D2910" s="2" t="s">
        <v>313</v>
      </c>
      <c r="E2910" s="2" t="s">
        <v>71</v>
      </c>
      <c r="F2910" s="2" t="s">
        <v>535</v>
      </c>
      <c r="G2910" s="2" t="s">
        <v>495</v>
      </c>
      <c r="H2910" s="2" t="s">
        <v>496</v>
      </c>
      <c r="I2910" s="26">
        <v>45328</v>
      </c>
      <c r="J2910" s="2">
        <v>46</v>
      </c>
      <c r="K2910" s="2" t="s">
        <v>177</v>
      </c>
      <c r="L2910" s="22">
        <v>700</v>
      </c>
      <c r="M2910" s="22">
        <v>32200</v>
      </c>
      <c r="N2910" s="18">
        <v>34.44</v>
      </c>
      <c r="O2910" s="26">
        <v>45628</v>
      </c>
      <c r="P2910" s="2" t="s">
        <v>2105</v>
      </c>
      <c r="Q2910" s="2" t="s">
        <v>825</v>
      </c>
    </row>
    <row r="2911" spans="2:17" x14ac:dyDescent="0.25">
      <c r="B2911" s="2" t="s">
        <v>3716</v>
      </c>
      <c r="C2911" s="2" t="s">
        <v>312</v>
      </c>
      <c r="D2911" s="2" t="s">
        <v>313</v>
      </c>
      <c r="E2911" s="2" t="s">
        <v>71</v>
      </c>
      <c r="F2911" s="2" t="s">
        <v>535</v>
      </c>
      <c r="G2911" s="2" t="s">
        <v>495</v>
      </c>
      <c r="H2911" s="2" t="s">
        <v>496</v>
      </c>
      <c r="I2911" s="26">
        <v>45361</v>
      </c>
      <c r="J2911" s="2">
        <v>47</v>
      </c>
      <c r="K2911" s="2" t="s">
        <v>177</v>
      </c>
      <c r="L2911" s="22">
        <v>700</v>
      </c>
      <c r="M2911" s="22">
        <v>32900</v>
      </c>
      <c r="N2911" s="18">
        <v>35.19</v>
      </c>
      <c r="O2911" s="26">
        <v>45661</v>
      </c>
      <c r="P2911" s="2" t="s">
        <v>2105</v>
      </c>
      <c r="Q2911" s="2" t="s">
        <v>836</v>
      </c>
    </row>
    <row r="2912" spans="2:17" x14ac:dyDescent="0.25">
      <c r="B2912" s="2" t="s">
        <v>3717</v>
      </c>
      <c r="C2912" s="2" t="s">
        <v>312</v>
      </c>
      <c r="D2912" s="2" t="s">
        <v>313</v>
      </c>
      <c r="E2912" s="2" t="s">
        <v>71</v>
      </c>
      <c r="F2912" s="2" t="s">
        <v>535</v>
      </c>
      <c r="G2912" s="2" t="s">
        <v>495</v>
      </c>
      <c r="H2912" s="2" t="s">
        <v>496</v>
      </c>
      <c r="I2912" s="26">
        <v>45384</v>
      </c>
      <c r="J2912" s="2">
        <v>56</v>
      </c>
      <c r="K2912" s="2" t="s">
        <v>177</v>
      </c>
      <c r="L2912" s="22">
        <v>700</v>
      </c>
      <c r="M2912" s="22">
        <v>39200</v>
      </c>
      <c r="N2912" s="18">
        <v>41.93</v>
      </c>
      <c r="O2912" s="26">
        <v>45684</v>
      </c>
      <c r="P2912" s="2" t="s">
        <v>2105</v>
      </c>
      <c r="Q2912" s="2" t="s">
        <v>836</v>
      </c>
    </row>
    <row r="2913" spans="2:17" x14ac:dyDescent="0.25">
      <c r="B2913" s="2" t="s">
        <v>3718</v>
      </c>
      <c r="C2913" s="2" t="s">
        <v>312</v>
      </c>
      <c r="D2913" s="2" t="s">
        <v>313</v>
      </c>
      <c r="E2913" s="2" t="s">
        <v>71</v>
      </c>
      <c r="F2913" s="2" t="s">
        <v>535</v>
      </c>
      <c r="G2913" s="2" t="s">
        <v>495</v>
      </c>
      <c r="H2913" s="2" t="s">
        <v>496</v>
      </c>
      <c r="I2913" s="26">
        <v>45425</v>
      </c>
      <c r="J2913" s="2">
        <v>45</v>
      </c>
      <c r="K2913" s="2" t="s">
        <v>177</v>
      </c>
      <c r="L2913" s="22">
        <v>700</v>
      </c>
      <c r="M2913" s="22">
        <v>31500</v>
      </c>
      <c r="N2913" s="18">
        <v>33.69</v>
      </c>
      <c r="O2913" s="26">
        <v>45725</v>
      </c>
      <c r="P2913" s="2" t="s">
        <v>2105</v>
      </c>
      <c r="Q2913" s="2" t="s">
        <v>836</v>
      </c>
    </row>
    <row r="2914" spans="2:17" x14ac:dyDescent="0.25">
      <c r="B2914" s="2" t="s">
        <v>3719</v>
      </c>
      <c r="C2914" s="2" t="s">
        <v>312</v>
      </c>
      <c r="D2914" s="2" t="s">
        <v>313</v>
      </c>
      <c r="E2914" s="2" t="s">
        <v>71</v>
      </c>
      <c r="F2914" s="2" t="s">
        <v>535</v>
      </c>
      <c r="G2914" s="2" t="s">
        <v>495</v>
      </c>
      <c r="H2914" s="2" t="s">
        <v>496</v>
      </c>
      <c r="I2914" s="26">
        <v>45462</v>
      </c>
      <c r="J2914" s="2">
        <v>50</v>
      </c>
      <c r="K2914" s="2" t="s">
        <v>177</v>
      </c>
      <c r="L2914" s="22">
        <v>700</v>
      </c>
      <c r="M2914" s="22">
        <v>35000</v>
      </c>
      <c r="N2914" s="18">
        <v>37.43</v>
      </c>
      <c r="O2914" s="26">
        <v>45762</v>
      </c>
      <c r="P2914" s="2" t="s">
        <v>2105</v>
      </c>
      <c r="Q2914" s="2" t="s">
        <v>806</v>
      </c>
    </row>
    <row r="2915" spans="2:17" x14ac:dyDescent="0.25">
      <c r="B2915" s="2" t="s">
        <v>3720</v>
      </c>
      <c r="C2915" s="2" t="s">
        <v>312</v>
      </c>
      <c r="D2915" s="2" t="s">
        <v>313</v>
      </c>
      <c r="E2915" s="2" t="s">
        <v>71</v>
      </c>
      <c r="F2915" s="2" t="s">
        <v>535</v>
      </c>
      <c r="G2915" s="2" t="s">
        <v>495</v>
      </c>
      <c r="H2915" s="2" t="s">
        <v>496</v>
      </c>
      <c r="I2915" s="26">
        <v>45487</v>
      </c>
      <c r="J2915" s="2">
        <v>56</v>
      </c>
      <c r="K2915" s="2" t="s">
        <v>177</v>
      </c>
      <c r="L2915" s="22">
        <v>700</v>
      </c>
      <c r="M2915" s="22">
        <v>39200</v>
      </c>
      <c r="N2915" s="18">
        <v>41.93</v>
      </c>
      <c r="O2915" s="26">
        <v>45787</v>
      </c>
      <c r="P2915" s="2" t="s">
        <v>2105</v>
      </c>
      <c r="Q2915" s="2" t="s">
        <v>806</v>
      </c>
    </row>
    <row r="2916" spans="2:17" x14ac:dyDescent="0.25">
      <c r="B2916" s="2" t="s">
        <v>3721</v>
      </c>
      <c r="C2916" s="2" t="s">
        <v>312</v>
      </c>
      <c r="D2916" s="2" t="s">
        <v>313</v>
      </c>
      <c r="E2916" s="2" t="s">
        <v>71</v>
      </c>
      <c r="F2916" s="2" t="s">
        <v>535</v>
      </c>
      <c r="G2916" s="2" t="s">
        <v>495</v>
      </c>
      <c r="H2916" s="2" t="s">
        <v>496</v>
      </c>
      <c r="I2916" s="26">
        <v>45528</v>
      </c>
      <c r="J2916" s="2">
        <v>53</v>
      </c>
      <c r="K2916" s="2" t="s">
        <v>177</v>
      </c>
      <c r="L2916" s="22">
        <v>700</v>
      </c>
      <c r="M2916" s="22">
        <v>37100</v>
      </c>
      <c r="N2916" s="18">
        <v>39.68</v>
      </c>
      <c r="O2916" s="26">
        <v>45828</v>
      </c>
      <c r="P2916" s="2" t="s">
        <v>2105</v>
      </c>
      <c r="Q2916" s="2" t="s">
        <v>806</v>
      </c>
    </row>
    <row r="2917" spans="2:17" x14ac:dyDescent="0.25">
      <c r="B2917" s="2" t="s">
        <v>3722</v>
      </c>
      <c r="C2917" s="2" t="s">
        <v>312</v>
      </c>
      <c r="D2917" s="2" t="s">
        <v>313</v>
      </c>
      <c r="E2917" s="2" t="s">
        <v>71</v>
      </c>
      <c r="F2917" s="2" t="s">
        <v>535</v>
      </c>
      <c r="G2917" s="2" t="s">
        <v>495</v>
      </c>
      <c r="H2917" s="2" t="s">
        <v>496</v>
      </c>
      <c r="I2917" s="26">
        <v>45559</v>
      </c>
      <c r="J2917" s="2">
        <v>62</v>
      </c>
      <c r="K2917" s="2" t="s">
        <v>177</v>
      </c>
      <c r="L2917" s="22">
        <v>700</v>
      </c>
      <c r="M2917" s="22">
        <v>43400</v>
      </c>
      <c r="N2917" s="18">
        <v>46.42</v>
      </c>
      <c r="O2917" s="26">
        <v>45859</v>
      </c>
      <c r="P2917" s="2" t="s">
        <v>2105</v>
      </c>
      <c r="Q2917" s="2" t="s">
        <v>814</v>
      </c>
    </row>
    <row r="2918" spans="2:17" x14ac:dyDescent="0.25">
      <c r="B2918" s="2" t="s">
        <v>3723</v>
      </c>
      <c r="C2918" s="2" t="s">
        <v>312</v>
      </c>
      <c r="D2918" s="2" t="s">
        <v>313</v>
      </c>
      <c r="E2918" s="2" t="s">
        <v>71</v>
      </c>
      <c r="F2918" s="2" t="s">
        <v>535</v>
      </c>
      <c r="G2918" s="2" t="s">
        <v>495</v>
      </c>
      <c r="H2918" s="2" t="s">
        <v>496</v>
      </c>
      <c r="I2918" s="26">
        <v>45594</v>
      </c>
      <c r="J2918" s="2">
        <v>52</v>
      </c>
      <c r="K2918" s="2" t="s">
        <v>177</v>
      </c>
      <c r="L2918" s="22">
        <v>700</v>
      </c>
      <c r="M2918" s="22">
        <v>36400</v>
      </c>
      <c r="N2918" s="18">
        <v>38.93</v>
      </c>
      <c r="O2918" s="26">
        <v>45894</v>
      </c>
      <c r="P2918" s="2" t="s">
        <v>2105</v>
      </c>
      <c r="Q2918" s="2" t="s">
        <v>814</v>
      </c>
    </row>
    <row r="2919" spans="2:17" x14ac:dyDescent="0.25">
      <c r="B2919" s="2" t="s">
        <v>3724</v>
      </c>
      <c r="C2919" s="2" t="s">
        <v>312</v>
      </c>
      <c r="D2919" s="2" t="s">
        <v>313</v>
      </c>
      <c r="E2919" s="2" t="s">
        <v>71</v>
      </c>
      <c r="F2919" s="2" t="s">
        <v>535</v>
      </c>
      <c r="G2919" s="2" t="s">
        <v>495</v>
      </c>
      <c r="H2919" s="2" t="s">
        <v>496</v>
      </c>
      <c r="I2919" s="26">
        <v>45628</v>
      </c>
      <c r="J2919" s="2">
        <v>72</v>
      </c>
      <c r="K2919" s="2" t="s">
        <v>177</v>
      </c>
      <c r="L2919" s="22">
        <v>700</v>
      </c>
      <c r="M2919" s="22">
        <v>50400</v>
      </c>
      <c r="N2919" s="18">
        <v>53.9</v>
      </c>
      <c r="O2919" s="26">
        <v>45928</v>
      </c>
      <c r="P2919" s="2" t="s">
        <v>2105</v>
      </c>
      <c r="Q2919" s="2" t="s">
        <v>825</v>
      </c>
    </row>
    <row r="2920" spans="2:17" x14ac:dyDescent="0.25">
      <c r="B2920" s="2" t="s">
        <v>3725</v>
      </c>
      <c r="C2920" s="2" t="s">
        <v>312</v>
      </c>
      <c r="D2920" s="2" t="s">
        <v>313</v>
      </c>
      <c r="E2920" s="2" t="s">
        <v>71</v>
      </c>
      <c r="F2920" s="2" t="s">
        <v>535</v>
      </c>
      <c r="G2920" s="2" t="s">
        <v>495</v>
      </c>
      <c r="H2920" s="2" t="s">
        <v>496</v>
      </c>
      <c r="I2920" s="26">
        <v>45660</v>
      </c>
      <c r="J2920" s="2">
        <v>56</v>
      </c>
      <c r="K2920" s="2" t="s">
        <v>177</v>
      </c>
      <c r="L2920" s="22">
        <v>700</v>
      </c>
      <c r="M2920" s="22">
        <v>39200</v>
      </c>
      <c r="N2920" s="18">
        <v>41.93</v>
      </c>
      <c r="O2920" s="26">
        <v>45960</v>
      </c>
      <c r="P2920" s="2" t="s">
        <v>2105</v>
      </c>
      <c r="Q2920" s="2" t="s">
        <v>825</v>
      </c>
    </row>
    <row r="2921" spans="2:17" x14ac:dyDescent="0.25">
      <c r="B2921" s="2" t="s">
        <v>3726</v>
      </c>
      <c r="C2921" s="2" t="s">
        <v>312</v>
      </c>
      <c r="D2921" s="2" t="s">
        <v>313</v>
      </c>
      <c r="E2921" s="2" t="s">
        <v>71</v>
      </c>
      <c r="F2921" s="2" t="s">
        <v>535</v>
      </c>
      <c r="G2921" s="2" t="s">
        <v>495</v>
      </c>
      <c r="H2921" s="2" t="s">
        <v>496</v>
      </c>
      <c r="I2921" s="26">
        <v>45690</v>
      </c>
      <c r="J2921" s="2">
        <v>62</v>
      </c>
      <c r="K2921" s="2" t="s">
        <v>177</v>
      </c>
      <c r="L2921" s="22">
        <v>700</v>
      </c>
      <c r="M2921" s="22">
        <v>43400</v>
      </c>
      <c r="N2921" s="18">
        <v>46.42</v>
      </c>
      <c r="O2921" s="26">
        <v>45990</v>
      </c>
      <c r="P2921" s="2" t="s">
        <v>2105</v>
      </c>
      <c r="Q2921" s="2" t="s">
        <v>825</v>
      </c>
    </row>
    <row r="2922" spans="2:17" x14ac:dyDescent="0.25">
      <c r="B2922" s="2" t="s">
        <v>3727</v>
      </c>
      <c r="C2922" s="2" t="s">
        <v>312</v>
      </c>
      <c r="D2922" s="2" t="s">
        <v>313</v>
      </c>
      <c r="E2922" s="2" t="s">
        <v>71</v>
      </c>
      <c r="F2922" s="2" t="s">
        <v>535</v>
      </c>
      <c r="G2922" s="2" t="s">
        <v>495</v>
      </c>
      <c r="H2922" s="2" t="s">
        <v>496</v>
      </c>
      <c r="I2922" s="26">
        <v>45728</v>
      </c>
      <c r="J2922" s="2">
        <v>52</v>
      </c>
      <c r="K2922" s="2" t="s">
        <v>177</v>
      </c>
      <c r="L2922" s="22">
        <v>700</v>
      </c>
      <c r="M2922" s="22">
        <v>36400</v>
      </c>
      <c r="N2922" s="18">
        <v>38.93</v>
      </c>
      <c r="O2922" s="26">
        <v>46028</v>
      </c>
      <c r="P2922" s="2" t="s">
        <v>2105</v>
      </c>
      <c r="Q2922" s="2" t="s">
        <v>836</v>
      </c>
    </row>
    <row r="2923" spans="2:17" x14ac:dyDescent="0.25">
      <c r="B2923" s="2" t="s">
        <v>3728</v>
      </c>
      <c r="C2923" s="2" t="s">
        <v>312</v>
      </c>
      <c r="D2923" s="2" t="s">
        <v>313</v>
      </c>
      <c r="E2923" s="2" t="s">
        <v>71</v>
      </c>
      <c r="F2923" s="2" t="s">
        <v>537</v>
      </c>
      <c r="G2923" s="2" t="s">
        <v>500</v>
      </c>
      <c r="H2923" s="2" t="s">
        <v>501</v>
      </c>
      <c r="I2923" s="26">
        <v>45772</v>
      </c>
      <c r="J2923" s="2">
        <v>46</v>
      </c>
      <c r="K2923" s="2" t="s">
        <v>177</v>
      </c>
      <c r="L2923" s="22">
        <v>700</v>
      </c>
      <c r="M2923" s="22">
        <v>32200</v>
      </c>
      <c r="N2923" s="18">
        <v>34.44</v>
      </c>
      <c r="O2923" s="26">
        <v>46072</v>
      </c>
      <c r="P2923" s="2" t="s">
        <v>2105</v>
      </c>
      <c r="Q2923" s="2" t="s">
        <v>836</v>
      </c>
    </row>
    <row r="2924" spans="2:17" x14ac:dyDescent="0.25">
      <c r="B2924" s="2" t="s">
        <v>3729</v>
      </c>
      <c r="C2924" s="2" t="s">
        <v>312</v>
      </c>
      <c r="D2924" s="2" t="s">
        <v>313</v>
      </c>
      <c r="E2924" s="2" t="s">
        <v>71</v>
      </c>
      <c r="F2924" s="2" t="s">
        <v>535</v>
      </c>
      <c r="G2924" s="2" t="s">
        <v>495</v>
      </c>
      <c r="H2924" s="2" t="s">
        <v>496</v>
      </c>
      <c r="I2924" s="26">
        <v>45803</v>
      </c>
      <c r="J2924" s="2">
        <v>52</v>
      </c>
      <c r="K2924" s="2" t="s">
        <v>177</v>
      </c>
      <c r="L2924" s="22">
        <v>700</v>
      </c>
      <c r="M2924" s="22">
        <v>36400</v>
      </c>
      <c r="N2924" s="18">
        <v>38.93</v>
      </c>
      <c r="O2924" s="26">
        <v>46103</v>
      </c>
      <c r="P2924" s="2" t="s">
        <v>2105</v>
      </c>
      <c r="Q2924" s="2" t="s">
        <v>836</v>
      </c>
    </row>
    <row r="2925" spans="2:17" x14ac:dyDescent="0.25">
      <c r="B2925" s="2" t="s">
        <v>3730</v>
      </c>
      <c r="C2925" s="2" t="s">
        <v>314</v>
      </c>
      <c r="D2925" s="2" t="s">
        <v>315</v>
      </c>
      <c r="E2925" s="2" t="s">
        <v>71</v>
      </c>
      <c r="F2925" s="2" t="s">
        <v>535</v>
      </c>
      <c r="G2925" s="2" t="s">
        <v>495</v>
      </c>
      <c r="H2925" s="2" t="s">
        <v>496</v>
      </c>
      <c r="I2925" s="26">
        <v>45127</v>
      </c>
      <c r="J2925" s="2">
        <v>46</v>
      </c>
      <c r="K2925" s="2" t="s">
        <v>192</v>
      </c>
      <c r="L2925" s="22">
        <v>350</v>
      </c>
      <c r="M2925" s="22">
        <v>16100</v>
      </c>
      <c r="N2925" s="18">
        <v>17.22</v>
      </c>
      <c r="O2925" s="26">
        <v>45427</v>
      </c>
      <c r="P2925" s="2" t="s">
        <v>2105</v>
      </c>
      <c r="Q2925" s="2" t="s">
        <v>806</v>
      </c>
    </row>
    <row r="2926" spans="2:17" x14ac:dyDescent="0.25">
      <c r="B2926" s="2" t="s">
        <v>3731</v>
      </c>
      <c r="C2926" s="2" t="s">
        <v>314</v>
      </c>
      <c r="D2926" s="2" t="s">
        <v>315</v>
      </c>
      <c r="E2926" s="2" t="s">
        <v>71</v>
      </c>
      <c r="F2926" s="2" t="s">
        <v>535</v>
      </c>
      <c r="G2926" s="2" t="s">
        <v>495</v>
      </c>
      <c r="H2926" s="2" t="s">
        <v>496</v>
      </c>
      <c r="I2926" s="26">
        <v>45159</v>
      </c>
      <c r="J2926" s="2">
        <v>56</v>
      </c>
      <c r="K2926" s="2" t="s">
        <v>192</v>
      </c>
      <c r="L2926" s="22">
        <v>350</v>
      </c>
      <c r="M2926" s="22">
        <v>19600</v>
      </c>
      <c r="N2926" s="18">
        <v>20.96</v>
      </c>
      <c r="O2926" s="26">
        <v>45459</v>
      </c>
      <c r="P2926" s="2" t="s">
        <v>2105</v>
      </c>
      <c r="Q2926" s="2" t="s">
        <v>806</v>
      </c>
    </row>
    <row r="2927" spans="2:17" x14ac:dyDescent="0.25">
      <c r="B2927" s="2" t="s">
        <v>3732</v>
      </c>
      <c r="C2927" s="2" t="s">
        <v>314</v>
      </c>
      <c r="D2927" s="2" t="s">
        <v>315</v>
      </c>
      <c r="E2927" s="2" t="s">
        <v>71</v>
      </c>
      <c r="F2927" s="2" t="s">
        <v>535</v>
      </c>
      <c r="G2927" s="2" t="s">
        <v>495</v>
      </c>
      <c r="H2927" s="2" t="s">
        <v>496</v>
      </c>
      <c r="I2927" s="26">
        <v>45197</v>
      </c>
      <c r="J2927" s="2">
        <v>57</v>
      </c>
      <c r="K2927" s="2" t="s">
        <v>192</v>
      </c>
      <c r="L2927" s="22">
        <v>350</v>
      </c>
      <c r="M2927" s="22">
        <v>19950</v>
      </c>
      <c r="N2927" s="18">
        <v>21.34</v>
      </c>
      <c r="O2927" s="26">
        <v>45497</v>
      </c>
      <c r="P2927" s="2" t="s">
        <v>2105</v>
      </c>
      <c r="Q2927" s="2" t="s">
        <v>814</v>
      </c>
    </row>
    <row r="2928" spans="2:17" x14ac:dyDescent="0.25">
      <c r="B2928" s="2" t="s">
        <v>3733</v>
      </c>
      <c r="C2928" s="2" t="s">
        <v>314</v>
      </c>
      <c r="D2928" s="2" t="s">
        <v>315</v>
      </c>
      <c r="E2928" s="2" t="s">
        <v>71</v>
      </c>
      <c r="F2928" s="2" t="s">
        <v>535</v>
      </c>
      <c r="G2928" s="2" t="s">
        <v>495</v>
      </c>
      <c r="H2928" s="2" t="s">
        <v>496</v>
      </c>
      <c r="I2928" s="26">
        <v>45221</v>
      </c>
      <c r="J2928" s="2">
        <v>55</v>
      </c>
      <c r="K2928" s="2" t="s">
        <v>192</v>
      </c>
      <c r="L2928" s="22">
        <v>350</v>
      </c>
      <c r="M2928" s="22">
        <v>19250</v>
      </c>
      <c r="N2928" s="18">
        <v>20.59</v>
      </c>
      <c r="O2928" s="26">
        <v>45521</v>
      </c>
      <c r="P2928" s="2" t="s">
        <v>2105</v>
      </c>
      <c r="Q2928" s="2" t="s">
        <v>814</v>
      </c>
    </row>
    <row r="2929" spans="2:17" x14ac:dyDescent="0.25">
      <c r="B2929" s="2" t="s">
        <v>3734</v>
      </c>
      <c r="C2929" s="2" t="s">
        <v>314</v>
      </c>
      <c r="D2929" s="2" t="s">
        <v>315</v>
      </c>
      <c r="E2929" s="2" t="s">
        <v>71</v>
      </c>
      <c r="F2929" s="2" t="s">
        <v>535</v>
      </c>
      <c r="G2929" s="2" t="s">
        <v>495</v>
      </c>
      <c r="H2929" s="2" t="s">
        <v>496</v>
      </c>
      <c r="I2929" s="26">
        <v>45260</v>
      </c>
      <c r="J2929" s="2">
        <v>47</v>
      </c>
      <c r="K2929" s="2" t="s">
        <v>192</v>
      </c>
      <c r="L2929" s="22">
        <v>350</v>
      </c>
      <c r="M2929" s="22">
        <v>16450</v>
      </c>
      <c r="N2929" s="18">
        <v>17.59</v>
      </c>
      <c r="O2929" s="26">
        <v>45560</v>
      </c>
      <c r="P2929" s="2" t="s">
        <v>2105</v>
      </c>
      <c r="Q2929" s="2" t="s">
        <v>814</v>
      </c>
    </row>
    <row r="2930" spans="2:17" x14ac:dyDescent="0.25">
      <c r="B2930" s="2" t="s">
        <v>3735</v>
      </c>
      <c r="C2930" s="2" t="s">
        <v>314</v>
      </c>
      <c r="D2930" s="2" t="s">
        <v>315</v>
      </c>
      <c r="E2930" s="2" t="s">
        <v>71</v>
      </c>
      <c r="F2930" s="2" t="s">
        <v>535</v>
      </c>
      <c r="G2930" s="2" t="s">
        <v>495</v>
      </c>
      <c r="H2930" s="2" t="s">
        <v>496</v>
      </c>
      <c r="I2930" s="26">
        <v>45299</v>
      </c>
      <c r="J2930" s="2">
        <v>55</v>
      </c>
      <c r="K2930" s="2" t="s">
        <v>192</v>
      </c>
      <c r="L2930" s="22">
        <v>350</v>
      </c>
      <c r="M2930" s="22">
        <v>19250</v>
      </c>
      <c r="N2930" s="18">
        <v>20.59</v>
      </c>
      <c r="O2930" s="26">
        <v>45599</v>
      </c>
      <c r="P2930" s="2" t="s">
        <v>2105</v>
      </c>
      <c r="Q2930" s="2" t="s">
        <v>825</v>
      </c>
    </row>
    <row r="2931" spans="2:17" x14ac:dyDescent="0.25">
      <c r="B2931" s="2" t="s">
        <v>3736</v>
      </c>
      <c r="C2931" s="2" t="s">
        <v>314</v>
      </c>
      <c r="D2931" s="2" t="s">
        <v>315</v>
      </c>
      <c r="E2931" s="2" t="s">
        <v>71</v>
      </c>
      <c r="F2931" s="2" t="s">
        <v>535</v>
      </c>
      <c r="G2931" s="2" t="s">
        <v>495</v>
      </c>
      <c r="H2931" s="2" t="s">
        <v>496</v>
      </c>
      <c r="I2931" s="26">
        <v>45336</v>
      </c>
      <c r="J2931" s="2">
        <v>49</v>
      </c>
      <c r="K2931" s="2" t="s">
        <v>192</v>
      </c>
      <c r="L2931" s="22">
        <v>350</v>
      </c>
      <c r="M2931" s="22">
        <v>17150</v>
      </c>
      <c r="N2931" s="18">
        <v>18.34</v>
      </c>
      <c r="O2931" s="26">
        <v>45636</v>
      </c>
      <c r="P2931" s="2" t="s">
        <v>2105</v>
      </c>
      <c r="Q2931" s="2" t="s">
        <v>825</v>
      </c>
    </row>
    <row r="2932" spans="2:17" x14ac:dyDescent="0.25">
      <c r="B2932" s="2" t="s">
        <v>3737</v>
      </c>
      <c r="C2932" s="2" t="s">
        <v>314</v>
      </c>
      <c r="D2932" s="2" t="s">
        <v>315</v>
      </c>
      <c r="E2932" s="2" t="s">
        <v>71</v>
      </c>
      <c r="F2932" s="2" t="s">
        <v>535</v>
      </c>
      <c r="G2932" s="2" t="s">
        <v>495</v>
      </c>
      <c r="H2932" s="2" t="s">
        <v>496</v>
      </c>
      <c r="I2932" s="26">
        <v>45380</v>
      </c>
      <c r="J2932" s="2">
        <v>53</v>
      </c>
      <c r="K2932" s="2" t="s">
        <v>192</v>
      </c>
      <c r="L2932" s="22">
        <v>350</v>
      </c>
      <c r="M2932" s="22">
        <v>18550</v>
      </c>
      <c r="N2932" s="18">
        <v>19.84</v>
      </c>
      <c r="O2932" s="26">
        <v>45680</v>
      </c>
      <c r="P2932" s="2" t="s">
        <v>2105</v>
      </c>
      <c r="Q2932" s="2" t="s">
        <v>836</v>
      </c>
    </row>
    <row r="2933" spans="2:17" x14ac:dyDescent="0.25">
      <c r="B2933" s="2" t="s">
        <v>3738</v>
      </c>
      <c r="C2933" s="2" t="s">
        <v>314</v>
      </c>
      <c r="D2933" s="2" t="s">
        <v>315</v>
      </c>
      <c r="E2933" s="2" t="s">
        <v>71</v>
      </c>
      <c r="F2933" s="2" t="s">
        <v>535</v>
      </c>
      <c r="G2933" s="2" t="s">
        <v>495</v>
      </c>
      <c r="H2933" s="2" t="s">
        <v>496</v>
      </c>
      <c r="I2933" s="26">
        <v>45406</v>
      </c>
      <c r="J2933" s="2">
        <v>46</v>
      </c>
      <c r="K2933" s="2" t="s">
        <v>192</v>
      </c>
      <c r="L2933" s="22">
        <v>350</v>
      </c>
      <c r="M2933" s="22">
        <v>16100</v>
      </c>
      <c r="N2933" s="18">
        <v>17.22</v>
      </c>
      <c r="O2933" s="26">
        <v>45706</v>
      </c>
      <c r="P2933" s="2" t="s">
        <v>2105</v>
      </c>
      <c r="Q2933" s="2" t="s">
        <v>836</v>
      </c>
    </row>
    <row r="2934" spans="2:17" x14ac:dyDescent="0.25">
      <c r="B2934" s="2" t="s">
        <v>3739</v>
      </c>
      <c r="C2934" s="2" t="s">
        <v>314</v>
      </c>
      <c r="D2934" s="2" t="s">
        <v>315</v>
      </c>
      <c r="E2934" s="2" t="s">
        <v>71</v>
      </c>
      <c r="F2934" s="2" t="s">
        <v>535</v>
      </c>
      <c r="G2934" s="2" t="s">
        <v>495</v>
      </c>
      <c r="H2934" s="2" t="s">
        <v>496</v>
      </c>
      <c r="I2934" s="26">
        <v>45447</v>
      </c>
      <c r="J2934" s="2">
        <v>51</v>
      </c>
      <c r="K2934" s="2" t="s">
        <v>192</v>
      </c>
      <c r="L2934" s="22">
        <v>350</v>
      </c>
      <c r="M2934" s="22">
        <v>17850</v>
      </c>
      <c r="N2934" s="18">
        <v>19.09</v>
      </c>
      <c r="O2934" s="26">
        <v>45747</v>
      </c>
      <c r="P2934" s="2" t="s">
        <v>2105</v>
      </c>
      <c r="Q2934" s="2" t="s">
        <v>806</v>
      </c>
    </row>
    <row r="2935" spans="2:17" x14ac:dyDescent="0.25">
      <c r="B2935" s="2" t="s">
        <v>3740</v>
      </c>
      <c r="C2935" s="2" t="s">
        <v>314</v>
      </c>
      <c r="D2935" s="2" t="s">
        <v>315</v>
      </c>
      <c r="E2935" s="2" t="s">
        <v>71</v>
      </c>
      <c r="F2935" s="2" t="s">
        <v>535</v>
      </c>
      <c r="G2935" s="2" t="s">
        <v>495</v>
      </c>
      <c r="H2935" s="2" t="s">
        <v>496</v>
      </c>
      <c r="I2935" s="26">
        <v>45482</v>
      </c>
      <c r="J2935" s="2">
        <v>48</v>
      </c>
      <c r="K2935" s="2" t="s">
        <v>192</v>
      </c>
      <c r="L2935" s="22">
        <v>350</v>
      </c>
      <c r="M2935" s="22">
        <v>16800</v>
      </c>
      <c r="N2935" s="18">
        <v>17.97</v>
      </c>
      <c r="O2935" s="26">
        <v>45782</v>
      </c>
      <c r="P2935" s="2" t="s">
        <v>2105</v>
      </c>
      <c r="Q2935" s="2" t="s">
        <v>806</v>
      </c>
    </row>
    <row r="2936" spans="2:17" x14ac:dyDescent="0.25">
      <c r="B2936" s="2" t="s">
        <v>3741</v>
      </c>
      <c r="C2936" s="2" t="s">
        <v>314</v>
      </c>
      <c r="D2936" s="2" t="s">
        <v>315</v>
      </c>
      <c r="E2936" s="2" t="s">
        <v>71</v>
      </c>
      <c r="F2936" s="2" t="s">
        <v>535</v>
      </c>
      <c r="G2936" s="2" t="s">
        <v>495</v>
      </c>
      <c r="H2936" s="2" t="s">
        <v>496</v>
      </c>
      <c r="I2936" s="26">
        <v>45510</v>
      </c>
      <c r="J2936" s="2">
        <v>57</v>
      </c>
      <c r="K2936" s="2" t="s">
        <v>192</v>
      </c>
      <c r="L2936" s="22">
        <v>350</v>
      </c>
      <c r="M2936" s="22">
        <v>19950</v>
      </c>
      <c r="N2936" s="18">
        <v>21.34</v>
      </c>
      <c r="O2936" s="26">
        <v>45810</v>
      </c>
      <c r="P2936" s="2" t="s">
        <v>2105</v>
      </c>
      <c r="Q2936" s="2" t="s">
        <v>806</v>
      </c>
    </row>
    <row r="2937" spans="2:17" x14ac:dyDescent="0.25">
      <c r="B2937" s="2" t="s">
        <v>3742</v>
      </c>
      <c r="C2937" s="2" t="s">
        <v>314</v>
      </c>
      <c r="D2937" s="2" t="s">
        <v>315</v>
      </c>
      <c r="E2937" s="2" t="s">
        <v>71</v>
      </c>
      <c r="F2937" s="2" t="s">
        <v>535</v>
      </c>
      <c r="G2937" s="2" t="s">
        <v>495</v>
      </c>
      <c r="H2937" s="2" t="s">
        <v>496</v>
      </c>
      <c r="I2937" s="26">
        <v>45544</v>
      </c>
      <c r="J2937" s="2">
        <v>61</v>
      </c>
      <c r="K2937" s="2" t="s">
        <v>192</v>
      </c>
      <c r="L2937" s="22">
        <v>350</v>
      </c>
      <c r="M2937" s="22">
        <v>21350</v>
      </c>
      <c r="N2937" s="18">
        <v>22.83</v>
      </c>
      <c r="O2937" s="26">
        <v>45844</v>
      </c>
      <c r="P2937" s="2" t="s">
        <v>2105</v>
      </c>
      <c r="Q2937" s="2" t="s">
        <v>814</v>
      </c>
    </row>
    <row r="2938" spans="2:17" x14ac:dyDescent="0.25">
      <c r="B2938" s="2" t="s">
        <v>3743</v>
      </c>
      <c r="C2938" s="2" t="s">
        <v>314</v>
      </c>
      <c r="D2938" s="2" t="s">
        <v>315</v>
      </c>
      <c r="E2938" s="2" t="s">
        <v>71</v>
      </c>
      <c r="F2938" s="2" t="s">
        <v>535</v>
      </c>
      <c r="G2938" s="2" t="s">
        <v>495</v>
      </c>
      <c r="H2938" s="2" t="s">
        <v>496</v>
      </c>
      <c r="I2938" s="26">
        <v>45575</v>
      </c>
      <c r="J2938" s="2">
        <v>49</v>
      </c>
      <c r="K2938" s="2" t="s">
        <v>192</v>
      </c>
      <c r="L2938" s="22">
        <v>350</v>
      </c>
      <c r="M2938" s="22">
        <v>17150</v>
      </c>
      <c r="N2938" s="18">
        <v>18.34</v>
      </c>
      <c r="O2938" s="26">
        <v>45875</v>
      </c>
      <c r="P2938" s="2" t="s">
        <v>2105</v>
      </c>
      <c r="Q2938" s="2" t="s">
        <v>814</v>
      </c>
    </row>
    <row r="2939" spans="2:17" x14ac:dyDescent="0.25">
      <c r="B2939" s="2" t="s">
        <v>3744</v>
      </c>
      <c r="C2939" s="2" t="s">
        <v>314</v>
      </c>
      <c r="D2939" s="2" t="s">
        <v>315</v>
      </c>
      <c r="E2939" s="2" t="s">
        <v>71</v>
      </c>
      <c r="F2939" s="2" t="s">
        <v>535</v>
      </c>
      <c r="G2939" s="2" t="s">
        <v>495</v>
      </c>
      <c r="H2939" s="2" t="s">
        <v>496</v>
      </c>
      <c r="I2939" s="26">
        <v>45612</v>
      </c>
      <c r="J2939" s="2">
        <v>50</v>
      </c>
      <c r="K2939" s="2" t="s">
        <v>192</v>
      </c>
      <c r="L2939" s="22">
        <v>350</v>
      </c>
      <c r="M2939" s="22">
        <v>17500</v>
      </c>
      <c r="N2939" s="18">
        <v>18.72</v>
      </c>
      <c r="O2939" s="26">
        <v>45912</v>
      </c>
      <c r="P2939" s="2" t="s">
        <v>2105</v>
      </c>
      <c r="Q2939" s="2" t="s">
        <v>814</v>
      </c>
    </row>
    <row r="2940" spans="2:17" x14ac:dyDescent="0.25">
      <c r="B2940" s="2" t="s">
        <v>3745</v>
      </c>
      <c r="C2940" s="2" t="s">
        <v>314</v>
      </c>
      <c r="D2940" s="2" t="s">
        <v>315</v>
      </c>
      <c r="E2940" s="2" t="s">
        <v>71</v>
      </c>
      <c r="F2940" s="2" t="s">
        <v>535</v>
      </c>
      <c r="G2940" s="2" t="s">
        <v>495</v>
      </c>
      <c r="H2940" s="2" t="s">
        <v>496</v>
      </c>
      <c r="I2940" s="26">
        <v>45663</v>
      </c>
      <c r="J2940" s="2">
        <v>47</v>
      </c>
      <c r="K2940" s="2" t="s">
        <v>192</v>
      </c>
      <c r="L2940" s="22">
        <v>350</v>
      </c>
      <c r="M2940" s="22">
        <v>16450</v>
      </c>
      <c r="N2940" s="18">
        <v>17.59</v>
      </c>
      <c r="O2940" s="26">
        <v>45963</v>
      </c>
      <c r="P2940" s="2" t="s">
        <v>2105</v>
      </c>
      <c r="Q2940" s="2" t="s">
        <v>825</v>
      </c>
    </row>
    <row r="2941" spans="2:17" x14ac:dyDescent="0.25">
      <c r="B2941" s="2" t="s">
        <v>3746</v>
      </c>
      <c r="C2941" s="2" t="s">
        <v>314</v>
      </c>
      <c r="D2941" s="2" t="s">
        <v>315</v>
      </c>
      <c r="E2941" s="2" t="s">
        <v>71</v>
      </c>
      <c r="F2941" s="2" t="s">
        <v>535</v>
      </c>
      <c r="G2941" s="2" t="s">
        <v>495</v>
      </c>
      <c r="H2941" s="2" t="s">
        <v>496</v>
      </c>
      <c r="I2941" s="26">
        <v>45695</v>
      </c>
      <c r="J2941" s="2">
        <v>53</v>
      </c>
      <c r="K2941" s="2" t="s">
        <v>192</v>
      </c>
      <c r="L2941" s="22">
        <v>350</v>
      </c>
      <c r="M2941" s="22">
        <v>18550</v>
      </c>
      <c r="N2941" s="18">
        <v>19.84</v>
      </c>
      <c r="O2941" s="26">
        <v>45995</v>
      </c>
      <c r="P2941" s="2" t="s">
        <v>2105</v>
      </c>
      <c r="Q2941" s="2" t="s">
        <v>825</v>
      </c>
    </row>
    <row r="2942" spans="2:17" x14ac:dyDescent="0.25">
      <c r="B2942" s="2" t="s">
        <v>3747</v>
      </c>
      <c r="C2942" s="2" t="s">
        <v>314</v>
      </c>
      <c r="D2942" s="2" t="s">
        <v>315</v>
      </c>
      <c r="E2942" s="2" t="s">
        <v>71</v>
      </c>
      <c r="F2942" s="2" t="s">
        <v>535</v>
      </c>
      <c r="G2942" s="2" t="s">
        <v>495</v>
      </c>
      <c r="H2942" s="2" t="s">
        <v>496</v>
      </c>
      <c r="I2942" s="26">
        <v>45733</v>
      </c>
      <c r="J2942" s="2">
        <v>51</v>
      </c>
      <c r="K2942" s="2" t="s">
        <v>192</v>
      </c>
      <c r="L2942" s="22">
        <v>350</v>
      </c>
      <c r="M2942" s="22">
        <v>17850</v>
      </c>
      <c r="N2942" s="18">
        <v>19.09</v>
      </c>
      <c r="O2942" s="26">
        <v>46033</v>
      </c>
      <c r="P2942" s="2" t="s">
        <v>2105</v>
      </c>
      <c r="Q2942" s="2" t="s">
        <v>836</v>
      </c>
    </row>
    <row r="2943" spans="2:17" x14ac:dyDescent="0.25">
      <c r="B2943" s="2" t="s">
        <v>3748</v>
      </c>
      <c r="C2943" s="2" t="s">
        <v>314</v>
      </c>
      <c r="D2943" s="2" t="s">
        <v>315</v>
      </c>
      <c r="E2943" s="2" t="s">
        <v>71</v>
      </c>
      <c r="F2943" s="2" t="s">
        <v>535</v>
      </c>
      <c r="G2943" s="2" t="s">
        <v>495</v>
      </c>
      <c r="H2943" s="2" t="s">
        <v>496</v>
      </c>
      <c r="I2943" s="26">
        <v>45763</v>
      </c>
      <c r="J2943" s="2">
        <v>62</v>
      </c>
      <c r="K2943" s="2" t="s">
        <v>192</v>
      </c>
      <c r="L2943" s="22">
        <v>350</v>
      </c>
      <c r="M2943" s="22">
        <v>21700</v>
      </c>
      <c r="N2943" s="18">
        <v>23.21</v>
      </c>
      <c r="O2943" s="26">
        <v>46063</v>
      </c>
      <c r="P2943" s="2" t="s">
        <v>2105</v>
      </c>
      <c r="Q2943" s="2" t="s">
        <v>836</v>
      </c>
    </row>
    <row r="2944" spans="2:17" x14ac:dyDescent="0.25">
      <c r="B2944" s="2" t="s">
        <v>3749</v>
      </c>
      <c r="C2944" s="2" t="s">
        <v>314</v>
      </c>
      <c r="D2944" s="2" t="s">
        <v>315</v>
      </c>
      <c r="E2944" s="2" t="s">
        <v>71</v>
      </c>
      <c r="F2944" s="2" t="s">
        <v>535</v>
      </c>
      <c r="G2944" s="2" t="s">
        <v>495</v>
      </c>
      <c r="H2944" s="2" t="s">
        <v>496</v>
      </c>
      <c r="I2944" s="26">
        <v>45796</v>
      </c>
      <c r="J2944" s="2">
        <v>48</v>
      </c>
      <c r="K2944" s="2" t="s">
        <v>192</v>
      </c>
      <c r="L2944" s="22">
        <v>350</v>
      </c>
      <c r="M2944" s="22">
        <v>16800</v>
      </c>
      <c r="N2944" s="18">
        <v>17.97</v>
      </c>
      <c r="O2944" s="26">
        <v>46096</v>
      </c>
      <c r="P2944" s="2" t="s">
        <v>2105</v>
      </c>
      <c r="Q2944" s="2" t="s">
        <v>836</v>
      </c>
    </row>
    <row r="2945" spans="2:17" x14ac:dyDescent="0.25">
      <c r="B2945" s="2" t="s">
        <v>3750</v>
      </c>
      <c r="C2945" s="2" t="s">
        <v>314</v>
      </c>
      <c r="D2945" s="2" t="s">
        <v>315</v>
      </c>
      <c r="E2945" s="2" t="s">
        <v>71</v>
      </c>
      <c r="F2945" s="2" t="s">
        <v>535</v>
      </c>
      <c r="G2945" s="2" t="s">
        <v>495</v>
      </c>
      <c r="H2945" s="2" t="s">
        <v>496</v>
      </c>
      <c r="I2945" s="26">
        <v>45824</v>
      </c>
      <c r="J2945" s="2">
        <v>59</v>
      </c>
      <c r="K2945" s="2" t="s">
        <v>192</v>
      </c>
      <c r="L2945" s="22">
        <v>350</v>
      </c>
      <c r="M2945" s="22">
        <v>20650</v>
      </c>
      <c r="N2945" s="18">
        <v>22.09</v>
      </c>
      <c r="O2945" s="26">
        <v>46124</v>
      </c>
      <c r="P2945" s="2" t="s">
        <v>2105</v>
      </c>
      <c r="Q2945" s="2" t="s">
        <v>806</v>
      </c>
    </row>
    <row r="2946" spans="2:17" x14ac:dyDescent="0.25">
      <c r="B2946" s="2" t="s">
        <v>3751</v>
      </c>
      <c r="C2946" s="2" t="s">
        <v>316</v>
      </c>
      <c r="D2946" s="2" t="s">
        <v>317</v>
      </c>
      <c r="E2946" s="2" t="s">
        <v>71</v>
      </c>
      <c r="F2946" s="2" t="s">
        <v>535</v>
      </c>
      <c r="G2946" s="2" t="s">
        <v>495</v>
      </c>
      <c r="H2946" s="2" t="s">
        <v>496</v>
      </c>
      <c r="I2946" s="26">
        <v>45108</v>
      </c>
      <c r="J2946" s="2">
        <v>78</v>
      </c>
      <c r="K2946" s="2" t="s">
        <v>177</v>
      </c>
      <c r="L2946" s="22">
        <v>700</v>
      </c>
      <c r="M2946" s="22">
        <v>54600</v>
      </c>
      <c r="N2946" s="18">
        <v>58.4</v>
      </c>
      <c r="O2946" s="26">
        <v>45408</v>
      </c>
      <c r="P2946" s="2" t="s">
        <v>2105</v>
      </c>
      <c r="Q2946" s="2" t="s">
        <v>806</v>
      </c>
    </row>
    <row r="2947" spans="2:17" x14ac:dyDescent="0.25">
      <c r="B2947" s="2" t="s">
        <v>3752</v>
      </c>
      <c r="C2947" s="2" t="s">
        <v>316</v>
      </c>
      <c r="D2947" s="2" t="s">
        <v>317</v>
      </c>
      <c r="E2947" s="2" t="s">
        <v>71</v>
      </c>
      <c r="F2947" s="2" t="s">
        <v>535</v>
      </c>
      <c r="G2947" s="2" t="s">
        <v>495</v>
      </c>
      <c r="H2947" s="2" t="s">
        <v>496</v>
      </c>
      <c r="I2947" s="26">
        <v>45136</v>
      </c>
      <c r="J2947" s="2">
        <v>73</v>
      </c>
      <c r="K2947" s="2" t="s">
        <v>177</v>
      </c>
      <c r="L2947" s="22">
        <v>700</v>
      </c>
      <c r="M2947" s="22">
        <v>51100</v>
      </c>
      <c r="N2947" s="18">
        <v>54.65</v>
      </c>
      <c r="O2947" s="26">
        <v>45436</v>
      </c>
      <c r="P2947" s="2" t="s">
        <v>2105</v>
      </c>
      <c r="Q2947" s="2" t="s">
        <v>806</v>
      </c>
    </row>
    <row r="2948" spans="2:17" x14ac:dyDescent="0.25">
      <c r="B2948" s="2" t="s">
        <v>3753</v>
      </c>
      <c r="C2948" s="2" t="s">
        <v>316</v>
      </c>
      <c r="D2948" s="2" t="s">
        <v>317</v>
      </c>
      <c r="E2948" s="2" t="s">
        <v>71</v>
      </c>
      <c r="F2948" s="2" t="s">
        <v>537</v>
      </c>
      <c r="G2948" s="2" t="s">
        <v>500</v>
      </c>
      <c r="H2948" s="2" t="s">
        <v>501</v>
      </c>
      <c r="I2948" s="26">
        <v>45172</v>
      </c>
      <c r="J2948" s="2">
        <v>106</v>
      </c>
      <c r="K2948" s="2" t="s">
        <v>177</v>
      </c>
      <c r="L2948" s="22">
        <v>700</v>
      </c>
      <c r="M2948" s="22">
        <v>74200</v>
      </c>
      <c r="N2948" s="18">
        <v>79.36</v>
      </c>
      <c r="O2948" s="26">
        <v>45472</v>
      </c>
      <c r="P2948" s="2" t="s">
        <v>2105</v>
      </c>
      <c r="Q2948" s="2" t="s">
        <v>814</v>
      </c>
    </row>
    <row r="2949" spans="2:17" x14ac:dyDescent="0.25">
      <c r="B2949" s="2" t="s">
        <v>3754</v>
      </c>
      <c r="C2949" s="2" t="s">
        <v>316</v>
      </c>
      <c r="D2949" s="2" t="s">
        <v>317</v>
      </c>
      <c r="E2949" s="2" t="s">
        <v>71</v>
      </c>
      <c r="F2949" s="2" t="s">
        <v>535</v>
      </c>
      <c r="G2949" s="2" t="s">
        <v>495</v>
      </c>
      <c r="H2949" s="2" t="s">
        <v>496</v>
      </c>
      <c r="I2949" s="26">
        <v>45201</v>
      </c>
      <c r="J2949" s="2">
        <v>32</v>
      </c>
      <c r="K2949" s="2" t="s">
        <v>177</v>
      </c>
      <c r="L2949" s="22">
        <v>700</v>
      </c>
      <c r="M2949" s="22">
        <v>22400</v>
      </c>
      <c r="N2949" s="18">
        <v>23.96</v>
      </c>
      <c r="O2949" s="26">
        <v>45501</v>
      </c>
      <c r="P2949" s="2" t="s">
        <v>2105</v>
      </c>
      <c r="Q2949" s="2" t="s">
        <v>814</v>
      </c>
    </row>
    <row r="2950" spans="2:17" x14ac:dyDescent="0.25">
      <c r="B2950" s="2" t="s">
        <v>3755</v>
      </c>
      <c r="C2950" s="2" t="s">
        <v>316</v>
      </c>
      <c r="D2950" s="2" t="s">
        <v>317</v>
      </c>
      <c r="E2950" s="2" t="s">
        <v>71</v>
      </c>
      <c r="F2950" s="2" t="s">
        <v>535</v>
      </c>
      <c r="G2950" s="2" t="s">
        <v>495</v>
      </c>
      <c r="H2950" s="2" t="s">
        <v>496</v>
      </c>
      <c r="I2950" s="26">
        <v>45232</v>
      </c>
      <c r="J2950" s="2">
        <v>26</v>
      </c>
      <c r="K2950" s="2" t="s">
        <v>177</v>
      </c>
      <c r="L2950" s="22">
        <v>700</v>
      </c>
      <c r="M2950" s="22">
        <v>18200</v>
      </c>
      <c r="N2950" s="18">
        <v>19.47</v>
      </c>
      <c r="O2950" s="26">
        <v>45532</v>
      </c>
      <c r="P2950" s="2" t="s">
        <v>2105</v>
      </c>
      <c r="Q2950" s="2" t="s">
        <v>814</v>
      </c>
    </row>
    <row r="2951" spans="2:17" x14ac:dyDescent="0.25">
      <c r="B2951" s="2" t="s">
        <v>3756</v>
      </c>
      <c r="C2951" s="2" t="s">
        <v>316</v>
      </c>
      <c r="D2951" s="2" t="s">
        <v>317</v>
      </c>
      <c r="E2951" s="2" t="s">
        <v>71</v>
      </c>
      <c r="F2951" s="2" t="s">
        <v>535</v>
      </c>
      <c r="G2951" s="2" t="s">
        <v>495</v>
      </c>
      <c r="H2951" s="2" t="s">
        <v>496</v>
      </c>
      <c r="I2951" s="26">
        <v>45266</v>
      </c>
      <c r="J2951" s="2">
        <v>33</v>
      </c>
      <c r="K2951" s="2" t="s">
        <v>177</v>
      </c>
      <c r="L2951" s="22">
        <v>700</v>
      </c>
      <c r="M2951" s="22">
        <v>23100</v>
      </c>
      <c r="N2951" s="18">
        <v>24.71</v>
      </c>
      <c r="O2951" s="26">
        <v>45566</v>
      </c>
      <c r="P2951" s="2" t="s">
        <v>2105</v>
      </c>
      <c r="Q2951" s="2" t="s">
        <v>825</v>
      </c>
    </row>
    <row r="2952" spans="2:17" x14ac:dyDescent="0.25">
      <c r="B2952" s="2" t="s">
        <v>3757</v>
      </c>
      <c r="C2952" s="2" t="s">
        <v>316</v>
      </c>
      <c r="D2952" s="2" t="s">
        <v>317</v>
      </c>
      <c r="E2952" s="2" t="s">
        <v>71</v>
      </c>
      <c r="F2952" s="2" t="s">
        <v>535</v>
      </c>
      <c r="G2952" s="2" t="s">
        <v>495</v>
      </c>
      <c r="H2952" s="2" t="s">
        <v>496</v>
      </c>
      <c r="I2952" s="26">
        <v>45299</v>
      </c>
      <c r="J2952" s="2">
        <v>34</v>
      </c>
      <c r="K2952" s="2" t="s">
        <v>177</v>
      </c>
      <c r="L2952" s="22">
        <v>700</v>
      </c>
      <c r="M2952" s="22">
        <v>23800</v>
      </c>
      <c r="N2952" s="18">
        <v>25.45</v>
      </c>
      <c r="O2952" s="26">
        <v>45599</v>
      </c>
      <c r="P2952" s="2" t="s">
        <v>2105</v>
      </c>
      <c r="Q2952" s="2" t="s">
        <v>825</v>
      </c>
    </row>
    <row r="2953" spans="2:17" x14ac:dyDescent="0.25">
      <c r="B2953" s="2" t="s">
        <v>3758</v>
      </c>
      <c r="C2953" s="2" t="s">
        <v>316</v>
      </c>
      <c r="D2953" s="2" t="s">
        <v>317</v>
      </c>
      <c r="E2953" s="2" t="s">
        <v>71</v>
      </c>
      <c r="F2953" s="2" t="s">
        <v>535</v>
      </c>
      <c r="G2953" s="2" t="s">
        <v>495</v>
      </c>
      <c r="H2953" s="2" t="s">
        <v>496</v>
      </c>
      <c r="I2953" s="26">
        <v>45343</v>
      </c>
      <c r="J2953" s="2">
        <v>26</v>
      </c>
      <c r="K2953" s="2" t="s">
        <v>177</v>
      </c>
      <c r="L2953" s="22">
        <v>700</v>
      </c>
      <c r="M2953" s="22">
        <v>18200</v>
      </c>
      <c r="N2953" s="18">
        <v>19.47</v>
      </c>
      <c r="O2953" s="26">
        <v>45643</v>
      </c>
      <c r="P2953" s="2" t="s">
        <v>2105</v>
      </c>
      <c r="Q2953" s="2" t="s">
        <v>825</v>
      </c>
    </row>
    <row r="2954" spans="2:17" x14ac:dyDescent="0.25">
      <c r="B2954" s="2" t="s">
        <v>3759</v>
      </c>
      <c r="C2954" s="2" t="s">
        <v>316</v>
      </c>
      <c r="D2954" s="2" t="s">
        <v>317</v>
      </c>
      <c r="E2954" s="2" t="s">
        <v>71</v>
      </c>
      <c r="F2954" s="2" t="s">
        <v>535</v>
      </c>
      <c r="G2954" s="2" t="s">
        <v>495</v>
      </c>
      <c r="H2954" s="2" t="s">
        <v>496</v>
      </c>
      <c r="I2954" s="26">
        <v>45373</v>
      </c>
      <c r="J2954" s="2">
        <v>28</v>
      </c>
      <c r="K2954" s="2" t="s">
        <v>177</v>
      </c>
      <c r="L2954" s="22">
        <v>700</v>
      </c>
      <c r="M2954" s="22">
        <v>19600</v>
      </c>
      <c r="N2954" s="18">
        <v>20.96</v>
      </c>
      <c r="O2954" s="26">
        <v>45673</v>
      </c>
      <c r="P2954" s="2" t="s">
        <v>2105</v>
      </c>
      <c r="Q2954" s="2" t="s">
        <v>836</v>
      </c>
    </row>
    <row r="2955" spans="2:17" x14ac:dyDescent="0.25">
      <c r="B2955" s="2" t="s">
        <v>3760</v>
      </c>
      <c r="C2955" s="2" t="s">
        <v>316</v>
      </c>
      <c r="D2955" s="2" t="s">
        <v>317</v>
      </c>
      <c r="E2955" s="2" t="s">
        <v>71</v>
      </c>
      <c r="F2955" s="2" t="s">
        <v>535</v>
      </c>
      <c r="G2955" s="2" t="s">
        <v>495</v>
      </c>
      <c r="H2955" s="2" t="s">
        <v>496</v>
      </c>
      <c r="I2955" s="26">
        <v>45403</v>
      </c>
      <c r="J2955" s="2">
        <v>73</v>
      </c>
      <c r="K2955" s="2" t="s">
        <v>177</v>
      </c>
      <c r="L2955" s="22">
        <v>700</v>
      </c>
      <c r="M2955" s="22">
        <v>51100</v>
      </c>
      <c r="N2955" s="18">
        <v>54.65</v>
      </c>
      <c r="O2955" s="26">
        <v>45703</v>
      </c>
      <c r="P2955" s="2" t="s">
        <v>2105</v>
      </c>
      <c r="Q2955" s="2" t="s">
        <v>836</v>
      </c>
    </row>
    <row r="2956" spans="2:17" x14ac:dyDescent="0.25">
      <c r="B2956" s="2" t="s">
        <v>3761</v>
      </c>
      <c r="C2956" s="2" t="s">
        <v>316</v>
      </c>
      <c r="D2956" s="2" t="s">
        <v>317</v>
      </c>
      <c r="E2956" s="2" t="s">
        <v>71</v>
      </c>
      <c r="F2956" s="2" t="s">
        <v>535</v>
      </c>
      <c r="G2956" s="2" t="s">
        <v>495</v>
      </c>
      <c r="H2956" s="2" t="s">
        <v>496</v>
      </c>
      <c r="I2956" s="26">
        <v>45438</v>
      </c>
      <c r="J2956" s="2">
        <v>86</v>
      </c>
      <c r="K2956" s="2" t="s">
        <v>177</v>
      </c>
      <c r="L2956" s="22">
        <v>700</v>
      </c>
      <c r="M2956" s="22">
        <v>60200</v>
      </c>
      <c r="N2956" s="18">
        <v>64.39</v>
      </c>
      <c r="O2956" s="26">
        <v>45738</v>
      </c>
      <c r="P2956" s="2" t="s">
        <v>2105</v>
      </c>
      <c r="Q2956" s="2" t="s">
        <v>836</v>
      </c>
    </row>
    <row r="2957" spans="2:17" x14ac:dyDescent="0.25">
      <c r="B2957" s="2" t="s">
        <v>3762</v>
      </c>
      <c r="C2957" s="2" t="s">
        <v>316</v>
      </c>
      <c r="D2957" s="2" t="s">
        <v>317</v>
      </c>
      <c r="E2957" s="2" t="s">
        <v>71</v>
      </c>
      <c r="F2957" s="2" t="s">
        <v>535</v>
      </c>
      <c r="G2957" s="2" t="s">
        <v>495</v>
      </c>
      <c r="H2957" s="2" t="s">
        <v>496</v>
      </c>
      <c r="I2957" s="26">
        <v>45465</v>
      </c>
      <c r="J2957" s="2">
        <v>70</v>
      </c>
      <c r="K2957" s="2" t="s">
        <v>177</v>
      </c>
      <c r="L2957" s="22">
        <v>700</v>
      </c>
      <c r="M2957" s="22">
        <v>49000</v>
      </c>
      <c r="N2957" s="18">
        <v>52.41</v>
      </c>
      <c r="O2957" s="26">
        <v>45765</v>
      </c>
      <c r="P2957" s="2" t="s">
        <v>2105</v>
      </c>
      <c r="Q2957" s="2" t="s">
        <v>806</v>
      </c>
    </row>
    <row r="2958" spans="2:17" x14ac:dyDescent="0.25">
      <c r="B2958" s="2" t="s">
        <v>3763</v>
      </c>
      <c r="C2958" s="2" t="s">
        <v>316</v>
      </c>
      <c r="D2958" s="2" t="s">
        <v>317</v>
      </c>
      <c r="E2958" s="2" t="s">
        <v>71</v>
      </c>
      <c r="F2958" s="2" t="s">
        <v>535</v>
      </c>
      <c r="G2958" s="2" t="s">
        <v>495</v>
      </c>
      <c r="H2958" s="2" t="s">
        <v>496</v>
      </c>
      <c r="I2958" s="26">
        <v>45504</v>
      </c>
      <c r="J2958" s="2">
        <v>70</v>
      </c>
      <c r="K2958" s="2" t="s">
        <v>177</v>
      </c>
      <c r="L2958" s="22">
        <v>700</v>
      </c>
      <c r="M2958" s="22">
        <v>49000</v>
      </c>
      <c r="N2958" s="18">
        <v>52.41</v>
      </c>
      <c r="O2958" s="26">
        <v>45804</v>
      </c>
      <c r="P2958" s="2" t="s">
        <v>2105</v>
      </c>
      <c r="Q2958" s="2" t="s">
        <v>806</v>
      </c>
    </row>
    <row r="2959" spans="2:17" x14ac:dyDescent="0.25">
      <c r="B2959" s="2" t="s">
        <v>3764</v>
      </c>
      <c r="C2959" s="2" t="s">
        <v>316</v>
      </c>
      <c r="D2959" s="2" t="s">
        <v>317</v>
      </c>
      <c r="E2959" s="2" t="s">
        <v>71</v>
      </c>
      <c r="F2959" s="2" t="s">
        <v>535</v>
      </c>
      <c r="G2959" s="2" t="s">
        <v>495</v>
      </c>
      <c r="H2959" s="2" t="s">
        <v>496</v>
      </c>
      <c r="I2959" s="26">
        <v>45543</v>
      </c>
      <c r="J2959" s="2">
        <v>98</v>
      </c>
      <c r="K2959" s="2" t="s">
        <v>177</v>
      </c>
      <c r="L2959" s="22">
        <v>700</v>
      </c>
      <c r="M2959" s="22">
        <v>68600</v>
      </c>
      <c r="N2959" s="18">
        <v>73.37</v>
      </c>
      <c r="O2959" s="26">
        <v>45843</v>
      </c>
      <c r="P2959" s="2" t="s">
        <v>2105</v>
      </c>
      <c r="Q2959" s="2" t="s">
        <v>814</v>
      </c>
    </row>
    <row r="2960" spans="2:17" x14ac:dyDescent="0.25">
      <c r="B2960" s="2" t="s">
        <v>3765</v>
      </c>
      <c r="C2960" s="2" t="s">
        <v>316</v>
      </c>
      <c r="D2960" s="2" t="s">
        <v>317</v>
      </c>
      <c r="E2960" s="2" t="s">
        <v>71</v>
      </c>
      <c r="F2960" s="2" t="s">
        <v>535</v>
      </c>
      <c r="G2960" s="2" t="s">
        <v>495</v>
      </c>
      <c r="H2960" s="2" t="s">
        <v>496</v>
      </c>
      <c r="I2960" s="26">
        <v>45578</v>
      </c>
      <c r="J2960" s="2">
        <v>33</v>
      </c>
      <c r="K2960" s="2" t="s">
        <v>177</v>
      </c>
      <c r="L2960" s="22">
        <v>700</v>
      </c>
      <c r="M2960" s="22">
        <v>23100</v>
      </c>
      <c r="N2960" s="18">
        <v>24.71</v>
      </c>
      <c r="O2960" s="26">
        <v>45878</v>
      </c>
      <c r="P2960" s="2" t="s">
        <v>2105</v>
      </c>
      <c r="Q2960" s="2" t="s">
        <v>814</v>
      </c>
    </row>
    <row r="2961" spans="2:17" x14ac:dyDescent="0.25">
      <c r="B2961" s="2" t="s">
        <v>3766</v>
      </c>
      <c r="C2961" s="2" t="s">
        <v>316</v>
      </c>
      <c r="D2961" s="2" t="s">
        <v>317</v>
      </c>
      <c r="E2961" s="2" t="s">
        <v>71</v>
      </c>
      <c r="F2961" s="2" t="s">
        <v>537</v>
      </c>
      <c r="G2961" s="2" t="s">
        <v>500</v>
      </c>
      <c r="H2961" s="2" t="s">
        <v>501</v>
      </c>
      <c r="I2961" s="26">
        <v>45618</v>
      </c>
      <c r="J2961" s="2">
        <v>33</v>
      </c>
      <c r="K2961" s="2" t="s">
        <v>177</v>
      </c>
      <c r="L2961" s="22">
        <v>700</v>
      </c>
      <c r="M2961" s="22">
        <v>23100</v>
      </c>
      <c r="N2961" s="18">
        <v>24.71</v>
      </c>
      <c r="O2961" s="26">
        <v>45918</v>
      </c>
      <c r="P2961" s="2" t="s">
        <v>2105</v>
      </c>
      <c r="Q2961" s="2" t="s">
        <v>814</v>
      </c>
    </row>
    <row r="2962" spans="2:17" x14ac:dyDescent="0.25">
      <c r="B2962" s="2" t="s">
        <v>3767</v>
      </c>
      <c r="C2962" s="2" t="s">
        <v>316</v>
      </c>
      <c r="D2962" s="2" t="s">
        <v>317</v>
      </c>
      <c r="E2962" s="2" t="s">
        <v>71</v>
      </c>
      <c r="F2962" s="2" t="s">
        <v>535</v>
      </c>
      <c r="G2962" s="2" t="s">
        <v>495</v>
      </c>
      <c r="H2962" s="2" t="s">
        <v>496</v>
      </c>
      <c r="I2962" s="26">
        <v>45646</v>
      </c>
      <c r="J2962" s="2">
        <v>44</v>
      </c>
      <c r="K2962" s="2" t="s">
        <v>177</v>
      </c>
      <c r="L2962" s="22">
        <v>700</v>
      </c>
      <c r="M2962" s="22">
        <v>30800</v>
      </c>
      <c r="N2962" s="18">
        <v>32.94</v>
      </c>
      <c r="O2962" s="26">
        <v>45946</v>
      </c>
      <c r="P2962" s="2" t="s">
        <v>2105</v>
      </c>
      <c r="Q2962" s="2" t="s">
        <v>825</v>
      </c>
    </row>
    <row r="2963" spans="2:17" x14ac:dyDescent="0.25">
      <c r="B2963" s="2" t="s">
        <v>3768</v>
      </c>
      <c r="C2963" s="2" t="s">
        <v>316</v>
      </c>
      <c r="D2963" s="2" t="s">
        <v>317</v>
      </c>
      <c r="E2963" s="2" t="s">
        <v>71</v>
      </c>
      <c r="F2963" s="2" t="s">
        <v>535</v>
      </c>
      <c r="G2963" s="2" t="s">
        <v>495</v>
      </c>
      <c r="H2963" s="2" t="s">
        <v>496</v>
      </c>
      <c r="I2963" s="26">
        <v>45680</v>
      </c>
      <c r="J2963" s="2">
        <v>29</v>
      </c>
      <c r="K2963" s="2" t="s">
        <v>177</v>
      </c>
      <c r="L2963" s="22">
        <v>700</v>
      </c>
      <c r="M2963" s="22">
        <v>20300</v>
      </c>
      <c r="N2963" s="18">
        <v>21.71</v>
      </c>
      <c r="O2963" s="26">
        <v>45980</v>
      </c>
      <c r="P2963" s="2" t="s">
        <v>2105</v>
      </c>
      <c r="Q2963" s="2" t="s">
        <v>825</v>
      </c>
    </row>
    <row r="2964" spans="2:17" x14ac:dyDescent="0.25">
      <c r="B2964" s="2" t="s">
        <v>3769</v>
      </c>
      <c r="C2964" s="2" t="s">
        <v>316</v>
      </c>
      <c r="D2964" s="2" t="s">
        <v>317</v>
      </c>
      <c r="E2964" s="2" t="s">
        <v>71</v>
      </c>
      <c r="F2964" s="2" t="s">
        <v>535</v>
      </c>
      <c r="G2964" s="2" t="s">
        <v>495</v>
      </c>
      <c r="H2964" s="2" t="s">
        <v>496</v>
      </c>
      <c r="I2964" s="26">
        <v>45709</v>
      </c>
      <c r="J2964" s="2">
        <v>32</v>
      </c>
      <c r="K2964" s="2" t="s">
        <v>177</v>
      </c>
      <c r="L2964" s="22">
        <v>700</v>
      </c>
      <c r="M2964" s="22">
        <v>22400</v>
      </c>
      <c r="N2964" s="18">
        <v>23.96</v>
      </c>
      <c r="O2964" s="26">
        <v>46009</v>
      </c>
      <c r="P2964" s="2" t="s">
        <v>2105</v>
      </c>
      <c r="Q2964" s="2" t="s">
        <v>825</v>
      </c>
    </row>
    <row r="2965" spans="2:17" x14ac:dyDescent="0.25">
      <c r="B2965" s="2" t="s">
        <v>3770</v>
      </c>
      <c r="C2965" s="2" t="s">
        <v>316</v>
      </c>
      <c r="D2965" s="2" t="s">
        <v>317</v>
      </c>
      <c r="E2965" s="2" t="s">
        <v>71</v>
      </c>
      <c r="F2965" s="2" t="s">
        <v>535</v>
      </c>
      <c r="G2965" s="2" t="s">
        <v>495</v>
      </c>
      <c r="H2965" s="2" t="s">
        <v>496</v>
      </c>
      <c r="I2965" s="26">
        <v>45740</v>
      </c>
      <c r="J2965" s="2">
        <v>35</v>
      </c>
      <c r="K2965" s="2" t="s">
        <v>177</v>
      </c>
      <c r="L2965" s="22">
        <v>700</v>
      </c>
      <c r="M2965" s="22">
        <v>24500</v>
      </c>
      <c r="N2965" s="18">
        <v>26.2</v>
      </c>
      <c r="O2965" s="26">
        <v>46040</v>
      </c>
      <c r="P2965" s="2" t="s">
        <v>2105</v>
      </c>
      <c r="Q2965" s="2" t="s">
        <v>836</v>
      </c>
    </row>
    <row r="2966" spans="2:17" x14ac:dyDescent="0.25">
      <c r="B2966" s="2" t="s">
        <v>3771</v>
      </c>
      <c r="C2966" s="2" t="s">
        <v>316</v>
      </c>
      <c r="D2966" s="2" t="s">
        <v>317</v>
      </c>
      <c r="E2966" s="2" t="s">
        <v>71</v>
      </c>
      <c r="F2966" s="2" t="s">
        <v>535</v>
      </c>
      <c r="G2966" s="2" t="s">
        <v>495</v>
      </c>
      <c r="H2966" s="2" t="s">
        <v>496</v>
      </c>
      <c r="I2966" s="26">
        <v>45779</v>
      </c>
      <c r="J2966" s="2">
        <v>91</v>
      </c>
      <c r="K2966" s="2" t="s">
        <v>177</v>
      </c>
      <c r="L2966" s="22">
        <v>700</v>
      </c>
      <c r="M2966" s="22">
        <v>63700</v>
      </c>
      <c r="N2966" s="18">
        <v>68.13</v>
      </c>
      <c r="O2966" s="26">
        <v>46079</v>
      </c>
      <c r="P2966" s="2" t="s">
        <v>2105</v>
      </c>
      <c r="Q2966" s="2" t="s">
        <v>836</v>
      </c>
    </row>
    <row r="2967" spans="2:17" x14ac:dyDescent="0.25">
      <c r="B2967" s="2" t="s">
        <v>3772</v>
      </c>
      <c r="C2967" s="2" t="s">
        <v>316</v>
      </c>
      <c r="D2967" s="2" t="s">
        <v>317</v>
      </c>
      <c r="E2967" s="2" t="s">
        <v>71</v>
      </c>
      <c r="F2967" s="2" t="s">
        <v>535</v>
      </c>
      <c r="G2967" s="2" t="s">
        <v>495</v>
      </c>
      <c r="H2967" s="2" t="s">
        <v>496</v>
      </c>
      <c r="I2967" s="26">
        <v>45800</v>
      </c>
      <c r="J2967" s="2">
        <v>96</v>
      </c>
      <c r="K2967" s="2" t="s">
        <v>177</v>
      </c>
      <c r="L2967" s="22">
        <v>700</v>
      </c>
      <c r="M2967" s="22">
        <v>67200</v>
      </c>
      <c r="N2967" s="18">
        <v>71.87</v>
      </c>
      <c r="O2967" s="26">
        <v>46100</v>
      </c>
      <c r="P2967" s="2" t="s">
        <v>2105</v>
      </c>
      <c r="Q2967" s="2" t="s">
        <v>836</v>
      </c>
    </row>
    <row r="2968" spans="2:17" x14ac:dyDescent="0.25">
      <c r="B2968" s="2" t="s">
        <v>3773</v>
      </c>
      <c r="C2968" s="2" t="s">
        <v>318</v>
      </c>
      <c r="D2968" s="2" t="s">
        <v>319</v>
      </c>
      <c r="E2968" s="2" t="s">
        <v>71</v>
      </c>
      <c r="F2968" s="2" t="s">
        <v>537</v>
      </c>
      <c r="G2968" s="2" t="s">
        <v>500</v>
      </c>
      <c r="H2968" s="2" t="s">
        <v>501</v>
      </c>
      <c r="I2968" s="26">
        <v>45115</v>
      </c>
      <c r="J2968" s="2">
        <v>81</v>
      </c>
      <c r="K2968" s="2" t="s">
        <v>177</v>
      </c>
      <c r="L2968" s="22">
        <v>700</v>
      </c>
      <c r="M2968" s="22">
        <v>56700</v>
      </c>
      <c r="N2968" s="18">
        <v>60.64</v>
      </c>
      <c r="O2968" s="26">
        <v>45415</v>
      </c>
      <c r="P2968" s="2" t="s">
        <v>2105</v>
      </c>
      <c r="Q2968" s="2" t="s">
        <v>806</v>
      </c>
    </row>
    <row r="2969" spans="2:17" x14ac:dyDescent="0.25">
      <c r="B2969" s="2" t="s">
        <v>3774</v>
      </c>
      <c r="C2969" s="2" t="s">
        <v>318</v>
      </c>
      <c r="D2969" s="2" t="s">
        <v>319</v>
      </c>
      <c r="E2969" s="2" t="s">
        <v>71</v>
      </c>
      <c r="F2969" s="2" t="s">
        <v>535</v>
      </c>
      <c r="G2969" s="2" t="s">
        <v>495</v>
      </c>
      <c r="H2969" s="2" t="s">
        <v>496</v>
      </c>
      <c r="I2969" s="26">
        <v>45152</v>
      </c>
      <c r="J2969" s="2">
        <v>83</v>
      </c>
      <c r="K2969" s="2" t="s">
        <v>177</v>
      </c>
      <c r="L2969" s="22">
        <v>700</v>
      </c>
      <c r="M2969" s="22">
        <v>58100</v>
      </c>
      <c r="N2969" s="18">
        <v>62.14</v>
      </c>
      <c r="O2969" s="26">
        <v>45452</v>
      </c>
      <c r="P2969" s="2" t="s">
        <v>2105</v>
      </c>
      <c r="Q2969" s="2" t="s">
        <v>806</v>
      </c>
    </row>
    <row r="2970" spans="2:17" x14ac:dyDescent="0.25">
      <c r="B2970" s="2" t="s">
        <v>3775</v>
      </c>
      <c r="C2970" s="2" t="s">
        <v>318</v>
      </c>
      <c r="D2970" s="2" t="s">
        <v>319</v>
      </c>
      <c r="E2970" s="2" t="s">
        <v>71</v>
      </c>
      <c r="F2970" s="2" t="s">
        <v>535</v>
      </c>
      <c r="G2970" s="2" t="s">
        <v>495</v>
      </c>
      <c r="H2970" s="2" t="s">
        <v>496</v>
      </c>
      <c r="I2970" s="26">
        <v>45193</v>
      </c>
      <c r="J2970" s="2">
        <v>88</v>
      </c>
      <c r="K2970" s="2" t="s">
        <v>177</v>
      </c>
      <c r="L2970" s="22">
        <v>700</v>
      </c>
      <c r="M2970" s="22">
        <v>61600</v>
      </c>
      <c r="N2970" s="18">
        <v>65.88</v>
      </c>
      <c r="O2970" s="26">
        <v>45493</v>
      </c>
      <c r="P2970" s="2" t="s">
        <v>2105</v>
      </c>
      <c r="Q2970" s="2" t="s">
        <v>814</v>
      </c>
    </row>
    <row r="2971" spans="2:17" x14ac:dyDescent="0.25">
      <c r="B2971" s="2" t="s">
        <v>3776</v>
      </c>
      <c r="C2971" s="2" t="s">
        <v>318</v>
      </c>
      <c r="D2971" s="2" t="s">
        <v>319</v>
      </c>
      <c r="E2971" s="2" t="s">
        <v>71</v>
      </c>
      <c r="F2971" s="2" t="s">
        <v>535</v>
      </c>
      <c r="G2971" s="2" t="s">
        <v>495</v>
      </c>
      <c r="H2971" s="2" t="s">
        <v>496</v>
      </c>
      <c r="I2971" s="26">
        <v>45230</v>
      </c>
      <c r="J2971" s="2">
        <v>31</v>
      </c>
      <c r="K2971" s="2" t="s">
        <v>177</v>
      </c>
      <c r="L2971" s="22">
        <v>700</v>
      </c>
      <c r="M2971" s="22">
        <v>21700</v>
      </c>
      <c r="N2971" s="18">
        <v>23.21</v>
      </c>
      <c r="O2971" s="26">
        <v>45530</v>
      </c>
      <c r="P2971" s="2" t="s">
        <v>2105</v>
      </c>
      <c r="Q2971" s="2" t="s">
        <v>814</v>
      </c>
    </row>
    <row r="2972" spans="2:17" x14ac:dyDescent="0.25">
      <c r="B2972" s="2" t="s">
        <v>3777</v>
      </c>
      <c r="C2972" s="2" t="s">
        <v>318</v>
      </c>
      <c r="D2972" s="2" t="s">
        <v>319</v>
      </c>
      <c r="E2972" s="2" t="s">
        <v>71</v>
      </c>
      <c r="F2972" s="2" t="s">
        <v>535</v>
      </c>
      <c r="G2972" s="2" t="s">
        <v>495</v>
      </c>
      <c r="H2972" s="2" t="s">
        <v>496</v>
      </c>
      <c r="I2972" s="26">
        <v>45260</v>
      </c>
      <c r="J2972" s="2">
        <v>32</v>
      </c>
      <c r="K2972" s="2" t="s">
        <v>177</v>
      </c>
      <c r="L2972" s="22">
        <v>700</v>
      </c>
      <c r="M2972" s="22">
        <v>22400</v>
      </c>
      <c r="N2972" s="18">
        <v>23.96</v>
      </c>
      <c r="O2972" s="26">
        <v>45560</v>
      </c>
      <c r="P2972" s="2" t="s">
        <v>2105</v>
      </c>
      <c r="Q2972" s="2" t="s">
        <v>814</v>
      </c>
    </row>
    <row r="2973" spans="2:17" x14ac:dyDescent="0.25">
      <c r="B2973" s="2" t="s">
        <v>3778</v>
      </c>
      <c r="C2973" s="2" t="s">
        <v>318</v>
      </c>
      <c r="D2973" s="2" t="s">
        <v>319</v>
      </c>
      <c r="E2973" s="2" t="s">
        <v>71</v>
      </c>
      <c r="F2973" s="2" t="s">
        <v>535</v>
      </c>
      <c r="G2973" s="2" t="s">
        <v>495</v>
      </c>
      <c r="H2973" s="2" t="s">
        <v>496</v>
      </c>
      <c r="I2973" s="26">
        <v>45295</v>
      </c>
      <c r="J2973" s="2">
        <v>31</v>
      </c>
      <c r="K2973" s="2" t="s">
        <v>177</v>
      </c>
      <c r="L2973" s="22">
        <v>700</v>
      </c>
      <c r="M2973" s="22">
        <v>21700</v>
      </c>
      <c r="N2973" s="18">
        <v>23.21</v>
      </c>
      <c r="O2973" s="26">
        <v>45595</v>
      </c>
      <c r="P2973" s="2" t="s">
        <v>2105</v>
      </c>
      <c r="Q2973" s="2" t="s">
        <v>825</v>
      </c>
    </row>
    <row r="2974" spans="2:17" x14ac:dyDescent="0.25">
      <c r="B2974" s="2" t="s">
        <v>3779</v>
      </c>
      <c r="C2974" s="2" t="s">
        <v>318</v>
      </c>
      <c r="D2974" s="2" t="s">
        <v>319</v>
      </c>
      <c r="E2974" s="2" t="s">
        <v>71</v>
      </c>
      <c r="F2974" s="2" t="s">
        <v>535</v>
      </c>
      <c r="G2974" s="2" t="s">
        <v>495</v>
      </c>
      <c r="H2974" s="2" t="s">
        <v>496</v>
      </c>
      <c r="I2974" s="26">
        <v>45327</v>
      </c>
      <c r="J2974" s="2">
        <v>28</v>
      </c>
      <c r="K2974" s="2" t="s">
        <v>177</v>
      </c>
      <c r="L2974" s="22">
        <v>700</v>
      </c>
      <c r="M2974" s="22">
        <v>19600</v>
      </c>
      <c r="N2974" s="18">
        <v>20.96</v>
      </c>
      <c r="O2974" s="26">
        <v>45627</v>
      </c>
      <c r="P2974" s="2" t="s">
        <v>2105</v>
      </c>
      <c r="Q2974" s="2" t="s">
        <v>825</v>
      </c>
    </row>
    <row r="2975" spans="2:17" x14ac:dyDescent="0.25">
      <c r="B2975" s="2" t="s">
        <v>3780</v>
      </c>
      <c r="C2975" s="2" t="s">
        <v>318</v>
      </c>
      <c r="D2975" s="2" t="s">
        <v>319</v>
      </c>
      <c r="E2975" s="2" t="s">
        <v>71</v>
      </c>
      <c r="F2975" s="2" t="s">
        <v>535</v>
      </c>
      <c r="G2975" s="2" t="s">
        <v>495</v>
      </c>
      <c r="H2975" s="2" t="s">
        <v>496</v>
      </c>
      <c r="I2975" s="26">
        <v>45361</v>
      </c>
      <c r="J2975" s="2">
        <v>26</v>
      </c>
      <c r="K2975" s="2" t="s">
        <v>177</v>
      </c>
      <c r="L2975" s="22">
        <v>700</v>
      </c>
      <c r="M2975" s="22">
        <v>18200</v>
      </c>
      <c r="N2975" s="18">
        <v>19.47</v>
      </c>
      <c r="O2975" s="26">
        <v>45661</v>
      </c>
      <c r="P2975" s="2" t="s">
        <v>2105</v>
      </c>
      <c r="Q2975" s="2" t="s">
        <v>836</v>
      </c>
    </row>
    <row r="2976" spans="2:17" x14ac:dyDescent="0.25">
      <c r="B2976" s="2" t="s">
        <v>3781</v>
      </c>
      <c r="C2976" s="2" t="s">
        <v>318</v>
      </c>
      <c r="D2976" s="2" t="s">
        <v>319</v>
      </c>
      <c r="E2976" s="2" t="s">
        <v>71</v>
      </c>
      <c r="F2976" s="2" t="s">
        <v>535</v>
      </c>
      <c r="G2976" s="2" t="s">
        <v>495</v>
      </c>
      <c r="H2976" s="2" t="s">
        <v>496</v>
      </c>
      <c r="I2976" s="26">
        <v>45390</v>
      </c>
      <c r="J2976" s="2">
        <v>82</v>
      </c>
      <c r="K2976" s="2" t="s">
        <v>177</v>
      </c>
      <c r="L2976" s="22">
        <v>700</v>
      </c>
      <c r="M2976" s="22">
        <v>57400</v>
      </c>
      <c r="N2976" s="18">
        <v>61.39</v>
      </c>
      <c r="O2976" s="26">
        <v>45690</v>
      </c>
      <c r="P2976" s="2" t="s">
        <v>2105</v>
      </c>
      <c r="Q2976" s="2" t="s">
        <v>836</v>
      </c>
    </row>
    <row r="2977" spans="2:17" x14ac:dyDescent="0.25">
      <c r="B2977" s="2" t="s">
        <v>3782</v>
      </c>
      <c r="C2977" s="2" t="s">
        <v>318</v>
      </c>
      <c r="D2977" s="2" t="s">
        <v>319</v>
      </c>
      <c r="E2977" s="2" t="s">
        <v>71</v>
      </c>
      <c r="F2977" s="2" t="s">
        <v>535</v>
      </c>
      <c r="G2977" s="2" t="s">
        <v>495</v>
      </c>
      <c r="H2977" s="2" t="s">
        <v>496</v>
      </c>
      <c r="I2977" s="26">
        <v>45425</v>
      </c>
      <c r="J2977" s="2">
        <v>82</v>
      </c>
      <c r="K2977" s="2" t="s">
        <v>177</v>
      </c>
      <c r="L2977" s="22">
        <v>700</v>
      </c>
      <c r="M2977" s="22">
        <v>57400</v>
      </c>
      <c r="N2977" s="18">
        <v>61.39</v>
      </c>
      <c r="O2977" s="26">
        <v>45725</v>
      </c>
      <c r="P2977" s="2" t="s">
        <v>2105</v>
      </c>
      <c r="Q2977" s="2" t="s">
        <v>836</v>
      </c>
    </row>
    <row r="2978" spans="2:17" x14ac:dyDescent="0.25">
      <c r="B2978" s="2" t="s">
        <v>3783</v>
      </c>
      <c r="C2978" s="2" t="s">
        <v>318</v>
      </c>
      <c r="D2978" s="2" t="s">
        <v>319</v>
      </c>
      <c r="E2978" s="2" t="s">
        <v>71</v>
      </c>
      <c r="F2978" s="2" t="s">
        <v>535</v>
      </c>
      <c r="G2978" s="2" t="s">
        <v>495</v>
      </c>
      <c r="H2978" s="2" t="s">
        <v>496</v>
      </c>
      <c r="I2978" s="26">
        <v>45466</v>
      </c>
      <c r="J2978" s="2">
        <v>72</v>
      </c>
      <c r="K2978" s="2" t="s">
        <v>177</v>
      </c>
      <c r="L2978" s="22">
        <v>700</v>
      </c>
      <c r="M2978" s="22">
        <v>50400</v>
      </c>
      <c r="N2978" s="18">
        <v>53.9</v>
      </c>
      <c r="O2978" s="26">
        <v>45766</v>
      </c>
      <c r="P2978" s="2" t="s">
        <v>2105</v>
      </c>
      <c r="Q2978" s="2" t="s">
        <v>806</v>
      </c>
    </row>
    <row r="2979" spans="2:17" x14ac:dyDescent="0.25">
      <c r="B2979" s="2" t="s">
        <v>3784</v>
      </c>
      <c r="C2979" s="2" t="s">
        <v>318</v>
      </c>
      <c r="D2979" s="2" t="s">
        <v>319</v>
      </c>
      <c r="E2979" s="2" t="s">
        <v>71</v>
      </c>
      <c r="F2979" s="2" t="s">
        <v>535</v>
      </c>
      <c r="G2979" s="2" t="s">
        <v>495</v>
      </c>
      <c r="H2979" s="2" t="s">
        <v>496</v>
      </c>
      <c r="I2979" s="26">
        <v>45499</v>
      </c>
      <c r="J2979" s="2">
        <v>89</v>
      </c>
      <c r="K2979" s="2" t="s">
        <v>177</v>
      </c>
      <c r="L2979" s="22">
        <v>700</v>
      </c>
      <c r="M2979" s="22">
        <v>62300</v>
      </c>
      <c r="N2979" s="18">
        <v>66.63</v>
      </c>
      <c r="O2979" s="26">
        <v>45799</v>
      </c>
      <c r="P2979" s="2" t="s">
        <v>2105</v>
      </c>
      <c r="Q2979" s="2" t="s">
        <v>806</v>
      </c>
    </row>
    <row r="2980" spans="2:17" x14ac:dyDescent="0.25">
      <c r="B2980" s="2" t="s">
        <v>3785</v>
      </c>
      <c r="C2980" s="2" t="s">
        <v>318</v>
      </c>
      <c r="D2980" s="2" t="s">
        <v>319</v>
      </c>
      <c r="E2980" s="2" t="s">
        <v>71</v>
      </c>
      <c r="F2980" s="2" t="s">
        <v>535</v>
      </c>
      <c r="G2980" s="2" t="s">
        <v>495</v>
      </c>
      <c r="H2980" s="2" t="s">
        <v>496</v>
      </c>
      <c r="I2980" s="26">
        <v>45524</v>
      </c>
      <c r="J2980" s="2">
        <v>71</v>
      </c>
      <c r="K2980" s="2" t="s">
        <v>177</v>
      </c>
      <c r="L2980" s="22">
        <v>700</v>
      </c>
      <c r="M2980" s="22">
        <v>49700</v>
      </c>
      <c r="N2980" s="18">
        <v>53.16</v>
      </c>
      <c r="O2980" s="26">
        <v>45824</v>
      </c>
      <c r="P2980" s="2" t="s">
        <v>2105</v>
      </c>
      <c r="Q2980" s="2" t="s">
        <v>806</v>
      </c>
    </row>
    <row r="2981" spans="2:17" x14ac:dyDescent="0.25">
      <c r="B2981" s="2" t="s">
        <v>3786</v>
      </c>
      <c r="C2981" s="2" t="s">
        <v>318</v>
      </c>
      <c r="D2981" s="2" t="s">
        <v>319</v>
      </c>
      <c r="E2981" s="2" t="s">
        <v>71</v>
      </c>
      <c r="F2981" s="2" t="s">
        <v>535</v>
      </c>
      <c r="G2981" s="2" t="s">
        <v>495</v>
      </c>
      <c r="H2981" s="2" t="s">
        <v>496</v>
      </c>
      <c r="I2981" s="26">
        <v>45556</v>
      </c>
      <c r="J2981" s="2">
        <v>98</v>
      </c>
      <c r="K2981" s="2" t="s">
        <v>177</v>
      </c>
      <c r="L2981" s="22">
        <v>700</v>
      </c>
      <c r="M2981" s="22">
        <v>68600</v>
      </c>
      <c r="N2981" s="18">
        <v>73.37</v>
      </c>
      <c r="O2981" s="26">
        <v>45856</v>
      </c>
      <c r="P2981" s="2" t="s">
        <v>2105</v>
      </c>
      <c r="Q2981" s="2" t="s">
        <v>814</v>
      </c>
    </row>
    <row r="2982" spans="2:17" x14ac:dyDescent="0.25">
      <c r="B2982" s="2" t="s">
        <v>3787</v>
      </c>
      <c r="C2982" s="2" t="s">
        <v>318</v>
      </c>
      <c r="D2982" s="2" t="s">
        <v>319</v>
      </c>
      <c r="E2982" s="2" t="s">
        <v>71</v>
      </c>
      <c r="F2982" s="2" t="s">
        <v>535</v>
      </c>
      <c r="G2982" s="2" t="s">
        <v>495</v>
      </c>
      <c r="H2982" s="2" t="s">
        <v>496</v>
      </c>
      <c r="I2982" s="26">
        <v>45592</v>
      </c>
      <c r="J2982" s="2">
        <v>31</v>
      </c>
      <c r="K2982" s="2" t="s">
        <v>177</v>
      </c>
      <c r="L2982" s="22">
        <v>700</v>
      </c>
      <c r="M2982" s="22">
        <v>21700</v>
      </c>
      <c r="N2982" s="18">
        <v>23.21</v>
      </c>
      <c r="O2982" s="26">
        <v>45892</v>
      </c>
      <c r="P2982" s="2" t="s">
        <v>2105</v>
      </c>
      <c r="Q2982" s="2" t="s">
        <v>814</v>
      </c>
    </row>
    <row r="2983" spans="2:17" x14ac:dyDescent="0.25">
      <c r="B2983" s="2" t="s">
        <v>3788</v>
      </c>
      <c r="C2983" s="2" t="s">
        <v>318</v>
      </c>
      <c r="D2983" s="2" t="s">
        <v>319</v>
      </c>
      <c r="E2983" s="2" t="s">
        <v>71</v>
      </c>
      <c r="F2983" s="2" t="s">
        <v>535</v>
      </c>
      <c r="G2983" s="2" t="s">
        <v>495</v>
      </c>
      <c r="H2983" s="2" t="s">
        <v>496</v>
      </c>
      <c r="I2983" s="26">
        <v>45628</v>
      </c>
      <c r="J2983" s="2">
        <v>36</v>
      </c>
      <c r="K2983" s="2" t="s">
        <v>177</v>
      </c>
      <c r="L2983" s="22">
        <v>700</v>
      </c>
      <c r="M2983" s="22">
        <v>25200</v>
      </c>
      <c r="N2983" s="18">
        <v>26.95</v>
      </c>
      <c r="O2983" s="26">
        <v>45928</v>
      </c>
      <c r="P2983" s="2" t="s">
        <v>2105</v>
      </c>
      <c r="Q2983" s="2" t="s">
        <v>825</v>
      </c>
    </row>
    <row r="2984" spans="2:17" x14ac:dyDescent="0.25">
      <c r="B2984" s="2" t="s">
        <v>3789</v>
      </c>
      <c r="C2984" s="2" t="s">
        <v>318</v>
      </c>
      <c r="D2984" s="2" t="s">
        <v>319</v>
      </c>
      <c r="E2984" s="2" t="s">
        <v>71</v>
      </c>
      <c r="F2984" s="2" t="s">
        <v>535</v>
      </c>
      <c r="G2984" s="2" t="s">
        <v>495</v>
      </c>
      <c r="H2984" s="2" t="s">
        <v>496</v>
      </c>
      <c r="I2984" s="26">
        <v>45666</v>
      </c>
      <c r="J2984" s="2">
        <v>33</v>
      </c>
      <c r="K2984" s="2" t="s">
        <v>177</v>
      </c>
      <c r="L2984" s="22">
        <v>700</v>
      </c>
      <c r="M2984" s="22">
        <v>23100</v>
      </c>
      <c r="N2984" s="18">
        <v>24.71</v>
      </c>
      <c r="O2984" s="26">
        <v>45966</v>
      </c>
      <c r="P2984" s="2" t="s">
        <v>2105</v>
      </c>
      <c r="Q2984" s="2" t="s">
        <v>825</v>
      </c>
    </row>
    <row r="2985" spans="2:17" x14ac:dyDescent="0.25">
      <c r="B2985" s="2" t="s">
        <v>3790</v>
      </c>
      <c r="C2985" s="2" t="s">
        <v>318</v>
      </c>
      <c r="D2985" s="2" t="s">
        <v>319</v>
      </c>
      <c r="E2985" s="2" t="s">
        <v>71</v>
      </c>
      <c r="F2985" s="2" t="s">
        <v>535</v>
      </c>
      <c r="G2985" s="2" t="s">
        <v>495</v>
      </c>
      <c r="H2985" s="2" t="s">
        <v>496</v>
      </c>
      <c r="I2985" s="26">
        <v>45699</v>
      </c>
      <c r="J2985" s="2">
        <v>29</v>
      </c>
      <c r="K2985" s="2" t="s">
        <v>177</v>
      </c>
      <c r="L2985" s="22">
        <v>700</v>
      </c>
      <c r="M2985" s="22">
        <v>20300</v>
      </c>
      <c r="N2985" s="18">
        <v>21.71</v>
      </c>
      <c r="O2985" s="26">
        <v>45999</v>
      </c>
      <c r="P2985" s="2" t="s">
        <v>2105</v>
      </c>
      <c r="Q2985" s="2" t="s">
        <v>825</v>
      </c>
    </row>
    <row r="2986" spans="2:17" x14ac:dyDescent="0.25">
      <c r="B2986" s="2" t="s">
        <v>3791</v>
      </c>
      <c r="C2986" s="2" t="s">
        <v>318</v>
      </c>
      <c r="D2986" s="2" t="s">
        <v>319</v>
      </c>
      <c r="E2986" s="2" t="s">
        <v>71</v>
      </c>
      <c r="F2986" s="2" t="s">
        <v>535</v>
      </c>
      <c r="G2986" s="2" t="s">
        <v>495</v>
      </c>
      <c r="H2986" s="2" t="s">
        <v>496</v>
      </c>
      <c r="I2986" s="26">
        <v>45737</v>
      </c>
      <c r="J2986" s="2">
        <v>30</v>
      </c>
      <c r="K2986" s="2" t="s">
        <v>177</v>
      </c>
      <c r="L2986" s="22">
        <v>700</v>
      </c>
      <c r="M2986" s="22">
        <v>21000</v>
      </c>
      <c r="N2986" s="18">
        <v>22.46</v>
      </c>
      <c r="O2986" s="26">
        <v>46037</v>
      </c>
      <c r="P2986" s="2" t="s">
        <v>2105</v>
      </c>
      <c r="Q2986" s="2" t="s">
        <v>836</v>
      </c>
    </row>
    <row r="2987" spans="2:17" x14ac:dyDescent="0.25">
      <c r="B2987" s="2" t="s">
        <v>3792</v>
      </c>
      <c r="C2987" s="2" t="s">
        <v>318</v>
      </c>
      <c r="D2987" s="2" t="s">
        <v>319</v>
      </c>
      <c r="E2987" s="2" t="s">
        <v>71</v>
      </c>
      <c r="F2987" s="2" t="s">
        <v>535</v>
      </c>
      <c r="G2987" s="2" t="s">
        <v>495</v>
      </c>
      <c r="H2987" s="2" t="s">
        <v>496</v>
      </c>
      <c r="I2987" s="26">
        <v>45764</v>
      </c>
      <c r="J2987" s="2">
        <v>75</v>
      </c>
      <c r="K2987" s="2" t="s">
        <v>177</v>
      </c>
      <c r="L2987" s="22">
        <v>700</v>
      </c>
      <c r="M2987" s="22">
        <v>52500</v>
      </c>
      <c r="N2987" s="18">
        <v>56.15</v>
      </c>
      <c r="O2987" s="26">
        <v>46064</v>
      </c>
      <c r="P2987" s="2" t="s">
        <v>2105</v>
      </c>
      <c r="Q2987" s="2" t="s">
        <v>836</v>
      </c>
    </row>
    <row r="2988" spans="2:17" x14ac:dyDescent="0.25">
      <c r="B2988" s="2" t="s">
        <v>3793</v>
      </c>
      <c r="C2988" s="2" t="s">
        <v>318</v>
      </c>
      <c r="D2988" s="2" t="s">
        <v>319</v>
      </c>
      <c r="E2988" s="2" t="s">
        <v>71</v>
      </c>
      <c r="F2988" s="2" t="s">
        <v>535</v>
      </c>
      <c r="G2988" s="2" t="s">
        <v>495</v>
      </c>
      <c r="H2988" s="2" t="s">
        <v>496</v>
      </c>
      <c r="I2988" s="26">
        <v>45809</v>
      </c>
      <c r="J2988" s="2">
        <v>78</v>
      </c>
      <c r="K2988" s="2" t="s">
        <v>177</v>
      </c>
      <c r="L2988" s="22">
        <v>700</v>
      </c>
      <c r="M2988" s="22">
        <v>54600</v>
      </c>
      <c r="N2988" s="18">
        <v>58.4</v>
      </c>
      <c r="O2988" s="26">
        <v>46109</v>
      </c>
      <c r="P2988" s="2" t="s">
        <v>2105</v>
      </c>
      <c r="Q2988" s="2" t="s">
        <v>806</v>
      </c>
    </row>
    <row r="2989" spans="2:17" x14ac:dyDescent="0.25">
      <c r="B2989" s="2" t="s">
        <v>3794</v>
      </c>
      <c r="C2989" s="2" t="s">
        <v>320</v>
      </c>
      <c r="D2989" s="2" t="s">
        <v>321</v>
      </c>
      <c r="E2989" s="2" t="s">
        <v>71</v>
      </c>
      <c r="F2989" s="2" t="s">
        <v>535</v>
      </c>
      <c r="G2989" s="2" t="s">
        <v>495</v>
      </c>
      <c r="H2989" s="2" t="s">
        <v>496</v>
      </c>
      <c r="I2989" s="26">
        <v>45125</v>
      </c>
      <c r="J2989" s="2">
        <v>53</v>
      </c>
      <c r="K2989" s="2" t="s">
        <v>177</v>
      </c>
      <c r="L2989" s="22">
        <v>650</v>
      </c>
      <c r="M2989" s="22">
        <v>34450</v>
      </c>
      <c r="N2989" s="18">
        <v>36.840000000000003</v>
      </c>
      <c r="O2989" s="26">
        <v>45425</v>
      </c>
      <c r="P2989" s="2" t="s">
        <v>2105</v>
      </c>
      <c r="Q2989" s="2" t="s">
        <v>806</v>
      </c>
    </row>
    <row r="2990" spans="2:17" x14ac:dyDescent="0.25">
      <c r="B2990" s="2" t="s">
        <v>3795</v>
      </c>
      <c r="C2990" s="2" t="s">
        <v>320</v>
      </c>
      <c r="D2990" s="2" t="s">
        <v>321</v>
      </c>
      <c r="E2990" s="2" t="s">
        <v>71</v>
      </c>
      <c r="F2990" s="2" t="s">
        <v>535</v>
      </c>
      <c r="G2990" s="2" t="s">
        <v>495</v>
      </c>
      <c r="H2990" s="2" t="s">
        <v>496</v>
      </c>
      <c r="I2990" s="26">
        <v>45166</v>
      </c>
      <c r="J2990" s="2">
        <v>56</v>
      </c>
      <c r="K2990" s="2" t="s">
        <v>177</v>
      </c>
      <c r="L2990" s="22">
        <v>650</v>
      </c>
      <c r="M2990" s="22">
        <v>36400</v>
      </c>
      <c r="N2990" s="18">
        <v>38.93</v>
      </c>
      <c r="O2990" s="26">
        <v>45466</v>
      </c>
      <c r="P2990" s="2" t="s">
        <v>2105</v>
      </c>
      <c r="Q2990" s="2" t="s">
        <v>806</v>
      </c>
    </row>
    <row r="2991" spans="2:17" x14ac:dyDescent="0.25">
      <c r="B2991" s="2" t="s">
        <v>3796</v>
      </c>
      <c r="C2991" s="2" t="s">
        <v>320</v>
      </c>
      <c r="D2991" s="2" t="s">
        <v>321</v>
      </c>
      <c r="E2991" s="2" t="s">
        <v>71</v>
      </c>
      <c r="F2991" s="2" t="s">
        <v>535</v>
      </c>
      <c r="G2991" s="2" t="s">
        <v>495</v>
      </c>
      <c r="H2991" s="2" t="s">
        <v>496</v>
      </c>
      <c r="I2991" s="26">
        <v>45206</v>
      </c>
      <c r="J2991" s="2">
        <v>45</v>
      </c>
      <c r="K2991" s="2" t="s">
        <v>177</v>
      </c>
      <c r="L2991" s="22">
        <v>650</v>
      </c>
      <c r="M2991" s="22">
        <v>29250</v>
      </c>
      <c r="N2991" s="18">
        <v>31.28</v>
      </c>
      <c r="O2991" s="26">
        <v>45506</v>
      </c>
      <c r="P2991" s="2" t="s">
        <v>2105</v>
      </c>
      <c r="Q2991" s="2" t="s">
        <v>814</v>
      </c>
    </row>
    <row r="2992" spans="2:17" x14ac:dyDescent="0.25">
      <c r="B2992" s="2" t="s">
        <v>3797</v>
      </c>
      <c r="C2992" s="2" t="s">
        <v>320</v>
      </c>
      <c r="D2992" s="2" t="s">
        <v>321</v>
      </c>
      <c r="E2992" s="2" t="s">
        <v>71</v>
      </c>
      <c r="F2992" s="2" t="s">
        <v>535</v>
      </c>
      <c r="G2992" s="2" t="s">
        <v>495</v>
      </c>
      <c r="H2992" s="2" t="s">
        <v>496</v>
      </c>
      <c r="I2992" s="26">
        <v>45239</v>
      </c>
      <c r="J2992" s="2">
        <v>55</v>
      </c>
      <c r="K2992" s="2" t="s">
        <v>177</v>
      </c>
      <c r="L2992" s="22">
        <v>650</v>
      </c>
      <c r="M2992" s="22">
        <v>35750</v>
      </c>
      <c r="N2992" s="18">
        <v>38.24</v>
      </c>
      <c r="O2992" s="26">
        <v>45539</v>
      </c>
      <c r="P2992" s="2" t="s">
        <v>2105</v>
      </c>
      <c r="Q2992" s="2" t="s">
        <v>814</v>
      </c>
    </row>
    <row r="2993" spans="2:17" x14ac:dyDescent="0.25">
      <c r="B2993" s="2" t="s">
        <v>3798</v>
      </c>
      <c r="C2993" s="2" t="s">
        <v>320</v>
      </c>
      <c r="D2993" s="2" t="s">
        <v>321</v>
      </c>
      <c r="E2993" s="2" t="s">
        <v>71</v>
      </c>
      <c r="F2993" s="2" t="s">
        <v>535</v>
      </c>
      <c r="G2993" s="2" t="s">
        <v>495</v>
      </c>
      <c r="H2993" s="2" t="s">
        <v>496</v>
      </c>
      <c r="I2993" s="26">
        <v>45269</v>
      </c>
      <c r="J2993" s="2">
        <v>59</v>
      </c>
      <c r="K2993" s="2" t="s">
        <v>177</v>
      </c>
      <c r="L2993" s="22">
        <v>650</v>
      </c>
      <c r="M2993" s="22">
        <v>38350</v>
      </c>
      <c r="N2993" s="18">
        <v>41.02</v>
      </c>
      <c r="O2993" s="26">
        <v>45569</v>
      </c>
      <c r="P2993" s="2" t="s">
        <v>2105</v>
      </c>
      <c r="Q2993" s="2" t="s">
        <v>825</v>
      </c>
    </row>
    <row r="2994" spans="2:17" x14ac:dyDescent="0.25">
      <c r="B2994" s="2" t="s">
        <v>3799</v>
      </c>
      <c r="C2994" s="2" t="s">
        <v>320</v>
      </c>
      <c r="D2994" s="2" t="s">
        <v>321</v>
      </c>
      <c r="E2994" s="2" t="s">
        <v>71</v>
      </c>
      <c r="F2994" s="2" t="s">
        <v>535</v>
      </c>
      <c r="G2994" s="2" t="s">
        <v>495</v>
      </c>
      <c r="H2994" s="2" t="s">
        <v>496</v>
      </c>
      <c r="I2994" s="26">
        <v>45312</v>
      </c>
      <c r="J2994" s="2">
        <v>51</v>
      </c>
      <c r="K2994" s="2" t="s">
        <v>177</v>
      </c>
      <c r="L2994" s="22">
        <v>650</v>
      </c>
      <c r="M2994" s="22">
        <v>33150</v>
      </c>
      <c r="N2994" s="18">
        <v>35.450000000000003</v>
      </c>
      <c r="O2994" s="26">
        <v>45612</v>
      </c>
      <c r="P2994" s="2" t="s">
        <v>2105</v>
      </c>
      <c r="Q2994" s="2" t="s">
        <v>825</v>
      </c>
    </row>
    <row r="2995" spans="2:17" x14ac:dyDescent="0.25">
      <c r="B2995" s="2" t="s">
        <v>3800</v>
      </c>
      <c r="C2995" s="2" t="s">
        <v>320</v>
      </c>
      <c r="D2995" s="2" t="s">
        <v>321</v>
      </c>
      <c r="E2995" s="2" t="s">
        <v>71</v>
      </c>
      <c r="F2995" s="2" t="s">
        <v>535</v>
      </c>
      <c r="G2995" s="2" t="s">
        <v>495</v>
      </c>
      <c r="H2995" s="2" t="s">
        <v>496</v>
      </c>
      <c r="I2995" s="26">
        <v>45350</v>
      </c>
      <c r="J2995" s="2">
        <v>54</v>
      </c>
      <c r="K2995" s="2" t="s">
        <v>177</v>
      </c>
      <c r="L2995" s="22">
        <v>650</v>
      </c>
      <c r="M2995" s="22">
        <v>35100</v>
      </c>
      <c r="N2995" s="18">
        <v>37.54</v>
      </c>
      <c r="O2995" s="26">
        <v>45650</v>
      </c>
      <c r="P2995" s="2" t="s">
        <v>2105</v>
      </c>
      <c r="Q2995" s="2" t="s">
        <v>825</v>
      </c>
    </row>
    <row r="2996" spans="2:17" x14ac:dyDescent="0.25">
      <c r="B2996" s="2" t="s">
        <v>3801</v>
      </c>
      <c r="C2996" s="2" t="s">
        <v>320</v>
      </c>
      <c r="D2996" s="2" t="s">
        <v>321</v>
      </c>
      <c r="E2996" s="2" t="s">
        <v>71</v>
      </c>
      <c r="F2996" s="2" t="s">
        <v>537</v>
      </c>
      <c r="G2996" s="2" t="s">
        <v>500</v>
      </c>
      <c r="H2996" s="2" t="s">
        <v>501</v>
      </c>
      <c r="I2996" s="26">
        <v>45381</v>
      </c>
      <c r="J2996" s="2">
        <v>56</v>
      </c>
      <c r="K2996" s="2" t="s">
        <v>177</v>
      </c>
      <c r="L2996" s="22">
        <v>700</v>
      </c>
      <c r="M2996" s="22">
        <v>39200</v>
      </c>
      <c r="N2996" s="18">
        <v>41.93</v>
      </c>
      <c r="O2996" s="26">
        <v>45681</v>
      </c>
      <c r="P2996" s="2" t="s">
        <v>2105</v>
      </c>
      <c r="Q2996" s="2" t="s">
        <v>836</v>
      </c>
    </row>
    <row r="2997" spans="2:17" x14ac:dyDescent="0.25">
      <c r="B2997" s="2" t="s">
        <v>3802</v>
      </c>
      <c r="C2997" s="2" t="s">
        <v>320</v>
      </c>
      <c r="D2997" s="2" t="s">
        <v>321</v>
      </c>
      <c r="E2997" s="2" t="s">
        <v>71</v>
      </c>
      <c r="F2997" s="2" t="s">
        <v>535</v>
      </c>
      <c r="G2997" s="2" t="s">
        <v>495</v>
      </c>
      <c r="H2997" s="2" t="s">
        <v>496</v>
      </c>
      <c r="I2997" s="26">
        <v>45413</v>
      </c>
      <c r="J2997" s="2">
        <v>55</v>
      </c>
      <c r="K2997" s="2" t="s">
        <v>177</v>
      </c>
      <c r="L2997" s="22">
        <v>650</v>
      </c>
      <c r="M2997" s="22">
        <v>35750</v>
      </c>
      <c r="N2997" s="18">
        <v>38.24</v>
      </c>
      <c r="O2997" s="26">
        <v>45713</v>
      </c>
      <c r="P2997" s="2" t="s">
        <v>2105</v>
      </c>
      <c r="Q2997" s="2" t="s">
        <v>836</v>
      </c>
    </row>
    <row r="2998" spans="2:17" x14ac:dyDescent="0.25">
      <c r="B2998" s="2" t="s">
        <v>3803</v>
      </c>
      <c r="C2998" s="2" t="s">
        <v>320</v>
      </c>
      <c r="D2998" s="2" t="s">
        <v>321</v>
      </c>
      <c r="E2998" s="2" t="s">
        <v>71</v>
      </c>
      <c r="F2998" s="2" t="s">
        <v>537</v>
      </c>
      <c r="G2998" s="2" t="s">
        <v>500</v>
      </c>
      <c r="H2998" s="2" t="s">
        <v>501</v>
      </c>
      <c r="I2998" s="26">
        <v>45436</v>
      </c>
      <c r="J2998" s="2">
        <v>49</v>
      </c>
      <c r="K2998" s="2" t="s">
        <v>177</v>
      </c>
      <c r="L2998" s="22">
        <v>700</v>
      </c>
      <c r="M2998" s="22">
        <v>34300</v>
      </c>
      <c r="N2998" s="18">
        <v>36.68</v>
      </c>
      <c r="O2998" s="26">
        <v>45736</v>
      </c>
      <c r="P2998" s="2" t="s">
        <v>2105</v>
      </c>
      <c r="Q2998" s="2" t="s">
        <v>836</v>
      </c>
    </row>
    <row r="2999" spans="2:17" x14ac:dyDescent="0.25">
      <c r="B2999" s="2" t="s">
        <v>3804</v>
      </c>
      <c r="C2999" s="2" t="s">
        <v>320</v>
      </c>
      <c r="D2999" s="2" t="s">
        <v>321</v>
      </c>
      <c r="E2999" s="2" t="s">
        <v>71</v>
      </c>
      <c r="F2999" s="2" t="s">
        <v>535</v>
      </c>
      <c r="G2999" s="2" t="s">
        <v>495</v>
      </c>
      <c r="H2999" s="2" t="s">
        <v>496</v>
      </c>
      <c r="I2999" s="26">
        <v>45476</v>
      </c>
      <c r="J2999" s="2">
        <v>52</v>
      </c>
      <c r="K2999" s="2" t="s">
        <v>177</v>
      </c>
      <c r="L2999" s="22">
        <v>650</v>
      </c>
      <c r="M2999" s="22">
        <v>33800</v>
      </c>
      <c r="N2999" s="18">
        <v>36.15</v>
      </c>
      <c r="O2999" s="26">
        <v>45776</v>
      </c>
      <c r="P2999" s="2" t="s">
        <v>2105</v>
      </c>
      <c r="Q2999" s="2" t="s">
        <v>806</v>
      </c>
    </row>
    <row r="3000" spans="2:17" x14ac:dyDescent="0.25">
      <c r="B3000" s="2" t="s">
        <v>3805</v>
      </c>
      <c r="C3000" s="2" t="s">
        <v>320</v>
      </c>
      <c r="D3000" s="2" t="s">
        <v>321</v>
      </c>
      <c r="E3000" s="2" t="s">
        <v>71</v>
      </c>
      <c r="F3000" s="2" t="s">
        <v>537</v>
      </c>
      <c r="G3000" s="2" t="s">
        <v>500</v>
      </c>
      <c r="H3000" s="2" t="s">
        <v>501</v>
      </c>
      <c r="I3000" s="26">
        <v>45516</v>
      </c>
      <c r="J3000" s="2">
        <v>49</v>
      </c>
      <c r="K3000" s="2" t="s">
        <v>177</v>
      </c>
      <c r="L3000" s="22">
        <v>700</v>
      </c>
      <c r="M3000" s="22">
        <v>34300</v>
      </c>
      <c r="N3000" s="18">
        <v>36.68</v>
      </c>
      <c r="O3000" s="26">
        <v>45816</v>
      </c>
      <c r="P3000" s="2" t="s">
        <v>2105</v>
      </c>
      <c r="Q3000" s="2" t="s">
        <v>806</v>
      </c>
    </row>
    <row r="3001" spans="2:17" x14ac:dyDescent="0.25">
      <c r="B3001" s="2" t="s">
        <v>3806</v>
      </c>
      <c r="C3001" s="2" t="s">
        <v>320</v>
      </c>
      <c r="D3001" s="2" t="s">
        <v>321</v>
      </c>
      <c r="E3001" s="2" t="s">
        <v>71</v>
      </c>
      <c r="F3001" s="2" t="s">
        <v>535</v>
      </c>
      <c r="G3001" s="2" t="s">
        <v>495</v>
      </c>
      <c r="H3001" s="2" t="s">
        <v>496</v>
      </c>
      <c r="I3001" s="26">
        <v>45544</v>
      </c>
      <c r="J3001" s="2">
        <v>59</v>
      </c>
      <c r="K3001" s="2" t="s">
        <v>177</v>
      </c>
      <c r="L3001" s="22">
        <v>650</v>
      </c>
      <c r="M3001" s="22">
        <v>38350</v>
      </c>
      <c r="N3001" s="18">
        <v>41.02</v>
      </c>
      <c r="O3001" s="26">
        <v>45844</v>
      </c>
      <c r="P3001" s="2" t="s">
        <v>2105</v>
      </c>
      <c r="Q3001" s="2" t="s">
        <v>814</v>
      </c>
    </row>
    <row r="3002" spans="2:17" x14ac:dyDescent="0.25">
      <c r="B3002" s="2" t="s">
        <v>3807</v>
      </c>
      <c r="C3002" s="2" t="s">
        <v>320</v>
      </c>
      <c r="D3002" s="2" t="s">
        <v>321</v>
      </c>
      <c r="E3002" s="2" t="s">
        <v>71</v>
      </c>
      <c r="F3002" s="2" t="s">
        <v>535</v>
      </c>
      <c r="G3002" s="2" t="s">
        <v>495</v>
      </c>
      <c r="H3002" s="2" t="s">
        <v>496</v>
      </c>
      <c r="I3002" s="26">
        <v>45580</v>
      </c>
      <c r="J3002" s="2">
        <v>48</v>
      </c>
      <c r="K3002" s="2" t="s">
        <v>177</v>
      </c>
      <c r="L3002" s="22">
        <v>650</v>
      </c>
      <c r="M3002" s="22">
        <v>31200</v>
      </c>
      <c r="N3002" s="18">
        <v>33.369999999999997</v>
      </c>
      <c r="O3002" s="26">
        <v>45880</v>
      </c>
      <c r="P3002" s="2" t="s">
        <v>2105</v>
      </c>
      <c r="Q3002" s="2" t="s">
        <v>814</v>
      </c>
    </row>
    <row r="3003" spans="2:17" x14ac:dyDescent="0.25">
      <c r="B3003" s="2" t="s">
        <v>3808</v>
      </c>
      <c r="C3003" s="2" t="s">
        <v>320</v>
      </c>
      <c r="D3003" s="2" t="s">
        <v>321</v>
      </c>
      <c r="E3003" s="2" t="s">
        <v>71</v>
      </c>
      <c r="F3003" s="2" t="s">
        <v>535</v>
      </c>
      <c r="G3003" s="2" t="s">
        <v>495</v>
      </c>
      <c r="H3003" s="2" t="s">
        <v>496</v>
      </c>
      <c r="I3003" s="26">
        <v>45618</v>
      </c>
      <c r="J3003" s="2">
        <v>51</v>
      </c>
      <c r="K3003" s="2" t="s">
        <v>177</v>
      </c>
      <c r="L3003" s="22">
        <v>650</v>
      </c>
      <c r="M3003" s="22">
        <v>33150</v>
      </c>
      <c r="N3003" s="18">
        <v>35.450000000000003</v>
      </c>
      <c r="O3003" s="26">
        <v>45918</v>
      </c>
      <c r="P3003" s="2" t="s">
        <v>2105</v>
      </c>
      <c r="Q3003" s="2" t="s">
        <v>814</v>
      </c>
    </row>
    <row r="3004" spans="2:17" x14ac:dyDescent="0.25">
      <c r="B3004" s="2" t="s">
        <v>3809</v>
      </c>
      <c r="C3004" s="2" t="s">
        <v>320</v>
      </c>
      <c r="D3004" s="2" t="s">
        <v>321</v>
      </c>
      <c r="E3004" s="2" t="s">
        <v>71</v>
      </c>
      <c r="F3004" s="2" t="s">
        <v>535</v>
      </c>
      <c r="G3004" s="2" t="s">
        <v>495</v>
      </c>
      <c r="H3004" s="2" t="s">
        <v>496</v>
      </c>
      <c r="I3004" s="26">
        <v>45650</v>
      </c>
      <c r="J3004" s="2">
        <v>57</v>
      </c>
      <c r="K3004" s="2" t="s">
        <v>177</v>
      </c>
      <c r="L3004" s="22">
        <v>650</v>
      </c>
      <c r="M3004" s="22">
        <v>37050</v>
      </c>
      <c r="N3004" s="18">
        <v>39.630000000000003</v>
      </c>
      <c r="O3004" s="26">
        <v>45950</v>
      </c>
      <c r="P3004" s="2" t="s">
        <v>2105</v>
      </c>
      <c r="Q3004" s="2" t="s">
        <v>825</v>
      </c>
    </row>
    <row r="3005" spans="2:17" x14ac:dyDescent="0.25">
      <c r="B3005" s="2" t="s">
        <v>3810</v>
      </c>
      <c r="C3005" s="2" t="s">
        <v>320</v>
      </c>
      <c r="D3005" s="2" t="s">
        <v>321</v>
      </c>
      <c r="E3005" s="2" t="s">
        <v>71</v>
      </c>
      <c r="F3005" s="2" t="s">
        <v>535</v>
      </c>
      <c r="G3005" s="2" t="s">
        <v>495</v>
      </c>
      <c r="H3005" s="2" t="s">
        <v>496</v>
      </c>
      <c r="I3005" s="26">
        <v>45683</v>
      </c>
      <c r="J3005" s="2">
        <v>48</v>
      </c>
      <c r="K3005" s="2" t="s">
        <v>177</v>
      </c>
      <c r="L3005" s="22">
        <v>650</v>
      </c>
      <c r="M3005" s="22">
        <v>31200</v>
      </c>
      <c r="N3005" s="18">
        <v>33.369999999999997</v>
      </c>
      <c r="O3005" s="26">
        <v>45983</v>
      </c>
      <c r="P3005" s="2" t="s">
        <v>2105</v>
      </c>
      <c r="Q3005" s="2" t="s">
        <v>825</v>
      </c>
    </row>
    <row r="3006" spans="2:17" x14ac:dyDescent="0.25">
      <c r="B3006" s="2" t="s">
        <v>3811</v>
      </c>
      <c r="C3006" s="2" t="s">
        <v>320</v>
      </c>
      <c r="D3006" s="2" t="s">
        <v>321</v>
      </c>
      <c r="E3006" s="2" t="s">
        <v>71</v>
      </c>
      <c r="F3006" s="2" t="s">
        <v>535</v>
      </c>
      <c r="G3006" s="2" t="s">
        <v>495</v>
      </c>
      <c r="H3006" s="2" t="s">
        <v>496</v>
      </c>
      <c r="I3006" s="26">
        <v>45729</v>
      </c>
      <c r="J3006" s="2">
        <v>47</v>
      </c>
      <c r="K3006" s="2" t="s">
        <v>177</v>
      </c>
      <c r="L3006" s="22">
        <v>650</v>
      </c>
      <c r="M3006" s="22">
        <v>30550</v>
      </c>
      <c r="N3006" s="18">
        <v>32.67</v>
      </c>
      <c r="O3006" s="26">
        <v>46029</v>
      </c>
      <c r="P3006" s="2" t="s">
        <v>2105</v>
      </c>
      <c r="Q3006" s="2" t="s">
        <v>836</v>
      </c>
    </row>
    <row r="3007" spans="2:17" x14ac:dyDescent="0.25">
      <c r="B3007" s="2" t="s">
        <v>3812</v>
      </c>
      <c r="C3007" s="2" t="s">
        <v>320</v>
      </c>
      <c r="D3007" s="2" t="s">
        <v>321</v>
      </c>
      <c r="E3007" s="2" t="s">
        <v>71</v>
      </c>
      <c r="F3007" s="2" t="s">
        <v>537</v>
      </c>
      <c r="G3007" s="2" t="s">
        <v>500</v>
      </c>
      <c r="H3007" s="2" t="s">
        <v>501</v>
      </c>
      <c r="I3007" s="26">
        <v>45764</v>
      </c>
      <c r="J3007" s="2">
        <v>54</v>
      </c>
      <c r="K3007" s="2" t="s">
        <v>177</v>
      </c>
      <c r="L3007" s="22">
        <v>700</v>
      </c>
      <c r="M3007" s="22">
        <v>37800</v>
      </c>
      <c r="N3007" s="18">
        <v>40.43</v>
      </c>
      <c r="O3007" s="26">
        <v>46064</v>
      </c>
      <c r="P3007" s="2" t="s">
        <v>2105</v>
      </c>
      <c r="Q3007" s="2" t="s">
        <v>836</v>
      </c>
    </row>
    <row r="3008" spans="2:17" x14ac:dyDescent="0.25">
      <c r="B3008" s="2" t="s">
        <v>3813</v>
      </c>
      <c r="C3008" s="2" t="s">
        <v>320</v>
      </c>
      <c r="D3008" s="2" t="s">
        <v>321</v>
      </c>
      <c r="E3008" s="2" t="s">
        <v>71</v>
      </c>
      <c r="F3008" s="2" t="s">
        <v>535</v>
      </c>
      <c r="G3008" s="2" t="s">
        <v>495</v>
      </c>
      <c r="H3008" s="2" t="s">
        <v>496</v>
      </c>
      <c r="I3008" s="26">
        <v>45797</v>
      </c>
      <c r="J3008" s="2">
        <v>48</v>
      </c>
      <c r="K3008" s="2" t="s">
        <v>177</v>
      </c>
      <c r="L3008" s="22">
        <v>650</v>
      </c>
      <c r="M3008" s="22">
        <v>31200</v>
      </c>
      <c r="N3008" s="18">
        <v>33.369999999999997</v>
      </c>
      <c r="O3008" s="26">
        <v>46097</v>
      </c>
      <c r="P3008" s="2" t="s">
        <v>2105</v>
      </c>
      <c r="Q3008" s="2" t="s">
        <v>836</v>
      </c>
    </row>
    <row r="3009" spans="2:17" x14ac:dyDescent="0.25">
      <c r="B3009" s="2" t="s">
        <v>3814</v>
      </c>
      <c r="C3009" s="2" t="s">
        <v>320</v>
      </c>
      <c r="D3009" s="2" t="s">
        <v>321</v>
      </c>
      <c r="E3009" s="2" t="s">
        <v>71</v>
      </c>
      <c r="F3009" s="2" t="s">
        <v>535</v>
      </c>
      <c r="G3009" s="2" t="s">
        <v>495</v>
      </c>
      <c r="H3009" s="2" t="s">
        <v>496</v>
      </c>
      <c r="I3009" s="26">
        <v>45830</v>
      </c>
      <c r="J3009" s="2">
        <v>61</v>
      </c>
      <c r="K3009" s="2" t="s">
        <v>177</v>
      </c>
      <c r="L3009" s="22">
        <v>650</v>
      </c>
      <c r="M3009" s="22">
        <v>39650</v>
      </c>
      <c r="N3009" s="18">
        <v>42.41</v>
      </c>
      <c r="O3009" s="26">
        <v>46130</v>
      </c>
      <c r="P3009" s="2" t="s">
        <v>2105</v>
      </c>
      <c r="Q3009" s="2" t="s">
        <v>806</v>
      </c>
    </row>
    <row r="3010" spans="2:17" x14ac:dyDescent="0.25">
      <c r="B3010" s="2" t="s">
        <v>3815</v>
      </c>
      <c r="C3010" s="2" t="s">
        <v>322</v>
      </c>
      <c r="D3010" s="2" t="s">
        <v>323</v>
      </c>
      <c r="E3010" s="2" t="s">
        <v>71</v>
      </c>
      <c r="F3010" s="2" t="s">
        <v>535</v>
      </c>
      <c r="G3010" s="2" t="s">
        <v>495</v>
      </c>
      <c r="H3010" s="2" t="s">
        <v>496</v>
      </c>
      <c r="I3010" s="26">
        <v>45122</v>
      </c>
      <c r="J3010" s="2">
        <v>54</v>
      </c>
      <c r="K3010" s="2" t="s">
        <v>192</v>
      </c>
      <c r="L3010" s="22">
        <v>350</v>
      </c>
      <c r="M3010" s="22">
        <v>18900</v>
      </c>
      <c r="N3010" s="18">
        <v>20.21</v>
      </c>
      <c r="O3010" s="26">
        <v>45422</v>
      </c>
      <c r="P3010" s="2" t="s">
        <v>2105</v>
      </c>
      <c r="Q3010" s="2" t="s">
        <v>806</v>
      </c>
    </row>
    <row r="3011" spans="2:17" x14ac:dyDescent="0.25">
      <c r="B3011" s="2" t="s">
        <v>3816</v>
      </c>
      <c r="C3011" s="2" t="s">
        <v>322</v>
      </c>
      <c r="D3011" s="2" t="s">
        <v>323</v>
      </c>
      <c r="E3011" s="2" t="s">
        <v>71</v>
      </c>
      <c r="F3011" s="2" t="s">
        <v>535</v>
      </c>
      <c r="G3011" s="2" t="s">
        <v>495</v>
      </c>
      <c r="H3011" s="2" t="s">
        <v>496</v>
      </c>
      <c r="I3011" s="26">
        <v>45162</v>
      </c>
      <c r="J3011" s="2">
        <v>53</v>
      </c>
      <c r="K3011" s="2" t="s">
        <v>192</v>
      </c>
      <c r="L3011" s="22">
        <v>350</v>
      </c>
      <c r="M3011" s="22">
        <v>18550</v>
      </c>
      <c r="N3011" s="18">
        <v>19.84</v>
      </c>
      <c r="O3011" s="26">
        <v>45462</v>
      </c>
      <c r="P3011" s="2" t="s">
        <v>2105</v>
      </c>
      <c r="Q3011" s="2" t="s">
        <v>806</v>
      </c>
    </row>
    <row r="3012" spans="2:17" x14ac:dyDescent="0.25">
      <c r="B3012" s="2" t="s">
        <v>3817</v>
      </c>
      <c r="C3012" s="2" t="s">
        <v>322</v>
      </c>
      <c r="D3012" s="2" t="s">
        <v>323</v>
      </c>
      <c r="E3012" s="2" t="s">
        <v>71</v>
      </c>
      <c r="F3012" s="2" t="s">
        <v>535</v>
      </c>
      <c r="G3012" s="2" t="s">
        <v>495</v>
      </c>
      <c r="H3012" s="2" t="s">
        <v>496</v>
      </c>
      <c r="I3012" s="26">
        <v>45202</v>
      </c>
      <c r="J3012" s="2">
        <v>56</v>
      </c>
      <c r="K3012" s="2" t="s">
        <v>192</v>
      </c>
      <c r="L3012" s="22">
        <v>350</v>
      </c>
      <c r="M3012" s="22">
        <v>19600</v>
      </c>
      <c r="N3012" s="18">
        <v>20.96</v>
      </c>
      <c r="O3012" s="26">
        <v>45502</v>
      </c>
      <c r="P3012" s="2" t="s">
        <v>2105</v>
      </c>
      <c r="Q3012" s="2" t="s">
        <v>814</v>
      </c>
    </row>
    <row r="3013" spans="2:17" x14ac:dyDescent="0.25">
      <c r="B3013" s="2" t="s">
        <v>3818</v>
      </c>
      <c r="C3013" s="2" t="s">
        <v>322</v>
      </c>
      <c r="D3013" s="2" t="s">
        <v>323</v>
      </c>
      <c r="E3013" s="2" t="s">
        <v>71</v>
      </c>
      <c r="F3013" s="2" t="s">
        <v>535</v>
      </c>
      <c r="G3013" s="2" t="s">
        <v>495</v>
      </c>
      <c r="H3013" s="2" t="s">
        <v>496</v>
      </c>
      <c r="I3013" s="26">
        <v>45233</v>
      </c>
      <c r="J3013" s="2">
        <v>49</v>
      </c>
      <c r="K3013" s="2" t="s">
        <v>192</v>
      </c>
      <c r="L3013" s="22">
        <v>350</v>
      </c>
      <c r="M3013" s="22">
        <v>17150</v>
      </c>
      <c r="N3013" s="18">
        <v>18.34</v>
      </c>
      <c r="O3013" s="26">
        <v>45533</v>
      </c>
      <c r="P3013" s="2" t="s">
        <v>2105</v>
      </c>
      <c r="Q3013" s="2" t="s">
        <v>814</v>
      </c>
    </row>
    <row r="3014" spans="2:17" x14ac:dyDescent="0.25">
      <c r="B3014" s="2" t="s">
        <v>3819</v>
      </c>
      <c r="C3014" s="2" t="s">
        <v>322</v>
      </c>
      <c r="D3014" s="2" t="s">
        <v>323</v>
      </c>
      <c r="E3014" s="2" t="s">
        <v>71</v>
      </c>
      <c r="F3014" s="2" t="s">
        <v>535</v>
      </c>
      <c r="G3014" s="2" t="s">
        <v>495</v>
      </c>
      <c r="H3014" s="2" t="s">
        <v>496</v>
      </c>
      <c r="I3014" s="26">
        <v>45265</v>
      </c>
      <c r="J3014" s="2">
        <v>61</v>
      </c>
      <c r="K3014" s="2" t="s">
        <v>192</v>
      </c>
      <c r="L3014" s="22">
        <v>350</v>
      </c>
      <c r="M3014" s="22">
        <v>21350</v>
      </c>
      <c r="N3014" s="18">
        <v>22.83</v>
      </c>
      <c r="O3014" s="26">
        <v>45565</v>
      </c>
      <c r="P3014" s="2" t="s">
        <v>2105</v>
      </c>
      <c r="Q3014" s="2" t="s">
        <v>825</v>
      </c>
    </row>
    <row r="3015" spans="2:17" x14ac:dyDescent="0.25">
      <c r="B3015" s="2" t="s">
        <v>3820</v>
      </c>
      <c r="C3015" s="2" t="s">
        <v>322</v>
      </c>
      <c r="D3015" s="2" t="s">
        <v>323</v>
      </c>
      <c r="E3015" s="2" t="s">
        <v>71</v>
      </c>
      <c r="F3015" s="2" t="s">
        <v>535</v>
      </c>
      <c r="G3015" s="2" t="s">
        <v>495</v>
      </c>
      <c r="H3015" s="2" t="s">
        <v>496</v>
      </c>
      <c r="I3015" s="26">
        <v>45293</v>
      </c>
      <c r="J3015" s="2">
        <v>45</v>
      </c>
      <c r="K3015" s="2" t="s">
        <v>192</v>
      </c>
      <c r="L3015" s="22">
        <v>350</v>
      </c>
      <c r="M3015" s="22">
        <v>15750</v>
      </c>
      <c r="N3015" s="18">
        <v>16.84</v>
      </c>
      <c r="O3015" s="26">
        <v>45593</v>
      </c>
      <c r="P3015" s="2" t="s">
        <v>2105</v>
      </c>
      <c r="Q3015" s="2" t="s">
        <v>825</v>
      </c>
    </row>
    <row r="3016" spans="2:17" x14ac:dyDescent="0.25">
      <c r="B3016" s="2" t="s">
        <v>3821</v>
      </c>
      <c r="C3016" s="2" t="s">
        <v>322</v>
      </c>
      <c r="D3016" s="2" t="s">
        <v>323</v>
      </c>
      <c r="E3016" s="2" t="s">
        <v>71</v>
      </c>
      <c r="F3016" s="2" t="s">
        <v>535</v>
      </c>
      <c r="G3016" s="2" t="s">
        <v>495</v>
      </c>
      <c r="H3016" s="2" t="s">
        <v>496</v>
      </c>
      <c r="I3016" s="26">
        <v>45317</v>
      </c>
      <c r="J3016" s="2">
        <v>48</v>
      </c>
      <c r="K3016" s="2" t="s">
        <v>192</v>
      </c>
      <c r="L3016" s="22">
        <v>350</v>
      </c>
      <c r="M3016" s="22">
        <v>16800</v>
      </c>
      <c r="N3016" s="18">
        <v>17.97</v>
      </c>
      <c r="O3016" s="26">
        <v>45617</v>
      </c>
      <c r="P3016" s="2" t="s">
        <v>2105</v>
      </c>
      <c r="Q3016" s="2" t="s">
        <v>825</v>
      </c>
    </row>
    <row r="3017" spans="2:17" x14ac:dyDescent="0.25">
      <c r="B3017" s="2" t="s">
        <v>3822</v>
      </c>
      <c r="C3017" s="2" t="s">
        <v>322</v>
      </c>
      <c r="D3017" s="2" t="s">
        <v>323</v>
      </c>
      <c r="E3017" s="2" t="s">
        <v>71</v>
      </c>
      <c r="F3017" s="2" t="s">
        <v>535</v>
      </c>
      <c r="G3017" s="2" t="s">
        <v>495</v>
      </c>
      <c r="H3017" s="2" t="s">
        <v>496</v>
      </c>
      <c r="I3017" s="26">
        <v>45356</v>
      </c>
      <c r="J3017" s="2">
        <v>52</v>
      </c>
      <c r="K3017" s="2" t="s">
        <v>192</v>
      </c>
      <c r="L3017" s="22">
        <v>350</v>
      </c>
      <c r="M3017" s="22">
        <v>18200</v>
      </c>
      <c r="N3017" s="18">
        <v>19.47</v>
      </c>
      <c r="O3017" s="26">
        <v>45656</v>
      </c>
      <c r="P3017" s="2" t="s">
        <v>2105</v>
      </c>
      <c r="Q3017" s="2" t="s">
        <v>836</v>
      </c>
    </row>
    <row r="3018" spans="2:17" x14ac:dyDescent="0.25">
      <c r="B3018" s="2" t="s">
        <v>3823</v>
      </c>
      <c r="C3018" s="2" t="s">
        <v>322</v>
      </c>
      <c r="D3018" s="2" t="s">
        <v>323</v>
      </c>
      <c r="E3018" s="2" t="s">
        <v>71</v>
      </c>
      <c r="F3018" s="2" t="s">
        <v>535</v>
      </c>
      <c r="G3018" s="2" t="s">
        <v>495</v>
      </c>
      <c r="H3018" s="2" t="s">
        <v>496</v>
      </c>
      <c r="I3018" s="26">
        <v>45390</v>
      </c>
      <c r="J3018" s="2">
        <v>45</v>
      </c>
      <c r="K3018" s="2" t="s">
        <v>192</v>
      </c>
      <c r="L3018" s="22">
        <v>350</v>
      </c>
      <c r="M3018" s="22">
        <v>15750</v>
      </c>
      <c r="N3018" s="18">
        <v>16.84</v>
      </c>
      <c r="O3018" s="26">
        <v>45690</v>
      </c>
      <c r="P3018" s="2" t="s">
        <v>2105</v>
      </c>
      <c r="Q3018" s="2" t="s">
        <v>836</v>
      </c>
    </row>
    <row r="3019" spans="2:17" x14ac:dyDescent="0.25">
      <c r="B3019" s="2" t="s">
        <v>3824</v>
      </c>
      <c r="C3019" s="2" t="s">
        <v>322</v>
      </c>
      <c r="D3019" s="2" t="s">
        <v>323</v>
      </c>
      <c r="E3019" s="2" t="s">
        <v>71</v>
      </c>
      <c r="F3019" s="2" t="s">
        <v>535</v>
      </c>
      <c r="G3019" s="2" t="s">
        <v>495</v>
      </c>
      <c r="H3019" s="2" t="s">
        <v>496</v>
      </c>
      <c r="I3019" s="26">
        <v>45423</v>
      </c>
      <c r="J3019" s="2">
        <v>49</v>
      </c>
      <c r="K3019" s="2" t="s">
        <v>192</v>
      </c>
      <c r="L3019" s="22">
        <v>350</v>
      </c>
      <c r="M3019" s="22">
        <v>17150</v>
      </c>
      <c r="N3019" s="18">
        <v>18.34</v>
      </c>
      <c r="O3019" s="26">
        <v>45723</v>
      </c>
      <c r="P3019" s="2" t="s">
        <v>2105</v>
      </c>
      <c r="Q3019" s="2" t="s">
        <v>836</v>
      </c>
    </row>
    <row r="3020" spans="2:17" x14ac:dyDescent="0.25">
      <c r="B3020" s="2" t="s">
        <v>3825</v>
      </c>
      <c r="C3020" s="2" t="s">
        <v>322</v>
      </c>
      <c r="D3020" s="2" t="s">
        <v>323</v>
      </c>
      <c r="E3020" s="2" t="s">
        <v>71</v>
      </c>
      <c r="F3020" s="2" t="s">
        <v>535</v>
      </c>
      <c r="G3020" s="2" t="s">
        <v>495</v>
      </c>
      <c r="H3020" s="2" t="s">
        <v>496</v>
      </c>
      <c r="I3020" s="26">
        <v>45467</v>
      </c>
      <c r="J3020" s="2">
        <v>57</v>
      </c>
      <c r="K3020" s="2" t="s">
        <v>192</v>
      </c>
      <c r="L3020" s="22">
        <v>350</v>
      </c>
      <c r="M3020" s="22">
        <v>19950</v>
      </c>
      <c r="N3020" s="18">
        <v>21.34</v>
      </c>
      <c r="O3020" s="26">
        <v>45767</v>
      </c>
      <c r="P3020" s="2" t="s">
        <v>2105</v>
      </c>
      <c r="Q3020" s="2" t="s">
        <v>806</v>
      </c>
    </row>
    <row r="3021" spans="2:17" x14ac:dyDescent="0.25">
      <c r="B3021" s="2" t="s">
        <v>3826</v>
      </c>
      <c r="C3021" s="2" t="s">
        <v>322</v>
      </c>
      <c r="D3021" s="2" t="s">
        <v>323</v>
      </c>
      <c r="E3021" s="2" t="s">
        <v>71</v>
      </c>
      <c r="F3021" s="2" t="s">
        <v>535</v>
      </c>
      <c r="G3021" s="2" t="s">
        <v>495</v>
      </c>
      <c r="H3021" s="2" t="s">
        <v>496</v>
      </c>
      <c r="I3021" s="26">
        <v>45502</v>
      </c>
      <c r="J3021" s="2">
        <v>45</v>
      </c>
      <c r="K3021" s="2" t="s">
        <v>192</v>
      </c>
      <c r="L3021" s="22">
        <v>350</v>
      </c>
      <c r="M3021" s="22">
        <v>15750</v>
      </c>
      <c r="N3021" s="18">
        <v>16.84</v>
      </c>
      <c r="O3021" s="26">
        <v>45802</v>
      </c>
      <c r="P3021" s="2" t="s">
        <v>2105</v>
      </c>
      <c r="Q3021" s="2" t="s">
        <v>806</v>
      </c>
    </row>
    <row r="3022" spans="2:17" x14ac:dyDescent="0.25">
      <c r="B3022" s="2" t="s">
        <v>3827</v>
      </c>
      <c r="C3022" s="2" t="s">
        <v>322</v>
      </c>
      <c r="D3022" s="2" t="s">
        <v>323</v>
      </c>
      <c r="E3022" s="2" t="s">
        <v>71</v>
      </c>
      <c r="F3022" s="2" t="s">
        <v>535</v>
      </c>
      <c r="G3022" s="2" t="s">
        <v>495</v>
      </c>
      <c r="H3022" s="2" t="s">
        <v>496</v>
      </c>
      <c r="I3022" s="26">
        <v>45548</v>
      </c>
      <c r="J3022" s="2">
        <v>68</v>
      </c>
      <c r="K3022" s="2" t="s">
        <v>192</v>
      </c>
      <c r="L3022" s="22">
        <v>350</v>
      </c>
      <c r="M3022" s="22">
        <v>23800</v>
      </c>
      <c r="N3022" s="18">
        <v>25.45</v>
      </c>
      <c r="O3022" s="26">
        <v>45848</v>
      </c>
      <c r="P3022" s="2" t="s">
        <v>2105</v>
      </c>
      <c r="Q3022" s="2" t="s">
        <v>814</v>
      </c>
    </row>
    <row r="3023" spans="2:17" x14ac:dyDescent="0.25">
      <c r="B3023" s="2" t="s">
        <v>3828</v>
      </c>
      <c r="C3023" s="2" t="s">
        <v>322</v>
      </c>
      <c r="D3023" s="2" t="s">
        <v>323</v>
      </c>
      <c r="E3023" s="2" t="s">
        <v>71</v>
      </c>
      <c r="F3023" s="2" t="s">
        <v>537</v>
      </c>
      <c r="G3023" s="2" t="s">
        <v>500</v>
      </c>
      <c r="H3023" s="2" t="s">
        <v>501</v>
      </c>
      <c r="I3023" s="26">
        <v>45575</v>
      </c>
      <c r="J3023" s="2">
        <v>52</v>
      </c>
      <c r="K3023" s="2" t="s">
        <v>192</v>
      </c>
      <c r="L3023" s="22">
        <v>350</v>
      </c>
      <c r="M3023" s="22">
        <v>18200</v>
      </c>
      <c r="N3023" s="18">
        <v>19.47</v>
      </c>
      <c r="O3023" s="26">
        <v>45875</v>
      </c>
      <c r="P3023" s="2" t="s">
        <v>2105</v>
      </c>
      <c r="Q3023" s="2" t="s">
        <v>814</v>
      </c>
    </row>
    <row r="3024" spans="2:17" x14ac:dyDescent="0.25">
      <c r="B3024" s="2" t="s">
        <v>3829</v>
      </c>
      <c r="C3024" s="2" t="s">
        <v>322</v>
      </c>
      <c r="D3024" s="2" t="s">
        <v>323</v>
      </c>
      <c r="E3024" s="2" t="s">
        <v>71</v>
      </c>
      <c r="F3024" s="2" t="s">
        <v>535</v>
      </c>
      <c r="G3024" s="2" t="s">
        <v>495</v>
      </c>
      <c r="H3024" s="2" t="s">
        <v>496</v>
      </c>
      <c r="I3024" s="26">
        <v>45604</v>
      </c>
      <c r="J3024" s="2">
        <v>50</v>
      </c>
      <c r="K3024" s="2" t="s">
        <v>192</v>
      </c>
      <c r="L3024" s="22">
        <v>350</v>
      </c>
      <c r="M3024" s="22">
        <v>17500</v>
      </c>
      <c r="N3024" s="18">
        <v>18.72</v>
      </c>
      <c r="O3024" s="26">
        <v>45904</v>
      </c>
      <c r="P3024" s="2" t="s">
        <v>2105</v>
      </c>
      <c r="Q3024" s="2" t="s">
        <v>814</v>
      </c>
    </row>
    <row r="3025" spans="2:17" x14ac:dyDescent="0.25">
      <c r="B3025" s="2" t="s">
        <v>3830</v>
      </c>
      <c r="C3025" s="2" t="s">
        <v>322</v>
      </c>
      <c r="D3025" s="2" t="s">
        <v>323</v>
      </c>
      <c r="E3025" s="2" t="s">
        <v>71</v>
      </c>
      <c r="F3025" s="2" t="s">
        <v>535</v>
      </c>
      <c r="G3025" s="2" t="s">
        <v>495</v>
      </c>
      <c r="H3025" s="2" t="s">
        <v>496</v>
      </c>
      <c r="I3025" s="26">
        <v>45643</v>
      </c>
      <c r="J3025" s="2">
        <v>56</v>
      </c>
      <c r="K3025" s="2" t="s">
        <v>192</v>
      </c>
      <c r="L3025" s="22">
        <v>350</v>
      </c>
      <c r="M3025" s="22">
        <v>19600</v>
      </c>
      <c r="N3025" s="18">
        <v>20.96</v>
      </c>
      <c r="O3025" s="26">
        <v>45943</v>
      </c>
      <c r="P3025" s="2" t="s">
        <v>2105</v>
      </c>
      <c r="Q3025" s="2" t="s">
        <v>825</v>
      </c>
    </row>
    <row r="3026" spans="2:17" x14ac:dyDescent="0.25">
      <c r="B3026" s="2" t="s">
        <v>3831</v>
      </c>
      <c r="C3026" s="2" t="s">
        <v>322</v>
      </c>
      <c r="D3026" s="2" t="s">
        <v>323</v>
      </c>
      <c r="E3026" s="2" t="s">
        <v>71</v>
      </c>
      <c r="F3026" s="2" t="s">
        <v>535</v>
      </c>
      <c r="G3026" s="2" t="s">
        <v>495</v>
      </c>
      <c r="H3026" s="2" t="s">
        <v>496</v>
      </c>
      <c r="I3026" s="26">
        <v>45671</v>
      </c>
      <c r="J3026" s="2">
        <v>50</v>
      </c>
      <c r="K3026" s="2" t="s">
        <v>192</v>
      </c>
      <c r="L3026" s="22">
        <v>350</v>
      </c>
      <c r="M3026" s="22">
        <v>17500</v>
      </c>
      <c r="N3026" s="18">
        <v>18.72</v>
      </c>
      <c r="O3026" s="26">
        <v>45971</v>
      </c>
      <c r="P3026" s="2" t="s">
        <v>2105</v>
      </c>
      <c r="Q3026" s="2" t="s">
        <v>825</v>
      </c>
    </row>
    <row r="3027" spans="2:17" x14ac:dyDescent="0.25">
      <c r="B3027" s="2" t="s">
        <v>3832</v>
      </c>
      <c r="C3027" s="2" t="s">
        <v>322</v>
      </c>
      <c r="D3027" s="2" t="s">
        <v>323</v>
      </c>
      <c r="E3027" s="2" t="s">
        <v>71</v>
      </c>
      <c r="F3027" s="2" t="s">
        <v>535</v>
      </c>
      <c r="G3027" s="2" t="s">
        <v>495</v>
      </c>
      <c r="H3027" s="2" t="s">
        <v>496</v>
      </c>
      <c r="I3027" s="26">
        <v>45710</v>
      </c>
      <c r="J3027" s="2">
        <v>57</v>
      </c>
      <c r="K3027" s="2" t="s">
        <v>192</v>
      </c>
      <c r="L3027" s="22">
        <v>350</v>
      </c>
      <c r="M3027" s="22">
        <v>19950</v>
      </c>
      <c r="N3027" s="18">
        <v>21.34</v>
      </c>
      <c r="O3027" s="26">
        <v>46010</v>
      </c>
      <c r="P3027" s="2" t="s">
        <v>2105</v>
      </c>
      <c r="Q3027" s="2" t="s">
        <v>825</v>
      </c>
    </row>
    <row r="3028" spans="2:17" x14ac:dyDescent="0.25">
      <c r="B3028" s="2" t="s">
        <v>3833</v>
      </c>
      <c r="C3028" s="2" t="s">
        <v>322</v>
      </c>
      <c r="D3028" s="2" t="s">
        <v>323</v>
      </c>
      <c r="E3028" s="2" t="s">
        <v>71</v>
      </c>
      <c r="F3028" s="2" t="s">
        <v>535</v>
      </c>
      <c r="G3028" s="2" t="s">
        <v>495</v>
      </c>
      <c r="H3028" s="2" t="s">
        <v>496</v>
      </c>
      <c r="I3028" s="26">
        <v>45750</v>
      </c>
      <c r="J3028" s="2">
        <v>58</v>
      </c>
      <c r="K3028" s="2" t="s">
        <v>192</v>
      </c>
      <c r="L3028" s="22">
        <v>350</v>
      </c>
      <c r="M3028" s="22">
        <v>20300</v>
      </c>
      <c r="N3028" s="18">
        <v>21.71</v>
      </c>
      <c r="O3028" s="26">
        <v>46050</v>
      </c>
      <c r="P3028" s="2" t="s">
        <v>2105</v>
      </c>
      <c r="Q3028" s="2" t="s">
        <v>836</v>
      </c>
    </row>
    <row r="3029" spans="2:17" x14ac:dyDescent="0.25">
      <c r="B3029" s="2" t="s">
        <v>3834</v>
      </c>
      <c r="C3029" s="2" t="s">
        <v>322</v>
      </c>
      <c r="D3029" s="2" t="s">
        <v>323</v>
      </c>
      <c r="E3029" s="2" t="s">
        <v>71</v>
      </c>
      <c r="F3029" s="2" t="s">
        <v>535</v>
      </c>
      <c r="G3029" s="2" t="s">
        <v>495</v>
      </c>
      <c r="H3029" s="2" t="s">
        <v>496</v>
      </c>
      <c r="I3029" s="26">
        <v>45781</v>
      </c>
      <c r="J3029" s="2">
        <v>53</v>
      </c>
      <c r="K3029" s="2" t="s">
        <v>192</v>
      </c>
      <c r="L3029" s="22">
        <v>350</v>
      </c>
      <c r="M3029" s="22">
        <v>18550</v>
      </c>
      <c r="N3029" s="18">
        <v>19.84</v>
      </c>
      <c r="O3029" s="26">
        <v>46081</v>
      </c>
      <c r="P3029" s="2" t="s">
        <v>2105</v>
      </c>
      <c r="Q3029" s="2" t="s">
        <v>836</v>
      </c>
    </row>
    <row r="3030" spans="2:17" x14ac:dyDescent="0.25">
      <c r="B3030" s="2" t="s">
        <v>3835</v>
      </c>
      <c r="C3030" s="2" t="s">
        <v>322</v>
      </c>
      <c r="D3030" s="2" t="s">
        <v>323</v>
      </c>
      <c r="E3030" s="2" t="s">
        <v>71</v>
      </c>
      <c r="F3030" s="2" t="s">
        <v>535</v>
      </c>
      <c r="G3030" s="2" t="s">
        <v>495</v>
      </c>
      <c r="H3030" s="2" t="s">
        <v>496</v>
      </c>
      <c r="I3030" s="26">
        <v>45810</v>
      </c>
      <c r="J3030" s="2">
        <v>55</v>
      </c>
      <c r="K3030" s="2" t="s">
        <v>192</v>
      </c>
      <c r="L3030" s="22">
        <v>350</v>
      </c>
      <c r="M3030" s="22">
        <v>19250</v>
      </c>
      <c r="N3030" s="18">
        <v>20.59</v>
      </c>
      <c r="O3030" s="26">
        <v>46110</v>
      </c>
      <c r="P3030" s="2" t="s">
        <v>2105</v>
      </c>
      <c r="Q3030" s="2" t="s">
        <v>806</v>
      </c>
    </row>
    <row r="3031" spans="2:17" x14ac:dyDescent="0.25">
      <c r="B3031" s="2" t="s">
        <v>3836</v>
      </c>
      <c r="C3031" s="2" t="s">
        <v>324</v>
      </c>
      <c r="D3031" s="2" t="s">
        <v>325</v>
      </c>
      <c r="E3031" s="2" t="s">
        <v>71</v>
      </c>
      <c r="F3031" s="2" t="s">
        <v>537</v>
      </c>
      <c r="G3031" s="2" t="s">
        <v>500</v>
      </c>
      <c r="H3031" s="2" t="s">
        <v>501</v>
      </c>
      <c r="I3031" s="26">
        <v>45118</v>
      </c>
      <c r="J3031" s="2">
        <v>54</v>
      </c>
      <c r="K3031" s="2" t="s">
        <v>177</v>
      </c>
      <c r="L3031" s="22">
        <v>750</v>
      </c>
      <c r="M3031" s="22">
        <v>40500</v>
      </c>
      <c r="N3031" s="18">
        <v>43.32</v>
      </c>
      <c r="O3031" s="26">
        <v>45418</v>
      </c>
      <c r="P3031" s="2" t="s">
        <v>2105</v>
      </c>
      <c r="Q3031" s="2" t="s">
        <v>806</v>
      </c>
    </row>
    <row r="3032" spans="2:17" x14ac:dyDescent="0.25">
      <c r="B3032" s="2" t="s">
        <v>3837</v>
      </c>
      <c r="C3032" s="2" t="s">
        <v>324</v>
      </c>
      <c r="D3032" s="2" t="s">
        <v>325</v>
      </c>
      <c r="E3032" s="2" t="s">
        <v>71</v>
      </c>
      <c r="F3032" s="2" t="s">
        <v>535</v>
      </c>
      <c r="G3032" s="2" t="s">
        <v>495</v>
      </c>
      <c r="H3032" s="2" t="s">
        <v>496</v>
      </c>
      <c r="I3032" s="26">
        <v>45152</v>
      </c>
      <c r="J3032" s="2">
        <v>44</v>
      </c>
      <c r="K3032" s="2" t="s">
        <v>177</v>
      </c>
      <c r="L3032" s="22">
        <v>650</v>
      </c>
      <c r="M3032" s="22">
        <v>28600</v>
      </c>
      <c r="N3032" s="18">
        <v>30.59</v>
      </c>
      <c r="O3032" s="26">
        <v>45452</v>
      </c>
      <c r="P3032" s="2" t="s">
        <v>2105</v>
      </c>
      <c r="Q3032" s="2" t="s">
        <v>806</v>
      </c>
    </row>
    <row r="3033" spans="2:17" x14ac:dyDescent="0.25">
      <c r="B3033" s="2" t="s">
        <v>3838</v>
      </c>
      <c r="C3033" s="2" t="s">
        <v>324</v>
      </c>
      <c r="D3033" s="2" t="s">
        <v>325</v>
      </c>
      <c r="E3033" s="2" t="s">
        <v>71</v>
      </c>
      <c r="F3033" s="2" t="s">
        <v>535</v>
      </c>
      <c r="G3033" s="2" t="s">
        <v>495</v>
      </c>
      <c r="H3033" s="2" t="s">
        <v>496</v>
      </c>
      <c r="I3033" s="26">
        <v>45188</v>
      </c>
      <c r="J3033" s="2">
        <v>53</v>
      </c>
      <c r="K3033" s="2" t="s">
        <v>177</v>
      </c>
      <c r="L3033" s="22">
        <v>650</v>
      </c>
      <c r="M3033" s="22">
        <v>34450</v>
      </c>
      <c r="N3033" s="18">
        <v>36.840000000000003</v>
      </c>
      <c r="O3033" s="26">
        <v>45488</v>
      </c>
      <c r="P3033" s="2" t="s">
        <v>2105</v>
      </c>
      <c r="Q3033" s="2" t="s">
        <v>814</v>
      </c>
    </row>
    <row r="3034" spans="2:17" x14ac:dyDescent="0.25">
      <c r="B3034" s="2" t="s">
        <v>3839</v>
      </c>
      <c r="C3034" s="2" t="s">
        <v>324</v>
      </c>
      <c r="D3034" s="2" t="s">
        <v>325</v>
      </c>
      <c r="E3034" s="2" t="s">
        <v>71</v>
      </c>
      <c r="F3034" s="2" t="s">
        <v>535</v>
      </c>
      <c r="G3034" s="2" t="s">
        <v>495</v>
      </c>
      <c r="H3034" s="2" t="s">
        <v>496</v>
      </c>
      <c r="I3034" s="26">
        <v>45227</v>
      </c>
      <c r="J3034" s="2">
        <v>54</v>
      </c>
      <c r="K3034" s="2" t="s">
        <v>177</v>
      </c>
      <c r="L3034" s="22">
        <v>650</v>
      </c>
      <c r="M3034" s="22">
        <v>35100</v>
      </c>
      <c r="N3034" s="18">
        <v>37.54</v>
      </c>
      <c r="O3034" s="26">
        <v>45527</v>
      </c>
      <c r="P3034" s="2" t="s">
        <v>2105</v>
      </c>
      <c r="Q3034" s="2" t="s">
        <v>814</v>
      </c>
    </row>
    <row r="3035" spans="2:17" x14ac:dyDescent="0.25">
      <c r="B3035" s="2" t="s">
        <v>3840</v>
      </c>
      <c r="C3035" s="2" t="s">
        <v>324</v>
      </c>
      <c r="D3035" s="2" t="s">
        <v>325</v>
      </c>
      <c r="E3035" s="2" t="s">
        <v>71</v>
      </c>
      <c r="F3035" s="2" t="s">
        <v>535</v>
      </c>
      <c r="G3035" s="2" t="s">
        <v>495</v>
      </c>
      <c r="H3035" s="2" t="s">
        <v>496</v>
      </c>
      <c r="I3035" s="26">
        <v>45257</v>
      </c>
      <c r="J3035" s="2">
        <v>52</v>
      </c>
      <c r="K3035" s="2" t="s">
        <v>177</v>
      </c>
      <c r="L3035" s="22">
        <v>650</v>
      </c>
      <c r="M3035" s="22">
        <v>33800</v>
      </c>
      <c r="N3035" s="18">
        <v>36.15</v>
      </c>
      <c r="O3035" s="26">
        <v>45557</v>
      </c>
      <c r="P3035" s="2" t="s">
        <v>2105</v>
      </c>
      <c r="Q3035" s="2" t="s">
        <v>814</v>
      </c>
    </row>
    <row r="3036" spans="2:17" x14ac:dyDescent="0.25">
      <c r="B3036" s="2" t="s">
        <v>3841</v>
      </c>
      <c r="C3036" s="2" t="s">
        <v>324</v>
      </c>
      <c r="D3036" s="2" t="s">
        <v>325</v>
      </c>
      <c r="E3036" s="2" t="s">
        <v>71</v>
      </c>
      <c r="F3036" s="2" t="s">
        <v>537</v>
      </c>
      <c r="G3036" s="2" t="s">
        <v>500</v>
      </c>
      <c r="H3036" s="2" t="s">
        <v>501</v>
      </c>
      <c r="I3036" s="26">
        <v>45293</v>
      </c>
      <c r="J3036" s="2">
        <v>55</v>
      </c>
      <c r="K3036" s="2" t="s">
        <v>177</v>
      </c>
      <c r="L3036" s="22">
        <v>750</v>
      </c>
      <c r="M3036" s="22">
        <v>41250</v>
      </c>
      <c r="N3036" s="18">
        <v>44.12</v>
      </c>
      <c r="O3036" s="26">
        <v>45593</v>
      </c>
      <c r="P3036" s="2" t="s">
        <v>2105</v>
      </c>
      <c r="Q3036" s="2" t="s">
        <v>825</v>
      </c>
    </row>
    <row r="3037" spans="2:17" x14ac:dyDescent="0.25">
      <c r="B3037" s="2" t="s">
        <v>3842</v>
      </c>
      <c r="C3037" s="2" t="s">
        <v>324</v>
      </c>
      <c r="D3037" s="2" t="s">
        <v>325</v>
      </c>
      <c r="E3037" s="2" t="s">
        <v>71</v>
      </c>
      <c r="F3037" s="2" t="s">
        <v>535</v>
      </c>
      <c r="G3037" s="2" t="s">
        <v>495</v>
      </c>
      <c r="H3037" s="2" t="s">
        <v>496</v>
      </c>
      <c r="I3037" s="26">
        <v>45330</v>
      </c>
      <c r="J3037" s="2">
        <v>48</v>
      </c>
      <c r="K3037" s="2" t="s">
        <v>177</v>
      </c>
      <c r="L3037" s="22">
        <v>650</v>
      </c>
      <c r="M3037" s="22">
        <v>31200</v>
      </c>
      <c r="N3037" s="18">
        <v>33.369999999999997</v>
      </c>
      <c r="O3037" s="26">
        <v>45630</v>
      </c>
      <c r="P3037" s="2" t="s">
        <v>2105</v>
      </c>
      <c r="Q3037" s="2" t="s">
        <v>825</v>
      </c>
    </row>
    <row r="3038" spans="2:17" x14ac:dyDescent="0.25">
      <c r="B3038" s="2" t="s">
        <v>3843</v>
      </c>
      <c r="C3038" s="2" t="s">
        <v>324</v>
      </c>
      <c r="D3038" s="2" t="s">
        <v>325</v>
      </c>
      <c r="E3038" s="2" t="s">
        <v>71</v>
      </c>
      <c r="F3038" s="2" t="s">
        <v>537</v>
      </c>
      <c r="G3038" s="2" t="s">
        <v>500</v>
      </c>
      <c r="H3038" s="2" t="s">
        <v>501</v>
      </c>
      <c r="I3038" s="26">
        <v>45360</v>
      </c>
      <c r="J3038" s="2">
        <v>54</v>
      </c>
      <c r="K3038" s="2" t="s">
        <v>177</v>
      </c>
      <c r="L3038" s="22">
        <v>750</v>
      </c>
      <c r="M3038" s="22">
        <v>40500</v>
      </c>
      <c r="N3038" s="18">
        <v>43.32</v>
      </c>
      <c r="O3038" s="26">
        <v>45660</v>
      </c>
      <c r="P3038" s="2" t="s">
        <v>2105</v>
      </c>
      <c r="Q3038" s="2" t="s">
        <v>836</v>
      </c>
    </row>
    <row r="3039" spans="2:17" x14ac:dyDescent="0.25">
      <c r="B3039" s="2" t="s">
        <v>3844</v>
      </c>
      <c r="C3039" s="2" t="s">
        <v>324</v>
      </c>
      <c r="D3039" s="2" t="s">
        <v>325</v>
      </c>
      <c r="E3039" s="2" t="s">
        <v>71</v>
      </c>
      <c r="F3039" s="2" t="s">
        <v>535</v>
      </c>
      <c r="G3039" s="2" t="s">
        <v>495</v>
      </c>
      <c r="H3039" s="2" t="s">
        <v>496</v>
      </c>
      <c r="I3039" s="26">
        <v>45401</v>
      </c>
      <c r="J3039" s="2">
        <v>57</v>
      </c>
      <c r="K3039" s="2" t="s">
        <v>177</v>
      </c>
      <c r="L3039" s="22">
        <v>650</v>
      </c>
      <c r="M3039" s="22">
        <v>37050</v>
      </c>
      <c r="N3039" s="18">
        <v>39.630000000000003</v>
      </c>
      <c r="O3039" s="26">
        <v>45701</v>
      </c>
      <c r="P3039" s="2" t="s">
        <v>2105</v>
      </c>
      <c r="Q3039" s="2" t="s">
        <v>836</v>
      </c>
    </row>
    <row r="3040" spans="2:17" x14ac:dyDescent="0.25">
      <c r="B3040" s="2" t="s">
        <v>3845</v>
      </c>
      <c r="C3040" s="2" t="s">
        <v>324</v>
      </c>
      <c r="D3040" s="2" t="s">
        <v>325</v>
      </c>
      <c r="E3040" s="2" t="s">
        <v>71</v>
      </c>
      <c r="F3040" s="2" t="s">
        <v>535</v>
      </c>
      <c r="G3040" s="2" t="s">
        <v>495</v>
      </c>
      <c r="H3040" s="2" t="s">
        <v>496</v>
      </c>
      <c r="I3040" s="26">
        <v>45428</v>
      </c>
      <c r="J3040" s="2">
        <v>52</v>
      </c>
      <c r="K3040" s="2" t="s">
        <v>177</v>
      </c>
      <c r="L3040" s="22">
        <v>650</v>
      </c>
      <c r="M3040" s="22">
        <v>33800</v>
      </c>
      <c r="N3040" s="18">
        <v>36.15</v>
      </c>
      <c r="O3040" s="26">
        <v>45728</v>
      </c>
      <c r="P3040" s="2" t="s">
        <v>2105</v>
      </c>
      <c r="Q3040" s="2" t="s">
        <v>836</v>
      </c>
    </row>
    <row r="3041" spans="2:17" x14ac:dyDescent="0.25">
      <c r="B3041" s="2" t="s">
        <v>3846</v>
      </c>
      <c r="C3041" s="2" t="s">
        <v>324</v>
      </c>
      <c r="D3041" s="2" t="s">
        <v>325</v>
      </c>
      <c r="E3041" s="2" t="s">
        <v>71</v>
      </c>
      <c r="F3041" s="2" t="s">
        <v>535</v>
      </c>
      <c r="G3041" s="2" t="s">
        <v>495</v>
      </c>
      <c r="H3041" s="2" t="s">
        <v>496</v>
      </c>
      <c r="I3041" s="26">
        <v>45457</v>
      </c>
      <c r="J3041" s="2">
        <v>51</v>
      </c>
      <c r="K3041" s="2" t="s">
        <v>177</v>
      </c>
      <c r="L3041" s="22">
        <v>650</v>
      </c>
      <c r="M3041" s="22">
        <v>33150</v>
      </c>
      <c r="N3041" s="18">
        <v>35.450000000000003</v>
      </c>
      <c r="O3041" s="26">
        <v>45757</v>
      </c>
      <c r="P3041" s="2" t="s">
        <v>2105</v>
      </c>
      <c r="Q3041" s="2" t="s">
        <v>806</v>
      </c>
    </row>
    <row r="3042" spans="2:17" x14ac:dyDescent="0.25">
      <c r="B3042" s="2" t="s">
        <v>3847</v>
      </c>
      <c r="C3042" s="2" t="s">
        <v>324</v>
      </c>
      <c r="D3042" s="2" t="s">
        <v>325</v>
      </c>
      <c r="E3042" s="2" t="s">
        <v>71</v>
      </c>
      <c r="F3042" s="2" t="s">
        <v>535</v>
      </c>
      <c r="G3042" s="2" t="s">
        <v>495</v>
      </c>
      <c r="H3042" s="2" t="s">
        <v>496</v>
      </c>
      <c r="I3042" s="26">
        <v>45496</v>
      </c>
      <c r="J3042" s="2">
        <v>48</v>
      </c>
      <c r="K3042" s="2" t="s">
        <v>177</v>
      </c>
      <c r="L3042" s="22">
        <v>650</v>
      </c>
      <c r="M3042" s="22">
        <v>31200</v>
      </c>
      <c r="N3042" s="18">
        <v>33.369999999999997</v>
      </c>
      <c r="O3042" s="26">
        <v>45796</v>
      </c>
      <c r="P3042" s="2" t="s">
        <v>2105</v>
      </c>
      <c r="Q3042" s="2" t="s">
        <v>806</v>
      </c>
    </row>
    <row r="3043" spans="2:17" x14ac:dyDescent="0.25">
      <c r="B3043" s="2" t="s">
        <v>3848</v>
      </c>
      <c r="C3043" s="2" t="s">
        <v>324</v>
      </c>
      <c r="D3043" s="2" t="s">
        <v>325</v>
      </c>
      <c r="E3043" s="2" t="s">
        <v>71</v>
      </c>
      <c r="F3043" s="2" t="s">
        <v>535</v>
      </c>
      <c r="G3043" s="2" t="s">
        <v>495</v>
      </c>
      <c r="H3043" s="2" t="s">
        <v>496</v>
      </c>
      <c r="I3043" s="26">
        <v>45530</v>
      </c>
      <c r="J3043" s="2">
        <v>51</v>
      </c>
      <c r="K3043" s="2" t="s">
        <v>177</v>
      </c>
      <c r="L3043" s="22">
        <v>650</v>
      </c>
      <c r="M3043" s="22">
        <v>33150</v>
      </c>
      <c r="N3043" s="18">
        <v>35.450000000000003</v>
      </c>
      <c r="O3043" s="26">
        <v>45830</v>
      </c>
      <c r="P3043" s="2" t="s">
        <v>2105</v>
      </c>
      <c r="Q3043" s="2" t="s">
        <v>806</v>
      </c>
    </row>
    <row r="3044" spans="2:17" x14ac:dyDescent="0.25">
      <c r="B3044" s="2" t="s">
        <v>3849</v>
      </c>
      <c r="C3044" s="2" t="s">
        <v>324</v>
      </c>
      <c r="D3044" s="2" t="s">
        <v>325</v>
      </c>
      <c r="E3044" s="2" t="s">
        <v>71</v>
      </c>
      <c r="F3044" s="2" t="s">
        <v>535</v>
      </c>
      <c r="G3044" s="2" t="s">
        <v>495</v>
      </c>
      <c r="H3044" s="2" t="s">
        <v>496</v>
      </c>
      <c r="I3044" s="26">
        <v>45567</v>
      </c>
      <c r="J3044" s="2">
        <v>46</v>
      </c>
      <c r="K3044" s="2" t="s">
        <v>177</v>
      </c>
      <c r="L3044" s="22">
        <v>650</v>
      </c>
      <c r="M3044" s="22">
        <v>29900</v>
      </c>
      <c r="N3044" s="18">
        <v>31.98</v>
      </c>
      <c r="O3044" s="26">
        <v>45867</v>
      </c>
      <c r="P3044" s="2" t="s">
        <v>2105</v>
      </c>
      <c r="Q3044" s="2" t="s">
        <v>814</v>
      </c>
    </row>
    <row r="3045" spans="2:17" x14ac:dyDescent="0.25">
      <c r="B3045" s="2" t="s">
        <v>3850</v>
      </c>
      <c r="C3045" s="2" t="s">
        <v>324</v>
      </c>
      <c r="D3045" s="2" t="s">
        <v>325</v>
      </c>
      <c r="E3045" s="2" t="s">
        <v>71</v>
      </c>
      <c r="F3045" s="2" t="s">
        <v>535</v>
      </c>
      <c r="G3045" s="2" t="s">
        <v>495</v>
      </c>
      <c r="H3045" s="2" t="s">
        <v>496</v>
      </c>
      <c r="I3045" s="26">
        <v>45602</v>
      </c>
      <c r="J3045" s="2">
        <v>44</v>
      </c>
      <c r="K3045" s="2" t="s">
        <v>177</v>
      </c>
      <c r="L3045" s="22">
        <v>650</v>
      </c>
      <c r="M3045" s="22">
        <v>28600</v>
      </c>
      <c r="N3045" s="18">
        <v>30.59</v>
      </c>
      <c r="O3045" s="26">
        <v>45902</v>
      </c>
      <c r="P3045" s="2" t="s">
        <v>2105</v>
      </c>
      <c r="Q3045" s="2" t="s">
        <v>814</v>
      </c>
    </row>
    <row r="3046" spans="2:17" x14ac:dyDescent="0.25">
      <c r="B3046" s="2" t="s">
        <v>3851</v>
      </c>
      <c r="C3046" s="2" t="s">
        <v>324</v>
      </c>
      <c r="D3046" s="2" t="s">
        <v>325</v>
      </c>
      <c r="E3046" s="2" t="s">
        <v>71</v>
      </c>
      <c r="F3046" s="2" t="s">
        <v>535</v>
      </c>
      <c r="G3046" s="2" t="s">
        <v>495</v>
      </c>
      <c r="H3046" s="2" t="s">
        <v>496</v>
      </c>
      <c r="I3046" s="26">
        <v>45635</v>
      </c>
      <c r="J3046" s="2">
        <v>57</v>
      </c>
      <c r="K3046" s="2" t="s">
        <v>177</v>
      </c>
      <c r="L3046" s="22">
        <v>650</v>
      </c>
      <c r="M3046" s="22">
        <v>37050</v>
      </c>
      <c r="N3046" s="18">
        <v>39.630000000000003</v>
      </c>
      <c r="O3046" s="26">
        <v>45935</v>
      </c>
      <c r="P3046" s="2" t="s">
        <v>2105</v>
      </c>
      <c r="Q3046" s="2" t="s">
        <v>825</v>
      </c>
    </row>
    <row r="3047" spans="2:17" x14ac:dyDescent="0.25">
      <c r="B3047" s="2" t="s">
        <v>3852</v>
      </c>
      <c r="C3047" s="2" t="s">
        <v>324</v>
      </c>
      <c r="D3047" s="2" t="s">
        <v>325</v>
      </c>
      <c r="E3047" s="2" t="s">
        <v>71</v>
      </c>
      <c r="F3047" s="2" t="s">
        <v>535</v>
      </c>
      <c r="G3047" s="2" t="s">
        <v>495</v>
      </c>
      <c r="H3047" s="2" t="s">
        <v>496</v>
      </c>
      <c r="I3047" s="26">
        <v>45659</v>
      </c>
      <c r="J3047" s="2">
        <v>59</v>
      </c>
      <c r="K3047" s="2" t="s">
        <v>177</v>
      </c>
      <c r="L3047" s="22">
        <v>650</v>
      </c>
      <c r="M3047" s="22">
        <v>38350</v>
      </c>
      <c r="N3047" s="18">
        <v>41.02</v>
      </c>
      <c r="O3047" s="26">
        <v>45959</v>
      </c>
      <c r="P3047" s="2" t="s">
        <v>2105</v>
      </c>
      <c r="Q3047" s="2" t="s">
        <v>825</v>
      </c>
    </row>
    <row r="3048" spans="2:17" x14ac:dyDescent="0.25">
      <c r="B3048" s="2" t="s">
        <v>3853</v>
      </c>
      <c r="C3048" s="2" t="s">
        <v>324</v>
      </c>
      <c r="D3048" s="2" t="s">
        <v>325</v>
      </c>
      <c r="E3048" s="2" t="s">
        <v>71</v>
      </c>
      <c r="F3048" s="2" t="s">
        <v>535</v>
      </c>
      <c r="G3048" s="2" t="s">
        <v>495</v>
      </c>
      <c r="H3048" s="2" t="s">
        <v>496</v>
      </c>
      <c r="I3048" s="26">
        <v>45695</v>
      </c>
      <c r="J3048" s="2">
        <v>51</v>
      </c>
      <c r="K3048" s="2" t="s">
        <v>177</v>
      </c>
      <c r="L3048" s="22">
        <v>650</v>
      </c>
      <c r="M3048" s="22">
        <v>33150</v>
      </c>
      <c r="N3048" s="18">
        <v>35.450000000000003</v>
      </c>
      <c r="O3048" s="26">
        <v>45995</v>
      </c>
      <c r="P3048" s="2" t="s">
        <v>2105</v>
      </c>
      <c r="Q3048" s="2" t="s">
        <v>825</v>
      </c>
    </row>
    <row r="3049" spans="2:17" x14ac:dyDescent="0.25">
      <c r="B3049" s="2" t="s">
        <v>3854</v>
      </c>
      <c r="C3049" s="2" t="s">
        <v>324</v>
      </c>
      <c r="D3049" s="2" t="s">
        <v>325</v>
      </c>
      <c r="E3049" s="2" t="s">
        <v>71</v>
      </c>
      <c r="F3049" s="2" t="s">
        <v>535</v>
      </c>
      <c r="G3049" s="2" t="s">
        <v>495</v>
      </c>
      <c r="H3049" s="2" t="s">
        <v>496</v>
      </c>
      <c r="I3049" s="26">
        <v>45732</v>
      </c>
      <c r="J3049" s="2">
        <v>51</v>
      </c>
      <c r="K3049" s="2" t="s">
        <v>177</v>
      </c>
      <c r="L3049" s="22">
        <v>650</v>
      </c>
      <c r="M3049" s="22">
        <v>33150</v>
      </c>
      <c r="N3049" s="18">
        <v>35.450000000000003</v>
      </c>
      <c r="O3049" s="26">
        <v>46032</v>
      </c>
      <c r="P3049" s="2" t="s">
        <v>2105</v>
      </c>
      <c r="Q3049" s="2" t="s">
        <v>836</v>
      </c>
    </row>
    <row r="3050" spans="2:17" x14ac:dyDescent="0.25">
      <c r="B3050" s="2" t="s">
        <v>3855</v>
      </c>
      <c r="C3050" s="2" t="s">
        <v>324</v>
      </c>
      <c r="D3050" s="2" t="s">
        <v>325</v>
      </c>
      <c r="E3050" s="2" t="s">
        <v>71</v>
      </c>
      <c r="F3050" s="2" t="s">
        <v>535</v>
      </c>
      <c r="G3050" s="2" t="s">
        <v>495</v>
      </c>
      <c r="H3050" s="2" t="s">
        <v>496</v>
      </c>
      <c r="I3050" s="26">
        <v>45770</v>
      </c>
      <c r="J3050" s="2">
        <v>51</v>
      </c>
      <c r="K3050" s="2" t="s">
        <v>177</v>
      </c>
      <c r="L3050" s="22">
        <v>650</v>
      </c>
      <c r="M3050" s="22">
        <v>33150</v>
      </c>
      <c r="N3050" s="18">
        <v>35.450000000000003</v>
      </c>
      <c r="O3050" s="26">
        <v>46070</v>
      </c>
      <c r="P3050" s="2" t="s">
        <v>2105</v>
      </c>
      <c r="Q3050" s="2" t="s">
        <v>836</v>
      </c>
    </row>
    <row r="3051" spans="2:17" x14ac:dyDescent="0.25">
      <c r="B3051" s="2" t="s">
        <v>3856</v>
      </c>
      <c r="C3051" s="2" t="s">
        <v>324</v>
      </c>
      <c r="D3051" s="2" t="s">
        <v>325</v>
      </c>
      <c r="E3051" s="2" t="s">
        <v>71</v>
      </c>
      <c r="F3051" s="2" t="s">
        <v>535</v>
      </c>
      <c r="G3051" s="2" t="s">
        <v>495</v>
      </c>
      <c r="H3051" s="2" t="s">
        <v>496</v>
      </c>
      <c r="I3051" s="26">
        <v>45792</v>
      </c>
      <c r="J3051" s="2">
        <v>59</v>
      </c>
      <c r="K3051" s="2" t="s">
        <v>177</v>
      </c>
      <c r="L3051" s="22">
        <v>650</v>
      </c>
      <c r="M3051" s="22">
        <v>38350</v>
      </c>
      <c r="N3051" s="18">
        <v>41.02</v>
      </c>
      <c r="O3051" s="26">
        <v>46092</v>
      </c>
      <c r="P3051" s="2" t="s">
        <v>2105</v>
      </c>
      <c r="Q3051" s="2" t="s">
        <v>836</v>
      </c>
    </row>
    <row r="3052" spans="2:17" x14ac:dyDescent="0.25">
      <c r="B3052" s="2" t="s">
        <v>3857</v>
      </c>
      <c r="C3052" s="2" t="s">
        <v>324</v>
      </c>
      <c r="D3052" s="2" t="s">
        <v>325</v>
      </c>
      <c r="E3052" s="2" t="s">
        <v>71</v>
      </c>
      <c r="F3052" s="2" t="s">
        <v>537</v>
      </c>
      <c r="G3052" s="2" t="s">
        <v>500</v>
      </c>
      <c r="H3052" s="2" t="s">
        <v>501</v>
      </c>
      <c r="I3052" s="26">
        <v>45825</v>
      </c>
      <c r="J3052" s="2">
        <v>61</v>
      </c>
      <c r="K3052" s="2" t="s">
        <v>177</v>
      </c>
      <c r="L3052" s="22">
        <v>750</v>
      </c>
      <c r="M3052" s="22">
        <v>45750</v>
      </c>
      <c r="N3052" s="18">
        <v>48.93</v>
      </c>
      <c r="O3052" s="26">
        <v>46125</v>
      </c>
      <c r="P3052" s="2" t="s">
        <v>2105</v>
      </c>
      <c r="Q3052" s="2" t="s">
        <v>806</v>
      </c>
    </row>
    <row r="3053" spans="2:17" x14ac:dyDescent="0.25">
      <c r="B3053" s="2" t="s">
        <v>3858</v>
      </c>
      <c r="C3053" s="2" t="s">
        <v>326</v>
      </c>
      <c r="D3053" s="2" t="s">
        <v>327</v>
      </c>
      <c r="E3053" s="2" t="s">
        <v>71</v>
      </c>
      <c r="F3053" s="2" t="s">
        <v>535</v>
      </c>
      <c r="G3053" s="2" t="s">
        <v>495</v>
      </c>
      <c r="H3053" s="2" t="s">
        <v>496</v>
      </c>
      <c r="I3053" s="26">
        <v>45128</v>
      </c>
      <c r="J3053" s="2">
        <v>51</v>
      </c>
      <c r="K3053" s="2" t="s">
        <v>192</v>
      </c>
      <c r="L3053" s="22">
        <v>350</v>
      </c>
      <c r="M3053" s="22">
        <v>17850</v>
      </c>
      <c r="N3053" s="18">
        <v>19.09</v>
      </c>
      <c r="O3053" s="26">
        <v>45428</v>
      </c>
      <c r="P3053" s="2" t="s">
        <v>2105</v>
      </c>
      <c r="Q3053" s="2" t="s">
        <v>806</v>
      </c>
    </row>
    <row r="3054" spans="2:17" x14ac:dyDescent="0.25">
      <c r="B3054" s="2" t="s">
        <v>3859</v>
      </c>
      <c r="C3054" s="2" t="s">
        <v>326</v>
      </c>
      <c r="D3054" s="2" t="s">
        <v>327</v>
      </c>
      <c r="E3054" s="2" t="s">
        <v>71</v>
      </c>
      <c r="F3054" s="2" t="s">
        <v>537</v>
      </c>
      <c r="G3054" s="2" t="s">
        <v>500</v>
      </c>
      <c r="H3054" s="2" t="s">
        <v>501</v>
      </c>
      <c r="I3054" s="26">
        <v>45164</v>
      </c>
      <c r="J3054" s="2">
        <v>45</v>
      </c>
      <c r="K3054" s="2" t="s">
        <v>192</v>
      </c>
      <c r="L3054" s="22">
        <v>350</v>
      </c>
      <c r="M3054" s="22">
        <v>15750</v>
      </c>
      <c r="N3054" s="18">
        <v>16.84</v>
      </c>
      <c r="O3054" s="26">
        <v>45464</v>
      </c>
      <c r="P3054" s="2" t="s">
        <v>2105</v>
      </c>
      <c r="Q3054" s="2" t="s">
        <v>806</v>
      </c>
    </row>
    <row r="3055" spans="2:17" x14ac:dyDescent="0.25">
      <c r="B3055" s="2" t="s">
        <v>3860</v>
      </c>
      <c r="C3055" s="2" t="s">
        <v>326</v>
      </c>
      <c r="D3055" s="2" t="s">
        <v>327</v>
      </c>
      <c r="E3055" s="2" t="s">
        <v>71</v>
      </c>
      <c r="F3055" s="2" t="s">
        <v>535</v>
      </c>
      <c r="G3055" s="2" t="s">
        <v>495</v>
      </c>
      <c r="H3055" s="2" t="s">
        <v>496</v>
      </c>
      <c r="I3055" s="26">
        <v>45197</v>
      </c>
      <c r="J3055" s="2">
        <v>54</v>
      </c>
      <c r="K3055" s="2" t="s">
        <v>192</v>
      </c>
      <c r="L3055" s="22">
        <v>350</v>
      </c>
      <c r="M3055" s="22">
        <v>18900</v>
      </c>
      <c r="N3055" s="18">
        <v>20.21</v>
      </c>
      <c r="O3055" s="26">
        <v>45497</v>
      </c>
      <c r="P3055" s="2" t="s">
        <v>2105</v>
      </c>
      <c r="Q3055" s="2" t="s">
        <v>814</v>
      </c>
    </row>
    <row r="3056" spans="2:17" x14ac:dyDescent="0.25">
      <c r="B3056" s="2" t="s">
        <v>3861</v>
      </c>
      <c r="C3056" s="2" t="s">
        <v>326</v>
      </c>
      <c r="D3056" s="2" t="s">
        <v>327</v>
      </c>
      <c r="E3056" s="2" t="s">
        <v>71</v>
      </c>
      <c r="F3056" s="2" t="s">
        <v>537</v>
      </c>
      <c r="G3056" s="2" t="s">
        <v>500</v>
      </c>
      <c r="H3056" s="2" t="s">
        <v>501</v>
      </c>
      <c r="I3056" s="26">
        <v>45235</v>
      </c>
      <c r="J3056" s="2">
        <v>43</v>
      </c>
      <c r="K3056" s="2" t="s">
        <v>192</v>
      </c>
      <c r="L3056" s="22">
        <v>350</v>
      </c>
      <c r="M3056" s="22">
        <v>15050</v>
      </c>
      <c r="N3056" s="18">
        <v>16.100000000000001</v>
      </c>
      <c r="O3056" s="26">
        <v>45535</v>
      </c>
      <c r="P3056" s="2" t="s">
        <v>2105</v>
      </c>
      <c r="Q3056" s="2" t="s">
        <v>814</v>
      </c>
    </row>
    <row r="3057" spans="2:17" x14ac:dyDescent="0.25">
      <c r="B3057" s="2" t="s">
        <v>3862</v>
      </c>
      <c r="C3057" s="2" t="s">
        <v>326</v>
      </c>
      <c r="D3057" s="2" t="s">
        <v>327</v>
      </c>
      <c r="E3057" s="2" t="s">
        <v>71</v>
      </c>
      <c r="F3057" s="2" t="s">
        <v>535</v>
      </c>
      <c r="G3057" s="2" t="s">
        <v>495</v>
      </c>
      <c r="H3057" s="2" t="s">
        <v>496</v>
      </c>
      <c r="I3057" s="26">
        <v>45274</v>
      </c>
      <c r="J3057" s="2">
        <v>58</v>
      </c>
      <c r="K3057" s="2" t="s">
        <v>192</v>
      </c>
      <c r="L3057" s="22">
        <v>350</v>
      </c>
      <c r="M3057" s="22">
        <v>20300</v>
      </c>
      <c r="N3057" s="18">
        <v>21.71</v>
      </c>
      <c r="O3057" s="26">
        <v>45574</v>
      </c>
      <c r="P3057" s="2" t="s">
        <v>2105</v>
      </c>
      <c r="Q3057" s="2" t="s">
        <v>825</v>
      </c>
    </row>
    <row r="3058" spans="2:17" x14ac:dyDescent="0.25">
      <c r="B3058" s="2" t="s">
        <v>3863</v>
      </c>
      <c r="C3058" s="2" t="s">
        <v>326</v>
      </c>
      <c r="D3058" s="2" t="s">
        <v>327</v>
      </c>
      <c r="E3058" s="2" t="s">
        <v>71</v>
      </c>
      <c r="F3058" s="2" t="s">
        <v>537</v>
      </c>
      <c r="G3058" s="2" t="s">
        <v>500</v>
      </c>
      <c r="H3058" s="2" t="s">
        <v>501</v>
      </c>
      <c r="I3058" s="26">
        <v>45305</v>
      </c>
      <c r="J3058" s="2">
        <v>44</v>
      </c>
      <c r="K3058" s="2" t="s">
        <v>192</v>
      </c>
      <c r="L3058" s="22">
        <v>350</v>
      </c>
      <c r="M3058" s="22">
        <v>15400</v>
      </c>
      <c r="N3058" s="18">
        <v>16.47</v>
      </c>
      <c r="O3058" s="26">
        <v>45605</v>
      </c>
      <c r="P3058" s="2" t="s">
        <v>2105</v>
      </c>
      <c r="Q3058" s="2" t="s">
        <v>825</v>
      </c>
    </row>
    <row r="3059" spans="2:17" x14ac:dyDescent="0.25">
      <c r="B3059" s="2" t="s">
        <v>3864</v>
      </c>
      <c r="C3059" s="2" t="s">
        <v>326</v>
      </c>
      <c r="D3059" s="2" t="s">
        <v>327</v>
      </c>
      <c r="E3059" s="2" t="s">
        <v>71</v>
      </c>
      <c r="F3059" s="2" t="s">
        <v>535</v>
      </c>
      <c r="G3059" s="2" t="s">
        <v>495</v>
      </c>
      <c r="H3059" s="2" t="s">
        <v>496</v>
      </c>
      <c r="I3059" s="26">
        <v>45340</v>
      </c>
      <c r="J3059" s="2">
        <v>43</v>
      </c>
      <c r="K3059" s="2" t="s">
        <v>192</v>
      </c>
      <c r="L3059" s="22">
        <v>350</v>
      </c>
      <c r="M3059" s="22">
        <v>15050</v>
      </c>
      <c r="N3059" s="18">
        <v>16.100000000000001</v>
      </c>
      <c r="O3059" s="26">
        <v>45640</v>
      </c>
      <c r="P3059" s="2" t="s">
        <v>2105</v>
      </c>
      <c r="Q3059" s="2" t="s">
        <v>825</v>
      </c>
    </row>
    <row r="3060" spans="2:17" x14ac:dyDescent="0.25">
      <c r="B3060" s="2" t="s">
        <v>3865</v>
      </c>
      <c r="C3060" s="2" t="s">
        <v>326</v>
      </c>
      <c r="D3060" s="2" t="s">
        <v>327</v>
      </c>
      <c r="E3060" s="2" t="s">
        <v>71</v>
      </c>
      <c r="F3060" s="2" t="s">
        <v>535</v>
      </c>
      <c r="G3060" s="2" t="s">
        <v>495</v>
      </c>
      <c r="H3060" s="2" t="s">
        <v>496</v>
      </c>
      <c r="I3060" s="26">
        <v>45368</v>
      </c>
      <c r="J3060" s="2">
        <v>46</v>
      </c>
      <c r="K3060" s="2" t="s">
        <v>192</v>
      </c>
      <c r="L3060" s="22">
        <v>350</v>
      </c>
      <c r="M3060" s="22">
        <v>16100</v>
      </c>
      <c r="N3060" s="18">
        <v>17.22</v>
      </c>
      <c r="O3060" s="26">
        <v>45668</v>
      </c>
      <c r="P3060" s="2" t="s">
        <v>2105</v>
      </c>
      <c r="Q3060" s="2" t="s">
        <v>836</v>
      </c>
    </row>
    <row r="3061" spans="2:17" x14ac:dyDescent="0.25">
      <c r="B3061" s="2" t="s">
        <v>3866</v>
      </c>
      <c r="C3061" s="2" t="s">
        <v>326</v>
      </c>
      <c r="D3061" s="2" t="s">
        <v>327</v>
      </c>
      <c r="E3061" s="2" t="s">
        <v>71</v>
      </c>
      <c r="F3061" s="2" t="s">
        <v>535</v>
      </c>
      <c r="G3061" s="2" t="s">
        <v>495</v>
      </c>
      <c r="H3061" s="2" t="s">
        <v>496</v>
      </c>
      <c r="I3061" s="26">
        <v>45400</v>
      </c>
      <c r="J3061" s="2">
        <v>56</v>
      </c>
      <c r="K3061" s="2" t="s">
        <v>192</v>
      </c>
      <c r="L3061" s="22">
        <v>350</v>
      </c>
      <c r="M3061" s="22">
        <v>19600</v>
      </c>
      <c r="N3061" s="18">
        <v>20.96</v>
      </c>
      <c r="O3061" s="26">
        <v>45700</v>
      </c>
      <c r="P3061" s="2" t="s">
        <v>2105</v>
      </c>
      <c r="Q3061" s="2" t="s">
        <v>836</v>
      </c>
    </row>
    <row r="3062" spans="2:17" x14ac:dyDescent="0.25">
      <c r="B3062" s="2" t="s">
        <v>3867</v>
      </c>
      <c r="C3062" s="2" t="s">
        <v>326</v>
      </c>
      <c r="D3062" s="2" t="s">
        <v>327</v>
      </c>
      <c r="E3062" s="2" t="s">
        <v>71</v>
      </c>
      <c r="F3062" s="2" t="s">
        <v>535</v>
      </c>
      <c r="G3062" s="2" t="s">
        <v>495</v>
      </c>
      <c r="H3062" s="2" t="s">
        <v>496</v>
      </c>
      <c r="I3062" s="26">
        <v>45437</v>
      </c>
      <c r="J3062" s="2">
        <v>55</v>
      </c>
      <c r="K3062" s="2" t="s">
        <v>192</v>
      </c>
      <c r="L3062" s="22">
        <v>350</v>
      </c>
      <c r="M3062" s="22">
        <v>19250</v>
      </c>
      <c r="N3062" s="18">
        <v>20.59</v>
      </c>
      <c r="O3062" s="26">
        <v>45737</v>
      </c>
      <c r="P3062" s="2" t="s">
        <v>2105</v>
      </c>
      <c r="Q3062" s="2" t="s">
        <v>836</v>
      </c>
    </row>
    <row r="3063" spans="2:17" x14ac:dyDescent="0.25">
      <c r="B3063" s="2" t="s">
        <v>3868</v>
      </c>
      <c r="C3063" s="2" t="s">
        <v>326</v>
      </c>
      <c r="D3063" s="2" t="s">
        <v>327</v>
      </c>
      <c r="E3063" s="2" t="s">
        <v>71</v>
      </c>
      <c r="F3063" s="2" t="s">
        <v>535</v>
      </c>
      <c r="G3063" s="2" t="s">
        <v>495</v>
      </c>
      <c r="H3063" s="2" t="s">
        <v>496</v>
      </c>
      <c r="I3063" s="26">
        <v>45481</v>
      </c>
      <c r="J3063" s="2">
        <v>43</v>
      </c>
      <c r="K3063" s="2" t="s">
        <v>192</v>
      </c>
      <c r="L3063" s="22">
        <v>350</v>
      </c>
      <c r="M3063" s="22">
        <v>15050</v>
      </c>
      <c r="N3063" s="18">
        <v>16.100000000000001</v>
      </c>
      <c r="O3063" s="26">
        <v>45781</v>
      </c>
      <c r="P3063" s="2" t="s">
        <v>2105</v>
      </c>
      <c r="Q3063" s="2" t="s">
        <v>806</v>
      </c>
    </row>
    <row r="3064" spans="2:17" x14ac:dyDescent="0.25">
      <c r="B3064" s="2" t="s">
        <v>3869</v>
      </c>
      <c r="C3064" s="2" t="s">
        <v>326</v>
      </c>
      <c r="D3064" s="2" t="s">
        <v>327</v>
      </c>
      <c r="E3064" s="2" t="s">
        <v>71</v>
      </c>
      <c r="F3064" s="2" t="s">
        <v>537</v>
      </c>
      <c r="G3064" s="2" t="s">
        <v>500</v>
      </c>
      <c r="H3064" s="2" t="s">
        <v>501</v>
      </c>
      <c r="I3064" s="26">
        <v>45513</v>
      </c>
      <c r="J3064" s="2">
        <v>52</v>
      </c>
      <c r="K3064" s="2" t="s">
        <v>192</v>
      </c>
      <c r="L3064" s="22">
        <v>350</v>
      </c>
      <c r="M3064" s="22">
        <v>18200</v>
      </c>
      <c r="N3064" s="18">
        <v>19.47</v>
      </c>
      <c r="O3064" s="26">
        <v>45813</v>
      </c>
      <c r="P3064" s="2" t="s">
        <v>2105</v>
      </c>
      <c r="Q3064" s="2" t="s">
        <v>806</v>
      </c>
    </row>
    <row r="3065" spans="2:17" x14ac:dyDescent="0.25">
      <c r="B3065" s="2" t="s">
        <v>3870</v>
      </c>
      <c r="C3065" s="2" t="s">
        <v>326</v>
      </c>
      <c r="D3065" s="2" t="s">
        <v>327</v>
      </c>
      <c r="E3065" s="2" t="s">
        <v>71</v>
      </c>
      <c r="F3065" s="2" t="s">
        <v>535</v>
      </c>
      <c r="G3065" s="2" t="s">
        <v>495</v>
      </c>
      <c r="H3065" s="2" t="s">
        <v>496</v>
      </c>
      <c r="I3065" s="26">
        <v>45558</v>
      </c>
      <c r="J3065" s="2">
        <v>63</v>
      </c>
      <c r="K3065" s="2" t="s">
        <v>192</v>
      </c>
      <c r="L3065" s="22">
        <v>350</v>
      </c>
      <c r="M3065" s="22">
        <v>22050</v>
      </c>
      <c r="N3065" s="18">
        <v>23.58</v>
      </c>
      <c r="O3065" s="26">
        <v>45858</v>
      </c>
      <c r="P3065" s="2" t="s">
        <v>2105</v>
      </c>
      <c r="Q3065" s="2" t="s">
        <v>814</v>
      </c>
    </row>
    <row r="3066" spans="2:17" x14ac:dyDescent="0.25">
      <c r="B3066" s="2" t="s">
        <v>3871</v>
      </c>
      <c r="C3066" s="2" t="s">
        <v>326</v>
      </c>
      <c r="D3066" s="2" t="s">
        <v>327</v>
      </c>
      <c r="E3066" s="2" t="s">
        <v>71</v>
      </c>
      <c r="F3066" s="2" t="s">
        <v>535</v>
      </c>
      <c r="G3066" s="2" t="s">
        <v>495</v>
      </c>
      <c r="H3066" s="2" t="s">
        <v>496</v>
      </c>
      <c r="I3066" s="26">
        <v>45592</v>
      </c>
      <c r="J3066" s="2">
        <v>54</v>
      </c>
      <c r="K3066" s="2" t="s">
        <v>192</v>
      </c>
      <c r="L3066" s="22">
        <v>350</v>
      </c>
      <c r="M3066" s="22">
        <v>18900</v>
      </c>
      <c r="N3066" s="18">
        <v>20.21</v>
      </c>
      <c r="O3066" s="26">
        <v>45892</v>
      </c>
      <c r="P3066" s="2" t="s">
        <v>2105</v>
      </c>
      <c r="Q3066" s="2" t="s">
        <v>814</v>
      </c>
    </row>
    <row r="3067" spans="2:17" x14ac:dyDescent="0.25">
      <c r="B3067" s="2" t="s">
        <v>3872</v>
      </c>
      <c r="C3067" s="2" t="s">
        <v>326</v>
      </c>
      <c r="D3067" s="2" t="s">
        <v>327</v>
      </c>
      <c r="E3067" s="2" t="s">
        <v>71</v>
      </c>
      <c r="F3067" s="2" t="s">
        <v>535</v>
      </c>
      <c r="G3067" s="2" t="s">
        <v>495</v>
      </c>
      <c r="H3067" s="2" t="s">
        <v>496</v>
      </c>
      <c r="I3067" s="26">
        <v>45630</v>
      </c>
      <c r="J3067" s="2">
        <v>57</v>
      </c>
      <c r="K3067" s="2" t="s">
        <v>192</v>
      </c>
      <c r="L3067" s="22">
        <v>350</v>
      </c>
      <c r="M3067" s="22">
        <v>19950</v>
      </c>
      <c r="N3067" s="18">
        <v>21.34</v>
      </c>
      <c r="O3067" s="26">
        <v>45930</v>
      </c>
      <c r="P3067" s="2" t="s">
        <v>2105</v>
      </c>
      <c r="Q3067" s="2" t="s">
        <v>825</v>
      </c>
    </row>
    <row r="3068" spans="2:17" x14ac:dyDescent="0.25">
      <c r="B3068" s="2" t="s">
        <v>3873</v>
      </c>
      <c r="C3068" s="2" t="s">
        <v>326</v>
      </c>
      <c r="D3068" s="2" t="s">
        <v>327</v>
      </c>
      <c r="E3068" s="2" t="s">
        <v>71</v>
      </c>
      <c r="F3068" s="2" t="s">
        <v>535</v>
      </c>
      <c r="G3068" s="2" t="s">
        <v>495</v>
      </c>
      <c r="H3068" s="2" t="s">
        <v>496</v>
      </c>
      <c r="I3068" s="26">
        <v>45660</v>
      </c>
      <c r="J3068" s="2">
        <v>59</v>
      </c>
      <c r="K3068" s="2" t="s">
        <v>192</v>
      </c>
      <c r="L3068" s="22">
        <v>350</v>
      </c>
      <c r="M3068" s="22">
        <v>20650</v>
      </c>
      <c r="N3068" s="18">
        <v>22.09</v>
      </c>
      <c r="O3068" s="26">
        <v>45960</v>
      </c>
      <c r="P3068" s="2" t="s">
        <v>2105</v>
      </c>
      <c r="Q3068" s="2" t="s">
        <v>825</v>
      </c>
    </row>
    <row r="3069" spans="2:17" x14ac:dyDescent="0.25">
      <c r="B3069" s="2" t="s">
        <v>3874</v>
      </c>
      <c r="C3069" s="2" t="s">
        <v>326</v>
      </c>
      <c r="D3069" s="2" t="s">
        <v>327</v>
      </c>
      <c r="E3069" s="2" t="s">
        <v>71</v>
      </c>
      <c r="F3069" s="2" t="s">
        <v>535</v>
      </c>
      <c r="G3069" s="2" t="s">
        <v>495</v>
      </c>
      <c r="H3069" s="2" t="s">
        <v>496</v>
      </c>
      <c r="I3069" s="26">
        <v>45703</v>
      </c>
      <c r="J3069" s="2">
        <v>46</v>
      </c>
      <c r="K3069" s="2" t="s">
        <v>192</v>
      </c>
      <c r="L3069" s="22">
        <v>350</v>
      </c>
      <c r="M3069" s="22">
        <v>16100</v>
      </c>
      <c r="N3069" s="18">
        <v>17.22</v>
      </c>
      <c r="O3069" s="26">
        <v>46003</v>
      </c>
      <c r="P3069" s="2" t="s">
        <v>2105</v>
      </c>
      <c r="Q3069" s="2" t="s">
        <v>825</v>
      </c>
    </row>
    <row r="3070" spans="2:17" x14ac:dyDescent="0.25">
      <c r="B3070" s="2" t="s">
        <v>3875</v>
      </c>
      <c r="C3070" s="2" t="s">
        <v>326</v>
      </c>
      <c r="D3070" s="2" t="s">
        <v>327</v>
      </c>
      <c r="E3070" s="2" t="s">
        <v>71</v>
      </c>
      <c r="F3070" s="2" t="s">
        <v>535</v>
      </c>
      <c r="G3070" s="2" t="s">
        <v>495</v>
      </c>
      <c r="H3070" s="2" t="s">
        <v>496</v>
      </c>
      <c r="I3070" s="26">
        <v>45735</v>
      </c>
      <c r="J3070" s="2">
        <v>53</v>
      </c>
      <c r="K3070" s="2" t="s">
        <v>192</v>
      </c>
      <c r="L3070" s="22">
        <v>350</v>
      </c>
      <c r="M3070" s="22">
        <v>18550</v>
      </c>
      <c r="N3070" s="18">
        <v>19.84</v>
      </c>
      <c r="O3070" s="26">
        <v>46035</v>
      </c>
      <c r="P3070" s="2" t="s">
        <v>2105</v>
      </c>
      <c r="Q3070" s="2" t="s">
        <v>836</v>
      </c>
    </row>
    <row r="3071" spans="2:17" x14ac:dyDescent="0.25">
      <c r="B3071" s="2" t="s">
        <v>3876</v>
      </c>
      <c r="C3071" s="2" t="s">
        <v>326</v>
      </c>
      <c r="D3071" s="2" t="s">
        <v>327</v>
      </c>
      <c r="E3071" s="2" t="s">
        <v>71</v>
      </c>
      <c r="F3071" s="2" t="s">
        <v>535</v>
      </c>
      <c r="G3071" s="2" t="s">
        <v>495</v>
      </c>
      <c r="H3071" s="2" t="s">
        <v>496</v>
      </c>
      <c r="I3071" s="26">
        <v>45774</v>
      </c>
      <c r="J3071" s="2">
        <v>57</v>
      </c>
      <c r="K3071" s="2" t="s">
        <v>192</v>
      </c>
      <c r="L3071" s="22">
        <v>350</v>
      </c>
      <c r="M3071" s="22">
        <v>19950</v>
      </c>
      <c r="N3071" s="18">
        <v>21.34</v>
      </c>
      <c r="O3071" s="26">
        <v>46074</v>
      </c>
      <c r="P3071" s="2" t="s">
        <v>2105</v>
      </c>
      <c r="Q3071" s="2" t="s">
        <v>836</v>
      </c>
    </row>
    <row r="3072" spans="2:17" x14ac:dyDescent="0.25">
      <c r="B3072" s="2" t="s">
        <v>3877</v>
      </c>
      <c r="C3072" s="2" t="s">
        <v>326</v>
      </c>
      <c r="D3072" s="2" t="s">
        <v>327</v>
      </c>
      <c r="E3072" s="2" t="s">
        <v>71</v>
      </c>
      <c r="F3072" s="2" t="s">
        <v>535</v>
      </c>
      <c r="G3072" s="2" t="s">
        <v>495</v>
      </c>
      <c r="H3072" s="2" t="s">
        <v>496</v>
      </c>
      <c r="I3072" s="26">
        <v>45807</v>
      </c>
      <c r="J3072" s="2">
        <v>52</v>
      </c>
      <c r="K3072" s="2" t="s">
        <v>192</v>
      </c>
      <c r="L3072" s="22">
        <v>350</v>
      </c>
      <c r="M3072" s="22">
        <v>18200</v>
      </c>
      <c r="N3072" s="18">
        <v>19.47</v>
      </c>
      <c r="O3072" s="26">
        <v>46107</v>
      </c>
      <c r="P3072" s="2" t="s">
        <v>2105</v>
      </c>
      <c r="Q3072" s="2" t="s">
        <v>836</v>
      </c>
    </row>
    <row r="3073" spans="2:17" x14ac:dyDescent="0.25">
      <c r="B3073" s="2" t="s">
        <v>3878</v>
      </c>
      <c r="C3073" s="2" t="s">
        <v>328</v>
      </c>
      <c r="D3073" s="2" t="s">
        <v>329</v>
      </c>
      <c r="E3073" s="2" t="s">
        <v>71</v>
      </c>
      <c r="F3073" s="2" t="s">
        <v>535</v>
      </c>
      <c r="G3073" s="2" t="s">
        <v>495</v>
      </c>
      <c r="H3073" s="2" t="s">
        <v>496</v>
      </c>
      <c r="I3073" s="26">
        <v>45109</v>
      </c>
      <c r="J3073" s="2">
        <v>56</v>
      </c>
      <c r="K3073" s="2" t="s">
        <v>177</v>
      </c>
      <c r="L3073" s="22">
        <v>650</v>
      </c>
      <c r="M3073" s="22">
        <v>36400</v>
      </c>
      <c r="N3073" s="18">
        <v>38.93</v>
      </c>
      <c r="O3073" s="26">
        <v>45409</v>
      </c>
      <c r="P3073" s="2" t="s">
        <v>2105</v>
      </c>
      <c r="Q3073" s="2" t="s">
        <v>806</v>
      </c>
    </row>
    <row r="3074" spans="2:17" x14ac:dyDescent="0.25">
      <c r="B3074" s="2" t="s">
        <v>3879</v>
      </c>
      <c r="C3074" s="2" t="s">
        <v>328</v>
      </c>
      <c r="D3074" s="2" t="s">
        <v>329</v>
      </c>
      <c r="E3074" s="2" t="s">
        <v>71</v>
      </c>
      <c r="F3074" s="2" t="s">
        <v>535</v>
      </c>
      <c r="G3074" s="2" t="s">
        <v>495</v>
      </c>
      <c r="H3074" s="2" t="s">
        <v>496</v>
      </c>
      <c r="I3074" s="26">
        <v>45148</v>
      </c>
      <c r="J3074" s="2">
        <v>53</v>
      </c>
      <c r="K3074" s="2" t="s">
        <v>177</v>
      </c>
      <c r="L3074" s="22">
        <v>650</v>
      </c>
      <c r="M3074" s="22">
        <v>34450</v>
      </c>
      <c r="N3074" s="18">
        <v>36.840000000000003</v>
      </c>
      <c r="O3074" s="26">
        <v>45448</v>
      </c>
      <c r="P3074" s="2" t="s">
        <v>2105</v>
      </c>
      <c r="Q3074" s="2" t="s">
        <v>806</v>
      </c>
    </row>
    <row r="3075" spans="2:17" x14ac:dyDescent="0.25">
      <c r="B3075" s="2" t="s">
        <v>3880</v>
      </c>
      <c r="C3075" s="2" t="s">
        <v>328</v>
      </c>
      <c r="D3075" s="2" t="s">
        <v>329</v>
      </c>
      <c r="E3075" s="2" t="s">
        <v>71</v>
      </c>
      <c r="F3075" s="2" t="s">
        <v>535</v>
      </c>
      <c r="G3075" s="2" t="s">
        <v>495</v>
      </c>
      <c r="H3075" s="2" t="s">
        <v>496</v>
      </c>
      <c r="I3075" s="26">
        <v>45192</v>
      </c>
      <c r="J3075" s="2">
        <v>55</v>
      </c>
      <c r="K3075" s="2" t="s">
        <v>177</v>
      </c>
      <c r="L3075" s="22">
        <v>650</v>
      </c>
      <c r="M3075" s="22">
        <v>35750</v>
      </c>
      <c r="N3075" s="18">
        <v>38.24</v>
      </c>
      <c r="O3075" s="26">
        <v>45492</v>
      </c>
      <c r="P3075" s="2" t="s">
        <v>2105</v>
      </c>
      <c r="Q3075" s="2" t="s">
        <v>814</v>
      </c>
    </row>
    <row r="3076" spans="2:17" x14ac:dyDescent="0.25">
      <c r="B3076" s="2" t="s">
        <v>3881</v>
      </c>
      <c r="C3076" s="2" t="s">
        <v>328</v>
      </c>
      <c r="D3076" s="2" t="s">
        <v>329</v>
      </c>
      <c r="E3076" s="2" t="s">
        <v>71</v>
      </c>
      <c r="F3076" s="2" t="s">
        <v>535</v>
      </c>
      <c r="G3076" s="2" t="s">
        <v>495</v>
      </c>
      <c r="H3076" s="2" t="s">
        <v>496</v>
      </c>
      <c r="I3076" s="26">
        <v>45220</v>
      </c>
      <c r="J3076" s="2">
        <v>52</v>
      </c>
      <c r="K3076" s="2" t="s">
        <v>177</v>
      </c>
      <c r="L3076" s="22">
        <v>650</v>
      </c>
      <c r="M3076" s="22">
        <v>33800</v>
      </c>
      <c r="N3076" s="18">
        <v>36.15</v>
      </c>
      <c r="O3076" s="26">
        <v>45520</v>
      </c>
      <c r="P3076" s="2" t="s">
        <v>2105</v>
      </c>
      <c r="Q3076" s="2" t="s">
        <v>814</v>
      </c>
    </row>
    <row r="3077" spans="2:17" x14ac:dyDescent="0.25">
      <c r="B3077" s="2" t="s">
        <v>3882</v>
      </c>
      <c r="C3077" s="2" t="s">
        <v>328</v>
      </c>
      <c r="D3077" s="2" t="s">
        <v>329</v>
      </c>
      <c r="E3077" s="2" t="s">
        <v>71</v>
      </c>
      <c r="F3077" s="2" t="s">
        <v>535</v>
      </c>
      <c r="G3077" s="2" t="s">
        <v>495</v>
      </c>
      <c r="H3077" s="2" t="s">
        <v>496</v>
      </c>
      <c r="I3077" s="26">
        <v>45252</v>
      </c>
      <c r="J3077" s="2">
        <v>54</v>
      </c>
      <c r="K3077" s="2" t="s">
        <v>177</v>
      </c>
      <c r="L3077" s="22">
        <v>650</v>
      </c>
      <c r="M3077" s="22">
        <v>35100</v>
      </c>
      <c r="N3077" s="18">
        <v>37.54</v>
      </c>
      <c r="O3077" s="26">
        <v>45552</v>
      </c>
      <c r="P3077" s="2" t="s">
        <v>2105</v>
      </c>
      <c r="Q3077" s="2" t="s">
        <v>814</v>
      </c>
    </row>
    <row r="3078" spans="2:17" x14ac:dyDescent="0.25">
      <c r="B3078" s="2" t="s">
        <v>3883</v>
      </c>
      <c r="C3078" s="2" t="s">
        <v>328</v>
      </c>
      <c r="D3078" s="2" t="s">
        <v>329</v>
      </c>
      <c r="E3078" s="2" t="s">
        <v>71</v>
      </c>
      <c r="F3078" s="2" t="s">
        <v>535</v>
      </c>
      <c r="G3078" s="2" t="s">
        <v>495</v>
      </c>
      <c r="H3078" s="2" t="s">
        <v>496</v>
      </c>
      <c r="I3078" s="26">
        <v>45286</v>
      </c>
      <c r="J3078" s="2">
        <v>57</v>
      </c>
      <c r="K3078" s="2" t="s">
        <v>177</v>
      </c>
      <c r="L3078" s="22">
        <v>650</v>
      </c>
      <c r="M3078" s="22">
        <v>37050</v>
      </c>
      <c r="N3078" s="18">
        <v>39.630000000000003</v>
      </c>
      <c r="O3078" s="26">
        <v>45586</v>
      </c>
      <c r="P3078" s="2" t="s">
        <v>2105</v>
      </c>
      <c r="Q3078" s="2" t="s">
        <v>825</v>
      </c>
    </row>
    <row r="3079" spans="2:17" x14ac:dyDescent="0.25">
      <c r="B3079" s="2" t="s">
        <v>3884</v>
      </c>
      <c r="C3079" s="2" t="s">
        <v>328</v>
      </c>
      <c r="D3079" s="2" t="s">
        <v>329</v>
      </c>
      <c r="E3079" s="2" t="s">
        <v>71</v>
      </c>
      <c r="F3079" s="2" t="s">
        <v>535</v>
      </c>
      <c r="G3079" s="2" t="s">
        <v>495</v>
      </c>
      <c r="H3079" s="2" t="s">
        <v>496</v>
      </c>
      <c r="I3079" s="26">
        <v>45324</v>
      </c>
      <c r="J3079" s="2">
        <v>57</v>
      </c>
      <c r="K3079" s="2" t="s">
        <v>177</v>
      </c>
      <c r="L3079" s="22">
        <v>650</v>
      </c>
      <c r="M3079" s="22">
        <v>37050</v>
      </c>
      <c r="N3079" s="18">
        <v>39.630000000000003</v>
      </c>
      <c r="O3079" s="26">
        <v>45624</v>
      </c>
      <c r="P3079" s="2" t="s">
        <v>2105</v>
      </c>
      <c r="Q3079" s="2" t="s">
        <v>825</v>
      </c>
    </row>
    <row r="3080" spans="2:17" x14ac:dyDescent="0.25">
      <c r="B3080" s="2" t="s">
        <v>3885</v>
      </c>
      <c r="C3080" s="2" t="s">
        <v>328</v>
      </c>
      <c r="D3080" s="2" t="s">
        <v>329</v>
      </c>
      <c r="E3080" s="2" t="s">
        <v>71</v>
      </c>
      <c r="F3080" s="2" t="s">
        <v>535</v>
      </c>
      <c r="G3080" s="2" t="s">
        <v>495</v>
      </c>
      <c r="H3080" s="2" t="s">
        <v>496</v>
      </c>
      <c r="I3080" s="26">
        <v>45361</v>
      </c>
      <c r="J3080" s="2">
        <v>53</v>
      </c>
      <c r="K3080" s="2" t="s">
        <v>177</v>
      </c>
      <c r="L3080" s="22">
        <v>650</v>
      </c>
      <c r="M3080" s="22">
        <v>34450</v>
      </c>
      <c r="N3080" s="18">
        <v>36.840000000000003</v>
      </c>
      <c r="O3080" s="26">
        <v>45661</v>
      </c>
      <c r="P3080" s="2" t="s">
        <v>2105</v>
      </c>
      <c r="Q3080" s="2" t="s">
        <v>836</v>
      </c>
    </row>
    <row r="3081" spans="2:17" x14ac:dyDescent="0.25">
      <c r="B3081" s="2" t="s">
        <v>3886</v>
      </c>
      <c r="C3081" s="2" t="s">
        <v>328</v>
      </c>
      <c r="D3081" s="2" t="s">
        <v>329</v>
      </c>
      <c r="E3081" s="2" t="s">
        <v>71</v>
      </c>
      <c r="F3081" s="2" t="s">
        <v>535</v>
      </c>
      <c r="G3081" s="2" t="s">
        <v>495</v>
      </c>
      <c r="H3081" s="2" t="s">
        <v>496</v>
      </c>
      <c r="I3081" s="26">
        <v>45403</v>
      </c>
      <c r="J3081" s="2">
        <v>48</v>
      </c>
      <c r="K3081" s="2" t="s">
        <v>177</v>
      </c>
      <c r="L3081" s="22">
        <v>650</v>
      </c>
      <c r="M3081" s="22">
        <v>31200</v>
      </c>
      <c r="N3081" s="18">
        <v>33.369999999999997</v>
      </c>
      <c r="O3081" s="26">
        <v>45703</v>
      </c>
      <c r="P3081" s="2" t="s">
        <v>2105</v>
      </c>
      <c r="Q3081" s="2" t="s">
        <v>836</v>
      </c>
    </row>
    <row r="3082" spans="2:17" x14ac:dyDescent="0.25">
      <c r="B3082" s="2" t="s">
        <v>3887</v>
      </c>
      <c r="C3082" s="2" t="s">
        <v>328</v>
      </c>
      <c r="D3082" s="2" t="s">
        <v>329</v>
      </c>
      <c r="E3082" s="2" t="s">
        <v>71</v>
      </c>
      <c r="F3082" s="2" t="s">
        <v>535</v>
      </c>
      <c r="G3082" s="2" t="s">
        <v>495</v>
      </c>
      <c r="H3082" s="2" t="s">
        <v>496</v>
      </c>
      <c r="I3082" s="26">
        <v>45432</v>
      </c>
      <c r="J3082" s="2">
        <v>51</v>
      </c>
      <c r="K3082" s="2" t="s">
        <v>177</v>
      </c>
      <c r="L3082" s="22">
        <v>650</v>
      </c>
      <c r="M3082" s="22">
        <v>33150</v>
      </c>
      <c r="N3082" s="18">
        <v>35.450000000000003</v>
      </c>
      <c r="O3082" s="26">
        <v>45732</v>
      </c>
      <c r="P3082" s="2" t="s">
        <v>2105</v>
      </c>
      <c r="Q3082" s="2" t="s">
        <v>836</v>
      </c>
    </row>
    <row r="3083" spans="2:17" x14ac:dyDescent="0.25">
      <c r="B3083" s="2" t="s">
        <v>3888</v>
      </c>
      <c r="C3083" s="2" t="s">
        <v>328</v>
      </c>
      <c r="D3083" s="2" t="s">
        <v>329</v>
      </c>
      <c r="E3083" s="2" t="s">
        <v>71</v>
      </c>
      <c r="F3083" s="2" t="s">
        <v>535</v>
      </c>
      <c r="G3083" s="2" t="s">
        <v>495</v>
      </c>
      <c r="H3083" s="2" t="s">
        <v>496</v>
      </c>
      <c r="I3083" s="26">
        <v>45461</v>
      </c>
      <c r="J3083" s="2">
        <v>54</v>
      </c>
      <c r="K3083" s="2" t="s">
        <v>177</v>
      </c>
      <c r="L3083" s="22">
        <v>650</v>
      </c>
      <c r="M3083" s="22">
        <v>35100</v>
      </c>
      <c r="N3083" s="18">
        <v>37.54</v>
      </c>
      <c r="O3083" s="26">
        <v>45761</v>
      </c>
      <c r="P3083" s="2" t="s">
        <v>2105</v>
      </c>
      <c r="Q3083" s="2" t="s">
        <v>806</v>
      </c>
    </row>
    <row r="3084" spans="2:17" x14ac:dyDescent="0.25">
      <c r="B3084" s="2" t="s">
        <v>3889</v>
      </c>
      <c r="C3084" s="2" t="s">
        <v>328</v>
      </c>
      <c r="D3084" s="2" t="s">
        <v>329</v>
      </c>
      <c r="E3084" s="2" t="s">
        <v>71</v>
      </c>
      <c r="F3084" s="2" t="s">
        <v>535</v>
      </c>
      <c r="G3084" s="2" t="s">
        <v>495</v>
      </c>
      <c r="H3084" s="2" t="s">
        <v>496</v>
      </c>
      <c r="I3084" s="26">
        <v>45496</v>
      </c>
      <c r="J3084" s="2">
        <v>52</v>
      </c>
      <c r="K3084" s="2" t="s">
        <v>177</v>
      </c>
      <c r="L3084" s="22">
        <v>650</v>
      </c>
      <c r="M3084" s="22">
        <v>33800</v>
      </c>
      <c r="N3084" s="18">
        <v>36.15</v>
      </c>
      <c r="O3084" s="26">
        <v>45796</v>
      </c>
      <c r="P3084" s="2" t="s">
        <v>2105</v>
      </c>
      <c r="Q3084" s="2" t="s">
        <v>806</v>
      </c>
    </row>
    <row r="3085" spans="2:17" x14ac:dyDescent="0.25">
      <c r="B3085" s="2" t="s">
        <v>3890</v>
      </c>
      <c r="C3085" s="2" t="s">
        <v>328</v>
      </c>
      <c r="D3085" s="2" t="s">
        <v>329</v>
      </c>
      <c r="E3085" s="2" t="s">
        <v>71</v>
      </c>
      <c r="F3085" s="2" t="s">
        <v>535</v>
      </c>
      <c r="G3085" s="2" t="s">
        <v>495</v>
      </c>
      <c r="H3085" s="2" t="s">
        <v>496</v>
      </c>
      <c r="I3085" s="26">
        <v>45528</v>
      </c>
      <c r="J3085" s="2">
        <v>43</v>
      </c>
      <c r="K3085" s="2" t="s">
        <v>177</v>
      </c>
      <c r="L3085" s="22">
        <v>650</v>
      </c>
      <c r="M3085" s="22">
        <v>27950</v>
      </c>
      <c r="N3085" s="18">
        <v>29.89</v>
      </c>
      <c r="O3085" s="26">
        <v>45828</v>
      </c>
      <c r="P3085" s="2" t="s">
        <v>2105</v>
      </c>
      <c r="Q3085" s="2" t="s">
        <v>806</v>
      </c>
    </row>
    <row r="3086" spans="2:17" x14ac:dyDescent="0.25">
      <c r="B3086" s="2" t="s">
        <v>3891</v>
      </c>
      <c r="C3086" s="2" t="s">
        <v>328</v>
      </c>
      <c r="D3086" s="2" t="s">
        <v>329</v>
      </c>
      <c r="E3086" s="2" t="s">
        <v>71</v>
      </c>
      <c r="F3086" s="2" t="s">
        <v>535</v>
      </c>
      <c r="G3086" s="2" t="s">
        <v>495</v>
      </c>
      <c r="H3086" s="2" t="s">
        <v>496</v>
      </c>
      <c r="I3086" s="26">
        <v>45566</v>
      </c>
      <c r="J3086" s="2">
        <v>54</v>
      </c>
      <c r="K3086" s="2" t="s">
        <v>177</v>
      </c>
      <c r="L3086" s="22">
        <v>650</v>
      </c>
      <c r="M3086" s="22">
        <v>35100</v>
      </c>
      <c r="N3086" s="18">
        <v>37.54</v>
      </c>
      <c r="O3086" s="26">
        <v>45866</v>
      </c>
      <c r="P3086" s="2" t="s">
        <v>2105</v>
      </c>
      <c r="Q3086" s="2" t="s">
        <v>814</v>
      </c>
    </row>
    <row r="3087" spans="2:17" x14ac:dyDescent="0.25">
      <c r="B3087" s="2" t="s">
        <v>3892</v>
      </c>
      <c r="C3087" s="2" t="s">
        <v>328</v>
      </c>
      <c r="D3087" s="2" t="s">
        <v>329</v>
      </c>
      <c r="E3087" s="2" t="s">
        <v>71</v>
      </c>
      <c r="F3087" s="2" t="s">
        <v>535</v>
      </c>
      <c r="G3087" s="2" t="s">
        <v>495</v>
      </c>
      <c r="H3087" s="2" t="s">
        <v>496</v>
      </c>
      <c r="I3087" s="26">
        <v>45593</v>
      </c>
      <c r="J3087" s="2">
        <v>55</v>
      </c>
      <c r="K3087" s="2" t="s">
        <v>177</v>
      </c>
      <c r="L3087" s="22">
        <v>650</v>
      </c>
      <c r="M3087" s="22">
        <v>35750</v>
      </c>
      <c r="N3087" s="18">
        <v>38.24</v>
      </c>
      <c r="O3087" s="26">
        <v>45893</v>
      </c>
      <c r="P3087" s="2" t="s">
        <v>2105</v>
      </c>
      <c r="Q3087" s="2" t="s">
        <v>814</v>
      </c>
    </row>
    <row r="3088" spans="2:17" x14ac:dyDescent="0.25">
      <c r="B3088" s="2" t="s">
        <v>3893</v>
      </c>
      <c r="C3088" s="2" t="s">
        <v>328</v>
      </c>
      <c r="D3088" s="2" t="s">
        <v>329</v>
      </c>
      <c r="E3088" s="2" t="s">
        <v>71</v>
      </c>
      <c r="F3088" s="2" t="s">
        <v>535</v>
      </c>
      <c r="G3088" s="2" t="s">
        <v>495</v>
      </c>
      <c r="H3088" s="2" t="s">
        <v>496</v>
      </c>
      <c r="I3088" s="26">
        <v>45624</v>
      </c>
      <c r="J3088" s="2">
        <v>49</v>
      </c>
      <c r="K3088" s="2" t="s">
        <v>177</v>
      </c>
      <c r="L3088" s="22">
        <v>650</v>
      </c>
      <c r="M3088" s="22">
        <v>31850</v>
      </c>
      <c r="N3088" s="18">
        <v>34.06</v>
      </c>
      <c r="O3088" s="26">
        <v>45924</v>
      </c>
      <c r="P3088" s="2" t="s">
        <v>2105</v>
      </c>
      <c r="Q3088" s="2" t="s">
        <v>814</v>
      </c>
    </row>
    <row r="3089" spans="2:17" x14ac:dyDescent="0.25">
      <c r="B3089" s="2" t="s">
        <v>3894</v>
      </c>
      <c r="C3089" s="2" t="s">
        <v>328</v>
      </c>
      <c r="D3089" s="2" t="s">
        <v>329</v>
      </c>
      <c r="E3089" s="2" t="s">
        <v>71</v>
      </c>
      <c r="F3089" s="2" t="s">
        <v>535</v>
      </c>
      <c r="G3089" s="2" t="s">
        <v>495</v>
      </c>
      <c r="H3089" s="2" t="s">
        <v>496</v>
      </c>
      <c r="I3089" s="26">
        <v>45656</v>
      </c>
      <c r="J3089" s="2">
        <v>62</v>
      </c>
      <c r="K3089" s="2" t="s">
        <v>177</v>
      </c>
      <c r="L3089" s="22">
        <v>650</v>
      </c>
      <c r="M3089" s="22">
        <v>40300</v>
      </c>
      <c r="N3089" s="18">
        <v>43.1</v>
      </c>
      <c r="O3089" s="26">
        <v>45956</v>
      </c>
      <c r="P3089" s="2" t="s">
        <v>2105</v>
      </c>
      <c r="Q3089" s="2" t="s">
        <v>825</v>
      </c>
    </row>
    <row r="3090" spans="2:17" x14ac:dyDescent="0.25">
      <c r="B3090" s="2" t="s">
        <v>3895</v>
      </c>
      <c r="C3090" s="2" t="s">
        <v>328</v>
      </c>
      <c r="D3090" s="2" t="s">
        <v>329</v>
      </c>
      <c r="E3090" s="2" t="s">
        <v>71</v>
      </c>
      <c r="F3090" s="2" t="s">
        <v>537</v>
      </c>
      <c r="G3090" s="2" t="s">
        <v>500</v>
      </c>
      <c r="H3090" s="2" t="s">
        <v>501</v>
      </c>
      <c r="I3090" s="26">
        <v>45684</v>
      </c>
      <c r="J3090" s="2">
        <v>48</v>
      </c>
      <c r="K3090" s="2" t="s">
        <v>177</v>
      </c>
      <c r="L3090" s="22">
        <v>750</v>
      </c>
      <c r="M3090" s="22">
        <v>36000</v>
      </c>
      <c r="N3090" s="18">
        <v>38.5</v>
      </c>
      <c r="O3090" s="26">
        <v>45984</v>
      </c>
      <c r="P3090" s="2" t="s">
        <v>2105</v>
      </c>
      <c r="Q3090" s="2" t="s">
        <v>825</v>
      </c>
    </row>
    <row r="3091" spans="2:17" x14ac:dyDescent="0.25">
      <c r="B3091" s="2" t="s">
        <v>3896</v>
      </c>
      <c r="C3091" s="2" t="s">
        <v>328</v>
      </c>
      <c r="D3091" s="2" t="s">
        <v>329</v>
      </c>
      <c r="E3091" s="2" t="s">
        <v>71</v>
      </c>
      <c r="F3091" s="2" t="s">
        <v>535</v>
      </c>
      <c r="G3091" s="2" t="s">
        <v>495</v>
      </c>
      <c r="H3091" s="2" t="s">
        <v>496</v>
      </c>
      <c r="I3091" s="26">
        <v>45724</v>
      </c>
      <c r="J3091" s="2">
        <v>47</v>
      </c>
      <c r="K3091" s="2" t="s">
        <v>177</v>
      </c>
      <c r="L3091" s="22">
        <v>650</v>
      </c>
      <c r="M3091" s="22">
        <v>30550</v>
      </c>
      <c r="N3091" s="18">
        <v>32.67</v>
      </c>
      <c r="O3091" s="26">
        <v>46024</v>
      </c>
      <c r="P3091" s="2" t="s">
        <v>2105</v>
      </c>
      <c r="Q3091" s="2" t="s">
        <v>836</v>
      </c>
    </row>
    <row r="3092" spans="2:17" x14ac:dyDescent="0.25">
      <c r="B3092" s="2" t="s">
        <v>3897</v>
      </c>
      <c r="C3092" s="2" t="s">
        <v>328</v>
      </c>
      <c r="D3092" s="2" t="s">
        <v>329</v>
      </c>
      <c r="E3092" s="2" t="s">
        <v>71</v>
      </c>
      <c r="F3092" s="2" t="s">
        <v>535</v>
      </c>
      <c r="G3092" s="2" t="s">
        <v>495</v>
      </c>
      <c r="H3092" s="2" t="s">
        <v>496</v>
      </c>
      <c r="I3092" s="26">
        <v>45763</v>
      </c>
      <c r="J3092" s="2">
        <v>62</v>
      </c>
      <c r="K3092" s="2" t="s">
        <v>177</v>
      </c>
      <c r="L3092" s="22">
        <v>650</v>
      </c>
      <c r="M3092" s="22">
        <v>40300</v>
      </c>
      <c r="N3092" s="18">
        <v>43.1</v>
      </c>
      <c r="O3092" s="26">
        <v>46063</v>
      </c>
      <c r="P3092" s="2" t="s">
        <v>2105</v>
      </c>
      <c r="Q3092" s="2" t="s">
        <v>836</v>
      </c>
    </row>
    <row r="3093" spans="2:17" x14ac:dyDescent="0.25">
      <c r="B3093" s="2" t="s">
        <v>3898</v>
      </c>
      <c r="C3093" s="2" t="s">
        <v>328</v>
      </c>
      <c r="D3093" s="2" t="s">
        <v>329</v>
      </c>
      <c r="E3093" s="2" t="s">
        <v>71</v>
      </c>
      <c r="F3093" s="2" t="s">
        <v>535</v>
      </c>
      <c r="G3093" s="2" t="s">
        <v>495</v>
      </c>
      <c r="H3093" s="2" t="s">
        <v>496</v>
      </c>
      <c r="I3093" s="26">
        <v>45801</v>
      </c>
      <c r="J3093" s="2">
        <v>48</v>
      </c>
      <c r="K3093" s="2" t="s">
        <v>177</v>
      </c>
      <c r="L3093" s="22">
        <v>650</v>
      </c>
      <c r="M3093" s="22">
        <v>31200</v>
      </c>
      <c r="N3093" s="18">
        <v>33.369999999999997</v>
      </c>
      <c r="O3093" s="26">
        <v>46101</v>
      </c>
      <c r="P3093" s="2" t="s">
        <v>2105</v>
      </c>
      <c r="Q3093" s="2" t="s">
        <v>836</v>
      </c>
    </row>
    <row r="3094" spans="2:17" x14ac:dyDescent="0.25">
      <c r="B3094" s="2" t="s">
        <v>3899</v>
      </c>
      <c r="C3094" s="2" t="s">
        <v>330</v>
      </c>
      <c r="D3094" s="2" t="s">
        <v>331</v>
      </c>
      <c r="E3094" s="2" t="s">
        <v>71</v>
      </c>
      <c r="F3094" s="2" t="s">
        <v>535</v>
      </c>
      <c r="G3094" s="2" t="s">
        <v>495</v>
      </c>
      <c r="H3094" s="2" t="s">
        <v>496</v>
      </c>
      <c r="I3094" s="26">
        <v>45111</v>
      </c>
      <c r="J3094" s="2">
        <v>49</v>
      </c>
      <c r="K3094" s="2" t="s">
        <v>177</v>
      </c>
      <c r="L3094" s="22">
        <v>700</v>
      </c>
      <c r="M3094" s="22">
        <v>34300</v>
      </c>
      <c r="N3094" s="18">
        <v>36.68</v>
      </c>
      <c r="O3094" s="26">
        <v>45411</v>
      </c>
      <c r="P3094" s="2" t="s">
        <v>2105</v>
      </c>
      <c r="Q3094" s="2" t="s">
        <v>806</v>
      </c>
    </row>
    <row r="3095" spans="2:17" x14ac:dyDescent="0.25">
      <c r="B3095" s="2" t="s">
        <v>3900</v>
      </c>
      <c r="C3095" s="2" t="s">
        <v>330</v>
      </c>
      <c r="D3095" s="2" t="s">
        <v>331</v>
      </c>
      <c r="E3095" s="2" t="s">
        <v>71</v>
      </c>
      <c r="F3095" s="2" t="s">
        <v>535</v>
      </c>
      <c r="G3095" s="2" t="s">
        <v>495</v>
      </c>
      <c r="H3095" s="2" t="s">
        <v>496</v>
      </c>
      <c r="I3095" s="26">
        <v>45147</v>
      </c>
      <c r="J3095" s="2">
        <v>54</v>
      </c>
      <c r="K3095" s="2" t="s">
        <v>177</v>
      </c>
      <c r="L3095" s="22">
        <v>700</v>
      </c>
      <c r="M3095" s="22">
        <v>37800</v>
      </c>
      <c r="N3095" s="18">
        <v>40.43</v>
      </c>
      <c r="O3095" s="26">
        <v>45447</v>
      </c>
      <c r="P3095" s="2" t="s">
        <v>2105</v>
      </c>
      <c r="Q3095" s="2" t="s">
        <v>806</v>
      </c>
    </row>
    <row r="3096" spans="2:17" x14ac:dyDescent="0.25">
      <c r="B3096" s="2" t="s">
        <v>3901</v>
      </c>
      <c r="C3096" s="2" t="s">
        <v>330</v>
      </c>
      <c r="D3096" s="2" t="s">
        <v>331</v>
      </c>
      <c r="E3096" s="2" t="s">
        <v>71</v>
      </c>
      <c r="F3096" s="2" t="s">
        <v>535</v>
      </c>
      <c r="G3096" s="2" t="s">
        <v>495</v>
      </c>
      <c r="H3096" s="2" t="s">
        <v>496</v>
      </c>
      <c r="I3096" s="26">
        <v>45178</v>
      </c>
      <c r="J3096" s="2">
        <v>59</v>
      </c>
      <c r="K3096" s="2" t="s">
        <v>177</v>
      </c>
      <c r="L3096" s="22">
        <v>700</v>
      </c>
      <c r="M3096" s="22">
        <v>41300</v>
      </c>
      <c r="N3096" s="18">
        <v>44.17</v>
      </c>
      <c r="O3096" s="26">
        <v>45478</v>
      </c>
      <c r="P3096" s="2" t="s">
        <v>2105</v>
      </c>
      <c r="Q3096" s="2" t="s">
        <v>814</v>
      </c>
    </row>
    <row r="3097" spans="2:17" x14ac:dyDescent="0.25">
      <c r="B3097" s="2" t="s">
        <v>3902</v>
      </c>
      <c r="C3097" s="2" t="s">
        <v>330</v>
      </c>
      <c r="D3097" s="2" t="s">
        <v>331</v>
      </c>
      <c r="E3097" s="2" t="s">
        <v>71</v>
      </c>
      <c r="F3097" s="2" t="s">
        <v>535</v>
      </c>
      <c r="G3097" s="2" t="s">
        <v>495</v>
      </c>
      <c r="H3097" s="2" t="s">
        <v>496</v>
      </c>
      <c r="I3097" s="26">
        <v>45210</v>
      </c>
      <c r="J3097" s="2">
        <v>46</v>
      </c>
      <c r="K3097" s="2" t="s">
        <v>177</v>
      </c>
      <c r="L3097" s="22">
        <v>700</v>
      </c>
      <c r="M3097" s="22">
        <v>32200</v>
      </c>
      <c r="N3097" s="18">
        <v>34.44</v>
      </c>
      <c r="O3097" s="26">
        <v>45510</v>
      </c>
      <c r="P3097" s="2" t="s">
        <v>2105</v>
      </c>
      <c r="Q3097" s="2" t="s">
        <v>814</v>
      </c>
    </row>
    <row r="3098" spans="2:17" x14ac:dyDescent="0.25">
      <c r="B3098" s="2" t="s">
        <v>3903</v>
      </c>
      <c r="C3098" s="2" t="s">
        <v>330</v>
      </c>
      <c r="D3098" s="2" t="s">
        <v>331</v>
      </c>
      <c r="E3098" s="2" t="s">
        <v>71</v>
      </c>
      <c r="F3098" s="2" t="s">
        <v>537</v>
      </c>
      <c r="G3098" s="2" t="s">
        <v>500</v>
      </c>
      <c r="H3098" s="2" t="s">
        <v>501</v>
      </c>
      <c r="I3098" s="26">
        <v>45242</v>
      </c>
      <c r="J3098" s="2">
        <v>53</v>
      </c>
      <c r="K3098" s="2" t="s">
        <v>177</v>
      </c>
      <c r="L3098" s="22">
        <v>700</v>
      </c>
      <c r="M3098" s="22">
        <v>37100</v>
      </c>
      <c r="N3098" s="18">
        <v>39.68</v>
      </c>
      <c r="O3098" s="26">
        <v>45542</v>
      </c>
      <c r="P3098" s="2" t="s">
        <v>2105</v>
      </c>
      <c r="Q3098" s="2" t="s">
        <v>814</v>
      </c>
    </row>
    <row r="3099" spans="2:17" x14ac:dyDescent="0.25">
      <c r="B3099" s="2" t="s">
        <v>3904</v>
      </c>
      <c r="C3099" s="2" t="s">
        <v>330</v>
      </c>
      <c r="D3099" s="2" t="s">
        <v>331</v>
      </c>
      <c r="E3099" s="2" t="s">
        <v>71</v>
      </c>
      <c r="F3099" s="2" t="s">
        <v>535</v>
      </c>
      <c r="G3099" s="2" t="s">
        <v>495</v>
      </c>
      <c r="H3099" s="2" t="s">
        <v>496</v>
      </c>
      <c r="I3099" s="26">
        <v>45270</v>
      </c>
      <c r="J3099" s="2">
        <v>68</v>
      </c>
      <c r="K3099" s="2" t="s">
        <v>177</v>
      </c>
      <c r="L3099" s="22">
        <v>700</v>
      </c>
      <c r="M3099" s="22">
        <v>47600</v>
      </c>
      <c r="N3099" s="18">
        <v>50.91</v>
      </c>
      <c r="O3099" s="26">
        <v>45570</v>
      </c>
      <c r="P3099" s="2" t="s">
        <v>2105</v>
      </c>
      <c r="Q3099" s="2" t="s">
        <v>825</v>
      </c>
    </row>
    <row r="3100" spans="2:17" x14ac:dyDescent="0.25">
      <c r="B3100" s="2" t="s">
        <v>3905</v>
      </c>
      <c r="C3100" s="2" t="s">
        <v>330</v>
      </c>
      <c r="D3100" s="2" t="s">
        <v>331</v>
      </c>
      <c r="E3100" s="2" t="s">
        <v>71</v>
      </c>
      <c r="F3100" s="2" t="s">
        <v>535</v>
      </c>
      <c r="G3100" s="2" t="s">
        <v>495</v>
      </c>
      <c r="H3100" s="2" t="s">
        <v>496</v>
      </c>
      <c r="I3100" s="26">
        <v>45306</v>
      </c>
      <c r="J3100" s="2">
        <v>49</v>
      </c>
      <c r="K3100" s="2" t="s">
        <v>177</v>
      </c>
      <c r="L3100" s="22">
        <v>700</v>
      </c>
      <c r="M3100" s="22">
        <v>34300</v>
      </c>
      <c r="N3100" s="18">
        <v>36.68</v>
      </c>
      <c r="O3100" s="26">
        <v>45606</v>
      </c>
      <c r="P3100" s="2" t="s">
        <v>2105</v>
      </c>
      <c r="Q3100" s="2" t="s">
        <v>825</v>
      </c>
    </row>
    <row r="3101" spans="2:17" x14ac:dyDescent="0.25">
      <c r="B3101" s="2" t="s">
        <v>3906</v>
      </c>
      <c r="C3101" s="2" t="s">
        <v>330</v>
      </c>
      <c r="D3101" s="2" t="s">
        <v>331</v>
      </c>
      <c r="E3101" s="2" t="s">
        <v>71</v>
      </c>
      <c r="F3101" s="2" t="s">
        <v>535</v>
      </c>
      <c r="G3101" s="2" t="s">
        <v>495</v>
      </c>
      <c r="H3101" s="2" t="s">
        <v>496</v>
      </c>
      <c r="I3101" s="26">
        <v>45352</v>
      </c>
      <c r="J3101" s="2">
        <v>53</v>
      </c>
      <c r="K3101" s="2" t="s">
        <v>177</v>
      </c>
      <c r="L3101" s="22">
        <v>700</v>
      </c>
      <c r="M3101" s="22">
        <v>37100</v>
      </c>
      <c r="N3101" s="18">
        <v>39.68</v>
      </c>
      <c r="O3101" s="26">
        <v>45652</v>
      </c>
      <c r="P3101" s="2" t="s">
        <v>2105</v>
      </c>
      <c r="Q3101" s="2" t="s">
        <v>836</v>
      </c>
    </row>
    <row r="3102" spans="2:17" x14ac:dyDescent="0.25">
      <c r="B3102" s="2" t="s">
        <v>3907</v>
      </c>
      <c r="C3102" s="2" t="s">
        <v>330</v>
      </c>
      <c r="D3102" s="2" t="s">
        <v>331</v>
      </c>
      <c r="E3102" s="2" t="s">
        <v>71</v>
      </c>
      <c r="F3102" s="2" t="s">
        <v>535</v>
      </c>
      <c r="G3102" s="2" t="s">
        <v>495</v>
      </c>
      <c r="H3102" s="2" t="s">
        <v>496</v>
      </c>
      <c r="I3102" s="26">
        <v>45379</v>
      </c>
      <c r="J3102" s="2">
        <v>55</v>
      </c>
      <c r="K3102" s="2" t="s">
        <v>177</v>
      </c>
      <c r="L3102" s="22">
        <v>700</v>
      </c>
      <c r="M3102" s="22">
        <v>38500</v>
      </c>
      <c r="N3102" s="18">
        <v>41.18</v>
      </c>
      <c r="O3102" s="26">
        <v>45679</v>
      </c>
      <c r="P3102" s="2" t="s">
        <v>2105</v>
      </c>
      <c r="Q3102" s="2" t="s">
        <v>836</v>
      </c>
    </row>
    <row r="3103" spans="2:17" x14ac:dyDescent="0.25">
      <c r="B3103" s="2" t="s">
        <v>3908</v>
      </c>
      <c r="C3103" s="2" t="s">
        <v>330</v>
      </c>
      <c r="D3103" s="2" t="s">
        <v>331</v>
      </c>
      <c r="E3103" s="2" t="s">
        <v>71</v>
      </c>
      <c r="F3103" s="2" t="s">
        <v>535</v>
      </c>
      <c r="G3103" s="2" t="s">
        <v>495</v>
      </c>
      <c r="H3103" s="2" t="s">
        <v>496</v>
      </c>
      <c r="I3103" s="26">
        <v>45417</v>
      </c>
      <c r="J3103" s="2">
        <v>52</v>
      </c>
      <c r="K3103" s="2" t="s">
        <v>177</v>
      </c>
      <c r="L3103" s="22">
        <v>700</v>
      </c>
      <c r="M3103" s="22">
        <v>36400</v>
      </c>
      <c r="N3103" s="18">
        <v>38.93</v>
      </c>
      <c r="O3103" s="26">
        <v>45717</v>
      </c>
      <c r="P3103" s="2" t="s">
        <v>2105</v>
      </c>
      <c r="Q3103" s="2" t="s">
        <v>836</v>
      </c>
    </row>
    <row r="3104" spans="2:17" x14ac:dyDescent="0.25">
      <c r="B3104" s="2" t="s">
        <v>3909</v>
      </c>
      <c r="C3104" s="2" t="s">
        <v>330</v>
      </c>
      <c r="D3104" s="2" t="s">
        <v>331</v>
      </c>
      <c r="E3104" s="2" t="s">
        <v>71</v>
      </c>
      <c r="F3104" s="2" t="s">
        <v>535</v>
      </c>
      <c r="G3104" s="2" t="s">
        <v>495</v>
      </c>
      <c r="H3104" s="2" t="s">
        <v>496</v>
      </c>
      <c r="I3104" s="26">
        <v>45450</v>
      </c>
      <c r="J3104" s="2">
        <v>44</v>
      </c>
      <c r="K3104" s="2" t="s">
        <v>177</v>
      </c>
      <c r="L3104" s="22">
        <v>700</v>
      </c>
      <c r="M3104" s="22">
        <v>30800</v>
      </c>
      <c r="N3104" s="18">
        <v>32.94</v>
      </c>
      <c r="O3104" s="26">
        <v>45750</v>
      </c>
      <c r="P3104" s="2" t="s">
        <v>2105</v>
      </c>
      <c r="Q3104" s="2" t="s">
        <v>806</v>
      </c>
    </row>
    <row r="3105" spans="2:17" x14ac:dyDescent="0.25">
      <c r="B3105" s="2" t="s">
        <v>3910</v>
      </c>
      <c r="C3105" s="2" t="s">
        <v>330</v>
      </c>
      <c r="D3105" s="2" t="s">
        <v>331</v>
      </c>
      <c r="E3105" s="2" t="s">
        <v>71</v>
      </c>
      <c r="F3105" s="2" t="s">
        <v>535</v>
      </c>
      <c r="G3105" s="2" t="s">
        <v>495</v>
      </c>
      <c r="H3105" s="2" t="s">
        <v>496</v>
      </c>
      <c r="I3105" s="26">
        <v>45486</v>
      </c>
      <c r="J3105" s="2">
        <v>43</v>
      </c>
      <c r="K3105" s="2" t="s">
        <v>177</v>
      </c>
      <c r="L3105" s="22">
        <v>700</v>
      </c>
      <c r="M3105" s="22">
        <v>30100</v>
      </c>
      <c r="N3105" s="18">
        <v>32.19</v>
      </c>
      <c r="O3105" s="26">
        <v>45786</v>
      </c>
      <c r="P3105" s="2" t="s">
        <v>2105</v>
      </c>
      <c r="Q3105" s="2" t="s">
        <v>806</v>
      </c>
    </row>
    <row r="3106" spans="2:17" x14ac:dyDescent="0.25">
      <c r="B3106" s="2" t="s">
        <v>3911</v>
      </c>
      <c r="C3106" s="2" t="s">
        <v>330</v>
      </c>
      <c r="D3106" s="2" t="s">
        <v>331</v>
      </c>
      <c r="E3106" s="2" t="s">
        <v>71</v>
      </c>
      <c r="F3106" s="2" t="s">
        <v>535</v>
      </c>
      <c r="G3106" s="2" t="s">
        <v>495</v>
      </c>
      <c r="H3106" s="2" t="s">
        <v>496</v>
      </c>
      <c r="I3106" s="26">
        <v>45524</v>
      </c>
      <c r="J3106" s="2">
        <v>52</v>
      </c>
      <c r="K3106" s="2" t="s">
        <v>177</v>
      </c>
      <c r="L3106" s="22">
        <v>700</v>
      </c>
      <c r="M3106" s="22">
        <v>36400</v>
      </c>
      <c r="N3106" s="18">
        <v>38.93</v>
      </c>
      <c r="O3106" s="26">
        <v>45824</v>
      </c>
      <c r="P3106" s="2" t="s">
        <v>2105</v>
      </c>
      <c r="Q3106" s="2" t="s">
        <v>806</v>
      </c>
    </row>
    <row r="3107" spans="2:17" x14ac:dyDescent="0.25">
      <c r="B3107" s="2" t="s">
        <v>3912</v>
      </c>
      <c r="C3107" s="2" t="s">
        <v>330</v>
      </c>
      <c r="D3107" s="2" t="s">
        <v>331</v>
      </c>
      <c r="E3107" s="2" t="s">
        <v>71</v>
      </c>
      <c r="F3107" s="2" t="s">
        <v>535</v>
      </c>
      <c r="G3107" s="2" t="s">
        <v>495</v>
      </c>
      <c r="H3107" s="2" t="s">
        <v>496</v>
      </c>
      <c r="I3107" s="26">
        <v>45557</v>
      </c>
      <c r="J3107" s="2">
        <v>67</v>
      </c>
      <c r="K3107" s="2" t="s">
        <v>177</v>
      </c>
      <c r="L3107" s="22">
        <v>700</v>
      </c>
      <c r="M3107" s="22">
        <v>46900</v>
      </c>
      <c r="N3107" s="18">
        <v>50.16</v>
      </c>
      <c r="O3107" s="26">
        <v>45857</v>
      </c>
      <c r="P3107" s="2" t="s">
        <v>2105</v>
      </c>
      <c r="Q3107" s="2" t="s">
        <v>814</v>
      </c>
    </row>
    <row r="3108" spans="2:17" x14ac:dyDescent="0.25">
      <c r="B3108" s="2" t="s">
        <v>3913</v>
      </c>
      <c r="C3108" s="2" t="s">
        <v>330</v>
      </c>
      <c r="D3108" s="2" t="s">
        <v>331</v>
      </c>
      <c r="E3108" s="2" t="s">
        <v>71</v>
      </c>
      <c r="F3108" s="2" t="s">
        <v>535</v>
      </c>
      <c r="G3108" s="2" t="s">
        <v>495</v>
      </c>
      <c r="H3108" s="2" t="s">
        <v>496</v>
      </c>
      <c r="I3108" s="26">
        <v>45594</v>
      </c>
      <c r="J3108" s="2">
        <v>55</v>
      </c>
      <c r="K3108" s="2" t="s">
        <v>177</v>
      </c>
      <c r="L3108" s="22">
        <v>700</v>
      </c>
      <c r="M3108" s="22">
        <v>38500</v>
      </c>
      <c r="N3108" s="18">
        <v>41.18</v>
      </c>
      <c r="O3108" s="26">
        <v>45894</v>
      </c>
      <c r="P3108" s="2" t="s">
        <v>2105</v>
      </c>
      <c r="Q3108" s="2" t="s">
        <v>814</v>
      </c>
    </row>
    <row r="3109" spans="2:17" x14ac:dyDescent="0.25">
      <c r="B3109" s="2" t="s">
        <v>3914</v>
      </c>
      <c r="C3109" s="2" t="s">
        <v>330</v>
      </c>
      <c r="D3109" s="2" t="s">
        <v>331</v>
      </c>
      <c r="E3109" s="2" t="s">
        <v>71</v>
      </c>
      <c r="F3109" s="2" t="s">
        <v>535</v>
      </c>
      <c r="G3109" s="2" t="s">
        <v>495</v>
      </c>
      <c r="H3109" s="2" t="s">
        <v>496</v>
      </c>
      <c r="I3109" s="26">
        <v>45625</v>
      </c>
      <c r="J3109" s="2">
        <v>52</v>
      </c>
      <c r="K3109" s="2" t="s">
        <v>177</v>
      </c>
      <c r="L3109" s="22">
        <v>700</v>
      </c>
      <c r="M3109" s="22">
        <v>36400</v>
      </c>
      <c r="N3109" s="18">
        <v>38.93</v>
      </c>
      <c r="O3109" s="26">
        <v>45925</v>
      </c>
      <c r="P3109" s="2" t="s">
        <v>2105</v>
      </c>
      <c r="Q3109" s="2" t="s">
        <v>814</v>
      </c>
    </row>
    <row r="3110" spans="2:17" x14ac:dyDescent="0.25">
      <c r="B3110" s="2" t="s">
        <v>3915</v>
      </c>
      <c r="C3110" s="2" t="s">
        <v>330</v>
      </c>
      <c r="D3110" s="2" t="s">
        <v>331</v>
      </c>
      <c r="E3110" s="2" t="s">
        <v>71</v>
      </c>
      <c r="F3110" s="2" t="s">
        <v>535</v>
      </c>
      <c r="G3110" s="2" t="s">
        <v>495</v>
      </c>
      <c r="H3110" s="2" t="s">
        <v>496</v>
      </c>
      <c r="I3110" s="26">
        <v>45666</v>
      </c>
      <c r="J3110" s="2">
        <v>47</v>
      </c>
      <c r="K3110" s="2" t="s">
        <v>177</v>
      </c>
      <c r="L3110" s="22">
        <v>700</v>
      </c>
      <c r="M3110" s="22">
        <v>32900</v>
      </c>
      <c r="N3110" s="18">
        <v>35.19</v>
      </c>
      <c r="O3110" s="26">
        <v>45966</v>
      </c>
      <c r="P3110" s="2" t="s">
        <v>2105</v>
      </c>
      <c r="Q3110" s="2" t="s">
        <v>825</v>
      </c>
    </row>
    <row r="3111" spans="2:17" x14ac:dyDescent="0.25">
      <c r="B3111" s="2" t="s">
        <v>3916</v>
      </c>
      <c r="C3111" s="2" t="s">
        <v>330</v>
      </c>
      <c r="D3111" s="2" t="s">
        <v>331</v>
      </c>
      <c r="E3111" s="2" t="s">
        <v>71</v>
      </c>
      <c r="F3111" s="2" t="s">
        <v>535</v>
      </c>
      <c r="G3111" s="2" t="s">
        <v>495</v>
      </c>
      <c r="H3111" s="2" t="s">
        <v>496</v>
      </c>
      <c r="I3111" s="26">
        <v>45700</v>
      </c>
      <c r="J3111" s="2">
        <v>60</v>
      </c>
      <c r="K3111" s="2" t="s">
        <v>177</v>
      </c>
      <c r="L3111" s="22">
        <v>700</v>
      </c>
      <c r="M3111" s="22">
        <v>42000</v>
      </c>
      <c r="N3111" s="18">
        <v>44.92</v>
      </c>
      <c r="O3111" s="26">
        <v>46000</v>
      </c>
      <c r="P3111" s="2" t="s">
        <v>2105</v>
      </c>
      <c r="Q3111" s="2" t="s">
        <v>825</v>
      </c>
    </row>
    <row r="3112" spans="2:17" x14ac:dyDescent="0.25">
      <c r="B3112" s="2" t="s">
        <v>3917</v>
      </c>
      <c r="C3112" s="2" t="s">
        <v>330</v>
      </c>
      <c r="D3112" s="2" t="s">
        <v>331</v>
      </c>
      <c r="E3112" s="2" t="s">
        <v>71</v>
      </c>
      <c r="F3112" s="2" t="s">
        <v>535</v>
      </c>
      <c r="G3112" s="2" t="s">
        <v>495</v>
      </c>
      <c r="H3112" s="2" t="s">
        <v>496</v>
      </c>
      <c r="I3112" s="26">
        <v>45721</v>
      </c>
      <c r="J3112" s="2">
        <v>61</v>
      </c>
      <c r="K3112" s="2" t="s">
        <v>177</v>
      </c>
      <c r="L3112" s="22">
        <v>700</v>
      </c>
      <c r="M3112" s="22">
        <v>42700</v>
      </c>
      <c r="N3112" s="18">
        <v>45.67</v>
      </c>
      <c r="O3112" s="26">
        <v>46021</v>
      </c>
      <c r="P3112" s="2" t="s">
        <v>2105</v>
      </c>
      <c r="Q3112" s="2" t="s">
        <v>836</v>
      </c>
    </row>
    <row r="3113" spans="2:17" x14ac:dyDescent="0.25">
      <c r="B3113" s="2" t="s">
        <v>3918</v>
      </c>
      <c r="C3113" s="2" t="s">
        <v>330</v>
      </c>
      <c r="D3113" s="2" t="s">
        <v>331</v>
      </c>
      <c r="E3113" s="2" t="s">
        <v>71</v>
      </c>
      <c r="F3113" s="2" t="s">
        <v>535</v>
      </c>
      <c r="G3113" s="2" t="s">
        <v>495</v>
      </c>
      <c r="H3113" s="2" t="s">
        <v>496</v>
      </c>
      <c r="I3113" s="26">
        <v>45761</v>
      </c>
      <c r="J3113" s="2">
        <v>48</v>
      </c>
      <c r="K3113" s="2" t="s">
        <v>177</v>
      </c>
      <c r="L3113" s="22">
        <v>700</v>
      </c>
      <c r="M3113" s="22">
        <v>33600</v>
      </c>
      <c r="N3113" s="18">
        <v>35.94</v>
      </c>
      <c r="O3113" s="26">
        <v>46061</v>
      </c>
      <c r="P3113" s="2" t="s">
        <v>2105</v>
      </c>
      <c r="Q3113" s="2" t="s">
        <v>836</v>
      </c>
    </row>
    <row r="3114" spans="2:17" x14ac:dyDescent="0.25">
      <c r="B3114" s="2" t="s">
        <v>3919</v>
      </c>
      <c r="C3114" s="2" t="s">
        <v>330</v>
      </c>
      <c r="D3114" s="2" t="s">
        <v>331</v>
      </c>
      <c r="E3114" s="2" t="s">
        <v>71</v>
      </c>
      <c r="F3114" s="2" t="s">
        <v>535</v>
      </c>
      <c r="G3114" s="2" t="s">
        <v>495</v>
      </c>
      <c r="H3114" s="2" t="s">
        <v>496</v>
      </c>
      <c r="I3114" s="26">
        <v>45788</v>
      </c>
      <c r="J3114" s="2">
        <v>60</v>
      </c>
      <c r="K3114" s="2" t="s">
        <v>177</v>
      </c>
      <c r="L3114" s="22">
        <v>700</v>
      </c>
      <c r="M3114" s="22">
        <v>42000</v>
      </c>
      <c r="N3114" s="18">
        <v>44.92</v>
      </c>
      <c r="O3114" s="26">
        <v>46088</v>
      </c>
      <c r="P3114" s="2" t="s">
        <v>2105</v>
      </c>
      <c r="Q3114" s="2" t="s">
        <v>836</v>
      </c>
    </row>
    <row r="3115" spans="2:17" x14ac:dyDescent="0.25">
      <c r="B3115" s="2" t="s">
        <v>3920</v>
      </c>
      <c r="C3115" s="2" t="s">
        <v>330</v>
      </c>
      <c r="D3115" s="2" t="s">
        <v>331</v>
      </c>
      <c r="E3115" s="2" t="s">
        <v>71</v>
      </c>
      <c r="F3115" s="2" t="s">
        <v>535</v>
      </c>
      <c r="G3115" s="2" t="s">
        <v>495</v>
      </c>
      <c r="H3115" s="2" t="s">
        <v>496</v>
      </c>
      <c r="I3115" s="26">
        <v>45815</v>
      </c>
      <c r="J3115" s="2">
        <v>62</v>
      </c>
      <c r="K3115" s="2" t="s">
        <v>177</v>
      </c>
      <c r="L3115" s="22">
        <v>700</v>
      </c>
      <c r="M3115" s="22">
        <v>43400</v>
      </c>
      <c r="N3115" s="18">
        <v>46.42</v>
      </c>
      <c r="O3115" s="26">
        <v>46115</v>
      </c>
      <c r="P3115" s="2" t="s">
        <v>2105</v>
      </c>
      <c r="Q3115" s="2" t="s">
        <v>806</v>
      </c>
    </row>
    <row r="3116" spans="2:17" x14ac:dyDescent="0.25">
      <c r="B3116" s="2" t="s">
        <v>3921</v>
      </c>
      <c r="C3116" s="2" t="s">
        <v>332</v>
      </c>
      <c r="D3116" s="2" t="s">
        <v>333</v>
      </c>
      <c r="E3116" s="2" t="s">
        <v>334</v>
      </c>
      <c r="F3116" s="2" t="s">
        <v>535</v>
      </c>
      <c r="G3116" s="2" t="s">
        <v>505</v>
      </c>
      <c r="H3116" s="2" t="s">
        <v>506</v>
      </c>
      <c r="I3116" s="26">
        <v>45120</v>
      </c>
      <c r="J3116" s="2">
        <v>25</v>
      </c>
      <c r="K3116" s="2" t="s">
        <v>123</v>
      </c>
      <c r="L3116" s="22">
        <v>5350</v>
      </c>
      <c r="M3116" s="22">
        <v>133750</v>
      </c>
      <c r="N3116" s="18">
        <v>143.05000000000001</v>
      </c>
      <c r="O3116" s="26">
        <v>45420</v>
      </c>
      <c r="P3116" s="2" t="s">
        <v>2105</v>
      </c>
      <c r="Q3116" s="2" t="s">
        <v>806</v>
      </c>
    </row>
    <row r="3117" spans="2:17" x14ac:dyDescent="0.25">
      <c r="B3117" s="2" t="s">
        <v>3922</v>
      </c>
      <c r="C3117" s="2" t="s">
        <v>332</v>
      </c>
      <c r="D3117" s="2" t="s">
        <v>333</v>
      </c>
      <c r="E3117" s="2" t="s">
        <v>334</v>
      </c>
      <c r="F3117" s="2" t="s">
        <v>535</v>
      </c>
      <c r="G3117" s="2" t="s">
        <v>505</v>
      </c>
      <c r="H3117" s="2" t="s">
        <v>506</v>
      </c>
      <c r="I3117" s="26">
        <v>45150</v>
      </c>
      <c r="J3117" s="2">
        <v>24</v>
      </c>
      <c r="K3117" s="2" t="s">
        <v>123</v>
      </c>
      <c r="L3117" s="22">
        <v>5350</v>
      </c>
      <c r="M3117" s="22">
        <v>128400</v>
      </c>
      <c r="N3117" s="18">
        <v>137.33000000000001</v>
      </c>
      <c r="O3117" s="26">
        <v>45450</v>
      </c>
      <c r="P3117" s="2" t="s">
        <v>2105</v>
      </c>
      <c r="Q3117" s="2" t="s">
        <v>806</v>
      </c>
    </row>
    <row r="3118" spans="2:17" x14ac:dyDescent="0.25">
      <c r="B3118" s="2" t="s">
        <v>3923</v>
      </c>
      <c r="C3118" s="2" t="s">
        <v>332</v>
      </c>
      <c r="D3118" s="2" t="s">
        <v>333</v>
      </c>
      <c r="E3118" s="2" t="s">
        <v>334</v>
      </c>
      <c r="F3118" s="2" t="s">
        <v>535</v>
      </c>
      <c r="G3118" s="2" t="s">
        <v>505</v>
      </c>
      <c r="H3118" s="2" t="s">
        <v>506</v>
      </c>
      <c r="I3118" s="26">
        <v>45191</v>
      </c>
      <c r="J3118" s="2">
        <v>29</v>
      </c>
      <c r="K3118" s="2" t="s">
        <v>123</v>
      </c>
      <c r="L3118" s="22">
        <v>5350</v>
      </c>
      <c r="M3118" s="22">
        <v>155150</v>
      </c>
      <c r="N3118" s="18">
        <v>165.94</v>
      </c>
      <c r="O3118" s="26">
        <v>45491</v>
      </c>
      <c r="P3118" s="2" t="s">
        <v>2105</v>
      </c>
      <c r="Q3118" s="2" t="s">
        <v>814</v>
      </c>
    </row>
    <row r="3119" spans="2:17" x14ac:dyDescent="0.25">
      <c r="B3119" s="2" t="s">
        <v>3924</v>
      </c>
      <c r="C3119" s="2" t="s">
        <v>332</v>
      </c>
      <c r="D3119" s="2" t="s">
        <v>333</v>
      </c>
      <c r="E3119" s="2" t="s">
        <v>334</v>
      </c>
      <c r="F3119" s="2" t="s">
        <v>535</v>
      </c>
      <c r="G3119" s="2" t="s">
        <v>505</v>
      </c>
      <c r="H3119" s="2" t="s">
        <v>506</v>
      </c>
      <c r="I3119" s="26">
        <v>45222</v>
      </c>
      <c r="J3119" s="2">
        <v>9</v>
      </c>
      <c r="K3119" s="2" t="s">
        <v>123</v>
      </c>
      <c r="L3119" s="22">
        <v>5350</v>
      </c>
      <c r="M3119" s="22">
        <v>48150</v>
      </c>
      <c r="N3119" s="18">
        <v>51.5</v>
      </c>
      <c r="O3119" s="26">
        <v>45522</v>
      </c>
      <c r="P3119" s="2" t="s">
        <v>2105</v>
      </c>
      <c r="Q3119" s="2" t="s">
        <v>814</v>
      </c>
    </row>
    <row r="3120" spans="2:17" x14ac:dyDescent="0.25">
      <c r="B3120" s="2" t="s">
        <v>3925</v>
      </c>
      <c r="C3120" s="2" t="s">
        <v>332</v>
      </c>
      <c r="D3120" s="2" t="s">
        <v>333</v>
      </c>
      <c r="E3120" s="2" t="s">
        <v>334</v>
      </c>
      <c r="F3120" s="2" t="s">
        <v>535</v>
      </c>
      <c r="G3120" s="2" t="s">
        <v>505</v>
      </c>
      <c r="H3120" s="2" t="s">
        <v>506</v>
      </c>
      <c r="I3120" s="26">
        <v>45255</v>
      </c>
      <c r="J3120" s="2">
        <v>9</v>
      </c>
      <c r="K3120" s="2" t="s">
        <v>123</v>
      </c>
      <c r="L3120" s="22">
        <v>5350</v>
      </c>
      <c r="M3120" s="22">
        <v>48150</v>
      </c>
      <c r="N3120" s="18">
        <v>51.5</v>
      </c>
      <c r="O3120" s="26">
        <v>45555</v>
      </c>
      <c r="P3120" s="2" t="s">
        <v>2105</v>
      </c>
      <c r="Q3120" s="2" t="s">
        <v>814</v>
      </c>
    </row>
    <row r="3121" spans="2:17" x14ac:dyDescent="0.25">
      <c r="B3121" s="2" t="s">
        <v>3926</v>
      </c>
      <c r="C3121" s="2" t="s">
        <v>332</v>
      </c>
      <c r="D3121" s="2" t="s">
        <v>333</v>
      </c>
      <c r="E3121" s="2" t="s">
        <v>334</v>
      </c>
      <c r="F3121" s="2" t="s">
        <v>537</v>
      </c>
      <c r="G3121" s="2" t="s">
        <v>510</v>
      </c>
      <c r="H3121" s="2" t="s">
        <v>511</v>
      </c>
      <c r="I3121" s="26">
        <v>45281</v>
      </c>
      <c r="J3121" s="2">
        <v>12</v>
      </c>
      <c r="K3121" s="2" t="s">
        <v>123</v>
      </c>
      <c r="L3121" s="22">
        <v>5550</v>
      </c>
      <c r="M3121" s="22">
        <v>66600</v>
      </c>
      <c r="N3121" s="18">
        <v>71.23</v>
      </c>
      <c r="O3121" s="26">
        <v>45581</v>
      </c>
      <c r="P3121" s="2" t="s">
        <v>2105</v>
      </c>
      <c r="Q3121" s="2" t="s">
        <v>825</v>
      </c>
    </row>
    <row r="3122" spans="2:17" x14ac:dyDescent="0.25">
      <c r="B3122" s="2" t="s">
        <v>3927</v>
      </c>
      <c r="C3122" s="2" t="s">
        <v>332</v>
      </c>
      <c r="D3122" s="2" t="s">
        <v>333</v>
      </c>
      <c r="E3122" s="2" t="s">
        <v>334</v>
      </c>
      <c r="F3122" s="2" t="s">
        <v>537</v>
      </c>
      <c r="G3122" s="2" t="s">
        <v>510</v>
      </c>
      <c r="H3122" s="2" t="s">
        <v>511</v>
      </c>
      <c r="I3122" s="26">
        <v>45324</v>
      </c>
      <c r="J3122" s="2">
        <v>9</v>
      </c>
      <c r="K3122" s="2" t="s">
        <v>123</v>
      </c>
      <c r="L3122" s="22">
        <v>5550</v>
      </c>
      <c r="M3122" s="22">
        <v>49950</v>
      </c>
      <c r="N3122" s="18">
        <v>53.42</v>
      </c>
      <c r="O3122" s="26">
        <v>45624</v>
      </c>
      <c r="P3122" s="2" t="s">
        <v>2105</v>
      </c>
      <c r="Q3122" s="2" t="s">
        <v>825</v>
      </c>
    </row>
    <row r="3123" spans="2:17" x14ac:dyDescent="0.25">
      <c r="B3123" s="2" t="s">
        <v>3928</v>
      </c>
      <c r="C3123" s="2" t="s">
        <v>332</v>
      </c>
      <c r="D3123" s="2" t="s">
        <v>333</v>
      </c>
      <c r="E3123" s="2" t="s">
        <v>334</v>
      </c>
      <c r="F3123" s="2" t="s">
        <v>535</v>
      </c>
      <c r="G3123" s="2" t="s">
        <v>505</v>
      </c>
      <c r="H3123" s="2" t="s">
        <v>506</v>
      </c>
      <c r="I3123" s="26">
        <v>45355</v>
      </c>
      <c r="J3123" s="2">
        <v>9</v>
      </c>
      <c r="K3123" s="2" t="s">
        <v>123</v>
      </c>
      <c r="L3123" s="22">
        <v>5350</v>
      </c>
      <c r="M3123" s="22">
        <v>48150</v>
      </c>
      <c r="N3123" s="18">
        <v>51.5</v>
      </c>
      <c r="O3123" s="26">
        <v>45655</v>
      </c>
      <c r="P3123" s="2" t="s">
        <v>2105</v>
      </c>
      <c r="Q3123" s="2" t="s">
        <v>836</v>
      </c>
    </row>
    <row r="3124" spans="2:17" x14ac:dyDescent="0.25">
      <c r="B3124" s="2" t="s">
        <v>3929</v>
      </c>
      <c r="C3124" s="2" t="s">
        <v>332</v>
      </c>
      <c r="D3124" s="2" t="s">
        <v>333</v>
      </c>
      <c r="E3124" s="2" t="s">
        <v>334</v>
      </c>
      <c r="F3124" s="2" t="s">
        <v>535</v>
      </c>
      <c r="G3124" s="2" t="s">
        <v>505</v>
      </c>
      <c r="H3124" s="2" t="s">
        <v>506</v>
      </c>
      <c r="I3124" s="26">
        <v>45384</v>
      </c>
      <c r="J3124" s="2">
        <v>26</v>
      </c>
      <c r="K3124" s="2" t="s">
        <v>123</v>
      </c>
      <c r="L3124" s="22">
        <v>5350</v>
      </c>
      <c r="M3124" s="22">
        <v>139100</v>
      </c>
      <c r="N3124" s="18">
        <v>148.77000000000001</v>
      </c>
      <c r="O3124" s="26">
        <v>45684</v>
      </c>
      <c r="P3124" s="2" t="s">
        <v>2105</v>
      </c>
      <c r="Q3124" s="2" t="s">
        <v>836</v>
      </c>
    </row>
    <row r="3125" spans="2:17" x14ac:dyDescent="0.25">
      <c r="B3125" s="2" t="s">
        <v>3930</v>
      </c>
      <c r="C3125" s="2" t="s">
        <v>332</v>
      </c>
      <c r="D3125" s="2" t="s">
        <v>333</v>
      </c>
      <c r="E3125" s="2" t="s">
        <v>334</v>
      </c>
      <c r="F3125" s="2" t="s">
        <v>535</v>
      </c>
      <c r="G3125" s="2" t="s">
        <v>505</v>
      </c>
      <c r="H3125" s="2" t="s">
        <v>506</v>
      </c>
      <c r="I3125" s="26">
        <v>45421</v>
      </c>
      <c r="J3125" s="2">
        <v>27</v>
      </c>
      <c r="K3125" s="2" t="s">
        <v>123</v>
      </c>
      <c r="L3125" s="22">
        <v>5350</v>
      </c>
      <c r="M3125" s="22">
        <v>144450</v>
      </c>
      <c r="N3125" s="18">
        <v>154.49</v>
      </c>
      <c r="O3125" s="26">
        <v>45721</v>
      </c>
      <c r="P3125" s="2" t="s">
        <v>2105</v>
      </c>
      <c r="Q3125" s="2" t="s">
        <v>836</v>
      </c>
    </row>
    <row r="3126" spans="2:17" x14ac:dyDescent="0.25">
      <c r="B3126" s="2" t="s">
        <v>3931</v>
      </c>
      <c r="C3126" s="2" t="s">
        <v>332</v>
      </c>
      <c r="D3126" s="2" t="s">
        <v>333</v>
      </c>
      <c r="E3126" s="2" t="s">
        <v>334</v>
      </c>
      <c r="F3126" s="2" t="s">
        <v>535</v>
      </c>
      <c r="G3126" s="2" t="s">
        <v>505</v>
      </c>
      <c r="H3126" s="2" t="s">
        <v>506</v>
      </c>
      <c r="I3126" s="26">
        <v>45451</v>
      </c>
      <c r="J3126" s="2">
        <v>22</v>
      </c>
      <c r="K3126" s="2" t="s">
        <v>123</v>
      </c>
      <c r="L3126" s="22">
        <v>5350</v>
      </c>
      <c r="M3126" s="22">
        <v>117700</v>
      </c>
      <c r="N3126" s="18">
        <v>125.88</v>
      </c>
      <c r="O3126" s="26">
        <v>45751</v>
      </c>
      <c r="P3126" s="2" t="s">
        <v>2105</v>
      </c>
      <c r="Q3126" s="2" t="s">
        <v>806</v>
      </c>
    </row>
    <row r="3127" spans="2:17" x14ac:dyDescent="0.25">
      <c r="B3127" s="2" t="s">
        <v>3932</v>
      </c>
      <c r="C3127" s="2" t="s">
        <v>332</v>
      </c>
      <c r="D3127" s="2" t="s">
        <v>333</v>
      </c>
      <c r="E3127" s="2" t="s">
        <v>334</v>
      </c>
      <c r="F3127" s="2" t="s">
        <v>535</v>
      </c>
      <c r="G3127" s="2" t="s">
        <v>505</v>
      </c>
      <c r="H3127" s="2" t="s">
        <v>506</v>
      </c>
      <c r="I3127" s="26">
        <v>45489</v>
      </c>
      <c r="J3127" s="2">
        <v>21</v>
      </c>
      <c r="K3127" s="2" t="s">
        <v>123</v>
      </c>
      <c r="L3127" s="22">
        <v>5350</v>
      </c>
      <c r="M3127" s="22">
        <v>112350</v>
      </c>
      <c r="N3127" s="18">
        <v>120.16</v>
      </c>
      <c r="O3127" s="26">
        <v>45789</v>
      </c>
      <c r="P3127" s="2" t="s">
        <v>2105</v>
      </c>
      <c r="Q3127" s="2" t="s">
        <v>806</v>
      </c>
    </row>
    <row r="3128" spans="2:17" x14ac:dyDescent="0.25">
      <c r="B3128" s="2" t="s">
        <v>3933</v>
      </c>
      <c r="C3128" s="2" t="s">
        <v>332</v>
      </c>
      <c r="D3128" s="2" t="s">
        <v>333</v>
      </c>
      <c r="E3128" s="2" t="s">
        <v>334</v>
      </c>
      <c r="F3128" s="2" t="s">
        <v>535</v>
      </c>
      <c r="G3128" s="2" t="s">
        <v>505</v>
      </c>
      <c r="H3128" s="2" t="s">
        <v>506</v>
      </c>
      <c r="I3128" s="26">
        <v>45528</v>
      </c>
      <c r="J3128" s="2">
        <v>21</v>
      </c>
      <c r="K3128" s="2" t="s">
        <v>123</v>
      </c>
      <c r="L3128" s="22">
        <v>5350</v>
      </c>
      <c r="M3128" s="22">
        <v>112350</v>
      </c>
      <c r="N3128" s="18">
        <v>120.16</v>
      </c>
      <c r="O3128" s="26">
        <v>45828</v>
      </c>
      <c r="P3128" s="2" t="s">
        <v>2105</v>
      </c>
      <c r="Q3128" s="2" t="s">
        <v>806</v>
      </c>
    </row>
    <row r="3129" spans="2:17" x14ac:dyDescent="0.25">
      <c r="B3129" s="2" t="s">
        <v>3934</v>
      </c>
      <c r="C3129" s="2" t="s">
        <v>332</v>
      </c>
      <c r="D3129" s="2" t="s">
        <v>333</v>
      </c>
      <c r="E3129" s="2" t="s">
        <v>334</v>
      </c>
      <c r="F3129" s="2" t="s">
        <v>535</v>
      </c>
      <c r="G3129" s="2" t="s">
        <v>505</v>
      </c>
      <c r="H3129" s="2" t="s">
        <v>506</v>
      </c>
      <c r="I3129" s="26">
        <v>45566</v>
      </c>
      <c r="J3129" s="2">
        <v>9</v>
      </c>
      <c r="K3129" s="2" t="s">
        <v>123</v>
      </c>
      <c r="L3129" s="22">
        <v>5350</v>
      </c>
      <c r="M3129" s="22">
        <v>48150</v>
      </c>
      <c r="N3129" s="18">
        <v>51.5</v>
      </c>
      <c r="O3129" s="26">
        <v>45866</v>
      </c>
      <c r="P3129" s="2" t="s">
        <v>2105</v>
      </c>
      <c r="Q3129" s="2" t="s">
        <v>814</v>
      </c>
    </row>
    <row r="3130" spans="2:17" x14ac:dyDescent="0.25">
      <c r="B3130" s="2" t="s">
        <v>3935</v>
      </c>
      <c r="C3130" s="2" t="s">
        <v>332</v>
      </c>
      <c r="D3130" s="2" t="s">
        <v>333</v>
      </c>
      <c r="E3130" s="2" t="s">
        <v>334</v>
      </c>
      <c r="F3130" s="2" t="s">
        <v>537</v>
      </c>
      <c r="G3130" s="2" t="s">
        <v>510</v>
      </c>
      <c r="H3130" s="2" t="s">
        <v>511</v>
      </c>
      <c r="I3130" s="26">
        <v>45593</v>
      </c>
      <c r="J3130" s="2">
        <v>9</v>
      </c>
      <c r="K3130" s="2" t="s">
        <v>123</v>
      </c>
      <c r="L3130" s="22">
        <v>5550</v>
      </c>
      <c r="M3130" s="22">
        <v>49950</v>
      </c>
      <c r="N3130" s="18">
        <v>53.42</v>
      </c>
      <c r="O3130" s="26">
        <v>45893</v>
      </c>
      <c r="P3130" s="2" t="s">
        <v>2105</v>
      </c>
      <c r="Q3130" s="2" t="s">
        <v>814</v>
      </c>
    </row>
    <row r="3131" spans="2:17" x14ac:dyDescent="0.25">
      <c r="B3131" s="2" t="s">
        <v>3936</v>
      </c>
      <c r="C3131" s="2" t="s">
        <v>332</v>
      </c>
      <c r="D3131" s="2" t="s">
        <v>333</v>
      </c>
      <c r="E3131" s="2" t="s">
        <v>334</v>
      </c>
      <c r="F3131" s="2" t="s">
        <v>535</v>
      </c>
      <c r="G3131" s="2" t="s">
        <v>505</v>
      </c>
      <c r="H3131" s="2" t="s">
        <v>506</v>
      </c>
      <c r="I3131" s="26">
        <v>45633</v>
      </c>
      <c r="J3131" s="2">
        <v>12</v>
      </c>
      <c r="K3131" s="2" t="s">
        <v>123</v>
      </c>
      <c r="L3131" s="22">
        <v>5350</v>
      </c>
      <c r="M3131" s="22">
        <v>64200</v>
      </c>
      <c r="N3131" s="18">
        <v>68.66</v>
      </c>
      <c r="O3131" s="26">
        <v>45933</v>
      </c>
      <c r="P3131" s="2" t="s">
        <v>2105</v>
      </c>
      <c r="Q3131" s="2" t="s">
        <v>825</v>
      </c>
    </row>
    <row r="3132" spans="2:17" x14ac:dyDescent="0.25">
      <c r="B3132" s="2" t="s">
        <v>3937</v>
      </c>
      <c r="C3132" s="2" t="s">
        <v>332</v>
      </c>
      <c r="D3132" s="2" t="s">
        <v>333</v>
      </c>
      <c r="E3132" s="2" t="s">
        <v>334</v>
      </c>
      <c r="F3132" s="2" t="s">
        <v>535</v>
      </c>
      <c r="G3132" s="2" t="s">
        <v>505</v>
      </c>
      <c r="H3132" s="2" t="s">
        <v>506</v>
      </c>
      <c r="I3132" s="26">
        <v>45671</v>
      </c>
      <c r="J3132" s="2">
        <v>10</v>
      </c>
      <c r="K3132" s="2" t="s">
        <v>123</v>
      </c>
      <c r="L3132" s="22">
        <v>5350</v>
      </c>
      <c r="M3132" s="22">
        <v>53500</v>
      </c>
      <c r="N3132" s="18">
        <v>57.22</v>
      </c>
      <c r="O3132" s="26">
        <v>45971</v>
      </c>
      <c r="P3132" s="2" t="s">
        <v>2105</v>
      </c>
      <c r="Q3132" s="2" t="s">
        <v>825</v>
      </c>
    </row>
    <row r="3133" spans="2:17" x14ac:dyDescent="0.25">
      <c r="B3133" s="2" t="s">
        <v>3938</v>
      </c>
      <c r="C3133" s="2" t="s">
        <v>332</v>
      </c>
      <c r="D3133" s="2" t="s">
        <v>333</v>
      </c>
      <c r="E3133" s="2" t="s">
        <v>334</v>
      </c>
      <c r="F3133" s="2" t="s">
        <v>535</v>
      </c>
      <c r="G3133" s="2" t="s">
        <v>505</v>
      </c>
      <c r="H3133" s="2" t="s">
        <v>506</v>
      </c>
      <c r="I3133" s="26">
        <v>45708</v>
      </c>
      <c r="J3133" s="2">
        <v>9</v>
      </c>
      <c r="K3133" s="2" t="s">
        <v>123</v>
      </c>
      <c r="L3133" s="22">
        <v>5350</v>
      </c>
      <c r="M3133" s="22">
        <v>48150</v>
      </c>
      <c r="N3133" s="18">
        <v>51.5</v>
      </c>
      <c r="O3133" s="26">
        <v>46008</v>
      </c>
      <c r="P3133" s="2" t="s">
        <v>2105</v>
      </c>
      <c r="Q3133" s="2" t="s">
        <v>825</v>
      </c>
    </row>
    <row r="3134" spans="2:17" x14ac:dyDescent="0.25">
      <c r="B3134" s="2" t="s">
        <v>3939</v>
      </c>
      <c r="C3134" s="2" t="s">
        <v>332</v>
      </c>
      <c r="D3134" s="2" t="s">
        <v>333</v>
      </c>
      <c r="E3134" s="2" t="s">
        <v>334</v>
      </c>
      <c r="F3134" s="2" t="s">
        <v>535</v>
      </c>
      <c r="G3134" s="2" t="s">
        <v>505</v>
      </c>
      <c r="H3134" s="2" t="s">
        <v>506</v>
      </c>
      <c r="I3134" s="26">
        <v>45737</v>
      </c>
      <c r="J3134" s="2">
        <v>9</v>
      </c>
      <c r="K3134" s="2" t="s">
        <v>123</v>
      </c>
      <c r="L3134" s="22">
        <v>5350</v>
      </c>
      <c r="M3134" s="22">
        <v>48150</v>
      </c>
      <c r="N3134" s="18">
        <v>51.5</v>
      </c>
      <c r="O3134" s="26">
        <v>46037</v>
      </c>
      <c r="P3134" s="2" t="s">
        <v>2105</v>
      </c>
      <c r="Q3134" s="2" t="s">
        <v>836</v>
      </c>
    </row>
    <row r="3135" spans="2:17" x14ac:dyDescent="0.25">
      <c r="B3135" s="2" t="s">
        <v>3940</v>
      </c>
      <c r="C3135" s="2" t="s">
        <v>332</v>
      </c>
      <c r="D3135" s="2" t="s">
        <v>333</v>
      </c>
      <c r="E3135" s="2" t="s">
        <v>334</v>
      </c>
      <c r="F3135" s="2" t="s">
        <v>535</v>
      </c>
      <c r="G3135" s="2" t="s">
        <v>505</v>
      </c>
      <c r="H3135" s="2" t="s">
        <v>506</v>
      </c>
      <c r="I3135" s="26">
        <v>45772</v>
      </c>
      <c r="J3135" s="2">
        <v>28</v>
      </c>
      <c r="K3135" s="2" t="s">
        <v>123</v>
      </c>
      <c r="L3135" s="22">
        <v>5350</v>
      </c>
      <c r="M3135" s="22">
        <v>149800</v>
      </c>
      <c r="N3135" s="18">
        <v>160.21</v>
      </c>
      <c r="O3135" s="26">
        <v>46072</v>
      </c>
      <c r="P3135" s="2" t="s">
        <v>2105</v>
      </c>
      <c r="Q3135" s="2" t="s">
        <v>836</v>
      </c>
    </row>
    <row r="3136" spans="2:17" x14ac:dyDescent="0.25">
      <c r="B3136" s="2" t="s">
        <v>3941</v>
      </c>
      <c r="C3136" s="2" t="s">
        <v>332</v>
      </c>
      <c r="D3136" s="2" t="s">
        <v>333</v>
      </c>
      <c r="E3136" s="2" t="s">
        <v>334</v>
      </c>
      <c r="F3136" s="2" t="s">
        <v>535</v>
      </c>
      <c r="G3136" s="2" t="s">
        <v>505</v>
      </c>
      <c r="H3136" s="2" t="s">
        <v>506</v>
      </c>
      <c r="I3136" s="26">
        <v>45802</v>
      </c>
      <c r="J3136" s="2">
        <v>30</v>
      </c>
      <c r="K3136" s="2" t="s">
        <v>123</v>
      </c>
      <c r="L3136" s="22">
        <v>5350</v>
      </c>
      <c r="M3136" s="22">
        <v>160500</v>
      </c>
      <c r="N3136" s="18">
        <v>171.66</v>
      </c>
      <c r="O3136" s="26">
        <v>46102</v>
      </c>
      <c r="P3136" s="2" t="s">
        <v>2105</v>
      </c>
      <c r="Q3136" s="2" t="s">
        <v>836</v>
      </c>
    </row>
    <row r="3137" spans="2:17" x14ac:dyDescent="0.25">
      <c r="B3137" s="2" t="s">
        <v>3942</v>
      </c>
      <c r="C3137" s="2" t="s">
        <v>332</v>
      </c>
      <c r="D3137" s="2" t="s">
        <v>333</v>
      </c>
      <c r="E3137" s="2" t="s">
        <v>334</v>
      </c>
      <c r="F3137" s="2" t="s">
        <v>535</v>
      </c>
      <c r="G3137" s="2" t="s">
        <v>505</v>
      </c>
      <c r="H3137" s="2" t="s">
        <v>506</v>
      </c>
      <c r="I3137" s="26">
        <v>45835</v>
      </c>
      <c r="J3137" s="2">
        <v>27</v>
      </c>
      <c r="K3137" s="2" t="s">
        <v>123</v>
      </c>
      <c r="L3137" s="22">
        <v>5350</v>
      </c>
      <c r="M3137" s="22">
        <v>144450</v>
      </c>
      <c r="N3137" s="18">
        <v>154.49</v>
      </c>
      <c r="O3137" s="26">
        <v>46135</v>
      </c>
      <c r="P3137" s="2" t="s">
        <v>2105</v>
      </c>
      <c r="Q3137" s="2" t="s">
        <v>806</v>
      </c>
    </row>
    <row r="3138" spans="2:17" x14ac:dyDescent="0.25">
      <c r="B3138" s="2" t="s">
        <v>3943</v>
      </c>
      <c r="C3138" s="2" t="s">
        <v>335</v>
      </c>
      <c r="D3138" s="2" t="s">
        <v>336</v>
      </c>
      <c r="E3138" s="2" t="s">
        <v>334</v>
      </c>
      <c r="F3138" s="2" t="s">
        <v>535</v>
      </c>
      <c r="G3138" s="2" t="s">
        <v>505</v>
      </c>
      <c r="H3138" s="2" t="s">
        <v>506</v>
      </c>
      <c r="I3138" s="26">
        <v>45117</v>
      </c>
      <c r="J3138" s="2">
        <v>24</v>
      </c>
      <c r="K3138" s="2" t="s">
        <v>123</v>
      </c>
      <c r="L3138" s="22">
        <v>5150</v>
      </c>
      <c r="M3138" s="22">
        <v>123600</v>
      </c>
      <c r="N3138" s="18">
        <v>132.19</v>
      </c>
      <c r="O3138" s="26">
        <v>45417</v>
      </c>
      <c r="P3138" s="2" t="s">
        <v>2105</v>
      </c>
      <c r="Q3138" s="2" t="s">
        <v>806</v>
      </c>
    </row>
    <row r="3139" spans="2:17" x14ac:dyDescent="0.25">
      <c r="B3139" s="2" t="s">
        <v>3944</v>
      </c>
      <c r="C3139" s="2" t="s">
        <v>335</v>
      </c>
      <c r="D3139" s="2" t="s">
        <v>336</v>
      </c>
      <c r="E3139" s="2" t="s">
        <v>334</v>
      </c>
      <c r="F3139" s="2" t="s">
        <v>535</v>
      </c>
      <c r="G3139" s="2" t="s">
        <v>505</v>
      </c>
      <c r="H3139" s="2" t="s">
        <v>506</v>
      </c>
      <c r="I3139" s="26">
        <v>45158</v>
      </c>
      <c r="J3139" s="2">
        <v>24</v>
      </c>
      <c r="K3139" s="2" t="s">
        <v>123</v>
      </c>
      <c r="L3139" s="22">
        <v>5150</v>
      </c>
      <c r="M3139" s="22">
        <v>123600</v>
      </c>
      <c r="N3139" s="18">
        <v>132.19</v>
      </c>
      <c r="O3139" s="26">
        <v>45458</v>
      </c>
      <c r="P3139" s="2" t="s">
        <v>2105</v>
      </c>
      <c r="Q3139" s="2" t="s">
        <v>806</v>
      </c>
    </row>
    <row r="3140" spans="2:17" x14ac:dyDescent="0.25">
      <c r="B3140" s="2" t="s">
        <v>3945</v>
      </c>
      <c r="C3140" s="2" t="s">
        <v>335</v>
      </c>
      <c r="D3140" s="2" t="s">
        <v>336</v>
      </c>
      <c r="E3140" s="2" t="s">
        <v>334</v>
      </c>
      <c r="F3140" s="2" t="s">
        <v>535</v>
      </c>
      <c r="G3140" s="2" t="s">
        <v>505</v>
      </c>
      <c r="H3140" s="2" t="s">
        <v>506</v>
      </c>
      <c r="I3140" s="26">
        <v>45194</v>
      </c>
      <c r="J3140" s="2">
        <v>29</v>
      </c>
      <c r="K3140" s="2" t="s">
        <v>123</v>
      </c>
      <c r="L3140" s="22">
        <v>5150</v>
      </c>
      <c r="M3140" s="22">
        <v>149350</v>
      </c>
      <c r="N3140" s="18">
        <v>159.72999999999999</v>
      </c>
      <c r="O3140" s="26">
        <v>45494</v>
      </c>
      <c r="P3140" s="2" t="s">
        <v>2105</v>
      </c>
      <c r="Q3140" s="2" t="s">
        <v>814</v>
      </c>
    </row>
    <row r="3141" spans="2:17" x14ac:dyDescent="0.25">
      <c r="B3141" s="2" t="s">
        <v>3946</v>
      </c>
      <c r="C3141" s="2" t="s">
        <v>335</v>
      </c>
      <c r="D3141" s="2" t="s">
        <v>336</v>
      </c>
      <c r="E3141" s="2" t="s">
        <v>334</v>
      </c>
      <c r="F3141" s="2" t="s">
        <v>535</v>
      </c>
      <c r="G3141" s="2" t="s">
        <v>505</v>
      </c>
      <c r="H3141" s="2" t="s">
        <v>506</v>
      </c>
      <c r="I3141" s="26">
        <v>45242</v>
      </c>
      <c r="J3141" s="2">
        <v>9</v>
      </c>
      <c r="K3141" s="2" t="s">
        <v>123</v>
      </c>
      <c r="L3141" s="22">
        <v>5150</v>
      </c>
      <c r="M3141" s="22">
        <v>46350</v>
      </c>
      <c r="N3141" s="18">
        <v>49.57</v>
      </c>
      <c r="O3141" s="26">
        <v>45542</v>
      </c>
      <c r="P3141" s="2" t="s">
        <v>2105</v>
      </c>
      <c r="Q3141" s="2" t="s">
        <v>814</v>
      </c>
    </row>
    <row r="3142" spans="2:17" x14ac:dyDescent="0.25">
      <c r="B3142" s="2" t="s">
        <v>3947</v>
      </c>
      <c r="C3142" s="2" t="s">
        <v>335</v>
      </c>
      <c r="D3142" s="2" t="s">
        <v>336</v>
      </c>
      <c r="E3142" s="2" t="s">
        <v>334</v>
      </c>
      <c r="F3142" s="2" t="s">
        <v>535</v>
      </c>
      <c r="G3142" s="2" t="s">
        <v>505</v>
      </c>
      <c r="H3142" s="2" t="s">
        <v>506</v>
      </c>
      <c r="I3142" s="26">
        <v>45273</v>
      </c>
      <c r="J3142" s="2">
        <v>13</v>
      </c>
      <c r="K3142" s="2" t="s">
        <v>123</v>
      </c>
      <c r="L3142" s="22">
        <v>5150</v>
      </c>
      <c r="M3142" s="22">
        <v>66950</v>
      </c>
      <c r="N3142" s="18">
        <v>71.599999999999994</v>
      </c>
      <c r="O3142" s="26">
        <v>45573</v>
      </c>
      <c r="P3142" s="2" t="s">
        <v>2105</v>
      </c>
      <c r="Q3142" s="2" t="s">
        <v>825</v>
      </c>
    </row>
    <row r="3143" spans="2:17" x14ac:dyDescent="0.25">
      <c r="B3143" s="2" t="s">
        <v>3948</v>
      </c>
      <c r="C3143" s="2" t="s">
        <v>335</v>
      </c>
      <c r="D3143" s="2" t="s">
        <v>336</v>
      </c>
      <c r="E3143" s="2" t="s">
        <v>334</v>
      </c>
      <c r="F3143" s="2" t="s">
        <v>535</v>
      </c>
      <c r="G3143" s="2" t="s">
        <v>505</v>
      </c>
      <c r="H3143" s="2" t="s">
        <v>506</v>
      </c>
      <c r="I3143" s="26">
        <v>45315</v>
      </c>
      <c r="J3143" s="2">
        <v>9</v>
      </c>
      <c r="K3143" s="2" t="s">
        <v>123</v>
      </c>
      <c r="L3143" s="22">
        <v>5150</v>
      </c>
      <c r="M3143" s="22">
        <v>46350</v>
      </c>
      <c r="N3143" s="18">
        <v>49.57</v>
      </c>
      <c r="O3143" s="26">
        <v>45615</v>
      </c>
      <c r="P3143" s="2" t="s">
        <v>2105</v>
      </c>
      <c r="Q3143" s="2" t="s">
        <v>825</v>
      </c>
    </row>
    <row r="3144" spans="2:17" x14ac:dyDescent="0.25">
      <c r="B3144" s="2" t="s">
        <v>3949</v>
      </c>
      <c r="C3144" s="2" t="s">
        <v>335</v>
      </c>
      <c r="D3144" s="2" t="s">
        <v>336</v>
      </c>
      <c r="E3144" s="2" t="s">
        <v>334</v>
      </c>
      <c r="F3144" s="2" t="s">
        <v>535</v>
      </c>
      <c r="G3144" s="2" t="s">
        <v>505</v>
      </c>
      <c r="H3144" s="2" t="s">
        <v>506</v>
      </c>
      <c r="I3144" s="26">
        <v>45346</v>
      </c>
      <c r="J3144" s="2">
        <v>9</v>
      </c>
      <c r="K3144" s="2" t="s">
        <v>123</v>
      </c>
      <c r="L3144" s="22">
        <v>5150</v>
      </c>
      <c r="M3144" s="22">
        <v>46350</v>
      </c>
      <c r="N3144" s="18">
        <v>49.57</v>
      </c>
      <c r="O3144" s="26">
        <v>45646</v>
      </c>
      <c r="P3144" s="2" t="s">
        <v>2105</v>
      </c>
      <c r="Q3144" s="2" t="s">
        <v>825</v>
      </c>
    </row>
    <row r="3145" spans="2:17" x14ac:dyDescent="0.25">
      <c r="B3145" s="2" t="s">
        <v>3950</v>
      </c>
      <c r="C3145" s="2" t="s">
        <v>335</v>
      </c>
      <c r="D3145" s="2" t="s">
        <v>336</v>
      </c>
      <c r="E3145" s="2" t="s">
        <v>334</v>
      </c>
      <c r="F3145" s="2" t="s">
        <v>537</v>
      </c>
      <c r="G3145" s="2" t="s">
        <v>510</v>
      </c>
      <c r="H3145" s="2" t="s">
        <v>511</v>
      </c>
      <c r="I3145" s="26">
        <v>45374</v>
      </c>
      <c r="J3145" s="2">
        <v>8</v>
      </c>
      <c r="K3145" s="2" t="s">
        <v>123</v>
      </c>
      <c r="L3145" s="22">
        <v>5100</v>
      </c>
      <c r="M3145" s="22">
        <v>40800</v>
      </c>
      <c r="N3145" s="18">
        <v>43.64</v>
      </c>
      <c r="O3145" s="26">
        <v>45674</v>
      </c>
      <c r="P3145" s="2" t="s">
        <v>2105</v>
      </c>
      <c r="Q3145" s="2" t="s">
        <v>836</v>
      </c>
    </row>
    <row r="3146" spans="2:17" x14ac:dyDescent="0.25">
      <c r="B3146" s="2" t="s">
        <v>3951</v>
      </c>
      <c r="C3146" s="2" t="s">
        <v>335</v>
      </c>
      <c r="D3146" s="2" t="s">
        <v>336</v>
      </c>
      <c r="E3146" s="2" t="s">
        <v>334</v>
      </c>
      <c r="F3146" s="2" t="s">
        <v>537</v>
      </c>
      <c r="G3146" s="2" t="s">
        <v>510</v>
      </c>
      <c r="H3146" s="2" t="s">
        <v>511</v>
      </c>
      <c r="I3146" s="26">
        <v>45407</v>
      </c>
      <c r="J3146" s="2">
        <v>23</v>
      </c>
      <c r="K3146" s="2" t="s">
        <v>123</v>
      </c>
      <c r="L3146" s="22">
        <v>5100</v>
      </c>
      <c r="M3146" s="22">
        <v>117300</v>
      </c>
      <c r="N3146" s="18">
        <v>125.45</v>
      </c>
      <c r="O3146" s="26">
        <v>45707</v>
      </c>
      <c r="P3146" s="2" t="s">
        <v>2105</v>
      </c>
      <c r="Q3146" s="2" t="s">
        <v>836</v>
      </c>
    </row>
    <row r="3147" spans="2:17" x14ac:dyDescent="0.25">
      <c r="B3147" s="2" t="s">
        <v>3952</v>
      </c>
      <c r="C3147" s="2" t="s">
        <v>335</v>
      </c>
      <c r="D3147" s="2" t="s">
        <v>336</v>
      </c>
      <c r="E3147" s="2" t="s">
        <v>334</v>
      </c>
      <c r="F3147" s="2" t="s">
        <v>537</v>
      </c>
      <c r="G3147" s="2" t="s">
        <v>510</v>
      </c>
      <c r="H3147" s="2" t="s">
        <v>511</v>
      </c>
      <c r="I3147" s="26">
        <v>45442</v>
      </c>
      <c r="J3147" s="2">
        <v>22</v>
      </c>
      <c r="K3147" s="2" t="s">
        <v>123</v>
      </c>
      <c r="L3147" s="22">
        <v>5100</v>
      </c>
      <c r="M3147" s="22">
        <v>112200</v>
      </c>
      <c r="N3147" s="18">
        <v>120</v>
      </c>
      <c r="O3147" s="26">
        <v>45742</v>
      </c>
      <c r="P3147" s="2" t="s">
        <v>2105</v>
      </c>
      <c r="Q3147" s="2" t="s">
        <v>836</v>
      </c>
    </row>
    <row r="3148" spans="2:17" x14ac:dyDescent="0.25">
      <c r="B3148" s="2" t="s">
        <v>3953</v>
      </c>
      <c r="C3148" s="2" t="s">
        <v>335</v>
      </c>
      <c r="D3148" s="2" t="s">
        <v>336</v>
      </c>
      <c r="E3148" s="2" t="s">
        <v>334</v>
      </c>
      <c r="F3148" s="2" t="s">
        <v>537</v>
      </c>
      <c r="G3148" s="2" t="s">
        <v>510</v>
      </c>
      <c r="H3148" s="2" t="s">
        <v>511</v>
      </c>
      <c r="I3148" s="26">
        <v>45484</v>
      </c>
      <c r="J3148" s="2">
        <v>24</v>
      </c>
      <c r="K3148" s="2" t="s">
        <v>123</v>
      </c>
      <c r="L3148" s="22">
        <v>5100</v>
      </c>
      <c r="M3148" s="22">
        <v>122400</v>
      </c>
      <c r="N3148" s="18">
        <v>130.91</v>
      </c>
      <c r="O3148" s="26">
        <v>45784</v>
      </c>
      <c r="P3148" s="2" t="s">
        <v>2105</v>
      </c>
      <c r="Q3148" s="2" t="s">
        <v>806</v>
      </c>
    </row>
    <row r="3149" spans="2:17" x14ac:dyDescent="0.25">
      <c r="B3149" s="2" t="s">
        <v>3954</v>
      </c>
      <c r="C3149" s="2" t="s">
        <v>335</v>
      </c>
      <c r="D3149" s="2" t="s">
        <v>336</v>
      </c>
      <c r="E3149" s="2" t="s">
        <v>334</v>
      </c>
      <c r="F3149" s="2" t="s">
        <v>535</v>
      </c>
      <c r="G3149" s="2" t="s">
        <v>505</v>
      </c>
      <c r="H3149" s="2" t="s">
        <v>506</v>
      </c>
      <c r="I3149" s="26">
        <v>45515</v>
      </c>
      <c r="J3149" s="2">
        <v>26</v>
      </c>
      <c r="K3149" s="2" t="s">
        <v>123</v>
      </c>
      <c r="L3149" s="22">
        <v>5150</v>
      </c>
      <c r="M3149" s="22">
        <v>133900</v>
      </c>
      <c r="N3149" s="18">
        <v>143.21</v>
      </c>
      <c r="O3149" s="26">
        <v>45815</v>
      </c>
      <c r="P3149" s="2" t="s">
        <v>2105</v>
      </c>
      <c r="Q3149" s="2" t="s">
        <v>806</v>
      </c>
    </row>
    <row r="3150" spans="2:17" x14ac:dyDescent="0.25">
      <c r="B3150" s="2" t="s">
        <v>3955</v>
      </c>
      <c r="C3150" s="2" t="s">
        <v>335</v>
      </c>
      <c r="D3150" s="2" t="s">
        <v>336</v>
      </c>
      <c r="E3150" s="2" t="s">
        <v>334</v>
      </c>
      <c r="F3150" s="2" t="s">
        <v>535</v>
      </c>
      <c r="G3150" s="2" t="s">
        <v>505</v>
      </c>
      <c r="H3150" s="2" t="s">
        <v>506</v>
      </c>
      <c r="I3150" s="26">
        <v>45551</v>
      </c>
      <c r="J3150" s="2">
        <v>30</v>
      </c>
      <c r="K3150" s="2" t="s">
        <v>123</v>
      </c>
      <c r="L3150" s="22">
        <v>5150</v>
      </c>
      <c r="M3150" s="22">
        <v>154500</v>
      </c>
      <c r="N3150" s="18">
        <v>165.24</v>
      </c>
      <c r="O3150" s="26">
        <v>45851</v>
      </c>
      <c r="P3150" s="2" t="s">
        <v>2105</v>
      </c>
      <c r="Q3150" s="2" t="s">
        <v>814</v>
      </c>
    </row>
    <row r="3151" spans="2:17" x14ac:dyDescent="0.25">
      <c r="B3151" s="2" t="s">
        <v>3956</v>
      </c>
      <c r="C3151" s="2" t="s">
        <v>335</v>
      </c>
      <c r="D3151" s="2" t="s">
        <v>336</v>
      </c>
      <c r="E3151" s="2" t="s">
        <v>334</v>
      </c>
      <c r="F3151" s="2" t="s">
        <v>537</v>
      </c>
      <c r="G3151" s="2" t="s">
        <v>510</v>
      </c>
      <c r="H3151" s="2" t="s">
        <v>511</v>
      </c>
      <c r="I3151" s="26">
        <v>45586</v>
      </c>
      <c r="J3151" s="2">
        <v>8</v>
      </c>
      <c r="K3151" s="2" t="s">
        <v>123</v>
      </c>
      <c r="L3151" s="22">
        <v>5100</v>
      </c>
      <c r="M3151" s="22">
        <v>40800</v>
      </c>
      <c r="N3151" s="18">
        <v>43.64</v>
      </c>
      <c r="O3151" s="26">
        <v>45886</v>
      </c>
      <c r="P3151" s="2" t="s">
        <v>2105</v>
      </c>
      <c r="Q3151" s="2" t="s">
        <v>814</v>
      </c>
    </row>
    <row r="3152" spans="2:17" x14ac:dyDescent="0.25">
      <c r="B3152" s="2" t="s">
        <v>3957</v>
      </c>
      <c r="C3152" s="2" t="s">
        <v>335</v>
      </c>
      <c r="D3152" s="2" t="s">
        <v>336</v>
      </c>
      <c r="E3152" s="2" t="s">
        <v>334</v>
      </c>
      <c r="F3152" s="2" t="s">
        <v>535</v>
      </c>
      <c r="G3152" s="2" t="s">
        <v>505</v>
      </c>
      <c r="H3152" s="2" t="s">
        <v>506</v>
      </c>
      <c r="I3152" s="26">
        <v>45617</v>
      </c>
      <c r="J3152" s="2">
        <v>9</v>
      </c>
      <c r="K3152" s="2" t="s">
        <v>123</v>
      </c>
      <c r="L3152" s="22">
        <v>5150</v>
      </c>
      <c r="M3152" s="22">
        <v>46350</v>
      </c>
      <c r="N3152" s="18">
        <v>49.57</v>
      </c>
      <c r="O3152" s="26">
        <v>45917</v>
      </c>
      <c r="P3152" s="2" t="s">
        <v>2105</v>
      </c>
      <c r="Q3152" s="2" t="s">
        <v>814</v>
      </c>
    </row>
    <row r="3153" spans="2:17" x14ac:dyDescent="0.25">
      <c r="B3153" s="2" t="s">
        <v>3958</v>
      </c>
      <c r="C3153" s="2" t="s">
        <v>335</v>
      </c>
      <c r="D3153" s="2" t="s">
        <v>336</v>
      </c>
      <c r="E3153" s="2" t="s">
        <v>334</v>
      </c>
      <c r="F3153" s="2" t="s">
        <v>535</v>
      </c>
      <c r="G3153" s="2" t="s">
        <v>505</v>
      </c>
      <c r="H3153" s="2" t="s">
        <v>506</v>
      </c>
      <c r="I3153" s="26">
        <v>45646</v>
      </c>
      <c r="J3153" s="2">
        <v>11</v>
      </c>
      <c r="K3153" s="2" t="s">
        <v>123</v>
      </c>
      <c r="L3153" s="22">
        <v>5150</v>
      </c>
      <c r="M3153" s="22">
        <v>56650</v>
      </c>
      <c r="N3153" s="18">
        <v>60.59</v>
      </c>
      <c r="O3153" s="26">
        <v>45946</v>
      </c>
      <c r="P3153" s="2" t="s">
        <v>2105</v>
      </c>
      <c r="Q3153" s="2" t="s">
        <v>825</v>
      </c>
    </row>
    <row r="3154" spans="2:17" x14ac:dyDescent="0.25">
      <c r="B3154" s="2" t="s">
        <v>3959</v>
      </c>
      <c r="C3154" s="2" t="s">
        <v>335</v>
      </c>
      <c r="D3154" s="2" t="s">
        <v>336</v>
      </c>
      <c r="E3154" s="2" t="s">
        <v>334</v>
      </c>
      <c r="F3154" s="2" t="s">
        <v>535</v>
      </c>
      <c r="G3154" s="2" t="s">
        <v>505</v>
      </c>
      <c r="H3154" s="2" t="s">
        <v>506</v>
      </c>
      <c r="I3154" s="26">
        <v>45676</v>
      </c>
      <c r="J3154" s="2">
        <v>9</v>
      </c>
      <c r="K3154" s="2" t="s">
        <v>123</v>
      </c>
      <c r="L3154" s="22">
        <v>5150</v>
      </c>
      <c r="M3154" s="22">
        <v>46350</v>
      </c>
      <c r="N3154" s="18">
        <v>49.57</v>
      </c>
      <c r="O3154" s="26">
        <v>45976</v>
      </c>
      <c r="P3154" s="2" t="s">
        <v>2105</v>
      </c>
      <c r="Q3154" s="2" t="s">
        <v>825</v>
      </c>
    </row>
    <row r="3155" spans="2:17" x14ac:dyDescent="0.25">
      <c r="B3155" s="2" t="s">
        <v>3960</v>
      </c>
      <c r="C3155" s="2" t="s">
        <v>335</v>
      </c>
      <c r="D3155" s="2" t="s">
        <v>336</v>
      </c>
      <c r="E3155" s="2" t="s">
        <v>334</v>
      </c>
      <c r="F3155" s="2" t="s">
        <v>535</v>
      </c>
      <c r="G3155" s="2" t="s">
        <v>505</v>
      </c>
      <c r="H3155" s="2" t="s">
        <v>506</v>
      </c>
      <c r="I3155" s="26">
        <v>45717</v>
      </c>
      <c r="J3155" s="2">
        <v>8</v>
      </c>
      <c r="K3155" s="2" t="s">
        <v>123</v>
      </c>
      <c r="L3155" s="22">
        <v>5150</v>
      </c>
      <c r="M3155" s="22">
        <v>41200</v>
      </c>
      <c r="N3155" s="18">
        <v>44.06</v>
      </c>
      <c r="O3155" s="26">
        <v>46017</v>
      </c>
      <c r="P3155" s="2" t="s">
        <v>2105</v>
      </c>
      <c r="Q3155" s="2" t="s">
        <v>836</v>
      </c>
    </row>
    <row r="3156" spans="2:17" x14ac:dyDescent="0.25">
      <c r="B3156" s="2" t="s">
        <v>3961</v>
      </c>
      <c r="C3156" s="2" t="s">
        <v>335</v>
      </c>
      <c r="D3156" s="2" t="s">
        <v>336</v>
      </c>
      <c r="E3156" s="2" t="s">
        <v>334</v>
      </c>
      <c r="F3156" s="2" t="s">
        <v>535</v>
      </c>
      <c r="G3156" s="2" t="s">
        <v>505</v>
      </c>
      <c r="H3156" s="2" t="s">
        <v>506</v>
      </c>
      <c r="I3156" s="26">
        <v>45752</v>
      </c>
      <c r="J3156" s="2">
        <v>27</v>
      </c>
      <c r="K3156" s="2" t="s">
        <v>123</v>
      </c>
      <c r="L3156" s="22">
        <v>5150</v>
      </c>
      <c r="M3156" s="22">
        <v>139050</v>
      </c>
      <c r="N3156" s="18">
        <v>148.72</v>
      </c>
      <c r="O3156" s="26">
        <v>46052</v>
      </c>
      <c r="P3156" s="2" t="s">
        <v>2105</v>
      </c>
      <c r="Q3156" s="2" t="s">
        <v>836</v>
      </c>
    </row>
    <row r="3157" spans="2:17" x14ac:dyDescent="0.25">
      <c r="B3157" s="2" t="s">
        <v>3962</v>
      </c>
      <c r="C3157" s="2" t="s">
        <v>335</v>
      </c>
      <c r="D3157" s="2" t="s">
        <v>336</v>
      </c>
      <c r="E3157" s="2" t="s">
        <v>334</v>
      </c>
      <c r="F3157" s="2" t="s">
        <v>535</v>
      </c>
      <c r="G3157" s="2" t="s">
        <v>505</v>
      </c>
      <c r="H3157" s="2" t="s">
        <v>506</v>
      </c>
      <c r="I3157" s="26">
        <v>45782</v>
      </c>
      <c r="J3157" s="2">
        <v>29</v>
      </c>
      <c r="K3157" s="2" t="s">
        <v>123</v>
      </c>
      <c r="L3157" s="22">
        <v>5150</v>
      </c>
      <c r="M3157" s="22">
        <v>149350</v>
      </c>
      <c r="N3157" s="18">
        <v>159.72999999999999</v>
      </c>
      <c r="O3157" s="26">
        <v>46082</v>
      </c>
      <c r="P3157" s="2" t="s">
        <v>2105</v>
      </c>
      <c r="Q3157" s="2" t="s">
        <v>836</v>
      </c>
    </row>
    <row r="3158" spans="2:17" x14ac:dyDescent="0.25">
      <c r="B3158" s="2" t="s">
        <v>3963</v>
      </c>
      <c r="C3158" s="2" t="s">
        <v>335</v>
      </c>
      <c r="D3158" s="2" t="s">
        <v>336</v>
      </c>
      <c r="E3158" s="2" t="s">
        <v>334</v>
      </c>
      <c r="F3158" s="2" t="s">
        <v>537</v>
      </c>
      <c r="G3158" s="2" t="s">
        <v>510</v>
      </c>
      <c r="H3158" s="2" t="s">
        <v>511</v>
      </c>
      <c r="I3158" s="26">
        <v>45820</v>
      </c>
      <c r="J3158" s="2">
        <v>26</v>
      </c>
      <c r="K3158" s="2" t="s">
        <v>123</v>
      </c>
      <c r="L3158" s="22">
        <v>5100</v>
      </c>
      <c r="M3158" s="22">
        <v>132600</v>
      </c>
      <c r="N3158" s="18">
        <v>141.82</v>
      </c>
      <c r="O3158" s="26">
        <v>46120</v>
      </c>
      <c r="P3158" s="2" t="s">
        <v>2105</v>
      </c>
      <c r="Q3158" s="2" t="s">
        <v>806</v>
      </c>
    </row>
    <row r="3159" spans="2:17" x14ac:dyDescent="0.25">
      <c r="B3159" s="2" t="s">
        <v>3964</v>
      </c>
      <c r="C3159" s="2" t="s">
        <v>337</v>
      </c>
      <c r="D3159" s="2" t="s">
        <v>338</v>
      </c>
      <c r="E3159" s="2" t="s">
        <v>334</v>
      </c>
      <c r="F3159" s="2" t="s">
        <v>537</v>
      </c>
      <c r="G3159" s="2" t="s">
        <v>510</v>
      </c>
      <c r="H3159" s="2" t="s">
        <v>511</v>
      </c>
      <c r="I3159" s="26">
        <v>45126</v>
      </c>
      <c r="J3159" s="2">
        <v>26</v>
      </c>
      <c r="K3159" s="2" t="s">
        <v>123</v>
      </c>
      <c r="L3159" s="22">
        <v>6000</v>
      </c>
      <c r="M3159" s="22">
        <v>156000</v>
      </c>
      <c r="N3159" s="18">
        <v>166.84</v>
      </c>
      <c r="O3159" s="26">
        <v>45426</v>
      </c>
      <c r="P3159" s="2" t="s">
        <v>2105</v>
      </c>
      <c r="Q3159" s="2" t="s">
        <v>806</v>
      </c>
    </row>
    <row r="3160" spans="2:17" x14ac:dyDescent="0.25">
      <c r="B3160" s="2" t="s">
        <v>3965</v>
      </c>
      <c r="C3160" s="2" t="s">
        <v>337</v>
      </c>
      <c r="D3160" s="2" t="s">
        <v>338</v>
      </c>
      <c r="E3160" s="2" t="s">
        <v>334</v>
      </c>
      <c r="F3160" s="2" t="s">
        <v>535</v>
      </c>
      <c r="G3160" s="2" t="s">
        <v>505</v>
      </c>
      <c r="H3160" s="2" t="s">
        <v>506</v>
      </c>
      <c r="I3160" s="26">
        <v>45164</v>
      </c>
      <c r="J3160" s="2">
        <v>26</v>
      </c>
      <c r="K3160" s="2" t="s">
        <v>123</v>
      </c>
      <c r="L3160" s="22">
        <v>6000</v>
      </c>
      <c r="M3160" s="22">
        <v>156000</v>
      </c>
      <c r="N3160" s="18">
        <v>166.84</v>
      </c>
      <c r="O3160" s="26">
        <v>45464</v>
      </c>
      <c r="P3160" s="2" t="s">
        <v>2105</v>
      </c>
      <c r="Q3160" s="2" t="s">
        <v>806</v>
      </c>
    </row>
    <row r="3161" spans="2:17" x14ac:dyDescent="0.25">
      <c r="B3161" s="2" t="s">
        <v>3966</v>
      </c>
      <c r="C3161" s="2" t="s">
        <v>337</v>
      </c>
      <c r="D3161" s="2" t="s">
        <v>338</v>
      </c>
      <c r="E3161" s="2" t="s">
        <v>334</v>
      </c>
      <c r="F3161" s="2" t="s">
        <v>535</v>
      </c>
      <c r="G3161" s="2" t="s">
        <v>505</v>
      </c>
      <c r="H3161" s="2" t="s">
        <v>506</v>
      </c>
      <c r="I3161" s="26">
        <v>45194</v>
      </c>
      <c r="J3161" s="2">
        <v>31</v>
      </c>
      <c r="K3161" s="2" t="s">
        <v>123</v>
      </c>
      <c r="L3161" s="22">
        <v>6000</v>
      </c>
      <c r="M3161" s="22">
        <v>186000</v>
      </c>
      <c r="N3161" s="18">
        <v>198.93</v>
      </c>
      <c r="O3161" s="26">
        <v>45494</v>
      </c>
      <c r="P3161" s="2" t="s">
        <v>2105</v>
      </c>
      <c r="Q3161" s="2" t="s">
        <v>814</v>
      </c>
    </row>
    <row r="3162" spans="2:17" x14ac:dyDescent="0.25">
      <c r="B3162" s="2" t="s">
        <v>3967</v>
      </c>
      <c r="C3162" s="2" t="s">
        <v>337</v>
      </c>
      <c r="D3162" s="2" t="s">
        <v>338</v>
      </c>
      <c r="E3162" s="2" t="s">
        <v>334</v>
      </c>
      <c r="F3162" s="2" t="s">
        <v>535</v>
      </c>
      <c r="G3162" s="2" t="s">
        <v>505</v>
      </c>
      <c r="H3162" s="2" t="s">
        <v>506</v>
      </c>
      <c r="I3162" s="26">
        <v>45221</v>
      </c>
      <c r="J3162" s="2">
        <v>9</v>
      </c>
      <c r="K3162" s="2" t="s">
        <v>123</v>
      </c>
      <c r="L3162" s="22">
        <v>6000</v>
      </c>
      <c r="M3162" s="22">
        <v>54000</v>
      </c>
      <c r="N3162" s="18">
        <v>57.75</v>
      </c>
      <c r="O3162" s="26">
        <v>45521</v>
      </c>
      <c r="P3162" s="2" t="s">
        <v>2105</v>
      </c>
      <c r="Q3162" s="2" t="s">
        <v>814</v>
      </c>
    </row>
    <row r="3163" spans="2:17" x14ac:dyDescent="0.25">
      <c r="B3163" s="2" t="s">
        <v>3968</v>
      </c>
      <c r="C3163" s="2" t="s">
        <v>337</v>
      </c>
      <c r="D3163" s="2" t="s">
        <v>338</v>
      </c>
      <c r="E3163" s="2" t="s">
        <v>334</v>
      </c>
      <c r="F3163" s="2" t="s">
        <v>535</v>
      </c>
      <c r="G3163" s="2" t="s">
        <v>505</v>
      </c>
      <c r="H3163" s="2" t="s">
        <v>506</v>
      </c>
      <c r="I3163" s="26">
        <v>45256</v>
      </c>
      <c r="J3163" s="2">
        <v>10</v>
      </c>
      <c r="K3163" s="2" t="s">
        <v>123</v>
      </c>
      <c r="L3163" s="22">
        <v>6000</v>
      </c>
      <c r="M3163" s="22">
        <v>60000</v>
      </c>
      <c r="N3163" s="18">
        <v>64.17</v>
      </c>
      <c r="O3163" s="26">
        <v>45556</v>
      </c>
      <c r="P3163" s="2" t="s">
        <v>2105</v>
      </c>
      <c r="Q3163" s="2" t="s">
        <v>814</v>
      </c>
    </row>
    <row r="3164" spans="2:17" x14ac:dyDescent="0.25">
      <c r="B3164" s="2" t="s">
        <v>3969</v>
      </c>
      <c r="C3164" s="2" t="s">
        <v>337</v>
      </c>
      <c r="D3164" s="2" t="s">
        <v>338</v>
      </c>
      <c r="E3164" s="2" t="s">
        <v>334</v>
      </c>
      <c r="F3164" s="2" t="s">
        <v>535</v>
      </c>
      <c r="G3164" s="2" t="s">
        <v>505</v>
      </c>
      <c r="H3164" s="2" t="s">
        <v>506</v>
      </c>
      <c r="I3164" s="26">
        <v>45286</v>
      </c>
      <c r="J3164" s="2">
        <v>13</v>
      </c>
      <c r="K3164" s="2" t="s">
        <v>123</v>
      </c>
      <c r="L3164" s="22">
        <v>6000</v>
      </c>
      <c r="M3164" s="22">
        <v>78000</v>
      </c>
      <c r="N3164" s="18">
        <v>83.42</v>
      </c>
      <c r="O3164" s="26">
        <v>45586</v>
      </c>
      <c r="P3164" s="2" t="s">
        <v>2105</v>
      </c>
      <c r="Q3164" s="2" t="s">
        <v>825</v>
      </c>
    </row>
    <row r="3165" spans="2:17" x14ac:dyDescent="0.25">
      <c r="B3165" s="2" t="s">
        <v>3970</v>
      </c>
      <c r="C3165" s="2" t="s">
        <v>337</v>
      </c>
      <c r="D3165" s="2" t="s">
        <v>338</v>
      </c>
      <c r="E3165" s="2" t="s">
        <v>334</v>
      </c>
      <c r="F3165" s="2" t="s">
        <v>535</v>
      </c>
      <c r="G3165" s="2" t="s">
        <v>505</v>
      </c>
      <c r="H3165" s="2" t="s">
        <v>506</v>
      </c>
      <c r="I3165" s="26">
        <v>45318</v>
      </c>
      <c r="J3165" s="2">
        <v>9</v>
      </c>
      <c r="K3165" s="2" t="s">
        <v>123</v>
      </c>
      <c r="L3165" s="22">
        <v>6000</v>
      </c>
      <c r="M3165" s="22">
        <v>54000</v>
      </c>
      <c r="N3165" s="18">
        <v>57.75</v>
      </c>
      <c r="O3165" s="26">
        <v>45618</v>
      </c>
      <c r="P3165" s="2" t="s">
        <v>2105</v>
      </c>
      <c r="Q3165" s="2" t="s">
        <v>825</v>
      </c>
    </row>
    <row r="3166" spans="2:17" x14ac:dyDescent="0.25">
      <c r="B3166" s="2" t="s">
        <v>3971</v>
      </c>
      <c r="C3166" s="2" t="s">
        <v>337</v>
      </c>
      <c r="D3166" s="2" t="s">
        <v>338</v>
      </c>
      <c r="E3166" s="2" t="s">
        <v>334</v>
      </c>
      <c r="F3166" s="2" t="s">
        <v>535</v>
      </c>
      <c r="G3166" s="2" t="s">
        <v>505</v>
      </c>
      <c r="H3166" s="2" t="s">
        <v>506</v>
      </c>
      <c r="I3166" s="26">
        <v>45351</v>
      </c>
      <c r="J3166" s="2">
        <v>9</v>
      </c>
      <c r="K3166" s="2" t="s">
        <v>123</v>
      </c>
      <c r="L3166" s="22">
        <v>6000</v>
      </c>
      <c r="M3166" s="22">
        <v>54000</v>
      </c>
      <c r="N3166" s="18">
        <v>57.75</v>
      </c>
      <c r="O3166" s="26">
        <v>45651</v>
      </c>
      <c r="P3166" s="2" t="s">
        <v>2105</v>
      </c>
      <c r="Q3166" s="2" t="s">
        <v>825</v>
      </c>
    </row>
    <row r="3167" spans="2:17" x14ac:dyDescent="0.25">
      <c r="B3167" s="2" t="s">
        <v>3972</v>
      </c>
      <c r="C3167" s="2" t="s">
        <v>337</v>
      </c>
      <c r="D3167" s="2" t="s">
        <v>338</v>
      </c>
      <c r="E3167" s="2" t="s">
        <v>334</v>
      </c>
      <c r="F3167" s="2" t="s">
        <v>537</v>
      </c>
      <c r="G3167" s="2" t="s">
        <v>510</v>
      </c>
      <c r="H3167" s="2" t="s">
        <v>511</v>
      </c>
      <c r="I3167" s="26">
        <v>45384</v>
      </c>
      <c r="J3167" s="2">
        <v>26</v>
      </c>
      <c r="K3167" s="2" t="s">
        <v>123</v>
      </c>
      <c r="L3167" s="22">
        <v>6000</v>
      </c>
      <c r="M3167" s="22">
        <v>156000</v>
      </c>
      <c r="N3167" s="18">
        <v>166.84</v>
      </c>
      <c r="O3167" s="26">
        <v>45684</v>
      </c>
      <c r="P3167" s="2" t="s">
        <v>2105</v>
      </c>
      <c r="Q3167" s="2" t="s">
        <v>836</v>
      </c>
    </row>
    <row r="3168" spans="2:17" x14ac:dyDescent="0.25">
      <c r="B3168" s="2" t="s">
        <v>3973</v>
      </c>
      <c r="C3168" s="2" t="s">
        <v>337</v>
      </c>
      <c r="D3168" s="2" t="s">
        <v>338</v>
      </c>
      <c r="E3168" s="2" t="s">
        <v>334</v>
      </c>
      <c r="F3168" s="2" t="s">
        <v>537</v>
      </c>
      <c r="G3168" s="2" t="s">
        <v>510</v>
      </c>
      <c r="H3168" s="2" t="s">
        <v>511</v>
      </c>
      <c r="I3168" s="26">
        <v>45410</v>
      </c>
      <c r="J3168" s="2">
        <v>26</v>
      </c>
      <c r="K3168" s="2" t="s">
        <v>123</v>
      </c>
      <c r="L3168" s="22">
        <v>6000</v>
      </c>
      <c r="M3168" s="22">
        <v>156000</v>
      </c>
      <c r="N3168" s="18">
        <v>166.84</v>
      </c>
      <c r="O3168" s="26">
        <v>45710</v>
      </c>
      <c r="P3168" s="2" t="s">
        <v>2105</v>
      </c>
      <c r="Q3168" s="2" t="s">
        <v>836</v>
      </c>
    </row>
    <row r="3169" spans="2:17" x14ac:dyDescent="0.25">
      <c r="B3169" s="2" t="s">
        <v>3974</v>
      </c>
      <c r="C3169" s="2" t="s">
        <v>337</v>
      </c>
      <c r="D3169" s="2" t="s">
        <v>338</v>
      </c>
      <c r="E3169" s="2" t="s">
        <v>334</v>
      </c>
      <c r="F3169" s="2" t="s">
        <v>535</v>
      </c>
      <c r="G3169" s="2" t="s">
        <v>505</v>
      </c>
      <c r="H3169" s="2" t="s">
        <v>506</v>
      </c>
      <c r="I3169" s="26">
        <v>45439</v>
      </c>
      <c r="J3169" s="2">
        <v>23</v>
      </c>
      <c r="K3169" s="2" t="s">
        <v>123</v>
      </c>
      <c r="L3169" s="22">
        <v>6000</v>
      </c>
      <c r="M3169" s="22">
        <v>138000</v>
      </c>
      <c r="N3169" s="18">
        <v>147.59</v>
      </c>
      <c r="O3169" s="26">
        <v>45739</v>
      </c>
      <c r="P3169" s="2" t="s">
        <v>2105</v>
      </c>
      <c r="Q3169" s="2" t="s">
        <v>836</v>
      </c>
    </row>
    <row r="3170" spans="2:17" x14ac:dyDescent="0.25">
      <c r="B3170" s="2" t="s">
        <v>3975</v>
      </c>
      <c r="C3170" s="2" t="s">
        <v>337</v>
      </c>
      <c r="D3170" s="2" t="s">
        <v>338</v>
      </c>
      <c r="E3170" s="2" t="s">
        <v>334</v>
      </c>
      <c r="F3170" s="2" t="s">
        <v>535</v>
      </c>
      <c r="G3170" s="2" t="s">
        <v>505</v>
      </c>
      <c r="H3170" s="2" t="s">
        <v>506</v>
      </c>
      <c r="I3170" s="26">
        <v>45480</v>
      </c>
      <c r="J3170" s="2">
        <v>27</v>
      </c>
      <c r="K3170" s="2" t="s">
        <v>123</v>
      </c>
      <c r="L3170" s="22">
        <v>6000</v>
      </c>
      <c r="M3170" s="22">
        <v>162000</v>
      </c>
      <c r="N3170" s="18">
        <v>173.26</v>
      </c>
      <c r="O3170" s="26">
        <v>45780</v>
      </c>
      <c r="P3170" s="2" t="s">
        <v>2105</v>
      </c>
      <c r="Q3170" s="2" t="s">
        <v>806</v>
      </c>
    </row>
    <row r="3171" spans="2:17" x14ac:dyDescent="0.25">
      <c r="B3171" s="2" t="s">
        <v>3976</v>
      </c>
      <c r="C3171" s="2" t="s">
        <v>337</v>
      </c>
      <c r="D3171" s="2" t="s">
        <v>338</v>
      </c>
      <c r="E3171" s="2" t="s">
        <v>334</v>
      </c>
      <c r="F3171" s="2" t="s">
        <v>535</v>
      </c>
      <c r="G3171" s="2" t="s">
        <v>505</v>
      </c>
      <c r="H3171" s="2" t="s">
        <v>506</v>
      </c>
      <c r="I3171" s="26">
        <v>45516</v>
      </c>
      <c r="J3171" s="2">
        <v>24</v>
      </c>
      <c r="K3171" s="2" t="s">
        <v>123</v>
      </c>
      <c r="L3171" s="22">
        <v>6000</v>
      </c>
      <c r="M3171" s="22">
        <v>144000</v>
      </c>
      <c r="N3171" s="18">
        <v>154.01</v>
      </c>
      <c r="O3171" s="26">
        <v>45816</v>
      </c>
      <c r="P3171" s="2" t="s">
        <v>2105</v>
      </c>
      <c r="Q3171" s="2" t="s">
        <v>806</v>
      </c>
    </row>
    <row r="3172" spans="2:17" x14ac:dyDescent="0.25">
      <c r="B3172" s="2" t="s">
        <v>3977</v>
      </c>
      <c r="C3172" s="2" t="s">
        <v>337</v>
      </c>
      <c r="D3172" s="2" t="s">
        <v>338</v>
      </c>
      <c r="E3172" s="2" t="s">
        <v>334</v>
      </c>
      <c r="F3172" s="2" t="s">
        <v>535</v>
      </c>
      <c r="G3172" s="2" t="s">
        <v>505</v>
      </c>
      <c r="H3172" s="2" t="s">
        <v>506</v>
      </c>
      <c r="I3172" s="26">
        <v>45546</v>
      </c>
      <c r="J3172" s="2">
        <v>28</v>
      </c>
      <c r="K3172" s="2" t="s">
        <v>123</v>
      </c>
      <c r="L3172" s="22">
        <v>6000</v>
      </c>
      <c r="M3172" s="22">
        <v>168000</v>
      </c>
      <c r="N3172" s="18">
        <v>179.68</v>
      </c>
      <c r="O3172" s="26">
        <v>45846</v>
      </c>
      <c r="P3172" s="2" t="s">
        <v>2105</v>
      </c>
      <c r="Q3172" s="2" t="s">
        <v>814</v>
      </c>
    </row>
    <row r="3173" spans="2:17" x14ac:dyDescent="0.25">
      <c r="B3173" s="2" t="s">
        <v>3978</v>
      </c>
      <c r="C3173" s="2" t="s">
        <v>337</v>
      </c>
      <c r="D3173" s="2" t="s">
        <v>338</v>
      </c>
      <c r="E3173" s="2" t="s">
        <v>334</v>
      </c>
      <c r="F3173" s="2" t="s">
        <v>535</v>
      </c>
      <c r="G3173" s="2" t="s">
        <v>505</v>
      </c>
      <c r="H3173" s="2" t="s">
        <v>506</v>
      </c>
      <c r="I3173" s="26">
        <v>45576</v>
      </c>
      <c r="J3173" s="2">
        <v>8</v>
      </c>
      <c r="K3173" s="2" t="s">
        <v>123</v>
      </c>
      <c r="L3173" s="22">
        <v>6000</v>
      </c>
      <c r="M3173" s="22">
        <v>48000</v>
      </c>
      <c r="N3173" s="18">
        <v>51.34</v>
      </c>
      <c r="O3173" s="26">
        <v>45876</v>
      </c>
      <c r="P3173" s="2" t="s">
        <v>2105</v>
      </c>
      <c r="Q3173" s="2" t="s">
        <v>814</v>
      </c>
    </row>
    <row r="3174" spans="2:17" x14ac:dyDescent="0.25">
      <c r="B3174" s="2" t="s">
        <v>3979</v>
      </c>
      <c r="C3174" s="2" t="s">
        <v>337</v>
      </c>
      <c r="D3174" s="2" t="s">
        <v>338</v>
      </c>
      <c r="E3174" s="2" t="s">
        <v>334</v>
      </c>
      <c r="F3174" s="2" t="s">
        <v>535</v>
      </c>
      <c r="G3174" s="2" t="s">
        <v>505</v>
      </c>
      <c r="H3174" s="2" t="s">
        <v>506</v>
      </c>
      <c r="I3174" s="26">
        <v>45611</v>
      </c>
      <c r="J3174" s="2">
        <v>8</v>
      </c>
      <c r="K3174" s="2" t="s">
        <v>123</v>
      </c>
      <c r="L3174" s="22">
        <v>6000</v>
      </c>
      <c r="M3174" s="22">
        <v>48000</v>
      </c>
      <c r="N3174" s="18">
        <v>51.34</v>
      </c>
      <c r="O3174" s="26">
        <v>45911</v>
      </c>
      <c r="P3174" s="2" t="s">
        <v>2105</v>
      </c>
      <c r="Q3174" s="2" t="s">
        <v>814</v>
      </c>
    </row>
    <row r="3175" spans="2:17" x14ac:dyDescent="0.25">
      <c r="B3175" s="2" t="s">
        <v>3980</v>
      </c>
      <c r="C3175" s="2" t="s">
        <v>337</v>
      </c>
      <c r="D3175" s="2" t="s">
        <v>338</v>
      </c>
      <c r="E3175" s="2" t="s">
        <v>334</v>
      </c>
      <c r="F3175" s="2" t="s">
        <v>535</v>
      </c>
      <c r="G3175" s="2" t="s">
        <v>505</v>
      </c>
      <c r="H3175" s="2" t="s">
        <v>506</v>
      </c>
      <c r="I3175" s="26">
        <v>45639</v>
      </c>
      <c r="J3175" s="2">
        <v>12</v>
      </c>
      <c r="K3175" s="2" t="s">
        <v>123</v>
      </c>
      <c r="L3175" s="22">
        <v>6000</v>
      </c>
      <c r="M3175" s="22">
        <v>72000</v>
      </c>
      <c r="N3175" s="18">
        <v>77.010000000000005</v>
      </c>
      <c r="O3175" s="26">
        <v>45939</v>
      </c>
      <c r="P3175" s="2" t="s">
        <v>2105</v>
      </c>
      <c r="Q3175" s="2" t="s">
        <v>825</v>
      </c>
    </row>
    <row r="3176" spans="2:17" x14ac:dyDescent="0.25">
      <c r="B3176" s="2" t="s">
        <v>3981</v>
      </c>
      <c r="C3176" s="2" t="s">
        <v>337</v>
      </c>
      <c r="D3176" s="2" t="s">
        <v>338</v>
      </c>
      <c r="E3176" s="2" t="s">
        <v>334</v>
      </c>
      <c r="F3176" s="2" t="s">
        <v>535</v>
      </c>
      <c r="G3176" s="2" t="s">
        <v>505</v>
      </c>
      <c r="H3176" s="2" t="s">
        <v>506</v>
      </c>
      <c r="I3176" s="26">
        <v>45670</v>
      </c>
      <c r="J3176" s="2">
        <v>9</v>
      </c>
      <c r="K3176" s="2" t="s">
        <v>123</v>
      </c>
      <c r="L3176" s="22">
        <v>6000</v>
      </c>
      <c r="M3176" s="22">
        <v>54000</v>
      </c>
      <c r="N3176" s="18">
        <v>57.75</v>
      </c>
      <c r="O3176" s="26">
        <v>45970</v>
      </c>
      <c r="P3176" s="2" t="s">
        <v>2105</v>
      </c>
      <c r="Q3176" s="2" t="s">
        <v>825</v>
      </c>
    </row>
    <row r="3177" spans="2:17" x14ac:dyDescent="0.25">
      <c r="B3177" s="2" t="s">
        <v>3982</v>
      </c>
      <c r="C3177" s="2" t="s">
        <v>337</v>
      </c>
      <c r="D3177" s="2" t="s">
        <v>338</v>
      </c>
      <c r="E3177" s="2" t="s">
        <v>334</v>
      </c>
      <c r="F3177" s="2" t="s">
        <v>535</v>
      </c>
      <c r="G3177" s="2" t="s">
        <v>505</v>
      </c>
      <c r="H3177" s="2" t="s">
        <v>506</v>
      </c>
      <c r="I3177" s="26">
        <v>45700</v>
      </c>
      <c r="J3177" s="2">
        <v>11</v>
      </c>
      <c r="K3177" s="2" t="s">
        <v>123</v>
      </c>
      <c r="L3177" s="22">
        <v>6000</v>
      </c>
      <c r="M3177" s="22">
        <v>66000</v>
      </c>
      <c r="N3177" s="18">
        <v>70.59</v>
      </c>
      <c r="O3177" s="26">
        <v>46000</v>
      </c>
      <c r="P3177" s="2" t="s">
        <v>2105</v>
      </c>
      <c r="Q3177" s="2" t="s">
        <v>825</v>
      </c>
    </row>
    <row r="3178" spans="2:17" x14ac:dyDescent="0.25">
      <c r="B3178" s="2" t="s">
        <v>3983</v>
      </c>
      <c r="C3178" s="2" t="s">
        <v>337</v>
      </c>
      <c r="D3178" s="2" t="s">
        <v>338</v>
      </c>
      <c r="E3178" s="2" t="s">
        <v>334</v>
      </c>
      <c r="F3178" s="2" t="s">
        <v>535</v>
      </c>
      <c r="G3178" s="2" t="s">
        <v>505</v>
      </c>
      <c r="H3178" s="2" t="s">
        <v>506</v>
      </c>
      <c r="I3178" s="26">
        <v>45735</v>
      </c>
      <c r="J3178" s="2">
        <v>11</v>
      </c>
      <c r="K3178" s="2" t="s">
        <v>123</v>
      </c>
      <c r="L3178" s="22">
        <v>6000</v>
      </c>
      <c r="M3178" s="22">
        <v>66000</v>
      </c>
      <c r="N3178" s="18">
        <v>70.59</v>
      </c>
      <c r="O3178" s="26">
        <v>46035</v>
      </c>
      <c r="P3178" s="2" t="s">
        <v>2105</v>
      </c>
      <c r="Q3178" s="2" t="s">
        <v>836</v>
      </c>
    </row>
    <row r="3179" spans="2:17" x14ac:dyDescent="0.25">
      <c r="B3179" s="2" t="s">
        <v>3984</v>
      </c>
      <c r="C3179" s="2" t="s">
        <v>337</v>
      </c>
      <c r="D3179" s="2" t="s">
        <v>338</v>
      </c>
      <c r="E3179" s="2" t="s">
        <v>334</v>
      </c>
      <c r="F3179" s="2" t="s">
        <v>535</v>
      </c>
      <c r="G3179" s="2" t="s">
        <v>505</v>
      </c>
      <c r="H3179" s="2" t="s">
        <v>506</v>
      </c>
      <c r="I3179" s="26">
        <v>45775</v>
      </c>
      <c r="J3179" s="2">
        <v>27</v>
      </c>
      <c r="K3179" s="2" t="s">
        <v>123</v>
      </c>
      <c r="L3179" s="22">
        <v>6000</v>
      </c>
      <c r="M3179" s="22">
        <v>162000</v>
      </c>
      <c r="N3179" s="18">
        <v>173.26</v>
      </c>
      <c r="O3179" s="26">
        <v>46075</v>
      </c>
      <c r="P3179" s="2" t="s">
        <v>2105</v>
      </c>
      <c r="Q3179" s="2" t="s">
        <v>836</v>
      </c>
    </row>
    <row r="3180" spans="2:17" x14ac:dyDescent="0.25">
      <c r="B3180" s="2" t="s">
        <v>3985</v>
      </c>
      <c r="C3180" s="2" t="s">
        <v>337</v>
      </c>
      <c r="D3180" s="2" t="s">
        <v>338</v>
      </c>
      <c r="E3180" s="2" t="s">
        <v>334</v>
      </c>
      <c r="F3180" s="2" t="s">
        <v>535</v>
      </c>
      <c r="G3180" s="2" t="s">
        <v>505</v>
      </c>
      <c r="H3180" s="2" t="s">
        <v>506</v>
      </c>
      <c r="I3180" s="26">
        <v>45815</v>
      </c>
      <c r="J3180" s="2">
        <v>24</v>
      </c>
      <c r="K3180" s="2" t="s">
        <v>123</v>
      </c>
      <c r="L3180" s="22">
        <v>6000</v>
      </c>
      <c r="M3180" s="22">
        <v>144000</v>
      </c>
      <c r="N3180" s="18">
        <v>154.01</v>
      </c>
      <c r="O3180" s="26">
        <v>46115</v>
      </c>
      <c r="P3180" s="2" t="s">
        <v>2105</v>
      </c>
      <c r="Q3180" s="2" t="s">
        <v>806</v>
      </c>
    </row>
    <row r="3181" spans="2:17" x14ac:dyDescent="0.25">
      <c r="B3181" s="2" t="s">
        <v>3986</v>
      </c>
      <c r="C3181" s="2" t="s">
        <v>339</v>
      </c>
      <c r="D3181" s="2" t="s">
        <v>340</v>
      </c>
      <c r="E3181" s="2" t="s">
        <v>341</v>
      </c>
      <c r="F3181" s="2" t="s">
        <v>537</v>
      </c>
      <c r="G3181" s="2" t="s">
        <v>510</v>
      </c>
      <c r="H3181" s="2" t="s">
        <v>511</v>
      </c>
      <c r="I3181" s="26">
        <v>45131</v>
      </c>
      <c r="J3181" s="2">
        <v>24</v>
      </c>
      <c r="K3181" s="2" t="s">
        <v>123</v>
      </c>
      <c r="L3181" s="22">
        <v>3350</v>
      </c>
      <c r="M3181" s="22">
        <v>80400</v>
      </c>
      <c r="N3181" s="18">
        <v>85.99</v>
      </c>
      <c r="O3181" s="26">
        <v>45431</v>
      </c>
      <c r="P3181" s="2" t="s">
        <v>2105</v>
      </c>
      <c r="Q3181" s="2" t="s">
        <v>806</v>
      </c>
    </row>
    <row r="3182" spans="2:17" x14ac:dyDescent="0.25">
      <c r="B3182" s="2" t="s">
        <v>3987</v>
      </c>
      <c r="C3182" s="2" t="s">
        <v>339</v>
      </c>
      <c r="D3182" s="2" t="s">
        <v>340</v>
      </c>
      <c r="E3182" s="2" t="s">
        <v>341</v>
      </c>
      <c r="F3182" s="2" t="s">
        <v>535</v>
      </c>
      <c r="G3182" s="2" t="s">
        <v>505</v>
      </c>
      <c r="H3182" s="2" t="s">
        <v>506</v>
      </c>
      <c r="I3182" s="26">
        <v>45169</v>
      </c>
      <c r="J3182" s="2">
        <v>22</v>
      </c>
      <c r="K3182" s="2" t="s">
        <v>123</v>
      </c>
      <c r="L3182" s="22">
        <v>3400</v>
      </c>
      <c r="M3182" s="22">
        <v>74800</v>
      </c>
      <c r="N3182" s="18">
        <v>80</v>
      </c>
      <c r="O3182" s="26">
        <v>45469</v>
      </c>
      <c r="P3182" s="2" t="s">
        <v>2105</v>
      </c>
      <c r="Q3182" s="2" t="s">
        <v>806</v>
      </c>
    </row>
    <row r="3183" spans="2:17" x14ac:dyDescent="0.25">
      <c r="B3183" s="2" t="s">
        <v>3988</v>
      </c>
      <c r="C3183" s="2" t="s">
        <v>339</v>
      </c>
      <c r="D3183" s="2" t="s">
        <v>340</v>
      </c>
      <c r="E3183" s="2" t="s">
        <v>341</v>
      </c>
      <c r="F3183" s="2" t="s">
        <v>535</v>
      </c>
      <c r="G3183" s="2" t="s">
        <v>505</v>
      </c>
      <c r="H3183" s="2" t="s">
        <v>506</v>
      </c>
      <c r="I3183" s="26">
        <v>45202</v>
      </c>
      <c r="J3183" s="2">
        <v>9</v>
      </c>
      <c r="K3183" s="2" t="s">
        <v>123</v>
      </c>
      <c r="L3183" s="22">
        <v>3400</v>
      </c>
      <c r="M3183" s="22">
        <v>30600</v>
      </c>
      <c r="N3183" s="18">
        <v>32.729999999999997</v>
      </c>
      <c r="O3183" s="26">
        <v>45502</v>
      </c>
      <c r="P3183" s="2" t="s">
        <v>2105</v>
      </c>
      <c r="Q3183" s="2" t="s">
        <v>814</v>
      </c>
    </row>
    <row r="3184" spans="2:17" x14ac:dyDescent="0.25">
      <c r="B3184" s="2" t="s">
        <v>3989</v>
      </c>
      <c r="C3184" s="2" t="s">
        <v>339</v>
      </c>
      <c r="D3184" s="2" t="s">
        <v>340</v>
      </c>
      <c r="E3184" s="2" t="s">
        <v>341</v>
      </c>
      <c r="F3184" s="2" t="s">
        <v>535</v>
      </c>
      <c r="G3184" s="2" t="s">
        <v>505</v>
      </c>
      <c r="H3184" s="2" t="s">
        <v>506</v>
      </c>
      <c r="I3184" s="26">
        <v>45239</v>
      </c>
      <c r="J3184" s="2">
        <v>9</v>
      </c>
      <c r="K3184" s="2" t="s">
        <v>123</v>
      </c>
      <c r="L3184" s="22">
        <v>3400</v>
      </c>
      <c r="M3184" s="22">
        <v>30600</v>
      </c>
      <c r="N3184" s="18">
        <v>32.729999999999997</v>
      </c>
      <c r="O3184" s="26">
        <v>45539</v>
      </c>
      <c r="P3184" s="2" t="s">
        <v>2105</v>
      </c>
      <c r="Q3184" s="2" t="s">
        <v>814</v>
      </c>
    </row>
    <row r="3185" spans="2:17" x14ac:dyDescent="0.25">
      <c r="B3185" s="2" t="s">
        <v>3990</v>
      </c>
      <c r="C3185" s="2" t="s">
        <v>339</v>
      </c>
      <c r="D3185" s="2" t="s">
        <v>340</v>
      </c>
      <c r="E3185" s="2" t="s">
        <v>341</v>
      </c>
      <c r="F3185" s="2" t="s">
        <v>535</v>
      </c>
      <c r="G3185" s="2" t="s">
        <v>505</v>
      </c>
      <c r="H3185" s="2" t="s">
        <v>506</v>
      </c>
      <c r="I3185" s="26">
        <v>45273</v>
      </c>
      <c r="J3185" s="2">
        <v>13</v>
      </c>
      <c r="K3185" s="2" t="s">
        <v>123</v>
      </c>
      <c r="L3185" s="22">
        <v>3400</v>
      </c>
      <c r="M3185" s="22">
        <v>44200</v>
      </c>
      <c r="N3185" s="18">
        <v>47.27</v>
      </c>
      <c r="O3185" s="26">
        <v>45573</v>
      </c>
      <c r="P3185" s="2" t="s">
        <v>2105</v>
      </c>
      <c r="Q3185" s="2" t="s">
        <v>825</v>
      </c>
    </row>
    <row r="3186" spans="2:17" x14ac:dyDescent="0.25">
      <c r="B3186" s="2" t="s">
        <v>3991</v>
      </c>
      <c r="C3186" s="2" t="s">
        <v>339</v>
      </c>
      <c r="D3186" s="2" t="s">
        <v>340</v>
      </c>
      <c r="E3186" s="2" t="s">
        <v>341</v>
      </c>
      <c r="F3186" s="2" t="s">
        <v>535</v>
      </c>
      <c r="G3186" s="2" t="s">
        <v>505</v>
      </c>
      <c r="H3186" s="2" t="s">
        <v>506</v>
      </c>
      <c r="I3186" s="26">
        <v>45312</v>
      </c>
      <c r="J3186" s="2">
        <v>9</v>
      </c>
      <c r="K3186" s="2" t="s">
        <v>123</v>
      </c>
      <c r="L3186" s="22">
        <v>3400</v>
      </c>
      <c r="M3186" s="22">
        <v>30600</v>
      </c>
      <c r="N3186" s="18">
        <v>32.729999999999997</v>
      </c>
      <c r="O3186" s="26">
        <v>45612</v>
      </c>
      <c r="P3186" s="2" t="s">
        <v>2105</v>
      </c>
      <c r="Q3186" s="2" t="s">
        <v>825</v>
      </c>
    </row>
    <row r="3187" spans="2:17" x14ac:dyDescent="0.25">
      <c r="B3187" s="2" t="s">
        <v>3992</v>
      </c>
      <c r="C3187" s="2" t="s">
        <v>339</v>
      </c>
      <c r="D3187" s="2" t="s">
        <v>340</v>
      </c>
      <c r="E3187" s="2" t="s">
        <v>341</v>
      </c>
      <c r="F3187" s="2" t="s">
        <v>535</v>
      </c>
      <c r="G3187" s="2" t="s">
        <v>505</v>
      </c>
      <c r="H3187" s="2" t="s">
        <v>506</v>
      </c>
      <c r="I3187" s="26">
        <v>45347</v>
      </c>
      <c r="J3187" s="2">
        <v>10</v>
      </c>
      <c r="K3187" s="2" t="s">
        <v>123</v>
      </c>
      <c r="L3187" s="22">
        <v>3400</v>
      </c>
      <c r="M3187" s="22">
        <v>34000</v>
      </c>
      <c r="N3187" s="18">
        <v>36.36</v>
      </c>
      <c r="O3187" s="26">
        <v>45647</v>
      </c>
      <c r="P3187" s="2" t="s">
        <v>2105</v>
      </c>
      <c r="Q3187" s="2" t="s">
        <v>825</v>
      </c>
    </row>
    <row r="3188" spans="2:17" x14ac:dyDescent="0.25">
      <c r="B3188" s="2" t="s">
        <v>3993</v>
      </c>
      <c r="C3188" s="2" t="s">
        <v>339</v>
      </c>
      <c r="D3188" s="2" t="s">
        <v>340</v>
      </c>
      <c r="E3188" s="2" t="s">
        <v>341</v>
      </c>
      <c r="F3188" s="2" t="s">
        <v>535</v>
      </c>
      <c r="G3188" s="2" t="s">
        <v>505</v>
      </c>
      <c r="H3188" s="2" t="s">
        <v>506</v>
      </c>
      <c r="I3188" s="26">
        <v>45385</v>
      </c>
      <c r="J3188" s="2">
        <v>25</v>
      </c>
      <c r="K3188" s="2" t="s">
        <v>123</v>
      </c>
      <c r="L3188" s="22">
        <v>3400</v>
      </c>
      <c r="M3188" s="22">
        <v>85000</v>
      </c>
      <c r="N3188" s="18">
        <v>90.91</v>
      </c>
      <c r="O3188" s="26">
        <v>45685</v>
      </c>
      <c r="P3188" s="2" t="s">
        <v>2105</v>
      </c>
      <c r="Q3188" s="2" t="s">
        <v>836</v>
      </c>
    </row>
    <row r="3189" spans="2:17" x14ac:dyDescent="0.25">
      <c r="B3189" s="2" t="s">
        <v>3994</v>
      </c>
      <c r="C3189" s="2" t="s">
        <v>339</v>
      </c>
      <c r="D3189" s="2" t="s">
        <v>340</v>
      </c>
      <c r="E3189" s="2" t="s">
        <v>341</v>
      </c>
      <c r="F3189" s="2" t="s">
        <v>535</v>
      </c>
      <c r="G3189" s="2" t="s">
        <v>505</v>
      </c>
      <c r="H3189" s="2" t="s">
        <v>506</v>
      </c>
      <c r="I3189" s="26">
        <v>45423</v>
      </c>
      <c r="J3189" s="2">
        <v>21</v>
      </c>
      <c r="K3189" s="2" t="s">
        <v>123</v>
      </c>
      <c r="L3189" s="22">
        <v>3400</v>
      </c>
      <c r="M3189" s="22">
        <v>71400</v>
      </c>
      <c r="N3189" s="18">
        <v>76.36</v>
      </c>
      <c r="O3189" s="26">
        <v>45723</v>
      </c>
      <c r="P3189" s="2" t="s">
        <v>2105</v>
      </c>
      <c r="Q3189" s="2" t="s">
        <v>836</v>
      </c>
    </row>
    <row r="3190" spans="2:17" x14ac:dyDescent="0.25">
      <c r="B3190" s="2" t="s">
        <v>3995</v>
      </c>
      <c r="C3190" s="2" t="s">
        <v>339</v>
      </c>
      <c r="D3190" s="2" t="s">
        <v>340</v>
      </c>
      <c r="E3190" s="2" t="s">
        <v>341</v>
      </c>
      <c r="F3190" s="2" t="s">
        <v>535</v>
      </c>
      <c r="G3190" s="2" t="s">
        <v>505</v>
      </c>
      <c r="H3190" s="2" t="s">
        <v>506</v>
      </c>
      <c r="I3190" s="26">
        <v>45463</v>
      </c>
      <c r="J3190" s="2">
        <v>23</v>
      </c>
      <c r="K3190" s="2" t="s">
        <v>123</v>
      </c>
      <c r="L3190" s="22">
        <v>3400</v>
      </c>
      <c r="M3190" s="22">
        <v>78200</v>
      </c>
      <c r="N3190" s="18">
        <v>83.64</v>
      </c>
      <c r="O3190" s="26">
        <v>45763</v>
      </c>
      <c r="P3190" s="2" t="s">
        <v>2105</v>
      </c>
      <c r="Q3190" s="2" t="s">
        <v>806</v>
      </c>
    </row>
    <row r="3191" spans="2:17" x14ac:dyDescent="0.25">
      <c r="B3191" s="2" t="s">
        <v>3996</v>
      </c>
      <c r="C3191" s="2" t="s">
        <v>339</v>
      </c>
      <c r="D3191" s="2" t="s">
        <v>340</v>
      </c>
      <c r="E3191" s="2" t="s">
        <v>341</v>
      </c>
      <c r="F3191" s="2" t="s">
        <v>535</v>
      </c>
      <c r="G3191" s="2" t="s">
        <v>505</v>
      </c>
      <c r="H3191" s="2" t="s">
        <v>506</v>
      </c>
      <c r="I3191" s="26">
        <v>45493</v>
      </c>
      <c r="J3191" s="2">
        <v>24</v>
      </c>
      <c r="K3191" s="2" t="s">
        <v>123</v>
      </c>
      <c r="L3191" s="22">
        <v>3400</v>
      </c>
      <c r="M3191" s="22">
        <v>81600</v>
      </c>
      <c r="N3191" s="18">
        <v>87.27</v>
      </c>
      <c r="O3191" s="26">
        <v>45793</v>
      </c>
      <c r="P3191" s="2" t="s">
        <v>2105</v>
      </c>
      <c r="Q3191" s="2" t="s">
        <v>806</v>
      </c>
    </row>
    <row r="3192" spans="2:17" x14ac:dyDescent="0.25">
      <c r="B3192" s="2" t="s">
        <v>3997</v>
      </c>
      <c r="C3192" s="2" t="s">
        <v>339</v>
      </c>
      <c r="D3192" s="2" t="s">
        <v>340</v>
      </c>
      <c r="E3192" s="2" t="s">
        <v>341</v>
      </c>
      <c r="F3192" s="2" t="s">
        <v>535</v>
      </c>
      <c r="G3192" s="2" t="s">
        <v>505</v>
      </c>
      <c r="H3192" s="2" t="s">
        <v>506</v>
      </c>
      <c r="I3192" s="26">
        <v>45529</v>
      </c>
      <c r="J3192" s="2">
        <v>24</v>
      </c>
      <c r="K3192" s="2" t="s">
        <v>123</v>
      </c>
      <c r="L3192" s="22">
        <v>3400</v>
      </c>
      <c r="M3192" s="22">
        <v>81600</v>
      </c>
      <c r="N3192" s="18">
        <v>87.27</v>
      </c>
      <c r="O3192" s="26">
        <v>45829</v>
      </c>
      <c r="P3192" s="2" t="s">
        <v>2105</v>
      </c>
      <c r="Q3192" s="2" t="s">
        <v>806</v>
      </c>
    </row>
    <row r="3193" spans="2:17" x14ac:dyDescent="0.25">
      <c r="B3193" s="2" t="s">
        <v>3998</v>
      </c>
      <c r="C3193" s="2" t="s">
        <v>339</v>
      </c>
      <c r="D3193" s="2" t="s">
        <v>340</v>
      </c>
      <c r="E3193" s="2" t="s">
        <v>341</v>
      </c>
      <c r="F3193" s="2" t="s">
        <v>535</v>
      </c>
      <c r="G3193" s="2" t="s">
        <v>505</v>
      </c>
      <c r="H3193" s="2" t="s">
        <v>506</v>
      </c>
      <c r="I3193" s="26">
        <v>45564</v>
      </c>
      <c r="J3193" s="2">
        <v>30</v>
      </c>
      <c r="K3193" s="2" t="s">
        <v>123</v>
      </c>
      <c r="L3193" s="22">
        <v>3400</v>
      </c>
      <c r="M3193" s="22">
        <v>102000</v>
      </c>
      <c r="N3193" s="18">
        <v>109.09</v>
      </c>
      <c r="O3193" s="26">
        <v>45864</v>
      </c>
      <c r="P3193" s="2" t="s">
        <v>2105</v>
      </c>
      <c r="Q3193" s="2" t="s">
        <v>814</v>
      </c>
    </row>
    <row r="3194" spans="2:17" x14ac:dyDescent="0.25">
      <c r="B3194" s="2" t="s">
        <v>3999</v>
      </c>
      <c r="C3194" s="2" t="s">
        <v>339</v>
      </c>
      <c r="D3194" s="2" t="s">
        <v>340</v>
      </c>
      <c r="E3194" s="2" t="s">
        <v>341</v>
      </c>
      <c r="F3194" s="2" t="s">
        <v>535</v>
      </c>
      <c r="G3194" s="2" t="s">
        <v>505</v>
      </c>
      <c r="H3194" s="2" t="s">
        <v>506</v>
      </c>
      <c r="I3194" s="26">
        <v>45598</v>
      </c>
      <c r="J3194" s="2">
        <v>10</v>
      </c>
      <c r="K3194" s="2" t="s">
        <v>123</v>
      </c>
      <c r="L3194" s="22">
        <v>3400</v>
      </c>
      <c r="M3194" s="22">
        <v>34000</v>
      </c>
      <c r="N3194" s="18">
        <v>36.36</v>
      </c>
      <c r="O3194" s="26">
        <v>45898</v>
      </c>
      <c r="P3194" s="2" t="s">
        <v>2105</v>
      </c>
      <c r="Q3194" s="2" t="s">
        <v>814</v>
      </c>
    </row>
    <row r="3195" spans="2:17" x14ac:dyDescent="0.25">
      <c r="B3195" s="2" t="s">
        <v>4000</v>
      </c>
      <c r="C3195" s="2" t="s">
        <v>339</v>
      </c>
      <c r="D3195" s="2" t="s">
        <v>340</v>
      </c>
      <c r="E3195" s="2" t="s">
        <v>341</v>
      </c>
      <c r="F3195" s="2" t="s">
        <v>535</v>
      </c>
      <c r="G3195" s="2" t="s">
        <v>505</v>
      </c>
      <c r="H3195" s="2" t="s">
        <v>506</v>
      </c>
      <c r="I3195" s="26">
        <v>45620</v>
      </c>
      <c r="J3195" s="2">
        <v>9</v>
      </c>
      <c r="K3195" s="2" t="s">
        <v>123</v>
      </c>
      <c r="L3195" s="22">
        <v>3400</v>
      </c>
      <c r="M3195" s="22">
        <v>30600</v>
      </c>
      <c r="N3195" s="18">
        <v>32.729999999999997</v>
      </c>
      <c r="O3195" s="26">
        <v>45920</v>
      </c>
      <c r="P3195" s="2" t="s">
        <v>2105</v>
      </c>
      <c r="Q3195" s="2" t="s">
        <v>814</v>
      </c>
    </row>
    <row r="3196" spans="2:17" x14ac:dyDescent="0.25">
      <c r="B3196" s="2" t="s">
        <v>4001</v>
      </c>
      <c r="C3196" s="2" t="s">
        <v>339</v>
      </c>
      <c r="D3196" s="2" t="s">
        <v>340</v>
      </c>
      <c r="E3196" s="2" t="s">
        <v>341</v>
      </c>
      <c r="F3196" s="2" t="s">
        <v>537</v>
      </c>
      <c r="G3196" s="2" t="s">
        <v>510</v>
      </c>
      <c r="H3196" s="2" t="s">
        <v>511</v>
      </c>
      <c r="I3196" s="26">
        <v>45650</v>
      </c>
      <c r="J3196" s="2">
        <v>11</v>
      </c>
      <c r="K3196" s="2" t="s">
        <v>123</v>
      </c>
      <c r="L3196" s="22">
        <v>3350</v>
      </c>
      <c r="M3196" s="22">
        <v>36850</v>
      </c>
      <c r="N3196" s="18">
        <v>39.409999999999997</v>
      </c>
      <c r="O3196" s="26">
        <v>45950</v>
      </c>
      <c r="P3196" s="2" t="s">
        <v>2105</v>
      </c>
      <c r="Q3196" s="2" t="s">
        <v>825</v>
      </c>
    </row>
    <row r="3197" spans="2:17" x14ac:dyDescent="0.25">
      <c r="B3197" s="2" t="s">
        <v>4002</v>
      </c>
      <c r="C3197" s="2" t="s">
        <v>339</v>
      </c>
      <c r="D3197" s="2" t="s">
        <v>340</v>
      </c>
      <c r="E3197" s="2" t="s">
        <v>341</v>
      </c>
      <c r="F3197" s="2" t="s">
        <v>535</v>
      </c>
      <c r="G3197" s="2" t="s">
        <v>505</v>
      </c>
      <c r="H3197" s="2" t="s">
        <v>506</v>
      </c>
      <c r="I3197" s="26">
        <v>45686</v>
      </c>
      <c r="J3197" s="2">
        <v>10</v>
      </c>
      <c r="K3197" s="2" t="s">
        <v>123</v>
      </c>
      <c r="L3197" s="22">
        <v>3400</v>
      </c>
      <c r="M3197" s="22">
        <v>34000</v>
      </c>
      <c r="N3197" s="18">
        <v>36.36</v>
      </c>
      <c r="O3197" s="26">
        <v>45986</v>
      </c>
      <c r="P3197" s="2" t="s">
        <v>2105</v>
      </c>
      <c r="Q3197" s="2" t="s">
        <v>825</v>
      </c>
    </row>
    <row r="3198" spans="2:17" x14ac:dyDescent="0.25">
      <c r="B3198" s="2" t="s">
        <v>4003</v>
      </c>
      <c r="C3198" s="2" t="s">
        <v>339</v>
      </c>
      <c r="D3198" s="2" t="s">
        <v>340</v>
      </c>
      <c r="E3198" s="2" t="s">
        <v>341</v>
      </c>
      <c r="F3198" s="2" t="s">
        <v>535</v>
      </c>
      <c r="G3198" s="2" t="s">
        <v>505</v>
      </c>
      <c r="H3198" s="2" t="s">
        <v>506</v>
      </c>
      <c r="I3198" s="26">
        <v>45720</v>
      </c>
      <c r="J3198" s="2">
        <v>10</v>
      </c>
      <c r="K3198" s="2" t="s">
        <v>123</v>
      </c>
      <c r="L3198" s="22">
        <v>3400</v>
      </c>
      <c r="M3198" s="22">
        <v>34000</v>
      </c>
      <c r="N3198" s="18">
        <v>36.36</v>
      </c>
      <c r="O3198" s="26">
        <v>46020</v>
      </c>
      <c r="P3198" s="2" t="s">
        <v>2105</v>
      </c>
      <c r="Q3198" s="2" t="s">
        <v>836</v>
      </c>
    </row>
    <row r="3199" spans="2:17" x14ac:dyDescent="0.25">
      <c r="B3199" s="2" t="s">
        <v>4004</v>
      </c>
      <c r="C3199" s="2" t="s">
        <v>339</v>
      </c>
      <c r="D3199" s="2" t="s">
        <v>340</v>
      </c>
      <c r="E3199" s="2" t="s">
        <v>341</v>
      </c>
      <c r="F3199" s="2" t="s">
        <v>535</v>
      </c>
      <c r="G3199" s="2" t="s">
        <v>505</v>
      </c>
      <c r="H3199" s="2" t="s">
        <v>506</v>
      </c>
      <c r="I3199" s="26">
        <v>45753</v>
      </c>
      <c r="J3199" s="2">
        <v>28</v>
      </c>
      <c r="K3199" s="2" t="s">
        <v>123</v>
      </c>
      <c r="L3199" s="22">
        <v>3400</v>
      </c>
      <c r="M3199" s="22">
        <v>95200</v>
      </c>
      <c r="N3199" s="18">
        <v>101.82</v>
      </c>
      <c r="O3199" s="26">
        <v>46053</v>
      </c>
      <c r="P3199" s="2" t="s">
        <v>2105</v>
      </c>
      <c r="Q3199" s="2" t="s">
        <v>836</v>
      </c>
    </row>
    <row r="3200" spans="2:17" x14ac:dyDescent="0.25">
      <c r="B3200" s="2" t="s">
        <v>4005</v>
      </c>
      <c r="C3200" s="2" t="s">
        <v>339</v>
      </c>
      <c r="D3200" s="2" t="s">
        <v>340</v>
      </c>
      <c r="E3200" s="2" t="s">
        <v>341</v>
      </c>
      <c r="F3200" s="2" t="s">
        <v>535</v>
      </c>
      <c r="G3200" s="2" t="s">
        <v>505</v>
      </c>
      <c r="H3200" s="2" t="s">
        <v>506</v>
      </c>
      <c r="I3200" s="26">
        <v>45791</v>
      </c>
      <c r="J3200" s="2">
        <v>26</v>
      </c>
      <c r="K3200" s="2" t="s">
        <v>123</v>
      </c>
      <c r="L3200" s="22">
        <v>3400</v>
      </c>
      <c r="M3200" s="22">
        <v>88400</v>
      </c>
      <c r="N3200" s="18">
        <v>94.55</v>
      </c>
      <c r="O3200" s="26">
        <v>46091</v>
      </c>
      <c r="P3200" s="2" t="s">
        <v>2105</v>
      </c>
      <c r="Q3200" s="2" t="s">
        <v>836</v>
      </c>
    </row>
    <row r="3201" spans="2:17" x14ac:dyDescent="0.25">
      <c r="B3201" s="2" t="s">
        <v>4006</v>
      </c>
      <c r="C3201" s="2" t="s">
        <v>339</v>
      </c>
      <c r="D3201" s="2" t="s">
        <v>340</v>
      </c>
      <c r="E3201" s="2" t="s">
        <v>341</v>
      </c>
      <c r="F3201" s="2" t="s">
        <v>535</v>
      </c>
      <c r="G3201" s="2" t="s">
        <v>505</v>
      </c>
      <c r="H3201" s="2" t="s">
        <v>506</v>
      </c>
      <c r="I3201" s="26">
        <v>45828</v>
      </c>
      <c r="J3201" s="2">
        <v>24</v>
      </c>
      <c r="K3201" s="2" t="s">
        <v>123</v>
      </c>
      <c r="L3201" s="22">
        <v>3400</v>
      </c>
      <c r="M3201" s="22">
        <v>81600</v>
      </c>
      <c r="N3201" s="18">
        <v>87.27</v>
      </c>
      <c r="O3201" s="26">
        <v>46128</v>
      </c>
      <c r="P3201" s="2" t="s">
        <v>2105</v>
      </c>
      <c r="Q3201" s="2" t="s">
        <v>806</v>
      </c>
    </row>
    <row r="3202" spans="2:17" x14ac:dyDescent="0.25">
      <c r="B3202" s="2" t="s">
        <v>4007</v>
      </c>
      <c r="C3202" s="2" t="s">
        <v>342</v>
      </c>
      <c r="D3202" s="2" t="s">
        <v>343</v>
      </c>
      <c r="E3202" s="2" t="s">
        <v>341</v>
      </c>
      <c r="F3202" s="2" t="s">
        <v>535</v>
      </c>
      <c r="G3202" s="2" t="s">
        <v>505</v>
      </c>
      <c r="H3202" s="2" t="s">
        <v>506</v>
      </c>
      <c r="I3202" s="26">
        <v>45130</v>
      </c>
      <c r="J3202" s="2">
        <v>25</v>
      </c>
      <c r="K3202" s="2" t="s">
        <v>123</v>
      </c>
      <c r="L3202" s="22">
        <v>4150</v>
      </c>
      <c r="M3202" s="22">
        <v>103750</v>
      </c>
      <c r="N3202" s="18">
        <v>110.96</v>
      </c>
      <c r="O3202" s="26">
        <v>45430</v>
      </c>
      <c r="P3202" s="2" t="s">
        <v>2105</v>
      </c>
      <c r="Q3202" s="2" t="s">
        <v>806</v>
      </c>
    </row>
    <row r="3203" spans="2:17" x14ac:dyDescent="0.25">
      <c r="B3203" s="2" t="s">
        <v>4008</v>
      </c>
      <c r="C3203" s="2" t="s">
        <v>342</v>
      </c>
      <c r="D3203" s="2" t="s">
        <v>343</v>
      </c>
      <c r="E3203" s="2" t="s">
        <v>341</v>
      </c>
      <c r="F3203" s="2" t="s">
        <v>535</v>
      </c>
      <c r="G3203" s="2" t="s">
        <v>505</v>
      </c>
      <c r="H3203" s="2" t="s">
        <v>506</v>
      </c>
      <c r="I3203" s="26">
        <v>45166</v>
      </c>
      <c r="J3203" s="2">
        <v>25</v>
      </c>
      <c r="K3203" s="2" t="s">
        <v>123</v>
      </c>
      <c r="L3203" s="22">
        <v>4150</v>
      </c>
      <c r="M3203" s="22">
        <v>103750</v>
      </c>
      <c r="N3203" s="18">
        <v>110.96</v>
      </c>
      <c r="O3203" s="26">
        <v>45466</v>
      </c>
      <c r="P3203" s="2" t="s">
        <v>2105</v>
      </c>
      <c r="Q3203" s="2" t="s">
        <v>806</v>
      </c>
    </row>
    <row r="3204" spans="2:17" x14ac:dyDescent="0.25">
      <c r="B3204" s="2" t="s">
        <v>4009</v>
      </c>
      <c r="C3204" s="2" t="s">
        <v>342</v>
      </c>
      <c r="D3204" s="2" t="s">
        <v>343</v>
      </c>
      <c r="E3204" s="2" t="s">
        <v>341</v>
      </c>
      <c r="F3204" s="2" t="s">
        <v>535</v>
      </c>
      <c r="G3204" s="2" t="s">
        <v>505</v>
      </c>
      <c r="H3204" s="2" t="s">
        <v>506</v>
      </c>
      <c r="I3204" s="26">
        <v>45194</v>
      </c>
      <c r="J3204" s="2">
        <v>31</v>
      </c>
      <c r="K3204" s="2" t="s">
        <v>123</v>
      </c>
      <c r="L3204" s="22">
        <v>4150</v>
      </c>
      <c r="M3204" s="22">
        <v>128650</v>
      </c>
      <c r="N3204" s="18">
        <v>137.59</v>
      </c>
      <c r="O3204" s="26">
        <v>45494</v>
      </c>
      <c r="P3204" s="2" t="s">
        <v>2105</v>
      </c>
      <c r="Q3204" s="2" t="s">
        <v>814</v>
      </c>
    </row>
    <row r="3205" spans="2:17" x14ac:dyDescent="0.25">
      <c r="B3205" s="2" t="s">
        <v>4010</v>
      </c>
      <c r="C3205" s="2" t="s">
        <v>342</v>
      </c>
      <c r="D3205" s="2" t="s">
        <v>343</v>
      </c>
      <c r="E3205" s="2" t="s">
        <v>341</v>
      </c>
      <c r="F3205" s="2" t="s">
        <v>535</v>
      </c>
      <c r="G3205" s="2" t="s">
        <v>505</v>
      </c>
      <c r="H3205" s="2" t="s">
        <v>506</v>
      </c>
      <c r="I3205" s="26">
        <v>45229</v>
      </c>
      <c r="J3205" s="2">
        <v>8</v>
      </c>
      <c r="K3205" s="2" t="s">
        <v>123</v>
      </c>
      <c r="L3205" s="22">
        <v>4150</v>
      </c>
      <c r="M3205" s="22">
        <v>33200</v>
      </c>
      <c r="N3205" s="18">
        <v>35.51</v>
      </c>
      <c r="O3205" s="26">
        <v>45529</v>
      </c>
      <c r="P3205" s="2" t="s">
        <v>2105</v>
      </c>
      <c r="Q3205" s="2" t="s">
        <v>814</v>
      </c>
    </row>
    <row r="3206" spans="2:17" x14ac:dyDescent="0.25">
      <c r="B3206" s="2" t="s">
        <v>4011</v>
      </c>
      <c r="C3206" s="2" t="s">
        <v>342</v>
      </c>
      <c r="D3206" s="2" t="s">
        <v>343</v>
      </c>
      <c r="E3206" s="2" t="s">
        <v>341</v>
      </c>
      <c r="F3206" s="2" t="s">
        <v>535</v>
      </c>
      <c r="G3206" s="2" t="s">
        <v>505</v>
      </c>
      <c r="H3206" s="2" t="s">
        <v>506</v>
      </c>
      <c r="I3206" s="26">
        <v>45268</v>
      </c>
      <c r="J3206" s="2">
        <v>13</v>
      </c>
      <c r="K3206" s="2" t="s">
        <v>123</v>
      </c>
      <c r="L3206" s="22">
        <v>4150</v>
      </c>
      <c r="M3206" s="22">
        <v>53950</v>
      </c>
      <c r="N3206" s="18">
        <v>57.7</v>
      </c>
      <c r="O3206" s="26">
        <v>45568</v>
      </c>
      <c r="P3206" s="2" t="s">
        <v>2105</v>
      </c>
      <c r="Q3206" s="2" t="s">
        <v>825</v>
      </c>
    </row>
    <row r="3207" spans="2:17" x14ac:dyDescent="0.25">
      <c r="B3207" s="2" t="s">
        <v>4012</v>
      </c>
      <c r="C3207" s="2" t="s">
        <v>342</v>
      </c>
      <c r="D3207" s="2" t="s">
        <v>343</v>
      </c>
      <c r="E3207" s="2" t="s">
        <v>341</v>
      </c>
      <c r="F3207" s="2" t="s">
        <v>535</v>
      </c>
      <c r="G3207" s="2" t="s">
        <v>505</v>
      </c>
      <c r="H3207" s="2" t="s">
        <v>506</v>
      </c>
      <c r="I3207" s="26">
        <v>45309</v>
      </c>
      <c r="J3207" s="2">
        <v>10</v>
      </c>
      <c r="K3207" s="2" t="s">
        <v>123</v>
      </c>
      <c r="L3207" s="22">
        <v>4150</v>
      </c>
      <c r="M3207" s="22">
        <v>41500</v>
      </c>
      <c r="N3207" s="18">
        <v>44.39</v>
      </c>
      <c r="O3207" s="26">
        <v>45609</v>
      </c>
      <c r="P3207" s="2" t="s">
        <v>2105</v>
      </c>
      <c r="Q3207" s="2" t="s">
        <v>825</v>
      </c>
    </row>
    <row r="3208" spans="2:17" x14ac:dyDescent="0.25">
      <c r="B3208" s="2" t="s">
        <v>4013</v>
      </c>
      <c r="C3208" s="2" t="s">
        <v>342</v>
      </c>
      <c r="D3208" s="2" t="s">
        <v>343</v>
      </c>
      <c r="E3208" s="2" t="s">
        <v>341</v>
      </c>
      <c r="F3208" s="2" t="s">
        <v>535</v>
      </c>
      <c r="G3208" s="2" t="s">
        <v>505</v>
      </c>
      <c r="H3208" s="2" t="s">
        <v>506</v>
      </c>
      <c r="I3208" s="26">
        <v>45337</v>
      </c>
      <c r="J3208" s="2">
        <v>8</v>
      </c>
      <c r="K3208" s="2" t="s">
        <v>123</v>
      </c>
      <c r="L3208" s="22">
        <v>4150</v>
      </c>
      <c r="M3208" s="22">
        <v>33200</v>
      </c>
      <c r="N3208" s="18">
        <v>35.51</v>
      </c>
      <c r="O3208" s="26">
        <v>45637</v>
      </c>
      <c r="P3208" s="2" t="s">
        <v>2105</v>
      </c>
      <c r="Q3208" s="2" t="s">
        <v>825</v>
      </c>
    </row>
    <row r="3209" spans="2:17" x14ac:dyDescent="0.25">
      <c r="B3209" s="2" t="s">
        <v>4014</v>
      </c>
      <c r="C3209" s="2" t="s">
        <v>342</v>
      </c>
      <c r="D3209" s="2" t="s">
        <v>343</v>
      </c>
      <c r="E3209" s="2" t="s">
        <v>341</v>
      </c>
      <c r="F3209" s="2" t="s">
        <v>537</v>
      </c>
      <c r="G3209" s="2" t="s">
        <v>510</v>
      </c>
      <c r="H3209" s="2" t="s">
        <v>511</v>
      </c>
      <c r="I3209" s="26">
        <v>45367</v>
      </c>
      <c r="J3209" s="2">
        <v>8</v>
      </c>
      <c r="K3209" s="2" t="s">
        <v>123</v>
      </c>
      <c r="L3209" s="22">
        <v>4250</v>
      </c>
      <c r="M3209" s="22">
        <v>34000</v>
      </c>
      <c r="N3209" s="18">
        <v>36.36</v>
      </c>
      <c r="O3209" s="26">
        <v>45667</v>
      </c>
      <c r="P3209" s="2" t="s">
        <v>2105</v>
      </c>
      <c r="Q3209" s="2" t="s">
        <v>836</v>
      </c>
    </row>
    <row r="3210" spans="2:17" x14ac:dyDescent="0.25">
      <c r="B3210" s="2" t="s">
        <v>4015</v>
      </c>
      <c r="C3210" s="2" t="s">
        <v>342</v>
      </c>
      <c r="D3210" s="2" t="s">
        <v>343</v>
      </c>
      <c r="E3210" s="2" t="s">
        <v>341</v>
      </c>
      <c r="F3210" s="2" t="s">
        <v>535</v>
      </c>
      <c r="G3210" s="2" t="s">
        <v>505</v>
      </c>
      <c r="H3210" s="2" t="s">
        <v>506</v>
      </c>
      <c r="I3210" s="26">
        <v>45404</v>
      </c>
      <c r="J3210" s="2">
        <v>24</v>
      </c>
      <c r="K3210" s="2" t="s">
        <v>123</v>
      </c>
      <c r="L3210" s="22">
        <v>4150</v>
      </c>
      <c r="M3210" s="22">
        <v>99600</v>
      </c>
      <c r="N3210" s="18">
        <v>106.52</v>
      </c>
      <c r="O3210" s="26">
        <v>45704</v>
      </c>
      <c r="P3210" s="2" t="s">
        <v>2105</v>
      </c>
      <c r="Q3210" s="2" t="s">
        <v>836</v>
      </c>
    </row>
    <row r="3211" spans="2:17" x14ac:dyDescent="0.25">
      <c r="B3211" s="2" t="s">
        <v>4016</v>
      </c>
      <c r="C3211" s="2" t="s">
        <v>342</v>
      </c>
      <c r="D3211" s="2" t="s">
        <v>343</v>
      </c>
      <c r="E3211" s="2" t="s">
        <v>341</v>
      </c>
      <c r="F3211" s="2" t="s">
        <v>535</v>
      </c>
      <c r="G3211" s="2" t="s">
        <v>505</v>
      </c>
      <c r="H3211" s="2" t="s">
        <v>506</v>
      </c>
      <c r="I3211" s="26">
        <v>45436</v>
      </c>
      <c r="J3211" s="2">
        <v>23</v>
      </c>
      <c r="K3211" s="2" t="s">
        <v>123</v>
      </c>
      <c r="L3211" s="22">
        <v>4150</v>
      </c>
      <c r="M3211" s="22">
        <v>95450</v>
      </c>
      <c r="N3211" s="18">
        <v>102.09</v>
      </c>
      <c r="O3211" s="26">
        <v>45736</v>
      </c>
      <c r="P3211" s="2" t="s">
        <v>2105</v>
      </c>
      <c r="Q3211" s="2" t="s">
        <v>836</v>
      </c>
    </row>
    <row r="3212" spans="2:17" x14ac:dyDescent="0.25">
      <c r="B3212" s="2" t="s">
        <v>4017</v>
      </c>
      <c r="C3212" s="2" t="s">
        <v>342</v>
      </c>
      <c r="D3212" s="2" t="s">
        <v>343</v>
      </c>
      <c r="E3212" s="2" t="s">
        <v>341</v>
      </c>
      <c r="F3212" s="2" t="s">
        <v>537</v>
      </c>
      <c r="G3212" s="2" t="s">
        <v>510</v>
      </c>
      <c r="H3212" s="2" t="s">
        <v>511</v>
      </c>
      <c r="I3212" s="26">
        <v>45462</v>
      </c>
      <c r="J3212" s="2">
        <v>24</v>
      </c>
      <c r="K3212" s="2" t="s">
        <v>123</v>
      </c>
      <c r="L3212" s="22">
        <v>4250</v>
      </c>
      <c r="M3212" s="22">
        <v>102000</v>
      </c>
      <c r="N3212" s="18">
        <v>109.09</v>
      </c>
      <c r="O3212" s="26">
        <v>45762</v>
      </c>
      <c r="P3212" s="2" t="s">
        <v>2105</v>
      </c>
      <c r="Q3212" s="2" t="s">
        <v>806</v>
      </c>
    </row>
    <row r="3213" spans="2:17" x14ac:dyDescent="0.25">
      <c r="B3213" s="2" t="s">
        <v>4018</v>
      </c>
      <c r="C3213" s="2" t="s">
        <v>342</v>
      </c>
      <c r="D3213" s="2" t="s">
        <v>343</v>
      </c>
      <c r="E3213" s="2" t="s">
        <v>341</v>
      </c>
      <c r="F3213" s="2" t="s">
        <v>535</v>
      </c>
      <c r="G3213" s="2" t="s">
        <v>505</v>
      </c>
      <c r="H3213" s="2" t="s">
        <v>506</v>
      </c>
      <c r="I3213" s="26">
        <v>45483</v>
      </c>
      <c r="J3213" s="2">
        <v>23</v>
      </c>
      <c r="K3213" s="2" t="s">
        <v>123</v>
      </c>
      <c r="L3213" s="22">
        <v>4150</v>
      </c>
      <c r="M3213" s="22">
        <v>95450</v>
      </c>
      <c r="N3213" s="18">
        <v>102.09</v>
      </c>
      <c r="O3213" s="26">
        <v>45783</v>
      </c>
      <c r="P3213" s="2" t="s">
        <v>2105</v>
      </c>
      <c r="Q3213" s="2" t="s">
        <v>806</v>
      </c>
    </row>
    <row r="3214" spans="2:17" x14ac:dyDescent="0.25">
      <c r="B3214" s="2" t="s">
        <v>4019</v>
      </c>
      <c r="C3214" s="2" t="s">
        <v>342</v>
      </c>
      <c r="D3214" s="2" t="s">
        <v>343</v>
      </c>
      <c r="E3214" s="2" t="s">
        <v>341</v>
      </c>
      <c r="F3214" s="2" t="s">
        <v>535</v>
      </c>
      <c r="G3214" s="2" t="s">
        <v>505</v>
      </c>
      <c r="H3214" s="2" t="s">
        <v>506</v>
      </c>
      <c r="I3214" s="26">
        <v>45517</v>
      </c>
      <c r="J3214" s="2">
        <v>25</v>
      </c>
      <c r="K3214" s="2" t="s">
        <v>123</v>
      </c>
      <c r="L3214" s="22">
        <v>4150</v>
      </c>
      <c r="M3214" s="22">
        <v>103750</v>
      </c>
      <c r="N3214" s="18">
        <v>110.96</v>
      </c>
      <c r="O3214" s="26">
        <v>45817</v>
      </c>
      <c r="P3214" s="2" t="s">
        <v>2105</v>
      </c>
      <c r="Q3214" s="2" t="s">
        <v>806</v>
      </c>
    </row>
    <row r="3215" spans="2:17" x14ac:dyDescent="0.25">
      <c r="B3215" s="2" t="s">
        <v>4020</v>
      </c>
      <c r="C3215" s="2" t="s">
        <v>342</v>
      </c>
      <c r="D3215" s="2" t="s">
        <v>343</v>
      </c>
      <c r="E3215" s="2" t="s">
        <v>341</v>
      </c>
      <c r="F3215" s="2" t="s">
        <v>535</v>
      </c>
      <c r="G3215" s="2" t="s">
        <v>505</v>
      </c>
      <c r="H3215" s="2" t="s">
        <v>506</v>
      </c>
      <c r="I3215" s="26">
        <v>45552</v>
      </c>
      <c r="J3215" s="2">
        <v>30</v>
      </c>
      <c r="K3215" s="2" t="s">
        <v>123</v>
      </c>
      <c r="L3215" s="22">
        <v>4150</v>
      </c>
      <c r="M3215" s="22">
        <v>124500</v>
      </c>
      <c r="N3215" s="18">
        <v>133.16</v>
      </c>
      <c r="O3215" s="26">
        <v>45852</v>
      </c>
      <c r="P3215" s="2" t="s">
        <v>2105</v>
      </c>
      <c r="Q3215" s="2" t="s">
        <v>814</v>
      </c>
    </row>
    <row r="3216" spans="2:17" x14ac:dyDescent="0.25">
      <c r="B3216" s="2" t="s">
        <v>4021</v>
      </c>
      <c r="C3216" s="2" t="s">
        <v>342</v>
      </c>
      <c r="D3216" s="2" t="s">
        <v>343</v>
      </c>
      <c r="E3216" s="2" t="s">
        <v>341</v>
      </c>
      <c r="F3216" s="2" t="s">
        <v>535</v>
      </c>
      <c r="G3216" s="2" t="s">
        <v>505</v>
      </c>
      <c r="H3216" s="2" t="s">
        <v>506</v>
      </c>
      <c r="I3216" s="26">
        <v>45584</v>
      </c>
      <c r="J3216" s="2">
        <v>8</v>
      </c>
      <c r="K3216" s="2" t="s">
        <v>123</v>
      </c>
      <c r="L3216" s="22">
        <v>4150</v>
      </c>
      <c r="M3216" s="22">
        <v>33200</v>
      </c>
      <c r="N3216" s="18">
        <v>35.51</v>
      </c>
      <c r="O3216" s="26">
        <v>45884</v>
      </c>
      <c r="P3216" s="2" t="s">
        <v>2105</v>
      </c>
      <c r="Q3216" s="2" t="s">
        <v>814</v>
      </c>
    </row>
    <row r="3217" spans="2:17" x14ac:dyDescent="0.25">
      <c r="B3217" s="2" t="s">
        <v>4022</v>
      </c>
      <c r="C3217" s="2" t="s">
        <v>342</v>
      </c>
      <c r="D3217" s="2" t="s">
        <v>343</v>
      </c>
      <c r="E3217" s="2" t="s">
        <v>341</v>
      </c>
      <c r="F3217" s="2" t="s">
        <v>535</v>
      </c>
      <c r="G3217" s="2" t="s">
        <v>505</v>
      </c>
      <c r="H3217" s="2" t="s">
        <v>506</v>
      </c>
      <c r="I3217" s="26">
        <v>45624</v>
      </c>
      <c r="J3217" s="2">
        <v>10</v>
      </c>
      <c r="K3217" s="2" t="s">
        <v>123</v>
      </c>
      <c r="L3217" s="22">
        <v>4150</v>
      </c>
      <c r="M3217" s="22">
        <v>41500</v>
      </c>
      <c r="N3217" s="18">
        <v>44.39</v>
      </c>
      <c r="O3217" s="26">
        <v>45924</v>
      </c>
      <c r="P3217" s="2" t="s">
        <v>2105</v>
      </c>
      <c r="Q3217" s="2" t="s">
        <v>814</v>
      </c>
    </row>
    <row r="3218" spans="2:17" x14ac:dyDescent="0.25">
      <c r="B3218" s="2" t="s">
        <v>4023</v>
      </c>
      <c r="C3218" s="2" t="s">
        <v>342</v>
      </c>
      <c r="D3218" s="2" t="s">
        <v>343</v>
      </c>
      <c r="E3218" s="2" t="s">
        <v>341</v>
      </c>
      <c r="F3218" s="2" t="s">
        <v>535</v>
      </c>
      <c r="G3218" s="2" t="s">
        <v>505</v>
      </c>
      <c r="H3218" s="2" t="s">
        <v>506</v>
      </c>
      <c r="I3218" s="26">
        <v>45655</v>
      </c>
      <c r="J3218" s="2">
        <v>12</v>
      </c>
      <c r="K3218" s="2" t="s">
        <v>123</v>
      </c>
      <c r="L3218" s="22">
        <v>4150</v>
      </c>
      <c r="M3218" s="22">
        <v>49800</v>
      </c>
      <c r="N3218" s="18">
        <v>53.26</v>
      </c>
      <c r="O3218" s="26">
        <v>45955</v>
      </c>
      <c r="P3218" s="2" t="s">
        <v>2105</v>
      </c>
      <c r="Q3218" s="2" t="s">
        <v>825</v>
      </c>
    </row>
    <row r="3219" spans="2:17" x14ac:dyDescent="0.25">
      <c r="B3219" s="2" t="s">
        <v>4024</v>
      </c>
      <c r="C3219" s="2" t="s">
        <v>342</v>
      </c>
      <c r="D3219" s="2" t="s">
        <v>343</v>
      </c>
      <c r="E3219" s="2" t="s">
        <v>341</v>
      </c>
      <c r="F3219" s="2" t="s">
        <v>535</v>
      </c>
      <c r="G3219" s="2" t="s">
        <v>505</v>
      </c>
      <c r="H3219" s="2" t="s">
        <v>506</v>
      </c>
      <c r="I3219" s="26">
        <v>45692</v>
      </c>
      <c r="J3219" s="2">
        <v>9</v>
      </c>
      <c r="K3219" s="2" t="s">
        <v>123</v>
      </c>
      <c r="L3219" s="22">
        <v>4150</v>
      </c>
      <c r="M3219" s="22">
        <v>37350</v>
      </c>
      <c r="N3219" s="18">
        <v>39.950000000000003</v>
      </c>
      <c r="O3219" s="26">
        <v>45992</v>
      </c>
      <c r="P3219" s="2" t="s">
        <v>2105</v>
      </c>
      <c r="Q3219" s="2" t="s">
        <v>825</v>
      </c>
    </row>
    <row r="3220" spans="2:17" x14ac:dyDescent="0.25">
      <c r="B3220" s="2" t="s">
        <v>4025</v>
      </c>
      <c r="C3220" s="2" t="s">
        <v>342</v>
      </c>
      <c r="D3220" s="2" t="s">
        <v>343</v>
      </c>
      <c r="E3220" s="2" t="s">
        <v>341</v>
      </c>
      <c r="F3220" s="2" t="s">
        <v>535</v>
      </c>
      <c r="G3220" s="2" t="s">
        <v>505</v>
      </c>
      <c r="H3220" s="2" t="s">
        <v>506</v>
      </c>
      <c r="I3220" s="26">
        <v>45736</v>
      </c>
      <c r="J3220" s="2">
        <v>10</v>
      </c>
      <c r="K3220" s="2" t="s">
        <v>123</v>
      </c>
      <c r="L3220" s="22">
        <v>4150</v>
      </c>
      <c r="M3220" s="22">
        <v>41500</v>
      </c>
      <c r="N3220" s="18">
        <v>44.39</v>
      </c>
      <c r="O3220" s="26">
        <v>46036</v>
      </c>
      <c r="P3220" s="2" t="s">
        <v>2105</v>
      </c>
      <c r="Q3220" s="2" t="s">
        <v>836</v>
      </c>
    </row>
    <row r="3221" spans="2:17" x14ac:dyDescent="0.25">
      <c r="B3221" s="2" t="s">
        <v>4026</v>
      </c>
      <c r="C3221" s="2" t="s">
        <v>342</v>
      </c>
      <c r="D3221" s="2" t="s">
        <v>343</v>
      </c>
      <c r="E3221" s="2" t="s">
        <v>341</v>
      </c>
      <c r="F3221" s="2" t="s">
        <v>535</v>
      </c>
      <c r="G3221" s="2" t="s">
        <v>505</v>
      </c>
      <c r="H3221" s="2" t="s">
        <v>506</v>
      </c>
      <c r="I3221" s="26">
        <v>45759</v>
      </c>
      <c r="J3221" s="2">
        <v>25</v>
      </c>
      <c r="K3221" s="2" t="s">
        <v>123</v>
      </c>
      <c r="L3221" s="22">
        <v>4150</v>
      </c>
      <c r="M3221" s="22">
        <v>103750</v>
      </c>
      <c r="N3221" s="18">
        <v>110.96</v>
      </c>
      <c r="O3221" s="26">
        <v>46059</v>
      </c>
      <c r="P3221" s="2" t="s">
        <v>2105</v>
      </c>
      <c r="Q3221" s="2" t="s">
        <v>836</v>
      </c>
    </row>
    <row r="3222" spans="2:17" x14ac:dyDescent="0.25">
      <c r="B3222" s="2" t="s">
        <v>4027</v>
      </c>
      <c r="C3222" s="2" t="s">
        <v>342</v>
      </c>
      <c r="D3222" s="2" t="s">
        <v>343</v>
      </c>
      <c r="E3222" s="2" t="s">
        <v>341</v>
      </c>
      <c r="F3222" s="2" t="s">
        <v>535</v>
      </c>
      <c r="G3222" s="2" t="s">
        <v>505</v>
      </c>
      <c r="H3222" s="2" t="s">
        <v>506</v>
      </c>
      <c r="I3222" s="26">
        <v>45796</v>
      </c>
      <c r="J3222" s="2">
        <v>22</v>
      </c>
      <c r="K3222" s="2" t="s">
        <v>123</v>
      </c>
      <c r="L3222" s="22">
        <v>4150</v>
      </c>
      <c r="M3222" s="22">
        <v>91300</v>
      </c>
      <c r="N3222" s="18">
        <v>97.65</v>
      </c>
      <c r="O3222" s="26">
        <v>46096</v>
      </c>
      <c r="P3222" s="2" t="s">
        <v>2105</v>
      </c>
      <c r="Q3222" s="2" t="s">
        <v>836</v>
      </c>
    </row>
    <row r="3223" spans="2:17" x14ac:dyDescent="0.25">
      <c r="B3223" s="2" t="s">
        <v>4028</v>
      </c>
      <c r="C3223" s="2" t="s">
        <v>342</v>
      </c>
      <c r="D3223" s="2" t="s">
        <v>343</v>
      </c>
      <c r="E3223" s="2" t="s">
        <v>341</v>
      </c>
      <c r="F3223" s="2" t="s">
        <v>535</v>
      </c>
      <c r="G3223" s="2" t="s">
        <v>505</v>
      </c>
      <c r="H3223" s="2" t="s">
        <v>506</v>
      </c>
      <c r="I3223" s="26">
        <v>45825</v>
      </c>
      <c r="J3223" s="2">
        <v>28</v>
      </c>
      <c r="K3223" s="2" t="s">
        <v>123</v>
      </c>
      <c r="L3223" s="22">
        <v>4150</v>
      </c>
      <c r="M3223" s="22">
        <v>116200</v>
      </c>
      <c r="N3223" s="18">
        <v>124.28</v>
      </c>
      <c r="O3223" s="26">
        <v>46125</v>
      </c>
      <c r="P3223" s="2" t="s">
        <v>2105</v>
      </c>
      <c r="Q3223" s="2" t="s">
        <v>806</v>
      </c>
    </row>
    <row r="3224" spans="2:17" x14ac:dyDescent="0.25">
      <c r="B3224" s="2" t="s">
        <v>4029</v>
      </c>
      <c r="C3224" s="2" t="s">
        <v>344</v>
      </c>
      <c r="D3224" s="2" t="s">
        <v>345</v>
      </c>
      <c r="E3224" s="2" t="s">
        <v>341</v>
      </c>
      <c r="F3224" s="2" t="s">
        <v>535</v>
      </c>
      <c r="G3224" s="2" t="s">
        <v>505</v>
      </c>
      <c r="H3224" s="2" t="s">
        <v>506</v>
      </c>
      <c r="I3224" s="26">
        <v>45126</v>
      </c>
      <c r="J3224" s="2">
        <v>25</v>
      </c>
      <c r="K3224" s="2" t="s">
        <v>123</v>
      </c>
      <c r="L3224" s="22">
        <v>4200</v>
      </c>
      <c r="M3224" s="22">
        <v>105000</v>
      </c>
      <c r="N3224" s="18">
        <v>112.3</v>
      </c>
      <c r="O3224" s="26">
        <v>45426</v>
      </c>
      <c r="P3224" s="2" t="s">
        <v>2105</v>
      </c>
      <c r="Q3224" s="2" t="s">
        <v>806</v>
      </c>
    </row>
    <row r="3225" spans="2:17" x14ac:dyDescent="0.25">
      <c r="B3225" s="2" t="s">
        <v>4030</v>
      </c>
      <c r="C3225" s="2" t="s">
        <v>344</v>
      </c>
      <c r="D3225" s="2" t="s">
        <v>345</v>
      </c>
      <c r="E3225" s="2" t="s">
        <v>341</v>
      </c>
      <c r="F3225" s="2" t="s">
        <v>535</v>
      </c>
      <c r="G3225" s="2" t="s">
        <v>505</v>
      </c>
      <c r="H3225" s="2" t="s">
        <v>506</v>
      </c>
      <c r="I3225" s="26">
        <v>45155</v>
      </c>
      <c r="J3225" s="2">
        <v>23</v>
      </c>
      <c r="K3225" s="2" t="s">
        <v>123</v>
      </c>
      <c r="L3225" s="22">
        <v>4200</v>
      </c>
      <c r="M3225" s="22">
        <v>96600</v>
      </c>
      <c r="N3225" s="18">
        <v>103.32</v>
      </c>
      <c r="O3225" s="26">
        <v>45455</v>
      </c>
      <c r="P3225" s="2" t="s">
        <v>2105</v>
      </c>
      <c r="Q3225" s="2" t="s">
        <v>806</v>
      </c>
    </row>
    <row r="3226" spans="2:17" x14ac:dyDescent="0.25">
      <c r="B3226" s="2" t="s">
        <v>4031</v>
      </c>
      <c r="C3226" s="2" t="s">
        <v>344</v>
      </c>
      <c r="D3226" s="2" t="s">
        <v>345</v>
      </c>
      <c r="E3226" s="2" t="s">
        <v>341</v>
      </c>
      <c r="F3226" s="2" t="s">
        <v>537</v>
      </c>
      <c r="G3226" s="2" t="s">
        <v>510</v>
      </c>
      <c r="H3226" s="2" t="s">
        <v>511</v>
      </c>
      <c r="I3226" s="26">
        <v>45195</v>
      </c>
      <c r="J3226" s="2">
        <v>33</v>
      </c>
      <c r="K3226" s="2" t="s">
        <v>123</v>
      </c>
      <c r="L3226" s="22">
        <v>4600</v>
      </c>
      <c r="M3226" s="22">
        <v>151800</v>
      </c>
      <c r="N3226" s="18">
        <v>162.35</v>
      </c>
      <c r="O3226" s="26">
        <v>45495</v>
      </c>
      <c r="P3226" s="2" t="s">
        <v>2105</v>
      </c>
      <c r="Q3226" s="2" t="s">
        <v>814</v>
      </c>
    </row>
    <row r="3227" spans="2:17" x14ac:dyDescent="0.25">
      <c r="B3227" s="2" t="s">
        <v>4032</v>
      </c>
      <c r="C3227" s="2" t="s">
        <v>344</v>
      </c>
      <c r="D3227" s="2" t="s">
        <v>345</v>
      </c>
      <c r="E3227" s="2" t="s">
        <v>341</v>
      </c>
      <c r="F3227" s="2" t="s">
        <v>535</v>
      </c>
      <c r="G3227" s="2" t="s">
        <v>505</v>
      </c>
      <c r="H3227" s="2" t="s">
        <v>506</v>
      </c>
      <c r="I3227" s="26">
        <v>45227</v>
      </c>
      <c r="J3227" s="2">
        <v>9</v>
      </c>
      <c r="K3227" s="2" t="s">
        <v>123</v>
      </c>
      <c r="L3227" s="22">
        <v>4200</v>
      </c>
      <c r="M3227" s="22">
        <v>37800</v>
      </c>
      <c r="N3227" s="18">
        <v>40.43</v>
      </c>
      <c r="O3227" s="26">
        <v>45527</v>
      </c>
      <c r="P3227" s="2" t="s">
        <v>2105</v>
      </c>
      <c r="Q3227" s="2" t="s">
        <v>814</v>
      </c>
    </row>
    <row r="3228" spans="2:17" x14ac:dyDescent="0.25">
      <c r="B3228" s="2" t="s">
        <v>4033</v>
      </c>
      <c r="C3228" s="2" t="s">
        <v>344</v>
      </c>
      <c r="D3228" s="2" t="s">
        <v>345</v>
      </c>
      <c r="E3228" s="2" t="s">
        <v>341</v>
      </c>
      <c r="F3228" s="2" t="s">
        <v>535</v>
      </c>
      <c r="G3228" s="2" t="s">
        <v>505</v>
      </c>
      <c r="H3228" s="2" t="s">
        <v>506</v>
      </c>
      <c r="I3228" s="26">
        <v>45262</v>
      </c>
      <c r="J3228" s="2">
        <v>11</v>
      </c>
      <c r="K3228" s="2" t="s">
        <v>123</v>
      </c>
      <c r="L3228" s="22">
        <v>4200</v>
      </c>
      <c r="M3228" s="22">
        <v>46200</v>
      </c>
      <c r="N3228" s="18">
        <v>49.41</v>
      </c>
      <c r="O3228" s="26">
        <v>45562</v>
      </c>
      <c r="P3228" s="2" t="s">
        <v>2105</v>
      </c>
      <c r="Q3228" s="2" t="s">
        <v>825</v>
      </c>
    </row>
    <row r="3229" spans="2:17" x14ac:dyDescent="0.25">
      <c r="B3229" s="2" t="s">
        <v>4034</v>
      </c>
      <c r="C3229" s="2" t="s">
        <v>344</v>
      </c>
      <c r="D3229" s="2" t="s">
        <v>345</v>
      </c>
      <c r="E3229" s="2" t="s">
        <v>341</v>
      </c>
      <c r="F3229" s="2" t="s">
        <v>535</v>
      </c>
      <c r="G3229" s="2" t="s">
        <v>505</v>
      </c>
      <c r="H3229" s="2" t="s">
        <v>506</v>
      </c>
      <c r="I3229" s="26">
        <v>45303</v>
      </c>
      <c r="J3229" s="2">
        <v>9</v>
      </c>
      <c r="K3229" s="2" t="s">
        <v>123</v>
      </c>
      <c r="L3229" s="22">
        <v>4200</v>
      </c>
      <c r="M3229" s="22">
        <v>37800</v>
      </c>
      <c r="N3229" s="18">
        <v>40.43</v>
      </c>
      <c r="O3229" s="26">
        <v>45603</v>
      </c>
      <c r="P3229" s="2" t="s">
        <v>2105</v>
      </c>
      <c r="Q3229" s="2" t="s">
        <v>825</v>
      </c>
    </row>
    <row r="3230" spans="2:17" x14ac:dyDescent="0.25">
      <c r="B3230" s="2" t="s">
        <v>4035</v>
      </c>
      <c r="C3230" s="2" t="s">
        <v>344</v>
      </c>
      <c r="D3230" s="2" t="s">
        <v>345</v>
      </c>
      <c r="E3230" s="2" t="s">
        <v>341</v>
      </c>
      <c r="F3230" s="2" t="s">
        <v>535</v>
      </c>
      <c r="G3230" s="2" t="s">
        <v>505</v>
      </c>
      <c r="H3230" s="2" t="s">
        <v>506</v>
      </c>
      <c r="I3230" s="26">
        <v>45334</v>
      </c>
      <c r="J3230" s="2">
        <v>8</v>
      </c>
      <c r="K3230" s="2" t="s">
        <v>123</v>
      </c>
      <c r="L3230" s="22">
        <v>4200</v>
      </c>
      <c r="M3230" s="22">
        <v>33600</v>
      </c>
      <c r="N3230" s="18">
        <v>35.94</v>
      </c>
      <c r="O3230" s="26">
        <v>45634</v>
      </c>
      <c r="P3230" s="2" t="s">
        <v>2105</v>
      </c>
      <c r="Q3230" s="2" t="s">
        <v>825</v>
      </c>
    </row>
    <row r="3231" spans="2:17" x14ac:dyDescent="0.25">
      <c r="B3231" s="2" t="s">
        <v>4036</v>
      </c>
      <c r="C3231" s="2" t="s">
        <v>344</v>
      </c>
      <c r="D3231" s="2" t="s">
        <v>345</v>
      </c>
      <c r="E3231" s="2" t="s">
        <v>341</v>
      </c>
      <c r="F3231" s="2" t="s">
        <v>535</v>
      </c>
      <c r="G3231" s="2" t="s">
        <v>505</v>
      </c>
      <c r="H3231" s="2" t="s">
        <v>506</v>
      </c>
      <c r="I3231" s="26">
        <v>45373</v>
      </c>
      <c r="J3231" s="2">
        <v>8</v>
      </c>
      <c r="K3231" s="2" t="s">
        <v>123</v>
      </c>
      <c r="L3231" s="22">
        <v>4200</v>
      </c>
      <c r="M3231" s="22">
        <v>33600</v>
      </c>
      <c r="N3231" s="18">
        <v>35.94</v>
      </c>
      <c r="O3231" s="26">
        <v>45673</v>
      </c>
      <c r="P3231" s="2" t="s">
        <v>2105</v>
      </c>
      <c r="Q3231" s="2" t="s">
        <v>836</v>
      </c>
    </row>
    <row r="3232" spans="2:17" x14ac:dyDescent="0.25">
      <c r="B3232" s="2" t="s">
        <v>4037</v>
      </c>
      <c r="C3232" s="2" t="s">
        <v>344</v>
      </c>
      <c r="D3232" s="2" t="s">
        <v>345</v>
      </c>
      <c r="E3232" s="2" t="s">
        <v>341</v>
      </c>
      <c r="F3232" s="2" t="s">
        <v>535</v>
      </c>
      <c r="G3232" s="2" t="s">
        <v>505</v>
      </c>
      <c r="H3232" s="2" t="s">
        <v>506</v>
      </c>
      <c r="I3232" s="26">
        <v>45408</v>
      </c>
      <c r="J3232" s="2">
        <v>24</v>
      </c>
      <c r="K3232" s="2" t="s">
        <v>123</v>
      </c>
      <c r="L3232" s="22">
        <v>4200</v>
      </c>
      <c r="M3232" s="22">
        <v>100800</v>
      </c>
      <c r="N3232" s="18">
        <v>107.81</v>
      </c>
      <c r="O3232" s="26">
        <v>45708</v>
      </c>
      <c r="P3232" s="2" t="s">
        <v>2105</v>
      </c>
      <c r="Q3232" s="2" t="s">
        <v>836</v>
      </c>
    </row>
    <row r="3233" spans="2:17" x14ac:dyDescent="0.25">
      <c r="B3233" s="2" t="s">
        <v>4038</v>
      </c>
      <c r="C3233" s="2" t="s">
        <v>344</v>
      </c>
      <c r="D3233" s="2" t="s">
        <v>345</v>
      </c>
      <c r="E3233" s="2" t="s">
        <v>341</v>
      </c>
      <c r="F3233" s="2" t="s">
        <v>535</v>
      </c>
      <c r="G3233" s="2" t="s">
        <v>505</v>
      </c>
      <c r="H3233" s="2" t="s">
        <v>506</v>
      </c>
      <c r="I3233" s="26">
        <v>45440</v>
      </c>
      <c r="J3233" s="2">
        <v>22</v>
      </c>
      <c r="K3233" s="2" t="s">
        <v>123</v>
      </c>
      <c r="L3233" s="22">
        <v>4200</v>
      </c>
      <c r="M3233" s="22">
        <v>92400</v>
      </c>
      <c r="N3233" s="18">
        <v>98.82</v>
      </c>
      <c r="O3233" s="26">
        <v>45740</v>
      </c>
      <c r="P3233" s="2" t="s">
        <v>2105</v>
      </c>
      <c r="Q3233" s="2" t="s">
        <v>836</v>
      </c>
    </row>
    <row r="3234" spans="2:17" x14ac:dyDescent="0.25">
      <c r="B3234" s="2" t="s">
        <v>4039</v>
      </c>
      <c r="C3234" s="2" t="s">
        <v>344</v>
      </c>
      <c r="D3234" s="2" t="s">
        <v>345</v>
      </c>
      <c r="E3234" s="2" t="s">
        <v>341</v>
      </c>
      <c r="F3234" s="2" t="s">
        <v>535</v>
      </c>
      <c r="G3234" s="2" t="s">
        <v>505</v>
      </c>
      <c r="H3234" s="2" t="s">
        <v>506</v>
      </c>
      <c r="I3234" s="26">
        <v>45472</v>
      </c>
      <c r="J3234" s="2">
        <v>27</v>
      </c>
      <c r="K3234" s="2" t="s">
        <v>123</v>
      </c>
      <c r="L3234" s="22">
        <v>4200</v>
      </c>
      <c r="M3234" s="22">
        <v>113400</v>
      </c>
      <c r="N3234" s="18">
        <v>121.28</v>
      </c>
      <c r="O3234" s="26">
        <v>45772</v>
      </c>
      <c r="P3234" s="2" t="s">
        <v>2105</v>
      </c>
      <c r="Q3234" s="2" t="s">
        <v>806</v>
      </c>
    </row>
    <row r="3235" spans="2:17" x14ac:dyDescent="0.25">
      <c r="B3235" s="2" t="s">
        <v>4040</v>
      </c>
      <c r="C3235" s="2" t="s">
        <v>344</v>
      </c>
      <c r="D3235" s="2" t="s">
        <v>345</v>
      </c>
      <c r="E3235" s="2" t="s">
        <v>341</v>
      </c>
      <c r="F3235" s="2" t="s">
        <v>535</v>
      </c>
      <c r="G3235" s="2" t="s">
        <v>505</v>
      </c>
      <c r="H3235" s="2" t="s">
        <v>506</v>
      </c>
      <c r="I3235" s="26">
        <v>45503</v>
      </c>
      <c r="J3235" s="2">
        <v>24</v>
      </c>
      <c r="K3235" s="2" t="s">
        <v>123</v>
      </c>
      <c r="L3235" s="22">
        <v>4200</v>
      </c>
      <c r="M3235" s="22">
        <v>100800</v>
      </c>
      <c r="N3235" s="18">
        <v>107.81</v>
      </c>
      <c r="O3235" s="26">
        <v>45803</v>
      </c>
      <c r="P3235" s="2" t="s">
        <v>2105</v>
      </c>
      <c r="Q3235" s="2" t="s">
        <v>806</v>
      </c>
    </row>
    <row r="3236" spans="2:17" x14ac:dyDescent="0.25">
      <c r="B3236" s="2" t="s">
        <v>4041</v>
      </c>
      <c r="C3236" s="2" t="s">
        <v>344</v>
      </c>
      <c r="D3236" s="2" t="s">
        <v>345</v>
      </c>
      <c r="E3236" s="2" t="s">
        <v>341</v>
      </c>
      <c r="F3236" s="2" t="s">
        <v>535</v>
      </c>
      <c r="G3236" s="2" t="s">
        <v>505</v>
      </c>
      <c r="H3236" s="2" t="s">
        <v>506</v>
      </c>
      <c r="I3236" s="26">
        <v>45536</v>
      </c>
      <c r="J3236" s="2">
        <v>33</v>
      </c>
      <c r="K3236" s="2" t="s">
        <v>123</v>
      </c>
      <c r="L3236" s="22">
        <v>4200</v>
      </c>
      <c r="M3236" s="22">
        <v>138600</v>
      </c>
      <c r="N3236" s="18">
        <v>148.24</v>
      </c>
      <c r="O3236" s="26">
        <v>45836</v>
      </c>
      <c r="P3236" s="2" t="s">
        <v>2105</v>
      </c>
      <c r="Q3236" s="2" t="s">
        <v>814</v>
      </c>
    </row>
    <row r="3237" spans="2:17" x14ac:dyDescent="0.25">
      <c r="B3237" s="2" t="s">
        <v>4042</v>
      </c>
      <c r="C3237" s="2" t="s">
        <v>344</v>
      </c>
      <c r="D3237" s="2" t="s">
        <v>345</v>
      </c>
      <c r="E3237" s="2" t="s">
        <v>341</v>
      </c>
      <c r="F3237" s="2" t="s">
        <v>535</v>
      </c>
      <c r="G3237" s="2" t="s">
        <v>505</v>
      </c>
      <c r="H3237" s="2" t="s">
        <v>506</v>
      </c>
      <c r="I3237" s="26">
        <v>45571</v>
      </c>
      <c r="J3237" s="2">
        <v>9</v>
      </c>
      <c r="K3237" s="2" t="s">
        <v>123</v>
      </c>
      <c r="L3237" s="22">
        <v>4200</v>
      </c>
      <c r="M3237" s="22">
        <v>37800</v>
      </c>
      <c r="N3237" s="18">
        <v>40.43</v>
      </c>
      <c r="O3237" s="26">
        <v>45871</v>
      </c>
      <c r="P3237" s="2" t="s">
        <v>2105</v>
      </c>
      <c r="Q3237" s="2" t="s">
        <v>814</v>
      </c>
    </row>
    <row r="3238" spans="2:17" x14ac:dyDescent="0.25">
      <c r="B3238" s="2" t="s">
        <v>4043</v>
      </c>
      <c r="C3238" s="2" t="s">
        <v>344</v>
      </c>
      <c r="D3238" s="2" t="s">
        <v>345</v>
      </c>
      <c r="E3238" s="2" t="s">
        <v>341</v>
      </c>
      <c r="F3238" s="2" t="s">
        <v>537</v>
      </c>
      <c r="G3238" s="2" t="s">
        <v>510</v>
      </c>
      <c r="H3238" s="2" t="s">
        <v>511</v>
      </c>
      <c r="I3238" s="26">
        <v>45604</v>
      </c>
      <c r="J3238" s="2">
        <v>9</v>
      </c>
      <c r="K3238" s="2" t="s">
        <v>123</v>
      </c>
      <c r="L3238" s="22">
        <v>4600</v>
      </c>
      <c r="M3238" s="22">
        <v>41400</v>
      </c>
      <c r="N3238" s="18">
        <v>44.28</v>
      </c>
      <c r="O3238" s="26">
        <v>45904</v>
      </c>
      <c r="P3238" s="2" t="s">
        <v>2105</v>
      </c>
      <c r="Q3238" s="2" t="s">
        <v>814</v>
      </c>
    </row>
    <row r="3239" spans="2:17" x14ac:dyDescent="0.25">
      <c r="B3239" s="2" t="s">
        <v>4044</v>
      </c>
      <c r="C3239" s="2" t="s">
        <v>344</v>
      </c>
      <c r="D3239" s="2" t="s">
        <v>345</v>
      </c>
      <c r="E3239" s="2" t="s">
        <v>341</v>
      </c>
      <c r="F3239" s="2" t="s">
        <v>535</v>
      </c>
      <c r="G3239" s="2" t="s">
        <v>505</v>
      </c>
      <c r="H3239" s="2" t="s">
        <v>506</v>
      </c>
      <c r="I3239" s="26">
        <v>45649</v>
      </c>
      <c r="J3239" s="2">
        <v>12</v>
      </c>
      <c r="K3239" s="2" t="s">
        <v>123</v>
      </c>
      <c r="L3239" s="22">
        <v>4200</v>
      </c>
      <c r="M3239" s="22">
        <v>50400</v>
      </c>
      <c r="N3239" s="18">
        <v>53.9</v>
      </c>
      <c r="O3239" s="26">
        <v>45949</v>
      </c>
      <c r="P3239" s="2" t="s">
        <v>2105</v>
      </c>
      <c r="Q3239" s="2" t="s">
        <v>825</v>
      </c>
    </row>
    <row r="3240" spans="2:17" x14ac:dyDescent="0.25">
      <c r="B3240" s="2" t="s">
        <v>4045</v>
      </c>
      <c r="C3240" s="2" t="s">
        <v>344</v>
      </c>
      <c r="D3240" s="2" t="s">
        <v>345</v>
      </c>
      <c r="E3240" s="2" t="s">
        <v>341</v>
      </c>
      <c r="F3240" s="2" t="s">
        <v>537</v>
      </c>
      <c r="G3240" s="2" t="s">
        <v>510</v>
      </c>
      <c r="H3240" s="2" t="s">
        <v>511</v>
      </c>
      <c r="I3240" s="26">
        <v>45686</v>
      </c>
      <c r="J3240" s="2">
        <v>9</v>
      </c>
      <c r="K3240" s="2" t="s">
        <v>123</v>
      </c>
      <c r="L3240" s="22">
        <v>4600</v>
      </c>
      <c r="M3240" s="22">
        <v>41400</v>
      </c>
      <c r="N3240" s="18">
        <v>44.28</v>
      </c>
      <c r="O3240" s="26">
        <v>45986</v>
      </c>
      <c r="P3240" s="2" t="s">
        <v>2105</v>
      </c>
      <c r="Q3240" s="2" t="s">
        <v>825</v>
      </c>
    </row>
    <row r="3241" spans="2:17" x14ac:dyDescent="0.25">
      <c r="B3241" s="2" t="s">
        <v>4046</v>
      </c>
      <c r="C3241" s="2" t="s">
        <v>344</v>
      </c>
      <c r="D3241" s="2" t="s">
        <v>345</v>
      </c>
      <c r="E3241" s="2" t="s">
        <v>341</v>
      </c>
      <c r="F3241" s="2" t="s">
        <v>535</v>
      </c>
      <c r="G3241" s="2" t="s">
        <v>505</v>
      </c>
      <c r="H3241" s="2" t="s">
        <v>506</v>
      </c>
      <c r="I3241" s="26">
        <v>45721</v>
      </c>
      <c r="J3241" s="2">
        <v>9</v>
      </c>
      <c r="K3241" s="2" t="s">
        <v>123</v>
      </c>
      <c r="L3241" s="22">
        <v>4200</v>
      </c>
      <c r="M3241" s="22">
        <v>37800</v>
      </c>
      <c r="N3241" s="18">
        <v>40.43</v>
      </c>
      <c r="O3241" s="26">
        <v>46021</v>
      </c>
      <c r="P3241" s="2" t="s">
        <v>2105</v>
      </c>
      <c r="Q3241" s="2" t="s">
        <v>836</v>
      </c>
    </row>
    <row r="3242" spans="2:17" x14ac:dyDescent="0.25">
      <c r="B3242" s="2" t="s">
        <v>4047</v>
      </c>
      <c r="C3242" s="2" t="s">
        <v>344</v>
      </c>
      <c r="D3242" s="2" t="s">
        <v>345</v>
      </c>
      <c r="E3242" s="2" t="s">
        <v>341</v>
      </c>
      <c r="F3242" s="2" t="s">
        <v>535</v>
      </c>
      <c r="G3242" s="2" t="s">
        <v>505</v>
      </c>
      <c r="H3242" s="2" t="s">
        <v>506</v>
      </c>
      <c r="I3242" s="26">
        <v>45752</v>
      </c>
      <c r="J3242" s="2">
        <v>26</v>
      </c>
      <c r="K3242" s="2" t="s">
        <v>123</v>
      </c>
      <c r="L3242" s="22">
        <v>4200</v>
      </c>
      <c r="M3242" s="22">
        <v>109200</v>
      </c>
      <c r="N3242" s="18">
        <v>116.79</v>
      </c>
      <c r="O3242" s="26">
        <v>46052</v>
      </c>
      <c r="P3242" s="2" t="s">
        <v>2105</v>
      </c>
      <c r="Q3242" s="2" t="s">
        <v>836</v>
      </c>
    </row>
    <row r="3243" spans="2:17" x14ac:dyDescent="0.25">
      <c r="B3243" s="2" t="s">
        <v>4048</v>
      </c>
      <c r="C3243" s="2" t="s">
        <v>344</v>
      </c>
      <c r="D3243" s="2" t="s">
        <v>345</v>
      </c>
      <c r="E3243" s="2" t="s">
        <v>341</v>
      </c>
      <c r="F3243" s="2" t="s">
        <v>535</v>
      </c>
      <c r="G3243" s="2" t="s">
        <v>505</v>
      </c>
      <c r="H3243" s="2" t="s">
        <v>506</v>
      </c>
      <c r="I3243" s="26">
        <v>45796</v>
      </c>
      <c r="J3243" s="2">
        <v>24</v>
      </c>
      <c r="K3243" s="2" t="s">
        <v>123</v>
      </c>
      <c r="L3243" s="22">
        <v>4200</v>
      </c>
      <c r="M3243" s="22">
        <v>100800</v>
      </c>
      <c r="N3243" s="18">
        <v>107.81</v>
      </c>
      <c r="O3243" s="26">
        <v>46096</v>
      </c>
      <c r="P3243" s="2" t="s">
        <v>2105</v>
      </c>
      <c r="Q3243" s="2" t="s">
        <v>836</v>
      </c>
    </row>
    <row r="3244" spans="2:17" x14ac:dyDescent="0.25">
      <c r="B3244" s="2" t="s">
        <v>4049</v>
      </c>
      <c r="C3244" s="2" t="s">
        <v>344</v>
      </c>
      <c r="D3244" s="2" t="s">
        <v>345</v>
      </c>
      <c r="E3244" s="2" t="s">
        <v>341</v>
      </c>
      <c r="F3244" s="2" t="s">
        <v>535</v>
      </c>
      <c r="G3244" s="2" t="s">
        <v>505</v>
      </c>
      <c r="H3244" s="2" t="s">
        <v>506</v>
      </c>
      <c r="I3244" s="26">
        <v>45827</v>
      </c>
      <c r="J3244" s="2">
        <v>25</v>
      </c>
      <c r="K3244" s="2" t="s">
        <v>123</v>
      </c>
      <c r="L3244" s="22">
        <v>4200</v>
      </c>
      <c r="M3244" s="22">
        <v>105000</v>
      </c>
      <c r="N3244" s="18">
        <v>112.3</v>
      </c>
      <c r="O3244" s="26">
        <v>46127</v>
      </c>
      <c r="P3244" s="2" t="s">
        <v>2105</v>
      </c>
      <c r="Q3244" s="2" t="s">
        <v>806</v>
      </c>
    </row>
    <row r="3245" spans="2:17" x14ac:dyDescent="0.25">
      <c r="B3245" s="2" t="s">
        <v>4050</v>
      </c>
      <c r="C3245" s="2" t="s">
        <v>346</v>
      </c>
      <c r="D3245" s="2" t="s">
        <v>347</v>
      </c>
      <c r="E3245" s="2" t="s">
        <v>341</v>
      </c>
      <c r="F3245" s="2" t="s">
        <v>537</v>
      </c>
      <c r="G3245" s="2" t="s">
        <v>510</v>
      </c>
      <c r="H3245" s="2" t="s">
        <v>511</v>
      </c>
      <c r="I3245" s="26">
        <v>45114</v>
      </c>
      <c r="J3245" s="2">
        <v>24</v>
      </c>
      <c r="K3245" s="2" t="s">
        <v>123</v>
      </c>
      <c r="L3245" s="22">
        <v>3750</v>
      </c>
      <c r="M3245" s="22">
        <v>90000</v>
      </c>
      <c r="N3245" s="18">
        <v>96.26</v>
      </c>
      <c r="O3245" s="26">
        <v>45414</v>
      </c>
      <c r="P3245" s="2" t="s">
        <v>2105</v>
      </c>
      <c r="Q3245" s="2" t="s">
        <v>806</v>
      </c>
    </row>
    <row r="3246" spans="2:17" x14ac:dyDescent="0.25">
      <c r="B3246" s="2" t="s">
        <v>4051</v>
      </c>
      <c r="C3246" s="2" t="s">
        <v>346</v>
      </c>
      <c r="D3246" s="2" t="s">
        <v>347</v>
      </c>
      <c r="E3246" s="2" t="s">
        <v>341</v>
      </c>
      <c r="F3246" s="2" t="s">
        <v>537</v>
      </c>
      <c r="G3246" s="2" t="s">
        <v>510</v>
      </c>
      <c r="H3246" s="2" t="s">
        <v>511</v>
      </c>
      <c r="I3246" s="26">
        <v>45158</v>
      </c>
      <c r="J3246" s="2">
        <v>22</v>
      </c>
      <c r="K3246" s="2" t="s">
        <v>123</v>
      </c>
      <c r="L3246" s="22">
        <v>3750</v>
      </c>
      <c r="M3246" s="22">
        <v>82500</v>
      </c>
      <c r="N3246" s="18">
        <v>88.24</v>
      </c>
      <c r="O3246" s="26">
        <v>45458</v>
      </c>
      <c r="P3246" s="2" t="s">
        <v>2105</v>
      </c>
      <c r="Q3246" s="2" t="s">
        <v>806</v>
      </c>
    </row>
    <row r="3247" spans="2:17" x14ac:dyDescent="0.25">
      <c r="B3247" s="2" t="s">
        <v>4052</v>
      </c>
      <c r="C3247" s="2" t="s">
        <v>346</v>
      </c>
      <c r="D3247" s="2" t="s">
        <v>347</v>
      </c>
      <c r="E3247" s="2" t="s">
        <v>341</v>
      </c>
      <c r="F3247" s="2" t="s">
        <v>537</v>
      </c>
      <c r="G3247" s="2" t="s">
        <v>510</v>
      </c>
      <c r="H3247" s="2" t="s">
        <v>511</v>
      </c>
      <c r="I3247" s="26">
        <v>45185</v>
      </c>
      <c r="J3247" s="2">
        <v>30</v>
      </c>
      <c r="K3247" s="2" t="s">
        <v>123</v>
      </c>
      <c r="L3247" s="22">
        <v>3750</v>
      </c>
      <c r="M3247" s="22">
        <v>112500</v>
      </c>
      <c r="N3247" s="18">
        <v>120.32</v>
      </c>
      <c r="O3247" s="26">
        <v>45485</v>
      </c>
      <c r="P3247" s="2" t="s">
        <v>2105</v>
      </c>
      <c r="Q3247" s="2" t="s">
        <v>814</v>
      </c>
    </row>
    <row r="3248" spans="2:17" x14ac:dyDescent="0.25">
      <c r="B3248" s="2" t="s">
        <v>4053</v>
      </c>
      <c r="C3248" s="2" t="s">
        <v>346</v>
      </c>
      <c r="D3248" s="2" t="s">
        <v>347</v>
      </c>
      <c r="E3248" s="2" t="s">
        <v>341</v>
      </c>
      <c r="F3248" s="2" t="s">
        <v>535</v>
      </c>
      <c r="G3248" s="2" t="s">
        <v>505</v>
      </c>
      <c r="H3248" s="2" t="s">
        <v>506</v>
      </c>
      <c r="I3248" s="26">
        <v>45226</v>
      </c>
      <c r="J3248" s="2">
        <v>10</v>
      </c>
      <c r="K3248" s="2" t="s">
        <v>123</v>
      </c>
      <c r="L3248" s="22">
        <v>3600</v>
      </c>
      <c r="M3248" s="22">
        <v>36000</v>
      </c>
      <c r="N3248" s="18">
        <v>38.5</v>
      </c>
      <c r="O3248" s="26">
        <v>45526</v>
      </c>
      <c r="P3248" s="2" t="s">
        <v>2105</v>
      </c>
      <c r="Q3248" s="2" t="s">
        <v>814</v>
      </c>
    </row>
    <row r="3249" spans="2:17" x14ac:dyDescent="0.25">
      <c r="B3249" s="2" t="s">
        <v>4054</v>
      </c>
      <c r="C3249" s="2" t="s">
        <v>346</v>
      </c>
      <c r="D3249" s="2" t="s">
        <v>347</v>
      </c>
      <c r="E3249" s="2" t="s">
        <v>341</v>
      </c>
      <c r="F3249" s="2" t="s">
        <v>537</v>
      </c>
      <c r="G3249" s="2" t="s">
        <v>510</v>
      </c>
      <c r="H3249" s="2" t="s">
        <v>511</v>
      </c>
      <c r="I3249" s="26">
        <v>45262</v>
      </c>
      <c r="J3249" s="2">
        <v>10</v>
      </c>
      <c r="K3249" s="2" t="s">
        <v>123</v>
      </c>
      <c r="L3249" s="22">
        <v>3750</v>
      </c>
      <c r="M3249" s="22">
        <v>37500</v>
      </c>
      <c r="N3249" s="18">
        <v>40.11</v>
      </c>
      <c r="O3249" s="26">
        <v>45562</v>
      </c>
      <c r="P3249" s="2" t="s">
        <v>2105</v>
      </c>
      <c r="Q3249" s="2" t="s">
        <v>825</v>
      </c>
    </row>
    <row r="3250" spans="2:17" x14ac:dyDescent="0.25">
      <c r="B3250" s="2" t="s">
        <v>4055</v>
      </c>
      <c r="C3250" s="2" t="s">
        <v>346</v>
      </c>
      <c r="D3250" s="2" t="s">
        <v>347</v>
      </c>
      <c r="E3250" s="2" t="s">
        <v>341</v>
      </c>
      <c r="F3250" s="2" t="s">
        <v>535</v>
      </c>
      <c r="G3250" s="2" t="s">
        <v>505</v>
      </c>
      <c r="H3250" s="2" t="s">
        <v>506</v>
      </c>
      <c r="I3250" s="26">
        <v>45301</v>
      </c>
      <c r="J3250" s="2">
        <v>8</v>
      </c>
      <c r="K3250" s="2" t="s">
        <v>123</v>
      </c>
      <c r="L3250" s="22">
        <v>3600</v>
      </c>
      <c r="M3250" s="22">
        <v>28800</v>
      </c>
      <c r="N3250" s="18">
        <v>30.8</v>
      </c>
      <c r="O3250" s="26">
        <v>45601</v>
      </c>
      <c r="P3250" s="2" t="s">
        <v>2105</v>
      </c>
      <c r="Q3250" s="2" t="s">
        <v>825</v>
      </c>
    </row>
    <row r="3251" spans="2:17" x14ac:dyDescent="0.25">
      <c r="B3251" s="2" t="s">
        <v>4056</v>
      </c>
      <c r="C3251" s="2" t="s">
        <v>346</v>
      </c>
      <c r="D3251" s="2" t="s">
        <v>347</v>
      </c>
      <c r="E3251" s="2" t="s">
        <v>341</v>
      </c>
      <c r="F3251" s="2" t="s">
        <v>535</v>
      </c>
      <c r="G3251" s="2" t="s">
        <v>505</v>
      </c>
      <c r="H3251" s="2" t="s">
        <v>506</v>
      </c>
      <c r="I3251" s="26">
        <v>45341</v>
      </c>
      <c r="J3251" s="2">
        <v>10</v>
      </c>
      <c r="K3251" s="2" t="s">
        <v>123</v>
      </c>
      <c r="L3251" s="22">
        <v>3600</v>
      </c>
      <c r="M3251" s="22">
        <v>36000</v>
      </c>
      <c r="N3251" s="18">
        <v>38.5</v>
      </c>
      <c r="O3251" s="26">
        <v>45641</v>
      </c>
      <c r="P3251" s="2" t="s">
        <v>2105</v>
      </c>
      <c r="Q3251" s="2" t="s">
        <v>825</v>
      </c>
    </row>
    <row r="3252" spans="2:17" x14ac:dyDescent="0.25">
      <c r="B3252" s="2" t="s">
        <v>4057</v>
      </c>
      <c r="C3252" s="2" t="s">
        <v>346</v>
      </c>
      <c r="D3252" s="2" t="s">
        <v>347</v>
      </c>
      <c r="E3252" s="2" t="s">
        <v>341</v>
      </c>
      <c r="F3252" s="2" t="s">
        <v>535</v>
      </c>
      <c r="G3252" s="2" t="s">
        <v>505</v>
      </c>
      <c r="H3252" s="2" t="s">
        <v>506</v>
      </c>
      <c r="I3252" s="26">
        <v>45375</v>
      </c>
      <c r="J3252" s="2">
        <v>10</v>
      </c>
      <c r="K3252" s="2" t="s">
        <v>123</v>
      </c>
      <c r="L3252" s="22">
        <v>3600</v>
      </c>
      <c r="M3252" s="22">
        <v>36000</v>
      </c>
      <c r="N3252" s="18">
        <v>38.5</v>
      </c>
      <c r="O3252" s="26">
        <v>45675</v>
      </c>
      <c r="P3252" s="2" t="s">
        <v>2105</v>
      </c>
      <c r="Q3252" s="2" t="s">
        <v>836</v>
      </c>
    </row>
    <row r="3253" spans="2:17" x14ac:dyDescent="0.25">
      <c r="B3253" s="2" t="s">
        <v>4058</v>
      </c>
      <c r="C3253" s="2" t="s">
        <v>346</v>
      </c>
      <c r="D3253" s="2" t="s">
        <v>347</v>
      </c>
      <c r="E3253" s="2" t="s">
        <v>341</v>
      </c>
      <c r="F3253" s="2" t="s">
        <v>535</v>
      </c>
      <c r="G3253" s="2" t="s">
        <v>505</v>
      </c>
      <c r="H3253" s="2" t="s">
        <v>506</v>
      </c>
      <c r="I3253" s="26">
        <v>45404</v>
      </c>
      <c r="J3253" s="2">
        <v>27</v>
      </c>
      <c r="K3253" s="2" t="s">
        <v>123</v>
      </c>
      <c r="L3253" s="22">
        <v>3600</v>
      </c>
      <c r="M3253" s="22">
        <v>97200</v>
      </c>
      <c r="N3253" s="18">
        <v>103.96</v>
      </c>
      <c r="O3253" s="26">
        <v>45704</v>
      </c>
      <c r="P3253" s="2" t="s">
        <v>2105</v>
      </c>
      <c r="Q3253" s="2" t="s">
        <v>836</v>
      </c>
    </row>
    <row r="3254" spans="2:17" x14ac:dyDescent="0.25">
      <c r="B3254" s="2" t="s">
        <v>4059</v>
      </c>
      <c r="C3254" s="2" t="s">
        <v>346</v>
      </c>
      <c r="D3254" s="2" t="s">
        <v>347</v>
      </c>
      <c r="E3254" s="2" t="s">
        <v>341</v>
      </c>
      <c r="F3254" s="2" t="s">
        <v>535</v>
      </c>
      <c r="G3254" s="2" t="s">
        <v>505</v>
      </c>
      <c r="H3254" s="2" t="s">
        <v>506</v>
      </c>
      <c r="I3254" s="26">
        <v>45441</v>
      </c>
      <c r="J3254" s="2">
        <v>21</v>
      </c>
      <c r="K3254" s="2" t="s">
        <v>123</v>
      </c>
      <c r="L3254" s="22">
        <v>3600</v>
      </c>
      <c r="M3254" s="22">
        <v>75600</v>
      </c>
      <c r="N3254" s="18">
        <v>80.86</v>
      </c>
      <c r="O3254" s="26">
        <v>45741</v>
      </c>
      <c r="P3254" s="2" t="s">
        <v>2105</v>
      </c>
      <c r="Q3254" s="2" t="s">
        <v>836</v>
      </c>
    </row>
    <row r="3255" spans="2:17" x14ac:dyDescent="0.25">
      <c r="B3255" s="2" t="s">
        <v>4060</v>
      </c>
      <c r="C3255" s="2" t="s">
        <v>346</v>
      </c>
      <c r="D3255" s="2" t="s">
        <v>347</v>
      </c>
      <c r="E3255" s="2" t="s">
        <v>341</v>
      </c>
      <c r="F3255" s="2" t="s">
        <v>537</v>
      </c>
      <c r="G3255" s="2" t="s">
        <v>510</v>
      </c>
      <c r="H3255" s="2" t="s">
        <v>511</v>
      </c>
      <c r="I3255" s="26">
        <v>45483</v>
      </c>
      <c r="J3255" s="2">
        <v>27</v>
      </c>
      <c r="K3255" s="2" t="s">
        <v>123</v>
      </c>
      <c r="L3255" s="22">
        <v>3750</v>
      </c>
      <c r="M3255" s="22">
        <v>101250</v>
      </c>
      <c r="N3255" s="18">
        <v>108.29</v>
      </c>
      <c r="O3255" s="26">
        <v>45783</v>
      </c>
      <c r="P3255" s="2" t="s">
        <v>2105</v>
      </c>
      <c r="Q3255" s="2" t="s">
        <v>806</v>
      </c>
    </row>
    <row r="3256" spans="2:17" x14ac:dyDescent="0.25">
      <c r="B3256" s="2" t="s">
        <v>4061</v>
      </c>
      <c r="C3256" s="2" t="s">
        <v>346</v>
      </c>
      <c r="D3256" s="2" t="s">
        <v>347</v>
      </c>
      <c r="E3256" s="2" t="s">
        <v>341</v>
      </c>
      <c r="F3256" s="2" t="s">
        <v>535</v>
      </c>
      <c r="G3256" s="2" t="s">
        <v>505</v>
      </c>
      <c r="H3256" s="2" t="s">
        <v>506</v>
      </c>
      <c r="I3256" s="26">
        <v>45514</v>
      </c>
      <c r="J3256" s="2">
        <v>21</v>
      </c>
      <c r="K3256" s="2" t="s">
        <v>123</v>
      </c>
      <c r="L3256" s="22">
        <v>3600</v>
      </c>
      <c r="M3256" s="22">
        <v>75600</v>
      </c>
      <c r="N3256" s="18">
        <v>80.86</v>
      </c>
      <c r="O3256" s="26">
        <v>45814</v>
      </c>
      <c r="P3256" s="2" t="s">
        <v>2105</v>
      </c>
      <c r="Q3256" s="2" t="s">
        <v>806</v>
      </c>
    </row>
    <row r="3257" spans="2:17" x14ac:dyDescent="0.25">
      <c r="B3257" s="2" t="s">
        <v>4062</v>
      </c>
      <c r="C3257" s="2" t="s">
        <v>346</v>
      </c>
      <c r="D3257" s="2" t="s">
        <v>347</v>
      </c>
      <c r="E3257" s="2" t="s">
        <v>341</v>
      </c>
      <c r="F3257" s="2" t="s">
        <v>535</v>
      </c>
      <c r="G3257" s="2" t="s">
        <v>505</v>
      </c>
      <c r="H3257" s="2" t="s">
        <v>506</v>
      </c>
      <c r="I3257" s="26">
        <v>45543</v>
      </c>
      <c r="J3257" s="2">
        <v>30</v>
      </c>
      <c r="K3257" s="2" t="s">
        <v>123</v>
      </c>
      <c r="L3257" s="22">
        <v>3600</v>
      </c>
      <c r="M3257" s="22">
        <v>108000</v>
      </c>
      <c r="N3257" s="18">
        <v>115.51</v>
      </c>
      <c r="O3257" s="26">
        <v>45843</v>
      </c>
      <c r="P3257" s="2" t="s">
        <v>2105</v>
      </c>
      <c r="Q3257" s="2" t="s">
        <v>814</v>
      </c>
    </row>
    <row r="3258" spans="2:17" x14ac:dyDescent="0.25">
      <c r="B3258" s="2" t="s">
        <v>4063</v>
      </c>
      <c r="C3258" s="2" t="s">
        <v>346</v>
      </c>
      <c r="D3258" s="2" t="s">
        <v>347</v>
      </c>
      <c r="E3258" s="2" t="s">
        <v>341</v>
      </c>
      <c r="F3258" s="2" t="s">
        <v>535</v>
      </c>
      <c r="G3258" s="2" t="s">
        <v>505</v>
      </c>
      <c r="H3258" s="2" t="s">
        <v>506</v>
      </c>
      <c r="I3258" s="26">
        <v>45575</v>
      </c>
      <c r="J3258" s="2">
        <v>8</v>
      </c>
      <c r="K3258" s="2" t="s">
        <v>123</v>
      </c>
      <c r="L3258" s="22">
        <v>3600</v>
      </c>
      <c r="M3258" s="22">
        <v>28800</v>
      </c>
      <c r="N3258" s="18">
        <v>30.8</v>
      </c>
      <c r="O3258" s="26">
        <v>45875</v>
      </c>
      <c r="P3258" s="2" t="s">
        <v>2105</v>
      </c>
      <c r="Q3258" s="2" t="s">
        <v>814</v>
      </c>
    </row>
    <row r="3259" spans="2:17" x14ac:dyDescent="0.25">
      <c r="B3259" s="2" t="s">
        <v>4064</v>
      </c>
      <c r="C3259" s="2" t="s">
        <v>346</v>
      </c>
      <c r="D3259" s="2" t="s">
        <v>347</v>
      </c>
      <c r="E3259" s="2" t="s">
        <v>341</v>
      </c>
      <c r="F3259" s="2" t="s">
        <v>535</v>
      </c>
      <c r="G3259" s="2" t="s">
        <v>505</v>
      </c>
      <c r="H3259" s="2" t="s">
        <v>506</v>
      </c>
      <c r="I3259" s="26">
        <v>45621</v>
      </c>
      <c r="J3259" s="2">
        <v>9</v>
      </c>
      <c r="K3259" s="2" t="s">
        <v>123</v>
      </c>
      <c r="L3259" s="22">
        <v>3600</v>
      </c>
      <c r="M3259" s="22">
        <v>32400</v>
      </c>
      <c r="N3259" s="18">
        <v>34.65</v>
      </c>
      <c r="O3259" s="26">
        <v>45921</v>
      </c>
      <c r="P3259" s="2" t="s">
        <v>2105</v>
      </c>
      <c r="Q3259" s="2" t="s">
        <v>814</v>
      </c>
    </row>
    <row r="3260" spans="2:17" x14ac:dyDescent="0.25">
      <c r="B3260" s="2" t="s">
        <v>4065</v>
      </c>
      <c r="C3260" s="2" t="s">
        <v>346</v>
      </c>
      <c r="D3260" s="2" t="s">
        <v>347</v>
      </c>
      <c r="E3260" s="2" t="s">
        <v>341</v>
      </c>
      <c r="F3260" s="2" t="s">
        <v>535</v>
      </c>
      <c r="G3260" s="2" t="s">
        <v>505</v>
      </c>
      <c r="H3260" s="2" t="s">
        <v>506</v>
      </c>
      <c r="I3260" s="26">
        <v>45654</v>
      </c>
      <c r="J3260" s="2">
        <v>11</v>
      </c>
      <c r="K3260" s="2" t="s">
        <v>123</v>
      </c>
      <c r="L3260" s="22">
        <v>3600</v>
      </c>
      <c r="M3260" s="22">
        <v>39600</v>
      </c>
      <c r="N3260" s="18">
        <v>42.35</v>
      </c>
      <c r="O3260" s="26">
        <v>45954</v>
      </c>
      <c r="P3260" s="2" t="s">
        <v>2105</v>
      </c>
      <c r="Q3260" s="2" t="s">
        <v>825</v>
      </c>
    </row>
    <row r="3261" spans="2:17" x14ac:dyDescent="0.25">
      <c r="B3261" s="2" t="s">
        <v>4066</v>
      </c>
      <c r="C3261" s="2" t="s">
        <v>346</v>
      </c>
      <c r="D3261" s="2" t="s">
        <v>347</v>
      </c>
      <c r="E3261" s="2" t="s">
        <v>341</v>
      </c>
      <c r="F3261" s="2" t="s">
        <v>535</v>
      </c>
      <c r="G3261" s="2" t="s">
        <v>505</v>
      </c>
      <c r="H3261" s="2" t="s">
        <v>506</v>
      </c>
      <c r="I3261" s="26">
        <v>45686</v>
      </c>
      <c r="J3261" s="2">
        <v>9</v>
      </c>
      <c r="K3261" s="2" t="s">
        <v>123</v>
      </c>
      <c r="L3261" s="22">
        <v>3600</v>
      </c>
      <c r="M3261" s="22">
        <v>32400</v>
      </c>
      <c r="N3261" s="18">
        <v>34.65</v>
      </c>
      <c r="O3261" s="26">
        <v>45986</v>
      </c>
      <c r="P3261" s="2" t="s">
        <v>2105</v>
      </c>
      <c r="Q3261" s="2" t="s">
        <v>825</v>
      </c>
    </row>
    <row r="3262" spans="2:17" x14ac:dyDescent="0.25">
      <c r="B3262" s="2" t="s">
        <v>4067</v>
      </c>
      <c r="C3262" s="2" t="s">
        <v>346</v>
      </c>
      <c r="D3262" s="2" t="s">
        <v>347</v>
      </c>
      <c r="E3262" s="2" t="s">
        <v>341</v>
      </c>
      <c r="F3262" s="2" t="s">
        <v>535</v>
      </c>
      <c r="G3262" s="2" t="s">
        <v>505</v>
      </c>
      <c r="H3262" s="2" t="s">
        <v>506</v>
      </c>
      <c r="I3262" s="26">
        <v>45724</v>
      </c>
      <c r="J3262" s="2">
        <v>9</v>
      </c>
      <c r="K3262" s="2" t="s">
        <v>123</v>
      </c>
      <c r="L3262" s="22">
        <v>3600</v>
      </c>
      <c r="M3262" s="22">
        <v>32400</v>
      </c>
      <c r="N3262" s="18">
        <v>34.65</v>
      </c>
      <c r="O3262" s="26">
        <v>46024</v>
      </c>
      <c r="P3262" s="2" t="s">
        <v>2105</v>
      </c>
      <c r="Q3262" s="2" t="s">
        <v>836</v>
      </c>
    </row>
    <row r="3263" spans="2:17" x14ac:dyDescent="0.25">
      <c r="B3263" s="2" t="s">
        <v>4068</v>
      </c>
      <c r="C3263" s="2" t="s">
        <v>346</v>
      </c>
      <c r="D3263" s="2" t="s">
        <v>347</v>
      </c>
      <c r="E3263" s="2" t="s">
        <v>341</v>
      </c>
      <c r="F3263" s="2" t="s">
        <v>537</v>
      </c>
      <c r="G3263" s="2" t="s">
        <v>510</v>
      </c>
      <c r="H3263" s="2" t="s">
        <v>511</v>
      </c>
      <c r="I3263" s="26">
        <v>45767</v>
      </c>
      <c r="J3263" s="2">
        <v>26</v>
      </c>
      <c r="K3263" s="2" t="s">
        <v>123</v>
      </c>
      <c r="L3263" s="22">
        <v>3750</v>
      </c>
      <c r="M3263" s="22">
        <v>97500</v>
      </c>
      <c r="N3263" s="18">
        <v>104.28</v>
      </c>
      <c r="O3263" s="26">
        <v>46067</v>
      </c>
      <c r="P3263" s="2" t="s">
        <v>2105</v>
      </c>
      <c r="Q3263" s="2" t="s">
        <v>836</v>
      </c>
    </row>
    <row r="3264" spans="2:17" x14ac:dyDescent="0.25">
      <c r="B3264" s="2" t="s">
        <v>4069</v>
      </c>
      <c r="C3264" s="2" t="s">
        <v>346</v>
      </c>
      <c r="D3264" s="2" t="s">
        <v>347</v>
      </c>
      <c r="E3264" s="2" t="s">
        <v>341</v>
      </c>
      <c r="F3264" s="2" t="s">
        <v>535</v>
      </c>
      <c r="G3264" s="2" t="s">
        <v>505</v>
      </c>
      <c r="H3264" s="2" t="s">
        <v>506</v>
      </c>
      <c r="I3264" s="26">
        <v>45801</v>
      </c>
      <c r="J3264" s="2">
        <v>27</v>
      </c>
      <c r="K3264" s="2" t="s">
        <v>123</v>
      </c>
      <c r="L3264" s="22">
        <v>3600</v>
      </c>
      <c r="M3264" s="22">
        <v>97200</v>
      </c>
      <c r="N3264" s="18">
        <v>103.96</v>
      </c>
      <c r="O3264" s="26">
        <v>46101</v>
      </c>
      <c r="P3264" s="2" t="s">
        <v>2105</v>
      </c>
      <c r="Q3264" s="2" t="s">
        <v>836</v>
      </c>
    </row>
    <row r="3265" spans="2:17" x14ac:dyDescent="0.25">
      <c r="B3265" s="2" t="s">
        <v>4070</v>
      </c>
      <c r="C3265" s="2" t="s">
        <v>346</v>
      </c>
      <c r="D3265" s="2" t="s">
        <v>347</v>
      </c>
      <c r="E3265" s="2" t="s">
        <v>341</v>
      </c>
      <c r="F3265" s="2" t="s">
        <v>535</v>
      </c>
      <c r="G3265" s="2" t="s">
        <v>505</v>
      </c>
      <c r="H3265" s="2" t="s">
        <v>506</v>
      </c>
      <c r="I3265" s="26">
        <v>45837</v>
      </c>
      <c r="J3265" s="2">
        <v>28</v>
      </c>
      <c r="K3265" s="2" t="s">
        <v>123</v>
      </c>
      <c r="L3265" s="22">
        <v>3600</v>
      </c>
      <c r="M3265" s="22">
        <v>100800</v>
      </c>
      <c r="N3265" s="18">
        <v>107.81</v>
      </c>
      <c r="O3265" s="26">
        <v>46137</v>
      </c>
      <c r="P3265" s="2" t="s">
        <v>2105</v>
      </c>
      <c r="Q3265" s="2" t="s">
        <v>806</v>
      </c>
    </row>
    <row r="3266" spans="2:17" x14ac:dyDescent="0.25">
      <c r="B3266" s="2" t="s">
        <v>4071</v>
      </c>
      <c r="C3266" s="2" t="s">
        <v>348</v>
      </c>
      <c r="D3266" s="2" t="s">
        <v>349</v>
      </c>
      <c r="E3266" s="2" t="s">
        <v>341</v>
      </c>
      <c r="F3266" s="2" t="s">
        <v>535</v>
      </c>
      <c r="G3266" s="2" t="s">
        <v>505</v>
      </c>
      <c r="H3266" s="2" t="s">
        <v>506</v>
      </c>
      <c r="I3266" s="26">
        <v>45109</v>
      </c>
      <c r="J3266" s="2">
        <v>23</v>
      </c>
      <c r="K3266" s="2" t="s">
        <v>123</v>
      </c>
      <c r="L3266" s="22">
        <v>5000</v>
      </c>
      <c r="M3266" s="22">
        <v>115000</v>
      </c>
      <c r="N3266" s="18">
        <v>122.99</v>
      </c>
      <c r="O3266" s="26">
        <v>45409</v>
      </c>
      <c r="P3266" s="2" t="s">
        <v>2105</v>
      </c>
      <c r="Q3266" s="2" t="s">
        <v>806</v>
      </c>
    </row>
    <row r="3267" spans="2:17" x14ac:dyDescent="0.25">
      <c r="B3267" s="2" t="s">
        <v>4072</v>
      </c>
      <c r="C3267" s="2" t="s">
        <v>348</v>
      </c>
      <c r="D3267" s="2" t="s">
        <v>349</v>
      </c>
      <c r="E3267" s="2" t="s">
        <v>341</v>
      </c>
      <c r="F3267" s="2" t="s">
        <v>535</v>
      </c>
      <c r="G3267" s="2" t="s">
        <v>505</v>
      </c>
      <c r="H3267" s="2" t="s">
        <v>506</v>
      </c>
      <c r="I3267" s="26">
        <v>45141</v>
      </c>
      <c r="J3267" s="2">
        <v>24</v>
      </c>
      <c r="K3267" s="2" t="s">
        <v>123</v>
      </c>
      <c r="L3267" s="22">
        <v>5000</v>
      </c>
      <c r="M3267" s="22">
        <v>120000</v>
      </c>
      <c r="N3267" s="18">
        <v>128.34</v>
      </c>
      <c r="O3267" s="26">
        <v>45441</v>
      </c>
      <c r="P3267" s="2" t="s">
        <v>2105</v>
      </c>
      <c r="Q3267" s="2" t="s">
        <v>806</v>
      </c>
    </row>
    <row r="3268" spans="2:17" x14ac:dyDescent="0.25">
      <c r="B3268" s="2" t="s">
        <v>4073</v>
      </c>
      <c r="C3268" s="2" t="s">
        <v>348</v>
      </c>
      <c r="D3268" s="2" t="s">
        <v>349</v>
      </c>
      <c r="E3268" s="2" t="s">
        <v>341</v>
      </c>
      <c r="F3268" s="2" t="s">
        <v>535</v>
      </c>
      <c r="G3268" s="2" t="s">
        <v>505</v>
      </c>
      <c r="H3268" s="2" t="s">
        <v>506</v>
      </c>
      <c r="I3268" s="26">
        <v>45182</v>
      </c>
      <c r="J3268" s="2">
        <v>34</v>
      </c>
      <c r="K3268" s="2" t="s">
        <v>123</v>
      </c>
      <c r="L3268" s="22">
        <v>5000</v>
      </c>
      <c r="M3268" s="22">
        <v>170000</v>
      </c>
      <c r="N3268" s="18">
        <v>181.82</v>
      </c>
      <c r="O3268" s="26">
        <v>45482</v>
      </c>
      <c r="P3268" s="2" t="s">
        <v>2105</v>
      </c>
      <c r="Q3268" s="2" t="s">
        <v>814</v>
      </c>
    </row>
    <row r="3269" spans="2:17" x14ac:dyDescent="0.25">
      <c r="B3269" s="2" t="s">
        <v>4074</v>
      </c>
      <c r="C3269" s="2" t="s">
        <v>348</v>
      </c>
      <c r="D3269" s="2" t="s">
        <v>349</v>
      </c>
      <c r="E3269" s="2" t="s">
        <v>341</v>
      </c>
      <c r="F3269" s="2" t="s">
        <v>535</v>
      </c>
      <c r="G3269" s="2" t="s">
        <v>505</v>
      </c>
      <c r="H3269" s="2" t="s">
        <v>506</v>
      </c>
      <c r="I3269" s="26">
        <v>45218</v>
      </c>
      <c r="J3269" s="2">
        <v>9</v>
      </c>
      <c r="K3269" s="2" t="s">
        <v>123</v>
      </c>
      <c r="L3269" s="22">
        <v>5000</v>
      </c>
      <c r="M3269" s="22">
        <v>45000</v>
      </c>
      <c r="N3269" s="18">
        <v>48.13</v>
      </c>
      <c r="O3269" s="26">
        <v>45518</v>
      </c>
      <c r="P3269" s="2" t="s">
        <v>2105</v>
      </c>
      <c r="Q3269" s="2" t="s">
        <v>814</v>
      </c>
    </row>
    <row r="3270" spans="2:17" x14ac:dyDescent="0.25">
      <c r="B3270" s="2" t="s">
        <v>4075</v>
      </c>
      <c r="C3270" s="2" t="s">
        <v>348</v>
      </c>
      <c r="D3270" s="2" t="s">
        <v>349</v>
      </c>
      <c r="E3270" s="2" t="s">
        <v>341</v>
      </c>
      <c r="F3270" s="2" t="s">
        <v>535</v>
      </c>
      <c r="G3270" s="2" t="s">
        <v>505</v>
      </c>
      <c r="H3270" s="2" t="s">
        <v>506</v>
      </c>
      <c r="I3270" s="26">
        <v>45254</v>
      </c>
      <c r="J3270" s="2">
        <v>8</v>
      </c>
      <c r="K3270" s="2" t="s">
        <v>123</v>
      </c>
      <c r="L3270" s="22">
        <v>5000</v>
      </c>
      <c r="M3270" s="22">
        <v>40000</v>
      </c>
      <c r="N3270" s="18">
        <v>42.78</v>
      </c>
      <c r="O3270" s="26">
        <v>45554</v>
      </c>
      <c r="P3270" s="2" t="s">
        <v>2105</v>
      </c>
      <c r="Q3270" s="2" t="s">
        <v>814</v>
      </c>
    </row>
    <row r="3271" spans="2:17" x14ac:dyDescent="0.25">
      <c r="B3271" s="2" t="s">
        <v>4076</v>
      </c>
      <c r="C3271" s="2" t="s">
        <v>348</v>
      </c>
      <c r="D3271" s="2" t="s">
        <v>349</v>
      </c>
      <c r="E3271" s="2" t="s">
        <v>341</v>
      </c>
      <c r="F3271" s="2" t="s">
        <v>535</v>
      </c>
      <c r="G3271" s="2" t="s">
        <v>505</v>
      </c>
      <c r="H3271" s="2" t="s">
        <v>506</v>
      </c>
      <c r="I3271" s="26">
        <v>45286</v>
      </c>
      <c r="J3271" s="2">
        <v>10</v>
      </c>
      <c r="K3271" s="2" t="s">
        <v>123</v>
      </c>
      <c r="L3271" s="22">
        <v>5000</v>
      </c>
      <c r="M3271" s="22">
        <v>50000</v>
      </c>
      <c r="N3271" s="18">
        <v>53.48</v>
      </c>
      <c r="O3271" s="26">
        <v>45586</v>
      </c>
      <c r="P3271" s="2" t="s">
        <v>2105</v>
      </c>
      <c r="Q3271" s="2" t="s">
        <v>825</v>
      </c>
    </row>
    <row r="3272" spans="2:17" x14ac:dyDescent="0.25">
      <c r="B3272" s="2" t="s">
        <v>4077</v>
      </c>
      <c r="C3272" s="2" t="s">
        <v>348</v>
      </c>
      <c r="D3272" s="2" t="s">
        <v>349</v>
      </c>
      <c r="E3272" s="2" t="s">
        <v>341</v>
      </c>
      <c r="F3272" s="2" t="s">
        <v>535</v>
      </c>
      <c r="G3272" s="2" t="s">
        <v>505</v>
      </c>
      <c r="H3272" s="2" t="s">
        <v>506</v>
      </c>
      <c r="I3272" s="26">
        <v>45311</v>
      </c>
      <c r="J3272" s="2">
        <v>9</v>
      </c>
      <c r="K3272" s="2" t="s">
        <v>123</v>
      </c>
      <c r="L3272" s="22">
        <v>5000</v>
      </c>
      <c r="M3272" s="22">
        <v>45000</v>
      </c>
      <c r="N3272" s="18">
        <v>48.13</v>
      </c>
      <c r="O3272" s="26">
        <v>45611</v>
      </c>
      <c r="P3272" s="2" t="s">
        <v>2105</v>
      </c>
      <c r="Q3272" s="2" t="s">
        <v>825</v>
      </c>
    </row>
    <row r="3273" spans="2:17" x14ac:dyDescent="0.25">
      <c r="B3273" s="2" t="s">
        <v>4078</v>
      </c>
      <c r="C3273" s="2" t="s">
        <v>348</v>
      </c>
      <c r="D3273" s="2" t="s">
        <v>349</v>
      </c>
      <c r="E3273" s="2" t="s">
        <v>341</v>
      </c>
      <c r="F3273" s="2" t="s">
        <v>535</v>
      </c>
      <c r="G3273" s="2" t="s">
        <v>505</v>
      </c>
      <c r="H3273" s="2" t="s">
        <v>506</v>
      </c>
      <c r="I3273" s="26">
        <v>45351</v>
      </c>
      <c r="J3273" s="2">
        <v>8</v>
      </c>
      <c r="K3273" s="2" t="s">
        <v>123</v>
      </c>
      <c r="L3273" s="22">
        <v>5000</v>
      </c>
      <c r="M3273" s="22">
        <v>40000</v>
      </c>
      <c r="N3273" s="18">
        <v>42.78</v>
      </c>
      <c r="O3273" s="26">
        <v>45651</v>
      </c>
      <c r="P3273" s="2" t="s">
        <v>2105</v>
      </c>
      <c r="Q3273" s="2" t="s">
        <v>825</v>
      </c>
    </row>
    <row r="3274" spans="2:17" x14ac:dyDescent="0.25">
      <c r="B3274" s="2" t="s">
        <v>4079</v>
      </c>
      <c r="C3274" s="2" t="s">
        <v>348</v>
      </c>
      <c r="D3274" s="2" t="s">
        <v>349</v>
      </c>
      <c r="E3274" s="2" t="s">
        <v>341</v>
      </c>
      <c r="F3274" s="2" t="s">
        <v>535</v>
      </c>
      <c r="G3274" s="2" t="s">
        <v>505</v>
      </c>
      <c r="H3274" s="2" t="s">
        <v>506</v>
      </c>
      <c r="I3274" s="26">
        <v>45390</v>
      </c>
      <c r="J3274" s="2">
        <v>21</v>
      </c>
      <c r="K3274" s="2" t="s">
        <v>123</v>
      </c>
      <c r="L3274" s="22">
        <v>5000</v>
      </c>
      <c r="M3274" s="22">
        <v>105000</v>
      </c>
      <c r="N3274" s="18">
        <v>112.3</v>
      </c>
      <c r="O3274" s="26">
        <v>45690</v>
      </c>
      <c r="P3274" s="2" t="s">
        <v>2105</v>
      </c>
      <c r="Q3274" s="2" t="s">
        <v>836</v>
      </c>
    </row>
    <row r="3275" spans="2:17" x14ac:dyDescent="0.25">
      <c r="B3275" s="2" t="s">
        <v>4080</v>
      </c>
      <c r="C3275" s="2" t="s">
        <v>348</v>
      </c>
      <c r="D3275" s="2" t="s">
        <v>349</v>
      </c>
      <c r="E3275" s="2" t="s">
        <v>341</v>
      </c>
      <c r="F3275" s="2" t="s">
        <v>535</v>
      </c>
      <c r="G3275" s="2" t="s">
        <v>505</v>
      </c>
      <c r="H3275" s="2" t="s">
        <v>506</v>
      </c>
      <c r="I3275" s="26">
        <v>45426</v>
      </c>
      <c r="J3275" s="2">
        <v>25</v>
      </c>
      <c r="K3275" s="2" t="s">
        <v>123</v>
      </c>
      <c r="L3275" s="22">
        <v>5000</v>
      </c>
      <c r="M3275" s="22">
        <v>125000</v>
      </c>
      <c r="N3275" s="18">
        <v>133.69</v>
      </c>
      <c r="O3275" s="26">
        <v>45726</v>
      </c>
      <c r="P3275" s="2" t="s">
        <v>2105</v>
      </c>
      <c r="Q3275" s="2" t="s">
        <v>836</v>
      </c>
    </row>
    <row r="3276" spans="2:17" x14ac:dyDescent="0.25">
      <c r="B3276" s="2" t="s">
        <v>4081</v>
      </c>
      <c r="C3276" s="2" t="s">
        <v>348</v>
      </c>
      <c r="D3276" s="2" t="s">
        <v>349</v>
      </c>
      <c r="E3276" s="2" t="s">
        <v>341</v>
      </c>
      <c r="F3276" s="2" t="s">
        <v>535</v>
      </c>
      <c r="G3276" s="2" t="s">
        <v>505</v>
      </c>
      <c r="H3276" s="2" t="s">
        <v>506</v>
      </c>
      <c r="I3276" s="26">
        <v>45460</v>
      </c>
      <c r="J3276" s="2">
        <v>27</v>
      </c>
      <c r="K3276" s="2" t="s">
        <v>123</v>
      </c>
      <c r="L3276" s="22">
        <v>5000</v>
      </c>
      <c r="M3276" s="22">
        <v>135000</v>
      </c>
      <c r="N3276" s="18">
        <v>144.38999999999999</v>
      </c>
      <c r="O3276" s="26">
        <v>45760</v>
      </c>
      <c r="P3276" s="2" t="s">
        <v>2105</v>
      </c>
      <c r="Q3276" s="2" t="s">
        <v>806</v>
      </c>
    </row>
    <row r="3277" spans="2:17" x14ac:dyDescent="0.25">
      <c r="B3277" s="2" t="s">
        <v>4082</v>
      </c>
      <c r="C3277" s="2" t="s">
        <v>348</v>
      </c>
      <c r="D3277" s="2" t="s">
        <v>349</v>
      </c>
      <c r="E3277" s="2" t="s">
        <v>341</v>
      </c>
      <c r="F3277" s="2" t="s">
        <v>535</v>
      </c>
      <c r="G3277" s="2" t="s">
        <v>505</v>
      </c>
      <c r="H3277" s="2" t="s">
        <v>506</v>
      </c>
      <c r="I3277" s="26">
        <v>45496</v>
      </c>
      <c r="J3277" s="2">
        <v>23</v>
      </c>
      <c r="K3277" s="2" t="s">
        <v>123</v>
      </c>
      <c r="L3277" s="22">
        <v>5000</v>
      </c>
      <c r="M3277" s="22">
        <v>115000</v>
      </c>
      <c r="N3277" s="18">
        <v>122.99</v>
      </c>
      <c r="O3277" s="26">
        <v>45796</v>
      </c>
      <c r="P3277" s="2" t="s">
        <v>2105</v>
      </c>
      <c r="Q3277" s="2" t="s">
        <v>806</v>
      </c>
    </row>
    <row r="3278" spans="2:17" x14ac:dyDescent="0.25">
      <c r="B3278" s="2" t="s">
        <v>4083</v>
      </c>
      <c r="C3278" s="2" t="s">
        <v>348</v>
      </c>
      <c r="D3278" s="2" t="s">
        <v>349</v>
      </c>
      <c r="E3278" s="2" t="s">
        <v>341</v>
      </c>
      <c r="F3278" s="2" t="s">
        <v>537</v>
      </c>
      <c r="G3278" s="2" t="s">
        <v>510</v>
      </c>
      <c r="H3278" s="2" t="s">
        <v>511</v>
      </c>
      <c r="I3278" s="26">
        <v>45528</v>
      </c>
      <c r="J3278" s="2">
        <v>25</v>
      </c>
      <c r="K3278" s="2" t="s">
        <v>123</v>
      </c>
      <c r="L3278" s="22">
        <v>5050</v>
      </c>
      <c r="M3278" s="22">
        <v>126250</v>
      </c>
      <c r="N3278" s="18">
        <v>135.03</v>
      </c>
      <c r="O3278" s="26">
        <v>45828</v>
      </c>
      <c r="P3278" s="2" t="s">
        <v>2105</v>
      </c>
      <c r="Q3278" s="2" t="s">
        <v>806</v>
      </c>
    </row>
    <row r="3279" spans="2:17" x14ac:dyDescent="0.25">
      <c r="B3279" s="2" t="s">
        <v>4084</v>
      </c>
      <c r="C3279" s="2" t="s">
        <v>348</v>
      </c>
      <c r="D3279" s="2" t="s">
        <v>349</v>
      </c>
      <c r="E3279" s="2" t="s">
        <v>341</v>
      </c>
      <c r="F3279" s="2" t="s">
        <v>535</v>
      </c>
      <c r="G3279" s="2" t="s">
        <v>505</v>
      </c>
      <c r="H3279" s="2" t="s">
        <v>506</v>
      </c>
      <c r="I3279" s="26">
        <v>45565</v>
      </c>
      <c r="J3279" s="2">
        <v>31</v>
      </c>
      <c r="K3279" s="2" t="s">
        <v>123</v>
      </c>
      <c r="L3279" s="22">
        <v>5000</v>
      </c>
      <c r="M3279" s="22">
        <v>155000</v>
      </c>
      <c r="N3279" s="18">
        <v>165.78</v>
      </c>
      <c r="O3279" s="26">
        <v>45865</v>
      </c>
      <c r="P3279" s="2" t="s">
        <v>2105</v>
      </c>
      <c r="Q3279" s="2" t="s">
        <v>814</v>
      </c>
    </row>
    <row r="3280" spans="2:17" x14ac:dyDescent="0.25">
      <c r="B3280" s="2" t="s">
        <v>4085</v>
      </c>
      <c r="C3280" s="2" t="s">
        <v>348</v>
      </c>
      <c r="D3280" s="2" t="s">
        <v>349</v>
      </c>
      <c r="E3280" s="2" t="s">
        <v>341</v>
      </c>
      <c r="F3280" s="2" t="s">
        <v>535</v>
      </c>
      <c r="G3280" s="2" t="s">
        <v>505</v>
      </c>
      <c r="H3280" s="2" t="s">
        <v>506</v>
      </c>
      <c r="I3280" s="26">
        <v>45603</v>
      </c>
      <c r="J3280" s="2">
        <v>9</v>
      </c>
      <c r="K3280" s="2" t="s">
        <v>123</v>
      </c>
      <c r="L3280" s="22">
        <v>5000</v>
      </c>
      <c r="M3280" s="22">
        <v>45000</v>
      </c>
      <c r="N3280" s="18">
        <v>48.13</v>
      </c>
      <c r="O3280" s="26">
        <v>45903</v>
      </c>
      <c r="P3280" s="2" t="s">
        <v>2105</v>
      </c>
      <c r="Q3280" s="2" t="s">
        <v>814</v>
      </c>
    </row>
    <row r="3281" spans="2:17" x14ac:dyDescent="0.25">
      <c r="B3281" s="2" t="s">
        <v>4086</v>
      </c>
      <c r="C3281" s="2" t="s">
        <v>348</v>
      </c>
      <c r="D3281" s="2" t="s">
        <v>349</v>
      </c>
      <c r="E3281" s="2" t="s">
        <v>341</v>
      </c>
      <c r="F3281" s="2" t="s">
        <v>535</v>
      </c>
      <c r="G3281" s="2" t="s">
        <v>505</v>
      </c>
      <c r="H3281" s="2" t="s">
        <v>506</v>
      </c>
      <c r="I3281" s="26">
        <v>45632</v>
      </c>
      <c r="J3281" s="2">
        <v>12</v>
      </c>
      <c r="K3281" s="2" t="s">
        <v>123</v>
      </c>
      <c r="L3281" s="22">
        <v>5000</v>
      </c>
      <c r="M3281" s="22">
        <v>60000</v>
      </c>
      <c r="N3281" s="18">
        <v>64.17</v>
      </c>
      <c r="O3281" s="26">
        <v>45932</v>
      </c>
      <c r="P3281" s="2" t="s">
        <v>2105</v>
      </c>
      <c r="Q3281" s="2" t="s">
        <v>825</v>
      </c>
    </row>
    <row r="3282" spans="2:17" x14ac:dyDescent="0.25">
      <c r="B3282" s="2" t="s">
        <v>4087</v>
      </c>
      <c r="C3282" s="2" t="s">
        <v>348</v>
      </c>
      <c r="D3282" s="2" t="s">
        <v>349</v>
      </c>
      <c r="E3282" s="2" t="s">
        <v>341</v>
      </c>
      <c r="F3282" s="2" t="s">
        <v>535</v>
      </c>
      <c r="G3282" s="2" t="s">
        <v>505</v>
      </c>
      <c r="H3282" s="2" t="s">
        <v>506</v>
      </c>
      <c r="I3282" s="26">
        <v>45663</v>
      </c>
      <c r="J3282" s="2">
        <v>8</v>
      </c>
      <c r="K3282" s="2" t="s">
        <v>123</v>
      </c>
      <c r="L3282" s="22">
        <v>5000</v>
      </c>
      <c r="M3282" s="22">
        <v>40000</v>
      </c>
      <c r="N3282" s="18">
        <v>42.78</v>
      </c>
      <c r="O3282" s="26">
        <v>45963</v>
      </c>
      <c r="P3282" s="2" t="s">
        <v>2105</v>
      </c>
      <c r="Q3282" s="2" t="s">
        <v>825</v>
      </c>
    </row>
    <row r="3283" spans="2:17" x14ac:dyDescent="0.25">
      <c r="B3283" s="2" t="s">
        <v>4088</v>
      </c>
      <c r="C3283" s="2" t="s">
        <v>348</v>
      </c>
      <c r="D3283" s="2" t="s">
        <v>349</v>
      </c>
      <c r="E3283" s="2" t="s">
        <v>341</v>
      </c>
      <c r="F3283" s="2" t="s">
        <v>535</v>
      </c>
      <c r="G3283" s="2" t="s">
        <v>505</v>
      </c>
      <c r="H3283" s="2" t="s">
        <v>506</v>
      </c>
      <c r="I3283" s="26">
        <v>45697</v>
      </c>
      <c r="J3283" s="2">
        <v>10</v>
      </c>
      <c r="K3283" s="2" t="s">
        <v>123</v>
      </c>
      <c r="L3283" s="22">
        <v>5000</v>
      </c>
      <c r="M3283" s="22">
        <v>50000</v>
      </c>
      <c r="N3283" s="18">
        <v>53.48</v>
      </c>
      <c r="O3283" s="26">
        <v>45997</v>
      </c>
      <c r="P3283" s="2" t="s">
        <v>2105</v>
      </c>
      <c r="Q3283" s="2" t="s">
        <v>825</v>
      </c>
    </row>
    <row r="3284" spans="2:17" x14ac:dyDescent="0.25">
      <c r="B3284" s="2" t="s">
        <v>4089</v>
      </c>
      <c r="C3284" s="2" t="s">
        <v>348</v>
      </c>
      <c r="D3284" s="2" t="s">
        <v>349</v>
      </c>
      <c r="E3284" s="2" t="s">
        <v>341</v>
      </c>
      <c r="F3284" s="2" t="s">
        <v>535</v>
      </c>
      <c r="G3284" s="2" t="s">
        <v>505</v>
      </c>
      <c r="H3284" s="2" t="s">
        <v>506</v>
      </c>
      <c r="I3284" s="26">
        <v>45738</v>
      </c>
      <c r="J3284" s="2">
        <v>9</v>
      </c>
      <c r="K3284" s="2" t="s">
        <v>123</v>
      </c>
      <c r="L3284" s="22">
        <v>5000</v>
      </c>
      <c r="M3284" s="22">
        <v>45000</v>
      </c>
      <c r="N3284" s="18">
        <v>48.13</v>
      </c>
      <c r="O3284" s="26">
        <v>46038</v>
      </c>
      <c r="P3284" s="2" t="s">
        <v>2105</v>
      </c>
      <c r="Q3284" s="2" t="s">
        <v>836</v>
      </c>
    </row>
    <row r="3285" spans="2:17" x14ac:dyDescent="0.25">
      <c r="B3285" s="2" t="s">
        <v>4090</v>
      </c>
      <c r="C3285" s="2" t="s">
        <v>348</v>
      </c>
      <c r="D3285" s="2" t="s">
        <v>349</v>
      </c>
      <c r="E3285" s="2" t="s">
        <v>341</v>
      </c>
      <c r="F3285" s="2" t="s">
        <v>535</v>
      </c>
      <c r="G3285" s="2" t="s">
        <v>505</v>
      </c>
      <c r="H3285" s="2" t="s">
        <v>506</v>
      </c>
      <c r="I3285" s="26">
        <v>45775</v>
      </c>
      <c r="J3285" s="2">
        <v>28</v>
      </c>
      <c r="K3285" s="2" t="s">
        <v>123</v>
      </c>
      <c r="L3285" s="22">
        <v>5000</v>
      </c>
      <c r="M3285" s="22">
        <v>140000</v>
      </c>
      <c r="N3285" s="18">
        <v>149.72999999999999</v>
      </c>
      <c r="O3285" s="26">
        <v>46075</v>
      </c>
      <c r="P3285" s="2" t="s">
        <v>2105</v>
      </c>
      <c r="Q3285" s="2" t="s">
        <v>836</v>
      </c>
    </row>
    <row r="3286" spans="2:17" x14ac:dyDescent="0.25">
      <c r="B3286" s="2" t="s">
        <v>4091</v>
      </c>
      <c r="C3286" s="2" t="s">
        <v>348</v>
      </c>
      <c r="D3286" s="2" t="s">
        <v>349</v>
      </c>
      <c r="E3286" s="2" t="s">
        <v>341</v>
      </c>
      <c r="F3286" s="2" t="s">
        <v>535</v>
      </c>
      <c r="G3286" s="2" t="s">
        <v>505</v>
      </c>
      <c r="H3286" s="2" t="s">
        <v>506</v>
      </c>
      <c r="I3286" s="26">
        <v>45807</v>
      </c>
      <c r="J3286" s="2">
        <v>23</v>
      </c>
      <c r="K3286" s="2" t="s">
        <v>123</v>
      </c>
      <c r="L3286" s="22">
        <v>5000</v>
      </c>
      <c r="M3286" s="22">
        <v>115000</v>
      </c>
      <c r="N3286" s="18">
        <v>122.99</v>
      </c>
      <c r="O3286" s="26">
        <v>46107</v>
      </c>
      <c r="P3286" s="2" t="s">
        <v>2105</v>
      </c>
      <c r="Q3286" s="2" t="s">
        <v>836</v>
      </c>
    </row>
    <row r="3287" spans="2:17" x14ac:dyDescent="0.25">
      <c r="B3287" s="2" t="s">
        <v>4092</v>
      </c>
      <c r="C3287" s="2" t="s">
        <v>348</v>
      </c>
      <c r="D3287" s="2" t="s">
        <v>349</v>
      </c>
      <c r="E3287" s="2" t="s">
        <v>341</v>
      </c>
      <c r="F3287" s="2" t="s">
        <v>535</v>
      </c>
      <c r="G3287" s="2" t="s">
        <v>505</v>
      </c>
      <c r="H3287" s="2" t="s">
        <v>506</v>
      </c>
      <c r="I3287" s="26">
        <v>45835</v>
      </c>
      <c r="J3287" s="2">
        <v>23</v>
      </c>
      <c r="K3287" s="2" t="s">
        <v>123</v>
      </c>
      <c r="L3287" s="22">
        <v>5000</v>
      </c>
      <c r="M3287" s="22">
        <v>115000</v>
      </c>
      <c r="N3287" s="18">
        <v>122.99</v>
      </c>
      <c r="O3287" s="26">
        <v>46135</v>
      </c>
      <c r="P3287" s="2" t="s">
        <v>2105</v>
      </c>
      <c r="Q3287" s="2" t="s">
        <v>806</v>
      </c>
    </row>
    <row r="3288" spans="2:17" x14ac:dyDescent="0.25">
      <c r="B3288" s="2" t="s">
        <v>4093</v>
      </c>
      <c r="C3288" s="2" t="s">
        <v>350</v>
      </c>
      <c r="D3288" s="2" t="s">
        <v>351</v>
      </c>
      <c r="E3288" s="2" t="s">
        <v>341</v>
      </c>
      <c r="F3288" s="2" t="s">
        <v>535</v>
      </c>
      <c r="G3288" s="2" t="s">
        <v>505</v>
      </c>
      <c r="H3288" s="2" t="s">
        <v>506</v>
      </c>
      <c r="I3288" s="26">
        <v>45121</v>
      </c>
      <c r="J3288" s="2">
        <v>24</v>
      </c>
      <c r="K3288" s="2" t="s">
        <v>123</v>
      </c>
      <c r="L3288" s="22">
        <v>4500</v>
      </c>
      <c r="M3288" s="22">
        <v>108000</v>
      </c>
      <c r="N3288" s="18">
        <v>115.51</v>
      </c>
      <c r="O3288" s="26">
        <v>45421</v>
      </c>
      <c r="P3288" s="2" t="s">
        <v>2105</v>
      </c>
      <c r="Q3288" s="2" t="s">
        <v>806</v>
      </c>
    </row>
    <row r="3289" spans="2:17" x14ac:dyDescent="0.25">
      <c r="B3289" s="2" t="s">
        <v>4094</v>
      </c>
      <c r="C3289" s="2" t="s">
        <v>350</v>
      </c>
      <c r="D3289" s="2" t="s">
        <v>351</v>
      </c>
      <c r="E3289" s="2" t="s">
        <v>341</v>
      </c>
      <c r="F3289" s="2" t="s">
        <v>535</v>
      </c>
      <c r="G3289" s="2" t="s">
        <v>505</v>
      </c>
      <c r="H3289" s="2" t="s">
        <v>506</v>
      </c>
      <c r="I3289" s="26">
        <v>45151</v>
      </c>
      <c r="J3289" s="2">
        <v>26</v>
      </c>
      <c r="K3289" s="2" t="s">
        <v>123</v>
      </c>
      <c r="L3289" s="22">
        <v>4500</v>
      </c>
      <c r="M3289" s="22">
        <v>117000</v>
      </c>
      <c r="N3289" s="18">
        <v>125.13</v>
      </c>
      <c r="O3289" s="26">
        <v>45451</v>
      </c>
      <c r="P3289" s="2" t="s">
        <v>2105</v>
      </c>
      <c r="Q3289" s="2" t="s">
        <v>806</v>
      </c>
    </row>
    <row r="3290" spans="2:17" x14ac:dyDescent="0.25">
      <c r="B3290" s="2" t="s">
        <v>4095</v>
      </c>
      <c r="C3290" s="2" t="s">
        <v>350</v>
      </c>
      <c r="D3290" s="2" t="s">
        <v>351</v>
      </c>
      <c r="E3290" s="2" t="s">
        <v>341</v>
      </c>
      <c r="F3290" s="2" t="s">
        <v>535</v>
      </c>
      <c r="G3290" s="2" t="s">
        <v>505</v>
      </c>
      <c r="H3290" s="2" t="s">
        <v>506</v>
      </c>
      <c r="I3290" s="26">
        <v>45189</v>
      </c>
      <c r="J3290" s="2">
        <v>33</v>
      </c>
      <c r="K3290" s="2" t="s">
        <v>123</v>
      </c>
      <c r="L3290" s="22">
        <v>4500</v>
      </c>
      <c r="M3290" s="22">
        <v>148500</v>
      </c>
      <c r="N3290" s="18">
        <v>158.82</v>
      </c>
      <c r="O3290" s="26">
        <v>45489</v>
      </c>
      <c r="P3290" s="2" t="s">
        <v>2105</v>
      </c>
      <c r="Q3290" s="2" t="s">
        <v>814</v>
      </c>
    </row>
    <row r="3291" spans="2:17" x14ac:dyDescent="0.25">
      <c r="B3291" s="2" t="s">
        <v>4096</v>
      </c>
      <c r="C3291" s="2" t="s">
        <v>350</v>
      </c>
      <c r="D3291" s="2" t="s">
        <v>351</v>
      </c>
      <c r="E3291" s="2" t="s">
        <v>341</v>
      </c>
      <c r="F3291" s="2" t="s">
        <v>535</v>
      </c>
      <c r="G3291" s="2" t="s">
        <v>505</v>
      </c>
      <c r="H3291" s="2" t="s">
        <v>506</v>
      </c>
      <c r="I3291" s="26">
        <v>45228</v>
      </c>
      <c r="J3291" s="2">
        <v>9</v>
      </c>
      <c r="K3291" s="2" t="s">
        <v>123</v>
      </c>
      <c r="L3291" s="22">
        <v>4500</v>
      </c>
      <c r="M3291" s="22">
        <v>40500</v>
      </c>
      <c r="N3291" s="18">
        <v>43.32</v>
      </c>
      <c r="O3291" s="26">
        <v>45528</v>
      </c>
      <c r="P3291" s="2" t="s">
        <v>2105</v>
      </c>
      <c r="Q3291" s="2" t="s">
        <v>814</v>
      </c>
    </row>
    <row r="3292" spans="2:17" x14ac:dyDescent="0.25">
      <c r="B3292" s="2" t="s">
        <v>4097</v>
      </c>
      <c r="C3292" s="2" t="s">
        <v>350</v>
      </c>
      <c r="D3292" s="2" t="s">
        <v>351</v>
      </c>
      <c r="E3292" s="2" t="s">
        <v>341</v>
      </c>
      <c r="F3292" s="2" t="s">
        <v>535</v>
      </c>
      <c r="G3292" s="2" t="s">
        <v>505</v>
      </c>
      <c r="H3292" s="2" t="s">
        <v>506</v>
      </c>
      <c r="I3292" s="26">
        <v>45265</v>
      </c>
      <c r="J3292" s="2">
        <v>11</v>
      </c>
      <c r="K3292" s="2" t="s">
        <v>123</v>
      </c>
      <c r="L3292" s="22">
        <v>4500</v>
      </c>
      <c r="M3292" s="22">
        <v>49500</v>
      </c>
      <c r="N3292" s="18">
        <v>52.94</v>
      </c>
      <c r="O3292" s="26">
        <v>45565</v>
      </c>
      <c r="P3292" s="2" t="s">
        <v>2105</v>
      </c>
      <c r="Q3292" s="2" t="s">
        <v>825</v>
      </c>
    </row>
    <row r="3293" spans="2:17" x14ac:dyDescent="0.25">
      <c r="B3293" s="2" t="s">
        <v>4098</v>
      </c>
      <c r="C3293" s="2" t="s">
        <v>350</v>
      </c>
      <c r="D3293" s="2" t="s">
        <v>351</v>
      </c>
      <c r="E3293" s="2" t="s">
        <v>341</v>
      </c>
      <c r="F3293" s="2" t="s">
        <v>535</v>
      </c>
      <c r="G3293" s="2" t="s">
        <v>505</v>
      </c>
      <c r="H3293" s="2" t="s">
        <v>506</v>
      </c>
      <c r="I3293" s="26">
        <v>45307</v>
      </c>
      <c r="J3293" s="2">
        <v>10</v>
      </c>
      <c r="K3293" s="2" t="s">
        <v>123</v>
      </c>
      <c r="L3293" s="22">
        <v>4500</v>
      </c>
      <c r="M3293" s="22">
        <v>45000</v>
      </c>
      <c r="N3293" s="18">
        <v>48.13</v>
      </c>
      <c r="O3293" s="26">
        <v>45607</v>
      </c>
      <c r="P3293" s="2" t="s">
        <v>2105</v>
      </c>
      <c r="Q3293" s="2" t="s">
        <v>825</v>
      </c>
    </row>
    <row r="3294" spans="2:17" x14ac:dyDescent="0.25">
      <c r="B3294" s="2" t="s">
        <v>4099</v>
      </c>
      <c r="C3294" s="2" t="s">
        <v>350</v>
      </c>
      <c r="D3294" s="2" t="s">
        <v>351</v>
      </c>
      <c r="E3294" s="2" t="s">
        <v>341</v>
      </c>
      <c r="F3294" s="2" t="s">
        <v>535</v>
      </c>
      <c r="G3294" s="2" t="s">
        <v>505</v>
      </c>
      <c r="H3294" s="2" t="s">
        <v>506</v>
      </c>
      <c r="I3294" s="26">
        <v>45340</v>
      </c>
      <c r="J3294" s="2">
        <v>8</v>
      </c>
      <c r="K3294" s="2" t="s">
        <v>123</v>
      </c>
      <c r="L3294" s="22">
        <v>4500</v>
      </c>
      <c r="M3294" s="22">
        <v>36000</v>
      </c>
      <c r="N3294" s="18">
        <v>38.5</v>
      </c>
      <c r="O3294" s="26">
        <v>45640</v>
      </c>
      <c r="P3294" s="2" t="s">
        <v>2105</v>
      </c>
      <c r="Q3294" s="2" t="s">
        <v>825</v>
      </c>
    </row>
    <row r="3295" spans="2:17" x14ac:dyDescent="0.25">
      <c r="B3295" s="2" t="s">
        <v>4100</v>
      </c>
      <c r="C3295" s="2" t="s">
        <v>350</v>
      </c>
      <c r="D3295" s="2" t="s">
        <v>351</v>
      </c>
      <c r="E3295" s="2" t="s">
        <v>341</v>
      </c>
      <c r="F3295" s="2" t="s">
        <v>535</v>
      </c>
      <c r="G3295" s="2" t="s">
        <v>505</v>
      </c>
      <c r="H3295" s="2" t="s">
        <v>506</v>
      </c>
      <c r="I3295" s="26">
        <v>45369</v>
      </c>
      <c r="J3295" s="2">
        <v>9</v>
      </c>
      <c r="K3295" s="2" t="s">
        <v>123</v>
      </c>
      <c r="L3295" s="22">
        <v>4500</v>
      </c>
      <c r="M3295" s="22">
        <v>40500</v>
      </c>
      <c r="N3295" s="18">
        <v>43.32</v>
      </c>
      <c r="O3295" s="26">
        <v>45669</v>
      </c>
      <c r="P3295" s="2" t="s">
        <v>2105</v>
      </c>
      <c r="Q3295" s="2" t="s">
        <v>836</v>
      </c>
    </row>
    <row r="3296" spans="2:17" x14ac:dyDescent="0.25">
      <c r="B3296" s="2" t="s">
        <v>4101</v>
      </c>
      <c r="C3296" s="2" t="s">
        <v>350</v>
      </c>
      <c r="D3296" s="2" t="s">
        <v>351</v>
      </c>
      <c r="E3296" s="2" t="s">
        <v>341</v>
      </c>
      <c r="F3296" s="2" t="s">
        <v>537</v>
      </c>
      <c r="G3296" s="2" t="s">
        <v>510</v>
      </c>
      <c r="H3296" s="2" t="s">
        <v>511</v>
      </c>
      <c r="I3296" s="26">
        <v>45394</v>
      </c>
      <c r="J3296" s="2">
        <v>24</v>
      </c>
      <c r="K3296" s="2" t="s">
        <v>123</v>
      </c>
      <c r="L3296" s="22">
        <v>4950</v>
      </c>
      <c r="M3296" s="22">
        <v>118800</v>
      </c>
      <c r="N3296" s="18">
        <v>127.06</v>
      </c>
      <c r="O3296" s="26">
        <v>45694</v>
      </c>
      <c r="P3296" s="2" t="s">
        <v>2105</v>
      </c>
      <c r="Q3296" s="2" t="s">
        <v>836</v>
      </c>
    </row>
    <row r="3297" spans="2:17" x14ac:dyDescent="0.25">
      <c r="B3297" s="2" t="s">
        <v>4102</v>
      </c>
      <c r="C3297" s="2" t="s">
        <v>350</v>
      </c>
      <c r="D3297" s="2" t="s">
        <v>351</v>
      </c>
      <c r="E3297" s="2" t="s">
        <v>341</v>
      </c>
      <c r="F3297" s="2" t="s">
        <v>535</v>
      </c>
      <c r="G3297" s="2" t="s">
        <v>505</v>
      </c>
      <c r="H3297" s="2" t="s">
        <v>506</v>
      </c>
      <c r="I3297" s="26">
        <v>45434</v>
      </c>
      <c r="J3297" s="2">
        <v>21</v>
      </c>
      <c r="K3297" s="2" t="s">
        <v>123</v>
      </c>
      <c r="L3297" s="22">
        <v>4500</v>
      </c>
      <c r="M3297" s="22">
        <v>94500</v>
      </c>
      <c r="N3297" s="18">
        <v>101.07</v>
      </c>
      <c r="O3297" s="26">
        <v>45734</v>
      </c>
      <c r="P3297" s="2" t="s">
        <v>2105</v>
      </c>
      <c r="Q3297" s="2" t="s">
        <v>836</v>
      </c>
    </row>
    <row r="3298" spans="2:17" x14ac:dyDescent="0.25">
      <c r="B3298" s="2" t="s">
        <v>4103</v>
      </c>
      <c r="C3298" s="2" t="s">
        <v>350</v>
      </c>
      <c r="D3298" s="2" t="s">
        <v>351</v>
      </c>
      <c r="E3298" s="2" t="s">
        <v>341</v>
      </c>
      <c r="F3298" s="2" t="s">
        <v>535</v>
      </c>
      <c r="G3298" s="2" t="s">
        <v>505</v>
      </c>
      <c r="H3298" s="2" t="s">
        <v>506</v>
      </c>
      <c r="I3298" s="26">
        <v>45472</v>
      </c>
      <c r="J3298" s="2">
        <v>27</v>
      </c>
      <c r="K3298" s="2" t="s">
        <v>123</v>
      </c>
      <c r="L3298" s="22">
        <v>4500</v>
      </c>
      <c r="M3298" s="22">
        <v>121500</v>
      </c>
      <c r="N3298" s="18">
        <v>129.94999999999999</v>
      </c>
      <c r="O3298" s="26">
        <v>45772</v>
      </c>
      <c r="P3298" s="2" t="s">
        <v>2105</v>
      </c>
      <c r="Q3298" s="2" t="s">
        <v>806</v>
      </c>
    </row>
    <row r="3299" spans="2:17" x14ac:dyDescent="0.25">
      <c r="B3299" s="2" t="s">
        <v>4104</v>
      </c>
      <c r="C3299" s="2" t="s">
        <v>350</v>
      </c>
      <c r="D3299" s="2" t="s">
        <v>351</v>
      </c>
      <c r="E3299" s="2" t="s">
        <v>341</v>
      </c>
      <c r="F3299" s="2" t="s">
        <v>535</v>
      </c>
      <c r="G3299" s="2" t="s">
        <v>505</v>
      </c>
      <c r="H3299" s="2" t="s">
        <v>506</v>
      </c>
      <c r="I3299" s="26">
        <v>45498</v>
      </c>
      <c r="J3299" s="2">
        <v>27</v>
      </c>
      <c r="K3299" s="2" t="s">
        <v>123</v>
      </c>
      <c r="L3299" s="22">
        <v>4500</v>
      </c>
      <c r="M3299" s="22">
        <v>121500</v>
      </c>
      <c r="N3299" s="18">
        <v>129.94999999999999</v>
      </c>
      <c r="O3299" s="26">
        <v>45798</v>
      </c>
      <c r="P3299" s="2" t="s">
        <v>2105</v>
      </c>
      <c r="Q3299" s="2" t="s">
        <v>806</v>
      </c>
    </row>
    <row r="3300" spans="2:17" x14ac:dyDescent="0.25">
      <c r="B3300" s="2" t="s">
        <v>4105</v>
      </c>
      <c r="C3300" s="2" t="s">
        <v>350</v>
      </c>
      <c r="D3300" s="2" t="s">
        <v>351</v>
      </c>
      <c r="E3300" s="2" t="s">
        <v>341</v>
      </c>
      <c r="F3300" s="2" t="s">
        <v>535</v>
      </c>
      <c r="G3300" s="2" t="s">
        <v>505</v>
      </c>
      <c r="H3300" s="2" t="s">
        <v>506</v>
      </c>
      <c r="I3300" s="26">
        <v>45526</v>
      </c>
      <c r="J3300" s="2">
        <v>22</v>
      </c>
      <c r="K3300" s="2" t="s">
        <v>123</v>
      </c>
      <c r="L3300" s="22">
        <v>4500</v>
      </c>
      <c r="M3300" s="22">
        <v>99000</v>
      </c>
      <c r="N3300" s="18">
        <v>105.88</v>
      </c>
      <c r="O3300" s="26">
        <v>45826</v>
      </c>
      <c r="P3300" s="2" t="s">
        <v>2105</v>
      </c>
      <c r="Q3300" s="2" t="s">
        <v>806</v>
      </c>
    </row>
    <row r="3301" spans="2:17" x14ac:dyDescent="0.25">
      <c r="B3301" s="2" t="s">
        <v>4106</v>
      </c>
      <c r="C3301" s="2" t="s">
        <v>350</v>
      </c>
      <c r="D3301" s="2" t="s">
        <v>351</v>
      </c>
      <c r="E3301" s="2" t="s">
        <v>341</v>
      </c>
      <c r="F3301" s="2" t="s">
        <v>537</v>
      </c>
      <c r="G3301" s="2" t="s">
        <v>510</v>
      </c>
      <c r="H3301" s="2" t="s">
        <v>511</v>
      </c>
      <c r="I3301" s="26">
        <v>45558</v>
      </c>
      <c r="J3301" s="2">
        <v>33</v>
      </c>
      <c r="K3301" s="2" t="s">
        <v>123</v>
      </c>
      <c r="L3301" s="22">
        <v>4950</v>
      </c>
      <c r="M3301" s="22">
        <v>163350</v>
      </c>
      <c r="N3301" s="18">
        <v>174.71</v>
      </c>
      <c r="O3301" s="26">
        <v>45858</v>
      </c>
      <c r="P3301" s="2" t="s">
        <v>2105</v>
      </c>
      <c r="Q3301" s="2" t="s">
        <v>814</v>
      </c>
    </row>
    <row r="3302" spans="2:17" x14ac:dyDescent="0.25">
      <c r="B3302" s="2" t="s">
        <v>4107</v>
      </c>
      <c r="C3302" s="2" t="s">
        <v>350</v>
      </c>
      <c r="D3302" s="2" t="s">
        <v>351</v>
      </c>
      <c r="E3302" s="2" t="s">
        <v>341</v>
      </c>
      <c r="F3302" s="2" t="s">
        <v>535</v>
      </c>
      <c r="G3302" s="2" t="s">
        <v>505</v>
      </c>
      <c r="H3302" s="2" t="s">
        <v>506</v>
      </c>
      <c r="I3302" s="26">
        <v>45595</v>
      </c>
      <c r="J3302" s="2">
        <v>10</v>
      </c>
      <c r="K3302" s="2" t="s">
        <v>123</v>
      </c>
      <c r="L3302" s="22">
        <v>4500</v>
      </c>
      <c r="M3302" s="22">
        <v>45000</v>
      </c>
      <c r="N3302" s="18">
        <v>48.13</v>
      </c>
      <c r="O3302" s="26">
        <v>45895</v>
      </c>
      <c r="P3302" s="2" t="s">
        <v>2105</v>
      </c>
      <c r="Q3302" s="2" t="s">
        <v>814</v>
      </c>
    </row>
    <row r="3303" spans="2:17" x14ac:dyDescent="0.25">
      <c r="B3303" s="2" t="s">
        <v>4108</v>
      </c>
      <c r="C3303" s="2" t="s">
        <v>350</v>
      </c>
      <c r="D3303" s="2" t="s">
        <v>351</v>
      </c>
      <c r="E3303" s="2" t="s">
        <v>341</v>
      </c>
      <c r="F3303" s="2" t="s">
        <v>535</v>
      </c>
      <c r="G3303" s="2" t="s">
        <v>505</v>
      </c>
      <c r="H3303" s="2" t="s">
        <v>506</v>
      </c>
      <c r="I3303" s="26">
        <v>45628</v>
      </c>
      <c r="J3303" s="2">
        <v>12</v>
      </c>
      <c r="K3303" s="2" t="s">
        <v>123</v>
      </c>
      <c r="L3303" s="22">
        <v>4500</v>
      </c>
      <c r="M3303" s="22">
        <v>54000</v>
      </c>
      <c r="N3303" s="18">
        <v>57.75</v>
      </c>
      <c r="O3303" s="26">
        <v>45928</v>
      </c>
      <c r="P3303" s="2" t="s">
        <v>2105</v>
      </c>
      <c r="Q3303" s="2" t="s">
        <v>825</v>
      </c>
    </row>
    <row r="3304" spans="2:17" x14ac:dyDescent="0.25">
      <c r="B3304" s="2" t="s">
        <v>4109</v>
      </c>
      <c r="C3304" s="2" t="s">
        <v>350</v>
      </c>
      <c r="D3304" s="2" t="s">
        <v>351</v>
      </c>
      <c r="E3304" s="2" t="s">
        <v>341</v>
      </c>
      <c r="F3304" s="2" t="s">
        <v>535</v>
      </c>
      <c r="G3304" s="2" t="s">
        <v>505</v>
      </c>
      <c r="H3304" s="2" t="s">
        <v>506</v>
      </c>
      <c r="I3304" s="26">
        <v>45661</v>
      </c>
      <c r="J3304" s="2">
        <v>10</v>
      </c>
      <c r="K3304" s="2" t="s">
        <v>123</v>
      </c>
      <c r="L3304" s="22">
        <v>4500</v>
      </c>
      <c r="M3304" s="22">
        <v>45000</v>
      </c>
      <c r="N3304" s="18">
        <v>48.13</v>
      </c>
      <c r="O3304" s="26">
        <v>45961</v>
      </c>
      <c r="P3304" s="2" t="s">
        <v>2105</v>
      </c>
      <c r="Q3304" s="2" t="s">
        <v>825</v>
      </c>
    </row>
    <row r="3305" spans="2:17" x14ac:dyDescent="0.25">
      <c r="B3305" s="2" t="s">
        <v>4110</v>
      </c>
      <c r="C3305" s="2" t="s">
        <v>350</v>
      </c>
      <c r="D3305" s="2" t="s">
        <v>351</v>
      </c>
      <c r="E3305" s="2" t="s">
        <v>341</v>
      </c>
      <c r="F3305" s="2" t="s">
        <v>537</v>
      </c>
      <c r="G3305" s="2" t="s">
        <v>510</v>
      </c>
      <c r="H3305" s="2" t="s">
        <v>511</v>
      </c>
      <c r="I3305" s="26">
        <v>45693</v>
      </c>
      <c r="J3305" s="2">
        <v>10</v>
      </c>
      <c r="K3305" s="2" t="s">
        <v>123</v>
      </c>
      <c r="L3305" s="22">
        <v>4950</v>
      </c>
      <c r="M3305" s="22">
        <v>49500</v>
      </c>
      <c r="N3305" s="18">
        <v>52.94</v>
      </c>
      <c r="O3305" s="26">
        <v>45993</v>
      </c>
      <c r="P3305" s="2" t="s">
        <v>2105</v>
      </c>
      <c r="Q3305" s="2" t="s">
        <v>825</v>
      </c>
    </row>
    <row r="3306" spans="2:17" x14ac:dyDescent="0.25">
      <c r="B3306" s="2" t="s">
        <v>4111</v>
      </c>
      <c r="C3306" s="2" t="s">
        <v>350</v>
      </c>
      <c r="D3306" s="2" t="s">
        <v>351</v>
      </c>
      <c r="E3306" s="2" t="s">
        <v>341</v>
      </c>
      <c r="F3306" s="2" t="s">
        <v>537</v>
      </c>
      <c r="G3306" s="2" t="s">
        <v>510</v>
      </c>
      <c r="H3306" s="2" t="s">
        <v>511</v>
      </c>
      <c r="I3306" s="26">
        <v>45736</v>
      </c>
      <c r="J3306" s="2">
        <v>10</v>
      </c>
      <c r="K3306" s="2" t="s">
        <v>123</v>
      </c>
      <c r="L3306" s="22">
        <v>4950</v>
      </c>
      <c r="M3306" s="22">
        <v>49500</v>
      </c>
      <c r="N3306" s="18">
        <v>52.94</v>
      </c>
      <c r="O3306" s="26">
        <v>46036</v>
      </c>
      <c r="P3306" s="2" t="s">
        <v>2105</v>
      </c>
      <c r="Q3306" s="2" t="s">
        <v>836</v>
      </c>
    </row>
    <row r="3307" spans="2:17" x14ac:dyDescent="0.25">
      <c r="B3307" s="2" t="s">
        <v>4112</v>
      </c>
      <c r="C3307" s="2" t="s">
        <v>350</v>
      </c>
      <c r="D3307" s="2" t="s">
        <v>351</v>
      </c>
      <c r="E3307" s="2" t="s">
        <v>341</v>
      </c>
      <c r="F3307" s="2" t="s">
        <v>535</v>
      </c>
      <c r="G3307" s="2" t="s">
        <v>505</v>
      </c>
      <c r="H3307" s="2" t="s">
        <v>506</v>
      </c>
      <c r="I3307" s="26">
        <v>45769</v>
      </c>
      <c r="J3307" s="2">
        <v>26</v>
      </c>
      <c r="K3307" s="2" t="s">
        <v>123</v>
      </c>
      <c r="L3307" s="22">
        <v>4500</v>
      </c>
      <c r="M3307" s="22">
        <v>117000</v>
      </c>
      <c r="N3307" s="18">
        <v>125.13</v>
      </c>
      <c r="O3307" s="26">
        <v>46069</v>
      </c>
      <c r="P3307" s="2" t="s">
        <v>2105</v>
      </c>
      <c r="Q3307" s="2" t="s">
        <v>836</v>
      </c>
    </row>
    <row r="3308" spans="2:17" x14ac:dyDescent="0.25">
      <c r="B3308" s="2" t="s">
        <v>4113</v>
      </c>
      <c r="C3308" s="2" t="s">
        <v>350</v>
      </c>
      <c r="D3308" s="2" t="s">
        <v>351</v>
      </c>
      <c r="E3308" s="2" t="s">
        <v>341</v>
      </c>
      <c r="F3308" s="2" t="s">
        <v>535</v>
      </c>
      <c r="G3308" s="2" t="s">
        <v>505</v>
      </c>
      <c r="H3308" s="2" t="s">
        <v>506</v>
      </c>
      <c r="I3308" s="26">
        <v>45805</v>
      </c>
      <c r="J3308" s="2">
        <v>28</v>
      </c>
      <c r="K3308" s="2" t="s">
        <v>123</v>
      </c>
      <c r="L3308" s="22">
        <v>4500</v>
      </c>
      <c r="M3308" s="22">
        <v>126000</v>
      </c>
      <c r="N3308" s="18">
        <v>134.76</v>
      </c>
      <c r="O3308" s="26">
        <v>46105</v>
      </c>
      <c r="P3308" s="2" t="s">
        <v>2105</v>
      </c>
      <c r="Q3308" s="2" t="s">
        <v>836</v>
      </c>
    </row>
    <row r="3309" spans="2:17" x14ac:dyDescent="0.25">
      <c r="B3309" s="2" t="s">
        <v>4114</v>
      </c>
      <c r="C3309" s="2" t="s">
        <v>352</v>
      </c>
      <c r="D3309" s="2" t="s">
        <v>353</v>
      </c>
      <c r="E3309" s="2" t="s">
        <v>341</v>
      </c>
      <c r="F3309" s="2" t="s">
        <v>537</v>
      </c>
      <c r="G3309" s="2" t="s">
        <v>510</v>
      </c>
      <c r="H3309" s="2" t="s">
        <v>511</v>
      </c>
      <c r="I3309" s="26">
        <v>45110</v>
      </c>
      <c r="J3309" s="2">
        <v>23</v>
      </c>
      <c r="K3309" s="2" t="s">
        <v>123</v>
      </c>
      <c r="L3309" s="22">
        <v>4200</v>
      </c>
      <c r="M3309" s="22">
        <v>96600</v>
      </c>
      <c r="N3309" s="18">
        <v>103.32</v>
      </c>
      <c r="O3309" s="26">
        <v>45410</v>
      </c>
      <c r="P3309" s="2" t="s">
        <v>2105</v>
      </c>
      <c r="Q3309" s="2" t="s">
        <v>806</v>
      </c>
    </row>
    <row r="3310" spans="2:17" x14ac:dyDescent="0.25">
      <c r="B3310" s="2" t="s">
        <v>4115</v>
      </c>
      <c r="C3310" s="2" t="s">
        <v>352</v>
      </c>
      <c r="D3310" s="2" t="s">
        <v>353</v>
      </c>
      <c r="E3310" s="2" t="s">
        <v>341</v>
      </c>
      <c r="F3310" s="2" t="s">
        <v>535</v>
      </c>
      <c r="G3310" s="2" t="s">
        <v>505</v>
      </c>
      <c r="H3310" s="2" t="s">
        <v>506</v>
      </c>
      <c r="I3310" s="26">
        <v>45150</v>
      </c>
      <c r="J3310" s="2">
        <v>22</v>
      </c>
      <c r="K3310" s="2" t="s">
        <v>123</v>
      </c>
      <c r="L3310" s="22">
        <v>3850</v>
      </c>
      <c r="M3310" s="22">
        <v>84700</v>
      </c>
      <c r="N3310" s="18">
        <v>90.59</v>
      </c>
      <c r="O3310" s="26">
        <v>45450</v>
      </c>
      <c r="P3310" s="2" t="s">
        <v>2105</v>
      </c>
      <c r="Q3310" s="2" t="s">
        <v>806</v>
      </c>
    </row>
    <row r="3311" spans="2:17" x14ac:dyDescent="0.25">
      <c r="B3311" s="2" t="s">
        <v>4116</v>
      </c>
      <c r="C3311" s="2" t="s">
        <v>352</v>
      </c>
      <c r="D3311" s="2" t="s">
        <v>353</v>
      </c>
      <c r="E3311" s="2" t="s">
        <v>341</v>
      </c>
      <c r="F3311" s="2" t="s">
        <v>535</v>
      </c>
      <c r="G3311" s="2" t="s">
        <v>505</v>
      </c>
      <c r="H3311" s="2" t="s">
        <v>506</v>
      </c>
      <c r="I3311" s="26">
        <v>45187</v>
      </c>
      <c r="J3311" s="2">
        <v>32</v>
      </c>
      <c r="K3311" s="2" t="s">
        <v>123</v>
      </c>
      <c r="L3311" s="22">
        <v>3850</v>
      </c>
      <c r="M3311" s="22">
        <v>123200</v>
      </c>
      <c r="N3311" s="18">
        <v>131.76</v>
      </c>
      <c r="O3311" s="26">
        <v>45487</v>
      </c>
      <c r="P3311" s="2" t="s">
        <v>2105</v>
      </c>
      <c r="Q3311" s="2" t="s">
        <v>814</v>
      </c>
    </row>
    <row r="3312" spans="2:17" x14ac:dyDescent="0.25">
      <c r="B3312" s="2" t="s">
        <v>4117</v>
      </c>
      <c r="C3312" s="2" t="s">
        <v>352</v>
      </c>
      <c r="D3312" s="2" t="s">
        <v>353</v>
      </c>
      <c r="E3312" s="2" t="s">
        <v>341</v>
      </c>
      <c r="F3312" s="2" t="s">
        <v>535</v>
      </c>
      <c r="G3312" s="2" t="s">
        <v>505</v>
      </c>
      <c r="H3312" s="2" t="s">
        <v>506</v>
      </c>
      <c r="I3312" s="26">
        <v>45229</v>
      </c>
      <c r="J3312" s="2">
        <v>10</v>
      </c>
      <c r="K3312" s="2" t="s">
        <v>123</v>
      </c>
      <c r="L3312" s="22">
        <v>3850</v>
      </c>
      <c r="M3312" s="22">
        <v>38500</v>
      </c>
      <c r="N3312" s="18">
        <v>41.18</v>
      </c>
      <c r="O3312" s="26">
        <v>45529</v>
      </c>
      <c r="P3312" s="2" t="s">
        <v>2105</v>
      </c>
      <c r="Q3312" s="2" t="s">
        <v>814</v>
      </c>
    </row>
    <row r="3313" spans="2:17" x14ac:dyDescent="0.25">
      <c r="B3313" s="2" t="s">
        <v>4118</v>
      </c>
      <c r="C3313" s="2" t="s">
        <v>352</v>
      </c>
      <c r="D3313" s="2" t="s">
        <v>353</v>
      </c>
      <c r="E3313" s="2" t="s">
        <v>341</v>
      </c>
      <c r="F3313" s="2" t="s">
        <v>535</v>
      </c>
      <c r="G3313" s="2" t="s">
        <v>505</v>
      </c>
      <c r="H3313" s="2" t="s">
        <v>506</v>
      </c>
      <c r="I3313" s="26">
        <v>45259</v>
      </c>
      <c r="J3313" s="2">
        <v>8</v>
      </c>
      <c r="K3313" s="2" t="s">
        <v>123</v>
      </c>
      <c r="L3313" s="22">
        <v>3850</v>
      </c>
      <c r="M3313" s="22">
        <v>30800</v>
      </c>
      <c r="N3313" s="18">
        <v>32.94</v>
      </c>
      <c r="O3313" s="26">
        <v>45559</v>
      </c>
      <c r="P3313" s="2" t="s">
        <v>2105</v>
      </c>
      <c r="Q3313" s="2" t="s">
        <v>814</v>
      </c>
    </row>
    <row r="3314" spans="2:17" x14ac:dyDescent="0.25">
      <c r="B3314" s="2" t="s">
        <v>4119</v>
      </c>
      <c r="C3314" s="2" t="s">
        <v>352</v>
      </c>
      <c r="D3314" s="2" t="s">
        <v>353</v>
      </c>
      <c r="E3314" s="2" t="s">
        <v>341</v>
      </c>
      <c r="F3314" s="2" t="s">
        <v>535</v>
      </c>
      <c r="G3314" s="2" t="s">
        <v>505</v>
      </c>
      <c r="H3314" s="2" t="s">
        <v>506</v>
      </c>
      <c r="I3314" s="26">
        <v>45295</v>
      </c>
      <c r="J3314" s="2">
        <v>9</v>
      </c>
      <c r="K3314" s="2" t="s">
        <v>123</v>
      </c>
      <c r="L3314" s="22">
        <v>3850</v>
      </c>
      <c r="M3314" s="22">
        <v>34650</v>
      </c>
      <c r="N3314" s="18">
        <v>37.06</v>
      </c>
      <c r="O3314" s="26">
        <v>45595</v>
      </c>
      <c r="P3314" s="2" t="s">
        <v>2105</v>
      </c>
      <c r="Q3314" s="2" t="s">
        <v>825</v>
      </c>
    </row>
    <row r="3315" spans="2:17" x14ac:dyDescent="0.25">
      <c r="B3315" s="2" t="s">
        <v>4120</v>
      </c>
      <c r="C3315" s="2" t="s">
        <v>352</v>
      </c>
      <c r="D3315" s="2" t="s">
        <v>353</v>
      </c>
      <c r="E3315" s="2" t="s">
        <v>341</v>
      </c>
      <c r="F3315" s="2" t="s">
        <v>535</v>
      </c>
      <c r="G3315" s="2" t="s">
        <v>505</v>
      </c>
      <c r="H3315" s="2" t="s">
        <v>506</v>
      </c>
      <c r="I3315" s="26">
        <v>45341</v>
      </c>
      <c r="J3315" s="2">
        <v>10</v>
      </c>
      <c r="K3315" s="2" t="s">
        <v>123</v>
      </c>
      <c r="L3315" s="22">
        <v>3850</v>
      </c>
      <c r="M3315" s="22">
        <v>38500</v>
      </c>
      <c r="N3315" s="18">
        <v>41.18</v>
      </c>
      <c r="O3315" s="26">
        <v>45641</v>
      </c>
      <c r="P3315" s="2" t="s">
        <v>2105</v>
      </c>
      <c r="Q3315" s="2" t="s">
        <v>825</v>
      </c>
    </row>
    <row r="3316" spans="2:17" x14ac:dyDescent="0.25">
      <c r="B3316" s="2" t="s">
        <v>4121</v>
      </c>
      <c r="C3316" s="2" t="s">
        <v>352</v>
      </c>
      <c r="D3316" s="2" t="s">
        <v>353</v>
      </c>
      <c r="E3316" s="2" t="s">
        <v>341</v>
      </c>
      <c r="F3316" s="2" t="s">
        <v>535</v>
      </c>
      <c r="G3316" s="2" t="s">
        <v>505</v>
      </c>
      <c r="H3316" s="2" t="s">
        <v>506</v>
      </c>
      <c r="I3316" s="26">
        <v>45366</v>
      </c>
      <c r="J3316" s="2">
        <v>10</v>
      </c>
      <c r="K3316" s="2" t="s">
        <v>123</v>
      </c>
      <c r="L3316" s="22">
        <v>3850</v>
      </c>
      <c r="M3316" s="22">
        <v>38500</v>
      </c>
      <c r="N3316" s="18">
        <v>41.18</v>
      </c>
      <c r="O3316" s="26">
        <v>45666</v>
      </c>
      <c r="P3316" s="2" t="s">
        <v>2105</v>
      </c>
      <c r="Q3316" s="2" t="s">
        <v>836</v>
      </c>
    </row>
    <row r="3317" spans="2:17" x14ac:dyDescent="0.25">
      <c r="B3317" s="2" t="s">
        <v>4122</v>
      </c>
      <c r="C3317" s="2" t="s">
        <v>352</v>
      </c>
      <c r="D3317" s="2" t="s">
        <v>353</v>
      </c>
      <c r="E3317" s="2" t="s">
        <v>341</v>
      </c>
      <c r="F3317" s="2" t="s">
        <v>535</v>
      </c>
      <c r="G3317" s="2" t="s">
        <v>505</v>
      </c>
      <c r="H3317" s="2" t="s">
        <v>506</v>
      </c>
      <c r="I3317" s="26">
        <v>45405</v>
      </c>
      <c r="J3317" s="2">
        <v>25</v>
      </c>
      <c r="K3317" s="2" t="s">
        <v>123</v>
      </c>
      <c r="L3317" s="22">
        <v>3850</v>
      </c>
      <c r="M3317" s="22">
        <v>96250</v>
      </c>
      <c r="N3317" s="18">
        <v>102.94</v>
      </c>
      <c r="O3317" s="26">
        <v>45705</v>
      </c>
      <c r="P3317" s="2" t="s">
        <v>2105</v>
      </c>
      <c r="Q3317" s="2" t="s">
        <v>836</v>
      </c>
    </row>
    <row r="3318" spans="2:17" x14ac:dyDescent="0.25">
      <c r="B3318" s="2" t="s">
        <v>4123</v>
      </c>
      <c r="C3318" s="2" t="s">
        <v>352</v>
      </c>
      <c r="D3318" s="2" t="s">
        <v>353</v>
      </c>
      <c r="E3318" s="2" t="s">
        <v>341</v>
      </c>
      <c r="F3318" s="2" t="s">
        <v>535</v>
      </c>
      <c r="G3318" s="2" t="s">
        <v>505</v>
      </c>
      <c r="H3318" s="2" t="s">
        <v>506</v>
      </c>
      <c r="I3318" s="26">
        <v>45437</v>
      </c>
      <c r="J3318" s="2">
        <v>25</v>
      </c>
      <c r="K3318" s="2" t="s">
        <v>123</v>
      </c>
      <c r="L3318" s="22">
        <v>3850</v>
      </c>
      <c r="M3318" s="22">
        <v>96250</v>
      </c>
      <c r="N3318" s="18">
        <v>102.94</v>
      </c>
      <c r="O3318" s="26">
        <v>45737</v>
      </c>
      <c r="P3318" s="2" t="s">
        <v>2105</v>
      </c>
      <c r="Q3318" s="2" t="s">
        <v>836</v>
      </c>
    </row>
    <row r="3319" spans="2:17" x14ac:dyDescent="0.25">
      <c r="B3319" s="2" t="s">
        <v>4124</v>
      </c>
      <c r="C3319" s="2" t="s">
        <v>352</v>
      </c>
      <c r="D3319" s="2" t="s">
        <v>353</v>
      </c>
      <c r="E3319" s="2" t="s">
        <v>341</v>
      </c>
      <c r="F3319" s="2" t="s">
        <v>535</v>
      </c>
      <c r="G3319" s="2" t="s">
        <v>505</v>
      </c>
      <c r="H3319" s="2" t="s">
        <v>506</v>
      </c>
      <c r="I3319" s="26">
        <v>45460</v>
      </c>
      <c r="J3319" s="2">
        <v>27</v>
      </c>
      <c r="K3319" s="2" t="s">
        <v>123</v>
      </c>
      <c r="L3319" s="22">
        <v>3850</v>
      </c>
      <c r="M3319" s="22">
        <v>103950</v>
      </c>
      <c r="N3319" s="18">
        <v>111.18</v>
      </c>
      <c r="O3319" s="26">
        <v>45760</v>
      </c>
      <c r="P3319" s="2" t="s">
        <v>2105</v>
      </c>
      <c r="Q3319" s="2" t="s">
        <v>806</v>
      </c>
    </row>
    <row r="3320" spans="2:17" x14ac:dyDescent="0.25">
      <c r="B3320" s="2" t="s">
        <v>4125</v>
      </c>
      <c r="C3320" s="2" t="s">
        <v>352</v>
      </c>
      <c r="D3320" s="2" t="s">
        <v>353</v>
      </c>
      <c r="E3320" s="2" t="s">
        <v>341</v>
      </c>
      <c r="F3320" s="2" t="s">
        <v>535</v>
      </c>
      <c r="G3320" s="2" t="s">
        <v>505</v>
      </c>
      <c r="H3320" s="2" t="s">
        <v>506</v>
      </c>
      <c r="I3320" s="26">
        <v>45500</v>
      </c>
      <c r="J3320" s="2">
        <v>27</v>
      </c>
      <c r="K3320" s="2" t="s">
        <v>123</v>
      </c>
      <c r="L3320" s="22">
        <v>3850</v>
      </c>
      <c r="M3320" s="22">
        <v>103950</v>
      </c>
      <c r="N3320" s="18">
        <v>111.18</v>
      </c>
      <c r="O3320" s="26">
        <v>45800</v>
      </c>
      <c r="P3320" s="2" t="s">
        <v>2105</v>
      </c>
      <c r="Q3320" s="2" t="s">
        <v>806</v>
      </c>
    </row>
    <row r="3321" spans="2:17" x14ac:dyDescent="0.25">
      <c r="B3321" s="2" t="s">
        <v>4126</v>
      </c>
      <c r="C3321" s="2" t="s">
        <v>352</v>
      </c>
      <c r="D3321" s="2" t="s">
        <v>353</v>
      </c>
      <c r="E3321" s="2" t="s">
        <v>341</v>
      </c>
      <c r="F3321" s="2" t="s">
        <v>535</v>
      </c>
      <c r="G3321" s="2" t="s">
        <v>505</v>
      </c>
      <c r="H3321" s="2" t="s">
        <v>506</v>
      </c>
      <c r="I3321" s="26">
        <v>45543</v>
      </c>
      <c r="J3321" s="2">
        <v>29</v>
      </c>
      <c r="K3321" s="2" t="s">
        <v>123</v>
      </c>
      <c r="L3321" s="22">
        <v>3850</v>
      </c>
      <c r="M3321" s="22">
        <v>111650</v>
      </c>
      <c r="N3321" s="18">
        <v>119.41</v>
      </c>
      <c r="O3321" s="26">
        <v>45843</v>
      </c>
      <c r="P3321" s="2" t="s">
        <v>2105</v>
      </c>
      <c r="Q3321" s="2" t="s">
        <v>814</v>
      </c>
    </row>
    <row r="3322" spans="2:17" x14ac:dyDescent="0.25">
      <c r="B3322" s="2" t="s">
        <v>4127</v>
      </c>
      <c r="C3322" s="2" t="s">
        <v>352</v>
      </c>
      <c r="D3322" s="2" t="s">
        <v>353</v>
      </c>
      <c r="E3322" s="2" t="s">
        <v>341</v>
      </c>
      <c r="F3322" s="2" t="s">
        <v>535</v>
      </c>
      <c r="G3322" s="2" t="s">
        <v>505</v>
      </c>
      <c r="H3322" s="2" t="s">
        <v>506</v>
      </c>
      <c r="I3322" s="26">
        <v>45577</v>
      </c>
      <c r="J3322" s="2">
        <v>9</v>
      </c>
      <c r="K3322" s="2" t="s">
        <v>123</v>
      </c>
      <c r="L3322" s="22">
        <v>3850</v>
      </c>
      <c r="M3322" s="22">
        <v>34650</v>
      </c>
      <c r="N3322" s="18">
        <v>37.06</v>
      </c>
      <c r="O3322" s="26">
        <v>45877</v>
      </c>
      <c r="P3322" s="2" t="s">
        <v>2105</v>
      </c>
      <c r="Q3322" s="2" t="s">
        <v>814</v>
      </c>
    </row>
    <row r="3323" spans="2:17" x14ac:dyDescent="0.25">
      <c r="B3323" s="2" t="s">
        <v>4128</v>
      </c>
      <c r="C3323" s="2" t="s">
        <v>352</v>
      </c>
      <c r="D3323" s="2" t="s">
        <v>353</v>
      </c>
      <c r="E3323" s="2" t="s">
        <v>341</v>
      </c>
      <c r="F3323" s="2" t="s">
        <v>535</v>
      </c>
      <c r="G3323" s="2" t="s">
        <v>505</v>
      </c>
      <c r="H3323" s="2" t="s">
        <v>506</v>
      </c>
      <c r="I3323" s="26">
        <v>45616</v>
      </c>
      <c r="J3323" s="2">
        <v>9</v>
      </c>
      <c r="K3323" s="2" t="s">
        <v>123</v>
      </c>
      <c r="L3323" s="22">
        <v>3850</v>
      </c>
      <c r="M3323" s="22">
        <v>34650</v>
      </c>
      <c r="N3323" s="18">
        <v>37.06</v>
      </c>
      <c r="O3323" s="26">
        <v>45916</v>
      </c>
      <c r="P3323" s="2" t="s">
        <v>2105</v>
      </c>
      <c r="Q3323" s="2" t="s">
        <v>814</v>
      </c>
    </row>
    <row r="3324" spans="2:17" x14ac:dyDescent="0.25">
      <c r="B3324" s="2" t="s">
        <v>4129</v>
      </c>
      <c r="C3324" s="2" t="s">
        <v>352</v>
      </c>
      <c r="D3324" s="2" t="s">
        <v>353</v>
      </c>
      <c r="E3324" s="2" t="s">
        <v>341</v>
      </c>
      <c r="F3324" s="2" t="s">
        <v>537</v>
      </c>
      <c r="G3324" s="2" t="s">
        <v>510</v>
      </c>
      <c r="H3324" s="2" t="s">
        <v>511</v>
      </c>
      <c r="I3324" s="26">
        <v>45656</v>
      </c>
      <c r="J3324" s="2">
        <v>13</v>
      </c>
      <c r="K3324" s="2" t="s">
        <v>123</v>
      </c>
      <c r="L3324" s="22">
        <v>4200</v>
      </c>
      <c r="M3324" s="22">
        <v>54600</v>
      </c>
      <c r="N3324" s="18">
        <v>58.4</v>
      </c>
      <c r="O3324" s="26">
        <v>45956</v>
      </c>
      <c r="P3324" s="2" t="s">
        <v>2105</v>
      </c>
      <c r="Q3324" s="2" t="s">
        <v>825</v>
      </c>
    </row>
    <row r="3325" spans="2:17" x14ac:dyDescent="0.25">
      <c r="B3325" s="2" t="s">
        <v>4130</v>
      </c>
      <c r="C3325" s="2" t="s">
        <v>352</v>
      </c>
      <c r="D3325" s="2" t="s">
        <v>353</v>
      </c>
      <c r="E3325" s="2" t="s">
        <v>341</v>
      </c>
      <c r="F3325" s="2" t="s">
        <v>535</v>
      </c>
      <c r="G3325" s="2" t="s">
        <v>505</v>
      </c>
      <c r="H3325" s="2" t="s">
        <v>506</v>
      </c>
      <c r="I3325" s="26">
        <v>45689</v>
      </c>
      <c r="J3325" s="2">
        <v>11</v>
      </c>
      <c r="K3325" s="2" t="s">
        <v>123</v>
      </c>
      <c r="L3325" s="22">
        <v>3850</v>
      </c>
      <c r="M3325" s="22">
        <v>42350</v>
      </c>
      <c r="N3325" s="18">
        <v>45.29</v>
      </c>
      <c r="O3325" s="26">
        <v>45989</v>
      </c>
      <c r="P3325" s="2" t="s">
        <v>2105</v>
      </c>
      <c r="Q3325" s="2" t="s">
        <v>825</v>
      </c>
    </row>
    <row r="3326" spans="2:17" x14ac:dyDescent="0.25">
      <c r="B3326" s="2" t="s">
        <v>4131</v>
      </c>
      <c r="C3326" s="2" t="s">
        <v>352</v>
      </c>
      <c r="D3326" s="2" t="s">
        <v>353</v>
      </c>
      <c r="E3326" s="2" t="s">
        <v>341</v>
      </c>
      <c r="F3326" s="2" t="s">
        <v>535</v>
      </c>
      <c r="G3326" s="2" t="s">
        <v>505</v>
      </c>
      <c r="H3326" s="2" t="s">
        <v>506</v>
      </c>
      <c r="I3326" s="26">
        <v>45719</v>
      </c>
      <c r="J3326" s="2">
        <v>9</v>
      </c>
      <c r="K3326" s="2" t="s">
        <v>123</v>
      </c>
      <c r="L3326" s="22">
        <v>3850</v>
      </c>
      <c r="M3326" s="22">
        <v>34650</v>
      </c>
      <c r="N3326" s="18">
        <v>37.06</v>
      </c>
      <c r="O3326" s="26">
        <v>46019</v>
      </c>
      <c r="P3326" s="2" t="s">
        <v>2105</v>
      </c>
      <c r="Q3326" s="2" t="s">
        <v>836</v>
      </c>
    </row>
    <row r="3327" spans="2:17" x14ac:dyDescent="0.25">
      <c r="B3327" s="2" t="s">
        <v>4132</v>
      </c>
      <c r="C3327" s="2" t="s">
        <v>352</v>
      </c>
      <c r="D3327" s="2" t="s">
        <v>353</v>
      </c>
      <c r="E3327" s="2" t="s">
        <v>341</v>
      </c>
      <c r="F3327" s="2" t="s">
        <v>535</v>
      </c>
      <c r="G3327" s="2" t="s">
        <v>505</v>
      </c>
      <c r="H3327" s="2" t="s">
        <v>506</v>
      </c>
      <c r="I3327" s="26">
        <v>45758</v>
      </c>
      <c r="J3327" s="2">
        <v>27</v>
      </c>
      <c r="K3327" s="2" t="s">
        <v>123</v>
      </c>
      <c r="L3327" s="22">
        <v>3850</v>
      </c>
      <c r="M3327" s="22">
        <v>103950</v>
      </c>
      <c r="N3327" s="18">
        <v>111.18</v>
      </c>
      <c r="O3327" s="26">
        <v>46058</v>
      </c>
      <c r="P3327" s="2" t="s">
        <v>2105</v>
      </c>
      <c r="Q3327" s="2" t="s">
        <v>836</v>
      </c>
    </row>
    <row r="3328" spans="2:17" x14ac:dyDescent="0.25">
      <c r="B3328" s="2" t="s">
        <v>4133</v>
      </c>
      <c r="C3328" s="2" t="s">
        <v>352</v>
      </c>
      <c r="D3328" s="2" t="s">
        <v>353</v>
      </c>
      <c r="E3328" s="2" t="s">
        <v>341</v>
      </c>
      <c r="F3328" s="2" t="s">
        <v>537</v>
      </c>
      <c r="G3328" s="2" t="s">
        <v>510</v>
      </c>
      <c r="H3328" s="2" t="s">
        <v>511</v>
      </c>
      <c r="I3328" s="26">
        <v>45783</v>
      </c>
      <c r="J3328" s="2">
        <v>28</v>
      </c>
      <c r="K3328" s="2" t="s">
        <v>123</v>
      </c>
      <c r="L3328" s="22">
        <v>4200</v>
      </c>
      <c r="M3328" s="22">
        <v>117600</v>
      </c>
      <c r="N3328" s="18">
        <v>125.78</v>
      </c>
      <c r="O3328" s="26">
        <v>46083</v>
      </c>
      <c r="P3328" s="2" t="s">
        <v>2105</v>
      </c>
      <c r="Q3328" s="2" t="s">
        <v>836</v>
      </c>
    </row>
    <row r="3329" spans="2:17" x14ac:dyDescent="0.25">
      <c r="B3329" s="2" t="s">
        <v>4134</v>
      </c>
      <c r="C3329" s="2" t="s">
        <v>352</v>
      </c>
      <c r="D3329" s="2" t="s">
        <v>353</v>
      </c>
      <c r="E3329" s="2" t="s">
        <v>341</v>
      </c>
      <c r="F3329" s="2" t="s">
        <v>537</v>
      </c>
      <c r="G3329" s="2" t="s">
        <v>510</v>
      </c>
      <c r="H3329" s="2" t="s">
        <v>511</v>
      </c>
      <c r="I3329" s="26">
        <v>45815</v>
      </c>
      <c r="J3329" s="2">
        <v>25</v>
      </c>
      <c r="K3329" s="2" t="s">
        <v>123</v>
      </c>
      <c r="L3329" s="22">
        <v>4200</v>
      </c>
      <c r="M3329" s="22">
        <v>105000</v>
      </c>
      <c r="N3329" s="18">
        <v>112.3</v>
      </c>
      <c r="O3329" s="26">
        <v>46115</v>
      </c>
      <c r="P3329" s="2" t="s">
        <v>2105</v>
      </c>
      <c r="Q3329" s="2" t="s">
        <v>806</v>
      </c>
    </row>
    <row r="3330" spans="2:17" x14ac:dyDescent="0.25">
      <c r="B3330" s="2" t="s">
        <v>4135</v>
      </c>
      <c r="C3330" s="2" t="s">
        <v>354</v>
      </c>
      <c r="D3330" s="2" t="s">
        <v>355</v>
      </c>
      <c r="E3330" s="2" t="s">
        <v>341</v>
      </c>
      <c r="F3330" s="2" t="s">
        <v>535</v>
      </c>
      <c r="G3330" s="2" t="s">
        <v>505</v>
      </c>
      <c r="H3330" s="2" t="s">
        <v>506</v>
      </c>
      <c r="I3330" s="26">
        <v>45113</v>
      </c>
      <c r="J3330" s="2">
        <v>26</v>
      </c>
      <c r="K3330" s="2" t="s">
        <v>123</v>
      </c>
      <c r="L3330" s="22">
        <v>4550</v>
      </c>
      <c r="M3330" s="22">
        <v>118300</v>
      </c>
      <c r="N3330" s="18">
        <v>126.52</v>
      </c>
      <c r="O3330" s="26">
        <v>45413</v>
      </c>
      <c r="P3330" s="2" t="s">
        <v>2105</v>
      </c>
      <c r="Q3330" s="2" t="s">
        <v>806</v>
      </c>
    </row>
    <row r="3331" spans="2:17" x14ac:dyDescent="0.25">
      <c r="B3331" s="2" t="s">
        <v>4136</v>
      </c>
      <c r="C3331" s="2" t="s">
        <v>354</v>
      </c>
      <c r="D3331" s="2" t="s">
        <v>355</v>
      </c>
      <c r="E3331" s="2" t="s">
        <v>341</v>
      </c>
      <c r="F3331" s="2" t="s">
        <v>535</v>
      </c>
      <c r="G3331" s="2" t="s">
        <v>505</v>
      </c>
      <c r="H3331" s="2" t="s">
        <v>506</v>
      </c>
      <c r="I3331" s="26">
        <v>45141</v>
      </c>
      <c r="J3331" s="2">
        <v>25</v>
      </c>
      <c r="K3331" s="2" t="s">
        <v>123</v>
      </c>
      <c r="L3331" s="22">
        <v>4550</v>
      </c>
      <c r="M3331" s="22">
        <v>113750</v>
      </c>
      <c r="N3331" s="18">
        <v>121.66</v>
      </c>
      <c r="O3331" s="26">
        <v>45441</v>
      </c>
      <c r="P3331" s="2" t="s">
        <v>2105</v>
      </c>
      <c r="Q3331" s="2" t="s">
        <v>806</v>
      </c>
    </row>
    <row r="3332" spans="2:17" x14ac:dyDescent="0.25">
      <c r="B3332" s="2" t="s">
        <v>4137</v>
      </c>
      <c r="C3332" s="2" t="s">
        <v>354</v>
      </c>
      <c r="D3332" s="2" t="s">
        <v>355</v>
      </c>
      <c r="E3332" s="2" t="s">
        <v>341</v>
      </c>
      <c r="F3332" s="2" t="s">
        <v>535</v>
      </c>
      <c r="G3332" s="2" t="s">
        <v>505</v>
      </c>
      <c r="H3332" s="2" t="s">
        <v>506</v>
      </c>
      <c r="I3332" s="26">
        <v>45173</v>
      </c>
      <c r="J3332" s="2">
        <v>31</v>
      </c>
      <c r="K3332" s="2" t="s">
        <v>123</v>
      </c>
      <c r="L3332" s="22">
        <v>4550</v>
      </c>
      <c r="M3332" s="22">
        <v>141050</v>
      </c>
      <c r="N3332" s="18">
        <v>150.86000000000001</v>
      </c>
      <c r="O3332" s="26">
        <v>45473</v>
      </c>
      <c r="P3332" s="2" t="s">
        <v>2105</v>
      </c>
      <c r="Q3332" s="2" t="s">
        <v>814</v>
      </c>
    </row>
    <row r="3333" spans="2:17" x14ac:dyDescent="0.25">
      <c r="B3333" s="2" t="s">
        <v>4138</v>
      </c>
      <c r="C3333" s="2" t="s">
        <v>354</v>
      </c>
      <c r="D3333" s="2" t="s">
        <v>355</v>
      </c>
      <c r="E3333" s="2" t="s">
        <v>341</v>
      </c>
      <c r="F3333" s="2" t="s">
        <v>535</v>
      </c>
      <c r="G3333" s="2" t="s">
        <v>505</v>
      </c>
      <c r="H3333" s="2" t="s">
        <v>506</v>
      </c>
      <c r="I3333" s="26">
        <v>45204</v>
      </c>
      <c r="J3333" s="2">
        <v>9</v>
      </c>
      <c r="K3333" s="2" t="s">
        <v>123</v>
      </c>
      <c r="L3333" s="22">
        <v>4550</v>
      </c>
      <c r="M3333" s="22">
        <v>40950</v>
      </c>
      <c r="N3333" s="18">
        <v>43.8</v>
      </c>
      <c r="O3333" s="26">
        <v>45504</v>
      </c>
      <c r="P3333" s="2" t="s">
        <v>2105</v>
      </c>
      <c r="Q3333" s="2" t="s">
        <v>814</v>
      </c>
    </row>
    <row r="3334" spans="2:17" x14ac:dyDescent="0.25">
      <c r="B3334" s="2" t="s">
        <v>4139</v>
      </c>
      <c r="C3334" s="2" t="s">
        <v>354</v>
      </c>
      <c r="D3334" s="2" t="s">
        <v>355</v>
      </c>
      <c r="E3334" s="2" t="s">
        <v>341</v>
      </c>
      <c r="F3334" s="2" t="s">
        <v>535</v>
      </c>
      <c r="G3334" s="2" t="s">
        <v>505</v>
      </c>
      <c r="H3334" s="2" t="s">
        <v>506</v>
      </c>
      <c r="I3334" s="26">
        <v>45239</v>
      </c>
      <c r="J3334" s="2">
        <v>10</v>
      </c>
      <c r="K3334" s="2" t="s">
        <v>123</v>
      </c>
      <c r="L3334" s="22">
        <v>4550</v>
      </c>
      <c r="M3334" s="22">
        <v>45500</v>
      </c>
      <c r="N3334" s="18">
        <v>48.66</v>
      </c>
      <c r="O3334" s="26">
        <v>45539</v>
      </c>
      <c r="P3334" s="2" t="s">
        <v>2105</v>
      </c>
      <c r="Q3334" s="2" t="s">
        <v>814</v>
      </c>
    </row>
    <row r="3335" spans="2:17" x14ac:dyDescent="0.25">
      <c r="B3335" s="2" t="s">
        <v>4140</v>
      </c>
      <c r="C3335" s="2" t="s">
        <v>354</v>
      </c>
      <c r="D3335" s="2" t="s">
        <v>355</v>
      </c>
      <c r="E3335" s="2" t="s">
        <v>341</v>
      </c>
      <c r="F3335" s="2" t="s">
        <v>537</v>
      </c>
      <c r="G3335" s="2" t="s">
        <v>510</v>
      </c>
      <c r="H3335" s="2" t="s">
        <v>511</v>
      </c>
      <c r="I3335" s="26">
        <v>45268</v>
      </c>
      <c r="J3335" s="2">
        <v>10</v>
      </c>
      <c r="K3335" s="2" t="s">
        <v>123</v>
      </c>
      <c r="L3335" s="22">
        <v>4950</v>
      </c>
      <c r="M3335" s="22">
        <v>49500</v>
      </c>
      <c r="N3335" s="18">
        <v>52.94</v>
      </c>
      <c r="O3335" s="26">
        <v>45568</v>
      </c>
      <c r="P3335" s="2" t="s">
        <v>2105</v>
      </c>
      <c r="Q3335" s="2" t="s">
        <v>825</v>
      </c>
    </row>
    <row r="3336" spans="2:17" x14ac:dyDescent="0.25">
      <c r="B3336" s="2" t="s">
        <v>4141</v>
      </c>
      <c r="C3336" s="2" t="s">
        <v>354</v>
      </c>
      <c r="D3336" s="2" t="s">
        <v>355</v>
      </c>
      <c r="E3336" s="2" t="s">
        <v>341</v>
      </c>
      <c r="F3336" s="2" t="s">
        <v>535</v>
      </c>
      <c r="G3336" s="2" t="s">
        <v>505</v>
      </c>
      <c r="H3336" s="2" t="s">
        <v>506</v>
      </c>
      <c r="I3336" s="26">
        <v>45292</v>
      </c>
      <c r="J3336" s="2">
        <v>8</v>
      </c>
      <c r="K3336" s="2" t="s">
        <v>123</v>
      </c>
      <c r="L3336" s="22">
        <v>4550</v>
      </c>
      <c r="M3336" s="22">
        <v>36400</v>
      </c>
      <c r="N3336" s="18">
        <v>38.93</v>
      </c>
      <c r="O3336" s="26">
        <v>45592</v>
      </c>
      <c r="P3336" s="2" t="s">
        <v>2105</v>
      </c>
      <c r="Q3336" s="2" t="s">
        <v>825</v>
      </c>
    </row>
    <row r="3337" spans="2:17" x14ac:dyDescent="0.25">
      <c r="B3337" s="2" t="s">
        <v>4142</v>
      </c>
      <c r="C3337" s="2" t="s">
        <v>354</v>
      </c>
      <c r="D3337" s="2" t="s">
        <v>355</v>
      </c>
      <c r="E3337" s="2" t="s">
        <v>341</v>
      </c>
      <c r="F3337" s="2" t="s">
        <v>535</v>
      </c>
      <c r="G3337" s="2" t="s">
        <v>505</v>
      </c>
      <c r="H3337" s="2" t="s">
        <v>506</v>
      </c>
      <c r="I3337" s="26">
        <v>45330</v>
      </c>
      <c r="J3337" s="2">
        <v>8</v>
      </c>
      <c r="K3337" s="2" t="s">
        <v>123</v>
      </c>
      <c r="L3337" s="22">
        <v>4550</v>
      </c>
      <c r="M3337" s="22">
        <v>36400</v>
      </c>
      <c r="N3337" s="18">
        <v>38.93</v>
      </c>
      <c r="O3337" s="26">
        <v>45630</v>
      </c>
      <c r="P3337" s="2" t="s">
        <v>2105</v>
      </c>
      <c r="Q3337" s="2" t="s">
        <v>825</v>
      </c>
    </row>
    <row r="3338" spans="2:17" x14ac:dyDescent="0.25">
      <c r="B3338" s="2" t="s">
        <v>4143</v>
      </c>
      <c r="C3338" s="2" t="s">
        <v>354</v>
      </c>
      <c r="D3338" s="2" t="s">
        <v>355</v>
      </c>
      <c r="E3338" s="2" t="s">
        <v>341</v>
      </c>
      <c r="F3338" s="2" t="s">
        <v>535</v>
      </c>
      <c r="G3338" s="2" t="s">
        <v>505</v>
      </c>
      <c r="H3338" s="2" t="s">
        <v>506</v>
      </c>
      <c r="I3338" s="26">
        <v>45360</v>
      </c>
      <c r="J3338" s="2">
        <v>10</v>
      </c>
      <c r="K3338" s="2" t="s">
        <v>123</v>
      </c>
      <c r="L3338" s="22">
        <v>4550</v>
      </c>
      <c r="M3338" s="22">
        <v>45500</v>
      </c>
      <c r="N3338" s="18">
        <v>48.66</v>
      </c>
      <c r="O3338" s="26">
        <v>45660</v>
      </c>
      <c r="P3338" s="2" t="s">
        <v>2105</v>
      </c>
      <c r="Q3338" s="2" t="s">
        <v>836</v>
      </c>
    </row>
    <row r="3339" spans="2:17" x14ac:dyDescent="0.25">
      <c r="B3339" s="2" t="s">
        <v>4144</v>
      </c>
      <c r="C3339" s="2" t="s">
        <v>354</v>
      </c>
      <c r="D3339" s="2" t="s">
        <v>355</v>
      </c>
      <c r="E3339" s="2" t="s">
        <v>341</v>
      </c>
      <c r="F3339" s="2" t="s">
        <v>535</v>
      </c>
      <c r="G3339" s="2" t="s">
        <v>505</v>
      </c>
      <c r="H3339" s="2" t="s">
        <v>506</v>
      </c>
      <c r="I3339" s="26">
        <v>45397</v>
      </c>
      <c r="J3339" s="2">
        <v>27</v>
      </c>
      <c r="K3339" s="2" t="s">
        <v>123</v>
      </c>
      <c r="L3339" s="22">
        <v>4550</v>
      </c>
      <c r="M3339" s="22">
        <v>122850</v>
      </c>
      <c r="N3339" s="18">
        <v>131.38999999999999</v>
      </c>
      <c r="O3339" s="26">
        <v>45697</v>
      </c>
      <c r="P3339" s="2" t="s">
        <v>2105</v>
      </c>
      <c r="Q3339" s="2" t="s">
        <v>836</v>
      </c>
    </row>
    <row r="3340" spans="2:17" x14ac:dyDescent="0.25">
      <c r="B3340" s="2" t="s">
        <v>4145</v>
      </c>
      <c r="C3340" s="2" t="s">
        <v>354</v>
      </c>
      <c r="D3340" s="2" t="s">
        <v>355</v>
      </c>
      <c r="E3340" s="2" t="s">
        <v>341</v>
      </c>
      <c r="F3340" s="2" t="s">
        <v>535</v>
      </c>
      <c r="G3340" s="2" t="s">
        <v>505</v>
      </c>
      <c r="H3340" s="2" t="s">
        <v>506</v>
      </c>
      <c r="I3340" s="26">
        <v>45437</v>
      </c>
      <c r="J3340" s="2">
        <v>27</v>
      </c>
      <c r="K3340" s="2" t="s">
        <v>123</v>
      </c>
      <c r="L3340" s="22">
        <v>4550</v>
      </c>
      <c r="M3340" s="22">
        <v>122850</v>
      </c>
      <c r="N3340" s="18">
        <v>131.38999999999999</v>
      </c>
      <c r="O3340" s="26">
        <v>45737</v>
      </c>
      <c r="P3340" s="2" t="s">
        <v>2105</v>
      </c>
      <c r="Q3340" s="2" t="s">
        <v>836</v>
      </c>
    </row>
    <row r="3341" spans="2:17" x14ac:dyDescent="0.25">
      <c r="B3341" s="2" t="s">
        <v>4146</v>
      </c>
      <c r="C3341" s="2" t="s">
        <v>354</v>
      </c>
      <c r="D3341" s="2" t="s">
        <v>355</v>
      </c>
      <c r="E3341" s="2" t="s">
        <v>341</v>
      </c>
      <c r="F3341" s="2" t="s">
        <v>535</v>
      </c>
      <c r="G3341" s="2" t="s">
        <v>505</v>
      </c>
      <c r="H3341" s="2" t="s">
        <v>506</v>
      </c>
      <c r="I3341" s="26">
        <v>45476</v>
      </c>
      <c r="J3341" s="2">
        <v>24</v>
      </c>
      <c r="K3341" s="2" t="s">
        <v>123</v>
      </c>
      <c r="L3341" s="22">
        <v>4550</v>
      </c>
      <c r="M3341" s="22">
        <v>109200</v>
      </c>
      <c r="N3341" s="18">
        <v>116.79</v>
      </c>
      <c r="O3341" s="26">
        <v>45776</v>
      </c>
      <c r="P3341" s="2" t="s">
        <v>2105</v>
      </c>
      <c r="Q3341" s="2" t="s">
        <v>806</v>
      </c>
    </row>
    <row r="3342" spans="2:17" x14ac:dyDescent="0.25">
      <c r="B3342" s="2" t="s">
        <v>4147</v>
      </c>
      <c r="C3342" s="2" t="s">
        <v>354</v>
      </c>
      <c r="D3342" s="2" t="s">
        <v>355</v>
      </c>
      <c r="E3342" s="2" t="s">
        <v>341</v>
      </c>
      <c r="F3342" s="2" t="s">
        <v>535</v>
      </c>
      <c r="G3342" s="2" t="s">
        <v>505</v>
      </c>
      <c r="H3342" s="2" t="s">
        <v>506</v>
      </c>
      <c r="I3342" s="26">
        <v>45513</v>
      </c>
      <c r="J3342" s="2">
        <v>22</v>
      </c>
      <c r="K3342" s="2" t="s">
        <v>123</v>
      </c>
      <c r="L3342" s="22">
        <v>4550</v>
      </c>
      <c r="M3342" s="22">
        <v>100100</v>
      </c>
      <c r="N3342" s="18">
        <v>107.06</v>
      </c>
      <c r="O3342" s="26">
        <v>45813</v>
      </c>
      <c r="P3342" s="2" t="s">
        <v>2105</v>
      </c>
      <c r="Q3342" s="2" t="s">
        <v>806</v>
      </c>
    </row>
    <row r="3343" spans="2:17" x14ac:dyDescent="0.25">
      <c r="B3343" s="2" t="s">
        <v>4148</v>
      </c>
      <c r="C3343" s="2" t="s">
        <v>354</v>
      </c>
      <c r="D3343" s="2" t="s">
        <v>355</v>
      </c>
      <c r="E3343" s="2" t="s">
        <v>341</v>
      </c>
      <c r="F3343" s="2" t="s">
        <v>537</v>
      </c>
      <c r="G3343" s="2" t="s">
        <v>510</v>
      </c>
      <c r="H3343" s="2" t="s">
        <v>511</v>
      </c>
      <c r="I3343" s="26">
        <v>45542</v>
      </c>
      <c r="J3343" s="2">
        <v>26</v>
      </c>
      <c r="K3343" s="2" t="s">
        <v>123</v>
      </c>
      <c r="L3343" s="22">
        <v>4950</v>
      </c>
      <c r="M3343" s="22">
        <v>128700</v>
      </c>
      <c r="N3343" s="18">
        <v>137.65</v>
      </c>
      <c r="O3343" s="26">
        <v>45842</v>
      </c>
      <c r="P3343" s="2" t="s">
        <v>2105</v>
      </c>
      <c r="Q3343" s="2" t="s">
        <v>814</v>
      </c>
    </row>
    <row r="3344" spans="2:17" x14ac:dyDescent="0.25">
      <c r="B3344" s="2" t="s">
        <v>4149</v>
      </c>
      <c r="C3344" s="2" t="s">
        <v>354</v>
      </c>
      <c r="D3344" s="2" t="s">
        <v>355</v>
      </c>
      <c r="E3344" s="2" t="s">
        <v>341</v>
      </c>
      <c r="F3344" s="2" t="s">
        <v>535</v>
      </c>
      <c r="G3344" s="2" t="s">
        <v>505</v>
      </c>
      <c r="H3344" s="2" t="s">
        <v>506</v>
      </c>
      <c r="I3344" s="26">
        <v>45575</v>
      </c>
      <c r="J3344" s="2">
        <v>9</v>
      </c>
      <c r="K3344" s="2" t="s">
        <v>123</v>
      </c>
      <c r="L3344" s="22">
        <v>4550</v>
      </c>
      <c r="M3344" s="22">
        <v>40950</v>
      </c>
      <c r="N3344" s="18">
        <v>43.8</v>
      </c>
      <c r="O3344" s="26">
        <v>45875</v>
      </c>
      <c r="P3344" s="2" t="s">
        <v>2105</v>
      </c>
      <c r="Q3344" s="2" t="s">
        <v>814</v>
      </c>
    </row>
    <row r="3345" spans="2:17" x14ac:dyDescent="0.25">
      <c r="B3345" s="2" t="s">
        <v>4150</v>
      </c>
      <c r="C3345" s="2" t="s">
        <v>354</v>
      </c>
      <c r="D3345" s="2" t="s">
        <v>355</v>
      </c>
      <c r="E3345" s="2" t="s">
        <v>341</v>
      </c>
      <c r="F3345" s="2" t="s">
        <v>535</v>
      </c>
      <c r="G3345" s="2" t="s">
        <v>505</v>
      </c>
      <c r="H3345" s="2" t="s">
        <v>506</v>
      </c>
      <c r="I3345" s="26">
        <v>45617</v>
      </c>
      <c r="J3345" s="2">
        <v>10</v>
      </c>
      <c r="K3345" s="2" t="s">
        <v>123</v>
      </c>
      <c r="L3345" s="22">
        <v>4550</v>
      </c>
      <c r="M3345" s="22">
        <v>45500</v>
      </c>
      <c r="N3345" s="18">
        <v>48.66</v>
      </c>
      <c r="O3345" s="26">
        <v>45917</v>
      </c>
      <c r="P3345" s="2" t="s">
        <v>2105</v>
      </c>
      <c r="Q3345" s="2" t="s">
        <v>814</v>
      </c>
    </row>
    <row r="3346" spans="2:17" x14ac:dyDescent="0.25">
      <c r="B3346" s="2" t="s">
        <v>4151</v>
      </c>
      <c r="C3346" s="2" t="s">
        <v>354</v>
      </c>
      <c r="D3346" s="2" t="s">
        <v>355</v>
      </c>
      <c r="E3346" s="2" t="s">
        <v>341</v>
      </c>
      <c r="F3346" s="2" t="s">
        <v>535</v>
      </c>
      <c r="G3346" s="2" t="s">
        <v>505</v>
      </c>
      <c r="H3346" s="2" t="s">
        <v>506</v>
      </c>
      <c r="I3346" s="26">
        <v>45647</v>
      </c>
      <c r="J3346" s="2">
        <v>12</v>
      </c>
      <c r="K3346" s="2" t="s">
        <v>123</v>
      </c>
      <c r="L3346" s="22">
        <v>4550</v>
      </c>
      <c r="M3346" s="22">
        <v>54600</v>
      </c>
      <c r="N3346" s="18">
        <v>58.4</v>
      </c>
      <c r="O3346" s="26">
        <v>45947</v>
      </c>
      <c r="P3346" s="2" t="s">
        <v>2105</v>
      </c>
      <c r="Q3346" s="2" t="s">
        <v>825</v>
      </c>
    </row>
    <row r="3347" spans="2:17" x14ac:dyDescent="0.25">
      <c r="B3347" s="2" t="s">
        <v>4152</v>
      </c>
      <c r="C3347" s="2" t="s">
        <v>354</v>
      </c>
      <c r="D3347" s="2" t="s">
        <v>355</v>
      </c>
      <c r="E3347" s="2" t="s">
        <v>341</v>
      </c>
      <c r="F3347" s="2" t="s">
        <v>535</v>
      </c>
      <c r="G3347" s="2" t="s">
        <v>505</v>
      </c>
      <c r="H3347" s="2" t="s">
        <v>506</v>
      </c>
      <c r="I3347" s="26">
        <v>45684</v>
      </c>
      <c r="J3347" s="2">
        <v>10</v>
      </c>
      <c r="K3347" s="2" t="s">
        <v>123</v>
      </c>
      <c r="L3347" s="22">
        <v>4550</v>
      </c>
      <c r="M3347" s="22">
        <v>45500</v>
      </c>
      <c r="N3347" s="18">
        <v>48.66</v>
      </c>
      <c r="O3347" s="26">
        <v>45984</v>
      </c>
      <c r="P3347" s="2" t="s">
        <v>2105</v>
      </c>
      <c r="Q3347" s="2" t="s">
        <v>825</v>
      </c>
    </row>
    <row r="3348" spans="2:17" x14ac:dyDescent="0.25">
      <c r="B3348" s="2" t="s">
        <v>4153</v>
      </c>
      <c r="C3348" s="2" t="s">
        <v>354</v>
      </c>
      <c r="D3348" s="2" t="s">
        <v>355</v>
      </c>
      <c r="E3348" s="2" t="s">
        <v>341</v>
      </c>
      <c r="F3348" s="2" t="s">
        <v>535</v>
      </c>
      <c r="G3348" s="2" t="s">
        <v>505</v>
      </c>
      <c r="H3348" s="2" t="s">
        <v>506</v>
      </c>
      <c r="I3348" s="26">
        <v>45711</v>
      </c>
      <c r="J3348" s="2">
        <v>9</v>
      </c>
      <c r="K3348" s="2" t="s">
        <v>123</v>
      </c>
      <c r="L3348" s="22">
        <v>4550</v>
      </c>
      <c r="M3348" s="22">
        <v>40950</v>
      </c>
      <c r="N3348" s="18">
        <v>43.8</v>
      </c>
      <c r="O3348" s="26">
        <v>46011</v>
      </c>
      <c r="P3348" s="2" t="s">
        <v>2105</v>
      </c>
      <c r="Q3348" s="2" t="s">
        <v>825</v>
      </c>
    </row>
    <row r="3349" spans="2:17" x14ac:dyDescent="0.25">
      <c r="B3349" s="2" t="s">
        <v>4154</v>
      </c>
      <c r="C3349" s="2" t="s">
        <v>354</v>
      </c>
      <c r="D3349" s="2" t="s">
        <v>355</v>
      </c>
      <c r="E3349" s="2" t="s">
        <v>341</v>
      </c>
      <c r="F3349" s="2" t="s">
        <v>537</v>
      </c>
      <c r="G3349" s="2" t="s">
        <v>510</v>
      </c>
      <c r="H3349" s="2" t="s">
        <v>511</v>
      </c>
      <c r="I3349" s="26">
        <v>45738</v>
      </c>
      <c r="J3349" s="2">
        <v>10</v>
      </c>
      <c r="K3349" s="2" t="s">
        <v>123</v>
      </c>
      <c r="L3349" s="22">
        <v>4950</v>
      </c>
      <c r="M3349" s="22">
        <v>49500</v>
      </c>
      <c r="N3349" s="18">
        <v>52.94</v>
      </c>
      <c r="O3349" s="26">
        <v>46038</v>
      </c>
      <c r="P3349" s="2" t="s">
        <v>2105</v>
      </c>
      <c r="Q3349" s="2" t="s">
        <v>836</v>
      </c>
    </row>
    <row r="3350" spans="2:17" x14ac:dyDescent="0.25">
      <c r="B3350" s="2" t="s">
        <v>4155</v>
      </c>
      <c r="C3350" s="2" t="s">
        <v>354</v>
      </c>
      <c r="D3350" s="2" t="s">
        <v>355</v>
      </c>
      <c r="E3350" s="2" t="s">
        <v>341</v>
      </c>
      <c r="F3350" s="2" t="s">
        <v>535</v>
      </c>
      <c r="G3350" s="2" t="s">
        <v>505</v>
      </c>
      <c r="H3350" s="2" t="s">
        <v>506</v>
      </c>
      <c r="I3350" s="26">
        <v>45767</v>
      </c>
      <c r="J3350" s="2">
        <v>22</v>
      </c>
      <c r="K3350" s="2" t="s">
        <v>123</v>
      </c>
      <c r="L3350" s="22">
        <v>4550</v>
      </c>
      <c r="M3350" s="22">
        <v>100100</v>
      </c>
      <c r="N3350" s="18">
        <v>107.06</v>
      </c>
      <c r="O3350" s="26">
        <v>46067</v>
      </c>
      <c r="P3350" s="2" t="s">
        <v>2105</v>
      </c>
      <c r="Q3350" s="2" t="s">
        <v>836</v>
      </c>
    </row>
    <row r="3351" spans="2:17" x14ac:dyDescent="0.25">
      <c r="B3351" s="2" t="s">
        <v>4156</v>
      </c>
      <c r="C3351" s="2" t="s">
        <v>354</v>
      </c>
      <c r="D3351" s="2" t="s">
        <v>355</v>
      </c>
      <c r="E3351" s="2" t="s">
        <v>341</v>
      </c>
      <c r="F3351" s="2" t="s">
        <v>535</v>
      </c>
      <c r="G3351" s="2" t="s">
        <v>505</v>
      </c>
      <c r="H3351" s="2" t="s">
        <v>506</v>
      </c>
      <c r="I3351" s="26">
        <v>45792</v>
      </c>
      <c r="J3351" s="2">
        <v>27</v>
      </c>
      <c r="K3351" s="2" t="s">
        <v>123</v>
      </c>
      <c r="L3351" s="22">
        <v>4550</v>
      </c>
      <c r="M3351" s="22">
        <v>122850</v>
      </c>
      <c r="N3351" s="18">
        <v>131.38999999999999</v>
      </c>
      <c r="O3351" s="26">
        <v>46092</v>
      </c>
      <c r="P3351" s="2" t="s">
        <v>2105</v>
      </c>
      <c r="Q3351" s="2" t="s">
        <v>836</v>
      </c>
    </row>
    <row r="3352" spans="2:17" x14ac:dyDescent="0.25">
      <c r="B3352" s="2" t="s">
        <v>4157</v>
      </c>
      <c r="C3352" s="2" t="s">
        <v>354</v>
      </c>
      <c r="D3352" s="2" t="s">
        <v>355</v>
      </c>
      <c r="E3352" s="2" t="s">
        <v>341</v>
      </c>
      <c r="F3352" s="2" t="s">
        <v>535</v>
      </c>
      <c r="G3352" s="2" t="s">
        <v>505</v>
      </c>
      <c r="H3352" s="2" t="s">
        <v>506</v>
      </c>
      <c r="I3352" s="26">
        <v>45819</v>
      </c>
      <c r="J3352" s="2">
        <v>29</v>
      </c>
      <c r="K3352" s="2" t="s">
        <v>123</v>
      </c>
      <c r="L3352" s="22">
        <v>4550</v>
      </c>
      <c r="M3352" s="22">
        <v>131950</v>
      </c>
      <c r="N3352" s="18">
        <v>141.12</v>
      </c>
      <c r="O3352" s="26">
        <v>46119</v>
      </c>
      <c r="P3352" s="2" t="s">
        <v>2105</v>
      </c>
      <c r="Q3352" s="2" t="s">
        <v>806</v>
      </c>
    </row>
    <row r="3353" spans="2:17" x14ac:dyDescent="0.25">
      <c r="B3353" s="2" t="s">
        <v>4158</v>
      </c>
      <c r="C3353" s="2" t="s">
        <v>356</v>
      </c>
      <c r="D3353" s="2" t="s">
        <v>357</v>
      </c>
      <c r="E3353" s="2" t="s">
        <v>341</v>
      </c>
      <c r="F3353" s="2" t="s">
        <v>535</v>
      </c>
      <c r="G3353" s="2" t="s">
        <v>505</v>
      </c>
      <c r="H3353" s="2" t="s">
        <v>506</v>
      </c>
      <c r="I3353" s="26">
        <v>45114</v>
      </c>
      <c r="J3353" s="2">
        <v>21</v>
      </c>
      <c r="K3353" s="2" t="s">
        <v>123</v>
      </c>
      <c r="L3353" s="22">
        <v>6400</v>
      </c>
      <c r="M3353" s="22">
        <v>134400</v>
      </c>
      <c r="N3353" s="18">
        <v>143.74</v>
      </c>
      <c r="O3353" s="26">
        <v>45414</v>
      </c>
      <c r="P3353" s="2" t="s">
        <v>2105</v>
      </c>
      <c r="Q3353" s="2" t="s">
        <v>806</v>
      </c>
    </row>
    <row r="3354" spans="2:17" x14ac:dyDescent="0.25">
      <c r="B3354" s="2" t="s">
        <v>4159</v>
      </c>
      <c r="C3354" s="2" t="s">
        <v>356</v>
      </c>
      <c r="D3354" s="2" t="s">
        <v>357</v>
      </c>
      <c r="E3354" s="2" t="s">
        <v>341</v>
      </c>
      <c r="F3354" s="2" t="s">
        <v>535</v>
      </c>
      <c r="G3354" s="2" t="s">
        <v>505</v>
      </c>
      <c r="H3354" s="2" t="s">
        <v>506</v>
      </c>
      <c r="I3354" s="26">
        <v>45150</v>
      </c>
      <c r="J3354" s="2">
        <v>27</v>
      </c>
      <c r="K3354" s="2" t="s">
        <v>123</v>
      </c>
      <c r="L3354" s="22">
        <v>6400</v>
      </c>
      <c r="M3354" s="22">
        <v>172800</v>
      </c>
      <c r="N3354" s="18">
        <v>184.81</v>
      </c>
      <c r="O3354" s="26">
        <v>45450</v>
      </c>
      <c r="P3354" s="2" t="s">
        <v>2105</v>
      </c>
      <c r="Q3354" s="2" t="s">
        <v>806</v>
      </c>
    </row>
    <row r="3355" spans="2:17" x14ac:dyDescent="0.25">
      <c r="B3355" s="2" t="s">
        <v>4160</v>
      </c>
      <c r="C3355" s="2" t="s">
        <v>356</v>
      </c>
      <c r="D3355" s="2" t="s">
        <v>357</v>
      </c>
      <c r="E3355" s="2" t="s">
        <v>341</v>
      </c>
      <c r="F3355" s="2" t="s">
        <v>535</v>
      </c>
      <c r="G3355" s="2" t="s">
        <v>505</v>
      </c>
      <c r="H3355" s="2" t="s">
        <v>506</v>
      </c>
      <c r="I3355" s="26">
        <v>45182</v>
      </c>
      <c r="J3355" s="2">
        <v>32</v>
      </c>
      <c r="K3355" s="2" t="s">
        <v>123</v>
      </c>
      <c r="L3355" s="22">
        <v>6400</v>
      </c>
      <c r="M3355" s="22">
        <v>204800</v>
      </c>
      <c r="N3355" s="18">
        <v>219.04</v>
      </c>
      <c r="O3355" s="26">
        <v>45482</v>
      </c>
      <c r="P3355" s="2" t="s">
        <v>2105</v>
      </c>
      <c r="Q3355" s="2" t="s">
        <v>814</v>
      </c>
    </row>
    <row r="3356" spans="2:17" x14ac:dyDescent="0.25">
      <c r="B3356" s="2" t="s">
        <v>4161</v>
      </c>
      <c r="C3356" s="2" t="s">
        <v>356</v>
      </c>
      <c r="D3356" s="2" t="s">
        <v>357</v>
      </c>
      <c r="E3356" s="2" t="s">
        <v>341</v>
      </c>
      <c r="F3356" s="2" t="s">
        <v>537</v>
      </c>
      <c r="G3356" s="2" t="s">
        <v>510</v>
      </c>
      <c r="H3356" s="2" t="s">
        <v>511</v>
      </c>
      <c r="I3356" s="26">
        <v>45213</v>
      </c>
      <c r="J3356" s="2">
        <v>10</v>
      </c>
      <c r="K3356" s="2" t="s">
        <v>123</v>
      </c>
      <c r="L3356" s="22">
        <v>6600</v>
      </c>
      <c r="M3356" s="22">
        <v>66000</v>
      </c>
      <c r="N3356" s="18">
        <v>70.59</v>
      </c>
      <c r="O3356" s="26">
        <v>45513</v>
      </c>
      <c r="P3356" s="2" t="s">
        <v>2105</v>
      </c>
      <c r="Q3356" s="2" t="s">
        <v>814</v>
      </c>
    </row>
    <row r="3357" spans="2:17" x14ac:dyDescent="0.25">
      <c r="B3357" s="2" t="s">
        <v>4162</v>
      </c>
      <c r="C3357" s="2" t="s">
        <v>356</v>
      </c>
      <c r="D3357" s="2" t="s">
        <v>357</v>
      </c>
      <c r="E3357" s="2" t="s">
        <v>341</v>
      </c>
      <c r="F3357" s="2" t="s">
        <v>535</v>
      </c>
      <c r="G3357" s="2" t="s">
        <v>505</v>
      </c>
      <c r="H3357" s="2" t="s">
        <v>506</v>
      </c>
      <c r="I3357" s="26">
        <v>45245</v>
      </c>
      <c r="J3357" s="2">
        <v>10</v>
      </c>
      <c r="K3357" s="2" t="s">
        <v>123</v>
      </c>
      <c r="L3357" s="22">
        <v>6400</v>
      </c>
      <c r="M3357" s="22">
        <v>64000</v>
      </c>
      <c r="N3357" s="18">
        <v>68.45</v>
      </c>
      <c r="O3357" s="26">
        <v>45545</v>
      </c>
      <c r="P3357" s="2" t="s">
        <v>2105</v>
      </c>
      <c r="Q3357" s="2" t="s">
        <v>814</v>
      </c>
    </row>
    <row r="3358" spans="2:17" x14ac:dyDescent="0.25">
      <c r="B3358" s="2" t="s">
        <v>4163</v>
      </c>
      <c r="C3358" s="2" t="s">
        <v>356</v>
      </c>
      <c r="D3358" s="2" t="s">
        <v>357</v>
      </c>
      <c r="E3358" s="2" t="s">
        <v>341</v>
      </c>
      <c r="F3358" s="2" t="s">
        <v>535</v>
      </c>
      <c r="G3358" s="2" t="s">
        <v>505</v>
      </c>
      <c r="H3358" s="2" t="s">
        <v>506</v>
      </c>
      <c r="I3358" s="26">
        <v>45281</v>
      </c>
      <c r="J3358" s="2">
        <v>11</v>
      </c>
      <c r="K3358" s="2" t="s">
        <v>123</v>
      </c>
      <c r="L3358" s="22">
        <v>6400</v>
      </c>
      <c r="M3358" s="22">
        <v>70400</v>
      </c>
      <c r="N3358" s="18">
        <v>75.290000000000006</v>
      </c>
      <c r="O3358" s="26">
        <v>45581</v>
      </c>
      <c r="P3358" s="2" t="s">
        <v>2105</v>
      </c>
      <c r="Q3358" s="2" t="s">
        <v>825</v>
      </c>
    </row>
    <row r="3359" spans="2:17" x14ac:dyDescent="0.25">
      <c r="B3359" s="2" t="s">
        <v>4164</v>
      </c>
      <c r="C3359" s="2" t="s">
        <v>356</v>
      </c>
      <c r="D3359" s="2" t="s">
        <v>357</v>
      </c>
      <c r="E3359" s="2" t="s">
        <v>341</v>
      </c>
      <c r="F3359" s="2" t="s">
        <v>535</v>
      </c>
      <c r="G3359" s="2" t="s">
        <v>505</v>
      </c>
      <c r="H3359" s="2" t="s">
        <v>506</v>
      </c>
      <c r="I3359" s="26">
        <v>45306</v>
      </c>
      <c r="J3359" s="2">
        <v>10</v>
      </c>
      <c r="K3359" s="2" t="s">
        <v>123</v>
      </c>
      <c r="L3359" s="22">
        <v>6400</v>
      </c>
      <c r="M3359" s="22">
        <v>64000</v>
      </c>
      <c r="N3359" s="18">
        <v>68.45</v>
      </c>
      <c r="O3359" s="26">
        <v>45606</v>
      </c>
      <c r="P3359" s="2" t="s">
        <v>2105</v>
      </c>
      <c r="Q3359" s="2" t="s">
        <v>825</v>
      </c>
    </row>
    <row r="3360" spans="2:17" x14ac:dyDescent="0.25">
      <c r="B3360" s="2" t="s">
        <v>4165</v>
      </c>
      <c r="C3360" s="2" t="s">
        <v>356</v>
      </c>
      <c r="D3360" s="2" t="s">
        <v>357</v>
      </c>
      <c r="E3360" s="2" t="s">
        <v>341</v>
      </c>
      <c r="F3360" s="2" t="s">
        <v>535</v>
      </c>
      <c r="G3360" s="2" t="s">
        <v>505</v>
      </c>
      <c r="H3360" s="2" t="s">
        <v>506</v>
      </c>
      <c r="I3360" s="26">
        <v>45338</v>
      </c>
      <c r="J3360" s="2">
        <v>9</v>
      </c>
      <c r="K3360" s="2" t="s">
        <v>123</v>
      </c>
      <c r="L3360" s="22">
        <v>6400</v>
      </c>
      <c r="M3360" s="22">
        <v>57600</v>
      </c>
      <c r="N3360" s="18">
        <v>61.6</v>
      </c>
      <c r="O3360" s="26">
        <v>45638</v>
      </c>
      <c r="P3360" s="2" t="s">
        <v>2105</v>
      </c>
      <c r="Q3360" s="2" t="s">
        <v>825</v>
      </c>
    </row>
    <row r="3361" spans="2:17" x14ac:dyDescent="0.25">
      <c r="B3361" s="2" t="s">
        <v>4166</v>
      </c>
      <c r="C3361" s="2" t="s">
        <v>356</v>
      </c>
      <c r="D3361" s="2" t="s">
        <v>357</v>
      </c>
      <c r="E3361" s="2" t="s">
        <v>341</v>
      </c>
      <c r="F3361" s="2" t="s">
        <v>537</v>
      </c>
      <c r="G3361" s="2" t="s">
        <v>510</v>
      </c>
      <c r="H3361" s="2" t="s">
        <v>511</v>
      </c>
      <c r="I3361" s="26">
        <v>45370</v>
      </c>
      <c r="J3361" s="2">
        <v>9</v>
      </c>
      <c r="K3361" s="2" t="s">
        <v>123</v>
      </c>
      <c r="L3361" s="22">
        <v>6600</v>
      </c>
      <c r="M3361" s="22">
        <v>59400</v>
      </c>
      <c r="N3361" s="18">
        <v>63.53</v>
      </c>
      <c r="O3361" s="26">
        <v>45670</v>
      </c>
      <c r="P3361" s="2" t="s">
        <v>2105</v>
      </c>
      <c r="Q3361" s="2" t="s">
        <v>836</v>
      </c>
    </row>
    <row r="3362" spans="2:17" x14ac:dyDescent="0.25">
      <c r="B3362" s="2" t="s">
        <v>4167</v>
      </c>
      <c r="C3362" s="2" t="s">
        <v>356</v>
      </c>
      <c r="D3362" s="2" t="s">
        <v>357</v>
      </c>
      <c r="E3362" s="2" t="s">
        <v>341</v>
      </c>
      <c r="F3362" s="2" t="s">
        <v>535</v>
      </c>
      <c r="G3362" s="2" t="s">
        <v>505</v>
      </c>
      <c r="H3362" s="2" t="s">
        <v>506</v>
      </c>
      <c r="I3362" s="26">
        <v>45401</v>
      </c>
      <c r="J3362" s="2">
        <v>22</v>
      </c>
      <c r="K3362" s="2" t="s">
        <v>123</v>
      </c>
      <c r="L3362" s="22">
        <v>6400</v>
      </c>
      <c r="M3362" s="22">
        <v>140800</v>
      </c>
      <c r="N3362" s="18">
        <v>150.59</v>
      </c>
      <c r="O3362" s="26">
        <v>45701</v>
      </c>
      <c r="P3362" s="2" t="s">
        <v>2105</v>
      </c>
      <c r="Q3362" s="2" t="s">
        <v>836</v>
      </c>
    </row>
    <row r="3363" spans="2:17" x14ac:dyDescent="0.25">
      <c r="B3363" s="2" t="s">
        <v>4168</v>
      </c>
      <c r="C3363" s="2" t="s">
        <v>356</v>
      </c>
      <c r="D3363" s="2" t="s">
        <v>357</v>
      </c>
      <c r="E3363" s="2" t="s">
        <v>341</v>
      </c>
      <c r="F3363" s="2" t="s">
        <v>535</v>
      </c>
      <c r="G3363" s="2" t="s">
        <v>505</v>
      </c>
      <c r="H3363" s="2" t="s">
        <v>506</v>
      </c>
      <c r="I3363" s="26">
        <v>45434</v>
      </c>
      <c r="J3363" s="2">
        <v>27</v>
      </c>
      <c r="K3363" s="2" t="s">
        <v>123</v>
      </c>
      <c r="L3363" s="22">
        <v>6400</v>
      </c>
      <c r="M3363" s="22">
        <v>172800</v>
      </c>
      <c r="N3363" s="18">
        <v>184.81</v>
      </c>
      <c r="O3363" s="26">
        <v>45734</v>
      </c>
      <c r="P3363" s="2" t="s">
        <v>2105</v>
      </c>
      <c r="Q3363" s="2" t="s">
        <v>836</v>
      </c>
    </row>
    <row r="3364" spans="2:17" x14ac:dyDescent="0.25">
      <c r="B3364" s="2" t="s">
        <v>4169</v>
      </c>
      <c r="C3364" s="2" t="s">
        <v>356</v>
      </c>
      <c r="D3364" s="2" t="s">
        <v>357</v>
      </c>
      <c r="E3364" s="2" t="s">
        <v>341</v>
      </c>
      <c r="F3364" s="2" t="s">
        <v>535</v>
      </c>
      <c r="G3364" s="2" t="s">
        <v>505</v>
      </c>
      <c r="H3364" s="2" t="s">
        <v>506</v>
      </c>
      <c r="I3364" s="26">
        <v>45463</v>
      </c>
      <c r="J3364" s="2">
        <v>22</v>
      </c>
      <c r="K3364" s="2" t="s">
        <v>123</v>
      </c>
      <c r="L3364" s="22">
        <v>6400</v>
      </c>
      <c r="M3364" s="22">
        <v>140800</v>
      </c>
      <c r="N3364" s="18">
        <v>150.59</v>
      </c>
      <c r="O3364" s="26">
        <v>45763</v>
      </c>
      <c r="P3364" s="2" t="s">
        <v>2105</v>
      </c>
      <c r="Q3364" s="2" t="s">
        <v>806</v>
      </c>
    </row>
    <row r="3365" spans="2:17" x14ac:dyDescent="0.25">
      <c r="B3365" s="2" t="s">
        <v>4170</v>
      </c>
      <c r="C3365" s="2" t="s">
        <v>356</v>
      </c>
      <c r="D3365" s="2" t="s">
        <v>357</v>
      </c>
      <c r="E3365" s="2" t="s">
        <v>341</v>
      </c>
      <c r="F3365" s="2" t="s">
        <v>535</v>
      </c>
      <c r="G3365" s="2" t="s">
        <v>505</v>
      </c>
      <c r="H3365" s="2" t="s">
        <v>506</v>
      </c>
      <c r="I3365" s="26">
        <v>45495</v>
      </c>
      <c r="J3365" s="2">
        <v>23</v>
      </c>
      <c r="K3365" s="2" t="s">
        <v>123</v>
      </c>
      <c r="L3365" s="22">
        <v>6400</v>
      </c>
      <c r="M3365" s="22">
        <v>147200</v>
      </c>
      <c r="N3365" s="18">
        <v>157.43</v>
      </c>
      <c r="O3365" s="26">
        <v>45795</v>
      </c>
      <c r="P3365" s="2" t="s">
        <v>2105</v>
      </c>
      <c r="Q3365" s="2" t="s">
        <v>806</v>
      </c>
    </row>
    <row r="3366" spans="2:17" x14ac:dyDescent="0.25">
      <c r="B3366" s="2" t="s">
        <v>4171</v>
      </c>
      <c r="C3366" s="2" t="s">
        <v>356</v>
      </c>
      <c r="D3366" s="2" t="s">
        <v>357</v>
      </c>
      <c r="E3366" s="2" t="s">
        <v>341</v>
      </c>
      <c r="F3366" s="2" t="s">
        <v>535</v>
      </c>
      <c r="G3366" s="2" t="s">
        <v>505</v>
      </c>
      <c r="H3366" s="2" t="s">
        <v>506</v>
      </c>
      <c r="I3366" s="26">
        <v>45531</v>
      </c>
      <c r="J3366" s="2">
        <v>27</v>
      </c>
      <c r="K3366" s="2" t="s">
        <v>123</v>
      </c>
      <c r="L3366" s="22">
        <v>6400</v>
      </c>
      <c r="M3366" s="22">
        <v>172800</v>
      </c>
      <c r="N3366" s="18">
        <v>184.81</v>
      </c>
      <c r="O3366" s="26">
        <v>45831</v>
      </c>
      <c r="P3366" s="2" t="s">
        <v>2105</v>
      </c>
      <c r="Q3366" s="2" t="s">
        <v>806</v>
      </c>
    </row>
    <row r="3367" spans="2:17" x14ac:dyDescent="0.25">
      <c r="B3367" s="2" t="s">
        <v>4172</v>
      </c>
      <c r="C3367" s="2" t="s">
        <v>356</v>
      </c>
      <c r="D3367" s="2" t="s">
        <v>357</v>
      </c>
      <c r="E3367" s="2" t="s">
        <v>341</v>
      </c>
      <c r="F3367" s="2" t="s">
        <v>535</v>
      </c>
      <c r="G3367" s="2" t="s">
        <v>505</v>
      </c>
      <c r="H3367" s="2" t="s">
        <v>506</v>
      </c>
      <c r="I3367" s="26">
        <v>45563</v>
      </c>
      <c r="J3367" s="2">
        <v>34</v>
      </c>
      <c r="K3367" s="2" t="s">
        <v>123</v>
      </c>
      <c r="L3367" s="22">
        <v>6400</v>
      </c>
      <c r="M3367" s="22">
        <v>217600</v>
      </c>
      <c r="N3367" s="18">
        <v>232.73</v>
      </c>
      <c r="O3367" s="26">
        <v>45863</v>
      </c>
      <c r="P3367" s="2" t="s">
        <v>2105</v>
      </c>
      <c r="Q3367" s="2" t="s">
        <v>814</v>
      </c>
    </row>
    <row r="3368" spans="2:17" x14ac:dyDescent="0.25">
      <c r="B3368" s="2" t="s">
        <v>4173</v>
      </c>
      <c r="C3368" s="2" t="s">
        <v>356</v>
      </c>
      <c r="D3368" s="2" t="s">
        <v>357</v>
      </c>
      <c r="E3368" s="2" t="s">
        <v>341</v>
      </c>
      <c r="F3368" s="2" t="s">
        <v>535</v>
      </c>
      <c r="G3368" s="2" t="s">
        <v>505</v>
      </c>
      <c r="H3368" s="2" t="s">
        <v>506</v>
      </c>
      <c r="I3368" s="26">
        <v>45598</v>
      </c>
      <c r="J3368" s="2">
        <v>8</v>
      </c>
      <c r="K3368" s="2" t="s">
        <v>123</v>
      </c>
      <c r="L3368" s="22">
        <v>6400</v>
      </c>
      <c r="M3368" s="22">
        <v>51200</v>
      </c>
      <c r="N3368" s="18">
        <v>54.76</v>
      </c>
      <c r="O3368" s="26">
        <v>45898</v>
      </c>
      <c r="P3368" s="2" t="s">
        <v>2105</v>
      </c>
      <c r="Q3368" s="2" t="s">
        <v>814</v>
      </c>
    </row>
    <row r="3369" spans="2:17" x14ac:dyDescent="0.25">
      <c r="B3369" s="2" t="s">
        <v>4174</v>
      </c>
      <c r="C3369" s="2" t="s">
        <v>356</v>
      </c>
      <c r="D3369" s="2" t="s">
        <v>357</v>
      </c>
      <c r="E3369" s="2" t="s">
        <v>341</v>
      </c>
      <c r="F3369" s="2" t="s">
        <v>535</v>
      </c>
      <c r="G3369" s="2" t="s">
        <v>505</v>
      </c>
      <c r="H3369" s="2" t="s">
        <v>506</v>
      </c>
      <c r="I3369" s="26">
        <v>45630</v>
      </c>
      <c r="J3369" s="2">
        <v>12</v>
      </c>
      <c r="K3369" s="2" t="s">
        <v>123</v>
      </c>
      <c r="L3369" s="22">
        <v>6400</v>
      </c>
      <c r="M3369" s="22">
        <v>76800</v>
      </c>
      <c r="N3369" s="18">
        <v>82.14</v>
      </c>
      <c r="O3369" s="26">
        <v>45930</v>
      </c>
      <c r="P3369" s="2" t="s">
        <v>2105</v>
      </c>
      <c r="Q3369" s="2" t="s">
        <v>825</v>
      </c>
    </row>
    <row r="3370" spans="2:17" x14ac:dyDescent="0.25">
      <c r="B3370" s="2" t="s">
        <v>4175</v>
      </c>
      <c r="C3370" s="2" t="s">
        <v>356</v>
      </c>
      <c r="D3370" s="2" t="s">
        <v>357</v>
      </c>
      <c r="E3370" s="2" t="s">
        <v>341</v>
      </c>
      <c r="F3370" s="2" t="s">
        <v>535</v>
      </c>
      <c r="G3370" s="2" t="s">
        <v>505</v>
      </c>
      <c r="H3370" s="2" t="s">
        <v>506</v>
      </c>
      <c r="I3370" s="26">
        <v>45673</v>
      </c>
      <c r="J3370" s="2">
        <v>8</v>
      </c>
      <c r="K3370" s="2" t="s">
        <v>123</v>
      </c>
      <c r="L3370" s="22">
        <v>6400</v>
      </c>
      <c r="M3370" s="22">
        <v>51200</v>
      </c>
      <c r="N3370" s="18">
        <v>54.76</v>
      </c>
      <c r="O3370" s="26">
        <v>45973</v>
      </c>
      <c r="P3370" s="2" t="s">
        <v>2105</v>
      </c>
      <c r="Q3370" s="2" t="s">
        <v>825</v>
      </c>
    </row>
    <row r="3371" spans="2:17" x14ac:dyDescent="0.25">
      <c r="B3371" s="2" t="s">
        <v>4176</v>
      </c>
      <c r="C3371" s="2" t="s">
        <v>356</v>
      </c>
      <c r="D3371" s="2" t="s">
        <v>357</v>
      </c>
      <c r="E3371" s="2" t="s">
        <v>341</v>
      </c>
      <c r="F3371" s="2" t="s">
        <v>535</v>
      </c>
      <c r="G3371" s="2" t="s">
        <v>505</v>
      </c>
      <c r="H3371" s="2" t="s">
        <v>506</v>
      </c>
      <c r="I3371" s="26">
        <v>45707</v>
      </c>
      <c r="J3371" s="2">
        <v>10</v>
      </c>
      <c r="K3371" s="2" t="s">
        <v>123</v>
      </c>
      <c r="L3371" s="22">
        <v>6400</v>
      </c>
      <c r="M3371" s="22">
        <v>64000</v>
      </c>
      <c r="N3371" s="18">
        <v>68.45</v>
      </c>
      <c r="O3371" s="26">
        <v>46007</v>
      </c>
      <c r="P3371" s="2" t="s">
        <v>2105</v>
      </c>
      <c r="Q3371" s="2" t="s">
        <v>825</v>
      </c>
    </row>
    <row r="3372" spans="2:17" x14ac:dyDescent="0.25">
      <c r="B3372" s="2" t="s">
        <v>4177</v>
      </c>
      <c r="C3372" s="2" t="s">
        <v>356</v>
      </c>
      <c r="D3372" s="2" t="s">
        <v>357</v>
      </c>
      <c r="E3372" s="2" t="s">
        <v>341</v>
      </c>
      <c r="F3372" s="2" t="s">
        <v>535</v>
      </c>
      <c r="G3372" s="2" t="s">
        <v>505</v>
      </c>
      <c r="H3372" s="2" t="s">
        <v>506</v>
      </c>
      <c r="I3372" s="26">
        <v>45751</v>
      </c>
      <c r="J3372" s="2">
        <v>23</v>
      </c>
      <c r="K3372" s="2" t="s">
        <v>123</v>
      </c>
      <c r="L3372" s="22">
        <v>6400</v>
      </c>
      <c r="M3372" s="22">
        <v>147200</v>
      </c>
      <c r="N3372" s="18">
        <v>157.43</v>
      </c>
      <c r="O3372" s="26">
        <v>46051</v>
      </c>
      <c r="P3372" s="2" t="s">
        <v>2105</v>
      </c>
      <c r="Q3372" s="2" t="s">
        <v>836</v>
      </c>
    </row>
    <row r="3373" spans="2:17" x14ac:dyDescent="0.25">
      <c r="B3373" s="2" t="s">
        <v>4178</v>
      </c>
      <c r="C3373" s="2" t="s">
        <v>356</v>
      </c>
      <c r="D3373" s="2" t="s">
        <v>357</v>
      </c>
      <c r="E3373" s="2" t="s">
        <v>341</v>
      </c>
      <c r="F3373" s="2" t="s">
        <v>535</v>
      </c>
      <c r="G3373" s="2" t="s">
        <v>505</v>
      </c>
      <c r="H3373" s="2" t="s">
        <v>506</v>
      </c>
      <c r="I3373" s="26">
        <v>45787</v>
      </c>
      <c r="J3373" s="2">
        <v>23</v>
      </c>
      <c r="K3373" s="2" t="s">
        <v>123</v>
      </c>
      <c r="L3373" s="22">
        <v>6400</v>
      </c>
      <c r="M3373" s="22">
        <v>147200</v>
      </c>
      <c r="N3373" s="18">
        <v>157.43</v>
      </c>
      <c r="O3373" s="26">
        <v>46087</v>
      </c>
      <c r="P3373" s="2" t="s">
        <v>2105</v>
      </c>
      <c r="Q3373" s="2" t="s">
        <v>836</v>
      </c>
    </row>
    <row r="3374" spans="2:17" x14ac:dyDescent="0.25">
      <c r="B3374" s="2" t="s">
        <v>4179</v>
      </c>
      <c r="C3374" s="2" t="s">
        <v>356</v>
      </c>
      <c r="D3374" s="2" t="s">
        <v>357</v>
      </c>
      <c r="E3374" s="2" t="s">
        <v>341</v>
      </c>
      <c r="F3374" s="2" t="s">
        <v>535</v>
      </c>
      <c r="G3374" s="2" t="s">
        <v>505</v>
      </c>
      <c r="H3374" s="2" t="s">
        <v>506</v>
      </c>
      <c r="I3374" s="26">
        <v>45818</v>
      </c>
      <c r="J3374" s="2">
        <v>28</v>
      </c>
      <c r="K3374" s="2" t="s">
        <v>123</v>
      </c>
      <c r="L3374" s="22">
        <v>6400</v>
      </c>
      <c r="M3374" s="22">
        <v>179200</v>
      </c>
      <c r="N3374" s="18">
        <v>191.66</v>
      </c>
      <c r="O3374" s="26">
        <v>46118</v>
      </c>
      <c r="P3374" s="2" t="s">
        <v>2105</v>
      </c>
      <c r="Q3374" s="2" t="s">
        <v>806</v>
      </c>
    </row>
    <row r="3375" spans="2:17" x14ac:dyDescent="0.25">
      <c r="B3375" s="2" t="s">
        <v>4180</v>
      </c>
      <c r="C3375" s="2" t="s">
        <v>358</v>
      </c>
      <c r="D3375" s="2" t="s">
        <v>359</v>
      </c>
      <c r="E3375" s="2" t="s">
        <v>341</v>
      </c>
      <c r="F3375" s="2" t="s">
        <v>535</v>
      </c>
      <c r="G3375" s="2" t="s">
        <v>505</v>
      </c>
      <c r="H3375" s="2" t="s">
        <v>506</v>
      </c>
      <c r="I3375" s="26">
        <v>45130</v>
      </c>
      <c r="J3375" s="2">
        <v>27</v>
      </c>
      <c r="K3375" s="2" t="s">
        <v>123</v>
      </c>
      <c r="L3375" s="22">
        <v>5400</v>
      </c>
      <c r="M3375" s="22">
        <v>145800</v>
      </c>
      <c r="N3375" s="18">
        <v>155.94</v>
      </c>
      <c r="O3375" s="26">
        <v>45430</v>
      </c>
      <c r="P3375" s="2" t="s">
        <v>2105</v>
      </c>
      <c r="Q3375" s="2" t="s">
        <v>806</v>
      </c>
    </row>
    <row r="3376" spans="2:17" x14ac:dyDescent="0.25">
      <c r="B3376" s="2" t="s">
        <v>4181</v>
      </c>
      <c r="C3376" s="2" t="s">
        <v>358</v>
      </c>
      <c r="D3376" s="2" t="s">
        <v>359</v>
      </c>
      <c r="E3376" s="2" t="s">
        <v>341</v>
      </c>
      <c r="F3376" s="2" t="s">
        <v>535</v>
      </c>
      <c r="G3376" s="2" t="s">
        <v>505</v>
      </c>
      <c r="H3376" s="2" t="s">
        <v>506</v>
      </c>
      <c r="I3376" s="26">
        <v>45164</v>
      </c>
      <c r="J3376" s="2">
        <v>22</v>
      </c>
      <c r="K3376" s="2" t="s">
        <v>123</v>
      </c>
      <c r="L3376" s="22">
        <v>5400</v>
      </c>
      <c r="M3376" s="22">
        <v>118800</v>
      </c>
      <c r="N3376" s="18">
        <v>127.06</v>
      </c>
      <c r="O3376" s="26">
        <v>45464</v>
      </c>
      <c r="P3376" s="2" t="s">
        <v>2105</v>
      </c>
      <c r="Q3376" s="2" t="s">
        <v>806</v>
      </c>
    </row>
    <row r="3377" spans="2:17" x14ac:dyDescent="0.25">
      <c r="B3377" s="2" t="s">
        <v>4182</v>
      </c>
      <c r="C3377" s="2" t="s">
        <v>358</v>
      </c>
      <c r="D3377" s="2" t="s">
        <v>359</v>
      </c>
      <c r="E3377" s="2" t="s">
        <v>341</v>
      </c>
      <c r="F3377" s="2" t="s">
        <v>535</v>
      </c>
      <c r="G3377" s="2" t="s">
        <v>505</v>
      </c>
      <c r="H3377" s="2" t="s">
        <v>506</v>
      </c>
      <c r="I3377" s="26">
        <v>45198</v>
      </c>
      <c r="J3377" s="2">
        <v>31</v>
      </c>
      <c r="K3377" s="2" t="s">
        <v>123</v>
      </c>
      <c r="L3377" s="22">
        <v>5400</v>
      </c>
      <c r="M3377" s="22">
        <v>167400</v>
      </c>
      <c r="N3377" s="18">
        <v>179.04</v>
      </c>
      <c r="O3377" s="26">
        <v>45498</v>
      </c>
      <c r="P3377" s="2" t="s">
        <v>2105</v>
      </c>
      <c r="Q3377" s="2" t="s">
        <v>814</v>
      </c>
    </row>
    <row r="3378" spans="2:17" x14ac:dyDescent="0.25">
      <c r="B3378" s="2" t="s">
        <v>4183</v>
      </c>
      <c r="C3378" s="2" t="s">
        <v>358</v>
      </c>
      <c r="D3378" s="2" t="s">
        <v>359</v>
      </c>
      <c r="E3378" s="2" t="s">
        <v>341</v>
      </c>
      <c r="F3378" s="2" t="s">
        <v>535</v>
      </c>
      <c r="G3378" s="2" t="s">
        <v>505</v>
      </c>
      <c r="H3378" s="2" t="s">
        <v>506</v>
      </c>
      <c r="I3378" s="26">
        <v>45238</v>
      </c>
      <c r="J3378" s="2">
        <v>10</v>
      </c>
      <c r="K3378" s="2" t="s">
        <v>123</v>
      </c>
      <c r="L3378" s="22">
        <v>5400</v>
      </c>
      <c r="M3378" s="22">
        <v>54000</v>
      </c>
      <c r="N3378" s="18">
        <v>57.75</v>
      </c>
      <c r="O3378" s="26">
        <v>45538</v>
      </c>
      <c r="P3378" s="2" t="s">
        <v>2105</v>
      </c>
      <c r="Q3378" s="2" t="s">
        <v>814</v>
      </c>
    </row>
    <row r="3379" spans="2:17" x14ac:dyDescent="0.25">
      <c r="B3379" s="2" t="s">
        <v>4184</v>
      </c>
      <c r="C3379" s="2" t="s">
        <v>358</v>
      </c>
      <c r="D3379" s="2" t="s">
        <v>359</v>
      </c>
      <c r="E3379" s="2" t="s">
        <v>341</v>
      </c>
      <c r="F3379" s="2" t="s">
        <v>535</v>
      </c>
      <c r="G3379" s="2" t="s">
        <v>505</v>
      </c>
      <c r="H3379" s="2" t="s">
        <v>506</v>
      </c>
      <c r="I3379" s="26">
        <v>45273</v>
      </c>
      <c r="J3379" s="2">
        <v>11</v>
      </c>
      <c r="K3379" s="2" t="s">
        <v>123</v>
      </c>
      <c r="L3379" s="22">
        <v>5400</v>
      </c>
      <c r="M3379" s="22">
        <v>59400</v>
      </c>
      <c r="N3379" s="18">
        <v>63.53</v>
      </c>
      <c r="O3379" s="26">
        <v>45573</v>
      </c>
      <c r="P3379" s="2" t="s">
        <v>2105</v>
      </c>
      <c r="Q3379" s="2" t="s">
        <v>825</v>
      </c>
    </row>
    <row r="3380" spans="2:17" x14ac:dyDescent="0.25">
      <c r="B3380" s="2" t="s">
        <v>4185</v>
      </c>
      <c r="C3380" s="2" t="s">
        <v>358</v>
      </c>
      <c r="D3380" s="2" t="s">
        <v>359</v>
      </c>
      <c r="E3380" s="2" t="s">
        <v>341</v>
      </c>
      <c r="F3380" s="2" t="s">
        <v>535</v>
      </c>
      <c r="G3380" s="2" t="s">
        <v>505</v>
      </c>
      <c r="H3380" s="2" t="s">
        <v>506</v>
      </c>
      <c r="I3380" s="26">
        <v>45310</v>
      </c>
      <c r="J3380" s="2">
        <v>9</v>
      </c>
      <c r="K3380" s="2" t="s">
        <v>123</v>
      </c>
      <c r="L3380" s="22">
        <v>5400</v>
      </c>
      <c r="M3380" s="22">
        <v>48600</v>
      </c>
      <c r="N3380" s="18">
        <v>51.98</v>
      </c>
      <c r="O3380" s="26">
        <v>45610</v>
      </c>
      <c r="P3380" s="2" t="s">
        <v>2105</v>
      </c>
      <c r="Q3380" s="2" t="s">
        <v>825</v>
      </c>
    </row>
    <row r="3381" spans="2:17" x14ac:dyDescent="0.25">
      <c r="B3381" s="2" t="s">
        <v>4186</v>
      </c>
      <c r="C3381" s="2" t="s">
        <v>358</v>
      </c>
      <c r="D3381" s="2" t="s">
        <v>359</v>
      </c>
      <c r="E3381" s="2" t="s">
        <v>341</v>
      </c>
      <c r="F3381" s="2" t="s">
        <v>535</v>
      </c>
      <c r="G3381" s="2" t="s">
        <v>505</v>
      </c>
      <c r="H3381" s="2" t="s">
        <v>506</v>
      </c>
      <c r="I3381" s="26">
        <v>45349</v>
      </c>
      <c r="J3381" s="2">
        <v>10</v>
      </c>
      <c r="K3381" s="2" t="s">
        <v>123</v>
      </c>
      <c r="L3381" s="22">
        <v>5400</v>
      </c>
      <c r="M3381" s="22">
        <v>54000</v>
      </c>
      <c r="N3381" s="18">
        <v>57.75</v>
      </c>
      <c r="O3381" s="26">
        <v>45649</v>
      </c>
      <c r="P3381" s="2" t="s">
        <v>2105</v>
      </c>
      <c r="Q3381" s="2" t="s">
        <v>825</v>
      </c>
    </row>
    <row r="3382" spans="2:17" x14ac:dyDescent="0.25">
      <c r="B3382" s="2" t="s">
        <v>4187</v>
      </c>
      <c r="C3382" s="2" t="s">
        <v>358</v>
      </c>
      <c r="D3382" s="2" t="s">
        <v>359</v>
      </c>
      <c r="E3382" s="2" t="s">
        <v>341</v>
      </c>
      <c r="F3382" s="2" t="s">
        <v>535</v>
      </c>
      <c r="G3382" s="2" t="s">
        <v>505</v>
      </c>
      <c r="H3382" s="2" t="s">
        <v>506</v>
      </c>
      <c r="I3382" s="26">
        <v>45382</v>
      </c>
      <c r="J3382" s="2">
        <v>9</v>
      </c>
      <c r="K3382" s="2" t="s">
        <v>123</v>
      </c>
      <c r="L3382" s="22">
        <v>5400</v>
      </c>
      <c r="M3382" s="22">
        <v>48600</v>
      </c>
      <c r="N3382" s="18">
        <v>51.98</v>
      </c>
      <c r="O3382" s="26">
        <v>45682</v>
      </c>
      <c r="P3382" s="2" t="s">
        <v>2105</v>
      </c>
      <c r="Q3382" s="2" t="s">
        <v>836</v>
      </c>
    </row>
    <row r="3383" spans="2:17" x14ac:dyDescent="0.25">
      <c r="B3383" s="2" t="s">
        <v>4188</v>
      </c>
      <c r="C3383" s="2" t="s">
        <v>358</v>
      </c>
      <c r="D3383" s="2" t="s">
        <v>359</v>
      </c>
      <c r="E3383" s="2" t="s">
        <v>341</v>
      </c>
      <c r="F3383" s="2" t="s">
        <v>535</v>
      </c>
      <c r="G3383" s="2" t="s">
        <v>505</v>
      </c>
      <c r="H3383" s="2" t="s">
        <v>506</v>
      </c>
      <c r="I3383" s="26">
        <v>45422</v>
      </c>
      <c r="J3383" s="2">
        <v>22</v>
      </c>
      <c r="K3383" s="2" t="s">
        <v>123</v>
      </c>
      <c r="L3383" s="22">
        <v>5400</v>
      </c>
      <c r="M3383" s="22">
        <v>118800</v>
      </c>
      <c r="N3383" s="18">
        <v>127.06</v>
      </c>
      <c r="O3383" s="26">
        <v>45722</v>
      </c>
      <c r="P3383" s="2" t="s">
        <v>2105</v>
      </c>
      <c r="Q3383" s="2" t="s">
        <v>836</v>
      </c>
    </row>
    <row r="3384" spans="2:17" x14ac:dyDescent="0.25">
      <c r="B3384" s="2" t="s">
        <v>4189</v>
      </c>
      <c r="C3384" s="2" t="s">
        <v>358</v>
      </c>
      <c r="D3384" s="2" t="s">
        <v>359</v>
      </c>
      <c r="E3384" s="2" t="s">
        <v>341</v>
      </c>
      <c r="F3384" s="2" t="s">
        <v>535</v>
      </c>
      <c r="G3384" s="2" t="s">
        <v>505</v>
      </c>
      <c r="H3384" s="2" t="s">
        <v>506</v>
      </c>
      <c r="I3384" s="26">
        <v>45459</v>
      </c>
      <c r="J3384" s="2">
        <v>25</v>
      </c>
      <c r="K3384" s="2" t="s">
        <v>123</v>
      </c>
      <c r="L3384" s="22">
        <v>5400</v>
      </c>
      <c r="M3384" s="22">
        <v>135000</v>
      </c>
      <c r="N3384" s="18">
        <v>144.38999999999999</v>
      </c>
      <c r="O3384" s="26">
        <v>45759</v>
      </c>
      <c r="P3384" s="2" t="s">
        <v>2105</v>
      </c>
      <c r="Q3384" s="2" t="s">
        <v>806</v>
      </c>
    </row>
    <row r="3385" spans="2:17" x14ac:dyDescent="0.25">
      <c r="B3385" s="2" t="s">
        <v>4190</v>
      </c>
      <c r="C3385" s="2" t="s">
        <v>358</v>
      </c>
      <c r="D3385" s="2" t="s">
        <v>359</v>
      </c>
      <c r="E3385" s="2" t="s">
        <v>341</v>
      </c>
      <c r="F3385" s="2" t="s">
        <v>535</v>
      </c>
      <c r="G3385" s="2" t="s">
        <v>505</v>
      </c>
      <c r="H3385" s="2" t="s">
        <v>506</v>
      </c>
      <c r="I3385" s="26">
        <v>45483</v>
      </c>
      <c r="J3385" s="2">
        <v>22</v>
      </c>
      <c r="K3385" s="2" t="s">
        <v>123</v>
      </c>
      <c r="L3385" s="22">
        <v>5400</v>
      </c>
      <c r="M3385" s="22">
        <v>118800</v>
      </c>
      <c r="N3385" s="18">
        <v>127.06</v>
      </c>
      <c r="O3385" s="26">
        <v>45783</v>
      </c>
      <c r="P3385" s="2" t="s">
        <v>2105</v>
      </c>
      <c r="Q3385" s="2" t="s">
        <v>806</v>
      </c>
    </row>
    <row r="3386" spans="2:17" x14ac:dyDescent="0.25">
      <c r="B3386" s="2" t="s">
        <v>4191</v>
      </c>
      <c r="C3386" s="2" t="s">
        <v>358</v>
      </c>
      <c r="D3386" s="2" t="s">
        <v>359</v>
      </c>
      <c r="E3386" s="2" t="s">
        <v>341</v>
      </c>
      <c r="F3386" s="2" t="s">
        <v>535</v>
      </c>
      <c r="G3386" s="2" t="s">
        <v>505</v>
      </c>
      <c r="H3386" s="2" t="s">
        <v>506</v>
      </c>
      <c r="I3386" s="26">
        <v>45511</v>
      </c>
      <c r="J3386" s="2">
        <v>25</v>
      </c>
      <c r="K3386" s="2" t="s">
        <v>123</v>
      </c>
      <c r="L3386" s="22">
        <v>5400</v>
      </c>
      <c r="M3386" s="22">
        <v>135000</v>
      </c>
      <c r="N3386" s="18">
        <v>144.38999999999999</v>
      </c>
      <c r="O3386" s="26">
        <v>45811</v>
      </c>
      <c r="P3386" s="2" t="s">
        <v>2105</v>
      </c>
      <c r="Q3386" s="2" t="s">
        <v>806</v>
      </c>
    </row>
    <row r="3387" spans="2:17" x14ac:dyDescent="0.25">
      <c r="B3387" s="2" t="s">
        <v>4192</v>
      </c>
      <c r="C3387" s="2" t="s">
        <v>358</v>
      </c>
      <c r="D3387" s="2" t="s">
        <v>359</v>
      </c>
      <c r="E3387" s="2" t="s">
        <v>341</v>
      </c>
      <c r="F3387" s="2" t="s">
        <v>535</v>
      </c>
      <c r="G3387" s="2" t="s">
        <v>505</v>
      </c>
      <c r="H3387" s="2" t="s">
        <v>506</v>
      </c>
      <c r="I3387" s="26">
        <v>45535</v>
      </c>
      <c r="J3387" s="2">
        <v>25</v>
      </c>
      <c r="K3387" s="2" t="s">
        <v>123</v>
      </c>
      <c r="L3387" s="22">
        <v>5400</v>
      </c>
      <c r="M3387" s="22">
        <v>135000</v>
      </c>
      <c r="N3387" s="18">
        <v>144.38999999999999</v>
      </c>
      <c r="O3387" s="26">
        <v>45835</v>
      </c>
      <c r="P3387" s="2" t="s">
        <v>2105</v>
      </c>
      <c r="Q3387" s="2" t="s">
        <v>806</v>
      </c>
    </row>
    <row r="3388" spans="2:17" x14ac:dyDescent="0.25">
      <c r="B3388" s="2" t="s">
        <v>4193</v>
      </c>
      <c r="C3388" s="2" t="s">
        <v>358</v>
      </c>
      <c r="D3388" s="2" t="s">
        <v>359</v>
      </c>
      <c r="E3388" s="2" t="s">
        <v>341</v>
      </c>
      <c r="F3388" s="2" t="s">
        <v>535</v>
      </c>
      <c r="G3388" s="2" t="s">
        <v>505</v>
      </c>
      <c r="H3388" s="2" t="s">
        <v>506</v>
      </c>
      <c r="I3388" s="26">
        <v>45556</v>
      </c>
      <c r="J3388" s="2">
        <v>27</v>
      </c>
      <c r="K3388" s="2" t="s">
        <v>123</v>
      </c>
      <c r="L3388" s="22">
        <v>5400</v>
      </c>
      <c r="M3388" s="22">
        <v>145800</v>
      </c>
      <c r="N3388" s="18">
        <v>155.94</v>
      </c>
      <c r="O3388" s="26">
        <v>45856</v>
      </c>
      <c r="P3388" s="2" t="s">
        <v>2105</v>
      </c>
      <c r="Q3388" s="2" t="s">
        <v>814</v>
      </c>
    </row>
    <row r="3389" spans="2:17" x14ac:dyDescent="0.25">
      <c r="B3389" s="2" t="s">
        <v>4194</v>
      </c>
      <c r="C3389" s="2" t="s">
        <v>358</v>
      </c>
      <c r="D3389" s="2" t="s">
        <v>359</v>
      </c>
      <c r="E3389" s="2" t="s">
        <v>341</v>
      </c>
      <c r="F3389" s="2" t="s">
        <v>535</v>
      </c>
      <c r="G3389" s="2" t="s">
        <v>505</v>
      </c>
      <c r="H3389" s="2" t="s">
        <v>506</v>
      </c>
      <c r="I3389" s="26">
        <v>45584</v>
      </c>
      <c r="J3389" s="2">
        <v>8</v>
      </c>
      <c r="K3389" s="2" t="s">
        <v>123</v>
      </c>
      <c r="L3389" s="22">
        <v>5400</v>
      </c>
      <c r="M3389" s="22">
        <v>43200</v>
      </c>
      <c r="N3389" s="18">
        <v>46.2</v>
      </c>
      <c r="O3389" s="26">
        <v>45884</v>
      </c>
      <c r="P3389" s="2" t="s">
        <v>2105</v>
      </c>
      <c r="Q3389" s="2" t="s">
        <v>814</v>
      </c>
    </row>
    <row r="3390" spans="2:17" x14ac:dyDescent="0.25">
      <c r="B3390" s="2" t="s">
        <v>4195</v>
      </c>
      <c r="C3390" s="2" t="s">
        <v>358</v>
      </c>
      <c r="D3390" s="2" t="s">
        <v>359</v>
      </c>
      <c r="E3390" s="2" t="s">
        <v>341</v>
      </c>
      <c r="F3390" s="2" t="s">
        <v>535</v>
      </c>
      <c r="G3390" s="2" t="s">
        <v>505</v>
      </c>
      <c r="H3390" s="2" t="s">
        <v>506</v>
      </c>
      <c r="I3390" s="26">
        <v>45615</v>
      </c>
      <c r="J3390" s="2">
        <v>9</v>
      </c>
      <c r="K3390" s="2" t="s">
        <v>123</v>
      </c>
      <c r="L3390" s="22">
        <v>5400</v>
      </c>
      <c r="M3390" s="22">
        <v>48600</v>
      </c>
      <c r="N3390" s="18">
        <v>51.98</v>
      </c>
      <c r="O3390" s="26">
        <v>45915</v>
      </c>
      <c r="P3390" s="2" t="s">
        <v>2105</v>
      </c>
      <c r="Q3390" s="2" t="s">
        <v>814</v>
      </c>
    </row>
    <row r="3391" spans="2:17" x14ac:dyDescent="0.25">
      <c r="B3391" s="2" t="s">
        <v>4196</v>
      </c>
      <c r="C3391" s="2" t="s">
        <v>358</v>
      </c>
      <c r="D3391" s="2" t="s">
        <v>359</v>
      </c>
      <c r="E3391" s="2" t="s">
        <v>341</v>
      </c>
      <c r="F3391" s="2" t="s">
        <v>535</v>
      </c>
      <c r="G3391" s="2" t="s">
        <v>505</v>
      </c>
      <c r="H3391" s="2" t="s">
        <v>506</v>
      </c>
      <c r="I3391" s="26">
        <v>45654</v>
      </c>
      <c r="J3391" s="2">
        <v>11</v>
      </c>
      <c r="K3391" s="2" t="s">
        <v>123</v>
      </c>
      <c r="L3391" s="22">
        <v>5400</v>
      </c>
      <c r="M3391" s="22">
        <v>59400</v>
      </c>
      <c r="N3391" s="18">
        <v>63.53</v>
      </c>
      <c r="O3391" s="26">
        <v>45954</v>
      </c>
      <c r="P3391" s="2" t="s">
        <v>2105</v>
      </c>
      <c r="Q3391" s="2" t="s">
        <v>825</v>
      </c>
    </row>
    <row r="3392" spans="2:17" x14ac:dyDescent="0.25">
      <c r="B3392" s="2" t="s">
        <v>4197</v>
      </c>
      <c r="C3392" s="2" t="s">
        <v>358</v>
      </c>
      <c r="D3392" s="2" t="s">
        <v>359</v>
      </c>
      <c r="E3392" s="2" t="s">
        <v>341</v>
      </c>
      <c r="F3392" s="2" t="s">
        <v>535</v>
      </c>
      <c r="G3392" s="2" t="s">
        <v>505</v>
      </c>
      <c r="H3392" s="2" t="s">
        <v>506</v>
      </c>
      <c r="I3392" s="26">
        <v>45689</v>
      </c>
      <c r="J3392" s="2">
        <v>9</v>
      </c>
      <c r="K3392" s="2" t="s">
        <v>123</v>
      </c>
      <c r="L3392" s="22">
        <v>5400</v>
      </c>
      <c r="M3392" s="22">
        <v>48600</v>
      </c>
      <c r="N3392" s="18">
        <v>51.98</v>
      </c>
      <c r="O3392" s="26">
        <v>45989</v>
      </c>
      <c r="P3392" s="2" t="s">
        <v>2105</v>
      </c>
      <c r="Q3392" s="2" t="s">
        <v>825</v>
      </c>
    </row>
    <row r="3393" spans="2:17" x14ac:dyDescent="0.25">
      <c r="B3393" s="2" t="s">
        <v>4198</v>
      </c>
      <c r="C3393" s="2" t="s">
        <v>358</v>
      </c>
      <c r="D3393" s="2" t="s">
        <v>359</v>
      </c>
      <c r="E3393" s="2" t="s">
        <v>341</v>
      </c>
      <c r="F3393" s="2" t="s">
        <v>535</v>
      </c>
      <c r="G3393" s="2" t="s">
        <v>505</v>
      </c>
      <c r="H3393" s="2" t="s">
        <v>506</v>
      </c>
      <c r="I3393" s="26">
        <v>45723</v>
      </c>
      <c r="J3393" s="2">
        <v>10</v>
      </c>
      <c r="K3393" s="2" t="s">
        <v>123</v>
      </c>
      <c r="L3393" s="22">
        <v>5400</v>
      </c>
      <c r="M3393" s="22">
        <v>54000</v>
      </c>
      <c r="N3393" s="18">
        <v>57.75</v>
      </c>
      <c r="O3393" s="26">
        <v>46023</v>
      </c>
      <c r="P3393" s="2" t="s">
        <v>2105</v>
      </c>
      <c r="Q3393" s="2" t="s">
        <v>836</v>
      </c>
    </row>
    <row r="3394" spans="2:17" x14ac:dyDescent="0.25">
      <c r="B3394" s="2" t="s">
        <v>4199</v>
      </c>
      <c r="C3394" s="2" t="s">
        <v>358</v>
      </c>
      <c r="D3394" s="2" t="s">
        <v>359</v>
      </c>
      <c r="E3394" s="2" t="s">
        <v>341</v>
      </c>
      <c r="F3394" s="2" t="s">
        <v>535</v>
      </c>
      <c r="G3394" s="2" t="s">
        <v>505</v>
      </c>
      <c r="H3394" s="2" t="s">
        <v>506</v>
      </c>
      <c r="I3394" s="26">
        <v>45759</v>
      </c>
      <c r="J3394" s="2">
        <v>22</v>
      </c>
      <c r="K3394" s="2" t="s">
        <v>123</v>
      </c>
      <c r="L3394" s="22">
        <v>5400</v>
      </c>
      <c r="M3394" s="22">
        <v>118800</v>
      </c>
      <c r="N3394" s="18">
        <v>127.06</v>
      </c>
      <c r="O3394" s="26">
        <v>46059</v>
      </c>
      <c r="P3394" s="2" t="s">
        <v>2105</v>
      </c>
      <c r="Q3394" s="2" t="s">
        <v>836</v>
      </c>
    </row>
    <row r="3395" spans="2:17" x14ac:dyDescent="0.25">
      <c r="B3395" s="2" t="s">
        <v>4200</v>
      </c>
      <c r="C3395" s="2" t="s">
        <v>358</v>
      </c>
      <c r="D3395" s="2" t="s">
        <v>359</v>
      </c>
      <c r="E3395" s="2" t="s">
        <v>341</v>
      </c>
      <c r="F3395" s="2" t="s">
        <v>535</v>
      </c>
      <c r="G3395" s="2" t="s">
        <v>505</v>
      </c>
      <c r="H3395" s="2" t="s">
        <v>506</v>
      </c>
      <c r="I3395" s="26">
        <v>45796</v>
      </c>
      <c r="J3395" s="2">
        <v>29</v>
      </c>
      <c r="K3395" s="2" t="s">
        <v>123</v>
      </c>
      <c r="L3395" s="22">
        <v>5400</v>
      </c>
      <c r="M3395" s="22">
        <v>156600</v>
      </c>
      <c r="N3395" s="18">
        <v>167.49</v>
      </c>
      <c r="O3395" s="26">
        <v>46096</v>
      </c>
      <c r="P3395" s="2" t="s">
        <v>2105</v>
      </c>
      <c r="Q3395" s="2" t="s">
        <v>836</v>
      </c>
    </row>
    <row r="3396" spans="2:17" x14ac:dyDescent="0.25">
      <c r="B3396" s="2" t="s">
        <v>4201</v>
      </c>
      <c r="C3396" s="2" t="s">
        <v>358</v>
      </c>
      <c r="D3396" s="2" t="s">
        <v>359</v>
      </c>
      <c r="E3396" s="2" t="s">
        <v>341</v>
      </c>
      <c r="F3396" s="2" t="s">
        <v>535</v>
      </c>
      <c r="G3396" s="2" t="s">
        <v>505</v>
      </c>
      <c r="H3396" s="2" t="s">
        <v>506</v>
      </c>
      <c r="I3396" s="26">
        <v>45829</v>
      </c>
      <c r="J3396" s="2">
        <v>26</v>
      </c>
      <c r="K3396" s="2" t="s">
        <v>123</v>
      </c>
      <c r="L3396" s="22">
        <v>5400</v>
      </c>
      <c r="M3396" s="22">
        <v>140400</v>
      </c>
      <c r="N3396" s="18">
        <v>150.16</v>
      </c>
      <c r="O3396" s="26">
        <v>46129</v>
      </c>
      <c r="P3396" s="2" t="s">
        <v>2105</v>
      </c>
      <c r="Q3396" s="2" t="s">
        <v>806</v>
      </c>
    </row>
    <row r="3397" spans="2:17" x14ac:dyDescent="0.25">
      <c r="B3397" s="2" t="s">
        <v>4202</v>
      </c>
      <c r="C3397" s="2" t="s">
        <v>360</v>
      </c>
      <c r="D3397" s="2" t="s">
        <v>361</v>
      </c>
      <c r="E3397" s="2" t="s">
        <v>341</v>
      </c>
      <c r="F3397" s="2" t="s">
        <v>535</v>
      </c>
      <c r="G3397" s="2" t="s">
        <v>505</v>
      </c>
      <c r="H3397" s="2" t="s">
        <v>506</v>
      </c>
      <c r="I3397" s="26">
        <v>45116</v>
      </c>
      <c r="J3397" s="2">
        <v>17</v>
      </c>
      <c r="K3397" s="2" t="s">
        <v>123</v>
      </c>
      <c r="L3397" s="22">
        <v>4300</v>
      </c>
      <c r="M3397" s="22">
        <v>73100</v>
      </c>
      <c r="N3397" s="18">
        <v>78.180000000000007</v>
      </c>
      <c r="O3397" s="26">
        <v>45416</v>
      </c>
      <c r="P3397" s="2" t="s">
        <v>2105</v>
      </c>
      <c r="Q3397" s="2" t="s">
        <v>806</v>
      </c>
    </row>
    <row r="3398" spans="2:17" x14ac:dyDescent="0.25">
      <c r="B3398" s="2" t="s">
        <v>4203</v>
      </c>
      <c r="C3398" s="2" t="s">
        <v>360</v>
      </c>
      <c r="D3398" s="2" t="s">
        <v>361</v>
      </c>
      <c r="E3398" s="2" t="s">
        <v>341</v>
      </c>
      <c r="F3398" s="2" t="s">
        <v>535</v>
      </c>
      <c r="G3398" s="2" t="s">
        <v>505</v>
      </c>
      <c r="H3398" s="2" t="s">
        <v>506</v>
      </c>
      <c r="I3398" s="26">
        <v>45154</v>
      </c>
      <c r="J3398" s="2">
        <v>13</v>
      </c>
      <c r="K3398" s="2" t="s">
        <v>123</v>
      </c>
      <c r="L3398" s="22">
        <v>4300</v>
      </c>
      <c r="M3398" s="22">
        <v>55900</v>
      </c>
      <c r="N3398" s="18">
        <v>59.79</v>
      </c>
      <c r="O3398" s="26">
        <v>45454</v>
      </c>
      <c r="P3398" s="2" t="s">
        <v>2105</v>
      </c>
      <c r="Q3398" s="2" t="s">
        <v>806</v>
      </c>
    </row>
    <row r="3399" spans="2:17" x14ac:dyDescent="0.25">
      <c r="B3399" s="2" t="s">
        <v>4204</v>
      </c>
      <c r="C3399" s="2" t="s">
        <v>360</v>
      </c>
      <c r="D3399" s="2" t="s">
        <v>361</v>
      </c>
      <c r="E3399" s="2" t="s">
        <v>341</v>
      </c>
      <c r="F3399" s="2" t="s">
        <v>535</v>
      </c>
      <c r="G3399" s="2" t="s">
        <v>505</v>
      </c>
      <c r="H3399" s="2" t="s">
        <v>506</v>
      </c>
      <c r="I3399" s="26">
        <v>45183</v>
      </c>
      <c r="J3399" s="2">
        <v>20</v>
      </c>
      <c r="K3399" s="2" t="s">
        <v>123</v>
      </c>
      <c r="L3399" s="22">
        <v>4300</v>
      </c>
      <c r="M3399" s="22">
        <v>86000</v>
      </c>
      <c r="N3399" s="18">
        <v>91.98</v>
      </c>
      <c r="O3399" s="26">
        <v>45483</v>
      </c>
      <c r="P3399" s="2" t="s">
        <v>2105</v>
      </c>
      <c r="Q3399" s="2" t="s">
        <v>814</v>
      </c>
    </row>
    <row r="3400" spans="2:17" x14ac:dyDescent="0.25">
      <c r="B3400" s="2" t="s">
        <v>4205</v>
      </c>
      <c r="C3400" s="2" t="s">
        <v>360</v>
      </c>
      <c r="D3400" s="2" t="s">
        <v>361</v>
      </c>
      <c r="E3400" s="2" t="s">
        <v>341</v>
      </c>
      <c r="F3400" s="2" t="s">
        <v>535</v>
      </c>
      <c r="G3400" s="2" t="s">
        <v>505</v>
      </c>
      <c r="H3400" s="2" t="s">
        <v>506</v>
      </c>
      <c r="I3400" s="26">
        <v>45213</v>
      </c>
      <c r="J3400" s="2">
        <v>14</v>
      </c>
      <c r="K3400" s="2" t="s">
        <v>123</v>
      </c>
      <c r="L3400" s="22">
        <v>4300</v>
      </c>
      <c r="M3400" s="22">
        <v>60200</v>
      </c>
      <c r="N3400" s="18">
        <v>64.39</v>
      </c>
      <c r="O3400" s="26">
        <v>45513</v>
      </c>
      <c r="P3400" s="2" t="s">
        <v>2105</v>
      </c>
      <c r="Q3400" s="2" t="s">
        <v>814</v>
      </c>
    </row>
    <row r="3401" spans="2:17" x14ac:dyDescent="0.25">
      <c r="B3401" s="2" t="s">
        <v>4206</v>
      </c>
      <c r="C3401" s="2" t="s">
        <v>360</v>
      </c>
      <c r="D3401" s="2" t="s">
        <v>361</v>
      </c>
      <c r="E3401" s="2" t="s">
        <v>341</v>
      </c>
      <c r="F3401" s="2" t="s">
        <v>535</v>
      </c>
      <c r="G3401" s="2" t="s">
        <v>505</v>
      </c>
      <c r="H3401" s="2" t="s">
        <v>506</v>
      </c>
      <c r="I3401" s="26">
        <v>45242</v>
      </c>
      <c r="J3401" s="2">
        <v>13</v>
      </c>
      <c r="K3401" s="2" t="s">
        <v>123</v>
      </c>
      <c r="L3401" s="22">
        <v>4300</v>
      </c>
      <c r="M3401" s="22">
        <v>55900</v>
      </c>
      <c r="N3401" s="18">
        <v>59.79</v>
      </c>
      <c r="O3401" s="26">
        <v>45542</v>
      </c>
      <c r="P3401" s="2" t="s">
        <v>2105</v>
      </c>
      <c r="Q3401" s="2" t="s">
        <v>814</v>
      </c>
    </row>
    <row r="3402" spans="2:17" x14ac:dyDescent="0.25">
      <c r="B3402" s="2" t="s">
        <v>4207</v>
      </c>
      <c r="C3402" s="2" t="s">
        <v>360</v>
      </c>
      <c r="D3402" s="2" t="s">
        <v>361</v>
      </c>
      <c r="E3402" s="2" t="s">
        <v>341</v>
      </c>
      <c r="F3402" s="2" t="s">
        <v>535</v>
      </c>
      <c r="G3402" s="2" t="s">
        <v>505</v>
      </c>
      <c r="H3402" s="2" t="s">
        <v>506</v>
      </c>
      <c r="I3402" s="26">
        <v>45280</v>
      </c>
      <c r="J3402" s="2">
        <v>18</v>
      </c>
      <c r="K3402" s="2" t="s">
        <v>123</v>
      </c>
      <c r="L3402" s="22">
        <v>4300</v>
      </c>
      <c r="M3402" s="22">
        <v>77400</v>
      </c>
      <c r="N3402" s="18">
        <v>82.78</v>
      </c>
      <c r="O3402" s="26">
        <v>45580</v>
      </c>
      <c r="P3402" s="2" t="s">
        <v>2105</v>
      </c>
      <c r="Q3402" s="2" t="s">
        <v>825</v>
      </c>
    </row>
    <row r="3403" spans="2:17" x14ac:dyDescent="0.25">
      <c r="B3403" s="2" t="s">
        <v>4208</v>
      </c>
      <c r="C3403" s="2" t="s">
        <v>360</v>
      </c>
      <c r="D3403" s="2" t="s">
        <v>361</v>
      </c>
      <c r="E3403" s="2" t="s">
        <v>341</v>
      </c>
      <c r="F3403" s="2" t="s">
        <v>537</v>
      </c>
      <c r="G3403" s="2" t="s">
        <v>510</v>
      </c>
      <c r="H3403" s="2" t="s">
        <v>511</v>
      </c>
      <c r="I3403" s="26">
        <v>45324</v>
      </c>
      <c r="J3403" s="2">
        <v>14</v>
      </c>
      <c r="K3403" s="2" t="s">
        <v>123</v>
      </c>
      <c r="L3403" s="22">
        <v>4850</v>
      </c>
      <c r="M3403" s="22">
        <v>67900</v>
      </c>
      <c r="N3403" s="18">
        <v>72.62</v>
      </c>
      <c r="O3403" s="26">
        <v>45624</v>
      </c>
      <c r="P3403" s="2" t="s">
        <v>2105</v>
      </c>
      <c r="Q3403" s="2" t="s">
        <v>825</v>
      </c>
    </row>
    <row r="3404" spans="2:17" x14ac:dyDescent="0.25">
      <c r="B3404" s="2" t="s">
        <v>4209</v>
      </c>
      <c r="C3404" s="2" t="s">
        <v>360</v>
      </c>
      <c r="D3404" s="2" t="s">
        <v>361</v>
      </c>
      <c r="E3404" s="2" t="s">
        <v>341</v>
      </c>
      <c r="F3404" s="2" t="s">
        <v>535</v>
      </c>
      <c r="G3404" s="2" t="s">
        <v>505</v>
      </c>
      <c r="H3404" s="2" t="s">
        <v>506</v>
      </c>
      <c r="I3404" s="26">
        <v>45353</v>
      </c>
      <c r="J3404" s="2">
        <v>13</v>
      </c>
      <c r="K3404" s="2" t="s">
        <v>123</v>
      </c>
      <c r="L3404" s="22">
        <v>4300</v>
      </c>
      <c r="M3404" s="22">
        <v>55900</v>
      </c>
      <c r="N3404" s="18">
        <v>59.79</v>
      </c>
      <c r="O3404" s="26">
        <v>45653</v>
      </c>
      <c r="P3404" s="2" t="s">
        <v>2105</v>
      </c>
      <c r="Q3404" s="2" t="s">
        <v>836</v>
      </c>
    </row>
    <row r="3405" spans="2:17" x14ac:dyDescent="0.25">
      <c r="B3405" s="2" t="s">
        <v>4210</v>
      </c>
      <c r="C3405" s="2" t="s">
        <v>360</v>
      </c>
      <c r="D3405" s="2" t="s">
        <v>361</v>
      </c>
      <c r="E3405" s="2" t="s">
        <v>341</v>
      </c>
      <c r="F3405" s="2" t="s">
        <v>535</v>
      </c>
      <c r="G3405" s="2" t="s">
        <v>505</v>
      </c>
      <c r="H3405" s="2" t="s">
        <v>506</v>
      </c>
      <c r="I3405" s="26">
        <v>45384</v>
      </c>
      <c r="J3405" s="2">
        <v>15</v>
      </c>
      <c r="K3405" s="2" t="s">
        <v>123</v>
      </c>
      <c r="L3405" s="22">
        <v>4300</v>
      </c>
      <c r="M3405" s="22">
        <v>64500</v>
      </c>
      <c r="N3405" s="18">
        <v>68.98</v>
      </c>
      <c r="O3405" s="26">
        <v>45684</v>
      </c>
      <c r="P3405" s="2" t="s">
        <v>2105</v>
      </c>
      <c r="Q3405" s="2" t="s">
        <v>836</v>
      </c>
    </row>
    <row r="3406" spans="2:17" x14ac:dyDescent="0.25">
      <c r="B3406" s="2" t="s">
        <v>4211</v>
      </c>
      <c r="C3406" s="2" t="s">
        <v>360</v>
      </c>
      <c r="D3406" s="2" t="s">
        <v>361</v>
      </c>
      <c r="E3406" s="2" t="s">
        <v>341</v>
      </c>
      <c r="F3406" s="2" t="s">
        <v>535</v>
      </c>
      <c r="G3406" s="2" t="s">
        <v>505</v>
      </c>
      <c r="H3406" s="2" t="s">
        <v>506</v>
      </c>
      <c r="I3406" s="26">
        <v>45418</v>
      </c>
      <c r="J3406" s="2">
        <v>14</v>
      </c>
      <c r="K3406" s="2" t="s">
        <v>123</v>
      </c>
      <c r="L3406" s="22">
        <v>4300</v>
      </c>
      <c r="M3406" s="22">
        <v>60200</v>
      </c>
      <c r="N3406" s="18">
        <v>64.39</v>
      </c>
      <c r="O3406" s="26">
        <v>45718</v>
      </c>
      <c r="P3406" s="2" t="s">
        <v>2105</v>
      </c>
      <c r="Q3406" s="2" t="s">
        <v>836</v>
      </c>
    </row>
    <row r="3407" spans="2:17" x14ac:dyDescent="0.25">
      <c r="B3407" s="2" t="s">
        <v>4212</v>
      </c>
      <c r="C3407" s="2" t="s">
        <v>360</v>
      </c>
      <c r="D3407" s="2" t="s">
        <v>361</v>
      </c>
      <c r="E3407" s="2" t="s">
        <v>341</v>
      </c>
      <c r="F3407" s="2" t="s">
        <v>535</v>
      </c>
      <c r="G3407" s="2" t="s">
        <v>505</v>
      </c>
      <c r="H3407" s="2" t="s">
        <v>506</v>
      </c>
      <c r="I3407" s="26">
        <v>45453</v>
      </c>
      <c r="J3407" s="2">
        <v>16</v>
      </c>
      <c r="K3407" s="2" t="s">
        <v>123</v>
      </c>
      <c r="L3407" s="22">
        <v>4300</v>
      </c>
      <c r="M3407" s="22">
        <v>68800</v>
      </c>
      <c r="N3407" s="18">
        <v>73.58</v>
      </c>
      <c r="O3407" s="26">
        <v>45753</v>
      </c>
      <c r="P3407" s="2" t="s">
        <v>2105</v>
      </c>
      <c r="Q3407" s="2" t="s">
        <v>806</v>
      </c>
    </row>
    <row r="3408" spans="2:17" x14ac:dyDescent="0.25">
      <c r="B3408" s="2" t="s">
        <v>4213</v>
      </c>
      <c r="C3408" s="2" t="s">
        <v>360</v>
      </c>
      <c r="D3408" s="2" t="s">
        <v>361</v>
      </c>
      <c r="E3408" s="2" t="s">
        <v>341</v>
      </c>
      <c r="F3408" s="2" t="s">
        <v>535</v>
      </c>
      <c r="G3408" s="2" t="s">
        <v>505</v>
      </c>
      <c r="H3408" s="2" t="s">
        <v>506</v>
      </c>
      <c r="I3408" s="26">
        <v>45482</v>
      </c>
      <c r="J3408" s="2">
        <v>14</v>
      </c>
      <c r="K3408" s="2" t="s">
        <v>123</v>
      </c>
      <c r="L3408" s="22">
        <v>4300</v>
      </c>
      <c r="M3408" s="22">
        <v>60200</v>
      </c>
      <c r="N3408" s="18">
        <v>64.39</v>
      </c>
      <c r="O3408" s="26">
        <v>45782</v>
      </c>
      <c r="P3408" s="2" t="s">
        <v>2105</v>
      </c>
      <c r="Q3408" s="2" t="s">
        <v>806</v>
      </c>
    </row>
    <row r="3409" spans="2:17" x14ac:dyDescent="0.25">
      <c r="B3409" s="2" t="s">
        <v>4214</v>
      </c>
      <c r="C3409" s="2" t="s">
        <v>360</v>
      </c>
      <c r="D3409" s="2" t="s">
        <v>361</v>
      </c>
      <c r="E3409" s="2" t="s">
        <v>341</v>
      </c>
      <c r="F3409" s="2" t="s">
        <v>537</v>
      </c>
      <c r="G3409" s="2" t="s">
        <v>510</v>
      </c>
      <c r="H3409" s="2" t="s">
        <v>511</v>
      </c>
      <c r="I3409" s="26">
        <v>45515</v>
      </c>
      <c r="J3409" s="2">
        <v>13</v>
      </c>
      <c r="K3409" s="2" t="s">
        <v>123</v>
      </c>
      <c r="L3409" s="22">
        <v>4850</v>
      </c>
      <c r="M3409" s="22">
        <v>63050</v>
      </c>
      <c r="N3409" s="18">
        <v>67.430000000000007</v>
      </c>
      <c r="O3409" s="26">
        <v>45815</v>
      </c>
      <c r="P3409" s="2" t="s">
        <v>2105</v>
      </c>
      <c r="Q3409" s="2" t="s">
        <v>806</v>
      </c>
    </row>
    <row r="3410" spans="2:17" x14ac:dyDescent="0.25">
      <c r="B3410" s="2" t="s">
        <v>4215</v>
      </c>
      <c r="C3410" s="2" t="s">
        <v>360</v>
      </c>
      <c r="D3410" s="2" t="s">
        <v>361</v>
      </c>
      <c r="E3410" s="2" t="s">
        <v>341</v>
      </c>
      <c r="F3410" s="2" t="s">
        <v>535</v>
      </c>
      <c r="G3410" s="2" t="s">
        <v>505</v>
      </c>
      <c r="H3410" s="2" t="s">
        <v>506</v>
      </c>
      <c r="I3410" s="26">
        <v>45550</v>
      </c>
      <c r="J3410" s="2">
        <v>19</v>
      </c>
      <c r="K3410" s="2" t="s">
        <v>123</v>
      </c>
      <c r="L3410" s="22">
        <v>4300</v>
      </c>
      <c r="M3410" s="22">
        <v>81700</v>
      </c>
      <c r="N3410" s="18">
        <v>87.38</v>
      </c>
      <c r="O3410" s="26">
        <v>45850</v>
      </c>
      <c r="P3410" s="2" t="s">
        <v>2105</v>
      </c>
      <c r="Q3410" s="2" t="s">
        <v>814</v>
      </c>
    </row>
    <row r="3411" spans="2:17" x14ac:dyDescent="0.25">
      <c r="B3411" s="2" t="s">
        <v>4216</v>
      </c>
      <c r="C3411" s="2" t="s">
        <v>360</v>
      </c>
      <c r="D3411" s="2" t="s">
        <v>361</v>
      </c>
      <c r="E3411" s="2" t="s">
        <v>341</v>
      </c>
      <c r="F3411" s="2" t="s">
        <v>535</v>
      </c>
      <c r="G3411" s="2" t="s">
        <v>505</v>
      </c>
      <c r="H3411" s="2" t="s">
        <v>506</v>
      </c>
      <c r="I3411" s="26">
        <v>45583</v>
      </c>
      <c r="J3411" s="2">
        <v>14</v>
      </c>
      <c r="K3411" s="2" t="s">
        <v>123</v>
      </c>
      <c r="L3411" s="22">
        <v>4300</v>
      </c>
      <c r="M3411" s="22">
        <v>60200</v>
      </c>
      <c r="N3411" s="18">
        <v>64.39</v>
      </c>
      <c r="O3411" s="26">
        <v>45883</v>
      </c>
      <c r="P3411" s="2" t="s">
        <v>2105</v>
      </c>
      <c r="Q3411" s="2" t="s">
        <v>814</v>
      </c>
    </row>
    <row r="3412" spans="2:17" x14ac:dyDescent="0.25">
      <c r="B3412" s="2" t="s">
        <v>4217</v>
      </c>
      <c r="C3412" s="2" t="s">
        <v>360</v>
      </c>
      <c r="D3412" s="2" t="s">
        <v>361</v>
      </c>
      <c r="E3412" s="2" t="s">
        <v>341</v>
      </c>
      <c r="F3412" s="2" t="s">
        <v>535</v>
      </c>
      <c r="G3412" s="2" t="s">
        <v>505</v>
      </c>
      <c r="H3412" s="2" t="s">
        <v>506</v>
      </c>
      <c r="I3412" s="26">
        <v>45617</v>
      </c>
      <c r="J3412" s="2">
        <v>17</v>
      </c>
      <c r="K3412" s="2" t="s">
        <v>123</v>
      </c>
      <c r="L3412" s="22">
        <v>4300</v>
      </c>
      <c r="M3412" s="22">
        <v>73100</v>
      </c>
      <c r="N3412" s="18">
        <v>78.180000000000007</v>
      </c>
      <c r="O3412" s="26">
        <v>45917</v>
      </c>
      <c r="P3412" s="2" t="s">
        <v>2105</v>
      </c>
      <c r="Q3412" s="2" t="s">
        <v>814</v>
      </c>
    </row>
    <row r="3413" spans="2:17" x14ac:dyDescent="0.25">
      <c r="B3413" s="2" t="s">
        <v>4218</v>
      </c>
      <c r="C3413" s="2" t="s">
        <v>360</v>
      </c>
      <c r="D3413" s="2" t="s">
        <v>361</v>
      </c>
      <c r="E3413" s="2" t="s">
        <v>341</v>
      </c>
      <c r="F3413" s="2" t="s">
        <v>535</v>
      </c>
      <c r="G3413" s="2" t="s">
        <v>505</v>
      </c>
      <c r="H3413" s="2" t="s">
        <v>506</v>
      </c>
      <c r="I3413" s="26">
        <v>45654</v>
      </c>
      <c r="J3413" s="2">
        <v>22</v>
      </c>
      <c r="K3413" s="2" t="s">
        <v>123</v>
      </c>
      <c r="L3413" s="22">
        <v>4300</v>
      </c>
      <c r="M3413" s="22">
        <v>94600</v>
      </c>
      <c r="N3413" s="18">
        <v>101.18</v>
      </c>
      <c r="O3413" s="26">
        <v>45954</v>
      </c>
      <c r="P3413" s="2" t="s">
        <v>2105</v>
      </c>
      <c r="Q3413" s="2" t="s">
        <v>825</v>
      </c>
    </row>
    <row r="3414" spans="2:17" x14ac:dyDescent="0.25">
      <c r="B3414" s="2" t="s">
        <v>4219</v>
      </c>
      <c r="C3414" s="2" t="s">
        <v>360</v>
      </c>
      <c r="D3414" s="2" t="s">
        <v>361</v>
      </c>
      <c r="E3414" s="2" t="s">
        <v>341</v>
      </c>
      <c r="F3414" s="2" t="s">
        <v>535</v>
      </c>
      <c r="G3414" s="2" t="s">
        <v>505</v>
      </c>
      <c r="H3414" s="2" t="s">
        <v>506</v>
      </c>
      <c r="I3414" s="26">
        <v>45683</v>
      </c>
      <c r="J3414" s="2">
        <v>16</v>
      </c>
      <c r="K3414" s="2" t="s">
        <v>123</v>
      </c>
      <c r="L3414" s="22">
        <v>4300</v>
      </c>
      <c r="M3414" s="22">
        <v>68800</v>
      </c>
      <c r="N3414" s="18">
        <v>73.58</v>
      </c>
      <c r="O3414" s="26">
        <v>45983</v>
      </c>
      <c r="P3414" s="2" t="s">
        <v>2105</v>
      </c>
      <c r="Q3414" s="2" t="s">
        <v>825</v>
      </c>
    </row>
    <row r="3415" spans="2:17" x14ac:dyDescent="0.25">
      <c r="B3415" s="2" t="s">
        <v>4220</v>
      </c>
      <c r="C3415" s="2" t="s">
        <v>360</v>
      </c>
      <c r="D3415" s="2" t="s">
        <v>361</v>
      </c>
      <c r="E3415" s="2" t="s">
        <v>341</v>
      </c>
      <c r="F3415" s="2" t="s">
        <v>535</v>
      </c>
      <c r="G3415" s="2" t="s">
        <v>505</v>
      </c>
      <c r="H3415" s="2" t="s">
        <v>506</v>
      </c>
      <c r="I3415" s="26">
        <v>45710</v>
      </c>
      <c r="J3415" s="2">
        <v>19</v>
      </c>
      <c r="K3415" s="2" t="s">
        <v>123</v>
      </c>
      <c r="L3415" s="22">
        <v>4300</v>
      </c>
      <c r="M3415" s="22">
        <v>81700</v>
      </c>
      <c r="N3415" s="18">
        <v>87.38</v>
      </c>
      <c r="O3415" s="26">
        <v>46010</v>
      </c>
      <c r="P3415" s="2" t="s">
        <v>2105</v>
      </c>
      <c r="Q3415" s="2" t="s">
        <v>825</v>
      </c>
    </row>
    <row r="3416" spans="2:17" x14ac:dyDescent="0.25">
      <c r="B3416" s="2" t="s">
        <v>4221</v>
      </c>
      <c r="C3416" s="2" t="s">
        <v>360</v>
      </c>
      <c r="D3416" s="2" t="s">
        <v>361</v>
      </c>
      <c r="E3416" s="2" t="s">
        <v>341</v>
      </c>
      <c r="F3416" s="2" t="s">
        <v>535</v>
      </c>
      <c r="G3416" s="2" t="s">
        <v>505</v>
      </c>
      <c r="H3416" s="2" t="s">
        <v>506</v>
      </c>
      <c r="I3416" s="26">
        <v>45750</v>
      </c>
      <c r="J3416" s="2">
        <v>17</v>
      </c>
      <c r="K3416" s="2" t="s">
        <v>123</v>
      </c>
      <c r="L3416" s="22">
        <v>4300</v>
      </c>
      <c r="M3416" s="22">
        <v>73100</v>
      </c>
      <c r="N3416" s="18">
        <v>78.180000000000007</v>
      </c>
      <c r="O3416" s="26">
        <v>46050</v>
      </c>
      <c r="P3416" s="2" t="s">
        <v>2105</v>
      </c>
      <c r="Q3416" s="2" t="s">
        <v>836</v>
      </c>
    </row>
    <row r="3417" spans="2:17" x14ac:dyDescent="0.25">
      <c r="B3417" s="2" t="s">
        <v>4222</v>
      </c>
      <c r="C3417" s="2" t="s">
        <v>360</v>
      </c>
      <c r="D3417" s="2" t="s">
        <v>361</v>
      </c>
      <c r="E3417" s="2" t="s">
        <v>341</v>
      </c>
      <c r="F3417" s="2" t="s">
        <v>537</v>
      </c>
      <c r="G3417" s="2" t="s">
        <v>510</v>
      </c>
      <c r="H3417" s="2" t="s">
        <v>511</v>
      </c>
      <c r="I3417" s="26">
        <v>45784</v>
      </c>
      <c r="J3417" s="2">
        <v>18</v>
      </c>
      <c r="K3417" s="2" t="s">
        <v>123</v>
      </c>
      <c r="L3417" s="22">
        <v>4850</v>
      </c>
      <c r="M3417" s="22">
        <v>87300</v>
      </c>
      <c r="N3417" s="18">
        <v>93.37</v>
      </c>
      <c r="O3417" s="26">
        <v>46084</v>
      </c>
      <c r="P3417" s="2" t="s">
        <v>2105</v>
      </c>
      <c r="Q3417" s="2" t="s">
        <v>836</v>
      </c>
    </row>
    <row r="3418" spans="2:17" x14ac:dyDescent="0.25">
      <c r="B3418" s="2" t="s">
        <v>4223</v>
      </c>
      <c r="C3418" s="2" t="s">
        <v>360</v>
      </c>
      <c r="D3418" s="2" t="s">
        <v>361</v>
      </c>
      <c r="E3418" s="2" t="s">
        <v>341</v>
      </c>
      <c r="F3418" s="2" t="s">
        <v>535</v>
      </c>
      <c r="G3418" s="2" t="s">
        <v>505</v>
      </c>
      <c r="H3418" s="2" t="s">
        <v>506</v>
      </c>
      <c r="I3418" s="26">
        <v>45815</v>
      </c>
      <c r="J3418" s="2">
        <v>15</v>
      </c>
      <c r="K3418" s="2" t="s">
        <v>123</v>
      </c>
      <c r="L3418" s="22">
        <v>4300</v>
      </c>
      <c r="M3418" s="22">
        <v>64500</v>
      </c>
      <c r="N3418" s="18">
        <v>68.98</v>
      </c>
      <c r="O3418" s="26">
        <v>46115</v>
      </c>
      <c r="P3418" s="2" t="s">
        <v>2105</v>
      </c>
      <c r="Q3418" s="2" t="s">
        <v>806</v>
      </c>
    </row>
    <row r="3419" spans="2:17" x14ac:dyDescent="0.25">
      <c r="B3419" s="2" t="s">
        <v>4224</v>
      </c>
      <c r="C3419" s="2" t="s">
        <v>362</v>
      </c>
      <c r="D3419" s="2" t="s">
        <v>363</v>
      </c>
      <c r="E3419" s="2" t="s">
        <v>341</v>
      </c>
      <c r="F3419" s="2" t="s">
        <v>535</v>
      </c>
      <c r="G3419" s="2" t="s">
        <v>505</v>
      </c>
      <c r="H3419" s="2" t="s">
        <v>506</v>
      </c>
      <c r="I3419" s="26">
        <v>45138</v>
      </c>
      <c r="J3419" s="2">
        <v>17</v>
      </c>
      <c r="K3419" s="2" t="s">
        <v>123</v>
      </c>
      <c r="L3419" s="22">
        <v>6500</v>
      </c>
      <c r="M3419" s="22">
        <v>110500</v>
      </c>
      <c r="N3419" s="18">
        <v>118.18</v>
      </c>
      <c r="O3419" s="26">
        <v>45438</v>
      </c>
      <c r="P3419" s="2" t="s">
        <v>2105</v>
      </c>
      <c r="Q3419" s="2" t="s">
        <v>806</v>
      </c>
    </row>
    <row r="3420" spans="2:17" x14ac:dyDescent="0.25">
      <c r="B3420" s="2" t="s">
        <v>4225</v>
      </c>
      <c r="C3420" s="2" t="s">
        <v>362</v>
      </c>
      <c r="D3420" s="2" t="s">
        <v>363</v>
      </c>
      <c r="E3420" s="2" t="s">
        <v>341</v>
      </c>
      <c r="F3420" s="2" t="s">
        <v>537</v>
      </c>
      <c r="G3420" s="2" t="s">
        <v>510</v>
      </c>
      <c r="H3420" s="2" t="s">
        <v>511</v>
      </c>
      <c r="I3420" s="26">
        <v>45184</v>
      </c>
      <c r="J3420" s="2">
        <v>20</v>
      </c>
      <c r="K3420" s="2" t="s">
        <v>123</v>
      </c>
      <c r="L3420" s="22">
        <v>6800</v>
      </c>
      <c r="M3420" s="22">
        <v>136000</v>
      </c>
      <c r="N3420" s="18">
        <v>145.44999999999999</v>
      </c>
      <c r="O3420" s="26">
        <v>45484</v>
      </c>
      <c r="P3420" s="2" t="s">
        <v>2105</v>
      </c>
      <c r="Q3420" s="2" t="s">
        <v>814</v>
      </c>
    </row>
    <row r="3421" spans="2:17" x14ac:dyDescent="0.25">
      <c r="B3421" s="2" t="s">
        <v>4226</v>
      </c>
      <c r="C3421" s="2" t="s">
        <v>362</v>
      </c>
      <c r="D3421" s="2" t="s">
        <v>363</v>
      </c>
      <c r="E3421" s="2" t="s">
        <v>341</v>
      </c>
      <c r="F3421" s="2" t="s">
        <v>535</v>
      </c>
      <c r="G3421" s="2" t="s">
        <v>505</v>
      </c>
      <c r="H3421" s="2" t="s">
        <v>506</v>
      </c>
      <c r="I3421" s="26">
        <v>45230</v>
      </c>
      <c r="J3421" s="2">
        <v>15</v>
      </c>
      <c r="K3421" s="2" t="s">
        <v>123</v>
      </c>
      <c r="L3421" s="22">
        <v>6500</v>
      </c>
      <c r="M3421" s="22">
        <v>97500</v>
      </c>
      <c r="N3421" s="18">
        <v>104.28</v>
      </c>
      <c r="O3421" s="26">
        <v>45530</v>
      </c>
      <c r="P3421" s="2" t="s">
        <v>2105</v>
      </c>
      <c r="Q3421" s="2" t="s">
        <v>814</v>
      </c>
    </row>
    <row r="3422" spans="2:17" x14ac:dyDescent="0.25">
      <c r="B3422" s="2" t="s">
        <v>4227</v>
      </c>
      <c r="C3422" s="2" t="s">
        <v>362</v>
      </c>
      <c r="D3422" s="2" t="s">
        <v>363</v>
      </c>
      <c r="E3422" s="2" t="s">
        <v>341</v>
      </c>
      <c r="F3422" s="2" t="s">
        <v>537</v>
      </c>
      <c r="G3422" s="2" t="s">
        <v>510</v>
      </c>
      <c r="H3422" s="2" t="s">
        <v>511</v>
      </c>
      <c r="I3422" s="26">
        <v>45267</v>
      </c>
      <c r="J3422" s="2">
        <v>21</v>
      </c>
      <c r="K3422" s="2" t="s">
        <v>123</v>
      </c>
      <c r="L3422" s="22">
        <v>6800</v>
      </c>
      <c r="M3422" s="22">
        <v>142800</v>
      </c>
      <c r="N3422" s="18">
        <v>152.72999999999999</v>
      </c>
      <c r="O3422" s="26">
        <v>45567</v>
      </c>
      <c r="P3422" s="2" t="s">
        <v>2105</v>
      </c>
      <c r="Q3422" s="2" t="s">
        <v>825</v>
      </c>
    </row>
    <row r="3423" spans="2:17" x14ac:dyDescent="0.25">
      <c r="B3423" s="2" t="s">
        <v>4228</v>
      </c>
      <c r="C3423" s="2" t="s">
        <v>362</v>
      </c>
      <c r="D3423" s="2" t="s">
        <v>363</v>
      </c>
      <c r="E3423" s="2" t="s">
        <v>341</v>
      </c>
      <c r="F3423" s="2" t="s">
        <v>535</v>
      </c>
      <c r="G3423" s="2" t="s">
        <v>505</v>
      </c>
      <c r="H3423" s="2" t="s">
        <v>506</v>
      </c>
      <c r="I3423" s="26">
        <v>45296</v>
      </c>
      <c r="J3423" s="2">
        <v>16</v>
      </c>
      <c r="K3423" s="2" t="s">
        <v>123</v>
      </c>
      <c r="L3423" s="22">
        <v>6500</v>
      </c>
      <c r="M3423" s="22">
        <v>104000</v>
      </c>
      <c r="N3423" s="18">
        <v>111.23</v>
      </c>
      <c r="O3423" s="26">
        <v>45596</v>
      </c>
      <c r="P3423" s="2" t="s">
        <v>2105</v>
      </c>
      <c r="Q3423" s="2" t="s">
        <v>825</v>
      </c>
    </row>
    <row r="3424" spans="2:17" x14ac:dyDescent="0.25">
      <c r="B3424" s="2" t="s">
        <v>4229</v>
      </c>
      <c r="C3424" s="2" t="s">
        <v>362</v>
      </c>
      <c r="D3424" s="2" t="s">
        <v>363</v>
      </c>
      <c r="E3424" s="2" t="s">
        <v>341</v>
      </c>
      <c r="F3424" s="2" t="s">
        <v>535</v>
      </c>
      <c r="G3424" s="2" t="s">
        <v>505</v>
      </c>
      <c r="H3424" s="2" t="s">
        <v>506</v>
      </c>
      <c r="I3424" s="26">
        <v>45330</v>
      </c>
      <c r="J3424" s="2">
        <v>16</v>
      </c>
      <c r="K3424" s="2" t="s">
        <v>123</v>
      </c>
      <c r="L3424" s="22">
        <v>6500</v>
      </c>
      <c r="M3424" s="22">
        <v>104000</v>
      </c>
      <c r="N3424" s="18">
        <v>111.23</v>
      </c>
      <c r="O3424" s="26">
        <v>45630</v>
      </c>
      <c r="P3424" s="2" t="s">
        <v>2105</v>
      </c>
      <c r="Q3424" s="2" t="s">
        <v>825</v>
      </c>
    </row>
    <row r="3425" spans="2:17" x14ac:dyDescent="0.25">
      <c r="B3425" s="2" t="s">
        <v>4230</v>
      </c>
      <c r="C3425" s="2" t="s">
        <v>362</v>
      </c>
      <c r="D3425" s="2" t="s">
        <v>363</v>
      </c>
      <c r="E3425" s="2" t="s">
        <v>341</v>
      </c>
      <c r="F3425" s="2" t="s">
        <v>535</v>
      </c>
      <c r="G3425" s="2" t="s">
        <v>505</v>
      </c>
      <c r="H3425" s="2" t="s">
        <v>506</v>
      </c>
      <c r="I3425" s="26">
        <v>45368</v>
      </c>
      <c r="J3425" s="2">
        <v>14</v>
      </c>
      <c r="K3425" s="2" t="s">
        <v>123</v>
      </c>
      <c r="L3425" s="22">
        <v>6500</v>
      </c>
      <c r="M3425" s="22">
        <v>91000</v>
      </c>
      <c r="N3425" s="18">
        <v>97.33</v>
      </c>
      <c r="O3425" s="26">
        <v>45668</v>
      </c>
      <c r="P3425" s="2" t="s">
        <v>2105</v>
      </c>
      <c r="Q3425" s="2" t="s">
        <v>836</v>
      </c>
    </row>
    <row r="3426" spans="2:17" x14ac:dyDescent="0.25">
      <c r="B3426" s="2" t="s">
        <v>4231</v>
      </c>
      <c r="C3426" s="2" t="s">
        <v>362</v>
      </c>
      <c r="D3426" s="2" t="s">
        <v>363</v>
      </c>
      <c r="E3426" s="2" t="s">
        <v>341</v>
      </c>
      <c r="F3426" s="2" t="s">
        <v>535</v>
      </c>
      <c r="G3426" s="2" t="s">
        <v>505</v>
      </c>
      <c r="H3426" s="2" t="s">
        <v>506</v>
      </c>
      <c r="I3426" s="26">
        <v>45397</v>
      </c>
      <c r="J3426" s="2">
        <v>14</v>
      </c>
      <c r="K3426" s="2" t="s">
        <v>123</v>
      </c>
      <c r="L3426" s="22">
        <v>6500</v>
      </c>
      <c r="M3426" s="22">
        <v>91000</v>
      </c>
      <c r="N3426" s="18">
        <v>97.33</v>
      </c>
      <c r="O3426" s="26">
        <v>45697</v>
      </c>
      <c r="P3426" s="2" t="s">
        <v>2105</v>
      </c>
      <c r="Q3426" s="2" t="s">
        <v>836</v>
      </c>
    </row>
    <row r="3427" spans="2:17" x14ac:dyDescent="0.25">
      <c r="B3427" s="2" t="s">
        <v>4232</v>
      </c>
      <c r="C3427" s="2" t="s">
        <v>362</v>
      </c>
      <c r="D3427" s="2" t="s">
        <v>363</v>
      </c>
      <c r="E3427" s="2" t="s">
        <v>341</v>
      </c>
      <c r="F3427" s="2" t="s">
        <v>535</v>
      </c>
      <c r="G3427" s="2" t="s">
        <v>505</v>
      </c>
      <c r="H3427" s="2" t="s">
        <v>506</v>
      </c>
      <c r="I3427" s="26">
        <v>45423</v>
      </c>
      <c r="J3427" s="2">
        <v>15</v>
      </c>
      <c r="K3427" s="2" t="s">
        <v>123</v>
      </c>
      <c r="L3427" s="22">
        <v>6500</v>
      </c>
      <c r="M3427" s="22">
        <v>97500</v>
      </c>
      <c r="N3427" s="18">
        <v>104.28</v>
      </c>
      <c r="O3427" s="26">
        <v>45723</v>
      </c>
      <c r="P3427" s="2" t="s">
        <v>2105</v>
      </c>
      <c r="Q3427" s="2" t="s">
        <v>836</v>
      </c>
    </row>
    <row r="3428" spans="2:17" x14ac:dyDescent="0.25">
      <c r="B3428" s="2" t="s">
        <v>4233</v>
      </c>
      <c r="C3428" s="2" t="s">
        <v>362</v>
      </c>
      <c r="D3428" s="2" t="s">
        <v>363</v>
      </c>
      <c r="E3428" s="2" t="s">
        <v>341</v>
      </c>
      <c r="F3428" s="2" t="s">
        <v>535</v>
      </c>
      <c r="G3428" s="2" t="s">
        <v>505</v>
      </c>
      <c r="H3428" s="2" t="s">
        <v>506</v>
      </c>
      <c r="I3428" s="26">
        <v>45453</v>
      </c>
      <c r="J3428" s="2">
        <v>16</v>
      </c>
      <c r="K3428" s="2" t="s">
        <v>123</v>
      </c>
      <c r="L3428" s="22">
        <v>6500</v>
      </c>
      <c r="M3428" s="22">
        <v>104000</v>
      </c>
      <c r="N3428" s="18">
        <v>111.23</v>
      </c>
      <c r="O3428" s="26">
        <v>45753</v>
      </c>
      <c r="P3428" s="2" t="s">
        <v>2105</v>
      </c>
      <c r="Q3428" s="2" t="s">
        <v>806</v>
      </c>
    </row>
    <row r="3429" spans="2:17" x14ac:dyDescent="0.25">
      <c r="B3429" s="2" t="s">
        <v>4234</v>
      </c>
      <c r="C3429" s="2" t="s">
        <v>362</v>
      </c>
      <c r="D3429" s="2" t="s">
        <v>363</v>
      </c>
      <c r="E3429" s="2" t="s">
        <v>341</v>
      </c>
      <c r="F3429" s="2" t="s">
        <v>537</v>
      </c>
      <c r="G3429" s="2" t="s">
        <v>510</v>
      </c>
      <c r="H3429" s="2" t="s">
        <v>511</v>
      </c>
      <c r="I3429" s="26">
        <v>45490</v>
      </c>
      <c r="J3429" s="2">
        <v>17</v>
      </c>
      <c r="K3429" s="2" t="s">
        <v>123</v>
      </c>
      <c r="L3429" s="22">
        <v>6800</v>
      </c>
      <c r="M3429" s="22">
        <v>115600</v>
      </c>
      <c r="N3429" s="18">
        <v>123.64</v>
      </c>
      <c r="O3429" s="26">
        <v>45790</v>
      </c>
      <c r="P3429" s="2" t="s">
        <v>2105</v>
      </c>
      <c r="Q3429" s="2" t="s">
        <v>806</v>
      </c>
    </row>
    <row r="3430" spans="2:17" x14ac:dyDescent="0.25">
      <c r="B3430" s="2" t="s">
        <v>4235</v>
      </c>
      <c r="C3430" s="2" t="s">
        <v>362</v>
      </c>
      <c r="D3430" s="2" t="s">
        <v>363</v>
      </c>
      <c r="E3430" s="2" t="s">
        <v>341</v>
      </c>
      <c r="F3430" s="2" t="s">
        <v>535</v>
      </c>
      <c r="G3430" s="2" t="s">
        <v>505</v>
      </c>
      <c r="H3430" s="2" t="s">
        <v>506</v>
      </c>
      <c r="I3430" s="26">
        <v>45526</v>
      </c>
      <c r="J3430" s="2">
        <v>13</v>
      </c>
      <c r="K3430" s="2" t="s">
        <v>123</v>
      </c>
      <c r="L3430" s="22">
        <v>6500</v>
      </c>
      <c r="M3430" s="22">
        <v>84500</v>
      </c>
      <c r="N3430" s="18">
        <v>90.37</v>
      </c>
      <c r="O3430" s="26">
        <v>45826</v>
      </c>
      <c r="P3430" s="2" t="s">
        <v>2105</v>
      </c>
      <c r="Q3430" s="2" t="s">
        <v>806</v>
      </c>
    </row>
    <row r="3431" spans="2:17" x14ac:dyDescent="0.25">
      <c r="B3431" s="2" t="s">
        <v>4236</v>
      </c>
      <c r="C3431" s="2" t="s">
        <v>362</v>
      </c>
      <c r="D3431" s="2" t="s">
        <v>363</v>
      </c>
      <c r="E3431" s="2" t="s">
        <v>341</v>
      </c>
      <c r="F3431" s="2" t="s">
        <v>537</v>
      </c>
      <c r="G3431" s="2" t="s">
        <v>510</v>
      </c>
      <c r="H3431" s="2" t="s">
        <v>511</v>
      </c>
      <c r="I3431" s="26">
        <v>45552</v>
      </c>
      <c r="J3431" s="2">
        <v>20</v>
      </c>
      <c r="K3431" s="2" t="s">
        <v>123</v>
      </c>
      <c r="L3431" s="22">
        <v>6800</v>
      </c>
      <c r="M3431" s="22">
        <v>136000</v>
      </c>
      <c r="N3431" s="18">
        <v>145.44999999999999</v>
      </c>
      <c r="O3431" s="26">
        <v>45852</v>
      </c>
      <c r="P3431" s="2" t="s">
        <v>2105</v>
      </c>
      <c r="Q3431" s="2" t="s">
        <v>814</v>
      </c>
    </row>
    <row r="3432" spans="2:17" x14ac:dyDescent="0.25">
      <c r="B3432" s="2" t="s">
        <v>4237</v>
      </c>
      <c r="C3432" s="2" t="s">
        <v>362</v>
      </c>
      <c r="D3432" s="2" t="s">
        <v>363</v>
      </c>
      <c r="E3432" s="2" t="s">
        <v>341</v>
      </c>
      <c r="F3432" s="2" t="s">
        <v>535</v>
      </c>
      <c r="G3432" s="2" t="s">
        <v>505</v>
      </c>
      <c r="H3432" s="2" t="s">
        <v>506</v>
      </c>
      <c r="I3432" s="26">
        <v>45583</v>
      </c>
      <c r="J3432" s="2">
        <v>17</v>
      </c>
      <c r="K3432" s="2" t="s">
        <v>123</v>
      </c>
      <c r="L3432" s="22">
        <v>6500</v>
      </c>
      <c r="M3432" s="22">
        <v>110500</v>
      </c>
      <c r="N3432" s="18">
        <v>118.18</v>
      </c>
      <c r="O3432" s="26">
        <v>45883</v>
      </c>
      <c r="P3432" s="2" t="s">
        <v>2105</v>
      </c>
      <c r="Q3432" s="2" t="s">
        <v>814</v>
      </c>
    </row>
    <row r="3433" spans="2:17" x14ac:dyDescent="0.25">
      <c r="B3433" s="2" t="s">
        <v>4238</v>
      </c>
      <c r="C3433" s="2" t="s">
        <v>362</v>
      </c>
      <c r="D3433" s="2" t="s">
        <v>363</v>
      </c>
      <c r="E3433" s="2" t="s">
        <v>341</v>
      </c>
      <c r="F3433" s="2" t="s">
        <v>535</v>
      </c>
      <c r="G3433" s="2" t="s">
        <v>505</v>
      </c>
      <c r="H3433" s="2" t="s">
        <v>506</v>
      </c>
      <c r="I3433" s="26">
        <v>45627</v>
      </c>
      <c r="J3433" s="2">
        <v>19</v>
      </c>
      <c r="K3433" s="2" t="s">
        <v>123</v>
      </c>
      <c r="L3433" s="22">
        <v>6500</v>
      </c>
      <c r="M3433" s="22">
        <v>123500</v>
      </c>
      <c r="N3433" s="18">
        <v>132.09</v>
      </c>
      <c r="O3433" s="26">
        <v>45927</v>
      </c>
      <c r="P3433" s="2" t="s">
        <v>2105</v>
      </c>
      <c r="Q3433" s="2" t="s">
        <v>825</v>
      </c>
    </row>
    <row r="3434" spans="2:17" x14ac:dyDescent="0.25">
      <c r="B3434" s="2" t="s">
        <v>4239</v>
      </c>
      <c r="C3434" s="2" t="s">
        <v>362</v>
      </c>
      <c r="D3434" s="2" t="s">
        <v>363</v>
      </c>
      <c r="E3434" s="2" t="s">
        <v>341</v>
      </c>
      <c r="F3434" s="2" t="s">
        <v>535</v>
      </c>
      <c r="G3434" s="2" t="s">
        <v>505</v>
      </c>
      <c r="H3434" s="2" t="s">
        <v>506</v>
      </c>
      <c r="I3434" s="26">
        <v>45661</v>
      </c>
      <c r="J3434" s="2">
        <v>16</v>
      </c>
      <c r="K3434" s="2" t="s">
        <v>123</v>
      </c>
      <c r="L3434" s="22">
        <v>6500</v>
      </c>
      <c r="M3434" s="22">
        <v>104000</v>
      </c>
      <c r="N3434" s="18">
        <v>111.23</v>
      </c>
      <c r="O3434" s="26">
        <v>45961</v>
      </c>
      <c r="P3434" s="2" t="s">
        <v>2105</v>
      </c>
      <c r="Q3434" s="2" t="s">
        <v>825</v>
      </c>
    </row>
    <row r="3435" spans="2:17" x14ac:dyDescent="0.25">
      <c r="B3435" s="2" t="s">
        <v>4240</v>
      </c>
      <c r="C3435" s="2" t="s">
        <v>362</v>
      </c>
      <c r="D3435" s="2" t="s">
        <v>363</v>
      </c>
      <c r="E3435" s="2" t="s">
        <v>341</v>
      </c>
      <c r="F3435" s="2" t="s">
        <v>535</v>
      </c>
      <c r="G3435" s="2" t="s">
        <v>505</v>
      </c>
      <c r="H3435" s="2" t="s">
        <v>506</v>
      </c>
      <c r="I3435" s="26">
        <v>45690</v>
      </c>
      <c r="J3435" s="2">
        <v>14</v>
      </c>
      <c r="K3435" s="2" t="s">
        <v>123</v>
      </c>
      <c r="L3435" s="22">
        <v>6500</v>
      </c>
      <c r="M3435" s="22">
        <v>91000</v>
      </c>
      <c r="N3435" s="18">
        <v>97.33</v>
      </c>
      <c r="O3435" s="26">
        <v>45990</v>
      </c>
      <c r="P3435" s="2" t="s">
        <v>2105</v>
      </c>
      <c r="Q3435" s="2" t="s">
        <v>825</v>
      </c>
    </row>
    <row r="3436" spans="2:17" x14ac:dyDescent="0.25">
      <c r="B3436" s="2" t="s">
        <v>4241</v>
      </c>
      <c r="C3436" s="2" t="s">
        <v>362</v>
      </c>
      <c r="D3436" s="2" t="s">
        <v>363</v>
      </c>
      <c r="E3436" s="2" t="s">
        <v>341</v>
      </c>
      <c r="F3436" s="2" t="s">
        <v>535</v>
      </c>
      <c r="G3436" s="2" t="s">
        <v>505</v>
      </c>
      <c r="H3436" s="2" t="s">
        <v>506</v>
      </c>
      <c r="I3436" s="26">
        <v>45734</v>
      </c>
      <c r="J3436" s="2">
        <v>16</v>
      </c>
      <c r="K3436" s="2" t="s">
        <v>123</v>
      </c>
      <c r="L3436" s="22">
        <v>6500</v>
      </c>
      <c r="M3436" s="22">
        <v>104000</v>
      </c>
      <c r="N3436" s="18">
        <v>111.23</v>
      </c>
      <c r="O3436" s="26">
        <v>46034</v>
      </c>
      <c r="P3436" s="2" t="s">
        <v>2105</v>
      </c>
      <c r="Q3436" s="2" t="s">
        <v>836</v>
      </c>
    </row>
    <row r="3437" spans="2:17" x14ac:dyDescent="0.25">
      <c r="B3437" s="2" t="s">
        <v>4242</v>
      </c>
      <c r="C3437" s="2" t="s">
        <v>362</v>
      </c>
      <c r="D3437" s="2" t="s">
        <v>363</v>
      </c>
      <c r="E3437" s="2" t="s">
        <v>341</v>
      </c>
      <c r="F3437" s="2" t="s">
        <v>535</v>
      </c>
      <c r="G3437" s="2" t="s">
        <v>505</v>
      </c>
      <c r="H3437" s="2" t="s">
        <v>506</v>
      </c>
      <c r="I3437" s="26">
        <v>45771</v>
      </c>
      <c r="J3437" s="2">
        <v>18</v>
      </c>
      <c r="K3437" s="2" t="s">
        <v>123</v>
      </c>
      <c r="L3437" s="22">
        <v>6500</v>
      </c>
      <c r="M3437" s="22">
        <v>117000</v>
      </c>
      <c r="N3437" s="18">
        <v>125.13</v>
      </c>
      <c r="O3437" s="26">
        <v>46071</v>
      </c>
      <c r="P3437" s="2" t="s">
        <v>2105</v>
      </c>
      <c r="Q3437" s="2" t="s">
        <v>836</v>
      </c>
    </row>
    <row r="3438" spans="2:17" x14ac:dyDescent="0.25">
      <c r="B3438" s="2" t="s">
        <v>4243</v>
      </c>
      <c r="C3438" s="2" t="s">
        <v>362</v>
      </c>
      <c r="D3438" s="2" t="s">
        <v>363</v>
      </c>
      <c r="E3438" s="2" t="s">
        <v>341</v>
      </c>
      <c r="F3438" s="2" t="s">
        <v>535</v>
      </c>
      <c r="G3438" s="2" t="s">
        <v>505</v>
      </c>
      <c r="H3438" s="2" t="s">
        <v>506</v>
      </c>
      <c r="I3438" s="26">
        <v>45805</v>
      </c>
      <c r="J3438" s="2">
        <v>14</v>
      </c>
      <c r="K3438" s="2" t="s">
        <v>123</v>
      </c>
      <c r="L3438" s="22">
        <v>6500</v>
      </c>
      <c r="M3438" s="22">
        <v>91000</v>
      </c>
      <c r="N3438" s="18">
        <v>97.33</v>
      </c>
      <c r="O3438" s="26">
        <v>46105</v>
      </c>
      <c r="P3438" s="2" t="s">
        <v>2105</v>
      </c>
      <c r="Q3438" s="2" t="s">
        <v>836</v>
      </c>
    </row>
    <row r="3439" spans="2:17" x14ac:dyDescent="0.25">
      <c r="B3439" s="2" t="s">
        <v>4244</v>
      </c>
      <c r="C3439" s="2" t="s">
        <v>364</v>
      </c>
      <c r="D3439" s="2" t="s">
        <v>365</v>
      </c>
      <c r="E3439" s="2" t="s">
        <v>366</v>
      </c>
      <c r="F3439" s="2" t="s">
        <v>535</v>
      </c>
      <c r="G3439" s="2" t="s">
        <v>475</v>
      </c>
      <c r="H3439" s="2" t="s">
        <v>476</v>
      </c>
      <c r="I3439" s="26">
        <v>45119</v>
      </c>
      <c r="J3439" s="2">
        <v>9</v>
      </c>
      <c r="K3439" s="2" t="s">
        <v>123</v>
      </c>
      <c r="L3439" s="22">
        <v>5850</v>
      </c>
      <c r="M3439" s="22">
        <v>52650</v>
      </c>
      <c r="N3439" s="18">
        <v>56.31</v>
      </c>
      <c r="O3439" s="26">
        <v>45299</v>
      </c>
      <c r="P3439" s="2" t="s">
        <v>2105</v>
      </c>
      <c r="Q3439" s="2" t="s">
        <v>806</v>
      </c>
    </row>
    <row r="3440" spans="2:17" x14ac:dyDescent="0.25">
      <c r="B3440" s="2" t="s">
        <v>4245</v>
      </c>
      <c r="C3440" s="2" t="s">
        <v>364</v>
      </c>
      <c r="D3440" s="2" t="s">
        <v>365</v>
      </c>
      <c r="E3440" s="2" t="s">
        <v>366</v>
      </c>
      <c r="F3440" s="2" t="s">
        <v>535</v>
      </c>
      <c r="G3440" s="2" t="s">
        <v>475</v>
      </c>
      <c r="H3440" s="2" t="s">
        <v>476</v>
      </c>
      <c r="I3440" s="26">
        <v>45136</v>
      </c>
      <c r="J3440" s="2">
        <v>9</v>
      </c>
      <c r="K3440" s="2" t="s">
        <v>123</v>
      </c>
      <c r="L3440" s="22">
        <v>5850</v>
      </c>
      <c r="M3440" s="22">
        <v>52650</v>
      </c>
      <c r="N3440" s="18">
        <v>56.31</v>
      </c>
      <c r="O3440" s="26">
        <v>45316</v>
      </c>
      <c r="P3440" s="2" t="s">
        <v>2105</v>
      </c>
      <c r="Q3440" s="2" t="s">
        <v>806</v>
      </c>
    </row>
    <row r="3441" spans="2:17" x14ac:dyDescent="0.25">
      <c r="B3441" s="2" t="s">
        <v>4246</v>
      </c>
      <c r="C3441" s="2" t="s">
        <v>364</v>
      </c>
      <c r="D3441" s="2" t="s">
        <v>365</v>
      </c>
      <c r="E3441" s="2" t="s">
        <v>366</v>
      </c>
      <c r="F3441" s="2" t="s">
        <v>535</v>
      </c>
      <c r="G3441" s="2" t="s">
        <v>475</v>
      </c>
      <c r="H3441" s="2" t="s">
        <v>476</v>
      </c>
      <c r="I3441" s="26">
        <v>45160</v>
      </c>
      <c r="J3441" s="2">
        <v>9</v>
      </c>
      <c r="K3441" s="2" t="s">
        <v>123</v>
      </c>
      <c r="L3441" s="22">
        <v>5850</v>
      </c>
      <c r="M3441" s="22">
        <v>52650</v>
      </c>
      <c r="N3441" s="18">
        <v>56.31</v>
      </c>
      <c r="O3441" s="26">
        <v>45340</v>
      </c>
      <c r="P3441" s="2" t="s">
        <v>2105</v>
      </c>
      <c r="Q3441" s="2" t="s">
        <v>806</v>
      </c>
    </row>
    <row r="3442" spans="2:17" x14ac:dyDescent="0.25">
      <c r="B3442" s="2" t="s">
        <v>4247</v>
      </c>
      <c r="C3442" s="2" t="s">
        <v>364</v>
      </c>
      <c r="D3442" s="2" t="s">
        <v>365</v>
      </c>
      <c r="E3442" s="2" t="s">
        <v>366</v>
      </c>
      <c r="F3442" s="2" t="s">
        <v>535</v>
      </c>
      <c r="G3442" s="2" t="s">
        <v>475</v>
      </c>
      <c r="H3442" s="2" t="s">
        <v>476</v>
      </c>
      <c r="I3442" s="26">
        <v>45178</v>
      </c>
      <c r="J3442" s="2">
        <v>13</v>
      </c>
      <c r="K3442" s="2" t="s">
        <v>123</v>
      </c>
      <c r="L3442" s="22">
        <v>5850</v>
      </c>
      <c r="M3442" s="22">
        <v>76050</v>
      </c>
      <c r="N3442" s="18">
        <v>81.34</v>
      </c>
      <c r="O3442" s="26">
        <v>45358</v>
      </c>
      <c r="P3442" s="2" t="s">
        <v>2105</v>
      </c>
      <c r="Q3442" s="2" t="s">
        <v>814</v>
      </c>
    </row>
    <row r="3443" spans="2:17" x14ac:dyDescent="0.25">
      <c r="B3443" s="2" t="s">
        <v>4248</v>
      </c>
      <c r="C3443" s="2" t="s">
        <v>364</v>
      </c>
      <c r="D3443" s="2" t="s">
        <v>365</v>
      </c>
      <c r="E3443" s="2" t="s">
        <v>366</v>
      </c>
      <c r="F3443" s="2" t="s">
        <v>537</v>
      </c>
      <c r="G3443" s="2" t="s">
        <v>505</v>
      </c>
      <c r="H3443" s="2" t="s">
        <v>506</v>
      </c>
      <c r="I3443" s="26">
        <v>45198</v>
      </c>
      <c r="J3443" s="2">
        <v>14</v>
      </c>
      <c r="K3443" s="2" t="s">
        <v>123</v>
      </c>
      <c r="L3443" s="22">
        <v>6300</v>
      </c>
      <c r="M3443" s="22">
        <v>88200</v>
      </c>
      <c r="N3443" s="18">
        <v>94.33</v>
      </c>
      <c r="O3443" s="26">
        <v>45378</v>
      </c>
      <c r="P3443" s="2" t="s">
        <v>2105</v>
      </c>
      <c r="Q3443" s="2" t="s">
        <v>814</v>
      </c>
    </row>
    <row r="3444" spans="2:17" x14ac:dyDescent="0.25">
      <c r="B3444" s="2" t="s">
        <v>4249</v>
      </c>
      <c r="C3444" s="2" t="s">
        <v>364</v>
      </c>
      <c r="D3444" s="2" t="s">
        <v>365</v>
      </c>
      <c r="E3444" s="2" t="s">
        <v>366</v>
      </c>
      <c r="F3444" s="2" t="s">
        <v>535</v>
      </c>
      <c r="G3444" s="2" t="s">
        <v>475</v>
      </c>
      <c r="H3444" s="2" t="s">
        <v>476</v>
      </c>
      <c r="I3444" s="26">
        <v>45220</v>
      </c>
      <c r="J3444" s="2">
        <v>10</v>
      </c>
      <c r="K3444" s="2" t="s">
        <v>123</v>
      </c>
      <c r="L3444" s="22">
        <v>5850</v>
      </c>
      <c r="M3444" s="22">
        <v>58500</v>
      </c>
      <c r="N3444" s="18">
        <v>62.57</v>
      </c>
      <c r="O3444" s="26">
        <v>45400</v>
      </c>
      <c r="P3444" s="2" t="s">
        <v>2105</v>
      </c>
      <c r="Q3444" s="2" t="s">
        <v>814</v>
      </c>
    </row>
    <row r="3445" spans="2:17" x14ac:dyDescent="0.25">
      <c r="B3445" s="2" t="s">
        <v>4250</v>
      </c>
      <c r="C3445" s="2" t="s">
        <v>364</v>
      </c>
      <c r="D3445" s="2" t="s">
        <v>365</v>
      </c>
      <c r="E3445" s="2" t="s">
        <v>366</v>
      </c>
      <c r="F3445" s="2" t="s">
        <v>535</v>
      </c>
      <c r="G3445" s="2" t="s">
        <v>475</v>
      </c>
      <c r="H3445" s="2" t="s">
        <v>476</v>
      </c>
      <c r="I3445" s="26">
        <v>45239</v>
      </c>
      <c r="J3445" s="2">
        <v>11</v>
      </c>
      <c r="K3445" s="2" t="s">
        <v>123</v>
      </c>
      <c r="L3445" s="22">
        <v>5850</v>
      </c>
      <c r="M3445" s="22">
        <v>64350</v>
      </c>
      <c r="N3445" s="18">
        <v>68.819999999999993</v>
      </c>
      <c r="O3445" s="26">
        <v>45419</v>
      </c>
      <c r="P3445" s="2" t="s">
        <v>2105</v>
      </c>
      <c r="Q3445" s="2" t="s">
        <v>814</v>
      </c>
    </row>
    <row r="3446" spans="2:17" x14ac:dyDescent="0.25">
      <c r="B3446" s="2" t="s">
        <v>4251</v>
      </c>
      <c r="C3446" s="2" t="s">
        <v>364</v>
      </c>
      <c r="D3446" s="2" t="s">
        <v>365</v>
      </c>
      <c r="E3446" s="2" t="s">
        <v>366</v>
      </c>
      <c r="F3446" s="2" t="s">
        <v>535</v>
      </c>
      <c r="G3446" s="2" t="s">
        <v>475</v>
      </c>
      <c r="H3446" s="2" t="s">
        <v>476</v>
      </c>
      <c r="I3446" s="26">
        <v>45257</v>
      </c>
      <c r="J3446" s="2">
        <v>10</v>
      </c>
      <c r="K3446" s="2" t="s">
        <v>123</v>
      </c>
      <c r="L3446" s="22">
        <v>5850</v>
      </c>
      <c r="M3446" s="22">
        <v>58500</v>
      </c>
      <c r="N3446" s="18">
        <v>62.57</v>
      </c>
      <c r="O3446" s="26">
        <v>45437</v>
      </c>
      <c r="P3446" s="2" t="s">
        <v>2105</v>
      </c>
      <c r="Q3446" s="2" t="s">
        <v>814</v>
      </c>
    </row>
    <row r="3447" spans="2:17" x14ac:dyDescent="0.25">
      <c r="B3447" s="2" t="s">
        <v>4252</v>
      </c>
      <c r="C3447" s="2" t="s">
        <v>364</v>
      </c>
      <c r="D3447" s="2" t="s">
        <v>365</v>
      </c>
      <c r="E3447" s="2" t="s">
        <v>366</v>
      </c>
      <c r="F3447" s="2" t="s">
        <v>535</v>
      </c>
      <c r="G3447" s="2" t="s">
        <v>475</v>
      </c>
      <c r="H3447" s="2" t="s">
        <v>476</v>
      </c>
      <c r="I3447" s="26">
        <v>45279</v>
      </c>
      <c r="J3447" s="2">
        <v>12</v>
      </c>
      <c r="K3447" s="2" t="s">
        <v>123</v>
      </c>
      <c r="L3447" s="22">
        <v>5850</v>
      </c>
      <c r="M3447" s="22">
        <v>70200</v>
      </c>
      <c r="N3447" s="18">
        <v>75.08</v>
      </c>
      <c r="O3447" s="26">
        <v>45459</v>
      </c>
      <c r="P3447" s="2" t="s">
        <v>2105</v>
      </c>
      <c r="Q3447" s="2" t="s">
        <v>825</v>
      </c>
    </row>
    <row r="3448" spans="2:17" x14ac:dyDescent="0.25">
      <c r="B3448" s="2" t="s">
        <v>4253</v>
      </c>
      <c r="C3448" s="2" t="s">
        <v>364</v>
      </c>
      <c r="D3448" s="2" t="s">
        <v>365</v>
      </c>
      <c r="E3448" s="2" t="s">
        <v>366</v>
      </c>
      <c r="F3448" s="2" t="s">
        <v>535</v>
      </c>
      <c r="G3448" s="2" t="s">
        <v>475</v>
      </c>
      <c r="H3448" s="2" t="s">
        <v>476</v>
      </c>
      <c r="I3448" s="26">
        <v>45300</v>
      </c>
      <c r="J3448" s="2">
        <v>9</v>
      </c>
      <c r="K3448" s="2" t="s">
        <v>123</v>
      </c>
      <c r="L3448" s="22">
        <v>5850</v>
      </c>
      <c r="M3448" s="22">
        <v>52650</v>
      </c>
      <c r="N3448" s="18">
        <v>56.31</v>
      </c>
      <c r="O3448" s="26">
        <v>45480</v>
      </c>
      <c r="P3448" s="2" t="s">
        <v>2105</v>
      </c>
      <c r="Q3448" s="2" t="s">
        <v>825</v>
      </c>
    </row>
    <row r="3449" spans="2:17" x14ac:dyDescent="0.25">
      <c r="B3449" s="2" t="s">
        <v>4254</v>
      </c>
      <c r="C3449" s="2" t="s">
        <v>364</v>
      </c>
      <c r="D3449" s="2" t="s">
        <v>365</v>
      </c>
      <c r="E3449" s="2" t="s">
        <v>366</v>
      </c>
      <c r="F3449" s="2" t="s">
        <v>535</v>
      </c>
      <c r="G3449" s="2" t="s">
        <v>475</v>
      </c>
      <c r="H3449" s="2" t="s">
        <v>476</v>
      </c>
      <c r="I3449" s="26">
        <v>45321</v>
      </c>
      <c r="J3449" s="2">
        <v>11</v>
      </c>
      <c r="K3449" s="2" t="s">
        <v>123</v>
      </c>
      <c r="L3449" s="22">
        <v>5850</v>
      </c>
      <c r="M3449" s="22">
        <v>64350</v>
      </c>
      <c r="N3449" s="18">
        <v>68.819999999999993</v>
      </c>
      <c r="O3449" s="26">
        <v>45501</v>
      </c>
      <c r="P3449" s="2" t="s">
        <v>2105</v>
      </c>
      <c r="Q3449" s="2" t="s">
        <v>825</v>
      </c>
    </row>
    <row r="3450" spans="2:17" x14ac:dyDescent="0.25">
      <c r="B3450" s="2" t="s">
        <v>4255</v>
      </c>
      <c r="C3450" s="2" t="s">
        <v>364</v>
      </c>
      <c r="D3450" s="2" t="s">
        <v>365</v>
      </c>
      <c r="E3450" s="2" t="s">
        <v>366</v>
      </c>
      <c r="F3450" s="2" t="s">
        <v>535</v>
      </c>
      <c r="G3450" s="2" t="s">
        <v>475</v>
      </c>
      <c r="H3450" s="2" t="s">
        <v>476</v>
      </c>
      <c r="I3450" s="26">
        <v>45339</v>
      </c>
      <c r="J3450" s="2">
        <v>10</v>
      </c>
      <c r="K3450" s="2" t="s">
        <v>123</v>
      </c>
      <c r="L3450" s="22">
        <v>5850</v>
      </c>
      <c r="M3450" s="22">
        <v>58500</v>
      </c>
      <c r="N3450" s="18">
        <v>62.57</v>
      </c>
      <c r="O3450" s="26">
        <v>45519</v>
      </c>
      <c r="P3450" s="2" t="s">
        <v>2105</v>
      </c>
      <c r="Q3450" s="2" t="s">
        <v>825</v>
      </c>
    </row>
    <row r="3451" spans="2:17" x14ac:dyDescent="0.25">
      <c r="B3451" s="2" t="s">
        <v>4256</v>
      </c>
      <c r="C3451" s="2" t="s">
        <v>364</v>
      </c>
      <c r="D3451" s="2" t="s">
        <v>365</v>
      </c>
      <c r="E3451" s="2" t="s">
        <v>366</v>
      </c>
      <c r="F3451" s="2" t="s">
        <v>537</v>
      </c>
      <c r="G3451" s="2" t="s">
        <v>505</v>
      </c>
      <c r="H3451" s="2" t="s">
        <v>506</v>
      </c>
      <c r="I3451" s="26">
        <v>45358</v>
      </c>
      <c r="J3451" s="2">
        <v>9</v>
      </c>
      <c r="K3451" s="2" t="s">
        <v>123</v>
      </c>
      <c r="L3451" s="22">
        <v>6300</v>
      </c>
      <c r="M3451" s="22">
        <v>56700</v>
      </c>
      <c r="N3451" s="18">
        <v>60.64</v>
      </c>
      <c r="O3451" s="26">
        <v>45538</v>
      </c>
      <c r="P3451" s="2" t="s">
        <v>2105</v>
      </c>
      <c r="Q3451" s="2" t="s">
        <v>836</v>
      </c>
    </row>
    <row r="3452" spans="2:17" x14ac:dyDescent="0.25">
      <c r="B3452" s="2" t="s">
        <v>4257</v>
      </c>
      <c r="C3452" s="2" t="s">
        <v>364</v>
      </c>
      <c r="D3452" s="2" t="s">
        <v>365</v>
      </c>
      <c r="E3452" s="2" t="s">
        <v>366</v>
      </c>
      <c r="F3452" s="2" t="s">
        <v>535</v>
      </c>
      <c r="G3452" s="2" t="s">
        <v>475</v>
      </c>
      <c r="H3452" s="2" t="s">
        <v>476</v>
      </c>
      <c r="I3452" s="26">
        <v>45378</v>
      </c>
      <c r="J3452" s="2">
        <v>11</v>
      </c>
      <c r="K3452" s="2" t="s">
        <v>123</v>
      </c>
      <c r="L3452" s="22">
        <v>5850</v>
      </c>
      <c r="M3452" s="22">
        <v>64350</v>
      </c>
      <c r="N3452" s="18">
        <v>68.819999999999993</v>
      </c>
      <c r="O3452" s="26">
        <v>45558</v>
      </c>
      <c r="P3452" s="2" t="s">
        <v>2105</v>
      </c>
      <c r="Q3452" s="2" t="s">
        <v>836</v>
      </c>
    </row>
    <row r="3453" spans="2:17" x14ac:dyDescent="0.25">
      <c r="B3453" s="2" t="s">
        <v>4258</v>
      </c>
      <c r="C3453" s="2" t="s">
        <v>364</v>
      </c>
      <c r="D3453" s="2" t="s">
        <v>365</v>
      </c>
      <c r="E3453" s="2" t="s">
        <v>366</v>
      </c>
      <c r="F3453" s="2" t="s">
        <v>535</v>
      </c>
      <c r="G3453" s="2" t="s">
        <v>475</v>
      </c>
      <c r="H3453" s="2" t="s">
        <v>476</v>
      </c>
      <c r="I3453" s="26">
        <v>45400</v>
      </c>
      <c r="J3453" s="2">
        <v>11</v>
      </c>
      <c r="K3453" s="2" t="s">
        <v>123</v>
      </c>
      <c r="L3453" s="22">
        <v>5850</v>
      </c>
      <c r="M3453" s="22">
        <v>64350</v>
      </c>
      <c r="N3453" s="18">
        <v>68.819999999999993</v>
      </c>
      <c r="O3453" s="26">
        <v>45580</v>
      </c>
      <c r="P3453" s="2" t="s">
        <v>2105</v>
      </c>
      <c r="Q3453" s="2" t="s">
        <v>836</v>
      </c>
    </row>
    <row r="3454" spans="2:17" x14ac:dyDescent="0.25">
      <c r="B3454" s="2" t="s">
        <v>4259</v>
      </c>
      <c r="C3454" s="2" t="s">
        <v>364</v>
      </c>
      <c r="D3454" s="2" t="s">
        <v>365</v>
      </c>
      <c r="E3454" s="2" t="s">
        <v>366</v>
      </c>
      <c r="F3454" s="2" t="s">
        <v>535</v>
      </c>
      <c r="G3454" s="2" t="s">
        <v>475</v>
      </c>
      <c r="H3454" s="2" t="s">
        <v>476</v>
      </c>
      <c r="I3454" s="26">
        <v>45421</v>
      </c>
      <c r="J3454" s="2">
        <v>10</v>
      </c>
      <c r="K3454" s="2" t="s">
        <v>123</v>
      </c>
      <c r="L3454" s="22">
        <v>5850</v>
      </c>
      <c r="M3454" s="22">
        <v>58500</v>
      </c>
      <c r="N3454" s="18">
        <v>62.57</v>
      </c>
      <c r="O3454" s="26">
        <v>45601</v>
      </c>
      <c r="P3454" s="2" t="s">
        <v>2105</v>
      </c>
      <c r="Q3454" s="2" t="s">
        <v>836</v>
      </c>
    </row>
    <row r="3455" spans="2:17" x14ac:dyDescent="0.25">
      <c r="B3455" s="2" t="s">
        <v>4260</v>
      </c>
      <c r="C3455" s="2" t="s">
        <v>364</v>
      </c>
      <c r="D3455" s="2" t="s">
        <v>365</v>
      </c>
      <c r="E3455" s="2" t="s">
        <v>366</v>
      </c>
      <c r="F3455" s="2" t="s">
        <v>535</v>
      </c>
      <c r="G3455" s="2" t="s">
        <v>475</v>
      </c>
      <c r="H3455" s="2" t="s">
        <v>476</v>
      </c>
      <c r="I3455" s="26">
        <v>45444</v>
      </c>
      <c r="J3455" s="2">
        <v>11</v>
      </c>
      <c r="K3455" s="2" t="s">
        <v>123</v>
      </c>
      <c r="L3455" s="22">
        <v>5850</v>
      </c>
      <c r="M3455" s="22">
        <v>64350</v>
      </c>
      <c r="N3455" s="18">
        <v>68.819999999999993</v>
      </c>
      <c r="O3455" s="26">
        <v>45624</v>
      </c>
      <c r="P3455" s="2" t="s">
        <v>2105</v>
      </c>
      <c r="Q3455" s="2" t="s">
        <v>806</v>
      </c>
    </row>
    <row r="3456" spans="2:17" x14ac:dyDescent="0.25">
      <c r="B3456" s="2" t="s">
        <v>4261</v>
      </c>
      <c r="C3456" s="2" t="s">
        <v>364</v>
      </c>
      <c r="D3456" s="2" t="s">
        <v>365</v>
      </c>
      <c r="E3456" s="2" t="s">
        <v>366</v>
      </c>
      <c r="F3456" s="2" t="s">
        <v>535</v>
      </c>
      <c r="G3456" s="2" t="s">
        <v>475</v>
      </c>
      <c r="H3456" s="2" t="s">
        <v>476</v>
      </c>
      <c r="I3456" s="26">
        <v>45464</v>
      </c>
      <c r="J3456" s="2">
        <v>11</v>
      </c>
      <c r="K3456" s="2" t="s">
        <v>123</v>
      </c>
      <c r="L3456" s="22">
        <v>5850</v>
      </c>
      <c r="M3456" s="22">
        <v>64350</v>
      </c>
      <c r="N3456" s="18">
        <v>68.819999999999993</v>
      </c>
      <c r="O3456" s="26">
        <v>45644</v>
      </c>
      <c r="P3456" s="2" t="s">
        <v>2105</v>
      </c>
      <c r="Q3456" s="2" t="s">
        <v>806</v>
      </c>
    </row>
    <row r="3457" spans="2:17" x14ac:dyDescent="0.25">
      <c r="B3457" s="2" t="s">
        <v>4262</v>
      </c>
      <c r="C3457" s="2" t="s">
        <v>364</v>
      </c>
      <c r="D3457" s="2" t="s">
        <v>365</v>
      </c>
      <c r="E3457" s="2" t="s">
        <v>366</v>
      </c>
      <c r="F3457" s="2" t="s">
        <v>535</v>
      </c>
      <c r="G3457" s="2" t="s">
        <v>475</v>
      </c>
      <c r="H3457" s="2" t="s">
        <v>476</v>
      </c>
      <c r="I3457" s="26">
        <v>45485</v>
      </c>
      <c r="J3457" s="2">
        <v>10</v>
      </c>
      <c r="K3457" s="2" t="s">
        <v>123</v>
      </c>
      <c r="L3457" s="22">
        <v>5850</v>
      </c>
      <c r="M3457" s="22">
        <v>58500</v>
      </c>
      <c r="N3457" s="18">
        <v>62.57</v>
      </c>
      <c r="O3457" s="26">
        <v>45665</v>
      </c>
      <c r="P3457" s="2" t="s">
        <v>2105</v>
      </c>
      <c r="Q3457" s="2" t="s">
        <v>806</v>
      </c>
    </row>
    <row r="3458" spans="2:17" x14ac:dyDescent="0.25">
      <c r="B3458" s="2" t="s">
        <v>4263</v>
      </c>
      <c r="C3458" s="2" t="s">
        <v>364</v>
      </c>
      <c r="D3458" s="2" t="s">
        <v>365</v>
      </c>
      <c r="E3458" s="2" t="s">
        <v>366</v>
      </c>
      <c r="F3458" s="2" t="s">
        <v>535</v>
      </c>
      <c r="G3458" s="2" t="s">
        <v>475</v>
      </c>
      <c r="H3458" s="2" t="s">
        <v>476</v>
      </c>
      <c r="I3458" s="26">
        <v>45506</v>
      </c>
      <c r="J3458" s="2">
        <v>10</v>
      </c>
      <c r="K3458" s="2" t="s">
        <v>123</v>
      </c>
      <c r="L3458" s="22">
        <v>5850</v>
      </c>
      <c r="M3458" s="22">
        <v>58500</v>
      </c>
      <c r="N3458" s="18">
        <v>62.57</v>
      </c>
      <c r="O3458" s="26">
        <v>45686</v>
      </c>
      <c r="P3458" s="2" t="s">
        <v>2105</v>
      </c>
      <c r="Q3458" s="2" t="s">
        <v>806</v>
      </c>
    </row>
    <row r="3459" spans="2:17" x14ac:dyDescent="0.25">
      <c r="B3459" s="2" t="s">
        <v>4264</v>
      </c>
      <c r="C3459" s="2" t="s">
        <v>364</v>
      </c>
      <c r="D3459" s="2" t="s">
        <v>365</v>
      </c>
      <c r="E3459" s="2" t="s">
        <v>366</v>
      </c>
      <c r="F3459" s="2" t="s">
        <v>535</v>
      </c>
      <c r="G3459" s="2" t="s">
        <v>475</v>
      </c>
      <c r="H3459" s="2" t="s">
        <v>476</v>
      </c>
      <c r="I3459" s="26">
        <v>45528</v>
      </c>
      <c r="J3459" s="2">
        <v>9</v>
      </c>
      <c r="K3459" s="2" t="s">
        <v>123</v>
      </c>
      <c r="L3459" s="22">
        <v>5850</v>
      </c>
      <c r="M3459" s="22">
        <v>52650</v>
      </c>
      <c r="N3459" s="18">
        <v>56.31</v>
      </c>
      <c r="O3459" s="26">
        <v>45708</v>
      </c>
      <c r="P3459" s="2" t="s">
        <v>2105</v>
      </c>
      <c r="Q3459" s="2" t="s">
        <v>806</v>
      </c>
    </row>
    <row r="3460" spans="2:17" x14ac:dyDescent="0.25">
      <c r="B3460" s="2" t="s">
        <v>4265</v>
      </c>
      <c r="C3460" s="2" t="s">
        <v>364</v>
      </c>
      <c r="D3460" s="2" t="s">
        <v>365</v>
      </c>
      <c r="E3460" s="2" t="s">
        <v>366</v>
      </c>
      <c r="F3460" s="2" t="s">
        <v>535</v>
      </c>
      <c r="G3460" s="2" t="s">
        <v>475</v>
      </c>
      <c r="H3460" s="2" t="s">
        <v>476</v>
      </c>
      <c r="I3460" s="26">
        <v>45543</v>
      </c>
      <c r="J3460" s="2">
        <v>13</v>
      </c>
      <c r="K3460" s="2" t="s">
        <v>123</v>
      </c>
      <c r="L3460" s="22">
        <v>5850</v>
      </c>
      <c r="M3460" s="22">
        <v>76050</v>
      </c>
      <c r="N3460" s="18">
        <v>81.34</v>
      </c>
      <c r="O3460" s="26">
        <v>45723</v>
      </c>
      <c r="P3460" s="2" t="s">
        <v>2105</v>
      </c>
      <c r="Q3460" s="2" t="s">
        <v>814</v>
      </c>
    </row>
    <row r="3461" spans="2:17" x14ac:dyDescent="0.25">
      <c r="B3461" s="2" t="s">
        <v>4266</v>
      </c>
      <c r="C3461" s="2" t="s">
        <v>364</v>
      </c>
      <c r="D3461" s="2" t="s">
        <v>365</v>
      </c>
      <c r="E3461" s="2" t="s">
        <v>366</v>
      </c>
      <c r="F3461" s="2" t="s">
        <v>535</v>
      </c>
      <c r="G3461" s="2" t="s">
        <v>475</v>
      </c>
      <c r="H3461" s="2" t="s">
        <v>476</v>
      </c>
      <c r="I3461" s="26">
        <v>45564</v>
      </c>
      <c r="J3461" s="2">
        <v>13</v>
      </c>
      <c r="K3461" s="2" t="s">
        <v>123</v>
      </c>
      <c r="L3461" s="22">
        <v>5850</v>
      </c>
      <c r="M3461" s="22">
        <v>76050</v>
      </c>
      <c r="N3461" s="18">
        <v>81.34</v>
      </c>
      <c r="O3461" s="26">
        <v>45744</v>
      </c>
      <c r="P3461" s="2" t="s">
        <v>2105</v>
      </c>
      <c r="Q3461" s="2" t="s">
        <v>814</v>
      </c>
    </row>
    <row r="3462" spans="2:17" x14ac:dyDescent="0.25">
      <c r="B3462" s="2" t="s">
        <v>4267</v>
      </c>
      <c r="C3462" s="2" t="s">
        <v>364</v>
      </c>
      <c r="D3462" s="2" t="s">
        <v>365</v>
      </c>
      <c r="E3462" s="2" t="s">
        <v>366</v>
      </c>
      <c r="F3462" s="2" t="s">
        <v>535</v>
      </c>
      <c r="G3462" s="2" t="s">
        <v>475</v>
      </c>
      <c r="H3462" s="2" t="s">
        <v>476</v>
      </c>
      <c r="I3462" s="26">
        <v>45589</v>
      </c>
      <c r="J3462" s="2">
        <v>11</v>
      </c>
      <c r="K3462" s="2" t="s">
        <v>123</v>
      </c>
      <c r="L3462" s="22">
        <v>5850</v>
      </c>
      <c r="M3462" s="22">
        <v>64350</v>
      </c>
      <c r="N3462" s="18">
        <v>68.819999999999993</v>
      </c>
      <c r="O3462" s="26">
        <v>45769</v>
      </c>
      <c r="P3462" s="2" t="s">
        <v>2105</v>
      </c>
      <c r="Q3462" s="2" t="s">
        <v>814</v>
      </c>
    </row>
    <row r="3463" spans="2:17" x14ac:dyDescent="0.25">
      <c r="B3463" s="2" t="s">
        <v>4268</v>
      </c>
      <c r="C3463" s="2" t="s">
        <v>364</v>
      </c>
      <c r="D3463" s="2" t="s">
        <v>365</v>
      </c>
      <c r="E3463" s="2" t="s">
        <v>366</v>
      </c>
      <c r="F3463" s="2" t="s">
        <v>535</v>
      </c>
      <c r="G3463" s="2" t="s">
        <v>475</v>
      </c>
      <c r="H3463" s="2" t="s">
        <v>476</v>
      </c>
      <c r="I3463" s="26">
        <v>45611</v>
      </c>
      <c r="J3463" s="2">
        <v>10</v>
      </c>
      <c r="K3463" s="2" t="s">
        <v>123</v>
      </c>
      <c r="L3463" s="22">
        <v>5850</v>
      </c>
      <c r="M3463" s="22">
        <v>58500</v>
      </c>
      <c r="N3463" s="18">
        <v>62.57</v>
      </c>
      <c r="O3463" s="26">
        <v>45791</v>
      </c>
      <c r="P3463" s="2" t="s">
        <v>2105</v>
      </c>
      <c r="Q3463" s="2" t="s">
        <v>814</v>
      </c>
    </row>
    <row r="3464" spans="2:17" x14ac:dyDescent="0.25">
      <c r="B3464" s="2" t="s">
        <v>4269</v>
      </c>
      <c r="C3464" s="2" t="s">
        <v>364</v>
      </c>
      <c r="D3464" s="2" t="s">
        <v>365</v>
      </c>
      <c r="E3464" s="2" t="s">
        <v>366</v>
      </c>
      <c r="F3464" s="2" t="s">
        <v>537</v>
      </c>
      <c r="G3464" s="2" t="s">
        <v>505</v>
      </c>
      <c r="H3464" s="2" t="s">
        <v>506</v>
      </c>
      <c r="I3464" s="26">
        <v>45634</v>
      </c>
      <c r="J3464" s="2">
        <v>14</v>
      </c>
      <c r="K3464" s="2" t="s">
        <v>123</v>
      </c>
      <c r="L3464" s="22">
        <v>6300</v>
      </c>
      <c r="M3464" s="22">
        <v>88200</v>
      </c>
      <c r="N3464" s="18">
        <v>94.33</v>
      </c>
      <c r="O3464" s="26">
        <v>45814</v>
      </c>
      <c r="P3464" s="2" t="s">
        <v>2105</v>
      </c>
      <c r="Q3464" s="2" t="s">
        <v>825</v>
      </c>
    </row>
    <row r="3465" spans="2:17" x14ac:dyDescent="0.25">
      <c r="B3465" s="2" t="s">
        <v>4270</v>
      </c>
      <c r="C3465" s="2" t="s">
        <v>364</v>
      </c>
      <c r="D3465" s="2" t="s">
        <v>365</v>
      </c>
      <c r="E3465" s="2" t="s">
        <v>366</v>
      </c>
      <c r="F3465" s="2" t="s">
        <v>535</v>
      </c>
      <c r="G3465" s="2" t="s">
        <v>475</v>
      </c>
      <c r="H3465" s="2" t="s">
        <v>476</v>
      </c>
      <c r="I3465" s="26">
        <v>45655</v>
      </c>
      <c r="J3465" s="2">
        <v>14</v>
      </c>
      <c r="K3465" s="2" t="s">
        <v>123</v>
      </c>
      <c r="L3465" s="22">
        <v>5850</v>
      </c>
      <c r="M3465" s="22">
        <v>81900</v>
      </c>
      <c r="N3465" s="18">
        <v>87.59</v>
      </c>
      <c r="O3465" s="26">
        <v>45835</v>
      </c>
      <c r="P3465" s="2" t="s">
        <v>2105</v>
      </c>
      <c r="Q3465" s="2" t="s">
        <v>825</v>
      </c>
    </row>
    <row r="3466" spans="2:17" x14ac:dyDescent="0.25">
      <c r="B3466" s="2" t="s">
        <v>4271</v>
      </c>
      <c r="C3466" s="2" t="s">
        <v>364</v>
      </c>
      <c r="D3466" s="2" t="s">
        <v>365</v>
      </c>
      <c r="E3466" s="2" t="s">
        <v>366</v>
      </c>
      <c r="F3466" s="2" t="s">
        <v>535</v>
      </c>
      <c r="G3466" s="2" t="s">
        <v>475</v>
      </c>
      <c r="H3466" s="2" t="s">
        <v>476</v>
      </c>
      <c r="I3466" s="26">
        <v>45681</v>
      </c>
      <c r="J3466" s="2">
        <v>12</v>
      </c>
      <c r="K3466" s="2" t="s">
        <v>123</v>
      </c>
      <c r="L3466" s="22">
        <v>5850</v>
      </c>
      <c r="M3466" s="22">
        <v>70200</v>
      </c>
      <c r="N3466" s="18">
        <v>75.08</v>
      </c>
      <c r="O3466" s="26">
        <v>45861</v>
      </c>
      <c r="P3466" s="2" t="s">
        <v>2105</v>
      </c>
      <c r="Q3466" s="2" t="s">
        <v>825</v>
      </c>
    </row>
    <row r="3467" spans="2:17" x14ac:dyDescent="0.25">
      <c r="B3467" s="2" t="s">
        <v>4272</v>
      </c>
      <c r="C3467" s="2" t="s">
        <v>364</v>
      </c>
      <c r="D3467" s="2" t="s">
        <v>365</v>
      </c>
      <c r="E3467" s="2" t="s">
        <v>366</v>
      </c>
      <c r="F3467" s="2" t="s">
        <v>535</v>
      </c>
      <c r="G3467" s="2" t="s">
        <v>475</v>
      </c>
      <c r="H3467" s="2" t="s">
        <v>476</v>
      </c>
      <c r="I3467" s="26">
        <v>45698</v>
      </c>
      <c r="J3467" s="2">
        <v>11</v>
      </c>
      <c r="K3467" s="2" t="s">
        <v>123</v>
      </c>
      <c r="L3467" s="22">
        <v>5850</v>
      </c>
      <c r="M3467" s="22">
        <v>64350</v>
      </c>
      <c r="N3467" s="18">
        <v>68.819999999999993</v>
      </c>
      <c r="O3467" s="26">
        <v>45878</v>
      </c>
      <c r="P3467" s="2" t="s">
        <v>2105</v>
      </c>
      <c r="Q3467" s="2" t="s">
        <v>825</v>
      </c>
    </row>
    <row r="3468" spans="2:17" x14ac:dyDescent="0.25">
      <c r="B3468" s="2" t="s">
        <v>4273</v>
      </c>
      <c r="C3468" s="2" t="s">
        <v>364</v>
      </c>
      <c r="D3468" s="2" t="s">
        <v>365</v>
      </c>
      <c r="E3468" s="2" t="s">
        <v>366</v>
      </c>
      <c r="F3468" s="2" t="s">
        <v>535</v>
      </c>
      <c r="G3468" s="2" t="s">
        <v>475</v>
      </c>
      <c r="H3468" s="2" t="s">
        <v>476</v>
      </c>
      <c r="I3468" s="26">
        <v>45723</v>
      </c>
      <c r="J3468" s="2">
        <v>11</v>
      </c>
      <c r="K3468" s="2" t="s">
        <v>123</v>
      </c>
      <c r="L3468" s="22">
        <v>5850</v>
      </c>
      <c r="M3468" s="22">
        <v>64350</v>
      </c>
      <c r="N3468" s="18">
        <v>68.819999999999993</v>
      </c>
      <c r="O3468" s="26">
        <v>45903</v>
      </c>
      <c r="P3468" s="2" t="s">
        <v>2105</v>
      </c>
      <c r="Q3468" s="2" t="s">
        <v>836</v>
      </c>
    </row>
    <row r="3469" spans="2:17" x14ac:dyDescent="0.25">
      <c r="B3469" s="2" t="s">
        <v>4274</v>
      </c>
      <c r="C3469" s="2" t="s">
        <v>364</v>
      </c>
      <c r="D3469" s="2" t="s">
        <v>365</v>
      </c>
      <c r="E3469" s="2" t="s">
        <v>366</v>
      </c>
      <c r="F3469" s="2" t="s">
        <v>535</v>
      </c>
      <c r="G3469" s="2" t="s">
        <v>475</v>
      </c>
      <c r="H3469" s="2" t="s">
        <v>476</v>
      </c>
      <c r="I3469" s="26">
        <v>45747</v>
      </c>
      <c r="J3469" s="2">
        <v>11</v>
      </c>
      <c r="K3469" s="2" t="s">
        <v>123</v>
      </c>
      <c r="L3469" s="22">
        <v>5850</v>
      </c>
      <c r="M3469" s="22">
        <v>64350</v>
      </c>
      <c r="N3469" s="18">
        <v>68.819999999999993</v>
      </c>
      <c r="O3469" s="26">
        <v>45927</v>
      </c>
      <c r="P3469" s="2" t="s">
        <v>2105</v>
      </c>
      <c r="Q3469" s="2" t="s">
        <v>836</v>
      </c>
    </row>
    <row r="3470" spans="2:17" x14ac:dyDescent="0.25">
      <c r="B3470" s="2" t="s">
        <v>4275</v>
      </c>
      <c r="C3470" s="2" t="s">
        <v>364</v>
      </c>
      <c r="D3470" s="2" t="s">
        <v>365</v>
      </c>
      <c r="E3470" s="2" t="s">
        <v>366</v>
      </c>
      <c r="F3470" s="2" t="s">
        <v>535</v>
      </c>
      <c r="G3470" s="2" t="s">
        <v>475</v>
      </c>
      <c r="H3470" s="2" t="s">
        <v>476</v>
      </c>
      <c r="I3470" s="26">
        <v>45766</v>
      </c>
      <c r="J3470" s="2">
        <v>10</v>
      </c>
      <c r="K3470" s="2" t="s">
        <v>123</v>
      </c>
      <c r="L3470" s="22">
        <v>5850</v>
      </c>
      <c r="M3470" s="22">
        <v>58500</v>
      </c>
      <c r="N3470" s="18">
        <v>62.57</v>
      </c>
      <c r="O3470" s="26">
        <v>45946</v>
      </c>
      <c r="P3470" s="2" t="s">
        <v>2105</v>
      </c>
      <c r="Q3470" s="2" t="s">
        <v>836</v>
      </c>
    </row>
    <row r="3471" spans="2:17" x14ac:dyDescent="0.25">
      <c r="B3471" s="2" t="s">
        <v>4276</v>
      </c>
      <c r="C3471" s="2" t="s">
        <v>364</v>
      </c>
      <c r="D3471" s="2" t="s">
        <v>365</v>
      </c>
      <c r="E3471" s="2" t="s">
        <v>366</v>
      </c>
      <c r="F3471" s="2" t="s">
        <v>537</v>
      </c>
      <c r="G3471" s="2" t="s">
        <v>505</v>
      </c>
      <c r="H3471" s="2" t="s">
        <v>506</v>
      </c>
      <c r="I3471" s="26">
        <v>45784</v>
      </c>
      <c r="J3471" s="2">
        <v>10</v>
      </c>
      <c r="K3471" s="2" t="s">
        <v>123</v>
      </c>
      <c r="L3471" s="22">
        <v>6300</v>
      </c>
      <c r="M3471" s="22">
        <v>63000</v>
      </c>
      <c r="N3471" s="18">
        <v>67.38</v>
      </c>
      <c r="O3471" s="26">
        <v>45964</v>
      </c>
      <c r="P3471" s="2" t="s">
        <v>2105</v>
      </c>
      <c r="Q3471" s="2" t="s">
        <v>836</v>
      </c>
    </row>
    <row r="3472" spans="2:17" x14ac:dyDescent="0.25">
      <c r="B3472" s="2" t="s">
        <v>4277</v>
      </c>
      <c r="C3472" s="2" t="s">
        <v>364</v>
      </c>
      <c r="D3472" s="2" t="s">
        <v>365</v>
      </c>
      <c r="E3472" s="2" t="s">
        <v>366</v>
      </c>
      <c r="F3472" s="2" t="s">
        <v>535</v>
      </c>
      <c r="G3472" s="2" t="s">
        <v>475</v>
      </c>
      <c r="H3472" s="2" t="s">
        <v>476</v>
      </c>
      <c r="I3472" s="26">
        <v>45805</v>
      </c>
      <c r="J3472" s="2">
        <v>10</v>
      </c>
      <c r="K3472" s="2" t="s">
        <v>123</v>
      </c>
      <c r="L3472" s="22">
        <v>5850</v>
      </c>
      <c r="M3472" s="22">
        <v>58500</v>
      </c>
      <c r="N3472" s="18">
        <v>62.57</v>
      </c>
      <c r="O3472" s="26">
        <v>45985</v>
      </c>
      <c r="P3472" s="2" t="s">
        <v>2105</v>
      </c>
      <c r="Q3472" s="2" t="s">
        <v>836</v>
      </c>
    </row>
    <row r="3473" spans="2:17" x14ac:dyDescent="0.25">
      <c r="B3473" s="2" t="s">
        <v>4278</v>
      </c>
      <c r="C3473" s="2" t="s">
        <v>364</v>
      </c>
      <c r="D3473" s="2" t="s">
        <v>365</v>
      </c>
      <c r="E3473" s="2" t="s">
        <v>366</v>
      </c>
      <c r="F3473" s="2" t="s">
        <v>535</v>
      </c>
      <c r="G3473" s="2" t="s">
        <v>475</v>
      </c>
      <c r="H3473" s="2" t="s">
        <v>476</v>
      </c>
      <c r="I3473" s="26">
        <v>45822</v>
      </c>
      <c r="J3473" s="2">
        <v>11</v>
      </c>
      <c r="K3473" s="2" t="s">
        <v>123</v>
      </c>
      <c r="L3473" s="22">
        <v>5850</v>
      </c>
      <c r="M3473" s="22">
        <v>64350</v>
      </c>
      <c r="N3473" s="18">
        <v>68.819999999999993</v>
      </c>
      <c r="O3473" s="26">
        <v>46002</v>
      </c>
      <c r="P3473" s="2" t="s">
        <v>2105</v>
      </c>
      <c r="Q3473" s="2" t="s">
        <v>806</v>
      </c>
    </row>
    <row r="3474" spans="2:17" x14ac:dyDescent="0.25">
      <c r="B3474" s="2" t="s">
        <v>4279</v>
      </c>
      <c r="C3474" s="2" t="s">
        <v>367</v>
      </c>
      <c r="D3474" s="2" t="s">
        <v>368</v>
      </c>
      <c r="E3474" s="2" t="s">
        <v>366</v>
      </c>
      <c r="F3474" s="2" t="s">
        <v>535</v>
      </c>
      <c r="G3474" s="2" t="s">
        <v>475</v>
      </c>
      <c r="H3474" s="2" t="s">
        <v>476</v>
      </c>
      <c r="I3474" s="26">
        <v>45119</v>
      </c>
      <c r="J3474" s="2">
        <v>11</v>
      </c>
      <c r="K3474" s="2" t="s">
        <v>123</v>
      </c>
      <c r="L3474" s="22">
        <v>6500</v>
      </c>
      <c r="M3474" s="22">
        <v>71500</v>
      </c>
      <c r="N3474" s="18">
        <v>76.47</v>
      </c>
      <c r="O3474" s="26">
        <v>45299</v>
      </c>
      <c r="P3474" s="2" t="s">
        <v>2105</v>
      </c>
      <c r="Q3474" s="2" t="s">
        <v>806</v>
      </c>
    </row>
    <row r="3475" spans="2:17" x14ac:dyDescent="0.25">
      <c r="B3475" s="2" t="s">
        <v>4280</v>
      </c>
      <c r="C3475" s="2" t="s">
        <v>367</v>
      </c>
      <c r="D3475" s="2" t="s">
        <v>368</v>
      </c>
      <c r="E3475" s="2" t="s">
        <v>366</v>
      </c>
      <c r="F3475" s="2" t="s">
        <v>535</v>
      </c>
      <c r="G3475" s="2" t="s">
        <v>475</v>
      </c>
      <c r="H3475" s="2" t="s">
        <v>476</v>
      </c>
      <c r="I3475" s="26">
        <v>45139</v>
      </c>
      <c r="J3475" s="2">
        <v>9</v>
      </c>
      <c r="K3475" s="2" t="s">
        <v>123</v>
      </c>
      <c r="L3475" s="22">
        <v>6500</v>
      </c>
      <c r="M3475" s="22">
        <v>58500</v>
      </c>
      <c r="N3475" s="18">
        <v>62.57</v>
      </c>
      <c r="O3475" s="26">
        <v>45319</v>
      </c>
      <c r="P3475" s="2" t="s">
        <v>2105</v>
      </c>
      <c r="Q3475" s="2" t="s">
        <v>806</v>
      </c>
    </row>
    <row r="3476" spans="2:17" x14ac:dyDescent="0.25">
      <c r="B3476" s="2" t="s">
        <v>4281</v>
      </c>
      <c r="C3476" s="2" t="s">
        <v>367</v>
      </c>
      <c r="D3476" s="2" t="s">
        <v>368</v>
      </c>
      <c r="E3476" s="2" t="s">
        <v>366</v>
      </c>
      <c r="F3476" s="2" t="s">
        <v>535</v>
      </c>
      <c r="G3476" s="2" t="s">
        <v>475</v>
      </c>
      <c r="H3476" s="2" t="s">
        <v>476</v>
      </c>
      <c r="I3476" s="26">
        <v>45155</v>
      </c>
      <c r="J3476" s="2">
        <v>11</v>
      </c>
      <c r="K3476" s="2" t="s">
        <v>123</v>
      </c>
      <c r="L3476" s="22">
        <v>6500</v>
      </c>
      <c r="M3476" s="22">
        <v>71500</v>
      </c>
      <c r="N3476" s="18">
        <v>76.47</v>
      </c>
      <c r="O3476" s="26">
        <v>45335</v>
      </c>
      <c r="P3476" s="2" t="s">
        <v>2105</v>
      </c>
      <c r="Q3476" s="2" t="s">
        <v>806</v>
      </c>
    </row>
    <row r="3477" spans="2:17" x14ac:dyDescent="0.25">
      <c r="B3477" s="2" t="s">
        <v>4282</v>
      </c>
      <c r="C3477" s="2" t="s">
        <v>367</v>
      </c>
      <c r="D3477" s="2" t="s">
        <v>368</v>
      </c>
      <c r="E3477" s="2" t="s">
        <v>366</v>
      </c>
      <c r="F3477" s="2" t="s">
        <v>535</v>
      </c>
      <c r="G3477" s="2" t="s">
        <v>475</v>
      </c>
      <c r="H3477" s="2" t="s">
        <v>476</v>
      </c>
      <c r="I3477" s="26">
        <v>45174</v>
      </c>
      <c r="J3477" s="2">
        <v>13</v>
      </c>
      <c r="K3477" s="2" t="s">
        <v>123</v>
      </c>
      <c r="L3477" s="22">
        <v>6500</v>
      </c>
      <c r="M3477" s="22">
        <v>84500</v>
      </c>
      <c r="N3477" s="18">
        <v>90.37</v>
      </c>
      <c r="O3477" s="26">
        <v>45354</v>
      </c>
      <c r="P3477" s="2" t="s">
        <v>2105</v>
      </c>
      <c r="Q3477" s="2" t="s">
        <v>814</v>
      </c>
    </row>
    <row r="3478" spans="2:17" x14ac:dyDescent="0.25">
      <c r="B3478" s="2" t="s">
        <v>4283</v>
      </c>
      <c r="C3478" s="2" t="s">
        <v>367</v>
      </c>
      <c r="D3478" s="2" t="s">
        <v>368</v>
      </c>
      <c r="E3478" s="2" t="s">
        <v>366</v>
      </c>
      <c r="F3478" s="2" t="s">
        <v>535</v>
      </c>
      <c r="G3478" s="2" t="s">
        <v>475</v>
      </c>
      <c r="H3478" s="2" t="s">
        <v>476</v>
      </c>
      <c r="I3478" s="26">
        <v>45200</v>
      </c>
      <c r="J3478" s="2">
        <v>10</v>
      </c>
      <c r="K3478" s="2" t="s">
        <v>123</v>
      </c>
      <c r="L3478" s="22">
        <v>6500</v>
      </c>
      <c r="M3478" s="22">
        <v>65000</v>
      </c>
      <c r="N3478" s="18">
        <v>69.52</v>
      </c>
      <c r="O3478" s="26">
        <v>45380</v>
      </c>
      <c r="P3478" s="2" t="s">
        <v>2105</v>
      </c>
      <c r="Q3478" s="2" t="s">
        <v>814</v>
      </c>
    </row>
    <row r="3479" spans="2:17" x14ac:dyDescent="0.25">
      <c r="B3479" s="2" t="s">
        <v>4284</v>
      </c>
      <c r="C3479" s="2" t="s">
        <v>367</v>
      </c>
      <c r="D3479" s="2" t="s">
        <v>368</v>
      </c>
      <c r="E3479" s="2" t="s">
        <v>366</v>
      </c>
      <c r="F3479" s="2" t="s">
        <v>535</v>
      </c>
      <c r="G3479" s="2" t="s">
        <v>475</v>
      </c>
      <c r="H3479" s="2" t="s">
        <v>476</v>
      </c>
      <c r="I3479" s="26">
        <v>45222</v>
      </c>
      <c r="J3479" s="2">
        <v>10</v>
      </c>
      <c r="K3479" s="2" t="s">
        <v>123</v>
      </c>
      <c r="L3479" s="22">
        <v>6500</v>
      </c>
      <c r="M3479" s="22">
        <v>65000</v>
      </c>
      <c r="N3479" s="18">
        <v>69.52</v>
      </c>
      <c r="O3479" s="26">
        <v>45402</v>
      </c>
      <c r="P3479" s="2" t="s">
        <v>2105</v>
      </c>
      <c r="Q3479" s="2" t="s">
        <v>814</v>
      </c>
    </row>
    <row r="3480" spans="2:17" x14ac:dyDescent="0.25">
      <c r="B3480" s="2" t="s">
        <v>4285</v>
      </c>
      <c r="C3480" s="2" t="s">
        <v>367</v>
      </c>
      <c r="D3480" s="2" t="s">
        <v>368</v>
      </c>
      <c r="E3480" s="2" t="s">
        <v>366</v>
      </c>
      <c r="F3480" s="2" t="s">
        <v>535</v>
      </c>
      <c r="G3480" s="2" t="s">
        <v>475</v>
      </c>
      <c r="H3480" s="2" t="s">
        <v>476</v>
      </c>
      <c r="I3480" s="26">
        <v>45244</v>
      </c>
      <c r="J3480" s="2">
        <v>9</v>
      </c>
      <c r="K3480" s="2" t="s">
        <v>123</v>
      </c>
      <c r="L3480" s="22">
        <v>6500</v>
      </c>
      <c r="M3480" s="22">
        <v>58500</v>
      </c>
      <c r="N3480" s="18">
        <v>62.57</v>
      </c>
      <c r="O3480" s="26">
        <v>45424</v>
      </c>
      <c r="P3480" s="2" t="s">
        <v>2105</v>
      </c>
      <c r="Q3480" s="2" t="s">
        <v>814</v>
      </c>
    </row>
    <row r="3481" spans="2:17" x14ac:dyDescent="0.25">
      <c r="B3481" s="2" t="s">
        <v>4286</v>
      </c>
      <c r="C3481" s="2" t="s">
        <v>367</v>
      </c>
      <c r="D3481" s="2" t="s">
        <v>368</v>
      </c>
      <c r="E3481" s="2" t="s">
        <v>366</v>
      </c>
      <c r="F3481" s="2" t="s">
        <v>535</v>
      </c>
      <c r="G3481" s="2" t="s">
        <v>475</v>
      </c>
      <c r="H3481" s="2" t="s">
        <v>476</v>
      </c>
      <c r="I3481" s="26">
        <v>45262</v>
      </c>
      <c r="J3481" s="2">
        <v>12</v>
      </c>
      <c r="K3481" s="2" t="s">
        <v>123</v>
      </c>
      <c r="L3481" s="22">
        <v>6500</v>
      </c>
      <c r="M3481" s="22">
        <v>78000</v>
      </c>
      <c r="N3481" s="18">
        <v>83.42</v>
      </c>
      <c r="O3481" s="26">
        <v>45442</v>
      </c>
      <c r="P3481" s="2" t="s">
        <v>2105</v>
      </c>
      <c r="Q3481" s="2" t="s">
        <v>825</v>
      </c>
    </row>
    <row r="3482" spans="2:17" x14ac:dyDescent="0.25">
      <c r="B3482" s="2" t="s">
        <v>4287</v>
      </c>
      <c r="C3482" s="2" t="s">
        <v>367</v>
      </c>
      <c r="D3482" s="2" t="s">
        <v>368</v>
      </c>
      <c r="E3482" s="2" t="s">
        <v>366</v>
      </c>
      <c r="F3482" s="2" t="s">
        <v>535</v>
      </c>
      <c r="G3482" s="2" t="s">
        <v>475</v>
      </c>
      <c r="H3482" s="2" t="s">
        <v>476</v>
      </c>
      <c r="I3482" s="26">
        <v>45287</v>
      </c>
      <c r="J3482" s="2">
        <v>14</v>
      </c>
      <c r="K3482" s="2" t="s">
        <v>123</v>
      </c>
      <c r="L3482" s="22">
        <v>6500</v>
      </c>
      <c r="M3482" s="22">
        <v>91000</v>
      </c>
      <c r="N3482" s="18">
        <v>97.33</v>
      </c>
      <c r="O3482" s="26">
        <v>45467</v>
      </c>
      <c r="P3482" s="2" t="s">
        <v>2105</v>
      </c>
      <c r="Q3482" s="2" t="s">
        <v>825</v>
      </c>
    </row>
    <row r="3483" spans="2:17" x14ac:dyDescent="0.25">
      <c r="B3483" s="2" t="s">
        <v>4288</v>
      </c>
      <c r="C3483" s="2" t="s">
        <v>367</v>
      </c>
      <c r="D3483" s="2" t="s">
        <v>368</v>
      </c>
      <c r="E3483" s="2" t="s">
        <v>366</v>
      </c>
      <c r="F3483" s="2" t="s">
        <v>535</v>
      </c>
      <c r="G3483" s="2" t="s">
        <v>475</v>
      </c>
      <c r="H3483" s="2" t="s">
        <v>476</v>
      </c>
      <c r="I3483" s="26">
        <v>45310</v>
      </c>
      <c r="J3483" s="2">
        <v>11</v>
      </c>
      <c r="K3483" s="2" t="s">
        <v>123</v>
      </c>
      <c r="L3483" s="22">
        <v>6500</v>
      </c>
      <c r="M3483" s="22">
        <v>71500</v>
      </c>
      <c r="N3483" s="18">
        <v>76.47</v>
      </c>
      <c r="O3483" s="26">
        <v>45490</v>
      </c>
      <c r="P3483" s="2" t="s">
        <v>2105</v>
      </c>
      <c r="Q3483" s="2" t="s">
        <v>825</v>
      </c>
    </row>
    <row r="3484" spans="2:17" x14ac:dyDescent="0.25">
      <c r="B3484" s="2" t="s">
        <v>4289</v>
      </c>
      <c r="C3484" s="2" t="s">
        <v>367</v>
      </c>
      <c r="D3484" s="2" t="s">
        <v>368</v>
      </c>
      <c r="E3484" s="2" t="s">
        <v>366</v>
      </c>
      <c r="F3484" s="2" t="s">
        <v>535</v>
      </c>
      <c r="G3484" s="2" t="s">
        <v>475</v>
      </c>
      <c r="H3484" s="2" t="s">
        <v>476</v>
      </c>
      <c r="I3484" s="26">
        <v>45331</v>
      </c>
      <c r="J3484" s="2">
        <v>10</v>
      </c>
      <c r="K3484" s="2" t="s">
        <v>123</v>
      </c>
      <c r="L3484" s="22">
        <v>6500</v>
      </c>
      <c r="M3484" s="22">
        <v>65000</v>
      </c>
      <c r="N3484" s="18">
        <v>69.52</v>
      </c>
      <c r="O3484" s="26">
        <v>45511</v>
      </c>
      <c r="P3484" s="2" t="s">
        <v>2105</v>
      </c>
      <c r="Q3484" s="2" t="s">
        <v>825</v>
      </c>
    </row>
    <row r="3485" spans="2:17" x14ac:dyDescent="0.25">
      <c r="B3485" s="2" t="s">
        <v>4290</v>
      </c>
      <c r="C3485" s="2" t="s">
        <v>367</v>
      </c>
      <c r="D3485" s="2" t="s">
        <v>368</v>
      </c>
      <c r="E3485" s="2" t="s">
        <v>366</v>
      </c>
      <c r="F3485" s="2" t="s">
        <v>535</v>
      </c>
      <c r="G3485" s="2" t="s">
        <v>475</v>
      </c>
      <c r="H3485" s="2" t="s">
        <v>476</v>
      </c>
      <c r="I3485" s="26">
        <v>45354</v>
      </c>
      <c r="J3485" s="2">
        <v>9</v>
      </c>
      <c r="K3485" s="2" t="s">
        <v>123</v>
      </c>
      <c r="L3485" s="22">
        <v>6500</v>
      </c>
      <c r="M3485" s="22">
        <v>58500</v>
      </c>
      <c r="N3485" s="18">
        <v>62.57</v>
      </c>
      <c r="O3485" s="26">
        <v>45534</v>
      </c>
      <c r="P3485" s="2" t="s">
        <v>2105</v>
      </c>
      <c r="Q3485" s="2" t="s">
        <v>836</v>
      </c>
    </row>
    <row r="3486" spans="2:17" x14ac:dyDescent="0.25">
      <c r="B3486" s="2" t="s">
        <v>4291</v>
      </c>
      <c r="C3486" s="2" t="s">
        <v>367</v>
      </c>
      <c r="D3486" s="2" t="s">
        <v>368</v>
      </c>
      <c r="E3486" s="2" t="s">
        <v>366</v>
      </c>
      <c r="F3486" s="2" t="s">
        <v>535</v>
      </c>
      <c r="G3486" s="2" t="s">
        <v>475</v>
      </c>
      <c r="H3486" s="2" t="s">
        <v>476</v>
      </c>
      <c r="I3486" s="26">
        <v>45377</v>
      </c>
      <c r="J3486" s="2">
        <v>11</v>
      </c>
      <c r="K3486" s="2" t="s">
        <v>123</v>
      </c>
      <c r="L3486" s="22">
        <v>6500</v>
      </c>
      <c r="M3486" s="22">
        <v>71500</v>
      </c>
      <c r="N3486" s="18">
        <v>76.47</v>
      </c>
      <c r="O3486" s="26">
        <v>45557</v>
      </c>
      <c r="P3486" s="2" t="s">
        <v>2105</v>
      </c>
      <c r="Q3486" s="2" t="s">
        <v>836</v>
      </c>
    </row>
    <row r="3487" spans="2:17" x14ac:dyDescent="0.25">
      <c r="B3487" s="2" t="s">
        <v>4292</v>
      </c>
      <c r="C3487" s="2" t="s">
        <v>367</v>
      </c>
      <c r="D3487" s="2" t="s">
        <v>368</v>
      </c>
      <c r="E3487" s="2" t="s">
        <v>366</v>
      </c>
      <c r="F3487" s="2" t="s">
        <v>535</v>
      </c>
      <c r="G3487" s="2" t="s">
        <v>475</v>
      </c>
      <c r="H3487" s="2" t="s">
        <v>476</v>
      </c>
      <c r="I3487" s="26">
        <v>45404</v>
      </c>
      <c r="J3487" s="2">
        <v>11</v>
      </c>
      <c r="K3487" s="2" t="s">
        <v>123</v>
      </c>
      <c r="L3487" s="22">
        <v>6500</v>
      </c>
      <c r="M3487" s="22">
        <v>71500</v>
      </c>
      <c r="N3487" s="18">
        <v>76.47</v>
      </c>
      <c r="O3487" s="26">
        <v>45584</v>
      </c>
      <c r="P3487" s="2" t="s">
        <v>2105</v>
      </c>
      <c r="Q3487" s="2" t="s">
        <v>836</v>
      </c>
    </row>
    <row r="3488" spans="2:17" x14ac:dyDescent="0.25">
      <c r="B3488" s="2" t="s">
        <v>4293</v>
      </c>
      <c r="C3488" s="2" t="s">
        <v>367</v>
      </c>
      <c r="D3488" s="2" t="s">
        <v>368</v>
      </c>
      <c r="E3488" s="2" t="s">
        <v>366</v>
      </c>
      <c r="F3488" s="2" t="s">
        <v>535</v>
      </c>
      <c r="G3488" s="2" t="s">
        <v>475</v>
      </c>
      <c r="H3488" s="2" t="s">
        <v>476</v>
      </c>
      <c r="I3488" s="26">
        <v>45427</v>
      </c>
      <c r="J3488" s="2">
        <v>9</v>
      </c>
      <c r="K3488" s="2" t="s">
        <v>123</v>
      </c>
      <c r="L3488" s="22">
        <v>6500</v>
      </c>
      <c r="M3488" s="22">
        <v>58500</v>
      </c>
      <c r="N3488" s="18">
        <v>62.57</v>
      </c>
      <c r="O3488" s="26">
        <v>45607</v>
      </c>
      <c r="P3488" s="2" t="s">
        <v>2105</v>
      </c>
      <c r="Q3488" s="2" t="s">
        <v>836</v>
      </c>
    </row>
    <row r="3489" spans="2:17" x14ac:dyDescent="0.25">
      <c r="B3489" s="2" t="s">
        <v>4294</v>
      </c>
      <c r="C3489" s="2" t="s">
        <v>367</v>
      </c>
      <c r="D3489" s="2" t="s">
        <v>368</v>
      </c>
      <c r="E3489" s="2" t="s">
        <v>366</v>
      </c>
      <c r="F3489" s="2" t="s">
        <v>535</v>
      </c>
      <c r="G3489" s="2" t="s">
        <v>475</v>
      </c>
      <c r="H3489" s="2" t="s">
        <v>476</v>
      </c>
      <c r="I3489" s="26">
        <v>45448</v>
      </c>
      <c r="J3489" s="2">
        <v>11</v>
      </c>
      <c r="K3489" s="2" t="s">
        <v>123</v>
      </c>
      <c r="L3489" s="22">
        <v>6500</v>
      </c>
      <c r="M3489" s="22">
        <v>71500</v>
      </c>
      <c r="N3489" s="18">
        <v>76.47</v>
      </c>
      <c r="O3489" s="26">
        <v>45628</v>
      </c>
      <c r="P3489" s="2" t="s">
        <v>2105</v>
      </c>
      <c r="Q3489" s="2" t="s">
        <v>806</v>
      </c>
    </row>
    <row r="3490" spans="2:17" x14ac:dyDescent="0.25">
      <c r="B3490" s="2" t="s">
        <v>4295</v>
      </c>
      <c r="C3490" s="2" t="s">
        <v>367</v>
      </c>
      <c r="D3490" s="2" t="s">
        <v>368</v>
      </c>
      <c r="E3490" s="2" t="s">
        <v>366</v>
      </c>
      <c r="F3490" s="2" t="s">
        <v>535</v>
      </c>
      <c r="G3490" s="2" t="s">
        <v>475</v>
      </c>
      <c r="H3490" s="2" t="s">
        <v>476</v>
      </c>
      <c r="I3490" s="26">
        <v>45470</v>
      </c>
      <c r="J3490" s="2">
        <v>9</v>
      </c>
      <c r="K3490" s="2" t="s">
        <v>123</v>
      </c>
      <c r="L3490" s="22">
        <v>6500</v>
      </c>
      <c r="M3490" s="22">
        <v>58500</v>
      </c>
      <c r="N3490" s="18">
        <v>62.57</v>
      </c>
      <c r="O3490" s="26">
        <v>45650</v>
      </c>
      <c r="P3490" s="2" t="s">
        <v>2105</v>
      </c>
      <c r="Q3490" s="2" t="s">
        <v>806</v>
      </c>
    </row>
    <row r="3491" spans="2:17" x14ac:dyDescent="0.25">
      <c r="B3491" s="2" t="s">
        <v>4296</v>
      </c>
      <c r="C3491" s="2" t="s">
        <v>367</v>
      </c>
      <c r="D3491" s="2" t="s">
        <v>368</v>
      </c>
      <c r="E3491" s="2" t="s">
        <v>366</v>
      </c>
      <c r="F3491" s="2" t="s">
        <v>535</v>
      </c>
      <c r="G3491" s="2" t="s">
        <v>475</v>
      </c>
      <c r="H3491" s="2" t="s">
        <v>476</v>
      </c>
      <c r="I3491" s="26">
        <v>45493</v>
      </c>
      <c r="J3491" s="2">
        <v>9</v>
      </c>
      <c r="K3491" s="2" t="s">
        <v>123</v>
      </c>
      <c r="L3491" s="22">
        <v>6500</v>
      </c>
      <c r="M3491" s="22">
        <v>58500</v>
      </c>
      <c r="N3491" s="18">
        <v>62.57</v>
      </c>
      <c r="O3491" s="26">
        <v>45673</v>
      </c>
      <c r="P3491" s="2" t="s">
        <v>2105</v>
      </c>
      <c r="Q3491" s="2" t="s">
        <v>806</v>
      </c>
    </row>
    <row r="3492" spans="2:17" x14ac:dyDescent="0.25">
      <c r="B3492" s="2" t="s">
        <v>4297</v>
      </c>
      <c r="C3492" s="2" t="s">
        <v>367</v>
      </c>
      <c r="D3492" s="2" t="s">
        <v>368</v>
      </c>
      <c r="E3492" s="2" t="s">
        <v>366</v>
      </c>
      <c r="F3492" s="2" t="s">
        <v>535</v>
      </c>
      <c r="G3492" s="2" t="s">
        <v>475</v>
      </c>
      <c r="H3492" s="2" t="s">
        <v>476</v>
      </c>
      <c r="I3492" s="26">
        <v>45510</v>
      </c>
      <c r="J3492" s="2">
        <v>11</v>
      </c>
      <c r="K3492" s="2" t="s">
        <v>123</v>
      </c>
      <c r="L3492" s="22">
        <v>6500</v>
      </c>
      <c r="M3492" s="22">
        <v>71500</v>
      </c>
      <c r="N3492" s="18">
        <v>76.47</v>
      </c>
      <c r="O3492" s="26">
        <v>45690</v>
      </c>
      <c r="P3492" s="2" t="s">
        <v>2105</v>
      </c>
      <c r="Q3492" s="2" t="s">
        <v>806</v>
      </c>
    </row>
    <row r="3493" spans="2:17" x14ac:dyDescent="0.25">
      <c r="B3493" s="2" t="s">
        <v>4298</v>
      </c>
      <c r="C3493" s="2" t="s">
        <v>367</v>
      </c>
      <c r="D3493" s="2" t="s">
        <v>368</v>
      </c>
      <c r="E3493" s="2" t="s">
        <v>366</v>
      </c>
      <c r="F3493" s="2" t="s">
        <v>535</v>
      </c>
      <c r="G3493" s="2" t="s">
        <v>475</v>
      </c>
      <c r="H3493" s="2" t="s">
        <v>476</v>
      </c>
      <c r="I3493" s="26">
        <v>45529</v>
      </c>
      <c r="J3493" s="2">
        <v>11</v>
      </c>
      <c r="K3493" s="2" t="s">
        <v>123</v>
      </c>
      <c r="L3493" s="22">
        <v>6500</v>
      </c>
      <c r="M3493" s="22">
        <v>71500</v>
      </c>
      <c r="N3493" s="18">
        <v>76.47</v>
      </c>
      <c r="O3493" s="26">
        <v>45709</v>
      </c>
      <c r="P3493" s="2" t="s">
        <v>2105</v>
      </c>
      <c r="Q3493" s="2" t="s">
        <v>806</v>
      </c>
    </row>
    <row r="3494" spans="2:17" x14ac:dyDescent="0.25">
      <c r="B3494" s="2" t="s">
        <v>4299</v>
      </c>
      <c r="C3494" s="2" t="s">
        <v>367</v>
      </c>
      <c r="D3494" s="2" t="s">
        <v>368</v>
      </c>
      <c r="E3494" s="2" t="s">
        <v>366</v>
      </c>
      <c r="F3494" s="2" t="s">
        <v>535</v>
      </c>
      <c r="G3494" s="2" t="s">
        <v>475</v>
      </c>
      <c r="H3494" s="2" t="s">
        <v>476</v>
      </c>
      <c r="I3494" s="26">
        <v>45548</v>
      </c>
      <c r="J3494" s="2">
        <v>11</v>
      </c>
      <c r="K3494" s="2" t="s">
        <v>123</v>
      </c>
      <c r="L3494" s="22">
        <v>6500</v>
      </c>
      <c r="M3494" s="22">
        <v>71500</v>
      </c>
      <c r="N3494" s="18">
        <v>76.47</v>
      </c>
      <c r="O3494" s="26">
        <v>45728</v>
      </c>
      <c r="P3494" s="2" t="s">
        <v>2105</v>
      </c>
      <c r="Q3494" s="2" t="s">
        <v>814</v>
      </c>
    </row>
    <row r="3495" spans="2:17" x14ac:dyDescent="0.25">
      <c r="B3495" s="2" t="s">
        <v>4300</v>
      </c>
      <c r="C3495" s="2" t="s">
        <v>367</v>
      </c>
      <c r="D3495" s="2" t="s">
        <v>368</v>
      </c>
      <c r="E3495" s="2" t="s">
        <v>366</v>
      </c>
      <c r="F3495" s="2" t="s">
        <v>535</v>
      </c>
      <c r="G3495" s="2" t="s">
        <v>475</v>
      </c>
      <c r="H3495" s="2" t="s">
        <v>476</v>
      </c>
      <c r="I3495" s="26">
        <v>45571</v>
      </c>
      <c r="J3495" s="2">
        <v>9</v>
      </c>
      <c r="K3495" s="2" t="s">
        <v>123</v>
      </c>
      <c r="L3495" s="22">
        <v>6500</v>
      </c>
      <c r="M3495" s="22">
        <v>58500</v>
      </c>
      <c r="N3495" s="18">
        <v>62.57</v>
      </c>
      <c r="O3495" s="26">
        <v>45751</v>
      </c>
      <c r="P3495" s="2" t="s">
        <v>2105</v>
      </c>
      <c r="Q3495" s="2" t="s">
        <v>814</v>
      </c>
    </row>
    <row r="3496" spans="2:17" x14ac:dyDescent="0.25">
      <c r="B3496" s="2" t="s">
        <v>4301</v>
      </c>
      <c r="C3496" s="2" t="s">
        <v>367</v>
      </c>
      <c r="D3496" s="2" t="s">
        <v>368</v>
      </c>
      <c r="E3496" s="2" t="s">
        <v>366</v>
      </c>
      <c r="F3496" s="2" t="s">
        <v>535</v>
      </c>
      <c r="G3496" s="2" t="s">
        <v>475</v>
      </c>
      <c r="H3496" s="2" t="s">
        <v>476</v>
      </c>
      <c r="I3496" s="26">
        <v>45594</v>
      </c>
      <c r="J3496" s="2">
        <v>9</v>
      </c>
      <c r="K3496" s="2" t="s">
        <v>123</v>
      </c>
      <c r="L3496" s="22">
        <v>6500</v>
      </c>
      <c r="M3496" s="22">
        <v>58500</v>
      </c>
      <c r="N3496" s="18">
        <v>62.57</v>
      </c>
      <c r="O3496" s="26">
        <v>45774</v>
      </c>
      <c r="P3496" s="2" t="s">
        <v>2105</v>
      </c>
      <c r="Q3496" s="2" t="s">
        <v>814</v>
      </c>
    </row>
    <row r="3497" spans="2:17" x14ac:dyDescent="0.25">
      <c r="B3497" s="2" t="s">
        <v>4302</v>
      </c>
      <c r="C3497" s="2" t="s">
        <v>367</v>
      </c>
      <c r="D3497" s="2" t="s">
        <v>368</v>
      </c>
      <c r="E3497" s="2" t="s">
        <v>366</v>
      </c>
      <c r="F3497" s="2" t="s">
        <v>535</v>
      </c>
      <c r="G3497" s="2" t="s">
        <v>475</v>
      </c>
      <c r="H3497" s="2" t="s">
        <v>476</v>
      </c>
      <c r="I3497" s="26">
        <v>45612</v>
      </c>
      <c r="J3497" s="2">
        <v>9</v>
      </c>
      <c r="K3497" s="2" t="s">
        <v>123</v>
      </c>
      <c r="L3497" s="22">
        <v>6500</v>
      </c>
      <c r="M3497" s="22">
        <v>58500</v>
      </c>
      <c r="N3497" s="18">
        <v>62.57</v>
      </c>
      <c r="O3497" s="26">
        <v>45792</v>
      </c>
      <c r="P3497" s="2" t="s">
        <v>2105</v>
      </c>
      <c r="Q3497" s="2" t="s">
        <v>814</v>
      </c>
    </row>
    <row r="3498" spans="2:17" x14ac:dyDescent="0.25">
      <c r="B3498" s="2" t="s">
        <v>4303</v>
      </c>
      <c r="C3498" s="2" t="s">
        <v>367</v>
      </c>
      <c r="D3498" s="2" t="s">
        <v>368</v>
      </c>
      <c r="E3498" s="2" t="s">
        <v>366</v>
      </c>
      <c r="F3498" s="2" t="s">
        <v>535</v>
      </c>
      <c r="G3498" s="2" t="s">
        <v>475</v>
      </c>
      <c r="H3498" s="2" t="s">
        <v>476</v>
      </c>
      <c r="I3498" s="26">
        <v>45631</v>
      </c>
      <c r="J3498" s="2">
        <v>15</v>
      </c>
      <c r="K3498" s="2" t="s">
        <v>123</v>
      </c>
      <c r="L3498" s="22">
        <v>6500</v>
      </c>
      <c r="M3498" s="22">
        <v>97500</v>
      </c>
      <c r="N3498" s="18">
        <v>104.28</v>
      </c>
      <c r="O3498" s="26">
        <v>45811</v>
      </c>
      <c r="P3498" s="2" t="s">
        <v>2105</v>
      </c>
      <c r="Q3498" s="2" t="s">
        <v>825</v>
      </c>
    </row>
    <row r="3499" spans="2:17" x14ac:dyDescent="0.25">
      <c r="B3499" s="2" t="s">
        <v>4304</v>
      </c>
      <c r="C3499" s="2" t="s">
        <v>367</v>
      </c>
      <c r="D3499" s="2" t="s">
        <v>368</v>
      </c>
      <c r="E3499" s="2" t="s">
        <v>366</v>
      </c>
      <c r="F3499" s="2" t="s">
        <v>535</v>
      </c>
      <c r="G3499" s="2" t="s">
        <v>475</v>
      </c>
      <c r="H3499" s="2" t="s">
        <v>476</v>
      </c>
      <c r="I3499" s="26">
        <v>45654</v>
      </c>
      <c r="J3499" s="2">
        <v>13</v>
      </c>
      <c r="K3499" s="2" t="s">
        <v>123</v>
      </c>
      <c r="L3499" s="22">
        <v>6500</v>
      </c>
      <c r="M3499" s="22">
        <v>84500</v>
      </c>
      <c r="N3499" s="18">
        <v>90.37</v>
      </c>
      <c r="O3499" s="26">
        <v>45834</v>
      </c>
      <c r="P3499" s="2" t="s">
        <v>2105</v>
      </c>
      <c r="Q3499" s="2" t="s">
        <v>825</v>
      </c>
    </row>
    <row r="3500" spans="2:17" x14ac:dyDescent="0.25">
      <c r="B3500" s="2" t="s">
        <v>4305</v>
      </c>
      <c r="C3500" s="2" t="s">
        <v>367</v>
      </c>
      <c r="D3500" s="2" t="s">
        <v>368</v>
      </c>
      <c r="E3500" s="2" t="s">
        <v>366</v>
      </c>
      <c r="F3500" s="2" t="s">
        <v>535</v>
      </c>
      <c r="G3500" s="2" t="s">
        <v>475</v>
      </c>
      <c r="H3500" s="2" t="s">
        <v>476</v>
      </c>
      <c r="I3500" s="26">
        <v>45682</v>
      </c>
      <c r="J3500" s="2">
        <v>12</v>
      </c>
      <c r="K3500" s="2" t="s">
        <v>123</v>
      </c>
      <c r="L3500" s="22">
        <v>6500</v>
      </c>
      <c r="M3500" s="22">
        <v>78000</v>
      </c>
      <c r="N3500" s="18">
        <v>83.42</v>
      </c>
      <c r="O3500" s="26">
        <v>45862</v>
      </c>
      <c r="P3500" s="2" t="s">
        <v>2105</v>
      </c>
      <c r="Q3500" s="2" t="s">
        <v>825</v>
      </c>
    </row>
    <row r="3501" spans="2:17" x14ac:dyDescent="0.25">
      <c r="B3501" s="2" t="s">
        <v>4306</v>
      </c>
      <c r="C3501" s="2" t="s">
        <v>367</v>
      </c>
      <c r="D3501" s="2" t="s">
        <v>368</v>
      </c>
      <c r="E3501" s="2" t="s">
        <v>366</v>
      </c>
      <c r="F3501" s="2" t="s">
        <v>535</v>
      </c>
      <c r="G3501" s="2" t="s">
        <v>475</v>
      </c>
      <c r="H3501" s="2" t="s">
        <v>476</v>
      </c>
      <c r="I3501" s="26">
        <v>45701</v>
      </c>
      <c r="J3501" s="2">
        <v>12</v>
      </c>
      <c r="K3501" s="2" t="s">
        <v>123</v>
      </c>
      <c r="L3501" s="22">
        <v>6500</v>
      </c>
      <c r="M3501" s="22">
        <v>78000</v>
      </c>
      <c r="N3501" s="18">
        <v>83.42</v>
      </c>
      <c r="O3501" s="26">
        <v>45881</v>
      </c>
      <c r="P3501" s="2" t="s">
        <v>2105</v>
      </c>
      <c r="Q3501" s="2" t="s">
        <v>825</v>
      </c>
    </row>
    <row r="3502" spans="2:17" x14ac:dyDescent="0.25">
      <c r="B3502" s="2" t="s">
        <v>4307</v>
      </c>
      <c r="C3502" s="2" t="s">
        <v>367</v>
      </c>
      <c r="D3502" s="2" t="s">
        <v>368</v>
      </c>
      <c r="E3502" s="2" t="s">
        <v>366</v>
      </c>
      <c r="F3502" s="2" t="s">
        <v>535</v>
      </c>
      <c r="G3502" s="2" t="s">
        <v>475</v>
      </c>
      <c r="H3502" s="2" t="s">
        <v>476</v>
      </c>
      <c r="I3502" s="26">
        <v>45715</v>
      </c>
      <c r="J3502" s="2">
        <v>11</v>
      </c>
      <c r="K3502" s="2" t="s">
        <v>123</v>
      </c>
      <c r="L3502" s="22">
        <v>6500</v>
      </c>
      <c r="M3502" s="22">
        <v>71500</v>
      </c>
      <c r="N3502" s="18">
        <v>76.47</v>
      </c>
      <c r="O3502" s="26">
        <v>45895</v>
      </c>
      <c r="P3502" s="2" t="s">
        <v>2105</v>
      </c>
      <c r="Q3502" s="2" t="s">
        <v>825</v>
      </c>
    </row>
    <row r="3503" spans="2:17" x14ac:dyDescent="0.25">
      <c r="B3503" s="2" t="s">
        <v>4308</v>
      </c>
      <c r="C3503" s="2" t="s">
        <v>367</v>
      </c>
      <c r="D3503" s="2" t="s">
        <v>368</v>
      </c>
      <c r="E3503" s="2" t="s">
        <v>366</v>
      </c>
      <c r="F3503" s="2" t="s">
        <v>535</v>
      </c>
      <c r="G3503" s="2" t="s">
        <v>475</v>
      </c>
      <c r="H3503" s="2" t="s">
        <v>476</v>
      </c>
      <c r="I3503" s="26">
        <v>45733</v>
      </c>
      <c r="J3503" s="2">
        <v>12</v>
      </c>
      <c r="K3503" s="2" t="s">
        <v>123</v>
      </c>
      <c r="L3503" s="22">
        <v>6500</v>
      </c>
      <c r="M3503" s="22">
        <v>78000</v>
      </c>
      <c r="N3503" s="18">
        <v>83.42</v>
      </c>
      <c r="O3503" s="26">
        <v>45913</v>
      </c>
      <c r="P3503" s="2" t="s">
        <v>2105</v>
      </c>
      <c r="Q3503" s="2" t="s">
        <v>836</v>
      </c>
    </row>
    <row r="3504" spans="2:17" x14ac:dyDescent="0.25">
      <c r="B3504" s="2" t="s">
        <v>4309</v>
      </c>
      <c r="C3504" s="2" t="s">
        <v>367</v>
      </c>
      <c r="D3504" s="2" t="s">
        <v>368</v>
      </c>
      <c r="E3504" s="2" t="s">
        <v>366</v>
      </c>
      <c r="F3504" s="2" t="s">
        <v>535</v>
      </c>
      <c r="G3504" s="2" t="s">
        <v>475</v>
      </c>
      <c r="H3504" s="2" t="s">
        <v>476</v>
      </c>
      <c r="I3504" s="26">
        <v>45748</v>
      </c>
      <c r="J3504" s="2">
        <v>10</v>
      </c>
      <c r="K3504" s="2" t="s">
        <v>123</v>
      </c>
      <c r="L3504" s="22">
        <v>6500</v>
      </c>
      <c r="M3504" s="22">
        <v>65000</v>
      </c>
      <c r="N3504" s="18">
        <v>69.52</v>
      </c>
      <c r="O3504" s="26">
        <v>45928</v>
      </c>
      <c r="P3504" s="2" t="s">
        <v>2105</v>
      </c>
      <c r="Q3504" s="2" t="s">
        <v>836</v>
      </c>
    </row>
    <row r="3505" spans="2:17" x14ac:dyDescent="0.25">
      <c r="B3505" s="2" t="s">
        <v>4310</v>
      </c>
      <c r="C3505" s="2" t="s">
        <v>367</v>
      </c>
      <c r="D3505" s="2" t="s">
        <v>368</v>
      </c>
      <c r="E3505" s="2" t="s">
        <v>366</v>
      </c>
      <c r="F3505" s="2" t="s">
        <v>535</v>
      </c>
      <c r="G3505" s="2" t="s">
        <v>475</v>
      </c>
      <c r="H3505" s="2" t="s">
        <v>476</v>
      </c>
      <c r="I3505" s="26">
        <v>45772</v>
      </c>
      <c r="J3505" s="2">
        <v>12</v>
      </c>
      <c r="K3505" s="2" t="s">
        <v>123</v>
      </c>
      <c r="L3505" s="22">
        <v>6500</v>
      </c>
      <c r="M3505" s="22">
        <v>78000</v>
      </c>
      <c r="N3505" s="18">
        <v>83.42</v>
      </c>
      <c r="O3505" s="26">
        <v>45952</v>
      </c>
      <c r="P3505" s="2" t="s">
        <v>2105</v>
      </c>
      <c r="Q3505" s="2" t="s">
        <v>836</v>
      </c>
    </row>
    <row r="3506" spans="2:17" x14ac:dyDescent="0.25">
      <c r="B3506" s="2" t="s">
        <v>4311</v>
      </c>
      <c r="C3506" s="2" t="s">
        <v>367</v>
      </c>
      <c r="D3506" s="2" t="s">
        <v>368</v>
      </c>
      <c r="E3506" s="2" t="s">
        <v>366</v>
      </c>
      <c r="F3506" s="2" t="s">
        <v>535</v>
      </c>
      <c r="G3506" s="2" t="s">
        <v>475</v>
      </c>
      <c r="H3506" s="2" t="s">
        <v>476</v>
      </c>
      <c r="I3506" s="26">
        <v>45793</v>
      </c>
      <c r="J3506" s="2">
        <v>9</v>
      </c>
      <c r="K3506" s="2" t="s">
        <v>123</v>
      </c>
      <c r="L3506" s="22">
        <v>6500</v>
      </c>
      <c r="M3506" s="22">
        <v>58500</v>
      </c>
      <c r="N3506" s="18">
        <v>62.57</v>
      </c>
      <c r="O3506" s="26">
        <v>45973</v>
      </c>
      <c r="P3506" s="2" t="s">
        <v>2105</v>
      </c>
      <c r="Q3506" s="2" t="s">
        <v>836</v>
      </c>
    </row>
    <row r="3507" spans="2:17" x14ac:dyDescent="0.25">
      <c r="B3507" s="2" t="s">
        <v>4312</v>
      </c>
      <c r="C3507" s="2" t="s">
        <v>367</v>
      </c>
      <c r="D3507" s="2" t="s">
        <v>368</v>
      </c>
      <c r="E3507" s="2" t="s">
        <v>366</v>
      </c>
      <c r="F3507" s="2" t="s">
        <v>535</v>
      </c>
      <c r="G3507" s="2" t="s">
        <v>475</v>
      </c>
      <c r="H3507" s="2" t="s">
        <v>476</v>
      </c>
      <c r="I3507" s="26">
        <v>45816</v>
      </c>
      <c r="J3507" s="2">
        <v>11</v>
      </c>
      <c r="K3507" s="2" t="s">
        <v>123</v>
      </c>
      <c r="L3507" s="22">
        <v>6500</v>
      </c>
      <c r="M3507" s="22">
        <v>71500</v>
      </c>
      <c r="N3507" s="18">
        <v>76.47</v>
      </c>
      <c r="O3507" s="26">
        <v>45996</v>
      </c>
      <c r="P3507" s="2" t="s">
        <v>2105</v>
      </c>
      <c r="Q3507" s="2" t="s">
        <v>806</v>
      </c>
    </row>
    <row r="3508" spans="2:17" x14ac:dyDescent="0.25">
      <c r="B3508" s="2" t="s">
        <v>4313</v>
      </c>
      <c r="C3508" s="2" t="s">
        <v>369</v>
      </c>
      <c r="D3508" s="2" t="s">
        <v>370</v>
      </c>
      <c r="E3508" s="2" t="s">
        <v>366</v>
      </c>
      <c r="F3508" s="2" t="s">
        <v>535</v>
      </c>
      <c r="G3508" s="2" t="s">
        <v>475</v>
      </c>
      <c r="H3508" s="2" t="s">
        <v>476</v>
      </c>
      <c r="I3508" s="26">
        <v>45122</v>
      </c>
      <c r="J3508" s="2">
        <v>11</v>
      </c>
      <c r="K3508" s="2" t="s">
        <v>123</v>
      </c>
      <c r="L3508" s="22">
        <v>5400</v>
      </c>
      <c r="M3508" s="22">
        <v>59400</v>
      </c>
      <c r="N3508" s="18">
        <v>63.53</v>
      </c>
      <c r="O3508" s="26">
        <v>45302</v>
      </c>
      <c r="P3508" s="2" t="s">
        <v>2105</v>
      </c>
      <c r="Q3508" s="2" t="s">
        <v>806</v>
      </c>
    </row>
    <row r="3509" spans="2:17" x14ac:dyDescent="0.25">
      <c r="B3509" s="2" t="s">
        <v>4314</v>
      </c>
      <c r="C3509" s="2" t="s">
        <v>369</v>
      </c>
      <c r="D3509" s="2" t="s">
        <v>370</v>
      </c>
      <c r="E3509" s="2" t="s">
        <v>366</v>
      </c>
      <c r="F3509" s="2" t="s">
        <v>535</v>
      </c>
      <c r="G3509" s="2" t="s">
        <v>475</v>
      </c>
      <c r="H3509" s="2" t="s">
        <v>476</v>
      </c>
      <c r="I3509" s="26">
        <v>45145</v>
      </c>
      <c r="J3509" s="2">
        <v>10</v>
      </c>
      <c r="K3509" s="2" t="s">
        <v>123</v>
      </c>
      <c r="L3509" s="22">
        <v>5400</v>
      </c>
      <c r="M3509" s="22">
        <v>54000</v>
      </c>
      <c r="N3509" s="18">
        <v>57.75</v>
      </c>
      <c r="O3509" s="26">
        <v>45325</v>
      </c>
      <c r="P3509" s="2" t="s">
        <v>2105</v>
      </c>
      <c r="Q3509" s="2" t="s">
        <v>806</v>
      </c>
    </row>
    <row r="3510" spans="2:17" x14ac:dyDescent="0.25">
      <c r="B3510" s="2" t="s">
        <v>4315</v>
      </c>
      <c r="C3510" s="2" t="s">
        <v>369</v>
      </c>
      <c r="D3510" s="2" t="s">
        <v>370</v>
      </c>
      <c r="E3510" s="2" t="s">
        <v>366</v>
      </c>
      <c r="F3510" s="2" t="s">
        <v>535</v>
      </c>
      <c r="G3510" s="2" t="s">
        <v>475</v>
      </c>
      <c r="H3510" s="2" t="s">
        <v>476</v>
      </c>
      <c r="I3510" s="26">
        <v>45170</v>
      </c>
      <c r="J3510" s="2">
        <v>11</v>
      </c>
      <c r="K3510" s="2" t="s">
        <v>123</v>
      </c>
      <c r="L3510" s="22">
        <v>5400</v>
      </c>
      <c r="M3510" s="22">
        <v>59400</v>
      </c>
      <c r="N3510" s="18">
        <v>63.53</v>
      </c>
      <c r="O3510" s="26">
        <v>45350</v>
      </c>
      <c r="P3510" s="2" t="s">
        <v>2105</v>
      </c>
      <c r="Q3510" s="2" t="s">
        <v>814</v>
      </c>
    </row>
    <row r="3511" spans="2:17" x14ac:dyDescent="0.25">
      <c r="B3511" s="2" t="s">
        <v>4316</v>
      </c>
      <c r="C3511" s="2" t="s">
        <v>369</v>
      </c>
      <c r="D3511" s="2" t="s">
        <v>370</v>
      </c>
      <c r="E3511" s="2" t="s">
        <v>366</v>
      </c>
      <c r="F3511" s="2" t="s">
        <v>535</v>
      </c>
      <c r="G3511" s="2" t="s">
        <v>475</v>
      </c>
      <c r="H3511" s="2" t="s">
        <v>476</v>
      </c>
      <c r="I3511" s="26">
        <v>45192</v>
      </c>
      <c r="J3511" s="2">
        <v>11</v>
      </c>
      <c r="K3511" s="2" t="s">
        <v>123</v>
      </c>
      <c r="L3511" s="22">
        <v>5400</v>
      </c>
      <c r="M3511" s="22">
        <v>59400</v>
      </c>
      <c r="N3511" s="18">
        <v>63.53</v>
      </c>
      <c r="O3511" s="26">
        <v>45372</v>
      </c>
      <c r="P3511" s="2" t="s">
        <v>2105</v>
      </c>
      <c r="Q3511" s="2" t="s">
        <v>814</v>
      </c>
    </row>
    <row r="3512" spans="2:17" x14ac:dyDescent="0.25">
      <c r="B3512" s="2" t="s">
        <v>4317</v>
      </c>
      <c r="C3512" s="2" t="s">
        <v>369</v>
      </c>
      <c r="D3512" s="2" t="s">
        <v>370</v>
      </c>
      <c r="E3512" s="2" t="s">
        <v>366</v>
      </c>
      <c r="F3512" s="2" t="s">
        <v>535</v>
      </c>
      <c r="G3512" s="2" t="s">
        <v>475</v>
      </c>
      <c r="H3512" s="2" t="s">
        <v>476</v>
      </c>
      <c r="I3512" s="26">
        <v>45209</v>
      </c>
      <c r="J3512" s="2">
        <v>10</v>
      </c>
      <c r="K3512" s="2" t="s">
        <v>123</v>
      </c>
      <c r="L3512" s="22">
        <v>5400</v>
      </c>
      <c r="M3512" s="22">
        <v>54000</v>
      </c>
      <c r="N3512" s="18">
        <v>57.75</v>
      </c>
      <c r="O3512" s="26">
        <v>45389</v>
      </c>
      <c r="P3512" s="2" t="s">
        <v>2105</v>
      </c>
      <c r="Q3512" s="2" t="s">
        <v>814</v>
      </c>
    </row>
    <row r="3513" spans="2:17" x14ac:dyDescent="0.25">
      <c r="B3513" s="2" t="s">
        <v>4318</v>
      </c>
      <c r="C3513" s="2" t="s">
        <v>369</v>
      </c>
      <c r="D3513" s="2" t="s">
        <v>370</v>
      </c>
      <c r="E3513" s="2" t="s">
        <v>366</v>
      </c>
      <c r="F3513" s="2" t="s">
        <v>535</v>
      </c>
      <c r="G3513" s="2" t="s">
        <v>475</v>
      </c>
      <c r="H3513" s="2" t="s">
        <v>476</v>
      </c>
      <c r="I3513" s="26">
        <v>45232</v>
      </c>
      <c r="J3513" s="2">
        <v>9</v>
      </c>
      <c r="K3513" s="2" t="s">
        <v>123</v>
      </c>
      <c r="L3513" s="22">
        <v>5400</v>
      </c>
      <c r="M3513" s="22">
        <v>48600</v>
      </c>
      <c r="N3513" s="18">
        <v>51.98</v>
      </c>
      <c r="O3513" s="26">
        <v>45412</v>
      </c>
      <c r="P3513" s="2" t="s">
        <v>2105</v>
      </c>
      <c r="Q3513" s="2" t="s">
        <v>814</v>
      </c>
    </row>
    <row r="3514" spans="2:17" x14ac:dyDescent="0.25">
      <c r="B3514" s="2" t="s">
        <v>4319</v>
      </c>
      <c r="C3514" s="2" t="s">
        <v>369</v>
      </c>
      <c r="D3514" s="2" t="s">
        <v>370</v>
      </c>
      <c r="E3514" s="2" t="s">
        <v>366</v>
      </c>
      <c r="F3514" s="2" t="s">
        <v>535</v>
      </c>
      <c r="G3514" s="2" t="s">
        <v>475</v>
      </c>
      <c r="H3514" s="2" t="s">
        <v>476</v>
      </c>
      <c r="I3514" s="26">
        <v>45256</v>
      </c>
      <c r="J3514" s="2">
        <v>10</v>
      </c>
      <c r="K3514" s="2" t="s">
        <v>123</v>
      </c>
      <c r="L3514" s="22">
        <v>5400</v>
      </c>
      <c r="M3514" s="22">
        <v>54000</v>
      </c>
      <c r="N3514" s="18">
        <v>57.75</v>
      </c>
      <c r="O3514" s="26">
        <v>45436</v>
      </c>
      <c r="P3514" s="2" t="s">
        <v>2105</v>
      </c>
      <c r="Q3514" s="2" t="s">
        <v>814</v>
      </c>
    </row>
    <row r="3515" spans="2:17" x14ac:dyDescent="0.25">
      <c r="B3515" s="2" t="s">
        <v>4320</v>
      </c>
      <c r="C3515" s="2" t="s">
        <v>369</v>
      </c>
      <c r="D3515" s="2" t="s">
        <v>370</v>
      </c>
      <c r="E3515" s="2" t="s">
        <v>366</v>
      </c>
      <c r="F3515" s="2" t="s">
        <v>537</v>
      </c>
      <c r="G3515" s="2" t="s">
        <v>505</v>
      </c>
      <c r="H3515" s="2" t="s">
        <v>506</v>
      </c>
      <c r="I3515" s="26">
        <v>45278</v>
      </c>
      <c r="J3515" s="2">
        <v>13</v>
      </c>
      <c r="K3515" s="2" t="s">
        <v>123</v>
      </c>
      <c r="L3515" s="22">
        <v>5450</v>
      </c>
      <c r="M3515" s="22">
        <v>70850</v>
      </c>
      <c r="N3515" s="18">
        <v>75.78</v>
      </c>
      <c r="O3515" s="26">
        <v>45458</v>
      </c>
      <c r="P3515" s="2" t="s">
        <v>2105</v>
      </c>
      <c r="Q3515" s="2" t="s">
        <v>825</v>
      </c>
    </row>
    <row r="3516" spans="2:17" x14ac:dyDescent="0.25">
      <c r="B3516" s="2" t="s">
        <v>4321</v>
      </c>
      <c r="C3516" s="2" t="s">
        <v>369</v>
      </c>
      <c r="D3516" s="2" t="s">
        <v>370</v>
      </c>
      <c r="E3516" s="2" t="s">
        <v>366</v>
      </c>
      <c r="F3516" s="2" t="s">
        <v>535</v>
      </c>
      <c r="G3516" s="2" t="s">
        <v>475</v>
      </c>
      <c r="H3516" s="2" t="s">
        <v>476</v>
      </c>
      <c r="I3516" s="26">
        <v>45297</v>
      </c>
      <c r="J3516" s="2">
        <v>11</v>
      </c>
      <c r="K3516" s="2" t="s">
        <v>123</v>
      </c>
      <c r="L3516" s="22">
        <v>5400</v>
      </c>
      <c r="M3516" s="22">
        <v>59400</v>
      </c>
      <c r="N3516" s="18">
        <v>63.53</v>
      </c>
      <c r="O3516" s="26">
        <v>45477</v>
      </c>
      <c r="P3516" s="2" t="s">
        <v>2105</v>
      </c>
      <c r="Q3516" s="2" t="s">
        <v>825</v>
      </c>
    </row>
    <row r="3517" spans="2:17" x14ac:dyDescent="0.25">
      <c r="B3517" s="2" t="s">
        <v>4322</v>
      </c>
      <c r="C3517" s="2" t="s">
        <v>369</v>
      </c>
      <c r="D3517" s="2" t="s">
        <v>370</v>
      </c>
      <c r="E3517" s="2" t="s">
        <v>366</v>
      </c>
      <c r="F3517" s="2" t="s">
        <v>535</v>
      </c>
      <c r="G3517" s="2" t="s">
        <v>475</v>
      </c>
      <c r="H3517" s="2" t="s">
        <v>476</v>
      </c>
      <c r="I3517" s="26">
        <v>45321</v>
      </c>
      <c r="J3517" s="2">
        <v>9</v>
      </c>
      <c r="K3517" s="2" t="s">
        <v>123</v>
      </c>
      <c r="L3517" s="22">
        <v>5400</v>
      </c>
      <c r="M3517" s="22">
        <v>48600</v>
      </c>
      <c r="N3517" s="18">
        <v>51.98</v>
      </c>
      <c r="O3517" s="26">
        <v>45501</v>
      </c>
      <c r="P3517" s="2" t="s">
        <v>2105</v>
      </c>
      <c r="Q3517" s="2" t="s">
        <v>825</v>
      </c>
    </row>
    <row r="3518" spans="2:17" x14ac:dyDescent="0.25">
      <c r="B3518" s="2" t="s">
        <v>4323</v>
      </c>
      <c r="C3518" s="2" t="s">
        <v>369</v>
      </c>
      <c r="D3518" s="2" t="s">
        <v>370</v>
      </c>
      <c r="E3518" s="2" t="s">
        <v>366</v>
      </c>
      <c r="F3518" s="2" t="s">
        <v>535</v>
      </c>
      <c r="G3518" s="2" t="s">
        <v>475</v>
      </c>
      <c r="H3518" s="2" t="s">
        <v>476</v>
      </c>
      <c r="I3518" s="26">
        <v>45338</v>
      </c>
      <c r="J3518" s="2">
        <v>9</v>
      </c>
      <c r="K3518" s="2" t="s">
        <v>123</v>
      </c>
      <c r="L3518" s="22">
        <v>5400</v>
      </c>
      <c r="M3518" s="22">
        <v>48600</v>
      </c>
      <c r="N3518" s="18">
        <v>51.98</v>
      </c>
      <c r="O3518" s="26">
        <v>45518</v>
      </c>
      <c r="P3518" s="2" t="s">
        <v>2105</v>
      </c>
      <c r="Q3518" s="2" t="s">
        <v>825</v>
      </c>
    </row>
    <row r="3519" spans="2:17" x14ac:dyDescent="0.25">
      <c r="B3519" s="2" t="s">
        <v>4324</v>
      </c>
      <c r="C3519" s="2" t="s">
        <v>369</v>
      </c>
      <c r="D3519" s="2" t="s">
        <v>370</v>
      </c>
      <c r="E3519" s="2" t="s">
        <v>366</v>
      </c>
      <c r="F3519" s="2" t="s">
        <v>535</v>
      </c>
      <c r="G3519" s="2" t="s">
        <v>475</v>
      </c>
      <c r="H3519" s="2" t="s">
        <v>476</v>
      </c>
      <c r="I3519" s="26">
        <v>45359</v>
      </c>
      <c r="J3519" s="2">
        <v>11</v>
      </c>
      <c r="K3519" s="2" t="s">
        <v>123</v>
      </c>
      <c r="L3519" s="22">
        <v>5400</v>
      </c>
      <c r="M3519" s="22">
        <v>59400</v>
      </c>
      <c r="N3519" s="18">
        <v>63.53</v>
      </c>
      <c r="O3519" s="26">
        <v>45539</v>
      </c>
      <c r="P3519" s="2" t="s">
        <v>2105</v>
      </c>
      <c r="Q3519" s="2" t="s">
        <v>836</v>
      </c>
    </row>
    <row r="3520" spans="2:17" x14ac:dyDescent="0.25">
      <c r="B3520" s="2" t="s">
        <v>4325</v>
      </c>
      <c r="C3520" s="2" t="s">
        <v>369</v>
      </c>
      <c r="D3520" s="2" t="s">
        <v>370</v>
      </c>
      <c r="E3520" s="2" t="s">
        <v>366</v>
      </c>
      <c r="F3520" s="2" t="s">
        <v>535</v>
      </c>
      <c r="G3520" s="2" t="s">
        <v>475</v>
      </c>
      <c r="H3520" s="2" t="s">
        <v>476</v>
      </c>
      <c r="I3520" s="26">
        <v>45375</v>
      </c>
      <c r="J3520" s="2">
        <v>10</v>
      </c>
      <c r="K3520" s="2" t="s">
        <v>123</v>
      </c>
      <c r="L3520" s="22">
        <v>5400</v>
      </c>
      <c r="M3520" s="22">
        <v>54000</v>
      </c>
      <c r="N3520" s="18">
        <v>57.75</v>
      </c>
      <c r="O3520" s="26">
        <v>45555</v>
      </c>
      <c r="P3520" s="2" t="s">
        <v>2105</v>
      </c>
      <c r="Q3520" s="2" t="s">
        <v>836</v>
      </c>
    </row>
    <row r="3521" spans="2:17" x14ac:dyDescent="0.25">
      <c r="B3521" s="2" t="s">
        <v>4326</v>
      </c>
      <c r="C3521" s="2" t="s">
        <v>369</v>
      </c>
      <c r="D3521" s="2" t="s">
        <v>370</v>
      </c>
      <c r="E3521" s="2" t="s">
        <v>366</v>
      </c>
      <c r="F3521" s="2" t="s">
        <v>535</v>
      </c>
      <c r="G3521" s="2" t="s">
        <v>475</v>
      </c>
      <c r="H3521" s="2" t="s">
        <v>476</v>
      </c>
      <c r="I3521" s="26">
        <v>45387</v>
      </c>
      <c r="J3521" s="2">
        <v>9</v>
      </c>
      <c r="K3521" s="2" t="s">
        <v>123</v>
      </c>
      <c r="L3521" s="22">
        <v>5400</v>
      </c>
      <c r="M3521" s="22">
        <v>48600</v>
      </c>
      <c r="N3521" s="18">
        <v>51.98</v>
      </c>
      <c r="O3521" s="26">
        <v>45567</v>
      </c>
      <c r="P3521" s="2" t="s">
        <v>2105</v>
      </c>
      <c r="Q3521" s="2" t="s">
        <v>836</v>
      </c>
    </row>
    <row r="3522" spans="2:17" x14ac:dyDescent="0.25">
      <c r="B3522" s="2" t="s">
        <v>4327</v>
      </c>
      <c r="C3522" s="2" t="s">
        <v>369</v>
      </c>
      <c r="D3522" s="2" t="s">
        <v>370</v>
      </c>
      <c r="E3522" s="2" t="s">
        <v>366</v>
      </c>
      <c r="F3522" s="2" t="s">
        <v>535</v>
      </c>
      <c r="G3522" s="2" t="s">
        <v>475</v>
      </c>
      <c r="H3522" s="2" t="s">
        <v>476</v>
      </c>
      <c r="I3522" s="26">
        <v>45401</v>
      </c>
      <c r="J3522" s="2">
        <v>10</v>
      </c>
      <c r="K3522" s="2" t="s">
        <v>123</v>
      </c>
      <c r="L3522" s="22">
        <v>5400</v>
      </c>
      <c r="M3522" s="22">
        <v>54000</v>
      </c>
      <c r="N3522" s="18">
        <v>57.75</v>
      </c>
      <c r="O3522" s="26">
        <v>45581</v>
      </c>
      <c r="P3522" s="2" t="s">
        <v>2105</v>
      </c>
      <c r="Q3522" s="2" t="s">
        <v>836</v>
      </c>
    </row>
    <row r="3523" spans="2:17" x14ac:dyDescent="0.25">
      <c r="B3523" s="2" t="s">
        <v>4328</v>
      </c>
      <c r="C3523" s="2" t="s">
        <v>369</v>
      </c>
      <c r="D3523" s="2" t="s">
        <v>370</v>
      </c>
      <c r="E3523" s="2" t="s">
        <v>366</v>
      </c>
      <c r="F3523" s="2" t="s">
        <v>535</v>
      </c>
      <c r="G3523" s="2" t="s">
        <v>475</v>
      </c>
      <c r="H3523" s="2" t="s">
        <v>476</v>
      </c>
      <c r="I3523" s="26">
        <v>45420</v>
      </c>
      <c r="J3523" s="2">
        <v>11</v>
      </c>
      <c r="K3523" s="2" t="s">
        <v>123</v>
      </c>
      <c r="L3523" s="22">
        <v>5400</v>
      </c>
      <c r="M3523" s="22">
        <v>59400</v>
      </c>
      <c r="N3523" s="18">
        <v>63.53</v>
      </c>
      <c r="O3523" s="26">
        <v>45600</v>
      </c>
      <c r="P3523" s="2" t="s">
        <v>2105</v>
      </c>
      <c r="Q3523" s="2" t="s">
        <v>836</v>
      </c>
    </row>
    <row r="3524" spans="2:17" x14ac:dyDescent="0.25">
      <c r="B3524" s="2" t="s">
        <v>4329</v>
      </c>
      <c r="C3524" s="2" t="s">
        <v>369</v>
      </c>
      <c r="D3524" s="2" t="s">
        <v>370</v>
      </c>
      <c r="E3524" s="2" t="s">
        <v>366</v>
      </c>
      <c r="F3524" s="2" t="s">
        <v>535</v>
      </c>
      <c r="G3524" s="2" t="s">
        <v>475</v>
      </c>
      <c r="H3524" s="2" t="s">
        <v>476</v>
      </c>
      <c r="I3524" s="26">
        <v>45442</v>
      </c>
      <c r="J3524" s="2">
        <v>9</v>
      </c>
      <c r="K3524" s="2" t="s">
        <v>123</v>
      </c>
      <c r="L3524" s="22">
        <v>5400</v>
      </c>
      <c r="M3524" s="22">
        <v>48600</v>
      </c>
      <c r="N3524" s="18">
        <v>51.98</v>
      </c>
      <c r="O3524" s="26">
        <v>45622</v>
      </c>
      <c r="P3524" s="2" t="s">
        <v>2105</v>
      </c>
      <c r="Q3524" s="2" t="s">
        <v>836</v>
      </c>
    </row>
    <row r="3525" spans="2:17" x14ac:dyDescent="0.25">
      <c r="B3525" s="2" t="s">
        <v>4330</v>
      </c>
      <c r="C3525" s="2" t="s">
        <v>369</v>
      </c>
      <c r="D3525" s="2" t="s">
        <v>370</v>
      </c>
      <c r="E3525" s="2" t="s">
        <v>366</v>
      </c>
      <c r="F3525" s="2" t="s">
        <v>535</v>
      </c>
      <c r="G3525" s="2" t="s">
        <v>475</v>
      </c>
      <c r="H3525" s="2" t="s">
        <v>476</v>
      </c>
      <c r="I3525" s="26">
        <v>45458</v>
      </c>
      <c r="J3525" s="2">
        <v>9</v>
      </c>
      <c r="K3525" s="2" t="s">
        <v>123</v>
      </c>
      <c r="L3525" s="22">
        <v>5400</v>
      </c>
      <c r="M3525" s="22">
        <v>48600</v>
      </c>
      <c r="N3525" s="18">
        <v>51.98</v>
      </c>
      <c r="O3525" s="26">
        <v>45638</v>
      </c>
      <c r="P3525" s="2" t="s">
        <v>2105</v>
      </c>
      <c r="Q3525" s="2" t="s">
        <v>806</v>
      </c>
    </row>
    <row r="3526" spans="2:17" x14ac:dyDescent="0.25">
      <c r="B3526" s="2" t="s">
        <v>4331</v>
      </c>
      <c r="C3526" s="2" t="s">
        <v>369</v>
      </c>
      <c r="D3526" s="2" t="s">
        <v>370</v>
      </c>
      <c r="E3526" s="2" t="s">
        <v>366</v>
      </c>
      <c r="F3526" s="2" t="s">
        <v>535</v>
      </c>
      <c r="G3526" s="2" t="s">
        <v>475</v>
      </c>
      <c r="H3526" s="2" t="s">
        <v>476</v>
      </c>
      <c r="I3526" s="26">
        <v>45478</v>
      </c>
      <c r="J3526" s="2">
        <v>9</v>
      </c>
      <c r="K3526" s="2" t="s">
        <v>123</v>
      </c>
      <c r="L3526" s="22">
        <v>5400</v>
      </c>
      <c r="M3526" s="22">
        <v>48600</v>
      </c>
      <c r="N3526" s="18">
        <v>51.98</v>
      </c>
      <c r="O3526" s="26">
        <v>45658</v>
      </c>
      <c r="P3526" s="2" t="s">
        <v>2105</v>
      </c>
      <c r="Q3526" s="2" t="s">
        <v>806</v>
      </c>
    </row>
    <row r="3527" spans="2:17" x14ac:dyDescent="0.25">
      <c r="B3527" s="2" t="s">
        <v>4332</v>
      </c>
      <c r="C3527" s="2" t="s">
        <v>369</v>
      </c>
      <c r="D3527" s="2" t="s">
        <v>370</v>
      </c>
      <c r="E3527" s="2" t="s">
        <v>366</v>
      </c>
      <c r="F3527" s="2" t="s">
        <v>535</v>
      </c>
      <c r="G3527" s="2" t="s">
        <v>475</v>
      </c>
      <c r="H3527" s="2" t="s">
        <v>476</v>
      </c>
      <c r="I3527" s="26">
        <v>45496</v>
      </c>
      <c r="J3527" s="2">
        <v>10</v>
      </c>
      <c r="K3527" s="2" t="s">
        <v>123</v>
      </c>
      <c r="L3527" s="22">
        <v>5400</v>
      </c>
      <c r="M3527" s="22">
        <v>54000</v>
      </c>
      <c r="N3527" s="18">
        <v>57.75</v>
      </c>
      <c r="O3527" s="26">
        <v>45676</v>
      </c>
      <c r="P3527" s="2" t="s">
        <v>2105</v>
      </c>
      <c r="Q3527" s="2" t="s">
        <v>806</v>
      </c>
    </row>
    <row r="3528" spans="2:17" x14ac:dyDescent="0.25">
      <c r="B3528" s="2" t="s">
        <v>4333</v>
      </c>
      <c r="C3528" s="2" t="s">
        <v>369</v>
      </c>
      <c r="D3528" s="2" t="s">
        <v>370</v>
      </c>
      <c r="E3528" s="2" t="s">
        <v>366</v>
      </c>
      <c r="F3528" s="2" t="s">
        <v>535</v>
      </c>
      <c r="G3528" s="2" t="s">
        <v>475</v>
      </c>
      <c r="H3528" s="2" t="s">
        <v>476</v>
      </c>
      <c r="I3528" s="26">
        <v>45519</v>
      </c>
      <c r="J3528" s="2">
        <v>10</v>
      </c>
      <c r="K3528" s="2" t="s">
        <v>123</v>
      </c>
      <c r="L3528" s="22">
        <v>5400</v>
      </c>
      <c r="M3528" s="22">
        <v>54000</v>
      </c>
      <c r="N3528" s="18">
        <v>57.75</v>
      </c>
      <c r="O3528" s="26">
        <v>45699</v>
      </c>
      <c r="P3528" s="2" t="s">
        <v>2105</v>
      </c>
      <c r="Q3528" s="2" t="s">
        <v>806</v>
      </c>
    </row>
    <row r="3529" spans="2:17" x14ac:dyDescent="0.25">
      <c r="B3529" s="2" t="s">
        <v>4334</v>
      </c>
      <c r="C3529" s="2" t="s">
        <v>369</v>
      </c>
      <c r="D3529" s="2" t="s">
        <v>370</v>
      </c>
      <c r="E3529" s="2" t="s">
        <v>366</v>
      </c>
      <c r="F3529" s="2" t="s">
        <v>535</v>
      </c>
      <c r="G3529" s="2" t="s">
        <v>475</v>
      </c>
      <c r="H3529" s="2" t="s">
        <v>476</v>
      </c>
      <c r="I3529" s="26">
        <v>45537</v>
      </c>
      <c r="J3529" s="2">
        <v>13</v>
      </c>
      <c r="K3529" s="2" t="s">
        <v>123</v>
      </c>
      <c r="L3529" s="22">
        <v>5400</v>
      </c>
      <c r="M3529" s="22">
        <v>70200</v>
      </c>
      <c r="N3529" s="18">
        <v>75.08</v>
      </c>
      <c r="O3529" s="26">
        <v>45717</v>
      </c>
      <c r="P3529" s="2" t="s">
        <v>2105</v>
      </c>
      <c r="Q3529" s="2" t="s">
        <v>814</v>
      </c>
    </row>
    <row r="3530" spans="2:17" x14ac:dyDescent="0.25">
      <c r="B3530" s="2" t="s">
        <v>4335</v>
      </c>
      <c r="C3530" s="2" t="s">
        <v>369</v>
      </c>
      <c r="D3530" s="2" t="s">
        <v>370</v>
      </c>
      <c r="E3530" s="2" t="s">
        <v>366</v>
      </c>
      <c r="F3530" s="2" t="s">
        <v>535</v>
      </c>
      <c r="G3530" s="2" t="s">
        <v>475</v>
      </c>
      <c r="H3530" s="2" t="s">
        <v>476</v>
      </c>
      <c r="I3530" s="26">
        <v>45560</v>
      </c>
      <c r="J3530" s="2">
        <v>11</v>
      </c>
      <c r="K3530" s="2" t="s">
        <v>123</v>
      </c>
      <c r="L3530" s="22">
        <v>5400</v>
      </c>
      <c r="M3530" s="22">
        <v>59400</v>
      </c>
      <c r="N3530" s="18">
        <v>63.53</v>
      </c>
      <c r="O3530" s="26">
        <v>45740</v>
      </c>
      <c r="P3530" s="2" t="s">
        <v>2105</v>
      </c>
      <c r="Q3530" s="2" t="s">
        <v>814</v>
      </c>
    </row>
    <row r="3531" spans="2:17" x14ac:dyDescent="0.25">
      <c r="B3531" s="2" t="s">
        <v>4336</v>
      </c>
      <c r="C3531" s="2" t="s">
        <v>369</v>
      </c>
      <c r="D3531" s="2" t="s">
        <v>370</v>
      </c>
      <c r="E3531" s="2" t="s">
        <v>366</v>
      </c>
      <c r="F3531" s="2" t="s">
        <v>535</v>
      </c>
      <c r="G3531" s="2" t="s">
        <v>475</v>
      </c>
      <c r="H3531" s="2" t="s">
        <v>476</v>
      </c>
      <c r="I3531" s="26">
        <v>45581</v>
      </c>
      <c r="J3531" s="2">
        <v>10</v>
      </c>
      <c r="K3531" s="2" t="s">
        <v>123</v>
      </c>
      <c r="L3531" s="22">
        <v>5400</v>
      </c>
      <c r="M3531" s="22">
        <v>54000</v>
      </c>
      <c r="N3531" s="18">
        <v>57.75</v>
      </c>
      <c r="O3531" s="26">
        <v>45761</v>
      </c>
      <c r="P3531" s="2" t="s">
        <v>2105</v>
      </c>
      <c r="Q3531" s="2" t="s">
        <v>814</v>
      </c>
    </row>
    <row r="3532" spans="2:17" x14ac:dyDescent="0.25">
      <c r="B3532" s="2" t="s">
        <v>4337</v>
      </c>
      <c r="C3532" s="2" t="s">
        <v>369</v>
      </c>
      <c r="D3532" s="2" t="s">
        <v>370</v>
      </c>
      <c r="E3532" s="2" t="s">
        <v>366</v>
      </c>
      <c r="F3532" s="2" t="s">
        <v>535</v>
      </c>
      <c r="G3532" s="2" t="s">
        <v>475</v>
      </c>
      <c r="H3532" s="2" t="s">
        <v>476</v>
      </c>
      <c r="I3532" s="26">
        <v>45596</v>
      </c>
      <c r="J3532" s="2">
        <v>11</v>
      </c>
      <c r="K3532" s="2" t="s">
        <v>123</v>
      </c>
      <c r="L3532" s="22">
        <v>5400</v>
      </c>
      <c r="M3532" s="22">
        <v>59400</v>
      </c>
      <c r="N3532" s="18">
        <v>63.53</v>
      </c>
      <c r="O3532" s="26">
        <v>45776</v>
      </c>
      <c r="P3532" s="2" t="s">
        <v>2105</v>
      </c>
      <c r="Q3532" s="2" t="s">
        <v>814</v>
      </c>
    </row>
    <row r="3533" spans="2:17" x14ac:dyDescent="0.25">
      <c r="B3533" s="2" t="s">
        <v>4338</v>
      </c>
      <c r="C3533" s="2" t="s">
        <v>369</v>
      </c>
      <c r="D3533" s="2" t="s">
        <v>370</v>
      </c>
      <c r="E3533" s="2" t="s">
        <v>366</v>
      </c>
      <c r="F3533" s="2" t="s">
        <v>535</v>
      </c>
      <c r="G3533" s="2" t="s">
        <v>475</v>
      </c>
      <c r="H3533" s="2" t="s">
        <v>476</v>
      </c>
      <c r="I3533" s="26">
        <v>45613</v>
      </c>
      <c r="J3533" s="2">
        <v>11</v>
      </c>
      <c r="K3533" s="2" t="s">
        <v>123</v>
      </c>
      <c r="L3533" s="22">
        <v>5400</v>
      </c>
      <c r="M3533" s="22">
        <v>59400</v>
      </c>
      <c r="N3533" s="18">
        <v>63.53</v>
      </c>
      <c r="O3533" s="26">
        <v>45793</v>
      </c>
      <c r="P3533" s="2" t="s">
        <v>2105</v>
      </c>
      <c r="Q3533" s="2" t="s">
        <v>814</v>
      </c>
    </row>
    <row r="3534" spans="2:17" x14ac:dyDescent="0.25">
      <c r="B3534" s="2" t="s">
        <v>4339</v>
      </c>
      <c r="C3534" s="2" t="s">
        <v>369</v>
      </c>
      <c r="D3534" s="2" t="s">
        <v>370</v>
      </c>
      <c r="E3534" s="2" t="s">
        <v>366</v>
      </c>
      <c r="F3534" s="2" t="s">
        <v>535</v>
      </c>
      <c r="G3534" s="2" t="s">
        <v>475</v>
      </c>
      <c r="H3534" s="2" t="s">
        <v>476</v>
      </c>
      <c r="I3534" s="26">
        <v>45630</v>
      </c>
      <c r="J3534" s="2">
        <v>13</v>
      </c>
      <c r="K3534" s="2" t="s">
        <v>123</v>
      </c>
      <c r="L3534" s="22">
        <v>5400</v>
      </c>
      <c r="M3534" s="22">
        <v>70200</v>
      </c>
      <c r="N3534" s="18">
        <v>75.08</v>
      </c>
      <c r="O3534" s="26">
        <v>45810</v>
      </c>
      <c r="P3534" s="2" t="s">
        <v>2105</v>
      </c>
      <c r="Q3534" s="2" t="s">
        <v>825</v>
      </c>
    </row>
    <row r="3535" spans="2:17" x14ac:dyDescent="0.25">
      <c r="B3535" s="2" t="s">
        <v>4340</v>
      </c>
      <c r="C3535" s="2" t="s">
        <v>369</v>
      </c>
      <c r="D3535" s="2" t="s">
        <v>370</v>
      </c>
      <c r="E3535" s="2" t="s">
        <v>366</v>
      </c>
      <c r="F3535" s="2" t="s">
        <v>535</v>
      </c>
      <c r="G3535" s="2" t="s">
        <v>475</v>
      </c>
      <c r="H3535" s="2" t="s">
        <v>476</v>
      </c>
      <c r="I3535" s="26">
        <v>45649</v>
      </c>
      <c r="J3535" s="2">
        <v>14</v>
      </c>
      <c r="K3535" s="2" t="s">
        <v>123</v>
      </c>
      <c r="L3535" s="22">
        <v>5400</v>
      </c>
      <c r="M3535" s="22">
        <v>75600</v>
      </c>
      <c r="N3535" s="18">
        <v>80.86</v>
      </c>
      <c r="O3535" s="26">
        <v>45829</v>
      </c>
      <c r="P3535" s="2" t="s">
        <v>2105</v>
      </c>
      <c r="Q3535" s="2" t="s">
        <v>825</v>
      </c>
    </row>
    <row r="3536" spans="2:17" x14ac:dyDescent="0.25">
      <c r="B3536" s="2" t="s">
        <v>4341</v>
      </c>
      <c r="C3536" s="2" t="s">
        <v>369</v>
      </c>
      <c r="D3536" s="2" t="s">
        <v>370</v>
      </c>
      <c r="E3536" s="2" t="s">
        <v>366</v>
      </c>
      <c r="F3536" s="2" t="s">
        <v>535</v>
      </c>
      <c r="G3536" s="2" t="s">
        <v>475</v>
      </c>
      <c r="H3536" s="2" t="s">
        <v>476</v>
      </c>
      <c r="I3536" s="26">
        <v>45665</v>
      </c>
      <c r="J3536" s="2">
        <v>11</v>
      </c>
      <c r="K3536" s="2" t="s">
        <v>123</v>
      </c>
      <c r="L3536" s="22">
        <v>5400</v>
      </c>
      <c r="M3536" s="22">
        <v>59400</v>
      </c>
      <c r="N3536" s="18">
        <v>63.53</v>
      </c>
      <c r="O3536" s="26">
        <v>45845</v>
      </c>
      <c r="P3536" s="2" t="s">
        <v>2105</v>
      </c>
      <c r="Q3536" s="2" t="s">
        <v>825</v>
      </c>
    </row>
    <row r="3537" spans="2:17" x14ac:dyDescent="0.25">
      <c r="B3537" s="2" t="s">
        <v>4342</v>
      </c>
      <c r="C3537" s="2" t="s">
        <v>369</v>
      </c>
      <c r="D3537" s="2" t="s">
        <v>370</v>
      </c>
      <c r="E3537" s="2" t="s">
        <v>366</v>
      </c>
      <c r="F3537" s="2" t="s">
        <v>535</v>
      </c>
      <c r="G3537" s="2" t="s">
        <v>475</v>
      </c>
      <c r="H3537" s="2" t="s">
        <v>476</v>
      </c>
      <c r="I3537" s="26">
        <v>45688</v>
      </c>
      <c r="J3537" s="2">
        <v>12</v>
      </c>
      <c r="K3537" s="2" t="s">
        <v>123</v>
      </c>
      <c r="L3537" s="22">
        <v>5400</v>
      </c>
      <c r="M3537" s="22">
        <v>64800</v>
      </c>
      <c r="N3537" s="18">
        <v>69.3</v>
      </c>
      <c r="O3537" s="26">
        <v>45868</v>
      </c>
      <c r="P3537" s="2" t="s">
        <v>2105</v>
      </c>
      <c r="Q3537" s="2" t="s">
        <v>825</v>
      </c>
    </row>
    <row r="3538" spans="2:17" x14ac:dyDescent="0.25">
      <c r="B3538" s="2" t="s">
        <v>4343</v>
      </c>
      <c r="C3538" s="2" t="s">
        <v>369</v>
      </c>
      <c r="D3538" s="2" t="s">
        <v>370</v>
      </c>
      <c r="E3538" s="2" t="s">
        <v>366</v>
      </c>
      <c r="F3538" s="2" t="s">
        <v>535</v>
      </c>
      <c r="G3538" s="2" t="s">
        <v>475</v>
      </c>
      <c r="H3538" s="2" t="s">
        <v>476</v>
      </c>
      <c r="I3538" s="26">
        <v>45702</v>
      </c>
      <c r="J3538" s="2">
        <v>10</v>
      </c>
      <c r="K3538" s="2" t="s">
        <v>123</v>
      </c>
      <c r="L3538" s="22">
        <v>5400</v>
      </c>
      <c r="M3538" s="22">
        <v>54000</v>
      </c>
      <c r="N3538" s="18">
        <v>57.75</v>
      </c>
      <c r="O3538" s="26">
        <v>45882</v>
      </c>
      <c r="P3538" s="2" t="s">
        <v>2105</v>
      </c>
      <c r="Q3538" s="2" t="s">
        <v>825</v>
      </c>
    </row>
    <row r="3539" spans="2:17" x14ac:dyDescent="0.25">
      <c r="B3539" s="2" t="s">
        <v>4344</v>
      </c>
      <c r="C3539" s="2" t="s">
        <v>369</v>
      </c>
      <c r="D3539" s="2" t="s">
        <v>370</v>
      </c>
      <c r="E3539" s="2" t="s">
        <v>366</v>
      </c>
      <c r="F3539" s="2" t="s">
        <v>535</v>
      </c>
      <c r="G3539" s="2" t="s">
        <v>475</v>
      </c>
      <c r="H3539" s="2" t="s">
        <v>476</v>
      </c>
      <c r="I3539" s="26">
        <v>45726</v>
      </c>
      <c r="J3539" s="2">
        <v>9</v>
      </c>
      <c r="K3539" s="2" t="s">
        <v>123</v>
      </c>
      <c r="L3539" s="22">
        <v>5400</v>
      </c>
      <c r="M3539" s="22">
        <v>48600</v>
      </c>
      <c r="N3539" s="18">
        <v>51.98</v>
      </c>
      <c r="O3539" s="26">
        <v>45906</v>
      </c>
      <c r="P3539" s="2" t="s">
        <v>2105</v>
      </c>
      <c r="Q3539" s="2" t="s">
        <v>836</v>
      </c>
    </row>
    <row r="3540" spans="2:17" x14ac:dyDescent="0.25">
      <c r="B3540" s="2" t="s">
        <v>4345</v>
      </c>
      <c r="C3540" s="2" t="s">
        <v>369</v>
      </c>
      <c r="D3540" s="2" t="s">
        <v>370</v>
      </c>
      <c r="E3540" s="2" t="s">
        <v>366</v>
      </c>
      <c r="F3540" s="2" t="s">
        <v>535</v>
      </c>
      <c r="G3540" s="2" t="s">
        <v>475</v>
      </c>
      <c r="H3540" s="2" t="s">
        <v>476</v>
      </c>
      <c r="I3540" s="26">
        <v>45747</v>
      </c>
      <c r="J3540" s="2">
        <v>11</v>
      </c>
      <c r="K3540" s="2" t="s">
        <v>123</v>
      </c>
      <c r="L3540" s="22">
        <v>5400</v>
      </c>
      <c r="M3540" s="22">
        <v>59400</v>
      </c>
      <c r="N3540" s="18">
        <v>63.53</v>
      </c>
      <c r="O3540" s="26">
        <v>45927</v>
      </c>
      <c r="P3540" s="2" t="s">
        <v>2105</v>
      </c>
      <c r="Q3540" s="2" t="s">
        <v>836</v>
      </c>
    </row>
    <row r="3541" spans="2:17" x14ac:dyDescent="0.25">
      <c r="B3541" s="2" t="s">
        <v>4346</v>
      </c>
      <c r="C3541" s="2" t="s">
        <v>369</v>
      </c>
      <c r="D3541" s="2" t="s">
        <v>370</v>
      </c>
      <c r="E3541" s="2" t="s">
        <v>366</v>
      </c>
      <c r="F3541" s="2" t="s">
        <v>535</v>
      </c>
      <c r="G3541" s="2" t="s">
        <v>475</v>
      </c>
      <c r="H3541" s="2" t="s">
        <v>476</v>
      </c>
      <c r="I3541" s="26">
        <v>45767</v>
      </c>
      <c r="J3541" s="2">
        <v>10</v>
      </c>
      <c r="K3541" s="2" t="s">
        <v>123</v>
      </c>
      <c r="L3541" s="22">
        <v>5400</v>
      </c>
      <c r="M3541" s="22">
        <v>54000</v>
      </c>
      <c r="N3541" s="18">
        <v>57.75</v>
      </c>
      <c r="O3541" s="26">
        <v>45947</v>
      </c>
      <c r="P3541" s="2" t="s">
        <v>2105</v>
      </c>
      <c r="Q3541" s="2" t="s">
        <v>836</v>
      </c>
    </row>
    <row r="3542" spans="2:17" x14ac:dyDescent="0.25">
      <c r="B3542" s="2" t="s">
        <v>4347</v>
      </c>
      <c r="C3542" s="2" t="s">
        <v>369</v>
      </c>
      <c r="D3542" s="2" t="s">
        <v>370</v>
      </c>
      <c r="E3542" s="2" t="s">
        <v>366</v>
      </c>
      <c r="F3542" s="2" t="s">
        <v>535</v>
      </c>
      <c r="G3542" s="2" t="s">
        <v>475</v>
      </c>
      <c r="H3542" s="2" t="s">
        <v>476</v>
      </c>
      <c r="I3542" s="26">
        <v>45788</v>
      </c>
      <c r="J3542" s="2">
        <v>12</v>
      </c>
      <c r="K3542" s="2" t="s">
        <v>123</v>
      </c>
      <c r="L3542" s="22">
        <v>5400</v>
      </c>
      <c r="M3542" s="22">
        <v>64800</v>
      </c>
      <c r="N3542" s="18">
        <v>69.3</v>
      </c>
      <c r="O3542" s="26">
        <v>45968</v>
      </c>
      <c r="P3542" s="2" t="s">
        <v>2105</v>
      </c>
      <c r="Q3542" s="2" t="s">
        <v>836</v>
      </c>
    </row>
    <row r="3543" spans="2:17" x14ac:dyDescent="0.25">
      <c r="B3543" s="2" t="s">
        <v>4348</v>
      </c>
      <c r="C3543" s="2" t="s">
        <v>369</v>
      </c>
      <c r="D3543" s="2" t="s">
        <v>370</v>
      </c>
      <c r="E3543" s="2" t="s">
        <v>366</v>
      </c>
      <c r="F3543" s="2" t="s">
        <v>535</v>
      </c>
      <c r="G3543" s="2" t="s">
        <v>475</v>
      </c>
      <c r="H3543" s="2" t="s">
        <v>476</v>
      </c>
      <c r="I3543" s="26">
        <v>45807</v>
      </c>
      <c r="J3543" s="2">
        <v>12</v>
      </c>
      <c r="K3543" s="2" t="s">
        <v>123</v>
      </c>
      <c r="L3543" s="22">
        <v>5400</v>
      </c>
      <c r="M3543" s="22">
        <v>64800</v>
      </c>
      <c r="N3543" s="18">
        <v>69.3</v>
      </c>
      <c r="O3543" s="26">
        <v>45987</v>
      </c>
      <c r="P3543" s="2" t="s">
        <v>2105</v>
      </c>
      <c r="Q3543" s="2" t="s">
        <v>836</v>
      </c>
    </row>
    <row r="3544" spans="2:17" x14ac:dyDescent="0.25">
      <c r="B3544" s="2" t="s">
        <v>4349</v>
      </c>
      <c r="C3544" s="2" t="s">
        <v>369</v>
      </c>
      <c r="D3544" s="2" t="s">
        <v>370</v>
      </c>
      <c r="E3544" s="2" t="s">
        <v>366</v>
      </c>
      <c r="F3544" s="2" t="s">
        <v>535</v>
      </c>
      <c r="G3544" s="2" t="s">
        <v>475</v>
      </c>
      <c r="H3544" s="2" t="s">
        <v>476</v>
      </c>
      <c r="I3544" s="26">
        <v>45826</v>
      </c>
      <c r="J3544" s="2">
        <v>10</v>
      </c>
      <c r="K3544" s="2" t="s">
        <v>123</v>
      </c>
      <c r="L3544" s="22">
        <v>5400</v>
      </c>
      <c r="M3544" s="22">
        <v>54000</v>
      </c>
      <c r="N3544" s="18">
        <v>57.75</v>
      </c>
      <c r="O3544" s="26">
        <v>46006</v>
      </c>
      <c r="P3544" s="2" t="s">
        <v>2105</v>
      </c>
      <c r="Q3544" s="2" t="s">
        <v>806</v>
      </c>
    </row>
    <row r="3545" spans="2:17" x14ac:dyDescent="0.25">
      <c r="B3545" s="2" t="s">
        <v>4350</v>
      </c>
      <c r="C3545" s="2" t="s">
        <v>371</v>
      </c>
      <c r="D3545" s="2" t="s">
        <v>372</v>
      </c>
      <c r="E3545" s="2" t="s">
        <v>366</v>
      </c>
      <c r="F3545" s="2" t="s">
        <v>535</v>
      </c>
      <c r="G3545" s="2" t="s">
        <v>475</v>
      </c>
      <c r="H3545" s="2" t="s">
        <v>476</v>
      </c>
      <c r="I3545" s="26">
        <v>45126</v>
      </c>
      <c r="J3545" s="2">
        <v>15</v>
      </c>
      <c r="K3545" s="2" t="s">
        <v>123</v>
      </c>
      <c r="L3545" s="22">
        <v>9950</v>
      </c>
      <c r="M3545" s="22">
        <v>149250</v>
      </c>
      <c r="N3545" s="18">
        <v>159.63</v>
      </c>
      <c r="O3545" s="26">
        <v>45306</v>
      </c>
      <c r="P3545" s="2" t="s">
        <v>2105</v>
      </c>
      <c r="Q3545" s="2" t="s">
        <v>806</v>
      </c>
    </row>
    <row r="3546" spans="2:17" x14ac:dyDescent="0.25">
      <c r="B3546" s="2" t="s">
        <v>4351</v>
      </c>
      <c r="C3546" s="2" t="s">
        <v>371</v>
      </c>
      <c r="D3546" s="2" t="s">
        <v>372</v>
      </c>
      <c r="E3546" s="2" t="s">
        <v>366</v>
      </c>
      <c r="F3546" s="2" t="s">
        <v>535</v>
      </c>
      <c r="G3546" s="2" t="s">
        <v>475</v>
      </c>
      <c r="H3546" s="2" t="s">
        <v>476</v>
      </c>
      <c r="I3546" s="26">
        <v>45141</v>
      </c>
      <c r="J3546" s="2">
        <v>14</v>
      </c>
      <c r="K3546" s="2" t="s">
        <v>123</v>
      </c>
      <c r="L3546" s="22">
        <v>9950</v>
      </c>
      <c r="M3546" s="22">
        <v>139300</v>
      </c>
      <c r="N3546" s="18">
        <v>148.97999999999999</v>
      </c>
      <c r="O3546" s="26">
        <v>45321</v>
      </c>
      <c r="P3546" s="2" t="s">
        <v>2105</v>
      </c>
      <c r="Q3546" s="2" t="s">
        <v>806</v>
      </c>
    </row>
    <row r="3547" spans="2:17" x14ac:dyDescent="0.25">
      <c r="B3547" s="2" t="s">
        <v>4352</v>
      </c>
      <c r="C3547" s="2" t="s">
        <v>371</v>
      </c>
      <c r="D3547" s="2" t="s">
        <v>372</v>
      </c>
      <c r="E3547" s="2" t="s">
        <v>366</v>
      </c>
      <c r="F3547" s="2" t="s">
        <v>535</v>
      </c>
      <c r="G3547" s="2" t="s">
        <v>475</v>
      </c>
      <c r="H3547" s="2" t="s">
        <v>476</v>
      </c>
      <c r="I3547" s="26">
        <v>45166</v>
      </c>
      <c r="J3547" s="2">
        <v>16</v>
      </c>
      <c r="K3547" s="2" t="s">
        <v>123</v>
      </c>
      <c r="L3547" s="22">
        <v>9950</v>
      </c>
      <c r="M3547" s="22">
        <v>159200</v>
      </c>
      <c r="N3547" s="18">
        <v>170.27</v>
      </c>
      <c r="O3547" s="26">
        <v>45346</v>
      </c>
      <c r="P3547" s="2" t="s">
        <v>2105</v>
      </c>
      <c r="Q3547" s="2" t="s">
        <v>806</v>
      </c>
    </row>
    <row r="3548" spans="2:17" x14ac:dyDescent="0.25">
      <c r="B3548" s="2" t="s">
        <v>4353</v>
      </c>
      <c r="C3548" s="2" t="s">
        <v>371</v>
      </c>
      <c r="D3548" s="2" t="s">
        <v>372</v>
      </c>
      <c r="E3548" s="2" t="s">
        <v>366</v>
      </c>
      <c r="F3548" s="2" t="s">
        <v>535</v>
      </c>
      <c r="G3548" s="2" t="s">
        <v>475</v>
      </c>
      <c r="H3548" s="2" t="s">
        <v>476</v>
      </c>
      <c r="I3548" s="26">
        <v>45187</v>
      </c>
      <c r="J3548" s="2">
        <v>20</v>
      </c>
      <c r="K3548" s="2" t="s">
        <v>123</v>
      </c>
      <c r="L3548" s="22">
        <v>9950</v>
      </c>
      <c r="M3548" s="22">
        <v>199000</v>
      </c>
      <c r="N3548" s="18">
        <v>212.83</v>
      </c>
      <c r="O3548" s="26">
        <v>45367</v>
      </c>
      <c r="P3548" s="2" t="s">
        <v>2105</v>
      </c>
      <c r="Q3548" s="2" t="s">
        <v>814</v>
      </c>
    </row>
    <row r="3549" spans="2:17" x14ac:dyDescent="0.25">
      <c r="B3549" s="2" t="s">
        <v>4354</v>
      </c>
      <c r="C3549" s="2" t="s">
        <v>371</v>
      </c>
      <c r="D3549" s="2" t="s">
        <v>372</v>
      </c>
      <c r="E3549" s="2" t="s">
        <v>366</v>
      </c>
      <c r="F3549" s="2" t="s">
        <v>535</v>
      </c>
      <c r="G3549" s="2" t="s">
        <v>475</v>
      </c>
      <c r="H3549" s="2" t="s">
        <v>476</v>
      </c>
      <c r="I3549" s="26">
        <v>45208</v>
      </c>
      <c r="J3549" s="2">
        <v>6</v>
      </c>
      <c r="K3549" s="2" t="s">
        <v>123</v>
      </c>
      <c r="L3549" s="22">
        <v>9950</v>
      </c>
      <c r="M3549" s="22">
        <v>59700</v>
      </c>
      <c r="N3549" s="18">
        <v>63.85</v>
      </c>
      <c r="O3549" s="26">
        <v>45388</v>
      </c>
      <c r="P3549" s="2" t="s">
        <v>2105</v>
      </c>
      <c r="Q3549" s="2" t="s">
        <v>814</v>
      </c>
    </row>
    <row r="3550" spans="2:17" x14ac:dyDescent="0.25">
      <c r="B3550" s="2" t="s">
        <v>4355</v>
      </c>
      <c r="C3550" s="2" t="s">
        <v>371</v>
      </c>
      <c r="D3550" s="2" t="s">
        <v>372</v>
      </c>
      <c r="E3550" s="2" t="s">
        <v>366</v>
      </c>
      <c r="F3550" s="2" t="s">
        <v>535</v>
      </c>
      <c r="G3550" s="2" t="s">
        <v>475</v>
      </c>
      <c r="H3550" s="2" t="s">
        <v>476</v>
      </c>
      <c r="I3550" s="26">
        <v>45227</v>
      </c>
      <c r="J3550" s="2">
        <v>6</v>
      </c>
      <c r="K3550" s="2" t="s">
        <v>123</v>
      </c>
      <c r="L3550" s="22">
        <v>9950</v>
      </c>
      <c r="M3550" s="22">
        <v>59700</v>
      </c>
      <c r="N3550" s="18">
        <v>63.85</v>
      </c>
      <c r="O3550" s="26">
        <v>45407</v>
      </c>
      <c r="P3550" s="2" t="s">
        <v>2105</v>
      </c>
      <c r="Q3550" s="2" t="s">
        <v>814</v>
      </c>
    </row>
    <row r="3551" spans="2:17" x14ac:dyDescent="0.25">
      <c r="B3551" s="2" t="s">
        <v>4356</v>
      </c>
      <c r="C3551" s="2" t="s">
        <v>371</v>
      </c>
      <c r="D3551" s="2" t="s">
        <v>372</v>
      </c>
      <c r="E3551" s="2" t="s">
        <v>366</v>
      </c>
      <c r="F3551" s="2" t="s">
        <v>535</v>
      </c>
      <c r="G3551" s="2" t="s">
        <v>475</v>
      </c>
      <c r="H3551" s="2" t="s">
        <v>476</v>
      </c>
      <c r="I3551" s="26">
        <v>45249</v>
      </c>
      <c r="J3551" s="2">
        <v>7</v>
      </c>
      <c r="K3551" s="2" t="s">
        <v>123</v>
      </c>
      <c r="L3551" s="22">
        <v>9950</v>
      </c>
      <c r="M3551" s="22">
        <v>69650</v>
      </c>
      <c r="N3551" s="18">
        <v>74.489999999999995</v>
      </c>
      <c r="O3551" s="26">
        <v>45429</v>
      </c>
      <c r="P3551" s="2" t="s">
        <v>2105</v>
      </c>
      <c r="Q3551" s="2" t="s">
        <v>814</v>
      </c>
    </row>
    <row r="3552" spans="2:17" x14ac:dyDescent="0.25">
      <c r="B3552" s="2" t="s">
        <v>4357</v>
      </c>
      <c r="C3552" s="2" t="s">
        <v>371</v>
      </c>
      <c r="D3552" s="2" t="s">
        <v>372</v>
      </c>
      <c r="E3552" s="2" t="s">
        <v>366</v>
      </c>
      <c r="F3552" s="2" t="s">
        <v>535</v>
      </c>
      <c r="G3552" s="2" t="s">
        <v>475</v>
      </c>
      <c r="H3552" s="2" t="s">
        <v>476</v>
      </c>
      <c r="I3552" s="26">
        <v>45267</v>
      </c>
      <c r="J3552" s="2">
        <v>9</v>
      </c>
      <c r="K3552" s="2" t="s">
        <v>123</v>
      </c>
      <c r="L3552" s="22">
        <v>9950</v>
      </c>
      <c r="M3552" s="22">
        <v>89550</v>
      </c>
      <c r="N3552" s="18">
        <v>95.78</v>
      </c>
      <c r="O3552" s="26">
        <v>45447</v>
      </c>
      <c r="P3552" s="2" t="s">
        <v>2105</v>
      </c>
      <c r="Q3552" s="2" t="s">
        <v>825</v>
      </c>
    </row>
    <row r="3553" spans="2:17" x14ac:dyDescent="0.25">
      <c r="B3553" s="2" t="s">
        <v>4358</v>
      </c>
      <c r="C3553" s="2" t="s">
        <v>371</v>
      </c>
      <c r="D3553" s="2" t="s">
        <v>372</v>
      </c>
      <c r="E3553" s="2" t="s">
        <v>366</v>
      </c>
      <c r="F3553" s="2" t="s">
        <v>535</v>
      </c>
      <c r="G3553" s="2" t="s">
        <v>475</v>
      </c>
      <c r="H3553" s="2" t="s">
        <v>476</v>
      </c>
      <c r="I3553" s="26">
        <v>45283</v>
      </c>
      <c r="J3553" s="2">
        <v>7</v>
      </c>
      <c r="K3553" s="2" t="s">
        <v>123</v>
      </c>
      <c r="L3553" s="22">
        <v>9950</v>
      </c>
      <c r="M3553" s="22">
        <v>69650</v>
      </c>
      <c r="N3553" s="18">
        <v>74.489999999999995</v>
      </c>
      <c r="O3553" s="26">
        <v>45463</v>
      </c>
      <c r="P3553" s="2" t="s">
        <v>2105</v>
      </c>
      <c r="Q3553" s="2" t="s">
        <v>825</v>
      </c>
    </row>
    <row r="3554" spans="2:17" x14ac:dyDescent="0.25">
      <c r="B3554" s="2" t="s">
        <v>4359</v>
      </c>
      <c r="C3554" s="2" t="s">
        <v>371</v>
      </c>
      <c r="D3554" s="2" t="s">
        <v>372</v>
      </c>
      <c r="E3554" s="2" t="s">
        <v>366</v>
      </c>
      <c r="F3554" s="2" t="s">
        <v>535</v>
      </c>
      <c r="G3554" s="2" t="s">
        <v>475</v>
      </c>
      <c r="H3554" s="2" t="s">
        <v>476</v>
      </c>
      <c r="I3554" s="26">
        <v>45310</v>
      </c>
      <c r="J3554" s="2">
        <v>6</v>
      </c>
      <c r="K3554" s="2" t="s">
        <v>123</v>
      </c>
      <c r="L3554" s="22">
        <v>9950</v>
      </c>
      <c r="M3554" s="22">
        <v>59700</v>
      </c>
      <c r="N3554" s="18">
        <v>63.85</v>
      </c>
      <c r="O3554" s="26">
        <v>45490</v>
      </c>
      <c r="P3554" s="2" t="s">
        <v>2105</v>
      </c>
      <c r="Q3554" s="2" t="s">
        <v>825</v>
      </c>
    </row>
    <row r="3555" spans="2:17" x14ac:dyDescent="0.25">
      <c r="B3555" s="2" t="s">
        <v>4360</v>
      </c>
      <c r="C3555" s="2" t="s">
        <v>371</v>
      </c>
      <c r="D3555" s="2" t="s">
        <v>372</v>
      </c>
      <c r="E3555" s="2" t="s">
        <v>366</v>
      </c>
      <c r="F3555" s="2" t="s">
        <v>535</v>
      </c>
      <c r="G3555" s="2" t="s">
        <v>475</v>
      </c>
      <c r="H3555" s="2" t="s">
        <v>476</v>
      </c>
      <c r="I3555" s="26">
        <v>45334</v>
      </c>
      <c r="J3555" s="2">
        <v>6</v>
      </c>
      <c r="K3555" s="2" t="s">
        <v>123</v>
      </c>
      <c r="L3555" s="22">
        <v>9950</v>
      </c>
      <c r="M3555" s="22">
        <v>59700</v>
      </c>
      <c r="N3555" s="18">
        <v>63.85</v>
      </c>
      <c r="O3555" s="26">
        <v>45514</v>
      </c>
      <c r="P3555" s="2" t="s">
        <v>2105</v>
      </c>
      <c r="Q3555" s="2" t="s">
        <v>825</v>
      </c>
    </row>
    <row r="3556" spans="2:17" x14ac:dyDescent="0.25">
      <c r="B3556" s="2" t="s">
        <v>4361</v>
      </c>
      <c r="C3556" s="2" t="s">
        <v>371</v>
      </c>
      <c r="D3556" s="2" t="s">
        <v>372</v>
      </c>
      <c r="E3556" s="2" t="s">
        <v>366</v>
      </c>
      <c r="F3556" s="2" t="s">
        <v>535</v>
      </c>
      <c r="G3556" s="2" t="s">
        <v>475</v>
      </c>
      <c r="H3556" s="2" t="s">
        <v>476</v>
      </c>
      <c r="I3556" s="26">
        <v>45351</v>
      </c>
      <c r="J3556" s="2">
        <v>6</v>
      </c>
      <c r="K3556" s="2" t="s">
        <v>123</v>
      </c>
      <c r="L3556" s="22">
        <v>9950</v>
      </c>
      <c r="M3556" s="22">
        <v>59700</v>
      </c>
      <c r="N3556" s="18">
        <v>63.85</v>
      </c>
      <c r="O3556" s="26">
        <v>45531</v>
      </c>
      <c r="P3556" s="2" t="s">
        <v>2105</v>
      </c>
      <c r="Q3556" s="2" t="s">
        <v>825</v>
      </c>
    </row>
    <row r="3557" spans="2:17" x14ac:dyDescent="0.25">
      <c r="B3557" s="2" t="s">
        <v>4362</v>
      </c>
      <c r="C3557" s="2" t="s">
        <v>371</v>
      </c>
      <c r="D3557" s="2" t="s">
        <v>372</v>
      </c>
      <c r="E3557" s="2" t="s">
        <v>366</v>
      </c>
      <c r="F3557" s="2" t="s">
        <v>535</v>
      </c>
      <c r="G3557" s="2" t="s">
        <v>475</v>
      </c>
      <c r="H3557" s="2" t="s">
        <v>476</v>
      </c>
      <c r="I3557" s="26">
        <v>45374</v>
      </c>
      <c r="J3557" s="2">
        <v>5</v>
      </c>
      <c r="K3557" s="2" t="s">
        <v>123</v>
      </c>
      <c r="L3557" s="22">
        <v>9950</v>
      </c>
      <c r="M3557" s="22">
        <v>49750</v>
      </c>
      <c r="N3557" s="18">
        <v>53.21</v>
      </c>
      <c r="O3557" s="26">
        <v>45554</v>
      </c>
      <c r="P3557" s="2" t="s">
        <v>2105</v>
      </c>
      <c r="Q3557" s="2" t="s">
        <v>836</v>
      </c>
    </row>
    <row r="3558" spans="2:17" x14ac:dyDescent="0.25">
      <c r="B3558" s="2" t="s">
        <v>4363</v>
      </c>
      <c r="C3558" s="2" t="s">
        <v>371</v>
      </c>
      <c r="D3558" s="2" t="s">
        <v>372</v>
      </c>
      <c r="E3558" s="2" t="s">
        <v>366</v>
      </c>
      <c r="F3558" s="2" t="s">
        <v>537</v>
      </c>
      <c r="G3558" s="2" t="s">
        <v>505</v>
      </c>
      <c r="H3558" s="2" t="s">
        <v>506</v>
      </c>
      <c r="I3558" s="26">
        <v>45396</v>
      </c>
      <c r="J3558" s="2">
        <v>16</v>
      </c>
      <c r="K3558" s="2" t="s">
        <v>123</v>
      </c>
      <c r="L3558" s="22">
        <v>11300</v>
      </c>
      <c r="M3558" s="22">
        <v>180800</v>
      </c>
      <c r="N3558" s="18">
        <v>193.37</v>
      </c>
      <c r="O3558" s="26">
        <v>45576</v>
      </c>
      <c r="P3558" s="2" t="s">
        <v>2105</v>
      </c>
      <c r="Q3558" s="2" t="s">
        <v>836</v>
      </c>
    </row>
    <row r="3559" spans="2:17" x14ac:dyDescent="0.25">
      <c r="B3559" s="2" t="s">
        <v>4364</v>
      </c>
      <c r="C3559" s="2" t="s">
        <v>371</v>
      </c>
      <c r="D3559" s="2" t="s">
        <v>372</v>
      </c>
      <c r="E3559" s="2" t="s">
        <v>366</v>
      </c>
      <c r="F3559" s="2" t="s">
        <v>537</v>
      </c>
      <c r="G3559" s="2" t="s">
        <v>505</v>
      </c>
      <c r="H3559" s="2" t="s">
        <v>506</v>
      </c>
      <c r="I3559" s="26">
        <v>45416</v>
      </c>
      <c r="J3559" s="2">
        <v>16</v>
      </c>
      <c r="K3559" s="2" t="s">
        <v>123</v>
      </c>
      <c r="L3559" s="22">
        <v>11300</v>
      </c>
      <c r="M3559" s="22">
        <v>180800</v>
      </c>
      <c r="N3559" s="18">
        <v>193.37</v>
      </c>
      <c r="O3559" s="26">
        <v>45596</v>
      </c>
      <c r="P3559" s="2" t="s">
        <v>2105</v>
      </c>
      <c r="Q3559" s="2" t="s">
        <v>836</v>
      </c>
    </row>
    <row r="3560" spans="2:17" x14ac:dyDescent="0.25">
      <c r="B3560" s="2" t="s">
        <v>4365</v>
      </c>
      <c r="C3560" s="2" t="s">
        <v>371</v>
      </c>
      <c r="D3560" s="2" t="s">
        <v>372</v>
      </c>
      <c r="E3560" s="2" t="s">
        <v>366</v>
      </c>
      <c r="F3560" s="2" t="s">
        <v>535</v>
      </c>
      <c r="G3560" s="2" t="s">
        <v>475</v>
      </c>
      <c r="H3560" s="2" t="s">
        <v>476</v>
      </c>
      <c r="I3560" s="26">
        <v>45433</v>
      </c>
      <c r="J3560" s="2">
        <v>15</v>
      </c>
      <c r="K3560" s="2" t="s">
        <v>123</v>
      </c>
      <c r="L3560" s="22">
        <v>9950</v>
      </c>
      <c r="M3560" s="22">
        <v>149250</v>
      </c>
      <c r="N3560" s="18">
        <v>159.63</v>
      </c>
      <c r="O3560" s="26">
        <v>45613</v>
      </c>
      <c r="P3560" s="2" t="s">
        <v>2105</v>
      </c>
      <c r="Q3560" s="2" t="s">
        <v>836</v>
      </c>
    </row>
    <row r="3561" spans="2:17" x14ac:dyDescent="0.25">
      <c r="B3561" s="2" t="s">
        <v>4366</v>
      </c>
      <c r="C3561" s="2" t="s">
        <v>371</v>
      </c>
      <c r="D3561" s="2" t="s">
        <v>372</v>
      </c>
      <c r="E3561" s="2" t="s">
        <v>366</v>
      </c>
      <c r="F3561" s="2" t="s">
        <v>535</v>
      </c>
      <c r="G3561" s="2" t="s">
        <v>475</v>
      </c>
      <c r="H3561" s="2" t="s">
        <v>476</v>
      </c>
      <c r="I3561" s="26">
        <v>45462</v>
      </c>
      <c r="J3561" s="2">
        <v>18</v>
      </c>
      <c r="K3561" s="2" t="s">
        <v>123</v>
      </c>
      <c r="L3561" s="22">
        <v>9950</v>
      </c>
      <c r="M3561" s="22">
        <v>179100</v>
      </c>
      <c r="N3561" s="18">
        <v>191.55</v>
      </c>
      <c r="O3561" s="26">
        <v>45642</v>
      </c>
      <c r="P3561" s="2" t="s">
        <v>2105</v>
      </c>
      <c r="Q3561" s="2" t="s">
        <v>806</v>
      </c>
    </row>
    <row r="3562" spans="2:17" x14ac:dyDescent="0.25">
      <c r="B3562" s="2" t="s">
        <v>4367</v>
      </c>
      <c r="C3562" s="2" t="s">
        <v>371</v>
      </c>
      <c r="D3562" s="2" t="s">
        <v>372</v>
      </c>
      <c r="E3562" s="2" t="s">
        <v>366</v>
      </c>
      <c r="F3562" s="2" t="s">
        <v>535</v>
      </c>
      <c r="G3562" s="2" t="s">
        <v>475</v>
      </c>
      <c r="H3562" s="2" t="s">
        <v>476</v>
      </c>
      <c r="I3562" s="26">
        <v>45481</v>
      </c>
      <c r="J3562" s="2">
        <v>18</v>
      </c>
      <c r="K3562" s="2" t="s">
        <v>123</v>
      </c>
      <c r="L3562" s="22">
        <v>9950</v>
      </c>
      <c r="M3562" s="22">
        <v>179100</v>
      </c>
      <c r="N3562" s="18">
        <v>191.55</v>
      </c>
      <c r="O3562" s="26">
        <v>45661</v>
      </c>
      <c r="P3562" s="2" t="s">
        <v>2105</v>
      </c>
      <c r="Q3562" s="2" t="s">
        <v>806</v>
      </c>
    </row>
    <row r="3563" spans="2:17" x14ac:dyDescent="0.25">
      <c r="B3563" s="2" t="s">
        <v>4368</v>
      </c>
      <c r="C3563" s="2" t="s">
        <v>371</v>
      </c>
      <c r="D3563" s="2" t="s">
        <v>372</v>
      </c>
      <c r="E3563" s="2" t="s">
        <v>366</v>
      </c>
      <c r="F3563" s="2" t="s">
        <v>537</v>
      </c>
      <c r="G3563" s="2" t="s">
        <v>505</v>
      </c>
      <c r="H3563" s="2" t="s">
        <v>506</v>
      </c>
      <c r="I3563" s="26">
        <v>45502</v>
      </c>
      <c r="J3563" s="2">
        <v>15</v>
      </c>
      <c r="K3563" s="2" t="s">
        <v>123</v>
      </c>
      <c r="L3563" s="22">
        <v>11300</v>
      </c>
      <c r="M3563" s="22">
        <v>169500</v>
      </c>
      <c r="N3563" s="18">
        <v>181.28</v>
      </c>
      <c r="O3563" s="26">
        <v>45682</v>
      </c>
      <c r="P3563" s="2" t="s">
        <v>2105</v>
      </c>
      <c r="Q3563" s="2" t="s">
        <v>806</v>
      </c>
    </row>
    <row r="3564" spans="2:17" x14ac:dyDescent="0.25">
      <c r="B3564" s="2" t="s">
        <v>4369</v>
      </c>
      <c r="C3564" s="2" t="s">
        <v>371</v>
      </c>
      <c r="D3564" s="2" t="s">
        <v>372</v>
      </c>
      <c r="E3564" s="2" t="s">
        <v>366</v>
      </c>
      <c r="F3564" s="2" t="s">
        <v>535</v>
      </c>
      <c r="G3564" s="2" t="s">
        <v>475</v>
      </c>
      <c r="H3564" s="2" t="s">
        <v>476</v>
      </c>
      <c r="I3564" s="26">
        <v>45524</v>
      </c>
      <c r="J3564" s="2">
        <v>14</v>
      </c>
      <c r="K3564" s="2" t="s">
        <v>123</v>
      </c>
      <c r="L3564" s="22">
        <v>9950</v>
      </c>
      <c r="M3564" s="22">
        <v>139300</v>
      </c>
      <c r="N3564" s="18">
        <v>148.97999999999999</v>
      </c>
      <c r="O3564" s="26">
        <v>45704</v>
      </c>
      <c r="P3564" s="2" t="s">
        <v>2105</v>
      </c>
      <c r="Q3564" s="2" t="s">
        <v>806</v>
      </c>
    </row>
    <row r="3565" spans="2:17" x14ac:dyDescent="0.25">
      <c r="B3565" s="2" t="s">
        <v>4370</v>
      </c>
      <c r="C3565" s="2" t="s">
        <v>371</v>
      </c>
      <c r="D3565" s="2" t="s">
        <v>372</v>
      </c>
      <c r="E3565" s="2" t="s">
        <v>366</v>
      </c>
      <c r="F3565" s="2" t="s">
        <v>535</v>
      </c>
      <c r="G3565" s="2" t="s">
        <v>475</v>
      </c>
      <c r="H3565" s="2" t="s">
        <v>476</v>
      </c>
      <c r="I3565" s="26">
        <v>45545</v>
      </c>
      <c r="J3565" s="2">
        <v>17</v>
      </c>
      <c r="K3565" s="2" t="s">
        <v>123</v>
      </c>
      <c r="L3565" s="22">
        <v>9950</v>
      </c>
      <c r="M3565" s="22">
        <v>169150</v>
      </c>
      <c r="N3565" s="18">
        <v>180.91</v>
      </c>
      <c r="O3565" s="26">
        <v>45725</v>
      </c>
      <c r="P3565" s="2" t="s">
        <v>2105</v>
      </c>
      <c r="Q3565" s="2" t="s">
        <v>814</v>
      </c>
    </row>
    <row r="3566" spans="2:17" x14ac:dyDescent="0.25">
      <c r="B3566" s="2" t="s">
        <v>4371</v>
      </c>
      <c r="C3566" s="2" t="s">
        <v>371</v>
      </c>
      <c r="D3566" s="2" t="s">
        <v>372</v>
      </c>
      <c r="E3566" s="2" t="s">
        <v>366</v>
      </c>
      <c r="F3566" s="2" t="s">
        <v>535</v>
      </c>
      <c r="G3566" s="2" t="s">
        <v>475</v>
      </c>
      <c r="H3566" s="2" t="s">
        <v>476</v>
      </c>
      <c r="I3566" s="26">
        <v>45568</v>
      </c>
      <c r="J3566" s="2">
        <v>6</v>
      </c>
      <c r="K3566" s="2" t="s">
        <v>123</v>
      </c>
      <c r="L3566" s="22">
        <v>9950</v>
      </c>
      <c r="M3566" s="22">
        <v>59700</v>
      </c>
      <c r="N3566" s="18">
        <v>63.85</v>
      </c>
      <c r="O3566" s="26">
        <v>45748</v>
      </c>
      <c r="P3566" s="2" t="s">
        <v>2105</v>
      </c>
      <c r="Q3566" s="2" t="s">
        <v>814</v>
      </c>
    </row>
    <row r="3567" spans="2:17" x14ac:dyDescent="0.25">
      <c r="B3567" s="2" t="s">
        <v>4372</v>
      </c>
      <c r="C3567" s="2" t="s">
        <v>371</v>
      </c>
      <c r="D3567" s="2" t="s">
        <v>372</v>
      </c>
      <c r="E3567" s="2" t="s">
        <v>366</v>
      </c>
      <c r="F3567" s="2" t="s">
        <v>535</v>
      </c>
      <c r="G3567" s="2" t="s">
        <v>475</v>
      </c>
      <c r="H3567" s="2" t="s">
        <v>476</v>
      </c>
      <c r="I3567" s="26">
        <v>45585</v>
      </c>
      <c r="J3567" s="2">
        <v>5</v>
      </c>
      <c r="K3567" s="2" t="s">
        <v>123</v>
      </c>
      <c r="L3567" s="22">
        <v>9950</v>
      </c>
      <c r="M3567" s="22">
        <v>49750</v>
      </c>
      <c r="N3567" s="18">
        <v>53.21</v>
      </c>
      <c r="O3567" s="26">
        <v>45765</v>
      </c>
      <c r="P3567" s="2" t="s">
        <v>2105</v>
      </c>
      <c r="Q3567" s="2" t="s">
        <v>814</v>
      </c>
    </row>
    <row r="3568" spans="2:17" x14ac:dyDescent="0.25">
      <c r="B3568" s="2" t="s">
        <v>4373</v>
      </c>
      <c r="C3568" s="2" t="s">
        <v>371</v>
      </c>
      <c r="D3568" s="2" t="s">
        <v>372</v>
      </c>
      <c r="E3568" s="2" t="s">
        <v>366</v>
      </c>
      <c r="F3568" s="2" t="s">
        <v>535</v>
      </c>
      <c r="G3568" s="2" t="s">
        <v>475</v>
      </c>
      <c r="H3568" s="2" t="s">
        <v>476</v>
      </c>
      <c r="I3568" s="26">
        <v>45607</v>
      </c>
      <c r="J3568" s="2">
        <v>6</v>
      </c>
      <c r="K3568" s="2" t="s">
        <v>123</v>
      </c>
      <c r="L3568" s="22">
        <v>9950</v>
      </c>
      <c r="M3568" s="22">
        <v>59700</v>
      </c>
      <c r="N3568" s="18">
        <v>63.85</v>
      </c>
      <c r="O3568" s="26">
        <v>45787</v>
      </c>
      <c r="P3568" s="2" t="s">
        <v>2105</v>
      </c>
      <c r="Q3568" s="2" t="s">
        <v>814</v>
      </c>
    </row>
    <row r="3569" spans="2:17" x14ac:dyDescent="0.25">
      <c r="B3569" s="2" t="s">
        <v>4374</v>
      </c>
      <c r="C3569" s="2" t="s">
        <v>371</v>
      </c>
      <c r="D3569" s="2" t="s">
        <v>372</v>
      </c>
      <c r="E3569" s="2" t="s">
        <v>366</v>
      </c>
      <c r="F3569" s="2" t="s">
        <v>535</v>
      </c>
      <c r="G3569" s="2" t="s">
        <v>475</v>
      </c>
      <c r="H3569" s="2" t="s">
        <v>476</v>
      </c>
      <c r="I3569" s="26">
        <v>45630</v>
      </c>
      <c r="J3569" s="2">
        <v>7</v>
      </c>
      <c r="K3569" s="2" t="s">
        <v>123</v>
      </c>
      <c r="L3569" s="22">
        <v>9950</v>
      </c>
      <c r="M3569" s="22">
        <v>69650</v>
      </c>
      <c r="N3569" s="18">
        <v>74.489999999999995</v>
      </c>
      <c r="O3569" s="26">
        <v>45810</v>
      </c>
      <c r="P3569" s="2" t="s">
        <v>2105</v>
      </c>
      <c r="Q3569" s="2" t="s">
        <v>825</v>
      </c>
    </row>
    <row r="3570" spans="2:17" x14ac:dyDescent="0.25">
      <c r="B3570" s="2" t="s">
        <v>4375</v>
      </c>
      <c r="C3570" s="2" t="s">
        <v>371</v>
      </c>
      <c r="D3570" s="2" t="s">
        <v>372</v>
      </c>
      <c r="E3570" s="2" t="s">
        <v>366</v>
      </c>
      <c r="F3570" s="2" t="s">
        <v>537</v>
      </c>
      <c r="G3570" s="2" t="s">
        <v>505</v>
      </c>
      <c r="H3570" s="2" t="s">
        <v>506</v>
      </c>
      <c r="I3570" s="26">
        <v>45648</v>
      </c>
      <c r="J3570" s="2">
        <v>7</v>
      </c>
      <c r="K3570" s="2" t="s">
        <v>123</v>
      </c>
      <c r="L3570" s="22">
        <v>11300</v>
      </c>
      <c r="M3570" s="22">
        <v>79100</v>
      </c>
      <c r="N3570" s="18">
        <v>84.6</v>
      </c>
      <c r="O3570" s="26">
        <v>45828</v>
      </c>
      <c r="P3570" s="2" t="s">
        <v>2105</v>
      </c>
      <c r="Q3570" s="2" t="s">
        <v>825</v>
      </c>
    </row>
    <row r="3571" spans="2:17" x14ac:dyDescent="0.25">
      <c r="B3571" s="2" t="s">
        <v>4376</v>
      </c>
      <c r="C3571" s="2" t="s">
        <v>371</v>
      </c>
      <c r="D3571" s="2" t="s">
        <v>372</v>
      </c>
      <c r="E3571" s="2" t="s">
        <v>366</v>
      </c>
      <c r="F3571" s="2" t="s">
        <v>535</v>
      </c>
      <c r="G3571" s="2" t="s">
        <v>475</v>
      </c>
      <c r="H3571" s="2" t="s">
        <v>476</v>
      </c>
      <c r="I3571" s="26">
        <v>45664</v>
      </c>
      <c r="J3571" s="2">
        <v>7</v>
      </c>
      <c r="K3571" s="2" t="s">
        <v>123</v>
      </c>
      <c r="L3571" s="22">
        <v>9950</v>
      </c>
      <c r="M3571" s="22">
        <v>69650</v>
      </c>
      <c r="N3571" s="18">
        <v>74.489999999999995</v>
      </c>
      <c r="O3571" s="26">
        <v>45844</v>
      </c>
      <c r="P3571" s="2" t="s">
        <v>2105</v>
      </c>
      <c r="Q3571" s="2" t="s">
        <v>825</v>
      </c>
    </row>
    <row r="3572" spans="2:17" x14ac:dyDescent="0.25">
      <c r="B3572" s="2" t="s">
        <v>4377</v>
      </c>
      <c r="C3572" s="2" t="s">
        <v>371</v>
      </c>
      <c r="D3572" s="2" t="s">
        <v>372</v>
      </c>
      <c r="E3572" s="2" t="s">
        <v>366</v>
      </c>
      <c r="F3572" s="2" t="s">
        <v>535</v>
      </c>
      <c r="G3572" s="2" t="s">
        <v>475</v>
      </c>
      <c r="H3572" s="2" t="s">
        <v>476</v>
      </c>
      <c r="I3572" s="26">
        <v>45685</v>
      </c>
      <c r="J3572" s="2">
        <v>6</v>
      </c>
      <c r="K3572" s="2" t="s">
        <v>123</v>
      </c>
      <c r="L3572" s="22">
        <v>9950</v>
      </c>
      <c r="M3572" s="22">
        <v>59700</v>
      </c>
      <c r="N3572" s="18">
        <v>63.85</v>
      </c>
      <c r="O3572" s="26">
        <v>45865</v>
      </c>
      <c r="P3572" s="2" t="s">
        <v>2105</v>
      </c>
      <c r="Q3572" s="2" t="s">
        <v>825</v>
      </c>
    </row>
    <row r="3573" spans="2:17" x14ac:dyDescent="0.25">
      <c r="B3573" s="2" t="s">
        <v>4378</v>
      </c>
      <c r="C3573" s="2" t="s">
        <v>371</v>
      </c>
      <c r="D3573" s="2" t="s">
        <v>372</v>
      </c>
      <c r="E3573" s="2" t="s">
        <v>366</v>
      </c>
      <c r="F3573" s="2" t="s">
        <v>535</v>
      </c>
      <c r="G3573" s="2" t="s">
        <v>475</v>
      </c>
      <c r="H3573" s="2" t="s">
        <v>476</v>
      </c>
      <c r="I3573" s="26">
        <v>45706</v>
      </c>
      <c r="J3573" s="2">
        <v>7</v>
      </c>
      <c r="K3573" s="2" t="s">
        <v>123</v>
      </c>
      <c r="L3573" s="22">
        <v>9950</v>
      </c>
      <c r="M3573" s="22">
        <v>69650</v>
      </c>
      <c r="N3573" s="18">
        <v>74.489999999999995</v>
      </c>
      <c r="O3573" s="26">
        <v>45886</v>
      </c>
      <c r="P3573" s="2" t="s">
        <v>2105</v>
      </c>
      <c r="Q3573" s="2" t="s">
        <v>825</v>
      </c>
    </row>
    <row r="3574" spans="2:17" x14ac:dyDescent="0.25">
      <c r="B3574" s="2" t="s">
        <v>4379</v>
      </c>
      <c r="C3574" s="2" t="s">
        <v>371</v>
      </c>
      <c r="D3574" s="2" t="s">
        <v>372</v>
      </c>
      <c r="E3574" s="2" t="s">
        <v>366</v>
      </c>
      <c r="F3574" s="2" t="s">
        <v>535</v>
      </c>
      <c r="G3574" s="2" t="s">
        <v>475</v>
      </c>
      <c r="H3574" s="2" t="s">
        <v>476</v>
      </c>
      <c r="I3574" s="26">
        <v>45724</v>
      </c>
      <c r="J3574" s="2">
        <v>7</v>
      </c>
      <c r="K3574" s="2" t="s">
        <v>123</v>
      </c>
      <c r="L3574" s="22">
        <v>9950</v>
      </c>
      <c r="M3574" s="22">
        <v>69650</v>
      </c>
      <c r="N3574" s="18">
        <v>74.489999999999995</v>
      </c>
      <c r="O3574" s="26">
        <v>45904</v>
      </c>
      <c r="P3574" s="2" t="s">
        <v>2105</v>
      </c>
      <c r="Q3574" s="2" t="s">
        <v>836</v>
      </c>
    </row>
    <row r="3575" spans="2:17" x14ac:dyDescent="0.25">
      <c r="B3575" s="2" t="s">
        <v>4380</v>
      </c>
      <c r="C3575" s="2" t="s">
        <v>371</v>
      </c>
      <c r="D3575" s="2" t="s">
        <v>372</v>
      </c>
      <c r="E3575" s="2" t="s">
        <v>366</v>
      </c>
      <c r="F3575" s="2" t="s">
        <v>537</v>
      </c>
      <c r="G3575" s="2" t="s">
        <v>505</v>
      </c>
      <c r="H3575" s="2" t="s">
        <v>506</v>
      </c>
      <c r="I3575" s="26">
        <v>45747</v>
      </c>
      <c r="J3575" s="2">
        <v>6</v>
      </c>
      <c r="K3575" s="2" t="s">
        <v>123</v>
      </c>
      <c r="L3575" s="22">
        <v>11300</v>
      </c>
      <c r="M3575" s="22">
        <v>67800</v>
      </c>
      <c r="N3575" s="18">
        <v>72.510000000000005</v>
      </c>
      <c r="O3575" s="26">
        <v>45927</v>
      </c>
      <c r="P3575" s="2" t="s">
        <v>2105</v>
      </c>
      <c r="Q3575" s="2" t="s">
        <v>836</v>
      </c>
    </row>
    <row r="3576" spans="2:17" x14ac:dyDescent="0.25">
      <c r="B3576" s="2" t="s">
        <v>4381</v>
      </c>
      <c r="C3576" s="2" t="s">
        <v>371</v>
      </c>
      <c r="D3576" s="2" t="s">
        <v>372</v>
      </c>
      <c r="E3576" s="2" t="s">
        <v>366</v>
      </c>
      <c r="F3576" s="2" t="s">
        <v>535</v>
      </c>
      <c r="G3576" s="2" t="s">
        <v>475</v>
      </c>
      <c r="H3576" s="2" t="s">
        <v>476</v>
      </c>
      <c r="I3576" s="26">
        <v>45764</v>
      </c>
      <c r="J3576" s="2">
        <v>15</v>
      </c>
      <c r="K3576" s="2" t="s">
        <v>123</v>
      </c>
      <c r="L3576" s="22">
        <v>9950</v>
      </c>
      <c r="M3576" s="22">
        <v>149250</v>
      </c>
      <c r="N3576" s="18">
        <v>159.63</v>
      </c>
      <c r="O3576" s="26">
        <v>45944</v>
      </c>
      <c r="P3576" s="2" t="s">
        <v>2105</v>
      </c>
      <c r="Q3576" s="2" t="s">
        <v>836</v>
      </c>
    </row>
    <row r="3577" spans="2:17" x14ac:dyDescent="0.25">
      <c r="B3577" s="2" t="s">
        <v>4382</v>
      </c>
      <c r="C3577" s="2" t="s">
        <v>371</v>
      </c>
      <c r="D3577" s="2" t="s">
        <v>372</v>
      </c>
      <c r="E3577" s="2" t="s">
        <v>366</v>
      </c>
      <c r="F3577" s="2" t="s">
        <v>535</v>
      </c>
      <c r="G3577" s="2" t="s">
        <v>475</v>
      </c>
      <c r="H3577" s="2" t="s">
        <v>476</v>
      </c>
      <c r="I3577" s="26">
        <v>45784</v>
      </c>
      <c r="J3577" s="2">
        <v>20</v>
      </c>
      <c r="K3577" s="2" t="s">
        <v>123</v>
      </c>
      <c r="L3577" s="22">
        <v>9950</v>
      </c>
      <c r="M3577" s="22">
        <v>199000</v>
      </c>
      <c r="N3577" s="18">
        <v>212.83</v>
      </c>
      <c r="O3577" s="26">
        <v>45964</v>
      </c>
      <c r="P3577" s="2" t="s">
        <v>2105</v>
      </c>
      <c r="Q3577" s="2" t="s">
        <v>836</v>
      </c>
    </row>
    <row r="3578" spans="2:17" x14ac:dyDescent="0.25">
      <c r="B3578" s="2" t="s">
        <v>4383</v>
      </c>
      <c r="C3578" s="2" t="s">
        <v>371</v>
      </c>
      <c r="D3578" s="2" t="s">
        <v>372</v>
      </c>
      <c r="E3578" s="2" t="s">
        <v>366</v>
      </c>
      <c r="F3578" s="2" t="s">
        <v>535</v>
      </c>
      <c r="G3578" s="2" t="s">
        <v>475</v>
      </c>
      <c r="H3578" s="2" t="s">
        <v>476</v>
      </c>
      <c r="I3578" s="26">
        <v>45807</v>
      </c>
      <c r="J3578" s="2">
        <v>16</v>
      </c>
      <c r="K3578" s="2" t="s">
        <v>123</v>
      </c>
      <c r="L3578" s="22">
        <v>9950</v>
      </c>
      <c r="M3578" s="22">
        <v>159200</v>
      </c>
      <c r="N3578" s="18">
        <v>170.27</v>
      </c>
      <c r="O3578" s="26">
        <v>45987</v>
      </c>
      <c r="P3578" s="2" t="s">
        <v>2105</v>
      </c>
      <c r="Q3578" s="2" t="s">
        <v>836</v>
      </c>
    </row>
    <row r="3579" spans="2:17" x14ac:dyDescent="0.25">
      <c r="B3579" s="2" t="s">
        <v>4384</v>
      </c>
      <c r="C3579" s="2" t="s">
        <v>371</v>
      </c>
      <c r="D3579" s="2" t="s">
        <v>372</v>
      </c>
      <c r="E3579" s="2" t="s">
        <v>366</v>
      </c>
      <c r="F3579" s="2" t="s">
        <v>535</v>
      </c>
      <c r="G3579" s="2" t="s">
        <v>475</v>
      </c>
      <c r="H3579" s="2" t="s">
        <v>476</v>
      </c>
      <c r="I3579" s="26">
        <v>45829</v>
      </c>
      <c r="J3579" s="2">
        <v>18</v>
      </c>
      <c r="K3579" s="2" t="s">
        <v>123</v>
      </c>
      <c r="L3579" s="22">
        <v>9950</v>
      </c>
      <c r="M3579" s="22">
        <v>179100</v>
      </c>
      <c r="N3579" s="18">
        <v>191.55</v>
      </c>
      <c r="O3579" s="26">
        <v>46009</v>
      </c>
      <c r="P3579" s="2" t="s">
        <v>2105</v>
      </c>
      <c r="Q3579" s="2" t="s">
        <v>806</v>
      </c>
    </row>
    <row r="3580" spans="2:17" x14ac:dyDescent="0.25">
      <c r="B3580" s="2" t="s">
        <v>4385</v>
      </c>
      <c r="C3580" s="2" t="s">
        <v>373</v>
      </c>
      <c r="D3580" s="2" t="s">
        <v>374</v>
      </c>
      <c r="E3580" s="2" t="s">
        <v>366</v>
      </c>
      <c r="F3580" s="2" t="s">
        <v>535</v>
      </c>
      <c r="G3580" s="2" t="s">
        <v>475</v>
      </c>
      <c r="H3580" s="2" t="s">
        <v>476</v>
      </c>
      <c r="I3580" s="26">
        <v>45127</v>
      </c>
      <c r="J3580" s="2">
        <v>10</v>
      </c>
      <c r="K3580" s="2" t="s">
        <v>123</v>
      </c>
      <c r="L3580" s="22">
        <v>4950</v>
      </c>
      <c r="M3580" s="22">
        <v>49500</v>
      </c>
      <c r="N3580" s="18">
        <v>52.94</v>
      </c>
      <c r="O3580" s="26">
        <v>45307</v>
      </c>
      <c r="P3580" s="2" t="s">
        <v>2105</v>
      </c>
      <c r="Q3580" s="2" t="s">
        <v>806</v>
      </c>
    </row>
    <row r="3581" spans="2:17" x14ac:dyDescent="0.25">
      <c r="B3581" s="2" t="s">
        <v>4386</v>
      </c>
      <c r="C3581" s="2" t="s">
        <v>373</v>
      </c>
      <c r="D3581" s="2" t="s">
        <v>374</v>
      </c>
      <c r="E3581" s="2" t="s">
        <v>366</v>
      </c>
      <c r="F3581" s="2" t="s">
        <v>535</v>
      </c>
      <c r="G3581" s="2" t="s">
        <v>475</v>
      </c>
      <c r="H3581" s="2" t="s">
        <v>476</v>
      </c>
      <c r="I3581" s="26">
        <v>45145</v>
      </c>
      <c r="J3581" s="2">
        <v>10</v>
      </c>
      <c r="K3581" s="2" t="s">
        <v>123</v>
      </c>
      <c r="L3581" s="22">
        <v>4950</v>
      </c>
      <c r="M3581" s="22">
        <v>49500</v>
      </c>
      <c r="N3581" s="18">
        <v>52.94</v>
      </c>
      <c r="O3581" s="26">
        <v>45325</v>
      </c>
      <c r="P3581" s="2" t="s">
        <v>2105</v>
      </c>
      <c r="Q3581" s="2" t="s">
        <v>806</v>
      </c>
    </row>
    <row r="3582" spans="2:17" x14ac:dyDescent="0.25">
      <c r="B3582" s="2" t="s">
        <v>4387</v>
      </c>
      <c r="C3582" s="2" t="s">
        <v>373</v>
      </c>
      <c r="D3582" s="2" t="s">
        <v>374</v>
      </c>
      <c r="E3582" s="2" t="s">
        <v>366</v>
      </c>
      <c r="F3582" s="2" t="s">
        <v>535</v>
      </c>
      <c r="G3582" s="2" t="s">
        <v>475</v>
      </c>
      <c r="H3582" s="2" t="s">
        <v>476</v>
      </c>
      <c r="I3582" s="26">
        <v>45164</v>
      </c>
      <c r="J3582" s="2">
        <v>10</v>
      </c>
      <c r="K3582" s="2" t="s">
        <v>123</v>
      </c>
      <c r="L3582" s="22">
        <v>4950</v>
      </c>
      <c r="M3582" s="22">
        <v>49500</v>
      </c>
      <c r="N3582" s="18">
        <v>52.94</v>
      </c>
      <c r="O3582" s="26">
        <v>45344</v>
      </c>
      <c r="P3582" s="2" t="s">
        <v>2105</v>
      </c>
      <c r="Q3582" s="2" t="s">
        <v>806</v>
      </c>
    </row>
    <row r="3583" spans="2:17" x14ac:dyDescent="0.25">
      <c r="B3583" s="2" t="s">
        <v>4388</v>
      </c>
      <c r="C3583" s="2" t="s">
        <v>373</v>
      </c>
      <c r="D3583" s="2" t="s">
        <v>374</v>
      </c>
      <c r="E3583" s="2" t="s">
        <v>366</v>
      </c>
      <c r="F3583" s="2" t="s">
        <v>535</v>
      </c>
      <c r="G3583" s="2" t="s">
        <v>475</v>
      </c>
      <c r="H3583" s="2" t="s">
        <v>476</v>
      </c>
      <c r="I3583" s="26">
        <v>45184</v>
      </c>
      <c r="J3583" s="2">
        <v>14</v>
      </c>
      <c r="K3583" s="2" t="s">
        <v>123</v>
      </c>
      <c r="L3583" s="22">
        <v>4950</v>
      </c>
      <c r="M3583" s="22">
        <v>69300</v>
      </c>
      <c r="N3583" s="18">
        <v>74.12</v>
      </c>
      <c r="O3583" s="26">
        <v>45364</v>
      </c>
      <c r="P3583" s="2" t="s">
        <v>2105</v>
      </c>
      <c r="Q3583" s="2" t="s">
        <v>814</v>
      </c>
    </row>
    <row r="3584" spans="2:17" x14ac:dyDescent="0.25">
      <c r="B3584" s="2" t="s">
        <v>4389</v>
      </c>
      <c r="C3584" s="2" t="s">
        <v>373</v>
      </c>
      <c r="D3584" s="2" t="s">
        <v>374</v>
      </c>
      <c r="E3584" s="2" t="s">
        <v>366</v>
      </c>
      <c r="F3584" s="2" t="s">
        <v>535</v>
      </c>
      <c r="G3584" s="2" t="s">
        <v>475</v>
      </c>
      <c r="H3584" s="2" t="s">
        <v>476</v>
      </c>
      <c r="I3584" s="26">
        <v>45208</v>
      </c>
      <c r="J3584" s="2">
        <v>11</v>
      </c>
      <c r="K3584" s="2" t="s">
        <v>123</v>
      </c>
      <c r="L3584" s="22">
        <v>4950</v>
      </c>
      <c r="M3584" s="22">
        <v>54450</v>
      </c>
      <c r="N3584" s="18">
        <v>58.24</v>
      </c>
      <c r="O3584" s="26">
        <v>45388</v>
      </c>
      <c r="P3584" s="2" t="s">
        <v>2105</v>
      </c>
      <c r="Q3584" s="2" t="s">
        <v>814</v>
      </c>
    </row>
    <row r="3585" spans="2:17" x14ac:dyDescent="0.25">
      <c r="B3585" s="2" t="s">
        <v>4390</v>
      </c>
      <c r="C3585" s="2" t="s">
        <v>373</v>
      </c>
      <c r="D3585" s="2" t="s">
        <v>374</v>
      </c>
      <c r="E3585" s="2" t="s">
        <v>366</v>
      </c>
      <c r="F3585" s="2" t="s">
        <v>535</v>
      </c>
      <c r="G3585" s="2" t="s">
        <v>475</v>
      </c>
      <c r="H3585" s="2" t="s">
        <v>476</v>
      </c>
      <c r="I3585" s="26">
        <v>45229</v>
      </c>
      <c r="J3585" s="2">
        <v>10</v>
      </c>
      <c r="K3585" s="2" t="s">
        <v>123</v>
      </c>
      <c r="L3585" s="22">
        <v>4950</v>
      </c>
      <c r="M3585" s="22">
        <v>49500</v>
      </c>
      <c r="N3585" s="18">
        <v>52.94</v>
      </c>
      <c r="O3585" s="26">
        <v>45409</v>
      </c>
      <c r="P3585" s="2" t="s">
        <v>2105</v>
      </c>
      <c r="Q3585" s="2" t="s">
        <v>814</v>
      </c>
    </row>
    <row r="3586" spans="2:17" x14ac:dyDescent="0.25">
      <c r="B3586" s="2" t="s">
        <v>4391</v>
      </c>
      <c r="C3586" s="2" t="s">
        <v>373</v>
      </c>
      <c r="D3586" s="2" t="s">
        <v>374</v>
      </c>
      <c r="E3586" s="2" t="s">
        <v>366</v>
      </c>
      <c r="F3586" s="2" t="s">
        <v>537</v>
      </c>
      <c r="G3586" s="2" t="s">
        <v>505</v>
      </c>
      <c r="H3586" s="2" t="s">
        <v>506</v>
      </c>
      <c r="I3586" s="26">
        <v>45250</v>
      </c>
      <c r="J3586" s="2">
        <v>9</v>
      </c>
      <c r="K3586" s="2" t="s">
        <v>123</v>
      </c>
      <c r="L3586" s="22">
        <v>5050</v>
      </c>
      <c r="M3586" s="22">
        <v>45450</v>
      </c>
      <c r="N3586" s="18">
        <v>48.61</v>
      </c>
      <c r="O3586" s="26">
        <v>45430</v>
      </c>
      <c r="P3586" s="2" t="s">
        <v>2105</v>
      </c>
      <c r="Q3586" s="2" t="s">
        <v>814</v>
      </c>
    </row>
    <row r="3587" spans="2:17" x14ac:dyDescent="0.25">
      <c r="B3587" s="2" t="s">
        <v>4392</v>
      </c>
      <c r="C3587" s="2" t="s">
        <v>373</v>
      </c>
      <c r="D3587" s="2" t="s">
        <v>374</v>
      </c>
      <c r="E3587" s="2" t="s">
        <v>366</v>
      </c>
      <c r="F3587" s="2" t="s">
        <v>535</v>
      </c>
      <c r="G3587" s="2" t="s">
        <v>475</v>
      </c>
      <c r="H3587" s="2" t="s">
        <v>476</v>
      </c>
      <c r="I3587" s="26">
        <v>45272</v>
      </c>
      <c r="J3587" s="2">
        <v>12</v>
      </c>
      <c r="K3587" s="2" t="s">
        <v>123</v>
      </c>
      <c r="L3587" s="22">
        <v>4950</v>
      </c>
      <c r="M3587" s="22">
        <v>59400</v>
      </c>
      <c r="N3587" s="18">
        <v>63.53</v>
      </c>
      <c r="O3587" s="26">
        <v>45452</v>
      </c>
      <c r="P3587" s="2" t="s">
        <v>2105</v>
      </c>
      <c r="Q3587" s="2" t="s">
        <v>825</v>
      </c>
    </row>
    <row r="3588" spans="2:17" x14ac:dyDescent="0.25">
      <c r="B3588" s="2" t="s">
        <v>4393</v>
      </c>
      <c r="C3588" s="2" t="s">
        <v>373</v>
      </c>
      <c r="D3588" s="2" t="s">
        <v>374</v>
      </c>
      <c r="E3588" s="2" t="s">
        <v>366</v>
      </c>
      <c r="F3588" s="2" t="s">
        <v>535</v>
      </c>
      <c r="G3588" s="2" t="s">
        <v>475</v>
      </c>
      <c r="H3588" s="2" t="s">
        <v>476</v>
      </c>
      <c r="I3588" s="26">
        <v>45293</v>
      </c>
      <c r="J3588" s="2">
        <v>11</v>
      </c>
      <c r="K3588" s="2" t="s">
        <v>123</v>
      </c>
      <c r="L3588" s="22">
        <v>4950</v>
      </c>
      <c r="M3588" s="22">
        <v>54450</v>
      </c>
      <c r="N3588" s="18">
        <v>58.24</v>
      </c>
      <c r="O3588" s="26">
        <v>45473</v>
      </c>
      <c r="P3588" s="2" t="s">
        <v>2105</v>
      </c>
      <c r="Q3588" s="2" t="s">
        <v>825</v>
      </c>
    </row>
    <row r="3589" spans="2:17" x14ac:dyDescent="0.25">
      <c r="B3589" s="2" t="s">
        <v>4394</v>
      </c>
      <c r="C3589" s="2" t="s">
        <v>373</v>
      </c>
      <c r="D3589" s="2" t="s">
        <v>374</v>
      </c>
      <c r="E3589" s="2" t="s">
        <v>366</v>
      </c>
      <c r="F3589" s="2" t="s">
        <v>535</v>
      </c>
      <c r="G3589" s="2" t="s">
        <v>475</v>
      </c>
      <c r="H3589" s="2" t="s">
        <v>476</v>
      </c>
      <c r="I3589" s="26">
        <v>45316</v>
      </c>
      <c r="J3589" s="2">
        <v>9</v>
      </c>
      <c r="K3589" s="2" t="s">
        <v>123</v>
      </c>
      <c r="L3589" s="22">
        <v>4950</v>
      </c>
      <c r="M3589" s="22">
        <v>44550</v>
      </c>
      <c r="N3589" s="18">
        <v>47.65</v>
      </c>
      <c r="O3589" s="26">
        <v>45496</v>
      </c>
      <c r="P3589" s="2" t="s">
        <v>2105</v>
      </c>
      <c r="Q3589" s="2" t="s">
        <v>825</v>
      </c>
    </row>
    <row r="3590" spans="2:17" x14ac:dyDescent="0.25">
      <c r="B3590" s="2" t="s">
        <v>4395</v>
      </c>
      <c r="C3590" s="2" t="s">
        <v>373</v>
      </c>
      <c r="D3590" s="2" t="s">
        <v>374</v>
      </c>
      <c r="E3590" s="2" t="s">
        <v>366</v>
      </c>
      <c r="F3590" s="2" t="s">
        <v>535</v>
      </c>
      <c r="G3590" s="2" t="s">
        <v>475</v>
      </c>
      <c r="H3590" s="2" t="s">
        <v>476</v>
      </c>
      <c r="I3590" s="26">
        <v>45334</v>
      </c>
      <c r="J3590" s="2">
        <v>9</v>
      </c>
      <c r="K3590" s="2" t="s">
        <v>123</v>
      </c>
      <c r="L3590" s="22">
        <v>4950</v>
      </c>
      <c r="M3590" s="22">
        <v>44550</v>
      </c>
      <c r="N3590" s="18">
        <v>47.65</v>
      </c>
      <c r="O3590" s="26">
        <v>45514</v>
      </c>
      <c r="P3590" s="2" t="s">
        <v>2105</v>
      </c>
      <c r="Q3590" s="2" t="s">
        <v>825</v>
      </c>
    </row>
    <row r="3591" spans="2:17" x14ac:dyDescent="0.25">
      <c r="B3591" s="2" t="s">
        <v>4396</v>
      </c>
      <c r="C3591" s="2" t="s">
        <v>373</v>
      </c>
      <c r="D3591" s="2" t="s">
        <v>374</v>
      </c>
      <c r="E3591" s="2" t="s">
        <v>366</v>
      </c>
      <c r="F3591" s="2" t="s">
        <v>535</v>
      </c>
      <c r="G3591" s="2" t="s">
        <v>475</v>
      </c>
      <c r="H3591" s="2" t="s">
        <v>476</v>
      </c>
      <c r="I3591" s="26">
        <v>45351</v>
      </c>
      <c r="J3591" s="2">
        <v>11</v>
      </c>
      <c r="K3591" s="2" t="s">
        <v>123</v>
      </c>
      <c r="L3591" s="22">
        <v>4950</v>
      </c>
      <c r="M3591" s="22">
        <v>54450</v>
      </c>
      <c r="N3591" s="18">
        <v>58.24</v>
      </c>
      <c r="O3591" s="26">
        <v>45531</v>
      </c>
      <c r="P3591" s="2" t="s">
        <v>2105</v>
      </c>
      <c r="Q3591" s="2" t="s">
        <v>825</v>
      </c>
    </row>
    <row r="3592" spans="2:17" x14ac:dyDescent="0.25">
      <c r="B3592" s="2" t="s">
        <v>4397</v>
      </c>
      <c r="C3592" s="2" t="s">
        <v>373</v>
      </c>
      <c r="D3592" s="2" t="s">
        <v>374</v>
      </c>
      <c r="E3592" s="2" t="s">
        <v>366</v>
      </c>
      <c r="F3592" s="2" t="s">
        <v>535</v>
      </c>
      <c r="G3592" s="2" t="s">
        <v>475</v>
      </c>
      <c r="H3592" s="2" t="s">
        <v>476</v>
      </c>
      <c r="I3592" s="26">
        <v>45371</v>
      </c>
      <c r="J3592" s="2">
        <v>10</v>
      </c>
      <c r="K3592" s="2" t="s">
        <v>123</v>
      </c>
      <c r="L3592" s="22">
        <v>4950</v>
      </c>
      <c r="M3592" s="22">
        <v>49500</v>
      </c>
      <c r="N3592" s="18">
        <v>52.94</v>
      </c>
      <c r="O3592" s="26">
        <v>45551</v>
      </c>
      <c r="P3592" s="2" t="s">
        <v>2105</v>
      </c>
      <c r="Q3592" s="2" t="s">
        <v>836</v>
      </c>
    </row>
    <row r="3593" spans="2:17" x14ac:dyDescent="0.25">
      <c r="B3593" s="2" t="s">
        <v>4398</v>
      </c>
      <c r="C3593" s="2" t="s">
        <v>373</v>
      </c>
      <c r="D3593" s="2" t="s">
        <v>374</v>
      </c>
      <c r="E3593" s="2" t="s">
        <v>366</v>
      </c>
      <c r="F3593" s="2" t="s">
        <v>535</v>
      </c>
      <c r="G3593" s="2" t="s">
        <v>475</v>
      </c>
      <c r="H3593" s="2" t="s">
        <v>476</v>
      </c>
      <c r="I3593" s="26">
        <v>45391</v>
      </c>
      <c r="J3593" s="2">
        <v>9</v>
      </c>
      <c r="K3593" s="2" t="s">
        <v>123</v>
      </c>
      <c r="L3593" s="22">
        <v>4950</v>
      </c>
      <c r="M3593" s="22">
        <v>44550</v>
      </c>
      <c r="N3593" s="18">
        <v>47.65</v>
      </c>
      <c r="O3593" s="26">
        <v>45571</v>
      </c>
      <c r="P3593" s="2" t="s">
        <v>2105</v>
      </c>
      <c r="Q3593" s="2" t="s">
        <v>836</v>
      </c>
    </row>
    <row r="3594" spans="2:17" x14ac:dyDescent="0.25">
      <c r="B3594" s="2" t="s">
        <v>4399</v>
      </c>
      <c r="C3594" s="2" t="s">
        <v>373</v>
      </c>
      <c r="D3594" s="2" t="s">
        <v>374</v>
      </c>
      <c r="E3594" s="2" t="s">
        <v>366</v>
      </c>
      <c r="F3594" s="2" t="s">
        <v>535</v>
      </c>
      <c r="G3594" s="2" t="s">
        <v>475</v>
      </c>
      <c r="H3594" s="2" t="s">
        <v>476</v>
      </c>
      <c r="I3594" s="26">
        <v>45410</v>
      </c>
      <c r="J3594" s="2">
        <v>10</v>
      </c>
      <c r="K3594" s="2" t="s">
        <v>123</v>
      </c>
      <c r="L3594" s="22">
        <v>4950</v>
      </c>
      <c r="M3594" s="22">
        <v>49500</v>
      </c>
      <c r="N3594" s="18">
        <v>52.94</v>
      </c>
      <c r="O3594" s="26">
        <v>45590</v>
      </c>
      <c r="P3594" s="2" t="s">
        <v>2105</v>
      </c>
      <c r="Q3594" s="2" t="s">
        <v>836</v>
      </c>
    </row>
    <row r="3595" spans="2:17" x14ac:dyDescent="0.25">
      <c r="B3595" s="2" t="s">
        <v>4400</v>
      </c>
      <c r="C3595" s="2" t="s">
        <v>373</v>
      </c>
      <c r="D3595" s="2" t="s">
        <v>374</v>
      </c>
      <c r="E3595" s="2" t="s">
        <v>366</v>
      </c>
      <c r="F3595" s="2" t="s">
        <v>535</v>
      </c>
      <c r="G3595" s="2" t="s">
        <v>475</v>
      </c>
      <c r="H3595" s="2" t="s">
        <v>476</v>
      </c>
      <c r="I3595" s="26">
        <v>45431</v>
      </c>
      <c r="J3595" s="2">
        <v>11</v>
      </c>
      <c r="K3595" s="2" t="s">
        <v>123</v>
      </c>
      <c r="L3595" s="22">
        <v>4950</v>
      </c>
      <c r="M3595" s="22">
        <v>54450</v>
      </c>
      <c r="N3595" s="18">
        <v>58.24</v>
      </c>
      <c r="O3595" s="26">
        <v>45611</v>
      </c>
      <c r="P3595" s="2" t="s">
        <v>2105</v>
      </c>
      <c r="Q3595" s="2" t="s">
        <v>836</v>
      </c>
    </row>
    <row r="3596" spans="2:17" x14ac:dyDescent="0.25">
      <c r="B3596" s="2" t="s">
        <v>4401</v>
      </c>
      <c r="C3596" s="2" t="s">
        <v>373</v>
      </c>
      <c r="D3596" s="2" t="s">
        <v>374</v>
      </c>
      <c r="E3596" s="2" t="s">
        <v>366</v>
      </c>
      <c r="F3596" s="2" t="s">
        <v>535</v>
      </c>
      <c r="G3596" s="2" t="s">
        <v>475</v>
      </c>
      <c r="H3596" s="2" t="s">
        <v>476</v>
      </c>
      <c r="I3596" s="26">
        <v>45450</v>
      </c>
      <c r="J3596" s="2">
        <v>10</v>
      </c>
      <c r="K3596" s="2" t="s">
        <v>123</v>
      </c>
      <c r="L3596" s="22">
        <v>4950</v>
      </c>
      <c r="M3596" s="22">
        <v>49500</v>
      </c>
      <c r="N3596" s="18">
        <v>52.94</v>
      </c>
      <c r="O3596" s="26">
        <v>45630</v>
      </c>
      <c r="P3596" s="2" t="s">
        <v>2105</v>
      </c>
      <c r="Q3596" s="2" t="s">
        <v>806</v>
      </c>
    </row>
    <row r="3597" spans="2:17" x14ac:dyDescent="0.25">
      <c r="B3597" s="2" t="s">
        <v>4402</v>
      </c>
      <c r="C3597" s="2" t="s">
        <v>373</v>
      </c>
      <c r="D3597" s="2" t="s">
        <v>374</v>
      </c>
      <c r="E3597" s="2" t="s">
        <v>366</v>
      </c>
      <c r="F3597" s="2" t="s">
        <v>535</v>
      </c>
      <c r="G3597" s="2" t="s">
        <v>475</v>
      </c>
      <c r="H3597" s="2" t="s">
        <v>476</v>
      </c>
      <c r="I3597" s="26">
        <v>45470</v>
      </c>
      <c r="J3597" s="2">
        <v>11</v>
      </c>
      <c r="K3597" s="2" t="s">
        <v>123</v>
      </c>
      <c r="L3597" s="22">
        <v>4950</v>
      </c>
      <c r="M3597" s="22">
        <v>54450</v>
      </c>
      <c r="N3597" s="18">
        <v>58.24</v>
      </c>
      <c r="O3597" s="26">
        <v>45650</v>
      </c>
      <c r="P3597" s="2" t="s">
        <v>2105</v>
      </c>
      <c r="Q3597" s="2" t="s">
        <v>806</v>
      </c>
    </row>
    <row r="3598" spans="2:17" x14ac:dyDescent="0.25">
      <c r="B3598" s="2" t="s">
        <v>4403</v>
      </c>
      <c r="C3598" s="2" t="s">
        <v>373</v>
      </c>
      <c r="D3598" s="2" t="s">
        <v>374</v>
      </c>
      <c r="E3598" s="2" t="s">
        <v>366</v>
      </c>
      <c r="F3598" s="2" t="s">
        <v>535</v>
      </c>
      <c r="G3598" s="2" t="s">
        <v>475</v>
      </c>
      <c r="H3598" s="2" t="s">
        <v>476</v>
      </c>
      <c r="I3598" s="26">
        <v>45485</v>
      </c>
      <c r="J3598" s="2">
        <v>9</v>
      </c>
      <c r="K3598" s="2" t="s">
        <v>123</v>
      </c>
      <c r="L3598" s="22">
        <v>4950</v>
      </c>
      <c r="M3598" s="22">
        <v>44550</v>
      </c>
      <c r="N3598" s="18">
        <v>47.65</v>
      </c>
      <c r="O3598" s="26">
        <v>45665</v>
      </c>
      <c r="P3598" s="2" t="s">
        <v>2105</v>
      </c>
      <c r="Q3598" s="2" t="s">
        <v>806</v>
      </c>
    </row>
    <row r="3599" spans="2:17" x14ac:dyDescent="0.25">
      <c r="B3599" s="2" t="s">
        <v>4404</v>
      </c>
      <c r="C3599" s="2" t="s">
        <v>373</v>
      </c>
      <c r="D3599" s="2" t="s">
        <v>374</v>
      </c>
      <c r="E3599" s="2" t="s">
        <v>366</v>
      </c>
      <c r="F3599" s="2" t="s">
        <v>535</v>
      </c>
      <c r="G3599" s="2" t="s">
        <v>475</v>
      </c>
      <c r="H3599" s="2" t="s">
        <v>476</v>
      </c>
      <c r="I3599" s="26">
        <v>45505</v>
      </c>
      <c r="J3599" s="2">
        <v>11</v>
      </c>
      <c r="K3599" s="2" t="s">
        <v>123</v>
      </c>
      <c r="L3599" s="22">
        <v>4950</v>
      </c>
      <c r="M3599" s="22">
        <v>54450</v>
      </c>
      <c r="N3599" s="18">
        <v>58.24</v>
      </c>
      <c r="O3599" s="26">
        <v>45685</v>
      </c>
      <c r="P3599" s="2" t="s">
        <v>2105</v>
      </c>
      <c r="Q3599" s="2" t="s">
        <v>806</v>
      </c>
    </row>
    <row r="3600" spans="2:17" x14ac:dyDescent="0.25">
      <c r="B3600" s="2" t="s">
        <v>4405</v>
      </c>
      <c r="C3600" s="2" t="s">
        <v>373</v>
      </c>
      <c r="D3600" s="2" t="s">
        <v>374</v>
      </c>
      <c r="E3600" s="2" t="s">
        <v>366</v>
      </c>
      <c r="F3600" s="2" t="s">
        <v>535</v>
      </c>
      <c r="G3600" s="2" t="s">
        <v>475</v>
      </c>
      <c r="H3600" s="2" t="s">
        <v>476</v>
      </c>
      <c r="I3600" s="26">
        <v>45525</v>
      </c>
      <c r="J3600" s="2">
        <v>11</v>
      </c>
      <c r="K3600" s="2" t="s">
        <v>123</v>
      </c>
      <c r="L3600" s="22">
        <v>4950</v>
      </c>
      <c r="M3600" s="22">
        <v>54450</v>
      </c>
      <c r="N3600" s="18">
        <v>58.24</v>
      </c>
      <c r="O3600" s="26">
        <v>45705</v>
      </c>
      <c r="P3600" s="2" t="s">
        <v>2105</v>
      </c>
      <c r="Q3600" s="2" t="s">
        <v>806</v>
      </c>
    </row>
    <row r="3601" spans="2:17" x14ac:dyDescent="0.25">
      <c r="B3601" s="2" t="s">
        <v>4406</v>
      </c>
      <c r="C3601" s="2" t="s">
        <v>373</v>
      </c>
      <c r="D3601" s="2" t="s">
        <v>374</v>
      </c>
      <c r="E3601" s="2" t="s">
        <v>366</v>
      </c>
      <c r="F3601" s="2" t="s">
        <v>535</v>
      </c>
      <c r="G3601" s="2" t="s">
        <v>475</v>
      </c>
      <c r="H3601" s="2" t="s">
        <v>476</v>
      </c>
      <c r="I3601" s="26">
        <v>45549</v>
      </c>
      <c r="J3601" s="2">
        <v>13</v>
      </c>
      <c r="K3601" s="2" t="s">
        <v>123</v>
      </c>
      <c r="L3601" s="22">
        <v>4950</v>
      </c>
      <c r="M3601" s="22">
        <v>64350</v>
      </c>
      <c r="N3601" s="18">
        <v>68.819999999999993</v>
      </c>
      <c r="O3601" s="26">
        <v>45729</v>
      </c>
      <c r="P3601" s="2" t="s">
        <v>2105</v>
      </c>
      <c r="Q3601" s="2" t="s">
        <v>814</v>
      </c>
    </row>
    <row r="3602" spans="2:17" x14ac:dyDescent="0.25">
      <c r="B3602" s="2" t="s">
        <v>4407</v>
      </c>
      <c r="C3602" s="2" t="s">
        <v>373</v>
      </c>
      <c r="D3602" s="2" t="s">
        <v>374</v>
      </c>
      <c r="E3602" s="2" t="s">
        <v>366</v>
      </c>
      <c r="F3602" s="2" t="s">
        <v>535</v>
      </c>
      <c r="G3602" s="2" t="s">
        <v>475</v>
      </c>
      <c r="H3602" s="2" t="s">
        <v>476</v>
      </c>
      <c r="I3602" s="26">
        <v>45576</v>
      </c>
      <c r="J3602" s="2">
        <v>11</v>
      </c>
      <c r="K3602" s="2" t="s">
        <v>123</v>
      </c>
      <c r="L3602" s="22">
        <v>4950</v>
      </c>
      <c r="M3602" s="22">
        <v>54450</v>
      </c>
      <c r="N3602" s="18">
        <v>58.24</v>
      </c>
      <c r="O3602" s="26">
        <v>45756</v>
      </c>
      <c r="P3602" s="2" t="s">
        <v>2105</v>
      </c>
      <c r="Q3602" s="2" t="s">
        <v>814</v>
      </c>
    </row>
    <row r="3603" spans="2:17" x14ac:dyDescent="0.25">
      <c r="B3603" s="2" t="s">
        <v>4408</v>
      </c>
      <c r="C3603" s="2" t="s">
        <v>373</v>
      </c>
      <c r="D3603" s="2" t="s">
        <v>374</v>
      </c>
      <c r="E3603" s="2" t="s">
        <v>366</v>
      </c>
      <c r="F3603" s="2" t="s">
        <v>535</v>
      </c>
      <c r="G3603" s="2" t="s">
        <v>475</v>
      </c>
      <c r="H3603" s="2" t="s">
        <v>476</v>
      </c>
      <c r="I3603" s="26">
        <v>45602</v>
      </c>
      <c r="J3603" s="2">
        <v>11</v>
      </c>
      <c r="K3603" s="2" t="s">
        <v>123</v>
      </c>
      <c r="L3603" s="22">
        <v>4950</v>
      </c>
      <c r="M3603" s="22">
        <v>54450</v>
      </c>
      <c r="N3603" s="18">
        <v>58.24</v>
      </c>
      <c r="O3603" s="26">
        <v>45782</v>
      </c>
      <c r="P3603" s="2" t="s">
        <v>2105</v>
      </c>
      <c r="Q3603" s="2" t="s">
        <v>814</v>
      </c>
    </row>
    <row r="3604" spans="2:17" x14ac:dyDescent="0.25">
      <c r="B3604" s="2" t="s">
        <v>4409</v>
      </c>
      <c r="C3604" s="2" t="s">
        <v>373</v>
      </c>
      <c r="D3604" s="2" t="s">
        <v>374</v>
      </c>
      <c r="E3604" s="2" t="s">
        <v>366</v>
      </c>
      <c r="F3604" s="2" t="s">
        <v>535</v>
      </c>
      <c r="G3604" s="2" t="s">
        <v>475</v>
      </c>
      <c r="H3604" s="2" t="s">
        <v>476</v>
      </c>
      <c r="I3604" s="26">
        <v>45622</v>
      </c>
      <c r="J3604" s="2">
        <v>11</v>
      </c>
      <c r="K3604" s="2" t="s">
        <v>123</v>
      </c>
      <c r="L3604" s="22">
        <v>4950</v>
      </c>
      <c r="M3604" s="22">
        <v>54450</v>
      </c>
      <c r="N3604" s="18">
        <v>58.24</v>
      </c>
      <c r="O3604" s="26">
        <v>45802</v>
      </c>
      <c r="P3604" s="2" t="s">
        <v>2105</v>
      </c>
      <c r="Q3604" s="2" t="s">
        <v>814</v>
      </c>
    </row>
    <row r="3605" spans="2:17" x14ac:dyDescent="0.25">
      <c r="B3605" s="2" t="s">
        <v>4410</v>
      </c>
      <c r="C3605" s="2" t="s">
        <v>373</v>
      </c>
      <c r="D3605" s="2" t="s">
        <v>374</v>
      </c>
      <c r="E3605" s="2" t="s">
        <v>366</v>
      </c>
      <c r="F3605" s="2" t="s">
        <v>535</v>
      </c>
      <c r="G3605" s="2" t="s">
        <v>475</v>
      </c>
      <c r="H3605" s="2" t="s">
        <v>476</v>
      </c>
      <c r="I3605" s="26">
        <v>45643</v>
      </c>
      <c r="J3605" s="2">
        <v>12</v>
      </c>
      <c r="K3605" s="2" t="s">
        <v>123</v>
      </c>
      <c r="L3605" s="22">
        <v>4950</v>
      </c>
      <c r="M3605" s="22">
        <v>59400</v>
      </c>
      <c r="N3605" s="18">
        <v>63.53</v>
      </c>
      <c r="O3605" s="26">
        <v>45823</v>
      </c>
      <c r="P3605" s="2" t="s">
        <v>2105</v>
      </c>
      <c r="Q3605" s="2" t="s">
        <v>825</v>
      </c>
    </row>
    <row r="3606" spans="2:17" x14ac:dyDescent="0.25">
      <c r="B3606" s="2" t="s">
        <v>4411</v>
      </c>
      <c r="C3606" s="2" t="s">
        <v>373</v>
      </c>
      <c r="D3606" s="2" t="s">
        <v>374</v>
      </c>
      <c r="E3606" s="2" t="s">
        <v>366</v>
      </c>
      <c r="F3606" s="2" t="s">
        <v>537</v>
      </c>
      <c r="G3606" s="2" t="s">
        <v>505</v>
      </c>
      <c r="H3606" s="2" t="s">
        <v>506</v>
      </c>
      <c r="I3606" s="26">
        <v>45662</v>
      </c>
      <c r="J3606" s="2">
        <v>12</v>
      </c>
      <c r="K3606" s="2" t="s">
        <v>123</v>
      </c>
      <c r="L3606" s="22">
        <v>5050</v>
      </c>
      <c r="M3606" s="22">
        <v>60600</v>
      </c>
      <c r="N3606" s="18">
        <v>64.81</v>
      </c>
      <c r="O3606" s="26">
        <v>45842</v>
      </c>
      <c r="P3606" s="2" t="s">
        <v>2105</v>
      </c>
      <c r="Q3606" s="2" t="s">
        <v>825</v>
      </c>
    </row>
    <row r="3607" spans="2:17" x14ac:dyDescent="0.25">
      <c r="B3607" s="2" t="s">
        <v>4412</v>
      </c>
      <c r="C3607" s="2" t="s">
        <v>373</v>
      </c>
      <c r="D3607" s="2" t="s">
        <v>374</v>
      </c>
      <c r="E3607" s="2" t="s">
        <v>366</v>
      </c>
      <c r="F3607" s="2" t="s">
        <v>535</v>
      </c>
      <c r="G3607" s="2" t="s">
        <v>475</v>
      </c>
      <c r="H3607" s="2" t="s">
        <v>476</v>
      </c>
      <c r="I3607" s="26">
        <v>45686</v>
      </c>
      <c r="J3607" s="2">
        <v>12</v>
      </c>
      <c r="K3607" s="2" t="s">
        <v>123</v>
      </c>
      <c r="L3607" s="22">
        <v>4950</v>
      </c>
      <c r="M3607" s="22">
        <v>59400</v>
      </c>
      <c r="N3607" s="18">
        <v>63.53</v>
      </c>
      <c r="O3607" s="26">
        <v>45866</v>
      </c>
      <c r="P3607" s="2" t="s">
        <v>2105</v>
      </c>
      <c r="Q3607" s="2" t="s">
        <v>825</v>
      </c>
    </row>
    <row r="3608" spans="2:17" x14ac:dyDescent="0.25">
      <c r="B3608" s="2" t="s">
        <v>4413</v>
      </c>
      <c r="C3608" s="2" t="s">
        <v>373</v>
      </c>
      <c r="D3608" s="2" t="s">
        <v>374</v>
      </c>
      <c r="E3608" s="2" t="s">
        <v>366</v>
      </c>
      <c r="F3608" s="2" t="s">
        <v>535</v>
      </c>
      <c r="G3608" s="2" t="s">
        <v>475</v>
      </c>
      <c r="H3608" s="2" t="s">
        <v>476</v>
      </c>
      <c r="I3608" s="26">
        <v>45707</v>
      </c>
      <c r="J3608" s="2">
        <v>12</v>
      </c>
      <c r="K3608" s="2" t="s">
        <v>123</v>
      </c>
      <c r="L3608" s="22">
        <v>4950</v>
      </c>
      <c r="M3608" s="22">
        <v>59400</v>
      </c>
      <c r="N3608" s="18">
        <v>63.53</v>
      </c>
      <c r="O3608" s="26">
        <v>45887</v>
      </c>
      <c r="P3608" s="2" t="s">
        <v>2105</v>
      </c>
      <c r="Q3608" s="2" t="s">
        <v>825</v>
      </c>
    </row>
    <row r="3609" spans="2:17" x14ac:dyDescent="0.25">
      <c r="B3609" s="2" t="s">
        <v>4414</v>
      </c>
      <c r="C3609" s="2" t="s">
        <v>373</v>
      </c>
      <c r="D3609" s="2" t="s">
        <v>374</v>
      </c>
      <c r="E3609" s="2" t="s">
        <v>366</v>
      </c>
      <c r="F3609" s="2" t="s">
        <v>535</v>
      </c>
      <c r="G3609" s="2" t="s">
        <v>475</v>
      </c>
      <c r="H3609" s="2" t="s">
        <v>476</v>
      </c>
      <c r="I3609" s="26">
        <v>45727</v>
      </c>
      <c r="J3609" s="2">
        <v>11</v>
      </c>
      <c r="K3609" s="2" t="s">
        <v>123</v>
      </c>
      <c r="L3609" s="22">
        <v>4950</v>
      </c>
      <c r="M3609" s="22">
        <v>54450</v>
      </c>
      <c r="N3609" s="18">
        <v>58.24</v>
      </c>
      <c r="O3609" s="26">
        <v>45907</v>
      </c>
      <c r="P3609" s="2" t="s">
        <v>2105</v>
      </c>
      <c r="Q3609" s="2" t="s">
        <v>836</v>
      </c>
    </row>
    <row r="3610" spans="2:17" x14ac:dyDescent="0.25">
      <c r="B3610" s="2" t="s">
        <v>4415</v>
      </c>
      <c r="C3610" s="2" t="s">
        <v>373</v>
      </c>
      <c r="D3610" s="2" t="s">
        <v>374</v>
      </c>
      <c r="E3610" s="2" t="s">
        <v>366</v>
      </c>
      <c r="F3610" s="2" t="s">
        <v>535</v>
      </c>
      <c r="G3610" s="2" t="s">
        <v>475</v>
      </c>
      <c r="H3610" s="2" t="s">
        <v>476</v>
      </c>
      <c r="I3610" s="26">
        <v>45743</v>
      </c>
      <c r="J3610" s="2">
        <v>10</v>
      </c>
      <c r="K3610" s="2" t="s">
        <v>123</v>
      </c>
      <c r="L3610" s="22">
        <v>4950</v>
      </c>
      <c r="M3610" s="22">
        <v>49500</v>
      </c>
      <c r="N3610" s="18">
        <v>52.94</v>
      </c>
      <c r="O3610" s="26">
        <v>45923</v>
      </c>
      <c r="P3610" s="2" t="s">
        <v>2105</v>
      </c>
      <c r="Q3610" s="2" t="s">
        <v>836</v>
      </c>
    </row>
    <row r="3611" spans="2:17" x14ac:dyDescent="0.25">
      <c r="B3611" s="2" t="s">
        <v>4416</v>
      </c>
      <c r="C3611" s="2" t="s">
        <v>373</v>
      </c>
      <c r="D3611" s="2" t="s">
        <v>374</v>
      </c>
      <c r="E3611" s="2" t="s">
        <v>366</v>
      </c>
      <c r="F3611" s="2" t="s">
        <v>535</v>
      </c>
      <c r="G3611" s="2" t="s">
        <v>475</v>
      </c>
      <c r="H3611" s="2" t="s">
        <v>476</v>
      </c>
      <c r="I3611" s="26">
        <v>45766</v>
      </c>
      <c r="J3611" s="2">
        <v>10</v>
      </c>
      <c r="K3611" s="2" t="s">
        <v>123</v>
      </c>
      <c r="L3611" s="22">
        <v>4950</v>
      </c>
      <c r="M3611" s="22">
        <v>49500</v>
      </c>
      <c r="N3611" s="18">
        <v>52.94</v>
      </c>
      <c r="O3611" s="26">
        <v>45946</v>
      </c>
      <c r="P3611" s="2" t="s">
        <v>2105</v>
      </c>
      <c r="Q3611" s="2" t="s">
        <v>836</v>
      </c>
    </row>
    <row r="3612" spans="2:17" x14ac:dyDescent="0.25">
      <c r="B3612" s="2" t="s">
        <v>4417</v>
      </c>
      <c r="C3612" s="2" t="s">
        <v>373</v>
      </c>
      <c r="D3612" s="2" t="s">
        <v>374</v>
      </c>
      <c r="E3612" s="2" t="s">
        <v>366</v>
      </c>
      <c r="F3612" s="2" t="s">
        <v>535</v>
      </c>
      <c r="G3612" s="2" t="s">
        <v>475</v>
      </c>
      <c r="H3612" s="2" t="s">
        <v>476</v>
      </c>
      <c r="I3612" s="26">
        <v>45791</v>
      </c>
      <c r="J3612" s="2">
        <v>11</v>
      </c>
      <c r="K3612" s="2" t="s">
        <v>123</v>
      </c>
      <c r="L3612" s="22">
        <v>4950</v>
      </c>
      <c r="M3612" s="22">
        <v>54450</v>
      </c>
      <c r="N3612" s="18">
        <v>58.24</v>
      </c>
      <c r="O3612" s="26">
        <v>45971</v>
      </c>
      <c r="P3612" s="2" t="s">
        <v>2105</v>
      </c>
      <c r="Q3612" s="2" t="s">
        <v>836</v>
      </c>
    </row>
    <row r="3613" spans="2:17" x14ac:dyDescent="0.25">
      <c r="B3613" s="2" t="s">
        <v>4418</v>
      </c>
      <c r="C3613" s="2" t="s">
        <v>373</v>
      </c>
      <c r="D3613" s="2" t="s">
        <v>374</v>
      </c>
      <c r="E3613" s="2" t="s">
        <v>366</v>
      </c>
      <c r="F3613" s="2" t="s">
        <v>535</v>
      </c>
      <c r="G3613" s="2" t="s">
        <v>475</v>
      </c>
      <c r="H3613" s="2" t="s">
        <v>476</v>
      </c>
      <c r="I3613" s="26">
        <v>45818</v>
      </c>
      <c r="J3613" s="2">
        <v>9</v>
      </c>
      <c r="K3613" s="2" t="s">
        <v>123</v>
      </c>
      <c r="L3613" s="22">
        <v>4950</v>
      </c>
      <c r="M3613" s="22">
        <v>44550</v>
      </c>
      <c r="N3613" s="18">
        <v>47.65</v>
      </c>
      <c r="O3613" s="26">
        <v>45998</v>
      </c>
      <c r="P3613" s="2" t="s">
        <v>2105</v>
      </c>
      <c r="Q3613" s="2" t="s">
        <v>806</v>
      </c>
    </row>
    <row r="3614" spans="2:17" x14ac:dyDescent="0.25">
      <c r="B3614" s="2" t="s">
        <v>4419</v>
      </c>
      <c r="C3614" s="2" t="s">
        <v>375</v>
      </c>
      <c r="D3614" s="2" t="s">
        <v>376</v>
      </c>
      <c r="E3614" s="2" t="s">
        <v>377</v>
      </c>
      <c r="F3614" s="2" t="s">
        <v>535</v>
      </c>
      <c r="G3614" s="2" t="s">
        <v>515</v>
      </c>
      <c r="H3614" s="2" t="s">
        <v>516</v>
      </c>
      <c r="I3614" s="26">
        <v>45153</v>
      </c>
      <c r="J3614" s="2">
        <v>23</v>
      </c>
      <c r="K3614" s="2" t="s">
        <v>378</v>
      </c>
      <c r="L3614" s="22">
        <v>1000</v>
      </c>
      <c r="M3614" s="22">
        <v>23000</v>
      </c>
      <c r="N3614" s="18">
        <v>24.6</v>
      </c>
      <c r="O3614" s="26">
        <v>48803</v>
      </c>
      <c r="P3614" s="2" t="s">
        <v>2105</v>
      </c>
      <c r="Q3614" s="2" t="s">
        <v>806</v>
      </c>
    </row>
    <row r="3615" spans="2:17" x14ac:dyDescent="0.25">
      <c r="B3615" s="2" t="s">
        <v>4420</v>
      </c>
      <c r="C3615" s="2" t="s">
        <v>375</v>
      </c>
      <c r="D3615" s="2" t="s">
        <v>376</v>
      </c>
      <c r="E3615" s="2" t="s">
        <v>377</v>
      </c>
      <c r="F3615" s="2" t="s">
        <v>535</v>
      </c>
      <c r="G3615" s="2" t="s">
        <v>515</v>
      </c>
      <c r="H3615" s="2" t="s">
        <v>516</v>
      </c>
      <c r="I3615" s="26">
        <v>45227</v>
      </c>
      <c r="J3615" s="2">
        <v>19</v>
      </c>
      <c r="K3615" s="2" t="s">
        <v>378</v>
      </c>
      <c r="L3615" s="22">
        <v>1000</v>
      </c>
      <c r="M3615" s="22">
        <v>19000</v>
      </c>
      <c r="N3615" s="18">
        <v>20.32</v>
      </c>
      <c r="O3615" s="26">
        <v>48877</v>
      </c>
      <c r="P3615" s="2" t="s">
        <v>2105</v>
      </c>
      <c r="Q3615" s="2" t="s">
        <v>814</v>
      </c>
    </row>
    <row r="3616" spans="2:17" x14ac:dyDescent="0.25">
      <c r="B3616" s="2" t="s">
        <v>4421</v>
      </c>
      <c r="C3616" s="2" t="s">
        <v>375</v>
      </c>
      <c r="D3616" s="2" t="s">
        <v>376</v>
      </c>
      <c r="E3616" s="2" t="s">
        <v>377</v>
      </c>
      <c r="F3616" s="2" t="s">
        <v>535</v>
      </c>
      <c r="G3616" s="2" t="s">
        <v>515</v>
      </c>
      <c r="H3616" s="2" t="s">
        <v>516</v>
      </c>
      <c r="I3616" s="26">
        <v>45302</v>
      </c>
      <c r="J3616" s="2">
        <v>20</v>
      </c>
      <c r="K3616" s="2" t="s">
        <v>378</v>
      </c>
      <c r="L3616" s="22">
        <v>1000</v>
      </c>
      <c r="M3616" s="22">
        <v>20000</v>
      </c>
      <c r="N3616" s="18">
        <v>21.39</v>
      </c>
      <c r="O3616" s="26">
        <v>48952</v>
      </c>
      <c r="P3616" s="2" t="s">
        <v>2105</v>
      </c>
      <c r="Q3616" s="2" t="s">
        <v>825</v>
      </c>
    </row>
    <row r="3617" spans="2:17" x14ac:dyDescent="0.25">
      <c r="B3617" s="2" t="s">
        <v>4422</v>
      </c>
      <c r="C3617" s="2" t="s">
        <v>375</v>
      </c>
      <c r="D3617" s="2" t="s">
        <v>376</v>
      </c>
      <c r="E3617" s="2" t="s">
        <v>377</v>
      </c>
      <c r="F3617" s="2" t="s">
        <v>535</v>
      </c>
      <c r="G3617" s="2" t="s">
        <v>515</v>
      </c>
      <c r="H3617" s="2" t="s">
        <v>516</v>
      </c>
      <c r="I3617" s="26">
        <v>45363</v>
      </c>
      <c r="J3617" s="2">
        <v>18</v>
      </c>
      <c r="K3617" s="2" t="s">
        <v>378</v>
      </c>
      <c r="L3617" s="22">
        <v>1000</v>
      </c>
      <c r="M3617" s="22">
        <v>18000</v>
      </c>
      <c r="N3617" s="18">
        <v>19.25</v>
      </c>
      <c r="O3617" s="26">
        <v>49013</v>
      </c>
      <c r="P3617" s="2" t="s">
        <v>2105</v>
      </c>
      <c r="Q3617" s="2" t="s">
        <v>836</v>
      </c>
    </row>
    <row r="3618" spans="2:17" x14ac:dyDescent="0.25">
      <c r="B3618" s="2" t="s">
        <v>4423</v>
      </c>
      <c r="C3618" s="2" t="s">
        <v>375</v>
      </c>
      <c r="D3618" s="2" t="s">
        <v>376</v>
      </c>
      <c r="E3618" s="2" t="s">
        <v>377</v>
      </c>
      <c r="F3618" s="2" t="s">
        <v>535</v>
      </c>
      <c r="G3618" s="2" t="s">
        <v>515</v>
      </c>
      <c r="H3618" s="2" t="s">
        <v>516</v>
      </c>
      <c r="I3618" s="26">
        <v>45404</v>
      </c>
      <c r="J3618" s="2">
        <v>20</v>
      </c>
      <c r="K3618" s="2" t="s">
        <v>378</v>
      </c>
      <c r="L3618" s="22">
        <v>1000</v>
      </c>
      <c r="M3618" s="22">
        <v>20000</v>
      </c>
      <c r="N3618" s="18">
        <v>21.39</v>
      </c>
      <c r="O3618" s="26">
        <v>49054</v>
      </c>
      <c r="P3618" s="2" t="s">
        <v>2105</v>
      </c>
      <c r="Q3618" s="2" t="s">
        <v>836</v>
      </c>
    </row>
    <row r="3619" spans="2:17" x14ac:dyDescent="0.25">
      <c r="B3619" s="2" t="s">
        <v>4424</v>
      </c>
      <c r="C3619" s="2" t="s">
        <v>375</v>
      </c>
      <c r="D3619" s="2" t="s">
        <v>376</v>
      </c>
      <c r="E3619" s="2" t="s">
        <v>377</v>
      </c>
      <c r="F3619" s="2" t="s">
        <v>537</v>
      </c>
      <c r="G3619" s="2" t="s">
        <v>520</v>
      </c>
      <c r="H3619" s="2" t="s">
        <v>521</v>
      </c>
      <c r="I3619" s="26">
        <v>45458</v>
      </c>
      <c r="J3619" s="2">
        <v>17</v>
      </c>
      <c r="K3619" s="2" t="s">
        <v>378</v>
      </c>
      <c r="L3619" s="22">
        <v>1050</v>
      </c>
      <c r="M3619" s="22">
        <v>17850</v>
      </c>
      <c r="N3619" s="18">
        <v>19.09</v>
      </c>
      <c r="O3619" s="26">
        <v>49108</v>
      </c>
      <c r="P3619" s="2" t="s">
        <v>2105</v>
      </c>
      <c r="Q3619" s="2" t="s">
        <v>806</v>
      </c>
    </row>
    <row r="3620" spans="2:17" x14ac:dyDescent="0.25">
      <c r="B3620" s="2" t="s">
        <v>4425</v>
      </c>
      <c r="C3620" s="2" t="s">
        <v>375</v>
      </c>
      <c r="D3620" s="2" t="s">
        <v>376</v>
      </c>
      <c r="E3620" s="2" t="s">
        <v>377</v>
      </c>
      <c r="F3620" s="2" t="s">
        <v>535</v>
      </c>
      <c r="G3620" s="2" t="s">
        <v>515</v>
      </c>
      <c r="H3620" s="2" t="s">
        <v>516</v>
      </c>
      <c r="I3620" s="26">
        <v>45521</v>
      </c>
      <c r="J3620" s="2">
        <v>19</v>
      </c>
      <c r="K3620" s="2" t="s">
        <v>378</v>
      </c>
      <c r="L3620" s="22">
        <v>1000</v>
      </c>
      <c r="M3620" s="22">
        <v>19000</v>
      </c>
      <c r="N3620" s="18">
        <v>20.32</v>
      </c>
      <c r="O3620" s="26">
        <v>49171</v>
      </c>
      <c r="P3620" s="2" t="s">
        <v>2105</v>
      </c>
      <c r="Q3620" s="2" t="s">
        <v>806</v>
      </c>
    </row>
    <row r="3621" spans="2:17" x14ac:dyDescent="0.25">
      <c r="B3621" s="2" t="s">
        <v>4426</v>
      </c>
      <c r="C3621" s="2" t="s">
        <v>375</v>
      </c>
      <c r="D3621" s="2" t="s">
        <v>376</v>
      </c>
      <c r="E3621" s="2" t="s">
        <v>377</v>
      </c>
      <c r="F3621" s="2" t="s">
        <v>535</v>
      </c>
      <c r="G3621" s="2" t="s">
        <v>515</v>
      </c>
      <c r="H3621" s="2" t="s">
        <v>516</v>
      </c>
      <c r="I3621" s="26">
        <v>45581</v>
      </c>
      <c r="J3621" s="2">
        <v>23</v>
      </c>
      <c r="K3621" s="2" t="s">
        <v>378</v>
      </c>
      <c r="L3621" s="22">
        <v>1000</v>
      </c>
      <c r="M3621" s="22">
        <v>23000</v>
      </c>
      <c r="N3621" s="18">
        <v>24.6</v>
      </c>
      <c r="O3621" s="26">
        <v>49231</v>
      </c>
      <c r="P3621" s="2" t="s">
        <v>2105</v>
      </c>
      <c r="Q3621" s="2" t="s">
        <v>814</v>
      </c>
    </row>
    <row r="3622" spans="2:17" x14ac:dyDescent="0.25">
      <c r="B3622" s="2" t="s">
        <v>4427</v>
      </c>
      <c r="C3622" s="2" t="s">
        <v>375</v>
      </c>
      <c r="D3622" s="2" t="s">
        <v>376</v>
      </c>
      <c r="E3622" s="2" t="s">
        <v>377</v>
      </c>
      <c r="F3622" s="2" t="s">
        <v>535</v>
      </c>
      <c r="G3622" s="2" t="s">
        <v>515</v>
      </c>
      <c r="H3622" s="2" t="s">
        <v>516</v>
      </c>
      <c r="I3622" s="26">
        <v>45644</v>
      </c>
      <c r="J3622" s="2">
        <v>28</v>
      </c>
      <c r="K3622" s="2" t="s">
        <v>378</v>
      </c>
      <c r="L3622" s="22">
        <v>1000</v>
      </c>
      <c r="M3622" s="22">
        <v>28000</v>
      </c>
      <c r="N3622" s="18">
        <v>29.95</v>
      </c>
      <c r="O3622" s="26">
        <v>49294</v>
      </c>
      <c r="P3622" s="2" t="s">
        <v>2105</v>
      </c>
      <c r="Q3622" s="2" t="s">
        <v>825</v>
      </c>
    </row>
    <row r="3623" spans="2:17" x14ac:dyDescent="0.25">
      <c r="B3623" s="2" t="s">
        <v>4428</v>
      </c>
      <c r="C3623" s="2" t="s">
        <v>375</v>
      </c>
      <c r="D3623" s="2" t="s">
        <v>376</v>
      </c>
      <c r="E3623" s="2" t="s">
        <v>377</v>
      </c>
      <c r="F3623" s="2" t="s">
        <v>535</v>
      </c>
      <c r="G3623" s="2" t="s">
        <v>515</v>
      </c>
      <c r="H3623" s="2" t="s">
        <v>516</v>
      </c>
      <c r="I3623" s="26">
        <v>45716</v>
      </c>
      <c r="J3623" s="2">
        <v>20</v>
      </c>
      <c r="K3623" s="2" t="s">
        <v>378</v>
      </c>
      <c r="L3623" s="22">
        <v>1000</v>
      </c>
      <c r="M3623" s="22">
        <v>20000</v>
      </c>
      <c r="N3623" s="18">
        <v>21.39</v>
      </c>
      <c r="O3623" s="26">
        <v>49366</v>
      </c>
      <c r="P3623" s="2" t="s">
        <v>2105</v>
      </c>
      <c r="Q3623" s="2" t="s">
        <v>825</v>
      </c>
    </row>
    <row r="3624" spans="2:17" x14ac:dyDescent="0.25">
      <c r="B3624" s="2" t="s">
        <v>4429</v>
      </c>
      <c r="C3624" s="2" t="s">
        <v>375</v>
      </c>
      <c r="D3624" s="2" t="s">
        <v>376</v>
      </c>
      <c r="E3624" s="2" t="s">
        <v>377</v>
      </c>
      <c r="F3624" s="2" t="s">
        <v>535</v>
      </c>
      <c r="G3624" s="2" t="s">
        <v>515</v>
      </c>
      <c r="H3624" s="2" t="s">
        <v>516</v>
      </c>
      <c r="I3624" s="26">
        <v>45767</v>
      </c>
      <c r="J3624" s="2">
        <v>19</v>
      </c>
      <c r="K3624" s="2" t="s">
        <v>378</v>
      </c>
      <c r="L3624" s="22">
        <v>1000</v>
      </c>
      <c r="M3624" s="22">
        <v>19000</v>
      </c>
      <c r="N3624" s="18">
        <v>20.32</v>
      </c>
      <c r="O3624" s="26">
        <v>49417</v>
      </c>
      <c r="P3624" s="2" t="s">
        <v>2105</v>
      </c>
      <c r="Q3624" s="2" t="s">
        <v>836</v>
      </c>
    </row>
    <row r="3625" spans="2:17" x14ac:dyDescent="0.25">
      <c r="B3625" s="2" t="s">
        <v>4430</v>
      </c>
      <c r="C3625" s="2" t="s">
        <v>375</v>
      </c>
      <c r="D3625" s="2" t="s">
        <v>376</v>
      </c>
      <c r="E3625" s="2" t="s">
        <v>377</v>
      </c>
      <c r="F3625" s="2" t="s">
        <v>535</v>
      </c>
      <c r="G3625" s="2" t="s">
        <v>515</v>
      </c>
      <c r="H3625" s="2" t="s">
        <v>516</v>
      </c>
      <c r="I3625" s="26">
        <v>45824</v>
      </c>
      <c r="J3625" s="2">
        <v>20</v>
      </c>
      <c r="K3625" s="2" t="s">
        <v>378</v>
      </c>
      <c r="L3625" s="22">
        <v>1000</v>
      </c>
      <c r="M3625" s="22">
        <v>20000</v>
      </c>
      <c r="N3625" s="18">
        <v>21.39</v>
      </c>
      <c r="O3625" s="26">
        <v>49474</v>
      </c>
      <c r="P3625" s="2" t="s">
        <v>2105</v>
      </c>
      <c r="Q3625" s="2" t="s">
        <v>806</v>
      </c>
    </row>
    <row r="3626" spans="2:17" x14ac:dyDescent="0.25">
      <c r="B3626" s="2" t="s">
        <v>4431</v>
      </c>
      <c r="C3626" s="2" t="s">
        <v>379</v>
      </c>
      <c r="D3626" s="2" t="s">
        <v>380</v>
      </c>
      <c r="E3626" s="2" t="s">
        <v>377</v>
      </c>
      <c r="F3626" s="2" t="s">
        <v>537</v>
      </c>
      <c r="G3626" s="2" t="s">
        <v>520</v>
      </c>
      <c r="H3626" s="2" t="s">
        <v>521</v>
      </c>
      <c r="I3626" s="26">
        <v>45155</v>
      </c>
      <c r="J3626" s="2">
        <v>18</v>
      </c>
      <c r="K3626" s="2" t="s">
        <v>378</v>
      </c>
      <c r="L3626" s="22">
        <v>1400</v>
      </c>
      <c r="M3626" s="22">
        <v>25200</v>
      </c>
      <c r="N3626" s="18">
        <v>26.95</v>
      </c>
      <c r="O3626" s="26">
        <v>48805</v>
      </c>
      <c r="P3626" s="2" t="s">
        <v>2105</v>
      </c>
      <c r="Q3626" s="2" t="s">
        <v>806</v>
      </c>
    </row>
    <row r="3627" spans="2:17" x14ac:dyDescent="0.25">
      <c r="B3627" s="2" t="s">
        <v>4432</v>
      </c>
      <c r="C3627" s="2" t="s">
        <v>379</v>
      </c>
      <c r="D3627" s="2" t="s">
        <v>380</v>
      </c>
      <c r="E3627" s="2" t="s">
        <v>377</v>
      </c>
      <c r="F3627" s="2" t="s">
        <v>535</v>
      </c>
      <c r="G3627" s="2" t="s">
        <v>515</v>
      </c>
      <c r="H3627" s="2" t="s">
        <v>516</v>
      </c>
      <c r="I3627" s="26">
        <v>45215</v>
      </c>
      <c r="J3627" s="2">
        <v>23</v>
      </c>
      <c r="K3627" s="2" t="s">
        <v>378</v>
      </c>
      <c r="L3627" s="22">
        <v>1350</v>
      </c>
      <c r="M3627" s="22">
        <v>31050</v>
      </c>
      <c r="N3627" s="18">
        <v>33.21</v>
      </c>
      <c r="O3627" s="26">
        <v>48865</v>
      </c>
      <c r="P3627" s="2" t="s">
        <v>2105</v>
      </c>
      <c r="Q3627" s="2" t="s">
        <v>814</v>
      </c>
    </row>
    <row r="3628" spans="2:17" x14ac:dyDescent="0.25">
      <c r="B3628" s="2" t="s">
        <v>4433</v>
      </c>
      <c r="C3628" s="2" t="s">
        <v>379</v>
      </c>
      <c r="D3628" s="2" t="s">
        <v>380</v>
      </c>
      <c r="E3628" s="2" t="s">
        <v>377</v>
      </c>
      <c r="F3628" s="2" t="s">
        <v>535</v>
      </c>
      <c r="G3628" s="2" t="s">
        <v>515</v>
      </c>
      <c r="H3628" s="2" t="s">
        <v>516</v>
      </c>
      <c r="I3628" s="26">
        <v>45271</v>
      </c>
      <c r="J3628" s="2">
        <v>23</v>
      </c>
      <c r="K3628" s="2" t="s">
        <v>378</v>
      </c>
      <c r="L3628" s="22">
        <v>1350</v>
      </c>
      <c r="M3628" s="22">
        <v>31050</v>
      </c>
      <c r="N3628" s="18">
        <v>33.21</v>
      </c>
      <c r="O3628" s="26">
        <v>48921</v>
      </c>
      <c r="P3628" s="2" t="s">
        <v>2105</v>
      </c>
      <c r="Q3628" s="2" t="s">
        <v>825</v>
      </c>
    </row>
    <row r="3629" spans="2:17" x14ac:dyDescent="0.25">
      <c r="B3629" s="2" t="s">
        <v>4434</v>
      </c>
      <c r="C3629" s="2" t="s">
        <v>379</v>
      </c>
      <c r="D3629" s="2" t="s">
        <v>380</v>
      </c>
      <c r="E3629" s="2" t="s">
        <v>377</v>
      </c>
      <c r="F3629" s="2" t="s">
        <v>535</v>
      </c>
      <c r="G3629" s="2" t="s">
        <v>515</v>
      </c>
      <c r="H3629" s="2" t="s">
        <v>516</v>
      </c>
      <c r="I3629" s="26">
        <v>45330</v>
      </c>
      <c r="J3629" s="2">
        <v>19</v>
      </c>
      <c r="K3629" s="2" t="s">
        <v>378</v>
      </c>
      <c r="L3629" s="22">
        <v>1350</v>
      </c>
      <c r="M3629" s="22">
        <v>25650</v>
      </c>
      <c r="N3629" s="18">
        <v>27.43</v>
      </c>
      <c r="O3629" s="26">
        <v>48980</v>
      </c>
      <c r="P3629" s="2" t="s">
        <v>2105</v>
      </c>
      <c r="Q3629" s="2" t="s">
        <v>825</v>
      </c>
    </row>
    <row r="3630" spans="2:17" x14ac:dyDescent="0.25">
      <c r="B3630" s="2" t="s">
        <v>4435</v>
      </c>
      <c r="C3630" s="2" t="s">
        <v>379</v>
      </c>
      <c r="D3630" s="2" t="s">
        <v>380</v>
      </c>
      <c r="E3630" s="2" t="s">
        <v>377</v>
      </c>
      <c r="F3630" s="2" t="s">
        <v>535</v>
      </c>
      <c r="G3630" s="2" t="s">
        <v>515</v>
      </c>
      <c r="H3630" s="2" t="s">
        <v>516</v>
      </c>
      <c r="I3630" s="26">
        <v>45403</v>
      </c>
      <c r="J3630" s="2">
        <v>21</v>
      </c>
      <c r="K3630" s="2" t="s">
        <v>378</v>
      </c>
      <c r="L3630" s="22">
        <v>1350</v>
      </c>
      <c r="M3630" s="22">
        <v>28350</v>
      </c>
      <c r="N3630" s="18">
        <v>30.32</v>
      </c>
      <c r="O3630" s="26">
        <v>49053</v>
      </c>
      <c r="P3630" s="2" t="s">
        <v>2105</v>
      </c>
      <c r="Q3630" s="2" t="s">
        <v>836</v>
      </c>
    </row>
    <row r="3631" spans="2:17" x14ac:dyDescent="0.25">
      <c r="B3631" s="2" t="s">
        <v>4436</v>
      </c>
      <c r="C3631" s="2" t="s">
        <v>379</v>
      </c>
      <c r="D3631" s="2" t="s">
        <v>380</v>
      </c>
      <c r="E3631" s="2" t="s">
        <v>377</v>
      </c>
      <c r="F3631" s="2" t="s">
        <v>535</v>
      </c>
      <c r="G3631" s="2" t="s">
        <v>515</v>
      </c>
      <c r="H3631" s="2" t="s">
        <v>516</v>
      </c>
      <c r="I3631" s="26">
        <v>45468</v>
      </c>
      <c r="J3631" s="2">
        <v>19</v>
      </c>
      <c r="K3631" s="2" t="s">
        <v>378</v>
      </c>
      <c r="L3631" s="22">
        <v>1350</v>
      </c>
      <c r="M3631" s="22">
        <v>25650</v>
      </c>
      <c r="N3631" s="18">
        <v>27.43</v>
      </c>
      <c r="O3631" s="26">
        <v>49118</v>
      </c>
      <c r="P3631" s="2" t="s">
        <v>2105</v>
      </c>
      <c r="Q3631" s="2" t="s">
        <v>806</v>
      </c>
    </row>
    <row r="3632" spans="2:17" x14ac:dyDescent="0.25">
      <c r="B3632" s="2" t="s">
        <v>4437</v>
      </c>
      <c r="C3632" s="2" t="s">
        <v>379</v>
      </c>
      <c r="D3632" s="2" t="s">
        <v>380</v>
      </c>
      <c r="E3632" s="2" t="s">
        <v>377</v>
      </c>
      <c r="F3632" s="2" t="s">
        <v>535</v>
      </c>
      <c r="G3632" s="2" t="s">
        <v>515</v>
      </c>
      <c r="H3632" s="2" t="s">
        <v>516</v>
      </c>
      <c r="I3632" s="26">
        <v>45527</v>
      </c>
      <c r="J3632" s="2">
        <v>22</v>
      </c>
      <c r="K3632" s="2" t="s">
        <v>378</v>
      </c>
      <c r="L3632" s="22">
        <v>1350</v>
      </c>
      <c r="M3632" s="22">
        <v>29700</v>
      </c>
      <c r="N3632" s="18">
        <v>31.76</v>
      </c>
      <c r="O3632" s="26">
        <v>49177</v>
      </c>
      <c r="P3632" s="2" t="s">
        <v>2105</v>
      </c>
      <c r="Q3632" s="2" t="s">
        <v>806</v>
      </c>
    </row>
    <row r="3633" spans="2:17" x14ac:dyDescent="0.25">
      <c r="B3633" s="2" t="s">
        <v>4438</v>
      </c>
      <c r="C3633" s="2" t="s">
        <v>379</v>
      </c>
      <c r="D3633" s="2" t="s">
        <v>380</v>
      </c>
      <c r="E3633" s="2" t="s">
        <v>377</v>
      </c>
      <c r="F3633" s="2" t="s">
        <v>535</v>
      </c>
      <c r="G3633" s="2" t="s">
        <v>515</v>
      </c>
      <c r="H3633" s="2" t="s">
        <v>516</v>
      </c>
      <c r="I3633" s="26">
        <v>45573</v>
      </c>
      <c r="J3633" s="2">
        <v>21</v>
      </c>
      <c r="K3633" s="2" t="s">
        <v>378</v>
      </c>
      <c r="L3633" s="22">
        <v>1350</v>
      </c>
      <c r="M3633" s="22">
        <v>28350</v>
      </c>
      <c r="N3633" s="18">
        <v>30.32</v>
      </c>
      <c r="O3633" s="26">
        <v>49223</v>
      </c>
      <c r="P3633" s="2" t="s">
        <v>2105</v>
      </c>
      <c r="Q3633" s="2" t="s">
        <v>814</v>
      </c>
    </row>
    <row r="3634" spans="2:17" x14ac:dyDescent="0.25">
      <c r="B3634" s="2" t="s">
        <v>4439</v>
      </c>
      <c r="C3634" s="2" t="s">
        <v>379</v>
      </c>
      <c r="D3634" s="2" t="s">
        <v>380</v>
      </c>
      <c r="E3634" s="2" t="s">
        <v>377</v>
      </c>
      <c r="F3634" s="2" t="s">
        <v>535</v>
      </c>
      <c r="G3634" s="2" t="s">
        <v>515</v>
      </c>
      <c r="H3634" s="2" t="s">
        <v>516</v>
      </c>
      <c r="I3634" s="26">
        <v>45630</v>
      </c>
      <c r="J3634" s="2">
        <v>23</v>
      </c>
      <c r="K3634" s="2" t="s">
        <v>378</v>
      </c>
      <c r="L3634" s="22">
        <v>1350</v>
      </c>
      <c r="M3634" s="22">
        <v>31050</v>
      </c>
      <c r="N3634" s="18">
        <v>33.21</v>
      </c>
      <c r="O3634" s="26">
        <v>49280</v>
      </c>
      <c r="P3634" s="2" t="s">
        <v>2105</v>
      </c>
      <c r="Q3634" s="2" t="s">
        <v>825</v>
      </c>
    </row>
    <row r="3635" spans="2:17" x14ac:dyDescent="0.25">
      <c r="B3635" s="2" t="s">
        <v>4440</v>
      </c>
      <c r="C3635" s="2" t="s">
        <v>379</v>
      </c>
      <c r="D3635" s="2" t="s">
        <v>380</v>
      </c>
      <c r="E3635" s="2" t="s">
        <v>377</v>
      </c>
      <c r="F3635" s="2" t="s">
        <v>535</v>
      </c>
      <c r="G3635" s="2" t="s">
        <v>515</v>
      </c>
      <c r="H3635" s="2" t="s">
        <v>516</v>
      </c>
      <c r="I3635" s="26">
        <v>45705</v>
      </c>
      <c r="J3635" s="2">
        <v>21</v>
      </c>
      <c r="K3635" s="2" t="s">
        <v>378</v>
      </c>
      <c r="L3635" s="22">
        <v>1350</v>
      </c>
      <c r="M3635" s="22">
        <v>28350</v>
      </c>
      <c r="N3635" s="18">
        <v>30.32</v>
      </c>
      <c r="O3635" s="26">
        <v>49355</v>
      </c>
      <c r="P3635" s="2" t="s">
        <v>2105</v>
      </c>
      <c r="Q3635" s="2" t="s">
        <v>825</v>
      </c>
    </row>
    <row r="3636" spans="2:17" x14ac:dyDescent="0.25">
      <c r="B3636" s="2" t="s">
        <v>4441</v>
      </c>
      <c r="C3636" s="2" t="s">
        <v>379</v>
      </c>
      <c r="D3636" s="2" t="s">
        <v>380</v>
      </c>
      <c r="E3636" s="2" t="s">
        <v>377</v>
      </c>
      <c r="F3636" s="2" t="s">
        <v>537</v>
      </c>
      <c r="G3636" s="2" t="s">
        <v>520</v>
      </c>
      <c r="H3636" s="2" t="s">
        <v>521</v>
      </c>
      <c r="I3636" s="26">
        <v>45776</v>
      </c>
      <c r="J3636" s="2">
        <v>20</v>
      </c>
      <c r="K3636" s="2" t="s">
        <v>378</v>
      </c>
      <c r="L3636" s="22">
        <v>1400</v>
      </c>
      <c r="M3636" s="22">
        <v>28000</v>
      </c>
      <c r="N3636" s="18">
        <v>29.95</v>
      </c>
      <c r="O3636" s="26">
        <v>49426</v>
      </c>
      <c r="P3636" s="2" t="s">
        <v>2105</v>
      </c>
      <c r="Q3636" s="2" t="s">
        <v>836</v>
      </c>
    </row>
    <row r="3637" spans="2:17" x14ac:dyDescent="0.25">
      <c r="B3637" s="2" t="s">
        <v>4442</v>
      </c>
      <c r="C3637" s="2" t="s">
        <v>379</v>
      </c>
      <c r="D3637" s="2" t="s">
        <v>380</v>
      </c>
      <c r="E3637" s="2" t="s">
        <v>377</v>
      </c>
      <c r="F3637" s="2" t="s">
        <v>537</v>
      </c>
      <c r="G3637" s="2" t="s">
        <v>520</v>
      </c>
      <c r="H3637" s="2" t="s">
        <v>521</v>
      </c>
      <c r="I3637" s="26">
        <v>45829</v>
      </c>
      <c r="J3637" s="2">
        <v>20</v>
      </c>
      <c r="K3637" s="2" t="s">
        <v>378</v>
      </c>
      <c r="L3637" s="22">
        <v>1400</v>
      </c>
      <c r="M3637" s="22">
        <v>28000</v>
      </c>
      <c r="N3637" s="18">
        <v>29.95</v>
      </c>
      <c r="O3637" s="26">
        <v>49479</v>
      </c>
      <c r="P3637" s="2" t="s">
        <v>2105</v>
      </c>
      <c r="Q3637" s="2" t="s">
        <v>806</v>
      </c>
    </row>
    <row r="3638" spans="2:17" x14ac:dyDescent="0.25">
      <c r="B3638" s="2" t="s">
        <v>4443</v>
      </c>
      <c r="C3638" s="2" t="s">
        <v>381</v>
      </c>
      <c r="D3638" s="2" t="s">
        <v>382</v>
      </c>
      <c r="E3638" s="2" t="s">
        <v>377</v>
      </c>
      <c r="F3638" s="2" t="s">
        <v>535</v>
      </c>
      <c r="G3638" s="2" t="s">
        <v>515</v>
      </c>
      <c r="H3638" s="2" t="s">
        <v>516</v>
      </c>
      <c r="I3638" s="26">
        <v>45121</v>
      </c>
      <c r="J3638" s="2">
        <v>19</v>
      </c>
      <c r="K3638" s="2" t="s">
        <v>378</v>
      </c>
      <c r="L3638" s="22">
        <v>1650</v>
      </c>
      <c r="M3638" s="22">
        <v>31350</v>
      </c>
      <c r="N3638" s="18">
        <v>33.53</v>
      </c>
      <c r="O3638" s="26">
        <v>48771</v>
      </c>
      <c r="P3638" s="2" t="s">
        <v>2105</v>
      </c>
      <c r="Q3638" s="2" t="s">
        <v>806</v>
      </c>
    </row>
    <row r="3639" spans="2:17" x14ac:dyDescent="0.25">
      <c r="B3639" s="2" t="s">
        <v>4444</v>
      </c>
      <c r="C3639" s="2" t="s">
        <v>381</v>
      </c>
      <c r="D3639" s="2" t="s">
        <v>382</v>
      </c>
      <c r="E3639" s="2" t="s">
        <v>377</v>
      </c>
      <c r="F3639" s="2" t="s">
        <v>535</v>
      </c>
      <c r="G3639" s="2" t="s">
        <v>515</v>
      </c>
      <c r="H3639" s="2" t="s">
        <v>516</v>
      </c>
      <c r="I3639" s="26">
        <v>45175</v>
      </c>
      <c r="J3639" s="2">
        <v>27</v>
      </c>
      <c r="K3639" s="2" t="s">
        <v>378</v>
      </c>
      <c r="L3639" s="22">
        <v>1650</v>
      </c>
      <c r="M3639" s="22">
        <v>44550</v>
      </c>
      <c r="N3639" s="18">
        <v>47.65</v>
      </c>
      <c r="O3639" s="26">
        <v>48825</v>
      </c>
      <c r="P3639" s="2" t="s">
        <v>2105</v>
      </c>
      <c r="Q3639" s="2" t="s">
        <v>814</v>
      </c>
    </row>
    <row r="3640" spans="2:17" x14ac:dyDescent="0.25">
      <c r="B3640" s="2" t="s">
        <v>4445</v>
      </c>
      <c r="C3640" s="2" t="s">
        <v>381</v>
      </c>
      <c r="D3640" s="2" t="s">
        <v>382</v>
      </c>
      <c r="E3640" s="2" t="s">
        <v>377</v>
      </c>
      <c r="F3640" s="2" t="s">
        <v>537</v>
      </c>
      <c r="G3640" s="2" t="s">
        <v>520</v>
      </c>
      <c r="H3640" s="2" t="s">
        <v>521</v>
      </c>
      <c r="I3640" s="26">
        <v>45247</v>
      </c>
      <c r="J3640" s="2">
        <v>19</v>
      </c>
      <c r="K3640" s="2" t="s">
        <v>378</v>
      </c>
      <c r="L3640" s="22">
        <v>1800</v>
      </c>
      <c r="M3640" s="22">
        <v>34200</v>
      </c>
      <c r="N3640" s="18">
        <v>36.58</v>
      </c>
      <c r="O3640" s="26">
        <v>48897</v>
      </c>
      <c r="P3640" s="2" t="s">
        <v>2105</v>
      </c>
      <c r="Q3640" s="2" t="s">
        <v>814</v>
      </c>
    </row>
    <row r="3641" spans="2:17" x14ac:dyDescent="0.25">
      <c r="B3641" s="2" t="s">
        <v>4446</v>
      </c>
      <c r="C3641" s="2" t="s">
        <v>381</v>
      </c>
      <c r="D3641" s="2" t="s">
        <v>382</v>
      </c>
      <c r="E3641" s="2" t="s">
        <v>377</v>
      </c>
      <c r="F3641" s="2" t="s">
        <v>535</v>
      </c>
      <c r="G3641" s="2" t="s">
        <v>515</v>
      </c>
      <c r="H3641" s="2" t="s">
        <v>516</v>
      </c>
      <c r="I3641" s="26">
        <v>45283</v>
      </c>
      <c r="J3641" s="2">
        <v>24</v>
      </c>
      <c r="K3641" s="2" t="s">
        <v>378</v>
      </c>
      <c r="L3641" s="22">
        <v>1650</v>
      </c>
      <c r="M3641" s="22">
        <v>39600</v>
      </c>
      <c r="N3641" s="18">
        <v>42.35</v>
      </c>
      <c r="O3641" s="26">
        <v>48933</v>
      </c>
      <c r="P3641" s="2" t="s">
        <v>2105</v>
      </c>
      <c r="Q3641" s="2" t="s">
        <v>825</v>
      </c>
    </row>
    <row r="3642" spans="2:17" x14ac:dyDescent="0.25">
      <c r="B3642" s="2" t="s">
        <v>4447</v>
      </c>
      <c r="C3642" s="2" t="s">
        <v>381</v>
      </c>
      <c r="D3642" s="2" t="s">
        <v>382</v>
      </c>
      <c r="E3642" s="2" t="s">
        <v>377</v>
      </c>
      <c r="F3642" s="2" t="s">
        <v>535</v>
      </c>
      <c r="G3642" s="2" t="s">
        <v>515</v>
      </c>
      <c r="H3642" s="2" t="s">
        <v>516</v>
      </c>
      <c r="I3642" s="26">
        <v>45346</v>
      </c>
      <c r="J3642" s="2">
        <v>22</v>
      </c>
      <c r="K3642" s="2" t="s">
        <v>378</v>
      </c>
      <c r="L3642" s="22">
        <v>1650</v>
      </c>
      <c r="M3642" s="22">
        <v>36300</v>
      </c>
      <c r="N3642" s="18">
        <v>38.82</v>
      </c>
      <c r="O3642" s="26">
        <v>48996</v>
      </c>
      <c r="P3642" s="2" t="s">
        <v>2105</v>
      </c>
      <c r="Q3642" s="2" t="s">
        <v>825</v>
      </c>
    </row>
    <row r="3643" spans="2:17" x14ac:dyDescent="0.25">
      <c r="B3643" s="2" t="s">
        <v>4448</v>
      </c>
      <c r="C3643" s="2" t="s">
        <v>381</v>
      </c>
      <c r="D3643" s="2" t="s">
        <v>382</v>
      </c>
      <c r="E3643" s="2" t="s">
        <v>377</v>
      </c>
      <c r="F3643" s="2" t="s">
        <v>535</v>
      </c>
      <c r="G3643" s="2" t="s">
        <v>515</v>
      </c>
      <c r="H3643" s="2" t="s">
        <v>516</v>
      </c>
      <c r="I3643" s="26">
        <v>45416</v>
      </c>
      <c r="J3643" s="2">
        <v>23</v>
      </c>
      <c r="K3643" s="2" t="s">
        <v>378</v>
      </c>
      <c r="L3643" s="22">
        <v>1650</v>
      </c>
      <c r="M3643" s="22">
        <v>37950</v>
      </c>
      <c r="N3643" s="18">
        <v>40.590000000000003</v>
      </c>
      <c r="O3643" s="26">
        <v>49066</v>
      </c>
      <c r="P3643" s="2" t="s">
        <v>2105</v>
      </c>
      <c r="Q3643" s="2" t="s">
        <v>836</v>
      </c>
    </row>
    <row r="3644" spans="2:17" x14ac:dyDescent="0.25">
      <c r="B3644" s="2" t="s">
        <v>4449</v>
      </c>
      <c r="C3644" s="2" t="s">
        <v>381</v>
      </c>
      <c r="D3644" s="2" t="s">
        <v>382</v>
      </c>
      <c r="E3644" s="2" t="s">
        <v>377</v>
      </c>
      <c r="F3644" s="2" t="s">
        <v>535</v>
      </c>
      <c r="G3644" s="2" t="s">
        <v>515</v>
      </c>
      <c r="H3644" s="2" t="s">
        <v>516</v>
      </c>
      <c r="I3644" s="26">
        <v>45479</v>
      </c>
      <c r="J3644" s="2">
        <v>21</v>
      </c>
      <c r="K3644" s="2" t="s">
        <v>378</v>
      </c>
      <c r="L3644" s="22">
        <v>1650</v>
      </c>
      <c r="M3644" s="22">
        <v>34650</v>
      </c>
      <c r="N3644" s="18">
        <v>37.06</v>
      </c>
      <c r="O3644" s="26">
        <v>49129</v>
      </c>
      <c r="P3644" s="2" t="s">
        <v>2105</v>
      </c>
      <c r="Q3644" s="2" t="s">
        <v>806</v>
      </c>
    </row>
    <row r="3645" spans="2:17" x14ac:dyDescent="0.25">
      <c r="B3645" s="2" t="s">
        <v>4450</v>
      </c>
      <c r="C3645" s="2" t="s">
        <v>381</v>
      </c>
      <c r="D3645" s="2" t="s">
        <v>382</v>
      </c>
      <c r="E3645" s="2" t="s">
        <v>377</v>
      </c>
      <c r="F3645" s="2" t="s">
        <v>537</v>
      </c>
      <c r="G3645" s="2" t="s">
        <v>520</v>
      </c>
      <c r="H3645" s="2" t="s">
        <v>521</v>
      </c>
      <c r="I3645" s="26">
        <v>45545</v>
      </c>
      <c r="J3645" s="2">
        <v>23</v>
      </c>
      <c r="K3645" s="2" t="s">
        <v>378</v>
      </c>
      <c r="L3645" s="22">
        <v>1800</v>
      </c>
      <c r="M3645" s="22">
        <v>41400</v>
      </c>
      <c r="N3645" s="18">
        <v>44.28</v>
      </c>
      <c r="O3645" s="26">
        <v>49195</v>
      </c>
      <c r="P3645" s="2" t="s">
        <v>2105</v>
      </c>
      <c r="Q3645" s="2" t="s">
        <v>814</v>
      </c>
    </row>
    <row r="3646" spans="2:17" x14ac:dyDescent="0.25">
      <c r="B3646" s="2" t="s">
        <v>4451</v>
      </c>
      <c r="C3646" s="2" t="s">
        <v>381</v>
      </c>
      <c r="D3646" s="2" t="s">
        <v>382</v>
      </c>
      <c r="E3646" s="2" t="s">
        <v>377</v>
      </c>
      <c r="F3646" s="2" t="s">
        <v>535</v>
      </c>
      <c r="G3646" s="2" t="s">
        <v>515</v>
      </c>
      <c r="H3646" s="2" t="s">
        <v>516</v>
      </c>
      <c r="I3646" s="26">
        <v>45613</v>
      </c>
      <c r="J3646" s="2">
        <v>20</v>
      </c>
      <c r="K3646" s="2" t="s">
        <v>378</v>
      </c>
      <c r="L3646" s="22">
        <v>1650</v>
      </c>
      <c r="M3646" s="22">
        <v>33000</v>
      </c>
      <c r="N3646" s="18">
        <v>35.29</v>
      </c>
      <c r="O3646" s="26">
        <v>49263</v>
      </c>
      <c r="P3646" s="2" t="s">
        <v>2105</v>
      </c>
      <c r="Q3646" s="2" t="s">
        <v>814</v>
      </c>
    </row>
    <row r="3647" spans="2:17" x14ac:dyDescent="0.25">
      <c r="B3647" s="2" t="s">
        <v>4452</v>
      </c>
      <c r="C3647" s="2" t="s">
        <v>381</v>
      </c>
      <c r="D3647" s="2" t="s">
        <v>382</v>
      </c>
      <c r="E3647" s="2" t="s">
        <v>377</v>
      </c>
      <c r="F3647" s="2" t="s">
        <v>537</v>
      </c>
      <c r="G3647" s="2" t="s">
        <v>520</v>
      </c>
      <c r="H3647" s="2" t="s">
        <v>521</v>
      </c>
      <c r="I3647" s="26">
        <v>45676</v>
      </c>
      <c r="J3647" s="2">
        <v>24</v>
      </c>
      <c r="K3647" s="2" t="s">
        <v>378</v>
      </c>
      <c r="L3647" s="22">
        <v>1800</v>
      </c>
      <c r="M3647" s="22">
        <v>43200</v>
      </c>
      <c r="N3647" s="18">
        <v>46.2</v>
      </c>
      <c r="O3647" s="26">
        <v>49326</v>
      </c>
      <c r="P3647" s="2" t="s">
        <v>2105</v>
      </c>
      <c r="Q3647" s="2" t="s">
        <v>825</v>
      </c>
    </row>
    <row r="3648" spans="2:17" x14ac:dyDescent="0.25">
      <c r="B3648" s="2" t="s">
        <v>4453</v>
      </c>
      <c r="C3648" s="2" t="s">
        <v>381</v>
      </c>
      <c r="D3648" s="2" t="s">
        <v>382</v>
      </c>
      <c r="E3648" s="2" t="s">
        <v>377</v>
      </c>
      <c r="F3648" s="2" t="s">
        <v>535</v>
      </c>
      <c r="G3648" s="2" t="s">
        <v>515</v>
      </c>
      <c r="H3648" s="2" t="s">
        <v>516</v>
      </c>
      <c r="I3648" s="26">
        <v>45731</v>
      </c>
      <c r="J3648" s="2">
        <v>20</v>
      </c>
      <c r="K3648" s="2" t="s">
        <v>378</v>
      </c>
      <c r="L3648" s="22">
        <v>1650</v>
      </c>
      <c r="M3648" s="22">
        <v>33000</v>
      </c>
      <c r="N3648" s="18">
        <v>35.29</v>
      </c>
      <c r="O3648" s="26">
        <v>49381</v>
      </c>
      <c r="P3648" s="2" t="s">
        <v>2105</v>
      </c>
      <c r="Q3648" s="2" t="s">
        <v>836</v>
      </c>
    </row>
    <row r="3649" spans="2:17" x14ac:dyDescent="0.25">
      <c r="B3649" s="2" t="s">
        <v>4454</v>
      </c>
      <c r="C3649" s="2" t="s">
        <v>381</v>
      </c>
      <c r="D3649" s="2" t="s">
        <v>382</v>
      </c>
      <c r="E3649" s="2" t="s">
        <v>377</v>
      </c>
      <c r="F3649" s="2" t="s">
        <v>535</v>
      </c>
      <c r="G3649" s="2" t="s">
        <v>515</v>
      </c>
      <c r="H3649" s="2" t="s">
        <v>516</v>
      </c>
      <c r="I3649" s="26">
        <v>45792</v>
      </c>
      <c r="J3649" s="2">
        <v>24</v>
      </c>
      <c r="K3649" s="2" t="s">
        <v>378</v>
      </c>
      <c r="L3649" s="22">
        <v>1650</v>
      </c>
      <c r="M3649" s="22">
        <v>39600</v>
      </c>
      <c r="N3649" s="18">
        <v>42.35</v>
      </c>
      <c r="O3649" s="26">
        <v>49442</v>
      </c>
      <c r="P3649" s="2" t="s">
        <v>2105</v>
      </c>
      <c r="Q3649" s="2" t="s">
        <v>836</v>
      </c>
    </row>
    <row r="3650" spans="2:17" x14ac:dyDescent="0.25">
      <c r="B3650" s="2" t="s">
        <v>4455</v>
      </c>
      <c r="C3650" s="2" t="s">
        <v>383</v>
      </c>
      <c r="D3650" s="2" t="s">
        <v>384</v>
      </c>
      <c r="E3650" s="2" t="s">
        <v>377</v>
      </c>
      <c r="F3650" s="2" t="s">
        <v>535</v>
      </c>
      <c r="G3650" s="2" t="s">
        <v>515</v>
      </c>
      <c r="H3650" s="2" t="s">
        <v>516</v>
      </c>
      <c r="I3650" s="26">
        <v>45163</v>
      </c>
      <c r="J3650" s="2">
        <v>20</v>
      </c>
      <c r="K3650" s="2" t="s">
        <v>378</v>
      </c>
      <c r="L3650" s="22">
        <v>2050</v>
      </c>
      <c r="M3650" s="22">
        <v>41000</v>
      </c>
      <c r="N3650" s="18">
        <v>43.85</v>
      </c>
      <c r="O3650" s="26">
        <v>48813</v>
      </c>
      <c r="P3650" s="2" t="s">
        <v>2105</v>
      </c>
      <c r="Q3650" s="2" t="s">
        <v>806</v>
      </c>
    </row>
    <row r="3651" spans="2:17" x14ac:dyDescent="0.25">
      <c r="B3651" s="2" t="s">
        <v>4456</v>
      </c>
      <c r="C3651" s="2" t="s">
        <v>383</v>
      </c>
      <c r="D3651" s="2" t="s">
        <v>384</v>
      </c>
      <c r="E3651" s="2" t="s">
        <v>377</v>
      </c>
      <c r="F3651" s="2" t="s">
        <v>535</v>
      </c>
      <c r="G3651" s="2" t="s">
        <v>515</v>
      </c>
      <c r="H3651" s="2" t="s">
        <v>516</v>
      </c>
      <c r="I3651" s="26">
        <v>45202</v>
      </c>
      <c r="J3651" s="2">
        <v>22</v>
      </c>
      <c r="K3651" s="2" t="s">
        <v>378</v>
      </c>
      <c r="L3651" s="22">
        <v>2050</v>
      </c>
      <c r="M3651" s="22">
        <v>45100</v>
      </c>
      <c r="N3651" s="18">
        <v>48.24</v>
      </c>
      <c r="O3651" s="26">
        <v>48852</v>
      </c>
      <c r="P3651" s="2" t="s">
        <v>2105</v>
      </c>
      <c r="Q3651" s="2" t="s">
        <v>814</v>
      </c>
    </row>
    <row r="3652" spans="2:17" x14ac:dyDescent="0.25">
      <c r="B3652" s="2" t="s">
        <v>4457</v>
      </c>
      <c r="C3652" s="2" t="s">
        <v>383</v>
      </c>
      <c r="D3652" s="2" t="s">
        <v>384</v>
      </c>
      <c r="E3652" s="2" t="s">
        <v>377</v>
      </c>
      <c r="F3652" s="2" t="s">
        <v>535</v>
      </c>
      <c r="G3652" s="2" t="s">
        <v>515</v>
      </c>
      <c r="H3652" s="2" t="s">
        <v>516</v>
      </c>
      <c r="I3652" s="26">
        <v>45267</v>
      </c>
      <c r="J3652" s="2">
        <v>23</v>
      </c>
      <c r="K3652" s="2" t="s">
        <v>378</v>
      </c>
      <c r="L3652" s="22">
        <v>2050</v>
      </c>
      <c r="M3652" s="22">
        <v>47150</v>
      </c>
      <c r="N3652" s="18">
        <v>50.43</v>
      </c>
      <c r="O3652" s="26">
        <v>48917</v>
      </c>
      <c r="P3652" s="2" t="s">
        <v>2105</v>
      </c>
      <c r="Q3652" s="2" t="s">
        <v>825</v>
      </c>
    </row>
    <row r="3653" spans="2:17" x14ac:dyDescent="0.25">
      <c r="B3653" s="2" t="s">
        <v>4458</v>
      </c>
      <c r="C3653" s="2" t="s">
        <v>383</v>
      </c>
      <c r="D3653" s="2" t="s">
        <v>384</v>
      </c>
      <c r="E3653" s="2" t="s">
        <v>377</v>
      </c>
      <c r="F3653" s="2" t="s">
        <v>535</v>
      </c>
      <c r="G3653" s="2" t="s">
        <v>515</v>
      </c>
      <c r="H3653" s="2" t="s">
        <v>516</v>
      </c>
      <c r="I3653" s="26">
        <v>45319</v>
      </c>
      <c r="J3653" s="2">
        <v>19</v>
      </c>
      <c r="K3653" s="2" t="s">
        <v>378</v>
      </c>
      <c r="L3653" s="22">
        <v>2050</v>
      </c>
      <c r="M3653" s="22">
        <v>38950</v>
      </c>
      <c r="N3653" s="18">
        <v>41.66</v>
      </c>
      <c r="O3653" s="26">
        <v>48969</v>
      </c>
      <c r="P3653" s="2" t="s">
        <v>2105</v>
      </c>
      <c r="Q3653" s="2" t="s">
        <v>825</v>
      </c>
    </row>
    <row r="3654" spans="2:17" x14ac:dyDescent="0.25">
      <c r="B3654" s="2" t="s">
        <v>4459</v>
      </c>
      <c r="C3654" s="2" t="s">
        <v>383</v>
      </c>
      <c r="D3654" s="2" t="s">
        <v>384</v>
      </c>
      <c r="E3654" s="2" t="s">
        <v>377</v>
      </c>
      <c r="F3654" s="2" t="s">
        <v>535</v>
      </c>
      <c r="G3654" s="2" t="s">
        <v>515</v>
      </c>
      <c r="H3654" s="2" t="s">
        <v>516</v>
      </c>
      <c r="I3654" s="26">
        <v>45374</v>
      </c>
      <c r="J3654" s="2">
        <v>23</v>
      </c>
      <c r="K3654" s="2" t="s">
        <v>378</v>
      </c>
      <c r="L3654" s="22">
        <v>2050</v>
      </c>
      <c r="M3654" s="22">
        <v>47150</v>
      </c>
      <c r="N3654" s="18">
        <v>50.43</v>
      </c>
      <c r="O3654" s="26">
        <v>49024</v>
      </c>
      <c r="P3654" s="2" t="s">
        <v>2105</v>
      </c>
      <c r="Q3654" s="2" t="s">
        <v>836</v>
      </c>
    </row>
    <row r="3655" spans="2:17" x14ac:dyDescent="0.25">
      <c r="B3655" s="2" t="s">
        <v>4460</v>
      </c>
      <c r="C3655" s="2" t="s">
        <v>383</v>
      </c>
      <c r="D3655" s="2" t="s">
        <v>384</v>
      </c>
      <c r="E3655" s="2" t="s">
        <v>377</v>
      </c>
      <c r="F3655" s="2" t="s">
        <v>535</v>
      </c>
      <c r="G3655" s="2" t="s">
        <v>515</v>
      </c>
      <c r="H3655" s="2" t="s">
        <v>516</v>
      </c>
      <c r="I3655" s="26">
        <v>45425</v>
      </c>
      <c r="J3655" s="2">
        <v>20</v>
      </c>
      <c r="K3655" s="2" t="s">
        <v>378</v>
      </c>
      <c r="L3655" s="22">
        <v>2050</v>
      </c>
      <c r="M3655" s="22">
        <v>41000</v>
      </c>
      <c r="N3655" s="18">
        <v>43.85</v>
      </c>
      <c r="O3655" s="26">
        <v>49075</v>
      </c>
      <c r="P3655" s="2" t="s">
        <v>2105</v>
      </c>
      <c r="Q3655" s="2" t="s">
        <v>836</v>
      </c>
    </row>
    <row r="3656" spans="2:17" x14ac:dyDescent="0.25">
      <c r="B3656" s="2" t="s">
        <v>4461</v>
      </c>
      <c r="C3656" s="2" t="s">
        <v>383</v>
      </c>
      <c r="D3656" s="2" t="s">
        <v>384</v>
      </c>
      <c r="E3656" s="2" t="s">
        <v>377</v>
      </c>
      <c r="F3656" s="2" t="s">
        <v>535</v>
      </c>
      <c r="G3656" s="2" t="s">
        <v>515</v>
      </c>
      <c r="H3656" s="2" t="s">
        <v>516</v>
      </c>
      <c r="I3656" s="26">
        <v>45484</v>
      </c>
      <c r="J3656" s="2">
        <v>18</v>
      </c>
      <c r="K3656" s="2" t="s">
        <v>378</v>
      </c>
      <c r="L3656" s="22">
        <v>2050</v>
      </c>
      <c r="M3656" s="22">
        <v>36900</v>
      </c>
      <c r="N3656" s="18">
        <v>39.47</v>
      </c>
      <c r="O3656" s="26">
        <v>49134</v>
      </c>
      <c r="P3656" s="2" t="s">
        <v>2105</v>
      </c>
      <c r="Q3656" s="2" t="s">
        <v>806</v>
      </c>
    </row>
    <row r="3657" spans="2:17" x14ac:dyDescent="0.25">
      <c r="B3657" s="2" t="s">
        <v>4462</v>
      </c>
      <c r="C3657" s="2" t="s">
        <v>383</v>
      </c>
      <c r="D3657" s="2" t="s">
        <v>384</v>
      </c>
      <c r="E3657" s="2" t="s">
        <v>377</v>
      </c>
      <c r="F3657" s="2" t="s">
        <v>535</v>
      </c>
      <c r="G3657" s="2" t="s">
        <v>515</v>
      </c>
      <c r="H3657" s="2" t="s">
        <v>516</v>
      </c>
      <c r="I3657" s="26">
        <v>45551</v>
      </c>
      <c r="J3657" s="2">
        <v>28</v>
      </c>
      <c r="K3657" s="2" t="s">
        <v>378</v>
      </c>
      <c r="L3657" s="22">
        <v>2050</v>
      </c>
      <c r="M3657" s="22">
        <v>57400</v>
      </c>
      <c r="N3657" s="18">
        <v>61.39</v>
      </c>
      <c r="O3657" s="26">
        <v>49201</v>
      </c>
      <c r="P3657" s="2" t="s">
        <v>2105</v>
      </c>
      <c r="Q3657" s="2" t="s">
        <v>814</v>
      </c>
    </row>
    <row r="3658" spans="2:17" x14ac:dyDescent="0.25">
      <c r="B3658" s="2" t="s">
        <v>4463</v>
      </c>
      <c r="C3658" s="2" t="s">
        <v>383</v>
      </c>
      <c r="D3658" s="2" t="s">
        <v>384</v>
      </c>
      <c r="E3658" s="2" t="s">
        <v>377</v>
      </c>
      <c r="F3658" s="2" t="s">
        <v>535</v>
      </c>
      <c r="G3658" s="2" t="s">
        <v>515</v>
      </c>
      <c r="H3658" s="2" t="s">
        <v>516</v>
      </c>
      <c r="I3658" s="26">
        <v>45615</v>
      </c>
      <c r="J3658" s="2">
        <v>18</v>
      </c>
      <c r="K3658" s="2" t="s">
        <v>378</v>
      </c>
      <c r="L3658" s="22">
        <v>2050</v>
      </c>
      <c r="M3658" s="22">
        <v>36900</v>
      </c>
      <c r="N3658" s="18">
        <v>39.47</v>
      </c>
      <c r="O3658" s="26">
        <v>49265</v>
      </c>
      <c r="P3658" s="2" t="s">
        <v>2105</v>
      </c>
      <c r="Q3658" s="2" t="s">
        <v>814</v>
      </c>
    </row>
    <row r="3659" spans="2:17" x14ac:dyDescent="0.25">
      <c r="B3659" s="2" t="s">
        <v>4464</v>
      </c>
      <c r="C3659" s="2" t="s">
        <v>383</v>
      </c>
      <c r="D3659" s="2" t="s">
        <v>384</v>
      </c>
      <c r="E3659" s="2" t="s">
        <v>377</v>
      </c>
      <c r="F3659" s="2" t="s">
        <v>535</v>
      </c>
      <c r="G3659" s="2" t="s">
        <v>515</v>
      </c>
      <c r="H3659" s="2" t="s">
        <v>516</v>
      </c>
      <c r="I3659" s="26">
        <v>45678</v>
      </c>
      <c r="J3659" s="2">
        <v>19</v>
      </c>
      <c r="K3659" s="2" t="s">
        <v>378</v>
      </c>
      <c r="L3659" s="22">
        <v>2050</v>
      </c>
      <c r="M3659" s="22">
        <v>38950</v>
      </c>
      <c r="N3659" s="18">
        <v>41.66</v>
      </c>
      <c r="O3659" s="26">
        <v>49328</v>
      </c>
      <c r="P3659" s="2" t="s">
        <v>2105</v>
      </c>
      <c r="Q3659" s="2" t="s">
        <v>825</v>
      </c>
    </row>
    <row r="3660" spans="2:17" x14ac:dyDescent="0.25">
      <c r="B3660" s="2" t="s">
        <v>4465</v>
      </c>
      <c r="C3660" s="2" t="s">
        <v>383</v>
      </c>
      <c r="D3660" s="2" t="s">
        <v>384</v>
      </c>
      <c r="E3660" s="2" t="s">
        <v>377</v>
      </c>
      <c r="F3660" s="2" t="s">
        <v>535</v>
      </c>
      <c r="G3660" s="2" t="s">
        <v>515</v>
      </c>
      <c r="H3660" s="2" t="s">
        <v>516</v>
      </c>
      <c r="I3660" s="26">
        <v>45735</v>
      </c>
      <c r="J3660" s="2">
        <v>23</v>
      </c>
      <c r="K3660" s="2" t="s">
        <v>378</v>
      </c>
      <c r="L3660" s="22">
        <v>2050</v>
      </c>
      <c r="M3660" s="22">
        <v>47150</v>
      </c>
      <c r="N3660" s="18">
        <v>50.43</v>
      </c>
      <c r="O3660" s="26">
        <v>49385</v>
      </c>
      <c r="P3660" s="2" t="s">
        <v>2105</v>
      </c>
      <c r="Q3660" s="2" t="s">
        <v>836</v>
      </c>
    </row>
    <row r="3661" spans="2:17" x14ac:dyDescent="0.25">
      <c r="B3661" s="2" t="s">
        <v>4466</v>
      </c>
      <c r="C3661" s="2" t="s">
        <v>383</v>
      </c>
      <c r="D3661" s="2" t="s">
        <v>384</v>
      </c>
      <c r="E3661" s="2" t="s">
        <v>377</v>
      </c>
      <c r="F3661" s="2" t="s">
        <v>535</v>
      </c>
      <c r="G3661" s="2" t="s">
        <v>515</v>
      </c>
      <c r="H3661" s="2" t="s">
        <v>516</v>
      </c>
      <c r="I3661" s="26">
        <v>45797</v>
      </c>
      <c r="J3661" s="2">
        <v>25</v>
      </c>
      <c r="K3661" s="2" t="s">
        <v>378</v>
      </c>
      <c r="L3661" s="22">
        <v>2050</v>
      </c>
      <c r="M3661" s="22">
        <v>51250</v>
      </c>
      <c r="N3661" s="18">
        <v>54.81</v>
      </c>
      <c r="O3661" s="26">
        <v>49447</v>
      </c>
      <c r="P3661" s="2" t="s">
        <v>2105</v>
      </c>
      <c r="Q3661" s="2" t="s">
        <v>836</v>
      </c>
    </row>
    <row r="3662" spans="2:17" x14ac:dyDescent="0.25">
      <c r="B3662" s="2" t="s">
        <v>4467</v>
      </c>
      <c r="C3662" s="2" t="s">
        <v>385</v>
      </c>
      <c r="D3662" s="2" t="s">
        <v>386</v>
      </c>
      <c r="E3662" s="2" t="s">
        <v>377</v>
      </c>
      <c r="F3662" s="2" t="s">
        <v>535</v>
      </c>
      <c r="G3662" s="2" t="s">
        <v>515</v>
      </c>
      <c r="H3662" s="2" t="s">
        <v>516</v>
      </c>
      <c r="I3662" s="26">
        <v>45151</v>
      </c>
      <c r="J3662" s="2">
        <v>21</v>
      </c>
      <c r="K3662" s="2" t="s">
        <v>378</v>
      </c>
      <c r="L3662" s="22">
        <v>2350</v>
      </c>
      <c r="M3662" s="22">
        <v>49350</v>
      </c>
      <c r="N3662" s="18">
        <v>52.78</v>
      </c>
      <c r="O3662" s="26">
        <v>48801</v>
      </c>
      <c r="P3662" s="2" t="s">
        <v>2105</v>
      </c>
      <c r="Q3662" s="2" t="s">
        <v>806</v>
      </c>
    </row>
    <row r="3663" spans="2:17" x14ac:dyDescent="0.25">
      <c r="B3663" s="2" t="s">
        <v>4468</v>
      </c>
      <c r="C3663" s="2" t="s">
        <v>385</v>
      </c>
      <c r="D3663" s="2" t="s">
        <v>386</v>
      </c>
      <c r="E3663" s="2" t="s">
        <v>377</v>
      </c>
      <c r="F3663" s="2" t="s">
        <v>535</v>
      </c>
      <c r="G3663" s="2" t="s">
        <v>515</v>
      </c>
      <c r="H3663" s="2" t="s">
        <v>516</v>
      </c>
      <c r="I3663" s="26">
        <v>45202</v>
      </c>
      <c r="J3663" s="2">
        <v>19</v>
      </c>
      <c r="K3663" s="2" t="s">
        <v>378</v>
      </c>
      <c r="L3663" s="22">
        <v>2350</v>
      </c>
      <c r="M3663" s="22">
        <v>44650</v>
      </c>
      <c r="N3663" s="18">
        <v>47.75</v>
      </c>
      <c r="O3663" s="26">
        <v>48852</v>
      </c>
      <c r="P3663" s="2" t="s">
        <v>2105</v>
      </c>
      <c r="Q3663" s="2" t="s">
        <v>814</v>
      </c>
    </row>
    <row r="3664" spans="2:17" x14ac:dyDescent="0.25">
      <c r="B3664" s="2" t="s">
        <v>4469</v>
      </c>
      <c r="C3664" s="2" t="s">
        <v>385</v>
      </c>
      <c r="D3664" s="2" t="s">
        <v>386</v>
      </c>
      <c r="E3664" s="2" t="s">
        <v>377</v>
      </c>
      <c r="F3664" s="2" t="s">
        <v>535</v>
      </c>
      <c r="G3664" s="2" t="s">
        <v>515</v>
      </c>
      <c r="H3664" s="2" t="s">
        <v>516</v>
      </c>
      <c r="I3664" s="26">
        <v>45246</v>
      </c>
      <c r="J3664" s="2">
        <v>18</v>
      </c>
      <c r="K3664" s="2" t="s">
        <v>378</v>
      </c>
      <c r="L3664" s="22">
        <v>2350</v>
      </c>
      <c r="M3664" s="22">
        <v>42300</v>
      </c>
      <c r="N3664" s="18">
        <v>45.24</v>
      </c>
      <c r="O3664" s="26">
        <v>48896</v>
      </c>
      <c r="P3664" s="2" t="s">
        <v>2105</v>
      </c>
      <c r="Q3664" s="2" t="s">
        <v>814</v>
      </c>
    </row>
    <row r="3665" spans="2:17" x14ac:dyDescent="0.25">
      <c r="B3665" s="2" t="s">
        <v>4470</v>
      </c>
      <c r="C3665" s="2" t="s">
        <v>385</v>
      </c>
      <c r="D3665" s="2" t="s">
        <v>386</v>
      </c>
      <c r="E3665" s="2" t="s">
        <v>377</v>
      </c>
      <c r="F3665" s="2" t="s">
        <v>535</v>
      </c>
      <c r="G3665" s="2" t="s">
        <v>515</v>
      </c>
      <c r="H3665" s="2" t="s">
        <v>516</v>
      </c>
      <c r="I3665" s="26">
        <v>45309</v>
      </c>
      <c r="J3665" s="2">
        <v>19</v>
      </c>
      <c r="K3665" s="2" t="s">
        <v>378</v>
      </c>
      <c r="L3665" s="22">
        <v>2350</v>
      </c>
      <c r="M3665" s="22">
        <v>44650</v>
      </c>
      <c r="N3665" s="18">
        <v>47.75</v>
      </c>
      <c r="O3665" s="26">
        <v>48959</v>
      </c>
      <c r="P3665" s="2" t="s">
        <v>2105</v>
      </c>
      <c r="Q3665" s="2" t="s">
        <v>825</v>
      </c>
    </row>
    <row r="3666" spans="2:17" x14ac:dyDescent="0.25">
      <c r="B3666" s="2" t="s">
        <v>4471</v>
      </c>
      <c r="C3666" s="2" t="s">
        <v>385</v>
      </c>
      <c r="D3666" s="2" t="s">
        <v>386</v>
      </c>
      <c r="E3666" s="2" t="s">
        <v>377</v>
      </c>
      <c r="F3666" s="2" t="s">
        <v>537</v>
      </c>
      <c r="G3666" s="2" t="s">
        <v>520</v>
      </c>
      <c r="H3666" s="2" t="s">
        <v>521</v>
      </c>
      <c r="I3666" s="26">
        <v>45374</v>
      </c>
      <c r="J3666" s="2">
        <v>21</v>
      </c>
      <c r="K3666" s="2" t="s">
        <v>378</v>
      </c>
      <c r="L3666" s="22">
        <v>2400</v>
      </c>
      <c r="M3666" s="22">
        <v>50400</v>
      </c>
      <c r="N3666" s="18">
        <v>53.9</v>
      </c>
      <c r="O3666" s="26">
        <v>49024</v>
      </c>
      <c r="P3666" s="2" t="s">
        <v>2105</v>
      </c>
      <c r="Q3666" s="2" t="s">
        <v>836</v>
      </c>
    </row>
    <row r="3667" spans="2:17" x14ac:dyDescent="0.25">
      <c r="B3667" s="2" t="s">
        <v>4472</v>
      </c>
      <c r="C3667" s="2" t="s">
        <v>385</v>
      </c>
      <c r="D3667" s="2" t="s">
        <v>386</v>
      </c>
      <c r="E3667" s="2" t="s">
        <v>377</v>
      </c>
      <c r="F3667" s="2" t="s">
        <v>535</v>
      </c>
      <c r="G3667" s="2" t="s">
        <v>515</v>
      </c>
      <c r="H3667" s="2" t="s">
        <v>516</v>
      </c>
      <c r="I3667" s="26">
        <v>45420</v>
      </c>
      <c r="J3667" s="2">
        <v>21</v>
      </c>
      <c r="K3667" s="2" t="s">
        <v>378</v>
      </c>
      <c r="L3667" s="22">
        <v>2350</v>
      </c>
      <c r="M3667" s="22">
        <v>49350</v>
      </c>
      <c r="N3667" s="18">
        <v>52.78</v>
      </c>
      <c r="O3667" s="26">
        <v>49070</v>
      </c>
      <c r="P3667" s="2" t="s">
        <v>2105</v>
      </c>
      <c r="Q3667" s="2" t="s">
        <v>836</v>
      </c>
    </row>
    <row r="3668" spans="2:17" x14ac:dyDescent="0.25">
      <c r="B3668" s="2" t="s">
        <v>4473</v>
      </c>
      <c r="C3668" s="2" t="s">
        <v>385</v>
      </c>
      <c r="D3668" s="2" t="s">
        <v>386</v>
      </c>
      <c r="E3668" s="2" t="s">
        <v>377</v>
      </c>
      <c r="F3668" s="2" t="s">
        <v>535</v>
      </c>
      <c r="G3668" s="2" t="s">
        <v>515</v>
      </c>
      <c r="H3668" s="2" t="s">
        <v>516</v>
      </c>
      <c r="I3668" s="26">
        <v>45465</v>
      </c>
      <c r="J3668" s="2">
        <v>19</v>
      </c>
      <c r="K3668" s="2" t="s">
        <v>378</v>
      </c>
      <c r="L3668" s="22">
        <v>2350</v>
      </c>
      <c r="M3668" s="22">
        <v>44650</v>
      </c>
      <c r="N3668" s="18">
        <v>47.75</v>
      </c>
      <c r="O3668" s="26">
        <v>49115</v>
      </c>
      <c r="P3668" s="2" t="s">
        <v>2105</v>
      </c>
      <c r="Q3668" s="2" t="s">
        <v>806</v>
      </c>
    </row>
    <row r="3669" spans="2:17" x14ac:dyDescent="0.25">
      <c r="B3669" s="2" t="s">
        <v>4474</v>
      </c>
      <c r="C3669" s="2" t="s">
        <v>385</v>
      </c>
      <c r="D3669" s="2" t="s">
        <v>386</v>
      </c>
      <c r="E3669" s="2" t="s">
        <v>377</v>
      </c>
      <c r="F3669" s="2" t="s">
        <v>535</v>
      </c>
      <c r="G3669" s="2" t="s">
        <v>515</v>
      </c>
      <c r="H3669" s="2" t="s">
        <v>516</v>
      </c>
      <c r="I3669" s="26">
        <v>45521</v>
      </c>
      <c r="J3669" s="2">
        <v>21</v>
      </c>
      <c r="K3669" s="2" t="s">
        <v>378</v>
      </c>
      <c r="L3669" s="22">
        <v>2350</v>
      </c>
      <c r="M3669" s="22">
        <v>49350</v>
      </c>
      <c r="N3669" s="18">
        <v>52.78</v>
      </c>
      <c r="O3669" s="26">
        <v>49171</v>
      </c>
      <c r="P3669" s="2" t="s">
        <v>2105</v>
      </c>
      <c r="Q3669" s="2" t="s">
        <v>806</v>
      </c>
    </row>
    <row r="3670" spans="2:17" x14ac:dyDescent="0.25">
      <c r="B3670" s="2" t="s">
        <v>4475</v>
      </c>
      <c r="C3670" s="2" t="s">
        <v>385</v>
      </c>
      <c r="D3670" s="2" t="s">
        <v>386</v>
      </c>
      <c r="E3670" s="2" t="s">
        <v>377</v>
      </c>
      <c r="F3670" s="2" t="s">
        <v>535</v>
      </c>
      <c r="G3670" s="2" t="s">
        <v>515</v>
      </c>
      <c r="H3670" s="2" t="s">
        <v>516</v>
      </c>
      <c r="I3670" s="26">
        <v>45583</v>
      </c>
      <c r="J3670" s="2">
        <v>23</v>
      </c>
      <c r="K3670" s="2" t="s">
        <v>378</v>
      </c>
      <c r="L3670" s="22">
        <v>2350</v>
      </c>
      <c r="M3670" s="22">
        <v>54050</v>
      </c>
      <c r="N3670" s="18">
        <v>57.81</v>
      </c>
      <c r="O3670" s="26">
        <v>49233</v>
      </c>
      <c r="P3670" s="2" t="s">
        <v>2105</v>
      </c>
      <c r="Q3670" s="2" t="s">
        <v>814</v>
      </c>
    </row>
    <row r="3671" spans="2:17" x14ac:dyDescent="0.25">
      <c r="B3671" s="2" t="s">
        <v>4476</v>
      </c>
      <c r="C3671" s="2" t="s">
        <v>385</v>
      </c>
      <c r="D3671" s="2" t="s">
        <v>386</v>
      </c>
      <c r="E3671" s="2" t="s">
        <v>377</v>
      </c>
      <c r="F3671" s="2" t="s">
        <v>535</v>
      </c>
      <c r="G3671" s="2" t="s">
        <v>515</v>
      </c>
      <c r="H3671" s="2" t="s">
        <v>516</v>
      </c>
      <c r="I3671" s="26">
        <v>45619</v>
      </c>
      <c r="J3671" s="2">
        <v>21</v>
      </c>
      <c r="K3671" s="2" t="s">
        <v>378</v>
      </c>
      <c r="L3671" s="22">
        <v>2350</v>
      </c>
      <c r="M3671" s="22">
        <v>49350</v>
      </c>
      <c r="N3671" s="18">
        <v>52.78</v>
      </c>
      <c r="O3671" s="26">
        <v>49269</v>
      </c>
      <c r="P3671" s="2" t="s">
        <v>2105</v>
      </c>
      <c r="Q3671" s="2" t="s">
        <v>814</v>
      </c>
    </row>
    <row r="3672" spans="2:17" x14ac:dyDescent="0.25">
      <c r="B3672" s="2" t="s">
        <v>4477</v>
      </c>
      <c r="C3672" s="2" t="s">
        <v>385</v>
      </c>
      <c r="D3672" s="2" t="s">
        <v>386</v>
      </c>
      <c r="E3672" s="2" t="s">
        <v>377</v>
      </c>
      <c r="F3672" s="2" t="s">
        <v>535</v>
      </c>
      <c r="G3672" s="2" t="s">
        <v>515</v>
      </c>
      <c r="H3672" s="2" t="s">
        <v>516</v>
      </c>
      <c r="I3672" s="26">
        <v>45663</v>
      </c>
      <c r="J3672" s="2">
        <v>21</v>
      </c>
      <c r="K3672" s="2" t="s">
        <v>378</v>
      </c>
      <c r="L3672" s="22">
        <v>2350</v>
      </c>
      <c r="M3672" s="22">
        <v>49350</v>
      </c>
      <c r="N3672" s="18">
        <v>52.78</v>
      </c>
      <c r="O3672" s="26">
        <v>49313</v>
      </c>
      <c r="P3672" s="2" t="s">
        <v>2105</v>
      </c>
      <c r="Q3672" s="2" t="s">
        <v>825</v>
      </c>
    </row>
    <row r="3673" spans="2:17" x14ac:dyDescent="0.25">
      <c r="B3673" s="2" t="s">
        <v>4478</v>
      </c>
      <c r="C3673" s="2" t="s">
        <v>385</v>
      </c>
      <c r="D3673" s="2" t="s">
        <v>386</v>
      </c>
      <c r="E3673" s="2" t="s">
        <v>377</v>
      </c>
      <c r="F3673" s="2" t="s">
        <v>535</v>
      </c>
      <c r="G3673" s="2" t="s">
        <v>515</v>
      </c>
      <c r="H3673" s="2" t="s">
        <v>516</v>
      </c>
      <c r="I3673" s="26">
        <v>45721</v>
      </c>
      <c r="J3673" s="2">
        <v>23</v>
      </c>
      <c r="K3673" s="2" t="s">
        <v>378</v>
      </c>
      <c r="L3673" s="22">
        <v>2350</v>
      </c>
      <c r="M3673" s="22">
        <v>54050</v>
      </c>
      <c r="N3673" s="18">
        <v>57.81</v>
      </c>
      <c r="O3673" s="26">
        <v>49371</v>
      </c>
      <c r="P3673" s="2" t="s">
        <v>2105</v>
      </c>
      <c r="Q3673" s="2" t="s">
        <v>836</v>
      </c>
    </row>
    <row r="3674" spans="2:17" x14ac:dyDescent="0.25">
      <c r="B3674" s="2" t="s">
        <v>4479</v>
      </c>
      <c r="C3674" s="2" t="s">
        <v>385</v>
      </c>
      <c r="D3674" s="2" t="s">
        <v>386</v>
      </c>
      <c r="E3674" s="2" t="s">
        <v>377</v>
      </c>
      <c r="F3674" s="2" t="s">
        <v>535</v>
      </c>
      <c r="G3674" s="2" t="s">
        <v>515</v>
      </c>
      <c r="H3674" s="2" t="s">
        <v>516</v>
      </c>
      <c r="I3674" s="26">
        <v>45769</v>
      </c>
      <c r="J3674" s="2">
        <v>24</v>
      </c>
      <c r="K3674" s="2" t="s">
        <v>378</v>
      </c>
      <c r="L3674" s="22">
        <v>2350</v>
      </c>
      <c r="M3674" s="22">
        <v>56400</v>
      </c>
      <c r="N3674" s="18">
        <v>60.32</v>
      </c>
      <c r="O3674" s="26">
        <v>49419</v>
      </c>
      <c r="P3674" s="2" t="s">
        <v>2105</v>
      </c>
      <c r="Q3674" s="2" t="s">
        <v>836</v>
      </c>
    </row>
    <row r="3675" spans="2:17" x14ac:dyDescent="0.25">
      <c r="B3675" s="2" t="s">
        <v>4480</v>
      </c>
      <c r="C3675" s="2" t="s">
        <v>385</v>
      </c>
      <c r="D3675" s="2" t="s">
        <v>386</v>
      </c>
      <c r="E3675" s="2" t="s">
        <v>377</v>
      </c>
      <c r="F3675" s="2" t="s">
        <v>535</v>
      </c>
      <c r="G3675" s="2" t="s">
        <v>515</v>
      </c>
      <c r="H3675" s="2" t="s">
        <v>516</v>
      </c>
      <c r="I3675" s="26">
        <v>45836</v>
      </c>
      <c r="J3675" s="2">
        <v>20</v>
      </c>
      <c r="K3675" s="2" t="s">
        <v>378</v>
      </c>
      <c r="L3675" s="22">
        <v>2350</v>
      </c>
      <c r="M3675" s="22">
        <v>47000</v>
      </c>
      <c r="N3675" s="18">
        <v>50.27</v>
      </c>
      <c r="O3675" s="26">
        <v>49486</v>
      </c>
      <c r="P3675" s="2" t="s">
        <v>2105</v>
      </c>
      <c r="Q3675" s="2" t="s">
        <v>806</v>
      </c>
    </row>
    <row r="3676" spans="2:17" x14ac:dyDescent="0.25">
      <c r="B3676" s="2" t="s">
        <v>4481</v>
      </c>
      <c r="C3676" s="2" t="s">
        <v>387</v>
      </c>
      <c r="D3676" s="2" t="s">
        <v>388</v>
      </c>
      <c r="E3676" s="2" t="s">
        <v>377</v>
      </c>
      <c r="F3676" s="2" t="s">
        <v>535</v>
      </c>
      <c r="G3676" s="2" t="s">
        <v>515</v>
      </c>
      <c r="H3676" s="2" t="s">
        <v>516</v>
      </c>
      <c r="I3676" s="26">
        <v>45112</v>
      </c>
      <c r="J3676" s="2">
        <v>18</v>
      </c>
      <c r="K3676" s="2" t="s">
        <v>378</v>
      </c>
      <c r="L3676" s="22">
        <v>3100</v>
      </c>
      <c r="M3676" s="22">
        <v>55800</v>
      </c>
      <c r="N3676" s="18">
        <v>59.68</v>
      </c>
      <c r="O3676" s="26">
        <v>48762</v>
      </c>
      <c r="P3676" s="2" t="s">
        <v>2105</v>
      </c>
      <c r="Q3676" s="2" t="s">
        <v>806</v>
      </c>
    </row>
    <row r="3677" spans="2:17" x14ac:dyDescent="0.25">
      <c r="B3677" s="2" t="s">
        <v>4482</v>
      </c>
      <c r="C3677" s="2" t="s">
        <v>387</v>
      </c>
      <c r="D3677" s="2" t="s">
        <v>388</v>
      </c>
      <c r="E3677" s="2" t="s">
        <v>377</v>
      </c>
      <c r="F3677" s="2" t="s">
        <v>535</v>
      </c>
      <c r="G3677" s="2" t="s">
        <v>515</v>
      </c>
      <c r="H3677" s="2" t="s">
        <v>516</v>
      </c>
      <c r="I3677" s="26">
        <v>45174</v>
      </c>
      <c r="J3677" s="2">
        <v>29</v>
      </c>
      <c r="K3677" s="2" t="s">
        <v>378</v>
      </c>
      <c r="L3677" s="22">
        <v>3100</v>
      </c>
      <c r="M3677" s="22">
        <v>89900</v>
      </c>
      <c r="N3677" s="18">
        <v>96.15</v>
      </c>
      <c r="O3677" s="26">
        <v>48824</v>
      </c>
      <c r="P3677" s="2" t="s">
        <v>2105</v>
      </c>
      <c r="Q3677" s="2" t="s">
        <v>814</v>
      </c>
    </row>
    <row r="3678" spans="2:17" x14ac:dyDescent="0.25">
      <c r="B3678" s="2" t="s">
        <v>4483</v>
      </c>
      <c r="C3678" s="2" t="s">
        <v>387</v>
      </c>
      <c r="D3678" s="2" t="s">
        <v>388</v>
      </c>
      <c r="E3678" s="2" t="s">
        <v>377</v>
      </c>
      <c r="F3678" s="2" t="s">
        <v>535</v>
      </c>
      <c r="G3678" s="2" t="s">
        <v>515</v>
      </c>
      <c r="H3678" s="2" t="s">
        <v>516</v>
      </c>
      <c r="I3678" s="26">
        <v>45229</v>
      </c>
      <c r="J3678" s="2">
        <v>20</v>
      </c>
      <c r="K3678" s="2" t="s">
        <v>378</v>
      </c>
      <c r="L3678" s="22">
        <v>3100</v>
      </c>
      <c r="M3678" s="22">
        <v>62000</v>
      </c>
      <c r="N3678" s="18">
        <v>66.31</v>
      </c>
      <c r="O3678" s="26">
        <v>48879</v>
      </c>
      <c r="P3678" s="2" t="s">
        <v>2105</v>
      </c>
      <c r="Q3678" s="2" t="s">
        <v>814</v>
      </c>
    </row>
    <row r="3679" spans="2:17" x14ac:dyDescent="0.25">
      <c r="B3679" s="2" t="s">
        <v>4484</v>
      </c>
      <c r="C3679" s="2" t="s">
        <v>387</v>
      </c>
      <c r="D3679" s="2" t="s">
        <v>388</v>
      </c>
      <c r="E3679" s="2" t="s">
        <v>377</v>
      </c>
      <c r="F3679" s="2" t="s">
        <v>535</v>
      </c>
      <c r="G3679" s="2" t="s">
        <v>515</v>
      </c>
      <c r="H3679" s="2" t="s">
        <v>516</v>
      </c>
      <c r="I3679" s="26">
        <v>45267</v>
      </c>
      <c r="J3679" s="2">
        <v>28</v>
      </c>
      <c r="K3679" s="2" t="s">
        <v>378</v>
      </c>
      <c r="L3679" s="22">
        <v>3100</v>
      </c>
      <c r="M3679" s="22">
        <v>86800</v>
      </c>
      <c r="N3679" s="18">
        <v>92.83</v>
      </c>
      <c r="O3679" s="26">
        <v>48917</v>
      </c>
      <c r="P3679" s="2" t="s">
        <v>2105</v>
      </c>
      <c r="Q3679" s="2" t="s">
        <v>825</v>
      </c>
    </row>
    <row r="3680" spans="2:17" x14ac:dyDescent="0.25">
      <c r="B3680" s="2" t="s">
        <v>4485</v>
      </c>
      <c r="C3680" s="2" t="s">
        <v>387</v>
      </c>
      <c r="D3680" s="2" t="s">
        <v>388</v>
      </c>
      <c r="E3680" s="2" t="s">
        <v>377</v>
      </c>
      <c r="F3680" s="2" t="s">
        <v>535</v>
      </c>
      <c r="G3680" s="2" t="s">
        <v>515</v>
      </c>
      <c r="H3680" s="2" t="s">
        <v>516</v>
      </c>
      <c r="I3680" s="26">
        <v>45328</v>
      </c>
      <c r="J3680" s="2">
        <v>23</v>
      </c>
      <c r="K3680" s="2" t="s">
        <v>378</v>
      </c>
      <c r="L3680" s="22">
        <v>3100</v>
      </c>
      <c r="M3680" s="22">
        <v>71300</v>
      </c>
      <c r="N3680" s="18">
        <v>76.260000000000005</v>
      </c>
      <c r="O3680" s="26">
        <v>48978</v>
      </c>
      <c r="P3680" s="2" t="s">
        <v>2105</v>
      </c>
      <c r="Q3680" s="2" t="s">
        <v>825</v>
      </c>
    </row>
    <row r="3681" spans="2:17" x14ac:dyDescent="0.25">
      <c r="B3681" s="2" t="s">
        <v>4486</v>
      </c>
      <c r="C3681" s="2" t="s">
        <v>387</v>
      </c>
      <c r="D3681" s="2" t="s">
        <v>388</v>
      </c>
      <c r="E3681" s="2" t="s">
        <v>377</v>
      </c>
      <c r="F3681" s="2" t="s">
        <v>535</v>
      </c>
      <c r="G3681" s="2" t="s">
        <v>515</v>
      </c>
      <c r="H3681" s="2" t="s">
        <v>516</v>
      </c>
      <c r="I3681" s="26">
        <v>45390</v>
      </c>
      <c r="J3681" s="2">
        <v>19</v>
      </c>
      <c r="K3681" s="2" t="s">
        <v>378</v>
      </c>
      <c r="L3681" s="22">
        <v>3100</v>
      </c>
      <c r="M3681" s="22">
        <v>58900</v>
      </c>
      <c r="N3681" s="18">
        <v>62.99</v>
      </c>
      <c r="O3681" s="26">
        <v>49040</v>
      </c>
      <c r="P3681" s="2" t="s">
        <v>2105</v>
      </c>
      <c r="Q3681" s="2" t="s">
        <v>836</v>
      </c>
    </row>
    <row r="3682" spans="2:17" x14ac:dyDescent="0.25">
      <c r="B3682" s="2" t="s">
        <v>4487</v>
      </c>
      <c r="C3682" s="2" t="s">
        <v>387</v>
      </c>
      <c r="D3682" s="2" t="s">
        <v>388</v>
      </c>
      <c r="E3682" s="2" t="s">
        <v>377</v>
      </c>
      <c r="F3682" s="2" t="s">
        <v>535</v>
      </c>
      <c r="G3682" s="2" t="s">
        <v>515</v>
      </c>
      <c r="H3682" s="2" t="s">
        <v>516</v>
      </c>
      <c r="I3682" s="26">
        <v>45462</v>
      </c>
      <c r="J3682" s="2">
        <v>18</v>
      </c>
      <c r="K3682" s="2" t="s">
        <v>378</v>
      </c>
      <c r="L3682" s="22">
        <v>3100</v>
      </c>
      <c r="M3682" s="22">
        <v>55800</v>
      </c>
      <c r="N3682" s="18">
        <v>59.68</v>
      </c>
      <c r="O3682" s="26">
        <v>49112</v>
      </c>
      <c r="P3682" s="2" t="s">
        <v>2105</v>
      </c>
      <c r="Q3682" s="2" t="s">
        <v>806</v>
      </c>
    </row>
    <row r="3683" spans="2:17" x14ac:dyDescent="0.25">
      <c r="B3683" s="2" t="s">
        <v>4488</v>
      </c>
      <c r="C3683" s="2" t="s">
        <v>387</v>
      </c>
      <c r="D3683" s="2" t="s">
        <v>388</v>
      </c>
      <c r="E3683" s="2" t="s">
        <v>377</v>
      </c>
      <c r="F3683" s="2" t="s">
        <v>535</v>
      </c>
      <c r="G3683" s="2" t="s">
        <v>515</v>
      </c>
      <c r="H3683" s="2" t="s">
        <v>516</v>
      </c>
      <c r="I3683" s="26">
        <v>45522</v>
      </c>
      <c r="J3683" s="2">
        <v>22</v>
      </c>
      <c r="K3683" s="2" t="s">
        <v>378</v>
      </c>
      <c r="L3683" s="22">
        <v>3100</v>
      </c>
      <c r="M3683" s="22">
        <v>68200</v>
      </c>
      <c r="N3683" s="18">
        <v>72.94</v>
      </c>
      <c r="O3683" s="26">
        <v>49172</v>
      </c>
      <c r="P3683" s="2" t="s">
        <v>2105</v>
      </c>
      <c r="Q3683" s="2" t="s">
        <v>806</v>
      </c>
    </row>
    <row r="3684" spans="2:17" x14ac:dyDescent="0.25">
      <c r="B3684" s="2" t="s">
        <v>4489</v>
      </c>
      <c r="C3684" s="2" t="s">
        <v>387</v>
      </c>
      <c r="D3684" s="2" t="s">
        <v>388</v>
      </c>
      <c r="E3684" s="2" t="s">
        <v>377</v>
      </c>
      <c r="F3684" s="2" t="s">
        <v>535</v>
      </c>
      <c r="G3684" s="2" t="s">
        <v>515</v>
      </c>
      <c r="H3684" s="2" t="s">
        <v>516</v>
      </c>
      <c r="I3684" s="26">
        <v>45570</v>
      </c>
      <c r="J3684" s="2">
        <v>22</v>
      </c>
      <c r="K3684" s="2" t="s">
        <v>378</v>
      </c>
      <c r="L3684" s="22">
        <v>3100</v>
      </c>
      <c r="M3684" s="22">
        <v>68200</v>
      </c>
      <c r="N3684" s="18">
        <v>72.94</v>
      </c>
      <c r="O3684" s="26">
        <v>49220</v>
      </c>
      <c r="P3684" s="2" t="s">
        <v>2105</v>
      </c>
      <c r="Q3684" s="2" t="s">
        <v>814</v>
      </c>
    </row>
    <row r="3685" spans="2:17" x14ac:dyDescent="0.25">
      <c r="B3685" s="2" t="s">
        <v>4490</v>
      </c>
      <c r="C3685" s="2" t="s">
        <v>387</v>
      </c>
      <c r="D3685" s="2" t="s">
        <v>388</v>
      </c>
      <c r="E3685" s="2" t="s">
        <v>377</v>
      </c>
      <c r="F3685" s="2" t="s">
        <v>535</v>
      </c>
      <c r="G3685" s="2" t="s">
        <v>515</v>
      </c>
      <c r="H3685" s="2" t="s">
        <v>516</v>
      </c>
      <c r="I3685" s="26">
        <v>45623</v>
      </c>
      <c r="J3685" s="2">
        <v>17</v>
      </c>
      <c r="K3685" s="2" t="s">
        <v>378</v>
      </c>
      <c r="L3685" s="22">
        <v>3100</v>
      </c>
      <c r="M3685" s="22">
        <v>52700</v>
      </c>
      <c r="N3685" s="18">
        <v>56.36</v>
      </c>
      <c r="O3685" s="26">
        <v>49273</v>
      </c>
      <c r="P3685" s="2" t="s">
        <v>2105</v>
      </c>
      <c r="Q3685" s="2" t="s">
        <v>814</v>
      </c>
    </row>
    <row r="3686" spans="2:17" x14ac:dyDescent="0.25">
      <c r="B3686" s="2" t="s">
        <v>4491</v>
      </c>
      <c r="C3686" s="2" t="s">
        <v>387</v>
      </c>
      <c r="D3686" s="2" t="s">
        <v>388</v>
      </c>
      <c r="E3686" s="2" t="s">
        <v>377</v>
      </c>
      <c r="F3686" s="2" t="s">
        <v>535</v>
      </c>
      <c r="G3686" s="2" t="s">
        <v>515</v>
      </c>
      <c r="H3686" s="2" t="s">
        <v>516</v>
      </c>
      <c r="I3686" s="26">
        <v>45676</v>
      </c>
      <c r="J3686" s="2">
        <v>19</v>
      </c>
      <c r="K3686" s="2" t="s">
        <v>378</v>
      </c>
      <c r="L3686" s="22">
        <v>3100</v>
      </c>
      <c r="M3686" s="22">
        <v>58900</v>
      </c>
      <c r="N3686" s="18">
        <v>62.99</v>
      </c>
      <c r="O3686" s="26">
        <v>49326</v>
      </c>
      <c r="P3686" s="2" t="s">
        <v>2105</v>
      </c>
      <c r="Q3686" s="2" t="s">
        <v>825</v>
      </c>
    </row>
    <row r="3687" spans="2:17" x14ac:dyDescent="0.25">
      <c r="B3687" s="2" t="s">
        <v>4492</v>
      </c>
      <c r="C3687" s="2" t="s">
        <v>387</v>
      </c>
      <c r="D3687" s="2" t="s">
        <v>388</v>
      </c>
      <c r="E3687" s="2" t="s">
        <v>377</v>
      </c>
      <c r="F3687" s="2" t="s">
        <v>535</v>
      </c>
      <c r="G3687" s="2" t="s">
        <v>515</v>
      </c>
      <c r="H3687" s="2" t="s">
        <v>516</v>
      </c>
      <c r="I3687" s="26">
        <v>45733</v>
      </c>
      <c r="J3687" s="2">
        <v>20</v>
      </c>
      <c r="K3687" s="2" t="s">
        <v>378</v>
      </c>
      <c r="L3687" s="22">
        <v>3100</v>
      </c>
      <c r="M3687" s="22">
        <v>62000</v>
      </c>
      <c r="N3687" s="18">
        <v>66.31</v>
      </c>
      <c r="O3687" s="26">
        <v>49383</v>
      </c>
      <c r="P3687" s="2" t="s">
        <v>2105</v>
      </c>
      <c r="Q3687" s="2" t="s">
        <v>836</v>
      </c>
    </row>
    <row r="3688" spans="2:17" x14ac:dyDescent="0.25">
      <c r="B3688" s="2" t="s">
        <v>4493</v>
      </c>
      <c r="C3688" s="2" t="s">
        <v>387</v>
      </c>
      <c r="D3688" s="2" t="s">
        <v>388</v>
      </c>
      <c r="E3688" s="2" t="s">
        <v>377</v>
      </c>
      <c r="F3688" s="2" t="s">
        <v>535</v>
      </c>
      <c r="G3688" s="2" t="s">
        <v>515</v>
      </c>
      <c r="H3688" s="2" t="s">
        <v>516</v>
      </c>
      <c r="I3688" s="26">
        <v>45803</v>
      </c>
      <c r="J3688" s="2">
        <v>25</v>
      </c>
      <c r="K3688" s="2" t="s">
        <v>378</v>
      </c>
      <c r="L3688" s="22">
        <v>3100</v>
      </c>
      <c r="M3688" s="22">
        <v>77500</v>
      </c>
      <c r="N3688" s="18">
        <v>82.89</v>
      </c>
      <c r="O3688" s="26">
        <v>49453</v>
      </c>
      <c r="P3688" s="2" t="s">
        <v>2105</v>
      </c>
      <c r="Q3688" s="2" t="s">
        <v>836</v>
      </c>
    </row>
    <row r="3689" spans="2:17" x14ac:dyDescent="0.25">
      <c r="B3689" s="2" t="s">
        <v>4494</v>
      </c>
      <c r="C3689" s="2" t="s">
        <v>389</v>
      </c>
      <c r="D3689" s="2" t="s">
        <v>390</v>
      </c>
      <c r="E3689" s="2" t="s">
        <v>377</v>
      </c>
      <c r="F3689" s="2" t="s">
        <v>535</v>
      </c>
      <c r="G3689" s="2" t="s">
        <v>515</v>
      </c>
      <c r="H3689" s="2" t="s">
        <v>516</v>
      </c>
      <c r="I3689" s="26">
        <v>45140</v>
      </c>
      <c r="J3689" s="2">
        <v>20</v>
      </c>
      <c r="K3689" s="2" t="s">
        <v>378</v>
      </c>
      <c r="L3689" s="22">
        <v>3600</v>
      </c>
      <c r="M3689" s="22">
        <v>72000</v>
      </c>
      <c r="N3689" s="18">
        <v>77.010000000000005</v>
      </c>
      <c r="O3689" s="26">
        <v>48790</v>
      </c>
      <c r="P3689" s="2" t="s">
        <v>2105</v>
      </c>
      <c r="Q3689" s="2" t="s">
        <v>806</v>
      </c>
    </row>
    <row r="3690" spans="2:17" x14ac:dyDescent="0.25">
      <c r="B3690" s="2" t="s">
        <v>4495</v>
      </c>
      <c r="C3690" s="2" t="s">
        <v>389</v>
      </c>
      <c r="D3690" s="2" t="s">
        <v>390</v>
      </c>
      <c r="E3690" s="2" t="s">
        <v>377</v>
      </c>
      <c r="F3690" s="2" t="s">
        <v>535</v>
      </c>
      <c r="G3690" s="2" t="s">
        <v>515</v>
      </c>
      <c r="H3690" s="2" t="s">
        <v>516</v>
      </c>
      <c r="I3690" s="26">
        <v>45194</v>
      </c>
      <c r="J3690" s="2">
        <v>27</v>
      </c>
      <c r="K3690" s="2" t="s">
        <v>378</v>
      </c>
      <c r="L3690" s="22">
        <v>3600</v>
      </c>
      <c r="M3690" s="22">
        <v>97200</v>
      </c>
      <c r="N3690" s="18">
        <v>103.96</v>
      </c>
      <c r="O3690" s="26">
        <v>48844</v>
      </c>
      <c r="P3690" s="2" t="s">
        <v>2105</v>
      </c>
      <c r="Q3690" s="2" t="s">
        <v>814</v>
      </c>
    </row>
    <row r="3691" spans="2:17" x14ac:dyDescent="0.25">
      <c r="B3691" s="2" t="s">
        <v>4496</v>
      </c>
      <c r="C3691" s="2" t="s">
        <v>389</v>
      </c>
      <c r="D3691" s="2" t="s">
        <v>390</v>
      </c>
      <c r="E3691" s="2" t="s">
        <v>377</v>
      </c>
      <c r="F3691" s="2" t="s">
        <v>537</v>
      </c>
      <c r="G3691" s="2" t="s">
        <v>520</v>
      </c>
      <c r="H3691" s="2" t="s">
        <v>521</v>
      </c>
      <c r="I3691" s="26">
        <v>45254</v>
      </c>
      <c r="J3691" s="2">
        <v>21</v>
      </c>
      <c r="K3691" s="2" t="s">
        <v>378</v>
      </c>
      <c r="L3691" s="22">
        <v>3700</v>
      </c>
      <c r="M3691" s="22">
        <v>77700</v>
      </c>
      <c r="N3691" s="18">
        <v>83.1</v>
      </c>
      <c r="O3691" s="26">
        <v>48904</v>
      </c>
      <c r="P3691" s="2" t="s">
        <v>2105</v>
      </c>
      <c r="Q3691" s="2" t="s">
        <v>814</v>
      </c>
    </row>
    <row r="3692" spans="2:17" x14ac:dyDescent="0.25">
      <c r="B3692" s="2" t="s">
        <v>4497</v>
      </c>
      <c r="C3692" s="2" t="s">
        <v>389</v>
      </c>
      <c r="D3692" s="2" t="s">
        <v>390</v>
      </c>
      <c r="E3692" s="2" t="s">
        <v>377</v>
      </c>
      <c r="F3692" s="2" t="s">
        <v>535</v>
      </c>
      <c r="G3692" s="2" t="s">
        <v>515</v>
      </c>
      <c r="H3692" s="2" t="s">
        <v>516</v>
      </c>
      <c r="I3692" s="26">
        <v>45311</v>
      </c>
      <c r="J3692" s="2">
        <v>21</v>
      </c>
      <c r="K3692" s="2" t="s">
        <v>378</v>
      </c>
      <c r="L3692" s="22">
        <v>3600</v>
      </c>
      <c r="M3692" s="22">
        <v>75600</v>
      </c>
      <c r="N3692" s="18">
        <v>80.86</v>
      </c>
      <c r="O3692" s="26">
        <v>48961</v>
      </c>
      <c r="P3692" s="2" t="s">
        <v>2105</v>
      </c>
      <c r="Q3692" s="2" t="s">
        <v>825</v>
      </c>
    </row>
    <row r="3693" spans="2:17" x14ac:dyDescent="0.25">
      <c r="B3693" s="2" t="s">
        <v>4498</v>
      </c>
      <c r="C3693" s="2" t="s">
        <v>389</v>
      </c>
      <c r="D3693" s="2" t="s">
        <v>390</v>
      </c>
      <c r="E3693" s="2" t="s">
        <v>377</v>
      </c>
      <c r="F3693" s="2" t="s">
        <v>535</v>
      </c>
      <c r="G3693" s="2" t="s">
        <v>515</v>
      </c>
      <c r="H3693" s="2" t="s">
        <v>516</v>
      </c>
      <c r="I3693" s="26">
        <v>45371</v>
      </c>
      <c r="J3693" s="2">
        <v>18</v>
      </c>
      <c r="K3693" s="2" t="s">
        <v>378</v>
      </c>
      <c r="L3693" s="22">
        <v>3600</v>
      </c>
      <c r="M3693" s="22">
        <v>64800</v>
      </c>
      <c r="N3693" s="18">
        <v>69.3</v>
      </c>
      <c r="O3693" s="26">
        <v>49021</v>
      </c>
      <c r="P3693" s="2" t="s">
        <v>2105</v>
      </c>
      <c r="Q3693" s="2" t="s">
        <v>836</v>
      </c>
    </row>
    <row r="3694" spans="2:17" x14ac:dyDescent="0.25">
      <c r="B3694" s="2" t="s">
        <v>4499</v>
      </c>
      <c r="C3694" s="2" t="s">
        <v>389</v>
      </c>
      <c r="D3694" s="2" t="s">
        <v>390</v>
      </c>
      <c r="E3694" s="2" t="s">
        <v>377</v>
      </c>
      <c r="F3694" s="2" t="s">
        <v>535</v>
      </c>
      <c r="G3694" s="2" t="s">
        <v>515</v>
      </c>
      <c r="H3694" s="2" t="s">
        <v>516</v>
      </c>
      <c r="I3694" s="26">
        <v>45436</v>
      </c>
      <c r="J3694" s="2">
        <v>22</v>
      </c>
      <c r="K3694" s="2" t="s">
        <v>378</v>
      </c>
      <c r="L3694" s="22">
        <v>3600</v>
      </c>
      <c r="M3694" s="22">
        <v>79200</v>
      </c>
      <c r="N3694" s="18">
        <v>84.71</v>
      </c>
      <c r="O3694" s="26">
        <v>49086</v>
      </c>
      <c r="P3694" s="2" t="s">
        <v>2105</v>
      </c>
      <c r="Q3694" s="2" t="s">
        <v>836</v>
      </c>
    </row>
    <row r="3695" spans="2:17" x14ac:dyDescent="0.25">
      <c r="B3695" s="2" t="s">
        <v>4500</v>
      </c>
      <c r="C3695" s="2" t="s">
        <v>389</v>
      </c>
      <c r="D3695" s="2" t="s">
        <v>390</v>
      </c>
      <c r="E3695" s="2" t="s">
        <v>377</v>
      </c>
      <c r="F3695" s="2" t="s">
        <v>535</v>
      </c>
      <c r="G3695" s="2" t="s">
        <v>515</v>
      </c>
      <c r="H3695" s="2" t="s">
        <v>516</v>
      </c>
      <c r="I3695" s="26">
        <v>45499</v>
      </c>
      <c r="J3695" s="2">
        <v>17</v>
      </c>
      <c r="K3695" s="2" t="s">
        <v>378</v>
      </c>
      <c r="L3695" s="22">
        <v>3600</v>
      </c>
      <c r="M3695" s="22">
        <v>61200</v>
      </c>
      <c r="N3695" s="18">
        <v>65.45</v>
      </c>
      <c r="O3695" s="26">
        <v>49149</v>
      </c>
      <c r="P3695" s="2" t="s">
        <v>2105</v>
      </c>
      <c r="Q3695" s="2" t="s">
        <v>806</v>
      </c>
    </row>
    <row r="3696" spans="2:17" x14ac:dyDescent="0.25">
      <c r="B3696" s="2" t="s">
        <v>4501</v>
      </c>
      <c r="C3696" s="2" t="s">
        <v>389</v>
      </c>
      <c r="D3696" s="2" t="s">
        <v>390</v>
      </c>
      <c r="E3696" s="2" t="s">
        <v>377</v>
      </c>
      <c r="F3696" s="2" t="s">
        <v>535</v>
      </c>
      <c r="G3696" s="2" t="s">
        <v>515</v>
      </c>
      <c r="H3696" s="2" t="s">
        <v>516</v>
      </c>
      <c r="I3696" s="26">
        <v>45556</v>
      </c>
      <c r="J3696" s="2">
        <v>22</v>
      </c>
      <c r="K3696" s="2" t="s">
        <v>378</v>
      </c>
      <c r="L3696" s="22">
        <v>3600</v>
      </c>
      <c r="M3696" s="22">
        <v>79200</v>
      </c>
      <c r="N3696" s="18">
        <v>84.71</v>
      </c>
      <c r="O3696" s="26">
        <v>49206</v>
      </c>
      <c r="P3696" s="2" t="s">
        <v>2105</v>
      </c>
      <c r="Q3696" s="2" t="s">
        <v>814</v>
      </c>
    </row>
    <row r="3697" spans="2:17" x14ac:dyDescent="0.25">
      <c r="B3697" s="2" t="s">
        <v>4502</v>
      </c>
      <c r="C3697" s="2" t="s">
        <v>389</v>
      </c>
      <c r="D3697" s="2" t="s">
        <v>390</v>
      </c>
      <c r="E3697" s="2" t="s">
        <v>377</v>
      </c>
      <c r="F3697" s="2" t="s">
        <v>537</v>
      </c>
      <c r="G3697" s="2" t="s">
        <v>520</v>
      </c>
      <c r="H3697" s="2" t="s">
        <v>521</v>
      </c>
      <c r="I3697" s="26">
        <v>45620</v>
      </c>
      <c r="J3697" s="2">
        <v>19</v>
      </c>
      <c r="K3697" s="2" t="s">
        <v>378</v>
      </c>
      <c r="L3697" s="22">
        <v>3700</v>
      </c>
      <c r="M3697" s="22">
        <v>70300</v>
      </c>
      <c r="N3697" s="18">
        <v>75.19</v>
      </c>
      <c r="O3697" s="26">
        <v>49270</v>
      </c>
      <c r="P3697" s="2" t="s">
        <v>2105</v>
      </c>
      <c r="Q3697" s="2" t="s">
        <v>814</v>
      </c>
    </row>
    <row r="3698" spans="2:17" x14ac:dyDescent="0.25">
      <c r="B3698" s="2" t="s">
        <v>4503</v>
      </c>
      <c r="C3698" s="2" t="s">
        <v>389</v>
      </c>
      <c r="D3698" s="2" t="s">
        <v>390</v>
      </c>
      <c r="E3698" s="2" t="s">
        <v>377</v>
      </c>
      <c r="F3698" s="2" t="s">
        <v>535</v>
      </c>
      <c r="G3698" s="2" t="s">
        <v>515</v>
      </c>
      <c r="H3698" s="2" t="s">
        <v>516</v>
      </c>
      <c r="I3698" s="26">
        <v>45678</v>
      </c>
      <c r="J3698" s="2">
        <v>21</v>
      </c>
      <c r="K3698" s="2" t="s">
        <v>378</v>
      </c>
      <c r="L3698" s="22">
        <v>3600</v>
      </c>
      <c r="M3698" s="22">
        <v>75600</v>
      </c>
      <c r="N3698" s="18">
        <v>80.86</v>
      </c>
      <c r="O3698" s="26">
        <v>49328</v>
      </c>
      <c r="P3698" s="2" t="s">
        <v>2105</v>
      </c>
      <c r="Q3698" s="2" t="s">
        <v>825</v>
      </c>
    </row>
    <row r="3699" spans="2:17" x14ac:dyDescent="0.25">
      <c r="B3699" s="2" t="s">
        <v>4504</v>
      </c>
      <c r="C3699" s="2" t="s">
        <v>389</v>
      </c>
      <c r="D3699" s="2" t="s">
        <v>390</v>
      </c>
      <c r="E3699" s="2" t="s">
        <v>377</v>
      </c>
      <c r="F3699" s="2" t="s">
        <v>535</v>
      </c>
      <c r="G3699" s="2" t="s">
        <v>515</v>
      </c>
      <c r="H3699" s="2" t="s">
        <v>516</v>
      </c>
      <c r="I3699" s="26">
        <v>45751</v>
      </c>
      <c r="J3699" s="2">
        <v>25</v>
      </c>
      <c r="K3699" s="2" t="s">
        <v>378</v>
      </c>
      <c r="L3699" s="22">
        <v>3600</v>
      </c>
      <c r="M3699" s="22">
        <v>90000</v>
      </c>
      <c r="N3699" s="18">
        <v>96.26</v>
      </c>
      <c r="O3699" s="26">
        <v>49401</v>
      </c>
      <c r="P3699" s="2" t="s">
        <v>2105</v>
      </c>
      <c r="Q3699" s="2" t="s">
        <v>836</v>
      </c>
    </row>
    <row r="3700" spans="2:17" x14ac:dyDescent="0.25">
      <c r="B3700" s="2" t="s">
        <v>4505</v>
      </c>
      <c r="C3700" s="2" t="s">
        <v>389</v>
      </c>
      <c r="D3700" s="2" t="s">
        <v>390</v>
      </c>
      <c r="E3700" s="2" t="s">
        <v>377</v>
      </c>
      <c r="F3700" s="2" t="s">
        <v>535</v>
      </c>
      <c r="G3700" s="2" t="s">
        <v>515</v>
      </c>
      <c r="H3700" s="2" t="s">
        <v>516</v>
      </c>
      <c r="I3700" s="26">
        <v>45820</v>
      </c>
      <c r="J3700" s="2">
        <v>22</v>
      </c>
      <c r="K3700" s="2" t="s">
        <v>378</v>
      </c>
      <c r="L3700" s="22">
        <v>3600</v>
      </c>
      <c r="M3700" s="22">
        <v>79200</v>
      </c>
      <c r="N3700" s="18">
        <v>84.71</v>
      </c>
      <c r="O3700" s="26">
        <v>49470</v>
      </c>
      <c r="P3700" s="2" t="s">
        <v>2105</v>
      </c>
      <c r="Q3700" s="2" t="s">
        <v>806</v>
      </c>
    </row>
    <row r="3701" spans="2:17" x14ac:dyDescent="0.25">
      <c r="B3701" s="2" t="s">
        <v>4506</v>
      </c>
      <c r="C3701" s="2" t="s">
        <v>391</v>
      </c>
      <c r="D3701" s="2" t="s">
        <v>392</v>
      </c>
      <c r="E3701" s="2" t="s">
        <v>377</v>
      </c>
      <c r="F3701" s="2" t="s">
        <v>535</v>
      </c>
      <c r="G3701" s="2" t="s">
        <v>515</v>
      </c>
      <c r="H3701" s="2" t="s">
        <v>516</v>
      </c>
      <c r="I3701" s="26">
        <v>45121</v>
      </c>
      <c r="J3701" s="2">
        <v>21</v>
      </c>
      <c r="K3701" s="2" t="s">
        <v>393</v>
      </c>
      <c r="L3701" s="22">
        <v>650</v>
      </c>
      <c r="M3701" s="22">
        <v>13650</v>
      </c>
      <c r="N3701" s="18">
        <v>14.6</v>
      </c>
      <c r="O3701" s="26">
        <v>48771</v>
      </c>
      <c r="P3701" s="2" t="s">
        <v>2105</v>
      </c>
      <c r="Q3701" s="2" t="s">
        <v>806</v>
      </c>
    </row>
    <row r="3702" spans="2:17" x14ac:dyDescent="0.25">
      <c r="B3702" s="2" t="s">
        <v>4507</v>
      </c>
      <c r="C3702" s="2" t="s">
        <v>391</v>
      </c>
      <c r="D3702" s="2" t="s">
        <v>392</v>
      </c>
      <c r="E3702" s="2" t="s">
        <v>377</v>
      </c>
      <c r="F3702" s="2" t="s">
        <v>535</v>
      </c>
      <c r="G3702" s="2" t="s">
        <v>515</v>
      </c>
      <c r="H3702" s="2" t="s">
        <v>516</v>
      </c>
      <c r="I3702" s="26">
        <v>45182</v>
      </c>
      <c r="J3702" s="2">
        <v>25</v>
      </c>
      <c r="K3702" s="2" t="s">
        <v>393</v>
      </c>
      <c r="L3702" s="22">
        <v>650</v>
      </c>
      <c r="M3702" s="22">
        <v>16250</v>
      </c>
      <c r="N3702" s="18">
        <v>17.38</v>
      </c>
      <c r="O3702" s="26">
        <v>48832</v>
      </c>
      <c r="P3702" s="2" t="s">
        <v>2105</v>
      </c>
      <c r="Q3702" s="2" t="s">
        <v>814</v>
      </c>
    </row>
    <row r="3703" spans="2:17" x14ac:dyDescent="0.25">
      <c r="B3703" s="2" t="s">
        <v>4508</v>
      </c>
      <c r="C3703" s="2" t="s">
        <v>391</v>
      </c>
      <c r="D3703" s="2" t="s">
        <v>392</v>
      </c>
      <c r="E3703" s="2" t="s">
        <v>377</v>
      </c>
      <c r="F3703" s="2" t="s">
        <v>535</v>
      </c>
      <c r="G3703" s="2" t="s">
        <v>515</v>
      </c>
      <c r="H3703" s="2" t="s">
        <v>516</v>
      </c>
      <c r="I3703" s="26">
        <v>45240</v>
      </c>
      <c r="J3703" s="2">
        <v>22</v>
      </c>
      <c r="K3703" s="2" t="s">
        <v>393</v>
      </c>
      <c r="L3703" s="22">
        <v>650</v>
      </c>
      <c r="M3703" s="22">
        <v>14300</v>
      </c>
      <c r="N3703" s="18">
        <v>15.29</v>
      </c>
      <c r="O3703" s="26">
        <v>48890</v>
      </c>
      <c r="P3703" s="2" t="s">
        <v>2105</v>
      </c>
      <c r="Q3703" s="2" t="s">
        <v>814</v>
      </c>
    </row>
    <row r="3704" spans="2:17" x14ac:dyDescent="0.25">
      <c r="B3704" s="2" t="s">
        <v>4509</v>
      </c>
      <c r="C3704" s="2" t="s">
        <v>391</v>
      </c>
      <c r="D3704" s="2" t="s">
        <v>392</v>
      </c>
      <c r="E3704" s="2" t="s">
        <v>377</v>
      </c>
      <c r="F3704" s="2" t="s">
        <v>535</v>
      </c>
      <c r="G3704" s="2" t="s">
        <v>515</v>
      </c>
      <c r="H3704" s="2" t="s">
        <v>516</v>
      </c>
      <c r="I3704" s="26">
        <v>45304</v>
      </c>
      <c r="J3704" s="2">
        <v>17</v>
      </c>
      <c r="K3704" s="2" t="s">
        <v>393</v>
      </c>
      <c r="L3704" s="22">
        <v>650</v>
      </c>
      <c r="M3704" s="22">
        <v>11050</v>
      </c>
      <c r="N3704" s="18">
        <v>11.82</v>
      </c>
      <c r="O3704" s="26">
        <v>48954</v>
      </c>
      <c r="P3704" s="2" t="s">
        <v>2105</v>
      </c>
      <c r="Q3704" s="2" t="s">
        <v>825</v>
      </c>
    </row>
    <row r="3705" spans="2:17" x14ac:dyDescent="0.25">
      <c r="B3705" s="2" t="s">
        <v>4510</v>
      </c>
      <c r="C3705" s="2" t="s">
        <v>391</v>
      </c>
      <c r="D3705" s="2" t="s">
        <v>392</v>
      </c>
      <c r="E3705" s="2" t="s">
        <v>377</v>
      </c>
      <c r="F3705" s="2" t="s">
        <v>535</v>
      </c>
      <c r="G3705" s="2" t="s">
        <v>515</v>
      </c>
      <c r="H3705" s="2" t="s">
        <v>516</v>
      </c>
      <c r="I3705" s="26">
        <v>45350</v>
      </c>
      <c r="J3705" s="2">
        <v>22</v>
      </c>
      <c r="K3705" s="2" t="s">
        <v>393</v>
      </c>
      <c r="L3705" s="22">
        <v>650</v>
      </c>
      <c r="M3705" s="22">
        <v>14300</v>
      </c>
      <c r="N3705" s="18">
        <v>15.29</v>
      </c>
      <c r="O3705" s="26">
        <v>49000</v>
      </c>
      <c r="P3705" s="2" t="s">
        <v>2105</v>
      </c>
      <c r="Q3705" s="2" t="s">
        <v>825</v>
      </c>
    </row>
    <row r="3706" spans="2:17" x14ac:dyDescent="0.25">
      <c r="B3706" s="2" t="s">
        <v>4511</v>
      </c>
      <c r="C3706" s="2" t="s">
        <v>391</v>
      </c>
      <c r="D3706" s="2" t="s">
        <v>392</v>
      </c>
      <c r="E3706" s="2" t="s">
        <v>377</v>
      </c>
      <c r="F3706" s="2" t="s">
        <v>535</v>
      </c>
      <c r="G3706" s="2" t="s">
        <v>515</v>
      </c>
      <c r="H3706" s="2" t="s">
        <v>516</v>
      </c>
      <c r="I3706" s="26">
        <v>45404</v>
      </c>
      <c r="J3706" s="2">
        <v>21</v>
      </c>
      <c r="K3706" s="2" t="s">
        <v>393</v>
      </c>
      <c r="L3706" s="22">
        <v>650</v>
      </c>
      <c r="M3706" s="22">
        <v>13650</v>
      </c>
      <c r="N3706" s="18">
        <v>14.6</v>
      </c>
      <c r="O3706" s="26">
        <v>49054</v>
      </c>
      <c r="P3706" s="2" t="s">
        <v>2105</v>
      </c>
      <c r="Q3706" s="2" t="s">
        <v>836</v>
      </c>
    </row>
    <row r="3707" spans="2:17" x14ac:dyDescent="0.25">
      <c r="B3707" s="2" t="s">
        <v>4512</v>
      </c>
      <c r="C3707" s="2" t="s">
        <v>391</v>
      </c>
      <c r="D3707" s="2" t="s">
        <v>392</v>
      </c>
      <c r="E3707" s="2" t="s">
        <v>377</v>
      </c>
      <c r="F3707" s="2" t="s">
        <v>537</v>
      </c>
      <c r="G3707" s="2" t="s">
        <v>520</v>
      </c>
      <c r="H3707" s="2" t="s">
        <v>521</v>
      </c>
      <c r="I3707" s="26">
        <v>45467</v>
      </c>
      <c r="J3707" s="2">
        <v>18</v>
      </c>
      <c r="K3707" s="2" t="s">
        <v>393</v>
      </c>
      <c r="L3707" s="22">
        <v>700</v>
      </c>
      <c r="M3707" s="22">
        <v>12600</v>
      </c>
      <c r="N3707" s="18">
        <v>13.48</v>
      </c>
      <c r="O3707" s="26">
        <v>49117</v>
      </c>
      <c r="P3707" s="2" t="s">
        <v>2105</v>
      </c>
      <c r="Q3707" s="2" t="s">
        <v>806</v>
      </c>
    </row>
    <row r="3708" spans="2:17" x14ac:dyDescent="0.25">
      <c r="B3708" s="2" t="s">
        <v>4513</v>
      </c>
      <c r="C3708" s="2" t="s">
        <v>391</v>
      </c>
      <c r="D3708" s="2" t="s">
        <v>392</v>
      </c>
      <c r="E3708" s="2" t="s">
        <v>377</v>
      </c>
      <c r="F3708" s="2" t="s">
        <v>535</v>
      </c>
      <c r="G3708" s="2" t="s">
        <v>515</v>
      </c>
      <c r="H3708" s="2" t="s">
        <v>516</v>
      </c>
      <c r="I3708" s="26">
        <v>45537</v>
      </c>
      <c r="J3708" s="2">
        <v>26</v>
      </c>
      <c r="K3708" s="2" t="s">
        <v>393</v>
      </c>
      <c r="L3708" s="22">
        <v>650</v>
      </c>
      <c r="M3708" s="22">
        <v>16900</v>
      </c>
      <c r="N3708" s="18">
        <v>18.07</v>
      </c>
      <c r="O3708" s="26">
        <v>49187</v>
      </c>
      <c r="P3708" s="2" t="s">
        <v>2105</v>
      </c>
      <c r="Q3708" s="2" t="s">
        <v>814</v>
      </c>
    </row>
    <row r="3709" spans="2:17" x14ac:dyDescent="0.25">
      <c r="B3709" s="2" t="s">
        <v>4514</v>
      </c>
      <c r="C3709" s="2" t="s">
        <v>391</v>
      </c>
      <c r="D3709" s="2" t="s">
        <v>392</v>
      </c>
      <c r="E3709" s="2" t="s">
        <v>377</v>
      </c>
      <c r="F3709" s="2" t="s">
        <v>535</v>
      </c>
      <c r="G3709" s="2" t="s">
        <v>515</v>
      </c>
      <c r="H3709" s="2" t="s">
        <v>516</v>
      </c>
      <c r="I3709" s="26">
        <v>45592</v>
      </c>
      <c r="J3709" s="2">
        <v>21</v>
      </c>
      <c r="K3709" s="2" t="s">
        <v>393</v>
      </c>
      <c r="L3709" s="22">
        <v>650</v>
      </c>
      <c r="M3709" s="22">
        <v>13650</v>
      </c>
      <c r="N3709" s="18">
        <v>14.6</v>
      </c>
      <c r="O3709" s="26">
        <v>49242</v>
      </c>
      <c r="P3709" s="2" t="s">
        <v>2105</v>
      </c>
      <c r="Q3709" s="2" t="s">
        <v>814</v>
      </c>
    </row>
    <row r="3710" spans="2:17" x14ac:dyDescent="0.25">
      <c r="B3710" s="2" t="s">
        <v>4515</v>
      </c>
      <c r="C3710" s="2" t="s">
        <v>391</v>
      </c>
      <c r="D3710" s="2" t="s">
        <v>392</v>
      </c>
      <c r="E3710" s="2" t="s">
        <v>377</v>
      </c>
      <c r="F3710" s="2" t="s">
        <v>535</v>
      </c>
      <c r="G3710" s="2" t="s">
        <v>515</v>
      </c>
      <c r="H3710" s="2" t="s">
        <v>516</v>
      </c>
      <c r="I3710" s="26">
        <v>45649</v>
      </c>
      <c r="J3710" s="2">
        <v>28</v>
      </c>
      <c r="K3710" s="2" t="s">
        <v>393</v>
      </c>
      <c r="L3710" s="22">
        <v>650</v>
      </c>
      <c r="M3710" s="22">
        <v>18200</v>
      </c>
      <c r="N3710" s="18">
        <v>19.47</v>
      </c>
      <c r="O3710" s="26">
        <v>49299</v>
      </c>
      <c r="P3710" s="2" t="s">
        <v>2105</v>
      </c>
      <c r="Q3710" s="2" t="s">
        <v>825</v>
      </c>
    </row>
    <row r="3711" spans="2:17" x14ac:dyDescent="0.25">
      <c r="B3711" s="2" t="s">
        <v>4516</v>
      </c>
      <c r="C3711" s="2" t="s">
        <v>391</v>
      </c>
      <c r="D3711" s="2" t="s">
        <v>392</v>
      </c>
      <c r="E3711" s="2" t="s">
        <v>377</v>
      </c>
      <c r="F3711" s="2" t="s">
        <v>535</v>
      </c>
      <c r="G3711" s="2" t="s">
        <v>515</v>
      </c>
      <c r="H3711" s="2" t="s">
        <v>516</v>
      </c>
      <c r="I3711" s="26">
        <v>45714</v>
      </c>
      <c r="J3711" s="2">
        <v>23</v>
      </c>
      <c r="K3711" s="2" t="s">
        <v>393</v>
      </c>
      <c r="L3711" s="22">
        <v>650</v>
      </c>
      <c r="M3711" s="22">
        <v>14950</v>
      </c>
      <c r="N3711" s="18">
        <v>15.99</v>
      </c>
      <c r="O3711" s="26">
        <v>49364</v>
      </c>
      <c r="P3711" s="2" t="s">
        <v>2105</v>
      </c>
      <c r="Q3711" s="2" t="s">
        <v>825</v>
      </c>
    </row>
    <row r="3712" spans="2:17" x14ac:dyDescent="0.25">
      <c r="B3712" s="2" t="s">
        <v>4517</v>
      </c>
      <c r="C3712" s="2" t="s">
        <v>391</v>
      </c>
      <c r="D3712" s="2" t="s">
        <v>392</v>
      </c>
      <c r="E3712" s="2" t="s">
        <v>377</v>
      </c>
      <c r="F3712" s="2" t="s">
        <v>537</v>
      </c>
      <c r="G3712" s="2" t="s">
        <v>520</v>
      </c>
      <c r="H3712" s="2" t="s">
        <v>521</v>
      </c>
      <c r="I3712" s="26">
        <v>45764</v>
      </c>
      <c r="J3712" s="2">
        <v>24</v>
      </c>
      <c r="K3712" s="2" t="s">
        <v>393</v>
      </c>
      <c r="L3712" s="22">
        <v>700</v>
      </c>
      <c r="M3712" s="22">
        <v>16800</v>
      </c>
      <c r="N3712" s="18">
        <v>17.97</v>
      </c>
      <c r="O3712" s="26">
        <v>49414</v>
      </c>
      <c r="P3712" s="2" t="s">
        <v>2105</v>
      </c>
      <c r="Q3712" s="2" t="s">
        <v>836</v>
      </c>
    </row>
    <row r="3713" spans="2:17" x14ac:dyDescent="0.25">
      <c r="B3713" s="2" t="s">
        <v>4518</v>
      </c>
      <c r="C3713" s="2" t="s">
        <v>391</v>
      </c>
      <c r="D3713" s="2" t="s">
        <v>392</v>
      </c>
      <c r="E3713" s="2" t="s">
        <v>377</v>
      </c>
      <c r="F3713" s="2" t="s">
        <v>535</v>
      </c>
      <c r="G3713" s="2" t="s">
        <v>515</v>
      </c>
      <c r="H3713" s="2" t="s">
        <v>516</v>
      </c>
      <c r="I3713" s="26">
        <v>45816</v>
      </c>
      <c r="J3713" s="2">
        <v>25</v>
      </c>
      <c r="K3713" s="2" t="s">
        <v>393</v>
      </c>
      <c r="L3713" s="22">
        <v>650</v>
      </c>
      <c r="M3713" s="22">
        <v>16250</v>
      </c>
      <c r="N3713" s="18">
        <v>17.38</v>
      </c>
      <c r="O3713" s="26">
        <v>49466</v>
      </c>
      <c r="P3713" s="2" t="s">
        <v>2105</v>
      </c>
      <c r="Q3713" s="2" t="s">
        <v>806</v>
      </c>
    </row>
    <row r="3714" spans="2:17" x14ac:dyDescent="0.25">
      <c r="B3714" s="2" t="s">
        <v>4519</v>
      </c>
      <c r="C3714" s="2" t="s">
        <v>394</v>
      </c>
      <c r="D3714" s="2" t="s">
        <v>395</v>
      </c>
      <c r="E3714" s="2" t="s">
        <v>377</v>
      </c>
      <c r="F3714" s="2" t="s">
        <v>535</v>
      </c>
      <c r="G3714" s="2" t="s">
        <v>515</v>
      </c>
      <c r="H3714" s="2" t="s">
        <v>516</v>
      </c>
      <c r="I3714" s="26">
        <v>45108</v>
      </c>
      <c r="J3714" s="2">
        <v>19</v>
      </c>
      <c r="K3714" s="2" t="s">
        <v>393</v>
      </c>
      <c r="L3714" s="22">
        <v>950</v>
      </c>
      <c r="M3714" s="22">
        <v>18050</v>
      </c>
      <c r="N3714" s="18">
        <v>19.3</v>
      </c>
      <c r="O3714" s="26">
        <v>48758</v>
      </c>
      <c r="P3714" s="2" t="s">
        <v>2105</v>
      </c>
      <c r="Q3714" s="2" t="s">
        <v>806</v>
      </c>
    </row>
    <row r="3715" spans="2:17" x14ac:dyDescent="0.25">
      <c r="B3715" s="2" t="s">
        <v>4520</v>
      </c>
      <c r="C3715" s="2" t="s">
        <v>394</v>
      </c>
      <c r="D3715" s="2" t="s">
        <v>395</v>
      </c>
      <c r="E3715" s="2" t="s">
        <v>377</v>
      </c>
      <c r="F3715" s="2" t="s">
        <v>537</v>
      </c>
      <c r="G3715" s="2" t="s">
        <v>520</v>
      </c>
      <c r="H3715" s="2" t="s">
        <v>521</v>
      </c>
      <c r="I3715" s="26">
        <v>45164</v>
      </c>
      <c r="J3715" s="2">
        <v>17</v>
      </c>
      <c r="K3715" s="2" t="s">
        <v>393</v>
      </c>
      <c r="L3715" s="22">
        <v>1100</v>
      </c>
      <c r="M3715" s="22">
        <v>18700</v>
      </c>
      <c r="N3715" s="18">
        <v>20</v>
      </c>
      <c r="O3715" s="26">
        <v>48814</v>
      </c>
      <c r="P3715" s="2" t="s">
        <v>2105</v>
      </c>
      <c r="Q3715" s="2" t="s">
        <v>806</v>
      </c>
    </row>
    <row r="3716" spans="2:17" x14ac:dyDescent="0.25">
      <c r="B3716" s="2" t="s">
        <v>4521</v>
      </c>
      <c r="C3716" s="2" t="s">
        <v>394</v>
      </c>
      <c r="D3716" s="2" t="s">
        <v>395</v>
      </c>
      <c r="E3716" s="2" t="s">
        <v>377</v>
      </c>
      <c r="F3716" s="2" t="s">
        <v>535</v>
      </c>
      <c r="G3716" s="2" t="s">
        <v>515</v>
      </c>
      <c r="H3716" s="2" t="s">
        <v>516</v>
      </c>
      <c r="I3716" s="26">
        <v>45222</v>
      </c>
      <c r="J3716" s="2">
        <v>22</v>
      </c>
      <c r="K3716" s="2" t="s">
        <v>393</v>
      </c>
      <c r="L3716" s="22">
        <v>950</v>
      </c>
      <c r="M3716" s="22">
        <v>20900</v>
      </c>
      <c r="N3716" s="18">
        <v>22.35</v>
      </c>
      <c r="O3716" s="26">
        <v>48872</v>
      </c>
      <c r="P3716" s="2" t="s">
        <v>2105</v>
      </c>
      <c r="Q3716" s="2" t="s">
        <v>814</v>
      </c>
    </row>
    <row r="3717" spans="2:17" x14ac:dyDescent="0.25">
      <c r="B3717" s="2" t="s">
        <v>4522</v>
      </c>
      <c r="C3717" s="2" t="s">
        <v>394</v>
      </c>
      <c r="D3717" s="2" t="s">
        <v>395</v>
      </c>
      <c r="E3717" s="2" t="s">
        <v>377</v>
      </c>
      <c r="F3717" s="2" t="s">
        <v>535</v>
      </c>
      <c r="G3717" s="2" t="s">
        <v>515</v>
      </c>
      <c r="H3717" s="2" t="s">
        <v>516</v>
      </c>
      <c r="I3717" s="26">
        <v>45288</v>
      </c>
      <c r="J3717" s="2">
        <v>29</v>
      </c>
      <c r="K3717" s="2" t="s">
        <v>393</v>
      </c>
      <c r="L3717" s="22">
        <v>950</v>
      </c>
      <c r="M3717" s="22">
        <v>27550</v>
      </c>
      <c r="N3717" s="18">
        <v>29.47</v>
      </c>
      <c r="O3717" s="26">
        <v>48938</v>
      </c>
      <c r="P3717" s="2" t="s">
        <v>2105</v>
      </c>
      <c r="Q3717" s="2" t="s">
        <v>825</v>
      </c>
    </row>
    <row r="3718" spans="2:17" x14ac:dyDescent="0.25">
      <c r="B3718" s="2" t="s">
        <v>4523</v>
      </c>
      <c r="C3718" s="2" t="s">
        <v>394</v>
      </c>
      <c r="D3718" s="2" t="s">
        <v>395</v>
      </c>
      <c r="E3718" s="2" t="s">
        <v>377</v>
      </c>
      <c r="F3718" s="2" t="s">
        <v>535</v>
      </c>
      <c r="G3718" s="2" t="s">
        <v>515</v>
      </c>
      <c r="H3718" s="2" t="s">
        <v>516</v>
      </c>
      <c r="I3718" s="26">
        <v>45341</v>
      </c>
      <c r="J3718" s="2">
        <v>22</v>
      </c>
      <c r="K3718" s="2" t="s">
        <v>393</v>
      </c>
      <c r="L3718" s="22">
        <v>950</v>
      </c>
      <c r="M3718" s="22">
        <v>20900</v>
      </c>
      <c r="N3718" s="18">
        <v>22.35</v>
      </c>
      <c r="O3718" s="26">
        <v>48991</v>
      </c>
      <c r="P3718" s="2" t="s">
        <v>2105</v>
      </c>
      <c r="Q3718" s="2" t="s">
        <v>825</v>
      </c>
    </row>
    <row r="3719" spans="2:17" x14ac:dyDescent="0.25">
      <c r="B3719" s="2" t="s">
        <v>4524</v>
      </c>
      <c r="C3719" s="2" t="s">
        <v>394</v>
      </c>
      <c r="D3719" s="2" t="s">
        <v>395</v>
      </c>
      <c r="E3719" s="2" t="s">
        <v>377</v>
      </c>
      <c r="F3719" s="2" t="s">
        <v>537</v>
      </c>
      <c r="G3719" s="2" t="s">
        <v>520</v>
      </c>
      <c r="H3719" s="2" t="s">
        <v>521</v>
      </c>
      <c r="I3719" s="26">
        <v>45395</v>
      </c>
      <c r="J3719" s="2">
        <v>23</v>
      </c>
      <c r="K3719" s="2" t="s">
        <v>393</v>
      </c>
      <c r="L3719" s="22">
        <v>1100</v>
      </c>
      <c r="M3719" s="22">
        <v>25300</v>
      </c>
      <c r="N3719" s="18">
        <v>27.06</v>
      </c>
      <c r="O3719" s="26">
        <v>49045</v>
      </c>
      <c r="P3719" s="2" t="s">
        <v>2105</v>
      </c>
      <c r="Q3719" s="2" t="s">
        <v>836</v>
      </c>
    </row>
    <row r="3720" spans="2:17" x14ac:dyDescent="0.25">
      <c r="B3720" s="2" t="s">
        <v>4525</v>
      </c>
      <c r="C3720" s="2" t="s">
        <v>394</v>
      </c>
      <c r="D3720" s="2" t="s">
        <v>395</v>
      </c>
      <c r="E3720" s="2" t="s">
        <v>377</v>
      </c>
      <c r="F3720" s="2" t="s">
        <v>535</v>
      </c>
      <c r="G3720" s="2" t="s">
        <v>515</v>
      </c>
      <c r="H3720" s="2" t="s">
        <v>516</v>
      </c>
      <c r="I3720" s="26">
        <v>45462</v>
      </c>
      <c r="J3720" s="2">
        <v>19</v>
      </c>
      <c r="K3720" s="2" t="s">
        <v>393</v>
      </c>
      <c r="L3720" s="22">
        <v>950</v>
      </c>
      <c r="M3720" s="22">
        <v>18050</v>
      </c>
      <c r="N3720" s="18">
        <v>19.3</v>
      </c>
      <c r="O3720" s="26">
        <v>49112</v>
      </c>
      <c r="P3720" s="2" t="s">
        <v>2105</v>
      </c>
      <c r="Q3720" s="2" t="s">
        <v>806</v>
      </c>
    </row>
    <row r="3721" spans="2:17" x14ac:dyDescent="0.25">
      <c r="B3721" s="2" t="s">
        <v>4526</v>
      </c>
      <c r="C3721" s="2" t="s">
        <v>394</v>
      </c>
      <c r="D3721" s="2" t="s">
        <v>395</v>
      </c>
      <c r="E3721" s="2" t="s">
        <v>377</v>
      </c>
      <c r="F3721" s="2" t="s">
        <v>535</v>
      </c>
      <c r="G3721" s="2" t="s">
        <v>515</v>
      </c>
      <c r="H3721" s="2" t="s">
        <v>516</v>
      </c>
      <c r="I3721" s="26">
        <v>45523</v>
      </c>
      <c r="J3721" s="2">
        <v>18</v>
      </c>
      <c r="K3721" s="2" t="s">
        <v>393</v>
      </c>
      <c r="L3721" s="22">
        <v>950</v>
      </c>
      <c r="M3721" s="22">
        <v>17100</v>
      </c>
      <c r="N3721" s="18">
        <v>18.29</v>
      </c>
      <c r="O3721" s="26">
        <v>49173</v>
      </c>
      <c r="P3721" s="2" t="s">
        <v>2105</v>
      </c>
      <c r="Q3721" s="2" t="s">
        <v>806</v>
      </c>
    </row>
    <row r="3722" spans="2:17" x14ac:dyDescent="0.25">
      <c r="B3722" s="2" t="s">
        <v>4527</v>
      </c>
      <c r="C3722" s="2" t="s">
        <v>394</v>
      </c>
      <c r="D3722" s="2" t="s">
        <v>395</v>
      </c>
      <c r="E3722" s="2" t="s">
        <v>377</v>
      </c>
      <c r="F3722" s="2" t="s">
        <v>535</v>
      </c>
      <c r="G3722" s="2" t="s">
        <v>515</v>
      </c>
      <c r="H3722" s="2" t="s">
        <v>516</v>
      </c>
      <c r="I3722" s="26">
        <v>45592</v>
      </c>
      <c r="J3722" s="2">
        <v>20</v>
      </c>
      <c r="K3722" s="2" t="s">
        <v>393</v>
      </c>
      <c r="L3722" s="22">
        <v>950</v>
      </c>
      <c r="M3722" s="22">
        <v>19000</v>
      </c>
      <c r="N3722" s="18">
        <v>20.32</v>
      </c>
      <c r="O3722" s="26">
        <v>49242</v>
      </c>
      <c r="P3722" s="2" t="s">
        <v>2105</v>
      </c>
      <c r="Q3722" s="2" t="s">
        <v>814</v>
      </c>
    </row>
    <row r="3723" spans="2:17" x14ac:dyDescent="0.25">
      <c r="B3723" s="2" t="s">
        <v>4528</v>
      </c>
      <c r="C3723" s="2" t="s">
        <v>394</v>
      </c>
      <c r="D3723" s="2" t="s">
        <v>395</v>
      </c>
      <c r="E3723" s="2" t="s">
        <v>377</v>
      </c>
      <c r="F3723" s="2" t="s">
        <v>535</v>
      </c>
      <c r="G3723" s="2" t="s">
        <v>515</v>
      </c>
      <c r="H3723" s="2" t="s">
        <v>516</v>
      </c>
      <c r="I3723" s="26">
        <v>45646</v>
      </c>
      <c r="J3723" s="2">
        <v>28</v>
      </c>
      <c r="K3723" s="2" t="s">
        <v>393</v>
      </c>
      <c r="L3723" s="22">
        <v>950</v>
      </c>
      <c r="M3723" s="22">
        <v>26600</v>
      </c>
      <c r="N3723" s="18">
        <v>28.45</v>
      </c>
      <c r="O3723" s="26">
        <v>49296</v>
      </c>
      <c r="P3723" s="2" t="s">
        <v>2105</v>
      </c>
      <c r="Q3723" s="2" t="s">
        <v>825</v>
      </c>
    </row>
    <row r="3724" spans="2:17" x14ac:dyDescent="0.25">
      <c r="B3724" s="2" t="s">
        <v>4529</v>
      </c>
      <c r="C3724" s="2" t="s">
        <v>394</v>
      </c>
      <c r="D3724" s="2" t="s">
        <v>395</v>
      </c>
      <c r="E3724" s="2" t="s">
        <v>377</v>
      </c>
      <c r="F3724" s="2" t="s">
        <v>537</v>
      </c>
      <c r="G3724" s="2" t="s">
        <v>520</v>
      </c>
      <c r="H3724" s="2" t="s">
        <v>521</v>
      </c>
      <c r="I3724" s="26">
        <v>45713</v>
      </c>
      <c r="J3724" s="2">
        <v>21</v>
      </c>
      <c r="K3724" s="2" t="s">
        <v>393</v>
      </c>
      <c r="L3724" s="22">
        <v>1100</v>
      </c>
      <c r="M3724" s="22">
        <v>23100</v>
      </c>
      <c r="N3724" s="18">
        <v>24.71</v>
      </c>
      <c r="O3724" s="26">
        <v>49363</v>
      </c>
      <c r="P3724" s="2" t="s">
        <v>2105</v>
      </c>
      <c r="Q3724" s="2" t="s">
        <v>825</v>
      </c>
    </row>
    <row r="3725" spans="2:17" x14ac:dyDescent="0.25">
      <c r="B3725" s="2" t="s">
        <v>4530</v>
      </c>
      <c r="C3725" s="2" t="s">
        <v>394</v>
      </c>
      <c r="D3725" s="2" t="s">
        <v>395</v>
      </c>
      <c r="E3725" s="2" t="s">
        <v>377</v>
      </c>
      <c r="F3725" s="2" t="s">
        <v>535</v>
      </c>
      <c r="G3725" s="2" t="s">
        <v>515</v>
      </c>
      <c r="H3725" s="2" t="s">
        <v>516</v>
      </c>
      <c r="I3725" s="26">
        <v>45759</v>
      </c>
      <c r="J3725" s="2">
        <v>20</v>
      </c>
      <c r="K3725" s="2" t="s">
        <v>393</v>
      </c>
      <c r="L3725" s="22">
        <v>950</v>
      </c>
      <c r="M3725" s="22">
        <v>19000</v>
      </c>
      <c r="N3725" s="18">
        <v>20.32</v>
      </c>
      <c r="O3725" s="26">
        <v>49409</v>
      </c>
      <c r="P3725" s="2" t="s">
        <v>2105</v>
      </c>
      <c r="Q3725" s="2" t="s">
        <v>836</v>
      </c>
    </row>
    <row r="3726" spans="2:17" x14ac:dyDescent="0.25">
      <c r="B3726" s="2" t="s">
        <v>4531</v>
      </c>
      <c r="C3726" s="2" t="s">
        <v>394</v>
      </c>
      <c r="D3726" s="2" t="s">
        <v>395</v>
      </c>
      <c r="E3726" s="2" t="s">
        <v>377</v>
      </c>
      <c r="F3726" s="2" t="s">
        <v>535</v>
      </c>
      <c r="G3726" s="2" t="s">
        <v>515</v>
      </c>
      <c r="H3726" s="2" t="s">
        <v>516</v>
      </c>
      <c r="I3726" s="26">
        <v>45817</v>
      </c>
      <c r="J3726" s="2">
        <v>19</v>
      </c>
      <c r="K3726" s="2" t="s">
        <v>393</v>
      </c>
      <c r="L3726" s="22">
        <v>950</v>
      </c>
      <c r="M3726" s="22">
        <v>18050</v>
      </c>
      <c r="N3726" s="18">
        <v>19.3</v>
      </c>
      <c r="O3726" s="26">
        <v>49467</v>
      </c>
      <c r="P3726" s="2" t="s">
        <v>2105</v>
      </c>
      <c r="Q3726" s="2" t="s">
        <v>806</v>
      </c>
    </row>
    <row r="3727" spans="2:17" x14ac:dyDescent="0.25">
      <c r="B3727" s="2" t="s">
        <v>4532</v>
      </c>
      <c r="C3727" s="2" t="s">
        <v>396</v>
      </c>
      <c r="D3727" s="2" t="s">
        <v>397</v>
      </c>
      <c r="E3727" s="2" t="s">
        <v>377</v>
      </c>
      <c r="F3727" s="2" t="s">
        <v>535</v>
      </c>
      <c r="G3727" s="2" t="s">
        <v>515</v>
      </c>
      <c r="H3727" s="2" t="s">
        <v>516</v>
      </c>
      <c r="I3727" s="26">
        <v>45129</v>
      </c>
      <c r="J3727" s="2">
        <v>19</v>
      </c>
      <c r="K3727" s="2" t="s">
        <v>393</v>
      </c>
      <c r="L3727" s="22">
        <v>1300</v>
      </c>
      <c r="M3727" s="22">
        <v>24700</v>
      </c>
      <c r="N3727" s="18">
        <v>26.42</v>
      </c>
      <c r="O3727" s="26">
        <v>48779</v>
      </c>
      <c r="P3727" s="2" t="s">
        <v>2105</v>
      </c>
      <c r="Q3727" s="2" t="s">
        <v>806</v>
      </c>
    </row>
    <row r="3728" spans="2:17" x14ac:dyDescent="0.25">
      <c r="B3728" s="2" t="s">
        <v>4533</v>
      </c>
      <c r="C3728" s="2" t="s">
        <v>396</v>
      </c>
      <c r="D3728" s="2" t="s">
        <v>397</v>
      </c>
      <c r="E3728" s="2" t="s">
        <v>377</v>
      </c>
      <c r="F3728" s="2" t="s">
        <v>535</v>
      </c>
      <c r="G3728" s="2" t="s">
        <v>515</v>
      </c>
      <c r="H3728" s="2" t="s">
        <v>516</v>
      </c>
      <c r="I3728" s="26">
        <v>45184</v>
      </c>
      <c r="J3728" s="2">
        <v>24</v>
      </c>
      <c r="K3728" s="2" t="s">
        <v>393</v>
      </c>
      <c r="L3728" s="22">
        <v>1300</v>
      </c>
      <c r="M3728" s="22">
        <v>31200</v>
      </c>
      <c r="N3728" s="18">
        <v>33.369999999999997</v>
      </c>
      <c r="O3728" s="26">
        <v>48834</v>
      </c>
      <c r="P3728" s="2" t="s">
        <v>2105</v>
      </c>
      <c r="Q3728" s="2" t="s">
        <v>814</v>
      </c>
    </row>
    <row r="3729" spans="2:17" x14ac:dyDescent="0.25">
      <c r="B3729" s="2" t="s">
        <v>4534</v>
      </c>
      <c r="C3729" s="2" t="s">
        <v>396</v>
      </c>
      <c r="D3729" s="2" t="s">
        <v>397</v>
      </c>
      <c r="E3729" s="2" t="s">
        <v>377</v>
      </c>
      <c r="F3729" s="2" t="s">
        <v>535</v>
      </c>
      <c r="G3729" s="2" t="s">
        <v>515</v>
      </c>
      <c r="H3729" s="2" t="s">
        <v>516</v>
      </c>
      <c r="I3729" s="26">
        <v>45226</v>
      </c>
      <c r="J3729" s="2">
        <v>21</v>
      </c>
      <c r="K3729" s="2" t="s">
        <v>393</v>
      </c>
      <c r="L3729" s="22">
        <v>1300</v>
      </c>
      <c r="M3729" s="22">
        <v>27300</v>
      </c>
      <c r="N3729" s="18">
        <v>29.2</v>
      </c>
      <c r="O3729" s="26">
        <v>48876</v>
      </c>
      <c r="P3729" s="2" t="s">
        <v>2105</v>
      </c>
      <c r="Q3729" s="2" t="s">
        <v>814</v>
      </c>
    </row>
    <row r="3730" spans="2:17" x14ac:dyDescent="0.25">
      <c r="B3730" s="2" t="s">
        <v>4535</v>
      </c>
      <c r="C3730" s="2" t="s">
        <v>396</v>
      </c>
      <c r="D3730" s="2" t="s">
        <v>397</v>
      </c>
      <c r="E3730" s="2" t="s">
        <v>377</v>
      </c>
      <c r="F3730" s="2" t="s">
        <v>535</v>
      </c>
      <c r="G3730" s="2" t="s">
        <v>515</v>
      </c>
      <c r="H3730" s="2" t="s">
        <v>516</v>
      </c>
      <c r="I3730" s="26">
        <v>45295</v>
      </c>
      <c r="J3730" s="2">
        <v>22</v>
      </c>
      <c r="K3730" s="2" t="s">
        <v>393</v>
      </c>
      <c r="L3730" s="22">
        <v>1300</v>
      </c>
      <c r="M3730" s="22">
        <v>28600</v>
      </c>
      <c r="N3730" s="18">
        <v>30.59</v>
      </c>
      <c r="O3730" s="26">
        <v>48945</v>
      </c>
      <c r="P3730" s="2" t="s">
        <v>2105</v>
      </c>
      <c r="Q3730" s="2" t="s">
        <v>825</v>
      </c>
    </row>
    <row r="3731" spans="2:17" x14ac:dyDescent="0.25">
      <c r="B3731" s="2" t="s">
        <v>4536</v>
      </c>
      <c r="C3731" s="2" t="s">
        <v>396</v>
      </c>
      <c r="D3731" s="2" t="s">
        <v>397</v>
      </c>
      <c r="E3731" s="2" t="s">
        <v>377</v>
      </c>
      <c r="F3731" s="2" t="s">
        <v>535</v>
      </c>
      <c r="G3731" s="2" t="s">
        <v>515</v>
      </c>
      <c r="H3731" s="2" t="s">
        <v>516</v>
      </c>
      <c r="I3731" s="26">
        <v>45359</v>
      </c>
      <c r="J3731" s="2">
        <v>23</v>
      </c>
      <c r="K3731" s="2" t="s">
        <v>393</v>
      </c>
      <c r="L3731" s="22">
        <v>1300</v>
      </c>
      <c r="M3731" s="22">
        <v>29900</v>
      </c>
      <c r="N3731" s="18">
        <v>31.98</v>
      </c>
      <c r="O3731" s="26">
        <v>49009</v>
      </c>
      <c r="P3731" s="2" t="s">
        <v>2105</v>
      </c>
      <c r="Q3731" s="2" t="s">
        <v>836</v>
      </c>
    </row>
    <row r="3732" spans="2:17" x14ac:dyDescent="0.25">
      <c r="B3732" s="2" t="s">
        <v>4537</v>
      </c>
      <c r="C3732" s="2" t="s">
        <v>396</v>
      </c>
      <c r="D3732" s="2" t="s">
        <v>397</v>
      </c>
      <c r="E3732" s="2" t="s">
        <v>377</v>
      </c>
      <c r="F3732" s="2" t="s">
        <v>537</v>
      </c>
      <c r="G3732" s="2" t="s">
        <v>520</v>
      </c>
      <c r="H3732" s="2" t="s">
        <v>521</v>
      </c>
      <c r="I3732" s="26">
        <v>45433</v>
      </c>
      <c r="J3732" s="2">
        <v>22</v>
      </c>
      <c r="K3732" s="2" t="s">
        <v>393</v>
      </c>
      <c r="L3732" s="22">
        <v>1400</v>
      </c>
      <c r="M3732" s="22">
        <v>30800</v>
      </c>
      <c r="N3732" s="18">
        <v>32.94</v>
      </c>
      <c r="O3732" s="26">
        <v>49083</v>
      </c>
      <c r="P3732" s="2" t="s">
        <v>2105</v>
      </c>
      <c r="Q3732" s="2" t="s">
        <v>836</v>
      </c>
    </row>
    <row r="3733" spans="2:17" x14ac:dyDescent="0.25">
      <c r="B3733" s="2" t="s">
        <v>4538</v>
      </c>
      <c r="C3733" s="2" t="s">
        <v>396</v>
      </c>
      <c r="D3733" s="2" t="s">
        <v>397</v>
      </c>
      <c r="E3733" s="2" t="s">
        <v>377</v>
      </c>
      <c r="F3733" s="2" t="s">
        <v>535</v>
      </c>
      <c r="G3733" s="2" t="s">
        <v>515</v>
      </c>
      <c r="H3733" s="2" t="s">
        <v>516</v>
      </c>
      <c r="I3733" s="26">
        <v>45489</v>
      </c>
      <c r="J3733" s="2">
        <v>18</v>
      </c>
      <c r="K3733" s="2" t="s">
        <v>393</v>
      </c>
      <c r="L3733" s="22">
        <v>1300</v>
      </c>
      <c r="M3733" s="22">
        <v>23400</v>
      </c>
      <c r="N3733" s="18">
        <v>25.03</v>
      </c>
      <c r="O3733" s="26">
        <v>49139</v>
      </c>
      <c r="P3733" s="2" t="s">
        <v>2105</v>
      </c>
      <c r="Q3733" s="2" t="s">
        <v>806</v>
      </c>
    </row>
    <row r="3734" spans="2:17" x14ac:dyDescent="0.25">
      <c r="B3734" s="2" t="s">
        <v>4539</v>
      </c>
      <c r="C3734" s="2" t="s">
        <v>396</v>
      </c>
      <c r="D3734" s="2" t="s">
        <v>397</v>
      </c>
      <c r="E3734" s="2" t="s">
        <v>377</v>
      </c>
      <c r="F3734" s="2" t="s">
        <v>535</v>
      </c>
      <c r="G3734" s="2" t="s">
        <v>515</v>
      </c>
      <c r="H3734" s="2" t="s">
        <v>516</v>
      </c>
      <c r="I3734" s="26">
        <v>45532</v>
      </c>
      <c r="J3734" s="2">
        <v>21</v>
      </c>
      <c r="K3734" s="2" t="s">
        <v>393</v>
      </c>
      <c r="L3734" s="22">
        <v>1300</v>
      </c>
      <c r="M3734" s="22">
        <v>27300</v>
      </c>
      <c r="N3734" s="18">
        <v>29.2</v>
      </c>
      <c r="O3734" s="26">
        <v>49182</v>
      </c>
      <c r="P3734" s="2" t="s">
        <v>2105</v>
      </c>
      <c r="Q3734" s="2" t="s">
        <v>806</v>
      </c>
    </row>
    <row r="3735" spans="2:17" x14ac:dyDescent="0.25">
      <c r="B3735" s="2" t="s">
        <v>4540</v>
      </c>
      <c r="C3735" s="2" t="s">
        <v>396</v>
      </c>
      <c r="D3735" s="2" t="s">
        <v>397</v>
      </c>
      <c r="E3735" s="2" t="s">
        <v>377</v>
      </c>
      <c r="F3735" s="2" t="s">
        <v>535</v>
      </c>
      <c r="G3735" s="2" t="s">
        <v>515</v>
      </c>
      <c r="H3735" s="2" t="s">
        <v>516</v>
      </c>
      <c r="I3735" s="26">
        <v>45580</v>
      </c>
      <c r="J3735" s="2">
        <v>23</v>
      </c>
      <c r="K3735" s="2" t="s">
        <v>393</v>
      </c>
      <c r="L3735" s="22">
        <v>1300</v>
      </c>
      <c r="M3735" s="22">
        <v>29900</v>
      </c>
      <c r="N3735" s="18">
        <v>31.98</v>
      </c>
      <c r="O3735" s="26">
        <v>49230</v>
      </c>
      <c r="P3735" s="2" t="s">
        <v>2105</v>
      </c>
      <c r="Q3735" s="2" t="s">
        <v>814</v>
      </c>
    </row>
    <row r="3736" spans="2:17" x14ac:dyDescent="0.25">
      <c r="B3736" s="2" t="s">
        <v>4541</v>
      </c>
      <c r="C3736" s="2" t="s">
        <v>396</v>
      </c>
      <c r="D3736" s="2" t="s">
        <v>397</v>
      </c>
      <c r="E3736" s="2" t="s">
        <v>377</v>
      </c>
      <c r="F3736" s="2" t="s">
        <v>535</v>
      </c>
      <c r="G3736" s="2" t="s">
        <v>515</v>
      </c>
      <c r="H3736" s="2" t="s">
        <v>516</v>
      </c>
      <c r="I3736" s="26">
        <v>45643</v>
      </c>
      <c r="J3736" s="2">
        <v>24</v>
      </c>
      <c r="K3736" s="2" t="s">
        <v>393</v>
      </c>
      <c r="L3736" s="22">
        <v>1300</v>
      </c>
      <c r="M3736" s="22">
        <v>31200</v>
      </c>
      <c r="N3736" s="18">
        <v>33.369999999999997</v>
      </c>
      <c r="O3736" s="26">
        <v>49293</v>
      </c>
      <c r="P3736" s="2" t="s">
        <v>2105</v>
      </c>
      <c r="Q3736" s="2" t="s">
        <v>825</v>
      </c>
    </row>
    <row r="3737" spans="2:17" x14ac:dyDescent="0.25">
      <c r="B3737" s="2" t="s">
        <v>4542</v>
      </c>
      <c r="C3737" s="2" t="s">
        <v>396</v>
      </c>
      <c r="D3737" s="2" t="s">
        <v>397</v>
      </c>
      <c r="E3737" s="2" t="s">
        <v>377</v>
      </c>
      <c r="F3737" s="2" t="s">
        <v>537</v>
      </c>
      <c r="G3737" s="2" t="s">
        <v>520</v>
      </c>
      <c r="H3737" s="2" t="s">
        <v>521</v>
      </c>
      <c r="I3737" s="26">
        <v>45692</v>
      </c>
      <c r="J3737" s="2">
        <v>19</v>
      </c>
      <c r="K3737" s="2" t="s">
        <v>393</v>
      </c>
      <c r="L3737" s="22">
        <v>1400</v>
      </c>
      <c r="M3737" s="22">
        <v>26600</v>
      </c>
      <c r="N3737" s="18">
        <v>28.45</v>
      </c>
      <c r="O3737" s="26">
        <v>49342</v>
      </c>
      <c r="P3737" s="2" t="s">
        <v>2105</v>
      </c>
      <c r="Q3737" s="2" t="s">
        <v>825</v>
      </c>
    </row>
    <row r="3738" spans="2:17" x14ac:dyDescent="0.25">
      <c r="B3738" s="2" t="s">
        <v>4543</v>
      </c>
      <c r="C3738" s="2" t="s">
        <v>396</v>
      </c>
      <c r="D3738" s="2" t="s">
        <v>397</v>
      </c>
      <c r="E3738" s="2" t="s">
        <v>377</v>
      </c>
      <c r="F3738" s="2" t="s">
        <v>537</v>
      </c>
      <c r="G3738" s="2" t="s">
        <v>520</v>
      </c>
      <c r="H3738" s="2" t="s">
        <v>521</v>
      </c>
      <c r="I3738" s="26">
        <v>45751</v>
      </c>
      <c r="J3738" s="2">
        <v>23</v>
      </c>
      <c r="K3738" s="2" t="s">
        <v>393</v>
      </c>
      <c r="L3738" s="22">
        <v>1400</v>
      </c>
      <c r="M3738" s="22">
        <v>32200</v>
      </c>
      <c r="N3738" s="18">
        <v>34.44</v>
      </c>
      <c r="O3738" s="26">
        <v>49401</v>
      </c>
      <c r="P3738" s="2" t="s">
        <v>2105</v>
      </c>
      <c r="Q3738" s="2" t="s">
        <v>836</v>
      </c>
    </row>
    <row r="3739" spans="2:17" x14ac:dyDescent="0.25">
      <c r="B3739" s="2" t="s">
        <v>4544</v>
      </c>
      <c r="C3739" s="2" t="s">
        <v>396</v>
      </c>
      <c r="D3739" s="2" t="s">
        <v>397</v>
      </c>
      <c r="E3739" s="2" t="s">
        <v>377</v>
      </c>
      <c r="F3739" s="2" t="s">
        <v>535</v>
      </c>
      <c r="G3739" s="2" t="s">
        <v>515</v>
      </c>
      <c r="H3739" s="2" t="s">
        <v>516</v>
      </c>
      <c r="I3739" s="26">
        <v>45803</v>
      </c>
      <c r="J3739" s="2">
        <v>22</v>
      </c>
      <c r="K3739" s="2" t="s">
        <v>393</v>
      </c>
      <c r="L3739" s="22">
        <v>1300</v>
      </c>
      <c r="M3739" s="22">
        <v>28600</v>
      </c>
      <c r="N3739" s="18">
        <v>30.59</v>
      </c>
      <c r="O3739" s="26">
        <v>49453</v>
      </c>
      <c r="P3739" s="2" t="s">
        <v>2105</v>
      </c>
      <c r="Q3739" s="2" t="s">
        <v>836</v>
      </c>
    </row>
    <row r="3740" spans="2:17" x14ac:dyDescent="0.25">
      <c r="B3740" s="2" t="s">
        <v>4545</v>
      </c>
      <c r="C3740" s="2" t="s">
        <v>398</v>
      </c>
      <c r="D3740" s="2" t="s">
        <v>399</v>
      </c>
      <c r="E3740" s="2" t="s">
        <v>377</v>
      </c>
      <c r="F3740" s="2" t="s">
        <v>535</v>
      </c>
      <c r="G3740" s="2" t="s">
        <v>515</v>
      </c>
      <c r="H3740" s="2" t="s">
        <v>516</v>
      </c>
      <c r="I3740" s="26">
        <v>45110</v>
      </c>
      <c r="J3740" s="2">
        <v>22</v>
      </c>
      <c r="K3740" s="2" t="s">
        <v>393</v>
      </c>
      <c r="L3740" s="22">
        <v>1750</v>
      </c>
      <c r="M3740" s="22">
        <v>38500</v>
      </c>
      <c r="N3740" s="18">
        <v>41.18</v>
      </c>
      <c r="O3740" s="26">
        <v>48760</v>
      </c>
      <c r="P3740" s="2" t="s">
        <v>2105</v>
      </c>
      <c r="Q3740" s="2" t="s">
        <v>806</v>
      </c>
    </row>
    <row r="3741" spans="2:17" x14ac:dyDescent="0.25">
      <c r="B3741" s="2" t="s">
        <v>4546</v>
      </c>
      <c r="C3741" s="2" t="s">
        <v>398</v>
      </c>
      <c r="D3741" s="2" t="s">
        <v>399</v>
      </c>
      <c r="E3741" s="2" t="s">
        <v>377</v>
      </c>
      <c r="F3741" s="2" t="s">
        <v>535</v>
      </c>
      <c r="G3741" s="2" t="s">
        <v>515</v>
      </c>
      <c r="H3741" s="2" t="s">
        <v>516</v>
      </c>
      <c r="I3741" s="26">
        <v>45162</v>
      </c>
      <c r="J3741" s="2">
        <v>22</v>
      </c>
      <c r="K3741" s="2" t="s">
        <v>393</v>
      </c>
      <c r="L3741" s="22">
        <v>1750</v>
      </c>
      <c r="M3741" s="22">
        <v>38500</v>
      </c>
      <c r="N3741" s="18">
        <v>41.18</v>
      </c>
      <c r="O3741" s="26">
        <v>48812</v>
      </c>
      <c r="P3741" s="2" t="s">
        <v>2105</v>
      </c>
      <c r="Q3741" s="2" t="s">
        <v>806</v>
      </c>
    </row>
    <row r="3742" spans="2:17" x14ac:dyDescent="0.25">
      <c r="B3742" s="2" t="s">
        <v>4547</v>
      </c>
      <c r="C3742" s="2" t="s">
        <v>398</v>
      </c>
      <c r="D3742" s="2" t="s">
        <v>399</v>
      </c>
      <c r="E3742" s="2" t="s">
        <v>377</v>
      </c>
      <c r="F3742" s="2" t="s">
        <v>535</v>
      </c>
      <c r="G3742" s="2" t="s">
        <v>515</v>
      </c>
      <c r="H3742" s="2" t="s">
        <v>516</v>
      </c>
      <c r="I3742" s="26">
        <v>45235</v>
      </c>
      <c r="J3742" s="2">
        <v>22</v>
      </c>
      <c r="K3742" s="2" t="s">
        <v>393</v>
      </c>
      <c r="L3742" s="22">
        <v>1750</v>
      </c>
      <c r="M3742" s="22">
        <v>38500</v>
      </c>
      <c r="N3742" s="18">
        <v>41.18</v>
      </c>
      <c r="O3742" s="26">
        <v>48885</v>
      </c>
      <c r="P3742" s="2" t="s">
        <v>2105</v>
      </c>
      <c r="Q3742" s="2" t="s">
        <v>814</v>
      </c>
    </row>
    <row r="3743" spans="2:17" x14ac:dyDescent="0.25">
      <c r="B3743" s="2" t="s">
        <v>4548</v>
      </c>
      <c r="C3743" s="2" t="s">
        <v>398</v>
      </c>
      <c r="D3743" s="2" t="s">
        <v>399</v>
      </c>
      <c r="E3743" s="2" t="s">
        <v>377</v>
      </c>
      <c r="F3743" s="2" t="s">
        <v>535</v>
      </c>
      <c r="G3743" s="2" t="s">
        <v>515</v>
      </c>
      <c r="H3743" s="2" t="s">
        <v>516</v>
      </c>
      <c r="I3743" s="26">
        <v>45286</v>
      </c>
      <c r="J3743" s="2">
        <v>26</v>
      </c>
      <c r="K3743" s="2" t="s">
        <v>393</v>
      </c>
      <c r="L3743" s="22">
        <v>1750</v>
      </c>
      <c r="M3743" s="22">
        <v>45500</v>
      </c>
      <c r="N3743" s="18">
        <v>48.66</v>
      </c>
      <c r="O3743" s="26">
        <v>48936</v>
      </c>
      <c r="P3743" s="2" t="s">
        <v>2105</v>
      </c>
      <c r="Q3743" s="2" t="s">
        <v>825</v>
      </c>
    </row>
    <row r="3744" spans="2:17" x14ac:dyDescent="0.25">
      <c r="B3744" s="2" t="s">
        <v>4549</v>
      </c>
      <c r="C3744" s="2" t="s">
        <v>398</v>
      </c>
      <c r="D3744" s="2" t="s">
        <v>399</v>
      </c>
      <c r="E3744" s="2" t="s">
        <v>377</v>
      </c>
      <c r="F3744" s="2" t="s">
        <v>535</v>
      </c>
      <c r="G3744" s="2" t="s">
        <v>515</v>
      </c>
      <c r="H3744" s="2" t="s">
        <v>516</v>
      </c>
      <c r="I3744" s="26">
        <v>45328</v>
      </c>
      <c r="J3744" s="2">
        <v>18</v>
      </c>
      <c r="K3744" s="2" t="s">
        <v>393</v>
      </c>
      <c r="L3744" s="22">
        <v>1750</v>
      </c>
      <c r="M3744" s="22">
        <v>31500</v>
      </c>
      <c r="N3744" s="18">
        <v>33.69</v>
      </c>
      <c r="O3744" s="26">
        <v>48978</v>
      </c>
      <c r="P3744" s="2" t="s">
        <v>2105</v>
      </c>
      <c r="Q3744" s="2" t="s">
        <v>825</v>
      </c>
    </row>
    <row r="3745" spans="2:17" x14ac:dyDescent="0.25">
      <c r="B3745" s="2" t="s">
        <v>4550</v>
      </c>
      <c r="C3745" s="2" t="s">
        <v>398</v>
      </c>
      <c r="D3745" s="2" t="s">
        <v>399</v>
      </c>
      <c r="E3745" s="2" t="s">
        <v>377</v>
      </c>
      <c r="F3745" s="2" t="s">
        <v>535</v>
      </c>
      <c r="G3745" s="2" t="s">
        <v>515</v>
      </c>
      <c r="H3745" s="2" t="s">
        <v>516</v>
      </c>
      <c r="I3745" s="26">
        <v>45386</v>
      </c>
      <c r="J3745" s="2">
        <v>21</v>
      </c>
      <c r="K3745" s="2" t="s">
        <v>393</v>
      </c>
      <c r="L3745" s="22">
        <v>1750</v>
      </c>
      <c r="M3745" s="22">
        <v>36750</v>
      </c>
      <c r="N3745" s="18">
        <v>39.299999999999997</v>
      </c>
      <c r="O3745" s="26">
        <v>49036</v>
      </c>
      <c r="P3745" s="2" t="s">
        <v>2105</v>
      </c>
      <c r="Q3745" s="2" t="s">
        <v>836</v>
      </c>
    </row>
    <row r="3746" spans="2:17" x14ac:dyDescent="0.25">
      <c r="B3746" s="2" t="s">
        <v>4551</v>
      </c>
      <c r="C3746" s="2" t="s">
        <v>398</v>
      </c>
      <c r="D3746" s="2" t="s">
        <v>399</v>
      </c>
      <c r="E3746" s="2" t="s">
        <v>377</v>
      </c>
      <c r="F3746" s="2" t="s">
        <v>537</v>
      </c>
      <c r="G3746" s="2" t="s">
        <v>520</v>
      </c>
      <c r="H3746" s="2" t="s">
        <v>521</v>
      </c>
      <c r="I3746" s="26">
        <v>45450</v>
      </c>
      <c r="J3746" s="2">
        <v>18</v>
      </c>
      <c r="K3746" s="2" t="s">
        <v>393</v>
      </c>
      <c r="L3746" s="22">
        <v>1700</v>
      </c>
      <c r="M3746" s="22">
        <v>30600</v>
      </c>
      <c r="N3746" s="18">
        <v>32.729999999999997</v>
      </c>
      <c r="O3746" s="26">
        <v>49100</v>
      </c>
      <c r="P3746" s="2" t="s">
        <v>2105</v>
      </c>
      <c r="Q3746" s="2" t="s">
        <v>806</v>
      </c>
    </row>
    <row r="3747" spans="2:17" x14ac:dyDescent="0.25">
      <c r="B3747" s="2" t="s">
        <v>4552</v>
      </c>
      <c r="C3747" s="2" t="s">
        <v>398</v>
      </c>
      <c r="D3747" s="2" t="s">
        <v>399</v>
      </c>
      <c r="E3747" s="2" t="s">
        <v>377</v>
      </c>
      <c r="F3747" s="2" t="s">
        <v>535</v>
      </c>
      <c r="G3747" s="2" t="s">
        <v>515</v>
      </c>
      <c r="H3747" s="2" t="s">
        <v>516</v>
      </c>
      <c r="I3747" s="26">
        <v>45486</v>
      </c>
      <c r="J3747" s="2">
        <v>19</v>
      </c>
      <c r="K3747" s="2" t="s">
        <v>393</v>
      </c>
      <c r="L3747" s="22">
        <v>1750</v>
      </c>
      <c r="M3747" s="22">
        <v>33250</v>
      </c>
      <c r="N3747" s="18">
        <v>35.56</v>
      </c>
      <c r="O3747" s="26">
        <v>49136</v>
      </c>
      <c r="P3747" s="2" t="s">
        <v>2105</v>
      </c>
      <c r="Q3747" s="2" t="s">
        <v>806</v>
      </c>
    </row>
    <row r="3748" spans="2:17" x14ac:dyDescent="0.25">
      <c r="B3748" s="2" t="s">
        <v>4553</v>
      </c>
      <c r="C3748" s="2" t="s">
        <v>398</v>
      </c>
      <c r="D3748" s="2" t="s">
        <v>399</v>
      </c>
      <c r="E3748" s="2" t="s">
        <v>377</v>
      </c>
      <c r="F3748" s="2" t="s">
        <v>535</v>
      </c>
      <c r="G3748" s="2" t="s">
        <v>515</v>
      </c>
      <c r="H3748" s="2" t="s">
        <v>516</v>
      </c>
      <c r="I3748" s="26">
        <v>45558</v>
      </c>
      <c r="J3748" s="2">
        <v>23</v>
      </c>
      <c r="K3748" s="2" t="s">
        <v>393</v>
      </c>
      <c r="L3748" s="22">
        <v>1750</v>
      </c>
      <c r="M3748" s="22">
        <v>40250</v>
      </c>
      <c r="N3748" s="18">
        <v>43.05</v>
      </c>
      <c r="O3748" s="26">
        <v>49208</v>
      </c>
      <c r="P3748" s="2" t="s">
        <v>2105</v>
      </c>
      <c r="Q3748" s="2" t="s">
        <v>814</v>
      </c>
    </row>
    <row r="3749" spans="2:17" x14ac:dyDescent="0.25">
      <c r="B3749" s="2" t="s">
        <v>4554</v>
      </c>
      <c r="C3749" s="2" t="s">
        <v>398</v>
      </c>
      <c r="D3749" s="2" t="s">
        <v>399</v>
      </c>
      <c r="E3749" s="2" t="s">
        <v>377</v>
      </c>
      <c r="F3749" s="2" t="s">
        <v>537</v>
      </c>
      <c r="G3749" s="2" t="s">
        <v>520</v>
      </c>
      <c r="H3749" s="2" t="s">
        <v>521</v>
      </c>
      <c r="I3749" s="26">
        <v>45625</v>
      </c>
      <c r="J3749" s="2">
        <v>19</v>
      </c>
      <c r="K3749" s="2" t="s">
        <v>393</v>
      </c>
      <c r="L3749" s="22">
        <v>1700</v>
      </c>
      <c r="M3749" s="22">
        <v>32300</v>
      </c>
      <c r="N3749" s="18">
        <v>34.549999999999997</v>
      </c>
      <c r="O3749" s="26">
        <v>49275</v>
      </c>
      <c r="P3749" s="2" t="s">
        <v>2105</v>
      </c>
      <c r="Q3749" s="2" t="s">
        <v>814</v>
      </c>
    </row>
    <row r="3750" spans="2:17" x14ac:dyDescent="0.25">
      <c r="B3750" s="2" t="s">
        <v>4555</v>
      </c>
      <c r="C3750" s="2" t="s">
        <v>398</v>
      </c>
      <c r="D3750" s="2" t="s">
        <v>399</v>
      </c>
      <c r="E3750" s="2" t="s">
        <v>377</v>
      </c>
      <c r="F3750" s="2" t="s">
        <v>535</v>
      </c>
      <c r="G3750" s="2" t="s">
        <v>515</v>
      </c>
      <c r="H3750" s="2" t="s">
        <v>516</v>
      </c>
      <c r="I3750" s="26">
        <v>45669</v>
      </c>
      <c r="J3750" s="2">
        <v>21</v>
      </c>
      <c r="K3750" s="2" t="s">
        <v>393</v>
      </c>
      <c r="L3750" s="22">
        <v>1750</v>
      </c>
      <c r="M3750" s="22">
        <v>36750</v>
      </c>
      <c r="N3750" s="18">
        <v>39.299999999999997</v>
      </c>
      <c r="O3750" s="26">
        <v>49319</v>
      </c>
      <c r="P3750" s="2" t="s">
        <v>2105</v>
      </c>
      <c r="Q3750" s="2" t="s">
        <v>825</v>
      </c>
    </row>
    <row r="3751" spans="2:17" x14ac:dyDescent="0.25">
      <c r="B3751" s="2" t="s">
        <v>4556</v>
      </c>
      <c r="C3751" s="2" t="s">
        <v>398</v>
      </c>
      <c r="D3751" s="2" t="s">
        <v>399</v>
      </c>
      <c r="E3751" s="2" t="s">
        <v>377</v>
      </c>
      <c r="F3751" s="2" t="s">
        <v>535</v>
      </c>
      <c r="G3751" s="2" t="s">
        <v>515</v>
      </c>
      <c r="H3751" s="2" t="s">
        <v>516</v>
      </c>
      <c r="I3751" s="26">
        <v>45718</v>
      </c>
      <c r="J3751" s="2">
        <v>22</v>
      </c>
      <c r="K3751" s="2" t="s">
        <v>393</v>
      </c>
      <c r="L3751" s="22">
        <v>1750</v>
      </c>
      <c r="M3751" s="22">
        <v>38500</v>
      </c>
      <c r="N3751" s="18">
        <v>41.18</v>
      </c>
      <c r="O3751" s="26">
        <v>49368</v>
      </c>
      <c r="P3751" s="2" t="s">
        <v>2105</v>
      </c>
      <c r="Q3751" s="2" t="s">
        <v>836</v>
      </c>
    </row>
    <row r="3752" spans="2:17" x14ac:dyDescent="0.25">
      <c r="B3752" s="2" t="s">
        <v>4557</v>
      </c>
      <c r="C3752" s="2" t="s">
        <v>398</v>
      </c>
      <c r="D3752" s="2" t="s">
        <v>399</v>
      </c>
      <c r="E3752" s="2" t="s">
        <v>377</v>
      </c>
      <c r="F3752" s="2" t="s">
        <v>535</v>
      </c>
      <c r="G3752" s="2" t="s">
        <v>515</v>
      </c>
      <c r="H3752" s="2" t="s">
        <v>516</v>
      </c>
      <c r="I3752" s="26">
        <v>45788</v>
      </c>
      <c r="J3752" s="2">
        <v>23</v>
      </c>
      <c r="K3752" s="2" t="s">
        <v>393</v>
      </c>
      <c r="L3752" s="22">
        <v>1750</v>
      </c>
      <c r="M3752" s="22">
        <v>40250</v>
      </c>
      <c r="N3752" s="18">
        <v>43.05</v>
      </c>
      <c r="O3752" s="26">
        <v>49438</v>
      </c>
      <c r="P3752" s="2" t="s">
        <v>2105</v>
      </c>
      <c r="Q3752" s="2" t="s">
        <v>836</v>
      </c>
    </row>
    <row r="3753" spans="2:17" x14ac:dyDescent="0.25">
      <c r="B3753" s="2" t="s">
        <v>4558</v>
      </c>
      <c r="C3753" s="2" t="s">
        <v>398</v>
      </c>
      <c r="D3753" s="2" t="s">
        <v>399</v>
      </c>
      <c r="E3753" s="2" t="s">
        <v>377</v>
      </c>
      <c r="F3753" s="2" t="s">
        <v>535</v>
      </c>
      <c r="G3753" s="2" t="s">
        <v>515</v>
      </c>
      <c r="H3753" s="2" t="s">
        <v>516</v>
      </c>
      <c r="I3753" s="26">
        <v>45836</v>
      </c>
      <c r="J3753" s="2">
        <v>21</v>
      </c>
      <c r="K3753" s="2" t="s">
        <v>393</v>
      </c>
      <c r="L3753" s="22">
        <v>1750</v>
      </c>
      <c r="M3753" s="22">
        <v>36750</v>
      </c>
      <c r="N3753" s="18">
        <v>39.299999999999997</v>
      </c>
      <c r="O3753" s="26">
        <v>49486</v>
      </c>
      <c r="P3753" s="2" t="s">
        <v>2105</v>
      </c>
      <c r="Q3753" s="2" t="s">
        <v>806</v>
      </c>
    </row>
    <row r="3754" spans="2:17" x14ac:dyDescent="0.25">
      <c r="B3754" s="2" t="s">
        <v>4559</v>
      </c>
      <c r="C3754" s="2" t="s">
        <v>400</v>
      </c>
      <c r="D3754" s="2" t="s">
        <v>401</v>
      </c>
      <c r="E3754" s="2" t="s">
        <v>377</v>
      </c>
      <c r="F3754" s="2" t="s">
        <v>535</v>
      </c>
      <c r="G3754" s="2" t="s">
        <v>515</v>
      </c>
      <c r="H3754" s="2" t="s">
        <v>516</v>
      </c>
      <c r="I3754" s="26">
        <v>45140</v>
      </c>
      <c r="J3754" s="2">
        <v>19</v>
      </c>
      <c r="K3754" s="2" t="s">
        <v>393</v>
      </c>
      <c r="L3754" s="22">
        <v>1950</v>
      </c>
      <c r="M3754" s="22">
        <v>37050</v>
      </c>
      <c r="N3754" s="18">
        <v>39.630000000000003</v>
      </c>
      <c r="O3754" s="26">
        <v>48790</v>
      </c>
      <c r="P3754" s="2" t="s">
        <v>2105</v>
      </c>
      <c r="Q3754" s="2" t="s">
        <v>806</v>
      </c>
    </row>
    <row r="3755" spans="2:17" x14ac:dyDescent="0.25">
      <c r="B3755" s="2" t="s">
        <v>4560</v>
      </c>
      <c r="C3755" s="2" t="s">
        <v>400</v>
      </c>
      <c r="D3755" s="2" t="s">
        <v>401</v>
      </c>
      <c r="E3755" s="2" t="s">
        <v>377</v>
      </c>
      <c r="F3755" s="2" t="s">
        <v>535</v>
      </c>
      <c r="G3755" s="2" t="s">
        <v>515</v>
      </c>
      <c r="H3755" s="2" t="s">
        <v>516</v>
      </c>
      <c r="I3755" s="26">
        <v>45197</v>
      </c>
      <c r="J3755" s="2">
        <v>28</v>
      </c>
      <c r="K3755" s="2" t="s">
        <v>393</v>
      </c>
      <c r="L3755" s="22">
        <v>1950</v>
      </c>
      <c r="M3755" s="22">
        <v>54600</v>
      </c>
      <c r="N3755" s="18">
        <v>58.4</v>
      </c>
      <c r="O3755" s="26">
        <v>48847</v>
      </c>
      <c r="P3755" s="2" t="s">
        <v>2105</v>
      </c>
      <c r="Q3755" s="2" t="s">
        <v>814</v>
      </c>
    </row>
    <row r="3756" spans="2:17" x14ac:dyDescent="0.25">
      <c r="B3756" s="2" t="s">
        <v>4561</v>
      </c>
      <c r="C3756" s="2" t="s">
        <v>400</v>
      </c>
      <c r="D3756" s="2" t="s">
        <v>401</v>
      </c>
      <c r="E3756" s="2" t="s">
        <v>377</v>
      </c>
      <c r="F3756" s="2" t="s">
        <v>535</v>
      </c>
      <c r="G3756" s="2" t="s">
        <v>515</v>
      </c>
      <c r="H3756" s="2" t="s">
        <v>516</v>
      </c>
      <c r="I3756" s="26">
        <v>45250</v>
      </c>
      <c r="J3756" s="2">
        <v>23</v>
      </c>
      <c r="K3756" s="2" t="s">
        <v>393</v>
      </c>
      <c r="L3756" s="22">
        <v>1950</v>
      </c>
      <c r="M3756" s="22">
        <v>44850</v>
      </c>
      <c r="N3756" s="18">
        <v>47.97</v>
      </c>
      <c r="O3756" s="26">
        <v>48900</v>
      </c>
      <c r="P3756" s="2" t="s">
        <v>2105</v>
      </c>
      <c r="Q3756" s="2" t="s">
        <v>814</v>
      </c>
    </row>
    <row r="3757" spans="2:17" x14ac:dyDescent="0.25">
      <c r="B3757" s="2" t="s">
        <v>4562</v>
      </c>
      <c r="C3757" s="2" t="s">
        <v>400</v>
      </c>
      <c r="D3757" s="2" t="s">
        <v>401</v>
      </c>
      <c r="E3757" s="2" t="s">
        <v>377</v>
      </c>
      <c r="F3757" s="2" t="s">
        <v>535</v>
      </c>
      <c r="G3757" s="2" t="s">
        <v>515</v>
      </c>
      <c r="H3757" s="2" t="s">
        <v>516</v>
      </c>
      <c r="I3757" s="26">
        <v>45300</v>
      </c>
      <c r="J3757" s="2">
        <v>18</v>
      </c>
      <c r="K3757" s="2" t="s">
        <v>393</v>
      </c>
      <c r="L3757" s="22">
        <v>1950</v>
      </c>
      <c r="M3757" s="22">
        <v>35100</v>
      </c>
      <c r="N3757" s="18">
        <v>37.54</v>
      </c>
      <c r="O3757" s="26">
        <v>48950</v>
      </c>
      <c r="P3757" s="2" t="s">
        <v>2105</v>
      </c>
      <c r="Q3757" s="2" t="s">
        <v>825</v>
      </c>
    </row>
    <row r="3758" spans="2:17" x14ac:dyDescent="0.25">
      <c r="B3758" s="2" t="s">
        <v>4563</v>
      </c>
      <c r="C3758" s="2" t="s">
        <v>400</v>
      </c>
      <c r="D3758" s="2" t="s">
        <v>401</v>
      </c>
      <c r="E3758" s="2" t="s">
        <v>377</v>
      </c>
      <c r="F3758" s="2" t="s">
        <v>535</v>
      </c>
      <c r="G3758" s="2" t="s">
        <v>515</v>
      </c>
      <c r="H3758" s="2" t="s">
        <v>516</v>
      </c>
      <c r="I3758" s="26">
        <v>45368</v>
      </c>
      <c r="J3758" s="2">
        <v>18</v>
      </c>
      <c r="K3758" s="2" t="s">
        <v>393</v>
      </c>
      <c r="L3758" s="22">
        <v>1950</v>
      </c>
      <c r="M3758" s="22">
        <v>35100</v>
      </c>
      <c r="N3758" s="18">
        <v>37.54</v>
      </c>
      <c r="O3758" s="26">
        <v>49018</v>
      </c>
      <c r="P3758" s="2" t="s">
        <v>2105</v>
      </c>
      <c r="Q3758" s="2" t="s">
        <v>836</v>
      </c>
    </row>
    <row r="3759" spans="2:17" x14ac:dyDescent="0.25">
      <c r="B3759" s="2" t="s">
        <v>4564</v>
      </c>
      <c r="C3759" s="2" t="s">
        <v>400</v>
      </c>
      <c r="D3759" s="2" t="s">
        <v>401</v>
      </c>
      <c r="E3759" s="2" t="s">
        <v>377</v>
      </c>
      <c r="F3759" s="2" t="s">
        <v>537</v>
      </c>
      <c r="G3759" s="2" t="s">
        <v>520</v>
      </c>
      <c r="H3759" s="2" t="s">
        <v>521</v>
      </c>
      <c r="I3759" s="26">
        <v>45419</v>
      </c>
      <c r="J3759" s="2">
        <v>18</v>
      </c>
      <c r="K3759" s="2" t="s">
        <v>393</v>
      </c>
      <c r="L3759" s="22">
        <v>2200</v>
      </c>
      <c r="M3759" s="22">
        <v>39600</v>
      </c>
      <c r="N3759" s="18">
        <v>42.35</v>
      </c>
      <c r="O3759" s="26">
        <v>49069</v>
      </c>
      <c r="P3759" s="2" t="s">
        <v>2105</v>
      </c>
      <c r="Q3759" s="2" t="s">
        <v>836</v>
      </c>
    </row>
    <row r="3760" spans="2:17" x14ac:dyDescent="0.25">
      <c r="B3760" s="2" t="s">
        <v>4565</v>
      </c>
      <c r="C3760" s="2" t="s">
        <v>400</v>
      </c>
      <c r="D3760" s="2" t="s">
        <v>401</v>
      </c>
      <c r="E3760" s="2" t="s">
        <v>377</v>
      </c>
      <c r="F3760" s="2" t="s">
        <v>535</v>
      </c>
      <c r="G3760" s="2" t="s">
        <v>515</v>
      </c>
      <c r="H3760" s="2" t="s">
        <v>516</v>
      </c>
      <c r="I3760" s="26">
        <v>45475</v>
      </c>
      <c r="J3760" s="2">
        <v>23</v>
      </c>
      <c r="K3760" s="2" t="s">
        <v>393</v>
      </c>
      <c r="L3760" s="22">
        <v>1950</v>
      </c>
      <c r="M3760" s="22">
        <v>44850</v>
      </c>
      <c r="N3760" s="18">
        <v>47.97</v>
      </c>
      <c r="O3760" s="26">
        <v>49125</v>
      </c>
      <c r="P3760" s="2" t="s">
        <v>2105</v>
      </c>
      <c r="Q3760" s="2" t="s">
        <v>806</v>
      </c>
    </row>
    <row r="3761" spans="2:17" x14ac:dyDescent="0.25">
      <c r="B3761" s="2" t="s">
        <v>4566</v>
      </c>
      <c r="C3761" s="2" t="s">
        <v>400</v>
      </c>
      <c r="D3761" s="2" t="s">
        <v>401</v>
      </c>
      <c r="E3761" s="2" t="s">
        <v>377</v>
      </c>
      <c r="F3761" s="2" t="s">
        <v>535</v>
      </c>
      <c r="G3761" s="2" t="s">
        <v>515</v>
      </c>
      <c r="H3761" s="2" t="s">
        <v>516</v>
      </c>
      <c r="I3761" s="26">
        <v>45533</v>
      </c>
      <c r="J3761" s="2">
        <v>23</v>
      </c>
      <c r="K3761" s="2" t="s">
        <v>393</v>
      </c>
      <c r="L3761" s="22">
        <v>1950</v>
      </c>
      <c r="M3761" s="22">
        <v>44850</v>
      </c>
      <c r="N3761" s="18">
        <v>47.97</v>
      </c>
      <c r="O3761" s="26">
        <v>49183</v>
      </c>
      <c r="P3761" s="2" t="s">
        <v>2105</v>
      </c>
      <c r="Q3761" s="2" t="s">
        <v>806</v>
      </c>
    </row>
    <row r="3762" spans="2:17" x14ac:dyDescent="0.25">
      <c r="B3762" s="2" t="s">
        <v>4567</v>
      </c>
      <c r="C3762" s="2" t="s">
        <v>400</v>
      </c>
      <c r="D3762" s="2" t="s">
        <v>401</v>
      </c>
      <c r="E3762" s="2" t="s">
        <v>377</v>
      </c>
      <c r="F3762" s="2" t="s">
        <v>537</v>
      </c>
      <c r="G3762" s="2" t="s">
        <v>520</v>
      </c>
      <c r="H3762" s="2" t="s">
        <v>521</v>
      </c>
      <c r="I3762" s="26">
        <v>45593</v>
      </c>
      <c r="J3762" s="2">
        <v>21</v>
      </c>
      <c r="K3762" s="2" t="s">
        <v>393</v>
      </c>
      <c r="L3762" s="22">
        <v>2200</v>
      </c>
      <c r="M3762" s="22">
        <v>46200</v>
      </c>
      <c r="N3762" s="18">
        <v>49.41</v>
      </c>
      <c r="O3762" s="26">
        <v>49243</v>
      </c>
      <c r="P3762" s="2" t="s">
        <v>2105</v>
      </c>
      <c r="Q3762" s="2" t="s">
        <v>814</v>
      </c>
    </row>
    <row r="3763" spans="2:17" x14ac:dyDescent="0.25">
      <c r="B3763" s="2" t="s">
        <v>4568</v>
      </c>
      <c r="C3763" s="2" t="s">
        <v>400</v>
      </c>
      <c r="D3763" s="2" t="s">
        <v>401</v>
      </c>
      <c r="E3763" s="2" t="s">
        <v>377</v>
      </c>
      <c r="F3763" s="2" t="s">
        <v>535</v>
      </c>
      <c r="G3763" s="2" t="s">
        <v>515</v>
      </c>
      <c r="H3763" s="2" t="s">
        <v>516</v>
      </c>
      <c r="I3763" s="26">
        <v>45646</v>
      </c>
      <c r="J3763" s="2">
        <v>22</v>
      </c>
      <c r="K3763" s="2" t="s">
        <v>393</v>
      </c>
      <c r="L3763" s="22">
        <v>1950</v>
      </c>
      <c r="M3763" s="22">
        <v>42900</v>
      </c>
      <c r="N3763" s="18">
        <v>45.88</v>
      </c>
      <c r="O3763" s="26">
        <v>49296</v>
      </c>
      <c r="P3763" s="2" t="s">
        <v>2105</v>
      </c>
      <c r="Q3763" s="2" t="s">
        <v>825</v>
      </c>
    </row>
    <row r="3764" spans="2:17" x14ac:dyDescent="0.25">
      <c r="B3764" s="2" t="s">
        <v>4569</v>
      </c>
      <c r="C3764" s="2" t="s">
        <v>400</v>
      </c>
      <c r="D3764" s="2" t="s">
        <v>401</v>
      </c>
      <c r="E3764" s="2" t="s">
        <v>377</v>
      </c>
      <c r="F3764" s="2" t="s">
        <v>535</v>
      </c>
      <c r="G3764" s="2" t="s">
        <v>515</v>
      </c>
      <c r="H3764" s="2" t="s">
        <v>516</v>
      </c>
      <c r="I3764" s="26">
        <v>45707</v>
      </c>
      <c r="J3764" s="2">
        <v>24</v>
      </c>
      <c r="K3764" s="2" t="s">
        <v>393</v>
      </c>
      <c r="L3764" s="22">
        <v>1950</v>
      </c>
      <c r="M3764" s="22">
        <v>46800</v>
      </c>
      <c r="N3764" s="18">
        <v>50.05</v>
      </c>
      <c r="O3764" s="26">
        <v>49357</v>
      </c>
      <c r="P3764" s="2" t="s">
        <v>2105</v>
      </c>
      <c r="Q3764" s="2" t="s">
        <v>825</v>
      </c>
    </row>
    <row r="3765" spans="2:17" x14ac:dyDescent="0.25">
      <c r="B3765" s="2" t="s">
        <v>4570</v>
      </c>
      <c r="C3765" s="2" t="s">
        <v>400</v>
      </c>
      <c r="D3765" s="2" t="s">
        <v>401</v>
      </c>
      <c r="E3765" s="2" t="s">
        <v>377</v>
      </c>
      <c r="F3765" s="2" t="s">
        <v>535</v>
      </c>
      <c r="G3765" s="2" t="s">
        <v>515</v>
      </c>
      <c r="H3765" s="2" t="s">
        <v>516</v>
      </c>
      <c r="I3765" s="26">
        <v>45766</v>
      </c>
      <c r="J3765" s="2">
        <v>24</v>
      </c>
      <c r="K3765" s="2" t="s">
        <v>393</v>
      </c>
      <c r="L3765" s="22">
        <v>1950</v>
      </c>
      <c r="M3765" s="22">
        <v>46800</v>
      </c>
      <c r="N3765" s="18">
        <v>50.05</v>
      </c>
      <c r="O3765" s="26">
        <v>49416</v>
      </c>
      <c r="P3765" s="2" t="s">
        <v>2105</v>
      </c>
      <c r="Q3765" s="2" t="s">
        <v>836</v>
      </c>
    </row>
    <row r="3766" spans="2:17" x14ac:dyDescent="0.25">
      <c r="B3766" s="2" t="s">
        <v>4571</v>
      </c>
      <c r="C3766" s="2" t="s">
        <v>400</v>
      </c>
      <c r="D3766" s="2" t="s">
        <v>401</v>
      </c>
      <c r="E3766" s="2" t="s">
        <v>377</v>
      </c>
      <c r="F3766" s="2" t="s">
        <v>535</v>
      </c>
      <c r="G3766" s="2" t="s">
        <v>515</v>
      </c>
      <c r="H3766" s="2" t="s">
        <v>516</v>
      </c>
      <c r="I3766" s="26">
        <v>45812</v>
      </c>
      <c r="J3766" s="2">
        <v>20</v>
      </c>
      <c r="K3766" s="2" t="s">
        <v>393</v>
      </c>
      <c r="L3766" s="22">
        <v>1950</v>
      </c>
      <c r="M3766" s="22">
        <v>39000</v>
      </c>
      <c r="N3766" s="18">
        <v>41.71</v>
      </c>
      <c r="O3766" s="26">
        <v>49462</v>
      </c>
      <c r="P3766" s="2" t="s">
        <v>2105</v>
      </c>
      <c r="Q3766" s="2" t="s">
        <v>806</v>
      </c>
    </row>
    <row r="3767" spans="2:17" x14ac:dyDescent="0.25">
      <c r="B3767" s="2" t="s">
        <v>4572</v>
      </c>
      <c r="C3767" s="2" t="s">
        <v>402</v>
      </c>
      <c r="D3767" s="2" t="s">
        <v>403</v>
      </c>
      <c r="E3767" s="2" t="s">
        <v>377</v>
      </c>
      <c r="F3767" s="2" t="s">
        <v>535</v>
      </c>
      <c r="G3767" s="2" t="s">
        <v>515</v>
      </c>
      <c r="H3767" s="2" t="s">
        <v>516</v>
      </c>
      <c r="I3767" s="26">
        <v>45115</v>
      </c>
      <c r="J3767" s="2">
        <v>19</v>
      </c>
      <c r="K3767" s="2" t="s">
        <v>393</v>
      </c>
      <c r="L3767" s="22">
        <v>2550</v>
      </c>
      <c r="M3767" s="22">
        <v>48450</v>
      </c>
      <c r="N3767" s="18">
        <v>51.82</v>
      </c>
      <c r="O3767" s="26">
        <v>48765</v>
      </c>
      <c r="P3767" s="2" t="s">
        <v>2105</v>
      </c>
      <c r="Q3767" s="2" t="s">
        <v>806</v>
      </c>
    </row>
    <row r="3768" spans="2:17" x14ac:dyDescent="0.25">
      <c r="B3768" s="2" t="s">
        <v>4573</v>
      </c>
      <c r="C3768" s="2" t="s">
        <v>402</v>
      </c>
      <c r="D3768" s="2" t="s">
        <v>403</v>
      </c>
      <c r="E3768" s="2" t="s">
        <v>377</v>
      </c>
      <c r="F3768" s="2" t="s">
        <v>535</v>
      </c>
      <c r="G3768" s="2" t="s">
        <v>515</v>
      </c>
      <c r="H3768" s="2" t="s">
        <v>516</v>
      </c>
      <c r="I3768" s="26">
        <v>45180</v>
      </c>
      <c r="J3768" s="2">
        <v>23</v>
      </c>
      <c r="K3768" s="2" t="s">
        <v>393</v>
      </c>
      <c r="L3768" s="22">
        <v>2550</v>
      </c>
      <c r="M3768" s="22">
        <v>58650</v>
      </c>
      <c r="N3768" s="18">
        <v>62.73</v>
      </c>
      <c r="O3768" s="26">
        <v>48830</v>
      </c>
      <c r="P3768" s="2" t="s">
        <v>2105</v>
      </c>
      <c r="Q3768" s="2" t="s">
        <v>814</v>
      </c>
    </row>
    <row r="3769" spans="2:17" x14ac:dyDescent="0.25">
      <c r="B3769" s="2" t="s">
        <v>4574</v>
      </c>
      <c r="C3769" s="2" t="s">
        <v>402</v>
      </c>
      <c r="D3769" s="2" t="s">
        <v>403</v>
      </c>
      <c r="E3769" s="2" t="s">
        <v>377</v>
      </c>
      <c r="F3769" s="2" t="s">
        <v>535</v>
      </c>
      <c r="G3769" s="2" t="s">
        <v>515</v>
      </c>
      <c r="H3769" s="2" t="s">
        <v>516</v>
      </c>
      <c r="I3769" s="26">
        <v>45239</v>
      </c>
      <c r="J3769" s="2">
        <v>19</v>
      </c>
      <c r="K3769" s="2" t="s">
        <v>393</v>
      </c>
      <c r="L3769" s="22">
        <v>2550</v>
      </c>
      <c r="M3769" s="22">
        <v>48450</v>
      </c>
      <c r="N3769" s="18">
        <v>51.82</v>
      </c>
      <c r="O3769" s="26">
        <v>48889</v>
      </c>
      <c r="P3769" s="2" t="s">
        <v>2105</v>
      </c>
      <c r="Q3769" s="2" t="s">
        <v>814</v>
      </c>
    </row>
    <row r="3770" spans="2:17" x14ac:dyDescent="0.25">
      <c r="B3770" s="2" t="s">
        <v>4575</v>
      </c>
      <c r="C3770" s="2" t="s">
        <v>402</v>
      </c>
      <c r="D3770" s="2" t="s">
        <v>403</v>
      </c>
      <c r="E3770" s="2" t="s">
        <v>377</v>
      </c>
      <c r="F3770" s="2" t="s">
        <v>535</v>
      </c>
      <c r="G3770" s="2" t="s">
        <v>515</v>
      </c>
      <c r="H3770" s="2" t="s">
        <v>516</v>
      </c>
      <c r="I3770" s="26">
        <v>45295</v>
      </c>
      <c r="J3770" s="2">
        <v>20</v>
      </c>
      <c r="K3770" s="2" t="s">
        <v>393</v>
      </c>
      <c r="L3770" s="22">
        <v>2550</v>
      </c>
      <c r="M3770" s="22">
        <v>51000</v>
      </c>
      <c r="N3770" s="18">
        <v>54.55</v>
      </c>
      <c r="O3770" s="26">
        <v>48945</v>
      </c>
      <c r="P3770" s="2" t="s">
        <v>2105</v>
      </c>
      <c r="Q3770" s="2" t="s">
        <v>825</v>
      </c>
    </row>
    <row r="3771" spans="2:17" x14ac:dyDescent="0.25">
      <c r="B3771" s="2" t="s">
        <v>4576</v>
      </c>
      <c r="C3771" s="2" t="s">
        <v>402</v>
      </c>
      <c r="D3771" s="2" t="s">
        <v>403</v>
      </c>
      <c r="E3771" s="2" t="s">
        <v>377</v>
      </c>
      <c r="F3771" s="2" t="s">
        <v>535</v>
      </c>
      <c r="G3771" s="2" t="s">
        <v>515</v>
      </c>
      <c r="H3771" s="2" t="s">
        <v>516</v>
      </c>
      <c r="I3771" s="26">
        <v>45331</v>
      </c>
      <c r="J3771" s="2">
        <v>23</v>
      </c>
      <c r="K3771" s="2" t="s">
        <v>393</v>
      </c>
      <c r="L3771" s="22">
        <v>2550</v>
      </c>
      <c r="M3771" s="22">
        <v>58650</v>
      </c>
      <c r="N3771" s="18">
        <v>62.73</v>
      </c>
      <c r="O3771" s="26">
        <v>48981</v>
      </c>
      <c r="P3771" s="2" t="s">
        <v>2105</v>
      </c>
      <c r="Q3771" s="2" t="s">
        <v>825</v>
      </c>
    </row>
    <row r="3772" spans="2:17" x14ac:dyDescent="0.25">
      <c r="B3772" s="2" t="s">
        <v>4577</v>
      </c>
      <c r="C3772" s="2" t="s">
        <v>402</v>
      </c>
      <c r="D3772" s="2" t="s">
        <v>403</v>
      </c>
      <c r="E3772" s="2" t="s">
        <v>377</v>
      </c>
      <c r="F3772" s="2" t="s">
        <v>535</v>
      </c>
      <c r="G3772" s="2" t="s">
        <v>515</v>
      </c>
      <c r="H3772" s="2" t="s">
        <v>516</v>
      </c>
      <c r="I3772" s="26">
        <v>45377</v>
      </c>
      <c r="J3772" s="2">
        <v>23</v>
      </c>
      <c r="K3772" s="2" t="s">
        <v>393</v>
      </c>
      <c r="L3772" s="22">
        <v>2550</v>
      </c>
      <c r="M3772" s="22">
        <v>58650</v>
      </c>
      <c r="N3772" s="18">
        <v>62.73</v>
      </c>
      <c r="O3772" s="26">
        <v>49027</v>
      </c>
      <c r="P3772" s="2" t="s">
        <v>2105</v>
      </c>
      <c r="Q3772" s="2" t="s">
        <v>836</v>
      </c>
    </row>
    <row r="3773" spans="2:17" x14ac:dyDescent="0.25">
      <c r="B3773" s="2" t="s">
        <v>4578</v>
      </c>
      <c r="C3773" s="2" t="s">
        <v>402</v>
      </c>
      <c r="D3773" s="2" t="s">
        <v>403</v>
      </c>
      <c r="E3773" s="2" t="s">
        <v>377</v>
      </c>
      <c r="F3773" s="2" t="s">
        <v>535</v>
      </c>
      <c r="G3773" s="2" t="s">
        <v>515</v>
      </c>
      <c r="H3773" s="2" t="s">
        <v>516</v>
      </c>
      <c r="I3773" s="26">
        <v>45438</v>
      </c>
      <c r="J3773" s="2">
        <v>23</v>
      </c>
      <c r="K3773" s="2" t="s">
        <v>393</v>
      </c>
      <c r="L3773" s="22">
        <v>2550</v>
      </c>
      <c r="M3773" s="22">
        <v>58650</v>
      </c>
      <c r="N3773" s="18">
        <v>62.73</v>
      </c>
      <c r="O3773" s="26">
        <v>49088</v>
      </c>
      <c r="P3773" s="2" t="s">
        <v>2105</v>
      </c>
      <c r="Q3773" s="2" t="s">
        <v>836</v>
      </c>
    </row>
    <row r="3774" spans="2:17" x14ac:dyDescent="0.25">
      <c r="B3774" s="2" t="s">
        <v>4579</v>
      </c>
      <c r="C3774" s="2" t="s">
        <v>402</v>
      </c>
      <c r="D3774" s="2" t="s">
        <v>403</v>
      </c>
      <c r="E3774" s="2" t="s">
        <v>377</v>
      </c>
      <c r="F3774" s="2" t="s">
        <v>535</v>
      </c>
      <c r="G3774" s="2" t="s">
        <v>515</v>
      </c>
      <c r="H3774" s="2" t="s">
        <v>516</v>
      </c>
      <c r="I3774" s="26">
        <v>45502</v>
      </c>
      <c r="J3774" s="2">
        <v>20</v>
      </c>
      <c r="K3774" s="2" t="s">
        <v>393</v>
      </c>
      <c r="L3774" s="22">
        <v>2550</v>
      </c>
      <c r="M3774" s="22">
        <v>51000</v>
      </c>
      <c r="N3774" s="18">
        <v>54.55</v>
      </c>
      <c r="O3774" s="26">
        <v>49152</v>
      </c>
      <c r="P3774" s="2" t="s">
        <v>2105</v>
      </c>
      <c r="Q3774" s="2" t="s">
        <v>806</v>
      </c>
    </row>
    <row r="3775" spans="2:17" x14ac:dyDescent="0.25">
      <c r="B3775" s="2" t="s">
        <v>4580</v>
      </c>
      <c r="C3775" s="2" t="s">
        <v>402</v>
      </c>
      <c r="D3775" s="2" t="s">
        <v>403</v>
      </c>
      <c r="E3775" s="2" t="s">
        <v>377</v>
      </c>
      <c r="F3775" s="2" t="s">
        <v>535</v>
      </c>
      <c r="G3775" s="2" t="s">
        <v>515</v>
      </c>
      <c r="H3775" s="2" t="s">
        <v>516</v>
      </c>
      <c r="I3775" s="26">
        <v>45571</v>
      </c>
      <c r="J3775" s="2">
        <v>21</v>
      </c>
      <c r="K3775" s="2" t="s">
        <v>393</v>
      </c>
      <c r="L3775" s="22">
        <v>2550</v>
      </c>
      <c r="M3775" s="22">
        <v>53550</v>
      </c>
      <c r="N3775" s="18">
        <v>57.27</v>
      </c>
      <c r="O3775" s="26">
        <v>49221</v>
      </c>
      <c r="P3775" s="2" t="s">
        <v>2105</v>
      </c>
      <c r="Q3775" s="2" t="s">
        <v>814</v>
      </c>
    </row>
    <row r="3776" spans="2:17" x14ac:dyDescent="0.25">
      <c r="B3776" s="2" t="s">
        <v>4581</v>
      </c>
      <c r="C3776" s="2" t="s">
        <v>402</v>
      </c>
      <c r="D3776" s="2" t="s">
        <v>403</v>
      </c>
      <c r="E3776" s="2" t="s">
        <v>377</v>
      </c>
      <c r="F3776" s="2" t="s">
        <v>535</v>
      </c>
      <c r="G3776" s="2" t="s">
        <v>515</v>
      </c>
      <c r="H3776" s="2" t="s">
        <v>516</v>
      </c>
      <c r="I3776" s="26">
        <v>45612</v>
      </c>
      <c r="J3776" s="2">
        <v>19</v>
      </c>
      <c r="K3776" s="2" t="s">
        <v>393</v>
      </c>
      <c r="L3776" s="22">
        <v>2550</v>
      </c>
      <c r="M3776" s="22">
        <v>48450</v>
      </c>
      <c r="N3776" s="18">
        <v>51.82</v>
      </c>
      <c r="O3776" s="26">
        <v>49262</v>
      </c>
      <c r="P3776" s="2" t="s">
        <v>2105</v>
      </c>
      <c r="Q3776" s="2" t="s">
        <v>814</v>
      </c>
    </row>
    <row r="3777" spans="2:17" x14ac:dyDescent="0.25">
      <c r="B3777" s="2" t="s">
        <v>4582</v>
      </c>
      <c r="C3777" s="2" t="s">
        <v>402</v>
      </c>
      <c r="D3777" s="2" t="s">
        <v>403</v>
      </c>
      <c r="E3777" s="2" t="s">
        <v>377</v>
      </c>
      <c r="F3777" s="2" t="s">
        <v>535</v>
      </c>
      <c r="G3777" s="2" t="s">
        <v>515</v>
      </c>
      <c r="H3777" s="2" t="s">
        <v>516</v>
      </c>
      <c r="I3777" s="26">
        <v>45667</v>
      </c>
      <c r="J3777" s="2">
        <v>19</v>
      </c>
      <c r="K3777" s="2" t="s">
        <v>393</v>
      </c>
      <c r="L3777" s="22">
        <v>2550</v>
      </c>
      <c r="M3777" s="22">
        <v>48450</v>
      </c>
      <c r="N3777" s="18">
        <v>51.82</v>
      </c>
      <c r="O3777" s="26">
        <v>49317</v>
      </c>
      <c r="P3777" s="2" t="s">
        <v>2105</v>
      </c>
      <c r="Q3777" s="2" t="s">
        <v>825</v>
      </c>
    </row>
    <row r="3778" spans="2:17" x14ac:dyDescent="0.25">
      <c r="B3778" s="2" t="s">
        <v>4583</v>
      </c>
      <c r="C3778" s="2" t="s">
        <v>402</v>
      </c>
      <c r="D3778" s="2" t="s">
        <v>403</v>
      </c>
      <c r="E3778" s="2" t="s">
        <v>377</v>
      </c>
      <c r="F3778" s="2" t="s">
        <v>535</v>
      </c>
      <c r="G3778" s="2" t="s">
        <v>515</v>
      </c>
      <c r="H3778" s="2" t="s">
        <v>516</v>
      </c>
      <c r="I3778" s="26">
        <v>45714</v>
      </c>
      <c r="J3778" s="2">
        <v>22</v>
      </c>
      <c r="K3778" s="2" t="s">
        <v>393</v>
      </c>
      <c r="L3778" s="22">
        <v>2550</v>
      </c>
      <c r="M3778" s="22">
        <v>56100</v>
      </c>
      <c r="N3778" s="18">
        <v>60</v>
      </c>
      <c r="O3778" s="26">
        <v>49364</v>
      </c>
      <c r="P3778" s="2" t="s">
        <v>2105</v>
      </c>
      <c r="Q3778" s="2" t="s">
        <v>825</v>
      </c>
    </row>
    <row r="3779" spans="2:17" x14ac:dyDescent="0.25">
      <c r="B3779" s="2" t="s">
        <v>4584</v>
      </c>
      <c r="C3779" s="2" t="s">
        <v>402</v>
      </c>
      <c r="D3779" s="2" t="s">
        <v>403</v>
      </c>
      <c r="E3779" s="2" t="s">
        <v>377</v>
      </c>
      <c r="F3779" s="2" t="s">
        <v>537</v>
      </c>
      <c r="G3779" s="2" t="s">
        <v>520</v>
      </c>
      <c r="H3779" s="2" t="s">
        <v>521</v>
      </c>
      <c r="I3779" s="26">
        <v>45774</v>
      </c>
      <c r="J3779" s="2">
        <v>23</v>
      </c>
      <c r="K3779" s="2" t="s">
        <v>393</v>
      </c>
      <c r="L3779" s="22">
        <v>2650</v>
      </c>
      <c r="M3779" s="22">
        <v>60950</v>
      </c>
      <c r="N3779" s="18">
        <v>65.19</v>
      </c>
      <c r="O3779" s="26">
        <v>49424</v>
      </c>
      <c r="P3779" s="2" t="s">
        <v>2105</v>
      </c>
      <c r="Q3779" s="2" t="s">
        <v>836</v>
      </c>
    </row>
    <row r="3780" spans="2:17" x14ac:dyDescent="0.25">
      <c r="B3780" s="2" t="s">
        <v>4585</v>
      </c>
      <c r="C3780" s="2" t="s">
        <v>402</v>
      </c>
      <c r="D3780" s="2" t="s">
        <v>403</v>
      </c>
      <c r="E3780" s="2" t="s">
        <v>377</v>
      </c>
      <c r="F3780" s="2" t="s">
        <v>535</v>
      </c>
      <c r="G3780" s="2" t="s">
        <v>515</v>
      </c>
      <c r="H3780" s="2" t="s">
        <v>516</v>
      </c>
      <c r="I3780" s="26">
        <v>45830</v>
      </c>
      <c r="J3780" s="2">
        <v>21</v>
      </c>
      <c r="K3780" s="2" t="s">
        <v>393</v>
      </c>
      <c r="L3780" s="22">
        <v>2550</v>
      </c>
      <c r="M3780" s="22">
        <v>53550</v>
      </c>
      <c r="N3780" s="18">
        <v>57.27</v>
      </c>
      <c r="O3780" s="26">
        <v>49480</v>
      </c>
      <c r="P3780" s="2" t="s">
        <v>2105</v>
      </c>
      <c r="Q3780" s="2" t="s">
        <v>806</v>
      </c>
    </row>
    <row r="3781" spans="2:17" x14ac:dyDescent="0.25">
      <c r="B3781" s="2" t="s">
        <v>4586</v>
      </c>
      <c r="C3781" s="2" t="s">
        <v>404</v>
      </c>
      <c r="D3781" s="2" t="s">
        <v>405</v>
      </c>
      <c r="E3781" s="2" t="s">
        <v>377</v>
      </c>
      <c r="F3781" s="2" t="s">
        <v>535</v>
      </c>
      <c r="G3781" s="2" t="s">
        <v>515</v>
      </c>
      <c r="H3781" s="2" t="s">
        <v>516</v>
      </c>
      <c r="I3781" s="26">
        <v>45156</v>
      </c>
      <c r="J3781" s="2">
        <v>21</v>
      </c>
      <c r="K3781" s="2" t="s">
        <v>393</v>
      </c>
      <c r="L3781" s="22">
        <v>3300</v>
      </c>
      <c r="M3781" s="22">
        <v>69300</v>
      </c>
      <c r="N3781" s="18">
        <v>74.12</v>
      </c>
      <c r="O3781" s="26">
        <v>48806</v>
      </c>
      <c r="P3781" s="2" t="s">
        <v>2105</v>
      </c>
      <c r="Q3781" s="2" t="s">
        <v>806</v>
      </c>
    </row>
    <row r="3782" spans="2:17" x14ac:dyDescent="0.25">
      <c r="B3782" s="2" t="s">
        <v>4587</v>
      </c>
      <c r="C3782" s="2" t="s">
        <v>404</v>
      </c>
      <c r="D3782" s="2" t="s">
        <v>405</v>
      </c>
      <c r="E3782" s="2" t="s">
        <v>377</v>
      </c>
      <c r="F3782" s="2" t="s">
        <v>535</v>
      </c>
      <c r="G3782" s="2" t="s">
        <v>515</v>
      </c>
      <c r="H3782" s="2" t="s">
        <v>516</v>
      </c>
      <c r="I3782" s="26">
        <v>45219</v>
      </c>
      <c r="J3782" s="2">
        <v>20</v>
      </c>
      <c r="K3782" s="2" t="s">
        <v>393</v>
      </c>
      <c r="L3782" s="22">
        <v>3300</v>
      </c>
      <c r="M3782" s="22">
        <v>66000</v>
      </c>
      <c r="N3782" s="18">
        <v>70.59</v>
      </c>
      <c r="O3782" s="26">
        <v>48869</v>
      </c>
      <c r="P3782" s="2" t="s">
        <v>2105</v>
      </c>
      <c r="Q3782" s="2" t="s">
        <v>814</v>
      </c>
    </row>
    <row r="3783" spans="2:17" x14ac:dyDescent="0.25">
      <c r="B3783" s="2" t="s">
        <v>4588</v>
      </c>
      <c r="C3783" s="2" t="s">
        <v>404</v>
      </c>
      <c r="D3783" s="2" t="s">
        <v>405</v>
      </c>
      <c r="E3783" s="2" t="s">
        <v>377</v>
      </c>
      <c r="F3783" s="2" t="s">
        <v>535</v>
      </c>
      <c r="G3783" s="2" t="s">
        <v>515</v>
      </c>
      <c r="H3783" s="2" t="s">
        <v>516</v>
      </c>
      <c r="I3783" s="26">
        <v>45289</v>
      </c>
      <c r="J3783" s="2">
        <v>25</v>
      </c>
      <c r="K3783" s="2" t="s">
        <v>393</v>
      </c>
      <c r="L3783" s="22">
        <v>3300</v>
      </c>
      <c r="M3783" s="22">
        <v>82500</v>
      </c>
      <c r="N3783" s="18">
        <v>88.24</v>
      </c>
      <c r="O3783" s="26">
        <v>48939</v>
      </c>
      <c r="P3783" s="2" t="s">
        <v>2105</v>
      </c>
      <c r="Q3783" s="2" t="s">
        <v>825</v>
      </c>
    </row>
    <row r="3784" spans="2:17" x14ac:dyDescent="0.25">
      <c r="B3784" s="2" t="s">
        <v>4589</v>
      </c>
      <c r="C3784" s="2" t="s">
        <v>404</v>
      </c>
      <c r="D3784" s="2" t="s">
        <v>405</v>
      </c>
      <c r="E3784" s="2" t="s">
        <v>377</v>
      </c>
      <c r="F3784" s="2" t="s">
        <v>535</v>
      </c>
      <c r="G3784" s="2" t="s">
        <v>515</v>
      </c>
      <c r="H3784" s="2" t="s">
        <v>516</v>
      </c>
      <c r="I3784" s="26">
        <v>45355</v>
      </c>
      <c r="J3784" s="2">
        <v>19</v>
      </c>
      <c r="K3784" s="2" t="s">
        <v>393</v>
      </c>
      <c r="L3784" s="22">
        <v>3300</v>
      </c>
      <c r="M3784" s="22">
        <v>62700</v>
      </c>
      <c r="N3784" s="18">
        <v>67.06</v>
      </c>
      <c r="O3784" s="26">
        <v>49005</v>
      </c>
      <c r="P3784" s="2" t="s">
        <v>2105</v>
      </c>
      <c r="Q3784" s="2" t="s">
        <v>836</v>
      </c>
    </row>
    <row r="3785" spans="2:17" x14ac:dyDescent="0.25">
      <c r="B3785" s="2" t="s">
        <v>4590</v>
      </c>
      <c r="C3785" s="2" t="s">
        <v>404</v>
      </c>
      <c r="D3785" s="2" t="s">
        <v>405</v>
      </c>
      <c r="E3785" s="2" t="s">
        <v>377</v>
      </c>
      <c r="F3785" s="2" t="s">
        <v>535</v>
      </c>
      <c r="G3785" s="2" t="s">
        <v>515</v>
      </c>
      <c r="H3785" s="2" t="s">
        <v>516</v>
      </c>
      <c r="I3785" s="26">
        <v>45421</v>
      </c>
      <c r="J3785" s="2">
        <v>18</v>
      </c>
      <c r="K3785" s="2" t="s">
        <v>393</v>
      </c>
      <c r="L3785" s="22">
        <v>3300</v>
      </c>
      <c r="M3785" s="22">
        <v>59400</v>
      </c>
      <c r="N3785" s="18">
        <v>63.53</v>
      </c>
      <c r="O3785" s="26">
        <v>49071</v>
      </c>
      <c r="P3785" s="2" t="s">
        <v>2105</v>
      </c>
      <c r="Q3785" s="2" t="s">
        <v>836</v>
      </c>
    </row>
    <row r="3786" spans="2:17" x14ac:dyDescent="0.25">
      <c r="B3786" s="2" t="s">
        <v>4591</v>
      </c>
      <c r="C3786" s="2" t="s">
        <v>404</v>
      </c>
      <c r="D3786" s="2" t="s">
        <v>405</v>
      </c>
      <c r="E3786" s="2" t="s">
        <v>377</v>
      </c>
      <c r="F3786" s="2" t="s">
        <v>535</v>
      </c>
      <c r="G3786" s="2" t="s">
        <v>515</v>
      </c>
      <c r="H3786" s="2" t="s">
        <v>516</v>
      </c>
      <c r="I3786" s="26">
        <v>45479</v>
      </c>
      <c r="J3786" s="2">
        <v>18</v>
      </c>
      <c r="K3786" s="2" t="s">
        <v>393</v>
      </c>
      <c r="L3786" s="22">
        <v>3300</v>
      </c>
      <c r="M3786" s="22">
        <v>59400</v>
      </c>
      <c r="N3786" s="18">
        <v>63.53</v>
      </c>
      <c r="O3786" s="26">
        <v>49129</v>
      </c>
      <c r="P3786" s="2" t="s">
        <v>2105</v>
      </c>
      <c r="Q3786" s="2" t="s">
        <v>806</v>
      </c>
    </row>
    <row r="3787" spans="2:17" x14ac:dyDescent="0.25">
      <c r="B3787" s="2" t="s">
        <v>4592</v>
      </c>
      <c r="C3787" s="2" t="s">
        <v>404</v>
      </c>
      <c r="D3787" s="2" t="s">
        <v>405</v>
      </c>
      <c r="E3787" s="2" t="s">
        <v>377</v>
      </c>
      <c r="F3787" s="2" t="s">
        <v>535</v>
      </c>
      <c r="G3787" s="2" t="s">
        <v>515</v>
      </c>
      <c r="H3787" s="2" t="s">
        <v>516</v>
      </c>
      <c r="I3787" s="26">
        <v>45518</v>
      </c>
      <c r="J3787" s="2">
        <v>19</v>
      </c>
      <c r="K3787" s="2" t="s">
        <v>393</v>
      </c>
      <c r="L3787" s="22">
        <v>3300</v>
      </c>
      <c r="M3787" s="22">
        <v>62700</v>
      </c>
      <c r="N3787" s="18">
        <v>67.06</v>
      </c>
      <c r="O3787" s="26">
        <v>49168</v>
      </c>
      <c r="P3787" s="2" t="s">
        <v>2105</v>
      </c>
      <c r="Q3787" s="2" t="s">
        <v>806</v>
      </c>
    </row>
    <row r="3788" spans="2:17" x14ac:dyDescent="0.25">
      <c r="B3788" s="2" t="s">
        <v>4593</v>
      </c>
      <c r="C3788" s="2" t="s">
        <v>404</v>
      </c>
      <c r="D3788" s="2" t="s">
        <v>405</v>
      </c>
      <c r="E3788" s="2" t="s">
        <v>377</v>
      </c>
      <c r="F3788" s="2" t="s">
        <v>535</v>
      </c>
      <c r="G3788" s="2" t="s">
        <v>515</v>
      </c>
      <c r="H3788" s="2" t="s">
        <v>516</v>
      </c>
      <c r="I3788" s="26">
        <v>45572</v>
      </c>
      <c r="J3788" s="2">
        <v>23</v>
      </c>
      <c r="K3788" s="2" t="s">
        <v>393</v>
      </c>
      <c r="L3788" s="22">
        <v>3300</v>
      </c>
      <c r="M3788" s="22">
        <v>75900</v>
      </c>
      <c r="N3788" s="18">
        <v>81.180000000000007</v>
      </c>
      <c r="O3788" s="26">
        <v>49222</v>
      </c>
      <c r="P3788" s="2" t="s">
        <v>2105</v>
      </c>
      <c r="Q3788" s="2" t="s">
        <v>814</v>
      </c>
    </row>
    <row r="3789" spans="2:17" x14ac:dyDescent="0.25">
      <c r="B3789" s="2" t="s">
        <v>4594</v>
      </c>
      <c r="C3789" s="2" t="s">
        <v>404</v>
      </c>
      <c r="D3789" s="2" t="s">
        <v>405</v>
      </c>
      <c r="E3789" s="2" t="s">
        <v>377</v>
      </c>
      <c r="F3789" s="2" t="s">
        <v>535</v>
      </c>
      <c r="G3789" s="2" t="s">
        <v>515</v>
      </c>
      <c r="H3789" s="2" t="s">
        <v>516</v>
      </c>
      <c r="I3789" s="26">
        <v>45614</v>
      </c>
      <c r="J3789" s="2">
        <v>22</v>
      </c>
      <c r="K3789" s="2" t="s">
        <v>393</v>
      </c>
      <c r="L3789" s="22">
        <v>3300</v>
      </c>
      <c r="M3789" s="22">
        <v>72600</v>
      </c>
      <c r="N3789" s="18">
        <v>77.650000000000006</v>
      </c>
      <c r="O3789" s="26">
        <v>49264</v>
      </c>
      <c r="P3789" s="2" t="s">
        <v>2105</v>
      </c>
      <c r="Q3789" s="2" t="s">
        <v>814</v>
      </c>
    </row>
    <row r="3790" spans="2:17" x14ac:dyDescent="0.25">
      <c r="B3790" s="2" t="s">
        <v>4595</v>
      </c>
      <c r="C3790" s="2" t="s">
        <v>404</v>
      </c>
      <c r="D3790" s="2" t="s">
        <v>405</v>
      </c>
      <c r="E3790" s="2" t="s">
        <v>377</v>
      </c>
      <c r="F3790" s="2" t="s">
        <v>535</v>
      </c>
      <c r="G3790" s="2" t="s">
        <v>515</v>
      </c>
      <c r="H3790" s="2" t="s">
        <v>516</v>
      </c>
      <c r="I3790" s="26">
        <v>45684</v>
      </c>
      <c r="J3790" s="2">
        <v>21</v>
      </c>
      <c r="K3790" s="2" t="s">
        <v>393</v>
      </c>
      <c r="L3790" s="22">
        <v>3300</v>
      </c>
      <c r="M3790" s="22">
        <v>69300</v>
      </c>
      <c r="N3790" s="18">
        <v>74.12</v>
      </c>
      <c r="O3790" s="26">
        <v>49334</v>
      </c>
      <c r="P3790" s="2" t="s">
        <v>2105</v>
      </c>
      <c r="Q3790" s="2" t="s">
        <v>825</v>
      </c>
    </row>
    <row r="3791" spans="2:17" x14ac:dyDescent="0.25">
      <c r="B3791" s="2" t="s">
        <v>4596</v>
      </c>
      <c r="C3791" s="2" t="s">
        <v>404</v>
      </c>
      <c r="D3791" s="2" t="s">
        <v>405</v>
      </c>
      <c r="E3791" s="2" t="s">
        <v>377</v>
      </c>
      <c r="F3791" s="2" t="s">
        <v>535</v>
      </c>
      <c r="G3791" s="2" t="s">
        <v>515</v>
      </c>
      <c r="H3791" s="2" t="s">
        <v>516</v>
      </c>
      <c r="I3791" s="26">
        <v>45749</v>
      </c>
      <c r="J3791" s="2">
        <v>22</v>
      </c>
      <c r="K3791" s="2" t="s">
        <v>393</v>
      </c>
      <c r="L3791" s="22">
        <v>3300</v>
      </c>
      <c r="M3791" s="22">
        <v>72600</v>
      </c>
      <c r="N3791" s="18">
        <v>77.650000000000006</v>
      </c>
      <c r="O3791" s="26">
        <v>49399</v>
      </c>
      <c r="P3791" s="2" t="s">
        <v>2105</v>
      </c>
      <c r="Q3791" s="2" t="s">
        <v>836</v>
      </c>
    </row>
    <row r="3792" spans="2:17" x14ac:dyDescent="0.25">
      <c r="B3792" s="2" t="s">
        <v>4597</v>
      </c>
      <c r="C3792" s="2" t="s">
        <v>404</v>
      </c>
      <c r="D3792" s="2" t="s">
        <v>405</v>
      </c>
      <c r="E3792" s="2" t="s">
        <v>377</v>
      </c>
      <c r="F3792" s="2" t="s">
        <v>535</v>
      </c>
      <c r="G3792" s="2" t="s">
        <v>515</v>
      </c>
      <c r="H3792" s="2" t="s">
        <v>516</v>
      </c>
      <c r="I3792" s="26">
        <v>45810</v>
      </c>
      <c r="J3792" s="2">
        <v>19</v>
      </c>
      <c r="K3792" s="2" t="s">
        <v>393</v>
      </c>
      <c r="L3792" s="22">
        <v>3300</v>
      </c>
      <c r="M3792" s="22">
        <v>62700</v>
      </c>
      <c r="N3792" s="18">
        <v>67.06</v>
      </c>
      <c r="O3792" s="26">
        <v>49460</v>
      </c>
      <c r="P3792" s="2" t="s">
        <v>2105</v>
      </c>
      <c r="Q3792" s="2" t="s">
        <v>806</v>
      </c>
    </row>
    <row r="3793" spans="2:17" x14ac:dyDescent="0.25">
      <c r="B3793" s="2" t="s">
        <v>4598</v>
      </c>
      <c r="C3793" s="2" t="s">
        <v>406</v>
      </c>
      <c r="D3793" s="2" t="s">
        <v>407</v>
      </c>
      <c r="E3793" s="2" t="s">
        <v>377</v>
      </c>
      <c r="F3793" s="2" t="s">
        <v>535</v>
      </c>
      <c r="G3793" s="2" t="s">
        <v>515</v>
      </c>
      <c r="H3793" s="2" t="s">
        <v>516</v>
      </c>
      <c r="I3793" s="26">
        <v>45150</v>
      </c>
      <c r="J3793" s="2">
        <v>18</v>
      </c>
      <c r="K3793" s="2" t="s">
        <v>408</v>
      </c>
      <c r="L3793" s="22">
        <v>1700</v>
      </c>
      <c r="M3793" s="22">
        <v>30600</v>
      </c>
      <c r="N3793" s="18">
        <v>32.729999999999997</v>
      </c>
      <c r="O3793" s="26">
        <v>48800</v>
      </c>
      <c r="P3793" s="2" t="s">
        <v>2105</v>
      </c>
      <c r="Q3793" s="2" t="s">
        <v>806</v>
      </c>
    </row>
    <row r="3794" spans="2:17" x14ac:dyDescent="0.25">
      <c r="B3794" s="2" t="s">
        <v>4599</v>
      </c>
      <c r="C3794" s="2" t="s">
        <v>406</v>
      </c>
      <c r="D3794" s="2" t="s">
        <v>407</v>
      </c>
      <c r="E3794" s="2" t="s">
        <v>377</v>
      </c>
      <c r="F3794" s="2" t="s">
        <v>535</v>
      </c>
      <c r="G3794" s="2" t="s">
        <v>515</v>
      </c>
      <c r="H3794" s="2" t="s">
        <v>516</v>
      </c>
      <c r="I3794" s="26">
        <v>45203</v>
      </c>
      <c r="J3794" s="2">
        <v>23</v>
      </c>
      <c r="K3794" s="2" t="s">
        <v>408</v>
      </c>
      <c r="L3794" s="22">
        <v>1700</v>
      </c>
      <c r="M3794" s="22">
        <v>39100</v>
      </c>
      <c r="N3794" s="18">
        <v>41.82</v>
      </c>
      <c r="O3794" s="26">
        <v>48853</v>
      </c>
      <c r="P3794" s="2" t="s">
        <v>2105</v>
      </c>
      <c r="Q3794" s="2" t="s">
        <v>814</v>
      </c>
    </row>
    <row r="3795" spans="2:17" x14ac:dyDescent="0.25">
      <c r="B3795" s="2" t="s">
        <v>4600</v>
      </c>
      <c r="C3795" s="2" t="s">
        <v>406</v>
      </c>
      <c r="D3795" s="2" t="s">
        <v>407</v>
      </c>
      <c r="E3795" s="2" t="s">
        <v>377</v>
      </c>
      <c r="F3795" s="2" t="s">
        <v>535</v>
      </c>
      <c r="G3795" s="2" t="s">
        <v>515</v>
      </c>
      <c r="H3795" s="2" t="s">
        <v>516</v>
      </c>
      <c r="I3795" s="26">
        <v>45251</v>
      </c>
      <c r="J3795" s="2">
        <v>22</v>
      </c>
      <c r="K3795" s="2" t="s">
        <v>408</v>
      </c>
      <c r="L3795" s="22">
        <v>1700</v>
      </c>
      <c r="M3795" s="22">
        <v>37400</v>
      </c>
      <c r="N3795" s="18">
        <v>40</v>
      </c>
      <c r="O3795" s="26">
        <v>48901</v>
      </c>
      <c r="P3795" s="2" t="s">
        <v>2105</v>
      </c>
      <c r="Q3795" s="2" t="s">
        <v>814</v>
      </c>
    </row>
    <row r="3796" spans="2:17" x14ac:dyDescent="0.25">
      <c r="B3796" s="2" t="s">
        <v>4601</v>
      </c>
      <c r="C3796" s="2" t="s">
        <v>406</v>
      </c>
      <c r="D3796" s="2" t="s">
        <v>407</v>
      </c>
      <c r="E3796" s="2" t="s">
        <v>377</v>
      </c>
      <c r="F3796" s="2" t="s">
        <v>535</v>
      </c>
      <c r="G3796" s="2" t="s">
        <v>515</v>
      </c>
      <c r="H3796" s="2" t="s">
        <v>516</v>
      </c>
      <c r="I3796" s="26">
        <v>45320</v>
      </c>
      <c r="J3796" s="2">
        <v>22</v>
      </c>
      <c r="K3796" s="2" t="s">
        <v>408</v>
      </c>
      <c r="L3796" s="22">
        <v>1700</v>
      </c>
      <c r="M3796" s="22">
        <v>37400</v>
      </c>
      <c r="N3796" s="18">
        <v>40</v>
      </c>
      <c r="O3796" s="26">
        <v>48970</v>
      </c>
      <c r="P3796" s="2" t="s">
        <v>2105</v>
      </c>
      <c r="Q3796" s="2" t="s">
        <v>825</v>
      </c>
    </row>
    <row r="3797" spans="2:17" x14ac:dyDescent="0.25">
      <c r="B3797" s="2" t="s">
        <v>4602</v>
      </c>
      <c r="C3797" s="2" t="s">
        <v>406</v>
      </c>
      <c r="D3797" s="2" t="s">
        <v>407</v>
      </c>
      <c r="E3797" s="2" t="s">
        <v>377</v>
      </c>
      <c r="F3797" s="2" t="s">
        <v>535</v>
      </c>
      <c r="G3797" s="2" t="s">
        <v>515</v>
      </c>
      <c r="H3797" s="2" t="s">
        <v>516</v>
      </c>
      <c r="I3797" s="26">
        <v>45383</v>
      </c>
      <c r="J3797" s="2">
        <v>22</v>
      </c>
      <c r="K3797" s="2" t="s">
        <v>408</v>
      </c>
      <c r="L3797" s="22">
        <v>1700</v>
      </c>
      <c r="M3797" s="22">
        <v>37400</v>
      </c>
      <c r="N3797" s="18">
        <v>40</v>
      </c>
      <c r="O3797" s="26">
        <v>49033</v>
      </c>
      <c r="P3797" s="2" t="s">
        <v>2105</v>
      </c>
      <c r="Q3797" s="2" t="s">
        <v>836</v>
      </c>
    </row>
    <row r="3798" spans="2:17" x14ac:dyDescent="0.25">
      <c r="B3798" s="2" t="s">
        <v>4603</v>
      </c>
      <c r="C3798" s="2" t="s">
        <v>406</v>
      </c>
      <c r="D3798" s="2" t="s">
        <v>407</v>
      </c>
      <c r="E3798" s="2" t="s">
        <v>377</v>
      </c>
      <c r="F3798" s="2" t="s">
        <v>535</v>
      </c>
      <c r="G3798" s="2" t="s">
        <v>515</v>
      </c>
      <c r="H3798" s="2" t="s">
        <v>516</v>
      </c>
      <c r="I3798" s="26">
        <v>45438</v>
      </c>
      <c r="J3798" s="2">
        <v>22</v>
      </c>
      <c r="K3798" s="2" t="s">
        <v>408</v>
      </c>
      <c r="L3798" s="22">
        <v>1700</v>
      </c>
      <c r="M3798" s="22">
        <v>37400</v>
      </c>
      <c r="N3798" s="18">
        <v>40</v>
      </c>
      <c r="O3798" s="26">
        <v>49088</v>
      </c>
      <c r="P3798" s="2" t="s">
        <v>2105</v>
      </c>
      <c r="Q3798" s="2" t="s">
        <v>836</v>
      </c>
    </row>
    <row r="3799" spans="2:17" x14ac:dyDescent="0.25">
      <c r="B3799" s="2" t="s">
        <v>4604</v>
      </c>
      <c r="C3799" s="2" t="s">
        <v>406</v>
      </c>
      <c r="D3799" s="2" t="s">
        <v>407</v>
      </c>
      <c r="E3799" s="2" t="s">
        <v>377</v>
      </c>
      <c r="F3799" s="2" t="s">
        <v>535</v>
      </c>
      <c r="G3799" s="2" t="s">
        <v>515</v>
      </c>
      <c r="H3799" s="2" t="s">
        <v>516</v>
      </c>
      <c r="I3799" s="26">
        <v>45482</v>
      </c>
      <c r="J3799" s="2">
        <v>21</v>
      </c>
      <c r="K3799" s="2" t="s">
        <v>408</v>
      </c>
      <c r="L3799" s="22">
        <v>1700</v>
      </c>
      <c r="M3799" s="22">
        <v>35700</v>
      </c>
      <c r="N3799" s="18">
        <v>38.18</v>
      </c>
      <c r="O3799" s="26">
        <v>49132</v>
      </c>
      <c r="P3799" s="2" t="s">
        <v>2105</v>
      </c>
      <c r="Q3799" s="2" t="s">
        <v>806</v>
      </c>
    </row>
    <row r="3800" spans="2:17" x14ac:dyDescent="0.25">
      <c r="B3800" s="2" t="s">
        <v>4605</v>
      </c>
      <c r="C3800" s="2" t="s">
        <v>406</v>
      </c>
      <c r="D3800" s="2" t="s">
        <v>407</v>
      </c>
      <c r="E3800" s="2" t="s">
        <v>377</v>
      </c>
      <c r="F3800" s="2" t="s">
        <v>535</v>
      </c>
      <c r="G3800" s="2" t="s">
        <v>515</v>
      </c>
      <c r="H3800" s="2" t="s">
        <v>516</v>
      </c>
      <c r="I3800" s="26">
        <v>45546</v>
      </c>
      <c r="J3800" s="2">
        <v>22</v>
      </c>
      <c r="K3800" s="2" t="s">
        <v>408</v>
      </c>
      <c r="L3800" s="22">
        <v>1700</v>
      </c>
      <c r="M3800" s="22">
        <v>37400</v>
      </c>
      <c r="N3800" s="18">
        <v>40</v>
      </c>
      <c r="O3800" s="26">
        <v>49196</v>
      </c>
      <c r="P3800" s="2" t="s">
        <v>2105</v>
      </c>
      <c r="Q3800" s="2" t="s">
        <v>814</v>
      </c>
    </row>
    <row r="3801" spans="2:17" x14ac:dyDescent="0.25">
      <c r="B3801" s="2" t="s">
        <v>4606</v>
      </c>
      <c r="C3801" s="2" t="s">
        <v>406</v>
      </c>
      <c r="D3801" s="2" t="s">
        <v>407</v>
      </c>
      <c r="E3801" s="2" t="s">
        <v>377</v>
      </c>
      <c r="F3801" s="2" t="s">
        <v>535</v>
      </c>
      <c r="G3801" s="2" t="s">
        <v>515</v>
      </c>
      <c r="H3801" s="2" t="s">
        <v>516</v>
      </c>
      <c r="I3801" s="26">
        <v>45611</v>
      </c>
      <c r="J3801" s="2">
        <v>18</v>
      </c>
      <c r="K3801" s="2" t="s">
        <v>408</v>
      </c>
      <c r="L3801" s="22">
        <v>1700</v>
      </c>
      <c r="M3801" s="22">
        <v>30600</v>
      </c>
      <c r="N3801" s="18">
        <v>32.729999999999997</v>
      </c>
      <c r="O3801" s="26">
        <v>49261</v>
      </c>
      <c r="P3801" s="2" t="s">
        <v>2105</v>
      </c>
      <c r="Q3801" s="2" t="s">
        <v>814</v>
      </c>
    </row>
    <row r="3802" spans="2:17" x14ac:dyDescent="0.25">
      <c r="B3802" s="2" t="s">
        <v>4607</v>
      </c>
      <c r="C3802" s="2" t="s">
        <v>406</v>
      </c>
      <c r="D3802" s="2" t="s">
        <v>407</v>
      </c>
      <c r="E3802" s="2" t="s">
        <v>377</v>
      </c>
      <c r="F3802" s="2" t="s">
        <v>535</v>
      </c>
      <c r="G3802" s="2" t="s">
        <v>515</v>
      </c>
      <c r="H3802" s="2" t="s">
        <v>516</v>
      </c>
      <c r="I3802" s="26">
        <v>45666</v>
      </c>
      <c r="J3802" s="2">
        <v>25</v>
      </c>
      <c r="K3802" s="2" t="s">
        <v>408</v>
      </c>
      <c r="L3802" s="22">
        <v>1700</v>
      </c>
      <c r="M3802" s="22">
        <v>42500</v>
      </c>
      <c r="N3802" s="18">
        <v>45.45</v>
      </c>
      <c r="O3802" s="26">
        <v>49316</v>
      </c>
      <c r="P3802" s="2" t="s">
        <v>2105</v>
      </c>
      <c r="Q3802" s="2" t="s">
        <v>825</v>
      </c>
    </row>
    <row r="3803" spans="2:17" x14ac:dyDescent="0.25">
      <c r="B3803" s="2" t="s">
        <v>4608</v>
      </c>
      <c r="C3803" s="2" t="s">
        <v>406</v>
      </c>
      <c r="D3803" s="2" t="s">
        <v>407</v>
      </c>
      <c r="E3803" s="2" t="s">
        <v>377</v>
      </c>
      <c r="F3803" s="2" t="s">
        <v>535</v>
      </c>
      <c r="G3803" s="2" t="s">
        <v>515</v>
      </c>
      <c r="H3803" s="2" t="s">
        <v>516</v>
      </c>
      <c r="I3803" s="26">
        <v>45717</v>
      </c>
      <c r="J3803" s="2">
        <v>21</v>
      </c>
      <c r="K3803" s="2" t="s">
        <v>408</v>
      </c>
      <c r="L3803" s="22">
        <v>1700</v>
      </c>
      <c r="M3803" s="22">
        <v>35700</v>
      </c>
      <c r="N3803" s="18">
        <v>38.18</v>
      </c>
      <c r="O3803" s="26">
        <v>49367</v>
      </c>
      <c r="P3803" s="2" t="s">
        <v>2105</v>
      </c>
      <c r="Q3803" s="2" t="s">
        <v>836</v>
      </c>
    </row>
    <row r="3804" spans="2:17" x14ac:dyDescent="0.25">
      <c r="B3804" s="2" t="s">
        <v>4609</v>
      </c>
      <c r="C3804" s="2" t="s">
        <v>406</v>
      </c>
      <c r="D3804" s="2" t="s">
        <v>407</v>
      </c>
      <c r="E3804" s="2" t="s">
        <v>377</v>
      </c>
      <c r="F3804" s="2" t="s">
        <v>537</v>
      </c>
      <c r="G3804" s="2" t="s">
        <v>520</v>
      </c>
      <c r="H3804" s="2" t="s">
        <v>521</v>
      </c>
      <c r="I3804" s="26">
        <v>45782</v>
      </c>
      <c r="J3804" s="2">
        <v>24</v>
      </c>
      <c r="K3804" s="2" t="s">
        <v>408</v>
      </c>
      <c r="L3804" s="22">
        <v>1800</v>
      </c>
      <c r="M3804" s="22">
        <v>43200</v>
      </c>
      <c r="N3804" s="18">
        <v>46.2</v>
      </c>
      <c r="O3804" s="26">
        <v>49432</v>
      </c>
      <c r="P3804" s="2" t="s">
        <v>2105</v>
      </c>
      <c r="Q3804" s="2" t="s">
        <v>836</v>
      </c>
    </row>
    <row r="3805" spans="2:17" x14ac:dyDescent="0.25">
      <c r="B3805" s="2" t="s">
        <v>4610</v>
      </c>
      <c r="C3805" s="2" t="s">
        <v>406</v>
      </c>
      <c r="D3805" s="2" t="s">
        <v>407</v>
      </c>
      <c r="E3805" s="2" t="s">
        <v>377</v>
      </c>
      <c r="F3805" s="2" t="s">
        <v>535</v>
      </c>
      <c r="G3805" s="2" t="s">
        <v>515</v>
      </c>
      <c r="H3805" s="2" t="s">
        <v>516</v>
      </c>
      <c r="I3805" s="26">
        <v>45838</v>
      </c>
      <c r="J3805" s="2">
        <v>24</v>
      </c>
      <c r="K3805" s="2" t="s">
        <v>408</v>
      </c>
      <c r="L3805" s="22">
        <v>1700</v>
      </c>
      <c r="M3805" s="22">
        <v>40800</v>
      </c>
      <c r="N3805" s="18">
        <v>43.64</v>
      </c>
      <c r="O3805" s="26">
        <v>49488</v>
      </c>
      <c r="P3805" s="2" t="s">
        <v>2105</v>
      </c>
      <c r="Q3805" s="2" t="s">
        <v>806</v>
      </c>
    </row>
    <row r="3806" spans="2:17" x14ac:dyDescent="0.25">
      <c r="B3806" s="2" t="s">
        <v>4611</v>
      </c>
      <c r="C3806" s="2" t="s">
        <v>409</v>
      </c>
      <c r="D3806" s="2" t="s">
        <v>410</v>
      </c>
      <c r="E3806" s="2" t="s">
        <v>377</v>
      </c>
      <c r="F3806" s="2" t="s">
        <v>535</v>
      </c>
      <c r="G3806" s="2" t="s">
        <v>515</v>
      </c>
      <c r="H3806" s="2" t="s">
        <v>516</v>
      </c>
      <c r="I3806" s="26">
        <v>45132</v>
      </c>
      <c r="J3806" s="2">
        <v>18</v>
      </c>
      <c r="K3806" s="2" t="s">
        <v>408</v>
      </c>
      <c r="L3806" s="22">
        <v>2400</v>
      </c>
      <c r="M3806" s="22">
        <v>43200</v>
      </c>
      <c r="N3806" s="18">
        <v>46.2</v>
      </c>
      <c r="O3806" s="26">
        <v>48782</v>
      </c>
      <c r="P3806" s="2" t="s">
        <v>2105</v>
      </c>
      <c r="Q3806" s="2" t="s">
        <v>806</v>
      </c>
    </row>
    <row r="3807" spans="2:17" x14ac:dyDescent="0.25">
      <c r="B3807" s="2" t="s">
        <v>4612</v>
      </c>
      <c r="C3807" s="2" t="s">
        <v>409</v>
      </c>
      <c r="D3807" s="2" t="s">
        <v>410</v>
      </c>
      <c r="E3807" s="2" t="s">
        <v>377</v>
      </c>
      <c r="F3807" s="2" t="s">
        <v>535</v>
      </c>
      <c r="G3807" s="2" t="s">
        <v>515</v>
      </c>
      <c r="H3807" s="2" t="s">
        <v>516</v>
      </c>
      <c r="I3807" s="26">
        <v>45195</v>
      </c>
      <c r="J3807" s="2">
        <v>28</v>
      </c>
      <c r="K3807" s="2" t="s">
        <v>408</v>
      </c>
      <c r="L3807" s="22">
        <v>2400</v>
      </c>
      <c r="M3807" s="22">
        <v>67200</v>
      </c>
      <c r="N3807" s="18">
        <v>71.87</v>
      </c>
      <c r="O3807" s="26">
        <v>48845</v>
      </c>
      <c r="P3807" s="2" t="s">
        <v>2105</v>
      </c>
      <c r="Q3807" s="2" t="s">
        <v>814</v>
      </c>
    </row>
    <row r="3808" spans="2:17" x14ac:dyDescent="0.25">
      <c r="B3808" s="2" t="s">
        <v>4613</v>
      </c>
      <c r="C3808" s="2" t="s">
        <v>409</v>
      </c>
      <c r="D3808" s="2" t="s">
        <v>410</v>
      </c>
      <c r="E3808" s="2" t="s">
        <v>377</v>
      </c>
      <c r="F3808" s="2" t="s">
        <v>535</v>
      </c>
      <c r="G3808" s="2" t="s">
        <v>515</v>
      </c>
      <c r="H3808" s="2" t="s">
        <v>516</v>
      </c>
      <c r="I3808" s="26">
        <v>45252</v>
      </c>
      <c r="J3808" s="2">
        <v>17</v>
      </c>
      <c r="K3808" s="2" t="s">
        <v>408</v>
      </c>
      <c r="L3808" s="22">
        <v>2400</v>
      </c>
      <c r="M3808" s="22">
        <v>40800</v>
      </c>
      <c r="N3808" s="18">
        <v>43.64</v>
      </c>
      <c r="O3808" s="26">
        <v>48902</v>
      </c>
      <c r="P3808" s="2" t="s">
        <v>2105</v>
      </c>
      <c r="Q3808" s="2" t="s">
        <v>814</v>
      </c>
    </row>
    <row r="3809" spans="2:17" x14ac:dyDescent="0.25">
      <c r="B3809" s="2" t="s">
        <v>4614</v>
      </c>
      <c r="C3809" s="2" t="s">
        <v>409</v>
      </c>
      <c r="D3809" s="2" t="s">
        <v>410</v>
      </c>
      <c r="E3809" s="2" t="s">
        <v>377</v>
      </c>
      <c r="F3809" s="2" t="s">
        <v>535</v>
      </c>
      <c r="G3809" s="2" t="s">
        <v>515</v>
      </c>
      <c r="H3809" s="2" t="s">
        <v>516</v>
      </c>
      <c r="I3809" s="26">
        <v>45313</v>
      </c>
      <c r="J3809" s="2">
        <v>21</v>
      </c>
      <c r="K3809" s="2" t="s">
        <v>408</v>
      </c>
      <c r="L3809" s="22">
        <v>2400</v>
      </c>
      <c r="M3809" s="22">
        <v>50400</v>
      </c>
      <c r="N3809" s="18">
        <v>53.9</v>
      </c>
      <c r="O3809" s="26">
        <v>48963</v>
      </c>
      <c r="P3809" s="2" t="s">
        <v>2105</v>
      </c>
      <c r="Q3809" s="2" t="s">
        <v>825</v>
      </c>
    </row>
    <row r="3810" spans="2:17" x14ac:dyDescent="0.25">
      <c r="B3810" s="2" t="s">
        <v>4615</v>
      </c>
      <c r="C3810" s="2" t="s">
        <v>409</v>
      </c>
      <c r="D3810" s="2" t="s">
        <v>410</v>
      </c>
      <c r="E3810" s="2" t="s">
        <v>377</v>
      </c>
      <c r="F3810" s="2" t="s">
        <v>535</v>
      </c>
      <c r="G3810" s="2" t="s">
        <v>515</v>
      </c>
      <c r="H3810" s="2" t="s">
        <v>516</v>
      </c>
      <c r="I3810" s="26">
        <v>45379</v>
      </c>
      <c r="J3810" s="2">
        <v>21</v>
      </c>
      <c r="K3810" s="2" t="s">
        <v>408</v>
      </c>
      <c r="L3810" s="22">
        <v>2400</v>
      </c>
      <c r="M3810" s="22">
        <v>50400</v>
      </c>
      <c r="N3810" s="18">
        <v>53.9</v>
      </c>
      <c r="O3810" s="26">
        <v>49029</v>
      </c>
      <c r="P3810" s="2" t="s">
        <v>2105</v>
      </c>
      <c r="Q3810" s="2" t="s">
        <v>836</v>
      </c>
    </row>
    <row r="3811" spans="2:17" x14ac:dyDescent="0.25">
      <c r="B3811" s="2" t="s">
        <v>4616</v>
      </c>
      <c r="C3811" s="2" t="s">
        <v>409</v>
      </c>
      <c r="D3811" s="2" t="s">
        <v>410</v>
      </c>
      <c r="E3811" s="2" t="s">
        <v>377</v>
      </c>
      <c r="F3811" s="2" t="s">
        <v>535</v>
      </c>
      <c r="G3811" s="2" t="s">
        <v>515</v>
      </c>
      <c r="H3811" s="2" t="s">
        <v>516</v>
      </c>
      <c r="I3811" s="26">
        <v>45441</v>
      </c>
      <c r="J3811" s="2">
        <v>20</v>
      </c>
      <c r="K3811" s="2" t="s">
        <v>408</v>
      </c>
      <c r="L3811" s="22">
        <v>2400</v>
      </c>
      <c r="M3811" s="22">
        <v>48000</v>
      </c>
      <c r="N3811" s="18">
        <v>51.34</v>
      </c>
      <c r="O3811" s="26">
        <v>49091</v>
      </c>
      <c r="P3811" s="2" t="s">
        <v>2105</v>
      </c>
      <c r="Q3811" s="2" t="s">
        <v>836</v>
      </c>
    </row>
    <row r="3812" spans="2:17" x14ac:dyDescent="0.25">
      <c r="B3812" s="2" t="s">
        <v>4617</v>
      </c>
      <c r="C3812" s="2" t="s">
        <v>409</v>
      </c>
      <c r="D3812" s="2" t="s">
        <v>410</v>
      </c>
      <c r="E3812" s="2" t="s">
        <v>377</v>
      </c>
      <c r="F3812" s="2" t="s">
        <v>535</v>
      </c>
      <c r="G3812" s="2" t="s">
        <v>515</v>
      </c>
      <c r="H3812" s="2" t="s">
        <v>516</v>
      </c>
      <c r="I3812" s="26">
        <v>45488</v>
      </c>
      <c r="J3812" s="2">
        <v>23</v>
      </c>
      <c r="K3812" s="2" t="s">
        <v>408</v>
      </c>
      <c r="L3812" s="22">
        <v>2400</v>
      </c>
      <c r="M3812" s="22">
        <v>55200</v>
      </c>
      <c r="N3812" s="18">
        <v>59.04</v>
      </c>
      <c r="O3812" s="26">
        <v>49138</v>
      </c>
      <c r="P3812" s="2" t="s">
        <v>2105</v>
      </c>
      <c r="Q3812" s="2" t="s">
        <v>806</v>
      </c>
    </row>
    <row r="3813" spans="2:17" x14ac:dyDescent="0.25">
      <c r="B3813" s="2" t="s">
        <v>4618</v>
      </c>
      <c r="C3813" s="2" t="s">
        <v>409</v>
      </c>
      <c r="D3813" s="2" t="s">
        <v>410</v>
      </c>
      <c r="E3813" s="2" t="s">
        <v>377</v>
      </c>
      <c r="F3813" s="2" t="s">
        <v>535</v>
      </c>
      <c r="G3813" s="2" t="s">
        <v>515</v>
      </c>
      <c r="H3813" s="2" t="s">
        <v>516</v>
      </c>
      <c r="I3813" s="26">
        <v>45560</v>
      </c>
      <c r="J3813" s="2">
        <v>27</v>
      </c>
      <c r="K3813" s="2" t="s">
        <v>408</v>
      </c>
      <c r="L3813" s="22">
        <v>2400</v>
      </c>
      <c r="M3813" s="22">
        <v>64800</v>
      </c>
      <c r="N3813" s="18">
        <v>69.3</v>
      </c>
      <c r="O3813" s="26">
        <v>49210</v>
      </c>
      <c r="P3813" s="2" t="s">
        <v>2105</v>
      </c>
      <c r="Q3813" s="2" t="s">
        <v>814</v>
      </c>
    </row>
    <row r="3814" spans="2:17" x14ac:dyDescent="0.25">
      <c r="B3814" s="2" t="s">
        <v>4619</v>
      </c>
      <c r="C3814" s="2" t="s">
        <v>409</v>
      </c>
      <c r="D3814" s="2" t="s">
        <v>410</v>
      </c>
      <c r="E3814" s="2" t="s">
        <v>377</v>
      </c>
      <c r="F3814" s="2" t="s">
        <v>537</v>
      </c>
      <c r="G3814" s="2" t="s">
        <v>520</v>
      </c>
      <c r="H3814" s="2" t="s">
        <v>521</v>
      </c>
      <c r="I3814" s="26">
        <v>45615</v>
      </c>
      <c r="J3814" s="2">
        <v>21</v>
      </c>
      <c r="K3814" s="2" t="s">
        <v>408</v>
      </c>
      <c r="L3814" s="22">
        <v>2400</v>
      </c>
      <c r="M3814" s="22">
        <v>50400</v>
      </c>
      <c r="N3814" s="18">
        <v>53.9</v>
      </c>
      <c r="O3814" s="26">
        <v>49265</v>
      </c>
      <c r="P3814" s="2" t="s">
        <v>2105</v>
      </c>
      <c r="Q3814" s="2" t="s">
        <v>814</v>
      </c>
    </row>
    <row r="3815" spans="2:17" x14ac:dyDescent="0.25">
      <c r="B3815" s="2" t="s">
        <v>4620</v>
      </c>
      <c r="C3815" s="2" t="s">
        <v>409</v>
      </c>
      <c r="D3815" s="2" t="s">
        <v>410</v>
      </c>
      <c r="E3815" s="2" t="s">
        <v>377</v>
      </c>
      <c r="F3815" s="2" t="s">
        <v>535</v>
      </c>
      <c r="G3815" s="2" t="s">
        <v>515</v>
      </c>
      <c r="H3815" s="2" t="s">
        <v>516</v>
      </c>
      <c r="I3815" s="26">
        <v>45665</v>
      </c>
      <c r="J3815" s="2">
        <v>21</v>
      </c>
      <c r="K3815" s="2" t="s">
        <v>408</v>
      </c>
      <c r="L3815" s="22">
        <v>2400</v>
      </c>
      <c r="M3815" s="22">
        <v>50400</v>
      </c>
      <c r="N3815" s="18">
        <v>53.9</v>
      </c>
      <c r="O3815" s="26">
        <v>49315</v>
      </c>
      <c r="P3815" s="2" t="s">
        <v>2105</v>
      </c>
      <c r="Q3815" s="2" t="s">
        <v>825</v>
      </c>
    </row>
    <row r="3816" spans="2:17" x14ac:dyDescent="0.25">
      <c r="B3816" s="2" t="s">
        <v>4621</v>
      </c>
      <c r="C3816" s="2" t="s">
        <v>409</v>
      </c>
      <c r="D3816" s="2" t="s">
        <v>410</v>
      </c>
      <c r="E3816" s="2" t="s">
        <v>377</v>
      </c>
      <c r="F3816" s="2" t="s">
        <v>535</v>
      </c>
      <c r="G3816" s="2" t="s">
        <v>515</v>
      </c>
      <c r="H3816" s="2" t="s">
        <v>516</v>
      </c>
      <c r="I3816" s="26">
        <v>45738</v>
      </c>
      <c r="J3816" s="2">
        <v>21</v>
      </c>
      <c r="K3816" s="2" t="s">
        <v>408</v>
      </c>
      <c r="L3816" s="22">
        <v>2400</v>
      </c>
      <c r="M3816" s="22">
        <v>50400</v>
      </c>
      <c r="N3816" s="18">
        <v>53.9</v>
      </c>
      <c r="O3816" s="26">
        <v>49388</v>
      </c>
      <c r="P3816" s="2" t="s">
        <v>2105</v>
      </c>
      <c r="Q3816" s="2" t="s">
        <v>836</v>
      </c>
    </row>
    <row r="3817" spans="2:17" x14ac:dyDescent="0.25">
      <c r="B3817" s="2" t="s">
        <v>4622</v>
      </c>
      <c r="C3817" s="2" t="s">
        <v>409</v>
      </c>
      <c r="D3817" s="2" t="s">
        <v>410</v>
      </c>
      <c r="E3817" s="2" t="s">
        <v>377</v>
      </c>
      <c r="F3817" s="2" t="s">
        <v>535</v>
      </c>
      <c r="G3817" s="2" t="s">
        <v>515</v>
      </c>
      <c r="H3817" s="2" t="s">
        <v>516</v>
      </c>
      <c r="I3817" s="26">
        <v>45806</v>
      </c>
      <c r="J3817" s="2">
        <v>23</v>
      </c>
      <c r="K3817" s="2" t="s">
        <v>408</v>
      </c>
      <c r="L3817" s="22">
        <v>2400</v>
      </c>
      <c r="M3817" s="22">
        <v>55200</v>
      </c>
      <c r="N3817" s="18">
        <v>59.04</v>
      </c>
      <c r="O3817" s="26">
        <v>49456</v>
      </c>
      <c r="P3817" s="2" t="s">
        <v>2105</v>
      </c>
      <c r="Q3817" s="2" t="s">
        <v>836</v>
      </c>
    </row>
    <row r="3818" spans="2:17" x14ac:dyDescent="0.25">
      <c r="B3818" s="2" t="s">
        <v>4623</v>
      </c>
      <c r="C3818" s="2" t="s">
        <v>411</v>
      </c>
      <c r="D3818" s="2" t="s">
        <v>412</v>
      </c>
      <c r="E3818" s="2" t="s">
        <v>377</v>
      </c>
      <c r="F3818" s="2" t="s">
        <v>535</v>
      </c>
      <c r="G3818" s="2" t="s">
        <v>515</v>
      </c>
      <c r="H3818" s="2" t="s">
        <v>516</v>
      </c>
      <c r="I3818" s="26">
        <v>45137</v>
      </c>
      <c r="J3818" s="2">
        <v>17</v>
      </c>
      <c r="K3818" s="2" t="s">
        <v>408</v>
      </c>
      <c r="L3818" s="22">
        <v>3050</v>
      </c>
      <c r="M3818" s="22">
        <v>51850</v>
      </c>
      <c r="N3818" s="18">
        <v>55.45</v>
      </c>
      <c r="O3818" s="26">
        <v>48787</v>
      </c>
      <c r="P3818" s="2" t="s">
        <v>2105</v>
      </c>
      <c r="Q3818" s="2" t="s">
        <v>806</v>
      </c>
    </row>
    <row r="3819" spans="2:17" x14ac:dyDescent="0.25">
      <c r="B3819" s="2" t="s">
        <v>4624</v>
      </c>
      <c r="C3819" s="2" t="s">
        <v>411</v>
      </c>
      <c r="D3819" s="2" t="s">
        <v>412</v>
      </c>
      <c r="E3819" s="2" t="s">
        <v>377</v>
      </c>
      <c r="F3819" s="2" t="s">
        <v>535</v>
      </c>
      <c r="G3819" s="2" t="s">
        <v>515</v>
      </c>
      <c r="H3819" s="2" t="s">
        <v>516</v>
      </c>
      <c r="I3819" s="26">
        <v>45202</v>
      </c>
      <c r="J3819" s="2">
        <v>20</v>
      </c>
      <c r="K3819" s="2" t="s">
        <v>408</v>
      </c>
      <c r="L3819" s="22">
        <v>3050</v>
      </c>
      <c r="M3819" s="22">
        <v>61000</v>
      </c>
      <c r="N3819" s="18">
        <v>65.239999999999995</v>
      </c>
      <c r="O3819" s="26">
        <v>48852</v>
      </c>
      <c r="P3819" s="2" t="s">
        <v>2105</v>
      </c>
      <c r="Q3819" s="2" t="s">
        <v>814</v>
      </c>
    </row>
    <row r="3820" spans="2:17" x14ac:dyDescent="0.25">
      <c r="B3820" s="2" t="s">
        <v>4625</v>
      </c>
      <c r="C3820" s="2" t="s">
        <v>411</v>
      </c>
      <c r="D3820" s="2" t="s">
        <v>412</v>
      </c>
      <c r="E3820" s="2" t="s">
        <v>377</v>
      </c>
      <c r="F3820" s="2" t="s">
        <v>535</v>
      </c>
      <c r="G3820" s="2" t="s">
        <v>515</v>
      </c>
      <c r="H3820" s="2" t="s">
        <v>516</v>
      </c>
      <c r="I3820" s="26">
        <v>45252</v>
      </c>
      <c r="J3820" s="2">
        <v>20</v>
      </c>
      <c r="K3820" s="2" t="s">
        <v>408</v>
      </c>
      <c r="L3820" s="22">
        <v>3050</v>
      </c>
      <c r="M3820" s="22">
        <v>61000</v>
      </c>
      <c r="N3820" s="18">
        <v>65.239999999999995</v>
      </c>
      <c r="O3820" s="26">
        <v>48902</v>
      </c>
      <c r="P3820" s="2" t="s">
        <v>2105</v>
      </c>
      <c r="Q3820" s="2" t="s">
        <v>814</v>
      </c>
    </row>
    <row r="3821" spans="2:17" x14ac:dyDescent="0.25">
      <c r="B3821" s="2" t="s">
        <v>4626</v>
      </c>
      <c r="C3821" s="2" t="s">
        <v>411</v>
      </c>
      <c r="D3821" s="2" t="s">
        <v>412</v>
      </c>
      <c r="E3821" s="2" t="s">
        <v>377</v>
      </c>
      <c r="F3821" s="2" t="s">
        <v>535</v>
      </c>
      <c r="G3821" s="2" t="s">
        <v>515</v>
      </c>
      <c r="H3821" s="2" t="s">
        <v>516</v>
      </c>
      <c r="I3821" s="26">
        <v>45301</v>
      </c>
      <c r="J3821" s="2">
        <v>18</v>
      </c>
      <c r="K3821" s="2" t="s">
        <v>408</v>
      </c>
      <c r="L3821" s="22">
        <v>3050</v>
      </c>
      <c r="M3821" s="22">
        <v>54900</v>
      </c>
      <c r="N3821" s="18">
        <v>58.72</v>
      </c>
      <c r="O3821" s="26">
        <v>48951</v>
      </c>
      <c r="P3821" s="2" t="s">
        <v>2105</v>
      </c>
      <c r="Q3821" s="2" t="s">
        <v>825</v>
      </c>
    </row>
    <row r="3822" spans="2:17" x14ac:dyDescent="0.25">
      <c r="B3822" s="2" t="s">
        <v>4627</v>
      </c>
      <c r="C3822" s="2" t="s">
        <v>411</v>
      </c>
      <c r="D3822" s="2" t="s">
        <v>412</v>
      </c>
      <c r="E3822" s="2" t="s">
        <v>377</v>
      </c>
      <c r="F3822" s="2" t="s">
        <v>535</v>
      </c>
      <c r="G3822" s="2" t="s">
        <v>515</v>
      </c>
      <c r="H3822" s="2" t="s">
        <v>516</v>
      </c>
      <c r="I3822" s="26">
        <v>45370</v>
      </c>
      <c r="J3822" s="2">
        <v>17</v>
      </c>
      <c r="K3822" s="2" t="s">
        <v>408</v>
      </c>
      <c r="L3822" s="22">
        <v>3050</v>
      </c>
      <c r="M3822" s="22">
        <v>51850</v>
      </c>
      <c r="N3822" s="18">
        <v>55.45</v>
      </c>
      <c r="O3822" s="26">
        <v>49020</v>
      </c>
      <c r="P3822" s="2" t="s">
        <v>2105</v>
      </c>
      <c r="Q3822" s="2" t="s">
        <v>836</v>
      </c>
    </row>
    <row r="3823" spans="2:17" x14ac:dyDescent="0.25">
      <c r="B3823" s="2" t="s">
        <v>4628</v>
      </c>
      <c r="C3823" s="2" t="s">
        <v>411</v>
      </c>
      <c r="D3823" s="2" t="s">
        <v>412</v>
      </c>
      <c r="E3823" s="2" t="s">
        <v>377</v>
      </c>
      <c r="F3823" s="2" t="s">
        <v>535</v>
      </c>
      <c r="G3823" s="2" t="s">
        <v>515</v>
      </c>
      <c r="H3823" s="2" t="s">
        <v>516</v>
      </c>
      <c r="I3823" s="26">
        <v>45429</v>
      </c>
      <c r="J3823" s="2">
        <v>19</v>
      </c>
      <c r="K3823" s="2" t="s">
        <v>408</v>
      </c>
      <c r="L3823" s="22">
        <v>3050</v>
      </c>
      <c r="M3823" s="22">
        <v>57950</v>
      </c>
      <c r="N3823" s="18">
        <v>61.98</v>
      </c>
      <c r="O3823" s="26">
        <v>49079</v>
      </c>
      <c r="P3823" s="2" t="s">
        <v>2105</v>
      </c>
      <c r="Q3823" s="2" t="s">
        <v>836</v>
      </c>
    </row>
    <row r="3824" spans="2:17" x14ac:dyDescent="0.25">
      <c r="B3824" s="2" t="s">
        <v>4629</v>
      </c>
      <c r="C3824" s="2" t="s">
        <v>411</v>
      </c>
      <c r="D3824" s="2" t="s">
        <v>412</v>
      </c>
      <c r="E3824" s="2" t="s">
        <v>377</v>
      </c>
      <c r="F3824" s="2" t="s">
        <v>535</v>
      </c>
      <c r="G3824" s="2" t="s">
        <v>515</v>
      </c>
      <c r="H3824" s="2" t="s">
        <v>516</v>
      </c>
      <c r="I3824" s="26">
        <v>45490</v>
      </c>
      <c r="J3824" s="2">
        <v>23</v>
      </c>
      <c r="K3824" s="2" t="s">
        <v>408</v>
      </c>
      <c r="L3824" s="22">
        <v>3050</v>
      </c>
      <c r="M3824" s="22">
        <v>70150</v>
      </c>
      <c r="N3824" s="18">
        <v>75.03</v>
      </c>
      <c r="O3824" s="26">
        <v>49140</v>
      </c>
      <c r="P3824" s="2" t="s">
        <v>2105</v>
      </c>
      <c r="Q3824" s="2" t="s">
        <v>806</v>
      </c>
    </row>
    <row r="3825" spans="2:17" x14ac:dyDescent="0.25">
      <c r="B3825" s="2" t="s">
        <v>4630</v>
      </c>
      <c r="C3825" s="2" t="s">
        <v>411</v>
      </c>
      <c r="D3825" s="2" t="s">
        <v>412</v>
      </c>
      <c r="E3825" s="2" t="s">
        <v>377</v>
      </c>
      <c r="F3825" s="2" t="s">
        <v>535</v>
      </c>
      <c r="G3825" s="2" t="s">
        <v>515</v>
      </c>
      <c r="H3825" s="2" t="s">
        <v>516</v>
      </c>
      <c r="I3825" s="26">
        <v>45550</v>
      </c>
      <c r="J3825" s="2">
        <v>23</v>
      </c>
      <c r="K3825" s="2" t="s">
        <v>408</v>
      </c>
      <c r="L3825" s="22">
        <v>3050</v>
      </c>
      <c r="M3825" s="22">
        <v>70150</v>
      </c>
      <c r="N3825" s="18">
        <v>75.03</v>
      </c>
      <c r="O3825" s="26">
        <v>49200</v>
      </c>
      <c r="P3825" s="2" t="s">
        <v>2105</v>
      </c>
      <c r="Q3825" s="2" t="s">
        <v>814</v>
      </c>
    </row>
    <row r="3826" spans="2:17" x14ac:dyDescent="0.25">
      <c r="B3826" s="2" t="s">
        <v>4631</v>
      </c>
      <c r="C3826" s="2" t="s">
        <v>411</v>
      </c>
      <c r="D3826" s="2" t="s">
        <v>412</v>
      </c>
      <c r="E3826" s="2" t="s">
        <v>377</v>
      </c>
      <c r="F3826" s="2" t="s">
        <v>535</v>
      </c>
      <c r="G3826" s="2" t="s">
        <v>515</v>
      </c>
      <c r="H3826" s="2" t="s">
        <v>516</v>
      </c>
      <c r="I3826" s="26">
        <v>45608</v>
      </c>
      <c r="J3826" s="2">
        <v>17</v>
      </c>
      <c r="K3826" s="2" t="s">
        <v>408</v>
      </c>
      <c r="L3826" s="22">
        <v>3050</v>
      </c>
      <c r="M3826" s="22">
        <v>51850</v>
      </c>
      <c r="N3826" s="18">
        <v>55.45</v>
      </c>
      <c r="O3826" s="26">
        <v>49258</v>
      </c>
      <c r="P3826" s="2" t="s">
        <v>2105</v>
      </c>
      <c r="Q3826" s="2" t="s">
        <v>814</v>
      </c>
    </row>
    <row r="3827" spans="2:17" x14ac:dyDescent="0.25">
      <c r="B3827" s="2" t="s">
        <v>4632</v>
      </c>
      <c r="C3827" s="2" t="s">
        <v>411</v>
      </c>
      <c r="D3827" s="2" t="s">
        <v>412</v>
      </c>
      <c r="E3827" s="2" t="s">
        <v>377</v>
      </c>
      <c r="F3827" s="2" t="s">
        <v>537</v>
      </c>
      <c r="G3827" s="2" t="s">
        <v>520</v>
      </c>
      <c r="H3827" s="2" t="s">
        <v>521</v>
      </c>
      <c r="I3827" s="26">
        <v>45668</v>
      </c>
      <c r="J3827" s="2">
        <v>19</v>
      </c>
      <c r="K3827" s="2" t="s">
        <v>408</v>
      </c>
      <c r="L3827" s="22">
        <v>3200</v>
      </c>
      <c r="M3827" s="22">
        <v>60800</v>
      </c>
      <c r="N3827" s="18">
        <v>65.03</v>
      </c>
      <c r="O3827" s="26">
        <v>49318</v>
      </c>
      <c r="P3827" s="2" t="s">
        <v>2105</v>
      </c>
      <c r="Q3827" s="2" t="s">
        <v>825</v>
      </c>
    </row>
    <row r="3828" spans="2:17" x14ac:dyDescent="0.25">
      <c r="B3828" s="2" t="s">
        <v>4633</v>
      </c>
      <c r="C3828" s="2" t="s">
        <v>411</v>
      </c>
      <c r="D3828" s="2" t="s">
        <v>412</v>
      </c>
      <c r="E3828" s="2" t="s">
        <v>377</v>
      </c>
      <c r="F3828" s="2" t="s">
        <v>535</v>
      </c>
      <c r="G3828" s="2" t="s">
        <v>515</v>
      </c>
      <c r="H3828" s="2" t="s">
        <v>516</v>
      </c>
      <c r="I3828" s="26">
        <v>45717</v>
      </c>
      <c r="J3828" s="2">
        <v>23</v>
      </c>
      <c r="K3828" s="2" t="s">
        <v>408</v>
      </c>
      <c r="L3828" s="22">
        <v>3050</v>
      </c>
      <c r="M3828" s="22">
        <v>70150</v>
      </c>
      <c r="N3828" s="18">
        <v>75.03</v>
      </c>
      <c r="O3828" s="26">
        <v>49367</v>
      </c>
      <c r="P3828" s="2" t="s">
        <v>2105</v>
      </c>
      <c r="Q3828" s="2" t="s">
        <v>836</v>
      </c>
    </row>
    <row r="3829" spans="2:17" x14ac:dyDescent="0.25">
      <c r="B3829" s="2" t="s">
        <v>4634</v>
      </c>
      <c r="C3829" s="2" t="s">
        <v>411</v>
      </c>
      <c r="D3829" s="2" t="s">
        <v>412</v>
      </c>
      <c r="E3829" s="2" t="s">
        <v>377</v>
      </c>
      <c r="F3829" s="2" t="s">
        <v>535</v>
      </c>
      <c r="G3829" s="2" t="s">
        <v>515</v>
      </c>
      <c r="H3829" s="2" t="s">
        <v>516</v>
      </c>
      <c r="I3829" s="26">
        <v>45787</v>
      </c>
      <c r="J3829" s="2">
        <v>21</v>
      </c>
      <c r="K3829" s="2" t="s">
        <v>408</v>
      </c>
      <c r="L3829" s="22">
        <v>3050</v>
      </c>
      <c r="M3829" s="22">
        <v>64050</v>
      </c>
      <c r="N3829" s="18">
        <v>68.5</v>
      </c>
      <c r="O3829" s="26">
        <v>49437</v>
      </c>
      <c r="P3829" s="2" t="s">
        <v>2105</v>
      </c>
      <c r="Q3829" s="2" t="s">
        <v>836</v>
      </c>
    </row>
  </sheetData>
  <conditionalFormatting sqref="P5:P3829">
    <cfRule type="cellIs" dxfId="11" priority="2" operator="equal">
      <formula>"Estimated"</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B1:Q3829"/>
  <sheetViews>
    <sheetView showGridLines="0" workbookViewId="0">
      <pane xSplit="1" ySplit="4" topLeftCell="B5" activePane="bottomRight" state="frozen"/>
      <selection pane="topRight"/>
      <selection pane="bottomLeft"/>
      <selection pane="bottomRight" activeCell="B5" sqref="B5"/>
    </sheetView>
  </sheetViews>
  <sheetFormatPr defaultColWidth="8.7109375" defaultRowHeight="15" x14ac:dyDescent="0.25"/>
  <cols>
    <col min="2" max="2" width="9" customWidth="1"/>
    <col min="3" max="3" width="11" customWidth="1"/>
    <col min="4" max="4" width="13" customWidth="1"/>
    <col min="5" max="5" width="14" customWidth="1"/>
    <col min="6" max="6" width="15" customWidth="1"/>
    <col min="7" max="7" width="10" customWidth="1"/>
    <col min="8" max="8" width="12" customWidth="1"/>
    <col min="9" max="9" width="10" customWidth="1"/>
    <col min="10" max="10" width="12" customWidth="1"/>
    <col min="11" max="12" width="15" customWidth="1"/>
    <col min="13" max="13" width="18" customWidth="1"/>
    <col min="14" max="15" width="20" customWidth="1"/>
    <col min="17" max="17" width="10.140625" bestFit="1" customWidth="1"/>
  </cols>
  <sheetData>
    <row r="1" spans="2:17" ht="20.25" x14ac:dyDescent="0.3">
      <c r="B1" s="3" t="s">
        <v>4635</v>
      </c>
    </row>
    <row r="2" spans="2:17" x14ac:dyDescent="0.25">
      <c r="B2" s="4" t="s">
        <v>4636</v>
      </c>
    </row>
    <row r="4" spans="2:17" ht="45" x14ac:dyDescent="0.25">
      <c r="B4" s="8" t="s">
        <v>794</v>
      </c>
      <c r="C4" s="8" t="s">
        <v>527</v>
      </c>
      <c r="D4" s="8" t="s">
        <v>109</v>
      </c>
      <c r="E4" s="8" t="s">
        <v>4637</v>
      </c>
      <c r="F4" s="8" t="s">
        <v>4638</v>
      </c>
      <c r="G4" s="8" t="s">
        <v>4639</v>
      </c>
      <c r="H4" s="8" t="s">
        <v>4640</v>
      </c>
      <c r="I4" s="8" t="s">
        <v>4641</v>
      </c>
      <c r="J4" s="8" t="s">
        <v>4642</v>
      </c>
      <c r="K4" s="8" t="s">
        <v>4643</v>
      </c>
      <c r="L4" s="8" t="s">
        <v>44</v>
      </c>
      <c r="M4" s="8" t="s">
        <v>799</v>
      </c>
      <c r="N4" s="8" t="s">
        <v>4644</v>
      </c>
      <c r="O4" s="8" t="s">
        <v>4645</v>
      </c>
      <c r="P4" s="36" t="s">
        <v>4702</v>
      </c>
      <c r="Q4" s="36" t="s">
        <v>796</v>
      </c>
    </row>
    <row r="5" spans="2:17" x14ac:dyDescent="0.25">
      <c r="B5" s="2" t="s">
        <v>804</v>
      </c>
      <c r="C5" s="2" t="s">
        <v>120</v>
      </c>
      <c r="D5" s="2" t="s">
        <v>122</v>
      </c>
      <c r="E5" s="2" t="s">
        <v>4646</v>
      </c>
      <c r="F5" s="2">
        <v>16</v>
      </c>
      <c r="G5" s="2">
        <v>11.78</v>
      </c>
      <c r="H5" s="2">
        <v>4.22</v>
      </c>
      <c r="I5" s="1">
        <v>26.4</v>
      </c>
      <c r="J5" s="26">
        <v>45161</v>
      </c>
      <c r="K5" s="22">
        <v>47120</v>
      </c>
      <c r="L5" s="18">
        <v>50.4</v>
      </c>
      <c r="M5" s="22">
        <v>47200</v>
      </c>
      <c r="N5" s="22">
        <v>-80</v>
      </c>
      <c r="O5" s="18">
        <v>-0.09</v>
      </c>
      <c r="P5" s="52">
        <f>IF(COUNTIF(TblPurchases[BatchID],TblOutcomes[[#This Row],[BatchID]])&lt;&gt;1,"n.a.",TblOutcomes[[#This Row],[Qty Wasted]]*SUMIFS(TblPurchases[Unit Cost (CLP)],TblPurchases[BatchID],TblOutcomes[[#This Row],[BatchID]]))</f>
        <v>12449</v>
      </c>
      <c r="Q5" s="51">
        <f>IF(COUNTIF(TblPurchases[BatchID],TblOutcomes[[#This Row],[BatchID]])&lt;&gt;1,"n.a.",SUMIFS(TblPurchases[Purchase Date],TblPurchases[BatchID],TblOutcomes[[#This Row],[BatchID]]))</f>
        <v>45116</v>
      </c>
    </row>
    <row r="6" spans="2:17" x14ac:dyDescent="0.25">
      <c r="B6" s="2" t="s">
        <v>807</v>
      </c>
      <c r="C6" s="2" t="s">
        <v>120</v>
      </c>
      <c r="D6" s="2" t="s">
        <v>122</v>
      </c>
      <c r="E6" s="2" t="s">
        <v>4646</v>
      </c>
      <c r="F6" s="2">
        <v>13</v>
      </c>
      <c r="G6" s="2">
        <v>11.63</v>
      </c>
      <c r="H6" s="2">
        <v>1.36</v>
      </c>
      <c r="I6" s="1">
        <v>10.5</v>
      </c>
      <c r="J6" s="26">
        <v>45172</v>
      </c>
      <c r="K6" s="22">
        <v>46520</v>
      </c>
      <c r="L6" s="18">
        <v>49.75</v>
      </c>
      <c r="M6" s="22">
        <v>38350</v>
      </c>
      <c r="N6" s="22">
        <v>8170</v>
      </c>
      <c r="O6" s="18">
        <v>8.74</v>
      </c>
      <c r="P6" s="52">
        <f>IF(COUNTIF(TblPurchases[BatchID],TblOutcomes[[#This Row],[BatchID]])&lt;&gt;1,"n.a.",TblOutcomes[[#This Row],[Qty Wasted]]*SUMIFS(TblPurchases[Unit Cost (CLP)],TblPurchases[BatchID],TblOutcomes[[#This Row],[BatchID]]))</f>
        <v>4012.0000000000005</v>
      </c>
      <c r="Q6" s="51">
        <f>IF(COUNTIF(TblPurchases[BatchID],TblOutcomes[[#This Row],[BatchID]])&lt;&gt;1,"n.a.",SUMIFS(TblPurchases[Purchase Date],TblPurchases[BatchID],TblOutcomes[[#This Row],[BatchID]]))</f>
        <v>45127</v>
      </c>
    </row>
    <row r="7" spans="2:17" x14ac:dyDescent="0.25">
      <c r="B7" s="2" t="s">
        <v>808</v>
      </c>
      <c r="C7" s="2" t="s">
        <v>120</v>
      </c>
      <c r="D7" s="2" t="s">
        <v>122</v>
      </c>
      <c r="E7" s="2" t="s">
        <v>4646</v>
      </c>
      <c r="F7" s="2">
        <v>13</v>
      </c>
      <c r="G7" s="2">
        <v>11.63</v>
      </c>
      <c r="H7" s="2">
        <v>1.36</v>
      </c>
      <c r="I7" s="1">
        <v>10.5</v>
      </c>
      <c r="J7" s="26">
        <v>45181</v>
      </c>
      <c r="K7" s="22">
        <v>46520</v>
      </c>
      <c r="L7" s="18">
        <v>49.75</v>
      </c>
      <c r="M7" s="22">
        <v>38350</v>
      </c>
      <c r="N7" s="22">
        <v>8170</v>
      </c>
      <c r="O7" s="18">
        <v>8.74</v>
      </c>
      <c r="P7" s="52">
        <f>IF(COUNTIF(TblPurchases[BatchID],TblOutcomes[[#This Row],[BatchID]])&lt;&gt;1,"n.a.",TblOutcomes[[#This Row],[Qty Wasted]]*SUMIFS(TblPurchases[Unit Cost (CLP)],TblPurchases[BatchID],TblOutcomes[[#This Row],[BatchID]]))</f>
        <v>4012.0000000000005</v>
      </c>
      <c r="Q7" s="51">
        <f>IF(COUNTIF(TblPurchases[BatchID],TblOutcomes[[#This Row],[BatchID]])&lt;&gt;1,"n.a.",SUMIFS(TblPurchases[Purchase Date],TblPurchases[BatchID],TblOutcomes[[#This Row],[BatchID]]))</f>
        <v>45136</v>
      </c>
    </row>
    <row r="8" spans="2:17" x14ac:dyDescent="0.25">
      <c r="B8" s="2" t="s">
        <v>809</v>
      </c>
      <c r="C8" s="2" t="s">
        <v>120</v>
      </c>
      <c r="D8" s="2" t="s">
        <v>122</v>
      </c>
      <c r="E8" s="2" t="s">
        <v>4647</v>
      </c>
      <c r="F8" s="2">
        <v>16</v>
      </c>
      <c r="G8" s="2">
        <v>16</v>
      </c>
      <c r="H8" s="2">
        <v>0</v>
      </c>
      <c r="I8" s="1">
        <v>0</v>
      </c>
      <c r="J8" s="26">
        <v>45152</v>
      </c>
      <c r="K8" s="22">
        <v>64000</v>
      </c>
      <c r="L8" s="18">
        <v>68.45</v>
      </c>
      <c r="M8" s="22">
        <v>47200</v>
      </c>
      <c r="N8" s="22">
        <v>16800</v>
      </c>
      <c r="O8" s="18">
        <v>17.97</v>
      </c>
      <c r="P8" s="52">
        <f>IF(COUNTIF(TblPurchases[BatchID],TblOutcomes[[#This Row],[BatchID]])&lt;&gt;1,"n.a.",TblOutcomes[[#This Row],[Qty Wasted]]*SUMIFS(TblPurchases[Unit Cost (CLP)],TblPurchases[BatchID],TblOutcomes[[#This Row],[BatchID]]))</f>
        <v>0</v>
      </c>
      <c r="Q8" s="51">
        <f>IF(COUNTIF(TblPurchases[BatchID],TblOutcomes[[#This Row],[BatchID]])&lt;&gt;1,"n.a.",SUMIFS(TblPurchases[Purchase Date],TblPurchases[BatchID],TblOutcomes[[#This Row],[BatchID]]))</f>
        <v>45143</v>
      </c>
    </row>
    <row r="9" spans="2:17" x14ac:dyDescent="0.25">
      <c r="B9" s="2" t="s">
        <v>810</v>
      </c>
      <c r="C9" s="2" t="s">
        <v>120</v>
      </c>
      <c r="D9" s="2" t="s">
        <v>122</v>
      </c>
      <c r="E9" s="2" t="s">
        <v>4646</v>
      </c>
      <c r="F9" s="2">
        <v>15</v>
      </c>
      <c r="G9" s="2">
        <v>10.52</v>
      </c>
      <c r="H9" s="2">
        <v>4.4800000000000004</v>
      </c>
      <c r="I9" s="1">
        <v>29.9</v>
      </c>
      <c r="J9" s="26">
        <v>45196</v>
      </c>
      <c r="K9" s="22">
        <v>42080</v>
      </c>
      <c r="L9" s="18">
        <v>45.01</v>
      </c>
      <c r="M9" s="22">
        <v>44250</v>
      </c>
      <c r="N9" s="22">
        <v>-2170</v>
      </c>
      <c r="O9" s="18">
        <v>-2.3199999999999998</v>
      </c>
      <c r="P9" s="52">
        <f>IF(COUNTIF(TblPurchases[BatchID],TblOutcomes[[#This Row],[BatchID]])&lt;&gt;1,"n.a.",TblOutcomes[[#This Row],[Qty Wasted]]*SUMIFS(TblPurchases[Unit Cost (CLP)],TblPurchases[BatchID],TblOutcomes[[#This Row],[BatchID]]))</f>
        <v>13216.000000000002</v>
      </c>
      <c r="Q9" s="51">
        <f>IF(COUNTIF(TblPurchases[BatchID],TblOutcomes[[#This Row],[BatchID]])&lt;&gt;1,"n.a.",SUMIFS(TblPurchases[Purchase Date],TblPurchases[BatchID],TblOutcomes[[#This Row],[BatchID]]))</f>
        <v>45151</v>
      </c>
    </row>
    <row r="10" spans="2:17" x14ac:dyDescent="0.25">
      <c r="B10" s="2" t="s">
        <v>811</v>
      </c>
      <c r="C10" s="2" t="s">
        <v>120</v>
      </c>
      <c r="D10" s="2" t="s">
        <v>122</v>
      </c>
      <c r="E10" s="2" t="s">
        <v>4646</v>
      </c>
      <c r="F10" s="2">
        <v>16</v>
      </c>
      <c r="G10" s="2">
        <v>13.58</v>
      </c>
      <c r="H10" s="2">
        <v>2.42</v>
      </c>
      <c r="I10" s="1">
        <v>15.1</v>
      </c>
      <c r="J10" s="26">
        <v>45204</v>
      </c>
      <c r="K10" s="22">
        <v>54320</v>
      </c>
      <c r="L10" s="18">
        <v>58.1</v>
      </c>
      <c r="M10" s="22">
        <v>47200</v>
      </c>
      <c r="N10" s="22">
        <v>7120</v>
      </c>
      <c r="O10" s="18">
        <v>7.61</v>
      </c>
      <c r="P10" s="52">
        <f>IF(COUNTIF(TblPurchases[BatchID],TblOutcomes[[#This Row],[BatchID]])&lt;&gt;1,"n.a.",TblOutcomes[[#This Row],[Qty Wasted]]*SUMIFS(TblPurchases[Unit Cost (CLP)],TblPurchases[BatchID],TblOutcomes[[#This Row],[BatchID]]))</f>
        <v>7139</v>
      </c>
      <c r="Q10" s="51">
        <f>IF(COUNTIF(TblPurchases[BatchID],TblOutcomes[[#This Row],[BatchID]])&lt;&gt;1,"n.a.",SUMIFS(TblPurchases[Purchase Date],TblPurchases[BatchID],TblOutcomes[[#This Row],[BatchID]]))</f>
        <v>45159</v>
      </c>
    </row>
    <row r="11" spans="2:17" x14ac:dyDescent="0.25">
      <c r="B11" s="2" t="s">
        <v>812</v>
      </c>
      <c r="C11" s="2" t="s">
        <v>120</v>
      </c>
      <c r="D11" s="2" t="s">
        <v>122</v>
      </c>
      <c r="E11" s="2" t="s">
        <v>4647</v>
      </c>
      <c r="F11" s="2">
        <v>17</v>
      </c>
      <c r="G11" s="2">
        <v>17</v>
      </c>
      <c r="H11" s="2">
        <v>0</v>
      </c>
      <c r="I11" s="1">
        <v>0</v>
      </c>
      <c r="J11" s="26">
        <v>45171</v>
      </c>
      <c r="K11" s="22">
        <v>68000</v>
      </c>
      <c r="L11" s="18">
        <v>72.73</v>
      </c>
      <c r="M11" s="22">
        <v>50150</v>
      </c>
      <c r="N11" s="22">
        <v>17850</v>
      </c>
      <c r="O11" s="18">
        <v>19.09</v>
      </c>
      <c r="P11" s="52">
        <f>IF(COUNTIF(TblPurchases[BatchID],TblOutcomes[[#This Row],[BatchID]])&lt;&gt;1,"n.a.",TblOutcomes[[#This Row],[Qty Wasted]]*SUMIFS(TblPurchases[Unit Cost (CLP)],TblPurchases[BatchID],TblOutcomes[[#This Row],[BatchID]]))</f>
        <v>0</v>
      </c>
      <c r="Q11" s="51">
        <f>IF(COUNTIF(TblPurchases[BatchID],TblOutcomes[[#This Row],[BatchID]])&lt;&gt;1,"n.a.",SUMIFS(TblPurchases[Purchase Date],TblPurchases[BatchID],TblOutcomes[[#This Row],[BatchID]]))</f>
        <v>45166</v>
      </c>
    </row>
    <row r="12" spans="2:17" x14ac:dyDescent="0.25">
      <c r="B12" s="2" t="s">
        <v>813</v>
      </c>
      <c r="C12" s="2" t="s">
        <v>120</v>
      </c>
      <c r="D12" s="2" t="s">
        <v>122</v>
      </c>
      <c r="E12" s="2" t="s">
        <v>4646</v>
      </c>
      <c r="F12" s="2">
        <v>19</v>
      </c>
      <c r="G12" s="2">
        <v>16.72</v>
      </c>
      <c r="H12" s="2">
        <v>2.2799999999999998</v>
      </c>
      <c r="I12" s="1">
        <v>12</v>
      </c>
      <c r="J12" s="26">
        <v>45220</v>
      </c>
      <c r="K12" s="22">
        <v>66880</v>
      </c>
      <c r="L12" s="18">
        <v>71.53</v>
      </c>
      <c r="M12" s="22">
        <v>57000</v>
      </c>
      <c r="N12" s="22">
        <v>9880</v>
      </c>
      <c r="O12" s="18">
        <v>10.57</v>
      </c>
      <c r="P12" s="52">
        <f>IF(COUNTIF(TblPurchases[BatchID],TblOutcomes[[#This Row],[BatchID]])&lt;&gt;1,"n.a.",TblOutcomes[[#This Row],[Qty Wasted]]*SUMIFS(TblPurchases[Unit Cost (CLP)],TblPurchases[BatchID],TblOutcomes[[#This Row],[BatchID]]))</f>
        <v>6839.9999999999991</v>
      </c>
      <c r="Q12" s="51">
        <f>IF(COUNTIF(TblPurchases[BatchID],TblOutcomes[[#This Row],[BatchID]])&lt;&gt;1,"n.a.",SUMIFS(TblPurchases[Purchase Date],TblPurchases[BatchID],TblOutcomes[[#This Row],[BatchID]]))</f>
        <v>45175</v>
      </c>
    </row>
    <row r="13" spans="2:17" x14ac:dyDescent="0.25">
      <c r="B13" s="2" t="s">
        <v>815</v>
      </c>
      <c r="C13" s="2" t="s">
        <v>120</v>
      </c>
      <c r="D13" s="2" t="s">
        <v>122</v>
      </c>
      <c r="E13" s="2" t="s">
        <v>4646</v>
      </c>
      <c r="F13" s="2">
        <v>18</v>
      </c>
      <c r="G13" s="2">
        <v>14.89</v>
      </c>
      <c r="H13" s="2">
        <v>3.11</v>
      </c>
      <c r="I13" s="1">
        <v>17.3</v>
      </c>
      <c r="J13" s="26">
        <v>45230</v>
      </c>
      <c r="K13" s="22">
        <v>59560</v>
      </c>
      <c r="L13" s="18">
        <v>63.7</v>
      </c>
      <c r="M13" s="22">
        <v>53100</v>
      </c>
      <c r="N13" s="22">
        <v>6460</v>
      </c>
      <c r="O13" s="18">
        <v>6.91</v>
      </c>
      <c r="P13" s="52">
        <f>IF(COUNTIF(TblPurchases[BatchID],TblOutcomes[[#This Row],[BatchID]])&lt;&gt;1,"n.a.",TblOutcomes[[#This Row],[Qty Wasted]]*SUMIFS(TblPurchases[Unit Cost (CLP)],TblPurchases[BatchID],TblOutcomes[[#This Row],[BatchID]]))</f>
        <v>9174.5</v>
      </c>
      <c r="Q13" s="51">
        <f>IF(COUNTIF(TblPurchases[BatchID],TblOutcomes[[#This Row],[BatchID]])&lt;&gt;1,"n.a.",SUMIFS(TblPurchases[Purchase Date],TblPurchases[BatchID],TblOutcomes[[#This Row],[BatchID]]))</f>
        <v>45185</v>
      </c>
    </row>
    <row r="14" spans="2:17" x14ac:dyDescent="0.25">
      <c r="B14" s="2" t="s">
        <v>816</v>
      </c>
      <c r="C14" s="2" t="s">
        <v>120</v>
      </c>
      <c r="D14" s="2" t="s">
        <v>122</v>
      </c>
      <c r="E14" s="2" t="s">
        <v>4646</v>
      </c>
      <c r="F14" s="2">
        <v>20</v>
      </c>
      <c r="G14" s="2">
        <v>16.440000000000001</v>
      </c>
      <c r="H14" s="2">
        <v>3.56</v>
      </c>
      <c r="I14" s="1">
        <v>17.8</v>
      </c>
      <c r="J14" s="26">
        <v>45239</v>
      </c>
      <c r="K14" s="22">
        <v>65760</v>
      </c>
      <c r="L14" s="18">
        <v>70.33</v>
      </c>
      <c r="M14" s="22">
        <v>59000</v>
      </c>
      <c r="N14" s="22">
        <v>6760</v>
      </c>
      <c r="O14" s="18">
        <v>7.23</v>
      </c>
      <c r="P14" s="52">
        <f>IF(COUNTIF(TblPurchases[BatchID],TblOutcomes[[#This Row],[BatchID]])&lt;&gt;1,"n.a.",TblOutcomes[[#This Row],[Qty Wasted]]*SUMIFS(TblPurchases[Unit Cost (CLP)],TblPurchases[BatchID],TblOutcomes[[#This Row],[BatchID]]))</f>
        <v>10502</v>
      </c>
      <c r="Q14" s="51">
        <f>IF(COUNTIF(TblPurchases[BatchID],TblOutcomes[[#This Row],[BatchID]])&lt;&gt;1,"n.a.",SUMIFS(TblPurchases[Purchase Date],TblPurchases[BatchID],TblOutcomes[[#This Row],[BatchID]]))</f>
        <v>45194</v>
      </c>
    </row>
    <row r="15" spans="2:17" x14ac:dyDescent="0.25">
      <c r="B15" s="2" t="s">
        <v>817</v>
      </c>
      <c r="C15" s="2" t="s">
        <v>120</v>
      </c>
      <c r="D15" s="2" t="s">
        <v>122</v>
      </c>
      <c r="E15" s="2" t="s">
        <v>4647</v>
      </c>
      <c r="F15" s="2">
        <v>35</v>
      </c>
      <c r="G15" s="2">
        <v>35</v>
      </c>
      <c r="H15" s="2">
        <v>0</v>
      </c>
      <c r="I15" s="1">
        <v>0</v>
      </c>
      <c r="J15" s="26">
        <v>45210</v>
      </c>
      <c r="K15" s="22">
        <v>140000</v>
      </c>
      <c r="L15" s="18">
        <v>149.72999999999999</v>
      </c>
      <c r="M15" s="22">
        <v>103250</v>
      </c>
      <c r="N15" s="22">
        <v>36750</v>
      </c>
      <c r="O15" s="18">
        <v>39.299999999999997</v>
      </c>
      <c r="P15" s="52">
        <f>IF(COUNTIF(TblPurchases[BatchID],TblOutcomes[[#This Row],[BatchID]])&lt;&gt;1,"n.a.",TblOutcomes[[#This Row],[Qty Wasted]]*SUMIFS(TblPurchases[Unit Cost (CLP)],TblPurchases[BatchID],TblOutcomes[[#This Row],[BatchID]]))</f>
        <v>0</v>
      </c>
      <c r="Q15" s="51">
        <f>IF(COUNTIF(TblPurchases[BatchID],TblOutcomes[[#This Row],[BatchID]])&lt;&gt;1,"n.a.",SUMIFS(TblPurchases[Purchase Date],TblPurchases[BatchID],TblOutcomes[[#This Row],[BatchID]]))</f>
        <v>45203</v>
      </c>
    </row>
    <row r="16" spans="2:17" x14ac:dyDescent="0.25">
      <c r="B16" s="2" t="s">
        <v>818</v>
      </c>
      <c r="C16" s="2" t="s">
        <v>120</v>
      </c>
      <c r="D16" s="2" t="s">
        <v>122</v>
      </c>
      <c r="E16" s="2" t="s">
        <v>4647</v>
      </c>
      <c r="F16" s="2">
        <v>34</v>
      </c>
      <c r="G16" s="2">
        <v>34</v>
      </c>
      <c r="H16" s="2">
        <v>0</v>
      </c>
      <c r="I16" s="1">
        <v>0</v>
      </c>
      <c r="J16" s="26">
        <v>45222</v>
      </c>
      <c r="K16" s="22">
        <v>136000</v>
      </c>
      <c r="L16" s="18">
        <v>145.44999999999999</v>
      </c>
      <c r="M16" s="22">
        <v>100300</v>
      </c>
      <c r="N16" s="22">
        <v>35700</v>
      </c>
      <c r="O16" s="18">
        <v>38.18</v>
      </c>
      <c r="P16" s="52">
        <f>IF(COUNTIF(TblPurchases[BatchID],TblOutcomes[[#This Row],[BatchID]])&lt;&gt;1,"n.a.",TblOutcomes[[#This Row],[Qty Wasted]]*SUMIFS(TblPurchases[Unit Cost (CLP)],TblPurchases[BatchID],TblOutcomes[[#This Row],[BatchID]]))</f>
        <v>0</v>
      </c>
      <c r="Q16" s="51">
        <f>IF(COUNTIF(TblPurchases[BatchID],TblOutcomes[[#This Row],[BatchID]])&lt;&gt;1,"n.a.",SUMIFS(TblPurchases[Purchase Date],TblPurchases[BatchID],TblOutcomes[[#This Row],[BatchID]]))</f>
        <v>45211</v>
      </c>
    </row>
    <row r="17" spans="2:17" x14ac:dyDescent="0.25">
      <c r="B17" s="2" t="s">
        <v>819</v>
      </c>
      <c r="C17" s="2" t="s">
        <v>120</v>
      </c>
      <c r="D17" s="2" t="s">
        <v>122</v>
      </c>
      <c r="E17" s="2" t="s">
        <v>4647</v>
      </c>
      <c r="F17" s="2">
        <v>34</v>
      </c>
      <c r="G17" s="2">
        <v>34</v>
      </c>
      <c r="H17" s="2">
        <v>0</v>
      </c>
      <c r="I17" s="1">
        <v>0</v>
      </c>
      <c r="J17" s="26">
        <v>45225</v>
      </c>
      <c r="K17" s="22">
        <v>136000</v>
      </c>
      <c r="L17" s="18">
        <v>145.44999999999999</v>
      </c>
      <c r="M17" s="22">
        <v>100300</v>
      </c>
      <c r="N17" s="22">
        <v>35700</v>
      </c>
      <c r="O17" s="18">
        <v>38.18</v>
      </c>
      <c r="P17" s="52">
        <f>IF(COUNTIF(TblPurchases[BatchID],TblOutcomes[[#This Row],[BatchID]])&lt;&gt;1,"n.a.",TblOutcomes[[#This Row],[Qty Wasted]]*SUMIFS(TblPurchases[Unit Cost (CLP)],TblPurchases[BatchID],TblOutcomes[[#This Row],[BatchID]]))</f>
        <v>0</v>
      </c>
      <c r="Q17" s="51">
        <f>IF(COUNTIF(TblPurchases[BatchID],TblOutcomes[[#This Row],[BatchID]])&lt;&gt;1,"n.a.",SUMIFS(TblPurchases[Purchase Date],TblPurchases[BatchID],TblOutcomes[[#This Row],[BatchID]]))</f>
        <v>45219</v>
      </c>
    </row>
    <row r="18" spans="2:17" x14ac:dyDescent="0.25">
      <c r="B18" s="2" t="s">
        <v>820</v>
      </c>
      <c r="C18" s="2" t="s">
        <v>120</v>
      </c>
      <c r="D18" s="2" t="s">
        <v>122</v>
      </c>
      <c r="E18" s="2" t="s">
        <v>4646</v>
      </c>
      <c r="F18" s="2">
        <v>34</v>
      </c>
      <c r="G18" s="2">
        <v>29.89</v>
      </c>
      <c r="H18" s="2">
        <v>4.1100000000000003</v>
      </c>
      <c r="I18" s="1">
        <v>12.1</v>
      </c>
      <c r="J18" s="26">
        <v>45274</v>
      </c>
      <c r="K18" s="22">
        <v>119560</v>
      </c>
      <c r="L18" s="18">
        <v>127.87</v>
      </c>
      <c r="M18" s="22">
        <v>100300</v>
      </c>
      <c r="N18" s="22">
        <v>19260</v>
      </c>
      <c r="O18" s="18">
        <v>20.6</v>
      </c>
      <c r="P18" s="52">
        <f>IF(COUNTIF(TblPurchases[BatchID],TblOutcomes[[#This Row],[BatchID]])&lt;&gt;1,"n.a.",TblOutcomes[[#This Row],[Qty Wasted]]*SUMIFS(TblPurchases[Unit Cost (CLP)],TblPurchases[BatchID],TblOutcomes[[#This Row],[BatchID]]))</f>
        <v>12124.500000000002</v>
      </c>
      <c r="Q18" s="51">
        <f>IF(COUNTIF(TblPurchases[BatchID],TblOutcomes[[#This Row],[BatchID]])&lt;&gt;1,"n.a.",SUMIFS(TblPurchases[Purchase Date],TblPurchases[BatchID],TblOutcomes[[#This Row],[BatchID]]))</f>
        <v>45229</v>
      </c>
    </row>
    <row r="19" spans="2:17" x14ac:dyDescent="0.25">
      <c r="B19" s="2" t="s">
        <v>821</v>
      </c>
      <c r="C19" s="2" t="s">
        <v>120</v>
      </c>
      <c r="D19" s="2" t="s">
        <v>122</v>
      </c>
      <c r="E19" s="2" t="s">
        <v>4647</v>
      </c>
      <c r="F19" s="2">
        <v>39</v>
      </c>
      <c r="G19" s="2">
        <v>39</v>
      </c>
      <c r="H19" s="2">
        <v>0</v>
      </c>
      <c r="I19" s="1">
        <v>0</v>
      </c>
      <c r="J19" s="26">
        <v>45248</v>
      </c>
      <c r="K19" s="22">
        <v>156000</v>
      </c>
      <c r="L19" s="18">
        <v>166.84</v>
      </c>
      <c r="M19" s="22">
        <v>115050</v>
      </c>
      <c r="N19" s="22">
        <v>40950</v>
      </c>
      <c r="O19" s="18">
        <v>43.8</v>
      </c>
      <c r="P19" s="52">
        <f>IF(COUNTIF(TblPurchases[BatchID],TblOutcomes[[#This Row],[BatchID]])&lt;&gt;1,"n.a.",TblOutcomes[[#This Row],[Qty Wasted]]*SUMIFS(TblPurchases[Unit Cost (CLP)],TblPurchases[BatchID],TblOutcomes[[#This Row],[BatchID]]))</f>
        <v>0</v>
      </c>
      <c r="Q19" s="51">
        <f>IF(COUNTIF(TblPurchases[BatchID],TblOutcomes[[#This Row],[BatchID]])&lt;&gt;1,"n.a.",SUMIFS(TblPurchases[Purchase Date],TblPurchases[BatchID],TblOutcomes[[#This Row],[BatchID]]))</f>
        <v>45239</v>
      </c>
    </row>
    <row r="20" spans="2:17" x14ac:dyDescent="0.25">
      <c r="B20" s="2" t="s">
        <v>822</v>
      </c>
      <c r="C20" s="2" t="s">
        <v>120</v>
      </c>
      <c r="D20" s="2" t="s">
        <v>122</v>
      </c>
      <c r="E20" s="2" t="s">
        <v>4646</v>
      </c>
      <c r="F20" s="2">
        <v>35</v>
      </c>
      <c r="G20" s="2">
        <v>30.84</v>
      </c>
      <c r="H20" s="2">
        <v>4.17</v>
      </c>
      <c r="I20" s="1">
        <v>11.9</v>
      </c>
      <c r="J20" s="26">
        <v>45293</v>
      </c>
      <c r="K20" s="22">
        <v>123360</v>
      </c>
      <c r="L20" s="18">
        <v>131.94</v>
      </c>
      <c r="M20" s="22">
        <v>103250</v>
      </c>
      <c r="N20" s="22">
        <v>20110</v>
      </c>
      <c r="O20" s="18">
        <v>21.51</v>
      </c>
      <c r="P20" s="52">
        <f>IF(COUNTIF(TblPurchases[BatchID],TblOutcomes[[#This Row],[BatchID]])&lt;&gt;1,"n.a.",TblOutcomes[[#This Row],[Qty Wasted]]*SUMIFS(TblPurchases[Unit Cost (CLP)],TblPurchases[BatchID],TblOutcomes[[#This Row],[BatchID]]))</f>
        <v>12301.5</v>
      </c>
      <c r="Q20" s="51">
        <f>IF(COUNTIF(TblPurchases[BatchID],TblOutcomes[[#This Row],[BatchID]])&lt;&gt;1,"n.a.",SUMIFS(TblPurchases[Purchase Date],TblPurchases[BatchID],TblOutcomes[[#This Row],[BatchID]]))</f>
        <v>45248</v>
      </c>
    </row>
    <row r="21" spans="2:17" x14ac:dyDescent="0.25">
      <c r="B21" s="2" t="s">
        <v>823</v>
      </c>
      <c r="C21" s="2" t="s">
        <v>120</v>
      </c>
      <c r="D21" s="2" t="s">
        <v>122</v>
      </c>
      <c r="E21" s="2" t="s">
        <v>4647</v>
      </c>
      <c r="F21" s="2">
        <v>37</v>
      </c>
      <c r="G21" s="2">
        <v>37</v>
      </c>
      <c r="H21" s="2">
        <v>0</v>
      </c>
      <c r="I21" s="1">
        <v>0</v>
      </c>
      <c r="J21" s="26">
        <v>45263</v>
      </c>
      <c r="K21" s="22">
        <v>148000</v>
      </c>
      <c r="L21" s="18">
        <v>158.29</v>
      </c>
      <c r="M21" s="22">
        <v>109150</v>
      </c>
      <c r="N21" s="22">
        <v>38850</v>
      </c>
      <c r="O21" s="18">
        <v>41.55</v>
      </c>
      <c r="P21" s="52">
        <f>IF(COUNTIF(TblPurchases[BatchID],TblOutcomes[[#This Row],[BatchID]])&lt;&gt;1,"n.a.",TblOutcomes[[#This Row],[Qty Wasted]]*SUMIFS(TblPurchases[Unit Cost (CLP)],TblPurchases[BatchID],TblOutcomes[[#This Row],[BatchID]]))</f>
        <v>0</v>
      </c>
      <c r="Q21" s="51">
        <f>IF(COUNTIF(TblPurchases[BatchID],TblOutcomes[[#This Row],[BatchID]])&lt;&gt;1,"n.a.",SUMIFS(TblPurchases[Purchase Date],TblPurchases[BatchID],TblOutcomes[[#This Row],[BatchID]]))</f>
        <v>45257</v>
      </c>
    </row>
    <row r="22" spans="2:17" x14ac:dyDescent="0.25">
      <c r="B22" s="2" t="s">
        <v>824</v>
      </c>
      <c r="C22" s="2" t="s">
        <v>120</v>
      </c>
      <c r="D22" s="2" t="s">
        <v>122</v>
      </c>
      <c r="E22" s="2" t="s">
        <v>4647</v>
      </c>
      <c r="F22" s="2">
        <v>48</v>
      </c>
      <c r="G22" s="2">
        <v>48</v>
      </c>
      <c r="H22" s="2">
        <v>0</v>
      </c>
      <c r="I22" s="1">
        <v>0</v>
      </c>
      <c r="J22" s="26">
        <v>45278</v>
      </c>
      <c r="K22" s="22">
        <v>192000</v>
      </c>
      <c r="L22" s="18">
        <v>205.35</v>
      </c>
      <c r="M22" s="22">
        <v>141600</v>
      </c>
      <c r="N22" s="22">
        <v>50400</v>
      </c>
      <c r="O22" s="18">
        <v>53.9</v>
      </c>
      <c r="P22" s="52">
        <f>IF(COUNTIF(TblPurchases[BatchID],TblOutcomes[[#This Row],[BatchID]])&lt;&gt;1,"n.a.",TblOutcomes[[#This Row],[Qty Wasted]]*SUMIFS(TblPurchases[Unit Cost (CLP)],TblPurchases[BatchID],TblOutcomes[[#This Row],[BatchID]]))</f>
        <v>0</v>
      </c>
      <c r="Q22" s="51">
        <f>IF(COUNTIF(TblPurchases[BatchID],TblOutcomes[[#This Row],[BatchID]])&lt;&gt;1,"n.a.",SUMIFS(TblPurchases[Purchase Date],TblPurchases[BatchID],TblOutcomes[[#This Row],[BatchID]]))</f>
        <v>45269</v>
      </c>
    </row>
    <row r="23" spans="2:17" x14ac:dyDescent="0.25">
      <c r="B23" s="2" t="s">
        <v>826</v>
      </c>
      <c r="C23" s="2" t="s">
        <v>120</v>
      </c>
      <c r="D23" s="2" t="s">
        <v>122</v>
      </c>
      <c r="E23" s="2" t="s">
        <v>4647</v>
      </c>
      <c r="F23" s="2">
        <v>47</v>
      </c>
      <c r="G23" s="2">
        <v>47</v>
      </c>
      <c r="H23" s="2">
        <v>0</v>
      </c>
      <c r="I23" s="1">
        <v>0</v>
      </c>
      <c r="J23" s="26">
        <v>45283</v>
      </c>
      <c r="K23" s="22">
        <v>188000</v>
      </c>
      <c r="L23" s="18">
        <v>201.07</v>
      </c>
      <c r="M23" s="22">
        <v>141000</v>
      </c>
      <c r="N23" s="22">
        <v>47000</v>
      </c>
      <c r="O23" s="18">
        <v>50.27</v>
      </c>
      <c r="P23" s="52">
        <f>IF(COUNTIF(TblPurchases[BatchID],TblOutcomes[[#This Row],[BatchID]])&lt;&gt;1,"n.a.",TblOutcomes[[#This Row],[Qty Wasted]]*SUMIFS(TblPurchases[Unit Cost (CLP)],TblPurchases[BatchID],TblOutcomes[[#This Row],[BatchID]]))</f>
        <v>0</v>
      </c>
      <c r="Q23" s="51">
        <f>IF(COUNTIF(TblPurchases[BatchID],TblOutcomes[[#This Row],[BatchID]])&lt;&gt;1,"n.a.",SUMIFS(TblPurchases[Purchase Date],TblPurchases[BatchID],TblOutcomes[[#This Row],[BatchID]]))</f>
        <v>45278</v>
      </c>
    </row>
    <row r="24" spans="2:17" x14ac:dyDescent="0.25">
      <c r="B24" s="2" t="s">
        <v>827</v>
      </c>
      <c r="C24" s="2" t="s">
        <v>120</v>
      </c>
      <c r="D24" s="2" t="s">
        <v>122</v>
      </c>
      <c r="E24" s="2" t="s">
        <v>4647</v>
      </c>
      <c r="F24" s="2">
        <v>53</v>
      </c>
      <c r="G24" s="2">
        <v>53</v>
      </c>
      <c r="H24" s="2">
        <v>0</v>
      </c>
      <c r="I24" s="1">
        <v>0</v>
      </c>
      <c r="J24" s="26">
        <v>45294</v>
      </c>
      <c r="K24" s="22">
        <v>212000</v>
      </c>
      <c r="L24" s="18">
        <v>226.74</v>
      </c>
      <c r="M24" s="22">
        <v>156350</v>
      </c>
      <c r="N24" s="22">
        <v>55650</v>
      </c>
      <c r="O24" s="18">
        <v>59.52</v>
      </c>
      <c r="P24" s="52">
        <f>IF(COUNTIF(TblPurchases[BatchID],TblOutcomes[[#This Row],[BatchID]])&lt;&gt;1,"n.a.",TblOutcomes[[#This Row],[Qty Wasted]]*SUMIFS(TblPurchases[Unit Cost (CLP)],TblPurchases[BatchID],TblOutcomes[[#This Row],[BatchID]]))</f>
        <v>0</v>
      </c>
      <c r="Q24" s="51">
        <f>IF(COUNTIF(TblPurchases[BatchID],TblOutcomes[[#This Row],[BatchID]])&lt;&gt;1,"n.a.",SUMIFS(TblPurchases[Purchase Date],TblPurchases[BatchID],TblOutcomes[[#This Row],[BatchID]]))</f>
        <v>45287</v>
      </c>
    </row>
    <row r="25" spans="2:17" x14ac:dyDescent="0.25">
      <c r="B25" s="2" t="s">
        <v>828</v>
      </c>
      <c r="C25" s="2" t="s">
        <v>120</v>
      </c>
      <c r="D25" s="2" t="s">
        <v>122</v>
      </c>
      <c r="E25" s="2" t="s">
        <v>4647</v>
      </c>
      <c r="F25" s="2">
        <v>40</v>
      </c>
      <c r="G25" s="2">
        <v>40</v>
      </c>
      <c r="H25" s="2">
        <v>0</v>
      </c>
      <c r="I25" s="1">
        <v>0</v>
      </c>
      <c r="J25" s="26">
        <v>45306</v>
      </c>
      <c r="K25" s="22">
        <v>160000</v>
      </c>
      <c r="L25" s="18">
        <v>171.12</v>
      </c>
      <c r="M25" s="22">
        <v>118000</v>
      </c>
      <c r="N25" s="22">
        <v>42000</v>
      </c>
      <c r="O25" s="18">
        <v>44.92</v>
      </c>
      <c r="P25" s="52">
        <f>IF(COUNTIF(TblPurchases[BatchID],TblOutcomes[[#This Row],[BatchID]])&lt;&gt;1,"n.a.",TblOutcomes[[#This Row],[Qty Wasted]]*SUMIFS(TblPurchases[Unit Cost (CLP)],TblPurchases[BatchID],TblOutcomes[[#This Row],[BatchID]]))</f>
        <v>0</v>
      </c>
      <c r="Q25" s="51">
        <f>IF(COUNTIF(TblPurchases[BatchID],TblOutcomes[[#This Row],[BatchID]])&lt;&gt;1,"n.a.",SUMIFS(TblPurchases[Purchase Date],TblPurchases[BatchID],TblOutcomes[[#This Row],[BatchID]]))</f>
        <v>45296</v>
      </c>
    </row>
    <row r="26" spans="2:17" x14ac:dyDescent="0.25">
      <c r="B26" s="2" t="s">
        <v>829</v>
      </c>
      <c r="C26" s="2" t="s">
        <v>120</v>
      </c>
      <c r="D26" s="2" t="s">
        <v>122</v>
      </c>
      <c r="E26" s="2" t="s">
        <v>4646</v>
      </c>
      <c r="F26" s="2">
        <v>41</v>
      </c>
      <c r="G26" s="2">
        <v>33.33</v>
      </c>
      <c r="H26" s="2">
        <v>7.67</v>
      </c>
      <c r="I26" s="1">
        <v>18.7</v>
      </c>
      <c r="J26" s="26">
        <v>45351</v>
      </c>
      <c r="K26" s="22">
        <v>133320</v>
      </c>
      <c r="L26" s="18">
        <v>142.59</v>
      </c>
      <c r="M26" s="22">
        <v>123000</v>
      </c>
      <c r="N26" s="22">
        <v>10320</v>
      </c>
      <c r="O26" s="18">
        <v>11.04</v>
      </c>
      <c r="P26" s="52">
        <f>IF(COUNTIF(TblPurchases[BatchID],TblOutcomes[[#This Row],[BatchID]])&lt;&gt;1,"n.a.",TblOutcomes[[#This Row],[Qty Wasted]]*SUMIFS(TblPurchases[Unit Cost (CLP)],TblPurchases[BatchID],TblOutcomes[[#This Row],[BatchID]]))</f>
        <v>23010</v>
      </c>
      <c r="Q26" s="51">
        <f>IF(COUNTIF(TblPurchases[BatchID],TblOutcomes[[#This Row],[BatchID]])&lt;&gt;1,"n.a.",SUMIFS(TblPurchases[Purchase Date],TblPurchases[BatchID],TblOutcomes[[#This Row],[BatchID]]))</f>
        <v>45306</v>
      </c>
    </row>
    <row r="27" spans="2:17" x14ac:dyDescent="0.25">
      <c r="B27" s="2" t="s">
        <v>830</v>
      </c>
      <c r="C27" s="2" t="s">
        <v>120</v>
      </c>
      <c r="D27" s="2" t="s">
        <v>122</v>
      </c>
      <c r="E27" s="2" t="s">
        <v>4646</v>
      </c>
      <c r="F27" s="2">
        <v>35</v>
      </c>
      <c r="G27" s="2">
        <v>25.97</v>
      </c>
      <c r="H27" s="2">
        <v>9.0299999999999994</v>
      </c>
      <c r="I27" s="1">
        <v>25.8</v>
      </c>
      <c r="J27" s="26">
        <v>45360</v>
      </c>
      <c r="K27" s="22">
        <v>103880</v>
      </c>
      <c r="L27" s="18">
        <v>111.1</v>
      </c>
      <c r="M27" s="22">
        <v>103250</v>
      </c>
      <c r="N27" s="22">
        <v>630</v>
      </c>
      <c r="O27" s="18">
        <v>0.67</v>
      </c>
      <c r="P27" s="52">
        <f>IF(COUNTIF(TblPurchases[BatchID],TblOutcomes[[#This Row],[BatchID]])&lt;&gt;1,"n.a.",TblOutcomes[[#This Row],[Qty Wasted]]*SUMIFS(TblPurchases[Unit Cost (CLP)],TblPurchases[BatchID],TblOutcomes[[#This Row],[BatchID]]))</f>
        <v>26638.499999999996</v>
      </c>
      <c r="Q27" s="51">
        <f>IF(COUNTIF(TblPurchases[BatchID],TblOutcomes[[#This Row],[BatchID]])&lt;&gt;1,"n.a.",SUMIFS(TblPurchases[Purchase Date],TblPurchases[BatchID],TblOutcomes[[#This Row],[BatchID]]))</f>
        <v>45315</v>
      </c>
    </row>
    <row r="28" spans="2:17" x14ac:dyDescent="0.25">
      <c r="B28" s="2" t="s">
        <v>831</v>
      </c>
      <c r="C28" s="2" t="s">
        <v>120</v>
      </c>
      <c r="D28" s="2" t="s">
        <v>122</v>
      </c>
      <c r="E28" s="2" t="s">
        <v>4647</v>
      </c>
      <c r="F28" s="2">
        <v>35</v>
      </c>
      <c r="G28" s="2">
        <v>35</v>
      </c>
      <c r="H28" s="2">
        <v>0</v>
      </c>
      <c r="I28" s="1">
        <v>0</v>
      </c>
      <c r="J28" s="26">
        <v>45328</v>
      </c>
      <c r="K28" s="22">
        <v>140000</v>
      </c>
      <c r="L28" s="18">
        <v>149.72999999999999</v>
      </c>
      <c r="M28" s="22">
        <v>103250</v>
      </c>
      <c r="N28" s="22">
        <v>36750</v>
      </c>
      <c r="O28" s="18">
        <v>39.299999999999997</v>
      </c>
      <c r="P28" s="52">
        <f>IF(COUNTIF(TblPurchases[BatchID],TblOutcomes[[#This Row],[BatchID]])&lt;&gt;1,"n.a.",TblOutcomes[[#This Row],[Qty Wasted]]*SUMIFS(TblPurchases[Unit Cost (CLP)],TblPurchases[BatchID],TblOutcomes[[#This Row],[BatchID]]))</f>
        <v>0</v>
      </c>
      <c r="Q28" s="51">
        <f>IF(COUNTIF(TblPurchases[BatchID],TblOutcomes[[#This Row],[BatchID]])&lt;&gt;1,"n.a.",SUMIFS(TblPurchases[Purchase Date],TblPurchases[BatchID],TblOutcomes[[#This Row],[BatchID]]))</f>
        <v>45323</v>
      </c>
    </row>
    <row r="29" spans="2:17" x14ac:dyDescent="0.25">
      <c r="B29" s="2" t="s">
        <v>832</v>
      </c>
      <c r="C29" s="2" t="s">
        <v>120</v>
      </c>
      <c r="D29" s="2" t="s">
        <v>122</v>
      </c>
      <c r="E29" s="2" t="s">
        <v>4647</v>
      </c>
      <c r="F29" s="2">
        <v>40</v>
      </c>
      <c r="G29" s="2">
        <v>40</v>
      </c>
      <c r="H29" s="2">
        <v>0</v>
      </c>
      <c r="I29" s="1">
        <v>0</v>
      </c>
      <c r="J29" s="26">
        <v>45343</v>
      </c>
      <c r="K29" s="22">
        <v>160000</v>
      </c>
      <c r="L29" s="18">
        <v>171.12</v>
      </c>
      <c r="M29" s="22">
        <v>118000</v>
      </c>
      <c r="N29" s="22">
        <v>42000</v>
      </c>
      <c r="O29" s="18">
        <v>44.92</v>
      </c>
      <c r="P29" s="52">
        <f>IF(COUNTIF(TblPurchases[BatchID],TblOutcomes[[#This Row],[BatchID]])&lt;&gt;1,"n.a.",TblOutcomes[[#This Row],[Qty Wasted]]*SUMIFS(TblPurchases[Unit Cost (CLP)],TblPurchases[BatchID],TblOutcomes[[#This Row],[BatchID]]))</f>
        <v>0</v>
      </c>
      <c r="Q29" s="51">
        <f>IF(COUNTIF(TblPurchases[BatchID],TblOutcomes[[#This Row],[BatchID]])&lt;&gt;1,"n.a.",SUMIFS(TblPurchases[Purchase Date],TblPurchases[BatchID],TblOutcomes[[#This Row],[BatchID]]))</f>
        <v>45333</v>
      </c>
    </row>
    <row r="30" spans="2:17" x14ac:dyDescent="0.25">
      <c r="B30" s="2" t="s">
        <v>833</v>
      </c>
      <c r="C30" s="2" t="s">
        <v>120</v>
      </c>
      <c r="D30" s="2" t="s">
        <v>122</v>
      </c>
      <c r="E30" s="2" t="s">
        <v>4646</v>
      </c>
      <c r="F30" s="2">
        <v>45</v>
      </c>
      <c r="G30" s="2">
        <v>36.85</v>
      </c>
      <c r="H30" s="2">
        <v>8.14</v>
      </c>
      <c r="I30" s="1">
        <v>18.100000000000001</v>
      </c>
      <c r="J30" s="26">
        <v>45387</v>
      </c>
      <c r="K30" s="22">
        <v>147400</v>
      </c>
      <c r="L30" s="18">
        <v>157.65</v>
      </c>
      <c r="M30" s="22">
        <v>135000</v>
      </c>
      <c r="N30" s="22">
        <v>12400</v>
      </c>
      <c r="O30" s="18">
        <v>13.26</v>
      </c>
      <c r="P30" s="52">
        <f>IF(COUNTIF(TblPurchases[BatchID],TblOutcomes[[#This Row],[BatchID]])&lt;&gt;1,"n.a.",TblOutcomes[[#This Row],[Qty Wasted]]*SUMIFS(TblPurchases[Unit Cost (CLP)],TblPurchases[BatchID],TblOutcomes[[#This Row],[BatchID]]))</f>
        <v>24420</v>
      </c>
      <c r="Q30" s="51">
        <f>IF(COUNTIF(TblPurchases[BatchID],TblOutcomes[[#This Row],[BatchID]])&lt;&gt;1,"n.a.",SUMIFS(TblPurchases[Purchase Date],TblPurchases[BatchID],TblOutcomes[[#This Row],[BatchID]]))</f>
        <v>45342</v>
      </c>
    </row>
    <row r="31" spans="2:17" x14ac:dyDescent="0.25">
      <c r="B31" s="2" t="s">
        <v>834</v>
      </c>
      <c r="C31" s="2" t="s">
        <v>120</v>
      </c>
      <c r="D31" s="2" t="s">
        <v>122</v>
      </c>
      <c r="E31" s="2" t="s">
        <v>4646</v>
      </c>
      <c r="F31" s="2">
        <v>45</v>
      </c>
      <c r="G31" s="2">
        <v>29.57</v>
      </c>
      <c r="H31" s="2">
        <v>15.44</v>
      </c>
      <c r="I31" s="1">
        <v>34.299999999999997</v>
      </c>
      <c r="J31" s="26">
        <v>45396</v>
      </c>
      <c r="K31" s="22">
        <v>118280</v>
      </c>
      <c r="L31" s="18">
        <v>126.5</v>
      </c>
      <c r="M31" s="22">
        <v>132750</v>
      </c>
      <c r="N31" s="22">
        <v>-14470</v>
      </c>
      <c r="O31" s="18">
        <v>-15.48</v>
      </c>
      <c r="P31" s="52">
        <f>IF(COUNTIF(TblPurchases[BatchID],TblOutcomes[[#This Row],[BatchID]])&lt;&gt;1,"n.a.",TblOutcomes[[#This Row],[Qty Wasted]]*SUMIFS(TblPurchases[Unit Cost (CLP)],TblPurchases[BatchID],TblOutcomes[[#This Row],[BatchID]]))</f>
        <v>45548</v>
      </c>
      <c r="Q31" s="51">
        <f>IF(COUNTIF(TblPurchases[BatchID],TblOutcomes[[#This Row],[BatchID]])&lt;&gt;1,"n.a.",SUMIFS(TblPurchases[Purchase Date],TblPurchases[BatchID],TblOutcomes[[#This Row],[BatchID]]))</f>
        <v>45351</v>
      </c>
    </row>
    <row r="32" spans="2:17" x14ac:dyDescent="0.25">
      <c r="B32" s="2" t="s">
        <v>835</v>
      </c>
      <c r="C32" s="2" t="s">
        <v>120</v>
      </c>
      <c r="D32" s="2" t="s">
        <v>122</v>
      </c>
      <c r="E32" s="2" t="s">
        <v>4647</v>
      </c>
      <c r="F32" s="2">
        <v>46</v>
      </c>
      <c r="G32" s="2">
        <v>46</v>
      </c>
      <c r="H32" s="2">
        <v>0</v>
      </c>
      <c r="I32" s="1">
        <v>0</v>
      </c>
      <c r="J32" s="26">
        <v>45372</v>
      </c>
      <c r="K32" s="22">
        <v>184000</v>
      </c>
      <c r="L32" s="18">
        <v>196.79</v>
      </c>
      <c r="M32" s="22">
        <v>135700</v>
      </c>
      <c r="N32" s="22">
        <v>48300</v>
      </c>
      <c r="O32" s="18">
        <v>51.66</v>
      </c>
      <c r="P32" s="52">
        <f>IF(COUNTIF(TblPurchases[BatchID],TblOutcomes[[#This Row],[BatchID]])&lt;&gt;1,"n.a.",TblOutcomes[[#This Row],[Qty Wasted]]*SUMIFS(TblPurchases[Unit Cost (CLP)],TblPurchases[BatchID],TblOutcomes[[#This Row],[BatchID]]))</f>
        <v>0</v>
      </c>
      <c r="Q32" s="51">
        <f>IF(COUNTIF(TblPurchases[BatchID],TblOutcomes[[#This Row],[BatchID]])&lt;&gt;1,"n.a.",SUMIFS(TblPurchases[Purchase Date],TblPurchases[BatchID],TblOutcomes[[#This Row],[BatchID]]))</f>
        <v>45361</v>
      </c>
    </row>
    <row r="33" spans="2:17" x14ac:dyDescent="0.25">
      <c r="B33" s="2" t="s">
        <v>837</v>
      </c>
      <c r="C33" s="2" t="s">
        <v>120</v>
      </c>
      <c r="D33" s="2" t="s">
        <v>122</v>
      </c>
      <c r="E33" s="2" t="s">
        <v>4646</v>
      </c>
      <c r="F33" s="2">
        <v>35</v>
      </c>
      <c r="G33" s="2">
        <v>33.880000000000003</v>
      </c>
      <c r="H33" s="2">
        <v>1.1200000000000001</v>
      </c>
      <c r="I33" s="1">
        <v>3.2</v>
      </c>
      <c r="J33" s="26">
        <v>45417</v>
      </c>
      <c r="K33" s="22">
        <v>135520</v>
      </c>
      <c r="L33" s="18">
        <v>144.94</v>
      </c>
      <c r="M33" s="22">
        <v>103250</v>
      </c>
      <c r="N33" s="22">
        <v>32270</v>
      </c>
      <c r="O33" s="18">
        <v>34.51</v>
      </c>
      <c r="P33" s="52">
        <f>IF(COUNTIF(TblPurchases[BatchID],TblOutcomes[[#This Row],[BatchID]])&lt;&gt;1,"n.a.",TblOutcomes[[#This Row],[Qty Wasted]]*SUMIFS(TblPurchases[Unit Cost (CLP)],TblPurchases[BatchID],TblOutcomes[[#This Row],[BatchID]]))</f>
        <v>3304.0000000000005</v>
      </c>
      <c r="Q33" s="51">
        <f>IF(COUNTIF(TblPurchases[BatchID],TblOutcomes[[#This Row],[BatchID]])&lt;&gt;1,"n.a.",SUMIFS(TblPurchases[Purchase Date],TblPurchases[BatchID],TblOutcomes[[#This Row],[BatchID]]))</f>
        <v>45372</v>
      </c>
    </row>
    <row r="34" spans="2:17" x14ac:dyDescent="0.25">
      <c r="B34" s="2" t="s">
        <v>838</v>
      </c>
      <c r="C34" s="2" t="s">
        <v>120</v>
      </c>
      <c r="D34" s="2" t="s">
        <v>122</v>
      </c>
      <c r="E34" s="2" t="s">
        <v>4646</v>
      </c>
      <c r="F34" s="2">
        <v>34</v>
      </c>
      <c r="G34" s="2">
        <v>30.36</v>
      </c>
      <c r="H34" s="2">
        <v>3.64</v>
      </c>
      <c r="I34" s="1">
        <v>10.7</v>
      </c>
      <c r="J34" s="26">
        <v>45427</v>
      </c>
      <c r="K34" s="22">
        <v>121440</v>
      </c>
      <c r="L34" s="18">
        <v>129.88</v>
      </c>
      <c r="M34" s="22">
        <v>100300</v>
      </c>
      <c r="N34" s="22">
        <v>21140</v>
      </c>
      <c r="O34" s="18">
        <v>22.61</v>
      </c>
      <c r="P34" s="52">
        <f>IF(COUNTIF(TblPurchases[BatchID],TblOutcomes[[#This Row],[BatchID]])&lt;&gt;1,"n.a.",TblOutcomes[[#This Row],[Qty Wasted]]*SUMIFS(TblPurchases[Unit Cost (CLP)],TblPurchases[BatchID],TblOutcomes[[#This Row],[BatchID]]))</f>
        <v>10738</v>
      </c>
      <c r="Q34" s="51">
        <f>IF(COUNTIF(TblPurchases[BatchID],TblOutcomes[[#This Row],[BatchID]])&lt;&gt;1,"n.a.",SUMIFS(TblPurchases[Purchase Date],TblPurchases[BatchID],TblOutcomes[[#This Row],[BatchID]]))</f>
        <v>45382</v>
      </c>
    </row>
    <row r="35" spans="2:17" x14ac:dyDescent="0.25">
      <c r="B35" s="2" t="s">
        <v>839</v>
      </c>
      <c r="C35" s="2" t="s">
        <v>120</v>
      </c>
      <c r="D35" s="2" t="s">
        <v>122</v>
      </c>
      <c r="E35" s="2" t="s">
        <v>4646</v>
      </c>
      <c r="F35" s="2">
        <v>13</v>
      </c>
      <c r="G35" s="2">
        <v>10.59</v>
      </c>
      <c r="H35" s="2">
        <v>2.4</v>
      </c>
      <c r="I35" s="1">
        <v>18.5</v>
      </c>
      <c r="J35" s="26">
        <v>45436</v>
      </c>
      <c r="K35" s="22">
        <v>42360</v>
      </c>
      <c r="L35" s="18">
        <v>45.3</v>
      </c>
      <c r="M35" s="22">
        <v>38350</v>
      </c>
      <c r="N35" s="22">
        <v>4010</v>
      </c>
      <c r="O35" s="18">
        <v>4.29</v>
      </c>
      <c r="P35" s="52">
        <f>IF(COUNTIF(TblPurchases[BatchID],TblOutcomes[[#This Row],[BatchID]])&lt;&gt;1,"n.a.",TblOutcomes[[#This Row],[Qty Wasted]]*SUMIFS(TblPurchases[Unit Cost (CLP)],TblPurchases[BatchID],TblOutcomes[[#This Row],[BatchID]]))</f>
        <v>7080</v>
      </c>
      <c r="Q35" s="51">
        <f>IF(COUNTIF(TblPurchases[BatchID],TblOutcomes[[#This Row],[BatchID]])&lt;&gt;1,"n.a.",SUMIFS(TblPurchases[Purchase Date],TblPurchases[BatchID],TblOutcomes[[#This Row],[BatchID]]))</f>
        <v>45391</v>
      </c>
    </row>
    <row r="36" spans="2:17" x14ac:dyDescent="0.25">
      <c r="B36" s="2" t="s">
        <v>840</v>
      </c>
      <c r="C36" s="2" t="s">
        <v>120</v>
      </c>
      <c r="D36" s="2" t="s">
        <v>122</v>
      </c>
      <c r="E36" s="2" t="s">
        <v>4647</v>
      </c>
      <c r="F36" s="2">
        <v>14</v>
      </c>
      <c r="G36" s="2">
        <v>14</v>
      </c>
      <c r="H36" s="2">
        <v>0</v>
      </c>
      <c r="I36" s="1">
        <v>0</v>
      </c>
      <c r="J36" s="26">
        <v>45407</v>
      </c>
      <c r="K36" s="22">
        <v>56000</v>
      </c>
      <c r="L36" s="18">
        <v>59.89</v>
      </c>
      <c r="M36" s="22">
        <v>42000</v>
      </c>
      <c r="N36" s="22">
        <v>14000</v>
      </c>
      <c r="O36" s="18">
        <v>14.97</v>
      </c>
      <c r="P36" s="52">
        <f>IF(COUNTIF(TblPurchases[BatchID],TblOutcomes[[#This Row],[BatchID]])&lt;&gt;1,"n.a.",TblOutcomes[[#This Row],[Qty Wasted]]*SUMIFS(TblPurchases[Unit Cost (CLP)],TblPurchases[BatchID],TblOutcomes[[#This Row],[BatchID]]))</f>
        <v>0</v>
      </c>
      <c r="Q36" s="51">
        <f>IF(COUNTIF(TblPurchases[BatchID],TblOutcomes[[#This Row],[BatchID]])&lt;&gt;1,"n.a.",SUMIFS(TblPurchases[Purchase Date],TblPurchases[BatchID],TblOutcomes[[#This Row],[BatchID]]))</f>
        <v>45402</v>
      </c>
    </row>
    <row r="37" spans="2:17" x14ac:dyDescent="0.25">
      <c r="B37" s="2" t="s">
        <v>841</v>
      </c>
      <c r="C37" s="2" t="s">
        <v>120</v>
      </c>
      <c r="D37" s="2" t="s">
        <v>122</v>
      </c>
      <c r="E37" s="2" t="s">
        <v>4646</v>
      </c>
      <c r="F37" s="2">
        <v>16</v>
      </c>
      <c r="G37" s="2">
        <v>14.1</v>
      </c>
      <c r="H37" s="2">
        <v>1.9</v>
      </c>
      <c r="I37" s="1">
        <v>11.9</v>
      </c>
      <c r="J37" s="26">
        <v>45456</v>
      </c>
      <c r="K37" s="22">
        <v>56400</v>
      </c>
      <c r="L37" s="18">
        <v>60.32</v>
      </c>
      <c r="M37" s="22">
        <v>47200</v>
      </c>
      <c r="N37" s="22">
        <v>9200</v>
      </c>
      <c r="O37" s="18">
        <v>9.84</v>
      </c>
      <c r="P37" s="52">
        <f>IF(COUNTIF(TblPurchases[BatchID],TblOutcomes[[#This Row],[BatchID]])&lt;&gt;1,"n.a.",TblOutcomes[[#This Row],[Qty Wasted]]*SUMIFS(TblPurchases[Unit Cost (CLP)],TblPurchases[BatchID],TblOutcomes[[#This Row],[BatchID]]))</f>
        <v>5605</v>
      </c>
      <c r="Q37" s="51">
        <f>IF(COUNTIF(TblPurchases[BatchID],TblOutcomes[[#This Row],[BatchID]])&lt;&gt;1,"n.a.",SUMIFS(TblPurchases[Purchase Date],TblPurchases[BatchID],TblOutcomes[[#This Row],[BatchID]]))</f>
        <v>45411</v>
      </c>
    </row>
    <row r="38" spans="2:17" x14ac:dyDescent="0.25">
      <c r="B38" s="2" t="s">
        <v>842</v>
      </c>
      <c r="C38" s="2" t="s">
        <v>120</v>
      </c>
      <c r="D38" s="2" t="s">
        <v>122</v>
      </c>
      <c r="E38" s="2" t="s">
        <v>4647</v>
      </c>
      <c r="F38" s="2">
        <v>15</v>
      </c>
      <c r="G38" s="2">
        <v>15</v>
      </c>
      <c r="H38" s="2">
        <v>0</v>
      </c>
      <c r="I38" s="1">
        <v>0</v>
      </c>
      <c r="J38" s="26">
        <v>45431</v>
      </c>
      <c r="K38" s="22">
        <v>60000</v>
      </c>
      <c r="L38" s="18">
        <v>64.17</v>
      </c>
      <c r="M38" s="22">
        <v>44250</v>
      </c>
      <c r="N38" s="22">
        <v>15750</v>
      </c>
      <c r="O38" s="18">
        <v>16.84</v>
      </c>
      <c r="P38" s="52">
        <f>IF(COUNTIF(TblPurchases[BatchID],TblOutcomes[[#This Row],[BatchID]])&lt;&gt;1,"n.a.",TblOutcomes[[#This Row],[Qty Wasted]]*SUMIFS(TblPurchases[Unit Cost (CLP)],TblPurchases[BatchID],TblOutcomes[[#This Row],[BatchID]]))</f>
        <v>0</v>
      </c>
      <c r="Q38" s="51">
        <f>IF(COUNTIF(TblPurchases[BatchID],TblOutcomes[[#This Row],[BatchID]])&lt;&gt;1,"n.a.",SUMIFS(TblPurchases[Purchase Date],TblPurchases[BatchID],TblOutcomes[[#This Row],[BatchID]]))</f>
        <v>45421</v>
      </c>
    </row>
    <row r="39" spans="2:17" x14ac:dyDescent="0.25">
      <c r="B39" s="2" t="s">
        <v>843</v>
      </c>
      <c r="C39" s="2" t="s">
        <v>120</v>
      </c>
      <c r="D39" s="2" t="s">
        <v>122</v>
      </c>
      <c r="E39" s="2" t="s">
        <v>4647</v>
      </c>
      <c r="F39" s="2">
        <v>13</v>
      </c>
      <c r="G39" s="2">
        <v>13</v>
      </c>
      <c r="H39" s="2">
        <v>0</v>
      </c>
      <c r="I39" s="1">
        <v>0</v>
      </c>
      <c r="J39" s="26">
        <v>45441</v>
      </c>
      <c r="K39" s="22">
        <v>52000</v>
      </c>
      <c r="L39" s="18">
        <v>55.61</v>
      </c>
      <c r="M39" s="22">
        <v>39000</v>
      </c>
      <c r="N39" s="22">
        <v>13000</v>
      </c>
      <c r="O39" s="18">
        <v>13.9</v>
      </c>
      <c r="P39" s="52">
        <f>IF(COUNTIF(TblPurchases[BatchID],TblOutcomes[[#This Row],[BatchID]])&lt;&gt;1,"n.a.",TblOutcomes[[#This Row],[Qty Wasted]]*SUMIFS(TblPurchases[Unit Cost (CLP)],TblPurchases[BatchID],TblOutcomes[[#This Row],[BatchID]]))</f>
        <v>0</v>
      </c>
      <c r="Q39" s="51">
        <f>IF(COUNTIF(TblPurchases[BatchID],TblOutcomes[[#This Row],[BatchID]])&lt;&gt;1,"n.a.",SUMIFS(TblPurchases[Purchase Date],TblPurchases[BatchID],TblOutcomes[[#This Row],[BatchID]]))</f>
        <v>45430</v>
      </c>
    </row>
    <row r="40" spans="2:17" x14ac:dyDescent="0.25">
      <c r="B40" s="2" t="s">
        <v>844</v>
      </c>
      <c r="C40" s="2" t="s">
        <v>120</v>
      </c>
      <c r="D40" s="2" t="s">
        <v>122</v>
      </c>
      <c r="E40" s="2" t="s">
        <v>4646</v>
      </c>
      <c r="F40" s="2">
        <v>15</v>
      </c>
      <c r="G40" s="2">
        <v>11.51</v>
      </c>
      <c r="H40" s="2">
        <v>3.5</v>
      </c>
      <c r="I40" s="1">
        <v>23.3</v>
      </c>
      <c r="J40" s="26">
        <v>45484</v>
      </c>
      <c r="K40" s="22">
        <v>46040</v>
      </c>
      <c r="L40" s="18">
        <v>49.24</v>
      </c>
      <c r="M40" s="22">
        <v>44250</v>
      </c>
      <c r="N40" s="22">
        <v>1790</v>
      </c>
      <c r="O40" s="18">
        <v>1.91</v>
      </c>
      <c r="P40" s="52">
        <f>IF(COUNTIF(TblPurchases[BatchID],TblOutcomes[[#This Row],[BatchID]])&lt;&gt;1,"n.a.",TblOutcomes[[#This Row],[Qty Wasted]]*SUMIFS(TblPurchases[Unit Cost (CLP)],TblPurchases[BatchID],TblOutcomes[[#This Row],[BatchID]]))</f>
        <v>10325</v>
      </c>
      <c r="Q40" s="51">
        <f>IF(COUNTIF(TblPurchases[BatchID],TblOutcomes[[#This Row],[BatchID]])&lt;&gt;1,"n.a.",SUMIFS(TblPurchases[Purchase Date],TblPurchases[BatchID],TblOutcomes[[#This Row],[BatchID]]))</f>
        <v>45439</v>
      </c>
    </row>
    <row r="41" spans="2:17" x14ac:dyDescent="0.25">
      <c r="B41" s="2" t="s">
        <v>845</v>
      </c>
      <c r="C41" s="2" t="s">
        <v>120</v>
      </c>
      <c r="D41" s="2" t="s">
        <v>122</v>
      </c>
      <c r="E41" s="2" t="s">
        <v>4646</v>
      </c>
      <c r="F41" s="2">
        <v>15</v>
      </c>
      <c r="G41" s="2">
        <v>11.27</v>
      </c>
      <c r="H41" s="2">
        <v>3.73</v>
      </c>
      <c r="I41" s="1">
        <v>24.9</v>
      </c>
      <c r="J41" s="26">
        <v>45492</v>
      </c>
      <c r="K41" s="22">
        <v>45080</v>
      </c>
      <c r="L41" s="18">
        <v>48.21</v>
      </c>
      <c r="M41" s="22">
        <v>44250</v>
      </c>
      <c r="N41" s="22">
        <v>830</v>
      </c>
      <c r="O41" s="18">
        <v>0.89</v>
      </c>
      <c r="P41" s="52">
        <f>IF(COUNTIF(TblPurchases[BatchID],TblOutcomes[[#This Row],[BatchID]])&lt;&gt;1,"n.a.",TblOutcomes[[#This Row],[Qty Wasted]]*SUMIFS(TblPurchases[Unit Cost (CLP)],TblPurchases[BatchID],TblOutcomes[[#This Row],[BatchID]]))</f>
        <v>11003.5</v>
      </c>
      <c r="Q41" s="51">
        <f>IF(COUNTIF(TblPurchases[BatchID],TblOutcomes[[#This Row],[BatchID]])&lt;&gt;1,"n.a.",SUMIFS(TblPurchases[Purchase Date],TblPurchases[BatchID],TblOutcomes[[#This Row],[BatchID]]))</f>
        <v>45447</v>
      </c>
    </row>
    <row r="42" spans="2:17" x14ac:dyDescent="0.25">
      <c r="B42" s="2" t="s">
        <v>846</v>
      </c>
      <c r="C42" s="2" t="s">
        <v>120</v>
      </c>
      <c r="D42" s="2" t="s">
        <v>122</v>
      </c>
      <c r="E42" s="2" t="s">
        <v>4646</v>
      </c>
      <c r="F42" s="2">
        <v>15</v>
      </c>
      <c r="G42" s="2">
        <v>11.8</v>
      </c>
      <c r="H42" s="2">
        <v>3.19</v>
      </c>
      <c r="I42" s="1">
        <v>21.3</v>
      </c>
      <c r="J42" s="26">
        <v>45502</v>
      </c>
      <c r="K42" s="22">
        <v>47200</v>
      </c>
      <c r="L42" s="18">
        <v>50.48</v>
      </c>
      <c r="M42" s="22">
        <v>44250</v>
      </c>
      <c r="N42" s="22">
        <v>2950</v>
      </c>
      <c r="O42" s="18">
        <v>3.16</v>
      </c>
      <c r="P42" s="52">
        <f>IF(COUNTIF(TblPurchases[BatchID],TblOutcomes[[#This Row],[BatchID]])&lt;&gt;1,"n.a.",TblOutcomes[[#This Row],[Qty Wasted]]*SUMIFS(TblPurchases[Unit Cost (CLP)],TblPurchases[BatchID],TblOutcomes[[#This Row],[BatchID]]))</f>
        <v>9410.5</v>
      </c>
      <c r="Q42" s="51">
        <f>IF(COUNTIF(TblPurchases[BatchID],TblOutcomes[[#This Row],[BatchID]])&lt;&gt;1,"n.a.",SUMIFS(TblPurchases[Purchase Date],TblPurchases[BatchID],TblOutcomes[[#This Row],[BatchID]]))</f>
        <v>45457</v>
      </c>
    </row>
    <row r="43" spans="2:17" x14ac:dyDescent="0.25">
      <c r="B43" s="2" t="s">
        <v>847</v>
      </c>
      <c r="C43" s="2" t="s">
        <v>120</v>
      </c>
      <c r="D43" s="2" t="s">
        <v>122</v>
      </c>
      <c r="E43" s="2" t="s">
        <v>4647</v>
      </c>
      <c r="F43" s="2">
        <v>13</v>
      </c>
      <c r="G43" s="2">
        <v>13</v>
      </c>
      <c r="H43" s="2">
        <v>0</v>
      </c>
      <c r="I43" s="1">
        <v>0</v>
      </c>
      <c r="J43" s="26">
        <v>45470</v>
      </c>
      <c r="K43" s="22">
        <v>52000</v>
      </c>
      <c r="L43" s="18">
        <v>55.61</v>
      </c>
      <c r="M43" s="22">
        <v>38350</v>
      </c>
      <c r="N43" s="22">
        <v>13650</v>
      </c>
      <c r="O43" s="18">
        <v>14.6</v>
      </c>
      <c r="P43" s="52">
        <f>IF(COUNTIF(TblPurchases[BatchID],TblOutcomes[[#This Row],[BatchID]])&lt;&gt;1,"n.a.",TblOutcomes[[#This Row],[Qty Wasted]]*SUMIFS(TblPurchases[Unit Cost (CLP)],TblPurchases[BatchID],TblOutcomes[[#This Row],[BatchID]]))</f>
        <v>0</v>
      </c>
      <c r="Q43" s="51">
        <f>IF(COUNTIF(TblPurchases[BatchID],TblOutcomes[[#This Row],[BatchID]])&lt;&gt;1,"n.a.",SUMIFS(TblPurchases[Purchase Date],TblPurchases[BatchID],TblOutcomes[[#This Row],[BatchID]]))</f>
        <v>45464</v>
      </c>
    </row>
    <row r="44" spans="2:17" x14ac:dyDescent="0.25">
      <c r="B44" s="2" t="s">
        <v>848</v>
      </c>
      <c r="C44" s="2" t="s">
        <v>120</v>
      </c>
      <c r="D44" s="2" t="s">
        <v>122</v>
      </c>
      <c r="E44" s="2" t="s">
        <v>4646</v>
      </c>
      <c r="F44" s="2">
        <v>15</v>
      </c>
      <c r="G44" s="2">
        <v>12.25</v>
      </c>
      <c r="H44" s="2">
        <v>2.75</v>
      </c>
      <c r="I44" s="1">
        <v>18.3</v>
      </c>
      <c r="J44" s="26">
        <v>45518</v>
      </c>
      <c r="K44" s="22">
        <v>49000</v>
      </c>
      <c r="L44" s="18">
        <v>52.41</v>
      </c>
      <c r="M44" s="22">
        <v>44250</v>
      </c>
      <c r="N44" s="22">
        <v>4750</v>
      </c>
      <c r="O44" s="18">
        <v>5.08</v>
      </c>
      <c r="P44" s="52">
        <f>IF(COUNTIF(TblPurchases[BatchID],TblOutcomes[[#This Row],[BatchID]])&lt;&gt;1,"n.a.",TblOutcomes[[#This Row],[Qty Wasted]]*SUMIFS(TblPurchases[Unit Cost (CLP)],TblPurchases[BatchID],TblOutcomes[[#This Row],[BatchID]]))</f>
        <v>8112.5</v>
      </c>
      <c r="Q44" s="51">
        <f>IF(COUNTIF(TblPurchases[BatchID],TblOutcomes[[#This Row],[BatchID]])&lt;&gt;1,"n.a.",SUMIFS(TblPurchases[Purchase Date],TblPurchases[BatchID],TblOutcomes[[#This Row],[BatchID]]))</f>
        <v>45473</v>
      </c>
    </row>
    <row r="45" spans="2:17" x14ac:dyDescent="0.25">
      <c r="B45" s="2" t="s">
        <v>849</v>
      </c>
      <c r="C45" s="2" t="s">
        <v>120</v>
      </c>
      <c r="D45" s="2" t="s">
        <v>122</v>
      </c>
      <c r="E45" s="2" t="s">
        <v>4646</v>
      </c>
      <c r="F45" s="2">
        <v>15</v>
      </c>
      <c r="G45" s="2">
        <v>13.38</v>
      </c>
      <c r="H45" s="2">
        <v>1.62</v>
      </c>
      <c r="I45" s="1">
        <v>10.8</v>
      </c>
      <c r="J45" s="26">
        <v>45529</v>
      </c>
      <c r="K45" s="22">
        <v>53520</v>
      </c>
      <c r="L45" s="18">
        <v>57.24</v>
      </c>
      <c r="M45" s="22">
        <v>44250</v>
      </c>
      <c r="N45" s="22">
        <v>9270</v>
      </c>
      <c r="O45" s="18">
        <v>9.91</v>
      </c>
      <c r="P45" s="52">
        <f>IF(COUNTIF(TblPurchases[BatchID],TblOutcomes[[#This Row],[BatchID]])&lt;&gt;1,"n.a.",TblOutcomes[[#This Row],[Qty Wasted]]*SUMIFS(TblPurchases[Unit Cost (CLP)],TblPurchases[BatchID],TblOutcomes[[#This Row],[BatchID]]))</f>
        <v>4779</v>
      </c>
      <c r="Q45" s="51">
        <f>IF(COUNTIF(TblPurchases[BatchID],TblOutcomes[[#This Row],[BatchID]])&lt;&gt;1,"n.a.",SUMIFS(TblPurchases[Purchase Date],TblPurchases[BatchID],TblOutcomes[[#This Row],[BatchID]]))</f>
        <v>45484</v>
      </c>
    </row>
    <row r="46" spans="2:17" x14ac:dyDescent="0.25">
      <c r="B46" s="2" t="s">
        <v>850</v>
      </c>
      <c r="C46" s="2" t="s">
        <v>120</v>
      </c>
      <c r="D46" s="2" t="s">
        <v>122</v>
      </c>
      <c r="E46" s="2" t="s">
        <v>4647</v>
      </c>
      <c r="F46" s="2">
        <v>15</v>
      </c>
      <c r="G46" s="2">
        <v>15</v>
      </c>
      <c r="H46" s="2">
        <v>0</v>
      </c>
      <c r="I46" s="1">
        <v>0</v>
      </c>
      <c r="J46" s="26">
        <v>45502</v>
      </c>
      <c r="K46" s="22">
        <v>60000</v>
      </c>
      <c r="L46" s="18">
        <v>64.17</v>
      </c>
      <c r="M46" s="22">
        <v>44250</v>
      </c>
      <c r="N46" s="22">
        <v>15750</v>
      </c>
      <c r="O46" s="18">
        <v>16.84</v>
      </c>
      <c r="P46" s="52">
        <f>IF(COUNTIF(TblPurchases[BatchID],TblOutcomes[[#This Row],[BatchID]])&lt;&gt;1,"n.a.",TblOutcomes[[#This Row],[Qty Wasted]]*SUMIFS(TblPurchases[Unit Cost (CLP)],TblPurchases[BatchID],TblOutcomes[[#This Row],[BatchID]]))</f>
        <v>0</v>
      </c>
      <c r="Q46" s="51">
        <f>IF(COUNTIF(TblPurchases[BatchID],TblOutcomes[[#This Row],[BatchID]])&lt;&gt;1,"n.a.",SUMIFS(TblPurchases[Purchase Date],TblPurchases[BatchID],TblOutcomes[[#This Row],[BatchID]]))</f>
        <v>45494</v>
      </c>
    </row>
    <row r="47" spans="2:17" x14ac:dyDescent="0.25">
      <c r="B47" s="2" t="s">
        <v>851</v>
      </c>
      <c r="C47" s="2" t="s">
        <v>120</v>
      </c>
      <c r="D47" s="2" t="s">
        <v>122</v>
      </c>
      <c r="E47" s="2" t="s">
        <v>4646</v>
      </c>
      <c r="F47" s="2">
        <v>14</v>
      </c>
      <c r="G47" s="2">
        <v>12.66</v>
      </c>
      <c r="H47" s="2">
        <v>1.34</v>
      </c>
      <c r="I47" s="1">
        <v>9.6</v>
      </c>
      <c r="J47" s="26">
        <v>45549</v>
      </c>
      <c r="K47" s="22">
        <v>50640</v>
      </c>
      <c r="L47" s="18">
        <v>54.16</v>
      </c>
      <c r="M47" s="22">
        <v>41300</v>
      </c>
      <c r="N47" s="22">
        <v>9340</v>
      </c>
      <c r="O47" s="18">
        <v>9.99</v>
      </c>
      <c r="P47" s="52">
        <f>IF(COUNTIF(TblPurchases[BatchID],TblOutcomes[[#This Row],[BatchID]])&lt;&gt;1,"n.a.",TblOutcomes[[#This Row],[Qty Wasted]]*SUMIFS(TblPurchases[Unit Cost (CLP)],TblPurchases[BatchID],TblOutcomes[[#This Row],[BatchID]]))</f>
        <v>3953.0000000000005</v>
      </c>
      <c r="Q47" s="51">
        <f>IF(COUNTIF(TblPurchases[BatchID],TblOutcomes[[#This Row],[BatchID]])&lt;&gt;1,"n.a.",SUMIFS(TblPurchases[Purchase Date],TblPurchases[BatchID],TblOutcomes[[#This Row],[BatchID]]))</f>
        <v>45504</v>
      </c>
    </row>
    <row r="48" spans="2:17" x14ac:dyDescent="0.25">
      <c r="B48" s="2" t="s">
        <v>852</v>
      </c>
      <c r="C48" s="2" t="s">
        <v>120</v>
      </c>
      <c r="D48" s="2" t="s">
        <v>122</v>
      </c>
      <c r="E48" s="2" t="s">
        <v>4646</v>
      </c>
      <c r="F48" s="2">
        <v>16</v>
      </c>
      <c r="G48" s="2">
        <v>13.04</v>
      </c>
      <c r="H48" s="2">
        <v>2.96</v>
      </c>
      <c r="I48" s="1">
        <v>18.5</v>
      </c>
      <c r="J48" s="26">
        <v>45560</v>
      </c>
      <c r="K48" s="22">
        <v>52160</v>
      </c>
      <c r="L48" s="18">
        <v>55.79</v>
      </c>
      <c r="M48" s="22">
        <v>47200</v>
      </c>
      <c r="N48" s="22">
        <v>4960</v>
      </c>
      <c r="O48" s="18">
        <v>5.3</v>
      </c>
      <c r="P48" s="52">
        <f>IF(COUNTIF(TblPurchases[BatchID],TblOutcomes[[#This Row],[BatchID]])&lt;&gt;1,"n.a.",TblOutcomes[[#This Row],[Qty Wasted]]*SUMIFS(TblPurchases[Unit Cost (CLP)],TblPurchases[BatchID],TblOutcomes[[#This Row],[BatchID]]))</f>
        <v>8732</v>
      </c>
      <c r="Q48" s="51">
        <f>IF(COUNTIF(TblPurchases[BatchID],TblOutcomes[[#This Row],[BatchID]])&lt;&gt;1,"n.a.",SUMIFS(TblPurchases[Purchase Date],TblPurchases[BatchID],TblOutcomes[[#This Row],[BatchID]]))</f>
        <v>45515</v>
      </c>
    </row>
    <row r="49" spans="2:17" x14ac:dyDescent="0.25">
      <c r="B49" s="2" t="s">
        <v>853</v>
      </c>
      <c r="C49" s="2" t="s">
        <v>120</v>
      </c>
      <c r="D49" s="2" t="s">
        <v>122</v>
      </c>
      <c r="E49" s="2" t="s">
        <v>4647</v>
      </c>
      <c r="F49" s="2">
        <v>14</v>
      </c>
      <c r="G49" s="2">
        <v>14</v>
      </c>
      <c r="H49" s="2">
        <v>0</v>
      </c>
      <c r="I49" s="1">
        <v>0</v>
      </c>
      <c r="J49" s="26">
        <v>45532</v>
      </c>
      <c r="K49" s="22">
        <v>56000</v>
      </c>
      <c r="L49" s="18">
        <v>59.89</v>
      </c>
      <c r="M49" s="22">
        <v>41300</v>
      </c>
      <c r="N49" s="22">
        <v>14700</v>
      </c>
      <c r="O49" s="18">
        <v>15.72</v>
      </c>
      <c r="P49" s="52">
        <f>IF(COUNTIF(TblPurchases[BatchID],TblOutcomes[[#This Row],[BatchID]])&lt;&gt;1,"n.a.",TblOutcomes[[#This Row],[Qty Wasted]]*SUMIFS(TblPurchases[Unit Cost (CLP)],TblPurchases[BatchID],TblOutcomes[[#This Row],[BatchID]]))</f>
        <v>0</v>
      </c>
      <c r="Q49" s="51">
        <f>IF(COUNTIF(TblPurchases[BatchID],TblOutcomes[[#This Row],[BatchID]])&lt;&gt;1,"n.a.",SUMIFS(TblPurchases[Purchase Date],TblPurchases[BatchID],TblOutcomes[[#This Row],[BatchID]]))</f>
        <v>45526</v>
      </c>
    </row>
    <row r="50" spans="2:17" x14ac:dyDescent="0.25">
      <c r="B50" s="2" t="s">
        <v>854</v>
      </c>
      <c r="C50" s="2" t="s">
        <v>120</v>
      </c>
      <c r="D50" s="2" t="s">
        <v>122</v>
      </c>
      <c r="E50" s="2" t="s">
        <v>4646</v>
      </c>
      <c r="F50" s="2">
        <v>21</v>
      </c>
      <c r="G50" s="2">
        <v>19.38</v>
      </c>
      <c r="H50" s="2">
        <v>1.62</v>
      </c>
      <c r="I50" s="1">
        <v>7.7</v>
      </c>
      <c r="J50" s="26">
        <v>45582</v>
      </c>
      <c r="K50" s="22">
        <v>77520</v>
      </c>
      <c r="L50" s="18">
        <v>82.91</v>
      </c>
      <c r="M50" s="22">
        <v>61950</v>
      </c>
      <c r="N50" s="22">
        <v>15570</v>
      </c>
      <c r="O50" s="18">
        <v>16.649999999999999</v>
      </c>
      <c r="P50" s="52">
        <f>IF(COUNTIF(TblPurchases[BatchID],TblOutcomes[[#This Row],[BatchID]])&lt;&gt;1,"n.a.",TblOutcomes[[#This Row],[Qty Wasted]]*SUMIFS(TblPurchases[Unit Cost (CLP)],TblPurchases[BatchID],TblOutcomes[[#This Row],[BatchID]]))</f>
        <v>4779</v>
      </c>
      <c r="Q50" s="51">
        <f>IF(COUNTIF(TblPurchases[BatchID],TblOutcomes[[#This Row],[BatchID]])&lt;&gt;1,"n.a.",SUMIFS(TblPurchases[Purchase Date],TblPurchases[BatchID],TblOutcomes[[#This Row],[BatchID]]))</f>
        <v>45537</v>
      </c>
    </row>
    <row r="51" spans="2:17" x14ac:dyDescent="0.25">
      <c r="B51" s="2" t="s">
        <v>855</v>
      </c>
      <c r="C51" s="2" t="s">
        <v>120</v>
      </c>
      <c r="D51" s="2" t="s">
        <v>122</v>
      </c>
      <c r="E51" s="2" t="s">
        <v>4646</v>
      </c>
      <c r="F51" s="2">
        <v>19</v>
      </c>
      <c r="G51" s="2">
        <v>18.13</v>
      </c>
      <c r="H51" s="2">
        <v>0.87</v>
      </c>
      <c r="I51" s="1">
        <v>4.5999999999999996</v>
      </c>
      <c r="J51" s="26">
        <v>45591</v>
      </c>
      <c r="K51" s="22">
        <v>72520</v>
      </c>
      <c r="L51" s="18">
        <v>77.56</v>
      </c>
      <c r="M51" s="22">
        <v>57000</v>
      </c>
      <c r="N51" s="22">
        <v>15520</v>
      </c>
      <c r="O51" s="18">
        <v>16.600000000000001</v>
      </c>
      <c r="P51" s="52">
        <f>IF(COUNTIF(TblPurchases[BatchID],TblOutcomes[[#This Row],[BatchID]])&lt;&gt;1,"n.a.",TblOutcomes[[#This Row],[Qty Wasted]]*SUMIFS(TblPurchases[Unit Cost (CLP)],TblPurchases[BatchID],TblOutcomes[[#This Row],[BatchID]]))</f>
        <v>2610</v>
      </c>
      <c r="Q51" s="51">
        <f>IF(COUNTIF(TblPurchases[BatchID],TblOutcomes[[#This Row],[BatchID]])&lt;&gt;1,"n.a.",SUMIFS(TblPurchases[Purchase Date],TblPurchases[BatchID],TblOutcomes[[#This Row],[BatchID]]))</f>
        <v>45546</v>
      </c>
    </row>
    <row r="52" spans="2:17" x14ac:dyDescent="0.25">
      <c r="B52" s="2" t="s">
        <v>856</v>
      </c>
      <c r="C52" s="2" t="s">
        <v>120</v>
      </c>
      <c r="D52" s="2" t="s">
        <v>122</v>
      </c>
      <c r="E52" s="2" t="s">
        <v>4646</v>
      </c>
      <c r="F52" s="2">
        <v>19</v>
      </c>
      <c r="G52" s="2">
        <v>14.31</v>
      </c>
      <c r="H52" s="2">
        <v>4.6900000000000004</v>
      </c>
      <c r="I52" s="1">
        <v>24.7</v>
      </c>
      <c r="J52" s="26">
        <v>45600</v>
      </c>
      <c r="K52" s="22">
        <v>57240</v>
      </c>
      <c r="L52" s="18">
        <v>61.22</v>
      </c>
      <c r="M52" s="22">
        <v>57000</v>
      </c>
      <c r="N52" s="22">
        <v>240</v>
      </c>
      <c r="O52" s="18">
        <v>0.26</v>
      </c>
      <c r="P52" s="52">
        <f>IF(COUNTIF(TblPurchases[BatchID],TblOutcomes[[#This Row],[BatchID]])&lt;&gt;1,"n.a.",TblOutcomes[[#This Row],[Qty Wasted]]*SUMIFS(TblPurchases[Unit Cost (CLP)],TblPurchases[BatchID],TblOutcomes[[#This Row],[BatchID]]))</f>
        <v>14070.000000000002</v>
      </c>
      <c r="Q52" s="51">
        <f>IF(COUNTIF(TblPurchases[BatchID],TblOutcomes[[#This Row],[BatchID]])&lt;&gt;1,"n.a.",SUMIFS(TblPurchases[Purchase Date],TblPurchases[BatchID],TblOutcomes[[#This Row],[BatchID]]))</f>
        <v>45555</v>
      </c>
    </row>
    <row r="53" spans="2:17" x14ac:dyDescent="0.25">
      <c r="B53" s="2" t="s">
        <v>857</v>
      </c>
      <c r="C53" s="2" t="s">
        <v>120</v>
      </c>
      <c r="D53" s="2" t="s">
        <v>122</v>
      </c>
      <c r="E53" s="2" t="s">
        <v>4647</v>
      </c>
      <c r="F53" s="2">
        <v>36</v>
      </c>
      <c r="G53" s="2">
        <v>36</v>
      </c>
      <c r="H53" s="2">
        <v>0</v>
      </c>
      <c r="I53" s="1">
        <v>0</v>
      </c>
      <c r="J53" s="26">
        <v>45572</v>
      </c>
      <c r="K53" s="22">
        <v>144000</v>
      </c>
      <c r="L53" s="18">
        <v>154.01</v>
      </c>
      <c r="M53" s="22">
        <v>106200</v>
      </c>
      <c r="N53" s="22">
        <v>37800</v>
      </c>
      <c r="O53" s="18">
        <v>40.43</v>
      </c>
      <c r="P53" s="52">
        <f>IF(COUNTIF(TblPurchases[BatchID],TblOutcomes[[#This Row],[BatchID]])&lt;&gt;1,"n.a.",TblOutcomes[[#This Row],[Qty Wasted]]*SUMIFS(TblPurchases[Unit Cost (CLP)],TblPurchases[BatchID],TblOutcomes[[#This Row],[BatchID]]))</f>
        <v>0</v>
      </c>
      <c r="Q53" s="51">
        <f>IF(COUNTIF(TblPurchases[BatchID],TblOutcomes[[#This Row],[BatchID]])&lt;&gt;1,"n.a.",SUMIFS(TblPurchases[Purchase Date],TblPurchases[BatchID],TblOutcomes[[#This Row],[BatchID]]))</f>
        <v>45566</v>
      </c>
    </row>
    <row r="54" spans="2:17" x14ac:dyDescent="0.25">
      <c r="B54" s="2" t="s">
        <v>858</v>
      </c>
      <c r="C54" s="2" t="s">
        <v>120</v>
      </c>
      <c r="D54" s="2" t="s">
        <v>122</v>
      </c>
      <c r="E54" s="2" t="s">
        <v>4646</v>
      </c>
      <c r="F54" s="2">
        <v>36</v>
      </c>
      <c r="G54" s="2">
        <v>31.75</v>
      </c>
      <c r="H54" s="2">
        <v>4.25</v>
      </c>
      <c r="I54" s="1">
        <v>11.8</v>
      </c>
      <c r="J54" s="26">
        <v>45620</v>
      </c>
      <c r="K54" s="22">
        <v>127000</v>
      </c>
      <c r="L54" s="18">
        <v>135.83000000000001</v>
      </c>
      <c r="M54" s="22">
        <v>108000</v>
      </c>
      <c r="N54" s="22">
        <v>19000</v>
      </c>
      <c r="O54" s="18">
        <v>20.32</v>
      </c>
      <c r="P54" s="52">
        <f>IF(COUNTIF(TblPurchases[BatchID],TblOutcomes[[#This Row],[BatchID]])&lt;&gt;1,"n.a.",TblOutcomes[[#This Row],[Qty Wasted]]*SUMIFS(TblPurchases[Unit Cost (CLP)],TblPurchases[BatchID],TblOutcomes[[#This Row],[BatchID]]))</f>
        <v>12750</v>
      </c>
      <c r="Q54" s="51">
        <f>IF(COUNTIF(TblPurchases[BatchID],TblOutcomes[[#This Row],[BatchID]])&lt;&gt;1,"n.a.",SUMIFS(TblPurchases[Purchase Date],TblPurchases[BatchID],TblOutcomes[[#This Row],[BatchID]]))</f>
        <v>45575</v>
      </c>
    </row>
    <row r="55" spans="2:17" x14ac:dyDescent="0.25">
      <c r="B55" s="2" t="s">
        <v>859</v>
      </c>
      <c r="C55" s="2" t="s">
        <v>120</v>
      </c>
      <c r="D55" s="2" t="s">
        <v>122</v>
      </c>
      <c r="E55" s="2" t="s">
        <v>4647</v>
      </c>
      <c r="F55" s="2">
        <v>39</v>
      </c>
      <c r="G55" s="2">
        <v>39</v>
      </c>
      <c r="H55" s="2">
        <v>0</v>
      </c>
      <c r="I55" s="1">
        <v>0</v>
      </c>
      <c r="J55" s="26">
        <v>45584</v>
      </c>
      <c r="K55" s="22">
        <v>156000</v>
      </c>
      <c r="L55" s="18">
        <v>166.84</v>
      </c>
      <c r="M55" s="22">
        <v>115050</v>
      </c>
      <c r="N55" s="22">
        <v>40950</v>
      </c>
      <c r="O55" s="18">
        <v>43.8</v>
      </c>
      <c r="P55" s="52">
        <f>IF(COUNTIF(TblPurchases[BatchID],TblOutcomes[[#This Row],[BatchID]])&lt;&gt;1,"n.a.",TblOutcomes[[#This Row],[Qty Wasted]]*SUMIFS(TblPurchases[Unit Cost (CLP)],TblPurchases[BatchID],TblOutcomes[[#This Row],[BatchID]]))</f>
        <v>0</v>
      </c>
      <c r="Q55" s="51">
        <f>IF(COUNTIF(TblPurchases[BatchID],TblOutcomes[[#This Row],[BatchID]])&lt;&gt;1,"n.a.",SUMIFS(TblPurchases[Purchase Date],TblPurchases[BatchID],TblOutcomes[[#This Row],[BatchID]]))</f>
        <v>45582</v>
      </c>
    </row>
    <row r="56" spans="2:17" x14ac:dyDescent="0.25">
      <c r="B56" s="2" t="s">
        <v>860</v>
      </c>
      <c r="C56" s="2" t="s">
        <v>120</v>
      </c>
      <c r="D56" s="2" t="s">
        <v>122</v>
      </c>
      <c r="E56" s="2" t="s">
        <v>4647</v>
      </c>
      <c r="F56" s="2">
        <v>43</v>
      </c>
      <c r="G56" s="2">
        <v>43</v>
      </c>
      <c r="H56" s="2">
        <v>0</v>
      </c>
      <c r="I56" s="1">
        <v>0</v>
      </c>
      <c r="J56" s="26">
        <v>45601</v>
      </c>
      <c r="K56" s="22">
        <v>172000</v>
      </c>
      <c r="L56" s="18">
        <v>183.96</v>
      </c>
      <c r="M56" s="22">
        <v>126850</v>
      </c>
      <c r="N56" s="22">
        <v>45150</v>
      </c>
      <c r="O56" s="18">
        <v>48.29</v>
      </c>
      <c r="P56" s="52">
        <f>IF(COUNTIF(TblPurchases[BatchID],TblOutcomes[[#This Row],[BatchID]])&lt;&gt;1,"n.a.",TblOutcomes[[#This Row],[Qty Wasted]]*SUMIFS(TblPurchases[Unit Cost (CLP)],TblPurchases[BatchID],TblOutcomes[[#This Row],[BatchID]]))</f>
        <v>0</v>
      </c>
      <c r="Q56" s="51">
        <f>IF(COUNTIF(TblPurchases[BatchID],TblOutcomes[[#This Row],[BatchID]])&lt;&gt;1,"n.a.",SUMIFS(TblPurchases[Purchase Date],TblPurchases[BatchID],TblOutcomes[[#This Row],[BatchID]]))</f>
        <v>45592</v>
      </c>
    </row>
    <row r="57" spans="2:17" x14ac:dyDescent="0.25">
      <c r="B57" s="2" t="s">
        <v>861</v>
      </c>
      <c r="C57" s="2" t="s">
        <v>120</v>
      </c>
      <c r="D57" s="2" t="s">
        <v>122</v>
      </c>
      <c r="E57" s="2" t="s">
        <v>4647</v>
      </c>
      <c r="F57" s="2">
        <v>41</v>
      </c>
      <c r="G57" s="2">
        <v>41</v>
      </c>
      <c r="H57" s="2">
        <v>0</v>
      </c>
      <c r="I57" s="1">
        <v>0</v>
      </c>
      <c r="J57" s="26">
        <v>45605</v>
      </c>
      <c r="K57" s="22">
        <v>164000</v>
      </c>
      <c r="L57" s="18">
        <v>175.4</v>
      </c>
      <c r="M57" s="22">
        <v>120950</v>
      </c>
      <c r="N57" s="22">
        <v>43050</v>
      </c>
      <c r="O57" s="18">
        <v>46.04</v>
      </c>
      <c r="P57" s="52">
        <f>IF(COUNTIF(TblPurchases[BatchID],TblOutcomes[[#This Row],[BatchID]])&lt;&gt;1,"n.a.",TblOutcomes[[#This Row],[Qty Wasted]]*SUMIFS(TblPurchases[Unit Cost (CLP)],TblPurchases[BatchID],TblOutcomes[[#This Row],[BatchID]]))</f>
        <v>0</v>
      </c>
      <c r="Q57" s="51">
        <f>IF(COUNTIF(TblPurchases[BatchID],TblOutcomes[[#This Row],[BatchID]])&lt;&gt;1,"n.a.",SUMIFS(TblPurchases[Purchase Date],TblPurchases[BatchID],TblOutcomes[[#This Row],[BatchID]]))</f>
        <v>45600</v>
      </c>
    </row>
    <row r="58" spans="2:17" x14ac:dyDescent="0.25">
      <c r="B58" s="2" t="s">
        <v>862</v>
      </c>
      <c r="C58" s="2" t="s">
        <v>120</v>
      </c>
      <c r="D58" s="2" t="s">
        <v>122</v>
      </c>
      <c r="E58" s="2" t="s">
        <v>4646</v>
      </c>
      <c r="F58" s="2">
        <v>38</v>
      </c>
      <c r="G58" s="2">
        <v>30.13</v>
      </c>
      <c r="H58" s="2">
        <v>7.87</v>
      </c>
      <c r="I58" s="1">
        <v>20.7</v>
      </c>
      <c r="J58" s="26">
        <v>45655</v>
      </c>
      <c r="K58" s="22">
        <v>120520</v>
      </c>
      <c r="L58" s="18">
        <v>128.9</v>
      </c>
      <c r="M58" s="22">
        <v>112100</v>
      </c>
      <c r="N58" s="22">
        <v>8420</v>
      </c>
      <c r="O58" s="18">
        <v>9.01</v>
      </c>
      <c r="P58" s="52">
        <f>IF(COUNTIF(TblPurchases[BatchID],TblOutcomes[[#This Row],[BatchID]])&lt;&gt;1,"n.a.",TblOutcomes[[#This Row],[Qty Wasted]]*SUMIFS(TblPurchases[Unit Cost (CLP)],TblPurchases[BatchID],TblOutcomes[[#This Row],[BatchID]]))</f>
        <v>23216.5</v>
      </c>
      <c r="Q58" s="51">
        <f>IF(COUNTIF(TblPurchases[BatchID],TblOutcomes[[#This Row],[BatchID]])&lt;&gt;1,"n.a.",SUMIFS(TblPurchases[Purchase Date],TblPurchases[BatchID],TblOutcomes[[#This Row],[BatchID]]))</f>
        <v>45610</v>
      </c>
    </row>
    <row r="59" spans="2:17" x14ac:dyDescent="0.25">
      <c r="B59" s="2" t="s">
        <v>863</v>
      </c>
      <c r="C59" s="2" t="s">
        <v>120</v>
      </c>
      <c r="D59" s="2" t="s">
        <v>122</v>
      </c>
      <c r="E59" s="2" t="s">
        <v>4647</v>
      </c>
      <c r="F59" s="2">
        <v>46</v>
      </c>
      <c r="G59" s="2">
        <v>46</v>
      </c>
      <c r="H59" s="2">
        <v>0</v>
      </c>
      <c r="I59" s="1">
        <v>0</v>
      </c>
      <c r="J59" s="26">
        <v>45630</v>
      </c>
      <c r="K59" s="22">
        <v>184000</v>
      </c>
      <c r="L59" s="18">
        <v>196.79</v>
      </c>
      <c r="M59" s="22">
        <v>135700</v>
      </c>
      <c r="N59" s="22">
        <v>48300</v>
      </c>
      <c r="O59" s="18">
        <v>51.66</v>
      </c>
      <c r="P59" s="52">
        <f>IF(COUNTIF(TblPurchases[BatchID],TblOutcomes[[#This Row],[BatchID]])&lt;&gt;1,"n.a.",TblOutcomes[[#This Row],[Qty Wasted]]*SUMIFS(TblPurchases[Unit Cost (CLP)],TblPurchases[BatchID],TblOutcomes[[#This Row],[BatchID]]))</f>
        <v>0</v>
      </c>
      <c r="Q59" s="51">
        <f>IF(COUNTIF(TblPurchases[BatchID],TblOutcomes[[#This Row],[BatchID]])&lt;&gt;1,"n.a.",SUMIFS(TblPurchases[Purchase Date],TblPurchases[BatchID],TblOutcomes[[#This Row],[BatchID]]))</f>
        <v>45623</v>
      </c>
    </row>
    <row r="60" spans="2:17" x14ac:dyDescent="0.25">
      <c r="B60" s="2" t="s">
        <v>864</v>
      </c>
      <c r="C60" s="2" t="s">
        <v>120</v>
      </c>
      <c r="D60" s="2" t="s">
        <v>122</v>
      </c>
      <c r="E60" s="2" t="s">
        <v>4647</v>
      </c>
      <c r="F60" s="2">
        <v>59</v>
      </c>
      <c r="G60" s="2">
        <v>59</v>
      </c>
      <c r="H60" s="2">
        <v>0</v>
      </c>
      <c r="I60" s="1">
        <v>0</v>
      </c>
      <c r="J60" s="26">
        <v>45643</v>
      </c>
      <c r="K60" s="22">
        <v>236000</v>
      </c>
      <c r="L60" s="18">
        <v>252.41</v>
      </c>
      <c r="M60" s="22">
        <v>174050</v>
      </c>
      <c r="N60" s="22">
        <v>61950</v>
      </c>
      <c r="O60" s="18">
        <v>66.260000000000005</v>
      </c>
      <c r="P60" s="52">
        <f>IF(COUNTIF(TblPurchases[BatchID],TblOutcomes[[#This Row],[BatchID]])&lt;&gt;1,"n.a.",TblOutcomes[[#This Row],[Qty Wasted]]*SUMIFS(TblPurchases[Unit Cost (CLP)],TblPurchases[BatchID],TblOutcomes[[#This Row],[BatchID]]))</f>
        <v>0</v>
      </c>
      <c r="Q60" s="51">
        <f>IF(COUNTIF(TblPurchases[BatchID],TblOutcomes[[#This Row],[BatchID]])&lt;&gt;1,"n.a.",SUMIFS(TblPurchases[Purchase Date],TblPurchases[BatchID],TblOutcomes[[#This Row],[BatchID]]))</f>
        <v>45631</v>
      </c>
    </row>
    <row r="61" spans="2:17" x14ac:dyDescent="0.25">
      <c r="B61" s="2" t="s">
        <v>865</v>
      </c>
      <c r="C61" s="2" t="s">
        <v>120</v>
      </c>
      <c r="D61" s="2" t="s">
        <v>122</v>
      </c>
      <c r="E61" s="2" t="s">
        <v>4647</v>
      </c>
      <c r="F61" s="2">
        <v>53</v>
      </c>
      <c r="G61" s="2">
        <v>53</v>
      </c>
      <c r="H61" s="2">
        <v>0</v>
      </c>
      <c r="I61" s="1">
        <v>0</v>
      </c>
      <c r="J61" s="26">
        <v>45645</v>
      </c>
      <c r="K61" s="22">
        <v>212000</v>
      </c>
      <c r="L61" s="18">
        <v>226.74</v>
      </c>
      <c r="M61" s="22">
        <v>156350</v>
      </c>
      <c r="N61" s="22">
        <v>55650</v>
      </c>
      <c r="O61" s="18">
        <v>59.52</v>
      </c>
      <c r="P61" s="52">
        <f>IF(COUNTIF(TblPurchases[BatchID],TblOutcomes[[#This Row],[BatchID]])&lt;&gt;1,"n.a.",TblOutcomes[[#This Row],[Qty Wasted]]*SUMIFS(TblPurchases[Unit Cost (CLP)],TblPurchases[BatchID],TblOutcomes[[#This Row],[BatchID]]))</f>
        <v>0</v>
      </c>
      <c r="Q61" s="51">
        <f>IF(COUNTIF(TblPurchases[BatchID],TblOutcomes[[#This Row],[BatchID]])&lt;&gt;1,"n.a.",SUMIFS(TblPurchases[Purchase Date],TblPurchases[BatchID],TblOutcomes[[#This Row],[BatchID]]))</f>
        <v>45639</v>
      </c>
    </row>
    <row r="62" spans="2:17" x14ac:dyDescent="0.25">
      <c r="B62" s="2" t="s">
        <v>866</v>
      </c>
      <c r="C62" s="2" t="s">
        <v>120</v>
      </c>
      <c r="D62" s="2" t="s">
        <v>122</v>
      </c>
      <c r="E62" s="2" t="s">
        <v>4647</v>
      </c>
      <c r="F62" s="2">
        <v>52</v>
      </c>
      <c r="G62" s="2">
        <v>52</v>
      </c>
      <c r="H62" s="2">
        <v>0</v>
      </c>
      <c r="I62" s="1">
        <v>0</v>
      </c>
      <c r="J62" s="26">
        <v>45656</v>
      </c>
      <c r="K62" s="22">
        <v>208000</v>
      </c>
      <c r="L62" s="18">
        <v>222.46</v>
      </c>
      <c r="M62" s="22">
        <v>153400</v>
      </c>
      <c r="N62" s="22">
        <v>54600</v>
      </c>
      <c r="O62" s="18">
        <v>58.4</v>
      </c>
      <c r="P62" s="52">
        <f>IF(COUNTIF(TblPurchases[BatchID],TblOutcomes[[#This Row],[BatchID]])&lt;&gt;1,"n.a.",TblOutcomes[[#This Row],[Qty Wasted]]*SUMIFS(TblPurchases[Unit Cost (CLP)],TblPurchases[BatchID],TblOutcomes[[#This Row],[BatchID]]))</f>
        <v>0</v>
      </c>
      <c r="Q62" s="51">
        <f>IF(COUNTIF(TblPurchases[BatchID],TblOutcomes[[#This Row],[BatchID]])&lt;&gt;1,"n.a.",SUMIFS(TblPurchases[Purchase Date],TblPurchases[BatchID],TblOutcomes[[#This Row],[BatchID]]))</f>
        <v>45648</v>
      </c>
    </row>
    <row r="63" spans="2:17" x14ac:dyDescent="0.25">
      <c r="B63" s="2" t="s">
        <v>867</v>
      </c>
      <c r="C63" s="2" t="s">
        <v>120</v>
      </c>
      <c r="D63" s="2" t="s">
        <v>122</v>
      </c>
      <c r="E63" s="2" t="s">
        <v>4647</v>
      </c>
      <c r="F63" s="2">
        <v>41</v>
      </c>
      <c r="G63" s="2">
        <v>41</v>
      </c>
      <c r="H63" s="2">
        <v>0</v>
      </c>
      <c r="I63" s="1">
        <v>0</v>
      </c>
      <c r="J63" s="26">
        <v>45668</v>
      </c>
      <c r="K63" s="22">
        <v>164000</v>
      </c>
      <c r="L63" s="18">
        <v>175.4</v>
      </c>
      <c r="M63" s="22">
        <v>120950</v>
      </c>
      <c r="N63" s="22">
        <v>43050</v>
      </c>
      <c r="O63" s="18">
        <v>46.04</v>
      </c>
      <c r="P63" s="52">
        <f>IF(COUNTIF(TblPurchases[BatchID],TblOutcomes[[#This Row],[BatchID]])&lt;&gt;1,"n.a.",TblOutcomes[[#This Row],[Qty Wasted]]*SUMIFS(TblPurchases[Unit Cost (CLP)],TblPurchases[BatchID],TblOutcomes[[#This Row],[BatchID]]))</f>
        <v>0</v>
      </c>
      <c r="Q63" s="51">
        <f>IF(COUNTIF(TblPurchases[BatchID],TblOutcomes[[#This Row],[BatchID]])&lt;&gt;1,"n.a.",SUMIFS(TblPurchases[Purchase Date],TblPurchases[BatchID],TblOutcomes[[#This Row],[BatchID]]))</f>
        <v>45658</v>
      </c>
    </row>
    <row r="64" spans="2:17" x14ac:dyDescent="0.25">
      <c r="B64" s="2" t="s">
        <v>868</v>
      </c>
      <c r="C64" s="2" t="s">
        <v>120</v>
      </c>
      <c r="D64" s="2" t="s">
        <v>122</v>
      </c>
      <c r="E64" s="2" t="s">
        <v>4647</v>
      </c>
      <c r="F64" s="2">
        <v>43</v>
      </c>
      <c r="G64" s="2">
        <v>43</v>
      </c>
      <c r="H64" s="2">
        <v>0</v>
      </c>
      <c r="I64" s="1">
        <v>0</v>
      </c>
      <c r="J64" s="26">
        <v>45672</v>
      </c>
      <c r="K64" s="22">
        <v>172000</v>
      </c>
      <c r="L64" s="18">
        <v>183.96</v>
      </c>
      <c r="M64" s="22">
        <v>126850</v>
      </c>
      <c r="N64" s="22">
        <v>45150</v>
      </c>
      <c r="O64" s="18">
        <v>48.29</v>
      </c>
      <c r="P64" s="52">
        <f>IF(COUNTIF(TblPurchases[BatchID],TblOutcomes[[#This Row],[BatchID]])&lt;&gt;1,"n.a.",TblOutcomes[[#This Row],[Qty Wasted]]*SUMIFS(TblPurchases[Unit Cost (CLP)],TblPurchases[BatchID],TblOutcomes[[#This Row],[BatchID]]))</f>
        <v>0</v>
      </c>
      <c r="Q64" s="51">
        <f>IF(COUNTIF(TblPurchases[BatchID],TblOutcomes[[#This Row],[BatchID]])&lt;&gt;1,"n.a.",SUMIFS(TblPurchases[Purchase Date],TblPurchases[BatchID],TblOutcomes[[#This Row],[BatchID]]))</f>
        <v>45668</v>
      </c>
    </row>
    <row r="65" spans="2:17" x14ac:dyDescent="0.25">
      <c r="B65" s="2" t="s">
        <v>869</v>
      </c>
      <c r="C65" s="2" t="s">
        <v>120</v>
      </c>
      <c r="D65" s="2" t="s">
        <v>122</v>
      </c>
      <c r="E65" s="2" t="s">
        <v>4647</v>
      </c>
      <c r="F65" s="2">
        <v>44</v>
      </c>
      <c r="G65" s="2">
        <v>44</v>
      </c>
      <c r="H65" s="2">
        <v>0</v>
      </c>
      <c r="I65" s="1">
        <v>0</v>
      </c>
      <c r="J65" s="26">
        <v>45689</v>
      </c>
      <c r="K65" s="22">
        <v>176000</v>
      </c>
      <c r="L65" s="18">
        <v>188.24</v>
      </c>
      <c r="M65" s="22">
        <v>129800</v>
      </c>
      <c r="N65" s="22">
        <v>46200</v>
      </c>
      <c r="O65" s="18">
        <v>49.41</v>
      </c>
      <c r="P65" s="52">
        <f>IF(COUNTIF(TblPurchases[BatchID],TblOutcomes[[#This Row],[BatchID]])&lt;&gt;1,"n.a.",TblOutcomes[[#This Row],[Qty Wasted]]*SUMIFS(TblPurchases[Unit Cost (CLP)],TblPurchases[BatchID],TblOutcomes[[#This Row],[BatchID]]))</f>
        <v>0</v>
      </c>
      <c r="Q65" s="51">
        <f>IF(COUNTIF(TblPurchases[BatchID],TblOutcomes[[#This Row],[BatchID]])&lt;&gt;1,"n.a.",SUMIFS(TblPurchases[Purchase Date],TblPurchases[BatchID],TblOutcomes[[#This Row],[BatchID]]))</f>
        <v>45679</v>
      </c>
    </row>
    <row r="66" spans="2:17" x14ac:dyDescent="0.25">
      <c r="B66" s="2" t="s">
        <v>870</v>
      </c>
      <c r="C66" s="2" t="s">
        <v>120</v>
      </c>
      <c r="D66" s="2" t="s">
        <v>122</v>
      </c>
      <c r="E66" s="2" t="s">
        <v>4646</v>
      </c>
      <c r="F66" s="2">
        <v>39</v>
      </c>
      <c r="G66" s="2">
        <v>33.03</v>
      </c>
      <c r="H66" s="2">
        <v>5.97</v>
      </c>
      <c r="I66" s="1">
        <v>15.3</v>
      </c>
      <c r="J66" s="26">
        <v>45730</v>
      </c>
      <c r="K66" s="22">
        <v>132120</v>
      </c>
      <c r="L66" s="18">
        <v>141.30000000000001</v>
      </c>
      <c r="M66" s="22">
        <v>115050</v>
      </c>
      <c r="N66" s="22">
        <v>17070</v>
      </c>
      <c r="O66" s="18">
        <v>18.260000000000002</v>
      </c>
      <c r="P66" s="52">
        <f>IF(COUNTIF(TblPurchases[BatchID],TblOutcomes[[#This Row],[BatchID]])&lt;&gt;1,"n.a.",TblOutcomes[[#This Row],[Qty Wasted]]*SUMIFS(TblPurchases[Unit Cost (CLP)],TblPurchases[BatchID],TblOutcomes[[#This Row],[BatchID]]))</f>
        <v>17611.5</v>
      </c>
      <c r="Q66" s="51">
        <f>IF(COUNTIF(TblPurchases[BatchID],TblOutcomes[[#This Row],[BatchID]])&lt;&gt;1,"n.a.",SUMIFS(TblPurchases[Purchase Date],TblPurchases[BatchID],TblOutcomes[[#This Row],[BatchID]]))</f>
        <v>45685</v>
      </c>
    </row>
    <row r="67" spans="2:17" x14ac:dyDescent="0.25">
      <c r="B67" s="2" t="s">
        <v>871</v>
      </c>
      <c r="C67" s="2" t="s">
        <v>120</v>
      </c>
      <c r="D67" s="2" t="s">
        <v>122</v>
      </c>
      <c r="E67" s="2" t="s">
        <v>4647</v>
      </c>
      <c r="F67" s="2">
        <v>49</v>
      </c>
      <c r="G67" s="2">
        <v>49</v>
      </c>
      <c r="H67" s="2">
        <v>0</v>
      </c>
      <c r="I67" s="1">
        <v>0</v>
      </c>
      <c r="J67" s="26">
        <v>45705</v>
      </c>
      <c r="K67" s="22">
        <v>196000</v>
      </c>
      <c r="L67" s="18">
        <v>209.63</v>
      </c>
      <c r="M67" s="22">
        <v>144550</v>
      </c>
      <c r="N67" s="22">
        <v>51450</v>
      </c>
      <c r="O67" s="18">
        <v>55.03</v>
      </c>
      <c r="P67" s="52">
        <f>IF(COUNTIF(TblPurchases[BatchID],TblOutcomes[[#This Row],[BatchID]])&lt;&gt;1,"n.a.",TblOutcomes[[#This Row],[Qty Wasted]]*SUMIFS(TblPurchases[Unit Cost (CLP)],TblPurchases[BatchID],TblOutcomes[[#This Row],[BatchID]]))</f>
        <v>0</v>
      </c>
      <c r="Q67" s="51">
        <f>IF(COUNTIF(TblPurchases[BatchID],TblOutcomes[[#This Row],[BatchID]])&lt;&gt;1,"n.a.",SUMIFS(TblPurchases[Purchase Date],TblPurchases[BatchID],TblOutcomes[[#This Row],[BatchID]]))</f>
        <v>45697</v>
      </c>
    </row>
    <row r="68" spans="2:17" x14ac:dyDescent="0.25">
      <c r="B68" s="2" t="s">
        <v>872</v>
      </c>
      <c r="C68" s="2" t="s">
        <v>120</v>
      </c>
      <c r="D68" s="2" t="s">
        <v>122</v>
      </c>
      <c r="E68" s="2" t="s">
        <v>4647</v>
      </c>
      <c r="F68" s="2">
        <v>37</v>
      </c>
      <c r="G68" s="2">
        <v>37</v>
      </c>
      <c r="H68" s="2">
        <v>0</v>
      </c>
      <c r="I68" s="1">
        <v>0</v>
      </c>
      <c r="J68" s="26">
        <v>45716</v>
      </c>
      <c r="K68" s="22">
        <v>148000</v>
      </c>
      <c r="L68" s="18">
        <v>158.29</v>
      </c>
      <c r="M68" s="22">
        <v>109150</v>
      </c>
      <c r="N68" s="22">
        <v>38850</v>
      </c>
      <c r="O68" s="18">
        <v>41.55</v>
      </c>
      <c r="P68" s="52">
        <f>IF(COUNTIF(TblPurchases[BatchID],TblOutcomes[[#This Row],[BatchID]])&lt;&gt;1,"n.a.",TblOutcomes[[#This Row],[Qty Wasted]]*SUMIFS(TblPurchases[Unit Cost (CLP)],TblPurchases[BatchID],TblOutcomes[[#This Row],[BatchID]]))</f>
        <v>0</v>
      </c>
      <c r="Q68" s="51">
        <f>IF(COUNTIF(TblPurchases[BatchID],TblOutcomes[[#This Row],[BatchID]])&lt;&gt;1,"n.a.",SUMIFS(TblPurchases[Purchase Date],TblPurchases[BatchID],TblOutcomes[[#This Row],[BatchID]]))</f>
        <v>45708</v>
      </c>
    </row>
    <row r="69" spans="2:17" x14ac:dyDescent="0.25">
      <c r="B69" s="2" t="s">
        <v>873</v>
      </c>
      <c r="C69" s="2" t="s">
        <v>120</v>
      </c>
      <c r="D69" s="2" t="s">
        <v>122</v>
      </c>
      <c r="E69" s="2" t="s">
        <v>4646</v>
      </c>
      <c r="F69" s="2">
        <v>37</v>
      </c>
      <c r="G69" s="2">
        <v>31.49</v>
      </c>
      <c r="H69" s="2">
        <v>5.51</v>
      </c>
      <c r="I69" s="1">
        <v>14.9</v>
      </c>
      <c r="J69" s="26">
        <v>45762</v>
      </c>
      <c r="K69" s="22">
        <v>125960</v>
      </c>
      <c r="L69" s="18">
        <v>134.72</v>
      </c>
      <c r="M69" s="22">
        <v>109150</v>
      </c>
      <c r="N69" s="22">
        <v>16810</v>
      </c>
      <c r="O69" s="18">
        <v>17.98</v>
      </c>
      <c r="P69" s="52">
        <f>IF(COUNTIF(TblPurchases[BatchID],TblOutcomes[[#This Row],[BatchID]])&lt;&gt;1,"n.a.",TblOutcomes[[#This Row],[Qty Wasted]]*SUMIFS(TblPurchases[Unit Cost (CLP)],TblPurchases[BatchID],TblOutcomes[[#This Row],[BatchID]]))</f>
        <v>16254.5</v>
      </c>
      <c r="Q69" s="51">
        <f>IF(COUNTIF(TblPurchases[BatchID],TblOutcomes[[#This Row],[BatchID]])&lt;&gt;1,"n.a.",SUMIFS(TblPurchases[Purchase Date],TblPurchases[BatchID],TblOutcomes[[#This Row],[BatchID]]))</f>
        <v>45717</v>
      </c>
    </row>
    <row r="70" spans="2:17" x14ac:dyDescent="0.25">
      <c r="B70" s="2" t="s">
        <v>874</v>
      </c>
      <c r="C70" s="2" t="s">
        <v>120</v>
      </c>
      <c r="D70" s="2" t="s">
        <v>122</v>
      </c>
      <c r="E70" s="2" t="s">
        <v>4647</v>
      </c>
      <c r="F70" s="2">
        <v>41</v>
      </c>
      <c r="G70" s="2">
        <v>41</v>
      </c>
      <c r="H70" s="2">
        <v>0</v>
      </c>
      <c r="I70" s="1">
        <v>0</v>
      </c>
      <c r="J70" s="26">
        <v>45735</v>
      </c>
      <c r="K70" s="22">
        <v>164000</v>
      </c>
      <c r="L70" s="18">
        <v>175.4</v>
      </c>
      <c r="M70" s="22">
        <v>120950</v>
      </c>
      <c r="N70" s="22">
        <v>43050</v>
      </c>
      <c r="O70" s="18">
        <v>46.04</v>
      </c>
      <c r="P70" s="52">
        <f>IF(COUNTIF(TblPurchases[BatchID],TblOutcomes[[#This Row],[BatchID]])&lt;&gt;1,"n.a.",TblOutcomes[[#This Row],[Qty Wasted]]*SUMIFS(TblPurchases[Unit Cost (CLP)],TblPurchases[BatchID],TblOutcomes[[#This Row],[BatchID]]))</f>
        <v>0</v>
      </c>
      <c r="Q70" s="51">
        <f>IF(COUNTIF(TblPurchases[BatchID],TblOutcomes[[#This Row],[BatchID]])&lt;&gt;1,"n.a.",SUMIFS(TblPurchases[Purchase Date],TblPurchases[BatchID],TblOutcomes[[#This Row],[BatchID]]))</f>
        <v>45726</v>
      </c>
    </row>
    <row r="71" spans="2:17" x14ac:dyDescent="0.25">
      <c r="B71" s="2" t="s">
        <v>875</v>
      </c>
      <c r="C71" s="2" t="s">
        <v>120</v>
      </c>
      <c r="D71" s="2" t="s">
        <v>122</v>
      </c>
      <c r="E71" s="2" t="s">
        <v>4647</v>
      </c>
      <c r="F71" s="2">
        <v>50</v>
      </c>
      <c r="G71" s="2">
        <v>50</v>
      </c>
      <c r="H71" s="2">
        <v>0</v>
      </c>
      <c r="I71" s="1">
        <v>0</v>
      </c>
      <c r="J71" s="26">
        <v>45742</v>
      </c>
      <c r="K71" s="22">
        <v>200000</v>
      </c>
      <c r="L71" s="18">
        <v>213.9</v>
      </c>
      <c r="M71" s="22">
        <v>147500</v>
      </c>
      <c r="N71" s="22">
        <v>52500</v>
      </c>
      <c r="O71" s="18">
        <v>56.15</v>
      </c>
      <c r="P71" s="52">
        <f>IF(COUNTIF(TblPurchases[BatchID],TblOutcomes[[#This Row],[BatchID]])&lt;&gt;1,"n.a.",TblOutcomes[[#This Row],[Qty Wasted]]*SUMIFS(TblPurchases[Unit Cost (CLP)],TblPurchases[BatchID],TblOutcomes[[#This Row],[BatchID]]))</f>
        <v>0</v>
      </c>
      <c r="Q71" s="51">
        <f>IF(COUNTIF(TblPurchases[BatchID],TblOutcomes[[#This Row],[BatchID]])&lt;&gt;1,"n.a.",SUMIFS(TblPurchases[Purchase Date],TblPurchases[BatchID],TblOutcomes[[#This Row],[BatchID]]))</f>
        <v>45735</v>
      </c>
    </row>
    <row r="72" spans="2:17" x14ac:dyDescent="0.25">
      <c r="B72" s="2" t="s">
        <v>876</v>
      </c>
      <c r="C72" s="2" t="s">
        <v>120</v>
      </c>
      <c r="D72" s="2" t="s">
        <v>122</v>
      </c>
      <c r="E72" s="2" t="s">
        <v>4646</v>
      </c>
      <c r="F72" s="2">
        <v>47</v>
      </c>
      <c r="G72" s="2">
        <v>39.29</v>
      </c>
      <c r="H72" s="2">
        <v>7.71</v>
      </c>
      <c r="I72" s="1">
        <v>16.399999999999999</v>
      </c>
      <c r="J72" s="26">
        <v>45787</v>
      </c>
      <c r="K72" s="22">
        <v>157160</v>
      </c>
      <c r="L72" s="18">
        <v>168.09</v>
      </c>
      <c r="M72" s="22">
        <v>138650</v>
      </c>
      <c r="N72" s="22">
        <v>18510</v>
      </c>
      <c r="O72" s="18">
        <v>19.8</v>
      </c>
      <c r="P72" s="52">
        <f>IF(COUNTIF(TblPurchases[BatchID],TblOutcomes[[#This Row],[BatchID]])&lt;&gt;1,"n.a.",TblOutcomes[[#This Row],[Qty Wasted]]*SUMIFS(TblPurchases[Unit Cost (CLP)],TblPurchases[BatchID],TblOutcomes[[#This Row],[BatchID]]))</f>
        <v>22744.5</v>
      </c>
      <c r="Q72" s="51">
        <f>IF(COUNTIF(TblPurchases[BatchID],TblOutcomes[[#This Row],[BatchID]])&lt;&gt;1,"n.a.",SUMIFS(TblPurchases[Purchase Date],TblPurchases[BatchID],TblOutcomes[[#This Row],[BatchID]]))</f>
        <v>45742</v>
      </c>
    </row>
    <row r="73" spans="2:17" x14ac:dyDescent="0.25">
      <c r="B73" s="2" t="s">
        <v>877</v>
      </c>
      <c r="C73" s="2" t="s">
        <v>120</v>
      </c>
      <c r="D73" s="2" t="s">
        <v>122</v>
      </c>
      <c r="E73" s="2" t="s">
        <v>4646</v>
      </c>
      <c r="F73" s="2">
        <v>15</v>
      </c>
      <c r="G73" s="2">
        <v>11.51</v>
      </c>
      <c r="H73" s="2">
        <v>3.5</v>
      </c>
      <c r="I73" s="1">
        <v>23.3</v>
      </c>
      <c r="J73" s="26">
        <v>45798</v>
      </c>
      <c r="K73" s="22">
        <v>46040</v>
      </c>
      <c r="L73" s="18">
        <v>49.24</v>
      </c>
      <c r="M73" s="22">
        <v>44250</v>
      </c>
      <c r="N73" s="22">
        <v>1790</v>
      </c>
      <c r="O73" s="18">
        <v>1.91</v>
      </c>
      <c r="P73" s="52">
        <f>IF(COUNTIF(TblPurchases[BatchID],TblOutcomes[[#This Row],[BatchID]])&lt;&gt;1,"n.a.",TblOutcomes[[#This Row],[Qty Wasted]]*SUMIFS(TblPurchases[Unit Cost (CLP)],TblPurchases[BatchID],TblOutcomes[[#This Row],[BatchID]]))</f>
        <v>10325</v>
      </c>
      <c r="Q73" s="51">
        <f>IF(COUNTIF(TblPurchases[BatchID],TblOutcomes[[#This Row],[BatchID]])&lt;&gt;1,"n.a.",SUMIFS(TblPurchases[Purchase Date],TblPurchases[BatchID],TblOutcomes[[#This Row],[BatchID]]))</f>
        <v>45753</v>
      </c>
    </row>
    <row r="74" spans="2:17" x14ac:dyDescent="0.25">
      <c r="B74" s="2" t="s">
        <v>878</v>
      </c>
      <c r="C74" s="2" t="s">
        <v>120</v>
      </c>
      <c r="D74" s="2" t="s">
        <v>122</v>
      </c>
      <c r="E74" s="2" t="s">
        <v>4647</v>
      </c>
      <c r="F74" s="2">
        <v>16</v>
      </c>
      <c r="G74" s="2">
        <v>16</v>
      </c>
      <c r="H74" s="2">
        <v>0</v>
      </c>
      <c r="I74" s="1">
        <v>0</v>
      </c>
      <c r="J74" s="26">
        <v>45772</v>
      </c>
      <c r="K74" s="22">
        <v>64000</v>
      </c>
      <c r="L74" s="18">
        <v>68.45</v>
      </c>
      <c r="M74" s="22">
        <v>47200</v>
      </c>
      <c r="N74" s="22">
        <v>16800</v>
      </c>
      <c r="O74" s="18">
        <v>17.97</v>
      </c>
      <c r="P74" s="52">
        <f>IF(COUNTIF(TblPurchases[BatchID],TblOutcomes[[#This Row],[BatchID]])&lt;&gt;1,"n.a.",TblOutcomes[[#This Row],[Qty Wasted]]*SUMIFS(TblPurchases[Unit Cost (CLP)],TblPurchases[BatchID],TblOutcomes[[#This Row],[BatchID]]))</f>
        <v>0</v>
      </c>
      <c r="Q74" s="51">
        <f>IF(COUNTIF(TblPurchases[BatchID],TblOutcomes[[#This Row],[BatchID]])&lt;&gt;1,"n.a.",SUMIFS(TblPurchases[Purchase Date],TblPurchases[BatchID],TblOutcomes[[#This Row],[BatchID]]))</f>
        <v>45761</v>
      </c>
    </row>
    <row r="75" spans="2:17" x14ac:dyDescent="0.25">
      <c r="B75" s="2" t="s">
        <v>879</v>
      </c>
      <c r="C75" s="2" t="s">
        <v>120</v>
      </c>
      <c r="D75" s="2" t="s">
        <v>122</v>
      </c>
      <c r="E75" s="2" t="s">
        <v>4646</v>
      </c>
      <c r="F75" s="2">
        <v>16</v>
      </c>
      <c r="G75" s="2">
        <v>13.04</v>
      </c>
      <c r="H75" s="2">
        <v>2.96</v>
      </c>
      <c r="I75" s="1">
        <v>18.5</v>
      </c>
      <c r="J75" s="26">
        <v>45816</v>
      </c>
      <c r="K75" s="22">
        <v>52160</v>
      </c>
      <c r="L75" s="18">
        <v>55.79</v>
      </c>
      <c r="M75" s="22">
        <v>47200</v>
      </c>
      <c r="N75" s="22">
        <v>4960</v>
      </c>
      <c r="O75" s="18">
        <v>5.3</v>
      </c>
      <c r="P75" s="52">
        <f>IF(COUNTIF(TblPurchases[BatchID],TblOutcomes[[#This Row],[BatchID]])&lt;&gt;1,"n.a.",TblOutcomes[[#This Row],[Qty Wasted]]*SUMIFS(TblPurchases[Unit Cost (CLP)],TblPurchases[BatchID],TblOutcomes[[#This Row],[BatchID]]))</f>
        <v>8732</v>
      </c>
      <c r="Q75" s="51">
        <f>IF(COUNTIF(TblPurchases[BatchID],TblOutcomes[[#This Row],[BatchID]])&lt;&gt;1,"n.a.",SUMIFS(TblPurchases[Purchase Date],TblPurchases[BatchID],TblOutcomes[[#This Row],[BatchID]]))</f>
        <v>45771</v>
      </c>
    </row>
    <row r="76" spans="2:17" x14ac:dyDescent="0.25">
      <c r="B76" s="2" t="s">
        <v>880</v>
      </c>
      <c r="C76" s="2" t="s">
        <v>120</v>
      </c>
      <c r="D76" s="2" t="s">
        <v>122</v>
      </c>
      <c r="E76" s="2" t="s">
        <v>4646</v>
      </c>
      <c r="F76" s="2">
        <v>18</v>
      </c>
      <c r="G76" s="2">
        <v>14.72</v>
      </c>
      <c r="H76" s="2">
        <v>3.28</v>
      </c>
      <c r="I76" s="1">
        <v>18.2</v>
      </c>
      <c r="J76" s="26">
        <v>45824</v>
      </c>
      <c r="K76" s="22">
        <v>58880</v>
      </c>
      <c r="L76" s="18">
        <v>62.97</v>
      </c>
      <c r="M76" s="22">
        <v>53100</v>
      </c>
      <c r="N76" s="22">
        <v>5780</v>
      </c>
      <c r="O76" s="18">
        <v>6.18</v>
      </c>
      <c r="P76" s="52">
        <f>IF(COUNTIF(TblPurchases[BatchID],TblOutcomes[[#This Row],[BatchID]])&lt;&gt;1,"n.a.",TblOutcomes[[#This Row],[Qty Wasted]]*SUMIFS(TblPurchases[Unit Cost (CLP)],TblPurchases[BatchID],TblOutcomes[[#This Row],[BatchID]]))</f>
        <v>9676</v>
      </c>
      <c r="Q76" s="51">
        <f>IF(COUNTIF(TblPurchases[BatchID],TblOutcomes[[#This Row],[BatchID]])&lt;&gt;1,"n.a.",SUMIFS(TblPurchases[Purchase Date],TblPurchases[BatchID],TblOutcomes[[#This Row],[BatchID]]))</f>
        <v>45779</v>
      </c>
    </row>
    <row r="77" spans="2:17" x14ac:dyDescent="0.25">
      <c r="B77" s="2" t="s">
        <v>881</v>
      </c>
      <c r="C77" s="2" t="s">
        <v>120</v>
      </c>
      <c r="D77" s="2" t="s">
        <v>122</v>
      </c>
      <c r="E77" s="2" t="s">
        <v>4646</v>
      </c>
      <c r="F77" s="2">
        <v>18</v>
      </c>
      <c r="G77" s="2">
        <v>13.99</v>
      </c>
      <c r="H77" s="2">
        <v>4.01</v>
      </c>
      <c r="I77" s="1">
        <v>22.3</v>
      </c>
      <c r="J77" s="26">
        <v>45835</v>
      </c>
      <c r="K77" s="22">
        <v>55960</v>
      </c>
      <c r="L77" s="18">
        <v>59.85</v>
      </c>
      <c r="M77" s="22">
        <v>53100</v>
      </c>
      <c r="N77" s="22">
        <v>2860</v>
      </c>
      <c r="O77" s="18">
        <v>3.06</v>
      </c>
      <c r="P77" s="52">
        <f>IF(COUNTIF(TblPurchases[BatchID],TblOutcomes[[#This Row],[BatchID]])&lt;&gt;1,"n.a.",TblOutcomes[[#This Row],[Qty Wasted]]*SUMIFS(TblPurchases[Unit Cost (CLP)],TblPurchases[BatchID],TblOutcomes[[#This Row],[BatchID]]))</f>
        <v>11829.5</v>
      </c>
      <c r="Q77" s="51">
        <f>IF(COUNTIF(TblPurchases[BatchID],TblOutcomes[[#This Row],[BatchID]])&lt;&gt;1,"n.a.",SUMIFS(TblPurchases[Purchase Date],TblPurchases[BatchID],TblOutcomes[[#This Row],[BatchID]]))</f>
        <v>45790</v>
      </c>
    </row>
    <row r="78" spans="2:17" x14ac:dyDescent="0.25">
      <c r="B78" s="2" t="s">
        <v>882</v>
      </c>
      <c r="C78" s="2" t="s">
        <v>120</v>
      </c>
      <c r="D78" s="2" t="s">
        <v>122</v>
      </c>
      <c r="E78" s="2" t="s">
        <v>4646</v>
      </c>
      <c r="F78" s="2">
        <v>18</v>
      </c>
      <c r="G78" s="2">
        <v>14.22</v>
      </c>
      <c r="H78" s="2">
        <v>3.78</v>
      </c>
      <c r="I78" s="1">
        <v>21</v>
      </c>
      <c r="J78" s="26">
        <v>45843</v>
      </c>
      <c r="K78" s="22">
        <v>56880</v>
      </c>
      <c r="L78" s="18">
        <v>60.83</v>
      </c>
      <c r="M78" s="22">
        <v>53100</v>
      </c>
      <c r="N78" s="22">
        <v>3780</v>
      </c>
      <c r="O78" s="18">
        <v>4.04</v>
      </c>
      <c r="P78" s="52">
        <f>IF(COUNTIF(TblPurchases[BatchID],TblOutcomes[[#This Row],[BatchID]])&lt;&gt;1,"n.a.",TblOutcomes[[#This Row],[Qty Wasted]]*SUMIFS(TblPurchases[Unit Cost (CLP)],TblPurchases[BatchID],TblOutcomes[[#This Row],[BatchID]]))</f>
        <v>11151</v>
      </c>
      <c r="Q78" s="51">
        <f>IF(COUNTIF(TblPurchases[BatchID],TblOutcomes[[#This Row],[BatchID]])&lt;&gt;1,"n.a.",SUMIFS(TblPurchases[Purchase Date],TblPurchases[BatchID],TblOutcomes[[#This Row],[BatchID]]))</f>
        <v>45798</v>
      </c>
    </row>
    <row r="79" spans="2:17" x14ac:dyDescent="0.25">
      <c r="B79" s="2" t="s">
        <v>883</v>
      </c>
      <c r="C79" s="2" t="s">
        <v>120</v>
      </c>
      <c r="D79" s="2" t="s">
        <v>122</v>
      </c>
      <c r="E79" s="2" t="s">
        <v>4646</v>
      </c>
      <c r="F79" s="2">
        <v>15</v>
      </c>
      <c r="G79" s="2">
        <v>11.13</v>
      </c>
      <c r="H79" s="2">
        <v>3.87</v>
      </c>
      <c r="I79" s="1">
        <v>25.8</v>
      </c>
      <c r="J79" s="26">
        <v>45853</v>
      </c>
      <c r="K79" s="22">
        <v>44520</v>
      </c>
      <c r="L79" s="18">
        <v>47.61</v>
      </c>
      <c r="M79" s="22">
        <v>44250</v>
      </c>
      <c r="N79" s="22">
        <v>270</v>
      </c>
      <c r="O79" s="18">
        <v>0.28999999999999998</v>
      </c>
      <c r="P79" s="52">
        <f>IF(COUNTIF(TblPurchases[BatchID],TblOutcomes[[#This Row],[BatchID]])&lt;&gt;1,"n.a.",TblOutcomes[[#This Row],[Qty Wasted]]*SUMIFS(TblPurchases[Unit Cost (CLP)],TblPurchases[BatchID],TblOutcomes[[#This Row],[BatchID]]))</f>
        <v>11416.5</v>
      </c>
      <c r="Q79" s="51">
        <f>IF(COUNTIF(TblPurchases[BatchID],TblOutcomes[[#This Row],[BatchID]])&lt;&gt;1,"n.a.",SUMIFS(TblPurchases[Purchase Date],TblPurchases[BatchID],TblOutcomes[[#This Row],[BatchID]]))</f>
        <v>45808</v>
      </c>
    </row>
    <row r="80" spans="2:17" x14ac:dyDescent="0.25">
      <c r="B80" s="2" t="s">
        <v>884</v>
      </c>
      <c r="C80" s="2" t="s">
        <v>120</v>
      </c>
      <c r="D80" s="2" t="s">
        <v>122</v>
      </c>
      <c r="E80" s="2" t="s">
        <v>4646</v>
      </c>
      <c r="F80" s="2">
        <v>15</v>
      </c>
      <c r="G80" s="2">
        <v>13.08</v>
      </c>
      <c r="H80" s="2">
        <v>1.92</v>
      </c>
      <c r="I80" s="1">
        <v>12.8</v>
      </c>
      <c r="J80" s="26">
        <v>45865</v>
      </c>
      <c r="K80" s="22">
        <v>52320</v>
      </c>
      <c r="L80" s="18">
        <v>55.96</v>
      </c>
      <c r="M80" s="22">
        <v>44250</v>
      </c>
      <c r="N80" s="22">
        <v>8070</v>
      </c>
      <c r="O80" s="18">
        <v>8.6300000000000008</v>
      </c>
      <c r="P80" s="52">
        <f>IF(COUNTIF(TblPurchases[BatchID],TblOutcomes[[#This Row],[BatchID]])&lt;&gt;1,"n.a.",TblOutcomes[[#This Row],[Qty Wasted]]*SUMIFS(TblPurchases[Unit Cost (CLP)],TblPurchases[BatchID],TblOutcomes[[#This Row],[BatchID]]))</f>
        <v>5664</v>
      </c>
      <c r="Q80" s="51">
        <f>IF(COUNTIF(TblPurchases[BatchID],TblOutcomes[[#This Row],[BatchID]])&lt;&gt;1,"n.a.",SUMIFS(TblPurchases[Purchase Date],TblPurchases[BatchID],TblOutcomes[[#This Row],[BatchID]]))</f>
        <v>45820</v>
      </c>
    </row>
    <row r="81" spans="2:17" x14ac:dyDescent="0.25">
      <c r="B81" s="2" t="s">
        <v>885</v>
      </c>
      <c r="C81" s="2" t="s">
        <v>120</v>
      </c>
      <c r="D81" s="2" t="s">
        <v>122</v>
      </c>
      <c r="E81" s="2" t="s">
        <v>4647</v>
      </c>
      <c r="F81" s="2">
        <v>15</v>
      </c>
      <c r="G81" s="2">
        <v>15</v>
      </c>
      <c r="H81" s="2">
        <v>0</v>
      </c>
      <c r="I81" s="1">
        <v>0</v>
      </c>
      <c r="J81" s="26">
        <v>45836</v>
      </c>
      <c r="K81" s="22">
        <v>60000</v>
      </c>
      <c r="L81" s="18">
        <v>64.17</v>
      </c>
      <c r="M81" s="22">
        <v>44250</v>
      </c>
      <c r="N81" s="22">
        <v>15750</v>
      </c>
      <c r="O81" s="18">
        <v>16.84</v>
      </c>
      <c r="P81" s="52">
        <f>IF(COUNTIF(TblPurchases[BatchID],TblOutcomes[[#This Row],[BatchID]])&lt;&gt;1,"n.a.",TblOutcomes[[#This Row],[Qty Wasted]]*SUMIFS(TblPurchases[Unit Cost (CLP)],TblPurchases[BatchID],TblOutcomes[[#This Row],[BatchID]]))</f>
        <v>0</v>
      </c>
      <c r="Q81" s="51">
        <f>IF(COUNTIF(TblPurchases[BatchID],TblOutcomes[[#This Row],[BatchID]])&lt;&gt;1,"n.a.",SUMIFS(TblPurchases[Purchase Date],TblPurchases[BatchID],TblOutcomes[[#This Row],[BatchID]]))</f>
        <v>45829</v>
      </c>
    </row>
    <row r="82" spans="2:17" x14ac:dyDescent="0.25">
      <c r="B82" s="2" t="s">
        <v>886</v>
      </c>
      <c r="C82" s="2" t="s">
        <v>120</v>
      </c>
      <c r="D82" s="2" t="s">
        <v>122</v>
      </c>
      <c r="E82" s="2" t="s">
        <v>4647</v>
      </c>
      <c r="F82" s="2">
        <v>16</v>
      </c>
      <c r="G82" s="2">
        <v>16</v>
      </c>
      <c r="H82" s="2">
        <v>0</v>
      </c>
      <c r="I82" s="1">
        <v>0</v>
      </c>
      <c r="J82" s="26">
        <v>45844</v>
      </c>
      <c r="K82" s="22">
        <v>64000</v>
      </c>
      <c r="L82" s="18">
        <v>68.45</v>
      </c>
      <c r="M82" s="22">
        <v>47200</v>
      </c>
      <c r="N82" s="22">
        <v>16800</v>
      </c>
      <c r="O82" s="18">
        <v>17.97</v>
      </c>
      <c r="P82" s="52">
        <f>IF(COUNTIF(TblPurchases[BatchID],TblOutcomes[[#This Row],[BatchID]])&lt;&gt;1,"n.a.",TblOutcomes[[#This Row],[Qty Wasted]]*SUMIFS(TblPurchases[Unit Cost (CLP)],TblPurchases[BatchID],TblOutcomes[[#This Row],[BatchID]]))</f>
        <v>0</v>
      </c>
      <c r="Q82" s="51">
        <f>IF(COUNTIF(TblPurchases[BatchID],TblOutcomes[[#This Row],[BatchID]])&lt;&gt;1,"n.a.",SUMIFS(TblPurchases[Purchase Date],TblPurchases[BatchID],TblOutcomes[[#This Row],[BatchID]]))</f>
        <v>45837</v>
      </c>
    </row>
    <row r="83" spans="2:17" x14ac:dyDescent="0.25">
      <c r="B83" s="2" t="s">
        <v>887</v>
      </c>
      <c r="C83" s="2" t="s">
        <v>127</v>
      </c>
      <c r="D83" s="2" t="s">
        <v>122</v>
      </c>
      <c r="E83" s="2" t="s">
        <v>4646</v>
      </c>
      <c r="F83" s="2">
        <v>15</v>
      </c>
      <c r="G83" s="2">
        <v>12.78</v>
      </c>
      <c r="H83" s="2">
        <v>2.2200000000000002</v>
      </c>
      <c r="I83" s="1">
        <v>14.8</v>
      </c>
      <c r="J83" s="26">
        <v>45162</v>
      </c>
      <c r="K83" s="22">
        <v>44730</v>
      </c>
      <c r="L83" s="18">
        <v>47.84</v>
      </c>
      <c r="M83" s="22">
        <v>37500</v>
      </c>
      <c r="N83" s="22">
        <v>7230</v>
      </c>
      <c r="O83" s="18">
        <v>7.73</v>
      </c>
      <c r="P83" s="52">
        <f>IF(COUNTIF(TblPurchases[BatchID],TblOutcomes[[#This Row],[BatchID]])&lt;&gt;1,"n.a.",TblOutcomes[[#This Row],[Qty Wasted]]*SUMIFS(TblPurchases[Unit Cost (CLP)],TblPurchases[BatchID],TblOutcomes[[#This Row],[BatchID]]))</f>
        <v>5550.0000000000009</v>
      </c>
      <c r="Q83" s="51">
        <f>IF(COUNTIF(TblPurchases[BatchID],TblOutcomes[[#This Row],[BatchID]])&lt;&gt;1,"n.a.",SUMIFS(TblPurchases[Purchase Date],TblPurchases[BatchID],TblOutcomes[[#This Row],[BatchID]]))</f>
        <v>45117</v>
      </c>
    </row>
    <row r="84" spans="2:17" x14ac:dyDescent="0.25">
      <c r="B84" s="2" t="s">
        <v>888</v>
      </c>
      <c r="C84" s="2" t="s">
        <v>127</v>
      </c>
      <c r="D84" s="2" t="s">
        <v>122</v>
      </c>
      <c r="E84" s="2" t="s">
        <v>4647</v>
      </c>
      <c r="F84" s="2">
        <v>15</v>
      </c>
      <c r="G84" s="2">
        <v>15</v>
      </c>
      <c r="H84" s="2">
        <v>0</v>
      </c>
      <c r="I84" s="1">
        <v>0</v>
      </c>
      <c r="J84" s="26">
        <v>45136</v>
      </c>
      <c r="K84" s="22">
        <v>52500</v>
      </c>
      <c r="L84" s="18">
        <v>56.15</v>
      </c>
      <c r="M84" s="22">
        <v>40500</v>
      </c>
      <c r="N84" s="22">
        <v>12000</v>
      </c>
      <c r="O84" s="18">
        <v>12.83</v>
      </c>
      <c r="P84" s="52">
        <f>IF(COUNTIF(TblPurchases[BatchID],TblOutcomes[[#This Row],[BatchID]])&lt;&gt;1,"n.a.",TblOutcomes[[#This Row],[Qty Wasted]]*SUMIFS(TblPurchases[Unit Cost (CLP)],TblPurchases[BatchID],TblOutcomes[[#This Row],[BatchID]]))</f>
        <v>0</v>
      </c>
      <c r="Q84" s="51">
        <f>IF(COUNTIF(TblPurchases[BatchID],TblOutcomes[[#This Row],[BatchID]])&lt;&gt;1,"n.a.",SUMIFS(TblPurchases[Purchase Date],TblPurchases[BatchID],TblOutcomes[[#This Row],[BatchID]]))</f>
        <v>45124</v>
      </c>
    </row>
    <row r="85" spans="2:17" x14ac:dyDescent="0.25">
      <c r="B85" s="2" t="s">
        <v>889</v>
      </c>
      <c r="C85" s="2" t="s">
        <v>127</v>
      </c>
      <c r="D85" s="2" t="s">
        <v>122</v>
      </c>
      <c r="E85" s="2" t="s">
        <v>4646</v>
      </c>
      <c r="F85" s="2">
        <v>15</v>
      </c>
      <c r="G85" s="2">
        <v>12.48</v>
      </c>
      <c r="H85" s="2">
        <v>2.52</v>
      </c>
      <c r="I85" s="1">
        <v>16.8</v>
      </c>
      <c r="J85" s="26">
        <v>45179</v>
      </c>
      <c r="K85" s="22">
        <v>43680</v>
      </c>
      <c r="L85" s="18">
        <v>46.72</v>
      </c>
      <c r="M85" s="22">
        <v>37500</v>
      </c>
      <c r="N85" s="22">
        <v>6180</v>
      </c>
      <c r="O85" s="18">
        <v>6.61</v>
      </c>
      <c r="P85" s="52">
        <f>IF(COUNTIF(TblPurchases[BatchID],TblOutcomes[[#This Row],[BatchID]])&lt;&gt;1,"n.a.",TblOutcomes[[#This Row],[Qty Wasted]]*SUMIFS(TblPurchases[Unit Cost (CLP)],TblPurchases[BatchID],TblOutcomes[[#This Row],[BatchID]]))</f>
        <v>6300</v>
      </c>
      <c r="Q85" s="51">
        <f>IF(COUNTIF(TblPurchases[BatchID],TblOutcomes[[#This Row],[BatchID]])&lt;&gt;1,"n.a.",SUMIFS(TblPurchases[Purchase Date],TblPurchases[BatchID],TblOutcomes[[#This Row],[BatchID]]))</f>
        <v>45134</v>
      </c>
    </row>
    <row r="86" spans="2:17" x14ac:dyDescent="0.25">
      <c r="B86" s="2" t="s">
        <v>890</v>
      </c>
      <c r="C86" s="2" t="s">
        <v>127</v>
      </c>
      <c r="D86" s="2" t="s">
        <v>122</v>
      </c>
      <c r="E86" s="2" t="s">
        <v>4646</v>
      </c>
      <c r="F86" s="2">
        <v>15</v>
      </c>
      <c r="G86" s="2">
        <v>10.58</v>
      </c>
      <c r="H86" s="2">
        <v>4.42</v>
      </c>
      <c r="I86" s="1">
        <v>29.5</v>
      </c>
      <c r="J86" s="26">
        <v>45186</v>
      </c>
      <c r="K86" s="22">
        <v>37030</v>
      </c>
      <c r="L86" s="18">
        <v>39.6</v>
      </c>
      <c r="M86" s="22">
        <v>37500</v>
      </c>
      <c r="N86" s="22">
        <v>-470</v>
      </c>
      <c r="O86" s="18">
        <v>-0.5</v>
      </c>
      <c r="P86" s="52">
        <f>IF(COUNTIF(TblPurchases[BatchID],TblOutcomes[[#This Row],[BatchID]])&lt;&gt;1,"n.a.",TblOutcomes[[#This Row],[Qty Wasted]]*SUMIFS(TblPurchases[Unit Cost (CLP)],TblPurchases[BatchID],TblOutcomes[[#This Row],[BatchID]]))</f>
        <v>11050</v>
      </c>
      <c r="Q86" s="51">
        <f>IF(COUNTIF(TblPurchases[BatchID],TblOutcomes[[#This Row],[BatchID]])&lt;&gt;1,"n.a.",SUMIFS(TblPurchases[Purchase Date],TblPurchases[BatchID],TblOutcomes[[#This Row],[BatchID]]))</f>
        <v>45141</v>
      </c>
    </row>
    <row r="87" spans="2:17" x14ac:dyDescent="0.25">
      <c r="B87" s="2" t="s">
        <v>891</v>
      </c>
      <c r="C87" s="2" t="s">
        <v>127</v>
      </c>
      <c r="D87" s="2" t="s">
        <v>122</v>
      </c>
      <c r="E87" s="2" t="s">
        <v>4647</v>
      </c>
      <c r="F87" s="2">
        <v>17</v>
      </c>
      <c r="G87" s="2">
        <v>17</v>
      </c>
      <c r="H87" s="2">
        <v>0</v>
      </c>
      <c r="I87" s="1">
        <v>0</v>
      </c>
      <c r="J87" s="26">
        <v>45156</v>
      </c>
      <c r="K87" s="22">
        <v>59500</v>
      </c>
      <c r="L87" s="18">
        <v>63.64</v>
      </c>
      <c r="M87" s="22">
        <v>42500</v>
      </c>
      <c r="N87" s="22">
        <v>17000</v>
      </c>
      <c r="O87" s="18">
        <v>18.18</v>
      </c>
      <c r="P87" s="52">
        <f>IF(COUNTIF(TblPurchases[BatchID],TblOutcomes[[#This Row],[BatchID]])&lt;&gt;1,"n.a.",TblOutcomes[[#This Row],[Qty Wasted]]*SUMIFS(TblPurchases[Unit Cost (CLP)],TblPurchases[BatchID],TblOutcomes[[#This Row],[BatchID]]))</f>
        <v>0</v>
      </c>
      <c r="Q87" s="51">
        <f>IF(COUNTIF(TblPurchases[BatchID],TblOutcomes[[#This Row],[BatchID]])&lt;&gt;1,"n.a.",SUMIFS(TblPurchases[Purchase Date],TblPurchases[BatchID],TblOutcomes[[#This Row],[BatchID]]))</f>
        <v>45150</v>
      </c>
    </row>
    <row r="88" spans="2:17" x14ac:dyDescent="0.25">
      <c r="B88" s="2" t="s">
        <v>892</v>
      </c>
      <c r="C88" s="2" t="s">
        <v>127</v>
      </c>
      <c r="D88" s="2" t="s">
        <v>122</v>
      </c>
      <c r="E88" s="2" t="s">
        <v>4646</v>
      </c>
      <c r="F88" s="2">
        <v>17</v>
      </c>
      <c r="G88" s="2">
        <v>15.08</v>
      </c>
      <c r="H88" s="2">
        <v>1.92</v>
      </c>
      <c r="I88" s="1">
        <v>11.3</v>
      </c>
      <c r="J88" s="26">
        <v>45208</v>
      </c>
      <c r="K88" s="22">
        <v>52780</v>
      </c>
      <c r="L88" s="18">
        <v>56.45</v>
      </c>
      <c r="M88" s="22">
        <v>42500</v>
      </c>
      <c r="N88" s="22">
        <v>10280</v>
      </c>
      <c r="O88" s="18">
        <v>10.99</v>
      </c>
      <c r="P88" s="52">
        <f>IF(COUNTIF(TblPurchases[BatchID],TblOutcomes[[#This Row],[BatchID]])&lt;&gt;1,"n.a.",TblOutcomes[[#This Row],[Qty Wasted]]*SUMIFS(TblPurchases[Unit Cost (CLP)],TblPurchases[BatchID],TblOutcomes[[#This Row],[BatchID]]))</f>
        <v>4800</v>
      </c>
      <c r="Q88" s="51">
        <f>IF(COUNTIF(TblPurchases[BatchID],TblOutcomes[[#This Row],[BatchID]])&lt;&gt;1,"n.a.",SUMIFS(TblPurchases[Purchase Date],TblPurchases[BatchID],TblOutcomes[[#This Row],[BatchID]]))</f>
        <v>45163</v>
      </c>
    </row>
    <row r="89" spans="2:17" x14ac:dyDescent="0.25">
      <c r="B89" s="2" t="s">
        <v>893</v>
      </c>
      <c r="C89" s="2" t="s">
        <v>127</v>
      </c>
      <c r="D89" s="2" t="s">
        <v>122</v>
      </c>
      <c r="E89" s="2" t="s">
        <v>4647</v>
      </c>
      <c r="F89" s="2">
        <v>19</v>
      </c>
      <c r="G89" s="2">
        <v>19</v>
      </c>
      <c r="H89" s="2">
        <v>0</v>
      </c>
      <c r="I89" s="1">
        <v>0</v>
      </c>
      <c r="J89" s="26">
        <v>45178</v>
      </c>
      <c r="K89" s="22">
        <v>66500</v>
      </c>
      <c r="L89" s="18">
        <v>71.12</v>
      </c>
      <c r="M89" s="22">
        <v>47500</v>
      </c>
      <c r="N89" s="22">
        <v>19000</v>
      </c>
      <c r="O89" s="18">
        <v>20.32</v>
      </c>
      <c r="P89" s="52">
        <f>IF(COUNTIF(TblPurchases[BatchID],TblOutcomes[[#This Row],[BatchID]])&lt;&gt;1,"n.a.",TblOutcomes[[#This Row],[Qty Wasted]]*SUMIFS(TblPurchases[Unit Cost (CLP)],TblPurchases[BatchID],TblOutcomes[[#This Row],[BatchID]]))</f>
        <v>0</v>
      </c>
      <c r="Q89" s="51">
        <f>IF(COUNTIF(TblPurchases[BatchID],TblOutcomes[[#This Row],[BatchID]])&lt;&gt;1,"n.a.",SUMIFS(TblPurchases[Purchase Date],TblPurchases[BatchID],TblOutcomes[[#This Row],[BatchID]]))</f>
        <v>45173</v>
      </c>
    </row>
    <row r="90" spans="2:17" x14ac:dyDescent="0.25">
      <c r="B90" s="2" t="s">
        <v>894</v>
      </c>
      <c r="C90" s="2" t="s">
        <v>127</v>
      </c>
      <c r="D90" s="2" t="s">
        <v>122</v>
      </c>
      <c r="E90" s="2" t="s">
        <v>4647</v>
      </c>
      <c r="F90" s="2">
        <v>19</v>
      </c>
      <c r="G90" s="2">
        <v>19</v>
      </c>
      <c r="H90" s="2">
        <v>0</v>
      </c>
      <c r="I90" s="1">
        <v>0</v>
      </c>
      <c r="J90" s="26">
        <v>45193</v>
      </c>
      <c r="K90" s="22">
        <v>66500</v>
      </c>
      <c r="L90" s="18">
        <v>71.12</v>
      </c>
      <c r="M90" s="22">
        <v>47500</v>
      </c>
      <c r="N90" s="22">
        <v>19000</v>
      </c>
      <c r="O90" s="18">
        <v>20.32</v>
      </c>
      <c r="P90" s="52">
        <f>IF(COUNTIF(TblPurchases[BatchID],TblOutcomes[[#This Row],[BatchID]])&lt;&gt;1,"n.a.",TblOutcomes[[#This Row],[Qty Wasted]]*SUMIFS(TblPurchases[Unit Cost (CLP)],TblPurchases[BatchID],TblOutcomes[[#This Row],[BatchID]]))</f>
        <v>0</v>
      </c>
      <c r="Q90" s="51">
        <f>IF(COUNTIF(TblPurchases[BatchID],TblOutcomes[[#This Row],[BatchID]])&lt;&gt;1,"n.a.",SUMIFS(TblPurchases[Purchase Date],TblPurchases[BatchID],TblOutcomes[[#This Row],[BatchID]]))</f>
        <v>45186</v>
      </c>
    </row>
    <row r="91" spans="2:17" x14ac:dyDescent="0.25">
      <c r="B91" s="2" t="s">
        <v>895</v>
      </c>
      <c r="C91" s="2" t="s">
        <v>127</v>
      </c>
      <c r="D91" s="2" t="s">
        <v>122</v>
      </c>
      <c r="E91" s="2" t="s">
        <v>4646</v>
      </c>
      <c r="F91" s="2">
        <v>18</v>
      </c>
      <c r="G91" s="2">
        <v>15.16</v>
      </c>
      <c r="H91" s="2">
        <v>2.84</v>
      </c>
      <c r="I91" s="1">
        <v>15.8</v>
      </c>
      <c r="J91" s="26">
        <v>45243</v>
      </c>
      <c r="K91" s="22">
        <v>53060</v>
      </c>
      <c r="L91" s="18">
        <v>56.75</v>
      </c>
      <c r="M91" s="22">
        <v>45000</v>
      </c>
      <c r="N91" s="22">
        <v>8060</v>
      </c>
      <c r="O91" s="18">
        <v>8.6199999999999992</v>
      </c>
      <c r="P91" s="52">
        <f>IF(COUNTIF(TblPurchases[BatchID],TblOutcomes[[#This Row],[BatchID]])&lt;&gt;1,"n.a.",TblOutcomes[[#This Row],[Qty Wasted]]*SUMIFS(TblPurchases[Unit Cost (CLP)],TblPurchases[BatchID],TblOutcomes[[#This Row],[BatchID]]))</f>
        <v>7100</v>
      </c>
      <c r="Q91" s="51">
        <f>IF(COUNTIF(TblPurchases[BatchID],TblOutcomes[[#This Row],[BatchID]])&lt;&gt;1,"n.a.",SUMIFS(TblPurchases[Purchase Date],TblPurchases[BatchID],TblOutcomes[[#This Row],[BatchID]]))</f>
        <v>45198</v>
      </c>
    </row>
    <row r="92" spans="2:17" x14ac:dyDescent="0.25">
      <c r="B92" s="2" t="s">
        <v>896</v>
      </c>
      <c r="C92" s="2" t="s">
        <v>127</v>
      </c>
      <c r="D92" s="2" t="s">
        <v>122</v>
      </c>
      <c r="E92" s="2" t="s">
        <v>4647</v>
      </c>
      <c r="F92" s="2">
        <v>35</v>
      </c>
      <c r="G92" s="2">
        <v>35</v>
      </c>
      <c r="H92" s="2">
        <v>0</v>
      </c>
      <c r="I92" s="1">
        <v>0</v>
      </c>
      <c r="J92" s="26">
        <v>45216</v>
      </c>
      <c r="K92" s="22">
        <v>122500</v>
      </c>
      <c r="L92" s="18">
        <v>131.02000000000001</v>
      </c>
      <c r="M92" s="22">
        <v>94500</v>
      </c>
      <c r="N92" s="22">
        <v>28000</v>
      </c>
      <c r="O92" s="18">
        <v>29.95</v>
      </c>
      <c r="P92" s="52">
        <f>IF(COUNTIF(TblPurchases[BatchID],TblOutcomes[[#This Row],[BatchID]])&lt;&gt;1,"n.a.",TblOutcomes[[#This Row],[Qty Wasted]]*SUMIFS(TblPurchases[Unit Cost (CLP)],TblPurchases[BatchID],TblOutcomes[[#This Row],[BatchID]]))</f>
        <v>0</v>
      </c>
      <c r="Q92" s="51">
        <f>IF(COUNTIF(TblPurchases[BatchID],TblOutcomes[[#This Row],[BatchID]])&lt;&gt;1,"n.a.",SUMIFS(TblPurchases[Purchase Date],TblPurchases[BatchID],TblOutcomes[[#This Row],[BatchID]]))</f>
        <v>45209</v>
      </c>
    </row>
    <row r="93" spans="2:17" x14ac:dyDescent="0.25">
      <c r="B93" s="2" t="s">
        <v>897</v>
      </c>
      <c r="C93" s="2" t="s">
        <v>127</v>
      </c>
      <c r="D93" s="2" t="s">
        <v>122</v>
      </c>
      <c r="E93" s="2" t="s">
        <v>4647</v>
      </c>
      <c r="F93" s="2">
        <v>45</v>
      </c>
      <c r="G93" s="2">
        <v>45</v>
      </c>
      <c r="H93" s="2">
        <v>0</v>
      </c>
      <c r="I93" s="1">
        <v>0</v>
      </c>
      <c r="J93" s="26">
        <v>45225</v>
      </c>
      <c r="K93" s="22">
        <v>157500</v>
      </c>
      <c r="L93" s="18">
        <v>168.45</v>
      </c>
      <c r="M93" s="22">
        <v>112500</v>
      </c>
      <c r="N93" s="22">
        <v>45000</v>
      </c>
      <c r="O93" s="18">
        <v>48.13</v>
      </c>
      <c r="P93" s="52">
        <f>IF(COUNTIF(TblPurchases[BatchID],TblOutcomes[[#This Row],[BatchID]])&lt;&gt;1,"n.a.",TblOutcomes[[#This Row],[Qty Wasted]]*SUMIFS(TblPurchases[Unit Cost (CLP)],TblPurchases[BatchID],TblOutcomes[[#This Row],[BatchID]]))</f>
        <v>0</v>
      </c>
      <c r="Q93" s="51">
        <f>IF(COUNTIF(TblPurchases[BatchID],TblOutcomes[[#This Row],[BatchID]])&lt;&gt;1,"n.a.",SUMIFS(TblPurchases[Purchase Date],TblPurchases[BatchID],TblOutcomes[[#This Row],[BatchID]]))</f>
        <v>45217</v>
      </c>
    </row>
    <row r="94" spans="2:17" x14ac:dyDescent="0.25">
      <c r="B94" s="2" t="s">
        <v>898</v>
      </c>
      <c r="C94" s="2" t="s">
        <v>127</v>
      </c>
      <c r="D94" s="2" t="s">
        <v>122</v>
      </c>
      <c r="E94" s="2" t="s">
        <v>4647</v>
      </c>
      <c r="F94" s="2">
        <v>36</v>
      </c>
      <c r="G94" s="2">
        <v>36</v>
      </c>
      <c r="H94" s="2">
        <v>0</v>
      </c>
      <c r="I94" s="1">
        <v>0</v>
      </c>
      <c r="J94" s="26">
        <v>45232</v>
      </c>
      <c r="K94" s="22">
        <v>126000</v>
      </c>
      <c r="L94" s="18">
        <v>134.76</v>
      </c>
      <c r="M94" s="22">
        <v>90000</v>
      </c>
      <c r="N94" s="22">
        <v>36000</v>
      </c>
      <c r="O94" s="18">
        <v>38.5</v>
      </c>
      <c r="P94" s="52">
        <f>IF(COUNTIF(TblPurchases[BatchID],TblOutcomes[[#This Row],[BatchID]])&lt;&gt;1,"n.a.",TblOutcomes[[#This Row],[Qty Wasted]]*SUMIFS(TblPurchases[Unit Cost (CLP)],TblPurchases[BatchID],TblOutcomes[[#This Row],[BatchID]]))</f>
        <v>0</v>
      </c>
      <c r="Q94" s="51">
        <f>IF(COUNTIF(TblPurchases[BatchID],TblOutcomes[[#This Row],[BatchID]])&lt;&gt;1,"n.a.",SUMIFS(TblPurchases[Purchase Date],TblPurchases[BatchID],TblOutcomes[[#This Row],[BatchID]]))</f>
        <v>45226</v>
      </c>
    </row>
    <row r="95" spans="2:17" x14ac:dyDescent="0.25">
      <c r="B95" s="2" t="s">
        <v>899</v>
      </c>
      <c r="C95" s="2" t="s">
        <v>127</v>
      </c>
      <c r="D95" s="2" t="s">
        <v>122</v>
      </c>
      <c r="E95" s="2" t="s">
        <v>4647</v>
      </c>
      <c r="F95" s="2">
        <v>37</v>
      </c>
      <c r="G95" s="2">
        <v>37</v>
      </c>
      <c r="H95" s="2">
        <v>0</v>
      </c>
      <c r="I95" s="1">
        <v>0</v>
      </c>
      <c r="J95" s="26">
        <v>45245</v>
      </c>
      <c r="K95" s="22">
        <v>129500</v>
      </c>
      <c r="L95" s="18">
        <v>138.5</v>
      </c>
      <c r="M95" s="22">
        <v>92500</v>
      </c>
      <c r="N95" s="22">
        <v>37000</v>
      </c>
      <c r="O95" s="18">
        <v>39.57</v>
      </c>
      <c r="P95" s="52">
        <f>IF(COUNTIF(TblPurchases[BatchID],TblOutcomes[[#This Row],[BatchID]])&lt;&gt;1,"n.a.",TblOutcomes[[#This Row],[Qty Wasted]]*SUMIFS(TblPurchases[Unit Cost (CLP)],TblPurchases[BatchID],TblOutcomes[[#This Row],[BatchID]]))</f>
        <v>0</v>
      </c>
      <c r="Q95" s="51">
        <f>IF(COUNTIF(TblPurchases[BatchID],TblOutcomes[[#This Row],[BatchID]])&lt;&gt;1,"n.a.",SUMIFS(TblPurchases[Purchase Date],TblPurchases[BatchID],TblOutcomes[[#This Row],[BatchID]]))</f>
        <v>45237</v>
      </c>
    </row>
    <row r="96" spans="2:17" x14ac:dyDescent="0.25">
      <c r="B96" s="2" t="s">
        <v>900</v>
      </c>
      <c r="C96" s="2" t="s">
        <v>127</v>
      </c>
      <c r="D96" s="2" t="s">
        <v>122</v>
      </c>
      <c r="E96" s="2" t="s">
        <v>4646</v>
      </c>
      <c r="F96" s="2">
        <v>42</v>
      </c>
      <c r="G96" s="2">
        <v>37.21</v>
      </c>
      <c r="H96" s="2">
        <v>4.79</v>
      </c>
      <c r="I96" s="1">
        <v>11.4</v>
      </c>
      <c r="J96" s="26">
        <v>45293</v>
      </c>
      <c r="K96" s="22">
        <v>130235</v>
      </c>
      <c r="L96" s="18">
        <v>139.29</v>
      </c>
      <c r="M96" s="22">
        <v>105000</v>
      </c>
      <c r="N96" s="22">
        <v>25235</v>
      </c>
      <c r="O96" s="18">
        <v>26.99</v>
      </c>
      <c r="P96" s="52">
        <f>IF(COUNTIF(TblPurchases[BatchID],TblOutcomes[[#This Row],[BatchID]])&lt;&gt;1,"n.a.",TblOutcomes[[#This Row],[Qty Wasted]]*SUMIFS(TblPurchases[Unit Cost (CLP)],TblPurchases[BatchID],TblOutcomes[[#This Row],[BatchID]]))</f>
        <v>11975</v>
      </c>
      <c r="Q96" s="51">
        <f>IF(COUNTIF(TblPurchases[BatchID],TblOutcomes[[#This Row],[BatchID]])&lt;&gt;1,"n.a.",SUMIFS(TblPurchases[Purchase Date],TblPurchases[BatchID],TblOutcomes[[#This Row],[BatchID]]))</f>
        <v>45248</v>
      </c>
    </row>
    <row r="97" spans="2:17" x14ac:dyDescent="0.25">
      <c r="B97" s="2" t="s">
        <v>901</v>
      </c>
      <c r="C97" s="2" t="s">
        <v>127</v>
      </c>
      <c r="D97" s="2" t="s">
        <v>122</v>
      </c>
      <c r="E97" s="2" t="s">
        <v>4647</v>
      </c>
      <c r="F97" s="2">
        <v>42</v>
      </c>
      <c r="G97" s="2">
        <v>42</v>
      </c>
      <c r="H97" s="2">
        <v>0</v>
      </c>
      <c r="I97" s="1">
        <v>0</v>
      </c>
      <c r="J97" s="26">
        <v>45274</v>
      </c>
      <c r="K97" s="22">
        <v>147000</v>
      </c>
      <c r="L97" s="18">
        <v>157.22</v>
      </c>
      <c r="M97" s="22">
        <v>105000</v>
      </c>
      <c r="N97" s="22">
        <v>42000</v>
      </c>
      <c r="O97" s="18">
        <v>44.92</v>
      </c>
      <c r="P97" s="52">
        <f>IF(COUNTIF(TblPurchases[BatchID],TblOutcomes[[#This Row],[BatchID]])&lt;&gt;1,"n.a.",TblOutcomes[[#This Row],[Qty Wasted]]*SUMIFS(TblPurchases[Unit Cost (CLP)],TblPurchases[BatchID],TblOutcomes[[#This Row],[BatchID]]))</f>
        <v>0</v>
      </c>
      <c r="Q97" s="51">
        <f>IF(COUNTIF(TblPurchases[BatchID],TblOutcomes[[#This Row],[BatchID]])&lt;&gt;1,"n.a.",SUMIFS(TblPurchases[Purchase Date],TblPurchases[BatchID],TblOutcomes[[#This Row],[BatchID]]))</f>
        <v>45259</v>
      </c>
    </row>
    <row r="98" spans="2:17" x14ac:dyDescent="0.25">
      <c r="B98" s="2" t="s">
        <v>902</v>
      </c>
      <c r="C98" s="2" t="s">
        <v>127</v>
      </c>
      <c r="D98" s="2" t="s">
        <v>122</v>
      </c>
      <c r="E98" s="2" t="s">
        <v>4647</v>
      </c>
      <c r="F98" s="2">
        <v>49</v>
      </c>
      <c r="G98" s="2">
        <v>49</v>
      </c>
      <c r="H98" s="2">
        <v>0</v>
      </c>
      <c r="I98" s="1">
        <v>0</v>
      </c>
      <c r="J98" s="26">
        <v>45278</v>
      </c>
      <c r="K98" s="22">
        <v>171500</v>
      </c>
      <c r="L98" s="18">
        <v>183.42</v>
      </c>
      <c r="M98" s="22">
        <v>122500</v>
      </c>
      <c r="N98" s="22">
        <v>49000</v>
      </c>
      <c r="O98" s="18">
        <v>52.41</v>
      </c>
      <c r="P98" s="52">
        <f>IF(COUNTIF(TblPurchases[BatchID],TblOutcomes[[#This Row],[BatchID]])&lt;&gt;1,"n.a.",TblOutcomes[[#This Row],[Qty Wasted]]*SUMIFS(TblPurchases[Unit Cost (CLP)],TblPurchases[BatchID],TblOutcomes[[#This Row],[BatchID]]))</f>
        <v>0</v>
      </c>
      <c r="Q98" s="51">
        <f>IF(COUNTIF(TblPurchases[BatchID],TblOutcomes[[#This Row],[BatchID]])&lt;&gt;1,"n.a.",SUMIFS(TblPurchases[Purchase Date],TblPurchases[BatchID],TblOutcomes[[#This Row],[BatchID]]))</f>
        <v>45269</v>
      </c>
    </row>
    <row r="99" spans="2:17" x14ac:dyDescent="0.25">
      <c r="B99" s="2" t="s">
        <v>903</v>
      </c>
      <c r="C99" s="2" t="s">
        <v>127</v>
      </c>
      <c r="D99" s="2" t="s">
        <v>122</v>
      </c>
      <c r="E99" s="2" t="s">
        <v>4647</v>
      </c>
      <c r="F99" s="2">
        <v>54</v>
      </c>
      <c r="G99" s="2">
        <v>54</v>
      </c>
      <c r="H99" s="2">
        <v>0</v>
      </c>
      <c r="I99" s="1">
        <v>0</v>
      </c>
      <c r="J99" s="26">
        <v>45282</v>
      </c>
      <c r="K99" s="22">
        <v>189000</v>
      </c>
      <c r="L99" s="18">
        <v>202.14</v>
      </c>
      <c r="M99" s="22">
        <v>135000</v>
      </c>
      <c r="N99" s="22">
        <v>54000</v>
      </c>
      <c r="O99" s="18">
        <v>57.75</v>
      </c>
      <c r="P99" s="52">
        <f>IF(COUNTIF(TblPurchases[BatchID],TblOutcomes[[#This Row],[BatchID]])&lt;&gt;1,"n.a.",TblOutcomes[[#This Row],[Qty Wasted]]*SUMIFS(TblPurchases[Unit Cost (CLP)],TblPurchases[BatchID],TblOutcomes[[#This Row],[BatchID]]))</f>
        <v>0</v>
      </c>
      <c r="Q99" s="51">
        <f>IF(COUNTIF(TblPurchases[BatchID],TblOutcomes[[#This Row],[BatchID]])&lt;&gt;1,"n.a.",SUMIFS(TblPurchases[Purchase Date],TblPurchases[BatchID],TblOutcomes[[#This Row],[BatchID]]))</f>
        <v>45277</v>
      </c>
    </row>
    <row r="100" spans="2:17" x14ac:dyDescent="0.25">
      <c r="B100" s="2" t="s">
        <v>904</v>
      </c>
      <c r="C100" s="2" t="s">
        <v>127</v>
      </c>
      <c r="D100" s="2" t="s">
        <v>122</v>
      </c>
      <c r="E100" s="2" t="s">
        <v>4647</v>
      </c>
      <c r="F100" s="2">
        <v>59</v>
      </c>
      <c r="G100" s="2">
        <v>59</v>
      </c>
      <c r="H100" s="2">
        <v>0</v>
      </c>
      <c r="I100" s="1">
        <v>0</v>
      </c>
      <c r="J100" s="26">
        <v>45293</v>
      </c>
      <c r="K100" s="22">
        <v>206500</v>
      </c>
      <c r="L100" s="18">
        <v>220.86</v>
      </c>
      <c r="M100" s="22">
        <v>147500</v>
      </c>
      <c r="N100" s="22">
        <v>59000</v>
      </c>
      <c r="O100" s="18">
        <v>63.1</v>
      </c>
      <c r="P100" s="52">
        <f>IF(COUNTIF(TblPurchases[BatchID],TblOutcomes[[#This Row],[BatchID]])&lt;&gt;1,"n.a.",TblOutcomes[[#This Row],[Qty Wasted]]*SUMIFS(TblPurchases[Unit Cost (CLP)],TblPurchases[BatchID],TblOutcomes[[#This Row],[BatchID]]))</f>
        <v>0</v>
      </c>
      <c r="Q100" s="51">
        <f>IF(COUNTIF(TblPurchases[BatchID],TblOutcomes[[#This Row],[BatchID]])&lt;&gt;1,"n.a.",SUMIFS(TblPurchases[Purchase Date],TblPurchases[BatchID],TblOutcomes[[#This Row],[BatchID]]))</f>
        <v>45289</v>
      </c>
    </row>
    <row r="101" spans="2:17" x14ac:dyDescent="0.25">
      <c r="B101" s="2" t="s">
        <v>905</v>
      </c>
      <c r="C101" s="2" t="s">
        <v>127</v>
      </c>
      <c r="D101" s="2" t="s">
        <v>122</v>
      </c>
      <c r="E101" s="2" t="s">
        <v>4647</v>
      </c>
      <c r="F101" s="2">
        <v>37</v>
      </c>
      <c r="G101" s="2">
        <v>37</v>
      </c>
      <c r="H101" s="2">
        <v>0</v>
      </c>
      <c r="I101" s="1">
        <v>0</v>
      </c>
      <c r="J101" s="26">
        <v>45305</v>
      </c>
      <c r="K101" s="22">
        <v>129500</v>
      </c>
      <c r="L101" s="18">
        <v>138.5</v>
      </c>
      <c r="M101" s="22">
        <v>92500</v>
      </c>
      <c r="N101" s="22">
        <v>37000</v>
      </c>
      <c r="O101" s="18">
        <v>39.57</v>
      </c>
      <c r="P101" s="52">
        <f>IF(COUNTIF(TblPurchases[BatchID],TblOutcomes[[#This Row],[BatchID]])&lt;&gt;1,"n.a.",TblOutcomes[[#This Row],[Qty Wasted]]*SUMIFS(TblPurchases[Unit Cost (CLP)],TblPurchases[BatchID],TblOutcomes[[#This Row],[BatchID]]))</f>
        <v>0</v>
      </c>
      <c r="Q101" s="51">
        <f>IF(COUNTIF(TblPurchases[BatchID],TblOutcomes[[#This Row],[BatchID]])&lt;&gt;1,"n.a.",SUMIFS(TblPurchases[Purchase Date],TblPurchases[BatchID],TblOutcomes[[#This Row],[BatchID]]))</f>
        <v>45297</v>
      </c>
    </row>
    <row r="102" spans="2:17" x14ac:dyDescent="0.25">
      <c r="B102" s="2" t="s">
        <v>906</v>
      </c>
      <c r="C102" s="2" t="s">
        <v>127</v>
      </c>
      <c r="D102" s="2" t="s">
        <v>122</v>
      </c>
      <c r="E102" s="2" t="s">
        <v>4647</v>
      </c>
      <c r="F102" s="2">
        <v>36</v>
      </c>
      <c r="G102" s="2">
        <v>36</v>
      </c>
      <c r="H102" s="2">
        <v>0</v>
      </c>
      <c r="I102" s="1">
        <v>0</v>
      </c>
      <c r="J102" s="26">
        <v>45313</v>
      </c>
      <c r="K102" s="22">
        <v>126000</v>
      </c>
      <c r="L102" s="18">
        <v>134.76</v>
      </c>
      <c r="M102" s="22">
        <v>90000</v>
      </c>
      <c r="N102" s="22">
        <v>36000</v>
      </c>
      <c r="O102" s="18">
        <v>38.5</v>
      </c>
      <c r="P102" s="52">
        <f>IF(COUNTIF(TblPurchases[BatchID],TblOutcomes[[#This Row],[BatchID]])&lt;&gt;1,"n.a.",TblOutcomes[[#This Row],[Qty Wasted]]*SUMIFS(TblPurchases[Unit Cost (CLP)],TblPurchases[BatchID],TblOutcomes[[#This Row],[BatchID]]))</f>
        <v>0</v>
      </c>
      <c r="Q102" s="51">
        <f>IF(COUNTIF(TblPurchases[BatchID],TblOutcomes[[#This Row],[BatchID]])&lt;&gt;1,"n.a.",SUMIFS(TblPurchases[Purchase Date],TblPurchases[BatchID],TblOutcomes[[#This Row],[BatchID]]))</f>
        <v>45308</v>
      </c>
    </row>
    <row r="103" spans="2:17" x14ac:dyDescent="0.25">
      <c r="B103" s="2" t="s">
        <v>907</v>
      </c>
      <c r="C103" s="2" t="s">
        <v>127</v>
      </c>
      <c r="D103" s="2" t="s">
        <v>122</v>
      </c>
      <c r="E103" s="2" t="s">
        <v>4647</v>
      </c>
      <c r="F103" s="2">
        <v>39</v>
      </c>
      <c r="G103" s="2">
        <v>39</v>
      </c>
      <c r="H103" s="2">
        <v>0</v>
      </c>
      <c r="I103" s="1">
        <v>0</v>
      </c>
      <c r="J103" s="26">
        <v>45328</v>
      </c>
      <c r="K103" s="22">
        <v>136500</v>
      </c>
      <c r="L103" s="18">
        <v>145.99</v>
      </c>
      <c r="M103" s="22">
        <v>97500</v>
      </c>
      <c r="N103" s="22">
        <v>39000</v>
      </c>
      <c r="O103" s="18">
        <v>41.71</v>
      </c>
      <c r="P103" s="52">
        <f>IF(COUNTIF(TblPurchases[BatchID],TblOutcomes[[#This Row],[BatchID]])&lt;&gt;1,"n.a.",TblOutcomes[[#This Row],[Qty Wasted]]*SUMIFS(TblPurchases[Unit Cost (CLP)],TblPurchases[BatchID],TblOutcomes[[#This Row],[BatchID]]))</f>
        <v>0</v>
      </c>
      <c r="Q103" s="51">
        <f>IF(COUNTIF(TblPurchases[BatchID],TblOutcomes[[#This Row],[BatchID]])&lt;&gt;1,"n.a.",SUMIFS(TblPurchases[Purchase Date],TblPurchases[BatchID],TblOutcomes[[#This Row],[BatchID]]))</f>
        <v>45319</v>
      </c>
    </row>
    <row r="104" spans="2:17" x14ac:dyDescent="0.25">
      <c r="B104" s="2" t="s">
        <v>908</v>
      </c>
      <c r="C104" s="2" t="s">
        <v>127</v>
      </c>
      <c r="D104" s="2" t="s">
        <v>122</v>
      </c>
      <c r="E104" s="2" t="s">
        <v>4647</v>
      </c>
      <c r="F104" s="2">
        <v>37</v>
      </c>
      <c r="G104" s="2">
        <v>37</v>
      </c>
      <c r="H104" s="2">
        <v>0</v>
      </c>
      <c r="I104" s="1">
        <v>0</v>
      </c>
      <c r="J104" s="26">
        <v>45337</v>
      </c>
      <c r="K104" s="22">
        <v>129500</v>
      </c>
      <c r="L104" s="18">
        <v>138.5</v>
      </c>
      <c r="M104" s="22">
        <v>92500</v>
      </c>
      <c r="N104" s="22">
        <v>37000</v>
      </c>
      <c r="O104" s="18">
        <v>39.57</v>
      </c>
      <c r="P104" s="52">
        <f>IF(COUNTIF(TblPurchases[BatchID],TblOutcomes[[#This Row],[BatchID]])&lt;&gt;1,"n.a.",TblOutcomes[[#This Row],[Qty Wasted]]*SUMIFS(TblPurchases[Unit Cost (CLP)],TblPurchases[BatchID],TblOutcomes[[#This Row],[BatchID]]))</f>
        <v>0</v>
      </c>
      <c r="Q104" s="51">
        <f>IF(COUNTIF(TblPurchases[BatchID],TblOutcomes[[#This Row],[BatchID]])&lt;&gt;1,"n.a.",SUMIFS(TblPurchases[Purchase Date],TblPurchases[BatchID],TblOutcomes[[#This Row],[BatchID]]))</f>
        <v>45331</v>
      </c>
    </row>
    <row r="105" spans="2:17" x14ac:dyDescent="0.25">
      <c r="B105" s="2" t="s">
        <v>909</v>
      </c>
      <c r="C105" s="2" t="s">
        <v>127</v>
      </c>
      <c r="D105" s="2" t="s">
        <v>122</v>
      </c>
      <c r="E105" s="2" t="s">
        <v>4646</v>
      </c>
      <c r="F105" s="2">
        <v>37</v>
      </c>
      <c r="G105" s="2">
        <v>31.45</v>
      </c>
      <c r="H105" s="2">
        <v>5.55</v>
      </c>
      <c r="I105" s="1">
        <v>15</v>
      </c>
      <c r="J105" s="26">
        <v>45384</v>
      </c>
      <c r="K105" s="22">
        <v>110075</v>
      </c>
      <c r="L105" s="18">
        <v>117.73</v>
      </c>
      <c r="M105" s="22">
        <v>99900</v>
      </c>
      <c r="N105" s="22">
        <v>10175</v>
      </c>
      <c r="O105" s="18">
        <v>10.88</v>
      </c>
      <c r="P105" s="52">
        <f>IF(COUNTIF(TblPurchases[BatchID],TblOutcomes[[#This Row],[BatchID]])&lt;&gt;1,"n.a.",TblOutcomes[[#This Row],[Qty Wasted]]*SUMIFS(TblPurchases[Unit Cost (CLP)],TblPurchases[BatchID],TblOutcomes[[#This Row],[BatchID]]))</f>
        <v>14985</v>
      </c>
      <c r="Q105" s="51">
        <f>IF(COUNTIF(TblPurchases[BatchID],TblOutcomes[[#This Row],[BatchID]])&lt;&gt;1,"n.a.",SUMIFS(TblPurchases[Purchase Date],TblPurchases[BatchID],TblOutcomes[[#This Row],[BatchID]]))</f>
        <v>45339</v>
      </c>
    </row>
    <row r="106" spans="2:17" x14ac:dyDescent="0.25">
      <c r="B106" s="2" t="s">
        <v>910</v>
      </c>
      <c r="C106" s="2" t="s">
        <v>127</v>
      </c>
      <c r="D106" s="2" t="s">
        <v>122</v>
      </c>
      <c r="E106" s="2" t="s">
        <v>4646</v>
      </c>
      <c r="F106" s="2">
        <v>40</v>
      </c>
      <c r="G106" s="2">
        <v>33.479999999999997</v>
      </c>
      <c r="H106" s="2">
        <v>6.52</v>
      </c>
      <c r="I106" s="1">
        <v>16.3</v>
      </c>
      <c r="J106" s="26">
        <v>45394</v>
      </c>
      <c r="K106" s="22">
        <v>117180</v>
      </c>
      <c r="L106" s="18">
        <v>125.33</v>
      </c>
      <c r="M106" s="22">
        <v>100000</v>
      </c>
      <c r="N106" s="22">
        <v>17180</v>
      </c>
      <c r="O106" s="18">
        <v>18.37</v>
      </c>
      <c r="P106" s="52">
        <f>IF(COUNTIF(TblPurchases[BatchID],TblOutcomes[[#This Row],[BatchID]])&lt;&gt;1,"n.a.",TblOutcomes[[#This Row],[Qty Wasted]]*SUMIFS(TblPurchases[Unit Cost (CLP)],TblPurchases[BatchID],TblOutcomes[[#This Row],[BatchID]]))</f>
        <v>16299.999999999998</v>
      </c>
      <c r="Q106" s="51">
        <f>IF(COUNTIF(TblPurchases[BatchID],TblOutcomes[[#This Row],[BatchID]])&lt;&gt;1,"n.a.",SUMIFS(TblPurchases[Purchase Date],TblPurchases[BatchID],TblOutcomes[[#This Row],[BatchID]]))</f>
        <v>45349</v>
      </c>
    </row>
    <row r="107" spans="2:17" x14ac:dyDescent="0.25">
      <c r="B107" s="2" t="s">
        <v>911</v>
      </c>
      <c r="C107" s="2" t="s">
        <v>127</v>
      </c>
      <c r="D107" s="2" t="s">
        <v>122</v>
      </c>
      <c r="E107" s="2" t="s">
        <v>4646</v>
      </c>
      <c r="F107" s="2">
        <v>38</v>
      </c>
      <c r="G107" s="2">
        <v>33.020000000000003</v>
      </c>
      <c r="H107" s="2">
        <v>4.9800000000000004</v>
      </c>
      <c r="I107" s="1">
        <v>13.1</v>
      </c>
      <c r="J107" s="26">
        <v>45405</v>
      </c>
      <c r="K107" s="22">
        <v>115570</v>
      </c>
      <c r="L107" s="18">
        <v>123.6</v>
      </c>
      <c r="M107" s="22">
        <v>95000</v>
      </c>
      <c r="N107" s="22">
        <v>20570</v>
      </c>
      <c r="O107" s="18">
        <v>22</v>
      </c>
      <c r="P107" s="52">
        <f>IF(COUNTIF(TblPurchases[BatchID],TblOutcomes[[#This Row],[BatchID]])&lt;&gt;1,"n.a.",TblOutcomes[[#This Row],[Qty Wasted]]*SUMIFS(TblPurchases[Unit Cost (CLP)],TblPurchases[BatchID],TblOutcomes[[#This Row],[BatchID]]))</f>
        <v>12450.000000000002</v>
      </c>
      <c r="Q107" s="51">
        <f>IF(COUNTIF(TblPurchases[BatchID],TblOutcomes[[#This Row],[BatchID]])&lt;&gt;1,"n.a.",SUMIFS(TblPurchases[Purchase Date],TblPurchases[BatchID],TblOutcomes[[#This Row],[BatchID]]))</f>
        <v>45360</v>
      </c>
    </row>
    <row r="108" spans="2:17" x14ac:dyDescent="0.25">
      <c r="B108" s="2" t="s">
        <v>912</v>
      </c>
      <c r="C108" s="2" t="s">
        <v>127</v>
      </c>
      <c r="D108" s="2" t="s">
        <v>122</v>
      </c>
      <c r="E108" s="2" t="s">
        <v>4647</v>
      </c>
      <c r="F108" s="2">
        <v>43</v>
      </c>
      <c r="G108" s="2">
        <v>43</v>
      </c>
      <c r="H108" s="2">
        <v>0</v>
      </c>
      <c r="I108" s="1">
        <v>0</v>
      </c>
      <c r="J108" s="26">
        <v>45376</v>
      </c>
      <c r="K108" s="22">
        <v>150500</v>
      </c>
      <c r="L108" s="18">
        <v>160.96</v>
      </c>
      <c r="M108" s="22">
        <v>107500</v>
      </c>
      <c r="N108" s="22">
        <v>43000</v>
      </c>
      <c r="O108" s="18">
        <v>45.99</v>
      </c>
      <c r="P108" s="52">
        <f>IF(COUNTIF(TblPurchases[BatchID],TblOutcomes[[#This Row],[BatchID]])&lt;&gt;1,"n.a.",TblOutcomes[[#This Row],[Qty Wasted]]*SUMIFS(TblPurchases[Unit Cost (CLP)],TblPurchases[BatchID],TblOutcomes[[#This Row],[BatchID]]))</f>
        <v>0</v>
      </c>
      <c r="Q108" s="51">
        <f>IF(COUNTIF(TblPurchases[BatchID],TblOutcomes[[#This Row],[BatchID]])&lt;&gt;1,"n.a.",SUMIFS(TblPurchases[Purchase Date],TblPurchases[BatchID],TblOutcomes[[#This Row],[BatchID]]))</f>
        <v>45368</v>
      </c>
    </row>
    <row r="109" spans="2:17" x14ac:dyDescent="0.25">
      <c r="B109" s="2" t="s">
        <v>913</v>
      </c>
      <c r="C109" s="2" t="s">
        <v>127</v>
      </c>
      <c r="D109" s="2" t="s">
        <v>122</v>
      </c>
      <c r="E109" s="2" t="s">
        <v>4647</v>
      </c>
      <c r="F109" s="2">
        <v>35</v>
      </c>
      <c r="G109" s="2">
        <v>35</v>
      </c>
      <c r="H109" s="2">
        <v>0</v>
      </c>
      <c r="I109" s="1">
        <v>0</v>
      </c>
      <c r="J109" s="26">
        <v>45380</v>
      </c>
      <c r="K109" s="22">
        <v>122500</v>
      </c>
      <c r="L109" s="18">
        <v>131.02000000000001</v>
      </c>
      <c r="M109" s="22">
        <v>87500</v>
      </c>
      <c r="N109" s="22">
        <v>35000</v>
      </c>
      <c r="O109" s="18">
        <v>37.43</v>
      </c>
      <c r="P109" s="52">
        <f>IF(COUNTIF(TblPurchases[BatchID],TblOutcomes[[#This Row],[BatchID]])&lt;&gt;1,"n.a.",TblOutcomes[[#This Row],[Qty Wasted]]*SUMIFS(TblPurchases[Unit Cost (CLP)],TblPurchases[BatchID],TblOutcomes[[#This Row],[BatchID]]))</f>
        <v>0</v>
      </c>
      <c r="Q109" s="51">
        <f>IF(COUNTIF(TblPurchases[BatchID],TblOutcomes[[#This Row],[BatchID]])&lt;&gt;1,"n.a.",SUMIFS(TblPurchases[Purchase Date],TblPurchases[BatchID],TblOutcomes[[#This Row],[BatchID]]))</f>
        <v>45378</v>
      </c>
    </row>
    <row r="110" spans="2:17" x14ac:dyDescent="0.25">
      <c r="B110" s="2" t="s">
        <v>914</v>
      </c>
      <c r="C110" s="2" t="s">
        <v>127</v>
      </c>
      <c r="D110" s="2" t="s">
        <v>122</v>
      </c>
      <c r="E110" s="2" t="s">
        <v>4646</v>
      </c>
      <c r="F110" s="2">
        <v>17</v>
      </c>
      <c r="G110" s="2">
        <v>12.31</v>
      </c>
      <c r="H110" s="2">
        <v>4.6900000000000004</v>
      </c>
      <c r="I110" s="1">
        <v>27.6</v>
      </c>
      <c r="J110" s="26">
        <v>45433</v>
      </c>
      <c r="K110" s="22">
        <v>43085</v>
      </c>
      <c r="L110" s="18">
        <v>46.08</v>
      </c>
      <c r="M110" s="22">
        <v>42500</v>
      </c>
      <c r="N110" s="22">
        <v>585</v>
      </c>
      <c r="O110" s="18">
        <v>0.63</v>
      </c>
      <c r="P110" s="52">
        <f>IF(COUNTIF(TblPurchases[BatchID],TblOutcomes[[#This Row],[BatchID]])&lt;&gt;1,"n.a.",TblOutcomes[[#This Row],[Qty Wasted]]*SUMIFS(TblPurchases[Unit Cost (CLP)],TblPurchases[BatchID],TblOutcomes[[#This Row],[BatchID]]))</f>
        <v>11725.000000000002</v>
      </c>
      <c r="Q110" s="51">
        <f>IF(COUNTIF(TblPurchases[BatchID],TblOutcomes[[#This Row],[BatchID]])&lt;&gt;1,"n.a.",SUMIFS(TblPurchases[Purchase Date],TblPurchases[BatchID],TblOutcomes[[#This Row],[BatchID]]))</f>
        <v>45388</v>
      </c>
    </row>
    <row r="111" spans="2:17" x14ac:dyDescent="0.25">
      <c r="B111" s="2" t="s">
        <v>915</v>
      </c>
      <c r="C111" s="2" t="s">
        <v>127</v>
      </c>
      <c r="D111" s="2" t="s">
        <v>122</v>
      </c>
      <c r="E111" s="2" t="s">
        <v>4646</v>
      </c>
      <c r="F111" s="2">
        <v>16</v>
      </c>
      <c r="G111" s="2">
        <v>13.14</v>
      </c>
      <c r="H111" s="2">
        <v>2.86</v>
      </c>
      <c r="I111" s="1">
        <v>17.899999999999999</v>
      </c>
      <c r="J111" s="26">
        <v>45440</v>
      </c>
      <c r="K111" s="22">
        <v>45990</v>
      </c>
      <c r="L111" s="18">
        <v>49.19</v>
      </c>
      <c r="M111" s="22">
        <v>40000</v>
      </c>
      <c r="N111" s="22">
        <v>5990</v>
      </c>
      <c r="O111" s="18">
        <v>6.41</v>
      </c>
      <c r="P111" s="52">
        <f>IF(COUNTIF(TblPurchases[BatchID],TblOutcomes[[#This Row],[BatchID]])&lt;&gt;1,"n.a.",TblOutcomes[[#This Row],[Qty Wasted]]*SUMIFS(TblPurchases[Unit Cost (CLP)],TblPurchases[BatchID],TblOutcomes[[#This Row],[BatchID]]))</f>
        <v>7150</v>
      </c>
      <c r="Q111" s="51">
        <f>IF(COUNTIF(TblPurchases[BatchID],TblOutcomes[[#This Row],[BatchID]])&lt;&gt;1,"n.a.",SUMIFS(TblPurchases[Purchase Date],TblPurchases[BatchID],TblOutcomes[[#This Row],[BatchID]]))</f>
        <v>45395</v>
      </c>
    </row>
    <row r="112" spans="2:17" x14ac:dyDescent="0.25">
      <c r="B112" s="2" t="s">
        <v>916</v>
      </c>
      <c r="C112" s="2" t="s">
        <v>127</v>
      </c>
      <c r="D112" s="2" t="s">
        <v>122</v>
      </c>
      <c r="E112" s="2" t="s">
        <v>4646</v>
      </c>
      <c r="F112" s="2">
        <v>13</v>
      </c>
      <c r="G112" s="2">
        <v>11.88</v>
      </c>
      <c r="H112" s="2">
        <v>1.1200000000000001</v>
      </c>
      <c r="I112" s="1">
        <v>8.6</v>
      </c>
      <c r="J112" s="26">
        <v>45448</v>
      </c>
      <c r="K112" s="22">
        <v>41580</v>
      </c>
      <c r="L112" s="18">
        <v>44.47</v>
      </c>
      <c r="M112" s="22">
        <v>32500</v>
      </c>
      <c r="N112" s="22">
        <v>9080</v>
      </c>
      <c r="O112" s="18">
        <v>9.7100000000000009</v>
      </c>
      <c r="P112" s="52">
        <f>IF(COUNTIF(TblPurchases[BatchID],TblOutcomes[[#This Row],[BatchID]])&lt;&gt;1,"n.a.",TblOutcomes[[#This Row],[Qty Wasted]]*SUMIFS(TblPurchases[Unit Cost (CLP)],TblPurchases[BatchID],TblOutcomes[[#This Row],[BatchID]]))</f>
        <v>2800.0000000000005</v>
      </c>
      <c r="Q112" s="51">
        <f>IF(COUNTIF(TblPurchases[BatchID],TblOutcomes[[#This Row],[BatchID]])&lt;&gt;1,"n.a.",SUMIFS(TblPurchases[Purchase Date],TblPurchases[BatchID],TblOutcomes[[#This Row],[BatchID]]))</f>
        <v>45403</v>
      </c>
    </row>
    <row r="113" spans="2:17" x14ac:dyDescent="0.25">
      <c r="B113" s="2" t="s">
        <v>917</v>
      </c>
      <c r="C113" s="2" t="s">
        <v>127</v>
      </c>
      <c r="D113" s="2" t="s">
        <v>122</v>
      </c>
      <c r="E113" s="2" t="s">
        <v>4646</v>
      </c>
      <c r="F113" s="2">
        <v>15</v>
      </c>
      <c r="G113" s="2">
        <v>10.25</v>
      </c>
      <c r="H113" s="2">
        <v>4.75</v>
      </c>
      <c r="I113" s="1">
        <v>31.7</v>
      </c>
      <c r="J113" s="26">
        <v>45457</v>
      </c>
      <c r="K113" s="22">
        <v>35875</v>
      </c>
      <c r="L113" s="18">
        <v>38.369999999999997</v>
      </c>
      <c r="M113" s="22">
        <v>37500</v>
      </c>
      <c r="N113" s="22">
        <v>-1625</v>
      </c>
      <c r="O113" s="18">
        <v>-1.74</v>
      </c>
      <c r="P113" s="52">
        <f>IF(COUNTIF(TblPurchases[BatchID],TblOutcomes[[#This Row],[BatchID]])&lt;&gt;1,"n.a.",TblOutcomes[[#This Row],[Qty Wasted]]*SUMIFS(TblPurchases[Unit Cost (CLP)],TblPurchases[BatchID],TblOutcomes[[#This Row],[BatchID]]))</f>
        <v>11875</v>
      </c>
      <c r="Q113" s="51">
        <f>IF(COUNTIF(TblPurchases[BatchID],TblOutcomes[[#This Row],[BatchID]])&lt;&gt;1,"n.a.",SUMIFS(TblPurchases[Purchase Date],TblPurchases[BatchID],TblOutcomes[[#This Row],[BatchID]]))</f>
        <v>45412</v>
      </c>
    </row>
    <row r="114" spans="2:17" x14ac:dyDescent="0.25">
      <c r="B114" s="2" t="s">
        <v>918</v>
      </c>
      <c r="C114" s="2" t="s">
        <v>127</v>
      </c>
      <c r="D114" s="2" t="s">
        <v>122</v>
      </c>
      <c r="E114" s="2" t="s">
        <v>4646</v>
      </c>
      <c r="F114" s="2">
        <v>17</v>
      </c>
      <c r="G114" s="2">
        <v>13.7</v>
      </c>
      <c r="H114" s="2">
        <v>3.3</v>
      </c>
      <c r="I114" s="1">
        <v>19.399999999999999</v>
      </c>
      <c r="J114" s="26">
        <v>45464</v>
      </c>
      <c r="K114" s="22">
        <v>47950</v>
      </c>
      <c r="L114" s="18">
        <v>51.28</v>
      </c>
      <c r="M114" s="22">
        <v>42500</v>
      </c>
      <c r="N114" s="22">
        <v>5450</v>
      </c>
      <c r="O114" s="18">
        <v>5.83</v>
      </c>
      <c r="P114" s="52">
        <f>IF(COUNTIF(TblPurchases[BatchID],TblOutcomes[[#This Row],[BatchID]])&lt;&gt;1,"n.a.",TblOutcomes[[#This Row],[Qty Wasted]]*SUMIFS(TblPurchases[Unit Cost (CLP)],TblPurchases[BatchID],TblOutcomes[[#This Row],[BatchID]]))</f>
        <v>8250</v>
      </c>
      <c r="Q114" s="51">
        <f>IF(COUNTIF(TblPurchases[BatchID],TblOutcomes[[#This Row],[BatchID]])&lt;&gt;1,"n.a.",SUMIFS(TblPurchases[Purchase Date],TblPurchases[BatchID],TblOutcomes[[#This Row],[BatchID]]))</f>
        <v>45419</v>
      </c>
    </row>
    <row r="115" spans="2:17" x14ac:dyDescent="0.25">
      <c r="B115" s="2" t="s">
        <v>919</v>
      </c>
      <c r="C115" s="2" t="s">
        <v>127</v>
      </c>
      <c r="D115" s="2" t="s">
        <v>122</v>
      </c>
      <c r="E115" s="2" t="s">
        <v>4646</v>
      </c>
      <c r="F115" s="2">
        <v>14</v>
      </c>
      <c r="G115" s="2">
        <v>10.19</v>
      </c>
      <c r="H115" s="2">
        <v>3.81</v>
      </c>
      <c r="I115" s="1">
        <v>27.2</v>
      </c>
      <c r="J115" s="26">
        <v>45474</v>
      </c>
      <c r="K115" s="22">
        <v>35665</v>
      </c>
      <c r="L115" s="18">
        <v>38.14</v>
      </c>
      <c r="M115" s="22">
        <v>35000</v>
      </c>
      <c r="N115" s="22">
        <v>665</v>
      </c>
      <c r="O115" s="18">
        <v>0.71</v>
      </c>
      <c r="P115" s="52">
        <f>IF(COUNTIF(TblPurchases[BatchID],TblOutcomes[[#This Row],[BatchID]])&lt;&gt;1,"n.a.",TblOutcomes[[#This Row],[Qty Wasted]]*SUMIFS(TblPurchases[Unit Cost (CLP)],TblPurchases[BatchID],TblOutcomes[[#This Row],[BatchID]]))</f>
        <v>9525</v>
      </c>
      <c r="Q115" s="51">
        <f>IF(COUNTIF(TblPurchases[BatchID],TblOutcomes[[#This Row],[BatchID]])&lt;&gt;1,"n.a.",SUMIFS(TblPurchases[Purchase Date],TblPurchases[BatchID],TblOutcomes[[#This Row],[BatchID]]))</f>
        <v>45429</v>
      </c>
    </row>
    <row r="116" spans="2:17" x14ac:dyDescent="0.25">
      <c r="B116" s="2" t="s">
        <v>920</v>
      </c>
      <c r="C116" s="2" t="s">
        <v>127</v>
      </c>
      <c r="D116" s="2" t="s">
        <v>122</v>
      </c>
      <c r="E116" s="2" t="s">
        <v>4646</v>
      </c>
      <c r="F116" s="2">
        <v>14</v>
      </c>
      <c r="G116" s="2">
        <v>9.83</v>
      </c>
      <c r="H116" s="2">
        <v>4.17</v>
      </c>
      <c r="I116" s="1">
        <v>29.8</v>
      </c>
      <c r="J116" s="26">
        <v>45484</v>
      </c>
      <c r="K116" s="22">
        <v>34405</v>
      </c>
      <c r="L116" s="18">
        <v>36.799999999999997</v>
      </c>
      <c r="M116" s="22">
        <v>35000</v>
      </c>
      <c r="N116" s="22">
        <v>-595</v>
      </c>
      <c r="O116" s="18">
        <v>-0.64</v>
      </c>
      <c r="P116" s="52">
        <f>IF(COUNTIF(TblPurchases[BatchID],TblOutcomes[[#This Row],[BatchID]])&lt;&gt;1,"n.a.",TblOutcomes[[#This Row],[Qty Wasted]]*SUMIFS(TblPurchases[Unit Cost (CLP)],TblPurchases[BatchID],TblOutcomes[[#This Row],[BatchID]]))</f>
        <v>10425</v>
      </c>
      <c r="Q116" s="51">
        <f>IF(COUNTIF(TblPurchases[BatchID],TblOutcomes[[#This Row],[BatchID]])&lt;&gt;1,"n.a.",SUMIFS(TblPurchases[Purchase Date],TblPurchases[BatchID],TblOutcomes[[#This Row],[BatchID]]))</f>
        <v>45439</v>
      </c>
    </row>
    <row r="117" spans="2:17" x14ac:dyDescent="0.25">
      <c r="B117" s="2" t="s">
        <v>921</v>
      </c>
      <c r="C117" s="2" t="s">
        <v>127</v>
      </c>
      <c r="D117" s="2" t="s">
        <v>122</v>
      </c>
      <c r="E117" s="2" t="s">
        <v>4647</v>
      </c>
      <c r="F117" s="2">
        <v>16</v>
      </c>
      <c r="G117" s="2">
        <v>16</v>
      </c>
      <c r="H117" s="2">
        <v>0</v>
      </c>
      <c r="I117" s="1">
        <v>0</v>
      </c>
      <c r="J117" s="26">
        <v>45453</v>
      </c>
      <c r="K117" s="22">
        <v>56000</v>
      </c>
      <c r="L117" s="18">
        <v>59.89</v>
      </c>
      <c r="M117" s="22">
        <v>40000</v>
      </c>
      <c r="N117" s="22">
        <v>16000</v>
      </c>
      <c r="O117" s="18">
        <v>17.11</v>
      </c>
      <c r="P117" s="52">
        <f>IF(COUNTIF(TblPurchases[BatchID],TblOutcomes[[#This Row],[BatchID]])&lt;&gt;1,"n.a.",TblOutcomes[[#This Row],[Qty Wasted]]*SUMIFS(TblPurchases[Unit Cost (CLP)],TblPurchases[BatchID],TblOutcomes[[#This Row],[BatchID]]))</f>
        <v>0</v>
      </c>
      <c r="Q117" s="51">
        <f>IF(COUNTIF(TblPurchases[BatchID],TblOutcomes[[#This Row],[BatchID]])&lt;&gt;1,"n.a.",SUMIFS(TblPurchases[Purchase Date],TblPurchases[BatchID],TblOutcomes[[#This Row],[BatchID]]))</f>
        <v>45447</v>
      </c>
    </row>
    <row r="118" spans="2:17" x14ac:dyDescent="0.25">
      <c r="B118" s="2" t="s">
        <v>922</v>
      </c>
      <c r="C118" s="2" t="s">
        <v>127</v>
      </c>
      <c r="D118" s="2" t="s">
        <v>122</v>
      </c>
      <c r="E118" s="2" t="s">
        <v>4647</v>
      </c>
      <c r="F118" s="2">
        <v>17</v>
      </c>
      <c r="G118" s="2">
        <v>17</v>
      </c>
      <c r="H118" s="2">
        <v>0</v>
      </c>
      <c r="I118" s="1">
        <v>0</v>
      </c>
      <c r="J118" s="26">
        <v>45459</v>
      </c>
      <c r="K118" s="22">
        <v>59500</v>
      </c>
      <c r="L118" s="18">
        <v>63.64</v>
      </c>
      <c r="M118" s="22">
        <v>42500</v>
      </c>
      <c r="N118" s="22">
        <v>17000</v>
      </c>
      <c r="O118" s="18">
        <v>18.18</v>
      </c>
      <c r="P118" s="52">
        <f>IF(COUNTIF(TblPurchases[BatchID],TblOutcomes[[#This Row],[BatchID]])&lt;&gt;1,"n.a.",TblOutcomes[[#This Row],[Qty Wasted]]*SUMIFS(TblPurchases[Unit Cost (CLP)],TblPurchases[BatchID],TblOutcomes[[#This Row],[BatchID]]))</f>
        <v>0</v>
      </c>
      <c r="Q118" s="51">
        <f>IF(COUNTIF(TblPurchases[BatchID],TblOutcomes[[#This Row],[BatchID]])&lt;&gt;1,"n.a.",SUMIFS(TblPurchases[Purchase Date],TblPurchases[BatchID],TblOutcomes[[#This Row],[BatchID]]))</f>
        <v>45453</v>
      </c>
    </row>
    <row r="119" spans="2:17" x14ac:dyDescent="0.25">
      <c r="B119" s="2" t="s">
        <v>923</v>
      </c>
      <c r="C119" s="2" t="s">
        <v>127</v>
      </c>
      <c r="D119" s="2" t="s">
        <v>122</v>
      </c>
      <c r="E119" s="2" t="s">
        <v>4647</v>
      </c>
      <c r="F119" s="2">
        <v>14</v>
      </c>
      <c r="G119" s="2">
        <v>14</v>
      </c>
      <c r="H119" s="2">
        <v>0</v>
      </c>
      <c r="I119" s="1">
        <v>0</v>
      </c>
      <c r="J119" s="26">
        <v>45467</v>
      </c>
      <c r="K119" s="22">
        <v>49000</v>
      </c>
      <c r="L119" s="18">
        <v>52.41</v>
      </c>
      <c r="M119" s="22">
        <v>35000</v>
      </c>
      <c r="N119" s="22">
        <v>14000</v>
      </c>
      <c r="O119" s="18">
        <v>14.97</v>
      </c>
      <c r="P119" s="52">
        <f>IF(COUNTIF(TblPurchases[BatchID],TblOutcomes[[#This Row],[BatchID]])&lt;&gt;1,"n.a.",TblOutcomes[[#This Row],[Qty Wasted]]*SUMIFS(TblPurchases[Unit Cost (CLP)],TblPurchases[BatchID],TblOutcomes[[#This Row],[BatchID]]))</f>
        <v>0</v>
      </c>
      <c r="Q119" s="51">
        <f>IF(COUNTIF(TblPurchases[BatchID],TblOutcomes[[#This Row],[BatchID]])&lt;&gt;1,"n.a.",SUMIFS(TblPurchases[Purchase Date],TblPurchases[BatchID],TblOutcomes[[#This Row],[BatchID]]))</f>
        <v>45463</v>
      </c>
    </row>
    <row r="120" spans="2:17" x14ac:dyDescent="0.25">
      <c r="B120" s="2" t="s">
        <v>924</v>
      </c>
      <c r="C120" s="2" t="s">
        <v>127</v>
      </c>
      <c r="D120" s="2" t="s">
        <v>122</v>
      </c>
      <c r="E120" s="2" t="s">
        <v>4647</v>
      </c>
      <c r="F120" s="2">
        <v>16</v>
      </c>
      <c r="G120" s="2">
        <v>16</v>
      </c>
      <c r="H120" s="2">
        <v>0</v>
      </c>
      <c r="I120" s="1">
        <v>0</v>
      </c>
      <c r="J120" s="26">
        <v>45476</v>
      </c>
      <c r="K120" s="22">
        <v>56000</v>
      </c>
      <c r="L120" s="18">
        <v>59.89</v>
      </c>
      <c r="M120" s="22">
        <v>40000</v>
      </c>
      <c r="N120" s="22">
        <v>16000</v>
      </c>
      <c r="O120" s="18">
        <v>17.11</v>
      </c>
      <c r="P120" s="52">
        <f>IF(COUNTIF(TblPurchases[BatchID],TblOutcomes[[#This Row],[BatchID]])&lt;&gt;1,"n.a.",TblOutcomes[[#This Row],[Qty Wasted]]*SUMIFS(TblPurchases[Unit Cost (CLP)],TblPurchases[BatchID],TblOutcomes[[#This Row],[BatchID]]))</f>
        <v>0</v>
      </c>
      <c r="Q120" s="51">
        <f>IF(COUNTIF(TblPurchases[BatchID],TblOutcomes[[#This Row],[BatchID]])&lt;&gt;1,"n.a.",SUMIFS(TblPurchases[Purchase Date],TblPurchases[BatchID],TblOutcomes[[#This Row],[BatchID]]))</f>
        <v>45474</v>
      </c>
    </row>
    <row r="121" spans="2:17" x14ac:dyDescent="0.25">
      <c r="B121" s="2" t="s">
        <v>925</v>
      </c>
      <c r="C121" s="2" t="s">
        <v>127</v>
      </c>
      <c r="D121" s="2" t="s">
        <v>122</v>
      </c>
      <c r="E121" s="2" t="s">
        <v>4646</v>
      </c>
      <c r="F121" s="2">
        <v>13</v>
      </c>
      <c r="G121" s="2">
        <v>10.79</v>
      </c>
      <c r="H121" s="2">
        <v>2.21</v>
      </c>
      <c r="I121" s="1">
        <v>17</v>
      </c>
      <c r="J121" s="26">
        <v>45529</v>
      </c>
      <c r="K121" s="22">
        <v>37765</v>
      </c>
      <c r="L121" s="18">
        <v>40.39</v>
      </c>
      <c r="M121" s="22">
        <v>32500</v>
      </c>
      <c r="N121" s="22">
        <v>5265</v>
      </c>
      <c r="O121" s="18">
        <v>5.63</v>
      </c>
      <c r="P121" s="52">
        <f>IF(COUNTIF(TblPurchases[BatchID],TblOutcomes[[#This Row],[BatchID]])&lt;&gt;1,"n.a.",TblOutcomes[[#This Row],[Qty Wasted]]*SUMIFS(TblPurchases[Unit Cost (CLP)],TblPurchases[BatchID],TblOutcomes[[#This Row],[BatchID]]))</f>
        <v>5525</v>
      </c>
      <c r="Q121" s="51">
        <f>IF(COUNTIF(TblPurchases[BatchID],TblOutcomes[[#This Row],[BatchID]])&lt;&gt;1,"n.a.",SUMIFS(TblPurchases[Purchase Date],TblPurchases[BatchID],TblOutcomes[[#This Row],[BatchID]]))</f>
        <v>45484</v>
      </c>
    </row>
    <row r="122" spans="2:17" x14ac:dyDescent="0.25">
      <c r="B122" s="2" t="s">
        <v>926</v>
      </c>
      <c r="C122" s="2" t="s">
        <v>127</v>
      </c>
      <c r="D122" s="2" t="s">
        <v>122</v>
      </c>
      <c r="E122" s="2" t="s">
        <v>4647</v>
      </c>
      <c r="F122" s="2">
        <v>16</v>
      </c>
      <c r="G122" s="2">
        <v>16</v>
      </c>
      <c r="H122" s="2">
        <v>0</v>
      </c>
      <c r="I122" s="1">
        <v>0</v>
      </c>
      <c r="J122" s="26">
        <v>45501</v>
      </c>
      <c r="K122" s="22">
        <v>56000</v>
      </c>
      <c r="L122" s="18">
        <v>59.89</v>
      </c>
      <c r="M122" s="22">
        <v>40000</v>
      </c>
      <c r="N122" s="22">
        <v>16000</v>
      </c>
      <c r="O122" s="18">
        <v>17.11</v>
      </c>
      <c r="P122" s="52">
        <f>IF(COUNTIF(TblPurchases[BatchID],TblOutcomes[[#This Row],[BatchID]])&lt;&gt;1,"n.a.",TblOutcomes[[#This Row],[Qty Wasted]]*SUMIFS(TblPurchases[Unit Cost (CLP)],TblPurchases[BatchID],TblOutcomes[[#This Row],[BatchID]]))</f>
        <v>0</v>
      </c>
      <c r="Q122" s="51">
        <f>IF(COUNTIF(TblPurchases[BatchID],TblOutcomes[[#This Row],[BatchID]])&lt;&gt;1,"n.a.",SUMIFS(TblPurchases[Purchase Date],TblPurchases[BatchID],TblOutcomes[[#This Row],[BatchID]]))</f>
        <v>45493</v>
      </c>
    </row>
    <row r="123" spans="2:17" x14ac:dyDescent="0.25">
      <c r="B123" s="2" t="s">
        <v>927</v>
      </c>
      <c r="C123" s="2" t="s">
        <v>127</v>
      </c>
      <c r="D123" s="2" t="s">
        <v>122</v>
      </c>
      <c r="E123" s="2" t="s">
        <v>4646</v>
      </c>
      <c r="F123" s="2">
        <v>16</v>
      </c>
      <c r="G123" s="2">
        <v>13.89</v>
      </c>
      <c r="H123" s="2">
        <v>2.11</v>
      </c>
      <c r="I123" s="1">
        <v>13.2</v>
      </c>
      <c r="J123" s="26">
        <v>45550</v>
      </c>
      <c r="K123" s="22">
        <v>48615</v>
      </c>
      <c r="L123" s="18">
        <v>51.99</v>
      </c>
      <c r="M123" s="22">
        <v>40000</v>
      </c>
      <c r="N123" s="22">
        <v>8615</v>
      </c>
      <c r="O123" s="18">
        <v>9.2100000000000009</v>
      </c>
      <c r="P123" s="52">
        <f>IF(COUNTIF(TblPurchases[BatchID],TblOutcomes[[#This Row],[BatchID]])&lt;&gt;1,"n.a.",TblOutcomes[[#This Row],[Qty Wasted]]*SUMIFS(TblPurchases[Unit Cost (CLP)],TblPurchases[BatchID],TblOutcomes[[#This Row],[BatchID]]))</f>
        <v>5275</v>
      </c>
      <c r="Q123" s="51">
        <f>IF(COUNTIF(TblPurchases[BatchID],TblOutcomes[[#This Row],[BatchID]])&lt;&gt;1,"n.a.",SUMIFS(TblPurchases[Purchase Date],TblPurchases[BatchID],TblOutcomes[[#This Row],[BatchID]]))</f>
        <v>45505</v>
      </c>
    </row>
    <row r="124" spans="2:17" x14ac:dyDescent="0.25">
      <c r="B124" s="2" t="s">
        <v>928</v>
      </c>
      <c r="C124" s="2" t="s">
        <v>127</v>
      </c>
      <c r="D124" s="2" t="s">
        <v>122</v>
      </c>
      <c r="E124" s="2" t="s">
        <v>4646</v>
      </c>
      <c r="F124" s="2">
        <v>13</v>
      </c>
      <c r="G124" s="2">
        <v>10.44</v>
      </c>
      <c r="H124" s="2">
        <v>2.56</v>
      </c>
      <c r="I124" s="1">
        <v>19.7</v>
      </c>
      <c r="J124" s="26">
        <v>45560</v>
      </c>
      <c r="K124" s="22">
        <v>36540</v>
      </c>
      <c r="L124" s="18">
        <v>39.08</v>
      </c>
      <c r="M124" s="22">
        <v>32500</v>
      </c>
      <c r="N124" s="22">
        <v>4040</v>
      </c>
      <c r="O124" s="18">
        <v>4.32</v>
      </c>
      <c r="P124" s="52">
        <f>IF(COUNTIF(TblPurchases[BatchID],TblOutcomes[[#This Row],[BatchID]])&lt;&gt;1,"n.a.",TblOutcomes[[#This Row],[Qty Wasted]]*SUMIFS(TblPurchases[Unit Cost (CLP)],TblPurchases[BatchID],TblOutcomes[[#This Row],[BatchID]]))</f>
        <v>6400</v>
      </c>
      <c r="Q124" s="51">
        <f>IF(COUNTIF(TblPurchases[BatchID],TblOutcomes[[#This Row],[BatchID]])&lt;&gt;1,"n.a.",SUMIFS(TblPurchases[Purchase Date],TblPurchases[BatchID],TblOutcomes[[#This Row],[BatchID]]))</f>
        <v>45515</v>
      </c>
    </row>
    <row r="125" spans="2:17" x14ac:dyDescent="0.25">
      <c r="B125" s="2" t="s">
        <v>929</v>
      </c>
      <c r="C125" s="2" t="s">
        <v>127</v>
      </c>
      <c r="D125" s="2" t="s">
        <v>122</v>
      </c>
      <c r="E125" s="2" t="s">
        <v>4646</v>
      </c>
      <c r="F125" s="2">
        <v>15</v>
      </c>
      <c r="G125" s="2">
        <v>10.94</v>
      </c>
      <c r="H125" s="2">
        <v>4.07</v>
      </c>
      <c r="I125" s="1">
        <v>27.1</v>
      </c>
      <c r="J125" s="26">
        <v>45570</v>
      </c>
      <c r="K125" s="22">
        <v>38290</v>
      </c>
      <c r="L125" s="18">
        <v>40.950000000000003</v>
      </c>
      <c r="M125" s="22">
        <v>37500</v>
      </c>
      <c r="N125" s="22">
        <v>790</v>
      </c>
      <c r="O125" s="18">
        <v>0.84</v>
      </c>
      <c r="P125" s="52">
        <f>IF(COUNTIF(TblPurchases[BatchID],TblOutcomes[[#This Row],[BatchID]])&lt;&gt;1,"n.a.",TblOutcomes[[#This Row],[Qty Wasted]]*SUMIFS(TblPurchases[Unit Cost (CLP)],TblPurchases[BatchID],TblOutcomes[[#This Row],[BatchID]]))</f>
        <v>10175</v>
      </c>
      <c r="Q125" s="51">
        <f>IF(COUNTIF(TblPurchases[BatchID],TblOutcomes[[#This Row],[BatchID]])&lt;&gt;1,"n.a.",SUMIFS(TblPurchases[Purchase Date],TblPurchases[BatchID],TblOutcomes[[#This Row],[BatchID]]))</f>
        <v>45525</v>
      </c>
    </row>
    <row r="126" spans="2:17" x14ac:dyDescent="0.25">
      <c r="B126" s="2" t="s">
        <v>930</v>
      </c>
      <c r="C126" s="2" t="s">
        <v>127</v>
      </c>
      <c r="D126" s="2" t="s">
        <v>122</v>
      </c>
      <c r="E126" s="2" t="s">
        <v>4646</v>
      </c>
      <c r="F126" s="2">
        <v>14</v>
      </c>
      <c r="G126" s="2">
        <v>10.35</v>
      </c>
      <c r="H126" s="2">
        <v>3.65</v>
      </c>
      <c r="I126" s="1">
        <v>26.1</v>
      </c>
      <c r="J126" s="26">
        <v>45580</v>
      </c>
      <c r="K126" s="22">
        <v>36225</v>
      </c>
      <c r="L126" s="18">
        <v>38.74</v>
      </c>
      <c r="M126" s="22">
        <v>35000</v>
      </c>
      <c r="N126" s="22">
        <v>1225</v>
      </c>
      <c r="O126" s="18">
        <v>1.31</v>
      </c>
      <c r="P126" s="52">
        <f>IF(COUNTIF(TblPurchases[BatchID],TblOutcomes[[#This Row],[BatchID]])&lt;&gt;1,"n.a.",TblOutcomes[[#This Row],[Qty Wasted]]*SUMIFS(TblPurchases[Unit Cost (CLP)],TblPurchases[BatchID],TblOutcomes[[#This Row],[BatchID]]))</f>
        <v>9125</v>
      </c>
      <c r="Q126" s="51">
        <f>IF(COUNTIF(TblPurchases[BatchID],TblOutcomes[[#This Row],[BatchID]])&lt;&gt;1,"n.a.",SUMIFS(TblPurchases[Purchase Date],TblPurchases[BatchID],TblOutcomes[[#This Row],[BatchID]]))</f>
        <v>45535</v>
      </c>
    </row>
    <row r="127" spans="2:17" x14ac:dyDescent="0.25">
      <c r="B127" s="2" t="s">
        <v>931</v>
      </c>
      <c r="C127" s="2" t="s">
        <v>127</v>
      </c>
      <c r="D127" s="2" t="s">
        <v>122</v>
      </c>
      <c r="E127" s="2" t="s">
        <v>4647</v>
      </c>
      <c r="F127" s="2">
        <v>18</v>
      </c>
      <c r="G127" s="2">
        <v>18</v>
      </c>
      <c r="H127" s="2">
        <v>0</v>
      </c>
      <c r="I127" s="1">
        <v>0</v>
      </c>
      <c r="J127" s="26">
        <v>45555</v>
      </c>
      <c r="K127" s="22">
        <v>63000</v>
      </c>
      <c r="L127" s="18">
        <v>67.38</v>
      </c>
      <c r="M127" s="22">
        <v>45000</v>
      </c>
      <c r="N127" s="22">
        <v>18000</v>
      </c>
      <c r="O127" s="18">
        <v>19.25</v>
      </c>
      <c r="P127" s="52">
        <f>IF(COUNTIF(TblPurchases[BatchID],TblOutcomes[[#This Row],[BatchID]])&lt;&gt;1,"n.a.",TblOutcomes[[#This Row],[Qty Wasted]]*SUMIFS(TblPurchases[Unit Cost (CLP)],TblPurchases[BatchID],TblOutcomes[[#This Row],[BatchID]]))</f>
        <v>0</v>
      </c>
      <c r="Q127" s="51">
        <f>IF(COUNTIF(TblPurchases[BatchID],TblOutcomes[[#This Row],[BatchID]])&lt;&gt;1,"n.a.",SUMIFS(TblPurchases[Purchase Date],TblPurchases[BatchID],TblOutcomes[[#This Row],[BatchID]]))</f>
        <v>45545</v>
      </c>
    </row>
    <row r="128" spans="2:17" x14ac:dyDescent="0.25">
      <c r="B128" s="2" t="s">
        <v>932</v>
      </c>
      <c r="C128" s="2" t="s">
        <v>127</v>
      </c>
      <c r="D128" s="2" t="s">
        <v>122</v>
      </c>
      <c r="E128" s="2" t="s">
        <v>4646</v>
      </c>
      <c r="F128" s="2">
        <v>19</v>
      </c>
      <c r="G128" s="2">
        <v>14.54</v>
      </c>
      <c r="H128" s="2">
        <v>4.46</v>
      </c>
      <c r="I128" s="1">
        <v>23.5</v>
      </c>
      <c r="J128" s="26">
        <v>45598</v>
      </c>
      <c r="K128" s="22">
        <v>50890</v>
      </c>
      <c r="L128" s="18">
        <v>54.43</v>
      </c>
      <c r="M128" s="22">
        <v>51300</v>
      </c>
      <c r="N128" s="22">
        <v>-410</v>
      </c>
      <c r="O128" s="18">
        <v>-0.44</v>
      </c>
      <c r="P128" s="52">
        <f>IF(COUNTIF(TblPurchases[BatchID],TblOutcomes[[#This Row],[BatchID]])&lt;&gt;1,"n.a.",TblOutcomes[[#This Row],[Qty Wasted]]*SUMIFS(TblPurchases[Unit Cost (CLP)],TblPurchases[BatchID],TblOutcomes[[#This Row],[BatchID]]))</f>
        <v>12042</v>
      </c>
      <c r="Q128" s="51">
        <f>IF(COUNTIF(TblPurchases[BatchID],TblOutcomes[[#This Row],[BatchID]])&lt;&gt;1,"n.a.",SUMIFS(TblPurchases[Purchase Date],TblPurchases[BatchID],TblOutcomes[[#This Row],[BatchID]]))</f>
        <v>45553</v>
      </c>
    </row>
    <row r="129" spans="2:17" x14ac:dyDescent="0.25">
      <c r="B129" s="2" t="s">
        <v>933</v>
      </c>
      <c r="C129" s="2" t="s">
        <v>127</v>
      </c>
      <c r="D129" s="2" t="s">
        <v>122</v>
      </c>
      <c r="E129" s="2" t="s">
        <v>4647</v>
      </c>
      <c r="F129" s="2">
        <v>19</v>
      </c>
      <c r="G129" s="2">
        <v>19</v>
      </c>
      <c r="H129" s="2">
        <v>0</v>
      </c>
      <c r="I129" s="1">
        <v>0</v>
      </c>
      <c r="J129" s="26">
        <v>45573</v>
      </c>
      <c r="K129" s="22">
        <v>66500</v>
      </c>
      <c r="L129" s="18">
        <v>71.12</v>
      </c>
      <c r="M129" s="22">
        <v>47500</v>
      </c>
      <c r="N129" s="22">
        <v>19000</v>
      </c>
      <c r="O129" s="18">
        <v>20.32</v>
      </c>
      <c r="P129" s="52">
        <f>IF(COUNTIF(TblPurchases[BatchID],TblOutcomes[[#This Row],[BatchID]])&lt;&gt;1,"n.a.",TblOutcomes[[#This Row],[Qty Wasted]]*SUMIFS(TblPurchases[Unit Cost (CLP)],TblPurchases[BatchID],TblOutcomes[[#This Row],[BatchID]]))</f>
        <v>0</v>
      </c>
      <c r="Q129" s="51">
        <f>IF(COUNTIF(TblPurchases[BatchID],TblOutcomes[[#This Row],[BatchID]])&lt;&gt;1,"n.a.",SUMIFS(TblPurchases[Purchase Date],TblPurchases[BatchID],TblOutcomes[[#This Row],[BatchID]]))</f>
        <v>45562</v>
      </c>
    </row>
    <row r="130" spans="2:17" x14ac:dyDescent="0.25">
      <c r="B130" s="2" t="s">
        <v>934</v>
      </c>
      <c r="C130" s="2" t="s">
        <v>127</v>
      </c>
      <c r="D130" s="2" t="s">
        <v>122</v>
      </c>
      <c r="E130" s="2" t="s">
        <v>4647</v>
      </c>
      <c r="F130" s="2">
        <v>36</v>
      </c>
      <c r="G130" s="2">
        <v>36</v>
      </c>
      <c r="H130" s="2">
        <v>0</v>
      </c>
      <c r="I130" s="1">
        <v>0</v>
      </c>
      <c r="J130" s="26">
        <v>45573</v>
      </c>
      <c r="K130" s="22">
        <v>126000</v>
      </c>
      <c r="L130" s="18">
        <v>134.76</v>
      </c>
      <c r="M130" s="22">
        <v>90000</v>
      </c>
      <c r="N130" s="22">
        <v>36000</v>
      </c>
      <c r="O130" s="18">
        <v>38.5</v>
      </c>
      <c r="P130" s="52">
        <f>IF(COUNTIF(TblPurchases[BatchID],TblOutcomes[[#This Row],[BatchID]])&lt;&gt;1,"n.a.",TblOutcomes[[#This Row],[Qty Wasted]]*SUMIFS(TblPurchases[Unit Cost (CLP)],TblPurchases[BatchID],TblOutcomes[[#This Row],[BatchID]]))</f>
        <v>0</v>
      </c>
      <c r="Q130" s="51">
        <f>IF(COUNTIF(TblPurchases[BatchID],TblOutcomes[[#This Row],[BatchID]])&lt;&gt;1,"n.a.",SUMIFS(TblPurchases[Purchase Date],TblPurchases[BatchID],TblOutcomes[[#This Row],[BatchID]]))</f>
        <v>45569</v>
      </c>
    </row>
    <row r="131" spans="2:17" x14ac:dyDescent="0.25">
      <c r="B131" s="2" t="s">
        <v>935</v>
      </c>
      <c r="C131" s="2" t="s">
        <v>127</v>
      </c>
      <c r="D131" s="2" t="s">
        <v>122</v>
      </c>
      <c r="E131" s="2" t="s">
        <v>4647</v>
      </c>
      <c r="F131" s="2">
        <v>40</v>
      </c>
      <c r="G131" s="2">
        <v>40</v>
      </c>
      <c r="H131" s="2">
        <v>0</v>
      </c>
      <c r="I131" s="1">
        <v>0</v>
      </c>
      <c r="J131" s="26">
        <v>45587</v>
      </c>
      <c r="K131" s="22">
        <v>140000</v>
      </c>
      <c r="L131" s="18">
        <v>149.72999999999999</v>
      </c>
      <c r="M131" s="22">
        <v>100000</v>
      </c>
      <c r="N131" s="22">
        <v>40000</v>
      </c>
      <c r="O131" s="18">
        <v>42.78</v>
      </c>
      <c r="P131" s="52">
        <f>IF(COUNTIF(TblPurchases[BatchID],TblOutcomes[[#This Row],[BatchID]])&lt;&gt;1,"n.a.",TblOutcomes[[#This Row],[Qty Wasted]]*SUMIFS(TblPurchases[Unit Cost (CLP)],TblPurchases[BatchID],TblOutcomes[[#This Row],[BatchID]]))</f>
        <v>0</v>
      </c>
      <c r="Q131" s="51">
        <f>IF(COUNTIF(TblPurchases[BatchID],TblOutcomes[[#This Row],[BatchID]])&lt;&gt;1,"n.a.",SUMIFS(TblPurchases[Purchase Date],TblPurchases[BatchID],TblOutcomes[[#This Row],[BatchID]]))</f>
        <v>45577</v>
      </c>
    </row>
    <row r="132" spans="2:17" x14ac:dyDescent="0.25">
      <c r="B132" s="2" t="s">
        <v>936</v>
      </c>
      <c r="C132" s="2" t="s">
        <v>127</v>
      </c>
      <c r="D132" s="2" t="s">
        <v>122</v>
      </c>
      <c r="E132" s="2" t="s">
        <v>4647</v>
      </c>
      <c r="F132" s="2">
        <v>35</v>
      </c>
      <c r="G132" s="2">
        <v>35</v>
      </c>
      <c r="H132" s="2">
        <v>0</v>
      </c>
      <c r="I132" s="1">
        <v>0</v>
      </c>
      <c r="J132" s="26">
        <v>45595</v>
      </c>
      <c r="K132" s="22">
        <v>122500</v>
      </c>
      <c r="L132" s="18">
        <v>131.02000000000001</v>
      </c>
      <c r="M132" s="22">
        <v>87500</v>
      </c>
      <c r="N132" s="22">
        <v>35000</v>
      </c>
      <c r="O132" s="18">
        <v>37.43</v>
      </c>
      <c r="P132" s="52">
        <f>IF(COUNTIF(TblPurchases[BatchID],TblOutcomes[[#This Row],[BatchID]])&lt;&gt;1,"n.a.",TblOutcomes[[#This Row],[Qty Wasted]]*SUMIFS(TblPurchases[Unit Cost (CLP)],TblPurchases[BatchID],TblOutcomes[[#This Row],[BatchID]]))</f>
        <v>0</v>
      </c>
      <c r="Q132" s="51">
        <f>IF(COUNTIF(TblPurchases[BatchID],TblOutcomes[[#This Row],[BatchID]])&lt;&gt;1,"n.a.",SUMIFS(TblPurchases[Purchase Date],TblPurchases[BatchID],TblOutcomes[[#This Row],[BatchID]]))</f>
        <v>45587</v>
      </c>
    </row>
    <row r="133" spans="2:17" x14ac:dyDescent="0.25">
      <c r="B133" s="2" t="s">
        <v>937</v>
      </c>
      <c r="C133" s="2" t="s">
        <v>127</v>
      </c>
      <c r="D133" s="2" t="s">
        <v>122</v>
      </c>
      <c r="E133" s="2" t="s">
        <v>4647</v>
      </c>
      <c r="F133" s="2">
        <v>46</v>
      </c>
      <c r="G133" s="2">
        <v>46</v>
      </c>
      <c r="H133" s="2">
        <v>0</v>
      </c>
      <c r="I133" s="1">
        <v>0</v>
      </c>
      <c r="J133" s="26">
        <v>45604</v>
      </c>
      <c r="K133" s="22">
        <v>161000</v>
      </c>
      <c r="L133" s="18">
        <v>172.19</v>
      </c>
      <c r="M133" s="22">
        <v>115000</v>
      </c>
      <c r="N133" s="22">
        <v>46000</v>
      </c>
      <c r="O133" s="18">
        <v>49.2</v>
      </c>
      <c r="P133" s="52">
        <f>IF(COUNTIF(TblPurchases[BatchID],TblOutcomes[[#This Row],[BatchID]])&lt;&gt;1,"n.a.",TblOutcomes[[#This Row],[Qty Wasted]]*SUMIFS(TblPurchases[Unit Cost (CLP)],TblPurchases[BatchID],TblOutcomes[[#This Row],[BatchID]]))</f>
        <v>0</v>
      </c>
      <c r="Q133" s="51">
        <f>IF(COUNTIF(TblPurchases[BatchID],TblOutcomes[[#This Row],[BatchID]])&lt;&gt;1,"n.a.",SUMIFS(TblPurchases[Purchase Date],TblPurchases[BatchID],TblOutcomes[[#This Row],[BatchID]]))</f>
        <v>45597</v>
      </c>
    </row>
    <row r="134" spans="2:17" x14ac:dyDescent="0.25">
      <c r="B134" s="2" t="s">
        <v>938</v>
      </c>
      <c r="C134" s="2" t="s">
        <v>127</v>
      </c>
      <c r="D134" s="2" t="s">
        <v>122</v>
      </c>
      <c r="E134" s="2" t="s">
        <v>4647</v>
      </c>
      <c r="F134" s="2">
        <v>37</v>
      </c>
      <c r="G134" s="2">
        <v>37</v>
      </c>
      <c r="H134" s="2">
        <v>0</v>
      </c>
      <c r="I134" s="1">
        <v>0</v>
      </c>
      <c r="J134" s="26">
        <v>45614</v>
      </c>
      <c r="K134" s="22">
        <v>129500</v>
      </c>
      <c r="L134" s="18">
        <v>138.5</v>
      </c>
      <c r="M134" s="22">
        <v>92500</v>
      </c>
      <c r="N134" s="22">
        <v>37000</v>
      </c>
      <c r="O134" s="18">
        <v>39.57</v>
      </c>
      <c r="P134" s="52">
        <f>IF(COUNTIF(TblPurchases[BatchID],TblOutcomes[[#This Row],[BatchID]])&lt;&gt;1,"n.a.",TblOutcomes[[#This Row],[Qty Wasted]]*SUMIFS(TblPurchases[Unit Cost (CLP)],TblPurchases[BatchID],TblOutcomes[[#This Row],[BatchID]]))</f>
        <v>0</v>
      </c>
      <c r="Q134" s="51">
        <f>IF(COUNTIF(TblPurchases[BatchID],TblOutcomes[[#This Row],[BatchID]])&lt;&gt;1,"n.a.",SUMIFS(TblPurchases[Purchase Date],TblPurchases[BatchID],TblOutcomes[[#This Row],[BatchID]]))</f>
        <v>45606</v>
      </c>
    </row>
    <row r="135" spans="2:17" x14ac:dyDescent="0.25">
      <c r="B135" s="2" t="s">
        <v>939</v>
      </c>
      <c r="C135" s="2" t="s">
        <v>127</v>
      </c>
      <c r="D135" s="2" t="s">
        <v>122</v>
      </c>
      <c r="E135" s="2" t="s">
        <v>4647</v>
      </c>
      <c r="F135" s="2">
        <v>45</v>
      </c>
      <c r="G135" s="2">
        <v>45</v>
      </c>
      <c r="H135" s="2">
        <v>0</v>
      </c>
      <c r="I135" s="1">
        <v>0</v>
      </c>
      <c r="J135" s="26">
        <v>45626</v>
      </c>
      <c r="K135" s="22">
        <v>157500</v>
      </c>
      <c r="L135" s="18">
        <v>168.45</v>
      </c>
      <c r="M135" s="22">
        <v>112500</v>
      </c>
      <c r="N135" s="22">
        <v>45000</v>
      </c>
      <c r="O135" s="18">
        <v>48.13</v>
      </c>
      <c r="P135" s="52">
        <f>IF(COUNTIF(TblPurchases[BatchID],TblOutcomes[[#This Row],[BatchID]])&lt;&gt;1,"n.a.",TblOutcomes[[#This Row],[Qty Wasted]]*SUMIFS(TblPurchases[Unit Cost (CLP)],TblPurchases[BatchID],TblOutcomes[[#This Row],[BatchID]]))</f>
        <v>0</v>
      </c>
      <c r="Q135" s="51">
        <f>IF(COUNTIF(TblPurchases[BatchID],TblOutcomes[[#This Row],[BatchID]])&lt;&gt;1,"n.a.",SUMIFS(TblPurchases[Purchase Date],TblPurchases[BatchID],TblOutcomes[[#This Row],[BatchID]]))</f>
        <v>45616</v>
      </c>
    </row>
    <row r="136" spans="2:17" x14ac:dyDescent="0.25">
      <c r="B136" s="2" t="s">
        <v>940</v>
      </c>
      <c r="C136" s="2" t="s">
        <v>127</v>
      </c>
      <c r="D136" s="2" t="s">
        <v>122</v>
      </c>
      <c r="E136" s="2" t="s">
        <v>4647</v>
      </c>
      <c r="F136" s="2">
        <v>44</v>
      </c>
      <c r="G136" s="2">
        <v>44</v>
      </c>
      <c r="H136" s="2">
        <v>0</v>
      </c>
      <c r="I136" s="1">
        <v>0</v>
      </c>
      <c r="J136" s="26">
        <v>45639</v>
      </c>
      <c r="K136" s="22">
        <v>154000</v>
      </c>
      <c r="L136" s="18">
        <v>164.71</v>
      </c>
      <c r="M136" s="22">
        <v>118800</v>
      </c>
      <c r="N136" s="22">
        <v>35200</v>
      </c>
      <c r="O136" s="18">
        <v>37.65</v>
      </c>
      <c r="P136" s="52">
        <f>IF(COUNTIF(TblPurchases[BatchID],TblOutcomes[[#This Row],[BatchID]])&lt;&gt;1,"n.a.",TblOutcomes[[#This Row],[Qty Wasted]]*SUMIFS(TblPurchases[Unit Cost (CLP)],TblPurchases[BatchID],TblOutcomes[[#This Row],[BatchID]]))</f>
        <v>0</v>
      </c>
      <c r="Q136" s="51">
        <f>IF(COUNTIF(TblPurchases[BatchID],TblOutcomes[[#This Row],[BatchID]])&lt;&gt;1,"n.a.",SUMIFS(TblPurchases[Purchase Date],TblPurchases[BatchID],TblOutcomes[[#This Row],[BatchID]]))</f>
        <v>45626</v>
      </c>
    </row>
    <row r="137" spans="2:17" x14ac:dyDescent="0.25">
      <c r="B137" s="2" t="s">
        <v>941</v>
      </c>
      <c r="C137" s="2" t="s">
        <v>127</v>
      </c>
      <c r="D137" s="2" t="s">
        <v>122</v>
      </c>
      <c r="E137" s="2" t="s">
        <v>4647</v>
      </c>
      <c r="F137" s="2">
        <v>54</v>
      </c>
      <c r="G137" s="2">
        <v>54</v>
      </c>
      <c r="H137" s="2">
        <v>0</v>
      </c>
      <c r="I137" s="1">
        <v>0</v>
      </c>
      <c r="J137" s="26">
        <v>45642</v>
      </c>
      <c r="K137" s="22">
        <v>189000</v>
      </c>
      <c r="L137" s="18">
        <v>202.14</v>
      </c>
      <c r="M137" s="22">
        <v>135000</v>
      </c>
      <c r="N137" s="22">
        <v>54000</v>
      </c>
      <c r="O137" s="18">
        <v>57.75</v>
      </c>
      <c r="P137" s="52">
        <f>IF(COUNTIF(TblPurchases[BatchID],TblOutcomes[[#This Row],[BatchID]])&lt;&gt;1,"n.a.",TblOutcomes[[#This Row],[Qty Wasted]]*SUMIFS(TblPurchases[Unit Cost (CLP)],TblPurchases[BatchID],TblOutcomes[[#This Row],[BatchID]]))</f>
        <v>0</v>
      </c>
      <c r="Q137" s="51">
        <f>IF(COUNTIF(TblPurchases[BatchID],TblOutcomes[[#This Row],[BatchID]])&lt;&gt;1,"n.a.",SUMIFS(TblPurchases[Purchase Date],TblPurchases[BatchID],TblOutcomes[[#This Row],[BatchID]]))</f>
        <v>45634</v>
      </c>
    </row>
    <row r="138" spans="2:17" x14ac:dyDescent="0.25">
      <c r="B138" s="2" t="s">
        <v>942</v>
      </c>
      <c r="C138" s="2" t="s">
        <v>127</v>
      </c>
      <c r="D138" s="2" t="s">
        <v>122</v>
      </c>
      <c r="E138" s="2" t="s">
        <v>4647</v>
      </c>
      <c r="F138" s="2">
        <v>57</v>
      </c>
      <c r="G138" s="2">
        <v>57</v>
      </c>
      <c r="H138" s="2">
        <v>0</v>
      </c>
      <c r="I138" s="1">
        <v>0</v>
      </c>
      <c r="J138" s="26">
        <v>45651</v>
      </c>
      <c r="K138" s="22">
        <v>199500</v>
      </c>
      <c r="L138" s="18">
        <v>213.37</v>
      </c>
      <c r="M138" s="22">
        <v>142500</v>
      </c>
      <c r="N138" s="22">
        <v>57000</v>
      </c>
      <c r="O138" s="18">
        <v>60.96</v>
      </c>
      <c r="P138" s="52">
        <f>IF(COUNTIF(TblPurchases[BatchID],TblOutcomes[[#This Row],[BatchID]])&lt;&gt;1,"n.a.",TblOutcomes[[#This Row],[Qty Wasted]]*SUMIFS(TblPurchases[Unit Cost (CLP)],TblPurchases[BatchID],TblOutcomes[[#This Row],[BatchID]]))</f>
        <v>0</v>
      </c>
      <c r="Q138" s="51">
        <f>IF(COUNTIF(TblPurchases[BatchID],TblOutcomes[[#This Row],[BatchID]])&lt;&gt;1,"n.a.",SUMIFS(TblPurchases[Purchase Date],TblPurchases[BatchID],TblOutcomes[[#This Row],[BatchID]]))</f>
        <v>45642</v>
      </c>
    </row>
    <row r="139" spans="2:17" x14ac:dyDescent="0.25">
      <c r="B139" s="2" t="s">
        <v>943</v>
      </c>
      <c r="C139" s="2" t="s">
        <v>127</v>
      </c>
      <c r="D139" s="2" t="s">
        <v>122</v>
      </c>
      <c r="E139" s="2" t="s">
        <v>4647</v>
      </c>
      <c r="F139" s="2">
        <v>55</v>
      </c>
      <c r="G139" s="2">
        <v>55</v>
      </c>
      <c r="H139" s="2">
        <v>0</v>
      </c>
      <c r="I139" s="1">
        <v>0</v>
      </c>
      <c r="J139" s="26">
        <v>45657</v>
      </c>
      <c r="K139" s="22">
        <v>192500</v>
      </c>
      <c r="L139" s="18">
        <v>205.88</v>
      </c>
      <c r="M139" s="22">
        <v>137500</v>
      </c>
      <c r="N139" s="22">
        <v>55000</v>
      </c>
      <c r="O139" s="18">
        <v>58.82</v>
      </c>
      <c r="P139" s="52">
        <f>IF(COUNTIF(TblPurchases[BatchID],TblOutcomes[[#This Row],[BatchID]])&lt;&gt;1,"n.a.",TblOutcomes[[#This Row],[Qty Wasted]]*SUMIFS(TblPurchases[Unit Cost (CLP)],TblPurchases[BatchID],TblOutcomes[[#This Row],[BatchID]]))</f>
        <v>0</v>
      </c>
      <c r="Q139" s="51">
        <f>IF(COUNTIF(TblPurchases[BatchID],TblOutcomes[[#This Row],[BatchID]])&lt;&gt;1,"n.a.",SUMIFS(TblPurchases[Purchase Date],TblPurchases[BatchID],TblOutcomes[[#This Row],[BatchID]]))</f>
        <v>45651</v>
      </c>
    </row>
    <row r="140" spans="2:17" x14ac:dyDescent="0.25">
      <c r="B140" s="2" t="s">
        <v>944</v>
      </c>
      <c r="C140" s="2" t="s">
        <v>127</v>
      </c>
      <c r="D140" s="2" t="s">
        <v>122</v>
      </c>
      <c r="E140" s="2" t="s">
        <v>4647</v>
      </c>
      <c r="F140" s="2">
        <v>40</v>
      </c>
      <c r="G140" s="2">
        <v>40</v>
      </c>
      <c r="H140" s="2">
        <v>0</v>
      </c>
      <c r="I140" s="1">
        <v>0</v>
      </c>
      <c r="J140" s="26">
        <v>45666</v>
      </c>
      <c r="K140" s="22">
        <v>140000</v>
      </c>
      <c r="L140" s="18">
        <v>149.72999999999999</v>
      </c>
      <c r="M140" s="22">
        <v>100000</v>
      </c>
      <c r="N140" s="22">
        <v>40000</v>
      </c>
      <c r="O140" s="18">
        <v>42.78</v>
      </c>
      <c r="P140" s="52">
        <f>IF(COUNTIF(TblPurchases[BatchID],TblOutcomes[[#This Row],[BatchID]])&lt;&gt;1,"n.a.",TblOutcomes[[#This Row],[Qty Wasted]]*SUMIFS(TblPurchases[Unit Cost (CLP)],TblPurchases[BatchID],TblOutcomes[[#This Row],[BatchID]]))</f>
        <v>0</v>
      </c>
      <c r="Q140" s="51">
        <f>IF(COUNTIF(TblPurchases[BatchID],TblOutcomes[[#This Row],[BatchID]])&lt;&gt;1,"n.a.",SUMIFS(TblPurchases[Purchase Date],TblPurchases[BatchID],TblOutcomes[[#This Row],[BatchID]]))</f>
        <v>45659</v>
      </c>
    </row>
    <row r="141" spans="2:17" x14ac:dyDescent="0.25">
      <c r="B141" s="2" t="s">
        <v>945</v>
      </c>
      <c r="C141" s="2" t="s">
        <v>127</v>
      </c>
      <c r="D141" s="2" t="s">
        <v>122</v>
      </c>
      <c r="E141" s="2" t="s">
        <v>4647</v>
      </c>
      <c r="F141" s="2">
        <v>39</v>
      </c>
      <c r="G141" s="2">
        <v>39</v>
      </c>
      <c r="H141" s="2">
        <v>0</v>
      </c>
      <c r="I141" s="1">
        <v>0</v>
      </c>
      <c r="J141" s="26">
        <v>45676</v>
      </c>
      <c r="K141" s="22">
        <v>136500</v>
      </c>
      <c r="L141" s="18">
        <v>145.99</v>
      </c>
      <c r="M141" s="22">
        <v>97500</v>
      </c>
      <c r="N141" s="22">
        <v>39000</v>
      </c>
      <c r="O141" s="18">
        <v>41.71</v>
      </c>
      <c r="P141" s="52">
        <f>IF(COUNTIF(TblPurchases[BatchID],TblOutcomes[[#This Row],[BatchID]])&lt;&gt;1,"n.a.",TblOutcomes[[#This Row],[Qty Wasted]]*SUMIFS(TblPurchases[Unit Cost (CLP)],TblPurchases[BatchID],TblOutcomes[[#This Row],[BatchID]]))</f>
        <v>0</v>
      </c>
      <c r="Q141" s="51">
        <f>IF(COUNTIF(TblPurchases[BatchID],TblOutcomes[[#This Row],[BatchID]])&lt;&gt;1,"n.a.",SUMIFS(TblPurchases[Purchase Date],TblPurchases[BatchID],TblOutcomes[[#This Row],[BatchID]]))</f>
        <v>45668</v>
      </c>
    </row>
    <row r="142" spans="2:17" x14ac:dyDescent="0.25">
      <c r="B142" s="2" t="s">
        <v>946</v>
      </c>
      <c r="C142" s="2" t="s">
        <v>127</v>
      </c>
      <c r="D142" s="2" t="s">
        <v>122</v>
      </c>
      <c r="E142" s="2" t="s">
        <v>4647</v>
      </c>
      <c r="F142" s="2">
        <v>39</v>
      </c>
      <c r="G142" s="2">
        <v>39</v>
      </c>
      <c r="H142" s="2">
        <v>0</v>
      </c>
      <c r="I142" s="1">
        <v>0</v>
      </c>
      <c r="J142" s="26">
        <v>45680</v>
      </c>
      <c r="K142" s="22">
        <v>136500</v>
      </c>
      <c r="L142" s="18">
        <v>145.99</v>
      </c>
      <c r="M142" s="22">
        <v>97500</v>
      </c>
      <c r="N142" s="22">
        <v>39000</v>
      </c>
      <c r="O142" s="18">
        <v>41.71</v>
      </c>
      <c r="P142" s="52">
        <f>IF(COUNTIF(TblPurchases[BatchID],TblOutcomes[[#This Row],[BatchID]])&lt;&gt;1,"n.a.",TblOutcomes[[#This Row],[Qty Wasted]]*SUMIFS(TblPurchases[Unit Cost (CLP)],TblPurchases[BatchID],TblOutcomes[[#This Row],[BatchID]]))</f>
        <v>0</v>
      </c>
      <c r="Q142" s="51">
        <f>IF(COUNTIF(TblPurchases[BatchID],TblOutcomes[[#This Row],[BatchID]])&lt;&gt;1,"n.a.",SUMIFS(TblPurchases[Purchase Date],TblPurchases[BatchID],TblOutcomes[[#This Row],[BatchID]]))</f>
        <v>45677</v>
      </c>
    </row>
    <row r="143" spans="2:17" x14ac:dyDescent="0.25">
      <c r="B143" s="2" t="s">
        <v>947</v>
      </c>
      <c r="C143" s="2" t="s">
        <v>127</v>
      </c>
      <c r="D143" s="2" t="s">
        <v>122</v>
      </c>
      <c r="E143" s="2" t="s">
        <v>4647</v>
      </c>
      <c r="F143" s="2">
        <v>46</v>
      </c>
      <c r="G143" s="2">
        <v>46</v>
      </c>
      <c r="H143" s="2">
        <v>0</v>
      </c>
      <c r="I143" s="1">
        <v>0</v>
      </c>
      <c r="J143" s="26">
        <v>45691</v>
      </c>
      <c r="K143" s="22">
        <v>161000</v>
      </c>
      <c r="L143" s="18">
        <v>172.19</v>
      </c>
      <c r="M143" s="22">
        <v>115000</v>
      </c>
      <c r="N143" s="22">
        <v>46000</v>
      </c>
      <c r="O143" s="18">
        <v>49.2</v>
      </c>
      <c r="P143" s="52">
        <f>IF(COUNTIF(TblPurchases[BatchID],TblOutcomes[[#This Row],[BatchID]])&lt;&gt;1,"n.a.",TblOutcomes[[#This Row],[Qty Wasted]]*SUMIFS(TblPurchases[Unit Cost (CLP)],TblPurchases[BatchID],TblOutcomes[[#This Row],[BatchID]]))</f>
        <v>0</v>
      </c>
      <c r="Q143" s="51">
        <f>IF(COUNTIF(TblPurchases[BatchID],TblOutcomes[[#This Row],[BatchID]])&lt;&gt;1,"n.a.",SUMIFS(TblPurchases[Purchase Date],TblPurchases[BatchID],TblOutcomes[[#This Row],[BatchID]]))</f>
        <v>45688</v>
      </c>
    </row>
    <row r="144" spans="2:17" x14ac:dyDescent="0.25">
      <c r="B144" s="2" t="s">
        <v>948</v>
      </c>
      <c r="C144" s="2" t="s">
        <v>127</v>
      </c>
      <c r="D144" s="2" t="s">
        <v>122</v>
      </c>
      <c r="E144" s="2" t="s">
        <v>4647</v>
      </c>
      <c r="F144" s="2">
        <v>49</v>
      </c>
      <c r="G144" s="2">
        <v>49</v>
      </c>
      <c r="H144" s="2">
        <v>0</v>
      </c>
      <c r="I144" s="1">
        <v>0</v>
      </c>
      <c r="J144" s="26">
        <v>45706</v>
      </c>
      <c r="K144" s="22">
        <v>171500</v>
      </c>
      <c r="L144" s="18">
        <v>183.42</v>
      </c>
      <c r="M144" s="22">
        <v>122500</v>
      </c>
      <c r="N144" s="22">
        <v>49000</v>
      </c>
      <c r="O144" s="18">
        <v>52.41</v>
      </c>
      <c r="P144" s="52">
        <f>IF(COUNTIF(TblPurchases[BatchID],TblOutcomes[[#This Row],[BatchID]])&lt;&gt;1,"n.a.",TblOutcomes[[#This Row],[Qty Wasted]]*SUMIFS(TblPurchases[Unit Cost (CLP)],TblPurchases[BatchID],TblOutcomes[[#This Row],[BatchID]]))</f>
        <v>0</v>
      </c>
      <c r="Q144" s="51">
        <f>IF(COUNTIF(TblPurchases[BatchID],TblOutcomes[[#This Row],[BatchID]])&lt;&gt;1,"n.a.",SUMIFS(TblPurchases[Purchase Date],TblPurchases[BatchID],TblOutcomes[[#This Row],[BatchID]]))</f>
        <v>45699</v>
      </c>
    </row>
    <row r="145" spans="2:17" x14ac:dyDescent="0.25">
      <c r="B145" s="2" t="s">
        <v>949</v>
      </c>
      <c r="C145" s="2" t="s">
        <v>127</v>
      </c>
      <c r="D145" s="2" t="s">
        <v>122</v>
      </c>
      <c r="E145" s="2" t="s">
        <v>4647</v>
      </c>
      <c r="F145" s="2">
        <v>40</v>
      </c>
      <c r="G145" s="2">
        <v>40</v>
      </c>
      <c r="H145" s="2">
        <v>0</v>
      </c>
      <c r="I145" s="1">
        <v>0</v>
      </c>
      <c r="J145" s="26">
        <v>45715</v>
      </c>
      <c r="K145" s="22">
        <v>140000</v>
      </c>
      <c r="L145" s="18">
        <v>149.72999999999999</v>
      </c>
      <c r="M145" s="22">
        <v>100000</v>
      </c>
      <c r="N145" s="22">
        <v>40000</v>
      </c>
      <c r="O145" s="18">
        <v>42.78</v>
      </c>
      <c r="P145" s="52">
        <f>IF(COUNTIF(TblPurchases[BatchID],TblOutcomes[[#This Row],[BatchID]])&lt;&gt;1,"n.a.",TblOutcomes[[#This Row],[Qty Wasted]]*SUMIFS(TblPurchases[Unit Cost (CLP)],TblPurchases[BatchID],TblOutcomes[[#This Row],[BatchID]]))</f>
        <v>0</v>
      </c>
      <c r="Q145" s="51">
        <f>IF(COUNTIF(TblPurchases[BatchID],TblOutcomes[[#This Row],[BatchID]])&lt;&gt;1,"n.a.",SUMIFS(TblPurchases[Purchase Date],TblPurchases[BatchID],TblOutcomes[[#This Row],[BatchID]]))</f>
        <v>45710</v>
      </c>
    </row>
    <row r="146" spans="2:17" x14ac:dyDescent="0.25">
      <c r="B146" s="2" t="s">
        <v>950</v>
      </c>
      <c r="C146" s="2" t="s">
        <v>127</v>
      </c>
      <c r="D146" s="2" t="s">
        <v>122</v>
      </c>
      <c r="E146" s="2" t="s">
        <v>4647</v>
      </c>
      <c r="F146" s="2">
        <v>43</v>
      </c>
      <c r="G146" s="2">
        <v>43</v>
      </c>
      <c r="H146" s="2">
        <v>0</v>
      </c>
      <c r="I146" s="1">
        <v>0</v>
      </c>
      <c r="J146" s="26">
        <v>45726</v>
      </c>
      <c r="K146" s="22">
        <v>150500</v>
      </c>
      <c r="L146" s="18">
        <v>160.96</v>
      </c>
      <c r="M146" s="22">
        <v>107500</v>
      </c>
      <c r="N146" s="22">
        <v>43000</v>
      </c>
      <c r="O146" s="18">
        <v>45.99</v>
      </c>
      <c r="P146" s="52">
        <f>IF(COUNTIF(TblPurchases[BatchID],TblOutcomes[[#This Row],[BatchID]])&lt;&gt;1,"n.a.",TblOutcomes[[#This Row],[Qty Wasted]]*SUMIFS(TblPurchases[Unit Cost (CLP)],TblPurchases[BatchID],TblOutcomes[[#This Row],[BatchID]]))</f>
        <v>0</v>
      </c>
      <c r="Q146" s="51">
        <f>IF(COUNTIF(TblPurchases[BatchID],TblOutcomes[[#This Row],[BatchID]])&lt;&gt;1,"n.a.",SUMIFS(TblPurchases[Purchase Date],TblPurchases[BatchID],TblOutcomes[[#This Row],[BatchID]]))</f>
        <v>45722</v>
      </c>
    </row>
    <row r="147" spans="2:17" x14ac:dyDescent="0.25">
      <c r="B147" s="2" t="s">
        <v>951</v>
      </c>
      <c r="C147" s="2" t="s">
        <v>127</v>
      </c>
      <c r="D147" s="2" t="s">
        <v>122</v>
      </c>
      <c r="E147" s="2" t="s">
        <v>4647</v>
      </c>
      <c r="F147" s="2">
        <v>38</v>
      </c>
      <c r="G147" s="2">
        <v>38</v>
      </c>
      <c r="H147" s="2">
        <v>0</v>
      </c>
      <c r="I147" s="1">
        <v>0</v>
      </c>
      <c r="J147" s="26">
        <v>45740</v>
      </c>
      <c r="K147" s="22">
        <v>133000</v>
      </c>
      <c r="L147" s="18">
        <v>142.25</v>
      </c>
      <c r="M147" s="22">
        <v>95000</v>
      </c>
      <c r="N147" s="22">
        <v>38000</v>
      </c>
      <c r="O147" s="18">
        <v>40.64</v>
      </c>
      <c r="P147" s="52">
        <f>IF(COUNTIF(TblPurchases[BatchID],TblOutcomes[[#This Row],[BatchID]])&lt;&gt;1,"n.a.",TblOutcomes[[#This Row],[Qty Wasted]]*SUMIFS(TblPurchases[Unit Cost (CLP)],TblPurchases[BatchID],TblOutcomes[[#This Row],[BatchID]]))</f>
        <v>0</v>
      </c>
      <c r="Q147" s="51">
        <f>IF(COUNTIF(TblPurchases[BatchID],TblOutcomes[[#This Row],[BatchID]])&lt;&gt;1,"n.a.",SUMIFS(TblPurchases[Purchase Date],TblPurchases[BatchID],TblOutcomes[[#This Row],[BatchID]]))</f>
        <v>45732</v>
      </c>
    </row>
    <row r="148" spans="2:17" x14ac:dyDescent="0.25">
      <c r="B148" s="2" t="s">
        <v>952</v>
      </c>
      <c r="C148" s="2" t="s">
        <v>127</v>
      </c>
      <c r="D148" s="2" t="s">
        <v>122</v>
      </c>
      <c r="E148" s="2" t="s">
        <v>4646</v>
      </c>
      <c r="F148" s="2">
        <v>43</v>
      </c>
      <c r="G148" s="2">
        <v>37.15</v>
      </c>
      <c r="H148" s="2">
        <v>5.85</v>
      </c>
      <c r="I148" s="1">
        <v>13.6</v>
      </c>
      <c r="J148" s="26">
        <v>45786</v>
      </c>
      <c r="K148" s="22">
        <v>130025</v>
      </c>
      <c r="L148" s="18">
        <v>139.06</v>
      </c>
      <c r="M148" s="22">
        <v>107500</v>
      </c>
      <c r="N148" s="22">
        <v>22525</v>
      </c>
      <c r="O148" s="18">
        <v>24.09</v>
      </c>
      <c r="P148" s="52">
        <f>IF(COUNTIF(TblPurchases[BatchID],TblOutcomes[[#This Row],[BatchID]])&lt;&gt;1,"n.a.",TblOutcomes[[#This Row],[Qty Wasted]]*SUMIFS(TblPurchases[Unit Cost (CLP)],TblPurchases[BatchID],TblOutcomes[[#This Row],[BatchID]]))</f>
        <v>14625</v>
      </c>
      <c r="Q148" s="51">
        <f>IF(COUNTIF(TblPurchases[BatchID],TblOutcomes[[#This Row],[BatchID]])&lt;&gt;1,"n.a.",SUMIFS(TblPurchases[Purchase Date],TblPurchases[BatchID],TblOutcomes[[#This Row],[BatchID]]))</f>
        <v>45741</v>
      </c>
    </row>
    <row r="149" spans="2:17" x14ac:dyDescent="0.25">
      <c r="B149" s="2" t="s">
        <v>953</v>
      </c>
      <c r="C149" s="2" t="s">
        <v>127</v>
      </c>
      <c r="D149" s="2" t="s">
        <v>122</v>
      </c>
      <c r="E149" s="2" t="s">
        <v>4646</v>
      </c>
      <c r="F149" s="2">
        <v>16</v>
      </c>
      <c r="G149" s="2">
        <v>12.11</v>
      </c>
      <c r="H149" s="2">
        <v>3.89</v>
      </c>
      <c r="I149" s="1">
        <v>24.3</v>
      </c>
      <c r="J149" s="26">
        <v>45796</v>
      </c>
      <c r="K149" s="22">
        <v>42385</v>
      </c>
      <c r="L149" s="18">
        <v>45.33</v>
      </c>
      <c r="M149" s="22">
        <v>40000</v>
      </c>
      <c r="N149" s="22">
        <v>2385</v>
      </c>
      <c r="O149" s="18">
        <v>2.5499999999999998</v>
      </c>
      <c r="P149" s="52">
        <f>IF(COUNTIF(TblPurchases[BatchID],TblOutcomes[[#This Row],[BatchID]])&lt;&gt;1,"n.a.",TblOutcomes[[#This Row],[Qty Wasted]]*SUMIFS(TblPurchases[Unit Cost (CLP)],TblPurchases[BatchID],TblOutcomes[[#This Row],[BatchID]]))</f>
        <v>9725</v>
      </c>
      <c r="Q149" s="51">
        <f>IF(COUNTIF(TblPurchases[BatchID],TblOutcomes[[#This Row],[BatchID]])&lt;&gt;1,"n.a.",SUMIFS(TblPurchases[Purchase Date],TblPurchases[BatchID],TblOutcomes[[#This Row],[BatchID]]))</f>
        <v>45751</v>
      </c>
    </row>
    <row r="150" spans="2:17" x14ac:dyDescent="0.25">
      <c r="B150" s="2" t="s">
        <v>954</v>
      </c>
      <c r="C150" s="2" t="s">
        <v>127</v>
      </c>
      <c r="D150" s="2" t="s">
        <v>122</v>
      </c>
      <c r="E150" s="2" t="s">
        <v>4647</v>
      </c>
      <c r="F150" s="2">
        <v>14</v>
      </c>
      <c r="G150" s="2">
        <v>14</v>
      </c>
      <c r="H150" s="2">
        <v>0</v>
      </c>
      <c r="I150" s="1">
        <v>0</v>
      </c>
      <c r="J150" s="26">
        <v>45764</v>
      </c>
      <c r="K150" s="22">
        <v>49000</v>
      </c>
      <c r="L150" s="18">
        <v>52.41</v>
      </c>
      <c r="M150" s="22">
        <v>37800</v>
      </c>
      <c r="N150" s="22">
        <v>11200</v>
      </c>
      <c r="O150" s="18">
        <v>11.98</v>
      </c>
      <c r="P150" s="52">
        <f>IF(COUNTIF(TblPurchases[BatchID],TblOutcomes[[#This Row],[BatchID]])&lt;&gt;1,"n.a.",TblOutcomes[[#This Row],[Qty Wasted]]*SUMIFS(TblPurchases[Unit Cost (CLP)],TblPurchases[BatchID],TblOutcomes[[#This Row],[BatchID]]))</f>
        <v>0</v>
      </c>
      <c r="Q150" s="51">
        <f>IF(COUNTIF(TblPurchases[BatchID],TblOutcomes[[#This Row],[BatchID]])&lt;&gt;1,"n.a.",SUMIFS(TblPurchases[Purchase Date],TblPurchases[BatchID],TblOutcomes[[#This Row],[BatchID]]))</f>
        <v>45758</v>
      </c>
    </row>
    <row r="151" spans="2:17" x14ac:dyDescent="0.25">
      <c r="B151" s="2" t="s">
        <v>955</v>
      </c>
      <c r="C151" s="2" t="s">
        <v>127</v>
      </c>
      <c r="D151" s="2" t="s">
        <v>122</v>
      </c>
      <c r="E151" s="2" t="s">
        <v>4647</v>
      </c>
      <c r="F151" s="2">
        <v>16</v>
      </c>
      <c r="G151" s="2">
        <v>16</v>
      </c>
      <c r="H151" s="2">
        <v>0</v>
      </c>
      <c r="I151" s="1">
        <v>0</v>
      </c>
      <c r="J151" s="26">
        <v>45773</v>
      </c>
      <c r="K151" s="22">
        <v>56000</v>
      </c>
      <c r="L151" s="18">
        <v>59.89</v>
      </c>
      <c r="M151" s="22">
        <v>40000</v>
      </c>
      <c r="N151" s="22">
        <v>16000</v>
      </c>
      <c r="O151" s="18">
        <v>17.11</v>
      </c>
      <c r="P151" s="52">
        <f>IF(COUNTIF(TblPurchases[BatchID],TblOutcomes[[#This Row],[BatchID]])&lt;&gt;1,"n.a.",TblOutcomes[[#This Row],[Qty Wasted]]*SUMIFS(TblPurchases[Unit Cost (CLP)],TblPurchases[BatchID],TblOutcomes[[#This Row],[BatchID]]))</f>
        <v>0</v>
      </c>
      <c r="Q151" s="51">
        <f>IF(COUNTIF(TblPurchases[BatchID],TblOutcomes[[#This Row],[BatchID]])&lt;&gt;1,"n.a.",SUMIFS(TblPurchases[Purchase Date],TblPurchases[BatchID],TblOutcomes[[#This Row],[BatchID]]))</f>
        <v>45765</v>
      </c>
    </row>
    <row r="152" spans="2:17" x14ac:dyDescent="0.25">
      <c r="B152" s="2" t="s">
        <v>956</v>
      </c>
      <c r="C152" s="2" t="s">
        <v>127</v>
      </c>
      <c r="D152" s="2" t="s">
        <v>122</v>
      </c>
      <c r="E152" s="2" t="s">
        <v>4647</v>
      </c>
      <c r="F152" s="2">
        <v>17</v>
      </c>
      <c r="G152" s="2">
        <v>17</v>
      </c>
      <c r="H152" s="2">
        <v>0</v>
      </c>
      <c r="I152" s="1">
        <v>0</v>
      </c>
      <c r="J152" s="26">
        <v>45782</v>
      </c>
      <c r="K152" s="22">
        <v>59500</v>
      </c>
      <c r="L152" s="18">
        <v>63.64</v>
      </c>
      <c r="M152" s="22">
        <v>42500</v>
      </c>
      <c r="N152" s="22">
        <v>17000</v>
      </c>
      <c r="O152" s="18">
        <v>18.18</v>
      </c>
      <c r="P152" s="52">
        <f>IF(COUNTIF(TblPurchases[BatchID],TblOutcomes[[#This Row],[BatchID]])&lt;&gt;1,"n.a.",TblOutcomes[[#This Row],[Qty Wasted]]*SUMIFS(TblPurchases[Unit Cost (CLP)],TblPurchases[BatchID],TblOutcomes[[#This Row],[BatchID]]))</f>
        <v>0</v>
      </c>
      <c r="Q152" s="51">
        <f>IF(COUNTIF(TblPurchases[BatchID],TblOutcomes[[#This Row],[BatchID]])&lt;&gt;1,"n.a.",SUMIFS(TblPurchases[Purchase Date],TblPurchases[BatchID],TblOutcomes[[#This Row],[BatchID]]))</f>
        <v>45777</v>
      </c>
    </row>
    <row r="153" spans="2:17" x14ac:dyDescent="0.25">
      <c r="B153" s="2" t="s">
        <v>957</v>
      </c>
      <c r="C153" s="2" t="s">
        <v>127</v>
      </c>
      <c r="D153" s="2" t="s">
        <v>122</v>
      </c>
      <c r="E153" s="2" t="s">
        <v>4647</v>
      </c>
      <c r="F153" s="2">
        <v>15</v>
      </c>
      <c r="G153" s="2">
        <v>15</v>
      </c>
      <c r="H153" s="2">
        <v>0</v>
      </c>
      <c r="I153" s="1">
        <v>0</v>
      </c>
      <c r="J153" s="26">
        <v>45797</v>
      </c>
      <c r="K153" s="22">
        <v>52500</v>
      </c>
      <c r="L153" s="18">
        <v>56.15</v>
      </c>
      <c r="M153" s="22">
        <v>40500</v>
      </c>
      <c r="N153" s="22">
        <v>12000</v>
      </c>
      <c r="O153" s="18">
        <v>12.83</v>
      </c>
      <c r="P153" s="52">
        <f>IF(COUNTIF(TblPurchases[BatchID],TblOutcomes[[#This Row],[BatchID]])&lt;&gt;1,"n.a.",TblOutcomes[[#This Row],[Qty Wasted]]*SUMIFS(TblPurchases[Unit Cost (CLP)],TblPurchases[BatchID],TblOutcomes[[#This Row],[BatchID]]))</f>
        <v>0</v>
      </c>
      <c r="Q153" s="51">
        <f>IF(COUNTIF(TblPurchases[BatchID],TblOutcomes[[#This Row],[BatchID]])&lt;&gt;1,"n.a.",SUMIFS(TblPurchases[Purchase Date],TblPurchases[BatchID],TblOutcomes[[#This Row],[BatchID]]))</f>
        <v>45789</v>
      </c>
    </row>
    <row r="154" spans="2:17" x14ac:dyDescent="0.25">
      <c r="B154" s="2" t="s">
        <v>958</v>
      </c>
      <c r="C154" s="2" t="s">
        <v>127</v>
      </c>
      <c r="D154" s="2" t="s">
        <v>122</v>
      </c>
      <c r="E154" s="2" t="s">
        <v>4647</v>
      </c>
      <c r="F154" s="2">
        <v>19</v>
      </c>
      <c r="G154" s="2">
        <v>19</v>
      </c>
      <c r="H154" s="2">
        <v>0</v>
      </c>
      <c r="I154" s="1">
        <v>0</v>
      </c>
      <c r="J154" s="26">
        <v>45809</v>
      </c>
      <c r="K154" s="22">
        <v>66500</v>
      </c>
      <c r="L154" s="18">
        <v>71.12</v>
      </c>
      <c r="M154" s="22">
        <v>47500</v>
      </c>
      <c r="N154" s="22">
        <v>19000</v>
      </c>
      <c r="O154" s="18">
        <v>20.32</v>
      </c>
      <c r="P154" s="52">
        <f>IF(COUNTIF(TblPurchases[BatchID],TblOutcomes[[#This Row],[BatchID]])&lt;&gt;1,"n.a.",TblOutcomes[[#This Row],[Qty Wasted]]*SUMIFS(TblPurchases[Unit Cost (CLP)],TblPurchases[BatchID],TblOutcomes[[#This Row],[BatchID]]))</f>
        <v>0</v>
      </c>
      <c r="Q154" s="51">
        <f>IF(COUNTIF(TblPurchases[BatchID],TblOutcomes[[#This Row],[BatchID]])&lt;&gt;1,"n.a.",SUMIFS(TblPurchases[Purchase Date],TblPurchases[BatchID],TblOutcomes[[#This Row],[BatchID]]))</f>
        <v>45799</v>
      </c>
    </row>
    <row r="155" spans="2:17" x14ac:dyDescent="0.25">
      <c r="B155" s="2" t="s">
        <v>959</v>
      </c>
      <c r="C155" s="2" t="s">
        <v>127</v>
      </c>
      <c r="D155" s="2" t="s">
        <v>122</v>
      </c>
      <c r="E155" s="2" t="s">
        <v>4646</v>
      </c>
      <c r="F155" s="2">
        <v>18</v>
      </c>
      <c r="G155" s="2">
        <v>14.24</v>
      </c>
      <c r="H155" s="2">
        <v>3.76</v>
      </c>
      <c r="I155" s="1">
        <v>20.9</v>
      </c>
      <c r="J155" s="26">
        <v>45854</v>
      </c>
      <c r="K155" s="22">
        <v>49840</v>
      </c>
      <c r="L155" s="18">
        <v>53.3</v>
      </c>
      <c r="M155" s="22">
        <v>48600</v>
      </c>
      <c r="N155" s="22">
        <v>1240</v>
      </c>
      <c r="O155" s="18">
        <v>1.33</v>
      </c>
      <c r="P155" s="52">
        <f>IF(COUNTIF(TblPurchases[BatchID],TblOutcomes[[#This Row],[BatchID]])&lt;&gt;1,"n.a.",TblOutcomes[[#This Row],[Qty Wasted]]*SUMIFS(TblPurchases[Unit Cost (CLP)],TblPurchases[BatchID],TblOutcomes[[#This Row],[BatchID]]))</f>
        <v>10152</v>
      </c>
      <c r="Q155" s="51">
        <f>IF(COUNTIF(TblPurchases[BatchID],TblOutcomes[[#This Row],[BatchID]])&lt;&gt;1,"n.a.",SUMIFS(TblPurchases[Purchase Date],TblPurchases[BatchID],TblOutcomes[[#This Row],[BatchID]]))</f>
        <v>45809</v>
      </c>
    </row>
    <row r="156" spans="2:17" x14ac:dyDescent="0.25">
      <c r="B156" s="2" t="s">
        <v>960</v>
      </c>
      <c r="C156" s="2" t="s">
        <v>127</v>
      </c>
      <c r="D156" s="2" t="s">
        <v>122</v>
      </c>
      <c r="E156" s="2" t="s">
        <v>4647</v>
      </c>
      <c r="F156" s="2">
        <v>18</v>
      </c>
      <c r="G156" s="2">
        <v>18</v>
      </c>
      <c r="H156" s="2">
        <v>0</v>
      </c>
      <c r="I156" s="1">
        <v>0</v>
      </c>
      <c r="J156" s="26">
        <v>45824</v>
      </c>
      <c r="K156" s="22">
        <v>63000</v>
      </c>
      <c r="L156" s="18">
        <v>67.38</v>
      </c>
      <c r="M156" s="22">
        <v>45000</v>
      </c>
      <c r="N156" s="22">
        <v>18000</v>
      </c>
      <c r="O156" s="18">
        <v>19.25</v>
      </c>
      <c r="P156" s="52">
        <f>IF(COUNTIF(TblPurchases[BatchID],TblOutcomes[[#This Row],[BatchID]])&lt;&gt;1,"n.a.",TblOutcomes[[#This Row],[Qty Wasted]]*SUMIFS(TblPurchases[Unit Cost (CLP)],TblPurchases[BatchID],TblOutcomes[[#This Row],[BatchID]]))</f>
        <v>0</v>
      </c>
      <c r="Q156" s="51">
        <f>IF(COUNTIF(TblPurchases[BatchID],TblOutcomes[[#This Row],[BatchID]])&lt;&gt;1,"n.a.",SUMIFS(TblPurchases[Purchase Date],TblPurchases[BatchID],TblOutcomes[[#This Row],[BatchID]]))</f>
        <v>45819</v>
      </c>
    </row>
    <row r="157" spans="2:17" x14ac:dyDescent="0.25">
      <c r="B157" s="2" t="s">
        <v>961</v>
      </c>
      <c r="C157" s="2" t="s">
        <v>127</v>
      </c>
      <c r="D157" s="2" t="s">
        <v>122</v>
      </c>
      <c r="E157" s="2" t="s">
        <v>4646</v>
      </c>
      <c r="F157" s="2">
        <v>18</v>
      </c>
      <c r="G157" s="2">
        <v>13.64</v>
      </c>
      <c r="H157" s="2">
        <v>4.3600000000000003</v>
      </c>
      <c r="I157" s="1">
        <v>24.2</v>
      </c>
      <c r="J157" s="26">
        <v>45873</v>
      </c>
      <c r="K157" s="22">
        <v>47740</v>
      </c>
      <c r="L157" s="18">
        <v>51.06</v>
      </c>
      <c r="M157" s="22">
        <v>45000</v>
      </c>
      <c r="N157" s="22">
        <v>2740</v>
      </c>
      <c r="O157" s="18">
        <v>2.93</v>
      </c>
      <c r="P157" s="52">
        <f>IF(COUNTIF(TblPurchases[BatchID],TblOutcomes[[#This Row],[BatchID]])&lt;&gt;1,"n.a.",TblOutcomes[[#This Row],[Qty Wasted]]*SUMIFS(TblPurchases[Unit Cost (CLP)],TblPurchases[BatchID],TblOutcomes[[#This Row],[BatchID]]))</f>
        <v>10900</v>
      </c>
      <c r="Q157" s="51">
        <f>IF(COUNTIF(TblPurchases[BatchID],TblOutcomes[[#This Row],[BatchID]])&lt;&gt;1,"n.a.",SUMIFS(TblPurchases[Purchase Date],TblPurchases[BatchID],TblOutcomes[[#This Row],[BatchID]]))</f>
        <v>45828</v>
      </c>
    </row>
    <row r="158" spans="2:17" x14ac:dyDescent="0.25">
      <c r="B158" s="2" t="s">
        <v>962</v>
      </c>
      <c r="C158" s="2" t="s">
        <v>127</v>
      </c>
      <c r="D158" s="2" t="s">
        <v>122</v>
      </c>
      <c r="E158" s="2" t="s">
        <v>4647</v>
      </c>
      <c r="F158" s="2">
        <v>15</v>
      </c>
      <c r="G158" s="2">
        <v>15</v>
      </c>
      <c r="H158" s="2">
        <v>0</v>
      </c>
      <c r="I158" s="1">
        <v>0</v>
      </c>
      <c r="J158" s="26">
        <v>45844</v>
      </c>
      <c r="K158" s="22">
        <v>52500</v>
      </c>
      <c r="L158" s="18">
        <v>56.15</v>
      </c>
      <c r="M158" s="22">
        <v>37500</v>
      </c>
      <c r="N158" s="22">
        <v>15000</v>
      </c>
      <c r="O158" s="18">
        <v>16.04</v>
      </c>
      <c r="P158" s="52">
        <f>IF(COUNTIF(TblPurchases[BatchID],TblOutcomes[[#This Row],[BatchID]])&lt;&gt;1,"n.a.",TblOutcomes[[#This Row],[Qty Wasted]]*SUMIFS(TblPurchases[Unit Cost (CLP)],TblPurchases[BatchID],TblOutcomes[[#This Row],[BatchID]]))</f>
        <v>0</v>
      </c>
      <c r="Q158" s="51">
        <f>IF(COUNTIF(TblPurchases[BatchID],TblOutcomes[[#This Row],[BatchID]])&lt;&gt;1,"n.a.",SUMIFS(TblPurchases[Purchase Date],TblPurchases[BatchID],TblOutcomes[[#This Row],[BatchID]]))</f>
        <v>45837</v>
      </c>
    </row>
    <row r="159" spans="2:17" x14ac:dyDescent="0.25">
      <c r="B159" s="2" t="s">
        <v>963</v>
      </c>
      <c r="C159" s="2" t="s">
        <v>130</v>
      </c>
      <c r="D159" s="2" t="s">
        <v>122</v>
      </c>
      <c r="E159" s="2" t="s">
        <v>4647</v>
      </c>
      <c r="F159" s="2">
        <v>17</v>
      </c>
      <c r="G159" s="2">
        <v>17</v>
      </c>
      <c r="H159" s="2">
        <v>0</v>
      </c>
      <c r="I159" s="1">
        <v>0</v>
      </c>
      <c r="J159" s="26">
        <v>45118</v>
      </c>
      <c r="K159" s="22">
        <v>59500</v>
      </c>
      <c r="L159" s="18">
        <v>63.64</v>
      </c>
      <c r="M159" s="22">
        <v>41650</v>
      </c>
      <c r="N159" s="22">
        <v>17850</v>
      </c>
      <c r="O159" s="18">
        <v>19.09</v>
      </c>
      <c r="P159" s="52">
        <f>IF(COUNTIF(TblPurchases[BatchID],TblOutcomes[[#This Row],[BatchID]])&lt;&gt;1,"n.a.",TblOutcomes[[#This Row],[Qty Wasted]]*SUMIFS(TblPurchases[Unit Cost (CLP)],TblPurchases[BatchID],TblOutcomes[[#This Row],[BatchID]]))</f>
        <v>0</v>
      </c>
      <c r="Q159" s="51">
        <f>IF(COUNTIF(TblPurchases[BatchID],TblOutcomes[[#This Row],[BatchID]])&lt;&gt;1,"n.a.",SUMIFS(TblPurchases[Purchase Date],TblPurchases[BatchID],TblOutcomes[[#This Row],[BatchID]]))</f>
        <v>45109</v>
      </c>
    </row>
    <row r="160" spans="2:17" x14ac:dyDescent="0.25">
      <c r="B160" s="2" t="s">
        <v>964</v>
      </c>
      <c r="C160" s="2" t="s">
        <v>130</v>
      </c>
      <c r="D160" s="2" t="s">
        <v>122</v>
      </c>
      <c r="E160" s="2" t="s">
        <v>4646</v>
      </c>
      <c r="F160" s="2">
        <v>15</v>
      </c>
      <c r="G160" s="2">
        <v>11.66</v>
      </c>
      <c r="H160" s="2">
        <v>3.35</v>
      </c>
      <c r="I160" s="1">
        <v>22.3</v>
      </c>
      <c r="J160" s="26">
        <v>45164</v>
      </c>
      <c r="K160" s="22">
        <v>40810</v>
      </c>
      <c r="L160" s="18">
        <v>43.65</v>
      </c>
      <c r="M160" s="22">
        <v>36750</v>
      </c>
      <c r="N160" s="22">
        <v>4060</v>
      </c>
      <c r="O160" s="18">
        <v>4.34</v>
      </c>
      <c r="P160" s="52">
        <f>IF(COUNTIF(TblPurchases[BatchID],TblOutcomes[[#This Row],[BatchID]])&lt;&gt;1,"n.a.",TblOutcomes[[#This Row],[Qty Wasted]]*SUMIFS(TblPurchases[Unit Cost (CLP)],TblPurchases[BatchID],TblOutcomes[[#This Row],[BatchID]]))</f>
        <v>8207.5</v>
      </c>
      <c r="Q160" s="51">
        <f>IF(COUNTIF(TblPurchases[BatchID],TblOutcomes[[#This Row],[BatchID]])&lt;&gt;1,"n.a.",SUMIFS(TblPurchases[Purchase Date],TblPurchases[BatchID],TblOutcomes[[#This Row],[BatchID]]))</f>
        <v>45119</v>
      </c>
    </row>
    <row r="161" spans="2:17" x14ac:dyDescent="0.25">
      <c r="B161" s="2" t="s">
        <v>965</v>
      </c>
      <c r="C161" s="2" t="s">
        <v>130</v>
      </c>
      <c r="D161" s="2" t="s">
        <v>122</v>
      </c>
      <c r="E161" s="2" t="s">
        <v>4646</v>
      </c>
      <c r="F161" s="2">
        <v>15</v>
      </c>
      <c r="G161" s="2">
        <v>12.67</v>
      </c>
      <c r="H161" s="2">
        <v>2.33</v>
      </c>
      <c r="I161" s="1">
        <v>15.5</v>
      </c>
      <c r="J161" s="26">
        <v>45172</v>
      </c>
      <c r="K161" s="22">
        <v>44345</v>
      </c>
      <c r="L161" s="18">
        <v>47.43</v>
      </c>
      <c r="M161" s="22">
        <v>36750</v>
      </c>
      <c r="N161" s="22">
        <v>7595</v>
      </c>
      <c r="O161" s="18">
        <v>8.1199999999999992</v>
      </c>
      <c r="P161" s="52">
        <f>IF(COUNTIF(TblPurchases[BatchID],TblOutcomes[[#This Row],[BatchID]])&lt;&gt;1,"n.a.",TblOutcomes[[#This Row],[Qty Wasted]]*SUMIFS(TblPurchases[Unit Cost (CLP)],TblPurchases[BatchID],TblOutcomes[[#This Row],[BatchID]]))</f>
        <v>5708.5</v>
      </c>
      <c r="Q161" s="51">
        <f>IF(COUNTIF(TblPurchases[BatchID],TblOutcomes[[#This Row],[BatchID]])&lt;&gt;1,"n.a.",SUMIFS(TblPurchases[Purchase Date],TblPurchases[BatchID],TblOutcomes[[#This Row],[BatchID]]))</f>
        <v>45127</v>
      </c>
    </row>
    <row r="162" spans="2:17" x14ac:dyDescent="0.25">
      <c r="B162" s="2" t="s">
        <v>966</v>
      </c>
      <c r="C162" s="2" t="s">
        <v>130</v>
      </c>
      <c r="D162" s="2" t="s">
        <v>122</v>
      </c>
      <c r="E162" s="2" t="s">
        <v>4647</v>
      </c>
      <c r="F162" s="2">
        <v>13</v>
      </c>
      <c r="G162" s="2">
        <v>13</v>
      </c>
      <c r="H162" s="2">
        <v>0</v>
      </c>
      <c r="I162" s="1">
        <v>0</v>
      </c>
      <c r="J162" s="26">
        <v>45146</v>
      </c>
      <c r="K162" s="22">
        <v>45500</v>
      </c>
      <c r="L162" s="18">
        <v>48.66</v>
      </c>
      <c r="M162" s="22">
        <v>31850</v>
      </c>
      <c r="N162" s="22">
        <v>13650</v>
      </c>
      <c r="O162" s="18">
        <v>14.6</v>
      </c>
      <c r="P162" s="52">
        <f>IF(COUNTIF(TblPurchases[BatchID],TblOutcomes[[#This Row],[BatchID]])&lt;&gt;1,"n.a.",TblOutcomes[[#This Row],[Qty Wasted]]*SUMIFS(TblPurchases[Unit Cost (CLP)],TblPurchases[BatchID],TblOutcomes[[#This Row],[BatchID]]))</f>
        <v>0</v>
      </c>
      <c r="Q162" s="51">
        <f>IF(COUNTIF(TblPurchases[BatchID],TblOutcomes[[#This Row],[BatchID]])&lt;&gt;1,"n.a.",SUMIFS(TblPurchases[Purchase Date],TblPurchases[BatchID],TblOutcomes[[#This Row],[BatchID]]))</f>
        <v>45136</v>
      </c>
    </row>
    <row r="163" spans="2:17" x14ac:dyDescent="0.25">
      <c r="B163" s="2" t="s">
        <v>967</v>
      </c>
      <c r="C163" s="2" t="s">
        <v>130</v>
      </c>
      <c r="D163" s="2" t="s">
        <v>122</v>
      </c>
      <c r="E163" s="2" t="s">
        <v>4646</v>
      </c>
      <c r="F163" s="2">
        <v>15</v>
      </c>
      <c r="G163" s="2">
        <v>12.42</v>
      </c>
      <c r="H163" s="2">
        <v>2.58</v>
      </c>
      <c r="I163" s="1">
        <v>17.2</v>
      </c>
      <c r="J163" s="26">
        <v>45190</v>
      </c>
      <c r="K163" s="22">
        <v>43470</v>
      </c>
      <c r="L163" s="18">
        <v>46.49</v>
      </c>
      <c r="M163" s="22">
        <v>36750</v>
      </c>
      <c r="N163" s="22">
        <v>6720</v>
      </c>
      <c r="O163" s="18">
        <v>7.19</v>
      </c>
      <c r="P163" s="52">
        <f>IF(COUNTIF(TblPurchases[BatchID],TblOutcomes[[#This Row],[BatchID]])&lt;&gt;1,"n.a.",TblOutcomes[[#This Row],[Qty Wasted]]*SUMIFS(TblPurchases[Unit Cost (CLP)],TblPurchases[BatchID],TblOutcomes[[#This Row],[BatchID]]))</f>
        <v>6321</v>
      </c>
      <c r="Q163" s="51">
        <f>IF(COUNTIF(TblPurchases[BatchID],TblOutcomes[[#This Row],[BatchID]])&lt;&gt;1,"n.a.",SUMIFS(TblPurchases[Purchase Date],TblPurchases[BatchID],TblOutcomes[[#This Row],[BatchID]]))</f>
        <v>45145</v>
      </c>
    </row>
    <row r="164" spans="2:17" x14ac:dyDescent="0.25">
      <c r="B164" s="2" t="s">
        <v>968</v>
      </c>
      <c r="C164" s="2" t="s">
        <v>130</v>
      </c>
      <c r="D164" s="2" t="s">
        <v>122</v>
      </c>
      <c r="E164" s="2" t="s">
        <v>4646</v>
      </c>
      <c r="F164" s="2">
        <v>16</v>
      </c>
      <c r="G164" s="2">
        <v>13.26</v>
      </c>
      <c r="H164" s="2">
        <v>2.74</v>
      </c>
      <c r="I164" s="1">
        <v>17.100000000000001</v>
      </c>
      <c r="J164" s="26">
        <v>45198</v>
      </c>
      <c r="K164" s="22">
        <v>46410</v>
      </c>
      <c r="L164" s="18">
        <v>49.64</v>
      </c>
      <c r="M164" s="22">
        <v>39200</v>
      </c>
      <c r="N164" s="22">
        <v>7210</v>
      </c>
      <c r="O164" s="18">
        <v>7.71</v>
      </c>
      <c r="P164" s="52">
        <f>IF(COUNTIF(TblPurchases[BatchID],TblOutcomes[[#This Row],[BatchID]])&lt;&gt;1,"n.a.",TblOutcomes[[#This Row],[Qty Wasted]]*SUMIFS(TblPurchases[Unit Cost (CLP)],TblPurchases[BatchID],TblOutcomes[[#This Row],[BatchID]]))</f>
        <v>6713.0000000000009</v>
      </c>
      <c r="Q164" s="51">
        <f>IF(COUNTIF(TblPurchases[BatchID],TblOutcomes[[#This Row],[BatchID]])&lt;&gt;1,"n.a.",SUMIFS(TblPurchases[Purchase Date],TblPurchases[BatchID],TblOutcomes[[#This Row],[BatchID]]))</f>
        <v>45153</v>
      </c>
    </row>
    <row r="165" spans="2:17" x14ac:dyDescent="0.25">
      <c r="B165" s="2" t="s">
        <v>969</v>
      </c>
      <c r="C165" s="2" t="s">
        <v>130</v>
      </c>
      <c r="D165" s="2" t="s">
        <v>122</v>
      </c>
      <c r="E165" s="2" t="s">
        <v>4647</v>
      </c>
      <c r="F165" s="2">
        <v>15</v>
      </c>
      <c r="G165" s="2">
        <v>15</v>
      </c>
      <c r="H165" s="2">
        <v>0</v>
      </c>
      <c r="I165" s="1">
        <v>0</v>
      </c>
      <c r="J165" s="26">
        <v>45171</v>
      </c>
      <c r="K165" s="22">
        <v>52500</v>
      </c>
      <c r="L165" s="18">
        <v>56.15</v>
      </c>
      <c r="M165" s="22">
        <v>36750</v>
      </c>
      <c r="N165" s="22">
        <v>15750</v>
      </c>
      <c r="O165" s="18">
        <v>16.84</v>
      </c>
      <c r="P165" s="52">
        <f>IF(COUNTIF(TblPurchases[BatchID],TblOutcomes[[#This Row],[BatchID]])&lt;&gt;1,"n.a.",TblOutcomes[[#This Row],[Qty Wasted]]*SUMIFS(TblPurchases[Unit Cost (CLP)],TblPurchases[BatchID],TblOutcomes[[#This Row],[BatchID]]))</f>
        <v>0</v>
      </c>
      <c r="Q165" s="51">
        <f>IF(COUNTIF(TblPurchases[BatchID],TblOutcomes[[#This Row],[BatchID]])&lt;&gt;1,"n.a.",SUMIFS(TblPurchases[Purchase Date],TblPurchases[BatchID],TblOutcomes[[#This Row],[BatchID]]))</f>
        <v>45162</v>
      </c>
    </row>
    <row r="166" spans="2:17" x14ac:dyDescent="0.25">
      <c r="B166" s="2" t="s">
        <v>970</v>
      </c>
      <c r="C166" s="2" t="s">
        <v>130</v>
      </c>
      <c r="D166" s="2" t="s">
        <v>122</v>
      </c>
      <c r="E166" s="2" t="s">
        <v>4647</v>
      </c>
      <c r="F166" s="2">
        <v>17</v>
      </c>
      <c r="G166" s="2">
        <v>17</v>
      </c>
      <c r="H166" s="2">
        <v>0</v>
      </c>
      <c r="I166" s="1">
        <v>0</v>
      </c>
      <c r="J166" s="26">
        <v>45181</v>
      </c>
      <c r="K166" s="22">
        <v>59500</v>
      </c>
      <c r="L166" s="18">
        <v>63.64</v>
      </c>
      <c r="M166" s="22">
        <v>41650</v>
      </c>
      <c r="N166" s="22">
        <v>17850</v>
      </c>
      <c r="O166" s="18">
        <v>19.09</v>
      </c>
      <c r="P166" s="52">
        <f>IF(COUNTIF(TblPurchases[BatchID],TblOutcomes[[#This Row],[BatchID]])&lt;&gt;1,"n.a.",TblOutcomes[[#This Row],[Qty Wasted]]*SUMIFS(TblPurchases[Unit Cost (CLP)],TblPurchases[BatchID],TblOutcomes[[#This Row],[BatchID]]))</f>
        <v>0</v>
      </c>
      <c r="Q166" s="51">
        <f>IF(COUNTIF(TblPurchases[BatchID],TblOutcomes[[#This Row],[BatchID]])&lt;&gt;1,"n.a.",SUMIFS(TblPurchases[Purchase Date],TblPurchases[BatchID],TblOutcomes[[#This Row],[BatchID]]))</f>
        <v>45171</v>
      </c>
    </row>
    <row r="167" spans="2:17" x14ac:dyDescent="0.25">
      <c r="B167" s="2" t="s">
        <v>971</v>
      </c>
      <c r="C167" s="2" t="s">
        <v>130</v>
      </c>
      <c r="D167" s="2" t="s">
        <v>122</v>
      </c>
      <c r="E167" s="2" t="s">
        <v>4646</v>
      </c>
      <c r="F167" s="2">
        <v>18</v>
      </c>
      <c r="G167" s="2">
        <v>15.21</v>
      </c>
      <c r="H167" s="2">
        <v>2.79</v>
      </c>
      <c r="I167" s="1">
        <v>15.5</v>
      </c>
      <c r="J167" s="26">
        <v>45226</v>
      </c>
      <c r="K167" s="22">
        <v>53235</v>
      </c>
      <c r="L167" s="18">
        <v>56.94</v>
      </c>
      <c r="M167" s="22">
        <v>44100</v>
      </c>
      <c r="N167" s="22">
        <v>9135</v>
      </c>
      <c r="O167" s="18">
        <v>9.77</v>
      </c>
      <c r="P167" s="52">
        <f>IF(COUNTIF(TblPurchases[BatchID],TblOutcomes[[#This Row],[BatchID]])&lt;&gt;1,"n.a.",TblOutcomes[[#This Row],[Qty Wasted]]*SUMIFS(TblPurchases[Unit Cost (CLP)],TblPurchases[BatchID],TblOutcomes[[#This Row],[BatchID]]))</f>
        <v>6835.5</v>
      </c>
      <c r="Q167" s="51">
        <f>IF(COUNTIF(TblPurchases[BatchID],TblOutcomes[[#This Row],[BatchID]])&lt;&gt;1,"n.a.",SUMIFS(TblPurchases[Purchase Date],TblPurchases[BatchID],TblOutcomes[[#This Row],[BatchID]]))</f>
        <v>45181</v>
      </c>
    </row>
    <row r="168" spans="2:17" x14ac:dyDescent="0.25">
      <c r="B168" s="2" t="s">
        <v>972</v>
      </c>
      <c r="C168" s="2" t="s">
        <v>130</v>
      </c>
      <c r="D168" s="2" t="s">
        <v>122</v>
      </c>
      <c r="E168" s="2" t="s">
        <v>4646</v>
      </c>
      <c r="F168" s="2">
        <v>17</v>
      </c>
      <c r="G168" s="2">
        <v>13.89</v>
      </c>
      <c r="H168" s="2">
        <v>3.11</v>
      </c>
      <c r="I168" s="1">
        <v>18.3</v>
      </c>
      <c r="J168" s="26">
        <v>45236</v>
      </c>
      <c r="K168" s="22">
        <v>48615</v>
      </c>
      <c r="L168" s="18">
        <v>51.99</v>
      </c>
      <c r="M168" s="22">
        <v>41650</v>
      </c>
      <c r="N168" s="22">
        <v>6965</v>
      </c>
      <c r="O168" s="18">
        <v>7.45</v>
      </c>
      <c r="P168" s="52">
        <f>IF(COUNTIF(TblPurchases[BatchID],TblOutcomes[[#This Row],[BatchID]])&lt;&gt;1,"n.a.",TblOutcomes[[#This Row],[Qty Wasted]]*SUMIFS(TblPurchases[Unit Cost (CLP)],TblPurchases[BatchID],TblOutcomes[[#This Row],[BatchID]]))</f>
        <v>7619.5</v>
      </c>
      <c r="Q168" s="51">
        <f>IF(COUNTIF(TblPurchases[BatchID],TblOutcomes[[#This Row],[BatchID]])&lt;&gt;1,"n.a.",SUMIFS(TblPurchases[Purchase Date],TblPurchases[BatchID],TblOutcomes[[#This Row],[BatchID]]))</f>
        <v>45191</v>
      </c>
    </row>
    <row r="169" spans="2:17" x14ac:dyDescent="0.25">
      <c r="B169" s="2" t="s">
        <v>973</v>
      </c>
      <c r="C169" s="2" t="s">
        <v>130</v>
      </c>
      <c r="D169" s="2" t="s">
        <v>122</v>
      </c>
      <c r="E169" s="2" t="s">
        <v>4647</v>
      </c>
      <c r="F169" s="2">
        <v>36</v>
      </c>
      <c r="G169" s="2">
        <v>36</v>
      </c>
      <c r="H169" s="2">
        <v>0</v>
      </c>
      <c r="I169" s="1">
        <v>0</v>
      </c>
      <c r="J169" s="26">
        <v>45218</v>
      </c>
      <c r="K169" s="22">
        <v>126000</v>
      </c>
      <c r="L169" s="18">
        <v>134.76</v>
      </c>
      <c r="M169" s="22">
        <v>88200</v>
      </c>
      <c r="N169" s="22">
        <v>37800</v>
      </c>
      <c r="O169" s="18">
        <v>40.43</v>
      </c>
      <c r="P169" s="52">
        <f>IF(COUNTIF(TblPurchases[BatchID],TblOutcomes[[#This Row],[BatchID]])&lt;&gt;1,"n.a.",TblOutcomes[[#This Row],[Qty Wasted]]*SUMIFS(TblPurchases[Unit Cost (CLP)],TblPurchases[BatchID],TblOutcomes[[#This Row],[BatchID]]))</f>
        <v>0</v>
      </c>
      <c r="Q169" s="51">
        <f>IF(COUNTIF(TblPurchases[BatchID],TblOutcomes[[#This Row],[BatchID]])&lt;&gt;1,"n.a.",SUMIFS(TblPurchases[Purchase Date],TblPurchases[BatchID],TblOutcomes[[#This Row],[BatchID]]))</f>
        <v>45202</v>
      </c>
    </row>
    <row r="170" spans="2:17" x14ac:dyDescent="0.25">
      <c r="B170" s="2" t="s">
        <v>974</v>
      </c>
      <c r="C170" s="2" t="s">
        <v>130</v>
      </c>
      <c r="D170" s="2" t="s">
        <v>122</v>
      </c>
      <c r="E170" s="2" t="s">
        <v>4646</v>
      </c>
      <c r="F170" s="2">
        <v>43</v>
      </c>
      <c r="G170" s="2">
        <v>37.71</v>
      </c>
      <c r="H170" s="2">
        <v>5.29</v>
      </c>
      <c r="I170" s="1">
        <v>12.3</v>
      </c>
      <c r="J170" s="26">
        <v>45256</v>
      </c>
      <c r="K170" s="22">
        <v>131985</v>
      </c>
      <c r="L170" s="18">
        <v>141.16</v>
      </c>
      <c r="M170" s="22">
        <v>105350</v>
      </c>
      <c r="N170" s="22">
        <v>26635</v>
      </c>
      <c r="O170" s="18">
        <v>28.49</v>
      </c>
      <c r="P170" s="52">
        <f>IF(COUNTIF(TblPurchases[BatchID],TblOutcomes[[#This Row],[BatchID]])&lt;&gt;1,"n.a.",TblOutcomes[[#This Row],[Qty Wasted]]*SUMIFS(TblPurchases[Unit Cost (CLP)],TblPurchases[BatchID],TblOutcomes[[#This Row],[BatchID]]))</f>
        <v>12960.5</v>
      </c>
      <c r="Q170" s="51">
        <f>IF(COUNTIF(TblPurchases[BatchID],TblOutcomes[[#This Row],[BatchID]])&lt;&gt;1,"n.a.",SUMIFS(TblPurchases[Purchase Date],TblPurchases[BatchID],TblOutcomes[[#This Row],[BatchID]]))</f>
        <v>45211</v>
      </c>
    </row>
    <row r="171" spans="2:17" x14ac:dyDescent="0.25">
      <c r="B171" s="2" t="s">
        <v>975</v>
      </c>
      <c r="C171" s="2" t="s">
        <v>130</v>
      </c>
      <c r="D171" s="2" t="s">
        <v>122</v>
      </c>
      <c r="E171" s="2" t="s">
        <v>4646</v>
      </c>
      <c r="F171" s="2">
        <v>40</v>
      </c>
      <c r="G171" s="2">
        <v>36.479999999999997</v>
      </c>
      <c r="H171" s="2">
        <v>3.52</v>
      </c>
      <c r="I171" s="1">
        <v>8.8000000000000007</v>
      </c>
      <c r="J171" s="26">
        <v>45267</v>
      </c>
      <c r="K171" s="22">
        <v>127680</v>
      </c>
      <c r="L171" s="18">
        <v>136.56</v>
      </c>
      <c r="M171" s="22">
        <v>98000</v>
      </c>
      <c r="N171" s="22">
        <v>29680</v>
      </c>
      <c r="O171" s="18">
        <v>31.74</v>
      </c>
      <c r="P171" s="52">
        <f>IF(COUNTIF(TblPurchases[BatchID],TblOutcomes[[#This Row],[BatchID]])&lt;&gt;1,"n.a.",TblOutcomes[[#This Row],[Qty Wasted]]*SUMIFS(TblPurchases[Unit Cost (CLP)],TblPurchases[BatchID],TblOutcomes[[#This Row],[BatchID]]))</f>
        <v>8624</v>
      </c>
      <c r="Q171" s="51">
        <f>IF(COUNTIF(TblPurchases[BatchID],TblOutcomes[[#This Row],[BatchID]])&lt;&gt;1,"n.a.",SUMIFS(TblPurchases[Purchase Date],TblPurchases[BatchID],TblOutcomes[[#This Row],[BatchID]]))</f>
        <v>45222</v>
      </c>
    </row>
    <row r="172" spans="2:17" x14ac:dyDescent="0.25">
      <c r="B172" s="2" t="s">
        <v>976</v>
      </c>
      <c r="C172" s="2" t="s">
        <v>130</v>
      </c>
      <c r="D172" s="2" t="s">
        <v>122</v>
      </c>
      <c r="E172" s="2" t="s">
        <v>4647</v>
      </c>
      <c r="F172" s="2">
        <v>45</v>
      </c>
      <c r="G172" s="2">
        <v>45</v>
      </c>
      <c r="H172" s="2">
        <v>0</v>
      </c>
      <c r="I172" s="1">
        <v>0</v>
      </c>
      <c r="J172" s="26">
        <v>45238</v>
      </c>
      <c r="K172" s="22">
        <v>157500</v>
      </c>
      <c r="L172" s="18">
        <v>168.45</v>
      </c>
      <c r="M172" s="22">
        <v>110250</v>
      </c>
      <c r="N172" s="22">
        <v>47250</v>
      </c>
      <c r="O172" s="18">
        <v>50.53</v>
      </c>
      <c r="P172" s="52">
        <f>IF(COUNTIF(TblPurchases[BatchID],TblOutcomes[[#This Row],[BatchID]])&lt;&gt;1,"n.a.",TblOutcomes[[#This Row],[Qty Wasted]]*SUMIFS(TblPurchases[Unit Cost (CLP)],TblPurchases[BatchID],TblOutcomes[[#This Row],[BatchID]]))</f>
        <v>0</v>
      </c>
      <c r="Q172" s="51">
        <f>IF(COUNTIF(TblPurchases[BatchID],TblOutcomes[[#This Row],[BatchID]])&lt;&gt;1,"n.a.",SUMIFS(TblPurchases[Purchase Date],TblPurchases[BatchID],TblOutcomes[[#This Row],[BatchID]]))</f>
        <v>45232</v>
      </c>
    </row>
    <row r="173" spans="2:17" x14ac:dyDescent="0.25">
      <c r="B173" s="2" t="s">
        <v>977</v>
      </c>
      <c r="C173" s="2" t="s">
        <v>130</v>
      </c>
      <c r="D173" s="2" t="s">
        <v>122</v>
      </c>
      <c r="E173" s="2" t="s">
        <v>4647</v>
      </c>
      <c r="F173" s="2">
        <v>45</v>
      </c>
      <c r="G173" s="2">
        <v>45</v>
      </c>
      <c r="H173" s="2">
        <v>0</v>
      </c>
      <c r="I173" s="1">
        <v>0</v>
      </c>
      <c r="J173" s="26">
        <v>45250</v>
      </c>
      <c r="K173" s="22">
        <v>157500</v>
      </c>
      <c r="L173" s="18">
        <v>168.45</v>
      </c>
      <c r="M173" s="22">
        <v>110250</v>
      </c>
      <c r="N173" s="22">
        <v>47250</v>
      </c>
      <c r="O173" s="18">
        <v>50.53</v>
      </c>
      <c r="P173" s="52">
        <f>IF(COUNTIF(TblPurchases[BatchID],TblOutcomes[[#This Row],[BatchID]])&lt;&gt;1,"n.a.",TblOutcomes[[#This Row],[Qty Wasted]]*SUMIFS(TblPurchases[Unit Cost (CLP)],TblPurchases[BatchID],TblOutcomes[[#This Row],[BatchID]]))</f>
        <v>0</v>
      </c>
      <c r="Q173" s="51">
        <f>IF(COUNTIF(TblPurchases[BatchID],TblOutcomes[[#This Row],[BatchID]])&lt;&gt;1,"n.a.",SUMIFS(TblPurchases[Purchase Date],TblPurchases[BatchID],TblOutcomes[[#This Row],[BatchID]]))</f>
        <v>45241</v>
      </c>
    </row>
    <row r="174" spans="2:17" x14ac:dyDescent="0.25">
      <c r="B174" s="2" t="s">
        <v>978</v>
      </c>
      <c r="C174" s="2" t="s">
        <v>130</v>
      </c>
      <c r="D174" s="2" t="s">
        <v>122</v>
      </c>
      <c r="E174" s="2" t="s">
        <v>4646</v>
      </c>
      <c r="F174" s="2">
        <v>38</v>
      </c>
      <c r="G174" s="2">
        <v>30.74</v>
      </c>
      <c r="H174" s="2">
        <v>7.26</v>
      </c>
      <c r="I174" s="1">
        <v>19.100000000000001</v>
      </c>
      <c r="J174" s="26">
        <v>45296</v>
      </c>
      <c r="K174" s="22">
        <v>107590</v>
      </c>
      <c r="L174" s="18">
        <v>115.07</v>
      </c>
      <c r="M174" s="22">
        <v>93100</v>
      </c>
      <c r="N174" s="22">
        <v>14490</v>
      </c>
      <c r="O174" s="18">
        <v>15.5</v>
      </c>
      <c r="P174" s="52">
        <f>IF(COUNTIF(TblPurchases[BatchID],TblOutcomes[[#This Row],[BatchID]])&lt;&gt;1,"n.a.",TblOutcomes[[#This Row],[Qty Wasted]]*SUMIFS(TblPurchases[Unit Cost (CLP)],TblPurchases[BatchID],TblOutcomes[[#This Row],[BatchID]]))</f>
        <v>17787</v>
      </c>
      <c r="Q174" s="51">
        <f>IF(COUNTIF(TblPurchases[BatchID],TblOutcomes[[#This Row],[BatchID]])&lt;&gt;1,"n.a.",SUMIFS(TblPurchases[Purchase Date],TblPurchases[BatchID],TblOutcomes[[#This Row],[BatchID]]))</f>
        <v>45251</v>
      </c>
    </row>
    <row r="175" spans="2:17" x14ac:dyDescent="0.25">
      <c r="B175" s="2" t="s">
        <v>979</v>
      </c>
      <c r="C175" s="2" t="s">
        <v>130</v>
      </c>
      <c r="D175" s="2" t="s">
        <v>122</v>
      </c>
      <c r="E175" s="2" t="s">
        <v>4647</v>
      </c>
      <c r="F175" s="2">
        <v>55</v>
      </c>
      <c r="G175" s="2">
        <v>55</v>
      </c>
      <c r="H175" s="2">
        <v>0</v>
      </c>
      <c r="I175" s="1">
        <v>0</v>
      </c>
      <c r="J175" s="26">
        <v>45270</v>
      </c>
      <c r="K175" s="22">
        <v>192500</v>
      </c>
      <c r="L175" s="18">
        <v>205.88</v>
      </c>
      <c r="M175" s="22">
        <v>134750</v>
      </c>
      <c r="N175" s="22">
        <v>57750</v>
      </c>
      <c r="O175" s="18">
        <v>61.76</v>
      </c>
      <c r="P175" s="52">
        <f>IF(COUNTIF(TblPurchases[BatchID],TblOutcomes[[#This Row],[BatchID]])&lt;&gt;1,"n.a.",TblOutcomes[[#This Row],[Qty Wasted]]*SUMIFS(TblPurchases[Unit Cost (CLP)],TblPurchases[BatchID],TblOutcomes[[#This Row],[BatchID]]))</f>
        <v>0</v>
      </c>
      <c r="Q175" s="51">
        <f>IF(COUNTIF(TblPurchases[BatchID],TblOutcomes[[#This Row],[BatchID]])&lt;&gt;1,"n.a.",SUMIFS(TblPurchases[Purchase Date],TblPurchases[BatchID],TblOutcomes[[#This Row],[BatchID]]))</f>
        <v>45261</v>
      </c>
    </row>
    <row r="176" spans="2:17" x14ac:dyDescent="0.25">
      <c r="B176" s="2" t="s">
        <v>980</v>
      </c>
      <c r="C176" s="2" t="s">
        <v>130</v>
      </c>
      <c r="D176" s="2" t="s">
        <v>122</v>
      </c>
      <c r="E176" s="2" t="s">
        <v>4647</v>
      </c>
      <c r="F176" s="2">
        <v>51</v>
      </c>
      <c r="G176" s="2">
        <v>51</v>
      </c>
      <c r="H176" s="2">
        <v>0</v>
      </c>
      <c r="I176" s="1">
        <v>0</v>
      </c>
      <c r="J176" s="26">
        <v>45282</v>
      </c>
      <c r="K176" s="22">
        <v>178500</v>
      </c>
      <c r="L176" s="18">
        <v>190.91</v>
      </c>
      <c r="M176" s="22">
        <v>124950</v>
      </c>
      <c r="N176" s="22">
        <v>53550</v>
      </c>
      <c r="O176" s="18">
        <v>57.27</v>
      </c>
      <c r="P176" s="52">
        <f>IF(COUNTIF(TblPurchases[BatchID],TblOutcomes[[#This Row],[BatchID]])&lt;&gt;1,"n.a.",TblOutcomes[[#This Row],[Qty Wasted]]*SUMIFS(TblPurchases[Unit Cost (CLP)],TblPurchases[BatchID],TblOutcomes[[#This Row],[BatchID]]))</f>
        <v>0</v>
      </c>
      <c r="Q176" s="51">
        <f>IF(COUNTIF(TblPurchases[BatchID],TblOutcomes[[#This Row],[BatchID]])&lt;&gt;1,"n.a.",SUMIFS(TblPurchases[Purchase Date],TblPurchases[BatchID],TblOutcomes[[#This Row],[BatchID]]))</f>
        <v>45271</v>
      </c>
    </row>
    <row r="177" spans="2:17" x14ac:dyDescent="0.25">
      <c r="B177" s="2" t="s">
        <v>981</v>
      </c>
      <c r="C177" s="2" t="s">
        <v>130</v>
      </c>
      <c r="D177" s="2" t="s">
        <v>122</v>
      </c>
      <c r="E177" s="2" t="s">
        <v>4647</v>
      </c>
      <c r="F177" s="2">
        <v>44</v>
      </c>
      <c r="G177" s="2">
        <v>44</v>
      </c>
      <c r="H177" s="2">
        <v>0</v>
      </c>
      <c r="I177" s="1">
        <v>0</v>
      </c>
      <c r="J177" s="26">
        <v>45288</v>
      </c>
      <c r="K177" s="22">
        <v>154000</v>
      </c>
      <c r="L177" s="18">
        <v>164.71</v>
      </c>
      <c r="M177" s="22">
        <v>107800</v>
      </c>
      <c r="N177" s="22">
        <v>46200</v>
      </c>
      <c r="O177" s="18">
        <v>49.41</v>
      </c>
      <c r="P177" s="52">
        <f>IF(COUNTIF(TblPurchases[BatchID],TblOutcomes[[#This Row],[BatchID]])&lt;&gt;1,"n.a.",TblOutcomes[[#This Row],[Qty Wasted]]*SUMIFS(TblPurchases[Unit Cost (CLP)],TblPurchases[BatchID],TblOutcomes[[#This Row],[BatchID]]))</f>
        <v>0</v>
      </c>
      <c r="Q177" s="51">
        <f>IF(COUNTIF(TblPurchases[BatchID],TblOutcomes[[#This Row],[BatchID]])&lt;&gt;1,"n.a.",SUMIFS(TblPurchases[Purchase Date],TblPurchases[BatchID],TblOutcomes[[#This Row],[BatchID]]))</f>
        <v>45283</v>
      </c>
    </row>
    <row r="178" spans="2:17" x14ac:dyDescent="0.25">
      <c r="B178" s="2" t="s">
        <v>982</v>
      </c>
      <c r="C178" s="2" t="s">
        <v>130</v>
      </c>
      <c r="D178" s="2" t="s">
        <v>122</v>
      </c>
      <c r="E178" s="2" t="s">
        <v>4647</v>
      </c>
      <c r="F178" s="2">
        <v>44</v>
      </c>
      <c r="G178" s="2">
        <v>44</v>
      </c>
      <c r="H178" s="2">
        <v>0</v>
      </c>
      <c r="I178" s="1">
        <v>0</v>
      </c>
      <c r="J178" s="26">
        <v>45300</v>
      </c>
      <c r="K178" s="22">
        <v>154000</v>
      </c>
      <c r="L178" s="18">
        <v>164.71</v>
      </c>
      <c r="M178" s="22">
        <v>107800</v>
      </c>
      <c r="N178" s="22">
        <v>46200</v>
      </c>
      <c r="O178" s="18">
        <v>49.41</v>
      </c>
      <c r="P178" s="52">
        <f>IF(COUNTIF(TblPurchases[BatchID],TblOutcomes[[#This Row],[BatchID]])&lt;&gt;1,"n.a.",TblOutcomes[[#This Row],[Qty Wasted]]*SUMIFS(TblPurchases[Unit Cost (CLP)],TblPurchases[BatchID],TblOutcomes[[#This Row],[BatchID]]))</f>
        <v>0</v>
      </c>
      <c r="Q178" s="51">
        <f>IF(COUNTIF(TblPurchases[BatchID],TblOutcomes[[#This Row],[BatchID]])&lt;&gt;1,"n.a.",SUMIFS(TblPurchases[Purchase Date],TblPurchases[BatchID],TblOutcomes[[#This Row],[BatchID]]))</f>
        <v>45292</v>
      </c>
    </row>
    <row r="179" spans="2:17" x14ac:dyDescent="0.25">
      <c r="B179" s="2" t="s">
        <v>983</v>
      </c>
      <c r="C179" s="2" t="s">
        <v>130</v>
      </c>
      <c r="D179" s="2" t="s">
        <v>122</v>
      </c>
      <c r="E179" s="2" t="s">
        <v>4647</v>
      </c>
      <c r="F179" s="2">
        <v>43</v>
      </c>
      <c r="G179" s="2">
        <v>43</v>
      </c>
      <c r="H179" s="2">
        <v>0</v>
      </c>
      <c r="I179" s="1">
        <v>0</v>
      </c>
      <c r="J179" s="26">
        <v>45306</v>
      </c>
      <c r="K179" s="22">
        <v>150500</v>
      </c>
      <c r="L179" s="18">
        <v>160.96</v>
      </c>
      <c r="M179" s="22">
        <v>105350</v>
      </c>
      <c r="N179" s="22">
        <v>45150</v>
      </c>
      <c r="O179" s="18">
        <v>48.29</v>
      </c>
      <c r="P179" s="52">
        <f>IF(COUNTIF(TblPurchases[BatchID],TblOutcomes[[#This Row],[BatchID]])&lt;&gt;1,"n.a.",TblOutcomes[[#This Row],[Qty Wasted]]*SUMIFS(TblPurchases[Unit Cost (CLP)],TblPurchases[BatchID],TblOutcomes[[#This Row],[BatchID]]))</f>
        <v>0</v>
      </c>
      <c r="Q179" s="51">
        <f>IF(COUNTIF(TblPurchases[BatchID],TblOutcomes[[#This Row],[BatchID]])&lt;&gt;1,"n.a.",SUMIFS(TblPurchases[Purchase Date],TblPurchases[BatchID],TblOutcomes[[#This Row],[BatchID]]))</f>
        <v>45301</v>
      </c>
    </row>
    <row r="180" spans="2:17" x14ac:dyDescent="0.25">
      <c r="B180" s="2" t="s">
        <v>984</v>
      </c>
      <c r="C180" s="2" t="s">
        <v>130</v>
      </c>
      <c r="D180" s="2" t="s">
        <v>122</v>
      </c>
      <c r="E180" s="2" t="s">
        <v>4647</v>
      </c>
      <c r="F180" s="2">
        <v>37</v>
      </c>
      <c r="G180" s="2">
        <v>37</v>
      </c>
      <c r="H180" s="2">
        <v>0</v>
      </c>
      <c r="I180" s="1">
        <v>0</v>
      </c>
      <c r="J180" s="26">
        <v>45315</v>
      </c>
      <c r="K180" s="22">
        <v>129500</v>
      </c>
      <c r="L180" s="18">
        <v>138.5</v>
      </c>
      <c r="M180" s="22">
        <v>90650</v>
      </c>
      <c r="N180" s="22">
        <v>38850</v>
      </c>
      <c r="O180" s="18">
        <v>41.55</v>
      </c>
      <c r="P180" s="52">
        <f>IF(COUNTIF(TblPurchases[BatchID],TblOutcomes[[#This Row],[BatchID]])&lt;&gt;1,"n.a.",TblOutcomes[[#This Row],[Qty Wasted]]*SUMIFS(TblPurchases[Unit Cost (CLP)],TblPurchases[BatchID],TblOutcomes[[#This Row],[BatchID]]))</f>
        <v>0</v>
      </c>
      <c r="Q180" s="51">
        <f>IF(COUNTIF(TblPurchases[BatchID],TblOutcomes[[#This Row],[BatchID]])&lt;&gt;1,"n.a.",SUMIFS(TblPurchases[Purchase Date],TblPurchases[BatchID],TblOutcomes[[#This Row],[BatchID]]))</f>
        <v>45312</v>
      </c>
    </row>
    <row r="181" spans="2:17" x14ac:dyDescent="0.25">
      <c r="B181" s="2" t="s">
        <v>985</v>
      </c>
      <c r="C181" s="2" t="s">
        <v>130</v>
      </c>
      <c r="D181" s="2" t="s">
        <v>122</v>
      </c>
      <c r="E181" s="2" t="s">
        <v>4647</v>
      </c>
      <c r="F181" s="2">
        <v>42</v>
      </c>
      <c r="G181" s="2">
        <v>42</v>
      </c>
      <c r="H181" s="2">
        <v>0</v>
      </c>
      <c r="I181" s="1">
        <v>0</v>
      </c>
      <c r="J181" s="26">
        <v>45322</v>
      </c>
      <c r="K181" s="22">
        <v>147000</v>
      </c>
      <c r="L181" s="18">
        <v>157.22</v>
      </c>
      <c r="M181" s="22">
        <v>102900</v>
      </c>
      <c r="N181" s="22">
        <v>44100</v>
      </c>
      <c r="O181" s="18">
        <v>47.17</v>
      </c>
      <c r="P181" s="52">
        <f>IF(COUNTIF(TblPurchases[BatchID],TblOutcomes[[#This Row],[BatchID]])&lt;&gt;1,"n.a.",TblOutcomes[[#This Row],[Qty Wasted]]*SUMIFS(TblPurchases[Unit Cost (CLP)],TblPurchases[BatchID],TblOutcomes[[#This Row],[BatchID]]))</f>
        <v>0</v>
      </c>
      <c r="Q181" s="51">
        <f>IF(COUNTIF(TblPurchases[BatchID],TblOutcomes[[#This Row],[BatchID]])&lt;&gt;1,"n.a.",SUMIFS(TblPurchases[Purchase Date],TblPurchases[BatchID],TblOutcomes[[#This Row],[BatchID]]))</f>
        <v>45318</v>
      </c>
    </row>
    <row r="182" spans="2:17" x14ac:dyDescent="0.25">
      <c r="B182" s="2" t="s">
        <v>986</v>
      </c>
      <c r="C182" s="2" t="s">
        <v>130</v>
      </c>
      <c r="D182" s="2" t="s">
        <v>122</v>
      </c>
      <c r="E182" s="2" t="s">
        <v>4647</v>
      </c>
      <c r="F182" s="2">
        <v>44</v>
      </c>
      <c r="G182" s="2">
        <v>44</v>
      </c>
      <c r="H182" s="2">
        <v>0</v>
      </c>
      <c r="I182" s="1">
        <v>0</v>
      </c>
      <c r="J182" s="26">
        <v>45337</v>
      </c>
      <c r="K182" s="22">
        <v>154000</v>
      </c>
      <c r="L182" s="18">
        <v>164.71</v>
      </c>
      <c r="M182" s="22">
        <v>107800</v>
      </c>
      <c r="N182" s="22">
        <v>46200</v>
      </c>
      <c r="O182" s="18">
        <v>49.41</v>
      </c>
      <c r="P182" s="52">
        <f>IF(COUNTIF(TblPurchases[BatchID],TblOutcomes[[#This Row],[BatchID]])&lt;&gt;1,"n.a.",TblOutcomes[[#This Row],[Qty Wasted]]*SUMIFS(TblPurchases[Unit Cost (CLP)],TblPurchases[BatchID],TblOutcomes[[#This Row],[BatchID]]))</f>
        <v>0</v>
      </c>
      <c r="Q182" s="51">
        <f>IF(COUNTIF(TblPurchases[BatchID],TblOutcomes[[#This Row],[BatchID]])&lt;&gt;1,"n.a.",SUMIFS(TblPurchases[Purchase Date],TblPurchases[BatchID],TblOutcomes[[#This Row],[BatchID]]))</f>
        <v>45328</v>
      </c>
    </row>
    <row r="183" spans="2:17" x14ac:dyDescent="0.25">
      <c r="B183" s="2" t="s">
        <v>987</v>
      </c>
      <c r="C183" s="2" t="s">
        <v>130</v>
      </c>
      <c r="D183" s="2" t="s">
        <v>122</v>
      </c>
      <c r="E183" s="2" t="s">
        <v>4647</v>
      </c>
      <c r="F183" s="2">
        <v>34</v>
      </c>
      <c r="G183" s="2">
        <v>34</v>
      </c>
      <c r="H183" s="2">
        <v>0</v>
      </c>
      <c r="I183" s="1">
        <v>0</v>
      </c>
      <c r="J183" s="26">
        <v>45346</v>
      </c>
      <c r="K183" s="22">
        <v>119000</v>
      </c>
      <c r="L183" s="18">
        <v>127.27</v>
      </c>
      <c r="M183" s="22">
        <v>83300</v>
      </c>
      <c r="N183" s="22">
        <v>35700</v>
      </c>
      <c r="O183" s="18">
        <v>38.18</v>
      </c>
      <c r="P183" s="52">
        <f>IF(COUNTIF(TblPurchases[BatchID],TblOutcomes[[#This Row],[BatchID]])&lt;&gt;1,"n.a.",TblOutcomes[[#This Row],[Qty Wasted]]*SUMIFS(TblPurchases[Unit Cost (CLP)],TblPurchases[BatchID],TblOutcomes[[#This Row],[BatchID]]))</f>
        <v>0</v>
      </c>
      <c r="Q183" s="51">
        <f>IF(COUNTIF(TblPurchases[BatchID],TblOutcomes[[#This Row],[BatchID]])&lt;&gt;1,"n.a.",SUMIFS(TblPurchases[Purchase Date],TblPurchases[BatchID],TblOutcomes[[#This Row],[BatchID]]))</f>
        <v>45339</v>
      </c>
    </row>
    <row r="184" spans="2:17" x14ac:dyDescent="0.25">
      <c r="B184" s="2" t="s">
        <v>988</v>
      </c>
      <c r="C184" s="2" t="s">
        <v>130</v>
      </c>
      <c r="D184" s="2" t="s">
        <v>122</v>
      </c>
      <c r="E184" s="2" t="s">
        <v>4647</v>
      </c>
      <c r="F184" s="2">
        <v>45</v>
      </c>
      <c r="G184" s="2">
        <v>45</v>
      </c>
      <c r="H184" s="2">
        <v>0</v>
      </c>
      <c r="I184" s="1">
        <v>0</v>
      </c>
      <c r="J184" s="26">
        <v>45353</v>
      </c>
      <c r="K184" s="22">
        <v>157500</v>
      </c>
      <c r="L184" s="18">
        <v>168.45</v>
      </c>
      <c r="M184" s="22">
        <v>117000</v>
      </c>
      <c r="N184" s="22">
        <v>40500</v>
      </c>
      <c r="O184" s="18">
        <v>43.32</v>
      </c>
      <c r="P184" s="52">
        <f>IF(COUNTIF(TblPurchases[BatchID],TblOutcomes[[#This Row],[BatchID]])&lt;&gt;1,"n.a.",TblOutcomes[[#This Row],[Qty Wasted]]*SUMIFS(TblPurchases[Unit Cost (CLP)],TblPurchases[BatchID],TblOutcomes[[#This Row],[BatchID]]))</f>
        <v>0</v>
      </c>
      <c r="Q184" s="51">
        <f>IF(COUNTIF(TblPurchases[BatchID],TblOutcomes[[#This Row],[BatchID]])&lt;&gt;1,"n.a.",SUMIFS(TblPurchases[Purchase Date],TblPurchases[BatchID],TblOutcomes[[#This Row],[BatchID]]))</f>
        <v>45346</v>
      </c>
    </row>
    <row r="185" spans="2:17" x14ac:dyDescent="0.25">
      <c r="B185" s="2" t="s">
        <v>989</v>
      </c>
      <c r="C185" s="2" t="s">
        <v>130</v>
      </c>
      <c r="D185" s="2" t="s">
        <v>122</v>
      </c>
      <c r="E185" s="2" t="s">
        <v>4647</v>
      </c>
      <c r="F185" s="2">
        <v>40</v>
      </c>
      <c r="G185" s="2">
        <v>40</v>
      </c>
      <c r="H185" s="2">
        <v>0</v>
      </c>
      <c r="I185" s="1">
        <v>0</v>
      </c>
      <c r="J185" s="26">
        <v>45364</v>
      </c>
      <c r="K185" s="22">
        <v>140000</v>
      </c>
      <c r="L185" s="18">
        <v>149.72999999999999</v>
      </c>
      <c r="M185" s="22">
        <v>98000</v>
      </c>
      <c r="N185" s="22">
        <v>42000</v>
      </c>
      <c r="O185" s="18">
        <v>44.92</v>
      </c>
      <c r="P185" s="52">
        <f>IF(COUNTIF(TblPurchases[BatchID],TblOutcomes[[#This Row],[BatchID]])&lt;&gt;1,"n.a.",TblOutcomes[[#This Row],[Qty Wasted]]*SUMIFS(TblPurchases[Unit Cost (CLP)],TblPurchases[BatchID],TblOutcomes[[#This Row],[BatchID]]))</f>
        <v>0</v>
      </c>
      <c r="Q185" s="51">
        <f>IF(COUNTIF(TblPurchases[BatchID],TblOutcomes[[#This Row],[BatchID]])&lt;&gt;1,"n.a.",SUMIFS(TblPurchases[Purchase Date],TblPurchases[BatchID],TblOutcomes[[#This Row],[BatchID]]))</f>
        <v>45356</v>
      </c>
    </row>
    <row r="186" spans="2:17" x14ac:dyDescent="0.25">
      <c r="B186" s="2" t="s">
        <v>990</v>
      </c>
      <c r="C186" s="2" t="s">
        <v>130</v>
      </c>
      <c r="D186" s="2" t="s">
        <v>122</v>
      </c>
      <c r="E186" s="2" t="s">
        <v>4646</v>
      </c>
      <c r="F186" s="2">
        <v>43</v>
      </c>
      <c r="G186" s="2">
        <v>40.29</v>
      </c>
      <c r="H186" s="2">
        <v>2.71</v>
      </c>
      <c r="I186" s="1">
        <v>6.3</v>
      </c>
      <c r="J186" s="26">
        <v>45409</v>
      </c>
      <c r="K186" s="22">
        <v>141015</v>
      </c>
      <c r="L186" s="18">
        <v>150.82</v>
      </c>
      <c r="M186" s="22">
        <v>105350</v>
      </c>
      <c r="N186" s="22">
        <v>35665</v>
      </c>
      <c r="O186" s="18">
        <v>38.14</v>
      </c>
      <c r="P186" s="52">
        <f>IF(COUNTIF(TblPurchases[BatchID],TblOutcomes[[#This Row],[BatchID]])&lt;&gt;1,"n.a.",TblOutcomes[[#This Row],[Qty Wasted]]*SUMIFS(TblPurchases[Unit Cost (CLP)],TblPurchases[BatchID],TblOutcomes[[#This Row],[BatchID]]))</f>
        <v>6639.5</v>
      </c>
      <c r="Q186" s="51">
        <f>IF(COUNTIF(TblPurchases[BatchID],TblOutcomes[[#This Row],[BatchID]])&lt;&gt;1,"n.a.",SUMIFS(TblPurchases[Purchase Date],TblPurchases[BatchID],TblOutcomes[[#This Row],[BatchID]]))</f>
        <v>45364</v>
      </c>
    </row>
    <row r="187" spans="2:17" x14ac:dyDescent="0.25">
      <c r="B187" s="2" t="s">
        <v>991</v>
      </c>
      <c r="C187" s="2" t="s">
        <v>130</v>
      </c>
      <c r="D187" s="2" t="s">
        <v>122</v>
      </c>
      <c r="E187" s="2" t="s">
        <v>4647</v>
      </c>
      <c r="F187" s="2">
        <v>42</v>
      </c>
      <c r="G187" s="2">
        <v>42</v>
      </c>
      <c r="H187" s="2">
        <v>0</v>
      </c>
      <c r="I187" s="1">
        <v>0</v>
      </c>
      <c r="J187" s="26">
        <v>45380</v>
      </c>
      <c r="K187" s="22">
        <v>147000</v>
      </c>
      <c r="L187" s="18">
        <v>157.22</v>
      </c>
      <c r="M187" s="22">
        <v>102900</v>
      </c>
      <c r="N187" s="22">
        <v>44100</v>
      </c>
      <c r="O187" s="18">
        <v>47.17</v>
      </c>
      <c r="P187" s="52">
        <f>IF(COUNTIF(TblPurchases[BatchID],TblOutcomes[[#This Row],[BatchID]])&lt;&gt;1,"n.a.",TblOutcomes[[#This Row],[Qty Wasted]]*SUMIFS(TblPurchases[Unit Cost (CLP)],TblPurchases[BatchID],TblOutcomes[[#This Row],[BatchID]]))</f>
        <v>0</v>
      </c>
      <c r="Q187" s="51">
        <f>IF(COUNTIF(TblPurchases[BatchID],TblOutcomes[[#This Row],[BatchID]])&lt;&gt;1,"n.a.",SUMIFS(TblPurchases[Purchase Date],TblPurchases[BatchID],TblOutcomes[[#This Row],[BatchID]]))</f>
        <v>45374</v>
      </c>
    </row>
    <row r="188" spans="2:17" x14ac:dyDescent="0.25">
      <c r="B188" s="2" t="s">
        <v>992</v>
      </c>
      <c r="C188" s="2" t="s">
        <v>130</v>
      </c>
      <c r="D188" s="2" t="s">
        <v>122</v>
      </c>
      <c r="E188" s="2" t="s">
        <v>4646</v>
      </c>
      <c r="F188" s="2">
        <v>15</v>
      </c>
      <c r="G188" s="2">
        <v>10.96</v>
      </c>
      <c r="H188" s="2">
        <v>4.04</v>
      </c>
      <c r="I188" s="1">
        <v>26.9</v>
      </c>
      <c r="J188" s="26">
        <v>45428</v>
      </c>
      <c r="K188" s="22">
        <v>38360</v>
      </c>
      <c r="L188" s="18">
        <v>41.03</v>
      </c>
      <c r="M188" s="22">
        <v>36750</v>
      </c>
      <c r="N188" s="22">
        <v>1610</v>
      </c>
      <c r="O188" s="18">
        <v>1.72</v>
      </c>
      <c r="P188" s="52">
        <f>IF(COUNTIF(TblPurchases[BatchID],TblOutcomes[[#This Row],[BatchID]])&lt;&gt;1,"n.a.",TblOutcomes[[#This Row],[Qty Wasted]]*SUMIFS(TblPurchases[Unit Cost (CLP)],TblPurchases[BatchID],TblOutcomes[[#This Row],[BatchID]]))</f>
        <v>9898</v>
      </c>
      <c r="Q188" s="51">
        <f>IF(COUNTIF(TblPurchases[BatchID],TblOutcomes[[#This Row],[BatchID]])&lt;&gt;1,"n.a.",SUMIFS(TblPurchases[Purchase Date],TblPurchases[BatchID],TblOutcomes[[#This Row],[BatchID]]))</f>
        <v>45383</v>
      </c>
    </row>
    <row r="189" spans="2:17" x14ac:dyDescent="0.25">
      <c r="B189" s="2" t="s">
        <v>993</v>
      </c>
      <c r="C189" s="2" t="s">
        <v>130</v>
      </c>
      <c r="D189" s="2" t="s">
        <v>122</v>
      </c>
      <c r="E189" s="2" t="s">
        <v>4646</v>
      </c>
      <c r="F189" s="2">
        <v>17</v>
      </c>
      <c r="G189" s="2">
        <v>13.58</v>
      </c>
      <c r="H189" s="2">
        <v>3.42</v>
      </c>
      <c r="I189" s="1">
        <v>20.100000000000001</v>
      </c>
      <c r="J189" s="26">
        <v>45437</v>
      </c>
      <c r="K189" s="22">
        <v>47530</v>
      </c>
      <c r="L189" s="18">
        <v>50.83</v>
      </c>
      <c r="M189" s="22">
        <v>41650</v>
      </c>
      <c r="N189" s="22">
        <v>5880</v>
      </c>
      <c r="O189" s="18">
        <v>6.29</v>
      </c>
      <c r="P189" s="52">
        <f>IF(COUNTIF(TblPurchases[BatchID],TblOutcomes[[#This Row],[BatchID]])&lt;&gt;1,"n.a.",TblOutcomes[[#This Row],[Qty Wasted]]*SUMIFS(TblPurchases[Unit Cost (CLP)],TblPurchases[BatchID],TblOutcomes[[#This Row],[BatchID]]))</f>
        <v>8379</v>
      </c>
      <c r="Q189" s="51">
        <f>IF(COUNTIF(TblPurchases[BatchID],TblOutcomes[[#This Row],[BatchID]])&lt;&gt;1,"n.a.",SUMIFS(TblPurchases[Purchase Date],TblPurchases[BatchID],TblOutcomes[[#This Row],[BatchID]]))</f>
        <v>45392</v>
      </c>
    </row>
    <row r="190" spans="2:17" x14ac:dyDescent="0.25">
      <c r="B190" s="2" t="s">
        <v>994</v>
      </c>
      <c r="C190" s="2" t="s">
        <v>130</v>
      </c>
      <c r="D190" s="2" t="s">
        <v>122</v>
      </c>
      <c r="E190" s="2" t="s">
        <v>4646</v>
      </c>
      <c r="F190" s="2">
        <v>13</v>
      </c>
      <c r="G190" s="2">
        <v>9.7799999999999994</v>
      </c>
      <c r="H190" s="2">
        <v>3.22</v>
      </c>
      <c r="I190" s="1">
        <v>24.8</v>
      </c>
      <c r="J190" s="26">
        <v>45445</v>
      </c>
      <c r="K190" s="22">
        <v>34230</v>
      </c>
      <c r="L190" s="18">
        <v>36.61</v>
      </c>
      <c r="M190" s="22">
        <v>31850</v>
      </c>
      <c r="N190" s="22">
        <v>2380</v>
      </c>
      <c r="O190" s="18">
        <v>2.5499999999999998</v>
      </c>
      <c r="P190" s="52">
        <f>IF(COUNTIF(TblPurchases[BatchID],TblOutcomes[[#This Row],[BatchID]])&lt;&gt;1,"n.a.",TblOutcomes[[#This Row],[Qty Wasted]]*SUMIFS(TblPurchases[Unit Cost (CLP)],TblPurchases[BatchID],TblOutcomes[[#This Row],[BatchID]]))</f>
        <v>7889.0000000000009</v>
      </c>
      <c r="Q190" s="51">
        <f>IF(COUNTIF(TblPurchases[BatchID],TblOutcomes[[#This Row],[BatchID]])&lt;&gt;1,"n.a.",SUMIFS(TblPurchases[Purchase Date],TblPurchases[BatchID],TblOutcomes[[#This Row],[BatchID]]))</f>
        <v>45400</v>
      </c>
    </row>
    <row r="191" spans="2:17" x14ac:dyDescent="0.25">
      <c r="B191" s="2" t="s">
        <v>995</v>
      </c>
      <c r="C191" s="2" t="s">
        <v>130</v>
      </c>
      <c r="D191" s="2" t="s">
        <v>122</v>
      </c>
      <c r="E191" s="2" t="s">
        <v>4647</v>
      </c>
      <c r="F191" s="2">
        <v>13</v>
      </c>
      <c r="G191" s="2">
        <v>13</v>
      </c>
      <c r="H191" s="2">
        <v>0</v>
      </c>
      <c r="I191" s="1">
        <v>0</v>
      </c>
      <c r="J191" s="26">
        <v>45415</v>
      </c>
      <c r="K191" s="22">
        <v>45500</v>
      </c>
      <c r="L191" s="18">
        <v>48.66</v>
      </c>
      <c r="M191" s="22">
        <v>31850</v>
      </c>
      <c r="N191" s="22">
        <v>13650</v>
      </c>
      <c r="O191" s="18">
        <v>14.6</v>
      </c>
      <c r="P191" s="52">
        <f>IF(COUNTIF(TblPurchases[BatchID],TblOutcomes[[#This Row],[BatchID]])&lt;&gt;1,"n.a.",TblOutcomes[[#This Row],[Qty Wasted]]*SUMIFS(TblPurchases[Unit Cost (CLP)],TblPurchases[BatchID],TblOutcomes[[#This Row],[BatchID]]))</f>
        <v>0</v>
      </c>
      <c r="Q191" s="51">
        <f>IF(COUNTIF(TblPurchases[BatchID],TblOutcomes[[#This Row],[BatchID]])&lt;&gt;1,"n.a.",SUMIFS(TblPurchases[Purchase Date],TblPurchases[BatchID],TblOutcomes[[#This Row],[BatchID]]))</f>
        <v>45408</v>
      </c>
    </row>
    <row r="192" spans="2:17" x14ac:dyDescent="0.25">
      <c r="B192" s="2" t="s">
        <v>996</v>
      </c>
      <c r="C192" s="2" t="s">
        <v>130</v>
      </c>
      <c r="D192" s="2" t="s">
        <v>122</v>
      </c>
      <c r="E192" s="2" t="s">
        <v>4646</v>
      </c>
      <c r="F192" s="2">
        <v>16</v>
      </c>
      <c r="G192" s="2">
        <v>11.54</v>
      </c>
      <c r="H192" s="2">
        <v>4.46</v>
      </c>
      <c r="I192" s="1">
        <v>27.9</v>
      </c>
      <c r="J192" s="26">
        <v>45460</v>
      </c>
      <c r="K192" s="22">
        <v>40390</v>
      </c>
      <c r="L192" s="18">
        <v>43.2</v>
      </c>
      <c r="M192" s="22">
        <v>39200</v>
      </c>
      <c r="N192" s="22">
        <v>1190</v>
      </c>
      <c r="O192" s="18">
        <v>1.27</v>
      </c>
      <c r="P192" s="52">
        <f>IF(COUNTIF(TblPurchases[BatchID],TblOutcomes[[#This Row],[BatchID]])&lt;&gt;1,"n.a.",TblOutcomes[[#This Row],[Qty Wasted]]*SUMIFS(TblPurchases[Unit Cost (CLP)],TblPurchases[BatchID],TblOutcomes[[#This Row],[BatchID]]))</f>
        <v>10927</v>
      </c>
      <c r="Q192" s="51">
        <f>IF(COUNTIF(TblPurchases[BatchID],TblOutcomes[[#This Row],[BatchID]])&lt;&gt;1,"n.a.",SUMIFS(TblPurchases[Purchase Date],TblPurchases[BatchID],TblOutcomes[[#This Row],[BatchID]]))</f>
        <v>45415</v>
      </c>
    </row>
    <row r="193" spans="2:17" x14ac:dyDescent="0.25">
      <c r="B193" s="2" t="s">
        <v>997</v>
      </c>
      <c r="C193" s="2" t="s">
        <v>130</v>
      </c>
      <c r="D193" s="2" t="s">
        <v>122</v>
      </c>
      <c r="E193" s="2" t="s">
        <v>4647</v>
      </c>
      <c r="F193" s="2">
        <v>14</v>
      </c>
      <c r="G193" s="2">
        <v>14</v>
      </c>
      <c r="H193" s="2">
        <v>0</v>
      </c>
      <c r="I193" s="1">
        <v>0</v>
      </c>
      <c r="J193" s="26">
        <v>45433</v>
      </c>
      <c r="K193" s="22">
        <v>49000</v>
      </c>
      <c r="L193" s="18">
        <v>52.41</v>
      </c>
      <c r="M193" s="22">
        <v>34300</v>
      </c>
      <c r="N193" s="22">
        <v>14700</v>
      </c>
      <c r="O193" s="18">
        <v>15.72</v>
      </c>
      <c r="P193" s="52">
        <f>IF(COUNTIF(TblPurchases[BatchID],TblOutcomes[[#This Row],[BatchID]])&lt;&gt;1,"n.a.",TblOutcomes[[#This Row],[Qty Wasted]]*SUMIFS(TblPurchases[Unit Cost (CLP)],TblPurchases[BatchID],TblOutcomes[[#This Row],[BatchID]]))</f>
        <v>0</v>
      </c>
      <c r="Q193" s="51">
        <f>IF(COUNTIF(TblPurchases[BatchID],TblOutcomes[[#This Row],[BatchID]])&lt;&gt;1,"n.a.",SUMIFS(TblPurchases[Purchase Date],TblPurchases[BatchID],TblOutcomes[[#This Row],[BatchID]]))</f>
        <v>45427</v>
      </c>
    </row>
    <row r="194" spans="2:17" x14ac:dyDescent="0.25">
      <c r="B194" s="2" t="s">
        <v>998</v>
      </c>
      <c r="C194" s="2" t="s">
        <v>130</v>
      </c>
      <c r="D194" s="2" t="s">
        <v>122</v>
      </c>
      <c r="E194" s="2" t="s">
        <v>4646</v>
      </c>
      <c r="F194" s="2">
        <v>17</v>
      </c>
      <c r="G194" s="2">
        <v>14.52</v>
      </c>
      <c r="H194" s="2">
        <v>2.48</v>
      </c>
      <c r="I194" s="1">
        <v>14.6</v>
      </c>
      <c r="J194" s="26">
        <v>45485</v>
      </c>
      <c r="K194" s="22">
        <v>50820</v>
      </c>
      <c r="L194" s="18">
        <v>54.35</v>
      </c>
      <c r="M194" s="22">
        <v>41650</v>
      </c>
      <c r="N194" s="22">
        <v>9170</v>
      </c>
      <c r="O194" s="18">
        <v>9.81</v>
      </c>
      <c r="P194" s="52">
        <f>IF(COUNTIF(TblPurchases[BatchID],TblOutcomes[[#This Row],[BatchID]])&lt;&gt;1,"n.a.",TblOutcomes[[#This Row],[Qty Wasted]]*SUMIFS(TblPurchases[Unit Cost (CLP)],TblPurchases[BatchID],TblOutcomes[[#This Row],[BatchID]]))</f>
        <v>6076</v>
      </c>
      <c r="Q194" s="51">
        <f>IF(COUNTIF(TblPurchases[BatchID],TblOutcomes[[#This Row],[BatchID]])&lt;&gt;1,"n.a.",SUMIFS(TblPurchases[Purchase Date],TblPurchases[BatchID],TblOutcomes[[#This Row],[BatchID]]))</f>
        <v>45440</v>
      </c>
    </row>
    <row r="195" spans="2:17" x14ac:dyDescent="0.25">
      <c r="B195" s="2" t="s">
        <v>999</v>
      </c>
      <c r="C195" s="2" t="s">
        <v>130</v>
      </c>
      <c r="D195" s="2" t="s">
        <v>122</v>
      </c>
      <c r="E195" s="2" t="s">
        <v>4647</v>
      </c>
      <c r="F195" s="2">
        <v>16</v>
      </c>
      <c r="G195" s="2">
        <v>16</v>
      </c>
      <c r="H195" s="2">
        <v>0</v>
      </c>
      <c r="I195" s="1">
        <v>0</v>
      </c>
      <c r="J195" s="26">
        <v>45457</v>
      </c>
      <c r="K195" s="22">
        <v>56000</v>
      </c>
      <c r="L195" s="18">
        <v>59.89</v>
      </c>
      <c r="M195" s="22">
        <v>39200</v>
      </c>
      <c r="N195" s="22">
        <v>16800</v>
      </c>
      <c r="O195" s="18">
        <v>17.97</v>
      </c>
      <c r="P195" s="52">
        <f>IF(COUNTIF(TblPurchases[BatchID],TblOutcomes[[#This Row],[BatchID]])&lt;&gt;1,"n.a.",TblOutcomes[[#This Row],[Qty Wasted]]*SUMIFS(TblPurchases[Unit Cost (CLP)],TblPurchases[BatchID],TblOutcomes[[#This Row],[BatchID]]))</f>
        <v>0</v>
      </c>
      <c r="Q195" s="51">
        <f>IF(COUNTIF(TblPurchases[BatchID],TblOutcomes[[#This Row],[BatchID]])&lt;&gt;1,"n.a.",SUMIFS(TblPurchases[Purchase Date],TblPurchases[BatchID],TblOutcomes[[#This Row],[BatchID]]))</f>
        <v>45453</v>
      </c>
    </row>
    <row r="196" spans="2:17" x14ac:dyDescent="0.25">
      <c r="B196" s="2" t="s">
        <v>1000</v>
      </c>
      <c r="C196" s="2" t="s">
        <v>130</v>
      </c>
      <c r="D196" s="2" t="s">
        <v>122</v>
      </c>
      <c r="E196" s="2" t="s">
        <v>4647</v>
      </c>
      <c r="F196" s="2">
        <v>17</v>
      </c>
      <c r="G196" s="2">
        <v>17</v>
      </c>
      <c r="H196" s="2">
        <v>0</v>
      </c>
      <c r="I196" s="1">
        <v>0</v>
      </c>
      <c r="J196" s="26">
        <v>45468</v>
      </c>
      <c r="K196" s="22">
        <v>59500</v>
      </c>
      <c r="L196" s="18">
        <v>63.64</v>
      </c>
      <c r="M196" s="22">
        <v>41650</v>
      </c>
      <c r="N196" s="22">
        <v>17850</v>
      </c>
      <c r="O196" s="18">
        <v>19.09</v>
      </c>
      <c r="P196" s="52">
        <f>IF(COUNTIF(TblPurchases[BatchID],TblOutcomes[[#This Row],[BatchID]])&lt;&gt;1,"n.a.",TblOutcomes[[#This Row],[Qty Wasted]]*SUMIFS(TblPurchases[Unit Cost (CLP)],TblPurchases[BatchID],TblOutcomes[[#This Row],[BatchID]]))</f>
        <v>0</v>
      </c>
      <c r="Q196" s="51">
        <f>IF(COUNTIF(TblPurchases[BatchID],TblOutcomes[[#This Row],[BatchID]])&lt;&gt;1,"n.a.",SUMIFS(TblPurchases[Purchase Date],TblPurchases[BatchID],TblOutcomes[[#This Row],[BatchID]]))</f>
        <v>45459</v>
      </c>
    </row>
    <row r="197" spans="2:17" x14ac:dyDescent="0.25">
      <c r="B197" s="2" t="s">
        <v>1001</v>
      </c>
      <c r="C197" s="2" t="s">
        <v>130</v>
      </c>
      <c r="D197" s="2" t="s">
        <v>122</v>
      </c>
      <c r="E197" s="2" t="s">
        <v>4647</v>
      </c>
      <c r="F197" s="2">
        <v>15</v>
      </c>
      <c r="G197" s="2">
        <v>15</v>
      </c>
      <c r="H197" s="2">
        <v>0</v>
      </c>
      <c r="I197" s="1">
        <v>0</v>
      </c>
      <c r="J197" s="26">
        <v>45474</v>
      </c>
      <c r="K197" s="22">
        <v>52500</v>
      </c>
      <c r="L197" s="18">
        <v>56.15</v>
      </c>
      <c r="M197" s="22">
        <v>36750</v>
      </c>
      <c r="N197" s="22">
        <v>15750</v>
      </c>
      <c r="O197" s="18">
        <v>16.84</v>
      </c>
      <c r="P197" s="52">
        <f>IF(COUNTIF(TblPurchases[BatchID],TblOutcomes[[#This Row],[BatchID]])&lt;&gt;1,"n.a.",TblOutcomes[[#This Row],[Qty Wasted]]*SUMIFS(TblPurchases[Unit Cost (CLP)],TblPurchases[BatchID],TblOutcomes[[#This Row],[BatchID]]))</f>
        <v>0</v>
      </c>
      <c r="Q197" s="51">
        <f>IF(COUNTIF(TblPurchases[BatchID],TblOutcomes[[#This Row],[BatchID]])&lt;&gt;1,"n.a.",SUMIFS(TblPurchases[Purchase Date],TblPurchases[BatchID],TblOutcomes[[#This Row],[BatchID]]))</f>
        <v>45467</v>
      </c>
    </row>
    <row r="198" spans="2:17" x14ac:dyDescent="0.25">
      <c r="B198" s="2" t="s">
        <v>1002</v>
      </c>
      <c r="C198" s="2" t="s">
        <v>130</v>
      </c>
      <c r="D198" s="2" t="s">
        <v>122</v>
      </c>
      <c r="E198" s="2" t="s">
        <v>4646</v>
      </c>
      <c r="F198" s="2">
        <v>13</v>
      </c>
      <c r="G198" s="2">
        <v>9.6199999999999992</v>
      </c>
      <c r="H198" s="2">
        <v>3.38</v>
      </c>
      <c r="I198" s="1">
        <v>26</v>
      </c>
      <c r="J198" s="26">
        <v>45522</v>
      </c>
      <c r="K198" s="22">
        <v>33670</v>
      </c>
      <c r="L198" s="18">
        <v>36.01</v>
      </c>
      <c r="M198" s="22">
        <v>31850</v>
      </c>
      <c r="N198" s="22">
        <v>1820</v>
      </c>
      <c r="O198" s="18">
        <v>1.95</v>
      </c>
      <c r="P198" s="52">
        <f>IF(COUNTIF(TblPurchases[BatchID],TblOutcomes[[#This Row],[BatchID]])&lt;&gt;1,"n.a.",TblOutcomes[[#This Row],[Qty Wasted]]*SUMIFS(TblPurchases[Unit Cost (CLP)],TblPurchases[BatchID],TblOutcomes[[#This Row],[BatchID]]))</f>
        <v>8281</v>
      </c>
      <c r="Q198" s="51">
        <f>IF(COUNTIF(TblPurchases[BatchID],TblOutcomes[[#This Row],[BatchID]])&lt;&gt;1,"n.a.",SUMIFS(TblPurchases[Purchase Date],TblPurchases[BatchID],TblOutcomes[[#This Row],[BatchID]]))</f>
        <v>45477</v>
      </c>
    </row>
    <row r="199" spans="2:17" x14ac:dyDescent="0.25">
      <c r="B199" s="2" t="s">
        <v>1003</v>
      </c>
      <c r="C199" s="2" t="s">
        <v>130</v>
      </c>
      <c r="D199" s="2" t="s">
        <v>122</v>
      </c>
      <c r="E199" s="2" t="s">
        <v>4647</v>
      </c>
      <c r="F199" s="2">
        <v>14</v>
      </c>
      <c r="G199" s="2">
        <v>14</v>
      </c>
      <c r="H199" s="2">
        <v>0</v>
      </c>
      <c r="I199" s="1">
        <v>0</v>
      </c>
      <c r="J199" s="26">
        <v>45490</v>
      </c>
      <c r="K199" s="22">
        <v>49000</v>
      </c>
      <c r="L199" s="18">
        <v>52.41</v>
      </c>
      <c r="M199" s="22">
        <v>34300</v>
      </c>
      <c r="N199" s="22">
        <v>14700</v>
      </c>
      <c r="O199" s="18">
        <v>15.72</v>
      </c>
      <c r="P199" s="52">
        <f>IF(COUNTIF(TblPurchases[BatchID],TblOutcomes[[#This Row],[BatchID]])&lt;&gt;1,"n.a.",TblOutcomes[[#This Row],[Qty Wasted]]*SUMIFS(TblPurchases[Unit Cost (CLP)],TblPurchases[BatchID],TblOutcomes[[#This Row],[BatchID]]))</f>
        <v>0</v>
      </c>
      <c r="Q199" s="51">
        <f>IF(COUNTIF(TblPurchases[BatchID],TblOutcomes[[#This Row],[BatchID]])&lt;&gt;1,"n.a.",SUMIFS(TblPurchases[Purchase Date],TblPurchases[BatchID],TblOutcomes[[#This Row],[BatchID]]))</f>
        <v>45483</v>
      </c>
    </row>
    <row r="200" spans="2:17" x14ac:dyDescent="0.25">
      <c r="B200" s="2" t="s">
        <v>1004</v>
      </c>
      <c r="C200" s="2" t="s">
        <v>130</v>
      </c>
      <c r="D200" s="2" t="s">
        <v>122</v>
      </c>
      <c r="E200" s="2" t="s">
        <v>4646</v>
      </c>
      <c r="F200" s="2">
        <v>17</v>
      </c>
      <c r="G200" s="2">
        <v>13.28</v>
      </c>
      <c r="H200" s="2">
        <v>3.72</v>
      </c>
      <c r="I200" s="1">
        <v>21.9</v>
      </c>
      <c r="J200" s="26">
        <v>45539</v>
      </c>
      <c r="K200" s="22">
        <v>46480</v>
      </c>
      <c r="L200" s="18">
        <v>49.71</v>
      </c>
      <c r="M200" s="22">
        <v>41650</v>
      </c>
      <c r="N200" s="22">
        <v>4830</v>
      </c>
      <c r="O200" s="18">
        <v>5.17</v>
      </c>
      <c r="P200" s="52">
        <f>IF(COUNTIF(TblPurchases[BatchID],TblOutcomes[[#This Row],[BatchID]])&lt;&gt;1,"n.a.",TblOutcomes[[#This Row],[Qty Wasted]]*SUMIFS(TblPurchases[Unit Cost (CLP)],TblPurchases[BatchID],TblOutcomes[[#This Row],[BatchID]]))</f>
        <v>9114</v>
      </c>
      <c r="Q200" s="51">
        <f>IF(COUNTIF(TblPurchases[BatchID],TblOutcomes[[#This Row],[BatchID]])&lt;&gt;1,"n.a.",SUMIFS(TblPurchases[Purchase Date],TblPurchases[BatchID],TblOutcomes[[#This Row],[BatchID]]))</f>
        <v>45494</v>
      </c>
    </row>
    <row r="201" spans="2:17" x14ac:dyDescent="0.25">
      <c r="B201" s="2" t="s">
        <v>1005</v>
      </c>
      <c r="C201" s="2" t="s">
        <v>130</v>
      </c>
      <c r="D201" s="2" t="s">
        <v>122</v>
      </c>
      <c r="E201" s="2" t="s">
        <v>4646</v>
      </c>
      <c r="F201" s="2">
        <v>14</v>
      </c>
      <c r="G201" s="2">
        <v>10.32</v>
      </c>
      <c r="H201" s="2">
        <v>3.68</v>
      </c>
      <c r="I201" s="1">
        <v>26.3</v>
      </c>
      <c r="J201" s="26">
        <v>45549</v>
      </c>
      <c r="K201" s="22">
        <v>36120</v>
      </c>
      <c r="L201" s="18">
        <v>38.630000000000003</v>
      </c>
      <c r="M201" s="22">
        <v>34300</v>
      </c>
      <c r="N201" s="22">
        <v>1820</v>
      </c>
      <c r="O201" s="18">
        <v>1.95</v>
      </c>
      <c r="P201" s="52">
        <f>IF(COUNTIF(TblPurchases[BatchID],TblOutcomes[[#This Row],[BatchID]])&lt;&gt;1,"n.a.",TblOutcomes[[#This Row],[Qty Wasted]]*SUMIFS(TblPurchases[Unit Cost (CLP)],TblPurchases[BatchID],TblOutcomes[[#This Row],[BatchID]]))</f>
        <v>9016</v>
      </c>
      <c r="Q201" s="51">
        <f>IF(COUNTIF(TblPurchases[BatchID],TblOutcomes[[#This Row],[BatchID]])&lt;&gt;1,"n.a.",SUMIFS(TblPurchases[Purchase Date],TblPurchases[BatchID],TblOutcomes[[#This Row],[BatchID]]))</f>
        <v>45504</v>
      </c>
    </row>
    <row r="202" spans="2:17" x14ac:dyDescent="0.25">
      <c r="B202" s="2" t="s">
        <v>1006</v>
      </c>
      <c r="C202" s="2" t="s">
        <v>130</v>
      </c>
      <c r="D202" s="2" t="s">
        <v>122</v>
      </c>
      <c r="E202" s="2" t="s">
        <v>4646</v>
      </c>
      <c r="F202" s="2">
        <v>14</v>
      </c>
      <c r="G202" s="2">
        <v>10.53</v>
      </c>
      <c r="H202" s="2">
        <v>3.47</v>
      </c>
      <c r="I202" s="1">
        <v>24.8</v>
      </c>
      <c r="J202" s="26">
        <v>45561</v>
      </c>
      <c r="K202" s="22">
        <v>36855</v>
      </c>
      <c r="L202" s="18">
        <v>39.42</v>
      </c>
      <c r="M202" s="22">
        <v>34300</v>
      </c>
      <c r="N202" s="22">
        <v>2555</v>
      </c>
      <c r="O202" s="18">
        <v>2.73</v>
      </c>
      <c r="P202" s="52">
        <f>IF(COUNTIF(TblPurchases[BatchID],TblOutcomes[[#This Row],[BatchID]])&lt;&gt;1,"n.a.",TblOutcomes[[#This Row],[Qty Wasted]]*SUMIFS(TblPurchases[Unit Cost (CLP)],TblPurchases[BatchID],TblOutcomes[[#This Row],[BatchID]]))</f>
        <v>8501.5</v>
      </c>
      <c r="Q202" s="51">
        <f>IF(COUNTIF(TblPurchases[BatchID],TblOutcomes[[#This Row],[BatchID]])&lt;&gt;1,"n.a.",SUMIFS(TblPurchases[Purchase Date],TblPurchases[BatchID],TblOutcomes[[#This Row],[BatchID]]))</f>
        <v>45516</v>
      </c>
    </row>
    <row r="203" spans="2:17" x14ac:dyDescent="0.25">
      <c r="B203" s="2" t="s">
        <v>1007</v>
      </c>
      <c r="C203" s="2" t="s">
        <v>130</v>
      </c>
      <c r="D203" s="2" t="s">
        <v>122</v>
      </c>
      <c r="E203" s="2" t="s">
        <v>4647</v>
      </c>
      <c r="F203" s="2">
        <v>14</v>
      </c>
      <c r="G203" s="2">
        <v>14</v>
      </c>
      <c r="H203" s="2">
        <v>0</v>
      </c>
      <c r="I203" s="1">
        <v>0</v>
      </c>
      <c r="J203" s="26">
        <v>45536</v>
      </c>
      <c r="K203" s="22">
        <v>49000</v>
      </c>
      <c r="L203" s="18">
        <v>52.41</v>
      </c>
      <c r="M203" s="22">
        <v>34300</v>
      </c>
      <c r="N203" s="22">
        <v>14700</v>
      </c>
      <c r="O203" s="18">
        <v>15.72</v>
      </c>
      <c r="P203" s="52">
        <f>IF(COUNTIF(TblPurchases[BatchID],TblOutcomes[[#This Row],[BatchID]])&lt;&gt;1,"n.a.",TblOutcomes[[#This Row],[Qty Wasted]]*SUMIFS(TblPurchases[Unit Cost (CLP)],TblPurchases[BatchID],TblOutcomes[[#This Row],[BatchID]]))</f>
        <v>0</v>
      </c>
      <c r="Q203" s="51">
        <f>IF(COUNTIF(TblPurchases[BatchID],TblOutcomes[[#This Row],[BatchID]])&lt;&gt;1,"n.a.",SUMIFS(TblPurchases[Purchase Date],TblPurchases[BatchID],TblOutcomes[[#This Row],[BatchID]]))</f>
        <v>45526</v>
      </c>
    </row>
    <row r="204" spans="2:17" x14ac:dyDescent="0.25">
      <c r="B204" s="2" t="s">
        <v>1008</v>
      </c>
      <c r="C204" s="2" t="s">
        <v>130</v>
      </c>
      <c r="D204" s="2" t="s">
        <v>122</v>
      </c>
      <c r="E204" s="2" t="s">
        <v>4646</v>
      </c>
      <c r="F204" s="2">
        <v>17</v>
      </c>
      <c r="G204" s="2">
        <v>12.87</v>
      </c>
      <c r="H204" s="2">
        <v>4.13</v>
      </c>
      <c r="I204" s="1">
        <v>24.3</v>
      </c>
      <c r="J204" s="26">
        <v>45580</v>
      </c>
      <c r="K204" s="22">
        <v>45045</v>
      </c>
      <c r="L204" s="18">
        <v>48.18</v>
      </c>
      <c r="M204" s="22">
        <v>41650</v>
      </c>
      <c r="N204" s="22">
        <v>3395</v>
      </c>
      <c r="O204" s="18">
        <v>3.63</v>
      </c>
      <c r="P204" s="52">
        <f>IF(COUNTIF(TblPurchases[BatchID],TblOutcomes[[#This Row],[BatchID]])&lt;&gt;1,"n.a.",TblOutcomes[[#This Row],[Qty Wasted]]*SUMIFS(TblPurchases[Unit Cost (CLP)],TblPurchases[BatchID],TblOutcomes[[#This Row],[BatchID]]))</f>
        <v>10118.5</v>
      </c>
      <c r="Q204" s="51">
        <f>IF(COUNTIF(TblPurchases[BatchID],TblOutcomes[[#This Row],[BatchID]])&lt;&gt;1,"n.a.",SUMIFS(TblPurchases[Purchase Date],TblPurchases[BatchID],TblOutcomes[[#This Row],[BatchID]]))</f>
        <v>45535</v>
      </c>
    </row>
    <row r="205" spans="2:17" x14ac:dyDescent="0.25">
      <c r="B205" s="2" t="s">
        <v>1009</v>
      </c>
      <c r="C205" s="2" t="s">
        <v>130</v>
      </c>
      <c r="D205" s="2" t="s">
        <v>122</v>
      </c>
      <c r="E205" s="2" t="s">
        <v>4647</v>
      </c>
      <c r="F205" s="2">
        <v>22</v>
      </c>
      <c r="G205" s="2">
        <v>22</v>
      </c>
      <c r="H205" s="2">
        <v>0</v>
      </c>
      <c r="I205" s="1">
        <v>0</v>
      </c>
      <c r="J205" s="26">
        <v>45555</v>
      </c>
      <c r="K205" s="22">
        <v>77000</v>
      </c>
      <c r="L205" s="18">
        <v>82.35</v>
      </c>
      <c r="M205" s="22">
        <v>53900</v>
      </c>
      <c r="N205" s="22">
        <v>23100</v>
      </c>
      <c r="O205" s="18">
        <v>24.71</v>
      </c>
      <c r="P205" s="52">
        <f>IF(COUNTIF(TblPurchases[BatchID],TblOutcomes[[#This Row],[BatchID]])&lt;&gt;1,"n.a.",TblOutcomes[[#This Row],[Qty Wasted]]*SUMIFS(TblPurchases[Unit Cost (CLP)],TblPurchases[BatchID],TblOutcomes[[#This Row],[BatchID]]))</f>
        <v>0</v>
      </c>
      <c r="Q205" s="51">
        <f>IF(COUNTIF(TblPurchases[BatchID],TblOutcomes[[#This Row],[BatchID]])&lt;&gt;1,"n.a.",SUMIFS(TblPurchases[Purchase Date],TblPurchases[BatchID],TblOutcomes[[#This Row],[BatchID]]))</f>
        <v>45545</v>
      </c>
    </row>
    <row r="206" spans="2:17" x14ac:dyDescent="0.25">
      <c r="B206" s="2" t="s">
        <v>1010</v>
      </c>
      <c r="C206" s="2" t="s">
        <v>130</v>
      </c>
      <c r="D206" s="2" t="s">
        <v>122</v>
      </c>
      <c r="E206" s="2" t="s">
        <v>4647</v>
      </c>
      <c r="F206" s="2">
        <v>16</v>
      </c>
      <c r="G206" s="2">
        <v>16</v>
      </c>
      <c r="H206" s="2">
        <v>0</v>
      </c>
      <c r="I206" s="1">
        <v>0</v>
      </c>
      <c r="J206" s="26">
        <v>45562</v>
      </c>
      <c r="K206" s="22">
        <v>56000</v>
      </c>
      <c r="L206" s="18">
        <v>59.89</v>
      </c>
      <c r="M206" s="22">
        <v>39200</v>
      </c>
      <c r="N206" s="22">
        <v>16800</v>
      </c>
      <c r="O206" s="18">
        <v>17.97</v>
      </c>
      <c r="P206" s="52">
        <f>IF(COUNTIF(TblPurchases[BatchID],TblOutcomes[[#This Row],[BatchID]])&lt;&gt;1,"n.a.",TblOutcomes[[#This Row],[Qty Wasted]]*SUMIFS(TblPurchases[Unit Cost (CLP)],TblPurchases[BatchID],TblOutcomes[[#This Row],[BatchID]]))</f>
        <v>0</v>
      </c>
      <c r="Q206" s="51">
        <f>IF(COUNTIF(TblPurchases[BatchID],TblOutcomes[[#This Row],[BatchID]])&lt;&gt;1,"n.a.",SUMIFS(TblPurchases[Purchase Date],TblPurchases[BatchID],TblOutcomes[[#This Row],[BatchID]]))</f>
        <v>45555</v>
      </c>
    </row>
    <row r="207" spans="2:17" x14ac:dyDescent="0.25">
      <c r="B207" s="2" t="s">
        <v>1011</v>
      </c>
      <c r="C207" s="2" t="s">
        <v>130</v>
      </c>
      <c r="D207" s="2" t="s">
        <v>122</v>
      </c>
      <c r="E207" s="2" t="s">
        <v>4646</v>
      </c>
      <c r="F207" s="2">
        <v>20</v>
      </c>
      <c r="G207" s="2">
        <v>18.34</v>
      </c>
      <c r="H207" s="2">
        <v>1.66</v>
      </c>
      <c r="I207" s="1">
        <v>8.3000000000000007</v>
      </c>
      <c r="J207" s="26">
        <v>45610</v>
      </c>
      <c r="K207" s="22">
        <v>64190</v>
      </c>
      <c r="L207" s="18">
        <v>68.650000000000006</v>
      </c>
      <c r="M207" s="22">
        <v>49000</v>
      </c>
      <c r="N207" s="22">
        <v>15190</v>
      </c>
      <c r="O207" s="18">
        <v>16.25</v>
      </c>
      <c r="P207" s="52">
        <f>IF(COUNTIF(TblPurchases[BatchID],TblOutcomes[[#This Row],[BatchID]])&lt;&gt;1,"n.a.",TblOutcomes[[#This Row],[Qty Wasted]]*SUMIFS(TblPurchases[Unit Cost (CLP)],TblPurchases[BatchID],TblOutcomes[[#This Row],[BatchID]]))</f>
        <v>4067</v>
      </c>
      <c r="Q207" s="51">
        <f>IF(COUNTIF(TblPurchases[BatchID],TblOutcomes[[#This Row],[BatchID]])&lt;&gt;1,"n.a.",SUMIFS(TblPurchases[Purchase Date],TblPurchases[BatchID],TblOutcomes[[#This Row],[BatchID]]))</f>
        <v>45565</v>
      </c>
    </row>
    <row r="208" spans="2:17" x14ac:dyDescent="0.25">
      <c r="B208" s="2" t="s">
        <v>1012</v>
      </c>
      <c r="C208" s="2" t="s">
        <v>130</v>
      </c>
      <c r="D208" s="2" t="s">
        <v>122</v>
      </c>
      <c r="E208" s="2" t="s">
        <v>4646</v>
      </c>
      <c r="F208" s="2">
        <v>38</v>
      </c>
      <c r="G208" s="2">
        <v>30.36</v>
      </c>
      <c r="H208" s="2">
        <v>7.64</v>
      </c>
      <c r="I208" s="1">
        <v>20.100000000000001</v>
      </c>
      <c r="J208" s="26">
        <v>45619</v>
      </c>
      <c r="K208" s="22">
        <v>106260</v>
      </c>
      <c r="L208" s="18">
        <v>113.65</v>
      </c>
      <c r="M208" s="22">
        <v>98800</v>
      </c>
      <c r="N208" s="22">
        <v>7460</v>
      </c>
      <c r="O208" s="18">
        <v>7.98</v>
      </c>
      <c r="P208" s="52">
        <f>IF(COUNTIF(TblPurchases[BatchID],TblOutcomes[[#This Row],[BatchID]])&lt;&gt;1,"n.a.",TblOutcomes[[#This Row],[Qty Wasted]]*SUMIFS(TblPurchases[Unit Cost (CLP)],TblPurchases[BatchID],TblOutcomes[[#This Row],[BatchID]]))</f>
        <v>19864</v>
      </c>
      <c r="Q208" s="51">
        <f>IF(COUNTIF(TblPurchases[BatchID],TblOutcomes[[#This Row],[BatchID]])&lt;&gt;1,"n.a.",SUMIFS(TblPurchases[Purchase Date],TblPurchases[BatchID],TblOutcomes[[#This Row],[BatchID]]))</f>
        <v>45574</v>
      </c>
    </row>
    <row r="209" spans="2:17" x14ac:dyDescent="0.25">
      <c r="B209" s="2" t="s">
        <v>1013</v>
      </c>
      <c r="C209" s="2" t="s">
        <v>130</v>
      </c>
      <c r="D209" s="2" t="s">
        <v>122</v>
      </c>
      <c r="E209" s="2" t="s">
        <v>4647</v>
      </c>
      <c r="F209" s="2">
        <v>40</v>
      </c>
      <c r="G209" s="2">
        <v>40</v>
      </c>
      <c r="H209" s="2">
        <v>0</v>
      </c>
      <c r="I209" s="1">
        <v>0</v>
      </c>
      <c r="J209" s="26">
        <v>45590</v>
      </c>
      <c r="K209" s="22">
        <v>140000</v>
      </c>
      <c r="L209" s="18">
        <v>149.72999999999999</v>
      </c>
      <c r="M209" s="22">
        <v>98000</v>
      </c>
      <c r="N209" s="22">
        <v>42000</v>
      </c>
      <c r="O209" s="18">
        <v>44.92</v>
      </c>
      <c r="P209" s="52">
        <f>IF(COUNTIF(TblPurchases[BatchID],TblOutcomes[[#This Row],[BatchID]])&lt;&gt;1,"n.a.",TblOutcomes[[#This Row],[Qty Wasted]]*SUMIFS(TblPurchases[Unit Cost (CLP)],TblPurchases[BatchID],TblOutcomes[[#This Row],[BatchID]]))</f>
        <v>0</v>
      </c>
      <c r="Q209" s="51">
        <f>IF(COUNTIF(TblPurchases[BatchID],TblOutcomes[[#This Row],[BatchID]])&lt;&gt;1,"n.a.",SUMIFS(TblPurchases[Purchase Date],TblPurchases[BatchID],TblOutcomes[[#This Row],[BatchID]]))</f>
        <v>45584</v>
      </c>
    </row>
    <row r="210" spans="2:17" x14ac:dyDescent="0.25">
      <c r="B210" s="2" t="s">
        <v>1014</v>
      </c>
      <c r="C210" s="2" t="s">
        <v>130</v>
      </c>
      <c r="D210" s="2" t="s">
        <v>122</v>
      </c>
      <c r="E210" s="2" t="s">
        <v>4647</v>
      </c>
      <c r="F210" s="2">
        <v>36</v>
      </c>
      <c r="G210" s="2">
        <v>36</v>
      </c>
      <c r="H210" s="2">
        <v>0</v>
      </c>
      <c r="I210" s="1">
        <v>0</v>
      </c>
      <c r="J210" s="26">
        <v>45601</v>
      </c>
      <c r="K210" s="22">
        <v>126000</v>
      </c>
      <c r="L210" s="18">
        <v>134.76</v>
      </c>
      <c r="M210" s="22">
        <v>88200</v>
      </c>
      <c r="N210" s="22">
        <v>37800</v>
      </c>
      <c r="O210" s="18">
        <v>40.43</v>
      </c>
      <c r="P210" s="52">
        <f>IF(COUNTIF(TblPurchases[BatchID],TblOutcomes[[#This Row],[BatchID]])&lt;&gt;1,"n.a.",TblOutcomes[[#This Row],[Qty Wasted]]*SUMIFS(TblPurchases[Unit Cost (CLP)],TblPurchases[BatchID],TblOutcomes[[#This Row],[BatchID]]))</f>
        <v>0</v>
      </c>
      <c r="Q210" s="51">
        <f>IF(COUNTIF(TblPurchases[BatchID],TblOutcomes[[#This Row],[BatchID]])&lt;&gt;1,"n.a.",SUMIFS(TblPurchases[Purchase Date],TblPurchases[BatchID],TblOutcomes[[#This Row],[BatchID]]))</f>
        <v>45593</v>
      </c>
    </row>
    <row r="211" spans="2:17" x14ac:dyDescent="0.25">
      <c r="B211" s="2" t="s">
        <v>1015</v>
      </c>
      <c r="C211" s="2" t="s">
        <v>130</v>
      </c>
      <c r="D211" s="2" t="s">
        <v>122</v>
      </c>
      <c r="E211" s="2" t="s">
        <v>4647</v>
      </c>
      <c r="F211" s="2">
        <v>38</v>
      </c>
      <c r="G211" s="2">
        <v>38</v>
      </c>
      <c r="H211" s="2">
        <v>0</v>
      </c>
      <c r="I211" s="1">
        <v>0</v>
      </c>
      <c r="J211" s="26">
        <v>45609</v>
      </c>
      <c r="K211" s="22">
        <v>133000</v>
      </c>
      <c r="L211" s="18">
        <v>142.25</v>
      </c>
      <c r="M211" s="22">
        <v>93100</v>
      </c>
      <c r="N211" s="22">
        <v>39900</v>
      </c>
      <c r="O211" s="18">
        <v>42.67</v>
      </c>
      <c r="P211" s="52">
        <f>IF(COUNTIF(TblPurchases[BatchID],TblOutcomes[[#This Row],[BatchID]])&lt;&gt;1,"n.a.",TblOutcomes[[#This Row],[Qty Wasted]]*SUMIFS(TblPurchases[Unit Cost (CLP)],TblPurchases[BatchID],TblOutcomes[[#This Row],[BatchID]]))</f>
        <v>0</v>
      </c>
      <c r="Q211" s="51">
        <f>IF(COUNTIF(TblPurchases[BatchID],TblOutcomes[[#This Row],[BatchID]])&lt;&gt;1,"n.a.",SUMIFS(TblPurchases[Purchase Date],TblPurchases[BatchID],TblOutcomes[[#This Row],[BatchID]]))</f>
        <v>45601</v>
      </c>
    </row>
    <row r="212" spans="2:17" x14ac:dyDescent="0.25">
      <c r="B212" s="2" t="s">
        <v>1016</v>
      </c>
      <c r="C212" s="2" t="s">
        <v>130</v>
      </c>
      <c r="D212" s="2" t="s">
        <v>122</v>
      </c>
      <c r="E212" s="2" t="s">
        <v>4647</v>
      </c>
      <c r="F212" s="2">
        <v>42</v>
      </c>
      <c r="G212" s="2">
        <v>42</v>
      </c>
      <c r="H212" s="2">
        <v>0</v>
      </c>
      <c r="I212" s="1">
        <v>0</v>
      </c>
      <c r="J212" s="26">
        <v>45616</v>
      </c>
      <c r="K212" s="22">
        <v>147000</v>
      </c>
      <c r="L212" s="18">
        <v>157.22</v>
      </c>
      <c r="M212" s="22">
        <v>102900</v>
      </c>
      <c r="N212" s="22">
        <v>44100</v>
      </c>
      <c r="O212" s="18">
        <v>47.17</v>
      </c>
      <c r="P212" s="52">
        <f>IF(COUNTIF(TblPurchases[BatchID],TblOutcomes[[#This Row],[BatchID]])&lt;&gt;1,"n.a.",TblOutcomes[[#This Row],[Qty Wasted]]*SUMIFS(TblPurchases[Unit Cost (CLP)],TblPurchases[BatchID],TblOutcomes[[#This Row],[BatchID]]))</f>
        <v>0</v>
      </c>
      <c r="Q212" s="51">
        <f>IF(COUNTIF(TblPurchases[BatchID],TblOutcomes[[#This Row],[BatchID]])&lt;&gt;1,"n.a.",SUMIFS(TblPurchases[Purchase Date],TblPurchases[BatchID],TblOutcomes[[#This Row],[BatchID]]))</f>
        <v>45610</v>
      </c>
    </row>
    <row r="213" spans="2:17" x14ac:dyDescent="0.25">
      <c r="B213" s="2" t="s">
        <v>1017</v>
      </c>
      <c r="C213" s="2" t="s">
        <v>130</v>
      </c>
      <c r="D213" s="2" t="s">
        <v>122</v>
      </c>
      <c r="E213" s="2" t="s">
        <v>4647</v>
      </c>
      <c r="F213" s="2">
        <v>35</v>
      </c>
      <c r="G213" s="2">
        <v>35</v>
      </c>
      <c r="H213" s="2">
        <v>0</v>
      </c>
      <c r="I213" s="1">
        <v>0</v>
      </c>
      <c r="J213" s="26">
        <v>45631</v>
      </c>
      <c r="K213" s="22">
        <v>122500</v>
      </c>
      <c r="L213" s="18">
        <v>131.02000000000001</v>
      </c>
      <c r="M213" s="22">
        <v>85750</v>
      </c>
      <c r="N213" s="22">
        <v>36750</v>
      </c>
      <c r="O213" s="18">
        <v>39.299999999999997</v>
      </c>
      <c r="P213" s="52">
        <f>IF(COUNTIF(TblPurchases[BatchID],TblOutcomes[[#This Row],[BatchID]])&lt;&gt;1,"n.a.",TblOutcomes[[#This Row],[Qty Wasted]]*SUMIFS(TblPurchases[Unit Cost (CLP)],TblPurchases[BatchID],TblOutcomes[[#This Row],[BatchID]]))</f>
        <v>0</v>
      </c>
      <c r="Q213" s="51">
        <f>IF(COUNTIF(TblPurchases[BatchID],TblOutcomes[[#This Row],[BatchID]])&lt;&gt;1,"n.a.",SUMIFS(TblPurchases[Purchase Date],TblPurchases[BatchID],TblOutcomes[[#This Row],[BatchID]]))</f>
        <v>45622</v>
      </c>
    </row>
    <row r="214" spans="2:17" x14ac:dyDescent="0.25">
      <c r="B214" s="2" t="s">
        <v>1018</v>
      </c>
      <c r="C214" s="2" t="s">
        <v>130</v>
      </c>
      <c r="D214" s="2" t="s">
        <v>122</v>
      </c>
      <c r="E214" s="2" t="s">
        <v>4647</v>
      </c>
      <c r="F214" s="2">
        <v>48</v>
      </c>
      <c r="G214" s="2">
        <v>48</v>
      </c>
      <c r="H214" s="2">
        <v>0</v>
      </c>
      <c r="I214" s="1">
        <v>0</v>
      </c>
      <c r="J214" s="26">
        <v>45642</v>
      </c>
      <c r="K214" s="22">
        <v>168000</v>
      </c>
      <c r="L214" s="18">
        <v>179.68</v>
      </c>
      <c r="M214" s="22">
        <v>117600</v>
      </c>
      <c r="N214" s="22">
        <v>50400</v>
      </c>
      <c r="O214" s="18">
        <v>53.9</v>
      </c>
      <c r="P214" s="52">
        <f>IF(COUNTIF(TblPurchases[BatchID],TblOutcomes[[#This Row],[BatchID]])&lt;&gt;1,"n.a.",TblOutcomes[[#This Row],[Qty Wasted]]*SUMIFS(TblPurchases[Unit Cost (CLP)],TblPurchases[BatchID],TblOutcomes[[#This Row],[BatchID]]))</f>
        <v>0</v>
      </c>
      <c r="Q214" s="51">
        <f>IF(COUNTIF(TblPurchases[BatchID],TblOutcomes[[#This Row],[BatchID]])&lt;&gt;1,"n.a.",SUMIFS(TblPurchases[Purchase Date],TblPurchases[BatchID],TblOutcomes[[#This Row],[BatchID]]))</f>
        <v>45633</v>
      </c>
    </row>
    <row r="215" spans="2:17" x14ac:dyDescent="0.25">
      <c r="B215" s="2" t="s">
        <v>1019</v>
      </c>
      <c r="C215" s="2" t="s">
        <v>130</v>
      </c>
      <c r="D215" s="2" t="s">
        <v>122</v>
      </c>
      <c r="E215" s="2" t="s">
        <v>4646</v>
      </c>
      <c r="F215" s="2">
        <v>53</v>
      </c>
      <c r="G215" s="2">
        <v>41.45</v>
      </c>
      <c r="H215" s="2">
        <v>11.55</v>
      </c>
      <c r="I215" s="1">
        <v>21.8</v>
      </c>
      <c r="J215" s="26">
        <v>45688</v>
      </c>
      <c r="K215" s="22">
        <v>145075</v>
      </c>
      <c r="L215" s="18">
        <v>155.16</v>
      </c>
      <c r="M215" s="22">
        <v>129850</v>
      </c>
      <c r="N215" s="22">
        <v>15225</v>
      </c>
      <c r="O215" s="18">
        <v>16.28</v>
      </c>
      <c r="P215" s="52">
        <f>IF(COUNTIF(TblPurchases[BatchID],TblOutcomes[[#This Row],[BatchID]])&lt;&gt;1,"n.a.",TblOutcomes[[#This Row],[Qty Wasted]]*SUMIFS(TblPurchases[Unit Cost (CLP)],TblPurchases[BatchID],TblOutcomes[[#This Row],[BatchID]]))</f>
        <v>28297.5</v>
      </c>
      <c r="Q215" s="51">
        <f>IF(COUNTIF(TblPurchases[BatchID],TblOutcomes[[#This Row],[BatchID]])&lt;&gt;1,"n.a.",SUMIFS(TblPurchases[Purchase Date],TblPurchases[BatchID],TblOutcomes[[#This Row],[BatchID]]))</f>
        <v>45643</v>
      </c>
    </row>
    <row r="216" spans="2:17" x14ac:dyDescent="0.25">
      <c r="B216" s="2" t="s">
        <v>1020</v>
      </c>
      <c r="C216" s="2" t="s">
        <v>130</v>
      </c>
      <c r="D216" s="2" t="s">
        <v>122</v>
      </c>
      <c r="E216" s="2" t="s">
        <v>4647</v>
      </c>
      <c r="F216" s="2">
        <v>58</v>
      </c>
      <c r="G216" s="2">
        <v>58</v>
      </c>
      <c r="H216" s="2">
        <v>0</v>
      </c>
      <c r="I216" s="1">
        <v>0</v>
      </c>
      <c r="J216" s="26">
        <v>45660</v>
      </c>
      <c r="K216" s="22">
        <v>203000</v>
      </c>
      <c r="L216" s="18">
        <v>217.11</v>
      </c>
      <c r="M216" s="22">
        <v>142100</v>
      </c>
      <c r="N216" s="22">
        <v>60900</v>
      </c>
      <c r="O216" s="18">
        <v>65.13</v>
      </c>
      <c r="P216" s="52">
        <f>IF(COUNTIF(TblPurchases[BatchID],TblOutcomes[[#This Row],[BatchID]])&lt;&gt;1,"n.a.",TblOutcomes[[#This Row],[Qty Wasted]]*SUMIFS(TblPurchases[Unit Cost (CLP)],TblPurchases[BatchID],TblOutcomes[[#This Row],[BatchID]]))</f>
        <v>0</v>
      </c>
      <c r="Q216" s="51">
        <f>IF(COUNTIF(TblPurchases[BatchID],TblOutcomes[[#This Row],[BatchID]])&lt;&gt;1,"n.a.",SUMIFS(TblPurchases[Purchase Date],TblPurchases[BatchID],TblOutcomes[[#This Row],[BatchID]]))</f>
        <v>45655</v>
      </c>
    </row>
    <row r="217" spans="2:17" x14ac:dyDescent="0.25">
      <c r="B217" s="2" t="s">
        <v>1021</v>
      </c>
      <c r="C217" s="2" t="s">
        <v>130</v>
      </c>
      <c r="D217" s="2" t="s">
        <v>122</v>
      </c>
      <c r="E217" s="2" t="s">
        <v>4647</v>
      </c>
      <c r="F217" s="2">
        <v>48</v>
      </c>
      <c r="G217" s="2">
        <v>48</v>
      </c>
      <c r="H217" s="2">
        <v>0</v>
      </c>
      <c r="I217" s="1">
        <v>0</v>
      </c>
      <c r="J217" s="26">
        <v>45668</v>
      </c>
      <c r="K217" s="22">
        <v>168000</v>
      </c>
      <c r="L217" s="18">
        <v>179.68</v>
      </c>
      <c r="M217" s="22">
        <v>117600</v>
      </c>
      <c r="N217" s="22">
        <v>50400</v>
      </c>
      <c r="O217" s="18">
        <v>53.9</v>
      </c>
      <c r="P217" s="52">
        <f>IF(COUNTIF(TblPurchases[BatchID],TblOutcomes[[#This Row],[BatchID]])&lt;&gt;1,"n.a.",TblOutcomes[[#This Row],[Qty Wasted]]*SUMIFS(TblPurchases[Unit Cost (CLP)],TblPurchases[BatchID],TblOutcomes[[#This Row],[BatchID]]))</f>
        <v>0</v>
      </c>
      <c r="Q217" s="51">
        <f>IF(COUNTIF(TblPurchases[BatchID],TblOutcomes[[#This Row],[BatchID]])&lt;&gt;1,"n.a.",SUMIFS(TblPurchases[Purchase Date],TblPurchases[BatchID],TblOutcomes[[#This Row],[BatchID]]))</f>
        <v>45662</v>
      </c>
    </row>
    <row r="218" spans="2:17" x14ac:dyDescent="0.25">
      <c r="B218" s="2" t="s">
        <v>1022</v>
      </c>
      <c r="C218" s="2" t="s">
        <v>130</v>
      </c>
      <c r="D218" s="2" t="s">
        <v>122</v>
      </c>
      <c r="E218" s="2" t="s">
        <v>4647</v>
      </c>
      <c r="F218" s="2">
        <v>48</v>
      </c>
      <c r="G218" s="2">
        <v>48</v>
      </c>
      <c r="H218" s="2">
        <v>0</v>
      </c>
      <c r="I218" s="1">
        <v>0</v>
      </c>
      <c r="J218" s="26">
        <v>45679</v>
      </c>
      <c r="K218" s="22">
        <v>168000</v>
      </c>
      <c r="L218" s="18">
        <v>179.68</v>
      </c>
      <c r="M218" s="22">
        <v>117600</v>
      </c>
      <c r="N218" s="22">
        <v>50400</v>
      </c>
      <c r="O218" s="18">
        <v>53.9</v>
      </c>
      <c r="P218" s="52">
        <f>IF(COUNTIF(TblPurchases[BatchID],TblOutcomes[[#This Row],[BatchID]])&lt;&gt;1,"n.a.",TblOutcomes[[#This Row],[Qty Wasted]]*SUMIFS(TblPurchases[Unit Cost (CLP)],TblPurchases[BatchID],TblOutcomes[[#This Row],[BatchID]]))</f>
        <v>0</v>
      </c>
      <c r="Q218" s="51">
        <f>IF(COUNTIF(TblPurchases[BatchID],TblOutcomes[[#This Row],[BatchID]])&lt;&gt;1,"n.a.",SUMIFS(TblPurchases[Purchase Date],TblPurchases[BatchID],TblOutcomes[[#This Row],[BatchID]]))</f>
        <v>45672</v>
      </c>
    </row>
    <row r="219" spans="2:17" x14ac:dyDescent="0.25">
      <c r="B219" s="2" t="s">
        <v>1023</v>
      </c>
      <c r="C219" s="2" t="s">
        <v>130</v>
      </c>
      <c r="D219" s="2" t="s">
        <v>122</v>
      </c>
      <c r="E219" s="2" t="s">
        <v>4646</v>
      </c>
      <c r="F219" s="2">
        <v>41</v>
      </c>
      <c r="G219" s="2">
        <v>27.51</v>
      </c>
      <c r="H219" s="2">
        <v>13.49</v>
      </c>
      <c r="I219" s="1">
        <v>32.9</v>
      </c>
      <c r="J219" s="26">
        <v>45725</v>
      </c>
      <c r="K219" s="22">
        <v>96285</v>
      </c>
      <c r="L219" s="18">
        <v>102.98</v>
      </c>
      <c r="M219" s="22">
        <v>100450</v>
      </c>
      <c r="N219" s="22">
        <v>-4165</v>
      </c>
      <c r="O219" s="18">
        <v>-4.45</v>
      </c>
      <c r="P219" s="52">
        <f>IF(COUNTIF(TblPurchases[BatchID],TblOutcomes[[#This Row],[BatchID]])&lt;&gt;1,"n.a.",TblOutcomes[[#This Row],[Qty Wasted]]*SUMIFS(TblPurchases[Unit Cost (CLP)],TblPurchases[BatchID],TblOutcomes[[#This Row],[BatchID]]))</f>
        <v>33050.5</v>
      </c>
      <c r="Q219" s="51">
        <f>IF(COUNTIF(TblPurchases[BatchID],TblOutcomes[[#This Row],[BatchID]])&lt;&gt;1,"n.a.",SUMIFS(TblPurchases[Purchase Date],TblPurchases[BatchID],TblOutcomes[[#This Row],[BatchID]]))</f>
        <v>45680</v>
      </c>
    </row>
    <row r="220" spans="2:17" x14ac:dyDescent="0.25">
      <c r="B220" s="2" t="s">
        <v>1024</v>
      </c>
      <c r="C220" s="2" t="s">
        <v>130</v>
      </c>
      <c r="D220" s="2" t="s">
        <v>122</v>
      </c>
      <c r="E220" s="2" t="s">
        <v>4647</v>
      </c>
      <c r="F220" s="2">
        <v>37</v>
      </c>
      <c r="G220" s="2">
        <v>37</v>
      </c>
      <c r="H220" s="2">
        <v>0</v>
      </c>
      <c r="I220" s="1">
        <v>0</v>
      </c>
      <c r="J220" s="26">
        <v>45700</v>
      </c>
      <c r="K220" s="22">
        <v>129500</v>
      </c>
      <c r="L220" s="18">
        <v>138.5</v>
      </c>
      <c r="M220" s="22">
        <v>90650</v>
      </c>
      <c r="N220" s="22">
        <v>38850</v>
      </c>
      <c r="O220" s="18">
        <v>41.55</v>
      </c>
      <c r="P220" s="52">
        <f>IF(COUNTIF(TblPurchases[BatchID],TblOutcomes[[#This Row],[BatchID]])&lt;&gt;1,"n.a.",TblOutcomes[[#This Row],[Qty Wasted]]*SUMIFS(TblPurchases[Unit Cost (CLP)],TblPurchases[BatchID],TblOutcomes[[#This Row],[BatchID]]))</f>
        <v>0</v>
      </c>
      <c r="Q220" s="51">
        <f>IF(COUNTIF(TblPurchases[BatchID],TblOutcomes[[#This Row],[BatchID]])&lt;&gt;1,"n.a.",SUMIFS(TblPurchases[Purchase Date],TblPurchases[BatchID],TblOutcomes[[#This Row],[BatchID]]))</f>
        <v>45690</v>
      </c>
    </row>
    <row r="221" spans="2:17" x14ac:dyDescent="0.25">
      <c r="B221" s="2" t="s">
        <v>1025</v>
      </c>
      <c r="C221" s="2" t="s">
        <v>130</v>
      </c>
      <c r="D221" s="2" t="s">
        <v>122</v>
      </c>
      <c r="E221" s="2" t="s">
        <v>4646</v>
      </c>
      <c r="F221" s="2">
        <v>43</v>
      </c>
      <c r="G221" s="2">
        <v>37.840000000000003</v>
      </c>
      <c r="H221" s="2">
        <v>5.16</v>
      </c>
      <c r="I221" s="1">
        <v>12</v>
      </c>
      <c r="J221" s="26">
        <v>45746</v>
      </c>
      <c r="K221" s="22">
        <v>132440</v>
      </c>
      <c r="L221" s="18">
        <v>141.65</v>
      </c>
      <c r="M221" s="22">
        <v>105350</v>
      </c>
      <c r="N221" s="22">
        <v>27090</v>
      </c>
      <c r="O221" s="18">
        <v>28.97</v>
      </c>
      <c r="P221" s="52">
        <f>IF(COUNTIF(TblPurchases[BatchID],TblOutcomes[[#This Row],[BatchID]])&lt;&gt;1,"n.a.",TblOutcomes[[#This Row],[Qty Wasted]]*SUMIFS(TblPurchases[Unit Cost (CLP)],TblPurchases[BatchID],TblOutcomes[[#This Row],[BatchID]]))</f>
        <v>12642</v>
      </c>
      <c r="Q221" s="51">
        <f>IF(COUNTIF(TblPurchases[BatchID],TblOutcomes[[#This Row],[BatchID]])&lt;&gt;1,"n.a.",SUMIFS(TblPurchases[Purchase Date],TblPurchases[BatchID],TblOutcomes[[#This Row],[BatchID]]))</f>
        <v>45701</v>
      </c>
    </row>
    <row r="222" spans="2:17" x14ac:dyDescent="0.25">
      <c r="B222" s="2" t="s">
        <v>1026</v>
      </c>
      <c r="C222" s="2" t="s">
        <v>130</v>
      </c>
      <c r="D222" s="2" t="s">
        <v>122</v>
      </c>
      <c r="E222" s="2" t="s">
        <v>4647</v>
      </c>
      <c r="F222" s="2">
        <v>42</v>
      </c>
      <c r="G222" s="2">
        <v>42</v>
      </c>
      <c r="H222" s="2">
        <v>0</v>
      </c>
      <c r="I222" s="1">
        <v>0</v>
      </c>
      <c r="J222" s="26">
        <v>45715</v>
      </c>
      <c r="K222" s="22">
        <v>147000</v>
      </c>
      <c r="L222" s="18">
        <v>157.22</v>
      </c>
      <c r="M222" s="22">
        <v>102900</v>
      </c>
      <c r="N222" s="22">
        <v>44100</v>
      </c>
      <c r="O222" s="18">
        <v>47.17</v>
      </c>
      <c r="P222" s="52">
        <f>IF(COUNTIF(TblPurchases[BatchID],TblOutcomes[[#This Row],[BatchID]])&lt;&gt;1,"n.a.",TblOutcomes[[#This Row],[Qty Wasted]]*SUMIFS(TblPurchases[Unit Cost (CLP)],TblPurchases[BatchID],TblOutcomes[[#This Row],[BatchID]]))</f>
        <v>0</v>
      </c>
      <c r="Q222" s="51">
        <f>IF(COUNTIF(TblPurchases[BatchID],TblOutcomes[[#This Row],[BatchID]])&lt;&gt;1,"n.a.",SUMIFS(TblPurchases[Purchase Date],TblPurchases[BatchID],TblOutcomes[[#This Row],[BatchID]]))</f>
        <v>45709</v>
      </c>
    </row>
    <row r="223" spans="2:17" x14ac:dyDescent="0.25">
      <c r="B223" s="2" t="s">
        <v>1027</v>
      </c>
      <c r="C223" s="2" t="s">
        <v>130</v>
      </c>
      <c r="D223" s="2" t="s">
        <v>122</v>
      </c>
      <c r="E223" s="2" t="s">
        <v>4647</v>
      </c>
      <c r="F223" s="2">
        <v>43</v>
      </c>
      <c r="G223" s="2">
        <v>43</v>
      </c>
      <c r="H223" s="2">
        <v>0</v>
      </c>
      <c r="I223" s="1">
        <v>0</v>
      </c>
      <c r="J223" s="26">
        <v>45728</v>
      </c>
      <c r="K223" s="22">
        <v>150500</v>
      </c>
      <c r="L223" s="18">
        <v>160.96</v>
      </c>
      <c r="M223" s="22">
        <v>105350</v>
      </c>
      <c r="N223" s="22">
        <v>45150</v>
      </c>
      <c r="O223" s="18">
        <v>48.29</v>
      </c>
      <c r="P223" s="52">
        <f>IF(COUNTIF(TblPurchases[BatchID],TblOutcomes[[#This Row],[BatchID]])&lt;&gt;1,"n.a.",TblOutcomes[[#This Row],[Qty Wasted]]*SUMIFS(TblPurchases[Unit Cost (CLP)],TblPurchases[BatchID],TblOutcomes[[#This Row],[BatchID]]))</f>
        <v>0</v>
      </c>
      <c r="Q223" s="51">
        <f>IF(COUNTIF(TblPurchases[BatchID],TblOutcomes[[#This Row],[BatchID]])&lt;&gt;1,"n.a.",SUMIFS(TblPurchases[Purchase Date],TblPurchases[BatchID],TblOutcomes[[#This Row],[BatchID]]))</f>
        <v>45719</v>
      </c>
    </row>
    <row r="224" spans="2:17" x14ac:dyDescent="0.25">
      <c r="B224" s="2" t="s">
        <v>1028</v>
      </c>
      <c r="C224" s="2" t="s">
        <v>130</v>
      </c>
      <c r="D224" s="2" t="s">
        <v>122</v>
      </c>
      <c r="E224" s="2" t="s">
        <v>4647</v>
      </c>
      <c r="F224" s="2">
        <v>37</v>
      </c>
      <c r="G224" s="2">
        <v>37</v>
      </c>
      <c r="H224" s="2">
        <v>0</v>
      </c>
      <c r="I224" s="1">
        <v>0</v>
      </c>
      <c r="J224" s="26">
        <v>45739</v>
      </c>
      <c r="K224" s="22">
        <v>129500</v>
      </c>
      <c r="L224" s="18">
        <v>138.5</v>
      </c>
      <c r="M224" s="22">
        <v>90650</v>
      </c>
      <c r="N224" s="22">
        <v>38850</v>
      </c>
      <c r="O224" s="18">
        <v>41.55</v>
      </c>
      <c r="P224" s="52">
        <f>IF(COUNTIF(TblPurchases[BatchID],TblOutcomes[[#This Row],[BatchID]])&lt;&gt;1,"n.a.",TblOutcomes[[#This Row],[Qty Wasted]]*SUMIFS(TblPurchases[Unit Cost (CLP)],TblPurchases[BatchID],TblOutcomes[[#This Row],[BatchID]]))</f>
        <v>0</v>
      </c>
      <c r="Q224" s="51">
        <f>IF(COUNTIF(TblPurchases[BatchID],TblOutcomes[[#This Row],[BatchID]])&lt;&gt;1,"n.a.",SUMIFS(TblPurchases[Purchase Date],TblPurchases[BatchID],TblOutcomes[[#This Row],[BatchID]]))</f>
        <v>45727</v>
      </c>
    </row>
    <row r="225" spans="2:17" x14ac:dyDescent="0.25">
      <c r="B225" s="2" t="s">
        <v>1029</v>
      </c>
      <c r="C225" s="2" t="s">
        <v>130</v>
      </c>
      <c r="D225" s="2" t="s">
        <v>122</v>
      </c>
      <c r="E225" s="2" t="s">
        <v>4647</v>
      </c>
      <c r="F225" s="2">
        <v>42</v>
      </c>
      <c r="G225" s="2">
        <v>42</v>
      </c>
      <c r="H225" s="2">
        <v>0</v>
      </c>
      <c r="I225" s="1">
        <v>0</v>
      </c>
      <c r="J225" s="26">
        <v>45740</v>
      </c>
      <c r="K225" s="22">
        <v>147000</v>
      </c>
      <c r="L225" s="18">
        <v>157.22</v>
      </c>
      <c r="M225" s="22">
        <v>102900</v>
      </c>
      <c r="N225" s="22">
        <v>44100</v>
      </c>
      <c r="O225" s="18">
        <v>47.17</v>
      </c>
      <c r="P225" s="52">
        <f>IF(COUNTIF(TblPurchases[BatchID],TblOutcomes[[#This Row],[BatchID]])&lt;&gt;1,"n.a.",TblOutcomes[[#This Row],[Qty Wasted]]*SUMIFS(TblPurchases[Unit Cost (CLP)],TblPurchases[BatchID],TblOutcomes[[#This Row],[BatchID]]))</f>
        <v>0</v>
      </c>
      <c r="Q225" s="51">
        <f>IF(COUNTIF(TblPurchases[BatchID],TblOutcomes[[#This Row],[BatchID]])&lt;&gt;1,"n.a.",SUMIFS(TblPurchases[Purchase Date],TblPurchases[BatchID],TblOutcomes[[#This Row],[BatchID]]))</f>
        <v>45736</v>
      </c>
    </row>
    <row r="226" spans="2:17" x14ac:dyDescent="0.25">
      <c r="B226" s="2" t="s">
        <v>1030</v>
      </c>
      <c r="C226" s="2" t="s">
        <v>130</v>
      </c>
      <c r="D226" s="2" t="s">
        <v>122</v>
      </c>
      <c r="E226" s="2" t="s">
        <v>4647</v>
      </c>
      <c r="F226" s="2">
        <v>44</v>
      </c>
      <c r="G226" s="2">
        <v>44</v>
      </c>
      <c r="H226" s="2">
        <v>0</v>
      </c>
      <c r="I226" s="1">
        <v>0</v>
      </c>
      <c r="J226" s="26">
        <v>45758</v>
      </c>
      <c r="K226" s="22">
        <v>154000</v>
      </c>
      <c r="L226" s="18">
        <v>164.71</v>
      </c>
      <c r="M226" s="22">
        <v>107800</v>
      </c>
      <c r="N226" s="22">
        <v>46200</v>
      </c>
      <c r="O226" s="18">
        <v>49.41</v>
      </c>
      <c r="P226" s="52">
        <f>IF(COUNTIF(TblPurchases[BatchID],TblOutcomes[[#This Row],[BatchID]])&lt;&gt;1,"n.a.",TblOutcomes[[#This Row],[Qty Wasted]]*SUMIFS(TblPurchases[Unit Cost (CLP)],TblPurchases[BatchID],TblOutcomes[[#This Row],[BatchID]]))</f>
        <v>0</v>
      </c>
      <c r="Q226" s="51">
        <f>IF(COUNTIF(TblPurchases[BatchID],TblOutcomes[[#This Row],[BatchID]])&lt;&gt;1,"n.a.",SUMIFS(TblPurchases[Purchase Date],TblPurchases[BatchID],TblOutcomes[[#This Row],[BatchID]]))</f>
        <v>45746</v>
      </c>
    </row>
    <row r="227" spans="2:17" x14ac:dyDescent="0.25">
      <c r="B227" s="2" t="s">
        <v>1031</v>
      </c>
      <c r="C227" s="2" t="s">
        <v>130</v>
      </c>
      <c r="D227" s="2" t="s">
        <v>122</v>
      </c>
      <c r="E227" s="2" t="s">
        <v>4646</v>
      </c>
      <c r="F227" s="2">
        <v>15</v>
      </c>
      <c r="G227" s="2">
        <v>11.78</v>
      </c>
      <c r="H227" s="2">
        <v>3.23</v>
      </c>
      <c r="I227" s="1">
        <v>21.5</v>
      </c>
      <c r="J227" s="26">
        <v>45801</v>
      </c>
      <c r="K227" s="22">
        <v>41230</v>
      </c>
      <c r="L227" s="18">
        <v>44.1</v>
      </c>
      <c r="M227" s="22">
        <v>36750</v>
      </c>
      <c r="N227" s="22">
        <v>4480</v>
      </c>
      <c r="O227" s="18">
        <v>4.79</v>
      </c>
      <c r="P227" s="52">
        <f>IF(COUNTIF(TblPurchases[BatchID],TblOutcomes[[#This Row],[BatchID]])&lt;&gt;1,"n.a.",TblOutcomes[[#This Row],[Qty Wasted]]*SUMIFS(TblPurchases[Unit Cost (CLP)],TblPurchases[BatchID],TblOutcomes[[#This Row],[BatchID]]))</f>
        <v>7913.5</v>
      </c>
      <c r="Q227" s="51">
        <f>IF(COUNTIF(TblPurchases[BatchID],TblOutcomes[[#This Row],[BatchID]])&lt;&gt;1,"n.a.",SUMIFS(TblPurchases[Purchase Date],TblPurchases[BatchID],TblOutcomes[[#This Row],[BatchID]]))</f>
        <v>45756</v>
      </c>
    </row>
    <row r="228" spans="2:17" x14ac:dyDescent="0.25">
      <c r="B228" s="2" t="s">
        <v>1032</v>
      </c>
      <c r="C228" s="2" t="s">
        <v>130</v>
      </c>
      <c r="D228" s="2" t="s">
        <v>122</v>
      </c>
      <c r="E228" s="2" t="s">
        <v>4646</v>
      </c>
      <c r="F228" s="2">
        <v>18</v>
      </c>
      <c r="G228" s="2">
        <v>15.68</v>
      </c>
      <c r="H228" s="2">
        <v>2.3199999999999998</v>
      </c>
      <c r="I228" s="1">
        <v>12.9</v>
      </c>
      <c r="J228" s="26">
        <v>45812</v>
      </c>
      <c r="K228" s="22">
        <v>54880</v>
      </c>
      <c r="L228" s="18">
        <v>58.7</v>
      </c>
      <c r="M228" s="22">
        <v>46800</v>
      </c>
      <c r="N228" s="22">
        <v>8080</v>
      </c>
      <c r="O228" s="18">
        <v>8.64</v>
      </c>
      <c r="P228" s="52">
        <f>IF(COUNTIF(TblPurchases[BatchID],TblOutcomes[[#This Row],[BatchID]])&lt;&gt;1,"n.a.",TblOutcomes[[#This Row],[Qty Wasted]]*SUMIFS(TblPurchases[Unit Cost (CLP)],TblPurchases[BatchID],TblOutcomes[[#This Row],[BatchID]]))</f>
        <v>6032</v>
      </c>
      <c r="Q228" s="51">
        <f>IF(COUNTIF(TblPurchases[BatchID],TblOutcomes[[#This Row],[BatchID]])&lt;&gt;1,"n.a.",SUMIFS(TblPurchases[Purchase Date],TblPurchases[BatchID],TblOutcomes[[#This Row],[BatchID]]))</f>
        <v>45767</v>
      </c>
    </row>
    <row r="229" spans="2:17" x14ac:dyDescent="0.25">
      <c r="B229" s="2" t="s">
        <v>1033</v>
      </c>
      <c r="C229" s="2" t="s">
        <v>130</v>
      </c>
      <c r="D229" s="2" t="s">
        <v>122</v>
      </c>
      <c r="E229" s="2" t="s">
        <v>4646</v>
      </c>
      <c r="F229" s="2">
        <v>18</v>
      </c>
      <c r="G229" s="2">
        <v>15.77</v>
      </c>
      <c r="H229" s="2">
        <v>2.23</v>
      </c>
      <c r="I229" s="1">
        <v>12.4</v>
      </c>
      <c r="J229" s="26">
        <v>45820</v>
      </c>
      <c r="K229" s="22">
        <v>55195</v>
      </c>
      <c r="L229" s="18">
        <v>59.03</v>
      </c>
      <c r="M229" s="22">
        <v>44100</v>
      </c>
      <c r="N229" s="22">
        <v>11095</v>
      </c>
      <c r="O229" s="18">
        <v>11.87</v>
      </c>
      <c r="P229" s="52">
        <f>IF(COUNTIF(TblPurchases[BatchID],TblOutcomes[[#This Row],[BatchID]])&lt;&gt;1,"n.a.",TblOutcomes[[#This Row],[Qty Wasted]]*SUMIFS(TblPurchases[Unit Cost (CLP)],TblPurchases[BatchID],TblOutcomes[[#This Row],[BatchID]]))</f>
        <v>5463.5</v>
      </c>
      <c r="Q229" s="51">
        <f>IF(COUNTIF(TblPurchases[BatchID],TblOutcomes[[#This Row],[BatchID]])&lt;&gt;1,"n.a.",SUMIFS(TblPurchases[Purchase Date],TblPurchases[BatchID],TblOutcomes[[#This Row],[BatchID]]))</f>
        <v>45775</v>
      </c>
    </row>
    <row r="230" spans="2:17" x14ac:dyDescent="0.25">
      <c r="B230" s="2" t="s">
        <v>1034</v>
      </c>
      <c r="C230" s="2" t="s">
        <v>130</v>
      </c>
      <c r="D230" s="2" t="s">
        <v>122</v>
      </c>
      <c r="E230" s="2" t="s">
        <v>4646</v>
      </c>
      <c r="F230" s="2">
        <v>15</v>
      </c>
      <c r="G230" s="2">
        <v>12.15</v>
      </c>
      <c r="H230" s="2">
        <v>2.85</v>
      </c>
      <c r="I230" s="1">
        <v>19</v>
      </c>
      <c r="J230" s="26">
        <v>45830</v>
      </c>
      <c r="K230" s="22">
        <v>42525</v>
      </c>
      <c r="L230" s="18">
        <v>45.48</v>
      </c>
      <c r="M230" s="22">
        <v>36750</v>
      </c>
      <c r="N230" s="22">
        <v>5775</v>
      </c>
      <c r="O230" s="18">
        <v>6.18</v>
      </c>
      <c r="P230" s="52">
        <f>IF(COUNTIF(TblPurchases[BatchID],TblOutcomes[[#This Row],[BatchID]])&lt;&gt;1,"n.a.",TblOutcomes[[#This Row],[Qty Wasted]]*SUMIFS(TblPurchases[Unit Cost (CLP)],TblPurchases[BatchID],TblOutcomes[[#This Row],[BatchID]]))</f>
        <v>6982.5</v>
      </c>
      <c r="Q230" s="51">
        <f>IF(COUNTIF(TblPurchases[BatchID],TblOutcomes[[#This Row],[BatchID]])&lt;&gt;1,"n.a.",SUMIFS(TblPurchases[Purchase Date],TblPurchases[BatchID],TblOutcomes[[#This Row],[BatchID]]))</f>
        <v>45785</v>
      </c>
    </row>
    <row r="231" spans="2:17" x14ac:dyDescent="0.25">
      <c r="B231" s="2" t="s">
        <v>1035</v>
      </c>
      <c r="C231" s="2" t="s">
        <v>130</v>
      </c>
      <c r="D231" s="2" t="s">
        <v>122</v>
      </c>
      <c r="E231" s="2" t="s">
        <v>4646</v>
      </c>
      <c r="F231" s="2">
        <v>17</v>
      </c>
      <c r="G231" s="2">
        <v>15.15</v>
      </c>
      <c r="H231" s="2">
        <v>1.85</v>
      </c>
      <c r="I231" s="1">
        <v>10.9</v>
      </c>
      <c r="J231" s="26">
        <v>45840</v>
      </c>
      <c r="K231" s="22">
        <v>53025</v>
      </c>
      <c r="L231" s="18">
        <v>56.71</v>
      </c>
      <c r="M231" s="22">
        <v>41650</v>
      </c>
      <c r="N231" s="22">
        <v>11375</v>
      </c>
      <c r="O231" s="18">
        <v>12.17</v>
      </c>
      <c r="P231" s="52">
        <f>IF(COUNTIF(TblPurchases[BatchID],TblOutcomes[[#This Row],[BatchID]])&lt;&gt;1,"n.a.",TblOutcomes[[#This Row],[Qty Wasted]]*SUMIFS(TblPurchases[Unit Cost (CLP)],TblPurchases[BatchID],TblOutcomes[[#This Row],[BatchID]]))</f>
        <v>4532.5</v>
      </c>
      <c r="Q231" s="51">
        <f>IF(COUNTIF(TblPurchases[BatchID],TblOutcomes[[#This Row],[BatchID]])&lt;&gt;1,"n.a.",SUMIFS(TblPurchases[Purchase Date],TblPurchases[BatchID],TblOutcomes[[#This Row],[BatchID]]))</f>
        <v>45795</v>
      </c>
    </row>
    <row r="232" spans="2:17" x14ac:dyDescent="0.25">
      <c r="B232" s="2" t="s">
        <v>1036</v>
      </c>
      <c r="C232" s="2" t="s">
        <v>130</v>
      </c>
      <c r="D232" s="2" t="s">
        <v>122</v>
      </c>
      <c r="E232" s="2" t="s">
        <v>4646</v>
      </c>
      <c r="F232" s="2">
        <v>15</v>
      </c>
      <c r="G232" s="2">
        <v>12.64</v>
      </c>
      <c r="H232" s="2">
        <v>2.35</v>
      </c>
      <c r="I232" s="1">
        <v>15.7</v>
      </c>
      <c r="J232" s="26">
        <v>45851</v>
      </c>
      <c r="K232" s="22">
        <v>44240</v>
      </c>
      <c r="L232" s="18">
        <v>47.32</v>
      </c>
      <c r="M232" s="22">
        <v>36750</v>
      </c>
      <c r="N232" s="22">
        <v>7490</v>
      </c>
      <c r="O232" s="18">
        <v>8.01</v>
      </c>
      <c r="P232" s="52">
        <f>IF(COUNTIF(TblPurchases[BatchID],TblOutcomes[[#This Row],[BatchID]])&lt;&gt;1,"n.a.",TblOutcomes[[#This Row],[Qty Wasted]]*SUMIFS(TblPurchases[Unit Cost (CLP)],TblPurchases[BatchID],TblOutcomes[[#This Row],[BatchID]]))</f>
        <v>5757.5</v>
      </c>
      <c r="Q232" s="51">
        <f>IF(COUNTIF(TblPurchases[BatchID],TblOutcomes[[#This Row],[BatchID]])&lt;&gt;1,"n.a.",SUMIFS(TblPurchases[Purchase Date],TblPurchases[BatchID],TblOutcomes[[#This Row],[BatchID]]))</f>
        <v>45806</v>
      </c>
    </row>
    <row r="233" spans="2:17" x14ac:dyDescent="0.25">
      <c r="B233" s="2" t="s">
        <v>1037</v>
      </c>
      <c r="C233" s="2" t="s">
        <v>130</v>
      </c>
      <c r="D233" s="2" t="s">
        <v>122</v>
      </c>
      <c r="E233" s="2" t="s">
        <v>4646</v>
      </c>
      <c r="F233" s="2">
        <v>18</v>
      </c>
      <c r="G233" s="2">
        <v>15.48</v>
      </c>
      <c r="H233" s="2">
        <v>2.52</v>
      </c>
      <c r="I233" s="1">
        <v>14</v>
      </c>
      <c r="J233" s="26">
        <v>45859</v>
      </c>
      <c r="K233" s="22">
        <v>54180</v>
      </c>
      <c r="L233" s="18">
        <v>57.95</v>
      </c>
      <c r="M233" s="22">
        <v>44100</v>
      </c>
      <c r="N233" s="22">
        <v>10080</v>
      </c>
      <c r="O233" s="18">
        <v>10.78</v>
      </c>
      <c r="P233" s="52">
        <f>IF(COUNTIF(TblPurchases[BatchID],TblOutcomes[[#This Row],[BatchID]])&lt;&gt;1,"n.a.",TblOutcomes[[#This Row],[Qty Wasted]]*SUMIFS(TblPurchases[Unit Cost (CLP)],TblPurchases[BatchID],TblOutcomes[[#This Row],[BatchID]]))</f>
        <v>6174</v>
      </c>
      <c r="Q233" s="51">
        <f>IF(COUNTIF(TblPurchases[BatchID],TblOutcomes[[#This Row],[BatchID]])&lt;&gt;1,"n.a.",SUMIFS(TblPurchases[Purchase Date],TblPurchases[BatchID],TblOutcomes[[#This Row],[BatchID]]))</f>
        <v>45814</v>
      </c>
    </row>
    <row r="234" spans="2:17" x14ac:dyDescent="0.25">
      <c r="B234" s="2" t="s">
        <v>1038</v>
      </c>
      <c r="C234" s="2" t="s">
        <v>130</v>
      </c>
      <c r="D234" s="2" t="s">
        <v>122</v>
      </c>
      <c r="E234" s="2" t="s">
        <v>4647</v>
      </c>
      <c r="F234" s="2">
        <v>17</v>
      </c>
      <c r="G234" s="2">
        <v>17</v>
      </c>
      <c r="H234" s="2">
        <v>0</v>
      </c>
      <c r="I234" s="1">
        <v>0</v>
      </c>
      <c r="J234" s="26">
        <v>45827</v>
      </c>
      <c r="K234" s="22">
        <v>59500</v>
      </c>
      <c r="L234" s="18">
        <v>63.64</v>
      </c>
      <c r="M234" s="22">
        <v>41650</v>
      </c>
      <c r="N234" s="22">
        <v>17850</v>
      </c>
      <c r="O234" s="18">
        <v>19.09</v>
      </c>
      <c r="P234" s="52">
        <f>IF(COUNTIF(TblPurchases[BatchID],TblOutcomes[[#This Row],[BatchID]])&lt;&gt;1,"n.a.",TblOutcomes[[#This Row],[Qty Wasted]]*SUMIFS(TblPurchases[Unit Cost (CLP)],TblPurchases[BatchID],TblOutcomes[[#This Row],[BatchID]]))</f>
        <v>0</v>
      </c>
      <c r="Q234" s="51">
        <f>IF(COUNTIF(TblPurchases[BatchID],TblOutcomes[[#This Row],[BatchID]])&lt;&gt;1,"n.a.",SUMIFS(TblPurchases[Purchase Date],TblPurchases[BatchID],TblOutcomes[[#This Row],[BatchID]]))</f>
        <v>45821</v>
      </c>
    </row>
    <row r="235" spans="2:17" x14ac:dyDescent="0.25">
      <c r="B235" s="2" t="s">
        <v>1039</v>
      </c>
      <c r="C235" s="2" t="s">
        <v>130</v>
      </c>
      <c r="D235" s="2" t="s">
        <v>122</v>
      </c>
      <c r="E235" s="2" t="s">
        <v>4646</v>
      </c>
      <c r="F235" s="2">
        <v>15</v>
      </c>
      <c r="G235" s="2">
        <v>11.13</v>
      </c>
      <c r="H235" s="2">
        <v>3.87</v>
      </c>
      <c r="I235" s="1">
        <v>25.8</v>
      </c>
      <c r="J235" s="26">
        <v>45874</v>
      </c>
      <c r="K235" s="22">
        <v>38955</v>
      </c>
      <c r="L235" s="18">
        <v>41.66</v>
      </c>
      <c r="M235" s="22">
        <v>39000</v>
      </c>
      <c r="N235" s="22">
        <v>-45</v>
      </c>
      <c r="O235" s="18">
        <v>-0.05</v>
      </c>
      <c r="P235" s="52">
        <f>IF(COUNTIF(TblPurchases[BatchID],TblOutcomes[[#This Row],[BatchID]])&lt;&gt;1,"n.a.",TblOutcomes[[#This Row],[Qty Wasted]]*SUMIFS(TblPurchases[Unit Cost (CLP)],TblPurchases[BatchID],TblOutcomes[[#This Row],[BatchID]]))</f>
        <v>10062</v>
      </c>
      <c r="Q235" s="51">
        <f>IF(COUNTIF(TblPurchases[BatchID],TblOutcomes[[#This Row],[BatchID]])&lt;&gt;1,"n.a.",SUMIFS(TblPurchases[Purchase Date],TblPurchases[BatchID],TblOutcomes[[#This Row],[BatchID]]))</f>
        <v>45829</v>
      </c>
    </row>
    <row r="236" spans="2:17" x14ac:dyDescent="0.25">
      <c r="B236" s="2" t="s">
        <v>1040</v>
      </c>
      <c r="C236" s="2" t="s">
        <v>130</v>
      </c>
      <c r="D236" s="2" t="s">
        <v>122</v>
      </c>
      <c r="E236" s="2" t="s">
        <v>4647</v>
      </c>
      <c r="F236" s="2">
        <v>17</v>
      </c>
      <c r="G236" s="2">
        <v>17</v>
      </c>
      <c r="H236" s="2">
        <v>0</v>
      </c>
      <c r="I236" s="1">
        <v>0</v>
      </c>
      <c r="J236" s="26">
        <v>45847</v>
      </c>
      <c r="K236" s="22">
        <v>59500</v>
      </c>
      <c r="L236" s="18">
        <v>63.64</v>
      </c>
      <c r="M236" s="22">
        <v>41650</v>
      </c>
      <c r="N236" s="22">
        <v>17850</v>
      </c>
      <c r="O236" s="18">
        <v>19.09</v>
      </c>
      <c r="P236" s="52">
        <f>IF(COUNTIF(TblPurchases[BatchID],TblOutcomes[[#This Row],[BatchID]])&lt;&gt;1,"n.a.",TblOutcomes[[#This Row],[Qty Wasted]]*SUMIFS(TblPurchases[Unit Cost (CLP)],TblPurchases[BatchID],TblOutcomes[[#This Row],[BatchID]]))</f>
        <v>0</v>
      </c>
      <c r="Q236" s="51">
        <f>IF(COUNTIF(TblPurchases[BatchID],TblOutcomes[[#This Row],[BatchID]])&lt;&gt;1,"n.a.",SUMIFS(TblPurchases[Purchase Date],TblPurchases[BatchID],TblOutcomes[[#This Row],[BatchID]]))</f>
        <v>45838</v>
      </c>
    </row>
    <row r="237" spans="2:17" x14ac:dyDescent="0.25">
      <c r="B237" s="2" t="s">
        <v>1041</v>
      </c>
      <c r="C237" s="2" t="s">
        <v>133</v>
      </c>
      <c r="D237" s="2" t="s">
        <v>122</v>
      </c>
      <c r="E237" s="2" t="s">
        <v>4646</v>
      </c>
      <c r="F237" s="2">
        <v>13</v>
      </c>
      <c r="G237" s="2">
        <v>9.4600000000000009</v>
      </c>
      <c r="H237" s="2">
        <v>3.54</v>
      </c>
      <c r="I237" s="1">
        <v>27.2</v>
      </c>
      <c r="J237" s="26">
        <v>45162</v>
      </c>
      <c r="K237" s="22">
        <v>28380</v>
      </c>
      <c r="L237" s="18">
        <v>30.35</v>
      </c>
      <c r="M237" s="22">
        <v>26650</v>
      </c>
      <c r="N237" s="22">
        <v>1730</v>
      </c>
      <c r="O237" s="18">
        <v>1.85</v>
      </c>
      <c r="P237" s="52">
        <f>IF(COUNTIF(TblPurchases[BatchID],TblOutcomes[[#This Row],[BatchID]])&lt;&gt;1,"n.a.",TblOutcomes[[#This Row],[Qty Wasted]]*SUMIFS(TblPurchases[Unit Cost (CLP)],TblPurchases[BatchID],TblOutcomes[[#This Row],[BatchID]]))</f>
        <v>7257</v>
      </c>
      <c r="Q237" s="51">
        <f>IF(COUNTIF(TblPurchases[BatchID],TblOutcomes[[#This Row],[BatchID]])&lt;&gt;1,"n.a.",SUMIFS(TblPurchases[Purchase Date],TblPurchases[BatchID],TblOutcomes[[#This Row],[BatchID]]))</f>
        <v>45117</v>
      </c>
    </row>
    <row r="238" spans="2:17" x14ac:dyDescent="0.25">
      <c r="B238" s="2" t="s">
        <v>1042</v>
      </c>
      <c r="C238" s="2" t="s">
        <v>133</v>
      </c>
      <c r="D238" s="2" t="s">
        <v>122</v>
      </c>
      <c r="E238" s="2" t="s">
        <v>4646</v>
      </c>
      <c r="F238" s="2">
        <v>14</v>
      </c>
      <c r="G238" s="2">
        <v>11.52</v>
      </c>
      <c r="H238" s="2">
        <v>2.48</v>
      </c>
      <c r="I238" s="1">
        <v>17.7</v>
      </c>
      <c r="J238" s="26">
        <v>45172</v>
      </c>
      <c r="K238" s="22">
        <v>34560</v>
      </c>
      <c r="L238" s="18">
        <v>36.96</v>
      </c>
      <c r="M238" s="22">
        <v>32200</v>
      </c>
      <c r="N238" s="22">
        <v>2360</v>
      </c>
      <c r="O238" s="18">
        <v>2.52</v>
      </c>
      <c r="P238" s="52">
        <f>IF(COUNTIF(TblPurchases[BatchID],TblOutcomes[[#This Row],[BatchID]])&lt;&gt;1,"n.a.",TblOutcomes[[#This Row],[Qty Wasted]]*SUMIFS(TblPurchases[Unit Cost (CLP)],TblPurchases[BatchID],TblOutcomes[[#This Row],[BatchID]]))</f>
        <v>5704</v>
      </c>
      <c r="Q238" s="51">
        <f>IF(COUNTIF(TblPurchases[BatchID],TblOutcomes[[#This Row],[BatchID]])&lt;&gt;1,"n.a.",SUMIFS(TblPurchases[Purchase Date],TblPurchases[BatchID],TblOutcomes[[#This Row],[BatchID]]))</f>
        <v>45127</v>
      </c>
    </row>
    <row r="239" spans="2:17" x14ac:dyDescent="0.25">
      <c r="B239" s="2" t="s">
        <v>1043</v>
      </c>
      <c r="C239" s="2" t="s">
        <v>133</v>
      </c>
      <c r="D239" s="2" t="s">
        <v>122</v>
      </c>
      <c r="E239" s="2" t="s">
        <v>4647</v>
      </c>
      <c r="F239" s="2">
        <v>15</v>
      </c>
      <c r="G239" s="2">
        <v>15</v>
      </c>
      <c r="H239" s="2">
        <v>0</v>
      </c>
      <c r="I239" s="1">
        <v>0</v>
      </c>
      <c r="J239" s="26">
        <v>45140</v>
      </c>
      <c r="K239" s="22">
        <v>45000</v>
      </c>
      <c r="L239" s="18">
        <v>48.13</v>
      </c>
      <c r="M239" s="22">
        <v>30750</v>
      </c>
      <c r="N239" s="22">
        <v>14250</v>
      </c>
      <c r="O239" s="18">
        <v>15.24</v>
      </c>
      <c r="P239" s="52">
        <f>IF(COUNTIF(TblPurchases[BatchID],TblOutcomes[[#This Row],[BatchID]])&lt;&gt;1,"n.a.",TblOutcomes[[#This Row],[Qty Wasted]]*SUMIFS(TblPurchases[Unit Cost (CLP)],TblPurchases[BatchID],TblOutcomes[[#This Row],[BatchID]]))</f>
        <v>0</v>
      </c>
      <c r="Q239" s="51">
        <f>IF(COUNTIF(TblPurchases[BatchID],TblOutcomes[[#This Row],[BatchID]])&lt;&gt;1,"n.a.",SUMIFS(TblPurchases[Purchase Date],TblPurchases[BatchID],TblOutcomes[[#This Row],[BatchID]]))</f>
        <v>45134</v>
      </c>
    </row>
    <row r="240" spans="2:17" x14ac:dyDescent="0.25">
      <c r="B240" s="2" t="s">
        <v>1044</v>
      </c>
      <c r="C240" s="2" t="s">
        <v>133</v>
      </c>
      <c r="D240" s="2" t="s">
        <v>122</v>
      </c>
      <c r="E240" s="2" t="s">
        <v>4647</v>
      </c>
      <c r="F240" s="2">
        <v>17</v>
      </c>
      <c r="G240" s="2">
        <v>17</v>
      </c>
      <c r="H240" s="2">
        <v>0</v>
      </c>
      <c r="I240" s="1">
        <v>0</v>
      </c>
      <c r="J240" s="26">
        <v>45148</v>
      </c>
      <c r="K240" s="22">
        <v>51000</v>
      </c>
      <c r="L240" s="18">
        <v>54.55</v>
      </c>
      <c r="M240" s="22">
        <v>34850</v>
      </c>
      <c r="N240" s="22">
        <v>16150</v>
      </c>
      <c r="O240" s="18">
        <v>17.27</v>
      </c>
      <c r="P240" s="52">
        <f>IF(COUNTIF(TblPurchases[BatchID],TblOutcomes[[#This Row],[BatchID]])&lt;&gt;1,"n.a.",TblOutcomes[[#This Row],[Qty Wasted]]*SUMIFS(TblPurchases[Unit Cost (CLP)],TblPurchases[BatchID],TblOutcomes[[#This Row],[BatchID]]))</f>
        <v>0</v>
      </c>
      <c r="Q240" s="51">
        <f>IF(COUNTIF(TblPurchases[BatchID],TblOutcomes[[#This Row],[BatchID]])&lt;&gt;1,"n.a.",SUMIFS(TblPurchases[Purchase Date],TblPurchases[BatchID],TblOutcomes[[#This Row],[BatchID]]))</f>
        <v>45143</v>
      </c>
    </row>
    <row r="241" spans="2:17" x14ac:dyDescent="0.25">
      <c r="B241" s="2" t="s">
        <v>1045</v>
      </c>
      <c r="C241" s="2" t="s">
        <v>133</v>
      </c>
      <c r="D241" s="2" t="s">
        <v>122</v>
      </c>
      <c r="E241" s="2" t="s">
        <v>4646</v>
      </c>
      <c r="F241" s="2">
        <v>15</v>
      </c>
      <c r="G241" s="2">
        <v>10.96</v>
      </c>
      <c r="H241" s="2">
        <v>4.04</v>
      </c>
      <c r="I241" s="1">
        <v>26.9</v>
      </c>
      <c r="J241" s="26">
        <v>45198</v>
      </c>
      <c r="K241" s="22">
        <v>32880</v>
      </c>
      <c r="L241" s="18">
        <v>35.17</v>
      </c>
      <c r="M241" s="22">
        <v>30750</v>
      </c>
      <c r="N241" s="22">
        <v>2130</v>
      </c>
      <c r="O241" s="18">
        <v>2.2799999999999998</v>
      </c>
      <c r="P241" s="52">
        <f>IF(COUNTIF(TblPurchases[BatchID],TblOutcomes[[#This Row],[BatchID]])&lt;&gt;1,"n.a.",TblOutcomes[[#This Row],[Qty Wasted]]*SUMIFS(TblPurchases[Unit Cost (CLP)],TblPurchases[BatchID],TblOutcomes[[#This Row],[BatchID]]))</f>
        <v>8282</v>
      </c>
      <c r="Q241" s="51">
        <f>IF(COUNTIF(TblPurchases[BatchID],TblOutcomes[[#This Row],[BatchID]])&lt;&gt;1,"n.a.",SUMIFS(TblPurchases[Purchase Date],TblPurchases[BatchID],TblOutcomes[[#This Row],[BatchID]]))</f>
        <v>45153</v>
      </c>
    </row>
    <row r="242" spans="2:17" x14ac:dyDescent="0.25">
      <c r="B242" s="2" t="s">
        <v>1046</v>
      </c>
      <c r="C242" s="2" t="s">
        <v>133</v>
      </c>
      <c r="D242" s="2" t="s">
        <v>122</v>
      </c>
      <c r="E242" s="2" t="s">
        <v>4647</v>
      </c>
      <c r="F242" s="2">
        <v>15</v>
      </c>
      <c r="G242" s="2">
        <v>15</v>
      </c>
      <c r="H242" s="2">
        <v>0</v>
      </c>
      <c r="I242" s="1">
        <v>0</v>
      </c>
      <c r="J242" s="26">
        <v>45172</v>
      </c>
      <c r="K242" s="22">
        <v>45000</v>
      </c>
      <c r="L242" s="18">
        <v>48.13</v>
      </c>
      <c r="M242" s="22">
        <v>30750</v>
      </c>
      <c r="N242" s="22">
        <v>14250</v>
      </c>
      <c r="O242" s="18">
        <v>15.24</v>
      </c>
      <c r="P242" s="52">
        <f>IF(COUNTIF(TblPurchases[BatchID],TblOutcomes[[#This Row],[BatchID]])&lt;&gt;1,"n.a.",TblOutcomes[[#This Row],[Qty Wasted]]*SUMIFS(TblPurchases[Unit Cost (CLP)],TblPurchases[BatchID],TblOutcomes[[#This Row],[BatchID]]))</f>
        <v>0</v>
      </c>
      <c r="Q242" s="51">
        <f>IF(COUNTIF(TblPurchases[BatchID],TblOutcomes[[#This Row],[BatchID]])&lt;&gt;1,"n.a.",SUMIFS(TblPurchases[Purchase Date],TblPurchases[BatchID],TblOutcomes[[#This Row],[BatchID]]))</f>
        <v>45163</v>
      </c>
    </row>
    <row r="243" spans="2:17" x14ac:dyDescent="0.25">
      <c r="B243" s="2" t="s">
        <v>1047</v>
      </c>
      <c r="C243" s="2" t="s">
        <v>133</v>
      </c>
      <c r="D243" s="2" t="s">
        <v>122</v>
      </c>
      <c r="E243" s="2" t="s">
        <v>4646</v>
      </c>
      <c r="F243" s="2">
        <v>19</v>
      </c>
      <c r="G243" s="2">
        <v>13.4</v>
      </c>
      <c r="H243" s="2">
        <v>5.6</v>
      </c>
      <c r="I243" s="1">
        <v>29.5</v>
      </c>
      <c r="J243" s="26">
        <v>45218</v>
      </c>
      <c r="K243" s="22">
        <v>40200</v>
      </c>
      <c r="L243" s="18">
        <v>42.99</v>
      </c>
      <c r="M243" s="22">
        <v>38950</v>
      </c>
      <c r="N243" s="22">
        <v>1250</v>
      </c>
      <c r="O243" s="18">
        <v>1.34</v>
      </c>
      <c r="P243" s="52">
        <f>IF(COUNTIF(TblPurchases[BatchID],TblOutcomes[[#This Row],[BatchID]])&lt;&gt;1,"n.a.",TblOutcomes[[#This Row],[Qty Wasted]]*SUMIFS(TblPurchases[Unit Cost (CLP)],TblPurchases[BatchID],TblOutcomes[[#This Row],[BatchID]]))</f>
        <v>11480</v>
      </c>
      <c r="Q243" s="51">
        <f>IF(COUNTIF(TblPurchases[BatchID],TblOutcomes[[#This Row],[BatchID]])&lt;&gt;1,"n.a.",SUMIFS(TblPurchases[Purchase Date],TblPurchases[BatchID],TblOutcomes[[#This Row],[BatchID]]))</f>
        <v>45173</v>
      </c>
    </row>
    <row r="244" spans="2:17" x14ac:dyDescent="0.25">
      <c r="B244" s="2" t="s">
        <v>1048</v>
      </c>
      <c r="C244" s="2" t="s">
        <v>133</v>
      </c>
      <c r="D244" s="2" t="s">
        <v>122</v>
      </c>
      <c r="E244" s="2" t="s">
        <v>4646</v>
      </c>
      <c r="F244" s="2">
        <v>19</v>
      </c>
      <c r="G244" s="2">
        <v>15.71</v>
      </c>
      <c r="H244" s="2">
        <v>3.29</v>
      </c>
      <c r="I244" s="1">
        <v>17.3</v>
      </c>
      <c r="J244" s="26">
        <v>45226</v>
      </c>
      <c r="K244" s="22">
        <v>47130</v>
      </c>
      <c r="L244" s="18">
        <v>50.41</v>
      </c>
      <c r="M244" s="22">
        <v>38950</v>
      </c>
      <c r="N244" s="22">
        <v>8180</v>
      </c>
      <c r="O244" s="18">
        <v>8.75</v>
      </c>
      <c r="P244" s="52">
        <f>IF(COUNTIF(TblPurchases[BatchID],TblOutcomes[[#This Row],[BatchID]])&lt;&gt;1,"n.a.",TblOutcomes[[#This Row],[Qty Wasted]]*SUMIFS(TblPurchases[Unit Cost (CLP)],TblPurchases[BatchID],TblOutcomes[[#This Row],[BatchID]]))</f>
        <v>6744.5</v>
      </c>
      <c r="Q244" s="51">
        <f>IF(COUNTIF(TblPurchases[BatchID],TblOutcomes[[#This Row],[BatchID]])&lt;&gt;1,"n.a.",SUMIFS(TblPurchases[Purchase Date],TblPurchases[BatchID],TblOutcomes[[#This Row],[BatchID]]))</f>
        <v>45181</v>
      </c>
    </row>
    <row r="245" spans="2:17" x14ac:dyDescent="0.25">
      <c r="B245" s="2" t="s">
        <v>1049</v>
      </c>
      <c r="C245" s="2" t="s">
        <v>133</v>
      </c>
      <c r="D245" s="2" t="s">
        <v>122</v>
      </c>
      <c r="E245" s="2" t="s">
        <v>4647</v>
      </c>
      <c r="F245" s="2">
        <v>19</v>
      </c>
      <c r="G245" s="2">
        <v>19</v>
      </c>
      <c r="H245" s="2">
        <v>0</v>
      </c>
      <c r="I245" s="1">
        <v>0</v>
      </c>
      <c r="J245" s="26">
        <v>45196</v>
      </c>
      <c r="K245" s="22">
        <v>57000</v>
      </c>
      <c r="L245" s="18">
        <v>60.96</v>
      </c>
      <c r="M245" s="22">
        <v>38950</v>
      </c>
      <c r="N245" s="22">
        <v>18050</v>
      </c>
      <c r="O245" s="18">
        <v>19.3</v>
      </c>
      <c r="P245" s="52">
        <f>IF(COUNTIF(TblPurchases[BatchID],TblOutcomes[[#This Row],[BatchID]])&lt;&gt;1,"n.a.",TblOutcomes[[#This Row],[Qty Wasted]]*SUMIFS(TblPurchases[Unit Cost (CLP)],TblPurchases[BatchID],TblOutcomes[[#This Row],[BatchID]]))</f>
        <v>0</v>
      </c>
      <c r="Q245" s="51">
        <f>IF(COUNTIF(TblPurchases[BatchID],TblOutcomes[[#This Row],[BatchID]])&lt;&gt;1,"n.a.",SUMIFS(TblPurchases[Purchase Date],TblPurchases[BatchID],TblOutcomes[[#This Row],[BatchID]]))</f>
        <v>45190</v>
      </c>
    </row>
    <row r="246" spans="2:17" x14ac:dyDescent="0.25">
      <c r="B246" s="2" t="s">
        <v>1050</v>
      </c>
      <c r="C246" s="2" t="s">
        <v>133</v>
      </c>
      <c r="D246" s="2" t="s">
        <v>122</v>
      </c>
      <c r="E246" s="2" t="s">
        <v>4647</v>
      </c>
      <c r="F246" s="2">
        <v>35</v>
      </c>
      <c r="G246" s="2">
        <v>35</v>
      </c>
      <c r="H246" s="2">
        <v>0</v>
      </c>
      <c r="I246" s="1">
        <v>0</v>
      </c>
      <c r="J246" s="26">
        <v>45207</v>
      </c>
      <c r="K246" s="22">
        <v>105000</v>
      </c>
      <c r="L246" s="18">
        <v>112.3</v>
      </c>
      <c r="M246" s="22">
        <v>80500</v>
      </c>
      <c r="N246" s="22">
        <v>24500</v>
      </c>
      <c r="O246" s="18">
        <v>26.2</v>
      </c>
      <c r="P246" s="52">
        <f>IF(COUNTIF(TblPurchases[BatchID],TblOutcomes[[#This Row],[BatchID]])&lt;&gt;1,"n.a.",TblOutcomes[[#This Row],[Qty Wasted]]*SUMIFS(TblPurchases[Unit Cost (CLP)],TblPurchases[BatchID],TblOutcomes[[#This Row],[BatchID]]))</f>
        <v>0</v>
      </c>
      <c r="Q246" s="51">
        <f>IF(COUNTIF(TblPurchases[BatchID],TblOutcomes[[#This Row],[BatchID]])&lt;&gt;1,"n.a.",SUMIFS(TblPurchases[Purchase Date],TblPurchases[BatchID],TblOutcomes[[#This Row],[BatchID]]))</f>
        <v>45200</v>
      </c>
    </row>
    <row r="247" spans="2:17" x14ac:dyDescent="0.25">
      <c r="B247" s="2" t="s">
        <v>1051</v>
      </c>
      <c r="C247" s="2" t="s">
        <v>133</v>
      </c>
      <c r="D247" s="2" t="s">
        <v>122</v>
      </c>
      <c r="E247" s="2" t="s">
        <v>4647</v>
      </c>
      <c r="F247" s="2">
        <v>43</v>
      </c>
      <c r="G247" s="2">
        <v>43</v>
      </c>
      <c r="H247" s="2">
        <v>0</v>
      </c>
      <c r="I247" s="1">
        <v>0</v>
      </c>
      <c r="J247" s="26">
        <v>45217</v>
      </c>
      <c r="K247" s="22">
        <v>129000</v>
      </c>
      <c r="L247" s="18">
        <v>137.97</v>
      </c>
      <c r="M247" s="22">
        <v>88150</v>
      </c>
      <c r="N247" s="22">
        <v>40850</v>
      </c>
      <c r="O247" s="18">
        <v>43.69</v>
      </c>
      <c r="P247" s="52">
        <f>IF(COUNTIF(TblPurchases[BatchID],TblOutcomes[[#This Row],[BatchID]])&lt;&gt;1,"n.a.",TblOutcomes[[#This Row],[Qty Wasted]]*SUMIFS(TblPurchases[Unit Cost (CLP)],TblPurchases[BatchID],TblOutcomes[[#This Row],[BatchID]]))</f>
        <v>0</v>
      </c>
      <c r="Q247" s="51">
        <f>IF(COUNTIF(TblPurchases[BatchID],TblOutcomes[[#This Row],[BatchID]])&lt;&gt;1,"n.a.",SUMIFS(TblPurchases[Purchase Date],TblPurchases[BatchID],TblOutcomes[[#This Row],[BatchID]]))</f>
        <v>45210</v>
      </c>
    </row>
    <row r="248" spans="2:17" x14ac:dyDescent="0.25">
      <c r="B248" s="2" t="s">
        <v>1052</v>
      </c>
      <c r="C248" s="2" t="s">
        <v>133</v>
      </c>
      <c r="D248" s="2" t="s">
        <v>122</v>
      </c>
      <c r="E248" s="2" t="s">
        <v>4647</v>
      </c>
      <c r="F248" s="2">
        <v>44</v>
      </c>
      <c r="G248" s="2">
        <v>44</v>
      </c>
      <c r="H248" s="2">
        <v>0</v>
      </c>
      <c r="I248" s="1">
        <v>0</v>
      </c>
      <c r="J248" s="26">
        <v>45226</v>
      </c>
      <c r="K248" s="22">
        <v>132000</v>
      </c>
      <c r="L248" s="18">
        <v>141.18</v>
      </c>
      <c r="M248" s="22">
        <v>90200</v>
      </c>
      <c r="N248" s="22">
        <v>41800</v>
      </c>
      <c r="O248" s="18">
        <v>44.71</v>
      </c>
      <c r="P248" s="52">
        <f>IF(COUNTIF(TblPurchases[BatchID],TblOutcomes[[#This Row],[BatchID]])&lt;&gt;1,"n.a.",TblOutcomes[[#This Row],[Qty Wasted]]*SUMIFS(TblPurchases[Unit Cost (CLP)],TblPurchases[BatchID],TblOutcomes[[#This Row],[BatchID]]))</f>
        <v>0</v>
      </c>
      <c r="Q248" s="51">
        <f>IF(COUNTIF(TblPurchases[BatchID],TblOutcomes[[#This Row],[BatchID]])&lt;&gt;1,"n.a.",SUMIFS(TblPurchases[Purchase Date],TblPurchases[BatchID],TblOutcomes[[#This Row],[BatchID]]))</f>
        <v>45218</v>
      </c>
    </row>
    <row r="249" spans="2:17" x14ac:dyDescent="0.25">
      <c r="B249" s="2" t="s">
        <v>1053</v>
      </c>
      <c r="C249" s="2" t="s">
        <v>133</v>
      </c>
      <c r="D249" s="2" t="s">
        <v>122</v>
      </c>
      <c r="E249" s="2" t="s">
        <v>4646</v>
      </c>
      <c r="F249" s="2">
        <v>44</v>
      </c>
      <c r="G249" s="2">
        <v>36.39</v>
      </c>
      <c r="H249" s="2">
        <v>7.61</v>
      </c>
      <c r="I249" s="1">
        <v>17.3</v>
      </c>
      <c r="J249" s="26">
        <v>45272</v>
      </c>
      <c r="K249" s="22">
        <v>109170</v>
      </c>
      <c r="L249" s="18">
        <v>116.76</v>
      </c>
      <c r="M249" s="22">
        <v>90200</v>
      </c>
      <c r="N249" s="22">
        <v>18970</v>
      </c>
      <c r="O249" s="18">
        <v>20.29</v>
      </c>
      <c r="P249" s="52">
        <f>IF(COUNTIF(TblPurchases[BatchID],TblOutcomes[[#This Row],[BatchID]])&lt;&gt;1,"n.a.",TblOutcomes[[#This Row],[Qty Wasted]]*SUMIFS(TblPurchases[Unit Cost (CLP)],TblPurchases[BatchID],TblOutcomes[[#This Row],[BatchID]]))</f>
        <v>15600.5</v>
      </c>
      <c r="Q249" s="51">
        <f>IF(COUNTIF(TblPurchases[BatchID],TblOutcomes[[#This Row],[BatchID]])&lt;&gt;1,"n.a.",SUMIFS(TblPurchases[Purchase Date],TblPurchases[BatchID],TblOutcomes[[#This Row],[BatchID]]))</f>
        <v>45227</v>
      </c>
    </row>
    <row r="250" spans="2:17" x14ac:dyDescent="0.25">
      <c r="B250" s="2" t="s">
        <v>1054</v>
      </c>
      <c r="C250" s="2" t="s">
        <v>133</v>
      </c>
      <c r="D250" s="2" t="s">
        <v>122</v>
      </c>
      <c r="E250" s="2" t="s">
        <v>4647</v>
      </c>
      <c r="F250" s="2">
        <v>36</v>
      </c>
      <c r="G250" s="2">
        <v>36</v>
      </c>
      <c r="H250" s="2">
        <v>0</v>
      </c>
      <c r="I250" s="1">
        <v>0</v>
      </c>
      <c r="J250" s="26">
        <v>45243</v>
      </c>
      <c r="K250" s="22">
        <v>108000</v>
      </c>
      <c r="L250" s="18">
        <v>115.51</v>
      </c>
      <c r="M250" s="22">
        <v>73800</v>
      </c>
      <c r="N250" s="22">
        <v>34200</v>
      </c>
      <c r="O250" s="18">
        <v>36.58</v>
      </c>
      <c r="P250" s="52">
        <f>IF(COUNTIF(TblPurchases[BatchID],TblOutcomes[[#This Row],[BatchID]])&lt;&gt;1,"n.a.",TblOutcomes[[#This Row],[Qty Wasted]]*SUMIFS(TblPurchases[Unit Cost (CLP)],TblPurchases[BatchID],TblOutcomes[[#This Row],[BatchID]]))</f>
        <v>0</v>
      </c>
      <c r="Q250" s="51">
        <f>IF(COUNTIF(TblPurchases[BatchID],TblOutcomes[[#This Row],[BatchID]])&lt;&gt;1,"n.a.",SUMIFS(TblPurchases[Purchase Date],TblPurchases[BatchID],TblOutcomes[[#This Row],[BatchID]]))</f>
        <v>45234</v>
      </c>
    </row>
    <row r="251" spans="2:17" x14ac:dyDescent="0.25">
      <c r="B251" s="2" t="s">
        <v>1055</v>
      </c>
      <c r="C251" s="2" t="s">
        <v>133</v>
      </c>
      <c r="D251" s="2" t="s">
        <v>122</v>
      </c>
      <c r="E251" s="2" t="s">
        <v>4647</v>
      </c>
      <c r="F251" s="2">
        <v>41</v>
      </c>
      <c r="G251" s="2">
        <v>41</v>
      </c>
      <c r="H251" s="2">
        <v>0</v>
      </c>
      <c r="I251" s="1">
        <v>0</v>
      </c>
      <c r="J251" s="26">
        <v>45247</v>
      </c>
      <c r="K251" s="22">
        <v>123000</v>
      </c>
      <c r="L251" s="18">
        <v>131.55000000000001</v>
      </c>
      <c r="M251" s="22">
        <v>84050</v>
      </c>
      <c r="N251" s="22">
        <v>38950</v>
      </c>
      <c r="O251" s="18">
        <v>41.66</v>
      </c>
      <c r="P251" s="52">
        <f>IF(COUNTIF(TblPurchases[BatchID],TblOutcomes[[#This Row],[BatchID]])&lt;&gt;1,"n.a.",TblOutcomes[[#This Row],[Qty Wasted]]*SUMIFS(TblPurchases[Unit Cost (CLP)],TblPurchases[BatchID],TblOutcomes[[#This Row],[BatchID]]))</f>
        <v>0</v>
      </c>
      <c r="Q251" s="51">
        <f>IF(COUNTIF(TblPurchases[BatchID],TblOutcomes[[#This Row],[BatchID]])&lt;&gt;1,"n.a.",SUMIFS(TblPurchases[Purchase Date],TblPurchases[BatchID],TblOutcomes[[#This Row],[BatchID]]))</f>
        <v>45243</v>
      </c>
    </row>
    <row r="252" spans="2:17" x14ac:dyDescent="0.25">
      <c r="B252" s="2" t="s">
        <v>1056</v>
      </c>
      <c r="C252" s="2" t="s">
        <v>133</v>
      </c>
      <c r="D252" s="2" t="s">
        <v>122</v>
      </c>
      <c r="E252" s="2" t="s">
        <v>4647</v>
      </c>
      <c r="F252" s="2">
        <v>42</v>
      </c>
      <c r="G252" s="2">
        <v>42</v>
      </c>
      <c r="H252" s="2">
        <v>0</v>
      </c>
      <c r="I252" s="1">
        <v>0</v>
      </c>
      <c r="J252" s="26">
        <v>45255</v>
      </c>
      <c r="K252" s="22">
        <v>126000</v>
      </c>
      <c r="L252" s="18">
        <v>134.76</v>
      </c>
      <c r="M252" s="22">
        <v>86100</v>
      </c>
      <c r="N252" s="22">
        <v>39900</v>
      </c>
      <c r="O252" s="18">
        <v>42.67</v>
      </c>
      <c r="P252" s="52">
        <f>IF(COUNTIF(TblPurchases[BatchID],TblOutcomes[[#This Row],[BatchID]])&lt;&gt;1,"n.a.",TblOutcomes[[#This Row],[Qty Wasted]]*SUMIFS(TblPurchases[Unit Cost (CLP)],TblPurchases[BatchID],TblOutcomes[[#This Row],[BatchID]]))</f>
        <v>0</v>
      </c>
      <c r="Q252" s="51">
        <f>IF(COUNTIF(TblPurchases[BatchID],TblOutcomes[[#This Row],[BatchID]])&lt;&gt;1,"n.a.",SUMIFS(TblPurchases[Purchase Date],TblPurchases[BatchID],TblOutcomes[[#This Row],[BatchID]]))</f>
        <v>45249</v>
      </c>
    </row>
    <row r="253" spans="2:17" x14ac:dyDescent="0.25">
      <c r="B253" s="2" t="s">
        <v>1057</v>
      </c>
      <c r="C253" s="2" t="s">
        <v>133</v>
      </c>
      <c r="D253" s="2" t="s">
        <v>122</v>
      </c>
      <c r="E253" s="2" t="s">
        <v>4647</v>
      </c>
      <c r="F253" s="2">
        <v>46</v>
      </c>
      <c r="G253" s="2">
        <v>46</v>
      </c>
      <c r="H253" s="2">
        <v>0</v>
      </c>
      <c r="I253" s="1">
        <v>0</v>
      </c>
      <c r="J253" s="26">
        <v>45263</v>
      </c>
      <c r="K253" s="22">
        <v>138000</v>
      </c>
      <c r="L253" s="18">
        <v>147.59</v>
      </c>
      <c r="M253" s="22">
        <v>94300</v>
      </c>
      <c r="N253" s="22">
        <v>43700</v>
      </c>
      <c r="O253" s="18">
        <v>46.74</v>
      </c>
      <c r="P253" s="52">
        <f>IF(COUNTIF(TblPurchases[BatchID],TblOutcomes[[#This Row],[BatchID]])&lt;&gt;1,"n.a.",TblOutcomes[[#This Row],[Qty Wasted]]*SUMIFS(TblPurchases[Unit Cost (CLP)],TblPurchases[BatchID],TblOutcomes[[#This Row],[BatchID]]))</f>
        <v>0</v>
      </c>
      <c r="Q253" s="51">
        <f>IF(COUNTIF(TblPurchases[BatchID],TblOutcomes[[#This Row],[BatchID]])&lt;&gt;1,"n.a.",SUMIFS(TblPurchases[Purchase Date],TblPurchases[BatchID],TblOutcomes[[#This Row],[BatchID]]))</f>
        <v>45257</v>
      </c>
    </row>
    <row r="254" spans="2:17" x14ac:dyDescent="0.25">
      <c r="B254" s="2" t="s">
        <v>1058</v>
      </c>
      <c r="C254" s="2" t="s">
        <v>133</v>
      </c>
      <c r="D254" s="2" t="s">
        <v>122</v>
      </c>
      <c r="E254" s="2" t="s">
        <v>4647</v>
      </c>
      <c r="F254" s="2">
        <v>59</v>
      </c>
      <c r="G254" s="2">
        <v>59</v>
      </c>
      <c r="H254" s="2">
        <v>0</v>
      </c>
      <c r="I254" s="1">
        <v>0</v>
      </c>
      <c r="J254" s="26">
        <v>45274</v>
      </c>
      <c r="K254" s="22">
        <v>177000</v>
      </c>
      <c r="L254" s="18">
        <v>189.3</v>
      </c>
      <c r="M254" s="22">
        <v>120950</v>
      </c>
      <c r="N254" s="22">
        <v>56050</v>
      </c>
      <c r="O254" s="18">
        <v>59.95</v>
      </c>
      <c r="P254" s="52">
        <f>IF(COUNTIF(TblPurchases[BatchID],TblOutcomes[[#This Row],[BatchID]])&lt;&gt;1,"n.a.",TblOutcomes[[#This Row],[Qty Wasted]]*SUMIFS(TblPurchases[Unit Cost (CLP)],TblPurchases[BatchID],TblOutcomes[[#This Row],[BatchID]]))</f>
        <v>0</v>
      </c>
      <c r="Q254" s="51">
        <f>IF(COUNTIF(TblPurchases[BatchID],TblOutcomes[[#This Row],[BatchID]])&lt;&gt;1,"n.a.",SUMIFS(TblPurchases[Purchase Date],TblPurchases[BatchID],TblOutcomes[[#This Row],[BatchID]]))</f>
        <v>45269</v>
      </c>
    </row>
    <row r="255" spans="2:17" x14ac:dyDescent="0.25">
      <c r="B255" s="2" t="s">
        <v>1059</v>
      </c>
      <c r="C255" s="2" t="s">
        <v>133</v>
      </c>
      <c r="D255" s="2" t="s">
        <v>122</v>
      </c>
      <c r="E255" s="2" t="s">
        <v>4647</v>
      </c>
      <c r="F255" s="2">
        <v>59</v>
      </c>
      <c r="G255" s="2">
        <v>59</v>
      </c>
      <c r="H255" s="2">
        <v>0</v>
      </c>
      <c r="I255" s="1">
        <v>0</v>
      </c>
      <c r="J255" s="26">
        <v>45288</v>
      </c>
      <c r="K255" s="22">
        <v>177000</v>
      </c>
      <c r="L255" s="18">
        <v>189.3</v>
      </c>
      <c r="M255" s="22">
        <v>135700</v>
      </c>
      <c r="N255" s="22">
        <v>41300</v>
      </c>
      <c r="O255" s="18">
        <v>44.17</v>
      </c>
      <c r="P255" s="52">
        <f>IF(COUNTIF(TblPurchases[BatchID],TblOutcomes[[#This Row],[BatchID]])&lt;&gt;1,"n.a.",TblOutcomes[[#This Row],[Qty Wasted]]*SUMIFS(TblPurchases[Unit Cost (CLP)],TblPurchases[BatchID],TblOutcomes[[#This Row],[BatchID]]))</f>
        <v>0</v>
      </c>
      <c r="Q255" s="51">
        <f>IF(COUNTIF(TblPurchases[BatchID],TblOutcomes[[#This Row],[BatchID]])&lt;&gt;1,"n.a.",SUMIFS(TblPurchases[Purchase Date],TblPurchases[BatchID],TblOutcomes[[#This Row],[BatchID]]))</f>
        <v>45279</v>
      </c>
    </row>
    <row r="256" spans="2:17" x14ac:dyDescent="0.25">
      <c r="B256" s="2" t="s">
        <v>1060</v>
      </c>
      <c r="C256" s="2" t="s">
        <v>133</v>
      </c>
      <c r="D256" s="2" t="s">
        <v>122</v>
      </c>
      <c r="E256" s="2" t="s">
        <v>4647</v>
      </c>
      <c r="F256" s="2">
        <v>56</v>
      </c>
      <c r="G256" s="2">
        <v>56</v>
      </c>
      <c r="H256" s="2">
        <v>0</v>
      </c>
      <c r="I256" s="1">
        <v>0</v>
      </c>
      <c r="J256" s="26">
        <v>45296</v>
      </c>
      <c r="K256" s="22">
        <v>168000</v>
      </c>
      <c r="L256" s="18">
        <v>179.68</v>
      </c>
      <c r="M256" s="22">
        <v>114800</v>
      </c>
      <c r="N256" s="22">
        <v>53200</v>
      </c>
      <c r="O256" s="18">
        <v>56.9</v>
      </c>
      <c r="P256" s="52">
        <f>IF(COUNTIF(TblPurchases[BatchID],TblOutcomes[[#This Row],[BatchID]])&lt;&gt;1,"n.a.",TblOutcomes[[#This Row],[Qty Wasted]]*SUMIFS(TblPurchases[Unit Cost (CLP)],TblPurchases[BatchID],TblOutcomes[[#This Row],[BatchID]]))</f>
        <v>0</v>
      </c>
      <c r="Q256" s="51">
        <f>IF(COUNTIF(TblPurchases[BatchID],TblOutcomes[[#This Row],[BatchID]])&lt;&gt;1,"n.a.",SUMIFS(TblPurchases[Purchase Date],TblPurchases[BatchID],TblOutcomes[[#This Row],[BatchID]]))</f>
        <v>45287</v>
      </c>
    </row>
    <row r="257" spans="2:17" x14ac:dyDescent="0.25">
      <c r="B257" s="2" t="s">
        <v>1061</v>
      </c>
      <c r="C257" s="2" t="s">
        <v>133</v>
      </c>
      <c r="D257" s="2" t="s">
        <v>122</v>
      </c>
      <c r="E257" s="2" t="s">
        <v>4647</v>
      </c>
      <c r="F257" s="2">
        <v>43</v>
      </c>
      <c r="G257" s="2">
        <v>43</v>
      </c>
      <c r="H257" s="2">
        <v>0</v>
      </c>
      <c r="I257" s="1">
        <v>0</v>
      </c>
      <c r="J257" s="26">
        <v>45305</v>
      </c>
      <c r="K257" s="22">
        <v>129000</v>
      </c>
      <c r="L257" s="18">
        <v>137.97</v>
      </c>
      <c r="M257" s="22">
        <v>98900</v>
      </c>
      <c r="N257" s="22">
        <v>30100</v>
      </c>
      <c r="O257" s="18">
        <v>32.19</v>
      </c>
      <c r="P257" s="52">
        <f>IF(COUNTIF(TblPurchases[BatchID],TblOutcomes[[#This Row],[BatchID]])&lt;&gt;1,"n.a.",TblOutcomes[[#This Row],[Qty Wasted]]*SUMIFS(TblPurchases[Unit Cost (CLP)],TblPurchases[BatchID],TblOutcomes[[#This Row],[BatchID]]))</f>
        <v>0</v>
      </c>
      <c r="Q257" s="51">
        <f>IF(COUNTIF(TblPurchases[BatchID],TblOutcomes[[#This Row],[BatchID]])&lt;&gt;1,"n.a.",SUMIFS(TblPurchases[Purchase Date],TblPurchases[BatchID],TblOutcomes[[#This Row],[BatchID]]))</f>
        <v>45299</v>
      </c>
    </row>
    <row r="258" spans="2:17" x14ac:dyDescent="0.25">
      <c r="B258" s="2" t="s">
        <v>1062</v>
      </c>
      <c r="C258" s="2" t="s">
        <v>133</v>
      </c>
      <c r="D258" s="2" t="s">
        <v>122</v>
      </c>
      <c r="E258" s="2" t="s">
        <v>4647</v>
      </c>
      <c r="F258" s="2">
        <v>46</v>
      </c>
      <c r="G258" s="2">
        <v>46</v>
      </c>
      <c r="H258" s="2">
        <v>0</v>
      </c>
      <c r="I258" s="1">
        <v>0</v>
      </c>
      <c r="J258" s="26">
        <v>45315</v>
      </c>
      <c r="K258" s="22">
        <v>138000</v>
      </c>
      <c r="L258" s="18">
        <v>147.59</v>
      </c>
      <c r="M258" s="22">
        <v>94300</v>
      </c>
      <c r="N258" s="22">
        <v>43700</v>
      </c>
      <c r="O258" s="18">
        <v>46.74</v>
      </c>
      <c r="P258" s="52">
        <f>IF(COUNTIF(TblPurchases[BatchID],TblOutcomes[[#This Row],[BatchID]])&lt;&gt;1,"n.a.",TblOutcomes[[#This Row],[Qty Wasted]]*SUMIFS(TblPurchases[Unit Cost (CLP)],TblPurchases[BatchID],TblOutcomes[[#This Row],[BatchID]]))</f>
        <v>0</v>
      </c>
      <c r="Q258" s="51">
        <f>IF(COUNTIF(TblPurchases[BatchID],TblOutcomes[[#This Row],[BatchID]])&lt;&gt;1,"n.a.",SUMIFS(TblPurchases[Purchase Date],TblPurchases[BatchID],TblOutcomes[[#This Row],[BatchID]]))</f>
        <v>45310</v>
      </c>
    </row>
    <row r="259" spans="2:17" x14ac:dyDescent="0.25">
      <c r="B259" s="2" t="s">
        <v>1063</v>
      </c>
      <c r="C259" s="2" t="s">
        <v>133</v>
      </c>
      <c r="D259" s="2" t="s">
        <v>122</v>
      </c>
      <c r="E259" s="2" t="s">
        <v>4647</v>
      </c>
      <c r="F259" s="2">
        <v>36</v>
      </c>
      <c r="G259" s="2">
        <v>36</v>
      </c>
      <c r="H259" s="2">
        <v>0</v>
      </c>
      <c r="I259" s="1">
        <v>0</v>
      </c>
      <c r="J259" s="26">
        <v>45326</v>
      </c>
      <c r="K259" s="22">
        <v>108000</v>
      </c>
      <c r="L259" s="18">
        <v>115.51</v>
      </c>
      <c r="M259" s="22">
        <v>73800</v>
      </c>
      <c r="N259" s="22">
        <v>34200</v>
      </c>
      <c r="O259" s="18">
        <v>36.58</v>
      </c>
      <c r="P259" s="52">
        <f>IF(COUNTIF(TblPurchases[BatchID],TblOutcomes[[#This Row],[BatchID]])&lt;&gt;1,"n.a.",TblOutcomes[[#This Row],[Qty Wasted]]*SUMIFS(TblPurchases[Unit Cost (CLP)],TblPurchases[BatchID],TblOutcomes[[#This Row],[BatchID]]))</f>
        <v>0</v>
      </c>
      <c r="Q259" s="51">
        <f>IF(COUNTIF(TblPurchases[BatchID],TblOutcomes[[#This Row],[BatchID]])&lt;&gt;1,"n.a.",SUMIFS(TblPurchases[Purchase Date],TblPurchases[BatchID],TblOutcomes[[#This Row],[BatchID]]))</f>
        <v>45320</v>
      </c>
    </row>
    <row r="260" spans="2:17" x14ac:dyDescent="0.25">
      <c r="B260" s="2" t="s">
        <v>1064</v>
      </c>
      <c r="C260" s="2" t="s">
        <v>133</v>
      </c>
      <c r="D260" s="2" t="s">
        <v>122</v>
      </c>
      <c r="E260" s="2" t="s">
        <v>4647</v>
      </c>
      <c r="F260" s="2">
        <v>38</v>
      </c>
      <c r="G260" s="2">
        <v>38</v>
      </c>
      <c r="H260" s="2">
        <v>0</v>
      </c>
      <c r="I260" s="1">
        <v>0</v>
      </c>
      <c r="J260" s="26">
        <v>45337</v>
      </c>
      <c r="K260" s="22">
        <v>114000</v>
      </c>
      <c r="L260" s="18">
        <v>121.93</v>
      </c>
      <c r="M260" s="22">
        <v>77900</v>
      </c>
      <c r="N260" s="22">
        <v>36100</v>
      </c>
      <c r="O260" s="18">
        <v>38.61</v>
      </c>
      <c r="P260" s="52">
        <f>IF(COUNTIF(TblPurchases[BatchID],TblOutcomes[[#This Row],[BatchID]])&lt;&gt;1,"n.a.",TblOutcomes[[#This Row],[Qty Wasted]]*SUMIFS(TblPurchases[Unit Cost (CLP)],TblPurchases[BatchID],TblOutcomes[[#This Row],[BatchID]]))</f>
        <v>0</v>
      </c>
      <c r="Q260" s="51">
        <f>IF(COUNTIF(TblPurchases[BatchID],TblOutcomes[[#This Row],[BatchID]])&lt;&gt;1,"n.a.",SUMIFS(TblPurchases[Purchase Date],TblPurchases[BatchID],TblOutcomes[[#This Row],[BatchID]]))</f>
        <v>45328</v>
      </c>
    </row>
    <row r="261" spans="2:17" x14ac:dyDescent="0.25">
      <c r="B261" s="2" t="s">
        <v>1065</v>
      </c>
      <c r="C261" s="2" t="s">
        <v>133</v>
      </c>
      <c r="D261" s="2" t="s">
        <v>122</v>
      </c>
      <c r="E261" s="2" t="s">
        <v>4646</v>
      </c>
      <c r="F261" s="2">
        <v>40</v>
      </c>
      <c r="G261" s="2">
        <v>30</v>
      </c>
      <c r="H261" s="2">
        <v>10</v>
      </c>
      <c r="I261" s="1">
        <v>25</v>
      </c>
      <c r="J261" s="26">
        <v>45380</v>
      </c>
      <c r="K261" s="22">
        <v>90000</v>
      </c>
      <c r="L261" s="18">
        <v>96.26</v>
      </c>
      <c r="M261" s="22">
        <v>82000</v>
      </c>
      <c r="N261" s="22">
        <v>8000</v>
      </c>
      <c r="O261" s="18">
        <v>8.56</v>
      </c>
      <c r="P261" s="52">
        <f>IF(COUNTIF(TblPurchases[BatchID],TblOutcomes[[#This Row],[BatchID]])&lt;&gt;1,"n.a.",TblOutcomes[[#This Row],[Qty Wasted]]*SUMIFS(TblPurchases[Unit Cost (CLP)],TblPurchases[BatchID],TblOutcomes[[#This Row],[BatchID]]))</f>
        <v>20500</v>
      </c>
      <c r="Q261" s="51">
        <f>IF(COUNTIF(TblPurchases[BatchID],TblOutcomes[[#This Row],[BatchID]])&lt;&gt;1,"n.a.",SUMIFS(TblPurchases[Purchase Date],TblPurchases[BatchID],TblOutcomes[[#This Row],[BatchID]]))</f>
        <v>45335</v>
      </c>
    </row>
    <row r="262" spans="2:17" x14ac:dyDescent="0.25">
      <c r="B262" s="2" t="s">
        <v>1066</v>
      </c>
      <c r="C262" s="2" t="s">
        <v>133</v>
      </c>
      <c r="D262" s="2" t="s">
        <v>122</v>
      </c>
      <c r="E262" s="2" t="s">
        <v>4647</v>
      </c>
      <c r="F262" s="2">
        <v>35</v>
      </c>
      <c r="G262" s="2">
        <v>35</v>
      </c>
      <c r="H262" s="2">
        <v>0</v>
      </c>
      <c r="I262" s="1">
        <v>0</v>
      </c>
      <c r="J262" s="26">
        <v>45353</v>
      </c>
      <c r="K262" s="22">
        <v>105000</v>
      </c>
      <c r="L262" s="18">
        <v>112.3</v>
      </c>
      <c r="M262" s="22">
        <v>71750</v>
      </c>
      <c r="N262" s="22">
        <v>33250</v>
      </c>
      <c r="O262" s="18">
        <v>35.56</v>
      </c>
      <c r="P262" s="52">
        <f>IF(COUNTIF(TblPurchases[BatchID],TblOutcomes[[#This Row],[BatchID]])&lt;&gt;1,"n.a.",TblOutcomes[[#This Row],[Qty Wasted]]*SUMIFS(TblPurchases[Unit Cost (CLP)],TblPurchases[BatchID],TblOutcomes[[#This Row],[BatchID]]))</f>
        <v>0</v>
      </c>
      <c r="Q262" s="51">
        <f>IF(COUNTIF(TblPurchases[BatchID],TblOutcomes[[#This Row],[BatchID]])&lt;&gt;1,"n.a.",SUMIFS(TblPurchases[Purchase Date],TblPurchases[BatchID],TblOutcomes[[#This Row],[BatchID]]))</f>
        <v>45345</v>
      </c>
    </row>
    <row r="263" spans="2:17" x14ac:dyDescent="0.25">
      <c r="B263" s="2" t="s">
        <v>1067</v>
      </c>
      <c r="C263" s="2" t="s">
        <v>133</v>
      </c>
      <c r="D263" s="2" t="s">
        <v>122</v>
      </c>
      <c r="E263" s="2" t="s">
        <v>4647</v>
      </c>
      <c r="F263" s="2">
        <v>37</v>
      </c>
      <c r="G263" s="2">
        <v>37</v>
      </c>
      <c r="H263" s="2">
        <v>0</v>
      </c>
      <c r="I263" s="1">
        <v>0</v>
      </c>
      <c r="J263" s="26">
        <v>45362</v>
      </c>
      <c r="K263" s="22">
        <v>111000</v>
      </c>
      <c r="L263" s="18">
        <v>118.72</v>
      </c>
      <c r="M263" s="22">
        <v>85100</v>
      </c>
      <c r="N263" s="22">
        <v>25900</v>
      </c>
      <c r="O263" s="18">
        <v>27.7</v>
      </c>
      <c r="P263" s="52">
        <f>IF(COUNTIF(TblPurchases[BatchID],TblOutcomes[[#This Row],[BatchID]])&lt;&gt;1,"n.a.",TblOutcomes[[#This Row],[Qty Wasted]]*SUMIFS(TblPurchases[Unit Cost (CLP)],TblPurchases[BatchID],TblOutcomes[[#This Row],[BatchID]]))</f>
        <v>0</v>
      </c>
      <c r="Q263" s="51">
        <f>IF(COUNTIF(TblPurchases[BatchID],TblOutcomes[[#This Row],[BatchID]])&lt;&gt;1,"n.a.",SUMIFS(TblPurchases[Purchase Date],TblPurchases[BatchID],TblOutcomes[[#This Row],[BatchID]]))</f>
        <v>45354</v>
      </c>
    </row>
    <row r="264" spans="2:17" x14ac:dyDescent="0.25">
      <c r="B264" s="2" t="s">
        <v>1068</v>
      </c>
      <c r="C264" s="2" t="s">
        <v>133</v>
      </c>
      <c r="D264" s="2" t="s">
        <v>122</v>
      </c>
      <c r="E264" s="2" t="s">
        <v>4647</v>
      </c>
      <c r="F264" s="2">
        <v>34</v>
      </c>
      <c r="G264" s="2">
        <v>34</v>
      </c>
      <c r="H264" s="2">
        <v>0</v>
      </c>
      <c r="I264" s="1">
        <v>0</v>
      </c>
      <c r="J264" s="26">
        <v>45373</v>
      </c>
      <c r="K264" s="22">
        <v>102000</v>
      </c>
      <c r="L264" s="18">
        <v>109.09</v>
      </c>
      <c r="M264" s="22">
        <v>69700</v>
      </c>
      <c r="N264" s="22">
        <v>32300</v>
      </c>
      <c r="O264" s="18">
        <v>34.549999999999997</v>
      </c>
      <c r="P264" s="52">
        <f>IF(COUNTIF(TblPurchases[BatchID],TblOutcomes[[#This Row],[BatchID]])&lt;&gt;1,"n.a.",TblOutcomes[[#This Row],[Qty Wasted]]*SUMIFS(TblPurchases[Unit Cost (CLP)],TblPurchases[BatchID],TblOutcomes[[#This Row],[BatchID]]))</f>
        <v>0</v>
      </c>
      <c r="Q264" s="51">
        <f>IF(COUNTIF(TblPurchases[BatchID],TblOutcomes[[#This Row],[BatchID]])&lt;&gt;1,"n.a.",SUMIFS(TblPurchases[Purchase Date],TblPurchases[BatchID],TblOutcomes[[#This Row],[BatchID]]))</f>
        <v>45362</v>
      </c>
    </row>
    <row r="265" spans="2:17" x14ac:dyDescent="0.25">
      <c r="B265" s="2" t="s">
        <v>1069</v>
      </c>
      <c r="C265" s="2" t="s">
        <v>133</v>
      </c>
      <c r="D265" s="2" t="s">
        <v>122</v>
      </c>
      <c r="E265" s="2" t="s">
        <v>4647</v>
      </c>
      <c r="F265" s="2">
        <v>39</v>
      </c>
      <c r="G265" s="2">
        <v>39</v>
      </c>
      <c r="H265" s="2">
        <v>0</v>
      </c>
      <c r="I265" s="1">
        <v>0</v>
      </c>
      <c r="J265" s="26">
        <v>45378</v>
      </c>
      <c r="K265" s="22">
        <v>117000</v>
      </c>
      <c r="L265" s="18">
        <v>125.13</v>
      </c>
      <c r="M265" s="22">
        <v>79950</v>
      </c>
      <c r="N265" s="22">
        <v>37050</v>
      </c>
      <c r="O265" s="18">
        <v>39.630000000000003</v>
      </c>
      <c r="P265" s="52">
        <f>IF(COUNTIF(TblPurchases[BatchID],TblOutcomes[[#This Row],[BatchID]])&lt;&gt;1,"n.a.",TblOutcomes[[#This Row],[Qty Wasted]]*SUMIFS(TblPurchases[Unit Cost (CLP)],TblPurchases[BatchID],TblOutcomes[[#This Row],[BatchID]]))</f>
        <v>0</v>
      </c>
      <c r="Q265" s="51">
        <f>IF(COUNTIF(TblPurchases[BatchID],TblOutcomes[[#This Row],[BatchID]])&lt;&gt;1,"n.a.",SUMIFS(TblPurchases[Purchase Date],TblPurchases[BatchID],TblOutcomes[[#This Row],[BatchID]]))</f>
        <v>45371</v>
      </c>
    </row>
    <row r="266" spans="2:17" x14ac:dyDescent="0.25">
      <c r="B266" s="2" t="s">
        <v>1070</v>
      </c>
      <c r="C266" s="2" t="s">
        <v>133</v>
      </c>
      <c r="D266" s="2" t="s">
        <v>122</v>
      </c>
      <c r="E266" s="2" t="s">
        <v>4647</v>
      </c>
      <c r="F266" s="2">
        <v>40</v>
      </c>
      <c r="G266" s="2">
        <v>40</v>
      </c>
      <c r="H266" s="2">
        <v>0</v>
      </c>
      <c r="I266" s="1">
        <v>0</v>
      </c>
      <c r="J266" s="26">
        <v>45389</v>
      </c>
      <c r="K266" s="22">
        <v>120000</v>
      </c>
      <c r="L266" s="18">
        <v>128.34</v>
      </c>
      <c r="M266" s="22">
        <v>82000</v>
      </c>
      <c r="N266" s="22">
        <v>38000</v>
      </c>
      <c r="O266" s="18">
        <v>40.64</v>
      </c>
      <c r="P266" s="52">
        <f>IF(COUNTIF(TblPurchases[BatchID],TblOutcomes[[#This Row],[BatchID]])&lt;&gt;1,"n.a.",TblOutcomes[[#This Row],[Qty Wasted]]*SUMIFS(TblPurchases[Unit Cost (CLP)],TblPurchases[BatchID],TblOutcomes[[#This Row],[BatchID]]))</f>
        <v>0</v>
      </c>
      <c r="Q266" s="51">
        <f>IF(COUNTIF(TblPurchases[BatchID],TblOutcomes[[#This Row],[BatchID]])&lt;&gt;1,"n.a.",SUMIFS(TblPurchases[Purchase Date],TblPurchases[BatchID],TblOutcomes[[#This Row],[BatchID]]))</f>
        <v>45382</v>
      </c>
    </row>
    <row r="267" spans="2:17" x14ac:dyDescent="0.25">
      <c r="B267" s="2" t="s">
        <v>1071</v>
      </c>
      <c r="C267" s="2" t="s">
        <v>133</v>
      </c>
      <c r="D267" s="2" t="s">
        <v>122</v>
      </c>
      <c r="E267" s="2" t="s">
        <v>4646</v>
      </c>
      <c r="F267" s="2">
        <v>15</v>
      </c>
      <c r="G267" s="2">
        <v>12.27</v>
      </c>
      <c r="H267" s="2">
        <v>2.73</v>
      </c>
      <c r="I267" s="1">
        <v>18.2</v>
      </c>
      <c r="J267" s="26">
        <v>45435</v>
      </c>
      <c r="K267" s="22">
        <v>36810</v>
      </c>
      <c r="L267" s="18">
        <v>39.369999999999997</v>
      </c>
      <c r="M267" s="22">
        <v>30750</v>
      </c>
      <c r="N267" s="22">
        <v>6060</v>
      </c>
      <c r="O267" s="18">
        <v>6.48</v>
      </c>
      <c r="P267" s="52">
        <f>IF(COUNTIF(TblPurchases[BatchID],TblOutcomes[[#This Row],[BatchID]])&lt;&gt;1,"n.a.",TblOutcomes[[#This Row],[Qty Wasted]]*SUMIFS(TblPurchases[Unit Cost (CLP)],TblPurchases[BatchID],TblOutcomes[[#This Row],[BatchID]]))</f>
        <v>5596.5</v>
      </c>
      <c r="Q267" s="51">
        <f>IF(COUNTIF(TblPurchases[BatchID],TblOutcomes[[#This Row],[BatchID]])&lt;&gt;1,"n.a.",SUMIFS(TblPurchases[Purchase Date],TblPurchases[BatchID],TblOutcomes[[#This Row],[BatchID]]))</f>
        <v>45390</v>
      </c>
    </row>
    <row r="268" spans="2:17" x14ac:dyDescent="0.25">
      <c r="B268" s="2" t="s">
        <v>1072</v>
      </c>
      <c r="C268" s="2" t="s">
        <v>133</v>
      </c>
      <c r="D268" s="2" t="s">
        <v>122</v>
      </c>
      <c r="E268" s="2" t="s">
        <v>4646</v>
      </c>
      <c r="F268" s="2">
        <v>14</v>
      </c>
      <c r="G268" s="2">
        <v>12.43</v>
      </c>
      <c r="H268" s="2">
        <v>1.57</v>
      </c>
      <c r="I268" s="1">
        <v>11.2</v>
      </c>
      <c r="J268" s="26">
        <v>45445</v>
      </c>
      <c r="K268" s="22">
        <v>37290</v>
      </c>
      <c r="L268" s="18">
        <v>39.880000000000003</v>
      </c>
      <c r="M268" s="22">
        <v>28700</v>
      </c>
      <c r="N268" s="22">
        <v>8590</v>
      </c>
      <c r="O268" s="18">
        <v>9.19</v>
      </c>
      <c r="P268" s="52">
        <f>IF(COUNTIF(TblPurchases[BatchID],TblOutcomes[[#This Row],[BatchID]])&lt;&gt;1,"n.a.",TblOutcomes[[#This Row],[Qty Wasted]]*SUMIFS(TblPurchases[Unit Cost (CLP)],TblPurchases[BatchID],TblOutcomes[[#This Row],[BatchID]]))</f>
        <v>3218.5</v>
      </c>
      <c r="Q268" s="51">
        <f>IF(COUNTIF(TblPurchases[BatchID],TblOutcomes[[#This Row],[BatchID]])&lt;&gt;1,"n.a.",SUMIFS(TblPurchases[Purchase Date],TblPurchases[BatchID],TblOutcomes[[#This Row],[BatchID]]))</f>
        <v>45400</v>
      </c>
    </row>
    <row r="269" spans="2:17" x14ac:dyDescent="0.25">
      <c r="B269" s="2" t="s">
        <v>1073</v>
      </c>
      <c r="C269" s="2" t="s">
        <v>133</v>
      </c>
      <c r="D269" s="2" t="s">
        <v>122</v>
      </c>
      <c r="E269" s="2" t="s">
        <v>4647</v>
      </c>
      <c r="F269" s="2">
        <v>13</v>
      </c>
      <c r="G269" s="2">
        <v>13</v>
      </c>
      <c r="H269" s="2">
        <v>0</v>
      </c>
      <c r="I269" s="1">
        <v>0</v>
      </c>
      <c r="J269" s="26">
        <v>45414</v>
      </c>
      <c r="K269" s="22">
        <v>39000</v>
      </c>
      <c r="L269" s="18">
        <v>41.71</v>
      </c>
      <c r="M269" s="22">
        <v>26650</v>
      </c>
      <c r="N269" s="22">
        <v>12350</v>
      </c>
      <c r="O269" s="18">
        <v>13.21</v>
      </c>
      <c r="P269" s="52">
        <f>IF(COUNTIF(TblPurchases[BatchID],TblOutcomes[[#This Row],[BatchID]])&lt;&gt;1,"n.a.",TblOutcomes[[#This Row],[Qty Wasted]]*SUMIFS(TblPurchases[Unit Cost (CLP)],TblPurchases[BatchID],TblOutcomes[[#This Row],[BatchID]]))</f>
        <v>0</v>
      </c>
      <c r="Q269" s="51">
        <f>IF(COUNTIF(TblPurchases[BatchID],TblOutcomes[[#This Row],[BatchID]])&lt;&gt;1,"n.a.",SUMIFS(TblPurchases[Purchase Date],TblPurchases[BatchID],TblOutcomes[[#This Row],[BatchID]]))</f>
        <v>45409</v>
      </c>
    </row>
    <row r="270" spans="2:17" x14ac:dyDescent="0.25">
      <c r="B270" s="2" t="s">
        <v>1074</v>
      </c>
      <c r="C270" s="2" t="s">
        <v>133</v>
      </c>
      <c r="D270" s="2" t="s">
        <v>122</v>
      </c>
      <c r="E270" s="2" t="s">
        <v>4646</v>
      </c>
      <c r="F270" s="2">
        <v>16</v>
      </c>
      <c r="G270" s="2">
        <v>13.57</v>
      </c>
      <c r="H270" s="2">
        <v>2.4300000000000002</v>
      </c>
      <c r="I270" s="1">
        <v>15.2</v>
      </c>
      <c r="J270" s="26">
        <v>45464</v>
      </c>
      <c r="K270" s="22">
        <v>40710</v>
      </c>
      <c r="L270" s="18">
        <v>43.54</v>
      </c>
      <c r="M270" s="22">
        <v>32800</v>
      </c>
      <c r="N270" s="22">
        <v>7910</v>
      </c>
      <c r="O270" s="18">
        <v>8.4600000000000009</v>
      </c>
      <c r="P270" s="52">
        <f>IF(COUNTIF(TblPurchases[BatchID],TblOutcomes[[#This Row],[BatchID]])&lt;&gt;1,"n.a.",TblOutcomes[[#This Row],[Qty Wasted]]*SUMIFS(TblPurchases[Unit Cost (CLP)],TblPurchases[BatchID],TblOutcomes[[#This Row],[BatchID]]))</f>
        <v>4981.5</v>
      </c>
      <c r="Q270" s="51">
        <f>IF(COUNTIF(TblPurchases[BatchID],TblOutcomes[[#This Row],[BatchID]])&lt;&gt;1,"n.a.",SUMIFS(TblPurchases[Purchase Date],TblPurchases[BatchID],TblOutcomes[[#This Row],[BatchID]]))</f>
        <v>45419</v>
      </c>
    </row>
    <row r="271" spans="2:17" x14ac:dyDescent="0.25">
      <c r="B271" s="2" t="s">
        <v>1075</v>
      </c>
      <c r="C271" s="2" t="s">
        <v>133</v>
      </c>
      <c r="D271" s="2" t="s">
        <v>122</v>
      </c>
      <c r="E271" s="2" t="s">
        <v>4646</v>
      </c>
      <c r="F271" s="2">
        <v>17</v>
      </c>
      <c r="G271" s="2">
        <v>13.09</v>
      </c>
      <c r="H271" s="2">
        <v>3.91</v>
      </c>
      <c r="I271" s="1">
        <v>23</v>
      </c>
      <c r="J271" s="26">
        <v>45472</v>
      </c>
      <c r="K271" s="22">
        <v>39270</v>
      </c>
      <c r="L271" s="18">
        <v>42</v>
      </c>
      <c r="M271" s="22">
        <v>39100</v>
      </c>
      <c r="N271" s="22">
        <v>170</v>
      </c>
      <c r="O271" s="18">
        <v>0.18</v>
      </c>
      <c r="P271" s="52">
        <f>IF(COUNTIF(TblPurchases[BatchID],TblOutcomes[[#This Row],[BatchID]])&lt;&gt;1,"n.a.",TblOutcomes[[#This Row],[Qty Wasted]]*SUMIFS(TblPurchases[Unit Cost (CLP)],TblPurchases[BatchID],TblOutcomes[[#This Row],[BatchID]]))</f>
        <v>8993</v>
      </c>
      <c r="Q271" s="51">
        <f>IF(COUNTIF(TblPurchases[BatchID],TblOutcomes[[#This Row],[BatchID]])&lt;&gt;1,"n.a.",SUMIFS(TblPurchases[Purchase Date],TblPurchases[BatchID],TblOutcomes[[#This Row],[BatchID]]))</f>
        <v>45427</v>
      </c>
    </row>
    <row r="272" spans="2:17" x14ac:dyDescent="0.25">
      <c r="B272" s="2" t="s">
        <v>1076</v>
      </c>
      <c r="C272" s="2" t="s">
        <v>133</v>
      </c>
      <c r="D272" s="2" t="s">
        <v>122</v>
      </c>
      <c r="E272" s="2" t="s">
        <v>4647</v>
      </c>
      <c r="F272" s="2">
        <v>16</v>
      </c>
      <c r="G272" s="2">
        <v>16</v>
      </c>
      <c r="H272" s="2">
        <v>0</v>
      </c>
      <c r="I272" s="1">
        <v>0</v>
      </c>
      <c r="J272" s="26">
        <v>45443</v>
      </c>
      <c r="K272" s="22">
        <v>48000</v>
      </c>
      <c r="L272" s="18">
        <v>51.34</v>
      </c>
      <c r="M272" s="22">
        <v>32800</v>
      </c>
      <c r="N272" s="22">
        <v>15200</v>
      </c>
      <c r="O272" s="18">
        <v>16.260000000000002</v>
      </c>
      <c r="P272" s="52">
        <f>IF(COUNTIF(TblPurchases[BatchID],TblOutcomes[[#This Row],[BatchID]])&lt;&gt;1,"n.a.",TblOutcomes[[#This Row],[Qty Wasted]]*SUMIFS(TblPurchases[Unit Cost (CLP)],TblPurchases[BatchID],TblOutcomes[[#This Row],[BatchID]]))</f>
        <v>0</v>
      </c>
      <c r="Q272" s="51">
        <f>IF(COUNTIF(TblPurchases[BatchID],TblOutcomes[[#This Row],[BatchID]])&lt;&gt;1,"n.a.",SUMIFS(TblPurchases[Purchase Date],TblPurchases[BatchID],TblOutcomes[[#This Row],[BatchID]]))</f>
        <v>45435</v>
      </c>
    </row>
    <row r="273" spans="2:17" x14ac:dyDescent="0.25">
      <c r="B273" s="2" t="s">
        <v>1077</v>
      </c>
      <c r="C273" s="2" t="s">
        <v>133</v>
      </c>
      <c r="D273" s="2" t="s">
        <v>122</v>
      </c>
      <c r="E273" s="2" t="s">
        <v>4647</v>
      </c>
      <c r="F273" s="2">
        <v>15</v>
      </c>
      <c r="G273" s="2">
        <v>15</v>
      </c>
      <c r="H273" s="2">
        <v>0</v>
      </c>
      <c r="I273" s="1">
        <v>0</v>
      </c>
      <c r="J273" s="26">
        <v>45449</v>
      </c>
      <c r="K273" s="22">
        <v>45000</v>
      </c>
      <c r="L273" s="18">
        <v>48.13</v>
      </c>
      <c r="M273" s="22">
        <v>30750</v>
      </c>
      <c r="N273" s="22">
        <v>14250</v>
      </c>
      <c r="O273" s="18">
        <v>15.24</v>
      </c>
      <c r="P273" s="52">
        <f>IF(COUNTIF(TblPurchases[BatchID],TblOutcomes[[#This Row],[BatchID]])&lt;&gt;1,"n.a.",TblOutcomes[[#This Row],[Qty Wasted]]*SUMIFS(TblPurchases[Unit Cost (CLP)],TblPurchases[BatchID],TblOutcomes[[#This Row],[BatchID]]))</f>
        <v>0</v>
      </c>
      <c r="Q273" s="51">
        <f>IF(COUNTIF(TblPurchases[BatchID],TblOutcomes[[#This Row],[BatchID]])&lt;&gt;1,"n.a.",SUMIFS(TblPurchases[Purchase Date],TblPurchases[BatchID],TblOutcomes[[#This Row],[BatchID]]))</f>
        <v>45444</v>
      </c>
    </row>
    <row r="274" spans="2:17" x14ac:dyDescent="0.25">
      <c r="B274" s="2" t="s">
        <v>1078</v>
      </c>
      <c r="C274" s="2" t="s">
        <v>133</v>
      </c>
      <c r="D274" s="2" t="s">
        <v>122</v>
      </c>
      <c r="E274" s="2" t="s">
        <v>4647</v>
      </c>
      <c r="F274" s="2">
        <v>15</v>
      </c>
      <c r="G274" s="2">
        <v>15</v>
      </c>
      <c r="H274" s="2">
        <v>0</v>
      </c>
      <c r="I274" s="1">
        <v>0</v>
      </c>
      <c r="J274" s="26">
        <v>45459</v>
      </c>
      <c r="K274" s="22">
        <v>45000</v>
      </c>
      <c r="L274" s="18">
        <v>48.13</v>
      </c>
      <c r="M274" s="22">
        <v>30750</v>
      </c>
      <c r="N274" s="22">
        <v>14250</v>
      </c>
      <c r="O274" s="18">
        <v>15.24</v>
      </c>
      <c r="P274" s="52">
        <f>IF(COUNTIF(TblPurchases[BatchID],TblOutcomes[[#This Row],[BatchID]])&lt;&gt;1,"n.a.",TblOutcomes[[#This Row],[Qty Wasted]]*SUMIFS(TblPurchases[Unit Cost (CLP)],TblPurchases[BatchID],TblOutcomes[[#This Row],[BatchID]]))</f>
        <v>0</v>
      </c>
      <c r="Q274" s="51">
        <f>IF(COUNTIF(TblPurchases[BatchID],TblOutcomes[[#This Row],[BatchID]])&lt;&gt;1,"n.a.",SUMIFS(TblPurchases[Purchase Date],TblPurchases[BatchID],TblOutcomes[[#This Row],[BatchID]]))</f>
        <v>45453</v>
      </c>
    </row>
    <row r="275" spans="2:17" x14ac:dyDescent="0.25">
      <c r="B275" s="2" t="s">
        <v>1079</v>
      </c>
      <c r="C275" s="2" t="s">
        <v>133</v>
      </c>
      <c r="D275" s="2" t="s">
        <v>122</v>
      </c>
      <c r="E275" s="2" t="s">
        <v>4647</v>
      </c>
      <c r="F275" s="2">
        <v>16</v>
      </c>
      <c r="G275" s="2">
        <v>16</v>
      </c>
      <c r="H275" s="2">
        <v>0</v>
      </c>
      <c r="I275" s="1">
        <v>0</v>
      </c>
      <c r="J275" s="26">
        <v>45474</v>
      </c>
      <c r="K275" s="22">
        <v>48000</v>
      </c>
      <c r="L275" s="18">
        <v>51.34</v>
      </c>
      <c r="M275" s="22">
        <v>32800</v>
      </c>
      <c r="N275" s="22">
        <v>15200</v>
      </c>
      <c r="O275" s="18">
        <v>16.260000000000002</v>
      </c>
      <c r="P275" s="52">
        <f>IF(COUNTIF(TblPurchases[BatchID],TblOutcomes[[#This Row],[BatchID]])&lt;&gt;1,"n.a.",TblOutcomes[[#This Row],[Qty Wasted]]*SUMIFS(TblPurchases[Unit Cost (CLP)],TblPurchases[BatchID],TblOutcomes[[#This Row],[BatchID]]))</f>
        <v>0</v>
      </c>
      <c r="Q275" s="51">
        <f>IF(COUNTIF(TblPurchases[BatchID],TblOutcomes[[#This Row],[BatchID]])&lt;&gt;1,"n.a.",SUMIFS(TblPurchases[Purchase Date],TblPurchases[BatchID],TblOutcomes[[#This Row],[BatchID]]))</f>
        <v>45464</v>
      </c>
    </row>
    <row r="276" spans="2:17" x14ac:dyDescent="0.25">
      <c r="B276" s="2" t="s">
        <v>1080</v>
      </c>
      <c r="C276" s="2" t="s">
        <v>133</v>
      </c>
      <c r="D276" s="2" t="s">
        <v>122</v>
      </c>
      <c r="E276" s="2" t="s">
        <v>4646</v>
      </c>
      <c r="F276" s="2">
        <v>15</v>
      </c>
      <c r="G276" s="2">
        <v>10.56</v>
      </c>
      <c r="H276" s="2">
        <v>4.4400000000000004</v>
      </c>
      <c r="I276" s="1">
        <v>29.6</v>
      </c>
      <c r="J276" s="26">
        <v>45521</v>
      </c>
      <c r="K276" s="22">
        <v>31680</v>
      </c>
      <c r="L276" s="18">
        <v>33.880000000000003</v>
      </c>
      <c r="M276" s="22">
        <v>30750</v>
      </c>
      <c r="N276" s="22">
        <v>930</v>
      </c>
      <c r="O276" s="18">
        <v>0.99</v>
      </c>
      <c r="P276" s="52">
        <f>IF(COUNTIF(TblPurchases[BatchID],TblOutcomes[[#This Row],[BatchID]])&lt;&gt;1,"n.a.",TblOutcomes[[#This Row],[Qty Wasted]]*SUMIFS(TblPurchases[Unit Cost (CLP)],TblPurchases[BatchID],TblOutcomes[[#This Row],[BatchID]]))</f>
        <v>9102</v>
      </c>
      <c r="Q276" s="51">
        <f>IF(COUNTIF(TblPurchases[BatchID],TblOutcomes[[#This Row],[BatchID]])&lt;&gt;1,"n.a.",SUMIFS(TblPurchases[Purchase Date],TblPurchases[BatchID],TblOutcomes[[#This Row],[BatchID]]))</f>
        <v>45476</v>
      </c>
    </row>
    <row r="277" spans="2:17" x14ac:dyDescent="0.25">
      <c r="B277" s="2" t="s">
        <v>1081</v>
      </c>
      <c r="C277" s="2" t="s">
        <v>133</v>
      </c>
      <c r="D277" s="2" t="s">
        <v>122</v>
      </c>
      <c r="E277" s="2" t="s">
        <v>4647</v>
      </c>
      <c r="F277" s="2">
        <v>16</v>
      </c>
      <c r="G277" s="2">
        <v>16</v>
      </c>
      <c r="H277" s="2">
        <v>0</v>
      </c>
      <c r="I277" s="1">
        <v>0</v>
      </c>
      <c r="J277" s="26">
        <v>45491</v>
      </c>
      <c r="K277" s="22">
        <v>48000</v>
      </c>
      <c r="L277" s="18">
        <v>51.34</v>
      </c>
      <c r="M277" s="22">
        <v>32800</v>
      </c>
      <c r="N277" s="22">
        <v>15200</v>
      </c>
      <c r="O277" s="18">
        <v>16.260000000000002</v>
      </c>
      <c r="P277" s="52">
        <f>IF(COUNTIF(TblPurchases[BatchID],TblOutcomes[[#This Row],[BatchID]])&lt;&gt;1,"n.a.",TblOutcomes[[#This Row],[Qty Wasted]]*SUMIFS(TblPurchases[Unit Cost (CLP)],TblPurchases[BatchID],TblOutcomes[[#This Row],[BatchID]]))</f>
        <v>0</v>
      </c>
      <c r="Q277" s="51">
        <f>IF(COUNTIF(TblPurchases[BatchID],TblOutcomes[[#This Row],[BatchID]])&lt;&gt;1,"n.a.",SUMIFS(TblPurchases[Purchase Date],TblPurchases[BatchID],TblOutcomes[[#This Row],[BatchID]]))</f>
        <v>45485</v>
      </c>
    </row>
    <row r="278" spans="2:17" x14ac:dyDescent="0.25">
      <c r="B278" s="2" t="s">
        <v>1082</v>
      </c>
      <c r="C278" s="2" t="s">
        <v>133</v>
      </c>
      <c r="D278" s="2" t="s">
        <v>122</v>
      </c>
      <c r="E278" s="2" t="s">
        <v>4647</v>
      </c>
      <c r="F278" s="2">
        <v>17</v>
      </c>
      <c r="G278" s="2">
        <v>17</v>
      </c>
      <c r="H278" s="2">
        <v>0</v>
      </c>
      <c r="I278" s="1">
        <v>0</v>
      </c>
      <c r="J278" s="26">
        <v>45501</v>
      </c>
      <c r="K278" s="22">
        <v>51000</v>
      </c>
      <c r="L278" s="18">
        <v>54.55</v>
      </c>
      <c r="M278" s="22">
        <v>34850</v>
      </c>
      <c r="N278" s="22">
        <v>16150</v>
      </c>
      <c r="O278" s="18">
        <v>17.27</v>
      </c>
      <c r="P278" s="52">
        <f>IF(COUNTIF(TblPurchases[BatchID],TblOutcomes[[#This Row],[BatchID]])&lt;&gt;1,"n.a.",TblOutcomes[[#This Row],[Qty Wasted]]*SUMIFS(TblPurchases[Unit Cost (CLP)],TblPurchases[BatchID],TblOutcomes[[#This Row],[BatchID]]))</f>
        <v>0</v>
      </c>
      <c r="Q278" s="51">
        <f>IF(COUNTIF(TblPurchases[BatchID],TblOutcomes[[#This Row],[BatchID]])&lt;&gt;1,"n.a.",SUMIFS(TblPurchases[Purchase Date],TblPurchases[BatchID],TblOutcomes[[#This Row],[BatchID]]))</f>
        <v>45497</v>
      </c>
    </row>
    <row r="279" spans="2:17" x14ac:dyDescent="0.25">
      <c r="B279" s="2" t="s">
        <v>1083</v>
      </c>
      <c r="C279" s="2" t="s">
        <v>133</v>
      </c>
      <c r="D279" s="2" t="s">
        <v>122</v>
      </c>
      <c r="E279" s="2" t="s">
        <v>4647</v>
      </c>
      <c r="F279" s="2">
        <v>14</v>
      </c>
      <c r="G279" s="2">
        <v>14</v>
      </c>
      <c r="H279" s="2">
        <v>0</v>
      </c>
      <c r="I279" s="1">
        <v>0</v>
      </c>
      <c r="J279" s="26">
        <v>45514</v>
      </c>
      <c r="K279" s="22">
        <v>42000</v>
      </c>
      <c r="L279" s="18">
        <v>44.92</v>
      </c>
      <c r="M279" s="22">
        <v>28700</v>
      </c>
      <c r="N279" s="22">
        <v>13300</v>
      </c>
      <c r="O279" s="18">
        <v>14.22</v>
      </c>
      <c r="P279" s="52">
        <f>IF(COUNTIF(TblPurchases[BatchID],TblOutcomes[[#This Row],[BatchID]])&lt;&gt;1,"n.a.",TblOutcomes[[#This Row],[Qty Wasted]]*SUMIFS(TblPurchases[Unit Cost (CLP)],TblPurchases[BatchID],TblOutcomes[[#This Row],[BatchID]]))</f>
        <v>0</v>
      </c>
      <c r="Q279" s="51">
        <f>IF(COUNTIF(TblPurchases[BatchID],TblOutcomes[[#This Row],[BatchID]])&lt;&gt;1,"n.a.",SUMIFS(TblPurchases[Purchase Date],TblPurchases[BatchID],TblOutcomes[[#This Row],[BatchID]]))</f>
        <v>45507</v>
      </c>
    </row>
    <row r="280" spans="2:17" x14ac:dyDescent="0.25">
      <c r="B280" s="2" t="s">
        <v>1084</v>
      </c>
      <c r="C280" s="2" t="s">
        <v>133</v>
      </c>
      <c r="D280" s="2" t="s">
        <v>122</v>
      </c>
      <c r="E280" s="2" t="s">
        <v>4647</v>
      </c>
      <c r="F280" s="2">
        <v>13</v>
      </c>
      <c r="G280" s="2">
        <v>13</v>
      </c>
      <c r="H280" s="2">
        <v>0</v>
      </c>
      <c r="I280" s="1">
        <v>0</v>
      </c>
      <c r="J280" s="26">
        <v>45523</v>
      </c>
      <c r="K280" s="22">
        <v>39000</v>
      </c>
      <c r="L280" s="18">
        <v>41.71</v>
      </c>
      <c r="M280" s="22">
        <v>26650</v>
      </c>
      <c r="N280" s="22">
        <v>12350</v>
      </c>
      <c r="O280" s="18">
        <v>13.21</v>
      </c>
      <c r="P280" s="52">
        <f>IF(COUNTIF(TblPurchases[BatchID],TblOutcomes[[#This Row],[BatchID]])&lt;&gt;1,"n.a.",TblOutcomes[[#This Row],[Qty Wasted]]*SUMIFS(TblPurchases[Unit Cost (CLP)],TblPurchases[BatchID],TblOutcomes[[#This Row],[BatchID]]))</f>
        <v>0</v>
      </c>
      <c r="Q280" s="51">
        <f>IF(COUNTIF(TblPurchases[BatchID],TblOutcomes[[#This Row],[BatchID]])&lt;&gt;1,"n.a.",SUMIFS(TblPurchases[Purchase Date],TblPurchases[BatchID],TblOutcomes[[#This Row],[BatchID]]))</f>
        <v>45515</v>
      </c>
    </row>
    <row r="281" spans="2:17" x14ac:dyDescent="0.25">
      <c r="B281" s="2" t="s">
        <v>1085</v>
      </c>
      <c r="C281" s="2" t="s">
        <v>133</v>
      </c>
      <c r="D281" s="2" t="s">
        <v>122</v>
      </c>
      <c r="E281" s="2" t="s">
        <v>4646</v>
      </c>
      <c r="F281" s="2">
        <v>16</v>
      </c>
      <c r="G281" s="2">
        <v>13.18</v>
      </c>
      <c r="H281" s="2">
        <v>2.82</v>
      </c>
      <c r="I281" s="1">
        <v>17.600000000000001</v>
      </c>
      <c r="J281" s="26">
        <v>45570</v>
      </c>
      <c r="K281" s="22">
        <v>39540</v>
      </c>
      <c r="L281" s="18">
        <v>42.29</v>
      </c>
      <c r="M281" s="22">
        <v>32800</v>
      </c>
      <c r="N281" s="22">
        <v>6740</v>
      </c>
      <c r="O281" s="18">
        <v>7.21</v>
      </c>
      <c r="P281" s="52">
        <f>IF(COUNTIF(TblPurchases[BatchID],TblOutcomes[[#This Row],[BatchID]])&lt;&gt;1,"n.a.",TblOutcomes[[#This Row],[Qty Wasted]]*SUMIFS(TblPurchases[Unit Cost (CLP)],TblPurchases[BatchID],TblOutcomes[[#This Row],[BatchID]]))</f>
        <v>5781</v>
      </c>
      <c r="Q281" s="51">
        <f>IF(COUNTIF(TblPurchases[BatchID],TblOutcomes[[#This Row],[BatchID]])&lt;&gt;1,"n.a.",SUMIFS(TblPurchases[Purchase Date],TblPurchases[BatchID],TblOutcomes[[#This Row],[BatchID]]))</f>
        <v>45525</v>
      </c>
    </row>
    <row r="282" spans="2:17" x14ac:dyDescent="0.25">
      <c r="B282" s="2" t="s">
        <v>1086</v>
      </c>
      <c r="C282" s="2" t="s">
        <v>133</v>
      </c>
      <c r="D282" s="2" t="s">
        <v>122</v>
      </c>
      <c r="E282" s="2" t="s">
        <v>4646</v>
      </c>
      <c r="F282" s="2">
        <v>14</v>
      </c>
      <c r="G282" s="2">
        <v>10.75</v>
      </c>
      <c r="H282" s="2">
        <v>3.25</v>
      </c>
      <c r="I282" s="1">
        <v>23.2</v>
      </c>
      <c r="J282" s="26">
        <v>45578</v>
      </c>
      <c r="K282" s="22">
        <v>32250</v>
      </c>
      <c r="L282" s="18">
        <v>34.49</v>
      </c>
      <c r="M282" s="22">
        <v>28700</v>
      </c>
      <c r="N282" s="22">
        <v>3550</v>
      </c>
      <c r="O282" s="18">
        <v>3.8</v>
      </c>
      <c r="P282" s="52">
        <f>IF(COUNTIF(TblPurchases[BatchID],TblOutcomes[[#This Row],[BatchID]])&lt;&gt;1,"n.a.",TblOutcomes[[#This Row],[Qty Wasted]]*SUMIFS(TblPurchases[Unit Cost (CLP)],TblPurchases[BatchID],TblOutcomes[[#This Row],[BatchID]]))</f>
        <v>6662.5</v>
      </c>
      <c r="Q282" s="51">
        <f>IF(COUNTIF(TblPurchases[BatchID],TblOutcomes[[#This Row],[BatchID]])&lt;&gt;1,"n.a.",SUMIFS(TblPurchases[Purchase Date],TblPurchases[BatchID],TblOutcomes[[#This Row],[BatchID]]))</f>
        <v>45533</v>
      </c>
    </row>
    <row r="283" spans="2:17" x14ac:dyDescent="0.25">
      <c r="B283" s="2" t="s">
        <v>1087</v>
      </c>
      <c r="C283" s="2" t="s">
        <v>133</v>
      </c>
      <c r="D283" s="2" t="s">
        <v>122</v>
      </c>
      <c r="E283" s="2" t="s">
        <v>4646</v>
      </c>
      <c r="F283" s="2">
        <v>17</v>
      </c>
      <c r="G283" s="2">
        <v>13.85</v>
      </c>
      <c r="H283" s="2">
        <v>3.15</v>
      </c>
      <c r="I283" s="1">
        <v>18.5</v>
      </c>
      <c r="J283" s="26">
        <v>45587</v>
      </c>
      <c r="K283" s="22">
        <v>41550</v>
      </c>
      <c r="L283" s="18">
        <v>44.44</v>
      </c>
      <c r="M283" s="22">
        <v>34850</v>
      </c>
      <c r="N283" s="22">
        <v>6700</v>
      </c>
      <c r="O283" s="18">
        <v>7.17</v>
      </c>
      <c r="P283" s="52">
        <f>IF(COUNTIF(TblPurchases[BatchID],TblOutcomes[[#This Row],[BatchID]])&lt;&gt;1,"n.a.",TblOutcomes[[#This Row],[Qty Wasted]]*SUMIFS(TblPurchases[Unit Cost (CLP)],TblPurchases[BatchID],TblOutcomes[[#This Row],[BatchID]]))</f>
        <v>6457.5</v>
      </c>
      <c r="Q283" s="51">
        <f>IF(COUNTIF(TblPurchases[BatchID],TblOutcomes[[#This Row],[BatchID]])&lt;&gt;1,"n.a.",SUMIFS(TblPurchases[Purchase Date],TblPurchases[BatchID],TblOutcomes[[#This Row],[BatchID]]))</f>
        <v>45542</v>
      </c>
    </row>
    <row r="284" spans="2:17" x14ac:dyDescent="0.25">
      <c r="B284" s="2" t="s">
        <v>1088</v>
      </c>
      <c r="C284" s="2" t="s">
        <v>133</v>
      </c>
      <c r="D284" s="2" t="s">
        <v>122</v>
      </c>
      <c r="E284" s="2" t="s">
        <v>4647</v>
      </c>
      <c r="F284" s="2">
        <v>18</v>
      </c>
      <c r="G284" s="2">
        <v>18</v>
      </c>
      <c r="H284" s="2">
        <v>0</v>
      </c>
      <c r="I284" s="1">
        <v>0</v>
      </c>
      <c r="J284" s="26">
        <v>45563</v>
      </c>
      <c r="K284" s="22">
        <v>54000</v>
      </c>
      <c r="L284" s="18">
        <v>57.75</v>
      </c>
      <c r="M284" s="22">
        <v>36900</v>
      </c>
      <c r="N284" s="22">
        <v>17100</v>
      </c>
      <c r="O284" s="18">
        <v>18.29</v>
      </c>
      <c r="P284" s="52">
        <f>IF(COUNTIF(TblPurchases[BatchID],TblOutcomes[[#This Row],[BatchID]])&lt;&gt;1,"n.a.",TblOutcomes[[#This Row],[Qty Wasted]]*SUMIFS(TblPurchases[Unit Cost (CLP)],TblPurchases[BatchID],TblOutcomes[[#This Row],[BatchID]]))</f>
        <v>0</v>
      </c>
      <c r="Q284" s="51">
        <f>IF(COUNTIF(TblPurchases[BatchID],TblOutcomes[[#This Row],[BatchID]])&lt;&gt;1,"n.a.",SUMIFS(TblPurchases[Purchase Date],TblPurchases[BatchID],TblOutcomes[[#This Row],[BatchID]]))</f>
        <v>45553</v>
      </c>
    </row>
    <row r="285" spans="2:17" x14ac:dyDescent="0.25">
      <c r="B285" s="2" t="s">
        <v>1089</v>
      </c>
      <c r="C285" s="2" t="s">
        <v>133</v>
      </c>
      <c r="D285" s="2" t="s">
        <v>122</v>
      </c>
      <c r="E285" s="2" t="s">
        <v>4647</v>
      </c>
      <c r="F285" s="2">
        <v>19</v>
      </c>
      <c r="G285" s="2">
        <v>19</v>
      </c>
      <c r="H285" s="2">
        <v>0</v>
      </c>
      <c r="I285" s="1">
        <v>0</v>
      </c>
      <c r="J285" s="26">
        <v>45569</v>
      </c>
      <c r="K285" s="22">
        <v>57000</v>
      </c>
      <c r="L285" s="18">
        <v>60.96</v>
      </c>
      <c r="M285" s="22">
        <v>38950</v>
      </c>
      <c r="N285" s="22">
        <v>18050</v>
      </c>
      <c r="O285" s="18">
        <v>19.3</v>
      </c>
      <c r="P285" s="52">
        <f>IF(COUNTIF(TblPurchases[BatchID],TblOutcomes[[#This Row],[BatchID]])&lt;&gt;1,"n.a.",TblOutcomes[[#This Row],[Qty Wasted]]*SUMIFS(TblPurchases[Unit Cost (CLP)],TblPurchases[BatchID],TblOutcomes[[#This Row],[BatchID]]))</f>
        <v>0</v>
      </c>
      <c r="Q285" s="51">
        <f>IF(COUNTIF(TblPurchases[BatchID],TblOutcomes[[#This Row],[BatchID]])&lt;&gt;1,"n.a.",SUMIFS(TblPurchases[Purchase Date],TblPurchases[BatchID],TblOutcomes[[#This Row],[BatchID]]))</f>
        <v>45561</v>
      </c>
    </row>
    <row r="286" spans="2:17" x14ac:dyDescent="0.25">
      <c r="B286" s="2" t="s">
        <v>1090</v>
      </c>
      <c r="C286" s="2" t="s">
        <v>133</v>
      </c>
      <c r="D286" s="2" t="s">
        <v>122</v>
      </c>
      <c r="E286" s="2" t="s">
        <v>4646</v>
      </c>
      <c r="F286" s="2">
        <v>39</v>
      </c>
      <c r="G286" s="2">
        <v>33.58</v>
      </c>
      <c r="H286" s="2">
        <v>5.42</v>
      </c>
      <c r="I286" s="1">
        <v>13.9</v>
      </c>
      <c r="J286" s="26">
        <v>45614</v>
      </c>
      <c r="K286" s="22">
        <v>100740</v>
      </c>
      <c r="L286" s="18">
        <v>107.74</v>
      </c>
      <c r="M286" s="22">
        <v>79950</v>
      </c>
      <c r="N286" s="22">
        <v>20790</v>
      </c>
      <c r="O286" s="18">
        <v>22.24</v>
      </c>
      <c r="P286" s="52">
        <f>IF(COUNTIF(TblPurchases[BatchID],TblOutcomes[[#This Row],[BatchID]])&lt;&gt;1,"n.a.",TblOutcomes[[#This Row],[Qty Wasted]]*SUMIFS(TblPurchases[Unit Cost (CLP)],TblPurchases[BatchID],TblOutcomes[[#This Row],[BatchID]]))</f>
        <v>11111</v>
      </c>
      <c r="Q286" s="51">
        <f>IF(COUNTIF(TblPurchases[BatchID],TblOutcomes[[#This Row],[BatchID]])&lt;&gt;1,"n.a.",SUMIFS(TblPurchases[Purchase Date],TblPurchases[BatchID],TblOutcomes[[#This Row],[BatchID]]))</f>
        <v>45569</v>
      </c>
    </row>
    <row r="287" spans="2:17" x14ac:dyDescent="0.25">
      <c r="B287" s="2" t="s">
        <v>1091</v>
      </c>
      <c r="C287" s="2" t="s">
        <v>133</v>
      </c>
      <c r="D287" s="2" t="s">
        <v>122</v>
      </c>
      <c r="E287" s="2" t="s">
        <v>4647</v>
      </c>
      <c r="F287" s="2">
        <v>40</v>
      </c>
      <c r="G287" s="2">
        <v>40</v>
      </c>
      <c r="H287" s="2">
        <v>0</v>
      </c>
      <c r="I287" s="1">
        <v>0</v>
      </c>
      <c r="J287" s="26">
        <v>45583</v>
      </c>
      <c r="K287" s="22">
        <v>120000</v>
      </c>
      <c r="L287" s="18">
        <v>128.34</v>
      </c>
      <c r="M287" s="22">
        <v>82000</v>
      </c>
      <c r="N287" s="22">
        <v>38000</v>
      </c>
      <c r="O287" s="18">
        <v>40.64</v>
      </c>
      <c r="P287" s="52">
        <f>IF(COUNTIF(TblPurchases[BatchID],TblOutcomes[[#This Row],[BatchID]])&lt;&gt;1,"n.a.",TblOutcomes[[#This Row],[Qty Wasted]]*SUMIFS(TblPurchases[Unit Cost (CLP)],TblPurchases[BatchID],TblOutcomes[[#This Row],[BatchID]]))</f>
        <v>0</v>
      </c>
      <c r="Q287" s="51">
        <f>IF(COUNTIF(TblPurchases[BatchID],TblOutcomes[[#This Row],[BatchID]])&lt;&gt;1,"n.a.",SUMIFS(TblPurchases[Purchase Date],TblPurchases[BatchID],TblOutcomes[[#This Row],[BatchID]]))</f>
        <v>45578</v>
      </c>
    </row>
    <row r="288" spans="2:17" x14ac:dyDescent="0.25">
      <c r="B288" s="2" t="s">
        <v>1092</v>
      </c>
      <c r="C288" s="2" t="s">
        <v>133</v>
      </c>
      <c r="D288" s="2" t="s">
        <v>122</v>
      </c>
      <c r="E288" s="2" t="s">
        <v>4647</v>
      </c>
      <c r="F288" s="2">
        <v>43</v>
      </c>
      <c r="G288" s="2">
        <v>43</v>
      </c>
      <c r="H288" s="2">
        <v>0</v>
      </c>
      <c r="I288" s="1">
        <v>0</v>
      </c>
      <c r="J288" s="26">
        <v>45601</v>
      </c>
      <c r="K288" s="22">
        <v>129000</v>
      </c>
      <c r="L288" s="18">
        <v>137.97</v>
      </c>
      <c r="M288" s="22">
        <v>88150</v>
      </c>
      <c r="N288" s="22">
        <v>40850</v>
      </c>
      <c r="O288" s="18">
        <v>43.69</v>
      </c>
      <c r="P288" s="52">
        <f>IF(COUNTIF(TblPurchases[BatchID],TblOutcomes[[#This Row],[BatchID]])&lt;&gt;1,"n.a.",TblOutcomes[[#This Row],[Qty Wasted]]*SUMIFS(TblPurchases[Unit Cost (CLP)],TblPurchases[BatchID],TblOutcomes[[#This Row],[BatchID]]))</f>
        <v>0</v>
      </c>
      <c r="Q288" s="51">
        <f>IF(COUNTIF(TblPurchases[BatchID],TblOutcomes[[#This Row],[BatchID]])&lt;&gt;1,"n.a.",SUMIFS(TblPurchases[Purchase Date],TblPurchases[BatchID],TblOutcomes[[#This Row],[BatchID]]))</f>
        <v>45589</v>
      </c>
    </row>
    <row r="289" spans="2:17" x14ac:dyDescent="0.25">
      <c r="B289" s="2" t="s">
        <v>1093</v>
      </c>
      <c r="C289" s="2" t="s">
        <v>133</v>
      </c>
      <c r="D289" s="2" t="s">
        <v>122</v>
      </c>
      <c r="E289" s="2" t="s">
        <v>4647</v>
      </c>
      <c r="F289" s="2">
        <v>36</v>
      </c>
      <c r="G289" s="2">
        <v>36</v>
      </c>
      <c r="H289" s="2">
        <v>0</v>
      </c>
      <c r="I289" s="1">
        <v>0</v>
      </c>
      <c r="J289" s="26">
        <v>45608</v>
      </c>
      <c r="K289" s="22">
        <v>108000</v>
      </c>
      <c r="L289" s="18">
        <v>115.51</v>
      </c>
      <c r="M289" s="22">
        <v>73800</v>
      </c>
      <c r="N289" s="22">
        <v>34200</v>
      </c>
      <c r="O289" s="18">
        <v>36.58</v>
      </c>
      <c r="P289" s="52">
        <f>IF(COUNTIF(TblPurchases[BatchID],TblOutcomes[[#This Row],[BatchID]])&lt;&gt;1,"n.a.",TblOutcomes[[#This Row],[Qty Wasted]]*SUMIFS(TblPurchases[Unit Cost (CLP)],TblPurchases[BatchID],TblOutcomes[[#This Row],[BatchID]]))</f>
        <v>0</v>
      </c>
      <c r="Q289" s="51">
        <f>IF(COUNTIF(TblPurchases[BatchID],TblOutcomes[[#This Row],[BatchID]])&lt;&gt;1,"n.a.",SUMIFS(TblPurchases[Purchase Date],TblPurchases[BatchID],TblOutcomes[[#This Row],[BatchID]]))</f>
        <v>45600</v>
      </c>
    </row>
    <row r="290" spans="2:17" x14ac:dyDescent="0.25">
      <c r="B290" s="2" t="s">
        <v>1094</v>
      </c>
      <c r="C290" s="2" t="s">
        <v>133</v>
      </c>
      <c r="D290" s="2" t="s">
        <v>122</v>
      </c>
      <c r="E290" s="2" t="s">
        <v>4647</v>
      </c>
      <c r="F290" s="2">
        <v>45</v>
      </c>
      <c r="G290" s="2">
        <v>45</v>
      </c>
      <c r="H290" s="2">
        <v>0</v>
      </c>
      <c r="I290" s="1">
        <v>0</v>
      </c>
      <c r="J290" s="26">
        <v>45619</v>
      </c>
      <c r="K290" s="22">
        <v>135000</v>
      </c>
      <c r="L290" s="18">
        <v>144.38999999999999</v>
      </c>
      <c r="M290" s="22">
        <v>92250</v>
      </c>
      <c r="N290" s="22">
        <v>42750</v>
      </c>
      <c r="O290" s="18">
        <v>45.72</v>
      </c>
      <c r="P290" s="52">
        <f>IF(COUNTIF(TblPurchases[BatchID],TblOutcomes[[#This Row],[BatchID]])&lt;&gt;1,"n.a.",TblOutcomes[[#This Row],[Qty Wasted]]*SUMIFS(TblPurchases[Unit Cost (CLP)],TblPurchases[BatchID],TblOutcomes[[#This Row],[BatchID]]))</f>
        <v>0</v>
      </c>
      <c r="Q290" s="51">
        <f>IF(COUNTIF(TblPurchases[BatchID],TblOutcomes[[#This Row],[BatchID]])&lt;&gt;1,"n.a.",SUMIFS(TblPurchases[Purchase Date],TblPurchases[BatchID],TblOutcomes[[#This Row],[BatchID]]))</f>
        <v>45610</v>
      </c>
    </row>
    <row r="291" spans="2:17" x14ac:dyDescent="0.25">
      <c r="B291" s="2" t="s">
        <v>1095</v>
      </c>
      <c r="C291" s="2" t="s">
        <v>133</v>
      </c>
      <c r="D291" s="2" t="s">
        <v>122</v>
      </c>
      <c r="E291" s="2" t="s">
        <v>4647</v>
      </c>
      <c r="F291" s="2">
        <v>40</v>
      </c>
      <c r="G291" s="2">
        <v>40</v>
      </c>
      <c r="H291" s="2">
        <v>0</v>
      </c>
      <c r="I291" s="1">
        <v>0</v>
      </c>
      <c r="J291" s="26">
        <v>45630</v>
      </c>
      <c r="K291" s="22">
        <v>120000</v>
      </c>
      <c r="L291" s="18">
        <v>128.34</v>
      </c>
      <c r="M291" s="22">
        <v>82000</v>
      </c>
      <c r="N291" s="22">
        <v>38000</v>
      </c>
      <c r="O291" s="18">
        <v>40.64</v>
      </c>
      <c r="P291" s="52">
        <f>IF(COUNTIF(TblPurchases[BatchID],TblOutcomes[[#This Row],[BatchID]])&lt;&gt;1,"n.a.",TblOutcomes[[#This Row],[Qty Wasted]]*SUMIFS(TblPurchases[Unit Cost (CLP)],TblPurchases[BatchID],TblOutcomes[[#This Row],[BatchID]]))</f>
        <v>0</v>
      </c>
      <c r="Q291" s="51">
        <f>IF(COUNTIF(TblPurchases[BatchID],TblOutcomes[[#This Row],[BatchID]])&lt;&gt;1,"n.a.",SUMIFS(TblPurchases[Purchase Date],TblPurchases[BatchID],TblOutcomes[[#This Row],[BatchID]]))</f>
        <v>45620</v>
      </c>
    </row>
    <row r="292" spans="2:17" x14ac:dyDescent="0.25">
      <c r="B292" s="2" t="s">
        <v>1096</v>
      </c>
      <c r="C292" s="2" t="s">
        <v>133</v>
      </c>
      <c r="D292" s="2" t="s">
        <v>122</v>
      </c>
      <c r="E292" s="2" t="s">
        <v>4646</v>
      </c>
      <c r="F292" s="2">
        <v>47</v>
      </c>
      <c r="G292" s="2">
        <v>32.380000000000003</v>
      </c>
      <c r="H292" s="2">
        <v>14.62</v>
      </c>
      <c r="I292" s="1">
        <v>31.1</v>
      </c>
      <c r="J292" s="26">
        <v>45677</v>
      </c>
      <c r="K292" s="22">
        <v>97140</v>
      </c>
      <c r="L292" s="18">
        <v>103.89</v>
      </c>
      <c r="M292" s="22">
        <v>96350</v>
      </c>
      <c r="N292" s="22">
        <v>790</v>
      </c>
      <c r="O292" s="18">
        <v>0.84</v>
      </c>
      <c r="P292" s="52">
        <f>IF(COUNTIF(TblPurchases[BatchID],TblOutcomes[[#This Row],[BatchID]])&lt;&gt;1,"n.a.",TblOutcomes[[#This Row],[Qty Wasted]]*SUMIFS(TblPurchases[Unit Cost (CLP)],TblPurchases[BatchID],TblOutcomes[[#This Row],[BatchID]]))</f>
        <v>29971</v>
      </c>
      <c r="Q292" s="51">
        <f>IF(COUNTIF(TblPurchases[BatchID],TblOutcomes[[#This Row],[BatchID]])&lt;&gt;1,"n.a.",SUMIFS(TblPurchases[Purchase Date],TblPurchases[BatchID],TblOutcomes[[#This Row],[BatchID]]))</f>
        <v>45632</v>
      </c>
    </row>
    <row r="293" spans="2:17" x14ac:dyDescent="0.25">
      <c r="B293" s="2" t="s">
        <v>1097</v>
      </c>
      <c r="C293" s="2" t="s">
        <v>133</v>
      </c>
      <c r="D293" s="2" t="s">
        <v>122</v>
      </c>
      <c r="E293" s="2" t="s">
        <v>4647</v>
      </c>
      <c r="F293" s="2">
        <v>45</v>
      </c>
      <c r="G293" s="2">
        <v>45</v>
      </c>
      <c r="H293" s="2">
        <v>0</v>
      </c>
      <c r="I293" s="1">
        <v>0</v>
      </c>
      <c r="J293" s="26">
        <v>45648</v>
      </c>
      <c r="K293" s="22">
        <v>135000</v>
      </c>
      <c r="L293" s="18">
        <v>144.38999999999999</v>
      </c>
      <c r="M293" s="22">
        <v>92250</v>
      </c>
      <c r="N293" s="22">
        <v>42750</v>
      </c>
      <c r="O293" s="18">
        <v>45.72</v>
      </c>
      <c r="P293" s="52">
        <f>IF(COUNTIF(TblPurchases[BatchID],TblOutcomes[[#This Row],[BatchID]])&lt;&gt;1,"n.a.",TblOutcomes[[#This Row],[Qty Wasted]]*SUMIFS(TblPurchases[Unit Cost (CLP)],TblPurchases[BatchID],TblOutcomes[[#This Row],[BatchID]]))</f>
        <v>0</v>
      </c>
      <c r="Q293" s="51">
        <f>IF(COUNTIF(TblPurchases[BatchID],TblOutcomes[[#This Row],[BatchID]])&lt;&gt;1,"n.a.",SUMIFS(TblPurchases[Purchase Date],TblPurchases[BatchID],TblOutcomes[[#This Row],[BatchID]]))</f>
        <v>45643</v>
      </c>
    </row>
    <row r="294" spans="2:17" x14ac:dyDescent="0.25">
      <c r="B294" s="2" t="s">
        <v>1098</v>
      </c>
      <c r="C294" s="2" t="s">
        <v>133</v>
      </c>
      <c r="D294" s="2" t="s">
        <v>122</v>
      </c>
      <c r="E294" s="2" t="s">
        <v>4647</v>
      </c>
      <c r="F294" s="2">
        <v>58</v>
      </c>
      <c r="G294" s="2">
        <v>58</v>
      </c>
      <c r="H294" s="2">
        <v>0</v>
      </c>
      <c r="I294" s="1">
        <v>0</v>
      </c>
      <c r="J294" s="26">
        <v>45663</v>
      </c>
      <c r="K294" s="22">
        <v>174000</v>
      </c>
      <c r="L294" s="18">
        <v>186.1</v>
      </c>
      <c r="M294" s="22">
        <v>118900</v>
      </c>
      <c r="N294" s="22">
        <v>55100</v>
      </c>
      <c r="O294" s="18">
        <v>58.93</v>
      </c>
      <c r="P294" s="52">
        <f>IF(COUNTIF(TblPurchases[BatchID],TblOutcomes[[#This Row],[BatchID]])&lt;&gt;1,"n.a.",TblOutcomes[[#This Row],[Qty Wasted]]*SUMIFS(TblPurchases[Unit Cost (CLP)],TblPurchases[BatchID],TblOutcomes[[#This Row],[BatchID]]))</f>
        <v>0</v>
      </c>
      <c r="Q294" s="51">
        <f>IF(COUNTIF(TblPurchases[BatchID],TblOutcomes[[#This Row],[BatchID]])&lt;&gt;1,"n.a.",SUMIFS(TblPurchases[Purchase Date],TblPurchases[BatchID],TblOutcomes[[#This Row],[BatchID]]))</f>
        <v>45652</v>
      </c>
    </row>
    <row r="295" spans="2:17" x14ac:dyDescent="0.25">
      <c r="B295" s="2" t="s">
        <v>1099</v>
      </c>
      <c r="C295" s="2" t="s">
        <v>133</v>
      </c>
      <c r="D295" s="2" t="s">
        <v>122</v>
      </c>
      <c r="E295" s="2" t="s">
        <v>4647</v>
      </c>
      <c r="F295" s="2">
        <v>49</v>
      </c>
      <c r="G295" s="2">
        <v>49</v>
      </c>
      <c r="H295" s="2">
        <v>0</v>
      </c>
      <c r="I295" s="1">
        <v>0</v>
      </c>
      <c r="J295" s="26">
        <v>45672</v>
      </c>
      <c r="K295" s="22">
        <v>147000</v>
      </c>
      <c r="L295" s="18">
        <v>157.22</v>
      </c>
      <c r="M295" s="22">
        <v>100450</v>
      </c>
      <c r="N295" s="22">
        <v>46550</v>
      </c>
      <c r="O295" s="18">
        <v>49.79</v>
      </c>
      <c r="P295" s="52">
        <f>IF(COUNTIF(TblPurchases[BatchID],TblOutcomes[[#This Row],[BatchID]])&lt;&gt;1,"n.a.",TblOutcomes[[#This Row],[Qty Wasted]]*SUMIFS(TblPurchases[Unit Cost (CLP)],TblPurchases[BatchID],TblOutcomes[[#This Row],[BatchID]]))</f>
        <v>0</v>
      </c>
      <c r="Q295" s="51">
        <f>IF(COUNTIF(TblPurchases[BatchID],TblOutcomes[[#This Row],[BatchID]])&lt;&gt;1,"n.a.",SUMIFS(TblPurchases[Purchase Date],TblPurchases[BatchID],TblOutcomes[[#This Row],[BatchID]]))</f>
        <v>45664</v>
      </c>
    </row>
    <row r="296" spans="2:17" x14ac:dyDescent="0.25">
      <c r="B296" s="2" t="s">
        <v>1100</v>
      </c>
      <c r="C296" s="2" t="s">
        <v>133</v>
      </c>
      <c r="D296" s="2" t="s">
        <v>122</v>
      </c>
      <c r="E296" s="2" t="s">
        <v>4646</v>
      </c>
      <c r="F296" s="2">
        <v>43</v>
      </c>
      <c r="G296" s="2">
        <v>32.770000000000003</v>
      </c>
      <c r="H296" s="2">
        <v>10.23</v>
      </c>
      <c r="I296" s="1">
        <v>23.8</v>
      </c>
      <c r="J296" s="26">
        <v>45720</v>
      </c>
      <c r="K296" s="22">
        <v>98310</v>
      </c>
      <c r="L296" s="18">
        <v>105.14</v>
      </c>
      <c r="M296" s="22">
        <v>88150</v>
      </c>
      <c r="N296" s="22">
        <v>10160</v>
      </c>
      <c r="O296" s="18">
        <v>10.87</v>
      </c>
      <c r="P296" s="52">
        <f>IF(COUNTIF(TblPurchases[BatchID],TblOutcomes[[#This Row],[BatchID]])&lt;&gt;1,"n.a.",TblOutcomes[[#This Row],[Qty Wasted]]*SUMIFS(TblPurchases[Unit Cost (CLP)],TblPurchases[BatchID],TblOutcomes[[#This Row],[BatchID]]))</f>
        <v>20971.5</v>
      </c>
      <c r="Q296" s="51">
        <f>IF(COUNTIF(TblPurchases[BatchID],TblOutcomes[[#This Row],[BatchID]])&lt;&gt;1,"n.a.",SUMIFS(TblPurchases[Purchase Date],TblPurchases[BatchID],TblOutcomes[[#This Row],[BatchID]]))</f>
        <v>45675</v>
      </c>
    </row>
    <row r="297" spans="2:17" x14ac:dyDescent="0.25">
      <c r="B297" s="2" t="s">
        <v>1101</v>
      </c>
      <c r="C297" s="2" t="s">
        <v>133</v>
      </c>
      <c r="D297" s="2" t="s">
        <v>122</v>
      </c>
      <c r="E297" s="2" t="s">
        <v>4647</v>
      </c>
      <c r="F297" s="2">
        <v>49</v>
      </c>
      <c r="G297" s="2">
        <v>49</v>
      </c>
      <c r="H297" s="2">
        <v>0</v>
      </c>
      <c r="I297" s="1">
        <v>0</v>
      </c>
      <c r="J297" s="26">
        <v>45693</v>
      </c>
      <c r="K297" s="22">
        <v>147000</v>
      </c>
      <c r="L297" s="18">
        <v>157.22</v>
      </c>
      <c r="M297" s="22">
        <v>100450</v>
      </c>
      <c r="N297" s="22">
        <v>46550</v>
      </c>
      <c r="O297" s="18">
        <v>49.79</v>
      </c>
      <c r="P297" s="52">
        <f>IF(COUNTIF(TblPurchases[BatchID],TblOutcomes[[#This Row],[BatchID]])&lt;&gt;1,"n.a.",TblOutcomes[[#This Row],[Qty Wasted]]*SUMIFS(TblPurchases[Unit Cost (CLP)],TblPurchases[BatchID],TblOutcomes[[#This Row],[BatchID]]))</f>
        <v>0</v>
      </c>
      <c r="Q297" s="51">
        <f>IF(COUNTIF(TblPurchases[BatchID],TblOutcomes[[#This Row],[BatchID]])&lt;&gt;1,"n.a.",SUMIFS(TblPurchases[Purchase Date],TblPurchases[BatchID],TblOutcomes[[#This Row],[BatchID]]))</f>
        <v>45686</v>
      </c>
    </row>
    <row r="298" spans="2:17" x14ac:dyDescent="0.25">
      <c r="B298" s="2" t="s">
        <v>1102</v>
      </c>
      <c r="C298" s="2" t="s">
        <v>133</v>
      </c>
      <c r="D298" s="2" t="s">
        <v>122</v>
      </c>
      <c r="E298" s="2" t="s">
        <v>4647</v>
      </c>
      <c r="F298" s="2">
        <v>39</v>
      </c>
      <c r="G298" s="2">
        <v>39</v>
      </c>
      <c r="H298" s="2">
        <v>0</v>
      </c>
      <c r="I298" s="1">
        <v>0</v>
      </c>
      <c r="J298" s="26">
        <v>45702</v>
      </c>
      <c r="K298" s="22">
        <v>117000</v>
      </c>
      <c r="L298" s="18">
        <v>125.13</v>
      </c>
      <c r="M298" s="22">
        <v>79950</v>
      </c>
      <c r="N298" s="22">
        <v>37050</v>
      </c>
      <c r="O298" s="18">
        <v>39.630000000000003</v>
      </c>
      <c r="P298" s="52">
        <f>IF(COUNTIF(TblPurchases[BatchID],TblOutcomes[[#This Row],[BatchID]])&lt;&gt;1,"n.a.",TblOutcomes[[#This Row],[Qty Wasted]]*SUMIFS(TblPurchases[Unit Cost (CLP)],TblPurchases[BatchID],TblOutcomes[[#This Row],[BatchID]]))</f>
        <v>0</v>
      </c>
      <c r="Q298" s="51">
        <f>IF(COUNTIF(TblPurchases[BatchID],TblOutcomes[[#This Row],[BatchID]])&lt;&gt;1,"n.a.",SUMIFS(TblPurchases[Purchase Date],TblPurchases[BatchID],TblOutcomes[[#This Row],[BatchID]]))</f>
        <v>45694</v>
      </c>
    </row>
    <row r="299" spans="2:17" x14ac:dyDescent="0.25">
      <c r="B299" s="2" t="s">
        <v>1103</v>
      </c>
      <c r="C299" s="2" t="s">
        <v>133</v>
      </c>
      <c r="D299" s="2" t="s">
        <v>122</v>
      </c>
      <c r="E299" s="2" t="s">
        <v>4647</v>
      </c>
      <c r="F299" s="2">
        <v>48</v>
      </c>
      <c r="G299" s="2">
        <v>48</v>
      </c>
      <c r="H299" s="2">
        <v>0</v>
      </c>
      <c r="I299" s="1">
        <v>0</v>
      </c>
      <c r="J299" s="26">
        <v>45713</v>
      </c>
      <c r="K299" s="22">
        <v>144000</v>
      </c>
      <c r="L299" s="18">
        <v>154.01</v>
      </c>
      <c r="M299" s="22">
        <v>98400</v>
      </c>
      <c r="N299" s="22">
        <v>45600</v>
      </c>
      <c r="O299" s="18">
        <v>48.77</v>
      </c>
      <c r="P299" s="52">
        <f>IF(COUNTIF(TblPurchases[BatchID],TblOutcomes[[#This Row],[BatchID]])&lt;&gt;1,"n.a.",TblOutcomes[[#This Row],[Qty Wasted]]*SUMIFS(TblPurchases[Unit Cost (CLP)],TblPurchases[BatchID],TblOutcomes[[#This Row],[BatchID]]))</f>
        <v>0</v>
      </c>
      <c r="Q299" s="51">
        <f>IF(COUNTIF(TblPurchases[BatchID],TblOutcomes[[#This Row],[BatchID]])&lt;&gt;1,"n.a.",SUMIFS(TblPurchases[Purchase Date],TblPurchases[BatchID],TblOutcomes[[#This Row],[BatchID]]))</f>
        <v>45702</v>
      </c>
    </row>
    <row r="300" spans="2:17" x14ac:dyDescent="0.25">
      <c r="B300" s="2" t="s">
        <v>1104</v>
      </c>
      <c r="C300" s="2" t="s">
        <v>133</v>
      </c>
      <c r="D300" s="2" t="s">
        <v>122</v>
      </c>
      <c r="E300" s="2" t="s">
        <v>4647</v>
      </c>
      <c r="F300" s="2">
        <v>40</v>
      </c>
      <c r="G300" s="2">
        <v>40</v>
      </c>
      <c r="H300" s="2">
        <v>0</v>
      </c>
      <c r="I300" s="1">
        <v>0</v>
      </c>
      <c r="J300" s="26">
        <v>45722</v>
      </c>
      <c r="K300" s="22">
        <v>120000</v>
      </c>
      <c r="L300" s="18">
        <v>128.34</v>
      </c>
      <c r="M300" s="22">
        <v>92000</v>
      </c>
      <c r="N300" s="22">
        <v>28000</v>
      </c>
      <c r="O300" s="18">
        <v>29.95</v>
      </c>
      <c r="P300" s="52">
        <f>IF(COUNTIF(TblPurchases[BatchID],TblOutcomes[[#This Row],[BatchID]])&lt;&gt;1,"n.a.",TblOutcomes[[#This Row],[Qty Wasted]]*SUMIFS(TblPurchases[Unit Cost (CLP)],TblPurchases[BatchID],TblOutcomes[[#This Row],[BatchID]]))</f>
        <v>0</v>
      </c>
      <c r="Q300" s="51">
        <f>IF(COUNTIF(TblPurchases[BatchID],TblOutcomes[[#This Row],[BatchID]])&lt;&gt;1,"n.a.",SUMIFS(TblPurchases[Purchase Date],TblPurchases[BatchID],TblOutcomes[[#This Row],[BatchID]]))</f>
        <v>45711</v>
      </c>
    </row>
    <row r="301" spans="2:17" x14ac:dyDescent="0.25">
      <c r="B301" s="2" t="s">
        <v>1105</v>
      </c>
      <c r="C301" s="2" t="s">
        <v>133</v>
      </c>
      <c r="D301" s="2" t="s">
        <v>122</v>
      </c>
      <c r="E301" s="2" t="s">
        <v>4647</v>
      </c>
      <c r="F301" s="2">
        <v>42</v>
      </c>
      <c r="G301" s="2">
        <v>42</v>
      </c>
      <c r="H301" s="2">
        <v>0</v>
      </c>
      <c r="I301" s="1">
        <v>0</v>
      </c>
      <c r="J301" s="26">
        <v>45724</v>
      </c>
      <c r="K301" s="22">
        <v>126000</v>
      </c>
      <c r="L301" s="18">
        <v>134.76</v>
      </c>
      <c r="M301" s="22">
        <v>96600</v>
      </c>
      <c r="N301" s="22">
        <v>29400</v>
      </c>
      <c r="O301" s="18">
        <v>31.44</v>
      </c>
      <c r="P301" s="52">
        <f>IF(COUNTIF(TblPurchases[BatchID],TblOutcomes[[#This Row],[BatchID]])&lt;&gt;1,"n.a.",TblOutcomes[[#This Row],[Qty Wasted]]*SUMIFS(TblPurchases[Unit Cost (CLP)],TblPurchases[BatchID],TblOutcomes[[#This Row],[BatchID]]))</f>
        <v>0</v>
      </c>
      <c r="Q301" s="51">
        <f>IF(COUNTIF(TblPurchases[BatchID],TblOutcomes[[#This Row],[BatchID]])&lt;&gt;1,"n.a.",SUMIFS(TblPurchases[Purchase Date],TblPurchases[BatchID],TblOutcomes[[#This Row],[BatchID]]))</f>
        <v>45719</v>
      </c>
    </row>
    <row r="302" spans="2:17" x14ac:dyDescent="0.25">
      <c r="B302" s="2" t="s">
        <v>1106</v>
      </c>
      <c r="C302" s="2" t="s">
        <v>133</v>
      </c>
      <c r="D302" s="2" t="s">
        <v>122</v>
      </c>
      <c r="E302" s="2" t="s">
        <v>4647</v>
      </c>
      <c r="F302" s="2">
        <v>44</v>
      </c>
      <c r="G302" s="2">
        <v>44</v>
      </c>
      <c r="H302" s="2">
        <v>0</v>
      </c>
      <c r="I302" s="1">
        <v>0</v>
      </c>
      <c r="J302" s="26">
        <v>45737</v>
      </c>
      <c r="K302" s="22">
        <v>132000</v>
      </c>
      <c r="L302" s="18">
        <v>141.18</v>
      </c>
      <c r="M302" s="22">
        <v>90200</v>
      </c>
      <c r="N302" s="22">
        <v>41800</v>
      </c>
      <c r="O302" s="18">
        <v>44.71</v>
      </c>
      <c r="P302" s="52">
        <f>IF(COUNTIF(TblPurchases[BatchID],TblOutcomes[[#This Row],[BatchID]])&lt;&gt;1,"n.a.",TblOutcomes[[#This Row],[Qty Wasted]]*SUMIFS(TblPurchases[Unit Cost (CLP)],TblPurchases[BatchID],TblOutcomes[[#This Row],[BatchID]]))</f>
        <v>0</v>
      </c>
      <c r="Q302" s="51">
        <f>IF(COUNTIF(TblPurchases[BatchID],TblOutcomes[[#This Row],[BatchID]])&lt;&gt;1,"n.a.",SUMIFS(TblPurchases[Purchase Date],TblPurchases[BatchID],TblOutcomes[[#This Row],[BatchID]]))</f>
        <v>45727</v>
      </c>
    </row>
    <row r="303" spans="2:17" x14ac:dyDescent="0.25">
      <c r="B303" s="2" t="s">
        <v>1107</v>
      </c>
      <c r="C303" s="2" t="s">
        <v>133</v>
      </c>
      <c r="D303" s="2" t="s">
        <v>122</v>
      </c>
      <c r="E303" s="2" t="s">
        <v>4647</v>
      </c>
      <c r="F303" s="2">
        <v>44</v>
      </c>
      <c r="G303" s="2">
        <v>44</v>
      </c>
      <c r="H303" s="2">
        <v>0</v>
      </c>
      <c r="I303" s="1">
        <v>0</v>
      </c>
      <c r="J303" s="26">
        <v>45747</v>
      </c>
      <c r="K303" s="22">
        <v>132000</v>
      </c>
      <c r="L303" s="18">
        <v>141.18</v>
      </c>
      <c r="M303" s="22">
        <v>90200</v>
      </c>
      <c r="N303" s="22">
        <v>41800</v>
      </c>
      <c r="O303" s="18">
        <v>44.71</v>
      </c>
      <c r="P303" s="52">
        <f>IF(COUNTIF(TblPurchases[BatchID],TblOutcomes[[#This Row],[BatchID]])&lt;&gt;1,"n.a.",TblOutcomes[[#This Row],[Qty Wasted]]*SUMIFS(TblPurchases[Unit Cost (CLP)],TblPurchases[BatchID],TblOutcomes[[#This Row],[BatchID]]))</f>
        <v>0</v>
      </c>
      <c r="Q303" s="51">
        <f>IF(COUNTIF(TblPurchases[BatchID],TblOutcomes[[#This Row],[BatchID]])&lt;&gt;1,"n.a.",SUMIFS(TblPurchases[Purchase Date],TblPurchases[BatchID],TblOutcomes[[#This Row],[BatchID]]))</f>
        <v>45737</v>
      </c>
    </row>
    <row r="304" spans="2:17" x14ac:dyDescent="0.25">
      <c r="B304" s="2" t="s">
        <v>1108</v>
      </c>
      <c r="C304" s="2" t="s">
        <v>133</v>
      </c>
      <c r="D304" s="2" t="s">
        <v>122</v>
      </c>
      <c r="E304" s="2" t="s">
        <v>4646</v>
      </c>
      <c r="F304" s="2">
        <v>48</v>
      </c>
      <c r="G304" s="2">
        <v>40.61</v>
      </c>
      <c r="H304" s="2">
        <v>7.39</v>
      </c>
      <c r="I304" s="1">
        <v>15.4</v>
      </c>
      <c r="J304" s="26">
        <v>45789</v>
      </c>
      <c r="K304" s="22">
        <v>121830</v>
      </c>
      <c r="L304" s="18">
        <v>130.30000000000001</v>
      </c>
      <c r="M304" s="22">
        <v>110400</v>
      </c>
      <c r="N304" s="22">
        <v>11430</v>
      </c>
      <c r="O304" s="18">
        <v>12.22</v>
      </c>
      <c r="P304" s="52">
        <f>IF(COUNTIF(TblPurchases[BatchID],TblOutcomes[[#This Row],[BatchID]])&lt;&gt;1,"n.a.",TblOutcomes[[#This Row],[Qty Wasted]]*SUMIFS(TblPurchases[Unit Cost (CLP)],TblPurchases[BatchID],TblOutcomes[[#This Row],[BatchID]]))</f>
        <v>16997</v>
      </c>
      <c r="Q304" s="51">
        <f>IF(COUNTIF(TblPurchases[BatchID],TblOutcomes[[#This Row],[BatchID]])&lt;&gt;1,"n.a.",SUMIFS(TblPurchases[Purchase Date],TblPurchases[BatchID],TblOutcomes[[#This Row],[BatchID]]))</f>
        <v>45744</v>
      </c>
    </row>
    <row r="305" spans="2:17" x14ac:dyDescent="0.25">
      <c r="B305" s="2" t="s">
        <v>1109</v>
      </c>
      <c r="C305" s="2" t="s">
        <v>133</v>
      </c>
      <c r="D305" s="2" t="s">
        <v>122</v>
      </c>
      <c r="E305" s="2" t="s">
        <v>4647</v>
      </c>
      <c r="F305" s="2">
        <v>18</v>
      </c>
      <c r="G305" s="2">
        <v>18</v>
      </c>
      <c r="H305" s="2">
        <v>0</v>
      </c>
      <c r="I305" s="1">
        <v>0</v>
      </c>
      <c r="J305" s="26">
        <v>45760</v>
      </c>
      <c r="K305" s="22">
        <v>54000</v>
      </c>
      <c r="L305" s="18">
        <v>57.75</v>
      </c>
      <c r="M305" s="22">
        <v>36900</v>
      </c>
      <c r="N305" s="22">
        <v>17100</v>
      </c>
      <c r="O305" s="18">
        <v>18.29</v>
      </c>
      <c r="P305" s="52">
        <f>IF(COUNTIF(TblPurchases[BatchID],TblOutcomes[[#This Row],[BatchID]])&lt;&gt;1,"n.a.",TblOutcomes[[#This Row],[Qty Wasted]]*SUMIFS(TblPurchases[Unit Cost (CLP)],TblPurchases[BatchID],TblOutcomes[[#This Row],[BatchID]]))</f>
        <v>0</v>
      </c>
      <c r="Q305" s="51">
        <f>IF(COUNTIF(TblPurchases[BatchID],TblOutcomes[[#This Row],[BatchID]])&lt;&gt;1,"n.a.",SUMIFS(TblPurchases[Purchase Date],TblPurchases[BatchID],TblOutcomes[[#This Row],[BatchID]]))</f>
        <v>45753</v>
      </c>
    </row>
    <row r="306" spans="2:17" x14ac:dyDescent="0.25">
      <c r="B306" s="2" t="s">
        <v>1110</v>
      </c>
      <c r="C306" s="2" t="s">
        <v>133</v>
      </c>
      <c r="D306" s="2" t="s">
        <v>122</v>
      </c>
      <c r="E306" s="2" t="s">
        <v>4647</v>
      </c>
      <c r="F306" s="2">
        <v>17</v>
      </c>
      <c r="G306" s="2">
        <v>17</v>
      </c>
      <c r="H306" s="2">
        <v>0</v>
      </c>
      <c r="I306" s="1">
        <v>0</v>
      </c>
      <c r="J306" s="26">
        <v>45771</v>
      </c>
      <c r="K306" s="22">
        <v>51000</v>
      </c>
      <c r="L306" s="18">
        <v>54.55</v>
      </c>
      <c r="M306" s="22">
        <v>34850</v>
      </c>
      <c r="N306" s="22">
        <v>16150</v>
      </c>
      <c r="O306" s="18">
        <v>17.27</v>
      </c>
      <c r="P306" s="52">
        <f>IF(COUNTIF(TblPurchases[BatchID],TblOutcomes[[#This Row],[BatchID]])&lt;&gt;1,"n.a.",TblOutcomes[[#This Row],[Qty Wasted]]*SUMIFS(TblPurchases[Unit Cost (CLP)],TblPurchases[BatchID],TblOutcomes[[#This Row],[BatchID]]))</f>
        <v>0</v>
      </c>
      <c r="Q306" s="51">
        <f>IF(COUNTIF(TblPurchases[BatchID],TblOutcomes[[#This Row],[BatchID]])&lt;&gt;1,"n.a.",SUMIFS(TblPurchases[Purchase Date],TblPurchases[BatchID],TblOutcomes[[#This Row],[BatchID]]))</f>
        <v>45761</v>
      </c>
    </row>
    <row r="307" spans="2:17" x14ac:dyDescent="0.25">
      <c r="B307" s="2" t="s">
        <v>1111</v>
      </c>
      <c r="C307" s="2" t="s">
        <v>133</v>
      </c>
      <c r="D307" s="2" t="s">
        <v>122</v>
      </c>
      <c r="E307" s="2" t="s">
        <v>4646</v>
      </c>
      <c r="F307" s="2">
        <v>15</v>
      </c>
      <c r="G307" s="2">
        <v>11.84</v>
      </c>
      <c r="H307" s="2">
        <v>3.17</v>
      </c>
      <c r="I307" s="1">
        <v>21.1</v>
      </c>
      <c r="J307" s="26">
        <v>45815</v>
      </c>
      <c r="K307" s="22">
        <v>35520</v>
      </c>
      <c r="L307" s="18">
        <v>37.99</v>
      </c>
      <c r="M307" s="22">
        <v>30750</v>
      </c>
      <c r="N307" s="22">
        <v>4770</v>
      </c>
      <c r="O307" s="18">
        <v>5.0999999999999996</v>
      </c>
      <c r="P307" s="52">
        <f>IF(COUNTIF(TblPurchases[BatchID],TblOutcomes[[#This Row],[BatchID]])&lt;&gt;1,"n.a.",TblOutcomes[[#This Row],[Qty Wasted]]*SUMIFS(TblPurchases[Unit Cost (CLP)],TblPurchases[BatchID],TblOutcomes[[#This Row],[BatchID]]))</f>
        <v>6498.5</v>
      </c>
      <c r="Q307" s="51">
        <f>IF(COUNTIF(TblPurchases[BatchID],TblOutcomes[[#This Row],[BatchID]])&lt;&gt;1,"n.a.",SUMIFS(TblPurchases[Purchase Date],TblPurchases[BatchID],TblOutcomes[[#This Row],[BatchID]]))</f>
        <v>45770</v>
      </c>
    </row>
    <row r="308" spans="2:17" x14ac:dyDescent="0.25">
      <c r="B308" s="2" t="s">
        <v>1112</v>
      </c>
      <c r="C308" s="2" t="s">
        <v>133</v>
      </c>
      <c r="D308" s="2" t="s">
        <v>122</v>
      </c>
      <c r="E308" s="2" t="s">
        <v>4646</v>
      </c>
      <c r="F308" s="2">
        <v>16</v>
      </c>
      <c r="G308" s="2">
        <v>13.74</v>
      </c>
      <c r="H308" s="2">
        <v>2.2599999999999998</v>
      </c>
      <c r="I308" s="1">
        <v>14.1</v>
      </c>
      <c r="J308" s="26">
        <v>45824</v>
      </c>
      <c r="K308" s="22">
        <v>41220</v>
      </c>
      <c r="L308" s="18">
        <v>44.09</v>
      </c>
      <c r="M308" s="22">
        <v>32800</v>
      </c>
      <c r="N308" s="22">
        <v>8420</v>
      </c>
      <c r="O308" s="18">
        <v>9.01</v>
      </c>
      <c r="P308" s="52">
        <f>IF(COUNTIF(TblPurchases[BatchID],TblOutcomes[[#This Row],[BatchID]])&lt;&gt;1,"n.a.",TblOutcomes[[#This Row],[Qty Wasted]]*SUMIFS(TblPurchases[Unit Cost (CLP)],TblPurchases[BatchID],TblOutcomes[[#This Row],[BatchID]]))</f>
        <v>4633</v>
      </c>
      <c r="Q308" s="51">
        <f>IF(COUNTIF(TblPurchases[BatchID],TblOutcomes[[#This Row],[BatchID]])&lt;&gt;1,"n.a.",SUMIFS(TblPurchases[Purchase Date],TblPurchases[BatchID],TblOutcomes[[#This Row],[BatchID]]))</f>
        <v>45779</v>
      </c>
    </row>
    <row r="309" spans="2:17" x14ac:dyDescent="0.25">
      <c r="B309" s="2" t="s">
        <v>1113</v>
      </c>
      <c r="C309" s="2" t="s">
        <v>133</v>
      </c>
      <c r="D309" s="2" t="s">
        <v>122</v>
      </c>
      <c r="E309" s="2" t="s">
        <v>4647</v>
      </c>
      <c r="F309" s="2">
        <v>16</v>
      </c>
      <c r="G309" s="2">
        <v>16</v>
      </c>
      <c r="H309" s="2">
        <v>0</v>
      </c>
      <c r="I309" s="1">
        <v>0</v>
      </c>
      <c r="J309" s="26">
        <v>45793</v>
      </c>
      <c r="K309" s="22">
        <v>48000</v>
      </c>
      <c r="L309" s="18">
        <v>51.34</v>
      </c>
      <c r="M309" s="22">
        <v>32800</v>
      </c>
      <c r="N309" s="22">
        <v>15200</v>
      </c>
      <c r="O309" s="18">
        <v>16.260000000000002</v>
      </c>
      <c r="P309" s="52">
        <f>IF(COUNTIF(TblPurchases[BatchID],TblOutcomes[[#This Row],[BatchID]])&lt;&gt;1,"n.a.",TblOutcomes[[#This Row],[Qty Wasted]]*SUMIFS(TblPurchases[Unit Cost (CLP)],TblPurchases[BatchID],TblOutcomes[[#This Row],[BatchID]]))</f>
        <v>0</v>
      </c>
      <c r="Q309" s="51">
        <f>IF(COUNTIF(TblPurchases[BatchID],TblOutcomes[[#This Row],[BatchID]])&lt;&gt;1,"n.a.",SUMIFS(TblPurchases[Purchase Date],TblPurchases[BatchID],TblOutcomes[[#This Row],[BatchID]]))</f>
        <v>45790</v>
      </c>
    </row>
    <row r="310" spans="2:17" x14ac:dyDescent="0.25">
      <c r="B310" s="2" t="s">
        <v>1114</v>
      </c>
      <c r="C310" s="2" t="s">
        <v>133</v>
      </c>
      <c r="D310" s="2" t="s">
        <v>122</v>
      </c>
      <c r="E310" s="2" t="s">
        <v>4647</v>
      </c>
      <c r="F310" s="2">
        <v>18</v>
      </c>
      <c r="G310" s="2">
        <v>18</v>
      </c>
      <c r="H310" s="2">
        <v>0</v>
      </c>
      <c r="I310" s="1">
        <v>0</v>
      </c>
      <c r="J310" s="26">
        <v>45805</v>
      </c>
      <c r="K310" s="22">
        <v>54000</v>
      </c>
      <c r="L310" s="18">
        <v>57.75</v>
      </c>
      <c r="M310" s="22">
        <v>36900</v>
      </c>
      <c r="N310" s="22">
        <v>17100</v>
      </c>
      <c r="O310" s="18">
        <v>18.29</v>
      </c>
      <c r="P310" s="52">
        <f>IF(COUNTIF(TblPurchases[BatchID],TblOutcomes[[#This Row],[BatchID]])&lt;&gt;1,"n.a.",TblOutcomes[[#This Row],[Qty Wasted]]*SUMIFS(TblPurchases[Unit Cost (CLP)],TblPurchases[BatchID],TblOutcomes[[#This Row],[BatchID]]))</f>
        <v>0</v>
      </c>
      <c r="Q310" s="51">
        <f>IF(COUNTIF(TblPurchases[BatchID],TblOutcomes[[#This Row],[BatchID]])&lt;&gt;1,"n.a.",SUMIFS(TblPurchases[Purchase Date],TblPurchases[BatchID],TblOutcomes[[#This Row],[BatchID]]))</f>
        <v>45799</v>
      </c>
    </row>
    <row r="311" spans="2:17" x14ac:dyDescent="0.25">
      <c r="B311" s="2" t="s">
        <v>1115</v>
      </c>
      <c r="C311" s="2" t="s">
        <v>133</v>
      </c>
      <c r="D311" s="2" t="s">
        <v>122</v>
      </c>
      <c r="E311" s="2" t="s">
        <v>4646</v>
      </c>
      <c r="F311" s="2">
        <v>18</v>
      </c>
      <c r="G311" s="2">
        <v>14.94</v>
      </c>
      <c r="H311" s="2">
        <v>3.06</v>
      </c>
      <c r="I311" s="1">
        <v>17</v>
      </c>
      <c r="J311" s="26">
        <v>45853</v>
      </c>
      <c r="K311" s="22">
        <v>44820</v>
      </c>
      <c r="L311" s="18">
        <v>47.94</v>
      </c>
      <c r="M311" s="22">
        <v>36900</v>
      </c>
      <c r="N311" s="22">
        <v>7920</v>
      </c>
      <c r="O311" s="18">
        <v>8.4700000000000006</v>
      </c>
      <c r="P311" s="52">
        <f>IF(COUNTIF(TblPurchases[BatchID],TblOutcomes[[#This Row],[BatchID]])&lt;&gt;1,"n.a.",TblOutcomes[[#This Row],[Qty Wasted]]*SUMIFS(TblPurchases[Unit Cost (CLP)],TblPurchases[BatchID],TblOutcomes[[#This Row],[BatchID]]))</f>
        <v>6273</v>
      </c>
      <c r="Q311" s="51">
        <f>IF(COUNTIF(TblPurchases[BatchID],TblOutcomes[[#This Row],[BatchID]])&lt;&gt;1,"n.a.",SUMIFS(TblPurchases[Purchase Date],TblPurchases[BatchID],TblOutcomes[[#This Row],[BatchID]]))</f>
        <v>45808</v>
      </c>
    </row>
    <row r="312" spans="2:17" x14ac:dyDescent="0.25">
      <c r="B312" s="2" t="s">
        <v>1116</v>
      </c>
      <c r="C312" s="2" t="s">
        <v>133</v>
      </c>
      <c r="D312" s="2" t="s">
        <v>122</v>
      </c>
      <c r="E312" s="2" t="s">
        <v>4646</v>
      </c>
      <c r="F312" s="2">
        <v>15</v>
      </c>
      <c r="G312" s="2">
        <v>12.04</v>
      </c>
      <c r="H312" s="2">
        <v>2.96</v>
      </c>
      <c r="I312" s="1">
        <v>19.7</v>
      </c>
      <c r="J312" s="26">
        <v>45863</v>
      </c>
      <c r="K312" s="22">
        <v>36120</v>
      </c>
      <c r="L312" s="18">
        <v>38.630000000000003</v>
      </c>
      <c r="M312" s="22">
        <v>30750</v>
      </c>
      <c r="N312" s="22">
        <v>5370</v>
      </c>
      <c r="O312" s="18">
        <v>5.74</v>
      </c>
      <c r="P312" s="52">
        <f>IF(COUNTIF(TblPurchases[BatchID],TblOutcomes[[#This Row],[BatchID]])&lt;&gt;1,"n.a.",TblOutcomes[[#This Row],[Qty Wasted]]*SUMIFS(TblPurchases[Unit Cost (CLP)],TblPurchases[BatchID],TblOutcomes[[#This Row],[BatchID]]))</f>
        <v>6068</v>
      </c>
      <c r="Q312" s="51">
        <f>IF(COUNTIF(TblPurchases[BatchID],TblOutcomes[[#This Row],[BatchID]])&lt;&gt;1,"n.a.",SUMIFS(TblPurchases[Purchase Date],TblPurchases[BatchID],TblOutcomes[[#This Row],[BatchID]]))</f>
        <v>45818</v>
      </c>
    </row>
    <row r="313" spans="2:17" x14ac:dyDescent="0.25">
      <c r="B313" s="2" t="s">
        <v>1117</v>
      </c>
      <c r="C313" s="2" t="s">
        <v>133</v>
      </c>
      <c r="D313" s="2" t="s">
        <v>122</v>
      </c>
      <c r="E313" s="2" t="s">
        <v>4647</v>
      </c>
      <c r="F313" s="2">
        <v>17</v>
      </c>
      <c r="G313" s="2">
        <v>17</v>
      </c>
      <c r="H313" s="2">
        <v>0</v>
      </c>
      <c r="I313" s="1">
        <v>0</v>
      </c>
      <c r="J313" s="26">
        <v>45835</v>
      </c>
      <c r="K313" s="22">
        <v>51000</v>
      </c>
      <c r="L313" s="18">
        <v>54.55</v>
      </c>
      <c r="M313" s="22">
        <v>34850</v>
      </c>
      <c r="N313" s="22">
        <v>16150</v>
      </c>
      <c r="O313" s="18">
        <v>17.27</v>
      </c>
      <c r="P313" s="52">
        <f>IF(COUNTIF(TblPurchases[BatchID],TblOutcomes[[#This Row],[BatchID]])&lt;&gt;1,"n.a.",TblOutcomes[[#This Row],[Qty Wasted]]*SUMIFS(TblPurchases[Unit Cost (CLP)],TblPurchases[BatchID],TblOutcomes[[#This Row],[BatchID]]))</f>
        <v>0</v>
      </c>
      <c r="Q313" s="51">
        <f>IF(COUNTIF(TblPurchases[BatchID],TblOutcomes[[#This Row],[BatchID]])&lt;&gt;1,"n.a.",SUMIFS(TblPurchases[Purchase Date],TblPurchases[BatchID],TblOutcomes[[#This Row],[BatchID]]))</f>
        <v>45827</v>
      </c>
    </row>
    <row r="314" spans="2:17" x14ac:dyDescent="0.25">
      <c r="B314" s="2" t="s">
        <v>1118</v>
      </c>
      <c r="C314" s="2" t="s">
        <v>133</v>
      </c>
      <c r="D314" s="2" t="s">
        <v>122</v>
      </c>
      <c r="E314" s="2" t="s">
        <v>4646</v>
      </c>
      <c r="F314" s="2">
        <v>18</v>
      </c>
      <c r="G314" s="2">
        <v>14.02</v>
      </c>
      <c r="H314" s="2">
        <v>3.98</v>
      </c>
      <c r="I314" s="1">
        <v>22.1</v>
      </c>
      <c r="J314" s="26">
        <v>45882</v>
      </c>
      <c r="K314" s="22">
        <v>42060</v>
      </c>
      <c r="L314" s="18">
        <v>44.98</v>
      </c>
      <c r="M314" s="22">
        <v>36900</v>
      </c>
      <c r="N314" s="22">
        <v>5160</v>
      </c>
      <c r="O314" s="18">
        <v>5.52</v>
      </c>
      <c r="P314" s="52">
        <f>IF(COUNTIF(TblPurchases[BatchID],TblOutcomes[[#This Row],[BatchID]])&lt;&gt;1,"n.a.",TblOutcomes[[#This Row],[Qty Wasted]]*SUMIFS(TblPurchases[Unit Cost (CLP)],TblPurchases[BatchID],TblOutcomes[[#This Row],[BatchID]]))</f>
        <v>8159</v>
      </c>
      <c r="Q314" s="51">
        <f>IF(COUNTIF(TblPurchases[BatchID],TblOutcomes[[#This Row],[BatchID]])&lt;&gt;1,"n.a.",SUMIFS(TblPurchases[Purchase Date],TblPurchases[BatchID],TblOutcomes[[#This Row],[BatchID]]))</f>
        <v>45837</v>
      </c>
    </row>
    <row r="315" spans="2:17" x14ac:dyDescent="0.25">
      <c r="B315" s="2" t="s">
        <v>1119</v>
      </c>
      <c r="C315" s="2" t="s">
        <v>136</v>
      </c>
      <c r="D315" s="2" t="s">
        <v>122</v>
      </c>
      <c r="E315" s="2" t="s">
        <v>4646</v>
      </c>
      <c r="F315" s="2">
        <v>13</v>
      </c>
      <c r="G315" s="2">
        <v>12.1</v>
      </c>
      <c r="H315" s="2">
        <v>0.9</v>
      </c>
      <c r="I315" s="1">
        <v>6.9</v>
      </c>
      <c r="J315" s="26">
        <v>45154</v>
      </c>
      <c r="K315" s="22">
        <v>36300</v>
      </c>
      <c r="L315" s="18">
        <v>38.82</v>
      </c>
      <c r="M315" s="22">
        <v>27300</v>
      </c>
      <c r="N315" s="22">
        <v>9000</v>
      </c>
      <c r="O315" s="18">
        <v>9.6300000000000008</v>
      </c>
      <c r="P315" s="52">
        <f>IF(COUNTIF(TblPurchases[BatchID],TblOutcomes[[#This Row],[BatchID]])&lt;&gt;1,"n.a.",TblOutcomes[[#This Row],[Qty Wasted]]*SUMIFS(TblPurchases[Unit Cost (CLP)],TblPurchases[BatchID],TblOutcomes[[#This Row],[BatchID]]))</f>
        <v>1890</v>
      </c>
      <c r="Q315" s="51">
        <f>IF(COUNTIF(TblPurchases[BatchID],TblOutcomes[[#This Row],[BatchID]])&lt;&gt;1,"n.a.",SUMIFS(TblPurchases[Purchase Date],TblPurchases[BatchID],TblOutcomes[[#This Row],[BatchID]]))</f>
        <v>45109</v>
      </c>
    </row>
    <row r="316" spans="2:17" x14ac:dyDescent="0.25">
      <c r="B316" s="2" t="s">
        <v>1120</v>
      </c>
      <c r="C316" s="2" t="s">
        <v>136</v>
      </c>
      <c r="D316" s="2" t="s">
        <v>122</v>
      </c>
      <c r="E316" s="2" t="s">
        <v>4646</v>
      </c>
      <c r="F316" s="2">
        <v>14</v>
      </c>
      <c r="G316" s="2">
        <v>10.7</v>
      </c>
      <c r="H316" s="2">
        <v>3.3</v>
      </c>
      <c r="I316" s="1">
        <v>23.6</v>
      </c>
      <c r="J316" s="26">
        <v>45163</v>
      </c>
      <c r="K316" s="22">
        <v>32100</v>
      </c>
      <c r="L316" s="18">
        <v>34.33</v>
      </c>
      <c r="M316" s="22">
        <v>29400</v>
      </c>
      <c r="N316" s="22">
        <v>2700</v>
      </c>
      <c r="O316" s="18">
        <v>2.89</v>
      </c>
      <c r="P316" s="52">
        <f>IF(COUNTIF(TblPurchases[BatchID],TblOutcomes[[#This Row],[BatchID]])&lt;&gt;1,"n.a.",TblOutcomes[[#This Row],[Qty Wasted]]*SUMIFS(TblPurchases[Unit Cost (CLP)],TblPurchases[BatchID],TblOutcomes[[#This Row],[BatchID]]))</f>
        <v>6930</v>
      </c>
      <c r="Q316" s="51">
        <f>IF(COUNTIF(TblPurchases[BatchID],TblOutcomes[[#This Row],[BatchID]])&lt;&gt;1,"n.a.",SUMIFS(TblPurchases[Purchase Date],TblPurchases[BatchID],TblOutcomes[[#This Row],[BatchID]]))</f>
        <v>45118</v>
      </c>
    </row>
    <row r="317" spans="2:17" x14ac:dyDescent="0.25">
      <c r="B317" s="2" t="s">
        <v>1121</v>
      </c>
      <c r="C317" s="2" t="s">
        <v>136</v>
      </c>
      <c r="D317" s="2" t="s">
        <v>122</v>
      </c>
      <c r="E317" s="2" t="s">
        <v>4647</v>
      </c>
      <c r="F317" s="2">
        <v>15</v>
      </c>
      <c r="G317" s="2">
        <v>15</v>
      </c>
      <c r="H317" s="2">
        <v>0</v>
      </c>
      <c r="I317" s="1">
        <v>0</v>
      </c>
      <c r="J317" s="26">
        <v>45138</v>
      </c>
      <c r="K317" s="22">
        <v>45000</v>
      </c>
      <c r="L317" s="18">
        <v>48.13</v>
      </c>
      <c r="M317" s="22">
        <v>31500</v>
      </c>
      <c r="N317" s="22">
        <v>13500</v>
      </c>
      <c r="O317" s="18">
        <v>14.44</v>
      </c>
      <c r="P317" s="52">
        <f>IF(COUNTIF(TblPurchases[BatchID],TblOutcomes[[#This Row],[BatchID]])&lt;&gt;1,"n.a.",TblOutcomes[[#This Row],[Qty Wasted]]*SUMIFS(TblPurchases[Unit Cost (CLP)],TblPurchases[BatchID],TblOutcomes[[#This Row],[BatchID]]))</f>
        <v>0</v>
      </c>
      <c r="Q317" s="51">
        <f>IF(COUNTIF(TblPurchases[BatchID],TblOutcomes[[#This Row],[BatchID]])&lt;&gt;1,"n.a.",SUMIFS(TblPurchases[Purchase Date],TblPurchases[BatchID],TblOutcomes[[#This Row],[BatchID]]))</f>
        <v>45130</v>
      </c>
    </row>
    <row r="318" spans="2:17" x14ac:dyDescent="0.25">
      <c r="B318" s="2" t="s">
        <v>1122</v>
      </c>
      <c r="C318" s="2" t="s">
        <v>136</v>
      </c>
      <c r="D318" s="2" t="s">
        <v>122</v>
      </c>
      <c r="E318" s="2" t="s">
        <v>4646</v>
      </c>
      <c r="F318" s="2">
        <v>14</v>
      </c>
      <c r="G318" s="2">
        <v>10.23</v>
      </c>
      <c r="H318" s="2">
        <v>3.77</v>
      </c>
      <c r="I318" s="1">
        <v>26.9</v>
      </c>
      <c r="J318" s="26">
        <v>45185</v>
      </c>
      <c r="K318" s="22">
        <v>30690</v>
      </c>
      <c r="L318" s="18">
        <v>32.82</v>
      </c>
      <c r="M318" s="22">
        <v>29400</v>
      </c>
      <c r="N318" s="22">
        <v>1290</v>
      </c>
      <c r="O318" s="18">
        <v>1.38</v>
      </c>
      <c r="P318" s="52">
        <f>IF(COUNTIF(TblPurchases[BatchID],TblOutcomes[[#This Row],[BatchID]])&lt;&gt;1,"n.a.",TblOutcomes[[#This Row],[Qty Wasted]]*SUMIFS(TblPurchases[Unit Cost (CLP)],TblPurchases[BatchID],TblOutcomes[[#This Row],[BatchID]]))</f>
        <v>7917</v>
      </c>
      <c r="Q318" s="51">
        <f>IF(COUNTIF(TblPurchases[BatchID],TblOutcomes[[#This Row],[BatchID]])&lt;&gt;1,"n.a.",SUMIFS(TblPurchases[Purchase Date],TblPurchases[BatchID],TblOutcomes[[#This Row],[BatchID]]))</f>
        <v>45140</v>
      </c>
    </row>
    <row r="319" spans="2:17" x14ac:dyDescent="0.25">
      <c r="B319" s="2" t="s">
        <v>1123</v>
      </c>
      <c r="C319" s="2" t="s">
        <v>136</v>
      </c>
      <c r="D319" s="2" t="s">
        <v>122</v>
      </c>
      <c r="E319" s="2" t="s">
        <v>4646</v>
      </c>
      <c r="F319" s="2">
        <v>15</v>
      </c>
      <c r="G319" s="2">
        <v>13.54</v>
      </c>
      <c r="H319" s="2">
        <v>1.46</v>
      </c>
      <c r="I319" s="1">
        <v>9.6999999999999993</v>
      </c>
      <c r="J319" s="26">
        <v>45191</v>
      </c>
      <c r="K319" s="22">
        <v>40620</v>
      </c>
      <c r="L319" s="18">
        <v>43.44</v>
      </c>
      <c r="M319" s="22">
        <v>31500</v>
      </c>
      <c r="N319" s="22">
        <v>9120</v>
      </c>
      <c r="O319" s="18">
        <v>9.75</v>
      </c>
      <c r="P319" s="52">
        <f>IF(COUNTIF(TblPurchases[BatchID],TblOutcomes[[#This Row],[BatchID]])&lt;&gt;1,"n.a.",TblOutcomes[[#This Row],[Qty Wasted]]*SUMIFS(TblPurchases[Unit Cost (CLP)],TblPurchases[BatchID],TblOutcomes[[#This Row],[BatchID]]))</f>
        <v>3066</v>
      </c>
      <c r="Q319" s="51">
        <f>IF(COUNTIF(TblPurchases[BatchID],TblOutcomes[[#This Row],[BatchID]])&lt;&gt;1,"n.a.",SUMIFS(TblPurchases[Purchase Date],TblPurchases[BatchID],TblOutcomes[[#This Row],[BatchID]]))</f>
        <v>45146</v>
      </c>
    </row>
    <row r="320" spans="2:17" x14ac:dyDescent="0.25">
      <c r="B320" s="2" t="s">
        <v>1124</v>
      </c>
      <c r="C320" s="2" t="s">
        <v>136</v>
      </c>
      <c r="D320" s="2" t="s">
        <v>122</v>
      </c>
      <c r="E320" s="2" t="s">
        <v>4647</v>
      </c>
      <c r="F320" s="2">
        <v>16</v>
      </c>
      <c r="G320" s="2">
        <v>16</v>
      </c>
      <c r="H320" s="2">
        <v>0</v>
      </c>
      <c r="I320" s="1">
        <v>0</v>
      </c>
      <c r="J320" s="26">
        <v>45160</v>
      </c>
      <c r="K320" s="22">
        <v>48000</v>
      </c>
      <c r="L320" s="18">
        <v>51.34</v>
      </c>
      <c r="M320" s="22">
        <v>33600</v>
      </c>
      <c r="N320" s="22">
        <v>14400</v>
      </c>
      <c r="O320" s="18">
        <v>15.4</v>
      </c>
      <c r="P320" s="52">
        <f>IF(COUNTIF(TblPurchases[BatchID],TblOutcomes[[#This Row],[BatchID]])&lt;&gt;1,"n.a.",TblOutcomes[[#This Row],[Qty Wasted]]*SUMIFS(TblPurchases[Unit Cost (CLP)],TblPurchases[BatchID],TblOutcomes[[#This Row],[BatchID]]))</f>
        <v>0</v>
      </c>
      <c r="Q320" s="51">
        <f>IF(COUNTIF(TblPurchases[BatchID],TblOutcomes[[#This Row],[BatchID]])&lt;&gt;1,"n.a.",SUMIFS(TblPurchases[Purchase Date],TblPurchases[BatchID],TblOutcomes[[#This Row],[BatchID]]))</f>
        <v>45155</v>
      </c>
    </row>
    <row r="321" spans="2:17" x14ac:dyDescent="0.25">
      <c r="B321" s="2" t="s">
        <v>1125</v>
      </c>
      <c r="C321" s="2" t="s">
        <v>136</v>
      </c>
      <c r="D321" s="2" t="s">
        <v>122</v>
      </c>
      <c r="E321" s="2" t="s">
        <v>4647</v>
      </c>
      <c r="F321" s="2">
        <v>14</v>
      </c>
      <c r="G321" s="2">
        <v>14</v>
      </c>
      <c r="H321" s="2">
        <v>0</v>
      </c>
      <c r="I321" s="1">
        <v>0</v>
      </c>
      <c r="J321" s="26">
        <v>45173</v>
      </c>
      <c r="K321" s="22">
        <v>42000</v>
      </c>
      <c r="L321" s="18">
        <v>44.92</v>
      </c>
      <c r="M321" s="22">
        <v>32200</v>
      </c>
      <c r="N321" s="22">
        <v>9800</v>
      </c>
      <c r="O321" s="18">
        <v>10.48</v>
      </c>
      <c r="P321" s="52">
        <f>IF(COUNTIF(TblPurchases[BatchID],TblOutcomes[[#This Row],[BatchID]])&lt;&gt;1,"n.a.",TblOutcomes[[#This Row],[Qty Wasted]]*SUMIFS(TblPurchases[Unit Cost (CLP)],TblPurchases[BatchID],TblOutcomes[[#This Row],[BatchID]]))</f>
        <v>0</v>
      </c>
      <c r="Q321" s="51">
        <f>IF(COUNTIF(TblPurchases[BatchID],TblOutcomes[[#This Row],[BatchID]])&lt;&gt;1,"n.a.",SUMIFS(TblPurchases[Purchase Date],TblPurchases[BatchID],TblOutcomes[[#This Row],[BatchID]]))</f>
        <v>45163</v>
      </c>
    </row>
    <row r="322" spans="2:17" x14ac:dyDescent="0.25">
      <c r="B322" s="2" t="s">
        <v>1126</v>
      </c>
      <c r="C322" s="2" t="s">
        <v>136</v>
      </c>
      <c r="D322" s="2" t="s">
        <v>122</v>
      </c>
      <c r="E322" s="2" t="s">
        <v>4646</v>
      </c>
      <c r="F322" s="2">
        <v>16</v>
      </c>
      <c r="G322" s="2">
        <v>12.78</v>
      </c>
      <c r="H322" s="2">
        <v>3.22</v>
      </c>
      <c r="I322" s="1">
        <v>20.100000000000001</v>
      </c>
      <c r="J322" s="26">
        <v>45218</v>
      </c>
      <c r="K322" s="22">
        <v>38340</v>
      </c>
      <c r="L322" s="18">
        <v>41.01</v>
      </c>
      <c r="M322" s="22">
        <v>33600</v>
      </c>
      <c r="N322" s="22">
        <v>4740</v>
      </c>
      <c r="O322" s="18">
        <v>5.07</v>
      </c>
      <c r="P322" s="52">
        <f>IF(COUNTIF(TblPurchases[BatchID],TblOutcomes[[#This Row],[BatchID]])&lt;&gt;1,"n.a.",TblOutcomes[[#This Row],[Qty Wasted]]*SUMIFS(TblPurchases[Unit Cost (CLP)],TblPurchases[BatchID],TblOutcomes[[#This Row],[BatchID]]))</f>
        <v>6762</v>
      </c>
      <c r="Q322" s="51">
        <f>IF(COUNTIF(TblPurchases[BatchID],TblOutcomes[[#This Row],[BatchID]])&lt;&gt;1,"n.a.",SUMIFS(TblPurchases[Purchase Date],TblPurchases[BatchID],TblOutcomes[[#This Row],[BatchID]]))</f>
        <v>45173</v>
      </c>
    </row>
    <row r="323" spans="2:17" x14ac:dyDescent="0.25">
      <c r="B323" s="2" t="s">
        <v>1127</v>
      </c>
      <c r="C323" s="2" t="s">
        <v>136</v>
      </c>
      <c r="D323" s="2" t="s">
        <v>122</v>
      </c>
      <c r="E323" s="2" t="s">
        <v>4647</v>
      </c>
      <c r="F323" s="2">
        <v>21</v>
      </c>
      <c r="G323" s="2">
        <v>21</v>
      </c>
      <c r="H323" s="2">
        <v>0</v>
      </c>
      <c r="I323" s="1">
        <v>0</v>
      </c>
      <c r="J323" s="26">
        <v>45186</v>
      </c>
      <c r="K323" s="22">
        <v>63000</v>
      </c>
      <c r="L323" s="18">
        <v>67.38</v>
      </c>
      <c r="M323" s="22">
        <v>44100</v>
      </c>
      <c r="N323" s="22">
        <v>18900</v>
      </c>
      <c r="O323" s="18">
        <v>20.21</v>
      </c>
      <c r="P323" s="52">
        <f>IF(COUNTIF(TblPurchases[BatchID],TblOutcomes[[#This Row],[BatchID]])&lt;&gt;1,"n.a.",TblOutcomes[[#This Row],[Qty Wasted]]*SUMIFS(TblPurchases[Unit Cost (CLP)],TblPurchases[BatchID],TblOutcomes[[#This Row],[BatchID]]))</f>
        <v>0</v>
      </c>
      <c r="Q323" s="51">
        <f>IF(COUNTIF(TblPurchases[BatchID],TblOutcomes[[#This Row],[BatchID]])&lt;&gt;1,"n.a.",SUMIFS(TblPurchases[Purchase Date],TblPurchases[BatchID],TblOutcomes[[#This Row],[BatchID]]))</f>
        <v>45184</v>
      </c>
    </row>
    <row r="324" spans="2:17" x14ac:dyDescent="0.25">
      <c r="B324" s="2" t="s">
        <v>1128</v>
      </c>
      <c r="C324" s="2" t="s">
        <v>136</v>
      </c>
      <c r="D324" s="2" t="s">
        <v>122</v>
      </c>
      <c r="E324" s="2" t="s">
        <v>4646</v>
      </c>
      <c r="F324" s="2">
        <v>19</v>
      </c>
      <c r="G324" s="2">
        <v>16.09</v>
      </c>
      <c r="H324" s="2">
        <v>2.91</v>
      </c>
      <c r="I324" s="1">
        <v>15.3</v>
      </c>
      <c r="J324" s="26">
        <v>45239</v>
      </c>
      <c r="K324" s="22">
        <v>48270</v>
      </c>
      <c r="L324" s="18">
        <v>51.63</v>
      </c>
      <c r="M324" s="22">
        <v>39900</v>
      </c>
      <c r="N324" s="22">
        <v>8370</v>
      </c>
      <c r="O324" s="18">
        <v>8.9499999999999993</v>
      </c>
      <c r="P324" s="52">
        <f>IF(COUNTIF(TblPurchases[BatchID],TblOutcomes[[#This Row],[BatchID]])&lt;&gt;1,"n.a.",TblOutcomes[[#This Row],[Qty Wasted]]*SUMIFS(TblPurchases[Unit Cost (CLP)],TblPurchases[BatchID],TblOutcomes[[#This Row],[BatchID]]))</f>
        <v>6111</v>
      </c>
      <c r="Q324" s="51">
        <f>IF(COUNTIF(TblPurchases[BatchID],TblOutcomes[[#This Row],[BatchID]])&lt;&gt;1,"n.a.",SUMIFS(TblPurchases[Purchase Date],TblPurchases[BatchID],TblOutcomes[[#This Row],[BatchID]]))</f>
        <v>45194</v>
      </c>
    </row>
    <row r="325" spans="2:17" x14ac:dyDescent="0.25">
      <c r="B325" s="2" t="s">
        <v>1129</v>
      </c>
      <c r="C325" s="2" t="s">
        <v>136</v>
      </c>
      <c r="D325" s="2" t="s">
        <v>122</v>
      </c>
      <c r="E325" s="2" t="s">
        <v>4647</v>
      </c>
      <c r="F325" s="2">
        <v>35</v>
      </c>
      <c r="G325" s="2">
        <v>35</v>
      </c>
      <c r="H325" s="2">
        <v>0</v>
      </c>
      <c r="I325" s="1">
        <v>0</v>
      </c>
      <c r="J325" s="26">
        <v>45212</v>
      </c>
      <c r="K325" s="22">
        <v>105000</v>
      </c>
      <c r="L325" s="18">
        <v>112.3</v>
      </c>
      <c r="M325" s="22">
        <v>73500</v>
      </c>
      <c r="N325" s="22">
        <v>31500</v>
      </c>
      <c r="O325" s="18">
        <v>33.69</v>
      </c>
      <c r="P325" s="52">
        <f>IF(COUNTIF(TblPurchases[BatchID],TblOutcomes[[#This Row],[BatchID]])&lt;&gt;1,"n.a.",TblOutcomes[[#This Row],[Qty Wasted]]*SUMIFS(TblPurchases[Unit Cost (CLP)],TblPurchases[BatchID],TblOutcomes[[#This Row],[BatchID]]))</f>
        <v>0</v>
      </c>
      <c r="Q325" s="51">
        <f>IF(COUNTIF(TblPurchases[BatchID],TblOutcomes[[#This Row],[BatchID]])&lt;&gt;1,"n.a.",SUMIFS(TblPurchases[Purchase Date],TblPurchases[BatchID],TblOutcomes[[#This Row],[BatchID]]))</f>
        <v>45203</v>
      </c>
    </row>
    <row r="326" spans="2:17" x14ac:dyDescent="0.25">
      <c r="B326" s="2" t="s">
        <v>1130</v>
      </c>
      <c r="C326" s="2" t="s">
        <v>136</v>
      </c>
      <c r="D326" s="2" t="s">
        <v>122</v>
      </c>
      <c r="E326" s="2" t="s">
        <v>4647</v>
      </c>
      <c r="F326" s="2">
        <v>40</v>
      </c>
      <c r="G326" s="2">
        <v>40</v>
      </c>
      <c r="H326" s="2">
        <v>0</v>
      </c>
      <c r="I326" s="1">
        <v>0</v>
      </c>
      <c r="J326" s="26">
        <v>45220</v>
      </c>
      <c r="K326" s="22">
        <v>120000</v>
      </c>
      <c r="L326" s="18">
        <v>128.34</v>
      </c>
      <c r="M326" s="22">
        <v>84000</v>
      </c>
      <c r="N326" s="22">
        <v>36000</v>
      </c>
      <c r="O326" s="18">
        <v>38.5</v>
      </c>
      <c r="P326" s="52">
        <f>IF(COUNTIF(TblPurchases[BatchID],TblOutcomes[[#This Row],[BatchID]])&lt;&gt;1,"n.a.",TblOutcomes[[#This Row],[Qty Wasted]]*SUMIFS(TblPurchases[Unit Cost (CLP)],TblPurchases[BatchID],TblOutcomes[[#This Row],[BatchID]]))</f>
        <v>0</v>
      </c>
      <c r="Q326" s="51">
        <f>IF(COUNTIF(TblPurchases[BatchID],TblOutcomes[[#This Row],[BatchID]])&lt;&gt;1,"n.a.",SUMIFS(TblPurchases[Purchase Date],TblPurchases[BatchID],TblOutcomes[[#This Row],[BatchID]]))</f>
        <v>45213</v>
      </c>
    </row>
    <row r="327" spans="2:17" x14ac:dyDescent="0.25">
      <c r="B327" s="2" t="s">
        <v>1131</v>
      </c>
      <c r="C327" s="2" t="s">
        <v>136</v>
      </c>
      <c r="D327" s="2" t="s">
        <v>122</v>
      </c>
      <c r="E327" s="2" t="s">
        <v>4647</v>
      </c>
      <c r="F327" s="2">
        <v>39</v>
      </c>
      <c r="G327" s="2">
        <v>39</v>
      </c>
      <c r="H327" s="2">
        <v>0</v>
      </c>
      <c r="I327" s="1">
        <v>0</v>
      </c>
      <c r="J327" s="26">
        <v>45230</v>
      </c>
      <c r="K327" s="22">
        <v>117000</v>
      </c>
      <c r="L327" s="18">
        <v>125.13</v>
      </c>
      <c r="M327" s="22">
        <v>81900</v>
      </c>
      <c r="N327" s="22">
        <v>35100</v>
      </c>
      <c r="O327" s="18">
        <v>37.54</v>
      </c>
      <c r="P327" s="52">
        <f>IF(COUNTIF(TblPurchases[BatchID],TblOutcomes[[#This Row],[BatchID]])&lt;&gt;1,"n.a.",TblOutcomes[[#This Row],[Qty Wasted]]*SUMIFS(TblPurchases[Unit Cost (CLP)],TblPurchases[BatchID],TblOutcomes[[#This Row],[BatchID]]))</f>
        <v>0</v>
      </c>
      <c r="Q327" s="51">
        <f>IF(COUNTIF(TblPurchases[BatchID],TblOutcomes[[#This Row],[BatchID]])&lt;&gt;1,"n.a.",SUMIFS(TblPurchases[Purchase Date],TblPurchases[BatchID],TblOutcomes[[#This Row],[BatchID]]))</f>
        <v>45223</v>
      </c>
    </row>
    <row r="328" spans="2:17" x14ac:dyDescent="0.25">
      <c r="B328" s="2" t="s">
        <v>1132</v>
      </c>
      <c r="C328" s="2" t="s">
        <v>136</v>
      </c>
      <c r="D328" s="2" t="s">
        <v>122</v>
      </c>
      <c r="E328" s="2" t="s">
        <v>4647</v>
      </c>
      <c r="F328" s="2">
        <v>40</v>
      </c>
      <c r="G328" s="2">
        <v>40</v>
      </c>
      <c r="H328" s="2">
        <v>0</v>
      </c>
      <c r="I328" s="1">
        <v>0</v>
      </c>
      <c r="J328" s="26">
        <v>45240</v>
      </c>
      <c r="K328" s="22">
        <v>120000</v>
      </c>
      <c r="L328" s="18">
        <v>128.34</v>
      </c>
      <c r="M328" s="22">
        <v>84000</v>
      </c>
      <c r="N328" s="22">
        <v>36000</v>
      </c>
      <c r="O328" s="18">
        <v>38.5</v>
      </c>
      <c r="P328" s="52">
        <f>IF(COUNTIF(TblPurchases[BatchID],TblOutcomes[[#This Row],[BatchID]])&lt;&gt;1,"n.a.",TblOutcomes[[#This Row],[Qty Wasted]]*SUMIFS(TblPurchases[Unit Cost (CLP)],TblPurchases[BatchID],TblOutcomes[[#This Row],[BatchID]]))</f>
        <v>0</v>
      </c>
      <c r="Q328" s="51">
        <f>IF(COUNTIF(TblPurchases[BatchID],TblOutcomes[[#This Row],[BatchID]])&lt;&gt;1,"n.a.",SUMIFS(TblPurchases[Purchase Date],TblPurchases[BatchID],TblOutcomes[[#This Row],[BatchID]]))</f>
        <v>45233</v>
      </c>
    </row>
    <row r="329" spans="2:17" x14ac:dyDescent="0.25">
      <c r="B329" s="2" t="s">
        <v>1133</v>
      </c>
      <c r="C329" s="2" t="s">
        <v>136</v>
      </c>
      <c r="D329" s="2" t="s">
        <v>122</v>
      </c>
      <c r="E329" s="2" t="s">
        <v>4647</v>
      </c>
      <c r="F329" s="2">
        <v>39</v>
      </c>
      <c r="G329" s="2">
        <v>39</v>
      </c>
      <c r="H329" s="2">
        <v>0</v>
      </c>
      <c r="I329" s="1">
        <v>0</v>
      </c>
      <c r="J329" s="26">
        <v>45249</v>
      </c>
      <c r="K329" s="22">
        <v>117000</v>
      </c>
      <c r="L329" s="18">
        <v>125.13</v>
      </c>
      <c r="M329" s="22">
        <v>81900</v>
      </c>
      <c r="N329" s="22">
        <v>35100</v>
      </c>
      <c r="O329" s="18">
        <v>37.54</v>
      </c>
      <c r="P329" s="52">
        <f>IF(COUNTIF(TblPurchases[BatchID],TblOutcomes[[#This Row],[BatchID]])&lt;&gt;1,"n.a.",TblOutcomes[[#This Row],[Qty Wasted]]*SUMIFS(TblPurchases[Unit Cost (CLP)],TblPurchases[BatchID],TblOutcomes[[#This Row],[BatchID]]))</f>
        <v>0</v>
      </c>
      <c r="Q329" s="51">
        <f>IF(COUNTIF(TblPurchases[BatchID],TblOutcomes[[#This Row],[BatchID]])&lt;&gt;1,"n.a.",SUMIFS(TblPurchases[Purchase Date],TblPurchases[BatchID],TblOutcomes[[#This Row],[BatchID]]))</f>
        <v>45241</v>
      </c>
    </row>
    <row r="330" spans="2:17" x14ac:dyDescent="0.25">
      <c r="B330" s="2" t="s">
        <v>1134</v>
      </c>
      <c r="C330" s="2" t="s">
        <v>136</v>
      </c>
      <c r="D330" s="2" t="s">
        <v>122</v>
      </c>
      <c r="E330" s="2" t="s">
        <v>4646</v>
      </c>
      <c r="F330" s="2">
        <v>46</v>
      </c>
      <c r="G330" s="2">
        <v>36.43</v>
      </c>
      <c r="H330" s="2">
        <v>9.57</v>
      </c>
      <c r="I330" s="1">
        <v>20.8</v>
      </c>
      <c r="J330" s="26">
        <v>45298</v>
      </c>
      <c r="K330" s="22">
        <v>109290</v>
      </c>
      <c r="L330" s="18">
        <v>116.89</v>
      </c>
      <c r="M330" s="22">
        <v>96600</v>
      </c>
      <c r="N330" s="22">
        <v>12690</v>
      </c>
      <c r="O330" s="18">
        <v>13.57</v>
      </c>
      <c r="P330" s="52">
        <f>IF(COUNTIF(TblPurchases[BatchID],TblOutcomes[[#This Row],[BatchID]])&lt;&gt;1,"n.a.",TblOutcomes[[#This Row],[Qty Wasted]]*SUMIFS(TblPurchases[Unit Cost (CLP)],TblPurchases[BatchID],TblOutcomes[[#This Row],[BatchID]]))</f>
        <v>20097</v>
      </c>
      <c r="Q330" s="51">
        <f>IF(COUNTIF(TblPurchases[BatchID],TblOutcomes[[#This Row],[BatchID]])&lt;&gt;1,"n.a.",SUMIFS(TblPurchases[Purchase Date],TblPurchases[BatchID],TblOutcomes[[#This Row],[BatchID]]))</f>
        <v>45253</v>
      </c>
    </row>
    <row r="331" spans="2:17" x14ac:dyDescent="0.25">
      <c r="B331" s="2" t="s">
        <v>1135</v>
      </c>
      <c r="C331" s="2" t="s">
        <v>136</v>
      </c>
      <c r="D331" s="2" t="s">
        <v>122</v>
      </c>
      <c r="E331" s="2" t="s">
        <v>4647</v>
      </c>
      <c r="F331" s="2">
        <v>52</v>
      </c>
      <c r="G331" s="2">
        <v>52</v>
      </c>
      <c r="H331" s="2">
        <v>0</v>
      </c>
      <c r="I331" s="1">
        <v>0</v>
      </c>
      <c r="J331" s="26">
        <v>45273</v>
      </c>
      <c r="K331" s="22">
        <v>156000</v>
      </c>
      <c r="L331" s="18">
        <v>166.84</v>
      </c>
      <c r="M331" s="22">
        <v>109200</v>
      </c>
      <c r="N331" s="22">
        <v>46800</v>
      </c>
      <c r="O331" s="18">
        <v>50.05</v>
      </c>
      <c r="P331" s="52">
        <f>IF(COUNTIF(TblPurchases[BatchID],TblOutcomes[[#This Row],[BatchID]])&lt;&gt;1,"n.a.",TblOutcomes[[#This Row],[Qty Wasted]]*SUMIFS(TblPurchases[Unit Cost (CLP)],TblPurchases[BatchID],TblOutcomes[[#This Row],[BatchID]]))</f>
        <v>0</v>
      </c>
      <c r="Q331" s="51">
        <f>IF(COUNTIF(TblPurchases[BatchID],TblOutcomes[[#This Row],[BatchID]])&lt;&gt;1,"n.a.",SUMIFS(TblPurchases[Purchase Date],TblPurchases[BatchID],TblOutcomes[[#This Row],[BatchID]]))</f>
        <v>45265</v>
      </c>
    </row>
    <row r="332" spans="2:17" x14ac:dyDescent="0.25">
      <c r="B332" s="2" t="s">
        <v>1136</v>
      </c>
      <c r="C332" s="2" t="s">
        <v>136</v>
      </c>
      <c r="D332" s="2" t="s">
        <v>122</v>
      </c>
      <c r="E332" s="2" t="s">
        <v>4646</v>
      </c>
      <c r="F332" s="2">
        <v>48</v>
      </c>
      <c r="G332" s="2">
        <v>37.39</v>
      </c>
      <c r="H332" s="2">
        <v>10.61</v>
      </c>
      <c r="I332" s="1">
        <v>22.1</v>
      </c>
      <c r="J332" s="26">
        <v>45322</v>
      </c>
      <c r="K332" s="22">
        <v>112170</v>
      </c>
      <c r="L332" s="18">
        <v>119.97</v>
      </c>
      <c r="M332" s="22">
        <v>100800</v>
      </c>
      <c r="N332" s="22">
        <v>11370</v>
      </c>
      <c r="O332" s="18">
        <v>12.16</v>
      </c>
      <c r="P332" s="52">
        <f>IF(COUNTIF(TblPurchases[BatchID],TblOutcomes[[#This Row],[BatchID]])&lt;&gt;1,"n.a.",TblOutcomes[[#This Row],[Qty Wasted]]*SUMIFS(TblPurchases[Unit Cost (CLP)],TblPurchases[BatchID],TblOutcomes[[#This Row],[BatchID]]))</f>
        <v>22281</v>
      </c>
      <c r="Q332" s="51">
        <f>IF(COUNTIF(TblPurchases[BatchID],TblOutcomes[[#This Row],[BatchID]])&lt;&gt;1,"n.a.",SUMIFS(TblPurchases[Purchase Date],TblPurchases[BatchID],TblOutcomes[[#This Row],[BatchID]]))</f>
        <v>45277</v>
      </c>
    </row>
    <row r="333" spans="2:17" x14ac:dyDescent="0.25">
      <c r="B333" s="2" t="s">
        <v>1137</v>
      </c>
      <c r="C333" s="2" t="s">
        <v>136</v>
      </c>
      <c r="D333" s="2" t="s">
        <v>122</v>
      </c>
      <c r="E333" s="2" t="s">
        <v>4647</v>
      </c>
      <c r="F333" s="2">
        <v>57</v>
      </c>
      <c r="G333" s="2">
        <v>57</v>
      </c>
      <c r="H333" s="2">
        <v>0</v>
      </c>
      <c r="I333" s="1">
        <v>0</v>
      </c>
      <c r="J333" s="26">
        <v>45295</v>
      </c>
      <c r="K333" s="22">
        <v>171000</v>
      </c>
      <c r="L333" s="18">
        <v>182.89</v>
      </c>
      <c r="M333" s="22">
        <v>119700</v>
      </c>
      <c r="N333" s="22">
        <v>51300</v>
      </c>
      <c r="O333" s="18">
        <v>54.87</v>
      </c>
      <c r="P333" s="52">
        <f>IF(COUNTIF(TblPurchases[BatchID],TblOutcomes[[#This Row],[BatchID]])&lt;&gt;1,"n.a.",TblOutcomes[[#This Row],[Qty Wasted]]*SUMIFS(TblPurchases[Unit Cost (CLP)],TblPurchases[BatchID],TblOutcomes[[#This Row],[BatchID]]))</f>
        <v>0</v>
      </c>
      <c r="Q333" s="51">
        <f>IF(COUNTIF(TblPurchases[BatchID],TblOutcomes[[#This Row],[BatchID]])&lt;&gt;1,"n.a.",SUMIFS(TblPurchases[Purchase Date],TblPurchases[BatchID],TblOutcomes[[#This Row],[BatchID]]))</f>
        <v>45284</v>
      </c>
    </row>
    <row r="334" spans="2:17" x14ac:dyDescent="0.25">
      <c r="B334" s="2" t="s">
        <v>1138</v>
      </c>
      <c r="C334" s="2" t="s">
        <v>136</v>
      </c>
      <c r="D334" s="2" t="s">
        <v>122</v>
      </c>
      <c r="E334" s="2" t="s">
        <v>4647</v>
      </c>
      <c r="F334" s="2">
        <v>42</v>
      </c>
      <c r="G334" s="2">
        <v>42</v>
      </c>
      <c r="H334" s="2">
        <v>0</v>
      </c>
      <c r="I334" s="1">
        <v>0</v>
      </c>
      <c r="J334" s="26">
        <v>45303</v>
      </c>
      <c r="K334" s="22">
        <v>126000</v>
      </c>
      <c r="L334" s="18">
        <v>134.76</v>
      </c>
      <c r="M334" s="22">
        <v>88200</v>
      </c>
      <c r="N334" s="22">
        <v>37800</v>
      </c>
      <c r="O334" s="18">
        <v>40.43</v>
      </c>
      <c r="P334" s="52">
        <f>IF(COUNTIF(TblPurchases[BatchID],TblOutcomes[[#This Row],[BatchID]])&lt;&gt;1,"n.a.",TblOutcomes[[#This Row],[Qty Wasted]]*SUMIFS(TblPurchases[Unit Cost (CLP)],TblPurchases[BatchID],TblOutcomes[[#This Row],[BatchID]]))</f>
        <v>0</v>
      </c>
      <c r="Q334" s="51">
        <f>IF(COUNTIF(TblPurchases[BatchID],TblOutcomes[[#This Row],[BatchID]])&lt;&gt;1,"n.a.",SUMIFS(TblPurchases[Purchase Date],TblPurchases[BatchID],TblOutcomes[[#This Row],[BatchID]]))</f>
        <v>45294</v>
      </c>
    </row>
    <row r="335" spans="2:17" x14ac:dyDescent="0.25">
      <c r="B335" s="2" t="s">
        <v>1139</v>
      </c>
      <c r="C335" s="2" t="s">
        <v>136</v>
      </c>
      <c r="D335" s="2" t="s">
        <v>122</v>
      </c>
      <c r="E335" s="2" t="s">
        <v>4647</v>
      </c>
      <c r="F335" s="2">
        <v>43</v>
      </c>
      <c r="G335" s="2">
        <v>43</v>
      </c>
      <c r="H335" s="2">
        <v>0</v>
      </c>
      <c r="I335" s="1">
        <v>0</v>
      </c>
      <c r="J335" s="26">
        <v>45310</v>
      </c>
      <c r="K335" s="22">
        <v>129000</v>
      </c>
      <c r="L335" s="18">
        <v>137.97</v>
      </c>
      <c r="M335" s="22">
        <v>90300</v>
      </c>
      <c r="N335" s="22">
        <v>38700</v>
      </c>
      <c r="O335" s="18">
        <v>41.39</v>
      </c>
      <c r="P335" s="52">
        <f>IF(COUNTIF(TblPurchases[BatchID],TblOutcomes[[#This Row],[BatchID]])&lt;&gt;1,"n.a.",TblOutcomes[[#This Row],[Qty Wasted]]*SUMIFS(TblPurchases[Unit Cost (CLP)],TblPurchases[BatchID],TblOutcomes[[#This Row],[BatchID]]))</f>
        <v>0</v>
      </c>
      <c r="Q335" s="51">
        <f>IF(COUNTIF(TblPurchases[BatchID],TblOutcomes[[#This Row],[BatchID]])&lt;&gt;1,"n.a.",SUMIFS(TblPurchases[Purchase Date],TblPurchases[BatchID],TblOutcomes[[#This Row],[BatchID]]))</f>
        <v>45305</v>
      </c>
    </row>
    <row r="336" spans="2:17" x14ac:dyDescent="0.25">
      <c r="B336" s="2" t="s">
        <v>1140</v>
      </c>
      <c r="C336" s="2" t="s">
        <v>136</v>
      </c>
      <c r="D336" s="2" t="s">
        <v>122</v>
      </c>
      <c r="E336" s="2" t="s">
        <v>4647</v>
      </c>
      <c r="F336" s="2">
        <v>34</v>
      </c>
      <c r="G336" s="2">
        <v>34</v>
      </c>
      <c r="H336" s="2">
        <v>0</v>
      </c>
      <c r="I336" s="1">
        <v>0</v>
      </c>
      <c r="J336" s="26">
        <v>45317</v>
      </c>
      <c r="K336" s="22">
        <v>102000</v>
      </c>
      <c r="L336" s="18">
        <v>109.09</v>
      </c>
      <c r="M336" s="22">
        <v>71400</v>
      </c>
      <c r="N336" s="22">
        <v>30600</v>
      </c>
      <c r="O336" s="18">
        <v>32.729999999999997</v>
      </c>
      <c r="P336" s="52">
        <f>IF(COUNTIF(TblPurchases[BatchID],TblOutcomes[[#This Row],[BatchID]])&lt;&gt;1,"n.a.",TblOutcomes[[#This Row],[Qty Wasted]]*SUMIFS(TblPurchases[Unit Cost (CLP)],TblPurchases[BatchID],TblOutcomes[[#This Row],[BatchID]]))</f>
        <v>0</v>
      </c>
      <c r="Q336" s="51">
        <f>IF(COUNTIF(TblPurchases[BatchID],TblOutcomes[[#This Row],[BatchID]])&lt;&gt;1,"n.a.",SUMIFS(TblPurchases[Purchase Date],TblPurchases[BatchID],TblOutcomes[[#This Row],[BatchID]]))</f>
        <v>45314</v>
      </c>
    </row>
    <row r="337" spans="2:17" x14ac:dyDescent="0.25">
      <c r="B337" s="2" t="s">
        <v>1141</v>
      </c>
      <c r="C337" s="2" t="s">
        <v>136</v>
      </c>
      <c r="D337" s="2" t="s">
        <v>122</v>
      </c>
      <c r="E337" s="2" t="s">
        <v>4647</v>
      </c>
      <c r="F337" s="2">
        <v>36</v>
      </c>
      <c r="G337" s="2">
        <v>36</v>
      </c>
      <c r="H337" s="2">
        <v>0</v>
      </c>
      <c r="I337" s="1">
        <v>0</v>
      </c>
      <c r="J337" s="26">
        <v>45326</v>
      </c>
      <c r="K337" s="22">
        <v>108000</v>
      </c>
      <c r="L337" s="18">
        <v>115.51</v>
      </c>
      <c r="M337" s="22">
        <v>75600</v>
      </c>
      <c r="N337" s="22">
        <v>32400</v>
      </c>
      <c r="O337" s="18">
        <v>34.65</v>
      </c>
      <c r="P337" s="52">
        <f>IF(COUNTIF(TblPurchases[BatchID],TblOutcomes[[#This Row],[BatchID]])&lt;&gt;1,"n.a.",TblOutcomes[[#This Row],[Qty Wasted]]*SUMIFS(TblPurchases[Unit Cost (CLP)],TblPurchases[BatchID],TblOutcomes[[#This Row],[BatchID]]))</f>
        <v>0</v>
      </c>
      <c r="Q337" s="51">
        <f>IF(COUNTIF(TblPurchases[BatchID],TblOutcomes[[#This Row],[BatchID]])&lt;&gt;1,"n.a.",SUMIFS(TblPurchases[Purchase Date],TblPurchases[BatchID],TblOutcomes[[#This Row],[BatchID]]))</f>
        <v>45324</v>
      </c>
    </row>
    <row r="338" spans="2:17" x14ac:dyDescent="0.25">
      <c r="B338" s="2" t="s">
        <v>1142</v>
      </c>
      <c r="C338" s="2" t="s">
        <v>136</v>
      </c>
      <c r="D338" s="2" t="s">
        <v>122</v>
      </c>
      <c r="E338" s="2" t="s">
        <v>4647</v>
      </c>
      <c r="F338" s="2">
        <v>45</v>
      </c>
      <c r="G338" s="2">
        <v>45</v>
      </c>
      <c r="H338" s="2">
        <v>0</v>
      </c>
      <c r="I338" s="1">
        <v>0</v>
      </c>
      <c r="J338" s="26">
        <v>45340</v>
      </c>
      <c r="K338" s="22">
        <v>135000</v>
      </c>
      <c r="L338" s="18">
        <v>144.38999999999999</v>
      </c>
      <c r="M338" s="22">
        <v>94500</v>
      </c>
      <c r="N338" s="22">
        <v>40500</v>
      </c>
      <c r="O338" s="18">
        <v>43.32</v>
      </c>
      <c r="P338" s="52">
        <f>IF(COUNTIF(TblPurchases[BatchID],TblOutcomes[[#This Row],[BatchID]])&lt;&gt;1,"n.a.",TblOutcomes[[#This Row],[Qty Wasted]]*SUMIFS(TblPurchases[Unit Cost (CLP)],TblPurchases[BatchID],TblOutcomes[[#This Row],[BatchID]]))</f>
        <v>0</v>
      </c>
      <c r="Q338" s="51">
        <f>IF(COUNTIF(TblPurchases[BatchID],TblOutcomes[[#This Row],[BatchID]])&lt;&gt;1,"n.a.",SUMIFS(TblPurchases[Purchase Date],TblPurchases[BatchID],TblOutcomes[[#This Row],[BatchID]]))</f>
        <v>45335</v>
      </c>
    </row>
    <row r="339" spans="2:17" x14ac:dyDescent="0.25">
      <c r="B339" s="2" t="s">
        <v>1143</v>
      </c>
      <c r="C339" s="2" t="s">
        <v>136</v>
      </c>
      <c r="D339" s="2" t="s">
        <v>122</v>
      </c>
      <c r="E339" s="2" t="s">
        <v>4646</v>
      </c>
      <c r="F339" s="2">
        <v>36</v>
      </c>
      <c r="G339" s="2">
        <v>28.62</v>
      </c>
      <c r="H339" s="2">
        <v>7.38</v>
      </c>
      <c r="I339" s="1">
        <v>20.5</v>
      </c>
      <c r="J339" s="26">
        <v>45391</v>
      </c>
      <c r="K339" s="22">
        <v>85860</v>
      </c>
      <c r="L339" s="18">
        <v>91.83</v>
      </c>
      <c r="M339" s="22">
        <v>75600</v>
      </c>
      <c r="N339" s="22">
        <v>10260</v>
      </c>
      <c r="O339" s="18">
        <v>10.97</v>
      </c>
      <c r="P339" s="52">
        <f>IF(COUNTIF(TblPurchases[BatchID],TblOutcomes[[#This Row],[BatchID]])&lt;&gt;1,"n.a.",TblOutcomes[[#This Row],[Qty Wasted]]*SUMIFS(TblPurchases[Unit Cost (CLP)],TblPurchases[BatchID],TblOutcomes[[#This Row],[BatchID]]))</f>
        <v>15498</v>
      </c>
      <c r="Q339" s="51">
        <f>IF(COUNTIF(TblPurchases[BatchID],TblOutcomes[[#This Row],[BatchID]])&lt;&gt;1,"n.a.",SUMIFS(TblPurchases[Purchase Date],TblPurchases[BatchID],TblOutcomes[[#This Row],[BatchID]]))</f>
        <v>45346</v>
      </c>
    </row>
    <row r="340" spans="2:17" x14ac:dyDescent="0.25">
      <c r="B340" s="2" t="s">
        <v>1144</v>
      </c>
      <c r="C340" s="2" t="s">
        <v>136</v>
      </c>
      <c r="D340" s="2" t="s">
        <v>122</v>
      </c>
      <c r="E340" s="2" t="s">
        <v>4647</v>
      </c>
      <c r="F340" s="2">
        <v>34</v>
      </c>
      <c r="G340" s="2">
        <v>34</v>
      </c>
      <c r="H340" s="2">
        <v>0</v>
      </c>
      <c r="I340" s="1">
        <v>0</v>
      </c>
      <c r="J340" s="26">
        <v>45362</v>
      </c>
      <c r="K340" s="22">
        <v>102000</v>
      </c>
      <c r="L340" s="18">
        <v>109.09</v>
      </c>
      <c r="M340" s="22">
        <v>71400</v>
      </c>
      <c r="N340" s="22">
        <v>30600</v>
      </c>
      <c r="O340" s="18">
        <v>32.729999999999997</v>
      </c>
      <c r="P340" s="52">
        <f>IF(COUNTIF(TblPurchases[BatchID],TblOutcomes[[#This Row],[BatchID]])&lt;&gt;1,"n.a.",TblOutcomes[[#This Row],[Qty Wasted]]*SUMIFS(TblPurchases[Unit Cost (CLP)],TblPurchases[BatchID],TblOutcomes[[#This Row],[BatchID]]))</f>
        <v>0</v>
      </c>
      <c r="Q340" s="51">
        <f>IF(COUNTIF(TblPurchases[BatchID],TblOutcomes[[#This Row],[BatchID]])&lt;&gt;1,"n.a.",SUMIFS(TblPurchases[Purchase Date],TblPurchases[BatchID],TblOutcomes[[#This Row],[BatchID]]))</f>
        <v>45354</v>
      </c>
    </row>
    <row r="341" spans="2:17" x14ac:dyDescent="0.25">
      <c r="B341" s="2" t="s">
        <v>1145</v>
      </c>
      <c r="C341" s="2" t="s">
        <v>136</v>
      </c>
      <c r="D341" s="2" t="s">
        <v>122</v>
      </c>
      <c r="E341" s="2" t="s">
        <v>4647</v>
      </c>
      <c r="F341" s="2">
        <v>41</v>
      </c>
      <c r="G341" s="2">
        <v>41</v>
      </c>
      <c r="H341" s="2">
        <v>0</v>
      </c>
      <c r="I341" s="1">
        <v>0</v>
      </c>
      <c r="J341" s="26">
        <v>45371</v>
      </c>
      <c r="K341" s="22">
        <v>123000</v>
      </c>
      <c r="L341" s="18">
        <v>131.55000000000001</v>
      </c>
      <c r="M341" s="22">
        <v>86100</v>
      </c>
      <c r="N341" s="22">
        <v>36900</v>
      </c>
      <c r="O341" s="18">
        <v>39.47</v>
      </c>
      <c r="P341" s="52">
        <f>IF(COUNTIF(TblPurchases[BatchID],TblOutcomes[[#This Row],[BatchID]])&lt;&gt;1,"n.a.",TblOutcomes[[#This Row],[Qty Wasted]]*SUMIFS(TblPurchases[Unit Cost (CLP)],TblPurchases[BatchID],TblOutcomes[[#This Row],[BatchID]]))</f>
        <v>0</v>
      </c>
      <c r="Q341" s="51">
        <f>IF(COUNTIF(TblPurchases[BatchID],TblOutcomes[[#This Row],[BatchID]])&lt;&gt;1,"n.a.",SUMIFS(TblPurchases[Purchase Date],TblPurchases[BatchID],TblOutcomes[[#This Row],[BatchID]]))</f>
        <v>45362</v>
      </c>
    </row>
    <row r="342" spans="2:17" x14ac:dyDescent="0.25">
      <c r="B342" s="2" t="s">
        <v>1146</v>
      </c>
      <c r="C342" s="2" t="s">
        <v>136</v>
      </c>
      <c r="D342" s="2" t="s">
        <v>122</v>
      </c>
      <c r="E342" s="2" t="s">
        <v>4646</v>
      </c>
      <c r="F342" s="2">
        <v>39</v>
      </c>
      <c r="G342" s="2">
        <v>33.5</v>
      </c>
      <c r="H342" s="2">
        <v>5.5</v>
      </c>
      <c r="I342" s="1">
        <v>14.1</v>
      </c>
      <c r="J342" s="26">
        <v>45419</v>
      </c>
      <c r="K342" s="22">
        <v>100500</v>
      </c>
      <c r="L342" s="18">
        <v>107.49</v>
      </c>
      <c r="M342" s="22">
        <v>81900</v>
      </c>
      <c r="N342" s="22">
        <v>18600</v>
      </c>
      <c r="O342" s="18">
        <v>19.89</v>
      </c>
      <c r="P342" s="52">
        <f>IF(COUNTIF(TblPurchases[BatchID],TblOutcomes[[#This Row],[BatchID]])&lt;&gt;1,"n.a.",TblOutcomes[[#This Row],[Qty Wasted]]*SUMIFS(TblPurchases[Unit Cost (CLP)],TblPurchases[BatchID],TblOutcomes[[#This Row],[BatchID]]))</f>
        <v>11550</v>
      </c>
      <c r="Q342" s="51">
        <f>IF(COUNTIF(TblPurchases[BatchID],TblOutcomes[[#This Row],[BatchID]])&lt;&gt;1,"n.a.",SUMIFS(TblPurchases[Purchase Date],TblPurchases[BatchID],TblOutcomes[[#This Row],[BatchID]]))</f>
        <v>45374</v>
      </c>
    </row>
    <row r="343" spans="2:17" x14ac:dyDescent="0.25">
      <c r="B343" s="2" t="s">
        <v>1147</v>
      </c>
      <c r="C343" s="2" t="s">
        <v>136</v>
      </c>
      <c r="D343" s="2" t="s">
        <v>122</v>
      </c>
      <c r="E343" s="2" t="s">
        <v>4647</v>
      </c>
      <c r="F343" s="2">
        <v>16</v>
      </c>
      <c r="G343" s="2">
        <v>16</v>
      </c>
      <c r="H343" s="2">
        <v>0</v>
      </c>
      <c r="I343" s="1">
        <v>0</v>
      </c>
      <c r="J343" s="26">
        <v>45394</v>
      </c>
      <c r="K343" s="22">
        <v>48000</v>
      </c>
      <c r="L343" s="18">
        <v>51.34</v>
      </c>
      <c r="M343" s="22">
        <v>33600</v>
      </c>
      <c r="N343" s="22">
        <v>14400</v>
      </c>
      <c r="O343" s="18">
        <v>15.4</v>
      </c>
      <c r="P343" s="52">
        <f>IF(COUNTIF(TblPurchases[BatchID],TblOutcomes[[#This Row],[BatchID]])&lt;&gt;1,"n.a.",TblOutcomes[[#This Row],[Qty Wasted]]*SUMIFS(TblPurchases[Unit Cost (CLP)],TblPurchases[BatchID],TblOutcomes[[#This Row],[BatchID]]))</f>
        <v>0</v>
      </c>
      <c r="Q343" s="51">
        <f>IF(COUNTIF(TblPurchases[BatchID],TblOutcomes[[#This Row],[BatchID]])&lt;&gt;1,"n.a.",SUMIFS(TblPurchases[Purchase Date],TblPurchases[BatchID],TblOutcomes[[#This Row],[BatchID]]))</f>
        <v>45387</v>
      </c>
    </row>
    <row r="344" spans="2:17" x14ac:dyDescent="0.25">
      <c r="B344" s="2" t="s">
        <v>1148</v>
      </c>
      <c r="C344" s="2" t="s">
        <v>136</v>
      </c>
      <c r="D344" s="2" t="s">
        <v>122</v>
      </c>
      <c r="E344" s="2" t="s">
        <v>4647</v>
      </c>
      <c r="F344" s="2">
        <v>15</v>
      </c>
      <c r="G344" s="2">
        <v>15</v>
      </c>
      <c r="H344" s="2">
        <v>0</v>
      </c>
      <c r="I344" s="1">
        <v>0</v>
      </c>
      <c r="J344" s="26">
        <v>45404</v>
      </c>
      <c r="K344" s="22">
        <v>45000</v>
      </c>
      <c r="L344" s="18">
        <v>48.13</v>
      </c>
      <c r="M344" s="22">
        <v>31500</v>
      </c>
      <c r="N344" s="22">
        <v>13500</v>
      </c>
      <c r="O344" s="18">
        <v>14.44</v>
      </c>
      <c r="P344" s="52">
        <f>IF(COUNTIF(TblPurchases[BatchID],TblOutcomes[[#This Row],[BatchID]])&lt;&gt;1,"n.a.",TblOutcomes[[#This Row],[Qty Wasted]]*SUMIFS(TblPurchases[Unit Cost (CLP)],TblPurchases[BatchID],TblOutcomes[[#This Row],[BatchID]]))</f>
        <v>0</v>
      </c>
      <c r="Q344" s="51">
        <f>IF(COUNTIF(TblPurchases[BatchID],TblOutcomes[[#This Row],[BatchID]])&lt;&gt;1,"n.a.",SUMIFS(TblPurchases[Purchase Date],TblPurchases[BatchID],TblOutcomes[[#This Row],[BatchID]]))</f>
        <v>45395</v>
      </c>
    </row>
    <row r="345" spans="2:17" x14ac:dyDescent="0.25">
      <c r="B345" s="2" t="s">
        <v>1149</v>
      </c>
      <c r="C345" s="2" t="s">
        <v>136</v>
      </c>
      <c r="D345" s="2" t="s">
        <v>122</v>
      </c>
      <c r="E345" s="2" t="s">
        <v>4647</v>
      </c>
      <c r="F345" s="2">
        <v>16</v>
      </c>
      <c r="G345" s="2">
        <v>16</v>
      </c>
      <c r="H345" s="2">
        <v>0</v>
      </c>
      <c r="I345" s="1">
        <v>0</v>
      </c>
      <c r="J345" s="26">
        <v>45412</v>
      </c>
      <c r="K345" s="22">
        <v>48000</v>
      </c>
      <c r="L345" s="18">
        <v>51.34</v>
      </c>
      <c r="M345" s="22">
        <v>33600</v>
      </c>
      <c r="N345" s="22">
        <v>14400</v>
      </c>
      <c r="O345" s="18">
        <v>15.4</v>
      </c>
      <c r="P345" s="52">
        <f>IF(COUNTIF(TblPurchases[BatchID],TblOutcomes[[#This Row],[BatchID]])&lt;&gt;1,"n.a.",TblOutcomes[[#This Row],[Qty Wasted]]*SUMIFS(TblPurchases[Unit Cost (CLP)],TblPurchases[BatchID],TblOutcomes[[#This Row],[BatchID]]))</f>
        <v>0</v>
      </c>
      <c r="Q345" s="51">
        <f>IF(COUNTIF(TblPurchases[BatchID],TblOutcomes[[#This Row],[BatchID]])&lt;&gt;1,"n.a.",SUMIFS(TblPurchases[Purchase Date],TblPurchases[BatchID],TblOutcomes[[#This Row],[BatchID]]))</f>
        <v>45404</v>
      </c>
    </row>
    <row r="346" spans="2:17" x14ac:dyDescent="0.25">
      <c r="B346" s="2" t="s">
        <v>1150</v>
      </c>
      <c r="C346" s="2" t="s">
        <v>136</v>
      </c>
      <c r="D346" s="2" t="s">
        <v>122</v>
      </c>
      <c r="E346" s="2" t="s">
        <v>4646</v>
      </c>
      <c r="F346" s="2">
        <v>14</v>
      </c>
      <c r="G346" s="2">
        <v>11.2</v>
      </c>
      <c r="H346" s="2">
        <v>2.8</v>
      </c>
      <c r="I346" s="1">
        <v>20</v>
      </c>
      <c r="J346" s="26">
        <v>45459</v>
      </c>
      <c r="K346" s="22">
        <v>33600</v>
      </c>
      <c r="L346" s="18">
        <v>35.94</v>
      </c>
      <c r="M346" s="22">
        <v>29400</v>
      </c>
      <c r="N346" s="22">
        <v>4200</v>
      </c>
      <c r="O346" s="18">
        <v>4.49</v>
      </c>
      <c r="P346" s="52">
        <f>IF(COUNTIF(TblPurchases[BatchID],TblOutcomes[[#This Row],[BatchID]])&lt;&gt;1,"n.a.",TblOutcomes[[#This Row],[Qty Wasted]]*SUMIFS(TblPurchases[Unit Cost (CLP)],TblPurchases[BatchID],TblOutcomes[[#This Row],[BatchID]]))</f>
        <v>5880</v>
      </c>
      <c r="Q346" s="51">
        <f>IF(COUNTIF(TblPurchases[BatchID],TblOutcomes[[#This Row],[BatchID]])&lt;&gt;1,"n.a.",SUMIFS(TblPurchases[Purchase Date],TblPurchases[BatchID],TblOutcomes[[#This Row],[BatchID]]))</f>
        <v>45414</v>
      </c>
    </row>
    <row r="347" spans="2:17" x14ac:dyDescent="0.25">
      <c r="B347" s="2" t="s">
        <v>1151</v>
      </c>
      <c r="C347" s="2" t="s">
        <v>136</v>
      </c>
      <c r="D347" s="2" t="s">
        <v>122</v>
      </c>
      <c r="E347" s="2" t="s">
        <v>4646</v>
      </c>
      <c r="F347" s="2">
        <v>15</v>
      </c>
      <c r="G347" s="2">
        <v>14.52</v>
      </c>
      <c r="H347" s="2">
        <v>0.48</v>
      </c>
      <c r="I347" s="1">
        <v>3.2</v>
      </c>
      <c r="J347" s="26">
        <v>45468</v>
      </c>
      <c r="K347" s="22">
        <v>43560</v>
      </c>
      <c r="L347" s="18">
        <v>46.59</v>
      </c>
      <c r="M347" s="22">
        <v>31500</v>
      </c>
      <c r="N347" s="22">
        <v>12060</v>
      </c>
      <c r="O347" s="18">
        <v>12.9</v>
      </c>
      <c r="P347" s="52">
        <f>IF(COUNTIF(TblPurchases[BatchID],TblOutcomes[[#This Row],[BatchID]])&lt;&gt;1,"n.a.",TblOutcomes[[#This Row],[Qty Wasted]]*SUMIFS(TblPurchases[Unit Cost (CLP)],TblPurchases[BatchID],TblOutcomes[[#This Row],[BatchID]]))</f>
        <v>1008</v>
      </c>
      <c r="Q347" s="51">
        <f>IF(COUNTIF(TblPurchases[BatchID],TblOutcomes[[#This Row],[BatchID]])&lt;&gt;1,"n.a.",SUMIFS(TblPurchases[Purchase Date],TblPurchases[BatchID],TblOutcomes[[#This Row],[BatchID]]))</f>
        <v>45423</v>
      </c>
    </row>
    <row r="348" spans="2:17" x14ac:dyDescent="0.25">
      <c r="B348" s="2" t="s">
        <v>1152</v>
      </c>
      <c r="C348" s="2" t="s">
        <v>136</v>
      </c>
      <c r="D348" s="2" t="s">
        <v>122</v>
      </c>
      <c r="E348" s="2" t="s">
        <v>4646</v>
      </c>
      <c r="F348" s="2">
        <v>15</v>
      </c>
      <c r="G348" s="2">
        <v>11.93</v>
      </c>
      <c r="H348" s="2">
        <v>3.07</v>
      </c>
      <c r="I348" s="1">
        <v>20.5</v>
      </c>
      <c r="J348" s="26">
        <v>45477</v>
      </c>
      <c r="K348" s="22">
        <v>35790</v>
      </c>
      <c r="L348" s="18">
        <v>38.28</v>
      </c>
      <c r="M348" s="22">
        <v>34500</v>
      </c>
      <c r="N348" s="22">
        <v>1290</v>
      </c>
      <c r="O348" s="18">
        <v>1.38</v>
      </c>
      <c r="P348" s="52">
        <f>IF(COUNTIF(TblPurchases[BatchID],TblOutcomes[[#This Row],[BatchID]])&lt;&gt;1,"n.a.",TblOutcomes[[#This Row],[Qty Wasted]]*SUMIFS(TblPurchases[Unit Cost (CLP)],TblPurchases[BatchID],TblOutcomes[[#This Row],[BatchID]]))</f>
        <v>7061</v>
      </c>
      <c r="Q348" s="51">
        <f>IF(COUNTIF(TblPurchases[BatchID],TblOutcomes[[#This Row],[BatchID]])&lt;&gt;1,"n.a.",SUMIFS(TblPurchases[Purchase Date],TblPurchases[BatchID],TblOutcomes[[#This Row],[BatchID]]))</f>
        <v>45432</v>
      </c>
    </row>
    <row r="349" spans="2:17" x14ac:dyDescent="0.25">
      <c r="B349" s="2" t="s">
        <v>1153</v>
      </c>
      <c r="C349" s="2" t="s">
        <v>136</v>
      </c>
      <c r="D349" s="2" t="s">
        <v>122</v>
      </c>
      <c r="E349" s="2" t="s">
        <v>4646</v>
      </c>
      <c r="F349" s="2">
        <v>16</v>
      </c>
      <c r="G349" s="2">
        <v>12.85</v>
      </c>
      <c r="H349" s="2">
        <v>3.15</v>
      </c>
      <c r="I349" s="1">
        <v>19.7</v>
      </c>
      <c r="J349" s="26">
        <v>45486</v>
      </c>
      <c r="K349" s="22">
        <v>38550</v>
      </c>
      <c r="L349" s="18">
        <v>41.23</v>
      </c>
      <c r="M349" s="22">
        <v>33600</v>
      </c>
      <c r="N349" s="22">
        <v>4950</v>
      </c>
      <c r="O349" s="18">
        <v>5.29</v>
      </c>
      <c r="P349" s="52">
        <f>IF(COUNTIF(TblPurchases[BatchID],TblOutcomes[[#This Row],[BatchID]])&lt;&gt;1,"n.a.",TblOutcomes[[#This Row],[Qty Wasted]]*SUMIFS(TblPurchases[Unit Cost (CLP)],TblPurchases[BatchID],TblOutcomes[[#This Row],[BatchID]]))</f>
        <v>6615</v>
      </c>
      <c r="Q349" s="51">
        <f>IF(COUNTIF(TblPurchases[BatchID],TblOutcomes[[#This Row],[BatchID]])&lt;&gt;1,"n.a.",SUMIFS(TblPurchases[Purchase Date],TblPurchases[BatchID],TblOutcomes[[#This Row],[BatchID]]))</f>
        <v>45441</v>
      </c>
    </row>
    <row r="350" spans="2:17" x14ac:dyDescent="0.25">
      <c r="B350" s="2" t="s">
        <v>1154</v>
      </c>
      <c r="C350" s="2" t="s">
        <v>136</v>
      </c>
      <c r="D350" s="2" t="s">
        <v>122</v>
      </c>
      <c r="E350" s="2" t="s">
        <v>4646</v>
      </c>
      <c r="F350" s="2">
        <v>15</v>
      </c>
      <c r="G350" s="2">
        <v>11.04</v>
      </c>
      <c r="H350" s="2">
        <v>3.96</v>
      </c>
      <c r="I350" s="1">
        <v>26.4</v>
      </c>
      <c r="J350" s="26">
        <v>45495</v>
      </c>
      <c r="K350" s="22">
        <v>33120</v>
      </c>
      <c r="L350" s="18">
        <v>35.42</v>
      </c>
      <c r="M350" s="22">
        <v>31500</v>
      </c>
      <c r="N350" s="22">
        <v>1620</v>
      </c>
      <c r="O350" s="18">
        <v>1.73</v>
      </c>
      <c r="P350" s="52">
        <f>IF(COUNTIF(TblPurchases[BatchID],TblOutcomes[[#This Row],[BatchID]])&lt;&gt;1,"n.a.",TblOutcomes[[#This Row],[Qty Wasted]]*SUMIFS(TblPurchases[Unit Cost (CLP)],TblPurchases[BatchID],TblOutcomes[[#This Row],[BatchID]]))</f>
        <v>8316</v>
      </c>
      <c r="Q350" s="51">
        <f>IF(COUNTIF(TblPurchases[BatchID],TblOutcomes[[#This Row],[BatchID]])&lt;&gt;1,"n.a.",SUMIFS(TblPurchases[Purchase Date],TblPurchases[BatchID],TblOutcomes[[#This Row],[BatchID]]))</f>
        <v>45450</v>
      </c>
    </row>
    <row r="351" spans="2:17" x14ac:dyDescent="0.25">
      <c r="B351" s="2" t="s">
        <v>1155</v>
      </c>
      <c r="C351" s="2" t="s">
        <v>136</v>
      </c>
      <c r="D351" s="2" t="s">
        <v>122</v>
      </c>
      <c r="E351" s="2" t="s">
        <v>4646</v>
      </c>
      <c r="F351" s="2">
        <v>16</v>
      </c>
      <c r="G351" s="2">
        <v>12.56</v>
      </c>
      <c r="H351" s="2">
        <v>3.44</v>
      </c>
      <c r="I351" s="1">
        <v>21.5</v>
      </c>
      <c r="J351" s="26">
        <v>45502</v>
      </c>
      <c r="K351" s="22">
        <v>37680</v>
      </c>
      <c r="L351" s="18">
        <v>40.299999999999997</v>
      </c>
      <c r="M351" s="22">
        <v>33600</v>
      </c>
      <c r="N351" s="22">
        <v>4080</v>
      </c>
      <c r="O351" s="18">
        <v>4.3600000000000003</v>
      </c>
      <c r="P351" s="52">
        <f>IF(COUNTIF(TblPurchases[BatchID],TblOutcomes[[#This Row],[BatchID]])&lt;&gt;1,"n.a.",TblOutcomes[[#This Row],[Qty Wasted]]*SUMIFS(TblPurchases[Unit Cost (CLP)],TblPurchases[BatchID],TblOutcomes[[#This Row],[BatchID]]))</f>
        <v>7224</v>
      </c>
      <c r="Q351" s="51">
        <f>IF(COUNTIF(TblPurchases[BatchID],TblOutcomes[[#This Row],[BatchID]])&lt;&gt;1,"n.a.",SUMIFS(TblPurchases[Purchase Date],TblPurchases[BatchID],TblOutcomes[[#This Row],[BatchID]]))</f>
        <v>45457</v>
      </c>
    </row>
    <row r="352" spans="2:17" x14ac:dyDescent="0.25">
      <c r="B352" s="2" t="s">
        <v>1156</v>
      </c>
      <c r="C352" s="2" t="s">
        <v>136</v>
      </c>
      <c r="D352" s="2" t="s">
        <v>122</v>
      </c>
      <c r="E352" s="2" t="s">
        <v>4647</v>
      </c>
      <c r="F352" s="2">
        <v>14</v>
      </c>
      <c r="G352" s="2">
        <v>14</v>
      </c>
      <c r="H352" s="2">
        <v>0</v>
      </c>
      <c r="I352" s="1">
        <v>0</v>
      </c>
      <c r="J352" s="26">
        <v>45473</v>
      </c>
      <c r="K352" s="22">
        <v>42000</v>
      </c>
      <c r="L352" s="18">
        <v>44.92</v>
      </c>
      <c r="M352" s="22">
        <v>29400</v>
      </c>
      <c r="N352" s="22">
        <v>12600</v>
      </c>
      <c r="O352" s="18">
        <v>13.48</v>
      </c>
      <c r="P352" s="52">
        <f>IF(COUNTIF(TblPurchases[BatchID],TblOutcomes[[#This Row],[BatchID]])&lt;&gt;1,"n.a.",TblOutcomes[[#This Row],[Qty Wasted]]*SUMIFS(TblPurchases[Unit Cost (CLP)],TblPurchases[BatchID],TblOutcomes[[#This Row],[BatchID]]))</f>
        <v>0</v>
      </c>
      <c r="Q352" s="51">
        <f>IF(COUNTIF(TblPurchases[BatchID],TblOutcomes[[#This Row],[BatchID]])&lt;&gt;1,"n.a.",SUMIFS(TblPurchases[Purchase Date],TblPurchases[BatchID],TblOutcomes[[#This Row],[BatchID]]))</f>
        <v>45464</v>
      </c>
    </row>
    <row r="353" spans="2:17" x14ac:dyDescent="0.25">
      <c r="B353" s="2" t="s">
        <v>1157</v>
      </c>
      <c r="C353" s="2" t="s">
        <v>136</v>
      </c>
      <c r="D353" s="2" t="s">
        <v>122</v>
      </c>
      <c r="E353" s="2" t="s">
        <v>4647</v>
      </c>
      <c r="F353" s="2">
        <v>13</v>
      </c>
      <c r="G353" s="2">
        <v>13</v>
      </c>
      <c r="H353" s="2">
        <v>0</v>
      </c>
      <c r="I353" s="1">
        <v>0</v>
      </c>
      <c r="J353" s="26">
        <v>45485</v>
      </c>
      <c r="K353" s="22">
        <v>39000</v>
      </c>
      <c r="L353" s="18">
        <v>41.71</v>
      </c>
      <c r="M353" s="22">
        <v>27300</v>
      </c>
      <c r="N353" s="22">
        <v>11700</v>
      </c>
      <c r="O353" s="18">
        <v>12.51</v>
      </c>
      <c r="P353" s="52">
        <f>IF(COUNTIF(TblPurchases[BatchID],TblOutcomes[[#This Row],[BatchID]])&lt;&gt;1,"n.a.",TblOutcomes[[#This Row],[Qty Wasted]]*SUMIFS(TblPurchases[Unit Cost (CLP)],TblPurchases[BatchID],TblOutcomes[[#This Row],[BatchID]]))</f>
        <v>0</v>
      </c>
      <c r="Q353" s="51">
        <f>IF(COUNTIF(TblPurchases[BatchID],TblOutcomes[[#This Row],[BatchID]])&lt;&gt;1,"n.a.",SUMIFS(TblPurchases[Purchase Date],TblPurchases[BatchID],TblOutcomes[[#This Row],[BatchID]]))</f>
        <v>45474</v>
      </c>
    </row>
    <row r="354" spans="2:17" x14ac:dyDescent="0.25">
      <c r="B354" s="2" t="s">
        <v>1158</v>
      </c>
      <c r="C354" s="2" t="s">
        <v>136</v>
      </c>
      <c r="D354" s="2" t="s">
        <v>122</v>
      </c>
      <c r="E354" s="2" t="s">
        <v>4646</v>
      </c>
      <c r="F354" s="2">
        <v>16</v>
      </c>
      <c r="G354" s="2">
        <v>15.07</v>
      </c>
      <c r="H354" s="2">
        <v>0.93</v>
      </c>
      <c r="I354" s="1">
        <v>5.8</v>
      </c>
      <c r="J354" s="26">
        <v>45530</v>
      </c>
      <c r="K354" s="22">
        <v>45210</v>
      </c>
      <c r="L354" s="18">
        <v>48.35</v>
      </c>
      <c r="M354" s="22">
        <v>33600</v>
      </c>
      <c r="N354" s="22">
        <v>11610</v>
      </c>
      <c r="O354" s="18">
        <v>12.42</v>
      </c>
      <c r="P354" s="52">
        <f>IF(COUNTIF(TblPurchases[BatchID],TblOutcomes[[#This Row],[BatchID]])&lt;&gt;1,"n.a.",TblOutcomes[[#This Row],[Qty Wasted]]*SUMIFS(TblPurchases[Unit Cost (CLP)],TblPurchases[BatchID],TblOutcomes[[#This Row],[BatchID]]))</f>
        <v>1953</v>
      </c>
      <c r="Q354" s="51">
        <f>IF(COUNTIF(TblPurchases[BatchID],TblOutcomes[[#This Row],[BatchID]])&lt;&gt;1,"n.a.",SUMIFS(TblPurchases[Purchase Date],TblPurchases[BatchID],TblOutcomes[[#This Row],[BatchID]]))</f>
        <v>45485</v>
      </c>
    </row>
    <row r="355" spans="2:17" x14ac:dyDescent="0.25">
      <c r="B355" s="2" t="s">
        <v>1159</v>
      </c>
      <c r="C355" s="2" t="s">
        <v>136</v>
      </c>
      <c r="D355" s="2" t="s">
        <v>122</v>
      </c>
      <c r="E355" s="2" t="s">
        <v>4646</v>
      </c>
      <c r="F355" s="2">
        <v>13</v>
      </c>
      <c r="G355" s="2">
        <v>9.18</v>
      </c>
      <c r="H355" s="2">
        <v>3.82</v>
      </c>
      <c r="I355" s="1">
        <v>29.4</v>
      </c>
      <c r="J355" s="26">
        <v>45540</v>
      </c>
      <c r="K355" s="22">
        <v>27540</v>
      </c>
      <c r="L355" s="18">
        <v>29.45</v>
      </c>
      <c r="M355" s="22">
        <v>27300</v>
      </c>
      <c r="N355" s="22">
        <v>240</v>
      </c>
      <c r="O355" s="18">
        <v>0.26</v>
      </c>
      <c r="P355" s="52">
        <f>IF(COUNTIF(TblPurchases[BatchID],TblOutcomes[[#This Row],[BatchID]])&lt;&gt;1,"n.a.",TblOutcomes[[#This Row],[Qty Wasted]]*SUMIFS(TblPurchases[Unit Cost (CLP)],TblPurchases[BatchID],TblOutcomes[[#This Row],[BatchID]]))</f>
        <v>8022</v>
      </c>
      <c r="Q355" s="51">
        <f>IF(COUNTIF(TblPurchases[BatchID],TblOutcomes[[#This Row],[BatchID]])&lt;&gt;1,"n.a.",SUMIFS(TblPurchases[Purchase Date],TblPurchases[BatchID],TblOutcomes[[#This Row],[BatchID]]))</f>
        <v>45495</v>
      </c>
    </row>
    <row r="356" spans="2:17" x14ac:dyDescent="0.25">
      <c r="B356" s="2" t="s">
        <v>1160</v>
      </c>
      <c r="C356" s="2" t="s">
        <v>136</v>
      </c>
      <c r="D356" s="2" t="s">
        <v>122</v>
      </c>
      <c r="E356" s="2" t="s">
        <v>4646</v>
      </c>
      <c r="F356" s="2">
        <v>14</v>
      </c>
      <c r="G356" s="2">
        <v>11.9</v>
      </c>
      <c r="H356" s="2">
        <v>2.1</v>
      </c>
      <c r="I356" s="1">
        <v>15</v>
      </c>
      <c r="J356" s="26">
        <v>45550</v>
      </c>
      <c r="K356" s="22">
        <v>35700</v>
      </c>
      <c r="L356" s="18">
        <v>38.18</v>
      </c>
      <c r="M356" s="22">
        <v>29400</v>
      </c>
      <c r="N356" s="22">
        <v>6300</v>
      </c>
      <c r="O356" s="18">
        <v>6.74</v>
      </c>
      <c r="P356" s="52">
        <f>IF(COUNTIF(TblPurchases[BatchID],TblOutcomes[[#This Row],[BatchID]])&lt;&gt;1,"n.a.",TblOutcomes[[#This Row],[Qty Wasted]]*SUMIFS(TblPurchases[Unit Cost (CLP)],TblPurchases[BatchID],TblOutcomes[[#This Row],[BatchID]]))</f>
        <v>4410</v>
      </c>
      <c r="Q356" s="51">
        <f>IF(COUNTIF(TblPurchases[BatchID],TblOutcomes[[#This Row],[BatchID]])&lt;&gt;1,"n.a.",SUMIFS(TblPurchases[Purchase Date],TblPurchases[BatchID],TblOutcomes[[#This Row],[BatchID]]))</f>
        <v>45505</v>
      </c>
    </row>
    <row r="357" spans="2:17" x14ac:dyDescent="0.25">
      <c r="B357" s="2" t="s">
        <v>1161</v>
      </c>
      <c r="C357" s="2" t="s">
        <v>136</v>
      </c>
      <c r="D357" s="2" t="s">
        <v>122</v>
      </c>
      <c r="E357" s="2" t="s">
        <v>4646</v>
      </c>
      <c r="F357" s="2">
        <v>16</v>
      </c>
      <c r="G357" s="2">
        <v>14.03</v>
      </c>
      <c r="H357" s="2">
        <v>1.97</v>
      </c>
      <c r="I357" s="1">
        <v>12.3</v>
      </c>
      <c r="J357" s="26">
        <v>45558</v>
      </c>
      <c r="K357" s="22">
        <v>42090</v>
      </c>
      <c r="L357" s="18">
        <v>45.02</v>
      </c>
      <c r="M357" s="22">
        <v>33600</v>
      </c>
      <c r="N357" s="22">
        <v>8490</v>
      </c>
      <c r="O357" s="18">
        <v>9.08</v>
      </c>
      <c r="P357" s="52">
        <f>IF(COUNTIF(TblPurchases[BatchID],TblOutcomes[[#This Row],[BatchID]])&lt;&gt;1,"n.a.",TblOutcomes[[#This Row],[Qty Wasted]]*SUMIFS(TblPurchases[Unit Cost (CLP)],TblPurchases[BatchID],TblOutcomes[[#This Row],[BatchID]]))</f>
        <v>4137</v>
      </c>
      <c r="Q357" s="51">
        <f>IF(COUNTIF(TblPurchases[BatchID],TblOutcomes[[#This Row],[BatchID]])&lt;&gt;1,"n.a.",SUMIFS(TblPurchases[Purchase Date],TblPurchases[BatchID],TblOutcomes[[#This Row],[BatchID]]))</f>
        <v>45513</v>
      </c>
    </row>
    <row r="358" spans="2:17" x14ac:dyDescent="0.25">
      <c r="B358" s="2" t="s">
        <v>1162</v>
      </c>
      <c r="C358" s="2" t="s">
        <v>136</v>
      </c>
      <c r="D358" s="2" t="s">
        <v>122</v>
      </c>
      <c r="E358" s="2" t="s">
        <v>4647</v>
      </c>
      <c r="F358" s="2">
        <v>15</v>
      </c>
      <c r="G358" s="2">
        <v>15</v>
      </c>
      <c r="H358" s="2">
        <v>0</v>
      </c>
      <c r="I358" s="1">
        <v>0</v>
      </c>
      <c r="J358" s="26">
        <v>45533</v>
      </c>
      <c r="K358" s="22">
        <v>45000</v>
      </c>
      <c r="L358" s="18">
        <v>48.13</v>
      </c>
      <c r="M358" s="22">
        <v>31500</v>
      </c>
      <c r="N358" s="22">
        <v>13500</v>
      </c>
      <c r="O358" s="18">
        <v>14.44</v>
      </c>
      <c r="P358" s="52">
        <f>IF(COUNTIF(TblPurchases[BatchID],TblOutcomes[[#This Row],[BatchID]])&lt;&gt;1,"n.a.",TblOutcomes[[#This Row],[Qty Wasted]]*SUMIFS(TblPurchases[Unit Cost (CLP)],TblPurchases[BatchID],TblOutcomes[[#This Row],[BatchID]]))</f>
        <v>0</v>
      </c>
      <c r="Q358" s="51">
        <f>IF(COUNTIF(TblPurchases[BatchID],TblOutcomes[[#This Row],[BatchID]])&lt;&gt;1,"n.a.",SUMIFS(TblPurchases[Purchase Date],TblPurchases[BatchID],TblOutcomes[[#This Row],[BatchID]]))</f>
        <v>45523</v>
      </c>
    </row>
    <row r="359" spans="2:17" x14ac:dyDescent="0.25">
      <c r="B359" s="2" t="s">
        <v>1163</v>
      </c>
      <c r="C359" s="2" t="s">
        <v>136</v>
      </c>
      <c r="D359" s="2" t="s">
        <v>122</v>
      </c>
      <c r="E359" s="2" t="s">
        <v>4646</v>
      </c>
      <c r="F359" s="2">
        <v>13</v>
      </c>
      <c r="G359" s="2">
        <v>10.46</v>
      </c>
      <c r="H359" s="2">
        <v>2.54</v>
      </c>
      <c r="I359" s="1">
        <v>19.5</v>
      </c>
      <c r="J359" s="26">
        <v>45580</v>
      </c>
      <c r="K359" s="22">
        <v>31380</v>
      </c>
      <c r="L359" s="18">
        <v>33.56</v>
      </c>
      <c r="M359" s="22">
        <v>27300</v>
      </c>
      <c r="N359" s="22">
        <v>4080</v>
      </c>
      <c r="O359" s="18">
        <v>4.3600000000000003</v>
      </c>
      <c r="P359" s="52">
        <f>IF(COUNTIF(TblPurchases[BatchID],TblOutcomes[[#This Row],[BatchID]])&lt;&gt;1,"n.a.",TblOutcomes[[#This Row],[Qty Wasted]]*SUMIFS(TblPurchases[Unit Cost (CLP)],TblPurchases[BatchID],TblOutcomes[[#This Row],[BatchID]]))</f>
        <v>5334</v>
      </c>
      <c r="Q359" s="51">
        <f>IF(COUNTIF(TblPurchases[BatchID],TblOutcomes[[#This Row],[BatchID]])&lt;&gt;1,"n.a.",SUMIFS(TblPurchases[Purchase Date],TblPurchases[BatchID],TblOutcomes[[#This Row],[BatchID]]))</f>
        <v>45535</v>
      </c>
    </row>
    <row r="360" spans="2:17" x14ac:dyDescent="0.25">
      <c r="B360" s="2" t="s">
        <v>1164</v>
      </c>
      <c r="C360" s="2" t="s">
        <v>136</v>
      </c>
      <c r="D360" s="2" t="s">
        <v>122</v>
      </c>
      <c r="E360" s="2" t="s">
        <v>4646</v>
      </c>
      <c r="F360" s="2">
        <v>20</v>
      </c>
      <c r="G360" s="2">
        <v>16.82</v>
      </c>
      <c r="H360" s="2">
        <v>3.18</v>
      </c>
      <c r="I360" s="1">
        <v>15.9</v>
      </c>
      <c r="J360" s="26">
        <v>45589</v>
      </c>
      <c r="K360" s="22">
        <v>50460</v>
      </c>
      <c r="L360" s="18">
        <v>53.97</v>
      </c>
      <c r="M360" s="22">
        <v>42000</v>
      </c>
      <c r="N360" s="22">
        <v>8460</v>
      </c>
      <c r="O360" s="18">
        <v>9.0500000000000007</v>
      </c>
      <c r="P360" s="52">
        <f>IF(COUNTIF(TblPurchases[BatchID],TblOutcomes[[#This Row],[BatchID]])&lt;&gt;1,"n.a.",TblOutcomes[[#This Row],[Qty Wasted]]*SUMIFS(TblPurchases[Unit Cost (CLP)],TblPurchases[BatchID],TblOutcomes[[#This Row],[BatchID]]))</f>
        <v>6678</v>
      </c>
      <c r="Q360" s="51">
        <f>IF(COUNTIF(TblPurchases[BatchID],TblOutcomes[[#This Row],[BatchID]])&lt;&gt;1,"n.a.",SUMIFS(TblPurchases[Purchase Date],TblPurchases[BatchID],TblOutcomes[[#This Row],[BatchID]]))</f>
        <v>45544</v>
      </c>
    </row>
    <row r="361" spans="2:17" x14ac:dyDescent="0.25">
      <c r="B361" s="2" t="s">
        <v>1165</v>
      </c>
      <c r="C361" s="2" t="s">
        <v>136</v>
      </c>
      <c r="D361" s="2" t="s">
        <v>122</v>
      </c>
      <c r="E361" s="2" t="s">
        <v>4647</v>
      </c>
      <c r="F361" s="2">
        <v>21</v>
      </c>
      <c r="G361" s="2">
        <v>21</v>
      </c>
      <c r="H361" s="2">
        <v>0</v>
      </c>
      <c r="I361" s="1">
        <v>0</v>
      </c>
      <c r="J361" s="26">
        <v>45561</v>
      </c>
      <c r="K361" s="22">
        <v>63000</v>
      </c>
      <c r="L361" s="18">
        <v>67.38</v>
      </c>
      <c r="M361" s="22">
        <v>44100</v>
      </c>
      <c r="N361" s="22">
        <v>18900</v>
      </c>
      <c r="O361" s="18">
        <v>20.21</v>
      </c>
      <c r="P361" s="52">
        <f>IF(COUNTIF(TblPurchases[BatchID],TblOutcomes[[#This Row],[BatchID]])&lt;&gt;1,"n.a.",TblOutcomes[[#This Row],[Qty Wasted]]*SUMIFS(TblPurchases[Unit Cost (CLP)],TblPurchases[BatchID],TblOutcomes[[#This Row],[BatchID]]))</f>
        <v>0</v>
      </c>
      <c r="Q361" s="51">
        <f>IF(COUNTIF(TblPurchases[BatchID],TblOutcomes[[#This Row],[BatchID]])&lt;&gt;1,"n.a.",SUMIFS(TblPurchases[Purchase Date],TblPurchases[BatchID],TblOutcomes[[#This Row],[BatchID]]))</f>
        <v>45552</v>
      </c>
    </row>
    <row r="362" spans="2:17" x14ac:dyDescent="0.25">
      <c r="B362" s="2" t="s">
        <v>1166</v>
      </c>
      <c r="C362" s="2" t="s">
        <v>136</v>
      </c>
      <c r="D362" s="2" t="s">
        <v>122</v>
      </c>
      <c r="E362" s="2" t="s">
        <v>4646</v>
      </c>
      <c r="F362" s="2">
        <v>16</v>
      </c>
      <c r="G362" s="2">
        <v>14.64</v>
      </c>
      <c r="H362" s="2">
        <v>1.36</v>
      </c>
      <c r="I362" s="1">
        <v>8.5</v>
      </c>
      <c r="J362" s="26">
        <v>45609</v>
      </c>
      <c r="K362" s="22">
        <v>43920</v>
      </c>
      <c r="L362" s="18">
        <v>46.97</v>
      </c>
      <c r="M362" s="22">
        <v>33600</v>
      </c>
      <c r="N362" s="22">
        <v>10320</v>
      </c>
      <c r="O362" s="18">
        <v>11.04</v>
      </c>
      <c r="P362" s="52">
        <f>IF(COUNTIF(TblPurchases[BatchID],TblOutcomes[[#This Row],[BatchID]])&lt;&gt;1,"n.a.",TblOutcomes[[#This Row],[Qty Wasted]]*SUMIFS(TblPurchases[Unit Cost (CLP)],TblPurchases[BatchID],TblOutcomes[[#This Row],[BatchID]]))</f>
        <v>2856</v>
      </c>
      <c r="Q362" s="51">
        <f>IF(COUNTIF(TblPurchases[BatchID],TblOutcomes[[#This Row],[BatchID]])&lt;&gt;1,"n.a.",SUMIFS(TblPurchases[Purchase Date],TblPurchases[BatchID],TblOutcomes[[#This Row],[BatchID]]))</f>
        <v>45564</v>
      </c>
    </row>
    <row r="363" spans="2:17" x14ac:dyDescent="0.25">
      <c r="B363" s="2" t="s">
        <v>1167</v>
      </c>
      <c r="C363" s="2" t="s">
        <v>136</v>
      </c>
      <c r="D363" s="2" t="s">
        <v>122</v>
      </c>
      <c r="E363" s="2" t="s">
        <v>4647</v>
      </c>
      <c r="F363" s="2">
        <v>38</v>
      </c>
      <c r="G363" s="2">
        <v>38</v>
      </c>
      <c r="H363" s="2">
        <v>0</v>
      </c>
      <c r="I363" s="1">
        <v>0</v>
      </c>
      <c r="J363" s="26">
        <v>45589</v>
      </c>
      <c r="K363" s="22">
        <v>114000</v>
      </c>
      <c r="L363" s="18">
        <v>121.93</v>
      </c>
      <c r="M363" s="22">
        <v>79800</v>
      </c>
      <c r="N363" s="22">
        <v>34200</v>
      </c>
      <c r="O363" s="18">
        <v>36.58</v>
      </c>
      <c r="P363" s="52">
        <f>IF(COUNTIF(TblPurchases[BatchID],TblOutcomes[[#This Row],[BatchID]])&lt;&gt;1,"n.a.",TblOutcomes[[#This Row],[Qty Wasted]]*SUMIFS(TblPurchases[Unit Cost (CLP)],TblPurchases[BatchID],TblOutcomes[[#This Row],[BatchID]]))</f>
        <v>0</v>
      </c>
      <c r="Q363" s="51">
        <f>IF(COUNTIF(TblPurchases[BatchID],TblOutcomes[[#This Row],[BatchID]])&lt;&gt;1,"n.a.",SUMIFS(TblPurchases[Purchase Date],TblPurchases[BatchID],TblOutcomes[[#This Row],[BatchID]]))</f>
        <v>45577</v>
      </c>
    </row>
    <row r="364" spans="2:17" x14ac:dyDescent="0.25">
      <c r="B364" s="2" t="s">
        <v>1168</v>
      </c>
      <c r="C364" s="2" t="s">
        <v>136</v>
      </c>
      <c r="D364" s="2" t="s">
        <v>122</v>
      </c>
      <c r="E364" s="2" t="s">
        <v>4647</v>
      </c>
      <c r="F364" s="2">
        <v>43</v>
      </c>
      <c r="G364" s="2">
        <v>43</v>
      </c>
      <c r="H364" s="2">
        <v>0</v>
      </c>
      <c r="I364" s="1">
        <v>0</v>
      </c>
      <c r="J364" s="26">
        <v>45599</v>
      </c>
      <c r="K364" s="22">
        <v>129000</v>
      </c>
      <c r="L364" s="18">
        <v>137.97</v>
      </c>
      <c r="M364" s="22">
        <v>90300</v>
      </c>
      <c r="N364" s="22">
        <v>38700</v>
      </c>
      <c r="O364" s="18">
        <v>41.39</v>
      </c>
      <c r="P364" s="52">
        <f>IF(COUNTIF(TblPurchases[BatchID],TblOutcomes[[#This Row],[BatchID]])&lt;&gt;1,"n.a.",TblOutcomes[[#This Row],[Qty Wasted]]*SUMIFS(TblPurchases[Unit Cost (CLP)],TblPurchases[BatchID],TblOutcomes[[#This Row],[BatchID]]))</f>
        <v>0</v>
      </c>
      <c r="Q364" s="51">
        <f>IF(COUNTIF(TblPurchases[BatchID],TblOutcomes[[#This Row],[BatchID]])&lt;&gt;1,"n.a.",SUMIFS(TblPurchases[Purchase Date],TblPurchases[BatchID],TblOutcomes[[#This Row],[BatchID]]))</f>
        <v>45587</v>
      </c>
    </row>
    <row r="365" spans="2:17" x14ac:dyDescent="0.25">
      <c r="B365" s="2" t="s">
        <v>1169</v>
      </c>
      <c r="C365" s="2" t="s">
        <v>136</v>
      </c>
      <c r="D365" s="2" t="s">
        <v>122</v>
      </c>
      <c r="E365" s="2" t="s">
        <v>4647</v>
      </c>
      <c r="F365" s="2">
        <v>41</v>
      </c>
      <c r="G365" s="2">
        <v>41</v>
      </c>
      <c r="H365" s="2">
        <v>0</v>
      </c>
      <c r="I365" s="1">
        <v>0</v>
      </c>
      <c r="J365" s="26">
        <v>45604</v>
      </c>
      <c r="K365" s="22">
        <v>123000</v>
      </c>
      <c r="L365" s="18">
        <v>131.55000000000001</v>
      </c>
      <c r="M365" s="22">
        <v>86100</v>
      </c>
      <c r="N365" s="22">
        <v>36900</v>
      </c>
      <c r="O365" s="18">
        <v>39.47</v>
      </c>
      <c r="P365" s="52">
        <f>IF(COUNTIF(TblPurchases[BatchID],TblOutcomes[[#This Row],[BatchID]])&lt;&gt;1,"n.a.",TblOutcomes[[#This Row],[Qty Wasted]]*SUMIFS(TblPurchases[Unit Cost (CLP)],TblPurchases[BatchID],TblOutcomes[[#This Row],[BatchID]]))</f>
        <v>0</v>
      </c>
      <c r="Q365" s="51">
        <f>IF(COUNTIF(TblPurchases[BatchID],TblOutcomes[[#This Row],[BatchID]])&lt;&gt;1,"n.a.",SUMIFS(TblPurchases[Purchase Date],TblPurchases[BatchID],TblOutcomes[[#This Row],[BatchID]]))</f>
        <v>45597</v>
      </c>
    </row>
    <row r="366" spans="2:17" x14ac:dyDescent="0.25">
      <c r="B366" s="2" t="s">
        <v>1170</v>
      </c>
      <c r="C366" s="2" t="s">
        <v>136</v>
      </c>
      <c r="D366" s="2" t="s">
        <v>122</v>
      </c>
      <c r="E366" s="2" t="s">
        <v>4647</v>
      </c>
      <c r="F366" s="2">
        <v>40</v>
      </c>
      <c r="G366" s="2">
        <v>40</v>
      </c>
      <c r="H366" s="2">
        <v>0</v>
      </c>
      <c r="I366" s="1">
        <v>0</v>
      </c>
      <c r="J366" s="26">
        <v>45611</v>
      </c>
      <c r="K366" s="22">
        <v>120000</v>
      </c>
      <c r="L366" s="18">
        <v>128.34</v>
      </c>
      <c r="M366" s="22">
        <v>84000</v>
      </c>
      <c r="N366" s="22">
        <v>36000</v>
      </c>
      <c r="O366" s="18">
        <v>38.5</v>
      </c>
      <c r="P366" s="52">
        <f>IF(COUNTIF(TblPurchases[BatchID],TblOutcomes[[#This Row],[BatchID]])&lt;&gt;1,"n.a.",TblOutcomes[[#This Row],[Qty Wasted]]*SUMIFS(TblPurchases[Unit Cost (CLP)],TblPurchases[BatchID],TblOutcomes[[#This Row],[BatchID]]))</f>
        <v>0</v>
      </c>
      <c r="Q366" s="51">
        <f>IF(COUNTIF(TblPurchases[BatchID],TblOutcomes[[#This Row],[BatchID]])&lt;&gt;1,"n.a.",SUMIFS(TblPurchases[Purchase Date],TblPurchases[BatchID],TblOutcomes[[#This Row],[BatchID]]))</f>
        <v>45604</v>
      </c>
    </row>
    <row r="367" spans="2:17" x14ac:dyDescent="0.25">
      <c r="B367" s="2" t="s">
        <v>1171</v>
      </c>
      <c r="C367" s="2" t="s">
        <v>136</v>
      </c>
      <c r="D367" s="2" t="s">
        <v>122</v>
      </c>
      <c r="E367" s="2" t="s">
        <v>4647</v>
      </c>
      <c r="F367" s="2">
        <v>37</v>
      </c>
      <c r="G367" s="2">
        <v>37</v>
      </c>
      <c r="H367" s="2">
        <v>0</v>
      </c>
      <c r="I367" s="1">
        <v>0</v>
      </c>
      <c r="J367" s="26">
        <v>45622</v>
      </c>
      <c r="K367" s="22">
        <v>111000</v>
      </c>
      <c r="L367" s="18">
        <v>118.72</v>
      </c>
      <c r="M367" s="22">
        <v>77700</v>
      </c>
      <c r="N367" s="22">
        <v>33300</v>
      </c>
      <c r="O367" s="18">
        <v>35.61</v>
      </c>
      <c r="P367" s="52">
        <f>IF(COUNTIF(TblPurchases[BatchID],TblOutcomes[[#This Row],[BatchID]])&lt;&gt;1,"n.a.",TblOutcomes[[#This Row],[Qty Wasted]]*SUMIFS(TblPurchases[Unit Cost (CLP)],TblPurchases[BatchID],TblOutcomes[[#This Row],[BatchID]]))</f>
        <v>0</v>
      </c>
      <c r="Q367" s="51">
        <f>IF(COUNTIF(TblPurchases[BatchID],TblOutcomes[[#This Row],[BatchID]])&lt;&gt;1,"n.a.",SUMIFS(TblPurchases[Purchase Date],TblPurchases[BatchID],TblOutcomes[[#This Row],[BatchID]]))</f>
        <v>45613</v>
      </c>
    </row>
    <row r="368" spans="2:17" x14ac:dyDescent="0.25">
      <c r="B368" s="2" t="s">
        <v>1172</v>
      </c>
      <c r="C368" s="2" t="s">
        <v>136</v>
      </c>
      <c r="D368" s="2" t="s">
        <v>122</v>
      </c>
      <c r="E368" s="2" t="s">
        <v>4647</v>
      </c>
      <c r="F368" s="2">
        <v>35</v>
      </c>
      <c r="G368" s="2">
        <v>35</v>
      </c>
      <c r="H368" s="2">
        <v>0</v>
      </c>
      <c r="I368" s="1">
        <v>0</v>
      </c>
      <c r="J368" s="26">
        <v>45634</v>
      </c>
      <c r="K368" s="22">
        <v>105000</v>
      </c>
      <c r="L368" s="18">
        <v>112.3</v>
      </c>
      <c r="M368" s="22">
        <v>73500</v>
      </c>
      <c r="N368" s="22">
        <v>31500</v>
      </c>
      <c r="O368" s="18">
        <v>33.69</v>
      </c>
      <c r="P368" s="52">
        <f>IF(COUNTIF(TblPurchases[BatchID],TblOutcomes[[#This Row],[BatchID]])&lt;&gt;1,"n.a.",TblOutcomes[[#This Row],[Qty Wasted]]*SUMIFS(TblPurchases[Unit Cost (CLP)],TblPurchases[BatchID],TblOutcomes[[#This Row],[BatchID]]))</f>
        <v>0</v>
      </c>
      <c r="Q368" s="51">
        <f>IF(COUNTIF(TblPurchases[BatchID],TblOutcomes[[#This Row],[BatchID]])&lt;&gt;1,"n.a.",SUMIFS(TblPurchases[Purchase Date],TblPurchases[BatchID],TblOutcomes[[#This Row],[BatchID]]))</f>
        <v>45622</v>
      </c>
    </row>
    <row r="369" spans="2:17" x14ac:dyDescent="0.25">
      <c r="B369" s="2" t="s">
        <v>1173</v>
      </c>
      <c r="C369" s="2" t="s">
        <v>136</v>
      </c>
      <c r="D369" s="2" t="s">
        <v>122</v>
      </c>
      <c r="E369" s="2" t="s">
        <v>4647</v>
      </c>
      <c r="F369" s="2">
        <v>55</v>
      </c>
      <c r="G369" s="2">
        <v>55</v>
      </c>
      <c r="H369" s="2">
        <v>0</v>
      </c>
      <c r="I369" s="1">
        <v>0</v>
      </c>
      <c r="J369" s="26">
        <v>45641</v>
      </c>
      <c r="K369" s="22">
        <v>165000</v>
      </c>
      <c r="L369" s="18">
        <v>176.47</v>
      </c>
      <c r="M369" s="22">
        <v>115500</v>
      </c>
      <c r="N369" s="22">
        <v>49500</v>
      </c>
      <c r="O369" s="18">
        <v>52.94</v>
      </c>
      <c r="P369" s="52">
        <f>IF(COUNTIF(TblPurchases[BatchID],TblOutcomes[[#This Row],[BatchID]])&lt;&gt;1,"n.a.",TblOutcomes[[#This Row],[Qty Wasted]]*SUMIFS(TblPurchases[Unit Cost (CLP)],TblPurchases[BatchID],TblOutcomes[[#This Row],[BatchID]]))</f>
        <v>0</v>
      </c>
      <c r="Q369" s="51">
        <f>IF(COUNTIF(TblPurchases[BatchID],TblOutcomes[[#This Row],[BatchID]])&lt;&gt;1,"n.a.",SUMIFS(TblPurchases[Purchase Date],TblPurchases[BatchID],TblOutcomes[[#This Row],[BatchID]]))</f>
        <v>45632</v>
      </c>
    </row>
    <row r="370" spans="2:17" x14ac:dyDescent="0.25">
      <c r="B370" s="2" t="s">
        <v>1174</v>
      </c>
      <c r="C370" s="2" t="s">
        <v>136</v>
      </c>
      <c r="D370" s="2" t="s">
        <v>122</v>
      </c>
      <c r="E370" s="2" t="s">
        <v>4646</v>
      </c>
      <c r="F370" s="2">
        <v>52</v>
      </c>
      <c r="G370" s="2">
        <v>35.880000000000003</v>
      </c>
      <c r="H370" s="2">
        <v>16.12</v>
      </c>
      <c r="I370" s="1">
        <v>31</v>
      </c>
      <c r="J370" s="26">
        <v>45688</v>
      </c>
      <c r="K370" s="22">
        <v>107640</v>
      </c>
      <c r="L370" s="18">
        <v>115.12</v>
      </c>
      <c r="M370" s="22">
        <v>109200</v>
      </c>
      <c r="N370" s="22">
        <v>-1560</v>
      </c>
      <c r="O370" s="18">
        <v>-1.67</v>
      </c>
      <c r="P370" s="52">
        <f>IF(COUNTIF(TblPurchases[BatchID],TblOutcomes[[#This Row],[BatchID]])&lt;&gt;1,"n.a.",TblOutcomes[[#This Row],[Qty Wasted]]*SUMIFS(TblPurchases[Unit Cost (CLP)],TblPurchases[BatchID],TblOutcomes[[#This Row],[BatchID]]))</f>
        <v>33852</v>
      </c>
      <c r="Q370" s="51">
        <f>IF(COUNTIF(TblPurchases[BatchID],TblOutcomes[[#This Row],[BatchID]])&lt;&gt;1,"n.a.",SUMIFS(TblPurchases[Purchase Date],TblPurchases[BatchID],TblOutcomes[[#This Row],[BatchID]]))</f>
        <v>45643</v>
      </c>
    </row>
    <row r="371" spans="2:17" x14ac:dyDescent="0.25">
      <c r="B371" s="2" t="s">
        <v>1175</v>
      </c>
      <c r="C371" s="2" t="s">
        <v>136</v>
      </c>
      <c r="D371" s="2" t="s">
        <v>122</v>
      </c>
      <c r="E371" s="2" t="s">
        <v>4647</v>
      </c>
      <c r="F371" s="2">
        <v>50</v>
      </c>
      <c r="G371" s="2">
        <v>50</v>
      </c>
      <c r="H371" s="2">
        <v>0</v>
      </c>
      <c r="I371" s="1">
        <v>0</v>
      </c>
      <c r="J371" s="26">
        <v>45664</v>
      </c>
      <c r="K371" s="22">
        <v>150000</v>
      </c>
      <c r="L371" s="18">
        <v>160.43</v>
      </c>
      <c r="M371" s="22">
        <v>105000</v>
      </c>
      <c r="N371" s="22">
        <v>45000</v>
      </c>
      <c r="O371" s="18">
        <v>48.13</v>
      </c>
      <c r="P371" s="52">
        <f>IF(COUNTIF(TblPurchases[BatchID],TblOutcomes[[#This Row],[BatchID]])&lt;&gt;1,"n.a.",TblOutcomes[[#This Row],[Qty Wasted]]*SUMIFS(TblPurchases[Unit Cost (CLP)],TblPurchases[BatchID],TblOutcomes[[#This Row],[BatchID]]))</f>
        <v>0</v>
      </c>
      <c r="Q371" s="51">
        <f>IF(COUNTIF(TblPurchases[BatchID],TblOutcomes[[#This Row],[BatchID]])&lt;&gt;1,"n.a.",SUMIFS(TblPurchases[Purchase Date],TblPurchases[BatchID],TblOutcomes[[#This Row],[BatchID]]))</f>
        <v>45654</v>
      </c>
    </row>
    <row r="372" spans="2:17" x14ac:dyDescent="0.25">
      <c r="B372" s="2" t="s">
        <v>1176</v>
      </c>
      <c r="C372" s="2" t="s">
        <v>136</v>
      </c>
      <c r="D372" s="2" t="s">
        <v>122</v>
      </c>
      <c r="E372" s="2" t="s">
        <v>4647</v>
      </c>
      <c r="F372" s="2">
        <v>40</v>
      </c>
      <c r="G372" s="2">
        <v>40</v>
      </c>
      <c r="H372" s="2">
        <v>0</v>
      </c>
      <c r="I372" s="1">
        <v>0</v>
      </c>
      <c r="J372" s="26">
        <v>45677</v>
      </c>
      <c r="K372" s="22">
        <v>120000</v>
      </c>
      <c r="L372" s="18">
        <v>128.34</v>
      </c>
      <c r="M372" s="22">
        <v>92000</v>
      </c>
      <c r="N372" s="22">
        <v>28000</v>
      </c>
      <c r="O372" s="18">
        <v>29.95</v>
      </c>
      <c r="P372" s="52">
        <f>IF(COUNTIF(TblPurchases[BatchID],TblOutcomes[[#This Row],[BatchID]])&lt;&gt;1,"n.a.",TblOutcomes[[#This Row],[Qty Wasted]]*SUMIFS(TblPurchases[Unit Cost (CLP)],TblPurchases[BatchID],TblOutcomes[[#This Row],[BatchID]]))</f>
        <v>0</v>
      </c>
      <c r="Q372" s="51">
        <f>IF(COUNTIF(TblPurchases[BatchID],TblOutcomes[[#This Row],[BatchID]])&lt;&gt;1,"n.a.",SUMIFS(TblPurchases[Purchase Date],TblPurchases[BatchID],TblOutcomes[[#This Row],[BatchID]]))</f>
        <v>45667</v>
      </c>
    </row>
    <row r="373" spans="2:17" x14ac:dyDescent="0.25">
      <c r="B373" s="2" t="s">
        <v>1177</v>
      </c>
      <c r="C373" s="2" t="s">
        <v>136</v>
      </c>
      <c r="D373" s="2" t="s">
        <v>122</v>
      </c>
      <c r="E373" s="2" t="s">
        <v>4647</v>
      </c>
      <c r="F373" s="2">
        <v>48</v>
      </c>
      <c r="G373" s="2">
        <v>48</v>
      </c>
      <c r="H373" s="2">
        <v>0</v>
      </c>
      <c r="I373" s="1">
        <v>0</v>
      </c>
      <c r="J373" s="26">
        <v>45687</v>
      </c>
      <c r="K373" s="22">
        <v>144000</v>
      </c>
      <c r="L373" s="18">
        <v>154.01</v>
      </c>
      <c r="M373" s="22">
        <v>100800</v>
      </c>
      <c r="N373" s="22">
        <v>43200</v>
      </c>
      <c r="O373" s="18">
        <v>46.2</v>
      </c>
      <c r="P373" s="52">
        <f>IF(COUNTIF(TblPurchases[BatchID],TblOutcomes[[#This Row],[BatchID]])&lt;&gt;1,"n.a.",TblOutcomes[[#This Row],[Qty Wasted]]*SUMIFS(TblPurchases[Unit Cost (CLP)],TblPurchases[BatchID],TblOutcomes[[#This Row],[BatchID]]))</f>
        <v>0</v>
      </c>
      <c r="Q373" s="51">
        <f>IF(COUNTIF(TblPurchases[BatchID],TblOutcomes[[#This Row],[BatchID]])&lt;&gt;1,"n.a.",SUMIFS(TblPurchases[Purchase Date],TblPurchases[BatchID],TblOutcomes[[#This Row],[BatchID]]))</f>
        <v>45677</v>
      </c>
    </row>
    <row r="374" spans="2:17" x14ac:dyDescent="0.25">
      <c r="B374" s="2" t="s">
        <v>1178</v>
      </c>
      <c r="C374" s="2" t="s">
        <v>136</v>
      </c>
      <c r="D374" s="2" t="s">
        <v>122</v>
      </c>
      <c r="E374" s="2" t="s">
        <v>4647</v>
      </c>
      <c r="F374" s="2">
        <v>41</v>
      </c>
      <c r="G374" s="2">
        <v>41</v>
      </c>
      <c r="H374" s="2">
        <v>0</v>
      </c>
      <c r="I374" s="1">
        <v>0</v>
      </c>
      <c r="J374" s="26">
        <v>45689</v>
      </c>
      <c r="K374" s="22">
        <v>123000</v>
      </c>
      <c r="L374" s="18">
        <v>131.55000000000001</v>
      </c>
      <c r="M374" s="22">
        <v>86100</v>
      </c>
      <c r="N374" s="22">
        <v>36900</v>
      </c>
      <c r="O374" s="18">
        <v>39.47</v>
      </c>
      <c r="P374" s="52">
        <f>IF(COUNTIF(TblPurchases[BatchID],TblOutcomes[[#This Row],[BatchID]])&lt;&gt;1,"n.a.",TblOutcomes[[#This Row],[Qty Wasted]]*SUMIFS(TblPurchases[Unit Cost (CLP)],TblPurchases[BatchID],TblOutcomes[[#This Row],[BatchID]]))</f>
        <v>0</v>
      </c>
      <c r="Q374" s="51">
        <f>IF(COUNTIF(TblPurchases[BatchID],TblOutcomes[[#This Row],[BatchID]])&lt;&gt;1,"n.a.",SUMIFS(TblPurchases[Purchase Date],TblPurchases[BatchID],TblOutcomes[[#This Row],[BatchID]]))</f>
        <v>45684</v>
      </c>
    </row>
    <row r="375" spans="2:17" x14ac:dyDescent="0.25">
      <c r="B375" s="2" t="s">
        <v>1179</v>
      </c>
      <c r="C375" s="2" t="s">
        <v>136</v>
      </c>
      <c r="D375" s="2" t="s">
        <v>122</v>
      </c>
      <c r="E375" s="2" t="s">
        <v>4647</v>
      </c>
      <c r="F375" s="2">
        <v>49</v>
      </c>
      <c r="G375" s="2">
        <v>49</v>
      </c>
      <c r="H375" s="2">
        <v>0</v>
      </c>
      <c r="I375" s="1">
        <v>0</v>
      </c>
      <c r="J375" s="26">
        <v>45703</v>
      </c>
      <c r="K375" s="22">
        <v>147000</v>
      </c>
      <c r="L375" s="18">
        <v>157.22</v>
      </c>
      <c r="M375" s="22">
        <v>102900</v>
      </c>
      <c r="N375" s="22">
        <v>44100</v>
      </c>
      <c r="O375" s="18">
        <v>47.17</v>
      </c>
      <c r="P375" s="52">
        <f>IF(COUNTIF(TblPurchases[BatchID],TblOutcomes[[#This Row],[BatchID]])&lt;&gt;1,"n.a.",TblOutcomes[[#This Row],[Qty Wasted]]*SUMIFS(TblPurchases[Unit Cost (CLP)],TblPurchases[BatchID],TblOutcomes[[#This Row],[BatchID]]))</f>
        <v>0</v>
      </c>
      <c r="Q375" s="51">
        <f>IF(COUNTIF(TblPurchases[BatchID],TblOutcomes[[#This Row],[BatchID]])&lt;&gt;1,"n.a.",SUMIFS(TblPurchases[Purchase Date],TblPurchases[BatchID],TblOutcomes[[#This Row],[BatchID]]))</f>
        <v>45695</v>
      </c>
    </row>
    <row r="376" spans="2:17" x14ac:dyDescent="0.25">
      <c r="B376" s="2" t="s">
        <v>1180</v>
      </c>
      <c r="C376" s="2" t="s">
        <v>136</v>
      </c>
      <c r="D376" s="2" t="s">
        <v>122</v>
      </c>
      <c r="E376" s="2" t="s">
        <v>4647</v>
      </c>
      <c r="F376" s="2">
        <v>37</v>
      </c>
      <c r="G376" s="2">
        <v>37</v>
      </c>
      <c r="H376" s="2">
        <v>0</v>
      </c>
      <c r="I376" s="1">
        <v>0</v>
      </c>
      <c r="J376" s="26">
        <v>45712</v>
      </c>
      <c r="K376" s="22">
        <v>111000</v>
      </c>
      <c r="L376" s="18">
        <v>118.72</v>
      </c>
      <c r="M376" s="22">
        <v>77700</v>
      </c>
      <c r="N376" s="22">
        <v>33300</v>
      </c>
      <c r="O376" s="18">
        <v>35.61</v>
      </c>
      <c r="P376" s="52">
        <f>IF(COUNTIF(TblPurchases[BatchID],TblOutcomes[[#This Row],[BatchID]])&lt;&gt;1,"n.a.",TblOutcomes[[#This Row],[Qty Wasted]]*SUMIFS(TblPurchases[Unit Cost (CLP)],TblPurchases[BatchID],TblOutcomes[[#This Row],[BatchID]]))</f>
        <v>0</v>
      </c>
      <c r="Q376" s="51">
        <f>IF(COUNTIF(TblPurchases[BatchID],TblOutcomes[[#This Row],[BatchID]])&lt;&gt;1,"n.a.",SUMIFS(TblPurchases[Purchase Date],TblPurchases[BatchID],TblOutcomes[[#This Row],[BatchID]]))</f>
        <v>45705</v>
      </c>
    </row>
    <row r="377" spans="2:17" x14ac:dyDescent="0.25">
      <c r="B377" s="2" t="s">
        <v>1181</v>
      </c>
      <c r="C377" s="2" t="s">
        <v>136</v>
      </c>
      <c r="D377" s="2" t="s">
        <v>122</v>
      </c>
      <c r="E377" s="2" t="s">
        <v>4647</v>
      </c>
      <c r="F377" s="2">
        <v>38</v>
      </c>
      <c r="G377" s="2">
        <v>38</v>
      </c>
      <c r="H377" s="2">
        <v>0</v>
      </c>
      <c r="I377" s="1">
        <v>0</v>
      </c>
      <c r="J377" s="26">
        <v>45721</v>
      </c>
      <c r="K377" s="22">
        <v>114000</v>
      </c>
      <c r="L377" s="18">
        <v>121.93</v>
      </c>
      <c r="M377" s="22">
        <v>79800</v>
      </c>
      <c r="N377" s="22">
        <v>34200</v>
      </c>
      <c r="O377" s="18">
        <v>36.58</v>
      </c>
      <c r="P377" s="52">
        <f>IF(COUNTIF(TblPurchases[BatchID],TblOutcomes[[#This Row],[BatchID]])&lt;&gt;1,"n.a.",TblOutcomes[[#This Row],[Qty Wasted]]*SUMIFS(TblPurchases[Unit Cost (CLP)],TblPurchases[BatchID],TblOutcomes[[#This Row],[BatchID]]))</f>
        <v>0</v>
      </c>
      <c r="Q377" s="51">
        <f>IF(COUNTIF(TblPurchases[BatchID],TblOutcomes[[#This Row],[BatchID]])&lt;&gt;1,"n.a.",SUMIFS(TblPurchases[Purchase Date],TblPurchases[BatchID],TblOutcomes[[#This Row],[BatchID]]))</f>
        <v>45712</v>
      </c>
    </row>
    <row r="378" spans="2:17" x14ac:dyDescent="0.25">
      <c r="B378" s="2" t="s">
        <v>1182</v>
      </c>
      <c r="C378" s="2" t="s">
        <v>136</v>
      </c>
      <c r="D378" s="2" t="s">
        <v>122</v>
      </c>
      <c r="E378" s="2" t="s">
        <v>4647</v>
      </c>
      <c r="F378" s="2">
        <v>48</v>
      </c>
      <c r="G378" s="2">
        <v>48</v>
      </c>
      <c r="H378" s="2">
        <v>0</v>
      </c>
      <c r="I378" s="1">
        <v>0</v>
      </c>
      <c r="J378" s="26">
        <v>45729</v>
      </c>
      <c r="K378" s="22">
        <v>144000</v>
      </c>
      <c r="L378" s="18">
        <v>154.01</v>
      </c>
      <c r="M378" s="22">
        <v>100800</v>
      </c>
      <c r="N378" s="22">
        <v>43200</v>
      </c>
      <c r="O378" s="18">
        <v>46.2</v>
      </c>
      <c r="P378" s="52">
        <f>IF(COUNTIF(TblPurchases[BatchID],TblOutcomes[[#This Row],[BatchID]])&lt;&gt;1,"n.a.",TblOutcomes[[#This Row],[Qty Wasted]]*SUMIFS(TblPurchases[Unit Cost (CLP)],TblPurchases[BatchID],TblOutcomes[[#This Row],[BatchID]]))</f>
        <v>0</v>
      </c>
      <c r="Q378" s="51">
        <f>IF(COUNTIF(TblPurchases[BatchID],TblOutcomes[[#This Row],[BatchID]])&lt;&gt;1,"n.a.",SUMIFS(TblPurchases[Purchase Date],TblPurchases[BatchID],TblOutcomes[[#This Row],[BatchID]]))</f>
        <v>45722</v>
      </c>
    </row>
    <row r="379" spans="2:17" x14ac:dyDescent="0.25">
      <c r="B379" s="2" t="s">
        <v>1183</v>
      </c>
      <c r="C379" s="2" t="s">
        <v>136</v>
      </c>
      <c r="D379" s="2" t="s">
        <v>122</v>
      </c>
      <c r="E379" s="2" t="s">
        <v>4647</v>
      </c>
      <c r="F379" s="2">
        <v>49</v>
      </c>
      <c r="G379" s="2">
        <v>49</v>
      </c>
      <c r="H379" s="2">
        <v>0</v>
      </c>
      <c r="I379" s="1">
        <v>0</v>
      </c>
      <c r="J379" s="26">
        <v>45738</v>
      </c>
      <c r="K379" s="22">
        <v>147000</v>
      </c>
      <c r="L379" s="18">
        <v>157.22</v>
      </c>
      <c r="M379" s="22">
        <v>102900</v>
      </c>
      <c r="N379" s="22">
        <v>44100</v>
      </c>
      <c r="O379" s="18">
        <v>47.17</v>
      </c>
      <c r="P379" s="52">
        <f>IF(COUNTIF(TblPurchases[BatchID],TblOutcomes[[#This Row],[BatchID]])&lt;&gt;1,"n.a.",TblOutcomes[[#This Row],[Qty Wasted]]*SUMIFS(TblPurchases[Unit Cost (CLP)],TblPurchases[BatchID],TblOutcomes[[#This Row],[BatchID]]))</f>
        <v>0</v>
      </c>
      <c r="Q379" s="51">
        <f>IF(COUNTIF(TblPurchases[BatchID],TblOutcomes[[#This Row],[BatchID]])&lt;&gt;1,"n.a.",SUMIFS(TblPurchases[Purchase Date],TblPurchases[BatchID],TblOutcomes[[#This Row],[BatchID]]))</f>
        <v>45732</v>
      </c>
    </row>
    <row r="380" spans="2:17" x14ac:dyDescent="0.25">
      <c r="B380" s="2" t="s">
        <v>1184</v>
      </c>
      <c r="C380" s="2" t="s">
        <v>136</v>
      </c>
      <c r="D380" s="2" t="s">
        <v>122</v>
      </c>
      <c r="E380" s="2" t="s">
        <v>4647</v>
      </c>
      <c r="F380" s="2">
        <v>38</v>
      </c>
      <c r="G380" s="2">
        <v>38</v>
      </c>
      <c r="H380" s="2">
        <v>0</v>
      </c>
      <c r="I380" s="1">
        <v>0</v>
      </c>
      <c r="J380" s="26">
        <v>45748</v>
      </c>
      <c r="K380" s="22">
        <v>114000</v>
      </c>
      <c r="L380" s="18">
        <v>121.93</v>
      </c>
      <c r="M380" s="22">
        <v>79800</v>
      </c>
      <c r="N380" s="22">
        <v>34200</v>
      </c>
      <c r="O380" s="18">
        <v>36.58</v>
      </c>
      <c r="P380" s="52">
        <f>IF(COUNTIF(TblPurchases[BatchID],TblOutcomes[[#This Row],[BatchID]])&lt;&gt;1,"n.a.",TblOutcomes[[#This Row],[Qty Wasted]]*SUMIFS(TblPurchases[Unit Cost (CLP)],TblPurchases[BatchID],TblOutcomes[[#This Row],[BatchID]]))</f>
        <v>0</v>
      </c>
      <c r="Q380" s="51">
        <f>IF(COUNTIF(TblPurchases[BatchID],TblOutcomes[[#This Row],[BatchID]])&lt;&gt;1,"n.a.",SUMIFS(TblPurchases[Purchase Date],TblPurchases[BatchID],TblOutcomes[[#This Row],[BatchID]]))</f>
        <v>45740</v>
      </c>
    </row>
    <row r="381" spans="2:17" x14ac:dyDescent="0.25">
      <c r="B381" s="2" t="s">
        <v>1185</v>
      </c>
      <c r="C381" s="2" t="s">
        <v>136</v>
      </c>
      <c r="D381" s="2" t="s">
        <v>122</v>
      </c>
      <c r="E381" s="2" t="s">
        <v>4647</v>
      </c>
      <c r="F381" s="2">
        <v>16</v>
      </c>
      <c r="G381" s="2">
        <v>16</v>
      </c>
      <c r="H381" s="2">
        <v>0</v>
      </c>
      <c r="I381" s="1">
        <v>0</v>
      </c>
      <c r="J381" s="26">
        <v>45759</v>
      </c>
      <c r="K381" s="22">
        <v>48000</v>
      </c>
      <c r="L381" s="18">
        <v>51.34</v>
      </c>
      <c r="M381" s="22">
        <v>36800</v>
      </c>
      <c r="N381" s="22">
        <v>11200</v>
      </c>
      <c r="O381" s="18">
        <v>11.98</v>
      </c>
      <c r="P381" s="52">
        <f>IF(COUNTIF(TblPurchases[BatchID],TblOutcomes[[#This Row],[BatchID]])&lt;&gt;1,"n.a.",TblOutcomes[[#This Row],[Qty Wasted]]*SUMIFS(TblPurchases[Unit Cost (CLP)],TblPurchases[BatchID],TblOutcomes[[#This Row],[BatchID]]))</f>
        <v>0</v>
      </c>
      <c r="Q381" s="51">
        <f>IF(COUNTIF(TblPurchases[BatchID],TblOutcomes[[#This Row],[BatchID]])&lt;&gt;1,"n.a.",SUMIFS(TblPurchases[Purchase Date],TblPurchases[BatchID],TblOutcomes[[#This Row],[BatchID]]))</f>
        <v>45749</v>
      </c>
    </row>
    <row r="382" spans="2:17" x14ac:dyDescent="0.25">
      <c r="B382" s="2" t="s">
        <v>1186</v>
      </c>
      <c r="C382" s="2" t="s">
        <v>136</v>
      </c>
      <c r="D382" s="2" t="s">
        <v>122</v>
      </c>
      <c r="E382" s="2" t="s">
        <v>4646</v>
      </c>
      <c r="F382" s="2">
        <v>14</v>
      </c>
      <c r="G382" s="2">
        <v>10.54</v>
      </c>
      <c r="H382" s="2">
        <v>3.46</v>
      </c>
      <c r="I382" s="1">
        <v>24.7</v>
      </c>
      <c r="J382" s="26">
        <v>45801</v>
      </c>
      <c r="K382" s="22">
        <v>31620</v>
      </c>
      <c r="L382" s="18">
        <v>33.82</v>
      </c>
      <c r="M382" s="22">
        <v>29400</v>
      </c>
      <c r="N382" s="22">
        <v>2220</v>
      </c>
      <c r="O382" s="18">
        <v>2.37</v>
      </c>
      <c r="P382" s="52">
        <f>IF(COUNTIF(TblPurchases[BatchID],TblOutcomes[[#This Row],[BatchID]])&lt;&gt;1,"n.a.",TblOutcomes[[#This Row],[Qty Wasted]]*SUMIFS(TblPurchases[Unit Cost (CLP)],TblPurchases[BatchID],TblOutcomes[[#This Row],[BatchID]]))</f>
        <v>7266</v>
      </c>
      <c r="Q382" s="51">
        <f>IF(COUNTIF(TblPurchases[BatchID],TblOutcomes[[#This Row],[BatchID]])&lt;&gt;1,"n.a.",SUMIFS(TblPurchases[Purchase Date],TblPurchases[BatchID],TblOutcomes[[#This Row],[BatchID]]))</f>
        <v>45756</v>
      </c>
    </row>
    <row r="383" spans="2:17" x14ac:dyDescent="0.25">
      <c r="B383" s="2" t="s">
        <v>1187</v>
      </c>
      <c r="C383" s="2" t="s">
        <v>136</v>
      </c>
      <c r="D383" s="2" t="s">
        <v>122</v>
      </c>
      <c r="E383" s="2" t="s">
        <v>4647</v>
      </c>
      <c r="F383" s="2">
        <v>17</v>
      </c>
      <c r="G383" s="2">
        <v>17</v>
      </c>
      <c r="H383" s="2">
        <v>0</v>
      </c>
      <c r="I383" s="1">
        <v>0</v>
      </c>
      <c r="J383" s="26">
        <v>45775</v>
      </c>
      <c r="K383" s="22">
        <v>51000</v>
      </c>
      <c r="L383" s="18">
        <v>54.55</v>
      </c>
      <c r="M383" s="22">
        <v>39100</v>
      </c>
      <c r="N383" s="22">
        <v>11900</v>
      </c>
      <c r="O383" s="18">
        <v>12.73</v>
      </c>
      <c r="P383" s="52">
        <f>IF(COUNTIF(TblPurchases[BatchID],TblOutcomes[[#This Row],[BatchID]])&lt;&gt;1,"n.a.",TblOutcomes[[#This Row],[Qty Wasted]]*SUMIFS(TblPurchases[Unit Cost (CLP)],TblPurchases[BatchID],TblOutcomes[[#This Row],[BatchID]]))</f>
        <v>0</v>
      </c>
      <c r="Q383" s="51">
        <f>IF(COUNTIF(TblPurchases[BatchID],TblOutcomes[[#This Row],[BatchID]])&lt;&gt;1,"n.a.",SUMIFS(TblPurchases[Purchase Date],TblPurchases[BatchID],TblOutcomes[[#This Row],[BatchID]]))</f>
        <v>45766</v>
      </c>
    </row>
    <row r="384" spans="2:17" x14ac:dyDescent="0.25">
      <c r="B384" s="2" t="s">
        <v>1188</v>
      </c>
      <c r="C384" s="2" t="s">
        <v>136</v>
      </c>
      <c r="D384" s="2" t="s">
        <v>122</v>
      </c>
      <c r="E384" s="2" t="s">
        <v>4647</v>
      </c>
      <c r="F384" s="2">
        <v>14</v>
      </c>
      <c r="G384" s="2">
        <v>14</v>
      </c>
      <c r="H384" s="2">
        <v>0</v>
      </c>
      <c r="I384" s="1">
        <v>0</v>
      </c>
      <c r="J384" s="26">
        <v>45787</v>
      </c>
      <c r="K384" s="22">
        <v>42000</v>
      </c>
      <c r="L384" s="18">
        <v>44.92</v>
      </c>
      <c r="M384" s="22">
        <v>32200</v>
      </c>
      <c r="N384" s="22">
        <v>9800</v>
      </c>
      <c r="O384" s="18">
        <v>10.48</v>
      </c>
      <c r="P384" s="52">
        <f>IF(COUNTIF(TblPurchases[BatchID],TblOutcomes[[#This Row],[BatchID]])&lt;&gt;1,"n.a.",TblOutcomes[[#This Row],[Qty Wasted]]*SUMIFS(TblPurchases[Unit Cost (CLP)],TblPurchases[BatchID],TblOutcomes[[#This Row],[BatchID]]))</f>
        <v>0</v>
      </c>
      <c r="Q384" s="51">
        <f>IF(COUNTIF(TblPurchases[BatchID],TblOutcomes[[#This Row],[BatchID]])&lt;&gt;1,"n.a.",SUMIFS(TblPurchases[Purchase Date],TblPurchases[BatchID],TblOutcomes[[#This Row],[BatchID]]))</f>
        <v>45777</v>
      </c>
    </row>
    <row r="385" spans="2:17" x14ac:dyDescent="0.25">
      <c r="B385" s="2" t="s">
        <v>1189</v>
      </c>
      <c r="C385" s="2" t="s">
        <v>136</v>
      </c>
      <c r="D385" s="2" t="s">
        <v>122</v>
      </c>
      <c r="E385" s="2" t="s">
        <v>4646</v>
      </c>
      <c r="F385" s="2">
        <v>16</v>
      </c>
      <c r="G385" s="2">
        <v>13.41</v>
      </c>
      <c r="H385" s="2">
        <v>2.59</v>
      </c>
      <c r="I385" s="1">
        <v>16.2</v>
      </c>
      <c r="J385" s="26">
        <v>45832</v>
      </c>
      <c r="K385" s="22">
        <v>40230</v>
      </c>
      <c r="L385" s="18">
        <v>43.03</v>
      </c>
      <c r="M385" s="22">
        <v>33600</v>
      </c>
      <c r="N385" s="22">
        <v>6630</v>
      </c>
      <c r="O385" s="18">
        <v>7.09</v>
      </c>
      <c r="P385" s="52">
        <f>IF(COUNTIF(TblPurchases[BatchID],TblOutcomes[[#This Row],[BatchID]])&lt;&gt;1,"n.a.",TblOutcomes[[#This Row],[Qty Wasted]]*SUMIFS(TblPurchases[Unit Cost (CLP)],TblPurchases[BatchID],TblOutcomes[[#This Row],[BatchID]]))</f>
        <v>5439</v>
      </c>
      <c r="Q385" s="51">
        <f>IF(COUNTIF(TblPurchases[BatchID],TblOutcomes[[#This Row],[BatchID]])&lt;&gt;1,"n.a.",SUMIFS(TblPurchases[Purchase Date],TblPurchases[BatchID],TblOutcomes[[#This Row],[BatchID]]))</f>
        <v>45787</v>
      </c>
    </row>
    <row r="386" spans="2:17" x14ac:dyDescent="0.25">
      <c r="B386" s="2" t="s">
        <v>1190</v>
      </c>
      <c r="C386" s="2" t="s">
        <v>136</v>
      </c>
      <c r="D386" s="2" t="s">
        <v>122</v>
      </c>
      <c r="E386" s="2" t="s">
        <v>4646</v>
      </c>
      <c r="F386" s="2">
        <v>17</v>
      </c>
      <c r="G386" s="2">
        <v>14.38</v>
      </c>
      <c r="H386" s="2">
        <v>2.62</v>
      </c>
      <c r="I386" s="1">
        <v>15.4</v>
      </c>
      <c r="J386" s="26">
        <v>45841</v>
      </c>
      <c r="K386" s="22">
        <v>43140</v>
      </c>
      <c r="L386" s="18">
        <v>46.14</v>
      </c>
      <c r="M386" s="22">
        <v>35700</v>
      </c>
      <c r="N386" s="22">
        <v>7440</v>
      </c>
      <c r="O386" s="18">
        <v>7.96</v>
      </c>
      <c r="P386" s="52">
        <f>IF(COUNTIF(TblPurchases[BatchID],TblOutcomes[[#This Row],[BatchID]])&lt;&gt;1,"n.a.",TblOutcomes[[#This Row],[Qty Wasted]]*SUMIFS(TblPurchases[Unit Cost (CLP)],TblPurchases[BatchID],TblOutcomes[[#This Row],[BatchID]]))</f>
        <v>5502</v>
      </c>
      <c r="Q386" s="51">
        <f>IF(COUNTIF(TblPurchases[BatchID],TblOutcomes[[#This Row],[BatchID]])&lt;&gt;1,"n.a.",SUMIFS(TblPurchases[Purchase Date],TblPurchases[BatchID],TblOutcomes[[#This Row],[BatchID]]))</f>
        <v>45796</v>
      </c>
    </row>
    <row r="387" spans="2:17" x14ac:dyDescent="0.25">
      <c r="B387" s="2" t="s">
        <v>1191</v>
      </c>
      <c r="C387" s="2" t="s">
        <v>136</v>
      </c>
      <c r="D387" s="2" t="s">
        <v>122</v>
      </c>
      <c r="E387" s="2" t="s">
        <v>4646</v>
      </c>
      <c r="F387" s="2">
        <v>15</v>
      </c>
      <c r="G387" s="2">
        <v>11.56</v>
      </c>
      <c r="H387" s="2">
        <v>3.44</v>
      </c>
      <c r="I387" s="1">
        <v>22.9</v>
      </c>
      <c r="J387" s="26">
        <v>45850</v>
      </c>
      <c r="K387" s="22">
        <v>34680</v>
      </c>
      <c r="L387" s="18">
        <v>37.090000000000003</v>
      </c>
      <c r="M387" s="22">
        <v>31500</v>
      </c>
      <c r="N387" s="22">
        <v>3180</v>
      </c>
      <c r="O387" s="18">
        <v>3.4</v>
      </c>
      <c r="P387" s="52">
        <f>IF(COUNTIF(TblPurchases[BatchID],TblOutcomes[[#This Row],[BatchID]])&lt;&gt;1,"n.a.",TblOutcomes[[#This Row],[Qty Wasted]]*SUMIFS(TblPurchases[Unit Cost (CLP)],TblPurchases[BatchID],TblOutcomes[[#This Row],[BatchID]]))</f>
        <v>7224</v>
      </c>
      <c r="Q387" s="51">
        <f>IF(COUNTIF(TblPurchases[BatchID],TblOutcomes[[#This Row],[BatchID]])&lt;&gt;1,"n.a.",SUMIFS(TblPurchases[Purchase Date],TblPurchases[BatchID],TblOutcomes[[#This Row],[BatchID]]))</f>
        <v>45805</v>
      </c>
    </row>
    <row r="388" spans="2:17" x14ac:dyDescent="0.25">
      <c r="B388" s="2" t="s">
        <v>1192</v>
      </c>
      <c r="C388" s="2" t="s">
        <v>136</v>
      </c>
      <c r="D388" s="2" t="s">
        <v>122</v>
      </c>
      <c r="E388" s="2" t="s">
        <v>4647</v>
      </c>
      <c r="F388" s="2">
        <v>19</v>
      </c>
      <c r="G388" s="2">
        <v>19</v>
      </c>
      <c r="H388" s="2">
        <v>0</v>
      </c>
      <c r="I388" s="1">
        <v>0</v>
      </c>
      <c r="J388" s="26">
        <v>45822</v>
      </c>
      <c r="K388" s="22">
        <v>57000</v>
      </c>
      <c r="L388" s="18">
        <v>60.96</v>
      </c>
      <c r="M388" s="22">
        <v>39900</v>
      </c>
      <c r="N388" s="22">
        <v>17100</v>
      </c>
      <c r="O388" s="18">
        <v>18.29</v>
      </c>
      <c r="P388" s="52">
        <f>IF(COUNTIF(TblPurchases[BatchID],TblOutcomes[[#This Row],[BatchID]])&lt;&gt;1,"n.a.",TblOutcomes[[#This Row],[Qty Wasted]]*SUMIFS(TblPurchases[Unit Cost (CLP)],TblPurchases[BatchID],TblOutcomes[[#This Row],[BatchID]]))</f>
        <v>0</v>
      </c>
      <c r="Q388" s="51">
        <f>IF(COUNTIF(TblPurchases[BatchID],TblOutcomes[[#This Row],[BatchID]])&lt;&gt;1,"n.a.",SUMIFS(TblPurchases[Purchase Date],TblPurchases[BatchID],TblOutcomes[[#This Row],[BatchID]]))</f>
        <v>45816</v>
      </c>
    </row>
    <row r="389" spans="2:17" x14ac:dyDescent="0.25">
      <c r="B389" s="2" t="s">
        <v>1193</v>
      </c>
      <c r="C389" s="2" t="s">
        <v>136</v>
      </c>
      <c r="D389" s="2" t="s">
        <v>122</v>
      </c>
      <c r="E389" s="2" t="s">
        <v>4647</v>
      </c>
      <c r="F389" s="2">
        <v>18</v>
      </c>
      <c r="G389" s="2">
        <v>18</v>
      </c>
      <c r="H389" s="2">
        <v>0</v>
      </c>
      <c r="I389" s="1">
        <v>0</v>
      </c>
      <c r="J389" s="26">
        <v>45835</v>
      </c>
      <c r="K389" s="22">
        <v>54000</v>
      </c>
      <c r="L389" s="18">
        <v>57.75</v>
      </c>
      <c r="M389" s="22">
        <v>37800</v>
      </c>
      <c r="N389" s="22">
        <v>16200</v>
      </c>
      <c r="O389" s="18">
        <v>17.329999999999998</v>
      </c>
      <c r="P389" s="52">
        <f>IF(COUNTIF(TblPurchases[BatchID],TblOutcomes[[#This Row],[BatchID]])&lt;&gt;1,"n.a.",TblOutcomes[[#This Row],[Qty Wasted]]*SUMIFS(TblPurchases[Unit Cost (CLP)],TblPurchases[BatchID],TblOutcomes[[#This Row],[BatchID]]))</f>
        <v>0</v>
      </c>
      <c r="Q389" s="51">
        <f>IF(COUNTIF(TblPurchases[BatchID],TblOutcomes[[#This Row],[BatchID]])&lt;&gt;1,"n.a.",SUMIFS(TblPurchases[Purchase Date],TblPurchases[BatchID],TblOutcomes[[#This Row],[BatchID]]))</f>
        <v>45829</v>
      </c>
    </row>
    <row r="390" spans="2:17" x14ac:dyDescent="0.25">
      <c r="B390" s="2" t="s">
        <v>1194</v>
      </c>
      <c r="C390" s="2" t="s">
        <v>138</v>
      </c>
      <c r="D390" s="2" t="s">
        <v>122</v>
      </c>
      <c r="E390" s="2" t="s">
        <v>4647</v>
      </c>
      <c r="F390" s="2">
        <v>15</v>
      </c>
      <c r="G390" s="2">
        <v>15</v>
      </c>
      <c r="H390" s="2">
        <v>0</v>
      </c>
      <c r="I390" s="1">
        <v>0</v>
      </c>
      <c r="J390" s="26">
        <v>45119</v>
      </c>
      <c r="K390" s="22">
        <v>45000</v>
      </c>
      <c r="L390" s="18">
        <v>48.13</v>
      </c>
      <c r="M390" s="22">
        <v>33000</v>
      </c>
      <c r="N390" s="22">
        <v>12000</v>
      </c>
      <c r="O390" s="18">
        <v>12.83</v>
      </c>
      <c r="P390" s="52">
        <f>IF(COUNTIF(TblPurchases[BatchID],TblOutcomes[[#This Row],[BatchID]])&lt;&gt;1,"n.a.",TblOutcomes[[#This Row],[Qty Wasted]]*SUMIFS(TblPurchases[Unit Cost (CLP)],TblPurchases[BatchID],TblOutcomes[[#This Row],[BatchID]]))</f>
        <v>0</v>
      </c>
      <c r="Q390" s="51">
        <f>IF(COUNTIF(TblPurchases[BatchID],TblOutcomes[[#This Row],[BatchID]])&lt;&gt;1,"n.a.",SUMIFS(TblPurchases[Purchase Date],TblPurchases[BatchID],TblOutcomes[[#This Row],[BatchID]]))</f>
        <v>45108</v>
      </c>
    </row>
    <row r="391" spans="2:17" x14ac:dyDescent="0.25">
      <c r="B391" s="2" t="s">
        <v>1195</v>
      </c>
      <c r="C391" s="2" t="s">
        <v>138</v>
      </c>
      <c r="D391" s="2" t="s">
        <v>122</v>
      </c>
      <c r="E391" s="2" t="s">
        <v>4646</v>
      </c>
      <c r="F391" s="2">
        <v>15</v>
      </c>
      <c r="G391" s="2">
        <v>10.38</v>
      </c>
      <c r="H391" s="2">
        <v>4.62</v>
      </c>
      <c r="I391" s="1">
        <v>30.8</v>
      </c>
      <c r="J391" s="26">
        <v>45161</v>
      </c>
      <c r="K391" s="22">
        <v>31140</v>
      </c>
      <c r="L391" s="18">
        <v>33.299999999999997</v>
      </c>
      <c r="M391" s="22">
        <v>33000</v>
      </c>
      <c r="N391" s="22">
        <v>-1860</v>
      </c>
      <c r="O391" s="18">
        <v>-1.99</v>
      </c>
      <c r="P391" s="52">
        <f>IF(COUNTIF(TblPurchases[BatchID],TblOutcomes[[#This Row],[BatchID]])&lt;&gt;1,"n.a.",TblOutcomes[[#This Row],[Qty Wasted]]*SUMIFS(TblPurchases[Unit Cost (CLP)],TblPurchases[BatchID],TblOutcomes[[#This Row],[BatchID]]))</f>
        <v>10164</v>
      </c>
      <c r="Q391" s="51">
        <f>IF(COUNTIF(TblPurchases[BatchID],TblOutcomes[[#This Row],[BatchID]])&lt;&gt;1,"n.a.",SUMIFS(TblPurchases[Purchase Date],TblPurchases[BatchID],TblOutcomes[[#This Row],[BatchID]]))</f>
        <v>45116</v>
      </c>
    </row>
    <row r="392" spans="2:17" x14ac:dyDescent="0.25">
      <c r="B392" s="2" t="s">
        <v>1196</v>
      </c>
      <c r="C392" s="2" t="s">
        <v>138</v>
      </c>
      <c r="D392" s="2" t="s">
        <v>122</v>
      </c>
      <c r="E392" s="2" t="s">
        <v>4647</v>
      </c>
      <c r="F392" s="2">
        <v>17</v>
      </c>
      <c r="G392" s="2">
        <v>17</v>
      </c>
      <c r="H392" s="2">
        <v>0</v>
      </c>
      <c r="I392" s="1">
        <v>0</v>
      </c>
      <c r="J392" s="26">
        <v>45133</v>
      </c>
      <c r="K392" s="22">
        <v>51000</v>
      </c>
      <c r="L392" s="18">
        <v>54.55</v>
      </c>
      <c r="M392" s="22">
        <v>37400</v>
      </c>
      <c r="N392" s="22">
        <v>13600</v>
      </c>
      <c r="O392" s="18">
        <v>14.55</v>
      </c>
      <c r="P392" s="52">
        <f>IF(COUNTIF(TblPurchases[BatchID],TblOutcomes[[#This Row],[BatchID]])&lt;&gt;1,"n.a.",TblOutcomes[[#This Row],[Qty Wasted]]*SUMIFS(TblPurchases[Unit Cost (CLP)],TblPurchases[BatchID],TblOutcomes[[#This Row],[BatchID]]))</f>
        <v>0</v>
      </c>
      <c r="Q392" s="51">
        <f>IF(COUNTIF(TblPurchases[BatchID],TblOutcomes[[#This Row],[BatchID]])&lt;&gt;1,"n.a.",SUMIFS(TblPurchases[Purchase Date],TblPurchases[BatchID],TblOutcomes[[#This Row],[BatchID]]))</f>
        <v>45127</v>
      </c>
    </row>
    <row r="393" spans="2:17" x14ac:dyDescent="0.25">
      <c r="B393" s="2" t="s">
        <v>1197</v>
      </c>
      <c r="C393" s="2" t="s">
        <v>138</v>
      </c>
      <c r="D393" s="2" t="s">
        <v>122</v>
      </c>
      <c r="E393" s="2" t="s">
        <v>4646</v>
      </c>
      <c r="F393" s="2">
        <v>16</v>
      </c>
      <c r="G393" s="2">
        <v>13.41</v>
      </c>
      <c r="H393" s="2">
        <v>2.59</v>
      </c>
      <c r="I393" s="1">
        <v>16.2</v>
      </c>
      <c r="J393" s="26">
        <v>45183</v>
      </c>
      <c r="K393" s="22">
        <v>40230</v>
      </c>
      <c r="L393" s="18">
        <v>43.03</v>
      </c>
      <c r="M393" s="22">
        <v>35200</v>
      </c>
      <c r="N393" s="22">
        <v>5030</v>
      </c>
      <c r="O393" s="18">
        <v>5.38</v>
      </c>
      <c r="P393" s="52">
        <f>IF(COUNTIF(TblPurchases[BatchID],TblOutcomes[[#This Row],[BatchID]])&lt;&gt;1,"n.a.",TblOutcomes[[#This Row],[Qty Wasted]]*SUMIFS(TblPurchases[Unit Cost (CLP)],TblPurchases[BatchID],TblOutcomes[[#This Row],[BatchID]]))</f>
        <v>5698</v>
      </c>
      <c r="Q393" s="51">
        <f>IF(COUNTIF(TblPurchases[BatchID],TblOutcomes[[#This Row],[BatchID]])&lt;&gt;1,"n.a.",SUMIFS(TblPurchases[Purchase Date],TblPurchases[BatchID],TblOutcomes[[#This Row],[BatchID]]))</f>
        <v>45138</v>
      </c>
    </row>
    <row r="394" spans="2:17" x14ac:dyDescent="0.25">
      <c r="B394" s="2" t="s">
        <v>1198</v>
      </c>
      <c r="C394" s="2" t="s">
        <v>138</v>
      </c>
      <c r="D394" s="2" t="s">
        <v>122</v>
      </c>
      <c r="E394" s="2" t="s">
        <v>4647</v>
      </c>
      <c r="F394" s="2">
        <v>15</v>
      </c>
      <c r="G394" s="2">
        <v>15</v>
      </c>
      <c r="H394" s="2">
        <v>0</v>
      </c>
      <c r="I394" s="1">
        <v>0</v>
      </c>
      <c r="J394" s="26">
        <v>45157</v>
      </c>
      <c r="K394" s="22">
        <v>45000</v>
      </c>
      <c r="L394" s="18">
        <v>48.13</v>
      </c>
      <c r="M394" s="22">
        <v>33000</v>
      </c>
      <c r="N394" s="22">
        <v>12000</v>
      </c>
      <c r="O394" s="18">
        <v>12.83</v>
      </c>
      <c r="P394" s="52">
        <f>IF(COUNTIF(TblPurchases[BatchID],TblOutcomes[[#This Row],[BatchID]])&lt;&gt;1,"n.a.",TblOutcomes[[#This Row],[Qty Wasted]]*SUMIFS(TblPurchases[Unit Cost (CLP)],TblPurchases[BatchID],TblOutcomes[[#This Row],[BatchID]]))</f>
        <v>0</v>
      </c>
      <c r="Q394" s="51">
        <f>IF(COUNTIF(TblPurchases[BatchID],TblOutcomes[[#This Row],[BatchID]])&lt;&gt;1,"n.a.",SUMIFS(TblPurchases[Purchase Date],TblPurchases[BatchID],TblOutcomes[[#This Row],[BatchID]]))</f>
        <v>45145</v>
      </c>
    </row>
    <row r="395" spans="2:17" x14ac:dyDescent="0.25">
      <c r="B395" s="2" t="s">
        <v>1199</v>
      </c>
      <c r="C395" s="2" t="s">
        <v>138</v>
      </c>
      <c r="D395" s="2" t="s">
        <v>122</v>
      </c>
      <c r="E395" s="2" t="s">
        <v>4647</v>
      </c>
      <c r="F395" s="2">
        <v>16</v>
      </c>
      <c r="G395" s="2">
        <v>16</v>
      </c>
      <c r="H395" s="2">
        <v>0</v>
      </c>
      <c r="I395" s="1">
        <v>0</v>
      </c>
      <c r="J395" s="26">
        <v>45164</v>
      </c>
      <c r="K395" s="22">
        <v>48000</v>
      </c>
      <c r="L395" s="18">
        <v>51.34</v>
      </c>
      <c r="M395" s="22">
        <v>35200</v>
      </c>
      <c r="N395" s="22">
        <v>12800</v>
      </c>
      <c r="O395" s="18">
        <v>13.69</v>
      </c>
      <c r="P395" s="52">
        <f>IF(COUNTIF(TblPurchases[BatchID],TblOutcomes[[#This Row],[BatchID]])&lt;&gt;1,"n.a.",TblOutcomes[[#This Row],[Qty Wasted]]*SUMIFS(TblPurchases[Unit Cost (CLP)],TblPurchases[BatchID],TblOutcomes[[#This Row],[BatchID]]))</f>
        <v>0</v>
      </c>
      <c r="Q395" s="51">
        <f>IF(COUNTIF(TblPurchases[BatchID],TblOutcomes[[#This Row],[BatchID]])&lt;&gt;1,"n.a.",SUMIFS(TblPurchases[Purchase Date],TblPurchases[BatchID],TblOutcomes[[#This Row],[BatchID]]))</f>
        <v>45156</v>
      </c>
    </row>
    <row r="396" spans="2:17" x14ac:dyDescent="0.25">
      <c r="B396" s="2" t="s">
        <v>1200</v>
      </c>
      <c r="C396" s="2" t="s">
        <v>138</v>
      </c>
      <c r="D396" s="2" t="s">
        <v>122</v>
      </c>
      <c r="E396" s="2" t="s">
        <v>4647</v>
      </c>
      <c r="F396" s="2">
        <v>16</v>
      </c>
      <c r="G396" s="2">
        <v>16</v>
      </c>
      <c r="H396" s="2">
        <v>0</v>
      </c>
      <c r="I396" s="1">
        <v>0</v>
      </c>
      <c r="J396" s="26">
        <v>45175</v>
      </c>
      <c r="K396" s="22">
        <v>48000</v>
      </c>
      <c r="L396" s="18">
        <v>51.34</v>
      </c>
      <c r="M396" s="22">
        <v>35200</v>
      </c>
      <c r="N396" s="22">
        <v>12800</v>
      </c>
      <c r="O396" s="18">
        <v>13.69</v>
      </c>
      <c r="P396" s="52">
        <f>IF(COUNTIF(TblPurchases[BatchID],TblOutcomes[[#This Row],[BatchID]])&lt;&gt;1,"n.a.",TblOutcomes[[#This Row],[Qty Wasted]]*SUMIFS(TblPurchases[Unit Cost (CLP)],TblPurchases[BatchID],TblOutcomes[[#This Row],[BatchID]]))</f>
        <v>0</v>
      </c>
      <c r="Q396" s="51">
        <f>IF(COUNTIF(TblPurchases[BatchID],TblOutcomes[[#This Row],[BatchID]])&lt;&gt;1,"n.a.",SUMIFS(TblPurchases[Purchase Date],TblPurchases[BatchID],TblOutcomes[[#This Row],[BatchID]]))</f>
        <v>45166</v>
      </c>
    </row>
    <row r="397" spans="2:17" x14ac:dyDescent="0.25">
      <c r="B397" s="2" t="s">
        <v>1201</v>
      </c>
      <c r="C397" s="2" t="s">
        <v>138</v>
      </c>
      <c r="D397" s="2" t="s">
        <v>122</v>
      </c>
      <c r="E397" s="2" t="s">
        <v>4646</v>
      </c>
      <c r="F397" s="2">
        <v>20</v>
      </c>
      <c r="G397" s="2">
        <v>16.559999999999999</v>
      </c>
      <c r="H397" s="2">
        <v>3.44</v>
      </c>
      <c r="I397" s="1">
        <v>17.2</v>
      </c>
      <c r="J397" s="26">
        <v>45221</v>
      </c>
      <c r="K397" s="22">
        <v>49680</v>
      </c>
      <c r="L397" s="18">
        <v>53.13</v>
      </c>
      <c r="M397" s="22">
        <v>44000</v>
      </c>
      <c r="N397" s="22">
        <v>5680</v>
      </c>
      <c r="O397" s="18">
        <v>6.07</v>
      </c>
      <c r="P397" s="52">
        <f>IF(COUNTIF(TblPurchases[BatchID],TblOutcomes[[#This Row],[BatchID]])&lt;&gt;1,"n.a.",TblOutcomes[[#This Row],[Qty Wasted]]*SUMIFS(TblPurchases[Unit Cost (CLP)],TblPurchases[BatchID],TblOutcomes[[#This Row],[BatchID]]))</f>
        <v>7568</v>
      </c>
      <c r="Q397" s="51">
        <f>IF(COUNTIF(TblPurchases[BatchID],TblOutcomes[[#This Row],[BatchID]])&lt;&gt;1,"n.a.",SUMIFS(TblPurchases[Purchase Date],TblPurchases[BatchID],TblOutcomes[[#This Row],[BatchID]]))</f>
        <v>45176</v>
      </c>
    </row>
    <row r="398" spans="2:17" x14ac:dyDescent="0.25">
      <c r="B398" s="2" t="s">
        <v>1202</v>
      </c>
      <c r="C398" s="2" t="s">
        <v>138</v>
      </c>
      <c r="D398" s="2" t="s">
        <v>122</v>
      </c>
      <c r="E398" s="2" t="s">
        <v>4646</v>
      </c>
      <c r="F398" s="2">
        <v>18</v>
      </c>
      <c r="G398" s="2">
        <v>14.42</v>
      </c>
      <c r="H398" s="2">
        <v>3.58</v>
      </c>
      <c r="I398" s="1">
        <v>19.899999999999999</v>
      </c>
      <c r="J398" s="26">
        <v>45231</v>
      </c>
      <c r="K398" s="22">
        <v>43260</v>
      </c>
      <c r="L398" s="18">
        <v>46.27</v>
      </c>
      <c r="M398" s="22">
        <v>39600</v>
      </c>
      <c r="N398" s="22">
        <v>3660</v>
      </c>
      <c r="O398" s="18">
        <v>3.91</v>
      </c>
      <c r="P398" s="52">
        <f>IF(COUNTIF(TblPurchases[BatchID],TblOutcomes[[#This Row],[BatchID]])&lt;&gt;1,"n.a.",TblOutcomes[[#This Row],[Qty Wasted]]*SUMIFS(TblPurchases[Unit Cost (CLP)],TblPurchases[BatchID],TblOutcomes[[#This Row],[BatchID]]))</f>
        <v>7876</v>
      </c>
      <c r="Q398" s="51">
        <f>IF(COUNTIF(TblPurchases[BatchID],TblOutcomes[[#This Row],[BatchID]])&lt;&gt;1,"n.a.",SUMIFS(TblPurchases[Purchase Date],TblPurchases[BatchID],TblOutcomes[[#This Row],[BatchID]]))</f>
        <v>45186</v>
      </c>
    </row>
    <row r="399" spans="2:17" x14ac:dyDescent="0.25">
      <c r="B399" s="2" t="s">
        <v>1203</v>
      </c>
      <c r="C399" s="2" t="s">
        <v>138</v>
      </c>
      <c r="D399" s="2" t="s">
        <v>122</v>
      </c>
      <c r="E399" s="2" t="s">
        <v>4646</v>
      </c>
      <c r="F399" s="2">
        <v>18</v>
      </c>
      <c r="G399" s="2">
        <v>13.86</v>
      </c>
      <c r="H399" s="2">
        <v>4.1399999999999997</v>
      </c>
      <c r="I399" s="1">
        <v>23</v>
      </c>
      <c r="J399" s="26">
        <v>45241</v>
      </c>
      <c r="K399" s="22">
        <v>41580</v>
      </c>
      <c r="L399" s="18">
        <v>44.47</v>
      </c>
      <c r="M399" s="22">
        <v>39600</v>
      </c>
      <c r="N399" s="22">
        <v>1980</v>
      </c>
      <c r="O399" s="18">
        <v>2.12</v>
      </c>
      <c r="P399" s="52">
        <f>IF(COUNTIF(TblPurchases[BatchID],TblOutcomes[[#This Row],[BatchID]])&lt;&gt;1,"n.a.",TblOutcomes[[#This Row],[Qty Wasted]]*SUMIFS(TblPurchases[Unit Cost (CLP)],TblPurchases[BatchID],TblOutcomes[[#This Row],[BatchID]]))</f>
        <v>9108</v>
      </c>
      <c r="Q399" s="51">
        <f>IF(COUNTIF(TblPurchases[BatchID],TblOutcomes[[#This Row],[BatchID]])&lt;&gt;1,"n.a.",SUMIFS(TblPurchases[Purchase Date],TblPurchases[BatchID],TblOutcomes[[#This Row],[BatchID]]))</f>
        <v>45196</v>
      </c>
    </row>
    <row r="400" spans="2:17" x14ac:dyDescent="0.25">
      <c r="B400" s="2" t="s">
        <v>1204</v>
      </c>
      <c r="C400" s="2" t="s">
        <v>138</v>
      </c>
      <c r="D400" s="2" t="s">
        <v>122</v>
      </c>
      <c r="E400" s="2" t="s">
        <v>4647</v>
      </c>
      <c r="F400" s="2">
        <v>46</v>
      </c>
      <c r="G400" s="2">
        <v>46</v>
      </c>
      <c r="H400" s="2">
        <v>0</v>
      </c>
      <c r="I400" s="1">
        <v>0</v>
      </c>
      <c r="J400" s="26">
        <v>45210</v>
      </c>
      <c r="K400" s="22">
        <v>138000</v>
      </c>
      <c r="L400" s="18">
        <v>147.59</v>
      </c>
      <c r="M400" s="22">
        <v>101200</v>
      </c>
      <c r="N400" s="22">
        <v>36800</v>
      </c>
      <c r="O400" s="18">
        <v>39.36</v>
      </c>
      <c r="P400" s="52">
        <f>IF(COUNTIF(TblPurchases[BatchID],TblOutcomes[[#This Row],[BatchID]])&lt;&gt;1,"n.a.",TblOutcomes[[#This Row],[Qty Wasted]]*SUMIFS(TblPurchases[Unit Cost (CLP)],TblPurchases[BatchID],TblOutcomes[[#This Row],[BatchID]]))</f>
        <v>0</v>
      </c>
      <c r="Q400" s="51">
        <f>IF(COUNTIF(TblPurchases[BatchID],TblOutcomes[[#This Row],[BatchID]])&lt;&gt;1,"n.a.",SUMIFS(TblPurchases[Purchase Date],TblPurchases[BatchID],TblOutcomes[[#This Row],[BatchID]]))</f>
        <v>45203</v>
      </c>
    </row>
    <row r="401" spans="2:17" x14ac:dyDescent="0.25">
      <c r="B401" s="2" t="s">
        <v>1205</v>
      </c>
      <c r="C401" s="2" t="s">
        <v>138</v>
      </c>
      <c r="D401" s="2" t="s">
        <v>122</v>
      </c>
      <c r="E401" s="2" t="s">
        <v>4646</v>
      </c>
      <c r="F401" s="2">
        <v>45</v>
      </c>
      <c r="G401" s="2">
        <v>39.729999999999997</v>
      </c>
      <c r="H401" s="2">
        <v>5.27</v>
      </c>
      <c r="I401" s="1">
        <v>11.7</v>
      </c>
      <c r="J401" s="26">
        <v>45258</v>
      </c>
      <c r="K401" s="22">
        <v>119190</v>
      </c>
      <c r="L401" s="18">
        <v>127.48</v>
      </c>
      <c r="M401" s="22">
        <v>99000</v>
      </c>
      <c r="N401" s="22">
        <v>20190</v>
      </c>
      <c r="O401" s="18">
        <v>21.59</v>
      </c>
      <c r="P401" s="52">
        <f>IF(COUNTIF(TblPurchases[BatchID],TblOutcomes[[#This Row],[BatchID]])&lt;&gt;1,"n.a.",TblOutcomes[[#This Row],[Qty Wasted]]*SUMIFS(TblPurchases[Unit Cost (CLP)],TblPurchases[BatchID],TblOutcomes[[#This Row],[BatchID]]))</f>
        <v>11593.999999999998</v>
      </c>
      <c r="Q401" s="51">
        <f>IF(COUNTIF(TblPurchases[BatchID],TblOutcomes[[#This Row],[BatchID]])&lt;&gt;1,"n.a.",SUMIFS(TblPurchases[Purchase Date],TblPurchases[BatchID],TblOutcomes[[#This Row],[BatchID]]))</f>
        <v>45213</v>
      </c>
    </row>
    <row r="402" spans="2:17" x14ac:dyDescent="0.25">
      <c r="B402" s="2" t="s">
        <v>1206</v>
      </c>
      <c r="C402" s="2" t="s">
        <v>138</v>
      </c>
      <c r="D402" s="2" t="s">
        <v>122</v>
      </c>
      <c r="E402" s="2" t="s">
        <v>4647</v>
      </c>
      <c r="F402" s="2">
        <v>44</v>
      </c>
      <c r="G402" s="2">
        <v>44</v>
      </c>
      <c r="H402" s="2">
        <v>0</v>
      </c>
      <c r="I402" s="1">
        <v>0</v>
      </c>
      <c r="J402" s="26">
        <v>45230</v>
      </c>
      <c r="K402" s="22">
        <v>132000</v>
      </c>
      <c r="L402" s="18">
        <v>141.18</v>
      </c>
      <c r="M402" s="22">
        <v>96800</v>
      </c>
      <c r="N402" s="22">
        <v>35200</v>
      </c>
      <c r="O402" s="18">
        <v>37.65</v>
      </c>
      <c r="P402" s="52">
        <f>IF(COUNTIF(TblPurchases[BatchID],TblOutcomes[[#This Row],[BatchID]])&lt;&gt;1,"n.a.",TblOutcomes[[#This Row],[Qty Wasted]]*SUMIFS(TblPurchases[Unit Cost (CLP)],TblPurchases[BatchID],TblOutcomes[[#This Row],[BatchID]]))</f>
        <v>0</v>
      </c>
      <c r="Q402" s="51">
        <f>IF(COUNTIF(TblPurchases[BatchID],TblOutcomes[[#This Row],[BatchID]])&lt;&gt;1,"n.a.",SUMIFS(TblPurchases[Purchase Date],TblPurchases[BatchID],TblOutcomes[[#This Row],[BatchID]]))</f>
        <v>45220</v>
      </c>
    </row>
    <row r="403" spans="2:17" x14ac:dyDescent="0.25">
      <c r="B403" s="2" t="s">
        <v>1207</v>
      </c>
      <c r="C403" s="2" t="s">
        <v>138</v>
      </c>
      <c r="D403" s="2" t="s">
        <v>122</v>
      </c>
      <c r="E403" s="2" t="s">
        <v>4647</v>
      </c>
      <c r="F403" s="2">
        <v>46</v>
      </c>
      <c r="G403" s="2">
        <v>46</v>
      </c>
      <c r="H403" s="2">
        <v>0</v>
      </c>
      <c r="I403" s="1">
        <v>0</v>
      </c>
      <c r="J403" s="26">
        <v>45240</v>
      </c>
      <c r="K403" s="22">
        <v>138000</v>
      </c>
      <c r="L403" s="18">
        <v>147.59</v>
      </c>
      <c r="M403" s="22">
        <v>101200</v>
      </c>
      <c r="N403" s="22">
        <v>36800</v>
      </c>
      <c r="O403" s="18">
        <v>39.36</v>
      </c>
      <c r="P403" s="52">
        <f>IF(COUNTIF(TblPurchases[BatchID],TblOutcomes[[#This Row],[BatchID]])&lt;&gt;1,"n.a.",TblOutcomes[[#This Row],[Qty Wasted]]*SUMIFS(TblPurchases[Unit Cost (CLP)],TblPurchases[BatchID],TblOutcomes[[#This Row],[BatchID]]))</f>
        <v>0</v>
      </c>
      <c r="Q403" s="51">
        <f>IF(COUNTIF(TblPurchases[BatchID],TblOutcomes[[#This Row],[BatchID]])&lt;&gt;1,"n.a.",SUMIFS(TblPurchases[Purchase Date],TblPurchases[BatchID],TblOutcomes[[#This Row],[BatchID]]))</f>
        <v>45229</v>
      </c>
    </row>
    <row r="404" spans="2:17" x14ac:dyDescent="0.25">
      <c r="B404" s="2" t="s">
        <v>1208</v>
      </c>
      <c r="C404" s="2" t="s">
        <v>138</v>
      </c>
      <c r="D404" s="2" t="s">
        <v>122</v>
      </c>
      <c r="E404" s="2" t="s">
        <v>4647</v>
      </c>
      <c r="F404" s="2">
        <v>36</v>
      </c>
      <c r="G404" s="2">
        <v>36</v>
      </c>
      <c r="H404" s="2">
        <v>0</v>
      </c>
      <c r="I404" s="1">
        <v>0</v>
      </c>
      <c r="J404" s="26">
        <v>45249</v>
      </c>
      <c r="K404" s="22">
        <v>108000</v>
      </c>
      <c r="L404" s="18">
        <v>115.51</v>
      </c>
      <c r="M404" s="22">
        <v>79200</v>
      </c>
      <c r="N404" s="22">
        <v>28800</v>
      </c>
      <c r="O404" s="18">
        <v>30.8</v>
      </c>
      <c r="P404" s="52">
        <f>IF(COUNTIF(TblPurchases[BatchID],TblOutcomes[[#This Row],[BatchID]])&lt;&gt;1,"n.a.",TblOutcomes[[#This Row],[Qty Wasted]]*SUMIFS(TblPurchases[Unit Cost (CLP)],TblPurchases[BatchID],TblOutcomes[[#This Row],[BatchID]]))</f>
        <v>0</v>
      </c>
      <c r="Q404" s="51">
        <f>IF(COUNTIF(TblPurchases[BatchID],TblOutcomes[[#This Row],[BatchID]])&lt;&gt;1,"n.a.",SUMIFS(TblPurchases[Purchase Date],TblPurchases[BatchID],TblOutcomes[[#This Row],[BatchID]]))</f>
        <v>45238</v>
      </c>
    </row>
    <row r="405" spans="2:17" x14ac:dyDescent="0.25">
      <c r="B405" s="2" t="s">
        <v>1209</v>
      </c>
      <c r="C405" s="2" t="s">
        <v>138</v>
      </c>
      <c r="D405" s="2" t="s">
        <v>122</v>
      </c>
      <c r="E405" s="2" t="s">
        <v>4646</v>
      </c>
      <c r="F405" s="2">
        <v>46</v>
      </c>
      <c r="G405" s="2">
        <v>35.47</v>
      </c>
      <c r="H405" s="2">
        <v>10.53</v>
      </c>
      <c r="I405" s="1">
        <v>22.9</v>
      </c>
      <c r="J405" s="26">
        <v>45293</v>
      </c>
      <c r="K405" s="22">
        <v>106410</v>
      </c>
      <c r="L405" s="18">
        <v>113.81</v>
      </c>
      <c r="M405" s="22">
        <v>101200</v>
      </c>
      <c r="N405" s="22">
        <v>5210</v>
      </c>
      <c r="O405" s="18">
        <v>5.57</v>
      </c>
      <c r="P405" s="52">
        <f>IF(COUNTIF(TblPurchases[BatchID],TblOutcomes[[#This Row],[BatchID]])&lt;&gt;1,"n.a.",TblOutcomes[[#This Row],[Qty Wasted]]*SUMIFS(TblPurchases[Unit Cost (CLP)],TblPurchases[BatchID],TblOutcomes[[#This Row],[BatchID]]))</f>
        <v>23166</v>
      </c>
      <c r="Q405" s="51">
        <f>IF(COUNTIF(TblPurchases[BatchID],TblOutcomes[[#This Row],[BatchID]])&lt;&gt;1,"n.a.",SUMIFS(TblPurchases[Purchase Date],TblPurchases[BatchID],TblOutcomes[[#This Row],[BatchID]]))</f>
        <v>45248</v>
      </c>
    </row>
    <row r="406" spans="2:17" x14ac:dyDescent="0.25">
      <c r="B406" s="2" t="s">
        <v>1210</v>
      </c>
      <c r="C406" s="2" t="s">
        <v>138</v>
      </c>
      <c r="D406" s="2" t="s">
        <v>122</v>
      </c>
      <c r="E406" s="2" t="s">
        <v>4647</v>
      </c>
      <c r="F406" s="2">
        <v>38</v>
      </c>
      <c r="G406" s="2">
        <v>38</v>
      </c>
      <c r="H406" s="2">
        <v>0</v>
      </c>
      <c r="I406" s="1">
        <v>0</v>
      </c>
      <c r="J406" s="26">
        <v>45259</v>
      </c>
      <c r="K406" s="22">
        <v>114000</v>
      </c>
      <c r="L406" s="18">
        <v>121.93</v>
      </c>
      <c r="M406" s="22">
        <v>83600</v>
      </c>
      <c r="N406" s="22">
        <v>30400</v>
      </c>
      <c r="O406" s="18">
        <v>32.51</v>
      </c>
      <c r="P406" s="52">
        <f>IF(COUNTIF(TblPurchases[BatchID],TblOutcomes[[#This Row],[BatchID]])&lt;&gt;1,"n.a.",TblOutcomes[[#This Row],[Qty Wasted]]*SUMIFS(TblPurchases[Unit Cost (CLP)],TblPurchases[BatchID],TblOutcomes[[#This Row],[BatchID]]))</f>
        <v>0</v>
      </c>
      <c r="Q406" s="51">
        <f>IF(COUNTIF(TblPurchases[BatchID],TblOutcomes[[#This Row],[BatchID]])&lt;&gt;1,"n.a.",SUMIFS(TblPurchases[Purchase Date],TblPurchases[BatchID],TblOutcomes[[#This Row],[BatchID]]))</f>
        <v>45256</v>
      </c>
    </row>
    <row r="407" spans="2:17" x14ac:dyDescent="0.25">
      <c r="B407" s="2" t="s">
        <v>1211</v>
      </c>
      <c r="C407" s="2" t="s">
        <v>138</v>
      </c>
      <c r="D407" s="2" t="s">
        <v>122</v>
      </c>
      <c r="E407" s="2" t="s">
        <v>4647</v>
      </c>
      <c r="F407" s="2">
        <v>55</v>
      </c>
      <c r="G407" s="2">
        <v>55</v>
      </c>
      <c r="H407" s="2">
        <v>0</v>
      </c>
      <c r="I407" s="1">
        <v>0</v>
      </c>
      <c r="J407" s="26">
        <v>45273</v>
      </c>
      <c r="K407" s="22">
        <v>165000</v>
      </c>
      <c r="L407" s="18">
        <v>176.47</v>
      </c>
      <c r="M407" s="22">
        <v>121000</v>
      </c>
      <c r="N407" s="22">
        <v>44000</v>
      </c>
      <c r="O407" s="18">
        <v>47.06</v>
      </c>
      <c r="P407" s="52">
        <f>IF(COUNTIF(TblPurchases[BatchID],TblOutcomes[[#This Row],[BatchID]])&lt;&gt;1,"n.a.",TblOutcomes[[#This Row],[Qty Wasted]]*SUMIFS(TblPurchases[Unit Cost (CLP)],TblPurchases[BatchID],TblOutcomes[[#This Row],[BatchID]]))</f>
        <v>0</v>
      </c>
      <c r="Q407" s="51">
        <f>IF(COUNTIF(TblPurchases[BatchID],TblOutcomes[[#This Row],[BatchID]])&lt;&gt;1,"n.a.",SUMIFS(TblPurchases[Purchase Date],TblPurchases[BatchID],TblOutcomes[[#This Row],[BatchID]]))</f>
        <v>45265</v>
      </c>
    </row>
    <row r="408" spans="2:17" x14ac:dyDescent="0.25">
      <c r="B408" s="2" t="s">
        <v>1212</v>
      </c>
      <c r="C408" s="2" t="s">
        <v>138</v>
      </c>
      <c r="D408" s="2" t="s">
        <v>122</v>
      </c>
      <c r="E408" s="2" t="s">
        <v>4647</v>
      </c>
      <c r="F408" s="2">
        <v>45</v>
      </c>
      <c r="G408" s="2">
        <v>45</v>
      </c>
      <c r="H408" s="2">
        <v>0</v>
      </c>
      <c r="I408" s="1">
        <v>0</v>
      </c>
      <c r="J408" s="26">
        <v>45279</v>
      </c>
      <c r="K408" s="22">
        <v>135000</v>
      </c>
      <c r="L408" s="18">
        <v>144.38999999999999</v>
      </c>
      <c r="M408" s="22">
        <v>99000</v>
      </c>
      <c r="N408" s="22">
        <v>36000</v>
      </c>
      <c r="O408" s="18">
        <v>38.5</v>
      </c>
      <c r="P408" s="52">
        <f>IF(COUNTIF(TblPurchases[BatchID],TblOutcomes[[#This Row],[BatchID]])&lt;&gt;1,"n.a.",TblOutcomes[[#This Row],[Qty Wasted]]*SUMIFS(TblPurchases[Unit Cost (CLP)],TblPurchases[BatchID],TblOutcomes[[#This Row],[BatchID]]))</f>
        <v>0</v>
      </c>
      <c r="Q408" s="51">
        <f>IF(COUNTIF(TblPurchases[BatchID],TblOutcomes[[#This Row],[BatchID]])&lt;&gt;1,"n.a.",SUMIFS(TblPurchases[Purchase Date],TblPurchases[BatchID],TblOutcomes[[#This Row],[BatchID]]))</f>
        <v>45275</v>
      </c>
    </row>
    <row r="409" spans="2:17" x14ac:dyDescent="0.25">
      <c r="B409" s="2" t="s">
        <v>1213</v>
      </c>
      <c r="C409" s="2" t="s">
        <v>138</v>
      </c>
      <c r="D409" s="2" t="s">
        <v>122</v>
      </c>
      <c r="E409" s="2" t="s">
        <v>4647</v>
      </c>
      <c r="F409" s="2">
        <v>52</v>
      </c>
      <c r="G409" s="2">
        <v>52</v>
      </c>
      <c r="H409" s="2">
        <v>0</v>
      </c>
      <c r="I409" s="1">
        <v>0</v>
      </c>
      <c r="J409" s="26">
        <v>45293</v>
      </c>
      <c r="K409" s="22">
        <v>156000</v>
      </c>
      <c r="L409" s="18">
        <v>166.84</v>
      </c>
      <c r="M409" s="22">
        <v>114400</v>
      </c>
      <c r="N409" s="22">
        <v>41600</v>
      </c>
      <c r="O409" s="18">
        <v>44.49</v>
      </c>
      <c r="P409" s="52">
        <f>IF(COUNTIF(TblPurchases[BatchID],TblOutcomes[[#This Row],[BatchID]])&lt;&gt;1,"n.a.",TblOutcomes[[#This Row],[Qty Wasted]]*SUMIFS(TblPurchases[Unit Cost (CLP)],TblPurchases[BatchID],TblOutcomes[[#This Row],[BatchID]]))</f>
        <v>0</v>
      </c>
      <c r="Q409" s="51">
        <f>IF(COUNTIF(TblPurchases[BatchID],TblOutcomes[[#This Row],[BatchID]])&lt;&gt;1,"n.a.",SUMIFS(TblPurchases[Purchase Date],TblPurchases[BatchID],TblOutcomes[[#This Row],[BatchID]]))</f>
        <v>45284</v>
      </c>
    </row>
    <row r="410" spans="2:17" x14ac:dyDescent="0.25">
      <c r="B410" s="2" t="s">
        <v>1214</v>
      </c>
      <c r="C410" s="2" t="s">
        <v>138</v>
      </c>
      <c r="D410" s="2" t="s">
        <v>122</v>
      </c>
      <c r="E410" s="2" t="s">
        <v>4647</v>
      </c>
      <c r="F410" s="2">
        <v>38</v>
      </c>
      <c r="G410" s="2">
        <v>38</v>
      </c>
      <c r="H410" s="2">
        <v>0</v>
      </c>
      <c r="I410" s="1">
        <v>0</v>
      </c>
      <c r="J410" s="26">
        <v>45299</v>
      </c>
      <c r="K410" s="22">
        <v>114000</v>
      </c>
      <c r="L410" s="18">
        <v>121.93</v>
      </c>
      <c r="M410" s="22">
        <v>83600</v>
      </c>
      <c r="N410" s="22">
        <v>30400</v>
      </c>
      <c r="O410" s="18">
        <v>32.51</v>
      </c>
      <c r="P410" s="52">
        <f>IF(COUNTIF(TblPurchases[BatchID],TblOutcomes[[#This Row],[BatchID]])&lt;&gt;1,"n.a.",TblOutcomes[[#This Row],[Qty Wasted]]*SUMIFS(TblPurchases[Unit Cost (CLP)],TblPurchases[BatchID],TblOutcomes[[#This Row],[BatchID]]))</f>
        <v>0</v>
      </c>
      <c r="Q410" s="51">
        <f>IF(COUNTIF(TblPurchases[BatchID],TblOutcomes[[#This Row],[BatchID]])&lt;&gt;1,"n.a.",SUMIFS(TblPurchases[Purchase Date],TblPurchases[BatchID],TblOutcomes[[#This Row],[BatchID]]))</f>
        <v>45294</v>
      </c>
    </row>
    <row r="411" spans="2:17" x14ac:dyDescent="0.25">
      <c r="B411" s="2" t="s">
        <v>1215</v>
      </c>
      <c r="C411" s="2" t="s">
        <v>138</v>
      </c>
      <c r="D411" s="2" t="s">
        <v>122</v>
      </c>
      <c r="E411" s="2" t="s">
        <v>4646</v>
      </c>
      <c r="F411" s="2">
        <v>39</v>
      </c>
      <c r="G411" s="2">
        <v>28.24</v>
      </c>
      <c r="H411" s="2">
        <v>10.76</v>
      </c>
      <c r="I411" s="1">
        <v>27.6</v>
      </c>
      <c r="J411" s="26">
        <v>45348</v>
      </c>
      <c r="K411" s="22">
        <v>84720</v>
      </c>
      <c r="L411" s="18">
        <v>90.61</v>
      </c>
      <c r="M411" s="22">
        <v>85800</v>
      </c>
      <c r="N411" s="22">
        <v>-1080</v>
      </c>
      <c r="O411" s="18">
        <v>-1.1599999999999999</v>
      </c>
      <c r="P411" s="52">
        <f>IF(COUNTIF(TblPurchases[BatchID],TblOutcomes[[#This Row],[BatchID]])&lt;&gt;1,"n.a.",TblOutcomes[[#This Row],[Qty Wasted]]*SUMIFS(TblPurchases[Unit Cost (CLP)],TblPurchases[BatchID],TblOutcomes[[#This Row],[BatchID]]))</f>
        <v>23672</v>
      </c>
      <c r="Q411" s="51">
        <f>IF(COUNTIF(TblPurchases[BatchID],TblOutcomes[[#This Row],[BatchID]])&lt;&gt;1,"n.a.",SUMIFS(TblPurchases[Purchase Date],TblPurchases[BatchID],TblOutcomes[[#This Row],[BatchID]]))</f>
        <v>45303</v>
      </c>
    </row>
    <row r="412" spans="2:17" x14ac:dyDescent="0.25">
      <c r="B412" s="2" t="s">
        <v>1216</v>
      </c>
      <c r="C412" s="2" t="s">
        <v>138</v>
      </c>
      <c r="D412" s="2" t="s">
        <v>122</v>
      </c>
      <c r="E412" s="2" t="s">
        <v>4647</v>
      </c>
      <c r="F412" s="2">
        <v>40</v>
      </c>
      <c r="G412" s="2">
        <v>40</v>
      </c>
      <c r="H412" s="2">
        <v>0</v>
      </c>
      <c r="I412" s="1">
        <v>0</v>
      </c>
      <c r="J412" s="26">
        <v>45321</v>
      </c>
      <c r="K412" s="22">
        <v>120000</v>
      </c>
      <c r="L412" s="18">
        <v>128.34</v>
      </c>
      <c r="M412" s="22">
        <v>88000</v>
      </c>
      <c r="N412" s="22">
        <v>32000</v>
      </c>
      <c r="O412" s="18">
        <v>34.22</v>
      </c>
      <c r="P412" s="52">
        <f>IF(COUNTIF(TblPurchases[BatchID],TblOutcomes[[#This Row],[BatchID]])&lt;&gt;1,"n.a.",TblOutcomes[[#This Row],[Qty Wasted]]*SUMIFS(TblPurchases[Unit Cost (CLP)],TblPurchases[BatchID],TblOutcomes[[#This Row],[BatchID]]))</f>
        <v>0</v>
      </c>
      <c r="Q412" s="51">
        <f>IF(COUNTIF(TblPurchases[BatchID],TblOutcomes[[#This Row],[BatchID]])&lt;&gt;1,"n.a.",SUMIFS(TblPurchases[Purchase Date],TblPurchases[BatchID],TblOutcomes[[#This Row],[BatchID]]))</f>
        <v>45311</v>
      </c>
    </row>
    <row r="413" spans="2:17" x14ac:dyDescent="0.25">
      <c r="B413" s="2" t="s">
        <v>1217</v>
      </c>
      <c r="C413" s="2" t="s">
        <v>138</v>
      </c>
      <c r="D413" s="2" t="s">
        <v>122</v>
      </c>
      <c r="E413" s="2" t="s">
        <v>4647</v>
      </c>
      <c r="F413" s="2">
        <v>39</v>
      </c>
      <c r="G413" s="2">
        <v>39</v>
      </c>
      <c r="H413" s="2">
        <v>0</v>
      </c>
      <c r="I413" s="1">
        <v>0</v>
      </c>
      <c r="J413" s="26">
        <v>45331</v>
      </c>
      <c r="K413" s="22">
        <v>117000</v>
      </c>
      <c r="L413" s="18">
        <v>125.13</v>
      </c>
      <c r="M413" s="22">
        <v>85800</v>
      </c>
      <c r="N413" s="22">
        <v>31200</v>
      </c>
      <c r="O413" s="18">
        <v>33.369999999999997</v>
      </c>
      <c r="P413" s="52">
        <f>IF(COUNTIF(TblPurchases[BatchID],TblOutcomes[[#This Row],[BatchID]])&lt;&gt;1,"n.a.",TblOutcomes[[#This Row],[Qty Wasted]]*SUMIFS(TblPurchases[Unit Cost (CLP)],TblPurchases[BatchID],TblOutcomes[[#This Row],[BatchID]]))</f>
        <v>0</v>
      </c>
      <c r="Q413" s="51">
        <f>IF(COUNTIF(TblPurchases[BatchID],TblOutcomes[[#This Row],[BatchID]])&lt;&gt;1,"n.a.",SUMIFS(TblPurchases[Purchase Date],TblPurchases[BatchID],TblOutcomes[[#This Row],[BatchID]]))</f>
        <v>45321</v>
      </c>
    </row>
    <row r="414" spans="2:17" x14ac:dyDescent="0.25">
      <c r="B414" s="2" t="s">
        <v>1218</v>
      </c>
      <c r="C414" s="2" t="s">
        <v>138</v>
      </c>
      <c r="D414" s="2" t="s">
        <v>122</v>
      </c>
      <c r="E414" s="2" t="s">
        <v>4646</v>
      </c>
      <c r="F414" s="2">
        <v>42</v>
      </c>
      <c r="G414" s="2">
        <v>30.74</v>
      </c>
      <c r="H414" s="2">
        <v>11.26</v>
      </c>
      <c r="I414" s="1">
        <v>26.8</v>
      </c>
      <c r="J414" s="26">
        <v>45376</v>
      </c>
      <c r="K414" s="22">
        <v>92220</v>
      </c>
      <c r="L414" s="18">
        <v>98.63</v>
      </c>
      <c r="M414" s="22">
        <v>92400</v>
      </c>
      <c r="N414" s="22">
        <v>-180</v>
      </c>
      <c r="O414" s="18">
        <v>-0.19</v>
      </c>
      <c r="P414" s="52">
        <f>IF(COUNTIF(TblPurchases[BatchID],TblOutcomes[[#This Row],[BatchID]])&lt;&gt;1,"n.a.",TblOutcomes[[#This Row],[Qty Wasted]]*SUMIFS(TblPurchases[Unit Cost (CLP)],TblPurchases[BatchID],TblOutcomes[[#This Row],[BatchID]]))</f>
        <v>24772</v>
      </c>
      <c r="Q414" s="51">
        <f>IF(COUNTIF(TblPurchases[BatchID],TblOutcomes[[#This Row],[BatchID]])&lt;&gt;1,"n.a.",SUMIFS(TblPurchases[Purchase Date],TblPurchases[BatchID],TblOutcomes[[#This Row],[BatchID]]))</f>
        <v>45331</v>
      </c>
    </row>
    <row r="415" spans="2:17" x14ac:dyDescent="0.25">
      <c r="B415" s="2" t="s">
        <v>1219</v>
      </c>
      <c r="C415" s="2" t="s">
        <v>138</v>
      </c>
      <c r="D415" s="2" t="s">
        <v>122</v>
      </c>
      <c r="E415" s="2" t="s">
        <v>4647</v>
      </c>
      <c r="F415" s="2">
        <v>36</v>
      </c>
      <c r="G415" s="2">
        <v>36</v>
      </c>
      <c r="H415" s="2">
        <v>0</v>
      </c>
      <c r="I415" s="1">
        <v>0</v>
      </c>
      <c r="J415" s="26">
        <v>45348</v>
      </c>
      <c r="K415" s="22">
        <v>108000</v>
      </c>
      <c r="L415" s="18">
        <v>115.51</v>
      </c>
      <c r="M415" s="22">
        <v>79200</v>
      </c>
      <c r="N415" s="22">
        <v>28800</v>
      </c>
      <c r="O415" s="18">
        <v>30.8</v>
      </c>
      <c r="P415" s="52">
        <f>IF(COUNTIF(TblPurchases[BatchID],TblOutcomes[[#This Row],[BatchID]])&lt;&gt;1,"n.a.",TblOutcomes[[#This Row],[Qty Wasted]]*SUMIFS(TblPurchases[Unit Cost (CLP)],TblPurchases[BatchID],TblOutcomes[[#This Row],[BatchID]]))</f>
        <v>0</v>
      </c>
      <c r="Q415" s="51">
        <f>IF(COUNTIF(TblPurchases[BatchID],TblOutcomes[[#This Row],[BatchID]])&lt;&gt;1,"n.a.",SUMIFS(TblPurchases[Purchase Date],TblPurchases[BatchID],TblOutcomes[[#This Row],[BatchID]]))</f>
        <v>45340</v>
      </c>
    </row>
    <row r="416" spans="2:17" x14ac:dyDescent="0.25">
      <c r="B416" s="2" t="s">
        <v>1220</v>
      </c>
      <c r="C416" s="2" t="s">
        <v>138</v>
      </c>
      <c r="D416" s="2" t="s">
        <v>122</v>
      </c>
      <c r="E416" s="2" t="s">
        <v>4646</v>
      </c>
      <c r="F416" s="2">
        <v>34</v>
      </c>
      <c r="G416" s="2">
        <v>25.64</v>
      </c>
      <c r="H416" s="2">
        <v>8.36</v>
      </c>
      <c r="I416" s="1">
        <v>24.6</v>
      </c>
      <c r="J416" s="26">
        <v>45395</v>
      </c>
      <c r="K416" s="22">
        <v>76920</v>
      </c>
      <c r="L416" s="18">
        <v>82.27</v>
      </c>
      <c r="M416" s="22">
        <v>74800</v>
      </c>
      <c r="N416" s="22">
        <v>2120</v>
      </c>
      <c r="O416" s="18">
        <v>2.27</v>
      </c>
      <c r="P416" s="52">
        <f>IF(COUNTIF(TblPurchases[BatchID],TblOutcomes[[#This Row],[BatchID]])&lt;&gt;1,"n.a.",TblOutcomes[[#This Row],[Qty Wasted]]*SUMIFS(TblPurchases[Unit Cost (CLP)],TblPurchases[BatchID],TblOutcomes[[#This Row],[BatchID]]))</f>
        <v>18392</v>
      </c>
      <c r="Q416" s="51">
        <f>IF(COUNTIF(TblPurchases[BatchID],TblOutcomes[[#This Row],[BatchID]])&lt;&gt;1,"n.a.",SUMIFS(TblPurchases[Purchase Date],TblPurchases[BatchID],TblOutcomes[[#This Row],[BatchID]]))</f>
        <v>45350</v>
      </c>
    </row>
    <row r="417" spans="2:17" x14ac:dyDescent="0.25">
      <c r="B417" s="2" t="s">
        <v>1221</v>
      </c>
      <c r="C417" s="2" t="s">
        <v>138</v>
      </c>
      <c r="D417" s="2" t="s">
        <v>122</v>
      </c>
      <c r="E417" s="2" t="s">
        <v>4647</v>
      </c>
      <c r="F417" s="2">
        <v>44</v>
      </c>
      <c r="G417" s="2">
        <v>44</v>
      </c>
      <c r="H417" s="2">
        <v>0</v>
      </c>
      <c r="I417" s="1">
        <v>0</v>
      </c>
      <c r="J417" s="26">
        <v>45366</v>
      </c>
      <c r="K417" s="22">
        <v>132000</v>
      </c>
      <c r="L417" s="18">
        <v>141.18</v>
      </c>
      <c r="M417" s="22">
        <v>96800</v>
      </c>
      <c r="N417" s="22">
        <v>35200</v>
      </c>
      <c r="O417" s="18">
        <v>37.65</v>
      </c>
      <c r="P417" s="52">
        <f>IF(COUNTIF(TblPurchases[BatchID],TblOutcomes[[#This Row],[BatchID]])&lt;&gt;1,"n.a.",TblOutcomes[[#This Row],[Qty Wasted]]*SUMIFS(TblPurchases[Unit Cost (CLP)],TblPurchases[BatchID],TblOutcomes[[#This Row],[BatchID]]))</f>
        <v>0</v>
      </c>
      <c r="Q417" s="51">
        <f>IF(COUNTIF(TblPurchases[BatchID],TblOutcomes[[#This Row],[BatchID]])&lt;&gt;1,"n.a.",SUMIFS(TblPurchases[Purchase Date],TblPurchases[BatchID],TblOutcomes[[#This Row],[BatchID]]))</f>
        <v>45357</v>
      </c>
    </row>
    <row r="418" spans="2:17" x14ac:dyDescent="0.25">
      <c r="B418" s="2" t="s">
        <v>1222</v>
      </c>
      <c r="C418" s="2" t="s">
        <v>138</v>
      </c>
      <c r="D418" s="2" t="s">
        <v>122</v>
      </c>
      <c r="E418" s="2" t="s">
        <v>4647</v>
      </c>
      <c r="F418" s="2">
        <v>37</v>
      </c>
      <c r="G418" s="2">
        <v>37</v>
      </c>
      <c r="H418" s="2">
        <v>0</v>
      </c>
      <c r="I418" s="1">
        <v>0</v>
      </c>
      <c r="J418" s="26">
        <v>45377</v>
      </c>
      <c r="K418" s="22">
        <v>111000</v>
      </c>
      <c r="L418" s="18">
        <v>118.72</v>
      </c>
      <c r="M418" s="22">
        <v>81400</v>
      </c>
      <c r="N418" s="22">
        <v>29600</v>
      </c>
      <c r="O418" s="18">
        <v>31.66</v>
      </c>
      <c r="P418" s="52">
        <f>IF(COUNTIF(TblPurchases[BatchID],TblOutcomes[[#This Row],[BatchID]])&lt;&gt;1,"n.a.",TblOutcomes[[#This Row],[Qty Wasted]]*SUMIFS(TblPurchases[Unit Cost (CLP)],TblPurchases[BatchID],TblOutcomes[[#This Row],[BatchID]]))</f>
        <v>0</v>
      </c>
      <c r="Q418" s="51">
        <f>IF(COUNTIF(TblPurchases[BatchID],TblOutcomes[[#This Row],[BatchID]])&lt;&gt;1,"n.a.",SUMIFS(TblPurchases[Purchase Date],TblPurchases[BatchID],TblOutcomes[[#This Row],[BatchID]]))</f>
        <v>45367</v>
      </c>
    </row>
    <row r="419" spans="2:17" x14ac:dyDescent="0.25">
      <c r="B419" s="2" t="s">
        <v>1223</v>
      </c>
      <c r="C419" s="2" t="s">
        <v>138</v>
      </c>
      <c r="D419" s="2" t="s">
        <v>122</v>
      </c>
      <c r="E419" s="2" t="s">
        <v>4647</v>
      </c>
      <c r="F419" s="2">
        <v>38</v>
      </c>
      <c r="G419" s="2">
        <v>38</v>
      </c>
      <c r="H419" s="2">
        <v>0</v>
      </c>
      <c r="I419" s="1">
        <v>0</v>
      </c>
      <c r="J419" s="26">
        <v>45380</v>
      </c>
      <c r="K419" s="22">
        <v>114000</v>
      </c>
      <c r="L419" s="18">
        <v>121.93</v>
      </c>
      <c r="M419" s="22">
        <v>83600</v>
      </c>
      <c r="N419" s="22">
        <v>30400</v>
      </c>
      <c r="O419" s="18">
        <v>32.51</v>
      </c>
      <c r="P419" s="52">
        <f>IF(COUNTIF(TblPurchases[BatchID],TblOutcomes[[#This Row],[BatchID]])&lt;&gt;1,"n.a.",TblOutcomes[[#This Row],[Qty Wasted]]*SUMIFS(TblPurchases[Unit Cost (CLP)],TblPurchases[BatchID],TblOutcomes[[#This Row],[BatchID]]))</f>
        <v>0</v>
      </c>
      <c r="Q419" s="51">
        <f>IF(COUNTIF(TblPurchases[BatchID],TblOutcomes[[#This Row],[BatchID]])&lt;&gt;1,"n.a.",SUMIFS(TblPurchases[Purchase Date],TblPurchases[BatchID],TblOutcomes[[#This Row],[BatchID]]))</f>
        <v>45375</v>
      </c>
    </row>
    <row r="420" spans="2:17" x14ac:dyDescent="0.25">
      <c r="B420" s="2" t="s">
        <v>1224</v>
      </c>
      <c r="C420" s="2" t="s">
        <v>138</v>
      </c>
      <c r="D420" s="2" t="s">
        <v>122</v>
      </c>
      <c r="E420" s="2" t="s">
        <v>4646</v>
      </c>
      <c r="F420" s="2">
        <v>14</v>
      </c>
      <c r="G420" s="2">
        <v>11.27</v>
      </c>
      <c r="H420" s="2">
        <v>2.73</v>
      </c>
      <c r="I420" s="1">
        <v>19.5</v>
      </c>
      <c r="J420" s="26">
        <v>45432</v>
      </c>
      <c r="K420" s="22">
        <v>33810</v>
      </c>
      <c r="L420" s="18">
        <v>36.159999999999997</v>
      </c>
      <c r="M420" s="22">
        <v>30800</v>
      </c>
      <c r="N420" s="22">
        <v>3010</v>
      </c>
      <c r="O420" s="18">
        <v>3.22</v>
      </c>
      <c r="P420" s="52">
        <f>IF(COUNTIF(TblPurchases[BatchID],TblOutcomes[[#This Row],[BatchID]])&lt;&gt;1,"n.a.",TblOutcomes[[#This Row],[Qty Wasted]]*SUMIFS(TblPurchases[Unit Cost (CLP)],TblPurchases[BatchID],TblOutcomes[[#This Row],[BatchID]]))</f>
        <v>6006</v>
      </c>
      <c r="Q420" s="51">
        <f>IF(COUNTIF(TblPurchases[BatchID],TblOutcomes[[#This Row],[BatchID]])&lt;&gt;1,"n.a.",SUMIFS(TblPurchases[Purchase Date],TblPurchases[BatchID],TblOutcomes[[#This Row],[BatchID]]))</f>
        <v>45387</v>
      </c>
    </row>
    <row r="421" spans="2:17" x14ac:dyDescent="0.25">
      <c r="B421" s="2" t="s">
        <v>1225</v>
      </c>
      <c r="C421" s="2" t="s">
        <v>138</v>
      </c>
      <c r="D421" s="2" t="s">
        <v>122</v>
      </c>
      <c r="E421" s="2" t="s">
        <v>4646</v>
      </c>
      <c r="F421" s="2">
        <v>13</v>
      </c>
      <c r="G421" s="2">
        <v>10</v>
      </c>
      <c r="H421" s="2">
        <v>3</v>
      </c>
      <c r="I421" s="1">
        <v>23.1</v>
      </c>
      <c r="J421" s="26">
        <v>45439</v>
      </c>
      <c r="K421" s="22">
        <v>30000</v>
      </c>
      <c r="L421" s="18">
        <v>32.090000000000003</v>
      </c>
      <c r="M421" s="22">
        <v>28600</v>
      </c>
      <c r="N421" s="22">
        <v>1400</v>
      </c>
      <c r="O421" s="18">
        <v>1.5</v>
      </c>
      <c r="P421" s="52">
        <f>IF(COUNTIF(TblPurchases[BatchID],TblOutcomes[[#This Row],[BatchID]])&lt;&gt;1,"n.a.",TblOutcomes[[#This Row],[Qty Wasted]]*SUMIFS(TblPurchases[Unit Cost (CLP)],TblPurchases[BatchID],TblOutcomes[[#This Row],[BatchID]]))</f>
        <v>6600</v>
      </c>
      <c r="Q421" s="51">
        <f>IF(COUNTIF(TblPurchases[BatchID],TblOutcomes[[#This Row],[BatchID]])&lt;&gt;1,"n.a.",SUMIFS(TblPurchases[Purchase Date],TblPurchases[BatchID],TblOutcomes[[#This Row],[BatchID]]))</f>
        <v>45394</v>
      </c>
    </row>
    <row r="422" spans="2:17" x14ac:dyDescent="0.25">
      <c r="B422" s="2" t="s">
        <v>1226</v>
      </c>
      <c r="C422" s="2" t="s">
        <v>138</v>
      </c>
      <c r="D422" s="2" t="s">
        <v>122</v>
      </c>
      <c r="E422" s="2" t="s">
        <v>4647</v>
      </c>
      <c r="F422" s="2">
        <v>16</v>
      </c>
      <c r="G422" s="2">
        <v>16</v>
      </c>
      <c r="H422" s="2">
        <v>0</v>
      </c>
      <c r="I422" s="1">
        <v>0</v>
      </c>
      <c r="J422" s="26">
        <v>45413</v>
      </c>
      <c r="K422" s="22">
        <v>48000</v>
      </c>
      <c r="L422" s="18">
        <v>51.34</v>
      </c>
      <c r="M422" s="22">
        <v>35200</v>
      </c>
      <c r="N422" s="22">
        <v>12800</v>
      </c>
      <c r="O422" s="18">
        <v>13.69</v>
      </c>
      <c r="P422" s="52">
        <f>IF(COUNTIF(TblPurchases[BatchID],TblOutcomes[[#This Row],[BatchID]])&lt;&gt;1,"n.a.",TblOutcomes[[#This Row],[Qty Wasted]]*SUMIFS(TblPurchases[Unit Cost (CLP)],TblPurchases[BatchID],TblOutcomes[[#This Row],[BatchID]]))</f>
        <v>0</v>
      </c>
      <c r="Q422" s="51">
        <f>IF(COUNTIF(TblPurchases[BatchID],TblOutcomes[[#This Row],[BatchID]])&lt;&gt;1,"n.a.",SUMIFS(TblPurchases[Purchase Date],TblPurchases[BatchID],TblOutcomes[[#This Row],[BatchID]]))</f>
        <v>45405</v>
      </c>
    </row>
    <row r="423" spans="2:17" x14ac:dyDescent="0.25">
      <c r="B423" s="2" t="s">
        <v>1227</v>
      </c>
      <c r="C423" s="2" t="s">
        <v>138</v>
      </c>
      <c r="D423" s="2" t="s">
        <v>122</v>
      </c>
      <c r="E423" s="2" t="s">
        <v>4647</v>
      </c>
      <c r="F423" s="2">
        <v>16</v>
      </c>
      <c r="G423" s="2">
        <v>16</v>
      </c>
      <c r="H423" s="2">
        <v>0</v>
      </c>
      <c r="I423" s="1">
        <v>0</v>
      </c>
      <c r="J423" s="26">
        <v>45423</v>
      </c>
      <c r="K423" s="22">
        <v>48000</v>
      </c>
      <c r="L423" s="18">
        <v>51.34</v>
      </c>
      <c r="M423" s="22">
        <v>35200</v>
      </c>
      <c r="N423" s="22">
        <v>12800</v>
      </c>
      <c r="O423" s="18">
        <v>13.69</v>
      </c>
      <c r="P423" s="52">
        <f>IF(COUNTIF(TblPurchases[BatchID],TblOutcomes[[#This Row],[BatchID]])&lt;&gt;1,"n.a.",TblOutcomes[[#This Row],[Qty Wasted]]*SUMIFS(TblPurchases[Unit Cost (CLP)],TblPurchases[BatchID],TblOutcomes[[#This Row],[BatchID]]))</f>
        <v>0</v>
      </c>
      <c r="Q423" s="51">
        <f>IF(COUNTIF(TblPurchases[BatchID],TblOutcomes[[#This Row],[BatchID]])&lt;&gt;1,"n.a.",SUMIFS(TblPurchases[Purchase Date],TblPurchases[BatchID],TblOutcomes[[#This Row],[BatchID]]))</f>
        <v>45413</v>
      </c>
    </row>
    <row r="424" spans="2:17" x14ac:dyDescent="0.25">
      <c r="B424" s="2" t="s">
        <v>1228</v>
      </c>
      <c r="C424" s="2" t="s">
        <v>138</v>
      </c>
      <c r="D424" s="2" t="s">
        <v>122</v>
      </c>
      <c r="E424" s="2" t="s">
        <v>4646</v>
      </c>
      <c r="F424" s="2">
        <v>14</v>
      </c>
      <c r="G424" s="2">
        <v>11.66</v>
      </c>
      <c r="H424" s="2">
        <v>2.34</v>
      </c>
      <c r="I424" s="1">
        <v>16.7</v>
      </c>
      <c r="J424" s="26">
        <v>45465</v>
      </c>
      <c r="K424" s="22">
        <v>34980</v>
      </c>
      <c r="L424" s="18">
        <v>37.409999999999997</v>
      </c>
      <c r="M424" s="22">
        <v>30800</v>
      </c>
      <c r="N424" s="22">
        <v>4180</v>
      </c>
      <c r="O424" s="18">
        <v>4.47</v>
      </c>
      <c r="P424" s="52">
        <f>IF(COUNTIF(TblPurchases[BatchID],TblOutcomes[[#This Row],[BatchID]])&lt;&gt;1,"n.a.",TblOutcomes[[#This Row],[Qty Wasted]]*SUMIFS(TblPurchases[Unit Cost (CLP)],TblPurchases[BatchID],TblOutcomes[[#This Row],[BatchID]]))</f>
        <v>5148</v>
      </c>
      <c r="Q424" s="51">
        <f>IF(COUNTIF(TblPurchases[BatchID],TblOutcomes[[#This Row],[BatchID]])&lt;&gt;1,"n.a.",SUMIFS(TblPurchases[Purchase Date],TblPurchases[BatchID],TblOutcomes[[#This Row],[BatchID]]))</f>
        <v>45420</v>
      </c>
    </row>
    <row r="425" spans="2:17" x14ac:dyDescent="0.25">
      <c r="B425" s="2" t="s">
        <v>1229</v>
      </c>
      <c r="C425" s="2" t="s">
        <v>138</v>
      </c>
      <c r="D425" s="2" t="s">
        <v>122</v>
      </c>
      <c r="E425" s="2" t="s">
        <v>4646</v>
      </c>
      <c r="F425" s="2">
        <v>17</v>
      </c>
      <c r="G425" s="2">
        <v>12.48</v>
      </c>
      <c r="H425" s="2">
        <v>4.5199999999999996</v>
      </c>
      <c r="I425" s="1">
        <v>26.6</v>
      </c>
      <c r="J425" s="26">
        <v>45472</v>
      </c>
      <c r="K425" s="22">
        <v>37440</v>
      </c>
      <c r="L425" s="18">
        <v>40.04</v>
      </c>
      <c r="M425" s="22">
        <v>37400</v>
      </c>
      <c r="N425" s="22">
        <v>40</v>
      </c>
      <c r="O425" s="18">
        <v>0.04</v>
      </c>
      <c r="P425" s="52">
        <f>IF(COUNTIF(TblPurchases[BatchID],TblOutcomes[[#This Row],[BatchID]])&lt;&gt;1,"n.a.",TblOutcomes[[#This Row],[Qty Wasted]]*SUMIFS(TblPurchases[Unit Cost (CLP)],TblPurchases[BatchID],TblOutcomes[[#This Row],[BatchID]]))</f>
        <v>9943.9999999999982</v>
      </c>
      <c r="Q425" s="51">
        <f>IF(COUNTIF(TblPurchases[BatchID],TblOutcomes[[#This Row],[BatchID]])&lt;&gt;1,"n.a.",SUMIFS(TblPurchases[Purchase Date],TblPurchases[BatchID],TblOutcomes[[#This Row],[BatchID]]))</f>
        <v>45427</v>
      </c>
    </row>
    <row r="426" spans="2:17" x14ac:dyDescent="0.25">
      <c r="B426" s="2" t="s">
        <v>1230</v>
      </c>
      <c r="C426" s="2" t="s">
        <v>138</v>
      </c>
      <c r="D426" s="2" t="s">
        <v>122</v>
      </c>
      <c r="E426" s="2" t="s">
        <v>4647</v>
      </c>
      <c r="F426" s="2">
        <v>16</v>
      </c>
      <c r="G426" s="2">
        <v>16</v>
      </c>
      <c r="H426" s="2">
        <v>0</v>
      </c>
      <c r="I426" s="1">
        <v>0</v>
      </c>
      <c r="J426" s="26">
        <v>45445</v>
      </c>
      <c r="K426" s="22">
        <v>48000</v>
      </c>
      <c r="L426" s="18">
        <v>51.34</v>
      </c>
      <c r="M426" s="22">
        <v>35200</v>
      </c>
      <c r="N426" s="22">
        <v>12800</v>
      </c>
      <c r="O426" s="18">
        <v>13.69</v>
      </c>
      <c r="P426" s="52">
        <f>IF(COUNTIF(TblPurchases[BatchID],TblOutcomes[[#This Row],[BatchID]])&lt;&gt;1,"n.a.",TblOutcomes[[#This Row],[Qty Wasted]]*SUMIFS(TblPurchases[Unit Cost (CLP)],TblPurchases[BatchID],TblOutcomes[[#This Row],[BatchID]]))</f>
        <v>0</v>
      </c>
      <c r="Q426" s="51">
        <f>IF(COUNTIF(TblPurchases[BatchID],TblOutcomes[[#This Row],[BatchID]])&lt;&gt;1,"n.a.",SUMIFS(TblPurchases[Purchase Date],TblPurchases[BatchID],TblOutcomes[[#This Row],[BatchID]]))</f>
        <v>45438</v>
      </c>
    </row>
    <row r="427" spans="2:17" x14ac:dyDescent="0.25">
      <c r="B427" s="2" t="s">
        <v>1231</v>
      </c>
      <c r="C427" s="2" t="s">
        <v>138</v>
      </c>
      <c r="D427" s="2" t="s">
        <v>122</v>
      </c>
      <c r="E427" s="2" t="s">
        <v>4647</v>
      </c>
      <c r="F427" s="2">
        <v>13</v>
      </c>
      <c r="G427" s="2">
        <v>13</v>
      </c>
      <c r="H427" s="2">
        <v>0</v>
      </c>
      <c r="I427" s="1">
        <v>0</v>
      </c>
      <c r="J427" s="26">
        <v>45450</v>
      </c>
      <c r="K427" s="22">
        <v>39000</v>
      </c>
      <c r="L427" s="18">
        <v>41.71</v>
      </c>
      <c r="M427" s="22">
        <v>28600</v>
      </c>
      <c r="N427" s="22">
        <v>10400</v>
      </c>
      <c r="O427" s="18">
        <v>11.12</v>
      </c>
      <c r="P427" s="52">
        <f>IF(COUNTIF(TblPurchases[BatchID],TblOutcomes[[#This Row],[BatchID]])&lt;&gt;1,"n.a.",TblOutcomes[[#This Row],[Qty Wasted]]*SUMIFS(TblPurchases[Unit Cost (CLP)],TblPurchases[BatchID],TblOutcomes[[#This Row],[BatchID]]))</f>
        <v>0</v>
      </c>
      <c r="Q427" s="51">
        <f>IF(COUNTIF(TblPurchases[BatchID],TblOutcomes[[#This Row],[BatchID]])&lt;&gt;1,"n.a.",SUMIFS(TblPurchases[Purchase Date],TblPurchases[BatchID],TblOutcomes[[#This Row],[BatchID]]))</f>
        <v>45445</v>
      </c>
    </row>
    <row r="428" spans="2:17" x14ac:dyDescent="0.25">
      <c r="B428" s="2" t="s">
        <v>1232</v>
      </c>
      <c r="C428" s="2" t="s">
        <v>138</v>
      </c>
      <c r="D428" s="2" t="s">
        <v>122</v>
      </c>
      <c r="E428" s="2" t="s">
        <v>4647</v>
      </c>
      <c r="F428" s="2">
        <v>13</v>
      </c>
      <c r="G428" s="2">
        <v>13</v>
      </c>
      <c r="H428" s="2">
        <v>0</v>
      </c>
      <c r="I428" s="1">
        <v>0</v>
      </c>
      <c r="J428" s="26">
        <v>45459</v>
      </c>
      <c r="K428" s="22">
        <v>39000</v>
      </c>
      <c r="L428" s="18">
        <v>41.71</v>
      </c>
      <c r="M428" s="22">
        <v>28600</v>
      </c>
      <c r="N428" s="22">
        <v>10400</v>
      </c>
      <c r="O428" s="18">
        <v>11.12</v>
      </c>
      <c r="P428" s="52">
        <f>IF(COUNTIF(TblPurchases[BatchID],TblOutcomes[[#This Row],[BatchID]])&lt;&gt;1,"n.a.",TblOutcomes[[#This Row],[Qty Wasted]]*SUMIFS(TblPurchases[Unit Cost (CLP)],TblPurchases[BatchID],TblOutcomes[[#This Row],[BatchID]]))</f>
        <v>0</v>
      </c>
      <c r="Q428" s="51">
        <f>IF(COUNTIF(TblPurchases[BatchID],TblOutcomes[[#This Row],[BatchID]])&lt;&gt;1,"n.a.",SUMIFS(TblPurchases[Purchase Date],TblPurchases[BatchID],TblOutcomes[[#This Row],[BatchID]]))</f>
        <v>45454</v>
      </c>
    </row>
    <row r="429" spans="2:17" x14ac:dyDescent="0.25">
      <c r="B429" s="2" t="s">
        <v>1233</v>
      </c>
      <c r="C429" s="2" t="s">
        <v>138</v>
      </c>
      <c r="D429" s="2" t="s">
        <v>122</v>
      </c>
      <c r="E429" s="2" t="s">
        <v>4646</v>
      </c>
      <c r="F429" s="2">
        <v>15</v>
      </c>
      <c r="G429" s="2">
        <v>10.61</v>
      </c>
      <c r="H429" s="2">
        <v>4.3899999999999997</v>
      </c>
      <c r="I429" s="1">
        <v>29.3</v>
      </c>
      <c r="J429" s="26">
        <v>45509</v>
      </c>
      <c r="K429" s="22">
        <v>31830</v>
      </c>
      <c r="L429" s="18">
        <v>34.04</v>
      </c>
      <c r="M429" s="22">
        <v>33000</v>
      </c>
      <c r="N429" s="22">
        <v>-1170</v>
      </c>
      <c r="O429" s="18">
        <v>-1.25</v>
      </c>
      <c r="P429" s="52">
        <f>IF(COUNTIF(TblPurchases[BatchID],TblOutcomes[[#This Row],[BatchID]])&lt;&gt;1,"n.a.",TblOutcomes[[#This Row],[Qty Wasted]]*SUMIFS(TblPurchases[Unit Cost (CLP)],TblPurchases[BatchID],TblOutcomes[[#This Row],[BatchID]]))</f>
        <v>9658</v>
      </c>
      <c r="Q429" s="51">
        <f>IF(COUNTIF(TblPurchases[BatchID],TblOutcomes[[#This Row],[BatchID]])&lt;&gt;1,"n.a.",SUMIFS(TblPurchases[Purchase Date],TblPurchases[BatchID],TblOutcomes[[#This Row],[BatchID]]))</f>
        <v>45464</v>
      </c>
    </row>
    <row r="430" spans="2:17" x14ac:dyDescent="0.25">
      <c r="B430" s="2" t="s">
        <v>1234</v>
      </c>
      <c r="C430" s="2" t="s">
        <v>138</v>
      </c>
      <c r="D430" s="2" t="s">
        <v>122</v>
      </c>
      <c r="E430" s="2" t="s">
        <v>4646</v>
      </c>
      <c r="F430" s="2">
        <v>16</v>
      </c>
      <c r="G430" s="2">
        <v>11.39</v>
      </c>
      <c r="H430" s="2">
        <v>4.6100000000000003</v>
      </c>
      <c r="I430" s="1">
        <v>28.8</v>
      </c>
      <c r="J430" s="26">
        <v>45519</v>
      </c>
      <c r="K430" s="22">
        <v>34170</v>
      </c>
      <c r="L430" s="18">
        <v>36.549999999999997</v>
      </c>
      <c r="M430" s="22">
        <v>35200</v>
      </c>
      <c r="N430" s="22">
        <v>-1030</v>
      </c>
      <c r="O430" s="18">
        <v>-1.1000000000000001</v>
      </c>
      <c r="P430" s="52">
        <f>IF(COUNTIF(TblPurchases[BatchID],TblOutcomes[[#This Row],[BatchID]])&lt;&gt;1,"n.a.",TblOutcomes[[#This Row],[Qty Wasted]]*SUMIFS(TblPurchases[Unit Cost (CLP)],TblPurchases[BatchID],TblOutcomes[[#This Row],[BatchID]]))</f>
        <v>10142</v>
      </c>
      <c r="Q430" s="51">
        <f>IF(COUNTIF(TblPurchases[BatchID],TblOutcomes[[#This Row],[BatchID]])&lt;&gt;1,"n.a.",SUMIFS(TblPurchases[Purchase Date],TblPurchases[BatchID],TblOutcomes[[#This Row],[BatchID]]))</f>
        <v>45474</v>
      </c>
    </row>
    <row r="431" spans="2:17" x14ac:dyDescent="0.25">
      <c r="B431" s="2" t="s">
        <v>1235</v>
      </c>
      <c r="C431" s="2" t="s">
        <v>138</v>
      </c>
      <c r="D431" s="2" t="s">
        <v>122</v>
      </c>
      <c r="E431" s="2" t="s">
        <v>4646</v>
      </c>
      <c r="F431" s="2">
        <v>14</v>
      </c>
      <c r="G431" s="2">
        <v>10.44</v>
      </c>
      <c r="H431" s="2">
        <v>3.56</v>
      </c>
      <c r="I431" s="1">
        <v>25.4</v>
      </c>
      <c r="J431" s="26">
        <v>45527</v>
      </c>
      <c r="K431" s="22">
        <v>31320</v>
      </c>
      <c r="L431" s="18">
        <v>33.5</v>
      </c>
      <c r="M431" s="22">
        <v>30800</v>
      </c>
      <c r="N431" s="22">
        <v>520</v>
      </c>
      <c r="O431" s="18">
        <v>0.56000000000000005</v>
      </c>
      <c r="P431" s="52">
        <f>IF(COUNTIF(TblPurchases[BatchID],TblOutcomes[[#This Row],[BatchID]])&lt;&gt;1,"n.a.",TblOutcomes[[#This Row],[Qty Wasted]]*SUMIFS(TblPurchases[Unit Cost (CLP)],TblPurchases[BatchID],TblOutcomes[[#This Row],[BatchID]]))</f>
        <v>7832</v>
      </c>
      <c r="Q431" s="51">
        <f>IF(COUNTIF(TblPurchases[BatchID],TblOutcomes[[#This Row],[BatchID]])&lt;&gt;1,"n.a.",SUMIFS(TblPurchases[Purchase Date],TblPurchases[BatchID],TblOutcomes[[#This Row],[BatchID]]))</f>
        <v>45482</v>
      </c>
    </row>
    <row r="432" spans="2:17" x14ac:dyDescent="0.25">
      <c r="B432" s="2" t="s">
        <v>1236</v>
      </c>
      <c r="C432" s="2" t="s">
        <v>138</v>
      </c>
      <c r="D432" s="2" t="s">
        <v>122</v>
      </c>
      <c r="E432" s="2" t="s">
        <v>4647</v>
      </c>
      <c r="F432" s="2">
        <v>15</v>
      </c>
      <c r="G432" s="2">
        <v>15</v>
      </c>
      <c r="H432" s="2">
        <v>0</v>
      </c>
      <c r="I432" s="1">
        <v>0</v>
      </c>
      <c r="J432" s="26">
        <v>45491</v>
      </c>
      <c r="K432" s="22">
        <v>45000</v>
      </c>
      <c r="L432" s="18">
        <v>48.13</v>
      </c>
      <c r="M432" s="22">
        <v>33000</v>
      </c>
      <c r="N432" s="22">
        <v>12000</v>
      </c>
      <c r="O432" s="18">
        <v>12.83</v>
      </c>
      <c r="P432" s="52">
        <f>IF(COUNTIF(TblPurchases[BatchID],TblOutcomes[[#This Row],[BatchID]])&lt;&gt;1,"n.a.",TblOutcomes[[#This Row],[Qty Wasted]]*SUMIFS(TblPurchases[Unit Cost (CLP)],TblPurchases[BatchID],TblOutcomes[[#This Row],[BatchID]]))</f>
        <v>0</v>
      </c>
      <c r="Q432" s="51">
        <f>IF(COUNTIF(TblPurchases[BatchID],TblOutcomes[[#This Row],[BatchID]])&lt;&gt;1,"n.a.",SUMIFS(TblPurchases[Purchase Date],TblPurchases[BatchID],TblOutcomes[[#This Row],[BatchID]]))</f>
        <v>45488</v>
      </c>
    </row>
    <row r="433" spans="2:17" x14ac:dyDescent="0.25">
      <c r="B433" s="2" t="s">
        <v>1237</v>
      </c>
      <c r="C433" s="2" t="s">
        <v>138</v>
      </c>
      <c r="D433" s="2" t="s">
        <v>122</v>
      </c>
      <c r="E433" s="2" t="s">
        <v>4646</v>
      </c>
      <c r="F433" s="2">
        <v>13</v>
      </c>
      <c r="G433" s="2">
        <v>10.210000000000001</v>
      </c>
      <c r="H433" s="2">
        <v>2.79</v>
      </c>
      <c r="I433" s="1">
        <v>21.5</v>
      </c>
      <c r="J433" s="26">
        <v>45544</v>
      </c>
      <c r="K433" s="22">
        <v>30630</v>
      </c>
      <c r="L433" s="18">
        <v>32.76</v>
      </c>
      <c r="M433" s="22">
        <v>28600</v>
      </c>
      <c r="N433" s="22">
        <v>2030</v>
      </c>
      <c r="O433" s="18">
        <v>2.17</v>
      </c>
      <c r="P433" s="52">
        <f>IF(COUNTIF(TblPurchases[BatchID],TblOutcomes[[#This Row],[BatchID]])&lt;&gt;1,"n.a.",TblOutcomes[[#This Row],[Qty Wasted]]*SUMIFS(TblPurchases[Unit Cost (CLP)],TblPurchases[BatchID],TblOutcomes[[#This Row],[BatchID]]))</f>
        <v>6138</v>
      </c>
      <c r="Q433" s="51">
        <f>IF(COUNTIF(TblPurchases[BatchID],TblOutcomes[[#This Row],[BatchID]])&lt;&gt;1,"n.a.",SUMIFS(TblPurchases[Purchase Date],TblPurchases[BatchID],TblOutcomes[[#This Row],[BatchID]]))</f>
        <v>45499</v>
      </c>
    </row>
    <row r="434" spans="2:17" x14ac:dyDescent="0.25">
      <c r="B434" s="2" t="s">
        <v>1238</v>
      </c>
      <c r="C434" s="2" t="s">
        <v>138</v>
      </c>
      <c r="D434" s="2" t="s">
        <v>122</v>
      </c>
      <c r="E434" s="2" t="s">
        <v>4647</v>
      </c>
      <c r="F434" s="2">
        <v>15</v>
      </c>
      <c r="G434" s="2">
        <v>15</v>
      </c>
      <c r="H434" s="2">
        <v>0</v>
      </c>
      <c r="I434" s="1">
        <v>0</v>
      </c>
      <c r="J434" s="26">
        <v>45516</v>
      </c>
      <c r="K434" s="22">
        <v>45000</v>
      </c>
      <c r="L434" s="18">
        <v>48.13</v>
      </c>
      <c r="M434" s="22">
        <v>33000</v>
      </c>
      <c r="N434" s="22">
        <v>12000</v>
      </c>
      <c r="O434" s="18">
        <v>12.83</v>
      </c>
      <c r="P434" s="52">
        <f>IF(COUNTIF(TblPurchases[BatchID],TblOutcomes[[#This Row],[BatchID]])&lt;&gt;1,"n.a.",TblOutcomes[[#This Row],[Qty Wasted]]*SUMIFS(TblPurchases[Unit Cost (CLP)],TblPurchases[BatchID],TblOutcomes[[#This Row],[BatchID]]))</f>
        <v>0</v>
      </c>
      <c r="Q434" s="51">
        <f>IF(COUNTIF(TblPurchases[BatchID],TblOutcomes[[#This Row],[BatchID]])&lt;&gt;1,"n.a.",SUMIFS(TblPurchases[Purchase Date],TblPurchases[BatchID],TblOutcomes[[#This Row],[BatchID]]))</f>
        <v>45510</v>
      </c>
    </row>
    <row r="435" spans="2:17" x14ac:dyDescent="0.25">
      <c r="B435" s="2" t="s">
        <v>1239</v>
      </c>
      <c r="C435" s="2" t="s">
        <v>138</v>
      </c>
      <c r="D435" s="2" t="s">
        <v>122</v>
      </c>
      <c r="E435" s="2" t="s">
        <v>4647</v>
      </c>
      <c r="F435" s="2">
        <v>17</v>
      </c>
      <c r="G435" s="2">
        <v>17</v>
      </c>
      <c r="H435" s="2">
        <v>0</v>
      </c>
      <c r="I435" s="1">
        <v>0</v>
      </c>
      <c r="J435" s="26">
        <v>45524</v>
      </c>
      <c r="K435" s="22">
        <v>51000</v>
      </c>
      <c r="L435" s="18">
        <v>54.55</v>
      </c>
      <c r="M435" s="22">
        <v>37400</v>
      </c>
      <c r="N435" s="22">
        <v>13600</v>
      </c>
      <c r="O435" s="18">
        <v>14.55</v>
      </c>
      <c r="P435" s="52">
        <f>IF(COUNTIF(TblPurchases[BatchID],TblOutcomes[[#This Row],[BatchID]])&lt;&gt;1,"n.a.",TblOutcomes[[#This Row],[Qty Wasted]]*SUMIFS(TblPurchases[Unit Cost (CLP)],TblPurchases[BatchID],TblOutcomes[[#This Row],[BatchID]]))</f>
        <v>0</v>
      </c>
      <c r="Q435" s="51">
        <f>IF(COUNTIF(TblPurchases[BatchID],TblOutcomes[[#This Row],[BatchID]])&lt;&gt;1,"n.a.",SUMIFS(TblPurchases[Purchase Date],TblPurchases[BatchID],TblOutcomes[[#This Row],[BatchID]]))</f>
        <v>45521</v>
      </c>
    </row>
    <row r="436" spans="2:17" x14ac:dyDescent="0.25">
      <c r="B436" s="2" t="s">
        <v>1240</v>
      </c>
      <c r="C436" s="2" t="s">
        <v>138</v>
      </c>
      <c r="D436" s="2" t="s">
        <v>122</v>
      </c>
      <c r="E436" s="2" t="s">
        <v>4647</v>
      </c>
      <c r="F436" s="2">
        <v>16</v>
      </c>
      <c r="G436" s="2">
        <v>16</v>
      </c>
      <c r="H436" s="2">
        <v>0</v>
      </c>
      <c r="I436" s="1">
        <v>0</v>
      </c>
      <c r="J436" s="26">
        <v>45542</v>
      </c>
      <c r="K436" s="22">
        <v>48000</v>
      </c>
      <c r="L436" s="18">
        <v>51.34</v>
      </c>
      <c r="M436" s="22">
        <v>35200</v>
      </c>
      <c r="N436" s="22">
        <v>12800</v>
      </c>
      <c r="O436" s="18">
        <v>13.69</v>
      </c>
      <c r="P436" s="52">
        <f>IF(COUNTIF(TblPurchases[BatchID],TblOutcomes[[#This Row],[BatchID]])&lt;&gt;1,"n.a.",TblOutcomes[[#This Row],[Qty Wasted]]*SUMIFS(TblPurchases[Unit Cost (CLP)],TblPurchases[BatchID],TblOutcomes[[#This Row],[BatchID]]))</f>
        <v>0</v>
      </c>
      <c r="Q436" s="51">
        <f>IF(COUNTIF(TblPurchases[BatchID],TblOutcomes[[#This Row],[BatchID]])&lt;&gt;1,"n.a.",SUMIFS(TblPurchases[Purchase Date],TblPurchases[BatchID],TblOutcomes[[#This Row],[BatchID]]))</f>
        <v>45529</v>
      </c>
    </row>
    <row r="437" spans="2:17" x14ac:dyDescent="0.25">
      <c r="B437" s="2" t="s">
        <v>1241</v>
      </c>
      <c r="C437" s="2" t="s">
        <v>138</v>
      </c>
      <c r="D437" s="2" t="s">
        <v>122</v>
      </c>
      <c r="E437" s="2" t="s">
        <v>4647</v>
      </c>
      <c r="F437" s="2">
        <v>19</v>
      </c>
      <c r="G437" s="2">
        <v>19</v>
      </c>
      <c r="H437" s="2">
        <v>0</v>
      </c>
      <c r="I437" s="1">
        <v>0</v>
      </c>
      <c r="J437" s="26">
        <v>45544</v>
      </c>
      <c r="K437" s="22">
        <v>57000</v>
      </c>
      <c r="L437" s="18">
        <v>60.96</v>
      </c>
      <c r="M437" s="22">
        <v>41800</v>
      </c>
      <c r="N437" s="22">
        <v>15200</v>
      </c>
      <c r="O437" s="18">
        <v>16.260000000000002</v>
      </c>
      <c r="P437" s="52">
        <f>IF(COUNTIF(TblPurchases[BatchID],TblOutcomes[[#This Row],[BatchID]])&lt;&gt;1,"n.a.",TblOutcomes[[#This Row],[Qty Wasted]]*SUMIFS(TblPurchases[Unit Cost (CLP)],TblPurchases[BatchID],TblOutcomes[[#This Row],[BatchID]]))</f>
        <v>0</v>
      </c>
      <c r="Q437" s="51">
        <f>IF(COUNTIF(TblPurchases[BatchID],TblOutcomes[[#This Row],[BatchID]])&lt;&gt;1,"n.a.",SUMIFS(TblPurchases[Purchase Date],TblPurchases[BatchID],TblOutcomes[[#This Row],[BatchID]]))</f>
        <v>45538</v>
      </c>
    </row>
    <row r="438" spans="2:17" x14ac:dyDescent="0.25">
      <c r="B438" s="2" t="s">
        <v>1242</v>
      </c>
      <c r="C438" s="2" t="s">
        <v>138</v>
      </c>
      <c r="D438" s="2" t="s">
        <v>122</v>
      </c>
      <c r="E438" s="2" t="s">
        <v>4646</v>
      </c>
      <c r="F438" s="2">
        <v>18</v>
      </c>
      <c r="G438" s="2">
        <v>14.11</v>
      </c>
      <c r="H438" s="2">
        <v>3.89</v>
      </c>
      <c r="I438" s="1">
        <v>21.6</v>
      </c>
      <c r="J438" s="26">
        <v>45593</v>
      </c>
      <c r="K438" s="22">
        <v>42330</v>
      </c>
      <c r="L438" s="18">
        <v>45.27</v>
      </c>
      <c r="M438" s="22">
        <v>39600</v>
      </c>
      <c r="N438" s="22">
        <v>2730</v>
      </c>
      <c r="O438" s="18">
        <v>2.92</v>
      </c>
      <c r="P438" s="52">
        <f>IF(COUNTIF(TblPurchases[BatchID],TblOutcomes[[#This Row],[BatchID]])&lt;&gt;1,"n.a.",TblOutcomes[[#This Row],[Qty Wasted]]*SUMIFS(TblPurchases[Unit Cost (CLP)],TblPurchases[BatchID],TblOutcomes[[#This Row],[BatchID]]))</f>
        <v>8558</v>
      </c>
      <c r="Q438" s="51">
        <f>IF(COUNTIF(TblPurchases[BatchID],TblOutcomes[[#This Row],[BatchID]])&lt;&gt;1,"n.a.",SUMIFS(TblPurchases[Purchase Date],TblPurchases[BatchID],TblOutcomes[[#This Row],[BatchID]]))</f>
        <v>45548</v>
      </c>
    </row>
    <row r="439" spans="2:17" x14ac:dyDescent="0.25">
      <c r="B439" s="2" t="s">
        <v>1243</v>
      </c>
      <c r="C439" s="2" t="s">
        <v>138</v>
      </c>
      <c r="D439" s="2" t="s">
        <v>122</v>
      </c>
      <c r="E439" s="2" t="s">
        <v>4647</v>
      </c>
      <c r="F439" s="2">
        <v>20</v>
      </c>
      <c r="G439" s="2">
        <v>20</v>
      </c>
      <c r="H439" s="2">
        <v>0</v>
      </c>
      <c r="I439" s="1">
        <v>0</v>
      </c>
      <c r="J439" s="26">
        <v>45564</v>
      </c>
      <c r="K439" s="22">
        <v>60000</v>
      </c>
      <c r="L439" s="18">
        <v>64.17</v>
      </c>
      <c r="M439" s="22">
        <v>44000</v>
      </c>
      <c r="N439" s="22">
        <v>16000</v>
      </c>
      <c r="O439" s="18">
        <v>17.11</v>
      </c>
      <c r="P439" s="52">
        <f>IF(COUNTIF(TblPurchases[BatchID],TblOutcomes[[#This Row],[BatchID]])&lt;&gt;1,"n.a.",TblOutcomes[[#This Row],[Qty Wasted]]*SUMIFS(TblPurchases[Unit Cost (CLP)],TblPurchases[BatchID],TblOutcomes[[#This Row],[BatchID]]))</f>
        <v>0</v>
      </c>
      <c r="Q439" s="51">
        <f>IF(COUNTIF(TblPurchases[BatchID],TblOutcomes[[#This Row],[BatchID]])&lt;&gt;1,"n.a.",SUMIFS(TblPurchases[Purchase Date],TblPurchases[BatchID],TblOutcomes[[#This Row],[BatchID]]))</f>
        <v>45556</v>
      </c>
    </row>
    <row r="440" spans="2:17" x14ac:dyDescent="0.25">
      <c r="B440" s="2" t="s">
        <v>1244</v>
      </c>
      <c r="C440" s="2" t="s">
        <v>138</v>
      </c>
      <c r="D440" s="2" t="s">
        <v>122</v>
      </c>
      <c r="E440" s="2" t="s">
        <v>4647</v>
      </c>
      <c r="F440" s="2">
        <v>44</v>
      </c>
      <c r="G440" s="2">
        <v>44</v>
      </c>
      <c r="H440" s="2">
        <v>0</v>
      </c>
      <c r="I440" s="1">
        <v>0</v>
      </c>
      <c r="J440" s="26">
        <v>45573</v>
      </c>
      <c r="K440" s="22">
        <v>132000</v>
      </c>
      <c r="L440" s="18">
        <v>141.18</v>
      </c>
      <c r="M440" s="22">
        <v>96800</v>
      </c>
      <c r="N440" s="22">
        <v>35200</v>
      </c>
      <c r="O440" s="18">
        <v>37.65</v>
      </c>
      <c r="P440" s="52">
        <f>IF(COUNTIF(TblPurchases[BatchID],TblOutcomes[[#This Row],[BatchID]])&lt;&gt;1,"n.a.",TblOutcomes[[#This Row],[Qty Wasted]]*SUMIFS(TblPurchases[Unit Cost (CLP)],TblPurchases[BatchID],TblOutcomes[[#This Row],[BatchID]]))</f>
        <v>0</v>
      </c>
      <c r="Q440" s="51">
        <f>IF(COUNTIF(TblPurchases[BatchID],TblOutcomes[[#This Row],[BatchID]])&lt;&gt;1,"n.a.",SUMIFS(TblPurchases[Purchase Date],TblPurchases[BatchID],TblOutcomes[[#This Row],[BatchID]]))</f>
        <v>45566</v>
      </c>
    </row>
    <row r="441" spans="2:17" x14ac:dyDescent="0.25">
      <c r="B441" s="2" t="s">
        <v>1245</v>
      </c>
      <c r="C441" s="2" t="s">
        <v>138</v>
      </c>
      <c r="D441" s="2" t="s">
        <v>122</v>
      </c>
      <c r="E441" s="2" t="s">
        <v>4647</v>
      </c>
      <c r="F441" s="2">
        <v>39</v>
      </c>
      <c r="G441" s="2">
        <v>39</v>
      </c>
      <c r="H441" s="2">
        <v>0</v>
      </c>
      <c r="I441" s="1">
        <v>0</v>
      </c>
      <c r="J441" s="26">
        <v>45578</v>
      </c>
      <c r="K441" s="22">
        <v>117000</v>
      </c>
      <c r="L441" s="18">
        <v>125.13</v>
      </c>
      <c r="M441" s="22">
        <v>85800</v>
      </c>
      <c r="N441" s="22">
        <v>31200</v>
      </c>
      <c r="O441" s="18">
        <v>33.369999999999997</v>
      </c>
      <c r="P441" s="52">
        <f>IF(COUNTIF(TblPurchases[BatchID],TblOutcomes[[#This Row],[BatchID]])&lt;&gt;1,"n.a.",TblOutcomes[[#This Row],[Qty Wasted]]*SUMIFS(TblPurchases[Unit Cost (CLP)],TblPurchases[BatchID],TblOutcomes[[#This Row],[BatchID]]))</f>
        <v>0</v>
      </c>
      <c r="Q441" s="51">
        <f>IF(COUNTIF(TblPurchases[BatchID],TblOutcomes[[#This Row],[BatchID]])&lt;&gt;1,"n.a.",SUMIFS(TblPurchases[Purchase Date],TblPurchases[BatchID],TblOutcomes[[#This Row],[BatchID]]))</f>
        <v>45573</v>
      </c>
    </row>
    <row r="442" spans="2:17" x14ac:dyDescent="0.25">
      <c r="B442" s="2" t="s">
        <v>1246</v>
      </c>
      <c r="C442" s="2" t="s">
        <v>138</v>
      </c>
      <c r="D442" s="2" t="s">
        <v>122</v>
      </c>
      <c r="E442" s="2" t="s">
        <v>4647</v>
      </c>
      <c r="F442" s="2">
        <v>41</v>
      </c>
      <c r="G442" s="2">
        <v>41</v>
      </c>
      <c r="H442" s="2">
        <v>0</v>
      </c>
      <c r="I442" s="1">
        <v>0</v>
      </c>
      <c r="J442" s="26">
        <v>45587</v>
      </c>
      <c r="K442" s="22">
        <v>123000</v>
      </c>
      <c r="L442" s="18">
        <v>131.55000000000001</v>
      </c>
      <c r="M442" s="22">
        <v>90200</v>
      </c>
      <c r="N442" s="22">
        <v>32800</v>
      </c>
      <c r="O442" s="18">
        <v>35.08</v>
      </c>
      <c r="P442" s="52">
        <f>IF(COUNTIF(TblPurchases[BatchID],TblOutcomes[[#This Row],[BatchID]])&lt;&gt;1,"n.a.",TblOutcomes[[#This Row],[Qty Wasted]]*SUMIFS(TblPurchases[Unit Cost (CLP)],TblPurchases[BatchID],TblOutcomes[[#This Row],[BatchID]]))</f>
        <v>0</v>
      </c>
      <c r="Q442" s="51">
        <f>IF(COUNTIF(TblPurchases[BatchID],TblOutcomes[[#This Row],[BatchID]])&lt;&gt;1,"n.a.",SUMIFS(TblPurchases[Purchase Date],TblPurchases[BatchID],TblOutcomes[[#This Row],[BatchID]]))</f>
        <v>45581</v>
      </c>
    </row>
    <row r="443" spans="2:17" x14ac:dyDescent="0.25">
      <c r="B443" s="2" t="s">
        <v>1247</v>
      </c>
      <c r="C443" s="2" t="s">
        <v>138</v>
      </c>
      <c r="D443" s="2" t="s">
        <v>122</v>
      </c>
      <c r="E443" s="2" t="s">
        <v>4647</v>
      </c>
      <c r="F443" s="2">
        <v>38</v>
      </c>
      <c r="G443" s="2">
        <v>38</v>
      </c>
      <c r="H443" s="2">
        <v>0</v>
      </c>
      <c r="I443" s="1">
        <v>0</v>
      </c>
      <c r="J443" s="26">
        <v>45595</v>
      </c>
      <c r="K443" s="22">
        <v>114000</v>
      </c>
      <c r="L443" s="18">
        <v>121.93</v>
      </c>
      <c r="M443" s="22">
        <v>83600</v>
      </c>
      <c r="N443" s="22">
        <v>30400</v>
      </c>
      <c r="O443" s="18">
        <v>32.51</v>
      </c>
      <c r="P443" s="52">
        <f>IF(COUNTIF(TblPurchases[BatchID],TblOutcomes[[#This Row],[BatchID]])&lt;&gt;1,"n.a.",TblOutcomes[[#This Row],[Qty Wasted]]*SUMIFS(TblPurchases[Unit Cost (CLP)],TblPurchases[BatchID],TblOutcomes[[#This Row],[BatchID]]))</f>
        <v>0</v>
      </c>
      <c r="Q443" s="51">
        <f>IF(COUNTIF(TblPurchases[BatchID],TblOutcomes[[#This Row],[BatchID]])&lt;&gt;1,"n.a.",SUMIFS(TblPurchases[Purchase Date],TblPurchases[BatchID],TblOutcomes[[#This Row],[BatchID]]))</f>
        <v>45589</v>
      </c>
    </row>
    <row r="444" spans="2:17" x14ac:dyDescent="0.25">
      <c r="B444" s="2" t="s">
        <v>1248</v>
      </c>
      <c r="C444" s="2" t="s">
        <v>138</v>
      </c>
      <c r="D444" s="2" t="s">
        <v>122</v>
      </c>
      <c r="E444" s="2" t="s">
        <v>4647</v>
      </c>
      <c r="F444" s="2">
        <v>38</v>
      </c>
      <c r="G444" s="2">
        <v>38</v>
      </c>
      <c r="H444" s="2">
        <v>0</v>
      </c>
      <c r="I444" s="1">
        <v>0</v>
      </c>
      <c r="J444" s="26">
        <v>45603</v>
      </c>
      <c r="K444" s="22">
        <v>114000</v>
      </c>
      <c r="L444" s="18">
        <v>121.93</v>
      </c>
      <c r="M444" s="22">
        <v>83600</v>
      </c>
      <c r="N444" s="22">
        <v>30400</v>
      </c>
      <c r="O444" s="18">
        <v>32.51</v>
      </c>
      <c r="P444" s="52">
        <f>IF(COUNTIF(TblPurchases[BatchID],TblOutcomes[[#This Row],[BatchID]])&lt;&gt;1,"n.a.",TblOutcomes[[#This Row],[Qty Wasted]]*SUMIFS(TblPurchases[Unit Cost (CLP)],TblPurchases[BatchID],TblOutcomes[[#This Row],[BatchID]]))</f>
        <v>0</v>
      </c>
      <c r="Q444" s="51">
        <f>IF(COUNTIF(TblPurchases[BatchID],TblOutcomes[[#This Row],[BatchID]])&lt;&gt;1,"n.a.",SUMIFS(TblPurchases[Purchase Date],TblPurchases[BatchID],TblOutcomes[[#This Row],[BatchID]]))</f>
        <v>45597</v>
      </c>
    </row>
    <row r="445" spans="2:17" x14ac:dyDescent="0.25">
      <c r="B445" s="2" t="s">
        <v>1249</v>
      </c>
      <c r="C445" s="2" t="s">
        <v>138</v>
      </c>
      <c r="D445" s="2" t="s">
        <v>122</v>
      </c>
      <c r="E445" s="2" t="s">
        <v>4647</v>
      </c>
      <c r="F445" s="2">
        <v>41</v>
      </c>
      <c r="G445" s="2">
        <v>41</v>
      </c>
      <c r="H445" s="2">
        <v>0</v>
      </c>
      <c r="I445" s="1">
        <v>0</v>
      </c>
      <c r="J445" s="26">
        <v>45614</v>
      </c>
      <c r="K445" s="22">
        <v>123000</v>
      </c>
      <c r="L445" s="18">
        <v>131.55000000000001</v>
      </c>
      <c r="M445" s="22">
        <v>90200</v>
      </c>
      <c r="N445" s="22">
        <v>32800</v>
      </c>
      <c r="O445" s="18">
        <v>35.08</v>
      </c>
      <c r="P445" s="52">
        <f>IF(COUNTIF(TblPurchases[BatchID],TblOutcomes[[#This Row],[BatchID]])&lt;&gt;1,"n.a.",TblOutcomes[[#This Row],[Qty Wasted]]*SUMIFS(TblPurchases[Unit Cost (CLP)],TblPurchases[BatchID],TblOutcomes[[#This Row],[BatchID]]))</f>
        <v>0</v>
      </c>
      <c r="Q445" s="51">
        <f>IF(COUNTIF(TblPurchases[BatchID],TblOutcomes[[#This Row],[BatchID]])&lt;&gt;1,"n.a.",SUMIFS(TblPurchases[Purchase Date],TblPurchases[BatchID],TblOutcomes[[#This Row],[BatchID]]))</f>
        <v>45606</v>
      </c>
    </row>
    <row r="446" spans="2:17" x14ac:dyDescent="0.25">
      <c r="B446" s="2" t="s">
        <v>1250</v>
      </c>
      <c r="C446" s="2" t="s">
        <v>138</v>
      </c>
      <c r="D446" s="2" t="s">
        <v>122</v>
      </c>
      <c r="E446" s="2" t="s">
        <v>4647</v>
      </c>
      <c r="F446" s="2">
        <v>36</v>
      </c>
      <c r="G446" s="2">
        <v>36</v>
      </c>
      <c r="H446" s="2">
        <v>0</v>
      </c>
      <c r="I446" s="1">
        <v>0</v>
      </c>
      <c r="J446" s="26">
        <v>45622</v>
      </c>
      <c r="K446" s="22">
        <v>108000</v>
      </c>
      <c r="L446" s="18">
        <v>115.51</v>
      </c>
      <c r="M446" s="22">
        <v>79200</v>
      </c>
      <c r="N446" s="22">
        <v>28800</v>
      </c>
      <c r="O446" s="18">
        <v>30.8</v>
      </c>
      <c r="P446" s="52">
        <f>IF(COUNTIF(TblPurchases[BatchID],TblOutcomes[[#This Row],[BatchID]])&lt;&gt;1,"n.a.",TblOutcomes[[#This Row],[Qty Wasted]]*SUMIFS(TblPurchases[Unit Cost (CLP)],TblPurchases[BatchID],TblOutcomes[[#This Row],[BatchID]]))</f>
        <v>0</v>
      </c>
      <c r="Q446" s="51">
        <f>IF(COUNTIF(TblPurchases[BatchID],TblOutcomes[[#This Row],[BatchID]])&lt;&gt;1,"n.a.",SUMIFS(TblPurchases[Purchase Date],TblPurchases[BatchID],TblOutcomes[[#This Row],[BatchID]]))</f>
        <v>45615</v>
      </c>
    </row>
    <row r="447" spans="2:17" x14ac:dyDescent="0.25">
      <c r="B447" s="2" t="s">
        <v>1251</v>
      </c>
      <c r="C447" s="2" t="s">
        <v>138</v>
      </c>
      <c r="D447" s="2" t="s">
        <v>122</v>
      </c>
      <c r="E447" s="2" t="s">
        <v>4647</v>
      </c>
      <c r="F447" s="2">
        <v>45</v>
      </c>
      <c r="G447" s="2">
        <v>45</v>
      </c>
      <c r="H447" s="2">
        <v>0</v>
      </c>
      <c r="I447" s="1">
        <v>0</v>
      </c>
      <c r="J447" s="26">
        <v>45634</v>
      </c>
      <c r="K447" s="22">
        <v>135000</v>
      </c>
      <c r="L447" s="18">
        <v>144.38999999999999</v>
      </c>
      <c r="M447" s="22">
        <v>99000</v>
      </c>
      <c r="N447" s="22">
        <v>36000</v>
      </c>
      <c r="O447" s="18">
        <v>38.5</v>
      </c>
      <c r="P447" s="52">
        <f>IF(COUNTIF(TblPurchases[BatchID],TblOutcomes[[#This Row],[BatchID]])&lt;&gt;1,"n.a.",TblOutcomes[[#This Row],[Qty Wasted]]*SUMIFS(TblPurchases[Unit Cost (CLP)],TblPurchases[BatchID],TblOutcomes[[#This Row],[BatchID]]))</f>
        <v>0</v>
      </c>
      <c r="Q447" s="51">
        <f>IF(COUNTIF(TblPurchases[BatchID],TblOutcomes[[#This Row],[BatchID]])&lt;&gt;1,"n.a.",SUMIFS(TblPurchases[Purchase Date],TblPurchases[BatchID],TblOutcomes[[#This Row],[BatchID]]))</f>
        <v>45626</v>
      </c>
    </row>
    <row r="448" spans="2:17" x14ac:dyDescent="0.25">
      <c r="B448" s="2" t="s">
        <v>1252</v>
      </c>
      <c r="C448" s="2" t="s">
        <v>138</v>
      </c>
      <c r="D448" s="2" t="s">
        <v>122</v>
      </c>
      <c r="E448" s="2" t="s">
        <v>4647</v>
      </c>
      <c r="F448" s="2">
        <v>51</v>
      </c>
      <c r="G448" s="2">
        <v>51</v>
      </c>
      <c r="H448" s="2">
        <v>0</v>
      </c>
      <c r="I448" s="1">
        <v>0</v>
      </c>
      <c r="J448" s="26">
        <v>45644</v>
      </c>
      <c r="K448" s="22">
        <v>153000</v>
      </c>
      <c r="L448" s="18">
        <v>163.63999999999999</v>
      </c>
      <c r="M448" s="22">
        <v>112200</v>
      </c>
      <c r="N448" s="22">
        <v>40800</v>
      </c>
      <c r="O448" s="18">
        <v>43.64</v>
      </c>
      <c r="P448" s="52">
        <f>IF(COUNTIF(TblPurchases[BatchID],TblOutcomes[[#This Row],[BatchID]])&lt;&gt;1,"n.a.",TblOutcomes[[#This Row],[Qty Wasted]]*SUMIFS(TblPurchases[Unit Cost (CLP)],TblPurchases[BatchID],TblOutcomes[[#This Row],[BatchID]]))</f>
        <v>0</v>
      </c>
      <c r="Q448" s="51">
        <f>IF(COUNTIF(TblPurchases[BatchID],TblOutcomes[[#This Row],[BatchID]])&lt;&gt;1,"n.a.",SUMIFS(TblPurchases[Purchase Date],TblPurchases[BatchID],TblOutcomes[[#This Row],[BatchID]]))</f>
        <v>45636</v>
      </c>
    </row>
    <row r="449" spans="2:17" x14ac:dyDescent="0.25">
      <c r="B449" s="2" t="s">
        <v>1253</v>
      </c>
      <c r="C449" s="2" t="s">
        <v>138</v>
      </c>
      <c r="D449" s="2" t="s">
        <v>122</v>
      </c>
      <c r="E449" s="2" t="s">
        <v>4647</v>
      </c>
      <c r="F449" s="2">
        <v>46</v>
      </c>
      <c r="G449" s="2">
        <v>46</v>
      </c>
      <c r="H449" s="2">
        <v>0</v>
      </c>
      <c r="I449" s="1">
        <v>0</v>
      </c>
      <c r="J449" s="26">
        <v>45651</v>
      </c>
      <c r="K449" s="22">
        <v>138000</v>
      </c>
      <c r="L449" s="18">
        <v>147.59</v>
      </c>
      <c r="M449" s="22">
        <v>101200</v>
      </c>
      <c r="N449" s="22">
        <v>36800</v>
      </c>
      <c r="O449" s="18">
        <v>39.36</v>
      </c>
      <c r="P449" s="52">
        <f>IF(COUNTIF(TblPurchases[BatchID],TblOutcomes[[#This Row],[BatchID]])&lt;&gt;1,"n.a.",TblOutcomes[[#This Row],[Qty Wasted]]*SUMIFS(TblPurchases[Unit Cost (CLP)],TblPurchases[BatchID],TblOutcomes[[#This Row],[BatchID]]))</f>
        <v>0</v>
      </c>
      <c r="Q449" s="51">
        <f>IF(COUNTIF(TblPurchases[BatchID],TblOutcomes[[#This Row],[BatchID]])&lt;&gt;1,"n.a.",SUMIFS(TblPurchases[Purchase Date],TblPurchases[BatchID],TblOutcomes[[#This Row],[BatchID]]))</f>
        <v>45645</v>
      </c>
    </row>
    <row r="450" spans="2:17" x14ac:dyDescent="0.25">
      <c r="B450" s="2" t="s">
        <v>1254</v>
      </c>
      <c r="C450" s="2" t="s">
        <v>138</v>
      </c>
      <c r="D450" s="2" t="s">
        <v>122</v>
      </c>
      <c r="E450" s="2" t="s">
        <v>4647</v>
      </c>
      <c r="F450" s="2">
        <v>48</v>
      </c>
      <c r="G450" s="2">
        <v>48</v>
      </c>
      <c r="H450" s="2">
        <v>0</v>
      </c>
      <c r="I450" s="1">
        <v>0</v>
      </c>
      <c r="J450" s="26">
        <v>45662</v>
      </c>
      <c r="K450" s="22">
        <v>144000</v>
      </c>
      <c r="L450" s="18">
        <v>154.01</v>
      </c>
      <c r="M450" s="22">
        <v>105600</v>
      </c>
      <c r="N450" s="22">
        <v>38400</v>
      </c>
      <c r="O450" s="18">
        <v>41.07</v>
      </c>
      <c r="P450" s="52">
        <f>IF(COUNTIF(TblPurchases[BatchID],TblOutcomes[[#This Row],[BatchID]])&lt;&gt;1,"n.a.",TblOutcomes[[#This Row],[Qty Wasted]]*SUMIFS(TblPurchases[Unit Cost (CLP)],TblPurchases[BatchID],TblOutcomes[[#This Row],[BatchID]]))</f>
        <v>0</v>
      </c>
      <c r="Q450" s="51">
        <f>IF(COUNTIF(TblPurchases[BatchID],TblOutcomes[[#This Row],[BatchID]])&lt;&gt;1,"n.a.",SUMIFS(TblPurchases[Purchase Date],TblPurchases[BatchID],TblOutcomes[[#This Row],[BatchID]]))</f>
        <v>45654</v>
      </c>
    </row>
    <row r="451" spans="2:17" x14ac:dyDescent="0.25">
      <c r="B451" s="2" t="s">
        <v>1255</v>
      </c>
      <c r="C451" s="2" t="s">
        <v>138</v>
      </c>
      <c r="D451" s="2" t="s">
        <v>122</v>
      </c>
      <c r="E451" s="2" t="s">
        <v>4647</v>
      </c>
      <c r="F451" s="2">
        <v>45</v>
      </c>
      <c r="G451" s="2">
        <v>45</v>
      </c>
      <c r="H451" s="2">
        <v>0</v>
      </c>
      <c r="I451" s="1">
        <v>0</v>
      </c>
      <c r="J451" s="26">
        <v>45672</v>
      </c>
      <c r="K451" s="22">
        <v>135000</v>
      </c>
      <c r="L451" s="18">
        <v>144.38999999999999</v>
      </c>
      <c r="M451" s="22">
        <v>99000</v>
      </c>
      <c r="N451" s="22">
        <v>36000</v>
      </c>
      <c r="O451" s="18">
        <v>38.5</v>
      </c>
      <c r="P451" s="52">
        <f>IF(COUNTIF(TblPurchases[BatchID],TblOutcomes[[#This Row],[BatchID]])&lt;&gt;1,"n.a.",TblOutcomes[[#This Row],[Qty Wasted]]*SUMIFS(TblPurchases[Unit Cost (CLP)],TblPurchases[BatchID],TblOutcomes[[#This Row],[BatchID]]))</f>
        <v>0</v>
      </c>
      <c r="Q451" s="51">
        <f>IF(COUNTIF(TblPurchases[BatchID],TblOutcomes[[#This Row],[BatchID]])&lt;&gt;1,"n.a.",SUMIFS(TblPurchases[Purchase Date],TblPurchases[BatchID],TblOutcomes[[#This Row],[BatchID]]))</f>
        <v>45664</v>
      </c>
    </row>
    <row r="452" spans="2:17" x14ac:dyDescent="0.25">
      <c r="B452" s="2" t="s">
        <v>1256</v>
      </c>
      <c r="C452" s="2" t="s">
        <v>138</v>
      </c>
      <c r="D452" s="2" t="s">
        <v>122</v>
      </c>
      <c r="E452" s="2" t="s">
        <v>4647</v>
      </c>
      <c r="F452" s="2">
        <v>42</v>
      </c>
      <c r="G452" s="2">
        <v>42</v>
      </c>
      <c r="H452" s="2">
        <v>0</v>
      </c>
      <c r="I452" s="1">
        <v>0</v>
      </c>
      <c r="J452" s="26">
        <v>45679</v>
      </c>
      <c r="K452" s="22">
        <v>126000</v>
      </c>
      <c r="L452" s="18">
        <v>134.76</v>
      </c>
      <c r="M452" s="22">
        <v>92400</v>
      </c>
      <c r="N452" s="22">
        <v>33600</v>
      </c>
      <c r="O452" s="18">
        <v>35.94</v>
      </c>
      <c r="P452" s="52">
        <f>IF(COUNTIF(TblPurchases[BatchID],TblOutcomes[[#This Row],[BatchID]])&lt;&gt;1,"n.a.",TblOutcomes[[#This Row],[Qty Wasted]]*SUMIFS(TblPurchases[Unit Cost (CLP)],TblPurchases[BatchID],TblOutcomes[[#This Row],[BatchID]]))</f>
        <v>0</v>
      </c>
      <c r="Q452" s="51">
        <f>IF(COUNTIF(TblPurchases[BatchID],TblOutcomes[[#This Row],[BatchID]])&lt;&gt;1,"n.a.",SUMIFS(TblPurchases[Purchase Date],TblPurchases[BatchID],TblOutcomes[[#This Row],[BatchID]]))</f>
        <v>45674</v>
      </c>
    </row>
    <row r="453" spans="2:17" x14ac:dyDescent="0.25">
      <c r="B453" s="2" t="s">
        <v>1257</v>
      </c>
      <c r="C453" s="2" t="s">
        <v>138</v>
      </c>
      <c r="D453" s="2" t="s">
        <v>122</v>
      </c>
      <c r="E453" s="2" t="s">
        <v>4647</v>
      </c>
      <c r="F453" s="2">
        <v>44</v>
      </c>
      <c r="G453" s="2">
        <v>44</v>
      </c>
      <c r="H453" s="2">
        <v>0</v>
      </c>
      <c r="I453" s="1">
        <v>0</v>
      </c>
      <c r="J453" s="26">
        <v>45694</v>
      </c>
      <c r="K453" s="22">
        <v>132000</v>
      </c>
      <c r="L453" s="18">
        <v>141.18</v>
      </c>
      <c r="M453" s="22">
        <v>96800</v>
      </c>
      <c r="N453" s="22">
        <v>35200</v>
      </c>
      <c r="O453" s="18">
        <v>37.65</v>
      </c>
      <c r="P453" s="52">
        <f>IF(COUNTIF(TblPurchases[BatchID],TblOutcomes[[#This Row],[BatchID]])&lt;&gt;1,"n.a.",TblOutcomes[[#This Row],[Qty Wasted]]*SUMIFS(TblPurchases[Unit Cost (CLP)],TblPurchases[BatchID],TblOutcomes[[#This Row],[BatchID]]))</f>
        <v>0</v>
      </c>
      <c r="Q453" s="51">
        <f>IF(COUNTIF(TblPurchases[BatchID],TblOutcomes[[#This Row],[BatchID]])&lt;&gt;1,"n.a.",SUMIFS(TblPurchases[Purchase Date],TblPurchases[BatchID],TblOutcomes[[#This Row],[BatchID]]))</f>
        <v>45683</v>
      </c>
    </row>
    <row r="454" spans="2:17" x14ac:dyDescent="0.25">
      <c r="B454" s="2" t="s">
        <v>1258</v>
      </c>
      <c r="C454" s="2" t="s">
        <v>138</v>
      </c>
      <c r="D454" s="2" t="s">
        <v>122</v>
      </c>
      <c r="E454" s="2" t="s">
        <v>4647</v>
      </c>
      <c r="F454" s="2">
        <v>50</v>
      </c>
      <c r="G454" s="2">
        <v>50</v>
      </c>
      <c r="H454" s="2">
        <v>0</v>
      </c>
      <c r="I454" s="1">
        <v>0</v>
      </c>
      <c r="J454" s="26">
        <v>45701</v>
      </c>
      <c r="K454" s="22">
        <v>150000</v>
      </c>
      <c r="L454" s="18">
        <v>160.43</v>
      </c>
      <c r="M454" s="22">
        <v>110000</v>
      </c>
      <c r="N454" s="22">
        <v>40000</v>
      </c>
      <c r="O454" s="18">
        <v>42.78</v>
      </c>
      <c r="P454" s="52">
        <f>IF(COUNTIF(TblPurchases[BatchID],TblOutcomes[[#This Row],[BatchID]])&lt;&gt;1,"n.a.",TblOutcomes[[#This Row],[Qty Wasted]]*SUMIFS(TblPurchases[Unit Cost (CLP)],TblPurchases[BatchID],TblOutcomes[[#This Row],[BatchID]]))</f>
        <v>0</v>
      </c>
      <c r="Q454" s="51">
        <f>IF(COUNTIF(TblPurchases[BatchID],TblOutcomes[[#This Row],[BatchID]])&lt;&gt;1,"n.a.",SUMIFS(TblPurchases[Purchase Date],TblPurchases[BatchID],TblOutcomes[[#This Row],[BatchID]]))</f>
        <v>45694</v>
      </c>
    </row>
    <row r="455" spans="2:17" x14ac:dyDescent="0.25">
      <c r="B455" s="2" t="s">
        <v>1259</v>
      </c>
      <c r="C455" s="2" t="s">
        <v>138</v>
      </c>
      <c r="D455" s="2" t="s">
        <v>122</v>
      </c>
      <c r="E455" s="2" t="s">
        <v>4647</v>
      </c>
      <c r="F455" s="2">
        <v>39</v>
      </c>
      <c r="G455" s="2">
        <v>39</v>
      </c>
      <c r="H455" s="2">
        <v>0</v>
      </c>
      <c r="I455" s="1">
        <v>0</v>
      </c>
      <c r="J455" s="26">
        <v>45708</v>
      </c>
      <c r="K455" s="22">
        <v>117000</v>
      </c>
      <c r="L455" s="18">
        <v>125.13</v>
      </c>
      <c r="M455" s="22">
        <v>85800</v>
      </c>
      <c r="N455" s="22">
        <v>31200</v>
      </c>
      <c r="O455" s="18">
        <v>33.369999999999997</v>
      </c>
      <c r="P455" s="52">
        <f>IF(COUNTIF(TblPurchases[BatchID],TblOutcomes[[#This Row],[BatchID]])&lt;&gt;1,"n.a.",TblOutcomes[[#This Row],[Qty Wasted]]*SUMIFS(TblPurchases[Unit Cost (CLP)],TblPurchases[BatchID],TblOutcomes[[#This Row],[BatchID]]))</f>
        <v>0</v>
      </c>
      <c r="Q455" s="51">
        <f>IF(COUNTIF(TblPurchases[BatchID],TblOutcomes[[#This Row],[BatchID]])&lt;&gt;1,"n.a.",SUMIFS(TblPurchases[Purchase Date],TblPurchases[BatchID],TblOutcomes[[#This Row],[BatchID]]))</f>
        <v>45703</v>
      </c>
    </row>
    <row r="456" spans="2:17" x14ac:dyDescent="0.25">
      <c r="B456" s="2" t="s">
        <v>1260</v>
      </c>
      <c r="C456" s="2" t="s">
        <v>138</v>
      </c>
      <c r="D456" s="2" t="s">
        <v>122</v>
      </c>
      <c r="E456" s="2" t="s">
        <v>4647</v>
      </c>
      <c r="F456" s="2">
        <v>49</v>
      </c>
      <c r="G456" s="2">
        <v>49</v>
      </c>
      <c r="H456" s="2">
        <v>0</v>
      </c>
      <c r="I456" s="1">
        <v>0</v>
      </c>
      <c r="J456" s="26">
        <v>45726</v>
      </c>
      <c r="K456" s="22">
        <v>147000</v>
      </c>
      <c r="L456" s="18">
        <v>157.22</v>
      </c>
      <c r="M456" s="22">
        <v>107800</v>
      </c>
      <c r="N456" s="22">
        <v>39200</v>
      </c>
      <c r="O456" s="18">
        <v>41.93</v>
      </c>
      <c r="P456" s="52">
        <f>IF(COUNTIF(TblPurchases[BatchID],TblOutcomes[[#This Row],[BatchID]])&lt;&gt;1,"n.a.",TblOutcomes[[#This Row],[Qty Wasted]]*SUMIFS(TblPurchases[Unit Cost (CLP)],TblPurchases[BatchID],TblOutcomes[[#This Row],[BatchID]]))</f>
        <v>0</v>
      </c>
      <c r="Q456" s="51">
        <f>IF(COUNTIF(TblPurchases[BatchID],TblOutcomes[[#This Row],[BatchID]])&lt;&gt;1,"n.a.",SUMIFS(TblPurchases[Purchase Date],TblPurchases[BatchID],TblOutcomes[[#This Row],[BatchID]]))</f>
        <v>45712</v>
      </c>
    </row>
    <row r="457" spans="2:17" x14ac:dyDescent="0.25">
      <c r="B457" s="2" t="s">
        <v>1261</v>
      </c>
      <c r="C457" s="2" t="s">
        <v>138</v>
      </c>
      <c r="D457" s="2" t="s">
        <v>122</v>
      </c>
      <c r="E457" s="2" t="s">
        <v>4646</v>
      </c>
      <c r="F457" s="2">
        <v>43</v>
      </c>
      <c r="G457" s="2">
        <v>37.58</v>
      </c>
      <c r="H457" s="2">
        <v>5.42</v>
      </c>
      <c r="I457" s="1">
        <v>12.6</v>
      </c>
      <c r="J457" s="26">
        <v>45766</v>
      </c>
      <c r="K457" s="22">
        <v>112740</v>
      </c>
      <c r="L457" s="18">
        <v>120.58</v>
      </c>
      <c r="M457" s="22">
        <v>94600</v>
      </c>
      <c r="N457" s="22">
        <v>18140</v>
      </c>
      <c r="O457" s="18">
        <v>19.399999999999999</v>
      </c>
      <c r="P457" s="52">
        <f>IF(COUNTIF(TblPurchases[BatchID],TblOutcomes[[#This Row],[BatchID]])&lt;&gt;1,"n.a.",TblOutcomes[[#This Row],[Qty Wasted]]*SUMIFS(TblPurchases[Unit Cost (CLP)],TblPurchases[BatchID],TblOutcomes[[#This Row],[BatchID]]))</f>
        <v>11924</v>
      </c>
      <c r="Q457" s="51">
        <f>IF(COUNTIF(TblPurchases[BatchID],TblOutcomes[[#This Row],[BatchID]])&lt;&gt;1,"n.a.",SUMIFS(TblPurchases[Purchase Date],TblPurchases[BatchID],TblOutcomes[[#This Row],[BatchID]]))</f>
        <v>45721</v>
      </c>
    </row>
    <row r="458" spans="2:17" x14ac:dyDescent="0.25">
      <c r="B458" s="2" t="s">
        <v>1262</v>
      </c>
      <c r="C458" s="2" t="s">
        <v>138</v>
      </c>
      <c r="D458" s="2" t="s">
        <v>122</v>
      </c>
      <c r="E458" s="2" t="s">
        <v>4647</v>
      </c>
      <c r="F458" s="2">
        <v>38</v>
      </c>
      <c r="G458" s="2">
        <v>38</v>
      </c>
      <c r="H458" s="2">
        <v>0</v>
      </c>
      <c r="I458" s="1">
        <v>0</v>
      </c>
      <c r="J458" s="26">
        <v>45738</v>
      </c>
      <c r="K458" s="22">
        <v>114000</v>
      </c>
      <c r="L458" s="18">
        <v>121.93</v>
      </c>
      <c r="M458" s="22">
        <v>83600</v>
      </c>
      <c r="N458" s="22">
        <v>30400</v>
      </c>
      <c r="O458" s="18">
        <v>32.51</v>
      </c>
      <c r="P458" s="52">
        <f>IF(COUNTIF(TblPurchases[BatchID],TblOutcomes[[#This Row],[BatchID]])&lt;&gt;1,"n.a.",TblOutcomes[[#This Row],[Qty Wasted]]*SUMIFS(TblPurchases[Unit Cost (CLP)],TblPurchases[BatchID],TblOutcomes[[#This Row],[BatchID]]))</f>
        <v>0</v>
      </c>
      <c r="Q458" s="51">
        <f>IF(COUNTIF(TblPurchases[BatchID],TblOutcomes[[#This Row],[BatchID]])&lt;&gt;1,"n.a.",SUMIFS(TblPurchases[Purchase Date],TblPurchases[BatchID],TblOutcomes[[#This Row],[BatchID]]))</f>
        <v>45730</v>
      </c>
    </row>
    <row r="459" spans="2:17" x14ac:dyDescent="0.25">
      <c r="B459" s="2" t="s">
        <v>1263</v>
      </c>
      <c r="C459" s="2" t="s">
        <v>138</v>
      </c>
      <c r="D459" s="2" t="s">
        <v>122</v>
      </c>
      <c r="E459" s="2" t="s">
        <v>4647</v>
      </c>
      <c r="F459" s="2">
        <v>49</v>
      </c>
      <c r="G459" s="2">
        <v>49</v>
      </c>
      <c r="H459" s="2">
        <v>0</v>
      </c>
      <c r="I459" s="1">
        <v>0</v>
      </c>
      <c r="J459" s="26">
        <v>45747</v>
      </c>
      <c r="K459" s="22">
        <v>147000</v>
      </c>
      <c r="L459" s="18">
        <v>157.22</v>
      </c>
      <c r="M459" s="22">
        <v>107800</v>
      </c>
      <c r="N459" s="22">
        <v>39200</v>
      </c>
      <c r="O459" s="18">
        <v>41.93</v>
      </c>
      <c r="P459" s="52">
        <f>IF(COUNTIF(TblPurchases[BatchID],TblOutcomes[[#This Row],[BatchID]])&lt;&gt;1,"n.a.",TblOutcomes[[#This Row],[Qty Wasted]]*SUMIFS(TblPurchases[Unit Cost (CLP)],TblPurchases[BatchID],TblOutcomes[[#This Row],[BatchID]]))</f>
        <v>0</v>
      </c>
      <c r="Q459" s="51">
        <f>IF(COUNTIF(TblPurchases[BatchID],TblOutcomes[[#This Row],[BatchID]])&lt;&gt;1,"n.a.",SUMIFS(TblPurchases[Purchase Date],TblPurchases[BatchID],TblOutcomes[[#This Row],[BatchID]]))</f>
        <v>45739</v>
      </c>
    </row>
    <row r="460" spans="2:17" x14ac:dyDescent="0.25">
      <c r="B460" s="2" t="s">
        <v>1264</v>
      </c>
      <c r="C460" s="2" t="s">
        <v>138</v>
      </c>
      <c r="D460" s="2" t="s">
        <v>122</v>
      </c>
      <c r="E460" s="2" t="s">
        <v>4646</v>
      </c>
      <c r="F460" s="2">
        <v>49</v>
      </c>
      <c r="G460" s="2">
        <v>43.81</v>
      </c>
      <c r="H460" s="2">
        <v>5.19</v>
      </c>
      <c r="I460" s="1">
        <v>10.6</v>
      </c>
      <c r="J460" s="26">
        <v>45791</v>
      </c>
      <c r="K460" s="22">
        <v>131430</v>
      </c>
      <c r="L460" s="18">
        <v>140.57</v>
      </c>
      <c r="M460" s="22">
        <v>107800</v>
      </c>
      <c r="N460" s="22">
        <v>23630</v>
      </c>
      <c r="O460" s="18">
        <v>25.27</v>
      </c>
      <c r="P460" s="52">
        <f>IF(COUNTIF(TblPurchases[BatchID],TblOutcomes[[#This Row],[BatchID]])&lt;&gt;1,"n.a.",TblOutcomes[[#This Row],[Qty Wasted]]*SUMIFS(TblPurchases[Unit Cost (CLP)],TblPurchases[BatchID],TblOutcomes[[#This Row],[BatchID]]))</f>
        <v>11418</v>
      </c>
      <c r="Q460" s="51">
        <f>IF(COUNTIF(TblPurchases[BatchID],TblOutcomes[[#This Row],[BatchID]])&lt;&gt;1,"n.a.",SUMIFS(TblPurchases[Purchase Date],TblPurchases[BatchID],TblOutcomes[[#This Row],[BatchID]]))</f>
        <v>45746</v>
      </c>
    </row>
    <row r="461" spans="2:17" x14ac:dyDescent="0.25">
      <c r="B461" s="2" t="s">
        <v>1265</v>
      </c>
      <c r="C461" s="2" t="s">
        <v>138</v>
      </c>
      <c r="D461" s="2" t="s">
        <v>122</v>
      </c>
      <c r="E461" s="2" t="s">
        <v>4647</v>
      </c>
      <c r="F461" s="2">
        <v>15</v>
      </c>
      <c r="G461" s="2">
        <v>15</v>
      </c>
      <c r="H461" s="2">
        <v>0</v>
      </c>
      <c r="I461" s="1">
        <v>0</v>
      </c>
      <c r="J461" s="26">
        <v>45763</v>
      </c>
      <c r="K461" s="22">
        <v>45000</v>
      </c>
      <c r="L461" s="18">
        <v>48.13</v>
      </c>
      <c r="M461" s="22">
        <v>33000</v>
      </c>
      <c r="N461" s="22">
        <v>12000</v>
      </c>
      <c r="O461" s="18">
        <v>12.83</v>
      </c>
      <c r="P461" s="52">
        <f>IF(COUNTIF(TblPurchases[BatchID],TblOutcomes[[#This Row],[BatchID]])&lt;&gt;1,"n.a.",TblOutcomes[[#This Row],[Qty Wasted]]*SUMIFS(TblPurchases[Unit Cost (CLP)],TblPurchases[BatchID],TblOutcomes[[#This Row],[BatchID]]))</f>
        <v>0</v>
      </c>
      <c r="Q461" s="51">
        <f>IF(COUNTIF(TblPurchases[BatchID],TblOutcomes[[#This Row],[BatchID]])&lt;&gt;1,"n.a.",SUMIFS(TblPurchases[Purchase Date],TblPurchases[BatchID],TblOutcomes[[#This Row],[BatchID]]))</f>
        <v>45759</v>
      </c>
    </row>
    <row r="462" spans="2:17" x14ac:dyDescent="0.25">
      <c r="B462" s="2" t="s">
        <v>1266</v>
      </c>
      <c r="C462" s="2" t="s">
        <v>138</v>
      </c>
      <c r="D462" s="2" t="s">
        <v>122</v>
      </c>
      <c r="E462" s="2" t="s">
        <v>4647</v>
      </c>
      <c r="F462" s="2">
        <v>16</v>
      </c>
      <c r="G462" s="2">
        <v>16</v>
      </c>
      <c r="H462" s="2">
        <v>0</v>
      </c>
      <c r="I462" s="1">
        <v>0</v>
      </c>
      <c r="J462" s="26">
        <v>45775</v>
      </c>
      <c r="K462" s="22">
        <v>48000</v>
      </c>
      <c r="L462" s="18">
        <v>51.34</v>
      </c>
      <c r="M462" s="22">
        <v>35200</v>
      </c>
      <c r="N462" s="22">
        <v>12800</v>
      </c>
      <c r="O462" s="18">
        <v>13.69</v>
      </c>
      <c r="P462" s="52">
        <f>IF(COUNTIF(TblPurchases[BatchID],TblOutcomes[[#This Row],[BatchID]])&lt;&gt;1,"n.a.",TblOutcomes[[#This Row],[Qty Wasted]]*SUMIFS(TblPurchases[Unit Cost (CLP)],TblPurchases[BatchID],TblOutcomes[[#This Row],[BatchID]]))</f>
        <v>0</v>
      </c>
      <c r="Q462" s="51">
        <f>IF(COUNTIF(TblPurchases[BatchID],TblOutcomes[[#This Row],[BatchID]])&lt;&gt;1,"n.a.",SUMIFS(TblPurchases[Purchase Date],TblPurchases[BatchID],TblOutcomes[[#This Row],[BatchID]]))</f>
        <v>45767</v>
      </c>
    </row>
    <row r="463" spans="2:17" x14ac:dyDescent="0.25">
      <c r="B463" s="2" t="s">
        <v>1267</v>
      </c>
      <c r="C463" s="2" t="s">
        <v>138</v>
      </c>
      <c r="D463" s="2" t="s">
        <v>122</v>
      </c>
      <c r="E463" s="2" t="s">
        <v>4646</v>
      </c>
      <c r="F463" s="2">
        <v>14</v>
      </c>
      <c r="G463" s="2">
        <v>11.94</v>
      </c>
      <c r="H463" s="2">
        <v>2.06</v>
      </c>
      <c r="I463" s="1">
        <v>14.7</v>
      </c>
      <c r="J463" s="26">
        <v>45821</v>
      </c>
      <c r="K463" s="22">
        <v>35820</v>
      </c>
      <c r="L463" s="18">
        <v>38.31</v>
      </c>
      <c r="M463" s="22">
        <v>30800</v>
      </c>
      <c r="N463" s="22">
        <v>5020</v>
      </c>
      <c r="O463" s="18">
        <v>5.37</v>
      </c>
      <c r="P463" s="52">
        <f>IF(COUNTIF(TblPurchases[BatchID],TblOutcomes[[#This Row],[BatchID]])&lt;&gt;1,"n.a.",TblOutcomes[[#This Row],[Qty Wasted]]*SUMIFS(TblPurchases[Unit Cost (CLP)],TblPurchases[BatchID],TblOutcomes[[#This Row],[BatchID]]))</f>
        <v>4532</v>
      </c>
      <c r="Q463" s="51">
        <f>IF(COUNTIF(TblPurchases[BatchID],TblOutcomes[[#This Row],[BatchID]])&lt;&gt;1,"n.a.",SUMIFS(TblPurchases[Purchase Date],TblPurchases[BatchID],TblOutcomes[[#This Row],[BatchID]]))</f>
        <v>45776</v>
      </c>
    </row>
    <row r="464" spans="2:17" x14ac:dyDescent="0.25">
      <c r="B464" s="2" t="s">
        <v>1268</v>
      </c>
      <c r="C464" s="2" t="s">
        <v>138</v>
      </c>
      <c r="D464" s="2" t="s">
        <v>122</v>
      </c>
      <c r="E464" s="2" t="s">
        <v>4647</v>
      </c>
      <c r="F464" s="2">
        <v>18</v>
      </c>
      <c r="G464" s="2">
        <v>18</v>
      </c>
      <c r="H464" s="2">
        <v>0</v>
      </c>
      <c r="I464" s="1">
        <v>0</v>
      </c>
      <c r="J464" s="26">
        <v>45793</v>
      </c>
      <c r="K464" s="22">
        <v>54000</v>
      </c>
      <c r="L464" s="18">
        <v>57.75</v>
      </c>
      <c r="M464" s="22">
        <v>39600</v>
      </c>
      <c r="N464" s="22">
        <v>14400</v>
      </c>
      <c r="O464" s="18">
        <v>15.4</v>
      </c>
      <c r="P464" s="52">
        <f>IF(COUNTIF(TblPurchases[BatchID],TblOutcomes[[#This Row],[BatchID]])&lt;&gt;1,"n.a.",TblOutcomes[[#This Row],[Qty Wasted]]*SUMIFS(TblPurchases[Unit Cost (CLP)],TblPurchases[BatchID],TblOutcomes[[#This Row],[BatchID]]))</f>
        <v>0</v>
      </c>
      <c r="Q464" s="51">
        <f>IF(COUNTIF(TblPurchases[BatchID],TblOutcomes[[#This Row],[BatchID]])&lt;&gt;1,"n.a.",SUMIFS(TblPurchases[Purchase Date],TblPurchases[BatchID],TblOutcomes[[#This Row],[BatchID]]))</f>
        <v>45788</v>
      </c>
    </row>
    <row r="465" spans="2:17" x14ac:dyDescent="0.25">
      <c r="B465" s="2" t="s">
        <v>1269</v>
      </c>
      <c r="C465" s="2" t="s">
        <v>138</v>
      </c>
      <c r="D465" s="2" t="s">
        <v>122</v>
      </c>
      <c r="E465" s="2" t="s">
        <v>4647</v>
      </c>
      <c r="F465" s="2">
        <v>14</v>
      </c>
      <c r="G465" s="2">
        <v>14</v>
      </c>
      <c r="H465" s="2">
        <v>0</v>
      </c>
      <c r="I465" s="1">
        <v>0</v>
      </c>
      <c r="J465" s="26">
        <v>45801</v>
      </c>
      <c r="K465" s="22">
        <v>42000</v>
      </c>
      <c r="L465" s="18">
        <v>44.92</v>
      </c>
      <c r="M465" s="22">
        <v>30800</v>
      </c>
      <c r="N465" s="22">
        <v>11200</v>
      </c>
      <c r="O465" s="18">
        <v>11.98</v>
      </c>
      <c r="P465" s="52">
        <f>IF(COUNTIF(TblPurchases[BatchID],TblOutcomes[[#This Row],[BatchID]])&lt;&gt;1,"n.a.",TblOutcomes[[#This Row],[Qty Wasted]]*SUMIFS(TblPurchases[Unit Cost (CLP)],TblPurchases[BatchID],TblOutcomes[[#This Row],[BatchID]]))</f>
        <v>0</v>
      </c>
      <c r="Q465" s="51">
        <f>IF(COUNTIF(TblPurchases[BatchID],TblOutcomes[[#This Row],[BatchID]])&lt;&gt;1,"n.a.",SUMIFS(TblPurchases[Purchase Date],TblPurchases[BatchID],TblOutcomes[[#This Row],[BatchID]]))</f>
        <v>45796</v>
      </c>
    </row>
    <row r="466" spans="2:17" x14ac:dyDescent="0.25">
      <c r="B466" s="2" t="s">
        <v>1270</v>
      </c>
      <c r="C466" s="2" t="s">
        <v>138</v>
      </c>
      <c r="D466" s="2" t="s">
        <v>122</v>
      </c>
      <c r="E466" s="2" t="s">
        <v>4646</v>
      </c>
      <c r="F466" s="2">
        <v>15</v>
      </c>
      <c r="G466" s="2">
        <v>11.6</v>
      </c>
      <c r="H466" s="2">
        <v>3.41</v>
      </c>
      <c r="I466" s="1">
        <v>22.7</v>
      </c>
      <c r="J466" s="26">
        <v>45849</v>
      </c>
      <c r="K466" s="22">
        <v>34800</v>
      </c>
      <c r="L466" s="18">
        <v>37.22</v>
      </c>
      <c r="M466" s="22">
        <v>33000</v>
      </c>
      <c r="N466" s="22">
        <v>1800</v>
      </c>
      <c r="O466" s="18">
        <v>1.93</v>
      </c>
      <c r="P466" s="52">
        <f>IF(COUNTIF(TblPurchases[BatchID],TblOutcomes[[#This Row],[BatchID]])&lt;&gt;1,"n.a.",TblOutcomes[[#This Row],[Qty Wasted]]*SUMIFS(TblPurchases[Unit Cost (CLP)],TblPurchases[BatchID],TblOutcomes[[#This Row],[BatchID]]))</f>
        <v>7502</v>
      </c>
      <c r="Q466" s="51">
        <f>IF(COUNTIF(TblPurchases[BatchID],TblOutcomes[[#This Row],[BatchID]])&lt;&gt;1,"n.a.",SUMIFS(TblPurchases[Purchase Date],TblPurchases[BatchID],TblOutcomes[[#This Row],[BatchID]]))</f>
        <v>45804</v>
      </c>
    </row>
    <row r="467" spans="2:17" x14ac:dyDescent="0.25">
      <c r="B467" s="2" t="s">
        <v>1271</v>
      </c>
      <c r="C467" s="2" t="s">
        <v>138</v>
      </c>
      <c r="D467" s="2" t="s">
        <v>122</v>
      </c>
      <c r="E467" s="2" t="s">
        <v>4647</v>
      </c>
      <c r="F467" s="2">
        <v>17</v>
      </c>
      <c r="G467" s="2">
        <v>17</v>
      </c>
      <c r="H467" s="2">
        <v>0</v>
      </c>
      <c r="I467" s="1">
        <v>0</v>
      </c>
      <c r="J467" s="26">
        <v>45819</v>
      </c>
      <c r="K467" s="22">
        <v>51000</v>
      </c>
      <c r="L467" s="18">
        <v>54.55</v>
      </c>
      <c r="M467" s="22">
        <v>37400</v>
      </c>
      <c r="N467" s="22">
        <v>13600</v>
      </c>
      <c r="O467" s="18">
        <v>14.55</v>
      </c>
      <c r="P467" s="52">
        <f>IF(COUNTIF(TblPurchases[BatchID],TblOutcomes[[#This Row],[BatchID]])&lt;&gt;1,"n.a.",TblOutcomes[[#This Row],[Qty Wasted]]*SUMIFS(TblPurchases[Unit Cost (CLP)],TblPurchases[BatchID],TblOutcomes[[#This Row],[BatchID]]))</f>
        <v>0</v>
      </c>
      <c r="Q467" s="51">
        <f>IF(COUNTIF(TblPurchases[BatchID],TblOutcomes[[#This Row],[BatchID]])&lt;&gt;1,"n.a.",SUMIFS(TblPurchases[Purchase Date],TblPurchases[BatchID],TblOutcomes[[#This Row],[BatchID]]))</f>
        <v>45812</v>
      </c>
    </row>
    <row r="468" spans="2:17" x14ac:dyDescent="0.25">
      <c r="B468" s="2" t="s">
        <v>1272</v>
      </c>
      <c r="C468" s="2" t="s">
        <v>138</v>
      </c>
      <c r="D468" s="2" t="s">
        <v>122</v>
      </c>
      <c r="E468" s="2" t="s">
        <v>4647</v>
      </c>
      <c r="F468" s="2">
        <v>19</v>
      </c>
      <c r="G468" s="2">
        <v>19</v>
      </c>
      <c r="H468" s="2">
        <v>0</v>
      </c>
      <c r="I468" s="1">
        <v>0</v>
      </c>
      <c r="J468" s="26">
        <v>45834</v>
      </c>
      <c r="K468" s="22">
        <v>57000</v>
      </c>
      <c r="L468" s="18">
        <v>60.96</v>
      </c>
      <c r="M468" s="22">
        <v>41800</v>
      </c>
      <c r="N468" s="22">
        <v>15200</v>
      </c>
      <c r="O468" s="18">
        <v>16.260000000000002</v>
      </c>
      <c r="P468" s="52">
        <f>IF(COUNTIF(TblPurchases[BatchID],TblOutcomes[[#This Row],[BatchID]])&lt;&gt;1,"n.a.",TblOutcomes[[#This Row],[Qty Wasted]]*SUMIFS(TblPurchases[Unit Cost (CLP)],TblPurchases[BatchID],TblOutcomes[[#This Row],[BatchID]]))</f>
        <v>0</v>
      </c>
      <c r="Q468" s="51">
        <f>IF(COUNTIF(TblPurchases[BatchID],TblOutcomes[[#This Row],[BatchID]])&lt;&gt;1,"n.a.",SUMIFS(TblPurchases[Purchase Date],TblPurchases[BatchID],TblOutcomes[[#This Row],[BatchID]]))</f>
        <v>45822</v>
      </c>
    </row>
    <row r="469" spans="2:17" x14ac:dyDescent="0.25">
      <c r="B469" s="2" t="s">
        <v>1273</v>
      </c>
      <c r="C469" s="2" t="s">
        <v>138</v>
      </c>
      <c r="D469" s="2" t="s">
        <v>122</v>
      </c>
      <c r="E469" s="2" t="s">
        <v>4646</v>
      </c>
      <c r="F469" s="2">
        <v>16</v>
      </c>
      <c r="G469" s="2">
        <v>12.45</v>
      </c>
      <c r="H469" s="2">
        <v>3.55</v>
      </c>
      <c r="I469" s="1">
        <v>22.2</v>
      </c>
      <c r="J469" s="26">
        <v>45877</v>
      </c>
      <c r="K469" s="22">
        <v>37350</v>
      </c>
      <c r="L469" s="18">
        <v>39.950000000000003</v>
      </c>
      <c r="M469" s="22">
        <v>35200</v>
      </c>
      <c r="N469" s="22">
        <v>2150</v>
      </c>
      <c r="O469" s="18">
        <v>2.2999999999999998</v>
      </c>
      <c r="P469" s="52">
        <f>IF(COUNTIF(TblPurchases[BatchID],TblOutcomes[[#This Row],[BatchID]])&lt;&gt;1,"n.a.",TblOutcomes[[#This Row],[Qty Wasted]]*SUMIFS(TblPurchases[Unit Cost (CLP)],TblPurchases[BatchID],TblOutcomes[[#This Row],[BatchID]]))</f>
        <v>7810</v>
      </c>
      <c r="Q469" s="51">
        <f>IF(COUNTIF(TblPurchases[BatchID],TblOutcomes[[#This Row],[BatchID]])&lt;&gt;1,"n.a.",SUMIFS(TblPurchases[Purchase Date],TblPurchases[BatchID],TblOutcomes[[#This Row],[BatchID]]))</f>
        <v>45832</v>
      </c>
    </row>
    <row r="470" spans="2:17" x14ac:dyDescent="0.25">
      <c r="B470" s="2" t="s">
        <v>1274</v>
      </c>
      <c r="C470" s="2" t="s">
        <v>140</v>
      </c>
      <c r="D470" s="2" t="s">
        <v>122</v>
      </c>
      <c r="E470" s="2" t="s">
        <v>4647</v>
      </c>
      <c r="F470" s="2">
        <v>13</v>
      </c>
      <c r="G470" s="2">
        <v>13</v>
      </c>
      <c r="H470" s="2">
        <v>0</v>
      </c>
      <c r="I470" s="1">
        <v>0</v>
      </c>
      <c r="J470" s="26">
        <v>45126</v>
      </c>
      <c r="K470" s="22">
        <v>32500</v>
      </c>
      <c r="L470" s="18">
        <v>34.76</v>
      </c>
      <c r="M470" s="22">
        <v>24050</v>
      </c>
      <c r="N470" s="22">
        <v>8450</v>
      </c>
      <c r="O470" s="18">
        <v>9.0399999999999991</v>
      </c>
      <c r="P470" s="52">
        <f>IF(COUNTIF(TblPurchases[BatchID],TblOutcomes[[#This Row],[BatchID]])&lt;&gt;1,"n.a.",TblOutcomes[[#This Row],[Qty Wasted]]*SUMIFS(TblPurchases[Unit Cost (CLP)],TblPurchases[BatchID],TblOutcomes[[#This Row],[BatchID]]))</f>
        <v>0</v>
      </c>
      <c r="Q470" s="51">
        <f>IF(COUNTIF(TblPurchases[BatchID],TblOutcomes[[#This Row],[BatchID]])&lt;&gt;1,"n.a.",SUMIFS(TblPurchases[Purchase Date],TblPurchases[BatchID],TblOutcomes[[#This Row],[BatchID]]))</f>
        <v>45115</v>
      </c>
    </row>
    <row r="471" spans="2:17" x14ac:dyDescent="0.25">
      <c r="B471" s="2" t="s">
        <v>1275</v>
      </c>
      <c r="C471" s="2" t="s">
        <v>140</v>
      </c>
      <c r="D471" s="2" t="s">
        <v>122</v>
      </c>
      <c r="E471" s="2" t="s">
        <v>4646</v>
      </c>
      <c r="F471" s="2">
        <v>15</v>
      </c>
      <c r="G471" s="2">
        <v>12.29</v>
      </c>
      <c r="H471" s="2">
        <v>2.71</v>
      </c>
      <c r="I471" s="1">
        <v>18.100000000000001</v>
      </c>
      <c r="J471" s="26">
        <v>45169</v>
      </c>
      <c r="K471" s="22">
        <v>30725</v>
      </c>
      <c r="L471" s="18">
        <v>32.86</v>
      </c>
      <c r="M471" s="22">
        <v>27750</v>
      </c>
      <c r="N471" s="22">
        <v>2975</v>
      </c>
      <c r="O471" s="18">
        <v>3.18</v>
      </c>
      <c r="P471" s="52">
        <f>IF(COUNTIF(TblPurchases[BatchID],TblOutcomes[[#This Row],[BatchID]])&lt;&gt;1,"n.a.",TblOutcomes[[#This Row],[Qty Wasted]]*SUMIFS(TblPurchases[Unit Cost (CLP)],TblPurchases[BatchID],TblOutcomes[[#This Row],[BatchID]]))</f>
        <v>5013.5</v>
      </c>
      <c r="Q471" s="51">
        <f>IF(COUNTIF(TblPurchases[BatchID],TblOutcomes[[#This Row],[BatchID]])&lt;&gt;1,"n.a.",SUMIFS(TblPurchases[Purchase Date],TblPurchases[BatchID],TblOutcomes[[#This Row],[BatchID]]))</f>
        <v>45124</v>
      </c>
    </row>
    <row r="472" spans="2:17" x14ac:dyDescent="0.25">
      <c r="B472" s="2" t="s">
        <v>1276</v>
      </c>
      <c r="C472" s="2" t="s">
        <v>140</v>
      </c>
      <c r="D472" s="2" t="s">
        <v>122</v>
      </c>
      <c r="E472" s="2" t="s">
        <v>4646</v>
      </c>
      <c r="F472" s="2">
        <v>15</v>
      </c>
      <c r="G472" s="2">
        <v>12.58</v>
      </c>
      <c r="H472" s="2">
        <v>2.42</v>
      </c>
      <c r="I472" s="1">
        <v>16.100000000000001</v>
      </c>
      <c r="J472" s="26">
        <v>45176</v>
      </c>
      <c r="K472" s="22">
        <v>31450</v>
      </c>
      <c r="L472" s="18">
        <v>33.64</v>
      </c>
      <c r="M472" s="22">
        <v>27750</v>
      </c>
      <c r="N472" s="22">
        <v>3700</v>
      </c>
      <c r="O472" s="18">
        <v>3.96</v>
      </c>
      <c r="P472" s="52">
        <f>IF(COUNTIF(TblPurchases[BatchID],TblOutcomes[[#This Row],[BatchID]])&lt;&gt;1,"n.a.",TblOutcomes[[#This Row],[Qty Wasted]]*SUMIFS(TblPurchases[Unit Cost (CLP)],TblPurchases[BatchID],TblOutcomes[[#This Row],[BatchID]]))</f>
        <v>4477</v>
      </c>
      <c r="Q472" s="51">
        <f>IF(COUNTIF(TblPurchases[BatchID],TblOutcomes[[#This Row],[BatchID]])&lt;&gt;1,"n.a.",SUMIFS(TblPurchases[Purchase Date],TblPurchases[BatchID],TblOutcomes[[#This Row],[BatchID]]))</f>
        <v>45131</v>
      </c>
    </row>
    <row r="473" spans="2:17" x14ac:dyDescent="0.25">
      <c r="B473" s="2" t="s">
        <v>1277</v>
      </c>
      <c r="C473" s="2" t="s">
        <v>140</v>
      </c>
      <c r="D473" s="2" t="s">
        <v>122</v>
      </c>
      <c r="E473" s="2" t="s">
        <v>4646</v>
      </c>
      <c r="F473" s="2">
        <v>16</v>
      </c>
      <c r="G473" s="2">
        <v>13.95</v>
      </c>
      <c r="H473" s="2">
        <v>2.0499999999999998</v>
      </c>
      <c r="I473" s="1">
        <v>12.8</v>
      </c>
      <c r="J473" s="26">
        <v>45186</v>
      </c>
      <c r="K473" s="22">
        <v>34875</v>
      </c>
      <c r="L473" s="18">
        <v>37.299999999999997</v>
      </c>
      <c r="M473" s="22">
        <v>29600</v>
      </c>
      <c r="N473" s="22">
        <v>5275</v>
      </c>
      <c r="O473" s="18">
        <v>5.64</v>
      </c>
      <c r="P473" s="52">
        <f>IF(COUNTIF(TblPurchases[BatchID],TblOutcomes[[#This Row],[BatchID]])&lt;&gt;1,"n.a.",TblOutcomes[[#This Row],[Qty Wasted]]*SUMIFS(TblPurchases[Unit Cost (CLP)],TblPurchases[BatchID],TblOutcomes[[#This Row],[BatchID]]))</f>
        <v>3792.4999999999995</v>
      </c>
      <c r="Q473" s="51">
        <f>IF(COUNTIF(TblPurchases[BatchID],TblOutcomes[[#This Row],[BatchID]])&lt;&gt;1,"n.a.",SUMIFS(TblPurchases[Purchase Date],TblPurchases[BatchID],TblOutcomes[[#This Row],[BatchID]]))</f>
        <v>45141</v>
      </c>
    </row>
    <row r="474" spans="2:17" x14ac:dyDescent="0.25">
      <c r="B474" s="2" t="s">
        <v>1278</v>
      </c>
      <c r="C474" s="2" t="s">
        <v>140</v>
      </c>
      <c r="D474" s="2" t="s">
        <v>122</v>
      </c>
      <c r="E474" s="2" t="s">
        <v>4647</v>
      </c>
      <c r="F474" s="2">
        <v>15</v>
      </c>
      <c r="G474" s="2">
        <v>15</v>
      </c>
      <c r="H474" s="2">
        <v>0</v>
      </c>
      <c r="I474" s="1">
        <v>0</v>
      </c>
      <c r="J474" s="26">
        <v>45163</v>
      </c>
      <c r="K474" s="22">
        <v>37500</v>
      </c>
      <c r="L474" s="18">
        <v>40.11</v>
      </c>
      <c r="M474" s="22">
        <v>27750</v>
      </c>
      <c r="N474" s="22">
        <v>9750</v>
      </c>
      <c r="O474" s="18">
        <v>10.43</v>
      </c>
      <c r="P474" s="52">
        <f>IF(COUNTIF(TblPurchases[BatchID],TblOutcomes[[#This Row],[BatchID]])&lt;&gt;1,"n.a.",TblOutcomes[[#This Row],[Qty Wasted]]*SUMIFS(TblPurchases[Unit Cost (CLP)],TblPurchases[BatchID],TblOutcomes[[#This Row],[BatchID]]))</f>
        <v>0</v>
      </c>
      <c r="Q474" s="51">
        <f>IF(COUNTIF(TblPurchases[BatchID],TblOutcomes[[#This Row],[BatchID]])&lt;&gt;1,"n.a.",SUMIFS(TblPurchases[Purchase Date],TblPurchases[BatchID],TblOutcomes[[#This Row],[BatchID]]))</f>
        <v>45149</v>
      </c>
    </row>
    <row r="475" spans="2:17" x14ac:dyDescent="0.25">
      <c r="B475" s="2" t="s">
        <v>1279</v>
      </c>
      <c r="C475" s="2" t="s">
        <v>140</v>
      </c>
      <c r="D475" s="2" t="s">
        <v>122</v>
      </c>
      <c r="E475" s="2" t="s">
        <v>4646</v>
      </c>
      <c r="F475" s="2">
        <v>17</v>
      </c>
      <c r="G475" s="2">
        <v>13.84</v>
      </c>
      <c r="H475" s="2">
        <v>3.16</v>
      </c>
      <c r="I475" s="1">
        <v>18.600000000000001</v>
      </c>
      <c r="J475" s="26">
        <v>45202</v>
      </c>
      <c r="K475" s="22">
        <v>34600</v>
      </c>
      <c r="L475" s="18">
        <v>37.01</v>
      </c>
      <c r="M475" s="22">
        <v>31450</v>
      </c>
      <c r="N475" s="22">
        <v>3150</v>
      </c>
      <c r="O475" s="18">
        <v>3.37</v>
      </c>
      <c r="P475" s="52">
        <f>IF(COUNTIF(TblPurchases[BatchID],TblOutcomes[[#This Row],[BatchID]])&lt;&gt;1,"n.a.",TblOutcomes[[#This Row],[Qty Wasted]]*SUMIFS(TblPurchases[Unit Cost (CLP)],TblPurchases[BatchID],TblOutcomes[[#This Row],[BatchID]]))</f>
        <v>5846</v>
      </c>
      <c r="Q475" s="51">
        <f>IF(COUNTIF(TblPurchases[BatchID],TblOutcomes[[#This Row],[BatchID]])&lt;&gt;1,"n.a.",SUMIFS(TblPurchases[Purchase Date],TblPurchases[BatchID],TblOutcomes[[#This Row],[BatchID]]))</f>
        <v>45157</v>
      </c>
    </row>
    <row r="476" spans="2:17" x14ac:dyDescent="0.25">
      <c r="B476" s="2" t="s">
        <v>1280</v>
      </c>
      <c r="C476" s="2" t="s">
        <v>140</v>
      </c>
      <c r="D476" s="2" t="s">
        <v>122</v>
      </c>
      <c r="E476" s="2" t="s">
        <v>4647</v>
      </c>
      <c r="F476" s="2">
        <v>17</v>
      </c>
      <c r="G476" s="2">
        <v>17</v>
      </c>
      <c r="H476" s="2">
        <v>0</v>
      </c>
      <c r="I476" s="1">
        <v>0</v>
      </c>
      <c r="J476" s="26">
        <v>45177</v>
      </c>
      <c r="K476" s="22">
        <v>42500</v>
      </c>
      <c r="L476" s="18">
        <v>45.45</v>
      </c>
      <c r="M476" s="22">
        <v>31450</v>
      </c>
      <c r="N476" s="22">
        <v>11050</v>
      </c>
      <c r="O476" s="18">
        <v>11.82</v>
      </c>
      <c r="P476" s="52">
        <f>IF(COUNTIF(TblPurchases[BatchID],TblOutcomes[[#This Row],[BatchID]])&lt;&gt;1,"n.a.",TblOutcomes[[#This Row],[Qty Wasted]]*SUMIFS(TblPurchases[Unit Cost (CLP)],TblPurchases[BatchID],TblOutcomes[[#This Row],[BatchID]]))</f>
        <v>0</v>
      </c>
      <c r="Q476" s="51">
        <f>IF(COUNTIF(TblPurchases[BatchID],TblOutcomes[[#This Row],[BatchID]])&lt;&gt;1,"n.a.",SUMIFS(TblPurchases[Purchase Date],TblPurchases[BatchID],TblOutcomes[[#This Row],[BatchID]]))</f>
        <v>45168</v>
      </c>
    </row>
    <row r="477" spans="2:17" x14ac:dyDescent="0.25">
      <c r="B477" s="2" t="s">
        <v>1281</v>
      </c>
      <c r="C477" s="2" t="s">
        <v>140</v>
      </c>
      <c r="D477" s="2" t="s">
        <v>122</v>
      </c>
      <c r="E477" s="2" t="s">
        <v>4647</v>
      </c>
      <c r="F477" s="2">
        <v>18</v>
      </c>
      <c r="G477" s="2">
        <v>18</v>
      </c>
      <c r="H477" s="2">
        <v>0</v>
      </c>
      <c r="I477" s="1">
        <v>0</v>
      </c>
      <c r="J477" s="26">
        <v>45187</v>
      </c>
      <c r="K477" s="22">
        <v>45000</v>
      </c>
      <c r="L477" s="18">
        <v>48.13</v>
      </c>
      <c r="M477" s="22">
        <v>33300</v>
      </c>
      <c r="N477" s="22">
        <v>11700</v>
      </c>
      <c r="O477" s="18">
        <v>12.51</v>
      </c>
      <c r="P477" s="52">
        <f>IF(COUNTIF(TblPurchases[BatchID],TblOutcomes[[#This Row],[BatchID]])&lt;&gt;1,"n.a.",TblOutcomes[[#This Row],[Qty Wasted]]*SUMIFS(TblPurchases[Unit Cost (CLP)],TblPurchases[BatchID],TblOutcomes[[#This Row],[BatchID]]))</f>
        <v>0</v>
      </c>
      <c r="Q477" s="51">
        <f>IF(COUNTIF(TblPurchases[BatchID],TblOutcomes[[#This Row],[BatchID]])&lt;&gt;1,"n.a.",SUMIFS(TblPurchases[Purchase Date],TblPurchases[BatchID],TblOutcomes[[#This Row],[BatchID]]))</f>
        <v>45179</v>
      </c>
    </row>
    <row r="478" spans="2:17" x14ac:dyDescent="0.25">
      <c r="B478" s="2" t="s">
        <v>1282</v>
      </c>
      <c r="C478" s="2" t="s">
        <v>140</v>
      </c>
      <c r="D478" s="2" t="s">
        <v>122</v>
      </c>
      <c r="E478" s="2" t="s">
        <v>4646</v>
      </c>
      <c r="F478" s="2">
        <v>21</v>
      </c>
      <c r="G478" s="2">
        <v>20.100000000000001</v>
      </c>
      <c r="H478" s="2">
        <v>0.9</v>
      </c>
      <c r="I478" s="1">
        <v>4.3</v>
      </c>
      <c r="J478" s="26">
        <v>45233</v>
      </c>
      <c r="K478" s="22">
        <v>50250</v>
      </c>
      <c r="L478" s="18">
        <v>53.74</v>
      </c>
      <c r="M478" s="22">
        <v>39900</v>
      </c>
      <c r="N478" s="22">
        <v>10350</v>
      </c>
      <c r="O478" s="18">
        <v>11.07</v>
      </c>
      <c r="P478" s="52">
        <f>IF(COUNTIF(TblPurchases[BatchID],TblOutcomes[[#This Row],[BatchID]])&lt;&gt;1,"n.a.",TblOutcomes[[#This Row],[Qty Wasted]]*SUMIFS(TblPurchases[Unit Cost (CLP)],TblPurchases[BatchID],TblOutcomes[[#This Row],[BatchID]]))</f>
        <v>1710</v>
      </c>
      <c r="Q478" s="51">
        <f>IF(COUNTIF(TblPurchases[BatchID],TblOutcomes[[#This Row],[BatchID]])&lt;&gt;1,"n.a.",SUMIFS(TblPurchases[Purchase Date],TblPurchases[BatchID],TblOutcomes[[#This Row],[BatchID]]))</f>
        <v>45188</v>
      </c>
    </row>
    <row r="479" spans="2:17" x14ac:dyDescent="0.25">
      <c r="B479" s="2" t="s">
        <v>1283</v>
      </c>
      <c r="C479" s="2" t="s">
        <v>140</v>
      </c>
      <c r="D479" s="2" t="s">
        <v>122</v>
      </c>
      <c r="E479" s="2" t="s">
        <v>4647</v>
      </c>
      <c r="F479" s="2">
        <v>20</v>
      </c>
      <c r="G479" s="2">
        <v>20</v>
      </c>
      <c r="H479" s="2">
        <v>0</v>
      </c>
      <c r="I479" s="1">
        <v>0</v>
      </c>
      <c r="J479" s="26">
        <v>45203</v>
      </c>
      <c r="K479" s="22">
        <v>50000</v>
      </c>
      <c r="L479" s="18">
        <v>53.48</v>
      </c>
      <c r="M479" s="22">
        <v>38000</v>
      </c>
      <c r="N479" s="22">
        <v>12000</v>
      </c>
      <c r="O479" s="18">
        <v>12.83</v>
      </c>
      <c r="P479" s="52">
        <f>IF(COUNTIF(TblPurchases[BatchID],TblOutcomes[[#This Row],[BatchID]])&lt;&gt;1,"n.a.",TblOutcomes[[#This Row],[Qty Wasted]]*SUMIFS(TblPurchases[Unit Cost (CLP)],TblPurchases[BatchID],TblOutcomes[[#This Row],[BatchID]]))</f>
        <v>0</v>
      </c>
      <c r="Q479" s="51">
        <f>IF(COUNTIF(TblPurchases[BatchID],TblOutcomes[[#This Row],[BatchID]])&lt;&gt;1,"n.a.",SUMIFS(TblPurchases[Purchase Date],TblPurchases[BatchID],TblOutcomes[[#This Row],[BatchID]]))</f>
        <v>45198</v>
      </c>
    </row>
    <row r="480" spans="2:17" x14ac:dyDescent="0.25">
      <c r="B480" s="2" t="s">
        <v>1284</v>
      </c>
      <c r="C480" s="2" t="s">
        <v>140</v>
      </c>
      <c r="D480" s="2" t="s">
        <v>122</v>
      </c>
      <c r="E480" s="2" t="s">
        <v>4647</v>
      </c>
      <c r="F480" s="2">
        <v>42</v>
      </c>
      <c r="G480" s="2">
        <v>42</v>
      </c>
      <c r="H480" s="2">
        <v>0</v>
      </c>
      <c r="I480" s="1">
        <v>0</v>
      </c>
      <c r="J480" s="26">
        <v>45219</v>
      </c>
      <c r="K480" s="22">
        <v>105000</v>
      </c>
      <c r="L480" s="18">
        <v>112.3</v>
      </c>
      <c r="M480" s="22">
        <v>77700</v>
      </c>
      <c r="N480" s="22">
        <v>27300</v>
      </c>
      <c r="O480" s="18">
        <v>29.2</v>
      </c>
      <c r="P480" s="52">
        <f>IF(COUNTIF(TblPurchases[BatchID],TblOutcomes[[#This Row],[BatchID]])&lt;&gt;1,"n.a.",TblOutcomes[[#This Row],[Qty Wasted]]*SUMIFS(TblPurchases[Unit Cost (CLP)],TblPurchases[BatchID],TblOutcomes[[#This Row],[BatchID]]))</f>
        <v>0</v>
      </c>
      <c r="Q480" s="51">
        <f>IF(COUNTIF(TblPurchases[BatchID],TblOutcomes[[#This Row],[BatchID]])&lt;&gt;1,"n.a.",SUMIFS(TblPurchases[Purchase Date],TblPurchases[BatchID],TblOutcomes[[#This Row],[BatchID]]))</f>
        <v>45208</v>
      </c>
    </row>
    <row r="481" spans="2:17" x14ac:dyDescent="0.25">
      <c r="B481" s="2" t="s">
        <v>1285</v>
      </c>
      <c r="C481" s="2" t="s">
        <v>140</v>
      </c>
      <c r="D481" s="2" t="s">
        <v>122</v>
      </c>
      <c r="E481" s="2" t="s">
        <v>4647</v>
      </c>
      <c r="F481" s="2">
        <v>38</v>
      </c>
      <c r="G481" s="2">
        <v>38</v>
      </c>
      <c r="H481" s="2">
        <v>0</v>
      </c>
      <c r="I481" s="1">
        <v>0</v>
      </c>
      <c r="J481" s="26">
        <v>45221</v>
      </c>
      <c r="K481" s="22">
        <v>95000</v>
      </c>
      <c r="L481" s="18">
        <v>101.6</v>
      </c>
      <c r="M481" s="22">
        <v>70300</v>
      </c>
      <c r="N481" s="22">
        <v>24700</v>
      </c>
      <c r="O481" s="18">
        <v>26.42</v>
      </c>
      <c r="P481" s="52">
        <f>IF(COUNTIF(TblPurchases[BatchID],TblOutcomes[[#This Row],[BatchID]])&lt;&gt;1,"n.a.",TblOutcomes[[#This Row],[Qty Wasted]]*SUMIFS(TblPurchases[Unit Cost (CLP)],TblPurchases[BatchID],TblOutcomes[[#This Row],[BatchID]]))</f>
        <v>0</v>
      </c>
      <c r="Q481" s="51">
        <f>IF(COUNTIF(TblPurchases[BatchID],TblOutcomes[[#This Row],[BatchID]])&lt;&gt;1,"n.a.",SUMIFS(TblPurchases[Purchase Date],TblPurchases[BatchID],TblOutcomes[[#This Row],[BatchID]]))</f>
        <v>45216</v>
      </c>
    </row>
    <row r="482" spans="2:17" x14ac:dyDescent="0.25">
      <c r="B482" s="2" t="s">
        <v>1286</v>
      </c>
      <c r="C482" s="2" t="s">
        <v>140</v>
      </c>
      <c r="D482" s="2" t="s">
        <v>122</v>
      </c>
      <c r="E482" s="2" t="s">
        <v>4646</v>
      </c>
      <c r="F482" s="2">
        <v>38</v>
      </c>
      <c r="G482" s="2">
        <v>36.630000000000003</v>
      </c>
      <c r="H482" s="2">
        <v>1.37</v>
      </c>
      <c r="I482" s="1">
        <v>3.6</v>
      </c>
      <c r="J482" s="26">
        <v>45271</v>
      </c>
      <c r="K482" s="22">
        <v>91575</v>
      </c>
      <c r="L482" s="18">
        <v>97.94</v>
      </c>
      <c r="M482" s="22">
        <v>72200</v>
      </c>
      <c r="N482" s="22">
        <v>19375</v>
      </c>
      <c r="O482" s="18">
        <v>20.72</v>
      </c>
      <c r="P482" s="52">
        <f>IF(COUNTIF(TblPurchases[BatchID],TblOutcomes[[#This Row],[BatchID]])&lt;&gt;1,"n.a.",TblOutcomes[[#This Row],[Qty Wasted]]*SUMIFS(TblPurchases[Unit Cost (CLP)],TblPurchases[BatchID],TblOutcomes[[#This Row],[BatchID]]))</f>
        <v>2603</v>
      </c>
      <c r="Q482" s="51">
        <f>IF(COUNTIF(TblPurchases[BatchID],TblOutcomes[[#This Row],[BatchID]])&lt;&gt;1,"n.a.",SUMIFS(TblPurchases[Purchase Date],TblPurchases[BatchID],TblOutcomes[[#This Row],[BatchID]]))</f>
        <v>45226</v>
      </c>
    </row>
    <row r="483" spans="2:17" x14ac:dyDescent="0.25">
      <c r="B483" s="2" t="s">
        <v>1287</v>
      </c>
      <c r="C483" s="2" t="s">
        <v>140</v>
      </c>
      <c r="D483" s="2" t="s">
        <v>122</v>
      </c>
      <c r="E483" s="2" t="s">
        <v>4647</v>
      </c>
      <c r="F483" s="2">
        <v>35</v>
      </c>
      <c r="G483" s="2">
        <v>35</v>
      </c>
      <c r="H483" s="2">
        <v>0</v>
      </c>
      <c r="I483" s="1">
        <v>0</v>
      </c>
      <c r="J483" s="26">
        <v>45246</v>
      </c>
      <c r="K483" s="22">
        <v>87500</v>
      </c>
      <c r="L483" s="18">
        <v>93.58</v>
      </c>
      <c r="M483" s="22">
        <v>64750</v>
      </c>
      <c r="N483" s="22">
        <v>22750</v>
      </c>
      <c r="O483" s="18">
        <v>24.33</v>
      </c>
      <c r="P483" s="52">
        <f>IF(COUNTIF(TblPurchases[BatchID],TblOutcomes[[#This Row],[BatchID]])&lt;&gt;1,"n.a.",TblOutcomes[[#This Row],[Qty Wasted]]*SUMIFS(TblPurchases[Unit Cost (CLP)],TblPurchases[BatchID],TblOutcomes[[#This Row],[BatchID]]))</f>
        <v>0</v>
      </c>
      <c r="Q483" s="51">
        <f>IF(COUNTIF(TblPurchases[BatchID],TblOutcomes[[#This Row],[BatchID]])&lt;&gt;1,"n.a.",SUMIFS(TblPurchases[Purchase Date],TblPurchases[BatchID],TblOutcomes[[#This Row],[BatchID]]))</f>
        <v>45236</v>
      </c>
    </row>
    <row r="484" spans="2:17" x14ac:dyDescent="0.25">
      <c r="B484" s="2" t="s">
        <v>1288</v>
      </c>
      <c r="C484" s="2" t="s">
        <v>140</v>
      </c>
      <c r="D484" s="2" t="s">
        <v>122</v>
      </c>
      <c r="E484" s="2" t="s">
        <v>4647</v>
      </c>
      <c r="F484" s="2">
        <v>41</v>
      </c>
      <c r="G484" s="2">
        <v>41</v>
      </c>
      <c r="H484" s="2">
        <v>0</v>
      </c>
      <c r="I484" s="1">
        <v>0</v>
      </c>
      <c r="J484" s="26">
        <v>45249</v>
      </c>
      <c r="K484" s="22">
        <v>102500</v>
      </c>
      <c r="L484" s="18">
        <v>109.63</v>
      </c>
      <c r="M484" s="22">
        <v>75850</v>
      </c>
      <c r="N484" s="22">
        <v>26650</v>
      </c>
      <c r="O484" s="18">
        <v>28.5</v>
      </c>
      <c r="P484" s="52">
        <f>IF(COUNTIF(TblPurchases[BatchID],TblOutcomes[[#This Row],[BatchID]])&lt;&gt;1,"n.a.",TblOutcomes[[#This Row],[Qty Wasted]]*SUMIFS(TblPurchases[Unit Cost (CLP)],TblPurchases[BatchID],TblOutcomes[[#This Row],[BatchID]]))</f>
        <v>0</v>
      </c>
      <c r="Q484" s="51">
        <f>IF(COUNTIF(TblPurchases[BatchID],TblOutcomes[[#This Row],[BatchID]])&lt;&gt;1,"n.a.",SUMIFS(TblPurchases[Purchase Date],TblPurchases[BatchID],TblOutcomes[[#This Row],[BatchID]]))</f>
        <v>45245</v>
      </c>
    </row>
    <row r="485" spans="2:17" x14ac:dyDescent="0.25">
      <c r="B485" s="2" t="s">
        <v>1289</v>
      </c>
      <c r="C485" s="2" t="s">
        <v>140</v>
      </c>
      <c r="D485" s="2" t="s">
        <v>122</v>
      </c>
      <c r="E485" s="2" t="s">
        <v>4647</v>
      </c>
      <c r="F485" s="2">
        <v>34</v>
      </c>
      <c r="G485" s="2">
        <v>34</v>
      </c>
      <c r="H485" s="2">
        <v>0</v>
      </c>
      <c r="I485" s="1">
        <v>0</v>
      </c>
      <c r="J485" s="26">
        <v>45263</v>
      </c>
      <c r="K485" s="22">
        <v>85000</v>
      </c>
      <c r="L485" s="18">
        <v>90.91</v>
      </c>
      <c r="M485" s="22">
        <v>62900</v>
      </c>
      <c r="N485" s="22">
        <v>22100</v>
      </c>
      <c r="O485" s="18">
        <v>23.64</v>
      </c>
      <c r="P485" s="52">
        <f>IF(COUNTIF(TblPurchases[BatchID],TblOutcomes[[#This Row],[BatchID]])&lt;&gt;1,"n.a.",TblOutcomes[[#This Row],[Qty Wasted]]*SUMIFS(TblPurchases[Unit Cost (CLP)],TblPurchases[BatchID],TblOutcomes[[#This Row],[BatchID]]))</f>
        <v>0</v>
      </c>
      <c r="Q485" s="51">
        <f>IF(COUNTIF(TblPurchases[BatchID],TblOutcomes[[#This Row],[BatchID]])&lt;&gt;1,"n.a.",SUMIFS(TblPurchases[Purchase Date],TblPurchases[BatchID],TblOutcomes[[#This Row],[BatchID]]))</f>
        <v>45254</v>
      </c>
    </row>
    <row r="486" spans="2:17" x14ac:dyDescent="0.25">
      <c r="B486" s="2" t="s">
        <v>1290</v>
      </c>
      <c r="C486" s="2" t="s">
        <v>140</v>
      </c>
      <c r="D486" s="2" t="s">
        <v>122</v>
      </c>
      <c r="E486" s="2" t="s">
        <v>4647</v>
      </c>
      <c r="F486" s="2">
        <v>56</v>
      </c>
      <c r="G486" s="2">
        <v>56</v>
      </c>
      <c r="H486" s="2">
        <v>0</v>
      </c>
      <c r="I486" s="1">
        <v>0</v>
      </c>
      <c r="J486" s="26">
        <v>45272</v>
      </c>
      <c r="K486" s="22">
        <v>140000</v>
      </c>
      <c r="L486" s="18">
        <v>149.72999999999999</v>
      </c>
      <c r="M486" s="22">
        <v>103600</v>
      </c>
      <c r="N486" s="22">
        <v>36400</v>
      </c>
      <c r="O486" s="18">
        <v>38.93</v>
      </c>
      <c r="P486" s="52">
        <f>IF(COUNTIF(TblPurchases[BatchID],TblOutcomes[[#This Row],[BatchID]])&lt;&gt;1,"n.a.",TblOutcomes[[#This Row],[Qty Wasted]]*SUMIFS(TblPurchases[Unit Cost (CLP)],TblPurchases[BatchID],TblOutcomes[[#This Row],[BatchID]]))</f>
        <v>0</v>
      </c>
      <c r="Q486" s="51">
        <f>IF(COUNTIF(TblPurchases[BatchID],TblOutcomes[[#This Row],[BatchID]])&lt;&gt;1,"n.a.",SUMIFS(TblPurchases[Purchase Date],TblPurchases[BatchID],TblOutcomes[[#This Row],[BatchID]]))</f>
        <v>45264</v>
      </c>
    </row>
    <row r="487" spans="2:17" x14ac:dyDescent="0.25">
      <c r="B487" s="2" t="s">
        <v>1291</v>
      </c>
      <c r="C487" s="2" t="s">
        <v>140</v>
      </c>
      <c r="D487" s="2" t="s">
        <v>122</v>
      </c>
      <c r="E487" s="2" t="s">
        <v>4647</v>
      </c>
      <c r="F487" s="2">
        <v>46</v>
      </c>
      <c r="G487" s="2">
        <v>46</v>
      </c>
      <c r="H487" s="2">
        <v>0</v>
      </c>
      <c r="I487" s="1">
        <v>0</v>
      </c>
      <c r="J487" s="26">
        <v>45281</v>
      </c>
      <c r="K487" s="22">
        <v>115000</v>
      </c>
      <c r="L487" s="18">
        <v>122.99</v>
      </c>
      <c r="M487" s="22">
        <v>85100</v>
      </c>
      <c r="N487" s="22">
        <v>29900</v>
      </c>
      <c r="O487" s="18">
        <v>31.98</v>
      </c>
      <c r="P487" s="52">
        <f>IF(COUNTIF(TblPurchases[BatchID],TblOutcomes[[#This Row],[BatchID]])&lt;&gt;1,"n.a.",TblOutcomes[[#This Row],[Qty Wasted]]*SUMIFS(TblPurchases[Unit Cost (CLP)],TblPurchases[BatchID],TblOutcomes[[#This Row],[BatchID]]))</f>
        <v>0</v>
      </c>
      <c r="Q487" s="51">
        <f>IF(COUNTIF(TblPurchases[BatchID],TblOutcomes[[#This Row],[BatchID]])&lt;&gt;1,"n.a.",SUMIFS(TblPurchases[Purchase Date],TblPurchases[BatchID],TblOutcomes[[#This Row],[BatchID]]))</f>
        <v>45275</v>
      </c>
    </row>
    <row r="488" spans="2:17" x14ac:dyDescent="0.25">
      <c r="B488" s="2" t="s">
        <v>1292</v>
      </c>
      <c r="C488" s="2" t="s">
        <v>140</v>
      </c>
      <c r="D488" s="2" t="s">
        <v>122</v>
      </c>
      <c r="E488" s="2" t="s">
        <v>4647</v>
      </c>
      <c r="F488" s="2">
        <v>50</v>
      </c>
      <c r="G488" s="2">
        <v>50</v>
      </c>
      <c r="H488" s="2">
        <v>0</v>
      </c>
      <c r="I488" s="1">
        <v>0</v>
      </c>
      <c r="J488" s="26">
        <v>45289</v>
      </c>
      <c r="K488" s="22">
        <v>125000</v>
      </c>
      <c r="L488" s="18">
        <v>133.69</v>
      </c>
      <c r="M488" s="22">
        <v>92500</v>
      </c>
      <c r="N488" s="22">
        <v>32500</v>
      </c>
      <c r="O488" s="18">
        <v>34.76</v>
      </c>
      <c r="P488" s="52">
        <f>IF(COUNTIF(TblPurchases[BatchID],TblOutcomes[[#This Row],[BatchID]])&lt;&gt;1,"n.a.",TblOutcomes[[#This Row],[Qty Wasted]]*SUMIFS(TblPurchases[Unit Cost (CLP)],TblPurchases[BatchID],TblOutcomes[[#This Row],[BatchID]]))</f>
        <v>0</v>
      </c>
      <c r="Q488" s="51">
        <f>IF(COUNTIF(TblPurchases[BatchID],TblOutcomes[[#This Row],[BatchID]])&lt;&gt;1,"n.a.",SUMIFS(TblPurchases[Purchase Date],TblPurchases[BatchID],TblOutcomes[[#This Row],[BatchID]]))</f>
        <v>45284</v>
      </c>
    </row>
    <row r="489" spans="2:17" x14ac:dyDescent="0.25">
      <c r="B489" s="2" t="s">
        <v>1293</v>
      </c>
      <c r="C489" s="2" t="s">
        <v>140</v>
      </c>
      <c r="D489" s="2" t="s">
        <v>122</v>
      </c>
      <c r="E489" s="2" t="s">
        <v>4647</v>
      </c>
      <c r="F489" s="2">
        <v>40</v>
      </c>
      <c r="G489" s="2">
        <v>40</v>
      </c>
      <c r="H489" s="2">
        <v>0</v>
      </c>
      <c r="I489" s="1">
        <v>0</v>
      </c>
      <c r="J489" s="26">
        <v>45299</v>
      </c>
      <c r="K489" s="22">
        <v>100000</v>
      </c>
      <c r="L489" s="18">
        <v>106.95</v>
      </c>
      <c r="M489" s="22">
        <v>74000</v>
      </c>
      <c r="N489" s="22">
        <v>26000</v>
      </c>
      <c r="O489" s="18">
        <v>27.81</v>
      </c>
      <c r="P489" s="52">
        <f>IF(COUNTIF(TblPurchases[BatchID],TblOutcomes[[#This Row],[BatchID]])&lt;&gt;1,"n.a.",TblOutcomes[[#This Row],[Qty Wasted]]*SUMIFS(TblPurchases[Unit Cost (CLP)],TblPurchases[BatchID],TblOutcomes[[#This Row],[BatchID]]))</f>
        <v>0</v>
      </c>
      <c r="Q489" s="51">
        <f>IF(COUNTIF(TblPurchases[BatchID],TblOutcomes[[#This Row],[BatchID]])&lt;&gt;1,"n.a.",SUMIFS(TblPurchases[Purchase Date],TblPurchases[BatchID],TblOutcomes[[#This Row],[BatchID]]))</f>
        <v>45293</v>
      </c>
    </row>
    <row r="490" spans="2:17" x14ac:dyDescent="0.25">
      <c r="B490" s="2" t="s">
        <v>1294</v>
      </c>
      <c r="C490" s="2" t="s">
        <v>140</v>
      </c>
      <c r="D490" s="2" t="s">
        <v>122</v>
      </c>
      <c r="E490" s="2" t="s">
        <v>4647</v>
      </c>
      <c r="F490" s="2">
        <v>41</v>
      </c>
      <c r="G490" s="2">
        <v>41</v>
      </c>
      <c r="H490" s="2">
        <v>0</v>
      </c>
      <c r="I490" s="1">
        <v>0</v>
      </c>
      <c r="J490" s="26">
        <v>45310</v>
      </c>
      <c r="K490" s="22">
        <v>102500</v>
      </c>
      <c r="L490" s="18">
        <v>109.63</v>
      </c>
      <c r="M490" s="22">
        <v>75850</v>
      </c>
      <c r="N490" s="22">
        <v>26650</v>
      </c>
      <c r="O490" s="18">
        <v>28.5</v>
      </c>
      <c r="P490" s="52">
        <f>IF(COUNTIF(TblPurchases[BatchID],TblOutcomes[[#This Row],[BatchID]])&lt;&gt;1,"n.a.",TblOutcomes[[#This Row],[Qty Wasted]]*SUMIFS(TblPurchases[Unit Cost (CLP)],TblPurchases[BatchID],TblOutcomes[[#This Row],[BatchID]]))</f>
        <v>0</v>
      </c>
      <c r="Q490" s="51">
        <f>IF(COUNTIF(TblPurchases[BatchID],TblOutcomes[[#This Row],[BatchID]])&lt;&gt;1,"n.a.",SUMIFS(TblPurchases[Purchase Date],TblPurchases[BatchID],TblOutcomes[[#This Row],[BatchID]]))</f>
        <v>45304</v>
      </c>
    </row>
    <row r="491" spans="2:17" x14ac:dyDescent="0.25">
      <c r="B491" s="2" t="s">
        <v>1295</v>
      </c>
      <c r="C491" s="2" t="s">
        <v>140</v>
      </c>
      <c r="D491" s="2" t="s">
        <v>122</v>
      </c>
      <c r="E491" s="2" t="s">
        <v>4646</v>
      </c>
      <c r="F491" s="2">
        <v>44</v>
      </c>
      <c r="G491" s="2">
        <v>38.72</v>
      </c>
      <c r="H491" s="2">
        <v>5.28</v>
      </c>
      <c r="I491" s="1">
        <v>12</v>
      </c>
      <c r="J491" s="26">
        <v>45362</v>
      </c>
      <c r="K491" s="22">
        <v>96800</v>
      </c>
      <c r="L491" s="18">
        <v>103.53</v>
      </c>
      <c r="M491" s="22">
        <v>83600</v>
      </c>
      <c r="N491" s="22">
        <v>13200</v>
      </c>
      <c r="O491" s="18">
        <v>14.12</v>
      </c>
      <c r="P491" s="52">
        <f>IF(COUNTIF(TblPurchases[BatchID],TblOutcomes[[#This Row],[BatchID]])&lt;&gt;1,"n.a.",TblOutcomes[[#This Row],[Qty Wasted]]*SUMIFS(TblPurchases[Unit Cost (CLP)],TblPurchases[BatchID],TblOutcomes[[#This Row],[BatchID]]))</f>
        <v>10032</v>
      </c>
      <c r="Q491" s="51">
        <f>IF(COUNTIF(TblPurchases[BatchID],TblOutcomes[[#This Row],[BatchID]])&lt;&gt;1,"n.a.",SUMIFS(TblPurchases[Purchase Date],TblPurchases[BatchID],TblOutcomes[[#This Row],[BatchID]]))</f>
        <v>45317</v>
      </c>
    </row>
    <row r="492" spans="2:17" x14ac:dyDescent="0.25">
      <c r="B492" s="2" t="s">
        <v>1296</v>
      </c>
      <c r="C492" s="2" t="s">
        <v>140</v>
      </c>
      <c r="D492" s="2" t="s">
        <v>122</v>
      </c>
      <c r="E492" s="2" t="s">
        <v>4647</v>
      </c>
      <c r="F492" s="2">
        <v>36</v>
      </c>
      <c r="G492" s="2">
        <v>36</v>
      </c>
      <c r="H492" s="2">
        <v>0</v>
      </c>
      <c r="I492" s="1">
        <v>0</v>
      </c>
      <c r="J492" s="26">
        <v>45335</v>
      </c>
      <c r="K492" s="22">
        <v>90000</v>
      </c>
      <c r="L492" s="18">
        <v>96.26</v>
      </c>
      <c r="M492" s="22">
        <v>66600</v>
      </c>
      <c r="N492" s="22">
        <v>23400</v>
      </c>
      <c r="O492" s="18">
        <v>25.03</v>
      </c>
      <c r="P492" s="52">
        <f>IF(COUNTIF(TblPurchases[BatchID],TblOutcomes[[#This Row],[BatchID]])&lt;&gt;1,"n.a.",TblOutcomes[[#This Row],[Qty Wasted]]*SUMIFS(TblPurchases[Unit Cost (CLP)],TblPurchases[BatchID],TblOutcomes[[#This Row],[BatchID]]))</f>
        <v>0</v>
      </c>
      <c r="Q492" s="51">
        <f>IF(COUNTIF(TblPurchases[BatchID],TblOutcomes[[#This Row],[BatchID]])&lt;&gt;1,"n.a.",SUMIFS(TblPurchases[Purchase Date],TblPurchases[BatchID],TblOutcomes[[#This Row],[BatchID]]))</f>
        <v>45327</v>
      </c>
    </row>
    <row r="493" spans="2:17" x14ac:dyDescent="0.25">
      <c r="B493" s="2" t="s">
        <v>1297</v>
      </c>
      <c r="C493" s="2" t="s">
        <v>140</v>
      </c>
      <c r="D493" s="2" t="s">
        <v>122</v>
      </c>
      <c r="E493" s="2" t="s">
        <v>4646</v>
      </c>
      <c r="F493" s="2">
        <v>44</v>
      </c>
      <c r="G493" s="2">
        <v>33.31</v>
      </c>
      <c r="H493" s="2">
        <v>10.69</v>
      </c>
      <c r="I493" s="1">
        <v>24.3</v>
      </c>
      <c r="J493" s="26">
        <v>45382</v>
      </c>
      <c r="K493" s="22">
        <v>83275</v>
      </c>
      <c r="L493" s="18">
        <v>89.06</v>
      </c>
      <c r="M493" s="22">
        <v>81400</v>
      </c>
      <c r="N493" s="22">
        <v>1875</v>
      </c>
      <c r="O493" s="18">
        <v>2.0099999999999998</v>
      </c>
      <c r="P493" s="52">
        <f>IF(COUNTIF(TblPurchases[BatchID],TblOutcomes[[#This Row],[BatchID]])&lt;&gt;1,"n.a.",TblOutcomes[[#This Row],[Qty Wasted]]*SUMIFS(TblPurchases[Unit Cost (CLP)],TblPurchases[BatchID],TblOutcomes[[#This Row],[BatchID]]))</f>
        <v>19776.5</v>
      </c>
      <c r="Q493" s="51">
        <f>IF(COUNTIF(TblPurchases[BatchID],TblOutcomes[[#This Row],[BatchID]])&lt;&gt;1,"n.a.",SUMIFS(TblPurchases[Purchase Date],TblPurchases[BatchID],TblOutcomes[[#This Row],[BatchID]]))</f>
        <v>45337</v>
      </c>
    </row>
    <row r="494" spans="2:17" x14ac:dyDescent="0.25">
      <c r="B494" s="2" t="s">
        <v>1298</v>
      </c>
      <c r="C494" s="2" t="s">
        <v>140</v>
      </c>
      <c r="D494" s="2" t="s">
        <v>122</v>
      </c>
      <c r="E494" s="2" t="s">
        <v>4647</v>
      </c>
      <c r="F494" s="2">
        <v>38</v>
      </c>
      <c r="G494" s="2">
        <v>38</v>
      </c>
      <c r="H494" s="2">
        <v>0</v>
      </c>
      <c r="I494" s="1">
        <v>0</v>
      </c>
      <c r="J494" s="26">
        <v>45351</v>
      </c>
      <c r="K494" s="22">
        <v>95000</v>
      </c>
      <c r="L494" s="18">
        <v>101.6</v>
      </c>
      <c r="M494" s="22">
        <v>70300</v>
      </c>
      <c r="N494" s="22">
        <v>24700</v>
      </c>
      <c r="O494" s="18">
        <v>26.42</v>
      </c>
      <c r="P494" s="52">
        <f>IF(COUNTIF(TblPurchases[BatchID],TblOutcomes[[#This Row],[BatchID]])&lt;&gt;1,"n.a.",TblOutcomes[[#This Row],[Qty Wasted]]*SUMIFS(TblPurchases[Unit Cost (CLP)],TblPurchases[BatchID],TblOutcomes[[#This Row],[BatchID]]))</f>
        <v>0</v>
      </c>
      <c r="Q494" s="51">
        <f>IF(COUNTIF(TblPurchases[BatchID],TblOutcomes[[#This Row],[BatchID]])&lt;&gt;1,"n.a.",SUMIFS(TblPurchases[Purchase Date],TblPurchases[BatchID],TblOutcomes[[#This Row],[BatchID]]))</f>
        <v>45345</v>
      </c>
    </row>
    <row r="495" spans="2:17" x14ac:dyDescent="0.25">
      <c r="B495" s="2" t="s">
        <v>1299</v>
      </c>
      <c r="C495" s="2" t="s">
        <v>140</v>
      </c>
      <c r="D495" s="2" t="s">
        <v>122</v>
      </c>
      <c r="E495" s="2" t="s">
        <v>4647</v>
      </c>
      <c r="F495" s="2">
        <v>34</v>
      </c>
      <c r="G495" s="2">
        <v>34</v>
      </c>
      <c r="H495" s="2">
        <v>0</v>
      </c>
      <c r="I495" s="1">
        <v>0</v>
      </c>
      <c r="J495" s="26">
        <v>45359</v>
      </c>
      <c r="K495" s="22">
        <v>85000</v>
      </c>
      <c r="L495" s="18">
        <v>90.91</v>
      </c>
      <c r="M495" s="22">
        <v>62900</v>
      </c>
      <c r="N495" s="22">
        <v>22100</v>
      </c>
      <c r="O495" s="18">
        <v>23.64</v>
      </c>
      <c r="P495" s="52">
        <f>IF(COUNTIF(TblPurchases[BatchID],TblOutcomes[[#This Row],[BatchID]])&lt;&gt;1,"n.a.",TblOutcomes[[#This Row],[Qty Wasted]]*SUMIFS(TblPurchases[Unit Cost (CLP)],TblPurchases[BatchID],TblOutcomes[[#This Row],[BatchID]]))</f>
        <v>0</v>
      </c>
      <c r="Q495" s="51">
        <f>IF(COUNTIF(TblPurchases[BatchID],TblOutcomes[[#This Row],[BatchID]])&lt;&gt;1,"n.a.",SUMIFS(TblPurchases[Purchase Date],TblPurchases[BatchID],TblOutcomes[[#This Row],[BatchID]]))</f>
        <v>45352</v>
      </c>
    </row>
    <row r="496" spans="2:17" x14ac:dyDescent="0.25">
      <c r="B496" s="2" t="s">
        <v>1300</v>
      </c>
      <c r="C496" s="2" t="s">
        <v>140</v>
      </c>
      <c r="D496" s="2" t="s">
        <v>122</v>
      </c>
      <c r="E496" s="2" t="s">
        <v>4646</v>
      </c>
      <c r="F496" s="2">
        <v>41</v>
      </c>
      <c r="G496" s="2">
        <v>33.369999999999997</v>
      </c>
      <c r="H496" s="2">
        <v>7.63</v>
      </c>
      <c r="I496" s="1">
        <v>18.600000000000001</v>
      </c>
      <c r="J496" s="26">
        <v>45407</v>
      </c>
      <c r="K496" s="22">
        <v>83425</v>
      </c>
      <c r="L496" s="18">
        <v>89.22</v>
      </c>
      <c r="M496" s="22">
        <v>75850</v>
      </c>
      <c r="N496" s="22">
        <v>7575</v>
      </c>
      <c r="O496" s="18">
        <v>8.1</v>
      </c>
      <c r="P496" s="52">
        <f>IF(COUNTIF(TblPurchases[BatchID],TblOutcomes[[#This Row],[BatchID]])&lt;&gt;1,"n.a.",TblOutcomes[[#This Row],[Qty Wasted]]*SUMIFS(TblPurchases[Unit Cost (CLP)],TblPurchases[BatchID],TblOutcomes[[#This Row],[BatchID]]))</f>
        <v>14115.5</v>
      </c>
      <c r="Q496" s="51">
        <f>IF(COUNTIF(TblPurchases[BatchID],TblOutcomes[[#This Row],[BatchID]])&lt;&gt;1,"n.a.",SUMIFS(TblPurchases[Purchase Date],TblPurchases[BatchID],TblOutcomes[[#This Row],[BatchID]]))</f>
        <v>45362</v>
      </c>
    </row>
    <row r="497" spans="2:17" x14ac:dyDescent="0.25">
      <c r="B497" s="2" t="s">
        <v>1301</v>
      </c>
      <c r="C497" s="2" t="s">
        <v>140</v>
      </c>
      <c r="D497" s="2" t="s">
        <v>122</v>
      </c>
      <c r="E497" s="2" t="s">
        <v>4647</v>
      </c>
      <c r="F497" s="2">
        <v>45</v>
      </c>
      <c r="G497" s="2">
        <v>45</v>
      </c>
      <c r="H497" s="2">
        <v>0</v>
      </c>
      <c r="I497" s="1">
        <v>0</v>
      </c>
      <c r="J497" s="26">
        <v>45381</v>
      </c>
      <c r="K497" s="22">
        <v>112500</v>
      </c>
      <c r="L497" s="18">
        <v>120.32</v>
      </c>
      <c r="M497" s="22">
        <v>83250</v>
      </c>
      <c r="N497" s="22">
        <v>29250</v>
      </c>
      <c r="O497" s="18">
        <v>31.28</v>
      </c>
      <c r="P497" s="52">
        <f>IF(COUNTIF(TblPurchases[BatchID],TblOutcomes[[#This Row],[BatchID]])&lt;&gt;1,"n.a.",TblOutcomes[[#This Row],[Qty Wasted]]*SUMIFS(TblPurchases[Unit Cost (CLP)],TblPurchases[BatchID],TblOutcomes[[#This Row],[BatchID]]))</f>
        <v>0</v>
      </c>
      <c r="Q497" s="51">
        <f>IF(COUNTIF(TblPurchases[BatchID],TblOutcomes[[#This Row],[BatchID]])&lt;&gt;1,"n.a.",SUMIFS(TblPurchases[Purchase Date],TblPurchases[BatchID],TblOutcomes[[#This Row],[BatchID]]))</f>
        <v>45372</v>
      </c>
    </row>
    <row r="498" spans="2:17" x14ac:dyDescent="0.25">
      <c r="B498" s="2" t="s">
        <v>1302</v>
      </c>
      <c r="C498" s="2" t="s">
        <v>140</v>
      </c>
      <c r="D498" s="2" t="s">
        <v>122</v>
      </c>
      <c r="E498" s="2" t="s">
        <v>4647</v>
      </c>
      <c r="F498" s="2">
        <v>34</v>
      </c>
      <c r="G498" s="2">
        <v>34</v>
      </c>
      <c r="H498" s="2">
        <v>0</v>
      </c>
      <c r="I498" s="1">
        <v>0</v>
      </c>
      <c r="J498" s="26">
        <v>45389</v>
      </c>
      <c r="K498" s="22">
        <v>85000</v>
      </c>
      <c r="L498" s="18">
        <v>90.91</v>
      </c>
      <c r="M498" s="22">
        <v>62900</v>
      </c>
      <c r="N498" s="22">
        <v>22100</v>
      </c>
      <c r="O498" s="18">
        <v>23.64</v>
      </c>
      <c r="P498" s="52">
        <f>IF(COUNTIF(TblPurchases[BatchID],TblOutcomes[[#This Row],[BatchID]])&lt;&gt;1,"n.a.",TblOutcomes[[#This Row],[Qty Wasted]]*SUMIFS(TblPurchases[Unit Cost (CLP)],TblPurchases[BatchID],TblOutcomes[[#This Row],[BatchID]]))</f>
        <v>0</v>
      </c>
      <c r="Q498" s="51">
        <f>IF(COUNTIF(TblPurchases[BatchID],TblOutcomes[[#This Row],[BatchID]])&lt;&gt;1,"n.a.",SUMIFS(TblPurchases[Purchase Date],TblPurchases[BatchID],TblOutcomes[[#This Row],[BatchID]]))</f>
        <v>45380</v>
      </c>
    </row>
    <row r="499" spans="2:17" x14ac:dyDescent="0.25">
      <c r="B499" s="2" t="s">
        <v>1303</v>
      </c>
      <c r="C499" s="2" t="s">
        <v>140</v>
      </c>
      <c r="D499" s="2" t="s">
        <v>122</v>
      </c>
      <c r="E499" s="2" t="s">
        <v>4646</v>
      </c>
      <c r="F499" s="2">
        <v>14</v>
      </c>
      <c r="G499" s="2">
        <v>11.79</v>
      </c>
      <c r="H499" s="2">
        <v>2.21</v>
      </c>
      <c r="I499" s="1">
        <v>15.8</v>
      </c>
      <c r="J499" s="26">
        <v>45435</v>
      </c>
      <c r="K499" s="22">
        <v>29475</v>
      </c>
      <c r="L499" s="18">
        <v>31.52</v>
      </c>
      <c r="M499" s="22">
        <v>25900</v>
      </c>
      <c r="N499" s="22">
        <v>3575</v>
      </c>
      <c r="O499" s="18">
        <v>3.82</v>
      </c>
      <c r="P499" s="52">
        <f>IF(COUNTIF(TblPurchases[BatchID],TblOutcomes[[#This Row],[BatchID]])&lt;&gt;1,"n.a.",TblOutcomes[[#This Row],[Qty Wasted]]*SUMIFS(TblPurchases[Unit Cost (CLP)],TblPurchases[BatchID],TblOutcomes[[#This Row],[BatchID]]))</f>
        <v>4088.5</v>
      </c>
      <c r="Q499" s="51">
        <f>IF(COUNTIF(TblPurchases[BatchID],TblOutcomes[[#This Row],[BatchID]])&lt;&gt;1,"n.a.",SUMIFS(TblPurchases[Purchase Date],TblPurchases[BatchID],TblOutcomes[[#This Row],[BatchID]]))</f>
        <v>45390</v>
      </c>
    </row>
    <row r="500" spans="2:17" x14ac:dyDescent="0.25">
      <c r="B500" s="2" t="s">
        <v>1304</v>
      </c>
      <c r="C500" s="2" t="s">
        <v>140</v>
      </c>
      <c r="D500" s="2" t="s">
        <v>122</v>
      </c>
      <c r="E500" s="2" t="s">
        <v>4646</v>
      </c>
      <c r="F500" s="2">
        <v>13</v>
      </c>
      <c r="G500" s="2">
        <v>11.88</v>
      </c>
      <c r="H500" s="2">
        <v>1.1200000000000001</v>
      </c>
      <c r="I500" s="1">
        <v>8.6</v>
      </c>
      <c r="J500" s="26">
        <v>45445</v>
      </c>
      <c r="K500" s="22">
        <v>29700</v>
      </c>
      <c r="L500" s="18">
        <v>31.76</v>
      </c>
      <c r="M500" s="22">
        <v>24050</v>
      </c>
      <c r="N500" s="22">
        <v>5650</v>
      </c>
      <c r="O500" s="18">
        <v>6.04</v>
      </c>
      <c r="P500" s="52">
        <f>IF(COUNTIF(TblPurchases[BatchID],TblOutcomes[[#This Row],[BatchID]])&lt;&gt;1,"n.a.",TblOutcomes[[#This Row],[Qty Wasted]]*SUMIFS(TblPurchases[Unit Cost (CLP)],TblPurchases[BatchID],TblOutcomes[[#This Row],[BatchID]]))</f>
        <v>2072</v>
      </c>
      <c r="Q500" s="51">
        <f>IF(COUNTIF(TblPurchases[BatchID],TblOutcomes[[#This Row],[BatchID]])&lt;&gt;1,"n.a.",SUMIFS(TblPurchases[Purchase Date],TblPurchases[BatchID],TblOutcomes[[#This Row],[BatchID]]))</f>
        <v>45400</v>
      </c>
    </row>
    <row r="501" spans="2:17" x14ac:dyDescent="0.25">
      <c r="B501" s="2" t="s">
        <v>1305</v>
      </c>
      <c r="C501" s="2" t="s">
        <v>140</v>
      </c>
      <c r="D501" s="2" t="s">
        <v>122</v>
      </c>
      <c r="E501" s="2" t="s">
        <v>4647</v>
      </c>
      <c r="F501" s="2">
        <v>16</v>
      </c>
      <c r="G501" s="2">
        <v>16</v>
      </c>
      <c r="H501" s="2">
        <v>0</v>
      </c>
      <c r="I501" s="1">
        <v>0</v>
      </c>
      <c r="J501" s="26">
        <v>45416</v>
      </c>
      <c r="K501" s="22">
        <v>40000</v>
      </c>
      <c r="L501" s="18">
        <v>42.78</v>
      </c>
      <c r="M501" s="22">
        <v>29600</v>
      </c>
      <c r="N501" s="22">
        <v>10400</v>
      </c>
      <c r="O501" s="18">
        <v>11.12</v>
      </c>
      <c r="P501" s="52">
        <f>IF(COUNTIF(TblPurchases[BatchID],TblOutcomes[[#This Row],[BatchID]])&lt;&gt;1,"n.a.",TblOutcomes[[#This Row],[Qty Wasted]]*SUMIFS(TblPurchases[Unit Cost (CLP)],TblPurchases[BatchID],TblOutcomes[[#This Row],[BatchID]]))</f>
        <v>0</v>
      </c>
      <c r="Q501" s="51">
        <f>IF(COUNTIF(TblPurchases[BatchID],TblOutcomes[[#This Row],[BatchID]])&lt;&gt;1,"n.a.",SUMIFS(TblPurchases[Purchase Date],TblPurchases[BatchID],TblOutcomes[[#This Row],[BatchID]]))</f>
        <v>45411</v>
      </c>
    </row>
    <row r="502" spans="2:17" x14ac:dyDescent="0.25">
      <c r="B502" s="2" t="s">
        <v>1306</v>
      </c>
      <c r="C502" s="2" t="s">
        <v>140</v>
      </c>
      <c r="D502" s="2" t="s">
        <v>122</v>
      </c>
      <c r="E502" s="2" t="s">
        <v>4646</v>
      </c>
      <c r="F502" s="2">
        <v>16</v>
      </c>
      <c r="G502" s="2">
        <v>13.17</v>
      </c>
      <c r="H502" s="2">
        <v>2.83</v>
      </c>
      <c r="I502" s="1">
        <v>17.7</v>
      </c>
      <c r="J502" s="26">
        <v>45465</v>
      </c>
      <c r="K502" s="22">
        <v>32925</v>
      </c>
      <c r="L502" s="18">
        <v>35.21</v>
      </c>
      <c r="M502" s="22">
        <v>29600</v>
      </c>
      <c r="N502" s="22">
        <v>3325</v>
      </c>
      <c r="O502" s="18">
        <v>3.56</v>
      </c>
      <c r="P502" s="52">
        <f>IF(COUNTIF(TblPurchases[BatchID],TblOutcomes[[#This Row],[BatchID]])&lt;&gt;1,"n.a.",TblOutcomes[[#This Row],[Qty Wasted]]*SUMIFS(TblPurchases[Unit Cost (CLP)],TblPurchases[BatchID],TblOutcomes[[#This Row],[BatchID]]))</f>
        <v>5235.5</v>
      </c>
      <c r="Q502" s="51">
        <f>IF(COUNTIF(TblPurchases[BatchID],TblOutcomes[[#This Row],[BatchID]])&lt;&gt;1,"n.a.",SUMIFS(TblPurchases[Purchase Date],TblPurchases[BatchID],TblOutcomes[[#This Row],[BatchID]]))</f>
        <v>45420</v>
      </c>
    </row>
    <row r="503" spans="2:17" x14ac:dyDescent="0.25">
      <c r="B503" s="2" t="s">
        <v>1307</v>
      </c>
      <c r="C503" s="2" t="s">
        <v>140</v>
      </c>
      <c r="D503" s="2" t="s">
        <v>122</v>
      </c>
      <c r="E503" s="2" t="s">
        <v>4647</v>
      </c>
      <c r="F503" s="2">
        <v>15</v>
      </c>
      <c r="G503" s="2">
        <v>15</v>
      </c>
      <c r="H503" s="2">
        <v>0</v>
      </c>
      <c r="I503" s="1">
        <v>0</v>
      </c>
      <c r="J503" s="26">
        <v>45438</v>
      </c>
      <c r="K503" s="22">
        <v>37500</v>
      </c>
      <c r="L503" s="18">
        <v>40.11</v>
      </c>
      <c r="M503" s="22">
        <v>28500</v>
      </c>
      <c r="N503" s="22">
        <v>9000</v>
      </c>
      <c r="O503" s="18">
        <v>9.6300000000000008</v>
      </c>
      <c r="P503" s="52">
        <f>IF(COUNTIF(TblPurchases[BatchID],TblOutcomes[[#This Row],[BatchID]])&lt;&gt;1,"n.a.",TblOutcomes[[#This Row],[Qty Wasted]]*SUMIFS(TblPurchases[Unit Cost (CLP)],TblPurchases[BatchID],TblOutcomes[[#This Row],[BatchID]]))</f>
        <v>0</v>
      </c>
      <c r="Q503" s="51">
        <f>IF(COUNTIF(TblPurchases[BatchID],TblOutcomes[[#This Row],[BatchID]])&lt;&gt;1,"n.a.",SUMIFS(TblPurchases[Purchase Date],TblPurchases[BatchID],TblOutcomes[[#This Row],[BatchID]]))</f>
        <v>45432</v>
      </c>
    </row>
    <row r="504" spans="2:17" x14ac:dyDescent="0.25">
      <c r="B504" s="2" t="s">
        <v>1308</v>
      </c>
      <c r="C504" s="2" t="s">
        <v>140</v>
      </c>
      <c r="D504" s="2" t="s">
        <v>122</v>
      </c>
      <c r="E504" s="2" t="s">
        <v>4646</v>
      </c>
      <c r="F504" s="2">
        <v>14</v>
      </c>
      <c r="G504" s="2">
        <v>12.78</v>
      </c>
      <c r="H504" s="2">
        <v>1.22</v>
      </c>
      <c r="I504" s="1">
        <v>8.6999999999999993</v>
      </c>
      <c r="J504" s="26">
        <v>45487</v>
      </c>
      <c r="K504" s="22">
        <v>31950</v>
      </c>
      <c r="L504" s="18">
        <v>34.17</v>
      </c>
      <c r="M504" s="22">
        <v>25900</v>
      </c>
      <c r="N504" s="22">
        <v>6050</v>
      </c>
      <c r="O504" s="18">
        <v>6.47</v>
      </c>
      <c r="P504" s="52">
        <f>IF(COUNTIF(TblPurchases[BatchID],TblOutcomes[[#This Row],[BatchID]])&lt;&gt;1,"n.a.",TblOutcomes[[#This Row],[Qty Wasted]]*SUMIFS(TblPurchases[Unit Cost (CLP)],TblPurchases[BatchID],TblOutcomes[[#This Row],[BatchID]]))</f>
        <v>2257</v>
      </c>
      <c r="Q504" s="51">
        <f>IF(COUNTIF(TblPurchases[BatchID],TblOutcomes[[#This Row],[BatchID]])&lt;&gt;1,"n.a.",SUMIFS(TblPurchases[Purchase Date],TblPurchases[BatchID],TblOutcomes[[#This Row],[BatchID]]))</f>
        <v>45442</v>
      </c>
    </row>
    <row r="505" spans="2:17" x14ac:dyDescent="0.25">
      <c r="B505" s="2" t="s">
        <v>1309</v>
      </c>
      <c r="C505" s="2" t="s">
        <v>140</v>
      </c>
      <c r="D505" s="2" t="s">
        <v>122</v>
      </c>
      <c r="E505" s="2" t="s">
        <v>4646</v>
      </c>
      <c r="F505" s="2">
        <v>17</v>
      </c>
      <c r="G505" s="2">
        <v>13.82</v>
      </c>
      <c r="H505" s="2">
        <v>3.18</v>
      </c>
      <c r="I505" s="1">
        <v>18.7</v>
      </c>
      <c r="J505" s="26">
        <v>45495</v>
      </c>
      <c r="K505" s="22">
        <v>34550</v>
      </c>
      <c r="L505" s="18">
        <v>36.950000000000003</v>
      </c>
      <c r="M505" s="22">
        <v>31450</v>
      </c>
      <c r="N505" s="22">
        <v>3100</v>
      </c>
      <c r="O505" s="18">
        <v>3.32</v>
      </c>
      <c r="P505" s="52">
        <f>IF(COUNTIF(TblPurchases[BatchID],TblOutcomes[[#This Row],[BatchID]])&lt;&gt;1,"n.a.",TblOutcomes[[#This Row],[Qty Wasted]]*SUMIFS(TblPurchases[Unit Cost (CLP)],TblPurchases[BatchID],TblOutcomes[[#This Row],[BatchID]]))</f>
        <v>5883</v>
      </c>
      <c r="Q505" s="51">
        <f>IF(COUNTIF(TblPurchases[BatchID],TblOutcomes[[#This Row],[BatchID]])&lt;&gt;1,"n.a.",SUMIFS(TblPurchases[Purchase Date],TblPurchases[BatchID],TblOutcomes[[#This Row],[BatchID]]))</f>
        <v>45450</v>
      </c>
    </row>
    <row r="506" spans="2:17" x14ac:dyDescent="0.25">
      <c r="B506" s="2" t="s">
        <v>1310</v>
      </c>
      <c r="C506" s="2" t="s">
        <v>140</v>
      </c>
      <c r="D506" s="2" t="s">
        <v>122</v>
      </c>
      <c r="E506" s="2" t="s">
        <v>4646</v>
      </c>
      <c r="F506" s="2">
        <v>15</v>
      </c>
      <c r="G506" s="2">
        <v>12.54</v>
      </c>
      <c r="H506" s="2">
        <v>2.46</v>
      </c>
      <c r="I506" s="1">
        <v>16.399999999999999</v>
      </c>
      <c r="J506" s="26">
        <v>45507</v>
      </c>
      <c r="K506" s="22">
        <v>31350</v>
      </c>
      <c r="L506" s="18">
        <v>33.53</v>
      </c>
      <c r="M506" s="22">
        <v>27750</v>
      </c>
      <c r="N506" s="22">
        <v>3600</v>
      </c>
      <c r="O506" s="18">
        <v>3.85</v>
      </c>
      <c r="P506" s="52">
        <f>IF(COUNTIF(TblPurchases[BatchID],TblOutcomes[[#This Row],[BatchID]])&lt;&gt;1,"n.a.",TblOutcomes[[#This Row],[Qty Wasted]]*SUMIFS(TblPurchases[Unit Cost (CLP)],TblPurchases[BatchID],TblOutcomes[[#This Row],[BatchID]]))</f>
        <v>4551</v>
      </c>
      <c r="Q506" s="51">
        <f>IF(COUNTIF(TblPurchases[BatchID],TblOutcomes[[#This Row],[BatchID]])&lt;&gt;1,"n.a.",SUMIFS(TblPurchases[Purchase Date],TblPurchases[BatchID],TblOutcomes[[#This Row],[BatchID]]))</f>
        <v>45462</v>
      </c>
    </row>
    <row r="507" spans="2:17" x14ac:dyDescent="0.25">
      <c r="B507" s="2" t="s">
        <v>1311</v>
      </c>
      <c r="C507" s="2" t="s">
        <v>140</v>
      </c>
      <c r="D507" s="2" t="s">
        <v>122</v>
      </c>
      <c r="E507" s="2" t="s">
        <v>4646</v>
      </c>
      <c r="F507" s="2">
        <v>14</v>
      </c>
      <c r="G507" s="2">
        <v>11.09</v>
      </c>
      <c r="H507" s="2">
        <v>2.91</v>
      </c>
      <c r="I507" s="1">
        <v>20.8</v>
      </c>
      <c r="J507" s="26">
        <v>45517</v>
      </c>
      <c r="K507" s="22">
        <v>27725</v>
      </c>
      <c r="L507" s="18">
        <v>29.65</v>
      </c>
      <c r="M507" s="22">
        <v>25900</v>
      </c>
      <c r="N507" s="22">
        <v>1825</v>
      </c>
      <c r="O507" s="18">
        <v>1.95</v>
      </c>
      <c r="P507" s="52">
        <f>IF(COUNTIF(TblPurchases[BatchID],TblOutcomes[[#This Row],[BatchID]])&lt;&gt;1,"n.a.",TblOutcomes[[#This Row],[Qty Wasted]]*SUMIFS(TblPurchases[Unit Cost (CLP)],TblPurchases[BatchID],TblOutcomes[[#This Row],[BatchID]]))</f>
        <v>5383.5</v>
      </c>
      <c r="Q507" s="51">
        <f>IF(COUNTIF(TblPurchases[BatchID],TblOutcomes[[#This Row],[BatchID]])&lt;&gt;1,"n.a.",SUMIFS(TblPurchases[Purchase Date],TblPurchases[BatchID],TblOutcomes[[#This Row],[BatchID]]))</f>
        <v>45472</v>
      </c>
    </row>
    <row r="508" spans="2:17" x14ac:dyDescent="0.25">
      <c r="B508" s="2" t="s">
        <v>1312</v>
      </c>
      <c r="C508" s="2" t="s">
        <v>140</v>
      </c>
      <c r="D508" s="2" t="s">
        <v>122</v>
      </c>
      <c r="E508" s="2" t="s">
        <v>4646</v>
      </c>
      <c r="F508" s="2">
        <v>16</v>
      </c>
      <c r="G508" s="2">
        <v>14</v>
      </c>
      <c r="H508" s="2">
        <v>2</v>
      </c>
      <c r="I508" s="1">
        <v>12.5</v>
      </c>
      <c r="J508" s="26">
        <v>45525</v>
      </c>
      <c r="K508" s="22">
        <v>35000</v>
      </c>
      <c r="L508" s="18">
        <v>37.43</v>
      </c>
      <c r="M508" s="22">
        <v>29600</v>
      </c>
      <c r="N508" s="22">
        <v>5400</v>
      </c>
      <c r="O508" s="18">
        <v>5.78</v>
      </c>
      <c r="P508" s="52">
        <f>IF(COUNTIF(TblPurchases[BatchID],TblOutcomes[[#This Row],[BatchID]])&lt;&gt;1,"n.a.",TblOutcomes[[#This Row],[Qty Wasted]]*SUMIFS(TblPurchases[Unit Cost (CLP)],TblPurchases[BatchID],TblOutcomes[[#This Row],[BatchID]]))</f>
        <v>3700</v>
      </c>
      <c r="Q508" s="51">
        <f>IF(COUNTIF(TblPurchases[BatchID],TblOutcomes[[#This Row],[BatchID]])&lt;&gt;1,"n.a.",SUMIFS(TblPurchases[Purchase Date],TblPurchases[BatchID],TblOutcomes[[#This Row],[BatchID]]))</f>
        <v>45480</v>
      </c>
    </row>
    <row r="509" spans="2:17" x14ac:dyDescent="0.25">
      <c r="B509" s="2" t="s">
        <v>1313</v>
      </c>
      <c r="C509" s="2" t="s">
        <v>140</v>
      </c>
      <c r="D509" s="2" t="s">
        <v>122</v>
      </c>
      <c r="E509" s="2" t="s">
        <v>4646</v>
      </c>
      <c r="F509" s="2">
        <v>15</v>
      </c>
      <c r="G509" s="2">
        <v>10.59</v>
      </c>
      <c r="H509" s="2">
        <v>4.41</v>
      </c>
      <c r="I509" s="1">
        <v>29.4</v>
      </c>
      <c r="J509" s="26">
        <v>45532</v>
      </c>
      <c r="K509" s="22">
        <v>26475</v>
      </c>
      <c r="L509" s="18">
        <v>28.32</v>
      </c>
      <c r="M509" s="22">
        <v>27750</v>
      </c>
      <c r="N509" s="22">
        <v>-1275</v>
      </c>
      <c r="O509" s="18">
        <v>-1.36</v>
      </c>
      <c r="P509" s="52">
        <f>IF(COUNTIF(TblPurchases[BatchID],TblOutcomes[[#This Row],[BatchID]])&lt;&gt;1,"n.a.",TblOutcomes[[#This Row],[Qty Wasted]]*SUMIFS(TblPurchases[Unit Cost (CLP)],TblPurchases[BatchID],TblOutcomes[[#This Row],[BatchID]]))</f>
        <v>8158.5</v>
      </c>
      <c r="Q509" s="51">
        <f>IF(COUNTIF(TblPurchases[BatchID],TblOutcomes[[#This Row],[BatchID]])&lt;&gt;1,"n.a.",SUMIFS(TblPurchases[Purchase Date],TblPurchases[BatchID],TblOutcomes[[#This Row],[BatchID]]))</f>
        <v>45487</v>
      </c>
    </row>
    <row r="510" spans="2:17" x14ac:dyDescent="0.25">
      <c r="B510" s="2" t="s">
        <v>1314</v>
      </c>
      <c r="C510" s="2" t="s">
        <v>140</v>
      </c>
      <c r="D510" s="2" t="s">
        <v>122</v>
      </c>
      <c r="E510" s="2" t="s">
        <v>4647</v>
      </c>
      <c r="F510" s="2">
        <v>15</v>
      </c>
      <c r="G510" s="2">
        <v>15</v>
      </c>
      <c r="H510" s="2">
        <v>0</v>
      </c>
      <c r="I510" s="1">
        <v>0</v>
      </c>
      <c r="J510" s="26">
        <v>45502</v>
      </c>
      <c r="K510" s="22">
        <v>37500</v>
      </c>
      <c r="L510" s="18">
        <v>40.11</v>
      </c>
      <c r="M510" s="22">
        <v>27750</v>
      </c>
      <c r="N510" s="22">
        <v>9750</v>
      </c>
      <c r="O510" s="18">
        <v>10.43</v>
      </c>
      <c r="P510" s="52">
        <f>IF(COUNTIF(TblPurchases[BatchID],TblOutcomes[[#This Row],[BatchID]])&lt;&gt;1,"n.a.",TblOutcomes[[#This Row],[Qty Wasted]]*SUMIFS(TblPurchases[Unit Cost (CLP)],TblPurchases[BatchID],TblOutcomes[[#This Row],[BatchID]]))</f>
        <v>0</v>
      </c>
      <c r="Q510" s="51">
        <f>IF(COUNTIF(TblPurchases[BatchID],TblOutcomes[[#This Row],[BatchID]])&lt;&gt;1,"n.a.",SUMIFS(TblPurchases[Purchase Date],TblPurchases[BatchID],TblOutcomes[[#This Row],[BatchID]]))</f>
        <v>45498</v>
      </c>
    </row>
    <row r="511" spans="2:17" x14ac:dyDescent="0.25">
      <c r="B511" s="2" t="s">
        <v>1315</v>
      </c>
      <c r="C511" s="2" t="s">
        <v>140</v>
      </c>
      <c r="D511" s="2" t="s">
        <v>122</v>
      </c>
      <c r="E511" s="2" t="s">
        <v>4646</v>
      </c>
      <c r="F511" s="2">
        <v>16</v>
      </c>
      <c r="G511" s="2">
        <v>12.56</v>
      </c>
      <c r="H511" s="2">
        <v>3.44</v>
      </c>
      <c r="I511" s="1">
        <v>21.5</v>
      </c>
      <c r="J511" s="26">
        <v>45551</v>
      </c>
      <c r="K511" s="22">
        <v>31400</v>
      </c>
      <c r="L511" s="18">
        <v>33.58</v>
      </c>
      <c r="M511" s="22">
        <v>29600</v>
      </c>
      <c r="N511" s="22">
        <v>1800</v>
      </c>
      <c r="O511" s="18">
        <v>1.93</v>
      </c>
      <c r="P511" s="52">
        <f>IF(COUNTIF(TblPurchases[BatchID],TblOutcomes[[#This Row],[BatchID]])&lt;&gt;1,"n.a.",TblOutcomes[[#This Row],[Qty Wasted]]*SUMIFS(TblPurchases[Unit Cost (CLP)],TblPurchases[BatchID],TblOutcomes[[#This Row],[BatchID]]))</f>
        <v>6364</v>
      </c>
      <c r="Q511" s="51">
        <f>IF(COUNTIF(TblPurchases[BatchID],TblOutcomes[[#This Row],[BatchID]])&lt;&gt;1,"n.a.",SUMIFS(TblPurchases[Purchase Date],TblPurchases[BatchID],TblOutcomes[[#This Row],[BatchID]]))</f>
        <v>45506</v>
      </c>
    </row>
    <row r="512" spans="2:17" x14ac:dyDescent="0.25">
      <c r="B512" s="2" t="s">
        <v>1316</v>
      </c>
      <c r="C512" s="2" t="s">
        <v>140</v>
      </c>
      <c r="D512" s="2" t="s">
        <v>122</v>
      </c>
      <c r="E512" s="2" t="s">
        <v>4647</v>
      </c>
      <c r="F512" s="2">
        <v>14</v>
      </c>
      <c r="G512" s="2">
        <v>14</v>
      </c>
      <c r="H512" s="2">
        <v>0</v>
      </c>
      <c r="I512" s="1">
        <v>0</v>
      </c>
      <c r="J512" s="26">
        <v>45521</v>
      </c>
      <c r="K512" s="22">
        <v>35000</v>
      </c>
      <c r="L512" s="18">
        <v>37.43</v>
      </c>
      <c r="M512" s="22">
        <v>25900</v>
      </c>
      <c r="N512" s="22">
        <v>9100</v>
      </c>
      <c r="O512" s="18">
        <v>9.73</v>
      </c>
      <c r="P512" s="52">
        <f>IF(COUNTIF(TblPurchases[BatchID],TblOutcomes[[#This Row],[BatchID]])&lt;&gt;1,"n.a.",TblOutcomes[[#This Row],[Qty Wasted]]*SUMIFS(TblPurchases[Unit Cost (CLP)],TblPurchases[BatchID],TblOutcomes[[#This Row],[BatchID]]))</f>
        <v>0</v>
      </c>
      <c r="Q512" s="51">
        <f>IF(COUNTIF(TblPurchases[BatchID],TblOutcomes[[#This Row],[BatchID]])&lt;&gt;1,"n.a.",SUMIFS(TblPurchases[Purchase Date],TblPurchases[BatchID],TblOutcomes[[#This Row],[BatchID]]))</f>
        <v>45515</v>
      </c>
    </row>
    <row r="513" spans="2:17" x14ac:dyDescent="0.25">
      <c r="B513" s="2" t="s">
        <v>1317</v>
      </c>
      <c r="C513" s="2" t="s">
        <v>140</v>
      </c>
      <c r="D513" s="2" t="s">
        <v>122</v>
      </c>
      <c r="E513" s="2" t="s">
        <v>4646</v>
      </c>
      <c r="F513" s="2">
        <v>16</v>
      </c>
      <c r="G513" s="2">
        <v>12.88</v>
      </c>
      <c r="H513" s="2">
        <v>3.12</v>
      </c>
      <c r="I513" s="1">
        <v>19.5</v>
      </c>
      <c r="J513" s="26">
        <v>45571</v>
      </c>
      <c r="K513" s="22">
        <v>32200</v>
      </c>
      <c r="L513" s="18">
        <v>34.44</v>
      </c>
      <c r="M513" s="22">
        <v>29600</v>
      </c>
      <c r="N513" s="22">
        <v>2600</v>
      </c>
      <c r="O513" s="18">
        <v>2.78</v>
      </c>
      <c r="P513" s="52">
        <f>IF(COUNTIF(TblPurchases[BatchID],TblOutcomes[[#This Row],[BatchID]])&lt;&gt;1,"n.a.",TblOutcomes[[#This Row],[Qty Wasted]]*SUMIFS(TblPurchases[Unit Cost (CLP)],TblPurchases[BatchID],TblOutcomes[[#This Row],[BatchID]]))</f>
        <v>5772</v>
      </c>
      <c r="Q513" s="51">
        <f>IF(COUNTIF(TblPurchases[BatchID],TblOutcomes[[#This Row],[BatchID]])&lt;&gt;1,"n.a.",SUMIFS(TblPurchases[Purchase Date],TblPurchases[BatchID],TblOutcomes[[#This Row],[BatchID]]))</f>
        <v>45526</v>
      </c>
    </row>
    <row r="514" spans="2:17" x14ac:dyDescent="0.25">
      <c r="B514" s="2" t="s">
        <v>1318</v>
      </c>
      <c r="C514" s="2" t="s">
        <v>140</v>
      </c>
      <c r="D514" s="2" t="s">
        <v>122</v>
      </c>
      <c r="E514" s="2" t="s">
        <v>4646</v>
      </c>
      <c r="F514" s="2">
        <v>14</v>
      </c>
      <c r="G514" s="2">
        <v>12.45</v>
      </c>
      <c r="H514" s="2">
        <v>1.55</v>
      </c>
      <c r="I514" s="1">
        <v>11.1</v>
      </c>
      <c r="J514" s="26">
        <v>45578</v>
      </c>
      <c r="K514" s="22">
        <v>31125</v>
      </c>
      <c r="L514" s="18">
        <v>33.29</v>
      </c>
      <c r="M514" s="22">
        <v>26600</v>
      </c>
      <c r="N514" s="22">
        <v>4525</v>
      </c>
      <c r="O514" s="18">
        <v>4.84</v>
      </c>
      <c r="P514" s="52">
        <f>IF(COUNTIF(TblPurchases[BatchID],TblOutcomes[[#This Row],[BatchID]])&lt;&gt;1,"n.a.",TblOutcomes[[#This Row],[Qty Wasted]]*SUMIFS(TblPurchases[Unit Cost (CLP)],TblPurchases[BatchID],TblOutcomes[[#This Row],[BatchID]]))</f>
        <v>2945</v>
      </c>
      <c r="Q514" s="51">
        <f>IF(COUNTIF(TblPurchases[BatchID],TblOutcomes[[#This Row],[BatchID]])&lt;&gt;1,"n.a.",SUMIFS(TblPurchases[Purchase Date],TblPurchases[BatchID],TblOutcomes[[#This Row],[BatchID]]))</f>
        <v>45533</v>
      </c>
    </row>
    <row r="515" spans="2:17" x14ac:dyDescent="0.25">
      <c r="B515" s="2" t="s">
        <v>1319</v>
      </c>
      <c r="C515" s="2" t="s">
        <v>140</v>
      </c>
      <c r="D515" s="2" t="s">
        <v>122</v>
      </c>
      <c r="E515" s="2" t="s">
        <v>4646</v>
      </c>
      <c r="F515" s="2">
        <v>17</v>
      </c>
      <c r="G515" s="2">
        <v>14.86</v>
      </c>
      <c r="H515" s="2">
        <v>2.14</v>
      </c>
      <c r="I515" s="1">
        <v>12.6</v>
      </c>
      <c r="J515" s="26">
        <v>45584</v>
      </c>
      <c r="K515" s="22">
        <v>37150</v>
      </c>
      <c r="L515" s="18">
        <v>39.729999999999997</v>
      </c>
      <c r="M515" s="22">
        <v>31450</v>
      </c>
      <c r="N515" s="22">
        <v>5700</v>
      </c>
      <c r="O515" s="18">
        <v>6.1</v>
      </c>
      <c r="P515" s="52">
        <f>IF(COUNTIF(TblPurchases[BatchID],TblOutcomes[[#This Row],[BatchID]])&lt;&gt;1,"n.a.",TblOutcomes[[#This Row],[Qty Wasted]]*SUMIFS(TblPurchases[Unit Cost (CLP)],TblPurchases[BatchID],TblOutcomes[[#This Row],[BatchID]]))</f>
        <v>3959.0000000000005</v>
      </c>
      <c r="Q515" s="51">
        <f>IF(COUNTIF(TblPurchases[BatchID],TblOutcomes[[#This Row],[BatchID]])&lt;&gt;1,"n.a.",SUMIFS(TblPurchases[Purchase Date],TblPurchases[BatchID],TblOutcomes[[#This Row],[BatchID]]))</f>
        <v>45539</v>
      </c>
    </row>
    <row r="516" spans="2:17" x14ac:dyDescent="0.25">
      <c r="B516" s="2" t="s">
        <v>1320</v>
      </c>
      <c r="C516" s="2" t="s">
        <v>140</v>
      </c>
      <c r="D516" s="2" t="s">
        <v>122</v>
      </c>
      <c r="E516" s="2" t="s">
        <v>4647</v>
      </c>
      <c r="F516" s="2">
        <v>19</v>
      </c>
      <c r="G516" s="2">
        <v>19</v>
      </c>
      <c r="H516" s="2">
        <v>0</v>
      </c>
      <c r="I516" s="1">
        <v>0</v>
      </c>
      <c r="J516" s="26">
        <v>45559</v>
      </c>
      <c r="K516" s="22">
        <v>47500</v>
      </c>
      <c r="L516" s="18">
        <v>50.8</v>
      </c>
      <c r="M516" s="22">
        <v>35150</v>
      </c>
      <c r="N516" s="22">
        <v>12350</v>
      </c>
      <c r="O516" s="18">
        <v>13.21</v>
      </c>
      <c r="P516" s="52">
        <f>IF(COUNTIF(TblPurchases[BatchID],TblOutcomes[[#This Row],[BatchID]])&lt;&gt;1,"n.a.",TblOutcomes[[#This Row],[Qty Wasted]]*SUMIFS(TblPurchases[Unit Cost (CLP)],TblPurchases[BatchID],TblOutcomes[[#This Row],[BatchID]]))</f>
        <v>0</v>
      </c>
      <c r="Q516" s="51">
        <f>IF(COUNTIF(TblPurchases[BatchID],TblOutcomes[[#This Row],[BatchID]])&lt;&gt;1,"n.a.",SUMIFS(TblPurchases[Purchase Date],TblPurchases[BatchID],TblOutcomes[[#This Row],[BatchID]]))</f>
        <v>45550</v>
      </c>
    </row>
    <row r="517" spans="2:17" x14ac:dyDescent="0.25">
      <c r="B517" s="2" t="s">
        <v>1321</v>
      </c>
      <c r="C517" s="2" t="s">
        <v>140</v>
      </c>
      <c r="D517" s="2" t="s">
        <v>122</v>
      </c>
      <c r="E517" s="2" t="s">
        <v>4647</v>
      </c>
      <c r="F517" s="2">
        <v>20</v>
      </c>
      <c r="G517" s="2">
        <v>20</v>
      </c>
      <c r="H517" s="2">
        <v>0</v>
      </c>
      <c r="I517" s="1">
        <v>0</v>
      </c>
      <c r="J517" s="26">
        <v>45573</v>
      </c>
      <c r="K517" s="22">
        <v>50000</v>
      </c>
      <c r="L517" s="18">
        <v>53.48</v>
      </c>
      <c r="M517" s="22">
        <v>37000</v>
      </c>
      <c r="N517" s="22">
        <v>13000</v>
      </c>
      <c r="O517" s="18">
        <v>13.9</v>
      </c>
      <c r="P517" s="52">
        <f>IF(COUNTIF(TblPurchases[BatchID],TblOutcomes[[#This Row],[BatchID]])&lt;&gt;1,"n.a.",TblOutcomes[[#This Row],[Qty Wasted]]*SUMIFS(TblPurchases[Unit Cost (CLP)],TblPurchases[BatchID],TblOutcomes[[#This Row],[BatchID]]))</f>
        <v>0</v>
      </c>
      <c r="Q517" s="51">
        <f>IF(COUNTIF(TblPurchases[BatchID],TblOutcomes[[#This Row],[BatchID]])&lt;&gt;1,"n.a.",SUMIFS(TblPurchases[Purchase Date],TblPurchases[BatchID],TblOutcomes[[#This Row],[BatchID]]))</f>
        <v>45562</v>
      </c>
    </row>
    <row r="518" spans="2:17" x14ac:dyDescent="0.25">
      <c r="B518" s="2" t="s">
        <v>1322</v>
      </c>
      <c r="C518" s="2" t="s">
        <v>140</v>
      </c>
      <c r="D518" s="2" t="s">
        <v>122</v>
      </c>
      <c r="E518" s="2" t="s">
        <v>4647</v>
      </c>
      <c r="F518" s="2">
        <v>45</v>
      </c>
      <c r="G518" s="2">
        <v>45</v>
      </c>
      <c r="H518" s="2">
        <v>0</v>
      </c>
      <c r="I518" s="1">
        <v>0</v>
      </c>
      <c r="J518" s="26">
        <v>45580</v>
      </c>
      <c r="K518" s="22">
        <v>112500</v>
      </c>
      <c r="L518" s="18">
        <v>120.32</v>
      </c>
      <c r="M518" s="22">
        <v>83250</v>
      </c>
      <c r="N518" s="22">
        <v>29250</v>
      </c>
      <c r="O518" s="18">
        <v>31.28</v>
      </c>
      <c r="P518" s="52">
        <f>IF(COUNTIF(TblPurchases[BatchID],TblOutcomes[[#This Row],[BatchID]])&lt;&gt;1,"n.a.",TblOutcomes[[#This Row],[Qty Wasted]]*SUMIFS(TblPurchases[Unit Cost (CLP)],TblPurchases[BatchID],TblOutcomes[[#This Row],[BatchID]]))</f>
        <v>0</v>
      </c>
      <c r="Q518" s="51">
        <f>IF(COUNTIF(TblPurchases[BatchID],TblOutcomes[[#This Row],[BatchID]])&lt;&gt;1,"n.a.",SUMIFS(TblPurchases[Purchase Date],TblPurchases[BatchID],TblOutcomes[[#This Row],[BatchID]]))</f>
        <v>45576</v>
      </c>
    </row>
    <row r="519" spans="2:17" x14ac:dyDescent="0.25">
      <c r="B519" s="2" t="s">
        <v>1323</v>
      </c>
      <c r="C519" s="2" t="s">
        <v>140</v>
      </c>
      <c r="D519" s="2" t="s">
        <v>122</v>
      </c>
      <c r="E519" s="2" t="s">
        <v>4647</v>
      </c>
      <c r="F519" s="2">
        <v>35</v>
      </c>
      <c r="G519" s="2">
        <v>35</v>
      </c>
      <c r="H519" s="2">
        <v>0</v>
      </c>
      <c r="I519" s="1">
        <v>0</v>
      </c>
      <c r="J519" s="26">
        <v>45596</v>
      </c>
      <c r="K519" s="22">
        <v>87500</v>
      </c>
      <c r="L519" s="18">
        <v>93.58</v>
      </c>
      <c r="M519" s="22">
        <v>64750</v>
      </c>
      <c r="N519" s="22">
        <v>22750</v>
      </c>
      <c r="O519" s="18">
        <v>24.33</v>
      </c>
      <c r="P519" s="52">
        <f>IF(COUNTIF(TblPurchases[BatchID],TblOutcomes[[#This Row],[BatchID]])&lt;&gt;1,"n.a.",TblOutcomes[[#This Row],[Qty Wasted]]*SUMIFS(TblPurchases[Unit Cost (CLP)],TblPurchases[BatchID],TblOutcomes[[#This Row],[BatchID]]))</f>
        <v>0</v>
      </c>
      <c r="Q519" s="51">
        <f>IF(COUNTIF(TblPurchases[BatchID],TblOutcomes[[#This Row],[BatchID]])&lt;&gt;1,"n.a.",SUMIFS(TblPurchases[Purchase Date],TblPurchases[BatchID],TblOutcomes[[#This Row],[BatchID]]))</f>
        <v>45588</v>
      </c>
    </row>
    <row r="520" spans="2:17" x14ac:dyDescent="0.25">
      <c r="B520" s="2" t="s">
        <v>1324</v>
      </c>
      <c r="C520" s="2" t="s">
        <v>140</v>
      </c>
      <c r="D520" s="2" t="s">
        <v>122</v>
      </c>
      <c r="E520" s="2" t="s">
        <v>4647</v>
      </c>
      <c r="F520" s="2">
        <v>46</v>
      </c>
      <c r="G520" s="2">
        <v>46</v>
      </c>
      <c r="H520" s="2">
        <v>0</v>
      </c>
      <c r="I520" s="1">
        <v>0</v>
      </c>
      <c r="J520" s="26">
        <v>45602</v>
      </c>
      <c r="K520" s="22">
        <v>115000</v>
      </c>
      <c r="L520" s="18">
        <v>122.99</v>
      </c>
      <c r="M520" s="22">
        <v>85100</v>
      </c>
      <c r="N520" s="22">
        <v>29900</v>
      </c>
      <c r="O520" s="18">
        <v>31.98</v>
      </c>
      <c r="P520" s="52">
        <f>IF(COUNTIF(TblPurchases[BatchID],TblOutcomes[[#This Row],[BatchID]])&lt;&gt;1,"n.a.",TblOutcomes[[#This Row],[Qty Wasted]]*SUMIFS(TblPurchases[Unit Cost (CLP)],TblPurchases[BatchID],TblOutcomes[[#This Row],[BatchID]]))</f>
        <v>0</v>
      </c>
      <c r="Q520" s="51">
        <f>IF(COUNTIF(TblPurchases[BatchID],TblOutcomes[[#This Row],[BatchID]])&lt;&gt;1,"n.a.",SUMIFS(TblPurchases[Purchase Date],TblPurchases[BatchID],TblOutcomes[[#This Row],[BatchID]]))</f>
        <v>45597</v>
      </c>
    </row>
    <row r="521" spans="2:17" x14ac:dyDescent="0.25">
      <c r="B521" s="2" t="s">
        <v>1325</v>
      </c>
      <c r="C521" s="2" t="s">
        <v>140</v>
      </c>
      <c r="D521" s="2" t="s">
        <v>122</v>
      </c>
      <c r="E521" s="2" t="s">
        <v>4647</v>
      </c>
      <c r="F521" s="2">
        <v>38</v>
      </c>
      <c r="G521" s="2">
        <v>38</v>
      </c>
      <c r="H521" s="2">
        <v>0</v>
      </c>
      <c r="I521" s="1">
        <v>0</v>
      </c>
      <c r="J521" s="26">
        <v>45611</v>
      </c>
      <c r="K521" s="22">
        <v>95000</v>
      </c>
      <c r="L521" s="18">
        <v>101.6</v>
      </c>
      <c r="M521" s="22">
        <v>70300</v>
      </c>
      <c r="N521" s="22">
        <v>24700</v>
      </c>
      <c r="O521" s="18">
        <v>26.42</v>
      </c>
      <c r="P521" s="52">
        <f>IF(COUNTIF(TblPurchases[BatchID],TblOutcomes[[#This Row],[BatchID]])&lt;&gt;1,"n.a.",TblOutcomes[[#This Row],[Qty Wasted]]*SUMIFS(TblPurchases[Unit Cost (CLP)],TblPurchases[BatchID],TblOutcomes[[#This Row],[BatchID]]))</f>
        <v>0</v>
      </c>
      <c r="Q521" s="51">
        <f>IF(COUNTIF(TblPurchases[BatchID],TblOutcomes[[#This Row],[BatchID]])&lt;&gt;1,"n.a.",SUMIFS(TblPurchases[Purchase Date],TblPurchases[BatchID],TblOutcomes[[#This Row],[BatchID]]))</f>
        <v>45606</v>
      </c>
    </row>
    <row r="522" spans="2:17" x14ac:dyDescent="0.25">
      <c r="B522" s="2" t="s">
        <v>1326</v>
      </c>
      <c r="C522" s="2" t="s">
        <v>140</v>
      </c>
      <c r="D522" s="2" t="s">
        <v>122</v>
      </c>
      <c r="E522" s="2" t="s">
        <v>4646</v>
      </c>
      <c r="F522" s="2">
        <v>35</v>
      </c>
      <c r="G522" s="2">
        <v>31.29</v>
      </c>
      <c r="H522" s="2">
        <v>3.71</v>
      </c>
      <c r="I522" s="1">
        <v>10.6</v>
      </c>
      <c r="J522" s="26">
        <v>45660</v>
      </c>
      <c r="K522" s="22">
        <v>78225</v>
      </c>
      <c r="L522" s="18">
        <v>83.66</v>
      </c>
      <c r="M522" s="22">
        <v>64750</v>
      </c>
      <c r="N522" s="22">
        <v>13475</v>
      </c>
      <c r="O522" s="18">
        <v>14.41</v>
      </c>
      <c r="P522" s="52">
        <f>IF(COUNTIF(TblPurchases[BatchID],TblOutcomes[[#This Row],[BatchID]])&lt;&gt;1,"n.a.",TblOutcomes[[#This Row],[Qty Wasted]]*SUMIFS(TblPurchases[Unit Cost (CLP)],TblPurchases[BatchID],TblOutcomes[[#This Row],[BatchID]]))</f>
        <v>6863.5</v>
      </c>
      <c r="Q522" s="51">
        <f>IF(COUNTIF(TblPurchases[BatchID],TblOutcomes[[#This Row],[BatchID]])&lt;&gt;1,"n.a.",SUMIFS(TblPurchases[Purchase Date],TblPurchases[BatchID],TblOutcomes[[#This Row],[BatchID]]))</f>
        <v>45615</v>
      </c>
    </row>
    <row r="523" spans="2:17" x14ac:dyDescent="0.25">
      <c r="B523" s="2" t="s">
        <v>1327</v>
      </c>
      <c r="C523" s="2" t="s">
        <v>140</v>
      </c>
      <c r="D523" s="2" t="s">
        <v>122</v>
      </c>
      <c r="E523" s="2" t="s">
        <v>4647</v>
      </c>
      <c r="F523" s="2">
        <v>45</v>
      </c>
      <c r="G523" s="2">
        <v>45</v>
      </c>
      <c r="H523" s="2">
        <v>0</v>
      </c>
      <c r="I523" s="1">
        <v>0</v>
      </c>
      <c r="J523" s="26">
        <v>45636</v>
      </c>
      <c r="K523" s="22">
        <v>112500</v>
      </c>
      <c r="L523" s="18">
        <v>120.32</v>
      </c>
      <c r="M523" s="22">
        <v>83250</v>
      </c>
      <c r="N523" s="22">
        <v>29250</v>
      </c>
      <c r="O523" s="18">
        <v>31.28</v>
      </c>
      <c r="P523" s="52">
        <f>IF(COUNTIF(TblPurchases[BatchID],TblOutcomes[[#This Row],[BatchID]])&lt;&gt;1,"n.a.",TblOutcomes[[#This Row],[Qty Wasted]]*SUMIFS(TblPurchases[Unit Cost (CLP)],TblPurchases[BatchID],TblOutcomes[[#This Row],[BatchID]]))</f>
        <v>0</v>
      </c>
      <c r="Q523" s="51">
        <f>IF(COUNTIF(TblPurchases[BatchID],TblOutcomes[[#This Row],[BatchID]])&lt;&gt;1,"n.a.",SUMIFS(TblPurchases[Purchase Date],TblPurchases[BatchID],TblOutcomes[[#This Row],[BatchID]]))</f>
        <v>45628</v>
      </c>
    </row>
    <row r="524" spans="2:17" x14ac:dyDescent="0.25">
      <c r="B524" s="2" t="s">
        <v>1328</v>
      </c>
      <c r="C524" s="2" t="s">
        <v>140</v>
      </c>
      <c r="D524" s="2" t="s">
        <v>122</v>
      </c>
      <c r="E524" s="2" t="s">
        <v>4647</v>
      </c>
      <c r="F524" s="2">
        <v>50</v>
      </c>
      <c r="G524" s="2">
        <v>50</v>
      </c>
      <c r="H524" s="2">
        <v>0</v>
      </c>
      <c r="I524" s="1">
        <v>0</v>
      </c>
      <c r="J524" s="26">
        <v>45645</v>
      </c>
      <c r="K524" s="22">
        <v>125000</v>
      </c>
      <c r="L524" s="18">
        <v>133.69</v>
      </c>
      <c r="M524" s="22">
        <v>92500</v>
      </c>
      <c r="N524" s="22">
        <v>32500</v>
      </c>
      <c r="O524" s="18">
        <v>34.76</v>
      </c>
      <c r="P524" s="52">
        <f>IF(COUNTIF(TblPurchases[BatchID],TblOutcomes[[#This Row],[BatchID]])&lt;&gt;1,"n.a.",TblOutcomes[[#This Row],[Qty Wasted]]*SUMIFS(TblPurchases[Unit Cost (CLP)],TblPurchases[BatchID],TblOutcomes[[#This Row],[BatchID]]))</f>
        <v>0</v>
      </c>
      <c r="Q524" s="51">
        <f>IF(COUNTIF(TblPurchases[BatchID],TblOutcomes[[#This Row],[BatchID]])&lt;&gt;1,"n.a.",SUMIFS(TblPurchases[Purchase Date],TblPurchases[BatchID],TblOutcomes[[#This Row],[BatchID]]))</f>
        <v>45640</v>
      </c>
    </row>
    <row r="525" spans="2:17" x14ac:dyDescent="0.25">
      <c r="B525" s="2" t="s">
        <v>1329</v>
      </c>
      <c r="C525" s="2" t="s">
        <v>140</v>
      </c>
      <c r="D525" s="2" t="s">
        <v>122</v>
      </c>
      <c r="E525" s="2" t="s">
        <v>4647</v>
      </c>
      <c r="F525" s="2">
        <v>58</v>
      </c>
      <c r="G525" s="2">
        <v>58</v>
      </c>
      <c r="H525" s="2">
        <v>0</v>
      </c>
      <c r="I525" s="1">
        <v>0</v>
      </c>
      <c r="J525" s="26">
        <v>45651</v>
      </c>
      <c r="K525" s="22">
        <v>145000</v>
      </c>
      <c r="L525" s="18">
        <v>155.08000000000001</v>
      </c>
      <c r="M525" s="22">
        <v>107300</v>
      </c>
      <c r="N525" s="22">
        <v>37700</v>
      </c>
      <c r="O525" s="18">
        <v>40.32</v>
      </c>
      <c r="P525" s="52">
        <f>IF(COUNTIF(TblPurchases[BatchID],TblOutcomes[[#This Row],[BatchID]])&lt;&gt;1,"n.a.",TblOutcomes[[#This Row],[Qty Wasted]]*SUMIFS(TblPurchases[Unit Cost (CLP)],TblPurchases[BatchID],TblOutcomes[[#This Row],[BatchID]]))</f>
        <v>0</v>
      </c>
      <c r="Q525" s="51">
        <f>IF(COUNTIF(TblPurchases[BatchID],TblOutcomes[[#This Row],[BatchID]])&lt;&gt;1,"n.a.",SUMIFS(TblPurchases[Purchase Date],TblPurchases[BatchID],TblOutcomes[[#This Row],[BatchID]]))</f>
        <v>45649</v>
      </c>
    </row>
    <row r="526" spans="2:17" x14ac:dyDescent="0.25">
      <c r="B526" s="2" t="s">
        <v>1330</v>
      </c>
      <c r="C526" s="2" t="s">
        <v>140</v>
      </c>
      <c r="D526" s="2" t="s">
        <v>122</v>
      </c>
      <c r="E526" s="2" t="s">
        <v>4647</v>
      </c>
      <c r="F526" s="2">
        <v>41</v>
      </c>
      <c r="G526" s="2">
        <v>41</v>
      </c>
      <c r="H526" s="2">
        <v>0</v>
      </c>
      <c r="I526" s="1">
        <v>0</v>
      </c>
      <c r="J526" s="26">
        <v>45665</v>
      </c>
      <c r="K526" s="22">
        <v>102500</v>
      </c>
      <c r="L526" s="18">
        <v>109.63</v>
      </c>
      <c r="M526" s="22">
        <v>77900</v>
      </c>
      <c r="N526" s="22">
        <v>24600</v>
      </c>
      <c r="O526" s="18">
        <v>26.31</v>
      </c>
      <c r="P526" s="52">
        <f>IF(COUNTIF(TblPurchases[BatchID],TblOutcomes[[#This Row],[BatchID]])&lt;&gt;1,"n.a.",TblOutcomes[[#This Row],[Qty Wasted]]*SUMIFS(TblPurchases[Unit Cost (CLP)],TblPurchases[BatchID],TblOutcomes[[#This Row],[BatchID]]))</f>
        <v>0</v>
      </c>
      <c r="Q526" s="51">
        <f>IF(COUNTIF(TblPurchases[BatchID],TblOutcomes[[#This Row],[BatchID]])&lt;&gt;1,"n.a.",SUMIFS(TblPurchases[Purchase Date],TblPurchases[BatchID],TblOutcomes[[#This Row],[BatchID]]))</f>
        <v>45658</v>
      </c>
    </row>
    <row r="527" spans="2:17" x14ac:dyDescent="0.25">
      <c r="B527" s="2" t="s">
        <v>1331</v>
      </c>
      <c r="C527" s="2" t="s">
        <v>140</v>
      </c>
      <c r="D527" s="2" t="s">
        <v>122</v>
      </c>
      <c r="E527" s="2" t="s">
        <v>4647</v>
      </c>
      <c r="F527" s="2">
        <v>42</v>
      </c>
      <c r="G527" s="2">
        <v>42</v>
      </c>
      <c r="H527" s="2">
        <v>0</v>
      </c>
      <c r="I527" s="1">
        <v>0</v>
      </c>
      <c r="J527" s="26">
        <v>45678</v>
      </c>
      <c r="K527" s="22">
        <v>105000</v>
      </c>
      <c r="L527" s="18">
        <v>112.3</v>
      </c>
      <c r="M527" s="22">
        <v>77700</v>
      </c>
      <c r="N527" s="22">
        <v>27300</v>
      </c>
      <c r="O527" s="18">
        <v>29.2</v>
      </c>
      <c r="P527" s="52">
        <f>IF(COUNTIF(TblPurchases[BatchID],TblOutcomes[[#This Row],[BatchID]])&lt;&gt;1,"n.a.",TblOutcomes[[#This Row],[Qty Wasted]]*SUMIFS(TblPurchases[Unit Cost (CLP)],TblPurchases[BatchID],TblOutcomes[[#This Row],[BatchID]]))</f>
        <v>0</v>
      </c>
      <c r="Q527" s="51">
        <f>IF(COUNTIF(TblPurchases[BatchID],TblOutcomes[[#This Row],[BatchID]])&lt;&gt;1,"n.a.",SUMIFS(TblPurchases[Purchase Date],TblPurchases[BatchID],TblOutcomes[[#This Row],[BatchID]]))</f>
        <v>45670</v>
      </c>
    </row>
    <row r="528" spans="2:17" x14ac:dyDescent="0.25">
      <c r="B528" s="2" t="s">
        <v>1332</v>
      </c>
      <c r="C528" s="2" t="s">
        <v>140</v>
      </c>
      <c r="D528" s="2" t="s">
        <v>122</v>
      </c>
      <c r="E528" s="2" t="s">
        <v>4647</v>
      </c>
      <c r="F528" s="2">
        <v>40</v>
      </c>
      <c r="G528" s="2">
        <v>40</v>
      </c>
      <c r="H528" s="2">
        <v>0</v>
      </c>
      <c r="I528" s="1">
        <v>0</v>
      </c>
      <c r="J528" s="26">
        <v>45691</v>
      </c>
      <c r="K528" s="22">
        <v>100000</v>
      </c>
      <c r="L528" s="18">
        <v>106.95</v>
      </c>
      <c r="M528" s="22">
        <v>74000</v>
      </c>
      <c r="N528" s="22">
        <v>26000</v>
      </c>
      <c r="O528" s="18">
        <v>27.81</v>
      </c>
      <c r="P528" s="52">
        <f>IF(COUNTIF(TblPurchases[BatchID],TblOutcomes[[#This Row],[BatchID]])&lt;&gt;1,"n.a.",TblOutcomes[[#This Row],[Qty Wasted]]*SUMIFS(TblPurchases[Unit Cost (CLP)],TblPurchases[BatchID],TblOutcomes[[#This Row],[BatchID]]))</f>
        <v>0</v>
      </c>
      <c r="Q528" s="51">
        <f>IF(COUNTIF(TblPurchases[BatchID],TblOutcomes[[#This Row],[BatchID]])&lt;&gt;1,"n.a.",SUMIFS(TblPurchases[Purchase Date],TblPurchases[BatchID],TblOutcomes[[#This Row],[BatchID]]))</f>
        <v>45679</v>
      </c>
    </row>
    <row r="529" spans="2:17" x14ac:dyDescent="0.25">
      <c r="B529" s="2" t="s">
        <v>1333</v>
      </c>
      <c r="C529" s="2" t="s">
        <v>140</v>
      </c>
      <c r="D529" s="2" t="s">
        <v>122</v>
      </c>
      <c r="E529" s="2" t="s">
        <v>4647</v>
      </c>
      <c r="F529" s="2">
        <v>48</v>
      </c>
      <c r="G529" s="2">
        <v>48</v>
      </c>
      <c r="H529" s="2">
        <v>0</v>
      </c>
      <c r="I529" s="1">
        <v>0</v>
      </c>
      <c r="J529" s="26">
        <v>45699</v>
      </c>
      <c r="K529" s="22">
        <v>120000</v>
      </c>
      <c r="L529" s="18">
        <v>128.34</v>
      </c>
      <c r="M529" s="22">
        <v>88800</v>
      </c>
      <c r="N529" s="22">
        <v>31200</v>
      </c>
      <c r="O529" s="18">
        <v>33.369999999999997</v>
      </c>
      <c r="P529" s="52">
        <f>IF(COUNTIF(TblPurchases[BatchID],TblOutcomes[[#This Row],[BatchID]])&lt;&gt;1,"n.a.",TblOutcomes[[#This Row],[Qty Wasted]]*SUMIFS(TblPurchases[Unit Cost (CLP)],TblPurchases[BatchID],TblOutcomes[[#This Row],[BatchID]]))</f>
        <v>0</v>
      </c>
      <c r="Q529" s="51">
        <f>IF(COUNTIF(TblPurchases[BatchID],TblOutcomes[[#This Row],[BatchID]])&lt;&gt;1,"n.a.",SUMIFS(TblPurchases[Purchase Date],TblPurchases[BatchID],TblOutcomes[[#This Row],[BatchID]]))</f>
        <v>45691</v>
      </c>
    </row>
    <row r="530" spans="2:17" x14ac:dyDescent="0.25">
      <c r="B530" s="2" t="s">
        <v>1334</v>
      </c>
      <c r="C530" s="2" t="s">
        <v>140</v>
      </c>
      <c r="D530" s="2" t="s">
        <v>122</v>
      </c>
      <c r="E530" s="2" t="s">
        <v>4647</v>
      </c>
      <c r="F530" s="2">
        <v>40</v>
      </c>
      <c r="G530" s="2">
        <v>40</v>
      </c>
      <c r="H530" s="2">
        <v>0</v>
      </c>
      <c r="I530" s="1">
        <v>0</v>
      </c>
      <c r="J530" s="26">
        <v>45705</v>
      </c>
      <c r="K530" s="22">
        <v>100000</v>
      </c>
      <c r="L530" s="18">
        <v>106.95</v>
      </c>
      <c r="M530" s="22">
        <v>74000</v>
      </c>
      <c r="N530" s="22">
        <v>26000</v>
      </c>
      <c r="O530" s="18">
        <v>27.81</v>
      </c>
      <c r="P530" s="52">
        <f>IF(COUNTIF(TblPurchases[BatchID],TblOutcomes[[#This Row],[BatchID]])&lt;&gt;1,"n.a.",TblOutcomes[[#This Row],[Qty Wasted]]*SUMIFS(TblPurchases[Unit Cost (CLP)],TblPurchases[BatchID],TblOutcomes[[#This Row],[BatchID]]))</f>
        <v>0</v>
      </c>
      <c r="Q530" s="51">
        <f>IF(COUNTIF(TblPurchases[BatchID],TblOutcomes[[#This Row],[BatchID]])&lt;&gt;1,"n.a.",SUMIFS(TblPurchases[Purchase Date],TblPurchases[BatchID],TblOutcomes[[#This Row],[BatchID]]))</f>
        <v>45702</v>
      </c>
    </row>
    <row r="531" spans="2:17" x14ac:dyDescent="0.25">
      <c r="B531" s="2" t="s">
        <v>1335</v>
      </c>
      <c r="C531" s="2" t="s">
        <v>140</v>
      </c>
      <c r="D531" s="2" t="s">
        <v>122</v>
      </c>
      <c r="E531" s="2" t="s">
        <v>4647</v>
      </c>
      <c r="F531" s="2">
        <v>44</v>
      </c>
      <c r="G531" s="2">
        <v>44</v>
      </c>
      <c r="H531" s="2">
        <v>0</v>
      </c>
      <c r="I531" s="1">
        <v>0</v>
      </c>
      <c r="J531" s="26">
        <v>45718</v>
      </c>
      <c r="K531" s="22">
        <v>110000</v>
      </c>
      <c r="L531" s="18">
        <v>117.65</v>
      </c>
      <c r="M531" s="22">
        <v>81400</v>
      </c>
      <c r="N531" s="22">
        <v>28600</v>
      </c>
      <c r="O531" s="18">
        <v>30.59</v>
      </c>
      <c r="P531" s="52">
        <f>IF(COUNTIF(TblPurchases[BatchID],TblOutcomes[[#This Row],[BatchID]])&lt;&gt;1,"n.a.",TblOutcomes[[#This Row],[Qty Wasted]]*SUMIFS(TblPurchases[Unit Cost (CLP)],TblPurchases[BatchID],TblOutcomes[[#This Row],[BatchID]]))</f>
        <v>0</v>
      </c>
      <c r="Q531" s="51">
        <f>IF(COUNTIF(TblPurchases[BatchID],TblOutcomes[[#This Row],[BatchID]])&lt;&gt;1,"n.a.",SUMIFS(TblPurchases[Purchase Date],TblPurchases[BatchID],TblOutcomes[[#This Row],[BatchID]]))</f>
        <v>45710</v>
      </c>
    </row>
    <row r="532" spans="2:17" x14ac:dyDescent="0.25">
      <c r="B532" s="2" t="s">
        <v>1336</v>
      </c>
      <c r="C532" s="2" t="s">
        <v>140</v>
      </c>
      <c r="D532" s="2" t="s">
        <v>122</v>
      </c>
      <c r="E532" s="2" t="s">
        <v>4646</v>
      </c>
      <c r="F532" s="2">
        <v>37</v>
      </c>
      <c r="G532" s="2">
        <v>32.26</v>
      </c>
      <c r="H532" s="2">
        <v>4.74</v>
      </c>
      <c r="I532" s="1">
        <v>12.8</v>
      </c>
      <c r="J532" s="26">
        <v>45766</v>
      </c>
      <c r="K532" s="22">
        <v>80650</v>
      </c>
      <c r="L532" s="18">
        <v>86.26</v>
      </c>
      <c r="M532" s="22">
        <v>68450</v>
      </c>
      <c r="N532" s="22">
        <v>12200</v>
      </c>
      <c r="O532" s="18">
        <v>13.05</v>
      </c>
      <c r="P532" s="52">
        <f>IF(COUNTIF(TblPurchases[BatchID],TblOutcomes[[#This Row],[BatchID]])&lt;&gt;1,"n.a.",TblOutcomes[[#This Row],[Qty Wasted]]*SUMIFS(TblPurchases[Unit Cost (CLP)],TblPurchases[BatchID],TblOutcomes[[#This Row],[BatchID]]))</f>
        <v>8769</v>
      </c>
      <c r="Q532" s="51">
        <f>IF(COUNTIF(TblPurchases[BatchID],TblOutcomes[[#This Row],[BatchID]])&lt;&gt;1,"n.a.",SUMIFS(TblPurchases[Purchase Date],TblPurchases[BatchID],TblOutcomes[[#This Row],[BatchID]]))</f>
        <v>45721</v>
      </c>
    </row>
    <row r="533" spans="2:17" x14ac:dyDescent="0.25">
      <c r="B533" s="2" t="s">
        <v>1337</v>
      </c>
      <c r="C533" s="2" t="s">
        <v>140</v>
      </c>
      <c r="D533" s="2" t="s">
        <v>122</v>
      </c>
      <c r="E533" s="2" t="s">
        <v>4647</v>
      </c>
      <c r="F533" s="2">
        <v>47</v>
      </c>
      <c r="G533" s="2">
        <v>47</v>
      </c>
      <c r="H533" s="2">
        <v>0</v>
      </c>
      <c r="I533" s="1">
        <v>0</v>
      </c>
      <c r="J533" s="26">
        <v>45737</v>
      </c>
      <c r="K533" s="22">
        <v>117500</v>
      </c>
      <c r="L533" s="18">
        <v>125.67</v>
      </c>
      <c r="M533" s="22">
        <v>86950</v>
      </c>
      <c r="N533" s="22">
        <v>30550</v>
      </c>
      <c r="O533" s="18">
        <v>32.67</v>
      </c>
      <c r="P533" s="52">
        <f>IF(COUNTIF(TblPurchases[BatchID],TblOutcomes[[#This Row],[BatchID]])&lt;&gt;1,"n.a.",TblOutcomes[[#This Row],[Qty Wasted]]*SUMIFS(TblPurchases[Unit Cost (CLP)],TblPurchases[BatchID],TblOutcomes[[#This Row],[BatchID]]))</f>
        <v>0</v>
      </c>
      <c r="Q533" s="51">
        <f>IF(COUNTIF(TblPurchases[BatchID],TblOutcomes[[#This Row],[BatchID]])&lt;&gt;1,"n.a.",SUMIFS(TblPurchases[Purchase Date],TblPurchases[BatchID],TblOutcomes[[#This Row],[BatchID]]))</f>
        <v>45729</v>
      </c>
    </row>
    <row r="534" spans="2:17" x14ac:dyDescent="0.25">
      <c r="B534" s="2" t="s">
        <v>1338</v>
      </c>
      <c r="C534" s="2" t="s">
        <v>140</v>
      </c>
      <c r="D534" s="2" t="s">
        <v>122</v>
      </c>
      <c r="E534" s="2" t="s">
        <v>4647</v>
      </c>
      <c r="F534" s="2">
        <v>42</v>
      </c>
      <c r="G534" s="2">
        <v>42</v>
      </c>
      <c r="H534" s="2">
        <v>0</v>
      </c>
      <c r="I534" s="1">
        <v>0</v>
      </c>
      <c r="J534" s="26">
        <v>45747</v>
      </c>
      <c r="K534" s="22">
        <v>105000</v>
      </c>
      <c r="L534" s="18">
        <v>112.3</v>
      </c>
      <c r="M534" s="22">
        <v>77700</v>
      </c>
      <c r="N534" s="22">
        <v>27300</v>
      </c>
      <c r="O534" s="18">
        <v>29.2</v>
      </c>
      <c r="P534" s="52">
        <f>IF(COUNTIF(TblPurchases[BatchID],TblOutcomes[[#This Row],[BatchID]])&lt;&gt;1,"n.a.",TblOutcomes[[#This Row],[Qty Wasted]]*SUMIFS(TblPurchases[Unit Cost (CLP)],TblPurchases[BatchID],TblOutcomes[[#This Row],[BatchID]]))</f>
        <v>0</v>
      </c>
      <c r="Q534" s="51">
        <f>IF(COUNTIF(TblPurchases[BatchID],TblOutcomes[[#This Row],[BatchID]])&lt;&gt;1,"n.a.",SUMIFS(TblPurchases[Purchase Date],TblPurchases[BatchID],TblOutcomes[[#This Row],[BatchID]]))</f>
        <v>45739</v>
      </c>
    </row>
    <row r="535" spans="2:17" x14ac:dyDescent="0.25">
      <c r="B535" s="2" t="s">
        <v>1339</v>
      </c>
      <c r="C535" s="2" t="s">
        <v>140</v>
      </c>
      <c r="D535" s="2" t="s">
        <v>122</v>
      </c>
      <c r="E535" s="2" t="s">
        <v>4647</v>
      </c>
      <c r="F535" s="2">
        <v>15</v>
      </c>
      <c r="G535" s="2">
        <v>15</v>
      </c>
      <c r="H535" s="2">
        <v>0</v>
      </c>
      <c r="I535" s="1">
        <v>0</v>
      </c>
      <c r="J535" s="26">
        <v>45753</v>
      </c>
      <c r="K535" s="22">
        <v>37500</v>
      </c>
      <c r="L535" s="18">
        <v>40.11</v>
      </c>
      <c r="M535" s="22">
        <v>27750</v>
      </c>
      <c r="N535" s="22">
        <v>9750</v>
      </c>
      <c r="O535" s="18">
        <v>10.43</v>
      </c>
      <c r="P535" s="52">
        <f>IF(COUNTIF(TblPurchases[BatchID],TblOutcomes[[#This Row],[BatchID]])&lt;&gt;1,"n.a.",TblOutcomes[[#This Row],[Qty Wasted]]*SUMIFS(TblPurchases[Unit Cost (CLP)],TblPurchases[BatchID],TblOutcomes[[#This Row],[BatchID]]))</f>
        <v>0</v>
      </c>
      <c r="Q535" s="51">
        <f>IF(COUNTIF(TblPurchases[BatchID],TblOutcomes[[#This Row],[BatchID]])&lt;&gt;1,"n.a.",SUMIFS(TblPurchases[Purchase Date],TblPurchases[BatchID],TblOutcomes[[#This Row],[BatchID]]))</f>
        <v>45748</v>
      </c>
    </row>
    <row r="536" spans="2:17" x14ac:dyDescent="0.25">
      <c r="B536" s="2" t="s">
        <v>1340</v>
      </c>
      <c r="C536" s="2" t="s">
        <v>140</v>
      </c>
      <c r="D536" s="2" t="s">
        <v>122</v>
      </c>
      <c r="E536" s="2" t="s">
        <v>4647</v>
      </c>
      <c r="F536" s="2">
        <v>18</v>
      </c>
      <c r="G536" s="2">
        <v>18</v>
      </c>
      <c r="H536" s="2">
        <v>0</v>
      </c>
      <c r="I536" s="1">
        <v>0</v>
      </c>
      <c r="J536" s="26">
        <v>45762</v>
      </c>
      <c r="K536" s="22">
        <v>45000</v>
      </c>
      <c r="L536" s="18">
        <v>48.13</v>
      </c>
      <c r="M536" s="22">
        <v>34200</v>
      </c>
      <c r="N536" s="22">
        <v>10800</v>
      </c>
      <c r="O536" s="18">
        <v>11.55</v>
      </c>
      <c r="P536" s="52">
        <f>IF(COUNTIF(TblPurchases[BatchID],TblOutcomes[[#This Row],[BatchID]])&lt;&gt;1,"n.a.",TblOutcomes[[#This Row],[Qty Wasted]]*SUMIFS(TblPurchases[Unit Cost (CLP)],TblPurchases[BatchID],TblOutcomes[[#This Row],[BatchID]]))</f>
        <v>0</v>
      </c>
      <c r="Q536" s="51">
        <f>IF(COUNTIF(TblPurchases[BatchID],TblOutcomes[[#This Row],[BatchID]])&lt;&gt;1,"n.a.",SUMIFS(TblPurchases[Purchase Date],TblPurchases[BatchID],TblOutcomes[[#This Row],[BatchID]]))</f>
        <v>45757</v>
      </c>
    </row>
    <row r="537" spans="2:17" x14ac:dyDescent="0.25">
      <c r="B537" s="2" t="s">
        <v>1341</v>
      </c>
      <c r="C537" s="2" t="s">
        <v>140</v>
      </c>
      <c r="D537" s="2" t="s">
        <v>122</v>
      </c>
      <c r="E537" s="2" t="s">
        <v>4646</v>
      </c>
      <c r="F537" s="2">
        <v>14</v>
      </c>
      <c r="G537" s="2">
        <v>12.57</v>
      </c>
      <c r="H537" s="2">
        <v>1.43</v>
      </c>
      <c r="I537" s="1">
        <v>10.199999999999999</v>
      </c>
      <c r="J537" s="26">
        <v>45812</v>
      </c>
      <c r="K537" s="22">
        <v>31425</v>
      </c>
      <c r="L537" s="18">
        <v>33.61</v>
      </c>
      <c r="M537" s="22">
        <v>25900</v>
      </c>
      <c r="N537" s="22">
        <v>5525</v>
      </c>
      <c r="O537" s="18">
        <v>5.91</v>
      </c>
      <c r="P537" s="52">
        <f>IF(COUNTIF(TblPurchases[BatchID],TblOutcomes[[#This Row],[BatchID]])&lt;&gt;1,"n.a.",TblOutcomes[[#This Row],[Qty Wasted]]*SUMIFS(TblPurchases[Unit Cost (CLP)],TblPurchases[BatchID],TblOutcomes[[#This Row],[BatchID]]))</f>
        <v>2645.5</v>
      </c>
      <c r="Q537" s="51">
        <f>IF(COUNTIF(TblPurchases[BatchID],TblOutcomes[[#This Row],[BatchID]])&lt;&gt;1,"n.a.",SUMIFS(TblPurchases[Purchase Date],TblPurchases[BatchID],TblOutcomes[[#This Row],[BatchID]]))</f>
        <v>45767</v>
      </c>
    </row>
    <row r="538" spans="2:17" x14ac:dyDescent="0.25">
      <c r="B538" s="2" t="s">
        <v>1342</v>
      </c>
      <c r="C538" s="2" t="s">
        <v>140</v>
      </c>
      <c r="D538" s="2" t="s">
        <v>122</v>
      </c>
      <c r="E538" s="2" t="s">
        <v>4647</v>
      </c>
      <c r="F538" s="2">
        <v>14</v>
      </c>
      <c r="G538" s="2">
        <v>14</v>
      </c>
      <c r="H538" s="2">
        <v>0</v>
      </c>
      <c r="I538" s="1">
        <v>0</v>
      </c>
      <c r="J538" s="26">
        <v>45785</v>
      </c>
      <c r="K538" s="22">
        <v>35000</v>
      </c>
      <c r="L538" s="18">
        <v>37.43</v>
      </c>
      <c r="M538" s="22">
        <v>25900</v>
      </c>
      <c r="N538" s="22">
        <v>9100</v>
      </c>
      <c r="O538" s="18">
        <v>9.73</v>
      </c>
      <c r="P538" s="52">
        <f>IF(COUNTIF(TblPurchases[BatchID],TblOutcomes[[#This Row],[BatchID]])&lt;&gt;1,"n.a.",TblOutcomes[[#This Row],[Qty Wasted]]*SUMIFS(TblPurchases[Unit Cost (CLP)],TblPurchases[BatchID],TblOutcomes[[#This Row],[BatchID]]))</f>
        <v>0</v>
      </c>
      <c r="Q538" s="51">
        <f>IF(COUNTIF(TblPurchases[BatchID],TblOutcomes[[#This Row],[BatchID]])&lt;&gt;1,"n.a.",SUMIFS(TblPurchases[Purchase Date],TblPurchases[BatchID],TblOutcomes[[#This Row],[BatchID]]))</f>
        <v>45777</v>
      </c>
    </row>
    <row r="539" spans="2:17" x14ac:dyDescent="0.25">
      <c r="B539" s="2" t="s">
        <v>1343</v>
      </c>
      <c r="C539" s="2" t="s">
        <v>140</v>
      </c>
      <c r="D539" s="2" t="s">
        <v>122</v>
      </c>
      <c r="E539" s="2" t="s">
        <v>4647</v>
      </c>
      <c r="F539" s="2">
        <v>14</v>
      </c>
      <c r="G539" s="2">
        <v>14</v>
      </c>
      <c r="H539" s="2">
        <v>0</v>
      </c>
      <c r="I539" s="1">
        <v>0</v>
      </c>
      <c r="J539" s="26">
        <v>45796</v>
      </c>
      <c r="K539" s="22">
        <v>35000</v>
      </c>
      <c r="L539" s="18">
        <v>37.43</v>
      </c>
      <c r="M539" s="22">
        <v>25900</v>
      </c>
      <c r="N539" s="22">
        <v>9100</v>
      </c>
      <c r="O539" s="18">
        <v>9.73</v>
      </c>
      <c r="P539" s="52">
        <f>IF(COUNTIF(TblPurchases[BatchID],TblOutcomes[[#This Row],[BatchID]])&lt;&gt;1,"n.a.",TblOutcomes[[#This Row],[Qty Wasted]]*SUMIFS(TblPurchases[Unit Cost (CLP)],TblPurchases[BatchID],TblOutcomes[[#This Row],[BatchID]]))</f>
        <v>0</v>
      </c>
      <c r="Q539" s="51">
        <f>IF(COUNTIF(TblPurchases[BatchID],TblOutcomes[[#This Row],[BatchID]])&lt;&gt;1,"n.a.",SUMIFS(TblPurchases[Purchase Date],TblPurchases[BatchID],TblOutcomes[[#This Row],[BatchID]]))</f>
        <v>45789</v>
      </c>
    </row>
    <row r="540" spans="2:17" x14ac:dyDescent="0.25">
      <c r="B540" s="2" t="s">
        <v>1344</v>
      </c>
      <c r="C540" s="2" t="s">
        <v>140</v>
      </c>
      <c r="D540" s="2" t="s">
        <v>122</v>
      </c>
      <c r="E540" s="2" t="s">
        <v>4647</v>
      </c>
      <c r="F540" s="2">
        <v>15</v>
      </c>
      <c r="G540" s="2">
        <v>15</v>
      </c>
      <c r="H540" s="2">
        <v>0</v>
      </c>
      <c r="I540" s="1">
        <v>0</v>
      </c>
      <c r="J540" s="26">
        <v>45804</v>
      </c>
      <c r="K540" s="22">
        <v>37500</v>
      </c>
      <c r="L540" s="18">
        <v>40.11</v>
      </c>
      <c r="M540" s="22">
        <v>27750</v>
      </c>
      <c r="N540" s="22">
        <v>9750</v>
      </c>
      <c r="O540" s="18">
        <v>10.43</v>
      </c>
      <c r="P540" s="52">
        <f>IF(COUNTIF(TblPurchases[BatchID],TblOutcomes[[#This Row],[BatchID]])&lt;&gt;1,"n.a.",TblOutcomes[[#This Row],[Qty Wasted]]*SUMIFS(TblPurchases[Unit Cost (CLP)],TblPurchases[BatchID],TblOutcomes[[#This Row],[BatchID]]))</f>
        <v>0</v>
      </c>
      <c r="Q540" s="51">
        <f>IF(COUNTIF(TblPurchases[BatchID],TblOutcomes[[#This Row],[BatchID]])&lt;&gt;1,"n.a.",SUMIFS(TblPurchases[Purchase Date],TblPurchases[BatchID],TblOutcomes[[#This Row],[BatchID]]))</f>
        <v>45798</v>
      </c>
    </row>
    <row r="541" spans="2:17" x14ac:dyDescent="0.25">
      <c r="B541" s="2" t="s">
        <v>1345</v>
      </c>
      <c r="C541" s="2" t="s">
        <v>140</v>
      </c>
      <c r="D541" s="2" t="s">
        <v>122</v>
      </c>
      <c r="E541" s="2" t="s">
        <v>4646</v>
      </c>
      <c r="F541" s="2">
        <v>17</v>
      </c>
      <c r="G541" s="2">
        <v>10.88</v>
      </c>
      <c r="H541" s="2">
        <v>6.12</v>
      </c>
      <c r="I541" s="1">
        <v>36</v>
      </c>
      <c r="J541" s="26">
        <v>45856</v>
      </c>
      <c r="K541" s="22">
        <v>27200</v>
      </c>
      <c r="L541" s="18">
        <v>29.09</v>
      </c>
      <c r="M541" s="22">
        <v>31450</v>
      </c>
      <c r="N541" s="22">
        <v>-4250</v>
      </c>
      <c r="O541" s="18">
        <v>-4.55</v>
      </c>
      <c r="P541" s="52">
        <f>IF(COUNTIF(TblPurchases[BatchID],TblOutcomes[[#This Row],[BatchID]])&lt;&gt;1,"n.a.",TblOutcomes[[#This Row],[Qty Wasted]]*SUMIFS(TblPurchases[Unit Cost (CLP)],TblPurchases[BatchID],TblOutcomes[[#This Row],[BatchID]]))</f>
        <v>11322</v>
      </c>
      <c r="Q541" s="51">
        <f>IF(COUNTIF(TblPurchases[BatchID],TblOutcomes[[#This Row],[BatchID]])&lt;&gt;1,"n.a.",SUMIFS(TblPurchases[Purchase Date],TblPurchases[BatchID],TblOutcomes[[#This Row],[BatchID]]))</f>
        <v>45811</v>
      </c>
    </row>
    <row r="542" spans="2:17" x14ac:dyDescent="0.25">
      <c r="B542" s="2" t="s">
        <v>1346</v>
      </c>
      <c r="C542" s="2" t="s">
        <v>140</v>
      </c>
      <c r="D542" s="2" t="s">
        <v>122</v>
      </c>
      <c r="E542" s="2" t="s">
        <v>4646</v>
      </c>
      <c r="F542" s="2">
        <v>14</v>
      </c>
      <c r="G542" s="2">
        <v>11.65</v>
      </c>
      <c r="H542" s="2">
        <v>2.35</v>
      </c>
      <c r="I542" s="1">
        <v>16.8</v>
      </c>
      <c r="J542" s="26">
        <v>45866</v>
      </c>
      <c r="K542" s="22">
        <v>29125</v>
      </c>
      <c r="L542" s="18">
        <v>31.15</v>
      </c>
      <c r="M542" s="22">
        <v>25900</v>
      </c>
      <c r="N542" s="22">
        <v>3225</v>
      </c>
      <c r="O542" s="18">
        <v>3.45</v>
      </c>
      <c r="P542" s="52">
        <f>IF(COUNTIF(TblPurchases[BatchID],TblOutcomes[[#This Row],[BatchID]])&lt;&gt;1,"n.a.",TblOutcomes[[#This Row],[Qty Wasted]]*SUMIFS(TblPurchases[Unit Cost (CLP)],TblPurchases[BatchID],TblOutcomes[[#This Row],[BatchID]]))</f>
        <v>4347.5</v>
      </c>
      <c r="Q542" s="51">
        <f>IF(COUNTIF(TblPurchases[BatchID],TblOutcomes[[#This Row],[BatchID]])&lt;&gt;1,"n.a.",SUMIFS(TblPurchases[Purchase Date],TblPurchases[BatchID],TblOutcomes[[#This Row],[BatchID]]))</f>
        <v>45821</v>
      </c>
    </row>
    <row r="543" spans="2:17" x14ac:dyDescent="0.25">
      <c r="B543" s="2" t="s">
        <v>1347</v>
      </c>
      <c r="C543" s="2" t="s">
        <v>140</v>
      </c>
      <c r="D543" s="2" t="s">
        <v>122</v>
      </c>
      <c r="E543" s="2" t="s">
        <v>4647</v>
      </c>
      <c r="F543" s="2">
        <v>15</v>
      </c>
      <c r="G543" s="2">
        <v>15</v>
      </c>
      <c r="H543" s="2">
        <v>0</v>
      </c>
      <c r="I543" s="1">
        <v>0</v>
      </c>
      <c r="J543" s="26">
        <v>45841</v>
      </c>
      <c r="K543" s="22">
        <v>37500</v>
      </c>
      <c r="L543" s="18">
        <v>40.11</v>
      </c>
      <c r="M543" s="22">
        <v>27750</v>
      </c>
      <c r="N543" s="22">
        <v>9750</v>
      </c>
      <c r="O543" s="18">
        <v>10.43</v>
      </c>
      <c r="P543" s="52">
        <f>IF(COUNTIF(TblPurchases[BatchID],TblOutcomes[[#This Row],[BatchID]])&lt;&gt;1,"n.a.",TblOutcomes[[#This Row],[Qty Wasted]]*SUMIFS(TblPurchases[Unit Cost (CLP)],TblPurchases[BatchID],TblOutcomes[[#This Row],[BatchID]]))</f>
        <v>0</v>
      </c>
      <c r="Q543" s="51">
        <f>IF(COUNTIF(TblPurchases[BatchID],TblOutcomes[[#This Row],[BatchID]])&lt;&gt;1,"n.a.",SUMIFS(TblPurchases[Purchase Date],TblPurchases[BatchID],TblOutcomes[[#This Row],[BatchID]]))</f>
        <v>45830</v>
      </c>
    </row>
    <row r="544" spans="2:17" x14ac:dyDescent="0.25">
      <c r="B544" s="2" t="s">
        <v>1348</v>
      </c>
      <c r="C544" s="2" t="s">
        <v>142</v>
      </c>
      <c r="D544" s="2" t="s">
        <v>122</v>
      </c>
      <c r="E544" s="2" t="s">
        <v>4646</v>
      </c>
      <c r="F544" s="2">
        <v>16</v>
      </c>
      <c r="G544" s="2">
        <v>12.69</v>
      </c>
      <c r="H544" s="2">
        <v>3.31</v>
      </c>
      <c r="I544" s="1">
        <v>20.7</v>
      </c>
      <c r="J544" s="26">
        <v>45161</v>
      </c>
      <c r="K544" s="22">
        <v>44415</v>
      </c>
      <c r="L544" s="18">
        <v>47.5</v>
      </c>
      <c r="M544" s="22">
        <v>39200</v>
      </c>
      <c r="N544" s="22">
        <v>5215</v>
      </c>
      <c r="O544" s="18">
        <v>5.58</v>
      </c>
      <c r="P544" s="52">
        <f>IF(COUNTIF(TblPurchases[BatchID],TblOutcomes[[#This Row],[BatchID]])&lt;&gt;1,"n.a.",TblOutcomes[[#This Row],[Qty Wasted]]*SUMIFS(TblPurchases[Unit Cost (CLP)],TblPurchases[BatchID],TblOutcomes[[#This Row],[BatchID]]))</f>
        <v>8109.5</v>
      </c>
      <c r="Q544" s="51">
        <f>IF(COUNTIF(TblPurchases[BatchID],TblOutcomes[[#This Row],[BatchID]])&lt;&gt;1,"n.a.",SUMIFS(TblPurchases[Purchase Date],TblPurchases[BatchID],TblOutcomes[[#This Row],[BatchID]]))</f>
        <v>45116</v>
      </c>
    </row>
    <row r="545" spans="2:17" x14ac:dyDescent="0.25">
      <c r="B545" s="2" t="s">
        <v>1349</v>
      </c>
      <c r="C545" s="2" t="s">
        <v>142</v>
      </c>
      <c r="D545" s="2" t="s">
        <v>122</v>
      </c>
      <c r="E545" s="2" t="s">
        <v>4646</v>
      </c>
      <c r="F545" s="2">
        <v>17</v>
      </c>
      <c r="G545" s="2">
        <v>14.6</v>
      </c>
      <c r="H545" s="2">
        <v>2.4</v>
      </c>
      <c r="I545" s="1">
        <v>14.1</v>
      </c>
      <c r="J545" s="26">
        <v>45171</v>
      </c>
      <c r="K545" s="22">
        <v>51100</v>
      </c>
      <c r="L545" s="18">
        <v>54.65</v>
      </c>
      <c r="M545" s="22">
        <v>41650</v>
      </c>
      <c r="N545" s="22">
        <v>9450</v>
      </c>
      <c r="O545" s="18">
        <v>10.11</v>
      </c>
      <c r="P545" s="52">
        <f>IF(COUNTIF(TblPurchases[BatchID],TblOutcomes[[#This Row],[BatchID]])&lt;&gt;1,"n.a.",TblOutcomes[[#This Row],[Qty Wasted]]*SUMIFS(TblPurchases[Unit Cost (CLP)],TblPurchases[BatchID],TblOutcomes[[#This Row],[BatchID]]))</f>
        <v>5880</v>
      </c>
      <c r="Q545" s="51">
        <f>IF(COUNTIF(TblPurchases[BatchID],TblOutcomes[[#This Row],[BatchID]])&lt;&gt;1,"n.a.",SUMIFS(TblPurchases[Purchase Date],TblPurchases[BatchID],TblOutcomes[[#This Row],[BatchID]]))</f>
        <v>45126</v>
      </c>
    </row>
    <row r="546" spans="2:17" x14ac:dyDescent="0.25">
      <c r="B546" s="2" t="s">
        <v>1350</v>
      </c>
      <c r="C546" s="2" t="s">
        <v>142</v>
      </c>
      <c r="D546" s="2" t="s">
        <v>122</v>
      </c>
      <c r="E546" s="2" t="s">
        <v>4646</v>
      </c>
      <c r="F546" s="2">
        <v>15</v>
      </c>
      <c r="G546" s="2">
        <v>11.29</v>
      </c>
      <c r="H546" s="2">
        <v>3.71</v>
      </c>
      <c r="I546" s="1">
        <v>24.7</v>
      </c>
      <c r="J546" s="26">
        <v>45180</v>
      </c>
      <c r="K546" s="22">
        <v>39515</v>
      </c>
      <c r="L546" s="18">
        <v>42.26</v>
      </c>
      <c r="M546" s="22">
        <v>36750</v>
      </c>
      <c r="N546" s="22">
        <v>2765</v>
      </c>
      <c r="O546" s="18">
        <v>2.96</v>
      </c>
      <c r="P546" s="52">
        <f>IF(COUNTIF(TblPurchases[BatchID],TblOutcomes[[#This Row],[BatchID]])&lt;&gt;1,"n.a.",TblOutcomes[[#This Row],[Qty Wasted]]*SUMIFS(TblPurchases[Unit Cost (CLP)],TblPurchases[BatchID],TblOutcomes[[#This Row],[BatchID]]))</f>
        <v>9089.5</v>
      </c>
      <c r="Q546" s="51">
        <f>IF(COUNTIF(TblPurchases[BatchID],TblOutcomes[[#This Row],[BatchID]])&lt;&gt;1,"n.a.",SUMIFS(TblPurchases[Purchase Date],TblPurchases[BatchID],TblOutcomes[[#This Row],[BatchID]]))</f>
        <v>45135</v>
      </c>
    </row>
    <row r="547" spans="2:17" x14ac:dyDescent="0.25">
      <c r="B547" s="2" t="s">
        <v>1351</v>
      </c>
      <c r="C547" s="2" t="s">
        <v>142</v>
      </c>
      <c r="D547" s="2" t="s">
        <v>122</v>
      </c>
      <c r="E547" s="2" t="s">
        <v>4647</v>
      </c>
      <c r="F547" s="2">
        <v>14</v>
      </c>
      <c r="G547" s="2">
        <v>14</v>
      </c>
      <c r="H547" s="2">
        <v>0</v>
      </c>
      <c r="I547" s="1">
        <v>0</v>
      </c>
      <c r="J547" s="26">
        <v>45157</v>
      </c>
      <c r="K547" s="22">
        <v>49000</v>
      </c>
      <c r="L547" s="18">
        <v>52.41</v>
      </c>
      <c r="M547" s="22">
        <v>34300</v>
      </c>
      <c r="N547" s="22">
        <v>14700</v>
      </c>
      <c r="O547" s="18">
        <v>15.72</v>
      </c>
      <c r="P547" s="52">
        <f>IF(COUNTIF(TblPurchases[BatchID],TblOutcomes[[#This Row],[BatchID]])&lt;&gt;1,"n.a.",TblOutcomes[[#This Row],[Qty Wasted]]*SUMIFS(TblPurchases[Unit Cost (CLP)],TblPurchases[BatchID],TblOutcomes[[#This Row],[BatchID]]))</f>
        <v>0</v>
      </c>
      <c r="Q547" s="51">
        <f>IF(COUNTIF(TblPurchases[BatchID],TblOutcomes[[#This Row],[BatchID]])&lt;&gt;1,"n.a.",SUMIFS(TblPurchases[Purchase Date],TblPurchases[BatchID],TblOutcomes[[#This Row],[BatchID]]))</f>
        <v>45143</v>
      </c>
    </row>
    <row r="548" spans="2:17" x14ac:dyDescent="0.25">
      <c r="B548" s="2" t="s">
        <v>1352</v>
      </c>
      <c r="C548" s="2" t="s">
        <v>142</v>
      </c>
      <c r="D548" s="2" t="s">
        <v>122</v>
      </c>
      <c r="E548" s="2" t="s">
        <v>4646</v>
      </c>
      <c r="F548" s="2">
        <v>13</v>
      </c>
      <c r="G548" s="2">
        <v>10.57</v>
      </c>
      <c r="H548" s="2">
        <v>2.4300000000000002</v>
      </c>
      <c r="I548" s="1">
        <v>18.7</v>
      </c>
      <c r="J548" s="26">
        <v>45196</v>
      </c>
      <c r="K548" s="22">
        <v>36995</v>
      </c>
      <c r="L548" s="18">
        <v>39.57</v>
      </c>
      <c r="M548" s="22">
        <v>31850</v>
      </c>
      <c r="N548" s="22">
        <v>5145</v>
      </c>
      <c r="O548" s="18">
        <v>5.5</v>
      </c>
      <c r="P548" s="52">
        <f>IF(COUNTIF(TblPurchases[BatchID],TblOutcomes[[#This Row],[BatchID]])&lt;&gt;1,"n.a.",TblOutcomes[[#This Row],[Qty Wasted]]*SUMIFS(TblPurchases[Unit Cost (CLP)],TblPurchases[BatchID],TblOutcomes[[#This Row],[BatchID]]))</f>
        <v>5953.5</v>
      </c>
      <c r="Q548" s="51">
        <f>IF(COUNTIF(TblPurchases[BatchID],TblOutcomes[[#This Row],[BatchID]])&lt;&gt;1,"n.a.",SUMIFS(TblPurchases[Purchase Date],TblPurchases[BatchID],TblOutcomes[[#This Row],[BatchID]]))</f>
        <v>45151</v>
      </c>
    </row>
    <row r="549" spans="2:17" x14ac:dyDescent="0.25">
      <c r="B549" s="2" t="s">
        <v>1353</v>
      </c>
      <c r="C549" s="2" t="s">
        <v>142</v>
      </c>
      <c r="D549" s="2" t="s">
        <v>122</v>
      </c>
      <c r="E549" s="2" t="s">
        <v>4647</v>
      </c>
      <c r="F549" s="2">
        <v>13</v>
      </c>
      <c r="G549" s="2">
        <v>13</v>
      </c>
      <c r="H549" s="2">
        <v>0</v>
      </c>
      <c r="I549" s="1">
        <v>0</v>
      </c>
      <c r="J549" s="26">
        <v>45171</v>
      </c>
      <c r="K549" s="22">
        <v>45500</v>
      </c>
      <c r="L549" s="18">
        <v>48.66</v>
      </c>
      <c r="M549" s="22">
        <v>31850</v>
      </c>
      <c r="N549" s="22">
        <v>13650</v>
      </c>
      <c r="O549" s="18">
        <v>14.6</v>
      </c>
      <c r="P549" s="52">
        <f>IF(COUNTIF(TblPurchases[BatchID],TblOutcomes[[#This Row],[BatchID]])&lt;&gt;1,"n.a.",TblOutcomes[[#This Row],[Qty Wasted]]*SUMIFS(TblPurchases[Unit Cost (CLP)],TblPurchases[BatchID],TblOutcomes[[#This Row],[BatchID]]))</f>
        <v>0</v>
      </c>
      <c r="Q549" s="51">
        <f>IF(COUNTIF(TblPurchases[BatchID],TblOutcomes[[#This Row],[BatchID]])&lt;&gt;1,"n.a.",SUMIFS(TblPurchases[Purchase Date],TblPurchases[BatchID],TblOutcomes[[#This Row],[BatchID]]))</f>
        <v>45160</v>
      </c>
    </row>
    <row r="550" spans="2:17" x14ac:dyDescent="0.25">
      <c r="B550" s="2" t="s">
        <v>1354</v>
      </c>
      <c r="C550" s="2" t="s">
        <v>142</v>
      </c>
      <c r="D550" s="2" t="s">
        <v>122</v>
      </c>
      <c r="E550" s="2" t="s">
        <v>4646</v>
      </c>
      <c r="F550" s="2">
        <v>19</v>
      </c>
      <c r="G550" s="2">
        <v>14.97</v>
      </c>
      <c r="H550" s="2">
        <v>4.03</v>
      </c>
      <c r="I550" s="1">
        <v>21.2</v>
      </c>
      <c r="J550" s="26">
        <v>45217</v>
      </c>
      <c r="K550" s="22">
        <v>52395</v>
      </c>
      <c r="L550" s="18">
        <v>56.04</v>
      </c>
      <c r="M550" s="22">
        <v>46550</v>
      </c>
      <c r="N550" s="22">
        <v>5845</v>
      </c>
      <c r="O550" s="18">
        <v>6.25</v>
      </c>
      <c r="P550" s="52">
        <f>IF(COUNTIF(TblPurchases[BatchID],TblOutcomes[[#This Row],[BatchID]])&lt;&gt;1,"n.a.",TblOutcomes[[#This Row],[Qty Wasted]]*SUMIFS(TblPurchases[Unit Cost (CLP)],TblPurchases[BatchID],TblOutcomes[[#This Row],[BatchID]]))</f>
        <v>9873.5</v>
      </c>
      <c r="Q550" s="51">
        <f>IF(COUNTIF(TblPurchases[BatchID],TblOutcomes[[#This Row],[BatchID]])&lt;&gt;1,"n.a.",SUMIFS(TblPurchases[Purchase Date],TblPurchases[BatchID],TblOutcomes[[#This Row],[BatchID]]))</f>
        <v>45172</v>
      </c>
    </row>
    <row r="551" spans="2:17" x14ac:dyDescent="0.25">
      <c r="B551" s="2" t="s">
        <v>1355</v>
      </c>
      <c r="C551" s="2" t="s">
        <v>142</v>
      </c>
      <c r="D551" s="2" t="s">
        <v>122</v>
      </c>
      <c r="E551" s="2" t="s">
        <v>4646</v>
      </c>
      <c r="F551" s="2">
        <v>17</v>
      </c>
      <c r="G551" s="2">
        <v>15.79</v>
      </c>
      <c r="H551" s="2">
        <v>1.21</v>
      </c>
      <c r="I551" s="1">
        <v>7.1</v>
      </c>
      <c r="J551" s="26">
        <v>45227</v>
      </c>
      <c r="K551" s="22">
        <v>55265</v>
      </c>
      <c r="L551" s="18">
        <v>59.11</v>
      </c>
      <c r="M551" s="22">
        <v>41650</v>
      </c>
      <c r="N551" s="22">
        <v>13615</v>
      </c>
      <c r="O551" s="18">
        <v>14.56</v>
      </c>
      <c r="P551" s="52">
        <f>IF(COUNTIF(TblPurchases[BatchID],TblOutcomes[[#This Row],[BatchID]])&lt;&gt;1,"n.a.",TblOutcomes[[#This Row],[Qty Wasted]]*SUMIFS(TblPurchases[Unit Cost (CLP)],TblPurchases[BatchID],TblOutcomes[[#This Row],[BatchID]]))</f>
        <v>2964.5</v>
      </c>
      <c r="Q551" s="51">
        <f>IF(COUNTIF(TblPurchases[BatchID],TblOutcomes[[#This Row],[BatchID]])&lt;&gt;1,"n.a.",SUMIFS(TblPurchases[Purchase Date],TblPurchases[BatchID],TblOutcomes[[#This Row],[BatchID]]))</f>
        <v>45182</v>
      </c>
    </row>
    <row r="552" spans="2:17" x14ac:dyDescent="0.25">
      <c r="B552" s="2" t="s">
        <v>1356</v>
      </c>
      <c r="C552" s="2" t="s">
        <v>142</v>
      </c>
      <c r="D552" s="2" t="s">
        <v>122</v>
      </c>
      <c r="E552" s="2" t="s">
        <v>4646</v>
      </c>
      <c r="F552" s="2">
        <v>18</v>
      </c>
      <c r="G552" s="2">
        <v>17.05</v>
      </c>
      <c r="H552" s="2">
        <v>0.95</v>
      </c>
      <c r="I552" s="1">
        <v>5.3</v>
      </c>
      <c r="J552" s="26">
        <v>45237</v>
      </c>
      <c r="K552" s="22">
        <v>59675</v>
      </c>
      <c r="L552" s="18">
        <v>63.82</v>
      </c>
      <c r="M552" s="22">
        <v>44100</v>
      </c>
      <c r="N552" s="22">
        <v>15575</v>
      </c>
      <c r="O552" s="18">
        <v>16.66</v>
      </c>
      <c r="P552" s="52">
        <f>IF(COUNTIF(TblPurchases[BatchID],TblOutcomes[[#This Row],[BatchID]])&lt;&gt;1,"n.a.",TblOutcomes[[#This Row],[Qty Wasted]]*SUMIFS(TblPurchases[Unit Cost (CLP)],TblPurchases[BatchID],TblOutcomes[[#This Row],[BatchID]]))</f>
        <v>2327.5</v>
      </c>
      <c r="Q552" s="51">
        <f>IF(COUNTIF(TblPurchases[BatchID],TblOutcomes[[#This Row],[BatchID]])&lt;&gt;1,"n.a.",SUMIFS(TblPurchases[Purchase Date],TblPurchases[BatchID],TblOutcomes[[#This Row],[BatchID]]))</f>
        <v>45192</v>
      </c>
    </row>
    <row r="553" spans="2:17" x14ac:dyDescent="0.25">
      <c r="B553" s="2" t="s">
        <v>1357</v>
      </c>
      <c r="C553" s="2" t="s">
        <v>142</v>
      </c>
      <c r="D553" s="2" t="s">
        <v>122</v>
      </c>
      <c r="E553" s="2" t="s">
        <v>4646</v>
      </c>
      <c r="F553" s="2">
        <v>40</v>
      </c>
      <c r="G553" s="2">
        <v>38</v>
      </c>
      <c r="H553" s="2">
        <v>2</v>
      </c>
      <c r="I553" s="1">
        <v>5</v>
      </c>
      <c r="J553" s="26">
        <v>45245</v>
      </c>
      <c r="K553" s="22">
        <v>133000</v>
      </c>
      <c r="L553" s="18">
        <v>142.25</v>
      </c>
      <c r="M553" s="22">
        <v>106000</v>
      </c>
      <c r="N553" s="22">
        <v>27000</v>
      </c>
      <c r="O553" s="18">
        <v>28.88</v>
      </c>
      <c r="P553" s="52">
        <f>IF(COUNTIF(TblPurchases[BatchID],TblOutcomes[[#This Row],[BatchID]])&lt;&gt;1,"n.a.",TblOutcomes[[#This Row],[Qty Wasted]]*SUMIFS(TblPurchases[Unit Cost (CLP)],TblPurchases[BatchID],TblOutcomes[[#This Row],[BatchID]]))</f>
        <v>5300</v>
      </c>
      <c r="Q553" s="51">
        <f>IF(COUNTIF(TblPurchases[BatchID],TblOutcomes[[#This Row],[BatchID]])&lt;&gt;1,"n.a.",SUMIFS(TblPurchases[Purchase Date],TblPurchases[BatchID],TblOutcomes[[#This Row],[BatchID]]))</f>
        <v>45200</v>
      </c>
    </row>
    <row r="554" spans="2:17" x14ac:dyDescent="0.25">
      <c r="B554" s="2" t="s">
        <v>1358</v>
      </c>
      <c r="C554" s="2" t="s">
        <v>142</v>
      </c>
      <c r="D554" s="2" t="s">
        <v>122</v>
      </c>
      <c r="E554" s="2" t="s">
        <v>4646</v>
      </c>
      <c r="F554" s="2">
        <v>43</v>
      </c>
      <c r="G554" s="2">
        <v>35.39</v>
      </c>
      <c r="H554" s="2">
        <v>7.61</v>
      </c>
      <c r="I554" s="1">
        <v>17.7</v>
      </c>
      <c r="J554" s="26">
        <v>45254</v>
      </c>
      <c r="K554" s="22">
        <v>123865</v>
      </c>
      <c r="L554" s="18">
        <v>132.47999999999999</v>
      </c>
      <c r="M554" s="22">
        <v>105350</v>
      </c>
      <c r="N554" s="22">
        <v>18515</v>
      </c>
      <c r="O554" s="18">
        <v>19.8</v>
      </c>
      <c r="P554" s="52">
        <f>IF(COUNTIF(TblPurchases[BatchID],TblOutcomes[[#This Row],[BatchID]])&lt;&gt;1,"n.a.",TblOutcomes[[#This Row],[Qty Wasted]]*SUMIFS(TblPurchases[Unit Cost (CLP)],TblPurchases[BatchID],TblOutcomes[[#This Row],[BatchID]]))</f>
        <v>18644.5</v>
      </c>
      <c r="Q554" s="51">
        <f>IF(COUNTIF(TblPurchases[BatchID],TblOutcomes[[#This Row],[BatchID]])&lt;&gt;1,"n.a.",SUMIFS(TblPurchases[Purchase Date],TblPurchases[BatchID],TblOutcomes[[#This Row],[BatchID]]))</f>
        <v>45209</v>
      </c>
    </row>
    <row r="555" spans="2:17" x14ac:dyDescent="0.25">
      <c r="B555" s="2" t="s">
        <v>1359</v>
      </c>
      <c r="C555" s="2" t="s">
        <v>142</v>
      </c>
      <c r="D555" s="2" t="s">
        <v>122</v>
      </c>
      <c r="E555" s="2" t="s">
        <v>4647</v>
      </c>
      <c r="F555" s="2">
        <v>41</v>
      </c>
      <c r="G555" s="2">
        <v>41</v>
      </c>
      <c r="H555" s="2">
        <v>0</v>
      </c>
      <c r="I555" s="1">
        <v>0</v>
      </c>
      <c r="J555" s="26">
        <v>45230</v>
      </c>
      <c r="K555" s="22">
        <v>143500</v>
      </c>
      <c r="L555" s="18">
        <v>153.47999999999999</v>
      </c>
      <c r="M555" s="22">
        <v>108650</v>
      </c>
      <c r="N555" s="22">
        <v>34850</v>
      </c>
      <c r="O555" s="18">
        <v>37.270000000000003</v>
      </c>
      <c r="P555" s="52">
        <f>IF(COUNTIF(TblPurchases[BatchID],TblOutcomes[[#This Row],[BatchID]])&lt;&gt;1,"n.a.",TblOutcomes[[#This Row],[Qty Wasted]]*SUMIFS(TblPurchases[Unit Cost (CLP)],TblPurchases[BatchID],TblOutcomes[[#This Row],[BatchID]]))</f>
        <v>0</v>
      </c>
      <c r="Q555" s="51">
        <f>IF(COUNTIF(TblPurchases[BatchID],TblOutcomes[[#This Row],[BatchID]])&lt;&gt;1,"n.a.",SUMIFS(TblPurchases[Purchase Date],TblPurchases[BatchID],TblOutcomes[[#This Row],[BatchID]]))</f>
        <v>45222</v>
      </c>
    </row>
    <row r="556" spans="2:17" x14ac:dyDescent="0.25">
      <c r="B556" s="2" t="s">
        <v>1360</v>
      </c>
      <c r="C556" s="2" t="s">
        <v>142</v>
      </c>
      <c r="D556" s="2" t="s">
        <v>122</v>
      </c>
      <c r="E556" s="2" t="s">
        <v>4646</v>
      </c>
      <c r="F556" s="2">
        <v>38</v>
      </c>
      <c r="G556" s="2">
        <v>33.44</v>
      </c>
      <c r="H556" s="2">
        <v>4.5599999999999996</v>
      </c>
      <c r="I556" s="1">
        <v>12</v>
      </c>
      <c r="J556" s="26">
        <v>45279</v>
      </c>
      <c r="K556" s="22">
        <v>117040</v>
      </c>
      <c r="L556" s="18">
        <v>125.18</v>
      </c>
      <c r="M556" s="22">
        <v>93100</v>
      </c>
      <c r="N556" s="22">
        <v>23940</v>
      </c>
      <c r="O556" s="18">
        <v>25.6</v>
      </c>
      <c r="P556" s="52">
        <f>IF(COUNTIF(TblPurchases[BatchID],TblOutcomes[[#This Row],[BatchID]])&lt;&gt;1,"n.a.",TblOutcomes[[#This Row],[Qty Wasted]]*SUMIFS(TblPurchases[Unit Cost (CLP)],TblPurchases[BatchID],TblOutcomes[[#This Row],[BatchID]]))</f>
        <v>11171.999999999998</v>
      </c>
      <c r="Q556" s="51">
        <f>IF(COUNTIF(TblPurchases[BatchID],TblOutcomes[[#This Row],[BatchID]])&lt;&gt;1,"n.a.",SUMIFS(TblPurchases[Purchase Date],TblPurchases[BatchID],TblOutcomes[[#This Row],[BatchID]]))</f>
        <v>45234</v>
      </c>
    </row>
    <row r="557" spans="2:17" x14ac:dyDescent="0.25">
      <c r="B557" s="2" t="s">
        <v>1361</v>
      </c>
      <c r="C557" s="2" t="s">
        <v>142</v>
      </c>
      <c r="D557" s="2" t="s">
        <v>122</v>
      </c>
      <c r="E557" s="2" t="s">
        <v>4647</v>
      </c>
      <c r="F557" s="2">
        <v>40</v>
      </c>
      <c r="G557" s="2">
        <v>40</v>
      </c>
      <c r="H557" s="2">
        <v>0</v>
      </c>
      <c r="I557" s="1">
        <v>0</v>
      </c>
      <c r="J557" s="26">
        <v>45250</v>
      </c>
      <c r="K557" s="22">
        <v>140000</v>
      </c>
      <c r="L557" s="18">
        <v>149.72999999999999</v>
      </c>
      <c r="M557" s="22">
        <v>98000</v>
      </c>
      <c r="N557" s="22">
        <v>42000</v>
      </c>
      <c r="O557" s="18">
        <v>44.92</v>
      </c>
      <c r="P557" s="52">
        <f>IF(COUNTIF(TblPurchases[BatchID],TblOutcomes[[#This Row],[BatchID]])&lt;&gt;1,"n.a.",TblOutcomes[[#This Row],[Qty Wasted]]*SUMIFS(TblPurchases[Unit Cost (CLP)],TblPurchases[BatchID],TblOutcomes[[#This Row],[BatchID]]))</f>
        <v>0</v>
      </c>
      <c r="Q557" s="51">
        <f>IF(COUNTIF(TblPurchases[BatchID],TblOutcomes[[#This Row],[BatchID]])&lt;&gt;1,"n.a.",SUMIFS(TblPurchases[Purchase Date],TblPurchases[BatchID],TblOutcomes[[#This Row],[BatchID]]))</f>
        <v>45246</v>
      </c>
    </row>
    <row r="558" spans="2:17" x14ac:dyDescent="0.25">
      <c r="B558" s="2" t="s">
        <v>1362</v>
      </c>
      <c r="C558" s="2" t="s">
        <v>142</v>
      </c>
      <c r="D558" s="2" t="s">
        <v>122</v>
      </c>
      <c r="E558" s="2" t="s">
        <v>4647</v>
      </c>
      <c r="F558" s="2">
        <v>40</v>
      </c>
      <c r="G558" s="2">
        <v>40</v>
      </c>
      <c r="H558" s="2">
        <v>0</v>
      </c>
      <c r="I558" s="1">
        <v>0</v>
      </c>
      <c r="J558" s="26">
        <v>45260</v>
      </c>
      <c r="K558" s="22">
        <v>140000</v>
      </c>
      <c r="L558" s="18">
        <v>149.72999999999999</v>
      </c>
      <c r="M558" s="22">
        <v>98000</v>
      </c>
      <c r="N558" s="22">
        <v>42000</v>
      </c>
      <c r="O558" s="18">
        <v>44.92</v>
      </c>
      <c r="P558" s="52">
        <f>IF(COUNTIF(TblPurchases[BatchID],TblOutcomes[[#This Row],[BatchID]])&lt;&gt;1,"n.a.",TblOutcomes[[#This Row],[Qty Wasted]]*SUMIFS(TblPurchases[Unit Cost (CLP)],TblPurchases[BatchID],TblOutcomes[[#This Row],[BatchID]]))</f>
        <v>0</v>
      </c>
      <c r="Q558" s="51">
        <f>IF(COUNTIF(TblPurchases[BatchID],TblOutcomes[[#This Row],[BatchID]])&lt;&gt;1,"n.a.",SUMIFS(TblPurchases[Purchase Date],TblPurchases[BatchID],TblOutcomes[[#This Row],[BatchID]]))</f>
        <v>45255</v>
      </c>
    </row>
    <row r="559" spans="2:17" x14ac:dyDescent="0.25">
      <c r="B559" s="2" t="s">
        <v>1363</v>
      </c>
      <c r="C559" s="2" t="s">
        <v>142</v>
      </c>
      <c r="D559" s="2" t="s">
        <v>122</v>
      </c>
      <c r="E559" s="2" t="s">
        <v>4647</v>
      </c>
      <c r="F559" s="2">
        <v>49</v>
      </c>
      <c r="G559" s="2">
        <v>49</v>
      </c>
      <c r="H559" s="2">
        <v>0</v>
      </c>
      <c r="I559" s="1">
        <v>0</v>
      </c>
      <c r="J559" s="26">
        <v>45275</v>
      </c>
      <c r="K559" s="22">
        <v>171500</v>
      </c>
      <c r="L559" s="18">
        <v>183.42</v>
      </c>
      <c r="M559" s="22">
        <v>120050</v>
      </c>
      <c r="N559" s="22">
        <v>51450</v>
      </c>
      <c r="O559" s="18">
        <v>55.03</v>
      </c>
      <c r="P559" s="52">
        <f>IF(COUNTIF(TblPurchases[BatchID],TblOutcomes[[#This Row],[BatchID]])&lt;&gt;1,"n.a.",TblOutcomes[[#This Row],[Qty Wasted]]*SUMIFS(TblPurchases[Unit Cost (CLP)],TblPurchases[BatchID],TblOutcomes[[#This Row],[BatchID]]))</f>
        <v>0</v>
      </c>
      <c r="Q559" s="51">
        <f>IF(COUNTIF(TblPurchases[BatchID],TblOutcomes[[#This Row],[BatchID]])&lt;&gt;1,"n.a.",SUMIFS(TblPurchases[Purchase Date],TblPurchases[BatchID],TblOutcomes[[#This Row],[BatchID]]))</f>
        <v>45266</v>
      </c>
    </row>
    <row r="560" spans="2:17" x14ac:dyDescent="0.25">
      <c r="B560" s="2" t="s">
        <v>1364</v>
      </c>
      <c r="C560" s="2" t="s">
        <v>142</v>
      </c>
      <c r="D560" s="2" t="s">
        <v>122</v>
      </c>
      <c r="E560" s="2" t="s">
        <v>4647</v>
      </c>
      <c r="F560" s="2">
        <v>59</v>
      </c>
      <c r="G560" s="2">
        <v>59</v>
      </c>
      <c r="H560" s="2">
        <v>0</v>
      </c>
      <c r="I560" s="1">
        <v>0</v>
      </c>
      <c r="J560" s="26">
        <v>45282</v>
      </c>
      <c r="K560" s="22">
        <v>206500</v>
      </c>
      <c r="L560" s="18">
        <v>220.86</v>
      </c>
      <c r="M560" s="22">
        <v>144550</v>
      </c>
      <c r="N560" s="22">
        <v>61950</v>
      </c>
      <c r="O560" s="18">
        <v>66.260000000000005</v>
      </c>
      <c r="P560" s="52">
        <f>IF(COUNTIF(TblPurchases[BatchID],TblOutcomes[[#This Row],[BatchID]])&lt;&gt;1,"n.a.",TblOutcomes[[#This Row],[Qty Wasted]]*SUMIFS(TblPurchases[Unit Cost (CLP)],TblPurchases[BatchID],TblOutcomes[[#This Row],[BatchID]]))</f>
        <v>0</v>
      </c>
      <c r="Q560" s="51">
        <f>IF(COUNTIF(TblPurchases[BatchID],TblOutcomes[[#This Row],[BatchID]])&lt;&gt;1,"n.a.",SUMIFS(TblPurchases[Purchase Date],TblPurchases[BatchID],TblOutcomes[[#This Row],[BatchID]]))</f>
        <v>45275</v>
      </c>
    </row>
    <row r="561" spans="2:17" x14ac:dyDescent="0.25">
      <c r="B561" s="2" t="s">
        <v>1365</v>
      </c>
      <c r="C561" s="2" t="s">
        <v>142</v>
      </c>
      <c r="D561" s="2" t="s">
        <v>122</v>
      </c>
      <c r="E561" s="2" t="s">
        <v>4647</v>
      </c>
      <c r="F561" s="2">
        <v>46</v>
      </c>
      <c r="G561" s="2">
        <v>46</v>
      </c>
      <c r="H561" s="2">
        <v>0</v>
      </c>
      <c r="I561" s="1">
        <v>0</v>
      </c>
      <c r="J561" s="26">
        <v>45297</v>
      </c>
      <c r="K561" s="22">
        <v>161000</v>
      </c>
      <c r="L561" s="18">
        <v>172.19</v>
      </c>
      <c r="M561" s="22">
        <v>112700</v>
      </c>
      <c r="N561" s="22">
        <v>48300</v>
      </c>
      <c r="O561" s="18">
        <v>51.66</v>
      </c>
      <c r="P561" s="52">
        <f>IF(COUNTIF(TblPurchases[BatchID],TblOutcomes[[#This Row],[BatchID]])&lt;&gt;1,"n.a.",TblOutcomes[[#This Row],[Qty Wasted]]*SUMIFS(TblPurchases[Unit Cost (CLP)],TblPurchases[BatchID],TblOutcomes[[#This Row],[BatchID]]))</f>
        <v>0</v>
      </c>
      <c r="Q561" s="51">
        <f>IF(COUNTIF(TblPurchases[BatchID],TblOutcomes[[#This Row],[BatchID]])&lt;&gt;1,"n.a.",SUMIFS(TblPurchases[Purchase Date],TblPurchases[BatchID],TblOutcomes[[#This Row],[BatchID]]))</f>
        <v>45286</v>
      </c>
    </row>
    <row r="562" spans="2:17" x14ac:dyDescent="0.25">
      <c r="B562" s="2" t="s">
        <v>1366</v>
      </c>
      <c r="C562" s="2" t="s">
        <v>142</v>
      </c>
      <c r="D562" s="2" t="s">
        <v>122</v>
      </c>
      <c r="E562" s="2" t="s">
        <v>4646</v>
      </c>
      <c r="F562" s="2">
        <v>45</v>
      </c>
      <c r="G562" s="2">
        <v>38.119999999999997</v>
      </c>
      <c r="H562" s="2">
        <v>6.88</v>
      </c>
      <c r="I562" s="1">
        <v>15.3</v>
      </c>
      <c r="J562" s="26">
        <v>45337</v>
      </c>
      <c r="K562" s="22">
        <v>133420</v>
      </c>
      <c r="L562" s="18">
        <v>142.69999999999999</v>
      </c>
      <c r="M562" s="22">
        <v>119250</v>
      </c>
      <c r="N562" s="22">
        <v>14170</v>
      </c>
      <c r="O562" s="18">
        <v>15.16</v>
      </c>
      <c r="P562" s="52">
        <f>IF(COUNTIF(TblPurchases[BatchID],TblOutcomes[[#This Row],[BatchID]])&lt;&gt;1,"n.a.",TblOutcomes[[#This Row],[Qty Wasted]]*SUMIFS(TblPurchases[Unit Cost (CLP)],TblPurchases[BatchID],TblOutcomes[[#This Row],[BatchID]]))</f>
        <v>18232</v>
      </c>
      <c r="Q562" s="51">
        <f>IF(COUNTIF(TblPurchases[BatchID],TblOutcomes[[#This Row],[BatchID]])&lt;&gt;1,"n.a.",SUMIFS(TblPurchases[Purchase Date],TblPurchases[BatchID],TblOutcomes[[#This Row],[BatchID]]))</f>
        <v>45292</v>
      </c>
    </row>
    <row r="563" spans="2:17" x14ac:dyDescent="0.25">
      <c r="B563" s="2" t="s">
        <v>1367</v>
      </c>
      <c r="C563" s="2" t="s">
        <v>142</v>
      </c>
      <c r="D563" s="2" t="s">
        <v>122</v>
      </c>
      <c r="E563" s="2" t="s">
        <v>4647</v>
      </c>
      <c r="F563" s="2">
        <v>36</v>
      </c>
      <c r="G563" s="2">
        <v>36</v>
      </c>
      <c r="H563" s="2">
        <v>0</v>
      </c>
      <c r="I563" s="1">
        <v>0</v>
      </c>
      <c r="J563" s="26">
        <v>45303</v>
      </c>
      <c r="K563" s="22">
        <v>126000</v>
      </c>
      <c r="L563" s="18">
        <v>134.76</v>
      </c>
      <c r="M563" s="22">
        <v>88200</v>
      </c>
      <c r="N563" s="22">
        <v>37800</v>
      </c>
      <c r="O563" s="18">
        <v>40.43</v>
      </c>
      <c r="P563" s="52">
        <f>IF(COUNTIF(TblPurchases[BatchID],TblOutcomes[[#This Row],[BatchID]])&lt;&gt;1,"n.a.",TblOutcomes[[#This Row],[Qty Wasted]]*SUMIFS(TblPurchases[Unit Cost (CLP)],TblPurchases[BatchID],TblOutcomes[[#This Row],[BatchID]]))</f>
        <v>0</v>
      </c>
      <c r="Q563" s="51">
        <f>IF(COUNTIF(TblPurchases[BatchID],TblOutcomes[[#This Row],[BatchID]])&lt;&gt;1,"n.a.",SUMIFS(TblPurchases[Purchase Date],TblPurchases[BatchID],TblOutcomes[[#This Row],[BatchID]]))</f>
        <v>45301</v>
      </c>
    </row>
    <row r="564" spans="2:17" x14ac:dyDescent="0.25">
      <c r="B564" s="2" t="s">
        <v>1368</v>
      </c>
      <c r="C564" s="2" t="s">
        <v>142</v>
      </c>
      <c r="D564" s="2" t="s">
        <v>122</v>
      </c>
      <c r="E564" s="2" t="s">
        <v>4647</v>
      </c>
      <c r="F564" s="2">
        <v>42</v>
      </c>
      <c r="G564" s="2">
        <v>42</v>
      </c>
      <c r="H564" s="2">
        <v>0</v>
      </c>
      <c r="I564" s="1">
        <v>0</v>
      </c>
      <c r="J564" s="26">
        <v>45315</v>
      </c>
      <c r="K564" s="22">
        <v>147000</v>
      </c>
      <c r="L564" s="18">
        <v>157.22</v>
      </c>
      <c r="M564" s="22">
        <v>102900</v>
      </c>
      <c r="N564" s="22">
        <v>44100</v>
      </c>
      <c r="O564" s="18">
        <v>47.17</v>
      </c>
      <c r="P564" s="52">
        <f>IF(COUNTIF(TblPurchases[BatchID],TblOutcomes[[#This Row],[BatchID]])&lt;&gt;1,"n.a.",TblOutcomes[[#This Row],[Qty Wasted]]*SUMIFS(TblPurchases[Unit Cost (CLP)],TblPurchases[BatchID],TblOutcomes[[#This Row],[BatchID]]))</f>
        <v>0</v>
      </c>
      <c r="Q564" s="51">
        <f>IF(COUNTIF(TblPurchases[BatchID],TblOutcomes[[#This Row],[BatchID]])&lt;&gt;1,"n.a.",SUMIFS(TblPurchases[Purchase Date],TblPurchases[BatchID],TblOutcomes[[#This Row],[BatchID]]))</f>
        <v>45310</v>
      </c>
    </row>
    <row r="565" spans="2:17" x14ac:dyDescent="0.25">
      <c r="B565" s="2" t="s">
        <v>1369</v>
      </c>
      <c r="C565" s="2" t="s">
        <v>142</v>
      </c>
      <c r="D565" s="2" t="s">
        <v>122</v>
      </c>
      <c r="E565" s="2" t="s">
        <v>4647</v>
      </c>
      <c r="F565" s="2">
        <v>44</v>
      </c>
      <c r="G565" s="2">
        <v>44</v>
      </c>
      <c r="H565" s="2">
        <v>0</v>
      </c>
      <c r="I565" s="1">
        <v>0</v>
      </c>
      <c r="J565" s="26">
        <v>45329</v>
      </c>
      <c r="K565" s="22">
        <v>154000</v>
      </c>
      <c r="L565" s="18">
        <v>164.71</v>
      </c>
      <c r="M565" s="22">
        <v>107800</v>
      </c>
      <c r="N565" s="22">
        <v>46200</v>
      </c>
      <c r="O565" s="18">
        <v>49.41</v>
      </c>
      <c r="P565" s="52">
        <f>IF(COUNTIF(TblPurchases[BatchID],TblOutcomes[[#This Row],[BatchID]])&lt;&gt;1,"n.a.",TblOutcomes[[#This Row],[Qty Wasted]]*SUMIFS(TblPurchases[Unit Cost (CLP)],TblPurchases[BatchID],TblOutcomes[[#This Row],[BatchID]]))</f>
        <v>0</v>
      </c>
      <c r="Q565" s="51">
        <f>IF(COUNTIF(TblPurchases[BatchID],TblOutcomes[[#This Row],[BatchID]])&lt;&gt;1,"n.a.",SUMIFS(TblPurchases[Purchase Date],TblPurchases[BatchID],TblOutcomes[[#This Row],[BatchID]]))</f>
        <v>45322</v>
      </c>
    </row>
    <row r="566" spans="2:17" x14ac:dyDescent="0.25">
      <c r="B566" s="2" t="s">
        <v>1370</v>
      </c>
      <c r="C566" s="2" t="s">
        <v>142</v>
      </c>
      <c r="D566" s="2" t="s">
        <v>122</v>
      </c>
      <c r="E566" s="2" t="s">
        <v>4647</v>
      </c>
      <c r="F566" s="2">
        <v>35</v>
      </c>
      <c r="G566" s="2">
        <v>35</v>
      </c>
      <c r="H566" s="2">
        <v>0</v>
      </c>
      <c r="I566" s="1">
        <v>0</v>
      </c>
      <c r="J566" s="26">
        <v>45336</v>
      </c>
      <c r="K566" s="22">
        <v>122500</v>
      </c>
      <c r="L566" s="18">
        <v>131.02000000000001</v>
      </c>
      <c r="M566" s="22">
        <v>85750</v>
      </c>
      <c r="N566" s="22">
        <v>36750</v>
      </c>
      <c r="O566" s="18">
        <v>39.299999999999997</v>
      </c>
      <c r="P566" s="52">
        <f>IF(COUNTIF(TblPurchases[BatchID],TblOutcomes[[#This Row],[BatchID]])&lt;&gt;1,"n.a.",TblOutcomes[[#This Row],[Qty Wasted]]*SUMIFS(TblPurchases[Unit Cost (CLP)],TblPurchases[BatchID],TblOutcomes[[#This Row],[BatchID]]))</f>
        <v>0</v>
      </c>
      <c r="Q566" s="51">
        <f>IF(COUNTIF(TblPurchases[BatchID],TblOutcomes[[#This Row],[BatchID]])&lt;&gt;1,"n.a.",SUMIFS(TblPurchases[Purchase Date],TblPurchases[BatchID],TblOutcomes[[#This Row],[BatchID]]))</f>
        <v>45331</v>
      </c>
    </row>
    <row r="567" spans="2:17" x14ac:dyDescent="0.25">
      <c r="B567" s="2" t="s">
        <v>1371</v>
      </c>
      <c r="C567" s="2" t="s">
        <v>142</v>
      </c>
      <c r="D567" s="2" t="s">
        <v>122</v>
      </c>
      <c r="E567" s="2" t="s">
        <v>4647</v>
      </c>
      <c r="F567" s="2">
        <v>44</v>
      </c>
      <c r="G567" s="2">
        <v>44</v>
      </c>
      <c r="H567" s="2">
        <v>0</v>
      </c>
      <c r="I567" s="1">
        <v>0</v>
      </c>
      <c r="J567" s="26">
        <v>45350</v>
      </c>
      <c r="K567" s="22">
        <v>154000</v>
      </c>
      <c r="L567" s="18">
        <v>164.71</v>
      </c>
      <c r="M567" s="22">
        <v>107800</v>
      </c>
      <c r="N567" s="22">
        <v>46200</v>
      </c>
      <c r="O567" s="18">
        <v>49.41</v>
      </c>
      <c r="P567" s="52">
        <f>IF(COUNTIF(TblPurchases[BatchID],TblOutcomes[[#This Row],[BatchID]])&lt;&gt;1,"n.a.",TblOutcomes[[#This Row],[Qty Wasted]]*SUMIFS(TblPurchases[Unit Cost (CLP)],TblPurchases[BatchID],TblOutcomes[[#This Row],[BatchID]]))</f>
        <v>0</v>
      </c>
      <c r="Q567" s="51">
        <f>IF(COUNTIF(TblPurchases[BatchID],TblOutcomes[[#This Row],[BatchID]])&lt;&gt;1,"n.a.",SUMIFS(TblPurchases[Purchase Date],TblPurchases[BatchID],TblOutcomes[[#This Row],[BatchID]]))</f>
        <v>45342</v>
      </c>
    </row>
    <row r="568" spans="2:17" x14ac:dyDescent="0.25">
      <c r="B568" s="2" t="s">
        <v>1372</v>
      </c>
      <c r="C568" s="2" t="s">
        <v>142</v>
      </c>
      <c r="D568" s="2" t="s">
        <v>122</v>
      </c>
      <c r="E568" s="2" t="s">
        <v>4646</v>
      </c>
      <c r="F568" s="2">
        <v>37</v>
      </c>
      <c r="G568" s="2">
        <v>29.45</v>
      </c>
      <c r="H568" s="2">
        <v>7.55</v>
      </c>
      <c r="I568" s="1">
        <v>20.399999999999999</v>
      </c>
      <c r="J568" s="26">
        <v>45397</v>
      </c>
      <c r="K568" s="22">
        <v>103075</v>
      </c>
      <c r="L568" s="18">
        <v>110.24</v>
      </c>
      <c r="M568" s="22">
        <v>90650</v>
      </c>
      <c r="N568" s="22">
        <v>12425</v>
      </c>
      <c r="O568" s="18">
        <v>13.29</v>
      </c>
      <c r="P568" s="52">
        <f>IF(COUNTIF(TblPurchases[BatchID],TblOutcomes[[#This Row],[BatchID]])&lt;&gt;1,"n.a.",TblOutcomes[[#This Row],[Qty Wasted]]*SUMIFS(TblPurchases[Unit Cost (CLP)],TblPurchases[BatchID],TblOutcomes[[#This Row],[BatchID]]))</f>
        <v>18497.5</v>
      </c>
      <c r="Q568" s="51">
        <f>IF(COUNTIF(TblPurchases[BatchID],TblOutcomes[[#This Row],[BatchID]])&lt;&gt;1,"n.a.",SUMIFS(TblPurchases[Purchase Date],TblPurchases[BatchID],TblOutcomes[[#This Row],[BatchID]]))</f>
        <v>45352</v>
      </c>
    </row>
    <row r="569" spans="2:17" x14ac:dyDescent="0.25">
      <c r="B569" s="2" t="s">
        <v>1373</v>
      </c>
      <c r="C569" s="2" t="s">
        <v>142</v>
      </c>
      <c r="D569" s="2" t="s">
        <v>122</v>
      </c>
      <c r="E569" s="2" t="s">
        <v>4647</v>
      </c>
      <c r="F569" s="2">
        <v>44</v>
      </c>
      <c r="G569" s="2">
        <v>44</v>
      </c>
      <c r="H569" s="2">
        <v>0</v>
      </c>
      <c r="I569" s="1">
        <v>0</v>
      </c>
      <c r="J569" s="26">
        <v>45370</v>
      </c>
      <c r="K569" s="22">
        <v>154000</v>
      </c>
      <c r="L569" s="18">
        <v>164.71</v>
      </c>
      <c r="M569" s="22">
        <v>107800</v>
      </c>
      <c r="N569" s="22">
        <v>46200</v>
      </c>
      <c r="O569" s="18">
        <v>49.41</v>
      </c>
      <c r="P569" s="52">
        <f>IF(COUNTIF(TblPurchases[BatchID],TblOutcomes[[#This Row],[BatchID]])&lt;&gt;1,"n.a.",TblOutcomes[[#This Row],[Qty Wasted]]*SUMIFS(TblPurchases[Unit Cost (CLP)],TblPurchases[BatchID],TblOutcomes[[#This Row],[BatchID]]))</f>
        <v>0</v>
      </c>
      <c r="Q569" s="51">
        <f>IF(COUNTIF(TblPurchases[BatchID],TblOutcomes[[#This Row],[BatchID]])&lt;&gt;1,"n.a.",SUMIFS(TblPurchases[Purchase Date],TblPurchases[BatchID],TblOutcomes[[#This Row],[BatchID]]))</f>
        <v>45361</v>
      </c>
    </row>
    <row r="570" spans="2:17" x14ac:dyDescent="0.25">
      <c r="B570" s="2" t="s">
        <v>1374</v>
      </c>
      <c r="C570" s="2" t="s">
        <v>142</v>
      </c>
      <c r="D570" s="2" t="s">
        <v>122</v>
      </c>
      <c r="E570" s="2" t="s">
        <v>4647</v>
      </c>
      <c r="F570" s="2">
        <v>44</v>
      </c>
      <c r="G570" s="2">
        <v>44</v>
      </c>
      <c r="H570" s="2">
        <v>0</v>
      </c>
      <c r="I570" s="1">
        <v>0</v>
      </c>
      <c r="J570" s="26">
        <v>45379</v>
      </c>
      <c r="K570" s="22">
        <v>154000</v>
      </c>
      <c r="L570" s="18">
        <v>164.71</v>
      </c>
      <c r="M570" s="22">
        <v>107800</v>
      </c>
      <c r="N570" s="22">
        <v>46200</v>
      </c>
      <c r="O570" s="18">
        <v>49.41</v>
      </c>
      <c r="P570" s="52">
        <f>IF(COUNTIF(TblPurchases[BatchID],TblOutcomes[[#This Row],[BatchID]])&lt;&gt;1,"n.a.",TblOutcomes[[#This Row],[Qty Wasted]]*SUMIFS(TblPurchases[Unit Cost (CLP)],TblPurchases[BatchID],TblOutcomes[[#This Row],[BatchID]]))</f>
        <v>0</v>
      </c>
      <c r="Q570" s="51">
        <f>IF(COUNTIF(TblPurchases[BatchID],TblOutcomes[[#This Row],[BatchID]])&lt;&gt;1,"n.a.",SUMIFS(TblPurchases[Purchase Date],TblPurchases[BatchID],TblOutcomes[[#This Row],[BatchID]]))</f>
        <v>45371</v>
      </c>
    </row>
    <row r="571" spans="2:17" x14ac:dyDescent="0.25">
      <c r="B571" s="2" t="s">
        <v>1375</v>
      </c>
      <c r="C571" s="2" t="s">
        <v>142</v>
      </c>
      <c r="D571" s="2" t="s">
        <v>122</v>
      </c>
      <c r="E571" s="2" t="s">
        <v>4647</v>
      </c>
      <c r="F571" s="2">
        <v>41</v>
      </c>
      <c r="G571" s="2">
        <v>41</v>
      </c>
      <c r="H571" s="2">
        <v>0</v>
      </c>
      <c r="I571" s="1">
        <v>0</v>
      </c>
      <c r="J571" s="26">
        <v>45386</v>
      </c>
      <c r="K571" s="22">
        <v>143500</v>
      </c>
      <c r="L571" s="18">
        <v>153.47999999999999</v>
      </c>
      <c r="M571" s="22">
        <v>100450</v>
      </c>
      <c r="N571" s="22">
        <v>43050</v>
      </c>
      <c r="O571" s="18">
        <v>46.04</v>
      </c>
      <c r="P571" s="52">
        <f>IF(COUNTIF(TblPurchases[BatchID],TblOutcomes[[#This Row],[BatchID]])&lt;&gt;1,"n.a.",TblOutcomes[[#This Row],[Qty Wasted]]*SUMIFS(TblPurchases[Unit Cost (CLP)],TblPurchases[BatchID],TblOutcomes[[#This Row],[BatchID]]))</f>
        <v>0</v>
      </c>
      <c r="Q571" s="51">
        <f>IF(COUNTIF(TblPurchases[BatchID],TblOutcomes[[#This Row],[BatchID]])&lt;&gt;1,"n.a.",SUMIFS(TblPurchases[Purchase Date],TblPurchases[BatchID],TblOutcomes[[#This Row],[BatchID]]))</f>
        <v>45380</v>
      </c>
    </row>
    <row r="572" spans="2:17" x14ac:dyDescent="0.25">
      <c r="B572" s="2" t="s">
        <v>1376</v>
      </c>
      <c r="C572" s="2" t="s">
        <v>142</v>
      </c>
      <c r="D572" s="2" t="s">
        <v>122</v>
      </c>
      <c r="E572" s="2" t="s">
        <v>4647</v>
      </c>
      <c r="F572" s="2">
        <v>16</v>
      </c>
      <c r="G572" s="2">
        <v>16</v>
      </c>
      <c r="H572" s="2">
        <v>0</v>
      </c>
      <c r="I572" s="1">
        <v>0</v>
      </c>
      <c r="J572" s="26">
        <v>45396</v>
      </c>
      <c r="K572" s="22">
        <v>56000</v>
      </c>
      <c r="L572" s="18">
        <v>59.89</v>
      </c>
      <c r="M572" s="22">
        <v>39200</v>
      </c>
      <c r="N572" s="22">
        <v>16800</v>
      </c>
      <c r="O572" s="18">
        <v>17.97</v>
      </c>
      <c r="P572" s="52">
        <f>IF(COUNTIF(TblPurchases[BatchID],TblOutcomes[[#This Row],[BatchID]])&lt;&gt;1,"n.a.",TblOutcomes[[#This Row],[Qty Wasted]]*SUMIFS(TblPurchases[Unit Cost (CLP)],TblPurchases[BatchID],TblOutcomes[[#This Row],[BatchID]]))</f>
        <v>0</v>
      </c>
      <c r="Q572" s="51">
        <f>IF(COUNTIF(TblPurchases[BatchID],TblOutcomes[[#This Row],[BatchID]])&lt;&gt;1,"n.a.",SUMIFS(TblPurchases[Purchase Date],TblPurchases[BatchID],TblOutcomes[[#This Row],[BatchID]]))</f>
        <v>45392</v>
      </c>
    </row>
    <row r="573" spans="2:17" x14ac:dyDescent="0.25">
      <c r="B573" s="2" t="s">
        <v>1377</v>
      </c>
      <c r="C573" s="2" t="s">
        <v>142</v>
      </c>
      <c r="D573" s="2" t="s">
        <v>122</v>
      </c>
      <c r="E573" s="2" t="s">
        <v>4647</v>
      </c>
      <c r="F573" s="2">
        <v>15</v>
      </c>
      <c r="G573" s="2">
        <v>15</v>
      </c>
      <c r="H573" s="2">
        <v>0</v>
      </c>
      <c r="I573" s="1">
        <v>0</v>
      </c>
      <c r="J573" s="26">
        <v>45402</v>
      </c>
      <c r="K573" s="22">
        <v>52500</v>
      </c>
      <c r="L573" s="18">
        <v>56.15</v>
      </c>
      <c r="M573" s="22">
        <v>39750</v>
      </c>
      <c r="N573" s="22">
        <v>12750</v>
      </c>
      <c r="O573" s="18">
        <v>13.64</v>
      </c>
      <c r="P573" s="52">
        <f>IF(COUNTIF(TblPurchases[BatchID],TblOutcomes[[#This Row],[BatchID]])&lt;&gt;1,"n.a.",TblOutcomes[[#This Row],[Qty Wasted]]*SUMIFS(TblPurchases[Unit Cost (CLP)],TblPurchases[BatchID],TblOutcomes[[#This Row],[BatchID]]))</f>
        <v>0</v>
      </c>
      <c r="Q573" s="51">
        <f>IF(COUNTIF(TblPurchases[BatchID],TblOutcomes[[#This Row],[BatchID]])&lt;&gt;1,"n.a.",SUMIFS(TblPurchases[Purchase Date],TblPurchases[BatchID],TblOutcomes[[#This Row],[BatchID]]))</f>
        <v>45399</v>
      </c>
    </row>
    <row r="574" spans="2:17" x14ac:dyDescent="0.25">
      <c r="B574" s="2" t="s">
        <v>1378</v>
      </c>
      <c r="C574" s="2" t="s">
        <v>142</v>
      </c>
      <c r="D574" s="2" t="s">
        <v>122</v>
      </c>
      <c r="E574" s="2" t="s">
        <v>4646</v>
      </c>
      <c r="F574" s="2">
        <v>15</v>
      </c>
      <c r="G574" s="2">
        <v>10.08</v>
      </c>
      <c r="H574" s="2">
        <v>4.92</v>
      </c>
      <c r="I574" s="1">
        <v>32.799999999999997</v>
      </c>
      <c r="J574" s="26">
        <v>45452</v>
      </c>
      <c r="K574" s="22">
        <v>35280</v>
      </c>
      <c r="L574" s="18">
        <v>37.729999999999997</v>
      </c>
      <c r="M574" s="22">
        <v>36750</v>
      </c>
      <c r="N574" s="22">
        <v>-1470</v>
      </c>
      <c r="O574" s="18">
        <v>-1.57</v>
      </c>
      <c r="P574" s="52">
        <f>IF(COUNTIF(TblPurchases[BatchID],TblOutcomes[[#This Row],[BatchID]])&lt;&gt;1,"n.a.",TblOutcomes[[#This Row],[Qty Wasted]]*SUMIFS(TblPurchases[Unit Cost (CLP)],TblPurchases[BatchID],TblOutcomes[[#This Row],[BatchID]]))</f>
        <v>12054</v>
      </c>
      <c r="Q574" s="51">
        <f>IF(COUNTIF(TblPurchases[BatchID],TblOutcomes[[#This Row],[BatchID]])&lt;&gt;1,"n.a.",SUMIFS(TblPurchases[Purchase Date],TblPurchases[BatchID],TblOutcomes[[#This Row],[BatchID]]))</f>
        <v>45407</v>
      </c>
    </row>
    <row r="575" spans="2:17" x14ac:dyDescent="0.25">
      <c r="B575" s="2" t="s">
        <v>1379</v>
      </c>
      <c r="C575" s="2" t="s">
        <v>142</v>
      </c>
      <c r="D575" s="2" t="s">
        <v>122</v>
      </c>
      <c r="E575" s="2" t="s">
        <v>4646</v>
      </c>
      <c r="F575" s="2">
        <v>16</v>
      </c>
      <c r="G575" s="2">
        <v>11.44</v>
      </c>
      <c r="H575" s="2">
        <v>4.5599999999999996</v>
      </c>
      <c r="I575" s="1">
        <v>28.5</v>
      </c>
      <c r="J575" s="26">
        <v>45458</v>
      </c>
      <c r="K575" s="22">
        <v>40040</v>
      </c>
      <c r="L575" s="18">
        <v>42.82</v>
      </c>
      <c r="M575" s="22">
        <v>39200</v>
      </c>
      <c r="N575" s="22">
        <v>840</v>
      </c>
      <c r="O575" s="18">
        <v>0.9</v>
      </c>
      <c r="P575" s="52">
        <f>IF(COUNTIF(TblPurchases[BatchID],TblOutcomes[[#This Row],[BatchID]])&lt;&gt;1,"n.a.",TblOutcomes[[#This Row],[Qty Wasted]]*SUMIFS(TblPurchases[Unit Cost (CLP)],TblPurchases[BatchID],TblOutcomes[[#This Row],[BatchID]]))</f>
        <v>11171.999999999998</v>
      </c>
      <c r="Q575" s="51">
        <f>IF(COUNTIF(TblPurchases[BatchID],TblOutcomes[[#This Row],[BatchID]])&lt;&gt;1,"n.a.",SUMIFS(TblPurchases[Purchase Date],TblPurchases[BatchID],TblOutcomes[[#This Row],[BatchID]]))</f>
        <v>45413</v>
      </c>
    </row>
    <row r="576" spans="2:17" x14ac:dyDescent="0.25">
      <c r="B576" s="2" t="s">
        <v>1380</v>
      </c>
      <c r="C576" s="2" t="s">
        <v>142</v>
      </c>
      <c r="D576" s="2" t="s">
        <v>122</v>
      </c>
      <c r="E576" s="2" t="s">
        <v>4646</v>
      </c>
      <c r="F576" s="2">
        <v>15</v>
      </c>
      <c r="G576" s="2">
        <v>14.62</v>
      </c>
      <c r="H576" s="2">
        <v>0.38</v>
      </c>
      <c r="I576" s="1">
        <v>2.5</v>
      </c>
      <c r="J576" s="26">
        <v>45468</v>
      </c>
      <c r="K576" s="22">
        <v>51170</v>
      </c>
      <c r="L576" s="18">
        <v>54.73</v>
      </c>
      <c r="M576" s="22">
        <v>36750</v>
      </c>
      <c r="N576" s="22">
        <v>14420</v>
      </c>
      <c r="O576" s="18">
        <v>15.42</v>
      </c>
      <c r="P576" s="52">
        <f>IF(COUNTIF(TblPurchases[BatchID],TblOutcomes[[#This Row],[BatchID]])&lt;&gt;1,"n.a.",TblOutcomes[[#This Row],[Qty Wasted]]*SUMIFS(TblPurchases[Unit Cost (CLP)],TblPurchases[BatchID],TblOutcomes[[#This Row],[BatchID]]))</f>
        <v>931</v>
      </c>
      <c r="Q576" s="51">
        <f>IF(COUNTIF(TblPurchases[BatchID],TblOutcomes[[#This Row],[BatchID]])&lt;&gt;1,"n.a.",SUMIFS(TblPurchases[Purchase Date],TblPurchases[BatchID],TblOutcomes[[#This Row],[BatchID]]))</f>
        <v>45423</v>
      </c>
    </row>
    <row r="577" spans="2:17" x14ac:dyDescent="0.25">
      <c r="B577" s="2" t="s">
        <v>1381</v>
      </c>
      <c r="C577" s="2" t="s">
        <v>142</v>
      </c>
      <c r="D577" s="2" t="s">
        <v>122</v>
      </c>
      <c r="E577" s="2" t="s">
        <v>4646</v>
      </c>
      <c r="F577" s="2">
        <v>16</v>
      </c>
      <c r="G577" s="2">
        <v>12.99</v>
      </c>
      <c r="H577" s="2">
        <v>3.01</v>
      </c>
      <c r="I577" s="1">
        <v>18.8</v>
      </c>
      <c r="J577" s="26">
        <v>45477</v>
      </c>
      <c r="K577" s="22">
        <v>45465</v>
      </c>
      <c r="L577" s="18">
        <v>48.63</v>
      </c>
      <c r="M577" s="22">
        <v>42400</v>
      </c>
      <c r="N577" s="22">
        <v>3065</v>
      </c>
      <c r="O577" s="18">
        <v>3.28</v>
      </c>
      <c r="P577" s="52">
        <f>IF(COUNTIF(TblPurchases[BatchID],TblOutcomes[[#This Row],[BatchID]])&lt;&gt;1,"n.a.",TblOutcomes[[#This Row],[Qty Wasted]]*SUMIFS(TblPurchases[Unit Cost (CLP)],TblPurchases[BatchID],TblOutcomes[[#This Row],[BatchID]]))</f>
        <v>7976.4999999999991</v>
      </c>
      <c r="Q577" s="51">
        <f>IF(COUNTIF(TblPurchases[BatchID],TblOutcomes[[#This Row],[BatchID]])&lt;&gt;1,"n.a.",SUMIFS(TblPurchases[Purchase Date],TblPurchases[BatchID],TblOutcomes[[#This Row],[BatchID]]))</f>
        <v>45432</v>
      </c>
    </row>
    <row r="578" spans="2:17" x14ac:dyDescent="0.25">
      <c r="B578" s="2" t="s">
        <v>1382</v>
      </c>
      <c r="C578" s="2" t="s">
        <v>142</v>
      </c>
      <c r="D578" s="2" t="s">
        <v>122</v>
      </c>
      <c r="E578" s="2" t="s">
        <v>4647</v>
      </c>
      <c r="F578" s="2">
        <v>16</v>
      </c>
      <c r="G578" s="2">
        <v>16</v>
      </c>
      <c r="H578" s="2">
        <v>0</v>
      </c>
      <c r="I578" s="1">
        <v>0</v>
      </c>
      <c r="J578" s="26">
        <v>45448</v>
      </c>
      <c r="K578" s="22">
        <v>56000</v>
      </c>
      <c r="L578" s="18">
        <v>59.89</v>
      </c>
      <c r="M578" s="22">
        <v>39200</v>
      </c>
      <c r="N578" s="22">
        <v>16800</v>
      </c>
      <c r="O578" s="18">
        <v>17.97</v>
      </c>
      <c r="P578" s="52">
        <f>IF(COUNTIF(TblPurchases[BatchID],TblOutcomes[[#This Row],[BatchID]])&lt;&gt;1,"n.a.",TblOutcomes[[#This Row],[Qty Wasted]]*SUMIFS(TblPurchases[Unit Cost (CLP)],TblPurchases[BatchID],TblOutcomes[[#This Row],[BatchID]]))</f>
        <v>0</v>
      </c>
      <c r="Q578" s="51">
        <f>IF(COUNTIF(TblPurchases[BatchID],TblOutcomes[[#This Row],[BatchID]])&lt;&gt;1,"n.a.",SUMIFS(TblPurchases[Purchase Date],TblPurchases[BatchID],TblOutcomes[[#This Row],[BatchID]]))</f>
        <v>45441</v>
      </c>
    </row>
    <row r="579" spans="2:17" x14ac:dyDescent="0.25">
      <c r="B579" s="2" t="s">
        <v>1383</v>
      </c>
      <c r="C579" s="2" t="s">
        <v>142</v>
      </c>
      <c r="D579" s="2" t="s">
        <v>122</v>
      </c>
      <c r="E579" s="2" t="s">
        <v>4647</v>
      </c>
      <c r="F579" s="2">
        <v>14</v>
      </c>
      <c r="G579" s="2">
        <v>14</v>
      </c>
      <c r="H579" s="2">
        <v>0</v>
      </c>
      <c r="I579" s="1">
        <v>0</v>
      </c>
      <c r="J579" s="26">
        <v>45459</v>
      </c>
      <c r="K579" s="22">
        <v>49000</v>
      </c>
      <c r="L579" s="18">
        <v>52.41</v>
      </c>
      <c r="M579" s="22">
        <v>34300</v>
      </c>
      <c r="N579" s="22">
        <v>14700</v>
      </c>
      <c r="O579" s="18">
        <v>15.72</v>
      </c>
      <c r="P579" s="52">
        <f>IF(COUNTIF(TblPurchases[BatchID],TblOutcomes[[#This Row],[BatchID]])&lt;&gt;1,"n.a.",TblOutcomes[[#This Row],[Qty Wasted]]*SUMIFS(TblPurchases[Unit Cost (CLP)],TblPurchases[BatchID],TblOutcomes[[#This Row],[BatchID]]))</f>
        <v>0</v>
      </c>
      <c r="Q579" s="51">
        <f>IF(COUNTIF(TblPurchases[BatchID],TblOutcomes[[#This Row],[BatchID]])&lt;&gt;1,"n.a.",SUMIFS(TblPurchases[Purchase Date],TblPurchases[BatchID],TblOutcomes[[#This Row],[BatchID]]))</f>
        <v>45451</v>
      </c>
    </row>
    <row r="580" spans="2:17" x14ac:dyDescent="0.25">
      <c r="B580" s="2" t="s">
        <v>1384</v>
      </c>
      <c r="C580" s="2" t="s">
        <v>142</v>
      </c>
      <c r="D580" s="2" t="s">
        <v>122</v>
      </c>
      <c r="E580" s="2" t="s">
        <v>4646</v>
      </c>
      <c r="F580" s="2">
        <v>13</v>
      </c>
      <c r="G580" s="2">
        <v>9.91</v>
      </c>
      <c r="H580" s="2">
        <v>3.09</v>
      </c>
      <c r="I580" s="1">
        <v>23.8</v>
      </c>
      <c r="J580" s="26">
        <v>45504</v>
      </c>
      <c r="K580" s="22">
        <v>34685</v>
      </c>
      <c r="L580" s="18">
        <v>37.1</v>
      </c>
      <c r="M580" s="22">
        <v>31850</v>
      </c>
      <c r="N580" s="22">
        <v>2835</v>
      </c>
      <c r="O580" s="18">
        <v>3.03</v>
      </c>
      <c r="P580" s="52">
        <f>IF(COUNTIF(TblPurchases[BatchID],TblOutcomes[[#This Row],[BatchID]])&lt;&gt;1,"n.a.",TblOutcomes[[#This Row],[Qty Wasted]]*SUMIFS(TblPurchases[Unit Cost (CLP)],TblPurchases[BatchID],TblOutcomes[[#This Row],[BatchID]]))</f>
        <v>7570.5</v>
      </c>
      <c r="Q580" s="51">
        <f>IF(COUNTIF(TblPurchases[BatchID],TblOutcomes[[#This Row],[BatchID]])&lt;&gt;1,"n.a.",SUMIFS(TblPurchases[Purchase Date],TblPurchases[BatchID],TblOutcomes[[#This Row],[BatchID]]))</f>
        <v>45459</v>
      </c>
    </row>
    <row r="581" spans="2:17" x14ac:dyDescent="0.25">
      <c r="B581" s="2" t="s">
        <v>1385</v>
      </c>
      <c r="C581" s="2" t="s">
        <v>142</v>
      </c>
      <c r="D581" s="2" t="s">
        <v>122</v>
      </c>
      <c r="E581" s="2" t="s">
        <v>4647</v>
      </c>
      <c r="F581" s="2">
        <v>16</v>
      </c>
      <c r="G581" s="2">
        <v>16</v>
      </c>
      <c r="H581" s="2">
        <v>0</v>
      </c>
      <c r="I581" s="1">
        <v>0</v>
      </c>
      <c r="J581" s="26">
        <v>45473</v>
      </c>
      <c r="K581" s="22">
        <v>56000</v>
      </c>
      <c r="L581" s="18">
        <v>59.89</v>
      </c>
      <c r="M581" s="22">
        <v>39200</v>
      </c>
      <c r="N581" s="22">
        <v>16800</v>
      </c>
      <c r="O581" s="18">
        <v>17.97</v>
      </c>
      <c r="P581" s="52">
        <f>IF(COUNTIF(TblPurchases[BatchID],TblOutcomes[[#This Row],[BatchID]])&lt;&gt;1,"n.a.",TblOutcomes[[#This Row],[Qty Wasted]]*SUMIFS(TblPurchases[Unit Cost (CLP)],TblPurchases[BatchID],TblOutcomes[[#This Row],[BatchID]]))</f>
        <v>0</v>
      </c>
      <c r="Q581" s="51">
        <f>IF(COUNTIF(TblPurchases[BatchID],TblOutcomes[[#This Row],[BatchID]])&lt;&gt;1,"n.a.",SUMIFS(TblPurchases[Purchase Date],TblPurchases[BatchID],TblOutcomes[[#This Row],[BatchID]]))</f>
        <v>45467</v>
      </c>
    </row>
    <row r="582" spans="2:17" x14ac:dyDescent="0.25">
      <c r="B582" s="2" t="s">
        <v>1386</v>
      </c>
      <c r="C582" s="2" t="s">
        <v>142</v>
      </c>
      <c r="D582" s="2" t="s">
        <v>122</v>
      </c>
      <c r="E582" s="2" t="s">
        <v>4646</v>
      </c>
      <c r="F582" s="2">
        <v>13</v>
      </c>
      <c r="G582" s="2">
        <v>11.17</v>
      </c>
      <c r="H582" s="2">
        <v>1.83</v>
      </c>
      <c r="I582" s="1">
        <v>14.1</v>
      </c>
      <c r="J582" s="26">
        <v>45522</v>
      </c>
      <c r="K582" s="22">
        <v>39095</v>
      </c>
      <c r="L582" s="18">
        <v>41.81</v>
      </c>
      <c r="M582" s="22">
        <v>31850</v>
      </c>
      <c r="N582" s="22">
        <v>7245</v>
      </c>
      <c r="O582" s="18">
        <v>7.75</v>
      </c>
      <c r="P582" s="52">
        <f>IF(COUNTIF(TblPurchases[BatchID],TblOutcomes[[#This Row],[BatchID]])&lt;&gt;1,"n.a.",TblOutcomes[[#This Row],[Qty Wasted]]*SUMIFS(TblPurchases[Unit Cost (CLP)],TblPurchases[BatchID],TblOutcomes[[#This Row],[BatchID]]))</f>
        <v>4483.5</v>
      </c>
      <c r="Q582" s="51">
        <f>IF(COUNTIF(TblPurchases[BatchID],TblOutcomes[[#This Row],[BatchID]])&lt;&gt;1,"n.a.",SUMIFS(TblPurchases[Purchase Date],TblPurchases[BatchID],TblOutcomes[[#This Row],[BatchID]]))</f>
        <v>45477</v>
      </c>
    </row>
    <row r="583" spans="2:17" x14ac:dyDescent="0.25">
      <c r="B583" s="2" t="s">
        <v>1387</v>
      </c>
      <c r="C583" s="2" t="s">
        <v>142</v>
      </c>
      <c r="D583" s="2" t="s">
        <v>122</v>
      </c>
      <c r="E583" s="2" t="s">
        <v>4647</v>
      </c>
      <c r="F583" s="2">
        <v>15</v>
      </c>
      <c r="G583" s="2">
        <v>15</v>
      </c>
      <c r="H583" s="2">
        <v>0</v>
      </c>
      <c r="I583" s="1">
        <v>0</v>
      </c>
      <c r="J583" s="26">
        <v>45499</v>
      </c>
      <c r="K583" s="22">
        <v>52500</v>
      </c>
      <c r="L583" s="18">
        <v>56.15</v>
      </c>
      <c r="M583" s="22">
        <v>36750</v>
      </c>
      <c r="N583" s="22">
        <v>15750</v>
      </c>
      <c r="O583" s="18">
        <v>16.84</v>
      </c>
      <c r="P583" s="52">
        <f>IF(COUNTIF(TblPurchases[BatchID],TblOutcomes[[#This Row],[BatchID]])&lt;&gt;1,"n.a.",TblOutcomes[[#This Row],[Qty Wasted]]*SUMIFS(TblPurchases[Unit Cost (CLP)],TblPurchases[BatchID],TblOutcomes[[#This Row],[BatchID]]))</f>
        <v>0</v>
      </c>
      <c r="Q583" s="51">
        <f>IF(COUNTIF(TblPurchases[BatchID],TblOutcomes[[#This Row],[BatchID]])&lt;&gt;1,"n.a.",SUMIFS(TblPurchases[Purchase Date],TblPurchases[BatchID],TblOutcomes[[#This Row],[BatchID]]))</f>
        <v>45487</v>
      </c>
    </row>
    <row r="584" spans="2:17" x14ac:dyDescent="0.25">
      <c r="B584" s="2" t="s">
        <v>1388</v>
      </c>
      <c r="C584" s="2" t="s">
        <v>142</v>
      </c>
      <c r="D584" s="2" t="s">
        <v>122</v>
      </c>
      <c r="E584" s="2" t="s">
        <v>4647</v>
      </c>
      <c r="F584" s="2">
        <v>15</v>
      </c>
      <c r="G584" s="2">
        <v>15</v>
      </c>
      <c r="H584" s="2">
        <v>0</v>
      </c>
      <c r="I584" s="1">
        <v>0</v>
      </c>
      <c r="J584" s="26">
        <v>45502</v>
      </c>
      <c r="K584" s="22">
        <v>52500</v>
      </c>
      <c r="L584" s="18">
        <v>56.15</v>
      </c>
      <c r="M584" s="22">
        <v>36750</v>
      </c>
      <c r="N584" s="22">
        <v>15750</v>
      </c>
      <c r="O584" s="18">
        <v>16.84</v>
      </c>
      <c r="P584" s="52">
        <f>IF(COUNTIF(TblPurchases[BatchID],TblOutcomes[[#This Row],[BatchID]])&lt;&gt;1,"n.a.",TblOutcomes[[#This Row],[Qty Wasted]]*SUMIFS(TblPurchases[Unit Cost (CLP)],TblPurchases[BatchID],TblOutcomes[[#This Row],[BatchID]]))</f>
        <v>0</v>
      </c>
      <c r="Q584" s="51">
        <f>IF(COUNTIF(TblPurchases[BatchID],TblOutcomes[[#This Row],[BatchID]])&lt;&gt;1,"n.a.",SUMIFS(TblPurchases[Purchase Date],TblPurchases[BatchID],TblOutcomes[[#This Row],[BatchID]]))</f>
        <v>45497</v>
      </c>
    </row>
    <row r="585" spans="2:17" x14ac:dyDescent="0.25">
      <c r="B585" s="2" t="s">
        <v>1389</v>
      </c>
      <c r="C585" s="2" t="s">
        <v>142</v>
      </c>
      <c r="D585" s="2" t="s">
        <v>122</v>
      </c>
      <c r="E585" s="2" t="s">
        <v>4647</v>
      </c>
      <c r="F585" s="2">
        <v>13</v>
      </c>
      <c r="G585" s="2">
        <v>13</v>
      </c>
      <c r="H585" s="2">
        <v>0</v>
      </c>
      <c r="I585" s="1">
        <v>0</v>
      </c>
      <c r="J585" s="26">
        <v>45516</v>
      </c>
      <c r="K585" s="22">
        <v>45500</v>
      </c>
      <c r="L585" s="18">
        <v>48.66</v>
      </c>
      <c r="M585" s="22">
        <v>31850</v>
      </c>
      <c r="N585" s="22">
        <v>13650</v>
      </c>
      <c r="O585" s="18">
        <v>14.6</v>
      </c>
      <c r="P585" s="52">
        <f>IF(COUNTIF(TblPurchases[BatchID],TblOutcomes[[#This Row],[BatchID]])&lt;&gt;1,"n.a.",TblOutcomes[[#This Row],[Qty Wasted]]*SUMIFS(TblPurchases[Unit Cost (CLP)],TblPurchases[BatchID],TblOutcomes[[#This Row],[BatchID]]))</f>
        <v>0</v>
      </c>
      <c r="Q585" s="51">
        <f>IF(COUNTIF(TblPurchases[BatchID],TblOutcomes[[#This Row],[BatchID]])&lt;&gt;1,"n.a.",SUMIFS(TblPurchases[Purchase Date],TblPurchases[BatchID],TblOutcomes[[#This Row],[BatchID]]))</f>
        <v>45506</v>
      </c>
    </row>
    <row r="586" spans="2:17" x14ac:dyDescent="0.25">
      <c r="B586" s="2" t="s">
        <v>1390</v>
      </c>
      <c r="C586" s="2" t="s">
        <v>142</v>
      </c>
      <c r="D586" s="2" t="s">
        <v>122</v>
      </c>
      <c r="E586" s="2" t="s">
        <v>4646</v>
      </c>
      <c r="F586" s="2">
        <v>16</v>
      </c>
      <c r="G586" s="2">
        <v>14.58</v>
      </c>
      <c r="H586" s="2">
        <v>1.42</v>
      </c>
      <c r="I586" s="1">
        <v>8.9</v>
      </c>
      <c r="J586" s="26">
        <v>45562</v>
      </c>
      <c r="K586" s="22">
        <v>51030</v>
      </c>
      <c r="L586" s="18">
        <v>54.58</v>
      </c>
      <c r="M586" s="22">
        <v>39200</v>
      </c>
      <c r="N586" s="22">
        <v>11830</v>
      </c>
      <c r="O586" s="18">
        <v>12.65</v>
      </c>
      <c r="P586" s="52">
        <f>IF(COUNTIF(TblPurchases[BatchID],TblOutcomes[[#This Row],[BatchID]])&lt;&gt;1,"n.a.",TblOutcomes[[#This Row],[Qty Wasted]]*SUMIFS(TblPurchases[Unit Cost (CLP)],TblPurchases[BatchID],TblOutcomes[[#This Row],[BatchID]]))</f>
        <v>3479</v>
      </c>
      <c r="Q586" s="51">
        <f>IF(COUNTIF(TblPurchases[BatchID],TblOutcomes[[#This Row],[BatchID]])&lt;&gt;1,"n.a.",SUMIFS(TblPurchases[Purchase Date],TblPurchases[BatchID],TblOutcomes[[#This Row],[BatchID]]))</f>
        <v>45517</v>
      </c>
    </row>
    <row r="587" spans="2:17" x14ac:dyDescent="0.25">
      <c r="B587" s="2" t="s">
        <v>1391</v>
      </c>
      <c r="C587" s="2" t="s">
        <v>142</v>
      </c>
      <c r="D587" s="2" t="s">
        <v>122</v>
      </c>
      <c r="E587" s="2" t="s">
        <v>4646</v>
      </c>
      <c r="F587" s="2">
        <v>14</v>
      </c>
      <c r="G587" s="2">
        <v>10.93</v>
      </c>
      <c r="H587" s="2">
        <v>3.07</v>
      </c>
      <c r="I587" s="1">
        <v>21.9</v>
      </c>
      <c r="J587" s="26">
        <v>45570</v>
      </c>
      <c r="K587" s="22">
        <v>38255</v>
      </c>
      <c r="L587" s="18">
        <v>40.909999999999997</v>
      </c>
      <c r="M587" s="22">
        <v>34300</v>
      </c>
      <c r="N587" s="22">
        <v>3955</v>
      </c>
      <c r="O587" s="18">
        <v>4.2300000000000004</v>
      </c>
      <c r="P587" s="52">
        <f>IF(COUNTIF(TblPurchases[BatchID],TblOutcomes[[#This Row],[BatchID]])&lt;&gt;1,"n.a.",TblOutcomes[[#This Row],[Qty Wasted]]*SUMIFS(TblPurchases[Unit Cost (CLP)],TblPurchases[BatchID],TblOutcomes[[#This Row],[BatchID]]))</f>
        <v>7521.5</v>
      </c>
      <c r="Q587" s="51">
        <f>IF(COUNTIF(TblPurchases[BatchID],TblOutcomes[[#This Row],[BatchID]])&lt;&gt;1,"n.a.",SUMIFS(TblPurchases[Purchase Date],TblPurchases[BatchID],TblOutcomes[[#This Row],[BatchID]]))</f>
        <v>45525</v>
      </c>
    </row>
    <row r="588" spans="2:17" x14ac:dyDescent="0.25">
      <c r="B588" s="2" t="s">
        <v>1392</v>
      </c>
      <c r="C588" s="2" t="s">
        <v>142</v>
      </c>
      <c r="D588" s="2" t="s">
        <v>122</v>
      </c>
      <c r="E588" s="2" t="s">
        <v>4646</v>
      </c>
      <c r="F588" s="2">
        <v>13</v>
      </c>
      <c r="G588" s="2">
        <v>11.05</v>
      </c>
      <c r="H588" s="2">
        <v>1.95</v>
      </c>
      <c r="I588" s="1">
        <v>15</v>
      </c>
      <c r="J588" s="26">
        <v>45579</v>
      </c>
      <c r="K588" s="22">
        <v>38675</v>
      </c>
      <c r="L588" s="18">
        <v>41.36</v>
      </c>
      <c r="M588" s="22">
        <v>31850</v>
      </c>
      <c r="N588" s="22">
        <v>6825</v>
      </c>
      <c r="O588" s="18">
        <v>7.3</v>
      </c>
      <c r="P588" s="52">
        <f>IF(COUNTIF(TblPurchases[BatchID],TblOutcomes[[#This Row],[BatchID]])&lt;&gt;1,"n.a.",TblOutcomes[[#This Row],[Qty Wasted]]*SUMIFS(TblPurchases[Unit Cost (CLP)],TblPurchases[BatchID],TblOutcomes[[#This Row],[BatchID]]))</f>
        <v>4777.5</v>
      </c>
      <c r="Q588" s="51">
        <f>IF(COUNTIF(TblPurchases[BatchID],TblOutcomes[[#This Row],[BatchID]])&lt;&gt;1,"n.a.",SUMIFS(TblPurchases[Purchase Date],TblPurchases[BatchID],TblOutcomes[[#This Row],[BatchID]]))</f>
        <v>45534</v>
      </c>
    </row>
    <row r="589" spans="2:17" x14ac:dyDescent="0.25">
      <c r="B589" s="2" t="s">
        <v>1393</v>
      </c>
      <c r="C589" s="2" t="s">
        <v>142</v>
      </c>
      <c r="D589" s="2" t="s">
        <v>122</v>
      </c>
      <c r="E589" s="2" t="s">
        <v>4647</v>
      </c>
      <c r="F589" s="2">
        <v>20</v>
      </c>
      <c r="G589" s="2">
        <v>20</v>
      </c>
      <c r="H589" s="2">
        <v>0</v>
      </c>
      <c r="I589" s="1">
        <v>0</v>
      </c>
      <c r="J589" s="26">
        <v>45552</v>
      </c>
      <c r="K589" s="22">
        <v>70000</v>
      </c>
      <c r="L589" s="18">
        <v>74.87</v>
      </c>
      <c r="M589" s="22">
        <v>49000</v>
      </c>
      <c r="N589" s="22">
        <v>21000</v>
      </c>
      <c r="O589" s="18">
        <v>22.46</v>
      </c>
      <c r="P589" s="52">
        <f>IF(COUNTIF(TblPurchases[BatchID],TblOutcomes[[#This Row],[BatchID]])&lt;&gt;1,"n.a.",TblOutcomes[[#This Row],[Qty Wasted]]*SUMIFS(TblPurchases[Unit Cost (CLP)],TblPurchases[BatchID],TblOutcomes[[#This Row],[BatchID]]))</f>
        <v>0</v>
      </c>
      <c r="Q589" s="51">
        <f>IF(COUNTIF(TblPurchases[BatchID],TblOutcomes[[#This Row],[BatchID]])&lt;&gt;1,"n.a.",SUMIFS(TblPurchases[Purchase Date],TblPurchases[BatchID],TblOutcomes[[#This Row],[BatchID]]))</f>
        <v>45545</v>
      </c>
    </row>
    <row r="590" spans="2:17" x14ac:dyDescent="0.25">
      <c r="B590" s="2" t="s">
        <v>1394</v>
      </c>
      <c r="C590" s="2" t="s">
        <v>142</v>
      </c>
      <c r="D590" s="2" t="s">
        <v>122</v>
      </c>
      <c r="E590" s="2" t="s">
        <v>4647</v>
      </c>
      <c r="F590" s="2">
        <v>20</v>
      </c>
      <c r="G590" s="2">
        <v>20</v>
      </c>
      <c r="H590" s="2">
        <v>0</v>
      </c>
      <c r="I590" s="1">
        <v>0</v>
      </c>
      <c r="J590" s="26">
        <v>45560</v>
      </c>
      <c r="K590" s="22">
        <v>70000</v>
      </c>
      <c r="L590" s="18">
        <v>74.87</v>
      </c>
      <c r="M590" s="22">
        <v>53000</v>
      </c>
      <c r="N590" s="22">
        <v>17000</v>
      </c>
      <c r="O590" s="18">
        <v>18.18</v>
      </c>
      <c r="P590" s="52">
        <f>IF(COUNTIF(TblPurchases[BatchID],TblOutcomes[[#This Row],[BatchID]])&lt;&gt;1,"n.a.",TblOutcomes[[#This Row],[Qty Wasted]]*SUMIFS(TblPurchases[Unit Cost (CLP)],TblPurchases[BatchID],TblOutcomes[[#This Row],[BatchID]]))</f>
        <v>0</v>
      </c>
      <c r="Q590" s="51">
        <f>IF(COUNTIF(TblPurchases[BatchID],TblOutcomes[[#This Row],[BatchID]])&lt;&gt;1,"n.a.",SUMIFS(TblPurchases[Purchase Date],TblPurchases[BatchID],TblOutcomes[[#This Row],[BatchID]]))</f>
        <v>45552</v>
      </c>
    </row>
    <row r="591" spans="2:17" x14ac:dyDescent="0.25">
      <c r="B591" s="2" t="s">
        <v>1395</v>
      </c>
      <c r="C591" s="2" t="s">
        <v>142</v>
      </c>
      <c r="D591" s="2" t="s">
        <v>122</v>
      </c>
      <c r="E591" s="2" t="s">
        <v>4646</v>
      </c>
      <c r="F591" s="2">
        <v>20</v>
      </c>
      <c r="G591" s="2">
        <v>16.66</v>
      </c>
      <c r="H591" s="2">
        <v>3.34</v>
      </c>
      <c r="I591" s="1">
        <v>16.7</v>
      </c>
      <c r="J591" s="26">
        <v>45609</v>
      </c>
      <c r="K591" s="22">
        <v>58310</v>
      </c>
      <c r="L591" s="18">
        <v>62.36</v>
      </c>
      <c r="M591" s="22">
        <v>49000</v>
      </c>
      <c r="N591" s="22">
        <v>9310</v>
      </c>
      <c r="O591" s="18">
        <v>9.9600000000000009</v>
      </c>
      <c r="P591" s="52">
        <f>IF(COUNTIF(TblPurchases[BatchID],TblOutcomes[[#This Row],[BatchID]])&lt;&gt;1,"n.a.",TblOutcomes[[#This Row],[Qty Wasted]]*SUMIFS(TblPurchases[Unit Cost (CLP)],TblPurchases[BatchID],TblOutcomes[[#This Row],[BatchID]]))</f>
        <v>8183</v>
      </c>
      <c r="Q591" s="51">
        <f>IF(COUNTIF(TblPurchases[BatchID],TblOutcomes[[#This Row],[BatchID]])&lt;&gt;1,"n.a.",SUMIFS(TblPurchases[Purchase Date],TblPurchases[BatchID],TblOutcomes[[#This Row],[BatchID]]))</f>
        <v>45564</v>
      </c>
    </row>
    <row r="592" spans="2:17" x14ac:dyDescent="0.25">
      <c r="B592" s="2" t="s">
        <v>1396</v>
      </c>
      <c r="C592" s="2" t="s">
        <v>142</v>
      </c>
      <c r="D592" s="2" t="s">
        <v>122</v>
      </c>
      <c r="E592" s="2" t="s">
        <v>4647</v>
      </c>
      <c r="F592" s="2">
        <v>36</v>
      </c>
      <c r="G592" s="2">
        <v>36</v>
      </c>
      <c r="H592" s="2">
        <v>0</v>
      </c>
      <c r="I592" s="1">
        <v>0</v>
      </c>
      <c r="J592" s="26">
        <v>45580</v>
      </c>
      <c r="K592" s="22">
        <v>126000</v>
      </c>
      <c r="L592" s="18">
        <v>134.76</v>
      </c>
      <c r="M592" s="22">
        <v>88200</v>
      </c>
      <c r="N592" s="22">
        <v>37800</v>
      </c>
      <c r="O592" s="18">
        <v>40.43</v>
      </c>
      <c r="P592" s="52">
        <f>IF(COUNTIF(TblPurchases[BatchID],TblOutcomes[[#This Row],[BatchID]])&lt;&gt;1,"n.a.",TblOutcomes[[#This Row],[Qty Wasted]]*SUMIFS(TblPurchases[Unit Cost (CLP)],TblPurchases[BatchID],TblOutcomes[[#This Row],[BatchID]]))</f>
        <v>0</v>
      </c>
      <c r="Q592" s="51">
        <f>IF(COUNTIF(TblPurchases[BatchID],TblOutcomes[[#This Row],[BatchID]])&lt;&gt;1,"n.a.",SUMIFS(TblPurchases[Purchase Date],TblPurchases[BatchID],TblOutcomes[[#This Row],[BatchID]]))</f>
        <v>45575</v>
      </c>
    </row>
    <row r="593" spans="2:17" x14ac:dyDescent="0.25">
      <c r="B593" s="2" t="s">
        <v>1397</v>
      </c>
      <c r="C593" s="2" t="s">
        <v>142</v>
      </c>
      <c r="D593" s="2" t="s">
        <v>122</v>
      </c>
      <c r="E593" s="2" t="s">
        <v>4647</v>
      </c>
      <c r="F593" s="2">
        <v>46</v>
      </c>
      <c r="G593" s="2">
        <v>46</v>
      </c>
      <c r="H593" s="2">
        <v>0</v>
      </c>
      <c r="I593" s="1">
        <v>0</v>
      </c>
      <c r="J593" s="26">
        <v>45589</v>
      </c>
      <c r="K593" s="22">
        <v>161000</v>
      </c>
      <c r="L593" s="18">
        <v>172.19</v>
      </c>
      <c r="M593" s="22">
        <v>112700</v>
      </c>
      <c r="N593" s="22">
        <v>48300</v>
      </c>
      <c r="O593" s="18">
        <v>51.66</v>
      </c>
      <c r="P593" s="52">
        <f>IF(COUNTIF(TblPurchases[BatchID],TblOutcomes[[#This Row],[BatchID]])&lt;&gt;1,"n.a.",TblOutcomes[[#This Row],[Qty Wasted]]*SUMIFS(TblPurchases[Unit Cost (CLP)],TblPurchases[BatchID],TblOutcomes[[#This Row],[BatchID]]))</f>
        <v>0</v>
      </c>
      <c r="Q593" s="51">
        <f>IF(COUNTIF(TblPurchases[BatchID],TblOutcomes[[#This Row],[BatchID]])&lt;&gt;1,"n.a.",SUMIFS(TblPurchases[Purchase Date],TblPurchases[BatchID],TblOutcomes[[#This Row],[BatchID]]))</f>
        <v>45584</v>
      </c>
    </row>
    <row r="594" spans="2:17" x14ac:dyDescent="0.25">
      <c r="B594" s="2" t="s">
        <v>1398</v>
      </c>
      <c r="C594" s="2" t="s">
        <v>142</v>
      </c>
      <c r="D594" s="2" t="s">
        <v>122</v>
      </c>
      <c r="E594" s="2" t="s">
        <v>4646</v>
      </c>
      <c r="F594" s="2">
        <v>35</v>
      </c>
      <c r="G594" s="2">
        <v>29.71</v>
      </c>
      <c r="H594" s="2">
        <v>5.29</v>
      </c>
      <c r="I594" s="1">
        <v>15.1</v>
      </c>
      <c r="J594" s="26">
        <v>45637</v>
      </c>
      <c r="K594" s="22">
        <v>103985</v>
      </c>
      <c r="L594" s="18">
        <v>111.21</v>
      </c>
      <c r="M594" s="22">
        <v>85750</v>
      </c>
      <c r="N594" s="22">
        <v>18235</v>
      </c>
      <c r="O594" s="18">
        <v>19.5</v>
      </c>
      <c r="P594" s="52">
        <f>IF(COUNTIF(TblPurchases[BatchID],TblOutcomes[[#This Row],[BatchID]])&lt;&gt;1,"n.a.",TblOutcomes[[#This Row],[Qty Wasted]]*SUMIFS(TblPurchases[Unit Cost (CLP)],TblPurchases[BatchID],TblOutcomes[[#This Row],[BatchID]]))</f>
        <v>12960.5</v>
      </c>
      <c r="Q594" s="51">
        <f>IF(COUNTIF(TblPurchases[BatchID],TblOutcomes[[#This Row],[BatchID]])&lt;&gt;1,"n.a.",SUMIFS(TblPurchases[Purchase Date],TblPurchases[BatchID],TblOutcomes[[#This Row],[BatchID]]))</f>
        <v>45592</v>
      </c>
    </row>
    <row r="595" spans="2:17" x14ac:dyDescent="0.25">
      <c r="B595" s="2" t="s">
        <v>1399</v>
      </c>
      <c r="C595" s="2" t="s">
        <v>142</v>
      </c>
      <c r="D595" s="2" t="s">
        <v>122</v>
      </c>
      <c r="E595" s="2" t="s">
        <v>4647</v>
      </c>
      <c r="F595" s="2">
        <v>43</v>
      </c>
      <c r="G595" s="2">
        <v>43</v>
      </c>
      <c r="H595" s="2">
        <v>0</v>
      </c>
      <c r="I595" s="1">
        <v>0</v>
      </c>
      <c r="J595" s="26">
        <v>45615</v>
      </c>
      <c r="K595" s="22">
        <v>150500</v>
      </c>
      <c r="L595" s="18">
        <v>160.96</v>
      </c>
      <c r="M595" s="22">
        <v>105350</v>
      </c>
      <c r="N595" s="22">
        <v>45150</v>
      </c>
      <c r="O595" s="18">
        <v>48.29</v>
      </c>
      <c r="P595" s="52">
        <f>IF(COUNTIF(TblPurchases[BatchID],TblOutcomes[[#This Row],[BatchID]])&lt;&gt;1,"n.a.",TblOutcomes[[#This Row],[Qty Wasted]]*SUMIFS(TblPurchases[Unit Cost (CLP)],TblPurchases[BatchID],TblOutcomes[[#This Row],[BatchID]]))</f>
        <v>0</v>
      </c>
      <c r="Q595" s="51">
        <f>IF(COUNTIF(TblPurchases[BatchID],TblOutcomes[[#This Row],[BatchID]])&lt;&gt;1,"n.a.",SUMIFS(TblPurchases[Purchase Date],TblPurchases[BatchID],TblOutcomes[[#This Row],[BatchID]]))</f>
        <v>45601</v>
      </c>
    </row>
    <row r="596" spans="2:17" x14ac:dyDescent="0.25">
      <c r="B596" s="2" t="s">
        <v>1400</v>
      </c>
      <c r="C596" s="2" t="s">
        <v>142</v>
      </c>
      <c r="D596" s="2" t="s">
        <v>122</v>
      </c>
      <c r="E596" s="2" t="s">
        <v>4647</v>
      </c>
      <c r="F596" s="2">
        <v>40</v>
      </c>
      <c r="G596" s="2">
        <v>40</v>
      </c>
      <c r="H596" s="2">
        <v>0</v>
      </c>
      <c r="I596" s="1">
        <v>0</v>
      </c>
      <c r="J596" s="26">
        <v>45623</v>
      </c>
      <c r="K596" s="22">
        <v>140000</v>
      </c>
      <c r="L596" s="18">
        <v>149.72999999999999</v>
      </c>
      <c r="M596" s="22">
        <v>98000</v>
      </c>
      <c r="N596" s="22">
        <v>42000</v>
      </c>
      <c r="O596" s="18">
        <v>44.92</v>
      </c>
      <c r="P596" s="52">
        <f>IF(COUNTIF(TblPurchases[BatchID],TblOutcomes[[#This Row],[BatchID]])&lt;&gt;1,"n.a.",TblOutcomes[[#This Row],[Qty Wasted]]*SUMIFS(TblPurchases[Unit Cost (CLP)],TblPurchases[BatchID],TblOutcomes[[#This Row],[BatchID]]))</f>
        <v>0</v>
      </c>
      <c r="Q596" s="51">
        <f>IF(COUNTIF(TblPurchases[BatchID],TblOutcomes[[#This Row],[BatchID]])&lt;&gt;1,"n.a.",SUMIFS(TblPurchases[Purchase Date],TblPurchases[BatchID],TblOutcomes[[#This Row],[BatchID]]))</f>
        <v>45613</v>
      </c>
    </row>
    <row r="597" spans="2:17" x14ac:dyDescent="0.25">
      <c r="B597" s="2" t="s">
        <v>1401</v>
      </c>
      <c r="C597" s="2" t="s">
        <v>142</v>
      </c>
      <c r="D597" s="2" t="s">
        <v>122</v>
      </c>
      <c r="E597" s="2" t="s">
        <v>4647</v>
      </c>
      <c r="F597" s="2">
        <v>45</v>
      </c>
      <c r="G597" s="2">
        <v>45</v>
      </c>
      <c r="H597" s="2">
        <v>0</v>
      </c>
      <c r="I597" s="1">
        <v>0</v>
      </c>
      <c r="J597" s="26">
        <v>45630</v>
      </c>
      <c r="K597" s="22">
        <v>157500</v>
      </c>
      <c r="L597" s="18">
        <v>168.45</v>
      </c>
      <c r="M597" s="22">
        <v>110250</v>
      </c>
      <c r="N597" s="22">
        <v>47250</v>
      </c>
      <c r="O597" s="18">
        <v>50.53</v>
      </c>
      <c r="P597" s="52">
        <f>IF(COUNTIF(TblPurchases[BatchID],TblOutcomes[[#This Row],[BatchID]])&lt;&gt;1,"n.a.",TblOutcomes[[#This Row],[Qty Wasted]]*SUMIFS(TblPurchases[Unit Cost (CLP)],TblPurchases[BatchID],TblOutcomes[[#This Row],[BatchID]]))</f>
        <v>0</v>
      </c>
      <c r="Q597" s="51">
        <f>IF(COUNTIF(TblPurchases[BatchID],TblOutcomes[[#This Row],[BatchID]])&lt;&gt;1,"n.a.",SUMIFS(TblPurchases[Purchase Date],TblPurchases[BatchID],TblOutcomes[[#This Row],[BatchID]]))</f>
        <v>45622</v>
      </c>
    </row>
    <row r="598" spans="2:17" x14ac:dyDescent="0.25">
      <c r="B598" s="2" t="s">
        <v>1402</v>
      </c>
      <c r="C598" s="2" t="s">
        <v>142</v>
      </c>
      <c r="D598" s="2" t="s">
        <v>122</v>
      </c>
      <c r="E598" s="2" t="s">
        <v>4647</v>
      </c>
      <c r="F598" s="2">
        <v>57</v>
      </c>
      <c r="G598" s="2">
        <v>57</v>
      </c>
      <c r="H598" s="2">
        <v>0</v>
      </c>
      <c r="I598" s="1">
        <v>0</v>
      </c>
      <c r="J598" s="26">
        <v>45632</v>
      </c>
      <c r="K598" s="22">
        <v>199500</v>
      </c>
      <c r="L598" s="18">
        <v>213.37</v>
      </c>
      <c r="M598" s="22">
        <v>139650</v>
      </c>
      <c r="N598" s="22">
        <v>59850</v>
      </c>
      <c r="O598" s="18">
        <v>64.010000000000005</v>
      </c>
      <c r="P598" s="52">
        <f>IF(COUNTIF(TblPurchases[BatchID],TblOutcomes[[#This Row],[BatchID]])&lt;&gt;1,"n.a.",TblOutcomes[[#This Row],[Qty Wasted]]*SUMIFS(TblPurchases[Unit Cost (CLP)],TblPurchases[BatchID],TblOutcomes[[#This Row],[BatchID]]))</f>
        <v>0</v>
      </c>
      <c r="Q598" s="51">
        <f>IF(COUNTIF(TblPurchases[BatchID],TblOutcomes[[#This Row],[BatchID]])&lt;&gt;1,"n.a.",SUMIFS(TblPurchases[Purchase Date],TblPurchases[BatchID],TblOutcomes[[#This Row],[BatchID]]))</f>
        <v>45629</v>
      </c>
    </row>
    <row r="599" spans="2:17" x14ac:dyDescent="0.25">
      <c r="B599" s="2" t="s">
        <v>1403</v>
      </c>
      <c r="C599" s="2" t="s">
        <v>142</v>
      </c>
      <c r="D599" s="2" t="s">
        <v>122</v>
      </c>
      <c r="E599" s="2" t="s">
        <v>4647</v>
      </c>
      <c r="F599" s="2">
        <v>53</v>
      </c>
      <c r="G599" s="2">
        <v>53</v>
      </c>
      <c r="H599" s="2">
        <v>0</v>
      </c>
      <c r="I599" s="1">
        <v>0</v>
      </c>
      <c r="J599" s="26">
        <v>45648</v>
      </c>
      <c r="K599" s="22">
        <v>185500</v>
      </c>
      <c r="L599" s="18">
        <v>198.4</v>
      </c>
      <c r="M599" s="22">
        <v>129850</v>
      </c>
      <c r="N599" s="22">
        <v>55650</v>
      </c>
      <c r="O599" s="18">
        <v>59.52</v>
      </c>
      <c r="P599" s="52">
        <f>IF(COUNTIF(TblPurchases[BatchID],TblOutcomes[[#This Row],[BatchID]])&lt;&gt;1,"n.a.",TblOutcomes[[#This Row],[Qty Wasted]]*SUMIFS(TblPurchases[Unit Cost (CLP)],TblPurchases[BatchID],TblOutcomes[[#This Row],[BatchID]]))</f>
        <v>0</v>
      </c>
      <c r="Q599" s="51">
        <f>IF(COUNTIF(TblPurchases[BatchID],TblOutcomes[[#This Row],[BatchID]])&lt;&gt;1,"n.a.",SUMIFS(TblPurchases[Purchase Date],TblPurchases[BatchID],TblOutcomes[[#This Row],[BatchID]]))</f>
        <v>45639</v>
      </c>
    </row>
    <row r="600" spans="2:17" x14ac:dyDescent="0.25">
      <c r="B600" s="2" t="s">
        <v>1404</v>
      </c>
      <c r="C600" s="2" t="s">
        <v>142</v>
      </c>
      <c r="D600" s="2" t="s">
        <v>122</v>
      </c>
      <c r="E600" s="2" t="s">
        <v>4647</v>
      </c>
      <c r="F600" s="2">
        <v>54</v>
      </c>
      <c r="G600" s="2">
        <v>54</v>
      </c>
      <c r="H600" s="2">
        <v>0</v>
      </c>
      <c r="I600" s="1">
        <v>0</v>
      </c>
      <c r="J600" s="26">
        <v>45654</v>
      </c>
      <c r="K600" s="22">
        <v>189000</v>
      </c>
      <c r="L600" s="18">
        <v>202.14</v>
      </c>
      <c r="M600" s="22">
        <v>132300</v>
      </c>
      <c r="N600" s="22">
        <v>56700</v>
      </c>
      <c r="O600" s="18">
        <v>60.64</v>
      </c>
      <c r="P600" s="52">
        <f>IF(COUNTIF(TblPurchases[BatchID],TblOutcomes[[#This Row],[BatchID]])&lt;&gt;1,"n.a.",TblOutcomes[[#This Row],[Qty Wasted]]*SUMIFS(TblPurchases[Unit Cost (CLP)],TblPurchases[BatchID],TblOutcomes[[#This Row],[BatchID]]))</f>
        <v>0</v>
      </c>
      <c r="Q600" s="51">
        <f>IF(COUNTIF(TblPurchases[BatchID],TblOutcomes[[#This Row],[BatchID]])&lt;&gt;1,"n.a.",SUMIFS(TblPurchases[Purchase Date],TblPurchases[BatchID],TblOutcomes[[#This Row],[BatchID]]))</f>
        <v>45650</v>
      </c>
    </row>
    <row r="601" spans="2:17" x14ac:dyDescent="0.25">
      <c r="B601" s="2" t="s">
        <v>1405</v>
      </c>
      <c r="C601" s="2" t="s">
        <v>142</v>
      </c>
      <c r="D601" s="2" t="s">
        <v>122</v>
      </c>
      <c r="E601" s="2" t="s">
        <v>4647</v>
      </c>
      <c r="F601" s="2">
        <v>45</v>
      </c>
      <c r="G601" s="2">
        <v>45</v>
      </c>
      <c r="H601" s="2">
        <v>0</v>
      </c>
      <c r="I601" s="1">
        <v>0</v>
      </c>
      <c r="J601" s="26">
        <v>45671</v>
      </c>
      <c r="K601" s="22">
        <v>157500</v>
      </c>
      <c r="L601" s="18">
        <v>168.45</v>
      </c>
      <c r="M601" s="22">
        <v>119250</v>
      </c>
      <c r="N601" s="22">
        <v>38250</v>
      </c>
      <c r="O601" s="18">
        <v>40.909999999999997</v>
      </c>
      <c r="P601" s="52">
        <f>IF(COUNTIF(TblPurchases[BatchID],TblOutcomes[[#This Row],[BatchID]])&lt;&gt;1,"n.a.",TblOutcomes[[#This Row],[Qty Wasted]]*SUMIFS(TblPurchases[Unit Cost (CLP)],TblPurchases[BatchID],TblOutcomes[[#This Row],[BatchID]]))</f>
        <v>0</v>
      </c>
      <c r="Q601" s="51">
        <f>IF(COUNTIF(TblPurchases[BatchID],TblOutcomes[[#This Row],[BatchID]])&lt;&gt;1,"n.a.",SUMIFS(TblPurchases[Purchase Date],TblPurchases[BatchID],TblOutcomes[[#This Row],[BatchID]]))</f>
        <v>45659</v>
      </c>
    </row>
    <row r="602" spans="2:17" x14ac:dyDescent="0.25">
      <c r="B602" s="2" t="s">
        <v>1406</v>
      </c>
      <c r="C602" s="2" t="s">
        <v>142</v>
      </c>
      <c r="D602" s="2" t="s">
        <v>122</v>
      </c>
      <c r="E602" s="2" t="s">
        <v>4647</v>
      </c>
      <c r="F602" s="2">
        <v>49</v>
      </c>
      <c r="G602" s="2">
        <v>49</v>
      </c>
      <c r="H602" s="2">
        <v>0</v>
      </c>
      <c r="I602" s="1">
        <v>0</v>
      </c>
      <c r="J602" s="26">
        <v>45675</v>
      </c>
      <c r="K602" s="22">
        <v>171500</v>
      </c>
      <c r="L602" s="18">
        <v>183.42</v>
      </c>
      <c r="M602" s="22">
        <v>120050</v>
      </c>
      <c r="N602" s="22">
        <v>51450</v>
      </c>
      <c r="O602" s="18">
        <v>55.03</v>
      </c>
      <c r="P602" s="52">
        <f>IF(COUNTIF(TblPurchases[BatchID],TblOutcomes[[#This Row],[BatchID]])&lt;&gt;1,"n.a.",TblOutcomes[[#This Row],[Qty Wasted]]*SUMIFS(TblPurchases[Unit Cost (CLP)],TblPurchases[BatchID],TblOutcomes[[#This Row],[BatchID]]))</f>
        <v>0</v>
      </c>
      <c r="Q602" s="51">
        <f>IF(COUNTIF(TblPurchases[BatchID],TblOutcomes[[#This Row],[BatchID]])&lt;&gt;1,"n.a.",SUMIFS(TblPurchases[Purchase Date],TblPurchases[BatchID],TblOutcomes[[#This Row],[BatchID]]))</f>
        <v>45669</v>
      </c>
    </row>
    <row r="603" spans="2:17" x14ac:dyDescent="0.25">
      <c r="B603" s="2" t="s">
        <v>1407</v>
      </c>
      <c r="C603" s="2" t="s">
        <v>142</v>
      </c>
      <c r="D603" s="2" t="s">
        <v>122</v>
      </c>
      <c r="E603" s="2" t="s">
        <v>4647</v>
      </c>
      <c r="F603" s="2">
        <v>40</v>
      </c>
      <c r="G603" s="2">
        <v>40</v>
      </c>
      <c r="H603" s="2">
        <v>0</v>
      </c>
      <c r="I603" s="1">
        <v>0</v>
      </c>
      <c r="J603" s="26">
        <v>45690</v>
      </c>
      <c r="K603" s="22">
        <v>140000</v>
      </c>
      <c r="L603" s="18">
        <v>149.72999999999999</v>
      </c>
      <c r="M603" s="22">
        <v>98000</v>
      </c>
      <c r="N603" s="22">
        <v>42000</v>
      </c>
      <c r="O603" s="18">
        <v>44.92</v>
      </c>
      <c r="P603" s="52">
        <f>IF(COUNTIF(TblPurchases[BatchID],TblOutcomes[[#This Row],[BatchID]])&lt;&gt;1,"n.a.",TblOutcomes[[#This Row],[Qty Wasted]]*SUMIFS(TblPurchases[Unit Cost (CLP)],TblPurchases[BatchID],TblOutcomes[[#This Row],[BatchID]]))</f>
        <v>0</v>
      </c>
      <c r="Q603" s="51">
        <f>IF(COUNTIF(TblPurchases[BatchID],TblOutcomes[[#This Row],[BatchID]])&lt;&gt;1,"n.a.",SUMIFS(TblPurchases[Purchase Date],TblPurchases[BatchID],TblOutcomes[[#This Row],[BatchID]]))</f>
        <v>45680</v>
      </c>
    </row>
    <row r="604" spans="2:17" x14ac:dyDescent="0.25">
      <c r="B604" s="2" t="s">
        <v>1408</v>
      </c>
      <c r="C604" s="2" t="s">
        <v>142</v>
      </c>
      <c r="D604" s="2" t="s">
        <v>122</v>
      </c>
      <c r="E604" s="2" t="s">
        <v>4647</v>
      </c>
      <c r="F604" s="2">
        <v>38</v>
      </c>
      <c r="G604" s="2">
        <v>38</v>
      </c>
      <c r="H604" s="2">
        <v>0</v>
      </c>
      <c r="I604" s="1">
        <v>0</v>
      </c>
      <c r="J604" s="26">
        <v>45697</v>
      </c>
      <c r="K604" s="22">
        <v>133000</v>
      </c>
      <c r="L604" s="18">
        <v>142.25</v>
      </c>
      <c r="M604" s="22">
        <v>93100</v>
      </c>
      <c r="N604" s="22">
        <v>39900</v>
      </c>
      <c r="O604" s="18">
        <v>42.67</v>
      </c>
      <c r="P604" s="52">
        <f>IF(COUNTIF(TblPurchases[BatchID],TblOutcomes[[#This Row],[BatchID]])&lt;&gt;1,"n.a.",TblOutcomes[[#This Row],[Qty Wasted]]*SUMIFS(TblPurchases[Unit Cost (CLP)],TblPurchases[BatchID],TblOutcomes[[#This Row],[BatchID]]))</f>
        <v>0</v>
      </c>
      <c r="Q604" s="51">
        <f>IF(COUNTIF(TblPurchases[BatchID],TblOutcomes[[#This Row],[BatchID]])&lt;&gt;1,"n.a.",SUMIFS(TblPurchases[Purchase Date],TblPurchases[BatchID],TblOutcomes[[#This Row],[BatchID]]))</f>
        <v>45689</v>
      </c>
    </row>
    <row r="605" spans="2:17" x14ac:dyDescent="0.25">
      <c r="B605" s="2" t="s">
        <v>1409</v>
      </c>
      <c r="C605" s="2" t="s">
        <v>142</v>
      </c>
      <c r="D605" s="2" t="s">
        <v>122</v>
      </c>
      <c r="E605" s="2" t="s">
        <v>4647</v>
      </c>
      <c r="F605" s="2">
        <v>46</v>
      </c>
      <c r="G605" s="2">
        <v>46</v>
      </c>
      <c r="H605" s="2">
        <v>0</v>
      </c>
      <c r="I605" s="1">
        <v>0</v>
      </c>
      <c r="J605" s="26">
        <v>45706</v>
      </c>
      <c r="K605" s="22">
        <v>161000</v>
      </c>
      <c r="L605" s="18">
        <v>172.19</v>
      </c>
      <c r="M605" s="22">
        <v>112700</v>
      </c>
      <c r="N605" s="22">
        <v>48300</v>
      </c>
      <c r="O605" s="18">
        <v>51.66</v>
      </c>
      <c r="P605" s="52">
        <f>IF(COUNTIF(TblPurchases[BatchID],TblOutcomes[[#This Row],[BatchID]])&lt;&gt;1,"n.a.",TblOutcomes[[#This Row],[Qty Wasted]]*SUMIFS(TblPurchases[Unit Cost (CLP)],TblPurchases[BatchID],TblOutcomes[[#This Row],[BatchID]]))</f>
        <v>0</v>
      </c>
      <c r="Q605" s="51">
        <f>IF(COUNTIF(TblPurchases[BatchID],TblOutcomes[[#This Row],[BatchID]])&lt;&gt;1,"n.a.",SUMIFS(TblPurchases[Purchase Date],TblPurchases[BatchID],TblOutcomes[[#This Row],[BatchID]]))</f>
        <v>45699</v>
      </c>
    </row>
    <row r="606" spans="2:17" x14ac:dyDescent="0.25">
      <c r="B606" s="2" t="s">
        <v>1410</v>
      </c>
      <c r="C606" s="2" t="s">
        <v>142</v>
      </c>
      <c r="D606" s="2" t="s">
        <v>122</v>
      </c>
      <c r="E606" s="2" t="s">
        <v>4646</v>
      </c>
      <c r="F606" s="2">
        <v>39</v>
      </c>
      <c r="G606" s="2">
        <v>30.73</v>
      </c>
      <c r="H606" s="2">
        <v>8.27</v>
      </c>
      <c r="I606" s="1">
        <v>21.2</v>
      </c>
      <c r="J606" s="26">
        <v>45750</v>
      </c>
      <c r="K606" s="22">
        <v>107555</v>
      </c>
      <c r="L606" s="18">
        <v>115.03</v>
      </c>
      <c r="M606" s="22">
        <v>95550</v>
      </c>
      <c r="N606" s="22">
        <v>12005</v>
      </c>
      <c r="O606" s="18">
        <v>12.84</v>
      </c>
      <c r="P606" s="52">
        <f>IF(COUNTIF(TblPurchases[BatchID],TblOutcomes[[#This Row],[BatchID]])&lt;&gt;1,"n.a.",TblOutcomes[[#This Row],[Qty Wasted]]*SUMIFS(TblPurchases[Unit Cost (CLP)],TblPurchases[BatchID],TblOutcomes[[#This Row],[BatchID]]))</f>
        <v>20261.5</v>
      </c>
      <c r="Q606" s="51">
        <f>IF(COUNTIF(TblPurchases[BatchID],TblOutcomes[[#This Row],[BatchID]])&lt;&gt;1,"n.a.",SUMIFS(TblPurchases[Purchase Date],TblPurchases[BatchID],TblOutcomes[[#This Row],[BatchID]]))</f>
        <v>45705</v>
      </c>
    </row>
    <row r="607" spans="2:17" x14ac:dyDescent="0.25">
      <c r="B607" s="2" t="s">
        <v>1411</v>
      </c>
      <c r="C607" s="2" t="s">
        <v>142</v>
      </c>
      <c r="D607" s="2" t="s">
        <v>122</v>
      </c>
      <c r="E607" s="2" t="s">
        <v>4647</v>
      </c>
      <c r="F607" s="2">
        <v>45</v>
      </c>
      <c r="G607" s="2">
        <v>45</v>
      </c>
      <c r="H607" s="2">
        <v>0</v>
      </c>
      <c r="I607" s="1">
        <v>0</v>
      </c>
      <c r="J607" s="26">
        <v>45724</v>
      </c>
      <c r="K607" s="22">
        <v>157500</v>
      </c>
      <c r="L607" s="18">
        <v>168.45</v>
      </c>
      <c r="M607" s="22">
        <v>119250</v>
      </c>
      <c r="N607" s="22">
        <v>38250</v>
      </c>
      <c r="O607" s="18">
        <v>40.909999999999997</v>
      </c>
      <c r="P607" s="52">
        <f>IF(COUNTIF(TblPurchases[BatchID],TblOutcomes[[#This Row],[BatchID]])&lt;&gt;1,"n.a.",TblOutcomes[[#This Row],[Qty Wasted]]*SUMIFS(TblPurchases[Unit Cost (CLP)],TblPurchases[BatchID],TblOutcomes[[#This Row],[BatchID]]))</f>
        <v>0</v>
      </c>
      <c r="Q607" s="51">
        <f>IF(COUNTIF(TblPurchases[BatchID],TblOutcomes[[#This Row],[BatchID]])&lt;&gt;1,"n.a.",SUMIFS(TblPurchases[Purchase Date],TblPurchases[BatchID],TblOutcomes[[#This Row],[BatchID]]))</f>
        <v>45712</v>
      </c>
    </row>
    <row r="608" spans="2:17" x14ac:dyDescent="0.25">
      <c r="B608" s="2" t="s">
        <v>1412</v>
      </c>
      <c r="C608" s="2" t="s">
        <v>142</v>
      </c>
      <c r="D608" s="2" t="s">
        <v>122</v>
      </c>
      <c r="E608" s="2" t="s">
        <v>4647</v>
      </c>
      <c r="F608" s="2">
        <v>48</v>
      </c>
      <c r="G608" s="2">
        <v>48</v>
      </c>
      <c r="H608" s="2">
        <v>0</v>
      </c>
      <c r="I608" s="1">
        <v>0</v>
      </c>
      <c r="J608" s="26">
        <v>45724</v>
      </c>
      <c r="K608" s="22">
        <v>168000</v>
      </c>
      <c r="L608" s="18">
        <v>179.68</v>
      </c>
      <c r="M608" s="22">
        <v>117600</v>
      </c>
      <c r="N608" s="22">
        <v>50400</v>
      </c>
      <c r="O608" s="18">
        <v>53.9</v>
      </c>
      <c r="P608" s="52">
        <f>IF(COUNTIF(TblPurchases[BatchID],TblOutcomes[[#This Row],[BatchID]])&lt;&gt;1,"n.a.",TblOutcomes[[#This Row],[Qty Wasted]]*SUMIFS(TblPurchases[Unit Cost (CLP)],TblPurchases[BatchID],TblOutcomes[[#This Row],[BatchID]]))</f>
        <v>0</v>
      </c>
      <c r="Q608" s="51">
        <f>IF(COUNTIF(TblPurchases[BatchID],TblOutcomes[[#This Row],[BatchID]])&lt;&gt;1,"n.a.",SUMIFS(TblPurchases[Purchase Date],TblPurchases[BatchID],TblOutcomes[[#This Row],[BatchID]]))</f>
        <v>45720</v>
      </c>
    </row>
    <row r="609" spans="2:17" x14ac:dyDescent="0.25">
      <c r="B609" s="2" t="s">
        <v>1413</v>
      </c>
      <c r="C609" s="2" t="s">
        <v>142</v>
      </c>
      <c r="D609" s="2" t="s">
        <v>122</v>
      </c>
      <c r="E609" s="2" t="s">
        <v>4647</v>
      </c>
      <c r="F609" s="2">
        <v>50</v>
      </c>
      <c r="G609" s="2">
        <v>50</v>
      </c>
      <c r="H609" s="2">
        <v>0</v>
      </c>
      <c r="I609" s="1">
        <v>0</v>
      </c>
      <c r="J609" s="26">
        <v>45732</v>
      </c>
      <c r="K609" s="22">
        <v>175000</v>
      </c>
      <c r="L609" s="18">
        <v>187.17</v>
      </c>
      <c r="M609" s="22">
        <v>122500</v>
      </c>
      <c r="N609" s="22">
        <v>52500</v>
      </c>
      <c r="O609" s="18">
        <v>56.15</v>
      </c>
      <c r="P609" s="52">
        <f>IF(COUNTIF(TblPurchases[BatchID],TblOutcomes[[#This Row],[BatchID]])&lt;&gt;1,"n.a.",TblOutcomes[[#This Row],[Qty Wasted]]*SUMIFS(TblPurchases[Unit Cost (CLP)],TblPurchases[BatchID],TblOutcomes[[#This Row],[BatchID]]))</f>
        <v>0</v>
      </c>
      <c r="Q609" s="51">
        <f>IF(COUNTIF(TblPurchases[BatchID],TblOutcomes[[#This Row],[BatchID]])&lt;&gt;1,"n.a.",SUMIFS(TblPurchases[Purchase Date],TblPurchases[BatchID],TblOutcomes[[#This Row],[BatchID]]))</f>
        <v>45728</v>
      </c>
    </row>
    <row r="610" spans="2:17" x14ac:dyDescent="0.25">
      <c r="B610" s="2" t="s">
        <v>1414</v>
      </c>
      <c r="C610" s="2" t="s">
        <v>142</v>
      </c>
      <c r="D610" s="2" t="s">
        <v>122</v>
      </c>
      <c r="E610" s="2" t="s">
        <v>4647</v>
      </c>
      <c r="F610" s="2">
        <v>45</v>
      </c>
      <c r="G610" s="2">
        <v>45</v>
      </c>
      <c r="H610" s="2">
        <v>0</v>
      </c>
      <c r="I610" s="1">
        <v>0</v>
      </c>
      <c r="J610" s="26">
        <v>45740</v>
      </c>
      <c r="K610" s="22">
        <v>157500</v>
      </c>
      <c r="L610" s="18">
        <v>168.45</v>
      </c>
      <c r="M610" s="22">
        <v>110250</v>
      </c>
      <c r="N610" s="22">
        <v>47250</v>
      </c>
      <c r="O610" s="18">
        <v>50.53</v>
      </c>
      <c r="P610" s="52">
        <f>IF(COUNTIF(TblPurchases[BatchID],TblOutcomes[[#This Row],[BatchID]])&lt;&gt;1,"n.a.",TblOutcomes[[#This Row],[Qty Wasted]]*SUMIFS(TblPurchases[Unit Cost (CLP)],TblPurchases[BatchID],TblOutcomes[[#This Row],[BatchID]]))</f>
        <v>0</v>
      </c>
      <c r="Q610" s="51">
        <f>IF(COUNTIF(TblPurchases[BatchID],TblOutcomes[[#This Row],[BatchID]])&lt;&gt;1,"n.a.",SUMIFS(TblPurchases[Purchase Date],TblPurchases[BatchID],TblOutcomes[[#This Row],[BatchID]]))</f>
        <v>45736</v>
      </c>
    </row>
    <row r="611" spans="2:17" x14ac:dyDescent="0.25">
      <c r="B611" s="2" t="s">
        <v>1415</v>
      </c>
      <c r="C611" s="2" t="s">
        <v>142</v>
      </c>
      <c r="D611" s="2" t="s">
        <v>122</v>
      </c>
      <c r="E611" s="2" t="s">
        <v>4647</v>
      </c>
      <c r="F611" s="2">
        <v>42</v>
      </c>
      <c r="G611" s="2">
        <v>42</v>
      </c>
      <c r="H611" s="2">
        <v>0</v>
      </c>
      <c r="I611" s="1">
        <v>0</v>
      </c>
      <c r="J611" s="26">
        <v>45754</v>
      </c>
      <c r="K611" s="22">
        <v>147000</v>
      </c>
      <c r="L611" s="18">
        <v>157.22</v>
      </c>
      <c r="M611" s="22">
        <v>102900</v>
      </c>
      <c r="N611" s="22">
        <v>44100</v>
      </c>
      <c r="O611" s="18">
        <v>47.17</v>
      </c>
      <c r="P611" s="52">
        <f>IF(COUNTIF(TblPurchases[BatchID],TblOutcomes[[#This Row],[BatchID]])&lt;&gt;1,"n.a.",TblOutcomes[[#This Row],[Qty Wasted]]*SUMIFS(TblPurchases[Unit Cost (CLP)],TblPurchases[BatchID],TblOutcomes[[#This Row],[BatchID]]))</f>
        <v>0</v>
      </c>
      <c r="Q611" s="51">
        <f>IF(COUNTIF(TblPurchases[BatchID],TblOutcomes[[#This Row],[BatchID]])&lt;&gt;1,"n.a.",SUMIFS(TblPurchases[Purchase Date],TblPurchases[BatchID],TblOutcomes[[#This Row],[BatchID]]))</f>
        <v>45747</v>
      </c>
    </row>
    <row r="612" spans="2:17" x14ac:dyDescent="0.25">
      <c r="B612" s="2" t="s">
        <v>1416</v>
      </c>
      <c r="C612" s="2" t="s">
        <v>142</v>
      </c>
      <c r="D612" s="2" t="s">
        <v>122</v>
      </c>
      <c r="E612" s="2" t="s">
        <v>4646</v>
      </c>
      <c r="F612" s="2">
        <v>14</v>
      </c>
      <c r="G612" s="2">
        <v>12.25</v>
      </c>
      <c r="H612" s="2">
        <v>1.75</v>
      </c>
      <c r="I612" s="1">
        <v>12.5</v>
      </c>
      <c r="J612" s="26">
        <v>45801</v>
      </c>
      <c r="K612" s="22">
        <v>42875</v>
      </c>
      <c r="L612" s="18">
        <v>45.86</v>
      </c>
      <c r="M612" s="22">
        <v>34300</v>
      </c>
      <c r="N612" s="22">
        <v>8575</v>
      </c>
      <c r="O612" s="18">
        <v>9.17</v>
      </c>
      <c r="P612" s="52">
        <f>IF(COUNTIF(TblPurchases[BatchID],TblOutcomes[[#This Row],[BatchID]])&lt;&gt;1,"n.a.",TblOutcomes[[#This Row],[Qty Wasted]]*SUMIFS(TblPurchases[Unit Cost (CLP)],TblPurchases[BatchID],TblOutcomes[[#This Row],[BatchID]]))</f>
        <v>4287.5</v>
      </c>
      <c r="Q612" s="51">
        <f>IF(COUNTIF(TblPurchases[BatchID],TblOutcomes[[#This Row],[BatchID]])&lt;&gt;1,"n.a.",SUMIFS(TblPurchases[Purchase Date],TblPurchases[BatchID],TblOutcomes[[#This Row],[BatchID]]))</f>
        <v>45756</v>
      </c>
    </row>
    <row r="613" spans="2:17" x14ac:dyDescent="0.25">
      <c r="B613" s="2" t="s">
        <v>1417</v>
      </c>
      <c r="C613" s="2" t="s">
        <v>142</v>
      </c>
      <c r="D613" s="2" t="s">
        <v>122</v>
      </c>
      <c r="E613" s="2" t="s">
        <v>4647</v>
      </c>
      <c r="F613" s="2">
        <v>14</v>
      </c>
      <c r="G613" s="2">
        <v>14</v>
      </c>
      <c r="H613" s="2">
        <v>0</v>
      </c>
      <c r="I613" s="1">
        <v>0</v>
      </c>
      <c r="J613" s="26">
        <v>45776</v>
      </c>
      <c r="K613" s="22">
        <v>49000</v>
      </c>
      <c r="L613" s="18">
        <v>52.41</v>
      </c>
      <c r="M613" s="22">
        <v>34300</v>
      </c>
      <c r="N613" s="22">
        <v>14700</v>
      </c>
      <c r="O613" s="18">
        <v>15.72</v>
      </c>
      <c r="P613" s="52">
        <f>IF(COUNTIF(TblPurchases[BatchID],TblOutcomes[[#This Row],[BatchID]])&lt;&gt;1,"n.a.",TblOutcomes[[#This Row],[Qty Wasted]]*SUMIFS(TblPurchases[Unit Cost (CLP)],TblPurchases[BatchID],TblOutcomes[[#This Row],[BatchID]]))</f>
        <v>0</v>
      </c>
      <c r="Q613" s="51">
        <f>IF(COUNTIF(TblPurchases[BatchID],TblOutcomes[[#This Row],[BatchID]])&lt;&gt;1,"n.a.",SUMIFS(TblPurchases[Purchase Date],TblPurchases[BatchID],TblOutcomes[[#This Row],[BatchID]]))</f>
        <v>45765</v>
      </c>
    </row>
    <row r="614" spans="2:17" x14ac:dyDescent="0.25">
      <c r="B614" s="2" t="s">
        <v>1418</v>
      </c>
      <c r="C614" s="2" t="s">
        <v>142</v>
      </c>
      <c r="D614" s="2" t="s">
        <v>122</v>
      </c>
      <c r="E614" s="2" t="s">
        <v>4647</v>
      </c>
      <c r="F614" s="2">
        <v>16</v>
      </c>
      <c r="G614" s="2">
        <v>16</v>
      </c>
      <c r="H614" s="2">
        <v>0</v>
      </c>
      <c r="I614" s="1">
        <v>0</v>
      </c>
      <c r="J614" s="26">
        <v>45783</v>
      </c>
      <c r="K614" s="22">
        <v>56000</v>
      </c>
      <c r="L614" s="18">
        <v>59.89</v>
      </c>
      <c r="M614" s="22">
        <v>39200</v>
      </c>
      <c r="N614" s="22">
        <v>16800</v>
      </c>
      <c r="O614" s="18">
        <v>17.97</v>
      </c>
      <c r="P614" s="52">
        <f>IF(COUNTIF(TblPurchases[BatchID],TblOutcomes[[#This Row],[BatchID]])&lt;&gt;1,"n.a.",TblOutcomes[[#This Row],[Qty Wasted]]*SUMIFS(TblPurchases[Unit Cost (CLP)],TblPurchases[BatchID],TblOutcomes[[#This Row],[BatchID]]))</f>
        <v>0</v>
      </c>
      <c r="Q614" s="51">
        <f>IF(COUNTIF(TblPurchases[BatchID],TblOutcomes[[#This Row],[BatchID]])&lt;&gt;1,"n.a.",SUMIFS(TblPurchases[Purchase Date],TblPurchases[BatchID],TblOutcomes[[#This Row],[BatchID]]))</f>
        <v>45774</v>
      </c>
    </row>
    <row r="615" spans="2:17" x14ac:dyDescent="0.25">
      <c r="B615" s="2" t="s">
        <v>1419</v>
      </c>
      <c r="C615" s="2" t="s">
        <v>142</v>
      </c>
      <c r="D615" s="2" t="s">
        <v>122</v>
      </c>
      <c r="E615" s="2" t="s">
        <v>4646</v>
      </c>
      <c r="F615" s="2">
        <v>17</v>
      </c>
      <c r="G615" s="2">
        <v>14.2</v>
      </c>
      <c r="H615" s="2">
        <v>2.81</v>
      </c>
      <c r="I615" s="1">
        <v>16.5</v>
      </c>
      <c r="J615" s="26">
        <v>45830</v>
      </c>
      <c r="K615" s="22">
        <v>49700</v>
      </c>
      <c r="L615" s="18">
        <v>53.16</v>
      </c>
      <c r="M615" s="22">
        <v>41650</v>
      </c>
      <c r="N615" s="22">
        <v>8050</v>
      </c>
      <c r="O615" s="18">
        <v>8.61</v>
      </c>
      <c r="P615" s="52">
        <f>IF(COUNTIF(TblPurchases[BatchID],TblOutcomes[[#This Row],[BatchID]])&lt;&gt;1,"n.a.",TblOutcomes[[#This Row],[Qty Wasted]]*SUMIFS(TblPurchases[Unit Cost (CLP)],TblPurchases[BatchID],TblOutcomes[[#This Row],[BatchID]]))</f>
        <v>6884.5</v>
      </c>
      <c r="Q615" s="51">
        <f>IF(COUNTIF(TblPurchases[BatchID],TblOutcomes[[#This Row],[BatchID]])&lt;&gt;1,"n.a.",SUMIFS(TblPurchases[Purchase Date],TblPurchases[BatchID],TblOutcomes[[#This Row],[BatchID]]))</f>
        <v>45785</v>
      </c>
    </row>
    <row r="616" spans="2:17" x14ac:dyDescent="0.25">
      <c r="B616" s="2" t="s">
        <v>1420</v>
      </c>
      <c r="C616" s="2" t="s">
        <v>142</v>
      </c>
      <c r="D616" s="2" t="s">
        <v>122</v>
      </c>
      <c r="E616" s="2" t="s">
        <v>4646</v>
      </c>
      <c r="F616" s="2">
        <v>18</v>
      </c>
      <c r="G616" s="2">
        <v>14.65</v>
      </c>
      <c r="H616" s="2">
        <v>3.35</v>
      </c>
      <c r="I616" s="1">
        <v>18.600000000000001</v>
      </c>
      <c r="J616" s="26">
        <v>45840</v>
      </c>
      <c r="K616" s="22">
        <v>51275</v>
      </c>
      <c r="L616" s="18">
        <v>54.84</v>
      </c>
      <c r="M616" s="22">
        <v>44100</v>
      </c>
      <c r="N616" s="22">
        <v>7175</v>
      </c>
      <c r="O616" s="18">
        <v>7.67</v>
      </c>
      <c r="P616" s="52">
        <f>IF(COUNTIF(TblPurchases[BatchID],TblOutcomes[[#This Row],[BatchID]])&lt;&gt;1,"n.a.",TblOutcomes[[#This Row],[Qty Wasted]]*SUMIFS(TblPurchases[Unit Cost (CLP)],TblPurchases[BatchID],TblOutcomes[[#This Row],[BatchID]]))</f>
        <v>8207.5</v>
      </c>
      <c r="Q616" s="51">
        <f>IF(COUNTIF(TblPurchases[BatchID],TblOutcomes[[#This Row],[BatchID]])&lt;&gt;1,"n.a.",SUMIFS(TblPurchases[Purchase Date],TblPurchases[BatchID],TblOutcomes[[#This Row],[BatchID]]))</f>
        <v>45795</v>
      </c>
    </row>
    <row r="617" spans="2:17" x14ac:dyDescent="0.25">
      <c r="B617" s="2" t="s">
        <v>1421</v>
      </c>
      <c r="C617" s="2" t="s">
        <v>142</v>
      </c>
      <c r="D617" s="2" t="s">
        <v>122</v>
      </c>
      <c r="E617" s="2" t="s">
        <v>4647</v>
      </c>
      <c r="F617" s="2">
        <v>15</v>
      </c>
      <c r="G617" s="2">
        <v>15</v>
      </c>
      <c r="H617" s="2">
        <v>0</v>
      </c>
      <c r="I617" s="1">
        <v>0</v>
      </c>
      <c r="J617" s="26">
        <v>45812</v>
      </c>
      <c r="K617" s="22">
        <v>52500</v>
      </c>
      <c r="L617" s="18">
        <v>56.15</v>
      </c>
      <c r="M617" s="22">
        <v>36750</v>
      </c>
      <c r="N617" s="22">
        <v>15750</v>
      </c>
      <c r="O617" s="18">
        <v>16.84</v>
      </c>
      <c r="P617" s="52">
        <f>IF(COUNTIF(TblPurchases[BatchID],TblOutcomes[[#This Row],[BatchID]])&lt;&gt;1,"n.a.",TblOutcomes[[#This Row],[Qty Wasted]]*SUMIFS(TblPurchases[Unit Cost (CLP)],TblPurchases[BatchID],TblOutcomes[[#This Row],[BatchID]]))</f>
        <v>0</v>
      </c>
      <c r="Q617" s="51">
        <f>IF(COUNTIF(TblPurchases[BatchID],TblOutcomes[[#This Row],[BatchID]])&lt;&gt;1,"n.a.",SUMIFS(TblPurchases[Purchase Date],TblPurchases[BatchID],TblOutcomes[[#This Row],[BatchID]]))</f>
        <v>45805</v>
      </c>
    </row>
    <row r="618" spans="2:17" x14ac:dyDescent="0.25">
      <c r="B618" s="2" t="s">
        <v>1422</v>
      </c>
      <c r="C618" s="2" t="s">
        <v>142</v>
      </c>
      <c r="D618" s="2" t="s">
        <v>122</v>
      </c>
      <c r="E618" s="2" t="s">
        <v>4647</v>
      </c>
      <c r="F618" s="2">
        <v>18</v>
      </c>
      <c r="G618" s="2">
        <v>18</v>
      </c>
      <c r="H618" s="2">
        <v>0</v>
      </c>
      <c r="I618" s="1">
        <v>0</v>
      </c>
      <c r="J618" s="26">
        <v>45823</v>
      </c>
      <c r="K618" s="22">
        <v>63000</v>
      </c>
      <c r="L618" s="18">
        <v>67.38</v>
      </c>
      <c r="M618" s="22">
        <v>44100</v>
      </c>
      <c r="N618" s="22">
        <v>18900</v>
      </c>
      <c r="O618" s="18">
        <v>20.21</v>
      </c>
      <c r="P618" s="52">
        <f>IF(COUNTIF(TblPurchases[BatchID],TblOutcomes[[#This Row],[BatchID]])&lt;&gt;1,"n.a.",TblOutcomes[[#This Row],[Qty Wasted]]*SUMIFS(TblPurchases[Unit Cost (CLP)],TblPurchases[BatchID],TblOutcomes[[#This Row],[BatchID]]))</f>
        <v>0</v>
      </c>
      <c r="Q618" s="51">
        <f>IF(COUNTIF(TblPurchases[BatchID],TblOutcomes[[#This Row],[BatchID]])&lt;&gt;1,"n.a.",SUMIFS(TblPurchases[Purchase Date],TblPurchases[BatchID],TblOutcomes[[#This Row],[BatchID]]))</f>
        <v>45816</v>
      </c>
    </row>
    <row r="619" spans="2:17" x14ac:dyDescent="0.25">
      <c r="B619" s="2" t="s">
        <v>1423</v>
      </c>
      <c r="C619" s="2" t="s">
        <v>142</v>
      </c>
      <c r="D619" s="2" t="s">
        <v>122</v>
      </c>
      <c r="E619" s="2" t="s">
        <v>4646</v>
      </c>
      <c r="F619" s="2">
        <v>14</v>
      </c>
      <c r="G619" s="2">
        <v>10.99</v>
      </c>
      <c r="H619" s="2">
        <v>3.01</v>
      </c>
      <c r="I619" s="1">
        <v>21.5</v>
      </c>
      <c r="J619" s="26">
        <v>45872</v>
      </c>
      <c r="K619" s="22">
        <v>38465</v>
      </c>
      <c r="L619" s="18">
        <v>41.14</v>
      </c>
      <c r="M619" s="22">
        <v>34300</v>
      </c>
      <c r="N619" s="22">
        <v>4165</v>
      </c>
      <c r="O619" s="18">
        <v>4.45</v>
      </c>
      <c r="P619" s="52">
        <f>IF(COUNTIF(TblPurchases[BatchID],TblOutcomes[[#This Row],[BatchID]])&lt;&gt;1,"n.a.",TblOutcomes[[#This Row],[Qty Wasted]]*SUMIFS(TblPurchases[Unit Cost (CLP)],TblPurchases[BatchID],TblOutcomes[[#This Row],[BatchID]]))</f>
        <v>7374.4999999999991</v>
      </c>
      <c r="Q619" s="51">
        <f>IF(COUNTIF(TblPurchases[BatchID],TblOutcomes[[#This Row],[BatchID]])&lt;&gt;1,"n.a.",SUMIFS(TblPurchases[Purchase Date],TblPurchases[BatchID],TblOutcomes[[#This Row],[BatchID]]))</f>
        <v>45827</v>
      </c>
    </row>
    <row r="620" spans="2:17" x14ac:dyDescent="0.25">
      <c r="B620" s="2" t="s">
        <v>1424</v>
      </c>
      <c r="C620" s="2" t="s">
        <v>144</v>
      </c>
      <c r="D620" s="2" t="s">
        <v>122</v>
      </c>
      <c r="E620" s="2" t="s">
        <v>4647</v>
      </c>
      <c r="F620" s="2">
        <v>14</v>
      </c>
      <c r="G620" s="2">
        <v>14</v>
      </c>
      <c r="H620" s="2">
        <v>0</v>
      </c>
      <c r="I620" s="1">
        <v>0</v>
      </c>
      <c r="J620" s="26">
        <v>45119</v>
      </c>
      <c r="K620" s="22">
        <v>42000</v>
      </c>
      <c r="L620" s="18">
        <v>44.92</v>
      </c>
      <c r="M620" s="22">
        <v>30100</v>
      </c>
      <c r="N620" s="22">
        <v>11900</v>
      </c>
      <c r="O620" s="18">
        <v>12.73</v>
      </c>
      <c r="P620" s="52">
        <f>IF(COUNTIF(TblPurchases[BatchID],TblOutcomes[[#This Row],[BatchID]])&lt;&gt;1,"n.a.",TblOutcomes[[#This Row],[Qty Wasted]]*SUMIFS(TblPurchases[Unit Cost (CLP)],TblPurchases[BatchID],TblOutcomes[[#This Row],[BatchID]]))</f>
        <v>0</v>
      </c>
      <c r="Q620" s="51">
        <f>IF(COUNTIF(TblPurchases[BatchID],TblOutcomes[[#This Row],[BatchID]])&lt;&gt;1,"n.a.",SUMIFS(TblPurchases[Purchase Date],TblPurchases[BatchID],TblOutcomes[[#This Row],[BatchID]]))</f>
        <v>45110</v>
      </c>
    </row>
    <row r="621" spans="2:17" x14ac:dyDescent="0.25">
      <c r="B621" s="2" t="s">
        <v>1425</v>
      </c>
      <c r="C621" s="2" t="s">
        <v>144</v>
      </c>
      <c r="D621" s="2" t="s">
        <v>122</v>
      </c>
      <c r="E621" s="2" t="s">
        <v>4646</v>
      </c>
      <c r="F621" s="2">
        <v>17</v>
      </c>
      <c r="G621" s="2">
        <v>13.41</v>
      </c>
      <c r="H621" s="2">
        <v>3.59</v>
      </c>
      <c r="I621" s="1">
        <v>21.1</v>
      </c>
      <c r="J621" s="26">
        <v>45166</v>
      </c>
      <c r="K621" s="22">
        <v>40230</v>
      </c>
      <c r="L621" s="18">
        <v>43.03</v>
      </c>
      <c r="M621" s="22">
        <v>36550</v>
      </c>
      <c r="N621" s="22">
        <v>3680</v>
      </c>
      <c r="O621" s="18">
        <v>3.94</v>
      </c>
      <c r="P621" s="52">
        <f>IF(COUNTIF(TblPurchases[BatchID],TblOutcomes[[#This Row],[BatchID]])&lt;&gt;1,"n.a.",TblOutcomes[[#This Row],[Qty Wasted]]*SUMIFS(TblPurchases[Unit Cost (CLP)],TblPurchases[BatchID],TblOutcomes[[#This Row],[BatchID]]))</f>
        <v>7718.5</v>
      </c>
      <c r="Q621" s="51">
        <f>IF(COUNTIF(TblPurchases[BatchID],TblOutcomes[[#This Row],[BatchID]])&lt;&gt;1,"n.a.",SUMIFS(TblPurchases[Purchase Date],TblPurchases[BatchID],TblOutcomes[[#This Row],[BatchID]]))</f>
        <v>45121</v>
      </c>
    </row>
    <row r="622" spans="2:17" x14ac:dyDescent="0.25">
      <c r="B622" s="2" t="s">
        <v>1426</v>
      </c>
      <c r="C622" s="2" t="s">
        <v>144</v>
      </c>
      <c r="D622" s="2" t="s">
        <v>122</v>
      </c>
      <c r="E622" s="2" t="s">
        <v>4646</v>
      </c>
      <c r="F622" s="2">
        <v>14</v>
      </c>
      <c r="G622" s="2">
        <v>12.57</v>
      </c>
      <c r="H622" s="2">
        <v>1.43</v>
      </c>
      <c r="I622" s="1">
        <v>10.199999999999999</v>
      </c>
      <c r="J622" s="26">
        <v>45172</v>
      </c>
      <c r="K622" s="22">
        <v>37710</v>
      </c>
      <c r="L622" s="18">
        <v>40.33</v>
      </c>
      <c r="M622" s="22">
        <v>30100</v>
      </c>
      <c r="N622" s="22">
        <v>7610</v>
      </c>
      <c r="O622" s="18">
        <v>8.14</v>
      </c>
      <c r="P622" s="52">
        <f>IF(COUNTIF(TblPurchases[BatchID],TblOutcomes[[#This Row],[BatchID]])&lt;&gt;1,"n.a.",TblOutcomes[[#This Row],[Qty Wasted]]*SUMIFS(TblPurchases[Unit Cost (CLP)],TblPurchases[BatchID],TblOutcomes[[#This Row],[BatchID]]))</f>
        <v>3074.5</v>
      </c>
      <c r="Q622" s="51">
        <f>IF(COUNTIF(TblPurchases[BatchID],TblOutcomes[[#This Row],[BatchID]])&lt;&gt;1,"n.a.",SUMIFS(TblPurchases[Purchase Date],TblPurchases[BatchID],TblOutcomes[[#This Row],[BatchID]]))</f>
        <v>45127</v>
      </c>
    </row>
    <row r="623" spans="2:17" x14ac:dyDescent="0.25">
      <c r="B623" s="2" t="s">
        <v>1427</v>
      </c>
      <c r="C623" s="2" t="s">
        <v>144</v>
      </c>
      <c r="D623" s="2" t="s">
        <v>122</v>
      </c>
      <c r="E623" s="2" t="s">
        <v>4647</v>
      </c>
      <c r="F623" s="2">
        <v>16</v>
      </c>
      <c r="G623" s="2">
        <v>16</v>
      </c>
      <c r="H623" s="2">
        <v>0</v>
      </c>
      <c r="I623" s="1">
        <v>0</v>
      </c>
      <c r="J623" s="26">
        <v>45144</v>
      </c>
      <c r="K623" s="22">
        <v>48000</v>
      </c>
      <c r="L623" s="18">
        <v>51.34</v>
      </c>
      <c r="M623" s="22">
        <v>34400</v>
      </c>
      <c r="N623" s="22">
        <v>13600</v>
      </c>
      <c r="O623" s="18">
        <v>14.55</v>
      </c>
      <c r="P623" s="52">
        <f>IF(COUNTIF(TblPurchases[BatchID],TblOutcomes[[#This Row],[BatchID]])&lt;&gt;1,"n.a.",TblOutcomes[[#This Row],[Qty Wasted]]*SUMIFS(TblPurchases[Unit Cost (CLP)],TblPurchases[BatchID],TblOutcomes[[#This Row],[BatchID]]))</f>
        <v>0</v>
      </c>
      <c r="Q623" s="51">
        <f>IF(COUNTIF(TblPurchases[BatchID],TblOutcomes[[#This Row],[BatchID]])&lt;&gt;1,"n.a.",SUMIFS(TblPurchases[Purchase Date],TblPurchases[BatchID],TblOutcomes[[#This Row],[BatchID]]))</f>
        <v>45138</v>
      </c>
    </row>
    <row r="624" spans="2:17" x14ac:dyDescent="0.25">
      <c r="B624" s="2" t="s">
        <v>1428</v>
      </c>
      <c r="C624" s="2" t="s">
        <v>144</v>
      </c>
      <c r="D624" s="2" t="s">
        <v>122</v>
      </c>
      <c r="E624" s="2" t="s">
        <v>4646</v>
      </c>
      <c r="F624" s="2">
        <v>14</v>
      </c>
      <c r="G624" s="2">
        <v>12.5</v>
      </c>
      <c r="H624" s="2">
        <v>1.5</v>
      </c>
      <c r="I624" s="1">
        <v>10.7</v>
      </c>
      <c r="J624" s="26">
        <v>45193</v>
      </c>
      <c r="K624" s="22">
        <v>37500</v>
      </c>
      <c r="L624" s="18">
        <v>40.11</v>
      </c>
      <c r="M624" s="22">
        <v>30100</v>
      </c>
      <c r="N624" s="22">
        <v>7400</v>
      </c>
      <c r="O624" s="18">
        <v>7.91</v>
      </c>
      <c r="P624" s="52">
        <f>IF(COUNTIF(TblPurchases[BatchID],TblOutcomes[[#This Row],[BatchID]])&lt;&gt;1,"n.a.",TblOutcomes[[#This Row],[Qty Wasted]]*SUMIFS(TblPurchases[Unit Cost (CLP)],TblPurchases[BatchID],TblOutcomes[[#This Row],[BatchID]]))</f>
        <v>3225</v>
      </c>
      <c r="Q624" s="51">
        <f>IF(COUNTIF(TblPurchases[BatchID],TblOutcomes[[#This Row],[BatchID]])&lt;&gt;1,"n.a.",SUMIFS(TblPurchases[Purchase Date],TblPurchases[BatchID],TblOutcomes[[#This Row],[BatchID]]))</f>
        <v>45148</v>
      </c>
    </row>
    <row r="625" spans="2:17" x14ac:dyDescent="0.25">
      <c r="B625" s="2" t="s">
        <v>1429</v>
      </c>
      <c r="C625" s="2" t="s">
        <v>144</v>
      </c>
      <c r="D625" s="2" t="s">
        <v>122</v>
      </c>
      <c r="E625" s="2" t="s">
        <v>4647</v>
      </c>
      <c r="F625" s="2">
        <v>17</v>
      </c>
      <c r="G625" s="2">
        <v>17</v>
      </c>
      <c r="H625" s="2">
        <v>0</v>
      </c>
      <c r="I625" s="1">
        <v>0</v>
      </c>
      <c r="J625" s="26">
        <v>45165</v>
      </c>
      <c r="K625" s="22">
        <v>51000</v>
      </c>
      <c r="L625" s="18">
        <v>54.55</v>
      </c>
      <c r="M625" s="22">
        <v>36550</v>
      </c>
      <c r="N625" s="22">
        <v>14450</v>
      </c>
      <c r="O625" s="18">
        <v>15.45</v>
      </c>
      <c r="P625" s="52">
        <f>IF(COUNTIF(TblPurchases[BatchID],TblOutcomes[[#This Row],[BatchID]])&lt;&gt;1,"n.a.",TblOutcomes[[#This Row],[Qty Wasted]]*SUMIFS(TblPurchases[Unit Cost (CLP)],TblPurchases[BatchID],TblOutcomes[[#This Row],[BatchID]]))</f>
        <v>0</v>
      </c>
      <c r="Q625" s="51">
        <f>IF(COUNTIF(TblPurchases[BatchID],TblOutcomes[[#This Row],[BatchID]])&lt;&gt;1,"n.a.",SUMIFS(TblPurchases[Purchase Date],TblPurchases[BatchID],TblOutcomes[[#This Row],[BatchID]]))</f>
        <v>45156</v>
      </c>
    </row>
    <row r="626" spans="2:17" x14ac:dyDescent="0.25">
      <c r="B626" s="2" t="s">
        <v>1430</v>
      </c>
      <c r="C626" s="2" t="s">
        <v>144</v>
      </c>
      <c r="D626" s="2" t="s">
        <v>122</v>
      </c>
      <c r="E626" s="2" t="s">
        <v>4646</v>
      </c>
      <c r="F626" s="2">
        <v>16</v>
      </c>
      <c r="G626" s="2">
        <v>12.3</v>
      </c>
      <c r="H626" s="2">
        <v>3.7</v>
      </c>
      <c r="I626" s="1">
        <v>23.1</v>
      </c>
      <c r="J626" s="26">
        <v>45210</v>
      </c>
      <c r="K626" s="22">
        <v>36900</v>
      </c>
      <c r="L626" s="18">
        <v>39.47</v>
      </c>
      <c r="M626" s="22">
        <v>34400</v>
      </c>
      <c r="N626" s="22">
        <v>2500</v>
      </c>
      <c r="O626" s="18">
        <v>2.67</v>
      </c>
      <c r="P626" s="52">
        <f>IF(COUNTIF(TblPurchases[BatchID],TblOutcomes[[#This Row],[BatchID]])&lt;&gt;1,"n.a.",TblOutcomes[[#This Row],[Qty Wasted]]*SUMIFS(TblPurchases[Unit Cost (CLP)],TblPurchases[BatchID],TblOutcomes[[#This Row],[BatchID]]))</f>
        <v>7955</v>
      </c>
      <c r="Q626" s="51">
        <f>IF(COUNTIF(TblPurchases[BatchID],TblOutcomes[[#This Row],[BatchID]])&lt;&gt;1,"n.a.",SUMIFS(TblPurchases[Purchase Date],TblPurchases[BatchID],TblOutcomes[[#This Row],[BatchID]]))</f>
        <v>45165</v>
      </c>
    </row>
    <row r="627" spans="2:17" x14ac:dyDescent="0.25">
      <c r="B627" s="2" t="s">
        <v>1431</v>
      </c>
      <c r="C627" s="2" t="s">
        <v>144</v>
      </c>
      <c r="D627" s="2" t="s">
        <v>122</v>
      </c>
      <c r="E627" s="2" t="s">
        <v>4646</v>
      </c>
      <c r="F627" s="2">
        <v>17</v>
      </c>
      <c r="G627" s="2">
        <v>14.3</v>
      </c>
      <c r="H627" s="2">
        <v>2.7</v>
      </c>
      <c r="I627" s="1">
        <v>15.9</v>
      </c>
      <c r="J627" s="26">
        <v>45221</v>
      </c>
      <c r="K627" s="22">
        <v>42900</v>
      </c>
      <c r="L627" s="18">
        <v>45.88</v>
      </c>
      <c r="M627" s="22">
        <v>36550</v>
      </c>
      <c r="N627" s="22">
        <v>6350</v>
      </c>
      <c r="O627" s="18">
        <v>6.79</v>
      </c>
      <c r="P627" s="52">
        <f>IF(COUNTIF(TblPurchases[BatchID],TblOutcomes[[#This Row],[BatchID]])&lt;&gt;1,"n.a.",TblOutcomes[[#This Row],[Qty Wasted]]*SUMIFS(TblPurchases[Unit Cost (CLP)],TblPurchases[BatchID],TblOutcomes[[#This Row],[BatchID]]))</f>
        <v>5805</v>
      </c>
      <c r="Q627" s="51">
        <f>IF(COUNTIF(TblPurchases[BatchID],TblOutcomes[[#This Row],[BatchID]])&lt;&gt;1,"n.a.",SUMIFS(TblPurchases[Purchase Date],TblPurchases[BatchID],TblOutcomes[[#This Row],[BatchID]]))</f>
        <v>45176</v>
      </c>
    </row>
    <row r="628" spans="2:17" x14ac:dyDescent="0.25">
      <c r="B628" s="2" t="s">
        <v>1432</v>
      </c>
      <c r="C628" s="2" t="s">
        <v>144</v>
      </c>
      <c r="D628" s="2" t="s">
        <v>122</v>
      </c>
      <c r="E628" s="2" t="s">
        <v>4647</v>
      </c>
      <c r="F628" s="2">
        <v>17</v>
      </c>
      <c r="G628" s="2">
        <v>17</v>
      </c>
      <c r="H628" s="2">
        <v>0</v>
      </c>
      <c r="I628" s="1">
        <v>0</v>
      </c>
      <c r="J628" s="26">
        <v>45194</v>
      </c>
      <c r="K628" s="22">
        <v>51000</v>
      </c>
      <c r="L628" s="18">
        <v>54.55</v>
      </c>
      <c r="M628" s="22">
        <v>36550</v>
      </c>
      <c r="N628" s="22">
        <v>14450</v>
      </c>
      <c r="O628" s="18">
        <v>15.45</v>
      </c>
      <c r="P628" s="52">
        <f>IF(COUNTIF(TblPurchases[BatchID],TblOutcomes[[#This Row],[BatchID]])&lt;&gt;1,"n.a.",TblOutcomes[[#This Row],[Qty Wasted]]*SUMIFS(TblPurchases[Unit Cost (CLP)],TblPurchases[BatchID],TblOutcomes[[#This Row],[BatchID]]))</f>
        <v>0</v>
      </c>
      <c r="Q628" s="51">
        <f>IF(COUNTIF(TblPurchases[BatchID],TblOutcomes[[#This Row],[BatchID]])&lt;&gt;1,"n.a.",SUMIFS(TblPurchases[Purchase Date],TblPurchases[BatchID],TblOutcomes[[#This Row],[BatchID]]))</f>
        <v>45185</v>
      </c>
    </row>
    <row r="629" spans="2:17" x14ac:dyDescent="0.25">
      <c r="B629" s="2" t="s">
        <v>1433</v>
      </c>
      <c r="C629" s="2" t="s">
        <v>144</v>
      </c>
      <c r="D629" s="2" t="s">
        <v>122</v>
      </c>
      <c r="E629" s="2" t="s">
        <v>4647</v>
      </c>
      <c r="F629" s="2">
        <v>19</v>
      </c>
      <c r="G629" s="2">
        <v>19</v>
      </c>
      <c r="H629" s="2">
        <v>0</v>
      </c>
      <c r="I629" s="1">
        <v>0</v>
      </c>
      <c r="J629" s="26">
        <v>45202</v>
      </c>
      <c r="K629" s="22">
        <v>57000</v>
      </c>
      <c r="L629" s="18">
        <v>60.96</v>
      </c>
      <c r="M629" s="22">
        <v>40850</v>
      </c>
      <c r="N629" s="22">
        <v>16150</v>
      </c>
      <c r="O629" s="18">
        <v>17.27</v>
      </c>
      <c r="P629" s="52">
        <f>IF(COUNTIF(TblPurchases[BatchID],TblOutcomes[[#This Row],[BatchID]])&lt;&gt;1,"n.a.",TblOutcomes[[#This Row],[Qty Wasted]]*SUMIFS(TblPurchases[Unit Cost (CLP)],TblPurchases[BatchID],TblOutcomes[[#This Row],[BatchID]]))</f>
        <v>0</v>
      </c>
      <c r="Q629" s="51">
        <f>IF(COUNTIF(TblPurchases[BatchID],TblOutcomes[[#This Row],[BatchID]])&lt;&gt;1,"n.a.",SUMIFS(TblPurchases[Purchase Date],TblPurchases[BatchID],TblOutcomes[[#This Row],[BatchID]]))</f>
        <v>45196</v>
      </c>
    </row>
    <row r="630" spans="2:17" x14ac:dyDescent="0.25">
      <c r="B630" s="2" t="s">
        <v>1434</v>
      </c>
      <c r="C630" s="2" t="s">
        <v>144</v>
      </c>
      <c r="D630" s="2" t="s">
        <v>122</v>
      </c>
      <c r="E630" s="2" t="s">
        <v>4647</v>
      </c>
      <c r="F630" s="2">
        <v>46</v>
      </c>
      <c r="G630" s="2">
        <v>46</v>
      </c>
      <c r="H630" s="2">
        <v>0</v>
      </c>
      <c r="I630" s="1">
        <v>0</v>
      </c>
      <c r="J630" s="26">
        <v>45212</v>
      </c>
      <c r="K630" s="22">
        <v>138000</v>
      </c>
      <c r="L630" s="18">
        <v>147.59</v>
      </c>
      <c r="M630" s="22">
        <v>98900</v>
      </c>
      <c r="N630" s="22">
        <v>39100</v>
      </c>
      <c r="O630" s="18">
        <v>41.82</v>
      </c>
      <c r="P630" s="52">
        <f>IF(COUNTIF(TblPurchases[BatchID],TblOutcomes[[#This Row],[BatchID]])&lt;&gt;1,"n.a.",TblOutcomes[[#This Row],[Qty Wasted]]*SUMIFS(TblPurchases[Unit Cost (CLP)],TblPurchases[BatchID],TblOutcomes[[#This Row],[BatchID]]))</f>
        <v>0</v>
      </c>
      <c r="Q630" s="51">
        <f>IF(COUNTIF(TblPurchases[BatchID],TblOutcomes[[#This Row],[BatchID]])&lt;&gt;1,"n.a.",SUMIFS(TblPurchases[Purchase Date],TblPurchases[BatchID],TblOutcomes[[#This Row],[BatchID]]))</f>
        <v>45206</v>
      </c>
    </row>
    <row r="631" spans="2:17" x14ac:dyDescent="0.25">
      <c r="B631" s="2" t="s">
        <v>1435</v>
      </c>
      <c r="C631" s="2" t="s">
        <v>144</v>
      </c>
      <c r="D631" s="2" t="s">
        <v>122</v>
      </c>
      <c r="E631" s="2" t="s">
        <v>4646</v>
      </c>
      <c r="F631" s="2">
        <v>43</v>
      </c>
      <c r="G631" s="2">
        <v>39.340000000000003</v>
      </c>
      <c r="H631" s="2">
        <v>3.66</v>
      </c>
      <c r="I631" s="1">
        <v>8.5</v>
      </c>
      <c r="J631" s="26">
        <v>45260</v>
      </c>
      <c r="K631" s="22">
        <v>118020</v>
      </c>
      <c r="L631" s="18">
        <v>126.22</v>
      </c>
      <c r="M631" s="22">
        <v>92450</v>
      </c>
      <c r="N631" s="22">
        <v>25570</v>
      </c>
      <c r="O631" s="18">
        <v>27.35</v>
      </c>
      <c r="P631" s="52">
        <f>IF(COUNTIF(TblPurchases[BatchID],TblOutcomes[[#This Row],[BatchID]])&lt;&gt;1,"n.a.",TblOutcomes[[#This Row],[Qty Wasted]]*SUMIFS(TblPurchases[Unit Cost (CLP)],TblPurchases[BatchID],TblOutcomes[[#This Row],[BatchID]]))</f>
        <v>7869</v>
      </c>
      <c r="Q631" s="51">
        <f>IF(COUNTIF(TblPurchases[BatchID],TblOutcomes[[#This Row],[BatchID]])&lt;&gt;1,"n.a.",SUMIFS(TblPurchases[Purchase Date],TblPurchases[BatchID],TblOutcomes[[#This Row],[BatchID]]))</f>
        <v>45215</v>
      </c>
    </row>
    <row r="632" spans="2:17" x14ac:dyDescent="0.25">
      <c r="B632" s="2" t="s">
        <v>1436</v>
      </c>
      <c r="C632" s="2" t="s">
        <v>144</v>
      </c>
      <c r="D632" s="2" t="s">
        <v>122</v>
      </c>
      <c r="E632" s="2" t="s">
        <v>4647</v>
      </c>
      <c r="F632" s="2">
        <v>41</v>
      </c>
      <c r="G632" s="2">
        <v>41</v>
      </c>
      <c r="H632" s="2">
        <v>0</v>
      </c>
      <c r="I632" s="1">
        <v>0</v>
      </c>
      <c r="J632" s="26">
        <v>45230</v>
      </c>
      <c r="K632" s="22">
        <v>123000</v>
      </c>
      <c r="L632" s="18">
        <v>131.55000000000001</v>
      </c>
      <c r="M632" s="22">
        <v>88150</v>
      </c>
      <c r="N632" s="22">
        <v>34850</v>
      </c>
      <c r="O632" s="18">
        <v>37.270000000000003</v>
      </c>
      <c r="P632" s="52">
        <f>IF(COUNTIF(TblPurchases[BatchID],TblOutcomes[[#This Row],[BatchID]])&lt;&gt;1,"n.a.",TblOutcomes[[#This Row],[Qty Wasted]]*SUMIFS(TblPurchases[Unit Cost (CLP)],TblPurchases[BatchID],TblOutcomes[[#This Row],[BatchID]]))</f>
        <v>0</v>
      </c>
      <c r="Q632" s="51">
        <f>IF(COUNTIF(TblPurchases[BatchID],TblOutcomes[[#This Row],[BatchID]])&lt;&gt;1,"n.a.",SUMIFS(TblPurchases[Purchase Date],TblPurchases[BatchID],TblOutcomes[[#This Row],[BatchID]]))</f>
        <v>45224</v>
      </c>
    </row>
    <row r="633" spans="2:17" x14ac:dyDescent="0.25">
      <c r="B633" s="2" t="s">
        <v>1437</v>
      </c>
      <c r="C633" s="2" t="s">
        <v>144</v>
      </c>
      <c r="D633" s="2" t="s">
        <v>122</v>
      </c>
      <c r="E633" s="2" t="s">
        <v>4647</v>
      </c>
      <c r="F633" s="2">
        <v>42</v>
      </c>
      <c r="G633" s="2">
        <v>42</v>
      </c>
      <c r="H633" s="2">
        <v>0</v>
      </c>
      <c r="I633" s="1">
        <v>0</v>
      </c>
      <c r="J633" s="26">
        <v>45238</v>
      </c>
      <c r="K633" s="22">
        <v>126000</v>
      </c>
      <c r="L633" s="18">
        <v>134.76</v>
      </c>
      <c r="M633" s="22">
        <v>90300</v>
      </c>
      <c r="N633" s="22">
        <v>35700</v>
      </c>
      <c r="O633" s="18">
        <v>38.18</v>
      </c>
      <c r="P633" s="52">
        <f>IF(COUNTIF(TblPurchases[BatchID],TblOutcomes[[#This Row],[BatchID]])&lt;&gt;1,"n.a.",TblOutcomes[[#This Row],[Qty Wasted]]*SUMIFS(TblPurchases[Unit Cost (CLP)],TblPurchases[BatchID],TblOutcomes[[#This Row],[BatchID]]))</f>
        <v>0</v>
      </c>
      <c r="Q633" s="51">
        <f>IF(COUNTIF(TblPurchases[BatchID],TblOutcomes[[#This Row],[BatchID]])&lt;&gt;1,"n.a.",SUMIFS(TblPurchases[Purchase Date],TblPurchases[BatchID],TblOutcomes[[#This Row],[BatchID]]))</f>
        <v>45231</v>
      </c>
    </row>
    <row r="634" spans="2:17" x14ac:dyDescent="0.25">
      <c r="B634" s="2" t="s">
        <v>1438</v>
      </c>
      <c r="C634" s="2" t="s">
        <v>144</v>
      </c>
      <c r="D634" s="2" t="s">
        <v>122</v>
      </c>
      <c r="E634" s="2" t="s">
        <v>4647</v>
      </c>
      <c r="F634" s="2">
        <v>41</v>
      </c>
      <c r="G634" s="2">
        <v>41</v>
      </c>
      <c r="H634" s="2">
        <v>0</v>
      </c>
      <c r="I634" s="1">
        <v>0</v>
      </c>
      <c r="J634" s="26">
        <v>45245</v>
      </c>
      <c r="K634" s="22">
        <v>123000</v>
      </c>
      <c r="L634" s="18">
        <v>131.55000000000001</v>
      </c>
      <c r="M634" s="22">
        <v>88150</v>
      </c>
      <c r="N634" s="22">
        <v>34850</v>
      </c>
      <c r="O634" s="18">
        <v>37.270000000000003</v>
      </c>
      <c r="P634" s="52">
        <f>IF(COUNTIF(TblPurchases[BatchID],TblOutcomes[[#This Row],[BatchID]])&lt;&gt;1,"n.a.",TblOutcomes[[#This Row],[Qty Wasted]]*SUMIFS(TblPurchases[Unit Cost (CLP)],TblPurchases[BatchID],TblOutcomes[[#This Row],[BatchID]]))</f>
        <v>0</v>
      </c>
      <c r="Q634" s="51">
        <f>IF(COUNTIF(TblPurchases[BatchID],TblOutcomes[[#This Row],[BatchID]])&lt;&gt;1,"n.a.",SUMIFS(TblPurchases[Purchase Date],TblPurchases[BatchID],TblOutcomes[[#This Row],[BatchID]]))</f>
        <v>45240</v>
      </c>
    </row>
    <row r="635" spans="2:17" x14ac:dyDescent="0.25">
      <c r="B635" s="2" t="s">
        <v>1439</v>
      </c>
      <c r="C635" s="2" t="s">
        <v>144</v>
      </c>
      <c r="D635" s="2" t="s">
        <v>122</v>
      </c>
      <c r="E635" s="2" t="s">
        <v>4647</v>
      </c>
      <c r="F635" s="2">
        <v>44</v>
      </c>
      <c r="G635" s="2">
        <v>44</v>
      </c>
      <c r="H635" s="2">
        <v>0</v>
      </c>
      <c r="I635" s="1">
        <v>0</v>
      </c>
      <c r="J635" s="26">
        <v>45253</v>
      </c>
      <c r="K635" s="22">
        <v>132000</v>
      </c>
      <c r="L635" s="18">
        <v>141.18</v>
      </c>
      <c r="M635" s="22">
        <v>94600</v>
      </c>
      <c r="N635" s="22">
        <v>37400</v>
      </c>
      <c r="O635" s="18">
        <v>40</v>
      </c>
      <c r="P635" s="52">
        <f>IF(COUNTIF(TblPurchases[BatchID],TblOutcomes[[#This Row],[BatchID]])&lt;&gt;1,"n.a.",TblOutcomes[[#This Row],[Qty Wasted]]*SUMIFS(TblPurchases[Unit Cost (CLP)],TblPurchases[BatchID],TblOutcomes[[#This Row],[BatchID]]))</f>
        <v>0</v>
      </c>
      <c r="Q635" s="51">
        <f>IF(COUNTIF(TblPurchases[BatchID],TblOutcomes[[#This Row],[BatchID]])&lt;&gt;1,"n.a.",SUMIFS(TblPurchases[Purchase Date],TblPurchases[BatchID],TblOutcomes[[#This Row],[BatchID]]))</f>
        <v>45251</v>
      </c>
    </row>
    <row r="636" spans="2:17" x14ac:dyDescent="0.25">
      <c r="B636" s="2" t="s">
        <v>1440</v>
      </c>
      <c r="C636" s="2" t="s">
        <v>144</v>
      </c>
      <c r="D636" s="2" t="s">
        <v>122</v>
      </c>
      <c r="E636" s="2" t="s">
        <v>4647</v>
      </c>
      <c r="F636" s="2">
        <v>43</v>
      </c>
      <c r="G636" s="2">
        <v>43</v>
      </c>
      <c r="H636" s="2">
        <v>0</v>
      </c>
      <c r="I636" s="1">
        <v>0</v>
      </c>
      <c r="J636" s="26">
        <v>45270</v>
      </c>
      <c r="K636" s="22">
        <v>129000</v>
      </c>
      <c r="L636" s="18">
        <v>137.97</v>
      </c>
      <c r="M636" s="22">
        <v>92450</v>
      </c>
      <c r="N636" s="22">
        <v>36550</v>
      </c>
      <c r="O636" s="18">
        <v>39.090000000000003</v>
      </c>
      <c r="P636" s="52">
        <f>IF(COUNTIF(TblPurchases[BatchID],TblOutcomes[[#This Row],[BatchID]])&lt;&gt;1,"n.a.",TblOutcomes[[#This Row],[Qty Wasted]]*SUMIFS(TblPurchases[Unit Cost (CLP)],TblPurchases[BatchID],TblOutcomes[[#This Row],[BatchID]]))</f>
        <v>0</v>
      </c>
      <c r="Q636" s="51">
        <f>IF(COUNTIF(TblPurchases[BatchID],TblOutcomes[[#This Row],[BatchID]])&lt;&gt;1,"n.a.",SUMIFS(TblPurchases[Purchase Date],TblPurchases[BatchID],TblOutcomes[[#This Row],[BatchID]]))</f>
        <v>45260</v>
      </c>
    </row>
    <row r="637" spans="2:17" x14ac:dyDescent="0.25">
      <c r="B637" s="2" t="s">
        <v>1441</v>
      </c>
      <c r="C637" s="2" t="s">
        <v>144</v>
      </c>
      <c r="D637" s="2" t="s">
        <v>122</v>
      </c>
      <c r="E637" s="2" t="s">
        <v>4647</v>
      </c>
      <c r="F637" s="2">
        <v>54</v>
      </c>
      <c r="G637" s="2">
        <v>54</v>
      </c>
      <c r="H637" s="2">
        <v>0</v>
      </c>
      <c r="I637" s="1">
        <v>0</v>
      </c>
      <c r="J637" s="26">
        <v>45278</v>
      </c>
      <c r="K637" s="22">
        <v>162000</v>
      </c>
      <c r="L637" s="18">
        <v>173.26</v>
      </c>
      <c r="M637" s="22">
        <v>116100</v>
      </c>
      <c r="N637" s="22">
        <v>45900</v>
      </c>
      <c r="O637" s="18">
        <v>49.09</v>
      </c>
      <c r="P637" s="52">
        <f>IF(COUNTIF(TblPurchases[BatchID],TblOutcomes[[#This Row],[BatchID]])&lt;&gt;1,"n.a.",TblOutcomes[[#This Row],[Qty Wasted]]*SUMIFS(TblPurchases[Unit Cost (CLP)],TblPurchases[BatchID],TblOutcomes[[#This Row],[BatchID]]))</f>
        <v>0</v>
      </c>
      <c r="Q637" s="51">
        <f>IF(COUNTIF(TblPurchases[BatchID],TblOutcomes[[#This Row],[BatchID]])&lt;&gt;1,"n.a.",SUMIFS(TblPurchases[Purchase Date],TblPurchases[BatchID],TblOutcomes[[#This Row],[BatchID]]))</f>
        <v>45270</v>
      </c>
    </row>
    <row r="638" spans="2:17" x14ac:dyDescent="0.25">
      <c r="B638" s="2" t="s">
        <v>1442</v>
      </c>
      <c r="C638" s="2" t="s">
        <v>144</v>
      </c>
      <c r="D638" s="2" t="s">
        <v>122</v>
      </c>
      <c r="E638" s="2" t="s">
        <v>4647</v>
      </c>
      <c r="F638" s="2">
        <v>49</v>
      </c>
      <c r="G638" s="2">
        <v>49</v>
      </c>
      <c r="H638" s="2">
        <v>0</v>
      </c>
      <c r="I638" s="1">
        <v>0</v>
      </c>
      <c r="J638" s="26">
        <v>45289</v>
      </c>
      <c r="K638" s="22">
        <v>147000</v>
      </c>
      <c r="L638" s="18">
        <v>157.22</v>
      </c>
      <c r="M638" s="22">
        <v>105350</v>
      </c>
      <c r="N638" s="22">
        <v>41650</v>
      </c>
      <c r="O638" s="18">
        <v>44.55</v>
      </c>
      <c r="P638" s="52">
        <f>IF(COUNTIF(TblPurchases[BatchID],TblOutcomes[[#This Row],[BatchID]])&lt;&gt;1,"n.a.",TblOutcomes[[#This Row],[Qty Wasted]]*SUMIFS(TblPurchases[Unit Cost (CLP)],TblPurchases[BatchID],TblOutcomes[[#This Row],[BatchID]]))</f>
        <v>0</v>
      </c>
      <c r="Q638" s="51">
        <f>IF(COUNTIF(TblPurchases[BatchID],TblOutcomes[[#This Row],[BatchID]])&lt;&gt;1,"n.a.",SUMIFS(TblPurchases[Purchase Date],TblPurchases[BatchID],TblOutcomes[[#This Row],[BatchID]]))</f>
        <v>45280</v>
      </c>
    </row>
    <row r="639" spans="2:17" x14ac:dyDescent="0.25">
      <c r="B639" s="2" t="s">
        <v>1443</v>
      </c>
      <c r="C639" s="2" t="s">
        <v>144</v>
      </c>
      <c r="D639" s="2" t="s">
        <v>122</v>
      </c>
      <c r="E639" s="2" t="s">
        <v>4647</v>
      </c>
      <c r="F639" s="2">
        <v>57</v>
      </c>
      <c r="G639" s="2">
        <v>57</v>
      </c>
      <c r="H639" s="2">
        <v>0</v>
      </c>
      <c r="I639" s="1">
        <v>0</v>
      </c>
      <c r="J639" s="26">
        <v>45295</v>
      </c>
      <c r="K639" s="22">
        <v>171000</v>
      </c>
      <c r="L639" s="18">
        <v>182.89</v>
      </c>
      <c r="M639" s="22">
        <v>122550</v>
      </c>
      <c r="N639" s="22">
        <v>48450</v>
      </c>
      <c r="O639" s="18">
        <v>51.82</v>
      </c>
      <c r="P639" s="52">
        <f>IF(COUNTIF(TblPurchases[BatchID],TblOutcomes[[#This Row],[BatchID]])&lt;&gt;1,"n.a.",TblOutcomes[[#This Row],[Qty Wasted]]*SUMIFS(TblPurchases[Unit Cost (CLP)],TblPurchases[BatchID],TblOutcomes[[#This Row],[BatchID]]))</f>
        <v>0</v>
      </c>
      <c r="Q639" s="51">
        <f>IF(COUNTIF(TblPurchases[BatchID],TblOutcomes[[#This Row],[BatchID]])&lt;&gt;1,"n.a.",SUMIFS(TblPurchases[Purchase Date],TblPurchases[BatchID],TblOutcomes[[#This Row],[BatchID]]))</f>
        <v>45289</v>
      </c>
    </row>
    <row r="640" spans="2:17" x14ac:dyDescent="0.25">
      <c r="B640" s="2" t="s">
        <v>1444</v>
      </c>
      <c r="C640" s="2" t="s">
        <v>144</v>
      </c>
      <c r="D640" s="2" t="s">
        <v>122</v>
      </c>
      <c r="E640" s="2" t="s">
        <v>4647</v>
      </c>
      <c r="F640" s="2">
        <v>42</v>
      </c>
      <c r="G640" s="2">
        <v>42</v>
      </c>
      <c r="H640" s="2">
        <v>0</v>
      </c>
      <c r="I640" s="1">
        <v>0</v>
      </c>
      <c r="J640" s="26">
        <v>45306</v>
      </c>
      <c r="K640" s="22">
        <v>126000</v>
      </c>
      <c r="L640" s="18">
        <v>134.76</v>
      </c>
      <c r="M640" s="22">
        <v>92400</v>
      </c>
      <c r="N640" s="22">
        <v>33600</v>
      </c>
      <c r="O640" s="18">
        <v>35.94</v>
      </c>
      <c r="P640" s="52">
        <f>IF(COUNTIF(TblPurchases[BatchID],TblOutcomes[[#This Row],[BatchID]])&lt;&gt;1,"n.a.",TblOutcomes[[#This Row],[Qty Wasted]]*SUMIFS(TblPurchases[Unit Cost (CLP)],TblPurchases[BatchID],TblOutcomes[[#This Row],[BatchID]]))</f>
        <v>0</v>
      </c>
      <c r="Q640" s="51">
        <f>IF(COUNTIF(TblPurchases[BatchID],TblOutcomes[[#This Row],[BatchID]])&lt;&gt;1,"n.a.",SUMIFS(TblPurchases[Purchase Date],TblPurchases[BatchID],TblOutcomes[[#This Row],[BatchID]]))</f>
        <v>45300</v>
      </c>
    </row>
    <row r="641" spans="2:17" x14ac:dyDescent="0.25">
      <c r="B641" s="2" t="s">
        <v>1445</v>
      </c>
      <c r="C641" s="2" t="s">
        <v>144</v>
      </c>
      <c r="D641" s="2" t="s">
        <v>122</v>
      </c>
      <c r="E641" s="2" t="s">
        <v>4646</v>
      </c>
      <c r="F641" s="2">
        <v>39</v>
      </c>
      <c r="G641" s="2">
        <v>31.43</v>
      </c>
      <c r="H641" s="2">
        <v>7.57</v>
      </c>
      <c r="I641" s="1">
        <v>19.399999999999999</v>
      </c>
      <c r="J641" s="26">
        <v>45353</v>
      </c>
      <c r="K641" s="22">
        <v>94290</v>
      </c>
      <c r="L641" s="18">
        <v>100.84</v>
      </c>
      <c r="M641" s="22">
        <v>83850</v>
      </c>
      <c r="N641" s="22">
        <v>10440</v>
      </c>
      <c r="O641" s="18">
        <v>11.17</v>
      </c>
      <c r="P641" s="52">
        <f>IF(COUNTIF(TblPurchases[BatchID],TblOutcomes[[#This Row],[BatchID]])&lt;&gt;1,"n.a.",TblOutcomes[[#This Row],[Qty Wasted]]*SUMIFS(TblPurchases[Unit Cost (CLP)],TblPurchases[BatchID],TblOutcomes[[#This Row],[BatchID]]))</f>
        <v>16275.5</v>
      </c>
      <c r="Q641" s="51">
        <f>IF(COUNTIF(TblPurchases[BatchID],TblOutcomes[[#This Row],[BatchID]])&lt;&gt;1,"n.a.",SUMIFS(TblPurchases[Purchase Date],TblPurchases[BatchID],TblOutcomes[[#This Row],[BatchID]]))</f>
        <v>45308</v>
      </c>
    </row>
    <row r="642" spans="2:17" x14ac:dyDescent="0.25">
      <c r="B642" s="2" t="s">
        <v>1446</v>
      </c>
      <c r="C642" s="2" t="s">
        <v>144</v>
      </c>
      <c r="D642" s="2" t="s">
        <v>122</v>
      </c>
      <c r="E642" s="2" t="s">
        <v>4647</v>
      </c>
      <c r="F642" s="2">
        <v>36</v>
      </c>
      <c r="G642" s="2">
        <v>36</v>
      </c>
      <c r="H642" s="2">
        <v>0</v>
      </c>
      <c r="I642" s="1">
        <v>0</v>
      </c>
      <c r="J642" s="26">
        <v>45325</v>
      </c>
      <c r="K642" s="22">
        <v>108000</v>
      </c>
      <c r="L642" s="18">
        <v>115.51</v>
      </c>
      <c r="M642" s="22">
        <v>77400</v>
      </c>
      <c r="N642" s="22">
        <v>30600</v>
      </c>
      <c r="O642" s="18">
        <v>32.729999999999997</v>
      </c>
      <c r="P642" s="52">
        <f>IF(COUNTIF(TblPurchases[BatchID],TblOutcomes[[#This Row],[BatchID]])&lt;&gt;1,"n.a.",TblOutcomes[[#This Row],[Qty Wasted]]*SUMIFS(TblPurchases[Unit Cost (CLP)],TblPurchases[BatchID],TblOutcomes[[#This Row],[BatchID]]))</f>
        <v>0</v>
      </c>
      <c r="Q642" s="51">
        <f>IF(COUNTIF(TblPurchases[BatchID],TblOutcomes[[#This Row],[BatchID]])&lt;&gt;1,"n.a.",SUMIFS(TblPurchases[Purchase Date],TblPurchases[BatchID],TblOutcomes[[#This Row],[BatchID]]))</f>
        <v>45319</v>
      </c>
    </row>
    <row r="643" spans="2:17" x14ac:dyDescent="0.25">
      <c r="B643" s="2" t="s">
        <v>1447</v>
      </c>
      <c r="C643" s="2" t="s">
        <v>144</v>
      </c>
      <c r="D643" s="2" t="s">
        <v>122</v>
      </c>
      <c r="E643" s="2" t="s">
        <v>4646</v>
      </c>
      <c r="F643" s="2">
        <v>35</v>
      </c>
      <c r="G643" s="2">
        <v>23.42</v>
      </c>
      <c r="H643" s="2">
        <v>11.59</v>
      </c>
      <c r="I643" s="1">
        <v>33.1</v>
      </c>
      <c r="J643" s="26">
        <v>45376</v>
      </c>
      <c r="K643" s="22">
        <v>70260</v>
      </c>
      <c r="L643" s="18">
        <v>75.14</v>
      </c>
      <c r="M643" s="22">
        <v>75250</v>
      </c>
      <c r="N643" s="22">
        <v>-4990</v>
      </c>
      <c r="O643" s="18">
        <v>-5.34</v>
      </c>
      <c r="P643" s="52">
        <f>IF(COUNTIF(TblPurchases[BatchID],TblOutcomes[[#This Row],[BatchID]])&lt;&gt;1,"n.a.",TblOutcomes[[#This Row],[Qty Wasted]]*SUMIFS(TblPurchases[Unit Cost (CLP)],TblPurchases[BatchID],TblOutcomes[[#This Row],[BatchID]]))</f>
        <v>24918.5</v>
      </c>
      <c r="Q643" s="51">
        <f>IF(COUNTIF(TblPurchases[BatchID],TblOutcomes[[#This Row],[BatchID]])&lt;&gt;1,"n.a.",SUMIFS(TblPurchases[Purchase Date],TblPurchases[BatchID],TblOutcomes[[#This Row],[BatchID]]))</f>
        <v>45331</v>
      </c>
    </row>
    <row r="644" spans="2:17" x14ac:dyDescent="0.25">
      <c r="B644" s="2" t="s">
        <v>1448</v>
      </c>
      <c r="C644" s="2" t="s">
        <v>144</v>
      </c>
      <c r="D644" s="2" t="s">
        <v>122</v>
      </c>
      <c r="E644" s="2" t="s">
        <v>4647</v>
      </c>
      <c r="F644" s="2">
        <v>41</v>
      </c>
      <c r="G644" s="2">
        <v>41</v>
      </c>
      <c r="H644" s="2">
        <v>0</v>
      </c>
      <c r="I644" s="1">
        <v>0</v>
      </c>
      <c r="J644" s="26">
        <v>45351</v>
      </c>
      <c r="K644" s="22">
        <v>123000</v>
      </c>
      <c r="L644" s="18">
        <v>131.55000000000001</v>
      </c>
      <c r="M644" s="22">
        <v>88150</v>
      </c>
      <c r="N644" s="22">
        <v>34850</v>
      </c>
      <c r="O644" s="18">
        <v>37.270000000000003</v>
      </c>
      <c r="P644" s="52">
        <f>IF(COUNTIF(TblPurchases[BatchID],TblOutcomes[[#This Row],[BatchID]])&lt;&gt;1,"n.a.",TblOutcomes[[#This Row],[Qty Wasted]]*SUMIFS(TblPurchases[Unit Cost (CLP)],TblPurchases[BatchID],TblOutcomes[[#This Row],[BatchID]]))</f>
        <v>0</v>
      </c>
      <c r="Q644" s="51">
        <f>IF(COUNTIF(TblPurchases[BatchID],TblOutcomes[[#This Row],[BatchID]])&lt;&gt;1,"n.a.",SUMIFS(TblPurchases[Purchase Date],TblPurchases[BatchID],TblOutcomes[[#This Row],[BatchID]]))</f>
        <v>45341</v>
      </c>
    </row>
    <row r="645" spans="2:17" x14ac:dyDescent="0.25">
      <c r="B645" s="2" t="s">
        <v>1449</v>
      </c>
      <c r="C645" s="2" t="s">
        <v>144</v>
      </c>
      <c r="D645" s="2" t="s">
        <v>122</v>
      </c>
      <c r="E645" s="2" t="s">
        <v>4646</v>
      </c>
      <c r="F645" s="2">
        <v>42</v>
      </c>
      <c r="G645" s="2">
        <v>38.85</v>
      </c>
      <c r="H645" s="2">
        <v>3.15</v>
      </c>
      <c r="I645" s="1">
        <v>7.5</v>
      </c>
      <c r="J645" s="26">
        <v>45395</v>
      </c>
      <c r="K645" s="22">
        <v>116550</v>
      </c>
      <c r="L645" s="18">
        <v>124.65</v>
      </c>
      <c r="M645" s="22">
        <v>90300</v>
      </c>
      <c r="N645" s="22">
        <v>26250</v>
      </c>
      <c r="O645" s="18">
        <v>28.07</v>
      </c>
      <c r="P645" s="52">
        <f>IF(COUNTIF(TblPurchases[BatchID],TblOutcomes[[#This Row],[BatchID]])&lt;&gt;1,"n.a.",TblOutcomes[[#This Row],[Qty Wasted]]*SUMIFS(TblPurchases[Unit Cost (CLP)],TblPurchases[BatchID],TblOutcomes[[#This Row],[BatchID]]))</f>
        <v>6772.5</v>
      </c>
      <c r="Q645" s="51">
        <f>IF(COUNTIF(TblPurchases[BatchID],TblOutcomes[[#This Row],[BatchID]])&lt;&gt;1,"n.a.",SUMIFS(TblPurchases[Purchase Date],TblPurchases[BatchID],TblOutcomes[[#This Row],[BatchID]]))</f>
        <v>45350</v>
      </c>
    </row>
    <row r="646" spans="2:17" x14ac:dyDescent="0.25">
      <c r="B646" s="2" t="s">
        <v>1450</v>
      </c>
      <c r="C646" s="2" t="s">
        <v>144</v>
      </c>
      <c r="D646" s="2" t="s">
        <v>122</v>
      </c>
      <c r="E646" s="2" t="s">
        <v>4647</v>
      </c>
      <c r="F646" s="2">
        <v>38</v>
      </c>
      <c r="G646" s="2">
        <v>38</v>
      </c>
      <c r="H646" s="2">
        <v>0</v>
      </c>
      <c r="I646" s="1">
        <v>0</v>
      </c>
      <c r="J646" s="26">
        <v>45371</v>
      </c>
      <c r="K646" s="22">
        <v>114000</v>
      </c>
      <c r="L646" s="18">
        <v>121.93</v>
      </c>
      <c r="M646" s="22">
        <v>81700</v>
      </c>
      <c r="N646" s="22">
        <v>32300</v>
      </c>
      <c r="O646" s="18">
        <v>34.549999999999997</v>
      </c>
      <c r="P646" s="52">
        <f>IF(COUNTIF(TblPurchases[BatchID],TblOutcomes[[#This Row],[BatchID]])&lt;&gt;1,"n.a.",TblOutcomes[[#This Row],[Qty Wasted]]*SUMIFS(TblPurchases[Unit Cost (CLP)],TblPurchases[BatchID],TblOutcomes[[#This Row],[BatchID]]))</f>
        <v>0</v>
      </c>
      <c r="Q646" s="51">
        <f>IF(COUNTIF(TblPurchases[BatchID],TblOutcomes[[#This Row],[BatchID]])&lt;&gt;1,"n.a.",SUMIFS(TblPurchases[Purchase Date],TblPurchases[BatchID],TblOutcomes[[#This Row],[BatchID]]))</f>
        <v>45361</v>
      </c>
    </row>
    <row r="647" spans="2:17" x14ac:dyDescent="0.25">
      <c r="B647" s="2" t="s">
        <v>1451</v>
      </c>
      <c r="C647" s="2" t="s">
        <v>144</v>
      </c>
      <c r="D647" s="2" t="s">
        <v>122</v>
      </c>
      <c r="E647" s="2" t="s">
        <v>4647</v>
      </c>
      <c r="F647" s="2">
        <v>35</v>
      </c>
      <c r="G647" s="2">
        <v>35</v>
      </c>
      <c r="H647" s="2">
        <v>0</v>
      </c>
      <c r="I647" s="1">
        <v>0</v>
      </c>
      <c r="J647" s="26">
        <v>45377</v>
      </c>
      <c r="K647" s="22">
        <v>105000</v>
      </c>
      <c r="L647" s="18">
        <v>112.3</v>
      </c>
      <c r="M647" s="22">
        <v>75250</v>
      </c>
      <c r="N647" s="22">
        <v>29750</v>
      </c>
      <c r="O647" s="18">
        <v>31.82</v>
      </c>
      <c r="P647" s="52">
        <f>IF(COUNTIF(TblPurchases[BatchID],TblOutcomes[[#This Row],[BatchID]])&lt;&gt;1,"n.a.",TblOutcomes[[#This Row],[Qty Wasted]]*SUMIFS(TblPurchases[Unit Cost (CLP)],TblPurchases[BatchID],TblOutcomes[[#This Row],[BatchID]]))</f>
        <v>0</v>
      </c>
      <c r="Q647" s="51">
        <f>IF(COUNTIF(TblPurchases[BatchID],TblOutcomes[[#This Row],[BatchID]])&lt;&gt;1,"n.a.",SUMIFS(TblPurchases[Purchase Date],TblPurchases[BatchID],TblOutcomes[[#This Row],[BatchID]]))</f>
        <v>45372</v>
      </c>
    </row>
    <row r="648" spans="2:17" x14ac:dyDescent="0.25">
      <c r="B648" s="2" t="s">
        <v>1452</v>
      </c>
      <c r="C648" s="2" t="s">
        <v>144</v>
      </c>
      <c r="D648" s="2" t="s">
        <v>122</v>
      </c>
      <c r="E648" s="2" t="s">
        <v>4647</v>
      </c>
      <c r="F648" s="2">
        <v>44</v>
      </c>
      <c r="G648" s="2">
        <v>44</v>
      </c>
      <c r="H648" s="2">
        <v>0</v>
      </c>
      <c r="I648" s="1">
        <v>0</v>
      </c>
      <c r="J648" s="26">
        <v>45386</v>
      </c>
      <c r="K648" s="22">
        <v>132000</v>
      </c>
      <c r="L648" s="18">
        <v>141.18</v>
      </c>
      <c r="M648" s="22">
        <v>94600</v>
      </c>
      <c r="N648" s="22">
        <v>37400</v>
      </c>
      <c r="O648" s="18">
        <v>40</v>
      </c>
      <c r="P648" s="52">
        <f>IF(COUNTIF(TblPurchases[BatchID],TblOutcomes[[#This Row],[BatchID]])&lt;&gt;1,"n.a.",TblOutcomes[[#This Row],[Qty Wasted]]*SUMIFS(TblPurchases[Unit Cost (CLP)],TblPurchases[BatchID],TblOutcomes[[#This Row],[BatchID]]))</f>
        <v>0</v>
      </c>
      <c r="Q648" s="51">
        <f>IF(COUNTIF(TblPurchases[BatchID],TblOutcomes[[#This Row],[BatchID]])&lt;&gt;1,"n.a.",SUMIFS(TblPurchases[Purchase Date],TblPurchases[BatchID],TblOutcomes[[#This Row],[BatchID]]))</f>
        <v>45380</v>
      </c>
    </row>
    <row r="649" spans="2:17" x14ac:dyDescent="0.25">
      <c r="B649" s="2" t="s">
        <v>1453</v>
      </c>
      <c r="C649" s="2" t="s">
        <v>144</v>
      </c>
      <c r="D649" s="2" t="s">
        <v>122</v>
      </c>
      <c r="E649" s="2" t="s">
        <v>4646</v>
      </c>
      <c r="F649" s="2">
        <v>16</v>
      </c>
      <c r="G649" s="2">
        <v>12.16</v>
      </c>
      <c r="H649" s="2">
        <v>3.84</v>
      </c>
      <c r="I649" s="1">
        <v>24</v>
      </c>
      <c r="J649" s="26">
        <v>45435</v>
      </c>
      <c r="K649" s="22">
        <v>36480</v>
      </c>
      <c r="L649" s="18">
        <v>39.020000000000003</v>
      </c>
      <c r="M649" s="22">
        <v>34400</v>
      </c>
      <c r="N649" s="22">
        <v>2080</v>
      </c>
      <c r="O649" s="18">
        <v>2.2200000000000002</v>
      </c>
      <c r="P649" s="52">
        <f>IF(COUNTIF(TblPurchases[BatchID],TblOutcomes[[#This Row],[BatchID]])&lt;&gt;1,"n.a.",TblOutcomes[[#This Row],[Qty Wasted]]*SUMIFS(TblPurchases[Unit Cost (CLP)],TblPurchases[BatchID],TblOutcomes[[#This Row],[BatchID]]))</f>
        <v>8256</v>
      </c>
      <c r="Q649" s="51">
        <f>IF(COUNTIF(TblPurchases[BatchID],TblOutcomes[[#This Row],[BatchID]])&lt;&gt;1,"n.a.",SUMIFS(TblPurchases[Purchase Date],TblPurchases[BatchID],TblOutcomes[[#This Row],[BatchID]]))</f>
        <v>45390</v>
      </c>
    </row>
    <row r="650" spans="2:17" x14ac:dyDescent="0.25">
      <c r="B650" s="2" t="s">
        <v>1454</v>
      </c>
      <c r="C650" s="2" t="s">
        <v>144</v>
      </c>
      <c r="D650" s="2" t="s">
        <v>122</v>
      </c>
      <c r="E650" s="2" t="s">
        <v>4647</v>
      </c>
      <c r="F650" s="2">
        <v>17</v>
      </c>
      <c r="G650" s="2">
        <v>17</v>
      </c>
      <c r="H650" s="2">
        <v>0</v>
      </c>
      <c r="I650" s="1">
        <v>0</v>
      </c>
      <c r="J650" s="26">
        <v>45409</v>
      </c>
      <c r="K650" s="22">
        <v>51000</v>
      </c>
      <c r="L650" s="18">
        <v>54.55</v>
      </c>
      <c r="M650" s="22">
        <v>36550</v>
      </c>
      <c r="N650" s="22">
        <v>14450</v>
      </c>
      <c r="O650" s="18">
        <v>15.45</v>
      </c>
      <c r="P650" s="52">
        <f>IF(COUNTIF(TblPurchases[BatchID],TblOutcomes[[#This Row],[BatchID]])&lt;&gt;1,"n.a.",TblOutcomes[[#This Row],[Qty Wasted]]*SUMIFS(TblPurchases[Unit Cost (CLP)],TblPurchases[BatchID],TblOutcomes[[#This Row],[BatchID]]))</f>
        <v>0</v>
      </c>
      <c r="Q650" s="51">
        <f>IF(COUNTIF(TblPurchases[BatchID],TblOutcomes[[#This Row],[BatchID]])&lt;&gt;1,"n.a.",SUMIFS(TblPurchases[Purchase Date],TblPurchases[BatchID],TblOutcomes[[#This Row],[BatchID]]))</f>
        <v>45400</v>
      </c>
    </row>
    <row r="651" spans="2:17" x14ac:dyDescent="0.25">
      <c r="B651" s="2" t="s">
        <v>1455</v>
      </c>
      <c r="C651" s="2" t="s">
        <v>144</v>
      </c>
      <c r="D651" s="2" t="s">
        <v>122</v>
      </c>
      <c r="E651" s="2" t="s">
        <v>4647</v>
      </c>
      <c r="F651" s="2">
        <v>13</v>
      </c>
      <c r="G651" s="2">
        <v>13</v>
      </c>
      <c r="H651" s="2">
        <v>0</v>
      </c>
      <c r="I651" s="1">
        <v>0</v>
      </c>
      <c r="J651" s="26">
        <v>45413</v>
      </c>
      <c r="K651" s="22">
        <v>39000</v>
      </c>
      <c r="L651" s="18">
        <v>41.71</v>
      </c>
      <c r="M651" s="22">
        <v>27950</v>
      </c>
      <c r="N651" s="22">
        <v>11050</v>
      </c>
      <c r="O651" s="18">
        <v>11.82</v>
      </c>
      <c r="P651" s="52">
        <f>IF(COUNTIF(TblPurchases[BatchID],TblOutcomes[[#This Row],[BatchID]])&lt;&gt;1,"n.a.",TblOutcomes[[#This Row],[Qty Wasted]]*SUMIFS(TblPurchases[Unit Cost (CLP)],TblPurchases[BatchID],TblOutcomes[[#This Row],[BatchID]]))</f>
        <v>0</v>
      </c>
      <c r="Q651" s="51">
        <f>IF(COUNTIF(TblPurchases[BatchID],TblOutcomes[[#This Row],[BatchID]])&lt;&gt;1,"n.a.",SUMIFS(TblPurchases[Purchase Date],TblPurchases[BatchID],TblOutcomes[[#This Row],[BatchID]]))</f>
        <v>45409</v>
      </c>
    </row>
    <row r="652" spans="2:17" x14ac:dyDescent="0.25">
      <c r="B652" s="2" t="s">
        <v>1456</v>
      </c>
      <c r="C652" s="2" t="s">
        <v>144</v>
      </c>
      <c r="D652" s="2" t="s">
        <v>122</v>
      </c>
      <c r="E652" s="2" t="s">
        <v>4647</v>
      </c>
      <c r="F652" s="2">
        <v>13</v>
      </c>
      <c r="G652" s="2">
        <v>13</v>
      </c>
      <c r="H652" s="2">
        <v>0</v>
      </c>
      <c r="I652" s="1">
        <v>0</v>
      </c>
      <c r="J652" s="26">
        <v>45424</v>
      </c>
      <c r="K652" s="22">
        <v>39000</v>
      </c>
      <c r="L652" s="18">
        <v>41.71</v>
      </c>
      <c r="M652" s="22">
        <v>28600</v>
      </c>
      <c r="N652" s="22">
        <v>10400</v>
      </c>
      <c r="O652" s="18">
        <v>11.12</v>
      </c>
      <c r="P652" s="52">
        <f>IF(COUNTIF(TblPurchases[BatchID],TblOutcomes[[#This Row],[BatchID]])&lt;&gt;1,"n.a.",TblOutcomes[[#This Row],[Qty Wasted]]*SUMIFS(TblPurchases[Unit Cost (CLP)],TblPurchases[BatchID],TblOutcomes[[#This Row],[BatchID]]))</f>
        <v>0</v>
      </c>
      <c r="Q652" s="51">
        <f>IF(COUNTIF(TblPurchases[BatchID],TblOutcomes[[#This Row],[BatchID]])&lt;&gt;1,"n.a.",SUMIFS(TblPurchases[Purchase Date],TblPurchases[BatchID],TblOutcomes[[#This Row],[BatchID]]))</f>
        <v>45419</v>
      </c>
    </row>
    <row r="653" spans="2:17" x14ac:dyDescent="0.25">
      <c r="B653" s="2" t="s">
        <v>1457</v>
      </c>
      <c r="C653" s="2" t="s">
        <v>144</v>
      </c>
      <c r="D653" s="2" t="s">
        <v>122</v>
      </c>
      <c r="E653" s="2" t="s">
        <v>4647</v>
      </c>
      <c r="F653" s="2">
        <v>15</v>
      </c>
      <c r="G653" s="2">
        <v>15</v>
      </c>
      <c r="H653" s="2">
        <v>0</v>
      </c>
      <c r="I653" s="1">
        <v>0</v>
      </c>
      <c r="J653" s="26">
        <v>45436</v>
      </c>
      <c r="K653" s="22">
        <v>45000</v>
      </c>
      <c r="L653" s="18">
        <v>48.13</v>
      </c>
      <c r="M653" s="22">
        <v>33000</v>
      </c>
      <c r="N653" s="22">
        <v>12000</v>
      </c>
      <c r="O653" s="18">
        <v>12.83</v>
      </c>
      <c r="P653" s="52">
        <f>IF(COUNTIF(TblPurchases[BatchID],TblOutcomes[[#This Row],[BatchID]])&lt;&gt;1,"n.a.",TblOutcomes[[#This Row],[Qty Wasted]]*SUMIFS(TblPurchases[Unit Cost (CLP)],TblPurchases[BatchID],TblOutcomes[[#This Row],[BatchID]]))</f>
        <v>0</v>
      </c>
      <c r="Q653" s="51">
        <f>IF(COUNTIF(TblPurchases[BatchID],TblOutcomes[[#This Row],[BatchID]])&lt;&gt;1,"n.a.",SUMIFS(TblPurchases[Purchase Date],TblPurchases[BatchID],TblOutcomes[[#This Row],[BatchID]]))</f>
        <v>45428</v>
      </c>
    </row>
    <row r="654" spans="2:17" x14ac:dyDescent="0.25">
      <c r="B654" s="2" t="s">
        <v>1458</v>
      </c>
      <c r="C654" s="2" t="s">
        <v>144</v>
      </c>
      <c r="D654" s="2" t="s">
        <v>122</v>
      </c>
      <c r="E654" s="2" t="s">
        <v>4647</v>
      </c>
      <c r="F654" s="2">
        <v>15</v>
      </c>
      <c r="G654" s="2">
        <v>15</v>
      </c>
      <c r="H654" s="2">
        <v>0</v>
      </c>
      <c r="I654" s="1">
        <v>0</v>
      </c>
      <c r="J654" s="26">
        <v>45439</v>
      </c>
      <c r="K654" s="22">
        <v>45000</v>
      </c>
      <c r="L654" s="18">
        <v>48.13</v>
      </c>
      <c r="M654" s="22">
        <v>32250</v>
      </c>
      <c r="N654" s="22">
        <v>12750</v>
      </c>
      <c r="O654" s="18">
        <v>13.64</v>
      </c>
      <c r="P654" s="52">
        <f>IF(COUNTIF(TblPurchases[BatchID],TblOutcomes[[#This Row],[BatchID]])&lt;&gt;1,"n.a.",TblOutcomes[[#This Row],[Qty Wasted]]*SUMIFS(TblPurchases[Unit Cost (CLP)],TblPurchases[BatchID],TblOutcomes[[#This Row],[BatchID]]))</f>
        <v>0</v>
      </c>
      <c r="Q654" s="51">
        <f>IF(COUNTIF(TblPurchases[BatchID],TblOutcomes[[#This Row],[BatchID]])&lt;&gt;1,"n.a.",SUMIFS(TblPurchases[Purchase Date],TblPurchases[BatchID],TblOutcomes[[#This Row],[BatchID]]))</f>
        <v>45434</v>
      </c>
    </row>
    <row r="655" spans="2:17" x14ac:dyDescent="0.25">
      <c r="B655" s="2" t="s">
        <v>1459</v>
      </c>
      <c r="C655" s="2" t="s">
        <v>144</v>
      </c>
      <c r="D655" s="2" t="s">
        <v>122</v>
      </c>
      <c r="E655" s="2" t="s">
        <v>4646</v>
      </c>
      <c r="F655" s="2">
        <v>14</v>
      </c>
      <c r="G655" s="2">
        <v>11.82</v>
      </c>
      <c r="H655" s="2">
        <v>2.1800000000000002</v>
      </c>
      <c r="I655" s="1">
        <v>15.6</v>
      </c>
      <c r="J655" s="26">
        <v>45485</v>
      </c>
      <c r="K655" s="22">
        <v>35460</v>
      </c>
      <c r="L655" s="18">
        <v>37.93</v>
      </c>
      <c r="M655" s="22">
        <v>30100</v>
      </c>
      <c r="N655" s="22">
        <v>5360</v>
      </c>
      <c r="O655" s="18">
        <v>5.73</v>
      </c>
      <c r="P655" s="52">
        <f>IF(COUNTIF(TblPurchases[BatchID],TblOutcomes[[#This Row],[BatchID]])&lt;&gt;1,"n.a.",TblOutcomes[[#This Row],[Qty Wasted]]*SUMIFS(TblPurchases[Unit Cost (CLP)],TblPurchases[BatchID],TblOutcomes[[#This Row],[BatchID]]))</f>
        <v>4687</v>
      </c>
      <c r="Q655" s="51">
        <f>IF(COUNTIF(TblPurchases[BatchID],TblOutcomes[[#This Row],[BatchID]])&lt;&gt;1,"n.a.",SUMIFS(TblPurchases[Purchase Date],TblPurchases[BatchID],TblOutcomes[[#This Row],[BatchID]]))</f>
        <v>45440</v>
      </c>
    </row>
    <row r="656" spans="2:17" x14ac:dyDescent="0.25">
      <c r="B656" s="2" t="s">
        <v>1460</v>
      </c>
      <c r="C656" s="2" t="s">
        <v>144</v>
      </c>
      <c r="D656" s="2" t="s">
        <v>122</v>
      </c>
      <c r="E656" s="2" t="s">
        <v>4647</v>
      </c>
      <c r="F656" s="2">
        <v>17</v>
      </c>
      <c r="G656" s="2">
        <v>17</v>
      </c>
      <c r="H656" s="2">
        <v>0</v>
      </c>
      <c r="I656" s="1">
        <v>0</v>
      </c>
      <c r="J656" s="26">
        <v>45457</v>
      </c>
      <c r="K656" s="22">
        <v>51000</v>
      </c>
      <c r="L656" s="18">
        <v>54.55</v>
      </c>
      <c r="M656" s="22">
        <v>36550</v>
      </c>
      <c r="N656" s="22">
        <v>14450</v>
      </c>
      <c r="O656" s="18">
        <v>15.45</v>
      </c>
      <c r="P656" s="52">
        <f>IF(COUNTIF(TblPurchases[BatchID],TblOutcomes[[#This Row],[BatchID]])&lt;&gt;1,"n.a.",TblOutcomes[[#This Row],[Qty Wasted]]*SUMIFS(TblPurchases[Unit Cost (CLP)],TblPurchases[BatchID],TblOutcomes[[#This Row],[BatchID]]))</f>
        <v>0</v>
      </c>
      <c r="Q656" s="51">
        <f>IF(COUNTIF(TblPurchases[BatchID],TblOutcomes[[#This Row],[BatchID]])&lt;&gt;1,"n.a.",SUMIFS(TblPurchases[Purchase Date],TblPurchases[BatchID],TblOutcomes[[#This Row],[BatchID]]))</f>
        <v>45450</v>
      </c>
    </row>
    <row r="657" spans="2:17" x14ac:dyDescent="0.25">
      <c r="B657" s="2" t="s">
        <v>1461</v>
      </c>
      <c r="C657" s="2" t="s">
        <v>144</v>
      </c>
      <c r="D657" s="2" t="s">
        <v>122</v>
      </c>
      <c r="E657" s="2" t="s">
        <v>4646</v>
      </c>
      <c r="F657" s="2">
        <v>15</v>
      </c>
      <c r="G657" s="2">
        <v>10.95</v>
      </c>
      <c r="H657" s="2">
        <v>4.05</v>
      </c>
      <c r="I657" s="1">
        <v>27</v>
      </c>
      <c r="J657" s="26">
        <v>45503</v>
      </c>
      <c r="K657" s="22">
        <v>32850</v>
      </c>
      <c r="L657" s="18">
        <v>35.130000000000003</v>
      </c>
      <c r="M657" s="22">
        <v>32250</v>
      </c>
      <c r="N657" s="22">
        <v>600</v>
      </c>
      <c r="O657" s="18">
        <v>0.64</v>
      </c>
      <c r="P657" s="52">
        <f>IF(COUNTIF(TblPurchases[BatchID],TblOutcomes[[#This Row],[BatchID]])&lt;&gt;1,"n.a.",TblOutcomes[[#This Row],[Qty Wasted]]*SUMIFS(TblPurchases[Unit Cost (CLP)],TblPurchases[BatchID],TblOutcomes[[#This Row],[BatchID]]))</f>
        <v>8707.5</v>
      </c>
      <c r="Q657" s="51">
        <f>IF(COUNTIF(TblPurchases[BatchID],TblOutcomes[[#This Row],[BatchID]])&lt;&gt;1,"n.a.",SUMIFS(TblPurchases[Purchase Date],TblPurchases[BatchID],TblOutcomes[[#This Row],[BatchID]]))</f>
        <v>45458</v>
      </c>
    </row>
    <row r="658" spans="2:17" x14ac:dyDescent="0.25">
      <c r="B658" s="2" t="s">
        <v>1462</v>
      </c>
      <c r="C658" s="2" t="s">
        <v>144</v>
      </c>
      <c r="D658" s="2" t="s">
        <v>122</v>
      </c>
      <c r="E658" s="2" t="s">
        <v>4646</v>
      </c>
      <c r="F658" s="2">
        <v>14</v>
      </c>
      <c r="G658" s="2">
        <v>11.82</v>
      </c>
      <c r="H658" s="2">
        <v>2.1800000000000002</v>
      </c>
      <c r="I658" s="1">
        <v>15.6</v>
      </c>
      <c r="J658" s="26">
        <v>45513</v>
      </c>
      <c r="K658" s="22">
        <v>35460</v>
      </c>
      <c r="L658" s="18">
        <v>37.93</v>
      </c>
      <c r="M658" s="22">
        <v>30100</v>
      </c>
      <c r="N658" s="22">
        <v>5360</v>
      </c>
      <c r="O658" s="18">
        <v>5.73</v>
      </c>
      <c r="P658" s="52">
        <f>IF(COUNTIF(TblPurchases[BatchID],TblOutcomes[[#This Row],[BatchID]])&lt;&gt;1,"n.a.",TblOutcomes[[#This Row],[Qty Wasted]]*SUMIFS(TblPurchases[Unit Cost (CLP)],TblPurchases[BatchID],TblOutcomes[[#This Row],[BatchID]]))</f>
        <v>4687</v>
      </c>
      <c r="Q658" s="51">
        <f>IF(COUNTIF(TblPurchases[BatchID],TblOutcomes[[#This Row],[BatchID]])&lt;&gt;1,"n.a.",SUMIFS(TblPurchases[Purchase Date],TblPurchases[BatchID],TblOutcomes[[#This Row],[BatchID]]))</f>
        <v>45468</v>
      </c>
    </row>
    <row r="659" spans="2:17" x14ac:dyDescent="0.25">
      <c r="B659" s="2" t="s">
        <v>1463</v>
      </c>
      <c r="C659" s="2" t="s">
        <v>144</v>
      </c>
      <c r="D659" s="2" t="s">
        <v>122</v>
      </c>
      <c r="E659" s="2" t="s">
        <v>4646</v>
      </c>
      <c r="F659" s="2">
        <v>13</v>
      </c>
      <c r="G659" s="2">
        <v>10.79</v>
      </c>
      <c r="H659" s="2">
        <v>2.21</v>
      </c>
      <c r="I659" s="1">
        <v>17</v>
      </c>
      <c r="J659" s="26">
        <v>45522</v>
      </c>
      <c r="K659" s="22">
        <v>32370</v>
      </c>
      <c r="L659" s="18">
        <v>34.619999999999997</v>
      </c>
      <c r="M659" s="22">
        <v>27950</v>
      </c>
      <c r="N659" s="22">
        <v>4420</v>
      </c>
      <c r="O659" s="18">
        <v>4.7300000000000004</v>
      </c>
      <c r="P659" s="52">
        <f>IF(COUNTIF(TblPurchases[BatchID],TblOutcomes[[#This Row],[BatchID]])&lt;&gt;1,"n.a.",TblOutcomes[[#This Row],[Qty Wasted]]*SUMIFS(TblPurchases[Unit Cost (CLP)],TblPurchases[BatchID],TblOutcomes[[#This Row],[BatchID]]))</f>
        <v>4751.5</v>
      </c>
      <c r="Q659" s="51">
        <f>IF(COUNTIF(TblPurchases[BatchID],TblOutcomes[[#This Row],[BatchID]])&lt;&gt;1,"n.a.",SUMIFS(TblPurchases[Purchase Date],TblPurchases[BatchID],TblOutcomes[[#This Row],[BatchID]]))</f>
        <v>45477</v>
      </c>
    </row>
    <row r="660" spans="2:17" x14ac:dyDescent="0.25">
      <c r="B660" s="2" t="s">
        <v>1464</v>
      </c>
      <c r="C660" s="2" t="s">
        <v>144</v>
      </c>
      <c r="D660" s="2" t="s">
        <v>122</v>
      </c>
      <c r="E660" s="2" t="s">
        <v>4647</v>
      </c>
      <c r="F660" s="2">
        <v>17</v>
      </c>
      <c r="G660" s="2">
        <v>17</v>
      </c>
      <c r="H660" s="2">
        <v>0</v>
      </c>
      <c r="I660" s="1">
        <v>0</v>
      </c>
      <c r="J660" s="26">
        <v>45495</v>
      </c>
      <c r="K660" s="22">
        <v>51000</v>
      </c>
      <c r="L660" s="18">
        <v>54.55</v>
      </c>
      <c r="M660" s="22">
        <v>36550</v>
      </c>
      <c r="N660" s="22">
        <v>14450</v>
      </c>
      <c r="O660" s="18">
        <v>15.45</v>
      </c>
      <c r="P660" s="52">
        <f>IF(COUNTIF(TblPurchases[BatchID],TblOutcomes[[#This Row],[BatchID]])&lt;&gt;1,"n.a.",TblOutcomes[[#This Row],[Qty Wasted]]*SUMIFS(TblPurchases[Unit Cost (CLP)],TblPurchases[BatchID],TblOutcomes[[#This Row],[BatchID]]))</f>
        <v>0</v>
      </c>
      <c r="Q660" s="51">
        <f>IF(COUNTIF(TblPurchases[BatchID],TblOutcomes[[#This Row],[BatchID]])&lt;&gt;1,"n.a.",SUMIFS(TblPurchases[Purchase Date],TblPurchases[BatchID],TblOutcomes[[#This Row],[BatchID]]))</f>
        <v>45485</v>
      </c>
    </row>
    <row r="661" spans="2:17" x14ac:dyDescent="0.25">
      <c r="B661" s="2" t="s">
        <v>1465</v>
      </c>
      <c r="C661" s="2" t="s">
        <v>144</v>
      </c>
      <c r="D661" s="2" t="s">
        <v>122</v>
      </c>
      <c r="E661" s="2" t="s">
        <v>4647</v>
      </c>
      <c r="F661" s="2">
        <v>14</v>
      </c>
      <c r="G661" s="2">
        <v>14</v>
      </c>
      <c r="H661" s="2">
        <v>0</v>
      </c>
      <c r="I661" s="1">
        <v>0</v>
      </c>
      <c r="J661" s="26">
        <v>45502</v>
      </c>
      <c r="K661" s="22">
        <v>42000</v>
      </c>
      <c r="L661" s="18">
        <v>44.92</v>
      </c>
      <c r="M661" s="22">
        <v>30100</v>
      </c>
      <c r="N661" s="22">
        <v>11900</v>
      </c>
      <c r="O661" s="18">
        <v>12.73</v>
      </c>
      <c r="P661" s="52">
        <f>IF(COUNTIF(TblPurchases[BatchID],TblOutcomes[[#This Row],[BatchID]])&lt;&gt;1,"n.a.",TblOutcomes[[#This Row],[Qty Wasted]]*SUMIFS(TblPurchases[Unit Cost (CLP)],TblPurchases[BatchID],TblOutcomes[[#This Row],[BatchID]]))</f>
        <v>0</v>
      </c>
      <c r="Q661" s="51">
        <f>IF(COUNTIF(TblPurchases[BatchID],TblOutcomes[[#This Row],[BatchID]])&lt;&gt;1,"n.a.",SUMIFS(TblPurchases[Purchase Date],TblPurchases[BatchID],TblOutcomes[[#This Row],[BatchID]]))</f>
        <v>45498</v>
      </c>
    </row>
    <row r="662" spans="2:17" x14ac:dyDescent="0.25">
      <c r="B662" s="2" t="s">
        <v>1466</v>
      </c>
      <c r="C662" s="2" t="s">
        <v>144</v>
      </c>
      <c r="D662" s="2" t="s">
        <v>122</v>
      </c>
      <c r="E662" s="2" t="s">
        <v>4647</v>
      </c>
      <c r="F662" s="2">
        <v>17</v>
      </c>
      <c r="G662" s="2">
        <v>17</v>
      </c>
      <c r="H662" s="2">
        <v>0</v>
      </c>
      <c r="I662" s="1">
        <v>0</v>
      </c>
      <c r="J662" s="26">
        <v>45513</v>
      </c>
      <c r="K662" s="22">
        <v>51000</v>
      </c>
      <c r="L662" s="18">
        <v>54.55</v>
      </c>
      <c r="M662" s="22">
        <v>37400</v>
      </c>
      <c r="N662" s="22">
        <v>13600</v>
      </c>
      <c r="O662" s="18">
        <v>14.55</v>
      </c>
      <c r="P662" s="52">
        <f>IF(COUNTIF(TblPurchases[BatchID],TblOutcomes[[#This Row],[BatchID]])&lt;&gt;1,"n.a.",TblOutcomes[[#This Row],[Qty Wasted]]*SUMIFS(TblPurchases[Unit Cost (CLP)],TblPurchases[BatchID],TblOutcomes[[#This Row],[BatchID]]))</f>
        <v>0</v>
      </c>
      <c r="Q662" s="51">
        <f>IF(COUNTIF(TblPurchases[BatchID],TblOutcomes[[#This Row],[BatchID]])&lt;&gt;1,"n.a.",SUMIFS(TblPurchases[Purchase Date],TblPurchases[BatchID],TblOutcomes[[#This Row],[BatchID]]))</f>
        <v>45506</v>
      </c>
    </row>
    <row r="663" spans="2:17" x14ac:dyDescent="0.25">
      <c r="B663" s="2" t="s">
        <v>1467</v>
      </c>
      <c r="C663" s="2" t="s">
        <v>144</v>
      </c>
      <c r="D663" s="2" t="s">
        <v>122</v>
      </c>
      <c r="E663" s="2" t="s">
        <v>4646</v>
      </c>
      <c r="F663" s="2">
        <v>14</v>
      </c>
      <c r="G663" s="2">
        <v>11.14</v>
      </c>
      <c r="H663" s="2">
        <v>2.86</v>
      </c>
      <c r="I663" s="1">
        <v>20.399999999999999</v>
      </c>
      <c r="J663" s="26">
        <v>45559</v>
      </c>
      <c r="K663" s="22">
        <v>33420</v>
      </c>
      <c r="L663" s="18">
        <v>35.74</v>
      </c>
      <c r="M663" s="22">
        <v>30100</v>
      </c>
      <c r="N663" s="22">
        <v>3320</v>
      </c>
      <c r="O663" s="18">
        <v>3.55</v>
      </c>
      <c r="P663" s="52">
        <f>IF(COUNTIF(TblPurchases[BatchID],TblOutcomes[[#This Row],[BatchID]])&lt;&gt;1,"n.a.",TblOutcomes[[#This Row],[Qty Wasted]]*SUMIFS(TblPurchases[Unit Cost (CLP)],TblPurchases[BatchID],TblOutcomes[[#This Row],[BatchID]]))</f>
        <v>6149</v>
      </c>
      <c r="Q663" s="51">
        <f>IF(COUNTIF(TblPurchases[BatchID],TblOutcomes[[#This Row],[BatchID]])&lt;&gt;1,"n.a.",SUMIFS(TblPurchases[Purchase Date],TblPurchases[BatchID],TblOutcomes[[#This Row],[BatchID]]))</f>
        <v>45514</v>
      </c>
    </row>
    <row r="664" spans="2:17" x14ac:dyDescent="0.25">
      <c r="B664" s="2" t="s">
        <v>1468</v>
      </c>
      <c r="C664" s="2" t="s">
        <v>144</v>
      </c>
      <c r="D664" s="2" t="s">
        <v>122</v>
      </c>
      <c r="E664" s="2" t="s">
        <v>4647</v>
      </c>
      <c r="F664" s="2">
        <v>17</v>
      </c>
      <c r="G664" s="2">
        <v>17</v>
      </c>
      <c r="H664" s="2">
        <v>0</v>
      </c>
      <c r="I664" s="1">
        <v>0</v>
      </c>
      <c r="J664" s="26">
        <v>45530</v>
      </c>
      <c r="K664" s="22">
        <v>51000</v>
      </c>
      <c r="L664" s="18">
        <v>54.55</v>
      </c>
      <c r="M664" s="22">
        <v>37400</v>
      </c>
      <c r="N664" s="22">
        <v>13600</v>
      </c>
      <c r="O664" s="18">
        <v>14.55</v>
      </c>
      <c r="P664" s="52">
        <f>IF(COUNTIF(TblPurchases[BatchID],TblOutcomes[[#This Row],[BatchID]])&lt;&gt;1,"n.a.",TblOutcomes[[#This Row],[Qty Wasted]]*SUMIFS(TblPurchases[Unit Cost (CLP)],TblPurchases[BatchID],TblOutcomes[[#This Row],[BatchID]]))</f>
        <v>0</v>
      </c>
      <c r="Q664" s="51">
        <f>IF(COUNTIF(TblPurchases[BatchID],TblOutcomes[[#This Row],[BatchID]])&lt;&gt;1,"n.a.",SUMIFS(TblPurchases[Purchase Date],TblPurchases[BatchID],TblOutcomes[[#This Row],[BatchID]]))</f>
        <v>45523</v>
      </c>
    </row>
    <row r="665" spans="2:17" x14ac:dyDescent="0.25">
      <c r="B665" s="2" t="s">
        <v>1469</v>
      </c>
      <c r="C665" s="2" t="s">
        <v>144</v>
      </c>
      <c r="D665" s="2" t="s">
        <v>122</v>
      </c>
      <c r="E665" s="2" t="s">
        <v>4646</v>
      </c>
      <c r="F665" s="2">
        <v>17</v>
      </c>
      <c r="G665" s="2">
        <v>12.14</v>
      </c>
      <c r="H665" s="2">
        <v>4.8600000000000003</v>
      </c>
      <c r="I665" s="1">
        <v>28.6</v>
      </c>
      <c r="J665" s="26">
        <v>45576</v>
      </c>
      <c r="K665" s="22">
        <v>36420</v>
      </c>
      <c r="L665" s="18">
        <v>38.950000000000003</v>
      </c>
      <c r="M665" s="22">
        <v>36550</v>
      </c>
      <c r="N665" s="22">
        <v>-130</v>
      </c>
      <c r="O665" s="18">
        <v>-0.14000000000000001</v>
      </c>
      <c r="P665" s="52">
        <f>IF(COUNTIF(TblPurchases[BatchID],TblOutcomes[[#This Row],[BatchID]])&lt;&gt;1,"n.a.",TblOutcomes[[#This Row],[Qty Wasted]]*SUMIFS(TblPurchases[Unit Cost (CLP)],TblPurchases[BatchID],TblOutcomes[[#This Row],[BatchID]]))</f>
        <v>10449</v>
      </c>
      <c r="Q665" s="51">
        <f>IF(COUNTIF(TblPurchases[BatchID],TblOutcomes[[#This Row],[BatchID]])&lt;&gt;1,"n.a.",SUMIFS(TblPurchases[Purchase Date],TblPurchases[BatchID],TblOutcomes[[#This Row],[BatchID]]))</f>
        <v>45531</v>
      </c>
    </row>
    <row r="666" spans="2:17" x14ac:dyDescent="0.25">
      <c r="B666" s="2" t="s">
        <v>1470</v>
      </c>
      <c r="C666" s="2" t="s">
        <v>144</v>
      </c>
      <c r="D666" s="2" t="s">
        <v>122</v>
      </c>
      <c r="E666" s="2" t="s">
        <v>4646</v>
      </c>
      <c r="F666" s="2">
        <v>20</v>
      </c>
      <c r="G666" s="2">
        <v>17.64</v>
      </c>
      <c r="H666" s="2">
        <v>2.36</v>
      </c>
      <c r="I666" s="1">
        <v>11.8</v>
      </c>
      <c r="J666" s="26">
        <v>45588</v>
      </c>
      <c r="K666" s="22">
        <v>52920</v>
      </c>
      <c r="L666" s="18">
        <v>56.6</v>
      </c>
      <c r="M666" s="22">
        <v>43000</v>
      </c>
      <c r="N666" s="22">
        <v>9920</v>
      </c>
      <c r="O666" s="18">
        <v>10.61</v>
      </c>
      <c r="P666" s="52">
        <f>IF(COUNTIF(TblPurchases[BatchID],TblOutcomes[[#This Row],[BatchID]])&lt;&gt;1,"n.a.",TblOutcomes[[#This Row],[Qty Wasted]]*SUMIFS(TblPurchases[Unit Cost (CLP)],TblPurchases[BatchID],TblOutcomes[[#This Row],[BatchID]]))</f>
        <v>5074</v>
      </c>
      <c r="Q666" s="51">
        <f>IF(COUNTIF(TblPurchases[BatchID],TblOutcomes[[#This Row],[BatchID]])&lt;&gt;1,"n.a.",SUMIFS(TblPurchases[Purchase Date],TblPurchases[BatchID],TblOutcomes[[#This Row],[BatchID]]))</f>
        <v>45543</v>
      </c>
    </row>
    <row r="667" spans="2:17" x14ac:dyDescent="0.25">
      <c r="B667" s="2" t="s">
        <v>1471</v>
      </c>
      <c r="C667" s="2" t="s">
        <v>144</v>
      </c>
      <c r="D667" s="2" t="s">
        <v>122</v>
      </c>
      <c r="E667" s="2" t="s">
        <v>4647</v>
      </c>
      <c r="F667" s="2">
        <v>16</v>
      </c>
      <c r="G667" s="2">
        <v>16</v>
      </c>
      <c r="H667" s="2">
        <v>0</v>
      </c>
      <c r="I667" s="1">
        <v>0</v>
      </c>
      <c r="J667" s="26">
        <v>45562</v>
      </c>
      <c r="K667" s="22">
        <v>48000</v>
      </c>
      <c r="L667" s="18">
        <v>51.34</v>
      </c>
      <c r="M667" s="22">
        <v>34400</v>
      </c>
      <c r="N667" s="22">
        <v>13600</v>
      </c>
      <c r="O667" s="18">
        <v>14.55</v>
      </c>
      <c r="P667" s="52">
        <f>IF(COUNTIF(TblPurchases[BatchID],TblOutcomes[[#This Row],[BatchID]])&lt;&gt;1,"n.a.",TblOutcomes[[#This Row],[Qty Wasted]]*SUMIFS(TblPurchases[Unit Cost (CLP)],TblPurchases[BatchID],TblOutcomes[[#This Row],[BatchID]]))</f>
        <v>0</v>
      </c>
      <c r="Q667" s="51">
        <f>IF(COUNTIF(TblPurchases[BatchID],TblOutcomes[[#This Row],[BatchID]])&lt;&gt;1,"n.a.",SUMIFS(TblPurchases[Purchase Date],TblPurchases[BatchID],TblOutcomes[[#This Row],[BatchID]]))</f>
        <v>45553</v>
      </c>
    </row>
    <row r="668" spans="2:17" x14ac:dyDescent="0.25">
      <c r="B668" s="2" t="s">
        <v>1472</v>
      </c>
      <c r="C668" s="2" t="s">
        <v>144</v>
      </c>
      <c r="D668" s="2" t="s">
        <v>122</v>
      </c>
      <c r="E668" s="2" t="s">
        <v>4646</v>
      </c>
      <c r="F668" s="2">
        <v>20</v>
      </c>
      <c r="G668" s="2">
        <v>18.48</v>
      </c>
      <c r="H668" s="2">
        <v>1.52</v>
      </c>
      <c r="I668" s="1">
        <v>7.6</v>
      </c>
      <c r="J668" s="26">
        <v>45607</v>
      </c>
      <c r="K668" s="22">
        <v>55440</v>
      </c>
      <c r="L668" s="18">
        <v>59.29</v>
      </c>
      <c r="M668" s="22">
        <v>43000</v>
      </c>
      <c r="N668" s="22">
        <v>12440</v>
      </c>
      <c r="O668" s="18">
        <v>13.3</v>
      </c>
      <c r="P668" s="52">
        <f>IF(COUNTIF(TblPurchases[BatchID],TblOutcomes[[#This Row],[BatchID]])&lt;&gt;1,"n.a.",TblOutcomes[[#This Row],[Qty Wasted]]*SUMIFS(TblPurchases[Unit Cost (CLP)],TblPurchases[BatchID],TblOutcomes[[#This Row],[BatchID]]))</f>
        <v>3268</v>
      </c>
      <c r="Q668" s="51">
        <f>IF(COUNTIF(TblPurchases[BatchID],TblOutcomes[[#This Row],[BatchID]])&lt;&gt;1,"n.a.",SUMIFS(TblPurchases[Purchase Date],TblPurchases[BatchID],TblOutcomes[[#This Row],[BatchID]]))</f>
        <v>45562</v>
      </c>
    </row>
    <row r="669" spans="2:17" x14ac:dyDescent="0.25">
      <c r="B669" s="2" t="s">
        <v>1473</v>
      </c>
      <c r="C669" s="2" t="s">
        <v>144</v>
      </c>
      <c r="D669" s="2" t="s">
        <v>122</v>
      </c>
      <c r="E669" s="2" t="s">
        <v>4647</v>
      </c>
      <c r="F669" s="2">
        <v>34</v>
      </c>
      <c r="G669" s="2">
        <v>34</v>
      </c>
      <c r="H669" s="2">
        <v>0</v>
      </c>
      <c r="I669" s="1">
        <v>0</v>
      </c>
      <c r="J669" s="26">
        <v>45576</v>
      </c>
      <c r="K669" s="22">
        <v>102000</v>
      </c>
      <c r="L669" s="18">
        <v>109.09</v>
      </c>
      <c r="M669" s="22">
        <v>73100</v>
      </c>
      <c r="N669" s="22">
        <v>28900</v>
      </c>
      <c r="O669" s="18">
        <v>30.91</v>
      </c>
      <c r="P669" s="52">
        <f>IF(COUNTIF(TblPurchases[BatchID],TblOutcomes[[#This Row],[BatchID]])&lt;&gt;1,"n.a.",TblOutcomes[[#This Row],[Qty Wasted]]*SUMIFS(TblPurchases[Unit Cost (CLP)],TblPurchases[BatchID],TblOutcomes[[#This Row],[BatchID]]))</f>
        <v>0</v>
      </c>
      <c r="Q669" s="51">
        <f>IF(COUNTIF(TblPurchases[BatchID],TblOutcomes[[#This Row],[BatchID]])&lt;&gt;1,"n.a.",SUMIFS(TblPurchases[Purchase Date],TblPurchases[BatchID],TblOutcomes[[#This Row],[BatchID]]))</f>
        <v>45571</v>
      </c>
    </row>
    <row r="670" spans="2:17" x14ac:dyDescent="0.25">
      <c r="B670" s="2" t="s">
        <v>1474</v>
      </c>
      <c r="C670" s="2" t="s">
        <v>144</v>
      </c>
      <c r="D670" s="2" t="s">
        <v>122</v>
      </c>
      <c r="E670" s="2" t="s">
        <v>4647</v>
      </c>
      <c r="F670" s="2">
        <v>37</v>
      </c>
      <c r="G670" s="2">
        <v>37</v>
      </c>
      <c r="H670" s="2">
        <v>0</v>
      </c>
      <c r="I670" s="1">
        <v>0</v>
      </c>
      <c r="J670" s="26">
        <v>45588</v>
      </c>
      <c r="K670" s="22">
        <v>111000</v>
      </c>
      <c r="L670" s="18">
        <v>118.72</v>
      </c>
      <c r="M670" s="22">
        <v>79550</v>
      </c>
      <c r="N670" s="22">
        <v>31450</v>
      </c>
      <c r="O670" s="18">
        <v>33.64</v>
      </c>
      <c r="P670" s="52">
        <f>IF(COUNTIF(TblPurchases[BatchID],TblOutcomes[[#This Row],[BatchID]])&lt;&gt;1,"n.a.",TblOutcomes[[#This Row],[Qty Wasted]]*SUMIFS(TblPurchases[Unit Cost (CLP)],TblPurchases[BatchID],TblOutcomes[[#This Row],[BatchID]]))</f>
        <v>0</v>
      </c>
      <c r="Q670" s="51">
        <f>IF(COUNTIF(TblPurchases[BatchID],TblOutcomes[[#This Row],[BatchID]])&lt;&gt;1,"n.a.",SUMIFS(TblPurchases[Purchase Date],TblPurchases[BatchID],TblOutcomes[[#This Row],[BatchID]]))</f>
        <v>45583</v>
      </c>
    </row>
    <row r="671" spans="2:17" x14ac:dyDescent="0.25">
      <c r="B671" s="2" t="s">
        <v>1475</v>
      </c>
      <c r="C671" s="2" t="s">
        <v>144</v>
      </c>
      <c r="D671" s="2" t="s">
        <v>122</v>
      </c>
      <c r="E671" s="2" t="s">
        <v>4646</v>
      </c>
      <c r="F671" s="2">
        <v>46</v>
      </c>
      <c r="G671" s="2">
        <v>36.71</v>
      </c>
      <c r="H671" s="2">
        <v>9.2899999999999991</v>
      </c>
      <c r="I671" s="1">
        <v>20.2</v>
      </c>
      <c r="J671" s="26">
        <v>45639</v>
      </c>
      <c r="K671" s="22">
        <v>110130</v>
      </c>
      <c r="L671" s="18">
        <v>117.79</v>
      </c>
      <c r="M671" s="22">
        <v>98900</v>
      </c>
      <c r="N671" s="22">
        <v>11230</v>
      </c>
      <c r="O671" s="18">
        <v>12.01</v>
      </c>
      <c r="P671" s="52">
        <f>IF(COUNTIF(TblPurchases[BatchID],TblOutcomes[[#This Row],[BatchID]])&lt;&gt;1,"n.a.",TblOutcomes[[#This Row],[Qty Wasted]]*SUMIFS(TblPurchases[Unit Cost (CLP)],TblPurchases[BatchID],TblOutcomes[[#This Row],[BatchID]]))</f>
        <v>19973.499999999996</v>
      </c>
      <c r="Q671" s="51">
        <f>IF(COUNTIF(TblPurchases[BatchID],TblOutcomes[[#This Row],[BatchID]])&lt;&gt;1,"n.a.",SUMIFS(TblPurchases[Purchase Date],TblPurchases[BatchID],TblOutcomes[[#This Row],[BatchID]]))</f>
        <v>45594</v>
      </c>
    </row>
    <row r="672" spans="2:17" x14ac:dyDescent="0.25">
      <c r="B672" s="2" t="s">
        <v>1476</v>
      </c>
      <c r="C672" s="2" t="s">
        <v>144</v>
      </c>
      <c r="D672" s="2" t="s">
        <v>122</v>
      </c>
      <c r="E672" s="2" t="s">
        <v>4647</v>
      </c>
      <c r="F672" s="2">
        <v>35</v>
      </c>
      <c r="G672" s="2">
        <v>35</v>
      </c>
      <c r="H672" s="2">
        <v>0</v>
      </c>
      <c r="I672" s="1">
        <v>0</v>
      </c>
      <c r="J672" s="26">
        <v>45607</v>
      </c>
      <c r="K672" s="22">
        <v>105000</v>
      </c>
      <c r="L672" s="18">
        <v>112.3</v>
      </c>
      <c r="M672" s="22">
        <v>77000</v>
      </c>
      <c r="N672" s="22">
        <v>28000</v>
      </c>
      <c r="O672" s="18">
        <v>29.95</v>
      </c>
      <c r="P672" s="52">
        <f>IF(COUNTIF(TblPurchases[BatchID],TblOutcomes[[#This Row],[BatchID]])&lt;&gt;1,"n.a.",TblOutcomes[[#This Row],[Qty Wasted]]*SUMIFS(TblPurchases[Unit Cost (CLP)],TblPurchases[BatchID],TblOutcomes[[#This Row],[BatchID]]))</f>
        <v>0</v>
      </c>
      <c r="Q672" s="51">
        <f>IF(COUNTIF(TblPurchases[BatchID],TblOutcomes[[#This Row],[BatchID]])&lt;&gt;1,"n.a.",SUMIFS(TblPurchases[Purchase Date],TblPurchases[BatchID],TblOutcomes[[#This Row],[BatchID]]))</f>
        <v>45603</v>
      </c>
    </row>
    <row r="673" spans="2:17" x14ac:dyDescent="0.25">
      <c r="B673" s="2" t="s">
        <v>1477</v>
      </c>
      <c r="C673" s="2" t="s">
        <v>144</v>
      </c>
      <c r="D673" s="2" t="s">
        <v>122</v>
      </c>
      <c r="E673" s="2" t="s">
        <v>4647</v>
      </c>
      <c r="F673" s="2">
        <v>36</v>
      </c>
      <c r="G673" s="2">
        <v>36</v>
      </c>
      <c r="H673" s="2">
        <v>0</v>
      </c>
      <c r="I673" s="1">
        <v>0</v>
      </c>
      <c r="J673" s="26">
        <v>45621</v>
      </c>
      <c r="K673" s="22">
        <v>108000</v>
      </c>
      <c r="L673" s="18">
        <v>115.51</v>
      </c>
      <c r="M673" s="22">
        <v>77400</v>
      </c>
      <c r="N673" s="22">
        <v>30600</v>
      </c>
      <c r="O673" s="18">
        <v>32.729999999999997</v>
      </c>
      <c r="P673" s="52">
        <f>IF(COUNTIF(TblPurchases[BatchID],TblOutcomes[[#This Row],[BatchID]])&lt;&gt;1,"n.a.",TblOutcomes[[#This Row],[Qty Wasted]]*SUMIFS(TblPurchases[Unit Cost (CLP)],TblPurchases[BatchID],TblOutcomes[[#This Row],[BatchID]]))</f>
        <v>0</v>
      </c>
      <c r="Q673" s="51">
        <f>IF(COUNTIF(TblPurchases[BatchID],TblOutcomes[[#This Row],[BatchID]])&lt;&gt;1,"n.a.",SUMIFS(TblPurchases[Purchase Date],TblPurchases[BatchID],TblOutcomes[[#This Row],[BatchID]]))</f>
        <v>45616</v>
      </c>
    </row>
    <row r="674" spans="2:17" x14ac:dyDescent="0.25">
      <c r="B674" s="2" t="s">
        <v>1478</v>
      </c>
      <c r="C674" s="2" t="s">
        <v>144</v>
      </c>
      <c r="D674" s="2" t="s">
        <v>122</v>
      </c>
      <c r="E674" s="2" t="s">
        <v>4647</v>
      </c>
      <c r="F674" s="2">
        <v>36</v>
      </c>
      <c r="G674" s="2">
        <v>36</v>
      </c>
      <c r="H674" s="2">
        <v>0</v>
      </c>
      <c r="I674" s="1">
        <v>0</v>
      </c>
      <c r="J674" s="26">
        <v>45637</v>
      </c>
      <c r="K674" s="22">
        <v>108000</v>
      </c>
      <c r="L674" s="18">
        <v>115.51</v>
      </c>
      <c r="M674" s="22">
        <v>77400</v>
      </c>
      <c r="N674" s="22">
        <v>30600</v>
      </c>
      <c r="O674" s="18">
        <v>32.729999999999997</v>
      </c>
      <c r="P674" s="52">
        <f>IF(COUNTIF(TblPurchases[BatchID],TblOutcomes[[#This Row],[BatchID]])&lt;&gt;1,"n.a.",TblOutcomes[[#This Row],[Qty Wasted]]*SUMIFS(TblPurchases[Unit Cost (CLP)],TblPurchases[BatchID],TblOutcomes[[#This Row],[BatchID]]))</f>
        <v>0</v>
      </c>
      <c r="Q674" s="51">
        <f>IF(COUNTIF(TblPurchases[BatchID],TblOutcomes[[#This Row],[BatchID]])&lt;&gt;1,"n.a.",SUMIFS(TblPurchases[Purchase Date],TblPurchases[BatchID],TblOutcomes[[#This Row],[BatchID]]))</f>
        <v>45626</v>
      </c>
    </row>
    <row r="675" spans="2:17" x14ac:dyDescent="0.25">
      <c r="B675" s="2" t="s">
        <v>1479</v>
      </c>
      <c r="C675" s="2" t="s">
        <v>144</v>
      </c>
      <c r="D675" s="2" t="s">
        <v>122</v>
      </c>
      <c r="E675" s="2" t="s">
        <v>4647</v>
      </c>
      <c r="F675" s="2">
        <v>44</v>
      </c>
      <c r="G675" s="2">
        <v>44</v>
      </c>
      <c r="H675" s="2">
        <v>0</v>
      </c>
      <c r="I675" s="1">
        <v>0</v>
      </c>
      <c r="J675" s="26">
        <v>45649</v>
      </c>
      <c r="K675" s="22">
        <v>132000</v>
      </c>
      <c r="L675" s="18">
        <v>141.18</v>
      </c>
      <c r="M675" s="22">
        <v>94600</v>
      </c>
      <c r="N675" s="22">
        <v>37400</v>
      </c>
      <c r="O675" s="18">
        <v>40</v>
      </c>
      <c r="P675" s="52">
        <f>IF(COUNTIF(TblPurchases[BatchID],TblOutcomes[[#This Row],[BatchID]])&lt;&gt;1,"n.a.",TblOutcomes[[#This Row],[Qty Wasted]]*SUMIFS(TblPurchases[Unit Cost (CLP)],TblPurchases[BatchID],TblOutcomes[[#This Row],[BatchID]]))</f>
        <v>0</v>
      </c>
      <c r="Q675" s="51">
        <f>IF(COUNTIF(TblPurchases[BatchID],TblOutcomes[[#This Row],[BatchID]])&lt;&gt;1,"n.a.",SUMIFS(TblPurchases[Purchase Date],TblPurchases[BatchID],TblOutcomes[[#This Row],[BatchID]]))</f>
        <v>45636</v>
      </c>
    </row>
    <row r="676" spans="2:17" x14ac:dyDescent="0.25">
      <c r="B676" s="2" t="s">
        <v>1480</v>
      </c>
      <c r="C676" s="2" t="s">
        <v>144</v>
      </c>
      <c r="D676" s="2" t="s">
        <v>122</v>
      </c>
      <c r="E676" s="2" t="s">
        <v>4647</v>
      </c>
      <c r="F676" s="2">
        <v>56</v>
      </c>
      <c r="G676" s="2">
        <v>56</v>
      </c>
      <c r="H676" s="2">
        <v>0</v>
      </c>
      <c r="I676" s="1">
        <v>0</v>
      </c>
      <c r="J676" s="26">
        <v>45653</v>
      </c>
      <c r="K676" s="22">
        <v>168000</v>
      </c>
      <c r="L676" s="18">
        <v>179.68</v>
      </c>
      <c r="M676" s="22">
        <v>120400</v>
      </c>
      <c r="N676" s="22">
        <v>47600</v>
      </c>
      <c r="O676" s="18">
        <v>50.91</v>
      </c>
      <c r="P676" s="52">
        <f>IF(COUNTIF(TblPurchases[BatchID],TblOutcomes[[#This Row],[BatchID]])&lt;&gt;1,"n.a.",TblOutcomes[[#This Row],[Qty Wasted]]*SUMIFS(TblPurchases[Unit Cost (CLP)],TblPurchases[BatchID],TblOutcomes[[#This Row],[BatchID]]))</f>
        <v>0</v>
      </c>
      <c r="Q676" s="51">
        <f>IF(COUNTIF(TblPurchases[BatchID],TblOutcomes[[#This Row],[BatchID]])&lt;&gt;1,"n.a.",SUMIFS(TblPurchases[Purchase Date],TblPurchases[BatchID],TblOutcomes[[#This Row],[BatchID]]))</f>
        <v>45646</v>
      </c>
    </row>
    <row r="677" spans="2:17" x14ac:dyDescent="0.25">
      <c r="B677" s="2" t="s">
        <v>1481</v>
      </c>
      <c r="C677" s="2" t="s">
        <v>144</v>
      </c>
      <c r="D677" s="2" t="s">
        <v>122</v>
      </c>
      <c r="E677" s="2" t="s">
        <v>4647</v>
      </c>
      <c r="F677" s="2">
        <v>45</v>
      </c>
      <c r="G677" s="2">
        <v>45</v>
      </c>
      <c r="H677" s="2">
        <v>0</v>
      </c>
      <c r="I677" s="1">
        <v>0</v>
      </c>
      <c r="J677" s="26">
        <v>45661</v>
      </c>
      <c r="K677" s="22">
        <v>135000</v>
      </c>
      <c r="L677" s="18">
        <v>144.38999999999999</v>
      </c>
      <c r="M677" s="22">
        <v>99000</v>
      </c>
      <c r="N677" s="22">
        <v>36000</v>
      </c>
      <c r="O677" s="18">
        <v>38.5</v>
      </c>
      <c r="P677" s="52">
        <f>IF(COUNTIF(TblPurchases[BatchID],TblOutcomes[[#This Row],[BatchID]])&lt;&gt;1,"n.a.",TblOutcomes[[#This Row],[Qty Wasted]]*SUMIFS(TblPurchases[Unit Cost (CLP)],TblPurchases[BatchID],TblOutcomes[[#This Row],[BatchID]]))</f>
        <v>0</v>
      </c>
      <c r="Q677" s="51">
        <f>IF(COUNTIF(TblPurchases[BatchID],TblOutcomes[[#This Row],[BatchID]])&lt;&gt;1,"n.a.",SUMIFS(TblPurchases[Purchase Date],TblPurchases[BatchID],TblOutcomes[[#This Row],[BatchID]]))</f>
        <v>45654</v>
      </c>
    </row>
    <row r="678" spans="2:17" x14ac:dyDescent="0.25">
      <c r="B678" s="2" t="s">
        <v>1482</v>
      </c>
      <c r="C678" s="2" t="s">
        <v>144</v>
      </c>
      <c r="D678" s="2" t="s">
        <v>122</v>
      </c>
      <c r="E678" s="2" t="s">
        <v>4647</v>
      </c>
      <c r="F678" s="2">
        <v>47</v>
      </c>
      <c r="G678" s="2">
        <v>47</v>
      </c>
      <c r="H678" s="2">
        <v>0</v>
      </c>
      <c r="I678" s="1">
        <v>0</v>
      </c>
      <c r="J678" s="26">
        <v>45669</v>
      </c>
      <c r="K678" s="22">
        <v>141000</v>
      </c>
      <c r="L678" s="18">
        <v>150.80000000000001</v>
      </c>
      <c r="M678" s="22">
        <v>101050</v>
      </c>
      <c r="N678" s="22">
        <v>39950</v>
      </c>
      <c r="O678" s="18">
        <v>42.73</v>
      </c>
      <c r="P678" s="52">
        <f>IF(COUNTIF(TblPurchases[BatchID],TblOutcomes[[#This Row],[BatchID]])&lt;&gt;1,"n.a.",TblOutcomes[[#This Row],[Qty Wasted]]*SUMIFS(TblPurchases[Unit Cost (CLP)],TblPurchases[BatchID],TblOutcomes[[#This Row],[BatchID]]))</f>
        <v>0</v>
      </c>
      <c r="Q678" s="51">
        <f>IF(COUNTIF(TblPurchases[BatchID],TblOutcomes[[#This Row],[BatchID]])&lt;&gt;1,"n.a.",SUMIFS(TblPurchases[Purchase Date],TblPurchases[BatchID],TblOutcomes[[#This Row],[BatchID]]))</f>
        <v>45664</v>
      </c>
    </row>
    <row r="679" spans="2:17" x14ac:dyDescent="0.25">
      <c r="B679" s="2" t="s">
        <v>1483</v>
      </c>
      <c r="C679" s="2" t="s">
        <v>144</v>
      </c>
      <c r="D679" s="2" t="s">
        <v>122</v>
      </c>
      <c r="E679" s="2" t="s">
        <v>4647</v>
      </c>
      <c r="F679" s="2">
        <v>39</v>
      </c>
      <c r="G679" s="2">
        <v>39</v>
      </c>
      <c r="H679" s="2">
        <v>0</v>
      </c>
      <c r="I679" s="1">
        <v>0</v>
      </c>
      <c r="J679" s="26">
        <v>45680</v>
      </c>
      <c r="K679" s="22">
        <v>117000</v>
      </c>
      <c r="L679" s="18">
        <v>125.13</v>
      </c>
      <c r="M679" s="22">
        <v>83850</v>
      </c>
      <c r="N679" s="22">
        <v>33150</v>
      </c>
      <c r="O679" s="18">
        <v>35.450000000000003</v>
      </c>
      <c r="P679" s="52">
        <f>IF(COUNTIF(TblPurchases[BatchID],TblOutcomes[[#This Row],[BatchID]])&lt;&gt;1,"n.a.",TblOutcomes[[#This Row],[Qty Wasted]]*SUMIFS(TblPurchases[Unit Cost (CLP)],TblPurchases[BatchID],TblOutcomes[[#This Row],[BatchID]]))</f>
        <v>0</v>
      </c>
      <c r="Q679" s="51">
        <f>IF(COUNTIF(TblPurchases[BatchID],TblOutcomes[[#This Row],[BatchID]])&lt;&gt;1,"n.a.",SUMIFS(TblPurchases[Purchase Date],TblPurchases[BatchID],TblOutcomes[[#This Row],[BatchID]]))</f>
        <v>45672</v>
      </c>
    </row>
    <row r="680" spans="2:17" x14ac:dyDescent="0.25">
      <c r="B680" s="2" t="s">
        <v>1484</v>
      </c>
      <c r="C680" s="2" t="s">
        <v>144</v>
      </c>
      <c r="D680" s="2" t="s">
        <v>122</v>
      </c>
      <c r="E680" s="2" t="s">
        <v>4647</v>
      </c>
      <c r="F680" s="2">
        <v>47</v>
      </c>
      <c r="G680" s="2">
        <v>47</v>
      </c>
      <c r="H680" s="2">
        <v>0</v>
      </c>
      <c r="I680" s="1">
        <v>0</v>
      </c>
      <c r="J680" s="26">
        <v>45690</v>
      </c>
      <c r="K680" s="22">
        <v>141000</v>
      </c>
      <c r="L680" s="18">
        <v>150.80000000000001</v>
      </c>
      <c r="M680" s="22">
        <v>101050</v>
      </c>
      <c r="N680" s="22">
        <v>39950</v>
      </c>
      <c r="O680" s="18">
        <v>42.73</v>
      </c>
      <c r="P680" s="52">
        <f>IF(COUNTIF(TblPurchases[BatchID],TblOutcomes[[#This Row],[BatchID]])&lt;&gt;1,"n.a.",TblOutcomes[[#This Row],[Qty Wasted]]*SUMIFS(TblPurchases[Unit Cost (CLP)],TblPurchases[BatchID],TblOutcomes[[#This Row],[BatchID]]))</f>
        <v>0</v>
      </c>
      <c r="Q680" s="51">
        <f>IF(COUNTIF(TblPurchases[BatchID],TblOutcomes[[#This Row],[BatchID]])&lt;&gt;1,"n.a.",SUMIFS(TblPurchases[Purchase Date],TblPurchases[BatchID],TblOutcomes[[#This Row],[BatchID]]))</f>
        <v>45682</v>
      </c>
    </row>
    <row r="681" spans="2:17" x14ac:dyDescent="0.25">
      <c r="B681" s="2" t="s">
        <v>1485</v>
      </c>
      <c r="C681" s="2" t="s">
        <v>144</v>
      </c>
      <c r="D681" s="2" t="s">
        <v>122</v>
      </c>
      <c r="E681" s="2" t="s">
        <v>4647</v>
      </c>
      <c r="F681" s="2">
        <v>46</v>
      </c>
      <c r="G681" s="2">
        <v>46</v>
      </c>
      <c r="H681" s="2">
        <v>0</v>
      </c>
      <c r="I681" s="1">
        <v>0</v>
      </c>
      <c r="J681" s="26">
        <v>45705</v>
      </c>
      <c r="K681" s="22">
        <v>138000</v>
      </c>
      <c r="L681" s="18">
        <v>147.59</v>
      </c>
      <c r="M681" s="22">
        <v>101200</v>
      </c>
      <c r="N681" s="22">
        <v>36800</v>
      </c>
      <c r="O681" s="18">
        <v>39.36</v>
      </c>
      <c r="P681" s="52">
        <f>IF(COUNTIF(TblPurchases[BatchID],TblOutcomes[[#This Row],[BatchID]])&lt;&gt;1,"n.a.",TblOutcomes[[#This Row],[Qty Wasted]]*SUMIFS(TblPurchases[Unit Cost (CLP)],TblPurchases[BatchID],TblOutcomes[[#This Row],[BatchID]]))</f>
        <v>0</v>
      </c>
      <c r="Q681" s="51">
        <f>IF(COUNTIF(TblPurchases[BatchID],TblOutcomes[[#This Row],[BatchID]])&lt;&gt;1,"n.a.",SUMIFS(TblPurchases[Purchase Date],TblPurchases[BatchID],TblOutcomes[[#This Row],[BatchID]]))</f>
        <v>45691</v>
      </c>
    </row>
    <row r="682" spans="2:17" x14ac:dyDescent="0.25">
      <c r="B682" s="2" t="s">
        <v>1486</v>
      </c>
      <c r="C682" s="2" t="s">
        <v>144</v>
      </c>
      <c r="D682" s="2" t="s">
        <v>122</v>
      </c>
      <c r="E682" s="2" t="s">
        <v>4647</v>
      </c>
      <c r="F682" s="2">
        <v>41</v>
      </c>
      <c r="G682" s="2">
        <v>41</v>
      </c>
      <c r="H682" s="2">
        <v>0</v>
      </c>
      <c r="I682" s="1">
        <v>0</v>
      </c>
      <c r="J682" s="26">
        <v>45708</v>
      </c>
      <c r="K682" s="22">
        <v>123000</v>
      </c>
      <c r="L682" s="18">
        <v>131.55000000000001</v>
      </c>
      <c r="M682" s="22">
        <v>90200</v>
      </c>
      <c r="N682" s="22">
        <v>32800</v>
      </c>
      <c r="O682" s="18">
        <v>35.08</v>
      </c>
      <c r="P682" s="52">
        <f>IF(COUNTIF(TblPurchases[BatchID],TblOutcomes[[#This Row],[BatchID]])&lt;&gt;1,"n.a.",TblOutcomes[[#This Row],[Qty Wasted]]*SUMIFS(TblPurchases[Unit Cost (CLP)],TblPurchases[BatchID],TblOutcomes[[#This Row],[BatchID]]))</f>
        <v>0</v>
      </c>
      <c r="Q682" s="51">
        <f>IF(COUNTIF(TblPurchases[BatchID],TblOutcomes[[#This Row],[BatchID]])&lt;&gt;1,"n.a.",SUMIFS(TblPurchases[Purchase Date],TblPurchases[BatchID],TblOutcomes[[#This Row],[BatchID]]))</f>
        <v>45698</v>
      </c>
    </row>
    <row r="683" spans="2:17" x14ac:dyDescent="0.25">
      <c r="B683" s="2" t="s">
        <v>1487</v>
      </c>
      <c r="C683" s="2" t="s">
        <v>144</v>
      </c>
      <c r="D683" s="2" t="s">
        <v>122</v>
      </c>
      <c r="E683" s="2" t="s">
        <v>4646</v>
      </c>
      <c r="F683" s="2">
        <v>49</v>
      </c>
      <c r="G683" s="2">
        <v>37.93</v>
      </c>
      <c r="H683" s="2">
        <v>11.07</v>
      </c>
      <c r="I683" s="1">
        <v>22.6</v>
      </c>
      <c r="J683" s="26">
        <v>45752</v>
      </c>
      <c r="K683" s="22">
        <v>113790</v>
      </c>
      <c r="L683" s="18">
        <v>121.7</v>
      </c>
      <c r="M683" s="22">
        <v>105350</v>
      </c>
      <c r="N683" s="22">
        <v>8440</v>
      </c>
      <c r="O683" s="18">
        <v>9.0299999999999994</v>
      </c>
      <c r="P683" s="52">
        <f>IF(COUNTIF(TblPurchases[BatchID],TblOutcomes[[#This Row],[BatchID]])&lt;&gt;1,"n.a.",TblOutcomes[[#This Row],[Qty Wasted]]*SUMIFS(TblPurchases[Unit Cost (CLP)],TblPurchases[BatchID],TblOutcomes[[#This Row],[BatchID]]))</f>
        <v>23800.5</v>
      </c>
      <c r="Q683" s="51">
        <f>IF(COUNTIF(TblPurchases[BatchID],TblOutcomes[[#This Row],[BatchID]])&lt;&gt;1,"n.a.",SUMIFS(TblPurchases[Purchase Date],TblPurchases[BatchID],TblOutcomes[[#This Row],[BatchID]]))</f>
        <v>45707</v>
      </c>
    </row>
    <row r="684" spans="2:17" x14ac:dyDescent="0.25">
      <c r="B684" s="2" t="s">
        <v>1488</v>
      </c>
      <c r="C684" s="2" t="s">
        <v>144</v>
      </c>
      <c r="D684" s="2" t="s">
        <v>122</v>
      </c>
      <c r="E684" s="2" t="s">
        <v>4646</v>
      </c>
      <c r="F684" s="2">
        <v>41</v>
      </c>
      <c r="G684" s="2">
        <v>35.299999999999997</v>
      </c>
      <c r="H684" s="2">
        <v>5.7</v>
      </c>
      <c r="I684" s="1">
        <v>13.9</v>
      </c>
      <c r="J684" s="26">
        <v>45761</v>
      </c>
      <c r="K684" s="22">
        <v>105900</v>
      </c>
      <c r="L684" s="18">
        <v>113.26</v>
      </c>
      <c r="M684" s="22">
        <v>88150</v>
      </c>
      <c r="N684" s="22">
        <v>17750</v>
      </c>
      <c r="O684" s="18">
        <v>18.98</v>
      </c>
      <c r="P684" s="52">
        <f>IF(COUNTIF(TblPurchases[BatchID],TblOutcomes[[#This Row],[BatchID]])&lt;&gt;1,"n.a.",TblOutcomes[[#This Row],[Qty Wasted]]*SUMIFS(TblPurchases[Unit Cost (CLP)],TblPurchases[BatchID],TblOutcomes[[#This Row],[BatchID]]))</f>
        <v>12255</v>
      </c>
      <c r="Q684" s="51">
        <f>IF(COUNTIF(TblPurchases[BatchID],TblOutcomes[[#This Row],[BatchID]])&lt;&gt;1,"n.a.",SUMIFS(TblPurchases[Purchase Date],TblPurchases[BatchID],TblOutcomes[[#This Row],[BatchID]]))</f>
        <v>45716</v>
      </c>
    </row>
    <row r="685" spans="2:17" x14ac:dyDescent="0.25">
      <c r="B685" s="2" t="s">
        <v>1489</v>
      </c>
      <c r="C685" s="2" t="s">
        <v>144</v>
      </c>
      <c r="D685" s="2" t="s">
        <v>122</v>
      </c>
      <c r="E685" s="2" t="s">
        <v>4646</v>
      </c>
      <c r="F685" s="2">
        <v>38</v>
      </c>
      <c r="G685" s="2">
        <v>32.15</v>
      </c>
      <c r="H685" s="2">
        <v>5.85</v>
      </c>
      <c r="I685" s="1">
        <v>15.4</v>
      </c>
      <c r="J685" s="26">
        <v>45771</v>
      </c>
      <c r="K685" s="22">
        <v>96450</v>
      </c>
      <c r="L685" s="18">
        <v>103.16</v>
      </c>
      <c r="M685" s="22">
        <v>81700</v>
      </c>
      <c r="N685" s="22">
        <v>14750</v>
      </c>
      <c r="O685" s="18">
        <v>15.78</v>
      </c>
      <c r="P685" s="52">
        <f>IF(COUNTIF(TblPurchases[BatchID],TblOutcomes[[#This Row],[BatchID]])&lt;&gt;1,"n.a.",TblOutcomes[[#This Row],[Qty Wasted]]*SUMIFS(TblPurchases[Unit Cost (CLP)],TblPurchases[BatchID],TblOutcomes[[#This Row],[BatchID]]))</f>
        <v>12577.5</v>
      </c>
      <c r="Q685" s="51">
        <f>IF(COUNTIF(TblPurchases[BatchID],TblOutcomes[[#This Row],[BatchID]])&lt;&gt;1,"n.a.",SUMIFS(TblPurchases[Purchase Date],TblPurchases[BatchID],TblOutcomes[[#This Row],[BatchID]]))</f>
        <v>45726</v>
      </c>
    </row>
    <row r="686" spans="2:17" x14ac:dyDescent="0.25">
      <c r="B686" s="2" t="s">
        <v>1490</v>
      </c>
      <c r="C686" s="2" t="s">
        <v>144</v>
      </c>
      <c r="D686" s="2" t="s">
        <v>122</v>
      </c>
      <c r="E686" s="2" t="s">
        <v>4646</v>
      </c>
      <c r="F686" s="2">
        <v>43</v>
      </c>
      <c r="G686" s="2">
        <v>36.51</v>
      </c>
      <c r="H686" s="2">
        <v>6.49</v>
      </c>
      <c r="I686" s="1">
        <v>15.1</v>
      </c>
      <c r="J686" s="26">
        <v>45779</v>
      </c>
      <c r="K686" s="22">
        <v>109530</v>
      </c>
      <c r="L686" s="18">
        <v>117.14</v>
      </c>
      <c r="M686" s="22">
        <v>92450</v>
      </c>
      <c r="N686" s="22">
        <v>17080</v>
      </c>
      <c r="O686" s="18">
        <v>18.27</v>
      </c>
      <c r="P686" s="52">
        <f>IF(COUNTIF(TblPurchases[BatchID],TblOutcomes[[#This Row],[BatchID]])&lt;&gt;1,"n.a.",TblOutcomes[[#This Row],[Qty Wasted]]*SUMIFS(TblPurchases[Unit Cost (CLP)],TblPurchases[BatchID],TblOutcomes[[#This Row],[BatchID]]))</f>
        <v>13953.5</v>
      </c>
      <c r="Q686" s="51">
        <f>IF(COUNTIF(TblPurchases[BatchID],TblOutcomes[[#This Row],[BatchID]])&lt;&gt;1,"n.a.",SUMIFS(TblPurchases[Purchase Date],TblPurchases[BatchID],TblOutcomes[[#This Row],[BatchID]]))</f>
        <v>45734</v>
      </c>
    </row>
    <row r="687" spans="2:17" x14ac:dyDescent="0.25">
      <c r="B687" s="2" t="s">
        <v>1491</v>
      </c>
      <c r="C687" s="2" t="s">
        <v>144</v>
      </c>
      <c r="D687" s="2" t="s">
        <v>122</v>
      </c>
      <c r="E687" s="2" t="s">
        <v>4647</v>
      </c>
      <c r="F687" s="2">
        <v>45</v>
      </c>
      <c r="G687" s="2">
        <v>45</v>
      </c>
      <c r="H687" s="2">
        <v>0</v>
      </c>
      <c r="I687" s="1">
        <v>0</v>
      </c>
      <c r="J687" s="26">
        <v>45752</v>
      </c>
      <c r="K687" s="22">
        <v>135000</v>
      </c>
      <c r="L687" s="18">
        <v>144.38999999999999</v>
      </c>
      <c r="M687" s="22">
        <v>96750</v>
      </c>
      <c r="N687" s="22">
        <v>38250</v>
      </c>
      <c r="O687" s="18">
        <v>40.909999999999997</v>
      </c>
      <c r="P687" s="52">
        <f>IF(COUNTIF(TblPurchases[BatchID],TblOutcomes[[#This Row],[BatchID]])&lt;&gt;1,"n.a.",TblOutcomes[[#This Row],[Qty Wasted]]*SUMIFS(TblPurchases[Unit Cost (CLP)],TblPurchases[BatchID],TblOutcomes[[#This Row],[BatchID]]))</f>
        <v>0</v>
      </c>
      <c r="Q687" s="51">
        <f>IF(COUNTIF(TblPurchases[BatchID],TblOutcomes[[#This Row],[BatchID]])&lt;&gt;1,"n.a.",SUMIFS(TblPurchases[Purchase Date],TblPurchases[BatchID],TblOutcomes[[#This Row],[BatchID]]))</f>
        <v>45741</v>
      </c>
    </row>
    <row r="688" spans="2:17" x14ac:dyDescent="0.25">
      <c r="B688" s="2" t="s">
        <v>1492</v>
      </c>
      <c r="C688" s="2" t="s">
        <v>144</v>
      </c>
      <c r="D688" s="2" t="s">
        <v>122</v>
      </c>
      <c r="E688" s="2" t="s">
        <v>4647</v>
      </c>
      <c r="F688" s="2">
        <v>17</v>
      </c>
      <c r="G688" s="2">
        <v>17</v>
      </c>
      <c r="H688" s="2">
        <v>0</v>
      </c>
      <c r="I688" s="1">
        <v>0</v>
      </c>
      <c r="J688" s="26">
        <v>45756</v>
      </c>
      <c r="K688" s="22">
        <v>51000</v>
      </c>
      <c r="L688" s="18">
        <v>54.55</v>
      </c>
      <c r="M688" s="22">
        <v>36550</v>
      </c>
      <c r="N688" s="22">
        <v>14450</v>
      </c>
      <c r="O688" s="18">
        <v>15.45</v>
      </c>
      <c r="P688" s="52">
        <f>IF(COUNTIF(TblPurchases[BatchID],TblOutcomes[[#This Row],[BatchID]])&lt;&gt;1,"n.a.",TblOutcomes[[#This Row],[Qty Wasted]]*SUMIFS(TblPurchases[Unit Cost (CLP)],TblPurchases[BatchID],TblOutcomes[[#This Row],[BatchID]]))</f>
        <v>0</v>
      </c>
      <c r="Q688" s="51">
        <f>IF(COUNTIF(TblPurchases[BatchID],TblOutcomes[[#This Row],[BatchID]])&lt;&gt;1,"n.a.",SUMIFS(TblPurchases[Purchase Date],TblPurchases[BatchID],TblOutcomes[[#This Row],[BatchID]]))</f>
        <v>45752</v>
      </c>
    </row>
    <row r="689" spans="2:17" x14ac:dyDescent="0.25">
      <c r="B689" s="2" t="s">
        <v>1493</v>
      </c>
      <c r="C689" s="2" t="s">
        <v>144</v>
      </c>
      <c r="D689" s="2" t="s">
        <v>122</v>
      </c>
      <c r="E689" s="2" t="s">
        <v>4646</v>
      </c>
      <c r="F689" s="2">
        <v>18</v>
      </c>
      <c r="G689" s="2">
        <v>13.59</v>
      </c>
      <c r="H689" s="2">
        <v>4.41</v>
      </c>
      <c r="I689" s="1">
        <v>24.5</v>
      </c>
      <c r="J689" s="26">
        <v>45809</v>
      </c>
      <c r="K689" s="22">
        <v>40770</v>
      </c>
      <c r="L689" s="18">
        <v>43.6</v>
      </c>
      <c r="M689" s="22">
        <v>38700</v>
      </c>
      <c r="N689" s="22">
        <v>2070</v>
      </c>
      <c r="O689" s="18">
        <v>2.21</v>
      </c>
      <c r="P689" s="52">
        <f>IF(COUNTIF(TblPurchases[BatchID],TblOutcomes[[#This Row],[BatchID]])&lt;&gt;1,"n.a.",TblOutcomes[[#This Row],[Qty Wasted]]*SUMIFS(TblPurchases[Unit Cost (CLP)],TblPurchases[BatchID],TblOutcomes[[#This Row],[BatchID]]))</f>
        <v>9481.5</v>
      </c>
      <c r="Q689" s="51">
        <f>IF(COUNTIF(TblPurchases[BatchID],TblOutcomes[[#This Row],[BatchID]])&lt;&gt;1,"n.a.",SUMIFS(TblPurchases[Purchase Date],TblPurchases[BatchID],TblOutcomes[[#This Row],[BatchID]]))</f>
        <v>45764</v>
      </c>
    </row>
    <row r="690" spans="2:17" x14ac:dyDescent="0.25">
      <c r="B690" s="2" t="s">
        <v>1494</v>
      </c>
      <c r="C690" s="2" t="s">
        <v>144</v>
      </c>
      <c r="D690" s="2" t="s">
        <v>122</v>
      </c>
      <c r="E690" s="2" t="s">
        <v>4646</v>
      </c>
      <c r="F690" s="2">
        <v>15</v>
      </c>
      <c r="G690" s="2">
        <v>11.29</v>
      </c>
      <c r="H690" s="2">
        <v>3.71</v>
      </c>
      <c r="I690" s="1">
        <v>24.7</v>
      </c>
      <c r="J690" s="26">
        <v>45820</v>
      </c>
      <c r="K690" s="22">
        <v>33870</v>
      </c>
      <c r="L690" s="18">
        <v>36.22</v>
      </c>
      <c r="M690" s="22">
        <v>32250</v>
      </c>
      <c r="N690" s="22">
        <v>1620</v>
      </c>
      <c r="O690" s="18">
        <v>1.73</v>
      </c>
      <c r="P690" s="52">
        <f>IF(COUNTIF(TblPurchases[BatchID],TblOutcomes[[#This Row],[BatchID]])&lt;&gt;1,"n.a.",TblOutcomes[[#This Row],[Qty Wasted]]*SUMIFS(TblPurchases[Unit Cost (CLP)],TblPurchases[BatchID],TblOutcomes[[#This Row],[BatchID]]))</f>
        <v>7976.5</v>
      </c>
      <c r="Q690" s="51">
        <f>IF(COUNTIF(TblPurchases[BatchID],TblOutcomes[[#This Row],[BatchID]])&lt;&gt;1,"n.a.",SUMIFS(TblPurchases[Purchase Date],TblPurchases[BatchID],TblOutcomes[[#This Row],[BatchID]]))</f>
        <v>45775</v>
      </c>
    </row>
    <row r="691" spans="2:17" x14ac:dyDescent="0.25">
      <c r="B691" s="2" t="s">
        <v>1495</v>
      </c>
      <c r="C691" s="2" t="s">
        <v>144</v>
      </c>
      <c r="D691" s="2" t="s">
        <v>122</v>
      </c>
      <c r="E691" s="2" t="s">
        <v>4646</v>
      </c>
      <c r="F691" s="2">
        <v>16</v>
      </c>
      <c r="G691" s="2">
        <v>14.48</v>
      </c>
      <c r="H691" s="2">
        <v>1.52</v>
      </c>
      <c r="I691" s="1">
        <v>9.5</v>
      </c>
      <c r="J691" s="26">
        <v>45829</v>
      </c>
      <c r="K691" s="22">
        <v>43440</v>
      </c>
      <c r="L691" s="18">
        <v>46.46</v>
      </c>
      <c r="M691" s="22">
        <v>34400</v>
      </c>
      <c r="N691" s="22">
        <v>9040</v>
      </c>
      <c r="O691" s="18">
        <v>9.67</v>
      </c>
      <c r="P691" s="52">
        <f>IF(COUNTIF(TblPurchases[BatchID],TblOutcomes[[#This Row],[BatchID]])&lt;&gt;1,"n.a.",TblOutcomes[[#This Row],[Qty Wasted]]*SUMIFS(TblPurchases[Unit Cost (CLP)],TblPurchases[BatchID],TblOutcomes[[#This Row],[BatchID]]))</f>
        <v>3268</v>
      </c>
      <c r="Q691" s="51">
        <f>IF(COUNTIF(TblPurchases[BatchID],TblOutcomes[[#This Row],[BatchID]])&lt;&gt;1,"n.a.",SUMIFS(TblPurchases[Purchase Date],TblPurchases[BatchID],TblOutcomes[[#This Row],[BatchID]]))</f>
        <v>45784</v>
      </c>
    </row>
    <row r="692" spans="2:17" x14ac:dyDescent="0.25">
      <c r="B692" s="2" t="s">
        <v>1496</v>
      </c>
      <c r="C692" s="2" t="s">
        <v>144</v>
      </c>
      <c r="D692" s="2" t="s">
        <v>122</v>
      </c>
      <c r="E692" s="2" t="s">
        <v>4646</v>
      </c>
      <c r="F692" s="2">
        <v>18</v>
      </c>
      <c r="G692" s="2">
        <v>17.420000000000002</v>
      </c>
      <c r="H692" s="2">
        <v>0.57999999999999996</v>
      </c>
      <c r="I692" s="1">
        <v>3.2</v>
      </c>
      <c r="J692" s="26">
        <v>45839</v>
      </c>
      <c r="K692" s="22">
        <v>52260</v>
      </c>
      <c r="L692" s="18">
        <v>55.89</v>
      </c>
      <c r="M692" s="22">
        <v>39600</v>
      </c>
      <c r="N692" s="22">
        <v>12660</v>
      </c>
      <c r="O692" s="18">
        <v>13.54</v>
      </c>
      <c r="P692" s="52">
        <f>IF(COUNTIF(TblPurchases[BatchID],TblOutcomes[[#This Row],[BatchID]])&lt;&gt;1,"n.a.",TblOutcomes[[#This Row],[Qty Wasted]]*SUMIFS(TblPurchases[Unit Cost (CLP)],TblPurchases[BatchID],TblOutcomes[[#This Row],[BatchID]]))</f>
        <v>1276</v>
      </c>
      <c r="Q692" s="51">
        <f>IF(COUNTIF(TblPurchases[BatchID],TblOutcomes[[#This Row],[BatchID]])&lt;&gt;1,"n.a.",SUMIFS(TblPurchases[Purchase Date],TblPurchases[BatchID],TblOutcomes[[#This Row],[BatchID]]))</f>
        <v>45794</v>
      </c>
    </row>
    <row r="693" spans="2:17" x14ac:dyDescent="0.25">
      <c r="B693" s="2" t="s">
        <v>1497</v>
      </c>
      <c r="C693" s="2" t="s">
        <v>144</v>
      </c>
      <c r="D693" s="2" t="s">
        <v>122</v>
      </c>
      <c r="E693" s="2" t="s">
        <v>4646</v>
      </c>
      <c r="F693" s="2">
        <v>18</v>
      </c>
      <c r="G693" s="2">
        <v>15.75</v>
      </c>
      <c r="H693" s="2">
        <v>2.25</v>
      </c>
      <c r="I693" s="1">
        <v>12.5</v>
      </c>
      <c r="J693" s="26">
        <v>45851</v>
      </c>
      <c r="K693" s="22">
        <v>47250</v>
      </c>
      <c r="L693" s="18">
        <v>50.53</v>
      </c>
      <c r="M693" s="22">
        <v>38700</v>
      </c>
      <c r="N693" s="22">
        <v>8550</v>
      </c>
      <c r="O693" s="18">
        <v>9.14</v>
      </c>
      <c r="P693" s="52">
        <f>IF(COUNTIF(TblPurchases[BatchID],TblOutcomes[[#This Row],[BatchID]])&lt;&gt;1,"n.a.",TblOutcomes[[#This Row],[Qty Wasted]]*SUMIFS(TblPurchases[Unit Cost (CLP)],TblPurchases[BatchID],TblOutcomes[[#This Row],[BatchID]]))</f>
        <v>4837.5</v>
      </c>
      <c r="Q693" s="51">
        <f>IF(COUNTIF(TblPurchases[BatchID],TblOutcomes[[#This Row],[BatchID]])&lt;&gt;1,"n.a.",SUMIFS(TblPurchases[Purchase Date],TblPurchases[BatchID],TblOutcomes[[#This Row],[BatchID]]))</f>
        <v>45806</v>
      </c>
    </row>
    <row r="694" spans="2:17" x14ac:dyDescent="0.25">
      <c r="B694" s="2" t="s">
        <v>1498</v>
      </c>
      <c r="C694" s="2" t="s">
        <v>144</v>
      </c>
      <c r="D694" s="2" t="s">
        <v>122</v>
      </c>
      <c r="E694" s="2" t="s">
        <v>4646</v>
      </c>
      <c r="F694" s="2">
        <v>18</v>
      </c>
      <c r="G694" s="2">
        <v>15.32</v>
      </c>
      <c r="H694" s="2">
        <v>2.68</v>
      </c>
      <c r="I694" s="1">
        <v>14.9</v>
      </c>
      <c r="J694" s="26">
        <v>45860</v>
      </c>
      <c r="K694" s="22">
        <v>45960</v>
      </c>
      <c r="L694" s="18">
        <v>49.16</v>
      </c>
      <c r="M694" s="22">
        <v>38700</v>
      </c>
      <c r="N694" s="22">
        <v>7260</v>
      </c>
      <c r="O694" s="18">
        <v>7.76</v>
      </c>
      <c r="P694" s="52">
        <f>IF(COUNTIF(TblPurchases[BatchID],TblOutcomes[[#This Row],[BatchID]])&lt;&gt;1,"n.a.",TblOutcomes[[#This Row],[Qty Wasted]]*SUMIFS(TblPurchases[Unit Cost (CLP)],TblPurchases[BatchID],TblOutcomes[[#This Row],[BatchID]]))</f>
        <v>5762</v>
      </c>
      <c r="Q694" s="51">
        <f>IF(COUNTIF(TblPurchases[BatchID],TblOutcomes[[#This Row],[BatchID]])&lt;&gt;1,"n.a.",SUMIFS(TblPurchases[Purchase Date],TblPurchases[BatchID],TblOutcomes[[#This Row],[BatchID]]))</f>
        <v>45815</v>
      </c>
    </row>
    <row r="695" spans="2:17" x14ac:dyDescent="0.25">
      <c r="B695" s="2" t="s">
        <v>1499</v>
      </c>
      <c r="C695" s="2" t="s">
        <v>144</v>
      </c>
      <c r="D695" s="2" t="s">
        <v>122</v>
      </c>
      <c r="E695" s="2" t="s">
        <v>4646</v>
      </c>
      <c r="F695" s="2">
        <v>16</v>
      </c>
      <c r="G695" s="2">
        <v>13.07</v>
      </c>
      <c r="H695" s="2">
        <v>2.93</v>
      </c>
      <c r="I695" s="1">
        <v>18.3</v>
      </c>
      <c r="J695" s="26">
        <v>45871</v>
      </c>
      <c r="K695" s="22">
        <v>39210</v>
      </c>
      <c r="L695" s="18">
        <v>41.94</v>
      </c>
      <c r="M695" s="22">
        <v>34400</v>
      </c>
      <c r="N695" s="22">
        <v>4810</v>
      </c>
      <c r="O695" s="18">
        <v>5.14</v>
      </c>
      <c r="P695" s="52">
        <f>IF(COUNTIF(TblPurchases[BatchID],TblOutcomes[[#This Row],[BatchID]])&lt;&gt;1,"n.a.",TblOutcomes[[#This Row],[Qty Wasted]]*SUMIFS(TblPurchases[Unit Cost (CLP)],TblPurchases[BatchID],TblOutcomes[[#This Row],[BatchID]]))</f>
        <v>6299.5</v>
      </c>
      <c r="Q695" s="51">
        <f>IF(COUNTIF(TblPurchases[BatchID],TblOutcomes[[#This Row],[BatchID]])&lt;&gt;1,"n.a.",SUMIFS(TblPurchases[Purchase Date],TblPurchases[BatchID],TblOutcomes[[#This Row],[BatchID]]))</f>
        <v>45826</v>
      </c>
    </row>
    <row r="696" spans="2:17" x14ac:dyDescent="0.25">
      <c r="B696" s="2" t="s">
        <v>1500</v>
      </c>
      <c r="C696" s="2" t="s">
        <v>144</v>
      </c>
      <c r="D696" s="2" t="s">
        <v>122</v>
      </c>
      <c r="E696" s="2" t="s">
        <v>4646</v>
      </c>
      <c r="F696" s="2">
        <v>16</v>
      </c>
      <c r="G696" s="2">
        <v>13.87</v>
      </c>
      <c r="H696" s="2">
        <v>2.13</v>
      </c>
      <c r="I696" s="1">
        <v>13.3</v>
      </c>
      <c r="J696" s="26">
        <v>45881</v>
      </c>
      <c r="K696" s="22">
        <v>41610</v>
      </c>
      <c r="L696" s="18">
        <v>44.5</v>
      </c>
      <c r="M696" s="22">
        <v>34400</v>
      </c>
      <c r="N696" s="22">
        <v>7210</v>
      </c>
      <c r="O696" s="18">
        <v>7.71</v>
      </c>
      <c r="P696" s="52">
        <f>IF(COUNTIF(TblPurchases[BatchID],TblOutcomes[[#This Row],[BatchID]])&lt;&gt;1,"n.a.",TblOutcomes[[#This Row],[Qty Wasted]]*SUMIFS(TblPurchases[Unit Cost (CLP)],TblPurchases[BatchID],TblOutcomes[[#This Row],[BatchID]]))</f>
        <v>4579.5</v>
      </c>
      <c r="Q696" s="51">
        <f>IF(COUNTIF(TblPurchases[BatchID],TblOutcomes[[#This Row],[BatchID]])&lt;&gt;1,"n.a.",SUMIFS(TblPurchases[Purchase Date],TblPurchases[BatchID],TblOutcomes[[#This Row],[BatchID]]))</f>
        <v>45836</v>
      </c>
    </row>
    <row r="697" spans="2:17" x14ac:dyDescent="0.25">
      <c r="B697" s="2" t="s">
        <v>1501</v>
      </c>
      <c r="C697" s="2" t="s">
        <v>146</v>
      </c>
      <c r="D697" s="2" t="s">
        <v>122</v>
      </c>
      <c r="E697" s="2" t="s">
        <v>4646</v>
      </c>
      <c r="F697" s="2">
        <v>15</v>
      </c>
      <c r="G697" s="2">
        <v>10.34</v>
      </c>
      <c r="H697" s="2">
        <v>4.67</v>
      </c>
      <c r="I697" s="1">
        <v>31.1</v>
      </c>
      <c r="J697" s="26">
        <v>45162</v>
      </c>
      <c r="K697" s="22">
        <v>31020</v>
      </c>
      <c r="L697" s="18">
        <v>33.18</v>
      </c>
      <c r="M697" s="22">
        <v>31500</v>
      </c>
      <c r="N697" s="22">
        <v>-480</v>
      </c>
      <c r="O697" s="18">
        <v>-0.51</v>
      </c>
      <c r="P697" s="52">
        <f>IF(COUNTIF(TblPurchases[BatchID],TblOutcomes[[#This Row],[BatchID]])&lt;&gt;1,"n.a.",TblOutcomes[[#This Row],[Qty Wasted]]*SUMIFS(TblPurchases[Unit Cost (CLP)],TblPurchases[BatchID],TblOutcomes[[#This Row],[BatchID]]))</f>
        <v>9807</v>
      </c>
      <c r="Q697" s="51">
        <f>IF(COUNTIF(TblPurchases[BatchID],TblOutcomes[[#This Row],[BatchID]])&lt;&gt;1,"n.a.",SUMIFS(TblPurchases[Purchase Date],TblPurchases[BatchID],TblOutcomes[[#This Row],[BatchID]]))</f>
        <v>45117</v>
      </c>
    </row>
    <row r="698" spans="2:17" x14ac:dyDescent="0.25">
      <c r="B698" s="2" t="s">
        <v>1502</v>
      </c>
      <c r="C698" s="2" t="s">
        <v>146</v>
      </c>
      <c r="D698" s="2" t="s">
        <v>122</v>
      </c>
      <c r="E698" s="2" t="s">
        <v>4646</v>
      </c>
      <c r="F698" s="2">
        <v>16</v>
      </c>
      <c r="G698" s="2">
        <v>14.88</v>
      </c>
      <c r="H698" s="2">
        <v>1.1200000000000001</v>
      </c>
      <c r="I698" s="1">
        <v>7</v>
      </c>
      <c r="J698" s="26">
        <v>45171</v>
      </c>
      <c r="K698" s="22">
        <v>44640</v>
      </c>
      <c r="L698" s="18">
        <v>47.74</v>
      </c>
      <c r="M698" s="22">
        <v>33600</v>
      </c>
      <c r="N698" s="22">
        <v>11040</v>
      </c>
      <c r="O698" s="18">
        <v>11.81</v>
      </c>
      <c r="P698" s="52">
        <f>IF(COUNTIF(TblPurchases[BatchID],TblOutcomes[[#This Row],[BatchID]])&lt;&gt;1,"n.a.",TblOutcomes[[#This Row],[Qty Wasted]]*SUMIFS(TblPurchases[Unit Cost (CLP)],TblPurchases[BatchID],TblOutcomes[[#This Row],[BatchID]]))</f>
        <v>2352</v>
      </c>
      <c r="Q698" s="51">
        <f>IF(COUNTIF(TblPurchases[BatchID],TblOutcomes[[#This Row],[BatchID]])&lt;&gt;1,"n.a.",SUMIFS(TblPurchases[Purchase Date],TblPurchases[BatchID],TblOutcomes[[#This Row],[BatchID]]))</f>
        <v>45126</v>
      </c>
    </row>
    <row r="699" spans="2:17" x14ac:dyDescent="0.25">
      <c r="B699" s="2" t="s">
        <v>1503</v>
      </c>
      <c r="C699" s="2" t="s">
        <v>146</v>
      </c>
      <c r="D699" s="2" t="s">
        <v>122</v>
      </c>
      <c r="E699" s="2" t="s">
        <v>4646</v>
      </c>
      <c r="F699" s="2">
        <v>13</v>
      </c>
      <c r="G699" s="2">
        <v>10.27</v>
      </c>
      <c r="H699" s="2">
        <v>2.73</v>
      </c>
      <c r="I699" s="1">
        <v>21</v>
      </c>
      <c r="J699" s="26">
        <v>45183</v>
      </c>
      <c r="K699" s="22">
        <v>30810</v>
      </c>
      <c r="L699" s="18">
        <v>32.950000000000003</v>
      </c>
      <c r="M699" s="22">
        <v>27300</v>
      </c>
      <c r="N699" s="22">
        <v>3510</v>
      </c>
      <c r="O699" s="18">
        <v>3.75</v>
      </c>
      <c r="P699" s="52">
        <f>IF(COUNTIF(TblPurchases[BatchID],TblOutcomes[[#This Row],[BatchID]])&lt;&gt;1,"n.a.",TblOutcomes[[#This Row],[Qty Wasted]]*SUMIFS(TblPurchases[Unit Cost (CLP)],TblPurchases[BatchID],TblOutcomes[[#This Row],[BatchID]]))</f>
        <v>5733</v>
      </c>
      <c r="Q699" s="51">
        <f>IF(COUNTIF(TblPurchases[BatchID],TblOutcomes[[#This Row],[BatchID]])&lt;&gt;1,"n.a.",SUMIFS(TblPurchases[Purchase Date],TblPurchases[BatchID],TblOutcomes[[#This Row],[BatchID]]))</f>
        <v>45138</v>
      </c>
    </row>
    <row r="700" spans="2:17" x14ac:dyDescent="0.25">
      <c r="B700" s="2" t="s">
        <v>1504</v>
      </c>
      <c r="C700" s="2" t="s">
        <v>146</v>
      </c>
      <c r="D700" s="2" t="s">
        <v>122</v>
      </c>
      <c r="E700" s="2" t="s">
        <v>4646</v>
      </c>
      <c r="F700" s="2">
        <v>13</v>
      </c>
      <c r="G700" s="2">
        <v>11.74</v>
      </c>
      <c r="H700" s="2">
        <v>1.26</v>
      </c>
      <c r="I700" s="1">
        <v>9.6999999999999993</v>
      </c>
      <c r="J700" s="26">
        <v>45193</v>
      </c>
      <c r="K700" s="22">
        <v>35220</v>
      </c>
      <c r="L700" s="18">
        <v>37.67</v>
      </c>
      <c r="M700" s="22">
        <v>27300</v>
      </c>
      <c r="N700" s="22">
        <v>7920</v>
      </c>
      <c r="O700" s="18">
        <v>8.4700000000000006</v>
      </c>
      <c r="P700" s="52">
        <f>IF(COUNTIF(TblPurchases[BatchID],TblOutcomes[[#This Row],[BatchID]])&lt;&gt;1,"n.a.",TblOutcomes[[#This Row],[Qty Wasted]]*SUMIFS(TblPurchases[Unit Cost (CLP)],TblPurchases[BatchID],TblOutcomes[[#This Row],[BatchID]]))</f>
        <v>2646</v>
      </c>
      <c r="Q700" s="51">
        <f>IF(COUNTIF(TblPurchases[BatchID],TblOutcomes[[#This Row],[BatchID]])&lt;&gt;1,"n.a.",SUMIFS(TblPurchases[Purchase Date],TblPurchases[BatchID],TblOutcomes[[#This Row],[BatchID]]))</f>
        <v>45148</v>
      </c>
    </row>
    <row r="701" spans="2:17" x14ac:dyDescent="0.25">
      <c r="B701" s="2" t="s">
        <v>1505</v>
      </c>
      <c r="C701" s="2" t="s">
        <v>146</v>
      </c>
      <c r="D701" s="2" t="s">
        <v>122</v>
      </c>
      <c r="E701" s="2" t="s">
        <v>4646</v>
      </c>
      <c r="F701" s="2">
        <v>14</v>
      </c>
      <c r="G701" s="2">
        <v>11.2</v>
      </c>
      <c r="H701" s="2">
        <v>2.8</v>
      </c>
      <c r="I701" s="1">
        <v>20</v>
      </c>
      <c r="J701" s="26">
        <v>45200</v>
      </c>
      <c r="K701" s="22">
        <v>33600</v>
      </c>
      <c r="L701" s="18">
        <v>35.94</v>
      </c>
      <c r="M701" s="22">
        <v>29400</v>
      </c>
      <c r="N701" s="22">
        <v>4200</v>
      </c>
      <c r="O701" s="18">
        <v>4.49</v>
      </c>
      <c r="P701" s="52">
        <f>IF(COUNTIF(TblPurchases[BatchID],TblOutcomes[[#This Row],[BatchID]])&lt;&gt;1,"n.a.",TblOutcomes[[#This Row],[Qty Wasted]]*SUMIFS(TblPurchases[Unit Cost (CLP)],TblPurchases[BatchID],TblOutcomes[[#This Row],[BatchID]]))</f>
        <v>5880</v>
      </c>
      <c r="Q701" s="51">
        <f>IF(COUNTIF(TblPurchases[BatchID],TblOutcomes[[#This Row],[BatchID]])&lt;&gt;1,"n.a.",SUMIFS(TblPurchases[Purchase Date],TblPurchases[BatchID],TblOutcomes[[#This Row],[BatchID]]))</f>
        <v>45155</v>
      </c>
    </row>
    <row r="702" spans="2:17" x14ac:dyDescent="0.25">
      <c r="B702" s="2" t="s">
        <v>1506</v>
      </c>
      <c r="C702" s="2" t="s">
        <v>146</v>
      </c>
      <c r="D702" s="2" t="s">
        <v>122</v>
      </c>
      <c r="E702" s="2" t="s">
        <v>4647</v>
      </c>
      <c r="F702" s="2">
        <v>16</v>
      </c>
      <c r="G702" s="2">
        <v>16</v>
      </c>
      <c r="H702" s="2">
        <v>0</v>
      </c>
      <c r="I702" s="1">
        <v>0</v>
      </c>
      <c r="J702" s="26">
        <v>45173</v>
      </c>
      <c r="K702" s="22">
        <v>48000</v>
      </c>
      <c r="L702" s="18">
        <v>51.34</v>
      </c>
      <c r="M702" s="22">
        <v>33600</v>
      </c>
      <c r="N702" s="22">
        <v>14400</v>
      </c>
      <c r="O702" s="18">
        <v>15.4</v>
      </c>
      <c r="P702" s="52">
        <f>IF(COUNTIF(TblPurchases[BatchID],TblOutcomes[[#This Row],[BatchID]])&lt;&gt;1,"n.a.",TblOutcomes[[#This Row],[Qty Wasted]]*SUMIFS(TblPurchases[Unit Cost (CLP)],TblPurchases[BatchID],TblOutcomes[[#This Row],[BatchID]]))</f>
        <v>0</v>
      </c>
      <c r="Q702" s="51">
        <f>IF(COUNTIF(TblPurchases[BatchID],TblOutcomes[[#This Row],[BatchID]])&lt;&gt;1,"n.a.",SUMIFS(TblPurchases[Purchase Date],TblPurchases[BatchID],TblOutcomes[[#This Row],[BatchID]]))</f>
        <v>45165</v>
      </c>
    </row>
    <row r="703" spans="2:17" x14ac:dyDescent="0.25">
      <c r="B703" s="2" t="s">
        <v>1507</v>
      </c>
      <c r="C703" s="2" t="s">
        <v>146</v>
      </c>
      <c r="D703" s="2" t="s">
        <v>122</v>
      </c>
      <c r="E703" s="2" t="s">
        <v>4646</v>
      </c>
      <c r="F703" s="2">
        <v>20</v>
      </c>
      <c r="G703" s="2">
        <v>18.04</v>
      </c>
      <c r="H703" s="2">
        <v>1.96</v>
      </c>
      <c r="I703" s="1">
        <v>9.8000000000000007</v>
      </c>
      <c r="J703" s="26">
        <v>45220</v>
      </c>
      <c r="K703" s="22">
        <v>54120</v>
      </c>
      <c r="L703" s="18">
        <v>57.88</v>
      </c>
      <c r="M703" s="22">
        <v>43000</v>
      </c>
      <c r="N703" s="22">
        <v>11120</v>
      </c>
      <c r="O703" s="18">
        <v>11.89</v>
      </c>
      <c r="P703" s="52">
        <f>IF(COUNTIF(TblPurchases[BatchID],TblOutcomes[[#This Row],[BatchID]])&lt;&gt;1,"n.a.",TblOutcomes[[#This Row],[Qty Wasted]]*SUMIFS(TblPurchases[Unit Cost (CLP)],TblPurchases[BatchID],TblOutcomes[[#This Row],[BatchID]]))</f>
        <v>4214</v>
      </c>
      <c r="Q703" s="51">
        <f>IF(COUNTIF(TblPurchases[BatchID],TblOutcomes[[#This Row],[BatchID]])&lt;&gt;1,"n.a.",SUMIFS(TblPurchases[Purchase Date],TblPurchases[BatchID],TblOutcomes[[#This Row],[BatchID]]))</f>
        <v>45175</v>
      </c>
    </row>
    <row r="704" spans="2:17" x14ac:dyDescent="0.25">
      <c r="B704" s="2" t="s">
        <v>1508</v>
      </c>
      <c r="C704" s="2" t="s">
        <v>146</v>
      </c>
      <c r="D704" s="2" t="s">
        <v>122</v>
      </c>
      <c r="E704" s="2" t="s">
        <v>4646</v>
      </c>
      <c r="F704" s="2">
        <v>17</v>
      </c>
      <c r="G704" s="2">
        <v>13.92</v>
      </c>
      <c r="H704" s="2">
        <v>3.08</v>
      </c>
      <c r="I704" s="1">
        <v>18.100000000000001</v>
      </c>
      <c r="J704" s="26">
        <v>45230</v>
      </c>
      <c r="K704" s="22">
        <v>41760</v>
      </c>
      <c r="L704" s="18">
        <v>44.66</v>
      </c>
      <c r="M704" s="22">
        <v>35700</v>
      </c>
      <c r="N704" s="22">
        <v>6060</v>
      </c>
      <c r="O704" s="18">
        <v>6.48</v>
      </c>
      <c r="P704" s="52">
        <f>IF(COUNTIF(TblPurchases[BatchID],TblOutcomes[[#This Row],[BatchID]])&lt;&gt;1,"n.a.",TblOutcomes[[#This Row],[Qty Wasted]]*SUMIFS(TblPurchases[Unit Cost (CLP)],TblPurchases[BatchID],TblOutcomes[[#This Row],[BatchID]]))</f>
        <v>6468</v>
      </c>
      <c r="Q704" s="51">
        <f>IF(COUNTIF(TblPurchases[BatchID],TblOutcomes[[#This Row],[BatchID]])&lt;&gt;1,"n.a.",SUMIFS(TblPurchases[Purchase Date],TblPurchases[BatchID],TblOutcomes[[#This Row],[BatchID]]))</f>
        <v>45185</v>
      </c>
    </row>
    <row r="705" spans="2:17" x14ac:dyDescent="0.25">
      <c r="B705" s="2" t="s">
        <v>1509</v>
      </c>
      <c r="C705" s="2" t="s">
        <v>146</v>
      </c>
      <c r="D705" s="2" t="s">
        <v>122</v>
      </c>
      <c r="E705" s="2" t="s">
        <v>4646</v>
      </c>
      <c r="F705" s="2">
        <v>19</v>
      </c>
      <c r="G705" s="2">
        <v>17.63</v>
      </c>
      <c r="H705" s="2">
        <v>1.37</v>
      </c>
      <c r="I705" s="1">
        <v>7.2</v>
      </c>
      <c r="J705" s="26">
        <v>45238</v>
      </c>
      <c r="K705" s="22">
        <v>52890</v>
      </c>
      <c r="L705" s="18">
        <v>56.57</v>
      </c>
      <c r="M705" s="22">
        <v>39900</v>
      </c>
      <c r="N705" s="22">
        <v>12990</v>
      </c>
      <c r="O705" s="18">
        <v>13.89</v>
      </c>
      <c r="P705" s="52">
        <f>IF(COUNTIF(TblPurchases[BatchID],TblOutcomes[[#This Row],[BatchID]])&lt;&gt;1,"n.a.",TblOutcomes[[#This Row],[Qty Wasted]]*SUMIFS(TblPurchases[Unit Cost (CLP)],TblPurchases[BatchID],TblOutcomes[[#This Row],[BatchID]]))</f>
        <v>2877</v>
      </c>
      <c r="Q705" s="51">
        <f>IF(COUNTIF(TblPurchases[BatchID],TblOutcomes[[#This Row],[BatchID]])&lt;&gt;1,"n.a.",SUMIFS(TblPurchases[Purchase Date],TblPurchases[BatchID],TblOutcomes[[#This Row],[BatchID]]))</f>
        <v>45193</v>
      </c>
    </row>
    <row r="706" spans="2:17" x14ac:dyDescent="0.25">
      <c r="B706" s="2" t="s">
        <v>1510</v>
      </c>
      <c r="C706" s="2" t="s">
        <v>146</v>
      </c>
      <c r="D706" s="2" t="s">
        <v>122</v>
      </c>
      <c r="E706" s="2" t="s">
        <v>4647</v>
      </c>
      <c r="F706" s="2">
        <v>41</v>
      </c>
      <c r="G706" s="2">
        <v>41</v>
      </c>
      <c r="H706" s="2">
        <v>0</v>
      </c>
      <c r="I706" s="1">
        <v>0</v>
      </c>
      <c r="J706" s="26">
        <v>45213</v>
      </c>
      <c r="K706" s="22">
        <v>123000</v>
      </c>
      <c r="L706" s="18">
        <v>131.55000000000001</v>
      </c>
      <c r="M706" s="22">
        <v>86100</v>
      </c>
      <c r="N706" s="22">
        <v>36900</v>
      </c>
      <c r="O706" s="18">
        <v>39.47</v>
      </c>
      <c r="P706" s="52">
        <f>IF(COUNTIF(TblPurchases[BatchID],TblOutcomes[[#This Row],[BatchID]])&lt;&gt;1,"n.a.",TblOutcomes[[#This Row],[Qty Wasted]]*SUMIFS(TblPurchases[Unit Cost (CLP)],TblPurchases[BatchID],TblOutcomes[[#This Row],[BatchID]]))</f>
        <v>0</v>
      </c>
      <c r="Q706" s="51">
        <f>IF(COUNTIF(TblPurchases[BatchID],TblOutcomes[[#This Row],[BatchID]])&lt;&gt;1,"n.a.",SUMIFS(TblPurchases[Purchase Date],TblPurchases[BatchID],TblOutcomes[[#This Row],[BatchID]]))</f>
        <v>45205</v>
      </c>
    </row>
    <row r="707" spans="2:17" x14ac:dyDescent="0.25">
      <c r="B707" s="2" t="s">
        <v>1511</v>
      </c>
      <c r="C707" s="2" t="s">
        <v>146</v>
      </c>
      <c r="D707" s="2" t="s">
        <v>122</v>
      </c>
      <c r="E707" s="2" t="s">
        <v>4647</v>
      </c>
      <c r="F707" s="2">
        <v>35</v>
      </c>
      <c r="G707" s="2">
        <v>35</v>
      </c>
      <c r="H707" s="2">
        <v>0</v>
      </c>
      <c r="I707" s="1">
        <v>0</v>
      </c>
      <c r="J707" s="26">
        <v>45225</v>
      </c>
      <c r="K707" s="22">
        <v>105000</v>
      </c>
      <c r="L707" s="18">
        <v>112.3</v>
      </c>
      <c r="M707" s="22">
        <v>73500</v>
      </c>
      <c r="N707" s="22">
        <v>31500</v>
      </c>
      <c r="O707" s="18">
        <v>33.69</v>
      </c>
      <c r="P707" s="52">
        <f>IF(COUNTIF(TblPurchases[BatchID],TblOutcomes[[#This Row],[BatchID]])&lt;&gt;1,"n.a.",TblOutcomes[[#This Row],[Qty Wasted]]*SUMIFS(TblPurchases[Unit Cost (CLP)],TblPurchases[BatchID],TblOutcomes[[#This Row],[BatchID]]))</f>
        <v>0</v>
      </c>
      <c r="Q707" s="51">
        <f>IF(COUNTIF(TblPurchases[BatchID],TblOutcomes[[#This Row],[BatchID]])&lt;&gt;1,"n.a.",SUMIFS(TblPurchases[Purchase Date],TblPurchases[BatchID],TblOutcomes[[#This Row],[BatchID]]))</f>
        <v>45213</v>
      </c>
    </row>
    <row r="708" spans="2:17" x14ac:dyDescent="0.25">
      <c r="B708" s="2" t="s">
        <v>1512</v>
      </c>
      <c r="C708" s="2" t="s">
        <v>146</v>
      </c>
      <c r="D708" s="2" t="s">
        <v>122</v>
      </c>
      <c r="E708" s="2" t="s">
        <v>4647</v>
      </c>
      <c r="F708" s="2">
        <v>39</v>
      </c>
      <c r="G708" s="2">
        <v>39</v>
      </c>
      <c r="H708" s="2">
        <v>0</v>
      </c>
      <c r="I708" s="1">
        <v>0</v>
      </c>
      <c r="J708" s="26">
        <v>45232</v>
      </c>
      <c r="K708" s="22">
        <v>117000</v>
      </c>
      <c r="L708" s="18">
        <v>125.13</v>
      </c>
      <c r="M708" s="22">
        <v>81900</v>
      </c>
      <c r="N708" s="22">
        <v>35100</v>
      </c>
      <c r="O708" s="18">
        <v>37.54</v>
      </c>
      <c r="P708" s="52">
        <f>IF(COUNTIF(TblPurchases[BatchID],TblOutcomes[[#This Row],[BatchID]])&lt;&gt;1,"n.a.",TblOutcomes[[#This Row],[Qty Wasted]]*SUMIFS(TblPurchases[Unit Cost (CLP)],TblPurchases[BatchID],TblOutcomes[[#This Row],[BatchID]]))</f>
        <v>0</v>
      </c>
      <c r="Q708" s="51">
        <f>IF(COUNTIF(TblPurchases[BatchID],TblOutcomes[[#This Row],[BatchID]])&lt;&gt;1,"n.a.",SUMIFS(TblPurchases[Purchase Date],TblPurchases[BatchID],TblOutcomes[[#This Row],[BatchID]]))</f>
        <v>45224</v>
      </c>
    </row>
    <row r="709" spans="2:17" x14ac:dyDescent="0.25">
      <c r="B709" s="2" t="s">
        <v>1513</v>
      </c>
      <c r="C709" s="2" t="s">
        <v>146</v>
      </c>
      <c r="D709" s="2" t="s">
        <v>122</v>
      </c>
      <c r="E709" s="2" t="s">
        <v>4646</v>
      </c>
      <c r="F709" s="2">
        <v>44</v>
      </c>
      <c r="G709" s="2">
        <v>38.24</v>
      </c>
      <c r="H709" s="2">
        <v>5.76</v>
      </c>
      <c r="I709" s="1">
        <v>13.1</v>
      </c>
      <c r="J709" s="26">
        <v>45278</v>
      </c>
      <c r="K709" s="22">
        <v>114720</v>
      </c>
      <c r="L709" s="18">
        <v>122.7</v>
      </c>
      <c r="M709" s="22">
        <v>92400</v>
      </c>
      <c r="N709" s="22">
        <v>22320</v>
      </c>
      <c r="O709" s="18">
        <v>23.87</v>
      </c>
      <c r="P709" s="52">
        <f>IF(COUNTIF(TblPurchases[BatchID],TblOutcomes[[#This Row],[BatchID]])&lt;&gt;1,"n.a.",TblOutcomes[[#This Row],[Qty Wasted]]*SUMIFS(TblPurchases[Unit Cost (CLP)],TblPurchases[BatchID],TblOutcomes[[#This Row],[BatchID]]))</f>
        <v>12096</v>
      </c>
      <c r="Q709" s="51">
        <f>IF(COUNTIF(TblPurchases[BatchID],TblOutcomes[[#This Row],[BatchID]])&lt;&gt;1,"n.a.",SUMIFS(TblPurchases[Purchase Date],TblPurchases[BatchID],TblOutcomes[[#This Row],[BatchID]]))</f>
        <v>45233</v>
      </c>
    </row>
    <row r="710" spans="2:17" x14ac:dyDescent="0.25">
      <c r="B710" s="2" t="s">
        <v>1514</v>
      </c>
      <c r="C710" s="2" t="s">
        <v>146</v>
      </c>
      <c r="D710" s="2" t="s">
        <v>122</v>
      </c>
      <c r="E710" s="2" t="s">
        <v>4647</v>
      </c>
      <c r="F710" s="2">
        <v>42</v>
      </c>
      <c r="G710" s="2">
        <v>42</v>
      </c>
      <c r="H710" s="2">
        <v>0</v>
      </c>
      <c r="I710" s="1">
        <v>0</v>
      </c>
      <c r="J710" s="26">
        <v>45251</v>
      </c>
      <c r="K710" s="22">
        <v>126000</v>
      </c>
      <c r="L710" s="18">
        <v>134.76</v>
      </c>
      <c r="M710" s="22">
        <v>88200</v>
      </c>
      <c r="N710" s="22">
        <v>37800</v>
      </c>
      <c r="O710" s="18">
        <v>40.43</v>
      </c>
      <c r="P710" s="52">
        <f>IF(COUNTIF(TblPurchases[BatchID],TblOutcomes[[#This Row],[BatchID]])&lt;&gt;1,"n.a.",TblOutcomes[[#This Row],[Qty Wasted]]*SUMIFS(TblPurchases[Unit Cost (CLP)],TblPurchases[BatchID],TblOutcomes[[#This Row],[BatchID]]))</f>
        <v>0</v>
      </c>
      <c r="Q710" s="51">
        <f>IF(COUNTIF(TblPurchases[BatchID],TblOutcomes[[#This Row],[BatchID]])&lt;&gt;1,"n.a.",SUMIFS(TblPurchases[Purchase Date],TblPurchases[BatchID],TblOutcomes[[#This Row],[BatchID]]))</f>
        <v>45242</v>
      </c>
    </row>
    <row r="711" spans="2:17" x14ac:dyDescent="0.25">
      <c r="B711" s="2" t="s">
        <v>1515</v>
      </c>
      <c r="C711" s="2" t="s">
        <v>146</v>
      </c>
      <c r="D711" s="2" t="s">
        <v>122</v>
      </c>
      <c r="E711" s="2" t="s">
        <v>4647</v>
      </c>
      <c r="F711" s="2">
        <v>37</v>
      </c>
      <c r="G711" s="2">
        <v>37</v>
      </c>
      <c r="H711" s="2">
        <v>0</v>
      </c>
      <c r="I711" s="1">
        <v>0</v>
      </c>
      <c r="J711" s="26">
        <v>45257</v>
      </c>
      <c r="K711" s="22">
        <v>111000</v>
      </c>
      <c r="L711" s="18">
        <v>118.72</v>
      </c>
      <c r="M711" s="22">
        <v>77700</v>
      </c>
      <c r="N711" s="22">
        <v>33300</v>
      </c>
      <c r="O711" s="18">
        <v>35.61</v>
      </c>
      <c r="P711" s="52">
        <f>IF(COUNTIF(TblPurchases[BatchID],TblOutcomes[[#This Row],[BatchID]])&lt;&gt;1,"n.a.",TblOutcomes[[#This Row],[Qty Wasted]]*SUMIFS(TblPurchases[Unit Cost (CLP)],TblPurchases[BatchID],TblOutcomes[[#This Row],[BatchID]]))</f>
        <v>0</v>
      </c>
      <c r="Q711" s="51">
        <f>IF(COUNTIF(TblPurchases[BatchID],TblOutcomes[[#This Row],[BatchID]])&lt;&gt;1,"n.a.",SUMIFS(TblPurchases[Purchase Date],TblPurchases[BatchID],TblOutcomes[[#This Row],[BatchID]]))</f>
        <v>45251</v>
      </c>
    </row>
    <row r="712" spans="2:17" x14ac:dyDescent="0.25">
      <c r="B712" s="2" t="s">
        <v>1516</v>
      </c>
      <c r="C712" s="2" t="s">
        <v>146</v>
      </c>
      <c r="D712" s="2" t="s">
        <v>122</v>
      </c>
      <c r="E712" s="2" t="s">
        <v>4647</v>
      </c>
      <c r="F712" s="2">
        <v>59</v>
      </c>
      <c r="G712" s="2">
        <v>59</v>
      </c>
      <c r="H712" s="2">
        <v>0</v>
      </c>
      <c r="I712" s="1">
        <v>0</v>
      </c>
      <c r="J712" s="26">
        <v>45265</v>
      </c>
      <c r="K712" s="22">
        <v>177000</v>
      </c>
      <c r="L712" s="18">
        <v>189.3</v>
      </c>
      <c r="M712" s="22">
        <v>123900</v>
      </c>
      <c r="N712" s="22">
        <v>53100</v>
      </c>
      <c r="O712" s="18">
        <v>56.79</v>
      </c>
      <c r="P712" s="52">
        <f>IF(COUNTIF(TblPurchases[BatchID],TblOutcomes[[#This Row],[BatchID]])&lt;&gt;1,"n.a.",TblOutcomes[[#This Row],[Qty Wasted]]*SUMIFS(TblPurchases[Unit Cost (CLP)],TblPurchases[BatchID],TblOutcomes[[#This Row],[BatchID]]))</f>
        <v>0</v>
      </c>
      <c r="Q712" s="51">
        <f>IF(COUNTIF(TblPurchases[BatchID],TblOutcomes[[#This Row],[BatchID]])&lt;&gt;1,"n.a.",SUMIFS(TblPurchases[Purchase Date],TblPurchases[BatchID],TblOutcomes[[#This Row],[BatchID]]))</f>
        <v>45261</v>
      </c>
    </row>
    <row r="713" spans="2:17" x14ac:dyDescent="0.25">
      <c r="B713" s="2" t="s">
        <v>1517</v>
      </c>
      <c r="C713" s="2" t="s">
        <v>146</v>
      </c>
      <c r="D713" s="2" t="s">
        <v>122</v>
      </c>
      <c r="E713" s="2" t="s">
        <v>4647</v>
      </c>
      <c r="F713" s="2">
        <v>54</v>
      </c>
      <c r="G713" s="2">
        <v>54</v>
      </c>
      <c r="H713" s="2">
        <v>0</v>
      </c>
      <c r="I713" s="1">
        <v>0</v>
      </c>
      <c r="J713" s="26">
        <v>45283</v>
      </c>
      <c r="K713" s="22">
        <v>162000</v>
      </c>
      <c r="L713" s="18">
        <v>173.26</v>
      </c>
      <c r="M713" s="22">
        <v>113400</v>
      </c>
      <c r="N713" s="22">
        <v>48600</v>
      </c>
      <c r="O713" s="18">
        <v>51.98</v>
      </c>
      <c r="P713" s="52">
        <f>IF(COUNTIF(TblPurchases[BatchID],TblOutcomes[[#This Row],[BatchID]])&lt;&gt;1,"n.a.",TblOutcomes[[#This Row],[Qty Wasted]]*SUMIFS(TblPurchases[Unit Cost (CLP)],TblPurchases[BatchID],TblOutcomes[[#This Row],[BatchID]]))</f>
        <v>0</v>
      </c>
      <c r="Q713" s="51">
        <f>IF(COUNTIF(TblPurchases[BatchID],TblOutcomes[[#This Row],[BatchID]])&lt;&gt;1,"n.a.",SUMIFS(TblPurchases[Purchase Date],TblPurchases[BatchID],TblOutcomes[[#This Row],[BatchID]]))</f>
        <v>45271</v>
      </c>
    </row>
    <row r="714" spans="2:17" x14ac:dyDescent="0.25">
      <c r="B714" s="2" t="s">
        <v>1518</v>
      </c>
      <c r="C714" s="2" t="s">
        <v>146</v>
      </c>
      <c r="D714" s="2" t="s">
        <v>122</v>
      </c>
      <c r="E714" s="2" t="s">
        <v>4647</v>
      </c>
      <c r="F714" s="2">
        <v>50</v>
      </c>
      <c r="G714" s="2">
        <v>50</v>
      </c>
      <c r="H714" s="2">
        <v>0</v>
      </c>
      <c r="I714" s="1">
        <v>0</v>
      </c>
      <c r="J714" s="26">
        <v>45291</v>
      </c>
      <c r="K714" s="22">
        <v>150000</v>
      </c>
      <c r="L714" s="18">
        <v>160.43</v>
      </c>
      <c r="M714" s="22">
        <v>105000</v>
      </c>
      <c r="N714" s="22">
        <v>45000</v>
      </c>
      <c r="O714" s="18">
        <v>48.13</v>
      </c>
      <c r="P714" s="52">
        <f>IF(COUNTIF(TblPurchases[BatchID],TblOutcomes[[#This Row],[BatchID]])&lt;&gt;1,"n.a.",TblOutcomes[[#This Row],[Qty Wasted]]*SUMIFS(TblPurchases[Unit Cost (CLP)],TblPurchases[BatchID],TblOutcomes[[#This Row],[BatchID]]))</f>
        <v>0</v>
      </c>
      <c r="Q714" s="51">
        <f>IF(COUNTIF(TblPurchases[BatchID],TblOutcomes[[#This Row],[BatchID]])&lt;&gt;1,"n.a.",SUMIFS(TblPurchases[Purchase Date],TblPurchases[BatchID],TblOutcomes[[#This Row],[BatchID]]))</f>
        <v>45281</v>
      </c>
    </row>
    <row r="715" spans="2:17" x14ac:dyDescent="0.25">
      <c r="B715" s="2" t="s">
        <v>1519</v>
      </c>
      <c r="C715" s="2" t="s">
        <v>146</v>
      </c>
      <c r="D715" s="2" t="s">
        <v>122</v>
      </c>
      <c r="E715" s="2" t="s">
        <v>4646</v>
      </c>
      <c r="F715" s="2">
        <v>58</v>
      </c>
      <c r="G715" s="2">
        <v>50.81</v>
      </c>
      <c r="H715" s="2">
        <v>7.19</v>
      </c>
      <c r="I715" s="1">
        <v>12.4</v>
      </c>
      <c r="J715" s="26">
        <v>45336</v>
      </c>
      <c r="K715" s="22">
        <v>152430</v>
      </c>
      <c r="L715" s="18">
        <v>163.03</v>
      </c>
      <c r="M715" s="22">
        <v>121800</v>
      </c>
      <c r="N715" s="22">
        <v>30630</v>
      </c>
      <c r="O715" s="18">
        <v>32.76</v>
      </c>
      <c r="P715" s="52">
        <f>IF(COUNTIF(TblPurchases[BatchID],TblOutcomes[[#This Row],[BatchID]])&lt;&gt;1,"n.a.",TblOutcomes[[#This Row],[Qty Wasted]]*SUMIFS(TblPurchases[Unit Cost (CLP)],TblPurchases[BatchID],TblOutcomes[[#This Row],[BatchID]]))</f>
        <v>15099</v>
      </c>
      <c r="Q715" s="51">
        <f>IF(COUNTIF(TblPurchases[BatchID],TblOutcomes[[#This Row],[BatchID]])&lt;&gt;1,"n.a.",SUMIFS(TblPurchases[Purchase Date],TblPurchases[BatchID],TblOutcomes[[#This Row],[BatchID]]))</f>
        <v>45291</v>
      </c>
    </row>
    <row r="716" spans="2:17" x14ac:dyDescent="0.25">
      <c r="B716" s="2" t="s">
        <v>1520</v>
      </c>
      <c r="C716" s="2" t="s">
        <v>146</v>
      </c>
      <c r="D716" s="2" t="s">
        <v>122</v>
      </c>
      <c r="E716" s="2" t="s">
        <v>4647</v>
      </c>
      <c r="F716" s="2">
        <v>34</v>
      </c>
      <c r="G716" s="2">
        <v>34</v>
      </c>
      <c r="H716" s="2">
        <v>0</v>
      </c>
      <c r="I716" s="1">
        <v>0</v>
      </c>
      <c r="J716" s="26">
        <v>45314</v>
      </c>
      <c r="K716" s="22">
        <v>102000</v>
      </c>
      <c r="L716" s="18">
        <v>109.09</v>
      </c>
      <c r="M716" s="22">
        <v>71400</v>
      </c>
      <c r="N716" s="22">
        <v>30600</v>
      </c>
      <c r="O716" s="18">
        <v>32.729999999999997</v>
      </c>
      <c r="P716" s="52">
        <f>IF(COUNTIF(TblPurchases[BatchID],TblOutcomes[[#This Row],[BatchID]])&lt;&gt;1,"n.a.",TblOutcomes[[#This Row],[Qty Wasted]]*SUMIFS(TblPurchases[Unit Cost (CLP)],TblPurchases[BatchID],TblOutcomes[[#This Row],[BatchID]]))</f>
        <v>0</v>
      </c>
      <c r="Q716" s="51">
        <f>IF(COUNTIF(TblPurchases[BatchID],TblOutcomes[[#This Row],[BatchID]])&lt;&gt;1,"n.a.",SUMIFS(TblPurchases[Purchase Date],TblPurchases[BatchID],TblOutcomes[[#This Row],[BatchID]]))</f>
        <v>45303</v>
      </c>
    </row>
    <row r="717" spans="2:17" x14ac:dyDescent="0.25">
      <c r="B717" s="2" t="s">
        <v>1521</v>
      </c>
      <c r="C717" s="2" t="s">
        <v>146</v>
      </c>
      <c r="D717" s="2" t="s">
        <v>122</v>
      </c>
      <c r="E717" s="2" t="s">
        <v>4647</v>
      </c>
      <c r="F717" s="2">
        <v>41</v>
      </c>
      <c r="G717" s="2">
        <v>41</v>
      </c>
      <c r="H717" s="2">
        <v>0</v>
      </c>
      <c r="I717" s="1">
        <v>0</v>
      </c>
      <c r="J717" s="26">
        <v>45321</v>
      </c>
      <c r="K717" s="22">
        <v>123000</v>
      </c>
      <c r="L717" s="18">
        <v>131.55000000000001</v>
      </c>
      <c r="M717" s="22">
        <v>86100</v>
      </c>
      <c r="N717" s="22">
        <v>36900</v>
      </c>
      <c r="O717" s="18">
        <v>39.47</v>
      </c>
      <c r="P717" s="52">
        <f>IF(COUNTIF(TblPurchases[BatchID],TblOutcomes[[#This Row],[BatchID]])&lt;&gt;1,"n.a.",TblOutcomes[[#This Row],[Qty Wasted]]*SUMIFS(TblPurchases[Unit Cost (CLP)],TblPurchases[BatchID],TblOutcomes[[#This Row],[BatchID]]))</f>
        <v>0</v>
      </c>
      <c r="Q717" s="51">
        <f>IF(COUNTIF(TblPurchases[BatchID],TblOutcomes[[#This Row],[BatchID]])&lt;&gt;1,"n.a.",SUMIFS(TblPurchases[Purchase Date],TblPurchases[BatchID],TblOutcomes[[#This Row],[BatchID]]))</f>
        <v>45313</v>
      </c>
    </row>
    <row r="718" spans="2:17" x14ac:dyDescent="0.25">
      <c r="B718" s="2" t="s">
        <v>1522</v>
      </c>
      <c r="C718" s="2" t="s">
        <v>146</v>
      </c>
      <c r="D718" s="2" t="s">
        <v>122</v>
      </c>
      <c r="E718" s="2" t="s">
        <v>4647</v>
      </c>
      <c r="F718" s="2">
        <v>35</v>
      </c>
      <c r="G718" s="2">
        <v>35</v>
      </c>
      <c r="H718" s="2">
        <v>0</v>
      </c>
      <c r="I718" s="1">
        <v>0</v>
      </c>
      <c r="J718" s="26">
        <v>45328</v>
      </c>
      <c r="K718" s="22">
        <v>105000</v>
      </c>
      <c r="L718" s="18">
        <v>112.3</v>
      </c>
      <c r="M718" s="22">
        <v>73500</v>
      </c>
      <c r="N718" s="22">
        <v>31500</v>
      </c>
      <c r="O718" s="18">
        <v>33.69</v>
      </c>
      <c r="P718" s="52">
        <f>IF(COUNTIF(TblPurchases[BatchID],TblOutcomes[[#This Row],[BatchID]])&lt;&gt;1,"n.a.",TblOutcomes[[#This Row],[Qty Wasted]]*SUMIFS(TblPurchases[Unit Cost (CLP)],TblPurchases[BatchID],TblOutcomes[[#This Row],[BatchID]]))</f>
        <v>0</v>
      </c>
      <c r="Q718" s="51">
        <f>IF(COUNTIF(TblPurchases[BatchID],TblOutcomes[[#This Row],[BatchID]])&lt;&gt;1,"n.a.",SUMIFS(TblPurchases[Purchase Date],TblPurchases[BatchID],TblOutcomes[[#This Row],[BatchID]]))</f>
        <v>45321</v>
      </c>
    </row>
    <row r="719" spans="2:17" x14ac:dyDescent="0.25">
      <c r="B719" s="2" t="s">
        <v>1523</v>
      </c>
      <c r="C719" s="2" t="s">
        <v>146</v>
      </c>
      <c r="D719" s="2" t="s">
        <v>122</v>
      </c>
      <c r="E719" s="2" t="s">
        <v>4646</v>
      </c>
      <c r="F719" s="2">
        <v>46</v>
      </c>
      <c r="G719" s="2">
        <v>32.89</v>
      </c>
      <c r="H719" s="2">
        <v>13.11</v>
      </c>
      <c r="I719" s="1">
        <v>28.5</v>
      </c>
      <c r="J719" s="26">
        <v>45376</v>
      </c>
      <c r="K719" s="22">
        <v>98670</v>
      </c>
      <c r="L719" s="18">
        <v>105.53</v>
      </c>
      <c r="M719" s="22">
        <v>96600</v>
      </c>
      <c r="N719" s="22">
        <v>2070</v>
      </c>
      <c r="O719" s="18">
        <v>2.21</v>
      </c>
      <c r="P719" s="52">
        <f>IF(COUNTIF(TblPurchases[BatchID],TblOutcomes[[#This Row],[BatchID]])&lt;&gt;1,"n.a.",TblOutcomes[[#This Row],[Qty Wasted]]*SUMIFS(TblPurchases[Unit Cost (CLP)],TblPurchases[BatchID],TblOutcomes[[#This Row],[BatchID]]))</f>
        <v>27531</v>
      </c>
      <c r="Q719" s="51">
        <f>IF(COUNTIF(TblPurchases[BatchID],TblOutcomes[[#This Row],[BatchID]])&lt;&gt;1,"n.a.",SUMIFS(TblPurchases[Purchase Date],TblPurchases[BatchID],TblOutcomes[[#This Row],[BatchID]]))</f>
        <v>45331</v>
      </c>
    </row>
    <row r="720" spans="2:17" x14ac:dyDescent="0.25">
      <c r="B720" s="2" t="s">
        <v>1524</v>
      </c>
      <c r="C720" s="2" t="s">
        <v>146</v>
      </c>
      <c r="D720" s="2" t="s">
        <v>122</v>
      </c>
      <c r="E720" s="2" t="s">
        <v>4646</v>
      </c>
      <c r="F720" s="2">
        <v>34</v>
      </c>
      <c r="G720" s="2">
        <v>26.66</v>
      </c>
      <c r="H720" s="2">
        <v>7.34</v>
      </c>
      <c r="I720" s="1">
        <v>21.6</v>
      </c>
      <c r="J720" s="26">
        <v>45386</v>
      </c>
      <c r="K720" s="22">
        <v>79980</v>
      </c>
      <c r="L720" s="18">
        <v>85.54</v>
      </c>
      <c r="M720" s="22">
        <v>71400</v>
      </c>
      <c r="N720" s="22">
        <v>8580</v>
      </c>
      <c r="O720" s="18">
        <v>9.18</v>
      </c>
      <c r="P720" s="52">
        <f>IF(COUNTIF(TblPurchases[BatchID],TblOutcomes[[#This Row],[BatchID]])&lt;&gt;1,"n.a.",TblOutcomes[[#This Row],[Qty Wasted]]*SUMIFS(TblPurchases[Unit Cost (CLP)],TblPurchases[BatchID],TblOutcomes[[#This Row],[BatchID]]))</f>
        <v>15414</v>
      </c>
      <c r="Q720" s="51">
        <f>IF(COUNTIF(TblPurchases[BatchID],TblOutcomes[[#This Row],[BatchID]])&lt;&gt;1,"n.a.",SUMIFS(TblPurchases[Purchase Date],TblPurchases[BatchID],TblOutcomes[[#This Row],[BatchID]]))</f>
        <v>45341</v>
      </c>
    </row>
    <row r="721" spans="2:17" x14ac:dyDescent="0.25">
      <c r="B721" s="2" t="s">
        <v>1525</v>
      </c>
      <c r="C721" s="2" t="s">
        <v>146</v>
      </c>
      <c r="D721" s="2" t="s">
        <v>122</v>
      </c>
      <c r="E721" s="2" t="s">
        <v>4647</v>
      </c>
      <c r="F721" s="2">
        <v>40</v>
      </c>
      <c r="G721" s="2">
        <v>40</v>
      </c>
      <c r="H721" s="2">
        <v>0</v>
      </c>
      <c r="I721" s="1">
        <v>0</v>
      </c>
      <c r="J721" s="26">
        <v>45359</v>
      </c>
      <c r="K721" s="22">
        <v>120000</v>
      </c>
      <c r="L721" s="18">
        <v>128.34</v>
      </c>
      <c r="M721" s="22">
        <v>84000</v>
      </c>
      <c r="N721" s="22">
        <v>36000</v>
      </c>
      <c r="O721" s="18">
        <v>38.5</v>
      </c>
      <c r="P721" s="52">
        <f>IF(COUNTIF(TblPurchases[BatchID],TblOutcomes[[#This Row],[BatchID]])&lt;&gt;1,"n.a.",TblOutcomes[[#This Row],[Qty Wasted]]*SUMIFS(TblPurchases[Unit Cost (CLP)],TblPurchases[BatchID],TblOutcomes[[#This Row],[BatchID]]))</f>
        <v>0</v>
      </c>
      <c r="Q721" s="51">
        <f>IF(COUNTIF(TblPurchases[BatchID],TblOutcomes[[#This Row],[BatchID]])&lt;&gt;1,"n.a.",SUMIFS(TblPurchases[Purchase Date],TblPurchases[BatchID],TblOutcomes[[#This Row],[BatchID]]))</f>
        <v>45351</v>
      </c>
    </row>
    <row r="722" spans="2:17" x14ac:dyDescent="0.25">
      <c r="B722" s="2" t="s">
        <v>1526</v>
      </c>
      <c r="C722" s="2" t="s">
        <v>146</v>
      </c>
      <c r="D722" s="2" t="s">
        <v>122</v>
      </c>
      <c r="E722" s="2" t="s">
        <v>4647</v>
      </c>
      <c r="F722" s="2">
        <v>45</v>
      </c>
      <c r="G722" s="2">
        <v>45</v>
      </c>
      <c r="H722" s="2">
        <v>0</v>
      </c>
      <c r="I722" s="1">
        <v>0</v>
      </c>
      <c r="J722" s="26">
        <v>45370</v>
      </c>
      <c r="K722" s="22">
        <v>135000</v>
      </c>
      <c r="L722" s="18">
        <v>144.38999999999999</v>
      </c>
      <c r="M722" s="22">
        <v>94500</v>
      </c>
      <c r="N722" s="22">
        <v>40500</v>
      </c>
      <c r="O722" s="18">
        <v>43.32</v>
      </c>
      <c r="P722" s="52">
        <f>IF(COUNTIF(TblPurchases[BatchID],TblOutcomes[[#This Row],[BatchID]])&lt;&gt;1,"n.a.",TblOutcomes[[#This Row],[Qty Wasted]]*SUMIFS(TblPurchases[Unit Cost (CLP)],TblPurchases[BatchID],TblOutcomes[[#This Row],[BatchID]]))</f>
        <v>0</v>
      </c>
      <c r="Q722" s="51">
        <f>IF(COUNTIF(TblPurchases[BatchID],TblOutcomes[[#This Row],[BatchID]])&lt;&gt;1,"n.a.",SUMIFS(TblPurchases[Purchase Date],TblPurchases[BatchID],TblOutcomes[[#This Row],[BatchID]]))</f>
        <v>45361</v>
      </c>
    </row>
    <row r="723" spans="2:17" x14ac:dyDescent="0.25">
      <c r="B723" s="2" t="s">
        <v>1527</v>
      </c>
      <c r="C723" s="2" t="s">
        <v>146</v>
      </c>
      <c r="D723" s="2" t="s">
        <v>122</v>
      </c>
      <c r="E723" s="2" t="s">
        <v>4646</v>
      </c>
      <c r="F723" s="2">
        <v>38</v>
      </c>
      <c r="G723" s="2">
        <v>31.88</v>
      </c>
      <c r="H723" s="2">
        <v>6.12</v>
      </c>
      <c r="I723" s="1">
        <v>16.100000000000001</v>
      </c>
      <c r="J723" s="26">
        <v>45415</v>
      </c>
      <c r="K723" s="22">
        <v>95640</v>
      </c>
      <c r="L723" s="18">
        <v>102.29</v>
      </c>
      <c r="M723" s="22">
        <v>79800</v>
      </c>
      <c r="N723" s="22">
        <v>15840</v>
      </c>
      <c r="O723" s="18">
        <v>16.940000000000001</v>
      </c>
      <c r="P723" s="52">
        <f>IF(COUNTIF(TblPurchases[BatchID],TblOutcomes[[#This Row],[BatchID]])&lt;&gt;1,"n.a.",TblOutcomes[[#This Row],[Qty Wasted]]*SUMIFS(TblPurchases[Unit Cost (CLP)],TblPurchases[BatchID],TblOutcomes[[#This Row],[BatchID]]))</f>
        <v>12852</v>
      </c>
      <c r="Q723" s="51">
        <f>IF(COUNTIF(TblPurchases[BatchID],TblOutcomes[[#This Row],[BatchID]])&lt;&gt;1,"n.a.",SUMIFS(TblPurchases[Purchase Date],TblPurchases[BatchID],TblOutcomes[[#This Row],[BatchID]]))</f>
        <v>45370</v>
      </c>
    </row>
    <row r="724" spans="2:17" x14ac:dyDescent="0.25">
      <c r="B724" s="2" t="s">
        <v>1528</v>
      </c>
      <c r="C724" s="2" t="s">
        <v>146</v>
      </c>
      <c r="D724" s="2" t="s">
        <v>122</v>
      </c>
      <c r="E724" s="2" t="s">
        <v>4646</v>
      </c>
      <c r="F724" s="2">
        <v>36</v>
      </c>
      <c r="G724" s="2">
        <v>29.34</v>
      </c>
      <c r="H724" s="2">
        <v>6.66</v>
      </c>
      <c r="I724" s="1">
        <v>18.5</v>
      </c>
      <c r="J724" s="26">
        <v>45425</v>
      </c>
      <c r="K724" s="22">
        <v>88020</v>
      </c>
      <c r="L724" s="18">
        <v>94.14</v>
      </c>
      <c r="M724" s="22">
        <v>75600</v>
      </c>
      <c r="N724" s="22">
        <v>12420</v>
      </c>
      <c r="O724" s="18">
        <v>13.28</v>
      </c>
      <c r="P724" s="52">
        <f>IF(COUNTIF(TblPurchases[BatchID],TblOutcomes[[#This Row],[BatchID]])&lt;&gt;1,"n.a.",TblOutcomes[[#This Row],[Qty Wasted]]*SUMIFS(TblPurchases[Unit Cost (CLP)],TblPurchases[BatchID],TblOutcomes[[#This Row],[BatchID]]))</f>
        <v>13986</v>
      </c>
      <c r="Q724" s="51">
        <f>IF(COUNTIF(TblPurchases[BatchID],TblOutcomes[[#This Row],[BatchID]])&lt;&gt;1,"n.a.",SUMIFS(TblPurchases[Purchase Date],TblPurchases[BatchID],TblOutcomes[[#This Row],[BatchID]]))</f>
        <v>45380</v>
      </c>
    </row>
    <row r="725" spans="2:17" x14ac:dyDescent="0.25">
      <c r="B725" s="2" t="s">
        <v>1529</v>
      </c>
      <c r="C725" s="2" t="s">
        <v>146</v>
      </c>
      <c r="D725" s="2" t="s">
        <v>122</v>
      </c>
      <c r="E725" s="2" t="s">
        <v>4647</v>
      </c>
      <c r="F725" s="2">
        <v>14</v>
      </c>
      <c r="G725" s="2">
        <v>14</v>
      </c>
      <c r="H725" s="2">
        <v>0</v>
      </c>
      <c r="I725" s="1">
        <v>0</v>
      </c>
      <c r="J725" s="26">
        <v>45401</v>
      </c>
      <c r="K725" s="22">
        <v>42000</v>
      </c>
      <c r="L725" s="18">
        <v>44.92</v>
      </c>
      <c r="M725" s="22">
        <v>29400</v>
      </c>
      <c r="N725" s="22">
        <v>12600</v>
      </c>
      <c r="O725" s="18">
        <v>13.48</v>
      </c>
      <c r="P725" s="52">
        <f>IF(COUNTIF(TblPurchases[BatchID],TblOutcomes[[#This Row],[BatchID]])&lt;&gt;1,"n.a.",TblOutcomes[[#This Row],[Qty Wasted]]*SUMIFS(TblPurchases[Unit Cost (CLP)],TblPurchases[BatchID],TblOutcomes[[#This Row],[BatchID]]))</f>
        <v>0</v>
      </c>
      <c r="Q725" s="51">
        <f>IF(COUNTIF(TblPurchases[BatchID],TblOutcomes[[#This Row],[BatchID]])&lt;&gt;1,"n.a.",SUMIFS(TblPurchases[Purchase Date],TblPurchases[BatchID],TblOutcomes[[#This Row],[BatchID]]))</f>
        <v>45390</v>
      </c>
    </row>
    <row r="726" spans="2:17" x14ac:dyDescent="0.25">
      <c r="B726" s="2" t="s">
        <v>1530</v>
      </c>
      <c r="C726" s="2" t="s">
        <v>146</v>
      </c>
      <c r="D726" s="2" t="s">
        <v>122</v>
      </c>
      <c r="E726" s="2" t="s">
        <v>4646</v>
      </c>
      <c r="F726" s="2">
        <v>15</v>
      </c>
      <c r="G726" s="2">
        <v>11.94</v>
      </c>
      <c r="H726" s="2">
        <v>3.06</v>
      </c>
      <c r="I726" s="1">
        <v>20.399999999999999</v>
      </c>
      <c r="J726" s="26">
        <v>45444</v>
      </c>
      <c r="K726" s="22">
        <v>35820</v>
      </c>
      <c r="L726" s="18">
        <v>38.31</v>
      </c>
      <c r="M726" s="22">
        <v>32250</v>
      </c>
      <c r="N726" s="22">
        <v>3570</v>
      </c>
      <c r="O726" s="18">
        <v>3.82</v>
      </c>
      <c r="P726" s="52">
        <f>IF(COUNTIF(TblPurchases[BatchID],TblOutcomes[[#This Row],[BatchID]])&lt;&gt;1,"n.a.",TblOutcomes[[#This Row],[Qty Wasted]]*SUMIFS(TblPurchases[Unit Cost (CLP)],TblPurchases[BatchID],TblOutcomes[[#This Row],[BatchID]]))</f>
        <v>6579</v>
      </c>
      <c r="Q726" s="51">
        <f>IF(COUNTIF(TblPurchases[BatchID],TblOutcomes[[#This Row],[BatchID]])&lt;&gt;1,"n.a.",SUMIFS(TblPurchases[Purchase Date],TblPurchases[BatchID],TblOutcomes[[#This Row],[BatchID]]))</f>
        <v>45399</v>
      </c>
    </row>
    <row r="727" spans="2:17" x14ac:dyDescent="0.25">
      <c r="B727" s="2" t="s">
        <v>1531</v>
      </c>
      <c r="C727" s="2" t="s">
        <v>146</v>
      </c>
      <c r="D727" s="2" t="s">
        <v>122</v>
      </c>
      <c r="E727" s="2" t="s">
        <v>4646</v>
      </c>
      <c r="F727" s="2">
        <v>13</v>
      </c>
      <c r="G727" s="2">
        <v>10.8</v>
      </c>
      <c r="H727" s="2">
        <v>2.2000000000000002</v>
      </c>
      <c r="I727" s="1">
        <v>16.899999999999999</v>
      </c>
      <c r="J727" s="26">
        <v>45455</v>
      </c>
      <c r="K727" s="22">
        <v>32400</v>
      </c>
      <c r="L727" s="18">
        <v>34.65</v>
      </c>
      <c r="M727" s="22">
        <v>27300</v>
      </c>
      <c r="N727" s="22">
        <v>5100</v>
      </c>
      <c r="O727" s="18">
        <v>5.45</v>
      </c>
      <c r="P727" s="52">
        <f>IF(COUNTIF(TblPurchases[BatchID],TblOutcomes[[#This Row],[BatchID]])&lt;&gt;1,"n.a.",TblOutcomes[[#This Row],[Qty Wasted]]*SUMIFS(TblPurchases[Unit Cost (CLP)],TblPurchases[BatchID],TblOutcomes[[#This Row],[BatchID]]))</f>
        <v>4620</v>
      </c>
      <c r="Q727" s="51">
        <f>IF(COUNTIF(TblPurchases[BatchID],TblOutcomes[[#This Row],[BatchID]])&lt;&gt;1,"n.a.",SUMIFS(TblPurchases[Purchase Date],TblPurchases[BatchID],TblOutcomes[[#This Row],[BatchID]]))</f>
        <v>45410</v>
      </c>
    </row>
    <row r="728" spans="2:17" x14ac:dyDescent="0.25">
      <c r="B728" s="2" t="s">
        <v>1532</v>
      </c>
      <c r="C728" s="2" t="s">
        <v>146</v>
      </c>
      <c r="D728" s="2" t="s">
        <v>122</v>
      </c>
      <c r="E728" s="2" t="s">
        <v>4646</v>
      </c>
      <c r="F728" s="2">
        <v>14</v>
      </c>
      <c r="G728" s="2">
        <v>11.69</v>
      </c>
      <c r="H728" s="2">
        <v>2.31</v>
      </c>
      <c r="I728" s="1">
        <v>16.5</v>
      </c>
      <c r="J728" s="26">
        <v>45465</v>
      </c>
      <c r="K728" s="22">
        <v>35070</v>
      </c>
      <c r="L728" s="18">
        <v>37.51</v>
      </c>
      <c r="M728" s="22">
        <v>29400</v>
      </c>
      <c r="N728" s="22">
        <v>5670</v>
      </c>
      <c r="O728" s="18">
        <v>6.06</v>
      </c>
      <c r="P728" s="52">
        <f>IF(COUNTIF(TblPurchases[BatchID],TblOutcomes[[#This Row],[BatchID]])&lt;&gt;1,"n.a.",TblOutcomes[[#This Row],[Qty Wasted]]*SUMIFS(TblPurchases[Unit Cost (CLP)],TblPurchases[BatchID],TblOutcomes[[#This Row],[BatchID]]))</f>
        <v>4851</v>
      </c>
      <c r="Q728" s="51">
        <f>IF(COUNTIF(TblPurchases[BatchID],TblOutcomes[[#This Row],[BatchID]])&lt;&gt;1,"n.a.",SUMIFS(TblPurchases[Purchase Date],TblPurchases[BatchID],TblOutcomes[[#This Row],[BatchID]]))</f>
        <v>45420</v>
      </c>
    </row>
    <row r="729" spans="2:17" x14ac:dyDescent="0.25">
      <c r="B729" s="2" t="s">
        <v>1533</v>
      </c>
      <c r="C729" s="2" t="s">
        <v>146</v>
      </c>
      <c r="D729" s="2" t="s">
        <v>122</v>
      </c>
      <c r="E729" s="2" t="s">
        <v>4646</v>
      </c>
      <c r="F729" s="2">
        <v>15</v>
      </c>
      <c r="G729" s="2">
        <v>12.19</v>
      </c>
      <c r="H729" s="2">
        <v>2.81</v>
      </c>
      <c r="I729" s="1">
        <v>18.7</v>
      </c>
      <c r="J729" s="26">
        <v>45473</v>
      </c>
      <c r="K729" s="22">
        <v>36570</v>
      </c>
      <c r="L729" s="18">
        <v>39.11</v>
      </c>
      <c r="M729" s="22">
        <v>32250</v>
      </c>
      <c r="N729" s="22">
        <v>4320</v>
      </c>
      <c r="O729" s="18">
        <v>4.62</v>
      </c>
      <c r="P729" s="52">
        <f>IF(COUNTIF(TblPurchases[BatchID],TblOutcomes[[#This Row],[BatchID]])&lt;&gt;1,"n.a.",TblOutcomes[[#This Row],[Qty Wasted]]*SUMIFS(TblPurchases[Unit Cost (CLP)],TblPurchases[BatchID],TblOutcomes[[#This Row],[BatchID]]))</f>
        <v>6041.5</v>
      </c>
      <c r="Q729" s="51">
        <f>IF(COUNTIF(TblPurchases[BatchID],TblOutcomes[[#This Row],[BatchID]])&lt;&gt;1,"n.a.",SUMIFS(TblPurchases[Purchase Date],TblPurchases[BatchID],TblOutcomes[[#This Row],[BatchID]]))</f>
        <v>45428</v>
      </c>
    </row>
    <row r="730" spans="2:17" x14ac:dyDescent="0.25">
      <c r="B730" s="2" t="s">
        <v>1534</v>
      </c>
      <c r="C730" s="2" t="s">
        <v>146</v>
      </c>
      <c r="D730" s="2" t="s">
        <v>122</v>
      </c>
      <c r="E730" s="2" t="s">
        <v>4647</v>
      </c>
      <c r="F730" s="2">
        <v>16</v>
      </c>
      <c r="G730" s="2">
        <v>16</v>
      </c>
      <c r="H730" s="2">
        <v>0</v>
      </c>
      <c r="I730" s="1">
        <v>0</v>
      </c>
      <c r="J730" s="26">
        <v>45444</v>
      </c>
      <c r="K730" s="22">
        <v>48000</v>
      </c>
      <c r="L730" s="18">
        <v>51.34</v>
      </c>
      <c r="M730" s="22">
        <v>33600</v>
      </c>
      <c r="N730" s="22">
        <v>14400</v>
      </c>
      <c r="O730" s="18">
        <v>15.4</v>
      </c>
      <c r="P730" s="52">
        <f>IF(COUNTIF(TblPurchases[BatchID],TblOutcomes[[#This Row],[BatchID]])&lt;&gt;1,"n.a.",TblOutcomes[[#This Row],[Qty Wasted]]*SUMIFS(TblPurchases[Unit Cost (CLP)],TblPurchases[BatchID],TblOutcomes[[#This Row],[BatchID]]))</f>
        <v>0</v>
      </c>
      <c r="Q730" s="51">
        <f>IF(COUNTIF(TblPurchases[BatchID],TblOutcomes[[#This Row],[BatchID]])&lt;&gt;1,"n.a.",SUMIFS(TblPurchases[Purchase Date],TblPurchases[BatchID],TblOutcomes[[#This Row],[BatchID]]))</f>
        <v>45435</v>
      </c>
    </row>
    <row r="731" spans="2:17" x14ac:dyDescent="0.25">
      <c r="B731" s="2" t="s">
        <v>1535</v>
      </c>
      <c r="C731" s="2" t="s">
        <v>146</v>
      </c>
      <c r="D731" s="2" t="s">
        <v>122</v>
      </c>
      <c r="E731" s="2" t="s">
        <v>4646</v>
      </c>
      <c r="F731" s="2">
        <v>13</v>
      </c>
      <c r="G731" s="2">
        <v>10.41</v>
      </c>
      <c r="H731" s="2">
        <v>2.59</v>
      </c>
      <c r="I731" s="1">
        <v>19.899999999999999</v>
      </c>
      <c r="J731" s="26">
        <v>45490</v>
      </c>
      <c r="K731" s="22">
        <v>31230</v>
      </c>
      <c r="L731" s="18">
        <v>33.4</v>
      </c>
      <c r="M731" s="22">
        <v>27300</v>
      </c>
      <c r="N731" s="22">
        <v>3930</v>
      </c>
      <c r="O731" s="18">
        <v>4.2</v>
      </c>
      <c r="P731" s="52">
        <f>IF(COUNTIF(TblPurchases[BatchID],TblOutcomes[[#This Row],[BatchID]])&lt;&gt;1,"n.a.",TblOutcomes[[#This Row],[Qty Wasted]]*SUMIFS(TblPurchases[Unit Cost (CLP)],TblPurchases[BatchID],TblOutcomes[[#This Row],[BatchID]]))</f>
        <v>5439</v>
      </c>
      <c r="Q731" s="51">
        <f>IF(COUNTIF(TblPurchases[BatchID],TblOutcomes[[#This Row],[BatchID]])&lt;&gt;1,"n.a.",SUMIFS(TblPurchases[Purchase Date],TblPurchases[BatchID],TblOutcomes[[#This Row],[BatchID]]))</f>
        <v>45445</v>
      </c>
    </row>
    <row r="732" spans="2:17" x14ac:dyDescent="0.25">
      <c r="B732" s="2" t="s">
        <v>1536</v>
      </c>
      <c r="C732" s="2" t="s">
        <v>146</v>
      </c>
      <c r="D732" s="2" t="s">
        <v>122</v>
      </c>
      <c r="E732" s="2" t="s">
        <v>4647</v>
      </c>
      <c r="F732" s="2">
        <v>16</v>
      </c>
      <c r="G732" s="2">
        <v>16</v>
      </c>
      <c r="H732" s="2">
        <v>0</v>
      </c>
      <c r="I732" s="1">
        <v>0</v>
      </c>
      <c r="J732" s="26">
        <v>45461</v>
      </c>
      <c r="K732" s="22">
        <v>48000</v>
      </c>
      <c r="L732" s="18">
        <v>51.34</v>
      </c>
      <c r="M732" s="22">
        <v>33600</v>
      </c>
      <c r="N732" s="22">
        <v>14400</v>
      </c>
      <c r="O732" s="18">
        <v>15.4</v>
      </c>
      <c r="P732" s="52">
        <f>IF(COUNTIF(TblPurchases[BatchID],TblOutcomes[[#This Row],[BatchID]])&lt;&gt;1,"n.a.",TblOutcomes[[#This Row],[Qty Wasted]]*SUMIFS(TblPurchases[Unit Cost (CLP)],TblPurchases[BatchID],TblOutcomes[[#This Row],[BatchID]]))</f>
        <v>0</v>
      </c>
      <c r="Q732" s="51">
        <f>IF(COUNTIF(TblPurchases[BatchID],TblOutcomes[[#This Row],[BatchID]])&lt;&gt;1,"n.a.",SUMIFS(TblPurchases[Purchase Date],TblPurchases[BatchID],TblOutcomes[[#This Row],[BatchID]]))</f>
        <v>45454</v>
      </c>
    </row>
    <row r="733" spans="2:17" x14ac:dyDescent="0.25">
      <c r="B733" s="2" t="s">
        <v>1537</v>
      </c>
      <c r="C733" s="2" t="s">
        <v>146</v>
      </c>
      <c r="D733" s="2" t="s">
        <v>122</v>
      </c>
      <c r="E733" s="2" t="s">
        <v>4646</v>
      </c>
      <c r="F733" s="2">
        <v>14</v>
      </c>
      <c r="G733" s="2">
        <v>9.77</v>
      </c>
      <c r="H733" s="2">
        <v>4.2300000000000004</v>
      </c>
      <c r="I733" s="1">
        <v>30.2</v>
      </c>
      <c r="J733" s="26">
        <v>45510</v>
      </c>
      <c r="K733" s="22">
        <v>29310</v>
      </c>
      <c r="L733" s="18">
        <v>31.35</v>
      </c>
      <c r="M733" s="22">
        <v>29400</v>
      </c>
      <c r="N733" s="22">
        <v>-90</v>
      </c>
      <c r="O733" s="18">
        <v>-0.1</v>
      </c>
      <c r="P733" s="52">
        <f>IF(COUNTIF(TblPurchases[BatchID],TblOutcomes[[#This Row],[BatchID]])&lt;&gt;1,"n.a.",TblOutcomes[[#This Row],[Qty Wasted]]*SUMIFS(TblPurchases[Unit Cost (CLP)],TblPurchases[BatchID],TblOutcomes[[#This Row],[BatchID]]))</f>
        <v>8883</v>
      </c>
      <c r="Q733" s="51">
        <f>IF(COUNTIF(TblPurchases[BatchID],TblOutcomes[[#This Row],[BatchID]])&lt;&gt;1,"n.a.",SUMIFS(TblPurchases[Purchase Date],TblPurchases[BatchID],TblOutcomes[[#This Row],[BatchID]]))</f>
        <v>45465</v>
      </c>
    </row>
    <row r="734" spans="2:17" x14ac:dyDescent="0.25">
      <c r="B734" s="2" t="s">
        <v>1538</v>
      </c>
      <c r="C734" s="2" t="s">
        <v>146</v>
      </c>
      <c r="D734" s="2" t="s">
        <v>122</v>
      </c>
      <c r="E734" s="2" t="s">
        <v>4647</v>
      </c>
      <c r="F734" s="2">
        <v>14</v>
      </c>
      <c r="G734" s="2">
        <v>14</v>
      </c>
      <c r="H734" s="2">
        <v>0</v>
      </c>
      <c r="I734" s="1">
        <v>0</v>
      </c>
      <c r="J734" s="26">
        <v>45482</v>
      </c>
      <c r="K734" s="22">
        <v>42000</v>
      </c>
      <c r="L734" s="18">
        <v>44.92</v>
      </c>
      <c r="M734" s="22">
        <v>30100</v>
      </c>
      <c r="N734" s="22">
        <v>11900</v>
      </c>
      <c r="O734" s="18">
        <v>12.73</v>
      </c>
      <c r="P734" s="52">
        <f>IF(COUNTIF(TblPurchases[BatchID],TblOutcomes[[#This Row],[BatchID]])&lt;&gt;1,"n.a.",TblOutcomes[[#This Row],[Qty Wasted]]*SUMIFS(TblPurchases[Unit Cost (CLP)],TblPurchases[BatchID],TblOutcomes[[#This Row],[BatchID]]))</f>
        <v>0</v>
      </c>
      <c r="Q734" s="51">
        <f>IF(COUNTIF(TblPurchases[BatchID],TblOutcomes[[#This Row],[BatchID]])&lt;&gt;1,"n.a.",SUMIFS(TblPurchases[Purchase Date],TblPurchases[BatchID],TblOutcomes[[#This Row],[BatchID]]))</f>
        <v>45476</v>
      </c>
    </row>
    <row r="735" spans="2:17" x14ac:dyDescent="0.25">
      <c r="B735" s="2" t="s">
        <v>1539</v>
      </c>
      <c r="C735" s="2" t="s">
        <v>146</v>
      </c>
      <c r="D735" s="2" t="s">
        <v>122</v>
      </c>
      <c r="E735" s="2" t="s">
        <v>4647</v>
      </c>
      <c r="F735" s="2">
        <v>14</v>
      </c>
      <c r="G735" s="2">
        <v>14</v>
      </c>
      <c r="H735" s="2">
        <v>0</v>
      </c>
      <c r="I735" s="1">
        <v>0</v>
      </c>
      <c r="J735" s="26">
        <v>45489</v>
      </c>
      <c r="K735" s="22">
        <v>42000</v>
      </c>
      <c r="L735" s="18">
        <v>44.92</v>
      </c>
      <c r="M735" s="22">
        <v>29400</v>
      </c>
      <c r="N735" s="22">
        <v>12600</v>
      </c>
      <c r="O735" s="18">
        <v>13.48</v>
      </c>
      <c r="P735" s="52">
        <f>IF(COUNTIF(TblPurchases[BatchID],TblOutcomes[[#This Row],[BatchID]])&lt;&gt;1,"n.a.",TblOutcomes[[#This Row],[Qty Wasted]]*SUMIFS(TblPurchases[Unit Cost (CLP)],TblPurchases[BatchID],TblOutcomes[[#This Row],[BatchID]]))</f>
        <v>0</v>
      </c>
      <c r="Q735" s="51">
        <f>IF(COUNTIF(TblPurchases[BatchID],TblOutcomes[[#This Row],[BatchID]])&lt;&gt;1,"n.a.",SUMIFS(TblPurchases[Purchase Date],TblPurchases[BatchID],TblOutcomes[[#This Row],[BatchID]]))</f>
        <v>45485</v>
      </c>
    </row>
    <row r="736" spans="2:17" x14ac:dyDescent="0.25">
      <c r="B736" s="2" t="s">
        <v>1540</v>
      </c>
      <c r="C736" s="2" t="s">
        <v>146</v>
      </c>
      <c r="D736" s="2" t="s">
        <v>122</v>
      </c>
      <c r="E736" s="2" t="s">
        <v>4646</v>
      </c>
      <c r="F736" s="2">
        <v>15</v>
      </c>
      <c r="G736" s="2">
        <v>12.38</v>
      </c>
      <c r="H736" s="2">
        <v>2.62</v>
      </c>
      <c r="I736" s="1">
        <v>17.5</v>
      </c>
      <c r="J736" s="26">
        <v>45540</v>
      </c>
      <c r="K736" s="22">
        <v>37140</v>
      </c>
      <c r="L736" s="18">
        <v>39.72</v>
      </c>
      <c r="M736" s="22">
        <v>31500</v>
      </c>
      <c r="N736" s="22">
        <v>5640</v>
      </c>
      <c r="O736" s="18">
        <v>6.03</v>
      </c>
      <c r="P736" s="52">
        <f>IF(COUNTIF(TblPurchases[BatchID],TblOutcomes[[#This Row],[BatchID]])&lt;&gt;1,"n.a.",TblOutcomes[[#This Row],[Qty Wasted]]*SUMIFS(TblPurchases[Unit Cost (CLP)],TblPurchases[BatchID],TblOutcomes[[#This Row],[BatchID]]))</f>
        <v>5502</v>
      </c>
      <c r="Q736" s="51">
        <f>IF(COUNTIF(TblPurchases[BatchID],TblOutcomes[[#This Row],[BatchID]])&lt;&gt;1,"n.a.",SUMIFS(TblPurchases[Purchase Date],TblPurchases[BatchID],TblOutcomes[[#This Row],[BatchID]]))</f>
        <v>45495</v>
      </c>
    </row>
    <row r="737" spans="2:17" x14ac:dyDescent="0.25">
      <c r="B737" s="2" t="s">
        <v>1541</v>
      </c>
      <c r="C737" s="2" t="s">
        <v>146</v>
      </c>
      <c r="D737" s="2" t="s">
        <v>122</v>
      </c>
      <c r="E737" s="2" t="s">
        <v>4647</v>
      </c>
      <c r="F737" s="2">
        <v>14</v>
      </c>
      <c r="G737" s="2">
        <v>14</v>
      </c>
      <c r="H737" s="2">
        <v>0</v>
      </c>
      <c r="I737" s="1">
        <v>0</v>
      </c>
      <c r="J737" s="26">
        <v>45515</v>
      </c>
      <c r="K737" s="22">
        <v>42000</v>
      </c>
      <c r="L737" s="18">
        <v>44.92</v>
      </c>
      <c r="M737" s="22">
        <v>29400</v>
      </c>
      <c r="N737" s="22">
        <v>12600</v>
      </c>
      <c r="O737" s="18">
        <v>13.48</v>
      </c>
      <c r="P737" s="52">
        <f>IF(COUNTIF(TblPurchases[BatchID],TblOutcomes[[#This Row],[BatchID]])&lt;&gt;1,"n.a.",TblOutcomes[[#This Row],[Qty Wasted]]*SUMIFS(TblPurchases[Unit Cost (CLP)],TblPurchases[BatchID],TblOutcomes[[#This Row],[BatchID]]))</f>
        <v>0</v>
      </c>
      <c r="Q737" s="51">
        <f>IF(COUNTIF(TblPurchases[BatchID],TblOutcomes[[#This Row],[BatchID]])&lt;&gt;1,"n.a.",SUMIFS(TblPurchases[Purchase Date],TblPurchases[BatchID],TblOutcomes[[#This Row],[BatchID]]))</f>
        <v>45504</v>
      </c>
    </row>
    <row r="738" spans="2:17" x14ac:dyDescent="0.25">
      <c r="B738" s="2" t="s">
        <v>1542</v>
      </c>
      <c r="C738" s="2" t="s">
        <v>146</v>
      </c>
      <c r="D738" s="2" t="s">
        <v>122</v>
      </c>
      <c r="E738" s="2" t="s">
        <v>4647</v>
      </c>
      <c r="F738" s="2">
        <v>16</v>
      </c>
      <c r="G738" s="2">
        <v>16</v>
      </c>
      <c r="H738" s="2">
        <v>0</v>
      </c>
      <c r="I738" s="1">
        <v>0</v>
      </c>
      <c r="J738" s="26">
        <v>45525</v>
      </c>
      <c r="K738" s="22">
        <v>48000</v>
      </c>
      <c r="L738" s="18">
        <v>51.34</v>
      </c>
      <c r="M738" s="22">
        <v>33600</v>
      </c>
      <c r="N738" s="22">
        <v>14400</v>
      </c>
      <c r="O738" s="18">
        <v>15.4</v>
      </c>
      <c r="P738" s="52">
        <f>IF(COUNTIF(TblPurchases[BatchID],TblOutcomes[[#This Row],[BatchID]])&lt;&gt;1,"n.a.",TblOutcomes[[#This Row],[Qty Wasted]]*SUMIFS(TblPurchases[Unit Cost (CLP)],TblPurchases[BatchID],TblOutcomes[[#This Row],[BatchID]]))</f>
        <v>0</v>
      </c>
      <c r="Q738" s="51">
        <f>IF(COUNTIF(TblPurchases[BatchID],TblOutcomes[[#This Row],[BatchID]])&lt;&gt;1,"n.a.",SUMIFS(TblPurchases[Purchase Date],TblPurchases[BatchID],TblOutcomes[[#This Row],[BatchID]]))</f>
        <v>45514</v>
      </c>
    </row>
    <row r="739" spans="2:17" x14ac:dyDescent="0.25">
      <c r="B739" s="2" t="s">
        <v>1543</v>
      </c>
      <c r="C739" s="2" t="s">
        <v>146</v>
      </c>
      <c r="D739" s="2" t="s">
        <v>122</v>
      </c>
      <c r="E739" s="2" t="s">
        <v>4647</v>
      </c>
      <c r="F739" s="2">
        <v>14</v>
      </c>
      <c r="G739" s="2">
        <v>14</v>
      </c>
      <c r="H739" s="2">
        <v>0</v>
      </c>
      <c r="I739" s="1">
        <v>0</v>
      </c>
      <c r="J739" s="26">
        <v>45529</v>
      </c>
      <c r="K739" s="22">
        <v>42000</v>
      </c>
      <c r="L739" s="18">
        <v>44.92</v>
      </c>
      <c r="M739" s="22">
        <v>29400</v>
      </c>
      <c r="N739" s="22">
        <v>12600</v>
      </c>
      <c r="O739" s="18">
        <v>13.48</v>
      </c>
      <c r="P739" s="52">
        <f>IF(COUNTIF(TblPurchases[BatchID],TblOutcomes[[#This Row],[BatchID]])&lt;&gt;1,"n.a.",TblOutcomes[[#This Row],[Qty Wasted]]*SUMIFS(TblPurchases[Unit Cost (CLP)],TblPurchases[BatchID],TblOutcomes[[#This Row],[BatchID]]))</f>
        <v>0</v>
      </c>
      <c r="Q739" s="51">
        <f>IF(COUNTIF(TblPurchases[BatchID],TblOutcomes[[#This Row],[BatchID]])&lt;&gt;1,"n.a.",SUMIFS(TblPurchases[Purchase Date],TblPurchases[BatchID],TblOutcomes[[#This Row],[BatchID]]))</f>
        <v>45520</v>
      </c>
    </row>
    <row r="740" spans="2:17" x14ac:dyDescent="0.25">
      <c r="B740" s="2" t="s">
        <v>1544</v>
      </c>
      <c r="C740" s="2" t="s">
        <v>146</v>
      </c>
      <c r="D740" s="2" t="s">
        <v>122</v>
      </c>
      <c r="E740" s="2" t="s">
        <v>4646</v>
      </c>
      <c r="F740" s="2">
        <v>16</v>
      </c>
      <c r="G740" s="2">
        <v>10.45</v>
      </c>
      <c r="H740" s="2">
        <v>5.55</v>
      </c>
      <c r="I740" s="1">
        <v>34.700000000000003</v>
      </c>
      <c r="J740" s="26">
        <v>45575</v>
      </c>
      <c r="K740" s="22">
        <v>31350</v>
      </c>
      <c r="L740" s="18">
        <v>33.53</v>
      </c>
      <c r="M740" s="22">
        <v>33600</v>
      </c>
      <c r="N740" s="22">
        <v>-2250</v>
      </c>
      <c r="O740" s="18">
        <v>-2.41</v>
      </c>
      <c r="P740" s="52">
        <f>IF(COUNTIF(TblPurchases[BatchID],TblOutcomes[[#This Row],[BatchID]])&lt;&gt;1,"n.a.",TblOutcomes[[#This Row],[Qty Wasted]]*SUMIFS(TblPurchases[Unit Cost (CLP)],TblPurchases[BatchID],TblOutcomes[[#This Row],[BatchID]]))</f>
        <v>11655</v>
      </c>
      <c r="Q740" s="51">
        <f>IF(COUNTIF(TblPurchases[BatchID],TblOutcomes[[#This Row],[BatchID]])&lt;&gt;1,"n.a.",SUMIFS(TblPurchases[Purchase Date],TblPurchases[BatchID],TblOutcomes[[#This Row],[BatchID]]))</f>
        <v>45530</v>
      </c>
    </row>
    <row r="741" spans="2:17" x14ac:dyDescent="0.25">
      <c r="B741" s="2" t="s">
        <v>1545</v>
      </c>
      <c r="C741" s="2" t="s">
        <v>146</v>
      </c>
      <c r="D741" s="2" t="s">
        <v>122</v>
      </c>
      <c r="E741" s="2" t="s">
        <v>4646</v>
      </c>
      <c r="F741" s="2">
        <v>18</v>
      </c>
      <c r="G741" s="2">
        <v>15.46</v>
      </c>
      <c r="H741" s="2">
        <v>2.54</v>
      </c>
      <c r="I741" s="1">
        <v>14.1</v>
      </c>
      <c r="J741" s="26">
        <v>45585</v>
      </c>
      <c r="K741" s="22">
        <v>46380</v>
      </c>
      <c r="L741" s="18">
        <v>49.6</v>
      </c>
      <c r="M741" s="22">
        <v>37800</v>
      </c>
      <c r="N741" s="22">
        <v>8580</v>
      </c>
      <c r="O741" s="18">
        <v>9.18</v>
      </c>
      <c r="P741" s="52">
        <f>IF(COUNTIF(TblPurchases[BatchID],TblOutcomes[[#This Row],[BatchID]])&lt;&gt;1,"n.a.",TblOutcomes[[#This Row],[Qty Wasted]]*SUMIFS(TblPurchases[Unit Cost (CLP)],TblPurchases[BatchID],TblOutcomes[[#This Row],[BatchID]]))</f>
        <v>5334</v>
      </c>
      <c r="Q741" s="51">
        <f>IF(COUNTIF(TblPurchases[BatchID],TblOutcomes[[#This Row],[BatchID]])&lt;&gt;1,"n.a.",SUMIFS(TblPurchases[Purchase Date],TblPurchases[BatchID],TblOutcomes[[#This Row],[BatchID]]))</f>
        <v>45540</v>
      </c>
    </row>
    <row r="742" spans="2:17" x14ac:dyDescent="0.25">
      <c r="B742" s="2" t="s">
        <v>1546</v>
      </c>
      <c r="C742" s="2" t="s">
        <v>146</v>
      </c>
      <c r="D742" s="2" t="s">
        <v>122</v>
      </c>
      <c r="E742" s="2" t="s">
        <v>4646</v>
      </c>
      <c r="F742" s="2">
        <v>19</v>
      </c>
      <c r="G742" s="2">
        <v>18.3</v>
      </c>
      <c r="H742" s="2">
        <v>0.7</v>
      </c>
      <c r="I742" s="1">
        <v>3.7</v>
      </c>
      <c r="J742" s="26">
        <v>45596</v>
      </c>
      <c r="K742" s="22">
        <v>54900</v>
      </c>
      <c r="L742" s="18">
        <v>58.72</v>
      </c>
      <c r="M742" s="22">
        <v>39900</v>
      </c>
      <c r="N742" s="22">
        <v>15000</v>
      </c>
      <c r="O742" s="18">
        <v>16.04</v>
      </c>
      <c r="P742" s="52">
        <f>IF(COUNTIF(TblPurchases[BatchID],TblOutcomes[[#This Row],[BatchID]])&lt;&gt;1,"n.a.",TblOutcomes[[#This Row],[Qty Wasted]]*SUMIFS(TblPurchases[Unit Cost (CLP)],TblPurchases[BatchID],TblOutcomes[[#This Row],[BatchID]]))</f>
        <v>1470</v>
      </c>
      <c r="Q742" s="51">
        <f>IF(COUNTIF(TblPurchases[BatchID],TblOutcomes[[#This Row],[BatchID]])&lt;&gt;1,"n.a.",SUMIFS(TblPurchases[Purchase Date],TblPurchases[BatchID],TblOutcomes[[#This Row],[BatchID]]))</f>
        <v>45551</v>
      </c>
    </row>
    <row r="743" spans="2:17" x14ac:dyDescent="0.25">
      <c r="B743" s="2" t="s">
        <v>1547</v>
      </c>
      <c r="C743" s="2" t="s">
        <v>146</v>
      </c>
      <c r="D743" s="2" t="s">
        <v>122</v>
      </c>
      <c r="E743" s="2" t="s">
        <v>4647</v>
      </c>
      <c r="F743" s="2">
        <v>20</v>
      </c>
      <c r="G743" s="2">
        <v>20</v>
      </c>
      <c r="H743" s="2">
        <v>0</v>
      </c>
      <c r="I743" s="1">
        <v>0</v>
      </c>
      <c r="J743" s="26">
        <v>45571</v>
      </c>
      <c r="K743" s="22">
        <v>60000</v>
      </c>
      <c r="L743" s="18">
        <v>64.17</v>
      </c>
      <c r="M743" s="22">
        <v>42000</v>
      </c>
      <c r="N743" s="22">
        <v>18000</v>
      </c>
      <c r="O743" s="18">
        <v>19.25</v>
      </c>
      <c r="P743" s="52">
        <f>IF(COUNTIF(TblPurchases[BatchID],TblOutcomes[[#This Row],[BatchID]])&lt;&gt;1,"n.a.",TblOutcomes[[#This Row],[Qty Wasted]]*SUMIFS(TblPurchases[Unit Cost (CLP)],TblPurchases[BatchID],TblOutcomes[[#This Row],[BatchID]]))</f>
        <v>0</v>
      </c>
      <c r="Q743" s="51">
        <f>IF(COUNTIF(TblPurchases[BatchID],TblOutcomes[[#This Row],[BatchID]])&lt;&gt;1,"n.a.",SUMIFS(TblPurchases[Purchase Date],TblPurchases[BatchID],TblOutcomes[[#This Row],[BatchID]]))</f>
        <v>45563</v>
      </c>
    </row>
    <row r="744" spans="2:17" x14ac:dyDescent="0.25">
      <c r="B744" s="2" t="s">
        <v>1548</v>
      </c>
      <c r="C744" s="2" t="s">
        <v>146</v>
      </c>
      <c r="D744" s="2" t="s">
        <v>122</v>
      </c>
      <c r="E744" s="2" t="s">
        <v>4647</v>
      </c>
      <c r="F744" s="2">
        <v>41</v>
      </c>
      <c r="G744" s="2">
        <v>41</v>
      </c>
      <c r="H744" s="2">
        <v>0</v>
      </c>
      <c r="I744" s="1">
        <v>0</v>
      </c>
      <c r="J744" s="26">
        <v>45582</v>
      </c>
      <c r="K744" s="22">
        <v>123000</v>
      </c>
      <c r="L744" s="18">
        <v>131.55000000000001</v>
      </c>
      <c r="M744" s="22">
        <v>86100</v>
      </c>
      <c r="N744" s="22">
        <v>36900</v>
      </c>
      <c r="O744" s="18">
        <v>39.47</v>
      </c>
      <c r="P744" s="52">
        <f>IF(COUNTIF(TblPurchases[BatchID],TblOutcomes[[#This Row],[BatchID]])&lt;&gt;1,"n.a.",TblOutcomes[[#This Row],[Qty Wasted]]*SUMIFS(TblPurchases[Unit Cost (CLP)],TblPurchases[BatchID],TblOutcomes[[#This Row],[BatchID]]))</f>
        <v>0</v>
      </c>
      <c r="Q744" s="51">
        <f>IF(COUNTIF(TblPurchases[BatchID],TblOutcomes[[#This Row],[BatchID]])&lt;&gt;1,"n.a.",SUMIFS(TblPurchases[Purchase Date],TblPurchases[BatchID],TblOutcomes[[#This Row],[BatchID]]))</f>
        <v>45573</v>
      </c>
    </row>
    <row r="745" spans="2:17" x14ac:dyDescent="0.25">
      <c r="B745" s="2" t="s">
        <v>1549</v>
      </c>
      <c r="C745" s="2" t="s">
        <v>146</v>
      </c>
      <c r="D745" s="2" t="s">
        <v>122</v>
      </c>
      <c r="E745" s="2" t="s">
        <v>4647</v>
      </c>
      <c r="F745" s="2">
        <v>44</v>
      </c>
      <c r="G745" s="2">
        <v>44</v>
      </c>
      <c r="H745" s="2">
        <v>0</v>
      </c>
      <c r="I745" s="1">
        <v>0</v>
      </c>
      <c r="J745" s="26">
        <v>45592</v>
      </c>
      <c r="K745" s="22">
        <v>132000</v>
      </c>
      <c r="L745" s="18">
        <v>141.18</v>
      </c>
      <c r="M745" s="22">
        <v>92400</v>
      </c>
      <c r="N745" s="22">
        <v>39600</v>
      </c>
      <c r="O745" s="18">
        <v>42.35</v>
      </c>
      <c r="P745" s="52">
        <f>IF(COUNTIF(TblPurchases[BatchID],TblOutcomes[[#This Row],[BatchID]])&lt;&gt;1,"n.a.",TblOutcomes[[#This Row],[Qty Wasted]]*SUMIFS(TblPurchases[Unit Cost (CLP)],TblPurchases[BatchID],TblOutcomes[[#This Row],[BatchID]]))</f>
        <v>0</v>
      </c>
      <c r="Q745" s="51">
        <f>IF(COUNTIF(TblPurchases[BatchID],TblOutcomes[[#This Row],[BatchID]])&lt;&gt;1,"n.a.",SUMIFS(TblPurchases[Purchase Date],TblPurchases[BatchID],TblOutcomes[[#This Row],[BatchID]]))</f>
        <v>45585</v>
      </c>
    </row>
    <row r="746" spans="2:17" x14ac:dyDescent="0.25">
      <c r="B746" s="2" t="s">
        <v>1550</v>
      </c>
      <c r="C746" s="2" t="s">
        <v>146</v>
      </c>
      <c r="D746" s="2" t="s">
        <v>122</v>
      </c>
      <c r="E746" s="2" t="s">
        <v>4647</v>
      </c>
      <c r="F746" s="2">
        <v>41</v>
      </c>
      <c r="G746" s="2">
        <v>41</v>
      </c>
      <c r="H746" s="2">
        <v>0</v>
      </c>
      <c r="I746" s="1">
        <v>0</v>
      </c>
      <c r="J746" s="26">
        <v>45600</v>
      </c>
      <c r="K746" s="22">
        <v>123000</v>
      </c>
      <c r="L746" s="18">
        <v>131.55000000000001</v>
      </c>
      <c r="M746" s="22">
        <v>86100</v>
      </c>
      <c r="N746" s="22">
        <v>36900</v>
      </c>
      <c r="O746" s="18">
        <v>39.47</v>
      </c>
      <c r="P746" s="52">
        <f>IF(COUNTIF(TblPurchases[BatchID],TblOutcomes[[#This Row],[BatchID]])&lt;&gt;1,"n.a.",TblOutcomes[[#This Row],[Qty Wasted]]*SUMIFS(TblPurchases[Unit Cost (CLP)],TblPurchases[BatchID],TblOutcomes[[#This Row],[BatchID]]))</f>
        <v>0</v>
      </c>
      <c r="Q746" s="51">
        <f>IF(COUNTIF(TblPurchases[BatchID],TblOutcomes[[#This Row],[BatchID]])&lt;&gt;1,"n.a.",SUMIFS(TblPurchases[Purchase Date],TblPurchases[BatchID],TblOutcomes[[#This Row],[BatchID]]))</f>
        <v>45593</v>
      </c>
    </row>
    <row r="747" spans="2:17" x14ac:dyDescent="0.25">
      <c r="B747" s="2" t="s">
        <v>1551</v>
      </c>
      <c r="C747" s="2" t="s">
        <v>146</v>
      </c>
      <c r="D747" s="2" t="s">
        <v>122</v>
      </c>
      <c r="E747" s="2" t="s">
        <v>4646</v>
      </c>
      <c r="F747" s="2">
        <v>36</v>
      </c>
      <c r="G747" s="2">
        <v>30.06</v>
      </c>
      <c r="H747" s="2">
        <v>5.94</v>
      </c>
      <c r="I747" s="1">
        <v>16.5</v>
      </c>
      <c r="J747" s="26">
        <v>45647</v>
      </c>
      <c r="K747" s="22">
        <v>90180</v>
      </c>
      <c r="L747" s="18">
        <v>96.45</v>
      </c>
      <c r="M747" s="22">
        <v>75600</v>
      </c>
      <c r="N747" s="22">
        <v>14580</v>
      </c>
      <c r="O747" s="18">
        <v>15.59</v>
      </c>
      <c r="P747" s="52">
        <f>IF(COUNTIF(TblPurchases[BatchID],TblOutcomes[[#This Row],[BatchID]])&lt;&gt;1,"n.a.",TblOutcomes[[#This Row],[Qty Wasted]]*SUMIFS(TblPurchases[Unit Cost (CLP)],TblPurchases[BatchID],TblOutcomes[[#This Row],[BatchID]]))</f>
        <v>12474</v>
      </c>
      <c r="Q747" s="51">
        <f>IF(COUNTIF(TblPurchases[BatchID],TblOutcomes[[#This Row],[BatchID]])&lt;&gt;1,"n.a.",SUMIFS(TblPurchases[Purchase Date],TblPurchases[BatchID],TblOutcomes[[#This Row],[BatchID]]))</f>
        <v>45602</v>
      </c>
    </row>
    <row r="748" spans="2:17" x14ac:dyDescent="0.25">
      <c r="B748" s="2" t="s">
        <v>1552</v>
      </c>
      <c r="C748" s="2" t="s">
        <v>146</v>
      </c>
      <c r="D748" s="2" t="s">
        <v>122</v>
      </c>
      <c r="E748" s="2" t="s">
        <v>4647</v>
      </c>
      <c r="F748" s="2">
        <v>39</v>
      </c>
      <c r="G748" s="2">
        <v>39</v>
      </c>
      <c r="H748" s="2">
        <v>0</v>
      </c>
      <c r="I748" s="1">
        <v>0</v>
      </c>
      <c r="J748" s="26">
        <v>45622</v>
      </c>
      <c r="K748" s="22">
        <v>117000</v>
      </c>
      <c r="L748" s="18">
        <v>125.13</v>
      </c>
      <c r="M748" s="22">
        <v>81900</v>
      </c>
      <c r="N748" s="22">
        <v>35100</v>
      </c>
      <c r="O748" s="18">
        <v>37.54</v>
      </c>
      <c r="P748" s="52">
        <f>IF(COUNTIF(TblPurchases[BatchID],TblOutcomes[[#This Row],[BatchID]])&lt;&gt;1,"n.a.",TblOutcomes[[#This Row],[Qty Wasted]]*SUMIFS(TblPurchases[Unit Cost (CLP)],TblPurchases[BatchID],TblOutcomes[[#This Row],[BatchID]]))</f>
        <v>0</v>
      </c>
      <c r="Q748" s="51">
        <f>IF(COUNTIF(TblPurchases[BatchID],TblOutcomes[[#This Row],[BatchID]])&lt;&gt;1,"n.a.",SUMIFS(TblPurchases[Purchase Date],TblPurchases[BatchID],TblOutcomes[[#This Row],[BatchID]]))</f>
        <v>45612</v>
      </c>
    </row>
    <row r="749" spans="2:17" x14ac:dyDescent="0.25">
      <c r="B749" s="2" t="s">
        <v>1553</v>
      </c>
      <c r="C749" s="2" t="s">
        <v>146</v>
      </c>
      <c r="D749" s="2" t="s">
        <v>122</v>
      </c>
      <c r="E749" s="2" t="s">
        <v>4647</v>
      </c>
      <c r="F749" s="2">
        <v>35</v>
      </c>
      <c r="G749" s="2">
        <v>35</v>
      </c>
      <c r="H749" s="2">
        <v>0</v>
      </c>
      <c r="I749" s="1">
        <v>0</v>
      </c>
      <c r="J749" s="26">
        <v>45632</v>
      </c>
      <c r="K749" s="22">
        <v>105000</v>
      </c>
      <c r="L749" s="18">
        <v>112.3</v>
      </c>
      <c r="M749" s="22">
        <v>73500</v>
      </c>
      <c r="N749" s="22">
        <v>31500</v>
      </c>
      <c r="O749" s="18">
        <v>33.69</v>
      </c>
      <c r="P749" s="52">
        <f>IF(COUNTIF(TblPurchases[BatchID],TblOutcomes[[#This Row],[BatchID]])&lt;&gt;1,"n.a.",TblOutcomes[[#This Row],[Qty Wasted]]*SUMIFS(TblPurchases[Unit Cost (CLP)],TblPurchases[BatchID],TblOutcomes[[#This Row],[BatchID]]))</f>
        <v>0</v>
      </c>
      <c r="Q749" s="51">
        <f>IF(COUNTIF(TblPurchases[BatchID],TblOutcomes[[#This Row],[BatchID]])&lt;&gt;1,"n.a.",SUMIFS(TblPurchases[Purchase Date],TblPurchases[BatchID],TblOutcomes[[#This Row],[BatchID]]))</f>
        <v>45620</v>
      </c>
    </row>
    <row r="750" spans="2:17" x14ac:dyDescent="0.25">
      <c r="B750" s="2" t="s">
        <v>1554</v>
      </c>
      <c r="C750" s="2" t="s">
        <v>146</v>
      </c>
      <c r="D750" s="2" t="s">
        <v>122</v>
      </c>
      <c r="E750" s="2" t="s">
        <v>4647</v>
      </c>
      <c r="F750" s="2">
        <v>55</v>
      </c>
      <c r="G750" s="2">
        <v>55</v>
      </c>
      <c r="H750" s="2">
        <v>0</v>
      </c>
      <c r="I750" s="1">
        <v>0</v>
      </c>
      <c r="J750" s="26">
        <v>45634</v>
      </c>
      <c r="K750" s="22">
        <v>165000</v>
      </c>
      <c r="L750" s="18">
        <v>176.47</v>
      </c>
      <c r="M750" s="22">
        <v>115500</v>
      </c>
      <c r="N750" s="22">
        <v>49500</v>
      </c>
      <c r="O750" s="18">
        <v>52.94</v>
      </c>
      <c r="P750" s="52">
        <f>IF(COUNTIF(TblPurchases[BatchID],TblOutcomes[[#This Row],[BatchID]])&lt;&gt;1,"n.a.",TblOutcomes[[#This Row],[Qty Wasted]]*SUMIFS(TblPurchases[Unit Cost (CLP)],TblPurchases[BatchID],TblOutcomes[[#This Row],[BatchID]]))</f>
        <v>0</v>
      </c>
      <c r="Q750" s="51">
        <f>IF(COUNTIF(TblPurchases[BatchID],TblOutcomes[[#This Row],[BatchID]])&lt;&gt;1,"n.a.",SUMIFS(TblPurchases[Purchase Date],TblPurchases[BatchID],TblOutcomes[[#This Row],[BatchID]]))</f>
        <v>45629</v>
      </c>
    </row>
    <row r="751" spans="2:17" x14ac:dyDescent="0.25">
      <c r="B751" s="2" t="s">
        <v>1555</v>
      </c>
      <c r="C751" s="2" t="s">
        <v>146</v>
      </c>
      <c r="D751" s="2" t="s">
        <v>122</v>
      </c>
      <c r="E751" s="2" t="s">
        <v>4647</v>
      </c>
      <c r="F751" s="2">
        <v>59</v>
      </c>
      <c r="G751" s="2">
        <v>59</v>
      </c>
      <c r="H751" s="2">
        <v>0</v>
      </c>
      <c r="I751" s="1">
        <v>0</v>
      </c>
      <c r="J751" s="26">
        <v>45642</v>
      </c>
      <c r="K751" s="22">
        <v>177000</v>
      </c>
      <c r="L751" s="18">
        <v>189.3</v>
      </c>
      <c r="M751" s="22">
        <v>126850</v>
      </c>
      <c r="N751" s="22">
        <v>50150</v>
      </c>
      <c r="O751" s="18">
        <v>53.64</v>
      </c>
      <c r="P751" s="52">
        <f>IF(COUNTIF(TblPurchases[BatchID],TblOutcomes[[#This Row],[BatchID]])&lt;&gt;1,"n.a.",TblOutcomes[[#This Row],[Qty Wasted]]*SUMIFS(TblPurchases[Unit Cost (CLP)],TblPurchases[BatchID],TblOutcomes[[#This Row],[BatchID]]))</f>
        <v>0</v>
      </c>
      <c r="Q751" s="51">
        <f>IF(COUNTIF(TblPurchases[BatchID],TblOutcomes[[#This Row],[BatchID]])&lt;&gt;1,"n.a.",SUMIFS(TblPurchases[Purchase Date],TblPurchases[BatchID],TblOutcomes[[#This Row],[BatchID]]))</f>
        <v>45635</v>
      </c>
    </row>
    <row r="752" spans="2:17" x14ac:dyDescent="0.25">
      <c r="B752" s="2" t="s">
        <v>1556</v>
      </c>
      <c r="C752" s="2" t="s">
        <v>146</v>
      </c>
      <c r="D752" s="2" t="s">
        <v>122</v>
      </c>
      <c r="E752" s="2" t="s">
        <v>4647</v>
      </c>
      <c r="F752" s="2">
        <v>58</v>
      </c>
      <c r="G752" s="2">
        <v>58</v>
      </c>
      <c r="H752" s="2">
        <v>0</v>
      </c>
      <c r="I752" s="1">
        <v>0</v>
      </c>
      <c r="J752" s="26">
        <v>45652</v>
      </c>
      <c r="K752" s="22">
        <v>174000</v>
      </c>
      <c r="L752" s="18">
        <v>186.1</v>
      </c>
      <c r="M752" s="22">
        <v>124700</v>
      </c>
      <c r="N752" s="22">
        <v>49300</v>
      </c>
      <c r="O752" s="18">
        <v>52.73</v>
      </c>
      <c r="P752" s="52">
        <f>IF(COUNTIF(TblPurchases[BatchID],TblOutcomes[[#This Row],[BatchID]])&lt;&gt;1,"n.a.",TblOutcomes[[#This Row],[Qty Wasted]]*SUMIFS(TblPurchases[Unit Cost (CLP)],TblPurchases[BatchID],TblOutcomes[[#This Row],[BatchID]]))</f>
        <v>0</v>
      </c>
      <c r="Q752" s="51">
        <f>IF(COUNTIF(TblPurchases[BatchID],TblOutcomes[[#This Row],[BatchID]])&lt;&gt;1,"n.a.",SUMIFS(TblPurchases[Purchase Date],TblPurchases[BatchID],TblOutcomes[[#This Row],[BatchID]]))</f>
        <v>45645</v>
      </c>
    </row>
    <row r="753" spans="2:17" x14ac:dyDescent="0.25">
      <c r="B753" s="2" t="s">
        <v>1557</v>
      </c>
      <c r="C753" s="2" t="s">
        <v>146</v>
      </c>
      <c r="D753" s="2" t="s">
        <v>122</v>
      </c>
      <c r="E753" s="2" t="s">
        <v>4647</v>
      </c>
      <c r="F753" s="2">
        <v>44</v>
      </c>
      <c r="G753" s="2">
        <v>44</v>
      </c>
      <c r="H753" s="2">
        <v>0</v>
      </c>
      <c r="I753" s="1">
        <v>0</v>
      </c>
      <c r="J753" s="26">
        <v>45661</v>
      </c>
      <c r="K753" s="22">
        <v>132000</v>
      </c>
      <c r="L753" s="18">
        <v>141.18</v>
      </c>
      <c r="M753" s="22">
        <v>92400</v>
      </c>
      <c r="N753" s="22">
        <v>39600</v>
      </c>
      <c r="O753" s="18">
        <v>42.35</v>
      </c>
      <c r="P753" s="52">
        <f>IF(COUNTIF(TblPurchases[BatchID],TblOutcomes[[#This Row],[BatchID]])&lt;&gt;1,"n.a.",TblOutcomes[[#This Row],[Qty Wasted]]*SUMIFS(TblPurchases[Unit Cost (CLP)],TblPurchases[BatchID],TblOutcomes[[#This Row],[BatchID]]))</f>
        <v>0</v>
      </c>
      <c r="Q753" s="51">
        <f>IF(COUNTIF(TblPurchases[BatchID],TblOutcomes[[#This Row],[BatchID]])&lt;&gt;1,"n.a.",SUMIFS(TblPurchases[Purchase Date],TblPurchases[BatchID],TblOutcomes[[#This Row],[BatchID]]))</f>
        <v>45655</v>
      </c>
    </row>
    <row r="754" spans="2:17" x14ac:dyDescent="0.25">
      <c r="B754" s="2" t="s">
        <v>1558</v>
      </c>
      <c r="C754" s="2" t="s">
        <v>146</v>
      </c>
      <c r="D754" s="2" t="s">
        <v>122</v>
      </c>
      <c r="E754" s="2" t="s">
        <v>4647</v>
      </c>
      <c r="F754" s="2">
        <v>48</v>
      </c>
      <c r="G754" s="2">
        <v>48</v>
      </c>
      <c r="H754" s="2">
        <v>0</v>
      </c>
      <c r="I754" s="1">
        <v>0</v>
      </c>
      <c r="J754" s="26">
        <v>45671</v>
      </c>
      <c r="K754" s="22">
        <v>144000</v>
      </c>
      <c r="L754" s="18">
        <v>154.01</v>
      </c>
      <c r="M754" s="22">
        <v>100800</v>
      </c>
      <c r="N754" s="22">
        <v>43200</v>
      </c>
      <c r="O754" s="18">
        <v>46.2</v>
      </c>
      <c r="P754" s="52">
        <f>IF(COUNTIF(TblPurchases[BatchID],TblOutcomes[[#This Row],[BatchID]])&lt;&gt;1,"n.a.",TblOutcomes[[#This Row],[Qty Wasted]]*SUMIFS(TblPurchases[Unit Cost (CLP)],TblPurchases[BatchID],TblOutcomes[[#This Row],[BatchID]]))</f>
        <v>0</v>
      </c>
      <c r="Q754" s="51">
        <f>IF(COUNTIF(TblPurchases[BatchID],TblOutcomes[[#This Row],[BatchID]])&lt;&gt;1,"n.a.",SUMIFS(TblPurchases[Purchase Date],TblPurchases[BatchID],TblOutcomes[[#This Row],[BatchID]]))</f>
        <v>45665</v>
      </c>
    </row>
    <row r="755" spans="2:17" x14ac:dyDescent="0.25">
      <c r="B755" s="2" t="s">
        <v>1559</v>
      </c>
      <c r="C755" s="2" t="s">
        <v>146</v>
      </c>
      <c r="D755" s="2" t="s">
        <v>122</v>
      </c>
      <c r="E755" s="2" t="s">
        <v>4646</v>
      </c>
      <c r="F755" s="2">
        <v>43</v>
      </c>
      <c r="G755" s="2">
        <v>36.08</v>
      </c>
      <c r="H755" s="2">
        <v>6.92</v>
      </c>
      <c r="I755" s="1">
        <v>16.100000000000001</v>
      </c>
      <c r="J755" s="26">
        <v>45719</v>
      </c>
      <c r="K755" s="22">
        <v>108240</v>
      </c>
      <c r="L755" s="18">
        <v>115.76</v>
      </c>
      <c r="M755" s="22">
        <v>90300</v>
      </c>
      <c r="N755" s="22">
        <v>17940</v>
      </c>
      <c r="O755" s="18">
        <v>19.190000000000001</v>
      </c>
      <c r="P755" s="52">
        <f>IF(COUNTIF(TblPurchases[BatchID],TblOutcomes[[#This Row],[BatchID]])&lt;&gt;1,"n.a.",TblOutcomes[[#This Row],[Qty Wasted]]*SUMIFS(TblPurchases[Unit Cost (CLP)],TblPurchases[BatchID],TblOutcomes[[#This Row],[BatchID]]))</f>
        <v>14532</v>
      </c>
      <c r="Q755" s="51">
        <f>IF(COUNTIF(TblPurchases[BatchID],TblOutcomes[[#This Row],[BatchID]])&lt;&gt;1,"n.a.",SUMIFS(TblPurchases[Purchase Date],TblPurchases[BatchID],TblOutcomes[[#This Row],[BatchID]]))</f>
        <v>45674</v>
      </c>
    </row>
    <row r="756" spans="2:17" x14ac:dyDescent="0.25">
      <c r="B756" s="2" t="s">
        <v>1560</v>
      </c>
      <c r="C756" s="2" t="s">
        <v>146</v>
      </c>
      <c r="D756" s="2" t="s">
        <v>122</v>
      </c>
      <c r="E756" s="2" t="s">
        <v>4647</v>
      </c>
      <c r="F756" s="2">
        <v>37</v>
      </c>
      <c r="G756" s="2">
        <v>37</v>
      </c>
      <c r="H756" s="2">
        <v>0</v>
      </c>
      <c r="I756" s="1">
        <v>0</v>
      </c>
      <c r="J756" s="26">
        <v>45691</v>
      </c>
      <c r="K756" s="22">
        <v>111000</v>
      </c>
      <c r="L756" s="18">
        <v>118.72</v>
      </c>
      <c r="M756" s="22">
        <v>79550</v>
      </c>
      <c r="N756" s="22">
        <v>31450</v>
      </c>
      <c r="O756" s="18">
        <v>33.64</v>
      </c>
      <c r="P756" s="52">
        <f>IF(COUNTIF(TblPurchases[BatchID],TblOutcomes[[#This Row],[BatchID]])&lt;&gt;1,"n.a.",TblOutcomes[[#This Row],[Qty Wasted]]*SUMIFS(TblPurchases[Unit Cost (CLP)],TblPurchases[BatchID],TblOutcomes[[#This Row],[BatchID]]))</f>
        <v>0</v>
      </c>
      <c r="Q756" s="51">
        <f>IF(COUNTIF(TblPurchases[BatchID],TblOutcomes[[#This Row],[BatchID]])&lt;&gt;1,"n.a.",SUMIFS(TblPurchases[Purchase Date],TblPurchases[BatchID],TblOutcomes[[#This Row],[BatchID]]))</f>
        <v>45683</v>
      </c>
    </row>
    <row r="757" spans="2:17" x14ac:dyDescent="0.25">
      <c r="B757" s="2" t="s">
        <v>1561</v>
      </c>
      <c r="C757" s="2" t="s">
        <v>146</v>
      </c>
      <c r="D757" s="2" t="s">
        <v>122</v>
      </c>
      <c r="E757" s="2" t="s">
        <v>4646</v>
      </c>
      <c r="F757" s="2">
        <v>50</v>
      </c>
      <c r="G757" s="2">
        <v>39.700000000000003</v>
      </c>
      <c r="H757" s="2">
        <v>10.3</v>
      </c>
      <c r="I757" s="1">
        <v>20.6</v>
      </c>
      <c r="J757" s="26">
        <v>45737</v>
      </c>
      <c r="K757" s="22">
        <v>119100</v>
      </c>
      <c r="L757" s="18">
        <v>127.38</v>
      </c>
      <c r="M757" s="22">
        <v>105000</v>
      </c>
      <c r="N757" s="22">
        <v>14100</v>
      </c>
      <c r="O757" s="18">
        <v>15.08</v>
      </c>
      <c r="P757" s="52">
        <f>IF(COUNTIF(TblPurchases[BatchID],TblOutcomes[[#This Row],[BatchID]])&lt;&gt;1,"n.a.",TblOutcomes[[#This Row],[Qty Wasted]]*SUMIFS(TblPurchases[Unit Cost (CLP)],TblPurchases[BatchID],TblOutcomes[[#This Row],[BatchID]]))</f>
        <v>21630</v>
      </c>
      <c r="Q757" s="51">
        <f>IF(COUNTIF(TblPurchases[BatchID],TblOutcomes[[#This Row],[BatchID]])&lt;&gt;1,"n.a.",SUMIFS(TblPurchases[Purchase Date],TblPurchases[BatchID],TblOutcomes[[#This Row],[BatchID]]))</f>
        <v>45692</v>
      </c>
    </row>
    <row r="758" spans="2:17" x14ac:dyDescent="0.25">
      <c r="B758" s="2" t="s">
        <v>1562</v>
      </c>
      <c r="C758" s="2" t="s">
        <v>146</v>
      </c>
      <c r="D758" s="2" t="s">
        <v>122</v>
      </c>
      <c r="E758" s="2" t="s">
        <v>4647</v>
      </c>
      <c r="F758" s="2">
        <v>42</v>
      </c>
      <c r="G758" s="2">
        <v>42</v>
      </c>
      <c r="H758" s="2">
        <v>0</v>
      </c>
      <c r="I758" s="1">
        <v>0</v>
      </c>
      <c r="J758" s="26">
        <v>45710</v>
      </c>
      <c r="K758" s="22">
        <v>126000</v>
      </c>
      <c r="L758" s="18">
        <v>134.76</v>
      </c>
      <c r="M758" s="22">
        <v>88200</v>
      </c>
      <c r="N758" s="22">
        <v>37800</v>
      </c>
      <c r="O758" s="18">
        <v>40.43</v>
      </c>
      <c r="P758" s="52">
        <f>IF(COUNTIF(TblPurchases[BatchID],TblOutcomes[[#This Row],[BatchID]])&lt;&gt;1,"n.a.",TblOutcomes[[#This Row],[Qty Wasted]]*SUMIFS(TblPurchases[Unit Cost (CLP)],TblPurchases[BatchID],TblOutcomes[[#This Row],[BatchID]]))</f>
        <v>0</v>
      </c>
      <c r="Q758" s="51">
        <f>IF(COUNTIF(TblPurchases[BatchID],TblOutcomes[[#This Row],[BatchID]])&lt;&gt;1,"n.a.",SUMIFS(TblPurchases[Purchase Date],TblPurchases[BatchID],TblOutcomes[[#This Row],[BatchID]]))</f>
        <v>45701</v>
      </c>
    </row>
    <row r="759" spans="2:17" x14ac:dyDescent="0.25">
      <c r="B759" s="2" t="s">
        <v>1563</v>
      </c>
      <c r="C759" s="2" t="s">
        <v>146</v>
      </c>
      <c r="D759" s="2" t="s">
        <v>122</v>
      </c>
      <c r="E759" s="2" t="s">
        <v>4647</v>
      </c>
      <c r="F759" s="2">
        <v>42</v>
      </c>
      <c r="G759" s="2">
        <v>42</v>
      </c>
      <c r="H759" s="2">
        <v>0</v>
      </c>
      <c r="I759" s="1">
        <v>0</v>
      </c>
      <c r="J759" s="26">
        <v>45720</v>
      </c>
      <c r="K759" s="22">
        <v>126000</v>
      </c>
      <c r="L759" s="18">
        <v>134.76</v>
      </c>
      <c r="M759" s="22">
        <v>88200</v>
      </c>
      <c r="N759" s="22">
        <v>37800</v>
      </c>
      <c r="O759" s="18">
        <v>40.43</v>
      </c>
      <c r="P759" s="52">
        <f>IF(COUNTIF(TblPurchases[BatchID],TblOutcomes[[#This Row],[BatchID]])&lt;&gt;1,"n.a.",TblOutcomes[[#This Row],[Qty Wasted]]*SUMIFS(TblPurchases[Unit Cost (CLP)],TblPurchases[BatchID],TblOutcomes[[#This Row],[BatchID]]))</f>
        <v>0</v>
      </c>
      <c r="Q759" s="51">
        <f>IF(COUNTIF(TblPurchases[BatchID],TblOutcomes[[#This Row],[BatchID]])&lt;&gt;1,"n.a.",SUMIFS(TblPurchases[Purchase Date],TblPurchases[BatchID],TblOutcomes[[#This Row],[BatchID]]))</f>
        <v>45713</v>
      </c>
    </row>
    <row r="760" spans="2:17" x14ac:dyDescent="0.25">
      <c r="B760" s="2" t="s">
        <v>1564</v>
      </c>
      <c r="C760" s="2" t="s">
        <v>146</v>
      </c>
      <c r="D760" s="2" t="s">
        <v>122</v>
      </c>
      <c r="E760" s="2" t="s">
        <v>4647</v>
      </c>
      <c r="F760" s="2">
        <v>47</v>
      </c>
      <c r="G760" s="2">
        <v>47</v>
      </c>
      <c r="H760" s="2">
        <v>0</v>
      </c>
      <c r="I760" s="1">
        <v>0</v>
      </c>
      <c r="J760" s="26">
        <v>45732</v>
      </c>
      <c r="K760" s="22">
        <v>141000</v>
      </c>
      <c r="L760" s="18">
        <v>150.80000000000001</v>
      </c>
      <c r="M760" s="22">
        <v>98700</v>
      </c>
      <c r="N760" s="22">
        <v>42300</v>
      </c>
      <c r="O760" s="18">
        <v>45.24</v>
      </c>
      <c r="P760" s="52">
        <f>IF(COUNTIF(TblPurchases[BatchID],TblOutcomes[[#This Row],[BatchID]])&lt;&gt;1,"n.a.",TblOutcomes[[#This Row],[Qty Wasted]]*SUMIFS(TblPurchases[Unit Cost (CLP)],TblPurchases[BatchID],TblOutcomes[[#This Row],[BatchID]]))</f>
        <v>0</v>
      </c>
      <c r="Q760" s="51">
        <f>IF(COUNTIF(TblPurchases[BatchID],TblOutcomes[[#This Row],[BatchID]])&lt;&gt;1,"n.a.",SUMIFS(TblPurchases[Purchase Date],TblPurchases[BatchID],TblOutcomes[[#This Row],[BatchID]]))</f>
        <v>45722</v>
      </c>
    </row>
    <row r="761" spans="2:17" x14ac:dyDescent="0.25">
      <c r="B761" s="2" t="s">
        <v>1565</v>
      </c>
      <c r="C761" s="2" t="s">
        <v>146</v>
      </c>
      <c r="D761" s="2" t="s">
        <v>122</v>
      </c>
      <c r="E761" s="2" t="s">
        <v>4647</v>
      </c>
      <c r="F761" s="2">
        <v>40</v>
      </c>
      <c r="G761" s="2">
        <v>40</v>
      </c>
      <c r="H761" s="2">
        <v>0</v>
      </c>
      <c r="I761" s="1">
        <v>0</v>
      </c>
      <c r="J761" s="26">
        <v>45738</v>
      </c>
      <c r="K761" s="22">
        <v>120000</v>
      </c>
      <c r="L761" s="18">
        <v>128.34</v>
      </c>
      <c r="M761" s="22">
        <v>86000</v>
      </c>
      <c r="N761" s="22">
        <v>34000</v>
      </c>
      <c r="O761" s="18">
        <v>36.36</v>
      </c>
      <c r="P761" s="52">
        <f>IF(COUNTIF(TblPurchases[BatchID],TblOutcomes[[#This Row],[BatchID]])&lt;&gt;1,"n.a.",TblOutcomes[[#This Row],[Qty Wasted]]*SUMIFS(TblPurchases[Unit Cost (CLP)],TblPurchases[BatchID],TblOutcomes[[#This Row],[BatchID]]))</f>
        <v>0</v>
      </c>
      <c r="Q761" s="51">
        <f>IF(COUNTIF(TblPurchases[BatchID],TblOutcomes[[#This Row],[BatchID]])&lt;&gt;1,"n.a.",SUMIFS(TblPurchases[Purchase Date],TblPurchases[BatchID],TblOutcomes[[#This Row],[BatchID]]))</f>
        <v>45731</v>
      </c>
    </row>
    <row r="762" spans="2:17" x14ac:dyDescent="0.25">
      <c r="B762" s="2" t="s">
        <v>1566</v>
      </c>
      <c r="C762" s="2" t="s">
        <v>146</v>
      </c>
      <c r="D762" s="2" t="s">
        <v>122</v>
      </c>
      <c r="E762" s="2" t="s">
        <v>4647</v>
      </c>
      <c r="F762" s="2">
        <v>41</v>
      </c>
      <c r="G762" s="2">
        <v>41</v>
      </c>
      <c r="H762" s="2">
        <v>0</v>
      </c>
      <c r="I762" s="1">
        <v>0</v>
      </c>
      <c r="J762" s="26">
        <v>45752</v>
      </c>
      <c r="K762" s="22">
        <v>123000</v>
      </c>
      <c r="L762" s="18">
        <v>131.55000000000001</v>
      </c>
      <c r="M762" s="22">
        <v>86100</v>
      </c>
      <c r="N762" s="22">
        <v>36900</v>
      </c>
      <c r="O762" s="18">
        <v>39.47</v>
      </c>
      <c r="P762" s="52">
        <f>IF(COUNTIF(TblPurchases[BatchID],TblOutcomes[[#This Row],[BatchID]])&lt;&gt;1,"n.a.",TblOutcomes[[#This Row],[Qty Wasted]]*SUMIFS(TblPurchases[Unit Cost (CLP)],TblPurchases[BatchID],TblOutcomes[[#This Row],[BatchID]]))</f>
        <v>0</v>
      </c>
      <c r="Q762" s="51">
        <f>IF(COUNTIF(TblPurchases[BatchID],TblOutcomes[[#This Row],[BatchID]])&lt;&gt;1,"n.a.",SUMIFS(TblPurchases[Purchase Date],TblPurchases[BatchID],TblOutcomes[[#This Row],[BatchID]]))</f>
        <v>45741</v>
      </c>
    </row>
    <row r="763" spans="2:17" x14ac:dyDescent="0.25">
      <c r="B763" s="2" t="s">
        <v>1567</v>
      </c>
      <c r="C763" s="2" t="s">
        <v>146</v>
      </c>
      <c r="D763" s="2" t="s">
        <v>122</v>
      </c>
      <c r="E763" s="2" t="s">
        <v>4646</v>
      </c>
      <c r="F763" s="2">
        <v>17</v>
      </c>
      <c r="G763" s="2">
        <v>14.13</v>
      </c>
      <c r="H763" s="2">
        <v>2.87</v>
      </c>
      <c r="I763" s="1">
        <v>16.899999999999999</v>
      </c>
      <c r="J763" s="26">
        <v>45798</v>
      </c>
      <c r="K763" s="22">
        <v>42390</v>
      </c>
      <c r="L763" s="18">
        <v>45.34</v>
      </c>
      <c r="M763" s="22">
        <v>35700</v>
      </c>
      <c r="N763" s="22">
        <v>6690</v>
      </c>
      <c r="O763" s="18">
        <v>7.16</v>
      </c>
      <c r="P763" s="52">
        <f>IF(COUNTIF(TblPurchases[BatchID],TblOutcomes[[#This Row],[BatchID]])&lt;&gt;1,"n.a.",TblOutcomes[[#This Row],[Qty Wasted]]*SUMIFS(TblPurchases[Unit Cost (CLP)],TblPurchases[BatchID],TblOutcomes[[#This Row],[BatchID]]))</f>
        <v>6027</v>
      </c>
      <c r="Q763" s="51">
        <f>IF(COUNTIF(TblPurchases[BatchID],TblOutcomes[[#This Row],[BatchID]])&lt;&gt;1,"n.a.",SUMIFS(TblPurchases[Purchase Date],TblPurchases[BatchID],TblOutcomes[[#This Row],[BatchID]]))</f>
        <v>45753</v>
      </c>
    </row>
    <row r="764" spans="2:17" x14ac:dyDescent="0.25">
      <c r="B764" s="2" t="s">
        <v>1568</v>
      </c>
      <c r="C764" s="2" t="s">
        <v>146</v>
      </c>
      <c r="D764" s="2" t="s">
        <v>122</v>
      </c>
      <c r="E764" s="2" t="s">
        <v>4647</v>
      </c>
      <c r="F764" s="2">
        <v>17</v>
      </c>
      <c r="G764" s="2">
        <v>17</v>
      </c>
      <c r="H764" s="2">
        <v>0</v>
      </c>
      <c r="I764" s="1">
        <v>0</v>
      </c>
      <c r="J764" s="26">
        <v>45767</v>
      </c>
      <c r="K764" s="22">
        <v>51000</v>
      </c>
      <c r="L764" s="18">
        <v>54.55</v>
      </c>
      <c r="M764" s="22">
        <v>35700</v>
      </c>
      <c r="N764" s="22">
        <v>15300</v>
      </c>
      <c r="O764" s="18">
        <v>16.36</v>
      </c>
      <c r="P764" s="52">
        <f>IF(COUNTIF(TblPurchases[BatchID],TblOutcomes[[#This Row],[BatchID]])&lt;&gt;1,"n.a.",TblOutcomes[[#This Row],[Qty Wasted]]*SUMIFS(TblPurchases[Unit Cost (CLP)],TblPurchases[BatchID],TblOutcomes[[#This Row],[BatchID]]))</f>
        <v>0</v>
      </c>
      <c r="Q764" s="51">
        <f>IF(COUNTIF(TblPurchases[BatchID],TblOutcomes[[#This Row],[BatchID]])&lt;&gt;1,"n.a.",SUMIFS(TblPurchases[Purchase Date],TblPurchases[BatchID],TblOutcomes[[#This Row],[BatchID]]))</f>
        <v>45762</v>
      </c>
    </row>
    <row r="765" spans="2:17" x14ac:dyDescent="0.25">
      <c r="B765" s="2" t="s">
        <v>1569</v>
      </c>
      <c r="C765" s="2" t="s">
        <v>146</v>
      </c>
      <c r="D765" s="2" t="s">
        <v>122</v>
      </c>
      <c r="E765" s="2" t="s">
        <v>4647</v>
      </c>
      <c r="F765" s="2">
        <v>18</v>
      </c>
      <c r="G765" s="2">
        <v>18</v>
      </c>
      <c r="H765" s="2">
        <v>0</v>
      </c>
      <c r="I765" s="1">
        <v>0</v>
      </c>
      <c r="J765" s="26">
        <v>45781</v>
      </c>
      <c r="K765" s="22">
        <v>54000</v>
      </c>
      <c r="L765" s="18">
        <v>57.75</v>
      </c>
      <c r="M765" s="22">
        <v>37800</v>
      </c>
      <c r="N765" s="22">
        <v>16200</v>
      </c>
      <c r="O765" s="18">
        <v>17.329999999999998</v>
      </c>
      <c r="P765" s="52">
        <f>IF(COUNTIF(TblPurchases[BatchID],TblOutcomes[[#This Row],[BatchID]])&lt;&gt;1,"n.a.",TblOutcomes[[#This Row],[Qty Wasted]]*SUMIFS(TblPurchases[Unit Cost (CLP)],TblPurchases[BatchID],TblOutcomes[[#This Row],[BatchID]]))</f>
        <v>0</v>
      </c>
      <c r="Q765" s="51">
        <f>IF(COUNTIF(TblPurchases[BatchID],TblOutcomes[[#This Row],[BatchID]])&lt;&gt;1,"n.a.",SUMIFS(TblPurchases[Purchase Date],TblPurchases[BatchID],TblOutcomes[[#This Row],[BatchID]]))</f>
        <v>45771</v>
      </c>
    </row>
    <row r="766" spans="2:17" x14ac:dyDescent="0.25">
      <c r="B766" s="2" t="s">
        <v>1570</v>
      </c>
      <c r="C766" s="2" t="s">
        <v>146</v>
      </c>
      <c r="D766" s="2" t="s">
        <v>122</v>
      </c>
      <c r="E766" s="2" t="s">
        <v>4647</v>
      </c>
      <c r="F766" s="2">
        <v>17</v>
      </c>
      <c r="G766" s="2">
        <v>17</v>
      </c>
      <c r="H766" s="2">
        <v>0</v>
      </c>
      <c r="I766" s="1">
        <v>0</v>
      </c>
      <c r="J766" s="26">
        <v>45787</v>
      </c>
      <c r="K766" s="22">
        <v>51000</v>
      </c>
      <c r="L766" s="18">
        <v>54.55</v>
      </c>
      <c r="M766" s="22">
        <v>35700</v>
      </c>
      <c r="N766" s="22">
        <v>15300</v>
      </c>
      <c r="O766" s="18">
        <v>16.36</v>
      </c>
      <c r="P766" s="52">
        <f>IF(COUNTIF(TblPurchases[BatchID],TblOutcomes[[#This Row],[BatchID]])&lt;&gt;1,"n.a.",TblOutcomes[[#This Row],[Qty Wasted]]*SUMIFS(TblPurchases[Unit Cost (CLP)],TblPurchases[BatchID],TblOutcomes[[#This Row],[BatchID]]))</f>
        <v>0</v>
      </c>
      <c r="Q766" s="51">
        <f>IF(COUNTIF(TblPurchases[BatchID],TblOutcomes[[#This Row],[BatchID]])&lt;&gt;1,"n.a.",SUMIFS(TblPurchases[Purchase Date],TblPurchases[BatchID],TblOutcomes[[#This Row],[BatchID]]))</f>
        <v>45782</v>
      </c>
    </row>
    <row r="767" spans="2:17" x14ac:dyDescent="0.25">
      <c r="B767" s="2" t="s">
        <v>1571</v>
      </c>
      <c r="C767" s="2" t="s">
        <v>146</v>
      </c>
      <c r="D767" s="2" t="s">
        <v>122</v>
      </c>
      <c r="E767" s="2" t="s">
        <v>4646</v>
      </c>
      <c r="F767" s="2">
        <v>16</v>
      </c>
      <c r="G767" s="2">
        <v>13.5</v>
      </c>
      <c r="H767" s="2">
        <v>2.5</v>
      </c>
      <c r="I767" s="1">
        <v>15.6</v>
      </c>
      <c r="J767" s="26">
        <v>45835</v>
      </c>
      <c r="K767" s="22">
        <v>40500</v>
      </c>
      <c r="L767" s="18">
        <v>43.32</v>
      </c>
      <c r="M767" s="22">
        <v>33600</v>
      </c>
      <c r="N767" s="22">
        <v>6900</v>
      </c>
      <c r="O767" s="18">
        <v>7.38</v>
      </c>
      <c r="P767" s="52">
        <f>IF(COUNTIF(TblPurchases[BatchID],TblOutcomes[[#This Row],[BatchID]])&lt;&gt;1,"n.a.",TblOutcomes[[#This Row],[Qty Wasted]]*SUMIFS(TblPurchases[Unit Cost (CLP)],TblPurchases[BatchID],TblOutcomes[[#This Row],[BatchID]]))</f>
        <v>5250</v>
      </c>
      <c r="Q767" s="51">
        <f>IF(COUNTIF(TblPurchases[BatchID],TblOutcomes[[#This Row],[BatchID]])&lt;&gt;1,"n.a.",SUMIFS(TblPurchases[Purchase Date],TblPurchases[BatchID],TblOutcomes[[#This Row],[BatchID]]))</f>
        <v>45790</v>
      </c>
    </row>
    <row r="768" spans="2:17" x14ac:dyDescent="0.25">
      <c r="B768" s="2" t="s">
        <v>1572</v>
      </c>
      <c r="C768" s="2" t="s">
        <v>146</v>
      </c>
      <c r="D768" s="2" t="s">
        <v>122</v>
      </c>
      <c r="E768" s="2" t="s">
        <v>4646</v>
      </c>
      <c r="F768" s="2">
        <v>15</v>
      </c>
      <c r="G768" s="2">
        <v>11.95</v>
      </c>
      <c r="H768" s="2">
        <v>3.05</v>
      </c>
      <c r="I768" s="1">
        <v>20.3</v>
      </c>
      <c r="J768" s="26">
        <v>45846</v>
      </c>
      <c r="K768" s="22">
        <v>35850</v>
      </c>
      <c r="L768" s="18">
        <v>38.340000000000003</v>
      </c>
      <c r="M768" s="22">
        <v>32250</v>
      </c>
      <c r="N768" s="22">
        <v>3600</v>
      </c>
      <c r="O768" s="18">
        <v>3.85</v>
      </c>
      <c r="P768" s="52">
        <f>IF(COUNTIF(TblPurchases[BatchID],TblOutcomes[[#This Row],[BatchID]])&lt;&gt;1,"n.a.",TblOutcomes[[#This Row],[Qty Wasted]]*SUMIFS(TblPurchases[Unit Cost (CLP)],TblPurchases[BatchID],TblOutcomes[[#This Row],[BatchID]]))</f>
        <v>6557.5</v>
      </c>
      <c r="Q768" s="51">
        <f>IF(COUNTIF(TblPurchases[BatchID],TblOutcomes[[#This Row],[BatchID]])&lt;&gt;1,"n.a.",SUMIFS(TblPurchases[Purchase Date],TblPurchases[BatchID],TblOutcomes[[#This Row],[BatchID]]))</f>
        <v>45801</v>
      </c>
    </row>
    <row r="769" spans="2:17" x14ac:dyDescent="0.25">
      <c r="B769" s="2" t="s">
        <v>1573</v>
      </c>
      <c r="C769" s="2" t="s">
        <v>146</v>
      </c>
      <c r="D769" s="2" t="s">
        <v>122</v>
      </c>
      <c r="E769" s="2" t="s">
        <v>4646</v>
      </c>
      <c r="F769" s="2">
        <v>15</v>
      </c>
      <c r="G769" s="2">
        <v>12.43</v>
      </c>
      <c r="H769" s="2">
        <v>2.57</v>
      </c>
      <c r="I769" s="1">
        <v>17.100000000000001</v>
      </c>
      <c r="J769" s="26">
        <v>45858</v>
      </c>
      <c r="K769" s="22">
        <v>37290</v>
      </c>
      <c r="L769" s="18">
        <v>39.880000000000003</v>
      </c>
      <c r="M769" s="22">
        <v>32250</v>
      </c>
      <c r="N769" s="22">
        <v>5040</v>
      </c>
      <c r="O769" s="18">
        <v>5.39</v>
      </c>
      <c r="P769" s="52">
        <f>IF(COUNTIF(TblPurchases[BatchID],TblOutcomes[[#This Row],[BatchID]])&lt;&gt;1,"n.a.",TblOutcomes[[#This Row],[Qty Wasted]]*SUMIFS(TblPurchases[Unit Cost (CLP)],TblPurchases[BatchID],TblOutcomes[[#This Row],[BatchID]]))</f>
        <v>5525.5</v>
      </c>
      <c r="Q769" s="51">
        <f>IF(COUNTIF(TblPurchases[BatchID],TblOutcomes[[#This Row],[BatchID]])&lt;&gt;1,"n.a.",SUMIFS(TblPurchases[Purchase Date],TblPurchases[BatchID],TblOutcomes[[#This Row],[BatchID]]))</f>
        <v>45813</v>
      </c>
    </row>
    <row r="770" spans="2:17" x14ac:dyDescent="0.25">
      <c r="B770" s="2" t="s">
        <v>1574</v>
      </c>
      <c r="C770" s="2" t="s">
        <v>146</v>
      </c>
      <c r="D770" s="2" t="s">
        <v>122</v>
      </c>
      <c r="E770" s="2" t="s">
        <v>4647</v>
      </c>
      <c r="F770" s="2">
        <v>14</v>
      </c>
      <c r="G770" s="2">
        <v>14</v>
      </c>
      <c r="H770" s="2">
        <v>0</v>
      </c>
      <c r="I770" s="1">
        <v>0</v>
      </c>
      <c r="J770" s="26">
        <v>45831</v>
      </c>
      <c r="K770" s="22">
        <v>42000</v>
      </c>
      <c r="L770" s="18">
        <v>44.92</v>
      </c>
      <c r="M770" s="22">
        <v>29400</v>
      </c>
      <c r="N770" s="22">
        <v>12600</v>
      </c>
      <c r="O770" s="18">
        <v>13.48</v>
      </c>
      <c r="P770" s="52">
        <f>IF(COUNTIF(TblPurchases[BatchID],TblOutcomes[[#This Row],[BatchID]])&lt;&gt;1,"n.a.",TblOutcomes[[#This Row],[Qty Wasted]]*SUMIFS(TblPurchases[Unit Cost (CLP)],TblPurchases[BatchID],TblOutcomes[[#This Row],[BatchID]]))</f>
        <v>0</v>
      </c>
      <c r="Q770" s="51">
        <f>IF(COUNTIF(TblPurchases[BatchID],TblOutcomes[[#This Row],[BatchID]])&lt;&gt;1,"n.a.",SUMIFS(TblPurchases[Purchase Date],TblPurchases[BatchID],TblOutcomes[[#This Row],[BatchID]]))</f>
        <v>45823</v>
      </c>
    </row>
    <row r="771" spans="2:17" x14ac:dyDescent="0.25">
      <c r="B771" s="2" t="s">
        <v>1575</v>
      </c>
      <c r="C771" s="2" t="s">
        <v>146</v>
      </c>
      <c r="D771" s="2" t="s">
        <v>122</v>
      </c>
      <c r="E771" s="2" t="s">
        <v>4646</v>
      </c>
      <c r="F771" s="2">
        <v>15</v>
      </c>
      <c r="G771" s="2">
        <v>12.33</v>
      </c>
      <c r="H771" s="2">
        <v>2.67</v>
      </c>
      <c r="I771" s="1">
        <v>17.8</v>
      </c>
      <c r="J771" s="26">
        <v>45877</v>
      </c>
      <c r="K771" s="22">
        <v>36990</v>
      </c>
      <c r="L771" s="18">
        <v>39.56</v>
      </c>
      <c r="M771" s="22">
        <v>31500</v>
      </c>
      <c r="N771" s="22">
        <v>5490</v>
      </c>
      <c r="O771" s="18">
        <v>5.87</v>
      </c>
      <c r="P771" s="52">
        <f>IF(COUNTIF(TblPurchases[BatchID],TblOutcomes[[#This Row],[BatchID]])&lt;&gt;1,"n.a.",TblOutcomes[[#This Row],[Qty Wasted]]*SUMIFS(TblPurchases[Unit Cost (CLP)],TblPurchases[BatchID],TblOutcomes[[#This Row],[BatchID]]))</f>
        <v>5607</v>
      </c>
      <c r="Q771" s="51">
        <f>IF(COUNTIF(TblPurchases[BatchID],TblOutcomes[[#This Row],[BatchID]])&lt;&gt;1,"n.a.",SUMIFS(TblPurchases[Purchase Date],TblPurchases[BatchID],TblOutcomes[[#This Row],[BatchID]]))</f>
        <v>45832</v>
      </c>
    </row>
    <row r="772" spans="2:17" x14ac:dyDescent="0.25">
      <c r="B772" s="2" t="s">
        <v>1576</v>
      </c>
      <c r="C772" s="2" t="s">
        <v>148</v>
      </c>
      <c r="D772" s="2" t="s">
        <v>122</v>
      </c>
      <c r="E772" s="2" t="s">
        <v>4646</v>
      </c>
      <c r="F772" s="2">
        <v>28</v>
      </c>
      <c r="G772" s="2">
        <v>26.52</v>
      </c>
      <c r="H772" s="2">
        <v>1.48</v>
      </c>
      <c r="I772" s="1">
        <v>5.3</v>
      </c>
      <c r="J772" s="26">
        <v>45153</v>
      </c>
      <c r="K772" s="22">
        <v>92820</v>
      </c>
      <c r="L772" s="18">
        <v>99.27</v>
      </c>
      <c r="M772" s="22">
        <v>70000</v>
      </c>
      <c r="N772" s="22">
        <v>22820</v>
      </c>
      <c r="O772" s="18">
        <v>24.41</v>
      </c>
      <c r="P772" s="52">
        <f>IF(COUNTIF(TblPurchases[BatchID],TblOutcomes[[#This Row],[BatchID]])&lt;&gt;1,"n.a.",TblOutcomes[[#This Row],[Qty Wasted]]*SUMIFS(TblPurchases[Unit Cost (CLP)],TblPurchases[BatchID],TblOutcomes[[#This Row],[BatchID]]))</f>
        <v>3700</v>
      </c>
      <c r="Q772" s="51">
        <f>IF(COUNTIF(TblPurchases[BatchID],TblOutcomes[[#This Row],[BatchID]])&lt;&gt;1,"n.a.",SUMIFS(TblPurchases[Purchase Date],TblPurchases[BatchID],TblOutcomes[[#This Row],[BatchID]]))</f>
        <v>45108</v>
      </c>
    </row>
    <row r="773" spans="2:17" x14ac:dyDescent="0.25">
      <c r="B773" s="2" t="s">
        <v>1577</v>
      </c>
      <c r="C773" s="2" t="s">
        <v>148</v>
      </c>
      <c r="D773" s="2" t="s">
        <v>122</v>
      </c>
      <c r="E773" s="2" t="s">
        <v>4647</v>
      </c>
      <c r="F773" s="2">
        <v>27</v>
      </c>
      <c r="G773" s="2">
        <v>27</v>
      </c>
      <c r="H773" s="2">
        <v>0</v>
      </c>
      <c r="I773" s="1">
        <v>0</v>
      </c>
      <c r="J773" s="26">
        <v>45121</v>
      </c>
      <c r="K773" s="22">
        <v>94500</v>
      </c>
      <c r="L773" s="18">
        <v>101.07</v>
      </c>
      <c r="M773" s="22">
        <v>68850</v>
      </c>
      <c r="N773" s="22">
        <v>25650</v>
      </c>
      <c r="O773" s="18">
        <v>27.43</v>
      </c>
      <c r="P773" s="52">
        <f>IF(COUNTIF(TblPurchases[BatchID],TblOutcomes[[#This Row],[BatchID]])&lt;&gt;1,"n.a.",TblOutcomes[[#This Row],[Qty Wasted]]*SUMIFS(TblPurchases[Unit Cost (CLP)],TblPurchases[BatchID],TblOutcomes[[#This Row],[BatchID]]))</f>
        <v>0</v>
      </c>
      <c r="Q773" s="51">
        <f>IF(COUNTIF(TblPurchases[BatchID],TblOutcomes[[#This Row],[BatchID]])&lt;&gt;1,"n.a.",SUMIFS(TblPurchases[Purchase Date],TblPurchases[BatchID],TblOutcomes[[#This Row],[BatchID]]))</f>
        <v>45114</v>
      </c>
    </row>
    <row r="774" spans="2:17" x14ac:dyDescent="0.25">
      <c r="B774" s="2" t="s">
        <v>1578</v>
      </c>
      <c r="C774" s="2" t="s">
        <v>148</v>
      </c>
      <c r="D774" s="2" t="s">
        <v>122</v>
      </c>
      <c r="E774" s="2" t="s">
        <v>4646</v>
      </c>
      <c r="F774" s="2">
        <v>24</v>
      </c>
      <c r="G774" s="2">
        <v>20.93</v>
      </c>
      <c r="H774" s="2">
        <v>3.07</v>
      </c>
      <c r="I774" s="1">
        <v>12.8</v>
      </c>
      <c r="J774" s="26">
        <v>45169</v>
      </c>
      <c r="K774" s="22">
        <v>73255</v>
      </c>
      <c r="L774" s="18">
        <v>78.349999999999994</v>
      </c>
      <c r="M774" s="22">
        <v>60000</v>
      </c>
      <c r="N774" s="22">
        <v>13255</v>
      </c>
      <c r="O774" s="18">
        <v>14.18</v>
      </c>
      <c r="P774" s="52">
        <f>IF(COUNTIF(TblPurchases[BatchID],TblOutcomes[[#This Row],[BatchID]])&lt;&gt;1,"n.a.",TblOutcomes[[#This Row],[Qty Wasted]]*SUMIFS(TblPurchases[Unit Cost (CLP)],TblPurchases[BatchID],TblOutcomes[[#This Row],[BatchID]]))</f>
        <v>7675</v>
      </c>
      <c r="Q774" s="51">
        <f>IF(COUNTIF(TblPurchases[BatchID],TblOutcomes[[#This Row],[BatchID]])&lt;&gt;1,"n.a.",SUMIFS(TblPurchases[Purchase Date],TblPurchases[BatchID],TblOutcomes[[#This Row],[BatchID]]))</f>
        <v>45124</v>
      </c>
    </row>
    <row r="775" spans="2:17" x14ac:dyDescent="0.25">
      <c r="B775" s="2" t="s">
        <v>1579</v>
      </c>
      <c r="C775" s="2" t="s">
        <v>148</v>
      </c>
      <c r="D775" s="2" t="s">
        <v>122</v>
      </c>
      <c r="E775" s="2" t="s">
        <v>4646</v>
      </c>
      <c r="F775" s="2">
        <v>27</v>
      </c>
      <c r="G775" s="2">
        <v>22.46</v>
      </c>
      <c r="H775" s="2">
        <v>4.54</v>
      </c>
      <c r="I775" s="1">
        <v>16.8</v>
      </c>
      <c r="J775" s="26">
        <v>45176</v>
      </c>
      <c r="K775" s="22">
        <v>78610</v>
      </c>
      <c r="L775" s="18">
        <v>84.07</v>
      </c>
      <c r="M775" s="22">
        <v>67500</v>
      </c>
      <c r="N775" s="22">
        <v>11110</v>
      </c>
      <c r="O775" s="18">
        <v>11.88</v>
      </c>
      <c r="P775" s="52">
        <f>IF(COUNTIF(TblPurchases[BatchID],TblOutcomes[[#This Row],[BatchID]])&lt;&gt;1,"n.a.",TblOutcomes[[#This Row],[Qty Wasted]]*SUMIFS(TblPurchases[Unit Cost (CLP)],TblPurchases[BatchID],TblOutcomes[[#This Row],[BatchID]]))</f>
        <v>11350</v>
      </c>
      <c r="Q775" s="51">
        <f>IF(COUNTIF(TblPurchases[BatchID],TblOutcomes[[#This Row],[BatchID]])&lt;&gt;1,"n.a.",SUMIFS(TblPurchases[Purchase Date],TblPurchases[BatchID],TblOutcomes[[#This Row],[BatchID]]))</f>
        <v>45131</v>
      </c>
    </row>
    <row r="776" spans="2:17" x14ac:dyDescent="0.25">
      <c r="B776" s="2" t="s">
        <v>1580</v>
      </c>
      <c r="C776" s="2" t="s">
        <v>148</v>
      </c>
      <c r="D776" s="2" t="s">
        <v>122</v>
      </c>
      <c r="E776" s="2" t="s">
        <v>4647</v>
      </c>
      <c r="F776" s="2">
        <v>27</v>
      </c>
      <c r="G776" s="2">
        <v>27</v>
      </c>
      <c r="H776" s="2">
        <v>0</v>
      </c>
      <c r="I776" s="1">
        <v>0</v>
      </c>
      <c r="J776" s="26">
        <v>45142</v>
      </c>
      <c r="K776" s="22">
        <v>94500</v>
      </c>
      <c r="L776" s="18">
        <v>101.07</v>
      </c>
      <c r="M776" s="22">
        <v>67500</v>
      </c>
      <c r="N776" s="22">
        <v>27000</v>
      </c>
      <c r="O776" s="18">
        <v>28.88</v>
      </c>
      <c r="P776" s="52">
        <f>IF(COUNTIF(TblPurchases[BatchID],TblOutcomes[[#This Row],[BatchID]])&lt;&gt;1,"n.a.",TblOutcomes[[#This Row],[Qty Wasted]]*SUMIFS(TblPurchases[Unit Cost (CLP)],TblPurchases[BatchID],TblOutcomes[[#This Row],[BatchID]]))</f>
        <v>0</v>
      </c>
      <c r="Q776" s="51">
        <f>IF(COUNTIF(TblPurchases[BatchID],TblOutcomes[[#This Row],[BatchID]])&lt;&gt;1,"n.a.",SUMIFS(TblPurchases[Purchase Date],TblPurchases[BatchID],TblOutcomes[[#This Row],[BatchID]]))</f>
        <v>45140</v>
      </c>
    </row>
    <row r="777" spans="2:17" x14ac:dyDescent="0.25">
      <c r="B777" s="2" t="s">
        <v>1581</v>
      </c>
      <c r="C777" s="2" t="s">
        <v>148</v>
      </c>
      <c r="D777" s="2" t="s">
        <v>122</v>
      </c>
      <c r="E777" s="2" t="s">
        <v>4647</v>
      </c>
      <c r="F777" s="2">
        <v>23</v>
      </c>
      <c r="G777" s="2">
        <v>23</v>
      </c>
      <c r="H777" s="2">
        <v>0</v>
      </c>
      <c r="I777" s="1">
        <v>0</v>
      </c>
      <c r="J777" s="26">
        <v>45156</v>
      </c>
      <c r="K777" s="22">
        <v>80500</v>
      </c>
      <c r="L777" s="18">
        <v>86.1</v>
      </c>
      <c r="M777" s="22">
        <v>57500</v>
      </c>
      <c r="N777" s="22">
        <v>23000</v>
      </c>
      <c r="O777" s="18">
        <v>24.6</v>
      </c>
      <c r="P777" s="52">
        <f>IF(COUNTIF(TblPurchases[BatchID],TblOutcomes[[#This Row],[BatchID]])&lt;&gt;1,"n.a.",TblOutcomes[[#This Row],[Qty Wasted]]*SUMIFS(TblPurchases[Unit Cost (CLP)],TblPurchases[BatchID],TblOutcomes[[#This Row],[BatchID]]))</f>
        <v>0</v>
      </c>
      <c r="Q777" s="51">
        <f>IF(COUNTIF(TblPurchases[BatchID],TblOutcomes[[#This Row],[BatchID]])&lt;&gt;1,"n.a.",SUMIFS(TblPurchases[Purchase Date],TblPurchases[BatchID],TblOutcomes[[#This Row],[BatchID]]))</f>
        <v>45148</v>
      </c>
    </row>
    <row r="778" spans="2:17" x14ac:dyDescent="0.25">
      <c r="B778" s="2" t="s">
        <v>1582</v>
      </c>
      <c r="C778" s="2" t="s">
        <v>148</v>
      </c>
      <c r="D778" s="2" t="s">
        <v>122</v>
      </c>
      <c r="E778" s="2" t="s">
        <v>4646</v>
      </c>
      <c r="F778" s="2">
        <v>27</v>
      </c>
      <c r="G778" s="2">
        <v>25.25</v>
      </c>
      <c r="H778" s="2">
        <v>1.76</v>
      </c>
      <c r="I778" s="1">
        <v>6.5</v>
      </c>
      <c r="J778" s="26">
        <v>45202</v>
      </c>
      <c r="K778" s="22">
        <v>88375</v>
      </c>
      <c r="L778" s="18">
        <v>94.52</v>
      </c>
      <c r="M778" s="22">
        <v>67500</v>
      </c>
      <c r="N778" s="22">
        <v>20875</v>
      </c>
      <c r="O778" s="18">
        <v>22.33</v>
      </c>
      <c r="P778" s="52">
        <f>IF(COUNTIF(TblPurchases[BatchID],TblOutcomes[[#This Row],[BatchID]])&lt;&gt;1,"n.a.",TblOutcomes[[#This Row],[Qty Wasted]]*SUMIFS(TblPurchases[Unit Cost (CLP)],TblPurchases[BatchID],TblOutcomes[[#This Row],[BatchID]]))</f>
        <v>4400</v>
      </c>
      <c r="Q778" s="51">
        <f>IF(COUNTIF(TblPurchases[BatchID],TblOutcomes[[#This Row],[BatchID]])&lt;&gt;1,"n.a.",SUMIFS(TblPurchases[Purchase Date],TblPurchases[BatchID],TblOutcomes[[#This Row],[BatchID]]))</f>
        <v>45157</v>
      </c>
    </row>
    <row r="779" spans="2:17" x14ac:dyDescent="0.25">
      <c r="B779" s="2" t="s">
        <v>1583</v>
      </c>
      <c r="C779" s="2" t="s">
        <v>148</v>
      </c>
      <c r="D779" s="2" t="s">
        <v>122</v>
      </c>
      <c r="E779" s="2" t="s">
        <v>4646</v>
      </c>
      <c r="F779" s="2">
        <v>23</v>
      </c>
      <c r="G779" s="2">
        <v>21.57</v>
      </c>
      <c r="H779" s="2">
        <v>1.43</v>
      </c>
      <c r="I779" s="1">
        <v>6.2</v>
      </c>
      <c r="J779" s="26">
        <v>45211</v>
      </c>
      <c r="K779" s="22">
        <v>75495</v>
      </c>
      <c r="L779" s="18">
        <v>80.739999999999995</v>
      </c>
      <c r="M779" s="22">
        <v>57500</v>
      </c>
      <c r="N779" s="22">
        <v>17995</v>
      </c>
      <c r="O779" s="18">
        <v>19.25</v>
      </c>
      <c r="P779" s="52">
        <f>IF(COUNTIF(TblPurchases[BatchID],TblOutcomes[[#This Row],[BatchID]])&lt;&gt;1,"n.a.",TblOutcomes[[#This Row],[Qty Wasted]]*SUMIFS(TblPurchases[Unit Cost (CLP)],TblPurchases[BatchID],TblOutcomes[[#This Row],[BatchID]]))</f>
        <v>3575</v>
      </c>
      <c r="Q779" s="51">
        <f>IF(COUNTIF(TblPurchases[BatchID],TblOutcomes[[#This Row],[BatchID]])&lt;&gt;1,"n.a.",SUMIFS(TblPurchases[Purchase Date],TblPurchases[BatchID],TblOutcomes[[#This Row],[BatchID]]))</f>
        <v>45166</v>
      </c>
    </row>
    <row r="780" spans="2:17" x14ac:dyDescent="0.25">
      <c r="B780" s="2" t="s">
        <v>1584</v>
      </c>
      <c r="C780" s="2" t="s">
        <v>148</v>
      </c>
      <c r="D780" s="2" t="s">
        <v>122</v>
      </c>
      <c r="E780" s="2" t="s">
        <v>4646</v>
      </c>
      <c r="F780" s="2">
        <v>28</v>
      </c>
      <c r="G780" s="2">
        <v>25.76</v>
      </c>
      <c r="H780" s="2">
        <v>2.2400000000000002</v>
      </c>
      <c r="I780" s="1">
        <v>8</v>
      </c>
      <c r="J780" s="26">
        <v>45222</v>
      </c>
      <c r="K780" s="22">
        <v>90160</v>
      </c>
      <c r="L780" s="18">
        <v>96.43</v>
      </c>
      <c r="M780" s="22">
        <v>70000</v>
      </c>
      <c r="N780" s="22">
        <v>20160</v>
      </c>
      <c r="O780" s="18">
        <v>21.56</v>
      </c>
      <c r="P780" s="52">
        <f>IF(COUNTIF(TblPurchases[BatchID],TblOutcomes[[#This Row],[BatchID]])&lt;&gt;1,"n.a.",TblOutcomes[[#This Row],[Qty Wasted]]*SUMIFS(TblPurchases[Unit Cost (CLP)],TblPurchases[BatchID],TblOutcomes[[#This Row],[BatchID]]))</f>
        <v>5600.0000000000009</v>
      </c>
      <c r="Q780" s="51">
        <f>IF(COUNTIF(TblPurchases[BatchID],TblOutcomes[[#This Row],[BatchID]])&lt;&gt;1,"n.a.",SUMIFS(TblPurchases[Purchase Date],TblPurchases[BatchID],TblOutcomes[[#This Row],[BatchID]]))</f>
        <v>45177</v>
      </c>
    </row>
    <row r="781" spans="2:17" x14ac:dyDescent="0.25">
      <c r="B781" s="2" t="s">
        <v>1585</v>
      </c>
      <c r="C781" s="2" t="s">
        <v>148</v>
      </c>
      <c r="D781" s="2" t="s">
        <v>122</v>
      </c>
      <c r="E781" s="2" t="s">
        <v>4647</v>
      </c>
      <c r="F781" s="2">
        <v>32</v>
      </c>
      <c r="G781" s="2">
        <v>32</v>
      </c>
      <c r="H781" s="2">
        <v>0</v>
      </c>
      <c r="I781" s="1">
        <v>0</v>
      </c>
      <c r="J781" s="26">
        <v>45202</v>
      </c>
      <c r="K781" s="22">
        <v>112000</v>
      </c>
      <c r="L781" s="18">
        <v>119.79</v>
      </c>
      <c r="M781" s="22">
        <v>80000</v>
      </c>
      <c r="N781" s="22">
        <v>32000</v>
      </c>
      <c r="O781" s="18">
        <v>34.22</v>
      </c>
      <c r="P781" s="52">
        <f>IF(COUNTIF(TblPurchases[BatchID],TblOutcomes[[#This Row],[BatchID]])&lt;&gt;1,"n.a.",TblOutcomes[[#This Row],[Qty Wasted]]*SUMIFS(TblPurchases[Unit Cost (CLP)],TblPurchases[BatchID],TblOutcomes[[#This Row],[BatchID]]))</f>
        <v>0</v>
      </c>
      <c r="Q781" s="51">
        <f>IF(COUNTIF(TblPurchases[BatchID],TblOutcomes[[#This Row],[BatchID]])&lt;&gt;1,"n.a.",SUMIFS(TblPurchases[Purchase Date],TblPurchases[BatchID],TblOutcomes[[#This Row],[BatchID]]))</f>
        <v>45187</v>
      </c>
    </row>
    <row r="782" spans="2:17" x14ac:dyDescent="0.25">
      <c r="B782" s="2" t="s">
        <v>1586</v>
      </c>
      <c r="C782" s="2" t="s">
        <v>148</v>
      </c>
      <c r="D782" s="2" t="s">
        <v>122</v>
      </c>
      <c r="E782" s="2" t="s">
        <v>4647</v>
      </c>
      <c r="F782" s="2">
        <v>32</v>
      </c>
      <c r="G782" s="2">
        <v>32</v>
      </c>
      <c r="H782" s="2">
        <v>0</v>
      </c>
      <c r="I782" s="1">
        <v>0</v>
      </c>
      <c r="J782" s="26">
        <v>45201</v>
      </c>
      <c r="K782" s="22">
        <v>112000</v>
      </c>
      <c r="L782" s="18">
        <v>119.79</v>
      </c>
      <c r="M782" s="22">
        <v>81600</v>
      </c>
      <c r="N782" s="22">
        <v>30400</v>
      </c>
      <c r="O782" s="18">
        <v>32.51</v>
      </c>
      <c r="P782" s="52">
        <f>IF(COUNTIF(TblPurchases[BatchID],TblOutcomes[[#This Row],[BatchID]])&lt;&gt;1,"n.a.",TblOutcomes[[#This Row],[Qty Wasted]]*SUMIFS(TblPurchases[Unit Cost (CLP)],TblPurchases[BatchID],TblOutcomes[[#This Row],[BatchID]]))</f>
        <v>0</v>
      </c>
      <c r="Q782" s="51">
        <f>IF(COUNTIF(TblPurchases[BatchID],TblOutcomes[[#This Row],[BatchID]])&lt;&gt;1,"n.a.",SUMIFS(TblPurchases[Purchase Date],TblPurchases[BatchID],TblOutcomes[[#This Row],[BatchID]]))</f>
        <v>45197</v>
      </c>
    </row>
    <row r="783" spans="2:17" x14ac:dyDescent="0.25">
      <c r="B783" s="2" t="s">
        <v>1587</v>
      </c>
      <c r="C783" s="2" t="s">
        <v>148</v>
      </c>
      <c r="D783" s="2" t="s">
        <v>122</v>
      </c>
      <c r="E783" s="2" t="s">
        <v>4647</v>
      </c>
      <c r="F783" s="2">
        <v>21</v>
      </c>
      <c r="G783" s="2">
        <v>21</v>
      </c>
      <c r="H783" s="2">
        <v>0</v>
      </c>
      <c r="I783" s="1">
        <v>0</v>
      </c>
      <c r="J783" s="26">
        <v>45215</v>
      </c>
      <c r="K783" s="22">
        <v>73500</v>
      </c>
      <c r="L783" s="18">
        <v>78.61</v>
      </c>
      <c r="M783" s="22">
        <v>52500</v>
      </c>
      <c r="N783" s="22">
        <v>21000</v>
      </c>
      <c r="O783" s="18">
        <v>22.46</v>
      </c>
      <c r="P783" s="52">
        <f>IF(COUNTIF(TblPurchases[BatchID],TblOutcomes[[#This Row],[BatchID]])&lt;&gt;1,"n.a.",TblOutcomes[[#This Row],[Qty Wasted]]*SUMIFS(TblPurchases[Unit Cost (CLP)],TblPurchases[BatchID],TblOutcomes[[#This Row],[BatchID]]))</f>
        <v>0</v>
      </c>
      <c r="Q783" s="51">
        <f>IF(COUNTIF(TblPurchases[BatchID],TblOutcomes[[#This Row],[BatchID]])&lt;&gt;1,"n.a.",SUMIFS(TblPurchases[Purchase Date],TblPurchases[BatchID],TblOutcomes[[#This Row],[BatchID]]))</f>
        <v>45206</v>
      </c>
    </row>
    <row r="784" spans="2:17" x14ac:dyDescent="0.25">
      <c r="B784" s="2" t="s">
        <v>1588</v>
      </c>
      <c r="C784" s="2" t="s">
        <v>148</v>
      </c>
      <c r="D784" s="2" t="s">
        <v>122</v>
      </c>
      <c r="E784" s="2" t="s">
        <v>4647</v>
      </c>
      <c r="F784" s="2">
        <v>24</v>
      </c>
      <c r="G784" s="2">
        <v>24</v>
      </c>
      <c r="H784" s="2">
        <v>0</v>
      </c>
      <c r="I784" s="1">
        <v>0</v>
      </c>
      <c r="J784" s="26">
        <v>45222</v>
      </c>
      <c r="K784" s="22">
        <v>84000</v>
      </c>
      <c r="L784" s="18">
        <v>89.84</v>
      </c>
      <c r="M784" s="22">
        <v>60000</v>
      </c>
      <c r="N784" s="22">
        <v>24000</v>
      </c>
      <c r="O784" s="18">
        <v>25.67</v>
      </c>
      <c r="P784" s="52">
        <f>IF(COUNTIF(TblPurchases[BatchID],TblOutcomes[[#This Row],[BatchID]])&lt;&gt;1,"n.a.",TblOutcomes[[#This Row],[Qty Wasted]]*SUMIFS(TblPurchases[Unit Cost (CLP)],TblPurchases[BatchID],TblOutcomes[[#This Row],[BatchID]]))</f>
        <v>0</v>
      </c>
      <c r="Q784" s="51">
        <f>IF(COUNTIF(TblPurchases[BatchID],TblOutcomes[[#This Row],[BatchID]])&lt;&gt;1,"n.a.",SUMIFS(TblPurchases[Purchase Date],TblPurchases[BatchID],TblOutcomes[[#This Row],[BatchID]]))</f>
        <v>45214</v>
      </c>
    </row>
    <row r="785" spans="2:17" x14ac:dyDescent="0.25">
      <c r="B785" s="2" t="s">
        <v>1589</v>
      </c>
      <c r="C785" s="2" t="s">
        <v>148</v>
      </c>
      <c r="D785" s="2" t="s">
        <v>122</v>
      </c>
      <c r="E785" s="2" t="s">
        <v>4647</v>
      </c>
      <c r="F785" s="2">
        <v>21</v>
      </c>
      <c r="G785" s="2">
        <v>21</v>
      </c>
      <c r="H785" s="2">
        <v>0</v>
      </c>
      <c r="I785" s="1">
        <v>0</v>
      </c>
      <c r="J785" s="26">
        <v>45230</v>
      </c>
      <c r="K785" s="22">
        <v>73500</v>
      </c>
      <c r="L785" s="18">
        <v>78.61</v>
      </c>
      <c r="M785" s="22">
        <v>53550</v>
      </c>
      <c r="N785" s="22">
        <v>19950</v>
      </c>
      <c r="O785" s="18">
        <v>21.34</v>
      </c>
      <c r="P785" s="52">
        <f>IF(COUNTIF(TblPurchases[BatchID],TblOutcomes[[#This Row],[BatchID]])&lt;&gt;1,"n.a.",TblOutcomes[[#This Row],[Qty Wasted]]*SUMIFS(TblPurchases[Unit Cost (CLP)],TblPurchases[BatchID],TblOutcomes[[#This Row],[BatchID]]))</f>
        <v>0</v>
      </c>
      <c r="Q785" s="51">
        <f>IF(COUNTIF(TblPurchases[BatchID],TblOutcomes[[#This Row],[BatchID]])&lt;&gt;1,"n.a.",SUMIFS(TblPurchases[Purchase Date],TblPurchases[BatchID],TblOutcomes[[#This Row],[BatchID]]))</f>
        <v>45225</v>
      </c>
    </row>
    <row r="786" spans="2:17" x14ac:dyDescent="0.25">
      <c r="B786" s="2" t="s">
        <v>1590</v>
      </c>
      <c r="C786" s="2" t="s">
        <v>148</v>
      </c>
      <c r="D786" s="2" t="s">
        <v>122</v>
      </c>
      <c r="E786" s="2" t="s">
        <v>4647</v>
      </c>
      <c r="F786" s="2">
        <v>26</v>
      </c>
      <c r="G786" s="2">
        <v>26</v>
      </c>
      <c r="H786" s="2">
        <v>0</v>
      </c>
      <c r="I786" s="1">
        <v>0</v>
      </c>
      <c r="J786" s="26">
        <v>45246</v>
      </c>
      <c r="K786" s="22">
        <v>91000</v>
      </c>
      <c r="L786" s="18">
        <v>97.33</v>
      </c>
      <c r="M786" s="22">
        <v>66300</v>
      </c>
      <c r="N786" s="22">
        <v>24700</v>
      </c>
      <c r="O786" s="18">
        <v>26.42</v>
      </c>
      <c r="P786" s="52">
        <f>IF(COUNTIF(TblPurchases[BatchID],TblOutcomes[[#This Row],[BatchID]])&lt;&gt;1,"n.a.",TblOutcomes[[#This Row],[Qty Wasted]]*SUMIFS(TblPurchases[Unit Cost (CLP)],TblPurchases[BatchID],TblOutcomes[[#This Row],[BatchID]]))</f>
        <v>0</v>
      </c>
      <c r="Q786" s="51">
        <f>IF(COUNTIF(TblPurchases[BatchID],TblOutcomes[[#This Row],[BatchID]])&lt;&gt;1,"n.a.",SUMIFS(TblPurchases[Purchase Date],TblPurchases[BatchID],TblOutcomes[[#This Row],[BatchID]]))</f>
        <v>45237</v>
      </c>
    </row>
    <row r="787" spans="2:17" x14ac:dyDescent="0.25">
      <c r="B787" s="2" t="s">
        <v>1591</v>
      </c>
      <c r="C787" s="2" t="s">
        <v>148</v>
      </c>
      <c r="D787" s="2" t="s">
        <v>122</v>
      </c>
      <c r="E787" s="2" t="s">
        <v>4647</v>
      </c>
      <c r="F787" s="2">
        <v>27</v>
      </c>
      <c r="G787" s="2">
        <v>27</v>
      </c>
      <c r="H787" s="2">
        <v>0</v>
      </c>
      <c r="I787" s="1">
        <v>0</v>
      </c>
      <c r="J787" s="26">
        <v>45251</v>
      </c>
      <c r="K787" s="22">
        <v>94500</v>
      </c>
      <c r="L787" s="18">
        <v>101.07</v>
      </c>
      <c r="M787" s="22">
        <v>68850</v>
      </c>
      <c r="N787" s="22">
        <v>25650</v>
      </c>
      <c r="O787" s="18">
        <v>27.43</v>
      </c>
      <c r="P787" s="52">
        <f>IF(COUNTIF(TblPurchases[BatchID],TblOutcomes[[#This Row],[BatchID]])&lt;&gt;1,"n.a.",TblOutcomes[[#This Row],[Qty Wasted]]*SUMIFS(TblPurchases[Unit Cost (CLP)],TblPurchases[BatchID],TblOutcomes[[#This Row],[BatchID]]))</f>
        <v>0</v>
      </c>
      <c r="Q787" s="51">
        <f>IF(COUNTIF(TblPurchases[BatchID],TblOutcomes[[#This Row],[BatchID]])&lt;&gt;1,"n.a.",SUMIFS(TblPurchases[Purchase Date],TblPurchases[BatchID],TblOutcomes[[#This Row],[BatchID]]))</f>
        <v>45246</v>
      </c>
    </row>
    <row r="788" spans="2:17" x14ac:dyDescent="0.25">
      <c r="B788" s="2" t="s">
        <v>1592</v>
      </c>
      <c r="C788" s="2" t="s">
        <v>148</v>
      </c>
      <c r="D788" s="2" t="s">
        <v>122</v>
      </c>
      <c r="E788" s="2" t="s">
        <v>4646</v>
      </c>
      <c r="F788" s="2">
        <v>28</v>
      </c>
      <c r="G788" s="2">
        <v>26.01</v>
      </c>
      <c r="H788" s="2">
        <v>1.99</v>
      </c>
      <c r="I788" s="1">
        <v>7.1</v>
      </c>
      <c r="J788" s="26">
        <v>45301</v>
      </c>
      <c r="K788" s="22">
        <v>91035</v>
      </c>
      <c r="L788" s="18">
        <v>97.36</v>
      </c>
      <c r="M788" s="22">
        <v>71400</v>
      </c>
      <c r="N788" s="22">
        <v>19635</v>
      </c>
      <c r="O788" s="18">
        <v>21</v>
      </c>
      <c r="P788" s="52">
        <f>IF(COUNTIF(TblPurchases[BatchID],TblOutcomes[[#This Row],[BatchID]])&lt;&gt;1,"n.a.",TblOutcomes[[#This Row],[Qty Wasted]]*SUMIFS(TblPurchases[Unit Cost (CLP)],TblPurchases[BatchID],TblOutcomes[[#This Row],[BatchID]]))</f>
        <v>5074.5</v>
      </c>
      <c r="Q788" s="51">
        <f>IF(COUNTIF(TblPurchases[BatchID],TblOutcomes[[#This Row],[BatchID]])&lt;&gt;1,"n.a.",SUMIFS(TblPurchases[Purchase Date],TblPurchases[BatchID],TblOutcomes[[#This Row],[BatchID]]))</f>
        <v>45256</v>
      </c>
    </row>
    <row r="789" spans="2:17" x14ac:dyDescent="0.25">
      <c r="B789" s="2" t="s">
        <v>1593</v>
      </c>
      <c r="C789" s="2" t="s">
        <v>148</v>
      </c>
      <c r="D789" s="2" t="s">
        <v>122</v>
      </c>
      <c r="E789" s="2" t="s">
        <v>4647</v>
      </c>
      <c r="F789" s="2">
        <v>28</v>
      </c>
      <c r="G789" s="2">
        <v>28</v>
      </c>
      <c r="H789" s="2">
        <v>0</v>
      </c>
      <c r="I789" s="1">
        <v>0</v>
      </c>
      <c r="J789" s="26">
        <v>45269</v>
      </c>
      <c r="K789" s="22">
        <v>98000</v>
      </c>
      <c r="L789" s="18">
        <v>104.81</v>
      </c>
      <c r="M789" s="22">
        <v>70000</v>
      </c>
      <c r="N789" s="22">
        <v>28000</v>
      </c>
      <c r="O789" s="18">
        <v>29.95</v>
      </c>
      <c r="P789" s="52">
        <f>IF(COUNTIF(TblPurchases[BatchID],TblOutcomes[[#This Row],[BatchID]])&lt;&gt;1,"n.a.",TblOutcomes[[#This Row],[Qty Wasted]]*SUMIFS(TblPurchases[Unit Cost (CLP)],TblPurchases[BatchID],TblOutcomes[[#This Row],[BatchID]]))</f>
        <v>0</v>
      </c>
      <c r="Q789" s="51">
        <f>IF(COUNTIF(TblPurchases[BatchID],TblOutcomes[[#This Row],[BatchID]])&lt;&gt;1,"n.a.",SUMIFS(TblPurchases[Purchase Date],TblPurchases[BatchID],TblOutcomes[[#This Row],[BatchID]]))</f>
        <v>45264</v>
      </c>
    </row>
    <row r="790" spans="2:17" x14ac:dyDescent="0.25">
      <c r="B790" s="2" t="s">
        <v>1594</v>
      </c>
      <c r="C790" s="2" t="s">
        <v>148</v>
      </c>
      <c r="D790" s="2" t="s">
        <v>122</v>
      </c>
      <c r="E790" s="2" t="s">
        <v>4647</v>
      </c>
      <c r="F790" s="2">
        <v>30</v>
      </c>
      <c r="G790" s="2">
        <v>30</v>
      </c>
      <c r="H790" s="2">
        <v>0</v>
      </c>
      <c r="I790" s="1">
        <v>0</v>
      </c>
      <c r="J790" s="26">
        <v>45278</v>
      </c>
      <c r="K790" s="22">
        <v>105000</v>
      </c>
      <c r="L790" s="18">
        <v>112.3</v>
      </c>
      <c r="M790" s="22">
        <v>75000</v>
      </c>
      <c r="N790" s="22">
        <v>30000</v>
      </c>
      <c r="O790" s="18">
        <v>32.090000000000003</v>
      </c>
      <c r="P790" s="52">
        <f>IF(COUNTIF(TblPurchases[BatchID],TblOutcomes[[#This Row],[BatchID]])&lt;&gt;1,"n.a.",TblOutcomes[[#This Row],[Qty Wasted]]*SUMIFS(TblPurchases[Unit Cost (CLP)],TblPurchases[BatchID],TblOutcomes[[#This Row],[BatchID]]))</f>
        <v>0</v>
      </c>
      <c r="Q790" s="51">
        <f>IF(COUNTIF(TblPurchases[BatchID],TblOutcomes[[#This Row],[BatchID]])&lt;&gt;1,"n.a.",SUMIFS(TblPurchases[Purchase Date],TblPurchases[BatchID],TblOutcomes[[#This Row],[BatchID]]))</f>
        <v>45272</v>
      </c>
    </row>
    <row r="791" spans="2:17" x14ac:dyDescent="0.25">
      <c r="B791" s="2" t="s">
        <v>1595</v>
      </c>
      <c r="C791" s="2" t="s">
        <v>148</v>
      </c>
      <c r="D791" s="2" t="s">
        <v>122</v>
      </c>
      <c r="E791" s="2" t="s">
        <v>4647</v>
      </c>
      <c r="F791" s="2">
        <v>27</v>
      </c>
      <c r="G791" s="2">
        <v>27</v>
      </c>
      <c r="H791" s="2">
        <v>0</v>
      </c>
      <c r="I791" s="1">
        <v>0</v>
      </c>
      <c r="J791" s="26">
        <v>45290</v>
      </c>
      <c r="K791" s="22">
        <v>94500</v>
      </c>
      <c r="L791" s="18">
        <v>101.07</v>
      </c>
      <c r="M791" s="22">
        <v>67500</v>
      </c>
      <c r="N791" s="22">
        <v>27000</v>
      </c>
      <c r="O791" s="18">
        <v>28.88</v>
      </c>
      <c r="P791" s="52">
        <f>IF(COUNTIF(TblPurchases[BatchID],TblOutcomes[[#This Row],[BatchID]])&lt;&gt;1,"n.a.",TblOutcomes[[#This Row],[Qty Wasted]]*SUMIFS(TblPurchases[Unit Cost (CLP)],TblPurchases[BatchID],TblOutcomes[[#This Row],[BatchID]]))</f>
        <v>0</v>
      </c>
      <c r="Q791" s="51">
        <f>IF(COUNTIF(TblPurchases[BatchID],TblOutcomes[[#This Row],[BatchID]])&lt;&gt;1,"n.a.",SUMIFS(TblPurchases[Purchase Date],TblPurchases[BatchID],TblOutcomes[[#This Row],[BatchID]]))</f>
        <v>45282</v>
      </c>
    </row>
    <row r="792" spans="2:17" x14ac:dyDescent="0.25">
      <c r="B792" s="2" t="s">
        <v>1596</v>
      </c>
      <c r="C792" s="2" t="s">
        <v>148</v>
      </c>
      <c r="D792" s="2" t="s">
        <v>122</v>
      </c>
      <c r="E792" s="2" t="s">
        <v>4646</v>
      </c>
      <c r="F792" s="2">
        <v>27</v>
      </c>
      <c r="G792" s="2">
        <v>23.65</v>
      </c>
      <c r="H792" s="2">
        <v>3.35</v>
      </c>
      <c r="I792" s="1">
        <v>12.4</v>
      </c>
      <c r="J792" s="26">
        <v>45338</v>
      </c>
      <c r="K792" s="22">
        <v>82775</v>
      </c>
      <c r="L792" s="18">
        <v>88.53</v>
      </c>
      <c r="M792" s="22">
        <v>67500</v>
      </c>
      <c r="N792" s="22">
        <v>15275</v>
      </c>
      <c r="O792" s="18">
        <v>16.34</v>
      </c>
      <c r="P792" s="52">
        <f>IF(COUNTIF(TblPurchases[BatchID],TblOutcomes[[#This Row],[BatchID]])&lt;&gt;1,"n.a.",TblOutcomes[[#This Row],[Qty Wasted]]*SUMIFS(TblPurchases[Unit Cost (CLP)],TblPurchases[BatchID],TblOutcomes[[#This Row],[BatchID]]))</f>
        <v>8375</v>
      </c>
      <c r="Q792" s="51">
        <f>IF(COUNTIF(TblPurchases[BatchID],TblOutcomes[[#This Row],[BatchID]])&lt;&gt;1,"n.a.",SUMIFS(TblPurchases[Purchase Date],TblPurchases[BatchID],TblOutcomes[[#This Row],[BatchID]]))</f>
        <v>45293</v>
      </c>
    </row>
    <row r="793" spans="2:17" x14ac:dyDescent="0.25">
      <c r="B793" s="2" t="s">
        <v>1597</v>
      </c>
      <c r="C793" s="2" t="s">
        <v>148</v>
      </c>
      <c r="D793" s="2" t="s">
        <v>122</v>
      </c>
      <c r="E793" s="2" t="s">
        <v>4647</v>
      </c>
      <c r="F793" s="2">
        <v>27</v>
      </c>
      <c r="G793" s="2">
        <v>27</v>
      </c>
      <c r="H793" s="2">
        <v>0</v>
      </c>
      <c r="I793" s="1">
        <v>0</v>
      </c>
      <c r="J793" s="26">
        <v>45309</v>
      </c>
      <c r="K793" s="22">
        <v>94500</v>
      </c>
      <c r="L793" s="18">
        <v>101.07</v>
      </c>
      <c r="M793" s="22">
        <v>67500</v>
      </c>
      <c r="N793" s="22">
        <v>27000</v>
      </c>
      <c r="O793" s="18">
        <v>28.88</v>
      </c>
      <c r="P793" s="52">
        <f>IF(COUNTIF(TblPurchases[BatchID],TblOutcomes[[#This Row],[BatchID]])&lt;&gt;1,"n.a.",TblOutcomes[[#This Row],[Qty Wasted]]*SUMIFS(TblPurchases[Unit Cost (CLP)],TblPurchases[BatchID],TblOutcomes[[#This Row],[BatchID]]))</f>
        <v>0</v>
      </c>
      <c r="Q793" s="51">
        <f>IF(COUNTIF(TblPurchases[BatchID],TblOutcomes[[#This Row],[BatchID]])&lt;&gt;1,"n.a.",SUMIFS(TblPurchases[Purchase Date],TblPurchases[BatchID],TblOutcomes[[#This Row],[BatchID]]))</f>
        <v>45303</v>
      </c>
    </row>
    <row r="794" spans="2:17" x14ac:dyDescent="0.25">
      <c r="B794" s="2" t="s">
        <v>1598</v>
      </c>
      <c r="C794" s="2" t="s">
        <v>148</v>
      </c>
      <c r="D794" s="2" t="s">
        <v>122</v>
      </c>
      <c r="E794" s="2" t="s">
        <v>4647</v>
      </c>
      <c r="F794" s="2">
        <v>23</v>
      </c>
      <c r="G794" s="2">
        <v>23</v>
      </c>
      <c r="H794" s="2">
        <v>0</v>
      </c>
      <c r="I794" s="1">
        <v>0</v>
      </c>
      <c r="J794" s="26">
        <v>45317</v>
      </c>
      <c r="K794" s="22">
        <v>80500</v>
      </c>
      <c r="L794" s="18">
        <v>86.1</v>
      </c>
      <c r="M794" s="22">
        <v>57500</v>
      </c>
      <c r="N794" s="22">
        <v>23000</v>
      </c>
      <c r="O794" s="18">
        <v>24.6</v>
      </c>
      <c r="P794" s="52">
        <f>IF(COUNTIF(TblPurchases[BatchID],TblOutcomes[[#This Row],[BatchID]])&lt;&gt;1,"n.a.",TblOutcomes[[#This Row],[Qty Wasted]]*SUMIFS(TblPurchases[Unit Cost (CLP)],TblPurchases[BatchID],TblOutcomes[[#This Row],[BatchID]]))</f>
        <v>0</v>
      </c>
      <c r="Q794" s="51">
        <f>IF(COUNTIF(TblPurchases[BatchID],TblOutcomes[[#This Row],[BatchID]])&lt;&gt;1,"n.a.",SUMIFS(TblPurchases[Purchase Date],TblPurchases[BatchID],TblOutcomes[[#This Row],[BatchID]]))</f>
        <v>45311</v>
      </c>
    </row>
    <row r="795" spans="2:17" x14ac:dyDescent="0.25">
      <c r="B795" s="2" t="s">
        <v>1599</v>
      </c>
      <c r="C795" s="2" t="s">
        <v>148</v>
      </c>
      <c r="D795" s="2" t="s">
        <v>122</v>
      </c>
      <c r="E795" s="2" t="s">
        <v>4647</v>
      </c>
      <c r="F795" s="2">
        <v>23</v>
      </c>
      <c r="G795" s="2">
        <v>23</v>
      </c>
      <c r="H795" s="2">
        <v>0</v>
      </c>
      <c r="I795" s="1">
        <v>0</v>
      </c>
      <c r="J795" s="26">
        <v>45329</v>
      </c>
      <c r="K795" s="22">
        <v>80500</v>
      </c>
      <c r="L795" s="18">
        <v>86.1</v>
      </c>
      <c r="M795" s="22">
        <v>57500</v>
      </c>
      <c r="N795" s="22">
        <v>23000</v>
      </c>
      <c r="O795" s="18">
        <v>24.6</v>
      </c>
      <c r="P795" s="52">
        <f>IF(COUNTIF(TblPurchases[BatchID],TblOutcomes[[#This Row],[BatchID]])&lt;&gt;1,"n.a.",TblOutcomes[[#This Row],[Qty Wasted]]*SUMIFS(TblPurchases[Unit Cost (CLP)],TblPurchases[BatchID],TblOutcomes[[#This Row],[BatchID]]))</f>
        <v>0</v>
      </c>
      <c r="Q795" s="51">
        <f>IF(COUNTIF(TblPurchases[BatchID],TblOutcomes[[#This Row],[BatchID]])&lt;&gt;1,"n.a.",SUMIFS(TblPurchases[Purchase Date],TblPurchases[BatchID],TblOutcomes[[#This Row],[BatchID]]))</f>
        <v>45323</v>
      </c>
    </row>
    <row r="796" spans="2:17" x14ac:dyDescent="0.25">
      <c r="B796" s="2" t="s">
        <v>1600</v>
      </c>
      <c r="C796" s="2" t="s">
        <v>148</v>
      </c>
      <c r="D796" s="2" t="s">
        <v>122</v>
      </c>
      <c r="E796" s="2" t="s">
        <v>4646</v>
      </c>
      <c r="F796" s="2">
        <v>27</v>
      </c>
      <c r="G796" s="2">
        <v>23.41</v>
      </c>
      <c r="H796" s="2">
        <v>3.59</v>
      </c>
      <c r="I796" s="1">
        <v>13.3</v>
      </c>
      <c r="J796" s="26">
        <v>45378</v>
      </c>
      <c r="K796" s="22">
        <v>81935</v>
      </c>
      <c r="L796" s="18">
        <v>87.63</v>
      </c>
      <c r="M796" s="22">
        <v>67500</v>
      </c>
      <c r="N796" s="22">
        <v>14435</v>
      </c>
      <c r="O796" s="18">
        <v>15.44</v>
      </c>
      <c r="P796" s="52">
        <f>IF(COUNTIF(TblPurchases[BatchID],TblOutcomes[[#This Row],[BatchID]])&lt;&gt;1,"n.a.",TblOutcomes[[#This Row],[Qty Wasted]]*SUMIFS(TblPurchases[Unit Cost (CLP)],TblPurchases[BatchID],TblOutcomes[[#This Row],[BatchID]]))</f>
        <v>8975</v>
      </c>
      <c r="Q796" s="51">
        <f>IF(COUNTIF(TblPurchases[BatchID],TblOutcomes[[#This Row],[BatchID]])&lt;&gt;1,"n.a.",SUMIFS(TblPurchases[Purchase Date],TblPurchases[BatchID],TblOutcomes[[#This Row],[BatchID]]))</f>
        <v>45333</v>
      </c>
    </row>
    <row r="797" spans="2:17" x14ac:dyDescent="0.25">
      <c r="B797" s="2" t="s">
        <v>1601</v>
      </c>
      <c r="C797" s="2" t="s">
        <v>148</v>
      </c>
      <c r="D797" s="2" t="s">
        <v>122</v>
      </c>
      <c r="E797" s="2" t="s">
        <v>4647</v>
      </c>
      <c r="F797" s="2">
        <v>25</v>
      </c>
      <c r="G797" s="2">
        <v>25</v>
      </c>
      <c r="H797" s="2">
        <v>0</v>
      </c>
      <c r="I797" s="1">
        <v>0</v>
      </c>
      <c r="J797" s="26">
        <v>45350</v>
      </c>
      <c r="K797" s="22">
        <v>87500</v>
      </c>
      <c r="L797" s="18">
        <v>93.58</v>
      </c>
      <c r="M797" s="22">
        <v>62500</v>
      </c>
      <c r="N797" s="22">
        <v>25000</v>
      </c>
      <c r="O797" s="18">
        <v>26.74</v>
      </c>
      <c r="P797" s="52">
        <f>IF(COUNTIF(TblPurchases[BatchID],TblOutcomes[[#This Row],[BatchID]])&lt;&gt;1,"n.a.",TblOutcomes[[#This Row],[Qty Wasted]]*SUMIFS(TblPurchases[Unit Cost (CLP)],TblPurchases[BatchID],TblOutcomes[[#This Row],[BatchID]]))</f>
        <v>0</v>
      </c>
      <c r="Q797" s="51">
        <f>IF(COUNTIF(TblPurchases[BatchID],TblOutcomes[[#This Row],[BatchID]])&lt;&gt;1,"n.a.",SUMIFS(TblPurchases[Purchase Date],TblPurchases[BatchID],TblOutcomes[[#This Row],[BatchID]]))</f>
        <v>45342</v>
      </c>
    </row>
    <row r="798" spans="2:17" x14ac:dyDescent="0.25">
      <c r="B798" s="2" t="s">
        <v>1602</v>
      </c>
      <c r="C798" s="2" t="s">
        <v>148</v>
      </c>
      <c r="D798" s="2" t="s">
        <v>122</v>
      </c>
      <c r="E798" s="2" t="s">
        <v>4647</v>
      </c>
      <c r="F798" s="2">
        <v>26</v>
      </c>
      <c r="G798" s="2">
        <v>26</v>
      </c>
      <c r="H798" s="2">
        <v>0</v>
      </c>
      <c r="I798" s="1">
        <v>0</v>
      </c>
      <c r="J798" s="26">
        <v>45356</v>
      </c>
      <c r="K798" s="22">
        <v>91000</v>
      </c>
      <c r="L798" s="18">
        <v>97.33</v>
      </c>
      <c r="M798" s="22">
        <v>65000</v>
      </c>
      <c r="N798" s="22">
        <v>26000</v>
      </c>
      <c r="O798" s="18">
        <v>27.81</v>
      </c>
      <c r="P798" s="52">
        <f>IF(COUNTIF(TblPurchases[BatchID],TblOutcomes[[#This Row],[BatchID]])&lt;&gt;1,"n.a.",TblOutcomes[[#This Row],[Qty Wasted]]*SUMIFS(TblPurchases[Unit Cost (CLP)],TblPurchases[BatchID],TblOutcomes[[#This Row],[BatchID]]))</f>
        <v>0</v>
      </c>
      <c r="Q798" s="51">
        <f>IF(COUNTIF(TblPurchases[BatchID],TblOutcomes[[#This Row],[BatchID]])&lt;&gt;1,"n.a.",SUMIFS(TblPurchases[Purchase Date],TblPurchases[BatchID],TblOutcomes[[#This Row],[BatchID]]))</f>
        <v>45350</v>
      </c>
    </row>
    <row r="799" spans="2:17" x14ac:dyDescent="0.25">
      <c r="B799" s="2" t="s">
        <v>1603</v>
      </c>
      <c r="C799" s="2" t="s">
        <v>148</v>
      </c>
      <c r="D799" s="2" t="s">
        <v>122</v>
      </c>
      <c r="E799" s="2" t="s">
        <v>4646</v>
      </c>
      <c r="F799" s="2">
        <v>27</v>
      </c>
      <c r="G799" s="2">
        <v>24.27</v>
      </c>
      <c r="H799" s="2">
        <v>2.73</v>
      </c>
      <c r="I799" s="1">
        <v>10.1</v>
      </c>
      <c r="J799" s="26">
        <v>45403</v>
      </c>
      <c r="K799" s="22">
        <v>84945</v>
      </c>
      <c r="L799" s="18">
        <v>90.85</v>
      </c>
      <c r="M799" s="22">
        <v>67500</v>
      </c>
      <c r="N799" s="22">
        <v>17445</v>
      </c>
      <c r="O799" s="18">
        <v>18.66</v>
      </c>
      <c r="P799" s="52">
        <f>IF(COUNTIF(TblPurchases[BatchID],TblOutcomes[[#This Row],[BatchID]])&lt;&gt;1,"n.a.",TblOutcomes[[#This Row],[Qty Wasted]]*SUMIFS(TblPurchases[Unit Cost (CLP)],TblPurchases[BatchID],TblOutcomes[[#This Row],[BatchID]]))</f>
        <v>6825</v>
      </c>
      <c r="Q799" s="51">
        <f>IF(COUNTIF(TblPurchases[BatchID],TblOutcomes[[#This Row],[BatchID]])&lt;&gt;1,"n.a.",SUMIFS(TblPurchases[Purchase Date],TblPurchases[BatchID],TblOutcomes[[#This Row],[BatchID]]))</f>
        <v>45358</v>
      </c>
    </row>
    <row r="800" spans="2:17" x14ac:dyDescent="0.25">
      <c r="B800" s="2" t="s">
        <v>1604</v>
      </c>
      <c r="C800" s="2" t="s">
        <v>148</v>
      </c>
      <c r="D800" s="2" t="s">
        <v>122</v>
      </c>
      <c r="E800" s="2" t="s">
        <v>4647</v>
      </c>
      <c r="F800" s="2">
        <v>25</v>
      </c>
      <c r="G800" s="2">
        <v>25</v>
      </c>
      <c r="H800" s="2">
        <v>0</v>
      </c>
      <c r="I800" s="1">
        <v>0</v>
      </c>
      <c r="J800" s="26">
        <v>45376</v>
      </c>
      <c r="K800" s="22">
        <v>87500</v>
      </c>
      <c r="L800" s="18">
        <v>93.58</v>
      </c>
      <c r="M800" s="22">
        <v>62500</v>
      </c>
      <c r="N800" s="22">
        <v>25000</v>
      </c>
      <c r="O800" s="18">
        <v>26.74</v>
      </c>
      <c r="P800" s="52">
        <f>IF(COUNTIF(TblPurchases[BatchID],TblOutcomes[[#This Row],[BatchID]])&lt;&gt;1,"n.a.",TblOutcomes[[#This Row],[Qty Wasted]]*SUMIFS(TblPurchases[Unit Cost (CLP)],TblPurchases[BatchID],TblOutcomes[[#This Row],[BatchID]]))</f>
        <v>0</v>
      </c>
      <c r="Q800" s="51">
        <f>IF(COUNTIF(TblPurchases[BatchID],TblOutcomes[[#This Row],[BatchID]])&lt;&gt;1,"n.a.",SUMIFS(TblPurchases[Purchase Date],TblPurchases[BatchID],TblOutcomes[[#This Row],[BatchID]]))</f>
        <v>45365</v>
      </c>
    </row>
    <row r="801" spans="2:17" x14ac:dyDescent="0.25">
      <c r="B801" s="2" t="s">
        <v>1605</v>
      </c>
      <c r="C801" s="2" t="s">
        <v>148</v>
      </c>
      <c r="D801" s="2" t="s">
        <v>122</v>
      </c>
      <c r="E801" s="2" t="s">
        <v>4646</v>
      </c>
      <c r="F801" s="2">
        <v>25</v>
      </c>
      <c r="G801" s="2">
        <v>21.5</v>
      </c>
      <c r="H801" s="2">
        <v>3.5</v>
      </c>
      <c r="I801" s="1">
        <v>14</v>
      </c>
      <c r="J801" s="26">
        <v>45422</v>
      </c>
      <c r="K801" s="22">
        <v>75250</v>
      </c>
      <c r="L801" s="18">
        <v>80.48</v>
      </c>
      <c r="M801" s="22">
        <v>62500</v>
      </c>
      <c r="N801" s="22">
        <v>12750</v>
      </c>
      <c r="O801" s="18">
        <v>13.64</v>
      </c>
      <c r="P801" s="52">
        <f>IF(COUNTIF(TblPurchases[BatchID],TblOutcomes[[#This Row],[BatchID]])&lt;&gt;1,"n.a.",TblOutcomes[[#This Row],[Qty Wasted]]*SUMIFS(TblPurchases[Unit Cost (CLP)],TblPurchases[BatchID],TblOutcomes[[#This Row],[BatchID]]))</f>
        <v>8750</v>
      </c>
      <c r="Q801" s="51">
        <f>IF(COUNTIF(TblPurchases[BatchID],TblOutcomes[[#This Row],[BatchID]])&lt;&gt;1,"n.a.",SUMIFS(TblPurchases[Purchase Date],TblPurchases[BatchID],TblOutcomes[[#This Row],[BatchID]]))</f>
        <v>45377</v>
      </c>
    </row>
    <row r="802" spans="2:17" x14ac:dyDescent="0.25">
      <c r="B802" s="2" t="s">
        <v>1606</v>
      </c>
      <c r="C802" s="2" t="s">
        <v>148</v>
      </c>
      <c r="D802" s="2" t="s">
        <v>122</v>
      </c>
      <c r="E802" s="2" t="s">
        <v>4647</v>
      </c>
      <c r="F802" s="2">
        <v>22</v>
      </c>
      <c r="G802" s="2">
        <v>22</v>
      </c>
      <c r="H802" s="2">
        <v>0</v>
      </c>
      <c r="I802" s="1">
        <v>0</v>
      </c>
      <c r="J802" s="26">
        <v>45394</v>
      </c>
      <c r="K802" s="22">
        <v>77000</v>
      </c>
      <c r="L802" s="18">
        <v>82.35</v>
      </c>
      <c r="M802" s="22">
        <v>55000</v>
      </c>
      <c r="N802" s="22">
        <v>22000</v>
      </c>
      <c r="O802" s="18">
        <v>23.53</v>
      </c>
      <c r="P802" s="52">
        <f>IF(COUNTIF(TblPurchases[BatchID],TblOutcomes[[#This Row],[BatchID]])&lt;&gt;1,"n.a.",TblOutcomes[[#This Row],[Qty Wasted]]*SUMIFS(TblPurchases[Unit Cost (CLP)],TblPurchases[BatchID],TblOutcomes[[#This Row],[BatchID]]))</f>
        <v>0</v>
      </c>
      <c r="Q802" s="51">
        <f>IF(COUNTIF(TblPurchases[BatchID],TblOutcomes[[#This Row],[BatchID]])&lt;&gt;1,"n.a.",SUMIFS(TblPurchases[Purchase Date],TblPurchases[BatchID],TblOutcomes[[#This Row],[BatchID]]))</f>
        <v>45386</v>
      </c>
    </row>
    <row r="803" spans="2:17" x14ac:dyDescent="0.25">
      <c r="B803" s="2" t="s">
        <v>1607</v>
      </c>
      <c r="C803" s="2" t="s">
        <v>148</v>
      </c>
      <c r="D803" s="2" t="s">
        <v>122</v>
      </c>
      <c r="E803" s="2" t="s">
        <v>4647</v>
      </c>
      <c r="F803" s="2">
        <v>22</v>
      </c>
      <c r="G803" s="2">
        <v>22</v>
      </c>
      <c r="H803" s="2">
        <v>0</v>
      </c>
      <c r="I803" s="1">
        <v>0</v>
      </c>
      <c r="J803" s="26">
        <v>45405</v>
      </c>
      <c r="K803" s="22">
        <v>77000</v>
      </c>
      <c r="L803" s="18">
        <v>82.35</v>
      </c>
      <c r="M803" s="22">
        <v>55000</v>
      </c>
      <c r="N803" s="22">
        <v>22000</v>
      </c>
      <c r="O803" s="18">
        <v>23.53</v>
      </c>
      <c r="P803" s="52">
        <f>IF(COUNTIF(TblPurchases[BatchID],TblOutcomes[[#This Row],[BatchID]])&lt;&gt;1,"n.a.",TblOutcomes[[#This Row],[Qty Wasted]]*SUMIFS(TblPurchases[Unit Cost (CLP)],TblPurchases[BatchID],TblOutcomes[[#This Row],[BatchID]]))</f>
        <v>0</v>
      </c>
      <c r="Q803" s="51">
        <f>IF(COUNTIF(TblPurchases[BatchID],TblOutcomes[[#This Row],[BatchID]])&lt;&gt;1,"n.a.",SUMIFS(TblPurchases[Purchase Date],TblPurchases[BatchID],TblOutcomes[[#This Row],[BatchID]]))</f>
        <v>45397</v>
      </c>
    </row>
    <row r="804" spans="2:17" x14ac:dyDescent="0.25">
      <c r="B804" s="2" t="s">
        <v>1608</v>
      </c>
      <c r="C804" s="2" t="s">
        <v>148</v>
      </c>
      <c r="D804" s="2" t="s">
        <v>122</v>
      </c>
      <c r="E804" s="2" t="s">
        <v>4646</v>
      </c>
      <c r="F804" s="2">
        <v>24</v>
      </c>
      <c r="G804" s="2">
        <v>20.38</v>
      </c>
      <c r="H804" s="2">
        <v>3.62</v>
      </c>
      <c r="I804" s="1">
        <v>15.1</v>
      </c>
      <c r="J804" s="26">
        <v>45451</v>
      </c>
      <c r="K804" s="22">
        <v>71330</v>
      </c>
      <c r="L804" s="18">
        <v>76.290000000000006</v>
      </c>
      <c r="M804" s="22">
        <v>60000</v>
      </c>
      <c r="N804" s="22">
        <v>11330</v>
      </c>
      <c r="O804" s="18">
        <v>12.12</v>
      </c>
      <c r="P804" s="52">
        <f>IF(COUNTIF(TblPurchases[BatchID],TblOutcomes[[#This Row],[BatchID]])&lt;&gt;1,"n.a.",TblOutcomes[[#This Row],[Qty Wasted]]*SUMIFS(TblPurchases[Unit Cost (CLP)],TblPurchases[BatchID],TblOutcomes[[#This Row],[BatchID]]))</f>
        <v>9050</v>
      </c>
      <c r="Q804" s="51">
        <f>IF(COUNTIF(TblPurchases[BatchID],TblOutcomes[[#This Row],[BatchID]])&lt;&gt;1,"n.a.",SUMIFS(TblPurchases[Purchase Date],TblPurchases[BatchID],TblOutcomes[[#This Row],[BatchID]]))</f>
        <v>45406</v>
      </c>
    </row>
    <row r="805" spans="2:17" x14ac:dyDescent="0.25">
      <c r="B805" s="2" t="s">
        <v>1609</v>
      </c>
      <c r="C805" s="2" t="s">
        <v>148</v>
      </c>
      <c r="D805" s="2" t="s">
        <v>122</v>
      </c>
      <c r="E805" s="2" t="s">
        <v>4647</v>
      </c>
      <c r="F805" s="2">
        <v>22</v>
      </c>
      <c r="G805" s="2">
        <v>22</v>
      </c>
      <c r="H805" s="2">
        <v>0</v>
      </c>
      <c r="I805" s="1">
        <v>0</v>
      </c>
      <c r="J805" s="26">
        <v>45422</v>
      </c>
      <c r="K805" s="22">
        <v>77000</v>
      </c>
      <c r="L805" s="18">
        <v>82.35</v>
      </c>
      <c r="M805" s="22">
        <v>55000</v>
      </c>
      <c r="N805" s="22">
        <v>22000</v>
      </c>
      <c r="O805" s="18">
        <v>23.53</v>
      </c>
      <c r="P805" s="52">
        <f>IF(COUNTIF(TblPurchases[BatchID],TblOutcomes[[#This Row],[BatchID]])&lt;&gt;1,"n.a.",TblOutcomes[[#This Row],[Qty Wasted]]*SUMIFS(TblPurchases[Unit Cost (CLP)],TblPurchases[BatchID],TblOutcomes[[#This Row],[BatchID]]))</f>
        <v>0</v>
      </c>
      <c r="Q805" s="51">
        <f>IF(COUNTIF(TblPurchases[BatchID],TblOutcomes[[#This Row],[BatchID]])&lt;&gt;1,"n.a.",SUMIFS(TblPurchases[Purchase Date],TblPurchases[BatchID],TblOutcomes[[#This Row],[BatchID]]))</f>
        <v>45415</v>
      </c>
    </row>
    <row r="806" spans="2:17" x14ac:dyDescent="0.25">
      <c r="B806" s="2" t="s">
        <v>1610</v>
      </c>
      <c r="C806" s="2" t="s">
        <v>148</v>
      </c>
      <c r="D806" s="2" t="s">
        <v>122</v>
      </c>
      <c r="E806" s="2" t="s">
        <v>4646</v>
      </c>
      <c r="F806" s="2">
        <v>25</v>
      </c>
      <c r="G806" s="2">
        <v>22.05</v>
      </c>
      <c r="H806" s="2">
        <v>2.95</v>
      </c>
      <c r="I806" s="1">
        <v>11.8</v>
      </c>
      <c r="J806" s="26">
        <v>45468</v>
      </c>
      <c r="K806" s="22">
        <v>77175</v>
      </c>
      <c r="L806" s="18">
        <v>82.54</v>
      </c>
      <c r="M806" s="22">
        <v>62500</v>
      </c>
      <c r="N806" s="22">
        <v>14675</v>
      </c>
      <c r="O806" s="18">
        <v>15.7</v>
      </c>
      <c r="P806" s="52">
        <f>IF(COUNTIF(TblPurchases[BatchID],TblOutcomes[[#This Row],[BatchID]])&lt;&gt;1,"n.a.",TblOutcomes[[#This Row],[Qty Wasted]]*SUMIFS(TblPurchases[Unit Cost (CLP)],TblPurchases[BatchID],TblOutcomes[[#This Row],[BatchID]]))</f>
        <v>7375</v>
      </c>
      <c r="Q806" s="51">
        <f>IF(COUNTIF(TblPurchases[BatchID],TblOutcomes[[#This Row],[BatchID]])&lt;&gt;1,"n.a.",SUMIFS(TblPurchases[Purchase Date],TblPurchases[BatchID],TblOutcomes[[#This Row],[BatchID]]))</f>
        <v>45423</v>
      </c>
    </row>
    <row r="807" spans="2:17" x14ac:dyDescent="0.25">
      <c r="B807" s="2" t="s">
        <v>1611</v>
      </c>
      <c r="C807" s="2" t="s">
        <v>148</v>
      </c>
      <c r="D807" s="2" t="s">
        <v>122</v>
      </c>
      <c r="E807" s="2" t="s">
        <v>4646</v>
      </c>
      <c r="F807" s="2">
        <v>21</v>
      </c>
      <c r="G807" s="2">
        <v>18.670000000000002</v>
      </c>
      <c r="H807" s="2">
        <v>2.33</v>
      </c>
      <c r="I807" s="1">
        <v>11.1</v>
      </c>
      <c r="J807" s="26">
        <v>45477</v>
      </c>
      <c r="K807" s="22">
        <v>65345</v>
      </c>
      <c r="L807" s="18">
        <v>69.89</v>
      </c>
      <c r="M807" s="22">
        <v>52500</v>
      </c>
      <c r="N807" s="22">
        <v>12845</v>
      </c>
      <c r="O807" s="18">
        <v>13.74</v>
      </c>
      <c r="P807" s="52">
        <f>IF(COUNTIF(TblPurchases[BatchID],TblOutcomes[[#This Row],[BatchID]])&lt;&gt;1,"n.a.",TblOutcomes[[#This Row],[Qty Wasted]]*SUMIFS(TblPurchases[Unit Cost (CLP)],TblPurchases[BatchID],TblOutcomes[[#This Row],[BatchID]]))</f>
        <v>5825</v>
      </c>
      <c r="Q807" s="51">
        <f>IF(COUNTIF(TblPurchases[BatchID],TblOutcomes[[#This Row],[BatchID]])&lt;&gt;1,"n.a.",SUMIFS(TblPurchases[Purchase Date],TblPurchases[BatchID],TblOutcomes[[#This Row],[BatchID]]))</f>
        <v>45432</v>
      </c>
    </row>
    <row r="808" spans="2:17" x14ac:dyDescent="0.25">
      <c r="B808" s="2" t="s">
        <v>1612</v>
      </c>
      <c r="C808" s="2" t="s">
        <v>148</v>
      </c>
      <c r="D808" s="2" t="s">
        <v>122</v>
      </c>
      <c r="E808" s="2" t="s">
        <v>4647</v>
      </c>
      <c r="F808" s="2">
        <v>25</v>
      </c>
      <c r="G808" s="2">
        <v>25</v>
      </c>
      <c r="H808" s="2">
        <v>0</v>
      </c>
      <c r="I808" s="1">
        <v>0</v>
      </c>
      <c r="J808" s="26">
        <v>45450</v>
      </c>
      <c r="K808" s="22">
        <v>87500</v>
      </c>
      <c r="L808" s="18">
        <v>93.58</v>
      </c>
      <c r="M808" s="22">
        <v>62500</v>
      </c>
      <c r="N808" s="22">
        <v>25000</v>
      </c>
      <c r="O808" s="18">
        <v>26.74</v>
      </c>
      <c r="P808" s="52">
        <f>IF(COUNTIF(TblPurchases[BatchID],TblOutcomes[[#This Row],[BatchID]])&lt;&gt;1,"n.a.",TblOutcomes[[#This Row],[Qty Wasted]]*SUMIFS(TblPurchases[Unit Cost (CLP)],TblPurchases[BatchID],TblOutcomes[[#This Row],[BatchID]]))</f>
        <v>0</v>
      </c>
      <c r="Q808" s="51">
        <f>IF(COUNTIF(TblPurchases[BatchID],TblOutcomes[[#This Row],[BatchID]])&lt;&gt;1,"n.a.",SUMIFS(TblPurchases[Purchase Date],TblPurchases[BatchID],TblOutcomes[[#This Row],[BatchID]]))</f>
        <v>45444</v>
      </c>
    </row>
    <row r="809" spans="2:17" x14ac:dyDescent="0.25">
      <c r="B809" s="2" t="s">
        <v>1613</v>
      </c>
      <c r="C809" s="2" t="s">
        <v>148</v>
      </c>
      <c r="D809" s="2" t="s">
        <v>122</v>
      </c>
      <c r="E809" s="2" t="s">
        <v>4647</v>
      </c>
      <c r="F809" s="2">
        <v>27</v>
      </c>
      <c r="G809" s="2">
        <v>27</v>
      </c>
      <c r="H809" s="2">
        <v>0</v>
      </c>
      <c r="I809" s="1">
        <v>0</v>
      </c>
      <c r="J809" s="26">
        <v>45465</v>
      </c>
      <c r="K809" s="22">
        <v>94500</v>
      </c>
      <c r="L809" s="18">
        <v>101.07</v>
      </c>
      <c r="M809" s="22">
        <v>67500</v>
      </c>
      <c r="N809" s="22">
        <v>27000</v>
      </c>
      <c r="O809" s="18">
        <v>28.88</v>
      </c>
      <c r="P809" s="52">
        <f>IF(COUNTIF(TblPurchases[BatchID],TblOutcomes[[#This Row],[BatchID]])&lt;&gt;1,"n.a.",TblOutcomes[[#This Row],[Qty Wasted]]*SUMIFS(TblPurchases[Unit Cost (CLP)],TblPurchases[BatchID],TblOutcomes[[#This Row],[BatchID]]))</f>
        <v>0</v>
      </c>
      <c r="Q809" s="51">
        <f>IF(COUNTIF(TblPurchases[BatchID],TblOutcomes[[#This Row],[BatchID]])&lt;&gt;1,"n.a.",SUMIFS(TblPurchases[Purchase Date],TblPurchases[BatchID],TblOutcomes[[#This Row],[BatchID]]))</f>
        <v>45454</v>
      </c>
    </row>
    <row r="810" spans="2:17" x14ac:dyDescent="0.25">
      <c r="B810" s="2" t="s">
        <v>1614</v>
      </c>
      <c r="C810" s="2" t="s">
        <v>148</v>
      </c>
      <c r="D810" s="2" t="s">
        <v>122</v>
      </c>
      <c r="E810" s="2" t="s">
        <v>4646</v>
      </c>
      <c r="F810" s="2">
        <v>23</v>
      </c>
      <c r="G810" s="2">
        <v>21.16</v>
      </c>
      <c r="H810" s="2">
        <v>1.84</v>
      </c>
      <c r="I810" s="1">
        <v>8</v>
      </c>
      <c r="J810" s="26">
        <v>45506</v>
      </c>
      <c r="K810" s="22">
        <v>74060</v>
      </c>
      <c r="L810" s="18">
        <v>79.209999999999994</v>
      </c>
      <c r="M810" s="22">
        <v>57500</v>
      </c>
      <c r="N810" s="22">
        <v>16560</v>
      </c>
      <c r="O810" s="18">
        <v>17.71</v>
      </c>
      <c r="P810" s="52">
        <f>IF(COUNTIF(TblPurchases[BatchID],TblOutcomes[[#This Row],[BatchID]])&lt;&gt;1,"n.a.",TblOutcomes[[#This Row],[Qty Wasted]]*SUMIFS(TblPurchases[Unit Cost (CLP)],TblPurchases[BatchID],TblOutcomes[[#This Row],[BatchID]]))</f>
        <v>4600</v>
      </c>
      <c r="Q810" s="51">
        <f>IF(COUNTIF(TblPurchases[BatchID],TblOutcomes[[#This Row],[BatchID]])&lt;&gt;1,"n.a.",SUMIFS(TblPurchases[Purchase Date],TblPurchases[BatchID],TblOutcomes[[#This Row],[BatchID]]))</f>
        <v>45461</v>
      </c>
    </row>
    <row r="811" spans="2:17" x14ac:dyDescent="0.25">
      <c r="B811" s="2" t="s">
        <v>1615</v>
      </c>
      <c r="C811" s="2" t="s">
        <v>148</v>
      </c>
      <c r="D811" s="2" t="s">
        <v>122</v>
      </c>
      <c r="E811" s="2" t="s">
        <v>4647</v>
      </c>
      <c r="F811" s="2">
        <v>21</v>
      </c>
      <c r="G811" s="2">
        <v>21</v>
      </c>
      <c r="H811" s="2">
        <v>0</v>
      </c>
      <c r="I811" s="1">
        <v>0</v>
      </c>
      <c r="J811" s="26">
        <v>45485</v>
      </c>
      <c r="K811" s="22">
        <v>73500</v>
      </c>
      <c r="L811" s="18">
        <v>78.61</v>
      </c>
      <c r="M811" s="22">
        <v>52500</v>
      </c>
      <c r="N811" s="22">
        <v>21000</v>
      </c>
      <c r="O811" s="18">
        <v>22.46</v>
      </c>
      <c r="P811" s="52">
        <f>IF(COUNTIF(TblPurchases[BatchID],TblOutcomes[[#This Row],[BatchID]])&lt;&gt;1,"n.a.",TblOutcomes[[#This Row],[Qty Wasted]]*SUMIFS(TblPurchases[Unit Cost (CLP)],TblPurchases[BatchID],TblOutcomes[[#This Row],[BatchID]]))</f>
        <v>0</v>
      </c>
      <c r="Q811" s="51">
        <f>IF(COUNTIF(TblPurchases[BatchID],TblOutcomes[[#This Row],[BatchID]])&lt;&gt;1,"n.a.",SUMIFS(TblPurchases[Purchase Date],TblPurchases[BatchID],TblOutcomes[[#This Row],[BatchID]]))</f>
        <v>45473</v>
      </c>
    </row>
    <row r="812" spans="2:17" x14ac:dyDescent="0.25">
      <c r="B812" s="2" t="s">
        <v>1616</v>
      </c>
      <c r="C812" s="2" t="s">
        <v>148</v>
      </c>
      <c r="D812" s="2" t="s">
        <v>122</v>
      </c>
      <c r="E812" s="2" t="s">
        <v>4646</v>
      </c>
      <c r="F812" s="2">
        <v>21</v>
      </c>
      <c r="G812" s="2">
        <v>17.64</v>
      </c>
      <c r="H812" s="2">
        <v>3.36</v>
      </c>
      <c r="I812" s="1">
        <v>16</v>
      </c>
      <c r="J812" s="26">
        <v>45530</v>
      </c>
      <c r="K812" s="22">
        <v>61740</v>
      </c>
      <c r="L812" s="18">
        <v>66.03</v>
      </c>
      <c r="M812" s="22">
        <v>52500</v>
      </c>
      <c r="N812" s="22">
        <v>9240</v>
      </c>
      <c r="O812" s="18">
        <v>9.8800000000000008</v>
      </c>
      <c r="P812" s="52">
        <f>IF(COUNTIF(TblPurchases[BatchID],TblOutcomes[[#This Row],[BatchID]])&lt;&gt;1,"n.a.",TblOutcomes[[#This Row],[Qty Wasted]]*SUMIFS(TblPurchases[Unit Cost (CLP)],TblPurchases[BatchID],TblOutcomes[[#This Row],[BatchID]]))</f>
        <v>8400</v>
      </c>
      <c r="Q812" s="51">
        <f>IF(COUNTIF(TblPurchases[BatchID],TblOutcomes[[#This Row],[BatchID]])&lt;&gt;1,"n.a.",SUMIFS(TblPurchases[Purchase Date],TblPurchases[BatchID],TblOutcomes[[#This Row],[BatchID]]))</f>
        <v>45485</v>
      </c>
    </row>
    <row r="813" spans="2:17" x14ac:dyDescent="0.25">
      <c r="B813" s="2" t="s">
        <v>1617</v>
      </c>
      <c r="C813" s="2" t="s">
        <v>148</v>
      </c>
      <c r="D813" s="2" t="s">
        <v>122</v>
      </c>
      <c r="E813" s="2" t="s">
        <v>4647</v>
      </c>
      <c r="F813" s="2">
        <v>24</v>
      </c>
      <c r="G813" s="2">
        <v>24</v>
      </c>
      <c r="H813" s="2">
        <v>0</v>
      </c>
      <c r="I813" s="1">
        <v>0</v>
      </c>
      <c r="J813" s="26">
        <v>45505</v>
      </c>
      <c r="K813" s="22">
        <v>84000</v>
      </c>
      <c r="L813" s="18">
        <v>89.84</v>
      </c>
      <c r="M813" s="22">
        <v>60000</v>
      </c>
      <c r="N813" s="22">
        <v>24000</v>
      </c>
      <c r="O813" s="18">
        <v>25.67</v>
      </c>
      <c r="P813" s="52">
        <f>IF(COUNTIF(TblPurchases[BatchID],TblOutcomes[[#This Row],[BatchID]])&lt;&gt;1,"n.a.",TblOutcomes[[#This Row],[Qty Wasted]]*SUMIFS(TblPurchases[Unit Cost (CLP)],TblPurchases[BatchID],TblOutcomes[[#This Row],[BatchID]]))</f>
        <v>0</v>
      </c>
      <c r="Q813" s="51">
        <f>IF(COUNTIF(TblPurchases[BatchID],TblOutcomes[[#This Row],[BatchID]])&lt;&gt;1,"n.a.",SUMIFS(TblPurchases[Purchase Date],TblPurchases[BatchID],TblOutcomes[[#This Row],[BatchID]]))</f>
        <v>45495</v>
      </c>
    </row>
    <row r="814" spans="2:17" x14ac:dyDescent="0.25">
      <c r="B814" s="2" t="s">
        <v>1618</v>
      </c>
      <c r="C814" s="2" t="s">
        <v>148</v>
      </c>
      <c r="D814" s="2" t="s">
        <v>122</v>
      </c>
      <c r="E814" s="2" t="s">
        <v>4647</v>
      </c>
      <c r="F814" s="2">
        <v>23</v>
      </c>
      <c r="G814" s="2">
        <v>23</v>
      </c>
      <c r="H814" s="2">
        <v>0</v>
      </c>
      <c r="I814" s="1">
        <v>0</v>
      </c>
      <c r="J814" s="26">
        <v>45513</v>
      </c>
      <c r="K814" s="22">
        <v>80500</v>
      </c>
      <c r="L814" s="18">
        <v>86.1</v>
      </c>
      <c r="M814" s="22">
        <v>57500</v>
      </c>
      <c r="N814" s="22">
        <v>23000</v>
      </c>
      <c r="O814" s="18">
        <v>24.6</v>
      </c>
      <c r="P814" s="52">
        <f>IF(COUNTIF(TblPurchases[BatchID],TblOutcomes[[#This Row],[BatchID]])&lt;&gt;1,"n.a.",TblOutcomes[[#This Row],[Qty Wasted]]*SUMIFS(TblPurchases[Unit Cost (CLP)],TblPurchases[BatchID],TblOutcomes[[#This Row],[BatchID]]))</f>
        <v>0</v>
      </c>
      <c r="Q814" s="51">
        <f>IF(COUNTIF(TblPurchases[BatchID],TblOutcomes[[#This Row],[BatchID]])&lt;&gt;1,"n.a.",SUMIFS(TblPurchases[Purchase Date],TblPurchases[BatchID],TblOutcomes[[#This Row],[BatchID]]))</f>
        <v>45505</v>
      </c>
    </row>
    <row r="815" spans="2:17" x14ac:dyDescent="0.25">
      <c r="B815" s="2" t="s">
        <v>1619</v>
      </c>
      <c r="C815" s="2" t="s">
        <v>148</v>
      </c>
      <c r="D815" s="2" t="s">
        <v>122</v>
      </c>
      <c r="E815" s="2" t="s">
        <v>4647</v>
      </c>
      <c r="F815" s="2">
        <v>22</v>
      </c>
      <c r="G815" s="2">
        <v>22</v>
      </c>
      <c r="H815" s="2">
        <v>0</v>
      </c>
      <c r="I815" s="1">
        <v>0</v>
      </c>
      <c r="J815" s="26">
        <v>45521</v>
      </c>
      <c r="K815" s="22">
        <v>77000</v>
      </c>
      <c r="L815" s="18">
        <v>82.35</v>
      </c>
      <c r="M815" s="22">
        <v>55000</v>
      </c>
      <c r="N815" s="22">
        <v>22000</v>
      </c>
      <c r="O815" s="18">
        <v>23.53</v>
      </c>
      <c r="P815" s="52">
        <f>IF(COUNTIF(TblPurchases[BatchID],TblOutcomes[[#This Row],[BatchID]])&lt;&gt;1,"n.a.",TblOutcomes[[#This Row],[Qty Wasted]]*SUMIFS(TblPurchases[Unit Cost (CLP)],TblPurchases[BatchID],TblOutcomes[[#This Row],[BatchID]]))</f>
        <v>0</v>
      </c>
      <c r="Q815" s="51">
        <f>IF(COUNTIF(TblPurchases[BatchID],TblOutcomes[[#This Row],[BatchID]])&lt;&gt;1,"n.a.",SUMIFS(TblPurchases[Purchase Date],TblPurchases[BatchID],TblOutcomes[[#This Row],[BatchID]]))</f>
        <v>45516</v>
      </c>
    </row>
    <row r="816" spans="2:17" x14ac:dyDescent="0.25">
      <c r="B816" s="2" t="s">
        <v>1620</v>
      </c>
      <c r="C816" s="2" t="s">
        <v>148</v>
      </c>
      <c r="D816" s="2" t="s">
        <v>122</v>
      </c>
      <c r="E816" s="2" t="s">
        <v>4646</v>
      </c>
      <c r="F816" s="2">
        <v>26</v>
      </c>
      <c r="G816" s="2">
        <v>22.49</v>
      </c>
      <c r="H816" s="2">
        <v>3.51</v>
      </c>
      <c r="I816" s="1">
        <v>13.5</v>
      </c>
      <c r="J816" s="26">
        <v>45571</v>
      </c>
      <c r="K816" s="22">
        <v>78715</v>
      </c>
      <c r="L816" s="18">
        <v>84.19</v>
      </c>
      <c r="M816" s="22">
        <v>65000</v>
      </c>
      <c r="N816" s="22">
        <v>13715</v>
      </c>
      <c r="O816" s="18">
        <v>14.67</v>
      </c>
      <c r="P816" s="52">
        <f>IF(COUNTIF(TblPurchases[BatchID],TblOutcomes[[#This Row],[BatchID]])&lt;&gt;1,"n.a.",TblOutcomes[[#This Row],[Qty Wasted]]*SUMIFS(TblPurchases[Unit Cost (CLP)],TblPurchases[BatchID],TblOutcomes[[#This Row],[BatchID]]))</f>
        <v>8775</v>
      </c>
      <c r="Q816" s="51">
        <f>IF(COUNTIF(TblPurchases[BatchID],TblOutcomes[[#This Row],[BatchID]])&lt;&gt;1,"n.a.",SUMIFS(TblPurchases[Purchase Date],TblPurchases[BatchID],TblOutcomes[[#This Row],[BatchID]]))</f>
        <v>45526</v>
      </c>
    </row>
    <row r="817" spans="2:17" x14ac:dyDescent="0.25">
      <c r="B817" s="2" t="s">
        <v>1621</v>
      </c>
      <c r="C817" s="2" t="s">
        <v>148</v>
      </c>
      <c r="D817" s="2" t="s">
        <v>122</v>
      </c>
      <c r="E817" s="2" t="s">
        <v>4646</v>
      </c>
      <c r="F817" s="2">
        <v>27</v>
      </c>
      <c r="G817" s="2">
        <v>24.41</v>
      </c>
      <c r="H817" s="2">
        <v>2.59</v>
      </c>
      <c r="I817" s="1">
        <v>9.6</v>
      </c>
      <c r="J817" s="26">
        <v>45580</v>
      </c>
      <c r="K817" s="22">
        <v>85435</v>
      </c>
      <c r="L817" s="18">
        <v>91.37</v>
      </c>
      <c r="M817" s="22">
        <v>68850</v>
      </c>
      <c r="N817" s="22">
        <v>16585</v>
      </c>
      <c r="O817" s="18">
        <v>17.739999999999998</v>
      </c>
      <c r="P817" s="52">
        <f>IF(COUNTIF(TblPurchases[BatchID],TblOutcomes[[#This Row],[BatchID]])&lt;&gt;1,"n.a.",TblOutcomes[[#This Row],[Qty Wasted]]*SUMIFS(TblPurchases[Unit Cost (CLP)],TblPurchases[BatchID],TblOutcomes[[#This Row],[BatchID]]))</f>
        <v>6604.5</v>
      </c>
      <c r="Q817" s="51">
        <f>IF(COUNTIF(TblPurchases[BatchID],TblOutcomes[[#This Row],[BatchID]])&lt;&gt;1,"n.a.",SUMIFS(TblPurchases[Purchase Date],TblPurchases[BatchID],TblOutcomes[[#This Row],[BatchID]]))</f>
        <v>45535</v>
      </c>
    </row>
    <row r="818" spans="2:17" x14ac:dyDescent="0.25">
      <c r="B818" s="2" t="s">
        <v>1622</v>
      </c>
      <c r="C818" s="2" t="s">
        <v>148</v>
      </c>
      <c r="D818" s="2" t="s">
        <v>122</v>
      </c>
      <c r="E818" s="2" t="s">
        <v>4647</v>
      </c>
      <c r="F818" s="2">
        <v>33</v>
      </c>
      <c r="G818" s="2">
        <v>33</v>
      </c>
      <c r="H818" s="2">
        <v>0</v>
      </c>
      <c r="I818" s="1">
        <v>0</v>
      </c>
      <c r="J818" s="26">
        <v>45554</v>
      </c>
      <c r="K818" s="22">
        <v>115500</v>
      </c>
      <c r="L818" s="18">
        <v>123.53</v>
      </c>
      <c r="M818" s="22">
        <v>84150</v>
      </c>
      <c r="N818" s="22">
        <v>31350</v>
      </c>
      <c r="O818" s="18">
        <v>33.53</v>
      </c>
      <c r="P818" s="52">
        <f>IF(COUNTIF(TblPurchases[BatchID],TblOutcomes[[#This Row],[BatchID]])&lt;&gt;1,"n.a.",TblOutcomes[[#This Row],[Qty Wasted]]*SUMIFS(TblPurchases[Unit Cost (CLP)],TblPurchases[BatchID],TblOutcomes[[#This Row],[BatchID]]))</f>
        <v>0</v>
      </c>
      <c r="Q818" s="51">
        <f>IF(COUNTIF(TblPurchases[BatchID],TblOutcomes[[#This Row],[BatchID]])&lt;&gt;1,"n.a.",SUMIFS(TblPurchases[Purchase Date],TblPurchases[BatchID],TblOutcomes[[#This Row],[BatchID]]))</f>
        <v>45546</v>
      </c>
    </row>
    <row r="819" spans="2:17" x14ac:dyDescent="0.25">
      <c r="B819" s="2" t="s">
        <v>1623</v>
      </c>
      <c r="C819" s="2" t="s">
        <v>148</v>
      </c>
      <c r="D819" s="2" t="s">
        <v>122</v>
      </c>
      <c r="E819" s="2" t="s">
        <v>4646</v>
      </c>
      <c r="F819" s="2">
        <v>26</v>
      </c>
      <c r="G819" s="2">
        <v>22.98</v>
      </c>
      <c r="H819" s="2">
        <v>3.02</v>
      </c>
      <c r="I819" s="1">
        <v>11.6</v>
      </c>
      <c r="J819" s="26">
        <v>45598</v>
      </c>
      <c r="K819" s="22">
        <v>80430</v>
      </c>
      <c r="L819" s="18">
        <v>86.02</v>
      </c>
      <c r="M819" s="22">
        <v>65000</v>
      </c>
      <c r="N819" s="22">
        <v>15430</v>
      </c>
      <c r="O819" s="18">
        <v>16.5</v>
      </c>
      <c r="P819" s="52">
        <f>IF(COUNTIF(TblPurchases[BatchID],TblOutcomes[[#This Row],[BatchID]])&lt;&gt;1,"n.a.",TblOutcomes[[#This Row],[Qty Wasted]]*SUMIFS(TblPurchases[Unit Cost (CLP)],TblPurchases[BatchID],TblOutcomes[[#This Row],[BatchID]]))</f>
        <v>7550</v>
      </c>
      <c r="Q819" s="51">
        <f>IF(COUNTIF(TblPurchases[BatchID],TblOutcomes[[#This Row],[BatchID]])&lt;&gt;1,"n.a.",SUMIFS(TblPurchases[Purchase Date],TblPurchases[BatchID],TblOutcomes[[#This Row],[BatchID]]))</f>
        <v>45553</v>
      </c>
    </row>
    <row r="820" spans="2:17" x14ac:dyDescent="0.25">
      <c r="B820" s="2" t="s">
        <v>1624</v>
      </c>
      <c r="C820" s="2" t="s">
        <v>148</v>
      </c>
      <c r="D820" s="2" t="s">
        <v>122</v>
      </c>
      <c r="E820" s="2" t="s">
        <v>4646</v>
      </c>
      <c r="F820" s="2">
        <v>31</v>
      </c>
      <c r="G820" s="2">
        <v>28.58</v>
      </c>
      <c r="H820" s="2">
        <v>2.42</v>
      </c>
      <c r="I820" s="1">
        <v>7.8</v>
      </c>
      <c r="J820" s="26">
        <v>45605</v>
      </c>
      <c r="K820" s="22">
        <v>100030</v>
      </c>
      <c r="L820" s="18">
        <v>106.98</v>
      </c>
      <c r="M820" s="22">
        <v>77500</v>
      </c>
      <c r="N820" s="22">
        <v>22530</v>
      </c>
      <c r="O820" s="18">
        <v>24.1</v>
      </c>
      <c r="P820" s="52">
        <f>IF(COUNTIF(TblPurchases[BatchID],TblOutcomes[[#This Row],[BatchID]])&lt;&gt;1,"n.a.",TblOutcomes[[#This Row],[Qty Wasted]]*SUMIFS(TblPurchases[Unit Cost (CLP)],TblPurchases[BatchID],TblOutcomes[[#This Row],[BatchID]]))</f>
        <v>6050</v>
      </c>
      <c r="Q820" s="51">
        <f>IF(COUNTIF(TblPurchases[BatchID],TblOutcomes[[#This Row],[BatchID]])&lt;&gt;1,"n.a.",SUMIFS(TblPurchases[Purchase Date],TblPurchases[BatchID],TblOutcomes[[#This Row],[BatchID]]))</f>
        <v>45560</v>
      </c>
    </row>
    <row r="821" spans="2:17" x14ac:dyDescent="0.25">
      <c r="B821" s="2" t="s">
        <v>1625</v>
      </c>
      <c r="C821" s="2" t="s">
        <v>148</v>
      </c>
      <c r="D821" s="2" t="s">
        <v>122</v>
      </c>
      <c r="E821" s="2" t="s">
        <v>4646</v>
      </c>
      <c r="F821" s="2">
        <v>23</v>
      </c>
      <c r="G821" s="2">
        <v>18.190000000000001</v>
      </c>
      <c r="H821" s="2">
        <v>4.8099999999999996</v>
      </c>
      <c r="I821" s="1">
        <v>20.9</v>
      </c>
      <c r="J821" s="26">
        <v>45614</v>
      </c>
      <c r="K821" s="22">
        <v>63665</v>
      </c>
      <c r="L821" s="18">
        <v>68.09</v>
      </c>
      <c r="M821" s="22">
        <v>57500</v>
      </c>
      <c r="N821" s="22">
        <v>6165</v>
      </c>
      <c r="O821" s="18">
        <v>6.59</v>
      </c>
      <c r="P821" s="52">
        <f>IF(COUNTIF(TblPurchases[BatchID],TblOutcomes[[#This Row],[BatchID]])&lt;&gt;1,"n.a.",TblOutcomes[[#This Row],[Qty Wasted]]*SUMIFS(TblPurchases[Unit Cost (CLP)],TblPurchases[BatchID],TblOutcomes[[#This Row],[BatchID]]))</f>
        <v>12024.999999999998</v>
      </c>
      <c r="Q821" s="51">
        <f>IF(COUNTIF(TblPurchases[BatchID],TblOutcomes[[#This Row],[BatchID]])&lt;&gt;1,"n.a.",SUMIFS(TblPurchases[Purchase Date],TblPurchases[BatchID],TblOutcomes[[#This Row],[BatchID]]))</f>
        <v>45569</v>
      </c>
    </row>
    <row r="822" spans="2:17" x14ac:dyDescent="0.25">
      <c r="B822" s="2" t="s">
        <v>1626</v>
      </c>
      <c r="C822" s="2" t="s">
        <v>148</v>
      </c>
      <c r="D822" s="2" t="s">
        <v>122</v>
      </c>
      <c r="E822" s="2" t="s">
        <v>4646</v>
      </c>
      <c r="F822" s="2">
        <v>24</v>
      </c>
      <c r="G822" s="2">
        <v>22.46</v>
      </c>
      <c r="H822" s="2">
        <v>1.54</v>
      </c>
      <c r="I822" s="1">
        <v>6.4</v>
      </c>
      <c r="J822" s="26">
        <v>45622</v>
      </c>
      <c r="K822" s="22">
        <v>78610</v>
      </c>
      <c r="L822" s="18">
        <v>84.07</v>
      </c>
      <c r="M822" s="22">
        <v>60000</v>
      </c>
      <c r="N822" s="22">
        <v>18610</v>
      </c>
      <c r="O822" s="18">
        <v>19.899999999999999</v>
      </c>
      <c r="P822" s="52">
        <f>IF(COUNTIF(TblPurchases[BatchID],TblOutcomes[[#This Row],[BatchID]])&lt;&gt;1,"n.a.",TblOutcomes[[#This Row],[Qty Wasted]]*SUMIFS(TblPurchases[Unit Cost (CLP)],TblPurchases[BatchID],TblOutcomes[[#This Row],[BatchID]]))</f>
        <v>3850</v>
      </c>
      <c r="Q822" s="51">
        <f>IF(COUNTIF(TblPurchases[BatchID],TblOutcomes[[#This Row],[BatchID]])&lt;&gt;1,"n.a.",SUMIFS(TblPurchases[Purchase Date],TblPurchases[BatchID],TblOutcomes[[#This Row],[BatchID]]))</f>
        <v>45577</v>
      </c>
    </row>
    <row r="823" spans="2:17" x14ac:dyDescent="0.25">
      <c r="B823" s="2" t="s">
        <v>1627</v>
      </c>
      <c r="C823" s="2" t="s">
        <v>148</v>
      </c>
      <c r="D823" s="2" t="s">
        <v>122</v>
      </c>
      <c r="E823" s="2" t="s">
        <v>4647</v>
      </c>
      <c r="F823" s="2">
        <v>27</v>
      </c>
      <c r="G823" s="2">
        <v>27</v>
      </c>
      <c r="H823" s="2">
        <v>0</v>
      </c>
      <c r="I823" s="1">
        <v>0</v>
      </c>
      <c r="J823" s="26">
        <v>45599</v>
      </c>
      <c r="K823" s="22">
        <v>94500</v>
      </c>
      <c r="L823" s="18">
        <v>101.07</v>
      </c>
      <c r="M823" s="22">
        <v>67500</v>
      </c>
      <c r="N823" s="22">
        <v>27000</v>
      </c>
      <c r="O823" s="18">
        <v>28.88</v>
      </c>
      <c r="P823" s="52">
        <f>IF(COUNTIF(TblPurchases[BatchID],TblOutcomes[[#This Row],[BatchID]])&lt;&gt;1,"n.a.",TblOutcomes[[#This Row],[Qty Wasted]]*SUMIFS(TblPurchases[Unit Cost (CLP)],TblPurchases[BatchID],TblOutcomes[[#This Row],[BatchID]]))</f>
        <v>0</v>
      </c>
      <c r="Q823" s="51">
        <f>IF(COUNTIF(TblPurchases[BatchID],TblOutcomes[[#This Row],[BatchID]])&lt;&gt;1,"n.a.",SUMIFS(TblPurchases[Purchase Date],TblPurchases[BatchID],TblOutcomes[[#This Row],[BatchID]]))</f>
        <v>45588</v>
      </c>
    </row>
    <row r="824" spans="2:17" x14ac:dyDescent="0.25">
      <c r="B824" s="2" t="s">
        <v>1628</v>
      </c>
      <c r="C824" s="2" t="s">
        <v>148</v>
      </c>
      <c r="D824" s="2" t="s">
        <v>122</v>
      </c>
      <c r="E824" s="2" t="s">
        <v>4646</v>
      </c>
      <c r="F824" s="2">
        <v>24</v>
      </c>
      <c r="G824" s="2">
        <v>22.61</v>
      </c>
      <c r="H824" s="2">
        <v>1.39</v>
      </c>
      <c r="I824" s="1">
        <v>5.8</v>
      </c>
      <c r="J824" s="26">
        <v>45645</v>
      </c>
      <c r="K824" s="22">
        <v>79135</v>
      </c>
      <c r="L824" s="18">
        <v>84.64</v>
      </c>
      <c r="M824" s="22">
        <v>60000</v>
      </c>
      <c r="N824" s="22">
        <v>19135</v>
      </c>
      <c r="O824" s="18">
        <v>20.47</v>
      </c>
      <c r="P824" s="52">
        <f>IF(COUNTIF(TblPurchases[BatchID],TblOutcomes[[#This Row],[BatchID]])&lt;&gt;1,"n.a.",TblOutcomes[[#This Row],[Qty Wasted]]*SUMIFS(TblPurchases[Unit Cost (CLP)],TblPurchases[BatchID],TblOutcomes[[#This Row],[BatchID]]))</f>
        <v>3474.9999999999995</v>
      </c>
      <c r="Q824" s="51">
        <f>IF(COUNTIF(TblPurchases[BatchID],TblOutcomes[[#This Row],[BatchID]])&lt;&gt;1,"n.a.",SUMIFS(TblPurchases[Purchase Date],TblPurchases[BatchID],TblOutcomes[[#This Row],[BatchID]]))</f>
        <v>45600</v>
      </c>
    </row>
    <row r="825" spans="2:17" x14ac:dyDescent="0.25">
      <c r="B825" s="2" t="s">
        <v>1629</v>
      </c>
      <c r="C825" s="2" t="s">
        <v>148</v>
      </c>
      <c r="D825" s="2" t="s">
        <v>122</v>
      </c>
      <c r="E825" s="2" t="s">
        <v>4647</v>
      </c>
      <c r="F825" s="2">
        <v>23</v>
      </c>
      <c r="G825" s="2">
        <v>23</v>
      </c>
      <c r="H825" s="2">
        <v>0</v>
      </c>
      <c r="I825" s="1">
        <v>0</v>
      </c>
      <c r="J825" s="26">
        <v>45616</v>
      </c>
      <c r="K825" s="22">
        <v>80500</v>
      </c>
      <c r="L825" s="18">
        <v>86.1</v>
      </c>
      <c r="M825" s="22">
        <v>57500</v>
      </c>
      <c r="N825" s="22">
        <v>23000</v>
      </c>
      <c r="O825" s="18">
        <v>24.6</v>
      </c>
      <c r="P825" s="52">
        <f>IF(COUNTIF(TblPurchases[BatchID],TblOutcomes[[#This Row],[BatchID]])&lt;&gt;1,"n.a.",TblOutcomes[[#This Row],[Qty Wasted]]*SUMIFS(TblPurchases[Unit Cost (CLP)],TblPurchases[BatchID],TblOutcomes[[#This Row],[BatchID]]))</f>
        <v>0</v>
      </c>
      <c r="Q825" s="51">
        <f>IF(COUNTIF(TblPurchases[BatchID],TblOutcomes[[#This Row],[BatchID]])&lt;&gt;1,"n.a.",SUMIFS(TblPurchases[Purchase Date],TblPurchases[BatchID],TblOutcomes[[#This Row],[BatchID]]))</f>
        <v>45608</v>
      </c>
    </row>
    <row r="826" spans="2:17" x14ac:dyDescent="0.25">
      <c r="B826" s="2" t="s">
        <v>1630</v>
      </c>
      <c r="C826" s="2" t="s">
        <v>148</v>
      </c>
      <c r="D826" s="2" t="s">
        <v>122</v>
      </c>
      <c r="E826" s="2" t="s">
        <v>4646</v>
      </c>
      <c r="F826" s="2">
        <v>23</v>
      </c>
      <c r="G826" s="2">
        <v>17.04</v>
      </c>
      <c r="H826" s="2">
        <v>5.96</v>
      </c>
      <c r="I826" s="1">
        <v>25.9</v>
      </c>
      <c r="J826" s="26">
        <v>45662</v>
      </c>
      <c r="K826" s="22">
        <v>59640</v>
      </c>
      <c r="L826" s="18">
        <v>63.79</v>
      </c>
      <c r="M826" s="22">
        <v>57500</v>
      </c>
      <c r="N826" s="22">
        <v>2140</v>
      </c>
      <c r="O826" s="18">
        <v>2.29</v>
      </c>
      <c r="P826" s="52">
        <f>IF(COUNTIF(TblPurchases[BatchID],TblOutcomes[[#This Row],[BatchID]])&lt;&gt;1,"n.a.",TblOutcomes[[#This Row],[Qty Wasted]]*SUMIFS(TblPurchases[Unit Cost (CLP)],TblPurchases[BatchID],TblOutcomes[[#This Row],[BatchID]]))</f>
        <v>14900</v>
      </c>
      <c r="Q826" s="51">
        <f>IF(COUNTIF(TblPurchases[BatchID],TblOutcomes[[#This Row],[BatchID]])&lt;&gt;1,"n.a.",SUMIFS(TblPurchases[Purchase Date],TblPurchases[BatchID],TblOutcomes[[#This Row],[BatchID]]))</f>
        <v>45617</v>
      </c>
    </row>
    <row r="827" spans="2:17" x14ac:dyDescent="0.25">
      <c r="B827" s="2" t="s">
        <v>1631</v>
      </c>
      <c r="C827" s="2" t="s">
        <v>148</v>
      </c>
      <c r="D827" s="2" t="s">
        <v>122</v>
      </c>
      <c r="E827" s="2" t="s">
        <v>4646</v>
      </c>
      <c r="F827" s="2">
        <v>21</v>
      </c>
      <c r="G827" s="2">
        <v>18.670000000000002</v>
      </c>
      <c r="H827" s="2">
        <v>2.33</v>
      </c>
      <c r="I827" s="1">
        <v>11.1</v>
      </c>
      <c r="J827" s="26">
        <v>45671</v>
      </c>
      <c r="K827" s="22">
        <v>65345</v>
      </c>
      <c r="L827" s="18">
        <v>69.89</v>
      </c>
      <c r="M827" s="22">
        <v>52500</v>
      </c>
      <c r="N827" s="22">
        <v>12845</v>
      </c>
      <c r="O827" s="18">
        <v>13.74</v>
      </c>
      <c r="P827" s="52">
        <f>IF(COUNTIF(TblPurchases[BatchID],TblOutcomes[[#This Row],[BatchID]])&lt;&gt;1,"n.a.",TblOutcomes[[#This Row],[Qty Wasted]]*SUMIFS(TblPurchases[Unit Cost (CLP)],TblPurchases[BatchID],TblOutcomes[[#This Row],[BatchID]]))</f>
        <v>5825</v>
      </c>
      <c r="Q827" s="51">
        <f>IF(COUNTIF(TblPurchases[BatchID],TblOutcomes[[#This Row],[BatchID]])&lt;&gt;1,"n.a.",SUMIFS(TblPurchases[Purchase Date],TblPurchases[BatchID],TblOutcomes[[#This Row],[BatchID]]))</f>
        <v>45626</v>
      </c>
    </row>
    <row r="828" spans="2:17" x14ac:dyDescent="0.25">
      <c r="B828" s="2" t="s">
        <v>1632</v>
      </c>
      <c r="C828" s="2" t="s">
        <v>148</v>
      </c>
      <c r="D828" s="2" t="s">
        <v>122</v>
      </c>
      <c r="E828" s="2" t="s">
        <v>4646</v>
      </c>
      <c r="F828" s="2">
        <v>31</v>
      </c>
      <c r="G828" s="2">
        <v>24.86</v>
      </c>
      <c r="H828" s="2">
        <v>6.14</v>
      </c>
      <c r="I828" s="1">
        <v>19.8</v>
      </c>
      <c r="J828" s="26">
        <v>45680</v>
      </c>
      <c r="K828" s="22">
        <v>87010</v>
      </c>
      <c r="L828" s="18">
        <v>93.06</v>
      </c>
      <c r="M828" s="22">
        <v>77500</v>
      </c>
      <c r="N828" s="22">
        <v>9510</v>
      </c>
      <c r="O828" s="18">
        <v>10.17</v>
      </c>
      <c r="P828" s="52">
        <f>IF(COUNTIF(TblPurchases[BatchID],TblOutcomes[[#This Row],[BatchID]])&lt;&gt;1,"n.a.",TblOutcomes[[#This Row],[Qty Wasted]]*SUMIFS(TblPurchases[Unit Cost (CLP)],TblPurchases[BatchID],TblOutcomes[[#This Row],[BatchID]]))</f>
        <v>15350</v>
      </c>
      <c r="Q828" s="51">
        <f>IF(COUNTIF(TblPurchases[BatchID],TblOutcomes[[#This Row],[BatchID]])&lt;&gt;1,"n.a.",SUMIFS(TblPurchases[Purchase Date],TblPurchases[BatchID],TblOutcomes[[#This Row],[BatchID]]))</f>
        <v>45635</v>
      </c>
    </row>
    <row r="829" spans="2:17" x14ac:dyDescent="0.25">
      <c r="B829" s="2" t="s">
        <v>1633</v>
      </c>
      <c r="C829" s="2" t="s">
        <v>148</v>
      </c>
      <c r="D829" s="2" t="s">
        <v>122</v>
      </c>
      <c r="E829" s="2" t="s">
        <v>4647</v>
      </c>
      <c r="F829" s="2">
        <v>29</v>
      </c>
      <c r="G829" s="2">
        <v>29</v>
      </c>
      <c r="H829" s="2">
        <v>0</v>
      </c>
      <c r="I829" s="1">
        <v>0</v>
      </c>
      <c r="J829" s="26">
        <v>45651</v>
      </c>
      <c r="K829" s="22">
        <v>101500</v>
      </c>
      <c r="L829" s="18">
        <v>108.56</v>
      </c>
      <c r="M829" s="22">
        <v>72500</v>
      </c>
      <c r="N829" s="22">
        <v>29000</v>
      </c>
      <c r="O829" s="18">
        <v>31.02</v>
      </c>
      <c r="P829" s="52">
        <f>IF(COUNTIF(TblPurchases[BatchID],TblOutcomes[[#This Row],[BatchID]])&lt;&gt;1,"n.a.",TblOutcomes[[#This Row],[Qty Wasted]]*SUMIFS(TblPurchases[Unit Cost (CLP)],TblPurchases[BatchID],TblOutcomes[[#This Row],[BatchID]]))</f>
        <v>0</v>
      </c>
      <c r="Q829" s="51">
        <f>IF(COUNTIF(TblPurchases[BatchID],TblOutcomes[[#This Row],[BatchID]])&lt;&gt;1,"n.a.",SUMIFS(TblPurchases[Purchase Date],TblPurchases[BatchID],TblOutcomes[[#This Row],[BatchID]]))</f>
        <v>45644</v>
      </c>
    </row>
    <row r="830" spans="2:17" x14ac:dyDescent="0.25">
      <c r="B830" s="2" t="s">
        <v>1634</v>
      </c>
      <c r="C830" s="2" t="s">
        <v>148</v>
      </c>
      <c r="D830" s="2" t="s">
        <v>122</v>
      </c>
      <c r="E830" s="2" t="s">
        <v>4647</v>
      </c>
      <c r="F830" s="2">
        <v>32</v>
      </c>
      <c r="G830" s="2">
        <v>32</v>
      </c>
      <c r="H830" s="2">
        <v>0</v>
      </c>
      <c r="I830" s="1">
        <v>0</v>
      </c>
      <c r="J830" s="26">
        <v>45660</v>
      </c>
      <c r="K830" s="22">
        <v>112000</v>
      </c>
      <c r="L830" s="18">
        <v>119.79</v>
      </c>
      <c r="M830" s="22">
        <v>80000</v>
      </c>
      <c r="N830" s="22">
        <v>32000</v>
      </c>
      <c r="O830" s="18">
        <v>34.22</v>
      </c>
      <c r="P830" s="52">
        <f>IF(COUNTIF(TblPurchases[BatchID],TblOutcomes[[#This Row],[BatchID]])&lt;&gt;1,"n.a.",TblOutcomes[[#This Row],[Qty Wasted]]*SUMIFS(TblPurchases[Unit Cost (CLP)],TblPurchases[BatchID],TblOutcomes[[#This Row],[BatchID]]))</f>
        <v>0</v>
      </c>
      <c r="Q830" s="51">
        <f>IF(COUNTIF(TblPurchases[BatchID],TblOutcomes[[#This Row],[BatchID]])&lt;&gt;1,"n.a.",SUMIFS(TblPurchases[Purchase Date],TblPurchases[BatchID],TblOutcomes[[#This Row],[BatchID]]))</f>
        <v>45651</v>
      </c>
    </row>
    <row r="831" spans="2:17" x14ac:dyDescent="0.25">
      <c r="B831" s="2" t="s">
        <v>1635</v>
      </c>
      <c r="C831" s="2" t="s">
        <v>148</v>
      </c>
      <c r="D831" s="2" t="s">
        <v>122</v>
      </c>
      <c r="E831" s="2" t="s">
        <v>4647</v>
      </c>
      <c r="F831" s="2">
        <v>29</v>
      </c>
      <c r="G831" s="2">
        <v>29</v>
      </c>
      <c r="H831" s="2">
        <v>0</v>
      </c>
      <c r="I831" s="1">
        <v>0</v>
      </c>
      <c r="J831" s="26">
        <v>45669</v>
      </c>
      <c r="K831" s="22">
        <v>101500</v>
      </c>
      <c r="L831" s="18">
        <v>108.56</v>
      </c>
      <c r="M831" s="22">
        <v>73950</v>
      </c>
      <c r="N831" s="22">
        <v>27550</v>
      </c>
      <c r="O831" s="18">
        <v>29.47</v>
      </c>
      <c r="P831" s="52">
        <f>IF(COUNTIF(TblPurchases[BatchID],TblOutcomes[[#This Row],[BatchID]])&lt;&gt;1,"n.a.",TblOutcomes[[#This Row],[Qty Wasted]]*SUMIFS(TblPurchases[Unit Cost (CLP)],TblPurchases[BatchID],TblOutcomes[[#This Row],[BatchID]]))</f>
        <v>0</v>
      </c>
      <c r="Q831" s="51">
        <f>IF(COUNTIF(TblPurchases[BatchID],TblOutcomes[[#This Row],[BatchID]])&lt;&gt;1,"n.a.",SUMIFS(TblPurchases[Purchase Date],TblPurchases[BatchID],TblOutcomes[[#This Row],[BatchID]]))</f>
        <v>45661</v>
      </c>
    </row>
    <row r="832" spans="2:17" x14ac:dyDescent="0.25">
      <c r="B832" s="2" t="s">
        <v>1636</v>
      </c>
      <c r="C832" s="2" t="s">
        <v>148</v>
      </c>
      <c r="D832" s="2" t="s">
        <v>122</v>
      </c>
      <c r="E832" s="2" t="s">
        <v>4646</v>
      </c>
      <c r="F832" s="2">
        <v>25</v>
      </c>
      <c r="G832" s="2">
        <v>18.649999999999999</v>
      </c>
      <c r="H832" s="2">
        <v>6.35</v>
      </c>
      <c r="I832" s="1">
        <v>25.4</v>
      </c>
      <c r="J832" s="26">
        <v>45717</v>
      </c>
      <c r="K832" s="22">
        <v>65275</v>
      </c>
      <c r="L832" s="18">
        <v>69.81</v>
      </c>
      <c r="M832" s="22">
        <v>62500</v>
      </c>
      <c r="N832" s="22">
        <v>2775</v>
      </c>
      <c r="O832" s="18">
        <v>2.97</v>
      </c>
      <c r="P832" s="52">
        <f>IF(COUNTIF(TblPurchases[BatchID],TblOutcomes[[#This Row],[BatchID]])&lt;&gt;1,"n.a.",TblOutcomes[[#This Row],[Qty Wasted]]*SUMIFS(TblPurchases[Unit Cost (CLP)],TblPurchases[BatchID],TblOutcomes[[#This Row],[BatchID]]))</f>
        <v>15875</v>
      </c>
      <c r="Q832" s="51">
        <f>IF(COUNTIF(TblPurchases[BatchID],TblOutcomes[[#This Row],[BatchID]])&lt;&gt;1,"n.a.",SUMIFS(TblPurchases[Purchase Date],TblPurchases[BatchID],TblOutcomes[[#This Row],[BatchID]]))</f>
        <v>45672</v>
      </c>
    </row>
    <row r="833" spans="2:17" x14ac:dyDescent="0.25">
      <c r="B833" s="2" t="s">
        <v>1637</v>
      </c>
      <c r="C833" s="2" t="s">
        <v>148</v>
      </c>
      <c r="D833" s="2" t="s">
        <v>122</v>
      </c>
      <c r="E833" s="2" t="s">
        <v>4647</v>
      </c>
      <c r="F833" s="2">
        <v>25</v>
      </c>
      <c r="G833" s="2">
        <v>25</v>
      </c>
      <c r="H833" s="2">
        <v>0</v>
      </c>
      <c r="I833" s="1">
        <v>0</v>
      </c>
      <c r="J833" s="26">
        <v>45687</v>
      </c>
      <c r="K833" s="22">
        <v>87500</v>
      </c>
      <c r="L833" s="18">
        <v>93.58</v>
      </c>
      <c r="M833" s="22">
        <v>62500</v>
      </c>
      <c r="N833" s="22">
        <v>25000</v>
      </c>
      <c r="O833" s="18">
        <v>26.74</v>
      </c>
      <c r="P833" s="52">
        <f>IF(COUNTIF(TblPurchases[BatchID],TblOutcomes[[#This Row],[BatchID]])&lt;&gt;1,"n.a.",TblOutcomes[[#This Row],[Qty Wasted]]*SUMIFS(TblPurchases[Unit Cost (CLP)],TblPurchases[BatchID],TblOutcomes[[#This Row],[BatchID]]))</f>
        <v>0</v>
      </c>
      <c r="Q833" s="51">
        <f>IF(COUNTIF(TblPurchases[BatchID],TblOutcomes[[#This Row],[BatchID]])&lt;&gt;1,"n.a.",SUMIFS(TblPurchases[Purchase Date],TblPurchases[BatchID],TblOutcomes[[#This Row],[BatchID]]))</f>
        <v>45680</v>
      </c>
    </row>
    <row r="834" spans="2:17" x14ac:dyDescent="0.25">
      <c r="B834" s="2" t="s">
        <v>1638</v>
      </c>
      <c r="C834" s="2" t="s">
        <v>148</v>
      </c>
      <c r="D834" s="2" t="s">
        <v>122</v>
      </c>
      <c r="E834" s="2" t="s">
        <v>4646</v>
      </c>
      <c r="F834" s="2">
        <v>25</v>
      </c>
      <c r="G834" s="2">
        <v>18.75</v>
      </c>
      <c r="H834" s="2">
        <v>6.25</v>
      </c>
      <c r="I834" s="1">
        <v>25</v>
      </c>
      <c r="J834" s="26">
        <v>45733</v>
      </c>
      <c r="K834" s="22">
        <v>65625</v>
      </c>
      <c r="L834" s="18">
        <v>70.19</v>
      </c>
      <c r="M834" s="22">
        <v>62500</v>
      </c>
      <c r="N834" s="22">
        <v>3125</v>
      </c>
      <c r="O834" s="18">
        <v>3.34</v>
      </c>
      <c r="P834" s="52">
        <f>IF(COUNTIF(TblPurchases[BatchID],TblOutcomes[[#This Row],[BatchID]])&lt;&gt;1,"n.a.",TblOutcomes[[#This Row],[Qty Wasted]]*SUMIFS(TblPurchases[Unit Cost (CLP)],TblPurchases[BatchID],TblOutcomes[[#This Row],[BatchID]]))</f>
        <v>15625</v>
      </c>
      <c r="Q834" s="51">
        <f>IF(COUNTIF(TblPurchases[BatchID],TblOutcomes[[#This Row],[BatchID]])&lt;&gt;1,"n.a.",SUMIFS(TblPurchases[Purchase Date],TblPurchases[BatchID],TblOutcomes[[#This Row],[BatchID]]))</f>
        <v>45688</v>
      </c>
    </row>
    <row r="835" spans="2:17" x14ac:dyDescent="0.25">
      <c r="B835" s="2" t="s">
        <v>1639</v>
      </c>
      <c r="C835" s="2" t="s">
        <v>148</v>
      </c>
      <c r="D835" s="2" t="s">
        <v>122</v>
      </c>
      <c r="E835" s="2" t="s">
        <v>4646</v>
      </c>
      <c r="F835" s="2">
        <v>27</v>
      </c>
      <c r="G835" s="2">
        <v>20.93</v>
      </c>
      <c r="H835" s="2">
        <v>6.08</v>
      </c>
      <c r="I835" s="1">
        <v>22.5</v>
      </c>
      <c r="J835" s="26">
        <v>45743</v>
      </c>
      <c r="K835" s="22">
        <v>73255</v>
      </c>
      <c r="L835" s="18">
        <v>78.349999999999994</v>
      </c>
      <c r="M835" s="22">
        <v>67500</v>
      </c>
      <c r="N835" s="22">
        <v>5755</v>
      </c>
      <c r="O835" s="18">
        <v>6.16</v>
      </c>
      <c r="P835" s="52">
        <f>IF(COUNTIF(TblPurchases[BatchID],TblOutcomes[[#This Row],[BatchID]])&lt;&gt;1,"n.a.",TblOutcomes[[#This Row],[Qty Wasted]]*SUMIFS(TblPurchases[Unit Cost (CLP)],TblPurchases[BatchID],TblOutcomes[[#This Row],[BatchID]]))</f>
        <v>15200</v>
      </c>
      <c r="Q835" s="51">
        <f>IF(COUNTIF(TblPurchases[BatchID],TblOutcomes[[#This Row],[BatchID]])&lt;&gt;1,"n.a.",SUMIFS(TblPurchases[Purchase Date],TblPurchases[BatchID],TblOutcomes[[#This Row],[BatchID]]))</f>
        <v>45698</v>
      </c>
    </row>
    <row r="836" spans="2:17" x14ac:dyDescent="0.25">
      <c r="B836" s="2" t="s">
        <v>1640</v>
      </c>
      <c r="C836" s="2" t="s">
        <v>148</v>
      </c>
      <c r="D836" s="2" t="s">
        <v>122</v>
      </c>
      <c r="E836" s="2" t="s">
        <v>4647</v>
      </c>
      <c r="F836" s="2">
        <v>23</v>
      </c>
      <c r="G836" s="2">
        <v>23</v>
      </c>
      <c r="H836" s="2">
        <v>0</v>
      </c>
      <c r="I836" s="1">
        <v>0</v>
      </c>
      <c r="J836" s="26">
        <v>45712</v>
      </c>
      <c r="K836" s="22">
        <v>80500</v>
      </c>
      <c r="L836" s="18">
        <v>86.1</v>
      </c>
      <c r="M836" s="22">
        <v>57500</v>
      </c>
      <c r="N836" s="22">
        <v>23000</v>
      </c>
      <c r="O836" s="18">
        <v>24.6</v>
      </c>
      <c r="P836" s="52">
        <f>IF(COUNTIF(TblPurchases[BatchID],TblOutcomes[[#This Row],[BatchID]])&lt;&gt;1,"n.a.",TblOutcomes[[#This Row],[Qty Wasted]]*SUMIFS(TblPurchases[Unit Cost (CLP)],TblPurchases[BatchID],TblOutcomes[[#This Row],[BatchID]]))</f>
        <v>0</v>
      </c>
      <c r="Q836" s="51">
        <f>IF(COUNTIF(TblPurchases[BatchID],TblOutcomes[[#This Row],[BatchID]])&lt;&gt;1,"n.a.",SUMIFS(TblPurchases[Purchase Date],TblPurchases[BatchID],TblOutcomes[[#This Row],[BatchID]]))</f>
        <v>45705</v>
      </c>
    </row>
    <row r="837" spans="2:17" x14ac:dyDescent="0.25">
      <c r="B837" s="2" t="s">
        <v>1641</v>
      </c>
      <c r="C837" s="2" t="s">
        <v>148</v>
      </c>
      <c r="D837" s="2" t="s">
        <v>122</v>
      </c>
      <c r="E837" s="2" t="s">
        <v>4647</v>
      </c>
      <c r="F837" s="2">
        <v>26</v>
      </c>
      <c r="G837" s="2">
        <v>26</v>
      </c>
      <c r="H837" s="2">
        <v>0</v>
      </c>
      <c r="I837" s="1">
        <v>0</v>
      </c>
      <c r="J837" s="26">
        <v>45720</v>
      </c>
      <c r="K837" s="22">
        <v>91000</v>
      </c>
      <c r="L837" s="18">
        <v>97.33</v>
      </c>
      <c r="M837" s="22">
        <v>66300</v>
      </c>
      <c r="N837" s="22">
        <v>24700</v>
      </c>
      <c r="O837" s="18">
        <v>26.42</v>
      </c>
      <c r="P837" s="52">
        <f>IF(COUNTIF(TblPurchases[BatchID],TblOutcomes[[#This Row],[BatchID]])&lt;&gt;1,"n.a.",TblOutcomes[[#This Row],[Qty Wasted]]*SUMIFS(TblPurchases[Unit Cost (CLP)],TblPurchases[BatchID],TblOutcomes[[#This Row],[BatchID]]))</f>
        <v>0</v>
      </c>
      <c r="Q837" s="51">
        <f>IF(COUNTIF(TblPurchases[BatchID],TblOutcomes[[#This Row],[BatchID]])&lt;&gt;1,"n.a.",SUMIFS(TblPurchases[Purchase Date],TblPurchases[BatchID],TblOutcomes[[#This Row],[BatchID]]))</f>
        <v>45715</v>
      </c>
    </row>
    <row r="838" spans="2:17" x14ac:dyDescent="0.25">
      <c r="B838" s="2" t="s">
        <v>1642</v>
      </c>
      <c r="C838" s="2" t="s">
        <v>148</v>
      </c>
      <c r="D838" s="2" t="s">
        <v>122</v>
      </c>
      <c r="E838" s="2" t="s">
        <v>4647</v>
      </c>
      <c r="F838" s="2">
        <v>24</v>
      </c>
      <c r="G838" s="2">
        <v>24</v>
      </c>
      <c r="H838" s="2">
        <v>0</v>
      </c>
      <c r="I838" s="1">
        <v>0</v>
      </c>
      <c r="J838" s="26">
        <v>45738</v>
      </c>
      <c r="K838" s="22">
        <v>84000</v>
      </c>
      <c r="L838" s="18">
        <v>89.84</v>
      </c>
      <c r="M838" s="22">
        <v>60000</v>
      </c>
      <c r="N838" s="22">
        <v>24000</v>
      </c>
      <c r="O838" s="18">
        <v>25.67</v>
      </c>
      <c r="P838" s="52">
        <f>IF(COUNTIF(TblPurchases[BatchID],TblOutcomes[[#This Row],[BatchID]])&lt;&gt;1,"n.a.",TblOutcomes[[#This Row],[Qty Wasted]]*SUMIFS(TblPurchases[Unit Cost (CLP)],TblPurchases[BatchID],TblOutcomes[[#This Row],[BatchID]]))</f>
        <v>0</v>
      </c>
      <c r="Q838" s="51">
        <f>IF(COUNTIF(TblPurchases[BatchID],TblOutcomes[[#This Row],[BatchID]])&lt;&gt;1,"n.a.",SUMIFS(TblPurchases[Purchase Date],TblPurchases[BatchID],TblOutcomes[[#This Row],[BatchID]]))</f>
        <v>45726</v>
      </c>
    </row>
    <row r="839" spans="2:17" x14ac:dyDescent="0.25">
      <c r="B839" s="2" t="s">
        <v>1643</v>
      </c>
      <c r="C839" s="2" t="s">
        <v>148</v>
      </c>
      <c r="D839" s="2" t="s">
        <v>122</v>
      </c>
      <c r="E839" s="2" t="s">
        <v>4647</v>
      </c>
      <c r="F839" s="2">
        <v>29</v>
      </c>
      <c r="G839" s="2">
        <v>29</v>
      </c>
      <c r="H839" s="2">
        <v>0</v>
      </c>
      <c r="I839" s="1">
        <v>0</v>
      </c>
      <c r="J839" s="26">
        <v>45744</v>
      </c>
      <c r="K839" s="22">
        <v>101500</v>
      </c>
      <c r="L839" s="18">
        <v>108.56</v>
      </c>
      <c r="M839" s="22">
        <v>72500</v>
      </c>
      <c r="N839" s="22">
        <v>29000</v>
      </c>
      <c r="O839" s="18">
        <v>31.02</v>
      </c>
      <c r="P839" s="52">
        <f>IF(COUNTIF(TblPurchases[BatchID],TblOutcomes[[#This Row],[BatchID]])&lt;&gt;1,"n.a.",TblOutcomes[[#This Row],[Qty Wasted]]*SUMIFS(TblPurchases[Unit Cost (CLP)],TblPurchases[BatchID],TblOutcomes[[#This Row],[BatchID]]))</f>
        <v>0</v>
      </c>
      <c r="Q839" s="51">
        <f>IF(COUNTIF(TblPurchases[BatchID],TblOutcomes[[#This Row],[BatchID]])&lt;&gt;1,"n.a.",SUMIFS(TblPurchases[Purchase Date],TblPurchases[BatchID],TblOutcomes[[#This Row],[BatchID]]))</f>
        <v>45736</v>
      </c>
    </row>
    <row r="840" spans="2:17" x14ac:dyDescent="0.25">
      <c r="B840" s="2" t="s">
        <v>1644</v>
      </c>
      <c r="C840" s="2" t="s">
        <v>148</v>
      </c>
      <c r="D840" s="2" t="s">
        <v>122</v>
      </c>
      <c r="E840" s="2" t="s">
        <v>4647</v>
      </c>
      <c r="F840" s="2">
        <v>22</v>
      </c>
      <c r="G840" s="2">
        <v>22</v>
      </c>
      <c r="H840" s="2">
        <v>0</v>
      </c>
      <c r="I840" s="1">
        <v>0</v>
      </c>
      <c r="J840" s="26">
        <v>45752</v>
      </c>
      <c r="K840" s="22">
        <v>77000</v>
      </c>
      <c r="L840" s="18">
        <v>82.35</v>
      </c>
      <c r="M840" s="22">
        <v>55000</v>
      </c>
      <c r="N840" s="22">
        <v>22000</v>
      </c>
      <c r="O840" s="18">
        <v>23.53</v>
      </c>
      <c r="P840" s="52">
        <f>IF(COUNTIF(TblPurchases[BatchID],TblOutcomes[[#This Row],[BatchID]])&lt;&gt;1,"n.a.",TblOutcomes[[#This Row],[Qty Wasted]]*SUMIFS(TblPurchases[Unit Cost (CLP)],TblPurchases[BatchID],TblOutcomes[[#This Row],[BatchID]]))</f>
        <v>0</v>
      </c>
      <c r="Q840" s="51">
        <f>IF(COUNTIF(TblPurchases[BatchID],TblOutcomes[[#This Row],[BatchID]])&lt;&gt;1,"n.a.",SUMIFS(TblPurchases[Purchase Date],TblPurchases[BatchID],TblOutcomes[[#This Row],[BatchID]]))</f>
        <v>45745</v>
      </c>
    </row>
    <row r="841" spans="2:17" x14ac:dyDescent="0.25">
      <c r="B841" s="2" t="s">
        <v>1645</v>
      </c>
      <c r="C841" s="2" t="s">
        <v>148</v>
      </c>
      <c r="D841" s="2" t="s">
        <v>122</v>
      </c>
      <c r="E841" s="2" t="s">
        <v>4646</v>
      </c>
      <c r="F841" s="2">
        <v>24</v>
      </c>
      <c r="G841" s="2">
        <v>19.97</v>
      </c>
      <c r="H841" s="2">
        <v>4.03</v>
      </c>
      <c r="I841" s="1">
        <v>16.8</v>
      </c>
      <c r="J841" s="26">
        <v>45799</v>
      </c>
      <c r="K841" s="22">
        <v>69895</v>
      </c>
      <c r="L841" s="18">
        <v>74.75</v>
      </c>
      <c r="M841" s="22">
        <v>60000</v>
      </c>
      <c r="N841" s="22">
        <v>9895</v>
      </c>
      <c r="O841" s="18">
        <v>10.58</v>
      </c>
      <c r="P841" s="52">
        <f>IF(COUNTIF(TblPurchases[BatchID],TblOutcomes[[#This Row],[BatchID]])&lt;&gt;1,"n.a.",TblOutcomes[[#This Row],[Qty Wasted]]*SUMIFS(TblPurchases[Unit Cost (CLP)],TblPurchases[BatchID],TblOutcomes[[#This Row],[BatchID]]))</f>
        <v>10075</v>
      </c>
      <c r="Q841" s="51">
        <f>IF(COUNTIF(TblPurchases[BatchID],TblOutcomes[[#This Row],[BatchID]])&lt;&gt;1,"n.a.",SUMIFS(TblPurchases[Purchase Date],TblPurchases[BatchID],TblOutcomes[[#This Row],[BatchID]]))</f>
        <v>45754</v>
      </c>
    </row>
    <row r="842" spans="2:17" x14ac:dyDescent="0.25">
      <c r="B842" s="2" t="s">
        <v>1646</v>
      </c>
      <c r="C842" s="2" t="s">
        <v>148</v>
      </c>
      <c r="D842" s="2" t="s">
        <v>122</v>
      </c>
      <c r="E842" s="2" t="s">
        <v>4646</v>
      </c>
      <c r="F842" s="2">
        <v>29</v>
      </c>
      <c r="G842" s="2">
        <v>26.65</v>
      </c>
      <c r="H842" s="2">
        <v>2.35</v>
      </c>
      <c r="I842" s="1">
        <v>8.1</v>
      </c>
      <c r="J842" s="26">
        <v>45810</v>
      </c>
      <c r="K842" s="22">
        <v>93275</v>
      </c>
      <c r="L842" s="18">
        <v>99.76</v>
      </c>
      <c r="M842" s="22">
        <v>72500</v>
      </c>
      <c r="N842" s="22">
        <v>20775</v>
      </c>
      <c r="O842" s="18">
        <v>22.22</v>
      </c>
      <c r="P842" s="52">
        <f>IF(COUNTIF(TblPurchases[BatchID],TblOutcomes[[#This Row],[BatchID]])&lt;&gt;1,"n.a.",TblOutcomes[[#This Row],[Qty Wasted]]*SUMIFS(TblPurchases[Unit Cost (CLP)],TblPurchases[BatchID],TblOutcomes[[#This Row],[BatchID]]))</f>
        <v>5875</v>
      </c>
      <c r="Q842" s="51">
        <f>IF(COUNTIF(TblPurchases[BatchID],TblOutcomes[[#This Row],[BatchID]])&lt;&gt;1,"n.a.",SUMIFS(TblPurchases[Purchase Date],TblPurchases[BatchID],TblOutcomes[[#This Row],[BatchID]]))</f>
        <v>45765</v>
      </c>
    </row>
    <row r="843" spans="2:17" x14ac:dyDescent="0.25">
      <c r="B843" s="2" t="s">
        <v>1647</v>
      </c>
      <c r="C843" s="2" t="s">
        <v>148</v>
      </c>
      <c r="D843" s="2" t="s">
        <v>122</v>
      </c>
      <c r="E843" s="2" t="s">
        <v>4647</v>
      </c>
      <c r="F843" s="2">
        <v>26</v>
      </c>
      <c r="G843" s="2">
        <v>26</v>
      </c>
      <c r="H843" s="2">
        <v>0</v>
      </c>
      <c r="I843" s="1">
        <v>0</v>
      </c>
      <c r="J843" s="26">
        <v>45781</v>
      </c>
      <c r="K843" s="22">
        <v>91000</v>
      </c>
      <c r="L843" s="18">
        <v>97.33</v>
      </c>
      <c r="M843" s="22">
        <v>66300</v>
      </c>
      <c r="N843" s="22">
        <v>24700</v>
      </c>
      <c r="O843" s="18">
        <v>26.42</v>
      </c>
      <c r="P843" s="52">
        <f>IF(COUNTIF(TblPurchases[BatchID],TblOutcomes[[#This Row],[BatchID]])&lt;&gt;1,"n.a.",TblOutcomes[[#This Row],[Qty Wasted]]*SUMIFS(TblPurchases[Unit Cost (CLP)],TblPurchases[BatchID],TblOutcomes[[#This Row],[BatchID]]))</f>
        <v>0</v>
      </c>
      <c r="Q843" s="51">
        <f>IF(COUNTIF(TblPurchases[BatchID],TblOutcomes[[#This Row],[BatchID]])&lt;&gt;1,"n.a.",SUMIFS(TblPurchases[Purchase Date],TblPurchases[BatchID],TblOutcomes[[#This Row],[BatchID]]))</f>
        <v>45774</v>
      </c>
    </row>
    <row r="844" spans="2:17" x14ac:dyDescent="0.25">
      <c r="B844" s="2" t="s">
        <v>1648</v>
      </c>
      <c r="C844" s="2" t="s">
        <v>148</v>
      </c>
      <c r="D844" s="2" t="s">
        <v>122</v>
      </c>
      <c r="E844" s="2" t="s">
        <v>4647</v>
      </c>
      <c r="F844" s="2">
        <v>26</v>
      </c>
      <c r="G844" s="2">
        <v>26</v>
      </c>
      <c r="H844" s="2">
        <v>0</v>
      </c>
      <c r="I844" s="1">
        <v>0</v>
      </c>
      <c r="J844" s="26">
        <v>45791</v>
      </c>
      <c r="K844" s="22">
        <v>91000</v>
      </c>
      <c r="L844" s="18">
        <v>97.33</v>
      </c>
      <c r="M844" s="22">
        <v>65000</v>
      </c>
      <c r="N844" s="22">
        <v>26000</v>
      </c>
      <c r="O844" s="18">
        <v>27.81</v>
      </c>
      <c r="P844" s="52">
        <f>IF(COUNTIF(TblPurchases[BatchID],TblOutcomes[[#This Row],[BatchID]])&lt;&gt;1,"n.a.",TblOutcomes[[#This Row],[Qty Wasted]]*SUMIFS(TblPurchases[Unit Cost (CLP)],TblPurchases[BatchID],TblOutcomes[[#This Row],[BatchID]]))</f>
        <v>0</v>
      </c>
      <c r="Q844" s="51">
        <f>IF(COUNTIF(TblPurchases[BatchID],TblOutcomes[[#This Row],[BatchID]])&lt;&gt;1,"n.a.",SUMIFS(TblPurchases[Purchase Date],TblPurchases[BatchID],TblOutcomes[[#This Row],[BatchID]]))</f>
        <v>45785</v>
      </c>
    </row>
    <row r="845" spans="2:17" x14ac:dyDescent="0.25">
      <c r="B845" s="2" t="s">
        <v>1649</v>
      </c>
      <c r="C845" s="2" t="s">
        <v>148</v>
      </c>
      <c r="D845" s="2" t="s">
        <v>122</v>
      </c>
      <c r="E845" s="2" t="s">
        <v>4647</v>
      </c>
      <c r="F845" s="2">
        <v>30</v>
      </c>
      <c r="G845" s="2">
        <v>30</v>
      </c>
      <c r="H845" s="2">
        <v>0</v>
      </c>
      <c r="I845" s="1">
        <v>0</v>
      </c>
      <c r="J845" s="26">
        <v>45801</v>
      </c>
      <c r="K845" s="22">
        <v>105000</v>
      </c>
      <c r="L845" s="18">
        <v>112.3</v>
      </c>
      <c r="M845" s="22">
        <v>75000</v>
      </c>
      <c r="N845" s="22">
        <v>30000</v>
      </c>
      <c r="O845" s="18">
        <v>32.090000000000003</v>
      </c>
      <c r="P845" s="52">
        <f>IF(COUNTIF(TblPurchases[BatchID],TblOutcomes[[#This Row],[BatchID]])&lt;&gt;1,"n.a.",TblOutcomes[[#This Row],[Qty Wasted]]*SUMIFS(TblPurchases[Unit Cost (CLP)],TblPurchases[BatchID],TblOutcomes[[#This Row],[BatchID]]))</f>
        <v>0</v>
      </c>
      <c r="Q845" s="51">
        <f>IF(COUNTIF(TblPurchases[BatchID],TblOutcomes[[#This Row],[BatchID]])&lt;&gt;1,"n.a.",SUMIFS(TblPurchases[Purchase Date],TblPurchases[BatchID],TblOutcomes[[#This Row],[BatchID]]))</f>
        <v>45796</v>
      </c>
    </row>
    <row r="846" spans="2:17" x14ac:dyDescent="0.25">
      <c r="B846" s="2" t="s">
        <v>1650</v>
      </c>
      <c r="C846" s="2" t="s">
        <v>148</v>
      </c>
      <c r="D846" s="2" t="s">
        <v>122</v>
      </c>
      <c r="E846" s="2" t="s">
        <v>4646</v>
      </c>
      <c r="F846" s="2">
        <v>27</v>
      </c>
      <c r="G846" s="2">
        <v>23.68</v>
      </c>
      <c r="H846" s="2">
        <v>3.32</v>
      </c>
      <c r="I846" s="1">
        <v>12.3</v>
      </c>
      <c r="J846" s="26">
        <v>45849</v>
      </c>
      <c r="K846" s="22">
        <v>82880</v>
      </c>
      <c r="L846" s="18">
        <v>88.64</v>
      </c>
      <c r="M846" s="22">
        <v>67500</v>
      </c>
      <c r="N846" s="22">
        <v>15380</v>
      </c>
      <c r="O846" s="18">
        <v>16.45</v>
      </c>
      <c r="P846" s="52">
        <f>IF(COUNTIF(TblPurchases[BatchID],TblOutcomes[[#This Row],[BatchID]])&lt;&gt;1,"n.a.",TblOutcomes[[#This Row],[Qty Wasted]]*SUMIFS(TblPurchases[Unit Cost (CLP)],TblPurchases[BatchID],TblOutcomes[[#This Row],[BatchID]]))</f>
        <v>8300</v>
      </c>
      <c r="Q846" s="51">
        <f>IF(COUNTIF(TblPurchases[BatchID],TblOutcomes[[#This Row],[BatchID]])&lt;&gt;1,"n.a.",SUMIFS(TblPurchases[Purchase Date],TblPurchases[BatchID],TblOutcomes[[#This Row],[BatchID]]))</f>
        <v>45804</v>
      </c>
    </row>
    <row r="847" spans="2:17" x14ac:dyDescent="0.25">
      <c r="B847" s="2" t="s">
        <v>1651</v>
      </c>
      <c r="C847" s="2" t="s">
        <v>148</v>
      </c>
      <c r="D847" s="2" t="s">
        <v>122</v>
      </c>
      <c r="E847" s="2" t="s">
        <v>4647</v>
      </c>
      <c r="F847" s="2">
        <v>28</v>
      </c>
      <c r="G847" s="2">
        <v>28</v>
      </c>
      <c r="H847" s="2">
        <v>0</v>
      </c>
      <c r="I847" s="1">
        <v>0</v>
      </c>
      <c r="J847" s="26">
        <v>45821</v>
      </c>
      <c r="K847" s="22">
        <v>98000</v>
      </c>
      <c r="L847" s="18">
        <v>104.81</v>
      </c>
      <c r="M847" s="22">
        <v>70000</v>
      </c>
      <c r="N847" s="22">
        <v>28000</v>
      </c>
      <c r="O847" s="18">
        <v>29.95</v>
      </c>
      <c r="P847" s="52">
        <f>IF(COUNTIF(TblPurchases[BatchID],TblOutcomes[[#This Row],[BatchID]])&lt;&gt;1,"n.a.",TblOutcomes[[#This Row],[Qty Wasted]]*SUMIFS(TblPurchases[Unit Cost (CLP)],TblPurchases[BatchID],TblOutcomes[[#This Row],[BatchID]]))</f>
        <v>0</v>
      </c>
      <c r="Q847" s="51">
        <f>IF(COUNTIF(TblPurchases[BatchID],TblOutcomes[[#This Row],[BatchID]])&lt;&gt;1,"n.a.",SUMIFS(TblPurchases[Purchase Date],TblPurchases[BatchID],TblOutcomes[[#This Row],[BatchID]]))</f>
        <v>45813</v>
      </c>
    </row>
    <row r="848" spans="2:17" x14ac:dyDescent="0.25">
      <c r="B848" s="2" t="s">
        <v>1652</v>
      </c>
      <c r="C848" s="2" t="s">
        <v>148</v>
      </c>
      <c r="D848" s="2" t="s">
        <v>122</v>
      </c>
      <c r="E848" s="2" t="s">
        <v>4647</v>
      </c>
      <c r="F848" s="2">
        <v>24</v>
      </c>
      <c r="G848" s="2">
        <v>24</v>
      </c>
      <c r="H848" s="2">
        <v>0</v>
      </c>
      <c r="I848" s="1">
        <v>0</v>
      </c>
      <c r="J848" s="26">
        <v>45832</v>
      </c>
      <c r="K848" s="22">
        <v>84000</v>
      </c>
      <c r="L848" s="18">
        <v>89.84</v>
      </c>
      <c r="M848" s="22">
        <v>60000</v>
      </c>
      <c r="N848" s="22">
        <v>24000</v>
      </c>
      <c r="O848" s="18">
        <v>25.67</v>
      </c>
      <c r="P848" s="52">
        <f>IF(COUNTIF(TblPurchases[BatchID],TblOutcomes[[#This Row],[BatchID]])&lt;&gt;1,"n.a.",TblOutcomes[[#This Row],[Qty Wasted]]*SUMIFS(TblPurchases[Unit Cost (CLP)],TblPurchases[BatchID],TblOutcomes[[#This Row],[BatchID]]))</f>
        <v>0</v>
      </c>
      <c r="Q848" s="51">
        <f>IF(COUNTIF(TblPurchases[BatchID],TblOutcomes[[#This Row],[BatchID]])&lt;&gt;1,"n.a.",SUMIFS(TblPurchases[Purchase Date],TblPurchases[BatchID],TblOutcomes[[#This Row],[BatchID]]))</f>
        <v>45822</v>
      </c>
    </row>
    <row r="849" spans="2:17" x14ac:dyDescent="0.25">
      <c r="B849" s="2" t="s">
        <v>1653</v>
      </c>
      <c r="C849" s="2" t="s">
        <v>148</v>
      </c>
      <c r="D849" s="2" t="s">
        <v>122</v>
      </c>
      <c r="E849" s="2" t="s">
        <v>4647</v>
      </c>
      <c r="F849" s="2">
        <v>23</v>
      </c>
      <c r="G849" s="2">
        <v>23</v>
      </c>
      <c r="H849" s="2">
        <v>0</v>
      </c>
      <c r="I849" s="1">
        <v>0</v>
      </c>
      <c r="J849" s="26">
        <v>45842</v>
      </c>
      <c r="K849" s="22">
        <v>80500</v>
      </c>
      <c r="L849" s="18">
        <v>86.1</v>
      </c>
      <c r="M849" s="22">
        <v>57500</v>
      </c>
      <c r="N849" s="22">
        <v>23000</v>
      </c>
      <c r="O849" s="18">
        <v>24.6</v>
      </c>
      <c r="P849" s="52">
        <f>IF(COUNTIF(TblPurchases[BatchID],TblOutcomes[[#This Row],[BatchID]])&lt;&gt;1,"n.a.",TblOutcomes[[#This Row],[Qty Wasted]]*SUMIFS(TblPurchases[Unit Cost (CLP)],TblPurchases[BatchID],TblOutcomes[[#This Row],[BatchID]]))</f>
        <v>0</v>
      </c>
      <c r="Q849" s="51">
        <f>IF(COUNTIF(TblPurchases[BatchID],TblOutcomes[[#This Row],[BatchID]])&lt;&gt;1,"n.a.",SUMIFS(TblPurchases[Purchase Date],TblPurchases[BatchID],TblOutcomes[[#This Row],[BatchID]]))</f>
        <v>45833</v>
      </c>
    </row>
    <row r="850" spans="2:17" x14ac:dyDescent="0.25">
      <c r="B850" s="2" t="s">
        <v>1654</v>
      </c>
      <c r="C850" s="2" t="s">
        <v>153</v>
      </c>
      <c r="D850" s="2" t="s">
        <v>155</v>
      </c>
      <c r="E850" s="2" t="s">
        <v>4646</v>
      </c>
      <c r="F850" s="2">
        <v>16</v>
      </c>
      <c r="G850" s="2">
        <v>9.1</v>
      </c>
      <c r="H850" s="2">
        <v>6.9</v>
      </c>
      <c r="I850" s="1">
        <v>43.1</v>
      </c>
      <c r="J850" s="26">
        <v>45130</v>
      </c>
      <c r="K850" s="22">
        <v>13650</v>
      </c>
      <c r="L850" s="18">
        <v>14.6</v>
      </c>
      <c r="M850" s="22">
        <v>18400</v>
      </c>
      <c r="N850" s="22">
        <v>-4750</v>
      </c>
      <c r="O850" s="18">
        <v>-5.08</v>
      </c>
      <c r="P850" s="52">
        <f>IF(COUNTIF(TblPurchases[BatchID],TblOutcomes[[#This Row],[BatchID]])&lt;&gt;1,"n.a.",TblOutcomes[[#This Row],[Qty Wasted]]*SUMIFS(TblPurchases[Unit Cost (CLP)],TblPurchases[BatchID],TblOutcomes[[#This Row],[BatchID]]))</f>
        <v>7935</v>
      </c>
      <c r="Q850" s="51">
        <f>IF(COUNTIF(TblPurchases[BatchID],TblOutcomes[[#This Row],[BatchID]])&lt;&gt;1,"n.a.",SUMIFS(TblPurchases[Purchase Date],TblPurchases[BatchID],TblOutcomes[[#This Row],[BatchID]]))</f>
        <v>45110</v>
      </c>
    </row>
    <row r="851" spans="2:17" x14ac:dyDescent="0.25">
      <c r="B851" s="2" t="s">
        <v>1655</v>
      </c>
      <c r="C851" s="2" t="s">
        <v>153</v>
      </c>
      <c r="D851" s="2" t="s">
        <v>155</v>
      </c>
      <c r="E851" s="2" t="s">
        <v>4646</v>
      </c>
      <c r="F851" s="2">
        <v>18</v>
      </c>
      <c r="G851" s="2">
        <v>13.5</v>
      </c>
      <c r="H851" s="2">
        <v>4.5</v>
      </c>
      <c r="I851" s="1">
        <v>25</v>
      </c>
      <c r="J851" s="26">
        <v>45135</v>
      </c>
      <c r="K851" s="22">
        <v>20250</v>
      </c>
      <c r="L851" s="18">
        <v>21.66</v>
      </c>
      <c r="M851" s="22">
        <v>20700</v>
      </c>
      <c r="N851" s="22">
        <v>-450</v>
      </c>
      <c r="O851" s="18">
        <v>-0.48</v>
      </c>
      <c r="P851" s="52">
        <f>IF(COUNTIF(TblPurchases[BatchID],TblOutcomes[[#This Row],[BatchID]])&lt;&gt;1,"n.a.",TblOutcomes[[#This Row],[Qty Wasted]]*SUMIFS(TblPurchases[Unit Cost (CLP)],TblPurchases[BatchID],TblOutcomes[[#This Row],[BatchID]]))</f>
        <v>5175</v>
      </c>
      <c r="Q851" s="51">
        <f>IF(COUNTIF(TblPurchases[BatchID],TblOutcomes[[#This Row],[BatchID]])&lt;&gt;1,"n.a.",SUMIFS(TblPurchases[Purchase Date],TblPurchases[BatchID],TblOutcomes[[#This Row],[BatchID]]))</f>
        <v>45115</v>
      </c>
    </row>
    <row r="852" spans="2:17" x14ac:dyDescent="0.25">
      <c r="B852" s="2" t="s">
        <v>1656</v>
      </c>
      <c r="C852" s="2" t="s">
        <v>153</v>
      </c>
      <c r="D852" s="2" t="s">
        <v>155</v>
      </c>
      <c r="E852" s="2" t="s">
        <v>4647</v>
      </c>
      <c r="F852" s="2">
        <v>21</v>
      </c>
      <c r="G852" s="2">
        <v>21</v>
      </c>
      <c r="H852" s="2">
        <v>0</v>
      </c>
      <c r="I852" s="1">
        <v>0</v>
      </c>
      <c r="J852" s="26">
        <v>45125</v>
      </c>
      <c r="K852" s="22">
        <v>31500</v>
      </c>
      <c r="L852" s="18">
        <v>33.69</v>
      </c>
      <c r="M852" s="22">
        <v>24150</v>
      </c>
      <c r="N852" s="22">
        <v>7350</v>
      </c>
      <c r="O852" s="18">
        <v>7.86</v>
      </c>
      <c r="P852" s="52">
        <f>IF(COUNTIF(TblPurchases[BatchID],TblOutcomes[[#This Row],[BatchID]])&lt;&gt;1,"n.a.",TblOutcomes[[#This Row],[Qty Wasted]]*SUMIFS(TblPurchases[Unit Cost (CLP)],TblPurchases[BatchID],TblOutcomes[[#This Row],[BatchID]]))</f>
        <v>0</v>
      </c>
      <c r="Q852" s="51">
        <f>IF(COUNTIF(TblPurchases[BatchID],TblOutcomes[[#This Row],[BatchID]])&lt;&gt;1,"n.a.",SUMIFS(TblPurchases[Purchase Date],TblPurchases[BatchID],TblOutcomes[[#This Row],[BatchID]]))</f>
        <v>45122</v>
      </c>
    </row>
    <row r="853" spans="2:17" x14ac:dyDescent="0.25">
      <c r="B853" s="2" t="s">
        <v>1657</v>
      </c>
      <c r="C853" s="2" t="s">
        <v>153</v>
      </c>
      <c r="D853" s="2" t="s">
        <v>155</v>
      </c>
      <c r="E853" s="2" t="s">
        <v>4647</v>
      </c>
      <c r="F853" s="2">
        <v>18</v>
      </c>
      <c r="G853" s="2">
        <v>18</v>
      </c>
      <c r="H853" s="2">
        <v>0</v>
      </c>
      <c r="I853" s="1">
        <v>0</v>
      </c>
      <c r="J853" s="26">
        <v>45136</v>
      </c>
      <c r="K853" s="22">
        <v>27000</v>
      </c>
      <c r="L853" s="18">
        <v>28.88</v>
      </c>
      <c r="M853" s="22">
        <v>20700</v>
      </c>
      <c r="N853" s="22">
        <v>6300</v>
      </c>
      <c r="O853" s="18">
        <v>6.74</v>
      </c>
      <c r="P853" s="52">
        <f>IF(COUNTIF(TblPurchases[BatchID],TblOutcomes[[#This Row],[BatchID]])&lt;&gt;1,"n.a.",TblOutcomes[[#This Row],[Qty Wasted]]*SUMIFS(TblPurchases[Unit Cost (CLP)],TblPurchases[BatchID],TblOutcomes[[#This Row],[BatchID]]))</f>
        <v>0</v>
      </c>
      <c r="Q853" s="51">
        <f>IF(COUNTIF(TblPurchases[BatchID],TblOutcomes[[#This Row],[BatchID]])&lt;&gt;1,"n.a.",SUMIFS(TblPurchases[Purchase Date],TblPurchases[BatchID],TblOutcomes[[#This Row],[BatchID]]))</f>
        <v>45130</v>
      </c>
    </row>
    <row r="854" spans="2:17" x14ac:dyDescent="0.25">
      <c r="B854" s="2" t="s">
        <v>1658</v>
      </c>
      <c r="C854" s="2" t="s">
        <v>153</v>
      </c>
      <c r="D854" s="2" t="s">
        <v>155</v>
      </c>
      <c r="E854" s="2" t="s">
        <v>4646</v>
      </c>
      <c r="F854" s="2">
        <v>18</v>
      </c>
      <c r="G854" s="2">
        <v>13.03</v>
      </c>
      <c r="H854" s="2">
        <v>4.97</v>
      </c>
      <c r="I854" s="1">
        <v>27.6</v>
      </c>
      <c r="J854" s="26">
        <v>45155</v>
      </c>
      <c r="K854" s="22">
        <v>19545</v>
      </c>
      <c r="L854" s="18">
        <v>20.9</v>
      </c>
      <c r="M854" s="22">
        <v>20700</v>
      </c>
      <c r="N854" s="22">
        <v>-1155</v>
      </c>
      <c r="O854" s="18">
        <v>-1.24</v>
      </c>
      <c r="P854" s="52">
        <f>IF(COUNTIF(TblPurchases[BatchID],TblOutcomes[[#This Row],[BatchID]])&lt;&gt;1,"n.a.",TblOutcomes[[#This Row],[Qty Wasted]]*SUMIFS(TblPurchases[Unit Cost (CLP)],TblPurchases[BatchID],TblOutcomes[[#This Row],[BatchID]]))</f>
        <v>5715.5</v>
      </c>
      <c r="Q854" s="51">
        <f>IF(COUNTIF(TblPurchases[BatchID],TblOutcomes[[#This Row],[BatchID]])&lt;&gt;1,"n.a.",SUMIFS(TblPurchases[Purchase Date],TblPurchases[BatchID],TblOutcomes[[#This Row],[BatchID]]))</f>
        <v>45135</v>
      </c>
    </row>
    <row r="855" spans="2:17" x14ac:dyDescent="0.25">
      <c r="B855" s="2" t="s">
        <v>1659</v>
      </c>
      <c r="C855" s="2" t="s">
        <v>153</v>
      </c>
      <c r="D855" s="2" t="s">
        <v>155</v>
      </c>
      <c r="E855" s="2" t="s">
        <v>4647</v>
      </c>
      <c r="F855" s="2">
        <v>20</v>
      </c>
      <c r="G855" s="2">
        <v>20</v>
      </c>
      <c r="H855" s="2">
        <v>0</v>
      </c>
      <c r="I855" s="1">
        <v>0</v>
      </c>
      <c r="J855" s="26">
        <v>45150</v>
      </c>
      <c r="K855" s="22">
        <v>30000</v>
      </c>
      <c r="L855" s="18">
        <v>32.090000000000003</v>
      </c>
      <c r="M855" s="22">
        <v>23000</v>
      </c>
      <c r="N855" s="22">
        <v>7000</v>
      </c>
      <c r="O855" s="18">
        <v>7.49</v>
      </c>
      <c r="P855" s="52">
        <f>IF(COUNTIF(TblPurchases[BatchID],TblOutcomes[[#This Row],[BatchID]])&lt;&gt;1,"n.a.",TblOutcomes[[#This Row],[Qty Wasted]]*SUMIFS(TblPurchases[Unit Cost (CLP)],TblPurchases[BatchID],TblOutcomes[[#This Row],[BatchID]]))</f>
        <v>0</v>
      </c>
      <c r="Q855" s="51">
        <f>IF(COUNTIF(TblPurchases[BatchID],TblOutcomes[[#This Row],[BatchID]])&lt;&gt;1,"n.a.",SUMIFS(TblPurchases[Purchase Date],TblPurchases[BatchID],TblOutcomes[[#This Row],[BatchID]]))</f>
        <v>45142</v>
      </c>
    </row>
    <row r="856" spans="2:17" x14ac:dyDescent="0.25">
      <c r="B856" s="2" t="s">
        <v>1660</v>
      </c>
      <c r="C856" s="2" t="s">
        <v>153</v>
      </c>
      <c r="D856" s="2" t="s">
        <v>155</v>
      </c>
      <c r="E856" s="2" t="s">
        <v>4646</v>
      </c>
      <c r="F856" s="2">
        <v>17</v>
      </c>
      <c r="G856" s="2">
        <v>10.83</v>
      </c>
      <c r="H856" s="2">
        <v>6.17</v>
      </c>
      <c r="I856" s="1">
        <v>36.299999999999997</v>
      </c>
      <c r="J856" s="26">
        <v>45168</v>
      </c>
      <c r="K856" s="22">
        <v>16245</v>
      </c>
      <c r="L856" s="18">
        <v>17.37</v>
      </c>
      <c r="M856" s="22">
        <v>19550</v>
      </c>
      <c r="N856" s="22">
        <v>-3305</v>
      </c>
      <c r="O856" s="18">
        <v>-3.53</v>
      </c>
      <c r="P856" s="52">
        <f>IF(COUNTIF(TblPurchases[BatchID],TblOutcomes[[#This Row],[BatchID]])&lt;&gt;1,"n.a.",TblOutcomes[[#This Row],[Qty Wasted]]*SUMIFS(TblPurchases[Unit Cost (CLP)],TblPurchases[BatchID],TblOutcomes[[#This Row],[BatchID]]))</f>
        <v>7095.5</v>
      </c>
      <c r="Q856" s="51">
        <f>IF(COUNTIF(TblPurchases[BatchID],TblOutcomes[[#This Row],[BatchID]])&lt;&gt;1,"n.a.",SUMIFS(TblPurchases[Purchase Date],TblPurchases[BatchID],TblOutcomes[[#This Row],[BatchID]]))</f>
        <v>45148</v>
      </c>
    </row>
    <row r="857" spans="2:17" x14ac:dyDescent="0.25">
      <c r="B857" s="2" t="s">
        <v>1661</v>
      </c>
      <c r="C857" s="2" t="s">
        <v>153</v>
      </c>
      <c r="D857" s="2" t="s">
        <v>155</v>
      </c>
      <c r="E857" s="2" t="s">
        <v>4647</v>
      </c>
      <c r="F857" s="2">
        <v>20</v>
      </c>
      <c r="G857" s="2">
        <v>20</v>
      </c>
      <c r="H857" s="2">
        <v>0</v>
      </c>
      <c r="I857" s="1">
        <v>0</v>
      </c>
      <c r="J857" s="26">
        <v>45158</v>
      </c>
      <c r="K857" s="22">
        <v>30000</v>
      </c>
      <c r="L857" s="18">
        <v>32.090000000000003</v>
      </c>
      <c r="M857" s="22">
        <v>23000</v>
      </c>
      <c r="N857" s="22">
        <v>7000</v>
      </c>
      <c r="O857" s="18">
        <v>7.49</v>
      </c>
      <c r="P857" s="52">
        <f>IF(COUNTIF(TblPurchases[BatchID],TblOutcomes[[#This Row],[BatchID]])&lt;&gt;1,"n.a.",TblOutcomes[[#This Row],[Qty Wasted]]*SUMIFS(TblPurchases[Unit Cost (CLP)],TblPurchases[BatchID],TblOutcomes[[#This Row],[BatchID]]))</f>
        <v>0</v>
      </c>
      <c r="Q857" s="51">
        <f>IF(COUNTIF(TblPurchases[BatchID],TblOutcomes[[#This Row],[BatchID]])&lt;&gt;1,"n.a.",SUMIFS(TblPurchases[Purchase Date],TblPurchases[BatchID],TblOutcomes[[#This Row],[BatchID]]))</f>
        <v>45153</v>
      </c>
    </row>
    <row r="858" spans="2:17" x14ac:dyDescent="0.25">
      <c r="B858" s="2" t="s">
        <v>1662</v>
      </c>
      <c r="C858" s="2" t="s">
        <v>153</v>
      </c>
      <c r="D858" s="2" t="s">
        <v>155</v>
      </c>
      <c r="E858" s="2" t="s">
        <v>4646</v>
      </c>
      <c r="F858" s="2">
        <v>17</v>
      </c>
      <c r="G858" s="2">
        <v>12.22</v>
      </c>
      <c r="H858" s="2">
        <v>4.78</v>
      </c>
      <c r="I858" s="1">
        <v>28.1</v>
      </c>
      <c r="J858" s="26">
        <v>45177</v>
      </c>
      <c r="K858" s="22">
        <v>18330</v>
      </c>
      <c r="L858" s="18">
        <v>19.600000000000001</v>
      </c>
      <c r="M858" s="22">
        <v>19550</v>
      </c>
      <c r="N858" s="22">
        <v>-1220</v>
      </c>
      <c r="O858" s="18">
        <v>-1.3</v>
      </c>
      <c r="P858" s="52">
        <f>IF(COUNTIF(TblPurchases[BatchID],TblOutcomes[[#This Row],[BatchID]])&lt;&gt;1,"n.a.",TblOutcomes[[#This Row],[Qty Wasted]]*SUMIFS(TblPurchases[Unit Cost (CLP)],TblPurchases[BatchID],TblOutcomes[[#This Row],[BatchID]]))</f>
        <v>5497</v>
      </c>
      <c r="Q858" s="51">
        <f>IF(COUNTIF(TblPurchases[BatchID],TblOutcomes[[#This Row],[BatchID]])&lt;&gt;1,"n.a.",SUMIFS(TblPurchases[Purchase Date],TblPurchases[BatchID],TblOutcomes[[#This Row],[BatchID]]))</f>
        <v>45157</v>
      </c>
    </row>
    <row r="859" spans="2:17" x14ac:dyDescent="0.25">
      <c r="B859" s="2" t="s">
        <v>1663</v>
      </c>
      <c r="C859" s="2" t="s">
        <v>153</v>
      </c>
      <c r="D859" s="2" t="s">
        <v>155</v>
      </c>
      <c r="E859" s="2" t="s">
        <v>4646</v>
      </c>
      <c r="F859" s="2">
        <v>18</v>
      </c>
      <c r="G859" s="2">
        <v>14.09</v>
      </c>
      <c r="H859" s="2">
        <v>3.91</v>
      </c>
      <c r="I859" s="1">
        <v>21.7</v>
      </c>
      <c r="J859" s="26">
        <v>45184</v>
      </c>
      <c r="K859" s="22">
        <v>21135</v>
      </c>
      <c r="L859" s="18">
        <v>22.6</v>
      </c>
      <c r="M859" s="22">
        <v>20700</v>
      </c>
      <c r="N859" s="22">
        <v>435</v>
      </c>
      <c r="O859" s="18">
        <v>0.47</v>
      </c>
      <c r="P859" s="52">
        <f>IF(COUNTIF(TblPurchases[BatchID],TblOutcomes[[#This Row],[BatchID]])&lt;&gt;1,"n.a.",TblOutcomes[[#This Row],[Qty Wasted]]*SUMIFS(TblPurchases[Unit Cost (CLP)],TblPurchases[BatchID],TblOutcomes[[#This Row],[BatchID]]))</f>
        <v>4496.5</v>
      </c>
      <c r="Q859" s="51">
        <f>IF(COUNTIF(TblPurchases[BatchID],TblOutcomes[[#This Row],[BatchID]])&lt;&gt;1,"n.a.",SUMIFS(TblPurchases[Purchase Date],TblPurchases[BatchID],TblOutcomes[[#This Row],[BatchID]]))</f>
        <v>45164</v>
      </c>
    </row>
    <row r="860" spans="2:17" x14ac:dyDescent="0.25">
      <c r="B860" s="2" t="s">
        <v>1664</v>
      </c>
      <c r="C860" s="2" t="s">
        <v>153</v>
      </c>
      <c r="D860" s="2" t="s">
        <v>155</v>
      </c>
      <c r="E860" s="2" t="s">
        <v>4647</v>
      </c>
      <c r="F860" s="2">
        <v>25</v>
      </c>
      <c r="G860" s="2">
        <v>25</v>
      </c>
      <c r="H860" s="2">
        <v>0</v>
      </c>
      <c r="I860" s="1">
        <v>0</v>
      </c>
      <c r="J860" s="26">
        <v>45179</v>
      </c>
      <c r="K860" s="22">
        <v>37500</v>
      </c>
      <c r="L860" s="18">
        <v>40.11</v>
      </c>
      <c r="M860" s="22">
        <v>28750</v>
      </c>
      <c r="N860" s="22">
        <v>8750</v>
      </c>
      <c r="O860" s="18">
        <v>9.36</v>
      </c>
      <c r="P860" s="52">
        <f>IF(COUNTIF(TblPurchases[BatchID],TblOutcomes[[#This Row],[BatchID]])&lt;&gt;1,"n.a.",TblOutcomes[[#This Row],[Qty Wasted]]*SUMIFS(TblPurchases[Unit Cost (CLP)],TblPurchases[BatchID],TblOutcomes[[#This Row],[BatchID]]))</f>
        <v>0</v>
      </c>
      <c r="Q860" s="51">
        <f>IF(COUNTIF(TblPurchases[BatchID],TblOutcomes[[#This Row],[BatchID]])&lt;&gt;1,"n.a.",SUMIFS(TblPurchases[Purchase Date],TblPurchases[BatchID],TblOutcomes[[#This Row],[BatchID]]))</f>
        <v>45171</v>
      </c>
    </row>
    <row r="861" spans="2:17" x14ac:dyDescent="0.25">
      <c r="B861" s="2" t="s">
        <v>1665</v>
      </c>
      <c r="C861" s="2" t="s">
        <v>153</v>
      </c>
      <c r="D861" s="2" t="s">
        <v>155</v>
      </c>
      <c r="E861" s="2" t="s">
        <v>4647</v>
      </c>
      <c r="F861" s="2">
        <v>22</v>
      </c>
      <c r="G861" s="2">
        <v>22</v>
      </c>
      <c r="H861" s="2">
        <v>0</v>
      </c>
      <c r="I861" s="1">
        <v>0</v>
      </c>
      <c r="J861" s="26">
        <v>45185</v>
      </c>
      <c r="K861" s="22">
        <v>33000</v>
      </c>
      <c r="L861" s="18">
        <v>35.29</v>
      </c>
      <c r="M861" s="22">
        <v>25300</v>
      </c>
      <c r="N861" s="22">
        <v>7700</v>
      </c>
      <c r="O861" s="18">
        <v>8.24</v>
      </c>
      <c r="P861" s="52">
        <f>IF(COUNTIF(TblPurchases[BatchID],TblOutcomes[[#This Row],[BatchID]])&lt;&gt;1,"n.a.",TblOutcomes[[#This Row],[Qty Wasted]]*SUMIFS(TblPurchases[Unit Cost (CLP)],TblPurchases[BatchID],TblOutcomes[[#This Row],[BatchID]]))</f>
        <v>0</v>
      </c>
      <c r="Q861" s="51">
        <f>IF(COUNTIF(TblPurchases[BatchID],TblOutcomes[[#This Row],[BatchID]])&lt;&gt;1,"n.a.",SUMIFS(TblPurchases[Purchase Date],TblPurchases[BatchID],TblOutcomes[[#This Row],[BatchID]]))</f>
        <v>45178</v>
      </c>
    </row>
    <row r="862" spans="2:17" x14ac:dyDescent="0.25">
      <c r="B862" s="2" t="s">
        <v>1666</v>
      </c>
      <c r="C862" s="2" t="s">
        <v>153</v>
      </c>
      <c r="D862" s="2" t="s">
        <v>155</v>
      </c>
      <c r="E862" s="2" t="s">
        <v>4646</v>
      </c>
      <c r="F862" s="2">
        <v>21</v>
      </c>
      <c r="G862" s="2">
        <v>17.77</v>
      </c>
      <c r="H862" s="2">
        <v>3.23</v>
      </c>
      <c r="I862" s="1">
        <v>15.4</v>
      </c>
      <c r="J862" s="26">
        <v>45204</v>
      </c>
      <c r="K862" s="22">
        <v>26655</v>
      </c>
      <c r="L862" s="18">
        <v>28.51</v>
      </c>
      <c r="M862" s="22">
        <v>24150</v>
      </c>
      <c r="N862" s="22">
        <v>2505</v>
      </c>
      <c r="O862" s="18">
        <v>2.68</v>
      </c>
      <c r="P862" s="52">
        <f>IF(COUNTIF(TblPurchases[BatchID],TblOutcomes[[#This Row],[BatchID]])&lt;&gt;1,"n.a.",TblOutcomes[[#This Row],[Qty Wasted]]*SUMIFS(TblPurchases[Unit Cost (CLP)],TblPurchases[BatchID],TblOutcomes[[#This Row],[BatchID]]))</f>
        <v>3714.5</v>
      </c>
      <c r="Q862" s="51">
        <f>IF(COUNTIF(TblPurchases[BatchID],TblOutcomes[[#This Row],[BatchID]])&lt;&gt;1,"n.a.",SUMIFS(TblPurchases[Purchase Date],TblPurchases[BatchID],TblOutcomes[[#This Row],[BatchID]]))</f>
        <v>45184</v>
      </c>
    </row>
    <row r="863" spans="2:17" x14ac:dyDescent="0.25">
      <c r="B863" s="2" t="s">
        <v>1667</v>
      </c>
      <c r="C863" s="2" t="s">
        <v>153</v>
      </c>
      <c r="D863" s="2" t="s">
        <v>155</v>
      </c>
      <c r="E863" s="2" t="s">
        <v>4646</v>
      </c>
      <c r="F863" s="2">
        <v>24</v>
      </c>
      <c r="G863" s="2">
        <v>18.29</v>
      </c>
      <c r="H863" s="2">
        <v>5.71</v>
      </c>
      <c r="I863" s="1">
        <v>23.8</v>
      </c>
      <c r="J863" s="26">
        <v>45211</v>
      </c>
      <c r="K863" s="22">
        <v>27435</v>
      </c>
      <c r="L863" s="18">
        <v>29.34</v>
      </c>
      <c r="M863" s="22">
        <v>27600</v>
      </c>
      <c r="N863" s="22">
        <v>-165</v>
      </c>
      <c r="O863" s="18">
        <v>-0.18</v>
      </c>
      <c r="P863" s="52">
        <f>IF(COUNTIF(TblPurchases[BatchID],TblOutcomes[[#This Row],[BatchID]])&lt;&gt;1,"n.a.",TblOutcomes[[#This Row],[Qty Wasted]]*SUMIFS(TblPurchases[Unit Cost (CLP)],TblPurchases[BatchID],TblOutcomes[[#This Row],[BatchID]]))</f>
        <v>6566.5</v>
      </c>
      <c r="Q863" s="51">
        <f>IF(COUNTIF(TblPurchases[BatchID],TblOutcomes[[#This Row],[BatchID]])&lt;&gt;1,"n.a.",SUMIFS(TblPurchases[Purchase Date],TblPurchases[BatchID],TblOutcomes[[#This Row],[BatchID]]))</f>
        <v>45191</v>
      </c>
    </row>
    <row r="864" spans="2:17" x14ac:dyDescent="0.25">
      <c r="B864" s="2" t="s">
        <v>1668</v>
      </c>
      <c r="C864" s="2" t="s">
        <v>153</v>
      </c>
      <c r="D864" s="2" t="s">
        <v>155</v>
      </c>
      <c r="E864" s="2" t="s">
        <v>4647</v>
      </c>
      <c r="F864" s="2">
        <v>26</v>
      </c>
      <c r="G864" s="2">
        <v>26</v>
      </c>
      <c r="H864" s="2">
        <v>0</v>
      </c>
      <c r="I864" s="1">
        <v>0</v>
      </c>
      <c r="J864" s="26">
        <v>45204</v>
      </c>
      <c r="K864" s="22">
        <v>39000</v>
      </c>
      <c r="L864" s="18">
        <v>41.71</v>
      </c>
      <c r="M864" s="22">
        <v>29900</v>
      </c>
      <c r="N864" s="22">
        <v>9100</v>
      </c>
      <c r="O864" s="18">
        <v>9.73</v>
      </c>
      <c r="P864" s="52">
        <f>IF(COUNTIF(TblPurchases[BatchID],TblOutcomes[[#This Row],[BatchID]])&lt;&gt;1,"n.a.",TblOutcomes[[#This Row],[Qty Wasted]]*SUMIFS(TblPurchases[Unit Cost (CLP)],TblPurchases[BatchID],TblOutcomes[[#This Row],[BatchID]]))</f>
        <v>0</v>
      </c>
      <c r="Q864" s="51">
        <f>IF(COUNTIF(TblPurchases[BatchID],TblOutcomes[[#This Row],[BatchID]])&lt;&gt;1,"n.a.",SUMIFS(TblPurchases[Purchase Date],TblPurchases[BatchID],TblOutcomes[[#This Row],[BatchID]]))</f>
        <v>45198</v>
      </c>
    </row>
    <row r="865" spans="2:17" x14ac:dyDescent="0.25">
      <c r="B865" s="2" t="s">
        <v>1669</v>
      </c>
      <c r="C865" s="2" t="s">
        <v>153</v>
      </c>
      <c r="D865" s="2" t="s">
        <v>155</v>
      </c>
      <c r="E865" s="2" t="s">
        <v>4647</v>
      </c>
      <c r="F865" s="2">
        <v>45</v>
      </c>
      <c r="G865" s="2">
        <v>45</v>
      </c>
      <c r="H865" s="2">
        <v>0</v>
      </c>
      <c r="I865" s="1">
        <v>0</v>
      </c>
      <c r="J865" s="26">
        <v>45211</v>
      </c>
      <c r="K865" s="22">
        <v>67500</v>
      </c>
      <c r="L865" s="18">
        <v>72.19</v>
      </c>
      <c r="M865" s="22">
        <v>51750</v>
      </c>
      <c r="N865" s="22">
        <v>15750</v>
      </c>
      <c r="O865" s="18">
        <v>16.84</v>
      </c>
      <c r="P865" s="52">
        <f>IF(COUNTIF(TblPurchases[BatchID],TblOutcomes[[#This Row],[BatchID]])&lt;&gt;1,"n.a.",TblOutcomes[[#This Row],[Qty Wasted]]*SUMIFS(TblPurchases[Unit Cost (CLP)],TblPurchases[BatchID],TblOutcomes[[#This Row],[BatchID]]))</f>
        <v>0</v>
      </c>
      <c r="Q865" s="51">
        <f>IF(COUNTIF(TblPurchases[BatchID],TblOutcomes[[#This Row],[BatchID]])&lt;&gt;1,"n.a.",SUMIFS(TblPurchases[Purchase Date],TblPurchases[BatchID],TblOutcomes[[#This Row],[BatchID]]))</f>
        <v>45205</v>
      </c>
    </row>
    <row r="866" spans="2:17" x14ac:dyDescent="0.25">
      <c r="B866" s="2" t="s">
        <v>1670</v>
      </c>
      <c r="C866" s="2" t="s">
        <v>153</v>
      </c>
      <c r="D866" s="2" t="s">
        <v>155</v>
      </c>
      <c r="E866" s="2" t="s">
        <v>4647</v>
      </c>
      <c r="F866" s="2">
        <v>44</v>
      </c>
      <c r="G866" s="2">
        <v>44</v>
      </c>
      <c r="H866" s="2">
        <v>0</v>
      </c>
      <c r="I866" s="1">
        <v>0</v>
      </c>
      <c r="J866" s="26">
        <v>45216</v>
      </c>
      <c r="K866" s="22">
        <v>66000</v>
      </c>
      <c r="L866" s="18">
        <v>70.59</v>
      </c>
      <c r="M866" s="22">
        <v>50600</v>
      </c>
      <c r="N866" s="22">
        <v>15400</v>
      </c>
      <c r="O866" s="18">
        <v>16.47</v>
      </c>
      <c r="P866" s="52">
        <f>IF(COUNTIF(TblPurchases[BatchID],TblOutcomes[[#This Row],[BatchID]])&lt;&gt;1,"n.a.",TblOutcomes[[#This Row],[Qty Wasted]]*SUMIFS(TblPurchases[Unit Cost (CLP)],TblPurchases[BatchID],TblOutcomes[[#This Row],[BatchID]]))</f>
        <v>0</v>
      </c>
      <c r="Q866" s="51">
        <f>IF(COUNTIF(TblPurchases[BatchID],TblOutcomes[[#This Row],[BatchID]])&lt;&gt;1,"n.a.",SUMIFS(TblPurchases[Purchase Date],TblPurchases[BatchID],TblOutcomes[[#This Row],[BatchID]]))</f>
        <v>45212</v>
      </c>
    </row>
    <row r="867" spans="2:17" x14ac:dyDescent="0.25">
      <c r="B867" s="2" t="s">
        <v>1671</v>
      </c>
      <c r="C867" s="2" t="s">
        <v>153</v>
      </c>
      <c r="D867" s="2" t="s">
        <v>155</v>
      </c>
      <c r="E867" s="2" t="s">
        <v>4647</v>
      </c>
      <c r="F867" s="2">
        <v>44</v>
      </c>
      <c r="G867" s="2">
        <v>44</v>
      </c>
      <c r="H867" s="2">
        <v>0</v>
      </c>
      <c r="I867" s="1">
        <v>0</v>
      </c>
      <c r="J867" s="26">
        <v>45225</v>
      </c>
      <c r="K867" s="22">
        <v>66000</v>
      </c>
      <c r="L867" s="18">
        <v>70.59</v>
      </c>
      <c r="M867" s="22">
        <v>50600</v>
      </c>
      <c r="N867" s="22">
        <v>15400</v>
      </c>
      <c r="O867" s="18">
        <v>16.47</v>
      </c>
      <c r="P867" s="52">
        <f>IF(COUNTIF(TblPurchases[BatchID],TblOutcomes[[#This Row],[BatchID]])&lt;&gt;1,"n.a.",TblOutcomes[[#This Row],[Qty Wasted]]*SUMIFS(TblPurchases[Unit Cost (CLP)],TblPurchases[BatchID],TblOutcomes[[#This Row],[BatchID]]))</f>
        <v>0</v>
      </c>
      <c r="Q867" s="51">
        <f>IF(COUNTIF(TblPurchases[BatchID],TblOutcomes[[#This Row],[BatchID]])&lt;&gt;1,"n.a.",SUMIFS(TblPurchases[Purchase Date],TblPurchases[BatchID],TblOutcomes[[#This Row],[BatchID]]))</f>
        <v>45218</v>
      </c>
    </row>
    <row r="868" spans="2:17" x14ac:dyDescent="0.25">
      <c r="B868" s="2" t="s">
        <v>1672</v>
      </c>
      <c r="C868" s="2" t="s">
        <v>153</v>
      </c>
      <c r="D868" s="2" t="s">
        <v>155</v>
      </c>
      <c r="E868" s="2" t="s">
        <v>4647</v>
      </c>
      <c r="F868" s="2">
        <v>47</v>
      </c>
      <c r="G868" s="2">
        <v>47</v>
      </c>
      <c r="H868" s="2">
        <v>0</v>
      </c>
      <c r="I868" s="1">
        <v>0</v>
      </c>
      <c r="J868" s="26">
        <v>45230</v>
      </c>
      <c r="K868" s="22">
        <v>70500</v>
      </c>
      <c r="L868" s="18">
        <v>75.400000000000006</v>
      </c>
      <c r="M868" s="22">
        <v>54050</v>
      </c>
      <c r="N868" s="22">
        <v>16450</v>
      </c>
      <c r="O868" s="18">
        <v>17.59</v>
      </c>
      <c r="P868" s="52">
        <f>IF(COUNTIF(TblPurchases[BatchID],TblOutcomes[[#This Row],[BatchID]])&lt;&gt;1,"n.a.",TblOutcomes[[#This Row],[Qty Wasted]]*SUMIFS(TblPurchases[Unit Cost (CLP)],TblPurchases[BatchID],TblOutcomes[[#This Row],[BatchID]]))</f>
        <v>0</v>
      </c>
      <c r="Q868" s="51">
        <f>IF(COUNTIF(TblPurchases[BatchID],TblOutcomes[[#This Row],[BatchID]])&lt;&gt;1,"n.a.",SUMIFS(TblPurchases[Purchase Date],TblPurchases[BatchID],TblOutcomes[[#This Row],[BatchID]]))</f>
        <v>45224</v>
      </c>
    </row>
    <row r="869" spans="2:17" x14ac:dyDescent="0.25">
      <c r="B869" s="2" t="s">
        <v>1673</v>
      </c>
      <c r="C869" s="2" t="s">
        <v>153</v>
      </c>
      <c r="D869" s="2" t="s">
        <v>155</v>
      </c>
      <c r="E869" s="2" t="s">
        <v>4646</v>
      </c>
      <c r="F869" s="2">
        <v>50</v>
      </c>
      <c r="G869" s="2">
        <v>39.299999999999997</v>
      </c>
      <c r="H869" s="2">
        <v>10.7</v>
      </c>
      <c r="I869" s="1">
        <v>21.4</v>
      </c>
      <c r="J869" s="26">
        <v>45251</v>
      </c>
      <c r="K869" s="22">
        <v>58950</v>
      </c>
      <c r="L869" s="18">
        <v>63.05</v>
      </c>
      <c r="M869" s="22">
        <v>57500</v>
      </c>
      <c r="N869" s="22">
        <v>1450</v>
      </c>
      <c r="O869" s="18">
        <v>1.55</v>
      </c>
      <c r="P869" s="52">
        <f>IF(COUNTIF(TblPurchases[BatchID],TblOutcomes[[#This Row],[BatchID]])&lt;&gt;1,"n.a.",TblOutcomes[[#This Row],[Qty Wasted]]*SUMIFS(TblPurchases[Unit Cost (CLP)],TblPurchases[BatchID],TblOutcomes[[#This Row],[BatchID]]))</f>
        <v>12305</v>
      </c>
      <c r="Q869" s="51">
        <f>IF(COUNTIF(TblPurchases[BatchID],TblOutcomes[[#This Row],[BatchID]])&lt;&gt;1,"n.a.",SUMIFS(TblPurchases[Purchase Date],TblPurchases[BatchID],TblOutcomes[[#This Row],[BatchID]]))</f>
        <v>45231</v>
      </c>
    </row>
    <row r="870" spans="2:17" x14ac:dyDescent="0.25">
      <c r="B870" s="2" t="s">
        <v>1674</v>
      </c>
      <c r="C870" s="2" t="s">
        <v>153</v>
      </c>
      <c r="D870" s="2" t="s">
        <v>155</v>
      </c>
      <c r="E870" s="2" t="s">
        <v>4647</v>
      </c>
      <c r="F870" s="2">
        <v>48</v>
      </c>
      <c r="G870" s="2">
        <v>48</v>
      </c>
      <c r="H870" s="2">
        <v>0</v>
      </c>
      <c r="I870" s="1">
        <v>0</v>
      </c>
      <c r="J870" s="26">
        <v>45243</v>
      </c>
      <c r="K870" s="22">
        <v>72000</v>
      </c>
      <c r="L870" s="18">
        <v>77.010000000000005</v>
      </c>
      <c r="M870" s="22">
        <v>55200</v>
      </c>
      <c r="N870" s="22">
        <v>16800</v>
      </c>
      <c r="O870" s="18">
        <v>17.97</v>
      </c>
      <c r="P870" s="52">
        <f>IF(COUNTIF(TblPurchases[BatchID],TblOutcomes[[#This Row],[BatchID]])&lt;&gt;1,"n.a.",TblOutcomes[[#This Row],[Qty Wasted]]*SUMIFS(TblPurchases[Unit Cost (CLP)],TblPurchases[BatchID],TblOutcomes[[#This Row],[BatchID]]))</f>
        <v>0</v>
      </c>
      <c r="Q870" s="51">
        <f>IF(COUNTIF(TblPurchases[BatchID],TblOutcomes[[#This Row],[BatchID]])&lt;&gt;1,"n.a.",SUMIFS(TblPurchases[Purchase Date],TblPurchases[BatchID],TblOutcomes[[#This Row],[BatchID]]))</f>
        <v>45238</v>
      </c>
    </row>
    <row r="871" spans="2:17" x14ac:dyDescent="0.25">
      <c r="B871" s="2" t="s">
        <v>1675</v>
      </c>
      <c r="C871" s="2" t="s">
        <v>153</v>
      </c>
      <c r="D871" s="2" t="s">
        <v>155</v>
      </c>
      <c r="E871" s="2" t="s">
        <v>4646</v>
      </c>
      <c r="F871" s="2">
        <v>43</v>
      </c>
      <c r="G871" s="2">
        <v>35.26</v>
      </c>
      <c r="H871" s="2">
        <v>7.74</v>
      </c>
      <c r="I871" s="1">
        <v>18</v>
      </c>
      <c r="J871" s="26">
        <v>45265</v>
      </c>
      <c r="K871" s="22">
        <v>52890</v>
      </c>
      <c r="L871" s="18">
        <v>56.57</v>
      </c>
      <c r="M871" s="22">
        <v>49450</v>
      </c>
      <c r="N871" s="22">
        <v>3440</v>
      </c>
      <c r="O871" s="18">
        <v>3.68</v>
      </c>
      <c r="P871" s="52">
        <f>IF(COUNTIF(TblPurchases[BatchID],TblOutcomes[[#This Row],[BatchID]])&lt;&gt;1,"n.a.",TblOutcomes[[#This Row],[Qty Wasted]]*SUMIFS(TblPurchases[Unit Cost (CLP)],TblPurchases[BatchID],TblOutcomes[[#This Row],[BatchID]]))</f>
        <v>8901</v>
      </c>
      <c r="Q871" s="51">
        <f>IF(COUNTIF(TblPurchases[BatchID],TblOutcomes[[#This Row],[BatchID]])&lt;&gt;1,"n.a.",SUMIFS(TblPurchases[Purchase Date],TblPurchases[BatchID],TblOutcomes[[#This Row],[BatchID]]))</f>
        <v>45245</v>
      </c>
    </row>
    <row r="872" spans="2:17" x14ac:dyDescent="0.25">
      <c r="B872" s="2" t="s">
        <v>1676</v>
      </c>
      <c r="C872" s="2" t="s">
        <v>153</v>
      </c>
      <c r="D872" s="2" t="s">
        <v>155</v>
      </c>
      <c r="E872" s="2" t="s">
        <v>4647</v>
      </c>
      <c r="F872" s="2">
        <v>52</v>
      </c>
      <c r="G872" s="2">
        <v>52</v>
      </c>
      <c r="H872" s="2">
        <v>0</v>
      </c>
      <c r="I872" s="1">
        <v>0</v>
      </c>
      <c r="J872" s="26">
        <v>45258</v>
      </c>
      <c r="K872" s="22">
        <v>78000</v>
      </c>
      <c r="L872" s="18">
        <v>83.42</v>
      </c>
      <c r="M872" s="22">
        <v>59800</v>
      </c>
      <c r="N872" s="22">
        <v>18200</v>
      </c>
      <c r="O872" s="18">
        <v>19.47</v>
      </c>
      <c r="P872" s="52">
        <f>IF(COUNTIF(TblPurchases[BatchID],TblOutcomes[[#This Row],[BatchID]])&lt;&gt;1,"n.a.",TblOutcomes[[#This Row],[Qty Wasted]]*SUMIFS(TblPurchases[Unit Cost (CLP)],TblPurchases[BatchID],TblOutcomes[[#This Row],[BatchID]]))</f>
        <v>0</v>
      </c>
      <c r="Q872" s="51">
        <f>IF(COUNTIF(TblPurchases[BatchID],TblOutcomes[[#This Row],[BatchID]])&lt;&gt;1,"n.a.",SUMIFS(TblPurchases[Purchase Date],TblPurchases[BatchID],TblOutcomes[[#This Row],[BatchID]]))</f>
        <v>45252</v>
      </c>
    </row>
    <row r="873" spans="2:17" x14ac:dyDescent="0.25">
      <c r="B873" s="2" t="s">
        <v>1677</v>
      </c>
      <c r="C873" s="2" t="s">
        <v>153</v>
      </c>
      <c r="D873" s="2" t="s">
        <v>155</v>
      </c>
      <c r="E873" s="2" t="s">
        <v>4646</v>
      </c>
      <c r="F873" s="2">
        <v>50</v>
      </c>
      <c r="G873" s="2">
        <v>37.15</v>
      </c>
      <c r="H873" s="2">
        <v>12.85</v>
      </c>
      <c r="I873" s="1">
        <v>25.7</v>
      </c>
      <c r="J873" s="26">
        <v>45280</v>
      </c>
      <c r="K873" s="22">
        <v>55725</v>
      </c>
      <c r="L873" s="18">
        <v>59.6</v>
      </c>
      <c r="M873" s="22">
        <v>57500</v>
      </c>
      <c r="N873" s="22">
        <v>-1775</v>
      </c>
      <c r="O873" s="18">
        <v>-1.9</v>
      </c>
      <c r="P873" s="52">
        <f>IF(COUNTIF(TblPurchases[BatchID],TblOutcomes[[#This Row],[BatchID]])&lt;&gt;1,"n.a.",TblOutcomes[[#This Row],[Qty Wasted]]*SUMIFS(TblPurchases[Unit Cost (CLP)],TblPurchases[BatchID],TblOutcomes[[#This Row],[BatchID]]))</f>
        <v>14777.5</v>
      </c>
      <c r="Q873" s="51">
        <f>IF(COUNTIF(TblPurchases[BatchID],TblOutcomes[[#This Row],[BatchID]])&lt;&gt;1,"n.a.",SUMIFS(TblPurchases[Purchase Date],TblPurchases[BatchID],TblOutcomes[[#This Row],[BatchID]]))</f>
        <v>45260</v>
      </c>
    </row>
    <row r="874" spans="2:17" x14ac:dyDescent="0.25">
      <c r="B874" s="2" t="s">
        <v>1678</v>
      </c>
      <c r="C874" s="2" t="s">
        <v>153</v>
      </c>
      <c r="D874" s="2" t="s">
        <v>155</v>
      </c>
      <c r="E874" s="2" t="s">
        <v>4647</v>
      </c>
      <c r="F874" s="2">
        <v>69</v>
      </c>
      <c r="G874" s="2">
        <v>69</v>
      </c>
      <c r="H874" s="2">
        <v>0</v>
      </c>
      <c r="I874" s="1">
        <v>0</v>
      </c>
      <c r="J874" s="26">
        <v>45270</v>
      </c>
      <c r="K874" s="22">
        <v>103500</v>
      </c>
      <c r="L874" s="18">
        <v>110.7</v>
      </c>
      <c r="M874" s="22">
        <v>79350</v>
      </c>
      <c r="N874" s="22">
        <v>24150</v>
      </c>
      <c r="O874" s="18">
        <v>25.83</v>
      </c>
      <c r="P874" s="52">
        <f>IF(COUNTIF(TblPurchases[BatchID],TblOutcomes[[#This Row],[BatchID]])&lt;&gt;1,"n.a.",TblOutcomes[[#This Row],[Qty Wasted]]*SUMIFS(TblPurchases[Unit Cost (CLP)],TblPurchases[BatchID],TblOutcomes[[#This Row],[BatchID]]))</f>
        <v>0</v>
      </c>
      <c r="Q874" s="51">
        <f>IF(COUNTIF(TblPurchases[BatchID],TblOutcomes[[#This Row],[BatchID]])&lt;&gt;1,"n.a.",SUMIFS(TblPurchases[Purchase Date],TblPurchases[BatchID],TblOutcomes[[#This Row],[BatchID]]))</f>
        <v>45266</v>
      </c>
    </row>
    <row r="875" spans="2:17" x14ac:dyDescent="0.25">
      <c r="B875" s="2" t="s">
        <v>1679</v>
      </c>
      <c r="C875" s="2" t="s">
        <v>153</v>
      </c>
      <c r="D875" s="2" t="s">
        <v>155</v>
      </c>
      <c r="E875" s="2" t="s">
        <v>4647</v>
      </c>
      <c r="F875" s="2">
        <v>56</v>
      </c>
      <c r="G875" s="2">
        <v>56</v>
      </c>
      <c r="H875" s="2">
        <v>0</v>
      </c>
      <c r="I875" s="1">
        <v>0</v>
      </c>
      <c r="J875" s="26">
        <v>45274</v>
      </c>
      <c r="K875" s="22">
        <v>84000</v>
      </c>
      <c r="L875" s="18">
        <v>89.84</v>
      </c>
      <c r="M875" s="22">
        <v>64400</v>
      </c>
      <c r="N875" s="22">
        <v>19600</v>
      </c>
      <c r="O875" s="18">
        <v>20.96</v>
      </c>
      <c r="P875" s="52">
        <f>IF(COUNTIF(TblPurchases[BatchID],TblOutcomes[[#This Row],[BatchID]])&lt;&gt;1,"n.a.",TblOutcomes[[#This Row],[Qty Wasted]]*SUMIFS(TblPurchases[Unit Cost (CLP)],TblPurchases[BatchID],TblOutcomes[[#This Row],[BatchID]]))</f>
        <v>0</v>
      </c>
      <c r="Q875" s="51">
        <f>IF(COUNTIF(TblPurchases[BatchID],TblOutcomes[[#This Row],[BatchID]])&lt;&gt;1,"n.a.",SUMIFS(TblPurchases[Purchase Date],TblPurchases[BatchID],TblOutcomes[[#This Row],[BatchID]]))</f>
        <v>45272</v>
      </c>
    </row>
    <row r="876" spans="2:17" x14ac:dyDescent="0.25">
      <c r="B876" s="2" t="s">
        <v>1680</v>
      </c>
      <c r="C876" s="2" t="s">
        <v>153</v>
      </c>
      <c r="D876" s="2" t="s">
        <v>155</v>
      </c>
      <c r="E876" s="2" t="s">
        <v>4647</v>
      </c>
      <c r="F876" s="2">
        <v>60</v>
      </c>
      <c r="G876" s="2">
        <v>60</v>
      </c>
      <c r="H876" s="2">
        <v>0</v>
      </c>
      <c r="I876" s="1">
        <v>0</v>
      </c>
      <c r="J876" s="26">
        <v>45284</v>
      </c>
      <c r="K876" s="22">
        <v>90000</v>
      </c>
      <c r="L876" s="18">
        <v>96.26</v>
      </c>
      <c r="M876" s="22">
        <v>69000</v>
      </c>
      <c r="N876" s="22">
        <v>21000</v>
      </c>
      <c r="O876" s="18">
        <v>22.46</v>
      </c>
      <c r="P876" s="52">
        <f>IF(COUNTIF(TblPurchases[BatchID],TblOutcomes[[#This Row],[BatchID]])&lt;&gt;1,"n.a.",TblOutcomes[[#This Row],[Qty Wasted]]*SUMIFS(TblPurchases[Unit Cost (CLP)],TblPurchases[BatchID],TblOutcomes[[#This Row],[BatchID]]))</f>
        <v>0</v>
      </c>
      <c r="Q876" s="51">
        <f>IF(COUNTIF(TblPurchases[BatchID],TblOutcomes[[#This Row],[BatchID]])&lt;&gt;1,"n.a.",SUMIFS(TblPurchases[Purchase Date],TblPurchases[BatchID],TblOutcomes[[#This Row],[BatchID]]))</f>
        <v>45278</v>
      </c>
    </row>
    <row r="877" spans="2:17" x14ac:dyDescent="0.25">
      <c r="B877" s="2" t="s">
        <v>1681</v>
      </c>
      <c r="C877" s="2" t="s">
        <v>153</v>
      </c>
      <c r="D877" s="2" t="s">
        <v>155</v>
      </c>
      <c r="E877" s="2" t="s">
        <v>4647</v>
      </c>
      <c r="F877" s="2">
        <v>64</v>
      </c>
      <c r="G877" s="2">
        <v>64</v>
      </c>
      <c r="H877" s="2">
        <v>0</v>
      </c>
      <c r="I877" s="1">
        <v>0</v>
      </c>
      <c r="J877" s="26">
        <v>45288</v>
      </c>
      <c r="K877" s="22">
        <v>96000</v>
      </c>
      <c r="L877" s="18">
        <v>102.67</v>
      </c>
      <c r="M877" s="22">
        <v>73600</v>
      </c>
      <c r="N877" s="22">
        <v>22400</v>
      </c>
      <c r="O877" s="18">
        <v>23.96</v>
      </c>
      <c r="P877" s="52">
        <f>IF(COUNTIF(TblPurchases[BatchID],TblOutcomes[[#This Row],[BatchID]])&lt;&gt;1,"n.a.",TblOutcomes[[#This Row],[Qty Wasted]]*SUMIFS(TblPurchases[Unit Cost (CLP)],TblPurchases[BatchID],TblOutcomes[[#This Row],[BatchID]]))</f>
        <v>0</v>
      </c>
      <c r="Q877" s="51">
        <f>IF(COUNTIF(TblPurchases[BatchID],TblOutcomes[[#This Row],[BatchID]])&lt;&gt;1,"n.a.",SUMIFS(TblPurchases[Purchase Date],TblPurchases[BatchID],TblOutcomes[[#This Row],[BatchID]]))</f>
        <v>45284</v>
      </c>
    </row>
    <row r="878" spans="2:17" x14ac:dyDescent="0.25">
      <c r="B878" s="2" t="s">
        <v>1682</v>
      </c>
      <c r="C878" s="2" t="s">
        <v>153</v>
      </c>
      <c r="D878" s="2" t="s">
        <v>155</v>
      </c>
      <c r="E878" s="2" t="s">
        <v>4647</v>
      </c>
      <c r="F878" s="2">
        <v>54</v>
      </c>
      <c r="G878" s="2">
        <v>54</v>
      </c>
      <c r="H878" s="2">
        <v>0</v>
      </c>
      <c r="I878" s="1">
        <v>0</v>
      </c>
      <c r="J878" s="26">
        <v>45295</v>
      </c>
      <c r="K878" s="22">
        <v>81000</v>
      </c>
      <c r="L878" s="18">
        <v>86.63</v>
      </c>
      <c r="M878" s="22">
        <v>62100</v>
      </c>
      <c r="N878" s="22">
        <v>18900</v>
      </c>
      <c r="O878" s="18">
        <v>20.21</v>
      </c>
      <c r="P878" s="52">
        <f>IF(COUNTIF(TblPurchases[BatchID],TblOutcomes[[#This Row],[BatchID]])&lt;&gt;1,"n.a.",TblOutcomes[[#This Row],[Qty Wasted]]*SUMIFS(TblPurchases[Unit Cost (CLP)],TblPurchases[BatchID],TblOutcomes[[#This Row],[BatchID]]))</f>
        <v>0</v>
      </c>
      <c r="Q878" s="51">
        <f>IF(COUNTIF(TblPurchases[BatchID],TblOutcomes[[#This Row],[BatchID]])&lt;&gt;1,"n.a.",SUMIFS(TblPurchases[Purchase Date],TblPurchases[BatchID],TblOutcomes[[#This Row],[BatchID]]))</f>
        <v>45289</v>
      </c>
    </row>
    <row r="879" spans="2:17" x14ac:dyDescent="0.25">
      <c r="B879" s="2" t="s">
        <v>1683</v>
      </c>
      <c r="C879" s="2" t="s">
        <v>153</v>
      </c>
      <c r="D879" s="2" t="s">
        <v>155</v>
      </c>
      <c r="E879" s="2" t="s">
        <v>4646</v>
      </c>
      <c r="F879" s="2">
        <v>42</v>
      </c>
      <c r="G879" s="2">
        <v>28.64</v>
      </c>
      <c r="H879" s="2">
        <v>13.36</v>
      </c>
      <c r="I879" s="1">
        <v>31.8</v>
      </c>
      <c r="J879" s="26">
        <v>45315</v>
      </c>
      <c r="K879" s="22">
        <v>42960</v>
      </c>
      <c r="L879" s="18">
        <v>45.95</v>
      </c>
      <c r="M879" s="22">
        <v>48300</v>
      </c>
      <c r="N879" s="22">
        <v>-5340</v>
      </c>
      <c r="O879" s="18">
        <v>-5.71</v>
      </c>
      <c r="P879" s="52">
        <f>IF(COUNTIF(TblPurchases[BatchID],TblOutcomes[[#This Row],[BatchID]])&lt;&gt;1,"n.a.",TblOutcomes[[#This Row],[Qty Wasted]]*SUMIFS(TblPurchases[Unit Cost (CLP)],TblPurchases[BatchID],TblOutcomes[[#This Row],[BatchID]]))</f>
        <v>15364</v>
      </c>
      <c r="Q879" s="51">
        <f>IF(COUNTIF(TblPurchases[BatchID],TblOutcomes[[#This Row],[BatchID]])&lt;&gt;1,"n.a.",SUMIFS(TblPurchases[Purchase Date],TblPurchases[BatchID],TblOutcomes[[#This Row],[BatchID]]))</f>
        <v>45295</v>
      </c>
    </row>
    <row r="880" spans="2:17" x14ac:dyDescent="0.25">
      <c r="B880" s="2" t="s">
        <v>1684</v>
      </c>
      <c r="C880" s="2" t="s">
        <v>153</v>
      </c>
      <c r="D880" s="2" t="s">
        <v>155</v>
      </c>
      <c r="E880" s="2" t="s">
        <v>4646</v>
      </c>
      <c r="F880" s="2">
        <v>50</v>
      </c>
      <c r="G880" s="2">
        <v>28.55</v>
      </c>
      <c r="H880" s="2">
        <v>21.45</v>
      </c>
      <c r="I880" s="1">
        <v>42.9</v>
      </c>
      <c r="J880" s="26">
        <v>45320</v>
      </c>
      <c r="K880" s="22">
        <v>42825</v>
      </c>
      <c r="L880" s="18">
        <v>45.8</v>
      </c>
      <c r="M880" s="22">
        <v>57500</v>
      </c>
      <c r="N880" s="22">
        <v>-14675</v>
      </c>
      <c r="O880" s="18">
        <v>-15.7</v>
      </c>
      <c r="P880" s="52">
        <f>IF(COUNTIF(TblPurchases[BatchID],TblOutcomes[[#This Row],[BatchID]])&lt;&gt;1,"n.a.",TblOutcomes[[#This Row],[Qty Wasted]]*SUMIFS(TblPurchases[Unit Cost (CLP)],TblPurchases[BatchID],TblOutcomes[[#This Row],[BatchID]]))</f>
        <v>24667.5</v>
      </c>
      <c r="Q880" s="51">
        <f>IF(COUNTIF(TblPurchases[BatchID],TblOutcomes[[#This Row],[BatchID]])&lt;&gt;1,"n.a.",SUMIFS(TblPurchases[Purchase Date],TblPurchases[BatchID],TblOutcomes[[#This Row],[BatchID]]))</f>
        <v>45300</v>
      </c>
    </row>
    <row r="881" spans="2:17" x14ac:dyDescent="0.25">
      <c r="B881" s="2" t="s">
        <v>1685</v>
      </c>
      <c r="C881" s="2" t="s">
        <v>153</v>
      </c>
      <c r="D881" s="2" t="s">
        <v>155</v>
      </c>
      <c r="E881" s="2" t="s">
        <v>4646</v>
      </c>
      <c r="F881" s="2">
        <v>51</v>
      </c>
      <c r="G881" s="2">
        <v>36.31</v>
      </c>
      <c r="H881" s="2">
        <v>14.69</v>
      </c>
      <c r="I881" s="1">
        <v>28.8</v>
      </c>
      <c r="J881" s="26">
        <v>45324</v>
      </c>
      <c r="K881" s="22">
        <v>54465</v>
      </c>
      <c r="L881" s="18">
        <v>58.25</v>
      </c>
      <c r="M881" s="22">
        <v>58650</v>
      </c>
      <c r="N881" s="22">
        <v>-4185</v>
      </c>
      <c r="O881" s="18">
        <v>-4.4800000000000004</v>
      </c>
      <c r="P881" s="52">
        <f>IF(COUNTIF(TblPurchases[BatchID],TblOutcomes[[#This Row],[BatchID]])&lt;&gt;1,"n.a.",TblOutcomes[[#This Row],[Qty Wasted]]*SUMIFS(TblPurchases[Unit Cost (CLP)],TblPurchases[BatchID],TblOutcomes[[#This Row],[BatchID]]))</f>
        <v>16893.5</v>
      </c>
      <c r="Q881" s="51">
        <f>IF(COUNTIF(TblPurchases[BatchID],TblOutcomes[[#This Row],[BatchID]])&lt;&gt;1,"n.a.",SUMIFS(TblPurchases[Purchase Date],TblPurchases[BatchID],TblOutcomes[[#This Row],[BatchID]]))</f>
        <v>45304</v>
      </c>
    </row>
    <row r="882" spans="2:17" x14ac:dyDescent="0.25">
      <c r="B882" s="2" t="s">
        <v>1686</v>
      </c>
      <c r="C882" s="2" t="s">
        <v>153</v>
      </c>
      <c r="D882" s="2" t="s">
        <v>155</v>
      </c>
      <c r="E882" s="2" t="s">
        <v>4647</v>
      </c>
      <c r="F882" s="2">
        <v>46</v>
      </c>
      <c r="G882" s="2">
        <v>46</v>
      </c>
      <c r="H882" s="2">
        <v>0</v>
      </c>
      <c r="I882" s="1">
        <v>0</v>
      </c>
      <c r="J882" s="26">
        <v>45315</v>
      </c>
      <c r="K882" s="22">
        <v>69000</v>
      </c>
      <c r="L882" s="18">
        <v>73.8</v>
      </c>
      <c r="M882" s="22">
        <v>52900</v>
      </c>
      <c r="N882" s="22">
        <v>16100</v>
      </c>
      <c r="O882" s="18">
        <v>17.22</v>
      </c>
      <c r="P882" s="52">
        <f>IF(COUNTIF(TblPurchases[BatchID],TblOutcomes[[#This Row],[BatchID]])&lt;&gt;1,"n.a.",TblOutcomes[[#This Row],[Qty Wasted]]*SUMIFS(TblPurchases[Unit Cost (CLP)],TblPurchases[BatchID],TblOutcomes[[#This Row],[BatchID]]))</f>
        <v>0</v>
      </c>
      <c r="Q882" s="51">
        <f>IF(COUNTIF(TblPurchases[BatchID],TblOutcomes[[#This Row],[BatchID]])&lt;&gt;1,"n.a.",SUMIFS(TblPurchases[Purchase Date],TblPurchases[BatchID],TblOutcomes[[#This Row],[BatchID]]))</f>
        <v>45309</v>
      </c>
    </row>
    <row r="883" spans="2:17" x14ac:dyDescent="0.25">
      <c r="B883" s="2" t="s">
        <v>1687</v>
      </c>
      <c r="C883" s="2" t="s">
        <v>153</v>
      </c>
      <c r="D883" s="2" t="s">
        <v>155</v>
      </c>
      <c r="E883" s="2" t="s">
        <v>4647</v>
      </c>
      <c r="F883" s="2">
        <v>53</v>
      </c>
      <c r="G883" s="2">
        <v>53</v>
      </c>
      <c r="H883" s="2">
        <v>0</v>
      </c>
      <c r="I883" s="1">
        <v>0</v>
      </c>
      <c r="J883" s="26">
        <v>45319</v>
      </c>
      <c r="K883" s="22">
        <v>79500</v>
      </c>
      <c r="L883" s="18">
        <v>85.03</v>
      </c>
      <c r="M883" s="22">
        <v>60950</v>
      </c>
      <c r="N883" s="22">
        <v>18550</v>
      </c>
      <c r="O883" s="18">
        <v>19.84</v>
      </c>
      <c r="P883" s="52">
        <f>IF(COUNTIF(TblPurchases[BatchID],TblOutcomes[[#This Row],[BatchID]])&lt;&gt;1,"n.a.",TblOutcomes[[#This Row],[Qty Wasted]]*SUMIFS(TblPurchases[Unit Cost (CLP)],TblPurchases[BatchID],TblOutcomes[[#This Row],[BatchID]]))</f>
        <v>0</v>
      </c>
      <c r="Q883" s="51">
        <f>IF(COUNTIF(TblPurchases[BatchID],TblOutcomes[[#This Row],[BatchID]])&lt;&gt;1,"n.a.",SUMIFS(TblPurchases[Purchase Date],TblPurchases[BatchID],TblOutcomes[[#This Row],[BatchID]]))</f>
        <v>45315</v>
      </c>
    </row>
    <row r="884" spans="2:17" x14ac:dyDescent="0.25">
      <c r="B884" s="2" t="s">
        <v>1688</v>
      </c>
      <c r="C884" s="2" t="s">
        <v>153</v>
      </c>
      <c r="D884" s="2" t="s">
        <v>155</v>
      </c>
      <c r="E884" s="2" t="s">
        <v>4646</v>
      </c>
      <c r="F884" s="2">
        <v>54</v>
      </c>
      <c r="G884" s="2">
        <v>34.4</v>
      </c>
      <c r="H884" s="2">
        <v>19.600000000000001</v>
      </c>
      <c r="I884" s="1">
        <v>36.299999999999997</v>
      </c>
      <c r="J884" s="26">
        <v>45343</v>
      </c>
      <c r="K884" s="22">
        <v>51600</v>
      </c>
      <c r="L884" s="18">
        <v>55.19</v>
      </c>
      <c r="M884" s="22">
        <v>62100</v>
      </c>
      <c r="N884" s="22">
        <v>-10500</v>
      </c>
      <c r="O884" s="18">
        <v>-11.23</v>
      </c>
      <c r="P884" s="52">
        <f>IF(COUNTIF(TblPurchases[BatchID],TblOutcomes[[#This Row],[BatchID]])&lt;&gt;1,"n.a.",TblOutcomes[[#This Row],[Qty Wasted]]*SUMIFS(TblPurchases[Unit Cost (CLP)],TblPurchases[BatchID],TblOutcomes[[#This Row],[BatchID]]))</f>
        <v>22540</v>
      </c>
      <c r="Q884" s="51">
        <f>IF(COUNTIF(TblPurchases[BatchID],TblOutcomes[[#This Row],[BatchID]])&lt;&gt;1,"n.a.",SUMIFS(TblPurchases[Purchase Date],TblPurchases[BatchID],TblOutcomes[[#This Row],[BatchID]]))</f>
        <v>45323</v>
      </c>
    </row>
    <row r="885" spans="2:17" x14ac:dyDescent="0.25">
      <c r="B885" s="2" t="s">
        <v>1689</v>
      </c>
      <c r="C885" s="2" t="s">
        <v>153</v>
      </c>
      <c r="D885" s="2" t="s">
        <v>155</v>
      </c>
      <c r="E885" s="2" t="s">
        <v>4646</v>
      </c>
      <c r="F885" s="2">
        <v>55</v>
      </c>
      <c r="G885" s="2">
        <v>37.07</v>
      </c>
      <c r="H885" s="2">
        <v>17.93</v>
      </c>
      <c r="I885" s="1">
        <v>32.6</v>
      </c>
      <c r="J885" s="26">
        <v>45348</v>
      </c>
      <c r="K885" s="22">
        <v>55605</v>
      </c>
      <c r="L885" s="18">
        <v>59.47</v>
      </c>
      <c r="M885" s="22">
        <v>63250</v>
      </c>
      <c r="N885" s="22">
        <v>-7645</v>
      </c>
      <c r="O885" s="18">
        <v>-8.18</v>
      </c>
      <c r="P885" s="52">
        <f>IF(COUNTIF(TblPurchases[BatchID],TblOutcomes[[#This Row],[BatchID]])&lt;&gt;1,"n.a.",TblOutcomes[[#This Row],[Qty Wasted]]*SUMIFS(TblPurchases[Unit Cost (CLP)],TblPurchases[BatchID],TblOutcomes[[#This Row],[BatchID]]))</f>
        <v>20619.5</v>
      </c>
      <c r="Q885" s="51">
        <f>IF(COUNTIF(TblPurchases[BatchID],TblOutcomes[[#This Row],[BatchID]])&lt;&gt;1,"n.a.",SUMIFS(TblPurchases[Purchase Date],TblPurchases[BatchID],TblOutcomes[[#This Row],[BatchID]]))</f>
        <v>45328</v>
      </c>
    </row>
    <row r="886" spans="2:17" x14ac:dyDescent="0.25">
      <c r="B886" s="2" t="s">
        <v>1690</v>
      </c>
      <c r="C886" s="2" t="s">
        <v>153</v>
      </c>
      <c r="D886" s="2" t="s">
        <v>155</v>
      </c>
      <c r="E886" s="2" t="s">
        <v>4647</v>
      </c>
      <c r="F886" s="2">
        <v>43</v>
      </c>
      <c r="G886" s="2">
        <v>43</v>
      </c>
      <c r="H886" s="2">
        <v>0</v>
      </c>
      <c r="I886" s="1">
        <v>0</v>
      </c>
      <c r="J886" s="26">
        <v>45340</v>
      </c>
      <c r="K886" s="22">
        <v>64500</v>
      </c>
      <c r="L886" s="18">
        <v>68.98</v>
      </c>
      <c r="M886" s="22">
        <v>49450</v>
      </c>
      <c r="N886" s="22">
        <v>15050</v>
      </c>
      <c r="O886" s="18">
        <v>16.100000000000001</v>
      </c>
      <c r="P886" s="52">
        <f>IF(COUNTIF(TblPurchases[BatchID],TblOutcomes[[#This Row],[BatchID]])&lt;&gt;1,"n.a.",TblOutcomes[[#This Row],[Qty Wasted]]*SUMIFS(TblPurchases[Unit Cost (CLP)],TblPurchases[BatchID],TblOutcomes[[#This Row],[BatchID]]))</f>
        <v>0</v>
      </c>
      <c r="Q886" s="51">
        <f>IF(COUNTIF(TblPurchases[BatchID],TblOutcomes[[#This Row],[BatchID]])&lt;&gt;1,"n.a.",SUMIFS(TblPurchases[Purchase Date],TblPurchases[BatchID],TblOutcomes[[#This Row],[BatchID]]))</f>
        <v>45336</v>
      </c>
    </row>
    <row r="887" spans="2:17" x14ac:dyDescent="0.25">
      <c r="B887" s="2" t="s">
        <v>1691</v>
      </c>
      <c r="C887" s="2" t="s">
        <v>153</v>
      </c>
      <c r="D887" s="2" t="s">
        <v>155</v>
      </c>
      <c r="E887" s="2" t="s">
        <v>4647</v>
      </c>
      <c r="F887" s="2">
        <v>41</v>
      </c>
      <c r="G887" s="2">
        <v>41</v>
      </c>
      <c r="H887" s="2">
        <v>0</v>
      </c>
      <c r="I887" s="1">
        <v>0</v>
      </c>
      <c r="J887" s="26">
        <v>45349</v>
      </c>
      <c r="K887" s="22">
        <v>61500</v>
      </c>
      <c r="L887" s="18">
        <v>65.78</v>
      </c>
      <c r="M887" s="22">
        <v>47150</v>
      </c>
      <c r="N887" s="22">
        <v>14350</v>
      </c>
      <c r="O887" s="18">
        <v>15.35</v>
      </c>
      <c r="P887" s="52">
        <f>IF(COUNTIF(TblPurchases[BatchID],TblOutcomes[[#This Row],[BatchID]])&lt;&gt;1,"n.a.",TblOutcomes[[#This Row],[Qty Wasted]]*SUMIFS(TblPurchases[Unit Cost (CLP)],TblPurchases[BatchID],TblOutcomes[[#This Row],[BatchID]]))</f>
        <v>0</v>
      </c>
      <c r="Q887" s="51">
        <f>IF(COUNTIF(TblPurchases[BatchID],TblOutcomes[[#This Row],[BatchID]])&lt;&gt;1,"n.a.",SUMIFS(TblPurchases[Purchase Date],TblPurchases[BatchID],TblOutcomes[[#This Row],[BatchID]]))</f>
        <v>45344</v>
      </c>
    </row>
    <row r="888" spans="2:17" x14ac:dyDescent="0.25">
      <c r="B888" s="2" t="s">
        <v>1692</v>
      </c>
      <c r="C888" s="2" t="s">
        <v>153</v>
      </c>
      <c r="D888" s="2" t="s">
        <v>155</v>
      </c>
      <c r="E888" s="2" t="s">
        <v>4647</v>
      </c>
      <c r="F888" s="2">
        <v>51</v>
      </c>
      <c r="G888" s="2">
        <v>51</v>
      </c>
      <c r="H888" s="2">
        <v>0</v>
      </c>
      <c r="I888" s="1">
        <v>0</v>
      </c>
      <c r="J888" s="26">
        <v>45355</v>
      </c>
      <c r="K888" s="22">
        <v>76500</v>
      </c>
      <c r="L888" s="18">
        <v>81.819999999999993</v>
      </c>
      <c r="M888" s="22">
        <v>58650</v>
      </c>
      <c r="N888" s="22">
        <v>17850</v>
      </c>
      <c r="O888" s="18">
        <v>19.09</v>
      </c>
      <c r="P888" s="52">
        <f>IF(COUNTIF(TblPurchases[BatchID],TblOutcomes[[#This Row],[BatchID]])&lt;&gt;1,"n.a.",TblOutcomes[[#This Row],[Qty Wasted]]*SUMIFS(TblPurchases[Unit Cost (CLP)],TblPurchases[BatchID],TblOutcomes[[#This Row],[BatchID]]))</f>
        <v>0</v>
      </c>
      <c r="Q888" s="51">
        <f>IF(COUNTIF(TblPurchases[BatchID],TblOutcomes[[#This Row],[BatchID]])&lt;&gt;1,"n.a.",SUMIFS(TblPurchases[Purchase Date],TblPurchases[BatchID],TblOutcomes[[#This Row],[BatchID]]))</f>
        <v>45349</v>
      </c>
    </row>
    <row r="889" spans="2:17" x14ac:dyDescent="0.25">
      <c r="B889" s="2" t="s">
        <v>1693</v>
      </c>
      <c r="C889" s="2" t="s">
        <v>153</v>
      </c>
      <c r="D889" s="2" t="s">
        <v>155</v>
      </c>
      <c r="E889" s="2" t="s">
        <v>4647</v>
      </c>
      <c r="F889" s="2">
        <v>51</v>
      </c>
      <c r="G889" s="2">
        <v>51</v>
      </c>
      <c r="H889" s="2">
        <v>0</v>
      </c>
      <c r="I889" s="1">
        <v>0</v>
      </c>
      <c r="J889" s="26">
        <v>45362</v>
      </c>
      <c r="K889" s="22">
        <v>76500</v>
      </c>
      <c r="L889" s="18">
        <v>81.819999999999993</v>
      </c>
      <c r="M889" s="22">
        <v>58650</v>
      </c>
      <c r="N889" s="22">
        <v>17850</v>
      </c>
      <c r="O889" s="18">
        <v>19.09</v>
      </c>
      <c r="P889" s="52">
        <f>IF(COUNTIF(TblPurchases[BatchID],TblOutcomes[[#This Row],[BatchID]])&lt;&gt;1,"n.a.",TblOutcomes[[#This Row],[Qty Wasted]]*SUMIFS(TblPurchases[Unit Cost (CLP)],TblPurchases[BatchID],TblOutcomes[[#This Row],[BatchID]]))</f>
        <v>0</v>
      </c>
      <c r="Q889" s="51">
        <f>IF(COUNTIF(TblPurchases[BatchID],TblOutcomes[[#This Row],[BatchID]])&lt;&gt;1,"n.a.",SUMIFS(TblPurchases[Purchase Date],TblPurchases[BatchID],TblOutcomes[[#This Row],[BatchID]]))</f>
        <v>45356</v>
      </c>
    </row>
    <row r="890" spans="2:17" x14ac:dyDescent="0.25">
      <c r="B890" s="2" t="s">
        <v>1694</v>
      </c>
      <c r="C890" s="2" t="s">
        <v>153</v>
      </c>
      <c r="D890" s="2" t="s">
        <v>155</v>
      </c>
      <c r="E890" s="2" t="s">
        <v>4647</v>
      </c>
      <c r="F890" s="2">
        <v>45</v>
      </c>
      <c r="G890" s="2">
        <v>45</v>
      </c>
      <c r="H890" s="2">
        <v>0</v>
      </c>
      <c r="I890" s="1">
        <v>0</v>
      </c>
      <c r="J890" s="26">
        <v>45368</v>
      </c>
      <c r="K890" s="22">
        <v>67500</v>
      </c>
      <c r="L890" s="18">
        <v>72.19</v>
      </c>
      <c r="M890" s="22">
        <v>51750</v>
      </c>
      <c r="N890" s="22">
        <v>15750</v>
      </c>
      <c r="O890" s="18">
        <v>16.84</v>
      </c>
      <c r="P890" s="52">
        <f>IF(COUNTIF(TblPurchases[BatchID],TblOutcomes[[#This Row],[BatchID]])&lt;&gt;1,"n.a.",TblOutcomes[[#This Row],[Qty Wasted]]*SUMIFS(TblPurchases[Unit Cost (CLP)],TblPurchases[BatchID],TblOutcomes[[#This Row],[BatchID]]))</f>
        <v>0</v>
      </c>
      <c r="Q890" s="51">
        <f>IF(COUNTIF(TblPurchases[BatchID],TblOutcomes[[#This Row],[BatchID]])&lt;&gt;1,"n.a.",SUMIFS(TblPurchases[Purchase Date],TblPurchases[BatchID],TblOutcomes[[#This Row],[BatchID]]))</f>
        <v>45361</v>
      </c>
    </row>
    <row r="891" spans="2:17" x14ac:dyDescent="0.25">
      <c r="B891" s="2" t="s">
        <v>1695</v>
      </c>
      <c r="C891" s="2" t="s">
        <v>153</v>
      </c>
      <c r="D891" s="2" t="s">
        <v>155</v>
      </c>
      <c r="E891" s="2" t="s">
        <v>4647</v>
      </c>
      <c r="F891" s="2">
        <v>43</v>
      </c>
      <c r="G891" s="2">
        <v>43</v>
      </c>
      <c r="H891" s="2">
        <v>0</v>
      </c>
      <c r="I891" s="1">
        <v>0</v>
      </c>
      <c r="J891" s="26">
        <v>45372</v>
      </c>
      <c r="K891" s="22">
        <v>64500</v>
      </c>
      <c r="L891" s="18">
        <v>68.98</v>
      </c>
      <c r="M891" s="22">
        <v>49450</v>
      </c>
      <c r="N891" s="22">
        <v>15050</v>
      </c>
      <c r="O891" s="18">
        <v>16.100000000000001</v>
      </c>
      <c r="P891" s="52">
        <f>IF(COUNTIF(TblPurchases[BatchID],TblOutcomes[[#This Row],[BatchID]])&lt;&gt;1,"n.a.",TblOutcomes[[#This Row],[Qty Wasted]]*SUMIFS(TblPurchases[Unit Cost (CLP)],TblPurchases[BatchID],TblOutcomes[[#This Row],[BatchID]]))</f>
        <v>0</v>
      </c>
      <c r="Q891" s="51">
        <f>IF(COUNTIF(TblPurchases[BatchID],TblOutcomes[[#This Row],[BatchID]])&lt;&gt;1,"n.a.",SUMIFS(TblPurchases[Purchase Date],TblPurchases[BatchID],TblOutcomes[[#This Row],[BatchID]]))</f>
        <v>45368</v>
      </c>
    </row>
    <row r="892" spans="2:17" x14ac:dyDescent="0.25">
      <c r="B892" s="2" t="s">
        <v>1696</v>
      </c>
      <c r="C892" s="2" t="s">
        <v>153</v>
      </c>
      <c r="D892" s="2" t="s">
        <v>155</v>
      </c>
      <c r="E892" s="2" t="s">
        <v>4647</v>
      </c>
      <c r="F892" s="2">
        <v>55</v>
      </c>
      <c r="G892" s="2">
        <v>55</v>
      </c>
      <c r="H892" s="2">
        <v>0</v>
      </c>
      <c r="I892" s="1">
        <v>0</v>
      </c>
      <c r="J892" s="26">
        <v>45379</v>
      </c>
      <c r="K892" s="22">
        <v>82500</v>
      </c>
      <c r="L892" s="18">
        <v>88.24</v>
      </c>
      <c r="M892" s="22">
        <v>63250</v>
      </c>
      <c r="N892" s="22">
        <v>19250</v>
      </c>
      <c r="O892" s="18">
        <v>20.59</v>
      </c>
      <c r="P892" s="52">
        <f>IF(COUNTIF(TblPurchases[BatchID],TblOutcomes[[#This Row],[BatchID]])&lt;&gt;1,"n.a.",TblOutcomes[[#This Row],[Qty Wasted]]*SUMIFS(TblPurchases[Unit Cost (CLP)],TblPurchases[BatchID],TblOutcomes[[#This Row],[BatchID]]))</f>
        <v>0</v>
      </c>
      <c r="Q892" s="51">
        <f>IF(COUNTIF(TblPurchases[BatchID],TblOutcomes[[#This Row],[BatchID]])&lt;&gt;1,"n.a.",SUMIFS(TblPurchases[Purchase Date],TblPurchases[BatchID],TblOutcomes[[#This Row],[BatchID]]))</f>
        <v>45374</v>
      </c>
    </row>
    <row r="893" spans="2:17" x14ac:dyDescent="0.25">
      <c r="B893" s="2" t="s">
        <v>1697</v>
      </c>
      <c r="C893" s="2" t="s">
        <v>153</v>
      </c>
      <c r="D893" s="2" t="s">
        <v>155</v>
      </c>
      <c r="E893" s="2" t="s">
        <v>4647</v>
      </c>
      <c r="F893" s="2">
        <v>53</v>
      </c>
      <c r="G893" s="2">
        <v>53</v>
      </c>
      <c r="H893" s="2">
        <v>0</v>
      </c>
      <c r="I893" s="1">
        <v>0</v>
      </c>
      <c r="J893" s="26">
        <v>45382</v>
      </c>
      <c r="K893" s="22">
        <v>79500</v>
      </c>
      <c r="L893" s="18">
        <v>85.03</v>
      </c>
      <c r="M893" s="22">
        <v>60950</v>
      </c>
      <c r="N893" s="22">
        <v>18550</v>
      </c>
      <c r="O893" s="18">
        <v>19.84</v>
      </c>
      <c r="P893" s="52">
        <f>IF(COUNTIF(TblPurchases[BatchID],TblOutcomes[[#This Row],[BatchID]])&lt;&gt;1,"n.a.",TblOutcomes[[#This Row],[Qty Wasted]]*SUMIFS(TblPurchases[Unit Cost (CLP)],TblPurchases[BatchID],TblOutcomes[[#This Row],[BatchID]]))</f>
        <v>0</v>
      </c>
      <c r="Q893" s="51">
        <f>IF(COUNTIF(TblPurchases[BatchID],TblOutcomes[[#This Row],[BatchID]])&lt;&gt;1,"n.a.",SUMIFS(TblPurchases[Purchase Date],TblPurchases[BatchID],TblOutcomes[[#This Row],[BatchID]]))</f>
        <v>45380</v>
      </c>
    </row>
    <row r="894" spans="2:17" x14ac:dyDescent="0.25">
      <c r="B894" s="2" t="s">
        <v>1698</v>
      </c>
      <c r="C894" s="2" t="s">
        <v>153</v>
      </c>
      <c r="D894" s="2" t="s">
        <v>155</v>
      </c>
      <c r="E894" s="2" t="s">
        <v>4646</v>
      </c>
      <c r="F894" s="2">
        <v>18</v>
      </c>
      <c r="G894" s="2">
        <v>14.13</v>
      </c>
      <c r="H894" s="2">
        <v>3.87</v>
      </c>
      <c r="I894" s="1">
        <v>21.5</v>
      </c>
      <c r="J894" s="26">
        <v>45405</v>
      </c>
      <c r="K894" s="22">
        <v>21195</v>
      </c>
      <c r="L894" s="18">
        <v>22.67</v>
      </c>
      <c r="M894" s="22">
        <v>20700</v>
      </c>
      <c r="N894" s="22">
        <v>495</v>
      </c>
      <c r="O894" s="18">
        <v>0.53</v>
      </c>
      <c r="P894" s="52">
        <f>IF(COUNTIF(TblPurchases[BatchID],TblOutcomes[[#This Row],[BatchID]])&lt;&gt;1,"n.a.",TblOutcomes[[#This Row],[Qty Wasted]]*SUMIFS(TblPurchases[Unit Cost (CLP)],TblPurchases[BatchID],TblOutcomes[[#This Row],[BatchID]]))</f>
        <v>4450.5</v>
      </c>
      <c r="Q894" s="51">
        <f>IF(COUNTIF(TblPurchases[BatchID],TblOutcomes[[#This Row],[BatchID]])&lt;&gt;1,"n.a.",SUMIFS(TblPurchases[Purchase Date],TblPurchases[BatchID],TblOutcomes[[#This Row],[BatchID]]))</f>
        <v>45385</v>
      </c>
    </row>
    <row r="895" spans="2:17" x14ac:dyDescent="0.25">
      <c r="B895" s="2" t="s">
        <v>1699</v>
      </c>
      <c r="C895" s="2" t="s">
        <v>153</v>
      </c>
      <c r="D895" s="2" t="s">
        <v>155</v>
      </c>
      <c r="E895" s="2" t="s">
        <v>4646</v>
      </c>
      <c r="F895" s="2">
        <v>19</v>
      </c>
      <c r="G895" s="2">
        <v>15.75</v>
      </c>
      <c r="H895" s="2">
        <v>3.25</v>
      </c>
      <c r="I895" s="1">
        <v>17.100000000000001</v>
      </c>
      <c r="J895" s="26">
        <v>45412</v>
      </c>
      <c r="K895" s="22">
        <v>23625</v>
      </c>
      <c r="L895" s="18">
        <v>25.27</v>
      </c>
      <c r="M895" s="22">
        <v>21850</v>
      </c>
      <c r="N895" s="22">
        <v>1775</v>
      </c>
      <c r="O895" s="18">
        <v>1.9</v>
      </c>
      <c r="P895" s="52">
        <f>IF(COUNTIF(TblPurchases[BatchID],TblOutcomes[[#This Row],[BatchID]])&lt;&gt;1,"n.a.",TblOutcomes[[#This Row],[Qty Wasted]]*SUMIFS(TblPurchases[Unit Cost (CLP)],TblPurchases[BatchID],TblOutcomes[[#This Row],[BatchID]]))</f>
        <v>3737.5</v>
      </c>
      <c r="Q895" s="51">
        <f>IF(COUNTIF(TblPurchases[BatchID],TblOutcomes[[#This Row],[BatchID]])&lt;&gt;1,"n.a.",SUMIFS(TblPurchases[Purchase Date],TblPurchases[BatchID],TblOutcomes[[#This Row],[BatchID]]))</f>
        <v>45392</v>
      </c>
    </row>
    <row r="896" spans="2:17" x14ac:dyDescent="0.25">
      <c r="B896" s="2" t="s">
        <v>1700</v>
      </c>
      <c r="C896" s="2" t="s">
        <v>153</v>
      </c>
      <c r="D896" s="2" t="s">
        <v>155</v>
      </c>
      <c r="E896" s="2" t="s">
        <v>4647</v>
      </c>
      <c r="F896" s="2">
        <v>19</v>
      </c>
      <c r="G896" s="2">
        <v>19</v>
      </c>
      <c r="H896" s="2">
        <v>0</v>
      </c>
      <c r="I896" s="1">
        <v>0</v>
      </c>
      <c r="J896" s="26">
        <v>45405</v>
      </c>
      <c r="K896" s="22">
        <v>28500</v>
      </c>
      <c r="L896" s="18">
        <v>30.48</v>
      </c>
      <c r="M896" s="22">
        <v>21850</v>
      </c>
      <c r="N896" s="22">
        <v>6650</v>
      </c>
      <c r="O896" s="18">
        <v>7.11</v>
      </c>
      <c r="P896" s="52">
        <f>IF(COUNTIF(TblPurchases[BatchID],TblOutcomes[[#This Row],[BatchID]])&lt;&gt;1,"n.a.",TblOutcomes[[#This Row],[Qty Wasted]]*SUMIFS(TblPurchases[Unit Cost (CLP)],TblPurchases[BatchID],TblOutcomes[[#This Row],[BatchID]]))</f>
        <v>0</v>
      </c>
      <c r="Q896" s="51">
        <f>IF(COUNTIF(TblPurchases[BatchID],TblOutcomes[[#This Row],[BatchID]])&lt;&gt;1,"n.a.",SUMIFS(TblPurchases[Purchase Date],TblPurchases[BatchID],TblOutcomes[[#This Row],[BatchID]]))</f>
        <v>45399</v>
      </c>
    </row>
    <row r="897" spans="2:17" x14ac:dyDescent="0.25">
      <c r="B897" s="2" t="s">
        <v>1701</v>
      </c>
      <c r="C897" s="2" t="s">
        <v>153</v>
      </c>
      <c r="D897" s="2" t="s">
        <v>155</v>
      </c>
      <c r="E897" s="2" t="s">
        <v>4647</v>
      </c>
      <c r="F897" s="2">
        <v>19</v>
      </c>
      <c r="G897" s="2">
        <v>19</v>
      </c>
      <c r="H897" s="2">
        <v>0</v>
      </c>
      <c r="I897" s="1">
        <v>0</v>
      </c>
      <c r="J897" s="26">
        <v>45411</v>
      </c>
      <c r="K897" s="22">
        <v>28500</v>
      </c>
      <c r="L897" s="18">
        <v>30.48</v>
      </c>
      <c r="M897" s="22">
        <v>21850</v>
      </c>
      <c r="N897" s="22">
        <v>6650</v>
      </c>
      <c r="O897" s="18">
        <v>7.11</v>
      </c>
      <c r="P897" s="52">
        <f>IF(COUNTIF(TblPurchases[BatchID],TblOutcomes[[#This Row],[BatchID]])&lt;&gt;1,"n.a.",TblOutcomes[[#This Row],[Qty Wasted]]*SUMIFS(TblPurchases[Unit Cost (CLP)],TblPurchases[BatchID],TblOutcomes[[#This Row],[BatchID]]))</f>
        <v>0</v>
      </c>
      <c r="Q897" s="51">
        <f>IF(COUNTIF(TblPurchases[BatchID],TblOutcomes[[#This Row],[BatchID]])&lt;&gt;1,"n.a.",SUMIFS(TblPurchases[Purchase Date],TblPurchases[BatchID],TblOutcomes[[#This Row],[BatchID]]))</f>
        <v>45405</v>
      </c>
    </row>
    <row r="898" spans="2:17" x14ac:dyDescent="0.25">
      <c r="B898" s="2" t="s">
        <v>1702</v>
      </c>
      <c r="C898" s="2" t="s">
        <v>153</v>
      </c>
      <c r="D898" s="2" t="s">
        <v>155</v>
      </c>
      <c r="E898" s="2" t="s">
        <v>4647</v>
      </c>
      <c r="F898" s="2">
        <v>16</v>
      </c>
      <c r="G898" s="2">
        <v>16</v>
      </c>
      <c r="H898" s="2">
        <v>0</v>
      </c>
      <c r="I898" s="1">
        <v>0</v>
      </c>
      <c r="J898" s="26">
        <v>45418</v>
      </c>
      <c r="K898" s="22">
        <v>24000</v>
      </c>
      <c r="L898" s="18">
        <v>25.67</v>
      </c>
      <c r="M898" s="22">
        <v>18400</v>
      </c>
      <c r="N898" s="22">
        <v>5600</v>
      </c>
      <c r="O898" s="18">
        <v>5.99</v>
      </c>
      <c r="P898" s="52">
        <f>IF(COUNTIF(TblPurchases[BatchID],TblOutcomes[[#This Row],[BatchID]])&lt;&gt;1,"n.a.",TblOutcomes[[#This Row],[Qty Wasted]]*SUMIFS(TblPurchases[Unit Cost (CLP)],TblPurchases[BatchID],TblOutcomes[[#This Row],[BatchID]]))</f>
        <v>0</v>
      </c>
      <c r="Q898" s="51">
        <f>IF(COUNTIF(TblPurchases[BatchID],TblOutcomes[[#This Row],[BatchID]])&lt;&gt;1,"n.a.",SUMIFS(TblPurchases[Purchase Date],TblPurchases[BatchID],TblOutcomes[[#This Row],[BatchID]]))</f>
        <v>45414</v>
      </c>
    </row>
    <row r="899" spans="2:17" x14ac:dyDescent="0.25">
      <c r="B899" s="2" t="s">
        <v>1703</v>
      </c>
      <c r="C899" s="2" t="s">
        <v>153</v>
      </c>
      <c r="D899" s="2" t="s">
        <v>155</v>
      </c>
      <c r="E899" s="2" t="s">
        <v>4647</v>
      </c>
      <c r="F899" s="2">
        <v>19</v>
      </c>
      <c r="G899" s="2">
        <v>19</v>
      </c>
      <c r="H899" s="2">
        <v>0</v>
      </c>
      <c r="I899" s="1">
        <v>0</v>
      </c>
      <c r="J899" s="26">
        <v>45426</v>
      </c>
      <c r="K899" s="22">
        <v>28500</v>
      </c>
      <c r="L899" s="18">
        <v>30.48</v>
      </c>
      <c r="M899" s="22">
        <v>21850</v>
      </c>
      <c r="N899" s="22">
        <v>6650</v>
      </c>
      <c r="O899" s="18">
        <v>7.11</v>
      </c>
      <c r="P899" s="52">
        <f>IF(COUNTIF(TblPurchases[BatchID],TblOutcomes[[#This Row],[BatchID]])&lt;&gt;1,"n.a.",TblOutcomes[[#This Row],[Qty Wasted]]*SUMIFS(TblPurchases[Unit Cost (CLP)],TblPurchases[BatchID],TblOutcomes[[#This Row],[BatchID]]))</f>
        <v>0</v>
      </c>
      <c r="Q899" s="51">
        <f>IF(COUNTIF(TblPurchases[BatchID],TblOutcomes[[#This Row],[BatchID]])&lt;&gt;1,"n.a.",SUMIFS(TblPurchases[Purchase Date],TblPurchases[BatchID],TblOutcomes[[#This Row],[BatchID]]))</f>
        <v>45421</v>
      </c>
    </row>
    <row r="900" spans="2:17" x14ac:dyDescent="0.25">
      <c r="B900" s="2" t="s">
        <v>1704</v>
      </c>
      <c r="C900" s="2" t="s">
        <v>153</v>
      </c>
      <c r="D900" s="2" t="s">
        <v>155</v>
      </c>
      <c r="E900" s="2" t="s">
        <v>4647</v>
      </c>
      <c r="F900" s="2">
        <v>17</v>
      </c>
      <c r="G900" s="2">
        <v>17</v>
      </c>
      <c r="H900" s="2">
        <v>0</v>
      </c>
      <c r="I900" s="1">
        <v>0</v>
      </c>
      <c r="J900" s="26">
        <v>45437</v>
      </c>
      <c r="K900" s="22">
        <v>25500</v>
      </c>
      <c r="L900" s="18">
        <v>27.27</v>
      </c>
      <c r="M900" s="22">
        <v>19550</v>
      </c>
      <c r="N900" s="22">
        <v>5950</v>
      </c>
      <c r="O900" s="18">
        <v>6.36</v>
      </c>
      <c r="P900" s="52">
        <f>IF(COUNTIF(TblPurchases[BatchID],TblOutcomes[[#This Row],[BatchID]])&lt;&gt;1,"n.a.",TblOutcomes[[#This Row],[Qty Wasted]]*SUMIFS(TblPurchases[Unit Cost (CLP)],TblPurchases[BatchID],TblOutcomes[[#This Row],[BatchID]]))</f>
        <v>0</v>
      </c>
      <c r="Q900" s="51">
        <f>IF(COUNTIF(TblPurchases[BatchID],TblOutcomes[[#This Row],[BatchID]])&lt;&gt;1,"n.a.",SUMIFS(TblPurchases[Purchase Date],TblPurchases[BatchID],TblOutcomes[[#This Row],[BatchID]]))</f>
        <v>45427</v>
      </c>
    </row>
    <row r="901" spans="2:17" x14ac:dyDescent="0.25">
      <c r="B901" s="2" t="s">
        <v>1705</v>
      </c>
      <c r="C901" s="2" t="s">
        <v>153</v>
      </c>
      <c r="D901" s="2" t="s">
        <v>155</v>
      </c>
      <c r="E901" s="2" t="s">
        <v>4646</v>
      </c>
      <c r="F901" s="2">
        <v>15</v>
      </c>
      <c r="G901" s="2">
        <v>11.79</v>
      </c>
      <c r="H901" s="2">
        <v>3.21</v>
      </c>
      <c r="I901" s="1">
        <v>21.4</v>
      </c>
      <c r="J901" s="26">
        <v>45453</v>
      </c>
      <c r="K901" s="22">
        <v>17685</v>
      </c>
      <c r="L901" s="18">
        <v>18.91</v>
      </c>
      <c r="M901" s="22">
        <v>17250</v>
      </c>
      <c r="N901" s="22">
        <v>435</v>
      </c>
      <c r="O901" s="18">
        <v>0.47</v>
      </c>
      <c r="P901" s="52">
        <f>IF(COUNTIF(TblPurchases[BatchID],TblOutcomes[[#This Row],[BatchID]])&lt;&gt;1,"n.a.",TblOutcomes[[#This Row],[Qty Wasted]]*SUMIFS(TblPurchases[Unit Cost (CLP)],TblPurchases[BatchID],TblOutcomes[[#This Row],[BatchID]]))</f>
        <v>3691.5</v>
      </c>
      <c r="Q901" s="51">
        <f>IF(COUNTIF(TblPurchases[BatchID],TblOutcomes[[#This Row],[BatchID]])&lt;&gt;1,"n.a.",SUMIFS(TblPurchases[Purchase Date],TblPurchases[BatchID],TblOutcomes[[#This Row],[BatchID]]))</f>
        <v>45433</v>
      </c>
    </row>
    <row r="902" spans="2:17" x14ac:dyDescent="0.25">
      <c r="B902" s="2" t="s">
        <v>1706</v>
      </c>
      <c r="C902" s="2" t="s">
        <v>153</v>
      </c>
      <c r="D902" s="2" t="s">
        <v>155</v>
      </c>
      <c r="E902" s="2" t="s">
        <v>4646</v>
      </c>
      <c r="F902" s="2">
        <v>20</v>
      </c>
      <c r="G902" s="2">
        <v>12.98</v>
      </c>
      <c r="H902" s="2">
        <v>7.02</v>
      </c>
      <c r="I902" s="1">
        <v>35.1</v>
      </c>
      <c r="J902" s="26">
        <v>45458</v>
      </c>
      <c r="K902" s="22">
        <v>19470</v>
      </c>
      <c r="L902" s="18">
        <v>20.82</v>
      </c>
      <c r="M902" s="22">
        <v>23000</v>
      </c>
      <c r="N902" s="22">
        <v>-3530</v>
      </c>
      <c r="O902" s="18">
        <v>-3.78</v>
      </c>
      <c r="P902" s="52">
        <f>IF(COUNTIF(TblPurchases[BatchID],TblOutcomes[[#This Row],[BatchID]])&lt;&gt;1,"n.a.",TblOutcomes[[#This Row],[Qty Wasted]]*SUMIFS(TblPurchases[Unit Cost (CLP)],TblPurchases[BatchID],TblOutcomes[[#This Row],[BatchID]]))</f>
        <v>8072.9999999999991</v>
      </c>
      <c r="Q902" s="51">
        <f>IF(COUNTIF(TblPurchases[BatchID],TblOutcomes[[#This Row],[BatchID]])&lt;&gt;1,"n.a.",SUMIFS(TblPurchases[Purchase Date],TblPurchases[BatchID],TblOutcomes[[#This Row],[BatchID]]))</f>
        <v>45438</v>
      </c>
    </row>
    <row r="903" spans="2:17" x14ac:dyDescent="0.25">
      <c r="B903" s="2" t="s">
        <v>1707</v>
      </c>
      <c r="C903" s="2" t="s">
        <v>153</v>
      </c>
      <c r="D903" s="2" t="s">
        <v>155</v>
      </c>
      <c r="E903" s="2" t="s">
        <v>4646</v>
      </c>
      <c r="F903" s="2">
        <v>19</v>
      </c>
      <c r="G903" s="2">
        <v>13.17</v>
      </c>
      <c r="H903" s="2">
        <v>5.83</v>
      </c>
      <c r="I903" s="1">
        <v>30.7</v>
      </c>
      <c r="J903" s="26">
        <v>45464</v>
      </c>
      <c r="K903" s="22">
        <v>19755</v>
      </c>
      <c r="L903" s="18">
        <v>21.13</v>
      </c>
      <c r="M903" s="22">
        <v>21850</v>
      </c>
      <c r="N903" s="22">
        <v>-2095</v>
      </c>
      <c r="O903" s="18">
        <v>-2.2400000000000002</v>
      </c>
      <c r="P903" s="52">
        <f>IF(COUNTIF(TblPurchases[BatchID],TblOutcomes[[#This Row],[BatchID]])&lt;&gt;1,"n.a.",TblOutcomes[[#This Row],[Qty Wasted]]*SUMIFS(TblPurchases[Unit Cost (CLP)],TblPurchases[BatchID],TblOutcomes[[#This Row],[BatchID]]))</f>
        <v>6704.5</v>
      </c>
      <c r="Q903" s="51">
        <f>IF(COUNTIF(TblPurchases[BatchID],TblOutcomes[[#This Row],[BatchID]])&lt;&gt;1,"n.a.",SUMIFS(TblPurchases[Purchase Date],TblPurchases[BatchID],TblOutcomes[[#This Row],[BatchID]]))</f>
        <v>45444</v>
      </c>
    </row>
    <row r="904" spans="2:17" x14ac:dyDescent="0.25">
      <c r="B904" s="2" t="s">
        <v>1708</v>
      </c>
      <c r="C904" s="2" t="s">
        <v>153</v>
      </c>
      <c r="D904" s="2" t="s">
        <v>155</v>
      </c>
      <c r="E904" s="2" t="s">
        <v>4646</v>
      </c>
      <c r="F904" s="2">
        <v>15</v>
      </c>
      <c r="G904" s="2">
        <v>8.3800000000000008</v>
      </c>
      <c r="H904" s="2">
        <v>6.62</v>
      </c>
      <c r="I904" s="1">
        <v>44.1</v>
      </c>
      <c r="J904" s="26">
        <v>45470</v>
      </c>
      <c r="K904" s="22">
        <v>12570</v>
      </c>
      <c r="L904" s="18">
        <v>13.44</v>
      </c>
      <c r="M904" s="22">
        <v>17250</v>
      </c>
      <c r="N904" s="22">
        <v>-4680</v>
      </c>
      <c r="O904" s="18">
        <v>-5.01</v>
      </c>
      <c r="P904" s="52">
        <f>IF(COUNTIF(TblPurchases[BatchID],TblOutcomes[[#This Row],[BatchID]])&lt;&gt;1,"n.a.",TblOutcomes[[#This Row],[Qty Wasted]]*SUMIFS(TblPurchases[Unit Cost (CLP)],TblPurchases[BatchID],TblOutcomes[[#This Row],[BatchID]]))</f>
        <v>7613</v>
      </c>
      <c r="Q904" s="51">
        <f>IF(COUNTIF(TblPurchases[BatchID],TblOutcomes[[#This Row],[BatchID]])&lt;&gt;1,"n.a.",SUMIFS(TblPurchases[Purchase Date],TblPurchases[BatchID],TblOutcomes[[#This Row],[BatchID]]))</f>
        <v>45450</v>
      </c>
    </row>
    <row r="905" spans="2:17" x14ac:dyDescent="0.25">
      <c r="B905" s="2" t="s">
        <v>1709</v>
      </c>
      <c r="C905" s="2" t="s">
        <v>153</v>
      </c>
      <c r="D905" s="2" t="s">
        <v>155</v>
      </c>
      <c r="E905" s="2" t="s">
        <v>4647</v>
      </c>
      <c r="F905" s="2">
        <v>17</v>
      </c>
      <c r="G905" s="2">
        <v>17</v>
      </c>
      <c r="H905" s="2">
        <v>0</v>
      </c>
      <c r="I905" s="1">
        <v>0</v>
      </c>
      <c r="J905" s="26">
        <v>45464</v>
      </c>
      <c r="K905" s="22">
        <v>25500</v>
      </c>
      <c r="L905" s="18">
        <v>27.27</v>
      </c>
      <c r="M905" s="22">
        <v>19550</v>
      </c>
      <c r="N905" s="22">
        <v>5950</v>
      </c>
      <c r="O905" s="18">
        <v>6.36</v>
      </c>
      <c r="P905" s="52">
        <f>IF(COUNTIF(TblPurchases[BatchID],TblOutcomes[[#This Row],[BatchID]])&lt;&gt;1,"n.a.",TblOutcomes[[#This Row],[Qty Wasted]]*SUMIFS(TblPurchases[Unit Cost (CLP)],TblPurchases[BatchID],TblOutcomes[[#This Row],[BatchID]]))</f>
        <v>0</v>
      </c>
      <c r="Q905" s="51">
        <f>IF(COUNTIF(TblPurchases[BatchID],TblOutcomes[[#This Row],[BatchID]])&lt;&gt;1,"n.a.",SUMIFS(TblPurchases[Purchase Date],TblPurchases[BatchID],TblOutcomes[[#This Row],[BatchID]]))</f>
        <v>45458</v>
      </c>
    </row>
    <row r="906" spans="2:17" x14ac:dyDescent="0.25">
      <c r="B906" s="2" t="s">
        <v>1710</v>
      </c>
      <c r="C906" s="2" t="s">
        <v>153</v>
      </c>
      <c r="D906" s="2" t="s">
        <v>155</v>
      </c>
      <c r="E906" s="2" t="s">
        <v>4646</v>
      </c>
      <c r="F906" s="2">
        <v>18</v>
      </c>
      <c r="G906" s="2">
        <v>11.43</v>
      </c>
      <c r="H906" s="2">
        <v>6.57</v>
      </c>
      <c r="I906" s="1">
        <v>36.5</v>
      </c>
      <c r="J906" s="26">
        <v>45482</v>
      </c>
      <c r="K906" s="22">
        <v>17145</v>
      </c>
      <c r="L906" s="18">
        <v>18.34</v>
      </c>
      <c r="M906" s="22">
        <v>20700</v>
      </c>
      <c r="N906" s="22">
        <v>-3555</v>
      </c>
      <c r="O906" s="18">
        <v>-3.8</v>
      </c>
      <c r="P906" s="52">
        <f>IF(COUNTIF(TblPurchases[BatchID],TblOutcomes[[#This Row],[BatchID]])&lt;&gt;1,"n.a.",TblOutcomes[[#This Row],[Qty Wasted]]*SUMIFS(TblPurchases[Unit Cost (CLP)],TblPurchases[BatchID],TblOutcomes[[#This Row],[BatchID]]))</f>
        <v>7555.5</v>
      </c>
      <c r="Q906" s="51">
        <f>IF(COUNTIF(TblPurchases[BatchID],TblOutcomes[[#This Row],[BatchID]])&lt;&gt;1,"n.a.",SUMIFS(TblPurchases[Purchase Date],TblPurchases[BatchID],TblOutcomes[[#This Row],[BatchID]]))</f>
        <v>45462</v>
      </c>
    </row>
    <row r="907" spans="2:17" x14ac:dyDescent="0.25">
      <c r="B907" s="2" t="s">
        <v>1711</v>
      </c>
      <c r="C907" s="2" t="s">
        <v>153</v>
      </c>
      <c r="D907" s="2" t="s">
        <v>155</v>
      </c>
      <c r="E907" s="2" t="s">
        <v>4646</v>
      </c>
      <c r="F907" s="2">
        <v>17</v>
      </c>
      <c r="G907" s="2">
        <v>11.58</v>
      </c>
      <c r="H907" s="2">
        <v>5.42</v>
      </c>
      <c r="I907" s="1">
        <v>31.9</v>
      </c>
      <c r="J907" s="26">
        <v>45490</v>
      </c>
      <c r="K907" s="22">
        <v>17370</v>
      </c>
      <c r="L907" s="18">
        <v>18.579999999999998</v>
      </c>
      <c r="M907" s="22">
        <v>19550</v>
      </c>
      <c r="N907" s="22">
        <v>-2180</v>
      </c>
      <c r="O907" s="18">
        <v>-2.33</v>
      </c>
      <c r="P907" s="52">
        <f>IF(COUNTIF(TblPurchases[BatchID],TblOutcomes[[#This Row],[BatchID]])&lt;&gt;1,"n.a.",TblOutcomes[[#This Row],[Qty Wasted]]*SUMIFS(TblPurchases[Unit Cost (CLP)],TblPurchases[BatchID],TblOutcomes[[#This Row],[BatchID]]))</f>
        <v>6233</v>
      </c>
      <c r="Q907" s="51">
        <f>IF(COUNTIF(TblPurchases[BatchID],TblOutcomes[[#This Row],[BatchID]])&lt;&gt;1,"n.a.",SUMIFS(TblPurchases[Purchase Date],TblPurchases[BatchID],TblOutcomes[[#This Row],[BatchID]]))</f>
        <v>45470</v>
      </c>
    </row>
    <row r="908" spans="2:17" x14ac:dyDescent="0.25">
      <c r="B908" s="2" t="s">
        <v>1712</v>
      </c>
      <c r="C908" s="2" t="s">
        <v>153</v>
      </c>
      <c r="D908" s="2" t="s">
        <v>155</v>
      </c>
      <c r="E908" s="2" t="s">
        <v>4647</v>
      </c>
      <c r="F908" s="2">
        <v>16</v>
      </c>
      <c r="G908" s="2">
        <v>16</v>
      </c>
      <c r="H908" s="2">
        <v>0</v>
      </c>
      <c r="I908" s="1">
        <v>0</v>
      </c>
      <c r="J908" s="26">
        <v>45482</v>
      </c>
      <c r="K908" s="22">
        <v>24000</v>
      </c>
      <c r="L908" s="18">
        <v>25.67</v>
      </c>
      <c r="M908" s="22">
        <v>18400</v>
      </c>
      <c r="N908" s="22">
        <v>5600</v>
      </c>
      <c r="O908" s="18">
        <v>5.99</v>
      </c>
      <c r="P908" s="52">
        <f>IF(COUNTIF(TblPurchases[BatchID],TblOutcomes[[#This Row],[BatchID]])&lt;&gt;1,"n.a.",TblOutcomes[[#This Row],[Qty Wasted]]*SUMIFS(TblPurchases[Unit Cost (CLP)],TblPurchases[BatchID],TblOutcomes[[#This Row],[BatchID]]))</f>
        <v>0</v>
      </c>
      <c r="Q908" s="51">
        <f>IF(COUNTIF(TblPurchases[BatchID],TblOutcomes[[#This Row],[BatchID]])&lt;&gt;1,"n.a.",SUMIFS(TblPurchases[Purchase Date],TblPurchases[BatchID],TblOutcomes[[#This Row],[BatchID]]))</f>
        <v>45477</v>
      </c>
    </row>
    <row r="909" spans="2:17" x14ac:dyDescent="0.25">
      <c r="B909" s="2" t="s">
        <v>1713</v>
      </c>
      <c r="C909" s="2" t="s">
        <v>153</v>
      </c>
      <c r="D909" s="2" t="s">
        <v>155</v>
      </c>
      <c r="E909" s="2" t="s">
        <v>4646</v>
      </c>
      <c r="F909" s="2">
        <v>20</v>
      </c>
      <c r="G909" s="2">
        <v>12.52</v>
      </c>
      <c r="H909" s="2">
        <v>7.48</v>
      </c>
      <c r="I909" s="1">
        <v>37.4</v>
      </c>
      <c r="J909" s="26">
        <v>45504</v>
      </c>
      <c r="K909" s="22">
        <v>18780</v>
      </c>
      <c r="L909" s="18">
        <v>20.09</v>
      </c>
      <c r="M909" s="22">
        <v>23000</v>
      </c>
      <c r="N909" s="22">
        <v>-4220</v>
      </c>
      <c r="O909" s="18">
        <v>-4.51</v>
      </c>
      <c r="P909" s="52">
        <f>IF(COUNTIF(TblPurchases[BatchID],TblOutcomes[[#This Row],[BatchID]])&lt;&gt;1,"n.a.",TblOutcomes[[#This Row],[Qty Wasted]]*SUMIFS(TblPurchases[Unit Cost (CLP)],TblPurchases[BatchID],TblOutcomes[[#This Row],[BatchID]]))</f>
        <v>8602</v>
      </c>
      <c r="Q909" s="51">
        <f>IF(COUNTIF(TblPurchases[BatchID],TblOutcomes[[#This Row],[BatchID]])&lt;&gt;1,"n.a.",SUMIFS(TblPurchases[Purchase Date],TblPurchases[BatchID],TblOutcomes[[#This Row],[BatchID]]))</f>
        <v>45484</v>
      </c>
    </row>
    <row r="910" spans="2:17" x14ac:dyDescent="0.25">
      <c r="B910" s="2" t="s">
        <v>1714</v>
      </c>
      <c r="C910" s="2" t="s">
        <v>153</v>
      </c>
      <c r="D910" s="2" t="s">
        <v>155</v>
      </c>
      <c r="E910" s="2" t="s">
        <v>4647</v>
      </c>
      <c r="F910" s="2">
        <v>16</v>
      </c>
      <c r="G910" s="2">
        <v>16</v>
      </c>
      <c r="H910" s="2">
        <v>0</v>
      </c>
      <c r="I910" s="1">
        <v>0</v>
      </c>
      <c r="J910" s="26">
        <v>45491</v>
      </c>
      <c r="K910" s="22">
        <v>24000</v>
      </c>
      <c r="L910" s="18">
        <v>25.67</v>
      </c>
      <c r="M910" s="22">
        <v>18400</v>
      </c>
      <c r="N910" s="22">
        <v>5600</v>
      </c>
      <c r="O910" s="18">
        <v>5.99</v>
      </c>
      <c r="P910" s="52">
        <f>IF(COUNTIF(TblPurchases[BatchID],TblOutcomes[[#This Row],[BatchID]])&lt;&gt;1,"n.a.",TblOutcomes[[#This Row],[Qty Wasted]]*SUMIFS(TblPurchases[Unit Cost (CLP)],TblPurchases[BatchID],TblOutcomes[[#This Row],[BatchID]]))</f>
        <v>0</v>
      </c>
      <c r="Q910" s="51">
        <f>IF(COUNTIF(TblPurchases[BatchID],TblOutcomes[[#This Row],[BatchID]])&lt;&gt;1,"n.a.",SUMIFS(TblPurchases[Purchase Date],TblPurchases[BatchID],TblOutcomes[[#This Row],[BatchID]]))</f>
        <v>45489</v>
      </c>
    </row>
    <row r="911" spans="2:17" x14ac:dyDescent="0.25">
      <c r="B911" s="2" t="s">
        <v>1715</v>
      </c>
      <c r="C911" s="2" t="s">
        <v>153</v>
      </c>
      <c r="D911" s="2" t="s">
        <v>155</v>
      </c>
      <c r="E911" s="2" t="s">
        <v>4647</v>
      </c>
      <c r="F911" s="2">
        <v>19</v>
      </c>
      <c r="G911" s="2">
        <v>19</v>
      </c>
      <c r="H911" s="2">
        <v>0</v>
      </c>
      <c r="I911" s="1">
        <v>0</v>
      </c>
      <c r="J911" s="26">
        <v>45500</v>
      </c>
      <c r="K911" s="22">
        <v>28500</v>
      </c>
      <c r="L911" s="18">
        <v>30.48</v>
      </c>
      <c r="M911" s="22">
        <v>21850</v>
      </c>
      <c r="N911" s="22">
        <v>6650</v>
      </c>
      <c r="O911" s="18">
        <v>7.11</v>
      </c>
      <c r="P911" s="52">
        <f>IF(COUNTIF(TblPurchases[BatchID],TblOutcomes[[#This Row],[BatchID]])&lt;&gt;1,"n.a.",TblOutcomes[[#This Row],[Qty Wasted]]*SUMIFS(TblPurchases[Unit Cost (CLP)],TblPurchases[BatchID],TblOutcomes[[#This Row],[BatchID]]))</f>
        <v>0</v>
      </c>
      <c r="Q911" s="51">
        <f>IF(COUNTIF(TblPurchases[BatchID],TblOutcomes[[#This Row],[BatchID]])&lt;&gt;1,"n.a.",SUMIFS(TblPurchases[Purchase Date],TblPurchases[BatchID],TblOutcomes[[#This Row],[BatchID]]))</f>
        <v>45495</v>
      </c>
    </row>
    <row r="912" spans="2:17" x14ac:dyDescent="0.25">
      <c r="B912" s="2" t="s">
        <v>1716</v>
      </c>
      <c r="C912" s="2" t="s">
        <v>153</v>
      </c>
      <c r="D912" s="2" t="s">
        <v>155</v>
      </c>
      <c r="E912" s="2" t="s">
        <v>4647</v>
      </c>
      <c r="F912" s="2">
        <v>16</v>
      </c>
      <c r="G912" s="2">
        <v>16</v>
      </c>
      <c r="H912" s="2">
        <v>0</v>
      </c>
      <c r="I912" s="1">
        <v>0</v>
      </c>
      <c r="J912" s="26">
        <v>45506</v>
      </c>
      <c r="K912" s="22">
        <v>24000</v>
      </c>
      <c r="L912" s="18">
        <v>25.67</v>
      </c>
      <c r="M912" s="22">
        <v>18400</v>
      </c>
      <c r="N912" s="22">
        <v>5600</v>
      </c>
      <c r="O912" s="18">
        <v>5.99</v>
      </c>
      <c r="P912" s="52">
        <f>IF(COUNTIF(TblPurchases[BatchID],TblOutcomes[[#This Row],[BatchID]])&lt;&gt;1,"n.a.",TblOutcomes[[#This Row],[Qty Wasted]]*SUMIFS(TblPurchases[Unit Cost (CLP)],TblPurchases[BatchID],TblOutcomes[[#This Row],[BatchID]]))</f>
        <v>0</v>
      </c>
      <c r="Q912" s="51">
        <f>IF(COUNTIF(TblPurchases[BatchID],TblOutcomes[[#This Row],[BatchID]])&lt;&gt;1,"n.a.",SUMIFS(TblPurchases[Purchase Date],TblPurchases[BatchID],TblOutcomes[[#This Row],[BatchID]]))</f>
        <v>45502</v>
      </c>
    </row>
    <row r="913" spans="2:17" x14ac:dyDescent="0.25">
      <c r="B913" s="2" t="s">
        <v>1717</v>
      </c>
      <c r="C913" s="2" t="s">
        <v>153</v>
      </c>
      <c r="D913" s="2" t="s">
        <v>155</v>
      </c>
      <c r="E913" s="2" t="s">
        <v>4646</v>
      </c>
      <c r="F913" s="2">
        <v>19</v>
      </c>
      <c r="G913" s="2">
        <v>13.76</v>
      </c>
      <c r="H913" s="2">
        <v>5.24</v>
      </c>
      <c r="I913" s="1">
        <v>27.6</v>
      </c>
      <c r="J913" s="26">
        <v>45529</v>
      </c>
      <c r="K913" s="22">
        <v>20640</v>
      </c>
      <c r="L913" s="18">
        <v>22.07</v>
      </c>
      <c r="M913" s="22">
        <v>21850</v>
      </c>
      <c r="N913" s="22">
        <v>-1210</v>
      </c>
      <c r="O913" s="18">
        <v>-1.29</v>
      </c>
      <c r="P913" s="52">
        <f>IF(COUNTIF(TblPurchases[BatchID],TblOutcomes[[#This Row],[BatchID]])&lt;&gt;1,"n.a.",TblOutcomes[[#This Row],[Qty Wasted]]*SUMIFS(TblPurchases[Unit Cost (CLP)],TblPurchases[BatchID],TblOutcomes[[#This Row],[BatchID]]))</f>
        <v>6026</v>
      </c>
      <c r="Q913" s="51">
        <f>IF(COUNTIF(TblPurchases[BatchID],TblOutcomes[[#This Row],[BatchID]])&lt;&gt;1,"n.a.",SUMIFS(TblPurchases[Purchase Date],TblPurchases[BatchID],TblOutcomes[[#This Row],[BatchID]]))</f>
        <v>45509</v>
      </c>
    </row>
    <row r="914" spans="2:17" x14ac:dyDescent="0.25">
      <c r="B914" s="2" t="s">
        <v>1718</v>
      </c>
      <c r="C914" s="2" t="s">
        <v>153</v>
      </c>
      <c r="D914" s="2" t="s">
        <v>155</v>
      </c>
      <c r="E914" s="2" t="s">
        <v>4646</v>
      </c>
      <c r="F914" s="2">
        <v>20</v>
      </c>
      <c r="G914" s="2">
        <v>14.76</v>
      </c>
      <c r="H914" s="2">
        <v>5.24</v>
      </c>
      <c r="I914" s="1">
        <v>26.2</v>
      </c>
      <c r="J914" s="26">
        <v>45536</v>
      </c>
      <c r="K914" s="22">
        <v>22140</v>
      </c>
      <c r="L914" s="18">
        <v>23.68</v>
      </c>
      <c r="M914" s="22">
        <v>23000</v>
      </c>
      <c r="N914" s="22">
        <v>-860</v>
      </c>
      <c r="O914" s="18">
        <v>-0.92</v>
      </c>
      <c r="P914" s="52">
        <f>IF(COUNTIF(TblPurchases[BatchID],TblOutcomes[[#This Row],[BatchID]])&lt;&gt;1,"n.a.",TblOutcomes[[#This Row],[Qty Wasted]]*SUMIFS(TblPurchases[Unit Cost (CLP)],TblPurchases[BatchID],TblOutcomes[[#This Row],[BatchID]]))</f>
        <v>6026</v>
      </c>
      <c r="Q914" s="51">
        <f>IF(COUNTIF(TblPurchases[BatchID],TblOutcomes[[#This Row],[BatchID]])&lt;&gt;1,"n.a.",SUMIFS(TblPurchases[Purchase Date],TblPurchases[BatchID],TblOutcomes[[#This Row],[BatchID]]))</f>
        <v>45516</v>
      </c>
    </row>
    <row r="915" spans="2:17" x14ac:dyDescent="0.25">
      <c r="B915" s="2" t="s">
        <v>1719</v>
      </c>
      <c r="C915" s="2" t="s">
        <v>153</v>
      </c>
      <c r="D915" s="2" t="s">
        <v>155</v>
      </c>
      <c r="E915" s="2" t="s">
        <v>4646</v>
      </c>
      <c r="F915" s="2">
        <v>18</v>
      </c>
      <c r="G915" s="2">
        <v>11.29</v>
      </c>
      <c r="H915" s="2">
        <v>6.71</v>
      </c>
      <c r="I915" s="1">
        <v>37.299999999999997</v>
      </c>
      <c r="J915" s="26">
        <v>45541</v>
      </c>
      <c r="K915" s="22">
        <v>16935</v>
      </c>
      <c r="L915" s="18">
        <v>18.11</v>
      </c>
      <c r="M915" s="22">
        <v>20700</v>
      </c>
      <c r="N915" s="22">
        <v>-3765</v>
      </c>
      <c r="O915" s="18">
        <v>-4.03</v>
      </c>
      <c r="P915" s="52">
        <f>IF(COUNTIF(TblPurchases[BatchID],TblOutcomes[[#This Row],[BatchID]])&lt;&gt;1,"n.a.",TblOutcomes[[#This Row],[Qty Wasted]]*SUMIFS(TblPurchases[Unit Cost (CLP)],TblPurchases[BatchID],TblOutcomes[[#This Row],[BatchID]]))</f>
        <v>7716.5</v>
      </c>
      <c r="Q915" s="51">
        <f>IF(COUNTIF(TblPurchases[BatchID],TblOutcomes[[#This Row],[BatchID]])&lt;&gt;1,"n.a.",SUMIFS(TblPurchases[Purchase Date],TblPurchases[BatchID],TblOutcomes[[#This Row],[BatchID]]))</f>
        <v>45521</v>
      </c>
    </row>
    <row r="916" spans="2:17" x14ac:dyDescent="0.25">
      <c r="B916" s="2" t="s">
        <v>1720</v>
      </c>
      <c r="C916" s="2" t="s">
        <v>153</v>
      </c>
      <c r="D916" s="2" t="s">
        <v>155</v>
      </c>
      <c r="E916" s="2" t="s">
        <v>4646</v>
      </c>
      <c r="F916" s="2">
        <v>16</v>
      </c>
      <c r="G916" s="2">
        <v>13.6</v>
      </c>
      <c r="H916" s="2">
        <v>2.4</v>
      </c>
      <c r="I916" s="1">
        <v>15</v>
      </c>
      <c r="J916" s="26">
        <v>45549</v>
      </c>
      <c r="K916" s="22">
        <v>20400</v>
      </c>
      <c r="L916" s="18">
        <v>21.82</v>
      </c>
      <c r="M916" s="22">
        <v>18400</v>
      </c>
      <c r="N916" s="22">
        <v>2000</v>
      </c>
      <c r="O916" s="18">
        <v>2.14</v>
      </c>
      <c r="P916" s="52">
        <f>IF(COUNTIF(TblPurchases[BatchID],TblOutcomes[[#This Row],[BatchID]])&lt;&gt;1,"n.a.",TblOutcomes[[#This Row],[Qty Wasted]]*SUMIFS(TblPurchases[Unit Cost (CLP)],TblPurchases[BatchID],TblOutcomes[[#This Row],[BatchID]]))</f>
        <v>2760</v>
      </c>
      <c r="Q916" s="51">
        <f>IF(COUNTIF(TblPurchases[BatchID],TblOutcomes[[#This Row],[BatchID]])&lt;&gt;1,"n.a.",SUMIFS(TblPurchases[Purchase Date],TblPurchases[BatchID],TblOutcomes[[#This Row],[BatchID]]))</f>
        <v>45529</v>
      </c>
    </row>
    <row r="917" spans="2:17" x14ac:dyDescent="0.25">
      <c r="B917" s="2" t="s">
        <v>1721</v>
      </c>
      <c r="C917" s="2" t="s">
        <v>153</v>
      </c>
      <c r="D917" s="2" t="s">
        <v>155</v>
      </c>
      <c r="E917" s="2" t="s">
        <v>4646</v>
      </c>
      <c r="F917" s="2">
        <v>20</v>
      </c>
      <c r="G917" s="2">
        <v>16.059999999999999</v>
      </c>
      <c r="H917" s="2">
        <v>3.94</v>
      </c>
      <c r="I917" s="1">
        <v>19.7</v>
      </c>
      <c r="J917" s="26">
        <v>45556</v>
      </c>
      <c r="K917" s="22">
        <v>24090</v>
      </c>
      <c r="L917" s="18">
        <v>25.76</v>
      </c>
      <c r="M917" s="22">
        <v>23000</v>
      </c>
      <c r="N917" s="22">
        <v>1090</v>
      </c>
      <c r="O917" s="18">
        <v>1.17</v>
      </c>
      <c r="P917" s="52">
        <f>IF(COUNTIF(TblPurchases[BatchID],TblOutcomes[[#This Row],[BatchID]])&lt;&gt;1,"n.a.",TblOutcomes[[#This Row],[Qty Wasted]]*SUMIFS(TblPurchases[Unit Cost (CLP)],TblPurchases[BatchID],TblOutcomes[[#This Row],[BatchID]]))</f>
        <v>4531</v>
      </c>
      <c r="Q917" s="51">
        <f>IF(COUNTIF(TblPurchases[BatchID],TblOutcomes[[#This Row],[BatchID]])&lt;&gt;1,"n.a.",SUMIFS(TblPurchases[Purchase Date],TblPurchases[BatchID],TblOutcomes[[#This Row],[BatchID]]))</f>
        <v>45536</v>
      </c>
    </row>
    <row r="918" spans="2:17" x14ac:dyDescent="0.25">
      <c r="B918" s="2" t="s">
        <v>1722</v>
      </c>
      <c r="C918" s="2" t="s">
        <v>153</v>
      </c>
      <c r="D918" s="2" t="s">
        <v>155</v>
      </c>
      <c r="E918" s="2" t="s">
        <v>4646</v>
      </c>
      <c r="F918" s="2">
        <v>22</v>
      </c>
      <c r="G918" s="2">
        <v>16.5</v>
      </c>
      <c r="H918" s="2">
        <v>5.5</v>
      </c>
      <c r="I918" s="1">
        <v>25</v>
      </c>
      <c r="J918" s="26">
        <v>45562</v>
      </c>
      <c r="K918" s="22">
        <v>24750</v>
      </c>
      <c r="L918" s="18">
        <v>26.47</v>
      </c>
      <c r="M918" s="22">
        <v>25300</v>
      </c>
      <c r="N918" s="22">
        <v>-550</v>
      </c>
      <c r="O918" s="18">
        <v>-0.59</v>
      </c>
      <c r="P918" s="52">
        <f>IF(COUNTIF(TblPurchases[BatchID],TblOutcomes[[#This Row],[BatchID]])&lt;&gt;1,"n.a.",TblOutcomes[[#This Row],[Qty Wasted]]*SUMIFS(TblPurchases[Unit Cost (CLP)],TblPurchases[BatchID],TblOutcomes[[#This Row],[BatchID]]))</f>
        <v>6325</v>
      </c>
      <c r="Q918" s="51">
        <f>IF(COUNTIF(TblPurchases[BatchID],TblOutcomes[[#This Row],[BatchID]])&lt;&gt;1,"n.a.",SUMIFS(TblPurchases[Purchase Date],TblPurchases[BatchID],TblOutcomes[[#This Row],[BatchID]]))</f>
        <v>45542</v>
      </c>
    </row>
    <row r="919" spans="2:17" x14ac:dyDescent="0.25">
      <c r="B919" s="2" t="s">
        <v>1723</v>
      </c>
      <c r="C919" s="2" t="s">
        <v>153</v>
      </c>
      <c r="D919" s="2" t="s">
        <v>155</v>
      </c>
      <c r="E919" s="2" t="s">
        <v>4646</v>
      </c>
      <c r="F919" s="2">
        <v>23</v>
      </c>
      <c r="G919" s="2">
        <v>18.72</v>
      </c>
      <c r="H919" s="2">
        <v>4.28</v>
      </c>
      <c r="I919" s="1">
        <v>18.600000000000001</v>
      </c>
      <c r="J919" s="26">
        <v>45568</v>
      </c>
      <c r="K919" s="22">
        <v>28080</v>
      </c>
      <c r="L919" s="18">
        <v>30.03</v>
      </c>
      <c r="M919" s="22">
        <v>26450</v>
      </c>
      <c r="N919" s="22">
        <v>1630</v>
      </c>
      <c r="O919" s="18">
        <v>1.74</v>
      </c>
      <c r="P919" s="52">
        <f>IF(COUNTIF(TblPurchases[BatchID],TblOutcomes[[#This Row],[BatchID]])&lt;&gt;1,"n.a.",TblOutcomes[[#This Row],[Qty Wasted]]*SUMIFS(TblPurchases[Unit Cost (CLP)],TblPurchases[BatchID],TblOutcomes[[#This Row],[BatchID]]))</f>
        <v>4922</v>
      </c>
      <c r="Q919" s="51">
        <f>IF(COUNTIF(TblPurchases[BatchID],TblOutcomes[[#This Row],[BatchID]])&lt;&gt;1,"n.a.",SUMIFS(TblPurchases[Purchase Date],TblPurchases[BatchID],TblOutcomes[[#This Row],[BatchID]]))</f>
        <v>45548</v>
      </c>
    </row>
    <row r="920" spans="2:17" x14ac:dyDescent="0.25">
      <c r="B920" s="2" t="s">
        <v>1724</v>
      </c>
      <c r="C920" s="2" t="s">
        <v>153</v>
      </c>
      <c r="D920" s="2" t="s">
        <v>155</v>
      </c>
      <c r="E920" s="2" t="s">
        <v>4646</v>
      </c>
      <c r="F920" s="2">
        <v>24</v>
      </c>
      <c r="G920" s="2">
        <v>21.41</v>
      </c>
      <c r="H920" s="2">
        <v>2.59</v>
      </c>
      <c r="I920" s="1">
        <v>10.8</v>
      </c>
      <c r="J920" s="26">
        <v>45575</v>
      </c>
      <c r="K920" s="22">
        <v>32115</v>
      </c>
      <c r="L920" s="18">
        <v>34.35</v>
      </c>
      <c r="M920" s="22">
        <v>27600</v>
      </c>
      <c r="N920" s="22">
        <v>4515</v>
      </c>
      <c r="O920" s="18">
        <v>4.83</v>
      </c>
      <c r="P920" s="52">
        <f>IF(COUNTIF(TblPurchases[BatchID],TblOutcomes[[#This Row],[BatchID]])&lt;&gt;1,"n.a.",TblOutcomes[[#This Row],[Qty Wasted]]*SUMIFS(TblPurchases[Unit Cost (CLP)],TblPurchases[BatchID],TblOutcomes[[#This Row],[BatchID]]))</f>
        <v>2978.5</v>
      </c>
      <c r="Q920" s="51">
        <f>IF(COUNTIF(TblPurchases[BatchID],TblOutcomes[[#This Row],[BatchID]])&lt;&gt;1,"n.a.",SUMIFS(TblPurchases[Purchase Date],TblPurchases[BatchID],TblOutcomes[[#This Row],[BatchID]]))</f>
        <v>45555</v>
      </c>
    </row>
    <row r="921" spans="2:17" x14ac:dyDescent="0.25">
      <c r="B921" s="2" t="s">
        <v>1725</v>
      </c>
      <c r="C921" s="2" t="s">
        <v>153</v>
      </c>
      <c r="D921" s="2" t="s">
        <v>155</v>
      </c>
      <c r="E921" s="2" t="s">
        <v>4646</v>
      </c>
      <c r="F921" s="2">
        <v>24</v>
      </c>
      <c r="G921" s="2">
        <v>16.100000000000001</v>
      </c>
      <c r="H921" s="2">
        <v>7.9</v>
      </c>
      <c r="I921" s="1">
        <v>32.9</v>
      </c>
      <c r="J921" s="26">
        <v>45584</v>
      </c>
      <c r="K921" s="22">
        <v>24150</v>
      </c>
      <c r="L921" s="18">
        <v>25.83</v>
      </c>
      <c r="M921" s="22">
        <v>27600</v>
      </c>
      <c r="N921" s="22">
        <v>-3450</v>
      </c>
      <c r="O921" s="18">
        <v>-3.69</v>
      </c>
      <c r="P921" s="52">
        <f>IF(COUNTIF(TblPurchases[BatchID],TblOutcomes[[#This Row],[BatchID]])&lt;&gt;1,"n.a.",TblOutcomes[[#This Row],[Qty Wasted]]*SUMIFS(TblPurchases[Unit Cost (CLP)],TblPurchases[BatchID],TblOutcomes[[#This Row],[BatchID]]))</f>
        <v>9085</v>
      </c>
      <c r="Q921" s="51">
        <f>IF(COUNTIF(TblPurchases[BatchID],TblOutcomes[[#This Row],[BatchID]])&lt;&gt;1,"n.a.",SUMIFS(TblPurchases[Purchase Date],TblPurchases[BatchID],TblOutcomes[[#This Row],[BatchID]]))</f>
        <v>45564</v>
      </c>
    </row>
    <row r="922" spans="2:17" x14ac:dyDescent="0.25">
      <c r="B922" s="2" t="s">
        <v>1726</v>
      </c>
      <c r="C922" s="2" t="s">
        <v>153</v>
      </c>
      <c r="D922" s="2" t="s">
        <v>155</v>
      </c>
      <c r="E922" s="2" t="s">
        <v>4646</v>
      </c>
      <c r="F922" s="2">
        <v>52</v>
      </c>
      <c r="G922" s="2">
        <v>49.24</v>
      </c>
      <c r="H922" s="2">
        <v>2.76</v>
      </c>
      <c r="I922" s="1">
        <v>5.3</v>
      </c>
      <c r="J922" s="26">
        <v>45592</v>
      </c>
      <c r="K922" s="22">
        <v>73860</v>
      </c>
      <c r="L922" s="18">
        <v>78.989999999999995</v>
      </c>
      <c r="M922" s="22">
        <v>59800</v>
      </c>
      <c r="N922" s="22">
        <v>14060</v>
      </c>
      <c r="O922" s="18">
        <v>15.04</v>
      </c>
      <c r="P922" s="52">
        <f>IF(COUNTIF(TblPurchases[BatchID],TblOutcomes[[#This Row],[BatchID]])&lt;&gt;1,"n.a.",TblOutcomes[[#This Row],[Qty Wasted]]*SUMIFS(TblPurchases[Unit Cost (CLP)],TblPurchases[BatchID],TblOutcomes[[#This Row],[BatchID]]))</f>
        <v>3173.9999999999995</v>
      </c>
      <c r="Q922" s="51">
        <f>IF(COUNTIF(TblPurchases[BatchID],TblOutcomes[[#This Row],[BatchID]])&lt;&gt;1,"n.a.",SUMIFS(TblPurchases[Purchase Date],TblPurchases[BatchID],TblOutcomes[[#This Row],[BatchID]]))</f>
        <v>45572</v>
      </c>
    </row>
    <row r="923" spans="2:17" x14ac:dyDescent="0.25">
      <c r="B923" s="2" t="s">
        <v>1727</v>
      </c>
      <c r="C923" s="2" t="s">
        <v>153</v>
      </c>
      <c r="D923" s="2" t="s">
        <v>155</v>
      </c>
      <c r="E923" s="2" t="s">
        <v>4647</v>
      </c>
      <c r="F923" s="2">
        <v>52</v>
      </c>
      <c r="G923" s="2">
        <v>52</v>
      </c>
      <c r="H923" s="2">
        <v>0</v>
      </c>
      <c r="I923" s="1">
        <v>0</v>
      </c>
      <c r="J923" s="26">
        <v>45586</v>
      </c>
      <c r="K923" s="22">
        <v>78000</v>
      </c>
      <c r="L923" s="18">
        <v>83.42</v>
      </c>
      <c r="M923" s="22">
        <v>59800</v>
      </c>
      <c r="N923" s="22">
        <v>18200</v>
      </c>
      <c r="O923" s="18">
        <v>19.47</v>
      </c>
      <c r="P923" s="52">
        <f>IF(COUNTIF(TblPurchases[BatchID],TblOutcomes[[#This Row],[BatchID]])&lt;&gt;1,"n.a.",TblOutcomes[[#This Row],[Qty Wasted]]*SUMIFS(TblPurchases[Unit Cost (CLP)],TblPurchases[BatchID],TblOutcomes[[#This Row],[BatchID]]))</f>
        <v>0</v>
      </c>
      <c r="Q923" s="51">
        <f>IF(COUNTIF(TblPurchases[BatchID],TblOutcomes[[#This Row],[BatchID]])&lt;&gt;1,"n.a.",SUMIFS(TblPurchases[Purchase Date],TblPurchases[BatchID],TblOutcomes[[#This Row],[BatchID]]))</f>
        <v>45578</v>
      </c>
    </row>
    <row r="924" spans="2:17" x14ac:dyDescent="0.25">
      <c r="B924" s="2" t="s">
        <v>1728</v>
      </c>
      <c r="C924" s="2" t="s">
        <v>153</v>
      </c>
      <c r="D924" s="2" t="s">
        <v>155</v>
      </c>
      <c r="E924" s="2" t="s">
        <v>4647</v>
      </c>
      <c r="F924" s="2">
        <v>49</v>
      </c>
      <c r="G924" s="2">
        <v>49</v>
      </c>
      <c r="H924" s="2">
        <v>0</v>
      </c>
      <c r="I924" s="1">
        <v>0</v>
      </c>
      <c r="J924" s="26">
        <v>45589</v>
      </c>
      <c r="K924" s="22">
        <v>73500</v>
      </c>
      <c r="L924" s="18">
        <v>78.61</v>
      </c>
      <c r="M924" s="22">
        <v>56350</v>
      </c>
      <c r="N924" s="22">
        <v>17150</v>
      </c>
      <c r="O924" s="18">
        <v>18.34</v>
      </c>
      <c r="P924" s="52">
        <f>IF(COUNTIF(TblPurchases[BatchID],TblOutcomes[[#This Row],[BatchID]])&lt;&gt;1,"n.a.",TblOutcomes[[#This Row],[Qty Wasted]]*SUMIFS(TblPurchases[Unit Cost (CLP)],TblPurchases[BatchID],TblOutcomes[[#This Row],[BatchID]]))</f>
        <v>0</v>
      </c>
      <c r="Q924" s="51">
        <f>IF(COUNTIF(TblPurchases[BatchID],TblOutcomes[[#This Row],[BatchID]])&lt;&gt;1,"n.a.",SUMIFS(TblPurchases[Purchase Date],TblPurchases[BatchID],TblOutcomes[[#This Row],[BatchID]]))</f>
        <v>45585</v>
      </c>
    </row>
    <row r="925" spans="2:17" x14ac:dyDescent="0.25">
      <c r="B925" s="2" t="s">
        <v>1729</v>
      </c>
      <c r="C925" s="2" t="s">
        <v>153</v>
      </c>
      <c r="D925" s="2" t="s">
        <v>155</v>
      </c>
      <c r="E925" s="2" t="s">
        <v>4647</v>
      </c>
      <c r="F925" s="2">
        <v>55</v>
      </c>
      <c r="G925" s="2">
        <v>55</v>
      </c>
      <c r="H925" s="2">
        <v>0</v>
      </c>
      <c r="I925" s="1">
        <v>0</v>
      </c>
      <c r="J925" s="26">
        <v>45596</v>
      </c>
      <c r="K925" s="22">
        <v>82500</v>
      </c>
      <c r="L925" s="18">
        <v>88.24</v>
      </c>
      <c r="M925" s="22">
        <v>63250</v>
      </c>
      <c r="N925" s="22">
        <v>19250</v>
      </c>
      <c r="O925" s="18">
        <v>20.59</v>
      </c>
      <c r="P925" s="52">
        <f>IF(COUNTIF(TblPurchases[BatchID],TblOutcomes[[#This Row],[BatchID]])&lt;&gt;1,"n.a.",TblOutcomes[[#This Row],[Qty Wasted]]*SUMIFS(TblPurchases[Unit Cost (CLP)],TblPurchases[BatchID],TblOutcomes[[#This Row],[BatchID]]))</f>
        <v>0</v>
      </c>
      <c r="Q925" s="51">
        <f>IF(COUNTIF(TblPurchases[BatchID],TblOutcomes[[#This Row],[BatchID]])&lt;&gt;1,"n.a.",SUMIFS(TblPurchases[Purchase Date],TblPurchases[BatchID],TblOutcomes[[#This Row],[BatchID]]))</f>
        <v>45590</v>
      </c>
    </row>
    <row r="926" spans="2:17" x14ac:dyDescent="0.25">
      <c r="B926" s="2" t="s">
        <v>1730</v>
      </c>
      <c r="C926" s="2" t="s">
        <v>153</v>
      </c>
      <c r="D926" s="2" t="s">
        <v>155</v>
      </c>
      <c r="E926" s="2" t="s">
        <v>4647</v>
      </c>
      <c r="F926" s="2">
        <v>47</v>
      </c>
      <c r="G926" s="2">
        <v>47</v>
      </c>
      <c r="H926" s="2">
        <v>0</v>
      </c>
      <c r="I926" s="1">
        <v>0</v>
      </c>
      <c r="J926" s="26">
        <v>45601</v>
      </c>
      <c r="K926" s="22">
        <v>70500</v>
      </c>
      <c r="L926" s="18">
        <v>75.400000000000006</v>
      </c>
      <c r="M926" s="22">
        <v>54050</v>
      </c>
      <c r="N926" s="22">
        <v>16450</v>
      </c>
      <c r="O926" s="18">
        <v>17.59</v>
      </c>
      <c r="P926" s="52">
        <f>IF(COUNTIF(TblPurchases[BatchID],TblOutcomes[[#This Row],[BatchID]])&lt;&gt;1,"n.a.",TblOutcomes[[#This Row],[Qty Wasted]]*SUMIFS(TblPurchases[Unit Cost (CLP)],TblPurchases[BatchID],TblOutcomes[[#This Row],[BatchID]]))</f>
        <v>0</v>
      </c>
      <c r="Q926" s="51">
        <f>IF(COUNTIF(TblPurchases[BatchID],TblOutcomes[[#This Row],[BatchID]])&lt;&gt;1,"n.a.",SUMIFS(TblPurchases[Purchase Date],TblPurchases[BatchID],TblOutcomes[[#This Row],[BatchID]]))</f>
        <v>45598</v>
      </c>
    </row>
    <row r="927" spans="2:17" x14ac:dyDescent="0.25">
      <c r="B927" s="2" t="s">
        <v>1731</v>
      </c>
      <c r="C927" s="2" t="s">
        <v>153</v>
      </c>
      <c r="D927" s="2" t="s">
        <v>155</v>
      </c>
      <c r="E927" s="2" t="s">
        <v>4647</v>
      </c>
      <c r="F927" s="2">
        <v>54</v>
      </c>
      <c r="G927" s="2">
        <v>54</v>
      </c>
      <c r="H927" s="2">
        <v>0</v>
      </c>
      <c r="I927" s="1">
        <v>0</v>
      </c>
      <c r="J927" s="26">
        <v>45610</v>
      </c>
      <c r="K927" s="22">
        <v>81000</v>
      </c>
      <c r="L927" s="18">
        <v>86.63</v>
      </c>
      <c r="M927" s="22">
        <v>62100</v>
      </c>
      <c r="N927" s="22">
        <v>18900</v>
      </c>
      <c r="O927" s="18">
        <v>20.21</v>
      </c>
      <c r="P927" s="52">
        <f>IF(COUNTIF(TblPurchases[BatchID],TblOutcomes[[#This Row],[BatchID]])&lt;&gt;1,"n.a.",TblOutcomes[[#This Row],[Qty Wasted]]*SUMIFS(TblPurchases[Unit Cost (CLP)],TblPurchases[BatchID],TblOutcomes[[#This Row],[BatchID]]))</f>
        <v>0</v>
      </c>
      <c r="Q927" s="51">
        <f>IF(COUNTIF(TblPurchases[BatchID],TblOutcomes[[#This Row],[BatchID]])&lt;&gt;1,"n.a.",SUMIFS(TblPurchases[Purchase Date],TblPurchases[BatchID],TblOutcomes[[#This Row],[BatchID]]))</f>
        <v>45604</v>
      </c>
    </row>
    <row r="928" spans="2:17" x14ac:dyDescent="0.25">
      <c r="B928" s="2" t="s">
        <v>1732</v>
      </c>
      <c r="C928" s="2" t="s">
        <v>153</v>
      </c>
      <c r="D928" s="2" t="s">
        <v>155</v>
      </c>
      <c r="E928" s="2" t="s">
        <v>4647</v>
      </c>
      <c r="F928" s="2">
        <v>42</v>
      </c>
      <c r="G928" s="2">
        <v>42</v>
      </c>
      <c r="H928" s="2">
        <v>0</v>
      </c>
      <c r="I928" s="1">
        <v>0</v>
      </c>
      <c r="J928" s="26">
        <v>45615</v>
      </c>
      <c r="K928" s="22">
        <v>63000</v>
      </c>
      <c r="L928" s="18">
        <v>67.38</v>
      </c>
      <c r="M928" s="22">
        <v>48300</v>
      </c>
      <c r="N928" s="22">
        <v>14700</v>
      </c>
      <c r="O928" s="18">
        <v>15.72</v>
      </c>
      <c r="P928" s="52">
        <f>IF(COUNTIF(TblPurchases[BatchID],TblOutcomes[[#This Row],[BatchID]])&lt;&gt;1,"n.a.",TblOutcomes[[#This Row],[Qty Wasted]]*SUMIFS(TblPurchases[Unit Cost (CLP)],TblPurchases[BatchID],TblOutcomes[[#This Row],[BatchID]]))</f>
        <v>0</v>
      </c>
      <c r="Q928" s="51">
        <f>IF(COUNTIF(TblPurchases[BatchID],TblOutcomes[[#This Row],[BatchID]])&lt;&gt;1,"n.a.",SUMIFS(TblPurchases[Purchase Date],TblPurchases[BatchID],TblOutcomes[[#This Row],[BatchID]]))</f>
        <v>45611</v>
      </c>
    </row>
    <row r="929" spans="2:17" x14ac:dyDescent="0.25">
      <c r="B929" s="2" t="s">
        <v>1733</v>
      </c>
      <c r="C929" s="2" t="s">
        <v>153</v>
      </c>
      <c r="D929" s="2" t="s">
        <v>155</v>
      </c>
      <c r="E929" s="2" t="s">
        <v>4647</v>
      </c>
      <c r="F929" s="2">
        <v>50</v>
      </c>
      <c r="G929" s="2">
        <v>50</v>
      </c>
      <c r="H929" s="2">
        <v>0</v>
      </c>
      <c r="I929" s="1">
        <v>0</v>
      </c>
      <c r="J929" s="26">
        <v>45620</v>
      </c>
      <c r="K929" s="22">
        <v>75000</v>
      </c>
      <c r="L929" s="18">
        <v>80.209999999999994</v>
      </c>
      <c r="M929" s="22">
        <v>57500</v>
      </c>
      <c r="N929" s="22">
        <v>17500</v>
      </c>
      <c r="O929" s="18">
        <v>18.72</v>
      </c>
      <c r="P929" s="52">
        <f>IF(COUNTIF(TblPurchases[BatchID],TblOutcomes[[#This Row],[BatchID]])&lt;&gt;1,"n.a.",TblOutcomes[[#This Row],[Qty Wasted]]*SUMIFS(TblPurchases[Unit Cost (CLP)],TblPurchases[BatchID],TblOutcomes[[#This Row],[BatchID]]))</f>
        <v>0</v>
      </c>
      <c r="Q929" s="51">
        <f>IF(COUNTIF(TblPurchases[BatchID],TblOutcomes[[#This Row],[BatchID]])&lt;&gt;1,"n.a.",SUMIFS(TblPurchases[Purchase Date],TblPurchases[BatchID],TblOutcomes[[#This Row],[BatchID]]))</f>
        <v>45618</v>
      </c>
    </row>
    <row r="930" spans="2:17" x14ac:dyDescent="0.25">
      <c r="B930" s="2" t="s">
        <v>1734</v>
      </c>
      <c r="C930" s="2" t="s">
        <v>153</v>
      </c>
      <c r="D930" s="2" t="s">
        <v>155</v>
      </c>
      <c r="E930" s="2" t="s">
        <v>4647</v>
      </c>
      <c r="F930" s="2">
        <v>50</v>
      </c>
      <c r="G930" s="2">
        <v>50</v>
      </c>
      <c r="H930" s="2">
        <v>0</v>
      </c>
      <c r="I930" s="1">
        <v>0</v>
      </c>
      <c r="J930" s="26">
        <v>45630</v>
      </c>
      <c r="K930" s="22">
        <v>75000</v>
      </c>
      <c r="L930" s="18">
        <v>80.209999999999994</v>
      </c>
      <c r="M930" s="22">
        <v>57500</v>
      </c>
      <c r="N930" s="22">
        <v>17500</v>
      </c>
      <c r="O930" s="18">
        <v>18.72</v>
      </c>
      <c r="P930" s="52">
        <f>IF(COUNTIF(TblPurchases[BatchID],TblOutcomes[[#This Row],[BatchID]])&lt;&gt;1,"n.a.",TblOutcomes[[#This Row],[Qty Wasted]]*SUMIFS(TblPurchases[Unit Cost (CLP)],TblPurchases[BatchID],TblOutcomes[[#This Row],[BatchID]]))</f>
        <v>0</v>
      </c>
      <c r="Q930" s="51">
        <f>IF(COUNTIF(TblPurchases[BatchID],TblOutcomes[[#This Row],[BatchID]])&lt;&gt;1,"n.a.",SUMIFS(TblPurchases[Purchase Date],TblPurchases[BatchID],TblOutcomes[[#This Row],[BatchID]]))</f>
        <v>45624</v>
      </c>
    </row>
    <row r="931" spans="2:17" x14ac:dyDescent="0.25">
      <c r="B931" s="2" t="s">
        <v>1735</v>
      </c>
      <c r="C931" s="2" t="s">
        <v>153</v>
      </c>
      <c r="D931" s="2" t="s">
        <v>155</v>
      </c>
      <c r="E931" s="2" t="s">
        <v>4647</v>
      </c>
      <c r="F931" s="2">
        <v>62</v>
      </c>
      <c r="G931" s="2">
        <v>62</v>
      </c>
      <c r="H931" s="2">
        <v>0</v>
      </c>
      <c r="I931" s="1">
        <v>0</v>
      </c>
      <c r="J931" s="26">
        <v>45638</v>
      </c>
      <c r="K931" s="22">
        <v>93000</v>
      </c>
      <c r="L931" s="18">
        <v>99.47</v>
      </c>
      <c r="M931" s="22">
        <v>71300</v>
      </c>
      <c r="N931" s="22">
        <v>21700</v>
      </c>
      <c r="O931" s="18">
        <v>23.21</v>
      </c>
      <c r="P931" s="52">
        <f>IF(COUNTIF(TblPurchases[BatchID],TblOutcomes[[#This Row],[BatchID]])&lt;&gt;1,"n.a.",TblOutcomes[[#This Row],[Qty Wasted]]*SUMIFS(TblPurchases[Unit Cost (CLP)],TblPurchases[BatchID],TblOutcomes[[#This Row],[BatchID]]))</f>
        <v>0</v>
      </c>
      <c r="Q931" s="51">
        <f>IF(COUNTIF(TblPurchases[BatchID],TblOutcomes[[#This Row],[BatchID]])&lt;&gt;1,"n.a.",SUMIFS(TblPurchases[Purchase Date],TblPurchases[BatchID],TblOutcomes[[#This Row],[BatchID]]))</f>
        <v>45632</v>
      </c>
    </row>
    <row r="932" spans="2:17" x14ac:dyDescent="0.25">
      <c r="B932" s="2" t="s">
        <v>1736</v>
      </c>
      <c r="C932" s="2" t="s">
        <v>153</v>
      </c>
      <c r="D932" s="2" t="s">
        <v>155</v>
      </c>
      <c r="E932" s="2" t="s">
        <v>4647</v>
      </c>
      <c r="F932" s="2">
        <v>69</v>
      </c>
      <c r="G932" s="2">
        <v>69</v>
      </c>
      <c r="H932" s="2">
        <v>0</v>
      </c>
      <c r="I932" s="1">
        <v>0</v>
      </c>
      <c r="J932" s="26">
        <v>45645</v>
      </c>
      <c r="K932" s="22">
        <v>103500</v>
      </c>
      <c r="L932" s="18">
        <v>110.7</v>
      </c>
      <c r="M932" s="22">
        <v>79350</v>
      </c>
      <c r="N932" s="22">
        <v>24150</v>
      </c>
      <c r="O932" s="18">
        <v>25.83</v>
      </c>
      <c r="P932" s="52">
        <f>IF(COUNTIF(TblPurchases[BatchID],TblOutcomes[[#This Row],[BatchID]])&lt;&gt;1,"n.a.",TblOutcomes[[#This Row],[Qty Wasted]]*SUMIFS(TblPurchases[Unit Cost (CLP)],TblPurchases[BatchID],TblOutcomes[[#This Row],[BatchID]]))</f>
        <v>0</v>
      </c>
      <c r="Q932" s="51">
        <f>IF(COUNTIF(TblPurchases[BatchID],TblOutcomes[[#This Row],[BatchID]])&lt;&gt;1,"n.a.",SUMIFS(TblPurchases[Purchase Date],TblPurchases[BatchID],TblOutcomes[[#This Row],[BatchID]]))</f>
        <v>45639</v>
      </c>
    </row>
    <row r="933" spans="2:17" x14ac:dyDescent="0.25">
      <c r="B933" s="2" t="s">
        <v>1737</v>
      </c>
      <c r="C933" s="2" t="s">
        <v>153</v>
      </c>
      <c r="D933" s="2" t="s">
        <v>155</v>
      </c>
      <c r="E933" s="2" t="s">
        <v>4647</v>
      </c>
      <c r="F933" s="2">
        <v>65</v>
      </c>
      <c r="G933" s="2">
        <v>65</v>
      </c>
      <c r="H933" s="2">
        <v>0</v>
      </c>
      <c r="I933" s="1">
        <v>0</v>
      </c>
      <c r="J933" s="26">
        <v>45649</v>
      </c>
      <c r="K933" s="22">
        <v>97500</v>
      </c>
      <c r="L933" s="18">
        <v>104.28</v>
      </c>
      <c r="M933" s="22">
        <v>74750</v>
      </c>
      <c r="N933" s="22">
        <v>22750</v>
      </c>
      <c r="O933" s="18">
        <v>24.33</v>
      </c>
      <c r="P933" s="52">
        <f>IF(COUNTIF(TblPurchases[BatchID],TblOutcomes[[#This Row],[BatchID]])&lt;&gt;1,"n.a.",TblOutcomes[[#This Row],[Qty Wasted]]*SUMIFS(TblPurchases[Unit Cost (CLP)],TblPurchases[BatchID],TblOutcomes[[#This Row],[BatchID]]))</f>
        <v>0</v>
      </c>
      <c r="Q933" s="51">
        <f>IF(COUNTIF(TblPurchases[BatchID],TblOutcomes[[#This Row],[BatchID]])&lt;&gt;1,"n.a.",SUMIFS(TblPurchases[Purchase Date],TblPurchases[BatchID],TblOutcomes[[#This Row],[BatchID]]))</f>
        <v>45645</v>
      </c>
    </row>
    <row r="934" spans="2:17" x14ac:dyDescent="0.25">
      <c r="B934" s="2" t="s">
        <v>1738</v>
      </c>
      <c r="C934" s="2" t="s">
        <v>153</v>
      </c>
      <c r="D934" s="2" t="s">
        <v>155</v>
      </c>
      <c r="E934" s="2" t="s">
        <v>4647</v>
      </c>
      <c r="F934" s="2">
        <v>68</v>
      </c>
      <c r="G934" s="2">
        <v>68</v>
      </c>
      <c r="H934" s="2">
        <v>0</v>
      </c>
      <c r="I934" s="1">
        <v>0</v>
      </c>
      <c r="J934" s="26">
        <v>45653</v>
      </c>
      <c r="K934" s="22">
        <v>102000</v>
      </c>
      <c r="L934" s="18">
        <v>109.09</v>
      </c>
      <c r="M934" s="22">
        <v>78200</v>
      </c>
      <c r="N934" s="22">
        <v>23800</v>
      </c>
      <c r="O934" s="18">
        <v>25.45</v>
      </c>
      <c r="P934" s="52">
        <f>IF(COUNTIF(TblPurchases[BatchID],TblOutcomes[[#This Row],[BatchID]])&lt;&gt;1,"n.a.",TblOutcomes[[#This Row],[Qty Wasted]]*SUMIFS(TblPurchases[Unit Cost (CLP)],TblPurchases[BatchID],TblOutcomes[[#This Row],[BatchID]]))</f>
        <v>0</v>
      </c>
      <c r="Q934" s="51">
        <f>IF(COUNTIF(TblPurchases[BatchID],TblOutcomes[[#This Row],[BatchID]])&lt;&gt;1,"n.a.",SUMIFS(TblPurchases[Purchase Date],TblPurchases[BatchID],TblOutcomes[[#This Row],[BatchID]]))</f>
        <v>45651</v>
      </c>
    </row>
    <row r="935" spans="2:17" x14ac:dyDescent="0.25">
      <c r="B935" s="2" t="s">
        <v>1739</v>
      </c>
      <c r="C935" s="2" t="s">
        <v>153</v>
      </c>
      <c r="D935" s="2" t="s">
        <v>155</v>
      </c>
      <c r="E935" s="2" t="s">
        <v>4646</v>
      </c>
      <c r="F935" s="2">
        <v>57</v>
      </c>
      <c r="G935" s="2">
        <v>33.97</v>
      </c>
      <c r="H935" s="2">
        <v>23.03</v>
      </c>
      <c r="I935" s="1">
        <v>40.4</v>
      </c>
      <c r="J935" s="26">
        <v>45677</v>
      </c>
      <c r="K935" s="22">
        <v>50955</v>
      </c>
      <c r="L935" s="18">
        <v>54.5</v>
      </c>
      <c r="M935" s="22">
        <v>65550</v>
      </c>
      <c r="N935" s="22">
        <v>-14595</v>
      </c>
      <c r="O935" s="18">
        <v>-15.61</v>
      </c>
      <c r="P935" s="52">
        <f>IF(COUNTIF(TblPurchases[BatchID],TblOutcomes[[#This Row],[BatchID]])&lt;&gt;1,"n.a.",TblOutcomes[[#This Row],[Qty Wasted]]*SUMIFS(TblPurchases[Unit Cost (CLP)],TblPurchases[BatchID],TblOutcomes[[#This Row],[BatchID]]))</f>
        <v>26484.5</v>
      </c>
      <c r="Q935" s="51">
        <f>IF(COUNTIF(TblPurchases[BatchID],TblOutcomes[[#This Row],[BatchID]])&lt;&gt;1,"n.a.",SUMIFS(TblPurchases[Purchase Date],TblPurchases[BatchID],TblOutcomes[[#This Row],[BatchID]]))</f>
        <v>45657</v>
      </c>
    </row>
    <row r="936" spans="2:17" x14ac:dyDescent="0.25">
      <c r="B936" s="2" t="s">
        <v>1740</v>
      </c>
      <c r="C936" s="2" t="s">
        <v>153</v>
      </c>
      <c r="D936" s="2" t="s">
        <v>155</v>
      </c>
      <c r="E936" s="2" t="s">
        <v>4647</v>
      </c>
      <c r="F936" s="2">
        <v>59</v>
      </c>
      <c r="G936" s="2">
        <v>59</v>
      </c>
      <c r="H936" s="2">
        <v>0</v>
      </c>
      <c r="I936" s="1">
        <v>0</v>
      </c>
      <c r="J936" s="26">
        <v>45667</v>
      </c>
      <c r="K936" s="22">
        <v>88500</v>
      </c>
      <c r="L936" s="18">
        <v>94.65</v>
      </c>
      <c r="M936" s="22">
        <v>67850</v>
      </c>
      <c r="N936" s="22">
        <v>20650</v>
      </c>
      <c r="O936" s="18">
        <v>22.09</v>
      </c>
      <c r="P936" s="52">
        <f>IF(COUNTIF(TblPurchases[BatchID],TblOutcomes[[#This Row],[BatchID]])&lt;&gt;1,"n.a.",TblOutcomes[[#This Row],[Qty Wasted]]*SUMIFS(TblPurchases[Unit Cost (CLP)],TblPurchases[BatchID],TblOutcomes[[#This Row],[BatchID]]))</f>
        <v>0</v>
      </c>
      <c r="Q936" s="51">
        <f>IF(COUNTIF(TblPurchases[BatchID],TblOutcomes[[#This Row],[BatchID]])&lt;&gt;1,"n.a.",SUMIFS(TblPurchases[Purchase Date],TblPurchases[BatchID],TblOutcomes[[#This Row],[BatchID]]))</f>
        <v>45663</v>
      </c>
    </row>
    <row r="937" spans="2:17" x14ac:dyDescent="0.25">
      <c r="B937" s="2" t="s">
        <v>1741</v>
      </c>
      <c r="C937" s="2" t="s">
        <v>153</v>
      </c>
      <c r="D937" s="2" t="s">
        <v>155</v>
      </c>
      <c r="E937" s="2" t="s">
        <v>4646</v>
      </c>
      <c r="F937" s="2">
        <v>53</v>
      </c>
      <c r="G937" s="2">
        <v>37.79</v>
      </c>
      <c r="H937" s="2">
        <v>15.21</v>
      </c>
      <c r="I937" s="1">
        <v>28.7</v>
      </c>
      <c r="J937" s="26">
        <v>45690</v>
      </c>
      <c r="K937" s="22">
        <v>56685</v>
      </c>
      <c r="L937" s="18">
        <v>60.63</v>
      </c>
      <c r="M937" s="22">
        <v>60950</v>
      </c>
      <c r="N937" s="22">
        <v>-4265</v>
      </c>
      <c r="O937" s="18">
        <v>-4.5599999999999996</v>
      </c>
      <c r="P937" s="52">
        <f>IF(COUNTIF(TblPurchases[BatchID],TblOutcomes[[#This Row],[BatchID]])&lt;&gt;1,"n.a.",TblOutcomes[[#This Row],[Qty Wasted]]*SUMIFS(TblPurchases[Unit Cost (CLP)],TblPurchases[BatchID],TblOutcomes[[#This Row],[BatchID]]))</f>
        <v>17491.5</v>
      </c>
      <c r="Q937" s="51">
        <f>IF(COUNTIF(TblPurchases[BatchID],TblOutcomes[[#This Row],[BatchID]])&lt;&gt;1,"n.a.",SUMIFS(TblPurchases[Purchase Date],TblPurchases[BatchID],TblOutcomes[[#This Row],[BatchID]]))</f>
        <v>45670</v>
      </c>
    </row>
    <row r="938" spans="2:17" x14ac:dyDescent="0.25">
      <c r="B938" s="2" t="s">
        <v>1742</v>
      </c>
      <c r="C938" s="2" t="s">
        <v>153</v>
      </c>
      <c r="D938" s="2" t="s">
        <v>155</v>
      </c>
      <c r="E938" s="2" t="s">
        <v>4646</v>
      </c>
      <c r="F938" s="2">
        <v>50</v>
      </c>
      <c r="G938" s="2">
        <v>32.049999999999997</v>
      </c>
      <c r="H938" s="2">
        <v>17.95</v>
      </c>
      <c r="I938" s="1">
        <v>35.9</v>
      </c>
      <c r="J938" s="26">
        <v>45699</v>
      </c>
      <c r="K938" s="22">
        <v>48075</v>
      </c>
      <c r="L938" s="18">
        <v>51.42</v>
      </c>
      <c r="M938" s="22">
        <v>57500</v>
      </c>
      <c r="N938" s="22">
        <v>-9425</v>
      </c>
      <c r="O938" s="18">
        <v>-10.08</v>
      </c>
      <c r="P938" s="52">
        <f>IF(COUNTIF(TblPurchases[BatchID],TblOutcomes[[#This Row],[BatchID]])&lt;&gt;1,"n.a.",TblOutcomes[[#This Row],[Qty Wasted]]*SUMIFS(TblPurchases[Unit Cost (CLP)],TblPurchases[BatchID],TblOutcomes[[#This Row],[BatchID]]))</f>
        <v>20642.5</v>
      </c>
      <c r="Q938" s="51">
        <f>IF(COUNTIF(TblPurchases[BatchID],TblOutcomes[[#This Row],[BatchID]])&lt;&gt;1,"n.a.",SUMIFS(TblPurchases[Purchase Date],TblPurchases[BatchID],TblOutcomes[[#This Row],[BatchID]]))</f>
        <v>45679</v>
      </c>
    </row>
    <row r="939" spans="2:17" x14ac:dyDescent="0.25">
      <c r="B939" s="2" t="s">
        <v>1743</v>
      </c>
      <c r="C939" s="2" t="s">
        <v>153</v>
      </c>
      <c r="D939" s="2" t="s">
        <v>155</v>
      </c>
      <c r="E939" s="2" t="s">
        <v>4647</v>
      </c>
      <c r="F939" s="2">
        <v>56</v>
      </c>
      <c r="G939" s="2">
        <v>56</v>
      </c>
      <c r="H939" s="2">
        <v>0</v>
      </c>
      <c r="I939" s="1">
        <v>0</v>
      </c>
      <c r="J939" s="26">
        <v>45690</v>
      </c>
      <c r="K939" s="22">
        <v>84000</v>
      </c>
      <c r="L939" s="18">
        <v>89.84</v>
      </c>
      <c r="M939" s="22">
        <v>64400</v>
      </c>
      <c r="N939" s="22">
        <v>19600</v>
      </c>
      <c r="O939" s="18">
        <v>20.96</v>
      </c>
      <c r="P939" s="52">
        <f>IF(COUNTIF(TblPurchases[BatchID],TblOutcomes[[#This Row],[BatchID]])&lt;&gt;1,"n.a.",TblOutcomes[[#This Row],[Qty Wasted]]*SUMIFS(TblPurchases[Unit Cost (CLP)],TblPurchases[BatchID],TblOutcomes[[#This Row],[BatchID]]))</f>
        <v>0</v>
      </c>
      <c r="Q939" s="51">
        <f>IF(COUNTIF(TblPurchases[BatchID],TblOutcomes[[#This Row],[BatchID]])&lt;&gt;1,"n.a.",SUMIFS(TblPurchases[Purchase Date],TblPurchases[BatchID],TblOutcomes[[#This Row],[BatchID]]))</f>
        <v>45685</v>
      </c>
    </row>
    <row r="940" spans="2:17" x14ac:dyDescent="0.25">
      <c r="B940" s="2" t="s">
        <v>1744</v>
      </c>
      <c r="C940" s="2" t="s">
        <v>153</v>
      </c>
      <c r="D940" s="2" t="s">
        <v>155</v>
      </c>
      <c r="E940" s="2" t="s">
        <v>4647</v>
      </c>
      <c r="F940" s="2">
        <v>54</v>
      </c>
      <c r="G940" s="2">
        <v>54</v>
      </c>
      <c r="H940" s="2">
        <v>0</v>
      </c>
      <c r="I940" s="1">
        <v>0</v>
      </c>
      <c r="J940" s="26">
        <v>45697</v>
      </c>
      <c r="K940" s="22">
        <v>81000</v>
      </c>
      <c r="L940" s="18">
        <v>86.63</v>
      </c>
      <c r="M940" s="22">
        <v>62100</v>
      </c>
      <c r="N940" s="22">
        <v>18900</v>
      </c>
      <c r="O940" s="18">
        <v>20.21</v>
      </c>
      <c r="P940" s="52">
        <f>IF(COUNTIF(TblPurchases[BatchID],TblOutcomes[[#This Row],[BatchID]])&lt;&gt;1,"n.a.",TblOutcomes[[#This Row],[Qty Wasted]]*SUMIFS(TblPurchases[Unit Cost (CLP)],TblPurchases[BatchID],TblOutcomes[[#This Row],[BatchID]]))</f>
        <v>0</v>
      </c>
      <c r="Q940" s="51">
        <f>IF(COUNTIF(TblPurchases[BatchID],TblOutcomes[[#This Row],[BatchID]])&lt;&gt;1,"n.a.",SUMIFS(TblPurchases[Purchase Date],TblPurchases[BatchID],TblOutcomes[[#This Row],[BatchID]]))</f>
        <v>45692</v>
      </c>
    </row>
    <row r="941" spans="2:17" x14ac:dyDescent="0.25">
      <c r="B941" s="2" t="s">
        <v>1745</v>
      </c>
      <c r="C941" s="2" t="s">
        <v>153</v>
      </c>
      <c r="D941" s="2" t="s">
        <v>155</v>
      </c>
      <c r="E941" s="2" t="s">
        <v>4647</v>
      </c>
      <c r="F941" s="2">
        <v>56</v>
      </c>
      <c r="G941" s="2">
        <v>56</v>
      </c>
      <c r="H941" s="2">
        <v>0</v>
      </c>
      <c r="I941" s="1">
        <v>0</v>
      </c>
      <c r="J941" s="26">
        <v>45702</v>
      </c>
      <c r="K941" s="22">
        <v>84000</v>
      </c>
      <c r="L941" s="18">
        <v>89.84</v>
      </c>
      <c r="M941" s="22">
        <v>64400</v>
      </c>
      <c r="N941" s="22">
        <v>19600</v>
      </c>
      <c r="O941" s="18">
        <v>20.96</v>
      </c>
      <c r="P941" s="52">
        <f>IF(COUNTIF(TblPurchases[BatchID],TblOutcomes[[#This Row],[BatchID]])&lt;&gt;1,"n.a.",TblOutcomes[[#This Row],[Qty Wasted]]*SUMIFS(TblPurchases[Unit Cost (CLP)],TblPurchases[BatchID],TblOutcomes[[#This Row],[BatchID]]))</f>
        <v>0</v>
      </c>
      <c r="Q941" s="51">
        <f>IF(COUNTIF(TblPurchases[BatchID],TblOutcomes[[#This Row],[BatchID]])&lt;&gt;1,"n.a.",SUMIFS(TblPurchases[Purchase Date],TblPurchases[BatchID],TblOutcomes[[#This Row],[BatchID]]))</f>
        <v>45698</v>
      </c>
    </row>
    <row r="942" spans="2:17" x14ac:dyDescent="0.25">
      <c r="B942" s="2" t="s">
        <v>1746</v>
      </c>
      <c r="C942" s="2" t="s">
        <v>153</v>
      </c>
      <c r="D942" s="2" t="s">
        <v>155</v>
      </c>
      <c r="E942" s="2" t="s">
        <v>4647</v>
      </c>
      <c r="F942" s="2">
        <v>50</v>
      </c>
      <c r="G942" s="2">
        <v>50</v>
      </c>
      <c r="H942" s="2">
        <v>0</v>
      </c>
      <c r="I942" s="1">
        <v>0</v>
      </c>
      <c r="J942" s="26">
        <v>45710</v>
      </c>
      <c r="K942" s="22">
        <v>75000</v>
      </c>
      <c r="L942" s="18">
        <v>80.209999999999994</v>
      </c>
      <c r="M942" s="22">
        <v>57500</v>
      </c>
      <c r="N942" s="22">
        <v>17500</v>
      </c>
      <c r="O942" s="18">
        <v>18.72</v>
      </c>
      <c r="P942" s="52">
        <f>IF(COUNTIF(TblPurchases[BatchID],TblOutcomes[[#This Row],[BatchID]])&lt;&gt;1,"n.a.",TblOutcomes[[#This Row],[Qty Wasted]]*SUMIFS(TblPurchases[Unit Cost (CLP)],TblPurchases[BatchID],TblOutcomes[[#This Row],[BatchID]]))</f>
        <v>0</v>
      </c>
      <c r="Q942" s="51">
        <f>IF(COUNTIF(TblPurchases[BatchID],TblOutcomes[[#This Row],[BatchID]])&lt;&gt;1,"n.a.",SUMIFS(TblPurchases[Purchase Date],TblPurchases[BatchID],TblOutcomes[[#This Row],[BatchID]]))</f>
        <v>45705</v>
      </c>
    </row>
    <row r="943" spans="2:17" x14ac:dyDescent="0.25">
      <c r="B943" s="2" t="s">
        <v>1747</v>
      </c>
      <c r="C943" s="2" t="s">
        <v>153</v>
      </c>
      <c r="D943" s="2" t="s">
        <v>155</v>
      </c>
      <c r="E943" s="2" t="s">
        <v>4647</v>
      </c>
      <c r="F943" s="2">
        <v>50</v>
      </c>
      <c r="G943" s="2">
        <v>50</v>
      </c>
      <c r="H943" s="2">
        <v>0</v>
      </c>
      <c r="I943" s="1">
        <v>0</v>
      </c>
      <c r="J943" s="26">
        <v>45715</v>
      </c>
      <c r="K943" s="22">
        <v>75000</v>
      </c>
      <c r="L943" s="18">
        <v>80.209999999999994</v>
      </c>
      <c r="M943" s="22">
        <v>57500</v>
      </c>
      <c r="N943" s="22">
        <v>17500</v>
      </c>
      <c r="O943" s="18">
        <v>18.72</v>
      </c>
      <c r="P943" s="52">
        <f>IF(COUNTIF(TblPurchases[BatchID],TblOutcomes[[#This Row],[BatchID]])&lt;&gt;1,"n.a.",TblOutcomes[[#This Row],[Qty Wasted]]*SUMIFS(TblPurchases[Unit Cost (CLP)],TblPurchases[BatchID],TblOutcomes[[#This Row],[BatchID]]))</f>
        <v>0</v>
      </c>
      <c r="Q943" s="51">
        <f>IF(COUNTIF(TblPurchases[BatchID],TblOutcomes[[#This Row],[BatchID]])&lt;&gt;1,"n.a.",SUMIFS(TblPurchases[Purchase Date],TblPurchases[BatchID],TblOutcomes[[#This Row],[BatchID]]))</f>
        <v>45710</v>
      </c>
    </row>
    <row r="944" spans="2:17" x14ac:dyDescent="0.25">
      <c r="B944" s="2" t="s">
        <v>1748</v>
      </c>
      <c r="C944" s="2" t="s">
        <v>153</v>
      </c>
      <c r="D944" s="2" t="s">
        <v>155</v>
      </c>
      <c r="E944" s="2" t="s">
        <v>4647</v>
      </c>
      <c r="F944" s="2">
        <v>51</v>
      </c>
      <c r="G944" s="2">
        <v>51</v>
      </c>
      <c r="H944" s="2">
        <v>0</v>
      </c>
      <c r="I944" s="1">
        <v>0</v>
      </c>
      <c r="J944" s="26">
        <v>45724</v>
      </c>
      <c r="K944" s="22">
        <v>76500</v>
      </c>
      <c r="L944" s="18">
        <v>81.819999999999993</v>
      </c>
      <c r="M944" s="22">
        <v>58650</v>
      </c>
      <c r="N944" s="22">
        <v>17850</v>
      </c>
      <c r="O944" s="18">
        <v>19.09</v>
      </c>
      <c r="P944" s="52">
        <f>IF(COUNTIF(TblPurchases[BatchID],TblOutcomes[[#This Row],[BatchID]])&lt;&gt;1,"n.a.",TblOutcomes[[#This Row],[Qty Wasted]]*SUMIFS(TblPurchases[Unit Cost (CLP)],TblPurchases[BatchID],TblOutcomes[[#This Row],[BatchID]]))</f>
        <v>0</v>
      </c>
      <c r="Q944" s="51">
        <f>IF(COUNTIF(TblPurchases[BatchID],TblOutcomes[[#This Row],[BatchID]])&lt;&gt;1,"n.a.",SUMIFS(TblPurchases[Purchase Date],TblPurchases[BatchID],TblOutcomes[[#This Row],[BatchID]]))</f>
        <v>45718</v>
      </c>
    </row>
    <row r="945" spans="2:17" x14ac:dyDescent="0.25">
      <c r="B945" s="2" t="s">
        <v>1749</v>
      </c>
      <c r="C945" s="2" t="s">
        <v>153</v>
      </c>
      <c r="D945" s="2" t="s">
        <v>155</v>
      </c>
      <c r="E945" s="2" t="s">
        <v>4646</v>
      </c>
      <c r="F945" s="2">
        <v>48</v>
      </c>
      <c r="G945" s="2">
        <v>46.18</v>
      </c>
      <c r="H945" s="2">
        <v>1.82</v>
      </c>
      <c r="I945" s="1">
        <v>3.8</v>
      </c>
      <c r="J945" s="26">
        <v>45744</v>
      </c>
      <c r="K945" s="22">
        <v>69270</v>
      </c>
      <c r="L945" s="18">
        <v>74.09</v>
      </c>
      <c r="M945" s="22">
        <v>55200</v>
      </c>
      <c r="N945" s="22">
        <v>14070</v>
      </c>
      <c r="O945" s="18">
        <v>15.05</v>
      </c>
      <c r="P945" s="52">
        <f>IF(COUNTIF(TblPurchases[BatchID],TblOutcomes[[#This Row],[BatchID]])&lt;&gt;1,"n.a.",TblOutcomes[[#This Row],[Qty Wasted]]*SUMIFS(TblPurchases[Unit Cost (CLP)],TblPurchases[BatchID],TblOutcomes[[#This Row],[BatchID]]))</f>
        <v>2093</v>
      </c>
      <c r="Q945" s="51">
        <f>IF(COUNTIF(TblPurchases[BatchID],TblOutcomes[[#This Row],[BatchID]])&lt;&gt;1,"n.a.",SUMIFS(TblPurchases[Purchase Date],TblPurchases[BatchID],TblOutcomes[[#This Row],[BatchID]]))</f>
        <v>45724</v>
      </c>
    </row>
    <row r="946" spans="2:17" x14ac:dyDescent="0.25">
      <c r="B946" s="2" t="s">
        <v>1750</v>
      </c>
      <c r="C946" s="2" t="s">
        <v>153</v>
      </c>
      <c r="D946" s="2" t="s">
        <v>155</v>
      </c>
      <c r="E946" s="2" t="s">
        <v>4646</v>
      </c>
      <c r="F946" s="2">
        <v>49</v>
      </c>
      <c r="G946" s="2">
        <v>31.41</v>
      </c>
      <c r="H946" s="2">
        <v>17.59</v>
      </c>
      <c r="I946" s="1">
        <v>35.9</v>
      </c>
      <c r="J946" s="26">
        <v>45750</v>
      </c>
      <c r="K946" s="22">
        <v>47115</v>
      </c>
      <c r="L946" s="18">
        <v>50.39</v>
      </c>
      <c r="M946" s="22">
        <v>56350</v>
      </c>
      <c r="N946" s="22">
        <v>-9235</v>
      </c>
      <c r="O946" s="18">
        <v>-9.8800000000000008</v>
      </c>
      <c r="P946" s="52">
        <f>IF(COUNTIF(TblPurchases[BatchID],TblOutcomes[[#This Row],[BatchID]])&lt;&gt;1,"n.a.",TblOutcomes[[#This Row],[Qty Wasted]]*SUMIFS(TblPurchases[Unit Cost (CLP)],TblPurchases[BatchID],TblOutcomes[[#This Row],[BatchID]]))</f>
        <v>20228.5</v>
      </c>
      <c r="Q946" s="51">
        <f>IF(COUNTIF(TblPurchases[BatchID],TblOutcomes[[#This Row],[BatchID]])&lt;&gt;1,"n.a.",SUMIFS(TblPurchases[Purchase Date],TblPurchases[BatchID],TblOutcomes[[#This Row],[BatchID]]))</f>
        <v>45730</v>
      </c>
    </row>
    <row r="947" spans="2:17" x14ac:dyDescent="0.25">
      <c r="B947" s="2" t="s">
        <v>1751</v>
      </c>
      <c r="C947" s="2" t="s">
        <v>153</v>
      </c>
      <c r="D947" s="2" t="s">
        <v>155</v>
      </c>
      <c r="E947" s="2" t="s">
        <v>4647</v>
      </c>
      <c r="F947" s="2">
        <v>50</v>
      </c>
      <c r="G947" s="2">
        <v>50</v>
      </c>
      <c r="H947" s="2">
        <v>0</v>
      </c>
      <c r="I947" s="1">
        <v>0</v>
      </c>
      <c r="J947" s="26">
        <v>45745</v>
      </c>
      <c r="K947" s="22">
        <v>75000</v>
      </c>
      <c r="L947" s="18">
        <v>80.209999999999994</v>
      </c>
      <c r="M947" s="22">
        <v>57500</v>
      </c>
      <c r="N947" s="22">
        <v>17500</v>
      </c>
      <c r="O947" s="18">
        <v>18.72</v>
      </c>
      <c r="P947" s="52">
        <f>IF(COUNTIF(TblPurchases[BatchID],TblOutcomes[[#This Row],[BatchID]])&lt;&gt;1,"n.a.",TblOutcomes[[#This Row],[Qty Wasted]]*SUMIFS(TblPurchases[Unit Cost (CLP)],TblPurchases[BatchID],TblOutcomes[[#This Row],[BatchID]]))</f>
        <v>0</v>
      </c>
      <c r="Q947" s="51">
        <f>IF(COUNTIF(TblPurchases[BatchID],TblOutcomes[[#This Row],[BatchID]])&lt;&gt;1,"n.a.",SUMIFS(TblPurchases[Purchase Date],TblPurchases[BatchID],TblOutcomes[[#This Row],[BatchID]]))</f>
        <v>45737</v>
      </c>
    </row>
    <row r="948" spans="2:17" x14ac:dyDescent="0.25">
      <c r="B948" s="2" t="s">
        <v>1752</v>
      </c>
      <c r="C948" s="2" t="s">
        <v>153</v>
      </c>
      <c r="D948" s="2" t="s">
        <v>155</v>
      </c>
      <c r="E948" s="2" t="s">
        <v>4647</v>
      </c>
      <c r="F948" s="2">
        <v>46</v>
      </c>
      <c r="G948" s="2">
        <v>46</v>
      </c>
      <c r="H948" s="2">
        <v>0</v>
      </c>
      <c r="I948" s="1">
        <v>0</v>
      </c>
      <c r="J948" s="26">
        <v>45751</v>
      </c>
      <c r="K948" s="22">
        <v>69000</v>
      </c>
      <c r="L948" s="18">
        <v>73.8</v>
      </c>
      <c r="M948" s="22">
        <v>52900</v>
      </c>
      <c r="N948" s="22">
        <v>16100</v>
      </c>
      <c r="O948" s="18">
        <v>17.22</v>
      </c>
      <c r="P948" s="52">
        <f>IF(COUNTIF(TblPurchases[BatchID],TblOutcomes[[#This Row],[BatchID]])&lt;&gt;1,"n.a.",TblOutcomes[[#This Row],[Qty Wasted]]*SUMIFS(TblPurchases[Unit Cost (CLP)],TblPurchases[BatchID],TblOutcomes[[#This Row],[BatchID]]))</f>
        <v>0</v>
      </c>
      <c r="Q948" s="51">
        <f>IF(COUNTIF(TblPurchases[BatchID],TblOutcomes[[#This Row],[BatchID]])&lt;&gt;1,"n.a.",SUMIFS(TblPurchases[Purchase Date],TblPurchases[BatchID],TblOutcomes[[#This Row],[BatchID]]))</f>
        <v>45745</v>
      </c>
    </row>
    <row r="949" spans="2:17" x14ac:dyDescent="0.25">
      <c r="B949" s="2" t="s">
        <v>1753</v>
      </c>
      <c r="C949" s="2" t="s">
        <v>153</v>
      </c>
      <c r="D949" s="2" t="s">
        <v>155</v>
      </c>
      <c r="E949" s="2" t="s">
        <v>4647</v>
      </c>
      <c r="F949" s="2">
        <v>20</v>
      </c>
      <c r="G949" s="2">
        <v>20</v>
      </c>
      <c r="H949" s="2">
        <v>0</v>
      </c>
      <c r="I949" s="1">
        <v>0</v>
      </c>
      <c r="J949" s="26">
        <v>45755</v>
      </c>
      <c r="K949" s="22">
        <v>30000</v>
      </c>
      <c r="L949" s="18">
        <v>32.090000000000003</v>
      </c>
      <c r="M949" s="22">
        <v>23000</v>
      </c>
      <c r="N949" s="22">
        <v>7000</v>
      </c>
      <c r="O949" s="18">
        <v>7.49</v>
      </c>
      <c r="P949" s="52">
        <f>IF(COUNTIF(TblPurchases[BatchID],TblOutcomes[[#This Row],[BatchID]])&lt;&gt;1,"n.a.",TblOutcomes[[#This Row],[Qty Wasted]]*SUMIFS(TblPurchases[Unit Cost (CLP)],TblPurchases[BatchID],TblOutcomes[[#This Row],[BatchID]]))</f>
        <v>0</v>
      </c>
      <c r="Q949" s="51">
        <f>IF(COUNTIF(TblPurchases[BatchID],TblOutcomes[[#This Row],[BatchID]])&lt;&gt;1,"n.a.",SUMIFS(TblPurchases[Purchase Date],TblPurchases[BatchID],TblOutcomes[[#This Row],[BatchID]]))</f>
        <v>45751</v>
      </c>
    </row>
    <row r="950" spans="2:17" x14ac:dyDescent="0.25">
      <c r="B950" s="2" t="s">
        <v>1754</v>
      </c>
      <c r="C950" s="2" t="s">
        <v>153</v>
      </c>
      <c r="D950" s="2" t="s">
        <v>155</v>
      </c>
      <c r="E950" s="2" t="s">
        <v>4646</v>
      </c>
      <c r="F950" s="2">
        <v>17</v>
      </c>
      <c r="G950" s="2">
        <v>13.62</v>
      </c>
      <c r="H950" s="2">
        <v>3.38</v>
      </c>
      <c r="I950" s="1">
        <v>19.899999999999999</v>
      </c>
      <c r="J950" s="26">
        <v>45776</v>
      </c>
      <c r="K950" s="22">
        <v>20430</v>
      </c>
      <c r="L950" s="18">
        <v>21.85</v>
      </c>
      <c r="M950" s="22">
        <v>19550</v>
      </c>
      <c r="N950" s="22">
        <v>880</v>
      </c>
      <c r="O950" s="18">
        <v>0.94</v>
      </c>
      <c r="P950" s="52">
        <f>IF(COUNTIF(TblPurchases[BatchID],TblOutcomes[[#This Row],[BatchID]])&lt;&gt;1,"n.a.",TblOutcomes[[#This Row],[Qty Wasted]]*SUMIFS(TblPurchases[Unit Cost (CLP)],TblPurchases[BatchID],TblOutcomes[[#This Row],[BatchID]]))</f>
        <v>3887</v>
      </c>
      <c r="Q950" s="51">
        <f>IF(COUNTIF(TblPurchases[BatchID],TblOutcomes[[#This Row],[BatchID]])&lt;&gt;1,"n.a.",SUMIFS(TblPurchases[Purchase Date],TblPurchases[BatchID],TblOutcomes[[#This Row],[BatchID]]))</f>
        <v>45756</v>
      </c>
    </row>
    <row r="951" spans="2:17" x14ac:dyDescent="0.25">
      <c r="B951" s="2" t="s">
        <v>1755</v>
      </c>
      <c r="C951" s="2" t="s">
        <v>153</v>
      </c>
      <c r="D951" s="2" t="s">
        <v>155</v>
      </c>
      <c r="E951" s="2" t="s">
        <v>4646</v>
      </c>
      <c r="F951" s="2">
        <v>22</v>
      </c>
      <c r="G951" s="2">
        <v>14.19</v>
      </c>
      <c r="H951" s="2">
        <v>7.81</v>
      </c>
      <c r="I951" s="1">
        <v>35.5</v>
      </c>
      <c r="J951" s="26">
        <v>45781</v>
      </c>
      <c r="K951" s="22">
        <v>21285</v>
      </c>
      <c r="L951" s="18">
        <v>22.76</v>
      </c>
      <c r="M951" s="22">
        <v>25300</v>
      </c>
      <c r="N951" s="22">
        <v>-4015</v>
      </c>
      <c r="O951" s="18">
        <v>-4.29</v>
      </c>
      <c r="P951" s="52">
        <f>IF(COUNTIF(TblPurchases[BatchID],TblOutcomes[[#This Row],[BatchID]])&lt;&gt;1,"n.a.",TblOutcomes[[#This Row],[Qty Wasted]]*SUMIFS(TblPurchases[Unit Cost (CLP)],TblPurchases[BatchID],TblOutcomes[[#This Row],[BatchID]]))</f>
        <v>8981.5</v>
      </c>
      <c r="Q951" s="51">
        <f>IF(COUNTIF(TblPurchases[BatchID],TblOutcomes[[#This Row],[BatchID]])&lt;&gt;1,"n.a.",SUMIFS(TblPurchases[Purchase Date],TblPurchases[BatchID],TblOutcomes[[#This Row],[BatchID]]))</f>
        <v>45761</v>
      </c>
    </row>
    <row r="952" spans="2:17" x14ac:dyDescent="0.25">
      <c r="B952" s="2" t="s">
        <v>1756</v>
      </c>
      <c r="C952" s="2" t="s">
        <v>153</v>
      </c>
      <c r="D952" s="2" t="s">
        <v>155</v>
      </c>
      <c r="E952" s="2" t="s">
        <v>4647</v>
      </c>
      <c r="F952" s="2">
        <v>18</v>
      </c>
      <c r="G952" s="2">
        <v>18</v>
      </c>
      <c r="H952" s="2">
        <v>0</v>
      </c>
      <c r="I952" s="1">
        <v>0</v>
      </c>
      <c r="J952" s="26">
        <v>45774</v>
      </c>
      <c r="K952" s="22">
        <v>27000</v>
      </c>
      <c r="L952" s="18">
        <v>28.88</v>
      </c>
      <c r="M952" s="22">
        <v>20700</v>
      </c>
      <c r="N952" s="22">
        <v>6300</v>
      </c>
      <c r="O952" s="18">
        <v>6.74</v>
      </c>
      <c r="P952" s="52">
        <f>IF(COUNTIF(TblPurchases[BatchID],TblOutcomes[[#This Row],[BatchID]])&lt;&gt;1,"n.a.",TblOutcomes[[#This Row],[Qty Wasted]]*SUMIFS(TblPurchases[Unit Cost (CLP)],TblPurchases[BatchID],TblOutcomes[[#This Row],[BatchID]]))</f>
        <v>0</v>
      </c>
      <c r="Q952" s="51">
        <f>IF(COUNTIF(TblPurchases[BatchID],TblOutcomes[[#This Row],[BatchID]])&lt;&gt;1,"n.a.",SUMIFS(TblPurchases[Purchase Date],TblPurchases[BatchID],TblOutcomes[[#This Row],[BatchID]]))</f>
        <v>45768</v>
      </c>
    </row>
    <row r="953" spans="2:17" x14ac:dyDescent="0.25">
      <c r="B953" s="2" t="s">
        <v>1757</v>
      </c>
      <c r="C953" s="2" t="s">
        <v>153</v>
      </c>
      <c r="D953" s="2" t="s">
        <v>155</v>
      </c>
      <c r="E953" s="2" t="s">
        <v>4646</v>
      </c>
      <c r="F953" s="2">
        <v>20</v>
      </c>
      <c r="G953" s="2">
        <v>12.64</v>
      </c>
      <c r="H953" s="2">
        <v>7.36</v>
      </c>
      <c r="I953" s="1">
        <v>36.799999999999997</v>
      </c>
      <c r="J953" s="26">
        <v>45794</v>
      </c>
      <c r="K953" s="22">
        <v>18960</v>
      </c>
      <c r="L953" s="18">
        <v>20.28</v>
      </c>
      <c r="M953" s="22">
        <v>23000</v>
      </c>
      <c r="N953" s="22">
        <v>-4040</v>
      </c>
      <c r="O953" s="18">
        <v>-4.32</v>
      </c>
      <c r="P953" s="52">
        <f>IF(COUNTIF(TblPurchases[BatchID],TblOutcomes[[#This Row],[BatchID]])&lt;&gt;1,"n.a.",TblOutcomes[[#This Row],[Qty Wasted]]*SUMIFS(TblPurchases[Unit Cost (CLP)],TblPurchases[BatchID],TblOutcomes[[#This Row],[BatchID]]))</f>
        <v>8464</v>
      </c>
      <c r="Q953" s="51">
        <f>IF(COUNTIF(TblPurchases[BatchID],TblOutcomes[[#This Row],[BatchID]])&lt;&gt;1,"n.a.",SUMIFS(TblPurchases[Purchase Date],TblPurchases[BatchID],TblOutcomes[[#This Row],[BatchID]]))</f>
        <v>45774</v>
      </c>
    </row>
    <row r="954" spans="2:17" x14ac:dyDescent="0.25">
      <c r="B954" s="2" t="s">
        <v>1758</v>
      </c>
      <c r="C954" s="2" t="s">
        <v>153</v>
      </c>
      <c r="D954" s="2" t="s">
        <v>155</v>
      </c>
      <c r="E954" s="2" t="s">
        <v>4647</v>
      </c>
      <c r="F954" s="2">
        <v>17</v>
      </c>
      <c r="G954" s="2">
        <v>17</v>
      </c>
      <c r="H954" s="2">
        <v>0</v>
      </c>
      <c r="I954" s="1">
        <v>0</v>
      </c>
      <c r="J954" s="26">
        <v>45789</v>
      </c>
      <c r="K954" s="22">
        <v>25500</v>
      </c>
      <c r="L954" s="18">
        <v>27.27</v>
      </c>
      <c r="M954" s="22">
        <v>19550</v>
      </c>
      <c r="N954" s="22">
        <v>5950</v>
      </c>
      <c r="O954" s="18">
        <v>6.36</v>
      </c>
      <c r="P954" s="52">
        <f>IF(COUNTIF(TblPurchases[BatchID],TblOutcomes[[#This Row],[BatchID]])&lt;&gt;1,"n.a.",TblOutcomes[[#This Row],[Qty Wasted]]*SUMIFS(TblPurchases[Unit Cost (CLP)],TblPurchases[BatchID],TblOutcomes[[#This Row],[BatchID]]))</f>
        <v>0</v>
      </c>
      <c r="Q954" s="51">
        <f>IF(COUNTIF(TblPurchases[BatchID],TblOutcomes[[#This Row],[BatchID]])&lt;&gt;1,"n.a.",SUMIFS(TblPurchases[Purchase Date],TblPurchases[BatchID],TblOutcomes[[#This Row],[BatchID]]))</f>
        <v>45781</v>
      </c>
    </row>
    <row r="955" spans="2:17" x14ac:dyDescent="0.25">
      <c r="B955" s="2" t="s">
        <v>1759</v>
      </c>
      <c r="C955" s="2" t="s">
        <v>153</v>
      </c>
      <c r="D955" s="2" t="s">
        <v>155</v>
      </c>
      <c r="E955" s="2" t="s">
        <v>4647</v>
      </c>
      <c r="F955" s="2">
        <v>21</v>
      </c>
      <c r="G955" s="2">
        <v>21</v>
      </c>
      <c r="H955" s="2">
        <v>0</v>
      </c>
      <c r="I955" s="1">
        <v>0</v>
      </c>
      <c r="J955" s="26">
        <v>45793</v>
      </c>
      <c r="K955" s="22">
        <v>31500</v>
      </c>
      <c r="L955" s="18">
        <v>33.69</v>
      </c>
      <c r="M955" s="22">
        <v>24150</v>
      </c>
      <c r="N955" s="22">
        <v>7350</v>
      </c>
      <c r="O955" s="18">
        <v>7.86</v>
      </c>
      <c r="P955" s="52">
        <f>IF(COUNTIF(TblPurchases[BatchID],TblOutcomes[[#This Row],[BatchID]])&lt;&gt;1,"n.a.",TblOutcomes[[#This Row],[Qty Wasted]]*SUMIFS(TblPurchases[Unit Cost (CLP)],TblPurchases[BatchID],TblOutcomes[[#This Row],[BatchID]]))</f>
        <v>0</v>
      </c>
      <c r="Q955" s="51">
        <f>IF(COUNTIF(TblPurchases[BatchID],TblOutcomes[[#This Row],[BatchID]])&lt;&gt;1,"n.a.",SUMIFS(TblPurchases[Purchase Date],TblPurchases[BatchID],TblOutcomes[[#This Row],[BatchID]]))</f>
        <v>45786</v>
      </c>
    </row>
    <row r="956" spans="2:17" x14ac:dyDescent="0.25">
      <c r="B956" s="2" t="s">
        <v>1760</v>
      </c>
      <c r="C956" s="2" t="s">
        <v>153</v>
      </c>
      <c r="D956" s="2" t="s">
        <v>155</v>
      </c>
      <c r="E956" s="2" t="s">
        <v>4646</v>
      </c>
      <c r="F956" s="2">
        <v>22</v>
      </c>
      <c r="G956" s="2">
        <v>14.52</v>
      </c>
      <c r="H956" s="2">
        <v>7.48</v>
      </c>
      <c r="I956" s="1">
        <v>34</v>
      </c>
      <c r="J956" s="26">
        <v>45815</v>
      </c>
      <c r="K956" s="22">
        <v>21780</v>
      </c>
      <c r="L956" s="18">
        <v>23.29</v>
      </c>
      <c r="M956" s="22">
        <v>25300</v>
      </c>
      <c r="N956" s="22">
        <v>-3520</v>
      </c>
      <c r="O956" s="18">
        <v>-3.76</v>
      </c>
      <c r="P956" s="52">
        <f>IF(COUNTIF(TblPurchases[BatchID],TblOutcomes[[#This Row],[BatchID]])&lt;&gt;1,"n.a.",TblOutcomes[[#This Row],[Qty Wasted]]*SUMIFS(TblPurchases[Unit Cost (CLP)],TblPurchases[BatchID],TblOutcomes[[#This Row],[BatchID]]))</f>
        <v>8602</v>
      </c>
      <c r="Q956" s="51">
        <f>IF(COUNTIF(TblPurchases[BatchID],TblOutcomes[[#This Row],[BatchID]])&lt;&gt;1,"n.a.",SUMIFS(TblPurchases[Purchase Date],TblPurchases[BatchID],TblOutcomes[[#This Row],[BatchID]]))</f>
        <v>45795</v>
      </c>
    </row>
    <row r="957" spans="2:17" x14ac:dyDescent="0.25">
      <c r="B957" s="2" t="s">
        <v>1761</v>
      </c>
      <c r="C957" s="2" t="s">
        <v>153</v>
      </c>
      <c r="D957" s="2" t="s">
        <v>155</v>
      </c>
      <c r="E957" s="2" t="s">
        <v>4646</v>
      </c>
      <c r="F957" s="2">
        <v>18</v>
      </c>
      <c r="G957" s="2">
        <v>14.2</v>
      </c>
      <c r="H957" s="2">
        <v>3.8</v>
      </c>
      <c r="I957" s="1">
        <v>21.1</v>
      </c>
      <c r="J957" s="26">
        <v>45821</v>
      </c>
      <c r="K957" s="22">
        <v>21300</v>
      </c>
      <c r="L957" s="18">
        <v>22.78</v>
      </c>
      <c r="M957" s="22">
        <v>20700</v>
      </c>
      <c r="N957" s="22">
        <v>600</v>
      </c>
      <c r="O957" s="18">
        <v>0.64</v>
      </c>
      <c r="P957" s="52">
        <f>IF(COUNTIF(TblPurchases[BatchID],TblOutcomes[[#This Row],[BatchID]])&lt;&gt;1,"n.a.",TblOutcomes[[#This Row],[Qty Wasted]]*SUMIFS(TblPurchases[Unit Cost (CLP)],TblPurchases[BatchID],TblOutcomes[[#This Row],[BatchID]]))</f>
        <v>4370</v>
      </c>
      <c r="Q957" s="51">
        <f>IF(COUNTIF(TblPurchases[BatchID],TblOutcomes[[#This Row],[BatchID]])&lt;&gt;1,"n.a.",SUMIFS(TblPurchases[Purchase Date],TblPurchases[BatchID],TblOutcomes[[#This Row],[BatchID]]))</f>
        <v>45801</v>
      </c>
    </row>
    <row r="958" spans="2:17" x14ac:dyDescent="0.25">
      <c r="B958" s="2" t="s">
        <v>1762</v>
      </c>
      <c r="C958" s="2" t="s">
        <v>153</v>
      </c>
      <c r="D958" s="2" t="s">
        <v>155</v>
      </c>
      <c r="E958" s="2" t="s">
        <v>4646</v>
      </c>
      <c r="F958" s="2">
        <v>19</v>
      </c>
      <c r="G958" s="2">
        <v>15.24</v>
      </c>
      <c r="H958" s="2">
        <v>3.76</v>
      </c>
      <c r="I958" s="1">
        <v>19.8</v>
      </c>
      <c r="J958" s="26">
        <v>45828</v>
      </c>
      <c r="K958" s="22">
        <v>22860</v>
      </c>
      <c r="L958" s="18">
        <v>24.45</v>
      </c>
      <c r="M958" s="22">
        <v>21850</v>
      </c>
      <c r="N958" s="22">
        <v>1010</v>
      </c>
      <c r="O958" s="18">
        <v>1.08</v>
      </c>
      <c r="P958" s="52">
        <f>IF(COUNTIF(TblPurchases[BatchID],TblOutcomes[[#This Row],[BatchID]])&lt;&gt;1,"n.a.",TblOutcomes[[#This Row],[Qty Wasted]]*SUMIFS(TblPurchases[Unit Cost (CLP)],TblPurchases[BatchID],TblOutcomes[[#This Row],[BatchID]]))</f>
        <v>4324</v>
      </c>
      <c r="Q958" s="51">
        <f>IF(COUNTIF(TblPurchases[BatchID],TblOutcomes[[#This Row],[BatchID]])&lt;&gt;1,"n.a.",SUMIFS(TblPurchases[Purchase Date],TblPurchases[BatchID],TblOutcomes[[#This Row],[BatchID]]))</f>
        <v>45808</v>
      </c>
    </row>
    <row r="959" spans="2:17" x14ac:dyDescent="0.25">
      <c r="B959" s="2" t="s">
        <v>1763</v>
      </c>
      <c r="C959" s="2" t="s">
        <v>153</v>
      </c>
      <c r="D959" s="2" t="s">
        <v>155</v>
      </c>
      <c r="E959" s="2" t="s">
        <v>4646</v>
      </c>
      <c r="F959" s="2">
        <v>21</v>
      </c>
      <c r="G959" s="2">
        <v>16.82</v>
      </c>
      <c r="H959" s="2">
        <v>4.18</v>
      </c>
      <c r="I959" s="1">
        <v>19.899999999999999</v>
      </c>
      <c r="J959" s="26">
        <v>45834</v>
      </c>
      <c r="K959" s="22">
        <v>25230</v>
      </c>
      <c r="L959" s="18">
        <v>26.98</v>
      </c>
      <c r="M959" s="22">
        <v>24150</v>
      </c>
      <c r="N959" s="22">
        <v>1080</v>
      </c>
      <c r="O959" s="18">
        <v>1.1599999999999999</v>
      </c>
      <c r="P959" s="52">
        <f>IF(COUNTIF(TblPurchases[BatchID],TblOutcomes[[#This Row],[BatchID]])&lt;&gt;1,"n.a.",TblOutcomes[[#This Row],[Qty Wasted]]*SUMIFS(TblPurchases[Unit Cost (CLP)],TblPurchases[BatchID],TblOutcomes[[#This Row],[BatchID]]))</f>
        <v>4807</v>
      </c>
      <c r="Q959" s="51">
        <f>IF(COUNTIF(TblPurchases[BatchID],TblOutcomes[[#This Row],[BatchID]])&lt;&gt;1,"n.a.",SUMIFS(TblPurchases[Purchase Date],TblPurchases[BatchID],TblOutcomes[[#This Row],[BatchID]]))</f>
        <v>45814</v>
      </c>
    </row>
    <row r="960" spans="2:17" x14ac:dyDescent="0.25">
      <c r="B960" s="2" t="s">
        <v>1764</v>
      </c>
      <c r="C960" s="2" t="s">
        <v>153</v>
      </c>
      <c r="D960" s="2" t="s">
        <v>155</v>
      </c>
      <c r="E960" s="2" t="s">
        <v>4646</v>
      </c>
      <c r="F960" s="2">
        <v>17</v>
      </c>
      <c r="G960" s="2">
        <v>12.95</v>
      </c>
      <c r="H960" s="2">
        <v>4.05</v>
      </c>
      <c r="I960" s="1">
        <v>23.8</v>
      </c>
      <c r="J960" s="26">
        <v>45840</v>
      </c>
      <c r="K960" s="22">
        <v>19425</v>
      </c>
      <c r="L960" s="18">
        <v>20.78</v>
      </c>
      <c r="M960" s="22">
        <v>19550</v>
      </c>
      <c r="N960" s="22">
        <v>-125</v>
      </c>
      <c r="O960" s="18">
        <v>-0.13</v>
      </c>
      <c r="P960" s="52">
        <f>IF(COUNTIF(TblPurchases[BatchID],TblOutcomes[[#This Row],[BatchID]])&lt;&gt;1,"n.a.",TblOutcomes[[#This Row],[Qty Wasted]]*SUMIFS(TblPurchases[Unit Cost (CLP)],TblPurchases[BatchID],TblOutcomes[[#This Row],[BatchID]]))</f>
        <v>4657.5</v>
      </c>
      <c r="Q960" s="51">
        <f>IF(COUNTIF(TblPurchases[BatchID],TblOutcomes[[#This Row],[BatchID]])&lt;&gt;1,"n.a.",SUMIFS(TblPurchases[Purchase Date],TblPurchases[BatchID],TblOutcomes[[#This Row],[BatchID]]))</f>
        <v>45820</v>
      </c>
    </row>
    <row r="961" spans="2:17" x14ac:dyDescent="0.25">
      <c r="B961" s="2" t="s">
        <v>1765</v>
      </c>
      <c r="C961" s="2" t="s">
        <v>153</v>
      </c>
      <c r="D961" s="2" t="s">
        <v>155</v>
      </c>
      <c r="E961" s="2" t="s">
        <v>4646</v>
      </c>
      <c r="F961" s="2">
        <v>21</v>
      </c>
      <c r="G961" s="2">
        <v>12.96</v>
      </c>
      <c r="H961" s="2">
        <v>8.0399999999999991</v>
      </c>
      <c r="I961" s="1">
        <v>38.299999999999997</v>
      </c>
      <c r="J961" s="26">
        <v>45845</v>
      </c>
      <c r="K961" s="22">
        <v>19440</v>
      </c>
      <c r="L961" s="18">
        <v>20.79</v>
      </c>
      <c r="M961" s="22">
        <v>24150</v>
      </c>
      <c r="N961" s="22">
        <v>-4710</v>
      </c>
      <c r="O961" s="18">
        <v>-5.04</v>
      </c>
      <c r="P961" s="52">
        <f>IF(COUNTIF(TblPurchases[BatchID],TblOutcomes[[#This Row],[BatchID]])&lt;&gt;1,"n.a.",TblOutcomes[[#This Row],[Qty Wasted]]*SUMIFS(TblPurchases[Unit Cost (CLP)],TblPurchases[BatchID],TblOutcomes[[#This Row],[BatchID]]))</f>
        <v>9245.9999999999982</v>
      </c>
      <c r="Q961" s="51">
        <f>IF(COUNTIF(TblPurchases[BatchID],TblOutcomes[[#This Row],[BatchID]])&lt;&gt;1,"n.a.",SUMIFS(TblPurchases[Purchase Date],TblPurchases[BatchID],TblOutcomes[[#This Row],[BatchID]]))</f>
        <v>45825</v>
      </c>
    </row>
    <row r="962" spans="2:17" x14ac:dyDescent="0.25">
      <c r="B962" s="2" t="s">
        <v>1766</v>
      </c>
      <c r="C962" s="2" t="s">
        <v>153</v>
      </c>
      <c r="D962" s="2" t="s">
        <v>155</v>
      </c>
      <c r="E962" s="2" t="s">
        <v>4646</v>
      </c>
      <c r="F962" s="2">
        <v>17</v>
      </c>
      <c r="G962" s="2">
        <v>11.58</v>
      </c>
      <c r="H962" s="2">
        <v>5.42</v>
      </c>
      <c r="I962" s="1">
        <v>31.9</v>
      </c>
      <c r="J962" s="26">
        <v>45851</v>
      </c>
      <c r="K962" s="22">
        <v>17370</v>
      </c>
      <c r="L962" s="18">
        <v>18.579999999999998</v>
      </c>
      <c r="M962" s="22">
        <v>19550</v>
      </c>
      <c r="N962" s="22">
        <v>-2180</v>
      </c>
      <c r="O962" s="18">
        <v>-2.33</v>
      </c>
      <c r="P962" s="52">
        <f>IF(COUNTIF(TblPurchases[BatchID],TblOutcomes[[#This Row],[BatchID]])&lt;&gt;1,"n.a.",TblOutcomes[[#This Row],[Qty Wasted]]*SUMIFS(TblPurchases[Unit Cost (CLP)],TblPurchases[BatchID],TblOutcomes[[#This Row],[BatchID]]))</f>
        <v>6233</v>
      </c>
      <c r="Q962" s="51">
        <f>IF(COUNTIF(TblPurchases[BatchID],TblOutcomes[[#This Row],[BatchID]])&lt;&gt;1,"n.a.",SUMIFS(TblPurchases[Purchase Date],TblPurchases[BatchID],TblOutcomes[[#This Row],[BatchID]]))</f>
        <v>45831</v>
      </c>
    </row>
    <row r="963" spans="2:17" x14ac:dyDescent="0.25">
      <c r="B963" s="2" t="s">
        <v>1767</v>
      </c>
      <c r="C963" s="2" t="s">
        <v>153</v>
      </c>
      <c r="D963" s="2" t="s">
        <v>155</v>
      </c>
      <c r="E963" s="2" t="s">
        <v>4647</v>
      </c>
      <c r="F963" s="2">
        <v>18</v>
      </c>
      <c r="G963" s="2">
        <v>18</v>
      </c>
      <c r="H963" s="2">
        <v>0</v>
      </c>
      <c r="I963" s="1">
        <v>0</v>
      </c>
      <c r="J963" s="26">
        <v>45843</v>
      </c>
      <c r="K963" s="22">
        <v>27000</v>
      </c>
      <c r="L963" s="18">
        <v>28.88</v>
      </c>
      <c r="M963" s="22">
        <v>20700</v>
      </c>
      <c r="N963" s="22">
        <v>6300</v>
      </c>
      <c r="O963" s="18">
        <v>6.74</v>
      </c>
      <c r="P963" s="52">
        <f>IF(COUNTIF(TblPurchases[BatchID],TblOutcomes[[#This Row],[BatchID]])&lt;&gt;1,"n.a.",TblOutcomes[[#This Row],[Qty Wasted]]*SUMIFS(TblPurchases[Unit Cost (CLP)],TblPurchases[BatchID],TblOutcomes[[#This Row],[BatchID]]))</f>
        <v>0</v>
      </c>
      <c r="Q963" s="51">
        <f>IF(COUNTIF(TblPurchases[BatchID],TblOutcomes[[#This Row],[BatchID]])&lt;&gt;1,"n.a.",SUMIFS(TblPurchases[Purchase Date],TblPurchases[BatchID],TblOutcomes[[#This Row],[BatchID]]))</f>
        <v>45838</v>
      </c>
    </row>
    <row r="964" spans="2:17" x14ac:dyDescent="0.25">
      <c r="B964" s="2" t="s">
        <v>1768</v>
      </c>
      <c r="C964" s="2" t="s">
        <v>156</v>
      </c>
      <c r="D964" s="2" t="s">
        <v>155</v>
      </c>
      <c r="E964" s="2" t="s">
        <v>4646</v>
      </c>
      <c r="F964" s="2">
        <v>18</v>
      </c>
      <c r="G964" s="2">
        <v>12.08</v>
      </c>
      <c r="H964" s="2">
        <v>5.92</v>
      </c>
      <c r="I964" s="1">
        <v>32.9</v>
      </c>
      <c r="J964" s="26">
        <v>45133</v>
      </c>
      <c r="K964" s="22">
        <v>18120</v>
      </c>
      <c r="L964" s="18">
        <v>19.38</v>
      </c>
      <c r="M964" s="22">
        <v>18900</v>
      </c>
      <c r="N964" s="22">
        <v>-780</v>
      </c>
      <c r="O964" s="18">
        <v>-0.83</v>
      </c>
      <c r="P964" s="52">
        <f>IF(COUNTIF(TblPurchases[BatchID],TblOutcomes[[#This Row],[BatchID]])&lt;&gt;1,"n.a.",TblOutcomes[[#This Row],[Qty Wasted]]*SUMIFS(TblPurchases[Unit Cost (CLP)],TblPurchases[BatchID],TblOutcomes[[#This Row],[BatchID]]))</f>
        <v>6216</v>
      </c>
      <c r="Q964" s="51">
        <f>IF(COUNTIF(TblPurchases[BatchID],TblOutcomes[[#This Row],[BatchID]])&lt;&gt;1,"n.a.",SUMIFS(TblPurchases[Purchase Date],TblPurchases[BatchID],TblOutcomes[[#This Row],[BatchID]]))</f>
        <v>45113</v>
      </c>
    </row>
    <row r="965" spans="2:17" x14ac:dyDescent="0.25">
      <c r="B965" s="2" t="s">
        <v>1769</v>
      </c>
      <c r="C965" s="2" t="s">
        <v>156</v>
      </c>
      <c r="D965" s="2" t="s">
        <v>155</v>
      </c>
      <c r="E965" s="2" t="s">
        <v>4646</v>
      </c>
      <c r="F965" s="2">
        <v>16</v>
      </c>
      <c r="G965" s="2">
        <v>12.74</v>
      </c>
      <c r="H965" s="2">
        <v>3.26</v>
      </c>
      <c r="I965" s="1">
        <v>20.399999999999999</v>
      </c>
      <c r="J965" s="26">
        <v>45139</v>
      </c>
      <c r="K965" s="22">
        <v>19110</v>
      </c>
      <c r="L965" s="18">
        <v>20.440000000000001</v>
      </c>
      <c r="M965" s="22">
        <v>19200</v>
      </c>
      <c r="N965" s="22">
        <v>-90</v>
      </c>
      <c r="O965" s="18">
        <v>-0.1</v>
      </c>
      <c r="P965" s="52">
        <f>IF(COUNTIF(TblPurchases[BatchID],TblOutcomes[[#This Row],[BatchID]])&lt;&gt;1,"n.a.",TblOutcomes[[#This Row],[Qty Wasted]]*SUMIFS(TblPurchases[Unit Cost (CLP)],TblPurchases[BatchID],TblOutcomes[[#This Row],[BatchID]]))</f>
        <v>3911.9999999999995</v>
      </c>
      <c r="Q965" s="51">
        <f>IF(COUNTIF(TblPurchases[BatchID],TblOutcomes[[#This Row],[BatchID]])&lt;&gt;1,"n.a.",SUMIFS(TblPurchases[Purchase Date],TblPurchases[BatchID],TblOutcomes[[#This Row],[BatchID]]))</f>
        <v>45119</v>
      </c>
    </row>
    <row r="966" spans="2:17" x14ac:dyDescent="0.25">
      <c r="B966" s="2" t="s">
        <v>1770</v>
      </c>
      <c r="C966" s="2" t="s">
        <v>156</v>
      </c>
      <c r="D966" s="2" t="s">
        <v>155</v>
      </c>
      <c r="E966" s="2" t="s">
        <v>4646</v>
      </c>
      <c r="F966" s="2">
        <v>21</v>
      </c>
      <c r="G966" s="2">
        <v>16.3</v>
      </c>
      <c r="H966" s="2">
        <v>4.7</v>
      </c>
      <c r="I966" s="1">
        <v>22.4</v>
      </c>
      <c r="J966" s="26">
        <v>45145</v>
      </c>
      <c r="K966" s="22">
        <v>24450</v>
      </c>
      <c r="L966" s="18">
        <v>26.15</v>
      </c>
      <c r="M966" s="22">
        <v>25200</v>
      </c>
      <c r="N966" s="22">
        <v>-750</v>
      </c>
      <c r="O966" s="18">
        <v>-0.8</v>
      </c>
      <c r="P966" s="52">
        <f>IF(COUNTIF(TblPurchases[BatchID],TblOutcomes[[#This Row],[BatchID]])&lt;&gt;1,"n.a.",TblOutcomes[[#This Row],[Qty Wasted]]*SUMIFS(TblPurchases[Unit Cost (CLP)],TblPurchases[BatchID],TblOutcomes[[#This Row],[BatchID]]))</f>
        <v>5640</v>
      </c>
      <c r="Q966" s="51">
        <f>IF(COUNTIF(TblPurchases[BatchID],TblOutcomes[[#This Row],[BatchID]])&lt;&gt;1,"n.a.",SUMIFS(TblPurchases[Purchase Date],TblPurchases[BatchID],TblOutcomes[[#This Row],[BatchID]]))</f>
        <v>45125</v>
      </c>
    </row>
    <row r="967" spans="2:17" x14ac:dyDescent="0.25">
      <c r="B967" s="2" t="s">
        <v>1771</v>
      </c>
      <c r="C967" s="2" t="s">
        <v>156</v>
      </c>
      <c r="D967" s="2" t="s">
        <v>155</v>
      </c>
      <c r="E967" s="2" t="s">
        <v>4646</v>
      </c>
      <c r="F967" s="2">
        <v>18</v>
      </c>
      <c r="G967" s="2">
        <v>13.86</v>
      </c>
      <c r="H967" s="2">
        <v>4.1399999999999997</v>
      </c>
      <c r="I967" s="1">
        <v>23</v>
      </c>
      <c r="J967" s="26">
        <v>45152</v>
      </c>
      <c r="K967" s="22">
        <v>20790</v>
      </c>
      <c r="L967" s="18">
        <v>22.24</v>
      </c>
      <c r="M967" s="22">
        <v>18900</v>
      </c>
      <c r="N967" s="22">
        <v>1890</v>
      </c>
      <c r="O967" s="18">
        <v>2.02</v>
      </c>
      <c r="P967" s="52">
        <f>IF(COUNTIF(TblPurchases[BatchID],TblOutcomes[[#This Row],[BatchID]])&lt;&gt;1,"n.a.",TblOutcomes[[#This Row],[Qty Wasted]]*SUMIFS(TblPurchases[Unit Cost (CLP)],TblPurchases[BatchID],TblOutcomes[[#This Row],[BatchID]]))</f>
        <v>4347</v>
      </c>
      <c r="Q967" s="51">
        <f>IF(COUNTIF(TblPurchases[BatchID],TblOutcomes[[#This Row],[BatchID]])&lt;&gt;1,"n.a.",SUMIFS(TblPurchases[Purchase Date],TblPurchases[BatchID],TblOutcomes[[#This Row],[BatchID]]))</f>
        <v>45132</v>
      </c>
    </row>
    <row r="968" spans="2:17" x14ac:dyDescent="0.25">
      <c r="B968" s="2" t="s">
        <v>1772</v>
      </c>
      <c r="C968" s="2" t="s">
        <v>156</v>
      </c>
      <c r="D968" s="2" t="s">
        <v>155</v>
      </c>
      <c r="E968" s="2" t="s">
        <v>4647</v>
      </c>
      <c r="F968" s="2">
        <v>17</v>
      </c>
      <c r="G968" s="2">
        <v>17</v>
      </c>
      <c r="H968" s="2">
        <v>0</v>
      </c>
      <c r="I968" s="1">
        <v>0</v>
      </c>
      <c r="J968" s="26">
        <v>45142</v>
      </c>
      <c r="K968" s="22">
        <v>25500</v>
      </c>
      <c r="L968" s="18">
        <v>27.27</v>
      </c>
      <c r="M968" s="22">
        <v>17850</v>
      </c>
      <c r="N968" s="22">
        <v>7650</v>
      </c>
      <c r="O968" s="18">
        <v>8.18</v>
      </c>
      <c r="P968" s="52">
        <f>IF(COUNTIF(TblPurchases[BatchID],TblOutcomes[[#This Row],[BatchID]])&lt;&gt;1,"n.a.",TblOutcomes[[#This Row],[Qty Wasted]]*SUMIFS(TblPurchases[Unit Cost (CLP)],TblPurchases[BatchID],TblOutcomes[[#This Row],[BatchID]]))</f>
        <v>0</v>
      </c>
      <c r="Q968" s="51">
        <f>IF(COUNTIF(TblPurchases[BatchID],TblOutcomes[[#This Row],[BatchID]])&lt;&gt;1,"n.a.",SUMIFS(TblPurchases[Purchase Date],TblPurchases[BatchID],TblOutcomes[[#This Row],[BatchID]]))</f>
        <v>45139</v>
      </c>
    </row>
    <row r="969" spans="2:17" x14ac:dyDescent="0.25">
      <c r="B969" s="2" t="s">
        <v>1773</v>
      </c>
      <c r="C969" s="2" t="s">
        <v>156</v>
      </c>
      <c r="D969" s="2" t="s">
        <v>155</v>
      </c>
      <c r="E969" s="2" t="s">
        <v>4647</v>
      </c>
      <c r="F969" s="2">
        <v>19</v>
      </c>
      <c r="G969" s="2">
        <v>19</v>
      </c>
      <c r="H969" s="2">
        <v>0</v>
      </c>
      <c r="I969" s="1">
        <v>0</v>
      </c>
      <c r="J969" s="26">
        <v>45147</v>
      </c>
      <c r="K969" s="22">
        <v>28500</v>
      </c>
      <c r="L969" s="18">
        <v>30.48</v>
      </c>
      <c r="M969" s="22">
        <v>19950</v>
      </c>
      <c r="N969" s="22">
        <v>8550</v>
      </c>
      <c r="O969" s="18">
        <v>9.14</v>
      </c>
      <c r="P969" s="52">
        <f>IF(COUNTIF(TblPurchases[BatchID],TblOutcomes[[#This Row],[BatchID]])&lt;&gt;1,"n.a.",TblOutcomes[[#This Row],[Qty Wasted]]*SUMIFS(TblPurchases[Unit Cost (CLP)],TblPurchases[BatchID],TblOutcomes[[#This Row],[BatchID]]))</f>
        <v>0</v>
      </c>
      <c r="Q969" s="51">
        <f>IF(COUNTIF(TblPurchases[BatchID],TblOutcomes[[#This Row],[BatchID]])&lt;&gt;1,"n.a.",SUMIFS(TblPurchases[Purchase Date],TblPurchases[BatchID],TblOutcomes[[#This Row],[BatchID]]))</f>
        <v>45144</v>
      </c>
    </row>
    <row r="970" spans="2:17" x14ac:dyDescent="0.25">
      <c r="B970" s="2" t="s">
        <v>1774</v>
      </c>
      <c r="C970" s="2" t="s">
        <v>156</v>
      </c>
      <c r="D970" s="2" t="s">
        <v>155</v>
      </c>
      <c r="E970" s="2" t="s">
        <v>4647</v>
      </c>
      <c r="F970" s="2">
        <v>20</v>
      </c>
      <c r="G970" s="2">
        <v>20</v>
      </c>
      <c r="H970" s="2">
        <v>0</v>
      </c>
      <c r="I970" s="1">
        <v>0</v>
      </c>
      <c r="J970" s="26">
        <v>45156</v>
      </c>
      <c r="K970" s="22">
        <v>30000</v>
      </c>
      <c r="L970" s="18">
        <v>32.090000000000003</v>
      </c>
      <c r="M970" s="22">
        <v>21000</v>
      </c>
      <c r="N970" s="22">
        <v>9000</v>
      </c>
      <c r="O970" s="18">
        <v>9.6300000000000008</v>
      </c>
      <c r="P970" s="52">
        <f>IF(COUNTIF(TblPurchases[BatchID],TblOutcomes[[#This Row],[BatchID]])&lt;&gt;1,"n.a.",TblOutcomes[[#This Row],[Qty Wasted]]*SUMIFS(TblPurchases[Unit Cost (CLP)],TblPurchases[BatchID],TblOutcomes[[#This Row],[BatchID]]))</f>
        <v>0</v>
      </c>
      <c r="Q970" s="51">
        <f>IF(COUNTIF(TblPurchases[BatchID],TblOutcomes[[#This Row],[BatchID]])&lt;&gt;1,"n.a.",SUMIFS(TblPurchases[Purchase Date],TblPurchases[BatchID],TblOutcomes[[#This Row],[BatchID]]))</f>
        <v>45151</v>
      </c>
    </row>
    <row r="971" spans="2:17" x14ac:dyDescent="0.25">
      <c r="B971" s="2" t="s">
        <v>1775</v>
      </c>
      <c r="C971" s="2" t="s">
        <v>156</v>
      </c>
      <c r="D971" s="2" t="s">
        <v>155</v>
      </c>
      <c r="E971" s="2" t="s">
        <v>4646</v>
      </c>
      <c r="F971" s="2">
        <v>20</v>
      </c>
      <c r="G971" s="2">
        <v>12</v>
      </c>
      <c r="H971" s="2">
        <v>8</v>
      </c>
      <c r="I971" s="1">
        <v>40</v>
      </c>
      <c r="J971" s="26">
        <v>45178</v>
      </c>
      <c r="K971" s="22">
        <v>18000</v>
      </c>
      <c r="L971" s="18">
        <v>19.25</v>
      </c>
      <c r="M971" s="22">
        <v>21000</v>
      </c>
      <c r="N971" s="22">
        <v>-3000</v>
      </c>
      <c r="O971" s="18">
        <v>-3.21</v>
      </c>
      <c r="P971" s="52">
        <f>IF(COUNTIF(TblPurchases[BatchID],TblOutcomes[[#This Row],[BatchID]])&lt;&gt;1,"n.a.",TblOutcomes[[#This Row],[Qty Wasted]]*SUMIFS(TblPurchases[Unit Cost (CLP)],TblPurchases[BatchID],TblOutcomes[[#This Row],[BatchID]]))</f>
        <v>8400</v>
      </c>
      <c r="Q971" s="51">
        <f>IF(COUNTIF(TblPurchases[BatchID],TblOutcomes[[#This Row],[BatchID]])&lt;&gt;1,"n.a.",SUMIFS(TblPurchases[Purchase Date],TblPurchases[BatchID],TblOutcomes[[#This Row],[BatchID]]))</f>
        <v>45158</v>
      </c>
    </row>
    <row r="972" spans="2:17" x14ac:dyDescent="0.25">
      <c r="B972" s="2" t="s">
        <v>1776</v>
      </c>
      <c r="C972" s="2" t="s">
        <v>156</v>
      </c>
      <c r="D972" s="2" t="s">
        <v>155</v>
      </c>
      <c r="E972" s="2" t="s">
        <v>4647</v>
      </c>
      <c r="F972" s="2">
        <v>19</v>
      </c>
      <c r="G972" s="2">
        <v>19</v>
      </c>
      <c r="H972" s="2">
        <v>0</v>
      </c>
      <c r="I972" s="1">
        <v>0</v>
      </c>
      <c r="J972" s="26">
        <v>45183</v>
      </c>
      <c r="K972" s="22">
        <v>28500</v>
      </c>
      <c r="L972" s="18">
        <v>30.48</v>
      </c>
      <c r="M972" s="22">
        <v>19950</v>
      </c>
      <c r="N972" s="22">
        <v>8550</v>
      </c>
      <c r="O972" s="18">
        <v>9.14</v>
      </c>
      <c r="P972" s="52">
        <f>IF(COUNTIF(TblPurchases[BatchID],TblOutcomes[[#This Row],[BatchID]])&lt;&gt;1,"n.a.",TblOutcomes[[#This Row],[Qty Wasted]]*SUMIFS(TblPurchases[Unit Cost (CLP)],TblPurchases[BatchID],TblOutcomes[[#This Row],[BatchID]]))</f>
        <v>0</v>
      </c>
      <c r="Q972" s="51">
        <f>IF(COUNTIF(TblPurchases[BatchID],TblOutcomes[[#This Row],[BatchID]])&lt;&gt;1,"n.a.",SUMIFS(TblPurchases[Purchase Date],TblPurchases[BatchID],TblOutcomes[[#This Row],[BatchID]]))</f>
        <v>45163</v>
      </c>
    </row>
    <row r="973" spans="2:17" x14ac:dyDescent="0.25">
      <c r="B973" s="2" t="s">
        <v>1777</v>
      </c>
      <c r="C973" s="2" t="s">
        <v>156</v>
      </c>
      <c r="D973" s="2" t="s">
        <v>155</v>
      </c>
      <c r="E973" s="2" t="s">
        <v>4646</v>
      </c>
      <c r="F973" s="2">
        <v>21</v>
      </c>
      <c r="G973" s="2">
        <v>20.22</v>
      </c>
      <c r="H973" s="2">
        <v>0.78</v>
      </c>
      <c r="I973" s="1">
        <v>3.7</v>
      </c>
      <c r="J973" s="26">
        <v>45192</v>
      </c>
      <c r="K973" s="22">
        <v>30330</v>
      </c>
      <c r="L973" s="18">
        <v>32.44</v>
      </c>
      <c r="M973" s="22">
        <v>22050</v>
      </c>
      <c r="N973" s="22">
        <v>8280</v>
      </c>
      <c r="O973" s="18">
        <v>8.86</v>
      </c>
      <c r="P973" s="52">
        <f>IF(COUNTIF(TblPurchases[BatchID],TblOutcomes[[#This Row],[BatchID]])&lt;&gt;1,"n.a.",TblOutcomes[[#This Row],[Qty Wasted]]*SUMIFS(TblPurchases[Unit Cost (CLP)],TblPurchases[BatchID],TblOutcomes[[#This Row],[BatchID]]))</f>
        <v>819</v>
      </c>
      <c r="Q973" s="51">
        <f>IF(COUNTIF(TblPurchases[BatchID],TblOutcomes[[#This Row],[BatchID]])&lt;&gt;1,"n.a.",SUMIFS(TblPurchases[Purchase Date],TblPurchases[BatchID],TblOutcomes[[#This Row],[BatchID]]))</f>
        <v>45172</v>
      </c>
    </row>
    <row r="974" spans="2:17" x14ac:dyDescent="0.25">
      <c r="B974" s="2" t="s">
        <v>1778</v>
      </c>
      <c r="C974" s="2" t="s">
        <v>156</v>
      </c>
      <c r="D974" s="2" t="s">
        <v>155</v>
      </c>
      <c r="E974" s="2" t="s">
        <v>4646</v>
      </c>
      <c r="F974" s="2">
        <v>23</v>
      </c>
      <c r="G974" s="2">
        <v>22.1</v>
      </c>
      <c r="H974" s="2">
        <v>0.9</v>
      </c>
      <c r="I974" s="1">
        <v>3.9</v>
      </c>
      <c r="J974" s="26">
        <v>45200</v>
      </c>
      <c r="K974" s="22">
        <v>33150</v>
      </c>
      <c r="L974" s="18">
        <v>35.450000000000003</v>
      </c>
      <c r="M974" s="22">
        <v>27600</v>
      </c>
      <c r="N974" s="22">
        <v>5550</v>
      </c>
      <c r="O974" s="18">
        <v>5.94</v>
      </c>
      <c r="P974" s="52">
        <f>IF(COUNTIF(TblPurchases[BatchID],TblOutcomes[[#This Row],[BatchID]])&lt;&gt;1,"n.a.",TblOutcomes[[#This Row],[Qty Wasted]]*SUMIFS(TblPurchases[Unit Cost (CLP)],TblPurchases[BatchID],TblOutcomes[[#This Row],[BatchID]]))</f>
        <v>1080</v>
      </c>
      <c r="Q974" s="51">
        <f>IF(COUNTIF(TblPurchases[BatchID],TblOutcomes[[#This Row],[BatchID]])&lt;&gt;1,"n.a.",SUMIFS(TblPurchases[Purchase Date],TblPurchases[BatchID],TblOutcomes[[#This Row],[BatchID]]))</f>
        <v>45180</v>
      </c>
    </row>
    <row r="975" spans="2:17" x14ac:dyDescent="0.25">
      <c r="B975" s="2" t="s">
        <v>1779</v>
      </c>
      <c r="C975" s="2" t="s">
        <v>156</v>
      </c>
      <c r="D975" s="2" t="s">
        <v>155</v>
      </c>
      <c r="E975" s="2" t="s">
        <v>4646</v>
      </c>
      <c r="F975" s="2">
        <v>24</v>
      </c>
      <c r="G975" s="2">
        <v>19.27</v>
      </c>
      <c r="H975" s="2">
        <v>4.7300000000000004</v>
      </c>
      <c r="I975" s="1">
        <v>19.7</v>
      </c>
      <c r="J975" s="26">
        <v>45205</v>
      </c>
      <c r="K975" s="22">
        <v>28905</v>
      </c>
      <c r="L975" s="18">
        <v>30.91</v>
      </c>
      <c r="M975" s="22">
        <v>25200</v>
      </c>
      <c r="N975" s="22">
        <v>3705</v>
      </c>
      <c r="O975" s="18">
        <v>3.96</v>
      </c>
      <c r="P975" s="52">
        <f>IF(COUNTIF(TblPurchases[BatchID],TblOutcomes[[#This Row],[BatchID]])&lt;&gt;1,"n.a.",TblOutcomes[[#This Row],[Qty Wasted]]*SUMIFS(TblPurchases[Unit Cost (CLP)],TblPurchases[BatchID],TblOutcomes[[#This Row],[BatchID]]))</f>
        <v>4966.5</v>
      </c>
      <c r="Q975" s="51">
        <f>IF(COUNTIF(TblPurchases[BatchID],TblOutcomes[[#This Row],[BatchID]])&lt;&gt;1,"n.a.",SUMIFS(TblPurchases[Purchase Date],TblPurchases[BatchID],TblOutcomes[[#This Row],[BatchID]]))</f>
        <v>45185</v>
      </c>
    </row>
    <row r="976" spans="2:17" x14ac:dyDescent="0.25">
      <c r="B976" s="2" t="s">
        <v>1780</v>
      </c>
      <c r="C976" s="2" t="s">
        <v>156</v>
      </c>
      <c r="D976" s="2" t="s">
        <v>155</v>
      </c>
      <c r="E976" s="2" t="s">
        <v>4646</v>
      </c>
      <c r="F976" s="2">
        <v>20</v>
      </c>
      <c r="G976" s="2">
        <v>15.94</v>
      </c>
      <c r="H976" s="2">
        <v>4.0599999999999996</v>
      </c>
      <c r="I976" s="1">
        <v>20.3</v>
      </c>
      <c r="J976" s="26">
        <v>45211</v>
      </c>
      <c r="K976" s="22">
        <v>23910</v>
      </c>
      <c r="L976" s="18">
        <v>25.57</v>
      </c>
      <c r="M976" s="22">
        <v>21000</v>
      </c>
      <c r="N976" s="22">
        <v>2910</v>
      </c>
      <c r="O976" s="18">
        <v>3.11</v>
      </c>
      <c r="P976" s="52">
        <f>IF(COUNTIF(TblPurchases[BatchID],TblOutcomes[[#This Row],[BatchID]])&lt;&gt;1,"n.a.",TblOutcomes[[#This Row],[Qty Wasted]]*SUMIFS(TblPurchases[Unit Cost (CLP)],TblPurchases[BatchID],TblOutcomes[[#This Row],[BatchID]]))</f>
        <v>4263</v>
      </c>
      <c r="Q976" s="51">
        <f>IF(COUNTIF(TblPurchases[BatchID],TblOutcomes[[#This Row],[BatchID]])&lt;&gt;1,"n.a.",SUMIFS(TblPurchases[Purchase Date],TblPurchases[BatchID],TblOutcomes[[#This Row],[BatchID]]))</f>
        <v>45191</v>
      </c>
    </row>
    <row r="977" spans="2:17" x14ac:dyDescent="0.25">
      <c r="B977" s="2" t="s">
        <v>1781</v>
      </c>
      <c r="C977" s="2" t="s">
        <v>156</v>
      </c>
      <c r="D977" s="2" t="s">
        <v>155</v>
      </c>
      <c r="E977" s="2" t="s">
        <v>4646</v>
      </c>
      <c r="F977" s="2">
        <v>21</v>
      </c>
      <c r="G977" s="2">
        <v>15.69</v>
      </c>
      <c r="H977" s="2">
        <v>5.31</v>
      </c>
      <c r="I977" s="1">
        <v>25.3</v>
      </c>
      <c r="J977" s="26">
        <v>45216</v>
      </c>
      <c r="K977" s="22">
        <v>23535</v>
      </c>
      <c r="L977" s="18">
        <v>25.17</v>
      </c>
      <c r="M977" s="22">
        <v>22050</v>
      </c>
      <c r="N977" s="22">
        <v>1485</v>
      </c>
      <c r="O977" s="18">
        <v>1.59</v>
      </c>
      <c r="P977" s="52">
        <f>IF(COUNTIF(TblPurchases[BatchID],TblOutcomes[[#This Row],[BatchID]])&lt;&gt;1,"n.a.",TblOutcomes[[#This Row],[Qty Wasted]]*SUMIFS(TblPurchases[Unit Cost (CLP)],TblPurchases[BatchID],TblOutcomes[[#This Row],[BatchID]]))</f>
        <v>5575.5</v>
      </c>
      <c r="Q977" s="51">
        <f>IF(COUNTIF(TblPurchases[BatchID],TblOutcomes[[#This Row],[BatchID]])&lt;&gt;1,"n.a.",SUMIFS(TblPurchases[Purchase Date],TblPurchases[BatchID],TblOutcomes[[#This Row],[BatchID]]))</f>
        <v>45196</v>
      </c>
    </row>
    <row r="978" spans="2:17" x14ac:dyDescent="0.25">
      <c r="B978" s="2" t="s">
        <v>1782</v>
      </c>
      <c r="C978" s="2" t="s">
        <v>156</v>
      </c>
      <c r="D978" s="2" t="s">
        <v>155</v>
      </c>
      <c r="E978" s="2" t="s">
        <v>4647</v>
      </c>
      <c r="F978" s="2">
        <v>50</v>
      </c>
      <c r="G978" s="2">
        <v>50</v>
      </c>
      <c r="H978" s="2">
        <v>0</v>
      </c>
      <c r="I978" s="1">
        <v>0</v>
      </c>
      <c r="J978" s="26">
        <v>45207</v>
      </c>
      <c r="K978" s="22">
        <v>75000</v>
      </c>
      <c r="L978" s="18">
        <v>80.209999999999994</v>
      </c>
      <c r="M978" s="22">
        <v>52500</v>
      </c>
      <c r="N978" s="22">
        <v>22500</v>
      </c>
      <c r="O978" s="18">
        <v>24.06</v>
      </c>
      <c r="P978" s="52">
        <f>IF(COUNTIF(TblPurchases[BatchID],TblOutcomes[[#This Row],[BatchID]])&lt;&gt;1,"n.a.",TblOutcomes[[#This Row],[Qty Wasted]]*SUMIFS(TblPurchases[Unit Cost (CLP)],TblPurchases[BatchID],TblOutcomes[[#This Row],[BatchID]]))</f>
        <v>0</v>
      </c>
      <c r="Q978" s="51">
        <f>IF(COUNTIF(TblPurchases[BatchID],TblOutcomes[[#This Row],[BatchID]])&lt;&gt;1,"n.a.",SUMIFS(TblPurchases[Purchase Date],TblPurchases[BatchID],TblOutcomes[[#This Row],[BatchID]]))</f>
        <v>45202</v>
      </c>
    </row>
    <row r="979" spans="2:17" x14ac:dyDescent="0.25">
      <c r="B979" s="2" t="s">
        <v>1783</v>
      </c>
      <c r="C979" s="2" t="s">
        <v>156</v>
      </c>
      <c r="D979" s="2" t="s">
        <v>155</v>
      </c>
      <c r="E979" s="2" t="s">
        <v>4647</v>
      </c>
      <c r="F979" s="2">
        <v>44</v>
      </c>
      <c r="G979" s="2">
        <v>44</v>
      </c>
      <c r="H979" s="2">
        <v>0</v>
      </c>
      <c r="I979" s="1">
        <v>0</v>
      </c>
      <c r="J979" s="26">
        <v>45216</v>
      </c>
      <c r="K979" s="22">
        <v>66000</v>
      </c>
      <c r="L979" s="18">
        <v>70.59</v>
      </c>
      <c r="M979" s="22">
        <v>46200</v>
      </c>
      <c r="N979" s="22">
        <v>19800</v>
      </c>
      <c r="O979" s="18">
        <v>21.18</v>
      </c>
      <c r="P979" s="52">
        <f>IF(COUNTIF(TblPurchases[BatchID],TblOutcomes[[#This Row],[BatchID]])&lt;&gt;1,"n.a.",TblOutcomes[[#This Row],[Qty Wasted]]*SUMIFS(TblPurchases[Unit Cost (CLP)],TblPurchases[BatchID],TblOutcomes[[#This Row],[BatchID]]))</f>
        <v>0</v>
      </c>
      <c r="Q979" s="51">
        <f>IF(COUNTIF(TblPurchases[BatchID],TblOutcomes[[#This Row],[BatchID]])&lt;&gt;1,"n.a.",SUMIFS(TblPurchases[Purchase Date],TblPurchases[BatchID],TblOutcomes[[#This Row],[BatchID]]))</f>
        <v>45209</v>
      </c>
    </row>
    <row r="980" spans="2:17" x14ac:dyDescent="0.25">
      <c r="B980" s="2" t="s">
        <v>1784</v>
      </c>
      <c r="C980" s="2" t="s">
        <v>156</v>
      </c>
      <c r="D980" s="2" t="s">
        <v>155</v>
      </c>
      <c r="E980" s="2" t="s">
        <v>4647</v>
      </c>
      <c r="F980" s="2">
        <v>42</v>
      </c>
      <c r="G980" s="2">
        <v>42</v>
      </c>
      <c r="H980" s="2">
        <v>0</v>
      </c>
      <c r="I980" s="1">
        <v>0</v>
      </c>
      <c r="J980" s="26">
        <v>45221</v>
      </c>
      <c r="K980" s="22">
        <v>63000</v>
      </c>
      <c r="L980" s="18">
        <v>67.38</v>
      </c>
      <c r="M980" s="22">
        <v>44100</v>
      </c>
      <c r="N980" s="22">
        <v>18900</v>
      </c>
      <c r="O980" s="18">
        <v>20.21</v>
      </c>
      <c r="P980" s="52">
        <f>IF(COUNTIF(TblPurchases[BatchID],TblOutcomes[[#This Row],[BatchID]])&lt;&gt;1,"n.a.",TblOutcomes[[#This Row],[Qty Wasted]]*SUMIFS(TblPurchases[Unit Cost (CLP)],TblPurchases[BatchID],TblOutcomes[[#This Row],[BatchID]]))</f>
        <v>0</v>
      </c>
      <c r="Q980" s="51">
        <f>IF(COUNTIF(TblPurchases[BatchID],TblOutcomes[[#This Row],[BatchID]])&lt;&gt;1,"n.a.",SUMIFS(TblPurchases[Purchase Date],TblPurchases[BatchID],TblOutcomes[[#This Row],[BatchID]]))</f>
        <v>45216</v>
      </c>
    </row>
    <row r="981" spans="2:17" x14ac:dyDescent="0.25">
      <c r="B981" s="2" t="s">
        <v>1785</v>
      </c>
      <c r="C981" s="2" t="s">
        <v>156</v>
      </c>
      <c r="D981" s="2" t="s">
        <v>155</v>
      </c>
      <c r="E981" s="2" t="s">
        <v>4647</v>
      </c>
      <c r="F981" s="2">
        <v>53</v>
      </c>
      <c r="G981" s="2">
        <v>53</v>
      </c>
      <c r="H981" s="2">
        <v>0</v>
      </c>
      <c r="I981" s="1">
        <v>0</v>
      </c>
      <c r="J981" s="26">
        <v>45229</v>
      </c>
      <c r="K981" s="22">
        <v>79500</v>
      </c>
      <c r="L981" s="18">
        <v>85.03</v>
      </c>
      <c r="M981" s="22">
        <v>55650</v>
      </c>
      <c r="N981" s="22">
        <v>23850</v>
      </c>
      <c r="O981" s="18">
        <v>25.51</v>
      </c>
      <c r="P981" s="52">
        <f>IF(COUNTIF(TblPurchases[BatchID],TblOutcomes[[#This Row],[BatchID]])&lt;&gt;1,"n.a.",TblOutcomes[[#This Row],[Qty Wasted]]*SUMIFS(TblPurchases[Unit Cost (CLP)],TblPurchases[BatchID],TblOutcomes[[#This Row],[BatchID]]))</f>
        <v>0</v>
      </c>
      <c r="Q981" s="51">
        <f>IF(COUNTIF(TblPurchases[BatchID],TblOutcomes[[#This Row],[BatchID]])&lt;&gt;1,"n.a.",SUMIFS(TblPurchases[Purchase Date],TblPurchases[BatchID],TblOutcomes[[#This Row],[BatchID]]))</f>
        <v>45222</v>
      </c>
    </row>
    <row r="982" spans="2:17" x14ac:dyDescent="0.25">
      <c r="B982" s="2" t="s">
        <v>1786</v>
      </c>
      <c r="C982" s="2" t="s">
        <v>156</v>
      </c>
      <c r="D982" s="2" t="s">
        <v>155</v>
      </c>
      <c r="E982" s="2" t="s">
        <v>4646</v>
      </c>
      <c r="F982" s="2">
        <v>50</v>
      </c>
      <c r="G982" s="2">
        <v>39</v>
      </c>
      <c r="H982" s="2">
        <v>11</v>
      </c>
      <c r="I982" s="1">
        <v>22</v>
      </c>
      <c r="J982" s="26">
        <v>45248</v>
      </c>
      <c r="K982" s="22">
        <v>58500</v>
      </c>
      <c r="L982" s="18">
        <v>62.57</v>
      </c>
      <c r="M982" s="22">
        <v>52500</v>
      </c>
      <c r="N982" s="22">
        <v>6000</v>
      </c>
      <c r="O982" s="18">
        <v>6.42</v>
      </c>
      <c r="P982" s="52">
        <f>IF(COUNTIF(TblPurchases[BatchID],TblOutcomes[[#This Row],[BatchID]])&lt;&gt;1,"n.a.",TblOutcomes[[#This Row],[Qty Wasted]]*SUMIFS(TblPurchases[Unit Cost (CLP)],TblPurchases[BatchID],TblOutcomes[[#This Row],[BatchID]]))</f>
        <v>11550</v>
      </c>
      <c r="Q982" s="51">
        <f>IF(COUNTIF(TblPurchases[BatchID],TblOutcomes[[#This Row],[BatchID]])&lt;&gt;1,"n.a.",SUMIFS(TblPurchases[Purchase Date],TblPurchases[BatchID],TblOutcomes[[#This Row],[BatchID]]))</f>
        <v>45228</v>
      </c>
    </row>
    <row r="983" spans="2:17" x14ac:dyDescent="0.25">
      <c r="B983" s="2" t="s">
        <v>1787</v>
      </c>
      <c r="C983" s="2" t="s">
        <v>156</v>
      </c>
      <c r="D983" s="2" t="s">
        <v>155</v>
      </c>
      <c r="E983" s="2" t="s">
        <v>4647</v>
      </c>
      <c r="F983" s="2">
        <v>42</v>
      </c>
      <c r="G983" s="2">
        <v>42</v>
      </c>
      <c r="H983" s="2">
        <v>0</v>
      </c>
      <c r="I983" s="1">
        <v>0</v>
      </c>
      <c r="J983" s="26">
        <v>45241</v>
      </c>
      <c r="K983" s="22">
        <v>63000</v>
      </c>
      <c r="L983" s="18">
        <v>67.38</v>
      </c>
      <c r="M983" s="22">
        <v>44100</v>
      </c>
      <c r="N983" s="22">
        <v>18900</v>
      </c>
      <c r="O983" s="18">
        <v>20.21</v>
      </c>
      <c r="P983" s="52">
        <f>IF(COUNTIF(TblPurchases[BatchID],TblOutcomes[[#This Row],[BatchID]])&lt;&gt;1,"n.a.",TblOutcomes[[#This Row],[Qty Wasted]]*SUMIFS(TblPurchases[Unit Cost (CLP)],TblPurchases[BatchID],TblOutcomes[[#This Row],[BatchID]]))</f>
        <v>0</v>
      </c>
      <c r="Q983" s="51">
        <f>IF(COUNTIF(TblPurchases[BatchID],TblOutcomes[[#This Row],[BatchID]])&lt;&gt;1,"n.a.",SUMIFS(TblPurchases[Purchase Date],TblPurchases[BatchID],TblOutcomes[[#This Row],[BatchID]]))</f>
        <v>45234</v>
      </c>
    </row>
    <row r="984" spans="2:17" x14ac:dyDescent="0.25">
      <c r="B984" s="2" t="s">
        <v>1788</v>
      </c>
      <c r="C984" s="2" t="s">
        <v>156</v>
      </c>
      <c r="D984" s="2" t="s">
        <v>155</v>
      </c>
      <c r="E984" s="2" t="s">
        <v>4646</v>
      </c>
      <c r="F984" s="2">
        <v>41</v>
      </c>
      <c r="G984" s="2">
        <v>36.700000000000003</v>
      </c>
      <c r="H984" s="2">
        <v>4.3</v>
      </c>
      <c r="I984" s="1">
        <v>10.5</v>
      </c>
      <c r="J984" s="26">
        <v>45261</v>
      </c>
      <c r="K984" s="22">
        <v>55050</v>
      </c>
      <c r="L984" s="18">
        <v>58.88</v>
      </c>
      <c r="M984" s="22">
        <v>43050</v>
      </c>
      <c r="N984" s="22">
        <v>12000</v>
      </c>
      <c r="O984" s="18">
        <v>12.83</v>
      </c>
      <c r="P984" s="52">
        <f>IF(COUNTIF(TblPurchases[BatchID],TblOutcomes[[#This Row],[BatchID]])&lt;&gt;1,"n.a.",TblOutcomes[[#This Row],[Qty Wasted]]*SUMIFS(TblPurchases[Unit Cost (CLP)],TblPurchases[BatchID],TblOutcomes[[#This Row],[BatchID]]))</f>
        <v>4515</v>
      </c>
      <c r="Q984" s="51">
        <f>IF(COUNTIF(TblPurchases[BatchID],TblOutcomes[[#This Row],[BatchID]])&lt;&gt;1,"n.a.",SUMIFS(TblPurchases[Purchase Date],TblPurchases[BatchID],TblOutcomes[[#This Row],[BatchID]]))</f>
        <v>45241</v>
      </c>
    </row>
    <row r="985" spans="2:17" x14ac:dyDescent="0.25">
      <c r="B985" s="2" t="s">
        <v>1789</v>
      </c>
      <c r="C985" s="2" t="s">
        <v>156</v>
      </c>
      <c r="D985" s="2" t="s">
        <v>155</v>
      </c>
      <c r="E985" s="2" t="s">
        <v>4647</v>
      </c>
      <c r="F985" s="2">
        <v>47</v>
      </c>
      <c r="G985" s="2">
        <v>47</v>
      </c>
      <c r="H985" s="2">
        <v>0</v>
      </c>
      <c r="I985" s="1">
        <v>0</v>
      </c>
      <c r="J985" s="26">
        <v>45255</v>
      </c>
      <c r="K985" s="22">
        <v>70500</v>
      </c>
      <c r="L985" s="18">
        <v>75.400000000000006</v>
      </c>
      <c r="M985" s="22">
        <v>49350</v>
      </c>
      <c r="N985" s="22">
        <v>21150</v>
      </c>
      <c r="O985" s="18">
        <v>22.62</v>
      </c>
      <c r="P985" s="52">
        <f>IF(COUNTIF(TblPurchases[BatchID],TblOutcomes[[#This Row],[BatchID]])&lt;&gt;1,"n.a.",TblOutcomes[[#This Row],[Qty Wasted]]*SUMIFS(TblPurchases[Unit Cost (CLP)],TblPurchases[BatchID],TblOutcomes[[#This Row],[BatchID]]))</f>
        <v>0</v>
      </c>
      <c r="Q985" s="51">
        <f>IF(COUNTIF(TblPurchases[BatchID],TblOutcomes[[#This Row],[BatchID]])&lt;&gt;1,"n.a.",SUMIFS(TblPurchases[Purchase Date],TblPurchases[BatchID],TblOutcomes[[#This Row],[BatchID]]))</f>
        <v>45250</v>
      </c>
    </row>
    <row r="986" spans="2:17" x14ac:dyDescent="0.25">
      <c r="B986" s="2" t="s">
        <v>1790</v>
      </c>
      <c r="C986" s="2" t="s">
        <v>156</v>
      </c>
      <c r="D986" s="2" t="s">
        <v>155</v>
      </c>
      <c r="E986" s="2" t="s">
        <v>4647</v>
      </c>
      <c r="F986" s="2">
        <v>47</v>
      </c>
      <c r="G986" s="2">
        <v>47</v>
      </c>
      <c r="H986" s="2">
        <v>0</v>
      </c>
      <c r="I986" s="1">
        <v>0</v>
      </c>
      <c r="J986" s="26">
        <v>45264</v>
      </c>
      <c r="K986" s="22">
        <v>70500</v>
      </c>
      <c r="L986" s="18">
        <v>75.400000000000006</v>
      </c>
      <c r="M986" s="22">
        <v>49350</v>
      </c>
      <c r="N986" s="22">
        <v>21150</v>
      </c>
      <c r="O986" s="18">
        <v>22.62</v>
      </c>
      <c r="P986" s="52">
        <f>IF(COUNTIF(TblPurchases[BatchID],TblOutcomes[[#This Row],[BatchID]])&lt;&gt;1,"n.a.",TblOutcomes[[#This Row],[Qty Wasted]]*SUMIFS(TblPurchases[Unit Cost (CLP)],TblPurchases[BatchID],TblOutcomes[[#This Row],[BatchID]]))</f>
        <v>0</v>
      </c>
      <c r="Q986" s="51">
        <f>IF(COUNTIF(TblPurchases[BatchID],TblOutcomes[[#This Row],[BatchID]])&lt;&gt;1,"n.a.",SUMIFS(TblPurchases[Purchase Date],TblPurchases[BatchID],TblOutcomes[[#This Row],[BatchID]]))</f>
        <v>45257</v>
      </c>
    </row>
    <row r="987" spans="2:17" x14ac:dyDescent="0.25">
      <c r="B987" s="2" t="s">
        <v>1791</v>
      </c>
      <c r="C987" s="2" t="s">
        <v>156</v>
      </c>
      <c r="D987" s="2" t="s">
        <v>155</v>
      </c>
      <c r="E987" s="2" t="s">
        <v>4647</v>
      </c>
      <c r="F987" s="2">
        <v>57</v>
      </c>
      <c r="G987" s="2">
        <v>57</v>
      </c>
      <c r="H987" s="2">
        <v>0</v>
      </c>
      <c r="I987" s="1">
        <v>0</v>
      </c>
      <c r="J987" s="26">
        <v>45267</v>
      </c>
      <c r="K987" s="22">
        <v>85500</v>
      </c>
      <c r="L987" s="18">
        <v>91.44</v>
      </c>
      <c r="M987" s="22">
        <v>59850</v>
      </c>
      <c r="N987" s="22">
        <v>25650</v>
      </c>
      <c r="O987" s="18">
        <v>27.43</v>
      </c>
      <c r="P987" s="52">
        <f>IF(COUNTIF(TblPurchases[BatchID],TblOutcomes[[#This Row],[BatchID]])&lt;&gt;1,"n.a.",TblOutcomes[[#This Row],[Qty Wasted]]*SUMIFS(TblPurchases[Unit Cost (CLP)],TblPurchases[BatchID],TblOutcomes[[#This Row],[BatchID]]))</f>
        <v>0</v>
      </c>
      <c r="Q987" s="51">
        <f>IF(COUNTIF(TblPurchases[BatchID],TblOutcomes[[#This Row],[BatchID]])&lt;&gt;1,"n.a.",SUMIFS(TblPurchases[Purchase Date],TblPurchases[BatchID],TblOutcomes[[#This Row],[BatchID]]))</f>
        <v>45264</v>
      </c>
    </row>
    <row r="988" spans="2:17" x14ac:dyDescent="0.25">
      <c r="B988" s="2" t="s">
        <v>1792</v>
      </c>
      <c r="C988" s="2" t="s">
        <v>156</v>
      </c>
      <c r="D988" s="2" t="s">
        <v>155</v>
      </c>
      <c r="E988" s="2" t="s">
        <v>4647</v>
      </c>
      <c r="F988" s="2">
        <v>61</v>
      </c>
      <c r="G988" s="2">
        <v>61</v>
      </c>
      <c r="H988" s="2">
        <v>0</v>
      </c>
      <c r="I988" s="1">
        <v>0</v>
      </c>
      <c r="J988" s="26">
        <v>45275</v>
      </c>
      <c r="K988" s="22">
        <v>91500</v>
      </c>
      <c r="L988" s="18">
        <v>97.86</v>
      </c>
      <c r="M988" s="22">
        <v>64050</v>
      </c>
      <c r="N988" s="22">
        <v>27450</v>
      </c>
      <c r="O988" s="18">
        <v>29.36</v>
      </c>
      <c r="P988" s="52">
        <f>IF(COUNTIF(TblPurchases[BatchID],TblOutcomes[[#This Row],[BatchID]])&lt;&gt;1,"n.a.",TblOutcomes[[#This Row],[Qty Wasted]]*SUMIFS(TblPurchases[Unit Cost (CLP)],TblPurchases[BatchID],TblOutcomes[[#This Row],[BatchID]]))</f>
        <v>0</v>
      </c>
      <c r="Q988" s="51">
        <f>IF(COUNTIF(TblPurchases[BatchID],TblOutcomes[[#This Row],[BatchID]])&lt;&gt;1,"n.a.",SUMIFS(TblPurchases[Purchase Date],TblPurchases[BatchID],TblOutcomes[[#This Row],[BatchID]]))</f>
        <v>45269</v>
      </c>
    </row>
    <row r="989" spans="2:17" x14ac:dyDescent="0.25">
      <c r="B989" s="2" t="s">
        <v>1793</v>
      </c>
      <c r="C989" s="2" t="s">
        <v>156</v>
      </c>
      <c r="D989" s="2" t="s">
        <v>155</v>
      </c>
      <c r="E989" s="2" t="s">
        <v>4646</v>
      </c>
      <c r="F989" s="2">
        <v>55</v>
      </c>
      <c r="G989" s="2">
        <v>43.45</v>
      </c>
      <c r="H989" s="2">
        <v>11.55</v>
      </c>
      <c r="I989" s="1">
        <v>21</v>
      </c>
      <c r="J989" s="26">
        <v>45296</v>
      </c>
      <c r="K989" s="22">
        <v>65175</v>
      </c>
      <c r="L989" s="18">
        <v>69.709999999999994</v>
      </c>
      <c r="M989" s="22">
        <v>57750</v>
      </c>
      <c r="N989" s="22">
        <v>7425</v>
      </c>
      <c r="O989" s="18">
        <v>7.94</v>
      </c>
      <c r="P989" s="52">
        <f>IF(COUNTIF(TblPurchases[BatchID],TblOutcomes[[#This Row],[BatchID]])&lt;&gt;1,"n.a.",TblOutcomes[[#This Row],[Qty Wasted]]*SUMIFS(TblPurchases[Unit Cost (CLP)],TblPurchases[BatchID],TblOutcomes[[#This Row],[BatchID]]))</f>
        <v>12127.5</v>
      </c>
      <c r="Q989" s="51">
        <f>IF(COUNTIF(TblPurchases[BatchID],TblOutcomes[[#This Row],[BatchID]])&lt;&gt;1,"n.a.",SUMIFS(TblPurchases[Purchase Date],TblPurchases[BatchID],TblOutcomes[[#This Row],[BatchID]]))</f>
        <v>45276</v>
      </c>
    </row>
    <row r="990" spans="2:17" x14ac:dyDescent="0.25">
      <c r="B990" s="2" t="s">
        <v>1794</v>
      </c>
      <c r="C990" s="2" t="s">
        <v>156</v>
      </c>
      <c r="D990" s="2" t="s">
        <v>155</v>
      </c>
      <c r="E990" s="2" t="s">
        <v>4647</v>
      </c>
      <c r="F990" s="2">
        <v>67</v>
      </c>
      <c r="G990" s="2">
        <v>67</v>
      </c>
      <c r="H990" s="2">
        <v>0</v>
      </c>
      <c r="I990" s="1">
        <v>0</v>
      </c>
      <c r="J990" s="26">
        <v>45285</v>
      </c>
      <c r="K990" s="22">
        <v>100500</v>
      </c>
      <c r="L990" s="18">
        <v>107.49</v>
      </c>
      <c r="M990" s="22">
        <v>70350</v>
      </c>
      <c r="N990" s="22">
        <v>30150</v>
      </c>
      <c r="O990" s="18">
        <v>32.25</v>
      </c>
      <c r="P990" s="52">
        <f>IF(COUNTIF(TblPurchases[BatchID],TblOutcomes[[#This Row],[BatchID]])&lt;&gt;1,"n.a.",TblOutcomes[[#This Row],[Qty Wasted]]*SUMIFS(TblPurchases[Unit Cost (CLP)],TblPurchases[BatchID],TblOutcomes[[#This Row],[BatchID]]))</f>
        <v>0</v>
      </c>
      <c r="Q990" s="51">
        <f>IF(COUNTIF(TblPurchases[BatchID],TblOutcomes[[#This Row],[BatchID]])&lt;&gt;1,"n.a.",SUMIFS(TblPurchases[Purchase Date],TblPurchases[BatchID],TblOutcomes[[#This Row],[BatchID]]))</f>
        <v>45282</v>
      </c>
    </row>
    <row r="991" spans="2:17" x14ac:dyDescent="0.25">
      <c r="B991" s="2" t="s">
        <v>1795</v>
      </c>
      <c r="C991" s="2" t="s">
        <v>156</v>
      </c>
      <c r="D991" s="2" t="s">
        <v>155</v>
      </c>
      <c r="E991" s="2" t="s">
        <v>4647</v>
      </c>
      <c r="F991" s="2">
        <v>54</v>
      </c>
      <c r="G991" s="2">
        <v>54</v>
      </c>
      <c r="H991" s="2">
        <v>0</v>
      </c>
      <c r="I991" s="1">
        <v>0</v>
      </c>
      <c r="J991" s="26">
        <v>45292</v>
      </c>
      <c r="K991" s="22">
        <v>81000</v>
      </c>
      <c r="L991" s="18">
        <v>86.63</v>
      </c>
      <c r="M991" s="22">
        <v>56700</v>
      </c>
      <c r="N991" s="22">
        <v>24300</v>
      </c>
      <c r="O991" s="18">
        <v>25.99</v>
      </c>
      <c r="P991" s="52">
        <f>IF(COUNTIF(TblPurchases[BatchID],TblOutcomes[[#This Row],[BatchID]])&lt;&gt;1,"n.a.",TblOutcomes[[#This Row],[Qty Wasted]]*SUMIFS(TblPurchases[Unit Cost (CLP)],TblPurchases[BatchID],TblOutcomes[[#This Row],[BatchID]]))</f>
        <v>0</v>
      </c>
      <c r="Q991" s="51">
        <f>IF(COUNTIF(TblPurchases[BatchID],TblOutcomes[[#This Row],[BatchID]])&lt;&gt;1,"n.a.",SUMIFS(TblPurchases[Purchase Date],TblPurchases[BatchID],TblOutcomes[[#This Row],[BatchID]]))</f>
        <v>45289</v>
      </c>
    </row>
    <row r="992" spans="2:17" x14ac:dyDescent="0.25">
      <c r="B992" s="2" t="s">
        <v>1796</v>
      </c>
      <c r="C992" s="2" t="s">
        <v>156</v>
      </c>
      <c r="D992" s="2" t="s">
        <v>155</v>
      </c>
      <c r="E992" s="2" t="s">
        <v>4647</v>
      </c>
      <c r="F992" s="2">
        <v>52</v>
      </c>
      <c r="G992" s="2">
        <v>52</v>
      </c>
      <c r="H992" s="2">
        <v>0</v>
      </c>
      <c r="I992" s="1">
        <v>0</v>
      </c>
      <c r="J992" s="26">
        <v>45299</v>
      </c>
      <c r="K992" s="22">
        <v>78000</v>
      </c>
      <c r="L992" s="18">
        <v>83.42</v>
      </c>
      <c r="M992" s="22">
        <v>54600</v>
      </c>
      <c r="N992" s="22">
        <v>23400</v>
      </c>
      <c r="O992" s="18">
        <v>25.03</v>
      </c>
      <c r="P992" s="52">
        <f>IF(COUNTIF(TblPurchases[BatchID],TblOutcomes[[#This Row],[BatchID]])&lt;&gt;1,"n.a.",TblOutcomes[[#This Row],[Qty Wasted]]*SUMIFS(TblPurchases[Unit Cost (CLP)],TblPurchases[BatchID],TblOutcomes[[#This Row],[BatchID]]))</f>
        <v>0</v>
      </c>
      <c r="Q992" s="51">
        <f>IF(COUNTIF(TblPurchases[BatchID],TblOutcomes[[#This Row],[BatchID]])&lt;&gt;1,"n.a.",SUMIFS(TblPurchases[Purchase Date],TblPurchases[BatchID],TblOutcomes[[#This Row],[BatchID]]))</f>
        <v>45296</v>
      </c>
    </row>
    <row r="993" spans="2:17" x14ac:dyDescent="0.25">
      <c r="B993" s="2" t="s">
        <v>1797</v>
      </c>
      <c r="C993" s="2" t="s">
        <v>156</v>
      </c>
      <c r="D993" s="2" t="s">
        <v>155</v>
      </c>
      <c r="E993" s="2" t="s">
        <v>4647</v>
      </c>
      <c r="F993" s="2">
        <v>55</v>
      </c>
      <c r="G993" s="2">
        <v>55</v>
      </c>
      <c r="H993" s="2">
        <v>0</v>
      </c>
      <c r="I993" s="1">
        <v>0</v>
      </c>
      <c r="J993" s="26">
        <v>45308</v>
      </c>
      <c r="K993" s="22">
        <v>82500</v>
      </c>
      <c r="L993" s="18">
        <v>88.24</v>
      </c>
      <c r="M993" s="22">
        <v>66000</v>
      </c>
      <c r="N993" s="22">
        <v>16500</v>
      </c>
      <c r="O993" s="18">
        <v>17.649999999999999</v>
      </c>
      <c r="P993" s="52">
        <f>IF(COUNTIF(TblPurchases[BatchID],TblOutcomes[[#This Row],[BatchID]])&lt;&gt;1,"n.a.",TblOutcomes[[#This Row],[Qty Wasted]]*SUMIFS(TblPurchases[Unit Cost (CLP)],TblPurchases[BatchID],TblOutcomes[[#This Row],[BatchID]]))</f>
        <v>0</v>
      </c>
      <c r="Q993" s="51">
        <f>IF(COUNTIF(TblPurchases[BatchID],TblOutcomes[[#This Row],[BatchID]])&lt;&gt;1,"n.a.",SUMIFS(TblPurchases[Purchase Date],TblPurchases[BatchID],TblOutcomes[[#This Row],[BatchID]]))</f>
        <v>45302</v>
      </c>
    </row>
    <row r="994" spans="2:17" x14ac:dyDescent="0.25">
      <c r="B994" s="2" t="s">
        <v>1798</v>
      </c>
      <c r="C994" s="2" t="s">
        <v>156</v>
      </c>
      <c r="D994" s="2" t="s">
        <v>155</v>
      </c>
      <c r="E994" s="2" t="s">
        <v>4647</v>
      </c>
      <c r="F994" s="2">
        <v>46</v>
      </c>
      <c r="G994" s="2">
        <v>46</v>
      </c>
      <c r="H994" s="2">
        <v>0</v>
      </c>
      <c r="I994" s="1">
        <v>0</v>
      </c>
      <c r="J994" s="26">
        <v>45314</v>
      </c>
      <c r="K994" s="22">
        <v>69000</v>
      </c>
      <c r="L994" s="18">
        <v>73.8</v>
      </c>
      <c r="M994" s="22">
        <v>48300</v>
      </c>
      <c r="N994" s="22">
        <v>20700</v>
      </c>
      <c r="O994" s="18">
        <v>22.14</v>
      </c>
      <c r="P994" s="52">
        <f>IF(COUNTIF(TblPurchases[BatchID],TblOutcomes[[#This Row],[BatchID]])&lt;&gt;1,"n.a.",TblOutcomes[[#This Row],[Qty Wasted]]*SUMIFS(TblPurchases[Unit Cost (CLP)],TblPurchases[BatchID],TblOutcomes[[#This Row],[BatchID]]))</f>
        <v>0</v>
      </c>
      <c r="Q994" s="51">
        <f>IF(COUNTIF(TblPurchases[BatchID],TblOutcomes[[#This Row],[BatchID]])&lt;&gt;1,"n.a.",SUMIFS(TblPurchases[Purchase Date],TblPurchases[BatchID],TblOutcomes[[#This Row],[BatchID]]))</f>
        <v>45309</v>
      </c>
    </row>
    <row r="995" spans="2:17" x14ac:dyDescent="0.25">
      <c r="B995" s="2" t="s">
        <v>1799</v>
      </c>
      <c r="C995" s="2" t="s">
        <v>156</v>
      </c>
      <c r="D995" s="2" t="s">
        <v>155</v>
      </c>
      <c r="E995" s="2" t="s">
        <v>4647</v>
      </c>
      <c r="F995" s="2">
        <v>43</v>
      </c>
      <c r="G995" s="2">
        <v>43</v>
      </c>
      <c r="H995" s="2">
        <v>0</v>
      </c>
      <c r="I995" s="1">
        <v>0</v>
      </c>
      <c r="J995" s="26">
        <v>45316</v>
      </c>
      <c r="K995" s="22">
        <v>64500</v>
      </c>
      <c r="L995" s="18">
        <v>68.98</v>
      </c>
      <c r="M995" s="22">
        <v>45150</v>
      </c>
      <c r="N995" s="22">
        <v>19350</v>
      </c>
      <c r="O995" s="18">
        <v>20.7</v>
      </c>
      <c r="P995" s="52">
        <f>IF(COUNTIF(TblPurchases[BatchID],TblOutcomes[[#This Row],[BatchID]])&lt;&gt;1,"n.a.",TblOutcomes[[#This Row],[Qty Wasted]]*SUMIFS(TblPurchases[Unit Cost (CLP)],TblPurchases[BatchID],TblOutcomes[[#This Row],[BatchID]]))</f>
        <v>0</v>
      </c>
      <c r="Q995" s="51">
        <f>IF(COUNTIF(TblPurchases[BatchID],TblOutcomes[[#This Row],[BatchID]])&lt;&gt;1,"n.a.",SUMIFS(TblPurchases[Purchase Date],TblPurchases[BatchID],TblOutcomes[[#This Row],[BatchID]]))</f>
        <v>45313</v>
      </c>
    </row>
    <row r="996" spans="2:17" x14ac:dyDescent="0.25">
      <c r="B996" s="2" t="s">
        <v>1800</v>
      </c>
      <c r="C996" s="2" t="s">
        <v>156</v>
      </c>
      <c r="D996" s="2" t="s">
        <v>155</v>
      </c>
      <c r="E996" s="2" t="s">
        <v>4647</v>
      </c>
      <c r="F996" s="2">
        <v>52</v>
      </c>
      <c r="G996" s="2">
        <v>52</v>
      </c>
      <c r="H996" s="2">
        <v>0</v>
      </c>
      <c r="I996" s="1">
        <v>0</v>
      </c>
      <c r="J996" s="26">
        <v>45324</v>
      </c>
      <c r="K996" s="22">
        <v>78000</v>
      </c>
      <c r="L996" s="18">
        <v>83.42</v>
      </c>
      <c r="M996" s="22">
        <v>54600</v>
      </c>
      <c r="N996" s="22">
        <v>23400</v>
      </c>
      <c r="O996" s="18">
        <v>25.03</v>
      </c>
      <c r="P996" s="52">
        <f>IF(COUNTIF(TblPurchases[BatchID],TblOutcomes[[#This Row],[BatchID]])&lt;&gt;1,"n.a.",TblOutcomes[[#This Row],[Qty Wasted]]*SUMIFS(TblPurchases[Unit Cost (CLP)],TblPurchases[BatchID],TblOutcomes[[#This Row],[BatchID]]))</f>
        <v>0</v>
      </c>
      <c r="Q996" s="51">
        <f>IF(COUNTIF(TblPurchases[BatchID],TblOutcomes[[#This Row],[BatchID]])&lt;&gt;1,"n.a.",SUMIFS(TblPurchases[Purchase Date],TblPurchases[BatchID],TblOutcomes[[#This Row],[BatchID]]))</f>
        <v>45319</v>
      </c>
    </row>
    <row r="997" spans="2:17" x14ac:dyDescent="0.25">
      <c r="B997" s="2" t="s">
        <v>1801</v>
      </c>
      <c r="C997" s="2" t="s">
        <v>156</v>
      </c>
      <c r="D997" s="2" t="s">
        <v>155</v>
      </c>
      <c r="E997" s="2" t="s">
        <v>4647</v>
      </c>
      <c r="F997" s="2">
        <v>54</v>
      </c>
      <c r="G997" s="2">
        <v>54</v>
      </c>
      <c r="H997" s="2">
        <v>0</v>
      </c>
      <c r="I997" s="1">
        <v>0</v>
      </c>
      <c r="J997" s="26">
        <v>45334</v>
      </c>
      <c r="K997" s="22">
        <v>81000</v>
      </c>
      <c r="L997" s="18">
        <v>86.63</v>
      </c>
      <c r="M997" s="22">
        <v>56700</v>
      </c>
      <c r="N997" s="22">
        <v>24300</v>
      </c>
      <c r="O997" s="18">
        <v>25.99</v>
      </c>
      <c r="P997" s="52">
        <f>IF(COUNTIF(TblPurchases[BatchID],TblOutcomes[[#This Row],[BatchID]])&lt;&gt;1,"n.a.",TblOutcomes[[#This Row],[Qty Wasted]]*SUMIFS(TblPurchases[Unit Cost (CLP)],TblPurchases[BatchID],TblOutcomes[[#This Row],[BatchID]]))</f>
        <v>0</v>
      </c>
      <c r="Q997" s="51">
        <f>IF(COUNTIF(TblPurchases[BatchID],TblOutcomes[[#This Row],[BatchID]])&lt;&gt;1,"n.a.",SUMIFS(TblPurchases[Purchase Date],TblPurchases[BatchID],TblOutcomes[[#This Row],[BatchID]]))</f>
        <v>45327</v>
      </c>
    </row>
    <row r="998" spans="2:17" x14ac:dyDescent="0.25">
      <c r="B998" s="2" t="s">
        <v>1802</v>
      </c>
      <c r="C998" s="2" t="s">
        <v>156</v>
      </c>
      <c r="D998" s="2" t="s">
        <v>155</v>
      </c>
      <c r="E998" s="2" t="s">
        <v>4646</v>
      </c>
      <c r="F998" s="2">
        <v>54</v>
      </c>
      <c r="G998" s="2">
        <v>35.799999999999997</v>
      </c>
      <c r="H998" s="2">
        <v>18.2</v>
      </c>
      <c r="I998" s="1">
        <v>33.700000000000003</v>
      </c>
      <c r="J998" s="26">
        <v>45352</v>
      </c>
      <c r="K998" s="22">
        <v>53700</v>
      </c>
      <c r="L998" s="18">
        <v>57.43</v>
      </c>
      <c r="M998" s="22">
        <v>56700</v>
      </c>
      <c r="N998" s="22">
        <v>-3000</v>
      </c>
      <c r="O998" s="18">
        <v>-3.21</v>
      </c>
      <c r="P998" s="52">
        <f>IF(COUNTIF(TblPurchases[BatchID],TblOutcomes[[#This Row],[BatchID]])&lt;&gt;1,"n.a.",TblOutcomes[[#This Row],[Qty Wasted]]*SUMIFS(TblPurchases[Unit Cost (CLP)],TblPurchases[BatchID],TblOutcomes[[#This Row],[BatchID]]))</f>
        <v>19110</v>
      </c>
      <c r="Q998" s="51">
        <f>IF(COUNTIF(TblPurchases[BatchID],TblOutcomes[[#This Row],[BatchID]])&lt;&gt;1,"n.a.",SUMIFS(TblPurchases[Purchase Date],TblPurchases[BatchID],TblOutcomes[[#This Row],[BatchID]]))</f>
        <v>45332</v>
      </c>
    </row>
    <row r="999" spans="2:17" x14ac:dyDescent="0.25">
      <c r="B999" s="2" t="s">
        <v>1803</v>
      </c>
      <c r="C999" s="2" t="s">
        <v>156</v>
      </c>
      <c r="D999" s="2" t="s">
        <v>155</v>
      </c>
      <c r="E999" s="2" t="s">
        <v>4647</v>
      </c>
      <c r="F999" s="2">
        <v>47</v>
      </c>
      <c r="G999" s="2">
        <v>47</v>
      </c>
      <c r="H999" s="2">
        <v>0</v>
      </c>
      <c r="I999" s="1">
        <v>0</v>
      </c>
      <c r="J999" s="26">
        <v>45345</v>
      </c>
      <c r="K999" s="22">
        <v>70500</v>
      </c>
      <c r="L999" s="18">
        <v>75.400000000000006</v>
      </c>
      <c r="M999" s="22">
        <v>49350</v>
      </c>
      <c r="N999" s="22">
        <v>21150</v>
      </c>
      <c r="O999" s="18">
        <v>22.62</v>
      </c>
      <c r="P999" s="52">
        <f>IF(COUNTIF(TblPurchases[BatchID],TblOutcomes[[#This Row],[BatchID]])&lt;&gt;1,"n.a.",TblOutcomes[[#This Row],[Qty Wasted]]*SUMIFS(TblPurchases[Unit Cost (CLP)],TblPurchases[BatchID],TblOutcomes[[#This Row],[BatchID]]))</f>
        <v>0</v>
      </c>
      <c r="Q999" s="51">
        <f>IF(COUNTIF(TblPurchases[BatchID],TblOutcomes[[#This Row],[BatchID]])&lt;&gt;1,"n.a.",SUMIFS(TblPurchases[Purchase Date],TblPurchases[BatchID],TblOutcomes[[#This Row],[BatchID]]))</f>
        <v>45340</v>
      </c>
    </row>
    <row r="1000" spans="2:17" x14ac:dyDescent="0.25">
      <c r="B1000" s="2" t="s">
        <v>1804</v>
      </c>
      <c r="C1000" s="2" t="s">
        <v>156</v>
      </c>
      <c r="D1000" s="2" t="s">
        <v>155</v>
      </c>
      <c r="E1000" s="2" t="s">
        <v>4646</v>
      </c>
      <c r="F1000" s="2">
        <v>44</v>
      </c>
      <c r="G1000" s="2">
        <v>26.62</v>
      </c>
      <c r="H1000" s="2">
        <v>17.38</v>
      </c>
      <c r="I1000" s="1">
        <v>39.5</v>
      </c>
      <c r="J1000" s="26">
        <v>45367</v>
      </c>
      <c r="K1000" s="22">
        <v>39930</v>
      </c>
      <c r="L1000" s="18">
        <v>42.71</v>
      </c>
      <c r="M1000" s="22">
        <v>46200</v>
      </c>
      <c r="N1000" s="22">
        <v>-6270</v>
      </c>
      <c r="O1000" s="18">
        <v>-6.71</v>
      </c>
      <c r="P1000" s="52">
        <f>IF(COUNTIF(TblPurchases[BatchID],TblOutcomes[[#This Row],[BatchID]])&lt;&gt;1,"n.a.",TblOutcomes[[#This Row],[Qty Wasted]]*SUMIFS(TblPurchases[Unit Cost (CLP)],TblPurchases[BatchID],TblOutcomes[[#This Row],[BatchID]]))</f>
        <v>18249</v>
      </c>
      <c r="Q1000" s="51">
        <f>IF(COUNTIF(TblPurchases[BatchID],TblOutcomes[[#This Row],[BatchID]])&lt;&gt;1,"n.a.",SUMIFS(TblPurchases[Purchase Date],TblPurchases[BatchID],TblOutcomes[[#This Row],[BatchID]]))</f>
        <v>45347</v>
      </c>
    </row>
    <row r="1001" spans="2:17" x14ac:dyDescent="0.25">
      <c r="B1001" s="2" t="s">
        <v>1805</v>
      </c>
      <c r="C1001" s="2" t="s">
        <v>156</v>
      </c>
      <c r="D1001" s="2" t="s">
        <v>155</v>
      </c>
      <c r="E1001" s="2" t="s">
        <v>4647</v>
      </c>
      <c r="F1001" s="2">
        <v>42</v>
      </c>
      <c r="G1001" s="2">
        <v>42</v>
      </c>
      <c r="H1001" s="2">
        <v>0</v>
      </c>
      <c r="I1001" s="1">
        <v>0</v>
      </c>
      <c r="J1001" s="26">
        <v>45360</v>
      </c>
      <c r="K1001" s="22">
        <v>63000</v>
      </c>
      <c r="L1001" s="18">
        <v>67.38</v>
      </c>
      <c r="M1001" s="22">
        <v>44100</v>
      </c>
      <c r="N1001" s="22">
        <v>18900</v>
      </c>
      <c r="O1001" s="18">
        <v>20.21</v>
      </c>
      <c r="P1001" s="52">
        <f>IF(COUNTIF(TblPurchases[BatchID],TblOutcomes[[#This Row],[BatchID]])&lt;&gt;1,"n.a.",TblOutcomes[[#This Row],[Qty Wasted]]*SUMIFS(TblPurchases[Unit Cost (CLP)],TblPurchases[BatchID],TblOutcomes[[#This Row],[BatchID]]))</f>
        <v>0</v>
      </c>
      <c r="Q1001" s="51">
        <f>IF(COUNTIF(TblPurchases[BatchID],TblOutcomes[[#This Row],[BatchID]])&lt;&gt;1,"n.a.",SUMIFS(TblPurchases[Purchase Date],TblPurchases[BatchID],TblOutcomes[[#This Row],[BatchID]]))</f>
        <v>45355</v>
      </c>
    </row>
    <row r="1002" spans="2:17" x14ac:dyDescent="0.25">
      <c r="B1002" s="2" t="s">
        <v>1806</v>
      </c>
      <c r="C1002" s="2" t="s">
        <v>156</v>
      </c>
      <c r="D1002" s="2" t="s">
        <v>155</v>
      </c>
      <c r="E1002" s="2" t="s">
        <v>4647</v>
      </c>
      <c r="F1002" s="2">
        <v>53</v>
      </c>
      <c r="G1002" s="2">
        <v>53</v>
      </c>
      <c r="H1002" s="2">
        <v>0</v>
      </c>
      <c r="I1002" s="1">
        <v>0</v>
      </c>
      <c r="J1002" s="26">
        <v>45368</v>
      </c>
      <c r="K1002" s="22">
        <v>79500</v>
      </c>
      <c r="L1002" s="18">
        <v>85.03</v>
      </c>
      <c r="M1002" s="22">
        <v>63600</v>
      </c>
      <c r="N1002" s="22">
        <v>15900</v>
      </c>
      <c r="O1002" s="18">
        <v>17.010000000000002</v>
      </c>
      <c r="P1002" s="52">
        <f>IF(COUNTIF(TblPurchases[BatchID],TblOutcomes[[#This Row],[BatchID]])&lt;&gt;1,"n.a.",TblOutcomes[[#This Row],[Qty Wasted]]*SUMIFS(TblPurchases[Unit Cost (CLP)],TblPurchases[BatchID],TblOutcomes[[#This Row],[BatchID]]))</f>
        <v>0</v>
      </c>
      <c r="Q1002" s="51">
        <f>IF(COUNTIF(TblPurchases[BatchID],TblOutcomes[[#This Row],[BatchID]])&lt;&gt;1,"n.a.",SUMIFS(TblPurchases[Purchase Date],TblPurchases[BatchID],TblOutcomes[[#This Row],[BatchID]]))</f>
        <v>45360</v>
      </c>
    </row>
    <row r="1003" spans="2:17" x14ac:dyDescent="0.25">
      <c r="B1003" s="2" t="s">
        <v>1807</v>
      </c>
      <c r="C1003" s="2" t="s">
        <v>156</v>
      </c>
      <c r="D1003" s="2" t="s">
        <v>155</v>
      </c>
      <c r="E1003" s="2" t="s">
        <v>4647</v>
      </c>
      <c r="F1003" s="2">
        <v>48</v>
      </c>
      <c r="G1003" s="2">
        <v>48</v>
      </c>
      <c r="H1003" s="2">
        <v>0</v>
      </c>
      <c r="I1003" s="1">
        <v>0</v>
      </c>
      <c r="J1003" s="26">
        <v>45373</v>
      </c>
      <c r="K1003" s="22">
        <v>72000</v>
      </c>
      <c r="L1003" s="18">
        <v>77.010000000000005</v>
      </c>
      <c r="M1003" s="22">
        <v>50400</v>
      </c>
      <c r="N1003" s="22">
        <v>21600</v>
      </c>
      <c r="O1003" s="18">
        <v>23.1</v>
      </c>
      <c r="P1003" s="52">
        <f>IF(COUNTIF(TblPurchases[BatchID],TblOutcomes[[#This Row],[BatchID]])&lt;&gt;1,"n.a.",TblOutcomes[[#This Row],[Qty Wasted]]*SUMIFS(TblPurchases[Unit Cost (CLP)],TblPurchases[BatchID],TblOutcomes[[#This Row],[BatchID]]))</f>
        <v>0</v>
      </c>
      <c r="Q1003" s="51">
        <f>IF(COUNTIF(TblPurchases[BatchID],TblOutcomes[[#This Row],[BatchID]])&lt;&gt;1,"n.a.",SUMIFS(TblPurchases[Purchase Date],TblPurchases[BatchID],TblOutcomes[[#This Row],[BatchID]]))</f>
        <v>45366</v>
      </c>
    </row>
    <row r="1004" spans="2:17" x14ac:dyDescent="0.25">
      <c r="B1004" s="2" t="s">
        <v>1808</v>
      </c>
      <c r="C1004" s="2" t="s">
        <v>156</v>
      </c>
      <c r="D1004" s="2" t="s">
        <v>155</v>
      </c>
      <c r="E1004" s="2" t="s">
        <v>4646</v>
      </c>
      <c r="F1004" s="2">
        <v>44</v>
      </c>
      <c r="G1004" s="2">
        <v>30.58</v>
      </c>
      <c r="H1004" s="2">
        <v>13.42</v>
      </c>
      <c r="I1004" s="1">
        <v>30.5</v>
      </c>
      <c r="J1004" s="26">
        <v>45393</v>
      </c>
      <c r="K1004" s="22">
        <v>45870</v>
      </c>
      <c r="L1004" s="18">
        <v>49.06</v>
      </c>
      <c r="M1004" s="22">
        <v>46200</v>
      </c>
      <c r="N1004" s="22">
        <v>-330</v>
      </c>
      <c r="O1004" s="18">
        <v>-0.35</v>
      </c>
      <c r="P1004" s="52">
        <f>IF(COUNTIF(TblPurchases[BatchID],TblOutcomes[[#This Row],[BatchID]])&lt;&gt;1,"n.a.",TblOutcomes[[#This Row],[Qty Wasted]]*SUMIFS(TblPurchases[Unit Cost (CLP)],TblPurchases[BatchID],TblOutcomes[[#This Row],[BatchID]]))</f>
        <v>14091</v>
      </c>
      <c r="Q1004" s="51">
        <f>IF(COUNTIF(TblPurchases[BatchID],TblOutcomes[[#This Row],[BatchID]])&lt;&gt;1,"n.a.",SUMIFS(TblPurchases[Purchase Date],TblPurchases[BatchID],TblOutcomes[[#This Row],[BatchID]]))</f>
        <v>45373</v>
      </c>
    </row>
    <row r="1005" spans="2:17" x14ac:dyDescent="0.25">
      <c r="B1005" s="2" t="s">
        <v>1809</v>
      </c>
      <c r="C1005" s="2" t="s">
        <v>156</v>
      </c>
      <c r="D1005" s="2" t="s">
        <v>155</v>
      </c>
      <c r="E1005" s="2" t="s">
        <v>4647</v>
      </c>
      <c r="F1005" s="2">
        <v>52</v>
      </c>
      <c r="G1005" s="2">
        <v>52</v>
      </c>
      <c r="H1005" s="2">
        <v>0</v>
      </c>
      <c r="I1005" s="1">
        <v>0</v>
      </c>
      <c r="J1005" s="26">
        <v>45382</v>
      </c>
      <c r="K1005" s="22">
        <v>78000</v>
      </c>
      <c r="L1005" s="18">
        <v>83.42</v>
      </c>
      <c r="M1005" s="22">
        <v>54600</v>
      </c>
      <c r="N1005" s="22">
        <v>23400</v>
      </c>
      <c r="O1005" s="18">
        <v>25.03</v>
      </c>
      <c r="P1005" s="52">
        <f>IF(COUNTIF(TblPurchases[BatchID],TblOutcomes[[#This Row],[BatchID]])&lt;&gt;1,"n.a.",TblOutcomes[[#This Row],[Qty Wasted]]*SUMIFS(TblPurchases[Unit Cost (CLP)],TblPurchases[BatchID],TblOutcomes[[#This Row],[BatchID]]))</f>
        <v>0</v>
      </c>
      <c r="Q1005" s="51">
        <f>IF(COUNTIF(TblPurchases[BatchID],TblOutcomes[[#This Row],[BatchID]])&lt;&gt;1,"n.a.",SUMIFS(TblPurchases[Purchase Date],TblPurchases[BatchID],TblOutcomes[[#This Row],[BatchID]]))</f>
        <v>45380</v>
      </c>
    </row>
    <row r="1006" spans="2:17" x14ac:dyDescent="0.25">
      <c r="B1006" s="2" t="s">
        <v>1810</v>
      </c>
      <c r="C1006" s="2" t="s">
        <v>156</v>
      </c>
      <c r="D1006" s="2" t="s">
        <v>155</v>
      </c>
      <c r="E1006" s="2" t="s">
        <v>4646</v>
      </c>
      <c r="F1006" s="2">
        <v>17</v>
      </c>
      <c r="G1006" s="2">
        <v>11.19</v>
      </c>
      <c r="H1006" s="2">
        <v>5.81</v>
      </c>
      <c r="I1006" s="1">
        <v>34.200000000000003</v>
      </c>
      <c r="J1006" s="26">
        <v>45407</v>
      </c>
      <c r="K1006" s="22">
        <v>16785</v>
      </c>
      <c r="L1006" s="18">
        <v>17.95</v>
      </c>
      <c r="M1006" s="22">
        <v>17850</v>
      </c>
      <c r="N1006" s="22">
        <v>-1065</v>
      </c>
      <c r="O1006" s="18">
        <v>-1.1399999999999999</v>
      </c>
      <c r="P1006" s="52">
        <f>IF(COUNTIF(TblPurchases[BatchID],TblOutcomes[[#This Row],[BatchID]])&lt;&gt;1,"n.a.",TblOutcomes[[#This Row],[Qty Wasted]]*SUMIFS(TblPurchases[Unit Cost (CLP)],TblPurchases[BatchID],TblOutcomes[[#This Row],[BatchID]]))</f>
        <v>6100.5</v>
      </c>
      <c r="Q1006" s="51">
        <f>IF(COUNTIF(TblPurchases[BatchID],TblOutcomes[[#This Row],[BatchID]])&lt;&gt;1,"n.a.",SUMIFS(TblPurchases[Purchase Date],TblPurchases[BatchID],TblOutcomes[[#This Row],[BatchID]]))</f>
        <v>45387</v>
      </c>
    </row>
    <row r="1007" spans="2:17" x14ac:dyDescent="0.25">
      <c r="B1007" s="2" t="s">
        <v>1811</v>
      </c>
      <c r="C1007" s="2" t="s">
        <v>156</v>
      </c>
      <c r="D1007" s="2" t="s">
        <v>155</v>
      </c>
      <c r="E1007" s="2" t="s">
        <v>4646</v>
      </c>
      <c r="F1007" s="2">
        <v>20</v>
      </c>
      <c r="G1007" s="2">
        <v>15.12</v>
      </c>
      <c r="H1007" s="2">
        <v>4.88</v>
      </c>
      <c r="I1007" s="1">
        <v>24.4</v>
      </c>
      <c r="J1007" s="26">
        <v>45415</v>
      </c>
      <c r="K1007" s="22">
        <v>22680</v>
      </c>
      <c r="L1007" s="18">
        <v>24.26</v>
      </c>
      <c r="M1007" s="22">
        <v>24000</v>
      </c>
      <c r="N1007" s="22">
        <v>-1320</v>
      </c>
      <c r="O1007" s="18">
        <v>-1.41</v>
      </c>
      <c r="P1007" s="52">
        <f>IF(COUNTIF(TblPurchases[BatchID],TblOutcomes[[#This Row],[BatchID]])&lt;&gt;1,"n.a.",TblOutcomes[[#This Row],[Qty Wasted]]*SUMIFS(TblPurchases[Unit Cost (CLP)],TblPurchases[BatchID],TblOutcomes[[#This Row],[BatchID]]))</f>
        <v>5856</v>
      </c>
      <c r="Q1007" s="51">
        <f>IF(COUNTIF(TblPurchases[BatchID],TblOutcomes[[#This Row],[BatchID]])&lt;&gt;1,"n.a.",SUMIFS(TblPurchases[Purchase Date],TblPurchases[BatchID],TblOutcomes[[#This Row],[BatchID]]))</f>
        <v>45395</v>
      </c>
    </row>
    <row r="1008" spans="2:17" x14ac:dyDescent="0.25">
      <c r="B1008" s="2" t="s">
        <v>1812</v>
      </c>
      <c r="C1008" s="2" t="s">
        <v>156</v>
      </c>
      <c r="D1008" s="2" t="s">
        <v>155</v>
      </c>
      <c r="E1008" s="2" t="s">
        <v>4647</v>
      </c>
      <c r="F1008" s="2">
        <v>17</v>
      </c>
      <c r="G1008" s="2">
        <v>17</v>
      </c>
      <c r="H1008" s="2">
        <v>0</v>
      </c>
      <c r="I1008" s="1">
        <v>0</v>
      </c>
      <c r="J1008" s="26">
        <v>45409</v>
      </c>
      <c r="K1008" s="22">
        <v>25500</v>
      </c>
      <c r="L1008" s="18">
        <v>27.27</v>
      </c>
      <c r="M1008" s="22">
        <v>17850</v>
      </c>
      <c r="N1008" s="22">
        <v>7650</v>
      </c>
      <c r="O1008" s="18">
        <v>8.18</v>
      </c>
      <c r="P1008" s="52">
        <f>IF(COUNTIF(TblPurchases[BatchID],TblOutcomes[[#This Row],[BatchID]])&lt;&gt;1,"n.a.",TblOutcomes[[#This Row],[Qty Wasted]]*SUMIFS(TblPurchases[Unit Cost (CLP)],TblPurchases[BatchID],TblOutcomes[[#This Row],[BatchID]]))</f>
        <v>0</v>
      </c>
      <c r="Q1008" s="51">
        <f>IF(COUNTIF(TblPurchases[BatchID],TblOutcomes[[#This Row],[BatchID]])&lt;&gt;1,"n.a.",SUMIFS(TblPurchases[Purchase Date],TblPurchases[BatchID],TblOutcomes[[#This Row],[BatchID]]))</f>
        <v>45401</v>
      </c>
    </row>
    <row r="1009" spans="2:17" x14ac:dyDescent="0.25">
      <c r="B1009" s="2" t="s">
        <v>1813</v>
      </c>
      <c r="C1009" s="2" t="s">
        <v>156</v>
      </c>
      <c r="D1009" s="2" t="s">
        <v>155</v>
      </c>
      <c r="E1009" s="2" t="s">
        <v>4647</v>
      </c>
      <c r="F1009" s="2">
        <v>19</v>
      </c>
      <c r="G1009" s="2">
        <v>19</v>
      </c>
      <c r="H1009" s="2">
        <v>0</v>
      </c>
      <c r="I1009" s="1">
        <v>0</v>
      </c>
      <c r="J1009" s="26">
        <v>45414</v>
      </c>
      <c r="K1009" s="22">
        <v>28500</v>
      </c>
      <c r="L1009" s="18">
        <v>30.48</v>
      </c>
      <c r="M1009" s="22">
        <v>19950</v>
      </c>
      <c r="N1009" s="22">
        <v>8550</v>
      </c>
      <c r="O1009" s="18">
        <v>9.14</v>
      </c>
      <c r="P1009" s="52">
        <f>IF(COUNTIF(TblPurchases[BatchID],TblOutcomes[[#This Row],[BatchID]])&lt;&gt;1,"n.a.",TblOutcomes[[#This Row],[Qty Wasted]]*SUMIFS(TblPurchases[Unit Cost (CLP)],TblPurchases[BatchID],TblOutcomes[[#This Row],[BatchID]]))</f>
        <v>0</v>
      </c>
      <c r="Q1009" s="51">
        <f>IF(COUNTIF(TblPurchases[BatchID],TblOutcomes[[#This Row],[BatchID]])&lt;&gt;1,"n.a.",SUMIFS(TblPurchases[Purchase Date],TblPurchases[BatchID],TblOutcomes[[#This Row],[BatchID]]))</f>
        <v>45408</v>
      </c>
    </row>
    <row r="1010" spans="2:17" x14ac:dyDescent="0.25">
      <c r="B1010" s="2" t="s">
        <v>1814</v>
      </c>
      <c r="C1010" s="2" t="s">
        <v>156</v>
      </c>
      <c r="D1010" s="2" t="s">
        <v>155</v>
      </c>
      <c r="E1010" s="2" t="s">
        <v>4646</v>
      </c>
      <c r="F1010" s="2">
        <v>16</v>
      </c>
      <c r="G1010" s="2">
        <v>11.7</v>
      </c>
      <c r="H1010" s="2">
        <v>4.3</v>
      </c>
      <c r="I1010" s="1">
        <v>26.9</v>
      </c>
      <c r="J1010" s="26">
        <v>45435</v>
      </c>
      <c r="K1010" s="22">
        <v>17550</v>
      </c>
      <c r="L1010" s="18">
        <v>18.77</v>
      </c>
      <c r="M1010" s="22">
        <v>16800</v>
      </c>
      <c r="N1010" s="22">
        <v>750</v>
      </c>
      <c r="O1010" s="18">
        <v>0.8</v>
      </c>
      <c r="P1010" s="52">
        <f>IF(COUNTIF(TblPurchases[BatchID],TblOutcomes[[#This Row],[BatchID]])&lt;&gt;1,"n.a.",TblOutcomes[[#This Row],[Qty Wasted]]*SUMIFS(TblPurchases[Unit Cost (CLP)],TblPurchases[BatchID],TblOutcomes[[#This Row],[BatchID]]))</f>
        <v>4515</v>
      </c>
      <c r="Q1010" s="51">
        <f>IF(COUNTIF(TblPurchases[BatchID],TblOutcomes[[#This Row],[BatchID]])&lt;&gt;1,"n.a.",SUMIFS(TblPurchases[Purchase Date],TblPurchases[BatchID],TblOutcomes[[#This Row],[BatchID]]))</f>
        <v>45415</v>
      </c>
    </row>
    <row r="1011" spans="2:17" x14ac:dyDescent="0.25">
      <c r="B1011" s="2" t="s">
        <v>1815</v>
      </c>
      <c r="C1011" s="2" t="s">
        <v>156</v>
      </c>
      <c r="D1011" s="2" t="s">
        <v>155</v>
      </c>
      <c r="E1011" s="2" t="s">
        <v>4647</v>
      </c>
      <c r="F1011" s="2">
        <v>21</v>
      </c>
      <c r="G1011" s="2">
        <v>21</v>
      </c>
      <c r="H1011" s="2">
        <v>0</v>
      </c>
      <c r="I1011" s="1">
        <v>0</v>
      </c>
      <c r="J1011" s="26">
        <v>45428</v>
      </c>
      <c r="K1011" s="22">
        <v>31500</v>
      </c>
      <c r="L1011" s="18">
        <v>33.69</v>
      </c>
      <c r="M1011" s="22">
        <v>22050</v>
      </c>
      <c r="N1011" s="22">
        <v>9450</v>
      </c>
      <c r="O1011" s="18">
        <v>10.11</v>
      </c>
      <c r="P1011" s="52">
        <f>IF(COUNTIF(TblPurchases[BatchID],TblOutcomes[[#This Row],[BatchID]])&lt;&gt;1,"n.a.",TblOutcomes[[#This Row],[Qty Wasted]]*SUMIFS(TblPurchases[Unit Cost (CLP)],TblPurchases[BatchID],TblOutcomes[[#This Row],[BatchID]]))</f>
        <v>0</v>
      </c>
      <c r="Q1011" s="51">
        <f>IF(COUNTIF(TblPurchases[BatchID],TblOutcomes[[#This Row],[BatchID]])&lt;&gt;1,"n.a.",SUMIFS(TblPurchases[Purchase Date],TblPurchases[BatchID],TblOutcomes[[#This Row],[BatchID]]))</f>
        <v>45423</v>
      </c>
    </row>
    <row r="1012" spans="2:17" x14ac:dyDescent="0.25">
      <c r="B1012" s="2" t="s">
        <v>1816</v>
      </c>
      <c r="C1012" s="2" t="s">
        <v>156</v>
      </c>
      <c r="D1012" s="2" t="s">
        <v>155</v>
      </c>
      <c r="E1012" s="2" t="s">
        <v>4647</v>
      </c>
      <c r="F1012" s="2">
        <v>16</v>
      </c>
      <c r="G1012" s="2">
        <v>16</v>
      </c>
      <c r="H1012" s="2">
        <v>0</v>
      </c>
      <c r="I1012" s="1">
        <v>0</v>
      </c>
      <c r="J1012" s="26">
        <v>45437</v>
      </c>
      <c r="K1012" s="22">
        <v>24000</v>
      </c>
      <c r="L1012" s="18">
        <v>25.67</v>
      </c>
      <c r="M1012" s="22">
        <v>16800</v>
      </c>
      <c r="N1012" s="22">
        <v>7200</v>
      </c>
      <c r="O1012" s="18">
        <v>7.7</v>
      </c>
      <c r="P1012" s="52">
        <f>IF(COUNTIF(TblPurchases[BatchID],TblOutcomes[[#This Row],[BatchID]])&lt;&gt;1,"n.a.",TblOutcomes[[#This Row],[Qty Wasted]]*SUMIFS(TblPurchases[Unit Cost (CLP)],TblPurchases[BatchID],TblOutcomes[[#This Row],[BatchID]]))</f>
        <v>0</v>
      </c>
      <c r="Q1012" s="51">
        <f>IF(COUNTIF(TblPurchases[BatchID],TblOutcomes[[#This Row],[BatchID]])&lt;&gt;1,"n.a.",SUMIFS(TblPurchases[Purchase Date],TblPurchases[BatchID],TblOutcomes[[#This Row],[BatchID]]))</f>
        <v>45430</v>
      </c>
    </row>
    <row r="1013" spans="2:17" x14ac:dyDescent="0.25">
      <c r="B1013" s="2" t="s">
        <v>1817</v>
      </c>
      <c r="C1013" s="2" t="s">
        <v>156</v>
      </c>
      <c r="D1013" s="2" t="s">
        <v>155</v>
      </c>
      <c r="E1013" s="2" t="s">
        <v>4647</v>
      </c>
      <c r="F1013" s="2">
        <v>18</v>
      </c>
      <c r="G1013" s="2">
        <v>18</v>
      </c>
      <c r="H1013" s="2">
        <v>0</v>
      </c>
      <c r="I1013" s="1">
        <v>0</v>
      </c>
      <c r="J1013" s="26">
        <v>45443</v>
      </c>
      <c r="K1013" s="22">
        <v>27000</v>
      </c>
      <c r="L1013" s="18">
        <v>28.88</v>
      </c>
      <c r="M1013" s="22">
        <v>21600</v>
      </c>
      <c r="N1013" s="22">
        <v>5400</v>
      </c>
      <c r="O1013" s="18">
        <v>5.78</v>
      </c>
      <c r="P1013" s="52">
        <f>IF(COUNTIF(TblPurchases[BatchID],TblOutcomes[[#This Row],[BatchID]])&lt;&gt;1,"n.a.",TblOutcomes[[#This Row],[Qty Wasted]]*SUMIFS(TblPurchases[Unit Cost (CLP)],TblPurchases[BatchID],TblOutcomes[[#This Row],[BatchID]]))</f>
        <v>0</v>
      </c>
      <c r="Q1013" s="51">
        <f>IF(COUNTIF(TblPurchases[BatchID],TblOutcomes[[#This Row],[BatchID]])&lt;&gt;1,"n.a.",SUMIFS(TblPurchases[Purchase Date],TblPurchases[BatchID],TblOutcomes[[#This Row],[BatchID]]))</f>
        <v>45436</v>
      </c>
    </row>
    <row r="1014" spans="2:17" x14ac:dyDescent="0.25">
      <c r="B1014" s="2" t="s">
        <v>1818</v>
      </c>
      <c r="C1014" s="2" t="s">
        <v>156</v>
      </c>
      <c r="D1014" s="2" t="s">
        <v>155</v>
      </c>
      <c r="E1014" s="2" t="s">
        <v>4646</v>
      </c>
      <c r="F1014" s="2">
        <v>20</v>
      </c>
      <c r="G1014" s="2">
        <v>13.3</v>
      </c>
      <c r="H1014" s="2">
        <v>6.7</v>
      </c>
      <c r="I1014" s="1">
        <v>33.5</v>
      </c>
      <c r="J1014" s="26">
        <v>45462</v>
      </c>
      <c r="K1014" s="22">
        <v>19950</v>
      </c>
      <c r="L1014" s="18">
        <v>21.34</v>
      </c>
      <c r="M1014" s="22">
        <v>21000</v>
      </c>
      <c r="N1014" s="22">
        <v>-1050</v>
      </c>
      <c r="O1014" s="18">
        <v>-1.1200000000000001</v>
      </c>
      <c r="P1014" s="52">
        <f>IF(COUNTIF(TblPurchases[BatchID],TblOutcomes[[#This Row],[BatchID]])&lt;&gt;1,"n.a.",TblOutcomes[[#This Row],[Qty Wasted]]*SUMIFS(TblPurchases[Unit Cost (CLP)],TblPurchases[BatchID],TblOutcomes[[#This Row],[BatchID]]))</f>
        <v>7035</v>
      </c>
      <c r="Q1014" s="51">
        <f>IF(COUNTIF(TblPurchases[BatchID],TblOutcomes[[#This Row],[BatchID]])&lt;&gt;1,"n.a.",SUMIFS(TblPurchases[Purchase Date],TblPurchases[BatchID],TblOutcomes[[#This Row],[BatchID]]))</f>
        <v>45442</v>
      </c>
    </row>
    <row r="1015" spans="2:17" x14ac:dyDescent="0.25">
      <c r="B1015" s="2" t="s">
        <v>1819</v>
      </c>
      <c r="C1015" s="2" t="s">
        <v>156</v>
      </c>
      <c r="D1015" s="2" t="s">
        <v>155</v>
      </c>
      <c r="E1015" s="2" t="s">
        <v>4646</v>
      </c>
      <c r="F1015" s="2">
        <v>19</v>
      </c>
      <c r="G1015" s="2">
        <v>11.82</v>
      </c>
      <c r="H1015" s="2">
        <v>7.18</v>
      </c>
      <c r="I1015" s="1">
        <v>37.799999999999997</v>
      </c>
      <c r="J1015" s="26">
        <v>45468</v>
      </c>
      <c r="K1015" s="22">
        <v>17730</v>
      </c>
      <c r="L1015" s="18">
        <v>18.96</v>
      </c>
      <c r="M1015" s="22">
        <v>22800</v>
      </c>
      <c r="N1015" s="22">
        <v>-5070</v>
      </c>
      <c r="O1015" s="18">
        <v>-5.42</v>
      </c>
      <c r="P1015" s="52">
        <f>IF(COUNTIF(TblPurchases[BatchID],TblOutcomes[[#This Row],[BatchID]])&lt;&gt;1,"n.a.",TblOutcomes[[#This Row],[Qty Wasted]]*SUMIFS(TblPurchases[Unit Cost (CLP)],TblPurchases[BatchID],TblOutcomes[[#This Row],[BatchID]]))</f>
        <v>8616</v>
      </c>
      <c r="Q1015" s="51">
        <f>IF(COUNTIF(TblPurchases[BatchID],TblOutcomes[[#This Row],[BatchID]])&lt;&gt;1,"n.a.",SUMIFS(TblPurchases[Purchase Date],TblPurchases[BatchID],TblOutcomes[[#This Row],[BatchID]]))</f>
        <v>45448</v>
      </c>
    </row>
    <row r="1016" spans="2:17" x14ac:dyDescent="0.25">
      <c r="B1016" s="2" t="s">
        <v>1820</v>
      </c>
      <c r="C1016" s="2" t="s">
        <v>156</v>
      </c>
      <c r="D1016" s="2" t="s">
        <v>155</v>
      </c>
      <c r="E1016" s="2" t="s">
        <v>4647</v>
      </c>
      <c r="F1016" s="2">
        <v>17</v>
      </c>
      <c r="G1016" s="2">
        <v>17</v>
      </c>
      <c r="H1016" s="2">
        <v>0</v>
      </c>
      <c r="I1016" s="1">
        <v>0</v>
      </c>
      <c r="J1016" s="26">
        <v>45459</v>
      </c>
      <c r="K1016" s="22">
        <v>25500</v>
      </c>
      <c r="L1016" s="18">
        <v>27.27</v>
      </c>
      <c r="M1016" s="22">
        <v>20400</v>
      </c>
      <c r="N1016" s="22">
        <v>5100</v>
      </c>
      <c r="O1016" s="18">
        <v>5.45</v>
      </c>
      <c r="P1016" s="52">
        <f>IF(COUNTIF(TblPurchases[BatchID],TblOutcomes[[#This Row],[BatchID]])&lt;&gt;1,"n.a.",TblOutcomes[[#This Row],[Qty Wasted]]*SUMIFS(TblPurchases[Unit Cost (CLP)],TblPurchases[BatchID],TblOutcomes[[#This Row],[BatchID]]))</f>
        <v>0</v>
      </c>
      <c r="Q1016" s="51">
        <f>IF(COUNTIF(TblPurchases[BatchID],TblOutcomes[[#This Row],[BatchID]])&lt;&gt;1,"n.a.",SUMIFS(TblPurchases[Purchase Date],TblPurchases[BatchID],TblOutcomes[[#This Row],[BatchID]]))</f>
        <v>45454</v>
      </c>
    </row>
    <row r="1017" spans="2:17" x14ac:dyDescent="0.25">
      <c r="B1017" s="2" t="s">
        <v>1821</v>
      </c>
      <c r="C1017" s="2" t="s">
        <v>156</v>
      </c>
      <c r="D1017" s="2" t="s">
        <v>155</v>
      </c>
      <c r="E1017" s="2" t="s">
        <v>4646</v>
      </c>
      <c r="F1017" s="2">
        <v>16</v>
      </c>
      <c r="G1017" s="2">
        <v>12.05</v>
      </c>
      <c r="H1017" s="2">
        <v>3.95</v>
      </c>
      <c r="I1017" s="1">
        <v>24.7</v>
      </c>
      <c r="J1017" s="26">
        <v>45479</v>
      </c>
      <c r="K1017" s="22">
        <v>18075</v>
      </c>
      <c r="L1017" s="18">
        <v>19.329999999999998</v>
      </c>
      <c r="M1017" s="22">
        <v>16800</v>
      </c>
      <c r="N1017" s="22">
        <v>1275</v>
      </c>
      <c r="O1017" s="18">
        <v>1.36</v>
      </c>
      <c r="P1017" s="52">
        <f>IF(COUNTIF(TblPurchases[BatchID],TblOutcomes[[#This Row],[BatchID]])&lt;&gt;1,"n.a.",TblOutcomes[[#This Row],[Qty Wasted]]*SUMIFS(TblPurchases[Unit Cost (CLP)],TblPurchases[BatchID],TblOutcomes[[#This Row],[BatchID]]))</f>
        <v>4147.5</v>
      </c>
      <c r="Q1017" s="51">
        <f>IF(COUNTIF(TblPurchases[BatchID],TblOutcomes[[#This Row],[BatchID]])&lt;&gt;1,"n.a.",SUMIFS(TblPurchases[Purchase Date],TblPurchases[BatchID],TblOutcomes[[#This Row],[BatchID]]))</f>
        <v>45459</v>
      </c>
    </row>
    <row r="1018" spans="2:17" x14ac:dyDescent="0.25">
      <c r="B1018" s="2" t="s">
        <v>1822</v>
      </c>
      <c r="C1018" s="2" t="s">
        <v>156</v>
      </c>
      <c r="D1018" s="2" t="s">
        <v>155</v>
      </c>
      <c r="E1018" s="2" t="s">
        <v>4647</v>
      </c>
      <c r="F1018" s="2">
        <v>19</v>
      </c>
      <c r="G1018" s="2">
        <v>19</v>
      </c>
      <c r="H1018" s="2">
        <v>0</v>
      </c>
      <c r="I1018" s="1">
        <v>0</v>
      </c>
      <c r="J1018" s="26">
        <v>45469</v>
      </c>
      <c r="K1018" s="22">
        <v>28500</v>
      </c>
      <c r="L1018" s="18">
        <v>30.48</v>
      </c>
      <c r="M1018" s="22">
        <v>22800</v>
      </c>
      <c r="N1018" s="22">
        <v>5700</v>
      </c>
      <c r="O1018" s="18">
        <v>6.1</v>
      </c>
      <c r="P1018" s="52">
        <f>IF(COUNTIF(TblPurchases[BatchID],TblOutcomes[[#This Row],[BatchID]])&lt;&gt;1,"n.a.",TblOutcomes[[#This Row],[Qty Wasted]]*SUMIFS(TblPurchases[Unit Cost (CLP)],TblPurchases[BatchID],TblOutcomes[[#This Row],[BatchID]]))</f>
        <v>0</v>
      </c>
      <c r="Q1018" s="51">
        <f>IF(COUNTIF(TblPurchases[BatchID],TblOutcomes[[#This Row],[BatchID]])&lt;&gt;1,"n.a.",SUMIFS(TblPurchases[Purchase Date],TblPurchases[BatchID],TblOutcomes[[#This Row],[BatchID]]))</f>
        <v>45465</v>
      </c>
    </row>
    <row r="1019" spans="2:17" x14ac:dyDescent="0.25">
      <c r="B1019" s="2" t="s">
        <v>1823</v>
      </c>
      <c r="C1019" s="2" t="s">
        <v>156</v>
      </c>
      <c r="D1019" s="2" t="s">
        <v>155</v>
      </c>
      <c r="E1019" s="2" t="s">
        <v>4647</v>
      </c>
      <c r="F1019" s="2">
        <v>16</v>
      </c>
      <c r="G1019" s="2">
        <v>16</v>
      </c>
      <c r="H1019" s="2">
        <v>0</v>
      </c>
      <c r="I1019" s="1">
        <v>0</v>
      </c>
      <c r="J1019" s="26">
        <v>45476</v>
      </c>
      <c r="K1019" s="22">
        <v>24000</v>
      </c>
      <c r="L1019" s="18">
        <v>25.67</v>
      </c>
      <c r="M1019" s="22">
        <v>19200</v>
      </c>
      <c r="N1019" s="22">
        <v>4800</v>
      </c>
      <c r="O1019" s="18">
        <v>5.13</v>
      </c>
      <c r="P1019" s="52">
        <f>IF(COUNTIF(TblPurchases[BatchID],TblOutcomes[[#This Row],[BatchID]])&lt;&gt;1,"n.a.",TblOutcomes[[#This Row],[Qty Wasted]]*SUMIFS(TblPurchases[Unit Cost (CLP)],TblPurchases[BatchID],TblOutcomes[[#This Row],[BatchID]]))</f>
        <v>0</v>
      </c>
      <c r="Q1019" s="51">
        <f>IF(COUNTIF(TblPurchases[BatchID],TblOutcomes[[#This Row],[BatchID]])&lt;&gt;1,"n.a.",SUMIFS(TblPurchases[Purchase Date],TblPurchases[BatchID],TblOutcomes[[#This Row],[BatchID]]))</f>
        <v>45470</v>
      </c>
    </row>
    <row r="1020" spans="2:17" x14ac:dyDescent="0.25">
      <c r="B1020" s="2" t="s">
        <v>1824</v>
      </c>
      <c r="C1020" s="2" t="s">
        <v>156</v>
      </c>
      <c r="D1020" s="2" t="s">
        <v>155</v>
      </c>
      <c r="E1020" s="2" t="s">
        <v>4646</v>
      </c>
      <c r="F1020" s="2">
        <v>19</v>
      </c>
      <c r="G1020" s="2">
        <v>11.3</v>
      </c>
      <c r="H1020" s="2">
        <v>7.7</v>
      </c>
      <c r="I1020" s="1">
        <v>40.5</v>
      </c>
      <c r="J1020" s="26">
        <v>45496</v>
      </c>
      <c r="K1020" s="22">
        <v>16950</v>
      </c>
      <c r="L1020" s="18">
        <v>18.13</v>
      </c>
      <c r="M1020" s="22">
        <v>19950</v>
      </c>
      <c r="N1020" s="22">
        <v>-3000</v>
      </c>
      <c r="O1020" s="18">
        <v>-3.21</v>
      </c>
      <c r="P1020" s="52">
        <f>IF(COUNTIF(TblPurchases[BatchID],TblOutcomes[[#This Row],[BatchID]])&lt;&gt;1,"n.a.",TblOutcomes[[#This Row],[Qty Wasted]]*SUMIFS(TblPurchases[Unit Cost (CLP)],TblPurchases[BatchID],TblOutcomes[[#This Row],[BatchID]]))</f>
        <v>8085</v>
      </c>
      <c r="Q1020" s="51">
        <f>IF(COUNTIF(TblPurchases[BatchID],TblOutcomes[[#This Row],[BatchID]])&lt;&gt;1,"n.a.",SUMIFS(TblPurchases[Purchase Date],TblPurchases[BatchID],TblOutcomes[[#This Row],[BatchID]]))</f>
        <v>45476</v>
      </c>
    </row>
    <row r="1021" spans="2:17" x14ac:dyDescent="0.25">
      <c r="B1021" s="2" t="s">
        <v>1825</v>
      </c>
      <c r="C1021" s="2" t="s">
        <v>156</v>
      </c>
      <c r="D1021" s="2" t="s">
        <v>155</v>
      </c>
      <c r="E1021" s="2" t="s">
        <v>4646</v>
      </c>
      <c r="F1021" s="2">
        <v>15</v>
      </c>
      <c r="G1021" s="2">
        <v>10.81</v>
      </c>
      <c r="H1021" s="2">
        <v>4.1900000000000004</v>
      </c>
      <c r="I1021" s="1">
        <v>27.9</v>
      </c>
      <c r="J1021" s="26">
        <v>45503</v>
      </c>
      <c r="K1021" s="22">
        <v>16215</v>
      </c>
      <c r="L1021" s="18">
        <v>17.34</v>
      </c>
      <c r="M1021" s="22">
        <v>15750</v>
      </c>
      <c r="N1021" s="22">
        <v>465</v>
      </c>
      <c r="O1021" s="18">
        <v>0.5</v>
      </c>
      <c r="P1021" s="52">
        <f>IF(COUNTIF(TblPurchases[BatchID],TblOutcomes[[#This Row],[BatchID]])&lt;&gt;1,"n.a.",TblOutcomes[[#This Row],[Qty Wasted]]*SUMIFS(TblPurchases[Unit Cost (CLP)],TblPurchases[BatchID],TblOutcomes[[#This Row],[BatchID]]))</f>
        <v>4399.5</v>
      </c>
      <c r="Q1021" s="51">
        <f>IF(COUNTIF(TblPurchases[BatchID],TblOutcomes[[#This Row],[BatchID]])&lt;&gt;1,"n.a.",SUMIFS(TblPurchases[Purchase Date],TblPurchases[BatchID],TblOutcomes[[#This Row],[BatchID]]))</f>
        <v>45483</v>
      </c>
    </row>
    <row r="1022" spans="2:17" x14ac:dyDescent="0.25">
      <c r="B1022" s="2" t="s">
        <v>1826</v>
      </c>
      <c r="C1022" s="2" t="s">
        <v>156</v>
      </c>
      <c r="D1022" s="2" t="s">
        <v>155</v>
      </c>
      <c r="E1022" s="2" t="s">
        <v>4647</v>
      </c>
      <c r="F1022" s="2">
        <v>18</v>
      </c>
      <c r="G1022" s="2">
        <v>18</v>
      </c>
      <c r="H1022" s="2">
        <v>0</v>
      </c>
      <c r="I1022" s="1">
        <v>0</v>
      </c>
      <c r="J1022" s="26">
        <v>45498</v>
      </c>
      <c r="K1022" s="22">
        <v>27000</v>
      </c>
      <c r="L1022" s="18">
        <v>28.88</v>
      </c>
      <c r="M1022" s="22">
        <v>18900</v>
      </c>
      <c r="N1022" s="22">
        <v>8100</v>
      </c>
      <c r="O1022" s="18">
        <v>8.66</v>
      </c>
      <c r="P1022" s="52">
        <f>IF(COUNTIF(TblPurchases[BatchID],TblOutcomes[[#This Row],[BatchID]])&lt;&gt;1,"n.a.",TblOutcomes[[#This Row],[Qty Wasted]]*SUMIFS(TblPurchases[Unit Cost (CLP)],TblPurchases[BatchID],TblOutcomes[[#This Row],[BatchID]]))</f>
        <v>0</v>
      </c>
      <c r="Q1022" s="51">
        <f>IF(COUNTIF(TblPurchases[BatchID],TblOutcomes[[#This Row],[BatchID]])&lt;&gt;1,"n.a.",SUMIFS(TblPurchases[Purchase Date],TblPurchases[BatchID],TblOutcomes[[#This Row],[BatchID]]))</f>
        <v>45491</v>
      </c>
    </row>
    <row r="1023" spans="2:17" x14ac:dyDescent="0.25">
      <c r="B1023" s="2" t="s">
        <v>1827</v>
      </c>
      <c r="C1023" s="2" t="s">
        <v>156</v>
      </c>
      <c r="D1023" s="2" t="s">
        <v>155</v>
      </c>
      <c r="E1023" s="2" t="s">
        <v>4646</v>
      </c>
      <c r="F1023" s="2">
        <v>17</v>
      </c>
      <c r="G1023" s="2">
        <v>13.72</v>
      </c>
      <c r="H1023" s="2">
        <v>3.28</v>
      </c>
      <c r="I1023" s="1">
        <v>19.3</v>
      </c>
      <c r="J1023" s="26">
        <v>45516</v>
      </c>
      <c r="K1023" s="22">
        <v>20580</v>
      </c>
      <c r="L1023" s="18">
        <v>22.01</v>
      </c>
      <c r="M1023" s="22">
        <v>17850</v>
      </c>
      <c r="N1023" s="22">
        <v>2730</v>
      </c>
      <c r="O1023" s="18">
        <v>2.92</v>
      </c>
      <c r="P1023" s="52">
        <f>IF(COUNTIF(TblPurchases[BatchID],TblOutcomes[[#This Row],[BatchID]])&lt;&gt;1,"n.a.",TblOutcomes[[#This Row],[Qty Wasted]]*SUMIFS(TblPurchases[Unit Cost (CLP)],TblPurchases[BatchID],TblOutcomes[[#This Row],[BatchID]]))</f>
        <v>3444</v>
      </c>
      <c r="Q1023" s="51">
        <f>IF(COUNTIF(TblPurchases[BatchID],TblOutcomes[[#This Row],[BatchID]])&lt;&gt;1,"n.a.",SUMIFS(TblPurchases[Purchase Date],TblPurchases[BatchID],TblOutcomes[[#This Row],[BatchID]]))</f>
        <v>45496</v>
      </c>
    </row>
    <row r="1024" spans="2:17" x14ac:dyDescent="0.25">
      <c r="B1024" s="2" t="s">
        <v>1828</v>
      </c>
      <c r="C1024" s="2" t="s">
        <v>156</v>
      </c>
      <c r="D1024" s="2" t="s">
        <v>155</v>
      </c>
      <c r="E1024" s="2" t="s">
        <v>4646</v>
      </c>
      <c r="F1024" s="2">
        <v>20</v>
      </c>
      <c r="G1024" s="2">
        <v>12.66</v>
      </c>
      <c r="H1024" s="2">
        <v>7.34</v>
      </c>
      <c r="I1024" s="1">
        <v>36.700000000000003</v>
      </c>
      <c r="J1024" s="26">
        <v>45523</v>
      </c>
      <c r="K1024" s="22">
        <v>18990</v>
      </c>
      <c r="L1024" s="18">
        <v>20.309999999999999</v>
      </c>
      <c r="M1024" s="22">
        <v>21000</v>
      </c>
      <c r="N1024" s="22">
        <v>-2010</v>
      </c>
      <c r="O1024" s="18">
        <v>-2.15</v>
      </c>
      <c r="P1024" s="52">
        <f>IF(COUNTIF(TblPurchases[BatchID],TblOutcomes[[#This Row],[BatchID]])&lt;&gt;1,"n.a.",TblOutcomes[[#This Row],[Qty Wasted]]*SUMIFS(TblPurchases[Unit Cost (CLP)],TblPurchases[BatchID],TblOutcomes[[#This Row],[BatchID]]))</f>
        <v>7707</v>
      </c>
      <c r="Q1024" s="51">
        <f>IF(COUNTIF(TblPurchases[BatchID],TblOutcomes[[#This Row],[BatchID]])&lt;&gt;1,"n.a.",SUMIFS(TblPurchases[Purchase Date],TblPurchases[BatchID],TblOutcomes[[#This Row],[BatchID]]))</f>
        <v>45503</v>
      </c>
    </row>
    <row r="1025" spans="2:17" x14ac:dyDescent="0.25">
      <c r="B1025" s="2" t="s">
        <v>1829</v>
      </c>
      <c r="C1025" s="2" t="s">
        <v>156</v>
      </c>
      <c r="D1025" s="2" t="s">
        <v>155</v>
      </c>
      <c r="E1025" s="2" t="s">
        <v>4646</v>
      </c>
      <c r="F1025" s="2">
        <v>16</v>
      </c>
      <c r="G1025" s="2">
        <v>13.89</v>
      </c>
      <c r="H1025" s="2">
        <v>2.11</v>
      </c>
      <c r="I1025" s="1">
        <v>13.2</v>
      </c>
      <c r="J1025" s="26">
        <v>45528</v>
      </c>
      <c r="K1025" s="22">
        <v>20835</v>
      </c>
      <c r="L1025" s="18">
        <v>22.28</v>
      </c>
      <c r="M1025" s="22">
        <v>16800</v>
      </c>
      <c r="N1025" s="22">
        <v>4035</v>
      </c>
      <c r="O1025" s="18">
        <v>4.32</v>
      </c>
      <c r="P1025" s="52">
        <f>IF(COUNTIF(TblPurchases[BatchID],TblOutcomes[[#This Row],[BatchID]])&lt;&gt;1,"n.a.",TblOutcomes[[#This Row],[Qty Wasted]]*SUMIFS(TblPurchases[Unit Cost (CLP)],TblPurchases[BatchID],TblOutcomes[[#This Row],[BatchID]]))</f>
        <v>2215.5</v>
      </c>
      <c r="Q1025" s="51">
        <f>IF(COUNTIF(TblPurchases[BatchID],TblOutcomes[[#This Row],[BatchID]])&lt;&gt;1,"n.a.",SUMIFS(TblPurchases[Purchase Date],TblPurchases[BatchID],TblOutcomes[[#This Row],[BatchID]]))</f>
        <v>45508</v>
      </c>
    </row>
    <row r="1026" spans="2:17" x14ac:dyDescent="0.25">
      <c r="B1026" s="2" t="s">
        <v>1830</v>
      </c>
      <c r="C1026" s="2" t="s">
        <v>156</v>
      </c>
      <c r="D1026" s="2" t="s">
        <v>155</v>
      </c>
      <c r="E1026" s="2" t="s">
        <v>4647</v>
      </c>
      <c r="F1026" s="2">
        <v>16</v>
      </c>
      <c r="G1026" s="2">
        <v>16</v>
      </c>
      <c r="H1026" s="2">
        <v>0</v>
      </c>
      <c r="I1026" s="1">
        <v>0</v>
      </c>
      <c r="J1026" s="26">
        <v>45521</v>
      </c>
      <c r="K1026" s="22">
        <v>24000</v>
      </c>
      <c r="L1026" s="18">
        <v>25.67</v>
      </c>
      <c r="M1026" s="22">
        <v>16800</v>
      </c>
      <c r="N1026" s="22">
        <v>7200</v>
      </c>
      <c r="O1026" s="18">
        <v>7.7</v>
      </c>
      <c r="P1026" s="52">
        <f>IF(COUNTIF(TblPurchases[BatchID],TblOutcomes[[#This Row],[BatchID]])&lt;&gt;1,"n.a.",TblOutcomes[[#This Row],[Qty Wasted]]*SUMIFS(TblPurchases[Unit Cost (CLP)],TblPurchases[BatchID],TblOutcomes[[#This Row],[BatchID]]))</f>
        <v>0</v>
      </c>
      <c r="Q1026" s="51">
        <f>IF(COUNTIF(TblPurchases[BatchID],TblOutcomes[[#This Row],[BatchID]])&lt;&gt;1,"n.a.",SUMIFS(TblPurchases[Purchase Date],TblPurchases[BatchID],TblOutcomes[[#This Row],[BatchID]]))</f>
        <v>45515</v>
      </c>
    </row>
    <row r="1027" spans="2:17" x14ac:dyDescent="0.25">
      <c r="B1027" s="2" t="s">
        <v>1831</v>
      </c>
      <c r="C1027" s="2" t="s">
        <v>156</v>
      </c>
      <c r="D1027" s="2" t="s">
        <v>155</v>
      </c>
      <c r="E1027" s="2" t="s">
        <v>4646</v>
      </c>
      <c r="F1027" s="2">
        <v>16</v>
      </c>
      <c r="G1027" s="2">
        <v>11.01</v>
      </c>
      <c r="H1027" s="2">
        <v>4.99</v>
      </c>
      <c r="I1027" s="1">
        <v>31.2</v>
      </c>
      <c r="J1027" s="26">
        <v>45541</v>
      </c>
      <c r="K1027" s="22">
        <v>16515</v>
      </c>
      <c r="L1027" s="18">
        <v>17.66</v>
      </c>
      <c r="M1027" s="22">
        <v>16800</v>
      </c>
      <c r="N1027" s="22">
        <v>-285</v>
      </c>
      <c r="O1027" s="18">
        <v>-0.3</v>
      </c>
      <c r="P1027" s="52">
        <f>IF(COUNTIF(TblPurchases[BatchID],TblOutcomes[[#This Row],[BatchID]])&lt;&gt;1,"n.a.",TblOutcomes[[#This Row],[Qty Wasted]]*SUMIFS(TblPurchases[Unit Cost (CLP)],TblPurchases[BatchID],TblOutcomes[[#This Row],[BatchID]]))</f>
        <v>5239.5</v>
      </c>
      <c r="Q1027" s="51">
        <f>IF(COUNTIF(TblPurchases[BatchID],TblOutcomes[[#This Row],[BatchID]])&lt;&gt;1,"n.a.",SUMIFS(TblPurchases[Purchase Date],TblPurchases[BatchID],TblOutcomes[[#This Row],[BatchID]]))</f>
        <v>45521</v>
      </c>
    </row>
    <row r="1028" spans="2:17" x14ac:dyDescent="0.25">
      <c r="B1028" s="2" t="s">
        <v>1832</v>
      </c>
      <c r="C1028" s="2" t="s">
        <v>156</v>
      </c>
      <c r="D1028" s="2" t="s">
        <v>155</v>
      </c>
      <c r="E1028" s="2" t="s">
        <v>4647</v>
      </c>
      <c r="F1028" s="2">
        <v>17</v>
      </c>
      <c r="G1028" s="2">
        <v>17</v>
      </c>
      <c r="H1028" s="2">
        <v>0</v>
      </c>
      <c r="I1028" s="1">
        <v>0</v>
      </c>
      <c r="J1028" s="26">
        <v>45531</v>
      </c>
      <c r="K1028" s="22">
        <v>25500</v>
      </c>
      <c r="L1028" s="18">
        <v>27.27</v>
      </c>
      <c r="M1028" s="22">
        <v>17850</v>
      </c>
      <c r="N1028" s="22">
        <v>7650</v>
      </c>
      <c r="O1028" s="18">
        <v>8.18</v>
      </c>
      <c r="P1028" s="52">
        <f>IF(COUNTIF(TblPurchases[BatchID],TblOutcomes[[#This Row],[BatchID]])&lt;&gt;1,"n.a.",TblOutcomes[[#This Row],[Qty Wasted]]*SUMIFS(TblPurchases[Unit Cost (CLP)],TblPurchases[BatchID],TblOutcomes[[#This Row],[BatchID]]))</f>
        <v>0</v>
      </c>
      <c r="Q1028" s="51">
        <f>IF(COUNTIF(TblPurchases[BatchID],TblOutcomes[[#This Row],[BatchID]])&lt;&gt;1,"n.a.",SUMIFS(TblPurchases[Purchase Date],TblPurchases[BatchID],TblOutcomes[[#This Row],[BatchID]]))</f>
        <v>45528</v>
      </c>
    </row>
    <row r="1029" spans="2:17" x14ac:dyDescent="0.25">
      <c r="B1029" s="2" t="s">
        <v>1833</v>
      </c>
      <c r="C1029" s="2" t="s">
        <v>156</v>
      </c>
      <c r="D1029" s="2" t="s">
        <v>155</v>
      </c>
      <c r="E1029" s="2" t="s">
        <v>4646</v>
      </c>
      <c r="F1029" s="2">
        <v>19</v>
      </c>
      <c r="G1029" s="2">
        <v>10.41</v>
      </c>
      <c r="H1029" s="2">
        <v>8.59</v>
      </c>
      <c r="I1029" s="1">
        <v>45.2</v>
      </c>
      <c r="J1029" s="26">
        <v>45553</v>
      </c>
      <c r="K1029" s="22">
        <v>15615</v>
      </c>
      <c r="L1029" s="18">
        <v>16.7</v>
      </c>
      <c r="M1029" s="22">
        <v>19950</v>
      </c>
      <c r="N1029" s="22">
        <v>-4335</v>
      </c>
      <c r="O1029" s="18">
        <v>-4.6399999999999997</v>
      </c>
      <c r="P1029" s="52">
        <f>IF(COUNTIF(TblPurchases[BatchID],TblOutcomes[[#This Row],[BatchID]])&lt;&gt;1,"n.a.",TblOutcomes[[#This Row],[Qty Wasted]]*SUMIFS(TblPurchases[Unit Cost (CLP)],TblPurchases[BatchID],TblOutcomes[[#This Row],[BatchID]]))</f>
        <v>9019.5</v>
      </c>
      <c r="Q1029" s="51">
        <f>IF(COUNTIF(TblPurchases[BatchID],TblOutcomes[[#This Row],[BatchID]])&lt;&gt;1,"n.a.",SUMIFS(TblPurchases[Purchase Date],TblPurchases[BatchID],TblOutcomes[[#This Row],[BatchID]]))</f>
        <v>45533</v>
      </c>
    </row>
    <row r="1030" spans="2:17" x14ac:dyDescent="0.25">
      <c r="B1030" s="2" t="s">
        <v>1834</v>
      </c>
      <c r="C1030" s="2" t="s">
        <v>156</v>
      </c>
      <c r="D1030" s="2" t="s">
        <v>155</v>
      </c>
      <c r="E1030" s="2" t="s">
        <v>4646</v>
      </c>
      <c r="F1030" s="2">
        <v>24</v>
      </c>
      <c r="G1030" s="2">
        <v>18.600000000000001</v>
      </c>
      <c r="H1030" s="2">
        <v>5.4</v>
      </c>
      <c r="I1030" s="1">
        <v>22.5</v>
      </c>
      <c r="J1030" s="26">
        <v>45560</v>
      </c>
      <c r="K1030" s="22">
        <v>27900</v>
      </c>
      <c r="L1030" s="18">
        <v>29.84</v>
      </c>
      <c r="M1030" s="22">
        <v>25200</v>
      </c>
      <c r="N1030" s="22">
        <v>2700</v>
      </c>
      <c r="O1030" s="18">
        <v>2.89</v>
      </c>
      <c r="P1030" s="52">
        <f>IF(COUNTIF(TblPurchases[BatchID],TblOutcomes[[#This Row],[BatchID]])&lt;&gt;1,"n.a.",TblOutcomes[[#This Row],[Qty Wasted]]*SUMIFS(TblPurchases[Unit Cost (CLP)],TblPurchases[BatchID],TblOutcomes[[#This Row],[BatchID]]))</f>
        <v>5670</v>
      </c>
      <c r="Q1030" s="51">
        <f>IF(COUNTIF(TblPurchases[BatchID],TblOutcomes[[#This Row],[BatchID]])&lt;&gt;1,"n.a.",SUMIFS(TblPurchases[Purchase Date],TblPurchases[BatchID],TblOutcomes[[#This Row],[BatchID]]))</f>
        <v>45540</v>
      </c>
    </row>
    <row r="1031" spans="2:17" x14ac:dyDescent="0.25">
      <c r="B1031" s="2" t="s">
        <v>1835</v>
      </c>
      <c r="C1031" s="2" t="s">
        <v>156</v>
      </c>
      <c r="D1031" s="2" t="s">
        <v>155</v>
      </c>
      <c r="E1031" s="2" t="s">
        <v>4647</v>
      </c>
      <c r="F1031" s="2">
        <v>25</v>
      </c>
      <c r="G1031" s="2">
        <v>25</v>
      </c>
      <c r="H1031" s="2">
        <v>0</v>
      </c>
      <c r="I1031" s="1">
        <v>0</v>
      </c>
      <c r="J1031" s="26">
        <v>45549</v>
      </c>
      <c r="K1031" s="22">
        <v>37500</v>
      </c>
      <c r="L1031" s="18">
        <v>40.11</v>
      </c>
      <c r="M1031" s="22">
        <v>26250</v>
      </c>
      <c r="N1031" s="22">
        <v>11250</v>
      </c>
      <c r="O1031" s="18">
        <v>12.03</v>
      </c>
      <c r="P1031" s="52">
        <f>IF(COUNTIF(TblPurchases[BatchID],TblOutcomes[[#This Row],[BatchID]])&lt;&gt;1,"n.a.",TblOutcomes[[#This Row],[Qty Wasted]]*SUMIFS(TblPurchases[Unit Cost (CLP)],TblPurchases[BatchID],TblOutcomes[[#This Row],[BatchID]]))</f>
        <v>0</v>
      </c>
      <c r="Q1031" s="51">
        <f>IF(COUNTIF(TblPurchases[BatchID],TblOutcomes[[#This Row],[BatchID]])&lt;&gt;1,"n.a.",SUMIFS(TblPurchases[Purchase Date],TblPurchases[BatchID],TblOutcomes[[#This Row],[BatchID]]))</f>
        <v>45545</v>
      </c>
    </row>
    <row r="1032" spans="2:17" x14ac:dyDescent="0.25">
      <c r="B1032" s="2" t="s">
        <v>1836</v>
      </c>
      <c r="C1032" s="2" t="s">
        <v>156</v>
      </c>
      <c r="D1032" s="2" t="s">
        <v>155</v>
      </c>
      <c r="E1032" s="2" t="s">
        <v>4646</v>
      </c>
      <c r="F1032" s="2">
        <v>26</v>
      </c>
      <c r="G1032" s="2">
        <v>18.54</v>
      </c>
      <c r="H1032" s="2">
        <v>7.46</v>
      </c>
      <c r="I1032" s="1">
        <v>28.7</v>
      </c>
      <c r="J1032" s="26">
        <v>45571</v>
      </c>
      <c r="K1032" s="22">
        <v>27810</v>
      </c>
      <c r="L1032" s="18">
        <v>29.74</v>
      </c>
      <c r="M1032" s="22">
        <v>31200</v>
      </c>
      <c r="N1032" s="22">
        <v>-3390</v>
      </c>
      <c r="O1032" s="18">
        <v>-3.63</v>
      </c>
      <c r="P1032" s="52">
        <f>IF(COUNTIF(TblPurchases[BatchID],TblOutcomes[[#This Row],[BatchID]])&lt;&gt;1,"n.a.",TblOutcomes[[#This Row],[Qty Wasted]]*SUMIFS(TblPurchases[Unit Cost (CLP)],TblPurchases[BatchID],TblOutcomes[[#This Row],[BatchID]]))</f>
        <v>8952</v>
      </c>
      <c r="Q1032" s="51">
        <f>IF(COUNTIF(TblPurchases[BatchID],TblOutcomes[[#This Row],[BatchID]])&lt;&gt;1,"n.a.",SUMIFS(TblPurchases[Purchase Date],TblPurchases[BatchID],TblOutcomes[[#This Row],[BatchID]]))</f>
        <v>45551</v>
      </c>
    </row>
    <row r="1033" spans="2:17" x14ac:dyDescent="0.25">
      <c r="B1033" s="2" t="s">
        <v>1837</v>
      </c>
      <c r="C1033" s="2" t="s">
        <v>156</v>
      </c>
      <c r="D1033" s="2" t="s">
        <v>155</v>
      </c>
      <c r="E1033" s="2" t="s">
        <v>4647</v>
      </c>
      <c r="F1033" s="2">
        <v>26</v>
      </c>
      <c r="G1033" s="2">
        <v>26</v>
      </c>
      <c r="H1033" s="2">
        <v>0</v>
      </c>
      <c r="I1033" s="1">
        <v>0</v>
      </c>
      <c r="J1033" s="26">
        <v>45565</v>
      </c>
      <c r="K1033" s="22">
        <v>39000</v>
      </c>
      <c r="L1033" s="18">
        <v>41.71</v>
      </c>
      <c r="M1033" s="22">
        <v>27300</v>
      </c>
      <c r="N1033" s="22">
        <v>11700</v>
      </c>
      <c r="O1033" s="18">
        <v>12.51</v>
      </c>
      <c r="P1033" s="52">
        <f>IF(COUNTIF(TblPurchases[BatchID],TblOutcomes[[#This Row],[BatchID]])&lt;&gt;1,"n.a.",TblOutcomes[[#This Row],[Qty Wasted]]*SUMIFS(TblPurchases[Unit Cost (CLP)],TblPurchases[BatchID],TblOutcomes[[#This Row],[BatchID]]))</f>
        <v>0</v>
      </c>
      <c r="Q1033" s="51">
        <f>IF(COUNTIF(TblPurchases[BatchID],TblOutcomes[[#This Row],[BatchID]])&lt;&gt;1,"n.a.",SUMIFS(TblPurchases[Purchase Date],TblPurchases[BatchID],TblOutcomes[[#This Row],[BatchID]]))</f>
        <v>45557</v>
      </c>
    </row>
    <row r="1034" spans="2:17" x14ac:dyDescent="0.25">
      <c r="B1034" s="2" t="s">
        <v>1838</v>
      </c>
      <c r="C1034" s="2" t="s">
        <v>156</v>
      </c>
      <c r="D1034" s="2" t="s">
        <v>155</v>
      </c>
      <c r="E1034" s="2" t="s">
        <v>4646</v>
      </c>
      <c r="F1034" s="2">
        <v>20</v>
      </c>
      <c r="G1034" s="2">
        <v>12.46</v>
      </c>
      <c r="H1034" s="2">
        <v>7.54</v>
      </c>
      <c r="I1034" s="1">
        <v>37.700000000000003</v>
      </c>
      <c r="J1034" s="26">
        <v>45585</v>
      </c>
      <c r="K1034" s="22">
        <v>18690</v>
      </c>
      <c r="L1034" s="18">
        <v>19.989999999999998</v>
      </c>
      <c r="M1034" s="22">
        <v>21000</v>
      </c>
      <c r="N1034" s="22">
        <v>-2310</v>
      </c>
      <c r="O1034" s="18">
        <v>-2.4700000000000002</v>
      </c>
      <c r="P1034" s="52">
        <f>IF(COUNTIF(TblPurchases[BatchID],TblOutcomes[[#This Row],[BatchID]])&lt;&gt;1,"n.a.",TblOutcomes[[#This Row],[Qty Wasted]]*SUMIFS(TblPurchases[Unit Cost (CLP)],TblPurchases[BatchID],TblOutcomes[[#This Row],[BatchID]]))</f>
        <v>7917</v>
      </c>
      <c r="Q1034" s="51">
        <f>IF(COUNTIF(TblPurchases[BatchID],TblOutcomes[[#This Row],[BatchID]])&lt;&gt;1,"n.a.",SUMIFS(TblPurchases[Purchase Date],TblPurchases[BatchID],TblOutcomes[[#This Row],[BatchID]]))</f>
        <v>45565</v>
      </c>
    </row>
    <row r="1035" spans="2:17" x14ac:dyDescent="0.25">
      <c r="B1035" s="2" t="s">
        <v>1839</v>
      </c>
      <c r="C1035" s="2" t="s">
        <v>156</v>
      </c>
      <c r="D1035" s="2" t="s">
        <v>155</v>
      </c>
      <c r="E1035" s="2" t="s">
        <v>4647</v>
      </c>
      <c r="F1035" s="2">
        <v>49</v>
      </c>
      <c r="G1035" s="2">
        <v>49</v>
      </c>
      <c r="H1035" s="2">
        <v>0</v>
      </c>
      <c r="I1035" s="1">
        <v>0</v>
      </c>
      <c r="J1035" s="26">
        <v>45576</v>
      </c>
      <c r="K1035" s="22">
        <v>73500</v>
      </c>
      <c r="L1035" s="18">
        <v>78.61</v>
      </c>
      <c r="M1035" s="22">
        <v>51450</v>
      </c>
      <c r="N1035" s="22">
        <v>22050</v>
      </c>
      <c r="O1035" s="18">
        <v>23.58</v>
      </c>
      <c r="P1035" s="52">
        <f>IF(COUNTIF(TblPurchases[BatchID],TblOutcomes[[#This Row],[BatchID]])&lt;&gt;1,"n.a.",TblOutcomes[[#This Row],[Qty Wasted]]*SUMIFS(TblPurchases[Unit Cost (CLP)],TblPurchases[BatchID],TblOutcomes[[#This Row],[BatchID]]))</f>
        <v>0</v>
      </c>
      <c r="Q1035" s="51">
        <f>IF(COUNTIF(TblPurchases[BatchID],TblOutcomes[[#This Row],[BatchID]])&lt;&gt;1,"n.a.",SUMIFS(TblPurchases[Purchase Date],TblPurchases[BatchID],TblOutcomes[[#This Row],[BatchID]]))</f>
        <v>45572</v>
      </c>
    </row>
    <row r="1036" spans="2:17" x14ac:dyDescent="0.25">
      <c r="B1036" s="2" t="s">
        <v>1840</v>
      </c>
      <c r="C1036" s="2" t="s">
        <v>156</v>
      </c>
      <c r="D1036" s="2" t="s">
        <v>155</v>
      </c>
      <c r="E1036" s="2" t="s">
        <v>4647</v>
      </c>
      <c r="F1036" s="2">
        <v>42</v>
      </c>
      <c r="G1036" s="2">
        <v>42</v>
      </c>
      <c r="H1036" s="2">
        <v>0</v>
      </c>
      <c r="I1036" s="1">
        <v>0</v>
      </c>
      <c r="J1036" s="26">
        <v>45583</v>
      </c>
      <c r="K1036" s="22">
        <v>63000</v>
      </c>
      <c r="L1036" s="18">
        <v>67.38</v>
      </c>
      <c r="M1036" s="22">
        <v>44100</v>
      </c>
      <c r="N1036" s="22">
        <v>18900</v>
      </c>
      <c r="O1036" s="18">
        <v>20.21</v>
      </c>
      <c r="P1036" s="52">
        <f>IF(COUNTIF(TblPurchases[BatchID],TblOutcomes[[#This Row],[BatchID]])&lt;&gt;1,"n.a.",TblOutcomes[[#This Row],[Qty Wasted]]*SUMIFS(TblPurchases[Unit Cost (CLP)],TblPurchases[BatchID],TblOutcomes[[#This Row],[BatchID]]))</f>
        <v>0</v>
      </c>
      <c r="Q1036" s="51">
        <f>IF(COUNTIF(TblPurchases[BatchID],TblOutcomes[[#This Row],[BatchID]])&lt;&gt;1,"n.a.",SUMIFS(TblPurchases[Purchase Date],TblPurchases[BatchID],TblOutcomes[[#This Row],[BatchID]]))</f>
        <v>45579</v>
      </c>
    </row>
    <row r="1037" spans="2:17" x14ac:dyDescent="0.25">
      <c r="B1037" s="2" t="s">
        <v>1841</v>
      </c>
      <c r="C1037" s="2" t="s">
        <v>156</v>
      </c>
      <c r="D1037" s="2" t="s">
        <v>155</v>
      </c>
      <c r="E1037" s="2" t="s">
        <v>4647</v>
      </c>
      <c r="F1037" s="2">
        <v>41</v>
      </c>
      <c r="G1037" s="2">
        <v>41</v>
      </c>
      <c r="H1037" s="2">
        <v>0</v>
      </c>
      <c r="I1037" s="1">
        <v>0</v>
      </c>
      <c r="J1037" s="26">
        <v>45593</v>
      </c>
      <c r="K1037" s="22">
        <v>61500</v>
      </c>
      <c r="L1037" s="18">
        <v>65.78</v>
      </c>
      <c r="M1037" s="22">
        <v>43050</v>
      </c>
      <c r="N1037" s="22">
        <v>18450</v>
      </c>
      <c r="O1037" s="18">
        <v>19.73</v>
      </c>
      <c r="P1037" s="52">
        <f>IF(COUNTIF(TblPurchases[BatchID],TblOutcomes[[#This Row],[BatchID]])&lt;&gt;1,"n.a.",TblOutcomes[[#This Row],[Qty Wasted]]*SUMIFS(TblPurchases[Unit Cost (CLP)],TblPurchases[BatchID],TblOutcomes[[#This Row],[BatchID]]))</f>
        <v>0</v>
      </c>
      <c r="Q1037" s="51">
        <f>IF(COUNTIF(TblPurchases[BatchID],TblOutcomes[[#This Row],[BatchID]])&lt;&gt;1,"n.a.",SUMIFS(TblPurchases[Purchase Date],TblPurchases[BatchID],TblOutcomes[[#This Row],[BatchID]]))</f>
        <v>45587</v>
      </c>
    </row>
    <row r="1038" spans="2:17" x14ac:dyDescent="0.25">
      <c r="B1038" s="2" t="s">
        <v>1842</v>
      </c>
      <c r="C1038" s="2" t="s">
        <v>156</v>
      </c>
      <c r="D1038" s="2" t="s">
        <v>155</v>
      </c>
      <c r="E1038" s="2" t="s">
        <v>4647</v>
      </c>
      <c r="F1038" s="2">
        <v>54</v>
      </c>
      <c r="G1038" s="2">
        <v>54</v>
      </c>
      <c r="H1038" s="2">
        <v>0</v>
      </c>
      <c r="I1038" s="1">
        <v>0</v>
      </c>
      <c r="J1038" s="26">
        <v>45598</v>
      </c>
      <c r="K1038" s="22">
        <v>81000</v>
      </c>
      <c r="L1038" s="18">
        <v>86.63</v>
      </c>
      <c r="M1038" s="22">
        <v>56700</v>
      </c>
      <c r="N1038" s="22">
        <v>24300</v>
      </c>
      <c r="O1038" s="18">
        <v>25.99</v>
      </c>
      <c r="P1038" s="52">
        <f>IF(COUNTIF(TblPurchases[BatchID],TblOutcomes[[#This Row],[BatchID]])&lt;&gt;1,"n.a.",TblOutcomes[[#This Row],[Qty Wasted]]*SUMIFS(TblPurchases[Unit Cost (CLP)],TblPurchases[BatchID],TblOutcomes[[#This Row],[BatchID]]))</f>
        <v>0</v>
      </c>
      <c r="Q1038" s="51">
        <f>IF(COUNTIF(TblPurchases[BatchID],TblOutcomes[[#This Row],[BatchID]])&lt;&gt;1,"n.a.",SUMIFS(TblPurchases[Purchase Date],TblPurchases[BatchID],TblOutcomes[[#This Row],[BatchID]]))</f>
        <v>45593</v>
      </c>
    </row>
    <row r="1039" spans="2:17" x14ac:dyDescent="0.25">
      <c r="B1039" s="2" t="s">
        <v>1843</v>
      </c>
      <c r="C1039" s="2" t="s">
        <v>156</v>
      </c>
      <c r="D1039" s="2" t="s">
        <v>155</v>
      </c>
      <c r="E1039" s="2" t="s">
        <v>4646</v>
      </c>
      <c r="F1039" s="2">
        <v>54</v>
      </c>
      <c r="G1039" s="2">
        <v>43.58</v>
      </c>
      <c r="H1039" s="2">
        <v>10.42</v>
      </c>
      <c r="I1039" s="1">
        <v>19.3</v>
      </c>
      <c r="J1039" s="26">
        <v>45619</v>
      </c>
      <c r="K1039" s="22">
        <v>65370</v>
      </c>
      <c r="L1039" s="18">
        <v>69.91</v>
      </c>
      <c r="M1039" s="22">
        <v>56700</v>
      </c>
      <c r="N1039" s="22">
        <v>8670</v>
      </c>
      <c r="O1039" s="18">
        <v>9.27</v>
      </c>
      <c r="P1039" s="52">
        <f>IF(COUNTIF(TblPurchases[BatchID],TblOutcomes[[#This Row],[BatchID]])&lt;&gt;1,"n.a.",TblOutcomes[[#This Row],[Qty Wasted]]*SUMIFS(TblPurchases[Unit Cost (CLP)],TblPurchases[BatchID],TblOutcomes[[#This Row],[BatchID]]))</f>
        <v>10941</v>
      </c>
      <c r="Q1039" s="51">
        <f>IF(COUNTIF(TblPurchases[BatchID],TblOutcomes[[#This Row],[BatchID]])&lt;&gt;1,"n.a.",SUMIFS(TblPurchases[Purchase Date],TblPurchases[BatchID],TblOutcomes[[#This Row],[BatchID]]))</f>
        <v>45599</v>
      </c>
    </row>
    <row r="1040" spans="2:17" x14ac:dyDescent="0.25">
      <c r="B1040" s="2" t="s">
        <v>1844</v>
      </c>
      <c r="C1040" s="2" t="s">
        <v>156</v>
      </c>
      <c r="D1040" s="2" t="s">
        <v>155</v>
      </c>
      <c r="E1040" s="2" t="s">
        <v>4647</v>
      </c>
      <c r="F1040" s="2">
        <v>52</v>
      </c>
      <c r="G1040" s="2">
        <v>52</v>
      </c>
      <c r="H1040" s="2">
        <v>0</v>
      </c>
      <c r="I1040" s="1">
        <v>0</v>
      </c>
      <c r="J1040" s="26">
        <v>45609</v>
      </c>
      <c r="K1040" s="22">
        <v>78000</v>
      </c>
      <c r="L1040" s="18">
        <v>83.42</v>
      </c>
      <c r="M1040" s="22">
        <v>54600</v>
      </c>
      <c r="N1040" s="22">
        <v>23400</v>
      </c>
      <c r="O1040" s="18">
        <v>25.03</v>
      </c>
      <c r="P1040" s="52">
        <f>IF(COUNTIF(TblPurchases[BatchID],TblOutcomes[[#This Row],[BatchID]])&lt;&gt;1,"n.a.",TblOutcomes[[#This Row],[Qty Wasted]]*SUMIFS(TblPurchases[Unit Cost (CLP)],TblPurchases[BatchID],TblOutcomes[[#This Row],[BatchID]]))</f>
        <v>0</v>
      </c>
      <c r="Q1040" s="51">
        <f>IF(COUNTIF(TblPurchases[BatchID],TblOutcomes[[#This Row],[BatchID]])&lt;&gt;1,"n.a.",SUMIFS(TblPurchases[Purchase Date],TblPurchases[BatchID],TblOutcomes[[#This Row],[BatchID]]))</f>
        <v>45605</v>
      </c>
    </row>
    <row r="1041" spans="2:17" x14ac:dyDescent="0.25">
      <c r="B1041" s="2" t="s">
        <v>1845</v>
      </c>
      <c r="C1041" s="2" t="s">
        <v>156</v>
      </c>
      <c r="D1041" s="2" t="s">
        <v>155</v>
      </c>
      <c r="E1041" s="2" t="s">
        <v>4647</v>
      </c>
      <c r="F1041" s="2">
        <v>48</v>
      </c>
      <c r="G1041" s="2">
        <v>48</v>
      </c>
      <c r="H1041" s="2">
        <v>0</v>
      </c>
      <c r="I1041" s="1">
        <v>0</v>
      </c>
      <c r="J1041" s="26">
        <v>45616</v>
      </c>
      <c r="K1041" s="22">
        <v>72000</v>
      </c>
      <c r="L1041" s="18">
        <v>77.010000000000005</v>
      </c>
      <c r="M1041" s="22">
        <v>57600</v>
      </c>
      <c r="N1041" s="22">
        <v>14400</v>
      </c>
      <c r="O1041" s="18">
        <v>15.4</v>
      </c>
      <c r="P1041" s="52">
        <f>IF(COUNTIF(TblPurchases[BatchID],TblOutcomes[[#This Row],[BatchID]])&lt;&gt;1,"n.a.",TblOutcomes[[#This Row],[Qty Wasted]]*SUMIFS(TblPurchases[Unit Cost (CLP)],TblPurchases[BatchID],TblOutcomes[[#This Row],[BatchID]]))</f>
        <v>0</v>
      </c>
      <c r="Q1041" s="51">
        <f>IF(COUNTIF(TblPurchases[BatchID],TblOutcomes[[#This Row],[BatchID]])&lt;&gt;1,"n.a.",SUMIFS(TblPurchases[Purchase Date],TblPurchases[BatchID],TblOutcomes[[#This Row],[BatchID]]))</f>
        <v>45611</v>
      </c>
    </row>
    <row r="1042" spans="2:17" x14ac:dyDescent="0.25">
      <c r="B1042" s="2" t="s">
        <v>1846</v>
      </c>
      <c r="C1042" s="2" t="s">
        <v>156</v>
      </c>
      <c r="D1042" s="2" t="s">
        <v>155</v>
      </c>
      <c r="E1042" s="2" t="s">
        <v>4646</v>
      </c>
      <c r="F1042" s="2">
        <v>52</v>
      </c>
      <c r="G1042" s="2">
        <v>42.74</v>
      </c>
      <c r="H1042" s="2">
        <v>9.26</v>
      </c>
      <c r="I1042" s="1">
        <v>17.8</v>
      </c>
      <c r="J1042" s="26">
        <v>45637</v>
      </c>
      <c r="K1042" s="22">
        <v>64110</v>
      </c>
      <c r="L1042" s="18">
        <v>68.569999999999993</v>
      </c>
      <c r="M1042" s="22">
        <v>62400</v>
      </c>
      <c r="N1042" s="22">
        <v>1710</v>
      </c>
      <c r="O1042" s="18">
        <v>1.83</v>
      </c>
      <c r="P1042" s="52">
        <f>IF(COUNTIF(TblPurchases[BatchID],TblOutcomes[[#This Row],[BatchID]])&lt;&gt;1,"n.a.",TblOutcomes[[#This Row],[Qty Wasted]]*SUMIFS(TblPurchases[Unit Cost (CLP)],TblPurchases[BatchID],TblOutcomes[[#This Row],[BatchID]]))</f>
        <v>11112</v>
      </c>
      <c r="Q1042" s="51">
        <f>IF(COUNTIF(TblPurchases[BatchID],TblOutcomes[[#This Row],[BatchID]])&lt;&gt;1,"n.a.",SUMIFS(TblPurchases[Purchase Date],TblPurchases[BatchID],TblOutcomes[[#This Row],[BatchID]]))</f>
        <v>45617</v>
      </c>
    </row>
    <row r="1043" spans="2:17" x14ac:dyDescent="0.25">
      <c r="B1043" s="2" t="s">
        <v>1847</v>
      </c>
      <c r="C1043" s="2" t="s">
        <v>156</v>
      </c>
      <c r="D1043" s="2" t="s">
        <v>155</v>
      </c>
      <c r="E1043" s="2" t="s">
        <v>4647</v>
      </c>
      <c r="F1043" s="2">
        <v>44</v>
      </c>
      <c r="G1043" s="2">
        <v>44</v>
      </c>
      <c r="H1043" s="2">
        <v>0</v>
      </c>
      <c r="I1043" s="1">
        <v>0</v>
      </c>
      <c r="J1043" s="26">
        <v>45628</v>
      </c>
      <c r="K1043" s="22">
        <v>66000</v>
      </c>
      <c r="L1043" s="18">
        <v>70.59</v>
      </c>
      <c r="M1043" s="22">
        <v>46200</v>
      </c>
      <c r="N1043" s="22">
        <v>19800</v>
      </c>
      <c r="O1043" s="18">
        <v>21.18</v>
      </c>
      <c r="P1043" s="52">
        <f>IF(COUNTIF(TblPurchases[BatchID],TblOutcomes[[#This Row],[BatchID]])&lt;&gt;1,"n.a.",TblOutcomes[[#This Row],[Qty Wasted]]*SUMIFS(TblPurchases[Unit Cost (CLP)],TblPurchases[BatchID],TblOutcomes[[#This Row],[BatchID]]))</f>
        <v>0</v>
      </c>
      <c r="Q1043" s="51">
        <f>IF(COUNTIF(TblPurchases[BatchID],TblOutcomes[[#This Row],[BatchID]])&lt;&gt;1,"n.a.",SUMIFS(TblPurchases[Purchase Date],TblPurchases[BatchID],TblOutcomes[[#This Row],[BatchID]]))</f>
        <v>45623</v>
      </c>
    </row>
    <row r="1044" spans="2:17" x14ac:dyDescent="0.25">
      <c r="B1044" s="2" t="s">
        <v>1848</v>
      </c>
      <c r="C1044" s="2" t="s">
        <v>156</v>
      </c>
      <c r="D1044" s="2" t="s">
        <v>155</v>
      </c>
      <c r="E1044" s="2" t="s">
        <v>4647</v>
      </c>
      <c r="F1044" s="2">
        <v>61</v>
      </c>
      <c r="G1044" s="2">
        <v>61</v>
      </c>
      <c r="H1044" s="2">
        <v>0</v>
      </c>
      <c r="I1044" s="1">
        <v>0</v>
      </c>
      <c r="J1044" s="26">
        <v>45633</v>
      </c>
      <c r="K1044" s="22">
        <v>91500</v>
      </c>
      <c r="L1044" s="18">
        <v>97.86</v>
      </c>
      <c r="M1044" s="22">
        <v>64050</v>
      </c>
      <c r="N1044" s="22">
        <v>27450</v>
      </c>
      <c r="O1044" s="18">
        <v>29.36</v>
      </c>
      <c r="P1044" s="52">
        <f>IF(COUNTIF(TblPurchases[BatchID],TblOutcomes[[#This Row],[BatchID]])&lt;&gt;1,"n.a.",TblOutcomes[[#This Row],[Qty Wasted]]*SUMIFS(TblPurchases[Unit Cost (CLP)],TblPurchases[BatchID],TblOutcomes[[#This Row],[BatchID]]))</f>
        <v>0</v>
      </c>
      <c r="Q1044" s="51">
        <f>IF(COUNTIF(TblPurchases[BatchID],TblOutcomes[[#This Row],[BatchID]])&lt;&gt;1,"n.a.",SUMIFS(TblPurchases[Purchase Date],TblPurchases[BatchID],TblOutcomes[[#This Row],[BatchID]]))</f>
        <v>45629</v>
      </c>
    </row>
    <row r="1045" spans="2:17" x14ac:dyDescent="0.25">
      <c r="B1045" s="2" t="s">
        <v>1849</v>
      </c>
      <c r="C1045" s="2" t="s">
        <v>156</v>
      </c>
      <c r="D1045" s="2" t="s">
        <v>155</v>
      </c>
      <c r="E1045" s="2" t="s">
        <v>4646</v>
      </c>
      <c r="F1045" s="2">
        <v>66</v>
      </c>
      <c r="G1045" s="2">
        <v>49.5</v>
      </c>
      <c r="H1045" s="2">
        <v>16.5</v>
      </c>
      <c r="I1045" s="1">
        <v>25</v>
      </c>
      <c r="J1045" s="26">
        <v>45656</v>
      </c>
      <c r="K1045" s="22">
        <v>74250</v>
      </c>
      <c r="L1045" s="18">
        <v>79.41</v>
      </c>
      <c r="M1045" s="22">
        <v>69300</v>
      </c>
      <c r="N1045" s="22">
        <v>4950</v>
      </c>
      <c r="O1045" s="18">
        <v>5.29</v>
      </c>
      <c r="P1045" s="52">
        <f>IF(COUNTIF(TblPurchases[BatchID],TblOutcomes[[#This Row],[BatchID]])&lt;&gt;1,"n.a.",TblOutcomes[[#This Row],[Qty Wasted]]*SUMIFS(TblPurchases[Unit Cost (CLP)],TblPurchases[BatchID],TblOutcomes[[#This Row],[BatchID]]))</f>
        <v>17325</v>
      </c>
      <c r="Q1045" s="51">
        <f>IF(COUNTIF(TblPurchases[BatchID],TblOutcomes[[#This Row],[BatchID]])&lt;&gt;1,"n.a.",SUMIFS(TblPurchases[Purchase Date],TblPurchases[BatchID],TblOutcomes[[#This Row],[BatchID]]))</f>
        <v>45636</v>
      </c>
    </row>
    <row r="1046" spans="2:17" x14ac:dyDescent="0.25">
      <c r="B1046" s="2" t="s">
        <v>1850</v>
      </c>
      <c r="C1046" s="2" t="s">
        <v>156</v>
      </c>
      <c r="D1046" s="2" t="s">
        <v>155</v>
      </c>
      <c r="E1046" s="2" t="s">
        <v>4646</v>
      </c>
      <c r="F1046" s="2">
        <v>68</v>
      </c>
      <c r="G1046" s="2">
        <v>39.64</v>
      </c>
      <c r="H1046" s="2">
        <v>28.36</v>
      </c>
      <c r="I1046" s="1">
        <v>41.7</v>
      </c>
      <c r="J1046" s="26">
        <v>45662</v>
      </c>
      <c r="K1046" s="22">
        <v>59460</v>
      </c>
      <c r="L1046" s="18">
        <v>63.59</v>
      </c>
      <c r="M1046" s="22">
        <v>71400</v>
      </c>
      <c r="N1046" s="22">
        <v>-11940</v>
      </c>
      <c r="O1046" s="18">
        <v>-12.77</v>
      </c>
      <c r="P1046" s="52">
        <f>IF(COUNTIF(TblPurchases[BatchID],TblOutcomes[[#This Row],[BatchID]])&lt;&gt;1,"n.a.",TblOutcomes[[#This Row],[Qty Wasted]]*SUMIFS(TblPurchases[Unit Cost (CLP)],TblPurchases[BatchID],TblOutcomes[[#This Row],[BatchID]]))</f>
        <v>29778</v>
      </c>
      <c r="Q1046" s="51">
        <f>IF(COUNTIF(TblPurchases[BatchID],TblOutcomes[[#This Row],[BatchID]])&lt;&gt;1,"n.a.",SUMIFS(TblPurchases[Purchase Date],TblPurchases[BatchID],TblOutcomes[[#This Row],[BatchID]]))</f>
        <v>45642</v>
      </c>
    </row>
    <row r="1047" spans="2:17" x14ac:dyDescent="0.25">
      <c r="B1047" s="2" t="s">
        <v>1851</v>
      </c>
      <c r="C1047" s="2" t="s">
        <v>156</v>
      </c>
      <c r="D1047" s="2" t="s">
        <v>155</v>
      </c>
      <c r="E1047" s="2" t="s">
        <v>4647</v>
      </c>
      <c r="F1047" s="2">
        <v>60</v>
      </c>
      <c r="G1047" s="2">
        <v>60</v>
      </c>
      <c r="H1047" s="2">
        <v>0</v>
      </c>
      <c r="I1047" s="1">
        <v>0</v>
      </c>
      <c r="J1047" s="26">
        <v>45653</v>
      </c>
      <c r="K1047" s="22">
        <v>90000</v>
      </c>
      <c r="L1047" s="18">
        <v>96.26</v>
      </c>
      <c r="M1047" s="22">
        <v>63000</v>
      </c>
      <c r="N1047" s="22">
        <v>27000</v>
      </c>
      <c r="O1047" s="18">
        <v>28.88</v>
      </c>
      <c r="P1047" s="52">
        <f>IF(COUNTIF(TblPurchases[BatchID],TblOutcomes[[#This Row],[BatchID]])&lt;&gt;1,"n.a.",TblOutcomes[[#This Row],[Qty Wasted]]*SUMIFS(TblPurchases[Unit Cost (CLP)],TblPurchases[BatchID],TblOutcomes[[#This Row],[BatchID]]))</f>
        <v>0</v>
      </c>
      <c r="Q1047" s="51">
        <f>IF(COUNTIF(TblPurchases[BatchID],TblOutcomes[[#This Row],[BatchID]])&lt;&gt;1,"n.a.",SUMIFS(TblPurchases[Purchase Date],TblPurchases[BatchID],TblOutcomes[[#This Row],[BatchID]]))</f>
        <v>45647</v>
      </c>
    </row>
    <row r="1048" spans="2:17" x14ac:dyDescent="0.25">
      <c r="B1048" s="2" t="s">
        <v>1852</v>
      </c>
      <c r="C1048" s="2" t="s">
        <v>156</v>
      </c>
      <c r="D1048" s="2" t="s">
        <v>155</v>
      </c>
      <c r="E1048" s="2" t="s">
        <v>4647</v>
      </c>
      <c r="F1048" s="2">
        <v>66</v>
      </c>
      <c r="G1048" s="2">
        <v>66</v>
      </c>
      <c r="H1048" s="2">
        <v>0</v>
      </c>
      <c r="I1048" s="1">
        <v>0</v>
      </c>
      <c r="J1048" s="26">
        <v>45660</v>
      </c>
      <c r="K1048" s="22">
        <v>99000</v>
      </c>
      <c r="L1048" s="18">
        <v>105.88</v>
      </c>
      <c r="M1048" s="22">
        <v>69300</v>
      </c>
      <c r="N1048" s="22">
        <v>29700</v>
      </c>
      <c r="O1048" s="18">
        <v>31.76</v>
      </c>
      <c r="P1048" s="52">
        <f>IF(COUNTIF(TblPurchases[BatchID],TblOutcomes[[#This Row],[BatchID]])&lt;&gt;1,"n.a.",TblOutcomes[[#This Row],[Qty Wasted]]*SUMIFS(TblPurchases[Unit Cost (CLP)],TblPurchases[BatchID],TblOutcomes[[#This Row],[BatchID]]))</f>
        <v>0</v>
      </c>
      <c r="Q1048" s="51">
        <f>IF(COUNTIF(TblPurchases[BatchID],TblOutcomes[[#This Row],[BatchID]])&lt;&gt;1,"n.a.",SUMIFS(TblPurchases[Purchase Date],TblPurchases[BatchID],TblOutcomes[[#This Row],[BatchID]]))</f>
        <v>45653</v>
      </c>
    </row>
    <row r="1049" spans="2:17" x14ac:dyDescent="0.25">
      <c r="B1049" s="2" t="s">
        <v>1853</v>
      </c>
      <c r="C1049" s="2" t="s">
        <v>156</v>
      </c>
      <c r="D1049" s="2" t="s">
        <v>155</v>
      </c>
      <c r="E1049" s="2" t="s">
        <v>4647</v>
      </c>
      <c r="F1049" s="2">
        <v>51</v>
      </c>
      <c r="G1049" s="2">
        <v>51</v>
      </c>
      <c r="H1049" s="2">
        <v>0</v>
      </c>
      <c r="I1049" s="1">
        <v>0</v>
      </c>
      <c r="J1049" s="26">
        <v>45664</v>
      </c>
      <c r="K1049" s="22">
        <v>76500</v>
      </c>
      <c r="L1049" s="18">
        <v>81.819999999999993</v>
      </c>
      <c r="M1049" s="22">
        <v>61200</v>
      </c>
      <c r="N1049" s="22">
        <v>15300</v>
      </c>
      <c r="O1049" s="18">
        <v>16.36</v>
      </c>
      <c r="P1049" s="52">
        <f>IF(COUNTIF(TblPurchases[BatchID],TblOutcomes[[#This Row],[BatchID]])&lt;&gt;1,"n.a.",TblOutcomes[[#This Row],[Qty Wasted]]*SUMIFS(TblPurchases[Unit Cost (CLP)],TblPurchases[BatchID],TblOutcomes[[#This Row],[BatchID]]))</f>
        <v>0</v>
      </c>
      <c r="Q1049" s="51">
        <f>IF(COUNTIF(TblPurchases[BatchID],TblOutcomes[[#This Row],[BatchID]])&lt;&gt;1,"n.a.",SUMIFS(TblPurchases[Purchase Date],TblPurchases[BatchID],TblOutcomes[[#This Row],[BatchID]]))</f>
        <v>45660</v>
      </c>
    </row>
    <row r="1050" spans="2:17" x14ac:dyDescent="0.25">
      <c r="B1050" s="2" t="s">
        <v>1854</v>
      </c>
      <c r="C1050" s="2" t="s">
        <v>156</v>
      </c>
      <c r="D1050" s="2" t="s">
        <v>155</v>
      </c>
      <c r="E1050" s="2" t="s">
        <v>4647</v>
      </c>
      <c r="F1050" s="2">
        <v>51</v>
      </c>
      <c r="G1050" s="2">
        <v>51</v>
      </c>
      <c r="H1050" s="2">
        <v>0</v>
      </c>
      <c r="I1050" s="1">
        <v>0</v>
      </c>
      <c r="J1050" s="26">
        <v>45674</v>
      </c>
      <c r="K1050" s="22">
        <v>76500</v>
      </c>
      <c r="L1050" s="18">
        <v>81.819999999999993</v>
      </c>
      <c r="M1050" s="22">
        <v>53550</v>
      </c>
      <c r="N1050" s="22">
        <v>22950</v>
      </c>
      <c r="O1050" s="18">
        <v>24.55</v>
      </c>
      <c r="P1050" s="52">
        <f>IF(COUNTIF(TblPurchases[BatchID],TblOutcomes[[#This Row],[BatchID]])&lt;&gt;1,"n.a.",TblOutcomes[[#This Row],[Qty Wasted]]*SUMIFS(TblPurchases[Unit Cost (CLP)],TblPurchases[BatchID],TblOutcomes[[#This Row],[BatchID]]))</f>
        <v>0</v>
      </c>
      <c r="Q1050" s="51">
        <f>IF(COUNTIF(TblPurchases[BatchID],TblOutcomes[[#This Row],[BatchID]])&lt;&gt;1,"n.a.",SUMIFS(TblPurchases[Purchase Date],TblPurchases[BatchID],TblOutcomes[[#This Row],[BatchID]]))</f>
        <v>45667</v>
      </c>
    </row>
    <row r="1051" spans="2:17" x14ac:dyDescent="0.25">
      <c r="B1051" s="2" t="s">
        <v>1855</v>
      </c>
      <c r="C1051" s="2" t="s">
        <v>156</v>
      </c>
      <c r="D1051" s="2" t="s">
        <v>155</v>
      </c>
      <c r="E1051" s="2" t="s">
        <v>4646</v>
      </c>
      <c r="F1051" s="2">
        <v>44</v>
      </c>
      <c r="G1051" s="2">
        <v>34.799999999999997</v>
      </c>
      <c r="H1051" s="2">
        <v>9.1999999999999993</v>
      </c>
      <c r="I1051" s="1">
        <v>20.9</v>
      </c>
      <c r="J1051" s="26">
        <v>45694</v>
      </c>
      <c r="K1051" s="22">
        <v>52200</v>
      </c>
      <c r="L1051" s="18">
        <v>55.83</v>
      </c>
      <c r="M1051" s="22">
        <v>46200</v>
      </c>
      <c r="N1051" s="22">
        <v>6000</v>
      </c>
      <c r="O1051" s="18">
        <v>6.42</v>
      </c>
      <c r="P1051" s="52">
        <f>IF(COUNTIF(TblPurchases[BatchID],TblOutcomes[[#This Row],[BatchID]])&lt;&gt;1,"n.a.",TblOutcomes[[#This Row],[Qty Wasted]]*SUMIFS(TblPurchases[Unit Cost (CLP)],TblPurchases[BatchID],TblOutcomes[[#This Row],[BatchID]]))</f>
        <v>9660</v>
      </c>
      <c r="Q1051" s="51">
        <f>IF(COUNTIF(TblPurchases[BatchID],TblOutcomes[[#This Row],[BatchID]])&lt;&gt;1,"n.a.",SUMIFS(TblPurchases[Purchase Date],TblPurchases[BatchID],TblOutcomes[[#This Row],[BatchID]]))</f>
        <v>45674</v>
      </c>
    </row>
    <row r="1052" spans="2:17" x14ac:dyDescent="0.25">
      <c r="B1052" s="2" t="s">
        <v>1856</v>
      </c>
      <c r="C1052" s="2" t="s">
        <v>156</v>
      </c>
      <c r="D1052" s="2" t="s">
        <v>155</v>
      </c>
      <c r="E1052" s="2" t="s">
        <v>4647</v>
      </c>
      <c r="F1052" s="2">
        <v>50</v>
      </c>
      <c r="G1052" s="2">
        <v>50</v>
      </c>
      <c r="H1052" s="2">
        <v>0</v>
      </c>
      <c r="I1052" s="1">
        <v>0</v>
      </c>
      <c r="J1052" s="26">
        <v>45685</v>
      </c>
      <c r="K1052" s="22">
        <v>75000</v>
      </c>
      <c r="L1052" s="18">
        <v>80.209999999999994</v>
      </c>
      <c r="M1052" s="22">
        <v>52500</v>
      </c>
      <c r="N1052" s="22">
        <v>22500</v>
      </c>
      <c r="O1052" s="18">
        <v>24.06</v>
      </c>
      <c r="P1052" s="52">
        <f>IF(COUNTIF(TblPurchases[BatchID],TblOutcomes[[#This Row],[BatchID]])&lt;&gt;1,"n.a.",TblOutcomes[[#This Row],[Qty Wasted]]*SUMIFS(TblPurchases[Unit Cost (CLP)],TblPurchases[BatchID],TblOutcomes[[#This Row],[BatchID]]))</f>
        <v>0</v>
      </c>
      <c r="Q1052" s="51">
        <f>IF(COUNTIF(TblPurchases[BatchID],TblOutcomes[[#This Row],[BatchID]])&lt;&gt;1,"n.a.",SUMIFS(TblPurchases[Purchase Date],TblPurchases[BatchID],TblOutcomes[[#This Row],[BatchID]]))</f>
        <v>45679</v>
      </c>
    </row>
    <row r="1053" spans="2:17" x14ac:dyDescent="0.25">
      <c r="B1053" s="2" t="s">
        <v>1857</v>
      </c>
      <c r="C1053" s="2" t="s">
        <v>156</v>
      </c>
      <c r="D1053" s="2" t="s">
        <v>155</v>
      </c>
      <c r="E1053" s="2" t="s">
        <v>4646</v>
      </c>
      <c r="F1053" s="2">
        <v>48</v>
      </c>
      <c r="G1053" s="2">
        <v>32.4</v>
      </c>
      <c r="H1053" s="2">
        <v>15.6</v>
      </c>
      <c r="I1053" s="1">
        <v>32.5</v>
      </c>
      <c r="J1053" s="26">
        <v>45706</v>
      </c>
      <c r="K1053" s="22">
        <v>48600</v>
      </c>
      <c r="L1053" s="18">
        <v>51.98</v>
      </c>
      <c r="M1053" s="22">
        <v>50400</v>
      </c>
      <c r="N1053" s="22">
        <v>-1800</v>
      </c>
      <c r="O1053" s="18">
        <v>-1.93</v>
      </c>
      <c r="P1053" s="52">
        <f>IF(COUNTIF(TblPurchases[BatchID],TblOutcomes[[#This Row],[BatchID]])&lt;&gt;1,"n.a.",TblOutcomes[[#This Row],[Qty Wasted]]*SUMIFS(TblPurchases[Unit Cost (CLP)],TblPurchases[BatchID],TblOutcomes[[#This Row],[BatchID]]))</f>
        <v>16380</v>
      </c>
      <c r="Q1053" s="51">
        <f>IF(COUNTIF(TblPurchases[BatchID],TblOutcomes[[#This Row],[BatchID]])&lt;&gt;1,"n.a.",SUMIFS(TblPurchases[Purchase Date],TblPurchases[BatchID],TblOutcomes[[#This Row],[BatchID]]))</f>
        <v>45686</v>
      </c>
    </row>
    <row r="1054" spans="2:17" x14ac:dyDescent="0.25">
      <c r="B1054" s="2" t="s">
        <v>1858</v>
      </c>
      <c r="C1054" s="2" t="s">
        <v>156</v>
      </c>
      <c r="D1054" s="2" t="s">
        <v>155</v>
      </c>
      <c r="E1054" s="2" t="s">
        <v>4647</v>
      </c>
      <c r="F1054" s="2">
        <v>52</v>
      </c>
      <c r="G1054" s="2">
        <v>52</v>
      </c>
      <c r="H1054" s="2">
        <v>0</v>
      </c>
      <c r="I1054" s="1">
        <v>0</v>
      </c>
      <c r="J1054" s="26">
        <v>45698</v>
      </c>
      <c r="K1054" s="22">
        <v>78000</v>
      </c>
      <c r="L1054" s="18">
        <v>83.42</v>
      </c>
      <c r="M1054" s="22">
        <v>54600</v>
      </c>
      <c r="N1054" s="22">
        <v>23400</v>
      </c>
      <c r="O1054" s="18">
        <v>25.03</v>
      </c>
      <c r="P1054" s="52">
        <f>IF(COUNTIF(TblPurchases[BatchID],TblOutcomes[[#This Row],[BatchID]])&lt;&gt;1,"n.a.",TblOutcomes[[#This Row],[Qty Wasted]]*SUMIFS(TblPurchases[Unit Cost (CLP)],TblPurchases[BatchID],TblOutcomes[[#This Row],[BatchID]]))</f>
        <v>0</v>
      </c>
      <c r="Q1054" s="51">
        <f>IF(COUNTIF(TblPurchases[BatchID],TblOutcomes[[#This Row],[BatchID]])&lt;&gt;1,"n.a.",SUMIFS(TblPurchases[Purchase Date],TblPurchases[BatchID],TblOutcomes[[#This Row],[BatchID]]))</f>
        <v>45692</v>
      </c>
    </row>
    <row r="1055" spans="2:17" x14ac:dyDescent="0.25">
      <c r="B1055" s="2" t="s">
        <v>1859</v>
      </c>
      <c r="C1055" s="2" t="s">
        <v>156</v>
      </c>
      <c r="D1055" s="2" t="s">
        <v>155</v>
      </c>
      <c r="E1055" s="2" t="s">
        <v>4647</v>
      </c>
      <c r="F1055" s="2">
        <v>46</v>
      </c>
      <c r="G1055" s="2">
        <v>46</v>
      </c>
      <c r="H1055" s="2">
        <v>0</v>
      </c>
      <c r="I1055" s="1">
        <v>0</v>
      </c>
      <c r="J1055" s="26">
        <v>45702</v>
      </c>
      <c r="K1055" s="22">
        <v>69000</v>
      </c>
      <c r="L1055" s="18">
        <v>73.8</v>
      </c>
      <c r="M1055" s="22">
        <v>48300</v>
      </c>
      <c r="N1055" s="22">
        <v>20700</v>
      </c>
      <c r="O1055" s="18">
        <v>22.14</v>
      </c>
      <c r="P1055" s="52">
        <f>IF(COUNTIF(TblPurchases[BatchID],TblOutcomes[[#This Row],[BatchID]])&lt;&gt;1,"n.a.",TblOutcomes[[#This Row],[Qty Wasted]]*SUMIFS(TblPurchases[Unit Cost (CLP)],TblPurchases[BatchID],TblOutcomes[[#This Row],[BatchID]]))</f>
        <v>0</v>
      </c>
      <c r="Q1055" s="51">
        <f>IF(COUNTIF(TblPurchases[BatchID],TblOutcomes[[#This Row],[BatchID]])&lt;&gt;1,"n.a.",SUMIFS(TblPurchases[Purchase Date],TblPurchases[BatchID],TblOutcomes[[#This Row],[BatchID]]))</f>
        <v>45700</v>
      </c>
    </row>
    <row r="1056" spans="2:17" x14ac:dyDescent="0.25">
      <c r="B1056" s="2" t="s">
        <v>1860</v>
      </c>
      <c r="C1056" s="2" t="s">
        <v>156</v>
      </c>
      <c r="D1056" s="2" t="s">
        <v>155</v>
      </c>
      <c r="E1056" s="2" t="s">
        <v>4646</v>
      </c>
      <c r="F1056" s="2">
        <v>53</v>
      </c>
      <c r="G1056" s="2">
        <v>39.64</v>
      </c>
      <c r="H1056" s="2">
        <v>13.36</v>
      </c>
      <c r="I1056" s="1">
        <v>25.2</v>
      </c>
      <c r="J1056" s="26">
        <v>45726</v>
      </c>
      <c r="K1056" s="22">
        <v>59460</v>
      </c>
      <c r="L1056" s="18">
        <v>63.59</v>
      </c>
      <c r="M1056" s="22">
        <v>55650</v>
      </c>
      <c r="N1056" s="22">
        <v>3810</v>
      </c>
      <c r="O1056" s="18">
        <v>4.07</v>
      </c>
      <c r="P1056" s="52">
        <f>IF(COUNTIF(TblPurchases[BatchID],TblOutcomes[[#This Row],[BatchID]])&lt;&gt;1,"n.a.",TblOutcomes[[#This Row],[Qty Wasted]]*SUMIFS(TblPurchases[Unit Cost (CLP)],TblPurchases[BatchID],TblOutcomes[[#This Row],[BatchID]]))</f>
        <v>14028</v>
      </c>
      <c r="Q1056" s="51">
        <f>IF(COUNTIF(TblPurchases[BatchID],TblOutcomes[[#This Row],[BatchID]])&lt;&gt;1,"n.a.",SUMIFS(TblPurchases[Purchase Date],TblPurchases[BatchID],TblOutcomes[[#This Row],[BatchID]]))</f>
        <v>45706</v>
      </c>
    </row>
    <row r="1057" spans="2:17" x14ac:dyDescent="0.25">
      <c r="B1057" s="2" t="s">
        <v>1861</v>
      </c>
      <c r="C1057" s="2" t="s">
        <v>156</v>
      </c>
      <c r="D1057" s="2" t="s">
        <v>155</v>
      </c>
      <c r="E1057" s="2" t="s">
        <v>4647</v>
      </c>
      <c r="F1057" s="2">
        <v>47</v>
      </c>
      <c r="G1057" s="2">
        <v>47</v>
      </c>
      <c r="H1057" s="2">
        <v>0</v>
      </c>
      <c r="I1057" s="1">
        <v>0</v>
      </c>
      <c r="J1057" s="26">
        <v>45719</v>
      </c>
      <c r="K1057" s="22">
        <v>70500</v>
      </c>
      <c r="L1057" s="18">
        <v>75.400000000000006</v>
      </c>
      <c r="M1057" s="22">
        <v>49350</v>
      </c>
      <c r="N1057" s="22">
        <v>21150</v>
      </c>
      <c r="O1057" s="18">
        <v>22.62</v>
      </c>
      <c r="P1057" s="52">
        <f>IF(COUNTIF(TblPurchases[BatchID],TblOutcomes[[#This Row],[BatchID]])&lt;&gt;1,"n.a.",TblOutcomes[[#This Row],[Qty Wasted]]*SUMIFS(TblPurchases[Unit Cost (CLP)],TblPurchases[BatchID],TblOutcomes[[#This Row],[BatchID]]))</f>
        <v>0</v>
      </c>
      <c r="Q1057" s="51">
        <f>IF(COUNTIF(TblPurchases[BatchID],TblOutcomes[[#This Row],[BatchID]])&lt;&gt;1,"n.a.",SUMIFS(TblPurchases[Purchase Date],TblPurchases[BatchID],TblOutcomes[[#This Row],[BatchID]]))</f>
        <v>45711</v>
      </c>
    </row>
    <row r="1058" spans="2:17" x14ac:dyDescent="0.25">
      <c r="B1058" s="2" t="s">
        <v>1862</v>
      </c>
      <c r="C1058" s="2" t="s">
        <v>156</v>
      </c>
      <c r="D1058" s="2" t="s">
        <v>155</v>
      </c>
      <c r="E1058" s="2" t="s">
        <v>4647</v>
      </c>
      <c r="F1058" s="2">
        <v>54</v>
      </c>
      <c r="G1058" s="2">
        <v>54</v>
      </c>
      <c r="H1058" s="2">
        <v>0</v>
      </c>
      <c r="I1058" s="1">
        <v>0</v>
      </c>
      <c r="J1058" s="26">
        <v>45721</v>
      </c>
      <c r="K1058" s="22">
        <v>81000</v>
      </c>
      <c r="L1058" s="18">
        <v>86.63</v>
      </c>
      <c r="M1058" s="22">
        <v>64800</v>
      </c>
      <c r="N1058" s="22">
        <v>16200</v>
      </c>
      <c r="O1058" s="18">
        <v>17.329999999999998</v>
      </c>
      <c r="P1058" s="52">
        <f>IF(COUNTIF(TblPurchases[BatchID],TblOutcomes[[#This Row],[BatchID]])&lt;&gt;1,"n.a.",TblOutcomes[[#This Row],[Qty Wasted]]*SUMIFS(TblPurchases[Unit Cost (CLP)],TblPurchases[BatchID],TblOutcomes[[#This Row],[BatchID]]))</f>
        <v>0</v>
      </c>
      <c r="Q1058" s="51">
        <f>IF(COUNTIF(TblPurchases[BatchID],TblOutcomes[[#This Row],[BatchID]])&lt;&gt;1,"n.a.",SUMIFS(TblPurchases[Purchase Date],TblPurchases[BatchID],TblOutcomes[[#This Row],[BatchID]]))</f>
        <v>45718</v>
      </c>
    </row>
    <row r="1059" spans="2:17" x14ac:dyDescent="0.25">
      <c r="B1059" s="2" t="s">
        <v>1863</v>
      </c>
      <c r="C1059" s="2" t="s">
        <v>156</v>
      </c>
      <c r="D1059" s="2" t="s">
        <v>155</v>
      </c>
      <c r="E1059" s="2" t="s">
        <v>4647</v>
      </c>
      <c r="F1059" s="2">
        <v>56</v>
      </c>
      <c r="G1059" s="2">
        <v>56</v>
      </c>
      <c r="H1059" s="2">
        <v>0</v>
      </c>
      <c r="I1059" s="1">
        <v>0</v>
      </c>
      <c r="J1059" s="26">
        <v>45729</v>
      </c>
      <c r="K1059" s="22">
        <v>84000</v>
      </c>
      <c r="L1059" s="18">
        <v>89.84</v>
      </c>
      <c r="M1059" s="22">
        <v>67200</v>
      </c>
      <c r="N1059" s="22">
        <v>16800</v>
      </c>
      <c r="O1059" s="18">
        <v>17.97</v>
      </c>
      <c r="P1059" s="52">
        <f>IF(COUNTIF(TblPurchases[BatchID],TblOutcomes[[#This Row],[BatchID]])&lt;&gt;1,"n.a.",TblOutcomes[[#This Row],[Qty Wasted]]*SUMIFS(TblPurchases[Unit Cost (CLP)],TblPurchases[BatchID],TblOutcomes[[#This Row],[BatchID]]))</f>
        <v>0</v>
      </c>
      <c r="Q1059" s="51">
        <f>IF(COUNTIF(TblPurchases[BatchID],TblOutcomes[[#This Row],[BatchID]])&lt;&gt;1,"n.a.",SUMIFS(TblPurchases[Purchase Date],TblPurchases[BatchID],TblOutcomes[[#This Row],[BatchID]]))</f>
        <v>45724</v>
      </c>
    </row>
    <row r="1060" spans="2:17" x14ac:dyDescent="0.25">
      <c r="B1060" s="2" t="s">
        <v>1864</v>
      </c>
      <c r="C1060" s="2" t="s">
        <v>156</v>
      </c>
      <c r="D1060" s="2" t="s">
        <v>155</v>
      </c>
      <c r="E1060" s="2" t="s">
        <v>4647</v>
      </c>
      <c r="F1060" s="2">
        <v>54</v>
      </c>
      <c r="G1060" s="2">
        <v>54</v>
      </c>
      <c r="H1060" s="2">
        <v>0</v>
      </c>
      <c r="I1060" s="1">
        <v>0</v>
      </c>
      <c r="J1060" s="26">
        <v>45737</v>
      </c>
      <c r="K1060" s="22">
        <v>81000</v>
      </c>
      <c r="L1060" s="18">
        <v>86.63</v>
      </c>
      <c r="M1060" s="22">
        <v>56700</v>
      </c>
      <c r="N1060" s="22">
        <v>24300</v>
      </c>
      <c r="O1060" s="18">
        <v>25.99</v>
      </c>
      <c r="P1060" s="52">
        <f>IF(COUNTIF(TblPurchases[BatchID],TblOutcomes[[#This Row],[BatchID]])&lt;&gt;1,"n.a.",TblOutcomes[[#This Row],[Qty Wasted]]*SUMIFS(TblPurchases[Unit Cost (CLP)],TblPurchases[BatchID],TblOutcomes[[#This Row],[BatchID]]))</f>
        <v>0</v>
      </c>
      <c r="Q1060" s="51">
        <f>IF(COUNTIF(TblPurchases[BatchID],TblOutcomes[[#This Row],[BatchID]])&lt;&gt;1,"n.a.",SUMIFS(TblPurchases[Purchase Date],TblPurchases[BatchID],TblOutcomes[[#This Row],[BatchID]]))</f>
        <v>45731</v>
      </c>
    </row>
    <row r="1061" spans="2:17" x14ac:dyDescent="0.25">
      <c r="B1061" s="2" t="s">
        <v>1865</v>
      </c>
      <c r="C1061" s="2" t="s">
        <v>156</v>
      </c>
      <c r="D1061" s="2" t="s">
        <v>155</v>
      </c>
      <c r="E1061" s="2" t="s">
        <v>4646</v>
      </c>
      <c r="F1061" s="2">
        <v>58</v>
      </c>
      <c r="G1061" s="2">
        <v>41.47</v>
      </c>
      <c r="H1061" s="2">
        <v>16.53</v>
      </c>
      <c r="I1061" s="1">
        <v>28.5</v>
      </c>
      <c r="J1061" s="26">
        <v>45758</v>
      </c>
      <c r="K1061" s="22">
        <v>62205</v>
      </c>
      <c r="L1061" s="18">
        <v>66.53</v>
      </c>
      <c r="M1061" s="22">
        <v>60900</v>
      </c>
      <c r="N1061" s="22">
        <v>1305</v>
      </c>
      <c r="O1061" s="18">
        <v>1.4</v>
      </c>
      <c r="P1061" s="52">
        <f>IF(COUNTIF(TblPurchases[BatchID],TblOutcomes[[#This Row],[BatchID]])&lt;&gt;1,"n.a.",TblOutcomes[[#This Row],[Qty Wasted]]*SUMIFS(TblPurchases[Unit Cost (CLP)],TblPurchases[BatchID],TblOutcomes[[#This Row],[BatchID]]))</f>
        <v>17356.5</v>
      </c>
      <c r="Q1061" s="51">
        <f>IF(COUNTIF(TblPurchases[BatchID],TblOutcomes[[#This Row],[BatchID]])&lt;&gt;1,"n.a.",SUMIFS(TblPurchases[Purchase Date],TblPurchases[BatchID],TblOutcomes[[#This Row],[BatchID]]))</f>
        <v>45738</v>
      </c>
    </row>
    <row r="1062" spans="2:17" x14ac:dyDescent="0.25">
      <c r="B1062" s="2" t="s">
        <v>1866</v>
      </c>
      <c r="C1062" s="2" t="s">
        <v>156</v>
      </c>
      <c r="D1062" s="2" t="s">
        <v>155</v>
      </c>
      <c r="E1062" s="2" t="s">
        <v>4647</v>
      </c>
      <c r="F1062" s="2">
        <v>49</v>
      </c>
      <c r="G1062" s="2">
        <v>49</v>
      </c>
      <c r="H1062" s="2">
        <v>0</v>
      </c>
      <c r="I1062" s="1">
        <v>0</v>
      </c>
      <c r="J1062" s="26">
        <v>45752</v>
      </c>
      <c r="K1062" s="22">
        <v>73500</v>
      </c>
      <c r="L1062" s="18">
        <v>78.61</v>
      </c>
      <c r="M1062" s="22">
        <v>51450</v>
      </c>
      <c r="N1062" s="22">
        <v>22050</v>
      </c>
      <c r="O1062" s="18">
        <v>23.58</v>
      </c>
      <c r="P1062" s="52">
        <f>IF(COUNTIF(TblPurchases[BatchID],TblOutcomes[[#This Row],[BatchID]])&lt;&gt;1,"n.a.",TblOutcomes[[#This Row],[Qty Wasted]]*SUMIFS(TblPurchases[Unit Cost (CLP)],TblPurchases[BatchID],TblOutcomes[[#This Row],[BatchID]]))</f>
        <v>0</v>
      </c>
      <c r="Q1062" s="51">
        <f>IF(COUNTIF(TblPurchases[BatchID],TblOutcomes[[#This Row],[BatchID]])&lt;&gt;1,"n.a.",SUMIFS(TblPurchases[Purchase Date],TblPurchases[BatchID],TblOutcomes[[#This Row],[BatchID]]))</f>
        <v>45746</v>
      </c>
    </row>
    <row r="1063" spans="2:17" x14ac:dyDescent="0.25">
      <c r="B1063" s="2" t="s">
        <v>1867</v>
      </c>
      <c r="C1063" s="2" t="s">
        <v>156</v>
      </c>
      <c r="D1063" s="2" t="s">
        <v>155</v>
      </c>
      <c r="E1063" s="2" t="s">
        <v>4647</v>
      </c>
      <c r="F1063" s="2">
        <v>18</v>
      </c>
      <c r="G1063" s="2">
        <v>18</v>
      </c>
      <c r="H1063" s="2">
        <v>0</v>
      </c>
      <c r="I1063" s="1">
        <v>0</v>
      </c>
      <c r="J1063" s="26">
        <v>45756</v>
      </c>
      <c r="K1063" s="22">
        <v>27000</v>
      </c>
      <c r="L1063" s="18">
        <v>28.88</v>
      </c>
      <c r="M1063" s="22">
        <v>18900</v>
      </c>
      <c r="N1063" s="22">
        <v>8100</v>
      </c>
      <c r="O1063" s="18">
        <v>8.66</v>
      </c>
      <c r="P1063" s="52">
        <f>IF(COUNTIF(TblPurchases[BatchID],TblOutcomes[[#This Row],[BatchID]])&lt;&gt;1,"n.a.",TblOutcomes[[#This Row],[Qty Wasted]]*SUMIFS(TblPurchases[Unit Cost (CLP)],TblPurchases[BatchID],TblOutcomes[[#This Row],[BatchID]]))</f>
        <v>0</v>
      </c>
      <c r="Q1063" s="51">
        <f>IF(COUNTIF(TblPurchases[BatchID],TblOutcomes[[#This Row],[BatchID]])&lt;&gt;1,"n.a.",SUMIFS(TblPurchases[Purchase Date],TblPurchases[BatchID],TblOutcomes[[#This Row],[BatchID]]))</f>
        <v>45753</v>
      </c>
    </row>
    <row r="1064" spans="2:17" x14ac:dyDescent="0.25">
      <c r="B1064" s="2" t="s">
        <v>1868</v>
      </c>
      <c r="C1064" s="2" t="s">
        <v>156</v>
      </c>
      <c r="D1064" s="2" t="s">
        <v>155</v>
      </c>
      <c r="E1064" s="2" t="s">
        <v>4647</v>
      </c>
      <c r="F1064" s="2">
        <v>18</v>
      </c>
      <c r="G1064" s="2">
        <v>18</v>
      </c>
      <c r="H1064" s="2">
        <v>0</v>
      </c>
      <c r="I1064" s="1">
        <v>0</v>
      </c>
      <c r="J1064" s="26">
        <v>45767</v>
      </c>
      <c r="K1064" s="22">
        <v>27000</v>
      </c>
      <c r="L1064" s="18">
        <v>28.88</v>
      </c>
      <c r="M1064" s="22">
        <v>18900</v>
      </c>
      <c r="N1064" s="22">
        <v>8100</v>
      </c>
      <c r="O1064" s="18">
        <v>8.66</v>
      </c>
      <c r="P1064" s="52">
        <f>IF(COUNTIF(TblPurchases[BatchID],TblOutcomes[[#This Row],[BatchID]])&lt;&gt;1,"n.a.",TblOutcomes[[#This Row],[Qty Wasted]]*SUMIFS(TblPurchases[Unit Cost (CLP)],TblPurchases[BatchID],TblOutcomes[[#This Row],[BatchID]]))</f>
        <v>0</v>
      </c>
      <c r="Q1064" s="51">
        <f>IF(COUNTIF(TblPurchases[BatchID],TblOutcomes[[#This Row],[BatchID]])&lt;&gt;1,"n.a.",SUMIFS(TblPurchases[Purchase Date],TblPurchases[BatchID],TblOutcomes[[#This Row],[BatchID]]))</f>
        <v>45761</v>
      </c>
    </row>
    <row r="1065" spans="2:17" x14ac:dyDescent="0.25">
      <c r="B1065" s="2" t="s">
        <v>1869</v>
      </c>
      <c r="C1065" s="2" t="s">
        <v>156</v>
      </c>
      <c r="D1065" s="2" t="s">
        <v>155</v>
      </c>
      <c r="E1065" s="2" t="s">
        <v>4647</v>
      </c>
      <c r="F1065" s="2">
        <v>19</v>
      </c>
      <c r="G1065" s="2">
        <v>19</v>
      </c>
      <c r="H1065" s="2">
        <v>0</v>
      </c>
      <c r="I1065" s="1">
        <v>0</v>
      </c>
      <c r="J1065" s="26">
        <v>45775</v>
      </c>
      <c r="K1065" s="22">
        <v>28500</v>
      </c>
      <c r="L1065" s="18">
        <v>30.48</v>
      </c>
      <c r="M1065" s="22">
        <v>19950</v>
      </c>
      <c r="N1065" s="22">
        <v>8550</v>
      </c>
      <c r="O1065" s="18">
        <v>9.14</v>
      </c>
      <c r="P1065" s="52">
        <f>IF(COUNTIF(TblPurchases[BatchID],TblOutcomes[[#This Row],[BatchID]])&lt;&gt;1,"n.a.",TblOutcomes[[#This Row],[Qty Wasted]]*SUMIFS(TblPurchases[Unit Cost (CLP)],TblPurchases[BatchID],TblOutcomes[[#This Row],[BatchID]]))</f>
        <v>0</v>
      </c>
      <c r="Q1065" s="51">
        <f>IF(COUNTIF(TblPurchases[BatchID],TblOutcomes[[#This Row],[BatchID]])&lt;&gt;1,"n.a.",SUMIFS(TblPurchases[Purchase Date],TblPurchases[BatchID],TblOutcomes[[#This Row],[BatchID]]))</f>
        <v>45768</v>
      </c>
    </row>
    <row r="1066" spans="2:17" x14ac:dyDescent="0.25">
      <c r="B1066" s="2" t="s">
        <v>1870</v>
      </c>
      <c r="C1066" s="2" t="s">
        <v>156</v>
      </c>
      <c r="D1066" s="2" t="s">
        <v>155</v>
      </c>
      <c r="E1066" s="2" t="s">
        <v>4646</v>
      </c>
      <c r="F1066" s="2">
        <v>19</v>
      </c>
      <c r="G1066" s="2">
        <v>12.29</v>
      </c>
      <c r="H1066" s="2">
        <v>6.71</v>
      </c>
      <c r="I1066" s="1">
        <v>35.299999999999997</v>
      </c>
      <c r="J1066" s="26">
        <v>45795</v>
      </c>
      <c r="K1066" s="22">
        <v>18435</v>
      </c>
      <c r="L1066" s="18">
        <v>19.72</v>
      </c>
      <c r="M1066" s="22">
        <v>19950</v>
      </c>
      <c r="N1066" s="22">
        <v>-1515</v>
      </c>
      <c r="O1066" s="18">
        <v>-1.62</v>
      </c>
      <c r="P1066" s="52">
        <f>IF(COUNTIF(TblPurchases[BatchID],TblOutcomes[[#This Row],[BatchID]])&lt;&gt;1,"n.a.",TblOutcomes[[#This Row],[Qty Wasted]]*SUMIFS(TblPurchases[Unit Cost (CLP)],TblPurchases[BatchID],TblOutcomes[[#This Row],[BatchID]]))</f>
        <v>7045.5</v>
      </c>
      <c r="Q1066" s="51">
        <f>IF(COUNTIF(TblPurchases[BatchID],TblOutcomes[[#This Row],[BatchID]])&lt;&gt;1,"n.a.",SUMIFS(TblPurchases[Purchase Date],TblPurchases[BatchID],TblOutcomes[[#This Row],[BatchID]]))</f>
        <v>45775</v>
      </c>
    </row>
    <row r="1067" spans="2:17" x14ac:dyDescent="0.25">
      <c r="B1067" s="2" t="s">
        <v>1871</v>
      </c>
      <c r="C1067" s="2" t="s">
        <v>156</v>
      </c>
      <c r="D1067" s="2" t="s">
        <v>155</v>
      </c>
      <c r="E1067" s="2" t="s">
        <v>4647</v>
      </c>
      <c r="F1067" s="2">
        <v>21</v>
      </c>
      <c r="G1067" s="2">
        <v>21</v>
      </c>
      <c r="H1067" s="2">
        <v>0</v>
      </c>
      <c r="I1067" s="1">
        <v>0</v>
      </c>
      <c r="J1067" s="26">
        <v>45787</v>
      </c>
      <c r="K1067" s="22">
        <v>31500</v>
      </c>
      <c r="L1067" s="18">
        <v>33.69</v>
      </c>
      <c r="M1067" s="22">
        <v>22050</v>
      </c>
      <c r="N1067" s="22">
        <v>9450</v>
      </c>
      <c r="O1067" s="18">
        <v>10.11</v>
      </c>
      <c r="P1067" s="52">
        <f>IF(COUNTIF(TblPurchases[BatchID],TblOutcomes[[#This Row],[BatchID]])&lt;&gt;1,"n.a.",TblOutcomes[[#This Row],[Qty Wasted]]*SUMIFS(TblPurchases[Unit Cost (CLP)],TblPurchases[BatchID],TblOutcomes[[#This Row],[BatchID]]))</f>
        <v>0</v>
      </c>
      <c r="Q1067" s="51">
        <f>IF(COUNTIF(TblPurchases[BatchID],TblOutcomes[[#This Row],[BatchID]])&lt;&gt;1,"n.a.",SUMIFS(TblPurchases[Purchase Date],TblPurchases[BatchID],TblOutcomes[[#This Row],[BatchID]]))</f>
        <v>45783</v>
      </c>
    </row>
    <row r="1068" spans="2:17" x14ac:dyDescent="0.25">
      <c r="B1068" s="2" t="s">
        <v>1872</v>
      </c>
      <c r="C1068" s="2" t="s">
        <v>156</v>
      </c>
      <c r="D1068" s="2" t="s">
        <v>155</v>
      </c>
      <c r="E1068" s="2" t="s">
        <v>4647</v>
      </c>
      <c r="F1068" s="2">
        <v>17</v>
      </c>
      <c r="G1068" s="2">
        <v>17</v>
      </c>
      <c r="H1068" s="2">
        <v>0</v>
      </c>
      <c r="I1068" s="1">
        <v>0</v>
      </c>
      <c r="J1068" s="26">
        <v>45797</v>
      </c>
      <c r="K1068" s="22">
        <v>25500</v>
      </c>
      <c r="L1068" s="18">
        <v>27.27</v>
      </c>
      <c r="M1068" s="22">
        <v>17850</v>
      </c>
      <c r="N1068" s="22">
        <v>7650</v>
      </c>
      <c r="O1068" s="18">
        <v>8.18</v>
      </c>
      <c r="P1068" s="52">
        <f>IF(COUNTIF(TblPurchases[BatchID],TblOutcomes[[#This Row],[BatchID]])&lt;&gt;1,"n.a.",TblOutcomes[[#This Row],[Qty Wasted]]*SUMIFS(TblPurchases[Unit Cost (CLP)],TblPurchases[BatchID],TblOutcomes[[#This Row],[BatchID]]))</f>
        <v>0</v>
      </c>
      <c r="Q1068" s="51">
        <f>IF(COUNTIF(TblPurchases[BatchID],TblOutcomes[[#This Row],[BatchID]])&lt;&gt;1,"n.a.",SUMIFS(TblPurchases[Purchase Date],TblPurchases[BatchID],TblOutcomes[[#This Row],[BatchID]]))</f>
        <v>45790</v>
      </c>
    </row>
    <row r="1069" spans="2:17" x14ac:dyDescent="0.25">
      <c r="B1069" s="2" t="s">
        <v>1873</v>
      </c>
      <c r="C1069" s="2" t="s">
        <v>156</v>
      </c>
      <c r="D1069" s="2" t="s">
        <v>155</v>
      </c>
      <c r="E1069" s="2" t="s">
        <v>4646</v>
      </c>
      <c r="F1069" s="2">
        <v>22</v>
      </c>
      <c r="G1069" s="2">
        <v>19.510000000000002</v>
      </c>
      <c r="H1069" s="2">
        <v>2.4900000000000002</v>
      </c>
      <c r="I1069" s="1">
        <v>11.3</v>
      </c>
      <c r="J1069" s="26">
        <v>45816</v>
      </c>
      <c r="K1069" s="22">
        <v>29265</v>
      </c>
      <c r="L1069" s="18">
        <v>31.3</v>
      </c>
      <c r="M1069" s="22">
        <v>23100</v>
      </c>
      <c r="N1069" s="22">
        <v>6165</v>
      </c>
      <c r="O1069" s="18">
        <v>6.59</v>
      </c>
      <c r="P1069" s="52">
        <f>IF(COUNTIF(TblPurchases[BatchID],TblOutcomes[[#This Row],[BatchID]])&lt;&gt;1,"n.a.",TblOutcomes[[#This Row],[Qty Wasted]]*SUMIFS(TblPurchases[Unit Cost (CLP)],TblPurchases[BatchID],TblOutcomes[[#This Row],[BatchID]]))</f>
        <v>2614.5</v>
      </c>
      <c r="Q1069" s="51">
        <f>IF(COUNTIF(TblPurchases[BatchID],TblOutcomes[[#This Row],[BatchID]])&lt;&gt;1,"n.a.",SUMIFS(TblPurchases[Purchase Date],TblPurchases[BatchID],TblOutcomes[[#This Row],[BatchID]]))</f>
        <v>45796</v>
      </c>
    </row>
    <row r="1070" spans="2:17" x14ac:dyDescent="0.25">
      <c r="B1070" s="2" t="s">
        <v>1874</v>
      </c>
      <c r="C1070" s="2" t="s">
        <v>156</v>
      </c>
      <c r="D1070" s="2" t="s">
        <v>155</v>
      </c>
      <c r="E1070" s="2" t="s">
        <v>4646</v>
      </c>
      <c r="F1070" s="2">
        <v>22</v>
      </c>
      <c r="G1070" s="2">
        <v>11.4</v>
      </c>
      <c r="H1070" s="2">
        <v>10.6</v>
      </c>
      <c r="I1070" s="1">
        <v>48.2</v>
      </c>
      <c r="J1070" s="26">
        <v>45822</v>
      </c>
      <c r="K1070" s="22">
        <v>17100</v>
      </c>
      <c r="L1070" s="18">
        <v>18.29</v>
      </c>
      <c r="M1070" s="22">
        <v>23100</v>
      </c>
      <c r="N1070" s="22">
        <v>-6000</v>
      </c>
      <c r="O1070" s="18">
        <v>-6.42</v>
      </c>
      <c r="P1070" s="52">
        <f>IF(COUNTIF(TblPurchases[BatchID],TblOutcomes[[#This Row],[BatchID]])&lt;&gt;1,"n.a.",TblOutcomes[[#This Row],[Qty Wasted]]*SUMIFS(TblPurchases[Unit Cost (CLP)],TblPurchases[BatchID],TblOutcomes[[#This Row],[BatchID]]))</f>
        <v>11130</v>
      </c>
      <c r="Q1070" s="51">
        <f>IF(COUNTIF(TblPurchases[BatchID],TblOutcomes[[#This Row],[BatchID]])&lt;&gt;1,"n.a.",SUMIFS(TblPurchases[Purchase Date],TblPurchases[BatchID],TblOutcomes[[#This Row],[BatchID]]))</f>
        <v>45802</v>
      </c>
    </row>
    <row r="1071" spans="2:17" x14ac:dyDescent="0.25">
      <c r="B1071" s="2" t="s">
        <v>1875</v>
      </c>
      <c r="C1071" s="2" t="s">
        <v>156</v>
      </c>
      <c r="D1071" s="2" t="s">
        <v>155</v>
      </c>
      <c r="E1071" s="2" t="s">
        <v>4647</v>
      </c>
      <c r="F1071" s="2">
        <v>21</v>
      </c>
      <c r="G1071" s="2">
        <v>21</v>
      </c>
      <c r="H1071" s="2">
        <v>0</v>
      </c>
      <c r="I1071" s="1">
        <v>0</v>
      </c>
      <c r="J1071" s="26">
        <v>45818</v>
      </c>
      <c r="K1071" s="22">
        <v>31500</v>
      </c>
      <c r="L1071" s="18">
        <v>33.69</v>
      </c>
      <c r="M1071" s="22">
        <v>25200</v>
      </c>
      <c r="N1071" s="22">
        <v>6300</v>
      </c>
      <c r="O1071" s="18">
        <v>6.74</v>
      </c>
      <c r="P1071" s="52">
        <f>IF(COUNTIF(TblPurchases[BatchID],TblOutcomes[[#This Row],[BatchID]])&lt;&gt;1,"n.a.",TblOutcomes[[#This Row],[Qty Wasted]]*SUMIFS(TblPurchases[Unit Cost (CLP)],TblPurchases[BatchID],TblOutcomes[[#This Row],[BatchID]]))</f>
        <v>0</v>
      </c>
      <c r="Q1071" s="51">
        <f>IF(COUNTIF(TblPurchases[BatchID],TblOutcomes[[#This Row],[BatchID]])&lt;&gt;1,"n.a.",SUMIFS(TblPurchases[Purchase Date],TblPurchases[BatchID],TblOutcomes[[#This Row],[BatchID]]))</f>
        <v>45808</v>
      </c>
    </row>
    <row r="1072" spans="2:17" x14ac:dyDescent="0.25">
      <c r="B1072" s="2" t="s">
        <v>1876</v>
      </c>
      <c r="C1072" s="2" t="s">
        <v>156</v>
      </c>
      <c r="D1072" s="2" t="s">
        <v>155</v>
      </c>
      <c r="E1072" s="2" t="s">
        <v>4647</v>
      </c>
      <c r="F1072" s="2">
        <v>20</v>
      </c>
      <c r="G1072" s="2">
        <v>20</v>
      </c>
      <c r="H1072" s="2">
        <v>0</v>
      </c>
      <c r="I1072" s="1">
        <v>0</v>
      </c>
      <c r="J1072" s="26">
        <v>45822</v>
      </c>
      <c r="K1072" s="22">
        <v>30000</v>
      </c>
      <c r="L1072" s="18">
        <v>32.090000000000003</v>
      </c>
      <c r="M1072" s="22">
        <v>24000</v>
      </c>
      <c r="N1072" s="22">
        <v>6000</v>
      </c>
      <c r="O1072" s="18">
        <v>6.42</v>
      </c>
      <c r="P1072" s="52">
        <f>IF(COUNTIF(TblPurchases[BatchID],TblOutcomes[[#This Row],[BatchID]])&lt;&gt;1,"n.a.",TblOutcomes[[#This Row],[Qty Wasted]]*SUMIFS(TblPurchases[Unit Cost (CLP)],TblPurchases[BatchID],TblOutcomes[[#This Row],[BatchID]]))</f>
        <v>0</v>
      </c>
      <c r="Q1072" s="51">
        <f>IF(COUNTIF(TblPurchases[BatchID],TblOutcomes[[#This Row],[BatchID]])&lt;&gt;1,"n.a.",SUMIFS(TblPurchases[Purchase Date],TblPurchases[BatchID],TblOutcomes[[#This Row],[BatchID]]))</f>
        <v>45815</v>
      </c>
    </row>
    <row r="1073" spans="2:17" x14ac:dyDescent="0.25">
      <c r="B1073" s="2" t="s">
        <v>1877</v>
      </c>
      <c r="C1073" s="2" t="s">
        <v>156</v>
      </c>
      <c r="D1073" s="2" t="s">
        <v>155</v>
      </c>
      <c r="E1073" s="2" t="s">
        <v>4646</v>
      </c>
      <c r="F1073" s="2">
        <v>19</v>
      </c>
      <c r="G1073" s="2">
        <v>13.72</v>
      </c>
      <c r="H1073" s="2">
        <v>5.28</v>
      </c>
      <c r="I1073" s="1">
        <v>27.8</v>
      </c>
      <c r="J1073" s="26">
        <v>45841</v>
      </c>
      <c r="K1073" s="22">
        <v>20580</v>
      </c>
      <c r="L1073" s="18">
        <v>22.01</v>
      </c>
      <c r="M1073" s="22">
        <v>19950</v>
      </c>
      <c r="N1073" s="22">
        <v>630</v>
      </c>
      <c r="O1073" s="18">
        <v>0.67</v>
      </c>
      <c r="P1073" s="52">
        <f>IF(COUNTIF(TblPurchases[BatchID],TblOutcomes[[#This Row],[BatchID]])&lt;&gt;1,"n.a.",TblOutcomes[[#This Row],[Qty Wasted]]*SUMIFS(TblPurchases[Unit Cost (CLP)],TblPurchases[BatchID],TblOutcomes[[#This Row],[BatchID]]))</f>
        <v>5544</v>
      </c>
      <c r="Q1073" s="51">
        <f>IF(COUNTIF(TblPurchases[BatchID],TblOutcomes[[#This Row],[BatchID]])&lt;&gt;1,"n.a.",SUMIFS(TblPurchases[Purchase Date],TblPurchases[BatchID],TblOutcomes[[#This Row],[BatchID]]))</f>
        <v>45821</v>
      </c>
    </row>
    <row r="1074" spans="2:17" x14ac:dyDescent="0.25">
      <c r="B1074" s="2" t="s">
        <v>1878</v>
      </c>
      <c r="C1074" s="2" t="s">
        <v>156</v>
      </c>
      <c r="D1074" s="2" t="s">
        <v>155</v>
      </c>
      <c r="E1074" s="2" t="s">
        <v>4647</v>
      </c>
      <c r="F1074" s="2">
        <v>22</v>
      </c>
      <c r="G1074" s="2">
        <v>22</v>
      </c>
      <c r="H1074" s="2">
        <v>0</v>
      </c>
      <c r="I1074" s="1">
        <v>0</v>
      </c>
      <c r="J1074" s="26">
        <v>45832</v>
      </c>
      <c r="K1074" s="22">
        <v>33000</v>
      </c>
      <c r="L1074" s="18">
        <v>35.29</v>
      </c>
      <c r="M1074" s="22">
        <v>23100</v>
      </c>
      <c r="N1074" s="22">
        <v>9900</v>
      </c>
      <c r="O1074" s="18">
        <v>10.59</v>
      </c>
      <c r="P1074" s="52">
        <f>IF(COUNTIF(TblPurchases[BatchID],TblOutcomes[[#This Row],[BatchID]])&lt;&gt;1,"n.a.",TblOutcomes[[#This Row],[Qty Wasted]]*SUMIFS(TblPurchases[Unit Cost (CLP)],TblPurchases[BatchID],TblOutcomes[[#This Row],[BatchID]]))</f>
        <v>0</v>
      </c>
      <c r="Q1074" s="51">
        <f>IF(COUNTIF(TblPurchases[BatchID],TblOutcomes[[#This Row],[BatchID]])&lt;&gt;1,"n.a.",SUMIFS(TblPurchases[Purchase Date],TblPurchases[BatchID],TblOutcomes[[#This Row],[BatchID]]))</f>
        <v>45826</v>
      </c>
    </row>
    <row r="1075" spans="2:17" x14ac:dyDescent="0.25">
      <c r="B1075" s="2" t="s">
        <v>1879</v>
      </c>
      <c r="C1075" s="2" t="s">
        <v>156</v>
      </c>
      <c r="D1075" s="2" t="s">
        <v>155</v>
      </c>
      <c r="E1075" s="2" t="s">
        <v>4646</v>
      </c>
      <c r="F1075" s="2">
        <v>19</v>
      </c>
      <c r="G1075" s="2">
        <v>15.28</v>
      </c>
      <c r="H1075" s="2">
        <v>3.72</v>
      </c>
      <c r="I1075" s="1">
        <v>19.600000000000001</v>
      </c>
      <c r="J1075" s="26">
        <v>45852</v>
      </c>
      <c r="K1075" s="22">
        <v>22920</v>
      </c>
      <c r="L1075" s="18">
        <v>24.51</v>
      </c>
      <c r="M1075" s="22">
        <v>19950</v>
      </c>
      <c r="N1075" s="22">
        <v>2970</v>
      </c>
      <c r="O1075" s="18">
        <v>3.18</v>
      </c>
      <c r="P1075" s="52">
        <f>IF(COUNTIF(TblPurchases[BatchID],TblOutcomes[[#This Row],[BatchID]])&lt;&gt;1,"n.a.",TblOutcomes[[#This Row],[Qty Wasted]]*SUMIFS(TblPurchases[Unit Cost (CLP)],TblPurchases[BatchID],TblOutcomes[[#This Row],[BatchID]]))</f>
        <v>3906</v>
      </c>
      <c r="Q1075" s="51">
        <f>IF(COUNTIF(TblPurchases[BatchID],TblOutcomes[[#This Row],[BatchID]])&lt;&gt;1,"n.a.",SUMIFS(TblPurchases[Purchase Date],TblPurchases[BatchID],TblOutcomes[[#This Row],[BatchID]]))</f>
        <v>45832</v>
      </c>
    </row>
    <row r="1076" spans="2:17" x14ac:dyDescent="0.25">
      <c r="B1076" s="2" t="s">
        <v>1880</v>
      </c>
      <c r="C1076" s="2" t="s">
        <v>158</v>
      </c>
      <c r="D1076" s="2" t="s">
        <v>155</v>
      </c>
      <c r="E1076" s="2" t="s">
        <v>4646</v>
      </c>
      <c r="F1076" s="2">
        <v>18</v>
      </c>
      <c r="G1076" s="2">
        <v>12.91</v>
      </c>
      <c r="H1076" s="2">
        <v>5.09</v>
      </c>
      <c r="I1076" s="1">
        <v>28.3</v>
      </c>
      <c r="J1076" s="26">
        <v>45129</v>
      </c>
      <c r="K1076" s="22">
        <v>19365</v>
      </c>
      <c r="L1076" s="18">
        <v>20.71</v>
      </c>
      <c r="M1076" s="22">
        <v>20700</v>
      </c>
      <c r="N1076" s="22">
        <v>-1335</v>
      </c>
      <c r="O1076" s="18">
        <v>-1.43</v>
      </c>
      <c r="P1076" s="52">
        <f>IF(COUNTIF(TblPurchases[BatchID],TblOutcomes[[#This Row],[BatchID]])&lt;&gt;1,"n.a.",TblOutcomes[[#This Row],[Qty Wasted]]*SUMIFS(TblPurchases[Unit Cost (CLP)],TblPurchases[BatchID],TblOutcomes[[#This Row],[BatchID]]))</f>
        <v>5853.5</v>
      </c>
      <c r="Q1076" s="51">
        <f>IF(COUNTIF(TblPurchases[BatchID],TblOutcomes[[#This Row],[BatchID]])&lt;&gt;1,"n.a.",SUMIFS(TblPurchases[Purchase Date],TblPurchases[BatchID],TblOutcomes[[#This Row],[BatchID]]))</f>
        <v>45109</v>
      </c>
    </row>
    <row r="1077" spans="2:17" x14ac:dyDescent="0.25">
      <c r="B1077" s="2" t="s">
        <v>1881</v>
      </c>
      <c r="C1077" s="2" t="s">
        <v>158</v>
      </c>
      <c r="D1077" s="2" t="s">
        <v>155</v>
      </c>
      <c r="E1077" s="2" t="s">
        <v>4647</v>
      </c>
      <c r="F1077" s="2">
        <v>20</v>
      </c>
      <c r="G1077" s="2">
        <v>20</v>
      </c>
      <c r="H1077" s="2">
        <v>0</v>
      </c>
      <c r="I1077" s="1">
        <v>0</v>
      </c>
      <c r="J1077" s="26">
        <v>45122</v>
      </c>
      <c r="K1077" s="22">
        <v>30000</v>
      </c>
      <c r="L1077" s="18">
        <v>32.090000000000003</v>
      </c>
      <c r="M1077" s="22">
        <v>23000</v>
      </c>
      <c r="N1077" s="22">
        <v>7000</v>
      </c>
      <c r="O1077" s="18">
        <v>7.49</v>
      </c>
      <c r="P1077" s="52">
        <f>IF(COUNTIF(TblPurchases[BatchID],TblOutcomes[[#This Row],[BatchID]])&lt;&gt;1,"n.a.",TblOutcomes[[#This Row],[Qty Wasted]]*SUMIFS(TblPurchases[Unit Cost (CLP)],TblPurchases[BatchID],TblOutcomes[[#This Row],[BatchID]]))</f>
        <v>0</v>
      </c>
      <c r="Q1077" s="51">
        <f>IF(COUNTIF(TblPurchases[BatchID],TblOutcomes[[#This Row],[BatchID]])&lt;&gt;1,"n.a.",SUMIFS(TblPurchases[Purchase Date],TblPurchases[BatchID],TblOutcomes[[#This Row],[BatchID]]))</f>
        <v>45116</v>
      </c>
    </row>
    <row r="1078" spans="2:17" x14ac:dyDescent="0.25">
      <c r="B1078" s="2" t="s">
        <v>1882</v>
      </c>
      <c r="C1078" s="2" t="s">
        <v>158</v>
      </c>
      <c r="D1078" s="2" t="s">
        <v>155</v>
      </c>
      <c r="E1078" s="2" t="s">
        <v>4646</v>
      </c>
      <c r="F1078" s="2">
        <v>18</v>
      </c>
      <c r="G1078" s="2">
        <v>15.98</v>
      </c>
      <c r="H1078" s="2">
        <v>2.02</v>
      </c>
      <c r="I1078" s="1">
        <v>11.2</v>
      </c>
      <c r="J1078" s="26">
        <v>45144</v>
      </c>
      <c r="K1078" s="22">
        <v>23970</v>
      </c>
      <c r="L1078" s="18">
        <v>25.64</v>
      </c>
      <c r="M1078" s="22">
        <v>20700</v>
      </c>
      <c r="N1078" s="22">
        <v>3270</v>
      </c>
      <c r="O1078" s="18">
        <v>3.5</v>
      </c>
      <c r="P1078" s="52">
        <f>IF(COUNTIF(TblPurchases[BatchID],TblOutcomes[[#This Row],[BatchID]])&lt;&gt;1,"n.a.",TblOutcomes[[#This Row],[Qty Wasted]]*SUMIFS(TblPurchases[Unit Cost (CLP)],TblPurchases[BatchID],TblOutcomes[[#This Row],[BatchID]]))</f>
        <v>2323</v>
      </c>
      <c r="Q1078" s="51">
        <f>IF(COUNTIF(TblPurchases[BatchID],TblOutcomes[[#This Row],[BatchID]])&lt;&gt;1,"n.a.",SUMIFS(TblPurchases[Purchase Date],TblPurchases[BatchID],TblOutcomes[[#This Row],[BatchID]]))</f>
        <v>45124</v>
      </c>
    </row>
    <row r="1079" spans="2:17" x14ac:dyDescent="0.25">
      <c r="B1079" s="2" t="s">
        <v>1883</v>
      </c>
      <c r="C1079" s="2" t="s">
        <v>158</v>
      </c>
      <c r="D1079" s="2" t="s">
        <v>155</v>
      </c>
      <c r="E1079" s="2" t="s">
        <v>4646</v>
      </c>
      <c r="F1079" s="2">
        <v>17</v>
      </c>
      <c r="G1079" s="2">
        <v>12.77</v>
      </c>
      <c r="H1079" s="2">
        <v>4.2300000000000004</v>
      </c>
      <c r="I1079" s="1">
        <v>24.9</v>
      </c>
      <c r="J1079" s="26">
        <v>45150</v>
      </c>
      <c r="K1079" s="22">
        <v>19155</v>
      </c>
      <c r="L1079" s="18">
        <v>20.49</v>
      </c>
      <c r="M1079" s="22">
        <v>19550</v>
      </c>
      <c r="N1079" s="22">
        <v>-395</v>
      </c>
      <c r="O1079" s="18">
        <v>-0.42</v>
      </c>
      <c r="P1079" s="52">
        <f>IF(COUNTIF(TblPurchases[BatchID],TblOutcomes[[#This Row],[BatchID]])&lt;&gt;1,"n.a.",TblOutcomes[[#This Row],[Qty Wasted]]*SUMIFS(TblPurchases[Unit Cost (CLP)],TblPurchases[BatchID],TblOutcomes[[#This Row],[BatchID]]))</f>
        <v>4864.5000000000009</v>
      </c>
      <c r="Q1079" s="51">
        <f>IF(COUNTIF(TblPurchases[BatchID],TblOutcomes[[#This Row],[BatchID]])&lt;&gt;1,"n.a.",SUMIFS(TblPurchases[Purchase Date],TblPurchases[BatchID],TblOutcomes[[#This Row],[BatchID]]))</f>
        <v>45130</v>
      </c>
    </row>
    <row r="1080" spans="2:17" x14ac:dyDescent="0.25">
      <c r="B1080" s="2" t="s">
        <v>1884</v>
      </c>
      <c r="C1080" s="2" t="s">
        <v>158</v>
      </c>
      <c r="D1080" s="2" t="s">
        <v>155</v>
      </c>
      <c r="E1080" s="2" t="s">
        <v>4647</v>
      </c>
      <c r="F1080" s="2">
        <v>19</v>
      </c>
      <c r="G1080" s="2">
        <v>19</v>
      </c>
      <c r="H1080" s="2">
        <v>0</v>
      </c>
      <c r="I1080" s="1">
        <v>0</v>
      </c>
      <c r="J1080" s="26">
        <v>45142</v>
      </c>
      <c r="K1080" s="22">
        <v>28500</v>
      </c>
      <c r="L1080" s="18">
        <v>30.48</v>
      </c>
      <c r="M1080" s="22">
        <v>21850</v>
      </c>
      <c r="N1080" s="22">
        <v>6650</v>
      </c>
      <c r="O1080" s="18">
        <v>7.11</v>
      </c>
      <c r="P1080" s="52">
        <f>IF(COUNTIF(TblPurchases[BatchID],TblOutcomes[[#This Row],[BatchID]])&lt;&gt;1,"n.a.",TblOutcomes[[#This Row],[Qty Wasted]]*SUMIFS(TblPurchases[Unit Cost (CLP)],TblPurchases[BatchID],TblOutcomes[[#This Row],[BatchID]]))</f>
        <v>0</v>
      </c>
      <c r="Q1080" s="51">
        <f>IF(COUNTIF(TblPurchases[BatchID],TblOutcomes[[#This Row],[BatchID]])&lt;&gt;1,"n.a.",SUMIFS(TblPurchases[Purchase Date],TblPurchases[BatchID],TblOutcomes[[#This Row],[BatchID]]))</f>
        <v>45136</v>
      </c>
    </row>
    <row r="1081" spans="2:17" x14ac:dyDescent="0.25">
      <c r="B1081" s="2" t="s">
        <v>1885</v>
      </c>
      <c r="C1081" s="2" t="s">
        <v>158</v>
      </c>
      <c r="D1081" s="2" t="s">
        <v>155</v>
      </c>
      <c r="E1081" s="2" t="s">
        <v>4647</v>
      </c>
      <c r="F1081" s="2">
        <v>16</v>
      </c>
      <c r="G1081" s="2">
        <v>16</v>
      </c>
      <c r="H1081" s="2">
        <v>0</v>
      </c>
      <c r="I1081" s="1">
        <v>0</v>
      </c>
      <c r="J1081" s="26">
        <v>45150</v>
      </c>
      <c r="K1081" s="22">
        <v>24000</v>
      </c>
      <c r="L1081" s="18">
        <v>25.67</v>
      </c>
      <c r="M1081" s="22">
        <v>18400</v>
      </c>
      <c r="N1081" s="22">
        <v>5600</v>
      </c>
      <c r="O1081" s="18">
        <v>5.99</v>
      </c>
      <c r="P1081" s="52">
        <f>IF(COUNTIF(TblPurchases[BatchID],TblOutcomes[[#This Row],[BatchID]])&lt;&gt;1,"n.a.",TblOutcomes[[#This Row],[Qty Wasted]]*SUMIFS(TblPurchases[Unit Cost (CLP)],TblPurchases[BatchID],TblOutcomes[[#This Row],[BatchID]]))</f>
        <v>0</v>
      </c>
      <c r="Q1081" s="51">
        <f>IF(COUNTIF(TblPurchases[BatchID],TblOutcomes[[#This Row],[BatchID]])&lt;&gt;1,"n.a.",SUMIFS(TblPurchases[Purchase Date],TblPurchases[BatchID],TblOutcomes[[#This Row],[BatchID]]))</f>
        <v>45142</v>
      </c>
    </row>
    <row r="1082" spans="2:17" x14ac:dyDescent="0.25">
      <c r="B1082" s="2" t="s">
        <v>1886</v>
      </c>
      <c r="C1082" s="2" t="s">
        <v>158</v>
      </c>
      <c r="D1082" s="2" t="s">
        <v>155</v>
      </c>
      <c r="E1082" s="2" t="s">
        <v>4646</v>
      </c>
      <c r="F1082" s="2">
        <v>16</v>
      </c>
      <c r="G1082" s="2">
        <v>8.3699999999999992</v>
      </c>
      <c r="H1082" s="2">
        <v>7.63</v>
      </c>
      <c r="I1082" s="1">
        <v>47.7</v>
      </c>
      <c r="J1082" s="26">
        <v>45168</v>
      </c>
      <c r="K1082" s="22">
        <v>12555</v>
      </c>
      <c r="L1082" s="18">
        <v>13.43</v>
      </c>
      <c r="M1082" s="22">
        <v>18400</v>
      </c>
      <c r="N1082" s="22">
        <v>-5845</v>
      </c>
      <c r="O1082" s="18">
        <v>-6.25</v>
      </c>
      <c r="P1082" s="52">
        <f>IF(COUNTIF(TblPurchases[BatchID],TblOutcomes[[#This Row],[BatchID]])&lt;&gt;1,"n.a.",TblOutcomes[[#This Row],[Qty Wasted]]*SUMIFS(TblPurchases[Unit Cost (CLP)],TblPurchases[BatchID],TblOutcomes[[#This Row],[BatchID]]))</f>
        <v>8774.5</v>
      </c>
      <c r="Q1082" s="51">
        <f>IF(COUNTIF(TblPurchases[BatchID],TblOutcomes[[#This Row],[BatchID]])&lt;&gt;1,"n.a.",SUMIFS(TblPurchases[Purchase Date],TblPurchases[BatchID],TblOutcomes[[#This Row],[BatchID]]))</f>
        <v>45148</v>
      </c>
    </row>
    <row r="1083" spans="2:17" x14ac:dyDescent="0.25">
      <c r="B1083" s="2" t="s">
        <v>1887</v>
      </c>
      <c r="C1083" s="2" t="s">
        <v>158</v>
      </c>
      <c r="D1083" s="2" t="s">
        <v>155</v>
      </c>
      <c r="E1083" s="2" t="s">
        <v>4646</v>
      </c>
      <c r="F1083" s="2">
        <v>16</v>
      </c>
      <c r="G1083" s="2">
        <v>11.94</v>
      </c>
      <c r="H1083" s="2">
        <v>4.0599999999999996</v>
      </c>
      <c r="I1083" s="1">
        <v>25.4</v>
      </c>
      <c r="J1083" s="26">
        <v>45174</v>
      </c>
      <c r="K1083" s="22">
        <v>17910</v>
      </c>
      <c r="L1083" s="18">
        <v>19.16</v>
      </c>
      <c r="M1083" s="22">
        <v>18400</v>
      </c>
      <c r="N1083" s="22">
        <v>-490</v>
      </c>
      <c r="O1083" s="18">
        <v>-0.52</v>
      </c>
      <c r="P1083" s="52">
        <f>IF(COUNTIF(TblPurchases[BatchID],TblOutcomes[[#This Row],[BatchID]])&lt;&gt;1,"n.a.",TblOutcomes[[#This Row],[Qty Wasted]]*SUMIFS(TblPurchases[Unit Cost (CLP)],TblPurchases[BatchID],TblOutcomes[[#This Row],[BatchID]]))</f>
        <v>4669</v>
      </c>
      <c r="Q1083" s="51">
        <f>IF(COUNTIF(TblPurchases[BatchID],TblOutcomes[[#This Row],[BatchID]])&lt;&gt;1,"n.a.",SUMIFS(TblPurchases[Purchase Date],TblPurchases[BatchID],TblOutcomes[[#This Row],[BatchID]]))</f>
        <v>45154</v>
      </c>
    </row>
    <row r="1084" spans="2:17" x14ac:dyDescent="0.25">
      <c r="B1084" s="2" t="s">
        <v>1888</v>
      </c>
      <c r="C1084" s="2" t="s">
        <v>158</v>
      </c>
      <c r="D1084" s="2" t="s">
        <v>155</v>
      </c>
      <c r="E1084" s="2" t="s">
        <v>4647</v>
      </c>
      <c r="F1084" s="2">
        <v>18</v>
      </c>
      <c r="G1084" s="2">
        <v>18</v>
      </c>
      <c r="H1084" s="2">
        <v>0</v>
      </c>
      <c r="I1084" s="1">
        <v>0</v>
      </c>
      <c r="J1084" s="26">
        <v>45168</v>
      </c>
      <c r="K1084" s="22">
        <v>27000</v>
      </c>
      <c r="L1084" s="18">
        <v>28.88</v>
      </c>
      <c r="M1084" s="22">
        <v>20700</v>
      </c>
      <c r="N1084" s="22">
        <v>6300</v>
      </c>
      <c r="O1084" s="18">
        <v>6.74</v>
      </c>
      <c r="P1084" s="52">
        <f>IF(COUNTIF(TblPurchases[BatchID],TblOutcomes[[#This Row],[BatchID]])&lt;&gt;1,"n.a.",TblOutcomes[[#This Row],[Qty Wasted]]*SUMIFS(TblPurchases[Unit Cost (CLP)],TblPurchases[BatchID],TblOutcomes[[#This Row],[BatchID]]))</f>
        <v>0</v>
      </c>
      <c r="Q1084" s="51">
        <f>IF(COUNTIF(TblPurchases[BatchID],TblOutcomes[[#This Row],[BatchID]])&lt;&gt;1,"n.a.",SUMIFS(TblPurchases[Purchase Date],TblPurchases[BatchID],TblOutcomes[[#This Row],[BatchID]]))</f>
        <v>45161</v>
      </c>
    </row>
    <row r="1085" spans="2:17" x14ac:dyDescent="0.25">
      <c r="B1085" s="2" t="s">
        <v>1889</v>
      </c>
      <c r="C1085" s="2" t="s">
        <v>158</v>
      </c>
      <c r="D1085" s="2" t="s">
        <v>155</v>
      </c>
      <c r="E1085" s="2" t="s">
        <v>4647</v>
      </c>
      <c r="F1085" s="2">
        <v>19</v>
      </c>
      <c r="G1085" s="2">
        <v>19</v>
      </c>
      <c r="H1085" s="2">
        <v>0</v>
      </c>
      <c r="I1085" s="1">
        <v>0</v>
      </c>
      <c r="J1085" s="26">
        <v>45172</v>
      </c>
      <c r="K1085" s="22">
        <v>28500</v>
      </c>
      <c r="L1085" s="18">
        <v>30.48</v>
      </c>
      <c r="M1085" s="22">
        <v>21850</v>
      </c>
      <c r="N1085" s="22">
        <v>6650</v>
      </c>
      <c r="O1085" s="18">
        <v>7.11</v>
      </c>
      <c r="P1085" s="52">
        <f>IF(COUNTIF(TblPurchases[BatchID],TblOutcomes[[#This Row],[BatchID]])&lt;&gt;1,"n.a.",TblOutcomes[[#This Row],[Qty Wasted]]*SUMIFS(TblPurchases[Unit Cost (CLP)],TblPurchases[BatchID],TblOutcomes[[#This Row],[BatchID]]))</f>
        <v>0</v>
      </c>
      <c r="Q1085" s="51">
        <f>IF(COUNTIF(TblPurchases[BatchID],TblOutcomes[[#This Row],[BatchID]])&lt;&gt;1,"n.a.",SUMIFS(TblPurchases[Purchase Date],TblPurchases[BatchID],TblOutcomes[[#This Row],[BatchID]]))</f>
        <v>45167</v>
      </c>
    </row>
    <row r="1086" spans="2:17" x14ac:dyDescent="0.25">
      <c r="B1086" s="2" t="s">
        <v>1890</v>
      </c>
      <c r="C1086" s="2" t="s">
        <v>158</v>
      </c>
      <c r="D1086" s="2" t="s">
        <v>155</v>
      </c>
      <c r="E1086" s="2" t="s">
        <v>4646</v>
      </c>
      <c r="F1086" s="2">
        <v>20</v>
      </c>
      <c r="G1086" s="2">
        <v>18.48</v>
      </c>
      <c r="H1086" s="2">
        <v>1.52</v>
      </c>
      <c r="I1086" s="1">
        <v>7.6</v>
      </c>
      <c r="J1086" s="26">
        <v>45193</v>
      </c>
      <c r="K1086" s="22">
        <v>27720</v>
      </c>
      <c r="L1086" s="18">
        <v>29.65</v>
      </c>
      <c r="M1086" s="22">
        <v>23000</v>
      </c>
      <c r="N1086" s="22">
        <v>4720</v>
      </c>
      <c r="O1086" s="18">
        <v>5.05</v>
      </c>
      <c r="P1086" s="52">
        <f>IF(COUNTIF(TblPurchases[BatchID],TblOutcomes[[#This Row],[BatchID]])&lt;&gt;1,"n.a.",TblOutcomes[[#This Row],[Qty Wasted]]*SUMIFS(TblPurchases[Unit Cost (CLP)],TblPurchases[BatchID],TblOutcomes[[#This Row],[BatchID]]))</f>
        <v>1748</v>
      </c>
      <c r="Q1086" s="51">
        <f>IF(COUNTIF(TblPurchases[BatchID],TblOutcomes[[#This Row],[BatchID]])&lt;&gt;1,"n.a.",SUMIFS(TblPurchases[Purchase Date],TblPurchases[BatchID],TblOutcomes[[#This Row],[BatchID]]))</f>
        <v>45173</v>
      </c>
    </row>
    <row r="1087" spans="2:17" x14ac:dyDescent="0.25">
      <c r="B1087" s="2" t="s">
        <v>1891</v>
      </c>
      <c r="C1087" s="2" t="s">
        <v>158</v>
      </c>
      <c r="D1087" s="2" t="s">
        <v>155</v>
      </c>
      <c r="E1087" s="2" t="s">
        <v>4646</v>
      </c>
      <c r="F1087" s="2">
        <v>23</v>
      </c>
      <c r="G1087" s="2">
        <v>16.559999999999999</v>
      </c>
      <c r="H1087" s="2">
        <v>6.44</v>
      </c>
      <c r="I1087" s="1">
        <v>28</v>
      </c>
      <c r="J1087" s="26">
        <v>45200</v>
      </c>
      <c r="K1087" s="22">
        <v>24840</v>
      </c>
      <c r="L1087" s="18">
        <v>26.57</v>
      </c>
      <c r="M1087" s="22">
        <v>26450</v>
      </c>
      <c r="N1087" s="22">
        <v>-1610</v>
      </c>
      <c r="O1087" s="18">
        <v>-1.72</v>
      </c>
      <c r="P1087" s="52">
        <f>IF(COUNTIF(TblPurchases[BatchID],TblOutcomes[[#This Row],[BatchID]])&lt;&gt;1,"n.a.",TblOutcomes[[#This Row],[Qty Wasted]]*SUMIFS(TblPurchases[Unit Cost (CLP)],TblPurchases[BatchID],TblOutcomes[[#This Row],[BatchID]]))</f>
        <v>7406</v>
      </c>
      <c r="Q1087" s="51">
        <f>IF(COUNTIF(TblPurchases[BatchID],TblOutcomes[[#This Row],[BatchID]])&lt;&gt;1,"n.a.",SUMIFS(TblPurchases[Purchase Date],TblPurchases[BatchID],TblOutcomes[[#This Row],[BatchID]]))</f>
        <v>45180</v>
      </c>
    </row>
    <row r="1088" spans="2:17" x14ac:dyDescent="0.25">
      <c r="B1088" s="2" t="s">
        <v>1892</v>
      </c>
      <c r="C1088" s="2" t="s">
        <v>158</v>
      </c>
      <c r="D1088" s="2" t="s">
        <v>155</v>
      </c>
      <c r="E1088" s="2" t="s">
        <v>4647</v>
      </c>
      <c r="F1088" s="2">
        <v>24</v>
      </c>
      <c r="G1088" s="2">
        <v>24</v>
      </c>
      <c r="H1088" s="2">
        <v>0</v>
      </c>
      <c r="I1088" s="1">
        <v>0</v>
      </c>
      <c r="J1088" s="26">
        <v>45193</v>
      </c>
      <c r="K1088" s="22">
        <v>36000</v>
      </c>
      <c r="L1088" s="18">
        <v>38.5</v>
      </c>
      <c r="M1088" s="22">
        <v>26400</v>
      </c>
      <c r="N1088" s="22">
        <v>9600</v>
      </c>
      <c r="O1088" s="18">
        <v>10.27</v>
      </c>
      <c r="P1088" s="52">
        <f>IF(COUNTIF(TblPurchases[BatchID],TblOutcomes[[#This Row],[BatchID]])&lt;&gt;1,"n.a.",TblOutcomes[[#This Row],[Qty Wasted]]*SUMIFS(TblPurchases[Unit Cost (CLP)],TblPurchases[BatchID],TblOutcomes[[#This Row],[BatchID]]))</f>
        <v>0</v>
      </c>
      <c r="Q1088" s="51">
        <f>IF(COUNTIF(TblPurchases[BatchID],TblOutcomes[[#This Row],[BatchID]])&lt;&gt;1,"n.a.",SUMIFS(TblPurchases[Purchase Date],TblPurchases[BatchID],TblOutcomes[[#This Row],[BatchID]]))</f>
        <v>45187</v>
      </c>
    </row>
    <row r="1089" spans="2:17" x14ac:dyDescent="0.25">
      <c r="B1089" s="2" t="s">
        <v>1893</v>
      </c>
      <c r="C1089" s="2" t="s">
        <v>158</v>
      </c>
      <c r="D1089" s="2" t="s">
        <v>155</v>
      </c>
      <c r="E1089" s="2" t="s">
        <v>4647</v>
      </c>
      <c r="F1089" s="2">
        <v>23</v>
      </c>
      <c r="G1089" s="2">
        <v>23</v>
      </c>
      <c r="H1089" s="2">
        <v>0</v>
      </c>
      <c r="I1089" s="1">
        <v>0</v>
      </c>
      <c r="J1089" s="26">
        <v>45197</v>
      </c>
      <c r="K1089" s="22">
        <v>34500</v>
      </c>
      <c r="L1089" s="18">
        <v>36.9</v>
      </c>
      <c r="M1089" s="22">
        <v>26450</v>
      </c>
      <c r="N1089" s="22">
        <v>8050</v>
      </c>
      <c r="O1089" s="18">
        <v>8.61</v>
      </c>
      <c r="P1089" s="52">
        <f>IF(COUNTIF(TblPurchases[BatchID],TblOutcomes[[#This Row],[BatchID]])&lt;&gt;1,"n.a.",TblOutcomes[[#This Row],[Qty Wasted]]*SUMIFS(TblPurchases[Unit Cost (CLP)],TblPurchases[BatchID],TblOutcomes[[#This Row],[BatchID]]))</f>
        <v>0</v>
      </c>
      <c r="Q1089" s="51">
        <f>IF(COUNTIF(TblPurchases[BatchID],TblOutcomes[[#This Row],[BatchID]])&lt;&gt;1,"n.a.",SUMIFS(TblPurchases[Purchase Date],TblPurchases[BatchID],TblOutcomes[[#This Row],[BatchID]]))</f>
        <v>45193</v>
      </c>
    </row>
    <row r="1090" spans="2:17" x14ac:dyDescent="0.25">
      <c r="B1090" s="2" t="s">
        <v>1894</v>
      </c>
      <c r="C1090" s="2" t="s">
        <v>158</v>
      </c>
      <c r="D1090" s="2" t="s">
        <v>155</v>
      </c>
      <c r="E1090" s="2" t="s">
        <v>4646</v>
      </c>
      <c r="F1090" s="2">
        <v>19</v>
      </c>
      <c r="G1090" s="2">
        <v>15.41</v>
      </c>
      <c r="H1090" s="2">
        <v>3.59</v>
      </c>
      <c r="I1090" s="1">
        <v>18.899999999999999</v>
      </c>
      <c r="J1090" s="26">
        <v>45219</v>
      </c>
      <c r="K1090" s="22">
        <v>23115</v>
      </c>
      <c r="L1090" s="18">
        <v>24.72</v>
      </c>
      <c r="M1090" s="22">
        <v>21850</v>
      </c>
      <c r="N1090" s="22">
        <v>1265</v>
      </c>
      <c r="O1090" s="18">
        <v>1.35</v>
      </c>
      <c r="P1090" s="52">
        <f>IF(COUNTIF(TblPurchases[BatchID],TblOutcomes[[#This Row],[BatchID]])&lt;&gt;1,"n.a.",TblOutcomes[[#This Row],[Qty Wasted]]*SUMIFS(TblPurchases[Unit Cost (CLP)],TblPurchases[BatchID],TblOutcomes[[#This Row],[BatchID]]))</f>
        <v>4128.5</v>
      </c>
      <c r="Q1090" s="51">
        <f>IF(COUNTIF(TblPurchases[BatchID],TblOutcomes[[#This Row],[BatchID]])&lt;&gt;1,"n.a.",SUMIFS(TblPurchases[Purchase Date],TblPurchases[BatchID],TblOutcomes[[#This Row],[BatchID]]))</f>
        <v>45199</v>
      </c>
    </row>
    <row r="1091" spans="2:17" x14ac:dyDescent="0.25">
      <c r="B1091" s="2" t="s">
        <v>1895</v>
      </c>
      <c r="C1091" s="2" t="s">
        <v>158</v>
      </c>
      <c r="D1091" s="2" t="s">
        <v>155</v>
      </c>
      <c r="E1091" s="2" t="s">
        <v>4647</v>
      </c>
      <c r="F1091" s="2">
        <v>47</v>
      </c>
      <c r="G1091" s="2">
        <v>47</v>
      </c>
      <c r="H1091" s="2">
        <v>0</v>
      </c>
      <c r="I1091" s="1">
        <v>0</v>
      </c>
      <c r="J1091" s="26">
        <v>45214</v>
      </c>
      <c r="K1091" s="22">
        <v>70500</v>
      </c>
      <c r="L1091" s="18">
        <v>75.400000000000006</v>
      </c>
      <c r="M1091" s="22">
        <v>54050</v>
      </c>
      <c r="N1091" s="22">
        <v>16450</v>
      </c>
      <c r="O1091" s="18">
        <v>17.59</v>
      </c>
      <c r="P1091" s="52">
        <f>IF(COUNTIF(TblPurchases[BatchID],TblOutcomes[[#This Row],[BatchID]])&lt;&gt;1,"n.a.",TblOutcomes[[#This Row],[Qty Wasted]]*SUMIFS(TblPurchases[Unit Cost (CLP)],TblPurchases[BatchID],TblOutcomes[[#This Row],[BatchID]]))</f>
        <v>0</v>
      </c>
      <c r="Q1091" s="51">
        <f>IF(COUNTIF(TblPurchases[BatchID],TblOutcomes[[#This Row],[BatchID]])&lt;&gt;1,"n.a.",SUMIFS(TblPurchases[Purchase Date],TblPurchases[BatchID],TblOutcomes[[#This Row],[BatchID]]))</f>
        <v>45206</v>
      </c>
    </row>
    <row r="1092" spans="2:17" x14ac:dyDescent="0.25">
      <c r="B1092" s="2" t="s">
        <v>1896</v>
      </c>
      <c r="C1092" s="2" t="s">
        <v>158</v>
      </c>
      <c r="D1092" s="2" t="s">
        <v>155</v>
      </c>
      <c r="E1092" s="2" t="s">
        <v>4647</v>
      </c>
      <c r="F1092" s="2">
        <v>51</v>
      </c>
      <c r="G1092" s="2">
        <v>51</v>
      </c>
      <c r="H1092" s="2">
        <v>0</v>
      </c>
      <c r="I1092" s="1">
        <v>0</v>
      </c>
      <c r="J1092" s="26">
        <v>45219</v>
      </c>
      <c r="K1092" s="22">
        <v>76500</v>
      </c>
      <c r="L1092" s="18">
        <v>81.819999999999993</v>
      </c>
      <c r="M1092" s="22">
        <v>58650</v>
      </c>
      <c r="N1092" s="22">
        <v>17850</v>
      </c>
      <c r="O1092" s="18">
        <v>19.09</v>
      </c>
      <c r="P1092" s="52">
        <f>IF(COUNTIF(TblPurchases[BatchID],TblOutcomes[[#This Row],[BatchID]])&lt;&gt;1,"n.a.",TblOutcomes[[#This Row],[Qty Wasted]]*SUMIFS(TblPurchases[Unit Cost (CLP)],TblPurchases[BatchID],TblOutcomes[[#This Row],[BatchID]]))</f>
        <v>0</v>
      </c>
      <c r="Q1092" s="51">
        <f>IF(COUNTIF(TblPurchases[BatchID],TblOutcomes[[#This Row],[BatchID]])&lt;&gt;1,"n.a.",SUMIFS(TblPurchases[Purchase Date],TblPurchases[BatchID],TblOutcomes[[#This Row],[BatchID]]))</f>
        <v>45212</v>
      </c>
    </row>
    <row r="1093" spans="2:17" x14ac:dyDescent="0.25">
      <c r="B1093" s="2" t="s">
        <v>1897</v>
      </c>
      <c r="C1093" s="2" t="s">
        <v>158</v>
      </c>
      <c r="D1093" s="2" t="s">
        <v>155</v>
      </c>
      <c r="E1093" s="2" t="s">
        <v>4646</v>
      </c>
      <c r="F1093" s="2">
        <v>55</v>
      </c>
      <c r="G1093" s="2">
        <v>42.35</v>
      </c>
      <c r="H1093" s="2">
        <v>12.65</v>
      </c>
      <c r="I1093" s="1">
        <v>23</v>
      </c>
      <c r="J1093" s="26">
        <v>45240</v>
      </c>
      <c r="K1093" s="22">
        <v>63525</v>
      </c>
      <c r="L1093" s="18">
        <v>67.94</v>
      </c>
      <c r="M1093" s="22">
        <v>63250</v>
      </c>
      <c r="N1093" s="22">
        <v>275</v>
      </c>
      <c r="O1093" s="18">
        <v>0.28999999999999998</v>
      </c>
      <c r="P1093" s="52">
        <f>IF(COUNTIF(TblPurchases[BatchID],TblOutcomes[[#This Row],[BatchID]])&lt;&gt;1,"n.a.",TblOutcomes[[#This Row],[Qty Wasted]]*SUMIFS(TblPurchases[Unit Cost (CLP)],TblPurchases[BatchID],TblOutcomes[[#This Row],[BatchID]]))</f>
        <v>14547.5</v>
      </c>
      <c r="Q1093" s="51">
        <f>IF(COUNTIF(TblPurchases[BatchID],TblOutcomes[[#This Row],[BatchID]])&lt;&gt;1,"n.a.",SUMIFS(TblPurchases[Purchase Date],TblPurchases[BatchID],TblOutcomes[[#This Row],[BatchID]]))</f>
        <v>45220</v>
      </c>
    </row>
    <row r="1094" spans="2:17" x14ac:dyDescent="0.25">
      <c r="B1094" s="2" t="s">
        <v>1898</v>
      </c>
      <c r="C1094" s="2" t="s">
        <v>158</v>
      </c>
      <c r="D1094" s="2" t="s">
        <v>155</v>
      </c>
      <c r="E1094" s="2" t="s">
        <v>4647</v>
      </c>
      <c r="F1094" s="2">
        <v>45</v>
      </c>
      <c r="G1094" s="2">
        <v>45</v>
      </c>
      <c r="H1094" s="2">
        <v>0</v>
      </c>
      <c r="I1094" s="1">
        <v>0</v>
      </c>
      <c r="J1094" s="26">
        <v>45228</v>
      </c>
      <c r="K1094" s="22">
        <v>67500</v>
      </c>
      <c r="L1094" s="18">
        <v>72.19</v>
      </c>
      <c r="M1094" s="22">
        <v>51750</v>
      </c>
      <c r="N1094" s="22">
        <v>15750</v>
      </c>
      <c r="O1094" s="18">
        <v>16.84</v>
      </c>
      <c r="P1094" s="52">
        <f>IF(COUNTIF(TblPurchases[BatchID],TblOutcomes[[#This Row],[BatchID]])&lt;&gt;1,"n.a.",TblOutcomes[[#This Row],[Qty Wasted]]*SUMIFS(TblPurchases[Unit Cost (CLP)],TblPurchases[BatchID],TblOutcomes[[#This Row],[BatchID]]))</f>
        <v>0</v>
      </c>
      <c r="Q1094" s="51">
        <f>IF(COUNTIF(TblPurchases[BatchID],TblOutcomes[[#This Row],[BatchID]])&lt;&gt;1,"n.a.",SUMIFS(TblPurchases[Purchase Date],TblPurchases[BatchID],TblOutcomes[[#This Row],[BatchID]]))</f>
        <v>45225</v>
      </c>
    </row>
    <row r="1095" spans="2:17" x14ac:dyDescent="0.25">
      <c r="B1095" s="2" t="s">
        <v>1899</v>
      </c>
      <c r="C1095" s="2" t="s">
        <v>158</v>
      </c>
      <c r="D1095" s="2" t="s">
        <v>155</v>
      </c>
      <c r="E1095" s="2" t="s">
        <v>4647</v>
      </c>
      <c r="F1095" s="2">
        <v>44</v>
      </c>
      <c r="G1095" s="2">
        <v>44</v>
      </c>
      <c r="H1095" s="2">
        <v>0</v>
      </c>
      <c r="I1095" s="1">
        <v>0</v>
      </c>
      <c r="J1095" s="26">
        <v>45233</v>
      </c>
      <c r="K1095" s="22">
        <v>66000</v>
      </c>
      <c r="L1095" s="18">
        <v>70.59</v>
      </c>
      <c r="M1095" s="22">
        <v>50600</v>
      </c>
      <c r="N1095" s="22">
        <v>15400</v>
      </c>
      <c r="O1095" s="18">
        <v>16.47</v>
      </c>
      <c r="P1095" s="52">
        <f>IF(COUNTIF(TblPurchases[BatchID],TblOutcomes[[#This Row],[BatchID]])&lt;&gt;1,"n.a.",TblOutcomes[[#This Row],[Qty Wasted]]*SUMIFS(TblPurchases[Unit Cost (CLP)],TblPurchases[BatchID],TblOutcomes[[#This Row],[BatchID]]))</f>
        <v>0</v>
      </c>
      <c r="Q1095" s="51">
        <f>IF(COUNTIF(TblPurchases[BatchID],TblOutcomes[[#This Row],[BatchID]])&lt;&gt;1,"n.a.",SUMIFS(TblPurchases[Purchase Date],TblPurchases[BatchID],TblOutcomes[[#This Row],[BatchID]]))</f>
        <v>45230</v>
      </c>
    </row>
    <row r="1096" spans="2:17" x14ac:dyDescent="0.25">
      <c r="B1096" s="2" t="s">
        <v>1900</v>
      </c>
      <c r="C1096" s="2" t="s">
        <v>158</v>
      </c>
      <c r="D1096" s="2" t="s">
        <v>155</v>
      </c>
      <c r="E1096" s="2" t="s">
        <v>4647</v>
      </c>
      <c r="F1096" s="2">
        <v>55</v>
      </c>
      <c r="G1096" s="2">
        <v>55</v>
      </c>
      <c r="H1096" s="2">
        <v>0</v>
      </c>
      <c r="I1096" s="1">
        <v>0</v>
      </c>
      <c r="J1096" s="26">
        <v>45244</v>
      </c>
      <c r="K1096" s="22">
        <v>82500</v>
      </c>
      <c r="L1096" s="18">
        <v>88.24</v>
      </c>
      <c r="M1096" s="22">
        <v>63250</v>
      </c>
      <c r="N1096" s="22">
        <v>19250</v>
      </c>
      <c r="O1096" s="18">
        <v>20.59</v>
      </c>
      <c r="P1096" s="52">
        <f>IF(COUNTIF(TblPurchases[BatchID],TblOutcomes[[#This Row],[BatchID]])&lt;&gt;1,"n.a.",TblOutcomes[[#This Row],[Qty Wasted]]*SUMIFS(TblPurchases[Unit Cost (CLP)],TblPurchases[BatchID],TblOutcomes[[#This Row],[BatchID]]))</f>
        <v>0</v>
      </c>
      <c r="Q1096" s="51">
        <f>IF(COUNTIF(TblPurchases[BatchID],TblOutcomes[[#This Row],[BatchID]])&lt;&gt;1,"n.a.",SUMIFS(TblPurchases[Purchase Date],TblPurchases[BatchID],TblOutcomes[[#This Row],[BatchID]]))</f>
        <v>45236</v>
      </c>
    </row>
    <row r="1097" spans="2:17" x14ac:dyDescent="0.25">
      <c r="B1097" s="2" t="s">
        <v>1901</v>
      </c>
      <c r="C1097" s="2" t="s">
        <v>158</v>
      </c>
      <c r="D1097" s="2" t="s">
        <v>155</v>
      </c>
      <c r="E1097" s="2" t="s">
        <v>4646</v>
      </c>
      <c r="F1097" s="2">
        <v>48</v>
      </c>
      <c r="G1097" s="2">
        <v>39.79</v>
      </c>
      <c r="H1097" s="2">
        <v>8.2100000000000009</v>
      </c>
      <c r="I1097" s="1">
        <v>17.100000000000001</v>
      </c>
      <c r="J1097" s="26">
        <v>45262</v>
      </c>
      <c r="K1097" s="22">
        <v>59685</v>
      </c>
      <c r="L1097" s="18">
        <v>63.83</v>
      </c>
      <c r="M1097" s="22">
        <v>55200</v>
      </c>
      <c r="N1097" s="22">
        <v>4485</v>
      </c>
      <c r="O1097" s="18">
        <v>4.8</v>
      </c>
      <c r="P1097" s="52">
        <f>IF(COUNTIF(TblPurchases[BatchID],TblOutcomes[[#This Row],[BatchID]])&lt;&gt;1,"n.a.",TblOutcomes[[#This Row],[Qty Wasted]]*SUMIFS(TblPurchases[Unit Cost (CLP)],TblPurchases[BatchID],TblOutcomes[[#This Row],[BatchID]]))</f>
        <v>9441.5000000000018</v>
      </c>
      <c r="Q1097" s="51">
        <f>IF(COUNTIF(TblPurchases[BatchID],TblOutcomes[[#This Row],[BatchID]])&lt;&gt;1,"n.a.",SUMIFS(TblPurchases[Purchase Date],TblPurchases[BatchID],TblOutcomes[[#This Row],[BatchID]]))</f>
        <v>45242</v>
      </c>
    </row>
    <row r="1098" spans="2:17" x14ac:dyDescent="0.25">
      <c r="B1098" s="2" t="s">
        <v>1902</v>
      </c>
      <c r="C1098" s="2" t="s">
        <v>158</v>
      </c>
      <c r="D1098" s="2" t="s">
        <v>155</v>
      </c>
      <c r="E1098" s="2" t="s">
        <v>4647</v>
      </c>
      <c r="F1098" s="2">
        <v>53</v>
      </c>
      <c r="G1098" s="2">
        <v>53</v>
      </c>
      <c r="H1098" s="2">
        <v>0</v>
      </c>
      <c r="I1098" s="1">
        <v>0</v>
      </c>
      <c r="J1098" s="26">
        <v>45250</v>
      </c>
      <c r="K1098" s="22">
        <v>79500</v>
      </c>
      <c r="L1098" s="18">
        <v>85.03</v>
      </c>
      <c r="M1098" s="22">
        <v>60950</v>
      </c>
      <c r="N1098" s="22">
        <v>18550</v>
      </c>
      <c r="O1098" s="18">
        <v>19.84</v>
      </c>
      <c r="P1098" s="52">
        <f>IF(COUNTIF(TblPurchases[BatchID],TblOutcomes[[#This Row],[BatchID]])&lt;&gt;1,"n.a.",TblOutcomes[[#This Row],[Qty Wasted]]*SUMIFS(TblPurchases[Unit Cost (CLP)],TblPurchases[BatchID],TblOutcomes[[#This Row],[BatchID]]))</f>
        <v>0</v>
      </c>
      <c r="Q1098" s="51">
        <f>IF(COUNTIF(TblPurchases[BatchID],TblOutcomes[[#This Row],[BatchID]])&lt;&gt;1,"n.a.",SUMIFS(TblPurchases[Purchase Date],TblPurchases[BatchID],TblOutcomes[[#This Row],[BatchID]]))</f>
        <v>45247</v>
      </c>
    </row>
    <row r="1099" spans="2:17" x14ac:dyDescent="0.25">
      <c r="B1099" s="2" t="s">
        <v>1903</v>
      </c>
      <c r="C1099" s="2" t="s">
        <v>158</v>
      </c>
      <c r="D1099" s="2" t="s">
        <v>155</v>
      </c>
      <c r="E1099" s="2" t="s">
        <v>4647</v>
      </c>
      <c r="F1099" s="2">
        <v>51</v>
      </c>
      <c r="G1099" s="2">
        <v>51</v>
      </c>
      <c r="H1099" s="2">
        <v>0</v>
      </c>
      <c r="I1099" s="1">
        <v>0</v>
      </c>
      <c r="J1099" s="26">
        <v>45261</v>
      </c>
      <c r="K1099" s="22">
        <v>76500</v>
      </c>
      <c r="L1099" s="18">
        <v>81.819999999999993</v>
      </c>
      <c r="M1099" s="22">
        <v>58650</v>
      </c>
      <c r="N1099" s="22">
        <v>17850</v>
      </c>
      <c r="O1099" s="18">
        <v>19.09</v>
      </c>
      <c r="P1099" s="52">
        <f>IF(COUNTIF(TblPurchases[BatchID],TblOutcomes[[#This Row],[BatchID]])&lt;&gt;1,"n.a.",TblOutcomes[[#This Row],[Qty Wasted]]*SUMIFS(TblPurchases[Unit Cost (CLP)],TblPurchases[BatchID],TblOutcomes[[#This Row],[BatchID]]))</f>
        <v>0</v>
      </c>
      <c r="Q1099" s="51">
        <f>IF(COUNTIF(TblPurchases[BatchID],TblOutcomes[[#This Row],[BatchID]])&lt;&gt;1,"n.a.",SUMIFS(TblPurchases[Purchase Date],TblPurchases[BatchID],TblOutcomes[[#This Row],[BatchID]]))</f>
        <v>45254</v>
      </c>
    </row>
    <row r="1100" spans="2:17" x14ac:dyDescent="0.25">
      <c r="B1100" s="2" t="s">
        <v>1904</v>
      </c>
      <c r="C1100" s="2" t="s">
        <v>158</v>
      </c>
      <c r="D1100" s="2" t="s">
        <v>155</v>
      </c>
      <c r="E1100" s="2" t="s">
        <v>4647</v>
      </c>
      <c r="F1100" s="2">
        <v>51</v>
      </c>
      <c r="G1100" s="2">
        <v>51</v>
      </c>
      <c r="H1100" s="2">
        <v>0</v>
      </c>
      <c r="I1100" s="1">
        <v>0</v>
      </c>
      <c r="J1100" s="26">
        <v>45265</v>
      </c>
      <c r="K1100" s="22">
        <v>76500</v>
      </c>
      <c r="L1100" s="18">
        <v>81.819999999999993</v>
      </c>
      <c r="M1100" s="22">
        <v>58650</v>
      </c>
      <c r="N1100" s="22">
        <v>17850</v>
      </c>
      <c r="O1100" s="18">
        <v>19.09</v>
      </c>
      <c r="P1100" s="52">
        <f>IF(COUNTIF(TblPurchases[BatchID],TblOutcomes[[#This Row],[BatchID]])&lt;&gt;1,"n.a.",TblOutcomes[[#This Row],[Qty Wasted]]*SUMIFS(TblPurchases[Unit Cost (CLP)],TblPurchases[BatchID],TblOutcomes[[#This Row],[BatchID]]))</f>
        <v>0</v>
      </c>
      <c r="Q1100" s="51">
        <f>IF(COUNTIF(TblPurchases[BatchID],TblOutcomes[[#This Row],[BatchID]])&lt;&gt;1,"n.a.",SUMIFS(TblPurchases[Purchase Date],TblPurchases[BatchID],TblOutcomes[[#This Row],[BatchID]]))</f>
        <v>45260</v>
      </c>
    </row>
    <row r="1101" spans="2:17" x14ac:dyDescent="0.25">
      <c r="B1101" s="2" t="s">
        <v>1905</v>
      </c>
      <c r="C1101" s="2" t="s">
        <v>158</v>
      </c>
      <c r="D1101" s="2" t="s">
        <v>155</v>
      </c>
      <c r="E1101" s="2" t="s">
        <v>4647</v>
      </c>
      <c r="F1101" s="2">
        <v>64</v>
      </c>
      <c r="G1101" s="2">
        <v>64</v>
      </c>
      <c r="H1101" s="2">
        <v>0</v>
      </c>
      <c r="I1101" s="1">
        <v>0</v>
      </c>
      <c r="J1101" s="26">
        <v>45274</v>
      </c>
      <c r="K1101" s="22">
        <v>96000</v>
      </c>
      <c r="L1101" s="18">
        <v>102.67</v>
      </c>
      <c r="M1101" s="22">
        <v>73600</v>
      </c>
      <c r="N1101" s="22">
        <v>22400</v>
      </c>
      <c r="O1101" s="18">
        <v>23.96</v>
      </c>
      <c r="P1101" s="52">
        <f>IF(COUNTIF(TblPurchases[BatchID],TblOutcomes[[#This Row],[BatchID]])&lt;&gt;1,"n.a.",TblOutcomes[[#This Row],[Qty Wasted]]*SUMIFS(TblPurchases[Unit Cost (CLP)],TblPurchases[BatchID],TblOutcomes[[#This Row],[BatchID]]))</f>
        <v>0</v>
      </c>
      <c r="Q1101" s="51">
        <f>IF(COUNTIF(TblPurchases[BatchID],TblOutcomes[[#This Row],[BatchID]])&lt;&gt;1,"n.a.",SUMIFS(TblPurchases[Purchase Date],TblPurchases[BatchID],TblOutcomes[[#This Row],[BatchID]]))</f>
        <v>45268</v>
      </c>
    </row>
    <row r="1102" spans="2:17" x14ac:dyDescent="0.25">
      <c r="B1102" s="2" t="s">
        <v>1906</v>
      </c>
      <c r="C1102" s="2" t="s">
        <v>158</v>
      </c>
      <c r="D1102" s="2" t="s">
        <v>155</v>
      </c>
      <c r="E1102" s="2" t="s">
        <v>4647</v>
      </c>
      <c r="F1102" s="2">
        <v>64</v>
      </c>
      <c r="G1102" s="2">
        <v>64</v>
      </c>
      <c r="H1102" s="2">
        <v>0</v>
      </c>
      <c r="I1102" s="1">
        <v>0</v>
      </c>
      <c r="J1102" s="26">
        <v>45280</v>
      </c>
      <c r="K1102" s="22">
        <v>96000</v>
      </c>
      <c r="L1102" s="18">
        <v>102.67</v>
      </c>
      <c r="M1102" s="22">
        <v>73600</v>
      </c>
      <c r="N1102" s="22">
        <v>22400</v>
      </c>
      <c r="O1102" s="18">
        <v>23.96</v>
      </c>
      <c r="P1102" s="52">
        <f>IF(COUNTIF(TblPurchases[BatchID],TblOutcomes[[#This Row],[BatchID]])&lt;&gt;1,"n.a.",TblOutcomes[[#This Row],[Qty Wasted]]*SUMIFS(TblPurchases[Unit Cost (CLP)],TblPurchases[BatchID],TblOutcomes[[#This Row],[BatchID]]))</f>
        <v>0</v>
      </c>
      <c r="Q1102" s="51">
        <f>IF(COUNTIF(TblPurchases[BatchID],TblOutcomes[[#This Row],[BatchID]])&lt;&gt;1,"n.a.",SUMIFS(TblPurchases[Purchase Date],TblPurchases[BatchID],TblOutcomes[[#This Row],[BatchID]]))</f>
        <v>45275</v>
      </c>
    </row>
    <row r="1103" spans="2:17" x14ac:dyDescent="0.25">
      <c r="B1103" s="2" t="s">
        <v>1907</v>
      </c>
      <c r="C1103" s="2" t="s">
        <v>158</v>
      </c>
      <c r="D1103" s="2" t="s">
        <v>155</v>
      </c>
      <c r="E1103" s="2" t="s">
        <v>4647</v>
      </c>
      <c r="F1103" s="2">
        <v>60</v>
      </c>
      <c r="G1103" s="2">
        <v>60</v>
      </c>
      <c r="H1103" s="2">
        <v>0</v>
      </c>
      <c r="I1103" s="1">
        <v>0</v>
      </c>
      <c r="J1103" s="26">
        <v>45284</v>
      </c>
      <c r="K1103" s="22">
        <v>90000</v>
      </c>
      <c r="L1103" s="18">
        <v>96.26</v>
      </c>
      <c r="M1103" s="22">
        <v>69000</v>
      </c>
      <c r="N1103" s="22">
        <v>21000</v>
      </c>
      <c r="O1103" s="18">
        <v>22.46</v>
      </c>
      <c r="P1103" s="52">
        <f>IF(COUNTIF(TblPurchases[BatchID],TblOutcomes[[#This Row],[BatchID]])&lt;&gt;1,"n.a.",TblOutcomes[[#This Row],[Qty Wasted]]*SUMIFS(TblPurchases[Unit Cost (CLP)],TblPurchases[BatchID],TblOutcomes[[#This Row],[BatchID]]))</f>
        <v>0</v>
      </c>
      <c r="Q1103" s="51">
        <f>IF(COUNTIF(TblPurchases[BatchID],TblOutcomes[[#This Row],[BatchID]])&lt;&gt;1,"n.a.",SUMIFS(TblPurchases[Purchase Date],TblPurchases[BatchID],TblOutcomes[[#This Row],[BatchID]]))</f>
        <v>45280</v>
      </c>
    </row>
    <row r="1104" spans="2:17" x14ac:dyDescent="0.25">
      <c r="B1104" s="2" t="s">
        <v>1908</v>
      </c>
      <c r="C1104" s="2" t="s">
        <v>158</v>
      </c>
      <c r="D1104" s="2" t="s">
        <v>155</v>
      </c>
      <c r="E1104" s="2" t="s">
        <v>4647</v>
      </c>
      <c r="F1104" s="2">
        <v>68</v>
      </c>
      <c r="G1104" s="2">
        <v>68</v>
      </c>
      <c r="H1104" s="2">
        <v>0</v>
      </c>
      <c r="I1104" s="1">
        <v>0</v>
      </c>
      <c r="J1104" s="26">
        <v>45289</v>
      </c>
      <c r="K1104" s="22">
        <v>102000</v>
      </c>
      <c r="L1104" s="18">
        <v>109.09</v>
      </c>
      <c r="M1104" s="22">
        <v>78200</v>
      </c>
      <c r="N1104" s="22">
        <v>23800</v>
      </c>
      <c r="O1104" s="18">
        <v>25.45</v>
      </c>
      <c r="P1104" s="52">
        <f>IF(COUNTIF(TblPurchases[BatchID],TblOutcomes[[#This Row],[BatchID]])&lt;&gt;1,"n.a.",TblOutcomes[[#This Row],[Qty Wasted]]*SUMIFS(TblPurchases[Unit Cost (CLP)],TblPurchases[BatchID],TblOutcomes[[#This Row],[BatchID]]))</f>
        <v>0</v>
      </c>
      <c r="Q1104" s="51">
        <f>IF(COUNTIF(TblPurchases[BatchID],TblOutcomes[[#This Row],[BatchID]])&lt;&gt;1,"n.a.",SUMIFS(TblPurchases[Purchase Date],TblPurchases[BatchID],TblOutcomes[[#This Row],[BatchID]]))</f>
        <v>45285</v>
      </c>
    </row>
    <row r="1105" spans="2:17" x14ac:dyDescent="0.25">
      <c r="B1105" s="2" t="s">
        <v>1909</v>
      </c>
      <c r="C1105" s="2" t="s">
        <v>158</v>
      </c>
      <c r="D1105" s="2" t="s">
        <v>155</v>
      </c>
      <c r="E1105" s="2" t="s">
        <v>4647</v>
      </c>
      <c r="F1105" s="2">
        <v>54</v>
      </c>
      <c r="G1105" s="2">
        <v>54</v>
      </c>
      <c r="H1105" s="2">
        <v>0</v>
      </c>
      <c r="I1105" s="1">
        <v>0</v>
      </c>
      <c r="J1105" s="26">
        <v>45294</v>
      </c>
      <c r="K1105" s="22">
        <v>81000</v>
      </c>
      <c r="L1105" s="18">
        <v>86.63</v>
      </c>
      <c r="M1105" s="22">
        <v>62100</v>
      </c>
      <c r="N1105" s="22">
        <v>18900</v>
      </c>
      <c r="O1105" s="18">
        <v>20.21</v>
      </c>
      <c r="P1105" s="52">
        <f>IF(COUNTIF(TblPurchases[BatchID],TblOutcomes[[#This Row],[BatchID]])&lt;&gt;1,"n.a.",TblOutcomes[[#This Row],[Qty Wasted]]*SUMIFS(TblPurchases[Unit Cost (CLP)],TblPurchases[BatchID],TblOutcomes[[#This Row],[BatchID]]))</f>
        <v>0</v>
      </c>
      <c r="Q1105" s="51">
        <f>IF(COUNTIF(TblPurchases[BatchID],TblOutcomes[[#This Row],[BatchID]])&lt;&gt;1,"n.a.",SUMIFS(TblPurchases[Purchase Date],TblPurchases[BatchID],TblOutcomes[[#This Row],[BatchID]]))</f>
        <v>45292</v>
      </c>
    </row>
    <row r="1106" spans="2:17" x14ac:dyDescent="0.25">
      <c r="B1106" s="2" t="s">
        <v>1910</v>
      </c>
      <c r="C1106" s="2" t="s">
        <v>158</v>
      </c>
      <c r="D1106" s="2" t="s">
        <v>155</v>
      </c>
      <c r="E1106" s="2" t="s">
        <v>4646</v>
      </c>
      <c r="F1106" s="2">
        <v>44</v>
      </c>
      <c r="G1106" s="2">
        <v>32.69</v>
      </c>
      <c r="H1106" s="2">
        <v>11.31</v>
      </c>
      <c r="I1106" s="1">
        <v>25.7</v>
      </c>
      <c r="J1106" s="26">
        <v>45319</v>
      </c>
      <c r="K1106" s="22">
        <v>49035</v>
      </c>
      <c r="L1106" s="18">
        <v>52.44</v>
      </c>
      <c r="M1106" s="22">
        <v>50600</v>
      </c>
      <c r="N1106" s="22">
        <v>-1565</v>
      </c>
      <c r="O1106" s="18">
        <v>-1.67</v>
      </c>
      <c r="P1106" s="52">
        <f>IF(COUNTIF(TblPurchases[BatchID],TblOutcomes[[#This Row],[BatchID]])&lt;&gt;1,"n.a.",TblOutcomes[[#This Row],[Qty Wasted]]*SUMIFS(TblPurchases[Unit Cost (CLP)],TblPurchases[BatchID],TblOutcomes[[#This Row],[BatchID]]))</f>
        <v>13006.5</v>
      </c>
      <c r="Q1106" s="51">
        <f>IF(COUNTIF(TblPurchases[BatchID],TblOutcomes[[#This Row],[BatchID]])&lt;&gt;1,"n.a.",SUMIFS(TblPurchases[Purchase Date],TblPurchases[BatchID],TblOutcomes[[#This Row],[BatchID]]))</f>
        <v>45299</v>
      </c>
    </row>
    <row r="1107" spans="2:17" x14ac:dyDescent="0.25">
      <c r="B1107" s="2" t="s">
        <v>1911</v>
      </c>
      <c r="C1107" s="2" t="s">
        <v>158</v>
      </c>
      <c r="D1107" s="2" t="s">
        <v>155</v>
      </c>
      <c r="E1107" s="2" t="s">
        <v>4646</v>
      </c>
      <c r="F1107" s="2">
        <v>45</v>
      </c>
      <c r="G1107" s="2">
        <v>29.66</v>
      </c>
      <c r="H1107" s="2">
        <v>15.35</v>
      </c>
      <c r="I1107" s="1">
        <v>34.1</v>
      </c>
      <c r="J1107" s="26">
        <v>45325</v>
      </c>
      <c r="K1107" s="22">
        <v>44490</v>
      </c>
      <c r="L1107" s="18">
        <v>47.58</v>
      </c>
      <c r="M1107" s="22">
        <v>51750</v>
      </c>
      <c r="N1107" s="22">
        <v>-7260</v>
      </c>
      <c r="O1107" s="18">
        <v>-7.76</v>
      </c>
      <c r="P1107" s="52">
        <f>IF(COUNTIF(TblPurchases[BatchID],TblOutcomes[[#This Row],[BatchID]])&lt;&gt;1,"n.a.",TblOutcomes[[#This Row],[Qty Wasted]]*SUMIFS(TblPurchases[Unit Cost (CLP)],TblPurchases[BatchID],TblOutcomes[[#This Row],[BatchID]]))</f>
        <v>17652.5</v>
      </c>
      <c r="Q1107" s="51">
        <f>IF(COUNTIF(TblPurchases[BatchID],TblOutcomes[[#This Row],[BatchID]])&lt;&gt;1,"n.a.",SUMIFS(TblPurchases[Purchase Date],TblPurchases[BatchID],TblOutcomes[[#This Row],[BatchID]]))</f>
        <v>45305</v>
      </c>
    </row>
    <row r="1108" spans="2:17" x14ac:dyDescent="0.25">
      <c r="B1108" s="2" t="s">
        <v>1912</v>
      </c>
      <c r="C1108" s="2" t="s">
        <v>158</v>
      </c>
      <c r="D1108" s="2" t="s">
        <v>155</v>
      </c>
      <c r="E1108" s="2" t="s">
        <v>4647</v>
      </c>
      <c r="F1108" s="2">
        <v>43</v>
      </c>
      <c r="G1108" s="2">
        <v>43</v>
      </c>
      <c r="H1108" s="2">
        <v>0</v>
      </c>
      <c r="I1108" s="1">
        <v>0</v>
      </c>
      <c r="J1108" s="26">
        <v>45313</v>
      </c>
      <c r="K1108" s="22">
        <v>64500</v>
      </c>
      <c r="L1108" s="18">
        <v>68.98</v>
      </c>
      <c r="M1108" s="22">
        <v>49450</v>
      </c>
      <c r="N1108" s="22">
        <v>15050</v>
      </c>
      <c r="O1108" s="18">
        <v>16.100000000000001</v>
      </c>
      <c r="P1108" s="52">
        <f>IF(COUNTIF(TblPurchases[BatchID],TblOutcomes[[#This Row],[BatchID]])&lt;&gt;1,"n.a.",TblOutcomes[[#This Row],[Qty Wasted]]*SUMIFS(TblPurchases[Unit Cost (CLP)],TblPurchases[BatchID],TblOutcomes[[#This Row],[BatchID]]))</f>
        <v>0</v>
      </c>
      <c r="Q1108" s="51">
        <f>IF(COUNTIF(TblPurchases[BatchID],TblOutcomes[[#This Row],[BatchID]])&lt;&gt;1,"n.a.",SUMIFS(TblPurchases[Purchase Date],TblPurchases[BatchID],TblOutcomes[[#This Row],[BatchID]]))</f>
        <v>45311</v>
      </c>
    </row>
    <row r="1109" spans="2:17" x14ac:dyDescent="0.25">
      <c r="B1109" s="2" t="s">
        <v>1913</v>
      </c>
      <c r="C1109" s="2" t="s">
        <v>158</v>
      </c>
      <c r="D1109" s="2" t="s">
        <v>155</v>
      </c>
      <c r="E1109" s="2" t="s">
        <v>4647</v>
      </c>
      <c r="F1109" s="2">
        <v>50</v>
      </c>
      <c r="G1109" s="2">
        <v>50</v>
      </c>
      <c r="H1109" s="2">
        <v>0</v>
      </c>
      <c r="I1109" s="1">
        <v>0</v>
      </c>
      <c r="J1109" s="26">
        <v>45322</v>
      </c>
      <c r="K1109" s="22">
        <v>75000</v>
      </c>
      <c r="L1109" s="18">
        <v>80.209999999999994</v>
      </c>
      <c r="M1109" s="22">
        <v>57500</v>
      </c>
      <c r="N1109" s="22">
        <v>17500</v>
      </c>
      <c r="O1109" s="18">
        <v>18.72</v>
      </c>
      <c r="P1109" s="52">
        <f>IF(COUNTIF(TblPurchases[BatchID],TblOutcomes[[#This Row],[BatchID]])&lt;&gt;1,"n.a.",TblOutcomes[[#This Row],[Qty Wasted]]*SUMIFS(TblPurchases[Unit Cost (CLP)],TblPurchases[BatchID],TblOutcomes[[#This Row],[BatchID]]))</f>
        <v>0</v>
      </c>
      <c r="Q1109" s="51">
        <f>IF(COUNTIF(TblPurchases[BatchID],TblOutcomes[[#This Row],[BatchID]])&lt;&gt;1,"n.a.",SUMIFS(TblPurchases[Purchase Date],TblPurchases[BatchID],TblOutcomes[[#This Row],[BatchID]]))</f>
        <v>45317</v>
      </c>
    </row>
    <row r="1110" spans="2:17" x14ac:dyDescent="0.25">
      <c r="B1110" s="2" t="s">
        <v>1914</v>
      </c>
      <c r="C1110" s="2" t="s">
        <v>158</v>
      </c>
      <c r="D1110" s="2" t="s">
        <v>155</v>
      </c>
      <c r="E1110" s="2" t="s">
        <v>4647</v>
      </c>
      <c r="F1110" s="2">
        <v>43</v>
      </c>
      <c r="G1110" s="2">
        <v>43</v>
      </c>
      <c r="H1110" s="2">
        <v>0</v>
      </c>
      <c r="I1110" s="1">
        <v>0</v>
      </c>
      <c r="J1110" s="26">
        <v>45328</v>
      </c>
      <c r="K1110" s="22">
        <v>64500</v>
      </c>
      <c r="L1110" s="18">
        <v>68.98</v>
      </c>
      <c r="M1110" s="22">
        <v>49450</v>
      </c>
      <c r="N1110" s="22">
        <v>15050</v>
      </c>
      <c r="O1110" s="18">
        <v>16.100000000000001</v>
      </c>
      <c r="P1110" s="52">
        <f>IF(COUNTIF(TblPurchases[BatchID],TblOutcomes[[#This Row],[BatchID]])&lt;&gt;1,"n.a.",TblOutcomes[[#This Row],[Qty Wasted]]*SUMIFS(TblPurchases[Unit Cost (CLP)],TblPurchases[BatchID],TblOutcomes[[#This Row],[BatchID]]))</f>
        <v>0</v>
      </c>
      <c r="Q1110" s="51">
        <f>IF(COUNTIF(TblPurchases[BatchID],TblOutcomes[[#This Row],[BatchID]])&lt;&gt;1,"n.a.",SUMIFS(TblPurchases[Purchase Date],TblPurchases[BatchID],TblOutcomes[[#This Row],[BatchID]]))</f>
        <v>45323</v>
      </c>
    </row>
    <row r="1111" spans="2:17" x14ac:dyDescent="0.25">
      <c r="B1111" s="2" t="s">
        <v>1915</v>
      </c>
      <c r="C1111" s="2" t="s">
        <v>158</v>
      </c>
      <c r="D1111" s="2" t="s">
        <v>155</v>
      </c>
      <c r="E1111" s="2" t="s">
        <v>4647</v>
      </c>
      <c r="F1111" s="2">
        <v>48</v>
      </c>
      <c r="G1111" s="2">
        <v>48</v>
      </c>
      <c r="H1111" s="2">
        <v>0</v>
      </c>
      <c r="I1111" s="1">
        <v>0</v>
      </c>
      <c r="J1111" s="26">
        <v>45335</v>
      </c>
      <c r="K1111" s="22">
        <v>72000</v>
      </c>
      <c r="L1111" s="18">
        <v>77.010000000000005</v>
      </c>
      <c r="M1111" s="22">
        <v>55200</v>
      </c>
      <c r="N1111" s="22">
        <v>16800</v>
      </c>
      <c r="O1111" s="18">
        <v>17.97</v>
      </c>
      <c r="P1111" s="52">
        <f>IF(COUNTIF(TblPurchases[BatchID],TblOutcomes[[#This Row],[BatchID]])&lt;&gt;1,"n.a.",TblOutcomes[[#This Row],[Qty Wasted]]*SUMIFS(TblPurchases[Unit Cost (CLP)],TblPurchases[BatchID],TblOutcomes[[#This Row],[BatchID]]))</f>
        <v>0</v>
      </c>
      <c r="Q1111" s="51">
        <f>IF(COUNTIF(TblPurchases[BatchID],TblOutcomes[[#This Row],[BatchID]])&lt;&gt;1,"n.a.",SUMIFS(TblPurchases[Purchase Date],TblPurchases[BatchID],TblOutcomes[[#This Row],[BatchID]]))</f>
        <v>45331</v>
      </c>
    </row>
    <row r="1112" spans="2:17" x14ac:dyDescent="0.25">
      <c r="B1112" s="2" t="s">
        <v>1916</v>
      </c>
      <c r="C1112" s="2" t="s">
        <v>158</v>
      </c>
      <c r="D1112" s="2" t="s">
        <v>155</v>
      </c>
      <c r="E1112" s="2" t="s">
        <v>4646</v>
      </c>
      <c r="F1112" s="2">
        <v>54</v>
      </c>
      <c r="G1112" s="2">
        <v>45.52</v>
      </c>
      <c r="H1112" s="2">
        <v>8.48</v>
      </c>
      <c r="I1112" s="1">
        <v>15.7</v>
      </c>
      <c r="J1112" s="26">
        <v>45359</v>
      </c>
      <c r="K1112" s="22">
        <v>68280</v>
      </c>
      <c r="L1112" s="18">
        <v>73.03</v>
      </c>
      <c r="M1112" s="22">
        <v>62100</v>
      </c>
      <c r="N1112" s="22">
        <v>6180</v>
      </c>
      <c r="O1112" s="18">
        <v>6.61</v>
      </c>
      <c r="P1112" s="52">
        <f>IF(COUNTIF(TblPurchases[BatchID],TblOutcomes[[#This Row],[BatchID]])&lt;&gt;1,"n.a.",TblOutcomes[[#This Row],[Qty Wasted]]*SUMIFS(TblPurchases[Unit Cost (CLP)],TblPurchases[BatchID],TblOutcomes[[#This Row],[BatchID]]))</f>
        <v>9752</v>
      </c>
      <c r="Q1112" s="51">
        <f>IF(COUNTIF(TblPurchases[BatchID],TblOutcomes[[#This Row],[BatchID]])&lt;&gt;1,"n.a.",SUMIFS(TblPurchases[Purchase Date],TblPurchases[BatchID],TblOutcomes[[#This Row],[BatchID]]))</f>
        <v>45339</v>
      </c>
    </row>
    <row r="1113" spans="2:17" x14ac:dyDescent="0.25">
      <c r="B1113" s="2" t="s">
        <v>1917</v>
      </c>
      <c r="C1113" s="2" t="s">
        <v>158</v>
      </c>
      <c r="D1113" s="2" t="s">
        <v>155</v>
      </c>
      <c r="E1113" s="2" t="s">
        <v>4646</v>
      </c>
      <c r="F1113" s="2">
        <v>44</v>
      </c>
      <c r="G1113" s="2">
        <v>32.869999999999997</v>
      </c>
      <c r="H1113" s="2">
        <v>11.13</v>
      </c>
      <c r="I1113" s="1">
        <v>25.3</v>
      </c>
      <c r="J1113" s="26">
        <v>45366</v>
      </c>
      <c r="K1113" s="22">
        <v>49305</v>
      </c>
      <c r="L1113" s="18">
        <v>52.73</v>
      </c>
      <c r="M1113" s="22">
        <v>50600</v>
      </c>
      <c r="N1113" s="22">
        <v>-1295</v>
      </c>
      <c r="O1113" s="18">
        <v>-1.39</v>
      </c>
      <c r="P1113" s="52">
        <f>IF(COUNTIF(TblPurchases[BatchID],TblOutcomes[[#This Row],[BatchID]])&lt;&gt;1,"n.a.",TblOutcomes[[#This Row],[Qty Wasted]]*SUMIFS(TblPurchases[Unit Cost (CLP)],TblPurchases[BatchID],TblOutcomes[[#This Row],[BatchID]]))</f>
        <v>12799.5</v>
      </c>
      <c r="Q1113" s="51">
        <f>IF(COUNTIF(TblPurchases[BatchID],TblOutcomes[[#This Row],[BatchID]])&lt;&gt;1,"n.a.",SUMIFS(TblPurchases[Purchase Date],TblPurchases[BatchID],TblOutcomes[[#This Row],[BatchID]]))</f>
        <v>45346</v>
      </c>
    </row>
    <row r="1114" spans="2:17" x14ac:dyDescent="0.25">
      <c r="B1114" s="2" t="s">
        <v>1918</v>
      </c>
      <c r="C1114" s="2" t="s">
        <v>158</v>
      </c>
      <c r="D1114" s="2" t="s">
        <v>155</v>
      </c>
      <c r="E1114" s="2" t="s">
        <v>4647</v>
      </c>
      <c r="F1114" s="2">
        <v>44</v>
      </c>
      <c r="G1114" s="2">
        <v>44</v>
      </c>
      <c r="H1114" s="2">
        <v>0</v>
      </c>
      <c r="I1114" s="1">
        <v>0</v>
      </c>
      <c r="J1114" s="26">
        <v>45357</v>
      </c>
      <c r="K1114" s="22">
        <v>66000</v>
      </c>
      <c r="L1114" s="18">
        <v>70.59</v>
      </c>
      <c r="M1114" s="22">
        <v>50600</v>
      </c>
      <c r="N1114" s="22">
        <v>15400</v>
      </c>
      <c r="O1114" s="18">
        <v>16.47</v>
      </c>
      <c r="P1114" s="52">
        <f>IF(COUNTIF(TblPurchases[BatchID],TblOutcomes[[#This Row],[BatchID]])&lt;&gt;1,"n.a.",TblOutcomes[[#This Row],[Qty Wasted]]*SUMIFS(TblPurchases[Unit Cost (CLP)],TblPurchases[BatchID],TblOutcomes[[#This Row],[BatchID]]))</f>
        <v>0</v>
      </c>
      <c r="Q1114" s="51">
        <f>IF(COUNTIF(TblPurchases[BatchID],TblOutcomes[[#This Row],[BatchID]])&lt;&gt;1,"n.a.",SUMIFS(TblPurchases[Purchase Date],TblPurchases[BatchID],TblOutcomes[[#This Row],[BatchID]]))</f>
        <v>45351</v>
      </c>
    </row>
    <row r="1115" spans="2:17" x14ac:dyDescent="0.25">
      <c r="B1115" s="2" t="s">
        <v>1919</v>
      </c>
      <c r="C1115" s="2" t="s">
        <v>158</v>
      </c>
      <c r="D1115" s="2" t="s">
        <v>155</v>
      </c>
      <c r="E1115" s="2" t="s">
        <v>4646</v>
      </c>
      <c r="F1115" s="2">
        <v>47</v>
      </c>
      <c r="G1115" s="2">
        <v>37.369999999999997</v>
      </c>
      <c r="H1115" s="2">
        <v>9.6300000000000008</v>
      </c>
      <c r="I1115" s="1">
        <v>20.5</v>
      </c>
      <c r="J1115" s="26">
        <v>45379</v>
      </c>
      <c r="K1115" s="22">
        <v>56055</v>
      </c>
      <c r="L1115" s="18">
        <v>59.95</v>
      </c>
      <c r="M1115" s="22">
        <v>54050</v>
      </c>
      <c r="N1115" s="22">
        <v>2005</v>
      </c>
      <c r="O1115" s="18">
        <v>2.14</v>
      </c>
      <c r="P1115" s="52">
        <f>IF(COUNTIF(TblPurchases[BatchID],TblOutcomes[[#This Row],[BatchID]])&lt;&gt;1,"n.a.",TblOutcomes[[#This Row],[Qty Wasted]]*SUMIFS(TblPurchases[Unit Cost (CLP)],TblPurchases[BatchID],TblOutcomes[[#This Row],[BatchID]]))</f>
        <v>11074.5</v>
      </c>
      <c r="Q1115" s="51">
        <f>IF(COUNTIF(TblPurchases[BatchID],TblOutcomes[[#This Row],[BatchID]])&lt;&gt;1,"n.a.",SUMIFS(TblPurchases[Purchase Date],TblPurchases[BatchID],TblOutcomes[[#This Row],[BatchID]]))</f>
        <v>45359</v>
      </c>
    </row>
    <row r="1116" spans="2:17" x14ac:dyDescent="0.25">
      <c r="B1116" s="2" t="s">
        <v>1920</v>
      </c>
      <c r="C1116" s="2" t="s">
        <v>158</v>
      </c>
      <c r="D1116" s="2" t="s">
        <v>155</v>
      </c>
      <c r="E1116" s="2" t="s">
        <v>4647</v>
      </c>
      <c r="F1116" s="2">
        <v>55</v>
      </c>
      <c r="G1116" s="2">
        <v>55</v>
      </c>
      <c r="H1116" s="2">
        <v>0</v>
      </c>
      <c r="I1116" s="1">
        <v>0</v>
      </c>
      <c r="J1116" s="26">
        <v>45373</v>
      </c>
      <c r="K1116" s="22">
        <v>82500</v>
      </c>
      <c r="L1116" s="18">
        <v>88.24</v>
      </c>
      <c r="M1116" s="22">
        <v>60500</v>
      </c>
      <c r="N1116" s="22">
        <v>22000</v>
      </c>
      <c r="O1116" s="18">
        <v>23.53</v>
      </c>
      <c r="P1116" s="52">
        <f>IF(COUNTIF(TblPurchases[BatchID],TblOutcomes[[#This Row],[BatchID]])&lt;&gt;1,"n.a.",TblOutcomes[[#This Row],[Qty Wasted]]*SUMIFS(TblPurchases[Unit Cost (CLP)],TblPurchases[BatchID],TblOutcomes[[#This Row],[BatchID]]))</f>
        <v>0</v>
      </c>
      <c r="Q1116" s="51">
        <f>IF(COUNTIF(TblPurchases[BatchID],TblOutcomes[[#This Row],[BatchID]])&lt;&gt;1,"n.a.",SUMIFS(TblPurchases[Purchase Date],TblPurchases[BatchID],TblOutcomes[[#This Row],[BatchID]]))</f>
        <v>45365</v>
      </c>
    </row>
    <row r="1117" spans="2:17" x14ac:dyDescent="0.25">
      <c r="B1117" s="2" t="s">
        <v>1921</v>
      </c>
      <c r="C1117" s="2" t="s">
        <v>158</v>
      </c>
      <c r="D1117" s="2" t="s">
        <v>155</v>
      </c>
      <c r="E1117" s="2" t="s">
        <v>4647</v>
      </c>
      <c r="F1117" s="2">
        <v>47</v>
      </c>
      <c r="G1117" s="2">
        <v>47</v>
      </c>
      <c r="H1117" s="2">
        <v>0</v>
      </c>
      <c r="I1117" s="1">
        <v>0</v>
      </c>
      <c r="J1117" s="26">
        <v>45375</v>
      </c>
      <c r="K1117" s="22">
        <v>70500</v>
      </c>
      <c r="L1117" s="18">
        <v>75.400000000000006</v>
      </c>
      <c r="M1117" s="22">
        <v>54050</v>
      </c>
      <c r="N1117" s="22">
        <v>16450</v>
      </c>
      <c r="O1117" s="18">
        <v>17.59</v>
      </c>
      <c r="P1117" s="52">
        <f>IF(COUNTIF(TblPurchases[BatchID],TblOutcomes[[#This Row],[BatchID]])&lt;&gt;1,"n.a.",TblOutcomes[[#This Row],[Qty Wasted]]*SUMIFS(TblPurchases[Unit Cost (CLP)],TblPurchases[BatchID],TblOutcomes[[#This Row],[BatchID]]))</f>
        <v>0</v>
      </c>
      <c r="Q1117" s="51">
        <f>IF(COUNTIF(TblPurchases[BatchID],TblOutcomes[[#This Row],[BatchID]])&lt;&gt;1,"n.a.",SUMIFS(TblPurchases[Purchase Date],TblPurchases[BatchID],TblOutcomes[[#This Row],[BatchID]]))</f>
        <v>45370</v>
      </c>
    </row>
    <row r="1118" spans="2:17" x14ac:dyDescent="0.25">
      <c r="B1118" s="2" t="s">
        <v>1922</v>
      </c>
      <c r="C1118" s="2" t="s">
        <v>158</v>
      </c>
      <c r="D1118" s="2" t="s">
        <v>155</v>
      </c>
      <c r="E1118" s="2" t="s">
        <v>4647</v>
      </c>
      <c r="F1118" s="2">
        <v>49</v>
      </c>
      <c r="G1118" s="2">
        <v>49</v>
      </c>
      <c r="H1118" s="2">
        <v>0</v>
      </c>
      <c r="I1118" s="1">
        <v>0</v>
      </c>
      <c r="J1118" s="26">
        <v>45382</v>
      </c>
      <c r="K1118" s="22">
        <v>73500</v>
      </c>
      <c r="L1118" s="18">
        <v>78.61</v>
      </c>
      <c r="M1118" s="22">
        <v>56350</v>
      </c>
      <c r="N1118" s="22">
        <v>17150</v>
      </c>
      <c r="O1118" s="18">
        <v>18.34</v>
      </c>
      <c r="P1118" s="52">
        <f>IF(COUNTIF(TblPurchases[BatchID],TblOutcomes[[#This Row],[BatchID]])&lt;&gt;1,"n.a.",TblOutcomes[[#This Row],[Qty Wasted]]*SUMIFS(TblPurchases[Unit Cost (CLP)],TblPurchases[BatchID],TblOutcomes[[#This Row],[BatchID]]))</f>
        <v>0</v>
      </c>
      <c r="Q1118" s="51">
        <f>IF(COUNTIF(TblPurchases[BatchID],TblOutcomes[[#This Row],[BatchID]])&lt;&gt;1,"n.a.",SUMIFS(TblPurchases[Purchase Date],TblPurchases[BatchID],TblOutcomes[[#This Row],[BatchID]]))</f>
        <v>45376</v>
      </c>
    </row>
    <row r="1119" spans="2:17" x14ac:dyDescent="0.25">
      <c r="B1119" s="2" t="s">
        <v>1923</v>
      </c>
      <c r="C1119" s="2" t="s">
        <v>158</v>
      </c>
      <c r="D1119" s="2" t="s">
        <v>155</v>
      </c>
      <c r="E1119" s="2" t="s">
        <v>4647</v>
      </c>
      <c r="F1119" s="2">
        <v>16</v>
      </c>
      <c r="G1119" s="2">
        <v>16</v>
      </c>
      <c r="H1119" s="2">
        <v>0</v>
      </c>
      <c r="I1119" s="1">
        <v>0</v>
      </c>
      <c r="J1119" s="26">
        <v>45389</v>
      </c>
      <c r="K1119" s="22">
        <v>24000</v>
      </c>
      <c r="L1119" s="18">
        <v>25.67</v>
      </c>
      <c r="M1119" s="22">
        <v>18400</v>
      </c>
      <c r="N1119" s="22">
        <v>5600</v>
      </c>
      <c r="O1119" s="18">
        <v>5.99</v>
      </c>
      <c r="P1119" s="52">
        <f>IF(COUNTIF(TblPurchases[BatchID],TblOutcomes[[#This Row],[BatchID]])&lt;&gt;1,"n.a.",TblOutcomes[[#This Row],[Qty Wasted]]*SUMIFS(TblPurchases[Unit Cost (CLP)],TblPurchases[BatchID],TblOutcomes[[#This Row],[BatchID]]))</f>
        <v>0</v>
      </c>
      <c r="Q1119" s="51">
        <f>IF(COUNTIF(TblPurchases[BatchID],TblOutcomes[[#This Row],[BatchID]])&lt;&gt;1,"n.a.",SUMIFS(TblPurchases[Purchase Date],TblPurchases[BatchID],TblOutcomes[[#This Row],[BatchID]]))</f>
        <v>45383</v>
      </c>
    </row>
    <row r="1120" spans="2:17" x14ac:dyDescent="0.25">
      <c r="B1120" s="2" t="s">
        <v>1924</v>
      </c>
      <c r="C1120" s="2" t="s">
        <v>158</v>
      </c>
      <c r="D1120" s="2" t="s">
        <v>155</v>
      </c>
      <c r="E1120" s="2" t="s">
        <v>4646</v>
      </c>
      <c r="F1120" s="2">
        <v>19</v>
      </c>
      <c r="G1120" s="2">
        <v>13.15</v>
      </c>
      <c r="H1120" s="2">
        <v>5.85</v>
      </c>
      <c r="I1120" s="1">
        <v>30.8</v>
      </c>
      <c r="J1120" s="26">
        <v>45409</v>
      </c>
      <c r="K1120" s="22">
        <v>19725</v>
      </c>
      <c r="L1120" s="18">
        <v>21.1</v>
      </c>
      <c r="M1120" s="22">
        <v>21850</v>
      </c>
      <c r="N1120" s="22">
        <v>-2125</v>
      </c>
      <c r="O1120" s="18">
        <v>-2.27</v>
      </c>
      <c r="P1120" s="52">
        <f>IF(COUNTIF(TblPurchases[BatchID],TblOutcomes[[#This Row],[BatchID]])&lt;&gt;1,"n.a.",TblOutcomes[[#This Row],[Qty Wasted]]*SUMIFS(TblPurchases[Unit Cost (CLP)],TblPurchases[BatchID],TblOutcomes[[#This Row],[BatchID]]))</f>
        <v>6727.5</v>
      </c>
      <c r="Q1120" s="51">
        <f>IF(COUNTIF(TblPurchases[BatchID],TblOutcomes[[#This Row],[BatchID]])&lt;&gt;1,"n.a.",SUMIFS(TblPurchases[Purchase Date],TblPurchases[BatchID],TblOutcomes[[#This Row],[BatchID]]))</f>
        <v>45389</v>
      </c>
    </row>
    <row r="1121" spans="2:17" x14ac:dyDescent="0.25">
      <c r="B1121" s="2" t="s">
        <v>1925</v>
      </c>
      <c r="C1121" s="2" t="s">
        <v>158</v>
      </c>
      <c r="D1121" s="2" t="s">
        <v>155</v>
      </c>
      <c r="E1121" s="2" t="s">
        <v>4646</v>
      </c>
      <c r="F1121" s="2">
        <v>18</v>
      </c>
      <c r="G1121" s="2">
        <v>14.9</v>
      </c>
      <c r="H1121" s="2">
        <v>3.1</v>
      </c>
      <c r="I1121" s="1">
        <v>17.2</v>
      </c>
      <c r="J1121" s="26">
        <v>45416</v>
      </c>
      <c r="K1121" s="22">
        <v>22350</v>
      </c>
      <c r="L1121" s="18">
        <v>23.9</v>
      </c>
      <c r="M1121" s="22">
        <v>20700</v>
      </c>
      <c r="N1121" s="22">
        <v>1650</v>
      </c>
      <c r="O1121" s="18">
        <v>1.76</v>
      </c>
      <c r="P1121" s="52">
        <f>IF(COUNTIF(TblPurchases[BatchID],TblOutcomes[[#This Row],[BatchID]])&lt;&gt;1,"n.a.",TblOutcomes[[#This Row],[Qty Wasted]]*SUMIFS(TblPurchases[Unit Cost (CLP)],TblPurchases[BatchID],TblOutcomes[[#This Row],[BatchID]]))</f>
        <v>3565</v>
      </c>
      <c r="Q1121" s="51">
        <f>IF(COUNTIF(TblPurchases[BatchID],TblOutcomes[[#This Row],[BatchID]])&lt;&gt;1,"n.a.",SUMIFS(TblPurchases[Purchase Date],TblPurchases[BatchID],TblOutcomes[[#This Row],[BatchID]]))</f>
        <v>45396</v>
      </c>
    </row>
    <row r="1122" spans="2:17" x14ac:dyDescent="0.25">
      <c r="B1122" s="2" t="s">
        <v>1926</v>
      </c>
      <c r="C1122" s="2" t="s">
        <v>158</v>
      </c>
      <c r="D1122" s="2" t="s">
        <v>155</v>
      </c>
      <c r="E1122" s="2" t="s">
        <v>4647</v>
      </c>
      <c r="F1122" s="2">
        <v>18</v>
      </c>
      <c r="G1122" s="2">
        <v>18</v>
      </c>
      <c r="H1122" s="2">
        <v>0</v>
      </c>
      <c r="I1122" s="1">
        <v>0</v>
      </c>
      <c r="J1122" s="26">
        <v>45409</v>
      </c>
      <c r="K1122" s="22">
        <v>27000</v>
      </c>
      <c r="L1122" s="18">
        <v>28.88</v>
      </c>
      <c r="M1122" s="22">
        <v>19800</v>
      </c>
      <c r="N1122" s="22">
        <v>7200</v>
      </c>
      <c r="O1122" s="18">
        <v>7.7</v>
      </c>
      <c r="P1122" s="52">
        <f>IF(COUNTIF(TblPurchases[BatchID],TblOutcomes[[#This Row],[BatchID]])&lt;&gt;1,"n.a.",TblOutcomes[[#This Row],[Qty Wasted]]*SUMIFS(TblPurchases[Unit Cost (CLP)],TblPurchases[BatchID],TblOutcomes[[#This Row],[BatchID]]))</f>
        <v>0</v>
      </c>
      <c r="Q1122" s="51">
        <f>IF(COUNTIF(TblPurchases[BatchID],TblOutcomes[[#This Row],[BatchID]])&lt;&gt;1,"n.a.",SUMIFS(TblPurchases[Purchase Date],TblPurchases[BatchID],TblOutcomes[[#This Row],[BatchID]]))</f>
        <v>45404</v>
      </c>
    </row>
    <row r="1123" spans="2:17" x14ac:dyDescent="0.25">
      <c r="B1123" s="2" t="s">
        <v>1927</v>
      </c>
      <c r="C1123" s="2" t="s">
        <v>158</v>
      </c>
      <c r="D1123" s="2" t="s">
        <v>155</v>
      </c>
      <c r="E1123" s="2" t="s">
        <v>4646</v>
      </c>
      <c r="F1123" s="2">
        <v>18</v>
      </c>
      <c r="G1123" s="2">
        <v>10.3</v>
      </c>
      <c r="H1123" s="2">
        <v>7.7</v>
      </c>
      <c r="I1123" s="1">
        <v>42.8</v>
      </c>
      <c r="J1123" s="26">
        <v>45431</v>
      </c>
      <c r="K1123" s="22">
        <v>15450</v>
      </c>
      <c r="L1123" s="18">
        <v>16.52</v>
      </c>
      <c r="M1123" s="22">
        <v>20700</v>
      </c>
      <c r="N1123" s="22">
        <v>-5250</v>
      </c>
      <c r="O1123" s="18">
        <v>-5.61</v>
      </c>
      <c r="P1123" s="52">
        <f>IF(COUNTIF(TblPurchases[BatchID],TblOutcomes[[#This Row],[BatchID]])&lt;&gt;1,"n.a.",TblOutcomes[[#This Row],[Qty Wasted]]*SUMIFS(TblPurchases[Unit Cost (CLP)],TblPurchases[BatchID],TblOutcomes[[#This Row],[BatchID]]))</f>
        <v>8855</v>
      </c>
      <c r="Q1123" s="51">
        <f>IF(COUNTIF(TblPurchases[BatchID],TblOutcomes[[#This Row],[BatchID]])&lt;&gt;1,"n.a.",SUMIFS(TblPurchases[Purchase Date],TblPurchases[BatchID],TblOutcomes[[#This Row],[BatchID]]))</f>
        <v>45411</v>
      </c>
    </row>
    <row r="1124" spans="2:17" x14ac:dyDescent="0.25">
      <c r="B1124" s="2" t="s">
        <v>1928</v>
      </c>
      <c r="C1124" s="2" t="s">
        <v>158</v>
      </c>
      <c r="D1124" s="2" t="s">
        <v>155</v>
      </c>
      <c r="E1124" s="2" t="s">
        <v>4646</v>
      </c>
      <c r="F1124" s="2">
        <v>20</v>
      </c>
      <c r="G1124" s="2">
        <v>13.78</v>
      </c>
      <c r="H1124" s="2">
        <v>6.22</v>
      </c>
      <c r="I1124" s="1">
        <v>31.1</v>
      </c>
      <c r="J1124" s="26">
        <v>45437</v>
      </c>
      <c r="K1124" s="22">
        <v>20670</v>
      </c>
      <c r="L1124" s="18">
        <v>22.11</v>
      </c>
      <c r="M1124" s="22">
        <v>23000</v>
      </c>
      <c r="N1124" s="22">
        <v>-2330</v>
      </c>
      <c r="O1124" s="18">
        <v>-2.4900000000000002</v>
      </c>
      <c r="P1124" s="52">
        <f>IF(COUNTIF(TblPurchases[BatchID],TblOutcomes[[#This Row],[BatchID]])&lt;&gt;1,"n.a.",TblOutcomes[[#This Row],[Qty Wasted]]*SUMIFS(TblPurchases[Unit Cost (CLP)],TblPurchases[BatchID],TblOutcomes[[#This Row],[BatchID]]))</f>
        <v>7153</v>
      </c>
      <c r="Q1124" s="51">
        <f>IF(COUNTIF(TblPurchases[BatchID],TblOutcomes[[#This Row],[BatchID]])&lt;&gt;1,"n.a.",SUMIFS(TblPurchases[Purchase Date],TblPurchases[BatchID],TblOutcomes[[#This Row],[BatchID]]))</f>
        <v>45417</v>
      </c>
    </row>
    <row r="1125" spans="2:17" x14ac:dyDescent="0.25">
      <c r="B1125" s="2" t="s">
        <v>1929</v>
      </c>
      <c r="C1125" s="2" t="s">
        <v>158</v>
      </c>
      <c r="D1125" s="2" t="s">
        <v>155</v>
      </c>
      <c r="E1125" s="2" t="s">
        <v>4646</v>
      </c>
      <c r="F1125" s="2">
        <v>19</v>
      </c>
      <c r="G1125" s="2">
        <v>16.23</v>
      </c>
      <c r="H1125" s="2">
        <v>2.77</v>
      </c>
      <c r="I1125" s="1">
        <v>14.6</v>
      </c>
      <c r="J1125" s="26">
        <v>45444</v>
      </c>
      <c r="K1125" s="22">
        <v>24345</v>
      </c>
      <c r="L1125" s="18">
        <v>26.04</v>
      </c>
      <c r="M1125" s="22">
        <v>21850</v>
      </c>
      <c r="N1125" s="22">
        <v>2495</v>
      </c>
      <c r="O1125" s="18">
        <v>2.67</v>
      </c>
      <c r="P1125" s="52">
        <f>IF(COUNTIF(TblPurchases[BatchID],TblOutcomes[[#This Row],[BatchID]])&lt;&gt;1,"n.a.",TblOutcomes[[#This Row],[Qty Wasted]]*SUMIFS(TblPurchases[Unit Cost (CLP)],TblPurchases[BatchID],TblOutcomes[[#This Row],[BatchID]]))</f>
        <v>3185.5</v>
      </c>
      <c r="Q1125" s="51">
        <f>IF(COUNTIF(TblPurchases[BatchID],TblOutcomes[[#This Row],[BatchID]])&lt;&gt;1,"n.a.",SUMIFS(TblPurchases[Purchase Date],TblPurchases[BatchID],TblOutcomes[[#This Row],[BatchID]]))</f>
        <v>45424</v>
      </c>
    </row>
    <row r="1126" spans="2:17" x14ac:dyDescent="0.25">
      <c r="B1126" s="2" t="s">
        <v>1930</v>
      </c>
      <c r="C1126" s="2" t="s">
        <v>158</v>
      </c>
      <c r="D1126" s="2" t="s">
        <v>155</v>
      </c>
      <c r="E1126" s="2" t="s">
        <v>4647</v>
      </c>
      <c r="F1126" s="2">
        <v>17</v>
      </c>
      <c r="G1126" s="2">
        <v>17</v>
      </c>
      <c r="H1126" s="2">
        <v>0</v>
      </c>
      <c r="I1126" s="1">
        <v>0</v>
      </c>
      <c r="J1126" s="26">
        <v>45434</v>
      </c>
      <c r="K1126" s="22">
        <v>25500</v>
      </c>
      <c r="L1126" s="18">
        <v>27.27</v>
      </c>
      <c r="M1126" s="22">
        <v>19550</v>
      </c>
      <c r="N1126" s="22">
        <v>5950</v>
      </c>
      <c r="O1126" s="18">
        <v>6.36</v>
      </c>
      <c r="P1126" s="52">
        <f>IF(COUNTIF(TblPurchases[BatchID],TblOutcomes[[#This Row],[BatchID]])&lt;&gt;1,"n.a.",TblOutcomes[[#This Row],[Qty Wasted]]*SUMIFS(TblPurchases[Unit Cost (CLP)],TblPurchases[BatchID],TblOutcomes[[#This Row],[BatchID]]))</f>
        <v>0</v>
      </c>
      <c r="Q1126" s="51">
        <f>IF(COUNTIF(TblPurchases[BatchID],TblOutcomes[[#This Row],[BatchID]])&lt;&gt;1,"n.a.",SUMIFS(TblPurchases[Purchase Date],TblPurchases[BatchID],TblOutcomes[[#This Row],[BatchID]]))</f>
        <v>45429</v>
      </c>
    </row>
    <row r="1127" spans="2:17" x14ac:dyDescent="0.25">
      <c r="B1127" s="2" t="s">
        <v>1931</v>
      </c>
      <c r="C1127" s="2" t="s">
        <v>158</v>
      </c>
      <c r="D1127" s="2" t="s">
        <v>155</v>
      </c>
      <c r="E1127" s="2" t="s">
        <v>4646</v>
      </c>
      <c r="F1127" s="2">
        <v>18</v>
      </c>
      <c r="G1127" s="2">
        <v>12.67</v>
      </c>
      <c r="H1127" s="2">
        <v>5.33</v>
      </c>
      <c r="I1127" s="1">
        <v>29.6</v>
      </c>
      <c r="J1127" s="26">
        <v>45457</v>
      </c>
      <c r="K1127" s="22">
        <v>19005</v>
      </c>
      <c r="L1127" s="18">
        <v>20.329999999999998</v>
      </c>
      <c r="M1127" s="22">
        <v>20700</v>
      </c>
      <c r="N1127" s="22">
        <v>-1695</v>
      </c>
      <c r="O1127" s="18">
        <v>-1.81</v>
      </c>
      <c r="P1127" s="52">
        <f>IF(COUNTIF(TblPurchases[BatchID],TblOutcomes[[#This Row],[BatchID]])&lt;&gt;1,"n.a.",TblOutcomes[[#This Row],[Qty Wasted]]*SUMIFS(TblPurchases[Unit Cost (CLP)],TblPurchases[BatchID],TblOutcomes[[#This Row],[BatchID]]))</f>
        <v>6129.5</v>
      </c>
      <c r="Q1127" s="51">
        <f>IF(COUNTIF(TblPurchases[BatchID],TblOutcomes[[#This Row],[BatchID]])&lt;&gt;1,"n.a.",SUMIFS(TblPurchases[Purchase Date],TblPurchases[BatchID],TblOutcomes[[#This Row],[BatchID]]))</f>
        <v>45437</v>
      </c>
    </row>
    <row r="1128" spans="2:17" x14ac:dyDescent="0.25">
      <c r="B1128" s="2" t="s">
        <v>1932</v>
      </c>
      <c r="C1128" s="2" t="s">
        <v>158</v>
      </c>
      <c r="D1128" s="2" t="s">
        <v>155</v>
      </c>
      <c r="E1128" s="2" t="s">
        <v>4646</v>
      </c>
      <c r="F1128" s="2">
        <v>19</v>
      </c>
      <c r="G1128" s="2">
        <v>12.69</v>
      </c>
      <c r="H1128" s="2">
        <v>6.31</v>
      </c>
      <c r="I1128" s="1">
        <v>33.200000000000003</v>
      </c>
      <c r="J1128" s="26">
        <v>45462</v>
      </c>
      <c r="K1128" s="22">
        <v>19035</v>
      </c>
      <c r="L1128" s="18">
        <v>20.36</v>
      </c>
      <c r="M1128" s="22">
        <v>20900</v>
      </c>
      <c r="N1128" s="22">
        <v>-1865</v>
      </c>
      <c r="O1128" s="18">
        <v>-1.99</v>
      </c>
      <c r="P1128" s="52">
        <f>IF(COUNTIF(TblPurchases[BatchID],TblOutcomes[[#This Row],[BatchID]])&lt;&gt;1,"n.a.",TblOutcomes[[#This Row],[Qty Wasted]]*SUMIFS(TblPurchases[Unit Cost (CLP)],TblPurchases[BatchID],TblOutcomes[[#This Row],[BatchID]]))</f>
        <v>6941</v>
      </c>
      <c r="Q1128" s="51">
        <f>IF(COUNTIF(TblPurchases[BatchID],TblOutcomes[[#This Row],[BatchID]])&lt;&gt;1,"n.a.",SUMIFS(TblPurchases[Purchase Date],TblPurchases[BatchID],TblOutcomes[[#This Row],[BatchID]]))</f>
        <v>45442</v>
      </c>
    </row>
    <row r="1129" spans="2:17" x14ac:dyDescent="0.25">
      <c r="B1129" s="2" t="s">
        <v>1933</v>
      </c>
      <c r="C1129" s="2" t="s">
        <v>158</v>
      </c>
      <c r="D1129" s="2" t="s">
        <v>155</v>
      </c>
      <c r="E1129" s="2" t="s">
        <v>4646</v>
      </c>
      <c r="F1129" s="2">
        <v>20</v>
      </c>
      <c r="G1129" s="2">
        <v>17.36</v>
      </c>
      <c r="H1129" s="2">
        <v>2.64</v>
      </c>
      <c r="I1129" s="1">
        <v>13.2</v>
      </c>
      <c r="J1129" s="26">
        <v>45469</v>
      </c>
      <c r="K1129" s="22">
        <v>26040</v>
      </c>
      <c r="L1129" s="18">
        <v>27.85</v>
      </c>
      <c r="M1129" s="22">
        <v>23000</v>
      </c>
      <c r="N1129" s="22">
        <v>3040</v>
      </c>
      <c r="O1129" s="18">
        <v>3.25</v>
      </c>
      <c r="P1129" s="52">
        <f>IF(COUNTIF(TblPurchases[BatchID],TblOutcomes[[#This Row],[BatchID]])&lt;&gt;1,"n.a.",TblOutcomes[[#This Row],[Qty Wasted]]*SUMIFS(TblPurchases[Unit Cost (CLP)],TblPurchases[BatchID],TblOutcomes[[#This Row],[BatchID]]))</f>
        <v>3036</v>
      </c>
      <c r="Q1129" s="51">
        <f>IF(COUNTIF(TblPurchases[BatchID],TblOutcomes[[#This Row],[BatchID]])&lt;&gt;1,"n.a.",SUMIFS(TblPurchases[Purchase Date],TblPurchases[BatchID],TblOutcomes[[#This Row],[BatchID]]))</f>
        <v>45449</v>
      </c>
    </row>
    <row r="1130" spans="2:17" x14ac:dyDescent="0.25">
      <c r="B1130" s="2" t="s">
        <v>1934</v>
      </c>
      <c r="C1130" s="2" t="s">
        <v>158</v>
      </c>
      <c r="D1130" s="2" t="s">
        <v>155</v>
      </c>
      <c r="E1130" s="2" t="s">
        <v>4646</v>
      </c>
      <c r="F1130" s="2">
        <v>18</v>
      </c>
      <c r="G1130" s="2">
        <v>14.89</v>
      </c>
      <c r="H1130" s="2">
        <v>3.11</v>
      </c>
      <c r="I1130" s="1">
        <v>17.3</v>
      </c>
      <c r="J1130" s="26">
        <v>45477</v>
      </c>
      <c r="K1130" s="22">
        <v>22335</v>
      </c>
      <c r="L1130" s="18">
        <v>23.89</v>
      </c>
      <c r="M1130" s="22">
        <v>20700</v>
      </c>
      <c r="N1130" s="22">
        <v>1635</v>
      </c>
      <c r="O1130" s="18">
        <v>1.75</v>
      </c>
      <c r="P1130" s="52">
        <f>IF(COUNTIF(TblPurchases[BatchID],TblOutcomes[[#This Row],[BatchID]])&lt;&gt;1,"n.a.",TblOutcomes[[#This Row],[Qty Wasted]]*SUMIFS(TblPurchases[Unit Cost (CLP)],TblPurchases[BatchID],TblOutcomes[[#This Row],[BatchID]]))</f>
        <v>3576.5</v>
      </c>
      <c r="Q1130" s="51">
        <f>IF(COUNTIF(TblPurchases[BatchID],TblOutcomes[[#This Row],[BatchID]])&lt;&gt;1,"n.a.",SUMIFS(TblPurchases[Purchase Date],TblPurchases[BatchID],TblOutcomes[[#This Row],[BatchID]]))</f>
        <v>45457</v>
      </c>
    </row>
    <row r="1131" spans="2:17" x14ac:dyDescent="0.25">
      <c r="B1131" s="2" t="s">
        <v>1935</v>
      </c>
      <c r="C1131" s="2" t="s">
        <v>158</v>
      </c>
      <c r="D1131" s="2" t="s">
        <v>155</v>
      </c>
      <c r="E1131" s="2" t="s">
        <v>4647</v>
      </c>
      <c r="F1131" s="2">
        <v>18</v>
      </c>
      <c r="G1131" s="2">
        <v>18</v>
      </c>
      <c r="H1131" s="2">
        <v>0</v>
      </c>
      <c r="I1131" s="1">
        <v>0</v>
      </c>
      <c r="J1131" s="26">
        <v>45468</v>
      </c>
      <c r="K1131" s="22">
        <v>27000</v>
      </c>
      <c r="L1131" s="18">
        <v>28.88</v>
      </c>
      <c r="M1131" s="22">
        <v>20700</v>
      </c>
      <c r="N1131" s="22">
        <v>6300</v>
      </c>
      <c r="O1131" s="18">
        <v>6.74</v>
      </c>
      <c r="P1131" s="52">
        <f>IF(COUNTIF(TblPurchases[BatchID],TblOutcomes[[#This Row],[BatchID]])&lt;&gt;1,"n.a.",TblOutcomes[[#This Row],[Qty Wasted]]*SUMIFS(TblPurchases[Unit Cost (CLP)],TblPurchases[BatchID],TblOutcomes[[#This Row],[BatchID]]))</f>
        <v>0</v>
      </c>
      <c r="Q1131" s="51">
        <f>IF(COUNTIF(TblPurchases[BatchID],TblOutcomes[[#This Row],[BatchID]])&lt;&gt;1,"n.a.",SUMIFS(TblPurchases[Purchase Date],TblPurchases[BatchID],TblOutcomes[[#This Row],[BatchID]]))</f>
        <v>45464</v>
      </c>
    </row>
    <row r="1132" spans="2:17" x14ac:dyDescent="0.25">
      <c r="B1132" s="2" t="s">
        <v>1936</v>
      </c>
      <c r="C1132" s="2" t="s">
        <v>158</v>
      </c>
      <c r="D1132" s="2" t="s">
        <v>155</v>
      </c>
      <c r="E1132" s="2" t="s">
        <v>4646</v>
      </c>
      <c r="F1132" s="2">
        <v>19</v>
      </c>
      <c r="G1132" s="2">
        <v>13.91</v>
      </c>
      <c r="H1132" s="2">
        <v>5.09</v>
      </c>
      <c r="I1132" s="1">
        <v>26.8</v>
      </c>
      <c r="J1132" s="26">
        <v>45494</v>
      </c>
      <c r="K1132" s="22">
        <v>20865</v>
      </c>
      <c r="L1132" s="18">
        <v>22.32</v>
      </c>
      <c r="M1132" s="22">
        <v>21850</v>
      </c>
      <c r="N1132" s="22">
        <v>-985</v>
      </c>
      <c r="O1132" s="18">
        <v>-1.05</v>
      </c>
      <c r="P1132" s="52">
        <f>IF(COUNTIF(TblPurchases[BatchID],TblOutcomes[[#This Row],[BatchID]])&lt;&gt;1,"n.a.",TblOutcomes[[#This Row],[Qty Wasted]]*SUMIFS(TblPurchases[Unit Cost (CLP)],TblPurchases[BatchID],TblOutcomes[[#This Row],[BatchID]]))</f>
        <v>5853.5</v>
      </c>
      <c r="Q1132" s="51">
        <f>IF(COUNTIF(TblPurchases[BatchID],TblOutcomes[[#This Row],[BatchID]])&lt;&gt;1,"n.a.",SUMIFS(TblPurchases[Purchase Date],TblPurchases[BatchID],TblOutcomes[[#This Row],[BatchID]]))</f>
        <v>45474</v>
      </c>
    </row>
    <row r="1133" spans="2:17" x14ac:dyDescent="0.25">
      <c r="B1133" s="2" t="s">
        <v>1937</v>
      </c>
      <c r="C1133" s="2" t="s">
        <v>158</v>
      </c>
      <c r="D1133" s="2" t="s">
        <v>155</v>
      </c>
      <c r="E1133" s="2" t="s">
        <v>4646</v>
      </c>
      <c r="F1133" s="2">
        <v>19</v>
      </c>
      <c r="G1133" s="2">
        <v>13.62</v>
      </c>
      <c r="H1133" s="2">
        <v>5.38</v>
      </c>
      <c r="I1133" s="1">
        <v>28.3</v>
      </c>
      <c r="J1133" s="26">
        <v>45500</v>
      </c>
      <c r="K1133" s="22">
        <v>20430</v>
      </c>
      <c r="L1133" s="18">
        <v>21.85</v>
      </c>
      <c r="M1133" s="22">
        <v>21850</v>
      </c>
      <c r="N1133" s="22">
        <v>-1420</v>
      </c>
      <c r="O1133" s="18">
        <v>-1.52</v>
      </c>
      <c r="P1133" s="52">
        <f>IF(COUNTIF(TblPurchases[BatchID],TblOutcomes[[#This Row],[BatchID]])&lt;&gt;1,"n.a.",TblOutcomes[[#This Row],[Qty Wasted]]*SUMIFS(TblPurchases[Unit Cost (CLP)],TblPurchases[BatchID],TblOutcomes[[#This Row],[BatchID]]))</f>
        <v>6187</v>
      </c>
      <c r="Q1133" s="51">
        <f>IF(COUNTIF(TblPurchases[BatchID],TblOutcomes[[#This Row],[BatchID]])&lt;&gt;1,"n.a.",SUMIFS(TblPurchases[Purchase Date],TblPurchases[BatchID],TblOutcomes[[#This Row],[BatchID]]))</f>
        <v>45480</v>
      </c>
    </row>
    <row r="1134" spans="2:17" x14ac:dyDescent="0.25">
      <c r="B1134" s="2" t="s">
        <v>1938</v>
      </c>
      <c r="C1134" s="2" t="s">
        <v>158</v>
      </c>
      <c r="D1134" s="2" t="s">
        <v>155</v>
      </c>
      <c r="E1134" s="2" t="s">
        <v>4646</v>
      </c>
      <c r="F1134" s="2">
        <v>16</v>
      </c>
      <c r="G1134" s="2">
        <v>10.18</v>
      </c>
      <c r="H1134" s="2">
        <v>5.82</v>
      </c>
      <c r="I1134" s="1">
        <v>36.4</v>
      </c>
      <c r="J1134" s="26">
        <v>45507</v>
      </c>
      <c r="K1134" s="22">
        <v>15270</v>
      </c>
      <c r="L1134" s="18">
        <v>16.329999999999998</v>
      </c>
      <c r="M1134" s="22">
        <v>18400</v>
      </c>
      <c r="N1134" s="22">
        <v>-3130</v>
      </c>
      <c r="O1134" s="18">
        <v>-3.35</v>
      </c>
      <c r="P1134" s="52">
        <f>IF(COUNTIF(TblPurchases[BatchID],TblOutcomes[[#This Row],[BatchID]])&lt;&gt;1,"n.a.",TblOutcomes[[#This Row],[Qty Wasted]]*SUMIFS(TblPurchases[Unit Cost (CLP)],TblPurchases[BatchID],TblOutcomes[[#This Row],[BatchID]]))</f>
        <v>6693</v>
      </c>
      <c r="Q1134" s="51">
        <f>IF(COUNTIF(TblPurchases[BatchID],TblOutcomes[[#This Row],[BatchID]])&lt;&gt;1,"n.a.",SUMIFS(TblPurchases[Purchase Date],TblPurchases[BatchID],TblOutcomes[[#This Row],[BatchID]]))</f>
        <v>45487</v>
      </c>
    </row>
    <row r="1135" spans="2:17" x14ac:dyDescent="0.25">
      <c r="B1135" s="2" t="s">
        <v>1939</v>
      </c>
      <c r="C1135" s="2" t="s">
        <v>158</v>
      </c>
      <c r="D1135" s="2" t="s">
        <v>155</v>
      </c>
      <c r="E1135" s="2" t="s">
        <v>4647</v>
      </c>
      <c r="F1135" s="2">
        <v>17</v>
      </c>
      <c r="G1135" s="2">
        <v>17</v>
      </c>
      <c r="H1135" s="2">
        <v>0</v>
      </c>
      <c r="I1135" s="1">
        <v>0</v>
      </c>
      <c r="J1135" s="26">
        <v>45498</v>
      </c>
      <c r="K1135" s="22">
        <v>25500</v>
      </c>
      <c r="L1135" s="18">
        <v>27.27</v>
      </c>
      <c r="M1135" s="22">
        <v>19550</v>
      </c>
      <c r="N1135" s="22">
        <v>5950</v>
      </c>
      <c r="O1135" s="18">
        <v>6.36</v>
      </c>
      <c r="P1135" s="52">
        <f>IF(COUNTIF(TblPurchases[BatchID],TblOutcomes[[#This Row],[BatchID]])&lt;&gt;1,"n.a.",TblOutcomes[[#This Row],[Qty Wasted]]*SUMIFS(TblPurchases[Unit Cost (CLP)],TblPurchases[BatchID],TblOutcomes[[#This Row],[BatchID]]))</f>
        <v>0</v>
      </c>
      <c r="Q1135" s="51">
        <f>IF(COUNTIF(TblPurchases[BatchID],TblOutcomes[[#This Row],[BatchID]])&lt;&gt;1,"n.a.",SUMIFS(TblPurchases[Purchase Date],TblPurchases[BatchID],TblOutcomes[[#This Row],[BatchID]]))</f>
        <v>45494</v>
      </c>
    </row>
    <row r="1136" spans="2:17" x14ac:dyDescent="0.25">
      <c r="B1136" s="2" t="s">
        <v>1940</v>
      </c>
      <c r="C1136" s="2" t="s">
        <v>158</v>
      </c>
      <c r="D1136" s="2" t="s">
        <v>155</v>
      </c>
      <c r="E1136" s="2" t="s">
        <v>4646</v>
      </c>
      <c r="F1136" s="2">
        <v>19</v>
      </c>
      <c r="G1136" s="2">
        <v>14.78</v>
      </c>
      <c r="H1136" s="2">
        <v>4.22</v>
      </c>
      <c r="I1136" s="1">
        <v>22.2</v>
      </c>
      <c r="J1136" s="26">
        <v>45521</v>
      </c>
      <c r="K1136" s="22">
        <v>22170</v>
      </c>
      <c r="L1136" s="18">
        <v>23.71</v>
      </c>
      <c r="M1136" s="22">
        <v>21850</v>
      </c>
      <c r="N1136" s="22">
        <v>320</v>
      </c>
      <c r="O1136" s="18">
        <v>0.34</v>
      </c>
      <c r="P1136" s="52">
        <f>IF(COUNTIF(TblPurchases[BatchID],TblOutcomes[[#This Row],[BatchID]])&lt;&gt;1,"n.a.",TblOutcomes[[#This Row],[Qty Wasted]]*SUMIFS(TblPurchases[Unit Cost (CLP)],TblPurchases[BatchID],TblOutcomes[[#This Row],[BatchID]]))</f>
        <v>4853</v>
      </c>
      <c r="Q1136" s="51">
        <f>IF(COUNTIF(TblPurchases[BatchID],TblOutcomes[[#This Row],[BatchID]])&lt;&gt;1,"n.a.",SUMIFS(TblPurchases[Purchase Date],TblPurchases[BatchID],TblOutcomes[[#This Row],[BatchID]]))</f>
        <v>45501</v>
      </c>
    </row>
    <row r="1137" spans="2:17" x14ac:dyDescent="0.25">
      <c r="B1137" s="2" t="s">
        <v>1941</v>
      </c>
      <c r="C1137" s="2" t="s">
        <v>158</v>
      </c>
      <c r="D1137" s="2" t="s">
        <v>155</v>
      </c>
      <c r="E1137" s="2" t="s">
        <v>4646</v>
      </c>
      <c r="F1137" s="2">
        <v>19</v>
      </c>
      <c r="G1137" s="2">
        <v>14.36</v>
      </c>
      <c r="H1137" s="2">
        <v>4.6399999999999997</v>
      </c>
      <c r="I1137" s="1">
        <v>24.4</v>
      </c>
      <c r="J1137" s="26">
        <v>45525</v>
      </c>
      <c r="K1137" s="22">
        <v>21540</v>
      </c>
      <c r="L1137" s="18">
        <v>23.04</v>
      </c>
      <c r="M1137" s="22">
        <v>21850</v>
      </c>
      <c r="N1137" s="22">
        <v>-310</v>
      </c>
      <c r="O1137" s="18">
        <v>-0.33</v>
      </c>
      <c r="P1137" s="52">
        <f>IF(COUNTIF(TblPurchases[BatchID],TblOutcomes[[#This Row],[BatchID]])&lt;&gt;1,"n.a.",TblOutcomes[[#This Row],[Qty Wasted]]*SUMIFS(TblPurchases[Unit Cost (CLP)],TblPurchases[BatchID],TblOutcomes[[#This Row],[BatchID]]))</f>
        <v>5336</v>
      </c>
      <c r="Q1137" s="51">
        <f>IF(COUNTIF(TblPurchases[BatchID],TblOutcomes[[#This Row],[BatchID]])&lt;&gt;1,"n.a.",SUMIFS(TblPurchases[Purchase Date],TblPurchases[BatchID],TblOutcomes[[#This Row],[BatchID]]))</f>
        <v>45505</v>
      </c>
    </row>
    <row r="1138" spans="2:17" x14ac:dyDescent="0.25">
      <c r="B1138" s="2" t="s">
        <v>1942</v>
      </c>
      <c r="C1138" s="2" t="s">
        <v>158</v>
      </c>
      <c r="D1138" s="2" t="s">
        <v>155</v>
      </c>
      <c r="E1138" s="2" t="s">
        <v>4647</v>
      </c>
      <c r="F1138" s="2">
        <v>20</v>
      </c>
      <c r="G1138" s="2">
        <v>20</v>
      </c>
      <c r="H1138" s="2">
        <v>0</v>
      </c>
      <c r="I1138" s="1">
        <v>0</v>
      </c>
      <c r="J1138" s="26">
        <v>45512</v>
      </c>
      <c r="K1138" s="22">
        <v>30000</v>
      </c>
      <c r="L1138" s="18">
        <v>32.090000000000003</v>
      </c>
      <c r="M1138" s="22">
        <v>22000</v>
      </c>
      <c r="N1138" s="22">
        <v>8000</v>
      </c>
      <c r="O1138" s="18">
        <v>8.56</v>
      </c>
      <c r="P1138" s="52">
        <f>IF(COUNTIF(TblPurchases[BatchID],TblOutcomes[[#This Row],[BatchID]])&lt;&gt;1,"n.a.",TblOutcomes[[#This Row],[Qty Wasted]]*SUMIFS(TblPurchases[Unit Cost (CLP)],TblPurchases[BatchID],TblOutcomes[[#This Row],[BatchID]]))</f>
        <v>0</v>
      </c>
      <c r="Q1138" s="51">
        <f>IF(COUNTIF(TblPurchases[BatchID],TblOutcomes[[#This Row],[BatchID]])&lt;&gt;1,"n.a.",SUMIFS(TblPurchases[Purchase Date],TblPurchases[BatchID],TblOutcomes[[#This Row],[BatchID]]))</f>
        <v>45510</v>
      </c>
    </row>
    <row r="1139" spans="2:17" x14ac:dyDescent="0.25">
      <c r="B1139" s="2" t="s">
        <v>1943</v>
      </c>
      <c r="C1139" s="2" t="s">
        <v>158</v>
      </c>
      <c r="D1139" s="2" t="s">
        <v>155</v>
      </c>
      <c r="E1139" s="2" t="s">
        <v>4647</v>
      </c>
      <c r="F1139" s="2">
        <v>21</v>
      </c>
      <c r="G1139" s="2">
        <v>21</v>
      </c>
      <c r="H1139" s="2">
        <v>0</v>
      </c>
      <c r="I1139" s="1">
        <v>0</v>
      </c>
      <c r="J1139" s="26">
        <v>45518</v>
      </c>
      <c r="K1139" s="22">
        <v>31500</v>
      </c>
      <c r="L1139" s="18">
        <v>33.69</v>
      </c>
      <c r="M1139" s="22">
        <v>24150</v>
      </c>
      <c r="N1139" s="22">
        <v>7350</v>
      </c>
      <c r="O1139" s="18">
        <v>7.86</v>
      </c>
      <c r="P1139" s="52">
        <f>IF(COUNTIF(TblPurchases[BatchID],TblOutcomes[[#This Row],[BatchID]])&lt;&gt;1,"n.a.",TblOutcomes[[#This Row],[Qty Wasted]]*SUMIFS(TblPurchases[Unit Cost (CLP)],TblPurchases[BatchID],TblOutcomes[[#This Row],[BatchID]]))</f>
        <v>0</v>
      </c>
      <c r="Q1139" s="51">
        <f>IF(COUNTIF(TblPurchases[BatchID],TblOutcomes[[#This Row],[BatchID]])&lt;&gt;1,"n.a.",SUMIFS(TblPurchases[Purchase Date],TblPurchases[BatchID],TblOutcomes[[#This Row],[BatchID]]))</f>
        <v>45515</v>
      </c>
    </row>
    <row r="1140" spans="2:17" x14ac:dyDescent="0.25">
      <c r="B1140" s="2" t="s">
        <v>1944</v>
      </c>
      <c r="C1140" s="2" t="s">
        <v>158</v>
      </c>
      <c r="D1140" s="2" t="s">
        <v>155</v>
      </c>
      <c r="E1140" s="2" t="s">
        <v>4646</v>
      </c>
      <c r="F1140" s="2">
        <v>18</v>
      </c>
      <c r="G1140" s="2">
        <v>13.07</v>
      </c>
      <c r="H1140" s="2">
        <v>4.93</v>
      </c>
      <c r="I1140" s="1">
        <v>27.4</v>
      </c>
      <c r="J1140" s="26">
        <v>45542</v>
      </c>
      <c r="K1140" s="22">
        <v>19605</v>
      </c>
      <c r="L1140" s="18">
        <v>20.97</v>
      </c>
      <c r="M1140" s="22">
        <v>20700</v>
      </c>
      <c r="N1140" s="22">
        <v>-1095</v>
      </c>
      <c r="O1140" s="18">
        <v>-1.17</v>
      </c>
      <c r="P1140" s="52">
        <f>IF(COUNTIF(TblPurchases[BatchID],TblOutcomes[[#This Row],[BatchID]])&lt;&gt;1,"n.a.",TblOutcomes[[#This Row],[Qty Wasted]]*SUMIFS(TblPurchases[Unit Cost (CLP)],TblPurchases[BatchID],TblOutcomes[[#This Row],[BatchID]]))</f>
        <v>5669.5</v>
      </c>
      <c r="Q1140" s="51">
        <f>IF(COUNTIF(TblPurchases[BatchID],TblOutcomes[[#This Row],[BatchID]])&lt;&gt;1,"n.a.",SUMIFS(TblPurchases[Purchase Date],TblPurchases[BatchID],TblOutcomes[[#This Row],[BatchID]]))</f>
        <v>45522</v>
      </c>
    </row>
    <row r="1141" spans="2:17" x14ac:dyDescent="0.25">
      <c r="B1141" s="2" t="s">
        <v>1945</v>
      </c>
      <c r="C1141" s="2" t="s">
        <v>158</v>
      </c>
      <c r="D1141" s="2" t="s">
        <v>155</v>
      </c>
      <c r="E1141" s="2" t="s">
        <v>4646</v>
      </c>
      <c r="F1141" s="2">
        <v>17</v>
      </c>
      <c r="G1141" s="2">
        <v>12.66</v>
      </c>
      <c r="H1141" s="2">
        <v>4.33</v>
      </c>
      <c r="I1141" s="1">
        <v>25.5</v>
      </c>
      <c r="J1141" s="26">
        <v>45548</v>
      </c>
      <c r="K1141" s="22">
        <v>18990</v>
      </c>
      <c r="L1141" s="18">
        <v>20.309999999999999</v>
      </c>
      <c r="M1141" s="22">
        <v>19550</v>
      </c>
      <c r="N1141" s="22">
        <v>-560</v>
      </c>
      <c r="O1141" s="18">
        <v>-0.6</v>
      </c>
      <c r="P1141" s="52">
        <f>IF(COUNTIF(TblPurchases[BatchID],TblOutcomes[[#This Row],[BatchID]])&lt;&gt;1,"n.a.",TblOutcomes[[#This Row],[Qty Wasted]]*SUMIFS(TblPurchases[Unit Cost (CLP)],TblPurchases[BatchID],TblOutcomes[[#This Row],[BatchID]]))</f>
        <v>4979.5</v>
      </c>
      <c r="Q1141" s="51">
        <f>IF(COUNTIF(TblPurchases[BatchID],TblOutcomes[[#This Row],[BatchID]])&lt;&gt;1,"n.a.",SUMIFS(TblPurchases[Purchase Date],TblPurchases[BatchID],TblOutcomes[[#This Row],[BatchID]]))</f>
        <v>45528</v>
      </c>
    </row>
    <row r="1142" spans="2:17" x14ac:dyDescent="0.25">
      <c r="B1142" s="2" t="s">
        <v>1946</v>
      </c>
      <c r="C1142" s="2" t="s">
        <v>158</v>
      </c>
      <c r="D1142" s="2" t="s">
        <v>155</v>
      </c>
      <c r="E1142" s="2" t="s">
        <v>4646</v>
      </c>
      <c r="F1142" s="2">
        <v>15</v>
      </c>
      <c r="G1142" s="2">
        <v>10.38</v>
      </c>
      <c r="H1142" s="2">
        <v>4.62</v>
      </c>
      <c r="I1142" s="1">
        <v>30.8</v>
      </c>
      <c r="J1142" s="26">
        <v>45555</v>
      </c>
      <c r="K1142" s="22">
        <v>15570</v>
      </c>
      <c r="L1142" s="18">
        <v>16.649999999999999</v>
      </c>
      <c r="M1142" s="22">
        <v>17250</v>
      </c>
      <c r="N1142" s="22">
        <v>-1680</v>
      </c>
      <c r="O1142" s="18">
        <v>-1.8</v>
      </c>
      <c r="P1142" s="52">
        <f>IF(COUNTIF(TblPurchases[BatchID],TblOutcomes[[#This Row],[BatchID]])&lt;&gt;1,"n.a.",TblOutcomes[[#This Row],[Qty Wasted]]*SUMIFS(TblPurchases[Unit Cost (CLP)],TblPurchases[BatchID],TblOutcomes[[#This Row],[BatchID]]))</f>
        <v>5313</v>
      </c>
      <c r="Q1142" s="51">
        <f>IF(COUNTIF(TblPurchases[BatchID],TblOutcomes[[#This Row],[BatchID]])&lt;&gt;1,"n.a.",SUMIFS(TblPurchases[Purchase Date],TblPurchases[BatchID],TblOutcomes[[#This Row],[BatchID]]))</f>
        <v>45535</v>
      </c>
    </row>
    <row r="1143" spans="2:17" x14ac:dyDescent="0.25">
      <c r="B1143" s="2" t="s">
        <v>1947</v>
      </c>
      <c r="C1143" s="2" t="s">
        <v>158</v>
      </c>
      <c r="D1143" s="2" t="s">
        <v>155</v>
      </c>
      <c r="E1143" s="2" t="s">
        <v>4646</v>
      </c>
      <c r="F1143" s="2">
        <v>22</v>
      </c>
      <c r="G1143" s="2">
        <v>16.57</v>
      </c>
      <c r="H1143" s="2">
        <v>5.43</v>
      </c>
      <c r="I1143" s="1">
        <v>24.7</v>
      </c>
      <c r="J1143" s="26">
        <v>45563</v>
      </c>
      <c r="K1143" s="22">
        <v>24855</v>
      </c>
      <c r="L1143" s="18">
        <v>26.58</v>
      </c>
      <c r="M1143" s="22">
        <v>25300</v>
      </c>
      <c r="N1143" s="22">
        <v>-445</v>
      </c>
      <c r="O1143" s="18">
        <v>-0.48</v>
      </c>
      <c r="P1143" s="52">
        <f>IF(COUNTIF(TblPurchases[BatchID],TblOutcomes[[#This Row],[BatchID]])&lt;&gt;1,"n.a.",TblOutcomes[[#This Row],[Qty Wasted]]*SUMIFS(TblPurchases[Unit Cost (CLP)],TblPurchases[BatchID],TblOutcomes[[#This Row],[BatchID]]))</f>
        <v>6244.5</v>
      </c>
      <c r="Q1143" s="51">
        <f>IF(COUNTIF(TblPurchases[BatchID],TblOutcomes[[#This Row],[BatchID]])&lt;&gt;1,"n.a.",SUMIFS(TblPurchases[Purchase Date],TblPurchases[BatchID],TblOutcomes[[#This Row],[BatchID]]))</f>
        <v>45543</v>
      </c>
    </row>
    <row r="1144" spans="2:17" x14ac:dyDescent="0.25">
      <c r="B1144" s="2" t="s">
        <v>1948</v>
      </c>
      <c r="C1144" s="2" t="s">
        <v>158</v>
      </c>
      <c r="D1144" s="2" t="s">
        <v>155</v>
      </c>
      <c r="E1144" s="2" t="s">
        <v>4646</v>
      </c>
      <c r="F1144" s="2">
        <v>24</v>
      </c>
      <c r="G1144" s="2">
        <v>19.510000000000002</v>
      </c>
      <c r="H1144" s="2">
        <v>4.49</v>
      </c>
      <c r="I1144" s="1">
        <v>18.7</v>
      </c>
      <c r="J1144" s="26">
        <v>45568</v>
      </c>
      <c r="K1144" s="22">
        <v>29265</v>
      </c>
      <c r="L1144" s="18">
        <v>31.3</v>
      </c>
      <c r="M1144" s="22">
        <v>27600</v>
      </c>
      <c r="N1144" s="22">
        <v>1665</v>
      </c>
      <c r="O1144" s="18">
        <v>1.78</v>
      </c>
      <c r="P1144" s="52">
        <f>IF(COUNTIF(TblPurchases[BatchID],TblOutcomes[[#This Row],[BatchID]])&lt;&gt;1,"n.a.",TblOutcomes[[#This Row],[Qty Wasted]]*SUMIFS(TblPurchases[Unit Cost (CLP)],TblPurchases[BatchID],TblOutcomes[[#This Row],[BatchID]]))</f>
        <v>5163.5</v>
      </c>
      <c r="Q1144" s="51">
        <f>IF(COUNTIF(TblPurchases[BatchID],TblOutcomes[[#This Row],[BatchID]])&lt;&gt;1,"n.a.",SUMIFS(TblPurchases[Purchase Date],TblPurchases[BatchID],TblOutcomes[[#This Row],[BatchID]]))</f>
        <v>45548</v>
      </c>
    </row>
    <row r="1145" spans="2:17" x14ac:dyDescent="0.25">
      <c r="B1145" s="2" t="s">
        <v>1949</v>
      </c>
      <c r="C1145" s="2" t="s">
        <v>158</v>
      </c>
      <c r="D1145" s="2" t="s">
        <v>155</v>
      </c>
      <c r="E1145" s="2" t="s">
        <v>4646</v>
      </c>
      <c r="F1145" s="2">
        <v>24</v>
      </c>
      <c r="G1145" s="2">
        <v>16.63</v>
      </c>
      <c r="H1145" s="2">
        <v>7.37</v>
      </c>
      <c r="I1145" s="1">
        <v>30.7</v>
      </c>
      <c r="J1145" s="26">
        <v>45575</v>
      </c>
      <c r="K1145" s="22">
        <v>24945</v>
      </c>
      <c r="L1145" s="18">
        <v>26.68</v>
      </c>
      <c r="M1145" s="22">
        <v>27600</v>
      </c>
      <c r="N1145" s="22">
        <v>-2655</v>
      </c>
      <c r="O1145" s="18">
        <v>-2.84</v>
      </c>
      <c r="P1145" s="52">
        <f>IF(COUNTIF(TblPurchases[BatchID],TblOutcomes[[#This Row],[BatchID]])&lt;&gt;1,"n.a.",TblOutcomes[[#This Row],[Qty Wasted]]*SUMIFS(TblPurchases[Unit Cost (CLP)],TblPurchases[BatchID],TblOutcomes[[#This Row],[BatchID]]))</f>
        <v>8475.5</v>
      </c>
      <c r="Q1145" s="51">
        <f>IF(COUNTIF(TblPurchases[BatchID],TblOutcomes[[#This Row],[BatchID]])&lt;&gt;1,"n.a.",SUMIFS(TblPurchases[Purchase Date],TblPurchases[BatchID],TblOutcomes[[#This Row],[BatchID]]))</f>
        <v>45555</v>
      </c>
    </row>
    <row r="1146" spans="2:17" x14ac:dyDescent="0.25">
      <c r="B1146" s="2" t="s">
        <v>1950</v>
      </c>
      <c r="C1146" s="2" t="s">
        <v>158</v>
      </c>
      <c r="D1146" s="2" t="s">
        <v>155</v>
      </c>
      <c r="E1146" s="2" t="s">
        <v>4646</v>
      </c>
      <c r="F1146" s="2">
        <v>22</v>
      </c>
      <c r="G1146" s="2">
        <v>16.87</v>
      </c>
      <c r="H1146" s="2">
        <v>5.13</v>
      </c>
      <c r="I1146" s="1">
        <v>23.3</v>
      </c>
      <c r="J1146" s="26">
        <v>45581</v>
      </c>
      <c r="K1146" s="22">
        <v>25305</v>
      </c>
      <c r="L1146" s="18">
        <v>27.06</v>
      </c>
      <c r="M1146" s="22">
        <v>25300</v>
      </c>
      <c r="N1146" s="22">
        <v>5</v>
      </c>
      <c r="O1146" s="18">
        <v>0.01</v>
      </c>
      <c r="P1146" s="52">
        <f>IF(COUNTIF(TblPurchases[BatchID],TblOutcomes[[#This Row],[BatchID]])&lt;&gt;1,"n.a.",TblOutcomes[[#This Row],[Qty Wasted]]*SUMIFS(TblPurchases[Unit Cost (CLP)],TblPurchases[BatchID],TblOutcomes[[#This Row],[BatchID]]))</f>
        <v>5899.5</v>
      </c>
      <c r="Q1146" s="51">
        <f>IF(COUNTIF(TblPurchases[BatchID],TblOutcomes[[#This Row],[BatchID]])&lt;&gt;1,"n.a.",SUMIFS(TblPurchases[Purchase Date],TblPurchases[BatchID],TblOutcomes[[#This Row],[BatchID]]))</f>
        <v>45561</v>
      </c>
    </row>
    <row r="1147" spans="2:17" x14ac:dyDescent="0.25">
      <c r="B1147" s="2" t="s">
        <v>1951</v>
      </c>
      <c r="C1147" s="2" t="s">
        <v>158</v>
      </c>
      <c r="D1147" s="2" t="s">
        <v>155</v>
      </c>
      <c r="E1147" s="2" t="s">
        <v>4646</v>
      </c>
      <c r="F1147" s="2">
        <v>46</v>
      </c>
      <c r="G1147" s="2">
        <v>40.85</v>
      </c>
      <c r="H1147" s="2">
        <v>5.15</v>
      </c>
      <c r="I1147" s="1">
        <v>11.2</v>
      </c>
      <c r="J1147" s="26">
        <v>45588</v>
      </c>
      <c r="K1147" s="22">
        <v>61275</v>
      </c>
      <c r="L1147" s="18">
        <v>65.53</v>
      </c>
      <c r="M1147" s="22">
        <v>52900</v>
      </c>
      <c r="N1147" s="22">
        <v>8375</v>
      </c>
      <c r="O1147" s="18">
        <v>8.9600000000000009</v>
      </c>
      <c r="P1147" s="52">
        <f>IF(COUNTIF(TblPurchases[BatchID],TblOutcomes[[#This Row],[BatchID]])&lt;&gt;1,"n.a.",TblOutcomes[[#This Row],[Qty Wasted]]*SUMIFS(TblPurchases[Unit Cost (CLP)],TblPurchases[BatchID],TblOutcomes[[#This Row],[BatchID]]))</f>
        <v>5922.5</v>
      </c>
      <c r="Q1147" s="51">
        <f>IF(COUNTIF(TblPurchases[BatchID],TblOutcomes[[#This Row],[BatchID]])&lt;&gt;1,"n.a.",SUMIFS(TblPurchases[Purchase Date],TblPurchases[BatchID],TblOutcomes[[#This Row],[BatchID]]))</f>
        <v>45568</v>
      </c>
    </row>
    <row r="1148" spans="2:17" x14ac:dyDescent="0.25">
      <c r="B1148" s="2" t="s">
        <v>1952</v>
      </c>
      <c r="C1148" s="2" t="s">
        <v>158</v>
      </c>
      <c r="D1148" s="2" t="s">
        <v>155</v>
      </c>
      <c r="E1148" s="2" t="s">
        <v>4646</v>
      </c>
      <c r="F1148" s="2">
        <v>50</v>
      </c>
      <c r="G1148" s="2">
        <v>48.45</v>
      </c>
      <c r="H1148" s="2">
        <v>1.55</v>
      </c>
      <c r="I1148" s="1">
        <v>3.1</v>
      </c>
      <c r="J1148" s="26">
        <v>45595</v>
      </c>
      <c r="K1148" s="22">
        <v>72675</v>
      </c>
      <c r="L1148" s="18">
        <v>77.73</v>
      </c>
      <c r="M1148" s="22">
        <v>57500</v>
      </c>
      <c r="N1148" s="22">
        <v>15175</v>
      </c>
      <c r="O1148" s="18">
        <v>16.23</v>
      </c>
      <c r="P1148" s="52">
        <f>IF(COUNTIF(TblPurchases[BatchID],TblOutcomes[[#This Row],[BatchID]])&lt;&gt;1,"n.a.",TblOutcomes[[#This Row],[Qty Wasted]]*SUMIFS(TblPurchases[Unit Cost (CLP)],TblPurchases[BatchID],TblOutcomes[[#This Row],[BatchID]]))</f>
        <v>1782.5</v>
      </c>
      <c r="Q1148" s="51">
        <f>IF(COUNTIF(TblPurchases[BatchID],TblOutcomes[[#This Row],[BatchID]])&lt;&gt;1,"n.a.",SUMIFS(TblPurchases[Purchase Date],TblPurchases[BatchID],TblOutcomes[[#This Row],[BatchID]]))</f>
        <v>45575</v>
      </c>
    </row>
    <row r="1149" spans="2:17" x14ac:dyDescent="0.25">
      <c r="B1149" s="2" t="s">
        <v>1953</v>
      </c>
      <c r="C1149" s="2" t="s">
        <v>158</v>
      </c>
      <c r="D1149" s="2" t="s">
        <v>155</v>
      </c>
      <c r="E1149" s="2" t="s">
        <v>4647</v>
      </c>
      <c r="F1149" s="2">
        <v>48</v>
      </c>
      <c r="G1149" s="2">
        <v>48</v>
      </c>
      <c r="H1149" s="2">
        <v>0</v>
      </c>
      <c r="I1149" s="1">
        <v>0</v>
      </c>
      <c r="J1149" s="26">
        <v>45591</v>
      </c>
      <c r="K1149" s="22">
        <v>72000</v>
      </c>
      <c r="L1149" s="18">
        <v>77.010000000000005</v>
      </c>
      <c r="M1149" s="22">
        <v>52800</v>
      </c>
      <c r="N1149" s="22">
        <v>19200</v>
      </c>
      <c r="O1149" s="18">
        <v>20.53</v>
      </c>
      <c r="P1149" s="52">
        <f>IF(COUNTIF(TblPurchases[BatchID],TblOutcomes[[#This Row],[BatchID]])&lt;&gt;1,"n.a.",TblOutcomes[[#This Row],[Qty Wasted]]*SUMIFS(TblPurchases[Unit Cost (CLP)],TblPurchases[BatchID],TblOutcomes[[#This Row],[BatchID]]))</f>
        <v>0</v>
      </c>
      <c r="Q1149" s="51">
        <f>IF(COUNTIF(TblPurchases[BatchID],TblOutcomes[[#This Row],[BatchID]])&lt;&gt;1,"n.a.",SUMIFS(TblPurchases[Purchase Date],TblPurchases[BatchID],TblOutcomes[[#This Row],[BatchID]]))</f>
        <v>45582</v>
      </c>
    </row>
    <row r="1150" spans="2:17" x14ac:dyDescent="0.25">
      <c r="B1150" s="2" t="s">
        <v>1954</v>
      </c>
      <c r="C1150" s="2" t="s">
        <v>158</v>
      </c>
      <c r="D1150" s="2" t="s">
        <v>155</v>
      </c>
      <c r="E1150" s="2" t="s">
        <v>4646</v>
      </c>
      <c r="F1150" s="2">
        <v>48</v>
      </c>
      <c r="G1150" s="2">
        <v>42.1</v>
      </c>
      <c r="H1150" s="2">
        <v>5.9</v>
      </c>
      <c r="I1150" s="1">
        <v>12.3</v>
      </c>
      <c r="J1150" s="26">
        <v>45609</v>
      </c>
      <c r="K1150" s="22">
        <v>63150</v>
      </c>
      <c r="L1150" s="18">
        <v>67.540000000000006</v>
      </c>
      <c r="M1150" s="22">
        <v>55200</v>
      </c>
      <c r="N1150" s="22">
        <v>7950</v>
      </c>
      <c r="O1150" s="18">
        <v>8.5</v>
      </c>
      <c r="P1150" s="52">
        <f>IF(COUNTIF(TblPurchases[BatchID],TblOutcomes[[#This Row],[BatchID]])&lt;&gt;1,"n.a.",TblOutcomes[[#This Row],[Qty Wasted]]*SUMIFS(TblPurchases[Unit Cost (CLP)],TblPurchases[BatchID],TblOutcomes[[#This Row],[BatchID]]))</f>
        <v>6785</v>
      </c>
      <c r="Q1150" s="51">
        <f>IF(COUNTIF(TblPurchases[BatchID],TblOutcomes[[#This Row],[BatchID]])&lt;&gt;1,"n.a.",SUMIFS(TblPurchases[Purchase Date],TblPurchases[BatchID],TblOutcomes[[#This Row],[BatchID]]))</f>
        <v>45589</v>
      </c>
    </row>
    <row r="1151" spans="2:17" x14ac:dyDescent="0.25">
      <c r="B1151" s="2" t="s">
        <v>1955</v>
      </c>
      <c r="C1151" s="2" t="s">
        <v>158</v>
      </c>
      <c r="D1151" s="2" t="s">
        <v>155</v>
      </c>
      <c r="E1151" s="2" t="s">
        <v>4647</v>
      </c>
      <c r="F1151" s="2">
        <v>52</v>
      </c>
      <c r="G1151" s="2">
        <v>52</v>
      </c>
      <c r="H1151" s="2">
        <v>0</v>
      </c>
      <c r="I1151" s="1">
        <v>0</v>
      </c>
      <c r="J1151" s="26">
        <v>45600</v>
      </c>
      <c r="K1151" s="22">
        <v>78000</v>
      </c>
      <c r="L1151" s="18">
        <v>83.42</v>
      </c>
      <c r="M1151" s="22">
        <v>57200</v>
      </c>
      <c r="N1151" s="22">
        <v>20800</v>
      </c>
      <c r="O1151" s="18">
        <v>22.25</v>
      </c>
      <c r="P1151" s="52">
        <f>IF(COUNTIF(TblPurchases[BatchID],TblOutcomes[[#This Row],[BatchID]])&lt;&gt;1,"n.a.",TblOutcomes[[#This Row],[Qty Wasted]]*SUMIFS(TblPurchases[Unit Cost (CLP)],TblPurchases[BatchID],TblOutcomes[[#This Row],[BatchID]]))</f>
        <v>0</v>
      </c>
      <c r="Q1151" s="51">
        <f>IF(COUNTIF(TblPurchases[BatchID],TblOutcomes[[#This Row],[BatchID]])&lt;&gt;1,"n.a.",SUMIFS(TblPurchases[Purchase Date],TblPurchases[BatchID],TblOutcomes[[#This Row],[BatchID]]))</f>
        <v>45596</v>
      </c>
    </row>
    <row r="1152" spans="2:17" x14ac:dyDescent="0.25">
      <c r="B1152" s="2" t="s">
        <v>1956</v>
      </c>
      <c r="C1152" s="2" t="s">
        <v>158</v>
      </c>
      <c r="D1152" s="2" t="s">
        <v>155</v>
      </c>
      <c r="E1152" s="2" t="s">
        <v>4646</v>
      </c>
      <c r="F1152" s="2">
        <v>54</v>
      </c>
      <c r="G1152" s="2">
        <v>38.770000000000003</v>
      </c>
      <c r="H1152" s="2">
        <v>15.23</v>
      </c>
      <c r="I1152" s="1">
        <v>28.2</v>
      </c>
      <c r="J1152" s="26">
        <v>45623</v>
      </c>
      <c r="K1152" s="22">
        <v>58155</v>
      </c>
      <c r="L1152" s="18">
        <v>62.2</v>
      </c>
      <c r="M1152" s="22">
        <v>62100</v>
      </c>
      <c r="N1152" s="22">
        <v>-3945</v>
      </c>
      <c r="O1152" s="18">
        <v>-4.22</v>
      </c>
      <c r="P1152" s="52">
        <f>IF(COUNTIF(TblPurchases[BatchID],TblOutcomes[[#This Row],[BatchID]])&lt;&gt;1,"n.a.",TblOutcomes[[#This Row],[Qty Wasted]]*SUMIFS(TblPurchases[Unit Cost (CLP)],TblPurchases[BatchID],TblOutcomes[[#This Row],[BatchID]]))</f>
        <v>17514.5</v>
      </c>
      <c r="Q1152" s="51">
        <f>IF(COUNTIF(TblPurchases[BatchID],TblOutcomes[[#This Row],[BatchID]])&lt;&gt;1,"n.a.",SUMIFS(TblPurchases[Purchase Date],TblPurchases[BatchID],TblOutcomes[[#This Row],[BatchID]]))</f>
        <v>45603</v>
      </c>
    </row>
    <row r="1153" spans="2:17" x14ac:dyDescent="0.25">
      <c r="B1153" s="2" t="s">
        <v>1957</v>
      </c>
      <c r="C1153" s="2" t="s">
        <v>158</v>
      </c>
      <c r="D1153" s="2" t="s">
        <v>155</v>
      </c>
      <c r="E1153" s="2" t="s">
        <v>4647</v>
      </c>
      <c r="F1153" s="2">
        <v>53</v>
      </c>
      <c r="G1153" s="2">
        <v>53</v>
      </c>
      <c r="H1153" s="2">
        <v>0</v>
      </c>
      <c r="I1153" s="1">
        <v>0</v>
      </c>
      <c r="J1153" s="26">
        <v>45616</v>
      </c>
      <c r="K1153" s="22">
        <v>79500</v>
      </c>
      <c r="L1153" s="18">
        <v>85.03</v>
      </c>
      <c r="M1153" s="22">
        <v>58300</v>
      </c>
      <c r="N1153" s="22">
        <v>21200</v>
      </c>
      <c r="O1153" s="18">
        <v>22.67</v>
      </c>
      <c r="P1153" s="52">
        <f>IF(COUNTIF(TblPurchases[BatchID],TblOutcomes[[#This Row],[BatchID]])&lt;&gt;1,"n.a.",TblOutcomes[[#This Row],[Qty Wasted]]*SUMIFS(TblPurchases[Unit Cost (CLP)],TblPurchases[BatchID],TblOutcomes[[#This Row],[BatchID]]))</f>
        <v>0</v>
      </c>
      <c r="Q1153" s="51">
        <f>IF(COUNTIF(TblPurchases[BatchID],TblOutcomes[[#This Row],[BatchID]])&lt;&gt;1,"n.a.",SUMIFS(TblPurchases[Purchase Date],TblPurchases[BatchID],TblOutcomes[[#This Row],[BatchID]]))</f>
        <v>45611</v>
      </c>
    </row>
    <row r="1154" spans="2:17" x14ac:dyDescent="0.25">
      <c r="B1154" s="2" t="s">
        <v>1958</v>
      </c>
      <c r="C1154" s="2" t="s">
        <v>158</v>
      </c>
      <c r="D1154" s="2" t="s">
        <v>155</v>
      </c>
      <c r="E1154" s="2" t="s">
        <v>4646</v>
      </c>
      <c r="F1154" s="2">
        <v>53</v>
      </c>
      <c r="G1154" s="2">
        <v>46.32</v>
      </c>
      <c r="H1154" s="2">
        <v>6.68</v>
      </c>
      <c r="I1154" s="1">
        <v>12.6</v>
      </c>
      <c r="J1154" s="26">
        <v>45636</v>
      </c>
      <c r="K1154" s="22">
        <v>69480</v>
      </c>
      <c r="L1154" s="18">
        <v>74.31</v>
      </c>
      <c r="M1154" s="22">
        <v>60950</v>
      </c>
      <c r="N1154" s="22">
        <v>8530</v>
      </c>
      <c r="O1154" s="18">
        <v>9.1199999999999992</v>
      </c>
      <c r="P1154" s="52">
        <f>IF(COUNTIF(TblPurchases[BatchID],TblOutcomes[[#This Row],[BatchID]])&lt;&gt;1,"n.a.",TblOutcomes[[#This Row],[Qty Wasted]]*SUMIFS(TblPurchases[Unit Cost (CLP)],TblPurchases[BatchID],TblOutcomes[[#This Row],[BatchID]]))</f>
        <v>7682</v>
      </c>
      <c r="Q1154" s="51">
        <f>IF(COUNTIF(TblPurchases[BatchID],TblOutcomes[[#This Row],[BatchID]])&lt;&gt;1,"n.a.",SUMIFS(TblPurchases[Purchase Date],TblPurchases[BatchID],TblOutcomes[[#This Row],[BatchID]]))</f>
        <v>45616</v>
      </c>
    </row>
    <row r="1155" spans="2:17" x14ac:dyDescent="0.25">
      <c r="B1155" s="2" t="s">
        <v>1959</v>
      </c>
      <c r="C1155" s="2" t="s">
        <v>158</v>
      </c>
      <c r="D1155" s="2" t="s">
        <v>155</v>
      </c>
      <c r="E1155" s="2" t="s">
        <v>4646</v>
      </c>
      <c r="F1155" s="2">
        <v>49</v>
      </c>
      <c r="G1155" s="2">
        <v>43.17</v>
      </c>
      <c r="H1155" s="2">
        <v>5.83</v>
      </c>
      <c r="I1155" s="1">
        <v>11.9</v>
      </c>
      <c r="J1155" s="26">
        <v>45642</v>
      </c>
      <c r="K1155" s="22">
        <v>64755</v>
      </c>
      <c r="L1155" s="18">
        <v>69.260000000000005</v>
      </c>
      <c r="M1155" s="22">
        <v>56350</v>
      </c>
      <c r="N1155" s="22">
        <v>8405</v>
      </c>
      <c r="O1155" s="18">
        <v>8.99</v>
      </c>
      <c r="P1155" s="52">
        <f>IF(COUNTIF(TblPurchases[BatchID],TblOutcomes[[#This Row],[BatchID]])&lt;&gt;1,"n.a.",TblOutcomes[[#This Row],[Qty Wasted]]*SUMIFS(TblPurchases[Unit Cost (CLP)],TblPurchases[BatchID],TblOutcomes[[#This Row],[BatchID]]))</f>
        <v>6704.5</v>
      </c>
      <c r="Q1155" s="51">
        <f>IF(COUNTIF(TblPurchases[BatchID],TblOutcomes[[#This Row],[BatchID]])&lt;&gt;1,"n.a.",SUMIFS(TblPurchases[Purchase Date],TblPurchases[BatchID],TblOutcomes[[#This Row],[BatchID]]))</f>
        <v>45622</v>
      </c>
    </row>
    <row r="1156" spans="2:17" x14ac:dyDescent="0.25">
      <c r="B1156" s="2" t="s">
        <v>1960</v>
      </c>
      <c r="C1156" s="2" t="s">
        <v>158</v>
      </c>
      <c r="D1156" s="2" t="s">
        <v>155</v>
      </c>
      <c r="E1156" s="2" t="s">
        <v>4647</v>
      </c>
      <c r="F1156" s="2">
        <v>64</v>
      </c>
      <c r="G1156" s="2">
        <v>64</v>
      </c>
      <c r="H1156" s="2">
        <v>0</v>
      </c>
      <c r="I1156" s="1">
        <v>0</v>
      </c>
      <c r="J1156" s="26">
        <v>45631</v>
      </c>
      <c r="K1156" s="22">
        <v>96000</v>
      </c>
      <c r="L1156" s="18">
        <v>102.67</v>
      </c>
      <c r="M1156" s="22">
        <v>70400</v>
      </c>
      <c r="N1156" s="22">
        <v>25600</v>
      </c>
      <c r="O1156" s="18">
        <v>27.38</v>
      </c>
      <c r="P1156" s="52">
        <f>IF(COUNTIF(TblPurchases[BatchID],TblOutcomes[[#This Row],[BatchID]])&lt;&gt;1,"n.a.",TblOutcomes[[#This Row],[Qty Wasted]]*SUMIFS(TblPurchases[Unit Cost (CLP)],TblPurchases[BatchID],TblOutcomes[[#This Row],[BatchID]]))</f>
        <v>0</v>
      </c>
      <c r="Q1156" s="51">
        <f>IF(COUNTIF(TblPurchases[BatchID],TblOutcomes[[#This Row],[BatchID]])&lt;&gt;1,"n.a.",SUMIFS(TblPurchases[Purchase Date],TblPurchases[BatchID],TblOutcomes[[#This Row],[BatchID]]))</f>
        <v>45628</v>
      </c>
    </row>
    <row r="1157" spans="2:17" x14ac:dyDescent="0.25">
      <c r="B1157" s="2" t="s">
        <v>1961</v>
      </c>
      <c r="C1157" s="2" t="s">
        <v>158</v>
      </c>
      <c r="D1157" s="2" t="s">
        <v>155</v>
      </c>
      <c r="E1157" s="2" t="s">
        <v>4647</v>
      </c>
      <c r="F1157" s="2">
        <v>68</v>
      </c>
      <c r="G1157" s="2">
        <v>68</v>
      </c>
      <c r="H1157" s="2">
        <v>0</v>
      </c>
      <c r="I1157" s="1">
        <v>0</v>
      </c>
      <c r="J1157" s="26">
        <v>45642</v>
      </c>
      <c r="K1157" s="22">
        <v>102000</v>
      </c>
      <c r="L1157" s="18">
        <v>109.09</v>
      </c>
      <c r="M1157" s="22">
        <v>78200</v>
      </c>
      <c r="N1157" s="22">
        <v>23800</v>
      </c>
      <c r="O1157" s="18">
        <v>25.45</v>
      </c>
      <c r="P1157" s="52">
        <f>IF(COUNTIF(TblPurchases[BatchID],TblOutcomes[[#This Row],[BatchID]])&lt;&gt;1,"n.a.",TblOutcomes[[#This Row],[Qty Wasted]]*SUMIFS(TblPurchases[Unit Cost (CLP)],TblPurchases[BatchID],TblOutcomes[[#This Row],[BatchID]]))</f>
        <v>0</v>
      </c>
      <c r="Q1157" s="51">
        <f>IF(COUNTIF(TblPurchases[BatchID],TblOutcomes[[#This Row],[BatchID]])&lt;&gt;1,"n.a.",SUMIFS(TblPurchases[Purchase Date],TblPurchases[BatchID],TblOutcomes[[#This Row],[BatchID]]))</f>
        <v>45636</v>
      </c>
    </row>
    <row r="1158" spans="2:17" x14ac:dyDescent="0.25">
      <c r="B1158" s="2" t="s">
        <v>1962</v>
      </c>
      <c r="C1158" s="2" t="s">
        <v>158</v>
      </c>
      <c r="D1158" s="2" t="s">
        <v>155</v>
      </c>
      <c r="E1158" s="2" t="s">
        <v>4647</v>
      </c>
      <c r="F1158" s="2">
        <v>61</v>
      </c>
      <c r="G1158" s="2">
        <v>61</v>
      </c>
      <c r="H1158" s="2">
        <v>0</v>
      </c>
      <c r="I1158" s="1">
        <v>0</v>
      </c>
      <c r="J1158" s="26">
        <v>45650</v>
      </c>
      <c r="K1158" s="22">
        <v>91500</v>
      </c>
      <c r="L1158" s="18">
        <v>97.86</v>
      </c>
      <c r="M1158" s="22">
        <v>70150</v>
      </c>
      <c r="N1158" s="22">
        <v>21350</v>
      </c>
      <c r="O1158" s="18">
        <v>22.83</v>
      </c>
      <c r="P1158" s="52">
        <f>IF(COUNTIF(TblPurchases[BatchID],TblOutcomes[[#This Row],[BatchID]])&lt;&gt;1,"n.a.",TblOutcomes[[#This Row],[Qty Wasted]]*SUMIFS(TblPurchases[Unit Cost (CLP)],TblPurchases[BatchID],TblOutcomes[[#This Row],[BatchID]]))</f>
        <v>0</v>
      </c>
      <c r="Q1158" s="51">
        <f>IF(COUNTIF(TblPurchases[BatchID],TblOutcomes[[#This Row],[BatchID]])&lt;&gt;1,"n.a.",SUMIFS(TblPurchases[Purchase Date],TblPurchases[BatchID],TblOutcomes[[#This Row],[BatchID]]))</f>
        <v>45642</v>
      </c>
    </row>
    <row r="1159" spans="2:17" x14ac:dyDescent="0.25">
      <c r="B1159" s="2" t="s">
        <v>1963</v>
      </c>
      <c r="C1159" s="2" t="s">
        <v>158</v>
      </c>
      <c r="D1159" s="2" t="s">
        <v>155</v>
      </c>
      <c r="E1159" s="2" t="s">
        <v>4647</v>
      </c>
      <c r="F1159" s="2">
        <v>59</v>
      </c>
      <c r="G1159" s="2">
        <v>59</v>
      </c>
      <c r="H1159" s="2">
        <v>0</v>
      </c>
      <c r="I1159" s="1">
        <v>0</v>
      </c>
      <c r="J1159" s="26">
        <v>45653</v>
      </c>
      <c r="K1159" s="22">
        <v>88500</v>
      </c>
      <c r="L1159" s="18">
        <v>94.65</v>
      </c>
      <c r="M1159" s="22">
        <v>67850</v>
      </c>
      <c r="N1159" s="22">
        <v>20650</v>
      </c>
      <c r="O1159" s="18">
        <v>22.09</v>
      </c>
      <c r="P1159" s="52">
        <f>IF(COUNTIF(TblPurchases[BatchID],TblOutcomes[[#This Row],[BatchID]])&lt;&gt;1,"n.a.",TblOutcomes[[#This Row],[Qty Wasted]]*SUMIFS(TblPurchases[Unit Cost (CLP)],TblPurchases[BatchID],TblOutcomes[[#This Row],[BatchID]]))</f>
        <v>0</v>
      </c>
      <c r="Q1159" s="51">
        <f>IF(COUNTIF(TblPurchases[BatchID],TblOutcomes[[#This Row],[BatchID]])&lt;&gt;1,"n.a.",SUMIFS(TblPurchases[Purchase Date],TblPurchases[BatchID],TblOutcomes[[#This Row],[BatchID]]))</f>
        <v>45649</v>
      </c>
    </row>
    <row r="1160" spans="2:17" x14ac:dyDescent="0.25">
      <c r="B1160" s="2" t="s">
        <v>1964</v>
      </c>
      <c r="C1160" s="2" t="s">
        <v>158</v>
      </c>
      <c r="D1160" s="2" t="s">
        <v>155</v>
      </c>
      <c r="E1160" s="2" t="s">
        <v>4647</v>
      </c>
      <c r="F1160" s="2">
        <v>67</v>
      </c>
      <c r="G1160" s="2">
        <v>67</v>
      </c>
      <c r="H1160" s="2">
        <v>0</v>
      </c>
      <c r="I1160" s="1">
        <v>0</v>
      </c>
      <c r="J1160" s="26">
        <v>45663</v>
      </c>
      <c r="K1160" s="22">
        <v>100500</v>
      </c>
      <c r="L1160" s="18">
        <v>107.49</v>
      </c>
      <c r="M1160" s="22">
        <v>77050</v>
      </c>
      <c r="N1160" s="22">
        <v>23450</v>
      </c>
      <c r="O1160" s="18">
        <v>25.08</v>
      </c>
      <c r="P1160" s="52">
        <f>IF(COUNTIF(TblPurchases[BatchID],TblOutcomes[[#This Row],[BatchID]])&lt;&gt;1,"n.a.",TblOutcomes[[#This Row],[Qty Wasted]]*SUMIFS(TblPurchases[Unit Cost (CLP)],TblPurchases[BatchID],TblOutcomes[[#This Row],[BatchID]]))</f>
        <v>0</v>
      </c>
      <c r="Q1160" s="51">
        <f>IF(COUNTIF(TblPurchases[BatchID],TblOutcomes[[#This Row],[BatchID]])&lt;&gt;1,"n.a.",SUMIFS(TblPurchases[Purchase Date],TblPurchases[BatchID],TblOutcomes[[#This Row],[BatchID]]))</f>
        <v>45656</v>
      </c>
    </row>
    <row r="1161" spans="2:17" x14ac:dyDescent="0.25">
      <c r="B1161" s="2" t="s">
        <v>1965</v>
      </c>
      <c r="C1161" s="2" t="s">
        <v>158</v>
      </c>
      <c r="D1161" s="2" t="s">
        <v>155</v>
      </c>
      <c r="E1161" s="2" t="s">
        <v>4647</v>
      </c>
      <c r="F1161" s="2">
        <v>54</v>
      </c>
      <c r="G1161" s="2">
        <v>54</v>
      </c>
      <c r="H1161" s="2">
        <v>0</v>
      </c>
      <c r="I1161" s="1">
        <v>0</v>
      </c>
      <c r="J1161" s="26">
        <v>45664</v>
      </c>
      <c r="K1161" s="22">
        <v>81000</v>
      </c>
      <c r="L1161" s="18">
        <v>86.63</v>
      </c>
      <c r="M1161" s="22">
        <v>62100</v>
      </c>
      <c r="N1161" s="22">
        <v>18900</v>
      </c>
      <c r="O1161" s="18">
        <v>20.21</v>
      </c>
      <c r="P1161" s="52">
        <f>IF(COUNTIF(TblPurchases[BatchID],TblOutcomes[[#This Row],[BatchID]])&lt;&gt;1,"n.a.",TblOutcomes[[#This Row],[Qty Wasted]]*SUMIFS(TblPurchases[Unit Cost (CLP)],TblPurchases[BatchID],TblOutcomes[[#This Row],[BatchID]]))</f>
        <v>0</v>
      </c>
      <c r="Q1161" s="51">
        <f>IF(COUNTIF(TblPurchases[BatchID],TblOutcomes[[#This Row],[BatchID]])&lt;&gt;1,"n.a.",SUMIFS(TblPurchases[Purchase Date],TblPurchases[BatchID],TblOutcomes[[#This Row],[BatchID]]))</f>
        <v>45661</v>
      </c>
    </row>
    <row r="1162" spans="2:17" x14ac:dyDescent="0.25">
      <c r="B1162" s="2" t="s">
        <v>1966</v>
      </c>
      <c r="C1162" s="2" t="s">
        <v>158</v>
      </c>
      <c r="D1162" s="2" t="s">
        <v>155</v>
      </c>
      <c r="E1162" s="2" t="s">
        <v>4647</v>
      </c>
      <c r="F1162" s="2">
        <v>53</v>
      </c>
      <c r="G1162" s="2">
        <v>53</v>
      </c>
      <c r="H1162" s="2">
        <v>0</v>
      </c>
      <c r="I1162" s="1">
        <v>0</v>
      </c>
      <c r="J1162" s="26">
        <v>45675</v>
      </c>
      <c r="K1162" s="22">
        <v>79500</v>
      </c>
      <c r="L1162" s="18">
        <v>85.03</v>
      </c>
      <c r="M1162" s="22">
        <v>58300</v>
      </c>
      <c r="N1162" s="22">
        <v>21200</v>
      </c>
      <c r="O1162" s="18">
        <v>22.67</v>
      </c>
      <c r="P1162" s="52">
        <f>IF(COUNTIF(TblPurchases[BatchID],TblOutcomes[[#This Row],[BatchID]])&lt;&gt;1,"n.a.",TblOutcomes[[#This Row],[Qty Wasted]]*SUMIFS(TblPurchases[Unit Cost (CLP)],TblPurchases[BatchID],TblOutcomes[[#This Row],[BatchID]]))</f>
        <v>0</v>
      </c>
      <c r="Q1162" s="51">
        <f>IF(COUNTIF(TblPurchases[BatchID],TblOutcomes[[#This Row],[BatchID]])&lt;&gt;1,"n.a.",SUMIFS(TblPurchases[Purchase Date],TblPurchases[BatchID],TblOutcomes[[#This Row],[BatchID]]))</f>
        <v>45669</v>
      </c>
    </row>
    <row r="1163" spans="2:17" x14ac:dyDescent="0.25">
      <c r="B1163" s="2" t="s">
        <v>1967</v>
      </c>
      <c r="C1163" s="2" t="s">
        <v>158</v>
      </c>
      <c r="D1163" s="2" t="s">
        <v>155</v>
      </c>
      <c r="E1163" s="2" t="s">
        <v>4647</v>
      </c>
      <c r="F1163" s="2">
        <v>59</v>
      </c>
      <c r="G1163" s="2">
        <v>59</v>
      </c>
      <c r="H1163" s="2">
        <v>0</v>
      </c>
      <c r="I1163" s="1">
        <v>0</v>
      </c>
      <c r="J1163" s="26">
        <v>45679</v>
      </c>
      <c r="K1163" s="22">
        <v>88500</v>
      </c>
      <c r="L1163" s="18">
        <v>94.65</v>
      </c>
      <c r="M1163" s="22">
        <v>64900</v>
      </c>
      <c r="N1163" s="22">
        <v>23600</v>
      </c>
      <c r="O1163" s="18">
        <v>25.24</v>
      </c>
      <c r="P1163" s="52">
        <f>IF(COUNTIF(TblPurchases[BatchID],TblOutcomes[[#This Row],[BatchID]])&lt;&gt;1,"n.a.",TblOutcomes[[#This Row],[Qty Wasted]]*SUMIFS(TblPurchases[Unit Cost (CLP)],TblPurchases[BatchID],TblOutcomes[[#This Row],[BatchID]]))</f>
        <v>0</v>
      </c>
      <c r="Q1163" s="51">
        <f>IF(COUNTIF(TblPurchases[BatchID],TblOutcomes[[#This Row],[BatchID]])&lt;&gt;1,"n.a.",SUMIFS(TblPurchases[Purchase Date],TblPurchases[BatchID],TblOutcomes[[#This Row],[BatchID]]))</f>
        <v>45676</v>
      </c>
    </row>
    <row r="1164" spans="2:17" x14ac:dyDescent="0.25">
      <c r="B1164" s="2" t="s">
        <v>1968</v>
      </c>
      <c r="C1164" s="2" t="s">
        <v>158</v>
      </c>
      <c r="D1164" s="2" t="s">
        <v>155</v>
      </c>
      <c r="E1164" s="2" t="s">
        <v>4646</v>
      </c>
      <c r="F1164" s="2">
        <v>47</v>
      </c>
      <c r="G1164" s="2">
        <v>31.77</v>
      </c>
      <c r="H1164" s="2">
        <v>15.23</v>
      </c>
      <c r="I1164" s="1">
        <v>32.4</v>
      </c>
      <c r="J1164" s="26">
        <v>45704</v>
      </c>
      <c r="K1164" s="22">
        <v>47655</v>
      </c>
      <c r="L1164" s="18">
        <v>50.97</v>
      </c>
      <c r="M1164" s="22">
        <v>54050</v>
      </c>
      <c r="N1164" s="22">
        <v>-6395</v>
      </c>
      <c r="O1164" s="18">
        <v>-6.84</v>
      </c>
      <c r="P1164" s="52">
        <f>IF(COUNTIF(TblPurchases[BatchID],TblOutcomes[[#This Row],[BatchID]])&lt;&gt;1,"n.a.",TblOutcomes[[#This Row],[Qty Wasted]]*SUMIFS(TblPurchases[Unit Cost (CLP)],TblPurchases[BatchID],TblOutcomes[[#This Row],[BatchID]]))</f>
        <v>17514.5</v>
      </c>
      <c r="Q1164" s="51">
        <f>IF(COUNTIF(TblPurchases[BatchID],TblOutcomes[[#This Row],[BatchID]])&lt;&gt;1,"n.a.",SUMIFS(TblPurchases[Purchase Date],TblPurchases[BatchID],TblOutcomes[[#This Row],[BatchID]]))</f>
        <v>45684</v>
      </c>
    </row>
    <row r="1165" spans="2:17" x14ac:dyDescent="0.25">
      <c r="B1165" s="2" t="s">
        <v>1969</v>
      </c>
      <c r="C1165" s="2" t="s">
        <v>158</v>
      </c>
      <c r="D1165" s="2" t="s">
        <v>155</v>
      </c>
      <c r="E1165" s="2" t="s">
        <v>4647</v>
      </c>
      <c r="F1165" s="2">
        <v>58</v>
      </c>
      <c r="G1165" s="2">
        <v>58</v>
      </c>
      <c r="H1165" s="2">
        <v>0</v>
      </c>
      <c r="I1165" s="1">
        <v>0</v>
      </c>
      <c r="J1165" s="26">
        <v>45696</v>
      </c>
      <c r="K1165" s="22">
        <v>87000</v>
      </c>
      <c r="L1165" s="18">
        <v>93.05</v>
      </c>
      <c r="M1165" s="22">
        <v>63800</v>
      </c>
      <c r="N1165" s="22">
        <v>23200</v>
      </c>
      <c r="O1165" s="18">
        <v>24.81</v>
      </c>
      <c r="P1165" s="52">
        <f>IF(COUNTIF(TblPurchases[BatchID],TblOutcomes[[#This Row],[BatchID]])&lt;&gt;1,"n.a.",TblOutcomes[[#This Row],[Qty Wasted]]*SUMIFS(TblPurchases[Unit Cost (CLP)],TblPurchases[BatchID],TblOutcomes[[#This Row],[BatchID]]))</f>
        <v>0</v>
      </c>
      <c r="Q1165" s="51">
        <f>IF(COUNTIF(TblPurchases[BatchID],TblOutcomes[[#This Row],[BatchID]])&lt;&gt;1,"n.a.",SUMIFS(TblPurchases[Purchase Date],TblPurchases[BatchID],TblOutcomes[[#This Row],[BatchID]]))</f>
        <v>45690</v>
      </c>
    </row>
    <row r="1166" spans="2:17" x14ac:dyDescent="0.25">
      <c r="B1166" s="2" t="s">
        <v>1970</v>
      </c>
      <c r="C1166" s="2" t="s">
        <v>158</v>
      </c>
      <c r="D1166" s="2" t="s">
        <v>155</v>
      </c>
      <c r="E1166" s="2" t="s">
        <v>4647</v>
      </c>
      <c r="F1166" s="2">
        <v>52</v>
      </c>
      <c r="G1166" s="2">
        <v>52</v>
      </c>
      <c r="H1166" s="2">
        <v>0</v>
      </c>
      <c r="I1166" s="1">
        <v>0</v>
      </c>
      <c r="J1166" s="26">
        <v>45705</v>
      </c>
      <c r="K1166" s="22">
        <v>78000</v>
      </c>
      <c r="L1166" s="18">
        <v>83.42</v>
      </c>
      <c r="M1166" s="22">
        <v>59800</v>
      </c>
      <c r="N1166" s="22">
        <v>18200</v>
      </c>
      <c r="O1166" s="18">
        <v>19.47</v>
      </c>
      <c r="P1166" s="52">
        <f>IF(COUNTIF(TblPurchases[BatchID],TblOutcomes[[#This Row],[BatchID]])&lt;&gt;1,"n.a.",TblOutcomes[[#This Row],[Qty Wasted]]*SUMIFS(TblPurchases[Unit Cost (CLP)],TblPurchases[BatchID],TblOutcomes[[#This Row],[BatchID]]))</f>
        <v>0</v>
      </c>
      <c r="Q1166" s="51">
        <f>IF(COUNTIF(TblPurchases[BatchID],TblOutcomes[[#This Row],[BatchID]])&lt;&gt;1,"n.a.",SUMIFS(TblPurchases[Purchase Date],TblPurchases[BatchID],TblOutcomes[[#This Row],[BatchID]]))</f>
        <v>45698</v>
      </c>
    </row>
    <row r="1167" spans="2:17" x14ac:dyDescent="0.25">
      <c r="B1167" s="2" t="s">
        <v>1971</v>
      </c>
      <c r="C1167" s="2" t="s">
        <v>158</v>
      </c>
      <c r="D1167" s="2" t="s">
        <v>155</v>
      </c>
      <c r="E1167" s="2" t="s">
        <v>4646</v>
      </c>
      <c r="F1167" s="2">
        <v>45</v>
      </c>
      <c r="G1167" s="2">
        <v>27.9</v>
      </c>
      <c r="H1167" s="2">
        <v>17.100000000000001</v>
      </c>
      <c r="I1167" s="1">
        <v>38</v>
      </c>
      <c r="J1167" s="26">
        <v>45723</v>
      </c>
      <c r="K1167" s="22">
        <v>41850</v>
      </c>
      <c r="L1167" s="18">
        <v>44.76</v>
      </c>
      <c r="M1167" s="22">
        <v>51750</v>
      </c>
      <c r="N1167" s="22">
        <v>-9900</v>
      </c>
      <c r="O1167" s="18">
        <v>-10.59</v>
      </c>
      <c r="P1167" s="52">
        <f>IF(COUNTIF(TblPurchases[BatchID],TblOutcomes[[#This Row],[BatchID]])&lt;&gt;1,"n.a.",TblOutcomes[[#This Row],[Qty Wasted]]*SUMIFS(TblPurchases[Unit Cost (CLP)],TblPurchases[BatchID],TblOutcomes[[#This Row],[BatchID]]))</f>
        <v>19665</v>
      </c>
      <c r="Q1167" s="51">
        <f>IF(COUNTIF(TblPurchases[BatchID],TblOutcomes[[#This Row],[BatchID]])&lt;&gt;1,"n.a.",SUMIFS(TblPurchases[Purchase Date],TblPurchases[BatchID],TblOutcomes[[#This Row],[BatchID]]))</f>
        <v>45703</v>
      </c>
    </row>
    <row r="1168" spans="2:17" x14ac:dyDescent="0.25">
      <c r="B1168" s="2" t="s">
        <v>1972</v>
      </c>
      <c r="C1168" s="2" t="s">
        <v>158</v>
      </c>
      <c r="D1168" s="2" t="s">
        <v>155</v>
      </c>
      <c r="E1168" s="2" t="s">
        <v>4647</v>
      </c>
      <c r="F1168" s="2">
        <v>58</v>
      </c>
      <c r="G1168" s="2">
        <v>58</v>
      </c>
      <c r="H1168" s="2">
        <v>0</v>
      </c>
      <c r="I1168" s="1">
        <v>0</v>
      </c>
      <c r="J1168" s="26">
        <v>45716</v>
      </c>
      <c r="K1168" s="22">
        <v>87000</v>
      </c>
      <c r="L1168" s="18">
        <v>93.05</v>
      </c>
      <c r="M1168" s="22">
        <v>66700</v>
      </c>
      <c r="N1168" s="22">
        <v>20300</v>
      </c>
      <c r="O1168" s="18">
        <v>21.71</v>
      </c>
      <c r="P1168" s="52">
        <f>IF(COUNTIF(TblPurchases[BatchID],TblOutcomes[[#This Row],[BatchID]])&lt;&gt;1,"n.a.",TblOutcomes[[#This Row],[Qty Wasted]]*SUMIFS(TblPurchases[Unit Cost (CLP)],TblPurchases[BatchID],TblOutcomes[[#This Row],[BatchID]]))</f>
        <v>0</v>
      </c>
      <c r="Q1168" s="51">
        <f>IF(COUNTIF(TblPurchases[BatchID],TblOutcomes[[#This Row],[BatchID]])&lt;&gt;1,"n.a.",SUMIFS(TblPurchases[Purchase Date],TblPurchases[BatchID],TblOutcomes[[#This Row],[BatchID]]))</f>
        <v>45709</v>
      </c>
    </row>
    <row r="1169" spans="2:17" x14ac:dyDescent="0.25">
      <c r="B1169" s="2" t="s">
        <v>1973</v>
      </c>
      <c r="C1169" s="2" t="s">
        <v>158</v>
      </c>
      <c r="D1169" s="2" t="s">
        <v>155</v>
      </c>
      <c r="E1169" s="2" t="s">
        <v>4647</v>
      </c>
      <c r="F1169" s="2">
        <v>57</v>
      </c>
      <c r="G1169" s="2">
        <v>57</v>
      </c>
      <c r="H1169" s="2">
        <v>0</v>
      </c>
      <c r="I1169" s="1">
        <v>0</v>
      </c>
      <c r="J1169" s="26">
        <v>45718</v>
      </c>
      <c r="K1169" s="22">
        <v>85500</v>
      </c>
      <c r="L1169" s="18">
        <v>91.44</v>
      </c>
      <c r="M1169" s="22">
        <v>65550</v>
      </c>
      <c r="N1169" s="22">
        <v>19950</v>
      </c>
      <c r="O1169" s="18">
        <v>21.34</v>
      </c>
      <c r="P1169" s="52">
        <f>IF(COUNTIF(TblPurchases[BatchID],TblOutcomes[[#This Row],[BatchID]])&lt;&gt;1,"n.a.",TblOutcomes[[#This Row],[Qty Wasted]]*SUMIFS(TblPurchases[Unit Cost (CLP)],TblPurchases[BatchID],TblOutcomes[[#This Row],[BatchID]]))</f>
        <v>0</v>
      </c>
      <c r="Q1169" s="51">
        <f>IF(COUNTIF(TblPurchases[BatchID],TblOutcomes[[#This Row],[BatchID]])&lt;&gt;1,"n.a.",SUMIFS(TblPurchases[Purchase Date],TblPurchases[BatchID],TblOutcomes[[#This Row],[BatchID]]))</f>
        <v>45716</v>
      </c>
    </row>
    <row r="1170" spans="2:17" x14ac:dyDescent="0.25">
      <c r="B1170" s="2" t="s">
        <v>1974</v>
      </c>
      <c r="C1170" s="2" t="s">
        <v>158</v>
      </c>
      <c r="D1170" s="2" t="s">
        <v>155</v>
      </c>
      <c r="E1170" s="2" t="s">
        <v>4647</v>
      </c>
      <c r="F1170" s="2">
        <v>48</v>
      </c>
      <c r="G1170" s="2">
        <v>48</v>
      </c>
      <c r="H1170" s="2">
        <v>0</v>
      </c>
      <c r="I1170" s="1">
        <v>0</v>
      </c>
      <c r="J1170" s="26">
        <v>45727</v>
      </c>
      <c r="K1170" s="22">
        <v>72000</v>
      </c>
      <c r="L1170" s="18">
        <v>77.010000000000005</v>
      </c>
      <c r="M1170" s="22">
        <v>55200</v>
      </c>
      <c r="N1170" s="22">
        <v>16800</v>
      </c>
      <c r="O1170" s="18">
        <v>17.97</v>
      </c>
      <c r="P1170" s="52">
        <f>IF(COUNTIF(TblPurchases[BatchID],TblOutcomes[[#This Row],[BatchID]])&lt;&gt;1,"n.a.",TblOutcomes[[#This Row],[Qty Wasted]]*SUMIFS(TblPurchases[Unit Cost (CLP)],TblPurchases[BatchID],TblOutcomes[[#This Row],[BatchID]]))</f>
        <v>0</v>
      </c>
      <c r="Q1170" s="51">
        <f>IF(COUNTIF(TblPurchases[BatchID],TblOutcomes[[#This Row],[BatchID]])&lt;&gt;1,"n.a.",SUMIFS(TblPurchases[Purchase Date],TblPurchases[BatchID],TblOutcomes[[#This Row],[BatchID]]))</f>
        <v>45721</v>
      </c>
    </row>
    <row r="1171" spans="2:17" x14ac:dyDescent="0.25">
      <c r="B1171" s="2" t="s">
        <v>1975</v>
      </c>
      <c r="C1171" s="2" t="s">
        <v>158</v>
      </c>
      <c r="D1171" s="2" t="s">
        <v>155</v>
      </c>
      <c r="E1171" s="2" t="s">
        <v>4647</v>
      </c>
      <c r="F1171" s="2">
        <v>58</v>
      </c>
      <c r="G1171" s="2">
        <v>58</v>
      </c>
      <c r="H1171" s="2">
        <v>0</v>
      </c>
      <c r="I1171" s="1">
        <v>0</v>
      </c>
      <c r="J1171" s="26">
        <v>45735</v>
      </c>
      <c r="K1171" s="22">
        <v>87000</v>
      </c>
      <c r="L1171" s="18">
        <v>93.05</v>
      </c>
      <c r="M1171" s="22">
        <v>66700</v>
      </c>
      <c r="N1171" s="22">
        <v>20300</v>
      </c>
      <c r="O1171" s="18">
        <v>21.71</v>
      </c>
      <c r="P1171" s="52">
        <f>IF(COUNTIF(TblPurchases[BatchID],TblOutcomes[[#This Row],[BatchID]])&lt;&gt;1,"n.a.",TblOutcomes[[#This Row],[Qty Wasted]]*SUMIFS(TblPurchases[Unit Cost (CLP)],TblPurchases[BatchID],TblOutcomes[[#This Row],[BatchID]]))</f>
        <v>0</v>
      </c>
      <c r="Q1171" s="51">
        <f>IF(COUNTIF(TblPurchases[BatchID],TblOutcomes[[#This Row],[BatchID]])&lt;&gt;1,"n.a.",SUMIFS(TblPurchases[Purchase Date],TblPurchases[BatchID],TblOutcomes[[#This Row],[BatchID]]))</f>
        <v>45728</v>
      </c>
    </row>
    <row r="1172" spans="2:17" x14ac:dyDescent="0.25">
      <c r="B1172" s="2" t="s">
        <v>1976</v>
      </c>
      <c r="C1172" s="2" t="s">
        <v>158</v>
      </c>
      <c r="D1172" s="2" t="s">
        <v>155</v>
      </c>
      <c r="E1172" s="2" t="s">
        <v>4647</v>
      </c>
      <c r="F1172" s="2">
        <v>57</v>
      </c>
      <c r="G1172" s="2">
        <v>57</v>
      </c>
      <c r="H1172" s="2">
        <v>0</v>
      </c>
      <c r="I1172" s="1">
        <v>0</v>
      </c>
      <c r="J1172" s="26">
        <v>45742</v>
      </c>
      <c r="K1172" s="22">
        <v>85500</v>
      </c>
      <c r="L1172" s="18">
        <v>91.44</v>
      </c>
      <c r="M1172" s="22">
        <v>65550</v>
      </c>
      <c r="N1172" s="22">
        <v>19950</v>
      </c>
      <c r="O1172" s="18">
        <v>21.34</v>
      </c>
      <c r="P1172" s="52">
        <f>IF(COUNTIF(TblPurchases[BatchID],TblOutcomes[[#This Row],[BatchID]])&lt;&gt;1,"n.a.",TblOutcomes[[#This Row],[Qty Wasted]]*SUMIFS(TblPurchases[Unit Cost (CLP)],TblPurchases[BatchID],TblOutcomes[[#This Row],[BatchID]]))</f>
        <v>0</v>
      </c>
      <c r="Q1172" s="51">
        <f>IF(COUNTIF(TblPurchases[BatchID],TblOutcomes[[#This Row],[BatchID]])&lt;&gt;1,"n.a.",SUMIFS(TblPurchases[Purchase Date],TblPurchases[BatchID],TblOutcomes[[#This Row],[BatchID]]))</f>
        <v>45734</v>
      </c>
    </row>
    <row r="1173" spans="2:17" x14ac:dyDescent="0.25">
      <c r="B1173" s="2" t="s">
        <v>1977</v>
      </c>
      <c r="C1173" s="2" t="s">
        <v>158</v>
      </c>
      <c r="D1173" s="2" t="s">
        <v>155</v>
      </c>
      <c r="E1173" s="2" t="s">
        <v>4647</v>
      </c>
      <c r="F1173" s="2">
        <v>51</v>
      </c>
      <c r="G1173" s="2">
        <v>51</v>
      </c>
      <c r="H1173" s="2">
        <v>0</v>
      </c>
      <c r="I1173" s="1">
        <v>0</v>
      </c>
      <c r="J1173" s="26">
        <v>45748</v>
      </c>
      <c r="K1173" s="22">
        <v>76500</v>
      </c>
      <c r="L1173" s="18">
        <v>81.819999999999993</v>
      </c>
      <c r="M1173" s="22">
        <v>58650</v>
      </c>
      <c r="N1173" s="22">
        <v>17850</v>
      </c>
      <c r="O1173" s="18">
        <v>19.09</v>
      </c>
      <c r="P1173" s="52">
        <f>IF(COUNTIF(TblPurchases[BatchID],TblOutcomes[[#This Row],[BatchID]])&lt;&gt;1,"n.a.",TblOutcomes[[#This Row],[Qty Wasted]]*SUMIFS(TblPurchases[Unit Cost (CLP)],TblPurchases[BatchID],TblOutcomes[[#This Row],[BatchID]]))</f>
        <v>0</v>
      </c>
      <c r="Q1173" s="51">
        <f>IF(COUNTIF(TblPurchases[BatchID],TblOutcomes[[#This Row],[BatchID]])&lt;&gt;1,"n.a.",SUMIFS(TblPurchases[Purchase Date],TblPurchases[BatchID],TblOutcomes[[#This Row],[BatchID]]))</f>
        <v>45743</v>
      </c>
    </row>
    <row r="1174" spans="2:17" x14ac:dyDescent="0.25">
      <c r="B1174" s="2" t="s">
        <v>1978</v>
      </c>
      <c r="C1174" s="2" t="s">
        <v>158</v>
      </c>
      <c r="D1174" s="2" t="s">
        <v>155</v>
      </c>
      <c r="E1174" s="2" t="s">
        <v>4647</v>
      </c>
      <c r="F1174" s="2">
        <v>54</v>
      </c>
      <c r="G1174" s="2">
        <v>54</v>
      </c>
      <c r="H1174" s="2">
        <v>0</v>
      </c>
      <c r="I1174" s="1">
        <v>0</v>
      </c>
      <c r="J1174" s="26">
        <v>45755</v>
      </c>
      <c r="K1174" s="22">
        <v>81000</v>
      </c>
      <c r="L1174" s="18">
        <v>86.63</v>
      </c>
      <c r="M1174" s="22">
        <v>62100</v>
      </c>
      <c r="N1174" s="22">
        <v>18900</v>
      </c>
      <c r="O1174" s="18">
        <v>20.21</v>
      </c>
      <c r="P1174" s="52">
        <f>IF(COUNTIF(TblPurchases[BatchID],TblOutcomes[[#This Row],[BatchID]])&lt;&gt;1,"n.a.",TblOutcomes[[#This Row],[Qty Wasted]]*SUMIFS(TblPurchases[Unit Cost (CLP)],TblPurchases[BatchID],TblOutcomes[[#This Row],[BatchID]]))</f>
        <v>0</v>
      </c>
      <c r="Q1174" s="51">
        <f>IF(COUNTIF(TblPurchases[BatchID],TblOutcomes[[#This Row],[BatchID]])&lt;&gt;1,"n.a.",SUMIFS(TblPurchases[Purchase Date],TblPurchases[BatchID],TblOutcomes[[#This Row],[BatchID]]))</f>
        <v>45747</v>
      </c>
    </row>
    <row r="1175" spans="2:17" x14ac:dyDescent="0.25">
      <c r="B1175" s="2" t="s">
        <v>1979</v>
      </c>
      <c r="C1175" s="2" t="s">
        <v>158</v>
      </c>
      <c r="D1175" s="2" t="s">
        <v>155</v>
      </c>
      <c r="E1175" s="2" t="s">
        <v>4646</v>
      </c>
      <c r="F1175" s="2">
        <v>18</v>
      </c>
      <c r="G1175" s="2">
        <v>13.93</v>
      </c>
      <c r="H1175" s="2">
        <v>4.07</v>
      </c>
      <c r="I1175" s="1">
        <v>22.6</v>
      </c>
      <c r="J1175" s="26">
        <v>45773</v>
      </c>
      <c r="K1175" s="22">
        <v>20895</v>
      </c>
      <c r="L1175" s="18">
        <v>22.35</v>
      </c>
      <c r="M1175" s="22">
        <v>20700</v>
      </c>
      <c r="N1175" s="22">
        <v>195</v>
      </c>
      <c r="O1175" s="18">
        <v>0.21</v>
      </c>
      <c r="P1175" s="52">
        <f>IF(COUNTIF(TblPurchases[BatchID],TblOutcomes[[#This Row],[BatchID]])&lt;&gt;1,"n.a.",TblOutcomes[[#This Row],[Qty Wasted]]*SUMIFS(TblPurchases[Unit Cost (CLP)],TblPurchases[BatchID],TblOutcomes[[#This Row],[BatchID]]))</f>
        <v>4680.5</v>
      </c>
      <c r="Q1175" s="51">
        <f>IF(COUNTIF(TblPurchases[BatchID],TblOutcomes[[#This Row],[BatchID]])&lt;&gt;1,"n.a.",SUMIFS(TblPurchases[Purchase Date],TblPurchases[BatchID],TblOutcomes[[#This Row],[BatchID]]))</f>
        <v>45753</v>
      </c>
    </row>
    <row r="1176" spans="2:17" x14ac:dyDescent="0.25">
      <c r="B1176" s="2" t="s">
        <v>1980</v>
      </c>
      <c r="C1176" s="2" t="s">
        <v>158</v>
      </c>
      <c r="D1176" s="2" t="s">
        <v>155</v>
      </c>
      <c r="E1176" s="2" t="s">
        <v>4646</v>
      </c>
      <c r="F1176" s="2">
        <v>17</v>
      </c>
      <c r="G1176" s="2">
        <v>11.29</v>
      </c>
      <c r="H1176" s="2">
        <v>5.71</v>
      </c>
      <c r="I1176" s="1">
        <v>33.6</v>
      </c>
      <c r="J1176" s="26">
        <v>45778</v>
      </c>
      <c r="K1176" s="22">
        <v>16935</v>
      </c>
      <c r="L1176" s="18">
        <v>18.11</v>
      </c>
      <c r="M1176" s="22">
        <v>19550</v>
      </c>
      <c r="N1176" s="22">
        <v>-2615</v>
      </c>
      <c r="O1176" s="18">
        <v>-2.8</v>
      </c>
      <c r="P1176" s="52">
        <f>IF(COUNTIF(TblPurchases[BatchID],TblOutcomes[[#This Row],[BatchID]])&lt;&gt;1,"n.a.",TblOutcomes[[#This Row],[Qty Wasted]]*SUMIFS(TblPurchases[Unit Cost (CLP)],TblPurchases[BatchID],TblOutcomes[[#This Row],[BatchID]]))</f>
        <v>6566.5</v>
      </c>
      <c r="Q1176" s="51">
        <f>IF(COUNTIF(TblPurchases[BatchID],TblOutcomes[[#This Row],[BatchID]])&lt;&gt;1,"n.a.",SUMIFS(TblPurchases[Purchase Date],TblPurchases[BatchID],TblOutcomes[[#This Row],[BatchID]]))</f>
        <v>45758</v>
      </c>
    </row>
    <row r="1177" spans="2:17" x14ac:dyDescent="0.25">
      <c r="B1177" s="2" t="s">
        <v>1981</v>
      </c>
      <c r="C1177" s="2" t="s">
        <v>158</v>
      </c>
      <c r="D1177" s="2" t="s">
        <v>155</v>
      </c>
      <c r="E1177" s="2" t="s">
        <v>4646</v>
      </c>
      <c r="F1177" s="2">
        <v>22</v>
      </c>
      <c r="G1177" s="2">
        <v>16.260000000000002</v>
      </c>
      <c r="H1177" s="2">
        <v>5.74</v>
      </c>
      <c r="I1177" s="1">
        <v>26.1</v>
      </c>
      <c r="J1177" s="26">
        <v>45783</v>
      </c>
      <c r="K1177" s="22">
        <v>24390</v>
      </c>
      <c r="L1177" s="18">
        <v>26.09</v>
      </c>
      <c r="M1177" s="22">
        <v>25300</v>
      </c>
      <c r="N1177" s="22">
        <v>-910</v>
      </c>
      <c r="O1177" s="18">
        <v>-0.97</v>
      </c>
      <c r="P1177" s="52">
        <f>IF(COUNTIF(TblPurchases[BatchID],TblOutcomes[[#This Row],[BatchID]])&lt;&gt;1,"n.a.",TblOutcomes[[#This Row],[Qty Wasted]]*SUMIFS(TblPurchases[Unit Cost (CLP)],TblPurchases[BatchID],TblOutcomes[[#This Row],[BatchID]]))</f>
        <v>6601</v>
      </c>
      <c r="Q1177" s="51">
        <f>IF(COUNTIF(TblPurchases[BatchID],TblOutcomes[[#This Row],[BatchID]])&lt;&gt;1,"n.a.",SUMIFS(TblPurchases[Purchase Date],TblPurchases[BatchID],TblOutcomes[[#This Row],[BatchID]]))</f>
        <v>45763</v>
      </c>
    </row>
    <row r="1178" spans="2:17" x14ac:dyDescent="0.25">
      <c r="B1178" s="2" t="s">
        <v>1982</v>
      </c>
      <c r="C1178" s="2" t="s">
        <v>158</v>
      </c>
      <c r="D1178" s="2" t="s">
        <v>155</v>
      </c>
      <c r="E1178" s="2" t="s">
        <v>4646</v>
      </c>
      <c r="F1178" s="2">
        <v>22</v>
      </c>
      <c r="G1178" s="2">
        <v>14.32</v>
      </c>
      <c r="H1178" s="2">
        <v>7.68</v>
      </c>
      <c r="I1178" s="1">
        <v>34.9</v>
      </c>
      <c r="J1178" s="26">
        <v>45789</v>
      </c>
      <c r="K1178" s="22">
        <v>21480</v>
      </c>
      <c r="L1178" s="18">
        <v>22.97</v>
      </c>
      <c r="M1178" s="22">
        <v>24200</v>
      </c>
      <c r="N1178" s="22">
        <v>-2720</v>
      </c>
      <c r="O1178" s="18">
        <v>-2.91</v>
      </c>
      <c r="P1178" s="52">
        <f>IF(COUNTIF(TblPurchases[BatchID],TblOutcomes[[#This Row],[BatchID]])&lt;&gt;1,"n.a.",TblOutcomes[[#This Row],[Qty Wasted]]*SUMIFS(TblPurchases[Unit Cost (CLP)],TblPurchases[BatchID],TblOutcomes[[#This Row],[BatchID]]))</f>
        <v>8448</v>
      </c>
      <c r="Q1178" s="51">
        <f>IF(COUNTIF(TblPurchases[BatchID],TblOutcomes[[#This Row],[BatchID]])&lt;&gt;1,"n.a.",SUMIFS(TblPurchases[Purchase Date],TblPurchases[BatchID],TblOutcomes[[#This Row],[BatchID]]))</f>
        <v>45769</v>
      </c>
    </row>
    <row r="1179" spans="2:17" x14ac:dyDescent="0.25">
      <c r="B1179" s="2" t="s">
        <v>1983</v>
      </c>
      <c r="C1179" s="2" t="s">
        <v>158</v>
      </c>
      <c r="D1179" s="2" t="s">
        <v>155</v>
      </c>
      <c r="E1179" s="2" t="s">
        <v>4646</v>
      </c>
      <c r="F1179" s="2">
        <v>19</v>
      </c>
      <c r="G1179" s="2">
        <v>18.940000000000001</v>
      </c>
      <c r="H1179" s="2">
        <v>0.06</v>
      </c>
      <c r="I1179" s="1">
        <v>0.3</v>
      </c>
      <c r="J1179" s="26">
        <v>45797</v>
      </c>
      <c r="K1179" s="22">
        <v>28410</v>
      </c>
      <c r="L1179" s="18">
        <v>30.39</v>
      </c>
      <c r="M1179" s="22">
        <v>20900</v>
      </c>
      <c r="N1179" s="22">
        <v>7510</v>
      </c>
      <c r="O1179" s="18">
        <v>8.0299999999999994</v>
      </c>
      <c r="P1179" s="52">
        <f>IF(COUNTIF(TblPurchases[BatchID],TblOutcomes[[#This Row],[BatchID]])&lt;&gt;1,"n.a.",TblOutcomes[[#This Row],[Qty Wasted]]*SUMIFS(TblPurchases[Unit Cost (CLP)],TblPurchases[BatchID],TblOutcomes[[#This Row],[BatchID]]))</f>
        <v>66</v>
      </c>
      <c r="Q1179" s="51">
        <f>IF(COUNTIF(TblPurchases[BatchID],TblOutcomes[[#This Row],[BatchID]])&lt;&gt;1,"n.a.",SUMIFS(TblPurchases[Purchase Date],TblPurchases[BatchID],TblOutcomes[[#This Row],[BatchID]]))</f>
        <v>45777</v>
      </c>
    </row>
    <row r="1180" spans="2:17" x14ac:dyDescent="0.25">
      <c r="B1180" s="2" t="s">
        <v>1984</v>
      </c>
      <c r="C1180" s="2" t="s">
        <v>158</v>
      </c>
      <c r="D1180" s="2" t="s">
        <v>155</v>
      </c>
      <c r="E1180" s="2" t="s">
        <v>4647</v>
      </c>
      <c r="F1180" s="2">
        <v>22</v>
      </c>
      <c r="G1180" s="2">
        <v>22</v>
      </c>
      <c r="H1180" s="2">
        <v>0</v>
      </c>
      <c r="I1180" s="1">
        <v>0</v>
      </c>
      <c r="J1180" s="26">
        <v>45790</v>
      </c>
      <c r="K1180" s="22">
        <v>33000</v>
      </c>
      <c r="L1180" s="18">
        <v>35.29</v>
      </c>
      <c r="M1180" s="22">
        <v>25300</v>
      </c>
      <c r="N1180" s="22">
        <v>7700</v>
      </c>
      <c r="O1180" s="18">
        <v>8.24</v>
      </c>
      <c r="P1180" s="52">
        <f>IF(COUNTIF(TblPurchases[BatchID],TblOutcomes[[#This Row],[BatchID]])&lt;&gt;1,"n.a.",TblOutcomes[[#This Row],[Qty Wasted]]*SUMIFS(TblPurchases[Unit Cost (CLP)],TblPurchases[BatchID],TblOutcomes[[#This Row],[BatchID]]))</f>
        <v>0</v>
      </c>
      <c r="Q1180" s="51">
        <f>IF(COUNTIF(TblPurchases[BatchID],TblOutcomes[[#This Row],[BatchID]])&lt;&gt;1,"n.a.",SUMIFS(TblPurchases[Purchase Date],TblPurchases[BatchID],TblOutcomes[[#This Row],[BatchID]]))</f>
        <v>45784</v>
      </c>
    </row>
    <row r="1181" spans="2:17" x14ac:dyDescent="0.25">
      <c r="B1181" s="2" t="s">
        <v>1985</v>
      </c>
      <c r="C1181" s="2" t="s">
        <v>158</v>
      </c>
      <c r="D1181" s="2" t="s">
        <v>155</v>
      </c>
      <c r="E1181" s="2" t="s">
        <v>4647</v>
      </c>
      <c r="F1181" s="2">
        <v>19</v>
      </c>
      <c r="G1181" s="2">
        <v>19</v>
      </c>
      <c r="H1181" s="2">
        <v>0</v>
      </c>
      <c r="I1181" s="1">
        <v>0</v>
      </c>
      <c r="J1181" s="26">
        <v>45798</v>
      </c>
      <c r="K1181" s="22">
        <v>28500</v>
      </c>
      <c r="L1181" s="18">
        <v>30.48</v>
      </c>
      <c r="M1181" s="22">
        <v>21850</v>
      </c>
      <c r="N1181" s="22">
        <v>6650</v>
      </c>
      <c r="O1181" s="18">
        <v>7.11</v>
      </c>
      <c r="P1181" s="52">
        <f>IF(COUNTIF(TblPurchases[BatchID],TblOutcomes[[#This Row],[BatchID]])&lt;&gt;1,"n.a.",TblOutcomes[[#This Row],[Qty Wasted]]*SUMIFS(TblPurchases[Unit Cost (CLP)],TblPurchases[BatchID],TblOutcomes[[#This Row],[BatchID]]))</f>
        <v>0</v>
      </c>
      <c r="Q1181" s="51">
        <f>IF(COUNTIF(TblPurchases[BatchID],TblOutcomes[[#This Row],[BatchID]])&lt;&gt;1,"n.a.",SUMIFS(TblPurchases[Purchase Date],TblPurchases[BatchID],TblOutcomes[[#This Row],[BatchID]]))</f>
        <v>45791</v>
      </c>
    </row>
    <row r="1182" spans="2:17" x14ac:dyDescent="0.25">
      <c r="B1182" s="2" t="s">
        <v>1986</v>
      </c>
      <c r="C1182" s="2" t="s">
        <v>158</v>
      </c>
      <c r="D1182" s="2" t="s">
        <v>155</v>
      </c>
      <c r="E1182" s="2" t="s">
        <v>4646</v>
      </c>
      <c r="F1182" s="2">
        <v>21</v>
      </c>
      <c r="G1182" s="2">
        <v>15.16</v>
      </c>
      <c r="H1182" s="2">
        <v>5.84</v>
      </c>
      <c r="I1182" s="1">
        <v>27.8</v>
      </c>
      <c r="J1182" s="26">
        <v>45817</v>
      </c>
      <c r="K1182" s="22">
        <v>22740</v>
      </c>
      <c r="L1182" s="18">
        <v>24.32</v>
      </c>
      <c r="M1182" s="22">
        <v>24150</v>
      </c>
      <c r="N1182" s="22">
        <v>-1410</v>
      </c>
      <c r="O1182" s="18">
        <v>-1.51</v>
      </c>
      <c r="P1182" s="52">
        <f>IF(COUNTIF(TblPurchases[BatchID],TblOutcomes[[#This Row],[BatchID]])&lt;&gt;1,"n.a.",TblOutcomes[[#This Row],[Qty Wasted]]*SUMIFS(TblPurchases[Unit Cost (CLP)],TblPurchases[BatchID],TblOutcomes[[#This Row],[BatchID]]))</f>
        <v>6716</v>
      </c>
      <c r="Q1182" s="51">
        <f>IF(COUNTIF(TblPurchases[BatchID],TblOutcomes[[#This Row],[BatchID]])&lt;&gt;1,"n.a.",SUMIFS(TblPurchases[Purchase Date],TblPurchases[BatchID],TblOutcomes[[#This Row],[BatchID]]))</f>
        <v>45797</v>
      </c>
    </row>
    <row r="1183" spans="2:17" x14ac:dyDescent="0.25">
      <c r="B1183" s="2" t="s">
        <v>1987</v>
      </c>
      <c r="C1183" s="2" t="s">
        <v>158</v>
      </c>
      <c r="D1183" s="2" t="s">
        <v>155</v>
      </c>
      <c r="E1183" s="2" t="s">
        <v>4646</v>
      </c>
      <c r="F1183" s="2">
        <v>17</v>
      </c>
      <c r="G1183" s="2">
        <v>8.99</v>
      </c>
      <c r="H1183" s="2">
        <v>8.01</v>
      </c>
      <c r="I1183" s="1">
        <v>47.1</v>
      </c>
      <c r="J1183" s="26">
        <v>45823</v>
      </c>
      <c r="K1183" s="22">
        <v>13485</v>
      </c>
      <c r="L1183" s="18">
        <v>14.42</v>
      </c>
      <c r="M1183" s="22">
        <v>19550</v>
      </c>
      <c r="N1183" s="22">
        <v>-6065</v>
      </c>
      <c r="O1183" s="18">
        <v>-6.49</v>
      </c>
      <c r="P1183" s="52">
        <f>IF(COUNTIF(TblPurchases[BatchID],TblOutcomes[[#This Row],[BatchID]])&lt;&gt;1,"n.a.",TblOutcomes[[#This Row],[Qty Wasted]]*SUMIFS(TblPurchases[Unit Cost (CLP)],TblPurchases[BatchID],TblOutcomes[[#This Row],[BatchID]]))</f>
        <v>9211.5</v>
      </c>
      <c r="Q1183" s="51">
        <f>IF(COUNTIF(TblPurchases[BatchID],TblOutcomes[[#This Row],[BatchID]])&lt;&gt;1,"n.a.",SUMIFS(TblPurchases[Purchase Date],TblPurchases[BatchID],TblOutcomes[[#This Row],[BatchID]]))</f>
        <v>45803</v>
      </c>
    </row>
    <row r="1184" spans="2:17" x14ac:dyDescent="0.25">
      <c r="B1184" s="2" t="s">
        <v>1988</v>
      </c>
      <c r="C1184" s="2" t="s">
        <v>158</v>
      </c>
      <c r="D1184" s="2" t="s">
        <v>155</v>
      </c>
      <c r="E1184" s="2" t="s">
        <v>4646</v>
      </c>
      <c r="F1184" s="2">
        <v>22</v>
      </c>
      <c r="G1184" s="2">
        <v>16.100000000000001</v>
      </c>
      <c r="H1184" s="2">
        <v>5.9</v>
      </c>
      <c r="I1184" s="1">
        <v>26.8</v>
      </c>
      <c r="J1184" s="26">
        <v>45828</v>
      </c>
      <c r="K1184" s="22">
        <v>24150</v>
      </c>
      <c r="L1184" s="18">
        <v>25.83</v>
      </c>
      <c r="M1184" s="22">
        <v>25300</v>
      </c>
      <c r="N1184" s="22">
        <v>-1150</v>
      </c>
      <c r="O1184" s="18">
        <v>-1.23</v>
      </c>
      <c r="P1184" s="52">
        <f>IF(COUNTIF(TblPurchases[BatchID],TblOutcomes[[#This Row],[BatchID]])&lt;&gt;1,"n.a.",TblOutcomes[[#This Row],[Qty Wasted]]*SUMIFS(TblPurchases[Unit Cost (CLP)],TblPurchases[BatchID],TblOutcomes[[#This Row],[BatchID]]))</f>
        <v>6785</v>
      </c>
      <c r="Q1184" s="51">
        <f>IF(COUNTIF(TblPurchases[BatchID],TblOutcomes[[#This Row],[BatchID]])&lt;&gt;1,"n.a.",SUMIFS(TblPurchases[Purchase Date],TblPurchases[BatchID],TblOutcomes[[#This Row],[BatchID]]))</f>
        <v>45808</v>
      </c>
    </row>
    <row r="1185" spans="2:17" x14ac:dyDescent="0.25">
      <c r="B1185" s="2" t="s">
        <v>1989</v>
      </c>
      <c r="C1185" s="2" t="s">
        <v>158</v>
      </c>
      <c r="D1185" s="2" t="s">
        <v>155</v>
      </c>
      <c r="E1185" s="2" t="s">
        <v>4647</v>
      </c>
      <c r="F1185" s="2">
        <v>21</v>
      </c>
      <c r="G1185" s="2">
        <v>21</v>
      </c>
      <c r="H1185" s="2">
        <v>0</v>
      </c>
      <c r="I1185" s="1">
        <v>0</v>
      </c>
      <c r="J1185" s="26">
        <v>45817</v>
      </c>
      <c r="K1185" s="22">
        <v>31500</v>
      </c>
      <c r="L1185" s="18">
        <v>33.69</v>
      </c>
      <c r="M1185" s="22">
        <v>24150</v>
      </c>
      <c r="N1185" s="22">
        <v>7350</v>
      </c>
      <c r="O1185" s="18">
        <v>7.86</v>
      </c>
      <c r="P1185" s="52">
        <f>IF(COUNTIF(TblPurchases[BatchID],TblOutcomes[[#This Row],[BatchID]])&lt;&gt;1,"n.a.",TblOutcomes[[#This Row],[Qty Wasted]]*SUMIFS(TblPurchases[Unit Cost (CLP)],TblPurchases[BatchID],TblOutcomes[[#This Row],[BatchID]]))</f>
        <v>0</v>
      </c>
      <c r="Q1185" s="51">
        <f>IF(COUNTIF(TblPurchases[BatchID],TblOutcomes[[#This Row],[BatchID]])&lt;&gt;1,"n.a.",SUMIFS(TblPurchases[Purchase Date],TblPurchases[BatchID],TblOutcomes[[#This Row],[BatchID]]))</f>
        <v>45814</v>
      </c>
    </row>
    <row r="1186" spans="2:17" x14ac:dyDescent="0.25">
      <c r="B1186" s="2" t="s">
        <v>1990</v>
      </c>
      <c r="C1186" s="2" t="s">
        <v>158</v>
      </c>
      <c r="D1186" s="2" t="s">
        <v>155</v>
      </c>
      <c r="E1186" s="2" t="s">
        <v>4646</v>
      </c>
      <c r="F1186" s="2">
        <v>20</v>
      </c>
      <c r="G1186" s="2">
        <v>15.4</v>
      </c>
      <c r="H1186" s="2">
        <v>4.5999999999999996</v>
      </c>
      <c r="I1186" s="1">
        <v>23</v>
      </c>
      <c r="J1186" s="26">
        <v>45841</v>
      </c>
      <c r="K1186" s="22">
        <v>23100</v>
      </c>
      <c r="L1186" s="18">
        <v>24.71</v>
      </c>
      <c r="M1186" s="22">
        <v>23000</v>
      </c>
      <c r="N1186" s="22">
        <v>100</v>
      </c>
      <c r="O1186" s="18">
        <v>0.11</v>
      </c>
      <c r="P1186" s="52">
        <f>IF(COUNTIF(TblPurchases[BatchID],TblOutcomes[[#This Row],[BatchID]])&lt;&gt;1,"n.a.",TblOutcomes[[#This Row],[Qty Wasted]]*SUMIFS(TblPurchases[Unit Cost (CLP)],TblPurchases[BatchID],TblOutcomes[[#This Row],[BatchID]]))</f>
        <v>5290</v>
      </c>
      <c r="Q1186" s="51">
        <f>IF(COUNTIF(TblPurchases[BatchID],TblOutcomes[[#This Row],[BatchID]])&lt;&gt;1,"n.a.",SUMIFS(TblPurchases[Purchase Date],TblPurchases[BatchID],TblOutcomes[[#This Row],[BatchID]]))</f>
        <v>45821</v>
      </c>
    </row>
    <row r="1187" spans="2:17" x14ac:dyDescent="0.25">
      <c r="B1187" s="2" t="s">
        <v>1991</v>
      </c>
      <c r="C1187" s="2" t="s">
        <v>158</v>
      </c>
      <c r="D1187" s="2" t="s">
        <v>155</v>
      </c>
      <c r="E1187" s="2" t="s">
        <v>4646</v>
      </c>
      <c r="F1187" s="2">
        <v>19</v>
      </c>
      <c r="G1187" s="2">
        <v>13.05</v>
      </c>
      <c r="H1187" s="2">
        <v>5.95</v>
      </c>
      <c r="I1187" s="1">
        <v>31.3</v>
      </c>
      <c r="J1187" s="26">
        <v>45847</v>
      </c>
      <c r="K1187" s="22">
        <v>19575</v>
      </c>
      <c r="L1187" s="18">
        <v>20.94</v>
      </c>
      <c r="M1187" s="22">
        <v>21850</v>
      </c>
      <c r="N1187" s="22">
        <v>-2275</v>
      </c>
      <c r="O1187" s="18">
        <v>-2.4300000000000002</v>
      </c>
      <c r="P1187" s="52">
        <f>IF(COUNTIF(TblPurchases[BatchID],TblOutcomes[[#This Row],[BatchID]])&lt;&gt;1,"n.a.",TblOutcomes[[#This Row],[Qty Wasted]]*SUMIFS(TblPurchases[Unit Cost (CLP)],TblPurchases[BatchID],TblOutcomes[[#This Row],[BatchID]]))</f>
        <v>6842.5</v>
      </c>
      <c r="Q1187" s="51">
        <f>IF(COUNTIF(TblPurchases[BatchID],TblOutcomes[[#This Row],[BatchID]])&lt;&gt;1,"n.a.",SUMIFS(TblPurchases[Purchase Date],TblPurchases[BatchID],TblOutcomes[[#This Row],[BatchID]]))</f>
        <v>45827</v>
      </c>
    </row>
    <row r="1188" spans="2:17" x14ac:dyDescent="0.25">
      <c r="B1188" s="2" t="s">
        <v>1992</v>
      </c>
      <c r="C1188" s="2" t="s">
        <v>158</v>
      </c>
      <c r="D1188" s="2" t="s">
        <v>155</v>
      </c>
      <c r="E1188" s="2" t="s">
        <v>4647</v>
      </c>
      <c r="F1188" s="2">
        <v>17</v>
      </c>
      <c r="G1188" s="2">
        <v>17</v>
      </c>
      <c r="H1188" s="2">
        <v>0</v>
      </c>
      <c r="I1188" s="1">
        <v>0</v>
      </c>
      <c r="J1188" s="26">
        <v>45838</v>
      </c>
      <c r="K1188" s="22">
        <v>25500</v>
      </c>
      <c r="L1188" s="18">
        <v>27.27</v>
      </c>
      <c r="M1188" s="22">
        <v>19550</v>
      </c>
      <c r="N1188" s="22">
        <v>5950</v>
      </c>
      <c r="O1188" s="18">
        <v>6.36</v>
      </c>
      <c r="P1188" s="52">
        <f>IF(COUNTIF(TblPurchases[BatchID],TblOutcomes[[#This Row],[BatchID]])&lt;&gt;1,"n.a.",TblOutcomes[[#This Row],[Qty Wasted]]*SUMIFS(TblPurchases[Unit Cost (CLP)],TblPurchases[BatchID],TblOutcomes[[#This Row],[BatchID]]))</f>
        <v>0</v>
      </c>
      <c r="Q1188" s="51">
        <f>IF(COUNTIF(TblPurchases[BatchID],TblOutcomes[[#This Row],[BatchID]])&lt;&gt;1,"n.a.",SUMIFS(TblPurchases[Purchase Date],TblPurchases[BatchID],TblOutcomes[[#This Row],[BatchID]]))</f>
        <v>45833</v>
      </c>
    </row>
    <row r="1189" spans="2:17" x14ac:dyDescent="0.25">
      <c r="B1189" s="2" t="s">
        <v>1993</v>
      </c>
      <c r="C1189" s="2" t="s">
        <v>158</v>
      </c>
      <c r="D1189" s="2" t="s">
        <v>155</v>
      </c>
      <c r="E1189" s="2" t="s">
        <v>4646</v>
      </c>
      <c r="F1189" s="2">
        <v>17</v>
      </c>
      <c r="G1189" s="2">
        <v>12.32</v>
      </c>
      <c r="H1189" s="2">
        <v>4.68</v>
      </c>
      <c r="I1189" s="1">
        <v>27.5</v>
      </c>
      <c r="J1189" s="26">
        <v>45858</v>
      </c>
      <c r="K1189" s="22">
        <v>18480</v>
      </c>
      <c r="L1189" s="18">
        <v>19.760000000000002</v>
      </c>
      <c r="M1189" s="22">
        <v>19550</v>
      </c>
      <c r="N1189" s="22">
        <v>-1070</v>
      </c>
      <c r="O1189" s="18">
        <v>-1.1399999999999999</v>
      </c>
      <c r="P1189" s="52">
        <f>IF(COUNTIF(TblPurchases[BatchID],TblOutcomes[[#This Row],[BatchID]])&lt;&gt;1,"n.a.",TblOutcomes[[#This Row],[Qty Wasted]]*SUMIFS(TblPurchases[Unit Cost (CLP)],TblPurchases[BatchID],TblOutcomes[[#This Row],[BatchID]]))</f>
        <v>5382</v>
      </c>
      <c r="Q1189" s="51">
        <f>IF(COUNTIF(TblPurchases[BatchID],TblOutcomes[[#This Row],[BatchID]])&lt;&gt;1,"n.a.",SUMIFS(TblPurchases[Purchase Date],TblPurchases[BatchID],TblOutcomes[[#This Row],[BatchID]]))</f>
        <v>45838</v>
      </c>
    </row>
    <row r="1190" spans="2:17" x14ac:dyDescent="0.25">
      <c r="B1190" s="2" t="s">
        <v>1994</v>
      </c>
      <c r="C1190" s="2" t="s">
        <v>160</v>
      </c>
      <c r="D1190" s="2" t="s">
        <v>155</v>
      </c>
      <c r="E1190" s="2" t="s">
        <v>4647</v>
      </c>
      <c r="F1190" s="2">
        <v>28</v>
      </c>
      <c r="G1190" s="2">
        <v>28</v>
      </c>
      <c r="H1190" s="2">
        <v>0</v>
      </c>
      <c r="I1190" s="1">
        <v>0</v>
      </c>
      <c r="J1190" s="26">
        <v>45115</v>
      </c>
      <c r="K1190" s="22">
        <v>56000</v>
      </c>
      <c r="L1190" s="18">
        <v>59.89</v>
      </c>
      <c r="M1190" s="22">
        <v>40600</v>
      </c>
      <c r="N1190" s="22">
        <v>15400</v>
      </c>
      <c r="O1190" s="18">
        <v>16.47</v>
      </c>
      <c r="P1190" s="52">
        <f>IF(COUNTIF(TblPurchases[BatchID],TblOutcomes[[#This Row],[BatchID]])&lt;&gt;1,"n.a.",TblOutcomes[[#This Row],[Qty Wasted]]*SUMIFS(TblPurchases[Unit Cost (CLP)],TblPurchases[BatchID],TblOutcomes[[#This Row],[BatchID]]))</f>
        <v>0</v>
      </c>
      <c r="Q1190" s="51">
        <f>IF(COUNTIF(TblPurchases[BatchID],TblOutcomes[[#This Row],[BatchID]])&lt;&gt;1,"n.a.",SUMIFS(TblPurchases[Purchase Date],TblPurchases[BatchID],TblOutcomes[[#This Row],[BatchID]]))</f>
        <v>45109</v>
      </c>
    </row>
    <row r="1191" spans="2:17" x14ac:dyDescent="0.25">
      <c r="B1191" s="2" t="s">
        <v>1995</v>
      </c>
      <c r="C1191" s="2" t="s">
        <v>160</v>
      </c>
      <c r="D1191" s="2" t="s">
        <v>155</v>
      </c>
      <c r="E1191" s="2" t="s">
        <v>4647</v>
      </c>
      <c r="F1191" s="2">
        <v>29</v>
      </c>
      <c r="G1191" s="2">
        <v>29</v>
      </c>
      <c r="H1191" s="2">
        <v>0</v>
      </c>
      <c r="I1191" s="1">
        <v>0</v>
      </c>
      <c r="J1191" s="26">
        <v>45123</v>
      </c>
      <c r="K1191" s="22">
        <v>58000</v>
      </c>
      <c r="L1191" s="18">
        <v>62.03</v>
      </c>
      <c r="M1191" s="22">
        <v>42050</v>
      </c>
      <c r="N1191" s="22">
        <v>15950</v>
      </c>
      <c r="O1191" s="18">
        <v>17.059999999999999</v>
      </c>
      <c r="P1191" s="52">
        <f>IF(COUNTIF(TblPurchases[BatchID],TblOutcomes[[#This Row],[BatchID]])&lt;&gt;1,"n.a.",TblOutcomes[[#This Row],[Qty Wasted]]*SUMIFS(TblPurchases[Unit Cost (CLP)],TblPurchases[BatchID],TblOutcomes[[#This Row],[BatchID]]))</f>
        <v>0</v>
      </c>
      <c r="Q1191" s="51">
        <f>IF(COUNTIF(TblPurchases[BatchID],TblOutcomes[[#This Row],[BatchID]])&lt;&gt;1,"n.a.",SUMIFS(TblPurchases[Purchase Date],TblPurchases[BatchID],TblOutcomes[[#This Row],[BatchID]]))</f>
        <v>45115</v>
      </c>
    </row>
    <row r="1192" spans="2:17" x14ac:dyDescent="0.25">
      <c r="B1192" s="2" t="s">
        <v>1996</v>
      </c>
      <c r="C1192" s="2" t="s">
        <v>160</v>
      </c>
      <c r="D1192" s="2" t="s">
        <v>155</v>
      </c>
      <c r="E1192" s="2" t="s">
        <v>4647</v>
      </c>
      <c r="F1192" s="2">
        <v>28</v>
      </c>
      <c r="G1192" s="2">
        <v>28</v>
      </c>
      <c r="H1192" s="2">
        <v>0</v>
      </c>
      <c r="I1192" s="1">
        <v>0</v>
      </c>
      <c r="J1192" s="26">
        <v>45131</v>
      </c>
      <c r="K1192" s="22">
        <v>56000</v>
      </c>
      <c r="L1192" s="18">
        <v>59.89</v>
      </c>
      <c r="M1192" s="22">
        <v>40600</v>
      </c>
      <c r="N1192" s="22">
        <v>15400</v>
      </c>
      <c r="O1192" s="18">
        <v>16.47</v>
      </c>
      <c r="P1192" s="52">
        <f>IF(COUNTIF(TblPurchases[BatchID],TblOutcomes[[#This Row],[BatchID]])&lt;&gt;1,"n.a.",TblOutcomes[[#This Row],[Qty Wasted]]*SUMIFS(TblPurchases[Unit Cost (CLP)],TblPurchases[BatchID],TblOutcomes[[#This Row],[BatchID]]))</f>
        <v>0</v>
      </c>
      <c r="Q1192" s="51">
        <f>IF(COUNTIF(TblPurchases[BatchID],TblOutcomes[[#This Row],[BatchID]])&lt;&gt;1,"n.a.",SUMIFS(TblPurchases[Purchase Date],TblPurchases[BatchID],TblOutcomes[[#This Row],[BatchID]]))</f>
        <v>45124</v>
      </c>
    </row>
    <row r="1193" spans="2:17" x14ac:dyDescent="0.25">
      <c r="B1193" s="2" t="s">
        <v>1997</v>
      </c>
      <c r="C1193" s="2" t="s">
        <v>160</v>
      </c>
      <c r="D1193" s="2" t="s">
        <v>155</v>
      </c>
      <c r="E1193" s="2" t="s">
        <v>4646</v>
      </c>
      <c r="F1193" s="2">
        <v>26</v>
      </c>
      <c r="G1193" s="2">
        <v>17</v>
      </c>
      <c r="H1193" s="2">
        <v>9</v>
      </c>
      <c r="I1193" s="1">
        <v>34.6</v>
      </c>
      <c r="J1193" s="26">
        <v>45152</v>
      </c>
      <c r="K1193" s="22">
        <v>34000</v>
      </c>
      <c r="L1193" s="18">
        <v>36.36</v>
      </c>
      <c r="M1193" s="22">
        <v>37700</v>
      </c>
      <c r="N1193" s="22">
        <v>-3700</v>
      </c>
      <c r="O1193" s="18">
        <v>-3.96</v>
      </c>
      <c r="P1193" s="52">
        <f>IF(COUNTIF(TblPurchases[BatchID],TblOutcomes[[#This Row],[BatchID]])&lt;&gt;1,"n.a.",TblOutcomes[[#This Row],[Qty Wasted]]*SUMIFS(TblPurchases[Unit Cost (CLP)],TblPurchases[BatchID],TblOutcomes[[#This Row],[BatchID]]))</f>
        <v>13050</v>
      </c>
      <c r="Q1193" s="51">
        <f>IF(COUNTIF(TblPurchases[BatchID],TblOutcomes[[#This Row],[BatchID]])&lt;&gt;1,"n.a.",SUMIFS(TblPurchases[Purchase Date],TblPurchases[BatchID],TblOutcomes[[#This Row],[BatchID]]))</f>
        <v>45132</v>
      </c>
    </row>
    <row r="1194" spans="2:17" x14ac:dyDescent="0.25">
      <c r="B1194" s="2" t="s">
        <v>1998</v>
      </c>
      <c r="C1194" s="2" t="s">
        <v>160</v>
      </c>
      <c r="D1194" s="2" t="s">
        <v>155</v>
      </c>
      <c r="E1194" s="2" t="s">
        <v>4646</v>
      </c>
      <c r="F1194" s="2">
        <v>32</v>
      </c>
      <c r="G1194" s="2">
        <v>28.38</v>
      </c>
      <c r="H1194" s="2">
        <v>3.62</v>
      </c>
      <c r="I1194" s="1">
        <v>11.3</v>
      </c>
      <c r="J1194" s="26">
        <v>45156</v>
      </c>
      <c r="K1194" s="22">
        <v>56760</v>
      </c>
      <c r="L1194" s="18">
        <v>60.71</v>
      </c>
      <c r="M1194" s="22">
        <v>46400</v>
      </c>
      <c r="N1194" s="22">
        <v>10360</v>
      </c>
      <c r="O1194" s="18">
        <v>11.08</v>
      </c>
      <c r="P1194" s="52">
        <f>IF(COUNTIF(TblPurchases[BatchID],TblOutcomes[[#This Row],[BatchID]])&lt;&gt;1,"n.a.",TblOutcomes[[#This Row],[Qty Wasted]]*SUMIFS(TblPurchases[Unit Cost (CLP)],TblPurchases[BatchID],TblOutcomes[[#This Row],[BatchID]]))</f>
        <v>5249</v>
      </c>
      <c r="Q1194" s="51">
        <f>IF(COUNTIF(TblPurchases[BatchID],TblOutcomes[[#This Row],[BatchID]])&lt;&gt;1,"n.a.",SUMIFS(TblPurchases[Purchase Date],TblPurchases[BatchID],TblOutcomes[[#This Row],[BatchID]]))</f>
        <v>45136</v>
      </c>
    </row>
    <row r="1195" spans="2:17" x14ac:dyDescent="0.25">
      <c r="B1195" s="2" t="s">
        <v>1999</v>
      </c>
      <c r="C1195" s="2" t="s">
        <v>160</v>
      </c>
      <c r="D1195" s="2" t="s">
        <v>155</v>
      </c>
      <c r="E1195" s="2" t="s">
        <v>4646</v>
      </c>
      <c r="F1195" s="2">
        <v>32</v>
      </c>
      <c r="G1195" s="2">
        <v>26.05</v>
      </c>
      <c r="H1195" s="2">
        <v>5.95</v>
      </c>
      <c r="I1195" s="1">
        <v>18.600000000000001</v>
      </c>
      <c r="J1195" s="26">
        <v>45161</v>
      </c>
      <c r="K1195" s="22">
        <v>52100</v>
      </c>
      <c r="L1195" s="18">
        <v>55.72</v>
      </c>
      <c r="M1195" s="22">
        <v>49600</v>
      </c>
      <c r="N1195" s="22">
        <v>2500</v>
      </c>
      <c r="O1195" s="18">
        <v>2.67</v>
      </c>
      <c r="P1195" s="52">
        <f>IF(COUNTIF(TblPurchases[BatchID],TblOutcomes[[#This Row],[BatchID]])&lt;&gt;1,"n.a.",TblOutcomes[[#This Row],[Qty Wasted]]*SUMIFS(TblPurchases[Unit Cost (CLP)],TblPurchases[BatchID],TblOutcomes[[#This Row],[BatchID]]))</f>
        <v>9222.5</v>
      </c>
      <c r="Q1195" s="51">
        <f>IF(COUNTIF(TblPurchases[BatchID],TblOutcomes[[#This Row],[BatchID]])&lt;&gt;1,"n.a.",SUMIFS(TblPurchases[Purchase Date],TblPurchases[BatchID],TblOutcomes[[#This Row],[BatchID]]))</f>
        <v>45141</v>
      </c>
    </row>
    <row r="1196" spans="2:17" x14ac:dyDescent="0.25">
      <c r="B1196" s="2" t="s">
        <v>2000</v>
      </c>
      <c r="C1196" s="2" t="s">
        <v>160</v>
      </c>
      <c r="D1196" s="2" t="s">
        <v>155</v>
      </c>
      <c r="E1196" s="2" t="s">
        <v>4647</v>
      </c>
      <c r="F1196" s="2">
        <v>33</v>
      </c>
      <c r="G1196" s="2">
        <v>33</v>
      </c>
      <c r="H1196" s="2">
        <v>0</v>
      </c>
      <c r="I1196" s="1">
        <v>0</v>
      </c>
      <c r="J1196" s="26">
        <v>45150</v>
      </c>
      <c r="K1196" s="22">
        <v>66000</v>
      </c>
      <c r="L1196" s="18">
        <v>70.59</v>
      </c>
      <c r="M1196" s="22">
        <v>47850</v>
      </c>
      <c r="N1196" s="22">
        <v>18150</v>
      </c>
      <c r="O1196" s="18">
        <v>19.41</v>
      </c>
      <c r="P1196" s="52">
        <f>IF(COUNTIF(TblPurchases[BatchID],TblOutcomes[[#This Row],[BatchID]])&lt;&gt;1,"n.a.",TblOutcomes[[#This Row],[Qty Wasted]]*SUMIFS(TblPurchases[Unit Cost (CLP)],TblPurchases[BatchID],TblOutcomes[[#This Row],[BatchID]]))</f>
        <v>0</v>
      </c>
      <c r="Q1196" s="51">
        <f>IF(COUNTIF(TblPurchases[BatchID],TblOutcomes[[#This Row],[BatchID]])&lt;&gt;1,"n.a.",SUMIFS(TblPurchases[Purchase Date],TblPurchases[BatchID],TblOutcomes[[#This Row],[BatchID]]))</f>
        <v>45148</v>
      </c>
    </row>
    <row r="1197" spans="2:17" x14ac:dyDescent="0.25">
      <c r="B1197" s="2" t="s">
        <v>2001</v>
      </c>
      <c r="C1197" s="2" t="s">
        <v>160</v>
      </c>
      <c r="D1197" s="2" t="s">
        <v>155</v>
      </c>
      <c r="E1197" s="2" t="s">
        <v>4646</v>
      </c>
      <c r="F1197" s="2">
        <v>32</v>
      </c>
      <c r="G1197" s="2">
        <v>24.22</v>
      </c>
      <c r="H1197" s="2">
        <v>7.78</v>
      </c>
      <c r="I1197" s="1">
        <v>24.3</v>
      </c>
      <c r="J1197" s="26">
        <v>45174</v>
      </c>
      <c r="K1197" s="22">
        <v>48440</v>
      </c>
      <c r="L1197" s="18">
        <v>51.81</v>
      </c>
      <c r="M1197" s="22">
        <v>46400</v>
      </c>
      <c r="N1197" s="22">
        <v>2040</v>
      </c>
      <c r="O1197" s="18">
        <v>2.1800000000000002</v>
      </c>
      <c r="P1197" s="52">
        <f>IF(COUNTIF(TblPurchases[BatchID],TblOutcomes[[#This Row],[BatchID]])&lt;&gt;1,"n.a.",TblOutcomes[[#This Row],[Qty Wasted]]*SUMIFS(TblPurchases[Unit Cost (CLP)],TblPurchases[BatchID],TblOutcomes[[#This Row],[BatchID]]))</f>
        <v>11281</v>
      </c>
      <c r="Q1197" s="51">
        <f>IF(COUNTIF(TblPurchases[BatchID],TblOutcomes[[#This Row],[BatchID]])&lt;&gt;1,"n.a.",SUMIFS(TblPurchases[Purchase Date],TblPurchases[BatchID],TblOutcomes[[#This Row],[BatchID]]))</f>
        <v>45154</v>
      </c>
    </row>
    <row r="1198" spans="2:17" x14ac:dyDescent="0.25">
      <c r="B1198" s="2" t="s">
        <v>2002</v>
      </c>
      <c r="C1198" s="2" t="s">
        <v>160</v>
      </c>
      <c r="D1198" s="2" t="s">
        <v>155</v>
      </c>
      <c r="E1198" s="2" t="s">
        <v>4646</v>
      </c>
      <c r="F1198" s="2">
        <v>29</v>
      </c>
      <c r="G1198" s="2">
        <v>22.42</v>
      </c>
      <c r="H1198" s="2">
        <v>6.58</v>
      </c>
      <c r="I1198" s="1">
        <v>22.7</v>
      </c>
      <c r="J1198" s="26">
        <v>45181</v>
      </c>
      <c r="K1198" s="22">
        <v>44840</v>
      </c>
      <c r="L1198" s="18">
        <v>47.96</v>
      </c>
      <c r="M1198" s="22">
        <v>42050</v>
      </c>
      <c r="N1198" s="22">
        <v>2790</v>
      </c>
      <c r="O1198" s="18">
        <v>2.98</v>
      </c>
      <c r="P1198" s="52">
        <f>IF(COUNTIF(TblPurchases[BatchID],TblOutcomes[[#This Row],[BatchID]])&lt;&gt;1,"n.a.",TblOutcomes[[#This Row],[Qty Wasted]]*SUMIFS(TblPurchases[Unit Cost (CLP)],TblPurchases[BatchID],TblOutcomes[[#This Row],[BatchID]]))</f>
        <v>9541</v>
      </c>
      <c r="Q1198" s="51">
        <f>IF(COUNTIF(TblPurchases[BatchID],TblOutcomes[[#This Row],[BatchID]])&lt;&gt;1,"n.a.",SUMIFS(TblPurchases[Purchase Date],TblPurchases[BatchID],TblOutcomes[[#This Row],[BatchID]]))</f>
        <v>45161</v>
      </c>
    </row>
    <row r="1199" spans="2:17" x14ac:dyDescent="0.25">
      <c r="B1199" s="2" t="s">
        <v>2003</v>
      </c>
      <c r="C1199" s="2" t="s">
        <v>160</v>
      </c>
      <c r="D1199" s="2" t="s">
        <v>155</v>
      </c>
      <c r="E1199" s="2" t="s">
        <v>4647</v>
      </c>
      <c r="F1199" s="2">
        <v>34</v>
      </c>
      <c r="G1199" s="2">
        <v>34</v>
      </c>
      <c r="H1199" s="2">
        <v>0</v>
      </c>
      <c r="I1199" s="1">
        <v>0</v>
      </c>
      <c r="J1199" s="26">
        <v>45171</v>
      </c>
      <c r="K1199" s="22">
        <v>68000</v>
      </c>
      <c r="L1199" s="18">
        <v>72.73</v>
      </c>
      <c r="M1199" s="22">
        <v>49300</v>
      </c>
      <c r="N1199" s="22">
        <v>18700</v>
      </c>
      <c r="O1199" s="18">
        <v>20</v>
      </c>
      <c r="P1199" s="52">
        <f>IF(COUNTIF(TblPurchases[BatchID],TblOutcomes[[#This Row],[BatchID]])&lt;&gt;1,"n.a.",TblOutcomes[[#This Row],[Qty Wasted]]*SUMIFS(TblPurchases[Unit Cost (CLP)],TblPurchases[BatchID],TblOutcomes[[#This Row],[BatchID]]))</f>
        <v>0</v>
      </c>
      <c r="Q1199" s="51">
        <f>IF(COUNTIF(TblPurchases[BatchID],TblOutcomes[[#This Row],[BatchID]])&lt;&gt;1,"n.a.",SUMIFS(TblPurchases[Purchase Date],TblPurchases[BatchID],TblOutcomes[[#This Row],[BatchID]]))</f>
        <v>45168</v>
      </c>
    </row>
    <row r="1200" spans="2:17" x14ac:dyDescent="0.25">
      <c r="B1200" s="2" t="s">
        <v>2004</v>
      </c>
      <c r="C1200" s="2" t="s">
        <v>160</v>
      </c>
      <c r="D1200" s="2" t="s">
        <v>155</v>
      </c>
      <c r="E1200" s="2" t="s">
        <v>4647</v>
      </c>
      <c r="F1200" s="2">
        <v>34</v>
      </c>
      <c r="G1200" s="2">
        <v>34</v>
      </c>
      <c r="H1200" s="2">
        <v>0</v>
      </c>
      <c r="I1200" s="1">
        <v>0</v>
      </c>
      <c r="J1200" s="26">
        <v>45180</v>
      </c>
      <c r="K1200" s="22">
        <v>68000</v>
      </c>
      <c r="L1200" s="18">
        <v>72.73</v>
      </c>
      <c r="M1200" s="22">
        <v>52700</v>
      </c>
      <c r="N1200" s="22">
        <v>15300</v>
      </c>
      <c r="O1200" s="18">
        <v>16.36</v>
      </c>
      <c r="P1200" s="52">
        <f>IF(COUNTIF(TblPurchases[BatchID],TblOutcomes[[#This Row],[BatchID]])&lt;&gt;1,"n.a.",TblOutcomes[[#This Row],[Qty Wasted]]*SUMIFS(TblPurchases[Unit Cost (CLP)],TblPurchases[BatchID],TblOutcomes[[#This Row],[BatchID]]))</f>
        <v>0</v>
      </c>
      <c r="Q1200" s="51">
        <f>IF(COUNTIF(TblPurchases[BatchID],TblOutcomes[[#This Row],[BatchID]])&lt;&gt;1,"n.a.",SUMIFS(TblPurchases[Purchase Date],TblPurchases[BatchID],TblOutcomes[[#This Row],[BatchID]]))</f>
        <v>45175</v>
      </c>
    </row>
    <row r="1201" spans="2:17" x14ac:dyDescent="0.25">
      <c r="B1201" s="2" t="s">
        <v>2005</v>
      </c>
      <c r="C1201" s="2" t="s">
        <v>160</v>
      </c>
      <c r="D1201" s="2" t="s">
        <v>155</v>
      </c>
      <c r="E1201" s="2" t="s">
        <v>4647</v>
      </c>
      <c r="F1201" s="2">
        <v>36</v>
      </c>
      <c r="G1201" s="2">
        <v>36</v>
      </c>
      <c r="H1201" s="2">
        <v>0</v>
      </c>
      <c r="I1201" s="1">
        <v>0</v>
      </c>
      <c r="J1201" s="26">
        <v>45187</v>
      </c>
      <c r="K1201" s="22">
        <v>72000</v>
      </c>
      <c r="L1201" s="18">
        <v>77.010000000000005</v>
      </c>
      <c r="M1201" s="22">
        <v>52200</v>
      </c>
      <c r="N1201" s="22">
        <v>19800</v>
      </c>
      <c r="O1201" s="18">
        <v>21.18</v>
      </c>
      <c r="P1201" s="52">
        <f>IF(COUNTIF(TblPurchases[BatchID],TblOutcomes[[#This Row],[BatchID]])&lt;&gt;1,"n.a.",TblOutcomes[[#This Row],[Qty Wasted]]*SUMIFS(TblPurchases[Unit Cost (CLP)],TblPurchases[BatchID],TblOutcomes[[#This Row],[BatchID]]))</f>
        <v>0</v>
      </c>
      <c r="Q1201" s="51">
        <f>IF(COUNTIF(TblPurchases[BatchID],TblOutcomes[[#This Row],[BatchID]])&lt;&gt;1,"n.a.",SUMIFS(TblPurchases[Purchase Date],TblPurchases[BatchID],TblOutcomes[[#This Row],[BatchID]]))</f>
        <v>45181</v>
      </c>
    </row>
    <row r="1202" spans="2:17" x14ac:dyDescent="0.25">
      <c r="B1202" s="2" t="s">
        <v>2006</v>
      </c>
      <c r="C1202" s="2" t="s">
        <v>160</v>
      </c>
      <c r="D1202" s="2" t="s">
        <v>155</v>
      </c>
      <c r="E1202" s="2" t="s">
        <v>4647</v>
      </c>
      <c r="F1202" s="2">
        <v>36</v>
      </c>
      <c r="G1202" s="2">
        <v>36</v>
      </c>
      <c r="H1202" s="2">
        <v>0</v>
      </c>
      <c r="I1202" s="1">
        <v>0</v>
      </c>
      <c r="J1202" s="26">
        <v>45195</v>
      </c>
      <c r="K1202" s="22">
        <v>72000</v>
      </c>
      <c r="L1202" s="18">
        <v>77.010000000000005</v>
      </c>
      <c r="M1202" s="22">
        <v>52200</v>
      </c>
      <c r="N1202" s="22">
        <v>19800</v>
      </c>
      <c r="O1202" s="18">
        <v>21.18</v>
      </c>
      <c r="P1202" s="52">
        <f>IF(COUNTIF(TblPurchases[BatchID],TblOutcomes[[#This Row],[BatchID]])&lt;&gt;1,"n.a.",TblOutcomes[[#This Row],[Qty Wasted]]*SUMIFS(TblPurchases[Unit Cost (CLP)],TblPurchases[BatchID],TblOutcomes[[#This Row],[BatchID]]))</f>
        <v>0</v>
      </c>
      <c r="Q1202" s="51">
        <f>IF(COUNTIF(TblPurchases[BatchID],TblOutcomes[[#This Row],[BatchID]])&lt;&gt;1,"n.a.",SUMIFS(TblPurchases[Purchase Date],TblPurchases[BatchID],TblOutcomes[[#This Row],[BatchID]]))</f>
        <v>45190</v>
      </c>
    </row>
    <row r="1203" spans="2:17" x14ac:dyDescent="0.25">
      <c r="B1203" s="2" t="s">
        <v>2007</v>
      </c>
      <c r="C1203" s="2" t="s">
        <v>160</v>
      </c>
      <c r="D1203" s="2" t="s">
        <v>155</v>
      </c>
      <c r="E1203" s="2" t="s">
        <v>4646</v>
      </c>
      <c r="F1203" s="2">
        <v>35</v>
      </c>
      <c r="G1203" s="2">
        <v>28.45</v>
      </c>
      <c r="H1203" s="2">
        <v>6.54</v>
      </c>
      <c r="I1203" s="1">
        <v>18.7</v>
      </c>
      <c r="J1203" s="26">
        <v>45215</v>
      </c>
      <c r="K1203" s="22">
        <v>56900</v>
      </c>
      <c r="L1203" s="18">
        <v>60.86</v>
      </c>
      <c r="M1203" s="22">
        <v>50750</v>
      </c>
      <c r="N1203" s="22">
        <v>6150</v>
      </c>
      <c r="O1203" s="18">
        <v>6.58</v>
      </c>
      <c r="P1203" s="52">
        <f>IF(COUNTIF(TblPurchases[BatchID],TblOutcomes[[#This Row],[BatchID]])&lt;&gt;1,"n.a.",TblOutcomes[[#This Row],[Qty Wasted]]*SUMIFS(TblPurchases[Unit Cost (CLP)],TblPurchases[BatchID],TblOutcomes[[#This Row],[BatchID]]))</f>
        <v>9483</v>
      </c>
      <c r="Q1203" s="51">
        <f>IF(COUNTIF(TblPurchases[BatchID],TblOutcomes[[#This Row],[BatchID]])&lt;&gt;1,"n.a.",SUMIFS(TblPurchases[Purchase Date],TblPurchases[BatchID],TblOutcomes[[#This Row],[BatchID]]))</f>
        <v>45195</v>
      </c>
    </row>
    <row r="1204" spans="2:17" x14ac:dyDescent="0.25">
      <c r="B1204" s="2" t="s">
        <v>2008</v>
      </c>
      <c r="C1204" s="2" t="s">
        <v>160</v>
      </c>
      <c r="D1204" s="2" t="s">
        <v>155</v>
      </c>
      <c r="E1204" s="2" t="s">
        <v>4647</v>
      </c>
      <c r="F1204" s="2">
        <v>31</v>
      </c>
      <c r="G1204" s="2">
        <v>31</v>
      </c>
      <c r="H1204" s="2">
        <v>0</v>
      </c>
      <c r="I1204" s="1">
        <v>0</v>
      </c>
      <c r="J1204" s="26">
        <v>45206</v>
      </c>
      <c r="K1204" s="22">
        <v>62000</v>
      </c>
      <c r="L1204" s="18">
        <v>66.31</v>
      </c>
      <c r="M1204" s="22">
        <v>44950</v>
      </c>
      <c r="N1204" s="22">
        <v>17050</v>
      </c>
      <c r="O1204" s="18">
        <v>18.239999999999998</v>
      </c>
      <c r="P1204" s="52">
        <f>IF(COUNTIF(TblPurchases[BatchID],TblOutcomes[[#This Row],[BatchID]])&lt;&gt;1,"n.a.",TblOutcomes[[#This Row],[Qty Wasted]]*SUMIFS(TblPurchases[Unit Cost (CLP)],TblPurchases[BatchID],TblOutcomes[[#This Row],[BatchID]]))</f>
        <v>0</v>
      </c>
      <c r="Q1204" s="51">
        <f>IF(COUNTIF(TblPurchases[BatchID],TblOutcomes[[#This Row],[BatchID]])&lt;&gt;1,"n.a.",SUMIFS(TblPurchases[Purchase Date],TblPurchases[BatchID],TblOutcomes[[#This Row],[BatchID]]))</f>
        <v>45201</v>
      </c>
    </row>
    <row r="1205" spans="2:17" x14ac:dyDescent="0.25">
      <c r="B1205" s="2" t="s">
        <v>2009</v>
      </c>
      <c r="C1205" s="2" t="s">
        <v>160</v>
      </c>
      <c r="D1205" s="2" t="s">
        <v>155</v>
      </c>
      <c r="E1205" s="2" t="s">
        <v>4647</v>
      </c>
      <c r="F1205" s="2">
        <v>26</v>
      </c>
      <c r="G1205" s="2">
        <v>26</v>
      </c>
      <c r="H1205" s="2">
        <v>0</v>
      </c>
      <c r="I1205" s="1">
        <v>0</v>
      </c>
      <c r="J1205" s="26">
        <v>45213</v>
      </c>
      <c r="K1205" s="22">
        <v>52000</v>
      </c>
      <c r="L1205" s="18">
        <v>55.61</v>
      </c>
      <c r="M1205" s="22">
        <v>37700</v>
      </c>
      <c r="N1205" s="22">
        <v>14300</v>
      </c>
      <c r="O1205" s="18">
        <v>15.29</v>
      </c>
      <c r="P1205" s="52">
        <f>IF(COUNTIF(TblPurchases[BatchID],TblOutcomes[[#This Row],[BatchID]])&lt;&gt;1,"n.a.",TblOutcomes[[#This Row],[Qty Wasted]]*SUMIFS(TblPurchases[Unit Cost (CLP)],TblPurchases[BatchID],TblOutcomes[[#This Row],[BatchID]]))</f>
        <v>0</v>
      </c>
      <c r="Q1205" s="51">
        <f>IF(COUNTIF(TblPurchases[BatchID],TblOutcomes[[#This Row],[BatchID]])&lt;&gt;1,"n.a.",SUMIFS(TblPurchases[Purchase Date],TblPurchases[BatchID],TblOutcomes[[#This Row],[BatchID]]))</f>
        <v>45208</v>
      </c>
    </row>
    <row r="1206" spans="2:17" x14ac:dyDescent="0.25">
      <c r="B1206" s="2" t="s">
        <v>2010</v>
      </c>
      <c r="C1206" s="2" t="s">
        <v>160</v>
      </c>
      <c r="D1206" s="2" t="s">
        <v>155</v>
      </c>
      <c r="E1206" s="2" t="s">
        <v>4646</v>
      </c>
      <c r="F1206" s="2">
        <v>30</v>
      </c>
      <c r="G1206" s="2">
        <v>22.08</v>
      </c>
      <c r="H1206" s="2">
        <v>7.92</v>
      </c>
      <c r="I1206" s="1">
        <v>26.4</v>
      </c>
      <c r="J1206" s="26">
        <v>45235</v>
      </c>
      <c r="K1206" s="22">
        <v>44160</v>
      </c>
      <c r="L1206" s="18">
        <v>47.23</v>
      </c>
      <c r="M1206" s="22">
        <v>43500</v>
      </c>
      <c r="N1206" s="22">
        <v>660</v>
      </c>
      <c r="O1206" s="18">
        <v>0.71</v>
      </c>
      <c r="P1206" s="52">
        <f>IF(COUNTIF(TblPurchases[BatchID],TblOutcomes[[#This Row],[BatchID]])&lt;&gt;1,"n.a.",TblOutcomes[[#This Row],[Qty Wasted]]*SUMIFS(TblPurchases[Unit Cost (CLP)],TblPurchases[BatchID],TblOutcomes[[#This Row],[BatchID]]))</f>
        <v>11484</v>
      </c>
      <c r="Q1206" s="51">
        <f>IF(COUNTIF(TblPurchases[BatchID],TblOutcomes[[#This Row],[BatchID]])&lt;&gt;1,"n.a.",SUMIFS(TblPurchases[Purchase Date],TblPurchases[BatchID],TblOutcomes[[#This Row],[BatchID]]))</f>
        <v>45215</v>
      </c>
    </row>
    <row r="1207" spans="2:17" x14ac:dyDescent="0.25">
      <c r="B1207" s="2" t="s">
        <v>2011</v>
      </c>
      <c r="C1207" s="2" t="s">
        <v>160</v>
      </c>
      <c r="D1207" s="2" t="s">
        <v>155</v>
      </c>
      <c r="E1207" s="2" t="s">
        <v>4646</v>
      </c>
      <c r="F1207" s="2">
        <v>31</v>
      </c>
      <c r="G1207" s="2">
        <v>23.41</v>
      </c>
      <c r="H1207" s="2">
        <v>7.59</v>
      </c>
      <c r="I1207" s="1">
        <v>24.5</v>
      </c>
      <c r="J1207" s="26">
        <v>45241</v>
      </c>
      <c r="K1207" s="22">
        <v>46820</v>
      </c>
      <c r="L1207" s="18">
        <v>50.07</v>
      </c>
      <c r="M1207" s="22">
        <v>44950</v>
      </c>
      <c r="N1207" s="22">
        <v>1870</v>
      </c>
      <c r="O1207" s="18">
        <v>2</v>
      </c>
      <c r="P1207" s="52">
        <f>IF(COUNTIF(TblPurchases[BatchID],TblOutcomes[[#This Row],[BatchID]])&lt;&gt;1,"n.a.",TblOutcomes[[#This Row],[Qty Wasted]]*SUMIFS(TblPurchases[Unit Cost (CLP)],TblPurchases[BatchID],TblOutcomes[[#This Row],[BatchID]]))</f>
        <v>11005.5</v>
      </c>
      <c r="Q1207" s="51">
        <f>IF(COUNTIF(TblPurchases[BatchID],TblOutcomes[[#This Row],[BatchID]])&lt;&gt;1,"n.a.",SUMIFS(TblPurchases[Purchase Date],TblPurchases[BatchID],TblOutcomes[[#This Row],[BatchID]]))</f>
        <v>45221</v>
      </c>
    </row>
    <row r="1208" spans="2:17" x14ac:dyDescent="0.25">
      <c r="B1208" s="2" t="s">
        <v>2012</v>
      </c>
      <c r="C1208" s="2" t="s">
        <v>160</v>
      </c>
      <c r="D1208" s="2" t="s">
        <v>155</v>
      </c>
      <c r="E1208" s="2" t="s">
        <v>4647</v>
      </c>
      <c r="F1208" s="2">
        <v>26</v>
      </c>
      <c r="G1208" s="2">
        <v>26</v>
      </c>
      <c r="H1208" s="2">
        <v>0</v>
      </c>
      <c r="I1208" s="1">
        <v>0</v>
      </c>
      <c r="J1208" s="26">
        <v>45235</v>
      </c>
      <c r="K1208" s="22">
        <v>52000</v>
      </c>
      <c r="L1208" s="18">
        <v>55.61</v>
      </c>
      <c r="M1208" s="22">
        <v>37700</v>
      </c>
      <c r="N1208" s="22">
        <v>14300</v>
      </c>
      <c r="O1208" s="18">
        <v>15.29</v>
      </c>
      <c r="P1208" s="52">
        <f>IF(COUNTIF(TblPurchases[BatchID],TblOutcomes[[#This Row],[BatchID]])&lt;&gt;1,"n.a.",TblOutcomes[[#This Row],[Qty Wasted]]*SUMIFS(TblPurchases[Unit Cost (CLP)],TblPurchases[BatchID],TblOutcomes[[#This Row],[BatchID]]))</f>
        <v>0</v>
      </c>
      <c r="Q1208" s="51">
        <f>IF(COUNTIF(TblPurchases[BatchID],TblOutcomes[[#This Row],[BatchID]])&lt;&gt;1,"n.a.",SUMIFS(TblPurchases[Purchase Date],TblPurchases[BatchID],TblOutcomes[[#This Row],[BatchID]]))</f>
        <v>45227</v>
      </c>
    </row>
    <row r="1209" spans="2:17" x14ac:dyDescent="0.25">
      <c r="B1209" s="2" t="s">
        <v>2013</v>
      </c>
      <c r="C1209" s="2" t="s">
        <v>160</v>
      </c>
      <c r="D1209" s="2" t="s">
        <v>155</v>
      </c>
      <c r="E1209" s="2" t="s">
        <v>4646</v>
      </c>
      <c r="F1209" s="2">
        <v>34</v>
      </c>
      <c r="G1209" s="2">
        <v>23.77</v>
      </c>
      <c r="H1209" s="2">
        <v>10.23</v>
      </c>
      <c r="I1209" s="1">
        <v>30.1</v>
      </c>
      <c r="J1209" s="26">
        <v>45254</v>
      </c>
      <c r="K1209" s="22">
        <v>47540</v>
      </c>
      <c r="L1209" s="18">
        <v>50.84</v>
      </c>
      <c r="M1209" s="22">
        <v>49300</v>
      </c>
      <c r="N1209" s="22">
        <v>-1760</v>
      </c>
      <c r="O1209" s="18">
        <v>-1.88</v>
      </c>
      <c r="P1209" s="52">
        <f>IF(COUNTIF(TblPurchases[BatchID],TblOutcomes[[#This Row],[BatchID]])&lt;&gt;1,"n.a.",TblOutcomes[[#This Row],[Qty Wasted]]*SUMIFS(TblPurchases[Unit Cost (CLP)],TblPurchases[BatchID],TblOutcomes[[#This Row],[BatchID]]))</f>
        <v>14833.5</v>
      </c>
      <c r="Q1209" s="51">
        <f>IF(COUNTIF(TblPurchases[BatchID],TblOutcomes[[#This Row],[BatchID]])&lt;&gt;1,"n.a.",SUMIFS(TblPurchases[Purchase Date],TblPurchases[BatchID],TblOutcomes[[#This Row],[BatchID]]))</f>
        <v>45234</v>
      </c>
    </row>
    <row r="1210" spans="2:17" x14ac:dyDescent="0.25">
      <c r="B1210" s="2" t="s">
        <v>2014</v>
      </c>
      <c r="C1210" s="2" t="s">
        <v>160</v>
      </c>
      <c r="D1210" s="2" t="s">
        <v>155</v>
      </c>
      <c r="E1210" s="2" t="s">
        <v>4647</v>
      </c>
      <c r="F1210" s="2">
        <v>27</v>
      </c>
      <c r="G1210" s="2">
        <v>27</v>
      </c>
      <c r="H1210" s="2">
        <v>0</v>
      </c>
      <c r="I1210" s="1">
        <v>0</v>
      </c>
      <c r="J1210" s="26">
        <v>45246</v>
      </c>
      <c r="K1210" s="22">
        <v>54000</v>
      </c>
      <c r="L1210" s="18">
        <v>57.75</v>
      </c>
      <c r="M1210" s="22">
        <v>39150</v>
      </c>
      <c r="N1210" s="22">
        <v>14850</v>
      </c>
      <c r="O1210" s="18">
        <v>15.88</v>
      </c>
      <c r="P1210" s="52">
        <f>IF(COUNTIF(TblPurchases[BatchID],TblOutcomes[[#This Row],[BatchID]])&lt;&gt;1,"n.a.",TblOutcomes[[#This Row],[Qty Wasted]]*SUMIFS(TblPurchases[Unit Cost (CLP)],TblPurchases[BatchID],TblOutcomes[[#This Row],[BatchID]]))</f>
        <v>0</v>
      </c>
      <c r="Q1210" s="51">
        <f>IF(COUNTIF(TblPurchases[BatchID],TblOutcomes[[#This Row],[BatchID]])&lt;&gt;1,"n.a.",SUMIFS(TblPurchases[Purchase Date],TblPurchases[BatchID],TblOutcomes[[#This Row],[BatchID]]))</f>
        <v>45241</v>
      </c>
    </row>
    <row r="1211" spans="2:17" x14ac:dyDescent="0.25">
      <c r="B1211" s="2" t="s">
        <v>2015</v>
      </c>
      <c r="C1211" s="2" t="s">
        <v>160</v>
      </c>
      <c r="D1211" s="2" t="s">
        <v>155</v>
      </c>
      <c r="E1211" s="2" t="s">
        <v>4647</v>
      </c>
      <c r="F1211" s="2">
        <v>31</v>
      </c>
      <c r="G1211" s="2">
        <v>31</v>
      </c>
      <c r="H1211" s="2">
        <v>0</v>
      </c>
      <c r="I1211" s="1">
        <v>0</v>
      </c>
      <c r="J1211" s="26">
        <v>45253</v>
      </c>
      <c r="K1211" s="22">
        <v>62000</v>
      </c>
      <c r="L1211" s="18">
        <v>66.31</v>
      </c>
      <c r="M1211" s="22">
        <v>44950</v>
      </c>
      <c r="N1211" s="22">
        <v>17050</v>
      </c>
      <c r="O1211" s="18">
        <v>18.239999999999998</v>
      </c>
      <c r="P1211" s="52">
        <f>IF(COUNTIF(TblPurchases[BatchID],TblOutcomes[[#This Row],[BatchID]])&lt;&gt;1,"n.a.",TblOutcomes[[#This Row],[Qty Wasted]]*SUMIFS(TblPurchases[Unit Cost (CLP)],TblPurchases[BatchID],TblOutcomes[[#This Row],[BatchID]]))</f>
        <v>0</v>
      </c>
      <c r="Q1211" s="51">
        <f>IF(COUNTIF(TblPurchases[BatchID],TblOutcomes[[#This Row],[BatchID]])&lt;&gt;1,"n.a.",SUMIFS(TblPurchases[Purchase Date],TblPurchases[BatchID],TblOutcomes[[#This Row],[BatchID]]))</f>
        <v>45247</v>
      </c>
    </row>
    <row r="1212" spans="2:17" x14ac:dyDescent="0.25">
      <c r="B1212" s="2" t="s">
        <v>2016</v>
      </c>
      <c r="C1212" s="2" t="s">
        <v>160</v>
      </c>
      <c r="D1212" s="2" t="s">
        <v>155</v>
      </c>
      <c r="E1212" s="2" t="s">
        <v>4647</v>
      </c>
      <c r="F1212" s="2">
        <v>31</v>
      </c>
      <c r="G1212" s="2">
        <v>31</v>
      </c>
      <c r="H1212" s="2">
        <v>0</v>
      </c>
      <c r="I1212" s="1">
        <v>0</v>
      </c>
      <c r="J1212" s="26">
        <v>45258</v>
      </c>
      <c r="K1212" s="22">
        <v>62000</v>
      </c>
      <c r="L1212" s="18">
        <v>66.31</v>
      </c>
      <c r="M1212" s="22">
        <v>44950</v>
      </c>
      <c r="N1212" s="22">
        <v>17050</v>
      </c>
      <c r="O1212" s="18">
        <v>18.239999999999998</v>
      </c>
      <c r="P1212" s="52">
        <f>IF(COUNTIF(TblPurchases[BatchID],TblOutcomes[[#This Row],[BatchID]])&lt;&gt;1,"n.a.",TblOutcomes[[#This Row],[Qty Wasted]]*SUMIFS(TblPurchases[Unit Cost (CLP)],TblPurchases[BatchID],TblOutcomes[[#This Row],[BatchID]]))</f>
        <v>0</v>
      </c>
      <c r="Q1212" s="51">
        <f>IF(COUNTIF(TblPurchases[BatchID],TblOutcomes[[#This Row],[BatchID]])&lt;&gt;1,"n.a.",SUMIFS(TblPurchases[Purchase Date],TblPurchases[BatchID],TblOutcomes[[#This Row],[BatchID]]))</f>
        <v>45253</v>
      </c>
    </row>
    <row r="1213" spans="2:17" x14ac:dyDescent="0.25">
      <c r="B1213" s="2" t="s">
        <v>2017</v>
      </c>
      <c r="C1213" s="2" t="s">
        <v>160</v>
      </c>
      <c r="D1213" s="2" t="s">
        <v>155</v>
      </c>
      <c r="E1213" s="2" t="s">
        <v>4646</v>
      </c>
      <c r="F1213" s="2">
        <v>34</v>
      </c>
      <c r="G1213" s="2">
        <v>26.45</v>
      </c>
      <c r="H1213" s="2">
        <v>7.55</v>
      </c>
      <c r="I1213" s="1">
        <v>22.2</v>
      </c>
      <c r="J1213" s="26">
        <v>45279</v>
      </c>
      <c r="K1213" s="22">
        <v>52900</v>
      </c>
      <c r="L1213" s="18">
        <v>56.58</v>
      </c>
      <c r="M1213" s="22">
        <v>49300</v>
      </c>
      <c r="N1213" s="22">
        <v>3600</v>
      </c>
      <c r="O1213" s="18">
        <v>3.85</v>
      </c>
      <c r="P1213" s="52">
        <f>IF(COUNTIF(TblPurchases[BatchID],TblOutcomes[[#This Row],[BatchID]])&lt;&gt;1,"n.a.",TblOutcomes[[#This Row],[Qty Wasted]]*SUMIFS(TblPurchases[Unit Cost (CLP)],TblPurchases[BatchID],TblOutcomes[[#This Row],[BatchID]]))</f>
        <v>10947.5</v>
      </c>
      <c r="Q1213" s="51">
        <f>IF(COUNTIF(TblPurchases[BatchID],TblOutcomes[[#This Row],[BatchID]])&lt;&gt;1,"n.a.",SUMIFS(TblPurchases[Purchase Date],TblPurchases[BatchID],TblOutcomes[[#This Row],[BatchID]]))</f>
        <v>45259</v>
      </c>
    </row>
    <row r="1214" spans="2:17" x14ac:dyDescent="0.25">
      <c r="B1214" s="2" t="s">
        <v>2018</v>
      </c>
      <c r="C1214" s="2" t="s">
        <v>160</v>
      </c>
      <c r="D1214" s="2" t="s">
        <v>155</v>
      </c>
      <c r="E1214" s="2" t="s">
        <v>4646</v>
      </c>
      <c r="F1214" s="2">
        <v>40</v>
      </c>
      <c r="G1214" s="2">
        <v>30</v>
      </c>
      <c r="H1214" s="2">
        <v>10</v>
      </c>
      <c r="I1214" s="1">
        <v>25</v>
      </c>
      <c r="J1214" s="26">
        <v>45283</v>
      </c>
      <c r="K1214" s="22">
        <v>60000</v>
      </c>
      <c r="L1214" s="18">
        <v>64.17</v>
      </c>
      <c r="M1214" s="22">
        <v>58000</v>
      </c>
      <c r="N1214" s="22">
        <v>2000</v>
      </c>
      <c r="O1214" s="18">
        <v>2.14</v>
      </c>
      <c r="P1214" s="52">
        <f>IF(COUNTIF(TblPurchases[BatchID],TblOutcomes[[#This Row],[BatchID]])&lt;&gt;1,"n.a.",TblOutcomes[[#This Row],[Qty Wasted]]*SUMIFS(TblPurchases[Unit Cost (CLP)],TblPurchases[BatchID],TblOutcomes[[#This Row],[BatchID]]))</f>
        <v>14500</v>
      </c>
      <c r="Q1214" s="51">
        <f>IF(COUNTIF(TblPurchases[BatchID],TblOutcomes[[#This Row],[BatchID]])&lt;&gt;1,"n.a.",SUMIFS(TblPurchases[Purchase Date],TblPurchases[BatchID],TblOutcomes[[#This Row],[BatchID]]))</f>
        <v>45263</v>
      </c>
    </row>
    <row r="1215" spans="2:17" x14ac:dyDescent="0.25">
      <c r="B1215" s="2" t="s">
        <v>2019</v>
      </c>
      <c r="C1215" s="2" t="s">
        <v>160</v>
      </c>
      <c r="D1215" s="2" t="s">
        <v>155</v>
      </c>
      <c r="E1215" s="2" t="s">
        <v>4647</v>
      </c>
      <c r="F1215" s="2">
        <v>45</v>
      </c>
      <c r="G1215" s="2">
        <v>45</v>
      </c>
      <c r="H1215" s="2">
        <v>0</v>
      </c>
      <c r="I1215" s="1">
        <v>0</v>
      </c>
      <c r="J1215" s="26">
        <v>45276</v>
      </c>
      <c r="K1215" s="22">
        <v>90000</v>
      </c>
      <c r="L1215" s="18">
        <v>96.26</v>
      </c>
      <c r="M1215" s="22">
        <v>65250</v>
      </c>
      <c r="N1215" s="22">
        <v>24750</v>
      </c>
      <c r="O1215" s="18">
        <v>26.47</v>
      </c>
      <c r="P1215" s="52">
        <f>IF(COUNTIF(TblPurchases[BatchID],TblOutcomes[[#This Row],[BatchID]])&lt;&gt;1,"n.a.",TblOutcomes[[#This Row],[Qty Wasted]]*SUMIFS(TblPurchases[Unit Cost (CLP)],TblPurchases[BatchID],TblOutcomes[[#This Row],[BatchID]]))</f>
        <v>0</v>
      </c>
      <c r="Q1215" s="51">
        <f>IF(COUNTIF(TblPurchases[BatchID],TblOutcomes[[#This Row],[BatchID]])&lt;&gt;1,"n.a.",SUMIFS(TblPurchases[Purchase Date],TblPurchases[BatchID],TblOutcomes[[#This Row],[BatchID]]))</f>
        <v>45271</v>
      </c>
    </row>
    <row r="1216" spans="2:17" x14ac:dyDescent="0.25">
      <c r="B1216" s="2" t="s">
        <v>2020</v>
      </c>
      <c r="C1216" s="2" t="s">
        <v>160</v>
      </c>
      <c r="D1216" s="2" t="s">
        <v>155</v>
      </c>
      <c r="E1216" s="2" t="s">
        <v>4647</v>
      </c>
      <c r="F1216" s="2">
        <v>41</v>
      </c>
      <c r="G1216" s="2">
        <v>41</v>
      </c>
      <c r="H1216" s="2">
        <v>0</v>
      </c>
      <c r="I1216" s="1">
        <v>0</v>
      </c>
      <c r="J1216" s="26">
        <v>45283</v>
      </c>
      <c r="K1216" s="22">
        <v>82000</v>
      </c>
      <c r="L1216" s="18">
        <v>87.7</v>
      </c>
      <c r="M1216" s="22">
        <v>59450</v>
      </c>
      <c r="N1216" s="22">
        <v>22550</v>
      </c>
      <c r="O1216" s="18">
        <v>24.12</v>
      </c>
      <c r="P1216" s="52">
        <f>IF(COUNTIF(TblPurchases[BatchID],TblOutcomes[[#This Row],[BatchID]])&lt;&gt;1,"n.a.",TblOutcomes[[#This Row],[Qty Wasted]]*SUMIFS(TblPurchases[Unit Cost (CLP)],TblPurchases[BatchID],TblOutcomes[[#This Row],[BatchID]]))</f>
        <v>0</v>
      </c>
      <c r="Q1216" s="51">
        <f>IF(COUNTIF(TblPurchases[BatchID],TblOutcomes[[#This Row],[BatchID]])&lt;&gt;1,"n.a.",SUMIFS(TblPurchases[Purchase Date],TblPurchases[BatchID],TblOutcomes[[#This Row],[BatchID]]))</f>
        <v>45277</v>
      </c>
    </row>
    <row r="1217" spans="2:17" x14ac:dyDescent="0.25">
      <c r="B1217" s="2" t="s">
        <v>2021</v>
      </c>
      <c r="C1217" s="2" t="s">
        <v>160</v>
      </c>
      <c r="D1217" s="2" t="s">
        <v>155</v>
      </c>
      <c r="E1217" s="2" t="s">
        <v>4647</v>
      </c>
      <c r="F1217" s="2">
        <v>36</v>
      </c>
      <c r="G1217" s="2">
        <v>36</v>
      </c>
      <c r="H1217" s="2">
        <v>0</v>
      </c>
      <c r="I1217" s="1">
        <v>0</v>
      </c>
      <c r="J1217" s="26">
        <v>45288</v>
      </c>
      <c r="K1217" s="22">
        <v>72000</v>
      </c>
      <c r="L1217" s="18">
        <v>77.010000000000005</v>
      </c>
      <c r="M1217" s="22">
        <v>52200</v>
      </c>
      <c r="N1217" s="22">
        <v>19800</v>
      </c>
      <c r="O1217" s="18">
        <v>21.18</v>
      </c>
      <c r="P1217" s="52">
        <f>IF(COUNTIF(TblPurchases[BatchID],TblOutcomes[[#This Row],[BatchID]])&lt;&gt;1,"n.a.",TblOutcomes[[#This Row],[Qty Wasted]]*SUMIFS(TblPurchases[Unit Cost (CLP)],TblPurchases[BatchID],TblOutcomes[[#This Row],[BatchID]]))</f>
        <v>0</v>
      </c>
      <c r="Q1217" s="51">
        <f>IF(COUNTIF(TblPurchases[BatchID],TblOutcomes[[#This Row],[BatchID]])&lt;&gt;1,"n.a.",SUMIFS(TblPurchases[Purchase Date],TblPurchases[BatchID],TblOutcomes[[#This Row],[BatchID]]))</f>
        <v>45284</v>
      </c>
    </row>
    <row r="1218" spans="2:17" x14ac:dyDescent="0.25">
      <c r="B1218" s="2" t="s">
        <v>2022</v>
      </c>
      <c r="C1218" s="2" t="s">
        <v>160</v>
      </c>
      <c r="D1218" s="2" t="s">
        <v>155</v>
      </c>
      <c r="E1218" s="2" t="s">
        <v>4647</v>
      </c>
      <c r="F1218" s="2">
        <v>34</v>
      </c>
      <c r="G1218" s="2">
        <v>34</v>
      </c>
      <c r="H1218" s="2">
        <v>0</v>
      </c>
      <c r="I1218" s="1">
        <v>0</v>
      </c>
      <c r="J1218" s="26">
        <v>45297</v>
      </c>
      <c r="K1218" s="22">
        <v>68000</v>
      </c>
      <c r="L1218" s="18">
        <v>72.73</v>
      </c>
      <c r="M1218" s="22">
        <v>49300</v>
      </c>
      <c r="N1218" s="22">
        <v>18700</v>
      </c>
      <c r="O1218" s="18">
        <v>20</v>
      </c>
      <c r="P1218" s="52">
        <f>IF(COUNTIF(TblPurchases[BatchID],TblOutcomes[[#This Row],[BatchID]])&lt;&gt;1,"n.a.",TblOutcomes[[#This Row],[Qty Wasted]]*SUMIFS(TblPurchases[Unit Cost (CLP)],TblPurchases[BatchID],TblOutcomes[[#This Row],[BatchID]]))</f>
        <v>0</v>
      </c>
      <c r="Q1218" s="51">
        <f>IF(COUNTIF(TblPurchases[BatchID],TblOutcomes[[#This Row],[BatchID]])&lt;&gt;1,"n.a.",SUMIFS(TblPurchases[Purchase Date],TblPurchases[BatchID],TblOutcomes[[#This Row],[BatchID]]))</f>
        <v>45289</v>
      </c>
    </row>
    <row r="1219" spans="2:17" x14ac:dyDescent="0.25">
      <c r="B1219" s="2" t="s">
        <v>2023</v>
      </c>
      <c r="C1219" s="2" t="s">
        <v>160</v>
      </c>
      <c r="D1219" s="2" t="s">
        <v>155</v>
      </c>
      <c r="E1219" s="2" t="s">
        <v>4646</v>
      </c>
      <c r="F1219" s="2">
        <v>27</v>
      </c>
      <c r="G1219" s="2">
        <v>19.87</v>
      </c>
      <c r="H1219" s="2">
        <v>7.13</v>
      </c>
      <c r="I1219" s="1">
        <v>26.4</v>
      </c>
      <c r="J1219" s="26">
        <v>45316</v>
      </c>
      <c r="K1219" s="22">
        <v>39740</v>
      </c>
      <c r="L1219" s="18">
        <v>42.5</v>
      </c>
      <c r="M1219" s="22">
        <v>39150</v>
      </c>
      <c r="N1219" s="22">
        <v>590</v>
      </c>
      <c r="O1219" s="18">
        <v>0.63</v>
      </c>
      <c r="P1219" s="52">
        <f>IF(COUNTIF(TblPurchases[BatchID],TblOutcomes[[#This Row],[BatchID]])&lt;&gt;1,"n.a.",TblOutcomes[[#This Row],[Qty Wasted]]*SUMIFS(TblPurchases[Unit Cost (CLP)],TblPurchases[BatchID],TblOutcomes[[#This Row],[BatchID]]))</f>
        <v>10338.5</v>
      </c>
      <c r="Q1219" s="51">
        <f>IF(COUNTIF(TblPurchases[BatchID],TblOutcomes[[#This Row],[BatchID]])&lt;&gt;1,"n.a.",SUMIFS(TblPurchases[Purchase Date],TblPurchases[BatchID],TblOutcomes[[#This Row],[BatchID]]))</f>
        <v>45296</v>
      </c>
    </row>
    <row r="1220" spans="2:17" x14ac:dyDescent="0.25">
      <c r="B1220" s="2" t="s">
        <v>2024</v>
      </c>
      <c r="C1220" s="2" t="s">
        <v>160</v>
      </c>
      <c r="D1220" s="2" t="s">
        <v>155</v>
      </c>
      <c r="E1220" s="2" t="s">
        <v>4646</v>
      </c>
      <c r="F1220" s="2">
        <v>26</v>
      </c>
      <c r="G1220" s="2">
        <v>22.72</v>
      </c>
      <c r="H1220" s="2">
        <v>3.28</v>
      </c>
      <c r="I1220" s="1">
        <v>12.6</v>
      </c>
      <c r="J1220" s="26">
        <v>45324</v>
      </c>
      <c r="K1220" s="22">
        <v>45440</v>
      </c>
      <c r="L1220" s="18">
        <v>48.6</v>
      </c>
      <c r="M1220" s="22">
        <v>37700</v>
      </c>
      <c r="N1220" s="22">
        <v>7740</v>
      </c>
      <c r="O1220" s="18">
        <v>8.2799999999999994</v>
      </c>
      <c r="P1220" s="52">
        <f>IF(COUNTIF(TblPurchases[BatchID],TblOutcomes[[#This Row],[BatchID]])&lt;&gt;1,"n.a.",TblOutcomes[[#This Row],[Qty Wasted]]*SUMIFS(TblPurchases[Unit Cost (CLP)],TblPurchases[BatchID],TblOutcomes[[#This Row],[BatchID]]))</f>
        <v>4756</v>
      </c>
      <c r="Q1220" s="51">
        <f>IF(COUNTIF(TblPurchases[BatchID],TblOutcomes[[#This Row],[BatchID]])&lt;&gt;1,"n.a.",SUMIFS(TblPurchases[Purchase Date],TblPurchases[BatchID],TblOutcomes[[#This Row],[BatchID]]))</f>
        <v>45304</v>
      </c>
    </row>
    <row r="1221" spans="2:17" x14ac:dyDescent="0.25">
      <c r="B1221" s="2" t="s">
        <v>2025</v>
      </c>
      <c r="C1221" s="2" t="s">
        <v>160</v>
      </c>
      <c r="D1221" s="2" t="s">
        <v>155</v>
      </c>
      <c r="E1221" s="2" t="s">
        <v>4647</v>
      </c>
      <c r="F1221" s="2">
        <v>32</v>
      </c>
      <c r="G1221" s="2">
        <v>32</v>
      </c>
      <c r="H1221" s="2">
        <v>0</v>
      </c>
      <c r="I1221" s="1">
        <v>0</v>
      </c>
      <c r="J1221" s="26">
        <v>45316</v>
      </c>
      <c r="K1221" s="22">
        <v>64000</v>
      </c>
      <c r="L1221" s="18">
        <v>68.45</v>
      </c>
      <c r="M1221" s="22">
        <v>49600</v>
      </c>
      <c r="N1221" s="22">
        <v>14400</v>
      </c>
      <c r="O1221" s="18">
        <v>15.4</v>
      </c>
      <c r="P1221" s="52">
        <f>IF(COUNTIF(TblPurchases[BatchID],TblOutcomes[[#This Row],[BatchID]])&lt;&gt;1,"n.a.",TblOutcomes[[#This Row],[Qty Wasted]]*SUMIFS(TblPurchases[Unit Cost (CLP)],TblPurchases[BatchID],TblOutcomes[[#This Row],[BatchID]]))</f>
        <v>0</v>
      </c>
      <c r="Q1221" s="51">
        <f>IF(COUNTIF(TblPurchases[BatchID],TblOutcomes[[#This Row],[BatchID]])&lt;&gt;1,"n.a.",SUMIFS(TblPurchases[Purchase Date],TblPurchases[BatchID],TblOutcomes[[#This Row],[BatchID]]))</f>
        <v>45312</v>
      </c>
    </row>
    <row r="1222" spans="2:17" x14ac:dyDescent="0.25">
      <c r="B1222" s="2" t="s">
        <v>2026</v>
      </c>
      <c r="C1222" s="2" t="s">
        <v>160</v>
      </c>
      <c r="D1222" s="2" t="s">
        <v>155</v>
      </c>
      <c r="E1222" s="2" t="s">
        <v>4647</v>
      </c>
      <c r="F1222" s="2">
        <v>32</v>
      </c>
      <c r="G1222" s="2">
        <v>32</v>
      </c>
      <c r="H1222" s="2">
        <v>0</v>
      </c>
      <c r="I1222" s="1">
        <v>0</v>
      </c>
      <c r="J1222" s="26">
        <v>45321</v>
      </c>
      <c r="K1222" s="22">
        <v>64000</v>
      </c>
      <c r="L1222" s="18">
        <v>68.45</v>
      </c>
      <c r="M1222" s="22">
        <v>46400</v>
      </c>
      <c r="N1222" s="22">
        <v>17600</v>
      </c>
      <c r="O1222" s="18">
        <v>18.82</v>
      </c>
      <c r="P1222" s="52">
        <f>IF(COUNTIF(TblPurchases[BatchID],TblOutcomes[[#This Row],[BatchID]])&lt;&gt;1,"n.a.",TblOutcomes[[#This Row],[Qty Wasted]]*SUMIFS(TblPurchases[Unit Cost (CLP)],TblPurchases[BatchID],TblOutcomes[[#This Row],[BatchID]]))</f>
        <v>0</v>
      </c>
      <c r="Q1222" s="51">
        <f>IF(COUNTIF(TblPurchases[BatchID],TblOutcomes[[#This Row],[BatchID]])&lt;&gt;1,"n.a.",SUMIFS(TblPurchases[Purchase Date],TblPurchases[BatchID],TblOutcomes[[#This Row],[BatchID]]))</f>
        <v>45319</v>
      </c>
    </row>
    <row r="1223" spans="2:17" x14ac:dyDescent="0.25">
      <c r="B1223" s="2" t="s">
        <v>2027</v>
      </c>
      <c r="C1223" s="2" t="s">
        <v>160</v>
      </c>
      <c r="D1223" s="2" t="s">
        <v>155</v>
      </c>
      <c r="E1223" s="2" t="s">
        <v>4646</v>
      </c>
      <c r="F1223" s="2">
        <v>27</v>
      </c>
      <c r="G1223" s="2">
        <v>17.579999999999998</v>
      </c>
      <c r="H1223" s="2">
        <v>9.42</v>
      </c>
      <c r="I1223" s="1">
        <v>34.9</v>
      </c>
      <c r="J1223" s="26">
        <v>45347</v>
      </c>
      <c r="K1223" s="22">
        <v>35160</v>
      </c>
      <c r="L1223" s="18">
        <v>37.6</v>
      </c>
      <c r="M1223" s="22">
        <v>39150</v>
      </c>
      <c r="N1223" s="22">
        <v>-3990</v>
      </c>
      <c r="O1223" s="18">
        <v>-4.2699999999999996</v>
      </c>
      <c r="P1223" s="52">
        <f>IF(COUNTIF(TblPurchases[BatchID],TblOutcomes[[#This Row],[BatchID]])&lt;&gt;1,"n.a.",TblOutcomes[[#This Row],[Qty Wasted]]*SUMIFS(TblPurchases[Unit Cost (CLP)],TblPurchases[BatchID],TblOutcomes[[#This Row],[BatchID]]))</f>
        <v>13659</v>
      </c>
      <c r="Q1223" s="51">
        <f>IF(COUNTIF(TblPurchases[BatchID],TblOutcomes[[#This Row],[BatchID]])&lt;&gt;1,"n.a.",SUMIFS(TblPurchases[Purchase Date],TblPurchases[BatchID],TblOutcomes[[#This Row],[BatchID]]))</f>
        <v>45327</v>
      </c>
    </row>
    <row r="1224" spans="2:17" x14ac:dyDescent="0.25">
      <c r="B1224" s="2" t="s">
        <v>2028</v>
      </c>
      <c r="C1224" s="2" t="s">
        <v>160</v>
      </c>
      <c r="D1224" s="2" t="s">
        <v>155</v>
      </c>
      <c r="E1224" s="2" t="s">
        <v>4646</v>
      </c>
      <c r="F1224" s="2">
        <v>33</v>
      </c>
      <c r="G1224" s="2">
        <v>21.98</v>
      </c>
      <c r="H1224" s="2">
        <v>11.02</v>
      </c>
      <c r="I1224" s="1">
        <v>33.4</v>
      </c>
      <c r="J1224" s="26">
        <v>45355</v>
      </c>
      <c r="K1224" s="22">
        <v>43960</v>
      </c>
      <c r="L1224" s="18">
        <v>47.02</v>
      </c>
      <c r="M1224" s="22">
        <v>47850</v>
      </c>
      <c r="N1224" s="22">
        <v>-3890</v>
      </c>
      <c r="O1224" s="18">
        <v>-4.16</v>
      </c>
      <c r="P1224" s="52">
        <f>IF(COUNTIF(TblPurchases[BatchID],TblOutcomes[[#This Row],[BatchID]])&lt;&gt;1,"n.a.",TblOutcomes[[#This Row],[Qty Wasted]]*SUMIFS(TblPurchases[Unit Cost (CLP)],TblPurchases[BatchID],TblOutcomes[[#This Row],[BatchID]]))</f>
        <v>15979</v>
      </c>
      <c r="Q1224" s="51">
        <f>IF(COUNTIF(TblPurchases[BatchID],TblOutcomes[[#This Row],[BatchID]])&lt;&gt;1,"n.a.",SUMIFS(TblPurchases[Purchase Date],TblPurchases[BatchID],TblOutcomes[[#This Row],[BatchID]]))</f>
        <v>45335</v>
      </c>
    </row>
    <row r="1225" spans="2:17" x14ac:dyDescent="0.25">
      <c r="B1225" s="2" t="s">
        <v>2029</v>
      </c>
      <c r="C1225" s="2" t="s">
        <v>160</v>
      </c>
      <c r="D1225" s="2" t="s">
        <v>155</v>
      </c>
      <c r="E1225" s="2" t="s">
        <v>4646</v>
      </c>
      <c r="F1225" s="2">
        <v>34</v>
      </c>
      <c r="G1225" s="2">
        <v>23.02</v>
      </c>
      <c r="H1225" s="2">
        <v>10.98</v>
      </c>
      <c r="I1225" s="1">
        <v>32.299999999999997</v>
      </c>
      <c r="J1225" s="26">
        <v>45361</v>
      </c>
      <c r="K1225" s="22">
        <v>46040</v>
      </c>
      <c r="L1225" s="18">
        <v>49.24</v>
      </c>
      <c r="M1225" s="22">
        <v>49300</v>
      </c>
      <c r="N1225" s="22">
        <v>-3260</v>
      </c>
      <c r="O1225" s="18">
        <v>-3.49</v>
      </c>
      <c r="P1225" s="52">
        <f>IF(COUNTIF(TblPurchases[BatchID],TblOutcomes[[#This Row],[BatchID]])&lt;&gt;1,"n.a.",TblOutcomes[[#This Row],[Qty Wasted]]*SUMIFS(TblPurchases[Unit Cost (CLP)],TblPurchases[BatchID],TblOutcomes[[#This Row],[BatchID]]))</f>
        <v>15921</v>
      </c>
      <c r="Q1225" s="51">
        <f>IF(COUNTIF(TblPurchases[BatchID],TblOutcomes[[#This Row],[BatchID]])&lt;&gt;1,"n.a.",SUMIFS(TblPurchases[Purchase Date],TblPurchases[BatchID],TblOutcomes[[#This Row],[BatchID]]))</f>
        <v>45341</v>
      </c>
    </row>
    <row r="1226" spans="2:17" x14ac:dyDescent="0.25">
      <c r="B1226" s="2" t="s">
        <v>2030</v>
      </c>
      <c r="C1226" s="2" t="s">
        <v>160</v>
      </c>
      <c r="D1226" s="2" t="s">
        <v>155</v>
      </c>
      <c r="E1226" s="2" t="s">
        <v>4647</v>
      </c>
      <c r="F1226" s="2">
        <v>33</v>
      </c>
      <c r="G1226" s="2">
        <v>33</v>
      </c>
      <c r="H1226" s="2">
        <v>0</v>
      </c>
      <c r="I1226" s="1">
        <v>0</v>
      </c>
      <c r="J1226" s="26">
        <v>45349</v>
      </c>
      <c r="K1226" s="22">
        <v>66000</v>
      </c>
      <c r="L1226" s="18">
        <v>70.59</v>
      </c>
      <c r="M1226" s="22">
        <v>47850</v>
      </c>
      <c r="N1226" s="22">
        <v>18150</v>
      </c>
      <c r="O1226" s="18">
        <v>19.41</v>
      </c>
      <c r="P1226" s="52">
        <f>IF(COUNTIF(TblPurchases[BatchID],TblOutcomes[[#This Row],[BatchID]])&lt;&gt;1,"n.a.",TblOutcomes[[#This Row],[Qty Wasted]]*SUMIFS(TblPurchases[Unit Cost (CLP)],TblPurchases[BatchID],TblOutcomes[[#This Row],[BatchID]]))</f>
        <v>0</v>
      </c>
      <c r="Q1226" s="51">
        <f>IF(COUNTIF(TblPurchases[BatchID],TblOutcomes[[#This Row],[BatchID]])&lt;&gt;1,"n.a.",SUMIFS(TblPurchases[Purchase Date],TblPurchases[BatchID],TblOutcomes[[#This Row],[BatchID]]))</f>
        <v>45347</v>
      </c>
    </row>
    <row r="1227" spans="2:17" x14ac:dyDescent="0.25">
      <c r="B1227" s="2" t="s">
        <v>2031</v>
      </c>
      <c r="C1227" s="2" t="s">
        <v>160</v>
      </c>
      <c r="D1227" s="2" t="s">
        <v>155</v>
      </c>
      <c r="E1227" s="2" t="s">
        <v>4647</v>
      </c>
      <c r="F1227" s="2">
        <v>30</v>
      </c>
      <c r="G1227" s="2">
        <v>30</v>
      </c>
      <c r="H1227" s="2">
        <v>0</v>
      </c>
      <c r="I1227" s="1">
        <v>0</v>
      </c>
      <c r="J1227" s="26">
        <v>45357</v>
      </c>
      <c r="K1227" s="22">
        <v>60000</v>
      </c>
      <c r="L1227" s="18">
        <v>64.17</v>
      </c>
      <c r="M1227" s="22">
        <v>43500</v>
      </c>
      <c r="N1227" s="22">
        <v>16500</v>
      </c>
      <c r="O1227" s="18">
        <v>17.649999999999999</v>
      </c>
      <c r="P1227" s="52">
        <f>IF(COUNTIF(TblPurchases[BatchID],TblOutcomes[[#This Row],[BatchID]])&lt;&gt;1,"n.a.",TblOutcomes[[#This Row],[Qty Wasted]]*SUMIFS(TblPurchases[Unit Cost (CLP)],TblPurchases[BatchID],TblOutcomes[[#This Row],[BatchID]]))</f>
        <v>0</v>
      </c>
      <c r="Q1227" s="51">
        <f>IF(COUNTIF(TblPurchases[BatchID],TblOutcomes[[#This Row],[BatchID]])&lt;&gt;1,"n.a.",SUMIFS(TblPurchases[Purchase Date],TblPurchases[BatchID],TblOutcomes[[#This Row],[BatchID]]))</f>
        <v>45353</v>
      </c>
    </row>
    <row r="1228" spans="2:17" x14ac:dyDescent="0.25">
      <c r="B1228" s="2" t="s">
        <v>2032</v>
      </c>
      <c r="C1228" s="2" t="s">
        <v>160</v>
      </c>
      <c r="D1228" s="2" t="s">
        <v>155</v>
      </c>
      <c r="E1228" s="2" t="s">
        <v>4647</v>
      </c>
      <c r="F1228" s="2">
        <v>33</v>
      </c>
      <c r="G1228" s="2">
        <v>33</v>
      </c>
      <c r="H1228" s="2">
        <v>0</v>
      </c>
      <c r="I1228" s="1">
        <v>0</v>
      </c>
      <c r="J1228" s="26">
        <v>45363</v>
      </c>
      <c r="K1228" s="22">
        <v>66000</v>
      </c>
      <c r="L1228" s="18">
        <v>70.59</v>
      </c>
      <c r="M1228" s="22">
        <v>47850</v>
      </c>
      <c r="N1228" s="22">
        <v>18150</v>
      </c>
      <c r="O1228" s="18">
        <v>19.41</v>
      </c>
      <c r="P1228" s="52">
        <f>IF(COUNTIF(TblPurchases[BatchID],TblOutcomes[[#This Row],[BatchID]])&lt;&gt;1,"n.a.",TblOutcomes[[#This Row],[Qty Wasted]]*SUMIFS(TblPurchases[Unit Cost (CLP)],TblPurchases[BatchID],TblOutcomes[[#This Row],[BatchID]]))</f>
        <v>0</v>
      </c>
      <c r="Q1228" s="51">
        <f>IF(COUNTIF(TblPurchases[BatchID],TblOutcomes[[#This Row],[BatchID]])&lt;&gt;1,"n.a.",SUMIFS(TblPurchases[Purchase Date],TblPurchases[BatchID],TblOutcomes[[#This Row],[BatchID]]))</f>
        <v>45359</v>
      </c>
    </row>
    <row r="1229" spans="2:17" x14ac:dyDescent="0.25">
      <c r="B1229" s="2" t="s">
        <v>2033</v>
      </c>
      <c r="C1229" s="2" t="s">
        <v>160</v>
      </c>
      <c r="D1229" s="2" t="s">
        <v>155</v>
      </c>
      <c r="E1229" s="2" t="s">
        <v>4647</v>
      </c>
      <c r="F1229" s="2">
        <v>26</v>
      </c>
      <c r="G1229" s="2">
        <v>26</v>
      </c>
      <c r="H1229" s="2">
        <v>0</v>
      </c>
      <c r="I1229" s="1">
        <v>0</v>
      </c>
      <c r="J1229" s="26">
        <v>45371</v>
      </c>
      <c r="K1229" s="22">
        <v>52000</v>
      </c>
      <c r="L1229" s="18">
        <v>55.61</v>
      </c>
      <c r="M1229" s="22">
        <v>37700</v>
      </c>
      <c r="N1229" s="22">
        <v>14300</v>
      </c>
      <c r="O1229" s="18">
        <v>15.29</v>
      </c>
      <c r="P1229" s="52">
        <f>IF(COUNTIF(TblPurchases[BatchID],TblOutcomes[[#This Row],[BatchID]])&lt;&gt;1,"n.a.",TblOutcomes[[#This Row],[Qty Wasted]]*SUMIFS(TblPurchases[Unit Cost (CLP)],TblPurchases[BatchID],TblOutcomes[[#This Row],[BatchID]]))</f>
        <v>0</v>
      </c>
      <c r="Q1229" s="51">
        <f>IF(COUNTIF(TblPurchases[BatchID],TblOutcomes[[#This Row],[BatchID]])&lt;&gt;1,"n.a.",SUMIFS(TblPurchases[Purchase Date],TblPurchases[BatchID],TblOutcomes[[#This Row],[BatchID]]))</f>
        <v>45366</v>
      </c>
    </row>
    <row r="1230" spans="2:17" x14ac:dyDescent="0.25">
      <c r="B1230" s="2" t="s">
        <v>2034</v>
      </c>
      <c r="C1230" s="2" t="s">
        <v>160</v>
      </c>
      <c r="D1230" s="2" t="s">
        <v>155</v>
      </c>
      <c r="E1230" s="2" t="s">
        <v>4646</v>
      </c>
      <c r="F1230" s="2">
        <v>26</v>
      </c>
      <c r="G1230" s="2">
        <v>22.49</v>
      </c>
      <c r="H1230" s="2">
        <v>3.51</v>
      </c>
      <c r="I1230" s="1">
        <v>13.5</v>
      </c>
      <c r="J1230" s="26">
        <v>45393</v>
      </c>
      <c r="K1230" s="22">
        <v>44980</v>
      </c>
      <c r="L1230" s="18">
        <v>48.11</v>
      </c>
      <c r="M1230" s="22">
        <v>37700</v>
      </c>
      <c r="N1230" s="22">
        <v>7280</v>
      </c>
      <c r="O1230" s="18">
        <v>7.79</v>
      </c>
      <c r="P1230" s="52">
        <f>IF(COUNTIF(TblPurchases[BatchID],TblOutcomes[[#This Row],[BatchID]])&lt;&gt;1,"n.a.",TblOutcomes[[#This Row],[Qty Wasted]]*SUMIFS(TblPurchases[Unit Cost (CLP)],TblPurchases[BatchID],TblOutcomes[[#This Row],[BatchID]]))</f>
        <v>5089.5</v>
      </c>
      <c r="Q1230" s="51">
        <f>IF(COUNTIF(TblPurchases[BatchID],TblOutcomes[[#This Row],[BatchID]])&lt;&gt;1,"n.a.",SUMIFS(TblPurchases[Purchase Date],TblPurchases[BatchID],TblOutcomes[[#This Row],[BatchID]]))</f>
        <v>45373</v>
      </c>
    </row>
    <row r="1231" spans="2:17" x14ac:dyDescent="0.25">
      <c r="B1231" s="2" t="s">
        <v>2035</v>
      </c>
      <c r="C1231" s="2" t="s">
        <v>160</v>
      </c>
      <c r="D1231" s="2" t="s">
        <v>155</v>
      </c>
      <c r="E1231" s="2" t="s">
        <v>4647</v>
      </c>
      <c r="F1231" s="2">
        <v>26</v>
      </c>
      <c r="G1231" s="2">
        <v>26</v>
      </c>
      <c r="H1231" s="2">
        <v>0</v>
      </c>
      <c r="I1231" s="1">
        <v>0</v>
      </c>
      <c r="J1231" s="26">
        <v>45388</v>
      </c>
      <c r="K1231" s="22">
        <v>52000</v>
      </c>
      <c r="L1231" s="18">
        <v>55.61</v>
      </c>
      <c r="M1231" s="22">
        <v>40300</v>
      </c>
      <c r="N1231" s="22">
        <v>11700</v>
      </c>
      <c r="O1231" s="18">
        <v>12.51</v>
      </c>
      <c r="P1231" s="52">
        <f>IF(COUNTIF(TblPurchases[BatchID],TblOutcomes[[#This Row],[BatchID]])&lt;&gt;1,"n.a.",TblOutcomes[[#This Row],[Qty Wasted]]*SUMIFS(TblPurchases[Unit Cost (CLP)],TblPurchases[BatchID],TblOutcomes[[#This Row],[BatchID]]))</f>
        <v>0</v>
      </c>
      <c r="Q1231" s="51">
        <f>IF(COUNTIF(TblPurchases[BatchID],TblOutcomes[[#This Row],[BatchID]])&lt;&gt;1,"n.a.",SUMIFS(TblPurchases[Purchase Date],TblPurchases[BatchID],TblOutcomes[[#This Row],[BatchID]]))</f>
        <v>45381</v>
      </c>
    </row>
    <row r="1232" spans="2:17" x14ac:dyDescent="0.25">
      <c r="B1232" s="2" t="s">
        <v>2036</v>
      </c>
      <c r="C1232" s="2" t="s">
        <v>160</v>
      </c>
      <c r="D1232" s="2" t="s">
        <v>155</v>
      </c>
      <c r="E1232" s="2" t="s">
        <v>4646</v>
      </c>
      <c r="F1232" s="2">
        <v>31</v>
      </c>
      <c r="G1232" s="2">
        <v>30.44</v>
      </c>
      <c r="H1232" s="2">
        <v>0.56000000000000005</v>
      </c>
      <c r="I1232" s="1">
        <v>1.8</v>
      </c>
      <c r="J1232" s="26">
        <v>45405</v>
      </c>
      <c r="K1232" s="22">
        <v>60880</v>
      </c>
      <c r="L1232" s="18">
        <v>65.11</v>
      </c>
      <c r="M1232" s="22">
        <v>44950</v>
      </c>
      <c r="N1232" s="22">
        <v>15930</v>
      </c>
      <c r="O1232" s="18">
        <v>17.04</v>
      </c>
      <c r="P1232" s="52">
        <f>IF(COUNTIF(TblPurchases[BatchID],TblOutcomes[[#This Row],[BatchID]])&lt;&gt;1,"n.a.",TblOutcomes[[#This Row],[Qty Wasted]]*SUMIFS(TblPurchases[Unit Cost (CLP)],TblPurchases[BatchID],TblOutcomes[[#This Row],[BatchID]]))</f>
        <v>812.00000000000011</v>
      </c>
      <c r="Q1232" s="51">
        <f>IF(COUNTIF(TblPurchases[BatchID],TblOutcomes[[#This Row],[BatchID]])&lt;&gt;1,"n.a.",SUMIFS(TblPurchases[Purchase Date],TblPurchases[BatchID],TblOutcomes[[#This Row],[BatchID]]))</f>
        <v>45385</v>
      </c>
    </row>
    <row r="1233" spans="2:17" x14ac:dyDescent="0.25">
      <c r="B1233" s="2" t="s">
        <v>2037</v>
      </c>
      <c r="C1233" s="2" t="s">
        <v>160</v>
      </c>
      <c r="D1233" s="2" t="s">
        <v>155</v>
      </c>
      <c r="E1233" s="2" t="s">
        <v>4647</v>
      </c>
      <c r="F1233" s="2">
        <v>26</v>
      </c>
      <c r="G1233" s="2">
        <v>26</v>
      </c>
      <c r="H1233" s="2">
        <v>0</v>
      </c>
      <c r="I1233" s="1">
        <v>0</v>
      </c>
      <c r="J1233" s="26">
        <v>45400</v>
      </c>
      <c r="K1233" s="22">
        <v>52000</v>
      </c>
      <c r="L1233" s="18">
        <v>55.61</v>
      </c>
      <c r="M1233" s="22">
        <v>37700</v>
      </c>
      <c r="N1233" s="22">
        <v>14300</v>
      </c>
      <c r="O1233" s="18">
        <v>15.29</v>
      </c>
      <c r="P1233" s="52">
        <f>IF(COUNTIF(TblPurchases[BatchID],TblOutcomes[[#This Row],[BatchID]])&lt;&gt;1,"n.a.",TblOutcomes[[#This Row],[Qty Wasted]]*SUMIFS(TblPurchases[Unit Cost (CLP)],TblPurchases[BatchID],TblOutcomes[[#This Row],[BatchID]]))</f>
        <v>0</v>
      </c>
      <c r="Q1233" s="51">
        <f>IF(COUNTIF(TblPurchases[BatchID],TblOutcomes[[#This Row],[BatchID]])&lt;&gt;1,"n.a.",SUMIFS(TblPurchases[Purchase Date],TblPurchases[BatchID],TblOutcomes[[#This Row],[BatchID]]))</f>
        <v>45393</v>
      </c>
    </row>
    <row r="1234" spans="2:17" x14ac:dyDescent="0.25">
      <c r="B1234" s="2" t="s">
        <v>2038</v>
      </c>
      <c r="C1234" s="2" t="s">
        <v>160</v>
      </c>
      <c r="D1234" s="2" t="s">
        <v>155</v>
      </c>
      <c r="E1234" s="2" t="s">
        <v>4647</v>
      </c>
      <c r="F1234" s="2">
        <v>27</v>
      </c>
      <c r="G1234" s="2">
        <v>27</v>
      </c>
      <c r="H1234" s="2">
        <v>0</v>
      </c>
      <c r="I1234" s="1">
        <v>0</v>
      </c>
      <c r="J1234" s="26">
        <v>45404</v>
      </c>
      <c r="K1234" s="22">
        <v>54000</v>
      </c>
      <c r="L1234" s="18">
        <v>57.75</v>
      </c>
      <c r="M1234" s="22">
        <v>39150</v>
      </c>
      <c r="N1234" s="22">
        <v>14850</v>
      </c>
      <c r="O1234" s="18">
        <v>15.88</v>
      </c>
      <c r="P1234" s="52">
        <f>IF(COUNTIF(TblPurchases[BatchID],TblOutcomes[[#This Row],[BatchID]])&lt;&gt;1,"n.a.",TblOutcomes[[#This Row],[Qty Wasted]]*SUMIFS(TblPurchases[Unit Cost (CLP)],TblPurchases[BatchID],TblOutcomes[[#This Row],[BatchID]]))</f>
        <v>0</v>
      </c>
      <c r="Q1234" s="51">
        <f>IF(COUNTIF(TblPurchases[BatchID],TblOutcomes[[#This Row],[BatchID]])&lt;&gt;1,"n.a.",SUMIFS(TblPurchases[Purchase Date],TblPurchases[BatchID],TblOutcomes[[#This Row],[BatchID]]))</f>
        <v>45398</v>
      </c>
    </row>
    <row r="1235" spans="2:17" x14ac:dyDescent="0.25">
      <c r="B1235" s="2" t="s">
        <v>2039</v>
      </c>
      <c r="C1235" s="2" t="s">
        <v>160</v>
      </c>
      <c r="D1235" s="2" t="s">
        <v>155</v>
      </c>
      <c r="E1235" s="2" t="s">
        <v>4647</v>
      </c>
      <c r="F1235" s="2">
        <v>34</v>
      </c>
      <c r="G1235" s="2">
        <v>34</v>
      </c>
      <c r="H1235" s="2">
        <v>0</v>
      </c>
      <c r="I1235" s="1">
        <v>0</v>
      </c>
      <c r="J1235" s="26">
        <v>45411</v>
      </c>
      <c r="K1235" s="22">
        <v>68000</v>
      </c>
      <c r="L1235" s="18">
        <v>72.73</v>
      </c>
      <c r="M1235" s="22">
        <v>49300</v>
      </c>
      <c r="N1235" s="22">
        <v>18700</v>
      </c>
      <c r="O1235" s="18">
        <v>20</v>
      </c>
      <c r="P1235" s="52">
        <f>IF(COUNTIF(TblPurchases[BatchID],TblOutcomes[[#This Row],[BatchID]])&lt;&gt;1,"n.a.",TblOutcomes[[#This Row],[Qty Wasted]]*SUMIFS(TblPurchases[Unit Cost (CLP)],TblPurchases[BatchID],TblOutcomes[[#This Row],[BatchID]]))</f>
        <v>0</v>
      </c>
      <c r="Q1235" s="51">
        <f>IF(COUNTIF(TblPurchases[BatchID],TblOutcomes[[#This Row],[BatchID]])&lt;&gt;1,"n.a.",SUMIFS(TblPurchases[Purchase Date],TblPurchases[BatchID],TblOutcomes[[#This Row],[BatchID]]))</f>
        <v>45404</v>
      </c>
    </row>
    <row r="1236" spans="2:17" x14ac:dyDescent="0.25">
      <c r="B1236" s="2" t="s">
        <v>2040</v>
      </c>
      <c r="C1236" s="2" t="s">
        <v>160</v>
      </c>
      <c r="D1236" s="2" t="s">
        <v>155</v>
      </c>
      <c r="E1236" s="2" t="s">
        <v>4647</v>
      </c>
      <c r="F1236" s="2">
        <v>32</v>
      </c>
      <c r="G1236" s="2">
        <v>32</v>
      </c>
      <c r="H1236" s="2">
        <v>0</v>
      </c>
      <c r="I1236" s="1">
        <v>0</v>
      </c>
      <c r="J1236" s="26">
        <v>45413</v>
      </c>
      <c r="K1236" s="22">
        <v>64000</v>
      </c>
      <c r="L1236" s="18">
        <v>68.45</v>
      </c>
      <c r="M1236" s="22">
        <v>46400</v>
      </c>
      <c r="N1236" s="22">
        <v>17600</v>
      </c>
      <c r="O1236" s="18">
        <v>18.82</v>
      </c>
      <c r="P1236" s="52">
        <f>IF(COUNTIF(TblPurchases[BatchID],TblOutcomes[[#This Row],[BatchID]])&lt;&gt;1,"n.a.",TblOutcomes[[#This Row],[Qty Wasted]]*SUMIFS(TblPurchases[Unit Cost (CLP)],TblPurchases[BatchID],TblOutcomes[[#This Row],[BatchID]]))</f>
        <v>0</v>
      </c>
      <c r="Q1236" s="51">
        <f>IF(COUNTIF(TblPurchases[BatchID],TblOutcomes[[#This Row],[BatchID]])&lt;&gt;1,"n.a.",SUMIFS(TblPurchases[Purchase Date],TblPurchases[BatchID],TblOutcomes[[#This Row],[BatchID]]))</f>
        <v>45410</v>
      </c>
    </row>
    <row r="1237" spans="2:17" x14ac:dyDescent="0.25">
      <c r="B1237" s="2" t="s">
        <v>2041</v>
      </c>
      <c r="C1237" s="2" t="s">
        <v>160</v>
      </c>
      <c r="D1237" s="2" t="s">
        <v>155</v>
      </c>
      <c r="E1237" s="2" t="s">
        <v>4646</v>
      </c>
      <c r="F1237" s="2">
        <v>32</v>
      </c>
      <c r="G1237" s="2">
        <v>25.34</v>
      </c>
      <c r="H1237" s="2">
        <v>6.66</v>
      </c>
      <c r="I1237" s="1">
        <v>20.8</v>
      </c>
      <c r="J1237" s="26">
        <v>45436</v>
      </c>
      <c r="K1237" s="22">
        <v>50680</v>
      </c>
      <c r="L1237" s="18">
        <v>54.2</v>
      </c>
      <c r="M1237" s="22">
        <v>46400</v>
      </c>
      <c r="N1237" s="22">
        <v>4280</v>
      </c>
      <c r="O1237" s="18">
        <v>4.58</v>
      </c>
      <c r="P1237" s="52">
        <f>IF(COUNTIF(TblPurchases[BatchID],TblOutcomes[[#This Row],[BatchID]])&lt;&gt;1,"n.a.",TblOutcomes[[#This Row],[Qty Wasted]]*SUMIFS(TblPurchases[Unit Cost (CLP)],TblPurchases[BatchID],TblOutcomes[[#This Row],[BatchID]]))</f>
        <v>9657</v>
      </c>
      <c r="Q1237" s="51">
        <f>IF(COUNTIF(TblPurchases[BatchID],TblOutcomes[[#This Row],[BatchID]])&lt;&gt;1,"n.a.",SUMIFS(TblPurchases[Purchase Date],TblPurchases[BatchID],TblOutcomes[[#This Row],[BatchID]]))</f>
        <v>45416</v>
      </c>
    </row>
    <row r="1238" spans="2:17" x14ac:dyDescent="0.25">
      <c r="B1238" s="2" t="s">
        <v>2042</v>
      </c>
      <c r="C1238" s="2" t="s">
        <v>160</v>
      </c>
      <c r="D1238" s="2" t="s">
        <v>155</v>
      </c>
      <c r="E1238" s="2" t="s">
        <v>4647</v>
      </c>
      <c r="F1238" s="2">
        <v>33</v>
      </c>
      <c r="G1238" s="2">
        <v>33</v>
      </c>
      <c r="H1238" s="2">
        <v>0</v>
      </c>
      <c r="I1238" s="1">
        <v>0</v>
      </c>
      <c r="J1238" s="26">
        <v>45430</v>
      </c>
      <c r="K1238" s="22">
        <v>66000</v>
      </c>
      <c r="L1238" s="18">
        <v>70.59</v>
      </c>
      <c r="M1238" s="22">
        <v>47850</v>
      </c>
      <c r="N1238" s="22">
        <v>18150</v>
      </c>
      <c r="O1238" s="18">
        <v>19.41</v>
      </c>
      <c r="P1238" s="52">
        <f>IF(COUNTIF(TblPurchases[BatchID],TblOutcomes[[#This Row],[BatchID]])&lt;&gt;1,"n.a.",TblOutcomes[[#This Row],[Qty Wasted]]*SUMIFS(TblPurchases[Unit Cost (CLP)],TblPurchases[BatchID],TblOutcomes[[#This Row],[BatchID]]))</f>
        <v>0</v>
      </c>
      <c r="Q1238" s="51">
        <f>IF(COUNTIF(TblPurchases[BatchID],TblOutcomes[[#This Row],[BatchID]])&lt;&gt;1,"n.a.",SUMIFS(TblPurchases[Purchase Date],TblPurchases[BatchID],TblOutcomes[[#This Row],[BatchID]]))</f>
        <v>45423</v>
      </c>
    </row>
    <row r="1239" spans="2:17" x14ac:dyDescent="0.25">
      <c r="B1239" s="2" t="s">
        <v>2043</v>
      </c>
      <c r="C1239" s="2" t="s">
        <v>160</v>
      </c>
      <c r="D1239" s="2" t="s">
        <v>155</v>
      </c>
      <c r="E1239" s="2" t="s">
        <v>4646</v>
      </c>
      <c r="F1239" s="2">
        <v>30</v>
      </c>
      <c r="G1239" s="2">
        <v>21.3</v>
      </c>
      <c r="H1239" s="2">
        <v>8.6999999999999993</v>
      </c>
      <c r="I1239" s="1">
        <v>29</v>
      </c>
      <c r="J1239" s="26">
        <v>45452</v>
      </c>
      <c r="K1239" s="22">
        <v>42600</v>
      </c>
      <c r="L1239" s="18">
        <v>45.56</v>
      </c>
      <c r="M1239" s="22">
        <v>46500</v>
      </c>
      <c r="N1239" s="22">
        <v>-3900</v>
      </c>
      <c r="O1239" s="18">
        <v>-4.17</v>
      </c>
      <c r="P1239" s="52">
        <f>IF(COUNTIF(TblPurchases[BatchID],TblOutcomes[[#This Row],[BatchID]])&lt;&gt;1,"n.a.",TblOutcomes[[#This Row],[Qty Wasted]]*SUMIFS(TblPurchases[Unit Cost (CLP)],TblPurchases[BatchID],TblOutcomes[[#This Row],[BatchID]]))</f>
        <v>13484.999999999998</v>
      </c>
      <c r="Q1239" s="51">
        <f>IF(COUNTIF(TblPurchases[BatchID],TblOutcomes[[#This Row],[BatchID]])&lt;&gt;1,"n.a.",SUMIFS(TblPurchases[Purchase Date],TblPurchases[BatchID],TblOutcomes[[#This Row],[BatchID]]))</f>
        <v>45432</v>
      </c>
    </row>
    <row r="1240" spans="2:17" x14ac:dyDescent="0.25">
      <c r="B1240" s="2" t="s">
        <v>2044</v>
      </c>
      <c r="C1240" s="2" t="s">
        <v>160</v>
      </c>
      <c r="D1240" s="2" t="s">
        <v>155</v>
      </c>
      <c r="E1240" s="2" t="s">
        <v>4647</v>
      </c>
      <c r="F1240" s="2">
        <v>34</v>
      </c>
      <c r="G1240" s="2">
        <v>34</v>
      </c>
      <c r="H1240" s="2">
        <v>0</v>
      </c>
      <c r="I1240" s="1">
        <v>0</v>
      </c>
      <c r="J1240" s="26">
        <v>45440</v>
      </c>
      <c r="K1240" s="22">
        <v>68000</v>
      </c>
      <c r="L1240" s="18">
        <v>72.73</v>
      </c>
      <c r="M1240" s="22">
        <v>49300</v>
      </c>
      <c r="N1240" s="22">
        <v>18700</v>
      </c>
      <c r="O1240" s="18">
        <v>20</v>
      </c>
      <c r="P1240" s="52">
        <f>IF(COUNTIF(TblPurchases[BatchID],TblOutcomes[[#This Row],[BatchID]])&lt;&gt;1,"n.a.",TblOutcomes[[#This Row],[Qty Wasted]]*SUMIFS(TblPurchases[Unit Cost (CLP)],TblPurchases[BatchID],TblOutcomes[[#This Row],[BatchID]]))</f>
        <v>0</v>
      </c>
      <c r="Q1240" s="51">
        <f>IF(COUNTIF(TblPurchases[BatchID],TblOutcomes[[#This Row],[BatchID]])&lt;&gt;1,"n.a.",SUMIFS(TblPurchases[Purchase Date],TblPurchases[BatchID],TblOutcomes[[#This Row],[BatchID]]))</f>
        <v>45438</v>
      </c>
    </row>
    <row r="1241" spans="2:17" x14ac:dyDescent="0.25">
      <c r="B1241" s="2" t="s">
        <v>2045</v>
      </c>
      <c r="C1241" s="2" t="s">
        <v>160</v>
      </c>
      <c r="D1241" s="2" t="s">
        <v>155</v>
      </c>
      <c r="E1241" s="2" t="s">
        <v>4646</v>
      </c>
      <c r="F1241" s="2">
        <v>30</v>
      </c>
      <c r="G1241" s="2">
        <v>21.27</v>
      </c>
      <c r="H1241" s="2">
        <v>8.73</v>
      </c>
      <c r="I1241" s="1">
        <v>29.1</v>
      </c>
      <c r="J1241" s="26">
        <v>45465</v>
      </c>
      <c r="K1241" s="22">
        <v>42540</v>
      </c>
      <c r="L1241" s="18">
        <v>45.5</v>
      </c>
      <c r="M1241" s="22">
        <v>43500</v>
      </c>
      <c r="N1241" s="22">
        <v>-960</v>
      </c>
      <c r="O1241" s="18">
        <v>-1.03</v>
      </c>
      <c r="P1241" s="52">
        <f>IF(COUNTIF(TblPurchases[BatchID],TblOutcomes[[#This Row],[BatchID]])&lt;&gt;1,"n.a.",TblOutcomes[[#This Row],[Qty Wasted]]*SUMIFS(TblPurchases[Unit Cost (CLP)],TblPurchases[BatchID],TblOutcomes[[#This Row],[BatchID]]))</f>
        <v>12658.5</v>
      </c>
      <c r="Q1241" s="51">
        <f>IF(COUNTIF(TblPurchases[BatchID],TblOutcomes[[#This Row],[BatchID]])&lt;&gt;1,"n.a.",SUMIFS(TblPurchases[Purchase Date],TblPurchases[BatchID],TblOutcomes[[#This Row],[BatchID]]))</f>
        <v>45445</v>
      </c>
    </row>
    <row r="1242" spans="2:17" x14ac:dyDescent="0.25">
      <c r="B1242" s="2" t="s">
        <v>2046</v>
      </c>
      <c r="C1242" s="2" t="s">
        <v>160</v>
      </c>
      <c r="D1242" s="2" t="s">
        <v>155</v>
      </c>
      <c r="E1242" s="2" t="s">
        <v>4646</v>
      </c>
      <c r="F1242" s="2">
        <v>29</v>
      </c>
      <c r="G1242" s="2">
        <v>23.46</v>
      </c>
      <c r="H1242" s="2">
        <v>5.54</v>
      </c>
      <c r="I1242" s="1">
        <v>19.100000000000001</v>
      </c>
      <c r="J1242" s="26">
        <v>45470</v>
      </c>
      <c r="K1242" s="22">
        <v>46920</v>
      </c>
      <c r="L1242" s="18">
        <v>50.18</v>
      </c>
      <c r="M1242" s="22">
        <v>42050</v>
      </c>
      <c r="N1242" s="22">
        <v>4870</v>
      </c>
      <c r="O1242" s="18">
        <v>5.21</v>
      </c>
      <c r="P1242" s="52">
        <f>IF(COUNTIF(TblPurchases[BatchID],TblOutcomes[[#This Row],[BatchID]])&lt;&gt;1,"n.a.",TblOutcomes[[#This Row],[Qty Wasted]]*SUMIFS(TblPurchases[Unit Cost (CLP)],TblPurchases[BatchID],TblOutcomes[[#This Row],[BatchID]]))</f>
        <v>8033</v>
      </c>
      <c r="Q1242" s="51">
        <f>IF(COUNTIF(TblPurchases[BatchID],TblOutcomes[[#This Row],[BatchID]])&lt;&gt;1,"n.a.",SUMIFS(TblPurchases[Purchase Date],TblPurchases[BatchID],TblOutcomes[[#This Row],[BatchID]]))</f>
        <v>45450</v>
      </c>
    </row>
    <row r="1243" spans="2:17" x14ac:dyDescent="0.25">
      <c r="B1243" s="2" t="s">
        <v>2047</v>
      </c>
      <c r="C1243" s="2" t="s">
        <v>160</v>
      </c>
      <c r="D1243" s="2" t="s">
        <v>155</v>
      </c>
      <c r="E1243" s="2" t="s">
        <v>4646</v>
      </c>
      <c r="F1243" s="2">
        <v>28</v>
      </c>
      <c r="G1243" s="2">
        <v>21.14</v>
      </c>
      <c r="H1243" s="2">
        <v>6.86</v>
      </c>
      <c r="I1243" s="1">
        <v>24.5</v>
      </c>
      <c r="J1243" s="26">
        <v>45477</v>
      </c>
      <c r="K1243" s="22">
        <v>42280</v>
      </c>
      <c r="L1243" s="18">
        <v>45.22</v>
      </c>
      <c r="M1243" s="22">
        <v>40600</v>
      </c>
      <c r="N1243" s="22">
        <v>1680</v>
      </c>
      <c r="O1243" s="18">
        <v>1.8</v>
      </c>
      <c r="P1243" s="52">
        <f>IF(COUNTIF(TblPurchases[BatchID],TblOutcomes[[#This Row],[BatchID]])&lt;&gt;1,"n.a.",TblOutcomes[[#This Row],[Qty Wasted]]*SUMIFS(TblPurchases[Unit Cost (CLP)],TblPurchases[BatchID],TblOutcomes[[#This Row],[BatchID]]))</f>
        <v>9947</v>
      </c>
      <c r="Q1243" s="51">
        <f>IF(COUNTIF(TblPurchases[BatchID],TblOutcomes[[#This Row],[BatchID]])&lt;&gt;1,"n.a.",SUMIFS(TblPurchases[Purchase Date],TblPurchases[BatchID],TblOutcomes[[#This Row],[BatchID]]))</f>
        <v>45457</v>
      </c>
    </row>
    <row r="1244" spans="2:17" x14ac:dyDescent="0.25">
      <c r="B1244" s="2" t="s">
        <v>2048</v>
      </c>
      <c r="C1244" s="2" t="s">
        <v>160</v>
      </c>
      <c r="D1244" s="2" t="s">
        <v>155</v>
      </c>
      <c r="E1244" s="2" t="s">
        <v>4646</v>
      </c>
      <c r="F1244" s="2">
        <v>30</v>
      </c>
      <c r="G1244" s="2">
        <v>25.38</v>
      </c>
      <c r="H1244" s="2">
        <v>4.62</v>
      </c>
      <c r="I1244" s="1">
        <v>15.4</v>
      </c>
      <c r="J1244" s="26">
        <v>45485</v>
      </c>
      <c r="K1244" s="22">
        <v>50760</v>
      </c>
      <c r="L1244" s="18">
        <v>54.29</v>
      </c>
      <c r="M1244" s="22">
        <v>43500</v>
      </c>
      <c r="N1244" s="22">
        <v>7260</v>
      </c>
      <c r="O1244" s="18">
        <v>7.76</v>
      </c>
      <c r="P1244" s="52">
        <f>IF(COUNTIF(TblPurchases[BatchID],TblOutcomes[[#This Row],[BatchID]])&lt;&gt;1,"n.a.",TblOutcomes[[#This Row],[Qty Wasted]]*SUMIFS(TblPurchases[Unit Cost (CLP)],TblPurchases[BatchID],TblOutcomes[[#This Row],[BatchID]]))</f>
        <v>6699</v>
      </c>
      <c r="Q1244" s="51">
        <f>IF(COUNTIF(TblPurchases[BatchID],TblOutcomes[[#This Row],[BatchID]])&lt;&gt;1,"n.a.",SUMIFS(TblPurchases[Purchase Date],TblPurchases[BatchID],TblOutcomes[[#This Row],[BatchID]]))</f>
        <v>45465</v>
      </c>
    </row>
    <row r="1245" spans="2:17" x14ac:dyDescent="0.25">
      <c r="B1245" s="2" t="s">
        <v>2049</v>
      </c>
      <c r="C1245" s="2" t="s">
        <v>160</v>
      </c>
      <c r="D1245" s="2" t="s">
        <v>155</v>
      </c>
      <c r="E1245" s="2" t="s">
        <v>4647</v>
      </c>
      <c r="F1245" s="2">
        <v>33</v>
      </c>
      <c r="G1245" s="2">
        <v>33</v>
      </c>
      <c r="H1245" s="2">
        <v>0</v>
      </c>
      <c r="I1245" s="1">
        <v>0</v>
      </c>
      <c r="J1245" s="26">
        <v>45477</v>
      </c>
      <c r="K1245" s="22">
        <v>66000</v>
      </c>
      <c r="L1245" s="18">
        <v>70.59</v>
      </c>
      <c r="M1245" s="22">
        <v>47850</v>
      </c>
      <c r="N1245" s="22">
        <v>18150</v>
      </c>
      <c r="O1245" s="18">
        <v>19.41</v>
      </c>
      <c r="P1245" s="52">
        <f>IF(COUNTIF(TblPurchases[BatchID],TblOutcomes[[#This Row],[BatchID]])&lt;&gt;1,"n.a.",TblOutcomes[[#This Row],[Qty Wasted]]*SUMIFS(TblPurchases[Unit Cost (CLP)],TblPurchases[BatchID],TblOutcomes[[#This Row],[BatchID]]))</f>
        <v>0</v>
      </c>
      <c r="Q1245" s="51">
        <f>IF(COUNTIF(TblPurchases[BatchID],TblOutcomes[[#This Row],[BatchID]])&lt;&gt;1,"n.a.",SUMIFS(TblPurchases[Purchase Date],TblPurchases[BatchID],TblOutcomes[[#This Row],[BatchID]]))</f>
        <v>45472</v>
      </c>
    </row>
    <row r="1246" spans="2:17" x14ac:dyDescent="0.25">
      <c r="B1246" s="2" t="s">
        <v>2050</v>
      </c>
      <c r="C1246" s="2" t="s">
        <v>160</v>
      </c>
      <c r="D1246" s="2" t="s">
        <v>155</v>
      </c>
      <c r="E1246" s="2" t="s">
        <v>4646</v>
      </c>
      <c r="F1246" s="2">
        <v>34</v>
      </c>
      <c r="G1246" s="2">
        <v>27.13</v>
      </c>
      <c r="H1246" s="2">
        <v>6.87</v>
      </c>
      <c r="I1246" s="1">
        <v>20.2</v>
      </c>
      <c r="J1246" s="26">
        <v>45500</v>
      </c>
      <c r="K1246" s="22">
        <v>54260</v>
      </c>
      <c r="L1246" s="18">
        <v>58.03</v>
      </c>
      <c r="M1246" s="22">
        <v>52700</v>
      </c>
      <c r="N1246" s="22">
        <v>1560</v>
      </c>
      <c r="O1246" s="18">
        <v>1.67</v>
      </c>
      <c r="P1246" s="52">
        <f>IF(COUNTIF(TblPurchases[BatchID],TblOutcomes[[#This Row],[BatchID]])&lt;&gt;1,"n.a.",TblOutcomes[[#This Row],[Qty Wasted]]*SUMIFS(TblPurchases[Unit Cost (CLP)],TblPurchases[BatchID],TblOutcomes[[#This Row],[BatchID]]))</f>
        <v>10648.5</v>
      </c>
      <c r="Q1246" s="51">
        <f>IF(COUNTIF(TblPurchases[BatchID],TblOutcomes[[#This Row],[BatchID]])&lt;&gt;1,"n.a.",SUMIFS(TblPurchases[Purchase Date],TblPurchases[BatchID],TblOutcomes[[#This Row],[BatchID]]))</f>
        <v>45480</v>
      </c>
    </row>
    <row r="1247" spans="2:17" x14ac:dyDescent="0.25">
      <c r="B1247" s="2" t="s">
        <v>2051</v>
      </c>
      <c r="C1247" s="2" t="s">
        <v>160</v>
      </c>
      <c r="D1247" s="2" t="s">
        <v>155</v>
      </c>
      <c r="E1247" s="2" t="s">
        <v>4646</v>
      </c>
      <c r="F1247" s="2">
        <v>27</v>
      </c>
      <c r="G1247" s="2">
        <v>21.65</v>
      </c>
      <c r="H1247" s="2">
        <v>5.35</v>
      </c>
      <c r="I1247" s="1">
        <v>19.8</v>
      </c>
      <c r="J1247" s="26">
        <v>45506</v>
      </c>
      <c r="K1247" s="22">
        <v>43300</v>
      </c>
      <c r="L1247" s="18">
        <v>46.31</v>
      </c>
      <c r="M1247" s="22">
        <v>39150</v>
      </c>
      <c r="N1247" s="22">
        <v>4150</v>
      </c>
      <c r="O1247" s="18">
        <v>4.4400000000000004</v>
      </c>
      <c r="P1247" s="52">
        <f>IF(COUNTIF(TblPurchases[BatchID],TblOutcomes[[#This Row],[BatchID]])&lt;&gt;1,"n.a.",TblOutcomes[[#This Row],[Qty Wasted]]*SUMIFS(TblPurchases[Unit Cost (CLP)],TblPurchases[BatchID],TblOutcomes[[#This Row],[BatchID]]))</f>
        <v>7757.4999999999991</v>
      </c>
      <c r="Q1247" s="51">
        <f>IF(COUNTIF(TblPurchases[BatchID],TblOutcomes[[#This Row],[BatchID]])&lt;&gt;1,"n.a.",SUMIFS(TblPurchases[Purchase Date],TblPurchases[BatchID],TblOutcomes[[#This Row],[BatchID]]))</f>
        <v>45486</v>
      </c>
    </row>
    <row r="1248" spans="2:17" x14ac:dyDescent="0.25">
      <c r="B1248" s="2" t="s">
        <v>2052</v>
      </c>
      <c r="C1248" s="2" t="s">
        <v>160</v>
      </c>
      <c r="D1248" s="2" t="s">
        <v>155</v>
      </c>
      <c r="E1248" s="2" t="s">
        <v>4647</v>
      </c>
      <c r="F1248" s="2">
        <v>31</v>
      </c>
      <c r="G1248" s="2">
        <v>31</v>
      </c>
      <c r="H1248" s="2">
        <v>0</v>
      </c>
      <c r="I1248" s="1">
        <v>0</v>
      </c>
      <c r="J1248" s="26">
        <v>45498</v>
      </c>
      <c r="K1248" s="22">
        <v>62000</v>
      </c>
      <c r="L1248" s="18">
        <v>66.31</v>
      </c>
      <c r="M1248" s="22">
        <v>44950</v>
      </c>
      <c r="N1248" s="22">
        <v>17050</v>
      </c>
      <c r="O1248" s="18">
        <v>18.239999999999998</v>
      </c>
      <c r="P1248" s="52">
        <f>IF(COUNTIF(TblPurchases[BatchID],TblOutcomes[[#This Row],[BatchID]])&lt;&gt;1,"n.a.",TblOutcomes[[#This Row],[Qty Wasted]]*SUMIFS(TblPurchases[Unit Cost (CLP)],TblPurchases[BatchID],TblOutcomes[[#This Row],[BatchID]]))</f>
        <v>0</v>
      </c>
      <c r="Q1248" s="51">
        <f>IF(COUNTIF(TblPurchases[BatchID],TblOutcomes[[#This Row],[BatchID]])&lt;&gt;1,"n.a.",SUMIFS(TblPurchases[Purchase Date],TblPurchases[BatchID],TblOutcomes[[#This Row],[BatchID]]))</f>
        <v>45492</v>
      </c>
    </row>
    <row r="1249" spans="2:17" x14ac:dyDescent="0.25">
      <c r="B1249" s="2" t="s">
        <v>2053</v>
      </c>
      <c r="C1249" s="2" t="s">
        <v>160</v>
      </c>
      <c r="D1249" s="2" t="s">
        <v>155</v>
      </c>
      <c r="E1249" s="2" t="s">
        <v>4647</v>
      </c>
      <c r="F1249" s="2">
        <v>31</v>
      </c>
      <c r="G1249" s="2">
        <v>31</v>
      </c>
      <c r="H1249" s="2">
        <v>0</v>
      </c>
      <c r="I1249" s="1">
        <v>0</v>
      </c>
      <c r="J1249" s="26">
        <v>45504</v>
      </c>
      <c r="K1249" s="22">
        <v>62000</v>
      </c>
      <c r="L1249" s="18">
        <v>66.31</v>
      </c>
      <c r="M1249" s="22">
        <v>44950</v>
      </c>
      <c r="N1249" s="22">
        <v>17050</v>
      </c>
      <c r="O1249" s="18">
        <v>18.239999999999998</v>
      </c>
      <c r="P1249" s="52">
        <f>IF(COUNTIF(TblPurchases[BatchID],TblOutcomes[[#This Row],[BatchID]])&lt;&gt;1,"n.a.",TblOutcomes[[#This Row],[Qty Wasted]]*SUMIFS(TblPurchases[Unit Cost (CLP)],TblPurchases[BatchID],TblOutcomes[[#This Row],[BatchID]]))</f>
        <v>0</v>
      </c>
      <c r="Q1249" s="51">
        <f>IF(COUNTIF(TblPurchases[BatchID],TblOutcomes[[#This Row],[BatchID]])&lt;&gt;1,"n.a.",SUMIFS(TblPurchases[Purchase Date],TblPurchases[BatchID],TblOutcomes[[#This Row],[BatchID]]))</f>
        <v>45500</v>
      </c>
    </row>
    <row r="1250" spans="2:17" x14ac:dyDescent="0.25">
      <c r="B1250" s="2" t="s">
        <v>2054</v>
      </c>
      <c r="C1250" s="2" t="s">
        <v>160</v>
      </c>
      <c r="D1250" s="2" t="s">
        <v>155</v>
      </c>
      <c r="E1250" s="2" t="s">
        <v>4647</v>
      </c>
      <c r="F1250" s="2">
        <v>34</v>
      </c>
      <c r="G1250" s="2">
        <v>34</v>
      </c>
      <c r="H1250" s="2">
        <v>0</v>
      </c>
      <c r="I1250" s="1">
        <v>0</v>
      </c>
      <c r="J1250" s="26">
        <v>45511</v>
      </c>
      <c r="K1250" s="22">
        <v>68000</v>
      </c>
      <c r="L1250" s="18">
        <v>72.73</v>
      </c>
      <c r="M1250" s="22">
        <v>49300</v>
      </c>
      <c r="N1250" s="22">
        <v>18700</v>
      </c>
      <c r="O1250" s="18">
        <v>20</v>
      </c>
      <c r="P1250" s="52">
        <f>IF(COUNTIF(TblPurchases[BatchID],TblOutcomes[[#This Row],[BatchID]])&lt;&gt;1,"n.a.",TblOutcomes[[#This Row],[Qty Wasted]]*SUMIFS(TblPurchases[Unit Cost (CLP)],TblPurchases[BatchID],TblOutcomes[[#This Row],[BatchID]]))</f>
        <v>0</v>
      </c>
      <c r="Q1250" s="51">
        <f>IF(COUNTIF(TblPurchases[BatchID],TblOutcomes[[#This Row],[BatchID]])&lt;&gt;1,"n.a.",SUMIFS(TblPurchases[Purchase Date],TblPurchases[BatchID],TblOutcomes[[#This Row],[BatchID]]))</f>
        <v>45508</v>
      </c>
    </row>
    <row r="1251" spans="2:17" x14ac:dyDescent="0.25">
      <c r="B1251" s="2" t="s">
        <v>2055</v>
      </c>
      <c r="C1251" s="2" t="s">
        <v>160</v>
      </c>
      <c r="D1251" s="2" t="s">
        <v>155</v>
      </c>
      <c r="E1251" s="2" t="s">
        <v>4646</v>
      </c>
      <c r="F1251" s="2">
        <v>27</v>
      </c>
      <c r="G1251" s="2">
        <v>23.73</v>
      </c>
      <c r="H1251" s="2">
        <v>3.27</v>
      </c>
      <c r="I1251" s="1">
        <v>12.1</v>
      </c>
      <c r="J1251" s="26">
        <v>45535</v>
      </c>
      <c r="K1251" s="22">
        <v>47460</v>
      </c>
      <c r="L1251" s="18">
        <v>50.76</v>
      </c>
      <c r="M1251" s="22">
        <v>39150</v>
      </c>
      <c r="N1251" s="22">
        <v>8310</v>
      </c>
      <c r="O1251" s="18">
        <v>8.89</v>
      </c>
      <c r="P1251" s="52">
        <f>IF(COUNTIF(TblPurchases[BatchID],TblOutcomes[[#This Row],[BatchID]])&lt;&gt;1,"n.a.",TblOutcomes[[#This Row],[Qty Wasted]]*SUMIFS(TblPurchases[Unit Cost (CLP)],TblPurchases[BatchID],TblOutcomes[[#This Row],[BatchID]]))</f>
        <v>4741.5</v>
      </c>
      <c r="Q1251" s="51">
        <f>IF(COUNTIF(TblPurchases[BatchID],TblOutcomes[[#This Row],[BatchID]])&lt;&gt;1,"n.a.",SUMIFS(TblPurchases[Purchase Date],TblPurchases[BatchID],TblOutcomes[[#This Row],[BatchID]]))</f>
        <v>45515</v>
      </c>
    </row>
    <row r="1252" spans="2:17" x14ac:dyDescent="0.25">
      <c r="B1252" s="2" t="s">
        <v>2056</v>
      </c>
      <c r="C1252" s="2" t="s">
        <v>160</v>
      </c>
      <c r="D1252" s="2" t="s">
        <v>155</v>
      </c>
      <c r="E1252" s="2" t="s">
        <v>4647</v>
      </c>
      <c r="F1252" s="2">
        <v>27</v>
      </c>
      <c r="G1252" s="2">
        <v>27</v>
      </c>
      <c r="H1252" s="2">
        <v>0</v>
      </c>
      <c r="I1252" s="1">
        <v>0</v>
      </c>
      <c r="J1252" s="26">
        <v>45528</v>
      </c>
      <c r="K1252" s="22">
        <v>54000</v>
      </c>
      <c r="L1252" s="18">
        <v>57.75</v>
      </c>
      <c r="M1252" s="22">
        <v>39150</v>
      </c>
      <c r="N1252" s="22">
        <v>14850</v>
      </c>
      <c r="O1252" s="18">
        <v>15.88</v>
      </c>
      <c r="P1252" s="52">
        <f>IF(COUNTIF(TblPurchases[BatchID],TblOutcomes[[#This Row],[BatchID]])&lt;&gt;1,"n.a.",TblOutcomes[[#This Row],[Qty Wasted]]*SUMIFS(TblPurchases[Unit Cost (CLP)],TblPurchases[BatchID],TblOutcomes[[#This Row],[BatchID]]))</f>
        <v>0</v>
      </c>
      <c r="Q1252" s="51">
        <f>IF(COUNTIF(TblPurchases[BatchID],TblOutcomes[[#This Row],[BatchID]])&lt;&gt;1,"n.a.",SUMIFS(TblPurchases[Purchase Date],TblPurchases[BatchID],TblOutcomes[[#This Row],[BatchID]]))</f>
        <v>45523</v>
      </c>
    </row>
    <row r="1253" spans="2:17" x14ac:dyDescent="0.25">
      <c r="B1253" s="2" t="s">
        <v>2057</v>
      </c>
      <c r="C1253" s="2" t="s">
        <v>160</v>
      </c>
      <c r="D1253" s="2" t="s">
        <v>155</v>
      </c>
      <c r="E1253" s="2" t="s">
        <v>4647</v>
      </c>
      <c r="F1253" s="2">
        <v>33</v>
      </c>
      <c r="G1253" s="2">
        <v>33</v>
      </c>
      <c r="H1253" s="2">
        <v>0</v>
      </c>
      <c r="I1253" s="1">
        <v>0</v>
      </c>
      <c r="J1253" s="26">
        <v>45537</v>
      </c>
      <c r="K1253" s="22">
        <v>66000</v>
      </c>
      <c r="L1253" s="18">
        <v>70.59</v>
      </c>
      <c r="M1253" s="22">
        <v>47850</v>
      </c>
      <c r="N1253" s="22">
        <v>18150</v>
      </c>
      <c r="O1253" s="18">
        <v>19.41</v>
      </c>
      <c r="P1253" s="52">
        <f>IF(COUNTIF(TblPurchases[BatchID],TblOutcomes[[#This Row],[BatchID]])&lt;&gt;1,"n.a.",TblOutcomes[[#This Row],[Qty Wasted]]*SUMIFS(TblPurchases[Unit Cost (CLP)],TblPurchases[BatchID],TblOutcomes[[#This Row],[BatchID]]))</f>
        <v>0</v>
      </c>
      <c r="Q1253" s="51">
        <f>IF(COUNTIF(TblPurchases[BatchID],TblOutcomes[[#This Row],[BatchID]])&lt;&gt;1,"n.a.",SUMIFS(TblPurchases[Purchase Date],TblPurchases[BatchID],TblOutcomes[[#This Row],[BatchID]]))</f>
        <v>45530</v>
      </c>
    </row>
    <row r="1254" spans="2:17" x14ac:dyDescent="0.25">
      <c r="B1254" s="2" t="s">
        <v>2058</v>
      </c>
      <c r="C1254" s="2" t="s">
        <v>160</v>
      </c>
      <c r="D1254" s="2" t="s">
        <v>155</v>
      </c>
      <c r="E1254" s="2" t="s">
        <v>4646</v>
      </c>
      <c r="F1254" s="2">
        <v>34</v>
      </c>
      <c r="G1254" s="2">
        <v>28.87</v>
      </c>
      <c r="H1254" s="2">
        <v>5.13</v>
      </c>
      <c r="I1254" s="1">
        <v>15.1</v>
      </c>
      <c r="J1254" s="26">
        <v>45555</v>
      </c>
      <c r="K1254" s="22">
        <v>57740</v>
      </c>
      <c r="L1254" s="18">
        <v>61.75</v>
      </c>
      <c r="M1254" s="22">
        <v>52700</v>
      </c>
      <c r="N1254" s="22">
        <v>5040</v>
      </c>
      <c r="O1254" s="18">
        <v>5.39</v>
      </c>
      <c r="P1254" s="52">
        <f>IF(COUNTIF(TblPurchases[BatchID],TblOutcomes[[#This Row],[BatchID]])&lt;&gt;1,"n.a.",TblOutcomes[[#This Row],[Qty Wasted]]*SUMIFS(TblPurchases[Unit Cost (CLP)],TblPurchases[BatchID],TblOutcomes[[#This Row],[BatchID]]))</f>
        <v>7951.5</v>
      </c>
      <c r="Q1254" s="51">
        <f>IF(COUNTIF(TblPurchases[BatchID],TblOutcomes[[#This Row],[BatchID]])&lt;&gt;1,"n.a.",SUMIFS(TblPurchases[Purchase Date],TblPurchases[BatchID],TblOutcomes[[#This Row],[BatchID]]))</f>
        <v>45535</v>
      </c>
    </row>
    <row r="1255" spans="2:17" x14ac:dyDescent="0.25">
      <c r="B1255" s="2" t="s">
        <v>2059</v>
      </c>
      <c r="C1255" s="2" t="s">
        <v>160</v>
      </c>
      <c r="D1255" s="2" t="s">
        <v>155</v>
      </c>
      <c r="E1255" s="2" t="s">
        <v>4647</v>
      </c>
      <c r="F1255" s="2">
        <v>39</v>
      </c>
      <c r="G1255" s="2">
        <v>39</v>
      </c>
      <c r="H1255" s="2">
        <v>0</v>
      </c>
      <c r="I1255" s="1">
        <v>0</v>
      </c>
      <c r="J1255" s="26">
        <v>45547</v>
      </c>
      <c r="K1255" s="22">
        <v>78000</v>
      </c>
      <c r="L1255" s="18">
        <v>83.42</v>
      </c>
      <c r="M1255" s="22">
        <v>56550</v>
      </c>
      <c r="N1255" s="22">
        <v>21450</v>
      </c>
      <c r="O1255" s="18">
        <v>22.94</v>
      </c>
      <c r="P1255" s="52">
        <f>IF(COUNTIF(TblPurchases[BatchID],TblOutcomes[[#This Row],[BatchID]])&lt;&gt;1,"n.a.",TblOutcomes[[#This Row],[Qty Wasted]]*SUMIFS(TblPurchases[Unit Cost (CLP)],TblPurchases[BatchID],TblOutcomes[[#This Row],[BatchID]]))</f>
        <v>0</v>
      </c>
      <c r="Q1255" s="51">
        <f>IF(COUNTIF(TblPurchases[BatchID],TblOutcomes[[#This Row],[BatchID]])&lt;&gt;1,"n.a.",SUMIFS(TblPurchases[Purchase Date],TblPurchases[BatchID],TblOutcomes[[#This Row],[BatchID]]))</f>
        <v>45540</v>
      </c>
    </row>
    <row r="1256" spans="2:17" x14ac:dyDescent="0.25">
      <c r="B1256" s="2" t="s">
        <v>2060</v>
      </c>
      <c r="C1256" s="2" t="s">
        <v>160</v>
      </c>
      <c r="D1256" s="2" t="s">
        <v>155</v>
      </c>
      <c r="E1256" s="2" t="s">
        <v>4647</v>
      </c>
      <c r="F1256" s="2">
        <v>39</v>
      </c>
      <c r="G1256" s="2">
        <v>39</v>
      </c>
      <c r="H1256" s="2">
        <v>0</v>
      </c>
      <c r="I1256" s="1">
        <v>0</v>
      </c>
      <c r="J1256" s="26">
        <v>45552</v>
      </c>
      <c r="K1256" s="22">
        <v>78000</v>
      </c>
      <c r="L1256" s="18">
        <v>83.42</v>
      </c>
      <c r="M1256" s="22">
        <v>56550</v>
      </c>
      <c r="N1256" s="22">
        <v>21450</v>
      </c>
      <c r="O1256" s="18">
        <v>22.94</v>
      </c>
      <c r="P1256" s="52">
        <f>IF(COUNTIF(TblPurchases[BatchID],TblOutcomes[[#This Row],[BatchID]])&lt;&gt;1,"n.a.",TblOutcomes[[#This Row],[Qty Wasted]]*SUMIFS(TblPurchases[Unit Cost (CLP)],TblPurchases[BatchID],TblOutcomes[[#This Row],[BatchID]]))</f>
        <v>0</v>
      </c>
      <c r="Q1256" s="51">
        <f>IF(COUNTIF(TblPurchases[BatchID],TblOutcomes[[#This Row],[BatchID]])&lt;&gt;1,"n.a.",SUMIFS(TblPurchases[Purchase Date],TblPurchases[BatchID],TblOutcomes[[#This Row],[BatchID]]))</f>
        <v>45546</v>
      </c>
    </row>
    <row r="1257" spans="2:17" x14ac:dyDescent="0.25">
      <c r="B1257" s="2" t="s">
        <v>2061</v>
      </c>
      <c r="C1257" s="2" t="s">
        <v>160</v>
      </c>
      <c r="D1257" s="2" t="s">
        <v>155</v>
      </c>
      <c r="E1257" s="2" t="s">
        <v>4647</v>
      </c>
      <c r="F1257" s="2">
        <v>43</v>
      </c>
      <c r="G1257" s="2">
        <v>43</v>
      </c>
      <c r="H1257" s="2">
        <v>0</v>
      </c>
      <c r="I1257" s="1">
        <v>0</v>
      </c>
      <c r="J1257" s="26">
        <v>45560</v>
      </c>
      <c r="K1257" s="22">
        <v>86000</v>
      </c>
      <c r="L1257" s="18">
        <v>91.98</v>
      </c>
      <c r="M1257" s="22">
        <v>62350</v>
      </c>
      <c r="N1257" s="22">
        <v>23650</v>
      </c>
      <c r="O1257" s="18">
        <v>25.29</v>
      </c>
      <c r="P1257" s="52">
        <f>IF(COUNTIF(TblPurchases[BatchID],TblOutcomes[[#This Row],[BatchID]])&lt;&gt;1,"n.a.",TblOutcomes[[#This Row],[Qty Wasted]]*SUMIFS(TblPurchases[Unit Cost (CLP)],TblPurchases[BatchID],TblOutcomes[[#This Row],[BatchID]]))</f>
        <v>0</v>
      </c>
      <c r="Q1257" s="51">
        <f>IF(COUNTIF(TblPurchases[BatchID],TblOutcomes[[#This Row],[BatchID]])&lt;&gt;1,"n.a.",SUMIFS(TblPurchases[Purchase Date],TblPurchases[BatchID],TblOutcomes[[#This Row],[BatchID]]))</f>
        <v>45553</v>
      </c>
    </row>
    <row r="1258" spans="2:17" x14ac:dyDescent="0.25">
      <c r="B1258" s="2" t="s">
        <v>2062</v>
      </c>
      <c r="C1258" s="2" t="s">
        <v>160</v>
      </c>
      <c r="D1258" s="2" t="s">
        <v>155</v>
      </c>
      <c r="E1258" s="2" t="s">
        <v>4647</v>
      </c>
      <c r="F1258" s="2">
        <v>33</v>
      </c>
      <c r="G1258" s="2">
        <v>33</v>
      </c>
      <c r="H1258" s="2">
        <v>0</v>
      </c>
      <c r="I1258" s="1">
        <v>0</v>
      </c>
      <c r="J1258" s="26">
        <v>45564</v>
      </c>
      <c r="K1258" s="22">
        <v>66000</v>
      </c>
      <c r="L1258" s="18">
        <v>70.59</v>
      </c>
      <c r="M1258" s="22">
        <v>47850</v>
      </c>
      <c r="N1258" s="22">
        <v>18150</v>
      </c>
      <c r="O1258" s="18">
        <v>19.41</v>
      </c>
      <c r="P1258" s="52">
        <f>IF(COUNTIF(TblPurchases[BatchID],TblOutcomes[[#This Row],[BatchID]])&lt;&gt;1,"n.a.",TblOutcomes[[#This Row],[Qty Wasted]]*SUMIFS(TblPurchases[Unit Cost (CLP)],TblPurchases[BatchID],TblOutcomes[[#This Row],[BatchID]]))</f>
        <v>0</v>
      </c>
      <c r="Q1258" s="51">
        <f>IF(COUNTIF(TblPurchases[BatchID],TblOutcomes[[#This Row],[BatchID]])&lt;&gt;1,"n.a.",SUMIFS(TblPurchases[Purchase Date],TblPurchases[BatchID],TblOutcomes[[#This Row],[BatchID]]))</f>
        <v>45559</v>
      </c>
    </row>
    <row r="1259" spans="2:17" x14ac:dyDescent="0.25">
      <c r="B1259" s="2" t="s">
        <v>2063</v>
      </c>
      <c r="C1259" s="2" t="s">
        <v>160</v>
      </c>
      <c r="D1259" s="2" t="s">
        <v>155</v>
      </c>
      <c r="E1259" s="2" t="s">
        <v>4646</v>
      </c>
      <c r="F1259" s="2">
        <v>36</v>
      </c>
      <c r="G1259" s="2">
        <v>25.02</v>
      </c>
      <c r="H1259" s="2">
        <v>10.98</v>
      </c>
      <c r="I1259" s="1">
        <v>30.5</v>
      </c>
      <c r="J1259" s="26">
        <v>45585</v>
      </c>
      <c r="K1259" s="22">
        <v>50040</v>
      </c>
      <c r="L1259" s="18">
        <v>53.52</v>
      </c>
      <c r="M1259" s="22">
        <v>52200</v>
      </c>
      <c r="N1259" s="22">
        <v>-2160</v>
      </c>
      <c r="O1259" s="18">
        <v>-2.31</v>
      </c>
      <c r="P1259" s="52">
        <f>IF(COUNTIF(TblPurchases[BatchID],TblOutcomes[[#This Row],[BatchID]])&lt;&gt;1,"n.a.",TblOutcomes[[#This Row],[Qty Wasted]]*SUMIFS(TblPurchases[Unit Cost (CLP)],TblPurchases[BatchID],TblOutcomes[[#This Row],[BatchID]]))</f>
        <v>15921</v>
      </c>
      <c r="Q1259" s="51">
        <f>IF(COUNTIF(TblPurchases[BatchID],TblOutcomes[[#This Row],[BatchID]])&lt;&gt;1,"n.a.",SUMIFS(TblPurchases[Purchase Date],TblPurchases[BatchID],TblOutcomes[[#This Row],[BatchID]]))</f>
        <v>45565</v>
      </c>
    </row>
    <row r="1260" spans="2:17" x14ac:dyDescent="0.25">
      <c r="B1260" s="2" t="s">
        <v>2064</v>
      </c>
      <c r="C1260" s="2" t="s">
        <v>160</v>
      </c>
      <c r="D1260" s="2" t="s">
        <v>155</v>
      </c>
      <c r="E1260" s="2" t="s">
        <v>4647</v>
      </c>
      <c r="F1260" s="2">
        <v>31</v>
      </c>
      <c r="G1260" s="2">
        <v>31</v>
      </c>
      <c r="H1260" s="2">
        <v>0</v>
      </c>
      <c r="I1260" s="1">
        <v>0</v>
      </c>
      <c r="J1260" s="26">
        <v>45577</v>
      </c>
      <c r="K1260" s="22">
        <v>62000</v>
      </c>
      <c r="L1260" s="18">
        <v>66.31</v>
      </c>
      <c r="M1260" s="22">
        <v>44950</v>
      </c>
      <c r="N1260" s="22">
        <v>17050</v>
      </c>
      <c r="O1260" s="18">
        <v>18.239999999999998</v>
      </c>
      <c r="P1260" s="52">
        <f>IF(COUNTIF(TblPurchases[BatchID],TblOutcomes[[#This Row],[BatchID]])&lt;&gt;1,"n.a.",TblOutcomes[[#This Row],[Qty Wasted]]*SUMIFS(TblPurchases[Unit Cost (CLP)],TblPurchases[BatchID],TblOutcomes[[#This Row],[BatchID]]))</f>
        <v>0</v>
      </c>
      <c r="Q1260" s="51">
        <f>IF(COUNTIF(TblPurchases[BatchID],TblOutcomes[[#This Row],[BatchID]])&lt;&gt;1,"n.a.",SUMIFS(TblPurchases[Purchase Date],TblPurchases[BatchID],TblOutcomes[[#This Row],[BatchID]]))</f>
        <v>45572</v>
      </c>
    </row>
    <row r="1261" spans="2:17" x14ac:dyDescent="0.25">
      <c r="B1261" s="2" t="s">
        <v>2065</v>
      </c>
      <c r="C1261" s="2" t="s">
        <v>160</v>
      </c>
      <c r="D1261" s="2" t="s">
        <v>155</v>
      </c>
      <c r="E1261" s="2" t="s">
        <v>4646</v>
      </c>
      <c r="F1261" s="2">
        <v>29</v>
      </c>
      <c r="G1261" s="2">
        <v>24.21</v>
      </c>
      <c r="H1261" s="2">
        <v>4.79</v>
      </c>
      <c r="I1261" s="1">
        <v>16.5</v>
      </c>
      <c r="J1261" s="26">
        <v>45597</v>
      </c>
      <c r="K1261" s="22">
        <v>48420</v>
      </c>
      <c r="L1261" s="18">
        <v>51.79</v>
      </c>
      <c r="M1261" s="22">
        <v>42050</v>
      </c>
      <c r="N1261" s="22">
        <v>6370</v>
      </c>
      <c r="O1261" s="18">
        <v>6.81</v>
      </c>
      <c r="P1261" s="52">
        <f>IF(COUNTIF(TblPurchases[BatchID],TblOutcomes[[#This Row],[BatchID]])&lt;&gt;1,"n.a.",TblOutcomes[[#This Row],[Qty Wasted]]*SUMIFS(TblPurchases[Unit Cost (CLP)],TblPurchases[BatchID],TblOutcomes[[#This Row],[BatchID]]))</f>
        <v>6945.5</v>
      </c>
      <c r="Q1261" s="51">
        <f>IF(COUNTIF(TblPurchases[BatchID],TblOutcomes[[#This Row],[BatchID]])&lt;&gt;1,"n.a.",SUMIFS(TblPurchases[Purchase Date],TblPurchases[BatchID],TblOutcomes[[#This Row],[BatchID]]))</f>
        <v>45577</v>
      </c>
    </row>
    <row r="1262" spans="2:17" x14ac:dyDescent="0.25">
      <c r="B1262" s="2" t="s">
        <v>2066</v>
      </c>
      <c r="C1262" s="2" t="s">
        <v>160</v>
      </c>
      <c r="D1262" s="2" t="s">
        <v>155</v>
      </c>
      <c r="E1262" s="2" t="s">
        <v>4647</v>
      </c>
      <c r="F1262" s="2">
        <v>31</v>
      </c>
      <c r="G1262" s="2">
        <v>31</v>
      </c>
      <c r="H1262" s="2">
        <v>0</v>
      </c>
      <c r="I1262" s="1">
        <v>0</v>
      </c>
      <c r="J1262" s="26">
        <v>45589</v>
      </c>
      <c r="K1262" s="22">
        <v>62000</v>
      </c>
      <c r="L1262" s="18">
        <v>66.31</v>
      </c>
      <c r="M1262" s="22">
        <v>44950</v>
      </c>
      <c r="N1262" s="22">
        <v>17050</v>
      </c>
      <c r="O1262" s="18">
        <v>18.239999999999998</v>
      </c>
      <c r="P1262" s="52">
        <f>IF(COUNTIF(TblPurchases[BatchID],TblOutcomes[[#This Row],[BatchID]])&lt;&gt;1,"n.a.",TblOutcomes[[#This Row],[Qty Wasted]]*SUMIFS(TblPurchases[Unit Cost (CLP)],TblPurchases[BatchID],TblOutcomes[[#This Row],[BatchID]]))</f>
        <v>0</v>
      </c>
      <c r="Q1262" s="51">
        <f>IF(COUNTIF(TblPurchases[BatchID],TblOutcomes[[#This Row],[BatchID]])&lt;&gt;1,"n.a.",SUMIFS(TblPurchases[Purchase Date],TblPurchases[BatchID],TblOutcomes[[#This Row],[BatchID]]))</f>
        <v>45586</v>
      </c>
    </row>
    <row r="1263" spans="2:17" x14ac:dyDescent="0.25">
      <c r="B1263" s="2" t="s">
        <v>2067</v>
      </c>
      <c r="C1263" s="2" t="s">
        <v>160</v>
      </c>
      <c r="D1263" s="2" t="s">
        <v>155</v>
      </c>
      <c r="E1263" s="2" t="s">
        <v>4646</v>
      </c>
      <c r="F1263" s="2">
        <v>33</v>
      </c>
      <c r="G1263" s="2">
        <v>30.92</v>
      </c>
      <c r="H1263" s="2">
        <v>2.08</v>
      </c>
      <c r="I1263" s="1">
        <v>6.3</v>
      </c>
      <c r="J1263" s="26">
        <v>45613</v>
      </c>
      <c r="K1263" s="22">
        <v>61840</v>
      </c>
      <c r="L1263" s="18">
        <v>66.14</v>
      </c>
      <c r="M1263" s="22">
        <v>47850</v>
      </c>
      <c r="N1263" s="22">
        <v>13990</v>
      </c>
      <c r="O1263" s="18">
        <v>14.96</v>
      </c>
      <c r="P1263" s="52">
        <f>IF(COUNTIF(TblPurchases[BatchID],TblOutcomes[[#This Row],[BatchID]])&lt;&gt;1,"n.a.",TblOutcomes[[#This Row],[Qty Wasted]]*SUMIFS(TblPurchases[Unit Cost (CLP)],TblPurchases[BatchID],TblOutcomes[[#This Row],[BatchID]]))</f>
        <v>3016</v>
      </c>
      <c r="Q1263" s="51">
        <f>IF(COUNTIF(TblPurchases[BatchID],TblOutcomes[[#This Row],[BatchID]])&lt;&gt;1,"n.a.",SUMIFS(TblPurchases[Purchase Date],TblPurchases[BatchID],TblOutcomes[[#This Row],[BatchID]]))</f>
        <v>45593</v>
      </c>
    </row>
    <row r="1264" spans="2:17" x14ac:dyDescent="0.25">
      <c r="B1264" s="2" t="s">
        <v>2068</v>
      </c>
      <c r="C1264" s="2" t="s">
        <v>160</v>
      </c>
      <c r="D1264" s="2" t="s">
        <v>155</v>
      </c>
      <c r="E1264" s="2" t="s">
        <v>4647</v>
      </c>
      <c r="F1264" s="2">
        <v>31</v>
      </c>
      <c r="G1264" s="2">
        <v>31</v>
      </c>
      <c r="H1264" s="2">
        <v>0</v>
      </c>
      <c r="I1264" s="1">
        <v>0</v>
      </c>
      <c r="J1264" s="26">
        <v>45606</v>
      </c>
      <c r="K1264" s="22">
        <v>62000</v>
      </c>
      <c r="L1264" s="18">
        <v>66.31</v>
      </c>
      <c r="M1264" s="22">
        <v>44950</v>
      </c>
      <c r="N1264" s="22">
        <v>17050</v>
      </c>
      <c r="O1264" s="18">
        <v>18.239999999999998</v>
      </c>
      <c r="P1264" s="52">
        <f>IF(COUNTIF(TblPurchases[BatchID],TblOutcomes[[#This Row],[BatchID]])&lt;&gt;1,"n.a.",TblOutcomes[[#This Row],[Qty Wasted]]*SUMIFS(TblPurchases[Unit Cost (CLP)],TblPurchases[BatchID],TblOutcomes[[#This Row],[BatchID]]))</f>
        <v>0</v>
      </c>
      <c r="Q1264" s="51">
        <f>IF(COUNTIF(TblPurchases[BatchID],TblOutcomes[[#This Row],[BatchID]])&lt;&gt;1,"n.a.",SUMIFS(TblPurchases[Purchase Date],TblPurchases[BatchID],TblOutcomes[[#This Row],[BatchID]]))</f>
        <v>45601</v>
      </c>
    </row>
    <row r="1265" spans="2:17" x14ac:dyDescent="0.25">
      <c r="B1265" s="2" t="s">
        <v>2069</v>
      </c>
      <c r="C1265" s="2" t="s">
        <v>160</v>
      </c>
      <c r="D1265" s="2" t="s">
        <v>155</v>
      </c>
      <c r="E1265" s="2" t="s">
        <v>4647</v>
      </c>
      <c r="F1265" s="2">
        <v>31</v>
      </c>
      <c r="G1265" s="2">
        <v>31</v>
      </c>
      <c r="H1265" s="2">
        <v>0</v>
      </c>
      <c r="I1265" s="1">
        <v>0</v>
      </c>
      <c r="J1265" s="26">
        <v>45608</v>
      </c>
      <c r="K1265" s="22">
        <v>62000</v>
      </c>
      <c r="L1265" s="18">
        <v>66.31</v>
      </c>
      <c r="M1265" s="22">
        <v>44950</v>
      </c>
      <c r="N1265" s="22">
        <v>17050</v>
      </c>
      <c r="O1265" s="18">
        <v>18.239999999999998</v>
      </c>
      <c r="P1265" s="52">
        <f>IF(COUNTIF(TblPurchases[BatchID],TblOutcomes[[#This Row],[BatchID]])&lt;&gt;1,"n.a.",TblOutcomes[[#This Row],[Qty Wasted]]*SUMIFS(TblPurchases[Unit Cost (CLP)],TblPurchases[BatchID],TblOutcomes[[#This Row],[BatchID]]))</f>
        <v>0</v>
      </c>
      <c r="Q1265" s="51">
        <f>IF(COUNTIF(TblPurchases[BatchID],TblOutcomes[[#This Row],[BatchID]])&lt;&gt;1,"n.a.",SUMIFS(TblPurchases[Purchase Date],TblPurchases[BatchID],TblOutcomes[[#This Row],[BatchID]]))</f>
        <v>45605</v>
      </c>
    </row>
    <row r="1266" spans="2:17" x14ac:dyDescent="0.25">
      <c r="B1266" s="2" t="s">
        <v>2070</v>
      </c>
      <c r="C1266" s="2" t="s">
        <v>160</v>
      </c>
      <c r="D1266" s="2" t="s">
        <v>155</v>
      </c>
      <c r="E1266" s="2" t="s">
        <v>4647</v>
      </c>
      <c r="F1266" s="2">
        <v>29</v>
      </c>
      <c r="G1266" s="2">
        <v>29</v>
      </c>
      <c r="H1266" s="2">
        <v>0</v>
      </c>
      <c r="I1266" s="1">
        <v>0</v>
      </c>
      <c r="J1266" s="26">
        <v>45617</v>
      </c>
      <c r="K1266" s="22">
        <v>58000</v>
      </c>
      <c r="L1266" s="18">
        <v>62.03</v>
      </c>
      <c r="M1266" s="22">
        <v>42050</v>
      </c>
      <c r="N1266" s="22">
        <v>15950</v>
      </c>
      <c r="O1266" s="18">
        <v>17.059999999999999</v>
      </c>
      <c r="P1266" s="52">
        <f>IF(COUNTIF(TblPurchases[BatchID],TblOutcomes[[#This Row],[BatchID]])&lt;&gt;1,"n.a.",TblOutcomes[[#This Row],[Qty Wasted]]*SUMIFS(TblPurchases[Unit Cost (CLP)],TblPurchases[BatchID],TblOutcomes[[#This Row],[BatchID]]))</f>
        <v>0</v>
      </c>
      <c r="Q1266" s="51">
        <f>IF(COUNTIF(TblPurchases[BatchID],TblOutcomes[[#This Row],[BatchID]])&lt;&gt;1,"n.a.",SUMIFS(TblPurchases[Purchase Date],TblPurchases[BatchID],TblOutcomes[[#This Row],[BatchID]]))</f>
        <v>45612</v>
      </c>
    </row>
    <row r="1267" spans="2:17" x14ac:dyDescent="0.25">
      <c r="B1267" s="2" t="s">
        <v>2071</v>
      </c>
      <c r="C1267" s="2" t="s">
        <v>160</v>
      </c>
      <c r="D1267" s="2" t="s">
        <v>155</v>
      </c>
      <c r="E1267" s="2" t="s">
        <v>4647</v>
      </c>
      <c r="F1267" s="2">
        <v>33</v>
      </c>
      <c r="G1267" s="2">
        <v>33</v>
      </c>
      <c r="H1267" s="2">
        <v>0</v>
      </c>
      <c r="I1267" s="1">
        <v>0</v>
      </c>
      <c r="J1267" s="26">
        <v>45623</v>
      </c>
      <c r="K1267" s="22">
        <v>66000</v>
      </c>
      <c r="L1267" s="18">
        <v>70.59</v>
      </c>
      <c r="M1267" s="22">
        <v>47850</v>
      </c>
      <c r="N1267" s="22">
        <v>18150</v>
      </c>
      <c r="O1267" s="18">
        <v>19.41</v>
      </c>
      <c r="P1267" s="52">
        <f>IF(COUNTIF(TblPurchases[BatchID],TblOutcomes[[#This Row],[BatchID]])&lt;&gt;1,"n.a.",TblOutcomes[[#This Row],[Qty Wasted]]*SUMIFS(TblPurchases[Unit Cost (CLP)],TblPurchases[BatchID],TblOutcomes[[#This Row],[BatchID]]))</f>
        <v>0</v>
      </c>
      <c r="Q1267" s="51">
        <f>IF(COUNTIF(TblPurchases[BatchID],TblOutcomes[[#This Row],[BatchID]])&lt;&gt;1,"n.a.",SUMIFS(TblPurchases[Purchase Date],TblPurchases[BatchID],TblOutcomes[[#This Row],[BatchID]]))</f>
        <v>45618</v>
      </c>
    </row>
    <row r="1268" spans="2:17" x14ac:dyDescent="0.25">
      <c r="B1268" s="2" t="s">
        <v>2072</v>
      </c>
      <c r="C1268" s="2" t="s">
        <v>160</v>
      </c>
      <c r="D1268" s="2" t="s">
        <v>155</v>
      </c>
      <c r="E1268" s="2" t="s">
        <v>4647</v>
      </c>
      <c r="F1268" s="2">
        <v>26</v>
      </c>
      <c r="G1268" s="2">
        <v>26</v>
      </c>
      <c r="H1268" s="2">
        <v>0</v>
      </c>
      <c r="I1268" s="1">
        <v>0</v>
      </c>
      <c r="J1268" s="26">
        <v>45627</v>
      </c>
      <c r="K1268" s="22">
        <v>52000</v>
      </c>
      <c r="L1268" s="18">
        <v>55.61</v>
      </c>
      <c r="M1268" s="22">
        <v>37700</v>
      </c>
      <c r="N1268" s="22">
        <v>14300</v>
      </c>
      <c r="O1268" s="18">
        <v>15.29</v>
      </c>
      <c r="P1268" s="52">
        <f>IF(COUNTIF(TblPurchases[BatchID],TblOutcomes[[#This Row],[BatchID]])&lt;&gt;1,"n.a.",TblOutcomes[[#This Row],[Qty Wasted]]*SUMIFS(TblPurchases[Unit Cost (CLP)],TblPurchases[BatchID],TblOutcomes[[#This Row],[BatchID]]))</f>
        <v>0</v>
      </c>
      <c r="Q1268" s="51">
        <f>IF(COUNTIF(TblPurchases[BatchID],TblOutcomes[[#This Row],[BatchID]])&lt;&gt;1,"n.a.",SUMIFS(TblPurchases[Purchase Date],TblPurchases[BatchID],TblOutcomes[[#This Row],[BatchID]]))</f>
        <v>45623</v>
      </c>
    </row>
    <row r="1269" spans="2:17" x14ac:dyDescent="0.25">
      <c r="B1269" s="2" t="s">
        <v>2073</v>
      </c>
      <c r="C1269" s="2" t="s">
        <v>160</v>
      </c>
      <c r="D1269" s="2" t="s">
        <v>155</v>
      </c>
      <c r="E1269" s="2" t="s">
        <v>4646</v>
      </c>
      <c r="F1269" s="2">
        <v>44</v>
      </c>
      <c r="G1269" s="2">
        <v>31.02</v>
      </c>
      <c r="H1269" s="2">
        <v>12.98</v>
      </c>
      <c r="I1269" s="1">
        <v>29.5</v>
      </c>
      <c r="J1269" s="26">
        <v>45651</v>
      </c>
      <c r="K1269" s="22">
        <v>62040</v>
      </c>
      <c r="L1269" s="18">
        <v>66.349999999999994</v>
      </c>
      <c r="M1269" s="22">
        <v>63800</v>
      </c>
      <c r="N1269" s="22">
        <v>-1760</v>
      </c>
      <c r="O1269" s="18">
        <v>-1.88</v>
      </c>
      <c r="P1269" s="52">
        <f>IF(COUNTIF(TblPurchases[BatchID],TblOutcomes[[#This Row],[BatchID]])&lt;&gt;1,"n.a.",TblOutcomes[[#This Row],[Qty Wasted]]*SUMIFS(TblPurchases[Unit Cost (CLP)],TblPurchases[BatchID],TblOutcomes[[#This Row],[BatchID]]))</f>
        <v>18821</v>
      </c>
      <c r="Q1269" s="51">
        <f>IF(COUNTIF(TblPurchases[BatchID],TblOutcomes[[#This Row],[BatchID]])&lt;&gt;1,"n.a.",SUMIFS(TblPurchases[Purchase Date],TblPurchases[BatchID],TblOutcomes[[#This Row],[BatchID]]))</f>
        <v>45631</v>
      </c>
    </row>
    <row r="1270" spans="2:17" x14ac:dyDescent="0.25">
      <c r="B1270" s="2" t="s">
        <v>2074</v>
      </c>
      <c r="C1270" s="2" t="s">
        <v>160</v>
      </c>
      <c r="D1270" s="2" t="s">
        <v>155</v>
      </c>
      <c r="E1270" s="2" t="s">
        <v>4646</v>
      </c>
      <c r="F1270" s="2">
        <v>36</v>
      </c>
      <c r="G1270" s="2">
        <v>23.18</v>
      </c>
      <c r="H1270" s="2">
        <v>12.82</v>
      </c>
      <c r="I1270" s="1">
        <v>35.6</v>
      </c>
      <c r="J1270" s="26">
        <v>45658</v>
      </c>
      <c r="K1270" s="22">
        <v>46360</v>
      </c>
      <c r="L1270" s="18">
        <v>49.58</v>
      </c>
      <c r="M1270" s="22">
        <v>55800</v>
      </c>
      <c r="N1270" s="22">
        <v>-9440</v>
      </c>
      <c r="O1270" s="18">
        <v>-10.1</v>
      </c>
      <c r="P1270" s="52">
        <f>IF(COUNTIF(TblPurchases[BatchID],TblOutcomes[[#This Row],[BatchID]])&lt;&gt;1,"n.a.",TblOutcomes[[#This Row],[Qty Wasted]]*SUMIFS(TblPurchases[Unit Cost (CLP)],TblPurchases[BatchID],TblOutcomes[[#This Row],[BatchID]]))</f>
        <v>19871</v>
      </c>
      <c r="Q1270" s="51">
        <f>IF(COUNTIF(TblPurchases[BatchID],TblOutcomes[[#This Row],[BatchID]])&lt;&gt;1,"n.a.",SUMIFS(TblPurchases[Purchase Date],TblPurchases[BatchID],TblOutcomes[[#This Row],[BatchID]]))</f>
        <v>45638</v>
      </c>
    </row>
    <row r="1271" spans="2:17" x14ac:dyDescent="0.25">
      <c r="B1271" s="2" t="s">
        <v>2075</v>
      </c>
      <c r="C1271" s="2" t="s">
        <v>160</v>
      </c>
      <c r="D1271" s="2" t="s">
        <v>155</v>
      </c>
      <c r="E1271" s="2" t="s">
        <v>4647</v>
      </c>
      <c r="F1271" s="2">
        <v>37</v>
      </c>
      <c r="G1271" s="2">
        <v>37</v>
      </c>
      <c r="H1271" s="2">
        <v>0</v>
      </c>
      <c r="I1271" s="1">
        <v>0</v>
      </c>
      <c r="J1271" s="26">
        <v>45648</v>
      </c>
      <c r="K1271" s="22">
        <v>74000</v>
      </c>
      <c r="L1271" s="18">
        <v>79.14</v>
      </c>
      <c r="M1271" s="22">
        <v>53650</v>
      </c>
      <c r="N1271" s="22">
        <v>20350</v>
      </c>
      <c r="O1271" s="18">
        <v>21.76</v>
      </c>
      <c r="P1271" s="52">
        <f>IF(COUNTIF(TblPurchases[BatchID],TblOutcomes[[#This Row],[BatchID]])&lt;&gt;1,"n.a.",TblOutcomes[[#This Row],[Qty Wasted]]*SUMIFS(TblPurchases[Unit Cost (CLP)],TblPurchases[BatchID],TblOutcomes[[#This Row],[BatchID]]))</f>
        <v>0</v>
      </c>
      <c r="Q1271" s="51">
        <f>IF(COUNTIF(TblPurchases[BatchID],TblOutcomes[[#This Row],[BatchID]])&lt;&gt;1,"n.a.",SUMIFS(TblPurchases[Purchase Date],TblPurchases[BatchID],TblOutcomes[[#This Row],[BatchID]]))</f>
        <v>45644</v>
      </c>
    </row>
    <row r="1272" spans="2:17" x14ac:dyDescent="0.25">
      <c r="B1272" s="2" t="s">
        <v>2076</v>
      </c>
      <c r="C1272" s="2" t="s">
        <v>160</v>
      </c>
      <c r="D1272" s="2" t="s">
        <v>155</v>
      </c>
      <c r="E1272" s="2" t="s">
        <v>4647</v>
      </c>
      <c r="F1272" s="2">
        <v>36</v>
      </c>
      <c r="G1272" s="2">
        <v>36</v>
      </c>
      <c r="H1272" s="2">
        <v>0</v>
      </c>
      <c r="I1272" s="1">
        <v>0</v>
      </c>
      <c r="J1272" s="26">
        <v>45658</v>
      </c>
      <c r="K1272" s="22">
        <v>72000</v>
      </c>
      <c r="L1272" s="18">
        <v>77.010000000000005</v>
      </c>
      <c r="M1272" s="22">
        <v>52200</v>
      </c>
      <c r="N1272" s="22">
        <v>19800</v>
      </c>
      <c r="O1272" s="18">
        <v>21.18</v>
      </c>
      <c r="P1272" s="52">
        <f>IF(COUNTIF(TblPurchases[BatchID],TblOutcomes[[#This Row],[BatchID]])&lt;&gt;1,"n.a.",TblOutcomes[[#This Row],[Qty Wasted]]*SUMIFS(TblPurchases[Unit Cost (CLP)],TblPurchases[BatchID],TblOutcomes[[#This Row],[BatchID]]))</f>
        <v>0</v>
      </c>
      <c r="Q1272" s="51">
        <f>IF(COUNTIF(TblPurchases[BatchID],TblOutcomes[[#This Row],[BatchID]])&lt;&gt;1,"n.a.",SUMIFS(TblPurchases[Purchase Date],TblPurchases[BatchID],TblOutcomes[[#This Row],[BatchID]]))</f>
        <v>45653</v>
      </c>
    </row>
    <row r="1273" spans="2:17" x14ac:dyDescent="0.25">
      <c r="B1273" s="2" t="s">
        <v>2077</v>
      </c>
      <c r="C1273" s="2" t="s">
        <v>160</v>
      </c>
      <c r="D1273" s="2" t="s">
        <v>155</v>
      </c>
      <c r="E1273" s="2" t="s">
        <v>4647</v>
      </c>
      <c r="F1273" s="2">
        <v>28</v>
      </c>
      <c r="G1273" s="2">
        <v>28</v>
      </c>
      <c r="H1273" s="2">
        <v>0</v>
      </c>
      <c r="I1273" s="1">
        <v>0</v>
      </c>
      <c r="J1273" s="26">
        <v>45663</v>
      </c>
      <c r="K1273" s="22">
        <v>56000</v>
      </c>
      <c r="L1273" s="18">
        <v>59.89</v>
      </c>
      <c r="M1273" s="22">
        <v>40600</v>
      </c>
      <c r="N1273" s="22">
        <v>15400</v>
      </c>
      <c r="O1273" s="18">
        <v>16.47</v>
      </c>
      <c r="P1273" s="52">
        <f>IF(COUNTIF(TblPurchases[BatchID],TblOutcomes[[#This Row],[BatchID]])&lt;&gt;1,"n.a.",TblOutcomes[[#This Row],[Qty Wasted]]*SUMIFS(TblPurchases[Unit Cost (CLP)],TblPurchases[BatchID],TblOutcomes[[#This Row],[BatchID]]))</f>
        <v>0</v>
      </c>
      <c r="Q1273" s="51">
        <f>IF(COUNTIF(TblPurchases[BatchID],TblOutcomes[[#This Row],[BatchID]])&lt;&gt;1,"n.a.",SUMIFS(TblPurchases[Purchase Date],TblPurchases[BatchID],TblOutcomes[[#This Row],[BatchID]]))</f>
        <v>45659</v>
      </c>
    </row>
    <row r="1274" spans="2:17" x14ac:dyDescent="0.25">
      <c r="B1274" s="2" t="s">
        <v>2078</v>
      </c>
      <c r="C1274" s="2" t="s">
        <v>160</v>
      </c>
      <c r="D1274" s="2" t="s">
        <v>155</v>
      </c>
      <c r="E1274" s="2" t="s">
        <v>4647</v>
      </c>
      <c r="F1274" s="2">
        <v>28</v>
      </c>
      <c r="G1274" s="2">
        <v>28</v>
      </c>
      <c r="H1274" s="2">
        <v>0</v>
      </c>
      <c r="I1274" s="1">
        <v>0</v>
      </c>
      <c r="J1274" s="26">
        <v>45671</v>
      </c>
      <c r="K1274" s="22">
        <v>56000</v>
      </c>
      <c r="L1274" s="18">
        <v>59.89</v>
      </c>
      <c r="M1274" s="22">
        <v>40600</v>
      </c>
      <c r="N1274" s="22">
        <v>15400</v>
      </c>
      <c r="O1274" s="18">
        <v>16.47</v>
      </c>
      <c r="P1274" s="52">
        <f>IF(COUNTIF(TblPurchases[BatchID],TblOutcomes[[#This Row],[BatchID]])&lt;&gt;1,"n.a.",TblOutcomes[[#This Row],[Qty Wasted]]*SUMIFS(TblPurchases[Unit Cost (CLP)],TblPurchases[BatchID],TblOutcomes[[#This Row],[BatchID]]))</f>
        <v>0</v>
      </c>
      <c r="Q1274" s="51">
        <f>IF(COUNTIF(TblPurchases[BatchID],TblOutcomes[[#This Row],[BatchID]])&lt;&gt;1,"n.a.",SUMIFS(TblPurchases[Purchase Date],TblPurchases[BatchID],TblOutcomes[[#This Row],[BatchID]]))</f>
        <v>45666</v>
      </c>
    </row>
    <row r="1275" spans="2:17" x14ac:dyDescent="0.25">
      <c r="B1275" s="2" t="s">
        <v>2079</v>
      </c>
      <c r="C1275" s="2" t="s">
        <v>160</v>
      </c>
      <c r="D1275" s="2" t="s">
        <v>155</v>
      </c>
      <c r="E1275" s="2" t="s">
        <v>4647</v>
      </c>
      <c r="F1275" s="2">
        <v>33</v>
      </c>
      <c r="G1275" s="2">
        <v>33</v>
      </c>
      <c r="H1275" s="2">
        <v>0</v>
      </c>
      <c r="I1275" s="1">
        <v>0</v>
      </c>
      <c r="J1275" s="26">
        <v>45674</v>
      </c>
      <c r="K1275" s="22">
        <v>66000</v>
      </c>
      <c r="L1275" s="18">
        <v>70.59</v>
      </c>
      <c r="M1275" s="22">
        <v>47850</v>
      </c>
      <c r="N1275" s="22">
        <v>18150</v>
      </c>
      <c r="O1275" s="18">
        <v>19.41</v>
      </c>
      <c r="P1275" s="52">
        <f>IF(COUNTIF(TblPurchases[BatchID],TblOutcomes[[#This Row],[BatchID]])&lt;&gt;1,"n.a.",TblOutcomes[[#This Row],[Qty Wasted]]*SUMIFS(TblPurchases[Unit Cost (CLP)],TblPurchases[BatchID],TblOutcomes[[#This Row],[BatchID]]))</f>
        <v>0</v>
      </c>
      <c r="Q1275" s="51">
        <f>IF(COUNTIF(TblPurchases[BatchID],TblOutcomes[[#This Row],[BatchID]])&lt;&gt;1,"n.a.",SUMIFS(TblPurchases[Purchase Date],TblPurchases[BatchID],TblOutcomes[[#This Row],[BatchID]]))</f>
        <v>45671</v>
      </c>
    </row>
    <row r="1276" spans="2:17" x14ac:dyDescent="0.25">
      <c r="B1276" s="2" t="s">
        <v>2080</v>
      </c>
      <c r="C1276" s="2" t="s">
        <v>160</v>
      </c>
      <c r="D1276" s="2" t="s">
        <v>155</v>
      </c>
      <c r="E1276" s="2" t="s">
        <v>4647</v>
      </c>
      <c r="F1276" s="2">
        <v>29</v>
      </c>
      <c r="G1276" s="2">
        <v>29</v>
      </c>
      <c r="H1276" s="2">
        <v>0</v>
      </c>
      <c r="I1276" s="1">
        <v>0</v>
      </c>
      <c r="J1276" s="26">
        <v>45688</v>
      </c>
      <c r="K1276" s="22">
        <v>58000</v>
      </c>
      <c r="L1276" s="18">
        <v>62.03</v>
      </c>
      <c r="M1276" s="22">
        <v>42050</v>
      </c>
      <c r="N1276" s="22">
        <v>15950</v>
      </c>
      <c r="O1276" s="18">
        <v>17.059999999999999</v>
      </c>
      <c r="P1276" s="52">
        <f>IF(COUNTIF(TblPurchases[BatchID],TblOutcomes[[#This Row],[BatchID]])&lt;&gt;1,"n.a.",TblOutcomes[[#This Row],[Qty Wasted]]*SUMIFS(TblPurchases[Unit Cost (CLP)],TblPurchases[BatchID],TblOutcomes[[#This Row],[BatchID]]))</f>
        <v>0</v>
      </c>
      <c r="Q1276" s="51">
        <f>IF(COUNTIF(TblPurchases[BatchID],TblOutcomes[[#This Row],[BatchID]])&lt;&gt;1,"n.a.",SUMIFS(TblPurchases[Purchase Date],TblPurchases[BatchID],TblOutcomes[[#This Row],[BatchID]]))</f>
        <v>45680</v>
      </c>
    </row>
    <row r="1277" spans="2:17" x14ac:dyDescent="0.25">
      <c r="B1277" s="2" t="s">
        <v>2081</v>
      </c>
      <c r="C1277" s="2" t="s">
        <v>160</v>
      </c>
      <c r="D1277" s="2" t="s">
        <v>155</v>
      </c>
      <c r="E1277" s="2" t="s">
        <v>4647</v>
      </c>
      <c r="F1277" s="2">
        <v>37</v>
      </c>
      <c r="G1277" s="2">
        <v>37</v>
      </c>
      <c r="H1277" s="2">
        <v>0</v>
      </c>
      <c r="I1277" s="1">
        <v>0</v>
      </c>
      <c r="J1277" s="26">
        <v>45693</v>
      </c>
      <c r="K1277" s="22">
        <v>74000</v>
      </c>
      <c r="L1277" s="18">
        <v>79.14</v>
      </c>
      <c r="M1277" s="22">
        <v>53650</v>
      </c>
      <c r="N1277" s="22">
        <v>20350</v>
      </c>
      <c r="O1277" s="18">
        <v>21.76</v>
      </c>
      <c r="P1277" s="52">
        <f>IF(COUNTIF(TblPurchases[BatchID],TblOutcomes[[#This Row],[BatchID]])&lt;&gt;1,"n.a.",TblOutcomes[[#This Row],[Qty Wasted]]*SUMIFS(TblPurchases[Unit Cost (CLP)],TblPurchases[BatchID],TblOutcomes[[#This Row],[BatchID]]))</f>
        <v>0</v>
      </c>
      <c r="Q1277" s="51">
        <f>IF(COUNTIF(TblPurchases[BatchID],TblOutcomes[[#This Row],[BatchID]])&lt;&gt;1,"n.a.",SUMIFS(TblPurchases[Purchase Date],TblPurchases[BatchID],TblOutcomes[[#This Row],[BatchID]]))</f>
        <v>45689</v>
      </c>
    </row>
    <row r="1278" spans="2:17" x14ac:dyDescent="0.25">
      <c r="B1278" s="2" t="s">
        <v>2082</v>
      </c>
      <c r="C1278" s="2" t="s">
        <v>160</v>
      </c>
      <c r="D1278" s="2" t="s">
        <v>155</v>
      </c>
      <c r="E1278" s="2" t="s">
        <v>4646</v>
      </c>
      <c r="F1278" s="2">
        <v>35</v>
      </c>
      <c r="G1278" s="2">
        <v>22.61</v>
      </c>
      <c r="H1278" s="2">
        <v>12.39</v>
      </c>
      <c r="I1278" s="1">
        <v>35.4</v>
      </c>
      <c r="J1278" s="26">
        <v>45716</v>
      </c>
      <c r="K1278" s="22">
        <v>45220</v>
      </c>
      <c r="L1278" s="18">
        <v>48.36</v>
      </c>
      <c r="M1278" s="22">
        <v>50750</v>
      </c>
      <c r="N1278" s="22">
        <v>-5530</v>
      </c>
      <c r="O1278" s="18">
        <v>-5.91</v>
      </c>
      <c r="P1278" s="52">
        <f>IF(COUNTIF(TblPurchases[BatchID],TblOutcomes[[#This Row],[BatchID]])&lt;&gt;1,"n.a.",TblOutcomes[[#This Row],[Qty Wasted]]*SUMIFS(TblPurchases[Unit Cost (CLP)],TblPurchases[BatchID],TblOutcomes[[#This Row],[BatchID]]))</f>
        <v>17965.5</v>
      </c>
      <c r="Q1278" s="51">
        <f>IF(COUNTIF(TblPurchases[BatchID],TblOutcomes[[#This Row],[BatchID]])&lt;&gt;1,"n.a.",SUMIFS(TblPurchases[Purchase Date],TblPurchases[BatchID],TblOutcomes[[#This Row],[BatchID]]))</f>
        <v>45696</v>
      </c>
    </row>
    <row r="1279" spans="2:17" x14ac:dyDescent="0.25">
      <c r="B1279" s="2" t="s">
        <v>2083</v>
      </c>
      <c r="C1279" s="2" t="s">
        <v>160</v>
      </c>
      <c r="D1279" s="2" t="s">
        <v>155</v>
      </c>
      <c r="E1279" s="2" t="s">
        <v>4646</v>
      </c>
      <c r="F1279" s="2">
        <v>33</v>
      </c>
      <c r="G1279" s="2">
        <v>23.23</v>
      </c>
      <c r="H1279" s="2">
        <v>9.77</v>
      </c>
      <c r="I1279" s="1">
        <v>29.6</v>
      </c>
      <c r="J1279" s="26">
        <v>45724</v>
      </c>
      <c r="K1279" s="22">
        <v>46460</v>
      </c>
      <c r="L1279" s="18">
        <v>49.69</v>
      </c>
      <c r="M1279" s="22">
        <v>47850</v>
      </c>
      <c r="N1279" s="22">
        <v>-1390</v>
      </c>
      <c r="O1279" s="18">
        <v>-1.49</v>
      </c>
      <c r="P1279" s="52">
        <f>IF(COUNTIF(TblPurchases[BatchID],TblOutcomes[[#This Row],[BatchID]])&lt;&gt;1,"n.a.",TblOutcomes[[#This Row],[Qty Wasted]]*SUMIFS(TblPurchases[Unit Cost (CLP)],TblPurchases[BatchID],TblOutcomes[[#This Row],[BatchID]]))</f>
        <v>14166.5</v>
      </c>
      <c r="Q1279" s="51">
        <f>IF(COUNTIF(TblPurchases[BatchID],TblOutcomes[[#This Row],[BatchID]])&lt;&gt;1,"n.a.",SUMIFS(TblPurchases[Purchase Date],TblPurchases[BatchID],TblOutcomes[[#This Row],[BatchID]]))</f>
        <v>45704</v>
      </c>
    </row>
    <row r="1280" spans="2:17" x14ac:dyDescent="0.25">
      <c r="B1280" s="2" t="s">
        <v>2084</v>
      </c>
      <c r="C1280" s="2" t="s">
        <v>160</v>
      </c>
      <c r="D1280" s="2" t="s">
        <v>155</v>
      </c>
      <c r="E1280" s="2" t="s">
        <v>4646</v>
      </c>
      <c r="F1280" s="2">
        <v>35</v>
      </c>
      <c r="G1280" s="2">
        <v>20.09</v>
      </c>
      <c r="H1280" s="2">
        <v>14.91</v>
      </c>
      <c r="I1280" s="1">
        <v>42.6</v>
      </c>
      <c r="J1280" s="26">
        <v>45730</v>
      </c>
      <c r="K1280" s="22">
        <v>40180</v>
      </c>
      <c r="L1280" s="18">
        <v>42.97</v>
      </c>
      <c r="M1280" s="22">
        <v>50750</v>
      </c>
      <c r="N1280" s="22">
        <v>-10570</v>
      </c>
      <c r="O1280" s="18">
        <v>-11.3</v>
      </c>
      <c r="P1280" s="52">
        <f>IF(COUNTIF(TblPurchases[BatchID],TblOutcomes[[#This Row],[BatchID]])&lt;&gt;1,"n.a.",TblOutcomes[[#This Row],[Qty Wasted]]*SUMIFS(TblPurchases[Unit Cost (CLP)],TblPurchases[BatchID],TblOutcomes[[#This Row],[BatchID]]))</f>
        <v>21619.5</v>
      </c>
      <c r="Q1280" s="51">
        <f>IF(COUNTIF(TblPurchases[BatchID],TblOutcomes[[#This Row],[BatchID]])&lt;&gt;1,"n.a.",SUMIFS(TblPurchases[Purchase Date],TblPurchases[BatchID],TblOutcomes[[#This Row],[BatchID]]))</f>
        <v>45710</v>
      </c>
    </row>
    <row r="1281" spans="2:17" x14ac:dyDescent="0.25">
      <c r="B1281" s="2" t="s">
        <v>2085</v>
      </c>
      <c r="C1281" s="2" t="s">
        <v>160</v>
      </c>
      <c r="D1281" s="2" t="s">
        <v>155</v>
      </c>
      <c r="E1281" s="2" t="s">
        <v>4646</v>
      </c>
      <c r="F1281" s="2">
        <v>29</v>
      </c>
      <c r="G1281" s="2">
        <v>20.79</v>
      </c>
      <c r="H1281" s="2">
        <v>8.2100000000000009</v>
      </c>
      <c r="I1281" s="1">
        <v>28.3</v>
      </c>
      <c r="J1281" s="26">
        <v>45736</v>
      </c>
      <c r="K1281" s="22">
        <v>41580</v>
      </c>
      <c r="L1281" s="18">
        <v>44.47</v>
      </c>
      <c r="M1281" s="22">
        <v>42050</v>
      </c>
      <c r="N1281" s="22">
        <v>-470</v>
      </c>
      <c r="O1281" s="18">
        <v>-0.5</v>
      </c>
      <c r="P1281" s="52">
        <f>IF(COUNTIF(TblPurchases[BatchID],TblOutcomes[[#This Row],[BatchID]])&lt;&gt;1,"n.a.",TblOutcomes[[#This Row],[Qty Wasted]]*SUMIFS(TblPurchases[Unit Cost (CLP)],TblPurchases[BatchID],TblOutcomes[[#This Row],[BatchID]]))</f>
        <v>11904.500000000002</v>
      </c>
      <c r="Q1281" s="51">
        <f>IF(COUNTIF(TblPurchases[BatchID],TblOutcomes[[#This Row],[BatchID]])&lt;&gt;1,"n.a.",SUMIFS(TblPurchases[Purchase Date],TblPurchases[BatchID],TblOutcomes[[#This Row],[BatchID]]))</f>
        <v>45716</v>
      </c>
    </row>
    <row r="1282" spans="2:17" x14ac:dyDescent="0.25">
      <c r="B1282" s="2" t="s">
        <v>2086</v>
      </c>
      <c r="C1282" s="2" t="s">
        <v>160</v>
      </c>
      <c r="D1282" s="2" t="s">
        <v>155</v>
      </c>
      <c r="E1282" s="2" t="s">
        <v>4646</v>
      </c>
      <c r="F1282" s="2">
        <v>35</v>
      </c>
      <c r="G1282" s="2">
        <v>26.74</v>
      </c>
      <c r="H1282" s="2">
        <v>8.26</v>
      </c>
      <c r="I1282" s="1">
        <v>23.6</v>
      </c>
      <c r="J1282" s="26">
        <v>45744</v>
      </c>
      <c r="K1282" s="22">
        <v>53480</v>
      </c>
      <c r="L1282" s="18">
        <v>57.2</v>
      </c>
      <c r="M1282" s="22">
        <v>50750</v>
      </c>
      <c r="N1282" s="22">
        <v>2730</v>
      </c>
      <c r="O1282" s="18">
        <v>2.92</v>
      </c>
      <c r="P1282" s="52">
        <f>IF(COUNTIF(TblPurchases[BatchID],TblOutcomes[[#This Row],[BatchID]])&lt;&gt;1,"n.a.",TblOutcomes[[#This Row],[Qty Wasted]]*SUMIFS(TblPurchases[Unit Cost (CLP)],TblPurchases[BatchID],TblOutcomes[[#This Row],[BatchID]]))</f>
        <v>11977</v>
      </c>
      <c r="Q1282" s="51">
        <f>IF(COUNTIF(TblPurchases[BatchID],TblOutcomes[[#This Row],[BatchID]])&lt;&gt;1,"n.a.",SUMIFS(TblPurchases[Purchase Date],TblPurchases[BatchID],TblOutcomes[[#This Row],[BatchID]]))</f>
        <v>45724</v>
      </c>
    </row>
    <row r="1283" spans="2:17" x14ac:dyDescent="0.25">
      <c r="B1283" s="2" t="s">
        <v>2087</v>
      </c>
      <c r="C1283" s="2" t="s">
        <v>160</v>
      </c>
      <c r="D1283" s="2" t="s">
        <v>155</v>
      </c>
      <c r="E1283" s="2" t="s">
        <v>4646</v>
      </c>
      <c r="F1283" s="2">
        <v>29</v>
      </c>
      <c r="G1283" s="2">
        <v>18.41</v>
      </c>
      <c r="H1283" s="2">
        <v>10.58</v>
      </c>
      <c r="I1283" s="1">
        <v>36.5</v>
      </c>
      <c r="J1283" s="26">
        <v>45750</v>
      </c>
      <c r="K1283" s="22">
        <v>36820</v>
      </c>
      <c r="L1283" s="18">
        <v>39.380000000000003</v>
      </c>
      <c r="M1283" s="22">
        <v>42050</v>
      </c>
      <c r="N1283" s="22">
        <v>-5230</v>
      </c>
      <c r="O1283" s="18">
        <v>-5.59</v>
      </c>
      <c r="P1283" s="52">
        <f>IF(COUNTIF(TblPurchases[BatchID],TblOutcomes[[#This Row],[BatchID]])&lt;&gt;1,"n.a.",TblOutcomes[[#This Row],[Qty Wasted]]*SUMIFS(TblPurchases[Unit Cost (CLP)],TblPurchases[BatchID],TblOutcomes[[#This Row],[BatchID]]))</f>
        <v>15341</v>
      </c>
      <c r="Q1283" s="51">
        <f>IF(COUNTIF(TblPurchases[BatchID],TblOutcomes[[#This Row],[BatchID]])&lt;&gt;1,"n.a.",SUMIFS(TblPurchases[Purchase Date],TblPurchases[BatchID],TblOutcomes[[#This Row],[BatchID]]))</f>
        <v>45730</v>
      </c>
    </row>
    <row r="1284" spans="2:17" x14ac:dyDescent="0.25">
      <c r="B1284" s="2" t="s">
        <v>2088</v>
      </c>
      <c r="C1284" s="2" t="s">
        <v>160</v>
      </c>
      <c r="D1284" s="2" t="s">
        <v>155</v>
      </c>
      <c r="E1284" s="2" t="s">
        <v>4646</v>
      </c>
      <c r="F1284" s="2">
        <v>34</v>
      </c>
      <c r="G1284" s="2">
        <v>29.17</v>
      </c>
      <c r="H1284" s="2">
        <v>4.83</v>
      </c>
      <c r="I1284" s="1">
        <v>14.2</v>
      </c>
      <c r="J1284" s="26">
        <v>45756</v>
      </c>
      <c r="K1284" s="22">
        <v>58340</v>
      </c>
      <c r="L1284" s="18">
        <v>62.4</v>
      </c>
      <c r="M1284" s="22">
        <v>49300</v>
      </c>
      <c r="N1284" s="22">
        <v>9040</v>
      </c>
      <c r="O1284" s="18">
        <v>9.67</v>
      </c>
      <c r="P1284" s="52">
        <f>IF(COUNTIF(TblPurchases[BatchID],TblOutcomes[[#This Row],[BatchID]])&lt;&gt;1,"n.a.",TblOutcomes[[#This Row],[Qty Wasted]]*SUMIFS(TblPurchases[Unit Cost (CLP)],TblPurchases[BatchID],TblOutcomes[[#This Row],[BatchID]]))</f>
        <v>7003.5</v>
      </c>
      <c r="Q1284" s="51">
        <f>IF(COUNTIF(TblPurchases[BatchID],TblOutcomes[[#This Row],[BatchID]])&lt;&gt;1,"n.a.",SUMIFS(TblPurchases[Purchase Date],TblPurchases[BatchID],TblOutcomes[[#This Row],[BatchID]]))</f>
        <v>45736</v>
      </c>
    </row>
    <row r="1285" spans="2:17" x14ac:dyDescent="0.25">
      <c r="B1285" s="2" t="s">
        <v>2089</v>
      </c>
      <c r="C1285" s="2" t="s">
        <v>160</v>
      </c>
      <c r="D1285" s="2" t="s">
        <v>155</v>
      </c>
      <c r="E1285" s="2" t="s">
        <v>4647</v>
      </c>
      <c r="F1285" s="2">
        <v>30</v>
      </c>
      <c r="G1285" s="2">
        <v>30</v>
      </c>
      <c r="H1285" s="2">
        <v>0</v>
      </c>
      <c r="I1285" s="1">
        <v>0</v>
      </c>
      <c r="J1285" s="26">
        <v>45749</v>
      </c>
      <c r="K1285" s="22">
        <v>60000</v>
      </c>
      <c r="L1285" s="18">
        <v>64.17</v>
      </c>
      <c r="M1285" s="22">
        <v>43500</v>
      </c>
      <c r="N1285" s="22">
        <v>16500</v>
      </c>
      <c r="O1285" s="18">
        <v>17.649999999999999</v>
      </c>
      <c r="P1285" s="52">
        <f>IF(COUNTIF(TblPurchases[BatchID],TblOutcomes[[#This Row],[BatchID]])&lt;&gt;1,"n.a.",TblOutcomes[[#This Row],[Qty Wasted]]*SUMIFS(TblPurchases[Unit Cost (CLP)],TblPurchases[BatchID],TblOutcomes[[#This Row],[BatchID]]))</f>
        <v>0</v>
      </c>
      <c r="Q1285" s="51">
        <f>IF(COUNTIF(TblPurchases[BatchID],TblOutcomes[[#This Row],[BatchID]])&lt;&gt;1,"n.a.",SUMIFS(TblPurchases[Purchase Date],TblPurchases[BatchID],TblOutcomes[[#This Row],[BatchID]]))</f>
        <v>45742</v>
      </c>
    </row>
    <row r="1286" spans="2:17" x14ac:dyDescent="0.25">
      <c r="B1286" s="2" t="s">
        <v>2090</v>
      </c>
      <c r="C1286" s="2" t="s">
        <v>160</v>
      </c>
      <c r="D1286" s="2" t="s">
        <v>155</v>
      </c>
      <c r="E1286" s="2" t="s">
        <v>4647</v>
      </c>
      <c r="F1286" s="2">
        <v>28</v>
      </c>
      <c r="G1286" s="2">
        <v>28</v>
      </c>
      <c r="H1286" s="2">
        <v>0</v>
      </c>
      <c r="I1286" s="1">
        <v>0</v>
      </c>
      <c r="J1286" s="26">
        <v>45754</v>
      </c>
      <c r="K1286" s="22">
        <v>56000</v>
      </c>
      <c r="L1286" s="18">
        <v>59.89</v>
      </c>
      <c r="M1286" s="22">
        <v>43400</v>
      </c>
      <c r="N1286" s="22">
        <v>12600</v>
      </c>
      <c r="O1286" s="18">
        <v>13.48</v>
      </c>
      <c r="P1286" s="52">
        <f>IF(COUNTIF(TblPurchases[BatchID],TblOutcomes[[#This Row],[BatchID]])&lt;&gt;1,"n.a.",TblOutcomes[[#This Row],[Qty Wasted]]*SUMIFS(TblPurchases[Unit Cost (CLP)],TblPurchases[BatchID],TblOutcomes[[#This Row],[BatchID]]))</f>
        <v>0</v>
      </c>
      <c r="Q1286" s="51">
        <f>IF(COUNTIF(TblPurchases[BatchID],TblOutcomes[[#This Row],[BatchID]])&lt;&gt;1,"n.a.",SUMIFS(TblPurchases[Purchase Date],TblPurchases[BatchID],TblOutcomes[[#This Row],[BatchID]]))</f>
        <v>45749</v>
      </c>
    </row>
    <row r="1287" spans="2:17" x14ac:dyDescent="0.25">
      <c r="B1287" s="2" t="s">
        <v>2091</v>
      </c>
      <c r="C1287" s="2" t="s">
        <v>160</v>
      </c>
      <c r="D1287" s="2" t="s">
        <v>155</v>
      </c>
      <c r="E1287" s="2" t="s">
        <v>4646</v>
      </c>
      <c r="F1287" s="2">
        <v>34</v>
      </c>
      <c r="G1287" s="2">
        <v>25.19</v>
      </c>
      <c r="H1287" s="2">
        <v>8.81</v>
      </c>
      <c r="I1287" s="1">
        <v>25.9</v>
      </c>
      <c r="J1287" s="26">
        <v>45775</v>
      </c>
      <c r="K1287" s="22">
        <v>50380</v>
      </c>
      <c r="L1287" s="18">
        <v>53.88</v>
      </c>
      <c r="M1287" s="22">
        <v>49300</v>
      </c>
      <c r="N1287" s="22">
        <v>1080</v>
      </c>
      <c r="O1287" s="18">
        <v>1.1599999999999999</v>
      </c>
      <c r="P1287" s="52">
        <f>IF(COUNTIF(TblPurchases[BatchID],TblOutcomes[[#This Row],[BatchID]])&lt;&gt;1,"n.a.",TblOutcomes[[#This Row],[Qty Wasted]]*SUMIFS(TblPurchases[Unit Cost (CLP)],TblPurchases[BatchID],TblOutcomes[[#This Row],[BatchID]]))</f>
        <v>12774.5</v>
      </c>
      <c r="Q1287" s="51">
        <f>IF(COUNTIF(TblPurchases[BatchID],TblOutcomes[[#This Row],[BatchID]])&lt;&gt;1,"n.a.",SUMIFS(TblPurchases[Purchase Date],TblPurchases[BatchID],TblOutcomes[[#This Row],[BatchID]]))</f>
        <v>45755</v>
      </c>
    </row>
    <row r="1288" spans="2:17" x14ac:dyDescent="0.25">
      <c r="B1288" s="2" t="s">
        <v>2092</v>
      </c>
      <c r="C1288" s="2" t="s">
        <v>160</v>
      </c>
      <c r="D1288" s="2" t="s">
        <v>155</v>
      </c>
      <c r="E1288" s="2" t="s">
        <v>4646</v>
      </c>
      <c r="F1288" s="2">
        <v>34</v>
      </c>
      <c r="G1288" s="2">
        <v>26.79</v>
      </c>
      <c r="H1288" s="2">
        <v>7.21</v>
      </c>
      <c r="I1288" s="1">
        <v>21.2</v>
      </c>
      <c r="J1288" s="26">
        <v>45781</v>
      </c>
      <c r="K1288" s="22">
        <v>53580</v>
      </c>
      <c r="L1288" s="18">
        <v>57.3</v>
      </c>
      <c r="M1288" s="22">
        <v>49300</v>
      </c>
      <c r="N1288" s="22">
        <v>4280</v>
      </c>
      <c r="O1288" s="18">
        <v>4.58</v>
      </c>
      <c r="P1288" s="52">
        <f>IF(COUNTIF(TblPurchases[BatchID],TblOutcomes[[#This Row],[BatchID]])&lt;&gt;1,"n.a.",TblOutcomes[[#This Row],[Qty Wasted]]*SUMIFS(TblPurchases[Unit Cost (CLP)],TblPurchases[BatchID],TblOutcomes[[#This Row],[BatchID]]))</f>
        <v>10454.5</v>
      </c>
      <c r="Q1288" s="51">
        <f>IF(COUNTIF(TblPurchases[BatchID],TblOutcomes[[#This Row],[BatchID]])&lt;&gt;1,"n.a.",SUMIFS(TblPurchases[Purchase Date],TblPurchases[BatchID],TblOutcomes[[#This Row],[BatchID]]))</f>
        <v>45761</v>
      </c>
    </row>
    <row r="1289" spans="2:17" x14ac:dyDescent="0.25">
      <c r="B1289" s="2" t="s">
        <v>2093</v>
      </c>
      <c r="C1289" s="2" t="s">
        <v>160</v>
      </c>
      <c r="D1289" s="2" t="s">
        <v>155</v>
      </c>
      <c r="E1289" s="2" t="s">
        <v>4647</v>
      </c>
      <c r="F1289" s="2">
        <v>31</v>
      </c>
      <c r="G1289" s="2">
        <v>31</v>
      </c>
      <c r="H1289" s="2">
        <v>0</v>
      </c>
      <c r="I1289" s="1">
        <v>0</v>
      </c>
      <c r="J1289" s="26">
        <v>45774</v>
      </c>
      <c r="K1289" s="22">
        <v>62000</v>
      </c>
      <c r="L1289" s="18">
        <v>66.31</v>
      </c>
      <c r="M1289" s="22">
        <v>44950</v>
      </c>
      <c r="N1289" s="22">
        <v>17050</v>
      </c>
      <c r="O1289" s="18">
        <v>18.239999999999998</v>
      </c>
      <c r="P1289" s="52">
        <f>IF(COUNTIF(TblPurchases[BatchID],TblOutcomes[[#This Row],[BatchID]])&lt;&gt;1,"n.a.",TblOutcomes[[#This Row],[Qty Wasted]]*SUMIFS(TblPurchases[Unit Cost (CLP)],TblPurchases[BatchID],TblOutcomes[[#This Row],[BatchID]]))</f>
        <v>0</v>
      </c>
      <c r="Q1289" s="51">
        <f>IF(COUNTIF(TblPurchases[BatchID],TblOutcomes[[#This Row],[BatchID]])&lt;&gt;1,"n.a.",SUMIFS(TblPurchases[Purchase Date],TblPurchases[BatchID],TblOutcomes[[#This Row],[BatchID]]))</f>
        <v>45770</v>
      </c>
    </row>
    <row r="1290" spans="2:17" x14ac:dyDescent="0.25">
      <c r="B1290" s="2" t="s">
        <v>2094</v>
      </c>
      <c r="C1290" s="2" t="s">
        <v>160</v>
      </c>
      <c r="D1290" s="2" t="s">
        <v>155</v>
      </c>
      <c r="E1290" s="2" t="s">
        <v>4647</v>
      </c>
      <c r="F1290" s="2">
        <v>28</v>
      </c>
      <c r="G1290" s="2">
        <v>28</v>
      </c>
      <c r="H1290" s="2">
        <v>0</v>
      </c>
      <c r="I1290" s="1">
        <v>0</v>
      </c>
      <c r="J1290" s="26">
        <v>45784</v>
      </c>
      <c r="K1290" s="22">
        <v>56000</v>
      </c>
      <c r="L1290" s="18">
        <v>59.89</v>
      </c>
      <c r="M1290" s="22">
        <v>40600</v>
      </c>
      <c r="N1290" s="22">
        <v>15400</v>
      </c>
      <c r="O1290" s="18">
        <v>16.47</v>
      </c>
      <c r="P1290" s="52">
        <f>IF(COUNTIF(TblPurchases[BatchID],TblOutcomes[[#This Row],[BatchID]])&lt;&gt;1,"n.a.",TblOutcomes[[#This Row],[Qty Wasted]]*SUMIFS(TblPurchases[Unit Cost (CLP)],TblPurchases[BatchID],TblOutcomes[[#This Row],[BatchID]]))</f>
        <v>0</v>
      </c>
      <c r="Q1290" s="51">
        <f>IF(COUNTIF(TblPurchases[BatchID],TblOutcomes[[#This Row],[BatchID]])&lt;&gt;1,"n.a.",SUMIFS(TblPurchases[Purchase Date],TblPurchases[BatchID],TblOutcomes[[#This Row],[BatchID]]))</f>
        <v>45778</v>
      </c>
    </row>
    <row r="1291" spans="2:17" x14ac:dyDescent="0.25">
      <c r="B1291" s="2" t="s">
        <v>2095</v>
      </c>
      <c r="C1291" s="2" t="s">
        <v>160</v>
      </c>
      <c r="D1291" s="2" t="s">
        <v>155</v>
      </c>
      <c r="E1291" s="2" t="s">
        <v>4646</v>
      </c>
      <c r="F1291" s="2">
        <v>36</v>
      </c>
      <c r="G1291" s="2">
        <v>25.78</v>
      </c>
      <c r="H1291" s="2">
        <v>10.220000000000001</v>
      </c>
      <c r="I1291" s="1">
        <v>28.4</v>
      </c>
      <c r="J1291" s="26">
        <v>45806</v>
      </c>
      <c r="K1291" s="22">
        <v>51560</v>
      </c>
      <c r="L1291" s="18">
        <v>55.14</v>
      </c>
      <c r="M1291" s="22">
        <v>52200</v>
      </c>
      <c r="N1291" s="22">
        <v>-640</v>
      </c>
      <c r="O1291" s="18">
        <v>-0.68</v>
      </c>
      <c r="P1291" s="52">
        <f>IF(COUNTIF(TblPurchases[BatchID],TblOutcomes[[#This Row],[BatchID]])&lt;&gt;1,"n.a.",TblOutcomes[[#This Row],[Qty Wasted]]*SUMIFS(TblPurchases[Unit Cost (CLP)],TblPurchases[BatchID],TblOutcomes[[#This Row],[BatchID]]))</f>
        <v>14819.000000000002</v>
      </c>
      <c r="Q1291" s="51">
        <f>IF(COUNTIF(TblPurchases[BatchID],TblOutcomes[[#This Row],[BatchID]])&lt;&gt;1,"n.a.",SUMIFS(TblPurchases[Purchase Date],TblPurchases[BatchID],TblOutcomes[[#This Row],[BatchID]]))</f>
        <v>45786</v>
      </c>
    </row>
    <row r="1292" spans="2:17" x14ac:dyDescent="0.25">
      <c r="B1292" s="2" t="s">
        <v>2096</v>
      </c>
      <c r="C1292" s="2" t="s">
        <v>160</v>
      </c>
      <c r="D1292" s="2" t="s">
        <v>155</v>
      </c>
      <c r="E1292" s="2" t="s">
        <v>4647</v>
      </c>
      <c r="F1292" s="2">
        <v>36</v>
      </c>
      <c r="G1292" s="2">
        <v>36</v>
      </c>
      <c r="H1292" s="2">
        <v>0</v>
      </c>
      <c r="I1292" s="1">
        <v>0</v>
      </c>
      <c r="J1292" s="26">
        <v>45796</v>
      </c>
      <c r="K1292" s="22">
        <v>72000</v>
      </c>
      <c r="L1292" s="18">
        <v>77.010000000000005</v>
      </c>
      <c r="M1292" s="22">
        <v>52200</v>
      </c>
      <c r="N1292" s="22">
        <v>19800</v>
      </c>
      <c r="O1292" s="18">
        <v>21.18</v>
      </c>
      <c r="P1292" s="52">
        <f>IF(COUNTIF(TblPurchases[BatchID],TblOutcomes[[#This Row],[BatchID]])&lt;&gt;1,"n.a.",TblOutcomes[[#This Row],[Qty Wasted]]*SUMIFS(TblPurchases[Unit Cost (CLP)],TblPurchases[BatchID],TblOutcomes[[#This Row],[BatchID]]))</f>
        <v>0</v>
      </c>
      <c r="Q1292" s="51">
        <f>IF(COUNTIF(TblPurchases[BatchID],TblOutcomes[[#This Row],[BatchID]])&lt;&gt;1,"n.a.",SUMIFS(TblPurchases[Purchase Date],TblPurchases[BatchID],TblOutcomes[[#This Row],[BatchID]]))</f>
        <v>45793</v>
      </c>
    </row>
    <row r="1293" spans="2:17" x14ac:dyDescent="0.25">
      <c r="B1293" s="2" t="s">
        <v>2097</v>
      </c>
      <c r="C1293" s="2" t="s">
        <v>160</v>
      </c>
      <c r="D1293" s="2" t="s">
        <v>155</v>
      </c>
      <c r="E1293" s="2" t="s">
        <v>4646</v>
      </c>
      <c r="F1293" s="2">
        <v>36</v>
      </c>
      <c r="G1293" s="2">
        <v>30.92</v>
      </c>
      <c r="H1293" s="2">
        <v>5.08</v>
      </c>
      <c r="I1293" s="1">
        <v>14.1</v>
      </c>
      <c r="J1293" s="26">
        <v>45821</v>
      </c>
      <c r="K1293" s="22">
        <v>61840</v>
      </c>
      <c r="L1293" s="18">
        <v>66.14</v>
      </c>
      <c r="M1293" s="22">
        <v>52200</v>
      </c>
      <c r="N1293" s="22">
        <v>9640</v>
      </c>
      <c r="O1293" s="18">
        <v>10.31</v>
      </c>
      <c r="P1293" s="52">
        <f>IF(COUNTIF(TblPurchases[BatchID],TblOutcomes[[#This Row],[BatchID]])&lt;&gt;1,"n.a.",TblOutcomes[[#This Row],[Qty Wasted]]*SUMIFS(TblPurchases[Unit Cost (CLP)],TblPurchases[BatchID],TblOutcomes[[#This Row],[BatchID]]))</f>
        <v>7366</v>
      </c>
      <c r="Q1293" s="51">
        <f>IF(COUNTIF(TblPurchases[BatchID],TblOutcomes[[#This Row],[BatchID]])&lt;&gt;1,"n.a.",SUMIFS(TblPurchases[Purchase Date],TblPurchases[BatchID],TblOutcomes[[#This Row],[BatchID]]))</f>
        <v>45801</v>
      </c>
    </row>
    <row r="1294" spans="2:17" x14ac:dyDescent="0.25">
      <c r="B1294" s="2" t="s">
        <v>2098</v>
      </c>
      <c r="C1294" s="2" t="s">
        <v>160</v>
      </c>
      <c r="D1294" s="2" t="s">
        <v>155</v>
      </c>
      <c r="E1294" s="2" t="s">
        <v>4647</v>
      </c>
      <c r="F1294" s="2">
        <v>31</v>
      </c>
      <c r="G1294" s="2">
        <v>31</v>
      </c>
      <c r="H1294" s="2">
        <v>0</v>
      </c>
      <c r="I1294" s="1">
        <v>0</v>
      </c>
      <c r="J1294" s="26">
        <v>45814</v>
      </c>
      <c r="K1294" s="22">
        <v>62000</v>
      </c>
      <c r="L1294" s="18">
        <v>66.31</v>
      </c>
      <c r="M1294" s="22">
        <v>44950</v>
      </c>
      <c r="N1294" s="22">
        <v>17050</v>
      </c>
      <c r="O1294" s="18">
        <v>18.239999999999998</v>
      </c>
      <c r="P1294" s="52">
        <f>IF(COUNTIF(TblPurchases[BatchID],TblOutcomes[[#This Row],[BatchID]])&lt;&gt;1,"n.a.",TblOutcomes[[#This Row],[Qty Wasted]]*SUMIFS(TblPurchases[Unit Cost (CLP)],TblPurchases[BatchID],TblOutcomes[[#This Row],[BatchID]]))</f>
        <v>0</v>
      </c>
      <c r="Q1294" s="51">
        <f>IF(COUNTIF(TblPurchases[BatchID],TblOutcomes[[#This Row],[BatchID]])&lt;&gt;1,"n.a.",SUMIFS(TblPurchases[Purchase Date],TblPurchases[BatchID],TblOutcomes[[#This Row],[BatchID]]))</f>
        <v>45807</v>
      </c>
    </row>
    <row r="1295" spans="2:17" x14ac:dyDescent="0.25">
      <c r="B1295" s="2" t="s">
        <v>2099</v>
      </c>
      <c r="C1295" s="2" t="s">
        <v>160</v>
      </c>
      <c r="D1295" s="2" t="s">
        <v>155</v>
      </c>
      <c r="E1295" s="2" t="s">
        <v>4647</v>
      </c>
      <c r="F1295" s="2">
        <v>35</v>
      </c>
      <c r="G1295" s="2">
        <v>35</v>
      </c>
      <c r="H1295" s="2">
        <v>0</v>
      </c>
      <c r="I1295" s="1">
        <v>0</v>
      </c>
      <c r="J1295" s="26">
        <v>45819</v>
      </c>
      <c r="K1295" s="22">
        <v>70000</v>
      </c>
      <c r="L1295" s="18">
        <v>74.87</v>
      </c>
      <c r="M1295" s="22">
        <v>50750</v>
      </c>
      <c r="N1295" s="22">
        <v>19250</v>
      </c>
      <c r="O1295" s="18">
        <v>20.59</v>
      </c>
      <c r="P1295" s="52">
        <f>IF(COUNTIF(TblPurchases[BatchID],TblOutcomes[[#This Row],[BatchID]])&lt;&gt;1,"n.a.",TblOutcomes[[#This Row],[Qty Wasted]]*SUMIFS(TblPurchases[Unit Cost (CLP)],TblPurchases[BatchID],TblOutcomes[[#This Row],[BatchID]]))</f>
        <v>0</v>
      </c>
      <c r="Q1295" s="51">
        <f>IF(COUNTIF(TblPurchases[BatchID],TblOutcomes[[#This Row],[BatchID]])&lt;&gt;1,"n.a.",SUMIFS(TblPurchases[Purchase Date],TblPurchases[BatchID],TblOutcomes[[#This Row],[BatchID]]))</f>
        <v>45813</v>
      </c>
    </row>
    <row r="1296" spans="2:17" x14ac:dyDescent="0.25">
      <c r="B1296" s="2" t="s">
        <v>2100</v>
      </c>
      <c r="C1296" s="2" t="s">
        <v>160</v>
      </c>
      <c r="D1296" s="2" t="s">
        <v>155</v>
      </c>
      <c r="E1296" s="2" t="s">
        <v>4647</v>
      </c>
      <c r="F1296" s="2">
        <v>32</v>
      </c>
      <c r="G1296" s="2">
        <v>32</v>
      </c>
      <c r="H1296" s="2">
        <v>0</v>
      </c>
      <c r="I1296" s="1">
        <v>0</v>
      </c>
      <c r="J1296" s="26">
        <v>45822</v>
      </c>
      <c r="K1296" s="22">
        <v>64000</v>
      </c>
      <c r="L1296" s="18">
        <v>68.45</v>
      </c>
      <c r="M1296" s="22">
        <v>46400</v>
      </c>
      <c r="N1296" s="22">
        <v>17600</v>
      </c>
      <c r="O1296" s="18">
        <v>18.82</v>
      </c>
      <c r="P1296" s="52">
        <f>IF(COUNTIF(TblPurchases[BatchID],TblOutcomes[[#This Row],[BatchID]])&lt;&gt;1,"n.a.",TblOutcomes[[#This Row],[Qty Wasted]]*SUMIFS(TblPurchases[Unit Cost (CLP)],TblPurchases[BatchID],TblOutcomes[[#This Row],[BatchID]]))</f>
        <v>0</v>
      </c>
      <c r="Q1296" s="51">
        <f>IF(COUNTIF(TblPurchases[BatchID],TblOutcomes[[#This Row],[BatchID]])&lt;&gt;1,"n.a.",SUMIFS(TblPurchases[Purchase Date],TblPurchases[BatchID],TblOutcomes[[#This Row],[BatchID]]))</f>
        <v>45819</v>
      </c>
    </row>
    <row r="1297" spans="2:17" x14ac:dyDescent="0.25">
      <c r="B1297" s="2" t="s">
        <v>2101</v>
      </c>
      <c r="C1297" s="2" t="s">
        <v>160</v>
      </c>
      <c r="D1297" s="2" t="s">
        <v>155</v>
      </c>
      <c r="E1297" s="2" t="s">
        <v>4647</v>
      </c>
      <c r="F1297" s="2">
        <v>37</v>
      </c>
      <c r="G1297" s="2">
        <v>37</v>
      </c>
      <c r="H1297" s="2">
        <v>0</v>
      </c>
      <c r="I1297" s="1">
        <v>0</v>
      </c>
      <c r="J1297" s="26">
        <v>45828</v>
      </c>
      <c r="K1297" s="22">
        <v>74000</v>
      </c>
      <c r="L1297" s="18">
        <v>79.14</v>
      </c>
      <c r="M1297" s="22">
        <v>53650</v>
      </c>
      <c r="N1297" s="22">
        <v>20350</v>
      </c>
      <c r="O1297" s="18">
        <v>21.76</v>
      </c>
      <c r="P1297" s="52">
        <f>IF(COUNTIF(TblPurchases[BatchID],TblOutcomes[[#This Row],[BatchID]])&lt;&gt;1,"n.a.",TblOutcomes[[#This Row],[Qty Wasted]]*SUMIFS(TblPurchases[Unit Cost (CLP)],TblPurchases[BatchID],TblOutcomes[[#This Row],[BatchID]]))</f>
        <v>0</v>
      </c>
      <c r="Q1297" s="51">
        <f>IF(COUNTIF(TblPurchases[BatchID],TblOutcomes[[#This Row],[BatchID]])&lt;&gt;1,"n.a.",SUMIFS(TblPurchases[Purchase Date],TblPurchases[BatchID],TblOutcomes[[#This Row],[BatchID]]))</f>
        <v>45825</v>
      </c>
    </row>
    <row r="1298" spans="2:17" x14ac:dyDescent="0.25">
      <c r="B1298" s="2" t="s">
        <v>2102</v>
      </c>
      <c r="C1298" s="2" t="s">
        <v>160</v>
      </c>
      <c r="D1298" s="2" t="s">
        <v>155</v>
      </c>
      <c r="E1298" s="2" t="s">
        <v>4647</v>
      </c>
      <c r="F1298" s="2">
        <v>31</v>
      </c>
      <c r="G1298" s="2">
        <v>31</v>
      </c>
      <c r="H1298" s="2">
        <v>0</v>
      </c>
      <c r="I1298" s="1">
        <v>0</v>
      </c>
      <c r="J1298" s="26">
        <v>45833</v>
      </c>
      <c r="K1298" s="22">
        <v>62000</v>
      </c>
      <c r="L1298" s="18">
        <v>66.31</v>
      </c>
      <c r="M1298" s="22">
        <v>44950</v>
      </c>
      <c r="N1298" s="22">
        <v>17050</v>
      </c>
      <c r="O1298" s="18">
        <v>18.239999999999998</v>
      </c>
      <c r="P1298" s="52">
        <f>IF(COUNTIF(TblPurchases[BatchID],TblOutcomes[[#This Row],[BatchID]])&lt;&gt;1,"n.a.",TblOutcomes[[#This Row],[Qty Wasted]]*SUMIFS(TblPurchases[Unit Cost (CLP)],TblPurchases[BatchID],TblOutcomes[[#This Row],[BatchID]]))</f>
        <v>0</v>
      </c>
      <c r="Q1298" s="51">
        <f>IF(COUNTIF(TblPurchases[BatchID],TblOutcomes[[#This Row],[BatchID]])&lt;&gt;1,"n.a.",SUMIFS(TblPurchases[Purchase Date],TblPurchases[BatchID],TblOutcomes[[#This Row],[BatchID]]))</f>
        <v>45830</v>
      </c>
    </row>
    <row r="1299" spans="2:17" x14ac:dyDescent="0.25">
      <c r="B1299" s="2" t="s">
        <v>2103</v>
      </c>
      <c r="C1299" s="2" t="s">
        <v>160</v>
      </c>
      <c r="D1299" s="2" t="s">
        <v>155</v>
      </c>
      <c r="E1299" s="2" t="s">
        <v>4647</v>
      </c>
      <c r="F1299" s="2">
        <v>37</v>
      </c>
      <c r="G1299" s="2">
        <v>37</v>
      </c>
      <c r="H1299" s="2">
        <v>0</v>
      </c>
      <c r="I1299" s="1">
        <v>0</v>
      </c>
      <c r="J1299" s="26">
        <v>45843</v>
      </c>
      <c r="K1299" s="22">
        <v>74000</v>
      </c>
      <c r="L1299" s="18">
        <v>79.14</v>
      </c>
      <c r="M1299" s="22">
        <v>53650</v>
      </c>
      <c r="N1299" s="22">
        <v>20350</v>
      </c>
      <c r="O1299" s="18">
        <v>21.76</v>
      </c>
      <c r="P1299" s="52">
        <f>IF(COUNTIF(TblPurchases[BatchID],TblOutcomes[[#This Row],[BatchID]])&lt;&gt;1,"n.a.",TblOutcomes[[#This Row],[Qty Wasted]]*SUMIFS(TblPurchases[Unit Cost (CLP)],TblPurchases[BatchID],TblOutcomes[[#This Row],[BatchID]]))</f>
        <v>0</v>
      </c>
      <c r="Q1299" s="51">
        <f>IF(COUNTIF(TblPurchases[BatchID],TblOutcomes[[#This Row],[BatchID]])&lt;&gt;1,"n.a.",SUMIFS(TblPurchases[Purchase Date],TblPurchases[BatchID],TblOutcomes[[#This Row],[BatchID]]))</f>
        <v>45837</v>
      </c>
    </row>
    <row r="1300" spans="2:17" x14ac:dyDescent="0.25">
      <c r="B1300" s="2" t="s">
        <v>2104</v>
      </c>
      <c r="C1300" s="2" t="s">
        <v>162</v>
      </c>
      <c r="D1300" s="2" t="s">
        <v>164</v>
      </c>
      <c r="E1300" s="2" t="s">
        <v>4646</v>
      </c>
      <c r="F1300" s="2">
        <v>27</v>
      </c>
      <c r="G1300" s="2">
        <v>26.43</v>
      </c>
      <c r="H1300" s="2">
        <v>0.56999999999999995</v>
      </c>
      <c r="I1300" s="1">
        <v>2.1</v>
      </c>
      <c r="J1300" s="26">
        <v>45362</v>
      </c>
      <c r="K1300" s="22">
        <v>79290</v>
      </c>
      <c r="L1300" s="18">
        <v>84.8</v>
      </c>
      <c r="M1300" s="22">
        <v>56700</v>
      </c>
      <c r="N1300" s="22">
        <v>22590</v>
      </c>
      <c r="O1300" s="18">
        <v>24.16</v>
      </c>
      <c r="P1300" s="52">
        <f>IF(COUNTIF(TblPurchases[BatchID],TblOutcomes[[#This Row],[BatchID]])&lt;&gt;1,"n.a.",TblOutcomes[[#This Row],[Qty Wasted]]*SUMIFS(TblPurchases[Unit Cost (CLP)],TblPurchases[BatchID],TblOutcomes[[#This Row],[BatchID]]))</f>
        <v>1197</v>
      </c>
      <c r="Q1300" s="51">
        <f>IF(COUNTIF(TblPurchases[BatchID],TblOutcomes[[#This Row],[BatchID]])&lt;&gt;1,"n.a.",SUMIFS(TblPurchases[Purchase Date],TblPurchases[BatchID],TblOutcomes[[#This Row],[BatchID]]))</f>
        <v>45122</v>
      </c>
    </row>
    <row r="1301" spans="2:17" x14ac:dyDescent="0.25">
      <c r="B1301" s="2" t="s">
        <v>2106</v>
      </c>
      <c r="C1301" s="2" t="s">
        <v>162</v>
      </c>
      <c r="D1301" s="2" t="s">
        <v>164</v>
      </c>
      <c r="E1301" s="2" t="s">
        <v>4647</v>
      </c>
      <c r="F1301" s="2">
        <v>26</v>
      </c>
      <c r="G1301" s="2">
        <v>26</v>
      </c>
      <c r="H1301" s="2">
        <v>0</v>
      </c>
      <c r="I1301" s="1">
        <v>0</v>
      </c>
      <c r="J1301" s="26">
        <v>45181</v>
      </c>
      <c r="K1301" s="22">
        <v>78000</v>
      </c>
      <c r="L1301" s="18">
        <v>83.42</v>
      </c>
      <c r="M1301" s="22">
        <v>54600</v>
      </c>
      <c r="N1301" s="22">
        <v>23400</v>
      </c>
      <c r="O1301" s="18">
        <v>25.03</v>
      </c>
      <c r="P1301" s="52">
        <f>IF(COUNTIF(TblPurchases[BatchID],TblOutcomes[[#This Row],[BatchID]])&lt;&gt;1,"n.a.",TblOutcomes[[#This Row],[Qty Wasted]]*SUMIFS(TblPurchases[Unit Cost (CLP)],TblPurchases[BatchID],TblOutcomes[[#This Row],[BatchID]]))</f>
        <v>0</v>
      </c>
      <c r="Q1301" s="51">
        <f>IF(COUNTIF(TblPurchases[BatchID],TblOutcomes[[#This Row],[BatchID]])&lt;&gt;1,"n.a.",SUMIFS(TblPurchases[Purchase Date],TblPurchases[BatchID],TblOutcomes[[#This Row],[BatchID]]))</f>
        <v>45158</v>
      </c>
    </row>
    <row r="1302" spans="2:17" x14ac:dyDescent="0.25">
      <c r="B1302" s="2" t="s">
        <v>2107</v>
      </c>
      <c r="C1302" s="2" t="s">
        <v>162</v>
      </c>
      <c r="D1302" s="2" t="s">
        <v>164</v>
      </c>
      <c r="E1302" s="2" t="s">
        <v>4647</v>
      </c>
      <c r="F1302" s="2">
        <v>28</v>
      </c>
      <c r="G1302" s="2">
        <v>28</v>
      </c>
      <c r="H1302" s="2">
        <v>0</v>
      </c>
      <c r="I1302" s="1">
        <v>0</v>
      </c>
      <c r="J1302" s="26">
        <v>45226</v>
      </c>
      <c r="K1302" s="22">
        <v>84000</v>
      </c>
      <c r="L1302" s="18">
        <v>89.84</v>
      </c>
      <c r="M1302" s="22">
        <v>58800</v>
      </c>
      <c r="N1302" s="22">
        <v>25200</v>
      </c>
      <c r="O1302" s="18">
        <v>26.95</v>
      </c>
      <c r="P1302" s="52">
        <f>IF(COUNTIF(TblPurchases[BatchID],TblOutcomes[[#This Row],[BatchID]])&lt;&gt;1,"n.a.",TblOutcomes[[#This Row],[Qty Wasted]]*SUMIFS(TblPurchases[Unit Cost (CLP)],TblPurchases[BatchID],TblOutcomes[[#This Row],[BatchID]]))</f>
        <v>0</v>
      </c>
      <c r="Q1302" s="51">
        <f>IF(COUNTIF(TblPurchases[BatchID],TblOutcomes[[#This Row],[BatchID]])&lt;&gt;1,"n.a.",SUMIFS(TblPurchases[Purchase Date],TblPurchases[BatchID],TblOutcomes[[#This Row],[BatchID]]))</f>
        <v>45195</v>
      </c>
    </row>
    <row r="1303" spans="2:17" x14ac:dyDescent="0.25">
      <c r="B1303" s="2" t="s">
        <v>2108</v>
      </c>
      <c r="C1303" s="2" t="s">
        <v>162</v>
      </c>
      <c r="D1303" s="2" t="s">
        <v>164</v>
      </c>
      <c r="E1303" s="2" t="s">
        <v>4647</v>
      </c>
      <c r="F1303" s="2">
        <v>27</v>
      </c>
      <c r="G1303" s="2">
        <v>27</v>
      </c>
      <c r="H1303" s="2">
        <v>0</v>
      </c>
      <c r="I1303" s="1">
        <v>0</v>
      </c>
      <c r="J1303" s="26">
        <v>45251</v>
      </c>
      <c r="K1303" s="22">
        <v>81000</v>
      </c>
      <c r="L1303" s="18">
        <v>86.63</v>
      </c>
      <c r="M1303" s="22">
        <v>56700</v>
      </c>
      <c r="N1303" s="22">
        <v>24300</v>
      </c>
      <c r="O1303" s="18">
        <v>25.99</v>
      </c>
      <c r="P1303" s="52">
        <f>IF(COUNTIF(TblPurchases[BatchID],TblOutcomes[[#This Row],[BatchID]])&lt;&gt;1,"n.a.",TblOutcomes[[#This Row],[Qty Wasted]]*SUMIFS(TblPurchases[Unit Cost (CLP)],TblPurchases[BatchID],TblOutcomes[[#This Row],[BatchID]]))</f>
        <v>0</v>
      </c>
      <c r="Q1303" s="51">
        <f>IF(COUNTIF(TblPurchases[BatchID],TblOutcomes[[#This Row],[BatchID]])&lt;&gt;1,"n.a.",SUMIFS(TblPurchases[Purchase Date],TblPurchases[BatchID],TblOutcomes[[#This Row],[BatchID]]))</f>
        <v>45234</v>
      </c>
    </row>
    <row r="1304" spans="2:17" x14ac:dyDescent="0.25">
      <c r="B1304" s="2" t="s">
        <v>2109</v>
      </c>
      <c r="C1304" s="2" t="s">
        <v>162</v>
      </c>
      <c r="D1304" s="2" t="s">
        <v>164</v>
      </c>
      <c r="E1304" s="2" t="s">
        <v>4647</v>
      </c>
      <c r="F1304" s="2">
        <v>32</v>
      </c>
      <c r="G1304" s="2">
        <v>32</v>
      </c>
      <c r="H1304" s="2">
        <v>0</v>
      </c>
      <c r="I1304" s="1">
        <v>0</v>
      </c>
      <c r="J1304" s="26">
        <v>45295</v>
      </c>
      <c r="K1304" s="22">
        <v>96000</v>
      </c>
      <c r="L1304" s="18">
        <v>102.67</v>
      </c>
      <c r="M1304" s="22">
        <v>67200</v>
      </c>
      <c r="N1304" s="22">
        <v>28800</v>
      </c>
      <c r="O1304" s="18">
        <v>30.8</v>
      </c>
      <c r="P1304" s="52">
        <f>IF(COUNTIF(TblPurchases[BatchID],TblOutcomes[[#This Row],[BatchID]])&lt;&gt;1,"n.a.",TblOutcomes[[#This Row],[Qty Wasted]]*SUMIFS(TblPurchases[Unit Cost (CLP)],TblPurchases[BatchID],TblOutcomes[[#This Row],[BatchID]]))</f>
        <v>0</v>
      </c>
      <c r="Q1304" s="51">
        <f>IF(COUNTIF(TblPurchases[BatchID],TblOutcomes[[#This Row],[BatchID]])&lt;&gt;1,"n.a.",SUMIFS(TblPurchases[Purchase Date],TblPurchases[BatchID],TblOutcomes[[#This Row],[BatchID]]))</f>
        <v>45268</v>
      </c>
    </row>
    <row r="1305" spans="2:17" x14ac:dyDescent="0.25">
      <c r="B1305" s="2" t="s">
        <v>2110</v>
      </c>
      <c r="C1305" s="2" t="s">
        <v>162</v>
      </c>
      <c r="D1305" s="2" t="s">
        <v>164</v>
      </c>
      <c r="E1305" s="2" t="s">
        <v>4647</v>
      </c>
      <c r="F1305" s="2">
        <v>21</v>
      </c>
      <c r="G1305" s="2">
        <v>21</v>
      </c>
      <c r="H1305" s="2">
        <v>0</v>
      </c>
      <c r="I1305" s="1">
        <v>0</v>
      </c>
      <c r="J1305" s="26">
        <v>45335</v>
      </c>
      <c r="K1305" s="22">
        <v>63000</v>
      </c>
      <c r="L1305" s="18">
        <v>67.38</v>
      </c>
      <c r="M1305" s="22">
        <v>44100</v>
      </c>
      <c r="N1305" s="22">
        <v>18900</v>
      </c>
      <c r="O1305" s="18">
        <v>20.21</v>
      </c>
      <c r="P1305" s="52">
        <f>IF(COUNTIF(TblPurchases[BatchID],TblOutcomes[[#This Row],[BatchID]])&lt;&gt;1,"n.a.",TblOutcomes[[#This Row],[Qty Wasted]]*SUMIFS(TblPurchases[Unit Cost (CLP)],TblPurchases[BatchID],TblOutcomes[[#This Row],[BatchID]]))</f>
        <v>0</v>
      </c>
      <c r="Q1305" s="51">
        <f>IF(COUNTIF(TblPurchases[BatchID],TblOutcomes[[#This Row],[BatchID]])&lt;&gt;1,"n.a.",SUMIFS(TblPurchases[Purchase Date],TblPurchases[BatchID],TblOutcomes[[#This Row],[BatchID]]))</f>
        <v>45305</v>
      </c>
    </row>
    <row r="1306" spans="2:17" x14ac:dyDescent="0.25">
      <c r="B1306" s="2" t="s">
        <v>2111</v>
      </c>
      <c r="C1306" s="2" t="s">
        <v>162</v>
      </c>
      <c r="D1306" s="2" t="s">
        <v>164</v>
      </c>
      <c r="E1306" s="2" t="s">
        <v>4647</v>
      </c>
      <c r="F1306" s="2">
        <v>22</v>
      </c>
      <c r="G1306" s="2">
        <v>22</v>
      </c>
      <c r="H1306" s="2">
        <v>0</v>
      </c>
      <c r="I1306" s="1">
        <v>0</v>
      </c>
      <c r="J1306" s="26">
        <v>45384</v>
      </c>
      <c r="K1306" s="22">
        <v>66000</v>
      </c>
      <c r="L1306" s="18">
        <v>70.59</v>
      </c>
      <c r="M1306" s="22">
        <v>46200</v>
      </c>
      <c r="N1306" s="22">
        <v>19800</v>
      </c>
      <c r="O1306" s="18">
        <v>21.18</v>
      </c>
      <c r="P1306" s="52">
        <f>IF(COUNTIF(TblPurchases[BatchID],TblOutcomes[[#This Row],[BatchID]])&lt;&gt;1,"n.a.",TblOutcomes[[#This Row],[Qty Wasted]]*SUMIFS(TblPurchases[Unit Cost (CLP)],TblPurchases[BatchID],TblOutcomes[[#This Row],[BatchID]]))</f>
        <v>0</v>
      </c>
      <c r="Q1306" s="51">
        <f>IF(COUNTIF(TblPurchases[BatchID],TblOutcomes[[#This Row],[BatchID]])&lt;&gt;1,"n.a.",SUMIFS(TblPurchases[Purchase Date],TblPurchases[BatchID],TblOutcomes[[#This Row],[BatchID]]))</f>
        <v>45351</v>
      </c>
    </row>
    <row r="1307" spans="2:17" x14ac:dyDescent="0.25">
      <c r="B1307" s="2" t="s">
        <v>2112</v>
      </c>
      <c r="C1307" s="2" t="s">
        <v>162</v>
      </c>
      <c r="D1307" s="2" t="s">
        <v>164</v>
      </c>
      <c r="E1307" s="2" t="s">
        <v>4646</v>
      </c>
      <c r="F1307" s="2">
        <v>26</v>
      </c>
      <c r="G1307" s="2">
        <v>25.01</v>
      </c>
      <c r="H1307" s="2">
        <v>0.99</v>
      </c>
      <c r="I1307" s="1">
        <v>3.8</v>
      </c>
      <c r="J1307" s="26">
        <v>45633</v>
      </c>
      <c r="K1307" s="22">
        <v>75030</v>
      </c>
      <c r="L1307" s="18">
        <v>80.25</v>
      </c>
      <c r="M1307" s="22">
        <v>54600</v>
      </c>
      <c r="N1307" s="22">
        <v>20430</v>
      </c>
      <c r="O1307" s="18">
        <v>21.85</v>
      </c>
      <c r="P1307" s="52">
        <f>IF(COUNTIF(TblPurchases[BatchID],TblOutcomes[[#This Row],[BatchID]])&lt;&gt;1,"n.a.",TblOutcomes[[#This Row],[Qty Wasted]]*SUMIFS(TblPurchases[Unit Cost (CLP)],TblPurchases[BatchID],TblOutcomes[[#This Row],[BatchID]]))</f>
        <v>2079</v>
      </c>
      <c r="Q1307" s="51">
        <f>IF(COUNTIF(TblPurchases[BatchID],TblOutcomes[[#This Row],[BatchID]])&lt;&gt;1,"n.a.",SUMIFS(TblPurchases[Purchase Date],TblPurchases[BatchID],TblOutcomes[[#This Row],[BatchID]]))</f>
        <v>45393</v>
      </c>
    </row>
    <row r="1308" spans="2:17" x14ac:dyDescent="0.25">
      <c r="B1308" s="2" t="s">
        <v>2113</v>
      </c>
      <c r="C1308" s="2" t="s">
        <v>162</v>
      </c>
      <c r="D1308" s="2" t="s">
        <v>164</v>
      </c>
      <c r="E1308" s="2" t="s">
        <v>4646</v>
      </c>
      <c r="F1308" s="2">
        <v>23</v>
      </c>
      <c r="G1308" s="2">
        <v>22.33</v>
      </c>
      <c r="H1308" s="2">
        <v>0.67</v>
      </c>
      <c r="I1308" s="1">
        <v>2.9</v>
      </c>
      <c r="J1308" s="26">
        <v>45663</v>
      </c>
      <c r="K1308" s="22">
        <v>66990</v>
      </c>
      <c r="L1308" s="18">
        <v>71.650000000000006</v>
      </c>
      <c r="M1308" s="22">
        <v>48300</v>
      </c>
      <c r="N1308" s="22">
        <v>18690</v>
      </c>
      <c r="O1308" s="18">
        <v>19.989999999999998</v>
      </c>
      <c r="P1308" s="52">
        <f>IF(COUNTIF(TblPurchases[BatchID],TblOutcomes[[#This Row],[BatchID]])&lt;&gt;1,"n.a.",TblOutcomes[[#This Row],[Qty Wasted]]*SUMIFS(TblPurchases[Unit Cost (CLP)],TblPurchases[BatchID],TblOutcomes[[#This Row],[BatchID]]))</f>
        <v>1407</v>
      </c>
      <c r="Q1308" s="51">
        <f>IF(COUNTIF(TblPurchases[BatchID],TblOutcomes[[#This Row],[BatchID]])&lt;&gt;1,"n.a.",SUMIFS(TblPurchases[Purchase Date],TblPurchases[BatchID],TblOutcomes[[#This Row],[BatchID]]))</f>
        <v>45423</v>
      </c>
    </row>
    <row r="1309" spans="2:17" x14ac:dyDescent="0.25">
      <c r="B1309" s="2" t="s">
        <v>2114</v>
      </c>
      <c r="C1309" s="2" t="s">
        <v>162</v>
      </c>
      <c r="D1309" s="2" t="s">
        <v>164</v>
      </c>
      <c r="E1309" s="2" t="s">
        <v>4646</v>
      </c>
      <c r="F1309" s="2">
        <v>26</v>
      </c>
      <c r="G1309" s="2">
        <v>25.66</v>
      </c>
      <c r="H1309" s="2">
        <v>0.34</v>
      </c>
      <c r="I1309" s="1">
        <v>1.3</v>
      </c>
      <c r="J1309" s="26">
        <v>45700</v>
      </c>
      <c r="K1309" s="22">
        <v>76980</v>
      </c>
      <c r="L1309" s="18">
        <v>82.33</v>
      </c>
      <c r="M1309" s="22">
        <v>54600</v>
      </c>
      <c r="N1309" s="22">
        <v>22380</v>
      </c>
      <c r="O1309" s="18">
        <v>23.94</v>
      </c>
      <c r="P1309" s="52">
        <f>IF(COUNTIF(TblPurchases[BatchID],TblOutcomes[[#This Row],[BatchID]])&lt;&gt;1,"n.a.",TblOutcomes[[#This Row],[Qty Wasted]]*SUMIFS(TblPurchases[Unit Cost (CLP)],TblPurchases[BatchID],TblOutcomes[[#This Row],[BatchID]]))</f>
        <v>714</v>
      </c>
      <c r="Q1309" s="51">
        <f>IF(COUNTIF(TblPurchases[BatchID],TblOutcomes[[#This Row],[BatchID]])&lt;&gt;1,"n.a.",SUMIFS(TblPurchases[Purchase Date],TblPurchases[BatchID],TblOutcomes[[#This Row],[BatchID]]))</f>
        <v>45460</v>
      </c>
    </row>
    <row r="1310" spans="2:17" x14ac:dyDescent="0.25">
      <c r="B1310" s="2" t="s">
        <v>2115</v>
      </c>
      <c r="C1310" s="2" t="s">
        <v>162</v>
      </c>
      <c r="D1310" s="2" t="s">
        <v>164</v>
      </c>
      <c r="E1310" s="2" t="s">
        <v>4646</v>
      </c>
      <c r="F1310" s="2">
        <v>26</v>
      </c>
      <c r="G1310" s="2">
        <v>25.09</v>
      </c>
      <c r="H1310" s="2">
        <v>0.91</v>
      </c>
      <c r="I1310" s="1">
        <v>3.5</v>
      </c>
      <c r="J1310" s="26">
        <v>45735</v>
      </c>
      <c r="K1310" s="22">
        <v>75270</v>
      </c>
      <c r="L1310" s="18">
        <v>80.5</v>
      </c>
      <c r="M1310" s="22">
        <v>54600</v>
      </c>
      <c r="N1310" s="22">
        <v>20670</v>
      </c>
      <c r="O1310" s="18">
        <v>22.11</v>
      </c>
      <c r="P1310" s="52">
        <f>IF(COUNTIF(TblPurchases[BatchID],TblOutcomes[[#This Row],[BatchID]])&lt;&gt;1,"n.a.",TblOutcomes[[#This Row],[Qty Wasted]]*SUMIFS(TblPurchases[Unit Cost (CLP)],TblPurchases[BatchID],TblOutcomes[[#This Row],[BatchID]]))</f>
        <v>1911</v>
      </c>
      <c r="Q1310" s="51">
        <f>IF(COUNTIF(TblPurchases[BatchID],TblOutcomes[[#This Row],[BatchID]])&lt;&gt;1,"n.a.",SUMIFS(TblPurchases[Purchase Date],TblPurchases[BatchID],TblOutcomes[[#This Row],[BatchID]]))</f>
        <v>45495</v>
      </c>
    </row>
    <row r="1311" spans="2:17" x14ac:dyDescent="0.25">
      <c r="B1311" s="2" t="s">
        <v>2116</v>
      </c>
      <c r="C1311" s="2" t="s">
        <v>162</v>
      </c>
      <c r="D1311" s="2" t="s">
        <v>164</v>
      </c>
      <c r="E1311" s="2" t="s">
        <v>4647</v>
      </c>
      <c r="F1311" s="2">
        <v>27</v>
      </c>
      <c r="G1311" s="2">
        <v>27</v>
      </c>
      <c r="H1311" s="2">
        <v>0</v>
      </c>
      <c r="I1311" s="1">
        <v>0</v>
      </c>
      <c r="J1311" s="26">
        <v>45550</v>
      </c>
      <c r="K1311" s="22">
        <v>81000</v>
      </c>
      <c r="L1311" s="18">
        <v>86.63</v>
      </c>
      <c r="M1311" s="22">
        <v>56700</v>
      </c>
      <c r="N1311" s="22">
        <v>24300</v>
      </c>
      <c r="O1311" s="18">
        <v>25.99</v>
      </c>
      <c r="P1311" s="52">
        <f>IF(COUNTIF(TblPurchases[BatchID],TblOutcomes[[#This Row],[BatchID]])&lt;&gt;1,"n.a.",TblOutcomes[[#This Row],[Qty Wasted]]*SUMIFS(TblPurchases[Unit Cost (CLP)],TblPurchases[BatchID],TblOutcomes[[#This Row],[BatchID]]))</f>
        <v>0</v>
      </c>
      <c r="Q1311" s="51">
        <f>IF(COUNTIF(TblPurchases[BatchID],TblOutcomes[[#This Row],[BatchID]])&lt;&gt;1,"n.a.",SUMIFS(TblPurchases[Purchase Date],TblPurchases[BatchID],TblOutcomes[[#This Row],[BatchID]]))</f>
        <v>45526</v>
      </c>
    </row>
    <row r="1312" spans="2:17" x14ac:dyDescent="0.25">
      <c r="B1312" s="2" t="s">
        <v>2117</v>
      </c>
      <c r="C1312" s="2" t="s">
        <v>162</v>
      </c>
      <c r="D1312" s="2" t="s">
        <v>164</v>
      </c>
      <c r="E1312" s="2" t="s">
        <v>4647</v>
      </c>
      <c r="F1312" s="2">
        <v>27</v>
      </c>
      <c r="G1312" s="2">
        <v>27</v>
      </c>
      <c r="H1312" s="2">
        <v>0</v>
      </c>
      <c r="I1312" s="1">
        <v>0</v>
      </c>
      <c r="J1312" s="26">
        <v>45592</v>
      </c>
      <c r="K1312" s="22">
        <v>81000</v>
      </c>
      <c r="L1312" s="18">
        <v>86.63</v>
      </c>
      <c r="M1312" s="22">
        <v>56700</v>
      </c>
      <c r="N1312" s="22">
        <v>24300</v>
      </c>
      <c r="O1312" s="18">
        <v>25.99</v>
      </c>
      <c r="P1312" s="52">
        <f>IF(COUNTIF(TblPurchases[BatchID],TblOutcomes[[#This Row],[BatchID]])&lt;&gt;1,"n.a.",TblOutcomes[[#This Row],[Qty Wasted]]*SUMIFS(TblPurchases[Unit Cost (CLP)],TblPurchases[BatchID],TblOutcomes[[#This Row],[BatchID]]))</f>
        <v>0</v>
      </c>
      <c r="Q1312" s="51">
        <f>IF(COUNTIF(TblPurchases[BatchID],TblOutcomes[[#This Row],[BatchID]])&lt;&gt;1,"n.a.",SUMIFS(TblPurchases[Purchase Date],TblPurchases[BatchID],TblOutcomes[[#This Row],[BatchID]]))</f>
        <v>45555</v>
      </c>
    </row>
    <row r="1313" spans="2:17" x14ac:dyDescent="0.25">
      <c r="B1313" s="2" t="s">
        <v>2118</v>
      </c>
      <c r="C1313" s="2" t="s">
        <v>162</v>
      </c>
      <c r="D1313" s="2" t="s">
        <v>164</v>
      </c>
      <c r="E1313" s="2" t="s">
        <v>4646</v>
      </c>
      <c r="F1313" s="2">
        <v>22</v>
      </c>
      <c r="G1313" s="2">
        <v>21.12</v>
      </c>
      <c r="H1313" s="2">
        <v>0.88</v>
      </c>
      <c r="I1313" s="1">
        <v>4</v>
      </c>
      <c r="J1313" s="26">
        <v>45824</v>
      </c>
      <c r="K1313" s="22">
        <v>63360</v>
      </c>
      <c r="L1313" s="18">
        <v>67.760000000000005</v>
      </c>
      <c r="M1313" s="22">
        <v>46200</v>
      </c>
      <c r="N1313" s="22">
        <v>17160</v>
      </c>
      <c r="O1313" s="18">
        <v>18.350000000000001</v>
      </c>
      <c r="P1313" s="52">
        <f>IF(COUNTIF(TblPurchases[BatchID],TblOutcomes[[#This Row],[BatchID]])&lt;&gt;1,"n.a.",TblOutcomes[[#This Row],[Qty Wasted]]*SUMIFS(TblPurchases[Unit Cost (CLP)],TblPurchases[BatchID],TblOutcomes[[#This Row],[BatchID]]))</f>
        <v>1848</v>
      </c>
      <c r="Q1313" s="51">
        <f>IF(COUNTIF(TblPurchases[BatchID],TblOutcomes[[#This Row],[BatchID]])&lt;&gt;1,"n.a.",SUMIFS(TblPurchases[Purchase Date],TblPurchases[BatchID],TblOutcomes[[#This Row],[BatchID]]))</f>
        <v>45584</v>
      </c>
    </row>
    <row r="1314" spans="2:17" x14ac:dyDescent="0.25">
      <c r="B1314" s="2" t="s">
        <v>2119</v>
      </c>
      <c r="C1314" s="2" t="s">
        <v>162</v>
      </c>
      <c r="D1314" s="2" t="s">
        <v>164</v>
      </c>
      <c r="E1314" s="2" t="s">
        <v>4647</v>
      </c>
      <c r="F1314" s="2">
        <v>27</v>
      </c>
      <c r="G1314" s="2">
        <v>27</v>
      </c>
      <c r="H1314" s="2">
        <v>0</v>
      </c>
      <c r="I1314" s="1">
        <v>0</v>
      </c>
      <c r="J1314" s="26">
        <v>45646</v>
      </c>
      <c r="K1314" s="22">
        <v>81000</v>
      </c>
      <c r="L1314" s="18">
        <v>86.63</v>
      </c>
      <c r="M1314" s="22">
        <v>56700</v>
      </c>
      <c r="N1314" s="22">
        <v>24300</v>
      </c>
      <c r="O1314" s="18">
        <v>25.99</v>
      </c>
      <c r="P1314" s="52">
        <f>IF(COUNTIF(TblPurchases[BatchID],TblOutcomes[[#This Row],[BatchID]])&lt;&gt;1,"n.a.",TblOutcomes[[#This Row],[Qty Wasted]]*SUMIFS(TblPurchases[Unit Cost (CLP)],TblPurchases[BatchID],TblOutcomes[[#This Row],[BatchID]]))</f>
        <v>0</v>
      </c>
      <c r="Q1314" s="51">
        <f>IF(COUNTIF(TblPurchases[BatchID],TblOutcomes[[#This Row],[BatchID]])&lt;&gt;1,"n.a.",SUMIFS(TblPurchases[Purchase Date],TblPurchases[BatchID],TblOutcomes[[#This Row],[BatchID]]))</f>
        <v>45609</v>
      </c>
    </row>
    <row r="1315" spans="2:17" x14ac:dyDescent="0.25">
      <c r="B1315" s="2" t="s">
        <v>2120</v>
      </c>
      <c r="C1315" s="2" t="s">
        <v>162</v>
      </c>
      <c r="D1315" s="2" t="s">
        <v>164</v>
      </c>
      <c r="E1315" s="2" t="s">
        <v>4646</v>
      </c>
      <c r="F1315" s="2">
        <v>30</v>
      </c>
      <c r="G1315" s="2">
        <v>28.77</v>
      </c>
      <c r="H1315" s="2">
        <v>1.23</v>
      </c>
      <c r="I1315" s="1">
        <v>4.0999999999999996</v>
      </c>
      <c r="J1315" s="26">
        <v>45882</v>
      </c>
      <c r="K1315" s="22">
        <v>86310</v>
      </c>
      <c r="L1315" s="18">
        <v>92.31</v>
      </c>
      <c r="M1315" s="22">
        <v>63000</v>
      </c>
      <c r="N1315" s="22">
        <v>23310</v>
      </c>
      <c r="O1315" s="18">
        <v>24.93</v>
      </c>
      <c r="P1315" s="52">
        <f>IF(COUNTIF(TblPurchases[BatchID],TblOutcomes[[#This Row],[BatchID]])&lt;&gt;1,"n.a.",TblOutcomes[[#This Row],[Qty Wasted]]*SUMIFS(TblPurchases[Unit Cost (CLP)],TblPurchases[BatchID],TblOutcomes[[#This Row],[BatchID]]))</f>
        <v>2583</v>
      </c>
      <c r="Q1315" s="51">
        <f>IF(COUNTIF(TblPurchases[BatchID],TblOutcomes[[#This Row],[BatchID]])&lt;&gt;1,"n.a.",SUMIFS(TblPurchases[Purchase Date],TblPurchases[BatchID],TblOutcomes[[#This Row],[BatchID]]))</f>
        <v>45642</v>
      </c>
    </row>
    <row r="1316" spans="2:17" x14ac:dyDescent="0.25">
      <c r="B1316" s="2" t="s">
        <v>2121</v>
      </c>
      <c r="C1316" s="2" t="s">
        <v>162</v>
      </c>
      <c r="D1316" s="2" t="s">
        <v>164</v>
      </c>
      <c r="E1316" s="2" t="s">
        <v>4647</v>
      </c>
      <c r="F1316" s="2">
        <v>30</v>
      </c>
      <c r="G1316" s="2">
        <v>30</v>
      </c>
      <c r="H1316" s="2">
        <v>0</v>
      </c>
      <c r="I1316" s="1">
        <v>0</v>
      </c>
      <c r="J1316" s="26">
        <v>45693</v>
      </c>
      <c r="K1316" s="22">
        <v>90000</v>
      </c>
      <c r="L1316" s="18">
        <v>96.26</v>
      </c>
      <c r="M1316" s="22">
        <v>63000</v>
      </c>
      <c r="N1316" s="22">
        <v>27000</v>
      </c>
      <c r="O1316" s="18">
        <v>28.88</v>
      </c>
      <c r="P1316" s="52">
        <f>IF(COUNTIF(TblPurchases[BatchID],TblOutcomes[[#This Row],[BatchID]])&lt;&gt;1,"n.a.",TblOutcomes[[#This Row],[Qty Wasted]]*SUMIFS(TblPurchases[Unit Cost (CLP)],TblPurchases[BatchID],TblOutcomes[[#This Row],[BatchID]]))</f>
        <v>0</v>
      </c>
      <c r="Q1316" s="51">
        <f>IF(COUNTIF(TblPurchases[BatchID],TblOutcomes[[#This Row],[BatchID]])&lt;&gt;1,"n.a.",SUMIFS(TblPurchases[Purchase Date],TblPurchases[BatchID],TblOutcomes[[#This Row],[BatchID]]))</f>
        <v>45673</v>
      </c>
    </row>
    <row r="1317" spans="2:17" x14ac:dyDescent="0.25">
      <c r="B1317" s="2" t="s">
        <v>2122</v>
      </c>
      <c r="C1317" s="2" t="s">
        <v>162</v>
      </c>
      <c r="D1317" s="2" t="s">
        <v>164</v>
      </c>
      <c r="E1317" s="2" t="s">
        <v>4646</v>
      </c>
      <c r="F1317" s="2">
        <v>24</v>
      </c>
      <c r="G1317" s="2">
        <v>22.51</v>
      </c>
      <c r="H1317" s="2">
        <v>1.49</v>
      </c>
      <c r="I1317" s="1">
        <v>6.2</v>
      </c>
      <c r="J1317" s="26">
        <v>45953</v>
      </c>
      <c r="K1317" s="22">
        <v>67530</v>
      </c>
      <c r="L1317" s="18">
        <v>72.22</v>
      </c>
      <c r="M1317" s="22">
        <v>52800</v>
      </c>
      <c r="N1317" s="22">
        <v>14730</v>
      </c>
      <c r="O1317" s="18">
        <v>15.75</v>
      </c>
      <c r="P1317" s="52">
        <f>IF(COUNTIF(TblPurchases[BatchID],TblOutcomes[[#This Row],[BatchID]])&lt;&gt;1,"n.a.",TblOutcomes[[#This Row],[Qty Wasted]]*SUMIFS(TblPurchases[Unit Cost (CLP)],TblPurchases[BatchID],TblOutcomes[[#This Row],[BatchID]]))</f>
        <v>3278</v>
      </c>
      <c r="Q1317" s="51">
        <f>IF(COUNTIF(TblPurchases[BatchID],TblOutcomes[[#This Row],[BatchID]])&lt;&gt;1,"n.a.",SUMIFS(TblPurchases[Purchase Date],TblPurchases[BatchID],TblOutcomes[[#This Row],[BatchID]]))</f>
        <v>45713</v>
      </c>
    </row>
    <row r="1318" spans="2:17" x14ac:dyDescent="0.25">
      <c r="B1318" s="2" t="s">
        <v>2123</v>
      </c>
      <c r="C1318" s="2" t="s">
        <v>162</v>
      </c>
      <c r="D1318" s="2" t="s">
        <v>164</v>
      </c>
      <c r="E1318" s="2" t="s">
        <v>4647</v>
      </c>
      <c r="F1318" s="2">
        <v>24</v>
      </c>
      <c r="G1318" s="2">
        <v>24</v>
      </c>
      <c r="H1318" s="2">
        <v>0</v>
      </c>
      <c r="I1318" s="1">
        <v>0</v>
      </c>
      <c r="J1318" s="26">
        <v>45752</v>
      </c>
      <c r="K1318" s="22">
        <v>72000</v>
      </c>
      <c r="L1318" s="18">
        <v>77.010000000000005</v>
      </c>
      <c r="M1318" s="22">
        <v>50400</v>
      </c>
      <c r="N1318" s="22">
        <v>21600</v>
      </c>
      <c r="O1318" s="18">
        <v>23.1</v>
      </c>
      <c r="P1318" s="52">
        <f>IF(COUNTIF(TblPurchases[BatchID],TblOutcomes[[#This Row],[BatchID]])&lt;&gt;1,"n.a.",TblOutcomes[[#This Row],[Qty Wasted]]*SUMIFS(TblPurchases[Unit Cost (CLP)],TblPurchases[BatchID],TblOutcomes[[#This Row],[BatchID]]))</f>
        <v>0</v>
      </c>
      <c r="Q1318" s="51">
        <f>IF(COUNTIF(TblPurchases[BatchID],TblOutcomes[[#This Row],[BatchID]])&lt;&gt;1,"n.a.",SUMIFS(TblPurchases[Purchase Date],TblPurchases[BatchID],TblOutcomes[[#This Row],[BatchID]]))</f>
        <v>45742</v>
      </c>
    </row>
    <row r="1319" spans="2:17" x14ac:dyDescent="0.25">
      <c r="B1319" s="2" t="s">
        <v>2124</v>
      </c>
      <c r="C1319" s="2" t="s">
        <v>162</v>
      </c>
      <c r="D1319" s="2" t="s">
        <v>164</v>
      </c>
      <c r="E1319" s="2" t="s">
        <v>4647</v>
      </c>
      <c r="F1319" s="2">
        <v>27</v>
      </c>
      <c r="G1319" s="2">
        <v>27</v>
      </c>
      <c r="H1319" s="2">
        <v>0</v>
      </c>
      <c r="I1319" s="1">
        <v>0</v>
      </c>
      <c r="J1319" s="26">
        <v>45794</v>
      </c>
      <c r="K1319" s="22">
        <v>81000</v>
      </c>
      <c r="L1319" s="18">
        <v>86.63</v>
      </c>
      <c r="M1319" s="22">
        <v>56700</v>
      </c>
      <c r="N1319" s="22">
        <v>24300</v>
      </c>
      <c r="O1319" s="18">
        <v>25.99</v>
      </c>
      <c r="P1319" s="52">
        <f>IF(COUNTIF(TblPurchases[BatchID],TblOutcomes[[#This Row],[BatchID]])&lt;&gt;1,"n.a.",TblOutcomes[[#This Row],[Qty Wasted]]*SUMIFS(TblPurchases[Unit Cost (CLP)],TblPurchases[BatchID],TblOutcomes[[#This Row],[BatchID]]))</f>
        <v>0</v>
      </c>
      <c r="Q1319" s="51">
        <f>IF(COUNTIF(TblPurchases[BatchID],TblOutcomes[[#This Row],[BatchID]])&lt;&gt;1,"n.a.",SUMIFS(TblPurchases[Purchase Date],TblPurchases[BatchID],TblOutcomes[[#This Row],[BatchID]]))</f>
        <v>45771</v>
      </c>
    </row>
    <row r="1320" spans="2:17" x14ac:dyDescent="0.25">
      <c r="B1320" s="2" t="s">
        <v>2125</v>
      </c>
      <c r="C1320" s="2" t="s">
        <v>162</v>
      </c>
      <c r="D1320" s="2" t="s">
        <v>164</v>
      </c>
      <c r="E1320" s="2" t="s">
        <v>4647</v>
      </c>
      <c r="F1320" s="2">
        <v>24</v>
      </c>
      <c r="G1320" s="2">
        <v>24</v>
      </c>
      <c r="H1320" s="2">
        <v>0</v>
      </c>
      <c r="I1320" s="1">
        <v>0</v>
      </c>
      <c r="J1320" s="26">
        <v>45845</v>
      </c>
      <c r="K1320" s="22">
        <v>72000</v>
      </c>
      <c r="L1320" s="18">
        <v>77.010000000000005</v>
      </c>
      <c r="M1320" s="22">
        <v>50400</v>
      </c>
      <c r="N1320" s="22">
        <v>21600</v>
      </c>
      <c r="O1320" s="18">
        <v>23.1</v>
      </c>
      <c r="P1320" s="52">
        <f>IF(COUNTIF(TblPurchases[BatchID],TblOutcomes[[#This Row],[BatchID]])&lt;&gt;1,"n.a.",TblOutcomes[[#This Row],[Qty Wasted]]*SUMIFS(TblPurchases[Unit Cost (CLP)],TblPurchases[BatchID],TblOutcomes[[#This Row],[BatchID]]))</f>
        <v>0</v>
      </c>
      <c r="Q1320" s="51">
        <f>IF(COUNTIF(TblPurchases[BatchID],TblOutcomes[[#This Row],[BatchID]])&lt;&gt;1,"n.a.",SUMIFS(TblPurchases[Purchase Date],TblPurchases[BatchID],TblOutcomes[[#This Row],[BatchID]]))</f>
        <v>45813</v>
      </c>
    </row>
    <row r="1321" spans="2:17" x14ac:dyDescent="0.25">
      <c r="B1321" s="2" t="s">
        <v>2126</v>
      </c>
      <c r="C1321" s="2" t="s">
        <v>166</v>
      </c>
      <c r="D1321" s="2" t="s">
        <v>164</v>
      </c>
      <c r="E1321" s="2" t="s">
        <v>4647</v>
      </c>
      <c r="F1321" s="2">
        <v>21</v>
      </c>
      <c r="G1321" s="2">
        <v>21</v>
      </c>
      <c r="H1321" s="2">
        <v>0</v>
      </c>
      <c r="I1321" s="1">
        <v>0</v>
      </c>
      <c r="J1321" s="26">
        <v>45170</v>
      </c>
      <c r="K1321" s="22">
        <v>52500</v>
      </c>
      <c r="L1321" s="18">
        <v>56.15</v>
      </c>
      <c r="M1321" s="22">
        <v>37800</v>
      </c>
      <c r="N1321" s="22">
        <v>14700</v>
      </c>
      <c r="O1321" s="18">
        <v>15.72</v>
      </c>
      <c r="P1321" s="52">
        <f>IF(COUNTIF(TblPurchases[BatchID],TblOutcomes[[#This Row],[BatchID]])&lt;&gt;1,"n.a.",TblOutcomes[[#This Row],[Qty Wasted]]*SUMIFS(TblPurchases[Unit Cost (CLP)],TblPurchases[BatchID],TblOutcomes[[#This Row],[BatchID]]))</f>
        <v>0</v>
      </c>
      <c r="Q1321" s="51">
        <f>IF(COUNTIF(TblPurchases[BatchID],TblOutcomes[[#This Row],[BatchID]])&lt;&gt;1,"n.a.",SUMIFS(TblPurchases[Purchase Date],TblPurchases[BatchID],TblOutcomes[[#This Row],[BatchID]]))</f>
        <v>45129</v>
      </c>
    </row>
    <row r="1322" spans="2:17" x14ac:dyDescent="0.25">
      <c r="B1322" s="2" t="s">
        <v>2127</v>
      </c>
      <c r="C1322" s="2" t="s">
        <v>166</v>
      </c>
      <c r="D1322" s="2" t="s">
        <v>164</v>
      </c>
      <c r="E1322" s="2" t="s">
        <v>4646</v>
      </c>
      <c r="F1322" s="2">
        <v>26</v>
      </c>
      <c r="G1322" s="2">
        <v>25.45</v>
      </c>
      <c r="H1322" s="2">
        <v>0.55000000000000004</v>
      </c>
      <c r="I1322" s="1">
        <v>2.1</v>
      </c>
      <c r="J1322" s="26">
        <v>45408</v>
      </c>
      <c r="K1322" s="22">
        <v>63625</v>
      </c>
      <c r="L1322" s="18">
        <v>68.05</v>
      </c>
      <c r="M1322" s="22">
        <v>46800</v>
      </c>
      <c r="N1322" s="22">
        <v>16825</v>
      </c>
      <c r="O1322" s="18">
        <v>17.989999999999998</v>
      </c>
      <c r="P1322" s="52">
        <f>IF(COUNTIF(TblPurchases[BatchID],TblOutcomes[[#This Row],[BatchID]])&lt;&gt;1,"n.a.",TblOutcomes[[#This Row],[Qty Wasted]]*SUMIFS(TblPurchases[Unit Cost (CLP)],TblPurchases[BatchID],TblOutcomes[[#This Row],[BatchID]]))</f>
        <v>990.00000000000011</v>
      </c>
      <c r="Q1322" s="51">
        <f>IF(COUNTIF(TblPurchases[BatchID],TblOutcomes[[#This Row],[BatchID]])&lt;&gt;1,"n.a.",SUMIFS(TblPurchases[Purchase Date],TblPurchases[BatchID],TblOutcomes[[#This Row],[BatchID]]))</f>
        <v>45168</v>
      </c>
    </row>
    <row r="1323" spans="2:17" x14ac:dyDescent="0.25">
      <c r="B1323" s="2" t="s">
        <v>2128</v>
      </c>
      <c r="C1323" s="2" t="s">
        <v>166</v>
      </c>
      <c r="D1323" s="2" t="s">
        <v>164</v>
      </c>
      <c r="E1323" s="2" t="s">
        <v>4647</v>
      </c>
      <c r="F1323" s="2">
        <v>25</v>
      </c>
      <c r="G1323" s="2">
        <v>25</v>
      </c>
      <c r="H1323" s="2">
        <v>0</v>
      </c>
      <c r="I1323" s="1">
        <v>0</v>
      </c>
      <c r="J1323" s="26">
        <v>45227</v>
      </c>
      <c r="K1323" s="22">
        <v>62500</v>
      </c>
      <c r="L1323" s="18">
        <v>66.84</v>
      </c>
      <c r="M1323" s="22">
        <v>45000</v>
      </c>
      <c r="N1323" s="22">
        <v>17500</v>
      </c>
      <c r="O1323" s="18">
        <v>18.72</v>
      </c>
      <c r="P1323" s="52">
        <f>IF(COUNTIF(TblPurchases[BatchID],TblOutcomes[[#This Row],[BatchID]])&lt;&gt;1,"n.a.",TblOutcomes[[#This Row],[Qty Wasted]]*SUMIFS(TblPurchases[Unit Cost (CLP)],TblPurchases[BatchID],TblOutcomes[[#This Row],[BatchID]]))</f>
        <v>0</v>
      </c>
      <c r="Q1323" s="51">
        <f>IF(COUNTIF(TblPurchases[BatchID],TblOutcomes[[#This Row],[BatchID]])&lt;&gt;1,"n.a.",SUMIFS(TblPurchases[Purchase Date],TblPurchases[BatchID],TblOutcomes[[#This Row],[BatchID]]))</f>
        <v>45208</v>
      </c>
    </row>
    <row r="1324" spans="2:17" x14ac:dyDescent="0.25">
      <c r="B1324" s="2" t="s">
        <v>2129</v>
      </c>
      <c r="C1324" s="2" t="s">
        <v>166</v>
      </c>
      <c r="D1324" s="2" t="s">
        <v>164</v>
      </c>
      <c r="E1324" s="2" t="s">
        <v>4647</v>
      </c>
      <c r="F1324" s="2">
        <v>21</v>
      </c>
      <c r="G1324" s="2">
        <v>21</v>
      </c>
      <c r="H1324" s="2">
        <v>0</v>
      </c>
      <c r="I1324" s="1">
        <v>0</v>
      </c>
      <c r="J1324" s="26">
        <v>45255</v>
      </c>
      <c r="K1324" s="22">
        <v>52500</v>
      </c>
      <c r="L1324" s="18">
        <v>56.15</v>
      </c>
      <c r="M1324" s="22">
        <v>37800</v>
      </c>
      <c r="N1324" s="22">
        <v>14700</v>
      </c>
      <c r="O1324" s="18">
        <v>15.72</v>
      </c>
      <c r="P1324" s="52">
        <f>IF(COUNTIF(TblPurchases[BatchID],TblOutcomes[[#This Row],[BatchID]])&lt;&gt;1,"n.a.",TblOutcomes[[#This Row],[Qty Wasted]]*SUMIFS(TblPurchases[Unit Cost (CLP)],TblPurchases[BatchID],TblOutcomes[[#This Row],[BatchID]]))</f>
        <v>0</v>
      </c>
      <c r="Q1324" s="51">
        <f>IF(COUNTIF(TblPurchases[BatchID],TblOutcomes[[#This Row],[BatchID]])&lt;&gt;1,"n.a.",SUMIFS(TblPurchases[Purchase Date],TblPurchases[BatchID],TblOutcomes[[#This Row],[BatchID]]))</f>
        <v>45234</v>
      </c>
    </row>
    <row r="1325" spans="2:17" x14ac:dyDescent="0.25">
      <c r="B1325" s="2" t="s">
        <v>2130</v>
      </c>
      <c r="C1325" s="2" t="s">
        <v>166</v>
      </c>
      <c r="D1325" s="2" t="s">
        <v>164</v>
      </c>
      <c r="E1325" s="2" t="s">
        <v>4646</v>
      </c>
      <c r="F1325" s="2">
        <v>31</v>
      </c>
      <c r="G1325" s="2">
        <v>30.57</v>
      </c>
      <c r="H1325" s="2">
        <v>0.43</v>
      </c>
      <c r="I1325" s="1">
        <v>1.4</v>
      </c>
      <c r="J1325" s="26">
        <v>45511</v>
      </c>
      <c r="K1325" s="22">
        <v>76425</v>
      </c>
      <c r="L1325" s="18">
        <v>81.739999999999995</v>
      </c>
      <c r="M1325" s="22">
        <v>55800</v>
      </c>
      <c r="N1325" s="22">
        <v>20625</v>
      </c>
      <c r="O1325" s="18">
        <v>22.06</v>
      </c>
      <c r="P1325" s="52">
        <f>IF(COUNTIF(TblPurchases[BatchID],TblOutcomes[[#This Row],[BatchID]])&lt;&gt;1,"n.a.",TblOutcomes[[#This Row],[Qty Wasted]]*SUMIFS(TblPurchases[Unit Cost (CLP)],TblPurchases[BatchID],TblOutcomes[[#This Row],[BatchID]]))</f>
        <v>774</v>
      </c>
      <c r="Q1325" s="51">
        <f>IF(COUNTIF(TblPurchases[BatchID],TblOutcomes[[#This Row],[BatchID]])&lt;&gt;1,"n.a.",SUMIFS(TblPurchases[Purchase Date],TblPurchases[BatchID],TblOutcomes[[#This Row],[BatchID]]))</f>
        <v>45271</v>
      </c>
    </row>
    <row r="1326" spans="2:17" x14ac:dyDescent="0.25">
      <c r="B1326" s="2" t="s">
        <v>2131</v>
      </c>
      <c r="C1326" s="2" t="s">
        <v>166</v>
      </c>
      <c r="D1326" s="2" t="s">
        <v>164</v>
      </c>
      <c r="E1326" s="2" t="s">
        <v>4646</v>
      </c>
      <c r="F1326" s="2">
        <v>21</v>
      </c>
      <c r="G1326" s="2">
        <v>20.45</v>
      </c>
      <c r="H1326" s="2">
        <v>0.55000000000000004</v>
      </c>
      <c r="I1326" s="1">
        <v>2.6</v>
      </c>
      <c r="J1326" s="26">
        <v>45554</v>
      </c>
      <c r="K1326" s="22">
        <v>51125</v>
      </c>
      <c r="L1326" s="18">
        <v>54.68</v>
      </c>
      <c r="M1326" s="22">
        <v>37800</v>
      </c>
      <c r="N1326" s="22">
        <v>13325</v>
      </c>
      <c r="O1326" s="18">
        <v>14.25</v>
      </c>
      <c r="P1326" s="52">
        <f>IF(COUNTIF(TblPurchases[BatchID],TblOutcomes[[#This Row],[BatchID]])&lt;&gt;1,"n.a.",TblOutcomes[[#This Row],[Qty Wasted]]*SUMIFS(TblPurchases[Unit Cost (CLP)],TblPurchases[BatchID],TblOutcomes[[#This Row],[BatchID]]))</f>
        <v>990.00000000000011</v>
      </c>
      <c r="Q1326" s="51">
        <f>IF(COUNTIF(TblPurchases[BatchID],TblOutcomes[[#This Row],[BatchID]])&lt;&gt;1,"n.a.",SUMIFS(TblPurchases[Purchase Date],TblPurchases[BatchID],TblOutcomes[[#This Row],[BatchID]]))</f>
        <v>45314</v>
      </c>
    </row>
    <row r="1327" spans="2:17" x14ac:dyDescent="0.25">
      <c r="B1327" s="2" t="s">
        <v>2132</v>
      </c>
      <c r="C1327" s="2" t="s">
        <v>166</v>
      </c>
      <c r="D1327" s="2" t="s">
        <v>164</v>
      </c>
      <c r="E1327" s="2" t="s">
        <v>4647</v>
      </c>
      <c r="F1327" s="2">
        <v>23</v>
      </c>
      <c r="G1327" s="2">
        <v>23</v>
      </c>
      <c r="H1327" s="2">
        <v>0</v>
      </c>
      <c r="I1327" s="1">
        <v>0</v>
      </c>
      <c r="J1327" s="26">
        <v>45367</v>
      </c>
      <c r="K1327" s="22">
        <v>57500</v>
      </c>
      <c r="L1327" s="18">
        <v>61.5</v>
      </c>
      <c r="M1327" s="22">
        <v>41400</v>
      </c>
      <c r="N1327" s="22">
        <v>16100</v>
      </c>
      <c r="O1327" s="18">
        <v>17.22</v>
      </c>
      <c r="P1327" s="52">
        <f>IF(COUNTIF(TblPurchases[BatchID],TblOutcomes[[#This Row],[BatchID]])&lt;&gt;1,"n.a.",TblOutcomes[[#This Row],[Qty Wasted]]*SUMIFS(TblPurchases[Unit Cost (CLP)],TblPurchases[BatchID],TblOutcomes[[#This Row],[BatchID]]))</f>
        <v>0</v>
      </c>
      <c r="Q1327" s="51">
        <f>IF(COUNTIF(TblPurchases[BatchID],TblOutcomes[[#This Row],[BatchID]])&lt;&gt;1,"n.a.",SUMIFS(TblPurchases[Purchase Date],TblPurchases[BatchID],TblOutcomes[[#This Row],[BatchID]]))</f>
        <v>45350</v>
      </c>
    </row>
    <row r="1328" spans="2:17" x14ac:dyDescent="0.25">
      <c r="B1328" s="2" t="s">
        <v>2133</v>
      </c>
      <c r="C1328" s="2" t="s">
        <v>166</v>
      </c>
      <c r="D1328" s="2" t="s">
        <v>164</v>
      </c>
      <c r="E1328" s="2" t="s">
        <v>4647</v>
      </c>
      <c r="F1328" s="2">
        <v>20</v>
      </c>
      <c r="G1328" s="2">
        <v>20</v>
      </c>
      <c r="H1328" s="2">
        <v>0</v>
      </c>
      <c r="I1328" s="1">
        <v>0</v>
      </c>
      <c r="J1328" s="26">
        <v>45411</v>
      </c>
      <c r="K1328" s="22">
        <v>50000</v>
      </c>
      <c r="L1328" s="18">
        <v>53.48</v>
      </c>
      <c r="M1328" s="22">
        <v>36000</v>
      </c>
      <c r="N1328" s="22">
        <v>14000</v>
      </c>
      <c r="O1328" s="18">
        <v>14.97</v>
      </c>
      <c r="P1328" s="52">
        <f>IF(COUNTIF(TblPurchases[BatchID],TblOutcomes[[#This Row],[BatchID]])&lt;&gt;1,"n.a.",TblOutcomes[[#This Row],[Qty Wasted]]*SUMIFS(TblPurchases[Unit Cost (CLP)],TblPurchases[BatchID],TblOutcomes[[#This Row],[BatchID]]))</f>
        <v>0</v>
      </c>
      <c r="Q1328" s="51">
        <f>IF(COUNTIF(TblPurchases[BatchID],TblOutcomes[[#This Row],[BatchID]])&lt;&gt;1,"n.a.",SUMIFS(TblPurchases[Purchase Date],TblPurchases[BatchID],TblOutcomes[[#This Row],[BatchID]]))</f>
        <v>45378</v>
      </c>
    </row>
    <row r="1329" spans="2:17" x14ac:dyDescent="0.25">
      <c r="B1329" s="2" t="s">
        <v>2134</v>
      </c>
      <c r="C1329" s="2" t="s">
        <v>166</v>
      </c>
      <c r="D1329" s="2" t="s">
        <v>164</v>
      </c>
      <c r="E1329" s="2" t="s">
        <v>4646</v>
      </c>
      <c r="F1329" s="2">
        <v>26</v>
      </c>
      <c r="G1329" s="2">
        <v>25.17</v>
      </c>
      <c r="H1329" s="2">
        <v>0.83</v>
      </c>
      <c r="I1329" s="1">
        <v>3.2</v>
      </c>
      <c r="J1329" s="26">
        <v>45646</v>
      </c>
      <c r="K1329" s="22">
        <v>62925</v>
      </c>
      <c r="L1329" s="18">
        <v>67.3</v>
      </c>
      <c r="M1329" s="22">
        <v>46800</v>
      </c>
      <c r="N1329" s="22">
        <v>16125</v>
      </c>
      <c r="O1329" s="18">
        <v>17.25</v>
      </c>
      <c r="P1329" s="52">
        <f>IF(COUNTIF(TblPurchases[BatchID],TblOutcomes[[#This Row],[BatchID]])&lt;&gt;1,"n.a.",TblOutcomes[[#This Row],[Qty Wasted]]*SUMIFS(TblPurchases[Unit Cost (CLP)],TblPurchases[BatchID],TblOutcomes[[#This Row],[BatchID]]))</f>
        <v>1494</v>
      </c>
      <c r="Q1329" s="51">
        <f>IF(COUNTIF(TblPurchases[BatchID],TblOutcomes[[#This Row],[BatchID]])&lt;&gt;1,"n.a.",SUMIFS(TblPurchases[Purchase Date],TblPurchases[BatchID],TblOutcomes[[#This Row],[BatchID]]))</f>
        <v>45406</v>
      </c>
    </row>
    <row r="1330" spans="2:17" x14ac:dyDescent="0.25">
      <c r="B1330" s="2" t="s">
        <v>2135</v>
      </c>
      <c r="C1330" s="2" t="s">
        <v>166</v>
      </c>
      <c r="D1330" s="2" t="s">
        <v>164</v>
      </c>
      <c r="E1330" s="2" t="s">
        <v>4647</v>
      </c>
      <c r="F1330" s="2">
        <v>26</v>
      </c>
      <c r="G1330" s="2">
        <v>26</v>
      </c>
      <c r="H1330" s="2">
        <v>0</v>
      </c>
      <c r="I1330" s="1">
        <v>0</v>
      </c>
      <c r="J1330" s="26">
        <v>45463</v>
      </c>
      <c r="K1330" s="22">
        <v>65000</v>
      </c>
      <c r="L1330" s="18">
        <v>69.52</v>
      </c>
      <c r="M1330" s="22">
        <v>46800</v>
      </c>
      <c r="N1330" s="22">
        <v>18200</v>
      </c>
      <c r="O1330" s="18">
        <v>19.47</v>
      </c>
      <c r="P1330" s="52">
        <f>IF(COUNTIF(TblPurchases[BatchID],TblOutcomes[[#This Row],[BatchID]])&lt;&gt;1,"n.a.",TblOutcomes[[#This Row],[Qty Wasted]]*SUMIFS(TblPurchases[Unit Cost (CLP)],TblPurchases[BatchID],TblOutcomes[[#This Row],[BatchID]]))</f>
        <v>0</v>
      </c>
      <c r="Q1330" s="51">
        <f>IF(COUNTIF(TblPurchases[BatchID],TblOutcomes[[#This Row],[BatchID]])&lt;&gt;1,"n.a.",SUMIFS(TblPurchases[Purchase Date],TblPurchases[BatchID],TblOutcomes[[#This Row],[BatchID]]))</f>
        <v>45445</v>
      </c>
    </row>
    <row r="1331" spans="2:17" x14ac:dyDescent="0.25">
      <c r="B1331" s="2" t="s">
        <v>2136</v>
      </c>
      <c r="C1331" s="2" t="s">
        <v>166</v>
      </c>
      <c r="D1331" s="2" t="s">
        <v>164</v>
      </c>
      <c r="E1331" s="2" t="s">
        <v>4646</v>
      </c>
      <c r="F1331" s="2">
        <v>28</v>
      </c>
      <c r="G1331" s="2">
        <v>27.13</v>
      </c>
      <c r="H1331" s="2">
        <v>0.87</v>
      </c>
      <c r="I1331" s="1">
        <v>3.1</v>
      </c>
      <c r="J1331" s="26">
        <v>45724</v>
      </c>
      <c r="K1331" s="22">
        <v>67825</v>
      </c>
      <c r="L1331" s="18">
        <v>72.540000000000006</v>
      </c>
      <c r="M1331" s="22">
        <v>50400</v>
      </c>
      <c r="N1331" s="22">
        <v>17425</v>
      </c>
      <c r="O1331" s="18">
        <v>18.64</v>
      </c>
      <c r="P1331" s="52">
        <f>IF(COUNTIF(TblPurchases[BatchID],TblOutcomes[[#This Row],[BatchID]])&lt;&gt;1,"n.a.",TblOutcomes[[#This Row],[Qty Wasted]]*SUMIFS(TblPurchases[Unit Cost (CLP)],TblPurchases[BatchID],TblOutcomes[[#This Row],[BatchID]]))</f>
        <v>1566</v>
      </c>
      <c r="Q1331" s="51">
        <f>IF(COUNTIF(TblPurchases[BatchID],TblOutcomes[[#This Row],[BatchID]])&lt;&gt;1,"n.a.",SUMIFS(TblPurchases[Purchase Date],TblPurchases[BatchID],TblOutcomes[[#This Row],[BatchID]]))</f>
        <v>45484</v>
      </c>
    </row>
    <row r="1332" spans="2:17" x14ac:dyDescent="0.25">
      <c r="B1332" s="2" t="s">
        <v>2137</v>
      </c>
      <c r="C1332" s="2" t="s">
        <v>166</v>
      </c>
      <c r="D1332" s="2" t="s">
        <v>164</v>
      </c>
      <c r="E1332" s="2" t="s">
        <v>4647</v>
      </c>
      <c r="F1332" s="2">
        <v>26</v>
      </c>
      <c r="G1332" s="2">
        <v>26</v>
      </c>
      <c r="H1332" s="2">
        <v>0</v>
      </c>
      <c r="I1332" s="1">
        <v>0</v>
      </c>
      <c r="J1332" s="26">
        <v>45556</v>
      </c>
      <c r="K1332" s="22">
        <v>65000</v>
      </c>
      <c r="L1332" s="18">
        <v>69.52</v>
      </c>
      <c r="M1332" s="22">
        <v>46800</v>
      </c>
      <c r="N1332" s="22">
        <v>18200</v>
      </c>
      <c r="O1332" s="18">
        <v>19.47</v>
      </c>
      <c r="P1332" s="52">
        <f>IF(COUNTIF(TblPurchases[BatchID],TblOutcomes[[#This Row],[BatchID]])&lt;&gt;1,"n.a.",TblOutcomes[[#This Row],[Qty Wasted]]*SUMIFS(TblPurchases[Unit Cost (CLP)],TblPurchases[BatchID],TblOutcomes[[#This Row],[BatchID]]))</f>
        <v>0</v>
      </c>
      <c r="Q1332" s="51">
        <f>IF(COUNTIF(TblPurchases[BatchID],TblOutcomes[[#This Row],[BatchID]])&lt;&gt;1,"n.a.",SUMIFS(TblPurchases[Purchase Date],TblPurchases[BatchID],TblOutcomes[[#This Row],[BatchID]]))</f>
        <v>45519</v>
      </c>
    </row>
    <row r="1333" spans="2:17" x14ac:dyDescent="0.25">
      <c r="B1333" s="2" t="s">
        <v>2138</v>
      </c>
      <c r="C1333" s="2" t="s">
        <v>166</v>
      </c>
      <c r="D1333" s="2" t="s">
        <v>164</v>
      </c>
      <c r="E1333" s="2" t="s">
        <v>4646</v>
      </c>
      <c r="F1333" s="2">
        <v>27</v>
      </c>
      <c r="G1333" s="2">
        <v>26.49</v>
      </c>
      <c r="H1333" s="2">
        <v>0.51</v>
      </c>
      <c r="I1333" s="1">
        <v>1.9</v>
      </c>
      <c r="J1333" s="26">
        <v>45788</v>
      </c>
      <c r="K1333" s="22">
        <v>66225</v>
      </c>
      <c r="L1333" s="18">
        <v>70.83</v>
      </c>
      <c r="M1333" s="22">
        <v>48600</v>
      </c>
      <c r="N1333" s="22">
        <v>17625</v>
      </c>
      <c r="O1333" s="18">
        <v>18.850000000000001</v>
      </c>
      <c r="P1333" s="52">
        <f>IF(COUNTIF(TblPurchases[BatchID],TblOutcomes[[#This Row],[BatchID]])&lt;&gt;1,"n.a.",TblOutcomes[[#This Row],[Qty Wasted]]*SUMIFS(TblPurchases[Unit Cost (CLP)],TblPurchases[BatchID],TblOutcomes[[#This Row],[BatchID]]))</f>
        <v>918</v>
      </c>
      <c r="Q1333" s="51">
        <f>IF(COUNTIF(TblPurchases[BatchID],TblOutcomes[[#This Row],[BatchID]])&lt;&gt;1,"n.a.",SUMIFS(TblPurchases[Purchase Date],TblPurchases[BatchID],TblOutcomes[[#This Row],[BatchID]]))</f>
        <v>45548</v>
      </c>
    </row>
    <row r="1334" spans="2:17" x14ac:dyDescent="0.25">
      <c r="B1334" s="2" t="s">
        <v>2139</v>
      </c>
      <c r="C1334" s="2" t="s">
        <v>166</v>
      </c>
      <c r="D1334" s="2" t="s">
        <v>164</v>
      </c>
      <c r="E1334" s="2" t="s">
        <v>4647</v>
      </c>
      <c r="F1334" s="2">
        <v>22</v>
      </c>
      <c r="G1334" s="2">
        <v>22</v>
      </c>
      <c r="H1334" s="2">
        <v>0</v>
      </c>
      <c r="I1334" s="1">
        <v>0</v>
      </c>
      <c r="J1334" s="26">
        <v>45600</v>
      </c>
      <c r="K1334" s="22">
        <v>55000</v>
      </c>
      <c r="L1334" s="18">
        <v>58.82</v>
      </c>
      <c r="M1334" s="22">
        <v>39600</v>
      </c>
      <c r="N1334" s="22">
        <v>15400</v>
      </c>
      <c r="O1334" s="18">
        <v>16.47</v>
      </c>
      <c r="P1334" s="52">
        <f>IF(COUNTIF(TblPurchases[BatchID],TblOutcomes[[#This Row],[BatchID]])&lt;&gt;1,"n.a.",TblOutcomes[[#This Row],[Qty Wasted]]*SUMIFS(TblPurchases[Unit Cost (CLP)],TblPurchases[BatchID],TblOutcomes[[#This Row],[BatchID]]))</f>
        <v>0</v>
      </c>
      <c r="Q1334" s="51">
        <f>IF(COUNTIF(TblPurchases[BatchID],TblOutcomes[[#This Row],[BatchID]])&lt;&gt;1,"n.a.",SUMIFS(TblPurchases[Purchase Date],TblPurchases[BatchID],TblOutcomes[[#This Row],[BatchID]]))</f>
        <v>45575</v>
      </c>
    </row>
    <row r="1335" spans="2:17" x14ac:dyDescent="0.25">
      <c r="B1335" s="2" t="s">
        <v>2140</v>
      </c>
      <c r="C1335" s="2" t="s">
        <v>166</v>
      </c>
      <c r="D1335" s="2" t="s">
        <v>164</v>
      </c>
      <c r="E1335" s="2" t="s">
        <v>4647</v>
      </c>
      <c r="F1335" s="2">
        <v>25</v>
      </c>
      <c r="G1335" s="2">
        <v>25</v>
      </c>
      <c r="H1335" s="2">
        <v>0</v>
      </c>
      <c r="I1335" s="1">
        <v>0</v>
      </c>
      <c r="J1335" s="26">
        <v>45636</v>
      </c>
      <c r="K1335" s="22">
        <v>62500</v>
      </c>
      <c r="L1335" s="18">
        <v>66.84</v>
      </c>
      <c r="M1335" s="22">
        <v>45000</v>
      </c>
      <c r="N1335" s="22">
        <v>17500</v>
      </c>
      <c r="O1335" s="18">
        <v>18.72</v>
      </c>
      <c r="P1335" s="52">
        <f>IF(COUNTIF(TblPurchases[BatchID],TblOutcomes[[#This Row],[BatchID]])&lt;&gt;1,"n.a.",TblOutcomes[[#This Row],[Qty Wasted]]*SUMIFS(TblPurchases[Unit Cost (CLP)],TblPurchases[BatchID],TblOutcomes[[#This Row],[BatchID]]))</f>
        <v>0</v>
      </c>
      <c r="Q1335" s="51">
        <f>IF(COUNTIF(TblPurchases[BatchID],TblOutcomes[[#This Row],[BatchID]])&lt;&gt;1,"n.a.",SUMIFS(TblPurchases[Purchase Date],TblPurchases[BatchID],TblOutcomes[[#This Row],[BatchID]]))</f>
        <v>45599</v>
      </c>
    </row>
    <row r="1336" spans="2:17" x14ac:dyDescent="0.25">
      <c r="B1336" s="2" t="s">
        <v>2141</v>
      </c>
      <c r="C1336" s="2" t="s">
        <v>166</v>
      </c>
      <c r="D1336" s="2" t="s">
        <v>164</v>
      </c>
      <c r="E1336" s="2" t="s">
        <v>4647</v>
      </c>
      <c r="F1336" s="2">
        <v>30</v>
      </c>
      <c r="G1336" s="2">
        <v>30</v>
      </c>
      <c r="H1336" s="2">
        <v>0</v>
      </c>
      <c r="I1336" s="1">
        <v>0</v>
      </c>
      <c r="J1336" s="26">
        <v>45659</v>
      </c>
      <c r="K1336" s="22">
        <v>75000</v>
      </c>
      <c r="L1336" s="18">
        <v>80.209999999999994</v>
      </c>
      <c r="M1336" s="22">
        <v>54000</v>
      </c>
      <c r="N1336" s="22">
        <v>21000</v>
      </c>
      <c r="O1336" s="18">
        <v>22.46</v>
      </c>
      <c r="P1336" s="52">
        <f>IF(COUNTIF(TblPurchases[BatchID],TblOutcomes[[#This Row],[BatchID]])&lt;&gt;1,"n.a.",TblOutcomes[[#This Row],[Qty Wasted]]*SUMIFS(TblPurchases[Unit Cost (CLP)],TblPurchases[BatchID],TblOutcomes[[#This Row],[BatchID]]))</f>
        <v>0</v>
      </c>
      <c r="Q1336" s="51">
        <f>IF(COUNTIF(TblPurchases[BatchID],TblOutcomes[[#This Row],[BatchID]])&lt;&gt;1,"n.a.",SUMIFS(TblPurchases[Purchase Date],TblPurchases[BatchID],TblOutcomes[[#This Row],[BatchID]]))</f>
        <v>45637</v>
      </c>
    </row>
    <row r="1337" spans="2:17" x14ac:dyDescent="0.25">
      <c r="B1337" s="2" t="s">
        <v>2142</v>
      </c>
      <c r="C1337" s="2" t="s">
        <v>166</v>
      </c>
      <c r="D1337" s="2" t="s">
        <v>164</v>
      </c>
      <c r="E1337" s="2" t="s">
        <v>4647</v>
      </c>
      <c r="F1337" s="2">
        <v>26</v>
      </c>
      <c r="G1337" s="2">
        <v>26</v>
      </c>
      <c r="H1337" s="2">
        <v>0</v>
      </c>
      <c r="I1337" s="1">
        <v>0</v>
      </c>
      <c r="J1337" s="26">
        <v>45691</v>
      </c>
      <c r="K1337" s="22">
        <v>65000</v>
      </c>
      <c r="L1337" s="18">
        <v>69.52</v>
      </c>
      <c r="M1337" s="22">
        <v>46800</v>
      </c>
      <c r="N1337" s="22">
        <v>18200</v>
      </c>
      <c r="O1337" s="18">
        <v>19.47</v>
      </c>
      <c r="P1337" s="52">
        <f>IF(COUNTIF(TblPurchases[BatchID],TblOutcomes[[#This Row],[BatchID]])&lt;&gt;1,"n.a.",TblOutcomes[[#This Row],[Qty Wasted]]*SUMIFS(TblPurchases[Unit Cost (CLP)],TblPurchases[BatchID],TblOutcomes[[#This Row],[BatchID]]))</f>
        <v>0</v>
      </c>
      <c r="Q1337" s="51">
        <f>IF(COUNTIF(TblPurchases[BatchID],TblOutcomes[[#This Row],[BatchID]])&lt;&gt;1,"n.a.",SUMIFS(TblPurchases[Purchase Date],TblPurchases[BatchID],TblOutcomes[[#This Row],[BatchID]]))</f>
        <v>45669</v>
      </c>
    </row>
    <row r="1338" spans="2:17" x14ac:dyDescent="0.25">
      <c r="B1338" s="2" t="s">
        <v>2143</v>
      </c>
      <c r="C1338" s="2" t="s">
        <v>166</v>
      </c>
      <c r="D1338" s="2" t="s">
        <v>164</v>
      </c>
      <c r="E1338" s="2" t="s">
        <v>4647</v>
      </c>
      <c r="F1338" s="2">
        <v>23</v>
      </c>
      <c r="G1338" s="2">
        <v>23</v>
      </c>
      <c r="H1338" s="2">
        <v>0</v>
      </c>
      <c r="I1338" s="1">
        <v>0</v>
      </c>
      <c r="J1338" s="26">
        <v>45718</v>
      </c>
      <c r="K1338" s="22">
        <v>57500</v>
      </c>
      <c r="L1338" s="18">
        <v>61.5</v>
      </c>
      <c r="M1338" s="22">
        <v>41400</v>
      </c>
      <c r="N1338" s="22">
        <v>16100</v>
      </c>
      <c r="O1338" s="18">
        <v>17.22</v>
      </c>
      <c r="P1338" s="52">
        <f>IF(COUNTIF(TblPurchases[BatchID],TblOutcomes[[#This Row],[BatchID]])&lt;&gt;1,"n.a.",TblOutcomes[[#This Row],[Qty Wasted]]*SUMIFS(TblPurchases[Unit Cost (CLP)],TblPurchases[BatchID],TblOutcomes[[#This Row],[BatchID]]))</f>
        <v>0</v>
      </c>
      <c r="Q1338" s="51">
        <f>IF(COUNTIF(TblPurchases[BatchID],TblOutcomes[[#This Row],[BatchID]])&lt;&gt;1,"n.a.",SUMIFS(TblPurchases[Purchase Date],TblPurchases[BatchID],TblOutcomes[[#This Row],[BatchID]]))</f>
        <v>45704</v>
      </c>
    </row>
    <row r="1339" spans="2:17" x14ac:dyDescent="0.25">
      <c r="B1339" s="2" t="s">
        <v>2144</v>
      </c>
      <c r="C1339" s="2" t="s">
        <v>166</v>
      </c>
      <c r="D1339" s="2" t="s">
        <v>164</v>
      </c>
      <c r="E1339" s="2" t="s">
        <v>4647</v>
      </c>
      <c r="F1339" s="2">
        <v>27</v>
      </c>
      <c r="G1339" s="2">
        <v>27</v>
      </c>
      <c r="H1339" s="2">
        <v>0</v>
      </c>
      <c r="I1339" s="1">
        <v>0</v>
      </c>
      <c r="J1339" s="26">
        <v>45760</v>
      </c>
      <c r="K1339" s="22">
        <v>67500</v>
      </c>
      <c r="L1339" s="18">
        <v>72.19</v>
      </c>
      <c r="M1339" s="22">
        <v>48600</v>
      </c>
      <c r="N1339" s="22">
        <v>18900</v>
      </c>
      <c r="O1339" s="18">
        <v>20.21</v>
      </c>
      <c r="P1339" s="52">
        <f>IF(COUNTIF(TblPurchases[BatchID],TblOutcomes[[#This Row],[BatchID]])&lt;&gt;1,"n.a.",TblOutcomes[[#This Row],[Qty Wasted]]*SUMIFS(TblPurchases[Unit Cost (CLP)],TblPurchases[BatchID],TblOutcomes[[#This Row],[BatchID]]))</f>
        <v>0</v>
      </c>
      <c r="Q1339" s="51">
        <f>IF(COUNTIF(TblPurchases[BatchID],TblOutcomes[[#This Row],[BatchID]])&lt;&gt;1,"n.a.",SUMIFS(TblPurchases[Purchase Date],TblPurchases[BatchID],TblOutcomes[[#This Row],[BatchID]]))</f>
        <v>45745</v>
      </c>
    </row>
    <row r="1340" spans="2:17" x14ac:dyDescent="0.25">
      <c r="B1340" s="2" t="s">
        <v>2145</v>
      </c>
      <c r="C1340" s="2" t="s">
        <v>166</v>
      </c>
      <c r="D1340" s="2" t="s">
        <v>164</v>
      </c>
      <c r="E1340" s="2" t="s">
        <v>4646</v>
      </c>
      <c r="F1340" s="2">
        <v>30</v>
      </c>
      <c r="G1340" s="2">
        <v>29.52</v>
      </c>
      <c r="H1340" s="2">
        <v>0.48</v>
      </c>
      <c r="I1340" s="1">
        <v>1.6</v>
      </c>
      <c r="J1340" s="26">
        <v>46022</v>
      </c>
      <c r="K1340" s="22">
        <v>73800</v>
      </c>
      <c r="L1340" s="18">
        <v>78.930000000000007</v>
      </c>
      <c r="M1340" s="22">
        <v>54000</v>
      </c>
      <c r="N1340" s="22">
        <v>19800</v>
      </c>
      <c r="O1340" s="18">
        <v>21.18</v>
      </c>
      <c r="P1340" s="52">
        <f>IF(COUNTIF(TblPurchases[BatchID],TblOutcomes[[#This Row],[BatchID]])&lt;&gt;1,"n.a.",TblOutcomes[[#This Row],[Qty Wasted]]*SUMIFS(TblPurchases[Unit Cost (CLP)],TblPurchases[BatchID],TblOutcomes[[#This Row],[BatchID]]))</f>
        <v>864</v>
      </c>
      <c r="Q1340" s="51">
        <f>IF(COUNTIF(TblPurchases[BatchID],TblOutcomes[[#This Row],[BatchID]])&lt;&gt;1,"n.a.",SUMIFS(TblPurchases[Purchase Date],TblPurchases[BatchID],TblOutcomes[[#This Row],[BatchID]]))</f>
        <v>45782</v>
      </c>
    </row>
    <row r="1341" spans="2:17" x14ac:dyDescent="0.25">
      <c r="B1341" s="2" t="s">
        <v>2146</v>
      </c>
      <c r="C1341" s="2" t="s">
        <v>166</v>
      </c>
      <c r="D1341" s="2" t="s">
        <v>164</v>
      </c>
      <c r="E1341" s="2" t="s">
        <v>4647</v>
      </c>
      <c r="F1341" s="2">
        <v>23</v>
      </c>
      <c r="G1341" s="2">
        <v>23</v>
      </c>
      <c r="H1341" s="2">
        <v>0</v>
      </c>
      <c r="I1341" s="1">
        <v>0</v>
      </c>
      <c r="J1341" s="26">
        <v>45845</v>
      </c>
      <c r="K1341" s="22">
        <v>57500</v>
      </c>
      <c r="L1341" s="18">
        <v>61.5</v>
      </c>
      <c r="M1341" s="22">
        <v>41400</v>
      </c>
      <c r="N1341" s="22">
        <v>16100</v>
      </c>
      <c r="O1341" s="18">
        <v>17.22</v>
      </c>
      <c r="P1341" s="52">
        <f>IF(COUNTIF(TblPurchases[BatchID],TblOutcomes[[#This Row],[BatchID]])&lt;&gt;1,"n.a.",TblOutcomes[[#This Row],[Qty Wasted]]*SUMIFS(TblPurchases[Unit Cost (CLP)],TblPurchases[BatchID],TblOutcomes[[#This Row],[BatchID]]))</f>
        <v>0</v>
      </c>
      <c r="Q1341" s="51">
        <f>IF(COUNTIF(TblPurchases[BatchID],TblOutcomes[[#This Row],[BatchID]])&lt;&gt;1,"n.a.",SUMIFS(TblPurchases[Purchase Date],TblPurchases[BatchID],TblOutcomes[[#This Row],[BatchID]]))</f>
        <v>45821</v>
      </c>
    </row>
    <row r="1342" spans="2:17" x14ac:dyDescent="0.25">
      <c r="B1342" s="2" t="s">
        <v>2147</v>
      </c>
      <c r="C1342" s="2" t="s">
        <v>168</v>
      </c>
      <c r="D1342" s="2" t="s">
        <v>164</v>
      </c>
      <c r="E1342" s="2" t="s">
        <v>4646</v>
      </c>
      <c r="F1342" s="2">
        <v>27</v>
      </c>
      <c r="G1342" s="2">
        <v>25.95</v>
      </c>
      <c r="H1342" s="2">
        <v>1.05</v>
      </c>
      <c r="I1342" s="1">
        <v>3.9</v>
      </c>
      <c r="J1342" s="26">
        <v>45350</v>
      </c>
      <c r="K1342" s="22">
        <v>64875</v>
      </c>
      <c r="L1342" s="18">
        <v>69.39</v>
      </c>
      <c r="M1342" s="22">
        <v>47250</v>
      </c>
      <c r="N1342" s="22">
        <v>17625</v>
      </c>
      <c r="O1342" s="18">
        <v>18.850000000000001</v>
      </c>
      <c r="P1342" s="52">
        <f>IF(COUNTIF(TblPurchases[BatchID],TblOutcomes[[#This Row],[BatchID]])&lt;&gt;1,"n.a.",TblOutcomes[[#This Row],[Qty Wasted]]*SUMIFS(TblPurchases[Unit Cost (CLP)],TblPurchases[BatchID],TblOutcomes[[#This Row],[BatchID]]))</f>
        <v>1837.5</v>
      </c>
      <c r="Q1342" s="51">
        <f>IF(COUNTIF(TblPurchases[BatchID],TblOutcomes[[#This Row],[BatchID]])&lt;&gt;1,"n.a.",SUMIFS(TblPurchases[Purchase Date],TblPurchases[BatchID],TblOutcomes[[#This Row],[BatchID]]))</f>
        <v>45110</v>
      </c>
    </row>
    <row r="1343" spans="2:17" x14ac:dyDescent="0.25">
      <c r="B1343" s="2" t="s">
        <v>2148</v>
      </c>
      <c r="C1343" s="2" t="s">
        <v>168</v>
      </c>
      <c r="D1343" s="2" t="s">
        <v>164</v>
      </c>
      <c r="E1343" s="2" t="s">
        <v>4646</v>
      </c>
      <c r="F1343" s="2">
        <v>23</v>
      </c>
      <c r="G1343" s="2">
        <v>22.75</v>
      </c>
      <c r="H1343" s="2">
        <v>0.25</v>
      </c>
      <c r="I1343" s="1">
        <v>1.1000000000000001</v>
      </c>
      <c r="J1343" s="26">
        <v>45382</v>
      </c>
      <c r="K1343" s="22">
        <v>56875</v>
      </c>
      <c r="L1343" s="18">
        <v>60.83</v>
      </c>
      <c r="M1343" s="22">
        <v>40250</v>
      </c>
      <c r="N1343" s="22">
        <v>16625</v>
      </c>
      <c r="O1343" s="18">
        <v>17.78</v>
      </c>
      <c r="P1343" s="52">
        <f>IF(COUNTIF(TblPurchases[BatchID],TblOutcomes[[#This Row],[BatchID]])&lt;&gt;1,"n.a.",TblOutcomes[[#This Row],[Qty Wasted]]*SUMIFS(TblPurchases[Unit Cost (CLP)],TblPurchases[BatchID],TblOutcomes[[#This Row],[BatchID]]))</f>
        <v>437.5</v>
      </c>
      <c r="Q1343" s="51">
        <f>IF(COUNTIF(TblPurchases[BatchID],TblOutcomes[[#This Row],[BatchID]])&lt;&gt;1,"n.a.",SUMIFS(TblPurchases[Purchase Date],TblPurchases[BatchID],TblOutcomes[[#This Row],[BatchID]]))</f>
        <v>45142</v>
      </c>
    </row>
    <row r="1344" spans="2:17" x14ac:dyDescent="0.25">
      <c r="B1344" s="2" t="s">
        <v>2149</v>
      </c>
      <c r="C1344" s="2" t="s">
        <v>168</v>
      </c>
      <c r="D1344" s="2" t="s">
        <v>164</v>
      </c>
      <c r="E1344" s="2" t="s">
        <v>4647</v>
      </c>
      <c r="F1344" s="2">
        <v>32</v>
      </c>
      <c r="G1344" s="2">
        <v>32</v>
      </c>
      <c r="H1344" s="2">
        <v>0</v>
      </c>
      <c r="I1344" s="1">
        <v>0</v>
      </c>
      <c r="J1344" s="26">
        <v>45218</v>
      </c>
      <c r="K1344" s="22">
        <v>80000</v>
      </c>
      <c r="L1344" s="18">
        <v>85.56</v>
      </c>
      <c r="M1344" s="22">
        <v>56000</v>
      </c>
      <c r="N1344" s="22">
        <v>24000</v>
      </c>
      <c r="O1344" s="18">
        <v>25.67</v>
      </c>
      <c r="P1344" s="52">
        <f>IF(COUNTIF(TblPurchases[BatchID],TblOutcomes[[#This Row],[BatchID]])&lt;&gt;1,"n.a.",TblOutcomes[[#This Row],[Qty Wasted]]*SUMIFS(TblPurchases[Unit Cost (CLP)],TblPurchases[BatchID],TblOutcomes[[#This Row],[BatchID]]))</f>
        <v>0</v>
      </c>
      <c r="Q1344" s="51">
        <f>IF(COUNTIF(TblPurchases[BatchID],TblOutcomes[[#This Row],[BatchID]])&lt;&gt;1,"n.a.",SUMIFS(TblPurchases[Purchase Date],TblPurchases[BatchID],TblOutcomes[[#This Row],[BatchID]]))</f>
        <v>45177</v>
      </c>
    </row>
    <row r="1345" spans="2:17" x14ac:dyDescent="0.25">
      <c r="B1345" s="2" t="s">
        <v>2150</v>
      </c>
      <c r="C1345" s="2" t="s">
        <v>168</v>
      </c>
      <c r="D1345" s="2" t="s">
        <v>164</v>
      </c>
      <c r="E1345" s="2" t="s">
        <v>4647</v>
      </c>
      <c r="F1345" s="2">
        <v>24</v>
      </c>
      <c r="G1345" s="2">
        <v>24</v>
      </c>
      <c r="H1345" s="2">
        <v>0</v>
      </c>
      <c r="I1345" s="1">
        <v>0</v>
      </c>
      <c r="J1345" s="26">
        <v>45248</v>
      </c>
      <c r="K1345" s="22">
        <v>60000</v>
      </c>
      <c r="L1345" s="18">
        <v>64.17</v>
      </c>
      <c r="M1345" s="22">
        <v>42000</v>
      </c>
      <c r="N1345" s="22">
        <v>18000</v>
      </c>
      <c r="O1345" s="18">
        <v>19.25</v>
      </c>
      <c r="P1345" s="52">
        <f>IF(COUNTIF(TblPurchases[BatchID],TblOutcomes[[#This Row],[BatchID]])&lt;&gt;1,"n.a.",TblOutcomes[[#This Row],[Qty Wasted]]*SUMIFS(TblPurchases[Unit Cost (CLP)],TblPurchases[BatchID],TblOutcomes[[#This Row],[BatchID]]))</f>
        <v>0</v>
      </c>
      <c r="Q1345" s="51">
        <f>IF(COUNTIF(TblPurchases[BatchID],TblOutcomes[[#This Row],[BatchID]])&lt;&gt;1,"n.a.",SUMIFS(TblPurchases[Purchase Date],TblPurchases[BatchID],TblOutcomes[[#This Row],[BatchID]]))</f>
        <v>45219</v>
      </c>
    </row>
    <row r="1346" spans="2:17" x14ac:dyDescent="0.25">
      <c r="B1346" s="2" t="s">
        <v>2151</v>
      </c>
      <c r="C1346" s="2" t="s">
        <v>168</v>
      </c>
      <c r="D1346" s="2" t="s">
        <v>164</v>
      </c>
      <c r="E1346" s="2" t="s">
        <v>4646</v>
      </c>
      <c r="F1346" s="2">
        <v>24</v>
      </c>
      <c r="G1346" s="2">
        <v>23.02</v>
      </c>
      <c r="H1346" s="2">
        <v>0.98</v>
      </c>
      <c r="I1346" s="1">
        <v>4.0999999999999996</v>
      </c>
      <c r="J1346" s="26">
        <v>45493</v>
      </c>
      <c r="K1346" s="22">
        <v>57550</v>
      </c>
      <c r="L1346" s="18">
        <v>61.55</v>
      </c>
      <c r="M1346" s="22">
        <v>42000</v>
      </c>
      <c r="N1346" s="22">
        <v>15550</v>
      </c>
      <c r="O1346" s="18">
        <v>16.63</v>
      </c>
      <c r="P1346" s="52">
        <f>IF(COUNTIF(TblPurchases[BatchID],TblOutcomes[[#This Row],[BatchID]])&lt;&gt;1,"n.a.",TblOutcomes[[#This Row],[Qty Wasted]]*SUMIFS(TblPurchases[Unit Cost (CLP)],TblPurchases[BatchID],TblOutcomes[[#This Row],[BatchID]]))</f>
        <v>1715</v>
      </c>
      <c r="Q1346" s="51">
        <f>IF(COUNTIF(TblPurchases[BatchID],TblOutcomes[[#This Row],[BatchID]])&lt;&gt;1,"n.a.",SUMIFS(TblPurchases[Purchase Date],TblPurchases[BatchID],TblOutcomes[[#This Row],[BatchID]]))</f>
        <v>45253</v>
      </c>
    </row>
    <row r="1347" spans="2:17" x14ac:dyDescent="0.25">
      <c r="B1347" s="2" t="s">
        <v>2152</v>
      </c>
      <c r="C1347" s="2" t="s">
        <v>168</v>
      </c>
      <c r="D1347" s="2" t="s">
        <v>164</v>
      </c>
      <c r="E1347" s="2" t="s">
        <v>4647</v>
      </c>
      <c r="F1347" s="2">
        <v>27</v>
      </c>
      <c r="G1347" s="2">
        <v>27</v>
      </c>
      <c r="H1347" s="2">
        <v>0</v>
      </c>
      <c r="I1347" s="1">
        <v>0</v>
      </c>
      <c r="J1347" s="26">
        <v>45321</v>
      </c>
      <c r="K1347" s="22">
        <v>67500</v>
      </c>
      <c r="L1347" s="18">
        <v>72.19</v>
      </c>
      <c r="M1347" s="22">
        <v>47250</v>
      </c>
      <c r="N1347" s="22">
        <v>20250</v>
      </c>
      <c r="O1347" s="18">
        <v>21.66</v>
      </c>
      <c r="P1347" s="52">
        <f>IF(COUNTIF(TblPurchases[BatchID],TblOutcomes[[#This Row],[BatchID]])&lt;&gt;1,"n.a.",TblOutcomes[[#This Row],[Qty Wasted]]*SUMIFS(TblPurchases[Unit Cost (CLP)],TblPurchases[BatchID],TblOutcomes[[#This Row],[BatchID]]))</f>
        <v>0</v>
      </c>
      <c r="Q1347" s="51">
        <f>IF(COUNTIF(TblPurchases[BatchID],TblOutcomes[[#This Row],[BatchID]])&lt;&gt;1,"n.a.",SUMIFS(TblPurchases[Purchase Date],TblPurchases[BatchID],TblOutcomes[[#This Row],[BatchID]]))</f>
        <v>45290</v>
      </c>
    </row>
    <row r="1348" spans="2:17" x14ac:dyDescent="0.25">
      <c r="B1348" s="2" t="s">
        <v>2153</v>
      </c>
      <c r="C1348" s="2" t="s">
        <v>168</v>
      </c>
      <c r="D1348" s="2" t="s">
        <v>164</v>
      </c>
      <c r="E1348" s="2" t="s">
        <v>4647</v>
      </c>
      <c r="F1348" s="2">
        <v>24</v>
      </c>
      <c r="G1348" s="2">
        <v>24</v>
      </c>
      <c r="H1348" s="2">
        <v>0</v>
      </c>
      <c r="I1348" s="1">
        <v>0</v>
      </c>
      <c r="J1348" s="26">
        <v>45347</v>
      </c>
      <c r="K1348" s="22">
        <v>60000</v>
      </c>
      <c r="L1348" s="18">
        <v>64.17</v>
      </c>
      <c r="M1348" s="22">
        <v>42000</v>
      </c>
      <c r="N1348" s="22">
        <v>18000</v>
      </c>
      <c r="O1348" s="18">
        <v>19.25</v>
      </c>
      <c r="P1348" s="52">
        <f>IF(COUNTIF(TblPurchases[BatchID],TblOutcomes[[#This Row],[BatchID]])&lt;&gt;1,"n.a.",TblOutcomes[[#This Row],[Qty Wasted]]*SUMIFS(TblPurchases[Unit Cost (CLP)],TblPurchases[BatchID],TblOutcomes[[#This Row],[BatchID]]))</f>
        <v>0</v>
      </c>
      <c r="Q1348" s="51">
        <f>IF(COUNTIF(TblPurchases[BatchID],TblOutcomes[[#This Row],[BatchID]])&lt;&gt;1,"n.a.",SUMIFS(TblPurchases[Purchase Date],TblPurchases[BatchID],TblOutcomes[[#This Row],[BatchID]]))</f>
        <v>45317</v>
      </c>
    </row>
    <row r="1349" spans="2:17" x14ac:dyDescent="0.25">
      <c r="B1349" s="2" t="s">
        <v>2154</v>
      </c>
      <c r="C1349" s="2" t="s">
        <v>168</v>
      </c>
      <c r="D1349" s="2" t="s">
        <v>164</v>
      </c>
      <c r="E1349" s="2" t="s">
        <v>4646</v>
      </c>
      <c r="F1349" s="2">
        <v>22</v>
      </c>
      <c r="G1349" s="2">
        <v>21.14</v>
      </c>
      <c r="H1349" s="2">
        <v>0.86</v>
      </c>
      <c r="I1349" s="1">
        <v>3.9</v>
      </c>
      <c r="J1349" s="26">
        <v>45591</v>
      </c>
      <c r="K1349" s="22">
        <v>52850</v>
      </c>
      <c r="L1349" s="18">
        <v>56.52</v>
      </c>
      <c r="M1349" s="22">
        <v>38500</v>
      </c>
      <c r="N1349" s="22">
        <v>14350</v>
      </c>
      <c r="O1349" s="18">
        <v>15.35</v>
      </c>
      <c r="P1349" s="52">
        <f>IF(COUNTIF(TblPurchases[BatchID],TblOutcomes[[#This Row],[BatchID]])&lt;&gt;1,"n.a.",TblOutcomes[[#This Row],[Qty Wasted]]*SUMIFS(TblPurchases[Unit Cost (CLP)],TblPurchases[BatchID],TblOutcomes[[#This Row],[BatchID]]))</f>
        <v>1505</v>
      </c>
      <c r="Q1349" s="51">
        <f>IF(COUNTIF(TblPurchases[BatchID],TblOutcomes[[#This Row],[BatchID]])&lt;&gt;1,"n.a.",SUMIFS(TblPurchases[Purchase Date],TblPurchases[BatchID],TblOutcomes[[#This Row],[BatchID]]))</f>
        <v>45351</v>
      </c>
    </row>
    <row r="1350" spans="2:17" x14ac:dyDescent="0.25">
      <c r="B1350" s="2" t="s">
        <v>2155</v>
      </c>
      <c r="C1350" s="2" t="s">
        <v>168</v>
      </c>
      <c r="D1350" s="2" t="s">
        <v>164</v>
      </c>
      <c r="E1350" s="2" t="s">
        <v>4647</v>
      </c>
      <c r="F1350" s="2">
        <v>21</v>
      </c>
      <c r="G1350" s="2">
        <v>21</v>
      </c>
      <c r="H1350" s="2">
        <v>0</v>
      </c>
      <c r="I1350" s="1">
        <v>0</v>
      </c>
      <c r="J1350" s="26">
        <v>45403</v>
      </c>
      <c r="K1350" s="22">
        <v>52500</v>
      </c>
      <c r="L1350" s="18">
        <v>56.15</v>
      </c>
      <c r="M1350" s="22">
        <v>36750</v>
      </c>
      <c r="N1350" s="22">
        <v>15750</v>
      </c>
      <c r="O1350" s="18">
        <v>16.84</v>
      </c>
      <c r="P1350" s="52">
        <f>IF(COUNTIF(TblPurchases[BatchID],TblOutcomes[[#This Row],[BatchID]])&lt;&gt;1,"n.a.",TblOutcomes[[#This Row],[Qty Wasted]]*SUMIFS(TblPurchases[Unit Cost (CLP)],TblPurchases[BatchID],TblOutcomes[[#This Row],[BatchID]]))</f>
        <v>0</v>
      </c>
      <c r="Q1350" s="51">
        <f>IF(COUNTIF(TblPurchases[BatchID],TblOutcomes[[#This Row],[BatchID]])&lt;&gt;1,"n.a.",SUMIFS(TblPurchases[Purchase Date],TblPurchases[BatchID],TblOutcomes[[#This Row],[BatchID]]))</f>
        <v>45379</v>
      </c>
    </row>
    <row r="1351" spans="2:17" x14ac:dyDescent="0.25">
      <c r="B1351" s="2" t="s">
        <v>2156</v>
      </c>
      <c r="C1351" s="2" t="s">
        <v>168</v>
      </c>
      <c r="D1351" s="2" t="s">
        <v>164</v>
      </c>
      <c r="E1351" s="2" t="s">
        <v>4647</v>
      </c>
      <c r="F1351" s="2">
        <v>25</v>
      </c>
      <c r="G1351" s="2">
        <v>25</v>
      </c>
      <c r="H1351" s="2">
        <v>0</v>
      </c>
      <c r="I1351" s="1">
        <v>0</v>
      </c>
      <c r="J1351" s="26">
        <v>45443</v>
      </c>
      <c r="K1351" s="22">
        <v>62500</v>
      </c>
      <c r="L1351" s="18">
        <v>66.84</v>
      </c>
      <c r="M1351" s="22">
        <v>43750</v>
      </c>
      <c r="N1351" s="22">
        <v>18750</v>
      </c>
      <c r="O1351" s="18">
        <v>20.05</v>
      </c>
      <c r="P1351" s="52">
        <f>IF(COUNTIF(TblPurchases[BatchID],TblOutcomes[[#This Row],[BatchID]])&lt;&gt;1,"n.a.",TblOutcomes[[#This Row],[Qty Wasted]]*SUMIFS(TblPurchases[Unit Cost (CLP)],TblPurchases[BatchID],TblOutcomes[[#This Row],[BatchID]]))</f>
        <v>0</v>
      </c>
      <c r="Q1351" s="51">
        <f>IF(COUNTIF(TblPurchases[BatchID],TblOutcomes[[#This Row],[BatchID]])&lt;&gt;1,"n.a.",SUMIFS(TblPurchases[Purchase Date],TblPurchases[BatchID],TblOutcomes[[#This Row],[BatchID]]))</f>
        <v>45420</v>
      </c>
    </row>
    <row r="1352" spans="2:17" x14ac:dyDescent="0.25">
      <c r="B1352" s="2" t="s">
        <v>2157</v>
      </c>
      <c r="C1352" s="2" t="s">
        <v>168</v>
      </c>
      <c r="D1352" s="2" t="s">
        <v>164</v>
      </c>
      <c r="E1352" s="2" t="s">
        <v>4646</v>
      </c>
      <c r="F1352" s="2">
        <v>24</v>
      </c>
      <c r="G1352" s="2">
        <v>23.47</v>
      </c>
      <c r="H1352" s="2">
        <v>0.53</v>
      </c>
      <c r="I1352" s="1">
        <v>2.2000000000000002</v>
      </c>
      <c r="J1352" s="26">
        <v>45706</v>
      </c>
      <c r="K1352" s="22">
        <v>58675</v>
      </c>
      <c r="L1352" s="18">
        <v>62.75</v>
      </c>
      <c r="M1352" s="22">
        <v>42000</v>
      </c>
      <c r="N1352" s="22">
        <v>16675</v>
      </c>
      <c r="O1352" s="18">
        <v>17.829999999999998</v>
      </c>
      <c r="P1352" s="52">
        <f>IF(COUNTIF(TblPurchases[BatchID],TblOutcomes[[#This Row],[BatchID]])&lt;&gt;1,"n.a.",TblOutcomes[[#This Row],[Qty Wasted]]*SUMIFS(TblPurchases[Unit Cost (CLP)],TblPurchases[BatchID],TblOutcomes[[#This Row],[BatchID]]))</f>
        <v>927.5</v>
      </c>
      <c r="Q1352" s="51">
        <f>IF(COUNTIF(TblPurchases[BatchID],TblOutcomes[[#This Row],[BatchID]])&lt;&gt;1,"n.a.",SUMIFS(TblPurchases[Purchase Date],TblPurchases[BatchID],TblOutcomes[[#This Row],[BatchID]]))</f>
        <v>45466</v>
      </c>
    </row>
    <row r="1353" spans="2:17" x14ac:dyDescent="0.25">
      <c r="B1353" s="2" t="s">
        <v>2158</v>
      </c>
      <c r="C1353" s="2" t="s">
        <v>168</v>
      </c>
      <c r="D1353" s="2" t="s">
        <v>164</v>
      </c>
      <c r="E1353" s="2" t="s">
        <v>4647</v>
      </c>
      <c r="F1353" s="2">
        <v>22</v>
      </c>
      <c r="G1353" s="2">
        <v>22</v>
      </c>
      <c r="H1353" s="2">
        <v>0</v>
      </c>
      <c r="I1353" s="1">
        <v>0</v>
      </c>
      <c r="J1353" s="26">
        <v>45513</v>
      </c>
      <c r="K1353" s="22">
        <v>55000</v>
      </c>
      <c r="L1353" s="18">
        <v>58.82</v>
      </c>
      <c r="M1353" s="22">
        <v>38500</v>
      </c>
      <c r="N1353" s="22">
        <v>16500</v>
      </c>
      <c r="O1353" s="18">
        <v>17.649999999999999</v>
      </c>
      <c r="P1353" s="52">
        <f>IF(COUNTIF(TblPurchases[BatchID],TblOutcomes[[#This Row],[BatchID]])&lt;&gt;1,"n.a.",TblOutcomes[[#This Row],[Qty Wasted]]*SUMIFS(TblPurchases[Unit Cost (CLP)],TblPurchases[BatchID],TblOutcomes[[#This Row],[BatchID]]))</f>
        <v>0</v>
      </c>
      <c r="Q1353" s="51">
        <f>IF(COUNTIF(TblPurchases[BatchID],TblOutcomes[[#This Row],[BatchID]])&lt;&gt;1,"n.a.",SUMIFS(TblPurchases[Purchase Date],TblPurchases[BatchID],TblOutcomes[[#This Row],[BatchID]]))</f>
        <v>45488</v>
      </c>
    </row>
    <row r="1354" spans="2:17" x14ac:dyDescent="0.25">
      <c r="B1354" s="2" t="s">
        <v>2159</v>
      </c>
      <c r="C1354" s="2" t="s">
        <v>168</v>
      </c>
      <c r="D1354" s="2" t="s">
        <v>164</v>
      </c>
      <c r="E1354" s="2" t="s">
        <v>4647</v>
      </c>
      <c r="F1354" s="2">
        <v>25</v>
      </c>
      <c r="G1354" s="2">
        <v>25</v>
      </c>
      <c r="H1354" s="2">
        <v>0</v>
      </c>
      <c r="I1354" s="1">
        <v>0</v>
      </c>
      <c r="J1354" s="26">
        <v>45552</v>
      </c>
      <c r="K1354" s="22">
        <v>62500</v>
      </c>
      <c r="L1354" s="18">
        <v>66.84</v>
      </c>
      <c r="M1354" s="22">
        <v>45000</v>
      </c>
      <c r="N1354" s="22">
        <v>17500</v>
      </c>
      <c r="O1354" s="18">
        <v>18.72</v>
      </c>
      <c r="P1354" s="52">
        <f>IF(COUNTIF(TblPurchases[BatchID],TblOutcomes[[#This Row],[BatchID]])&lt;&gt;1,"n.a.",TblOutcomes[[#This Row],[Qty Wasted]]*SUMIFS(TblPurchases[Unit Cost (CLP)],TblPurchases[BatchID],TblOutcomes[[#This Row],[BatchID]]))</f>
        <v>0</v>
      </c>
      <c r="Q1354" s="51">
        <f>IF(COUNTIF(TblPurchases[BatchID],TblOutcomes[[#This Row],[BatchID]])&lt;&gt;1,"n.a.",SUMIFS(TblPurchases[Purchase Date],TblPurchases[BatchID],TblOutcomes[[#This Row],[BatchID]]))</f>
        <v>45524</v>
      </c>
    </row>
    <row r="1355" spans="2:17" x14ac:dyDescent="0.25">
      <c r="B1355" s="2" t="s">
        <v>2160</v>
      </c>
      <c r="C1355" s="2" t="s">
        <v>168</v>
      </c>
      <c r="D1355" s="2" t="s">
        <v>164</v>
      </c>
      <c r="E1355" s="2" t="s">
        <v>4647</v>
      </c>
      <c r="F1355" s="2">
        <v>31</v>
      </c>
      <c r="G1355" s="2">
        <v>31</v>
      </c>
      <c r="H1355" s="2">
        <v>0</v>
      </c>
      <c r="I1355" s="1">
        <v>0</v>
      </c>
      <c r="J1355" s="26">
        <v>45604</v>
      </c>
      <c r="K1355" s="22">
        <v>77500</v>
      </c>
      <c r="L1355" s="18">
        <v>82.89</v>
      </c>
      <c r="M1355" s="22">
        <v>54250</v>
      </c>
      <c r="N1355" s="22">
        <v>23250</v>
      </c>
      <c r="O1355" s="18">
        <v>24.87</v>
      </c>
      <c r="P1355" s="52">
        <f>IF(COUNTIF(TblPurchases[BatchID],TblOutcomes[[#This Row],[BatchID]])&lt;&gt;1,"n.a.",TblOutcomes[[#This Row],[Qty Wasted]]*SUMIFS(TblPurchases[Unit Cost (CLP)],TblPurchases[BatchID],TblOutcomes[[#This Row],[BatchID]]))</f>
        <v>0</v>
      </c>
      <c r="Q1355" s="51">
        <f>IF(COUNTIF(TblPurchases[BatchID],TblOutcomes[[#This Row],[BatchID]])&lt;&gt;1,"n.a.",SUMIFS(TblPurchases[Purchase Date],TblPurchases[BatchID],TblOutcomes[[#This Row],[BatchID]]))</f>
        <v>45555</v>
      </c>
    </row>
    <row r="1356" spans="2:17" x14ac:dyDescent="0.25">
      <c r="B1356" s="2" t="s">
        <v>2161</v>
      </c>
      <c r="C1356" s="2" t="s">
        <v>168</v>
      </c>
      <c r="D1356" s="2" t="s">
        <v>164</v>
      </c>
      <c r="E1356" s="2" t="s">
        <v>4647</v>
      </c>
      <c r="F1356" s="2">
        <v>22</v>
      </c>
      <c r="G1356" s="2">
        <v>22</v>
      </c>
      <c r="H1356" s="2">
        <v>0</v>
      </c>
      <c r="I1356" s="1">
        <v>0</v>
      </c>
      <c r="J1356" s="26">
        <v>45615</v>
      </c>
      <c r="K1356" s="22">
        <v>55000</v>
      </c>
      <c r="L1356" s="18">
        <v>58.82</v>
      </c>
      <c r="M1356" s="22">
        <v>38500</v>
      </c>
      <c r="N1356" s="22">
        <v>16500</v>
      </c>
      <c r="O1356" s="18">
        <v>17.649999999999999</v>
      </c>
      <c r="P1356" s="52">
        <f>IF(COUNTIF(TblPurchases[BatchID],TblOutcomes[[#This Row],[BatchID]])&lt;&gt;1,"n.a.",TblOutcomes[[#This Row],[Qty Wasted]]*SUMIFS(TblPurchases[Unit Cost (CLP)],TblPurchases[BatchID],TblOutcomes[[#This Row],[BatchID]]))</f>
        <v>0</v>
      </c>
      <c r="Q1356" s="51">
        <f>IF(COUNTIF(TblPurchases[BatchID],TblOutcomes[[#This Row],[BatchID]])&lt;&gt;1,"n.a.",SUMIFS(TblPurchases[Purchase Date],TblPurchases[BatchID],TblOutcomes[[#This Row],[BatchID]]))</f>
        <v>45585</v>
      </c>
    </row>
    <row r="1357" spans="2:17" x14ac:dyDescent="0.25">
      <c r="B1357" s="2" t="s">
        <v>2162</v>
      </c>
      <c r="C1357" s="2" t="s">
        <v>168</v>
      </c>
      <c r="D1357" s="2" t="s">
        <v>164</v>
      </c>
      <c r="E1357" s="2" t="s">
        <v>4646</v>
      </c>
      <c r="F1357" s="2">
        <v>25</v>
      </c>
      <c r="G1357" s="2">
        <v>23.95</v>
      </c>
      <c r="H1357" s="2">
        <v>1.05</v>
      </c>
      <c r="I1357" s="1">
        <v>4.2</v>
      </c>
      <c r="J1357" s="26">
        <v>45864</v>
      </c>
      <c r="K1357" s="22">
        <v>59875</v>
      </c>
      <c r="L1357" s="18">
        <v>64.040000000000006</v>
      </c>
      <c r="M1357" s="22">
        <v>43750</v>
      </c>
      <c r="N1357" s="22">
        <v>16125</v>
      </c>
      <c r="O1357" s="18">
        <v>17.25</v>
      </c>
      <c r="P1357" s="52">
        <f>IF(COUNTIF(TblPurchases[BatchID],TblOutcomes[[#This Row],[BatchID]])&lt;&gt;1,"n.a.",TblOutcomes[[#This Row],[Qty Wasted]]*SUMIFS(TblPurchases[Unit Cost (CLP)],TblPurchases[BatchID],TblOutcomes[[#This Row],[BatchID]]))</f>
        <v>1837.5</v>
      </c>
      <c r="Q1357" s="51">
        <f>IF(COUNTIF(TblPurchases[BatchID],TblOutcomes[[#This Row],[BatchID]])&lt;&gt;1,"n.a.",SUMIFS(TblPurchases[Purchase Date],TblPurchases[BatchID],TblOutcomes[[#This Row],[BatchID]]))</f>
        <v>45624</v>
      </c>
    </row>
    <row r="1358" spans="2:17" x14ac:dyDescent="0.25">
      <c r="B1358" s="2" t="s">
        <v>2163</v>
      </c>
      <c r="C1358" s="2" t="s">
        <v>168</v>
      </c>
      <c r="D1358" s="2" t="s">
        <v>164</v>
      </c>
      <c r="E1358" s="2" t="s">
        <v>4647</v>
      </c>
      <c r="F1358" s="2">
        <v>36</v>
      </c>
      <c r="G1358" s="2">
        <v>36</v>
      </c>
      <c r="H1358" s="2">
        <v>0</v>
      </c>
      <c r="I1358" s="1">
        <v>0</v>
      </c>
      <c r="J1358" s="26">
        <v>45673</v>
      </c>
      <c r="K1358" s="22">
        <v>90000</v>
      </c>
      <c r="L1358" s="18">
        <v>96.26</v>
      </c>
      <c r="M1358" s="22">
        <v>63000</v>
      </c>
      <c r="N1358" s="22">
        <v>27000</v>
      </c>
      <c r="O1358" s="18">
        <v>28.88</v>
      </c>
      <c r="P1358" s="52">
        <f>IF(COUNTIF(TblPurchases[BatchID],TblOutcomes[[#This Row],[BatchID]])&lt;&gt;1,"n.a.",TblOutcomes[[#This Row],[Qty Wasted]]*SUMIFS(TblPurchases[Unit Cost (CLP)],TblPurchases[BatchID],TblOutcomes[[#This Row],[BatchID]]))</f>
        <v>0</v>
      </c>
      <c r="Q1358" s="51">
        <f>IF(COUNTIF(TblPurchases[BatchID],TblOutcomes[[#This Row],[BatchID]])&lt;&gt;1,"n.a.",SUMIFS(TblPurchases[Purchase Date],TblPurchases[BatchID],TblOutcomes[[#This Row],[BatchID]]))</f>
        <v>45655</v>
      </c>
    </row>
    <row r="1359" spans="2:17" x14ac:dyDescent="0.25">
      <c r="B1359" s="2" t="s">
        <v>2164</v>
      </c>
      <c r="C1359" s="2" t="s">
        <v>168</v>
      </c>
      <c r="D1359" s="2" t="s">
        <v>164</v>
      </c>
      <c r="E1359" s="2" t="s">
        <v>4647</v>
      </c>
      <c r="F1359" s="2">
        <v>26</v>
      </c>
      <c r="G1359" s="2">
        <v>26</v>
      </c>
      <c r="H1359" s="2">
        <v>0</v>
      </c>
      <c r="I1359" s="1">
        <v>0</v>
      </c>
      <c r="J1359" s="26">
        <v>45715</v>
      </c>
      <c r="K1359" s="22">
        <v>65000</v>
      </c>
      <c r="L1359" s="18">
        <v>69.52</v>
      </c>
      <c r="M1359" s="22">
        <v>45500</v>
      </c>
      <c r="N1359" s="22">
        <v>19500</v>
      </c>
      <c r="O1359" s="18">
        <v>20.86</v>
      </c>
      <c r="P1359" s="52">
        <f>IF(COUNTIF(TblPurchases[BatchID],TblOutcomes[[#This Row],[BatchID]])&lt;&gt;1,"n.a.",TblOutcomes[[#This Row],[Qty Wasted]]*SUMIFS(TblPurchases[Unit Cost (CLP)],TblPurchases[BatchID],TblOutcomes[[#This Row],[BatchID]]))</f>
        <v>0</v>
      </c>
      <c r="Q1359" s="51">
        <f>IF(COUNTIF(TblPurchases[BatchID],TblOutcomes[[#This Row],[BatchID]])&lt;&gt;1,"n.a.",SUMIFS(TblPurchases[Purchase Date],TblPurchases[BatchID],TblOutcomes[[#This Row],[BatchID]]))</f>
        <v>45679</v>
      </c>
    </row>
    <row r="1360" spans="2:17" x14ac:dyDescent="0.25">
      <c r="B1360" s="2" t="s">
        <v>2165</v>
      </c>
      <c r="C1360" s="2" t="s">
        <v>168</v>
      </c>
      <c r="D1360" s="2" t="s">
        <v>164</v>
      </c>
      <c r="E1360" s="2" t="s">
        <v>4646</v>
      </c>
      <c r="F1360" s="2">
        <v>28</v>
      </c>
      <c r="G1360" s="2">
        <v>26.66</v>
      </c>
      <c r="H1360" s="2">
        <v>1.34</v>
      </c>
      <c r="I1360" s="1">
        <v>4.8</v>
      </c>
      <c r="J1360" s="26">
        <v>45953</v>
      </c>
      <c r="K1360" s="22">
        <v>66650</v>
      </c>
      <c r="L1360" s="18">
        <v>71.28</v>
      </c>
      <c r="M1360" s="22">
        <v>49000</v>
      </c>
      <c r="N1360" s="22">
        <v>17650</v>
      </c>
      <c r="O1360" s="18">
        <v>18.88</v>
      </c>
      <c r="P1360" s="52">
        <f>IF(COUNTIF(TblPurchases[BatchID],TblOutcomes[[#This Row],[BatchID]])&lt;&gt;1,"n.a.",TblOutcomes[[#This Row],[Qty Wasted]]*SUMIFS(TblPurchases[Unit Cost (CLP)],TblPurchases[BatchID],TblOutcomes[[#This Row],[BatchID]]))</f>
        <v>2345</v>
      </c>
      <c r="Q1360" s="51">
        <f>IF(COUNTIF(TblPurchases[BatchID],TblOutcomes[[#This Row],[BatchID]])&lt;&gt;1,"n.a.",SUMIFS(TblPurchases[Purchase Date],TblPurchases[BatchID],TblOutcomes[[#This Row],[BatchID]]))</f>
        <v>45713</v>
      </c>
    </row>
    <row r="1361" spans="2:17" x14ac:dyDescent="0.25">
      <c r="B1361" s="2" t="s">
        <v>2166</v>
      </c>
      <c r="C1361" s="2" t="s">
        <v>168</v>
      </c>
      <c r="D1361" s="2" t="s">
        <v>164</v>
      </c>
      <c r="E1361" s="2" t="s">
        <v>4646</v>
      </c>
      <c r="F1361" s="2">
        <v>28</v>
      </c>
      <c r="G1361" s="2">
        <v>27.05</v>
      </c>
      <c r="H1361" s="2">
        <v>0.95</v>
      </c>
      <c r="I1361" s="1">
        <v>3.4</v>
      </c>
      <c r="J1361" s="26">
        <v>45995</v>
      </c>
      <c r="K1361" s="22">
        <v>67625</v>
      </c>
      <c r="L1361" s="18">
        <v>72.33</v>
      </c>
      <c r="M1361" s="22">
        <v>49000</v>
      </c>
      <c r="N1361" s="22">
        <v>18625</v>
      </c>
      <c r="O1361" s="18">
        <v>19.920000000000002</v>
      </c>
      <c r="P1361" s="52">
        <f>IF(COUNTIF(TblPurchases[BatchID],TblOutcomes[[#This Row],[BatchID]])&lt;&gt;1,"n.a.",TblOutcomes[[#This Row],[Qty Wasted]]*SUMIFS(TblPurchases[Unit Cost (CLP)],TblPurchases[BatchID],TblOutcomes[[#This Row],[BatchID]]))</f>
        <v>1662.5</v>
      </c>
      <c r="Q1361" s="51">
        <f>IF(COUNTIF(TblPurchases[BatchID],TblOutcomes[[#This Row],[BatchID]])&lt;&gt;1,"n.a.",SUMIFS(TblPurchases[Purchase Date],TblPurchases[BatchID],TblOutcomes[[#This Row],[BatchID]]))</f>
        <v>45755</v>
      </c>
    </row>
    <row r="1362" spans="2:17" x14ac:dyDescent="0.25">
      <c r="B1362" s="2" t="s">
        <v>2167</v>
      </c>
      <c r="C1362" s="2" t="s">
        <v>168</v>
      </c>
      <c r="D1362" s="2" t="s">
        <v>164</v>
      </c>
      <c r="E1362" s="2" t="s">
        <v>4646</v>
      </c>
      <c r="F1362" s="2">
        <v>24</v>
      </c>
      <c r="G1362" s="2">
        <v>23.74</v>
      </c>
      <c r="H1362" s="2">
        <v>0.26</v>
      </c>
      <c r="I1362" s="1">
        <v>1.1000000000000001</v>
      </c>
      <c r="J1362" s="26">
        <v>46035</v>
      </c>
      <c r="K1362" s="22">
        <v>59350</v>
      </c>
      <c r="L1362" s="18">
        <v>63.48</v>
      </c>
      <c r="M1362" s="22">
        <v>42000</v>
      </c>
      <c r="N1362" s="22">
        <v>17350</v>
      </c>
      <c r="O1362" s="18">
        <v>18.559999999999999</v>
      </c>
      <c r="P1362" s="52">
        <f>IF(COUNTIF(TblPurchases[BatchID],TblOutcomes[[#This Row],[BatchID]])&lt;&gt;1,"n.a.",TblOutcomes[[#This Row],[Qty Wasted]]*SUMIFS(TblPurchases[Unit Cost (CLP)],TblPurchases[BatchID],TblOutcomes[[#This Row],[BatchID]]))</f>
        <v>455</v>
      </c>
      <c r="Q1362" s="51">
        <f>IF(COUNTIF(TblPurchases[BatchID],TblOutcomes[[#This Row],[BatchID]])&lt;&gt;1,"n.a.",SUMIFS(TblPurchases[Purchase Date],TblPurchases[BatchID],TblOutcomes[[#This Row],[BatchID]]))</f>
        <v>45795</v>
      </c>
    </row>
    <row r="1363" spans="2:17" x14ac:dyDescent="0.25">
      <c r="B1363" s="2" t="s">
        <v>2168</v>
      </c>
      <c r="C1363" s="2" t="s">
        <v>168</v>
      </c>
      <c r="D1363" s="2" t="s">
        <v>164</v>
      </c>
      <c r="E1363" s="2" t="s">
        <v>4646</v>
      </c>
      <c r="F1363" s="2">
        <v>27</v>
      </c>
      <c r="G1363" s="2">
        <v>26.24</v>
      </c>
      <c r="H1363" s="2">
        <v>0.76</v>
      </c>
      <c r="I1363" s="1">
        <v>2.8</v>
      </c>
      <c r="J1363" s="26">
        <v>46066</v>
      </c>
      <c r="K1363" s="22">
        <v>65600</v>
      </c>
      <c r="L1363" s="18">
        <v>70.16</v>
      </c>
      <c r="M1363" s="22">
        <v>47250</v>
      </c>
      <c r="N1363" s="22">
        <v>18350</v>
      </c>
      <c r="O1363" s="18">
        <v>19.63</v>
      </c>
      <c r="P1363" s="52">
        <f>IF(COUNTIF(TblPurchases[BatchID],TblOutcomes[[#This Row],[BatchID]])&lt;&gt;1,"n.a.",TblOutcomes[[#This Row],[Qty Wasted]]*SUMIFS(TblPurchases[Unit Cost (CLP)],TblPurchases[BatchID],TblOutcomes[[#This Row],[BatchID]]))</f>
        <v>1330</v>
      </c>
      <c r="Q1363" s="51">
        <f>IF(COUNTIF(TblPurchases[BatchID],TblOutcomes[[#This Row],[BatchID]])&lt;&gt;1,"n.a.",SUMIFS(TblPurchases[Purchase Date],TblPurchases[BatchID],TblOutcomes[[#This Row],[BatchID]]))</f>
        <v>45826</v>
      </c>
    </row>
    <row r="1364" spans="2:17" x14ac:dyDescent="0.25">
      <c r="B1364" s="2" t="s">
        <v>2169</v>
      </c>
      <c r="C1364" s="2" t="s">
        <v>170</v>
      </c>
      <c r="D1364" s="2" t="s">
        <v>164</v>
      </c>
      <c r="E1364" s="2" t="s">
        <v>4647</v>
      </c>
      <c r="F1364" s="2">
        <v>25</v>
      </c>
      <c r="G1364" s="2">
        <v>25</v>
      </c>
      <c r="H1364" s="2">
        <v>0</v>
      </c>
      <c r="I1364" s="1">
        <v>0</v>
      </c>
      <c r="J1364" s="26">
        <v>45134</v>
      </c>
      <c r="K1364" s="22">
        <v>75000</v>
      </c>
      <c r="L1364" s="18">
        <v>80.209999999999994</v>
      </c>
      <c r="M1364" s="22">
        <v>51250</v>
      </c>
      <c r="N1364" s="22">
        <v>23750</v>
      </c>
      <c r="O1364" s="18">
        <v>25.4</v>
      </c>
      <c r="P1364" s="52">
        <f>IF(COUNTIF(TblPurchases[BatchID],TblOutcomes[[#This Row],[BatchID]])&lt;&gt;1,"n.a.",TblOutcomes[[#This Row],[Qty Wasted]]*SUMIFS(TblPurchases[Unit Cost (CLP)],TblPurchases[BatchID],TblOutcomes[[#This Row],[BatchID]]))</f>
        <v>0</v>
      </c>
      <c r="Q1364" s="51">
        <f>IF(COUNTIF(TblPurchases[BatchID],TblOutcomes[[#This Row],[BatchID]])&lt;&gt;1,"n.a.",SUMIFS(TblPurchases[Purchase Date],TblPurchases[BatchID],TblOutcomes[[#This Row],[BatchID]]))</f>
        <v>45130</v>
      </c>
    </row>
    <row r="1365" spans="2:17" x14ac:dyDescent="0.25">
      <c r="B1365" s="2" t="s">
        <v>2170</v>
      </c>
      <c r="C1365" s="2" t="s">
        <v>170</v>
      </c>
      <c r="D1365" s="2" t="s">
        <v>164</v>
      </c>
      <c r="E1365" s="2" t="s">
        <v>4647</v>
      </c>
      <c r="F1365" s="2">
        <v>21</v>
      </c>
      <c r="G1365" s="2">
        <v>21</v>
      </c>
      <c r="H1365" s="2">
        <v>0</v>
      </c>
      <c r="I1365" s="1">
        <v>0</v>
      </c>
      <c r="J1365" s="26">
        <v>45206</v>
      </c>
      <c r="K1365" s="22">
        <v>63000</v>
      </c>
      <c r="L1365" s="18">
        <v>67.38</v>
      </c>
      <c r="M1365" s="22">
        <v>43050</v>
      </c>
      <c r="N1365" s="22">
        <v>19950</v>
      </c>
      <c r="O1365" s="18">
        <v>21.34</v>
      </c>
      <c r="P1365" s="52">
        <f>IF(COUNTIF(TblPurchases[BatchID],TblOutcomes[[#This Row],[BatchID]])&lt;&gt;1,"n.a.",TblOutcomes[[#This Row],[Qty Wasted]]*SUMIFS(TblPurchases[Unit Cost (CLP)],TblPurchases[BatchID],TblOutcomes[[#This Row],[BatchID]]))</f>
        <v>0</v>
      </c>
      <c r="Q1365" s="51">
        <f>IF(COUNTIF(TblPurchases[BatchID],TblOutcomes[[#This Row],[BatchID]])&lt;&gt;1,"n.a.",SUMIFS(TblPurchases[Purchase Date],TblPurchases[BatchID],TblOutcomes[[#This Row],[BatchID]]))</f>
        <v>45169</v>
      </c>
    </row>
    <row r="1366" spans="2:17" x14ac:dyDescent="0.25">
      <c r="B1366" s="2" t="s">
        <v>2171</v>
      </c>
      <c r="C1366" s="2" t="s">
        <v>170</v>
      </c>
      <c r="D1366" s="2" t="s">
        <v>164</v>
      </c>
      <c r="E1366" s="2" t="s">
        <v>4646</v>
      </c>
      <c r="F1366" s="2">
        <v>26</v>
      </c>
      <c r="G1366" s="2">
        <v>24.8</v>
      </c>
      <c r="H1366" s="2">
        <v>1.2</v>
      </c>
      <c r="I1366" s="1">
        <v>4.5999999999999996</v>
      </c>
      <c r="J1366" s="26">
        <v>45453</v>
      </c>
      <c r="K1366" s="22">
        <v>74400</v>
      </c>
      <c r="L1366" s="18">
        <v>79.569999999999993</v>
      </c>
      <c r="M1366" s="22">
        <v>59800</v>
      </c>
      <c r="N1366" s="22">
        <v>14600</v>
      </c>
      <c r="O1366" s="18">
        <v>15.61</v>
      </c>
      <c r="P1366" s="52">
        <f>IF(COUNTIF(TblPurchases[BatchID],TblOutcomes[[#This Row],[BatchID]])&lt;&gt;1,"n.a.",TblOutcomes[[#This Row],[Qty Wasted]]*SUMIFS(TblPurchases[Unit Cost (CLP)],TblPurchases[BatchID],TblOutcomes[[#This Row],[BatchID]]))</f>
        <v>2760</v>
      </c>
      <c r="Q1366" s="51">
        <f>IF(COUNTIF(TblPurchases[BatchID],TblOutcomes[[#This Row],[BatchID]])&lt;&gt;1,"n.a.",SUMIFS(TblPurchases[Purchase Date],TblPurchases[BatchID],TblOutcomes[[#This Row],[BatchID]]))</f>
        <v>45213</v>
      </c>
    </row>
    <row r="1367" spans="2:17" x14ac:dyDescent="0.25">
      <c r="B1367" s="2" t="s">
        <v>2172</v>
      </c>
      <c r="C1367" s="2" t="s">
        <v>170</v>
      </c>
      <c r="D1367" s="2" t="s">
        <v>164</v>
      </c>
      <c r="E1367" s="2" t="s">
        <v>4647</v>
      </c>
      <c r="F1367" s="2">
        <v>23</v>
      </c>
      <c r="G1367" s="2">
        <v>23</v>
      </c>
      <c r="H1367" s="2">
        <v>0</v>
      </c>
      <c r="I1367" s="1">
        <v>0</v>
      </c>
      <c r="J1367" s="26">
        <v>45270</v>
      </c>
      <c r="K1367" s="22">
        <v>69000</v>
      </c>
      <c r="L1367" s="18">
        <v>73.8</v>
      </c>
      <c r="M1367" s="22">
        <v>47150</v>
      </c>
      <c r="N1367" s="22">
        <v>21850</v>
      </c>
      <c r="O1367" s="18">
        <v>23.37</v>
      </c>
      <c r="P1367" s="52">
        <f>IF(COUNTIF(TblPurchases[BatchID],TblOutcomes[[#This Row],[BatchID]])&lt;&gt;1,"n.a.",TblOutcomes[[#This Row],[Qty Wasted]]*SUMIFS(TblPurchases[Unit Cost (CLP)],TblPurchases[BatchID],TblOutcomes[[#This Row],[BatchID]]))</f>
        <v>0</v>
      </c>
      <c r="Q1367" s="51">
        <f>IF(COUNTIF(TblPurchases[BatchID],TblOutcomes[[#This Row],[BatchID]])&lt;&gt;1,"n.a.",SUMIFS(TblPurchases[Purchase Date],TblPurchases[BatchID],TblOutcomes[[#This Row],[BatchID]]))</f>
        <v>45253</v>
      </c>
    </row>
    <row r="1368" spans="2:17" x14ac:dyDescent="0.25">
      <c r="B1368" s="2" t="s">
        <v>2173</v>
      </c>
      <c r="C1368" s="2" t="s">
        <v>170</v>
      </c>
      <c r="D1368" s="2" t="s">
        <v>164</v>
      </c>
      <c r="E1368" s="2" t="s">
        <v>4647</v>
      </c>
      <c r="F1368" s="2">
        <v>29</v>
      </c>
      <c r="G1368" s="2">
        <v>29</v>
      </c>
      <c r="H1368" s="2">
        <v>0</v>
      </c>
      <c r="I1368" s="1">
        <v>0</v>
      </c>
      <c r="J1368" s="26">
        <v>45323</v>
      </c>
      <c r="K1368" s="22">
        <v>87000</v>
      </c>
      <c r="L1368" s="18">
        <v>93.05</v>
      </c>
      <c r="M1368" s="22">
        <v>59450</v>
      </c>
      <c r="N1368" s="22">
        <v>27550</v>
      </c>
      <c r="O1368" s="18">
        <v>29.47</v>
      </c>
      <c r="P1368" s="52">
        <f>IF(COUNTIF(TblPurchases[BatchID],TblOutcomes[[#This Row],[BatchID]])&lt;&gt;1,"n.a.",TblOutcomes[[#This Row],[Qty Wasted]]*SUMIFS(TblPurchases[Unit Cost (CLP)],TblPurchases[BatchID],TblOutcomes[[#This Row],[BatchID]]))</f>
        <v>0</v>
      </c>
      <c r="Q1368" s="51">
        <f>IF(COUNTIF(TblPurchases[BatchID],TblOutcomes[[#This Row],[BatchID]])&lt;&gt;1,"n.a.",SUMIFS(TblPurchases[Purchase Date],TblPurchases[BatchID],TblOutcomes[[#This Row],[BatchID]]))</f>
        <v>45291</v>
      </c>
    </row>
    <row r="1369" spans="2:17" x14ac:dyDescent="0.25">
      <c r="B1369" s="2" t="s">
        <v>2174</v>
      </c>
      <c r="C1369" s="2" t="s">
        <v>170</v>
      </c>
      <c r="D1369" s="2" t="s">
        <v>164</v>
      </c>
      <c r="E1369" s="2" t="s">
        <v>4647</v>
      </c>
      <c r="F1369" s="2">
        <v>24</v>
      </c>
      <c r="G1369" s="2">
        <v>24</v>
      </c>
      <c r="H1369" s="2">
        <v>0</v>
      </c>
      <c r="I1369" s="1">
        <v>0</v>
      </c>
      <c r="J1369" s="26">
        <v>45369</v>
      </c>
      <c r="K1369" s="22">
        <v>72000</v>
      </c>
      <c r="L1369" s="18">
        <v>77.010000000000005</v>
      </c>
      <c r="M1369" s="22">
        <v>49200</v>
      </c>
      <c r="N1369" s="22">
        <v>22800</v>
      </c>
      <c r="O1369" s="18">
        <v>24.39</v>
      </c>
      <c r="P1369" s="52">
        <f>IF(COUNTIF(TblPurchases[BatchID],TblOutcomes[[#This Row],[BatchID]])&lt;&gt;1,"n.a.",TblOutcomes[[#This Row],[Qty Wasted]]*SUMIFS(TblPurchases[Unit Cost (CLP)],TblPurchases[BatchID],TblOutcomes[[#This Row],[BatchID]]))</f>
        <v>0</v>
      </c>
      <c r="Q1369" s="51">
        <f>IF(COUNTIF(TblPurchases[BatchID],TblOutcomes[[#This Row],[BatchID]])&lt;&gt;1,"n.a.",SUMIFS(TblPurchases[Purchase Date],TblPurchases[BatchID],TblOutcomes[[#This Row],[BatchID]]))</f>
        <v>45320</v>
      </c>
    </row>
    <row r="1370" spans="2:17" x14ac:dyDescent="0.25">
      <c r="B1370" s="2" t="s">
        <v>2175</v>
      </c>
      <c r="C1370" s="2" t="s">
        <v>170</v>
      </c>
      <c r="D1370" s="2" t="s">
        <v>164</v>
      </c>
      <c r="E1370" s="2" t="s">
        <v>4647</v>
      </c>
      <c r="F1370" s="2">
        <v>21</v>
      </c>
      <c r="G1370" s="2">
        <v>21</v>
      </c>
      <c r="H1370" s="2">
        <v>0</v>
      </c>
      <c r="I1370" s="1">
        <v>0</v>
      </c>
      <c r="J1370" s="26">
        <v>45372</v>
      </c>
      <c r="K1370" s="22">
        <v>63000</v>
      </c>
      <c r="L1370" s="18">
        <v>67.38</v>
      </c>
      <c r="M1370" s="22">
        <v>43050</v>
      </c>
      <c r="N1370" s="22">
        <v>19950</v>
      </c>
      <c r="O1370" s="18">
        <v>21.34</v>
      </c>
      <c r="P1370" s="52">
        <f>IF(COUNTIF(TblPurchases[BatchID],TblOutcomes[[#This Row],[BatchID]])&lt;&gt;1,"n.a.",TblOutcomes[[#This Row],[Qty Wasted]]*SUMIFS(TblPurchases[Unit Cost (CLP)],TblPurchases[BatchID],TblOutcomes[[#This Row],[BatchID]]))</f>
        <v>0</v>
      </c>
      <c r="Q1370" s="51">
        <f>IF(COUNTIF(TblPurchases[BatchID],TblOutcomes[[#This Row],[BatchID]])&lt;&gt;1,"n.a.",SUMIFS(TblPurchases[Purchase Date],TblPurchases[BatchID],TblOutcomes[[#This Row],[BatchID]]))</f>
        <v>45354</v>
      </c>
    </row>
    <row r="1371" spans="2:17" x14ac:dyDescent="0.25">
      <c r="B1371" s="2" t="s">
        <v>2176</v>
      </c>
      <c r="C1371" s="2" t="s">
        <v>170</v>
      </c>
      <c r="D1371" s="2" t="s">
        <v>164</v>
      </c>
      <c r="E1371" s="2" t="s">
        <v>4647</v>
      </c>
      <c r="F1371" s="2">
        <v>20</v>
      </c>
      <c r="G1371" s="2">
        <v>20</v>
      </c>
      <c r="H1371" s="2">
        <v>0</v>
      </c>
      <c r="I1371" s="1">
        <v>0</v>
      </c>
      <c r="J1371" s="26">
        <v>45436</v>
      </c>
      <c r="K1371" s="22">
        <v>60000</v>
      </c>
      <c r="L1371" s="18">
        <v>64.17</v>
      </c>
      <c r="M1371" s="22">
        <v>41000</v>
      </c>
      <c r="N1371" s="22">
        <v>19000</v>
      </c>
      <c r="O1371" s="18">
        <v>20.32</v>
      </c>
      <c r="P1371" s="52">
        <f>IF(COUNTIF(TblPurchases[BatchID],TblOutcomes[[#This Row],[BatchID]])&lt;&gt;1,"n.a.",TblOutcomes[[#This Row],[Qty Wasted]]*SUMIFS(TblPurchases[Unit Cost (CLP)],TblPurchases[BatchID],TblOutcomes[[#This Row],[BatchID]]))</f>
        <v>0</v>
      </c>
      <c r="Q1371" s="51">
        <f>IF(COUNTIF(TblPurchases[BatchID],TblOutcomes[[#This Row],[BatchID]])&lt;&gt;1,"n.a.",SUMIFS(TblPurchases[Purchase Date],TblPurchases[BatchID],TblOutcomes[[#This Row],[BatchID]]))</f>
        <v>45392</v>
      </c>
    </row>
    <row r="1372" spans="2:17" x14ac:dyDescent="0.25">
      <c r="B1372" s="2" t="s">
        <v>2177</v>
      </c>
      <c r="C1372" s="2" t="s">
        <v>170</v>
      </c>
      <c r="D1372" s="2" t="s">
        <v>164</v>
      </c>
      <c r="E1372" s="2" t="s">
        <v>4646</v>
      </c>
      <c r="F1372" s="2">
        <v>25</v>
      </c>
      <c r="G1372" s="2">
        <v>24.57</v>
      </c>
      <c r="H1372" s="2">
        <v>0.43</v>
      </c>
      <c r="I1372" s="1">
        <v>1.7</v>
      </c>
      <c r="J1372" s="26">
        <v>45673</v>
      </c>
      <c r="K1372" s="22">
        <v>73710</v>
      </c>
      <c r="L1372" s="18">
        <v>78.83</v>
      </c>
      <c r="M1372" s="22">
        <v>51250</v>
      </c>
      <c r="N1372" s="22">
        <v>22460</v>
      </c>
      <c r="O1372" s="18">
        <v>24.02</v>
      </c>
      <c r="P1372" s="52">
        <f>IF(COUNTIF(TblPurchases[BatchID],TblOutcomes[[#This Row],[BatchID]])&lt;&gt;1,"n.a.",TblOutcomes[[#This Row],[Qty Wasted]]*SUMIFS(TblPurchases[Unit Cost (CLP)],TblPurchases[BatchID],TblOutcomes[[#This Row],[BatchID]]))</f>
        <v>881.5</v>
      </c>
      <c r="Q1372" s="51">
        <f>IF(COUNTIF(TblPurchases[BatchID],TblOutcomes[[#This Row],[BatchID]])&lt;&gt;1,"n.a.",SUMIFS(TblPurchases[Purchase Date],TblPurchases[BatchID],TblOutcomes[[#This Row],[BatchID]]))</f>
        <v>45433</v>
      </c>
    </row>
    <row r="1373" spans="2:17" x14ac:dyDescent="0.25">
      <c r="B1373" s="2" t="s">
        <v>2178</v>
      </c>
      <c r="C1373" s="2" t="s">
        <v>170</v>
      </c>
      <c r="D1373" s="2" t="s">
        <v>164</v>
      </c>
      <c r="E1373" s="2" t="s">
        <v>4647</v>
      </c>
      <c r="F1373" s="2">
        <v>23</v>
      </c>
      <c r="G1373" s="2">
        <v>23</v>
      </c>
      <c r="H1373" s="2">
        <v>0</v>
      </c>
      <c r="I1373" s="1">
        <v>0</v>
      </c>
      <c r="J1373" s="26">
        <v>45496</v>
      </c>
      <c r="K1373" s="22">
        <v>69000</v>
      </c>
      <c r="L1373" s="18">
        <v>73.8</v>
      </c>
      <c r="M1373" s="22">
        <v>47150</v>
      </c>
      <c r="N1373" s="22">
        <v>21850</v>
      </c>
      <c r="O1373" s="18">
        <v>23.37</v>
      </c>
      <c r="P1373" s="52">
        <f>IF(COUNTIF(TblPurchases[BatchID],TblOutcomes[[#This Row],[BatchID]])&lt;&gt;1,"n.a.",TblOutcomes[[#This Row],[Qty Wasted]]*SUMIFS(TblPurchases[Unit Cost (CLP)],TblPurchases[BatchID],TblOutcomes[[#This Row],[BatchID]]))</f>
        <v>0</v>
      </c>
      <c r="Q1373" s="51">
        <f>IF(COUNTIF(TblPurchases[BatchID],TblOutcomes[[#This Row],[BatchID]])&lt;&gt;1,"n.a.",SUMIFS(TblPurchases[Purchase Date],TblPurchases[BatchID],TblOutcomes[[#This Row],[BatchID]]))</f>
        <v>45467</v>
      </c>
    </row>
    <row r="1374" spans="2:17" x14ac:dyDescent="0.25">
      <c r="B1374" s="2" t="s">
        <v>2179</v>
      </c>
      <c r="C1374" s="2" t="s">
        <v>170</v>
      </c>
      <c r="D1374" s="2" t="s">
        <v>164</v>
      </c>
      <c r="E1374" s="2" t="s">
        <v>4646</v>
      </c>
      <c r="F1374" s="2">
        <v>23</v>
      </c>
      <c r="G1374" s="2">
        <v>21.62</v>
      </c>
      <c r="H1374" s="2">
        <v>1.38</v>
      </c>
      <c r="I1374" s="1">
        <v>6</v>
      </c>
      <c r="J1374" s="26">
        <v>45734</v>
      </c>
      <c r="K1374" s="22">
        <v>64860</v>
      </c>
      <c r="L1374" s="18">
        <v>69.37</v>
      </c>
      <c r="M1374" s="22">
        <v>47150</v>
      </c>
      <c r="N1374" s="22">
        <v>17710</v>
      </c>
      <c r="O1374" s="18">
        <v>18.940000000000001</v>
      </c>
      <c r="P1374" s="52">
        <f>IF(COUNTIF(TblPurchases[BatchID],TblOutcomes[[#This Row],[BatchID]])&lt;&gt;1,"n.a.",TblOutcomes[[#This Row],[Qty Wasted]]*SUMIFS(TblPurchases[Unit Cost (CLP)],TblPurchases[BatchID],TblOutcomes[[#This Row],[BatchID]]))</f>
        <v>2829</v>
      </c>
      <c r="Q1374" s="51">
        <f>IF(COUNTIF(TblPurchases[BatchID],TblOutcomes[[#This Row],[BatchID]])&lt;&gt;1,"n.a.",SUMIFS(TblPurchases[Purchase Date],TblPurchases[BatchID],TblOutcomes[[#This Row],[BatchID]]))</f>
        <v>45494</v>
      </c>
    </row>
    <row r="1375" spans="2:17" x14ac:dyDescent="0.25">
      <c r="B1375" s="2" t="s">
        <v>2180</v>
      </c>
      <c r="C1375" s="2" t="s">
        <v>170</v>
      </c>
      <c r="D1375" s="2" t="s">
        <v>164</v>
      </c>
      <c r="E1375" s="2" t="s">
        <v>4647</v>
      </c>
      <c r="F1375" s="2">
        <v>22</v>
      </c>
      <c r="G1375" s="2">
        <v>22</v>
      </c>
      <c r="H1375" s="2">
        <v>0</v>
      </c>
      <c r="I1375" s="1">
        <v>0</v>
      </c>
      <c r="J1375" s="26">
        <v>45762</v>
      </c>
      <c r="K1375" s="22">
        <v>66000</v>
      </c>
      <c r="L1375" s="18">
        <v>70.59</v>
      </c>
      <c r="M1375" s="22">
        <v>45100</v>
      </c>
      <c r="N1375" s="22">
        <v>20900</v>
      </c>
      <c r="O1375" s="18">
        <v>22.35</v>
      </c>
      <c r="P1375" s="52">
        <f>IF(COUNTIF(TblPurchases[BatchID],TblOutcomes[[#This Row],[BatchID]])&lt;&gt;1,"n.a.",TblOutcomes[[#This Row],[Qty Wasted]]*SUMIFS(TblPurchases[Unit Cost (CLP)],TblPurchases[BatchID],TblOutcomes[[#This Row],[BatchID]]))</f>
        <v>0</v>
      </c>
      <c r="Q1375" s="51">
        <f>IF(COUNTIF(TblPurchases[BatchID],TblOutcomes[[#This Row],[BatchID]])&lt;&gt;1,"n.a.",SUMIFS(TblPurchases[Purchase Date],TblPurchases[BatchID],TblOutcomes[[#This Row],[BatchID]]))</f>
        <v>45522</v>
      </c>
    </row>
    <row r="1376" spans="2:17" x14ac:dyDescent="0.25">
      <c r="B1376" s="2" t="s">
        <v>2181</v>
      </c>
      <c r="C1376" s="2" t="s">
        <v>170</v>
      </c>
      <c r="D1376" s="2" t="s">
        <v>164</v>
      </c>
      <c r="E1376" s="2" t="s">
        <v>4647</v>
      </c>
      <c r="F1376" s="2">
        <v>27</v>
      </c>
      <c r="G1376" s="2">
        <v>27</v>
      </c>
      <c r="H1376" s="2">
        <v>0</v>
      </c>
      <c r="I1376" s="1">
        <v>0</v>
      </c>
      <c r="J1376" s="26">
        <v>45584</v>
      </c>
      <c r="K1376" s="22">
        <v>81000</v>
      </c>
      <c r="L1376" s="18">
        <v>86.63</v>
      </c>
      <c r="M1376" s="22">
        <v>55350</v>
      </c>
      <c r="N1376" s="22">
        <v>25650</v>
      </c>
      <c r="O1376" s="18">
        <v>27.43</v>
      </c>
      <c r="P1376" s="52">
        <f>IF(COUNTIF(TblPurchases[BatchID],TblOutcomes[[#This Row],[BatchID]])&lt;&gt;1,"n.a.",TblOutcomes[[#This Row],[Qty Wasted]]*SUMIFS(TblPurchases[Unit Cost (CLP)],TblPurchases[BatchID],TblOutcomes[[#This Row],[BatchID]]))</f>
        <v>0</v>
      </c>
      <c r="Q1376" s="51">
        <f>IF(COUNTIF(TblPurchases[BatchID],TblOutcomes[[#This Row],[BatchID]])&lt;&gt;1,"n.a.",SUMIFS(TblPurchases[Purchase Date],TblPurchases[BatchID],TblOutcomes[[#This Row],[BatchID]]))</f>
        <v>45559</v>
      </c>
    </row>
    <row r="1377" spans="2:17" x14ac:dyDescent="0.25">
      <c r="B1377" s="2" t="s">
        <v>2182</v>
      </c>
      <c r="C1377" s="2" t="s">
        <v>170</v>
      </c>
      <c r="D1377" s="2" t="s">
        <v>164</v>
      </c>
      <c r="E1377" s="2" t="s">
        <v>4647</v>
      </c>
      <c r="F1377" s="2">
        <v>25</v>
      </c>
      <c r="G1377" s="2">
        <v>25</v>
      </c>
      <c r="H1377" s="2">
        <v>0</v>
      </c>
      <c r="I1377" s="1">
        <v>0</v>
      </c>
      <c r="J1377" s="26">
        <v>45599</v>
      </c>
      <c r="K1377" s="22">
        <v>75000</v>
      </c>
      <c r="L1377" s="18">
        <v>80.209999999999994</v>
      </c>
      <c r="M1377" s="22">
        <v>57500</v>
      </c>
      <c r="N1377" s="22">
        <v>17500</v>
      </c>
      <c r="O1377" s="18">
        <v>18.72</v>
      </c>
      <c r="P1377" s="52">
        <f>IF(COUNTIF(TblPurchases[BatchID],TblOutcomes[[#This Row],[BatchID]])&lt;&gt;1,"n.a.",TblOutcomes[[#This Row],[Qty Wasted]]*SUMIFS(TblPurchases[Unit Cost (CLP)],TblPurchases[BatchID],TblOutcomes[[#This Row],[BatchID]]))</f>
        <v>0</v>
      </c>
      <c r="Q1377" s="51">
        <f>IF(COUNTIF(TblPurchases[BatchID],TblOutcomes[[#This Row],[BatchID]])&lt;&gt;1,"n.a.",SUMIFS(TblPurchases[Purchase Date],TblPurchases[BatchID],TblOutcomes[[#This Row],[BatchID]]))</f>
        <v>45585</v>
      </c>
    </row>
    <row r="1378" spans="2:17" x14ac:dyDescent="0.25">
      <c r="B1378" s="2" t="s">
        <v>2183</v>
      </c>
      <c r="C1378" s="2" t="s">
        <v>170</v>
      </c>
      <c r="D1378" s="2" t="s">
        <v>164</v>
      </c>
      <c r="E1378" s="2" t="s">
        <v>4646</v>
      </c>
      <c r="F1378" s="2">
        <v>23</v>
      </c>
      <c r="G1378" s="2">
        <v>22.56</v>
      </c>
      <c r="H1378" s="2">
        <v>0.44</v>
      </c>
      <c r="I1378" s="1">
        <v>1.9</v>
      </c>
      <c r="J1378" s="26">
        <v>45854</v>
      </c>
      <c r="K1378" s="22">
        <v>67680</v>
      </c>
      <c r="L1378" s="18">
        <v>72.39</v>
      </c>
      <c r="M1378" s="22">
        <v>47150</v>
      </c>
      <c r="N1378" s="22">
        <v>20530</v>
      </c>
      <c r="O1378" s="18">
        <v>21.96</v>
      </c>
      <c r="P1378" s="52">
        <f>IF(COUNTIF(TblPurchases[BatchID],TblOutcomes[[#This Row],[BatchID]])&lt;&gt;1,"n.a.",TblOutcomes[[#This Row],[Qty Wasted]]*SUMIFS(TblPurchases[Unit Cost (CLP)],TblPurchases[BatchID],TblOutcomes[[#This Row],[BatchID]]))</f>
        <v>902</v>
      </c>
      <c r="Q1378" s="51">
        <f>IF(COUNTIF(TblPurchases[BatchID],TblOutcomes[[#This Row],[BatchID]])&lt;&gt;1,"n.a.",SUMIFS(TblPurchases[Purchase Date],TblPurchases[BatchID],TblOutcomes[[#This Row],[BatchID]]))</f>
        <v>45614</v>
      </c>
    </row>
    <row r="1379" spans="2:17" x14ac:dyDescent="0.25">
      <c r="B1379" s="2" t="s">
        <v>2184</v>
      </c>
      <c r="C1379" s="2" t="s">
        <v>170</v>
      </c>
      <c r="D1379" s="2" t="s">
        <v>164</v>
      </c>
      <c r="E1379" s="2" t="s">
        <v>4647</v>
      </c>
      <c r="F1379" s="2">
        <v>33</v>
      </c>
      <c r="G1379" s="2">
        <v>33</v>
      </c>
      <c r="H1379" s="2">
        <v>0</v>
      </c>
      <c r="I1379" s="1">
        <v>0</v>
      </c>
      <c r="J1379" s="26">
        <v>45675</v>
      </c>
      <c r="K1379" s="22">
        <v>99000</v>
      </c>
      <c r="L1379" s="18">
        <v>105.88</v>
      </c>
      <c r="M1379" s="22">
        <v>75900</v>
      </c>
      <c r="N1379" s="22">
        <v>23100</v>
      </c>
      <c r="O1379" s="18">
        <v>24.71</v>
      </c>
      <c r="P1379" s="52">
        <f>IF(COUNTIF(TblPurchases[BatchID],TblOutcomes[[#This Row],[BatchID]])&lt;&gt;1,"n.a.",TblOutcomes[[#This Row],[Qty Wasted]]*SUMIFS(TblPurchases[Unit Cost (CLP)],TblPurchases[BatchID],TblOutcomes[[#This Row],[BatchID]]))</f>
        <v>0</v>
      </c>
      <c r="Q1379" s="51">
        <f>IF(COUNTIF(TblPurchases[BatchID],TblOutcomes[[#This Row],[BatchID]])&lt;&gt;1,"n.a.",SUMIFS(TblPurchases[Purchase Date],TblPurchases[BatchID],TblOutcomes[[#This Row],[BatchID]]))</f>
        <v>45647</v>
      </c>
    </row>
    <row r="1380" spans="2:17" x14ac:dyDescent="0.25">
      <c r="B1380" s="2" t="s">
        <v>2185</v>
      </c>
      <c r="C1380" s="2" t="s">
        <v>170</v>
      </c>
      <c r="D1380" s="2" t="s">
        <v>164</v>
      </c>
      <c r="E1380" s="2" t="s">
        <v>4647</v>
      </c>
      <c r="F1380" s="2">
        <v>29</v>
      </c>
      <c r="G1380" s="2">
        <v>29</v>
      </c>
      <c r="H1380" s="2">
        <v>0</v>
      </c>
      <c r="I1380" s="1">
        <v>0</v>
      </c>
      <c r="J1380" s="26">
        <v>45728</v>
      </c>
      <c r="K1380" s="22">
        <v>87000</v>
      </c>
      <c r="L1380" s="18">
        <v>93.05</v>
      </c>
      <c r="M1380" s="22">
        <v>59450</v>
      </c>
      <c r="N1380" s="22">
        <v>27550</v>
      </c>
      <c r="O1380" s="18">
        <v>29.47</v>
      </c>
      <c r="P1380" s="52">
        <f>IF(COUNTIF(TblPurchases[BatchID],TblOutcomes[[#This Row],[BatchID]])&lt;&gt;1,"n.a.",TblOutcomes[[#This Row],[Qty Wasted]]*SUMIFS(TblPurchases[Unit Cost (CLP)],TblPurchases[BatchID],TblOutcomes[[#This Row],[BatchID]]))</f>
        <v>0</v>
      </c>
      <c r="Q1380" s="51">
        <f>IF(COUNTIF(TblPurchases[BatchID],TblOutcomes[[#This Row],[BatchID]])&lt;&gt;1,"n.a.",SUMIFS(TblPurchases[Purchase Date],TblPurchases[BatchID],TblOutcomes[[#This Row],[BatchID]]))</f>
        <v>45689</v>
      </c>
    </row>
    <row r="1381" spans="2:17" x14ac:dyDescent="0.25">
      <c r="B1381" s="2" t="s">
        <v>2186</v>
      </c>
      <c r="C1381" s="2" t="s">
        <v>170</v>
      </c>
      <c r="D1381" s="2" t="s">
        <v>164</v>
      </c>
      <c r="E1381" s="2" t="s">
        <v>4646</v>
      </c>
      <c r="F1381" s="2">
        <v>23</v>
      </c>
      <c r="G1381" s="2">
        <v>21.57</v>
      </c>
      <c r="H1381" s="2">
        <v>1.43</v>
      </c>
      <c r="I1381" s="1">
        <v>6.2</v>
      </c>
      <c r="J1381" s="26">
        <v>45959</v>
      </c>
      <c r="K1381" s="22">
        <v>64710</v>
      </c>
      <c r="L1381" s="18">
        <v>69.209999999999994</v>
      </c>
      <c r="M1381" s="22">
        <v>47150</v>
      </c>
      <c r="N1381" s="22">
        <v>17560</v>
      </c>
      <c r="O1381" s="18">
        <v>18.78</v>
      </c>
      <c r="P1381" s="52">
        <f>IF(COUNTIF(TblPurchases[BatchID],TblOutcomes[[#This Row],[BatchID]])&lt;&gt;1,"n.a.",TblOutcomes[[#This Row],[Qty Wasted]]*SUMIFS(TblPurchases[Unit Cost (CLP)],TblPurchases[BatchID],TblOutcomes[[#This Row],[BatchID]]))</f>
        <v>2931.5</v>
      </c>
      <c r="Q1381" s="51">
        <f>IF(COUNTIF(TblPurchases[BatchID],TblOutcomes[[#This Row],[BatchID]])&lt;&gt;1,"n.a.",SUMIFS(TblPurchases[Purchase Date],TblPurchases[BatchID],TblOutcomes[[#This Row],[BatchID]]))</f>
        <v>45719</v>
      </c>
    </row>
    <row r="1382" spans="2:17" x14ac:dyDescent="0.25">
      <c r="B1382" s="2" t="s">
        <v>2187</v>
      </c>
      <c r="C1382" s="2" t="s">
        <v>170</v>
      </c>
      <c r="D1382" s="2" t="s">
        <v>164</v>
      </c>
      <c r="E1382" s="2" t="s">
        <v>4646</v>
      </c>
      <c r="F1382" s="2">
        <v>23</v>
      </c>
      <c r="G1382" s="2">
        <v>22.54</v>
      </c>
      <c r="H1382" s="2">
        <v>0.46</v>
      </c>
      <c r="I1382" s="1">
        <v>2</v>
      </c>
      <c r="J1382" s="26">
        <v>45987</v>
      </c>
      <c r="K1382" s="22">
        <v>67620</v>
      </c>
      <c r="L1382" s="18">
        <v>72.319999999999993</v>
      </c>
      <c r="M1382" s="22">
        <v>47150</v>
      </c>
      <c r="N1382" s="22">
        <v>20470</v>
      </c>
      <c r="O1382" s="18">
        <v>21.89</v>
      </c>
      <c r="P1382" s="52">
        <f>IF(COUNTIF(TblPurchases[BatchID],TblOutcomes[[#This Row],[BatchID]])&lt;&gt;1,"n.a.",TblOutcomes[[#This Row],[Qty Wasted]]*SUMIFS(TblPurchases[Unit Cost (CLP)],TblPurchases[BatchID],TblOutcomes[[#This Row],[BatchID]]))</f>
        <v>943</v>
      </c>
      <c r="Q1382" s="51">
        <f>IF(COUNTIF(TblPurchases[BatchID],TblOutcomes[[#This Row],[BatchID]])&lt;&gt;1,"n.a.",SUMIFS(TblPurchases[Purchase Date],TblPurchases[BatchID],TblOutcomes[[#This Row],[BatchID]]))</f>
        <v>45747</v>
      </c>
    </row>
    <row r="1383" spans="2:17" x14ac:dyDescent="0.25">
      <c r="B1383" s="2" t="s">
        <v>2188</v>
      </c>
      <c r="C1383" s="2" t="s">
        <v>170</v>
      </c>
      <c r="D1383" s="2" t="s">
        <v>164</v>
      </c>
      <c r="E1383" s="2" t="s">
        <v>4647</v>
      </c>
      <c r="F1383" s="2">
        <v>27</v>
      </c>
      <c r="G1383" s="2">
        <v>27</v>
      </c>
      <c r="H1383" s="2">
        <v>0</v>
      </c>
      <c r="I1383" s="1">
        <v>0</v>
      </c>
      <c r="J1383" s="26">
        <v>45818</v>
      </c>
      <c r="K1383" s="22">
        <v>81000</v>
      </c>
      <c r="L1383" s="18">
        <v>86.63</v>
      </c>
      <c r="M1383" s="22">
        <v>55350</v>
      </c>
      <c r="N1383" s="22">
        <v>25650</v>
      </c>
      <c r="O1383" s="18">
        <v>27.43</v>
      </c>
      <c r="P1383" s="52">
        <f>IF(COUNTIF(TblPurchases[BatchID],TblOutcomes[[#This Row],[BatchID]])&lt;&gt;1,"n.a.",TblOutcomes[[#This Row],[Qty Wasted]]*SUMIFS(TblPurchases[Unit Cost (CLP)],TblPurchases[BatchID],TblOutcomes[[#This Row],[BatchID]]))</f>
        <v>0</v>
      </c>
      <c r="Q1383" s="51">
        <f>IF(COUNTIF(TblPurchases[BatchID],TblOutcomes[[#This Row],[BatchID]])&lt;&gt;1,"n.a.",SUMIFS(TblPurchases[Purchase Date],TblPurchases[BatchID],TblOutcomes[[#This Row],[BatchID]]))</f>
        <v>45784</v>
      </c>
    </row>
    <row r="1384" spans="2:17" x14ac:dyDescent="0.25">
      <c r="B1384" s="2" t="s">
        <v>2189</v>
      </c>
      <c r="C1384" s="2" t="s">
        <v>170</v>
      </c>
      <c r="D1384" s="2" t="s">
        <v>164</v>
      </c>
      <c r="E1384" s="2" t="s">
        <v>4647</v>
      </c>
      <c r="F1384" s="2">
        <v>28</v>
      </c>
      <c r="G1384" s="2">
        <v>28</v>
      </c>
      <c r="H1384" s="2">
        <v>0</v>
      </c>
      <c r="I1384" s="1">
        <v>0</v>
      </c>
      <c r="J1384" s="26">
        <v>45835</v>
      </c>
      <c r="K1384" s="22">
        <v>84000</v>
      </c>
      <c r="L1384" s="18">
        <v>89.84</v>
      </c>
      <c r="M1384" s="22">
        <v>57400</v>
      </c>
      <c r="N1384" s="22">
        <v>26600</v>
      </c>
      <c r="O1384" s="18">
        <v>28.45</v>
      </c>
      <c r="P1384" s="52">
        <f>IF(COUNTIF(TblPurchases[BatchID],TblOutcomes[[#This Row],[BatchID]])&lt;&gt;1,"n.a.",TblOutcomes[[#This Row],[Qty Wasted]]*SUMIFS(TblPurchases[Unit Cost (CLP)],TblPurchases[BatchID],TblOutcomes[[#This Row],[BatchID]]))</f>
        <v>0</v>
      </c>
      <c r="Q1384" s="51">
        <f>IF(COUNTIF(TblPurchases[BatchID],TblOutcomes[[#This Row],[BatchID]])&lt;&gt;1,"n.a.",SUMIFS(TblPurchases[Purchase Date],TblPurchases[BatchID],TblOutcomes[[#This Row],[BatchID]]))</f>
        <v>45813</v>
      </c>
    </row>
    <row r="1385" spans="2:17" x14ac:dyDescent="0.25">
      <c r="B1385" s="2" t="s">
        <v>2190</v>
      </c>
      <c r="C1385" s="2" t="s">
        <v>172</v>
      </c>
      <c r="D1385" s="2" t="s">
        <v>164</v>
      </c>
      <c r="E1385" s="2" t="s">
        <v>4647</v>
      </c>
      <c r="F1385" s="2">
        <v>21</v>
      </c>
      <c r="G1385" s="2">
        <v>21</v>
      </c>
      <c r="H1385" s="2">
        <v>0</v>
      </c>
      <c r="I1385" s="1">
        <v>0</v>
      </c>
      <c r="J1385" s="26">
        <v>45157</v>
      </c>
      <c r="K1385" s="22">
        <v>63000</v>
      </c>
      <c r="L1385" s="18">
        <v>67.38</v>
      </c>
      <c r="M1385" s="22">
        <v>44100</v>
      </c>
      <c r="N1385" s="22">
        <v>18900</v>
      </c>
      <c r="O1385" s="18">
        <v>20.21</v>
      </c>
      <c r="P1385" s="52">
        <f>IF(COUNTIF(TblPurchases[BatchID],TblOutcomes[[#This Row],[BatchID]])&lt;&gt;1,"n.a.",TblOutcomes[[#This Row],[Qty Wasted]]*SUMIFS(TblPurchases[Unit Cost (CLP)],TblPurchases[BatchID],TblOutcomes[[#This Row],[BatchID]]))</f>
        <v>0</v>
      </c>
      <c r="Q1385" s="51">
        <f>IF(COUNTIF(TblPurchases[BatchID],TblOutcomes[[#This Row],[BatchID]])&lt;&gt;1,"n.a.",SUMIFS(TblPurchases[Purchase Date],TblPurchases[BatchID],TblOutcomes[[#This Row],[BatchID]]))</f>
        <v>45114</v>
      </c>
    </row>
    <row r="1386" spans="2:17" x14ac:dyDescent="0.25">
      <c r="B1386" s="2" t="s">
        <v>2191</v>
      </c>
      <c r="C1386" s="2" t="s">
        <v>172</v>
      </c>
      <c r="D1386" s="2" t="s">
        <v>164</v>
      </c>
      <c r="E1386" s="2" t="s">
        <v>4646</v>
      </c>
      <c r="F1386" s="2">
        <v>24</v>
      </c>
      <c r="G1386" s="2">
        <v>23.4</v>
      </c>
      <c r="H1386" s="2">
        <v>0.6</v>
      </c>
      <c r="I1386" s="1">
        <v>2.5</v>
      </c>
      <c r="J1386" s="26">
        <v>45384</v>
      </c>
      <c r="K1386" s="22">
        <v>70200</v>
      </c>
      <c r="L1386" s="18">
        <v>75.08</v>
      </c>
      <c r="M1386" s="22">
        <v>50400</v>
      </c>
      <c r="N1386" s="22">
        <v>19800</v>
      </c>
      <c r="O1386" s="18">
        <v>21.18</v>
      </c>
      <c r="P1386" s="52">
        <f>IF(COUNTIF(TblPurchases[BatchID],TblOutcomes[[#This Row],[BatchID]])&lt;&gt;1,"n.a.",TblOutcomes[[#This Row],[Qty Wasted]]*SUMIFS(TblPurchases[Unit Cost (CLP)],TblPurchases[BatchID],TblOutcomes[[#This Row],[BatchID]]))</f>
        <v>1260</v>
      </c>
      <c r="Q1386" s="51">
        <f>IF(COUNTIF(TblPurchases[BatchID],TblOutcomes[[#This Row],[BatchID]])&lt;&gt;1,"n.a.",SUMIFS(TblPurchases[Purchase Date],TblPurchases[BatchID],TblOutcomes[[#This Row],[BatchID]]))</f>
        <v>45144</v>
      </c>
    </row>
    <row r="1387" spans="2:17" x14ac:dyDescent="0.25">
      <c r="B1387" s="2" t="s">
        <v>2192</v>
      </c>
      <c r="C1387" s="2" t="s">
        <v>172</v>
      </c>
      <c r="D1387" s="2" t="s">
        <v>164</v>
      </c>
      <c r="E1387" s="2" t="s">
        <v>4647</v>
      </c>
      <c r="F1387" s="2">
        <v>30</v>
      </c>
      <c r="G1387" s="2">
        <v>30</v>
      </c>
      <c r="H1387" s="2">
        <v>0</v>
      </c>
      <c r="I1387" s="1">
        <v>0</v>
      </c>
      <c r="J1387" s="26">
        <v>45208</v>
      </c>
      <c r="K1387" s="22">
        <v>90000</v>
      </c>
      <c r="L1387" s="18">
        <v>96.26</v>
      </c>
      <c r="M1387" s="22">
        <v>63000</v>
      </c>
      <c r="N1387" s="22">
        <v>27000</v>
      </c>
      <c r="O1387" s="18">
        <v>28.88</v>
      </c>
      <c r="P1387" s="52">
        <f>IF(COUNTIF(TblPurchases[BatchID],TblOutcomes[[#This Row],[BatchID]])&lt;&gt;1,"n.a.",TblOutcomes[[#This Row],[Qty Wasted]]*SUMIFS(TblPurchases[Unit Cost (CLP)],TblPurchases[BatchID],TblOutcomes[[#This Row],[BatchID]]))</f>
        <v>0</v>
      </c>
      <c r="Q1387" s="51">
        <f>IF(COUNTIF(TblPurchases[BatchID],TblOutcomes[[#This Row],[BatchID]])&lt;&gt;1,"n.a.",SUMIFS(TblPurchases[Purchase Date],TblPurchases[BatchID],TblOutcomes[[#This Row],[BatchID]]))</f>
        <v>45191</v>
      </c>
    </row>
    <row r="1388" spans="2:17" x14ac:dyDescent="0.25">
      <c r="B1388" s="2" t="s">
        <v>2193</v>
      </c>
      <c r="C1388" s="2" t="s">
        <v>172</v>
      </c>
      <c r="D1388" s="2" t="s">
        <v>164</v>
      </c>
      <c r="E1388" s="2" t="s">
        <v>4646</v>
      </c>
      <c r="F1388" s="2">
        <v>24</v>
      </c>
      <c r="G1388" s="2">
        <v>22.87</v>
      </c>
      <c r="H1388" s="2">
        <v>1.1299999999999999</v>
      </c>
      <c r="I1388" s="1">
        <v>4.7</v>
      </c>
      <c r="J1388" s="26">
        <v>45468</v>
      </c>
      <c r="K1388" s="22">
        <v>68610</v>
      </c>
      <c r="L1388" s="18">
        <v>73.38</v>
      </c>
      <c r="M1388" s="22">
        <v>50400</v>
      </c>
      <c r="N1388" s="22">
        <v>18210</v>
      </c>
      <c r="O1388" s="18">
        <v>19.48</v>
      </c>
      <c r="P1388" s="52">
        <f>IF(COUNTIF(TblPurchases[BatchID],TblOutcomes[[#This Row],[BatchID]])&lt;&gt;1,"n.a.",TblOutcomes[[#This Row],[Qty Wasted]]*SUMIFS(TblPurchases[Unit Cost (CLP)],TblPurchases[BatchID],TblOutcomes[[#This Row],[BatchID]]))</f>
        <v>2373</v>
      </c>
      <c r="Q1388" s="51">
        <f>IF(COUNTIF(TblPurchases[BatchID],TblOutcomes[[#This Row],[BatchID]])&lt;&gt;1,"n.a.",SUMIFS(TblPurchases[Purchase Date],TblPurchases[BatchID],TblOutcomes[[#This Row],[BatchID]]))</f>
        <v>45228</v>
      </c>
    </row>
    <row r="1389" spans="2:17" x14ac:dyDescent="0.25">
      <c r="B1389" s="2" t="s">
        <v>2194</v>
      </c>
      <c r="C1389" s="2" t="s">
        <v>172</v>
      </c>
      <c r="D1389" s="2" t="s">
        <v>164</v>
      </c>
      <c r="E1389" s="2" t="s">
        <v>4647</v>
      </c>
      <c r="F1389" s="2">
        <v>27</v>
      </c>
      <c r="G1389" s="2">
        <v>27</v>
      </c>
      <c r="H1389" s="2">
        <v>0</v>
      </c>
      <c r="I1389" s="1">
        <v>0</v>
      </c>
      <c r="J1389" s="26">
        <v>45493</v>
      </c>
      <c r="K1389" s="22">
        <v>81000</v>
      </c>
      <c r="L1389" s="18">
        <v>86.63</v>
      </c>
      <c r="M1389" s="22">
        <v>56700</v>
      </c>
      <c r="N1389" s="22">
        <v>24300</v>
      </c>
      <c r="O1389" s="18">
        <v>25.99</v>
      </c>
      <c r="P1389" s="52">
        <f>IF(COUNTIF(TblPurchases[BatchID],TblOutcomes[[#This Row],[BatchID]])&lt;&gt;1,"n.a.",TblOutcomes[[#This Row],[Qty Wasted]]*SUMIFS(TblPurchases[Unit Cost (CLP)],TblPurchases[BatchID],TblOutcomes[[#This Row],[BatchID]]))</f>
        <v>0</v>
      </c>
      <c r="Q1389" s="51">
        <f>IF(COUNTIF(TblPurchases[BatchID],TblOutcomes[[#This Row],[BatchID]])&lt;&gt;1,"n.a.",SUMIFS(TblPurchases[Purchase Date],TblPurchases[BatchID],TblOutcomes[[#This Row],[BatchID]]))</f>
        <v>45253</v>
      </c>
    </row>
    <row r="1390" spans="2:17" x14ac:dyDescent="0.25">
      <c r="B1390" s="2" t="s">
        <v>2195</v>
      </c>
      <c r="C1390" s="2" t="s">
        <v>172</v>
      </c>
      <c r="D1390" s="2" t="s">
        <v>164</v>
      </c>
      <c r="E1390" s="2" t="s">
        <v>4647</v>
      </c>
      <c r="F1390" s="2">
        <v>27</v>
      </c>
      <c r="G1390" s="2">
        <v>27</v>
      </c>
      <c r="H1390" s="2">
        <v>0</v>
      </c>
      <c r="I1390" s="1">
        <v>0</v>
      </c>
      <c r="J1390" s="26">
        <v>45318</v>
      </c>
      <c r="K1390" s="22">
        <v>81000</v>
      </c>
      <c r="L1390" s="18">
        <v>86.63</v>
      </c>
      <c r="M1390" s="22">
        <v>56700</v>
      </c>
      <c r="N1390" s="22">
        <v>24300</v>
      </c>
      <c r="O1390" s="18">
        <v>25.99</v>
      </c>
      <c r="P1390" s="52">
        <f>IF(COUNTIF(TblPurchases[BatchID],TblOutcomes[[#This Row],[BatchID]])&lt;&gt;1,"n.a.",TblOutcomes[[#This Row],[Qty Wasted]]*SUMIFS(TblPurchases[Unit Cost (CLP)],TblPurchases[BatchID],TblOutcomes[[#This Row],[BatchID]]))</f>
        <v>0</v>
      </c>
      <c r="Q1390" s="51">
        <f>IF(COUNTIF(TblPurchases[BatchID],TblOutcomes[[#This Row],[BatchID]])&lt;&gt;1,"n.a.",SUMIFS(TblPurchases[Purchase Date],TblPurchases[BatchID],TblOutcomes[[#This Row],[BatchID]]))</f>
        <v>45286</v>
      </c>
    </row>
    <row r="1391" spans="2:17" x14ac:dyDescent="0.25">
      <c r="B1391" s="2" t="s">
        <v>2196</v>
      </c>
      <c r="C1391" s="2" t="s">
        <v>172</v>
      </c>
      <c r="D1391" s="2" t="s">
        <v>164</v>
      </c>
      <c r="E1391" s="2" t="s">
        <v>4646</v>
      </c>
      <c r="F1391" s="2">
        <v>24</v>
      </c>
      <c r="G1391" s="2">
        <v>22.94</v>
      </c>
      <c r="H1391" s="2">
        <v>1.06</v>
      </c>
      <c r="I1391" s="1">
        <v>4.4000000000000004</v>
      </c>
      <c r="J1391" s="26">
        <v>45560</v>
      </c>
      <c r="K1391" s="22">
        <v>68820</v>
      </c>
      <c r="L1391" s="18">
        <v>73.599999999999994</v>
      </c>
      <c r="M1391" s="22">
        <v>50400</v>
      </c>
      <c r="N1391" s="22">
        <v>18420</v>
      </c>
      <c r="O1391" s="18">
        <v>19.7</v>
      </c>
      <c r="P1391" s="52">
        <f>IF(COUNTIF(TblPurchases[BatchID],TblOutcomes[[#This Row],[BatchID]])&lt;&gt;1,"n.a.",TblOutcomes[[#This Row],[Qty Wasted]]*SUMIFS(TblPurchases[Unit Cost (CLP)],TblPurchases[BatchID],TblOutcomes[[#This Row],[BatchID]]))</f>
        <v>2226</v>
      </c>
      <c r="Q1391" s="51">
        <f>IF(COUNTIF(TblPurchases[BatchID],TblOutcomes[[#This Row],[BatchID]])&lt;&gt;1,"n.a.",SUMIFS(TblPurchases[Purchase Date],TblPurchases[BatchID],TblOutcomes[[#This Row],[BatchID]]))</f>
        <v>45320</v>
      </c>
    </row>
    <row r="1392" spans="2:17" x14ac:dyDescent="0.25">
      <c r="B1392" s="2" t="s">
        <v>2197</v>
      </c>
      <c r="C1392" s="2" t="s">
        <v>172</v>
      </c>
      <c r="D1392" s="2" t="s">
        <v>164</v>
      </c>
      <c r="E1392" s="2" t="s">
        <v>4647</v>
      </c>
      <c r="F1392" s="2">
        <v>27</v>
      </c>
      <c r="G1392" s="2">
        <v>27</v>
      </c>
      <c r="H1392" s="2">
        <v>0</v>
      </c>
      <c r="I1392" s="1">
        <v>0</v>
      </c>
      <c r="J1392" s="26">
        <v>45366</v>
      </c>
      <c r="K1392" s="22">
        <v>81000</v>
      </c>
      <c r="L1392" s="18">
        <v>86.63</v>
      </c>
      <c r="M1392" s="22">
        <v>56700</v>
      </c>
      <c r="N1392" s="22">
        <v>24300</v>
      </c>
      <c r="O1392" s="18">
        <v>25.99</v>
      </c>
      <c r="P1392" s="52">
        <f>IF(COUNTIF(TblPurchases[BatchID],TblOutcomes[[#This Row],[BatchID]])&lt;&gt;1,"n.a.",TblOutcomes[[#This Row],[Qty Wasted]]*SUMIFS(TblPurchases[Unit Cost (CLP)],TblPurchases[BatchID],TblOutcomes[[#This Row],[BatchID]]))</f>
        <v>0</v>
      </c>
      <c r="Q1392" s="51">
        <f>IF(COUNTIF(TblPurchases[BatchID],TblOutcomes[[#This Row],[BatchID]])&lt;&gt;1,"n.a.",SUMIFS(TblPurchases[Purchase Date],TblPurchases[BatchID],TblOutcomes[[#This Row],[BatchID]]))</f>
        <v>45348</v>
      </c>
    </row>
    <row r="1393" spans="2:17" x14ac:dyDescent="0.25">
      <c r="B1393" s="2" t="s">
        <v>2198</v>
      </c>
      <c r="C1393" s="2" t="s">
        <v>172</v>
      </c>
      <c r="D1393" s="2" t="s">
        <v>164</v>
      </c>
      <c r="E1393" s="2" t="s">
        <v>4647</v>
      </c>
      <c r="F1393" s="2">
        <v>24</v>
      </c>
      <c r="G1393" s="2">
        <v>24</v>
      </c>
      <c r="H1393" s="2">
        <v>0</v>
      </c>
      <c r="I1393" s="1">
        <v>0</v>
      </c>
      <c r="J1393" s="26">
        <v>45394</v>
      </c>
      <c r="K1393" s="22">
        <v>72000</v>
      </c>
      <c r="L1393" s="18">
        <v>77.010000000000005</v>
      </c>
      <c r="M1393" s="22">
        <v>50400</v>
      </c>
      <c r="N1393" s="22">
        <v>21600</v>
      </c>
      <c r="O1393" s="18">
        <v>23.1</v>
      </c>
      <c r="P1393" s="52">
        <f>IF(COUNTIF(TblPurchases[BatchID],TblOutcomes[[#This Row],[BatchID]])&lt;&gt;1,"n.a.",TblOutcomes[[#This Row],[Qty Wasted]]*SUMIFS(TblPurchases[Unit Cost (CLP)],TblPurchases[BatchID],TblOutcomes[[#This Row],[BatchID]]))</f>
        <v>0</v>
      </c>
      <c r="Q1393" s="51">
        <f>IF(COUNTIF(TblPurchases[BatchID],TblOutcomes[[#This Row],[BatchID]])&lt;&gt;1,"n.a.",SUMIFS(TblPurchases[Purchase Date],TblPurchases[BatchID],TblOutcomes[[#This Row],[BatchID]]))</f>
        <v>45380</v>
      </c>
    </row>
    <row r="1394" spans="2:17" x14ac:dyDescent="0.25">
      <c r="B1394" s="2" t="s">
        <v>2199</v>
      </c>
      <c r="C1394" s="2" t="s">
        <v>172</v>
      </c>
      <c r="D1394" s="2" t="s">
        <v>164</v>
      </c>
      <c r="E1394" s="2" t="s">
        <v>4647</v>
      </c>
      <c r="F1394" s="2">
        <v>21</v>
      </c>
      <c r="G1394" s="2">
        <v>21</v>
      </c>
      <c r="H1394" s="2">
        <v>0</v>
      </c>
      <c r="I1394" s="1">
        <v>0</v>
      </c>
      <c r="J1394" s="26">
        <v>45462</v>
      </c>
      <c r="K1394" s="22">
        <v>63000</v>
      </c>
      <c r="L1394" s="18">
        <v>67.38</v>
      </c>
      <c r="M1394" s="22">
        <v>44100</v>
      </c>
      <c r="N1394" s="22">
        <v>18900</v>
      </c>
      <c r="O1394" s="18">
        <v>20.21</v>
      </c>
      <c r="P1394" s="52">
        <f>IF(COUNTIF(TblPurchases[BatchID],TblOutcomes[[#This Row],[BatchID]])&lt;&gt;1,"n.a.",TblOutcomes[[#This Row],[Qty Wasted]]*SUMIFS(TblPurchases[Unit Cost (CLP)],TblPurchases[BatchID],TblOutcomes[[#This Row],[BatchID]]))</f>
        <v>0</v>
      </c>
      <c r="Q1394" s="51">
        <f>IF(COUNTIF(TblPurchases[BatchID],TblOutcomes[[#This Row],[BatchID]])&lt;&gt;1,"n.a.",SUMIFS(TblPurchases[Purchase Date],TblPurchases[BatchID],TblOutcomes[[#This Row],[BatchID]]))</f>
        <v>45417</v>
      </c>
    </row>
    <row r="1395" spans="2:17" x14ac:dyDescent="0.25">
      <c r="B1395" s="2" t="s">
        <v>2200</v>
      </c>
      <c r="C1395" s="2" t="s">
        <v>172</v>
      </c>
      <c r="D1395" s="2" t="s">
        <v>164</v>
      </c>
      <c r="E1395" s="2" t="s">
        <v>4646</v>
      </c>
      <c r="F1395" s="2">
        <v>25</v>
      </c>
      <c r="G1395" s="2">
        <v>23.97</v>
      </c>
      <c r="H1395" s="2">
        <v>1.03</v>
      </c>
      <c r="I1395" s="1">
        <v>4.0999999999999996</v>
      </c>
      <c r="J1395" s="26">
        <v>45698</v>
      </c>
      <c r="K1395" s="22">
        <v>71910</v>
      </c>
      <c r="L1395" s="18">
        <v>76.91</v>
      </c>
      <c r="M1395" s="22">
        <v>52500</v>
      </c>
      <c r="N1395" s="22">
        <v>19410</v>
      </c>
      <c r="O1395" s="18">
        <v>20.76</v>
      </c>
      <c r="P1395" s="52">
        <f>IF(COUNTIF(TblPurchases[BatchID],TblOutcomes[[#This Row],[BatchID]])&lt;&gt;1,"n.a.",TblOutcomes[[#This Row],[Qty Wasted]]*SUMIFS(TblPurchases[Unit Cost (CLP)],TblPurchases[BatchID],TblOutcomes[[#This Row],[BatchID]]))</f>
        <v>2163</v>
      </c>
      <c r="Q1395" s="51">
        <f>IF(COUNTIF(TblPurchases[BatchID],TblOutcomes[[#This Row],[BatchID]])&lt;&gt;1,"n.a.",SUMIFS(TblPurchases[Purchase Date],TblPurchases[BatchID],TblOutcomes[[#This Row],[BatchID]]))</f>
        <v>45458</v>
      </c>
    </row>
    <row r="1396" spans="2:17" x14ac:dyDescent="0.25">
      <c r="B1396" s="2" t="s">
        <v>2201</v>
      </c>
      <c r="C1396" s="2" t="s">
        <v>172</v>
      </c>
      <c r="D1396" s="2" t="s">
        <v>164</v>
      </c>
      <c r="E1396" s="2" t="s">
        <v>4646</v>
      </c>
      <c r="F1396" s="2">
        <v>23</v>
      </c>
      <c r="G1396" s="2">
        <v>22.43</v>
      </c>
      <c r="H1396" s="2">
        <v>0.57999999999999996</v>
      </c>
      <c r="I1396" s="1">
        <v>2.5</v>
      </c>
      <c r="J1396" s="26">
        <v>45742</v>
      </c>
      <c r="K1396" s="22">
        <v>67290</v>
      </c>
      <c r="L1396" s="18">
        <v>71.97</v>
      </c>
      <c r="M1396" s="22">
        <v>48300</v>
      </c>
      <c r="N1396" s="22">
        <v>18990</v>
      </c>
      <c r="O1396" s="18">
        <v>20.309999999999999</v>
      </c>
      <c r="P1396" s="52">
        <f>IF(COUNTIF(TblPurchases[BatchID],TblOutcomes[[#This Row],[BatchID]])&lt;&gt;1,"n.a.",TblOutcomes[[#This Row],[Qty Wasted]]*SUMIFS(TblPurchases[Unit Cost (CLP)],TblPurchases[BatchID],TblOutcomes[[#This Row],[BatchID]]))</f>
        <v>1218</v>
      </c>
      <c r="Q1396" s="51">
        <f>IF(COUNTIF(TblPurchases[BatchID],TblOutcomes[[#This Row],[BatchID]])&lt;&gt;1,"n.a.",SUMIFS(TblPurchases[Purchase Date],TblPurchases[BatchID],TblOutcomes[[#This Row],[BatchID]]))</f>
        <v>45502</v>
      </c>
    </row>
    <row r="1397" spans="2:17" x14ac:dyDescent="0.25">
      <c r="B1397" s="2" t="s">
        <v>2202</v>
      </c>
      <c r="C1397" s="2" t="s">
        <v>172</v>
      </c>
      <c r="D1397" s="2" t="s">
        <v>164</v>
      </c>
      <c r="E1397" s="2" t="s">
        <v>4647</v>
      </c>
      <c r="F1397" s="2">
        <v>34</v>
      </c>
      <c r="G1397" s="2">
        <v>34</v>
      </c>
      <c r="H1397" s="2">
        <v>0</v>
      </c>
      <c r="I1397" s="1">
        <v>0</v>
      </c>
      <c r="J1397" s="26">
        <v>45585</v>
      </c>
      <c r="K1397" s="22">
        <v>102000</v>
      </c>
      <c r="L1397" s="18">
        <v>109.09</v>
      </c>
      <c r="M1397" s="22">
        <v>73100</v>
      </c>
      <c r="N1397" s="22">
        <v>28900</v>
      </c>
      <c r="O1397" s="18">
        <v>30.91</v>
      </c>
      <c r="P1397" s="52">
        <f>IF(COUNTIF(TblPurchases[BatchID],TblOutcomes[[#This Row],[BatchID]])&lt;&gt;1,"n.a.",TblOutcomes[[#This Row],[Qty Wasted]]*SUMIFS(TblPurchases[Unit Cost (CLP)],TblPurchases[BatchID],TblOutcomes[[#This Row],[BatchID]]))</f>
        <v>0</v>
      </c>
      <c r="Q1397" s="51">
        <f>IF(COUNTIF(TblPurchases[BatchID],TblOutcomes[[#This Row],[BatchID]])&lt;&gt;1,"n.a.",SUMIFS(TblPurchases[Purchase Date],TblPurchases[BatchID],TblOutcomes[[#This Row],[BatchID]]))</f>
        <v>45540</v>
      </c>
    </row>
    <row r="1398" spans="2:17" x14ac:dyDescent="0.25">
      <c r="B1398" s="2" t="s">
        <v>2203</v>
      </c>
      <c r="C1398" s="2" t="s">
        <v>172</v>
      </c>
      <c r="D1398" s="2" t="s">
        <v>164</v>
      </c>
      <c r="E1398" s="2" t="s">
        <v>4647</v>
      </c>
      <c r="F1398" s="2">
        <v>26</v>
      </c>
      <c r="G1398" s="2">
        <v>26</v>
      </c>
      <c r="H1398" s="2">
        <v>0</v>
      </c>
      <c r="I1398" s="1">
        <v>0</v>
      </c>
      <c r="J1398" s="26">
        <v>45606</v>
      </c>
      <c r="K1398" s="22">
        <v>78000</v>
      </c>
      <c r="L1398" s="18">
        <v>83.42</v>
      </c>
      <c r="M1398" s="22">
        <v>54600</v>
      </c>
      <c r="N1398" s="22">
        <v>23400</v>
      </c>
      <c r="O1398" s="18">
        <v>25.03</v>
      </c>
      <c r="P1398" s="52">
        <f>IF(COUNTIF(TblPurchases[BatchID],TblOutcomes[[#This Row],[BatchID]])&lt;&gt;1,"n.a.",TblOutcomes[[#This Row],[Qty Wasted]]*SUMIFS(TblPurchases[Unit Cost (CLP)],TblPurchases[BatchID],TblOutcomes[[#This Row],[BatchID]]))</f>
        <v>0</v>
      </c>
      <c r="Q1398" s="51">
        <f>IF(COUNTIF(TblPurchases[BatchID],TblOutcomes[[#This Row],[BatchID]])&lt;&gt;1,"n.a.",SUMIFS(TblPurchases[Purchase Date],TblPurchases[BatchID],TblOutcomes[[#This Row],[BatchID]]))</f>
        <v>45582</v>
      </c>
    </row>
    <row r="1399" spans="2:17" x14ac:dyDescent="0.25">
      <c r="B1399" s="2" t="s">
        <v>2204</v>
      </c>
      <c r="C1399" s="2" t="s">
        <v>172</v>
      </c>
      <c r="D1399" s="2" t="s">
        <v>164</v>
      </c>
      <c r="E1399" s="2" t="s">
        <v>4646</v>
      </c>
      <c r="F1399" s="2">
        <v>25</v>
      </c>
      <c r="G1399" s="2">
        <v>24.32</v>
      </c>
      <c r="H1399" s="2">
        <v>0.68</v>
      </c>
      <c r="I1399" s="1">
        <v>2.7</v>
      </c>
      <c r="J1399" s="26">
        <v>45859</v>
      </c>
      <c r="K1399" s="22">
        <v>72960</v>
      </c>
      <c r="L1399" s="18">
        <v>78.03</v>
      </c>
      <c r="M1399" s="22">
        <v>52500</v>
      </c>
      <c r="N1399" s="22">
        <v>20460</v>
      </c>
      <c r="O1399" s="18">
        <v>21.88</v>
      </c>
      <c r="P1399" s="52">
        <f>IF(COUNTIF(TblPurchases[BatchID],TblOutcomes[[#This Row],[BatchID]])&lt;&gt;1,"n.a.",TblOutcomes[[#This Row],[Qty Wasted]]*SUMIFS(TblPurchases[Unit Cost (CLP)],TblPurchases[BatchID],TblOutcomes[[#This Row],[BatchID]]))</f>
        <v>1428</v>
      </c>
      <c r="Q1399" s="51">
        <f>IF(COUNTIF(TblPurchases[BatchID],TblOutcomes[[#This Row],[BatchID]])&lt;&gt;1,"n.a.",SUMIFS(TblPurchases[Purchase Date],TblPurchases[BatchID],TblOutcomes[[#This Row],[BatchID]]))</f>
        <v>45619</v>
      </c>
    </row>
    <row r="1400" spans="2:17" x14ac:dyDescent="0.25">
      <c r="B1400" s="2" t="s">
        <v>2205</v>
      </c>
      <c r="C1400" s="2" t="s">
        <v>172</v>
      </c>
      <c r="D1400" s="2" t="s">
        <v>164</v>
      </c>
      <c r="E1400" s="2" t="s">
        <v>4647</v>
      </c>
      <c r="F1400" s="2">
        <v>28</v>
      </c>
      <c r="G1400" s="2">
        <v>28</v>
      </c>
      <c r="H1400" s="2">
        <v>0</v>
      </c>
      <c r="I1400" s="1">
        <v>0</v>
      </c>
      <c r="J1400" s="26">
        <v>45692</v>
      </c>
      <c r="K1400" s="22">
        <v>84000</v>
      </c>
      <c r="L1400" s="18">
        <v>89.84</v>
      </c>
      <c r="M1400" s="22">
        <v>58800</v>
      </c>
      <c r="N1400" s="22">
        <v>25200</v>
      </c>
      <c r="O1400" s="18">
        <v>26.95</v>
      </c>
      <c r="P1400" s="52">
        <f>IF(COUNTIF(TblPurchases[BatchID],TblOutcomes[[#This Row],[BatchID]])&lt;&gt;1,"n.a.",TblOutcomes[[#This Row],[Qty Wasted]]*SUMIFS(TblPurchases[Unit Cost (CLP)],TblPurchases[BatchID],TblOutcomes[[#This Row],[BatchID]]))</f>
        <v>0</v>
      </c>
      <c r="Q1400" s="51">
        <f>IF(COUNTIF(TblPurchases[BatchID],TblOutcomes[[#This Row],[BatchID]])&lt;&gt;1,"n.a.",SUMIFS(TblPurchases[Purchase Date],TblPurchases[BatchID],TblOutcomes[[#This Row],[BatchID]]))</f>
        <v>45651</v>
      </c>
    </row>
    <row r="1401" spans="2:17" x14ac:dyDescent="0.25">
      <c r="B1401" s="2" t="s">
        <v>2206</v>
      </c>
      <c r="C1401" s="2" t="s">
        <v>172</v>
      </c>
      <c r="D1401" s="2" t="s">
        <v>164</v>
      </c>
      <c r="E1401" s="2" t="s">
        <v>4647</v>
      </c>
      <c r="F1401" s="2">
        <v>24</v>
      </c>
      <c r="G1401" s="2">
        <v>24</v>
      </c>
      <c r="H1401" s="2">
        <v>0</v>
      </c>
      <c r="I1401" s="1">
        <v>0</v>
      </c>
      <c r="J1401" s="26">
        <v>45709</v>
      </c>
      <c r="K1401" s="22">
        <v>72000</v>
      </c>
      <c r="L1401" s="18">
        <v>77.010000000000005</v>
      </c>
      <c r="M1401" s="22">
        <v>50400</v>
      </c>
      <c r="N1401" s="22">
        <v>21600</v>
      </c>
      <c r="O1401" s="18">
        <v>23.1</v>
      </c>
      <c r="P1401" s="52">
        <f>IF(COUNTIF(TblPurchases[BatchID],TblOutcomes[[#This Row],[BatchID]])&lt;&gt;1,"n.a.",TblOutcomes[[#This Row],[Qty Wasted]]*SUMIFS(TblPurchases[Unit Cost (CLP)],TblPurchases[BatchID],TblOutcomes[[#This Row],[BatchID]]))</f>
        <v>0</v>
      </c>
      <c r="Q1401" s="51">
        <f>IF(COUNTIF(TblPurchases[BatchID],TblOutcomes[[#This Row],[BatchID]])&lt;&gt;1,"n.a.",SUMIFS(TblPurchases[Purchase Date],TblPurchases[BatchID],TblOutcomes[[#This Row],[BatchID]]))</f>
        <v>45687</v>
      </c>
    </row>
    <row r="1402" spans="2:17" x14ac:dyDescent="0.25">
      <c r="B1402" s="2" t="s">
        <v>2207</v>
      </c>
      <c r="C1402" s="2" t="s">
        <v>172</v>
      </c>
      <c r="D1402" s="2" t="s">
        <v>164</v>
      </c>
      <c r="E1402" s="2" t="s">
        <v>4646</v>
      </c>
      <c r="F1402" s="2">
        <v>26</v>
      </c>
      <c r="G1402" s="2">
        <v>25.4</v>
      </c>
      <c r="H1402" s="2">
        <v>0.6</v>
      </c>
      <c r="I1402" s="1">
        <v>2.2999999999999998</v>
      </c>
      <c r="J1402" s="26">
        <v>45960</v>
      </c>
      <c r="K1402" s="22">
        <v>76200</v>
      </c>
      <c r="L1402" s="18">
        <v>81.5</v>
      </c>
      <c r="M1402" s="22">
        <v>54600</v>
      </c>
      <c r="N1402" s="22">
        <v>21600</v>
      </c>
      <c r="O1402" s="18">
        <v>23.1</v>
      </c>
      <c r="P1402" s="52">
        <f>IF(COUNTIF(TblPurchases[BatchID],TblOutcomes[[#This Row],[BatchID]])&lt;&gt;1,"n.a.",TblOutcomes[[#This Row],[Qty Wasted]]*SUMIFS(TblPurchases[Unit Cost (CLP)],TblPurchases[BatchID],TblOutcomes[[#This Row],[BatchID]]))</f>
        <v>1260</v>
      </c>
      <c r="Q1402" s="51">
        <f>IF(COUNTIF(TblPurchases[BatchID],TblOutcomes[[#This Row],[BatchID]])&lt;&gt;1,"n.a.",SUMIFS(TblPurchases[Purchase Date],TblPurchases[BatchID],TblOutcomes[[#This Row],[BatchID]]))</f>
        <v>45720</v>
      </c>
    </row>
    <row r="1403" spans="2:17" x14ac:dyDescent="0.25">
      <c r="B1403" s="2" t="s">
        <v>2208</v>
      </c>
      <c r="C1403" s="2" t="s">
        <v>172</v>
      </c>
      <c r="D1403" s="2" t="s">
        <v>164</v>
      </c>
      <c r="E1403" s="2" t="s">
        <v>4646</v>
      </c>
      <c r="F1403" s="2">
        <v>28</v>
      </c>
      <c r="G1403" s="2">
        <v>26.77</v>
      </c>
      <c r="H1403" s="2">
        <v>1.23</v>
      </c>
      <c r="I1403" s="1">
        <v>4.4000000000000004</v>
      </c>
      <c r="J1403" s="26">
        <v>45989</v>
      </c>
      <c r="K1403" s="22">
        <v>80310</v>
      </c>
      <c r="L1403" s="18">
        <v>85.89</v>
      </c>
      <c r="M1403" s="22">
        <v>58800</v>
      </c>
      <c r="N1403" s="22">
        <v>21510</v>
      </c>
      <c r="O1403" s="18">
        <v>23.01</v>
      </c>
      <c r="P1403" s="52">
        <f>IF(COUNTIF(TblPurchases[BatchID],TblOutcomes[[#This Row],[BatchID]])&lt;&gt;1,"n.a.",TblOutcomes[[#This Row],[Qty Wasted]]*SUMIFS(TblPurchases[Unit Cost (CLP)],TblPurchases[BatchID],TblOutcomes[[#This Row],[BatchID]]))</f>
        <v>2583</v>
      </c>
      <c r="Q1403" s="51">
        <f>IF(COUNTIF(TblPurchases[BatchID],TblOutcomes[[#This Row],[BatchID]])&lt;&gt;1,"n.a.",SUMIFS(TblPurchases[Purchase Date],TblPurchases[BatchID],TblOutcomes[[#This Row],[BatchID]]))</f>
        <v>45749</v>
      </c>
    </row>
    <row r="1404" spans="2:17" x14ac:dyDescent="0.25">
      <c r="B1404" s="2" t="s">
        <v>2209</v>
      </c>
      <c r="C1404" s="2" t="s">
        <v>172</v>
      </c>
      <c r="D1404" s="2" t="s">
        <v>164</v>
      </c>
      <c r="E1404" s="2" t="s">
        <v>4647</v>
      </c>
      <c r="F1404" s="2">
        <v>30</v>
      </c>
      <c r="G1404" s="2">
        <v>30</v>
      </c>
      <c r="H1404" s="2">
        <v>0</v>
      </c>
      <c r="I1404" s="1">
        <v>0</v>
      </c>
      <c r="J1404" s="26">
        <v>45808</v>
      </c>
      <c r="K1404" s="22">
        <v>90000</v>
      </c>
      <c r="L1404" s="18">
        <v>96.26</v>
      </c>
      <c r="M1404" s="22">
        <v>63000</v>
      </c>
      <c r="N1404" s="22">
        <v>27000</v>
      </c>
      <c r="O1404" s="18">
        <v>28.88</v>
      </c>
      <c r="P1404" s="52">
        <f>IF(COUNTIF(TblPurchases[BatchID],TblOutcomes[[#This Row],[BatchID]])&lt;&gt;1,"n.a.",TblOutcomes[[#This Row],[Qty Wasted]]*SUMIFS(TblPurchases[Unit Cost (CLP)],TblPurchases[BatchID],TblOutcomes[[#This Row],[BatchID]]))</f>
        <v>0</v>
      </c>
      <c r="Q1404" s="51">
        <f>IF(COUNTIF(TblPurchases[BatchID],TblOutcomes[[#This Row],[BatchID]])&lt;&gt;1,"n.a.",SUMIFS(TblPurchases[Purchase Date],TblPurchases[BatchID],TblOutcomes[[#This Row],[BatchID]]))</f>
        <v>45786</v>
      </c>
    </row>
    <row r="1405" spans="2:17" x14ac:dyDescent="0.25">
      <c r="B1405" s="2" t="s">
        <v>2210</v>
      </c>
      <c r="C1405" s="2" t="s">
        <v>172</v>
      </c>
      <c r="D1405" s="2" t="s">
        <v>164</v>
      </c>
      <c r="E1405" s="2" t="s">
        <v>4647</v>
      </c>
      <c r="F1405" s="2">
        <v>27</v>
      </c>
      <c r="G1405" s="2">
        <v>27</v>
      </c>
      <c r="H1405" s="2">
        <v>0</v>
      </c>
      <c r="I1405" s="1">
        <v>0</v>
      </c>
      <c r="J1405" s="26">
        <v>45850</v>
      </c>
      <c r="K1405" s="22">
        <v>81000</v>
      </c>
      <c r="L1405" s="18">
        <v>86.63</v>
      </c>
      <c r="M1405" s="22">
        <v>58050</v>
      </c>
      <c r="N1405" s="22">
        <v>22950</v>
      </c>
      <c r="O1405" s="18">
        <v>24.55</v>
      </c>
      <c r="P1405" s="52">
        <f>IF(COUNTIF(TblPurchases[BatchID],TblOutcomes[[#This Row],[BatchID]])&lt;&gt;1,"n.a.",TblOutcomes[[#This Row],[Qty Wasted]]*SUMIFS(TblPurchases[Unit Cost (CLP)],TblPurchases[BatchID],TblOutcomes[[#This Row],[BatchID]]))</f>
        <v>0</v>
      </c>
      <c r="Q1405" s="51">
        <f>IF(COUNTIF(TblPurchases[BatchID],TblOutcomes[[#This Row],[BatchID]])&lt;&gt;1,"n.a.",SUMIFS(TblPurchases[Purchase Date],TblPurchases[BatchID],TblOutcomes[[#This Row],[BatchID]]))</f>
        <v>45816</v>
      </c>
    </row>
    <row r="1406" spans="2:17" x14ac:dyDescent="0.25">
      <c r="B1406" s="2" t="s">
        <v>2211</v>
      </c>
      <c r="C1406" s="2" t="s">
        <v>174</v>
      </c>
      <c r="D1406" s="2" t="s">
        <v>176</v>
      </c>
      <c r="E1406" s="2" t="s">
        <v>4647</v>
      </c>
      <c r="F1406" s="2">
        <v>51</v>
      </c>
      <c r="G1406" s="2">
        <v>51</v>
      </c>
      <c r="H1406" s="2">
        <v>0</v>
      </c>
      <c r="I1406" s="1">
        <v>0</v>
      </c>
      <c r="J1406" s="26">
        <v>45140</v>
      </c>
      <c r="K1406" s="22">
        <v>102000</v>
      </c>
      <c r="L1406" s="18">
        <v>109.09</v>
      </c>
      <c r="M1406" s="22">
        <v>73950</v>
      </c>
      <c r="N1406" s="22">
        <v>28050</v>
      </c>
      <c r="O1406" s="18">
        <v>30</v>
      </c>
      <c r="P1406" s="52">
        <f>IF(COUNTIF(TblPurchases[BatchID],TblOutcomes[[#This Row],[BatchID]])&lt;&gt;1,"n.a.",TblOutcomes[[#This Row],[Qty Wasted]]*SUMIFS(TblPurchases[Unit Cost (CLP)],TblPurchases[BatchID],TblOutcomes[[#This Row],[BatchID]]))</f>
        <v>0</v>
      </c>
      <c r="Q1406" s="51">
        <f>IF(COUNTIF(TblPurchases[BatchID],TblOutcomes[[#This Row],[BatchID]])&lt;&gt;1,"n.a.",SUMIFS(TblPurchases[Purchase Date],TblPurchases[BatchID],TblOutcomes[[#This Row],[BatchID]]))</f>
        <v>45109</v>
      </c>
    </row>
    <row r="1407" spans="2:17" x14ac:dyDescent="0.25">
      <c r="B1407" s="2" t="s">
        <v>2212</v>
      </c>
      <c r="C1407" s="2" t="s">
        <v>174</v>
      </c>
      <c r="D1407" s="2" t="s">
        <v>176</v>
      </c>
      <c r="E1407" s="2" t="s">
        <v>4647</v>
      </c>
      <c r="F1407" s="2">
        <v>44</v>
      </c>
      <c r="G1407" s="2">
        <v>44</v>
      </c>
      <c r="H1407" s="2">
        <v>0</v>
      </c>
      <c r="I1407" s="1">
        <v>0</v>
      </c>
      <c r="J1407" s="26">
        <v>45162</v>
      </c>
      <c r="K1407" s="22">
        <v>88000</v>
      </c>
      <c r="L1407" s="18">
        <v>94.12</v>
      </c>
      <c r="M1407" s="22">
        <v>63800</v>
      </c>
      <c r="N1407" s="22">
        <v>24200</v>
      </c>
      <c r="O1407" s="18">
        <v>25.88</v>
      </c>
      <c r="P1407" s="52">
        <f>IF(COUNTIF(TblPurchases[BatchID],TblOutcomes[[#This Row],[BatchID]])&lt;&gt;1,"n.a.",TblOutcomes[[#This Row],[Qty Wasted]]*SUMIFS(TblPurchases[Unit Cost (CLP)],TblPurchases[BatchID],TblOutcomes[[#This Row],[BatchID]]))</f>
        <v>0</v>
      </c>
      <c r="Q1407" s="51">
        <f>IF(COUNTIF(TblPurchases[BatchID],TblOutcomes[[#This Row],[BatchID]])&lt;&gt;1,"n.a.",SUMIFS(TblPurchases[Purchase Date],TblPurchases[BatchID],TblOutcomes[[#This Row],[BatchID]]))</f>
        <v>45139</v>
      </c>
    </row>
    <row r="1408" spans="2:17" x14ac:dyDescent="0.25">
      <c r="B1408" s="2" t="s">
        <v>2213</v>
      </c>
      <c r="C1408" s="2" t="s">
        <v>174</v>
      </c>
      <c r="D1408" s="2" t="s">
        <v>176</v>
      </c>
      <c r="E1408" s="2" t="s">
        <v>4647</v>
      </c>
      <c r="F1408" s="2">
        <v>66</v>
      </c>
      <c r="G1408" s="2">
        <v>66</v>
      </c>
      <c r="H1408" s="2">
        <v>0</v>
      </c>
      <c r="I1408" s="1">
        <v>0</v>
      </c>
      <c r="J1408" s="26">
        <v>45204</v>
      </c>
      <c r="K1408" s="22">
        <v>132000</v>
      </c>
      <c r="L1408" s="18">
        <v>141.18</v>
      </c>
      <c r="M1408" s="22">
        <v>95700</v>
      </c>
      <c r="N1408" s="22">
        <v>36300</v>
      </c>
      <c r="O1408" s="18">
        <v>38.82</v>
      </c>
      <c r="P1408" s="52">
        <f>IF(COUNTIF(TblPurchases[BatchID],TblOutcomes[[#This Row],[BatchID]])&lt;&gt;1,"n.a.",TblOutcomes[[#This Row],[Qty Wasted]]*SUMIFS(TblPurchases[Unit Cost (CLP)],TblPurchases[BatchID],TblOutcomes[[#This Row],[BatchID]]))</f>
        <v>0</v>
      </c>
      <c r="Q1408" s="51">
        <f>IF(COUNTIF(TblPurchases[BatchID],TblOutcomes[[#This Row],[BatchID]])&lt;&gt;1,"n.a.",SUMIFS(TblPurchases[Purchase Date],TblPurchases[BatchID],TblOutcomes[[#This Row],[BatchID]]))</f>
        <v>45174</v>
      </c>
    </row>
    <row r="1409" spans="2:17" x14ac:dyDescent="0.25">
      <c r="B1409" s="2" t="s">
        <v>2214</v>
      </c>
      <c r="C1409" s="2" t="s">
        <v>174</v>
      </c>
      <c r="D1409" s="2" t="s">
        <v>176</v>
      </c>
      <c r="E1409" s="2" t="s">
        <v>4647</v>
      </c>
      <c r="F1409" s="2">
        <v>47</v>
      </c>
      <c r="G1409" s="2">
        <v>47</v>
      </c>
      <c r="H1409" s="2">
        <v>0</v>
      </c>
      <c r="I1409" s="1">
        <v>0</v>
      </c>
      <c r="J1409" s="26">
        <v>45246</v>
      </c>
      <c r="K1409" s="22">
        <v>94000</v>
      </c>
      <c r="L1409" s="18">
        <v>100.53</v>
      </c>
      <c r="M1409" s="22">
        <v>68150</v>
      </c>
      <c r="N1409" s="22">
        <v>25850</v>
      </c>
      <c r="O1409" s="18">
        <v>27.65</v>
      </c>
      <c r="P1409" s="52">
        <f>IF(COUNTIF(TblPurchases[BatchID],TblOutcomes[[#This Row],[BatchID]])&lt;&gt;1,"n.a.",TblOutcomes[[#This Row],[Qty Wasted]]*SUMIFS(TblPurchases[Unit Cost (CLP)],TblPurchases[BatchID],TblOutcomes[[#This Row],[BatchID]]))</f>
        <v>0</v>
      </c>
      <c r="Q1409" s="51">
        <f>IF(COUNTIF(TblPurchases[BatchID],TblOutcomes[[#This Row],[BatchID]])&lt;&gt;1,"n.a.",SUMIFS(TblPurchases[Purchase Date],TblPurchases[BatchID],TblOutcomes[[#This Row],[BatchID]]))</f>
        <v>45216</v>
      </c>
    </row>
    <row r="1410" spans="2:17" x14ac:dyDescent="0.25">
      <c r="B1410" s="2" t="s">
        <v>2215</v>
      </c>
      <c r="C1410" s="2" t="s">
        <v>174</v>
      </c>
      <c r="D1410" s="2" t="s">
        <v>176</v>
      </c>
      <c r="E1410" s="2" t="s">
        <v>4647</v>
      </c>
      <c r="F1410" s="2">
        <v>44</v>
      </c>
      <c r="G1410" s="2">
        <v>44</v>
      </c>
      <c r="H1410" s="2">
        <v>0</v>
      </c>
      <c r="I1410" s="1">
        <v>0</v>
      </c>
      <c r="J1410" s="26">
        <v>45269</v>
      </c>
      <c r="K1410" s="22">
        <v>88000</v>
      </c>
      <c r="L1410" s="18">
        <v>94.12</v>
      </c>
      <c r="M1410" s="22">
        <v>61600</v>
      </c>
      <c r="N1410" s="22">
        <v>26400</v>
      </c>
      <c r="O1410" s="18">
        <v>28.24</v>
      </c>
      <c r="P1410" s="52">
        <f>IF(COUNTIF(TblPurchases[BatchID],TblOutcomes[[#This Row],[BatchID]])&lt;&gt;1,"n.a.",TblOutcomes[[#This Row],[Qty Wasted]]*SUMIFS(TblPurchases[Unit Cost (CLP)],TblPurchases[BatchID],TblOutcomes[[#This Row],[BatchID]]))</f>
        <v>0</v>
      </c>
      <c r="Q1410" s="51">
        <f>IF(COUNTIF(TblPurchases[BatchID],TblOutcomes[[#This Row],[BatchID]])&lt;&gt;1,"n.a.",SUMIFS(TblPurchases[Purchase Date],TblPurchases[BatchID],TblOutcomes[[#This Row],[BatchID]]))</f>
        <v>45247</v>
      </c>
    </row>
    <row r="1411" spans="2:17" x14ac:dyDescent="0.25">
      <c r="B1411" s="2" t="s">
        <v>2216</v>
      </c>
      <c r="C1411" s="2" t="s">
        <v>174</v>
      </c>
      <c r="D1411" s="2" t="s">
        <v>176</v>
      </c>
      <c r="E1411" s="2" t="s">
        <v>4646</v>
      </c>
      <c r="F1411" s="2">
        <v>57</v>
      </c>
      <c r="G1411" s="2">
        <v>54.78</v>
      </c>
      <c r="H1411" s="2">
        <v>2.2200000000000002</v>
      </c>
      <c r="I1411" s="1">
        <v>3.9</v>
      </c>
      <c r="J1411" s="26">
        <v>45579</v>
      </c>
      <c r="K1411" s="22">
        <v>109560</v>
      </c>
      <c r="L1411" s="18">
        <v>117.18</v>
      </c>
      <c r="M1411" s="22">
        <v>82650</v>
      </c>
      <c r="N1411" s="22">
        <v>26910</v>
      </c>
      <c r="O1411" s="18">
        <v>28.78</v>
      </c>
      <c r="P1411" s="52">
        <f>IF(COUNTIF(TblPurchases[BatchID],TblOutcomes[[#This Row],[BatchID]])&lt;&gt;1,"n.a.",TblOutcomes[[#This Row],[Qty Wasted]]*SUMIFS(TblPurchases[Unit Cost (CLP)],TblPurchases[BatchID],TblOutcomes[[#This Row],[BatchID]]))</f>
        <v>3219.0000000000005</v>
      </c>
      <c r="Q1411" s="51">
        <f>IF(COUNTIF(TblPurchases[BatchID],TblOutcomes[[#This Row],[BatchID]])&lt;&gt;1,"n.a.",SUMIFS(TblPurchases[Purchase Date],TblPurchases[BatchID],TblOutcomes[[#This Row],[BatchID]]))</f>
        <v>45279</v>
      </c>
    </row>
    <row r="1412" spans="2:17" x14ac:dyDescent="0.25">
      <c r="B1412" s="2" t="s">
        <v>2217</v>
      </c>
      <c r="C1412" s="2" t="s">
        <v>174</v>
      </c>
      <c r="D1412" s="2" t="s">
        <v>176</v>
      </c>
      <c r="E1412" s="2" t="s">
        <v>4646</v>
      </c>
      <c r="F1412" s="2">
        <v>54</v>
      </c>
      <c r="G1412" s="2">
        <v>52.76</v>
      </c>
      <c r="H1412" s="2">
        <v>1.24</v>
      </c>
      <c r="I1412" s="1">
        <v>2.2999999999999998</v>
      </c>
      <c r="J1412" s="26">
        <v>45621</v>
      </c>
      <c r="K1412" s="22">
        <v>105520</v>
      </c>
      <c r="L1412" s="18">
        <v>112.86</v>
      </c>
      <c r="M1412" s="22">
        <v>78300</v>
      </c>
      <c r="N1412" s="22">
        <v>27220</v>
      </c>
      <c r="O1412" s="18">
        <v>29.11</v>
      </c>
      <c r="P1412" s="52">
        <f>IF(COUNTIF(TblPurchases[BatchID],TblOutcomes[[#This Row],[BatchID]])&lt;&gt;1,"n.a.",TblOutcomes[[#This Row],[Qty Wasted]]*SUMIFS(TblPurchases[Unit Cost (CLP)],TblPurchases[BatchID],TblOutcomes[[#This Row],[BatchID]]))</f>
        <v>1798</v>
      </c>
      <c r="Q1412" s="51">
        <f>IF(COUNTIF(TblPurchases[BatchID],TblOutcomes[[#This Row],[BatchID]])&lt;&gt;1,"n.a.",SUMIFS(TblPurchases[Purchase Date],TblPurchases[BatchID],TblOutcomes[[#This Row],[BatchID]]))</f>
        <v>45321</v>
      </c>
    </row>
    <row r="1413" spans="2:17" x14ac:dyDescent="0.25">
      <c r="B1413" s="2" t="s">
        <v>2218</v>
      </c>
      <c r="C1413" s="2" t="s">
        <v>174</v>
      </c>
      <c r="D1413" s="2" t="s">
        <v>176</v>
      </c>
      <c r="E1413" s="2" t="s">
        <v>4646</v>
      </c>
      <c r="F1413" s="2">
        <v>43</v>
      </c>
      <c r="G1413" s="2">
        <v>42.1</v>
      </c>
      <c r="H1413" s="2">
        <v>0.9</v>
      </c>
      <c r="I1413" s="1">
        <v>2.1</v>
      </c>
      <c r="J1413" s="26">
        <v>45658</v>
      </c>
      <c r="K1413" s="22">
        <v>84200</v>
      </c>
      <c r="L1413" s="18">
        <v>90.05</v>
      </c>
      <c r="M1413" s="22">
        <v>60200</v>
      </c>
      <c r="N1413" s="22">
        <v>24000</v>
      </c>
      <c r="O1413" s="18">
        <v>25.67</v>
      </c>
      <c r="P1413" s="52">
        <f>IF(COUNTIF(TblPurchases[BatchID],TblOutcomes[[#This Row],[BatchID]])&lt;&gt;1,"n.a.",TblOutcomes[[#This Row],[Qty Wasted]]*SUMIFS(TblPurchases[Unit Cost (CLP)],TblPurchases[BatchID],TblOutcomes[[#This Row],[BatchID]]))</f>
        <v>1260</v>
      </c>
      <c r="Q1413" s="51">
        <f>IF(COUNTIF(TblPurchases[BatchID],TblOutcomes[[#This Row],[BatchID]])&lt;&gt;1,"n.a.",SUMIFS(TblPurchases[Purchase Date],TblPurchases[BatchID],TblOutcomes[[#This Row],[BatchID]]))</f>
        <v>45358</v>
      </c>
    </row>
    <row r="1414" spans="2:17" x14ac:dyDescent="0.25">
      <c r="B1414" s="2" t="s">
        <v>2219</v>
      </c>
      <c r="C1414" s="2" t="s">
        <v>174</v>
      </c>
      <c r="D1414" s="2" t="s">
        <v>176</v>
      </c>
      <c r="E1414" s="2" t="s">
        <v>4647</v>
      </c>
      <c r="F1414" s="2">
        <v>55</v>
      </c>
      <c r="G1414" s="2">
        <v>55</v>
      </c>
      <c r="H1414" s="2">
        <v>0</v>
      </c>
      <c r="I1414" s="1">
        <v>0</v>
      </c>
      <c r="J1414" s="26">
        <v>45682</v>
      </c>
      <c r="K1414" s="22">
        <v>110000</v>
      </c>
      <c r="L1414" s="18">
        <v>117.65</v>
      </c>
      <c r="M1414" s="22">
        <v>79750</v>
      </c>
      <c r="N1414" s="22">
        <v>30250</v>
      </c>
      <c r="O1414" s="18">
        <v>32.35</v>
      </c>
      <c r="P1414" s="52">
        <f>IF(COUNTIF(TblPurchases[BatchID],TblOutcomes[[#This Row],[BatchID]])&lt;&gt;1,"n.a.",TblOutcomes[[#This Row],[Qty Wasted]]*SUMIFS(TblPurchases[Unit Cost (CLP)],TblPurchases[BatchID],TblOutcomes[[#This Row],[BatchID]]))</f>
        <v>0</v>
      </c>
      <c r="Q1414" s="51">
        <f>IF(COUNTIF(TblPurchases[BatchID],TblOutcomes[[#This Row],[BatchID]])&lt;&gt;1,"n.a.",SUMIFS(TblPurchases[Purchase Date],TblPurchases[BatchID],TblOutcomes[[#This Row],[BatchID]]))</f>
        <v>45382</v>
      </c>
    </row>
    <row r="1415" spans="2:17" x14ac:dyDescent="0.25">
      <c r="B1415" s="2" t="s">
        <v>2220</v>
      </c>
      <c r="C1415" s="2" t="s">
        <v>174</v>
      </c>
      <c r="D1415" s="2" t="s">
        <v>176</v>
      </c>
      <c r="E1415" s="2" t="s">
        <v>4646</v>
      </c>
      <c r="F1415" s="2">
        <v>48</v>
      </c>
      <c r="G1415" s="2">
        <v>46.9</v>
      </c>
      <c r="H1415" s="2">
        <v>1.1000000000000001</v>
      </c>
      <c r="I1415" s="1">
        <v>2.2999999999999998</v>
      </c>
      <c r="J1415" s="26">
        <v>45718</v>
      </c>
      <c r="K1415" s="22">
        <v>93800</v>
      </c>
      <c r="L1415" s="18">
        <v>100.32</v>
      </c>
      <c r="M1415" s="22">
        <v>69600</v>
      </c>
      <c r="N1415" s="22">
        <v>24200</v>
      </c>
      <c r="O1415" s="18">
        <v>25.88</v>
      </c>
      <c r="P1415" s="52">
        <f>IF(COUNTIF(TblPurchases[BatchID],TblOutcomes[[#This Row],[BatchID]])&lt;&gt;1,"n.a.",TblOutcomes[[#This Row],[Qty Wasted]]*SUMIFS(TblPurchases[Unit Cost (CLP)],TblPurchases[BatchID],TblOutcomes[[#This Row],[BatchID]]))</f>
        <v>1595.0000000000002</v>
      </c>
      <c r="Q1415" s="51">
        <f>IF(COUNTIF(TblPurchases[BatchID],TblOutcomes[[#This Row],[BatchID]])&lt;&gt;1,"n.a.",SUMIFS(TblPurchases[Purchase Date],TblPurchases[BatchID],TblOutcomes[[#This Row],[BatchID]]))</f>
        <v>45418</v>
      </c>
    </row>
    <row r="1416" spans="2:17" x14ac:dyDescent="0.25">
      <c r="B1416" s="2" t="s">
        <v>2221</v>
      </c>
      <c r="C1416" s="2" t="s">
        <v>174</v>
      </c>
      <c r="D1416" s="2" t="s">
        <v>176</v>
      </c>
      <c r="E1416" s="2" t="s">
        <v>4647</v>
      </c>
      <c r="F1416" s="2">
        <v>47</v>
      </c>
      <c r="G1416" s="2">
        <v>47</v>
      </c>
      <c r="H1416" s="2">
        <v>0</v>
      </c>
      <c r="I1416" s="1">
        <v>0</v>
      </c>
      <c r="J1416" s="26">
        <v>45479</v>
      </c>
      <c r="K1416" s="22">
        <v>94000</v>
      </c>
      <c r="L1416" s="18">
        <v>100.53</v>
      </c>
      <c r="M1416" s="22">
        <v>68150</v>
      </c>
      <c r="N1416" s="22">
        <v>25850</v>
      </c>
      <c r="O1416" s="18">
        <v>27.65</v>
      </c>
      <c r="P1416" s="52">
        <f>IF(COUNTIF(TblPurchases[BatchID],TblOutcomes[[#This Row],[BatchID]])&lt;&gt;1,"n.a.",TblOutcomes[[#This Row],[Qty Wasted]]*SUMIFS(TblPurchases[Unit Cost (CLP)],TblPurchases[BatchID],TblOutcomes[[#This Row],[BatchID]]))</f>
        <v>0</v>
      </c>
      <c r="Q1416" s="51">
        <f>IF(COUNTIF(TblPurchases[BatchID],TblOutcomes[[#This Row],[BatchID]])&lt;&gt;1,"n.a.",SUMIFS(TblPurchases[Purchase Date],TblPurchases[BatchID],TblOutcomes[[#This Row],[BatchID]]))</f>
        <v>45457</v>
      </c>
    </row>
    <row r="1417" spans="2:17" x14ac:dyDescent="0.25">
      <c r="B1417" s="2" t="s">
        <v>2222</v>
      </c>
      <c r="C1417" s="2" t="s">
        <v>174</v>
      </c>
      <c r="D1417" s="2" t="s">
        <v>176</v>
      </c>
      <c r="E1417" s="2" t="s">
        <v>4647</v>
      </c>
      <c r="F1417" s="2">
        <v>45</v>
      </c>
      <c r="G1417" s="2">
        <v>45</v>
      </c>
      <c r="H1417" s="2">
        <v>0</v>
      </c>
      <c r="I1417" s="1">
        <v>0</v>
      </c>
      <c r="J1417" s="26">
        <v>45787</v>
      </c>
      <c r="K1417" s="22">
        <v>90000</v>
      </c>
      <c r="L1417" s="18">
        <v>96.26</v>
      </c>
      <c r="M1417" s="22">
        <v>65250</v>
      </c>
      <c r="N1417" s="22">
        <v>24750</v>
      </c>
      <c r="O1417" s="18">
        <v>26.47</v>
      </c>
      <c r="P1417" s="52">
        <f>IF(COUNTIF(TblPurchases[BatchID],TblOutcomes[[#This Row],[BatchID]])&lt;&gt;1,"n.a.",TblOutcomes[[#This Row],[Qty Wasted]]*SUMIFS(TblPurchases[Unit Cost (CLP)],TblPurchases[BatchID],TblOutcomes[[#This Row],[BatchID]]))</f>
        <v>0</v>
      </c>
      <c r="Q1417" s="51">
        <f>IF(COUNTIF(TblPurchases[BatchID],TblOutcomes[[#This Row],[BatchID]])&lt;&gt;1,"n.a.",SUMIFS(TblPurchases[Purchase Date],TblPurchases[BatchID],TblOutcomes[[#This Row],[BatchID]]))</f>
        <v>45487</v>
      </c>
    </row>
    <row r="1418" spans="2:17" x14ac:dyDescent="0.25">
      <c r="B1418" s="2" t="s">
        <v>2223</v>
      </c>
      <c r="C1418" s="2" t="s">
        <v>174</v>
      </c>
      <c r="D1418" s="2" t="s">
        <v>176</v>
      </c>
      <c r="E1418" s="2" t="s">
        <v>4646</v>
      </c>
      <c r="F1418" s="2">
        <v>53</v>
      </c>
      <c r="G1418" s="2">
        <v>51.89</v>
      </c>
      <c r="H1418" s="2">
        <v>1.1100000000000001</v>
      </c>
      <c r="I1418" s="1">
        <v>2.1</v>
      </c>
      <c r="J1418" s="26">
        <v>45817</v>
      </c>
      <c r="K1418" s="22">
        <v>103780</v>
      </c>
      <c r="L1418" s="18">
        <v>110.99</v>
      </c>
      <c r="M1418" s="22">
        <v>76850</v>
      </c>
      <c r="N1418" s="22">
        <v>26930</v>
      </c>
      <c r="O1418" s="18">
        <v>28.8</v>
      </c>
      <c r="P1418" s="52">
        <f>IF(COUNTIF(TblPurchases[BatchID],TblOutcomes[[#This Row],[BatchID]])&lt;&gt;1,"n.a.",TblOutcomes[[#This Row],[Qty Wasted]]*SUMIFS(TblPurchases[Unit Cost (CLP)],TblPurchases[BatchID],TblOutcomes[[#This Row],[BatchID]]))</f>
        <v>1609.5000000000002</v>
      </c>
      <c r="Q1418" s="51">
        <f>IF(COUNTIF(TblPurchases[BatchID],TblOutcomes[[#This Row],[BatchID]])&lt;&gt;1,"n.a.",SUMIFS(TblPurchases[Purchase Date],TblPurchases[BatchID],TblOutcomes[[#This Row],[BatchID]]))</f>
        <v>45517</v>
      </c>
    </row>
    <row r="1419" spans="2:17" x14ac:dyDescent="0.25">
      <c r="B1419" s="2" t="s">
        <v>2224</v>
      </c>
      <c r="C1419" s="2" t="s">
        <v>174</v>
      </c>
      <c r="D1419" s="2" t="s">
        <v>176</v>
      </c>
      <c r="E1419" s="2" t="s">
        <v>4647</v>
      </c>
      <c r="F1419" s="2">
        <v>66</v>
      </c>
      <c r="G1419" s="2">
        <v>66</v>
      </c>
      <c r="H1419" s="2">
        <v>0</v>
      </c>
      <c r="I1419" s="1">
        <v>0</v>
      </c>
      <c r="J1419" s="26">
        <v>45575</v>
      </c>
      <c r="K1419" s="22">
        <v>132000</v>
      </c>
      <c r="L1419" s="18">
        <v>141.18</v>
      </c>
      <c r="M1419" s="22">
        <v>95700</v>
      </c>
      <c r="N1419" s="22">
        <v>36300</v>
      </c>
      <c r="O1419" s="18">
        <v>38.82</v>
      </c>
      <c r="P1419" s="52">
        <f>IF(COUNTIF(TblPurchases[BatchID],TblOutcomes[[#This Row],[BatchID]])&lt;&gt;1,"n.a.",TblOutcomes[[#This Row],[Qty Wasted]]*SUMIFS(TblPurchases[Unit Cost (CLP)],TblPurchases[BatchID],TblOutcomes[[#This Row],[BatchID]]))</f>
        <v>0</v>
      </c>
      <c r="Q1419" s="51">
        <f>IF(COUNTIF(TblPurchases[BatchID],TblOutcomes[[#This Row],[BatchID]])&lt;&gt;1,"n.a.",SUMIFS(TblPurchases[Purchase Date],TblPurchases[BatchID],TblOutcomes[[#This Row],[BatchID]]))</f>
        <v>45557</v>
      </c>
    </row>
    <row r="1420" spans="2:17" x14ac:dyDescent="0.25">
      <c r="B1420" s="2" t="s">
        <v>2225</v>
      </c>
      <c r="C1420" s="2" t="s">
        <v>174</v>
      </c>
      <c r="D1420" s="2" t="s">
        <v>176</v>
      </c>
      <c r="E1420" s="2" t="s">
        <v>4647</v>
      </c>
      <c r="F1420" s="2">
        <v>47</v>
      </c>
      <c r="G1420" s="2">
        <v>47</v>
      </c>
      <c r="H1420" s="2">
        <v>0</v>
      </c>
      <c r="I1420" s="1">
        <v>0</v>
      </c>
      <c r="J1420" s="26">
        <v>45611</v>
      </c>
      <c r="K1420" s="22">
        <v>94000</v>
      </c>
      <c r="L1420" s="18">
        <v>100.53</v>
      </c>
      <c r="M1420" s="22">
        <v>68150</v>
      </c>
      <c r="N1420" s="22">
        <v>25850</v>
      </c>
      <c r="O1420" s="18">
        <v>27.65</v>
      </c>
      <c r="P1420" s="52">
        <f>IF(COUNTIF(TblPurchases[BatchID],TblOutcomes[[#This Row],[BatchID]])&lt;&gt;1,"n.a.",TblOutcomes[[#This Row],[Qty Wasted]]*SUMIFS(TblPurchases[Unit Cost (CLP)],TblPurchases[BatchID],TblOutcomes[[#This Row],[BatchID]]))</f>
        <v>0</v>
      </c>
      <c r="Q1420" s="51">
        <f>IF(COUNTIF(TblPurchases[BatchID],TblOutcomes[[#This Row],[BatchID]])&lt;&gt;1,"n.a.",SUMIFS(TblPurchases[Purchase Date],TblPurchases[BatchID],TblOutcomes[[#This Row],[BatchID]]))</f>
        <v>45589</v>
      </c>
    </row>
    <row r="1421" spans="2:17" x14ac:dyDescent="0.25">
      <c r="B1421" s="2" t="s">
        <v>2226</v>
      </c>
      <c r="C1421" s="2" t="s">
        <v>174</v>
      </c>
      <c r="D1421" s="2" t="s">
        <v>176</v>
      </c>
      <c r="E1421" s="2" t="s">
        <v>4647</v>
      </c>
      <c r="F1421" s="2">
        <v>58</v>
      </c>
      <c r="G1421" s="2">
        <v>58</v>
      </c>
      <c r="H1421" s="2">
        <v>0</v>
      </c>
      <c r="I1421" s="1">
        <v>0</v>
      </c>
      <c r="J1421" s="26">
        <v>45663</v>
      </c>
      <c r="K1421" s="22">
        <v>116000</v>
      </c>
      <c r="L1421" s="18">
        <v>124.06</v>
      </c>
      <c r="M1421" s="22">
        <v>81200</v>
      </c>
      <c r="N1421" s="22">
        <v>34800</v>
      </c>
      <c r="O1421" s="18">
        <v>37.22</v>
      </c>
      <c r="P1421" s="52">
        <f>IF(COUNTIF(TblPurchases[BatchID],TblOutcomes[[#This Row],[BatchID]])&lt;&gt;1,"n.a.",TblOutcomes[[#This Row],[Qty Wasted]]*SUMIFS(TblPurchases[Unit Cost (CLP)],TblPurchases[BatchID],TblOutcomes[[#This Row],[BatchID]]))</f>
        <v>0</v>
      </c>
      <c r="Q1421" s="51">
        <f>IF(COUNTIF(TblPurchases[BatchID],TblOutcomes[[#This Row],[BatchID]])&lt;&gt;1,"n.a.",SUMIFS(TblPurchases[Purchase Date],TblPurchases[BatchID],TblOutcomes[[#This Row],[BatchID]]))</f>
        <v>45631</v>
      </c>
    </row>
    <row r="1422" spans="2:17" x14ac:dyDescent="0.25">
      <c r="B1422" s="2" t="s">
        <v>2227</v>
      </c>
      <c r="C1422" s="2" t="s">
        <v>174</v>
      </c>
      <c r="D1422" s="2" t="s">
        <v>176</v>
      </c>
      <c r="E1422" s="2" t="s">
        <v>4647</v>
      </c>
      <c r="F1422" s="2">
        <v>54</v>
      </c>
      <c r="G1422" s="2">
        <v>54</v>
      </c>
      <c r="H1422" s="2">
        <v>0</v>
      </c>
      <c r="I1422" s="1">
        <v>0</v>
      </c>
      <c r="J1422" s="26">
        <v>45672</v>
      </c>
      <c r="K1422" s="22">
        <v>108000</v>
      </c>
      <c r="L1422" s="18">
        <v>115.51</v>
      </c>
      <c r="M1422" s="22">
        <v>78300</v>
      </c>
      <c r="N1422" s="22">
        <v>29700</v>
      </c>
      <c r="O1422" s="18">
        <v>31.76</v>
      </c>
      <c r="P1422" s="52">
        <f>IF(COUNTIF(TblPurchases[BatchID],TblOutcomes[[#This Row],[BatchID]])&lt;&gt;1,"n.a.",TblOutcomes[[#This Row],[Qty Wasted]]*SUMIFS(TblPurchases[Unit Cost (CLP)],TblPurchases[BatchID],TblOutcomes[[#This Row],[BatchID]]))</f>
        <v>0</v>
      </c>
      <c r="Q1422" s="51">
        <f>IF(COUNTIF(TblPurchases[BatchID],TblOutcomes[[#This Row],[BatchID]])&lt;&gt;1,"n.a.",SUMIFS(TblPurchases[Purchase Date],TblPurchases[BatchID],TblOutcomes[[#This Row],[BatchID]]))</f>
        <v>45658</v>
      </c>
    </row>
    <row r="1423" spans="2:17" x14ac:dyDescent="0.25">
      <c r="B1423" s="2" t="s">
        <v>2228</v>
      </c>
      <c r="C1423" s="2" t="s">
        <v>174</v>
      </c>
      <c r="D1423" s="2" t="s">
        <v>176</v>
      </c>
      <c r="E1423" s="2" t="s">
        <v>4646</v>
      </c>
      <c r="F1423" s="2">
        <v>53</v>
      </c>
      <c r="G1423" s="2">
        <v>52.15</v>
      </c>
      <c r="H1423" s="2">
        <v>0.85</v>
      </c>
      <c r="I1423" s="1">
        <v>1.6</v>
      </c>
      <c r="J1423" s="26">
        <v>45989</v>
      </c>
      <c r="K1423" s="22">
        <v>104300</v>
      </c>
      <c r="L1423" s="18">
        <v>111.55</v>
      </c>
      <c r="M1423" s="22">
        <v>76850</v>
      </c>
      <c r="N1423" s="22">
        <v>27450</v>
      </c>
      <c r="O1423" s="18">
        <v>29.36</v>
      </c>
      <c r="P1423" s="52">
        <f>IF(COUNTIF(TblPurchases[BatchID],TblOutcomes[[#This Row],[BatchID]])&lt;&gt;1,"n.a.",TblOutcomes[[#This Row],[Qty Wasted]]*SUMIFS(TblPurchases[Unit Cost (CLP)],TblPurchases[BatchID],TblOutcomes[[#This Row],[BatchID]]))</f>
        <v>1232.5</v>
      </c>
      <c r="Q1423" s="51">
        <f>IF(COUNTIF(TblPurchases[BatchID],TblOutcomes[[#This Row],[BatchID]])&lt;&gt;1,"n.a.",SUMIFS(TblPurchases[Purchase Date],TblPurchases[BatchID],TblOutcomes[[#This Row],[BatchID]]))</f>
        <v>45689</v>
      </c>
    </row>
    <row r="1424" spans="2:17" x14ac:dyDescent="0.25">
      <c r="B1424" s="2" t="s">
        <v>2229</v>
      </c>
      <c r="C1424" s="2" t="s">
        <v>174</v>
      </c>
      <c r="D1424" s="2" t="s">
        <v>176</v>
      </c>
      <c r="E1424" s="2" t="s">
        <v>4647</v>
      </c>
      <c r="F1424" s="2">
        <v>48</v>
      </c>
      <c r="G1424" s="2">
        <v>48</v>
      </c>
      <c r="H1424" s="2">
        <v>0</v>
      </c>
      <c r="I1424" s="1">
        <v>0</v>
      </c>
      <c r="J1424" s="26">
        <v>45763</v>
      </c>
      <c r="K1424" s="22">
        <v>96000</v>
      </c>
      <c r="L1424" s="18">
        <v>102.67</v>
      </c>
      <c r="M1424" s="22">
        <v>67200</v>
      </c>
      <c r="N1424" s="22">
        <v>28800</v>
      </c>
      <c r="O1424" s="18">
        <v>30.8</v>
      </c>
      <c r="P1424" s="52">
        <f>IF(COUNTIF(TblPurchases[BatchID],TblOutcomes[[#This Row],[BatchID]])&lt;&gt;1,"n.a.",TblOutcomes[[#This Row],[Qty Wasted]]*SUMIFS(TblPurchases[Unit Cost (CLP)],TblPurchases[BatchID],TblOutcomes[[#This Row],[BatchID]]))</f>
        <v>0</v>
      </c>
      <c r="Q1424" s="51">
        <f>IF(COUNTIF(TblPurchases[BatchID],TblOutcomes[[#This Row],[BatchID]])&lt;&gt;1,"n.a.",SUMIFS(TblPurchases[Purchase Date],TblPurchases[BatchID],TblOutcomes[[#This Row],[BatchID]]))</f>
        <v>45729</v>
      </c>
    </row>
    <row r="1425" spans="2:17" x14ac:dyDescent="0.25">
      <c r="B1425" s="2" t="s">
        <v>2230</v>
      </c>
      <c r="C1425" s="2" t="s">
        <v>174</v>
      </c>
      <c r="D1425" s="2" t="s">
        <v>176</v>
      </c>
      <c r="E1425" s="2" t="s">
        <v>4646</v>
      </c>
      <c r="F1425" s="2">
        <v>48</v>
      </c>
      <c r="G1425" s="2">
        <v>46.99</v>
      </c>
      <c r="H1425" s="2">
        <v>1.01</v>
      </c>
      <c r="I1425" s="1">
        <v>2.1</v>
      </c>
      <c r="J1425" s="26">
        <v>46063</v>
      </c>
      <c r="K1425" s="22">
        <v>93980</v>
      </c>
      <c r="L1425" s="18">
        <v>100.51</v>
      </c>
      <c r="M1425" s="22">
        <v>69600</v>
      </c>
      <c r="N1425" s="22">
        <v>24380</v>
      </c>
      <c r="O1425" s="18">
        <v>26.07</v>
      </c>
      <c r="P1425" s="52">
        <f>IF(COUNTIF(TblPurchases[BatchID],TblOutcomes[[#This Row],[BatchID]])&lt;&gt;1,"n.a.",TblOutcomes[[#This Row],[Qty Wasted]]*SUMIFS(TblPurchases[Unit Cost (CLP)],TblPurchases[BatchID],TblOutcomes[[#This Row],[BatchID]]))</f>
        <v>1464.5</v>
      </c>
      <c r="Q1425" s="51">
        <f>IF(COUNTIF(TblPurchases[BatchID],TblOutcomes[[#This Row],[BatchID]])&lt;&gt;1,"n.a.",SUMIFS(TblPurchases[Purchase Date],TblPurchases[BatchID],TblOutcomes[[#This Row],[BatchID]]))</f>
        <v>45763</v>
      </c>
    </row>
    <row r="1426" spans="2:17" x14ac:dyDescent="0.25">
      <c r="B1426" s="2" t="s">
        <v>2231</v>
      </c>
      <c r="C1426" s="2" t="s">
        <v>174</v>
      </c>
      <c r="D1426" s="2" t="s">
        <v>176</v>
      </c>
      <c r="E1426" s="2" t="s">
        <v>4647</v>
      </c>
      <c r="F1426" s="2">
        <v>50</v>
      </c>
      <c r="G1426" s="2">
        <v>50</v>
      </c>
      <c r="H1426" s="2">
        <v>0</v>
      </c>
      <c r="I1426" s="1">
        <v>0</v>
      </c>
      <c r="J1426" s="26">
        <v>45837</v>
      </c>
      <c r="K1426" s="22">
        <v>100000</v>
      </c>
      <c r="L1426" s="18">
        <v>106.95</v>
      </c>
      <c r="M1426" s="22">
        <v>72500</v>
      </c>
      <c r="N1426" s="22">
        <v>27500</v>
      </c>
      <c r="O1426" s="18">
        <v>29.41</v>
      </c>
      <c r="P1426" s="52">
        <f>IF(COUNTIF(TblPurchases[BatchID],TblOutcomes[[#This Row],[BatchID]])&lt;&gt;1,"n.a.",TblOutcomes[[#This Row],[Qty Wasted]]*SUMIFS(TblPurchases[Unit Cost (CLP)],TblPurchases[BatchID],TblOutcomes[[#This Row],[BatchID]]))</f>
        <v>0</v>
      </c>
      <c r="Q1426" s="51">
        <f>IF(COUNTIF(TblPurchases[BatchID],TblOutcomes[[#This Row],[BatchID]])&lt;&gt;1,"n.a.",SUMIFS(TblPurchases[Purchase Date],TblPurchases[BatchID],TblOutcomes[[#This Row],[BatchID]]))</f>
        <v>45796</v>
      </c>
    </row>
    <row r="1427" spans="2:17" x14ac:dyDescent="0.25">
      <c r="B1427" s="2" t="s">
        <v>2232</v>
      </c>
      <c r="C1427" s="2" t="s">
        <v>174</v>
      </c>
      <c r="D1427" s="2" t="s">
        <v>176</v>
      </c>
      <c r="E1427" s="2" t="s">
        <v>4646</v>
      </c>
      <c r="F1427" s="2">
        <v>61</v>
      </c>
      <c r="G1427" s="2">
        <v>59.84</v>
      </c>
      <c r="H1427" s="2">
        <v>1.1599999999999999</v>
      </c>
      <c r="I1427" s="1">
        <v>1.9</v>
      </c>
      <c r="J1427" s="26">
        <v>46126</v>
      </c>
      <c r="K1427" s="22">
        <v>119680</v>
      </c>
      <c r="L1427" s="18">
        <v>128</v>
      </c>
      <c r="M1427" s="22">
        <v>88450</v>
      </c>
      <c r="N1427" s="22">
        <v>31230</v>
      </c>
      <c r="O1427" s="18">
        <v>33.4</v>
      </c>
      <c r="P1427" s="52">
        <f>IF(COUNTIF(TblPurchases[BatchID],TblOutcomes[[#This Row],[BatchID]])&lt;&gt;1,"n.a.",TblOutcomes[[#This Row],[Qty Wasted]]*SUMIFS(TblPurchases[Unit Cost (CLP)],TblPurchases[BatchID],TblOutcomes[[#This Row],[BatchID]]))</f>
        <v>1681.9999999999998</v>
      </c>
      <c r="Q1427" s="51">
        <f>IF(COUNTIF(TblPurchases[BatchID],TblOutcomes[[#This Row],[BatchID]])&lt;&gt;1,"n.a.",SUMIFS(TblPurchases[Purchase Date],TblPurchases[BatchID],TblOutcomes[[#This Row],[BatchID]]))</f>
        <v>45826</v>
      </c>
    </row>
    <row r="1428" spans="2:17" x14ac:dyDescent="0.25">
      <c r="B1428" s="2" t="s">
        <v>2233</v>
      </c>
      <c r="C1428" s="2" t="s">
        <v>178</v>
      </c>
      <c r="D1428" s="2" t="s">
        <v>176</v>
      </c>
      <c r="E1428" s="2" t="s">
        <v>4647</v>
      </c>
      <c r="F1428" s="2">
        <v>22</v>
      </c>
      <c r="G1428" s="2">
        <v>22</v>
      </c>
      <c r="H1428" s="2">
        <v>0</v>
      </c>
      <c r="I1428" s="1">
        <v>0</v>
      </c>
      <c r="J1428" s="26">
        <v>45160</v>
      </c>
      <c r="K1428" s="22">
        <v>44000</v>
      </c>
      <c r="L1428" s="18">
        <v>47.06</v>
      </c>
      <c r="M1428" s="22">
        <v>29700</v>
      </c>
      <c r="N1428" s="22">
        <v>14300</v>
      </c>
      <c r="O1428" s="18">
        <v>15.29</v>
      </c>
      <c r="P1428" s="52">
        <f>IF(COUNTIF(TblPurchases[BatchID],TblOutcomes[[#This Row],[BatchID]])&lt;&gt;1,"n.a.",TblOutcomes[[#This Row],[Qty Wasted]]*SUMIFS(TblPurchases[Unit Cost (CLP)],TblPurchases[BatchID],TblOutcomes[[#This Row],[BatchID]]))</f>
        <v>0</v>
      </c>
      <c r="Q1428" s="51">
        <f>IF(COUNTIF(TblPurchases[BatchID],TblOutcomes[[#This Row],[BatchID]])&lt;&gt;1,"n.a.",SUMIFS(TblPurchases[Purchase Date],TblPurchases[BatchID],TblOutcomes[[#This Row],[BatchID]]))</f>
        <v>45136</v>
      </c>
    </row>
    <row r="1429" spans="2:17" x14ac:dyDescent="0.25">
      <c r="B1429" s="2" t="s">
        <v>2234</v>
      </c>
      <c r="C1429" s="2" t="s">
        <v>178</v>
      </c>
      <c r="D1429" s="2" t="s">
        <v>176</v>
      </c>
      <c r="E1429" s="2" t="s">
        <v>4646</v>
      </c>
      <c r="F1429" s="2">
        <v>21</v>
      </c>
      <c r="G1429" s="2">
        <v>20.68</v>
      </c>
      <c r="H1429" s="2">
        <v>0.32</v>
      </c>
      <c r="I1429" s="1">
        <v>1.5</v>
      </c>
      <c r="J1429" s="26">
        <v>45465</v>
      </c>
      <c r="K1429" s="22">
        <v>41360</v>
      </c>
      <c r="L1429" s="18">
        <v>44.24</v>
      </c>
      <c r="M1429" s="22">
        <v>28350</v>
      </c>
      <c r="N1429" s="22">
        <v>13010</v>
      </c>
      <c r="O1429" s="18">
        <v>13.91</v>
      </c>
      <c r="P1429" s="52">
        <f>IF(COUNTIF(TblPurchases[BatchID],TblOutcomes[[#This Row],[BatchID]])&lt;&gt;1,"n.a.",TblOutcomes[[#This Row],[Qty Wasted]]*SUMIFS(TblPurchases[Unit Cost (CLP)],TblPurchases[BatchID],TblOutcomes[[#This Row],[BatchID]]))</f>
        <v>432</v>
      </c>
      <c r="Q1429" s="51">
        <f>IF(COUNTIF(TblPurchases[BatchID],TblOutcomes[[#This Row],[BatchID]])&lt;&gt;1,"n.a.",SUMIFS(TblPurchases[Purchase Date],TblPurchases[BatchID],TblOutcomes[[#This Row],[BatchID]]))</f>
        <v>45165</v>
      </c>
    </row>
    <row r="1430" spans="2:17" x14ac:dyDescent="0.25">
      <c r="B1430" s="2" t="s">
        <v>2235</v>
      </c>
      <c r="C1430" s="2" t="s">
        <v>178</v>
      </c>
      <c r="D1430" s="2" t="s">
        <v>176</v>
      </c>
      <c r="E1430" s="2" t="s">
        <v>4647</v>
      </c>
      <c r="F1430" s="2">
        <v>26</v>
      </c>
      <c r="G1430" s="2">
        <v>26</v>
      </c>
      <c r="H1430" s="2">
        <v>0</v>
      </c>
      <c r="I1430" s="1">
        <v>0</v>
      </c>
      <c r="J1430" s="26">
        <v>45239</v>
      </c>
      <c r="K1430" s="22">
        <v>52000</v>
      </c>
      <c r="L1430" s="18">
        <v>55.61</v>
      </c>
      <c r="M1430" s="22">
        <v>35100</v>
      </c>
      <c r="N1430" s="22">
        <v>16900</v>
      </c>
      <c r="O1430" s="18">
        <v>18.07</v>
      </c>
      <c r="P1430" s="52">
        <f>IF(COUNTIF(TblPurchases[BatchID],TblOutcomes[[#This Row],[BatchID]])&lt;&gt;1,"n.a.",TblOutcomes[[#This Row],[Qty Wasted]]*SUMIFS(TblPurchases[Unit Cost (CLP)],TblPurchases[BatchID],TblOutcomes[[#This Row],[BatchID]]))</f>
        <v>0</v>
      </c>
      <c r="Q1430" s="51">
        <f>IF(COUNTIF(TblPurchases[BatchID],TblOutcomes[[#This Row],[BatchID]])&lt;&gt;1,"n.a.",SUMIFS(TblPurchases[Purchase Date],TblPurchases[BatchID],TblOutcomes[[#This Row],[BatchID]]))</f>
        <v>45207</v>
      </c>
    </row>
    <row r="1431" spans="2:17" x14ac:dyDescent="0.25">
      <c r="B1431" s="2" t="s">
        <v>2236</v>
      </c>
      <c r="C1431" s="2" t="s">
        <v>178</v>
      </c>
      <c r="D1431" s="2" t="s">
        <v>176</v>
      </c>
      <c r="E1431" s="2" t="s">
        <v>4646</v>
      </c>
      <c r="F1431" s="2">
        <v>21</v>
      </c>
      <c r="G1431" s="2">
        <v>20.329999999999998</v>
      </c>
      <c r="H1431" s="2">
        <v>0.67</v>
      </c>
      <c r="I1431" s="1">
        <v>3.2</v>
      </c>
      <c r="J1431" s="26">
        <v>45542</v>
      </c>
      <c r="K1431" s="22">
        <v>40660</v>
      </c>
      <c r="L1431" s="18">
        <v>43.49</v>
      </c>
      <c r="M1431" s="22">
        <v>28350</v>
      </c>
      <c r="N1431" s="22">
        <v>12310</v>
      </c>
      <c r="O1431" s="18">
        <v>13.17</v>
      </c>
      <c r="P1431" s="52">
        <f>IF(COUNTIF(TblPurchases[BatchID],TblOutcomes[[#This Row],[BatchID]])&lt;&gt;1,"n.a.",TblOutcomes[[#This Row],[Qty Wasted]]*SUMIFS(TblPurchases[Unit Cost (CLP)],TblPurchases[BatchID],TblOutcomes[[#This Row],[BatchID]]))</f>
        <v>904.5</v>
      </c>
      <c r="Q1431" s="51">
        <f>IF(COUNTIF(TblPurchases[BatchID],TblOutcomes[[#This Row],[BatchID]])&lt;&gt;1,"n.a.",SUMIFS(TblPurchases[Purchase Date],TblPurchases[BatchID],TblOutcomes[[#This Row],[BatchID]]))</f>
        <v>45242</v>
      </c>
    </row>
    <row r="1432" spans="2:17" x14ac:dyDescent="0.25">
      <c r="B1432" s="2" t="s">
        <v>2237</v>
      </c>
      <c r="C1432" s="2" t="s">
        <v>178</v>
      </c>
      <c r="D1432" s="2" t="s">
        <v>176</v>
      </c>
      <c r="E1432" s="2" t="s">
        <v>4646</v>
      </c>
      <c r="F1432" s="2">
        <v>23</v>
      </c>
      <c r="G1432" s="2">
        <v>22.26</v>
      </c>
      <c r="H1432" s="2">
        <v>0.74</v>
      </c>
      <c r="I1432" s="1">
        <v>3.2</v>
      </c>
      <c r="J1432" s="26">
        <v>45592</v>
      </c>
      <c r="K1432" s="22">
        <v>44520</v>
      </c>
      <c r="L1432" s="18">
        <v>47.61</v>
      </c>
      <c r="M1432" s="22">
        <v>31050</v>
      </c>
      <c r="N1432" s="22">
        <v>13470</v>
      </c>
      <c r="O1432" s="18">
        <v>14.41</v>
      </c>
      <c r="P1432" s="52">
        <f>IF(COUNTIF(TblPurchases[BatchID],TblOutcomes[[#This Row],[BatchID]])&lt;&gt;1,"n.a.",TblOutcomes[[#This Row],[Qty Wasted]]*SUMIFS(TblPurchases[Unit Cost (CLP)],TblPurchases[BatchID],TblOutcomes[[#This Row],[BatchID]]))</f>
        <v>999</v>
      </c>
      <c r="Q1432" s="51">
        <f>IF(COUNTIF(TblPurchases[BatchID],TblOutcomes[[#This Row],[BatchID]])&lt;&gt;1,"n.a.",SUMIFS(TblPurchases[Purchase Date],TblPurchases[BatchID],TblOutcomes[[#This Row],[BatchID]]))</f>
        <v>45292</v>
      </c>
    </row>
    <row r="1433" spans="2:17" x14ac:dyDescent="0.25">
      <c r="B1433" s="2" t="s">
        <v>2238</v>
      </c>
      <c r="C1433" s="2" t="s">
        <v>178</v>
      </c>
      <c r="D1433" s="2" t="s">
        <v>176</v>
      </c>
      <c r="E1433" s="2" t="s">
        <v>4646</v>
      </c>
      <c r="F1433" s="2">
        <v>26</v>
      </c>
      <c r="G1433" s="2">
        <v>25.58</v>
      </c>
      <c r="H1433" s="2">
        <v>0.42</v>
      </c>
      <c r="I1433" s="1">
        <v>1.6</v>
      </c>
      <c r="J1433" s="26">
        <v>45631</v>
      </c>
      <c r="K1433" s="22">
        <v>51160</v>
      </c>
      <c r="L1433" s="18">
        <v>54.72</v>
      </c>
      <c r="M1433" s="22">
        <v>35100</v>
      </c>
      <c r="N1433" s="22">
        <v>16060</v>
      </c>
      <c r="O1433" s="18">
        <v>17.18</v>
      </c>
      <c r="P1433" s="52">
        <f>IF(COUNTIF(TblPurchases[BatchID],TblOutcomes[[#This Row],[BatchID]])&lt;&gt;1,"n.a.",TblOutcomes[[#This Row],[Qty Wasted]]*SUMIFS(TblPurchases[Unit Cost (CLP)],TblPurchases[BatchID],TblOutcomes[[#This Row],[BatchID]]))</f>
        <v>567</v>
      </c>
      <c r="Q1433" s="51">
        <f>IF(COUNTIF(TblPurchases[BatchID],TblOutcomes[[#This Row],[BatchID]])&lt;&gt;1,"n.a.",SUMIFS(TblPurchases[Purchase Date],TblPurchases[BatchID],TblOutcomes[[#This Row],[BatchID]]))</f>
        <v>45331</v>
      </c>
    </row>
    <row r="1434" spans="2:17" x14ac:dyDescent="0.25">
      <c r="B1434" s="2" t="s">
        <v>2239</v>
      </c>
      <c r="C1434" s="2" t="s">
        <v>178</v>
      </c>
      <c r="D1434" s="2" t="s">
        <v>176</v>
      </c>
      <c r="E1434" s="2" t="s">
        <v>4647</v>
      </c>
      <c r="F1434" s="2">
        <v>22</v>
      </c>
      <c r="G1434" s="2">
        <v>22</v>
      </c>
      <c r="H1434" s="2">
        <v>0</v>
      </c>
      <c r="I1434" s="1">
        <v>0</v>
      </c>
      <c r="J1434" s="26">
        <v>45384</v>
      </c>
      <c r="K1434" s="22">
        <v>44000</v>
      </c>
      <c r="L1434" s="18">
        <v>47.06</v>
      </c>
      <c r="M1434" s="22">
        <v>29700</v>
      </c>
      <c r="N1434" s="22">
        <v>14300</v>
      </c>
      <c r="O1434" s="18">
        <v>15.29</v>
      </c>
      <c r="P1434" s="52">
        <f>IF(COUNTIF(TblPurchases[BatchID],TblOutcomes[[#This Row],[BatchID]])&lt;&gt;1,"n.a.",TblOutcomes[[#This Row],[Qty Wasted]]*SUMIFS(TblPurchases[Unit Cost (CLP)],TblPurchases[BatchID],TblOutcomes[[#This Row],[BatchID]]))</f>
        <v>0</v>
      </c>
      <c r="Q1434" s="51">
        <f>IF(COUNTIF(TblPurchases[BatchID],TblOutcomes[[#This Row],[BatchID]])&lt;&gt;1,"n.a.",SUMIFS(TblPurchases[Purchase Date],TblPurchases[BatchID],TblOutcomes[[#This Row],[BatchID]]))</f>
        <v>45362</v>
      </c>
    </row>
    <row r="1435" spans="2:17" x14ac:dyDescent="0.25">
      <c r="B1435" s="2" t="s">
        <v>2240</v>
      </c>
      <c r="C1435" s="2" t="s">
        <v>178</v>
      </c>
      <c r="D1435" s="2" t="s">
        <v>176</v>
      </c>
      <c r="E1435" s="2" t="s">
        <v>4646</v>
      </c>
      <c r="F1435" s="2">
        <v>22</v>
      </c>
      <c r="G1435" s="2">
        <v>21.6</v>
      </c>
      <c r="H1435" s="2">
        <v>0.4</v>
      </c>
      <c r="I1435" s="1">
        <v>1.8</v>
      </c>
      <c r="J1435" s="26">
        <v>45702</v>
      </c>
      <c r="K1435" s="22">
        <v>43200</v>
      </c>
      <c r="L1435" s="18">
        <v>46.2</v>
      </c>
      <c r="M1435" s="22">
        <v>29700</v>
      </c>
      <c r="N1435" s="22">
        <v>13500</v>
      </c>
      <c r="O1435" s="18">
        <v>14.44</v>
      </c>
      <c r="P1435" s="52">
        <f>IF(COUNTIF(TblPurchases[BatchID],TblOutcomes[[#This Row],[BatchID]])&lt;&gt;1,"n.a.",TblOutcomes[[#This Row],[Qty Wasted]]*SUMIFS(TblPurchases[Unit Cost (CLP)],TblPurchases[BatchID],TblOutcomes[[#This Row],[BatchID]]))</f>
        <v>540</v>
      </c>
      <c r="Q1435" s="51">
        <f>IF(COUNTIF(TblPurchases[BatchID],TblOutcomes[[#This Row],[BatchID]])&lt;&gt;1,"n.a.",SUMIFS(TblPurchases[Purchase Date],TblPurchases[BatchID],TblOutcomes[[#This Row],[BatchID]]))</f>
        <v>45402</v>
      </c>
    </row>
    <row r="1436" spans="2:17" x14ac:dyDescent="0.25">
      <c r="B1436" s="2" t="s">
        <v>2241</v>
      </c>
      <c r="C1436" s="2" t="s">
        <v>178</v>
      </c>
      <c r="D1436" s="2" t="s">
        <v>176</v>
      </c>
      <c r="E1436" s="2" t="s">
        <v>4647</v>
      </c>
      <c r="F1436" s="2">
        <v>23</v>
      </c>
      <c r="G1436" s="2">
        <v>23</v>
      </c>
      <c r="H1436" s="2">
        <v>0</v>
      </c>
      <c r="I1436" s="1">
        <v>0</v>
      </c>
      <c r="J1436" s="26">
        <v>45474</v>
      </c>
      <c r="K1436" s="22">
        <v>46000</v>
      </c>
      <c r="L1436" s="18">
        <v>49.2</v>
      </c>
      <c r="M1436" s="22">
        <v>31050</v>
      </c>
      <c r="N1436" s="22">
        <v>14950</v>
      </c>
      <c r="O1436" s="18">
        <v>15.99</v>
      </c>
      <c r="P1436" s="52">
        <f>IF(COUNTIF(TblPurchases[BatchID],TblOutcomes[[#This Row],[BatchID]])&lt;&gt;1,"n.a.",TblOutcomes[[#This Row],[Qty Wasted]]*SUMIFS(TblPurchases[Unit Cost (CLP)],TblPurchases[BatchID],TblOutcomes[[#This Row],[BatchID]]))</f>
        <v>0</v>
      </c>
      <c r="Q1436" s="51">
        <f>IF(COUNTIF(TblPurchases[BatchID],TblOutcomes[[#This Row],[BatchID]])&lt;&gt;1,"n.a.",SUMIFS(TblPurchases[Purchase Date],TblPurchases[BatchID],TblOutcomes[[#This Row],[BatchID]]))</f>
        <v>45441</v>
      </c>
    </row>
    <row r="1437" spans="2:17" x14ac:dyDescent="0.25">
      <c r="B1437" s="2" t="s">
        <v>2242</v>
      </c>
      <c r="C1437" s="2" t="s">
        <v>178</v>
      </c>
      <c r="D1437" s="2" t="s">
        <v>176</v>
      </c>
      <c r="E1437" s="2" t="s">
        <v>4647</v>
      </c>
      <c r="F1437" s="2">
        <v>24</v>
      </c>
      <c r="G1437" s="2">
        <v>24</v>
      </c>
      <c r="H1437" s="2">
        <v>0</v>
      </c>
      <c r="I1437" s="1">
        <v>0</v>
      </c>
      <c r="J1437" s="26">
        <v>45516</v>
      </c>
      <c r="K1437" s="22">
        <v>48000</v>
      </c>
      <c r="L1437" s="18">
        <v>51.34</v>
      </c>
      <c r="M1437" s="22">
        <v>32400</v>
      </c>
      <c r="N1437" s="22">
        <v>15600</v>
      </c>
      <c r="O1437" s="18">
        <v>16.68</v>
      </c>
      <c r="P1437" s="52">
        <f>IF(COUNTIF(TblPurchases[BatchID],TblOutcomes[[#This Row],[BatchID]])&lt;&gt;1,"n.a.",TblOutcomes[[#This Row],[Qty Wasted]]*SUMIFS(TblPurchases[Unit Cost (CLP)],TblPurchases[BatchID],TblOutcomes[[#This Row],[BatchID]]))</f>
        <v>0</v>
      </c>
      <c r="Q1437" s="51">
        <f>IF(COUNTIF(TblPurchases[BatchID],TblOutcomes[[#This Row],[BatchID]])&lt;&gt;1,"n.a.",SUMIFS(TblPurchases[Purchase Date],TblPurchases[BatchID],TblOutcomes[[#This Row],[BatchID]]))</f>
        <v>45482</v>
      </c>
    </row>
    <row r="1438" spans="2:17" x14ac:dyDescent="0.25">
      <c r="B1438" s="2" t="s">
        <v>2243</v>
      </c>
      <c r="C1438" s="2" t="s">
        <v>178</v>
      </c>
      <c r="D1438" s="2" t="s">
        <v>176</v>
      </c>
      <c r="E1438" s="2" t="s">
        <v>4647</v>
      </c>
      <c r="F1438" s="2">
        <v>22</v>
      </c>
      <c r="G1438" s="2">
        <v>22</v>
      </c>
      <c r="H1438" s="2">
        <v>0</v>
      </c>
      <c r="I1438" s="1">
        <v>0</v>
      </c>
      <c r="J1438" s="26">
        <v>45537</v>
      </c>
      <c r="K1438" s="22">
        <v>44000</v>
      </c>
      <c r="L1438" s="18">
        <v>47.06</v>
      </c>
      <c r="M1438" s="22">
        <v>29700</v>
      </c>
      <c r="N1438" s="22">
        <v>14300</v>
      </c>
      <c r="O1438" s="18">
        <v>15.29</v>
      </c>
      <c r="P1438" s="52">
        <f>IF(COUNTIF(TblPurchases[BatchID],TblOutcomes[[#This Row],[BatchID]])&lt;&gt;1,"n.a.",TblOutcomes[[#This Row],[Qty Wasted]]*SUMIFS(TblPurchases[Unit Cost (CLP)],TblPurchases[BatchID],TblOutcomes[[#This Row],[BatchID]]))</f>
        <v>0</v>
      </c>
      <c r="Q1438" s="51">
        <f>IF(COUNTIF(TblPurchases[BatchID],TblOutcomes[[#This Row],[BatchID]])&lt;&gt;1,"n.a.",SUMIFS(TblPurchases[Purchase Date],TblPurchases[BatchID],TblOutcomes[[#This Row],[BatchID]]))</f>
        <v>45512</v>
      </c>
    </row>
    <row r="1439" spans="2:17" x14ac:dyDescent="0.25">
      <c r="B1439" s="2" t="s">
        <v>2244</v>
      </c>
      <c r="C1439" s="2" t="s">
        <v>178</v>
      </c>
      <c r="D1439" s="2" t="s">
        <v>176</v>
      </c>
      <c r="E1439" s="2" t="s">
        <v>4647</v>
      </c>
      <c r="F1439" s="2">
        <v>34</v>
      </c>
      <c r="G1439" s="2">
        <v>34</v>
      </c>
      <c r="H1439" s="2">
        <v>0</v>
      </c>
      <c r="I1439" s="1">
        <v>0</v>
      </c>
      <c r="J1439" s="26">
        <v>45564</v>
      </c>
      <c r="K1439" s="22">
        <v>68000</v>
      </c>
      <c r="L1439" s="18">
        <v>72.73</v>
      </c>
      <c r="M1439" s="22">
        <v>45900</v>
      </c>
      <c r="N1439" s="22">
        <v>22100</v>
      </c>
      <c r="O1439" s="18">
        <v>23.64</v>
      </c>
      <c r="P1439" s="52">
        <f>IF(COUNTIF(TblPurchases[BatchID],TblOutcomes[[#This Row],[BatchID]])&lt;&gt;1,"n.a.",TblOutcomes[[#This Row],[Qty Wasted]]*SUMIFS(TblPurchases[Unit Cost (CLP)],TblPurchases[BatchID],TblOutcomes[[#This Row],[BatchID]]))</f>
        <v>0</v>
      </c>
      <c r="Q1439" s="51">
        <f>IF(COUNTIF(TblPurchases[BatchID],TblOutcomes[[#This Row],[BatchID]])&lt;&gt;1,"n.a.",SUMIFS(TblPurchases[Purchase Date],TblPurchases[BatchID],TblOutcomes[[#This Row],[BatchID]]))</f>
        <v>45545</v>
      </c>
    </row>
    <row r="1440" spans="2:17" x14ac:dyDescent="0.25">
      <c r="B1440" s="2" t="s">
        <v>2245</v>
      </c>
      <c r="C1440" s="2" t="s">
        <v>178</v>
      </c>
      <c r="D1440" s="2" t="s">
        <v>176</v>
      </c>
      <c r="E1440" s="2" t="s">
        <v>4646</v>
      </c>
      <c r="F1440" s="2">
        <v>27</v>
      </c>
      <c r="G1440" s="2">
        <v>26.32</v>
      </c>
      <c r="H1440" s="2">
        <v>0.68</v>
      </c>
      <c r="I1440" s="1">
        <v>2.5</v>
      </c>
      <c r="J1440" s="26">
        <v>45878</v>
      </c>
      <c r="K1440" s="22">
        <v>52640</v>
      </c>
      <c r="L1440" s="18">
        <v>56.3</v>
      </c>
      <c r="M1440" s="22">
        <v>36450</v>
      </c>
      <c r="N1440" s="22">
        <v>16190</v>
      </c>
      <c r="O1440" s="18">
        <v>17.32</v>
      </c>
      <c r="P1440" s="52">
        <f>IF(COUNTIF(TblPurchases[BatchID],TblOutcomes[[#This Row],[BatchID]])&lt;&gt;1,"n.a.",TblOutcomes[[#This Row],[Qty Wasted]]*SUMIFS(TblPurchases[Unit Cost (CLP)],TblPurchases[BatchID],TblOutcomes[[#This Row],[BatchID]]))</f>
        <v>918.00000000000011</v>
      </c>
      <c r="Q1440" s="51">
        <f>IF(COUNTIF(TblPurchases[BatchID],TblOutcomes[[#This Row],[BatchID]])&lt;&gt;1,"n.a.",SUMIFS(TblPurchases[Purchase Date],TblPurchases[BatchID],TblOutcomes[[#This Row],[BatchID]]))</f>
        <v>45578</v>
      </c>
    </row>
    <row r="1441" spans="2:17" x14ac:dyDescent="0.25">
      <c r="B1441" s="2" t="s">
        <v>2246</v>
      </c>
      <c r="C1441" s="2" t="s">
        <v>178</v>
      </c>
      <c r="D1441" s="2" t="s">
        <v>176</v>
      </c>
      <c r="E1441" s="2" t="s">
        <v>4646</v>
      </c>
      <c r="F1441" s="2">
        <v>22</v>
      </c>
      <c r="G1441" s="2">
        <v>21.71</v>
      </c>
      <c r="H1441" s="2">
        <v>0.28999999999999998</v>
      </c>
      <c r="I1441" s="1">
        <v>1.3</v>
      </c>
      <c r="J1441" s="26">
        <v>45915</v>
      </c>
      <c r="K1441" s="22">
        <v>43420</v>
      </c>
      <c r="L1441" s="18">
        <v>46.44</v>
      </c>
      <c r="M1441" s="22">
        <v>29700</v>
      </c>
      <c r="N1441" s="22">
        <v>13720</v>
      </c>
      <c r="O1441" s="18">
        <v>14.67</v>
      </c>
      <c r="P1441" s="52">
        <f>IF(COUNTIF(TblPurchases[BatchID],TblOutcomes[[#This Row],[BatchID]])&lt;&gt;1,"n.a.",TblOutcomes[[#This Row],[Qty Wasted]]*SUMIFS(TblPurchases[Unit Cost (CLP)],TblPurchases[BatchID],TblOutcomes[[#This Row],[BatchID]]))</f>
        <v>391.5</v>
      </c>
      <c r="Q1441" s="51">
        <f>IF(COUNTIF(TblPurchases[BatchID],TblOutcomes[[#This Row],[BatchID]])&lt;&gt;1,"n.a.",SUMIFS(TblPurchases[Purchase Date],TblPurchases[BatchID],TblOutcomes[[#This Row],[BatchID]]))</f>
        <v>45615</v>
      </c>
    </row>
    <row r="1442" spans="2:17" x14ac:dyDescent="0.25">
      <c r="B1442" s="2" t="s">
        <v>2247</v>
      </c>
      <c r="C1442" s="2" t="s">
        <v>178</v>
      </c>
      <c r="D1442" s="2" t="s">
        <v>176</v>
      </c>
      <c r="E1442" s="2" t="s">
        <v>4647</v>
      </c>
      <c r="F1442" s="2">
        <v>32</v>
      </c>
      <c r="G1442" s="2">
        <v>32</v>
      </c>
      <c r="H1442" s="2">
        <v>0</v>
      </c>
      <c r="I1442" s="1">
        <v>0</v>
      </c>
      <c r="J1442" s="26">
        <v>45679</v>
      </c>
      <c r="K1442" s="22">
        <v>64000</v>
      </c>
      <c r="L1442" s="18">
        <v>68.45</v>
      </c>
      <c r="M1442" s="22">
        <v>43200</v>
      </c>
      <c r="N1442" s="22">
        <v>20800</v>
      </c>
      <c r="O1442" s="18">
        <v>22.25</v>
      </c>
      <c r="P1442" s="52">
        <f>IF(COUNTIF(TblPurchases[BatchID],TblOutcomes[[#This Row],[BatchID]])&lt;&gt;1,"n.a.",TblOutcomes[[#This Row],[Qty Wasted]]*SUMIFS(TblPurchases[Unit Cost (CLP)],TblPurchases[BatchID],TblOutcomes[[#This Row],[BatchID]]))</f>
        <v>0</v>
      </c>
      <c r="Q1442" s="51">
        <f>IF(COUNTIF(TblPurchases[BatchID],TblOutcomes[[#This Row],[BatchID]])&lt;&gt;1,"n.a.",SUMIFS(TblPurchases[Purchase Date],TblPurchases[BatchID],TblOutcomes[[#This Row],[BatchID]]))</f>
        <v>45644</v>
      </c>
    </row>
    <row r="1443" spans="2:17" x14ac:dyDescent="0.25">
      <c r="B1443" s="2" t="s">
        <v>2248</v>
      </c>
      <c r="C1443" s="2" t="s">
        <v>178</v>
      </c>
      <c r="D1443" s="2" t="s">
        <v>176</v>
      </c>
      <c r="E1443" s="2" t="s">
        <v>4646</v>
      </c>
      <c r="F1443" s="2">
        <v>23</v>
      </c>
      <c r="G1443" s="2">
        <v>22.66</v>
      </c>
      <c r="H1443" s="2">
        <v>0.34</v>
      </c>
      <c r="I1443" s="1">
        <v>1.5</v>
      </c>
      <c r="J1443" s="26">
        <v>45976</v>
      </c>
      <c r="K1443" s="22">
        <v>45320</v>
      </c>
      <c r="L1443" s="18">
        <v>48.47</v>
      </c>
      <c r="M1443" s="22">
        <v>32200</v>
      </c>
      <c r="N1443" s="22">
        <v>13120</v>
      </c>
      <c r="O1443" s="18">
        <v>14.03</v>
      </c>
      <c r="P1443" s="52">
        <f>IF(COUNTIF(TblPurchases[BatchID],TblOutcomes[[#This Row],[BatchID]])&lt;&gt;1,"n.a.",TblOutcomes[[#This Row],[Qty Wasted]]*SUMIFS(TblPurchases[Unit Cost (CLP)],TblPurchases[BatchID],TblOutcomes[[#This Row],[BatchID]]))</f>
        <v>476.00000000000006</v>
      </c>
      <c r="Q1443" s="51">
        <f>IF(COUNTIF(TblPurchases[BatchID],TblOutcomes[[#This Row],[BatchID]])&lt;&gt;1,"n.a.",SUMIFS(TblPurchases[Purchase Date],TblPurchases[BatchID],TblOutcomes[[#This Row],[BatchID]]))</f>
        <v>45676</v>
      </c>
    </row>
    <row r="1444" spans="2:17" x14ac:dyDescent="0.25">
      <c r="B1444" s="2" t="s">
        <v>2249</v>
      </c>
      <c r="C1444" s="2" t="s">
        <v>178</v>
      </c>
      <c r="D1444" s="2" t="s">
        <v>176</v>
      </c>
      <c r="E1444" s="2" t="s">
        <v>4646</v>
      </c>
      <c r="F1444" s="2">
        <v>27</v>
      </c>
      <c r="G1444" s="2">
        <v>26.59</v>
      </c>
      <c r="H1444" s="2">
        <v>0.4</v>
      </c>
      <c r="I1444" s="1">
        <v>1.5</v>
      </c>
      <c r="J1444" s="26">
        <v>46011</v>
      </c>
      <c r="K1444" s="22">
        <v>53180</v>
      </c>
      <c r="L1444" s="18">
        <v>56.88</v>
      </c>
      <c r="M1444" s="22">
        <v>36450</v>
      </c>
      <c r="N1444" s="22">
        <v>16730</v>
      </c>
      <c r="O1444" s="18">
        <v>17.89</v>
      </c>
      <c r="P1444" s="52">
        <f>IF(COUNTIF(TblPurchases[BatchID],TblOutcomes[[#This Row],[BatchID]])&lt;&gt;1,"n.a.",TblOutcomes[[#This Row],[Qty Wasted]]*SUMIFS(TblPurchases[Unit Cost (CLP)],TblPurchases[BatchID],TblOutcomes[[#This Row],[BatchID]]))</f>
        <v>540</v>
      </c>
      <c r="Q1444" s="51">
        <f>IF(COUNTIF(TblPurchases[BatchID],TblOutcomes[[#This Row],[BatchID]])&lt;&gt;1,"n.a.",SUMIFS(TblPurchases[Purchase Date],TblPurchases[BatchID],TblOutcomes[[#This Row],[BatchID]]))</f>
        <v>45711</v>
      </c>
    </row>
    <row r="1445" spans="2:17" x14ac:dyDescent="0.25">
      <c r="B1445" s="2" t="s">
        <v>2250</v>
      </c>
      <c r="C1445" s="2" t="s">
        <v>178</v>
      </c>
      <c r="D1445" s="2" t="s">
        <v>176</v>
      </c>
      <c r="E1445" s="2" t="s">
        <v>4647</v>
      </c>
      <c r="F1445" s="2">
        <v>27</v>
      </c>
      <c r="G1445" s="2">
        <v>27</v>
      </c>
      <c r="H1445" s="2">
        <v>0</v>
      </c>
      <c r="I1445" s="1">
        <v>0</v>
      </c>
      <c r="J1445" s="26">
        <v>45773</v>
      </c>
      <c r="K1445" s="22">
        <v>54000</v>
      </c>
      <c r="L1445" s="18">
        <v>57.75</v>
      </c>
      <c r="M1445" s="22">
        <v>36450</v>
      </c>
      <c r="N1445" s="22">
        <v>17550</v>
      </c>
      <c r="O1445" s="18">
        <v>18.77</v>
      </c>
      <c r="P1445" s="52">
        <f>IF(COUNTIF(TblPurchases[BatchID],TblOutcomes[[#This Row],[BatchID]])&lt;&gt;1,"n.a.",TblOutcomes[[#This Row],[Qty Wasted]]*SUMIFS(TblPurchases[Unit Cost (CLP)],TblPurchases[BatchID],TblOutcomes[[#This Row],[BatchID]]))</f>
        <v>0</v>
      </c>
      <c r="Q1445" s="51">
        <f>IF(COUNTIF(TblPurchases[BatchID],TblOutcomes[[#This Row],[BatchID]])&lt;&gt;1,"n.a.",SUMIFS(TblPurchases[Purchase Date],TblPurchases[BatchID],TblOutcomes[[#This Row],[BatchID]]))</f>
        <v>45746</v>
      </c>
    </row>
    <row r="1446" spans="2:17" x14ac:dyDescent="0.25">
      <c r="B1446" s="2" t="s">
        <v>2251</v>
      </c>
      <c r="C1446" s="2" t="s">
        <v>178</v>
      </c>
      <c r="D1446" s="2" t="s">
        <v>176</v>
      </c>
      <c r="E1446" s="2" t="s">
        <v>4647</v>
      </c>
      <c r="F1446" s="2">
        <v>25</v>
      </c>
      <c r="G1446" s="2">
        <v>25</v>
      </c>
      <c r="H1446" s="2">
        <v>0</v>
      </c>
      <c r="I1446" s="1">
        <v>0</v>
      </c>
      <c r="J1446" s="26">
        <v>45801</v>
      </c>
      <c r="K1446" s="22">
        <v>50000</v>
      </c>
      <c r="L1446" s="18">
        <v>53.48</v>
      </c>
      <c r="M1446" s="22">
        <v>33750</v>
      </c>
      <c r="N1446" s="22">
        <v>16250</v>
      </c>
      <c r="O1446" s="18">
        <v>17.38</v>
      </c>
      <c r="P1446" s="52">
        <f>IF(COUNTIF(TblPurchases[BatchID],TblOutcomes[[#This Row],[BatchID]])&lt;&gt;1,"n.a.",TblOutcomes[[#This Row],[Qty Wasted]]*SUMIFS(TblPurchases[Unit Cost (CLP)],TblPurchases[BatchID],TblOutcomes[[#This Row],[BatchID]]))</f>
        <v>0</v>
      </c>
      <c r="Q1446" s="51">
        <f>IF(COUNTIF(TblPurchases[BatchID],TblOutcomes[[#This Row],[BatchID]])&lt;&gt;1,"n.a.",SUMIFS(TblPurchases[Purchase Date],TblPurchases[BatchID],TblOutcomes[[#This Row],[BatchID]]))</f>
        <v>45779</v>
      </c>
    </row>
    <row r="1447" spans="2:17" x14ac:dyDescent="0.25">
      <c r="B1447" s="2" t="s">
        <v>2252</v>
      </c>
      <c r="C1447" s="2" t="s">
        <v>178</v>
      </c>
      <c r="D1447" s="2" t="s">
        <v>176</v>
      </c>
      <c r="E1447" s="2" t="s">
        <v>4647</v>
      </c>
      <c r="F1447" s="2">
        <v>24</v>
      </c>
      <c r="G1447" s="2">
        <v>24</v>
      </c>
      <c r="H1447" s="2">
        <v>0</v>
      </c>
      <c r="I1447" s="1">
        <v>0</v>
      </c>
      <c r="J1447" s="26">
        <v>45849</v>
      </c>
      <c r="K1447" s="22">
        <v>48000</v>
      </c>
      <c r="L1447" s="18">
        <v>51.34</v>
      </c>
      <c r="M1447" s="22">
        <v>32400</v>
      </c>
      <c r="N1447" s="22">
        <v>15600</v>
      </c>
      <c r="O1447" s="18">
        <v>16.68</v>
      </c>
      <c r="P1447" s="52">
        <f>IF(COUNTIF(TblPurchases[BatchID],TblOutcomes[[#This Row],[BatchID]])&lt;&gt;1,"n.a.",TblOutcomes[[#This Row],[Qty Wasted]]*SUMIFS(TblPurchases[Unit Cost (CLP)],TblPurchases[BatchID],TblOutcomes[[#This Row],[BatchID]]))</f>
        <v>0</v>
      </c>
      <c r="Q1447" s="51">
        <f>IF(COUNTIF(TblPurchases[BatchID],TblOutcomes[[#This Row],[BatchID]])&lt;&gt;1,"n.a.",SUMIFS(TblPurchases[Purchase Date],TblPurchases[BatchID],TblOutcomes[[#This Row],[BatchID]]))</f>
        <v>45817</v>
      </c>
    </row>
    <row r="1448" spans="2:17" x14ac:dyDescent="0.25">
      <c r="B1448" s="2" t="s">
        <v>2253</v>
      </c>
      <c r="C1448" s="2" t="s">
        <v>181</v>
      </c>
      <c r="D1448" s="2" t="s">
        <v>176</v>
      </c>
      <c r="E1448" s="2" t="s">
        <v>4646</v>
      </c>
      <c r="F1448" s="2">
        <v>48</v>
      </c>
      <c r="G1448" s="2">
        <v>47.09</v>
      </c>
      <c r="H1448" s="2">
        <v>0.91</v>
      </c>
      <c r="I1448" s="1">
        <v>1.9</v>
      </c>
      <c r="J1448" s="26">
        <v>45410</v>
      </c>
      <c r="K1448" s="22">
        <v>94180</v>
      </c>
      <c r="L1448" s="18">
        <v>100.73</v>
      </c>
      <c r="M1448" s="22">
        <v>67200</v>
      </c>
      <c r="N1448" s="22">
        <v>26980</v>
      </c>
      <c r="O1448" s="18">
        <v>28.86</v>
      </c>
      <c r="P1448" s="52">
        <f>IF(COUNTIF(TblPurchases[BatchID],TblOutcomes[[#This Row],[BatchID]])&lt;&gt;1,"n.a.",TblOutcomes[[#This Row],[Qty Wasted]]*SUMIFS(TblPurchases[Unit Cost (CLP)],TblPurchases[BatchID],TblOutcomes[[#This Row],[BatchID]]))</f>
        <v>1274</v>
      </c>
      <c r="Q1448" s="51">
        <f>IF(COUNTIF(TblPurchases[BatchID],TblOutcomes[[#This Row],[BatchID]])&lt;&gt;1,"n.a.",SUMIFS(TblPurchases[Purchase Date],TblPurchases[BatchID],TblOutcomes[[#This Row],[BatchID]]))</f>
        <v>45110</v>
      </c>
    </row>
    <row r="1449" spans="2:17" x14ac:dyDescent="0.25">
      <c r="B1449" s="2" t="s">
        <v>2254</v>
      </c>
      <c r="C1449" s="2" t="s">
        <v>181</v>
      </c>
      <c r="D1449" s="2" t="s">
        <v>176</v>
      </c>
      <c r="E1449" s="2" t="s">
        <v>4646</v>
      </c>
      <c r="F1449" s="2">
        <v>47</v>
      </c>
      <c r="G1449" s="2">
        <v>46.25</v>
      </c>
      <c r="H1449" s="2">
        <v>0.75</v>
      </c>
      <c r="I1449" s="1">
        <v>1.6</v>
      </c>
      <c r="J1449" s="26">
        <v>45446</v>
      </c>
      <c r="K1449" s="22">
        <v>92500</v>
      </c>
      <c r="L1449" s="18">
        <v>98.93</v>
      </c>
      <c r="M1449" s="22">
        <v>65800</v>
      </c>
      <c r="N1449" s="22">
        <v>26700</v>
      </c>
      <c r="O1449" s="18">
        <v>28.56</v>
      </c>
      <c r="P1449" s="52">
        <f>IF(COUNTIF(TblPurchases[BatchID],TblOutcomes[[#This Row],[BatchID]])&lt;&gt;1,"n.a.",TblOutcomes[[#This Row],[Qty Wasted]]*SUMIFS(TblPurchases[Unit Cost (CLP)],TblPurchases[BatchID],TblOutcomes[[#This Row],[BatchID]]))</f>
        <v>1050</v>
      </c>
      <c r="Q1449" s="51">
        <f>IF(COUNTIF(TblPurchases[BatchID],TblOutcomes[[#This Row],[BatchID]])&lt;&gt;1,"n.a.",SUMIFS(TblPurchases[Purchase Date],TblPurchases[BatchID],TblOutcomes[[#This Row],[BatchID]]))</f>
        <v>45146</v>
      </c>
    </row>
    <row r="1450" spans="2:17" x14ac:dyDescent="0.25">
      <c r="B1450" s="2" t="s">
        <v>2255</v>
      </c>
      <c r="C1450" s="2" t="s">
        <v>181</v>
      </c>
      <c r="D1450" s="2" t="s">
        <v>176</v>
      </c>
      <c r="E1450" s="2" t="s">
        <v>4647</v>
      </c>
      <c r="F1450" s="2">
        <v>67</v>
      </c>
      <c r="G1450" s="2">
        <v>67</v>
      </c>
      <c r="H1450" s="2">
        <v>0</v>
      </c>
      <c r="I1450" s="1">
        <v>0</v>
      </c>
      <c r="J1450" s="26">
        <v>45209</v>
      </c>
      <c r="K1450" s="22">
        <v>134000</v>
      </c>
      <c r="L1450" s="18">
        <v>143.32</v>
      </c>
      <c r="M1450" s="22">
        <v>93800</v>
      </c>
      <c r="N1450" s="22">
        <v>40200</v>
      </c>
      <c r="O1450" s="18">
        <v>42.99</v>
      </c>
      <c r="P1450" s="52">
        <f>IF(COUNTIF(TblPurchases[BatchID],TblOutcomes[[#This Row],[BatchID]])&lt;&gt;1,"n.a.",TblOutcomes[[#This Row],[Qty Wasted]]*SUMIFS(TblPurchases[Unit Cost (CLP)],TblPurchases[BatchID],TblOutcomes[[#This Row],[BatchID]]))</f>
        <v>0</v>
      </c>
      <c r="Q1450" s="51">
        <f>IF(COUNTIF(TblPurchases[BatchID],TblOutcomes[[#This Row],[BatchID]])&lt;&gt;1,"n.a.",SUMIFS(TblPurchases[Purchase Date],TblPurchases[BatchID],TblOutcomes[[#This Row],[BatchID]]))</f>
        <v>45185</v>
      </c>
    </row>
    <row r="1451" spans="2:17" x14ac:dyDescent="0.25">
      <c r="B1451" s="2" t="s">
        <v>2256</v>
      </c>
      <c r="C1451" s="2" t="s">
        <v>181</v>
      </c>
      <c r="D1451" s="2" t="s">
        <v>176</v>
      </c>
      <c r="E1451" s="2" t="s">
        <v>4647</v>
      </c>
      <c r="F1451" s="2">
        <v>54</v>
      </c>
      <c r="G1451" s="2">
        <v>54</v>
      </c>
      <c r="H1451" s="2">
        <v>0</v>
      </c>
      <c r="I1451" s="1">
        <v>0</v>
      </c>
      <c r="J1451" s="26">
        <v>45244</v>
      </c>
      <c r="K1451" s="22">
        <v>108000</v>
      </c>
      <c r="L1451" s="18">
        <v>115.51</v>
      </c>
      <c r="M1451" s="22">
        <v>75600</v>
      </c>
      <c r="N1451" s="22">
        <v>32400</v>
      </c>
      <c r="O1451" s="18">
        <v>34.65</v>
      </c>
      <c r="P1451" s="52">
        <f>IF(COUNTIF(TblPurchases[BatchID],TblOutcomes[[#This Row],[BatchID]])&lt;&gt;1,"n.a.",TblOutcomes[[#This Row],[Qty Wasted]]*SUMIFS(TblPurchases[Unit Cost (CLP)],TblPurchases[BatchID],TblOutcomes[[#This Row],[BatchID]]))</f>
        <v>0</v>
      </c>
      <c r="Q1451" s="51">
        <f>IF(COUNTIF(TblPurchases[BatchID],TblOutcomes[[#This Row],[BatchID]])&lt;&gt;1,"n.a.",SUMIFS(TblPurchases[Purchase Date],TblPurchases[BatchID],TblOutcomes[[#This Row],[BatchID]]))</f>
        <v>45215</v>
      </c>
    </row>
    <row r="1452" spans="2:17" x14ac:dyDescent="0.25">
      <c r="B1452" s="2" t="s">
        <v>2257</v>
      </c>
      <c r="C1452" s="2" t="s">
        <v>181</v>
      </c>
      <c r="D1452" s="2" t="s">
        <v>176</v>
      </c>
      <c r="E1452" s="2" t="s">
        <v>4647</v>
      </c>
      <c r="F1452" s="2">
        <v>45</v>
      </c>
      <c r="G1452" s="2">
        <v>45</v>
      </c>
      <c r="H1452" s="2">
        <v>0</v>
      </c>
      <c r="I1452" s="1">
        <v>0</v>
      </c>
      <c r="J1452" s="26">
        <v>45276</v>
      </c>
      <c r="K1452" s="22">
        <v>90000</v>
      </c>
      <c r="L1452" s="18">
        <v>96.26</v>
      </c>
      <c r="M1452" s="22">
        <v>63000</v>
      </c>
      <c r="N1452" s="22">
        <v>27000</v>
      </c>
      <c r="O1452" s="18">
        <v>28.88</v>
      </c>
      <c r="P1452" s="52">
        <f>IF(COUNTIF(TblPurchases[BatchID],TblOutcomes[[#This Row],[BatchID]])&lt;&gt;1,"n.a.",TblOutcomes[[#This Row],[Qty Wasted]]*SUMIFS(TblPurchases[Unit Cost (CLP)],TblPurchases[BatchID],TblOutcomes[[#This Row],[BatchID]]))</f>
        <v>0</v>
      </c>
      <c r="Q1452" s="51">
        <f>IF(COUNTIF(TblPurchases[BatchID],TblOutcomes[[#This Row],[BatchID]])&lt;&gt;1,"n.a.",SUMIFS(TblPurchases[Purchase Date],TblPurchases[BatchID],TblOutcomes[[#This Row],[BatchID]]))</f>
        <v>45251</v>
      </c>
    </row>
    <row r="1453" spans="2:17" x14ac:dyDescent="0.25">
      <c r="B1453" s="2" t="s">
        <v>2258</v>
      </c>
      <c r="C1453" s="2" t="s">
        <v>181</v>
      </c>
      <c r="D1453" s="2" t="s">
        <v>176</v>
      </c>
      <c r="E1453" s="2" t="s">
        <v>4646</v>
      </c>
      <c r="F1453" s="2">
        <v>53</v>
      </c>
      <c r="G1453" s="2">
        <v>51.52</v>
      </c>
      <c r="H1453" s="2">
        <v>1.48</v>
      </c>
      <c r="I1453" s="1">
        <v>2.8</v>
      </c>
      <c r="J1453" s="26">
        <v>45592</v>
      </c>
      <c r="K1453" s="22">
        <v>103040</v>
      </c>
      <c r="L1453" s="18">
        <v>110.2</v>
      </c>
      <c r="M1453" s="22">
        <v>76850</v>
      </c>
      <c r="N1453" s="22">
        <v>26190</v>
      </c>
      <c r="O1453" s="18">
        <v>28.01</v>
      </c>
      <c r="P1453" s="52">
        <f>IF(COUNTIF(TblPurchases[BatchID],TblOutcomes[[#This Row],[BatchID]])&lt;&gt;1,"n.a.",TblOutcomes[[#This Row],[Qty Wasted]]*SUMIFS(TblPurchases[Unit Cost (CLP)],TblPurchases[BatchID],TblOutcomes[[#This Row],[BatchID]]))</f>
        <v>2146</v>
      </c>
      <c r="Q1453" s="51">
        <f>IF(COUNTIF(TblPurchases[BatchID],TblOutcomes[[#This Row],[BatchID]])&lt;&gt;1,"n.a.",SUMIFS(TblPurchases[Purchase Date],TblPurchases[BatchID],TblOutcomes[[#This Row],[BatchID]]))</f>
        <v>45292</v>
      </c>
    </row>
    <row r="1454" spans="2:17" x14ac:dyDescent="0.25">
      <c r="B1454" s="2" t="s">
        <v>2259</v>
      </c>
      <c r="C1454" s="2" t="s">
        <v>181</v>
      </c>
      <c r="D1454" s="2" t="s">
        <v>176</v>
      </c>
      <c r="E1454" s="2" t="s">
        <v>4646</v>
      </c>
      <c r="F1454" s="2">
        <v>50</v>
      </c>
      <c r="G1454" s="2">
        <v>49.8</v>
      </c>
      <c r="H1454" s="2">
        <v>0.2</v>
      </c>
      <c r="I1454" s="1">
        <v>0.4</v>
      </c>
      <c r="J1454" s="26">
        <v>45626</v>
      </c>
      <c r="K1454" s="22">
        <v>99600</v>
      </c>
      <c r="L1454" s="18">
        <v>106.52</v>
      </c>
      <c r="M1454" s="22">
        <v>70000</v>
      </c>
      <c r="N1454" s="22">
        <v>29600</v>
      </c>
      <c r="O1454" s="18">
        <v>31.66</v>
      </c>
      <c r="P1454" s="52">
        <f>IF(COUNTIF(TblPurchases[BatchID],TblOutcomes[[#This Row],[BatchID]])&lt;&gt;1,"n.a.",TblOutcomes[[#This Row],[Qty Wasted]]*SUMIFS(TblPurchases[Unit Cost (CLP)],TblPurchases[BatchID],TblOutcomes[[#This Row],[BatchID]]))</f>
        <v>280</v>
      </c>
      <c r="Q1454" s="51">
        <f>IF(COUNTIF(TblPurchases[BatchID],TblOutcomes[[#This Row],[BatchID]])&lt;&gt;1,"n.a.",SUMIFS(TblPurchases[Purchase Date],TblPurchases[BatchID],TblOutcomes[[#This Row],[BatchID]]))</f>
        <v>45326</v>
      </c>
    </row>
    <row r="1455" spans="2:17" x14ac:dyDescent="0.25">
      <c r="B1455" s="2" t="s">
        <v>2260</v>
      </c>
      <c r="C1455" s="2" t="s">
        <v>181</v>
      </c>
      <c r="D1455" s="2" t="s">
        <v>176</v>
      </c>
      <c r="E1455" s="2" t="s">
        <v>4647</v>
      </c>
      <c r="F1455" s="2">
        <v>53</v>
      </c>
      <c r="G1455" s="2">
        <v>53</v>
      </c>
      <c r="H1455" s="2">
        <v>0</v>
      </c>
      <c r="I1455" s="1">
        <v>0</v>
      </c>
      <c r="J1455" s="26">
        <v>45390</v>
      </c>
      <c r="K1455" s="22">
        <v>106000</v>
      </c>
      <c r="L1455" s="18">
        <v>113.37</v>
      </c>
      <c r="M1455" s="22">
        <v>74200</v>
      </c>
      <c r="N1455" s="22">
        <v>31800</v>
      </c>
      <c r="O1455" s="18">
        <v>34.01</v>
      </c>
      <c r="P1455" s="52">
        <f>IF(COUNTIF(TblPurchases[BatchID],TblOutcomes[[#This Row],[BatchID]])&lt;&gt;1,"n.a.",TblOutcomes[[#This Row],[Qty Wasted]]*SUMIFS(TblPurchases[Unit Cost (CLP)],TblPurchases[BatchID],TblOutcomes[[#This Row],[BatchID]]))</f>
        <v>0</v>
      </c>
      <c r="Q1455" s="51">
        <f>IF(COUNTIF(TblPurchases[BatchID],TblOutcomes[[#This Row],[BatchID]])&lt;&gt;1,"n.a.",SUMIFS(TblPurchases[Purchase Date],TblPurchases[BatchID],TblOutcomes[[#This Row],[BatchID]]))</f>
        <v>45362</v>
      </c>
    </row>
    <row r="1456" spans="2:17" x14ac:dyDescent="0.25">
      <c r="B1456" s="2" t="s">
        <v>2261</v>
      </c>
      <c r="C1456" s="2" t="s">
        <v>181</v>
      </c>
      <c r="D1456" s="2" t="s">
        <v>176</v>
      </c>
      <c r="E1456" s="2" t="s">
        <v>4646</v>
      </c>
      <c r="F1456" s="2">
        <v>54</v>
      </c>
      <c r="G1456" s="2">
        <v>53.08</v>
      </c>
      <c r="H1456" s="2">
        <v>0.92</v>
      </c>
      <c r="I1456" s="1">
        <v>1.7</v>
      </c>
      <c r="J1456" s="26">
        <v>45699</v>
      </c>
      <c r="K1456" s="22">
        <v>106160</v>
      </c>
      <c r="L1456" s="18">
        <v>113.54</v>
      </c>
      <c r="M1456" s="22">
        <v>75600</v>
      </c>
      <c r="N1456" s="22">
        <v>30560</v>
      </c>
      <c r="O1456" s="18">
        <v>32.68</v>
      </c>
      <c r="P1456" s="52">
        <f>IF(COUNTIF(TblPurchases[BatchID],TblOutcomes[[#This Row],[BatchID]])&lt;&gt;1,"n.a.",TblOutcomes[[#This Row],[Qty Wasted]]*SUMIFS(TblPurchases[Unit Cost (CLP)],TblPurchases[BatchID],TblOutcomes[[#This Row],[BatchID]]))</f>
        <v>1288</v>
      </c>
      <c r="Q1456" s="51">
        <f>IF(COUNTIF(TblPurchases[BatchID],TblOutcomes[[#This Row],[BatchID]])&lt;&gt;1,"n.a.",SUMIFS(TblPurchases[Purchase Date],TblPurchases[BatchID],TblOutcomes[[#This Row],[BatchID]]))</f>
        <v>45399</v>
      </c>
    </row>
    <row r="1457" spans="2:17" x14ac:dyDescent="0.25">
      <c r="B1457" s="2" t="s">
        <v>2262</v>
      </c>
      <c r="C1457" s="2" t="s">
        <v>181</v>
      </c>
      <c r="D1457" s="2" t="s">
        <v>176</v>
      </c>
      <c r="E1457" s="2" t="s">
        <v>4647</v>
      </c>
      <c r="F1457" s="2">
        <v>46</v>
      </c>
      <c r="G1457" s="2">
        <v>46</v>
      </c>
      <c r="H1457" s="2">
        <v>0</v>
      </c>
      <c r="I1457" s="1">
        <v>0</v>
      </c>
      <c r="J1457" s="26">
        <v>45452</v>
      </c>
      <c r="K1457" s="22">
        <v>92000</v>
      </c>
      <c r="L1457" s="18">
        <v>98.4</v>
      </c>
      <c r="M1457" s="22">
        <v>64400</v>
      </c>
      <c r="N1457" s="22">
        <v>27600</v>
      </c>
      <c r="O1457" s="18">
        <v>29.52</v>
      </c>
      <c r="P1457" s="52">
        <f>IF(COUNTIF(TblPurchases[BatchID],TblOutcomes[[#This Row],[BatchID]])&lt;&gt;1,"n.a.",TblOutcomes[[#This Row],[Qty Wasted]]*SUMIFS(TblPurchases[Unit Cost (CLP)],TblPurchases[BatchID],TblOutcomes[[#This Row],[BatchID]]))</f>
        <v>0</v>
      </c>
      <c r="Q1457" s="51">
        <f>IF(COUNTIF(TblPurchases[BatchID],TblOutcomes[[#This Row],[BatchID]])&lt;&gt;1,"n.a.",SUMIFS(TblPurchases[Purchase Date],TblPurchases[BatchID],TblOutcomes[[#This Row],[BatchID]]))</f>
        <v>45439</v>
      </c>
    </row>
    <row r="1458" spans="2:17" x14ac:dyDescent="0.25">
      <c r="B1458" s="2" t="s">
        <v>2263</v>
      </c>
      <c r="C1458" s="2" t="s">
        <v>181</v>
      </c>
      <c r="D1458" s="2" t="s">
        <v>176</v>
      </c>
      <c r="E1458" s="2" t="s">
        <v>4646</v>
      </c>
      <c r="F1458" s="2">
        <v>43</v>
      </c>
      <c r="G1458" s="2">
        <v>41.84</v>
      </c>
      <c r="H1458" s="2">
        <v>1.1599999999999999</v>
      </c>
      <c r="I1458" s="1">
        <v>2.7</v>
      </c>
      <c r="J1458" s="26">
        <v>45768</v>
      </c>
      <c r="K1458" s="22">
        <v>83680</v>
      </c>
      <c r="L1458" s="18">
        <v>89.5</v>
      </c>
      <c r="M1458" s="22">
        <v>60200</v>
      </c>
      <c r="N1458" s="22">
        <v>23480</v>
      </c>
      <c r="O1458" s="18">
        <v>25.11</v>
      </c>
      <c r="P1458" s="52">
        <f>IF(COUNTIF(TblPurchases[BatchID],TblOutcomes[[#This Row],[BatchID]])&lt;&gt;1,"n.a.",TblOutcomes[[#This Row],[Qty Wasted]]*SUMIFS(TblPurchases[Unit Cost (CLP)],TblPurchases[BatchID],TblOutcomes[[#This Row],[BatchID]]))</f>
        <v>1624</v>
      </c>
      <c r="Q1458" s="51">
        <f>IF(COUNTIF(TblPurchases[BatchID],TblOutcomes[[#This Row],[BatchID]])&lt;&gt;1,"n.a.",SUMIFS(TblPurchases[Purchase Date],TblPurchases[BatchID],TblOutcomes[[#This Row],[BatchID]]))</f>
        <v>45468</v>
      </c>
    </row>
    <row r="1459" spans="2:17" x14ac:dyDescent="0.25">
      <c r="B1459" s="2" t="s">
        <v>2264</v>
      </c>
      <c r="C1459" s="2" t="s">
        <v>181</v>
      </c>
      <c r="D1459" s="2" t="s">
        <v>176</v>
      </c>
      <c r="E1459" s="2" t="s">
        <v>4647</v>
      </c>
      <c r="F1459" s="2">
        <v>45</v>
      </c>
      <c r="G1459" s="2">
        <v>45</v>
      </c>
      <c r="H1459" s="2">
        <v>0</v>
      </c>
      <c r="I1459" s="1">
        <v>0</v>
      </c>
      <c r="J1459" s="26">
        <v>45543</v>
      </c>
      <c r="K1459" s="22">
        <v>90000</v>
      </c>
      <c r="L1459" s="18">
        <v>96.26</v>
      </c>
      <c r="M1459" s="22">
        <v>63000</v>
      </c>
      <c r="N1459" s="22">
        <v>27000</v>
      </c>
      <c r="O1459" s="18">
        <v>28.88</v>
      </c>
      <c r="P1459" s="52">
        <f>IF(COUNTIF(TblPurchases[BatchID],TblOutcomes[[#This Row],[BatchID]])&lt;&gt;1,"n.a.",TblOutcomes[[#This Row],[Qty Wasted]]*SUMIFS(TblPurchases[Unit Cost (CLP)],TblPurchases[BatchID],TblOutcomes[[#This Row],[BatchID]]))</f>
        <v>0</v>
      </c>
      <c r="Q1459" s="51">
        <f>IF(COUNTIF(TblPurchases[BatchID],TblOutcomes[[#This Row],[BatchID]])&lt;&gt;1,"n.a.",SUMIFS(TblPurchases[Purchase Date],TblPurchases[BatchID],TblOutcomes[[#This Row],[BatchID]]))</f>
        <v>45502</v>
      </c>
    </row>
    <row r="1460" spans="2:17" x14ac:dyDescent="0.25">
      <c r="B1460" s="2" t="s">
        <v>2265</v>
      </c>
      <c r="C1460" s="2" t="s">
        <v>181</v>
      </c>
      <c r="D1460" s="2" t="s">
        <v>176</v>
      </c>
      <c r="E1460" s="2" t="s">
        <v>4646</v>
      </c>
      <c r="F1460" s="2">
        <v>60</v>
      </c>
      <c r="G1460" s="2">
        <v>59.76</v>
      </c>
      <c r="H1460" s="2">
        <v>0.24</v>
      </c>
      <c r="I1460" s="1">
        <v>0.4</v>
      </c>
      <c r="J1460" s="26">
        <v>45842</v>
      </c>
      <c r="K1460" s="22">
        <v>119520</v>
      </c>
      <c r="L1460" s="18">
        <v>127.83</v>
      </c>
      <c r="M1460" s="22">
        <v>84000</v>
      </c>
      <c r="N1460" s="22">
        <v>35520</v>
      </c>
      <c r="O1460" s="18">
        <v>37.99</v>
      </c>
      <c r="P1460" s="52">
        <f>IF(COUNTIF(TblPurchases[BatchID],TblOutcomes[[#This Row],[BatchID]])&lt;&gt;1,"n.a.",TblOutcomes[[#This Row],[Qty Wasted]]*SUMIFS(TblPurchases[Unit Cost (CLP)],TblPurchases[BatchID],TblOutcomes[[#This Row],[BatchID]]))</f>
        <v>336</v>
      </c>
      <c r="Q1460" s="51">
        <f>IF(COUNTIF(TblPurchases[BatchID],TblOutcomes[[#This Row],[BatchID]])&lt;&gt;1,"n.a.",SUMIFS(TblPurchases[Purchase Date],TblPurchases[BatchID],TblOutcomes[[#This Row],[BatchID]]))</f>
        <v>45542</v>
      </c>
    </row>
    <row r="1461" spans="2:17" x14ac:dyDescent="0.25">
      <c r="B1461" s="2" t="s">
        <v>2266</v>
      </c>
      <c r="C1461" s="2" t="s">
        <v>181</v>
      </c>
      <c r="D1461" s="2" t="s">
        <v>176</v>
      </c>
      <c r="E1461" s="2" t="s">
        <v>4647</v>
      </c>
      <c r="F1461" s="2">
        <v>50</v>
      </c>
      <c r="G1461" s="2">
        <v>50</v>
      </c>
      <c r="H1461" s="2">
        <v>0</v>
      </c>
      <c r="I1461" s="1">
        <v>0</v>
      </c>
      <c r="J1461" s="26">
        <v>45608</v>
      </c>
      <c r="K1461" s="22">
        <v>100000</v>
      </c>
      <c r="L1461" s="18">
        <v>106.95</v>
      </c>
      <c r="M1461" s="22">
        <v>70000</v>
      </c>
      <c r="N1461" s="22">
        <v>30000</v>
      </c>
      <c r="O1461" s="18">
        <v>32.090000000000003</v>
      </c>
      <c r="P1461" s="52">
        <f>IF(COUNTIF(TblPurchases[BatchID],TblOutcomes[[#This Row],[BatchID]])&lt;&gt;1,"n.a.",TblOutcomes[[#This Row],[Qty Wasted]]*SUMIFS(TblPurchases[Unit Cost (CLP)],TblPurchases[BatchID],TblOutcomes[[#This Row],[BatchID]]))</f>
        <v>0</v>
      </c>
      <c r="Q1461" s="51">
        <f>IF(COUNTIF(TblPurchases[BatchID],TblOutcomes[[#This Row],[BatchID]])&lt;&gt;1,"n.a.",SUMIFS(TblPurchases[Purchase Date],TblPurchases[BatchID],TblOutcomes[[#This Row],[BatchID]]))</f>
        <v>45573</v>
      </c>
    </row>
    <row r="1462" spans="2:17" x14ac:dyDescent="0.25">
      <c r="B1462" s="2" t="s">
        <v>2267</v>
      </c>
      <c r="C1462" s="2" t="s">
        <v>181</v>
      </c>
      <c r="D1462" s="2" t="s">
        <v>176</v>
      </c>
      <c r="E1462" s="2" t="s">
        <v>4647</v>
      </c>
      <c r="F1462" s="2">
        <v>51</v>
      </c>
      <c r="G1462" s="2">
        <v>51</v>
      </c>
      <c r="H1462" s="2">
        <v>0</v>
      </c>
      <c r="I1462" s="1">
        <v>0</v>
      </c>
      <c r="J1462" s="26">
        <v>45650</v>
      </c>
      <c r="K1462" s="22">
        <v>102000</v>
      </c>
      <c r="L1462" s="18">
        <v>109.09</v>
      </c>
      <c r="M1462" s="22">
        <v>71400</v>
      </c>
      <c r="N1462" s="22">
        <v>30600</v>
      </c>
      <c r="O1462" s="18">
        <v>32.729999999999997</v>
      </c>
      <c r="P1462" s="52">
        <f>IF(COUNTIF(TblPurchases[BatchID],TblOutcomes[[#This Row],[BatchID]])&lt;&gt;1,"n.a.",TblOutcomes[[#This Row],[Qty Wasted]]*SUMIFS(TblPurchases[Unit Cost (CLP)],TblPurchases[BatchID],TblOutcomes[[#This Row],[BatchID]]))</f>
        <v>0</v>
      </c>
      <c r="Q1462" s="51">
        <f>IF(COUNTIF(TblPurchases[BatchID],TblOutcomes[[#This Row],[BatchID]])&lt;&gt;1,"n.a.",SUMIFS(TblPurchases[Purchase Date],TblPurchases[BatchID],TblOutcomes[[#This Row],[BatchID]]))</f>
        <v>45606</v>
      </c>
    </row>
    <row r="1463" spans="2:17" x14ac:dyDescent="0.25">
      <c r="B1463" s="2" t="s">
        <v>2268</v>
      </c>
      <c r="C1463" s="2" t="s">
        <v>181</v>
      </c>
      <c r="D1463" s="2" t="s">
        <v>176</v>
      </c>
      <c r="E1463" s="2" t="s">
        <v>4647</v>
      </c>
      <c r="F1463" s="2">
        <v>62</v>
      </c>
      <c r="G1463" s="2">
        <v>62</v>
      </c>
      <c r="H1463" s="2">
        <v>0</v>
      </c>
      <c r="I1463" s="1">
        <v>0</v>
      </c>
      <c r="J1463" s="26">
        <v>45676</v>
      </c>
      <c r="K1463" s="22">
        <v>124000</v>
      </c>
      <c r="L1463" s="18">
        <v>132.62</v>
      </c>
      <c r="M1463" s="22">
        <v>86800</v>
      </c>
      <c r="N1463" s="22">
        <v>37200</v>
      </c>
      <c r="O1463" s="18">
        <v>39.79</v>
      </c>
      <c r="P1463" s="52">
        <f>IF(COUNTIF(TblPurchases[BatchID],TblOutcomes[[#This Row],[BatchID]])&lt;&gt;1,"n.a.",TblOutcomes[[#This Row],[Qty Wasted]]*SUMIFS(TblPurchases[Unit Cost (CLP)],TblPurchases[BatchID],TblOutcomes[[#This Row],[BatchID]]))</f>
        <v>0</v>
      </c>
      <c r="Q1463" s="51">
        <f>IF(COUNTIF(TblPurchases[BatchID],TblOutcomes[[#This Row],[BatchID]])&lt;&gt;1,"n.a.",SUMIFS(TblPurchases[Purchase Date],TblPurchases[BatchID],TblOutcomes[[#This Row],[BatchID]]))</f>
        <v>45643</v>
      </c>
    </row>
    <row r="1464" spans="2:17" x14ac:dyDescent="0.25">
      <c r="B1464" s="2" t="s">
        <v>2269</v>
      </c>
      <c r="C1464" s="2" t="s">
        <v>181</v>
      </c>
      <c r="D1464" s="2" t="s">
        <v>176</v>
      </c>
      <c r="E1464" s="2" t="s">
        <v>4646</v>
      </c>
      <c r="F1464" s="2">
        <v>50</v>
      </c>
      <c r="G1464" s="2">
        <v>48.55</v>
      </c>
      <c r="H1464" s="2">
        <v>1.45</v>
      </c>
      <c r="I1464" s="1">
        <v>2.9</v>
      </c>
      <c r="J1464" s="26">
        <v>45975</v>
      </c>
      <c r="K1464" s="22">
        <v>97100</v>
      </c>
      <c r="L1464" s="18">
        <v>103.85</v>
      </c>
      <c r="M1464" s="22">
        <v>70000</v>
      </c>
      <c r="N1464" s="22">
        <v>27100</v>
      </c>
      <c r="O1464" s="18">
        <v>28.98</v>
      </c>
      <c r="P1464" s="52">
        <f>IF(COUNTIF(TblPurchases[BatchID],TblOutcomes[[#This Row],[BatchID]])&lt;&gt;1,"n.a.",TblOutcomes[[#This Row],[Qty Wasted]]*SUMIFS(TblPurchases[Unit Cost (CLP)],TblPurchases[BatchID],TblOutcomes[[#This Row],[BatchID]]))</f>
        <v>2030</v>
      </c>
      <c r="Q1464" s="51">
        <f>IF(COUNTIF(TblPurchases[BatchID],TblOutcomes[[#This Row],[BatchID]])&lt;&gt;1,"n.a.",SUMIFS(TblPurchases[Purchase Date],TblPurchases[BatchID],TblOutcomes[[#This Row],[BatchID]]))</f>
        <v>45675</v>
      </c>
    </row>
    <row r="1465" spans="2:17" x14ac:dyDescent="0.25">
      <c r="B1465" s="2" t="s">
        <v>2270</v>
      </c>
      <c r="C1465" s="2" t="s">
        <v>181</v>
      </c>
      <c r="D1465" s="2" t="s">
        <v>176</v>
      </c>
      <c r="E1465" s="2" t="s">
        <v>4646</v>
      </c>
      <c r="F1465" s="2">
        <v>48</v>
      </c>
      <c r="G1465" s="2">
        <v>47.33</v>
      </c>
      <c r="H1465" s="2">
        <v>0.67</v>
      </c>
      <c r="I1465" s="1">
        <v>1.4</v>
      </c>
      <c r="J1465" s="26">
        <v>46006</v>
      </c>
      <c r="K1465" s="22">
        <v>94660</v>
      </c>
      <c r="L1465" s="18">
        <v>101.24</v>
      </c>
      <c r="M1465" s="22">
        <v>69600</v>
      </c>
      <c r="N1465" s="22">
        <v>25060</v>
      </c>
      <c r="O1465" s="18">
        <v>26.8</v>
      </c>
      <c r="P1465" s="52">
        <f>IF(COUNTIF(TblPurchases[BatchID],TblOutcomes[[#This Row],[BatchID]])&lt;&gt;1,"n.a.",TblOutcomes[[#This Row],[Qty Wasted]]*SUMIFS(TblPurchases[Unit Cost (CLP)],TblPurchases[BatchID],TblOutcomes[[#This Row],[BatchID]]))</f>
        <v>971.50000000000011</v>
      </c>
      <c r="Q1465" s="51">
        <f>IF(COUNTIF(TblPurchases[BatchID],TblOutcomes[[#This Row],[BatchID]])&lt;&gt;1,"n.a.",SUMIFS(TblPurchases[Purchase Date],TblPurchases[BatchID],TblOutcomes[[#This Row],[BatchID]]))</f>
        <v>45706</v>
      </c>
    </row>
    <row r="1466" spans="2:17" x14ac:dyDescent="0.25">
      <c r="B1466" s="2" t="s">
        <v>2271</v>
      </c>
      <c r="C1466" s="2" t="s">
        <v>181</v>
      </c>
      <c r="D1466" s="2" t="s">
        <v>176</v>
      </c>
      <c r="E1466" s="2" t="s">
        <v>4647</v>
      </c>
      <c r="F1466" s="2">
        <v>58</v>
      </c>
      <c r="G1466" s="2">
        <v>58</v>
      </c>
      <c r="H1466" s="2">
        <v>0</v>
      </c>
      <c r="I1466" s="1">
        <v>0</v>
      </c>
      <c r="J1466" s="26">
        <v>45770</v>
      </c>
      <c r="K1466" s="22">
        <v>116000</v>
      </c>
      <c r="L1466" s="18">
        <v>124.06</v>
      </c>
      <c r="M1466" s="22">
        <v>81200</v>
      </c>
      <c r="N1466" s="22">
        <v>34800</v>
      </c>
      <c r="O1466" s="18">
        <v>37.22</v>
      </c>
      <c r="P1466" s="52">
        <f>IF(COUNTIF(TblPurchases[BatchID],TblOutcomes[[#This Row],[BatchID]])&lt;&gt;1,"n.a.",TblOutcomes[[#This Row],[Qty Wasted]]*SUMIFS(TblPurchases[Unit Cost (CLP)],TblPurchases[BatchID],TblOutcomes[[#This Row],[BatchID]]))</f>
        <v>0</v>
      </c>
      <c r="Q1466" s="51">
        <f>IF(COUNTIF(TblPurchases[BatchID],TblOutcomes[[#This Row],[BatchID]])&lt;&gt;1,"n.a.",SUMIFS(TblPurchases[Purchase Date],TblPurchases[BatchID],TblOutcomes[[#This Row],[BatchID]]))</f>
        <v>45736</v>
      </c>
    </row>
    <row r="1467" spans="2:17" x14ac:dyDescent="0.25">
      <c r="B1467" s="2" t="s">
        <v>2272</v>
      </c>
      <c r="C1467" s="2" t="s">
        <v>181</v>
      </c>
      <c r="D1467" s="2" t="s">
        <v>176</v>
      </c>
      <c r="E1467" s="2" t="s">
        <v>4647</v>
      </c>
      <c r="F1467" s="2">
        <v>58</v>
      </c>
      <c r="G1467" s="2">
        <v>58</v>
      </c>
      <c r="H1467" s="2">
        <v>0</v>
      </c>
      <c r="I1467" s="1">
        <v>0</v>
      </c>
      <c r="J1467" s="26">
        <v>45789</v>
      </c>
      <c r="K1467" s="22">
        <v>116000</v>
      </c>
      <c r="L1467" s="18">
        <v>124.06</v>
      </c>
      <c r="M1467" s="22">
        <v>81200</v>
      </c>
      <c r="N1467" s="22">
        <v>34800</v>
      </c>
      <c r="O1467" s="18">
        <v>37.22</v>
      </c>
      <c r="P1467" s="52">
        <f>IF(COUNTIF(TblPurchases[BatchID],TblOutcomes[[#This Row],[BatchID]])&lt;&gt;1,"n.a.",TblOutcomes[[#This Row],[Qty Wasted]]*SUMIFS(TblPurchases[Unit Cost (CLP)],TblPurchases[BatchID],TblOutcomes[[#This Row],[BatchID]]))</f>
        <v>0</v>
      </c>
      <c r="Q1467" s="51">
        <f>IF(COUNTIF(TblPurchases[BatchID],TblOutcomes[[#This Row],[BatchID]])&lt;&gt;1,"n.a.",SUMIFS(TblPurchases[Purchase Date],TblPurchases[BatchID],TblOutcomes[[#This Row],[BatchID]]))</f>
        <v>45769</v>
      </c>
    </row>
    <row r="1468" spans="2:17" x14ac:dyDescent="0.25">
      <c r="B1468" s="2" t="s">
        <v>2273</v>
      </c>
      <c r="C1468" s="2" t="s">
        <v>181</v>
      </c>
      <c r="D1468" s="2" t="s">
        <v>176</v>
      </c>
      <c r="E1468" s="2" t="s">
        <v>4647</v>
      </c>
      <c r="F1468" s="2">
        <v>48</v>
      </c>
      <c r="G1468" s="2">
        <v>48</v>
      </c>
      <c r="H1468" s="2">
        <v>0</v>
      </c>
      <c r="I1468" s="1">
        <v>0</v>
      </c>
      <c r="J1468" s="26">
        <v>45825</v>
      </c>
      <c r="K1468" s="22">
        <v>96000</v>
      </c>
      <c r="L1468" s="18">
        <v>102.67</v>
      </c>
      <c r="M1468" s="22">
        <v>67200</v>
      </c>
      <c r="N1468" s="22">
        <v>28800</v>
      </c>
      <c r="O1468" s="18">
        <v>30.8</v>
      </c>
      <c r="P1468" s="52">
        <f>IF(COUNTIF(TblPurchases[BatchID],TblOutcomes[[#This Row],[BatchID]])&lt;&gt;1,"n.a.",TblOutcomes[[#This Row],[Qty Wasted]]*SUMIFS(TblPurchases[Unit Cost (CLP)],TblPurchases[BatchID],TblOutcomes[[#This Row],[BatchID]]))</f>
        <v>0</v>
      </c>
      <c r="Q1468" s="51">
        <f>IF(COUNTIF(TblPurchases[BatchID],TblOutcomes[[#This Row],[BatchID]])&lt;&gt;1,"n.a.",SUMIFS(TblPurchases[Purchase Date],TblPurchases[BatchID],TblOutcomes[[#This Row],[BatchID]]))</f>
        <v>45805</v>
      </c>
    </row>
    <row r="1469" spans="2:17" x14ac:dyDescent="0.25">
      <c r="B1469" s="2" t="s">
        <v>2274</v>
      </c>
      <c r="C1469" s="2" t="s">
        <v>184</v>
      </c>
      <c r="D1469" s="2" t="s">
        <v>176</v>
      </c>
      <c r="E1469" s="2" t="s">
        <v>4647</v>
      </c>
      <c r="F1469" s="2">
        <v>24</v>
      </c>
      <c r="G1469" s="2">
        <v>24</v>
      </c>
      <c r="H1469" s="2">
        <v>0</v>
      </c>
      <c r="I1469" s="1">
        <v>0</v>
      </c>
      <c r="J1469" s="26">
        <v>45161</v>
      </c>
      <c r="K1469" s="22">
        <v>48000</v>
      </c>
      <c r="L1469" s="18">
        <v>51.34</v>
      </c>
      <c r="M1469" s="22">
        <v>32400</v>
      </c>
      <c r="N1469" s="22">
        <v>15600</v>
      </c>
      <c r="O1469" s="18">
        <v>16.68</v>
      </c>
      <c r="P1469" s="52">
        <f>IF(COUNTIF(TblPurchases[BatchID],TblOutcomes[[#This Row],[BatchID]])&lt;&gt;1,"n.a.",TblOutcomes[[#This Row],[Qty Wasted]]*SUMIFS(TblPurchases[Unit Cost (CLP)],TblPurchases[BatchID],TblOutcomes[[#This Row],[BatchID]]))</f>
        <v>0</v>
      </c>
      <c r="Q1469" s="51">
        <f>IF(COUNTIF(TblPurchases[BatchID],TblOutcomes[[#This Row],[BatchID]])&lt;&gt;1,"n.a.",SUMIFS(TblPurchases[Purchase Date],TblPurchases[BatchID],TblOutcomes[[#This Row],[BatchID]]))</f>
        <v>45127</v>
      </c>
    </row>
    <row r="1470" spans="2:17" x14ac:dyDescent="0.25">
      <c r="B1470" s="2" t="s">
        <v>2275</v>
      </c>
      <c r="C1470" s="2" t="s">
        <v>184</v>
      </c>
      <c r="D1470" s="2" t="s">
        <v>176</v>
      </c>
      <c r="E1470" s="2" t="s">
        <v>4646</v>
      </c>
      <c r="F1470" s="2">
        <v>23</v>
      </c>
      <c r="G1470" s="2">
        <v>22.61</v>
      </c>
      <c r="H1470" s="2">
        <v>0.39</v>
      </c>
      <c r="I1470" s="1">
        <v>1.7</v>
      </c>
      <c r="J1470" s="26">
        <v>45461</v>
      </c>
      <c r="K1470" s="22">
        <v>45220</v>
      </c>
      <c r="L1470" s="18">
        <v>48.36</v>
      </c>
      <c r="M1470" s="22">
        <v>31050</v>
      </c>
      <c r="N1470" s="22">
        <v>14170</v>
      </c>
      <c r="O1470" s="18">
        <v>15.16</v>
      </c>
      <c r="P1470" s="52">
        <f>IF(COUNTIF(TblPurchases[BatchID],TblOutcomes[[#This Row],[BatchID]])&lt;&gt;1,"n.a.",TblOutcomes[[#This Row],[Qty Wasted]]*SUMIFS(TblPurchases[Unit Cost (CLP)],TblPurchases[BatchID],TblOutcomes[[#This Row],[BatchID]]))</f>
        <v>526.5</v>
      </c>
      <c r="Q1470" s="51">
        <f>IF(COUNTIF(TblPurchases[BatchID],TblOutcomes[[#This Row],[BatchID]])&lt;&gt;1,"n.a.",SUMIFS(TblPurchases[Purchase Date],TblPurchases[BatchID],TblOutcomes[[#This Row],[BatchID]]))</f>
        <v>45161</v>
      </c>
    </row>
    <row r="1471" spans="2:17" x14ac:dyDescent="0.25">
      <c r="B1471" s="2" t="s">
        <v>2276</v>
      </c>
      <c r="C1471" s="2" t="s">
        <v>184</v>
      </c>
      <c r="D1471" s="2" t="s">
        <v>176</v>
      </c>
      <c r="E1471" s="2" t="s">
        <v>4646</v>
      </c>
      <c r="F1471" s="2">
        <v>33</v>
      </c>
      <c r="G1471" s="2">
        <v>32.14</v>
      </c>
      <c r="H1471" s="2">
        <v>0.86</v>
      </c>
      <c r="I1471" s="1">
        <v>2.6</v>
      </c>
      <c r="J1471" s="26">
        <v>45496</v>
      </c>
      <c r="K1471" s="22">
        <v>64280</v>
      </c>
      <c r="L1471" s="18">
        <v>68.75</v>
      </c>
      <c r="M1471" s="22">
        <v>44550</v>
      </c>
      <c r="N1471" s="22">
        <v>19730</v>
      </c>
      <c r="O1471" s="18">
        <v>21.1</v>
      </c>
      <c r="P1471" s="52">
        <f>IF(COUNTIF(TblPurchases[BatchID],TblOutcomes[[#This Row],[BatchID]])&lt;&gt;1,"n.a.",TblOutcomes[[#This Row],[Qty Wasted]]*SUMIFS(TblPurchases[Unit Cost (CLP)],TblPurchases[BatchID],TblOutcomes[[#This Row],[BatchID]]))</f>
        <v>1161</v>
      </c>
      <c r="Q1471" s="51">
        <f>IF(COUNTIF(TblPurchases[BatchID],TblOutcomes[[#This Row],[BatchID]])&lt;&gt;1,"n.a.",SUMIFS(TblPurchases[Purchase Date],TblPurchases[BatchID],TblOutcomes[[#This Row],[BatchID]]))</f>
        <v>45196</v>
      </c>
    </row>
    <row r="1472" spans="2:17" x14ac:dyDescent="0.25">
      <c r="B1472" s="2" t="s">
        <v>2277</v>
      </c>
      <c r="C1472" s="2" t="s">
        <v>184</v>
      </c>
      <c r="D1472" s="2" t="s">
        <v>176</v>
      </c>
      <c r="E1472" s="2" t="s">
        <v>4647</v>
      </c>
      <c r="F1472" s="2">
        <v>27</v>
      </c>
      <c r="G1472" s="2">
        <v>27</v>
      </c>
      <c r="H1472" s="2">
        <v>0</v>
      </c>
      <c r="I1472" s="1">
        <v>0</v>
      </c>
      <c r="J1472" s="26">
        <v>45264</v>
      </c>
      <c r="K1472" s="22">
        <v>54000</v>
      </c>
      <c r="L1472" s="18">
        <v>57.75</v>
      </c>
      <c r="M1472" s="22">
        <v>36450</v>
      </c>
      <c r="N1472" s="22">
        <v>17550</v>
      </c>
      <c r="O1472" s="18">
        <v>18.77</v>
      </c>
      <c r="P1472" s="52">
        <f>IF(COUNTIF(TblPurchases[BatchID],TblOutcomes[[#This Row],[BatchID]])&lt;&gt;1,"n.a.",TblOutcomes[[#This Row],[Qty Wasted]]*SUMIFS(TblPurchases[Unit Cost (CLP)],TblPurchases[BatchID],TblOutcomes[[#This Row],[BatchID]]))</f>
        <v>0</v>
      </c>
      <c r="Q1472" s="51">
        <f>IF(COUNTIF(TblPurchases[BatchID],TblOutcomes[[#This Row],[BatchID]])&lt;&gt;1,"n.a.",SUMIFS(TblPurchases[Purchase Date],TblPurchases[BatchID],TblOutcomes[[#This Row],[BatchID]]))</f>
        <v>45233</v>
      </c>
    </row>
    <row r="1473" spans="2:17" x14ac:dyDescent="0.25">
      <c r="B1473" s="2" t="s">
        <v>2278</v>
      </c>
      <c r="C1473" s="2" t="s">
        <v>184</v>
      </c>
      <c r="D1473" s="2" t="s">
        <v>176</v>
      </c>
      <c r="E1473" s="2" t="s">
        <v>4646</v>
      </c>
      <c r="F1473" s="2">
        <v>32</v>
      </c>
      <c r="G1473" s="2">
        <v>31.23</v>
      </c>
      <c r="H1473" s="2">
        <v>0.77</v>
      </c>
      <c r="I1473" s="1">
        <v>2.4</v>
      </c>
      <c r="J1473" s="26">
        <v>45565</v>
      </c>
      <c r="K1473" s="22">
        <v>62460</v>
      </c>
      <c r="L1473" s="18">
        <v>66.8</v>
      </c>
      <c r="M1473" s="22">
        <v>43200</v>
      </c>
      <c r="N1473" s="22">
        <v>19260</v>
      </c>
      <c r="O1473" s="18">
        <v>20.6</v>
      </c>
      <c r="P1473" s="52">
        <f>IF(COUNTIF(TblPurchases[BatchID],TblOutcomes[[#This Row],[BatchID]])&lt;&gt;1,"n.a.",TblOutcomes[[#This Row],[Qty Wasted]]*SUMIFS(TblPurchases[Unit Cost (CLP)],TblPurchases[BatchID],TblOutcomes[[#This Row],[BatchID]]))</f>
        <v>1039.5</v>
      </c>
      <c r="Q1473" s="51">
        <f>IF(COUNTIF(TblPurchases[BatchID],TblOutcomes[[#This Row],[BatchID]])&lt;&gt;1,"n.a.",SUMIFS(TblPurchases[Purchase Date],TblPurchases[BatchID],TblOutcomes[[#This Row],[BatchID]]))</f>
        <v>45265</v>
      </c>
    </row>
    <row r="1474" spans="2:17" x14ac:dyDescent="0.25">
      <c r="B1474" s="2" t="s">
        <v>2279</v>
      </c>
      <c r="C1474" s="2" t="s">
        <v>184</v>
      </c>
      <c r="D1474" s="2" t="s">
        <v>176</v>
      </c>
      <c r="E1474" s="2" t="s">
        <v>4647</v>
      </c>
      <c r="F1474" s="2">
        <v>27</v>
      </c>
      <c r="G1474" s="2">
        <v>27</v>
      </c>
      <c r="H1474" s="2">
        <v>0</v>
      </c>
      <c r="I1474" s="1">
        <v>0</v>
      </c>
      <c r="J1474" s="26">
        <v>45335</v>
      </c>
      <c r="K1474" s="22">
        <v>54000</v>
      </c>
      <c r="L1474" s="18">
        <v>57.75</v>
      </c>
      <c r="M1474" s="22">
        <v>36450</v>
      </c>
      <c r="N1474" s="22">
        <v>17550</v>
      </c>
      <c r="O1474" s="18">
        <v>18.77</v>
      </c>
      <c r="P1474" s="52">
        <f>IF(COUNTIF(TblPurchases[BatchID],TblOutcomes[[#This Row],[BatchID]])&lt;&gt;1,"n.a.",TblOutcomes[[#This Row],[Qty Wasted]]*SUMIFS(TblPurchases[Unit Cost (CLP)],TblPurchases[BatchID],TblOutcomes[[#This Row],[BatchID]]))</f>
        <v>0</v>
      </c>
      <c r="Q1474" s="51">
        <f>IF(COUNTIF(TblPurchases[BatchID],TblOutcomes[[#This Row],[BatchID]])&lt;&gt;1,"n.a.",SUMIFS(TblPurchases[Purchase Date],TblPurchases[BatchID],TblOutcomes[[#This Row],[BatchID]]))</f>
        <v>45305</v>
      </c>
    </row>
    <row r="1475" spans="2:17" x14ac:dyDescent="0.25">
      <c r="B1475" s="2" t="s">
        <v>2280</v>
      </c>
      <c r="C1475" s="2" t="s">
        <v>184</v>
      </c>
      <c r="D1475" s="2" t="s">
        <v>176</v>
      </c>
      <c r="E1475" s="2" t="s">
        <v>4646</v>
      </c>
      <c r="F1475" s="2">
        <v>25</v>
      </c>
      <c r="G1475" s="2">
        <v>24.45</v>
      </c>
      <c r="H1475" s="2">
        <v>0.55000000000000004</v>
      </c>
      <c r="I1475" s="1">
        <v>2.2000000000000002</v>
      </c>
      <c r="J1475" s="26">
        <v>45639</v>
      </c>
      <c r="K1475" s="22">
        <v>48900</v>
      </c>
      <c r="L1475" s="18">
        <v>52.3</v>
      </c>
      <c r="M1475" s="22">
        <v>33750</v>
      </c>
      <c r="N1475" s="22">
        <v>15150</v>
      </c>
      <c r="O1475" s="18">
        <v>16.2</v>
      </c>
      <c r="P1475" s="52">
        <f>IF(COUNTIF(TblPurchases[BatchID],TblOutcomes[[#This Row],[BatchID]])&lt;&gt;1,"n.a.",TblOutcomes[[#This Row],[Qty Wasted]]*SUMIFS(TblPurchases[Unit Cost (CLP)],TblPurchases[BatchID],TblOutcomes[[#This Row],[BatchID]]))</f>
        <v>742.50000000000011</v>
      </c>
      <c r="Q1475" s="51">
        <f>IF(COUNTIF(TblPurchases[BatchID],TblOutcomes[[#This Row],[BatchID]])&lt;&gt;1,"n.a.",SUMIFS(TblPurchases[Purchase Date],TblPurchases[BatchID],TblOutcomes[[#This Row],[BatchID]]))</f>
        <v>45339</v>
      </c>
    </row>
    <row r="1476" spans="2:17" x14ac:dyDescent="0.25">
      <c r="B1476" s="2" t="s">
        <v>2281</v>
      </c>
      <c r="C1476" s="2" t="s">
        <v>184</v>
      </c>
      <c r="D1476" s="2" t="s">
        <v>176</v>
      </c>
      <c r="E1476" s="2" t="s">
        <v>4646</v>
      </c>
      <c r="F1476" s="2">
        <v>26</v>
      </c>
      <c r="G1476" s="2">
        <v>25.48</v>
      </c>
      <c r="H1476" s="2">
        <v>0.52</v>
      </c>
      <c r="I1476" s="1">
        <v>2</v>
      </c>
      <c r="J1476" s="26">
        <v>45683</v>
      </c>
      <c r="K1476" s="22">
        <v>50960</v>
      </c>
      <c r="L1476" s="18">
        <v>54.5</v>
      </c>
      <c r="M1476" s="22">
        <v>35100</v>
      </c>
      <c r="N1476" s="22">
        <v>15860</v>
      </c>
      <c r="O1476" s="18">
        <v>16.96</v>
      </c>
      <c r="P1476" s="52">
        <f>IF(COUNTIF(TblPurchases[BatchID],TblOutcomes[[#This Row],[BatchID]])&lt;&gt;1,"n.a.",TblOutcomes[[#This Row],[Qty Wasted]]*SUMIFS(TblPurchases[Unit Cost (CLP)],TblPurchases[BatchID],TblOutcomes[[#This Row],[BatchID]]))</f>
        <v>702</v>
      </c>
      <c r="Q1476" s="51">
        <f>IF(COUNTIF(TblPurchases[BatchID],TblOutcomes[[#This Row],[BatchID]])&lt;&gt;1,"n.a.",SUMIFS(TblPurchases[Purchase Date],TblPurchases[BatchID],TblOutcomes[[#This Row],[BatchID]]))</f>
        <v>45383</v>
      </c>
    </row>
    <row r="1477" spans="2:17" x14ac:dyDescent="0.25">
      <c r="B1477" s="2" t="s">
        <v>2282</v>
      </c>
      <c r="C1477" s="2" t="s">
        <v>184</v>
      </c>
      <c r="D1477" s="2" t="s">
        <v>176</v>
      </c>
      <c r="E1477" s="2" t="s">
        <v>4646</v>
      </c>
      <c r="F1477" s="2">
        <v>24</v>
      </c>
      <c r="G1477" s="2">
        <v>23.69</v>
      </c>
      <c r="H1477" s="2">
        <v>0.31</v>
      </c>
      <c r="I1477" s="1">
        <v>1.3</v>
      </c>
      <c r="J1477" s="26">
        <v>45716</v>
      </c>
      <c r="K1477" s="22">
        <v>47380</v>
      </c>
      <c r="L1477" s="18">
        <v>50.67</v>
      </c>
      <c r="M1477" s="22">
        <v>32400</v>
      </c>
      <c r="N1477" s="22">
        <v>14980</v>
      </c>
      <c r="O1477" s="18">
        <v>16.02</v>
      </c>
      <c r="P1477" s="52">
        <f>IF(COUNTIF(TblPurchases[BatchID],TblOutcomes[[#This Row],[BatchID]])&lt;&gt;1,"n.a.",TblOutcomes[[#This Row],[Qty Wasted]]*SUMIFS(TblPurchases[Unit Cost (CLP)],TblPurchases[BatchID],TblOutcomes[[#This Row],[BatchID]]))</f>
        <v>418.5</v>
      </c>
      <c r="Q1477" s="51">
        <f>IF(COUNTIF(TblPurchases[BatchID],TblOutcomes[[#This Row],[BatchID]])&lt;&gt;1,"n.a.",SUMIFS(TblPurchases[Purchase Date],TblPurchases[BatchID],TblOutcomes[[#This Row],[BatchID]]))</f>
        <v>45416</v>
      </c>
    </row>
    <row r="1478" spans="2:17" x14ac:dyDescent="0.25">
      <c r="B1478" s="2" t="s">
        <v>2283</v>
      </c>
      <c r="C1478" s="2" t="s">
        <v>184</v>
      </c>
      <c r="D1478" s="2" t="s">
        <v>176</v>
      </c>
      <c r="E1478" s="2" t="s">
        <v>4647</v>
      </c>
      <c r="F1478" s="2">
        <v>25</v>
      </c>
      <c r="G1478" s="2">
        <v>25</v>
      </c>
      <c r="H1478" s="2">
        <v>0</v>
      </c>
      <c r="I1478" s="1">
        <v>0</v>
      </c>
      <c r="J1478" s="26">
        <v>45474</v>
      </c>
      <c r="K1478" s="22">
        <v>50000</v>
      </c>
      <c r="L1478" s="18">
        <v>53.48</v>
      </c>
      <c r="M1478" s="22">
        <v>33750</v>
      </c>
      <c r="N1478" s="22">
        <v>16250</v>
      </c>
      <c r="O1478" s="18">
        <v>17.38</v>
      </c>
      <c r="P1478" s="52">
        <f>IF(COUNTIF(TblPurchases[BatchID],TblOutcomes[[#This Row],[BatchID]])&lt;&gt;1,"n.a.",TblOutcomes[[#This Row],[Qty Wasted]]*SUMIFS(TblPurchases[Unit Cost (CLP)],TblPurchases[BatchID],TblOutcomes[[#This Row],[BatchID]]))</f>
        <v>0</v>
      </c>
      <c r="Q1478" s="51">
        <f>IF(COUNTIF(TblPurchases[BatchID],TblOutcomes[[#This Row],[BatchID]])&lt;&gt;1,"n.a.",SUMIFS(TblPurchases[Purchase Date],TblPurchases[BatchID],TblOutcomes[[#This Row],[BatchID]]))</f>
        <v>45447</v>
      </c>
    </row>
    <row r="1479" spans="2:17" x14ac:dyDescent="0.25">
      <c r="B1479" s="2" t="s">
        <v>2284</v>
      </c>
      <c r="C1479" s="2" t="s">
        <v>184</v>
      </c>
      <c r="D1479" s="2" t="s">
        <v>176</v>
      </c>
      <c r="E1479" s="2" t="s">
        <v>4647</v>
      </c>
      <c r="F1479" s="2">
        <v>22</v>
      </c>
      <c r="G1479" s="2">
        <v>22</v>
      </c>
      <c r="H1479" s="2">
        <v>0</v>
      </c>
      <c r="I1479" s="1">
        <v>0</v>
      </c>
      <c r="J1479" s="26">
        <v>45509</v>
      </c>
      <c r="K1479" s="22">
        <v>44000</v>
      </c>
      <c r="L1479" s="18">
        <v>47.06</v>
      </c>
      <c r="M1479" s="22">
        <v>29700</v>
      </c>
      <c r="N1479" s="22">
        <v>14300</v>
      </c>
      <c r="O1479" s="18">
        <v>15.29</v>
      </c>
      <c r="P1479" s="52">
        <f>IF(COUNTIF(TblPurchases[BatchID],TblOutcomes[[#This Row],[BatchID]])&lt;&gt;1,"n.a.",TblOutcomes[[#This Row],[Qty Wasted]]*SUMIFS(TblPurchases[Unit Cost (CLP)],TblPurchases[BatchID],TblOutcomes[[#This Row],[BatchID]]))</f>
        <v>0</v>
      </c>
      <c r="Q1479" s="51">
        <f>IF(COUNTIF(TblPurchases[BatchID],TblOutcomes[[#This Row],[BatchID]])&lt;&gt;1,"n.a.",SUMIFS(TblPurchases[Purchase Date],TblPurchases[BatchID],TblOutcomes[[#This Row],[BatchID]]))</f>
        <v>45482</v>
      </c>
    </row>
    <row r="1480" spans="2:17" x14ac:dyDescent="0.25">
      <c r="B1480" s="2" t="s">
        <v>2285</v>
      </c>
      <c r="C1480" s="2" t="s">
        <v>184</v>
      </c>
      <c r="D1480" s="2" t="s">
        <v>176</v>
      </c>
      <c r="E1480" s="2" t="s">
        <v>4646</v>
      </c>
      <c r="F1480" s="2">
        <v>24</v>
      </c>
      <c r="G1480" s="2">
        <v>23.26</v>
      </c>
      <c r="H1480" s="2">
        <v>0.74</v>
      </c>
      <c r="I1480" s="1">
        <v>3.1</v>
      </c>
      <c r="J1480" s="26">
        <v>45810</v>
      </c>
      <c r="K1480" s="22">
        <v>46520</v>
      </c>
      <c r="L1480" s="18">
        <v>49.75</v>
      </c>
      <c r="M1480" s="22">
        <v>32400</v>
      </c>
      <c r="N1480" s="22">
        <v>14120</v>
      </c>
      <c r="O1480" s="18">
        <v>15.1</v>
      </c>
      <c r="P1480" s="52">
        <f>IF(COUNTIF(TblPurchases[BatchID],TblOutcomes[[#This Row],[BatchID]])&lt;&gt;1,"n.a.",TblOutcomes[[#This Row],[Qty Wasted]]*SUMIFS(TblPurchases[Unit Cost (CLP)],TblPurchases[BatchID],TblOutcomes[[#This Row],[BatchID]]))</f>
        <v>999</v>
      </c>
      <c r="Q1480" s="51">
        <f>IF(COUNTIF(TblPurchases[BatchID],TblOutcomes[[#This Row],[BatchID]])&lt;&gt;1,"n.a.",SUMIFS(TblPurchases[Purchase Date],TblPurchases[BatchID],TblOutcomes[[#This Row],[BatchID]]))</f>
        <v>45510</v>
      </c>
    </row>
    <row r="1481" spans="2:17" x14ac:dyDescent="0.25">
      <c r="B1481" s="2" t="s">
        <v>2286</v>
      </c>
      <c r="C1481" s="2" t="s">
        <v>184</v>
      </c>
      <c r="D1481" s="2" t="s">
        <v>176</v>
      </c>
      <c r="E1481" s="2" t="s">
        <v>4647</v>
      </c>
      <c r="F1481" s="2">
        <v>32</v>
      </c>
      <c r="G1481" s="2">
        <v>32</v>
      </c>
      <c r="H1481" s="2">
        <v>0</v>
      </c>
      <c r="I1481" s="1">
        <v>0</v>
      </c>
      <c r="J1481" s="26">
        <v>45577</v>
      </c>
      <c r="K1481" s="22">
        <v>64000</v>
      </c>
      <c r="L1481" s="18">
        <v>68.45</v>
      </c>
      <c r="M1481" s="22">
        <v>43200</v>
      </c>
      <c r="N1481" s="22">
        <v>20800</v>
      </c>
      <c r="O1481" s="18">
        <v>22.25</v>
      </c>
      <c r="P1481" s="52">
        <f>IF(COUNTIF(TblPurchases[BatchID],TblOutcomes[[#This Row],[BatchID]])&lt;&gt;1,"n.a.",TblOutcomes[[#This Row],[Qty Wasted]]*SUMIFS(TblPurchases[Unit Cost (CLP)],TblPurchases[BatchID],TblOutcomes[[#This Row],[BatchID]]))</f>
        <v>0</v>
      </c>
      <c r="Q1481" s="51">
        <f>IF(COUNTIF(TblPurchases[BatchID],TblOutcomes[[#This Row],[BatchID]])&lt;&gt;1,"n.a.",SUMIFS(TblPurchases[Purchase Date],TblPurchases[BatchID],TblOutcomes[[#This Row],[BatchID]]))</f>
        <v>45538</v>
      </c>
    </row>
    <row r="1482" spans="2:17" x14ac:dyDescent="0.25">
      <c r="B1482" s="2" t="s">
        <v>2287</v>
      </c>
      <c r="C1482" s="2" t="s">
        <v>184</v>
      </c>
      <c r="D1482" s="2" t="s">
        <v>176</v>
      </c>
      <c r="E1482" s="2" t="s">
        <v>4646</v>
      </c>
      <c r="F1482" s="2">
        <v>26</v>
      </c>
      <c r="G1482" s="2">
        <v>25.3</v>
      </c>
      <c r="H1482" s="2">
        <v>0.7</v>
      </c>
      <c r="I1482" s="1">
        <v>2.7</v>
      </c>
      <c r="J1482" s="26">
        <v>45870</v>
      </c>
      <c r="K1482" s="22">
        <v>50600</v>
      </c>
      <c r="L1482" s="18">
        <v>54.12</v>
      </c>
      <c r="M1482" s="22">
        <v>35100</v>
      </c>
      <c r="N1482" s="22">
        <v>15500</v>
      </c>
      <c r="O1482" s="18">
        <v>16.579999999999998</v>
      </c>
      <c r="P1482" s="52">
        <f>IF(COUNTIF(TblPurchases[BatchID],TblOutcomes[[#This Row],[BatchID]])&lt;&gt;1,"n.a.",TblOutcomes[[#This Row],[Qty Wasted]]*SUMIFS(TblPurchases[Unit Cost (CLP)],TblPurchases[BatchID],TblOutcomes[[#This Row],[BatchID]]))</f>
        <v>944.99999999999989</v>
      </c>
      <c r="Q1482" s="51">
        <f>IF(COUNTIF(TblPurchases[BatchID],TblOutcomes[[#This Row],[BatchID]])&lt;&gt;1,"n.a.",SUMIFS(TblPurchases[Purchase Date],TblPurchases[BatchID],TblOutcomes[[#This Row],[BatchID]]))</f>
        <v>45570</v>
      </c>
    </row>
    <row r="1483" spans="2:17" x14ac:dyDescent="0.25">
      <c r="B1483" s="2" t="s">
        <v>2288</v>
      </c>
      <c r="C1483" s="2" t="s">
        <v>184</v>
      </c>
      <c r="D1483" s="2" t="s">
        <v>176</v>
      </c>
      <c r="E1483" s="2" t="s">
        <v>4647</v>
      </c>
      <c r="F1483" s="2">
        <v>23</v>
      </c>
      <c r="G1483" s="2">
        <v>23</v>
      </c>
      <c r="H1483" s="2">
        <v>0</v>
      </c>
      <c r="I1483" s="1">
        <v>0</v>
      </c>
      <c r="J1483" s="26">
        <v>45616</v>
      </c>
      <c r="K1483" s="22">
        <v>46000</v>
      </c>
      <c r="L1483" s="18">
        <v>49.2</v>
      </c>
      <c r="M1483" s="22">
        <v>31050</v>
      </c>
      <c r="N1483" s="22">
        <v>14950</v>
      </c>
      <c r="O1483" s="18">
        <v>15.99</v>
      </c>
      <c r="P1483" s="52">
        <f>IF(COUNTIF(TblPurchases[BatchID],TblOutcomes[[#This Row],[BatchID]])&lt;&gt;1,"n.a.",TblOutcomes[[#This Row],[Qty Wasted]]*SUMIFS(TblPurchases[Unit Cost (CLP)],TblPurchases[BatchID],TblOutcomes[[#This Row],[BatchID]]))</f>
        <v>0</v>
      </c>
      <c r="Q1483" s="51">
        <f>IF(COUNTIF(TblPurchases[BatchID],TblOutcomes[[#This Row],[BatchID]])&lt;&gt;1,"n.a.",SUMIFS(TblPurchases[Purchase Date],TblPurchases[BatchID],TblOutcomes[[#This Row],[BatchID]]))</f>
        <v>45604</v>
      </c>
    </row>
    <row r="1484" spans="2:17" x14ac:dyDescent="0.25">
      <c r="B1484" s="2" t="s">
        <v>2289</v>
      </c>
      <c r="C1484" s="2" t="s">
        <v>184</v>
      </c>
      <c r="D1484" s="2" t="s">
        <v>176</v>
      </c>
      <c r="E1484" s="2" t="s">
        <v>4646</v>
      </c>
      <c r="F1484" s="2">
        <v>30</v>
      </c>
      <c r="G1484" s="2">
        <v>29.37</v>
      </c>
      <c r="H1484" s="2">
        <v>0.63</v>
      </c>
      <c r="I1484" s="1">
        <v>2.1</v>
      </c>
      <c r="J1484" s="26">
        <v>45948</v>
      </c>
      <c r="K1484" s="22">
        <v>58740</v>
      </c>
      <c r="L1484" s="18">
        <v>62.82</v>
      </c>
      <c r="M1484" s="22">
        <v>40500</v>
      </c>
      <c r="N1484" s="22">
        <v>18240</v>
      </c>
      <c r="O1484" s="18">
        <v>19.510000000000002</v>
      </c>
      <c r="P1484" s="52">
        <f>IF(COUNTIF(TblPurchases[BatchID],TblOutcomes[[#This Row],[BatchID]])&lt;&gt;1,"n.a.",TblOutcomes[[#This Row],[Qty Wasted]]*SUMIFS(TblPurchases[Unit Cost (CLP)],TblPurchases[BatchID],TblOutcomes[[#This Row],[BatchID]]))</f>
        <v>850.5</v>
      </c>
      <c r="Q1484" s="51">
        <f>IF(COUNTIF(TblPurchases[BatchID],TblOutcomes[[#This Row],[BatchID]])&lt;&gt;1,"n.a.",SUMIFS(TblPurchases[Purchase Date],TblPurchases[BatchID],TblOutcomes[[#This Row],[BatchID]]))</f>
        <v>45648</v>
      </c>
    </row>
    <row r="1485" spans="2:17" x14ac:dyDescent="0.25">
      <c r="B1485" s="2" t="s">
        <v>2290</v>
      </c>
      <c r="C1485" s="2" t="s">
        <v>184</v>
      </c>
      <c r="D1485" s="2" t="s">
        <v>176</v>
      </c>
      <c r="E1485" s="2" t="s">
        <v>4647</v>
      </c>
      <c r="F1485" s="2">
        <v>23</v>
      </c>
      <c r="G1485" s="2">
        <v>23</v>
      </c>
      <c r="H1485" s="2">
        <v>0</v>
      </c>
      <c r="I1485" s="1">
        <v>0</v>
      </c>
      <c r="J1485" s="26">
        <v>45717</v>
      </c>
      <c r="K1485" s="22">
        <v>46000</v>
      </c>
      <c r="L1485" s="18">
        <v>49.2</v>
      </c>
      <c r="M1485" s="22">
        <v>31050</v>
      </c>
      <c r="N1485" s="22">
        <v>14950</v>
      </c>
      <c r="O1485" s="18">
        <v>15.99</v>
      </c>
      <c r="P1485" s="52">
        <f>IF(COUNTIF(TblPurchases[BatchID],TblOutcomes[[#This Row],[BatchID]])&lt;&gt;1,"n.a.",TblOutcomes[[#This Row],[Qty Wasted]]*SUMIFS(TblPurchases[Unit Cost (CLP)],TblPurchases[BatchID],TblOutcomes[[#This Row],[BatchID]]))</f>
        <v>0</v>
      </c>
      <c r="Q1485" s="51">
        <f>IF(COUNTIF(TblPurchases[BatchID],TblOutcomes[[#This Row],[BatchID]])&lt;&gt;1,"n.a.",SUMIFS(TblPurchases[Purchase Date],TblPurchases[BatchID],TblOutcomes[[#This Row],[BatchID]]))</f>
        <v>45685</v>
      </c>
    </row>
    <row r="1486" spans="2:17" x14ac:dyDescent="0.25">
      <c r="B1486" s="2" t="s">
        <v>2291</v>
      </c>
      <c r="C1486" s="2" t="s">
        <v>184</v>
      </c>
      <c r="D1486" s="2" t="s">
        <v>176</v>
      </c>
      <c r="E1486" s="2" t="s">
        <v>4646</v>
      </c>
      <c r="F1486" s="2">
        <v>28</v>
      </c>
      <c r="G1486" s="2">
        <v>27.3</v>
      </c>
      <c r="H1486" s="2">
        <v>0.7</v>
      </c>
      <c r="I1486" s="1">
        <v>2.5</v>
      </c>
      <c r="J1486" s="26">
        <v>46022</v>
      </c>
      <c r="K1486" s="22">
        <v>54600</v>
      </c>
      <c r="L1486" s="18">
        <v>58.4</v>
      </c>
      <c r="M1486" s="22">
        <v>37800</v>
      </c>
      <c r="N1486" s="22">
        <v>16800</v>
      </c>
      <c r="O1486" s="18">
        <v>17.97</v>
      </c>
      <c r="P1486" s="52">
        <f>IF(COUNTIF(TblPurchases[BatchID],TblOutcomes[[#This Row],[BatchID]])&lt;&gt;1,"n.a.",TblOutcomes[[#This Row],[Qty Wasted]]*SUMIFS(TblPurchases[Unit Cost (CLP)],TblPurchases[BatchID],TblOutcomes[[#This Row],[BatchID]]))</f>
        <v>944.99999999999989</v>
      </c>
      <c r="Q1486" s="51">
        <f>IF(COUNTIF(TblPurchases[BatchID],TblOutcomes[[#This Row],[BatchID]])&lt;&gt;1,"n.a.",SUMIFS(TblPurchases[Purchase Date],TblPurchases[BatchID],TblOutcomes[[#This Row],[BatchID]]))</f>
        <v>45722</v>
      </c>
    </row>
    <row r="1487" spans="2:17" x14ac:dyDescent="0.25">
      <c r="B1487" s="2" t="s">
        <v>2292</v>
      </c>
      <c r="C1487" s="2" t="s">
        <v>184</v>
      </c>
      <c r="D1487" s="2" t="s">
        <v>176</v>
      </c>
      <c r="E1487" s="2" t="s">
        <v>4646</v>
      </c>
      <c r="F1487" s="2">
        <v>25</v>
      </c>
      <c r="G1487" s="2">
        <v>24.57</v>
      </c>
      <c r="H1487" s="2">
        <v>0.43</v>
      </c>
      <c r="I1487" s="1">
        <v>1.7</v>
      </c>
      <c r="J1487" s="26">
        <v>46063</v>
      </c>
      <c r="K1487" s="22">
        <v>49140</v>
      </c>
      <c r="L1487" s="18">
        <v>52.56</v>
      </c>
      <c r="M1487" s="22">
        <v>37500</v>
      </c>
      <c r="N1487" s="22">
        <v>11640</v>
      </c>
      <c r="O1487" s="18">
        <v>12.45</v>
      </c>
      <c r="P1487" s="52">
        <f>IF(COUNTIF(TblPurchases[BatchID],TblOutcomes[[#This Row],[BatchID]])&lt;&gt;1,"n.a.",TblOutcomes[[#This Row],[Qty Wasted]]*SUMIFS(TblPurchases[Unit Cost (CLP)],TblPurchases[BatchID],TblOutcomes[[#This Row],[BatchID]]))</f>
        <v>645</v>
      </c>
      <c r="Q1487" s="51">
        <f>IF(COUNTIF(TblPurchases[BatchID],TblOutcomes[[#This Row],[BatchID]])&lt;&gt;1,"n.a.",SUMIFS(TblPurchases[Purchase Date],TblPurchases[BatchID],TblOutcomes[[#This Row],[BatchID]]))</f>
        <v>45763</v>
      </c>
    </row>
    <row r="1488" spans="2:17" x14ac:dyDescent="0.25">
      <c r="B1488" s="2" t="s">
        <v>2293</v>
      </c>
      <c r="C1488" s="2" t="s">
        <v>184</v>
      </c>
      <c r="D1488" s="2" t="s">
        <v>176</v>
      </c>
      <c r="E1488" s="2" t="s">
        <v>4647</v>
      </c>
      <c r="F1488" s="2">
        <v>23</v>
      </c>
      <c r="G1488" s="2">
        <v>23</v>
      </c>
      <c r="H1488" s="2">
        <v>0</v>
      </c>
      <c r="I1488" s="1">
        <v>0</v>
      </c>
      <c r="J1488" s="26">
        <v>45829</v>
      </c>
      <c r="K1488" s="22">
        <v>46000</v>
      </c>
      <c r="L1488" s="18">
        <v>49.2</v>
      </c>
      <c r="M1488" s="22">
        <v>31050</v>
      </c>
      <c r="N1488" s="22">
        <v>14950</v>
      </c>
      <c r="O1488" s="18">
        <v>15.99</v>
      </c>
      <c r="P1488" s="52">
        <f>IF(COUNTIF(TblPurchases[BatchID],TblOutcomes[[#This Row],[BatchID]])&lt;&gt;1,"n.a.",TblOutcomes[[#This Row],[Qty Wasted]]*SUMIFS(TblPurchases[Unit Cost (CLP)],TblPurchases[BatchID],TblOutcomes[[#This Row],[BatchID]]))</f>
        <v>0</v>
      </c>
      <c r="Q1488" s="51">
        <f>IF(COUNTIF(TblPurchases[BatchID],TblOutcomes[[#This Row],[BatchID]])&lt;&gt;1,"n.a.",SUMIFS(TblPurchases[Purchase Date],TblPurchases[BatchID],TblOutcomes[[#This Row],[BatchID]]))</f>
        <v>45802</v>
      </c>
    </row>
    <row r="1489" spans="2:17" x14ac:dyDescent="0.25">
      <c r="B1489" s="2" t="s">
        <v>2294</v>
      </c>
      <c r="C1489" s="2" t="s">
        <v>186</v>
      </c>
      <c r="D1489" s="2" t="s">
        <v>176</v>
      </c>
      <c r="E1489" s="2" t="s">
        <v>4647</v>
      </c>
      <c r="F1489" s="2">
        <v>81</v>
      </c>
      <c r="G1489" s="2">
        <v>81</v>
      </c>
      <c r="H1489" s="2">
        <v>0</v>
      </c>
      <c r="I1489" s="1">
        <v>0</v>
      </c>
      <c r="J1489" s="26">
        <v>45157</v>
      </c>
      <c r="K1489" s="22">
        <v>121500</v>
      </c>
      <c r="L1489" s="18">
        <v>129.94999999999999</v>
      </c>
      <c r="M1489" s="22">
        <v>89100</v>
      </c>
      <c r="N1489" s="22">
        <v>32400</v>
      </c>
      <c r="O1489" s="18">
        <v>34.65</v>
      </c>
      <c r="P1489" s="52">
        <f>IF(COUNTIF(TblPurchases[BatchID],TblOutcomes[[#This Row],[BatchID]])&lt;&gt;1,"n.a.",TblOutcomes[[#This Row],[Qty Wasted]]*SUMIFS(TblPurchases[Unit Cost (CLP)],TblPurchases[BatchID],TblOutcomes[[#This Row],[BatchID]]))</f>
        <v>0</v>
      </c>
      <c r="Q1489" s="51">
        <f>IF(COUNTIF(TblPurchases[BatchID],TblOutcomes[[#This Row],[BatchID]])&lt;&gt;1,"n.a.",SUMIFS(TblPurchases[Purchase Date],TblPurchases[BatchID],TblOutcomes[[#This Row],[BatchID]]))</f>
        <v>45140</v>
      </c>
    </row>
    <row r="1490" spans="2:17" x14ac:dyDescent="0.25">
      <c r="B1490" s="2" t="s">
        <v>2295</v>
      </c>
      <c r="C1490" s="2" t="s">
        <v>186</v>
      </c>
      <c r="D1490" s="2" t="s">
        <v>176</v>
      </c>
      <c r="E1490" s="2" t="s">
        <v>4647</v>
      </c>
      <c r="F1490" s="2">
        <v>112</v>
      </c>
      <c r="G1490" s="2">
        <v>112</v>
      </c>
      <c r="H1490" s="2">
        <v>0</v>
      </c>
      <c r="I1490" s="1">
        <v>0</v>
      </c>
      <c r="J1490" s="26">
        <v>45207</v>
      </c>
      <c r="K1490" s="22">
        <v>168000</v>
      </c>
      <c r="L1490" s="18">
        <v>179.68</v>
      </c>
      <c r="M1490" s="22">
        <v>123200</v>
      </c>
      <c r="N1490" s="22">
        <v>44800</v>
      </c>
      <c r="O1490" s="18">
        <v>47.91</v>
      </c>
      <c r="P1490" s="52">
        <f>IF(COUNTIF(TblPurchases[BatchID],TblOutcomes[[#This Row],[BatchID]])&lt;&gt;1,"n.a.",TblOutcomes[[#This Row],[Qty Wasted]]*SUMIFS(TblPurchases[Unit Cost (CLP)],TblPurchases[BatchID],TblOutcomes[[#This Row],[BatchID]]))</f>
        <v>0</v>
      </c>
      <c r="Q1490" s="51">
        <f>IF(COUNTIF(TblPurchases[BatchID],TblOutcomes[[#This Row],[BatchID]])&lt;&gt;1,"n.a.",SUMIFS(TblPurchases[Purchase Date],TblPurchases[BatchID],TblOutcomes[[#This Row],[BatchID]]))</f>
        <v>45185</v>
      </c>
    </row>
    <row r="1491" spans="2:17" x14ac:dyDescent="0.25">
      <c r="B1491" s="2" t="s">
        <v>2296</v>
      </c>
      <c r="C1491" s="2" t="s">
        <v>186</v>
      </c>
      <c r="D1491" s="2" t="s">
        <v>176</v>
      </c>
      <c r="E1491" s="2" t="s">
        <v>4646</v>
      </c>
      <c r="F1491" s="2">
        <v>32</v>
      </c>
      <c r="G1491" s="2">
        <v>31.04</v>
      </c>
      <c r="H1491" s="2">
        <v>0.96</v>
      </c>
      <c r="I1491" s="1">
        <v>3</v>
      </c>
      <c r="J1491" s="26">
        <v>45515</v>
      </c>
      <c r="K1491" s="22">
        <v>46560</v>
      </c>
      <c r="L1491" s="18">
        <v>49.8</v>
      </c>
      <c r="M1491" s="22">
        <v>36800</v>
      </c>
      <c r="N1491" s="22">
        <v>9760</v>
      </c>
      <c r="O1491" s="18">
        <v>10.44</v>
      </c>
      <c r="P1491" s="52">
        <f>IF(COUNTIF(TblPurchases[BatchID],TblOutcomes[[#This Row],[BatchID]])&lt;&gt;1,"n.a.",TblOutcomes[[#This Row],[Qty Wasted]]*SUMIFS(TblPurchases[Unit Cost (CLP)],TblPurchases[BatchID],TblOutcomes[[#This Row],[BatchID]]))</f>
        <v>1104</v>
      </c>
      <c r="Q1491" s="51">
        <f>IF(COUNTIF(TblPurchases[BatchID],TblOutcomes[[#This Row],[BatchID]])&lt;&gt;1,"n.a.",SUMIFS(TblPurchases[Purchase Date],TblPurchases[BatchID],TblOutcomes[[#This Row],[BatchID]]))</f>
        <v>45215</v>
      </c>
    </row>
    <row r="1492" spans="2:17" x14ac:dyDescent="0.25">
      <c r="B1492" s="2" t="s">
        <v>2297</v>
      </c>
      <c r="C1492" s="2" t="s">
        <v>186</v>
      </c>
      <c r="D1492" s="2" t="s">
        <v>176</v>
      </c>
      <c r="E1492" s="2" t="s">
        <v>4646</v>
      </c>
      <c r="F1492" s="2">
        <v>31</v>
      </c>
      <c r="G1492" s="2">
        <v>30.32</v>
      </c>
      <c r="H1492" s="2">
        <v>0.68</v>
      </c>
      <c r="I1492" s="1">
        <v>2.2000000000000002</v>
      </c>
      <c r="J1492" s="26">
        <v>45543</v>
      </c>
      <c r="K1492" s="22">
        <v>45480</v>
      </c>
      <c r="L1492" s="18">
        <v>48.64</v>
      </c>
      <c r="M1492" s="22">
        <v>34100</v>
      </c>
      <c r="N1492" s="22">
        <v>11380</v>
      </c>
      <c r="O1492" s="18">
        <v>12.17</v>
      </c>
      <c r="P1492" s="52">
        <f>IF(COUNTIF(TblPurchases[BatchID],TblOutcomes[[#This Row],[BatchID]])&lt;&gt;1,"n.a.",TblOutcomes[[#This Row],[Qty Wasted]]*SUMIFS(TblPurchases[Unit Cost (CLP)],TblPurchases[BatchID],TblOutcomes[[#This Row],[BatchID]]))</f>
        <v>748</v>
      </c>
      <c r="Q1492" s="51">
        <f>IF(COUNTIF(TblPurchases[BatchID],TblOutcomes[[#This Row],[BatchID]])&lt;&gt;1,"n.a.",SUMIFS(TblPurchases[Purchase Date],TblPurchases[BatchID],TblOutcomes[[#This Row],[BatchID]]))</f>
        <v>45243</v>
      </c>
    </row>
    <row r="1493" spans="2:17" x14ac:dyDescent="0.25">
      <c r="B1493" s="2" t="s">
        <v>2298</v>
      </c>
      <c r="C1493" s="2" t="s">
        <v>186</v>
      </c>
      <c r="D1493" s="2" t="s">
        <v>176</v>
      </c>
      <c r="E1493" s="2" t="s">
        <v>4647</v>
      </c>
      <c r="F1493" s="2">
        <v>34</v>
      </c>
      <c r="G1493" s="2">
        <v>34</v>
      </c>
      <c r="H1493" s="2">
        <v>0</v>
      </c>
      <c r="I1493" s="1">
        <v>0</v>
      </c>
      <c r="J1493" s="26">
        <v>45290</v>
      </c>
      <c r="K1493" s="22">
        <v>51000</v>
      </c>
      <c r="L1493" s="18">
        <v>54.55</v>
      </c>
      <c r="M1493" s="22">
        <v>37400</v>
      </c>
      <c r="N1493" s="22">
        <v>13600</v>
      </c>
      <c r="O1493" s="18">
        <v>14.55</v>
      </c>
      <c r="P1493" s="52">
        <f>IF(COUNTIF(TblPurchases[BatchID],TblOutcomes[[#This Row],[BatchID]])&lt;&gt;1,"n.a.",TblOutcomes[[#This Row],[Qty Wasted]]*SUMIFS(TblPurchases[Unit Cost (CLP)],TblPurchases[BatchID],TblOutcomes[[#This Row],[BatchID]]))</f>
        <v>0</v>
      </c>
      <c r="Q1493" s="51">
        <f>IF(COUNTIF(TblPurchases[BatchID],TblOutcomes[[#This Row],[BatchID]])&lt;&gt;1,"n.a.",SUMIFS(TblPurchases[Purchase Date],TblPurchases[BatchID],TblOutcomes[[#This Row],[BatchID]]))</f>
        <v>45275</v>
      </c>
    </row>
    <row r="1494" spans="2:17" x14ac:dyDescent="0.25">
      <c r="B1494" s="2" t="s">
        <v>2299</v>
      </c>
      <c r="C1494" s="2" t="s">
        <v>186</v>
      </c>
      <c r="D1494" s="2" t="s">
        <v>176</v>
      </c>
      <c r="E1494" s="2" t="s">
        <v>4647</v>
      </c>
      <c r="F1494" s="2">
        <v>26</v>
      </c>
      <c r="G1494" s="2">
        <v>26</v>
      </c>
      <c r="H1494" s="2">
        <v>0</v>
      </c>
      <c r="I1494" s="1">
        <v>0</v>
      </c>
      <c r="J1494" s="26">
        <v>45323</v>
      </c>
      <c r="K1494" s="22">
        <v>39000</v>
      </c>
      <c r="L1494" s="18">
        <v>41.71</v>
      </c>
      <c r="M1494" s="22">
        <v>28600</v>
      </c>
      <c r="N1494" s="22">
        <v>10400</v>
      </c>
      <c r="O1494" s="18">
        <v>11.12</v>
      </c>
      <c r="P1494" s="52">
        <f>IF(COUNTIF(TblPurchases[BatchID],TblOutcomes[[#This Row],[BatchID]])&lt;&gt;1,"n.a.",TblOutcomes[[#This Row],[Qty Wasted]]*SUMIFS(TblPurchases[Unit Cost (CLP)],TblPurchases[BatchID],TblOutcomes[[#This Row],[BatchID]]))</f>
        <v>0</v>
      </c>
      <c r="Q1494" s="51">
        <f>IF(COUNTIF(TblPurchases[BatchID],TblOutcomes[[#This Row],[BatchID]])&lt;&gt;1,"n.a.",SUMIFS(TblPurchases[Purchase Date],TblPurchases[BatchID],TblOutcomes[[#This Row],[BatchID]]))</f>
        <v>45314</v>
      </c>
    </row>
    <row r="1495" spans="2:17" x14ac:dyDescent="0.25">
      <c r="B1495" s="2" t="s">
        <v>2300</v>
      </c>
      <c r="C1495" s="2" t="s">
        <v>186</v>
      </c>
      <c r="D1495" s="2" t="s">
        <v>176</v>
      </c>
      <c r="E1495" s="2" t="s">
        <v>4646</v>
      </c>
      <c r="F1495" s="2">
        <v>34</v>
      </c>
      <c r="G1495" s="2">
        <v>33.15</v>
      </c>
      <c r="H1495" s="2">
        <v>0.85</v>
      </c>
      <c r="I1495" s="1">
        <v>2.5</v>
      </c>
      <c r="J1495" s="26">
        <v>45651</v>
      </c>
      <c r="K1495" s="22">
        <v>49725</v>
      </c>
      <c r="L1495" s="18">
        <v>53.18</v>
      </c>
      <c r="M1495" s="22">
        <v>37400</v>
      </c>
      <c r="N1495" s="22">
        <v>12325</v>
      </c>
      <c r="O1495" s="18">
        <v>13.18</v>
      </c>
      <c r="P1495" s="52">
        <f>IF(COUNTIF(TblPurchases[BatchID],TblOutcomes[[#This Row],[BatchID]])&lt;&gt;1,"n.a.",TblOutcomes[[#This Row],[Qty Wasted]]*SUMIFS(TblPurchases[Unit Cost (CLP)],TblPurchases[BatchID],TblOutcomes[[#This Row],[BatchID]]))</f>
        <v>935</v>
      </c>
      <c r="Q1495" s="51">
        <f>IF(COUNTIF(TblPurchases[BatchID],TblOutcomes[[#This Row],[BatchID]])&lt;&gt;1,"n.a.",SUMIFS(TblPurchases[Purchase Date],TblPurchases[BatchID],TblOutcomes[[#This Row],[BatchID]]))</f>
        <v>45351</v>
      </c>
    </row>
    <row r="1496" spans="2:17" x14ac:dyDescent="0.25">
      <c r="B1496" s="2" t="s">
        <v>2301</v>
      </c>
      <c r="C1496" s="2" t="s">
        <v>186</v>
      </c>
      <c r="D1496" s="2" t="s">
        <v>176</v>
      </c>
      <c r="E1496" s="2" t="s">
        <v>4646</v>
      </c>
      <c r="F1496" s="2">
        <v>87</v>
      </c>
      <c r="G1496" s="2">
        <v>84.22</v>
      </c>
      <c r="H1496" s="2">
        <v>2.78</v>
      </c>
      <c r="I1496" s="1">
        <v>3.2</v>
      </c>
      <c r="J1496" s="26">
        <v>45686</v>
      </c>
      <c r="K1496" s="22">
        <v>126330</v>
      </c>
      <c r="L1496" s="18">
        <v>135.11000000000001</v>
      </c>
      <c r="M1496" s="22">
        <v>95700</v>
      </c>
      <c r="N1496" s="22">
        <v>30630</v>
      </c>
      <c r="O1496" s="18">
        <v>32.76</v>
      </c>
      <c r="P1496" s="52">
        <f>IF(COUNTIF(TblPurchases[BatchID],TblOutcomes[[#This Row],[BatchID]])&lt;&gt;1,"n.a.",TblOutcomes[[#This Row],[Qty Wasted]]*SUMIFS(TblPurchases[Unit Cost (CLP)],TblPurchases[BatchID],TblOutcomes[[#This Row],[BatchID]]))</f>
        <v>3058</v>
      </c>
      <c r="Q1496" s="51">
        <f>IF(COUNTIF(TblPurchases[BatchID],TblOutcomes[[#This Row],[BatchID]])&lt;&gt;1,"n.a.",SUMIFS(TblPurchases[Purchase Date],TblPurchases[BatchID],TblOutcomes[[#This Row],[BatchID]]))</f>
        <v>45386</v>
      </c>
    </row>
    <row r="1497" spans="2:17" x14ac:dyDescent="0.25">
      <c r="B1497" s="2" t="s">
        <v>2302</v>
      </c>
      <c r="C1497" s="2" t="s">
        <v>186</v>
      </c>
      <c r="D1497" s="2" t="s">
        <v>176</v>
      </c>
      <c r="E1497" s="2" t="s">
        <v>4647</v>
      </c>
      <c r="F1497" s="2">
        <v>89</v>
      </c>
      <c r="G1497" s="2">
        <v>89</v>
      </c>
      <c r="H1497" s="2">
        <v>0</v>
      </c>
      <c r="I1497" s="1">
        <v>0</v>
      </c>
      <c r="J1497" s="26">
        <v>45451</v>
      </c>
      <c r="K1497" s="22">
        <v>133500</v>
      </c>
      <c r="L1497" s="18">
        <v>142.78</v>
      </c>
      <c r="M1497" s="22">
        <v>102350</v>
      </c>
      <c r="N1497" s="22">
        <v>31150</v>
      </c>
      <c r="O1497" s="18">
        <v>33.32</v>
      </c>
      <c r="P1497" s="52">
        <f>IF(COUNTIF(TblPurchases[BatchID],TblOutcomes[[#This Row],[BatchID]])&lt;&gt;1,"n.a.",TblOutcomes[[#This Row],[Qty Wasted]]*SUMIFS(TblPurchases[Unit Cost (CLP)],TblPurchases[BatchID],TblOutcomes[[#This Row],[BatchID]]))</f>
        <v>0</v>
      </c>
      <c r="Q1497" s="51">
        <f>IF(COUNTIF(TblPurchases[BatchID],TblOutcomes[[#This Row],[BatchID]])&lt;&gt;1,"n.a.",SUMIFS(TblPurchases[Purchase Date],TblPurchases[BatchID],TblOutcomes[[#This Row],[BatchID]]))</f>
        <v>45429</v>
      </c>
    </row>
    <row r="1498" spans="2:17" x14ac:dyDescent="0.25">
      <c r="B1498" s="2" t="s">
        <v>2303</v>
      </c>
      <c r="C1498" s="2" t="s">
        <v>186</v>
      </c>
      <c r="D1498" s="2" t="s">
        <v>176</v>
      </c>
      <c r="E1498" s="2" t="s">
        <v>4647</v>
      </c>
      <c r="F1498" s="2">
        <v>85</v>
      </c>
      <c r="G1498" s="2">
        <v>85</v>
      </c>
      <c r="H1498" s="2">
        <v>0</v>
      </c>
      <c r="I1498" s="1">
        <v>0</v>
      </c>
      <c r="J1498" s="26">
        <v>45497</v>
      </c>
      <c r="K1498" s="22">
        <v>127500</v>
      </c>
      <c r="L1498" s="18">
        <v>136.36000000000001</v>
      </c>
      <c r="M1498" s="22">
        <v>93500</v>
      </c>
      <c r="N1498" s="22">
        <v>34000</v>
      </c>
      <c r="O1498" s="18">
        <v>36.36</v>
      </c>
      <c r="P1498" s="52">
        <f>IF(COUNTIF(TblPurchases[BatchID],TblOutcomes[[#This Row],[BatchID]])&lt;&gt;1,"n.a.",TblOutcomes[[#This Row],[Qty Wasted]]*SUMIFS(TblPurchases[Unit Cost (CLP)],TblPurchases[BatchID],TblOutcomes[[#This Row],[BatchID]]))</f>
        <v>0</v>
      </c>
      <c r="Q1498" s="51">
        <f>IF(COUNTIF(TblPurchases[BatchID],TblOutcomes[[#This Row],[BatchID]])&lt;&gt;1,"n.a.",SUMIFS(TblPurchases[Purchase Date],TblPurchases[BatchID],TblOutcomes[[#This Row],[BatchID]]))</f>
        <v>45460</v>
      </c>
    </row>
    <row r="1499" spans="2:17" x14ac:dyDescent="0.25">
      <c r="B1499" s="2" t="s">
        <v>2304</v>
      </c>
      <c r="C1499" s="2" t="s">
        <v>186</v>
      </c>
      <c r="D1499" s="2" t="s">
        <v>176</v>
      </c>
      <c r="E1499" s="2" t="s">
        <v>4647</v>
      </c>
      <c r="F1499" s="2">
        <v>82</v>
      </c>
      <c r="G1499" s="2">
        <v>82</v>
      </c>
      <c r="H1499" s="2">
        <v>0</v>
      </c>
      <c r="I1499" s="1">
        <v>0</v>
      </c>
      <c r="J1499" s="26">
        <v>45524</v>
      </c>
      <c r="K1499" s="22">
        <v>123000</v>
      </c>
      <c r="L1499" s="18">
        <v>131.55000000000001</v>
      </c>
      <c r="M1499" s="22">
        <v>90200</v>
      </c>
      <c r="N1499" s="22">
        <v>32800</v>
      </c>
      <c r="O1499" s="18">
        <v>35.08</v>
      </c>
      <c r="P1499" s="52">
        <f>IF(COUNTIF(TblPurchases[BatchID],TblOutcomes[[#This Row],[BatchID]])&lt;&gt;1,"n.a.",TblOutcomes[[#This Row],[Qty Wasted]]*SUMIFS(TblPurchases[Unit Cost (CLP)],TblPurchases[BatchID],TblOutcomes[[#This Row],[BatchID]]))</f>
        <v>0</v>
      </c>
      <c r="Q1499" s="51">
        <f>IF(COUNTIF(TblPurchases[BatchID],TblOutcomes[[#This Row],[BatchID]])&lt;&gt;1,"n.a.",SUMIFS(TblPurchases[Purchase Date],TblPurchases[BatchID],TblOutcomes[[#This Row],[BatchID]]))</f>
        <v>45503</v>
      </c>
    </row>
    <row r="1500" spans="2:17" x14ac:dyDescent="0.25">
      <c r="B1500" s="2" t="s">
        <v>2305</v>
      </c>
      <c r="C1500" s="2" t="s">
        <v>186</v>
      </c>
      <c r="D1500" s="2" t="s">
        <v>176</v>
      </c>
      <c r="E1500" s="2" t="s">
        <v>4647</v>
      </c>
      <c r="F1500" s="2">
        <v>87</v>
      </c>
      <c r="G1500" s="2">
        <v>87</v>
      </c>
      <c r="H1500" s="2">
        <v>0</v>
      </c>
      <c r="I1500" s="1">
        <v>0</v>
      </c>
      <c r="J1500" s="26">
        <v>45558</v>
      </c>
      <c r="K1500" s="22">
        <v>130500</v>
      </c>
      <c r="L1500" s="18">
        <v>139.57</v>
      </c>
      <c r="M1500" s="22">
        <v>95700</v>
      </c>
      <c r="N1500" s="22">
        <v>34800</v>
      </c>
      <c r="O1500" s="18">
        <v>37.22</v>
      </c>
      <c r="P1500" s="52">
        <f>IF(COUNTIF(TblPurchases[BatchID],TblOutcomes[[#This Row],[BatchID]])&lt;&gt;1,"n.a.",TblOutcomes[[#This Row],[Qty Wasted]]*SUMIFS(TblPurchases[Unit Cost (CLP)],TblPurchases[BatchID],TblOutcomes[[#This Row],[BatchID]]))</f>
        <v>0</v>
      </c>
      <c r="Q1500" s="51">
        <f>IF(COUNTIF(TblPurchases[BatchID],TblOutcomes[[#This Row],[BatchID]])&lt;&gt;1,"n.a.",SUMIFS(TblPurchases[Purchase Date],TblPurchases[BatchID],TblOutcomes[[#This Row],[BatchID]]))</f>
        <v>45537</v>
      </c>
    </row>
    <row r="1501" spans="2:17" x14ac:dyDescent="0.25">
      <c r="B1501" s="2" t="s">
        <v>2306</v>
      </c>
      <c r="C1501" s="2" t="s">
        <v>186</v>
      </c>
      <c r="D1501" s="2" t="s">
        <v>176</v>
      </c>
      <c r="E1501" s="2" t="s">
        <v>4646</v>
      </c>
      <c r="F1501" s="2">
        <v>26</v>
      </c>
      <c r="G1501" s="2">
        <v>25.04</v>
      </c>
      <c r="H1501" s="2">
        <v>0.96</v>
      </c>
      <c r="I1501" s="1">
        <v>3.7</v>
      </c>
      <c r="J1501" s="26">
        <v>45867</v>
      </c>
      <c r="K1501" s="22">
        <v>37560</v>
      </c>
      <c r="L1501" s="18">
        <v>40.17</v>
      </c>
      <c r="M1501" s="22">
        <v>28600</v>
      </c>
      <c r="N1501" s="22">
        <v>8960</v>
      </c>
      <c r="O1501" s="18">
        <v>9.58</v>
      </c>
      <c r="P1501" s="52">
        <f>IF(COUNTIF(TblPurchases[BatchID],TblOutcomes[[#This Row],[BatchID]])&lt;&gt;1,"n.a.",TblOutcomes[[#This Row],[Qty Wasted]]*SUMIFS(TblPurchases[Unit Cost (CLP)],TblPurchases[BatchID],TblOutcomes[[#This Row],[BatchID]]))</f>
        <v>1056</v>
      </c>
      <c r="Q1501" s="51">
        <f>IF(COUNTIF(TblPurchases[BatchID],TblOutcomes[[#This Row],[BatchID]])&lt;&gt;1,"n.a.",SUMIFS(TblPurchases[Purchase Date],TblPurchases[BatchID],TblOutcomes[[#This Row],[BatchID]]))</f>
        <v>45567</v>
      </c>
    </row>
    <row r="1502" spans="2:17" x14ac:dyDescent="0.25">
      <c r="B1502" s="2" t="s">
        <v>2307</v>
      </c>
      <c r="C1502" s="2" t="s">
        <v>186</v>
      </c>
      <c r="D1502" s="2" t="s">
        <v>176</v>
      </c>
      <c r="E1502" s="2" t="s">
        <v>4646</v>
      </c>
      <c r="F1502" s="2">
        <v>32</v>
      </c>
      <c r="G1502" s="2">
        <v>30.88</v>
      </c>
      <c r="H1502" s="2">
        <v>1.1200000000000001</v>
      </c>
      <c r="I1502" s="1">
        <v>3.5</v>
      </c>
      <c r="J1502" s="26">
        <v>45900</v>
      </c>
      <c r="K1502" s="22">
        <v>46320</v>
      </c>
      <c r="L1502" s="18">
        <v>49.54</v>
      </c>
      <c r="M1502" s="22">
        <v>35200</v>
      </c>
      <c r="N1502" s="22">
        <v>11120</v>
      </c>
      <c r="O1502" s="18">
        <v>11.89</v>
      </c>
      <c r="P1502" s="52">
        <f>IF(COUNTIF(TblPurchases[BatchID],TblOutcomes[[#This Row],[BatchID]])&lt;&gt;1,"n.a.",TblOutcomes[[#This Row],[Qty Wasted]]*SUMIFS(TblPurchases[Unit Cost (CLP)],TblPurchases[BatchID],TblOutcomes[[#This Row],[BatchID]]))</f>
        <v>1232.0000000000002</v>
      </c>
      <c r="Q1502" s="51">
        <f>IF(COUNTIF(TblPurchases[BatchID],TblOutcomes[[#This Row],[BatchID]])&lt;&gt;1,"n.a.",SUMIFS(TblPurchases[Purchase Date],TblPurchases[BatchID],TblOutcomes[[#This Row],[BatchID]]))</f>
        <v>45600</v>
      </c>
    </row>
    <row r="1503" spans="2:17" x14ac:dyDescent="0.25">
      <c r="B1503" s="2" t="s">
        <v>2308</v>
      </c>
      <c r="C1503" s="2" t="s">
        <v>186</v>
      </c>
      <c r="D1503" s="2" t="s">
        <v>176</v>
      </c>
      <c r="E1503" s="2" t="s">
        <v>4646</v>
      </c>
      <c r="F1503" s="2">
        <v>35</v>
      </c>
      <c r="G1503" s="2">
        <v>33.880000000000003</v>
      </c>
      <c r="H1503" s="2">
        <v>1.1200000000000001</v>
      </c>
      <c r="I1503" s="1">
        <v>3.2</v>
      </c>
      <c r="J1503" s="26">
        <v>45934</v>
      </c>
      <c r="K1503" s="22">
        <v>50820</v>
      </c>
      <c r="L1503" s="18">
        <v>54.35</v>
      </c>
      <c r="M1503" s="22">
        <v>38500</v>
      </c>
      <c r="N1503" s="22">
        <v>12320</v>
      </c>
      <c r="O1503" s="18">
        <v>13.18</v>
      </c>
      <c r="P1503" s="52">
        <f>IF(COUNTIF(TblPurchases[BatchID],TblOutcomes[[#This Row],[BatchID]])&lt;&gt;1,"n.a.",TblOutcomes[[#This Row],[Qty Wasted]]*SUMIFS(TblPurchases[Unit Cost (CLP)],TblPurchases[BatchID],TblOutcomes[[#This Row],[BatchID]]))</f>
        <v>1232.0000000000002</v>
      </c>
      <c r="Q1503" s="51">
        <f>IF(COUNTIF(TblPurchases[BatchID],TblOutcomes[[#This Row],[BatchID]])&lt;&gt;1,"n.a.",SUMIFS(TblPurchases[Purchase Date],TblPurchases[BatchID],TblOutcomes[[#This Row],[BatchID]]))</f>
        <v>45634</v>
      </c>
    </row>
    <row r="1504" spans="2:17" x14ac:dyDescent="0.25">
      <c r="B1504" s="2" t="s">
        <v>2309</v>
      </c>
      <c r="C1504" s="2" t="s">
        <v>186</v>
      </c>
      <c r="D1504" s="2" t="s">
        <v>176</v>
      </c>
      <c r="E1504" s="2" t="s">
        <v>4646</v>
      </c>
      <c r="F1504" s="2">
        <v>32</v>
      </c>
      <c r="G1504" s="2">
        <v>31.68</v>
      </c>
      <c r="H1504" s="2">
        <v>0.32</v>
      </c>
      <c r="I1504" s="1">
        <v>1</v>
      </c>
      <c r="J1504" s="26">
        <v>45972</v>
      </c>
      <c r="K1504" s="22">
        <v>47520</v>
      </c>
      <c r="L1504" s="18">
        <v>50.82</v>
      </c>
      <c r="M1504" s="22">
        <v>35200</v>
      </c>
      <c r="N1504" s="22">
        <v>12320</v>
      </c>
      <c r="O1504" s="18">
        <v>13.18</v>
      </c>
      <c r="P1504" s="52">
        <f>IF(COUNTIF(TblPurchases[BatchID],TblOutcomes[[#This Row],[BatchID]])&lt;&gt;1,"n.a.",TblOutcomes[[#This Row],[Qty Wasted]]*SUMIFS(TblPurchases[Unit Cost (CLP)],TblPurchases[BatchID],TblOutcomes[[#This Row],[BatchID]]))</f>
        <v>352</v>
      </c>
      <c r="Q1504" s="51">
        <f>IF(COUNTIF(TblPurchases[BatchID],TblOutcomes[[#This Row],[BatchID]])&lt;&gt;1,"n.a.",SUMIFS(TblPurchases[Purchase Date],TblPurchases[BatchID],TblOutcomes[[#This Row],[BatchID]]))</f>
        <v>45672</v>
      </c>
    </row>
    <row r="1505" spans="2:17" x14ac:dyDescent="0.25">
      <c r="B1505" s="2" t="s">
        <v>2310</v>
      </c>
      <c r="C1505" s="2" t="s">
        <v>186</v>
      </c>
      <c r="D1505" s="2" t="s">
        <v>176</v>
      </c>
      <c r="E1505" s="2" t="s">
        <v>4646</v>
      </c>
      <c r="F1505" s="2">
        <v>35</v>
      </c>
      <c r="G1505" s="2">
        <v>33.35</v>
      </c>
      <c r="H1505" s="2">
        <v>1.65</v>
      </c>
      <c r="I1505" s="1">
        <v>4.7</v>
      </c>
      <c r="J1505" s="26">
        <v>46007</v>
      </c>
      <c r="K1505" s="22">
        <v>50025</v>
      </c>
      <c r="L1505" s="18">
        <v>53.5</v>
      </c>
      <c r="M1505" s="22">
        <v>38500</v>
      </c>
      <c r="N1505" s="22">
        <v>11525</v>
      </c>
      <c r="O1505" s="18">
        <v>12.33</v>
      </c>
      <c r="P1505" s="52">
        <f>IF(COUNTIF(TblPurchases[BatchID],TblOutcomes[[#This Row],[BatchID]])&lt;&gt;1,"n.a.",TblOutcomes[[#This Row],[Qty Wasted]]*SUMIFS(TblPurchases[Unit Cost (CLP)],TblPurchases[BatchID],TblOutcomes[[#This Row],[BatchID]]))</f>
        <v>1815</v>
      </c>
      <c r="Q1505" s="51">
        <f>IF(COUNTIF(TblPurchases[BatchID],TblOutcomes[[#This Row],[BatchID]])&lt;&gt;1,"n.a.",SUMIFS(TblPurchases[Purchase Date],TblPurchases[BatchID],TblOutcomes[[#This Row],[BatchID]]))</f>
        <v>45707</v>
      </c>
    </row>
    <row r="1506" spans="2:17" x14ac:dyDescent="0.25">
      <c r="B1506" s="2" t="s">
        <v>2311</v>
      </c>
      <c r="C1506" s="2" t="s">
        <v>186</v>
      </c>
      <c r="D1506" s="2" t="s">
        <v>176</v>
      </c>
      <c r="E1506" s="2" t="s">
        <v>4647</v>
      </c>
      <c r="F1506" s="2">
        <v>35</v>
      </c>
      <c r="G1506" s="2">
        <v>35</v>
      </c>
      <c r="H1506" s="2">
        <v>0</v>
      </c>
      <c r="I1506" s="1">
        <v>0</v>
      </c>
      <c r="J1506" s="26">
        <v>45755</v>
      </c>
      <c r="K1506" s="22">
        <v>52500</v>
      </c>
      <c r="L1506" s="18">
        <v>56.15</v>
      </c>
      <c r="M1506" s="22">
        <v>38500</v>
      </c>
      <c r="N1506" s="22">
        <v>14000</v>
      </c>
      <c r="O1506" s="18">
        <v>14.97</v>
      </c>
      <c r="P1506" s="52">
        <f>IF(COUNTIF(TblPurchases[BatchID],TblOutcomes[[#This Row],[BatchID]])&lt;&gt;1,"n.a.",TblOutcomes[[#This Row],[Qty Wasted]]*SUMIFS(TblPurchases[Unit Cost (CLP)],TblPurchases[BatchID],TblOutcomes[[#This Row],[BatchID]]))</f>
        <v>0</v>
      </c>
      <c r="Q1506" s="51">
        <f>IF(COUNTIF(TblPurchases[BatchID],TblOutcomes[[#This Row],[BatchID]])&lt;&gt;1,"n.a.",SUMIFS(TblPurchases[Purchase Date],TblPurchases[BatchID],TblOutcomes[[#This Row],[BatchID]]))</f>
        <v>45735</v>
      </c>
    </row>
    <row r="1507" spans="2:17" x14ac:dyDescent="0.25">
      <c r="B1507" s="2" t="s">
        <v>2312</v>
      </c>
      <c r="C1507" s="2" t="s">
        <v>186</v>
      </c>
      <c r="D1507" s="2" t="s">
        <v>176</v>
      </c>
      <c r="E1507" s="2" t="s">
        <v>4647</v>
      </c>
      <c r="F1507" s="2">
        <v>82</v>
      </c>
      <c r="G1507" s="2">
        <v>82</v>
      </c>
      <c r="H1507" s="2">
        <v>0</v>
      </c>
      <c r="I1507" s="1">
        <v>0</v>
      </c>
      <c r="J1507" s="26">
        <v>45795</v>
      </c>
      <c r="K1507" s="22">
        <v>123000</v>
      </c>
      <c r="L1507" s="18">
        <v>131.55000000000001</v>
      </c>
      <c r="M1507" s="22">
        <v>90200</v>
      </c>
      <c r="N1507" s="22">
        <v>32800</v>
      </c>
      <c r="O1507" s="18">
        <v>35.08</v>
      </c>
      <c r="P1507" s="52">
        <f>IF(COUNTIF(TblPurchases[BatchID],TblOutcomes[[#This Row],[BatchID]])&lt;&gt;1,"n.a.",TblOutcomes[[#This Row],[Qty Wasted]]*SUMIFS(TblPurchases[Unit Cost (CLP)],TblPurchases[BatchID],TblOutcomes[[#This Row],[BatchID]]))</f>
        <v>0</v>
      </c>
      <c r="Q1507" s="51">
        <f>IF(COUNTIF(TblPurchases[BatchID],TblOutcomes[[#This Row],[BatchID]])&lt;&gt;1,"n.a.",SUMIFS(TblPurchases[Purchase Date],TblPurchases[BatchID],TblOutcomes[[#This Row],[BatchID]]))</f>
        <v>45766</v>
      </c>
    </row>
    <row r="1508" spans="2:17" x14ac:dyDescent="0.25">
      <c r="B1508" s="2" t="s">
        <v>2313</v>
      </c>
      <c r="C1508" s="2" t="s">
        <v>186</v>
      </c>
      <c r="D1508" s="2" t="s">
        <v>176</v>
      </c>
      <c r="E1508" s="2" t="s">
        <v>4646</v>
      </c>
      <c r="F1508" s="2">
        <v>78</v>
      </c>
      <c r="G1508" s="2">
        <v>75.27</v>
      </c>
      <c r="H1508" s="2">
        <v>2.73</v>
      </c>
      <c r="I1508" s="1">
        <v>3.5</v>
      </c>
      <c r="J1508" s="26">
        <v>46103</v>
      </c>
      <c r="K1508" s="22">
        <v>112905</v>
      </c>
      <c r="L1508" s="18">
        <v>120.75</v>
      </c>
      <c r="M1508" s="22">
        <v>85800</v>
      </c>
      <c r="N1508" s="22">
        <v>27105</v>
      </c>
      <c r="O1508" s="18">
        <v>28.99</v>
      </c>
      <c r="P1508" s="52">
        <f>IF(COUNTIF(TblPurchases[BatchID],TblOutcomes[[#This Row],[BatchID]])&lt;&gt;1,"n.a.",TblOutcomes[[#This Row],[Qty Wasted]]*SUMIFS(TblPurchases[Unit Cost (CLP)],TblPurchases[BatchID],TblOutcomes[[#This Row],[BatchID]]))</f>
        <v>3003</v>
      </c>
      <c r="Q1508" s="51">
        <f>IF(COUNTIF(TblPurchases[BatchID],TblOutcomes[[#This Row],[BatchID]])&lt;&gt;1,"n.a.",SUMIFS(TblPurchases[Purchase Date],TblPurchases[BatchID],TblOutcomes[[#This Row],[BatchID]]))</f>
        <v>45803</v>
      </c>
    </row>
    <row r="1509" spans="2:17" x14ac:dyDescent="0.25">
      <c r="B1509" s="2" t="s">
        <v>2314</v>
      </c>
      <c r="C1509" s="2" t="s">
        <v>190</v>
      </c>
      <c r="D1509" s="2" t="s">
        <v>176</v>
      </c>
      <c r="E1509" s="2" t="s">
        <v>4647</v>
      </c>
      <c r="F1509" s="2">
        <v>83</v>
      </c>
      <c r="G1509" s="2">
        <v>83</v>
      </c>
      <c r="H1509" s="2">
        <v>0</v>
      </c>
      <c r="I1509" s="1">
        <v>0</v>
      </c>
      <c r="J1509" s="26">
        <v>45148</v>
      </c>
      <c r="K1509" s="22">
        <v>124500</v>
      </c>
      <c r="L1509" s="18">
        <v>133.16</v>
      </c>
      <c r="M1509" s="22">
        <v>91300</v>
      </c>
      <c r="N1509" s="22">
        <v>33200</v>
      </c>
      <c r="O1509" s="18">
        <v>35.51</v>
      </c>
      <c r="P1509" s="52">
        <f>IF(COUNTIF(TblPurchases[BatchID],TblOutcomes[[#This Row],[BatchID]])&lt;&gt;1,"n.a.",TblOutcomes[[#This Row],[Qty Wasted]]*SUMIFS(TblPurchases[Unit Cost (CLP)],TblPurchases[BatchID],TblOutcomes[[#This Row],[BatchID]]))</f>
        <v>0</v>
      </c>
      <c r="Q1509" s="51">
        <f>IF(COUNTIF(TblPurchases[BatchID],TblOutcomes[[#This Row],[BatchID]])&lt;&gt;1,"n.a.",SUMIFS(TblPurchases[Purchase Date],TblPurchases[BatchID],TblOutcomes[[#This Row],[BatchID]]))</f>
        <v>45129</v>
      </c>
    </row>
    <row r="1510" spans="2:17" x14ac:dyDescent="0.25">
      <c r="B1510" s="2" t="s">
        <v>2315</v>
      </c>
      <c r="C1510" s="2" t="s">
        <v>190</v>
      </c>
      <c r="D1510" s="2" t="s">
        <v>176</v>
      </c>
      <c r="E1510" s="2" t="s">
        <v>4647</v>
      </c>
      <c r="F1510" s="2">
        <v>81</v>
      </c>
      <c r="G1510" s="2">
        <v>81</v>
      </c>
      <c r="H1510" s="2">
        <v>0</v>
      </c>
      <c r="I1510" s="1">
        <v>0</v>
      </c>
      <c r="J1510" s="26">
        <v>45198</v>
      </c>
      <c r="K1510" s="22">
        <v>121500</v>
      </c>
      <c r="L1510" s="18">
        <v>129.94999999999999</v>
      </c>
      <c r="M1510" s="22">
        <v>89100</v>
      </c>
      <c r="N1510" s="22">
        <v>32400</v>
      </c>
      <c r="O1510" s="18">
        <v>34.65</v>
      </c>
      <c r="P1510" s="52">
        <f>IF(COUNTIF(TblPurchases[BatchID],TblOutcomes[[#This Row],[BatchID]])&lt;&gt;1,"n.a.",TblOutcomes[[#This Row],[Qty Wasted]]*SUMIFS(TblPurchases[Unit Cost (CLP)],TblPurchases[BatchID],TblOutcomes[[#This Row],[BatchID]]))</f>
        <v>0</v>
      </c>
      <c r="Q1510" s="51">
        <f>IF(COUNTIF(TblPurchases[BatchID],TblOutcomes[[#This Row],[BatchID]])&lt;&gt;1,"n.a.",SUMIFS(TblPurchases[Purchase Date],TblPurchases[BatchID],TblOutcomes[[#This Row],[BatchID]]))</f>
        <v>45163</v>
      </c>
    </row>
    <row r="1511" spans="2:17" x14ac:dyDescent="0.25">
      <c r="B1511" s="2" t="s">
        <v>2316</v>
      </c>
      <c r="C1511" s="2" t="s">
        <v>190</v>
      </c>
      <c r="D1511" s="2" t="s">
        <v>176</v>
      </c>
      <c r="E1511" s="2" t="s">
        <v>4647</v>
      </c>
      <c r="F1511" s="2">
        <v>104</v>
      </c>
      <c r="G1511" s="2">
        <v>104</v>
      </c>
      <c r="H1511" s="2">
        <v>0</v>
      </c>
      <c r="I1511" s="1">
        <v>0</v>
      </c>
      <c r="J1511" s="26">
        <v>45215</v>
      </c>
      <c r="K1511" s="22">
        <v>156000</v>
      </c>
      <c r="L1511" s="18">
        <v>166.84</v>
      </c>
      <c r="M1511" s="22">
        <v>114400</v>
      </c>
      <c r="N1511" s="22">
        <v>41600</v>
      </c>
      <c r="O1511" s="18">
        <v>44.49</v>
      </c>
      <c r="P1511" s="52">
        <f>IF(COUNTIF(TblPurchases[BatchID],TblOutcomes[[#This Row],[BatchID]])&lt;&gt;1,"n.a.",TblOutcomes[[#This Row],[Qty Wasted]]*SUMIFS(TblPurchases[Unit Cost (CLP)],TblPurchases[BatchID],TblOutcomes[[#This Row],[BatchID]]))</f>
        <v>0</v>
      </c>
      <c r="Q1511" s="51">
        <f>IF(COUNTIF(TblPurchases[BatchID],TblOutcomes[[#This Row],[BatchID]])&lt;&gt;1,"n.a.",SUMIFS(TblPurchases[Purchase Date],TblPurchases[BatchID],TblOutcomes[[#This Row],[BatchID]]))</f>
        <v>45197</v>
      </c>
    </row>
    <row r="1512" spans="2:17" x14ac:dyDescent="0.25">
      <c r="B1512" s="2" t="s">
        <v>2317</v>
      </c>
      <c r="C1512" s="2" t="s">
        <v>190</v>
      </c>
      <c r="D1512" s="2" t="s">
        <v>176</v>
      </c>
      <c r="E1512" s="2" t="s">
        <v>4646</v>
      </c>
      <c r="F1512" s="2">
        <v>26</v>
      </c>
      <c r="G1512" s="2">
        <v>25.12</v>
      </c>
      <c r="H1512" s="2">
        <v>0.88</v>
      </c>
      <c r="I1512" s="1">
        <v>3.4</v>
      </c>
      <c r="J1512" s="26">
        <v>45540</v>
      </c>
      <c r="K1512" s="22">
        <v>37680</v>
      </c>
      <c r="L1512" s="18">
        <v>40.299999999999997</v>
      </c>
      <c r="M1512" s="22">
        <v>28600</v>
      </c>
      <c r="N1512" s="22">
        <v>9080</v>
      </c>
      <c r="O1512" s="18">
        <v>9.7100000000000009</v>
      </c>
      <c r="P1512" s="52">
        <f>IF(COUNTIF(TblPurchases[BatchID],TblOutcomes[[#This Row],[BatchID]])&lt;&gt;1,"n.a.",TblOutcomes[[#This Row],[Qty Wasted]]*SUMIFS(TblPurchases[Unit Cost (CLP)],TblPurchases[BatchID],TblOutcomes[[#This Row],[BatchID]]))</f>
        <v>968</v>
      </c>
      <c r="Q1512" s="51">
        <f>IF(COUNTIF(TblPurchases[BatchID],TblOutcomes[[#This Row],[BatchID]])&lt;&gt;1,"n.a.",SUMIFS(TblPurchases[Purchase Date],TblPurchases[BatchID],TblOutcomes[[#This Row],[BatchID]]))</f>
        <v>45240</v>
      </c>
    </row>
    <row r="1513" spans="2:17" x14ac:dyDescent="0.25">
      <c r="B1513" s="2" t="s">
        <v>2318</v>
      </c>
      <c r="C1513" s="2" t="s">
        <v>190</v>
      </c>
      <c r="D1513" s="2" t="s">
        <v>176</v>
      </c>
      <c r="E1513" s="2" t="s">
        <v>4646</v>
      </c>
      <c r="F1513" s="2">
        <v>40</v>
      </c>
      <c r="G1513" s="2">
        <v>39.44</v>
      </c>
      <c r="H1513" s="2">
        <v>0.56000000000000005</v>
      </c>
      <c r="I1513" s="1">
        <v>1.4</v>
      </c>
      <c r="J1513" s="26">
        <v>45571</v>
      </c>
      <c r="K1513" s="22">
        <v>59160</v>
      </c>
      <c r="L1513" s="18">
        <v>63.27</v>
      </c>
      <c r="M1513" s="22">
        <v>44000</v>
      </c>
      <c r="N1513" s="22">
        <v>15160</v>
      </c>
      <c r="O1513" s="18">
        <v>16.21</v>
      </c>
      <c r="P1513" s="52">
        <f>IF(COUNTIF(TblPurchases[BatchID],TblOutcomes[[#This Row],[BatchID]])&lt;&gt;1,"n.a.",TblOutcomes[[#This Row],[Qty Wasted]]*SUMIFS(TblPurchases[Unit Cost (CLP)],TblPurchases[BatchID],TblOutcomes[[#This Row],[BatchID]]))</f>
        <v>616.00000000000011</v>
      </c>
      <c r="Q1513" s="51">
        <f>IF(COUNTIF(TblPurchases[BatchID],TblOutcomes[[#This Row],[BatchID]])&lt;&gt;1,"n.a.",SUMIFS(TblPurchases[Purchase Date],TblPurchases[BatchID],TblOutcomes[[#This Row],[BatchID]]))</f>
        <v>45271</v>
      </c>
    </row>
    <row r="1514" spans="2:17" x14ac:dyDescent="0.25">
      <c r="B1514" s="2" t="s">
        <v>2319</v>
      </c>
      <c r="C1514" s="2" t="s">
        <v>190</v>
      </c>
      <c r="D1514" s="2" t="s">
        <v>176</v>
      </c>
      <c r="E1514" s="2" t="s">
        <v>4647</v>
      </c>
      <c r="F1514" s="2">
        <v>34</v>
      </c>
      <c r="G1514" s="2">
        <v>34</v>
      </c>
      <c r="H1514" s="2">
        <v>0</v>
      </c>
      <c r="I1514" s="1">
        <v>0</v>
      </c>
      <c r="J1514" s="26">
        <v>45314</v>
      </c>
      <c r="K1514" s="22">
        <v>51000</v>
      </c>
      <c r="L1514" s="18">
        <v>54.55</v>
      </c>
      <c r="M1514" s="22">
        <v>37400</v>
      </c>
      <c r="N1514" s="22">
        <v>13600</v>
      </c>
      <c r="O1514" s="18">
        <v>14.55</v>
      </c>
      <c r="P1514" s="52">
        <f>IF(COUNTIF(TblPurchases[BatchID],TblOutcomes[[#This Row],[BatchID]])&lt;&gt;1,"n.a.",TblOutcomes[[#This Row],[Qty Wasted]]*SUMIFS(TblPurchases[Unit Cost (CLP)],TblPurchases[BatchID],TblOutcomes[[#This Row],[BatchID]]))</f>
        <v>0</v>
      </c>
      <c r="Q1514" s="51">
        <f>IF(COUNTIF(TblPurchases[BatchID],TblOutcomes[[#This Row],[BatchID]])&lt;&gt;1,"n.a.",SUMIFS(TblPurchases[Purchase Date],TblPurchases[BatchID],TblOutcomes[[#This Row],[BatchID]]))</f>
        <v>45310</v>
      </c>
    </row>
    <row r="1515" spans="2:17" x14ac:dyDescent="0.25">
      <c r="B1515" s="2" t="s">
        <v>2320</v>
      </c>
      <c r="C1515" s="2" t="s">
        <v>190</v>
      </c>
      <c r="D1515" s="2" t="s">
        <v>176</v>
      </c>
      <c r="E1515" s="2" t="s">
        <v>4647</v>
      </c>
      <c r="F1515" s="2">
        <v>29</v>
      </c>
      <c r="G1515" s="2">
        <v>29</v>
      </c>
      <c r="H1515" s="2">
        <v>0</v>
      </c>
      <c r="I1515" s="1">
        <v>0</v>
      </c>
      <c r="J1515" s="26">
        <v>45360</v>
      </c>
      <c r="K1515" s="22">
        <v>43500</v>
      </c>
      <c r="L1515" s="18">
        <v>46.52</v>
      </c>
      <c r="M1515" s="22">
        <v>31900</v>
      </c>
      <c r="N1515" s="22">
        <v>11600</v>
      </c>
      <c r="O1515" s="18">
        <v>12.41</v>
      </c>
      <c r="P1515" s="52">
        <f>IF(COUNTIF(TblPurchases[BatchID],TblOutcomes[[#This Row],[BatchID]])&lt;&gt;1,"n.a.",TblOutcomes[[#This Row],[Qty Wasted]]*SUMIFS(TblPurchases[Unit Cost (CLP)],TblPurchases[BatchID],TblOutcomes[[#This Row],[BatchID]]))</f>
        <v>0</v>
      </c>
      <c r="Q1515" s="51">
        <f>IF(COUNTIF(TblPurchases[BatchID],TblOutcomes[[#This Row],[BatchID]])&lt;&gt;1,"n.a.",SUMIFS(TblPurchases[Purchase Date],TblPurchases[BatchID],TblOutcomes[[#This Row],[BatchID]]))</f>
        <v>45348</v>
      </c>
    </row>
    <row r="1516" spans="2:17" x14ac:dyDescent="0.25">
      <c r="B1516" s="2" t="s">
        <v>2321</v>
      </c>
      <c r="C1516" s="2" t="s">
        <v>190</v>
      </c>
      <c r="D1516" s="2" t="s">
        <v>176</v>
      </c>
      <c r="E1516" s="2" t="s">
        <v>4647</v>
      </c>
      <c r="F1516" s="2">
        <v>80</v>
      </c>
      <c r="G1516" s="2">
        <v>80</v>
      </c>
      <c r="H1516" s="2">
        <v>0</v>
      </c>
      <c r="I1516" s="1">
        <v>0</v>
      </c>
      <c r="J1516" s="26">
        <v>45425</v>
      </c>
      <c r="K1516" s="22">
        <v>120000</v>
      </c>
      <c r="L1516" s="18">
        <v>128.34</v>
      </c>
      <c r="M1516" s="22">
        <v>88000</v>
      </c>
      <c r="N1516" s="22">
        <v>32000</v>
      </c>
      <c r="O1516" s="18">
        <v>34.22</v>
      </c>
      <c r="P1516" s="52">
        <f>IF(COUNTIF(TblPurchases[BatchID],TblOutcomes[[#This Row],[BatchID]])&lt;&gt;1,"n.a.",TblOutcomes[[#This Row],[Qty Wasted]]*SUMIFS(TblPurchases[Unit Cost (CLP)],TblPurchases[BatchID],TblOutcomes[[#This Row],[BatchID]]))</f>
        <v>0</v>
      </c>
      <c r="Q1516" s="51">
        <f>IF(COUNTIF(TblPurchases[BatchID],TblOutcomes[[#This Row],[BatchID]])&lt;&gt;1,"n.a.",SUMIFS(TblPurchases[Purchase Date],TblPurchases[BatchID],TblOutcomes[[#This Row],[BatchID]]))</f>
        <v>45383</v>
      </c>
    </row>
    <row r="1517" spans="2:17" x14ac:dyDescent="0.25">
      <c r="B1517" s="2" t="s">
        <v>2322</v>
      </c>
      <c r="C1517" s="2" t="s">
        <v>190</v>
      </c>
      <c r="D1517" s="2" t="s">
        <v>176</v>
      </c>
      <c r="E1517" s="2" t="s">
        <v>4647</v>
      </c>
      <c r="F1517" s="2">
        <v>90</v>
      </c>
      <c r="G1517" s="2">
        <v>90</v>
      </c>
      <c r="H1517" s="2">
        <v>0</v>
      </c>
      <c r="I1517" s="1">
        <v>0</v>
      </c>
      <c r="J1517" s="26">
        <v>45457</v>
      </c>
      <c r="K1517" s="22">
        <v>135000</v>
      </c>
      <c r="L1517" s="18">
        <v>144.38999999999999</v>
      </c>
      <c r="M1517" s="22">
        <v>99000</v>
      </c>
      <c r="N1517" s="22">
        <v>36000</v>
      </c>
      <c r="O1517" s="18">
        <v>38.5</v>
      </c>
      <c r="P1517" s="52">
        <f>IF(COUNTIF(TblPurchases[BatchID],TblOutcomes[[#This Row],[BatchID]])&lt;&gt;1,"n.a.",TblOutcomes[[#This Row],[Qty Wasted]]*SUMIFS(TblPurchases[Unit Cost (CLP)],TblPurchases[BatchID],TblOutcomes[[#This Row],[BatchID]]))</f>
        <v>0</v>
      </c>
      <c r="Q1517" s="51">
        <f>IF(COUNTIF(TblPurchases[BatchID],TblOutcomes[[#This Row],[BatchID]])&lt;&gt;1,"n.a.",SUMIFS(TblPurchases[Purchase Date],TblPurchases[BatchID],TblOutcomes[[#This Row],[BatchID]]))</f>
        <v>45424</v>
      </c>
    </row>
    <row r="1518" spans="2:17" x14ac:dyDescent="0.25">
      <c r="B1518" s="2" t="s">
        <v>2323</v>
      </c>
      <c r="C1518" s="2" t="s">
        <v>190</v>
      </c>
      <c r="D1518" s="2" t="s">
        <v>176</v>
      </c>
      <c r="E1518" s="2" t="s">
        <v>4647</v>
      </c>
      <c r="F1518" s="2">
        <v>70</v>
      </c>
      <c r="G1518" s="2">
        <v>70</v>
      </c>
      <c r="H1518" s="2">
        <v>0</v>
      </c>
      <c r="I1518" s="1">
        <v>0</v>
      </c>
      <c r="J1518" s="26">
        <v>45510</v>
      </c>
      <c r="K1518" s="22">
        <v>105000</v>
      </c>
      <c r="L1518" s="18">
        <v>112.3</v>
      </c>
      <c r="M1518" s="22">
        <v>77000</v>
      </c>
      <c r="N1518" s="22">
        <v>28000</v>
      </c>
      <c r="O1518" s="18">
        <v>29.95</v>
      </c>
      <c r="P1518" s="52">
        <f>IF(COUNTIF(TblPurchases[BatchID],TblOutcomes[[#This Row],[BatchID]])&lt;&gt;1,"n.a.",TblOutcomes[[#This Row],[Qty Wasted]]*SUMIFS(TblPurchases[Unit Cost (CLP)],TblPurchases[BatchID],TblOutcomes[[#This Row],[BatchID]]))</f>
        <v>0</v>
      </c>
      <c r="Q1518" s="51">
        <f>IF(COUNTIF(TblPurchases[BatchID],TblOutcomes[[#This Row],[BatchID]])&lt;&gt;1,"n.a.",SUMIFS(TblPurchases[Purchase Date],TblPurchases[BatchID],TblOutcomes[[#This Row],[BatchID]]))</f>
        <v>45457</v>
      </c>
    </row>
    <row r="1519" spans="2:17" x14ac:dyDescent="0.25">
      <c r="B1519" s="2" t="s">
        <v>2324</v>
      </c>
      <c r="C1519" s="2" t="s">
        <v>190</v>
      </c>
      <c r="D1519" s="2" t="s">
        <v>176</v>
      </c>
      <c r="E1519" s="2" t="s">
        <v>4647</v>
      </c>
      <c r="F1519" s="2">
        <v>91</v>
      </c>
      <c r="G1519" s="2">
        <v>91</v>
      </c>
      <c r="H1519" s="2">
        <v>0</v>
      </c>
      <c r="I1519" s="1">
        <v>0</v>
      </c>
      <c r="J1519" s="26">
        <v>45527</v>
      </c>
      <c r="K1519" s="22">
        <v>136500</v>
      </c>
      <c r="L1519" s="18">
        <v>145.99</v>
      </c>
      <c r="M1519" s="22">
        <v>100100</v>
      </c>
      <c r="N1519" s="22">
        <v>36400</v>
      </c>
      <c r="O1519" s="18">
        <v>38.93</v>
      </c>
      <c r="P1519" s="52">
        <f>IF(COUNTIF(TblPurchases[BatchID],TblOutcomes[[#This Row],[BatchID]])&lt;&gt;1,"n.a.",TblOutcomes[[#This Row],[Qty Wasted]]*SUMIFS(TblPurchases[Unit Cost (CLP)],TblPurchases[BatchID],TblOutcomes[[#This Row],[BatchID]]))</f>
        <v>0</v>
      </c>
      <c r="Q1519" s="51">
        <f>IF(COUNTIF(TblPurchases[BatchID],TblOutcomes[[#This Row],[BatchID]])&lt;&gt;1,"n.a.",SUMIFS(TblPurchases[Purchase Date],TblPurchases[BatchID],TblOutcomes[[#This Row],[BatchID]]))</f>
        <v>45498</v>
      </c>
    </row>
    <row r="1520" spans="2:17" x14ac:dyDescent="0.25">
      <c r="B1520" s="2" t="s">
        <v>2325</v>
      </c>
      <c r="C1520" s="2" t="s">
        <v>190</v>
      </c>
      <c r="D1520" s="2" t="s">
        <v>176</v>
      </c>
      <c r="E1520" s="2" t="s">
        <v>4647</v>
      </c>
      <c r="F1520" s="2">
        <v>97</v>
      </c>
      <c r="G1520" s="2">
        <v>97</v>
      </c>
      <c r="H1520" s="2">
        <v>0</v>
      </c>
      <c r="I1520" s="1">
        <v>0</v>
      </c>
      <c r="J1520" s="26">
        <v>45561</v>
      </c>
      <c r="K1520" s="22">
        <v>145500</v>
      </c>
      <c r="L1520" s="18">
        <v>155.61000000000001</v>
      </c>
      <c r="M1520" s="22">
        <v>106700</v>
      </c>
      <c r="N1520" s="22">
        <v>38800</v>
      </c>
      <c r="O1520" s="18">
        <v>41.5</v>
      </c>
      <c r="P1520" s="52">
        <f>IF(COUNTIF(TblPurchases[BatchID],TblOutcomes[[#This Row],[BatchID]])&lt;&gt;1,"n.a.",TblOutcomes[[#This Row],[Qty Wasted]]*SUMIFS(TblPurchases[Unit Cost (CLP)],TblPurchases[BatchID],TblOutcomes[[#This Row],[BatchID]]))</f>
        <v>0</v>
      </c>
      <c r="Q1520" s="51">
        <f>IF(COUNTIF(TblPurchases[BatchID],TblOutcomes[[#This Row],[BatchID]])&lt;&gt;1,"n.a.",SUMIFS(TblPurchases[Purchase Date],TblPurchases[BatchID],TblOutcomes[[#This Row],[BatchID]]))</f>
        <v>45537</v>
      </c>
    </row>
    <row r="1521" spans="2:17" x14ac:dyDescent="0.25">
      <c r="B1521" s="2" t="s">
        <v>2326</v>
      </c>
      <c r="C1521" s="2" t="s">
        <v>190</v>
      </c>
      <c r="D1521" s="2" t="s">
        <v>176</v>
      </c>
      <c r="E1521" s="2" t="s">
        <v>4647</v>
      </c>
      <c r="F1521" s="2">
        <v>91</v>
      </c>
      <c r="G1521" s="2">
        <v>91</v>
      </c>
      <c r="H1521" s="2">
        <v>0</v>
      </c>
      <c r="I1521" s="1">
        <v>0</v>
      </c>
      <c r="J1521" s="26">
        <v>45591</v>
      </c>
      <c r="K1521" s="22">
        <v>136500</v>
      </c>
      <c r="L1521" s="18">
        <v>145.99</v>
      </c>
      <c r="M1521" s="22">
        <v>100100</v>
      </c>
      <c r="N1521" s="22">
        <v>36400</v>
      </c>
      <c r="O1521" s="18">
        <v>38.93</v>
      </c>
      <c r="P1521" s="52">
        <f>IF(COUNTIF(TblPurchases[BatchID],TblOutcomes[[#This Row],[BatchID]])&lt;&gt;1,"n.a.",TblOutcomes[[#This Row],[Qty Wasted]]*SUMIFS(TblPurchases[Unit Cost (CLP)],TblPurchases[BatchID],TblOutcomes[[#This Row],[BatchID]]))</f>
        <v>0</v>
      </c>
      <c r="Q1521" s="51">
        <f>IF(COUNTIF(TblPurchases[BatchID],TblOutcomes[[#This Row],[BatchID]])&lt;&gt;1,"n.a.",SUMIFS(TblPurchases[Purchase Date],TblPurchases[BatchID],TblOutcomes[[#This Row],[BatchID]]))</f>
        <v>45563</v>
      </c>
    </row>
    <row r="1522" spans="2:17" x14ac:dyDescent="0.25">
      <c r="B1522" s="2" t="s">
        <v>2327</v>
      </c>
      <c r="C1522" s="2" t="s">
        <v>190</v>
      </c>
      <c r="D1522" s="2" t="s">
        <v>176</v>
      </c>
      <c r="E1522" s="2" t="s">
        <v>4647</v>
      </c>
      <c r="F1522" s="2">
        <v>29</v>
      </c>
      <c r="G1522" s="2">
        <v>29</v>
      </c>
      <c r="H1522" s="2">
        <v>0</v>
      </c>
      <c r="I1522" s="1">
        <v>0</v>
      </c>
      <c r="J1522" s="26">
        <v>45628</v>
      </c>
      <c r="K1522" s="22">
        <v>43500</v>
      </c>
      <c r="L1522" s="18">
        <v>46.52</v>
      </c>
      <c r="M1522" s="22">
        <v>31900</v>
      </c>
      <c r="N1522" s="22">
        <v>11600</v>
      </c>
      <c r="O1522" s="18">
        <v>12.41</v>
      </c>
      <c r="P1522" s="52">
        <f>IF(COUNTIF(TblPurchases[BatchID],TblOutcomes[[#This Row],[BatchID]])&lt;&gt;1,"n.a.",TblOutcomes[[#This Row],[Qty Wasted]]*SUMIFS(TblPurchases[Unit Cost (CLP)],TblPurchases[BatchID],TblOutcomes[[#This Row],[BatchID]]))</f>
        <v>0</v>
      </c>
      <c r="Q1522" s="51">
        <f>IF(COUNTIF(TblPurchases[BatchID],TblOutcomes[[#This Row],[BatchID]])&lt;&gt;1,"n.a.",SUMIFS(TblPurchases[Purchase Date],TblPurchases[BatchID],TblOutcomes[[#This Row],[BatchID]]))</f>
        <v>45606</v>
      </c>
    </row>
    <row r="1523" spans="2:17" x14ac:dyDescent="0.25">
      <c r="B1523" s="2" t="s">
        <v>2328</v>
      </c>
      <c r="C1523" s="2" t="s">
        <v>190</v>
      </c>
      <c r="D1523" s="2" t="s">
        <v>176</v>
      </c>
      <c r="E1523" s="2" t="s">
        <v>4646</v>
      </c>
      <c r="F1523" s="2">
        <v>45</v>
      </c>
      <c r="G1523" s="2">
        <v>43.29</v>
      </c>
      <c r="H1523" s="2">
        <v>1.71</v>
      </c>
      <c r="I1523" s="1">
        <v>3.8</v>
      </c>
      <c r="J1523" s="26">
        <v>45939</v>
      </c>
      <c r="K1523" s="22">
        <v>64935</v>
      </c>
      <c r="L1523" s="18">
        <v>69.45</v>
      </c>
      <c r="M1523" s="22">
        <v>49500</v>
      </c>
      <c r="N1523" s="22">
        <v>15435</v>
      </c>
      <c r="O1523" s="18">
        <v>16.510000000000002</v>
      </c>
      <c r="P1523" s="52">
        <f>IF(COUNTIF(TblPurchases[BatchID],TblOutcomes[[#This Row],[BatchID]])&lt;&gt;1,"n.a.",TblOutcomes[[#This Row],[Qty Wasted]]*SUMIFS(TblPurchases[Unit Cost (CLP)],TblPurchases[BatchID],TblOutcomes[[#This Row],[BatchID]]))</f>
        <v>1881</v>
      </c>
      <c r="Q1523" s="51">
        <f>IF(COUNTIF(TblPurchases[BatchID],TblOutcomes[[#This Row],[BatchID]])&lt;&gt;1,"n.a.",SUMIFS(TblPurchases[Purchase Date],TblPurchases[BatchID],TblOutcomes[[#This Row],[BatchID]]))</f>
        <v>45639</v>
      </c>
    </row>
    <row r="1524" spans="2:17" x14ac:dyDescent="0.25">
      <c r="B1524" s="2" t="s">
        <v>2329</v>
      </c>
      <c r="C1524" s="2" t="s">
        <v>190</v>
      </c>
      <c r="D1524" s="2" t="s">
        <v>176</v>
      </c>
      <c r="E1524" s="2" t="s">
        <v>4646</v>
      </c>
      <c r="F1524" s="2">
        <v>29</v>
      </c>
      <c r="G1524" s="2">
        <v>28.19</v>
      </c>
      <c r="H1524" s="2">
        <v>0.81</v>
      </c>
      <c r="I1524" s="1">
        <v>2.8</v>
      </c>
      <c r="J1524" s="26">
        <v>45971</v>
      </c>
      <c r="K1524" s="22">
        <v>42285</v>
      </c>
      <c r="L1524" s="18">
        <v>45.22</v>
      </c>
      <c r="M1524" s="22">
        <v>31900</v>
      </c>
      <c r="N1524" s="22">
        <v>10385</v>
      </c>
      <c r="O1524" s="18">
        <v>11.11</v>
      </c>
      <c r="P1524" s="52">
        <f>IF(COUNTIF(TblPurchases[BatchID],TblOutcomes[[#This Row],[BatchID]])&lt;&gt;1,"n.a.",TblOutcomes[[#This Row],[Qty Wasted]]*SUMIFS(TblPurchases[Unit Cost (CLP)],TblPurchases[BatchID],TblOutcomes[[#This Row],[BatchID]]))</f>
        <v>891.00000000000011</v>
      </c>
      <c r="Q1524" s="51">
        <f>IF(COUNTIF(TblPurchases[BatchID],TblOutcomes[[#This Row],[BatchID]])&lt;&gt;1,"n.a.",SUMIFS(TblPurchases[Purchase Date],TblPurchases[BatchID],TblOutcomes[[#This Row],[BatchID]]))</f>
        <v>45671</v>
      </c>
    </row>
    <row r="1525" spans="2:17" x14ac:dyDescent="0.25">
      <c r="B1525" s="2" t="s">
        <v>2330</v>
      </c>
      <c r="C1525" s="2" t="s">
        <v>190</v>
      </c>
      <c r="D1525" s="2" t="s">
        <v>176</v>
      </c>
      <c r="E1525" s="2" t="s">
        <v>4647</v>
      </c>
      <c r="F1525" s="2">
        <v>28</v>
      </c>
      <c r="G1525" s="2">
        <v>28</v>
      </c>
      <c r="H1525" s="2">
        <v>0</v>
      </c>
      <c r="I1525" s="1">
        <v>0</v>
      </c>
      <c r="J1525" s="26">
        <v>45737</v>
      </c>
      <c r="K1525" s="22">
        <v>42000</v>
      </c>
      <c r="L1525" s="18">
        <v>44.92</v>
      </c>
      <c r="M1525" s="22">
        <v>30800</v>
      </c>
      <c r="N1525" s="22">
        <v>11200</v>
      </c>
      <c r="O1525" s="18">
        <v>11.98</v>
      </c>
      <c r="P1525" s="52">
        <f>IF(COUNTIF(TblPurchases[BatchID],TblOutcomes[[#This Row],[BatchID]])&lt;&gt;1,"n.a.",TblOutcomes[[#This Row],[Qty Wasted]]*SUMIFS(TblPurchases[Unit Cost (CLP)],TblPurchases[BatchID],TblOutcomes[[#This Row],[BatchID]]))</f>
        <v>0</v>
      </c>
      <c r="Q1525" s="51">
        <f>IF(COUNTIF(TblPurchases[BatchID],TblOutcomes[[#This Row],[BatchID]])&lt;&gt;1,"n.a.",SUMIFS(TblPurchases[Purchase Date],TblPurchases[BatchID],TblOutcomes[[#This Row],[BatchID]]))</f>
        <v>45713</v>
      </c>
    </row>
    <row r="1526" spans="2:17" x14ac:dyDescent="0.25">
      <c r="B1526" s="2" t="s">
        <v>2331</v>
      </c>
      <c r="C1526" s="2" t="s">
        <v>190</v>
      </c>
      <c r="D1526" s="2" t="s">
        <v>176</v>
      </c>
      <c r="E1526" s="2" t="s">
        <v>4647</v>
      </c>
      <c r="F1526" s="2">
        <v>90</v>
      </c>
      <c r="G1526" s="2">
        <v>90</v>
      </c>
      <c r="H1526" s="2">
        <v>0</v>
      </c>
      <c r="I1526" s="1">
        <v>0</v>
      </c>
      <c r="J1526" s="26">
        <v>45782</v>
      </c>
      <c r="K1526" s="22">
        <v>135000</v>
      </c>
      <c r="L1526" s="18">
        <v>144.38999999999999</v>
      </c>
      <c r="M1526" s="22">
        <v>99000</v>
      </c>
      <c r="N1526" s="22">
        <v>36000</v>
      </c>
      <c r="O1526" s="18">
        <v>38.5</v>
      </c>
      <c r="P1526" s="52">
        <f>IF(COUNTIF(TblPurchases[BatchID],TblOutcomes[[#This Row],[BatchID]])&lt;&gt;1,"n.a.",TblOutcomes[[#This Row],[Qty Wasted]]*SUMIFS(TblPurchases[Unit Cost (CLP)],TblPurchases[BatchID],TblOutcomes[[#This Row],[BatchID]]))</f>
        <v>0</v>
      </c>
      <c r="Q1526" s="51">
        <f>IF(COUNTIF(TblPurchases[BatchID],TblOutcomes[[#This Row],[BatchID]])&lt;&gt;1,"n.a.",SUMIFS(TblPurchases[Purchase Date],TblPurchases[BatchID],TblOutcomes[[#This Row],[BatchID]]))</f>
        <v>45748</v>
      </c>
    </row>
    <row r="1527" spans="2:17" x14ac:dyDescent="0.25">
      <c r="B1527" s="2" t="s">
        <v>2332</v>
      </c>
      <c r="C1527" s="2" t="s">
        <v>190</v>
      </c>
      <c r="D1527" s="2" t="s">
        <v>176</v>
      </c>
      <c r="E1527" s="2" t="s">
        <v>4647</v>
      </c>
      <c r="F1527" s="2">
        <v>97</v>
      </c>
      <c r="G1527" s="2">
        <v>97</v>
      </c>
      <c r="H1527" s="2">
        <v>0</v>
      </c>
      <c r="I1527" s="1">
        <v>0</v>
      </c>
      <c r="J1527" s="26">
        <v>45806</v>
      </c>
      <c r="K1527" s="22">
        <v>145500</v>
      </c>
      <c r="L1527" s="18">
        <v>155.61000000000001</v>
      </c>
      <c r="M1527" s="22">
        <v>106700</v>
      </c>
      <c r="N1527" s="22">
        <v>38800</v>
      </c>
      <c r="O1527" s="18">
        <v>41.5</v>
      </c>
      <c r="P1527" s="52">
        <f>IF(COUNTIF(TblPurchases[BatchID],TblOutcomes[[#This Row],[BatchID]])&lt;&gt;1,"n.a.",TblOutcomes[[#This Row],[Qty Wasted]]*SUMIFS(TblPurchases[Unit Cost (CLP)],TblPurchases[BatchID],TblOutcomes[[#This Row],[BatchID]]))</f>
        <v>0</v>
      </c>
      <c r="Q1527" s="51">
        <f>IF(COUNTIF(TblPurchases[BatchID],TblOutcomes[[#This Row],[BatchID]])&lt;&gt;1,"n.a.",SUMIFS(TblPurchases[Purchase Date],TblPurchases[BatchID],TblOutcomes[[#This Row],[BatchID]]))</f>
        <v>45779</v>
      </c>
    </row>
    <row r="1528" spans="2:17" x14ac:dyDescent="0.25">
      <c r="B1528" s="2" t="s">
        <v>2333</v>
      </c>
      <c r="C1528" s="2" t="s">
        <v>190</v>
      </c>
      <c r="D1528" s="2" t="s">
        <v>176</v>
      </c>
      <c r="E1528" s="2" t="s">
        <v>4647</v>
      </c>
      <c r="F1528" s="2">
        <v>89</v>
      </c>
      <c r="G1528" s="2">
        <v>89</v>
      </c>
      <c r="H1528" s="2">
        <v>0</v>
      </c>
      <c r="I1528" s="1">
        <v>0</v>
      </c>
      <c r="J1528" s="26">
        <v>45839</v>
      </c>
      <c r="K1528" s="22">
        <v>133500</v>
      </c>
      <c r="L1528" s="18">
        <v>142.78</v>
      </c>
      <c r="M1528" s="22">
        <v>97900</v>
      </c>
      <c r="N1528" s="22">
        <v>35600</v>
      </c>
      <c r="O1528" s="18">
        <v>38.07</v>
      </c>
      <c r="P1528" s="52">
        <f>IF(COUNTIF(TblPurchases[BatchID],TblOutcomes[[#This Row],[BatchID]])&lt;&gt;1,"n.a.",TblOutcomes[[#This Row],[Qty Wasted]]*SUMIFS(TblPurchases[Unit Cost (CLP)],TblPurchases[BatchID],TblOutcomes[[#This Row],[BatchID]]))</f>
        <v>0</v>
      </c>
      <c r="Q1528" s="51">
        <f>IF(COUNTIF(TblPurchases[BatchID],TblOutcomes[[#This Row],[BatchID]])&lt;&gt;1,"n.a.",SUMIFS(TblPurchases[Purchase Date],TblPurchases[BatchID],TblOutcomes[[#This Row],[BatchID]]))</f>
        <v>45810</v>
      </c>
    </row>
    <row r="1529" spans="2:17" x14ac:dyDescent="0.25">
      <c r="B1529" s="2" t="s">
        <v>2334</v>
      </c>
      <c r="C1529" s="2" t="s">
        <v>193</v>
      </c>
      <c r="D1529" s="2" t="s">
        <v>176</v>
      </c>
      <c r="E1529" s="2" t="s">
        <v>4647</v>
      </c>
      <c r="F1529" s="2">
        <v>71</v>
      </c>
      <c r="G1529" s="2">
        <v>71</v>
      </c>
      <c r="H1529" s="2">
        <v>0</v>
      </c>
      <c r="I1529" s="1">
        <v>0</v>
      </c>
      <c r="J1529" s="26">
        <v>45176</v>
      </c>
      <c r="K1529" s="22">
        <v>142000</v>
      </c>
      <c r="L1529" s="18">
        <v>151.87</v>
      </c>
      <c r="M1529" s="22">
        <v>102950</v>
      </c>
      <c r="N1529" s="22">
        <v>39050</v>
      </c>
      <c r="O1529" s="18">
        <v>41.76</v>
      </c>
      <c r="P1529" s="52">
        <f>IF(COUNTIF(TblPurchases[BatchID],TblOutcomes[[#This Row],[BatchID]])&lt;&gt;1,"n.a.",TblOutcomes[[#This Row],[Qty Wasted]]*SUMIFS(TblPurchases[Unit Cost (CLP)],TblPurchases[BatchID],TblOutcomes[[#This Row],[BatchID]]))</f>
        <v>0</v>
      </c>
      <c r="Q1529" s="51">
        <f>IF(COUNTIF(TblPurchases[BatchID],TblOutcomes[[#This Row],[BatchID]])&lt;&gt;1,"n.a.",SUMIFS(TblPurchases[Purchase Date],TblPurchases[BatchID],TblOutcomes[[#This Row],[BatchID]]))</f>
        <v>45138</v>
      </c>
    </row>
    <row r="1530" spans="2:17" x14ac:dyDescent="0.25">
      <c r="B1530" s="2" t="s">
        <v>2335</v>
      </c>
      <c r="C1530" s="2" t="s">
        <v>193</v>
      </c>
      <c r="D1530" s="2" t="s">
        <v>176</v>
      </c>
      <c r="E1530" s="2" t="s">
        <v>4647</v>
      </c>
      <c r="F1530" s="2">
        <v>97</v>
      </c>
      <c r="G1530" s="2">
        <v>97</v>
      </c>
      <c r="H1530" s="2">
        <v>0</v>
      </c>
      <c r="I1530" s="1">
        <v>0</v>
      </c>
      <c r="J1530" s="26">
        <v>45206</v>
      </c>
      <c r="K1530" s="22">
        <v>194000</v>
      </c>
      <c r="L1530" s="18">
        <v>207.49</v>
      </c>
      <c r="M1530" s="22">
        <v>140650</v>
      </c>
      <c r="N1530" s="22">
        <v>53350</v>
      </c>
      <c r="O1530" s="18">
        <v>57.06</v>
      </c>
      <c r="P1530" s="52">
        <f>IF(COUNTIF(TblPurchases[BatchID],TblOutcomes[[#This Row],[BatchID]])&lt;&gt;1,"n.a.",TblOutcomes[[#This Row],[Qty Wasted]]*SUMIFS(TblPurchases[Unit Cost (CLP)],TblPurchases[BatchID],TblOutcomes[[#This Row],[BatchID]]))</f>
        <v>0</v>
      </c>
      <c r="Q1530" s="51">
        <f>IF(COUNTIF(TblPurchases[BatchID],TblOutcomes[[#This Row],[BatchID]])&lt;&gt;1,"n.a.",SUMIFS(TblPurchases[Purchase Date],TblPurchases[BatchID],TblOutcomes[[#This Row],[BatchID]]))</f>
        <v>45177</v>
      </c>
    </row>
    <row r="1531" spans="2:17" x14ac:dyDescent="0.25">
      <c r="B1531" s="2" t="s">
        <v>2336</v>
      </c>
      <c r="C1531" s="2" t="s">
        <v>193</v>
      </c>
      <c r="D1531" s="2" t="s">
        <v>176</v>
      </c>
      <c r="E1531" s="2" t="s">
        <v>4647</v>
      </c>
      <c r="F1531" s="2">
        <v>34</v>
      </c>
      <c r="G1531" s="2">
        <v>34</v>
      </c>
      <c r="H1531" s="2">
        <v>0</v>
      </c>
      <c r="I1531" s="1">
        <v>0</v>
      </c>
      <c r="J1531" s="26">
        <v>45248</v>
      </c>
      <c r="K1531" s="22">
        <v>68000</v>
      </c>
      <c r="L1531" s="18">
        <v>72.73</v>
      </c>
      <c r="M1531" s="22">
        <v>49300</v>
      </c>
      <c r="N1531" s="22">
        <v>18700</v>
      </c>
      <c r="O1531" s="18">
        <v>20</v>
      </c>
      <c r="P1531" s="52">
        <f>IF(COUNTIF(TblPurchases[BatchID],TblOutcomes[[#This Row],[BatchID]])&lt;&gt;1,"n.a.",TblOutcomes[[#This Row],[Qty Wasted]]*SUMIFS(TblPurchases[Unit Cost (CLP)],TblPurchases[BatchID],TblOutcomes[[#This Row],[BatchID]]))</f>
        <v>0</v>
      </c>
      <c r="Q1531" s="51">
        <f>IF(COUNTIF(TblPurchases[BatchID],TblOutcomes[[#This Row],[BatchID]])&lt;&gt;1,"n.a.",SUMIFS(TblPurchases[Purchase Date],TblPurchases[BatchID],TblOutcomes[[#This Row],[BatchID]]))</f>
        <v>45215</v>
      </c>
    </row>
    <row r="1532" spans="2:17" x14ac:dyDescent="0.25">
      <c r="B1532" s="2" t="s">
        <v>2337</v>
      </c>
      <c r="C1532" s="2" t="s">
        <v>193</v>
      </c>
      <c r="D1532" s="2" t="s">
        <v>176</v>
      </c>
      <c r="E1532" s="2" t="s">
        <v>4646</v>
      </c>
      <c r="F1532" s="2">
        <v>28</v>
      </c>
      <c r="G1532" s="2">
        <v>26.82</v>
      </c>
      <c r="H1532" s="2">
        <v>1.18</v>
      </c>
      <c r="I1532" s="1">
        <v>4.2</v>
      </c>
      <c r="J1532" s="26">
        <v>45548</v>
      </c>
      <c r="K1532" s="22">
        <v>53640</v>
      </c>
      <c r="L1532" s="18">
        <v>57.37</v>
      </c>
      <c r="M1532" s="22">
        <v>40600</v>
      </c>
      <c r="N1532" s="22">
        <v>13040</v>
      </c>
      <c r="O1532" s="18">
        <v>13.95</v>
      </c>
      <c r="P1532" s="52">
        <f>IF(COUNTIF(TblPurchases[BatchID],TblOutcomes[[#This Row],[BatchID]])&lt;&gt;1,"n.a.",TblOutcomes[[#This Row],[Qty Wasted]]*SUMIFS(TblPurchases[Unit Cost (CLP)],TblPurchases[BatchID],TblOutcomes[[#This Row],[BatchID]]))</f>
        <v>1711</v>
      </c>
      <c r="Q1532" s="51">
        <f>IF(COUNTIF(TblPurchases[BatchID],TblOutcomes[[#This Row],[BatchID]])&lt;&gt;1,"n.a.",SUMIFS(TblPurchases[Purchase Date],TblPurchases[BatchID],TblOutcomes[[#This Row],[BatchID]]))</f>
        <v>45248</v>
      </c>
    </row>
    <row r="1533" spans="2:17" x14ac:dyDescent="0.25">
      <c r="B1533" s="2" t="s">
        <v>2338</v>
      </c>
      <c r="C1533" s="2" t="s">
        <v>193</v>
      </c>
      <c r="D1533" s="2" t="s">
        <v>176</v>
      </c>
      <c r="E1533" s="2" t="s">
        <v>4646</v>
      </c>
      <c r="F1533" s="2">
        <v>40</v>
      </c>
      <c r="G1533" s="2">
        <v>39.159999999999997</v>
      </c>
      <c r="H1533" s="2">
        <v>0.84</v>
      </c>
      <c r="I1533" s="1">
        <v>2.1</v>
      </c>
      <c r="J1533" s="26">
        <v>45577</v>
      </c>
      <c r="K1533" s="22">
        <v>78320</v>
      </c>
      <c r="L1533" s="18">
        <v>83.76</v>
      </c>
      <c r="M1533" s="22">
        <v>56000</v>
      </c>
      <c r="N1533" s="22">
        <v>22320</v>
      </c>
      <c r="O1533" s="18">
        <v>23.87</v>
      </c>
      <c r="P1533" s="52">
        <f>IF(COUNTIF(TblPurchases[BatchID],TblOutcomes[[#This Row],[BatchID]])&lt;&gt;1,"n.a.",TblOutcomes[[#This Row],[Qty Wasted]]*SUMIFS(TblPurchases[Unit Cost (CLP)],TblPurchases[BatchID],TblOutcomes[[#This Row],[BatchID]]))</f>
        <v>1176</v>
      </c>
      <c r="Q1533" s="51">
        <f>IF(COUNTIF(TblPurchases[BatchID],TblOutcomes[[#This Row],[BatchID]])&lt;&gt;1,"n.a.",SUMIFS(TblPurchases[Purchase Date],TblPurchases[BatchID],TblOutcomes[[#This Row],[BatchID]]))</f>
        <v>45277</v>
      </c>
    </row>
    <row r="1534" spans="2:17" x14ac:dyDescent="0.25">
      <c r="B1534" s="2" t="s">
        <v>2339</v>
      </c>
      <c r="C1534" s="2" t="s">
        <v>193</v>
      </c>
      <c r="D1534" s="2" t="s">
        <v>176</v>
      </c>
      <c r="E1534" s="2" t="s">
        <v>4647</v>
      </c>
      <c r="F1534" s="2">
        <v>28</v>
      </c>
      <c r="G1534" s="2">
        <v>28</v>
      </c>
      <c r="H1534" s="2">
        <v>0</v>
      </c>
      <c r="I1534" s="1">
        <v>0</v>
      </c>
      <c r="J1534" s="26">
        <v>45354</v>
      </c>
      <c r="K1534" s="22">
        <v>56000</v>
      </c>
      <c r="L1534" s="18">
        <v>59.89</v>
      </c>
      <c r="M1534" s="22">
        <v>39200</v>
      </c>
      <c r="N1534" s="22">
        <v>16800</v>
      </c>
      <c r="O1534" s="18">
        <v>17.97</v>
      </c>
      <c r="P1534" s="52">
        <f>IF(COUNTIF(TblPurchases[BatchID],TblOutcomes[[#This Row],[BatchID]])&lt;&gt;1,"n.a.",TblOutcomes[[#This Row],[Qty Wasted]]*SUMIFS(TblPurchases[Unit Cost (CLP)],TblPurchases[BatchID],TblOutcomes[[#This Row],[BatchID]]))</f>
        <v>0</v>
      </c>
      <c r="Q1534" s="51">
        <f>IF(COUNTIF(TblPurchases[BatchID],TblOutcomes[[#This Row],[BatchID]])&lt;&gt;1,"n.a.",SUMIFS(TblPurchases[Purchase Date],TblPurchases[BatchID],TblOutcomes[[#This Row],[BatchID]]))</f>
        <v>45312</v>
      </c>
    </row>
    <row r="1535" spans="2:17" x14ac:dyDescent="0.25">
      <c r="B1535" s="2" t="s">
        <v>2340</v>
      </c>
      <c r="C1535" s="2" t="s">
        <v>193</v>
      </c>
      <c r="D1535" s="2" t="s">
        <v>176</v>
      </c>
      <c r="E1535" s="2" t="s">
        <v>4647</v>
      </c>
      <c r="F1535" s="2">
        <v>33</v>
      </c>
      <c r="G1535" s="2">
        <v>33</v>
      </c>
      <c r="H1535" s="2">
        <v>0</v>
      </c>
      <c r="I1535" s="1">
        <v>0</v>
      </c>
      <c r="J1535" s="26">
        <v>45378</v>
      </c>
      <c r="K1535" s="22">
        <v>66000</v>
      </c>
      <c r="L1535" s="18">
        <v>70.59</v>
      </c>
      <c r="M1535" s="22">
        <v>46200</v>
      </c>
      <c r="N1535" s="22">
        <v>19800</v>
      </c>
      <c r="O1535" s="18">
        <v>21.18</v>
      </c>
      <c r="P1535" s="52">
        <f>IF(COUNTIF(TblPurchases[BatchID],TblOutcomes[[#This Row],[BatchID]])&lt;&gt;1,"n.a.",TblOutcomes[[#This Row],[Qty Wasted]]*SUMIFS(TblPurchases[Unit Cost (CLP)],TblPurchases[BatchID],TblOutcomes[[#This Row],[BatchID]]))</f>
        <v>0</v>
      </c>
      <c r="Q1535" s="51">
        <f>IF(COUNTIF(TblPurchases[BatchID],TblOutcomes[[#This Row],[BatchID]])&lt;&gt;1,"n.a.",SUMIFS(TblPurchases[Purchase Date],TblPurchases[BatchID],TblOutcomes[[#This Row],[BatchID]]))</f>
        <v>45347</v>
      </c>
    </row>
    <row r="1536" spans="2:17" x14ac:dyDescent="0.25">
      <c r="B1536" s="2" t="s">
        <v>2341</v>
      </c>
      <c r="C1536" s="2" t="s">
        <v>193</v>
      </c>
      <c r="D1536" s="2" t="s">
        <v>176</v>
      </c>
      <c r="E1536" s="2" t="s">
        <v>4647</v>
      </c>
      <c r="F1536" s="2">
        <v>74</v>
      </c>
      <c r="G1536" s="2">
        <v>74</v>
      </c>
      <c r="H1536" s="2">
        <v>0</v>
      </c>
      <c r="I1536" s="1">
        <v>0</v>
      </c>
      <c r="J1536" s="26">
        <v>45417</v>
      </c>
      <c r="K1536" s="22">
        <v>148000</v>
      </c>
      <c r="L1536" s="18">
        <v>158.29</v>
      </c>
      <c r="M1536" s="22">
        <v>107300</v>
      </c>
      <c r="N1536" s="22">
        <v>40700</v>
      </c>
      <c r="O1536" s="18">
        <v>43.53</v>
      </c>
      <c r="P1536" s="52">
        <f>IF(COUNTIF(TblPurchases[BatchID],TblOutcomes[[#This Row],[BatchID]])&lt;&gt;1,"n.a.",TblOutcomes[[#This Row],[Qty Wasted]]*SUMIFS(TblPurchases[Unit Cost (CLP)],TblPurchases[BatchID],TblOutcomes[[#This Row],[BatchID]]))</f>
        <v>0</v>
      </c>
      <c r="Q1536" s="51">
        <f>IF(COUNTIF(TblPurchases[BatchID],TblOutcomes[[#This Row],[BatchID]])&lt;&gt;1,"n.a.",SUMIFS(TblPurchases[Purchase Date],TblPurchases[BatchID],TblOutcomes[[#This Row],[BatchID]]))</f>
        <v>45385</v>
      </c>
    </row>
    <row r="1537" spans="2:17" x14ac:dyDescent="0.25">
      <c r="B1537" s="2" t="s">
        <v>2342</v>
      </c>
      <c r="C1537" s="2" t="s">
        <v>193</v>
      </c>
      <c r="D1537" s="2" t="s">
        <v>176</v>
      </c>
      <c r="E1537" s="2" t="s">
        <v>4646</v>
      </c>
      <c r="F1537" s="2">
        <v>69</v>
      </c>
      <c r="G1537" s="2">
        <v>67</v>
      </c>
      <c r="H1537" s="2">
        <v>2</v>
      </c>
      <c r="I1537" s="1">
        <v>2.9</v>
      </c>
      <c r="J1537" s="26">
        <v>45725</v>
      </c>
      <c r="K1537" s="22">
        <v>134000</v>
      </c>
      <c r="L1537" s="18">
        <v>143.32</v>
      </c>
      <c r="M1537" s="22">
        <v>100050</v>
      </c>
      <c r="N1537" s="22">
        <v>33950</v>
      </c>
      <c r="O1537" s="18">
        <v>36.31</v>
      </c>
      <c r="P1537" s="52">
        <f>IF(COUNTIF(TblPurchases[BatchID],TblOutcomes[[#This Row],[BatchID]])&lt;&gt;1,"n.a.",TblOutcomes[[#This Row],[Qty Wasted]]*SUMIFS(TblPurchases[Unit Cost (CLP)],TblPurchases[BatchID],TblOutcomes[[#This Row],[BatchID]]))</f>
        <v>2900</v>
      </c>
      <c r="Q1537" s="51">
        <f>IF(COUNTIF(TblPurchases[BatchID],TblOutcomes[[#This Row],[BatchID]])&lt;&gt;1,"n.a.",SUMIFS(TblPurchases[Purchase Date],TblPurchases[BatchID],TblOutcomes[[#This Row],[BatchID]]))</f>
        <v>45425</v>
      </c>
    </row>
    <row r="1538" spans="2:17" x14ac:dyDescent="0.25">
      <c r="B1538" s="2" t="s">
        <v>2343</v>
      </c>
      <c r="C1538" s="2" t="s">
        <v>193</v>
      </c>
      <c r="D1538" s="2" t="s">
        <v>176</v>
      </c>
      <c r="E1538" s="2" t="s">
        <v>4647</v>
      </c>
      <c r="F1538" s="2">
        <v>83</v>
      </c>
      <c r="G1538" s="2">
        <v>83</v>
      </c>
      <c r="H1538" s="2">
        <v>0</v>
      </c>
      <c r="I1538" s="1">
        <v>0</v>
      </c>
      <c r="J1538" s="26">
        <v>45475</v>
      </c>
      <c r="K1538" s="22">
        <v>166000</v>
      </c>
      <c r="L1538" s="18">
        <v>177.54</v>
      </c>
      <c r="M1538" s="22">
        <v>120350</v>
      </c>
      <c r="N1538" s="22">
        <v>45650</v>
      </c>
      <c r="O1538" s="18">
        <v>48.82</v>
      </c>
      <c r="P1538" s="52">
        <f>IF(COUNTIF(TblPurchases[BatchID],TblOutcomes[[#This Row],[BatchID]])&lt;&gt;1,"n.a.",TblOutcomes[[#This Row],[Qty Wasted]]*SUMIFS(TblPurchases[Unit Cost (CLP)],TblPurchases[BatchID],TblOutcomes[[#This Row],[BatchID]]))</f>
        <v>0</v>
      </c>
      <c r="Q1538" s="51">
        <f>IF(COUNTIF(TblPurchases[BatchID],TblOutcomes[[#This Row],[BatchID]])&lt;&gt;1,"n.a.",SUMIFS(TblPurchases[Purchase Date],TblPurchases[BatchID],TblOutcomes[[#This Row],[BatchID]]))</f>
        <v>45446</v>
      </c>
    </row>
    <row r="1539" spans="2:17" x14ac:dyDescent="0.25">
      <c r="B1539" s="2" t="s">
        <v>2344</v>
      </c>
      <c r="C1539" s="2" t="s">
        <v>193</v>
      </c>
      <c r="D1539" s="2" t="s">
        <v>176</v>
      </c>
      <c r="E1539" s="2" t="s">
        <v>4647</v>
      </c>
      <c r="F1539" s="2">
        <v>85</v>
      </c>
      <c r="G1539" s="2">
        <v>85</v>
      </c>
      <c r="H1539" s="2">
        <v>0</v>
      </c>
      <c r="I1539" s="1">
        <v>0</v>
      </c>
      <c r="J1539" s="26">
        <v>45508</v>
      </c>
      <c r="K1539" s="22">
        <v>170000</v>
      </c>
      <c r="L1539" s="18">
        <v>181.82</v>
      </c>
      <c r="M1539" s="22">
        <v>123250</v>
      </c>
      <c r="N1539" s="22">
        <v>46750</v>
      </c>
      <c r="O1539" s="18">
        <v>50</v>
      </c>
      <c r="P1539" s="52">
        <f>IF(COUNTIF(TblPurchases[BatchID],TblOutcomes[[#This Row],[BatchID]])&lt;&gt;1,"n.a.",TblOutcomes[[#This Row],[Qty Wasted]]*SUMIFS(TblPurchases[Unit Cost (CLP)],TblPurchases[BatchID],TblOutcomes[[#This Row],[BatchID]]))</f>
        <v>0</v>
      </c>
      <c r="Q1539" s="51">
        <f>IF(COUNTIF(TblPurchases[BatchID],TblOutcomes[[#This Row],[BatchID]])&lt;&gt;1,"n.a.",SUMIFS(TblPurchases[Purchase Date],TblPurchases[BatchID],TblOutcomes[[#This Row],[BatchID]]))</f>
        <v>45486</v>
      </c>
    </row>
    <row r="1540" spans="2:17" x14ac:dyDescent="0.25">
      <c r="B1540" s="2" t="s">
        <v>2345</v>
      </c>
      <c r="C1540" s="2" t="s">
        <v>193</v>
      </c>
      <c r="D1540" s="2" t="s">
        <v>176</v>
      </c>
      <c r="E1540" s="2" t="s">
        <v>4647</v>
      </c>
      <c r="F1540" s="2">
        <v>83</v>
      </c>
      <c r="G1540" s="2">
        <v>83</v>
      </c>
      <c r="H1540" s="2">
        <v>0</v>
      </c>
      <c r="I1540" s="1">
        <v>0</v>
      </c>
      <c r="J1540" s="26">
        <v>45542</v>
      </c>
      <c r="K1540" s="22">
        <v>166000</v>
      </c>
      <c r="L1540" s="18">
        <v>177.54</v>
      </c>
      <c r="M1540" s="22">
        <v>120350</v>
      </c>
      <c r="N1540" s="22">
        <v>45650</v>
      </c>
      <c r="O1540" s="18">
        <v>48.82</v>
      </c>
      <c r="P1540" s="52">
        <f>IF(COUNTIF(TblPurchases[BatchID],TblOutcomes[[#This Row],[BatchID]])&lt;&gt;1,"n.a.",TblOutcomes[[#This Row],[Qty Wasted]]*SUMIFS(TblPurchases[Unit Cost (CLP)],TblPurchases[BatchID],TblOutcomes[[#This Row],[BatchID]]))</f>
        <v>0</v>
      </c>
      <c r="Q1540" s="51">
        <f>IF(COUNTIF(TblPurchases[BatchID],TblOutcomes[[#This Row],[BatchID]])&lt;&gt;1,"n.a.",SUMIFS(TblPurchases[Purchase Date],TblPurchases[BatchID],TblOutcomes[[#This Row],[BatchID]]))</f>
        <v>45520</v>
      </c>
    </row>
    <row r="1541" spans="2:17" x14ac:dyDescent="0.25">
      <c r="B1541" s="2" t="s">
        <v>2346</v>
      </c>
      <c r="C1541" s="2" t="s">
        <v>193</v>
      </c>
      <c r="D1541" s="2" t="s">
        <v>176</v>
      </c>
      <c r="E1541" s="2" t="s">
        <v>4647</v>
      </c>
      <c r="F1541" s="2">
        <v>112</v>
      </c>
      <c r="G1541" s="2">
        <v>112</v>
      </c>
      <c r="H1541" s="2">
        <v>0</v>
      </c>
      <c r="I1541" s="1">
        <v>0</v>
      </c>
      <c r="J1541" s="26">
        <v>45592</v>
      </c>
      <c r="K1541" s="22">
        <v>224000</v>
      </c>
      <c r="L1541" s="18">
        <v>239.57</v>
      </c>
      <c r="M1541" s="22">
        <v>162400</v>
      </c>
      <c r="N1541" s="22">
        <v>61600</v>
      </c>
      <c r="O1541" s="18">
        <v>65.88</v>
      </c>
      <c r="P1541" s="52">
        <f>IF(COUNTIF(TblPurchases[BatchID],TblOutcomes[[#This Row],[BatchID]])&lt;&gt;1,"n.a.",TblOutcomes[[#This Row],[Qty Wasted]]*SUMIFS(TblPurchases[Unit Cost (CLP)],TblPurchases[BatchID],TblOutcomes[[#This Row],[BatchID]]))</f>
        <v>0</v>
      </c>
      <c r="Q1541" s="51">
        <f>IF(COUNTIF(TblPurchases[BatchID],TblOutcomes[[#This Row],[BatchID]])&lt;&gt;1,"n.a.",SUMIFS(TblPurchases[Purchase Date],TblPurchases[BatchID],TblOutcomes[[#This Row],[BatchID]]))</f>
        <v>45557</v>
      </c>
    </row>
    <row r="1542" spans="2:17" x14ac:dyDescent="0.25">
      <c r="B1542" s="2" t="s">
        <v>2347</v>
      </c>
      <c r="C1542" s="2" t="s">
        <v>193</v>
      </c>
      <c r="D1542" s="2" t="s">
        <v>176</v>
      </c>
      <c r="E1542" s="2" t="s">
        <v>4646</v>
      </c>
      <c r="F1542" s="2">
        <v>27</v>
      </c>
      <c r="G1542" s="2">
        <v>25.95</v>
      </c>
      <c r="H1542" s="2">
        <v>1.05</v>
      </c>
      <c r="I1542" s="1">
        <v>3.9</v>
      </c>
      <c r="J1542" s="26">
        <v>45892</v>
      </c>
      <c r="K1542" s="22">
        <v>51900</v>
      </c>
      <c r="L1542" s="18">
        <v>55.51</v>
      </c>
      <c r="M1542" s="22">
        <v>39150</v>
      </c>
      <c r="N1542" s="22">
        <v>12750</v>
      </c>
      <c r="O1542" s="18">
        <v>13.64</v>
      </c>
      <c r="P1542" s="52">
        <f>IF(COUNTIF(TblPurchases[BatchID],TblOutcomes[[#This Row],[BatchID]])&lt;&gt;1,"n.a.",TblOutcomes[[#This Row],[Qty Wasted]]*SUMIFS(TblPurchases[Unit Cost (CLP)],TblPurchases[BatchID],TblOutcomes[[#This Row],[BatchID]]))</f>
        <v>1522.5</v>
      </c>
      <c r="Q1542" s="51">
        <f>IF(COUNTIF(TblPurchases[BatchID],TblOutcomes[[#This Row],[BatchID]])&lt;&gt;1,"n.a.",SUMIFS(TblPurchases[Purchase Date],TblPurchases[BatchID],TblOutcomes[[#This Row],[BatchID]]))</f>
        <v>45592</v>
      </c>
    </row>
    <row r="1543" spans="2:17" x14ac:dyDescent="0.25">
      <c r="B1543" s="2" t="s">
        <v>2348</v>
      </c>
      <c r="C1543" s="2" t="s">
        <v>193</v>
      </c>
      <c r="D1543" s="2" t="s">
        <v>176</v>
      </c>
      <c r="E1543" s="2" t="s">
        <v>4646</v>
      </c>
      <c r="F1543" s="2">
        <v>28</v>
      </c>
      <c r="G1543" s="2">
        <v>27.22</v>
      </c>
      <c r="H1543" s="2">
        <v>0.78</v>
      </c>
      <c r="I1543" s="1">
        <v>2.8</v>
      </c>
      <c r="J1543" s="26">
        <v>45921</v>
      </c>
      <c r="K1543" s="22">
        <v>54440</v>
      </c>
      <c r="L1543" s="18">
        <v>58.22</v>
      </c>
      <c r="M1543" s="22">
        <v>40600</v>
      </c>
      <c r="N1543" s="22">
        <v>13840</v>
      </c>
      <c r="O1543" s="18">
        <v>14.8</v>
      </c>
      <c r="P1543" s="52">
        <f>IF(COUNTIF(TblPurchases[BatchID],TblOutcomes[[#This Row],[BatchID]])&lt;&gt;1,"n.a.",TblOutcomes[[#This Row],[Qty Wasted]]*SUMIFS(TblPurchases[Unit Cost (CLP)],TblPurchases[BatchID],TblOutcomes[[#This Row],[BatchID]]))</f>
        <v>1131</v>
      </c>
      <c r="Q1543" s="51">
        <f>IF(COUNTIF(TblPurchases[BatchID],TblOutcomes[[#This Row],[BatchID]])&lt;&gt;1,"n.a.",SUMIFS(TblPurchases[Purchase Date],TblPurchases[BatchID],TblOutcomes[[#This Row],[BatchID]]))</f>
        <v>45621</v>
      </c>
    </row>
    <row r="1544" spans="2:17" x14ac:dyDescent="0.25">
      <c r="B1544" s="2" t="s">
        <v>2349</v>
      </c>
      <c r="C1544" s="2" t="s">
        <v>193</v>
      </c>
      <c r="D1544" s="2" t="s">
        <v>176</v>
      </c>
      <c r="E1544" s="2" t="s">
        <v>4647</v>
      </c>
      <c r="F1544" s="2">
        <v>37</v>
      </c>
      <c r="G1544" s="2">
        <v>37</v>
      </c>
      <c r="H1544" s="2">
        <v>0</v>
      </c>
      <c r="I1544" s="1">
        <v>0</v>
      </c>
      <c r="J1544" s="26">
        <v>45687</v>
      </c>
      <c r="K1544" s="22">
        <v>74000</v>
      </c>
      <c r="L1544" s="18">
        <v>79.14</v>
      </c>
      <c r="M1544" s="22">
        <v>51800</v>
      </c>
      <c r="N1544" s="22">
        <v>22200</v>
      </c>
      <c r="O1544" s="18">
        <v>23.74</v>
      </c>
      <c r="P1544" s="52">
        <f>IF(COUNTIF(TblPurchases[BatchID],TblOutcomes[[#This Row],[BatchID]])&lt;&gt;1,"n.a.",TblOutcomes[[#This Row],[Qty Wasted]]*SUMIFS(TblPurchases[Unit Cost (CLP)],TblPurchases[BatchID],TblOutcomes[[#This Row],[BatchID]]))</f>
        <v>0</v>
      </c>
      <c r="Q1544" s="51">
        <f>IF(COUNTIF(TblPurchases[BatchID],TblOutcomes[[#This Row],[BatchID]])&lt;&gt;1,"n.a.",SUMIFS(TblPurchases[Purchase Date],TblPurchases[BatchID],TblOutcomes[[#This Row],[BatchID]]))</f>
        <v>45663</v>
      </c>
    </row>
    <row r="1545" spans="2:17" x14ac:dyDescent="0.25">
      <c r="B1545" s="2" t="s">
        <v>2350</v>
      </c>
      <c r="C1545" s="2" t="s">
        <v>193</v>
      </c>
      <c r="D1545" s="2" t="s">
        <v>176</v>
      </c>
      <c r="E1545" s="2" t="s">
        <v>4647</v>
      </c>
      <c r="F1545" s="2">
        <v>30</v>
      </c>
      <c r="G1545" s="2">
        <v>30</v>
      </c>
      <c r="H1545" s="2">
        <v>0</v>
      </c>
      <c r="I1545" s="1">
        <v>0</v>
      </c>
      <c r="J1545" s="26">
        <v>45729</v>
      </c>
      <c r="K1545" s="22">
        <v>60000</v>
      </c>
      <c r="L1545" s="18">
        <v>64.17</v>
      </c>
      <c r="M1545" s="22">
        <v>43500</v>
      </c>
      <c r="N1545" s="22">
        <v>16500</v>
      </c>
      <c r="O1545" s="18">
        <v>17.649999999999999</v>
      </c>
      <c r="P1545" s="52">
        <f>IF(COUNTIF(TblPurchases[BatchID],TblOutcomes[[#This Row],[BatchID]])&lt;&gt;1,"n.a.",TblOutcomes[[#This Row],[Qty Wasted]]*SUMIFS(TblPurchases[Unit Cost (CLP)],TblPurchases[BatchID],TblOutcomes[[#This Row],[BatchID]]))</f>
        <v>0</v>
      </c>
      <c r="Q1545" s="51">
        <f>IF(COUNTIF(TblPurchases[BatchID],TblOutcomes[[#This Row],[BatchID]])&lt;&gt;1,"n.a.",SUMIFS(TblPurchases[Purchase Date],TblPurchases[BatchID],TblOutcomes[[#This Row],[BatchID]]))</f>
        <v>45699</v>
      </c>
    </row>
    <row r="1546" spans="2:17" x14ac:dyDescent="0.25">
      <c r="B1546" s="2" t="s">
        <v>2351</v>
      </c>
      <c r="C1546" s="2" t="s">
        <v>193</v>
      </c>
      <c r="D1546" s="2" t="s">
        <v>176</v>
      </c>
      <c r="E1546" s="2" t="s">
        <v>4646</v>
      </c>
      <c r="F1546" s="2">
        <v>35</v>
      </c>
      <c r="G1546" s="2">
        <v>34.58</v>
      </c>
      <c r="H1546" s="2">
        <v>0.42</v>
      </c>
      <c r="I1546" s="1">
        <v>1.2</v>
      </c>
      <c r="J1546" s="26">
        <v>46034</v>
      </c>
      <c r="K1546" s="22">
        <v>69160</v>
      </c>
      <c r="L1546" s="18">
        <v>73.97</v>
      </c>
      <c r="M1546" s="22">
        <v>50750</v>
      </c>
      <c r="N1546" s="22">
        <v>18410</v>
      </c>
      <c r="O1546" s="18">
        <v>19.690000000000001</v>
      </c>
      <c r="P1546" s="52">
        <f>IF(COUNTIF(TblPurchases[BatchID],TblOutcomes[[#This Row],[BatchID]])&lt;&gt;1,"n.a.",TblOutcomes[[#This Row],[Qty Wasted]]*SUMIFS(TblPurchases[Unit Cost (CLP)],TblPurchases[BatchID],TblOutcomes[[#This Row],[BatchID]]))</f>
        <v>609</v>
      </c>
      <c r="Q1546" s="51">
        <f>IF(COUNTIF(TblPurchases[BatchID],TblOutcomes[[#This Row],[BatchID]])&lt;&gt;1,"n.a.",SUMIFS(TblPurchases[Purchase Date],TblPurchases[BatchID],TblOutcomes[[#This Row],[BatchID]]))</f>
        <v>45734</v>
      </c>
    </row>
    <row r="1547" spans="2:17" x14ac:dyDescent="0.25">
      <c r="B1547" s="2" t="s">
        <v>2352</v>
      </c>
      <c r="C1547" s="2" t="s">
        <v>193</v>
      </c>
      <c r="D1547" s="2" t="s">
        <v>176</v>
      </c>
      <c r="E1547" s="2" t="s">
        <v>4647</v>
      </c>
      <c r="F1547" s="2">
        <v>80</v>
      </c>
      <c r="G1547" s="2">
        <v>80</v>
      </c>
      <c r="H1547" s="2">
        <v>0</v>
      </c>
      <c r="I1547" s="1">
        <v>0</v>
      </c>
      <c r="J1547" s="26">
        <v>45804</v>
      </c>
      <c r="K1547" s="22">
        <v>160000</v>
      </c>
      <c r="L1547" s="18">
        <v>171.12</v>
      </c>
      <c r="M1547" s="22">
        <v>116000</v>
      </c>
      <c r="N1547" s="22">
        <v>44000</v>
      </c>
      <c r="O1547" s="18">
        <v>47.06</v>
      </c>
      <c r="P1547" s="52">
        <f>IF(COUNTIF(TblPurchases[BatchID],TblOutcomes[[#This Row],[BatchID]])&lt;&gt;1,"n.a.",TblOutcomes[[#This Row],[Qty Wasted]]*SUMIFS(TblPurchases[Unit Cost (CLP)],TblPurchases[BatchID],TblOutcomes[[#This Row],[BatchID]]))</f>
        <v>0</v>
      </c>
      <c r="Q1547" s="51">
        <f>IF(COUNTIF(TblPurchases[BatchID],TblOutcomes[[#This Row],[BatchID]])&lt;&gt;1,"n.a.",SUMIFS(TblPurchases[Purchase Date],TblPurchases[BatchID],TblOutcomes[[#This Row],[BatchID]]))</f>
        <v>45763</v>
      </c>
    </row>
    <row r="1548" spans="2:17" x14ac:dyDescent="0.25">
      <c r="B1548" s="2" t="s">
        <v>2353</v>
      </c>
      <c r="C1548" s="2" t="s">
        <v>193</v>
      </c>
      <c r="D1548" s="2" t="s">
        <v>176</v>
      </c>
      <c r="E1548" s="2" t="s">
        <v>4647</v>
      </c>
      <c r="F1548" s="2">
        <v>94</v>
      </c>
      <c r="G1548" s="2">
        <v>94</v>
      </c>
      <c r="H1548" s="2">
        <v>0</v>
      </c>
      <c r="I1548" s="1">
        <v>0</v>
      </c>
      <c r="J1548" s="26">
        <v>45831</v>
      </c>
      <c r="K1548" s="22">
        <v>188000</v>
      </c>
      <c r="L1548" s="18">
        <v>201.07</v>
      </c>
      <c r="M1548" s="22">
        <v>136300</v>
      </c>
      <c r="N1548" s="22">
        <v>51700</v>
      </c>
      <c r="O1548" s="18">
        <v>55.29</v>
      </c>
      <c r="P1548" s="52">
        <f>IF(COUNTIF(TblPurchases[BatchID],TblOutcomes[[#This Row],[BatchID]])&lt;&gt;1,"n.a.",TblOutcomes[[#This Row],[Qty Wasted]]*SUMIFS(TblPurchases[Unit Cost (CLP)],TblPurchases[BatchID],TblOutcomes[[#This Row],[BatchID]]))</f>
        <v>0</v>
      </c>
      <c r="Q1548" s="51">
        <f>IF(COUNTIF(TblPurchases[BatchID],TblOutcomes[[#This Row],[BatchID]])&lt;&gt;1,"n.a.",SUMIFS(TblPurchases[Purchase Date],TblPurchases[BatchID],TblOutcomes[[#This Row],[BatchID]]))</f>
        <v>45809</v>
      </c>
    </row>
    <row r="1549" spans="2:17" x14ac:dyDescent="0.25">
      <c r="B1549" s="2" t="s">
        <v>2354</v>
      </c>
      <c r="C1549" s="2" t="s">
        <v>195</v>
      </c>
      <c r="D1549" s="2" t="s">
        <v>176</v>
      </c>
      <c r="E1549" s="2" t="s">
        <v>4647</v>
      </c>
      <c r="F1549" s="2">
        <v>69</v>
      </c>
      <c r="G1549" s="2">
        <v>69</v>
      </c>
      <c r="H1549" s="2">
        <v>0</v>
      </c>
      <c r="I1549" s="1">
        <v>0</v>
      </c>
      <c r="J1549" s="26">
        <v>45149</v>
      </c>
      <c r="K1549" s="22">
        <v>138000</v>
      </c>
      <c r="L1549" s="18">
        <v>147.59</v>
      </c>
      <c r="M1549" s="22">
        <v>93150</v>
      </c>
      <c r="N1549" s="22">
        <v>44850</v>
      </c>
      <c r="O1549" s="18">
        <v>47.97</v>
      </c>
      <c r="P1549" s="52">
        <f>IF(COUNTIF(TblPurchases[BatchID],TblOutcomes[[#This Row],[BatchID]])&lt;&gt;1,"n.a.",TblOutcomes[[#This Row],[Qty Wasted]]*SUMIFS(TblPurchases[Unit Cost (CLP)],TblPurchases[BatchID],TblOutcomes[[#This Row],[BatchID]]))</f>
        <v>0</v>
      </c>
      <c r="Q1549" s="51">
        <f>IF(COUNTIF(TblPurchases[BatchID],TblOutcomes[[#This Row],[BatchID]])&lt;&gt;1,"n.a.",SUMIFS(TblPurchases[Purchase Date],TblPurchases[BatchID],TblOutcomes[[#This Row],[BatchID]]))</f>
        <v>45121</v>
      </c>
    </row>
    <row r="1550" spans="2:17" x14ac:dyDescent="0.25">
      <c r="B1550" s="2" t="s">
        <v>2355</v>
      </c>
      <c r="C1550" s="2" t="s">
        <v>195</v>
      </c>
      <c r="D1550" s="2" t="s">
        <v>176</v>
      </c>
      <c r="E1550" s="2" t="s">
        <v>4647</v>
      </c>
      <c r="F1550" s="2">
        <v>84</v>
      </c>
      <c r="G1550" s="2">
        <v>84</v>
      </c>
      <c r="H1550" s="2">
        <v>0</v>
      </c>
      <c r="I1550" s="1">
        <v>0</v>
      </c>
      <c r="J1550" s="26">
        <v>45177</v>
      </c>
      <c r="K1550" s="22">
        <v>168000</v>
      </c>
      <c r="L1550" s="18">
        <v>179.68</v>
      </c>
      <c r="M1550" s="22">
        <v>113400</v>
      </c>
      <c r="N1550" s="22">
        <v>54600</v>
      </c>
      <c r="O1550" s="18">
        <v>58.4</v>
      </c>
      <c r="P1550" s="52">
        <f>IF(COUNTIF(TblPurchases[BatchID],TblOutcomes[[#This Row],[BatchID]])&lt;&gt;1,"n.a.",TblOutcomes[[#This Row],[Qty Wasted]]*SUMIFS(TblPurchases[Unit Cost (CLP)],TblPurchases[BatchID],TblOutcomes[[#This Row],[BatchID]]))</f>
        <v>0</v>
      </c>
      <c r="Q1550" s="51">
        <f>IF(COUNTIF(TblPurchases[BatchID],TblOutcomes[[#This Row],[BatchID]])&lt;&gt;1,"n.a.",SUMIFS(TblPurchases[Purchase Date],TblPurchases[BatchID],TblOutcomes[[#This Row],[BatchID]]))</f>
        <v>45156</v>
      </c>
    </row>
    <row r="1551" spans="2:17" x14ac:dyDescent="0.25">
      <c r="B1551" s="2" t="s">
        <v>2356</v>
      </c>
      <c r="C1551" s="2" t="s">
        <v>195</v>
      </c>
      <c r="D1551" s="2" t="s">
        <v>176</v>
      </c>
      <c r="E1551" s="2" t="s">
        <v>4647</v>
      </c>
      <c r="F1551" s="2">
        <v>98</v>
      </c>
      <c r="G1551" s="2">
        <v>98</v>
      </c>
      <c r="H1551" s="2">
        <v>0</v>
      </c>
      <c r="I1551" s="1">
        <v>0</v>
      </c>
      <c r="J1551" s="26">
        <v>45231</v>
      </c>
      <c r="K1551" s="22">
        <v>196000</v>
      </c>
      <c r="L1551" s="18">
        <v>209.63</v>
      </c>
      <c r="M1551" s="22">
        <v>132300</v>
      </c>
      <c r="N1551" s="22">
        <v>63700</v>
      </c>
      <c r="O1551" s="18">
        <v>68.13</v>
      </c>
      <c r="P1551" s="52">
        <f>IF(COUNTIF(TblPurchases[BatchID],TblOutcomes[[#This Row],[BatchID]])&lt;&gt;1,"n.a.",TblOutcomes[[#This Row],[Qty Wasted]]*SUMIFS(TblPurchases[Unit Cost (CLP)],TblPurchases[BatchID],TblOutcomes[[#This Row],[BatchID]]))</f>
        <v>0</v>
      </c>
      <c r="Q1551" s="51">
        <f>IF(COUNTIF(TblPurchases[BatchID],TblOutcomes[[#This Row],[BatchID]])&lt;&gt;1,"n.a.",SUMIFS(TblPurchases[Purchase Date],TblPurchases[BatchID],TblOutcomes[[#This Row],[BatchID]]))</f>
        <v>45194</v>
      </c>
    </row>
    <row r="1552" spans="2:17" x14ac:dyDescent="0.25">
      <c r="B1552" s="2" t="s">
        <v>2357</v>
      </c>
      <c r="C1552" s="2" t="s">
        <v>195</v>
      </c>
      <c r="D1552" s="2" t="s">
        <v>176</v>
      </c>
      <c r="E1552" s="2" t="s">
        <v>4647</v>
      </c>
      <c r="F1552" s="2">
        <v>33</v>
      </c>
      <c r="G1552" s="2">
        <v>33</v>
      </c>
      <c r="H1552" s="2">
        <v>0</v>
      </c>
      <c r="I1552" s="1">
        <v>0</v>
      </c>
      <c r="J1552" s="26">
        <v>45248</v>
      </c>
      <c r="K1552" s="22">
        <v>66000</v>
      </c>
      <c r="L1552" s="18">
        <v>70.59</v>
      </c>
      <c r="M1552" s="22">
        <v>44550</v>
      </c>
      <c r="N1552" s="22">
        <v>21450</v>
      </c>
      <c r="O1552" s="18">
        <v>22.94</v>
      </c>
      <c r="P1552" s="52">
        <f>IF(COUNTIF(TblPurchases[BatchID],TblOutcomes[[#This Row],[BatchID]])&lt;&gt;1,"n.a.",TblOutcomes[[#This Row],[Qty Wasted]]*SUMIFS(TblPurchases[Unit Cost (CLP)],TblPurchases[BatchID],TblOutcomes[[#This Row],[BatchID]]))</f>
        <v>0</v>
      </c>
      <c r="Q1552" s="51">
        <f>IF(COUNTIF(TblPurchases[BatchID],TblOutcomes[[#This Row],[BatchID]])&lt;&gt;1,"n.a.",SUMIFS(TblPurchases[Purchase Date],TblPurchases[BatchID],TblOutcomes[[#This Row],[BatchID]]))</f>
        <v>45225</v>
      </c>
    </row>
    <row r="1553" spans="2:17" x14ac:dyDescent="0.25">
      <c r="B1553" s="2" t="s">
        <v>2358</v>
      </c>
      <c r="C1553" s="2" t="s">
        <v>195</v>
      </c>
      <c r="D1553" s="2" t="s">
        <v>176</v>
      </c>
      <c r="E1553" s="2" t="s">
        <v>4646</v>
      </c>
      <c r="F1553" s="2">
        <v>32</v>
      </c>
      <c r="G1553" s="2">
        <v>31.17</v>
      </c>
      <c r="H1553" s="2">
        <v>0.83</v>
      </c>
      <c r="I1553" s="1">
        <v>2.6</v>
      </c>
      <c r="J1553" s="26">
        <v>45560</v>
      </c>
      <c r="K1553" s="22">
        <v>62340</v>
      </c>
      <c r="L1553" s="18">
        <v>66.67</v>
      </c>
      <c r="M1553" s="22">
        <v>43200</v>
      </c>
      <c r="N1553" s="22">
        <v>19140</v>
      </c>
      <c r="O1553" s="18">
        <v>20.47</v>
      </c>
      <c r="P1553" s="52">
        <f>IF(COUNTIF(TblPurchases[BatchID],TblOutcomes[[#This Row],[BatchID]])&lt;&gt;1,"n.a.",TblOutcomes[[#This Row],[Qty Wasted]]*SUMIFS(TblPurchases[Unit Cost (CLP)],TblPurchases[BatchID],TblOutcomes[[#This Row],[BatchID]]))</f>
        <v>1120.5</v>
      </c>
      <c r="Q1553" s="51">
        <f>IF(COUNTIF(TblPurchases[BatchID],TblOutcomes[[#This Row],[BatchID]])&lt;&gt;1,"n.a.",SUMIFS(TblPurchases[Purchase Date],TblPurchases[BatchID],TblOutcomes[[#This Row],[BatchID]]))</f>
        <v>45260</v>
      </c>
    </row>
    <row r="1554" spans="2:17" x14ac:dyDescent="0.25">
      <c r="B1554" s="2" t="s">
        <v>2359</v>
      </c>
      <c r="C1554" s="2" t="s">
        <v>195</v>
      </c>
      <c r="D1554" s="2" t="s">
        <v>176</v>
      </c>
      <c r="E1554" s="2" t="s">
        <v>4646</v>
      </c>
      <c r="F1554" s="2">
        <v>28</v>
      </c>
      <c r="G1554" s="2">
        <v>26.94</v>
      </c>
      <c r="H1554" s="2">
        <v>1.06</v>
      </c>
      <c r="I1554" s="1">
        <v>3.8</v>
      </c>
      <c r="J1554" s="26">
        <v>45598</v>
      </c>
      <c r="K1554" s="22">
        <v>53880</v>
      </c>
      <c r="L1554" s="18">
        <v>57.63</v>
      </c>
      <c r="M1554" s="22">
        <v>37800</v>
      </c>
      <c r="N1554" s="22">
        <v>16080</v>
      </c>
      <c r="O1554" s="18">
        <v>17.2</v>
      </c>
      <c r="P1554" s="52">
        <f>IF(COUNTIF(TblPurchases[BatchID],TblOutcomes[[#This Row],[BatchID]])&lt;&gt;1,"n.a.",TblOutcomes[[#This Row],[Qty Wasted]]*SUMIFS(TblPurchases[Unit Cost (CLP)],TblPurchases[BatchID],TblOutcomes[[#This Row],[BatchID]]))</f>
        <v>1431</v>
      </c>
      <c r="Q1554" s="51">
        <f>IF(COUNTIF(TblPurchases[BatchID],TblOutcomes[[#This Row],[BatchID]])&lt;&gt;1,"n.a.",SUMIFS(TblPurchases[Purchase Date],TblPurchases[BatchID],TblOutcomes[[#This Row],[BatchID]]))</f>
        <v>45298</v>
      </c>
    </row>
    <row r="1555" spans="2:17" x14ac:dyDescent="0.25">
      <c r="B1555" s="2" t="s">
        <v>2360</v>
      </c>
      <c r="C1555" s="2" t="s">
        <v>195</v>
      </c>
      <c r="D1555" s="2" t="s">
        <v>176</v>
      </c>
      <c r="E1555" s="2" t="s">
        <v>4646</v>
      </c>
      <c r="F1555" s="2">
        <v>28</v>
      </c>
      <c r="G1555" s="2">
        <v>27.27</v>
      </c>
      <c r="H1555" s="2">
        <v>0.73</v>
      </c>
      <c r="I1555" s="1">
        <v>2.6</v>
      </c>
      <c r="J1555" s="26">
        <v>45636</v>
      </c>
      <c r="K1555" s="22">
        <v>54540</v>
      </c>
      <c r="L1555" s="18">
        <v>58.33</v>
      </c>
      <c r="M1555" s="22">
        <v>37800</v>
      </c>
      <c r="N1555" s="22">
        <v>16740</v>
      </c>
      <c r="O1555" s="18">
        <v>17.899999999999999</v>
      </c>
      <c r="P1555" s="52">
        <f>IF(COUNTIF(TblPurchases[BatchID],TblOutcomes[[#This Row],[BatchID]])&lt;&gt;1,"n.a.",TblOutcomes[[#This Row],[Qty Wasted]]*SUMIFS(TblPurchases[Unit Cost (CLP)],TblPurchases[BatchID],TblOutcomes[[#This Row],[BatchID]]))</f>
        <v>985.5</v>
      </c>
      <c r="Q1555" s="51">
        <f>IF(COUNTIF(TblPurchases[BatchID],TblOutcomes[[#This Row],[BatchID]])&lt;&gt;1,"n.a.",SUMIFS(TblPurchases[Purchase Date],TblPurchases[BatchID],TblOutcomes[[#This Row],[BatchID]]))</f>
        <v>45336</v>
      </c>
    </row>
    <row r="1556" spans="2:17" x14ac:dyDescent="0.25">
      <c r="B1556" s="2" t="s">
        <v>2361</v>
      </c>
      <c r="C1556" s="2" t="s">
        <v>195</v>
      </c>
      <c r="D1556" s="2" t="s">
        <v>176</v>
      </c>
      <c r="E1556" s="2" t="s">
        <v>4646</v>
      </c>
      <c r="F1556" s="2">
        <v>28</v>
      </c>
      <c r="G1556" s="2">
        <v>27.19</v>
      </c>
      <c r="H1556" s="2">
        <v>0.81</v>
      </c>
      <c r="I1556" s="1">
        <v>2.9</v>
      </c>
      <c r="J1556" s="26">
        <v>45671</v>
      </c>
      <c r="K1556" s="22">
        <v>54380</v>
      </c>
      <c r="L1556" s="18">
        <v>58.16</v>
      </c>
      <c r="M1556" s="22">
        <v>37800</v>
      </c>
      <c r="N1556" s="22">
        <v>16580</v>
      </c>
      <c r="O1556" s="18">
        <v>17.73</v>
      </c>
      <c r="P1556" s="52">
        <f>IF(COUNTIF(TblPurchases[BatchID],TblOutcomes[[#This Row],[BatchID]])&lt;&gt;1,"n.a.",TblOutcomes[[#This Row],[Qty Wasted]]*SUMIFS(TblPurchases[Unit Cost (CLP)],TblPurchases[BatchID],TblOutcomes[[#This Row],[BatchID]]))</f>
        <v>1093.5</v>
      </c>
      <c r="Q1556" s="51">
        <f>IF(COUNTIF(TblPurchases[BatchID],TblOutcomes[[#This Row],[BatchID]])&lt;&gt;1,"n.a.",SUMIFS(TblPurchases[Purchase Date],TblPurchases[BatchID],TblOutcomes[[#This Row],[BatchID]]))</f>
        <v>45371</v>
      </c>
    </row>
    <row r="1557" spans="2:17" x14ac:dyDescent="0.25">
      <c r="B1557" s="2" t="s">
        <v>2362</v>
      </c>
      <c r="C1557" s="2" t="s">
        <v>195</v>
      </c>
      <c r="D1557" s="2" t="s">
        <v>176</v>
      </c>
      <c r="E1557" s="2" t="s">
        <v>4647</v>
      </c>
      <c r="F1557" s="2">
        <v>68</v>
      </c>
      <c r="G1557" s="2">
        <v>68</v>
      </c>
      <c r="H1557" s="2">
        <v>0</v>
      </c>
      <c r="I1557" s="1">
        <v>0</v>
      </c>
      <c r="J1557" s="26">
        <v>45413</v>
      </c>
      <c r="K1557" s="22">
        <v>136000</v>
      </c>
      <c r="L1557" s="18">
        <v>145.44999999999999</v>
      </c>
      <c r="M1557" s="22">
        <v>91800</v>
      </c>
      <c r="N1557" s="22">
        <v>44200</v>
      </c>
      <c r="O1557" s="18">
        <v>47.27</v>
      </c>
      <c r="P1557" s="52">
        <f>IF(COUNTIF(TblPurchases[BatchID],TblOutcomes[[#This Row],[BatchID]])&lt;&gt;1,"n.a.",TblOutcomes[[#This Row],[Qty Wasted]]*SUMIFS(TblPurchases[Unit Cost (CLP)],TblPurchases[BatchID],TblOutcomes[[#This Row],[BatchID]]))</f>
        <v>0</v>
      </c>
      <c r="Q1557" s="51">
        <f>IF(COUNTIF(TblPurchases[BatchID],TblOutcomes[[#This Row],[BatchID]])&lt;&gt;1,"n.a.",SUMIFS(TblPurchases[Purchase Date],TblPurchases[BatchID],TblOutcomes[[#This Row],[BatchID]]))</f>
        <v>45397</v>
      </c>
    </row>
    <row r="1558" spans="2:17" x14ac:dyDescent="0.25">
      <c r="B1558" s="2" t="s">
        <v>2363</v>
      </c>
      <c r="C1558" s="2" t="s">
        <v>195</v>
      </c>
      <c r="D1558" s="2" t="s">
        <v>176</v>
      </c>
      <c r="E1558" s="2" t="s">
        <v>4647</v>
      </c>
      <c r="F1558" s="2">
        <v>87</v>
      </c>
      <c r="G1558" s="2">
        <v>87</v>
      </c>
      <c r="H1558" s="2">
        <v>0</v>
      </c>
      <c r="I1558" s="1">
        <v>0</v>
      </c>
      <c r="J1558" s="26">
        <v>45471</v>
      </c>
      <c r="K1558" s="22">
        <v>174000</v>
      </c>
      <c r="L1558" s="18">
        <v>186.1</v>
      </c>
      <c r="M1558" s="22">
        <v>117450</v>
      </c>
      <c r="N1558" s="22">
        <v>56550</v>
      </c>
      <c r="O1558" s="18">
        <v>60.48</v>
      </c>
      <c r="P1558" s="52">
        <f>IF(COUNTIF(TblPurchases[BatchID],TblOutcomes[[#This Row],[BatchID]])&lt;&gt;1,"n.a.",TblOutcomes[[#This Row],[Qty Wasted]]*SUMIFS(TblPurchases[Unit Cost (CLP)],TblPurchases[BatchID],TblOutcomes[[#This Row],[BatchID]]))</f>
        <v>0</v>
      </c>
      <c r="Q1558" s="51">
        <f>IF(COUNTIF(TblPurchases[BatchID],TblOutcomes[[#This Row],[BatchID]])&lt;&gt;1,"n.a.",SUMIFS(TblPurchases[Purchase Date],TblPurchases[BatchID],TblOutcomes[[#This Row],[BatchID]]))</f>
        <v>45431</v>
      </c>
    </row>
    <row r="1559" spans="2:17" x14ac:dyDescent="0.25">
      <c r="B1559" s="2" t="s">
        <v>2364</v>
      </c>
      <c r="C1559" s="2" t="s">
        <v>195</v>
      </c>
      <c r="D1559" s="2" t="s">
        <v>176</v>
      </c>
      <c r="E1559" s="2" t="s">
        <v>4647</v>
      </c>
      <c r="F1559" s="2">
        <v>90</v>
      </c>
      <c r="G1559" s="2">
        <v>90</v>
      </c>
      <c r="H1559" s="2">
        <v>0</v>
      </c>
      <c r="I1559" s="1">
        <v>0</v>
      </c>
      <c r="J1559" s="26">
        <v>45486</v>
      </c>
      <c r="K1559" s="22">
        <v>180000</v>
      </c>
      <c r="L1559" s="18">
        <v>192.51</v>
      </c>
      <c r="M1559" s="22">
        <v>121500</v>
      </c>
      <c r="N1559" s="22">
        <v>58500</v>
      </c>
      <c r="O1559" s="18">
        <v>62.57</v>
      </c>
      <c r="P1559" s="52">
        <f>IF(COUNTIF(TblPurchases[BatchID],TblOutcomes[[#This Row],[BatchID]])&lt;&gt;1,"n.a.",TblOutcomes[[#This Row],[Qty Wasted]]*SUMIFS(TblPurchases[Unit Cost (CLP)],TblPurchases[BatchID],TblOutcomes[[#This Row],[BatchID]]))</f>
        <v>0</v>
      </c>
      <c r="Q1559" s="51">
        <f>IF(COUNTIF(TblPurchases[BatchID],TblOutcomes[[#This Row],[BatchID]])&lt;&gt;1,"n.a.",SUMIFS(TblPurchases[Purchase Date],TblPurchases[BatchID],TblOutcomes[[#This Row],[BatchID]]))</f>
        <v>45473</v>
      </c>
    </row>
    <row r="1560" spans="2:17" x14ac:dyDescent="0.25">
      <c r="B1560" s="2" t="s">
        <v>2365</v>
      </c>
      <c r="C1560" s="2" t="s">
        <v>195</v>
      </c>
      <c r="D1560" s="2" t="s">
        <v>176</v>
      </c>
      <c r="E1560" s="2" t="s">
        <v>4647</v>
      </c>
      <c r="F1560" s="2">
        <v>76</v>
      </c>
      <c r="G1560" s="2">
        <v>76</v>
      </c>
      <c r="H1560" s="2">
        <v>0</v>
      </c>
      <c r="I1560" s="1">
        <v>0</v>
      </c>
      <c r="J1560" s="26">
        <v>45541</v>
      </c>
      <c r="K1560" s="22">
        <v>152000</v>
      </c>
      <c r="L1560" s="18">
        <v>162.57</v>
      </c>
      <c r="M1560" s="22">
        <v>102600</v>
      </c>
      <c r="N1560" s="22">
        <v>49400</v>
      </c>
      <c r="O1560" s="18">
        <v>52.83</v>
      </c>
      <c r="P1560" s="52">
        <f>IF(COUNTIF(TblPurchases[BatchID],TblOutcomes[[#This Row],[BatchID]])&lt;&gt;1,"n.a.",TblOutcomes[[#This Row],[Qty Wasted]]*SUMIFS(TblPurchases[Unit Cost (CLP)],TblPurchases[BatchID],TblOutcomes[[#This Row],[BatchID]]))</f>
        <v>0</v>
      </c>
      <c r="Q1560" s="51">
        <f>IF(COUNTIF(TblPurchases[BatchID],TblOutcomes[[#This Row],[BatchID]])&lt;&gt;1,"n.a.",SUMIFS(TblPurchases[Purchase Date],TblPurchases[BatchID],TblOutcomes[[#This Row],[BatchID]]))</f>
        <v>45512</v>
      </c>
    </row>
    <row r="1561" spans="2:17" x14ac:dyDescent="0.25">
      <c r="B1561" s="2" t="s">
        <v>2366</v>
      </c>
      <c r="C1561" s="2" t="s">
        <v>195</v>
      </c>
      <c r="D1561" s="2" t="s">
        <v>176</v>
      </c>
      <c r="E1561" s="2" t="s">
        <v>4646</v>
      </c>
      <c r="F1561" s="2">
        <v>106</v>
      </c>
      <c r="G1561" s="2">
        <v>105.26</v>
      </c>
      <c r="H1561" s="2">
        <v>0.74</v>
      </c>
      <c r="I1561" s="1">
        <v>0.7</v>
      </c>
      <c r="J1561" s="26">
        <v>45841</v>
      </c>
      <c r="K1561" s="22">
        <v>210520</v>
      </c>
      <c r="L1561" s="18">
        <v>225.16</v>
      </c>
      <c r="M1561" s="22">
        <v>143100</v>
      </c>
      <c r="N1561" s="22">
        <v>67420</v>
      </c>
      <c r="O1561" s="18">
        <v>72.11</v>
      </c>
      <c r="P1561" s="52">
        <f>IF(COUNTIF(TblPurchases[BatchID],TblOutcomes[[#This Row],[BatchID]])&lt;&gt;1,"n.a.",TblOutcomes[[#This Row],[Qty Wasted]]*SUMIFS(TblPurchases[Unit Cost (CLP)],TblPurchases[BatchID],TblOutcomes[[#This Row],[BatchID]]))</f>
        <v>999</v>
      </c>
      <c r="Q1561" s="51">
        <f>IF(COUNTIF(TblPurchases[BatchID],TblOutcomes[[#This Row],[BatchID]])&lt;&gt;1,"n.a.",SUMIFS(TblPurchases[Purchase Date],TblPurchases[BatchID],TblOutcomes[[#This Row],[BatchID]]))</f>
        <v>45541</v>
      </c>
    </row>
    <row r="1562" spans="2:17" x14ac:dyDescent="0.25">
      <c r="B1562" s="2" t="s">
        <v>2367</v>
      </c>
      <c r="C1562" s="2" t="s">
        <v>195</v>
      </c>
      <c r="D1562" s="2" t="s">
        <v>176</v>
      </c>
      <c r="E1562" s="2" t="s">
        <v>4646</v>
      </c>
      <c r="F1562" s="2">
        <v>32</v>
      </c>
      <c r="G1562" s="2">
        <v>31.3</v>
      </c>
      <c r="H1562" s="2">
        <v>0.7</v>
      </c>
      <c r="I1562" s="1">
        <v>2.2000000000000002</v>
      </c>
      <c r="J1562" s="26">
        <v>45873</v>
      </c>
      <c r="K1562" s="22">
        <v>62600</v>
      </c>
      <c r="L1562" s="18">
        <v>66.95</v>
      </c>
      <c r="M1562" s="22">
        <v>43200</v>
      </c>
      <c r="N1562" s="22">
        <v>19400</v>
      </c>
      <c r="O1562" s="18">
        <v>20.75</v>
      </c>
      <c r="P1562" s="52">
        <f>IF(COUNTIF(TblPurchases[BatchID],TblOutcomes[[#This Row],[BatchID]])&lt;&gt;1,"n.a.",TblOutcomes[[#This Row],[Qty Wasted]]*SUMIFS(TblPurchases[Unit Cost (CLP)],TblPurchases[BatchID],TblOutcomes[[#This Row],[BatchID]]))</f>
        <v>944.99999999999989</v>
      </c>
      <c r="Q1562" s="51">
        <f>IF(COUNTIF(TblPurchases[BatchID],TblOutcomes[[#This Row],[BatchID]])&lt;&gt;1,"n.a.",SUMIFS(TblPurchases[Purchase Date],TblPurchases[BatchID],TblOutcomes[[#This Row],[BatchID]]))</f>
        <v>45573</v>
      </c>
    </row>
    <row r="1563" spans="2:17" x14ac:dyDescent="0.25">
      <c r="B1563" s="2" t="s">
        <v>2368</v>
      </c>
      <c r="C1563" s="2" t="s">
        <v>195</v>
      </c>
      <c r="D1563" s="2" t="s">
        <v>176</v>
      </c>
      <c r="E1563" s="2" t="s">
        <v>4647</v>
      </c>
      <c r="F1563" s="2">
        <v>33</v>
      </c>
      <c r="G1563" s="2">
        <v>33</v>
      </c>
      <c r="H1563" s="2">
        <v>0</v>
      </c>
      <c r="I1563" s="1">
        <v>0</v>
      </c>
      <c r="J1563" s="26">
        <v>45637</v>
      </c>
      <c r="K1563" s="22">
        <v>66000</v>
      </c>
      <c r="L1563" s="18">
        <v>70.59</v>
      </c>
      <c r="M1563" s="22">
        <v>44550</v>
      </c>
      <c r="N1563" s="22">
        <v>21450</v>
      </c>
      <c r="O1563" s="18">
        <v>22.94</v>
      </c>
      <c r="P1563" s="52">
        <f>IF(COUNTIF(TblPurchases[BatchID],TblOutcomes[[#This Row],[BatchID]])&lt;&gt;1,"n.a.",TblOutcomes[[#This Row],[Qty Wasted]]*SUMIFS(TblPurchases[Unit Cost (CLP)],TblPurchases[BatchID],TblOutcomes[[#This Row],[BatchID]]))</f>
        <v>0</v>
      </c>
      <c r="Q1563" s="51">
        <f>IF(COUNTIF(TblPurchases[BatchID],TblOutcomes[[#This Row],[BatchID]])&lt;&gt;1,"n.a.",SUMIFS(TblPurchases[Purchase Date],TblPurchases[BatchID],TblOutcomes[[#This Row],[BatchID]]))</f>
        <v>45609</v>
      </c>
    </row>
    <row r="1564" spans="2:17" x14ac:dyDescent="0.25">
      <c r="B1564" s="2" t="s">
        <v>2369</v>
      </c>
      <c r="C1564" s="2" t="s">
        <v>195</v>
      </c>
      <c r="D1564" s="2" t="s">
        <v>176</v>
      </c>
      <c r="E1564" s="2" t="s">
        <v>4646</v>
      </c>
      <c r="F1564" s="2">
        <v>36</v>
      </c>
      <c r="G1564" s="2">
        <v>34.74</v>
      </c>
      <c r="H1564" s="2">
        <v>1.26</v>
      </c>
      <c r="I1564" s="1">
        <v>3.5</v>
      </c>
      <c r="J1564" s="26">
        <v>45945</v>
      </c>
      <c r="K1564" s="22">
        <v>69480</v>
      </c>
      <c r="L1564" s="18">
        <v>74.31</v>
      </c>
      <c r="M1564" s="22">
        <v>48600</v>
      </c>
      <c r="N1564" s="22">
        <v>20880</v>
      </c>
      <c r="O1564" s="18">
        <v>22.33</v>
      </c>
      <c r="P1564" s="52">
        <f>IF(COUNTIF(TblPurchases[BatchID],TblOutcomes[[#This Row],[BatchID]])&lt;&gt;1,"n.a.",TblOutcomes[[#This Row],[Qty Wasted]]*SUMIFS(TblPurchases[Unit Cost (CLP)],TblPurchases[BatchID],TblOutcomes[[#This Row],[BatchID]]))</f>
        <v>1701</v>
      </c>
      <c r="Q1564" s="51">
        <f>IF(COUNTIF(TblPurchases[BatchID],TblOutcomes[[#This Row],[BatchID]])&lt;&gt;1,"n.a.",SUMIFS(TblPurchases[Purchase Date],TblPurchases[BatchID],TblOutcomes[[#This Row],[BatchID]]))</f>
        <v>45645</v>
      </c>
    </row>
    <row r="1565" spans="2:17" x14ac:dyDescent="0.25">
      <c r="B1565" s="2" t="s">
        <v>2370</v>
      </c>
      <c r="C1565" s="2" t="s">
        <v>195</v>
      </c>
      <c r="D1565" s="2" t="s">
        <v>176</v>
      </c>
      <c r="E1565" s="2" t="s">
        <v>4647</v>
      </c>
      <c r="F1565" s="2">
        <v>29</v>
      </c>
      <c r="G1565" s="2">
        <v>29</v>
      </c>
      <c r="H1565" s="2">
        <v>0</v>
      </c>
      <c r="I1565" s="1">
        <v>0</v>
      </c>
      <c r="J1565" s="26">
        <v>45684</v>
      </c>
      <c r="K1565" s="22">
        <v>58000</v>
      </c>
      <c r="L1565" s="18">
        <v>62.03</v>
      </c>
      <c r="M1565" s="22">
        <v>39150</v>
      </c>
      <c r="N1565" s="22">
        <v>18850</v>
      </c>
      <c r="O1565" s="18">
        <v>20.16</v>
      </c>
      <c r="P1565" s="52">
        <f>IF(COUNTIF(TblPurchases[BatchID],TblOutcomes[[#This Row],[BatchID]])&lt;&gt;1,"n.a.",TblOutcomes[[#This Row],[Qty Wasted]]*SUMIFS(TblPurchases[Unit Cost (CLP)],TblPurchases[BatchID],TblOutcomes[[#This Row],[BatchID]]))</f>
        <v>0</v>
      </c>
      <c r="Q1565" s="51">
        <f>IF(COUNTIF(TblPurchases[BatchID],TblOutcomes[[#This Row],[BatchID]])&lt;&gt;1,"n.a.",SUMIFS(TblPurchases[Purchase Date],TblPurchases[BatchID],TblOutcomes[[#This Row],[BatchID]]))</f>
        <v>45681</v>
      </c>
    </row>
    <row r="1566" spans="2:17" x14ac:dyDescent="0.25">
      <c r="B1566" s="2" t="s">
        <v>2371</v>
      </c>
      <c r="C1566" s="2" t="s">
        <v>195</v>
      </c>
      <c r="D1566" s="2" t="s">
        <v>176</v>
      </c>
      <c r="E1566" s="2" t="s">
        <v>4646</v>
      </c>
      <c r="F1566" s="2">
        <v>28</v>
      </c>
      <c r="G1566" s="2">
        <v>27.24</v>
      </c>
      <c r="H1566" s="2">
        <v>0.76</v>
      </c>
      <c r="I1566" s="1">
        <v>2.7</v>
      </c>
      <c r="J1566" s="26">
        <v>46014</v>
      </c>
      <c r="K1566" s="22">
        <v>54480</v>
      </c>
      <c r="L1566" s="18">
        <v>58.27</v>
      </c>
      <c r="M1566" s="22">
        <v>37800</v>
      </c>
      <c r="N1566" s="22">
        <v>16680</v>
      </c>
      <c r="O1566" s="18">
        <v>17.84</v>
      </c>
      <c r="P1566" s="52">
        <f>IF(COUNTIF(TblPurchases[BatchID],TblOutcomes[[#This Row],[BatchID]])&lt;&gt;1,"n.a.",TblOutcomes[[#This Row],[Qty Wasted]]*SUMIFS(TblPurchases[Unit Cost (CLP)],TblPurchases[BatchID],TblOutcomes[[#This Row],[BatchID]]))</f>
        <v>1026</v>
      </c>
      <c r="Q1566" s="51">
        <f>IF(COUNTIF(TblPurchases[BatchID],TblOutcomes[[#This Row],[BatchID]])&lt;&gt;1,"n.a.",SUMIFS(TblPurchases[Purchase Date],TblPurchases[BatchID],TblOutcomes[[#This Row],[BatchID]]))</f>
        <v>45714</v>
      </c>
    </row>
    <row r="1567" spans="2:17" x14ac:dyDescent="0.25">
      <c r="B1567" s="2" t="s">
        <v>2372</v>
      </c>
      <c r="C1567" s="2" t="s">
        <v>195</v>
      </c>
      <c r="D1567" s="2" t="s">
        <v>176</v>
      </c>
      <c r="E1567" s="2" t="s">
        <v>4646</v>
      </c>
      <c r="F1567" s="2">
        <v>30</v>
      </c>
      <c r="G1567" s="2">
        <v>29.04</v>
      </c>
      <c r="H1567" s="2">
        <v>0.96</v>
      </c>
      <c r="I1567" s="1">
        <v>3.2</v>
      </c>
      <c r="J1567" s="26">
        <v>46047</v>
      </c>
      <c r="K1567" s="22">
        <v>58080</v>
      </c>
      <c r="L1567" s="18">
        <v>62.12</v>
      </c>
      <c r="M1567" s="22">
        <v>40500</v>
      </c>
      <c r="N1567" s="22">
        <v>17580</v>
      </c>
      <c r="O1567" s="18">
        <v>18.8</v>
      </c>
      <c r="P1567" s="52">
        <f>IF(COUNTIF(TblPurchases[BatchID],TblOutcomes[[#This Row],[BatchID]])&lt;&gt;1,"n.a.",TblOutcomes[[#This Row],[Qty Wasted]]*SUMIFS(TblPurchases[Unit Cost (CLP)],TblPurchases[BatchID],TblOutcomes[[#This Row],[BatchID]]))</f>
        <v>1296</v>
      </c>
      <c r="Q1567" s="51">
        <f>IF(COUNTIF(TblPurchases[BatchID],TblOutcomes[[#This Row],[BatchID]])&lt;&gt;1,"n.a.",SUMIFS(TblPurchases[Purchase Date],TblPurchases[BatchID],TblOutcomes[[#This Row],[BatchID]]))</f>
        <v>45747</v>
      </c>
    </row>
    <row r="1568" spans="2:17" x14ac:dyDescent="0.25">
      <c r="B1568" s="2" t="s">
        <v>2373</v>
      </c>
      <c r="C1568" s="2" t="s">
        <v>195</v>
      </c>
      <c r="D1568" s="2" t="s">
        <v>176</v>
      </c>
      <c r="E1568" s="2" t="s">
        <v>4647</v>
      </c>
      <c r="F1568" s="2">
        <v>99</v>
      </c>
      <c r="G1568" s="2">
        <v>99</v>
      </c>
      <c r="H1568" s="2">
        <v>0</v>
      </c>
      <c r="I1568" s="1">
        <v>0</v>
      </c>
      <c r="J1568" s="26">
        <v>45819</v>
      </c>
      <c r="K1568" s="22">
        <v>198000</v>
      </c>
      <c r="L1568" s="18">
        <v>211.76</v>
      </c>
      <c r="M1568" s="22">
        <v>133650</v>
      </c>
      <c r="N1568" s="22">
        <v>64350</v>
      </c>
      <c r="O1568" s="18">
        <v>68.819999999999993</v>
      </c>
      <c r="P1568" s="52">
        <f>IF(COUNTIF(TblPurchases[BatchID],TblOutcomes[[#This Row],[BatchID]])&lt;&gt;1,"n.a.",TblOutcomes[[#This Row],[Qty Wasted]]*SUMIFS(TblPurchases[Unit Cost (CLP)],TblPurchases[BatchID],TblOutcomes[[#This Row],[BatchID]]))</f>
        <v>0</v>
      </c>
      <c r="Q1568" s="51">
        <f>IF(COUNTIF(TblPurchases[BatchID],TblOutcomes[[#This Row],[BatchID]])&lt;&gt;1,"n.a.",SUMIFS(TblPurchases[Purchase Date],TblPurchases[BatchID],TblOutcomes[[#This Row],[BatchID]]))</f>
        <v>45789</v>
      </c>
    </row>
    <row r="1569" spans="2:17" x14ac:dyDescent="0.25">
      <c r="B1569" s="2" t="s">
        <v>2374</v>
      </c>
      <c r="C1569" s="2" t="s">
        <v>195</v>
      </c>
      <c r="D1569" s="2" t="s">
        <v>176</v>
      </c>
      <c r="E1569" s="2" t="s">
        <v>4647</v>
      </c>
      <c r="F1569" s="2">
        <v>75</v>
      </c>
      <c r="G1569" s="2">
        <v>75</v>
      </c>
      <c r="H1569" s="2">
        <v>0</v>
      </c>
      <c r="I1569" s="1">
        <v>0</v>
      </c>
      <c r="J1569" s="26">
        <v>45856</v>
      </c>
      <c r="K1569" s="22">
        <v>150000</v>
      </c>
      <c r="L1569" s="18">
        <v>160.43</v>
      </c>
      <c r="M1569" s="22">
        <v>101250</v>
      </c>
      <c r="N1569" s="22">
        <v>48750</v>
      </c>
      <c r="O1569" s="18">
        <v>52.14</v>
      </c>
      <c r="P1569" s="52">
        <f>IF(COUNTIF(TblPurchases[BatchID],TblOutcomes[[#This Row],[BatchID]])&lt;&gt;1,"n.a.",TblOutcomes[[#This Row],[Qty Wasted]]*SUMIFS(TblPurchases[Unit Cost (CLP)],TblPurchases[BatchID],TblOutcomes[[#This Row],[BatchID]]))</f>
        <v>0</v>
      </c>
      <c r="Q1569" s="51">
        <f>IF(COUNTIF(TblPurchases[BatchID],TblOutcomes[[#This Row],[BatchID]])&lt;&gt;1,"n.a.",SUMIFS(TblPurchases[Purchase Date],TblPurchases[BatchID],TblOutcomes[[#This Row],[BatchID]]))</f>
        <v>45824</v>
      </c>
    </row>
    <row r="1570" spans="2:17" x14ac:dyDescent="0.25">
      <c r="B1570" s="2" t="s">
        <v>2375</v>
      </c>
      <c r="C1570" s="2" t="s">
        <v>197</v>
      </c>
      <c r="D1570" s="2" t="s">
        <v>176</v>
      </c>
      <c r="E1570" s="2" t="s">
        <v>4646</v>
      </c>
      <c r="F1570" s="2">
        <v>75</v>
      </c>
      <c r="G1570" s="2">
        <v>74.33</v>
      </c>
      <c r="H1570" s="2">
        <v>0.67</v>
      </c>
      <c r="I1570" s="1">
        <v>0.9</v>
      </c>
      <c r="J1570" s="26">
        <v>45433</v>
      </c>
      <c r="K1570" s="22">
        <v>148660</v>
      </c>
      <c r="L1570" s="18">
        <v>158.99</v>
      </c>
      <c r="M1570" s="22">
        <v>105000</v>
      </c>
      <c r="N1570" s="22">
        <v>43660</v>
      </c>
      <c r="O1570" s="18">
        <v>46.7</v>
      </c>
      <c r="P1570" s="52">
        <f>IF(COUNTIF(TblPurchases[BatchID],TblOutcomes[[#This Row],[BatchID]])&lt;&gt;1,"n.a.",TblOutcomes[[#This Row],[Qty Wasted]]*SUMIFS(TblPurchases[Unit Cost (CLP)],TblPurchases[BatchID],TblOutcomes[[#This Row],[BatchID]]))</f>
        <v>938</v>
      </c>
      <c r="Q1570" s="51">
        <f>IF(COUNTIF(TblPurchases[BatchID],TblOutcomes[[#This Row],[BatchID]])&lt;&gt;1,"n.a.",SUMIFS(TblPurchases[Purchase Date],TblPurchases[BatchID],TblOutcomes[[#This Row],[BatchID]]))</f>
        <v>45133</v>
      </c>
    </row>
    <row r="1571" spans="2:17" x14ac:dyDescent="0.25">
      <c r="B1571" s="2" t="s">
        <v>2376</v>
      </c>
      <c r="C1571" s="2" t="s">
        <v>197</v>
      </c>
      <c r="D1571" s="2" t="s">
        <v>176</v>
      </c>
      <c r="E1571" s="2" t="s">
        <v>4647</v>
      </c>
      <c r="F1571" s="2">
        <v>84</v>
      </c>
      <c r="G1571" s="2">
        <v>84</v>
      </c>
      <c r="H1571" s="2">
        <v>0</v>
      </c>
      <c r="I1571" s="1">
        <v>0</v>
      </c>
      <c r="J1571" s="26">
        <v>45202</v>
      </c>
      <c r="K1571" s="22">
        <v>168000</v>
      </c>
      <c r="L1571" s="18">
        <v>179.68</v>
      </c>
      <c r="M1571" s="22">
        <v>117600</v>
      </c>
      <c r="N1571" s="22">
        <v>50400</v>
      </c>
      <c r="O1571" s="18">
        <v>53.9</v>
      </c>
      <c r="P1571" s="52">
        <f>IF(COUNTIF(TblPurchases[BatchID],TblOutcomes[[#This Row],[BatchID]])&lt;&gt;1,"n.a.",TblOutcomes[[#This Row],[Qty Wasted]]*SUMIFS(TblPurchases[Unit Cost (CLP)],TblPurchases[BatchID],TblOutcomes[[#This Row],[BatchID]]))</f>
        <v>0</v>
      </c>
      <c r="Q1571" s="51">
        <f>IF(COUNTIF(TblPurchases[BatchID],TblOutcomes[[#This Row],[BatchID]])&lt;&gt;1,"n.a.",SUMIFS(TblPurchases[Purchase Date],TblPurchases[BatchID],TblOutcomes[[#This Row],[BatchID]]))</f>
        <v>45163</v>
      </c>
    </row>
    <row r="1572" spans="2:17" x14ac:dyDescent="0.25">
      <c r="B1572" s="2" t="s">
        <v>2377</v>
      </c>
      <c r="C1572" s="2" t="s">
        <v>197</v>
      </c>
      <c r="D1572" s="2" t="s">
        <v>176</v>
      </c>
      <c r="E1572" s="2" t="s">
        <v>4647</v>
      </c>
      <c r="F1572" s="2">
        <v>105</v>
      </c>
      <c r="G1572" s="2">
        <v>105</v>
      </c>
      <c r="H1572" s="2">
        <v>0</v>
      </c>
      <c r="I1572" s="1">
        <v>0</v>
      </c>
      <c r="J1572" s="26">
        <v>45224</v>
      </c>
      <c r="K1572" s="22">
        <v>210000</v>
      </c>
      <c r="L1572" s="18">
        <v>224.6</v>
      </c>
      <c r="M1572" s="22">
        <v>147000</v>
      </c>
      <c r="N1572" s="22">
        <v>63000</v>
      </c>
      <c r="O1572" s="18">
        <v>67.38</v>
      </c>
      <c r="P1572" s="52">
        <f>IF(COUNTIF(TblPurchases[BatchID],TblOutcomes[[#This Row],[BatchID]])&lt;&gt;1,"n.a.",TblOutcomes[[#This Row],[Qty Wasted]]*SUMIFS(TblPurchases[Unit Cost (CLP)],TblPurchases[BatchID],TblOutcomes[[#This Row],[BatchID]]))</f>
        <v>0</v>
      </c>
      <c r="Q1572" s="51">
        <f>IF(COUNTIF(TblPurchases[BatchID],TblOutcomes[[#This Row],[BatchID]])&lt;&gt;1,"n.a.",SUMIFS(TblPurchases[Purchase Date],TblPurchases[BatchID],TblOutcomes[[#This Row],[BatchID]]))</f>
        <v>45194</v>
      </c>
    </row>
    <row r="1573" spans="2:17" x14ac:dyDescent="0.25">
      <c r="B1573" s="2" t="s">
        <v>2378</v>
      </c>
      <c r="C1573" s="2" t="s">
        <v>197</v>
      </c>
      <c r="D1573" s="2" t="s">
        <v>176</v>
      </c>
      <c r="E1573" s="2" t="s">
        <v>4646</v>
      </c>
      <c r="F1573" s="2">
        <v>33</v>
      </c>
      <c r="G1573" s="2">
        <v>32.08</v>
      </c>
      <c r="H1573" s="2">
        <v>0.92</v>
      </c>
      <c r="I1573" s="1">
        <v>2.8</v>
      </c>
      <c r="J1573" s="26">
        <v>45529</v>
      </c>
      <c r="K1573" s="22">
        <v>64160</v>
      </c>
      <c r="L1573" s="18">
        <v>68.62</v>
      </c>
      <c r="M1573" s="22">
        <v>46200</v>
      </c>
      <c r="N1573" s="22">
        <v>17960</v>
      </c>
      <c r="O1573" s="18">
        <v>19.21</v>
      </c>
      <c r="P1573" s="52">
        <f>IF(COUNTIF(TblPurchases[BatchID],TblOutcomes[[#This Row],[BatchID]])&lt;&gt;1,"n.a.",TblOutcomes[[#This Row],[Qty Wasted]]*SUMIFS(TblPurchases[Unit Cost (CLP)],TblPurchases[BatchID],TblOutcomes[[#This Row],[BatchID]]))</f>
        <v>1288</v>
      </c>
      <c r="Q1573" s="51">
        <f>IF(COUNTIF(TblPurchases[BatchID],TblOutcomes[[#This Row],[BatchID]])&lt;&gt;1,"n.a.",SUMIFS(TblPurchases[Purchase Date],TblPurchases[BatchID],TblOutcomes[[#This Row],[BatchID]]))</f>
        <v>45229</v>
      </c>
    </row>
    <row r="1574" spans="2:17" x14ac:dyDescent="0.25">
      <c r="B1574" s="2" t="s">
        <v>2379</v>
      </c>
      <c r="C1574" s="2" t="s">
        <v>197</v>
      </c>
      <c r="D1574" s="2" t="s">
        <v>176</v>
      </c>
      <c r="E1574" s="2" t="s">
        <v>4647</v>
      </c>
      <c r="F1574" s="2">
        <v>30</v>
      </c>
      <c r="G1574" s="2">
        <v>30</v>
      </c>
      <c r="H1574" s="2">
        <v>0</v>
      </c>
      <c r="I1574" s="1">
        <v>0</v>
      </c>
      <c r="J1574" s="26">
        <v>45283</v>
      </c>
      <c r="K1574" s="22">
        <v>60000</v>
      </c>
      <c r="L1574" s="18">
        <v>64.17</v>
      </c>
      <c r="M1574" s="22">
        <v>42000</v>
      </c>
      <c r="N1574" s="22">
        <v>18000</v>
      </c>
      <c r="O1574" s="18">
        <v>19.25</v>
      </c>
      <c r="P1574" s="52">
        <f>IF(COUNTIF(TblPurchases[BatchID],TblOutcomes[[#This Row],[BatchID]])&lt;&gt;1,"n.a.",TblOutcomes[[#This Row],[Qty Wasted]]*SUMIFS(TblPurchases[Unit Cost (CLP)],TblPurchases[BatchID],TblOutcomes[[#This Row],[BatchID]]))</f>
        <v>0</v>
      </c>
      <c r="Q1574" s="51">
        <f>IF(COUNTIF(TblPurchases[BatchID],TblOutcomes[[#This Row],[BatchID]])&lt;&gt;1,"n.a.",SUMIFS(TblPurchases[Purchase Date],TblPurchases[BatchID],TblOutcomes[[#This Row],[BatchID]]))</f>
        <v>45256</v>
      </c>
    </row>
    <row r="1575" spans="2:17" x14ac:dyDescent="0.25">
      <c r="B1575" s="2" t="s">
        <v>2380</v>
      </c>
      <c r="C1575" s="2" t="s">
        <v>197</v>
      </c>
      <c r="D1575" s="2" t="s">
        <v>176</v>
      </c>
      <c r="E1575" s="2" t="s">
        <v>4646</v>
      </c>
      <c r="F1575" s="2">
        <v>28</v>
      </c>
      <c r="G1575" s="2">
        <v>27.27</v>
      </c>
      <c r="H1575" s="2">
        <v>0.73</v>
      </c>
      <c r="I1575" s="1">
        <v>2.6</v>
      </c>
      <c r="J1575" s="26">
        <v>45598</v>
      </c>
      <c r="K1575" s="22">
        <v>54540</v>
      </c>
      <c r="L1575" s="18">
        <v>58.33</v>
      </c>
      <c r="M1575" s="22">
        <v>39200</v>
      </c>
      <c r="N1575" s="22">
        <v>15340</v>
      </c>
      <c r="O1575" s="18">
        <v>16.41</v>
      </c>
      <c r="P1575" s="52">
        <f>IF(COUNTIF(TblPurchases[BatchID],TblOutcomes[[#This Row],[BatchID]])&lt;&gt;1,"n.a.",TblOutcomes[[#This Row],[Qty Wasted]]*SUMIFS(TblPurchases[Unit Cost (CLP)],TblPurchases[BatchID],TblOutcomes[[#This Row],[BatchID]]))</f>
        <v>1022</v>
      </c>
      <c r="Q1575" s="51">
        <f>IF(COUNTIF(TblPurchases[BatchID],TblOutcomes[[#This Row],[BatchID]])&lt;&gt;1,"n.a.",SUMIFS(TblPurchases[Purchase Date],TblPurchases[BatchID],TblOutcomes[[#This Row],[BatchID]]))</f>
        <v>45298</v>
      </c>
    </row>
    <row r="1576" spans="2:17" x14ac:dyDescent="0.25">
      <c r="B1576" s="2" t="s">
        <v>2381</v>
      </c>
      <c r="C1576" s="2" t="s">
        <v>197</v>
      </c>
      <c r="D1576" s="2" t="s">
        <v>176</v>
      </c>
      <c r="E1576" s="2" t="s">
        <v>4646</v>
      </c>
      <c r="F1576" s="2">
        <v>33</v>
      </c>
      <c r="G1576" s="2">
        <v>32.57</v>
      </c>
      <c r="H1576" s="2">
        <v>0.43</v>
      </c>
      <c r="I1576" s="1">
        <v>1.3</v>
      </c>
      <c r="J1576" s="26">
        <v>45631</v>
      </c>
      <c r="K1576" s="22">
        <v>65140</v>
      </c>
      <c r="L1576" s="18">
        <v>69.67</v>
      </c>
      <c r="M1576" s="22">
        <v>46200</v>
      </c>
      <c r="N1576" s="22">
        <v>18940</v>
      </c>
      <c r="O1576" s="18">
        <v>20.260000000000002</v>
      </c>
      <c r="P1576" s="52">
        <f>IF(COUNTIF(TblPurchases[BatchID],TblOutcomes[[#This Row],[BatchID]])&lt;&gt;1,"n.a.",TblOutcomes[[#This Row],[Qty Wasted]]*SUMIFS(TblPurchases[Unit Cost (CLP)],TblPurchases[BatchID],TblOutcomes[[#This Row],[BatchID]]))</f>
        <v>602</v>
      </c>
      <c r="Q1576" s="51">
        <f>IF(COUNTIF(TblPurchases[BatchID],TblOutcomes[[#This Row],[BatchID]])&lt;&gt;1,"n.a.",SUMIFS(TblPurchases[Purchase Date],TblPurchases[BatchID],TblOutcomes[[#This Row],[BatchID]]))</f>
        <v>45331</v>
      </c>
    </row>
    <row r="1577" spans="2:17" x14ac:dyDescent="0.25">
      <c r="B1577" s="2" t="s">
        <v>2382</v>
      </c>
      <c r="C1577" s="2" t="s">
        <v>197</v>
      </c>
      <c r="D1577" s="2" t="s">
        <v>176</v>
      </c>
      <c r="E1577" s="2" t="s">
        <v>4646</v>
      </c>
      <c r="F1577" s="2">
        <v>33</v>
      </c>
      <c r="G1577" s="2">
        <v>31.88</v>
      </c>
      <c r="H1577" s="2">
        <v>1.1200000000000001</v>
      </c>
      <c r="I1577" s="1">
        <v>3.4</v>
      </c>
      <c r="J1577" s="26">
        <v>45670</v>
      </c>
      <c r="K1577" s="22">
        <v>63760</v>
      </c>
      <c r="L1577" s="18">
        <v>68.19</v>
      </c>
      <c r="M1577" s="22">
        <v>46200</v>
      </c>
      <c r="N1577" s="22">
        <v>17560</v>
      </c>
      <c r="O1577" s="18">
        <v>18.78</v>
      </c>
      <c r="P1577" s="52">
        <f>IF(COUNTIF(TblPurchases[BatchID],TblOutcomes[[#This Row],[BatchID]])&lt;&gt;1,"n.a.",TblOutcomes[[#This Row],[Qty Wasted]]*SUMIFS(TblPurchases[Unit Cost (CLP)],TblPurchases[BatchID],TblOutcomes[[#This Row],[BatchID]]))</f>
        <v>1568.0000000000002</v>
      </c>
      <c r="Q1577" s="51">
        <f>IF(COUNTIF(TblPurchases[BatchID],TblOutcomes[[#This Row],[BatchID]])&lt;&gt;1,"n.a.",SUMIFS(TblPurchases[Purchase Date],TblPurchases[BatchID],TblOutcomes[[#This Row],[BatchID]]))</f>
        <v>45370</v>
      </c>
    </row>
    <row r="1578" spans="2:17" x14ac:dyDescent="0.25">
      <c r="B1578" s="2" t="s">
        <v>2383</v>
      </c>
      <c r="C1578" s="2" t="s">
        <v>197</v>
      </c>
      <c r="D1578" s="2" t="s">
        <v>176</v>
      </c>
      <c r="E1578" s="2" t="s">
        <v>4647</v>
      </c>
      <c r="F1578" s="2">
        <v>83</v>
      </c>
      <c r="G1578" s="2">
        <v>83</v>
      </c>
      <c r="H1578" s="2">
        <v>0</v>
      </c>
      <c r="I1578" s="1">
        <v>0</v>
      </c>
      <c r="J1578" s="26">
        <v>45425</v>
      </c>
      <c r="K1578" s="22">
        <v>166000</v>
      </c>
      <c r="L1578" s="18">
        <v>177.54</v>
      </c>
      <c r="M1578" s="22">
        <v>116200</v>
      </c>
      <c r="N1578" s="22">
        <v>49800</v>
      </c>
      <c r="O1578" s="18">
        <v>53.26</v>
      </c>
      <c r="P1578" s="52">
        <f>IF(COUNTIF(TblPurchases[BatchID],TblOutcomes[[#This Row],[BatchID]])&lt;&gt;1,"n.a.",TblOutcomes[[#This Row],[Qty Wasted]]*SUMIFS(TblPurchases[Unit Cost (CLP)],TblPurchases[BatchID],TblOutcomes[[#This Row],[BatchID]]))</f>
        <v>0</v>
      </c>
      <c r="Q1578" s="51">
        <f>IF(COUNTIF(TblPurchases[BatchID],TblOutcomes[[#This Row],[BatchID]])&lt;&gt;1,"n.a.",SUMIFS(TblPurchases[Purchase Date],TblPurchases[BatchID],TblOutcomes[[#This Row],[BatchID]]))</f>
        <v>45404</v>
      </c>
    </row>
    <row r="1579" spans="2:17" x14ac:dyDescent="0.25">
      <c r="B1579" s="2" t="s">
        <v>2384</v>
      </c>
      <c r="C1579" s="2" t="s">
        <v>197</v>
      </c>
      <c r="D1579" s="2" t="s">
        <v>176</v>
      </c>
      <c r="E1579" s="2" t="s">
        <v>4647</v>
      </c>
      <c r="F1579" s="2">
        <v>70</v>
      </c>
      <c r="G1579" s="2">
        <v>70</v>
      </c>
      <c r="H1579" s="2">
        <v>0</v>
      </c>
      <c r="I1579" s="1">
        <v>0</v>
      </c>
      <c r="J1579" s="26">
        <v>45459</v>
      </c>
      <c r="K1579" s="22">
        <v>140000</v>
      </c>
      <c r="L1579" s="18">
        <v>149.72999999999999</v>
      </c>
      <c r="M1579" s="22">
        <v>98000</v>
      </c>
      <c r="N1579" s="22">
        <v>42000</v>
      </c>
      <c r="O1579" s="18">
        <v>44.92</v>
      </c>
      <c r="P1579" s="52">
        <f>IF(COUNTIF(TblPurchases[BatchID],TblOutcomes[[#This Row],[BatchID]])&lt;&gt;1,"n.a.",TblOutcomes[[#This Row],[Qty Wasted]]*SUMIFS(TblPurchases[Unit Cost (CLP)],TblPurchases[BatchID],TblOutcomes[[#This Row],[BatchID]]))</f>
        <v>0</v>
      </c>
      <c r="Q1579" s="51">
        <f>IF(COUNTIF(TblPurchases[BatchID],TblOutcomes[[#This Row],[BatchID]])&lt;&gt;1,"n.a.",SUMIFS(TblPurchases[Purchase Date],TblPurchases[BatchID],TblOutcomes[[#This Row],[BatchID]]))</f>
        <v>45429</v>
      </c>
    </row>
    <row r="1580" spans="2:17" x14ac:dyDescent="0.25">
      <c r="B1580" s="2" t="s">
        <v>2385</v>
      </c>
      <c r="C1580" s="2" t="s">
        <v>197</v>
      </c>
      <c r="D1580" s="2" t="s">
        <v>176</v>
      </c>
      <c r="E1580" s="2" t="s">
        <v>4647</v>
      </c>
      <c r="F1580" s="2">
        <v>72</v>
      </c>
      <c r="G1580" s="2">
        <v>72</v>
      </c>
      <c r="H1580" s="2">
        <v>0</v>
      </c>
      <c r="I1580" s="1">
        <v>0</v>
      </c>
      <c r="J1580" s="26">
        <v>45478</v>
      </c>
      <c r="K1580" s="22">
        <v>144000</v>
      </c>
      <c r="L1580" s="18">
        <v>154.01</v>
      </c>
      <c r="M1580" s="22">
        <v>100800</v>
      </c>
      <c r="N1580" s="22">
        <v>43200</v>
      </c>
      <c r="O1580" s="18">
        <v>46.2</v>
      </c>
      <c r="P1580" s="52">
        <f>IF(COUNTIF(TblPurchases[BatchID],TblOutcomes[[#This Row],[BatchID]])&lt;&gt;1,"n.a.",TblOutcomes[[#This Row],[Qty Wasted]]*SUMIFS(TblPurchases[Unit Cost (CLP)],TblPurchases[BatchID],TblOutcomes[[#This Row],[BatchID]]))</f>
        <v>0</v>
      </c>
      <c r="Q1580" s="51">
        <f>IF(COUNTIF(TblPurchases[BatchID],TblOutcomes[[#This Row],[BatchID]])&lt;&gt;1,"n.a.",SUMIFS(TblPurchases[Purchase Date],TblPurchases[BatchID],TblOutcomes[[#This Row],[BatchID]]))</f>
        <v>45456</v>
      </c>
    </row>
    <row r="1581" spans="2:17" x14ac:dyDescent="0.25">
      <c r="B1581" s="2" t="s">
        <v>2386</v>
      </c>
      <c r="C1581" s="2" t="s">
        <v>197</v>
      </c>
      <c r="D1581" s="2" t="s">
        <v>176</v>
      </c>
      <c r="E1581" s="2" t="s">
        <v>4647</v>
      </c>
      <c r="F1581" s="2">
        <v>69</v>
      </c>
      <c r="G1581" s="2">
        <v>69</v>
      </c>
      <c r="H1581" s="2">
        <v>0</v>
      </c>
      <c r="I1581" s="1">
        <v>0</v>
      </c>
      <c r="J1581" s="26">
        <v>45527</v>
      </c>
      <c r="K1581" s="22">
        <v>138000</v>
      </c>
      <c r="L1581" s="18">
        <v>147.59</v>
      </c>
      <c r="M1581" s="22">
        <v>96600</v>
      </c>
      <c r="N1581" s="22">
        <v>41400</v>
      </c>
      <c r="O1581" s="18">
        <v>44.28</v>
      </c>
      <c r="P1581" s="52">
        <f>IF(COUNTIF(TblPurchases[BatchID],TblOutcomes[[#This Row],[BatchID]])&lt;&gt;1,"n.a.",TblOutcomes[[#This Row],[Qty Wasted]]*SUMIFS(TblPurchases[Unit Cost (CLP)],TblPurchases[BatchID],TblOutcomes[[#This Row],[BatchID]]))</f>
        <v>0</v>
      </c>
      <c r="Q1581" s="51">
        <f>IF(COUNTIF(TblPurchases[BatchID],TblOutcomes[[#This Row],[BatchID]])&lt;&gt;1,"n.a.",SUMIFS(TblPurchases[Purchase Date],TblPurchases[BatchID],TblOutcomes[[#This Row],[BatchID]]))</f>
        <v>45494</v>
      </c>
    </row>
    <row r="1582" spans="2:17" x14ac:dyDescent="0.25">
      <c r="B1582" s="2" t="s">
        <v>2387</v>
      </c>
      <c r="C1582" s="2" t="s">
        <v>197</v>
      </c>
      <c r="D1582" s="2" t="s">
        <v>176</v>
      </c>
      <c r="E1582" s="2" t="s">
        <v>4646</v>
      </c>
      <c r="F1582" s="2">
        <v>75</v>
      </c>
      <c r="G1582" s="2">
        <v>73.12</v>
      </c>
      <c r="H1582" s="2">
        <v>1.88</v>
      </c>
      <c r="I1582" s="1">
        <v>2.5</v>
      </c>
      <c r="J1582" s="26">
        <v>45826</v>
      </c>
      <c r="K1582" s="22">
        <v>146240</v>
      </c>
      <c r="L1582" s="18">
        <v>156.41</v>
      </c>
      <c r="M1582" s="22">
        <v>105000</v>
      </c>
      <c r="N1582" s="22">
        <v>41240</v>
      </c>
      <c r="O1582" s="18">
        <v>44.11</v>
      </c>
      <c r="P1582" s="52">
        <f>IF(COUNTIF(TblPurchases[BatchID],TblOutcomes[[#This Row],[BatchID]])&lt;&gt;1,"n.a.",TblOutcomes[[#This Row],[Qty Wasted]]*SUMIFS(TblPurchases[Unit Cost (CLP)],TblPurchases[BatchID],TblOutcomes[[#This Row],[BatchID]]))</f>
        <v>2632</v>
      </c>
      <c r="Q1582" s="51">
        <f>IF(COUNTIF(TblPurchases[BatchID],TblOutcomes[[#This Row],[BatchID]])&lt;&gt;1,"n.a.",SUMIFS(TblPurchases[Purchase Date],TblPurchases[BatchID],TblOutcomes[[#This Row],[BatchID]]))</f>
        <v>45526</v>
      </c>
    </row>
    <row r="1583" spans="2:17" x14ac:dyDescent="0.25">
      <c r="B1583" s="2" t="s">
        <v>2388</v>
      </c>
      <c r="C1583" s="2" t="s">
        <v>197</v>
      </c>
      <c r="D1583" s="2" t="s">
        <v>176</v>
      </c>
      <c r="E1583" s="2" t="s">
        <v>4647</v>
      </c>
      <c r="F1583" s="2">
        <v>108</v>
      </c>
      <c r="G1583" s="2">
        <v>108</v>
      </c>
      <c r="H1583" s="2">
        <v>0</v>
      </c>
      <c r="I1583" s="1">
        <v>0</v>
      </c>
      <c r="J1583" s="26">
        <v>45580</v>
      </c>
      <c r="K1583" s="22">
        <v>216000</v>
      </c>
      <c r="L1583" s="18">
        <v>231.02</v>
      </c>
      <c r="M1583" s="22">
        <v>162000</v>
      </c>
      <c r="N1583" s="22">
        <v>54000</v>
      </c>
      <c r="O1583" s="18">
        <v>57.75</v>
      </c>
      <c r="P1583" s="52">
        <f>IF(COUNTIF(TblPurchases[BatchID],TblOutcomes[[#This Row],[BatchID]])&lt;&gt;1,"n.a.",TblOutcomes[[#This Row],[Qty Wasted]]*SUMIFS(TblPurchases[Unit Cost (CLP)],TblPurchases[BatchID],TblOutcomes[[#This Row],[BatchID]]))</f>
        <v>0</v>
      </c>
      <c r="Q1583" s="51">
        <f>IF(COUNTIF(TblPurchases[BatchID],TblOutcomes[[#This Row],[BatchID]])&lt;&gt;1,"n.a.",SUMIFS(TblPurchases[Purchase Date],TblPurchases[BatchID],TblOutcomes[[#This Row],[BatchID]]))</f>
        <v>45560</v>
      </c>
    </row>
    <row r="1584" spans="2:17" x14ac:dyDescent="0.25">
      <c r="B1584" s="2" t="s">
        <v>2389</v>
      </c>
      <c r="C1584" s="2" t="s">
        <v>197</v>
      </c>
      <c r="D1584" s="2" t="s">
        <v>176</v>
      </c>
      <c r="E1584" s="2" t="s">
        <v>4647</v>
      </c>
      <c r="F1584" s="2">
        <v>31</v>
      </c>
      <c r="G1584" s="2">
        <v>31</v>
      </c>
      <c r="H1584" s="2">
        <v>0</v>
      </c>
      <c r="I1584" s="1">
        <v>0</v>
      </c>
      <c r="J1584" s="26">
        <v>45611</v>
      </c>
      <c r="K1584" s="22">
        <v>62000</v>
      </c>
      <c r="L1584" s="18">
        <v>66.31</v>
      </c>
      <c r="M1584" s="22">
        <v>43400</v>
      </c>
      <c r="N1584" s="22">
        <v>18600</v>
      </c>
      <c r="O1584" s="18">
        <v>19.89</v>
      </c>
      <c r="P1584" s="52">
        <f>IF(COUNTIF(TblPurchases[BatchID],TblOutcomes[[#This Row],[BatchID]])&lt;&gt;1,"n.a.",TblOutcomes[[#This Row],[Qty Wasted]]*SUMIFS(TblPurchases[Unit Cost (CLP)],TblPurchases[BatchID],TblOutcomes[[#This Row],[BatchID]]))</f>
        <v>0</v>
      </c>
      <c r="Q1584" s="51">
        <f>IF(COUNTIF(TblPurchases[BatchID],TblOutcomes[[#This Row],[BatchID]])&lt;&gt;1,"n.a.",SUMIFS(TblPurchases[Purchase Date],TblPurchases[BatchID],TblOutcomes[[#This Row],[BatchID]]))</f>
        <v>45590</v>
      </c>
    </row>
    <row r="1585" spans="2:17" x14ac:dyDescent="0.25">
      <c r="B1585" s="2" t="s">
        <v>2390</v>
      </c>
      <c r="C1585" s="2" t="s">
        <v>197</v>
      </c>
      <c r="D1585" s="2" t="s">
        <v>176</v>
      </c>
      <c r="E1585" s="2" t="s">
        <v>4647</v>
      </c>
      <c r="F1585" s="2">
        <v>34</v>
      </c>
      <c r="G1585" s="2">
        <v>34</v>
      </c>
      <c r="H1585" s="2">
        <v>0</v>
      </c>
      <c r="I1585" s="1">
        <v>0</v>
      </c>
      <c r="J1585" s="26">
        <v>45654</v>
      </c>
      <c r="K1585" s="22">
        <v>68000</v>
      </c>
      <c r="L1585" s="18">
        <v>72.73</v>
      </c>
      <c r="M1585" s="22">
        <v>47600</v>
      </c>
      <c r="N1585" s="22">
        <v>20400</v>
      </c>
      <c r="O1585" s="18">
        <v>21.82</v>
      </c>
      <c r="P1585" s="52">
        <f>IF(COUNTIF(TblPurchases[BatchID],TblOutcomes[[#This Row],[BatchID]])&lt;&gt;1,"n.a.",TblOutcomes[[#This Row],[Qty Wasted]]*SUMIFS(TblPurchases[Unit Cost (CLP)],TblPurchases[BatchID],TblOutcomes[[#This Row],[BatchID]]))</f>
        <v>0</v>
      </c>
      <c r="Q1585" s="51">
        <f>IF(COUNTIF(TblPurchases[BatchID],TblOutcomes[[#This Row],[BatchID]])&lt;&gt;1,"n.a.",SUMIFS(TblPurchases[Purchase Date],TblPurchases[BatchID],TblOutcomes[[#This Row],[BatchID]]))</f>
        <v>45628</v>
      </c>
    </row>
    <row r="1586" spans="2:17" x14ac:dyDescent="0.25">
      <c r="B1586" s="2" t="s">
        <v>2391</v>
      </c>
      <c r="C1586" s="2" t="s">
        <v>197</v>
      </c>
      <c r="D1586" s="2" t="s">
        <v>176</v>
      </c>
      <c r="E1586" s="2" t="s">
        <v>4647</v>
      </c>
      <c r="F1586" s="2">
        <v>41</v>
      </c>
      <c r="G1586" s="2">
        <v>41</v>
      </c>
      <c r="H1586" s="2">
        <v>0</v>
      </c>
      <c r="I1586" s="1">
        <v>0</v>
      </c>
      <c r="J1586" s="26">
        <v>45675</v>
      </c>
      <c r="K1586" s="22">
        <v>82000</v>
      </c>
      <c r="L1586" s="18">
        <v>87.7</v>
      </c>
      <c r="M1586" s="22">
        <v>57400</v>
      </c>
      <c r="N1586" s="22">
        <v>24600</v>
      </c>
      <c r="O1586" s="18">
        <v>26.31</v>
      </c>
      <c r="P1586" s="52">
        <f>IF(COUNTIF(TblPurchases[BatchID],TblOutcomes[[#This Row],[BatchID]])&lt;&gt;1,"n.a.",TblOutcomes[[#This Row],[Qty Wasted]]*SUMIFS(TblPurchases[Unit Cost (CLP)],TblPurchases[BatchID],TblOutcomes[[#This Row],[BatchID]]))</f>
        <v>0</v>
      </c>
      <c r="Q1586" s="51">
        <f>IF(COUNTIF(TblPurchases[BatchID],TblOutcomes[[#This Row],[BatchID]])&lt;&gt;1,"n.a.",SUMIFS(TblPurchases[Purchase Date],TblPurchases[BatchID],TblOutcomes[[#This Row],[BatchID]]))</f>
        <v>45656</v>
      </c>
    </row>
    <row r="1587" spans="2:17" x14ac:dyDescent="0.25">
      <c r="B1587" s="2" t="s">
        <v>2392</v>
      </c>
      <c r="C1587" s="2" t="s">
        <v>197</v>
      </c>
      <c r="D1587" s="2" t="s">
        <v>176</v>
      </c>
      <c r="E1587" s="2" t="s">
        <v>4646</v>
      </c>
      <c r="F1587" s="2">
        <v>29</v>
      </c>
      <c r="G1587" s="2">
        <v>28.13</v>
      </c>
      <c r="H1587" s="2">
        <v>0.87</v>
      </c>
      <c r="I1587" s="1">
        <v>3</v>
      </c>
      <c r="J1587" s="26">
        <v>45981</v>
      </c>
      <c r="K1587" s="22">
        <v>56260</v>
      </c>
      <c r="L1587" s="18">
        <v>60.17</v>
      </c>
      <c r="M1587" s="22">
        <v>40600</v>
      </c>
      <c r="N1587" s="22">
        <v>15660</v>
      </c>
      <c r="O1587" s="18">
        <v>16.75</v>
      </c>
      <c r="P1587" s="52">
        <f>IF(COUNTIF(TblPurchases[BatchID],TblOutcomes[[#This Row],[BatchID]])&lt;&gt;1,"n.a.",TblOutcomes[[#This Row],[Qty Wasted]]*SUMIFS(TblPurchases[Unit Cost (CLP)],TblPurchases[BatchID],TblOutcomes[[#This Row],[BatchID]]))</f>
        <v>1218</v>
      </c>
      <c r="Q1587" s="51">
        <f>IF(COUNTIF(TblPurchases[BatchID],TblOutcomes[[#This Row],[BatchID]])&lt;&gt;1,"n.a.",SUMIFS(TblPurchases[Purchase Date],TblPurchases[BatchID],TblOutcomes[[#This Row],[BatchID]]))</f>
        <v>45681</v>
      </c>
    </row>
    <row r="1588" spans="2:17" x14ac:dyDescent="0.25">
      <c r="B1588" s="2" t="s">
        <v>2393</v>
      </c>
      <c r="C1588" s="2" t="s">
        <v>197</v>
      </c>
      <c r="D1588" s="2" t="s">
        <v>176</v>
      </c>
      <c r="E1588" s="2" t="s">
        <v>4647</v>
      </c>
      <c r="F1588" s="2">
        <v>35</v>
      </c>
      <c r="G1588" s="2">
        <v>35</v>
      </c>
      <c r="H1588" s="2">
        <v>0</v>
      </c>
      <c r="I1588" s="1">
        <v>0</v>
      </c>
      <c r="J1588" s="26">
        <v>45726</v>
      </c>
      <c r="K1588" s="22">
        <v>70000</v>
      </c>
      <c r="L1588" s="18">
        <v>74.87</v>
      </c>
      <c r="M1588" s="22">
        <v>49000</v>
      </c>
      <c r="N1588" s="22">
        <v>21000</v>
      </c>
      <c r="O1588" s="18">
        <v>22.46</v>
      </c>
      <c r="P1588" s="52">
        <f>IF(COUNTIF(TblPurchases[BatchID],TblOutcomes[[#This Row],[BatchID]])&lt;&gt;1,"n.a.",TblOutcomes[[#This Row],[Qty Wasted]]*SUMIFS(TblPurchases[Unit Cost (CLP)],TblPurchases[BatchID],TblOutcomes[[#This Row],[BatchID]]))</f>
        <v>0</v>
      </c>
      <c r="Q1588" s="51">
        <f>IF(COUNTIF(TblPurchases[BatchID],TblOutcomes[[#This Row],[BatchID]])&lt;&gt;1,"n.a.",SUMIFS(TblPurchases[Purchase Date],TblPurchases[BatchID],TblOutcomes[[#This Row],[BatchID]]))</f>
        <v>45717</v>
      </c>
    </row>
    <row r="1589" spans="2:17" x14ac:dyDescent="0.25">
      <c r="B1589" s="2" t="s">
        <v>2394</v>
      </c>
      <c r="C1589" s="2" t="s">
        <v>197</v>
      </c>
      <c r="D1589" s="2" t="s">
        <v>176</v>
      </c>
      <c r="E1589" s="2" t="s">
        <v>4646</v>
      </c>
      <c r="F1589" s="2">
        <v>33</v>
      </c>
      <c r="G1589" s="2">
        <v>32.31</v>
      </c>
      <c r="H1589" s="2">
        <v>0.69</v>
      </c>
      <c r="I1589" s="1">
        <v>2.1</v>
      </c>
      <c r="J1589" s="26">
        <v>46047</v>
      </c>
      <c r="K1589" s="22">
        <v>64620</v>
      </c>
      <c r="L1589" s="18">
        <v>69.11</v>
      </c>
      <c r="M1589" s="22">
        <v>46200</v>
      </c>
      <c r="N1589" s="22">
        <v>18420</v>
      </c>
      <c r="O1589" s="18">
        <v>19.7</v>
      </c>
      <c r="P1589" s="52">
        <f>IF(COUNTIF(TblPurchases[BatchID],TblOutcomes[[#This Row],[BatchID]])&lt;&gt;1,"n.a.",TblOutcomes[[#This Row],[Qty Wasted]]*SUMIFS(TblPurchases[Unit Cost (CLP)],TblPurchases[BatchID],TblOutcomes[[#This Row],[BatchID]]))</f>
        <v>965.99999999999989</v>
      </c>
      <c r="Q1589" s="51">
        <f>IF(COUNTIF(TblPurchases[BatchID],TblOutcomes[[#This Row],[BatchID]])&lt;&gt;1,"n.a.",SUMIFS(TblPurchases[Purchase Date],TblPurchases[BatchID],TblOutcomes[[#This Row],[BatchID]]))</f>
        <v>45747</v>
      </c>
    </row>
    <row r="1590" spans="2:17" x14ac:dyDescent="0.25">
      <c r="B1590" s="2" t="s">
        <v>2395</v>
      </c>
      <c r="C1590" s="2" t="s">
        <v>197</v>
      </c>
      <c r="D1590" s="2" t="s">
        <v>176</v>
      </c>
      <c r="E1590" s="2" t="s">
        <v>4647</v>
      </c>
      <c r="F1590" s="2">
        <v>94</v>
      </c>
      <c r="G1590" s="2">
        <v>94</v>
      </c>
      <c r="H1590" s="2">
        <v>0</v>
      </c>
      <c r="I1590" s="1">
        <v>0</v>
      </c>
      <c r="J1590" s="26">
        <v>45798</v>
      </c>
      <c r="K1590" s="22">
        <v>188000</v>
      </c>
      <c r="L1590" s="18">
        <v>201.07</v>
      </c>
      <c r="M1590" s="22">
        <v>131600</v>
      </c>
      <c r="N1590" s="22">
        <v>56400</v>
      </c>
      <c r="O1590" s="18">
        <v>60.32</v>
      </c>
      <c r="P1590" s="52">
        <f>IF(COUNTIF(TblPurchases[BatchID],TblOutcomes[[#This Row],[BatchID]])&lt;&gt;1,"n.a.",TblOutcomes[[#This Row],[Qty Wasted]]*SUMIFS(TblPurchases[Unit Cost (CLP)],TblPurchases[BatchID],TblOutcomes[[#This Row],[BatchID]]))</f>
        <v>0</v>
      </c>
      <c r="Q1590" s="51">
        <f>IF(COUNTIF(TblPurchases[BatchID],TblOutcomes[[#This Row],[BatchID]])&lt;&gt;1,"n.a.",SUMIFS(TblPurchases[Purchase Date],TblPurchases[BatchID],TblOutcomes[[#This Row],[BatchID]]))</f>
        <v>45777</v>
      </c>
    </row>
    <row r="1591" spans="2:17" x14ac:dyDescent="0.25">
      <c r="B1591" s="2" t="s">
        <v>2396</v>
      </c>
      <c r="C1591" s="2" t="s">
        <v>197</v>
      </c>
      <c r="D1591" s="2" t="s">
        <v>176</v>
      </c>
      <c r="E1591" s="2" t="s">
        <v>4647</v>
      </c>
      <c r="F1591" s="2">
        <v>78</v>
      </c>
      <c r="G1591" s="2">
        <v>78</v>
      </c>
      <c r="H1591" s="2">
        <v>0</v>
      </c>
      <c r="I1591" s="1">
        <v>0</v>
      </c>
      <c r="J1591" s="26">
        <v>45857</v>
      </c>
      <c r="K1591" s="22">
        <v>156000</v>
      </c>
      <c r="L1591" s="18">
        <v>166.84</v>
      </c>
      <c r="M1591" s="22">
        <v>109200</v>
      </c>
      <c r="N1591" s="22">
        <v>46800</v>
      </c>
      <c r="O1591" s="18">
        <v>50.05</v>
      </c>
      <c r="P1591" s="52">
        <f>IF(COUNTIF(TblPurchases[BatchID],TblOutcomes[[#This Row],[BatchID]])&lt;&gt;1,"n.a.",TblOutcomes[[#This Row],[Qty Wasted]]*SUMIFS(TblPurchases[Unit Cost (CLP)],TblPurchases[BatchID],TblOutcomes[[#This Row],[BatchID]]))</f>
        <v>0</v>
      </c>
      <c r="Q1591" s="51">
        <f>IF(COUNTIF(TblPurchases[BatchID],TblOutcomes[[#This Row],[BatchID]])&lt;&gt;1,"n.a.",SUMIFS(TblPurchases[Purchase Date],TblPurchases[BatchID],TblOutcomes[[#This Row],[BatchID]]))</f>
        <v>45820</v>
      </c>
    </row>
    <row r="1592" spans="2:17" x14ac:dyDescent="0.25">
      <c r="B1592" s="2" t="s">
        <v>2397</v>
      </c>
      <c r="C1592" s="2" t="s">
        <v>199</v>
      </c>
      <c r="D1592" s="2" t="s">
        <v>201</v>
      </c>
      <c r="E1592" s="2" t="s">
        <v>4646</v>
      </c>
      <c r="F1592" s="2">
        <v>53</v>
      </c>
      <c r="G1592" s="2">
        <v>52.68</v>
      </c>
      <c r="H1592" s="2">
        <v>0.32</v>
      </c>
      <c r="I1592" s="1">
        <v>0.6</v>
      </c>
      <c r="J1592" s="26">
        <v>45678</v>
      </c>
      <c r="K1592" s="22">
        <v>79020</v>
      </c>
      <c r="L1592" s="18">
        <v>84.51</v>
      </c>
      <c r="M1592" s="22">
        <v>55650</v>
      </c>
      <c r="N1592" s="22">
        <v>23370</v>
      </c>
      <c r="O1592" s="18">
        <v>24.99</v>
      </c>
      <c r="P1592" s="52">
        <f>IF(COUNTIF(TblPurchases[BatchID],TblOutcomes[[#This Row],[BatchID]])&lt;&gt;1,"n.a.",TblOutcomes[[#This Row],[Qty Wasted]]*SUMIFS(TblPurchases[Unit Cost (CLP)],TblPurchases[BatchID],TblOutcomes[[#This Row],[BatchID]]))</f>
        <v>336</v>
      </c>
      <c r="Q1592" s="51">
        <f>IF(COUNTIF(TblPurchases[BatchID],TblOutcomes[[#This Row],[BatchID]])&lt;&gt;1,"n.a.",SUMIFS(TblPurchases[Purchase Date],TblPurchases[BatchID],TblOutcomes[[#This Row],[BatchID]]))</f>
        <v>45138</v>
      </c>
    </row>
    <row r="1593" spans="2:17" x14ac:dyDescent="0.25">
      <c r="B1593" s="2" t="s">
        <v>2398</v>
      </c>
      <c r="C1593" s="2" t="s">
        <v>199</v>
      </c>
      <c r="D1593" s="2" t="s">
        <v>201</v>
      </c>
      <c r="E1593" s="2" t="s">
        <v>4647</v>
      </c>
      <c r="F1593" s="2">
        <v>44</v>
      </c>
      <c r="G1593" s="2">
        <v>44</v>
      </c>
      <c r="H1593" s="2">
        <v>0</v>
      </c>
      <c r="I1593" s="1">
        <v>0</v>
      </c>
      <c r="J1593" s="26">
        <v>45239</v>
      </c>
      <c r="K1593" s="22">
        <v>66000</v>
      </c>
      <c r="L1593" s="18">
        <v>70.59</v>
      </c>
      <c r="M1593" s="22">
        <v>46200</v>
      </c>
      <c r="N1593" s="22">
        <v>19800</v>
      </c>
      <c r="O1593" s="18">
        <v>21.18</v>
      </c>
      <c r="P1593" s="52">
        <f>IF(COUNTIF(TblPurchases[BatchID],TblOutcomes[[#This Row],[BatchID]])&lt;&gt;1,"n.a.",TblOutcomes[[#This Row],[Qty Wasted]]*SUMIFS(TblPurchases[Unit Cost (CLP)],TblPurchases[BatchID],TblOutcomes[[#This Row],[BatchID]]))</f>
        <v>0</v>
      </c>
      <c r="Q1593" s="51">
        <f>IF(COUNTIF(TblPurchases[BatchID],TblOutcomes[[#This Row],[BatchID]])&lt;&gt;1,"n.a.",SUMIFS(TblPurchases[Purchase Date],TblPurchases[BatchID],TblOutcomes[[#This Row],[BatchID]]))</f>
        <v>45203</v>
      </c>
    </row>
    <row r="1594" spans="2:17" x14ac:dyDescent="0.25">
      <c r="B1594" s="2" t="s">
        <v>2399</v>
      </c>
      <c r="C1594" s="2" t="s">
        <v>199</v>
      </c>
      <c r="D1594" s="2" t="s">
        <v>201</v>
      </c>
      <c r="E1594" s="2" t="s">
        <v>4646</v>
      </c>
      <c r="F1594" s="2">
        <v>43</v>
      </c>
      <c r="G1594" s="2">
        <v>42.48</v>
      </c>
      <c r="H1594" s="2">
        <v>0.52</v>
      </c>
      <c r="I1594" s="1">
        <v>1.2</v>
      </c>
      <c r="J1594" s="26">
        <v>45794</v>
      </c>
      <c r="K1594" s="22">
        <v>63720</v>
      </c>
      <c r="L1594" s="18">
        <v>68.150000000000006</v>
      </c>
      <c r="M1594" s="22">
        <v>45150</v>
      </c>
      <c r="N1594" s="22">
        <v>18570</v>
      </c>
      <c r="O1594" s="18">
        <v>19.86</v>
      </c>
      <c r="P1594" s="52">
        <f>IF(COUNTIF(TblPurchases[BatchID],TblOutcomes[[#This Row],[BatchID]])&lt;&gt;1,"n.a.",TblOutcomes[[#This Row],[Qty Wasted]]*SUMIFS(TblPurchases[Unit Cost (CLP)],TblPurchases[BatchID],TblOutcomes[[#This Row],[BatchID]]))</f>
        <v>546</v>
      </c>
      <c r="Q1594" s="51">
        <f>IF(COUNTIF(TblPurchases[BatchID],TblOutcomes[[#This Row],[BatchID]])&lt;&gt;1,"n.a.",SUMIFS(TblPurchases[Purchase Date],TblPurchases[BatchID],TblOutcomes[[#This Row],[BatchID]]))</f>
        <v>45254</v>
      </c>
    </row>
    <row r="1595" spans="2:17" x14ac:dyDescent="0.25">
      <c r="B1595" s="2" t="s">
        <v>2400</v>
      </c>
      <c r="C1595" s="2" t="s">
        <v>199</v>
      </c>
      <c r="D1595" s="2" t="s">
        <v>201</v>
      </c>
      <c r="E1595" s="2" t="s">
        <v>4646</v>
      </c>
      <c r="F1595" s="2">
        <v>52</v>
      </c>
      <c r="G1595" s="2">
        <v>51.22</v>
      </c>
      <c r="H1595" s="2">
        <v>0.78</v>
      </c>
      <c r="I1595" s="1">
        <v>1.5</v>
      </c>
      <c r="J1595" s="26">
        <v>45859</v>
      </c>
      <c r="K1595" s="22">
        <v>76830</v>
      </c>
      <c r="L1595" s="18">
        <v>82.17</v>
      </c>
      <c r="M1595" s="22">
        <v>54600</v>
      </c>
      <c r="N1595" s="22">
        <v>22230</v>
      </c>
      <c r="O1595" s="18">
        <v>23.78</v>
      </c>
      <c r="P1595" s="52">
        <f>IF(COUNTIF(TblPurchases[BatchID],TblOutcomes[[#This Row],[BatchID]])&lt;&gt;1,"n.a.",TblOutcomes[[#This Row],[Qty Wasted]]*SUMIFS(TblPurchases[Unit Cost (CLP)],TblPurchases[BatchID],TblOutcomes[[#This Row],[BatchID]]))</f>
        <v>819</v>
      </c>
      <c r="Q1595" s="51">
        <f>IF(COUNTIF(TblPurchases[BatchID],TblOutcomes[[#This Row],[BatchID]])&lt;&gt;1,"n.a.",SUMIFS(TblPurchases[Purchase Date],TblPurchases[BatchID],TblOutcomes[[#This Row],[BatchID]]))</f>
        <v>45319</v>
      </c>
    </row>
    <row r="1596" spans="2:17" x14ac:dyDescent="0.25">
      <c r="B1596" s="2" t="s">
        <v>2401</v>
      </c>
      <c r="C1596" s="2" t="s">
        <v>199</v>
      </c>
      <c r="D1596" s="2" t="s">
        <v>201</v>
      </c>
      <c r="E1596" s="2" t="s">
        <v>4646</v>
      </c>
      <c r="F1596" s="2">
        <v>52</v>
      </c>
      <c r="G1596" s="2">
        <v>51.64</v>
      </c>
      <c r="H1596" s="2">
        <v>0.36</v>
      </c>
      <c r="I1596" s="1">
        <v>0.7</v>
      </c>
      <c r="J1596" s="26">
        <v>45914</v>
      </c>
      <c r="K1596" s="22">
        <v>77460</v>
      </c>
      <c r="L1596" s="18">
        <v>82.84</v>
      </c>
      <c r="M1596" s="22">
        <v>54600</v>
      </c>
      <c r="N1596" s="22">
        <v>22860</v>
      </c>
      <c r="O1596" s="18">
        <v>24.45</v>
      </c>
      <c r="P1596" s="52">
        <f>IF(COUNTIF(TblPurchases[BatchID],TblOutcomes[[#This Row],[BatchID]])&lt;&gt;1,"n.a.",TblOutcomes[[#This Row],[Qty Wasted]]*SUMIFS(TblPurchases[Unit Cost (CLP)],TblPurchases[BatchID],TblOutcomes[[#This Row],[BatchID]]))</f>
        <v>378</v>
      </c>
      <c r="Q1596" s="51">
        <f>IF(COUNTIF(TblPurchases[BatchID],TblOutcomes[[#This Row],[BatchID]])&lt;&gt;1,"n.a.",SUMIFS(TblPurchases[Purchase Date],TblPurchases[BatchID],TblOutcomes[[#This Row],[BatchID]]))</f>
        <v>45374</v>
      </c>
    </row>
    <row r="1597" spans="2:17" x14ac:dyDescent="0.25">
      <c r="B1597" s="2" t="s">
        <v>2402</v>
      </c>
      <c r="C1597" s="2" t="s">
        <v>199</v>
      </c>
      <c r="D1597" s="2" t="s">
        <v>201</v>
      </c>
      <c r="E1597" s="2" t="s">
        <v>4647</v>
      </c>
      <c r="F1597" s="2">
        <v>45</v>
      </c>
      <c r="G1597" s="2">
        <v>45</v>
      </c>
      <c r="H1597" s="2">
        <v>0</v>
      </c>
      <c r="I1597" s="1">
        <v>0</v>
      </c>
      <c r="J1597" s="26">
        <v>45486</v>
      </c>
      <c r="K1597" s="22">
        <v>67500</v>
      </c>
      <c r="L1597" s="18">
        <v>72.19</v>
      </c>
      <c r="M1597" s="22">
        <v>47250</v>
      </c>
      <c r="N1597" s="22">
        <v>20250</v>
      </c>
      <c r="O1597" s="18">
        <v>21.66</v>
      </c>
      <c r="P1597" s="52">
        <f>IF(COUNTIF(TblPurchases[BatchID],TblOutcomes[[#This Row],[BatchID]])&lt;&gt;1,"n.a.",TblOutcomes[[#This Row],[Qty Wasted]]*SUMIFS(TblPurchases[Unit Cost (CLP)],TblPurchases[BatchID],TblOutcomes[[#This Row],[BatchID]]))</f>
        <v>0</v>
      </c>
      <c r="Q1597" s="51">
        <f>IF(COUNTIF(TblPurchases[BatchID],TblOutcomes[[#This Row],[BatchID]])&lt;&gt;1,"n.a.",SUMIFS(TblPurchases[Purchase Date],TblPurchases[BatchID],TblOutcomes[[#This Row],[BatchID]]))</f>
        <v>45438</v>
      </c>
    </row>
    <row r="1598" spans="2:17" x14ac:dyDescent="0.25">
      <c r="B1598" s="2" t="s">
        <v>2403</v>
      </c>
      <c r="C1598" s="2" t="s">
        <v>199</v>
      </c>
      <c r="D1598" s="2" t="s">
        <v>201</v>
      </c>
      <c r="E1598" s="2" t="s">
        <v>4647</v>
      </c>
      <c r="F1598" s="2">
        <v>43</v>
      </c>
      <c r="G1598" s="2">
        <v>43</v>
      </c>
      <c r="H1598" s="2">
        <v>0</v>
      </c>
      <c r="I1598" s="1">
        <v>0</v>
      </c>
      <c r="J1598" s="26">
        <v>45544</v>
      </c>
      <c r="K1598" s="22">
        <v>64500</v>
      </c>
      <c r="L1598" s="18">
        <v>68.98</v>
      </c>
      <c r="M1598" s="22">
        <v>45150</v>
      </c>
      <c r="N1598" s="22">
        <v>19350</v>
      </c>
      <c r="O1598" s="18">
        <v>20.7</v>
      </c>
      <c r="P1598" s="52">
        <f>IF(COUNTIF(TblPurchases[BatchID],TblOutcomes[[#This Row],[BatchID]])&lt;&gt;1,"n.a.",TblOutcomes[[#This Row],[Qty Wasted]]*SUMIFS(TblPurchases[Unit Cost (CLP)],TblPurchases[BatchID],TblOutcomes[[#This Row],[BatchID]]))</f>
        <v>0</v>
      </c>
      <c r="Q1598" s="51">
        <f>IF(COUNTIF(TblPurchases[BatchID],TblOutcomes[[#This Row],[BatchID]])&lt;&gt;1,"n.a.",SUMIFS(TblPurchases[Purchase Date],TblPurchases[BatchID],TblOutcomes[[#This Row],[BatchID]]))</f>
        <v>45500</v>
      </c>
    </row>
    <row r="1599" spans="2:17" x14ac:dyDescent="0.25">
      <c r="B1599" s="2" t="s">
        <v>2404</v>
      </c>
      <c r="C1599" s="2" t="s">
        <v>199</v>
      </c>
      <c r="D1599" s="2" t="s">
        <v>201</v>
      </c>
      <c r="E1599" s="2" t="s">
        <v>4646</v>
      </c>
      <c r="F1599" s="2">
        <v>65</v>
      </c>
      <c r="G1599" s="2">
        <v>63.89</v>
      </c>
      <c r="H1599" s="2">
        <v>1.1000000000000001</v>
      </c>
      <c r="I1599" s="1">
        <v>1.7</v>
      </c>
      <c r="J1599" s="26">
        <v>46088</v>
      </c>
      <c r="K1599" s="22">
        <v>95835</v>
      </c>
      <c r="L1599" s="18">
        <v>102.5</v>
      </c>
      <c r="M1599" s="22">
        <v>68250</v>
      </c>
      <c r="N1599" s="22">
        <v>27585</v>
      </c>
      <c r="O1599" s="18">
        <v>29.5</v>
      </c>
      <c r="P1599" s="52">
        <f>IF(COUNTIF(TblPurchases[BatchID],TblOutcomes[[#This Row],[BatchID]])&lt;&gt;1,"n.a.",TblOutcomes[[#This Row],[Qty Wasted]]*SUMIFS(TblPurchases[Unit Cost (CLP)],TblPurchases[BatchID],TblOutcomes[[#This Row],[BatchID]]))</f>
        <v>1155</v>
      </c>
      <c r="Q1599" s="51">
        <f>IF(COUNTIF(TblPurchases[BatchID],TblOutcomes[[#This Row],[BatchID]])&lt;&gt;1,"n.a.",SUMIFS(TblPurchases[Purchase Date],TblPurchases[BatchID],TblOutcomes[[#This Row],[BatchID]]))</f>
        <v>45548</v>
      </c>
    </row>
    <row r="1600" spans="2:17" x14ac:dyDescent="0.25">
      <c r="B1600" s="2" t="s">
        <v>2405</v>
      </c>
      <c r="C1600" s="2" t="s">
        <v>199</v>
      </c>
      <c r="D1600" s="2" t="s">
        <v>201</v>
      </c>
      <c r="E1600" s="2" t="s">
        <v>4646</v>
      </c>
      <c r="F1600" s="2">
        <v>44</v>
      </c>
      <c r="G1600" s="2">
        <v>43.52</v>
      </c>
      <c r="H1600" s="2">
        <v>0.48</v>
      </c>
      <c r="I1600" s="1">
        <v>1.1000000000000001</v>
      </c>
      <c r="J1600" s="26">
        <v>46131</v>
      </c>
      <c r="K1600" s="22">
        <v>65280</v>
      </c>
      <c r="L1600" s="18">
        <v>69.819999999999993</v>
      </c>
      <c r="M1600" s="22">
        <v>46200</v>
      </c>
      <c r="N1600" s="22">
        <v>19080</v>
      </c>
      <c r="O1600" s="18">
        <v>20.41</v>
      </c>
      <c r="P1600" s="52">
        <f>IF(COUNTIF(TblPurchases[BatchID],TblOutcomes[[#This Row],[BatchID]])&lt;&gt;1,"n.a.",TblOutcomes[[#This Row],[Qty Wasted]]*SUMIFS(TblPurchases[Unit Cost (CLP)],TblPurchases[BatchID],TblOutcomes[[#This Row],[BatchID]]))</f>
        <v>504</v>
      </c>
      <c r="Q1600" s="51">
        <f>IF(COUNTIF(TblPurchases[BatchID],TblOutcomes[[#This Row],[BatchID]])&lt;&gt;1,"n.a.",SUMIFS(TblPurchases[Purchase Date],TblPurchases[BatchID],TblOutcomes[[#This Row],[BatchID]]))</f>
        <v>45591</v>
      </c>
    </row>
    <row r="1601" spans="2:17" x14ac:dyDescent="0.25">
      <c r="B1601" s="2" t="s">
        <v>2406</v>
      </c>
      <c r="C1601" s="2" t="s">
        <v>199</v>
      </c>
      <c r="D1601" s="2" t="s">
        <v>201</v>
      </c>
      <c r="E1601" s="2" t="s">
        <v>4646</v>
      </c>
      <c r="F1601" s="2">
        <v>64</v>
      </c>
      <c r="G1601" s="2">
        <v>63.42</v>
      </c>
      <c r="H1601" s="2">
        <v>0.57999999999999996</v>
      </c>
      <c r="I1601" s="1">
        <v>0.9</v>
      </c>
      <c r="J1601" s="26">
        <v>46194</v>
      </c>
      <c r="K1601" s="22">
        <v>95130</v>
      </c>
      <c r="L1601" s="18">
        <v>101.74</v>
      </c>
      <c r="M1601" s="22">
        <v>67200</v>
      </c>
      <c r="N1601" s="22">
        <v>27930</v>
      </c>
      <c r="O1601" s="18">
        <v>29.87</v>
      </c>
      <c r="P1601" s="52">
        <f>IF(COUNTIF(TblPurchases[BatchID],TblOutcomes[[#This Row],[BatchID]])&lt;&gt;1,"n.a.",TblOutcomes[[#This Row],[Qty Wasted]]*SUMIFS(TblPurchases[Unit Cost (CLP)],TblPurchases[BatchID],TblOutcomes[[#This Row],[BatchID]]))</f>
        <v>609</v>
      </c>
      <c r="Q1601" s="51">
        <f>IF(COUNTIF(TblPurchases[BatchID],TblOutcomes[[#This Row],[BatchID]])&lt;&gt;1,"n.a.",SUMIFS(TblPurchases[Purchase Date],TblPurchases[BatchID],TblOutcomes[[#This Row],[BatchID]]))</f>
        <v>45654</v>
      </c>
    </row>
    <row r="1602" spans="2:17" x14ac:dyDescent="0.25">
      <c r="B1602" s="2" t="s">
        <v>2407</v>
      </c>
      <c r="C1602" s="2" t="s">
        <v>199</v>
      </c>
      <c r="D1602" s="2" t="s">
        <v>201</v>
      </c>
      <c r="E1602" s="2" t="s">
        <v>4646</v>
      </c>
      <c r="F1602" s="2">
        <v>52</v>
      </c>
      <c r="G1602" s="2">
        <v>51.84</v>
      </c>
      <c r="H1602" s="2">
        <v>0.16</v>
      </c>
      <c r="I1602" s="1">
        <v>0.3</v>
      </c>
      <c r="J1602" s="26">
        <v>46242</v>
      </c>
      <c r="K1602" s="22">
        <v>77760</v>
      </c>
      <c r="L1602" s="18">
        <v>83.17</v>
      </c>
      <c r="M1602" s="22">
        <v>54600</v>
      </c>
      <c r="N1602" s="22">
        <v>23160</v>
      </c>
      <c r="O1602" s="18">
        <v>24.77</v>
      </c>
      <c r="P1602" s="52">
        <f>IF(COUNTIF(TblPurchases[BatchID],TblOutcomes[[#This Row],[BatchID]])&lt;&gt;1,"n.a.",TblOutcomes[[#This Row],[Qty Wasted]]*SUMIFS(TblPurchases[Unit Cost (CLP)],TblPurchases[BatchID],TblOutcomes[[#This Row],[BatchID]]))</f>
        <v>168</v>
      </c>
      <c r="Q1602" s="51">
        <f>IF(COUNTIF(TblPurchases[BatchID],TblOutcomes[[#This Row],[BatchID]])&lt;&gt;1,"n.a.",SUMIFS(TblPurchases[Purchase Date],TblPurchases[BatchID],TblOutcomes[[#This Row],[BatchID]]))</f>
        <v>45702</v>
      </c>
    </row>
    <row r="1603" spans="2:17" x14ac:dyDescent="0.25">
      <c r="B1603" s="2" t="s">
        <v>2408</v>
      </c>
      <c r="C1603" s="2" t="s">
        <v>199</v>
      </c>
      <c r="D1603" s="2" t="s">
        <v>201</v>
      </c>
      <c r="E1603" s="2" t="s">
        <v>4647</v>
      </c>
      <c r="F1603" s="2">
        <v>49</v>
      </c>
      <c r="G1603" s="2">
        <v>49</v>
      </c>
      <c r="H1603" s="2">
        <v>0</v>
      </c>
      <c r="I1603" s="1">
        <v>0</v>
      </c>
      <c r="J1603" s="26">
        <v>45825</v>
      </c>
      <c r="K1603" s="22">
        <v>73500</v>
      </c>
      <c r="L1603" s="18">
        <v>78.61</v>
      </c>
      <c r="M1603" s="22">
        <v>51450</v>
      </c>
      <c r="N1603" s="22">
        <v>22050</v>
      </c>
      <c r="O1603" s="18">
        <v>23.58</v>
      </c>
      <c r="P1603" s="52">
        <f>IF(COUNTIF(TblPurchases[BatchID],TblOutcomes[[#This Row],[BatchID]])&lt;&gt;1,"n.a.",TblOutcomes[[#This Row],[Qty Wasted]]*SUMIFS(TblPurchases[Unit Cost (CLP)],TblPurchases[BatchID],TblOutcomes[[#This Row],[BatchID]]))</f>
        <v>0</v>
      </c>
      <c r="Q1603" s="51">
        <f>IF(COUNTIF(TblPurchases[BatchID],TblOutcomes[[#This Row],[BatchID]])&lt;&gt;1,"n.a.",SUMIFS(TblPurchases[Purchase Date],TblPurchases[BatchID],TblOutcomes[[#This Row],[BatchID]]))</f>
        <v>45777</v>
      </c>
    </row>
    <row r="1604" spans="2:17" x14ac:dyDescent="0.25">
      <c r="B1604" s="2" t="s">
        <v>2409</v>
      </c>
      <c r="C1604" s="2" t="s">
        <v>202</v>
      </c>
      <c r="D1604" s="2" t="s">
        <v>201</v>
      </c>
      <c r="E1604" s="2" t="s">
        <v>4647</v>
      </c>
      <c r="F1604" s="2">
        <v>44</v>
      </c>
      <c r="G1604" s="2">
        <v>44</v>
      </c>
      <c r="H1604" s="2">
        <v>0</v>
      </c>
      <c r="I1604" s="1">
        <v>0</v>
      </c>
      <c r="J1604" s="26">
        <v>45176</v>
      </c>
      <c r="K1604" s="22">
        <v>66000</v>
      </c>
      <c r="L1604" s="18">
        <v>70.59</v>
      </c>
      <c r="M1604" s="22">
        <v>46200</v>
      </c>
      <c r="N1604" s="22">
        <v>19800</v>
      </c>
      <c r="O1604" s="18">
        <v>21.18</v>
      </c>
      <c r="P1604" s="52">
        <f>IF(COUNTIF(TblPurchases[BatchID],TblOutcomes[[#This Row],[BatchID]])&lt;&gt;1,"n.a.",TblOutcomes[[#This Row],[Qty Wasted]]*SUMIFS(TblPurchases[Unit Cost (CLP)],TblPurchases[BatchID],TblOutcomes[[#This Row],[BatchID]]))</f>
        <v>0</v>
      </c>
      <c r="Q1604" s="51">
        <f>IF(COUNTIF(TblPurchases[BatchID],TblOutcomes[[#This Row],[BatchID]])&lt;&gt;1,"n.a.",SUMIFS(TblPurchases[Purchase Date],TblPurchases[BatchID],TblOutcomes[[#This Row],[BatchID]]))</f>
        <v>45127</v>
      </c>
    </row>
    <row r="1605" spans="2:17" x14ac:dyDescent="0.25">
      <c r="B1605" s="2" t="s">
        <v>2410</v>
      </c>
      <c r="C1605" s="2" t="s">
        <v>202</v>
      </c>
      <c r="D1605" s="2" t="s">
        <v>201</v>
      </c>
      <c r="E1605" s="2" t="s">
        <v>4647</v>
      </c>
      <c r="F1605" s="2">
        <v>61</v>
      </c>
      <c r="G1605" s="2">
        <v>61</v>
      </c>
      <c r="H1605" s="2">
        <v>0</v>
      </c>
      <c r="I1605" s="1">
        <v>0</v>
      </c>
      <c r="J1605" s="26">
        <v>45221</v>
      </c>
      <c r="K1605" s="22">
        <v>91500</v>
      </c>
      <c r="L1605" s="18">
        <v>97.86</v>
      </c>
      <c r="M1605" s="22">
        <v>64050</v>
      </c>
      <c r="N1605" s="22">
        <v>27450</v>
      </c>
      <c r="O1605" s="18">
        <v>29.36</v>
      </c>
      <c r="P1605" s="52">
        <f>IF(COUNTIF(TblPurchases[BatchID],TblOutcomes[[#This Row],[BatchID]])&lt;&gt;1,"n.a.",TblOutcomes[[#This Row],[Qty Wasted]]*SUMIFS(TblPurchases[Unit Cost (CLP)],TblPurchases[BatchID],TblOutcomes[[#This Row],[BatchID]]))</f>
        <v>0</v>
      </c>
      <c r="Q1605" s="51">
        <f>IF(COUNTIF(TblPurchases[BatchID],TblOutcomes[[#This Row],[BatchID]])&lt;&gt;1,"n.a.",SUMIFS(TblPurchases[Purchase Date],TblPurchases[BatchID],TblOutcomes[[#This Row],[BatchID]]))</f>
        <v>45175</v>
      </c>
    </row>
    <row r="1606" spans="2:17" x14ac:dyDescent="0.25">
      <c r="B1606" s="2" t="s">
        <v>2411</v>
      </c>
      <c r="C1606" s="2" t="s">
        <v>202</v>
      </c>
      <c r="D1606" s="2" t="s">
        <v>201</v>
      </c>
      <c r="E1606" s="2" t="s">
        <v>4647</v>
      </c>
      <c r="F1606" s="2">
        <v>44</v>
      </c>
      <c r="G1606" s="2">
        <v>44</v>
      </c>
      <c r="H1606" s="2">
        <v>0</v>
      </c>
      <c r="I1606" s="1">
        <v>0</v>
      </c>
      <c r="J1606" s="26">
        <v>45314</v>
      </c>
      <c r="K1606" s="22">
        <v>66000</v>
      </c>
      <c r="L1606" s="18">
        <v>70.59</v>
      </c>
      <c r="M1606" s="22">
        <v>46200</v>
      </c>
      <c r="N1606" s="22">
        <v>19800</v>
      </c>
      <c r="O1606" s="18">
        <v>21.18</v>
      </c>
      <c r="P1606" s="52">
        <f>IF(COUNTIF(TblPurchases[BatchID],TblOutcomes[[#This Row],[BatchID]])&lt;&gt;1,"n.a.",TblOutcomes[[#This Row],[Qty Wasted]]*SUMIFS(TblPurchases[Unit Cost (CLP)],TblPurchases[BatchID],TblOutcomes[[#This Row],[BatchID]]))</f>
        <v>0</v>
      </c>
      <c r="Q1606" s="51">
        <f>IF(COUNTIF(TblPurchases[BatchID],TblOutcomes[[#This Row],[BatchID]])&lt;&gt;1,"n.a.",SUMIFS(TblPurchases[Purchase Date],TblPurchases[BatchID],TblOutcomes[[#This Row],[BatchID]]))</f>
        <v>45232</v>
      </c>
    </row>
    <row r="1607" spans="2:17" x14ac:dyDescent="0.25">
      <c r="B1607" s="2" t="s">
        <v>2412</v>
      </c>
      <c r="C1607" s="2" t="s">
        <v>202</v>
      </c>
      <c r="D1607" s="2" t="s">
        <v>201</v>
      </c>
      <c r="E1607" s="2" t="s">
        <v>4647</v>
      </c>
      <c r="F1607" s="2">
        <v>45</v>
      </c>
      <c r="G1607" s="2">
        <v>45</v>
      </c>
      <c r="H1607" s="2">
        <v>0</v>
      </c>
      <c r="I1607" s="1">
        <v>0</v>
      </c>
      <c r="J1607" s="26">
        <v>45334</v>
      </c>
      <c r="K1607" s="22">
        <v>67500</v>
      </c>
      <c r="L1607" s="18">
        <v>72.19</v>
      </c>
      <c r="M1607" s="22">
        <v>47250</v>
      </c>
      <c r="N1607" s="22">
        <v>20250</v>
      </c>
      <c r="O1607" s="18">
        <v>21.66</v>
      </c>
      <c r="P1607" s="52">
        <f>IF(COUNTIF(TblPurchases[BatchID],TblOutcomes[[#This Row],[BatchID]])&lt;&gt;1,"n.a.",TblOutcomes[[#This Row],[Qty Wasted]]*SUMIFS(TblPurchases[Unit Cost (CLP)],TblPurchases[BatchID],TblOutcomes[[#This Row],[BatchID]]))</f>
        <v>0</v>
      </c>
      <c r="Q1607" s="51">
        <f>IF(COUNTIF(TblPurchases[BatchID],TblOutcomes[[#This Row],[BatchID]])&lt;&gt;1,"n.a.",SUMIFS(TblPurchases[Purchase Date],TblPurchases[BatchID],TblOutcomes[[#This Row],[BatchID]]))</f>
        <v>45296</v>
      </c>
    </row>
    <row r="1608" spans="2:17" x14ac:dyDescent="0.25">
      <c r="B1608" s="2" t="s">
        <v>2413</v>
      </c>
      <c r="C1608" s="2" t="s">
        <v>202</v>
      </c>
      <c r="D1608" s="2" t="s">
        <v>201</v>
      </c>
      <c r="E1608" s="2" t="s">
        <v>4647</v>
      </c>
      <c r="F1608" s="2">
        <v>48</v>
      </c>
      <c r="G1608" s="2">
        <v>48</v>
      </c>
      <c r="H1608" s="2">
        <v>0</v>
      </c>
      <c r="I1608" s="1">
        <v>0</v>
      </c>
      <c r="J1608" s="26">
        <v>45397</v>
      </c>
      <c r="K1608" s="22">
        <v>72000</v>
      </c>
      <c r="L1608" s="18">
        <v>77.010000000000005</v>
      </c>
      <c r="M1608" s="22">
        <v>50400</v>
      </c>
      <c r="N1608" s="22">
        <v>21600</v>
      </c>
      <c r="O1608" s="18">
        <v>23.1</v>
      </c>
      <c r="P1608" s="52">
        <f>IF(COUNTIF(TblPurchases[BatchID],TblOutcomes[[#This Row],[BatchID]])&lt;&gt;1,"n.a.",TblOutcomes[[#This Row],[Qty Wasted]]*SUMIFS(TblPurchases[Unit Cost (CLP)],TblPurchases[BatchID],TblOutcomes[[#This Row],[BatchID]]))</f>
        <v>0</v>
      </c>
      <c r="Q1608" s="51">
        <f>IF(COUNTIF(TblPurchases[BatchID],TblOutcomes[[#This Row],[BatchID]])&lt;&gt;1,"n.a.",SUMIFS(TblPurchases[Purchase Date],TblPurchases[BatchID],TblOutcomes[[#This Row],[BatchID]]))</f>
        <v>45347</v>
      </c>
    </row>
    <row r="1609" spans="2:17" x14ac:dyDescent="0.25">
      <c r="B1609" s="2" t="s">
        <v>2414</v>
      </c>
      <c r="C1609" s="2" t="s">
        <v>202</v>
      </c>
      <c r="D1609" s="2" t="s">
        <v>201</v>
      </c>
      <c r="E1609" s="2" t="s">
        <v>4646</v>
      </c>
      <c r="F1609" s="2">
        <v>56</v>
      </c>
      <c r="G1609" s="2">
        <v>55.5</v>
      </c>
      <c r="H1609" s="2">
        <v>0.5</v>
      </c>
      <c r="I1609" s="1">
        <v>0.9</v>
      </c>
      <c r="J1609" s="26">
        <v>45938</v>
      </c>
      <c r="K1609" s="22">
        <v>83250</v>
      </c>
      <c r="L1609" s="18">
        <v>89.04</v>
      </c>
      <c r="M1609" s="22">
        <v>58800</v>
      </c>
      <c r="N1609" s="22">
        <v>24450</v>
      </c>
      <c r="O1609" s="18">
        <v>26.15</v>
      </c>
      <c r="P1609" s="52">
        <f>IF(COUNTIF(TblPurchases[BatchID],TblOutcomes[[#This Row],[BatchID]])&lt;&gt;1,"n.a.",TblOutcomes[[#This Row],[Qty Wasted]]*SUMIFS(TblPurchases[Unit Cost (CLP)],TblPurchases[BatchID],TblOutcomes[[#This Row],[BatchID]]))</f>
        <v>525</v>
      </c>
      <c r="Q1609" s="51">
        <f>IF(COUNTIF(TblPurchases[BatchID],TblOutcomes[[#This Row],[BatchID]])&lt;&gt;1,"n.a.",SUMIFS(TblPurchases[Purchase Date],TblPurchases[BatchID],TblOutcomes[[#This Row],[BatchID]]))</f>
        <v>45398</v>
      </c>
    </row>
    <row r="1610" spans="2:17" x14ac:dyDescent="0.25">
      <c r="B1610" s="2" t="s">
        <v>2415</v>
      </c>
      <c r="C1610" s="2" t="s">
        <v>202</v>
      </c>
      <c r="D1610" s="2" t="s">
        <v>201</v>
      </c>
      <c r="E1610" s="2" t="s">
        <v>4646</v>
      </c>
      <c r="F1610" s="2">
        <v>57</v>
      </c>
      <c r="G1610" s="2">
        <v>56.94</v>
      </c>
      <c r="H1610" s="2">
        <v>0.06</v>
      </c>
      <c r="I1610" s="1">
        <v>0.1</v>
      </c>
      <c r="J1610" s="26">
        <v>45979</v>
      </c>
      <c r="K1610" s="22">
        <v>85410</v>
      </c>
      <c r="L1610" s="18">
        <v>91.35</v>
      </c>
      <c r="M1610" s="22">
        <v>59850</v>
      </c>
      <c r="N1610" s="22">
        <v>25560</v>
      </c>
      <c r="O1610" s="18">
        <v>27.34</v>
      </c>
      <c r="P1610" s="52">
        <f>IF(COUNTIF(TblPurchases[BatchID],TblOutcomes[[#This Row],[BatchID]])&lt;&gt;1,"n.a.",TblOutcomes[[#This Row],[Qty Wasted]]*SUMIFS(TblPurchases[Unit Cost (CLP)],TblPurchases[BatchID],TblOutcomes[[#This Row],[BatchID]]))</f>
        <v>63</v>
      </c>
      <c r="Q1610" s="51">
        <f>IF(COUNTIF(TblPurchases[BatchID],TblOutcomes[[#This Row],[BatchID]])&lt;&gt;1,"n.a.",SUMIFS(TblPurchases[Purchase Date],TblPurchases[BatchID],TblOutcomes[[#This Row],[BatchID]]))</f>
        <v>45439</v>
      </c>
    </row>
    <row r="1611" spans="2:17" x14ac:dyDescent="0.25">
      <c r="B1611" s="2" t="s">
        <v>2416</v>
      </c>
      <c r="C1611" s="2" t="s">
        <v>202</v>
      </c>
      <c r="D1611" s="2" t="s">
        <v>201</v>
      </c>
      <c r="E1611" s="2" t="s">
        <v>4647</v>
      </c>
      <c r="F1611" s="2">
        <v>47</v>
      </c>
      <c r="G1611" s="2">
        <v>47</v>
      </c>
      <c r="H1611" s="2">
        <v>0</v>
      </c>
      <c r="I1611" s="1">
        <v>0</v>
      </c>
      <c r="J1611" s="26">
        <v>45575</v>
      </c>
      <c r="K1611" s="22">
        <v>70500</v>
      </c>
      <c r="L1611" s="18">
        <v>75.400000000000006</v>
      </c>
      <c r="M1611" s="22">
        <v>49350</v>
      </c>
      <c r="N1611" s="22">
        <v>21150</v>
      </c>
      <c r="O1611" s="18">
        <v>22.62</v>
      </c>
      <c r="P1611" s="52">
        <f>IF(COUNTIF(TblPurchases[BatchID],TblOutcomes[[#This Row],[BatchID]])&lt;&gt;1,"n.a.",TblOutcomes[[#This Row],[Qty Wasted]]*SUMIFS(TblPurchases[Unit Cost (CLP)],TblPurchases[BatchID],TblOutcomes[[#This Row],[BatchID]]))</f>
        <v>0</v>
      </c>
      <c r="Q1611" s="51">
        <f>IF(COUNTIF(TblPurchases[BatchID],TblOutcomes[[#This Row],[BatchID]])&lt;&gt;1,"n.a.",SUMIFS(TblPurchases[Purchase Date],TblPurchases[BatchID],TblOutcomes[[#This Row],[BatchID]]))</f>
        <v>45511</v>
      </c>
    </row>
    <row r="1612" spans="2:17" x14ac:dyDescent="0.25">
      <c r="B1612" s="2" t="s">
        <v>2417</v>
      </c>
      <c r="C1612" s="2" t="s">
        <v>202</v>
      </c>
      <c r="D1612" s="2" t="s">
        <v>201</v>
      </c>
      <c r="E1612" s="2" t="s">
        <v>4647</v>
      </c>
      <c r="F1612" s="2">
        <v>44</v>
      </c>
      <c r="G1612" s="2">
        <v>44</v>
      </c>
      <c r="H1612" s="2">
        <v>0</v>
      </c>
      <c r="I1612" s="1">
        <v>0</v>
      </c>
      <c r="J1612" s="26">
        <v>45600</v>
      </c>
      <c r="K1612" s="22">
        <v>66000</v>
      </c>
      <c r="L1612" s="18">
        <v>70.59</v>
      </c>
      <c r="M1612" s="22">
        <v>46200</v>
      </c>
      <c r="N1612" s="22">
        <v>19800</v>
      </c>
      <c r="O1612" s="18">
        <v>21.18</v>
      </c>
      <c r="P1612" s="52">
        <f>IF(COUNTIF(TblPurchases[BatchID],TblOutcomes[[#This Row],[BatchID]])&lt;&gt;1,"n.a.",TblOutcomes[[#This Row],[Qty Wasted]]*SUMIFS(TblPurchases[Unit Cost (CLP)],TblPurchases[BatchID],TblOutcomes[[#This Row],[BatchID]]))</f>
        <v>0</v>
      </c>
      <c r="Q1612" s="51">
        <f>IF(COUNTIF(TblPurchases[BatchID],TblOutcomes[[#This Row],[BatchID]])&lt;&gt;1,"n.a.",SUMIFS(TblPurchases[Purchase Date],TblPurchases[BatchID],TblOutcomes[[#This Row],[BatchID]]))</f>
        <v>45571</v>
      </c>
    </row>
    <row r="1613" spans="2:17" x14ac:dyDescent="0.25">
      <c r="B1613" s="2" t="s">
        <v>2418</v>
      </c>
      <c r="C1613" s="2" t="s">
        <v>202</v>
      </c>
      <c r="D1613" s="2" t="s">
        <v>201</v>
      </c>
      <c r="E1613" s="2" t="s">
        <v>4647</v>
      </c>
      <c r="F1613" s="2">
        <v>56</v>
      </c>
      <c r="G1613" s="2">
        <v>56</v>
      </c>
      <c r="H1613" s="2">
        <v>0</v>
      </c>
      <c r="I1613" s="1">
        <v>0</v>
      </c>
      <c r="J1613" s="26">
        <v>45685</v>
      </c>
      <c r="K1613" s="22">
        <v>84000</v>
      </c>
      <c r="L1613" s="18">
        <v>89.84</v>
      </c>
      <c r="M1613" s="22">
        <v>58800</v>
      </c>
      <c r="N1613" s="22">
        <v>25200</v>
      </c>
      <c r="O1613" s="18">
        <v>26.95</v>
      </c>
      <c r="P1613" s="52">
        <f>IF(COUNTIF(TblPurchases[BatchID],TblOutcomes[[#This Row],[BatchID]])&lt;&gt;1,"n.a.",TblOutcomes[[#This Row],[Qty Wasted]]*SUMIFS(TblPurchases[Unit Cost (CLP)],TblPurchases[BatchID],TblOutcomes[[#This Row],[BatchID]]))</f>
        <v>0</v>
      </c>
      <c r="Q1613" s="51">
        <f>IF(COUNTIF(TblPurchases[BatchID],TblOutcomes[[#This Row],[BatchID]])&lt;&gt;1,"n.a.",SUMIFS(TblPurchases[Purchase Date],TblPurchases[BatchID],TblOutcomes[[#This Row],[BatchID]]))</f>
        <v>45626</v>
      </c>
    </row>
    <row r="1614" spans="2:17" x14ac:dyDescent="0.25">
      <c r="B1614" s="2" t="s">
        <v>2419</v>
      </c>
      <c r="C1614" s="2" t="s">
        <v>202</v>
      </c>
      <c r="D1614" s="2" t="s">
        <v>201</v>
      </c>
      <c r="E1614" s="2" t="s">
        <v>4647</v>
      </c>
      <c r="F1614" s="2">
        <v>52</v>
      </c>
      <c r="G1614" s="2">
        <v>52</v>
      </c>
      <c r="H1614" s="2">
        <v>0</v>
      </c>
      <c r="I1614" s="1">
        <v>0</v>
      </c>
      <c r="J1614" s="26">
        <v>45768</v>
      </c>
      <c r="K1614" s="22">
        <v>78000</v>
      </c>
      <c r="L1614" s="18">
        <v>83.42</v>
      </c>
      <c r="M1614" s="22">
        <v>54600</v>
      </c>
      <c r="N1614" s="22">
        <v>23400</v>
      </c>
      <c r="O1614" s="18">
        <v>25.03</v>
      </c>
      <c r="P1614" s="52">
        <f>IF(COUNTIF(TblPurchases[BatchID],TblOutcomes[[#This Row],[BatchID]])&lt;&gt;1,"n.a.",TblOutcomes[[#This Row],[Qty Wasted]]*SUMIFS(TblPurchases[Unit Cost (CLP)],TblPurchases[BatchID],TblOutcomes[[#This Row],[BatchID]]))</f>
        <v>0</v>
      </c>
      <c r="Q1614" s="51">
        <f>IF(COUNTIF(TblPurchases[BatchID],TblOutcomes[[#This Row],[BatchID]])&lt;&gt;1,"n.a.",SUMIFS(TblPurchases[Purchase Date],TblPurchases[BatchID],TblOutcomes[[#This Row],[BatchID]]))</f>
        <v>45696</v>
      </c>
    </row>
    <row r="1615" spans="2:17" x14ac:dyDescent="0.25">
      <c r="B1615" s="2" t="s">
        <v>2420</v>
      </c>
      <c r="C1615" s="2" t="s">
        <v>202</v>
      </c>
      <c r="D1615" s="2" t="s">
        <v>201</v>
      </c>
      <c r="E1615" s="2" t="s">
        <v>4646</v>
      </c>
      <c r="F1615" s="2">
        <v>50</v>
      </c>
      <c r="G1615" s="2">
        <v>49.45</v>
      </c>
      <c r="H1615" s="2">
        <v>0.55000000000000004</v>
      </c>
      <c r="I1615" s="1">
        <v>1.1000000000000001</v>
      </c>
      <c r="J1615" s="26">
        <v>46305</v>
      </c>
      <c r="K1615" s="22">
        <v>74175</v>
      </c>
      <c r="L1615" s="18">
        <v>79.33</v>
      </c>
      <c r="M1615" s="22">
        <v>52500</v>
      </c>
      <c r="N1615" s="22">
        <v>21675</v>
      </c>
      <c r="O1615" s="18">
        <v>23.18</v>
      </c>
      <c r="P1615" s="52">
        <f>IF(COUNTIF(TblPurchases[BatchID],TblOutcomes[[#This Row],[BatchID]])&lt;&gt;1,"n.a.",TblOutcomes[[#This Row],[Qty Wasted]]*SUMIFS(TblPurchases[Unit Cost (CLP)],TblPurchases[BatchID],TblOutcomes[[#This Row],[BatchID]]))</f>
        <v>577.5</v>
      </c>
      <c r="Q1615" s="51">
        <f>IF(COUNTIF(TblPurchases[BatchID],TblOutcomes[[#This Row],[BatchID]])&lt;&gt;1,"n.a.",SUMIFS(TblPurchases[Purchase Date],TblPurchases[BatchID],TblOutcomes[[#This Row],[BatchID]]))</f>
        <v>45765</v>
      </c>
    </row>
    <row r="1616" spans="2:17" x14ac:dyDescent="0.25">
      <c r="B1616" s="2" t="s">
        <v>2421</v>
      </c>
      <c r="C1616" s="2" t="s">
        <v>202</v>
      </c>
      <c r="D1616" s="2" t="s">
        <v>201</v>
      </c>
      <c r="E1616" s="2" t="s">
        <v>4647</v>
      </c>
      <c r="F1616" s="2">
        <v>51</v>
      </c>
      <c r="G1616" s="2">
        <v>51</v>
      </c>
      <c r="H1616" s="2">
        <v>0</v>
      </c>
      <c r="I1616" s="1">
        <v>0</v>
      </c>
      <c r="J1616" s="26">
        <v>45853</v>
      </c>
      <c r="K1616" s="22">
        <v>76500</v>
      </c>
      <c r="L1616" s="18">
        <v>81.819999999999993</v>
      </c>
      <c r="M1616" s="22">
        <v>53550</v>
      </c>
      <c r="N1616" s="22">
        <v>22950</v>
      </c>
      <c r="O1616" s="18">
        <v>24.55</v>
      </c>
      <c r="P1616" s="52">
        <f>IF(COUNTIF(TblPurchases[BatchID],TblOutcomes[[#This Row],[BatchID]])&lt;&gt;1,"n.a.",TblOutcomes[[#This Row],[Qty Wasted]]*SUMIFS(TblPurchases[Unit Cost (CLP)],TblPurchases[BatchID],TblOutcomes[[#This Row],[BatchID]]))</f>
        <v>0</v>
      </c>
      <c r="Q1616" s="51">
        <f>IF(COUNTIF(TblPurchases[BatchID],TblOutcomes[[#This Row],[BatchID]])&lt;&gt;1,"n.a.",SUMIFS(TblPurchases[Purchase Date],TblPurchases[BatchID],TblOutcomes[[#This Row],[BatchID]]))</f>
        <v>45815</v>
      </c>
    </row>
    <row r="1617" spans="2:17" x14ac:dyDescent="0.25">
      <c r="B1617" s="2" t="s">
        <v>2422</v>
      </c>
      <c r="C1617" s="2" t="s">
        <v>204</v>
      </c>
      <c r="D1617" s="2" t="s">
        <v>201</v>
      </c>
      <c r="E1617" s="2" t="s">
        <v>4647</v>
      </c>
      <c r="F1617" s="2">
        <v>55</v>
      </c>
      <c r="G1617" s="2">
        <v>55</v>
      </c>
      <c r="H1617" s="2">
        <v>0</v>
      </c>
      <c r="I1617" s="1">
        <v>0</v>
      </c>
      <c r="J1617" s="26">
        <v>45201</v>
      </c>
      <c r="K1617" s="22">
        <v>55000</v>
      </c>
      <c r="L1617" s="18">
        <v>58.82</v>
      </c>
      <c r="M1617" s="22">
        <v>38500</v>
      </c>
      <c r="N1617" s="22">
        <v>16500</v>
      </c>
      <c r="O1617" s="18">
        <v>17.649999999999999</v>
      </c>
      <c r="P1617" s="52">
        <f>IF(COUNTIF(TblPurchases[BatchID],TblOutcomes[[#This Row],[BatchID]])&lt;&gt;1,"n.a.",TblOutcomes[[#This Row],[Qty Wasted]]*SUMIFS(TblPurchases[Unit Cost (CLP)],TblPurchases[BatchID],TblOutcomes[[#This Row],[BatchID]]))</f>
        <v>0</v>
      </c>
      <c r="Q1617" s="51">
        <f>IF(COUNTIF(TblPurchases[BatchID],TblOutcomes[[#This Row],[BatchID]])&lt;&gt;1,"n.a.",SUMIFS(TblPurchases[Purchase Date],TblPurchases[BatchID],TblOutcomes[[#This Row],[BatchID]]))</f>
        <v>45151</v>
      </c>
    </row>
    <row r="1618" spans="2:17" x14ac:dyDescent="0.25">
      <c r="B1618" s="2" t="s">
        <v>2423</v>
      </c>
      <c r="C1618" s="2" t="s">
        <v>204</v>
      </c>
      <c r="D1618" s="2" t="s">
        <v>201</v>
      </c>
      <c r="E1618" s="2" t="s">
        <v>4647</v>
      </c>
      <c r="F1618" s="2">
        <v>49</v>
      </c>
      <c r="G1618" s="2">
        <v>49</v>
      </c>
      <c r="H1618" s="2">
        <v>0</v>
      </c>
      <c r="I1618" s="1">
        <v>0</v>
      </c>
      <c r="J1618" s="26">
        <v>45271</v>
      </c>
      <c r="K1618" s="22">
        <v>49000</v>
      </c>
      <c r="L1618" s="18">
        <v>52.41</v>
      </c>
      <c r="M1618" s="22">
        <v>34300</v>
      </c>
      <c r="N1618" s="22">
        <v>14700</v>
      </c>
      <c r="O1618" s="18">
        <v>15.72</v>
      </c>
      <c r="P1618" s="52">
        <f>IF(COUNTIF(TblPurchases[BatchID],TblOutcomes[[#This Row],[BatchID]])&lt;&gt;1,"n.a.",TblOutcomes[[#This Row],[Qty Wasted]]*SUMIFS(TblPurchases[Unit Cost (CLP)],TblPurchases[BatchID],TblOutcomes[[#This Row],[BatchID]]))</f>
        <v>0</v>
      </c>
      <c r="Q1618" s="51">
        <f>IF(COUNTIF(TblPurchases[BatchID],TblOutcomes[[#This Row],[BatchID]])&lt;&gt;1,"n.a.",SUMIFS(TblPurchases[Purchase Date],TblPurchases[BatchID],TblOutcomes[[#This Row],[BatchID]]))</f>
        <v>45213</v>
      </c>
    </row>
    <row r="1619" spans="2:17" x14ac:dyDescent="0.25">
      <c r="B1619" s="2" t="s">
        <v>2424</v>
      </c>
      <c r="C1619" s="2" t="s">
        <v>204</v>
      </c>
      <c r="D1619" s="2" t="s">
        <v>201</v>
      </c>
      <c r="E1619" s="2" t="s">
        <v>4647</v>
      </c>
      <c r="F1619" s="2">
        <v>51</v>
      </c>
      <c r="G1619" s="2">
        <v>51</v>
      </c>
      <c r="H1619" s="2">
        <v>0</v>
      </c>
      <c r="I1619" s="1">
        <v>0</v>
      </c>
      <c r="J1619" s="26">
        <v>45312</v>
      </c>
      <c r="K1619" s="22">
        <v>51000</v>
      </c>
      <c r="L1619" s="18">
        <v>54.55</v>
      </c>
      <c r="M1619" s="22">
        <v>35700</v>
      </c>
      <c r="N1619" s="22">
        <v>15300</v>
      </c>
      <c r="O1619" s="18">
        <v>16.36</v>
      </c>
      <c r="P1619" s="52">
        <f>IF(COUNTIF(TblPurchases[BatchID],TblOutcomes[[#This Row],[BatchID]])&lt;&gt;1,"n.a.",TblOutcomes[[#This Row],[Qty Wasted]]*SUMIFS(TblPurchases[Unit Cost (CLP)],TblPurchases[BatchID],TblOutcomes[[#This Row],[BatchID]]))</f>
        <v>0</v>
      </c>
      <c r="Q1619" s="51">
        <f>IF(COUNTIF(TblPurchases[BatchID],TblOutcomes[[#This Row],[BatchID]])&lt;&gt;1,"n.a.",SUMIFS(TblPurchases[Purchase Date],TblPurchases[BatchID],TblOutcomes[[#This Row],[BatchID]]))</f>
        <v>45254</v>
      </c>
    </row>
    <row r="1620" spans="2:17" x14ac:dyDescent="0.25">
      <c r="B1620" s="2" t="s">
        <v>2425</v>
      </c>
      <c r="C1620" s="2" t="s">
        <v>204</v>
      </c>
      <c r="D1620" s="2" t="s">
        <v>201</v>
      </c>
      <c r="E1620" s="2" t="s">
        <v>4647</v>
      </c>
      <c r="F1620" s="2">
        <v>52</v>
      </c>
      <c r="G1620" s="2">
        <v>52</v>
      </c>
      <c r="H1620" s="2">
        <v>0</v>
      </c>
      <c r="I1620" s="1">
        <v>0</v>
      </c>
      <c r="J1620" s="26">
        <v>45358</v>
      </c>
      <c r="K1620" s="22">
        <v>52000</v>
      </c>
      <c r="L1620" s="18">
        <v>55.61</v>
      </c>
      <c r="M1620" s="22">
        <v>36400</v>
      </c>
      <c r="N1620" s="22">
        <v>15600</v>
      </c>
      <c r="O1620" s="18">
        <v>16.68</v>
      </c>
      <c r="P1620" s="52">
        <f>IF(COUNTIF(TblPurchases[BatchID],TblOutcomes[[#This Row],[BatchID]])&lt;&gt;1,"n.a.",TblOutcomes[[#This Row],[Qty Wasted]]*SUMIFS(TblPurchases[Unit Cost (CLP)],TblPurchases[BatchID],TblOutcomes[[#This Row],[BatchID]]))</f>
        <v>0</v>
      </c>
      <c r="Q1620" s="51">
        <f>IF(COUNTIF(TblPurchases[BatchID],TblOutcomes[[#This Row],[BatchID]])&lt;&gt;1,"n.a.",SUMIFS(TblPurchases[Purchase Date],TblPurchases[BatchID],TblOutcomes[[#This Row],[BatchID]]))</f>
        <v>45327</v>
      </c>
    </row>
    <row r="1621" spans="2:17" x14ac:dyDescent="0.25">
      <c r="B1621" s="2" t="s">
        <v>2426</v>
      </c>
      <c r="C1621" s="2" t="s">
        <v>204</v>
      </c>
      <c r="D1621" s="2" t="s">
        <v>201</v>
      </c>
      <c r="E1621" s="2" t="s">
        <v>4646</v>
      </c>
      <c r="F1621" s="2">
        <v>54</v>
      </c>
      <c r="G1621" s="2">
        <v>53.08</v>
      </c>
      <c r="H1621" s="2">
        <v>0.92</v>
      </c>
      <c r="I1621" s="1">
        <v>1.7</v>
      </c>
      <c r="J1621" s="26">
        <v>45934</v>
      </c>
      <c r="K1621" s="22">
        <v>53080</v>
      </c>
      <c r="L1621" s="18">
        <v>56.77</v>
      </c>
      <c r="M1621" s="22">
        <v>37800</v>
      </c>
      <c r="N1621" s="22">
        <v>15280</v>
      </c>
      <c r="O1621" s="18">
        <v>16.34</v>
      </c>
      <c r="P1621" s="52">
        <f>IF(COUNTIF(TblPurchases[BatchID],TblOutcomes[[#This Row],[BatchID]])&lt;&gt;1,"n.a.",TblOutcomes[[#This Row],[Qty Wasted]]*SUMIFS(TblPurchases[Unit Cost (CLP)],TblPurchases[BatchID],TblOutcomes[[#This Row],[BatchID]]))</f>
        <v>644</v>
      </c>
      <c r="Q1621" s="51">
        <f>IF(COUNTIF(TblPurchases[BatchID],TblOutcomes[[#This Row],[BatchID]])&lt;&gt;1,"n.a.",SUMIFS(TblPurchases[Purchase Date],TblPurchases[BatchID],TblOutcomes[[#This Row],[BatchID]]))</f>
        <v>45394</v>
      </c>
    </row>
    <row r="1622" spans="2:17" x14ac:dyDescent="0.25">
      <c r="B1622" s="2" t="s">
        <v>2427</v>
      </c>
      <c r="C1622" s="2" t="s">
        <v>204</v>
      </c>
      <c r="D1622" s="2" t="s">
        <v>201</v>
      </c>
      <c r="E1622" s="2" t="s">
        <v>4646</v>
      </c>
      <c r="F1622" s="2">
        <v>51</v>
      </c>
      <c r="G1622" s="2">
        <v>50.18</v>
      </c>
      <c r="H1622" s="2">
        <v>0.82</v>
      </c>
      <c r="I1622" s="1">
        <v>1.6</v>
      </c>
      <c r="J1622" s="26">
        <v>46003</v>
      </c>
      <c r="K1622" s="22">
        <v>50180</v>
      </c>
      <c r="L1622" s="18">
        <v>53.67</v>
      </c>
      <c r="M1622" s="22">
        <v>35700</v>
      </c>
      <c r="N1622" s="22">
        <v>14480</v>
      </c>
      <c r="O1622" s="18">
        <v>15.49</v>
      </c>
      <c r="P1622" s="52">
        <f>IF(COUNTIF(TblPurchases[BatchID],TblOutcomes[[#This Row],[BatchID]])&lt;&gt;1,"n.a.",TblOutcomes[[#This Row],[Qty Wasted]]*SUMIFS(TblPurchases[Unit Cost (CLP)],TblPurchases[BatchID],TblOutcomes[[#This Row],[BatchID]]))</f>
        <v>574</v>
      </c>
      <c r="Q1622" s="51">
        <f>IF(COUNTIF(TblPurchases[BatchID],TblOutcomes[[#This Row],[BatchID]])&lt;&gt;1,"n.a.",SUMIFS(TblPurchases[Purchase Date],TblPurchases[BatchID],TblOutcomes[[#This Row],[BatchID]]))</f>
        <v>45463</v>
      </c>
    </row>
    <row r="1623" spans="2:17" x14ac:dyDescent="0.25">
      <c r="B1623" s="2" t="s">
        <v>2428</v>
      </c>
      <c r="C1623" s="2" t="s">
        <v>204</v>
      </c>
      <c r="D1623" s="2" t="s">
        <v>201</v>
      </c>
      <c r="E1623" s="2" t="s">
        <v>4647</v>
      </c>
      <c r="F1623" s="2">
        <v>44</v>
      </c>
      <c r="G1623" s="2">
        <v>44</v>
      </c>
      <c r="H1623" s="2">
        <v>0</v>
      </c>
      <c r="I1623" s="1">
        <v>0</v>
      </c>
      <c r="J1623" s="26">
        <v>45588</v>
      </c>
      <c r="K1623" s="22">
        <v>44000</v>
      </c>
      <c r="L1623" s="18">
        <v>47.06</v>
      </c>
      <c r="M1623" s="22">
        <v>30800</v>
      </c>
      <c r="N1623" s="22">
        <v>13200</v>
      </c>
      <c r="O1623" s="18">
        <v>14.12</v>
      </c>
      <c r="P1623" s="52">
        <f>IF(COUNTIF(TblPurchases[BatchID],TblOutcomes[[#This Row],[BatchID]])&lt;&gt;1,"n.a.",TblOutcomes[[#This Row],[Qty Wasted]]*SUMIFS(TblPurchases[Unit Cost (CLP)],TblPurchases[BatchID],TblOutcomes[[#This Row],[BatchID]]))</f>
        <v>0</v>
      </c>
      <c r="Q1623" s="51">
        <f>IF(COUNTIF(TblPurchases[BatchID],TblOutcomes[[#This Row],[BatchID]])&lt;&gt;1,"n.a.",SUMIFS(TblPurchases[Purchase Date],TblPurchases[BatchID],TblOutcomes[[#This Row],[BatchID]]))</f>
        <v>45519</v>
      </c>
    </row>
    <row r="1624" spans="2:17" x14ac:dyDescent="0.25">
      <c r="B1624" s="2" t="s">
        <v>2429</v>
      </c>
      <c r="C1624" s="2" t="s">
        <v>204</v>
      </c>
      <c r="D1624" s="2" t="s">
        <v>201</v>
      </c>
      <c r="E1624" s="2" t="s">
        <v>4647</v>
      </c>
      <c r="F1624" s="2">
        <v>57</v>
      </c>
      <c r="G1624" s="2">
        <v>57</v>
      </c>
      <c r="H1624" s="2">
        <v>0</v>
      </c>
      <c r="I1624" s="1">
        <v>0</v>
      </c>
      <c r="J1624" s="26">
        <v>45647</v>
      </c>
      <c r="K1624" s="22">
        <v>57000</v>
      </c>
      <c r="L1624" s="18">
        <v>60.96</v>
      </c>
      <c r="M1624" s="22">
        <v>39900</v>
      </c>
      <c r="N1624" s="22">
        <v>17100</v>
      </c>
      <c r="O1624" s="18">
        <v>18.29</v>
      </c>
      <c r="P1624" s="52">
        <f>IF(COUNTIF(TblPurchases[BatchID],TblOutcomes[[#This Row],[BatchID]])&lt;&gt;1,"n.a.",TblOutcomes[[#This Row],[Qty Wasted]]*SUMIFS(TblPurchases[Unit Cost (CLP)],TblPurchases[BatchID],TblOutcomes[[#This Row],[BatchID]]))</f>
        <v>0</v>
      </c>
      <c r="Q1624" s="51">
        <f>IF(COUNTIF(TblPurchases[BatchID],TblOutcomes[[#This Row],[BatchID]])&lt;&gt;1,"n.a.",SUMIFS(TblPurchases[Purchase Date],TblPurchases[BatchID],TblOutcomes[[#This Row],[BatchID]]))</f>
        <v>45580</v>
      </c>
    </row>
    <row r="1625" spans="2:17" x14ac:dyDescent="0.25">
      <c r="B1625" s="2" t="s">
        <v>2430</v>
      </c>
      <c r="C1625" s="2" t="s">
        <v>204</v>
      </c>
      <c r="D1625" s="2" t="s">
        <v>201</v>
      </c>
      <c r="E1625" s="2" t="s">
        <v>4646</v>
      </c>
      <c r="F1625" s="2">
        <v>59</v>
      </c>
      <c r="G1625" s="2">
        <v>58.47</v>
      </c>
      <c r="H1625" s="2">
        <v>0.53</v>
      </c>
      <c r="I1625" s="1">
        <v>0.9</v>
      </c>
      <c r="J1625" s="26">
        <v>46167</v>
      </c>
      <c r="K1625" s="22">
        <v>58470</v>
      </c>
      <c r="L1625" s="18">
        <v>62.53</v>
      </c>
      <c r="M1625" s="22">
        <v>41300</v>
      </c>
      <c r="N1625" s="22">
        <v>17170</v>
      </c>
      <c r="O1625" s="18">
        <v>18.36</v>
      </c>
      <c r="P1625" s="52">
        <f>IF(COUNTIF(TblPurchases[BatchID],TblOutcomes[[#This Row],[BatchID]])&lt;&gt;1,"n.a.",TblOutcomes[[#This Row],[Qty Wasted]]*SUMIFS(TblPurchases[Unit Cost (CLP)],TblPurchases[BatchID],TblOutcomes[[#This Row],[BatchID]]))</f>
        <v>371</v>
      </c>
      <c r="Q1625" s="51">
        <f>IF(COUNTIF(TblPurchases[BatchID],TblOutcomes[[#This Row],[BatchID]])&lt;&gt;1,"n.a.",SUMIFS(TblPurchases[Purchase Date],TblPurchases[BatchID],TblOutcomes[[#This Row],[BatchID]]))</f>
        <v>45627</v>
      </c>
    </row>
    <row r="1626" spans="2:17" x14ac:dyDescent="0.25">
      <c r="B1626" s="2" t="s">
        <v>2431</v>
      </c>
      <c r="C1626" s="2" t="s">
        <v>204</v>
      </c>
      <c r="D1626" s="2" t="s">
        <v>201</v>
      </c>
      <c r="E1626" s="2" t="s">
        <v>4647</v>
      </c>
      <c r="F1626" s="2">
        <v>56</v>
      </c>
      <c r="G1626" s="2">
        <v>56</v>
      </c>
      <c r="H1626" s="2">
        <v>0</v>
      </c>
      <c r="I1626" s="1">
        <v>0</v>
      </c>
      <c r="J1626" s="26">
        <v>45735</v>
      </c>
      <c r="K1626" s="22">
        <v>56000</v>
      </c>
      <c r="L1626" s="18">
        <v>59.89</v>
      </c>
      <c r="M1626" s="22">
        <v>39200</v>
      </c>
      <c r="N1626" s="22">
        <v>16800</v>
      </c>
      <c r="O1626" s="18">
        <v>17.97</v>
      </c>
      <c r="P1626" s="52">
        <f>IF(COUNTIF(TblPurchases[BatchID],TblOutcomes[[#This Row],[BatchID]])&lt;&gt;1,"n.a.",TblOutcomes[[#This Row],[Qty Wasted]]*SUMIFS(TblPurchases[Unit Cost (CLP)],TblPurchases[BatchID],TblOutcomes[[#This Row],[BatchID]]))</f>
        <v>0</v>
      </c>
      <c r="Q1626" s="51">
        <f>IF(COUNTIF(TblPurchases[BatchID],TblOutcomes[[#This Row],[BatchID]])&lt;&gt;1,"n.a.",SUMIFS(TblPurchases[Purchase Date],TblPurchases[BatchID],TblOutcomes[[#This Row],[BatchID]]))</f>
        <v>45682</v>
      </c>
    </row>
    <row r="1627" spans="2:17" x14ac:dyDescent="0.25">
      <c r="B1627" s="2" t="s">
        <v>2432</v>
      </c>
      <c r="C1627" s="2" t="s">
        <v>204</v>
      </c>
      <c r="D1627" s="2" t="s">
        <v>201</v>
      </c>
      <c r="E1627" s="2" t="s">
        <v>4647</v>
      </c>
      <c r="F1627" s="2">
        <v>52</v>
      </c>
      <c r="G1627" s="2">
        <v>52</v>
      </c>
      <c r="H1627" s="2">
        <v>0</v>
      </c>
      <c r="I1627" s="1">
        <v>0</v>
      </c>
      <c r="J1627" s="26">
        <v>45791</v>
      </c>
      <c r="K1627" s="22">
        <v>52000</v>
      </c>
      <c r="L1627" s="18">
        <v>55.61</v>
      </c>
      <c r="M1627" s="22">
        <v>36400</v>
      </c>
      <c r="N1627" s="22">
        <v>15600</v>
      </c>
      <c r="O1627" s="18">
        <v>16.68</v>
      </c>
      <c r="P1627" s="52">
        <f>IF(COUNTIF(TblPurchases[BatchID],TblOutcomes[[#This Row],[BatchID]])&lt;&gt;1,"n.a.",TblOutcomes[[#This Row],[Qty Wasted]]*SUMIFS(TblPurchases[Unit Cost (CLP)],TblPurchases[BatchID],TblOutcomes[[#This Row],[BatchID]]))</f>
        <v>0</v>
      </c>
      <c r="Q1627" s="51">
        <f>IF(COUNTIF(TblPurchases[BatchID],TblOutcomes[[#This Row],[BatchID]])&lt;&gt;1,"n.a.",SUMIFS(TblPurchases[Purchase Date],TblPurchases[BatchID],TblOutcomes[[#This Row],[BatchID]]))</f>
        <v>45748</v>
      </c>
    </row>
    <row r="1628" spans="2:17" x14ac:dyDescent="0.25">
      <c r="B1628" s="2" t="s">
        <v>2433</v>
      </c>
      <c r="C1628" s="2" t="s">
        <v>204</v>
      </c>
      <c r="D1628" s="2" t="s">
        <v>201</v>
      </c>
      <c r="E1628" s="2" t="s">
        <v>4647</v>
      </c>
      <c r="F1628" s="2">
        <v>48</v>
      </c>
      <c r="G1628" s="2">
        <v>48</v>
      </c>
      <c r="H1628" s="2">
        <v>0</v>
      </c>
      <c r="I1628" s="1">
        <v>0</v>
      </c>
      <c r="J1628" s="26">
        <v>45829</v>
      </c>
      <c r="K1628" s="22">
        <v>48000</v>
      </c>
      <c r="L1628" s="18">
        <v>51.34</v>
      </c>
      <c r="M1628" s="22">
        <v>33600</v>
      </c>
      <c r="N1628" s="22">
        <v>14400</v>
      </c>
      <c r="O1628" s="18">
        <v>15.4</v>
      </c>
      <c r="P1628" s="52">
        <f>IF(COUNTIF(TblPurchases[BatchID],TblOutcomes[[#This Row],[BatchID]])&lt;&gt;1,"n.a.",TblOutcomes[[#This Row],[Qty Wasted]]*SUMIFS(TblPurchases[Unit Cost (CLP)],TblPurchases[BatchID],TblOutcomes[[#This Row],[BatchID]]))</f>
        <v>0</v>
      </c>
      <c r="Q1628" s="51">
        <f>IF(COUNTIF(TblPurchases[BatchID],TblOutcomes[[#This Row],[BatchID]])&lt;&gt;1,"n.a.",SUMIFS(TblPurchases[Purchase Date],TblPurchases[BatchID],TblOutcomes[[#This Row],[BatchID]]))</f>
        <v>45797</v>
      </c>
    </row>
    <row r="1629" spans="2:17" x14ac:dyDescent="0.25">
      <c r="B1629" s="2" t="s">
        <v>2434</v>
      </c>
      <c r="C1629" s="2" t="s">
        <v>206</v>
      </c>
      <c r="D1629" s="2" t="s">
        <v>201</v>
      </c>
      <c r="E1629" s="2" t="s">
        <v>4647</v>
      </c>
      <c r="F1629" s="2">
        <v>44</v>
      </c>
      <c r="G1629" s="2">
        <v>44</v>
      </c>
      <c r="H1629" s="2">
        <v>0</v>
      </c>
      <c r="I1629" s="1">
        <v>0</v>
      </c>
      <c r="J1629" s="26">
        <v>45165</v>
      </c>
      <c r="K1629" s="22">
        <v>88000</v>
      </c>
      <c r="L1629" s="18">
        <v>94.12</v>
      </c>
      <c r="M1629" s="22">
        <v>63800</v>
      </c>
      <c r="N1629" s="22">
        <v>24200</v>
      </c>
      <c r="O1629" s="18">
        <v>25.88</v>
      </c>
      <c r="P1629" s="52">
        <f>IF(COUNTIF(TblPurchases[BatchID],TblOutcomes[[#This Row],[BatchID]])&lt;&gt;1,"n.a.",TblOutcomes[[#This Row],[Qty Wasted]]*SUMIFS(TblPurchases[Unit Cost (CLP)],TblPurchases[BatchID],TblOutcomes[[#This Row],[BatchID]]))</f>
        <v>0</v>
      </c>
      <c r="Q1629" s="51">
        <f>IF(COUNTIF(TblPurchases[BatchID],TblOutcomes[[#This Row],[BatchID]])&lt;&gt;1,"n.a.",SUMIFS(TblPurchases[Purchase Date],TblPurchases[BatchID],TblOutcomes[[#This Row],[BatchID]]))</f>
        <v>45121</v>
      </c>
    </row>
    <row r="1630" spans="2:17" x14ac:dyDescent="0.25">
      <c r="B1630" s="2" t="s">
        <v>2435</v>
      </c>
      <c r="C1630" s="2" t="s">
        <v>206</v>
      </c>
      <c r="D1630" s="2" t="s">
        <v>201</v>
      </c>
      <c r="E1630" s="2" t="s">
        <v>4647</v>
      </c>
      <c r="F1630" s="2">
        <v>58</v>
      </c>
      <c r="G1630" s="2">
        <v>58</v>
      </c>
      <c r="H1630" s="2">
        <v>0</v>
      </c>
      <c r="I1630" s="1">
        <v>0</v>
      </c>
      <c r="J1630" s="26">
        <v>45229</v>
      </c>
      <c r="K1630" s="22">
        <v>116000</v>
      </c>
      <c r="L1630" s="18">
        <v>124.06</v>
      </c>
      <c r="M1630" s="22">
        <v>84100</v>
      </c>
      <c r="N1630" s="22">
        <v>31900</v>
      </c>
      <c r="O1630" s="18">
        <v>34.119999999999997</v>
      </c>
      <c r="P1630" s="52">
        <f>IF(COUNTIF(TblPurchases[BatchID],TblOutcomes[[#This Row],[BatchID]])&lt;&gt;1,"n.a.",TblOutcomes[[#This Row],[Qty Wasted]]*SUMIFS(TblPurchases[Unit Cost (CLP)],TblPurchases[BatchID],TblOutcomes[[#This Row],[BatchID]]))</f>
        <v>0</v>
      </c>
      <c r="Q1630" s="51">
        <f>IF(COUNTIF(TblPurchases[BatchID],TblOutcomes[[#This Row],[BatchID]])&lt;&gt;1,"n.a.",SUMIFS(TblPurchases[Purchase Date],TblPurchases[BatchID],TblOutcomes[[#This Row],[BatchID]]))</f>
        <v>45178</v>
      </c>
    </row>
    <row r="1631" spans="2:17" x14ac:dyDescent="0.25">
      <c r="B1631" s="2" t="s">
        <v>2436</v>
      </c>
      <c r="C1631" s="2" t="s">
        <v>206</v>
      </c>
      <c r="D1631" s="2" t="s">
        <v>201</v>
      </c>
      <c r="E1631" s="2" t="s">
        <v>4647</v>
      </c>
      <c r="F1631" s="2">
        <v>44</v>
      </c>
      <c r="G1631" s="2">
        <v>44</v>
      </c>
      <c r="H1631" s="2">
        <v>0</v>
      </c>
      <c r="I1631" s="1">
        <v>0</v>
      </c>
      <c r="J1631" s="26">
        <v>45297</v>
      </c>
      <c r="K1631" s="22">
        <v>88000</v>
      </c>
      <c r="L1631" s="18">
        <v>94.12</v>
      </c>
      <c r="M1631" s="22">
        <v>63800</v>
      </c>
      <c r="N1631" s="22">
        <v>24200</v>
      </c>
      <c r="O1631" s="18">
        <v>25.88</v>
      </c>
      <c r="P1631" s="52">
        <f>IF(COUNTIF(TblPurchases[BatchID],TblOutcomes[[#This Row],[BatchID]])&lt;&gt;1,"n.a.",TblOutcomes[[#This Row],[Qty Wasted]]*SUMIFS(TblPurchases[Unit Cost (CLP)],TblPurchases[BatchID],TblOutcomes[[#This Row],[BatchID]]))</f>
        <v>0</v>
      </c>
      <c r="Q1631" s="51">
        <f>IF(COUNTIF(TblPurchases[BatchID],TblOutcomes[[#This Row],[BatchID]])&lt;&gt;1,"n.a.",SUMIFS(TblPurchases[Purchase Date],TblPurchases[BatchID],TblOutcomes[[#This Row],[BatchID]]))</f>
        <v>45243</v>
      </c>
    </row>
    <row r="1632" spans="2:17" x14ac:dyDescent="0.25">
      <c r="B1632" s="2" t="s">
        <v>2437</v>
      </c>
      <c r="C1632" s="2" t="s">
        <v>206</v>
      </c>
      <c r="D1632" s="2" t="s">
        <v>201</v>
      </c>
      <c r="E1632" s="2" t="s">
        <v>4647</v>
      </c>
      <c r="F1632" s="2">
        <v>57</v>
      </c>
      <c r="G1632" s="2">
        <v>57</v>
      </c>
      <c r="H1632" s="2">
        <v>0</v>
      </c>
      <c r="I1632" s="1">
        <v>0</v>
      </c>
      <c r="J1632" s="26">
        <v>45350</v>
      </c>
      <c r="K1632" s="22">
        <v>114000</v>
      </c>
      <c r="L1632" s="18">
        <v>121.93</v>
      </c>
      <c r="M1632" s="22">
        <v>82650</v>
      </c>
      <c r="N1632" s="22">
        <v>31350</v>
      </c>
      <c r="O1632" s="18">
        <v>33.53</v>
      </c>
      <c r="P1632" s="52">
        <f>IF(COUNTIF(TblPurchases[BatchID],TblOutcomes[[#This Row],[BatchID]])&lt;&gt;1,"n.a.",TblOutcomes[[#This Row],[Qty Wasted]]*SUMIFS(TblPurchases[Unit Cost (CLP)],TblPurchases[BatchID],TblOutcomes[[#This Row],[BatchID]]))</f>
        <v>0</v>
      </c>
      <c r="Q1632" s="51">
        <f>IF(COUNTIF(TblPurchases[BatchID],TblOutcomes[[#This Row],[BatchID]])&lt;&gt;1,"n.a.",SUMIFS(TblPurchases[Purchase Date],TblPurchases[BatchID],TblOutcomes[[#This Row],[BatchID]]))</f>
        <v>45312</v>
      </c>
    </row>
    <row r="1633" spans="2:17" x14ac:dyDescent="0.25">
      <c r="B1633" s="2" t="s">
        <v>2438</v>
      </c>
      <c r="C1633" s="2" t="s">
        <v>206</v>
      </c>
      <c r="D1633" s="2" t="s">
        <v>201</v>
      </c>
      <c r="E1633" s="2" t="s">
        <v>4646</v>
      </c>
      <c r="F1633" s="2">
        <v>53</v>
      </c>
      <c r="G1633" s="2">
        <v>52.31</v>
      </c>
      <c r="H1633" s="2">
        <v>0.69</v>
      </c>
      <c r="I1633" s="1">
        <v>1.3</v>
      </c>
      <c r="J1633" s="26">
        <v>45905</v>
      </c>
      <c r="K1633" s="22">
        <v>104620</v>
      </c>
      <c r="L1633" s="18">
        <v>111.89</v>
      </c>
      <c r="M1633" s="22">
        <v>76850</v>
      </c>
      <c r="N1633" s="22">
        <v>27770</v>
      </c>
      <c r="O1633" s="18">
        <v>29.7</v>
      </c>
      <c r="P1633" s="52">
        <f>IF(COUNTIF(TblPurchases[BatchID],TblOutcomes[[#This Row],[BatchID]])&lt;&gt;1,"n.a.",TblOutcomes[[#This Row],[Qty Wasted]]*SUMIFS(TblPurchases[Unit Cost (CLP)],TblPurchases[BatchID],TblOutcomes[[#This Row],[BatchID]]))</f>
        <v>1000.4999999999999</v>
      </c>
      <c r="Q1633" s="51">
        <f>IF(COUNTIF(TblPurchases[BatchID],TblOutcomes[[#This Row],[BatchID]])&lt;&gt;1,"n.a.",SUMIFS(TblPurchases[Purchase Date],TblPurchases[BatchID],TblOutcomes[[#This Row],[BatchID]]))</f>
        <v>45365</v>
      </c>
    </row>
    <row r="1634" spans="2:17" x14ac:dyDescent="0.25">
      <c r="B1634" s="2" t="s">
        <v>2439</v>
      </c>
      <c r="C1634" s="2" t="s">
        <v>206</v>
      </c>
      <c r="D1634" s="2" t="s">
        <v>201</v>
      </c>
      <c r="E1634" s="2" t="s">
        <v>4647</v>
      </c>
      <c r="F1634" s="2">
        <v>44</v>
      </c>
      <c r="G1634" s="2">
        <v>44</v>
      </c>
      <c r="H1634" s="2">
        <v>0</v>
      </c>
      <c r="I1634" s="1">
        <v>0</v>
      </c>
      <c r="J1634" s="26">
        <v>45478</v>
      </c>
      <c r="K1634" s="22">
        <v>88000</v>
      </c>
      <c r="L1634" s="18">
        <v>94.12</v>
      </c>
      <c r="M1634" s="22">
        <v>59400</v>
      </c>
      <c r="N1634" s="22">
        <v>28600</v>
      </c>
      <c r="O1634" s="18">
        <v>30.59</v>
      </c>
      <c r="P1634" s="52">
        <f>IF(COUNTIF(TblPurchases[BatchID],TblOutcomes[[#This Row],[BatchID]])&lt;&gt;1,"n.a.",TblOutcomes[[#This Row],[Qty Wasted]]*SUMIFS(TblPurchases[Unit Cost (CLP)],TblPurchases[BatchID],TblOutcomes[[#This Row],[BatchID]]))</f>
        <v>0</v>
      </c>
      <c r="Q1634" s="51">
        <f>IF(COUNTIF(TblPurchases[BatchID],TblOutcomes[[#This Row],[BatchID]])&lt;&gt;1,"n.a.",SUMIFS(TblPurchases[Purchase Date],TblPurchases[BatchID],TblOutcomes[[#This Row],[BatchID]]))</f>
        <v>45439</v>
      </c>
    </row>
    <row r="1635" spans="2:17" x14ac:dyDescent="0.25">
      <c r="B1635" s="2" t="s">
        <v>2440</v>
      </c>
      <c r="C1635" s="2" t="s">
        <v>206</v>
      </c>
      <c r="D1635" s="2" t="s">
        <v>201</v>
      </c>
      <c r="E1635" s="2" t="s">
        <v>4647</v>
      </c>
      <c r="F1635" s="2">
        <v>54</v>
      </c>
      <c r="G1635" s="2">
        <v>54</v>
      </c>
      <c r="H1635" s="2">
        <v>0</v>
      </c>
      <c r="I1635" s="1">
        <v>0</v>
      </c>
      <c r="J1635" s="26">
        <v>45552</v>
      </c>
      <c r="K1635" s="22">
        <v>108000</v>
      </c>
      <c r="L1635" s="18">
        <v>115.51</v>
      </c>
      <c r="M1635" s="22">
        <v>78300</v>
      </c>
      <c r="N1635" s="22">
        <v>29700</v>
      </c>
      <c r="O1635" s="18">
        <v>31.76</v>
      </c>
      <c r="P1635" s="52">
        <f>IF(COUNTIF(TblPurchases[BatchID],TblOutcomes[[#This Row],[BatchID]])&lt;&gt;1,"n.a.",TblOutcomes[[#This Row],[Qty Wasted]]*SUMIFS(TblPurchases[Unit Cost (CLP)],TblPurchases[BatchID],TblOutcomes[[#This Row],[BatchID]]))</f>
        <v>0</v>
      </c>
      <c r="Q1635" s="51">
        <f>IF(COUNTIF(TblPurchases[BatchID],TblOutcomes[[#This Row],[BatchID]])&lt;&gt;1,"n.a.",SUMIFS(TblPurchases[Purchase Date],TblPurchases[BatchID],TblOutcomes[[#This Row],[BatchID]]))</f>
        <v>45502</v>
      </c>
    </row>
    <row r="1636" spans="2:17" x14ac:dyDescent="0.25">
      <c r="B1636" s="2" t="s">
        <v>2441</v>
      </c>
      <c r="C1636" s="2" t="s">
        <v>206</v>
      </c>
      <c r="D1636" s="2" t="s">
        <v>201</v>
      </c>
      <c r="E1636" s="2" t="s">
        <v>4647</v>
      </c>
      <c r="F1636" s="2">
        <v>59</v>
      </c>
      <c r="G1636" s="2">
        <v>59</v>
      </c>
      <c r="H1636" s="2">
        <v>0</v>
      </c>
      <c r="I1636" s="1">
        <v>0</v>
      </c>
      <c r="J1636" s="26">
        <v>45606</v>
      </c>
      <c r="K1636" s="22">
        <v>118000</v>
      </c>
      <c r="L1636" s="18">
        <v>126.2</v>
      </c>
      <c r="M1636" s="22">
        <v>85550</v>
      </c>
      <c r="N1636" s="22">
        <v>32450</v>
      </c>
      <c r="O1636" s="18">
        <v>34.71</v>
      </c>
      <c r="P1636" s="52">
        <f>IF(COUNTIF(TblPurchases[BatchID],TblOutcomes[[#This Row],[BatchID]])&lt;&gt;1,"n.a.",TblOutcomes[[#This Row],[Qty Wasted]]*SUMIFS(TblPurchases[Unit Cost (CLP)],TblPurchases[BatchID],TblOutcomes[[#This Row],[BatchID]]))</f>
        <v>0</v>
      </c>
      <c r="Q1636" s="51">
        <f>IF(COUNTIF(TblPurchases[BatchID],TblOutcomes[[#This Row],[BatchID]])&lt;&gt;1,"n.a.",SUMIFS(TblPurchases[Purchase Date],TblPurchases[BatchID],TblOutcomes[[#This Row],[BatchID]]))</f>
        <v>45557</v>
      </c>
    </row>
    <row r="1637" spans="2:17" x14ac:dyDescent="0.25">
      <c r="B1637" s="2" t="s">
        <v>2442</v>
      </c>
      <c r="C1637" s="2" t="s">
        <v>206</v>
      </c>
      <c r="D1637" s="2" t="s">
        <v>201</v>
      </c>
      <c r="E1637" s="2" t="s">
        <v>4647</v>
      </c>
      <c r="F1637" s="2">
        <v>52</v>
      </c>
      <c r="G1637" s="2">
        <v>52</v>
      </c>
      <c r="H1637" s="2">
        <v>0</v>
      </c>
      <c r="I1637" s="1">
        <v>0</v>
      </c>
      <c r="J1637" s="26">
        <v>45634</v>
      </c>
      <c r="K1637" s="22">
        <v>104000</v>
      </c>
      <c r="L1637" s="18">
        <v>111.23</v>
      </c>
      <c r="M1637" s="22">
        <v>75400</v>
      </c>
      <c r="N1637" s="22">
        <v>28600</v>
      </c>
      <c r="O1637" s="18">
        <v>30.59</v>
      </c>
      <c r="P1637" s="52">
        <f>IF(COUNTIF(TblPurchases[BatchID],TblOutcomes[[#This Row],[BatchID]])&lt;&gt;1,"n.a.",TblOutcomes[[#This Row],[Qty Wasted]]*SUMIFS(TblPurchases[Unit Cost (CLP)],TblPurchases[BatchID],TblOutcomes[[#This Row],[BatchID]]))</f>
        <v>0</v>
      </c>
      <c r="Q1637" s="51">
        <f>IF(COUNTIF(TblPurchases[BatchID],TblOutcomes[[#This Row],[BatchID]])&lt;&gt;1,"n.a.",SUMIFS(TblPurchases[Purchase Date],TblPurchases[BatchID],TblOutcomes[[#This Row],[BatchID]]))</f>
        <v>45608</v>
      </c>
    </row>
    <row r="1638" spans="2:17" x14ac:dyDescent="0.25">
      <c r="B1638" s="2" t="s">
        <v>2443</v>
      </c>
      <c r="C1638" s="2" t="s">
        <v>206</v>
      </c>
      <c r="D1638" s="2" t="s">
        <v>201</v>
      </c>
      <c r="E1638" s="2" t="s">
        <v>4647</v>
      </c>
      <c r="F1638" s="2">
        <v>53</v>
      </c>
      <c r="G1638" s="2">
        <v>53</v>
      </c>
      <c r="H1638" s="2">
        <v>0</v>
      </c>
      <c r="I1638" s="1">
        <v>0</v>
      </c>
      <c r="J1638" s="26">
        <v>45733</v>
      </c>
      <c r="K1638" s="22">
        <v>106000</v>
      </c>
      <c r="L1638" s="18">
        <v>113.37</v>
      </c>
      <c r="M1638" s="22">
        <v>71550</v>
      </c>
      <c r="N1638" s="22">
        <v>34450</v>
      </c>
      <c r="O1638" s="18">
        <v>36.840000000000003</v>
      </c>
      <c r="P1638" s="52">
        <f>IF(COUNTIF(TblPurchases[BatchID],TblOutcomes[[#This Row],[BatchID]])&lt;&gt;1,"n.a.",TblOutcomes[[#This Row],[Qty Wasted]]*SUMIFS(TblPurchases[Unit Cost (CLP)],TblPurchases[BatchID],TblOutcomes[[#This Row],[BatchID]]))</f>
        <v>0</v>
      </c>
      <c r="Q1638" s="51">
        <f>IF(COUNTIF(TblPurchases[BatchID],TblOutcomes[[#This Row],[BatchID]])&lt;&gt;1,"n.a.",SUMIFS(TblPurchases[Purchase Date],TblPurchases[BatchID],TblOutcomes[[#This Row],[BatchID]]))</f>
        <v>45675</v>
      </c>
    </row>
    <row r="1639" spans="2:17" x14ac:dyDescent="0.25">
      <c r="B1639" s="2" t="s">
        <v>2444</v>
      </c>
      <c r="C1639" s="2" t="s">
        <v>206</v>
      </c>
      <c r="D1639" s="2" t="s">
        <v>201</v>
      </c>
      <c r="E1639" s="2" t="s">
        <v>4647</v>
      </c>
      <c r="F1639" s="2">
        <v>46</v>
      </c>
      <c r="G1639" s="2">
        <v>46</v>
      </c>
      <c r="H1639" s="2">
        <v>0</v>
      </c>
      <c r="I1639" s="1">
        <v>0</v>
      </c>
      <c r="J1639" s="26">
        <v>45804</v>
      </c>
      <c r="K1639" s="22">
        <v>92000</v>
      </c>
      <c r="L1639" s="18">
        <v>98.4</v>
      </c>
      <c r="M1639" s="22">
        <v>66700</v>
      </c>
      <c r="N1639" s="22">
        <v>25300</v>
      </c>
      <c r="O1639" s="18">
        <v>27.06</v>
      </c>
      <c r="P1639" s="52">
        <f>IF(COUNTIF(TblPurchases[BatchID],TblOutcomes[[#This Row],[BatchID]])&lt;&gt;1,"n.a.",TblOutcomes[[#This Row],[Qty Wasted]]*SUMIFS(TblPurchases[Unit Cost (CLP)],TblPurchases[BatchID],TblOutcomes[[#This Row],[BatchID]]))</f>
        <v>0</v>
      </c>
      <c r="Q1639" s="51">
        <f>IF(COUNTIF(TblPurchases[BatchID],TblOutcomes[[#This Row],[BatchID]])&lt;&gt;1,"n.a.",SUMIFS(TblPurchases[Purchase Date],TblPurchases[BatchID],TblOutcomes[[#This Row],[BatchID]]))</f>
        <v>45738</v>
      </c>
    </row>
    <row r="1640" spans="2:17" x14ac:dyDescent="0.25">
      <c r="B1640" s="2" t="s">
        <v>2445</v>
      </c>
      <c r="C1640" s="2" t="s">
        <v>206</v>
      </c>
      <c r="D1640" s="2" t="s">
        <v>201</v>
      </c>
      <c r="E1640" s="2" t="s">
        <v>4646</v>
      </c>
      <c r="F1640" s="2">
        <v>55</v>
      </c>
      <c r="G1640" s="2">
        <v>54.28</v>
      </c>
      <c r="H1640" s="2">
        <v>0.71</v>
      </c>
      <c r="I1640" s="1">
        <v>1.3</v>
      </c>
      <c r="J1640" s="26">
        <v>46325</v>
      </c>
      <c r="K1640" s="22">
        <v>108560</v>
      </c>
      <c r="L1640" s="18">
        <v>116.11</v>
      </c>
      <c r="M1640" s="22">
        <v>79750</v>
      </c>
      <c r="N1640" s="22">
        <v>28810</v>
      </c>
      <c r="O1640" s="18">
        <v>30.81</v>
      </c>
      <c r="P1640" s="52">
        <f>IF(COUNTIF(TblPurchases[BatchID],TblOutcomes[[#This Row],[BatchID]])&lt;&gt;1,"n.a.",TblOutcomes[[#This Row],[Qty Wasted]]*SUMIFS(TblPurchases[Unit Cost (CLP)],TblPurchases[BatchID],TblOutcomes[[#This Row],[BatchID]]))</f>
        <v>1029.5</v>
      </c>
      <c r="Q1640" s="51">
        <f>IF(COUNTIF(TblPurchases[BatchID],TblOutcomes[[#This Row],[BatchID]])&lt;&gt;1,"n.a.",SUMIFS(TblPurchases[Purchase Date],TblPurchases[BatchID],TblOutcomes[[#This Row],[BatchID]]))</f>
        <v>45785</v>
      </c>
    </row>
    <row r="1641" spans="2:17" x14ac:dyDescent="0.25">
      <c r="B1641" s="2" t="s">
        <v>2446</v>
      </c>
      <c r="C1641" s="2" t="s">
        <v>208</v>
      </c>
      <c r="D1641" s="2" t="s">
        <v>201</v>
      </c>
      <c r="E1641" s="2" t="s">
        <v>4646</v>
      </c>
      <c r="F1641" s="2">
        <v>43</v>
      </c>
      <c r="G1641" s="2">
        <v>42.61</v>
      </c>
      <c r="H1641" s="2">
        <v>0.39</v>
      </c>
      <c r="I1641" s="1">
        <v>0.9</v>
      </c>
      <c r="J1641" s="26">
        <v>45649</v>
      </c>
      <c r="K1641" s="22">
        <v>42610</v>
      </c>
      <c r="L1641" s="18">
        <v>45.57</v>
      </c>
      <c r="M1641" s="22">
        <v>27950</v>
      </c>
      <c r="N1641" s="22">
        <v>14660</v>
      </c>
      <c r="O1641" s="18">
        <v>15.68</v>
      </c>
      <c r="P1641" s="52">
        <f>IF(COUNTIF(TblPurchases[BatchID],TblOutcomes[[#This Row],[BatchID]])&lt;&gt;1,"n.a.",TblOutcomes[[#This Row],[Qty Wasted]]*SUMIFS(TblPurchases[Unit Cost (CLP)],TblPurchases[BatchID],TblOutcomes[[#This Row],[BatchID]]))</f>
        <v>253.5</v>
      </c>
      <c r="Q1641" s="51">
        <f>IF(COUNTIF(TblPurchases[BatchID],TblOutcomes[[#This Row],[BatchID]])&lt;&gt;1,"n.a.",SUMIFS(TblPurchases[Purchase Date],TblPurchases[BatchID],TblOutcomes[[#This Row],[BatchID]]))</f>
        <v>45109</v>
      </c>
    </row>
    <row r="1642" spans="2:17" x14ac:dyDescent="0.25">
      <c r="B1642" s="2" t="s">
        <v>2447</v>
      </c>
      <c r="C1642" s="2" t="s">
        <v>208</v>
      </c>
      <c r="D1642" s="2" t="s">
        <v>201</v>
      </c>
      <c r="E1642" s="2" t="s">
        <v>4646</v>
      </c>
      <c r="F1642" s="2">
        <v>47</v>
      </c>
      <c r="G1642" s="2">
        <v>46.77</v>
      </c>
      <c r="H1642" s="2">
        <v>0.24</v>
      </c>
      <c r="I1642" s="1">
        <v>0.5</v>
      </c>
      <c r="J1642" s="26">
        <v>45706</v>
      </c>
      <c r="K1642" s="22">
        <v>46770</v>
      </c>
      <c r="L1642" s="18">
        <v>50.02</v>
      </c>
      <c r="M1642" s="22">
        <v>30550</v>
      </c>
      <c r="N1642" s="22">
        <v>16220</v>
      </c>
      <c r="O1642" s="18">
        <v>17.350000000000001</v>
      </c>
      <c r="P1642" s="52">
        <f>IF(COUNTIF(TblPurchases[BatchID],TblOutcomes[[#This Row],[BatchID]])&lt;&gt;1,"n.a.",TblOutcomes[[#This Row],[Qty Wasted]]*SUMIFS(TblPurchases[Unit Cost (CLP)],TblPurchases[BatchID],TblOutcomes[[#This Row],[BatchID]]))</f>
        <v>156</v>
      </c>
      <c r="Q1642" s="51">
        <f>IF(COUNTIF(TblPurchases[BatchID],TblOutcomes[[#This Row],[BatchID]])&lt;&gt;1,"n.a.",SUMIFS(TblPurchases[Purchase Date],TblPurchases[BatchID],TblOutcomes[[#This Row],[BatchID]]))</f>
        <v>45166</v>
      </c>
    </row>
    <row r="1643" spans="2:17" x14ac:dyDescent="0.25">
      <c r="B1643" s="2" t="s">
        <v>2448</v>
      </c>
      <c r="C1643" s="2" t="s">
        <v>208</v>
      </c>
      <c r="D1643" s="2" t="s">
        <v>201</v>
      </c>
      <c r="E1643" s="2" t="s">
        <v>4646</v>
      </c>
      <c r="F1643" s="2">
        <v>43</v>
      </c>
      <c r="G1643" s="2">
        <v>42.4</v>
      </c>
      <c r="H1643" s="2">
        <v>0.6</v>
      </c>
      <c r="I1643" s="1">
        <v>1.4</v>
      </c>
      <c r="J1643" s="26">
        <v>45750</v>
      </c>
      <c r="K1643" s="22">
        <v>42400</v>
      </c>
      <c r="L1643" s="18">
        <v>45.35</v>
      </c>
      <c r="M1643" s="22">
        <v>27950</v>
      </c>
      <c r="N1643" s="22">
        <v>14450</v>
      </c>
      <c r="O1643" s="18">
        <v>15.45</v>
      </c>
      <c r="P1643" s="52">
        <f>IF(COUNTIF(TblPurchases[BatchID],TblOutcomes[[#This Row],[BatchID]])&lt;&gt;1,"n.a.",TblOutcomes[[#This Row],[Qty Wasted]]*SUMIFS(TblPurchases[Unit Cost (CLP)],TblPurchases[BatchID],TblOutcomes[[#This Row],[BatchID]]))</f>
        <v>390</v>
      </c>
      <c r="Q1643" s="51">
        <f>IF(COUNTIF(TblPurchases[BatchID],TblOutcomes[[#This Row],[BatchID]])&lt;&gt;1,"n.a.",SUMIFS(TblPurchases[Purchase Date],TblPurchases[BatchID],TblOutcomes[[#This Row],[BatchID]]))</f>
        <v>45210</v>
      </c>
    </row>
    <row r="1644" spans="2:17" x14ac:dyDescent="0.25">
      <c r="B1644" s="2" t="s">
        <v>2449</v>
      </c>
      <c r="C1644" s="2" t="s">
        <v>208</v>
      </c>
      <c r="D1644" s="2" t="s">
        <v>201</v>
      </c>
      <c r="E1644" s="2" t="s">
        <v>4647</v>
      </c>
      <c r="F1644" s="2">
        <v>73</v>
      </c>
      <c r="G1644" s="2">
        <v>73</v>
      </c>
      <c r="H1644" s="2">
        <v>0</v>
      </c>
      <c r="I1644" s="1">
        <v>0</v>
      </c>
      <c r="J1644" s="26">
        <v>45301</v>
      </c>
      <c r="K1644" s="22">
        <v>73000</v>
      </c>
      <c r="L1644" s="18">
        <v>78.069999999999993</v>
      </c>
      <c r="M1644" s="22">
        <v>47450</v>
      </c>
      <c r="N1644" s="22">
        <v>25550</v>
      </c>
      <c r="O1644" s="18">
        <v>27.33</v>
      </c>
      <c r="P1644" s="52">
        <f>IF(COUNTIF(TblPurchases[BatchID],TblOutcomes[[#This Row],[BatchID]])&lt;&gt;1,"n.a.",TblOutcomes[[#This Row],[Qty Wasted]]*SUMIFS(TblPurchases[Unit Cost (CLP)],TblPurchases[BatchID],TblOutcomes[[#This Row],[BatchID]]))</f>
        <v>0</v>
      </c>
      <c r="Q1644" s="51">
        <f>IF(COUNTIF(TblPurchases[BatchID],TblOutcomes[[#This Row],[BatchID]])&lt;&gt;1,"n.a.",SUMIFS(TblPurchases[Purchase Date],TblPurchases[BatchID],TblOutcomes[[#This Row],[BatchID]]))</f>
        <v>45264</v>
      </c>
    </row>
    <row r="1645" spans="2:17" x14ac:dyDescent="0.25">
      <c r="B1645" s="2" t="s">
        <v>2450</v>
      </c>
      <c r="C1645" s="2" t="s">
        <v>208</v>
      </c>
      <c r="D1645" s="2" t="s">
        <v>201</v>
      </c>
      <c r="E1645" s="2" t="s">
        <v>4647</v>
      </c>
      <c r="F1645" s="2">
        <v>57</v>
      </c>
      <c r="G1645" s="2">
        <v>57</v>
      </c>
      <c r="H1645" s="2">
        <v>0</v>
      </c>
      <c r="I1645" s="1">
        <v>0</v>
      </c>
      <c r="J1645" s="26">
        <v>45386</v>
      </c>
      <c r="K1645" s="22">
        <v>57000</v>
      </c>
      <c r="L1645" s="18">
        <v>60.96</v>
      </c>
      <c r="M1645" s="22">
        <v>37050</v>
      </c>
      <c r="N1645" s="22">
        <v>19950</v>
      </c>
      <c r="O1645" s="18">
        <v>21.34</v>
      </c>
      <c r="P1645" s="52">
        <f>IF(COUNTIF(TblPurchases[BatchID],TblOutcomes[[#This Row],[BatchID]])&lt;&gt;1,"n.a.",TblOutcomes[[#This Row],[Qty Wasted]]*SUMIFS(TblPurchases[Unit Cost (CLP)],TblPurchases[BatchID],TblOutcomes[[#This Row],[BatchID]]))</f>
        <v>0</v>
      </c>
      <c r="Q1645" s="51">
        <f>IF(COUNTIF(TblPurchases[BatchID],TblOutcomes[[#This Row],[BatchID]])&lt;&gt;1,"n.a.",SUMIFS(TblPurchases[Purchase Date],TblPurchases[BatchID],TblOutcomes[[#This Row],[BatchID]]))</f>
        <v>45323</v>
      </c>
    </row>
    <row r="1646" spans="2:17" x14ac:dyDescent="0.25">
      <c r="B1646" s="2" t="s">
        <v>2451</v>
      </c>
      <c r="C1646" s="2" t="s">
        <v>208</v>
      </c>
      <c r="D1646" s="2" t="s">
        <v>201</v>
      </c>
      <c r="E1646" s="2" t="s">
        <v>4647</v>
      </c>
      <c r="F1646" s="2">
        <v>51</v>
      </c>
      <c r="G1646" s="2">
        <v>51</v>
      </c>
      <c r="H1646" s="2">
        <v>0</v>
      </c>
      <c r="I1646" s="1">
        <v>0</v>
      </c>
      <c r="J1646" s="26">
        <v>45423</v>
      </c>
      <c r="K1646" s="22">
        <v>51000</v>
      </c>
      <c r="L1646" s="18">
        <v>54.55</v>
      </c>
      <c r="M1646" s="22">
        <v>33150</v>
      </c>
      <c r="N1646" s="22">
        <v>17850</v>
      </c>
      <c r="O1646" s="18">
        <v>19.09</v>
      </c>
      <c r="P1646" s="52">
        <f>IF(COUNTIF(TblPurchases[BatchID],TblOutcomes[[#This Row],[BatchID]])&lt;&gt;1,"n.a.",TblOutcomes[[#This Row],[Qty Wasted]]*SUMIFS(TblPurchases[Unit Cost (CLP)],TblPurchases[BatchID],TblOutcomes[[#This Row],[BatchID]]))</f>
        <v>0</v>
      </c>
      <c r="Q1646" s="51">
        <f>IF(COUNTIF(TblPurchases[BatchID],TblOutcomes[[#This Row],[BatchID]])&lt;&gt;1,"n.a.",SUMIFS(TblPurchases[Purchase Date],TblPurchases[BatchID],TblOutcomes[[#This Row],[BatchID]]))</f>
        <v>45370</v>
      </c>
    </row>
    <row r="1647" spans="2:17" x14ac:dyDescent="0.25">
      <c r="B1647" s="2" t="s">
        <v>2452</v>
      </c>
      <c r="C1647" s="2" t="s">
        <v>208</v>
      </c>
      <c r="D1647" s="2" t="s">
        <v>201</v>
      </c>
      <c r="E1647" s="2" t="s">
        <v>4647</v>
      </c>
      <c r="F1647" s="2">
        <v>50</v>
      </c>
      <c r="G1647" s="2">
        <v>50</v>
      </c>
      <c r="H1647" s="2">
        <v>0</v>
      </c>
      <c r="I1647" s="1">
        <v>0</v>
      </c>
      <c r="J1647" s="26">
        <v>45459</v>
      </c>
      <c r="K1647" s="22">
        <v>50000</v>
      </c>
      <c r="L1647" s="18">
        <v>53.48</v>
      </c>
      <c r="M1647" s="22">
        <v>32500</v>
      </c>
      <c r="N1647" s="22">
        <v>17500</v>
      </c>
      <c r="O1647" s="18">
        <v>18.72</v>
      </c>
      <c r="P1647" s="52">
        <f>IF(COUNTIF(TblPurchases[BatchID],TblOutcomes[[#This Row],[BatchID]])&lt;&gt;1,"n.a.",TblOutcomes[[#This Row],[Qty Wasted]]*SUMIFS(TblPurchases[Unit Cost (CLP)],TblPurchases[BatchID],TblOutcomes[[#This Row],[BatchID]]))</f>
        <v>0</v>
      </c>
      <c r="Q1647" s="51">
        <f>IF(COUNTIF(TblPurchases[BatchID],TblOutcomes[[#This Row],[BatchID]])&lt;&gt;1,"n.a.",SUMIFS(TblPurchases[Purchase Date],TblPurchases[BatchID],TblOutcomes[[#This Row],[BatchID]]))</f>
        <v>45441</v>
      </c>
    </row>
    <row r="1648" spans="2:17" x14ac:dyDescent="0.25">
      <c r="B1648" s="2" t="s">
        <v>2453</v>
      </c>
      <c r="C1648" s="2" t="s">
        <v>208</v>
      </c>
      <c r="D1648" s="2" t="s">
        <v>201</v>
      </c>
      <c r="E1648" s="2" t="s">
        <v>4646</v>
      </c>
      <c r="F1648" s="2">
        <v>57</v>
      </c>
      <c r="G1648" s="2">
        <v>56.14</v>
      </c>
      <c r="H1648" s="2">
        <v>0.85</v>
      </c>
      <c r="I1648" s="1">
        <v>1.5</v>
      </c>
      <c r="J1648" s="26">
        <v>46036</v>
      </c>
      <c r="K1648" s="22">
        <v>56140</v>
      </c>
      <c r="L1648" s="18">
        <v>60.04</v>
      </c>
      <c r="M1648" s="22">
        <v>37050</v>
      </c>
      <c r="N1648" s="22">
        <v>19090</v>
      </c>
      <c r="O1648" s="18">
        <v>20.420000000000002</v>
      </c>
      <c r="P1648" s="52">
        <f>IF(COUNTIF(TblPurchases[BatchID],TblOutcomes[[#This Row],[BatchID]])&lt;&gt;1,"n.a.",TblOutcomes[[#This Row],[Qty Wasted]]*SUMIFS(TblPurchases[Unit Cost (CLP)],TblPurchases[BatchID],TblOutcomes[[#This Row],[BatchID]]))</f>
        <v>552.5</v>
      </c>
      <c r="Q1648" s="51">
        <f>IF(COUNTIF(TblPurchases[BatchID],TblOutcomes[[#This Row],[BatchID]])&lt;&gt;1,"n.a.",SUMIFS(TblPurchases[Purchase Date],TblPurchases[BatchID],TblOutcomes[[#This Row],[BatchID]]))</f>
        <v>45496</v>
      </c>
    </row>
    <row r="1649" spans="2:17" x14ac:dyDescent="0.25">
      <c r="B1649" s="2" t="s">
        <v>2454</v>
      </c>
      <c r="C1649" s="2" t="s">
        <v>208</v>
      </c>
      <c r="D1649" s="2" t="s">
        <v>201</v>
      </c>
      <c r="E1649" s="2" t="s">
        <v>4646</v>
      </c>
      <c r="F1649" s="2">
        <v>66</v>
      </c>
      <c r="G1649" s="2">
        <v>65.34</v>
      </c>
      <c r="H1649" s="2">
        <v>0.66</v>
      </c>
      <c r="I1649" s="1">
        <v>1</v>
      </c>
      <c r="J1649" s="26">
        <v>46096</v>
      </c>
      <c r="K1649" s="22">
        <v>65340</v>
      </c>
      <c r="L1649" s="18">
        <v>69.88</v>
      </c>
      <c r="M1649" s="22">
        <v>42900</v>
      </c>
      <c r="N1649" s="22">
        <v>22440</v>
      </c>
      <c r="O1649" s="18">
        <v>24</v>
      </c>
      <c r="P1649" s="52">
        <f>IF(COUNTIF(TblPurchases[BatchID],TblOutcomes[[#This Row],[BatchID]])&lt;&gt;1,"n.a.",TblOutcomes[[#This Row],[Qty Wasted]]*SUMIFS(TblPurchases[Unit Cost (CLP)],TblPurchases[BatchID],TblOutcomes[[#This Row],[BatchID]]))</f>
        <v>429</v>
      </c>
      <c r="Q1649" s="51">
        <f>IF(COUNTIF(TblPurchases[BatchID],TblOutcomes[[#This Row],[BatchID]])&lt;&gt;1,"n.a.",SUMIFS(TblPurchases[Purchase Date],TblPurchases[BatchID],TblOutcomes[[#This Row],[BatchID]]))</f>
        <v>45556</v>
      </c>
    </row>
    <row r="1650" spans="2:17" x14ac:dyDescent="0.25">
      <c r="B1650" s="2" t="s">
        <v>2455</v>
      </c>
      <c r="C1650" s="2" t="s">
        <v>208</v>
      </c>
      <c r="D1650" s="2" t="s">
        <v>201</v>
      </c>
      <c r="E1650" s="2" t="s">
        <v>4646</v>
      </c>
      <c r="F1650" s="2">
        <v>57</v>
      </c>
      <c r="G1650" s="2">
        <v>56.14</v>
      </c>
      <c r="H1650" s="2">
        <v>0.85</v>
      </c>
      <c r="I1650" s="1">
        <v>1.5</v>
      </c>
      <c r="J1650" s="26">
        <v>46148</v>
      </c>
      <c r="K1650" s="22">
        <v>56140</v>
      </c>
      <c r="L1650" s="18">
        <v>60.04</v>
      </c>
      <c r="M1650" s="22">
        <v>37050</v>
      </c>
      <c r="N1650" s="22">
        <v>19090</v>
      </c>
      <c r="O1650" s="18">
        <v>20.420000000000002</v>
      </c>
      <c r="P1650" s="52">
        <f>IF(COUNTIF(TblPurchases[BatchID],TblOutcomes[[#This Row],[BatchID]])&lt;&gt;1,"n.a.",TblOutcomes[[#This Row],[Qty Wasted]]*SUMIFS(TblPurchases[Unit Cost (CLP)],TblPurchases[BatchID],TblOutcomes[[#This Row],[BatchID]]))</f>
        <v>552.5</v>
      </c>
      <c r="Q1650" s="51">
        <f>IF(COUNTIF(TblPurchases[BatchID],TblOutcomes[[#This Row],[BatchID]])&lt;&gt;1,"n.a.",SUMIFS(TblPurchases[Purchase Date],TblPurchases[BatchID],TblOutcomes[[#This Row],[BatchID]]))</f>
        <v>45608</v>
      </c>
    </row>
    <row r="1651" spans="2:17" x14ac:dyDescent="0.25">
      <c r="B1651" s="2" t="s">
        <v>2456</v>
      </c>
      <c r="C1651" s="2" t="s">
        <v>208</v>
      </c>
      <c r="D1651" s="2" t="s">
        <v>201</v>
      </c>
      <c r="E1651" s="2" t="s">
        <v>4646</v>
      </c>
      <c r="F1651" s="2">
        <v>58</v>
      </c>
      <c r="G1651" s="2">
        <v>57.25</v>
      </c>
      <c r="H1651" s="2">
        <v>0.75</v>
      </c>
      <c r="I1651" s="1">
        <v>1.3</v>
      </c>
      <c r="J1651" s="26">
        <v>46189</v>
      </c>
      <c r="K1651" s="22">
        <v>57250</v>
      </c>
      <c r="L1651" s="18">
        <v>61.23</v>
      </c>
      <c r="M1651" s="22">
        <v>37700</v>
      </c>
      <c r="N1651" s="22">
        <v>19550</v>
      </c>
      <c r="O1651" s="18">
        <v>20.91</v>
      </c>
      <c r="P1651" s="52">
        <f>IF(COUNTIF(TblPurchases[BatchID],TblOutcomes[[#This Row],[BatchID]])&lt;&gt;1,"n.a.",TblOutcomes[[#This Row],[Qty Wasted]]*SUMIFS(TblPurchases[Unit Cost (CLP)],TblPurchases[BatchID],TblOutcomes[[#This Row],[BatchID]]))</f>
        <v>487.5</v>
      </c>
      <c r="Q1651" s="51">
        <f>IF(COUNTIF(TblPurchases[BatchID],TblOutcomes[[#This Row],[BatchID]])&lt;&gt;1,"n.a.",SUMIFS(TblPurchases[Purchase Date],TblPurchases[BatchID],TblOutcomes[[#This Row],[BatchID]]))</f>
        <v>45649</v>
      </c>
    </row>
    <row r="1652" spans="2:17" x14ac:dyDescent="0.25">
      <c r="B1652" s="2" t="s">
        <v>2457</v>
      </c>
      <c r="C1652" s="2" t="s">
        <v>208</v>
      </c>
      <c r="D1652" s="2" t="s">
        <v>201</v>
      </c>
      <c r="E1652" s="2" t="s">
        <v>4647</v>
      </c>
      <c r="F1652" s="2">
        <v>49</v>
      </c>
      <c r="G1652" s="2">
        <v>49</v>
      </c>
      <c r="H1652" s="2">
        <v>0</v>
      </c>
      <c r="I1652" s="1">
        <v>0</v>
      </c>
      <c r="J1652" s="26">
        <v>45784</v>
      </c>
      <c r="K1652" s="22">
        <v>49000</v>
      </c>
      <c r="L1652" s="18">
        <v>52.41</v>
      </c>
      <c r="M1652" s="22">
        <v>31850</v>
      </c>
      <c r="N1652" s="22">
        <v>17150</v>
      </c>
      <c r="O1652" s="18">
        <v>18.34</v>
      </c>
      <c r="P1652" s="52">
        <f>IF(COUNTIF(TblPurchases[BatchID],TblOutcomes[[#This Row],[BatchID]])&lt;&gt;1,"n.a.",TblOutcomes[[#This Row],[Qty Wasted]]*SUMIFS(TblPurchases[Unit Cost (CLP)],TblPurchases[BatchID],TblOutcomes[[#This Row],[BatchID]]))</f>
        <v>0</v>
      </c>
      <c r="Q1652" s="51">
        <f>IF(COUNTIF(TblPurchases[BatchID],TblOutcomes[[#This Row],[BatchID]])&lt;&gt;1,"n.a.",SUMIFS(TblPurchases[Purchase Date],TblPurchases[BatchID],TblOutcomes[[#This Row],[BatchID]]))</f>
        <v>45704</v>
      </c>
    </row>
    <row r="1653" spans="2:17" x14ac:dyDescent="0.25">
      <c r="B1653" s="2" t="s">
        <v>2458</v>
      </c>
      <c r="C1653" s="2" t="s">
        <v>208</v>
      </c>
      <c r="D1653" s="2" t="s">
        <v>201</v>
      </c>
      <c r="E1653" s="2" t="s">
        <v>4647</v>
      </c>
      <c r="F1653" s="2">
        <v>50</v>
      </c>
      <c r="G1653" s="2">
        <v>50</v>
      </c>
      <c r="H1653" s="2">
        <v>0</v>
      </c>
      <c r="I1653" s="1">
        <v>0</v>
      </c>
      <c r="J1653" s="26">
        <v>45787</v>
      </c>
      <c r="K1653" s="22">
        <v>50000</v>
      </c>
      <c r="L1653" s="18">
        <v>53.48</v>
      </c>
      <c r="M1653" s="22">
        <v>32500</v>
      </c>
      <c r="N1653" s="22">
        <v>17500</v>
      </c>
      <c r="O1653" s="18">
        <v>18.72</v>
      </c>
      <c r="P1653" s="52">
        <f>IF(COUNTIF(TblPurchases[BatchID],TblOutcomes[[#This Row],[BatchID]])&lt;&gt;1,"n.a.",TblOutcomes[[#This Row],[Qty Wasted]]*SUMIFS(TblPurchases[Unit Cost (CLP)],TblPurchases[BatchID],TblOutcomes[[#This Row],[BatchID]]))</f>
        <v>0</v>
      </c>
      <c r="Q1653" s="51">
        <f>IF(COUNTIF(TblPurchases[BatchID],TblOutcomes[[#This Row],[BatchID]])&lt;&gt;1,"n.a.",SUMIFS(TblPurchases[Purchase Date],TblPurchases[BatchID],TblOutcomes[[#This Row],[BatchID]]))</f>
        <v>45759</v>
      </c>
    </row>
    <row r="1654" spans="2:17" x14ac:dyDescent="0.25">
      <c r="B1654" s="2" t="s">
        <v>2459</v>
      </c>
      <c r="C1654" s="2" t="s">
        <v>208</v>
      </c>
      <c r="D1654" s="2" t="s">
        <v>201</v>
      </c>
      <c r="E1654" s="2" t="s">
        <v>4647</v>
      </c>
      <c r="F1654" s="2">
        <v>51</v>
      </c>
      <c r="G1654" s="2">
        <v>51</v>
      </c>
      <c r="H1654" s="2">
        <v>0</v>
      </c>
      <c r="I1654" s="1">
        <v>0</v>
      </c>
      <c r="J1654" s="26">
        <v>45840</v>
      </c>
      <c r="K1654" s="22">
        <v>51000</v>
      </c>
      <c r="L1654" s="18">
        <v>54.55</v>
      </c>
      <c r="M1654" s="22">
        <v>33150</v>
      </c>
      <c r="N1654" s="22">
        <v>17850</v>
      </c>
      <c r="O1654" s="18">
        <v>19.09</v>
      </c>
      <c r="P1654" s="52">
        <f>IF(COUNTIF(TblPurchases[BatchID],TblOutcomes[[#This Row],[BatchID]])&lt;&gt;1,"n.a.",TblOutcomes[[#This Row],[Qty Wasted]]*SUMIFS(TblPurchases[Unit Cost (CLP)],TblPurchases[BatchID],TblOutcomes[[#This Row],[BatchID]]))</f>
        <v>0</v>
      </c>
      <c r="Q1654" s="51">
        <f>IF(COUNTIF(TblPurchases[BatchID],TblOutcomes[[#This Row],[BatchID]])&lt;&gt;1,"n.a.",SUMIFS(TblPurchases[Purchase Date],TblPurchases[BatchID],TblOutcomes[[#This Row],[BatchID]]))</f>
        <v>45827</v>
      </c>
    </row>
    <row r="1655" spans="2:17" x14ac:dyDescent="0.25">
      <c r="B1655" s="2" t="s">
        <v>2460</v>
      </c>
      <c r="C1655" s="2" t="s">
        <v>210</v>
      </c>
      <c r="D1655" s="2" t="s">
        <v>201</v>
      </c>
      <c r="E1655" s="2" t="s">
        <v>4646</v>
      </c>
      <c r="F1655" s="2">
        <v>50</v>
      </c>
      <c r="G1655" s="2">
        <v>49.35</v>
      </c>
      <c r="H1655" s="2">
        <v>0.65</v>
      </c>
      <c r="I1655" s="1">
        <v>1.3</v>
      </c>
      <c r="J1655" s="26">
        <v>45685</v>
      </c>
      <c r="K1655" s="22">
        <v>74025</v>
      </c>
      <c r="L1655" s="18">
        <v>79.17</v>
      </c>
      <c r="M1655" s="22">
        <v>52500</v>
      </c>
      <c r="N1655" s="22">
        <v>21525</v>
      </c>
      <c r="O1655" s="18">
        <v>23.02</v>
      </c>
      <c r="P1655" s="52">
        <f>IF(COUNTIF(TblPurchases[BatchID],TblOutcomes[[#This Row],[BatchID]])&lt;&gt;1,"n.a.",TblOutcomes[[#This Row],[Qty Wasted]]*SUMIFS(TblPurchases[Unit Cost (CLP)],TblPurchases[BatchID],TblOutcomes[[#This Row],[BatchID]]))</f>
        <v>682.5</v>
      </c>
      <c r="Q1655" s="51">
        <f>IF(COUNTIF(TblPurchases[BatchID],TblOutcomes[[#This Row],[BatchID]])&lt;&gt;1,"n.a.",SUMIFS(TblPurchases[Purchase Date],TblPurchases[BatchID],TblOutcomes[[#This Row],[BatchID]]))</f>
        <v>45145</v>
      </c>
    </row>
    <row r="1656" spans="2:17" x14ac:dyDescent="0.25">
      <c r="B1656" s="2" t="s">
        <v>2461</v>
      </c>
      <c r="C1656" s="2" t="s">
        <v>210</v>
      </c>
      <c r="D1656" s="2" t="s">
        <v>201</v>
      </c>
      <c r="E1656" s="2" t="s">
        <v>4647</v>
      </c>
      <c r="F1656" s="2">
        <v>54</v>
      </c>
      <c r="G1656" s="2">
        <v>54</v>
      </c>
      <c r="H1656" s="2">
        <v>0</v>
      </c>
      <c r="I1656" s="1">
        <v>0</v>
      </c>
      <c r="J1656" s="26">
        <v>45286</v>
      </c>
      <c r="K1656" s="22">
        <v>81000</v>
      </c>
      <c r="L1656" s="18">
        <v>86.63</v>
      </c>
      <c r="M1656" s="22">
        <v>56700</v>
      </c>
      <c r="N1656" s="22">
        <v>24300</v>
      </c>
      <c r="O1656" s="18">
        <v>25.99</v>
      </c>
      <c r="P1656" s="52">
        <f>IF(COUNTIF(TblPurchases[BatchID],TblOutcomes[[#This Row],[BatchID]])&lt;&gt;1,"n.a.",TblOutcomes[[#This Row],[Qty Wasted]]*SUMIFS(TblPurchases[Unit Cost (CLP)],TblPurchases[BatchID],TblOutcomes[[#This Row],[BatchID]]))</f>
        <v>0</v>
      </c>
      <c r="Q1656" s="51">
        <f>IF(COUNTIF(TblPurchases[BatchID],TblOutcomes[[#This Row],[BatchID]])&lt;&gt;1,"n.a.",SUMIFS(TblPurchases[Purchase Date],TblPurchases[BatchID],TblOutcomes[[#This Row],[BatchID]]))</f>
        <v>45207</v>
      </c>
    </row>
    <row r="1657" spans="2:17" x14ac:dyDescent="0.25">
      <c r="B1657" s="2" t="s">
        <v>2462</v>
      </c>
      <c r="C1657" s="2" t="s">
        <v>210</v>
      </c>
      <c r="D1657" s="2" t="s">
        <v>201</v>
      </c>
      <c r="E1657" s="2" t="s">
        <v>4647</v>
      </c>
      <c r="F1657" s="2">
        <v>67</v>
      </c>
      <c r="G1657" s="2">
        <v>67</v>
      </c>
      <c r="H1657" s="2">
        <v>0</v>
      </c>
      <c r="I1657" s="1">
        <v>0</v>
      </c>
      <c r="J1657" s="26">
        <v>45319</v>
      </c>
      <c r="K1657" s="22">
        <v>100500</v>
      </c>
      <c r="L1657" s="18">
        <v>107.49</v>
      </c>
      <c r="M1657" s="22">
        <v>70350</v>
      </c>
      <c r="N1657" s="22">
        <v>30150</v>
      </c>
      <c r="O1657" s="18">
        <v>32.25</v>
      </c>
      <c r="P1657" s="52">
        <f>IF(COUNTIF(TblPurchases[BatchID],TblOutcomes[[#This Row],[BatchID]])&lt;&gt;1,"n.a.",TblOutcomes[[#This Row],[Qty Wasted]]*SUMIFS(TblPurchases[Unit Cost (CLP)],TblPurchases[BatchID],TblOutcomes[[#This Row],[BatchID]]))</f>
        <v>0</v>
      </c>
      <c r="Q1657" s="51">
        <f>IF(COUNTIF(TblPurchases[BatchID],TblOutcomes[[#This Row],[BatchID]])&lt;&gt;1,"n.a.",SUMIFS(TblPurchases[Purchase Date],TblPurchases[BatchID],TblOutcomes[[#This Row],[BatchID]]))</f>
        <v>45275</v>
      </c>
    </row>
    <row r="1658" spans="2:17" x14ac:dyDescent="0.25">
      <c r="B1658" s="2" t="s">
        <v>2463</v>
      </c>
      <c r="C1658" s="2" t="s">
        <v>210</v>
      </c>
      <c r="D1658" s="2" t="s">
        <v>201</v>
      </c>
      <c r="E1658" s="2" t="s">
        <v>4646</v>
      </c>
      <c r="F1658" s="2">
        <v>48</v>
      </c>
      <c r="G1658" s="2">
        <v>47.47</v>
      </c>
      <c r="H1658" s="2">
        <v>0.53</v>
      </c>
      <c r="I1658" s="1">
        <v>1.1000000000000001</v>
      </c>
      <c r="J1658" s="26">
        <v>45878</v>
      </c>
      <c r="K1658" s="22">
        <v>71205</v>
      </c>
      <c r="L1658" s="18">
        <v>76.16</v>
      </c>
      <c r="M1658" s="22">
        <v>50400</v>
      </c>
      <c r="N1658" s="22">
        <v>20805</v>
      </c>
      <c r="O1658" s="18">
        <v>22.25</v>
      </c>
      <c r="P1658" s="52">
        <f>IF(COUNTIF(TblPurchases[BatchID],TblOutcomes[[#This Row],[BatchID]])&lt;&gt;1,"n.a.",TblOutcomes[[#This Row],[Qty Wasted]]*SUMIFS(TblPurchases[Unit Cost (CLP)],TblPurchases[BatchID],TblOutcomes[[#This Row],[BatchID]]))</f>
        <v>556.5</v>
      </c>
      <c r="Q1658" s="51">
        <f>IF(COUNTIF(TblPurchases[BatchID],TblOutcomes[[#This Row],[BatchID]])&lt;&gt;1,"n.a.",SUMIFS(TblPurchases[Purchase Date],TblPurchases[BatchID],TblOutcomes[[#This Row],[BatchID]]))</f>
        <v>45338</v>
      </c>
    </row>
    <row r="1659" spans="2:17" x14ac:dyDescent="0.25">
      <c r="B1659" s="2" t="s">
        <v>2464</v>
      </c>
      <c r="C1659" s="2" t="s">
        <v>210</v>
      </c>
      <c r="D1659" s="2" t="s">
        <v>201</v>
      </c>
      <c r="E1659" s="2" t="s">
        <v>4646</v>
      </c>
      <c r="F1659" s="2">
        <v>45</v>
      </c>
      <c r="G1659" s="2">
        <v>44.69</v>
      </c>
      <c r="H1659" s="2">
        <v>0.32</v>
      </c>
      <c r="I1659" s="1">
        <v>0.7</v>
      </c>
      <c r="J1659" s="26">
        <v>45944</v>
      </c>
      <c r="K1659" s="22">
        <v>67035</v>
      </c>
      <c r="L1659" s="18">
        <v>71.7</v>
      </c>
      <c r="M1659" s="22">
        <v>47250</v>
      </c>
      <c r="N1659" s="22">
        <v>19785</v>
      </c>
      <c r="O1659" s="18">
        <v>21.16</v>
      </c>
      <c r="P1659" s="52">
        <f>IF(COUNTIF(TblPurchases[BatchID],TblOutcomes[[#This Row],[BatchID]])&lt;&gt;1,"n.a.",TblOutcomes[[#This Row],[Qty Wasted]]*SUMIFS(TblPurchases[Unit Cost (CLP)],TblPurchases[BatchID],TblOutcomes[[#This Row],[BatchID]]))</f>
        <v>336</v>
      </c>
      <c r="Q1659" s="51">
        <f>IF(COUNTIF(TblPurchases[BatchID],TblOutcomes[[#This Row],[BatchID]])&lt;&gt;1,"n.a.",SUMIFS(TblPurchases[Purchase Date],TblPurchases[BatchID],TblOutcomes[[#This Row],[BatchID]]))</f>
        <v>45404</v>
      </c>
    </row>
    <row r="1660" spans="2:17" x14ac:dyDescent="0.25">
      <c r="B1660" s="2" t="s">
        <v>2465</v>
      </c>
      <c r="C1660" s="2" t="s">
        <v>210</v>
      </c>
      <c r="D1660" s="2" t="s">
        <v>201</v>
      </c>
      <c r="E1660" s="2" t="s">
        <v>4647</v>
      </c>
      <c r="F1660" s="2">
        <v>54</v>
      </c>
      <c r="G1660" s="2">
        <v>54</v>
      </c>
      <c r="H1660" s="2">
        <v>0</v>
      </c>
      <c r="I1660" s="1">
        <v>0</v>
      </c>
      <c r="J1660" s="26">
        <v>45501</v>
      </c>
      <c r="K1660" s="22">
        <v>81000</v>
      </c>
      <c r="L1660" s="18">
        <v>86.63</v>
      </c>
      <c r="M1660" s="22">
        <v>56700</v>
      </c>
      <c r="N1660" s="22">
        <v>24300</v>
      </c>
      <c r="O1660" s="18">
        <v>25.99</v>
      </c>
      <c r="P1660" s="52">
        <f>IF(COUNTIF(TblPurchases[BatchID],TblOutcomes[[#This Row],[BatchID]])&lt;&gt;1,"n.a.",TblOutcomes[[#This Row],[Qty Wasted]]*SUMIFS(TblPurchases[Unit Cost (CLP)],TblPurchases[BatchID],TblOutcomes[[#This Row],[BatchID]]))</f>
        <v>0</v>
      </c>
      <c r="Q1660" s="51">
        <f>IF(COUNTIF(TblPurchases[BatchID],TblOutcomes[[#This Row],[BatchID]])&lt;&gt;1,"n.a.",SUMIFS(TblPurchases[Purchase Date],TblPurchases[BatchID],TblOutcomes[[#This Row],[BatchID]]))</f>
        <v>45470</v>
      </c>
    </row>
    <row r="1661" spans="2:17" x14ac:dyDescent="0.25">
      <c r="B1661" s="2" t="s">
        <v>2466</v>
      </c>
      <c r="C1661" s="2" t="s">
        <v>210</v>
      </c>
      <c r="D1661" s="2" t="s">
        <v>201</v>
      </c>
      <c r="E1661" s="2" t="s">
        <v>4646</v>
      </c>
      <c r="F1661" s="2">
        <v>43</v>
      </c>
      <c r="G1661" s="2">
        <v>42.4</v>
      </c>
      <c r="H1661" s="2">
        <v>0.6</v>
      </c>
      <c r="I1661" s="1">
        <v>1.4</v>
      </c>
      <c r="J1661" s="26">
        <v>46066</v>
      </c>
      <c r="K1661" s="22">
        <v>63600</v>
      </c>
      <c r="L1661" s="18">
        <v>68.02</v>
      </c>
      <c r="M1661" s="22">
        <v>45150</v>
      </c>
      <c r="N1661" s="22">
        <v>18450</v>
      </c>
      <c r="O1661" s="18">
        <v>19.73</v>
      </c>
      <c r="P1661" s="52">
        <f>IF(COUNTIF(TblPurchases[BatchID],TblOutcomes[[#This Row],[BatchID]])&lt;&gt;1,"n.a.",TblOutcomes[[#This Row],[Qty Wasted]]*SUMIFS(TblPurchases[Unit Cost (CLP)],TblPurchases[BatchID],TblOutcomes[[#This Row],[BatchID]]))</f>
        <v>630</v>
      </c>
      <c r="Q1661" s="51">
        <f>IF(COUNTIF(TblPurchases[BatchID],TblOutcomes[[#This Row],[BatchID]])&lt;&gt;1,"n.a.",SUMIFS(TblPurchases[Purchase Date],TblPurchases[BatchID],TblOutcomes[[#This Row],[BatchID]]))</f>
        <v>45526</v>
      </c>
    </row>
    <row r="1662" spans="2:17" x14ac:dyDescent="0.25">
      <c r="B1662" s="2" t="s">
        <v>2467</v>
      </c>
      <c r="C1662" s="2" t="s">
        <v>210</v>
      </c>
      <c r="D1662" s="2" t="s">
        <v>201</v>
      </c>
      <c r="E1662" s="2" t="s">
        <v>4647</v>
      </c>
      <c r="F1662" s="2">
        <v>45</v>
      </c>
      <c r="G1662" s="2">
        <v>45</v>
      </c>
      <c r="H1662" s="2">
        <v>0</v>
      </c>
      <c r="I1662" s="1">
        <v>0</v>
      </c>
      <c r="J1662" s="26">
        <v>45633</v>
      </c>
      <c r="K1662" s="22">
        <v>67500</v>
      </c>
      <c r="L1662" s="18">
        <v>72.19</v>
      </c>
      <c r="M1662" s="22">
        <v>47250</v>
      </c>
      <c r="N1662" s="22">
        <v>20250</v>
      </c>
      <c r="O1662" s="18">
        <v>21.66</v>
      </c>
      <c r="P1662" s="52">
        <f>IF(COUNTIF(TblPurchases[BatchID],TblOutcomes[[#This Row],[BatchID]])&lt;&gt;1,"n.a.",TblOutcomes[[#This Row],[Qty Wasted]]*SUMIFS(TblPurchases[Unit Cost (CLP)],TblPurchases[BatchID],TblOutcomes[[#This Row],[BatchID]]))</f>
        <v>0</v>
      </c>
      <c r="Q1662" s="51">
        <f>IF(COUNTIF(TblPurchases[BatchID],TblOutcomes[[#This Row],[BatchID]])&lt;&gt;1,"n.a.",SUMIFS(TblPurchases[Purchase Date],TblPurchases[BatchID],TblOutcomes[[#This Row],[BatchID]]))</f>
        <v>45568</v>
      </c>
    </row>
    <row r="1663" spans="2:17" x14ac:dyDescent="0.25">
      <c r="B1663" s="2" t="s">
        <v>2468</v>
      </c>
      <c r="C1663" s="2" t="s">
        <v>210</v>
      </c>
      <c r="D1663" s="2" t="s">
        <v>201</v>
      </c>
      <c r="E1663" s="2" t="s">
        <v>4646</v>
      </c>
      <c r="F1663" s="2">
        <v>52</v>
      </c>
      <c r="G1663" s="2">
        <v>51.43</v>
      </c>
      <c r="H1663" s="2">
        <v>0.56999999999999995</v>
      </c>
      <c r="I1663" s="1">
        <v>1.1000000000000001</v>
      </c>
      <c r="J1663" s="26">
        <v>46158</v>
      </c>
      <c r="K1663" s="22">
        <v>77145</v>
      </c>
      <c r="L1663" s="18">
        <v>82.51</v>
      </c>
      <c r="M1663" s="22">
        <v>54600</v>
      </c>
      <c r="N1663" s="22">
        <v>22545</v>
      </c>
      <c r="O1663" s="18">
        <v>24.11</v>
      </c>
      <c r="P1663" s="52">
        <f>IF(COUNTIF(TblPurchases[BatchID],TblOutcomes[[#This Row],[BatchID]])&lt;&gt;1,"n.a.",TblOutcomes[[#This Row],[Qty Wasted]]*SUMIFS(TblPurchases[Unit Cost (CLP)],TblPurchases[BatchID],TblOutcomes[[#This Row],[BatchID]]))</f>
        <v>598.5</v>
      </c>
      <c r="Q1663" s="51">
        <f>IF(COUNTIF(TblPurchases[BatchID],TblOutcomes[[#This Row],[BatchID]])&lt;&gt;1,"n.a.",SUMIFS(TblPurchases[Purchase Date],TblPurchases[BatchID],TblOutcomes[[#This Row],[BatchID]]))</f>
        <v>45618</v>
      </c>
    </row>
    <row r="1664" spans="2:17" x14ac:dyDescent="0.25">
      <c r="B1664" s="2" t="s">
        <v>2469</v>
      </c>
      <c r="C1664" s="2" t="s">
        <v>210</v>
      </c>
      <c r="D1664" s="2" t="s">
        <v>201</v>
      </c>
      <c r="E1664" s="2" t="s">
        <v>4647</v>
      </c>
      <c r="F1664" s="2">
        <v>58</v>
      </c>
      <c r="G1664" s="2">
        <v>58</v>
      </c>
      <c r="H1664" s="2">
        <v>0</v>
      </c>
      <c r="I1664" s="1">
        <v>0</v>
      </c>
      <c r="J1664" s="26">
        <v>45715</v>
      </c>
      <c r="K1664" s="22">
        <v>87000</v>
      </c>
      <c r="L1664" s="18">
        <v>93.05</v>
      </c>
      <c r="M1664" s="22">
        <v>60900</v>
      </c>
      <c r="N1664" s="22">
        <v>26100</v>
      </c>
      <c r="O1664" s="18">
        <v>27.91</v>
      </c>
      <c r="P1664" s="52">
        <f>IF(COUNTIF(TblPurchases[BatchID],TblOutcomes[[#This Row],[BatchID]])&lt;&gt;1,"n.a.",TblOutcomes[[#This Row],[Qty Wasted]]*SUMIFS(TblPurchases[Unit Cost (CLP)],TblPurchases[BatchID],TblOutcomes[[#This Row],[BatchID]]))</f>
        <v>0</v>
      </c>
      <c r="Q1664" s="51">
        <f>IF(COUNTIF(TblPurchases[BatchID],TblOutcomes[[#This Row],[BatchID]])&lt;&gt;1,"n.a.",SUMIFS(TblPurchases[Purchase Date],TblPurchases[BatchID],TblOutcomes[[#This Row],[BatchID]]))</f>
        <v>45677</v>
      </c>
    </row>
    <row r="1665" spans="2:17" x14ac:dyDescent="0.25">
      <c r="B1665" s="2" t="s">
        <v>2470</v>
      </c>
      <c r="C1665" s="2" t="s">
        <v>210</v>
      </c>
      <c r="D1665" s="2" t="s">
        <v>201</v>
      </c>
      <c r="E1665" s="2" t="s">
        <v>4647</v>
      </c>
      <c r="F1665" s="2">
        <v>52</v>
      </c>
      <c r="G1665" s="2">
        <v>52</v>
      </c>
      <c r="H1665" s="2">
        <v>0</v>
      </c>
      <c r="I1665" s="1">
        <v>0</v>
      </c>
      <c r="J1665" s="26">
        <v>45799</v>
      </c>
      <c r="K1665" s="22">
        <v>78000</v>
      </c>
      <c r="L1665" s="18">
        <v>83.42</v>
      </c>
      <c r="M1665" s="22">
        <v>54600</v>
      </c>
      <c r="N1665" s="22">
        <v>23400</v>
      </c>
      <c r="O1665" s="18">
        <v>25.03</v>
      </c>
      <c r="P1665" s="52">
        <f>IF(COUNTIF(TblPurchases[BatchID],TblOutcomes[[#This Row],[BatchID]])&lt;&gt;1,"n.a.",TblOutcomes[[#This Row],[Qty Wasted]]*SUMIFS(TblPurchases[Unit Cost (CLP)],TblPurchases[BatchID],TblOutcomes[[#This Row],[BatchID]]))</f>
        <v>0</v>
      </c>
      <c r="Q1665" s="51">
        <f>IF(COUNTIF(TblPurchases[BatchID],TblOutcomes[[#This Row],[BatchID]])&lt;&gt;1,"n.a.",SUMIFS(TblPurchases[Purchase Date],TblPurchases[BatchID],TblOutcomes[[#This Row],[BatchID]]))</f>
        <v>45740</v>
      </c>
    </row>
    <row r="1666" spans="2:17" x14ac:dyDescent="0.25">
      <c r="B1666" s="2" t="s">
        <v>2471</v>
      </c>
      <c r="C1666" s="2" t="s">
        <v>210</v>
      </c>
      <c r="D1666" s="2" t="s">
        <v>201</v>
      </c>
      <c r="E1666" s="2" t="s">
        <v>4646</v>
      </c>
      <c r="F1666" s="2">
        <v>52</v>
      </c>
      <c r="G1666" s="2">
        <v>51.01</v>
      </c>
      <c r="H1666" s="2">
        <v>0.99</v>
      </c>
      <c r="I1666" s="1">
        <v>1.9</v>
      </c>
      <c r="J1666" s="26">
        <v>46340</v>
      </c>
      <c r="K1666" s="22">
        <v>76515</v>
      </c>
      <c r="L1666" s="18">
        <v>81.83</v>
      </c>
      <c r="M1666" s="22">
        <v>54600</v>
      </c>
      <c r="N1666" s="22">
        <v>21915</v>
      </c>
      <c r="O1666" s="18">
        <v>23.44</v>
      </c>
      <c r="P1666" s="52">
        <f>IF(COUNTIF(TblPurchases[BatchID],TblOutcomes[[#This Row],[BatchID]])&lt;&gt;1,"n.a.",TblOutcomes[[#This Row],[Qty Wasted]]*SUMIFS(TblPurchases[Unit Cost (CLP)],TblPurchases[BatchID],TblOutcomes[[#This Row],[BatchID]]))</f>
        <v>1039.5</v>
      </c>
      <c r="Q1666" s="51">
        <f>IF(COUNTIF(TblPurchases[BatchID],TblOutcomes[[#This Row],[BatchID]])&lt;&gt;1,"n.a.",SUMIFS(TblPurchases[Purchase Date],TblPurchases[BatchID],TblOutcomes[[#This Row],[BatchID]]))</f>
        <v>45800</v>
      </c>
    </row>
    <row r="1667" spans="2:17" x14ac:dyDescent="0.25">
      <c r="B1667" s="2" t="s">
        <v>2472</v>
      </c>
      <c r="C1667" s="2" t="s">
        <v>212</v>
      </c>
      <c r="D1667" s="2" t="s">
        <v>201</v>
      </c>
      <c r="E1667" s="2" t="s">
        <v>4646</v>
      </c>
      <c r="F1667" s="2">
        <v>51</v>
      </c>
      <c r="G1667" s="2">
        <v>50.59</v>
      </c>
      <c r="H1667" s="2">
        <v>0.41</v>
      </c>
      <c r="I1667" s="1">
        <v>0.8</v>
      </c>
      <c r="J1667" s="26">
        <v>45681</v>
      </c>
      <c r="K1667" s="22">
        <v>75885</v>
      </c>
      <c r="L1667" s="18">
        <v>81.16</v>
      </c>
      <c r="M1667" s="22">
        <v>53550</v>
      </c>
      <c r="N1667" s="22">
        <v>22335</v>
      </c>
      <c r="O1667" s="18">
        <v>23.89</v>
      </c>
      <c r="P1667" s="52">
        <f>IF(COUNTIF(TblPurchases[BatchID],TblOutcomes[[#This Row],[BatchID]])&lt;&gt;1,"n.a.",TblOutcomes[[#This Row],[Qty Wasted]]*SUMIFS(TblPurchases[Unit Cost (CLP)],TblPurchases[BatchID],TblOutcomes[[#This Row],[BatchID]]))</f>
        <v>430.5</v>
      </c>
      <c r="Q1667" s="51">
        <f>IF(COUNTIF(TblPurchases[BatchID],TblOutcomes[[#This Row],[BatchID]])&lt;&gt;1,"n.a.",SUMIFS(TblPurchases[Purchase Date],TblPurchases[BatchID],TblOutcomes[[#This Row],[BatchID]]))</f>
        <v>45141</v>
      </c>
    </row>
    <row r="1668" spans="2:17" x14ac:dyDescent="0.25">
      <c r="B1668" s="2" t="s">
        <v>2473</v>
      </c>
      <c r="C1668" s="2" t="s">
        <v>212</v>
      </c>
      <c r="D1668" s="2" t="s">
        <v>201</v>
      </c>
      <c r="E1668" s="2" t="s">
        <v>4647</v>
      </c>
      <c r="F1668" s="2">
        <v>54</v>
      </c>
      <c r="G1668" s="2">
        <v>54</v>
      </c>
      <c r="H1668" s="2">
        <v>0</v>
      </c>
      <c r="I1668" s="1">
        <v>0</v>
      </c>
      <c r="J1668" s="26">
        <v>45229</v>
      </c>
      <c r="K1668" s="22">
        <v>81000</v>
      </c>
      <c r="L1668" s="18">
        <v>86.63</v>
      </c>
      <c r="M1668" s="22">
        <v>56700</v>
      </c>
      <c r="N1668" s="22">
        <v>24300</v>
      </c>
      <c r="O1668" s="18">
        <v>25.99</v>
      </c>
      <c r="P1668" s="52">
        <f>IF(COUNTIF(TblPurchases[BatchID],TblOutcomes[[#This Row],[BatchID]])&lt;&gt;1,"n.a.",TblOutcomes[[#This Row],[Qty Wasted]]*SUMIFS(TblPurchases[Unit Cost (CLP)],TblPurchases[BatchID],TblOutcomes[[#This Row],[BatchID]]))</f>
        <v>0</v>
      </c>
      <c r="Q1668" s="51">
        <f>IF(COUNTIF(TblPurchases[BatchID],TblOutcomes[[#This Row],[BatchID]])&lt;&gt;1,"n.a.",SUMIFS(TblPurchases[Purchase Date],TblPurchases[BatchID],TblOutcomes[[#This Row],[BatchID]]))</f>
        <v>45196</v>
      </c>
    </row>
    <row r="1669" spans="2:17" x14ac:dyDescent="0.25">
      <c r="B1669" s="2" t="s">
        <v>2474</v>
      </c>
      <c r="C1669" s="2" t="s">
        <v>212</v>
      </c>
      <c r="D1669" s="2" t="s">
        <v>201</v>
      </c>
      <c r="E1669" s="2" t="s">
        <v>4647</v>
      </c>
      <c r="F1669" s="2">
        <v>51</v>
      </c>
      <c r="G1669" s="2">
        <v>51</v>
      </c>
      <c r="H1669" s="2">
        <v>0</v>
      </c>
      <c r="I1669" s="1">
        <v>0</v>
      </c>
      <c r="J1669" s="26">
        <v>45300</v>
      </c>
      <c r="K1669" s="22">
        <v>76500</v>
      </c>
      <c r="L1669" s="18">
        <v>81.819999999999993</v>
      </c>
      <c r="M1669" s="22">
        <v>53550</v>
      </c>
      <c r="N1669" s="22">
        <v>22950</v>
      </c>
      <c r="O1669" s="18">
        <v>24.55</v>
      </c>
      <c r="P1669" s="52">
        <f>IF(COUNTIF(TblPurchases[BatchID],TblOutcomes[[#This Row],[BatchID]])&lt;&gt;1,"n.a.",TblOutcomes[[#This Row],[Qty Wasted]]*SUMIFS(TblPurchases[Unit Cost (CLP)],TblPurchases[BatchID],TblOutcomes[[#This Row],[BatchID]]))</f>
        <v>0</v>
      </c>
      <c r="Q1669" s="51">
        <f>IF(COUNTIF(TblPurchases[BatchID],TblOutcomes[[#This Row],[BatchID]])&lt;&gt;1,"n.a.",SUMIFS(TblPurchases[Purchase Date],TblPurchases[BatchID],TblOutcomes[[#This Row],[BatchID]]))</f>
        <v>45251</v>
      </c>
    </row>
    <row r="1670" spans="2:17" x14ac:dyDescent="0.25">
      <c r="B1670" s="2" t="s">
        <v>2475</v>
      </c>
      <c r="C1670" s="2" t="s">
        <v>212</v>
      </c>
      <c r="D1670" s="2" t="s">
        <v>201</v>
      </c>
      <c r="E1670" s="2" t="s">
        <v>4647</v>
      </c>
      <c r="F1670" s="2">
        <v>56</v>
      </c>
      <c r="G1670" s="2">
        <v>56</v>
      </c>
      <c r="H1670" s="2">
        <v>0</v>
      </c>
      <c r="I1670" s="1">
        <v>0</v>
      </c>
      <c r="J1670" s="26">
        <v>45350</v>
      </c>
      <c r="K1670" s="22">
        <v>84000</v>
      </c>
      <c r="L1670" s="18">
        <v>89.84</v>
      </c>
      <c r="M1670" s="22">
        <v>58800</v>
      </c>
      <c r="N1670" s="22">
        <v>25200</v>
      </c>
      <c r="O1670" s="18">
        <v>26.95</v>
      </c>
      <c r="P1670" s="52">
        <f>IF(COUNTIF(TblPurchases[BatchID],TblOutcomes[[#This Row],[BatchID]])&lt;&gt;1,"n.a.",TblOutcomes[[#This Row],[Qty Wasted]]*SUMIFS(TblPurchases[Unit Cost (CLP)],TblPurchases[BatchID],TblOutcomes[[#This Row],[BatchID]]))</f>
        <v>0</v>
      </c>
      <c r="Q1670" s="51">
        <f>IF(COUNTIF(TblPurchases[BatchID],TblOutcomes[[#This Row],[BatchID]])&lt;&gt;1,"n.a.",SUMIFS(TblPurchases[Purchase Date],TblPurchases[BatchID],TblOutcomes[[#This Row],[BatchID]]))</f>
        <v>45328</v>
      </c>
    </row>
    <row r="1671" spans="2:17" x14ac:dyDescent="0.25">
      <c r="B1671" s="2" t="s">
        <v>2476</v>
      </c>
      <c r="C1671" s="2" t="s">
        <v>212</v>
      </c>
      <c r="D1671" s="2" t="s">
        <v>201</v>
      </c>
      <c r="E1671" s="2" t="s">
        <v>4646</v>
      </c>
      <c r="F1671" s="2">
        <v>48</v>
      </c>
      <c r="G1671" s="2">
        <v>47.28</v>
      </c>
      <c r="H1671" s="2">
        <v>0.72</v>
      </c>
      <c r="I1671" s="1">
        <v>1.5</v>
      </c>
      <c r="J1671" s="26">
        <v>45924</v>
      </c>
      <c r="K1671" s="22">
        <v>70920</v>
      </c>
      <c r="L1671" s="18">
        <v>75.849999999999994</v>
      </c>
      <c r="M1671" s="22">
        <v>50400</v>
      </c>
      <c r="N1671" s="22">
        <v>20520</v>
      </c>
      <c r="O1671" s="18">
        <v>21.95</v>
      </c>
      <c r="P1671" s="52">
        <f>IF(COUNTIF(TblPurchases[BatchID],TblOutcomes[[#This Row],[BatchID]])&lt;&gt;1,"n.a.",TblOutcomes[[#This Row],[Qty Wasted]]*SUMIFS(TblPurchases[Unit Cost (CLP)],TblPurchases[BatchID],TblOutcomes[[#This Row],[BatchID]]))</f>
        <v>756</v>
      </c>
      <c r="Q1671" s="51">
        <f>IF(COUNTIF(TblPurchases[BatchID],TblOutcomes[[#This Row],[BatchID]])&lt;&gt;1,"n.a.",SUMIFS(TblPurchases[Purchase Date],TblPurchases[BatchID],TblOutcomes[[#This Row],[BatchID]]))</f>
        <v>45384</v>
      </c>
    </row>
    <row r="1672" spans="2:17" x14ac:dyDescent="0.25">
      <c r="B1672" s="2" t="s">
        <v>2477</v>
      </c>
      <c r="C1672" s="2" t="s">
        <v>212</v>
      </c>
      <c r="D1672" s="2" t="s">
        <v>201</v>
      </c>
      <c r="E1672" s="2" t="s">
        <v>4647</v>
      </c>
      <c r="F1672" s="2">
        <v>52</v>
      </c>
      <c r="G1672" s="2">
        <v>52</v>
      </c>
      <c r="H1672" s="2">
        <v>0</v>
      </c>
      <c r="I1672" s="1">
        <v>0</v>
      </c>
      <c r="J1672" s="26">
        <v>45480</v>
      </c>
      <c r="K1672" s="22">
        <v>78000</v>
      </c>
      <c r="L1672" s="18">
        <v>83.42</v>
      </c>
      <c r="M1672" s="22">
        <v>54600</v>
      </c>
      <c r="N1672" s="22">
        <v>23400</v>
      </c>
      <c r="O1672" s="18">
        <v>25.03</v>
      </c>
      <c r="P1672" s="52">
        <f>IF(COUNTIF(TblPurchases[BatchID],TblOutcomes[[#This Row],[BatchID]])&lt;&gt;1,"n.a.",TblOutcomes[[#This Row],[Qty Wasted]]*SUMIFS(TblPurchases[Unit Cost (CLP)],TblPurchases[BatchID],TblOutcomes[[#This Row],[BatchID]]))</f>
        <v>0</v>
      </c>
      <c r="Q1672" s="51">
        <f>IF(COUNTIF(TblPurchases[BatchID],TblOutcomes[[#This Row],[BatchID]])&lt;&gt;1,"n.a.",SUMIFS(TblPurchases[Purchase Date],TblPurchases[BatchID],TblOutcomes[[#This Row],[BatchID]]))</f>
        <v>45430</v>
      </c>
    </row>
    <row r="1673" spans="2:17" x14ac:dyDescent="0.25">
      <c r="B1673" s="2" t="s">
        <v>2478</v>
      </c>
      <c r="C1673" s="2" t="s">
        <v>212</v>
      </c>
      <c r="D1673" s="2" t="s">
        <v>201</v>
      </c>
      <c r="E1673" s="2" t="s">
        <v>4647</v>
      </c>
      <c r="F1673" s="2">
        <v>46</v>
      </c>
      <c r="G1673" s="2">
        <v>46</v>
      </c>
      <c r="H1673" s="2">
        <v>0</v>
      </c>
      <c r="I1673" s="1">
        <v>0</v>
      </c>
      <c r="J1673" s="26">
        <v>45530</v>
      </c>
      <c r="K1673" s="22">
        <v>69000</v>
      </c>
      <c r="L1673" s="18">
        <v>73.8</v>
      </c>
      <c r="M1673" s="22">
        <v>48300</v>
      </c>
      <c r="N1673" s="22">
        <v>20700</v>
      </c>
      <c r="O1673" s="18">
        <v>22.14</v>
      </c>
      <c r="P1673" s="52">
        <f>IF(COUNTIF(TblPurchases[BatchID],TblOutcomes[[#This Row],[BatchID]])&lt;&gt;1,"n.a.",TblOutcomes[[#This Row],[Qty Wasted]]*SUMIFS(TblPurchases[Unit Cost (CLP)],TblPurchases[BatchID],TblOutcomes[[#This Row],[BatchID]]))</f>
        <v>0</v>
      </c>
      <c r="Q1673" s="51">
        <f>IF(COUNTIF(TblPurchases[BatchID],TblOutcomes[[#This Row],[BatchID]])&lt;&gt;1,"n.a.",SUMIFS(TblPurchases[Purchase Date],TblPurchases[BatchID],TblOutcomes[[#This Row],[BatchID]]))</f>
        <v>45487</v>
      </c>
    </row>
    <row r="1674" spans="2:17" x14ac:dyDescent="0.25">
      <c r="B1674" s="2" t="s">
        <v>2479</v>
      </c>
      <c r="C1674" s="2" t="s">
        <v>212</v>
      </c>
      <c r="D1674" s="2" t="s">
        <v>201</v>
      </c>
      <c r="E1674" s="2" t="s">
        <v>4646</v>
      </c>
      <c r="F1674" s="2">
        <v>44</v>
      </c>
      <c r="G1674" s="2">
        <v>43.34</v>
      </c>
      <c r="H1674" s="2">
        <v>0.66</v>
      </c>
      <c r="I1674" s="1">
        <v>1.5</v>
      </c>
      <c r="J1674" s="26">
        <v>46075</v>
      </c>
      <c r="K1674" s="22">
        <v>65010</v>
      </c>
      <c r="L1674" s="18">
        <v>69.53</v>
      </c>
      <c r="M1674" s="22">
        <v>46200</v>
      </c>
      <c r="N1674" s="22">
        <v>18810</v>
      </c>
      <c r="O1674" s="18">
        <v>20.12</v>
      </c>
      <c r="P1674" s="52">
        <f>IF(COUNTIF(TblPurchases[BatchID],TblOutcomes[[#This Row],[BatchID]])&lt;&gt;1,"n.a.",TblOutcomes[[#This Row],[Qty Wasted]]*SUMIFS(TblPurchases[Unit Cost (CLP)],TblPurchases[BatchID],TblOutcomes[[#This Row],[BatchID]]))</f>
        <v>693</v>
      </c>
      <c r="Q1674" s="51">
        <f>IF(COUNTIF(TblPurchases[BatchID],TblOutcomes[[#This Row],[BatchID]])&lt;&gt;1,"n.a.",SUMIFS(TblPurchases[Purchase Date],TblPurchases[BatchID],TblOutcomes[[#This Row],[BatchID]]))</f>
        <v>45535</v>
      </c>
    </row>
    <row r="1675" spans="2:17" x14ac:dyDescent="0.25">
      <c r="B1675" s="2" t="s">
        <v>2480</v>
      </c>
      <c r="C1675" s="2" t="s">
        <v>212</v>
      </c>
      <c r="D1675" s="2" t="s">
        <v>201</v>
      </c>
      <c r="E1675" s="2" t="s">
        <v>4647</v>
      </c>
      <c r="F1675" s="2">
        <v>46</v>
      </c>
      <c r="G1675" s="2">
        <v>46</v>
      </c>
      <c r="H1675" s="2">
        <v>0</v>
      </c>
      <c r="I1675" s="1">
        <v>0</v>
      </c>
      <c r="J1675" s="26">
        <v>45651</v>
      </c>
      <c r="K1675" s="22">
        <v>69000</v>
      </c>
      <c r="L1675" s="18">
        <v>73.8</v>
      </c>
      <c r="M1675" s="22">
        <v>48300</v>
      </c>
      <c r="N1675" s="22">
        <v>20700</v>
      </c>
      <c r="O1675" s="18">
        <v>22.14</v>
      </c>
      <c r="P1675" s="52">
        <f>IF(COUNTIF(TblPurchases[BatchID],TblOutcomes[[#This Row],[BatchID]])&lt;&gt;1,"n.a.",TblOutcomes[[#This Row],[Qty Wasted]]*SUMIFS(TblPurchases[Unit Cost (CLP)],TblPurchases[BatchID],TblOutcomes[[#This Row],[BatchID]]))</f>
        <v>0</v>
      </c>
      <c r="Q1675" s="51">
        <f>IF(COUNTIF(TblPurchases[BatchID],TblOutcomes[[#This Row],[BatchID]])&lt;&gt;1,"n.a.",SUMIFS(TblPurchases[Purchase Date],TblPurchases[BatchID],TblOutcomes[[#This Row],[BatchID]]))</f>
        <v>45598</v>
      </c>
    </row>
    <row r="1676" spans="2:17" x14ac:dyDescent="0.25">
      <c r="B1676" s="2" t="s">
        <v>2481</v>
      </c>
      <c r="C1676" s="2" t="s">
        <v>212</v>
      </c>
      <c r="D1676" s="2" t="s">
        <v>201</v>
      </c>
      <c r="E1676" s="2" t="s">
        <v>4646</v>
      </c>
      <c r="F1676" s="2">
        <v>56</v>
      </c>
      <c r="G1676" s="2">
        <v>55.1</v>
      </c>
      <c r="H1676" s="2">
        <v>0.9</v>
      </c>
      <c r="I1676" s="1">
        <v>1.6</v>
      </c>
      <c r="J1676" s="26">
        <v>46200</v>
      </c>
      <c r="K1676" s="22">
        <v>82650</v>
      </c>
      <c r="L1676" s="18">
        <v>88.4</v>
      </c>
      <c r="M1676" s="22">
        <v>58800</v>
      </c>
      <c r="N1676" s="22">
        <v>23850</v>
      </c>
      <c r="O1676" s="18">
        <v>25.51</v>
      </c>
      <c r="P1676" s="52">
        <f>IF(COUNTIF(TblPurchases[BatchID],TblOutcomes[[#This Row],[BatchID]])&lt;&gt;1,"n.a.",TblOutcomes[[#This Row],[Qty Wasted]]*SUMIFS(TblPurchases[Unit Cost (CLP)],TblPurchases[BatchID],TblOutcomes[[#This Row],[BatchID]]))</f>
        <v>945</v>
      </c>
      <c r="Q1676" s="51">
        <f>IF(COUNTIF(TblPurchases[BatchID],TblOutcomes[[#This Row],[BatchID]])&lt;&gt;1,"n.a.",SUMIFS(TblPurchases[Purchase Date],TblPurchases[BatchID],TblOutcomes[[#This Row],[BatchID]]))</f>
        <v>45660</v>
      </c>
    </row>
    <row r="1677" spans="2:17" x14ac:dyDescent="0.25">
      <c r="B1677" s="2" t="s">
        <v>2482</v>
      </c>
      <c r="C1677" s="2" t="s">
        <v>212</v>
      </c>
      <c r="D1677" s="2" t="s">
        <v>201</v>
      </c>
      <c r="E1677" s="2" t="s">
        <v>4646</v>
      </c>
      <c r="F1677" s="2">
        <v>46</v>
      </c>
      <c r="G1677" s="2">
        <v>45.49</v>
      </c>
      <c r="H1677" s="2">
        <v>0.51</v>
      </c>
      <c r="I1677" s="1">
        <v>1.1000000000000001</v>
      </c>
      <c r="J1677" s="26">
        <v>46255</v>
      </c>
      <c r="K1677" s="22">
        <v>68235</v>
      </c>
      <c r="L1677" s="18">
        <v>72.98</v>
      </c>
      <c r="M1677" s="22">
        <v>48300</v>
      </c>
      <c r="N1677" s="22">
        <v>19935</v>
      </c>
      <c r="O1677" s="18">
        <v>21.32</v>
      </c>
      <c r="P1677" s="52">
        <f>IF(COUNTIF(TblPurchases[BatchID],TblOutcomes[[#This Row],[BatchID]])&lt;&gt;1,"n.a.",TblOutcomes[[#This Row],[Qty Wasted]]*SUMIFS(TblPurchases[Unit Cost (CLP)],TblPurchases[BatchID],TblOutcomes[[#This Row],[BatchID]]))</f>
        <v>535.5</v>
      </c>
      <c r="Q1677" s="51">
        <f>IF(COUNTIF(TblPurchases[BatchID],TblOutcomes[[#This Row],[BatchID]])&lt;&gt;1,"n.a.",SUMIFS(TblPurchases[Purchase Date],TblPurchases[BatchID],TblOutcomes[[#This Row],[BatchID]]))</f>
        <v>45715</v>
      </c>
    </row>
    <row r="1678" spans="2:17" x14ac:dyDescent="0.25">
      <c r="B1678" s="2" t="s">
        <v>2483</v>
      </c>
      <c r="C1678" s="2" t="s">
        <v>212</v>
      </c>
      <c r="D1678" s="2" t="s">
        <v>201</v>
      </c>
      <c r="E1678" s="2" t="s">
        <v>4646</v>
      </c>
      <c r="F1678" s="2">
        <v>56</v>
      </c>
      <c r="G1678" s="2">
        <v>55.44</v>
      </c>
      <c r="H1678" s="2">
        <v>0.56000000000000005</v>
      </c>
      <c r="I1678" s="1">
        <v>1</v>
      </c>
      <c r="J1678" s="26">
        <v>46308</v>
      </c>
      <c r="K1678" s="22">
        <v>83160</v>
      </c>
      <c r="L1678" s="18">
        <v>88.94</v>
      </c>
      <c r="M1678" s="22">
        <v>58800</v>
      </c>
      <c r="N1678" s="22">
        <v>24360</v>
      </c>
      <c r="O1678" s="18">
        <v>26.05</v>
      </c>
      <c r="P1678" s="52">
        <f>IF(COUNTIF(TblPurchases[BatchID],TblOutcomes[[#This Row],[BatchID]])&lt;&gt;1,"n.a.",TblOutcomes[[#This Row],[Qty Wasted]]*SUMIFS(TblPurchases[Unit Cost (CLP)],TblPurchases[BatchID],TblOutcomes[[#This Row],[BatchID]]))</f>
        <v>588</v>
      </c>
      <c r="Q1678" s="51">
        <f>IF(COUNTIF(TblPurchases[BatchID],TblOutcomes[[#This Row],[BatchID]])&lt;&gt;1,"n.a.",SUMIFS(TblPurchases[Purchase Date],TblPurchases[BatchID],TblOutcomes[[#This Row],[BatchID]]))</f>
        <v>45768</v>
      </c>
    </row>
    <row r="1679" spans="2:17" x14ac:dyDescent="0.25">
      <c r="B1679" s="2" t="s">
        <v>2484</v>
      </c>
      <c r="C1679" s="2" t="s">
        <v>214</v>
      </c>
      <c r="D1679" s="2" t="s">
        <v>201</v>
      </c>
      <c r="E1679" s="2" t="s">
        <v>4646</v>
      </c>
      <c r="F1679" s="2">
        <v>46</v>
      </c>
      <c r="G1679" s="2">
        <v>45.72</v>
      </c>
      <c r="H1679" s="2">
        <v>0.28000000000000003</v>
      </c>
      <c r="I1679" s="1">
        <v>0.6</v>
      </c>
      <c r="J1679" s="26">
        <v>45682</v>
      </c>
      <c r="K1679" s="22">
        <v>68580</v>
      </c>
      <c r="L1679" s="18">
        <v>73.349999999999994</v>
      </c>
      <c r="M1679" s="22">
        <v>46000</v>
      </c>
      <c r="N1679" s="22">
        <v>22580</v>
      </c>
      <c r="O1679" s="18">
        <v>24.15</v>
      </c>
      <c r="P1679" s="52">
        <f>IF(COUNTIF(TblPurchases[BatchID],TblOutcomes[[#This Row],[BatchID]])&lt;&gt;1,"n.a.",TblOutcomes[[#This Row],[Qty Wasted]]*SUMIFS(TblPurchases[Unit Cost (CLP)],TblPurchases[BatchID],TblOutcomes[[#This Row],[BatchID]]))</f>
        <v>280</v>
      </c>
      <c r="Q1679" s="51">
        <f>IF(COUNTIF(TblPurchases[BatchID],TblOutcomes[[#This Row],[BatchID]])&lt;&gt;1,"n.a.",SUMIFS(TblPurchases[Purchase Date],TblPurchases[BatchID],TblOutcomes[[#This Row],[BatchID]]))</f>
        <v>45142</v>
      </c>
    </row>
    <row r="1680" spans="2:17" x14ac:dyDescent="0.25">
      <c r="B1680" s="2" t="s">
        <v>2485</v>
      </c>
      <c r="C1680" s="2" t="s">
        <v>214</v>
      </c>
      <c r="D1680" s="2" t="s">
        <v>201</v>
      </c>
      <c r="E1680" s="2" t="s">
        <v>4646</v>
      </c>
      <c r="F1680" s="2">
        <v>58</v>
      </c>
      <c r="G1680" s="2">
        <v>57.48</v>
      </c>
      <c r="H1680" s="2">
        <v>0.52</v>
      </c>
      <c r="I1680" s="1">
        <v>0.9</v>
      </c>
      <c r="J1680" s="26">
        <v>45737</v>
      </c>
      <c r="K1680" s="22">
        <v>86220</v>
      </c>
      <c r="L1680" s="18">
        <v>92.21</v>
      </c>
      <c r="M1680" s="22">
        <v>58000</v>
      </c>
      <c r="N1680" s="22">
        <v>28220</v>
      </c>
      <c r="O1680" s="18">
        <v>30.18</v>
      </c>
      <c r="P1680" s="52">
        <f>IF(COUNTIF(TblPurchases[BatchID],TblOutcomes[[#This Row],[BatchID]])&lt;&gt;1,"n.a.",TblOutcomes[[#This Row],[Qty Wasted]]*SUMIFS(TblPurchases[Unit Cost (CLP)],TblPurchases[BatchID],TblOutcomes[[#This Row],[BatchID]]))</f>
        <v>520</v>
      </c>
      <c r="Q1680" s="51">
        <f>IF(COUNTIF(TblPurchases[BatchID],TblOutcomes[[#This Row],[BatchID]])&lt;&gt;1,"n.a.",SUMIFS(TblPurchases[Purchase Date],TblPurchases[BatchID],TblOutcomes[[#This Row],[BatchID]]))</f>
        <v>45197</v>
      </c>
    </row>
    <row r="1681" spans="2:17" x14ac:dyDescent="0.25">
      <c r="B1681" s="2" t="s">
        <v>2486</v>
      </c>
      <c r="C1681" s="2" t="s">
        <v>214</v>
      </c>
      <c r="D1681" s="2" t="s">
        <v>201</v>
      </c>
      <c r="E1681" s="2" t="s">
        <v>4647</v>
      </c>
      <c r="F1681" s="2">
        <v>53</v>
      </c>
      <c r="G1681" s="2">
        <v>53</v>
      </c>
      <c r="H1681" s="2">
        <v>0</v>
      </c>
      <c r="I1681" s="1">
        <v>0</v>
      </c>
      <c r="J1681" s="26">
        <v>45777</v>
      </c>
      <c r="K1681" s="22">
        <v>79500</v>
      </c>
      <c r="L1681" s="18">
        <v>85.03</v>
      </c>
      <c r="M1681" s="22">
        <v>53000</v>
      </c>
      <c r="N1681" s="22">
        <v>26500</v>
      </c>
      <c r="O1681" s="18">
        <v>28.34</v>
      </c>
      <c r="P1681" s="52">
        <f>IF(COUNTIF(TblPurchases[BatchID],TblOutcomes[[#This Row],[BatchID]])&lt;&gt;1,"n.a.",TblOutcomes[[#This Row],[Qty Wasted]]*SUMIFS(TblPurchases[Unit Cost (CLP)],TblPurchases[BatchID],TblOutcomes[[#This Row],[BatchID]]))</f>
        <v>0</v>
      </c>
      <c r="Q1681" s="51">
        <f>IF(COUNTIF(TblPurchases[BatchID],TblOutcomes[[#This Row],[BatchID]])&lt;&gt;1,"n.a.",SUMIFS(TblPurchases[Purchase Date],TblPurchases[BatchID],TblOutcomes[[#This Row],[BatchID]]))</f>
        <v>45237</v>
      </c>
    </row>
    <row r="1682" spans="2:17" x14ac:dyDescent="0.25">
      <c r="B1682" s="2" t="s">
        <v>2487</v>
      </c>
      <c r="C1682" s="2" t="s">
        <v>214</v>
      </c>
      <c r="D1682" s="2" t="s">
        <v>201</v>
      </c>
      <c r="E1682" s="2" t="s">
        <v>4646</v>
      </c>
      <c r="F1682" s="2">
        <v>43</v>
      </c>
      <c r="G1682" s="2">
        <v>42.35</v>
      </c>
      <c r="H1682" s="2">
        <v>0.65</v>
      </c>
      <c r="I1682" s="1">
        <v>1.5</v>
      </c>
      <c r="J1682" s="26">
        <v>45836</v>
      </c>
      <c r="K1682" s="22">
        <v>63525</v>
      </c>
      <c r="L1682" s="18">
        <v>67.94</v>
      </c>
      <c r="M1682" s="22">
        <v>43000</v>
      </c>
      <c r="N1682" s="22">
        <v>20525</v>
      </c>
      <c r="O1682" s="18">
        <v>21.95</v>
      </c>
      <c r="P1682" s="52">
        <f>IF(COUNTIF(TblPurchases[BatchID],TblOutcomes[[#This Row],[BatchID]])&lt;&gt;1,"n.a.",TblOutcomes[[#This Row],[Qty Wasted]]*SUMIFS(TblPurchases[Unit Cost (CLP)],TblPurchases[BatchID],TblOutcomes[[#This Row],[BatchID]]))</f>
        <v>650</v>
      </c>
      <c r="Q1682" s="51">
        <f>IF(COUNTIF(TblPurchases[BatchID],TblOutcomes[[#This Row],[BatchID]])&lt;&gt;1,"n.a.",SUMIFS(TblPurchases[Purchase Date],TblPurchases[BatchID],TblOutcomes[[#This Row],[BatchID]]))</f>
        <v>45296</v>
      </c>
    </row>
    <row r="1683" spans="2:17" x14ac:dyDescent="0.25">
      <c r="B1683" s="2" t="s">
        <v>2488</v>
      </c>
      <c r="C1683" s="2" t="s">
        <v>214</v>
      </c>
      <c r="D1683" s="2" t="s">
        <v>201</v>
      </c>
      <c r="E1683" s="2" t="s">
        <v>4647</v>
      </c>
      <c r="F1683" s="2">
        <v>49</v>
      </c>
      <c r="G1683" s="2">
        <v>49</v>
      </c>
      <c r="H1683" s="2">
        <v>0</v>
      </c>
      <c r="I1683" s="1">
        <v>0</v>
      </c>
      <c r="J1683" s="26">
        <v>45405</v>
      </c>
      <c r="K1683" s="22">
        <v>73500</v>
      </c>
      <c r="L1683" s="18">
        <v>78.61</v>
      </c>
      <c r="M1683" s="22">
        <v>49000</v>
      </c>
      <c r="N1683" s="22">
        <v>24500</v>
      </c>
      <c r="O1683" s="18">
        <v>26.2</v>
      </c>
      <c r="P1683" s="52">
        <f>IF(COUNTIF(TblPurchases[BatchID],TblOutcomes[[#This Row],[BatchID]])&lt;&gt;1,"n.a.",TblOutcomes[[#This Row],[Qty Wasted]]*SUMIFS(TblPurchases[Unit Cost (CLP)],TblPurchases[BatchID],TblOutcomes[[#This Row],[BatchID]]))</f>
        <v>0</v>
      </c>
      <c r="Q1683" s="51">
        <f>IF(COUNTIF(TblPurchases[BatchID],TblOutcomes[[#This Row],[BatchID]])&lt;&gt;1,"n.a.",SUMIFS(TblPurchases[Purchase Date],TblPurchases[BatchID],TblOutcomes[[#This Row],[BatchID]]))</f>
        <v>45363</v>
      </c>
    </row>
    <row r="1684" spans="2:17" x14ac:dyDescent="0.25">
      <c r="B1684" s="2" t="s">
        <v>2489</v>
      </c>
      <c r="C1684" s="2" t="s">
        <v>214</v>
      </c>
      <c r="D1684" s="2" t="s">
        <v>201</v>
      </c>
      <c r="E1684" s="2" t="s">
        <v>4647</v>
      </c>
      <c r="F1684" s="2">
        <v>47</v>
      </c>
      <c r="G1684" s="2">
        <v>47</v>
      </c>
      <c r="H1684" s="2">
        <v>0</v>
      </c>
      <c r="I1684" s="1">
        <v>0</v>
      </c>
      <c r="J1684" s="26">
        <v>45471</v>
      </c>
      <c r="K1684" s="22">
        <v>70500</v>
      </c>
      <c r="L1684" s="18">
        <v>75.400000000000006</v>
      </c>
      <c r="M1684" s="22">
        <v>47000</v>
      </c>
      <c r="N1684" s="22">
        <v>23500</v>
      </c>
      <c r="O1684" s="18">
        <v>25.13</v>
      </c>
      <c r="P1684" s="52">
        <f>IF(COUNTIF(TblPurchases[BatchID],TblOutcomes[[#This Row],[BatchID]])&lt;&gt;1,"n.a.",TblOutcomes[[#This Row],[Qty Wasted]]*SUMIFS(TblPurchases[Unit Cost (CLP)],TblPurchases[BatchID],TblOutcomes[[#This Row],[BatchID]]))</f>
        <v>0</v>
      </c>
      <c r="Q1684" s="51">
        <f>IF(COUNTIF(TblPurchases[BatchID],TblOutcomes[[#This Row],[BatchID]])&lt;&gt;1,"n.a.",SUMIFS(TblPurchases[Purchase Date],TblPurchases[BatchID],TblOutcomes[[#This Row],[BatchID]]))</f>
        <v>45444</v>
      </c>
    </row>
    <row r="1685" spans="2:17" x14ac:dyDescent="0.25">
      <c r="B1685" s="2" t="s">
        <v>2490</v>
      </c>
      <c r="C1685" s="2" t="s">
        <v>214</v>
      </c>
      <c r="D1685" s="2" t="s">
        <v>201</v>
      </c>
      <c r="E1685" s="2" t="s">
        <v>4647</v>
      </c>
      <c r="F1685" s="2">
        <v>45</v>
      </c>
      <c r="G1685" s="2">
        <v>45</v>
      </c>
      <c r="H1685" s="2">
        <v>0</v>
      </c>
      <c r="I1685" s="1">
        <v>0</v>
      </c>
      <c r="J1685" s="26">
        <v>45547</v>
      </c>
      <c r="K1685" s="22">
        <v>67500</v>
      </c>
      <c r="L1685" s="18">
        <v>72.19</v>
      </c>
      <c r="M1685" s="22">
        <v>45000</v>
      </c>
      <c r="N1685" s="22">
        <v>22500</v>
      </c>
      <c r="O1685" s="18">
        <v>24.06</v>
      </c>
      <c r="P1685" s="52">
        <f>IF(COUNTIF(TblPurchases[BatchID],TblOutcomes[[#This Row],[BatchID]])&lt;&gt;1,"n.a.",TblOutcomes[[#This Row],[Qty Wasted]]*SUMIFS(TblPurchases[Unit Cost (CLP)],TblPurchases[BatchID],TblOutcomes[[#This Row],[BatchID]]))</f>
        <v>0</v>
      </c>
      <c r="Q1685" s="51">
        <f>IF(COUNTIF(TblPurchases[BatchID],TblOutcomes[[#This Row],[BatchID]])&lt;&gt;1,"n.a.",SUMIFS(TblPurchases[Purchase Date],TblPurchases[BatchID],TblOutcomes[[#This Row],[BatchID]]))</f>
        <v>45506</v>
      </c>
    </row>
    <row r="1686" spans="2:17" x14ac:dyDescent="0.25">
      <c r="B1686" s="2" t="s">
        <v>2491</v>
      </c>
      <c r="C1686" s="2" t="s">
        <v>214</v>
      </c>
      <c r="D1686" s="2" t="s">
        <v>201</v>
      </c>
      <c r="E1686" s="2" t="s">
        <v>4647</v>
      </c>
      <c r="F1686" s="2">
        <v>64</v>
      </c>
      <c r="G1686" s="2">
        <v>64</v>
      </c>
      <c r="H1686" s="2">
        <v>0</v>
      </c>
      <c r="I1686" s="1">
        <v>0</v>
      </c>
      <c r="J1686" s="26">
        <v>45611</v>
      </c>
      <c r="K1686" s="22">
        <v>96000</v>
      </c>
      <c r="L1686" s="18">
        <v>102.67</v>
      </c>
      <c r="M1686" s="22">
        <v>64000</v>
      </c>
      <c r="N1686" s="22">
        <v>32000</v>
      </c>
      <c r="O1686" s="18">
        <v>34.22</v>
      </c>
      <c r="P1686" s="52">
        <f>IF(COUNTIF(TblPurchases[BatchID],TblOutcomes[[#This Row],[BatchID]])&lt;&gt;1,"n.a.",TblOutcomes[[#This Row],[Qty Wasted]]*SUMIFS(TblPurchases[Unit Cost (CLP)],TblPurchases[BatchID],TblOutcomes[[#This Row],[BatchID]]))</f>
        <v>0</v>
      </c>
      <c r="Q1686" s="51">
        <f>IF(COUNTIF(TblPurchases[BatchID],TblOutcomes[[#This Row],[BatchID]])&lt;&gt;1,"n.a.",SUMIFS(TblPurchases[Purchase Date],TblPurchases[BatchID],TblOutcomes[[#This Row],[BatchID]]))</f>
        <v>45563</v>
      </c>
    </row>
    <row r="1687" spans="2:17" x14ac:dyDescent="0.25">
      <c r="B1687" s="2" t="s">
        <v>2492</v>
      </c>
      <c r="C1687" s="2" t="s">
        <v>214</v>
      </c>
      <c r="D1687" s="2" t="s">
        <v>201</v>
      </c>
      <c r="E1687" s="2" t="s">
        <v>4647</v>
      </c>
      <c r="F1687" s="2">
        <v>70</v>
      </c>
      <c r="G1687" s="2">
        <v>70</v>
      </c>
      <c r="H1687" s="2">
        <v>0</v>
      </c>
      <c r="I1687" s="1">
        <v>0</v>
      </c>
      <c r="J1687" s="26">
        <v>45675</v>
      </c>
      <c r="K1687" s="22">
        <v>105000</v>
      </c>
      <c r="L1687" s="18">
        <v>112.3</v>
      </c>
      <c r="M1687" s="22">
        <v>70000</v>
      </c>
      <c r="N1687" s="22">
        <v>35000</v>
      </c>
      <c r="O1687" s="18">
        <v>37.43</v>
      </c>
      <c r="P1687" s="52">
        <f>IF(COUNTIF(TblPurchases[BatchID],TblOutcomes[[#This Row],[BatchID]])&lt;&gt;1,"n.a.",TblOutcomes[[#This Row],[Qty Wasted]]*SUMIFS(TblPurchases[Unit Cost (CLP)],TblPurchases[BatchID],TblOutcomes[[#This Row],[BatchID]]))</f>
        <v>0</v>
      </c>
      <c r="Q1687" s="51">
        <f>IF(COUNTIF(TblPurchases[BatchID],TblOutcomes[[#This Row],[BatchID]])&lt;&gt;1,"n.a.",SUMIFS(TblPurchases[Purchase Date],TblPurchases[BatchID],TblOutcomes[[#This Row],[BatchID]]))</f>
        <v>45641</v>
      </c>
    </row>
    <row r="1688" spans="2:17" x14ac:dyDescent="0.25">
      <c r="B1688" s="2" t="s">
        <v>2493</v>
      </c>
      <c r="C1688" s="2" t="s">
        <v>214</v>
      </c>
      <c r="D1688" s="2" t="s">
        <v>201</v>
      </c>
      <c r="E1688" s="2" t="s">
        <v>4647</v>
      </c>
      <c r="F1688" s="2">
        <v>49</v>
      </c>
      <c r="G1688" s="2">
        <v>49</v>
      </c>
      <c r="H1688" s="2">
        <v>0</v>
      </c>
      <c r="I1688" s="1">
        <v>0</v>
      </c>
      <c r="J1688" s="26">
        <v>45743</v>
      </c>
      <c r="K1688" s="22">
        <v>73500</v>
      </c>
      <c r="L1688" s="18">
        <v>78.61</v>
      </c>
      <c r="M1688" s="22">
        <v>49000</v>
      </c>
      <c r="N1688" s="22">
        <v>24500</v>
      </c>
      <c r="O1688" s="18">
        <v>26.2</v>
      </c>
      <c r="P1688" s="52">
        <f>IF(COUNTIF(TblPurchases[BatchID],TblOutcomes[[#This Row],[BatchID]])&lt;&gt;1,"n.a.",TblOutcomes[[#This Row],[Qty Wasted]]*SUMIFS(TblPurchases[Unit Cost (CLP)],TblPurchases[BatchID],TblOutcomes[[#This Row],[BatchID]]))</f>
        <v>0</v>
      </c>
      <c r="Q1688" s="51">
        <f>IF(COUNTIF(TblPurchases[BatchID],TblOutcomes[[#This Row],[BatchID]])&lt;&gt;1,"n.a.",SUMIFS(TblPurchases[Purchase Date],TblPurchases[BatchID],TblOutcomes[[#This Row],[BatchID]]))</f>
        <v>45692</v>
      </c>
    </row>
    <row r="1689" spans="2:17" x14ac:dyDescent="0.25">
      <c r="B1689" s="2" t="s">
        <v>2494</v>
      </c>
      <c r="C1689" s="2" t="s">
        <v>214</v>
      </c>
      <c r="D1689" s="2" t="s">
        <v>201</v>
      </c>
      <c r="E1689" s="2" t="s">
        <v>4647</v>
      </c>
      <c r="F1689" s="2">
        <v>48</v>
      </c>
      <c r="G1689" s="2">
        <v>48</v>
      </c>
      <c r="H1689" s="2">
        <v>0</v>
      </c>
      <c r="I1689" s="1">
        <v>0</v>
      </c>
      <c r="J1689" s="26">
        <v>45803</v>
      </c>
      <c r="K1689" s="22">
        <v>72000</v>
      </c>
      <c r="L1689" s="18">
        <v>77.010000000000005</v>
      </c>
      <c r="M1689" s="22">
        <v>48000</v>
      </c>
      <c r="N1689" s="22">
        <v>24000</v>
      </c>
      <c r="O1689" s="18">
        <v>25.67</v>
      </c>
      <c r="P1689" s="52">
        <f>IF(COUNTIF(TblPurchases[BatchID],TblOutcomes[[#This Row],[BatchID]])&lt;&gt;1,"n.a.",TblOutcomes[[#This Row],[Qty Wasted]]*SUMIFS(TblPurchases[Unit Cost (CLP)],TblPurchases[BatchID],TblOutcomes[[#This Row],[BatchID]]))</f>
        <v>0</v>
      </c>
      <c r="Q1689" s="51">
        <f>IF(COUNTIF(TblPurchases[BatchID],TblOutcomes[[#This Row],[BatchID]])&lt;&gt;1,"n.a.",SUMIFS(TblPurchases[Purchase Date],TblPurchases[BatchID],TblOutcomes[[#This Row],[BatchID]]))</f>
        <v>45753</v>
      </c>
    </row>
    <row r="1690" spans="2:17" x14ac:dyDescent="0.25">
      <c r="B1690" s="2" t="s">
        <v>2495</v>
      </c>
      <c r="C1690" s="2" t="s">
        <v>214</v>
      </c>
      <c r="D1690" s="2" t="s">
        <v>201</v>
      </c>
      <c r="E1690" s="2" t="s">
        <v>4647</v>
      </c>
      <c r="F1690" s="2">
        <v>58</v>
      </c>
      <c r="G1690" s="2">
        <v>58</v>
      </c>
      <c r="H1690" s="2">
        <v>0</v>
      </c>
      <c r="I1690" s="1">
        <v>0</v>
      </c>
      <c r="J1690" s="26">
        <v>45866</v>
      </c>
      <c r="K1690" s="22">
        <v>87000</v>
      </c>
      <c r="L1690" s="18">
        <v>93.05</v>
      </c>
      <c r="M1690" s="22">
        <v>58000</v>
      </c>
      <c r="N1690" s="22">
        <v>29000</v>
      </c>
      <c r="O1690" s="18">
        <v>31.02</v>
      </c>
      <c r="P1690" s="52">
        <f>IF(COUNTIF(TblPurchases[BatchID],TblOutcomes[[#This Row],[BatchID]])&lt;&gt;1,"n.a.",TblOutcomes[[#This Row],[Qty Wasted]]*SUMIFS(TblPurchases[Unit Cost (CLP)],TblPurchases[BatchID],TblOutcomes[[#This Row],[BatchID]]))</f>
        <v>0</v>
      </c>
      <c r="Q1690" s="51">
        <f>IF(COUNTIF(TblPurchases[BatchID],TblOutcomes[[#This Row],[BatchID]])&lt;&gt;1,"n.a.",SUMIFS(TblPurchases[Purchase Date],TblPurchases[BatchID],TblOutcomes[[#This Row],[BatchID]]))</f>
        <v>45811</v>
      </c>
    </row>
    <row r="1691" spans="2:17" x14ac:dyDescent="0.25">
      <c r="B1691" s="2" t="s">
        <v>2496</v>
      </c>
      <c r="C1691" s="2" t="s">
        <v>216</v>
      </c>
      <c r="D1691" s="2" t="s">
        <v>201</v>
      </c>
      <c r="E1691" s="2" t="s">
        <v>4647</v>
      </c>
      <c r="F1691" s="2">
        <v>73</v>
      </c>
      <c r="G1691" s="2">
        <v>73</v>
      </c>
      <c r="H1691" s="2">
        <v>0</v>
      </c>
      <c r="I1691" s="1">
        <v>0</v>
      </c>
      <c r="J1691" s="26">
        <v>45152</v>
      </c>
      <c r="K1691" s="22">
        <v>109500</v>
      </c>
      <c r="L1691" s="18">
        <v>117.11</v>
      </c>
      <c r="M1691" s="22">
        <v>76650</v>
      </c>
      <c r="N1691" s="22">
        <v>32850</v>
      </c>
      <c r="O1691" s="18">
        <v>35.130000000000003</v>
      </c>
      <c r="P1691" s="52">
        <f>IF(COUNTIF(TblPurchases[BatchID],TblOutcomes[[#This Row],[BatchID]])&lt;&gt;1,"n.a.",TblOutcomes[[#This Row],[Qty Wasted]]*SUMIFS(TblPurchases[Unit Cost (CLP)],TblPurchases[BatchID],TblOutcomes[[#This Row],[BatchID]]))</f>
        <v>0</v>
      </c>
      <c r="Q1691" s="51">
        <f>IF(COUNTIF(TblPurchases[BatchID],TblOutcomes[[#This Row],[BatchID]])&lt;&gt;1,"n.a.",SUMIFS(TblPurchases[Purchase Date],TblPurchases[BatchID],TblOutcomes[[#This Row],[BatchID]]))</f>
        <v>45125</v>
      </c>
    </row>
    <row r="1692" spans="2:17" x14ac:dyDescent="0.25">
      <c r="B1692" s="2" t="s">
        <v>2497</v>
      </c>
      <c r="C1692" s="2" t="s">
        <v>216</v>
      </c>
      <c r="D1692" s="2" t="s">
        <v>201</v>
      </c>
      <c r="E1692" s="2" t="s">
        <v>4647</v>
      </c>
      <c r="F1692" s="2">
        <v>96</v>
      </c>
      <c r="G1692" s="2">
        <v>96</v>
      </c>
      <c r="H1692" s="2">
        <v>0</v>
      </c>
      <c r="I1692" s="1">
        <v>0</v>
      </c>
      <c r="J1692" s="26">
        <v>45217</v>
      </c>
      <c r="K1692" s="22">
        <v>144000</v>
      </c>
      <c r="L1692" s="18">
        <v>154.01</v>
      </c>
      <c r="M1692" s="22">
        <v>100800</v>
      </c>
      <c r="N1692" s="22">
        <v>43200</v>
      </c>
      <c r="O1692" s="18">
        <v>46.2</v>
      </c>
      <c r="P1692" s="52">
        <f>IF(COUNTIF(TblPurchases[BatchID],TblOutcomes[[#This Row],[BatchID]])&lt;&gt;1,"n.a.",TblOutcomes[[#This Row],[Qty Wasted]]*SUMIFS(TblPurchases[Unit Cost (CLP)],TblPurchases[BatchID],TblOutcomes[[#This Row],[BatchID]]))</f>
        <v>0</v>
      </c>
      <c r="Q1692" s="51">
        <f>IF(COUNTIF(TblPurchases[BatchID],TblOutcomes[[#This Row],[BatchID]])&lt;&gt;1,"n.a.",SUMIFS(TblPurchases[Purchase Date],TblPurchases[BatchID],TblOutcomes[[#This Row],[BatchID]]))</f>
        <v>45176</v>
      </c>
    </row>
    <row r="1693" spans="2:17" x14ac:dyDescent="0.25">
      <c r="B1693" s="2" t="s">
        <v>2498</v>
      </c>
      <c r="C1693" s="2" t="s">
        <v>216</v>
      </c>
      <c r="D1693" s="2" t="s">
        <v>201</v>
      </c>
      <c r="E1693" s="2" t="s">
        <v>4646</v>
      </c>
      <c r="F1693" s="2">
        <v>27</v>
      </c>
      <c r="G1693" s="2">
        <v>26.54</v>
      </c>
      <c r="H1693" s="2">
        <v>0.46</v>
      </c>
      <c r="I1693" s="1">
        <v>1.7</v>
      </c>
      <c r="J1693" s="26">
        <v>45762</v>
      </c>
      <c r="K1693" s="22">
        <v>39810</v>
      </c>
      <c r="L1693" s="18">
        <v>42.58</v>
      </c>
      <c r="M1693" s="22">
        <v>28350</v>
      </c>
      <c r="N1693" s="22">
        <v>11460</v>
      </c>
      <c r="O1693" s="18">
        <v>12.26</v>
      </c>
      <c r="P1693" s="52">
        <f>IF(COUNTIF(TblPurchases[BatchID],TblOutcomes[[#This Row],[BatchID]])&lt;&gt;1,"n.a.",TblOutcomes[[#This Row],[Qty Wasted]]*SUMIFS(TblPurchases[Unit Cost (CLP)],TblPurchases[BatchID],TblOutcomes[[#This Row],[BatchID]]))</f>
        <v>483</v>
      </c>
      <c r="Q1693" s="51">
        <f>IF(COUNTIF(TblPurchases[BatchID],TblOutcomes[[#This Row],[BatchID]])&lt;&gt;1,"n.a.",SUMIFS(TblPurchases[Purchase Date],TblPurchases[BatchID],TblOutcomes[[#This Row],[BatchID]]))</f>
        <v>45222</v>
      </c>
    </row>
    <row r="1694" spans="2:17" x14ac:dyDescent="0.25">
      <c r="B1694" s="2" t="s">
        <v>2499</v>
      </c>
      <c r="C1694" s="2" t="s">
        <v>216</v>
      </c>
      <c r="D1694" s="2" t="s">
        <v>201</v>
      </c>
      <c r="E1694" s="2" t="s">
        <v>4647</v>
      </c>
      <c r="F1694" s="2">
        <v>43</v>
      </c>
      <c r="G1694" s="2">
        <v>43</v>
      </c>
      <c r="H1694" s="2">
        <v>0</v>
      </c>
      <c r="I1694" s="1">
        <v>0</v>
      </c>
      <c r="J1694" s="26">
        <v>45292</v>
      </c>
      <c r="K1694" s="22">
        <v>64500</v>
      </c>
      <c r="L1694" s="18">
        <v>68.98</v>
      </c>
      <c r="M1694" s="22">
        <v>45150</v>
      </c>
      <c r="N1694" s="22">
        <v>19350</v>
      </c>
      <c r="O1694" s="18">
        <v>20.7</v>
      </c>
      <c r="P1694" s="52">
        <f>IF(COUNTIF(TblPurchases[BatchID],TblOutcomes[[#This Row],[BatchID]])&lt;&gt;1,"n.a.",TblOutcomes[[#This Row],[Qty Wasted]]*SUMIFS(TblPurchases[Unit Cost (CLP)],TblPurchases[BatchID],TblOutcomes[[#This Row],[BatchID]]))</f>
        <v>0</v>
      </c>
      <c r="Q1694" s="51">
        <f>IF(COUNTIF(TblPurchases[BatchID],TblOutcomes[[#This Row],[BatchID]])&lt;&gt;1,"n.a.",SUMIFS(TblPurchases[Purchase Date],TblPurchases[BatchID],TblOutcomes[[#This Row],[BatchID]]))</f>
        <v>45262</v>
      </c>
    </row>
    <row r="1695" spans="2:17" x14ac:dyDescent="0.25">
      <c r="B1695" s="2" t="s">
        <v>2500</v>
      </c>
      <c r="C1695" s="2" t="s">
        <v>216</v>
      </c>
      <c r="D1695" s="2" t="s">
        <v>201</v>
      </c>
      <c r="E1695" s="2" t="s">
        <v>4646</v>
      </c>
      <c r="F1695" s="2">
        <v>27</v>
      </c>
      <c r="G1695" s="2">
        <v>26.65</v>
      </c>
      <c r="H1695" s="2">
        <v>0.35</v>
      </c>
      <c r="I1695" s="1">
        <v>1.3</v>
      </c>
      <c r="J1695" s="26">
        <v>45862</v>
      </c>
      <c r="K1695" s="22">
        <v>39975</v>
      </c>
      <c r="L1695" s="18">
        <v>42.75</v>
      </c>
      <c r="M1695" s="22">
        <v>28350</v>
      </c>
      <c r="N1695" s="22">
        <v>11625</v>
      </c>
      <c r="O1695" s="18">
        <v>12.43</v>
      </c>
      <c r="P1695" s="52">
        <f>IF(COUNTIF(TblPurchases[BatchID],TblOutcomes[[#This Row],[BatchID]])&lt;&gt;1,"n.a.",TblOutcomes[[#This Row],[Qty Wasted]]*SUMIFS(TblPurchases[Unit Cost (CLP)],TblPurchases[BatchID],TblOutcomes[[#This Row],[BatchID]]))</f>
        <v>367.5</v>
      </c>
      <c r="Q1695" s="51">
        <f>IF(COUNTIF(TblPurchases[BatchID],TblOutcomes[[#This Row],[BatchID]])&lt;&gt;1,"n.a.",SUMIFS(TblPurchases[Purchase Date],TblPurchases[BatchID],TblOutcomes[[#This Row],[BatchID]]))</f>
        <v>45322</v>
      </c>
    </row>
    <row r="1696" spans="2:17" x14ac:dyDescent="0.25">
      <c r="B1696" s="2" t="s">
        <v>2501</v>
      </c>
      <c r="C1696" s="2" t="s">
        <v>216</v>
      </c>
      <c r="D1696" s="2" t="s">
        <v>201</v>
      </c>
      <c r="E1696" s="2" t="s">
        <v>4646</v>
      </c>
      <c r="F1696" s="2">
        <v>32</v>
      </c>
      <c r="G1696" s="2">
        <v>31.26</v>
      </c>
      <c r="H1696" s="2">
        <v>0.74</v>
      </c>
      <c r="I1696" s="1">
        <v>2.2999999999999998</v>
      </c>
      <c r="J1696" s="26">
        <v>45918</v>
      </c>
      <c r="K1696" s="22">
        <v>46890</v>
      </c>
      <c r="L1696" s="18">
        <v>50.15</v>
      </c>
      <c r="M1696" s="22">
        <v>33600</v>
      </c>
      <c r="N1696" s="22">
        <v>13290</v>
      </c>
      <c r="O1696" s="18">
        <v>14.21</v>
      </c>
      <c r="P1696" s="52">
        <f>IF(COUNTIF(TblPurchases[BatchID],TblOutcomes[[#This Row],[BatchID]])&lt;&gt;1,"n.a.",TblOutcomes[[#This Row],[Qty Wasted]]*SUMIFS(TblPurchases[Unit Cost (CLP)],TblPurchases[BatchID],TblOutcomes[[#This Row],[BatchID]]))</f>
        <v>777</v>
      </c>
      <c r="Q1696" s="51">
        <f>IF(COUNTIF(TblPurchases[BatchID],TblOutcomes[[#This Row],[BatchID]])&lt;&gt;1,"n.a.",SUMIFS(TblPurchases[Purchase Date],TblPurchases[BatchID],TblOutcomes[[#This Row],[BatchID]]))</f>
        <v>45378</v>
      </c>
    </row>
    <row r="1697" spans="2:17" x14ac:dyDescent="0.25">
      <c r="B1697" s="2" t="s">
        <v>2502</v>
      </c>
      <c r="C1697" s="2" t="s">
        <v>216</v>
      </c>
      <c r="D1697" s="2" t="s">
        <v>201</v>
      </c>
      <c r="E1697" s="2" t="s">
        <v>4647</v>
      </c>
      <c r="F1697" s="2">
        <v>78</v>
      </c>
      <c r="G1697" s="2">
        <v>78</v>
      </c>
      <c r="H1697" s="2">
        <v>0</v>
      </c>
      <c r="I1697" s="1">
        <v>0</v>
      </c>
      <c r="J1697" s="26">
        <v>45478</v>
      </c>
      <c r="K1697" s="22">
        <v>117000</v>
      </c>
      <c r="L1697" s="18">
        <v>125.13</v>
      </c>
      <c r="M1697" s="22">
        <v>81900</v>
      </c>
      <c r="N1697" s="22">
        <v>35100</v>
      </c>
      <c r="O1697" s="18">
        <v>37.54</v>
      </c>
      <c r="P1697" s="52">
        <f>IF(COUNTIF(TblPurchases[BatchID],TblOutcomes[[#This Row],[BatchID]])&lt;&gt;1,"n.a.",TblOutcomes[[#This Row],[Qty Wasted]]*SUMIFS(TblPurchases[Unit Cost (CLP)],TblPurchases[BatchID],TblOutcomes[[#This Row],[BatchID]]))</f>
        <v>0</v>
      </c>
      <c r="Q1697" s="51">
        <f>IF(COUNTIF(TblPurchases[BatchID],TblOutcomes[[#This Row],[BatchID]])&lt;&gt;1,"n.a.",SUMIFS(TblPurchases[Purchase Date],TblPurchases[BatchID],TblOutcomes[[#This Row],[BatchID]]))</f>
        <v>45421</v>
      </c>
    </row>
    <row r="1698" spans="2:17" x14ac:dyDescent="0.25">
      <c r="B1698" s="2" t="s">
        <v>2503</v>
      </c>
      <c r="C1698" s="2" t="s">
        <v>216</v>
      </c>
      <c r="D1698" s="2" t="s">
        <v>201</v>
      </c>
      <c r="E1698" s="2" t="s">
        <v>4646</v>
      </c>
      <c r="F1698" s="2">
        <v>68</v>
      </c>
      <c r="G1698" s="2">
        <v>67.180000000000007</v>
      </c>
      <c r="H1698" s="2">
        <v>0.82</v>
      </c>
      <c r="I1698" s="1">
        <v>1.2</v>
      </c>
      <c r="J1698" s="26">
        <v>46020</v>
      </c>
      <c r="K1698" s="22">
        <v>100770</v>
      </c>
      <c r="L1698" s="18">
        <v>107.78</v>
      </c>
      <c r="M1698" s="22">
        <v>71400</v>
      </c>
      <c r="N1698" s="22">
        <v>29370</v>
      </c>
      <c r="O1698" s="18">
        <v>31.41</v>
      </c>
      <c r="P1698" s="52">
        <f>IF(COUNTIF(TblPurchases[BatchID],TblOutcomes[[#This Row],[BatchID]])&lt;&gt;1,"n.a.",TblOutcomes[[#This Row],[Qty Wasted]]*SUMIFS(TblPurchases[Unit Cost (CLP)],TblPurchases[BatchID],TblOutcomes[[#This Row],[BatchID]]))</f>
        <v>861</v>
      </c>
      <c r="Q1698" s="51">
        <f>IF(COUNTIF(TblPurchases[BatchID],TblOutcomes[[#This Row],[BatchID]])&lt;&gt;1,"n.a.",SUMIFS(TblPurchases[Purchase Date],TblPurchases[BatchID],TblOutcomes[[#This Row],[BatchID]]))</f>
        <v>45480</v>
      </c>
    </row>
    <row r="1699" spans="2:17" x14ac:dyDescent="0.25">
      <c r="B1699" s="2" t="s">
        <v>2504</v>
      </c>
      <c r="C1699" s="2" t="s">
        <v>216</v>
      </c>
      <c r="D1699" s="2" t="s">
        <v>201</v>
      </c>
      <c r="E1699" s="2" t="s">
        <v>4647</v>
      </c>
      <c r="F1699" s="2">
        <v>98</v>
      </c>
      <c r="G1699" s="2">
        <v>98</v>
      </c>
      <c r="H1699" s="2">
        <v>0</v>
      </c>
      <c r="I1699" s="1">
        <v>0</v>
      </c>
      <c r="J1699" s="26">
        <v>45610</v>
      </c>
      <c r="K1699" s="22">
        <v>147000</v>
      </c>
      <c r="L1699" s="18">
        <v>157.22</v>
      </c>
      <c r="M1699" s="22">
        <v>102900</v>
      </c>
      <c r="N1699" s="22">
        <v>44100</v>
      </c>
      <c r="O1699" s="18">
        <v>47.17</v>
      </c>
      <c r="P1699" s="52">
        <f>IF(COUNTIF(TblPurchases[BatchID],TblOutcomes[[#This Row],[BatchID]])&lt;&gt;1,"n.a.",TblOutcomes[[#This Row],[Qty Wasted]]*SUMIFS(TblPurchases[Unit Cost (CLP)],TblPurchases[BatchID],TblOutcomes[[#This Row],[BatchID]]))</f>
        <v>0</v>
      </c>
      <c r="Q1699" s="51">
        <f>IF(COUNTIF(TblPurchases[BatchID],TblOutcomes[[#This Row],[BatchID]])&lt;&gt;1,"n.a.",SUMIFS(TblPurchases[Purchase Date],TblPurchases[BatchID],TblOutcomes[[#This Row],[BatchID]]))</f>
        <v>45557</v>
      </c>
    </row>
    <row r="1700" spans="2:17" x14ac:dyDescent="0.25">
      <c r="B1700" s="2" t="s">
        <v>2505</v>
      </c>
      <c r="C1700" s="2" t="s">
        <v>216</v>
      </c>
      <c r="D1700" s="2" t="s">
        <v>201</v>
      </c>
      <c r="E1700" s="2" t="s">
        <v>4647</v>
      </c>
      <c r="F1700" s="2">
        <v>42</v>
      </c>
      <c r="G1700" s="2">
        <v>42</v>
      </c>
      <c r="H1700" s="2">
        <v>0</v>
      </c>
      <c r="I1700" s="1">
        <v>0</v>
      </c>
      <c r="J1700" s="26">
        <v>45697</v>
      </c>
      <c r="K1700" s="22">
        <v>63000</v>
      </c>
      <c r="L1700" s="18">
        <v>67.38</v>
      </c>
      <c r="M1700" s="22">
        <v>44100</v>
      </c>
      <c r="N1700" s="22">
        <v>18900</v>
      </c>
      <c r="O1700" s="18">
        <v>20.21</v>
      </c>
      <c r="P1700" s="52">
        <f>IF(COUNTIF(TblPurchases[BatchID],TblOutcomes[[#This Row],[BatchID]])&lt;&gt;1,"n.a.",TblOutcomes[[#This Row],[Qty Wasted]]*SUMIFS(TblPurchases[Unit Cost (CLP)],TblPurchases[BatchID],TblOutcomes[[#This Row],[BatchID]]))</f>
        <v>0</v>
      </c>
      <c r="Q1700" s="51">
        <f>IF(COUNTIF(TblPurchases[BatchID],TblOutcomes[[#This Row],[BatchID]])&lt;&gt;1,"n.a.",SUMIFS(TblPurchases[Purchase Date],TblPurchases[BatchID],TblOutcomes[[#This Row],[BatchID]]))</f>
        <v>45633</v>
      </c>
    </row>
    <row r="1701" spans="2:17" x14ac:dyDescent="0.25">
      <c r="B1701" s="2" t="s">
        <v>2506</v>
      </c>
      <c r="C1701" s="2" t="s">
        <v>216</v>
      </c>
      <c r="D1701" s="2" t="s">
        <v>201</v>
      </c>
      <c r="E1701" s="2" t="s">
        <v>4646</v>
      </c>
      <c r="F1701" s="2">
        <v>36</v>
      </c>
      <c r="G1701" s="2">
        <v>35.71</v>
      </c>
      <c r="H1701" s="2">
        <v>0.28999999999999998</v>
      </c>
      <c r="I1701" s="1">
        <v>0.8</v>
      </c>
      <c r="J1701" s="26">
        <v>46231</v>
      </c>
      <c r="K1701" s="22">
        <v>53565</v>
      </c>
      <c r="L1701" s="18">
        <v>57.29</v>
      </c>
      <c r="M1701" s="22">
        <v>37800</v>
      </c>
      <c r="N1701" s="22">
        <v>15765</v>
      </c>
      <c r="O1701" s="18">
        <v>16.86</v>
      </c>
      <c r="P1701" s="52">
        <f>IF(COUNTIF(TblPurchases[BatchID],TblOutcomes[[#This Row],[BatchID]])&lt;&gt;1,"n.a.",TblOutcomes[[#This Row],[Qty Wasted]]*SUMIFS(TblPurchases[Unit Cost (CLP)],TblPurchases[BatchID],TblOutcomes[[#This Row],[BatchID]]))</f>
        <v>304.5</v>
      </c>
      <c r="Q1701" s="51">
        <f>IF(COUNTIF(TblPurchases[BatchID],TblOutcomes[[#This Row],[BatchID]])&lt;&gt;1,"n.a.",SUMIFS(TblPurchases[Purchase Date],TblPurchases[BatchID],TblOutcomes[[#This Row],[BatchID]]))</f>
        <v>45691</v>
      </c>
    </row>
    <row r="1702" spans="2:17" x14ac:dyDescent="0.25">
      <c r="B1702" s="2" t="s">
        <v>2507</v>
      </c>
      <c r="C1702" s="2" t="s">
        <v>216</v>
      </c>
      <c r="D1702" s="2" t="s">
        <v>201</v>
      </c>
      <c r="E1702" s="2" t="s">
        <v>4646</v>
      </c>
      <c r="F1702" s="2">
        <v>82</v>
      </c>
      <c r="G1702" s="2">
        <v>81.75</v>
      </c>
      <c r="H1702" s="2">
        <v>0.25</v>
      </c>
      <c r="I1702" s="1">
        <v>0.3</v>
      </c>
      <c r="J1702" s="26">
        <v>46300</v>
      </c>
      <c r="K1702" s="22">
        <v>122625</v>
      </c>
      <c r="L1702" s="18">
        <v>131.15</v>
      </c>
      <c r="M1702" s="22">
        <v>86100</v>
      </c>
      <c r="N1702" s="22">
        <v>36525</v>
      </c>
      <c r="O1702" s="18">
        <v>39.06</v>
      </c>
      <c r="P1702" s="52">
        <f>IF(COUNTIF(TblPurchases[BatchID],TblOutcomes[[#This Row],[BatchID]])&lt;&gt;1,"n.a.",TblOutcomes[[#This Row],[Qty Wasted]]*SUMIFS(TblPurchases[Unit Cost (CLP)],TblPurchases[BatchID],TblOutcomes[[#This Row],[BatchID]]))</f>
        <v>262.5</v>
      </c>
      <c r="Q1702" s="51">
        <f>IF(COUNTIF(TblPurchases[BatchID],TblOutcomes[[#This Row],[BatchID]])&lt;&gt;1,"n.a.",SUMIFS(TblPurchases[Purchase Date],TblPurchases[BatchID],TblOutcomes[[#This Row],[BatchID]]))</f>
        <v>45760</v>
      </c>
    </row>
    <row r="1703" spans="2:17" x14ac:dyDescent="0.25">
      <c r="B1703" s="2" t="s">
        <v>2508</v>
      </c>
      <c r="C1703" s="2" t="s">
        <v>216</v>
      </c>
      <c r="D1703" s="2" t="s">
        <v>201</v>
      </c>
      <c r="E1703" s="2" t="s">
        <v>4647</v>
      </c>
      <c r="F1703" s="2">
        <v>82</v>
      </c>
      <c r="G1703" s="2">
        <v>82</v>
      </c>
      <c r="H1703" s="2">
        <v>0</v>
      </c>
      <c r="I1703" s="1">
        <v>0</v>
      </c>
      <c r="J1703" s="26">
        <v>45900</v>
      </c>
      <c r="K1703" s="22">
        <v>123000</v>
      </c>
      <c r="L1703" s="18">
        <v>131.55000000000001</v>
      </c>
      <c r="M1703" s="22">
        <v>86100</v>
      </c>
      <c r="N1703" s="22">
        <v>36900</v>
      </c>
      <c r="O1703" s="18">
        <v>39.47</v>
      </c>
      <c r="P1703" s="52">
        <f>IF(COUNTIF(TblPurchases[BatchID],TblOutcomes[[#This Row],[BatchID]])&lt;&gt;1,"n.a.",TblOutcomes[[#This Row],[Qty Wasted]]*SUMIFS(TblPurchases[Unit Cost (CLP)],TblPurchases[BatchID],TblOutcomes[[#This Row],[BatchID]]))</f>
        <v>0</v>
      </c>
      <c r="Q1703" s="51">
        <f>IF(COUNTIF(TblPurchases[BatchID],TblOutcomes[[#This Row],[BatchID]])&lt;&gt;1,"n.a.",SUMIFS(TblPurchases[Purchase Date],TblPurchases[BatchID],TblOutcomes[[#This Row],[BatchID]]))</f>
        <v>45828</v>
      </c>
    </row>
    <row r="1704" spans="2:17" x14ac:dyDescent="0.25">
      <c r="B1704" s="2" t="s">
        <v>2509</v>
      </c>
      <c r="C1704" s="2" t="s">
        <v>218</v>
      </c>
      <c r="D1704" s="2" t="s">
        <v>201</v>
      </c>
      <c r="E1704" s="2" t="s">
        <v>4647</v>
      </c>
      <c r="F1704" s="2">
        <v>45</v>
      </c>
      <c r="G1704" s="2">
        <v>45</v>
      </c>
      <c r="H1704" s="2">
        <v>0</v>
      </c>
      <c r="I1704" s="1">
        <v>0</v>
      </c>
      <c r="J1704" s="26">
        <v>45186</v>
      </c>
      <c r="K1704" s="22">
        <v>67500</v>
      </c>
      <c r="L1704" s="18">
        <v>72.19</v>
      </c>
      <c r="M1704" s="22">
        <v>47250</v>
      </c>
      <c r="N1704" s="22">
        <v>20250</v>
      </c>
      <c r="O1704" s="18">
        <v>21.66</v>
      </c>
      <c r="P1704" s="52">
        <f>IF(COUNTIF(TblPurchases[BatchID],TblOutcomes[[#This Row],[BatchID]])&lt;&gt;1,"n.a.",TblOutcomes[[#This Row],[Qty Wasted]]*SUMIFS(TblPurchases[Unit Cost (CLP)],TblPurchases[BatchID],TblOutcomes[[#This Row],[BatchID]]))</f>
        <v>0</v>
      </c>
      <c r="Q1704" s="51">
        <f>IF(COUNTIF(TblPurchases[BatchID],TblOutcomes[[#This Row],[BatchID]])&lt;&gt;1,"n.a.",SUMIFS(TblPurchases[Purchase Date],TblPurchases[BatchID],TblOutcomes[[#This Row],[BatchID]]))</f>
        <v>45153</v>
      </c>
    </row>
    <row r="1705" spans="2:17" x14ac:dyDescent="0.25">
      <c r="B1705" s="2" t="s">
        <v>2510</v>
      </c>
      <c r="C1705" s="2" t="s">
        <v>218</v>
      </c>
      <c r="D1705" s="2" t="s">
        <v>201</v>
      </c>
      <c r="E1705" s="2" t="s">
        <v>4647</v>
      </c>
      <c r="F1705" s="2">
        <v>49</v>
      </c>
      <c r="G1705" s="2">
        <v>49</v>
      </c>
      <c r="H1705" s="2">
        <v>0</v>
      </c>
      <c r="I1705" s="1">
        <v>0</v>
      </c>
      <c r="J1705" s="26">
        <v>45287</v>
      </c>
      <c r="K1705" s="22">
        <v>73500</v>
      </c>
      <c r="L1705" s="18">
        <v>78.61</v>
      </c>
      <c r="M1705" s="22">
        <v>51450</v>
      </c>
      <c r="N1705" s="22">
        <v>22050</v>
      </c>
      <c r="O1705" s="18">
        <v>23.58</v>
      </c>
      <c r="P1705" s="52">
        <f>IF(COUNTIF(TblPurchases[BatchID],TblOutcomes[[#This Row],[BatchID]])&lt;&gt;1,"n.a.",TblOutcomes[[#This Row],[Qty Wasted]]*SUMIFS(TblPurchases[Unit Cost (CLP)],TblPurchases[BatchID],TblOutcomes[[#This Row],[BatchID]]))</f>
        <v>0</v>
      </c>
      <c r="Q1705" s="51">
        <f>IF(COUNTIF(TblPurchases[BatchID],TblOutcomes[[#This Row],[BatchID]])&lt;&gt;1,"n.a.",SUMIFS(TblPurchases[Purchase Date],TblPurchases[BatchID],TblOutcomes[[#This Row],[BatchID]]))</f>
        <v>45221</v>
      </c>
    </row>
    <row r="1706" spans="2:17" x14ac:dyDescent="0.25">
      <c r="B1706" s="2" t="s">
        <v>2511</v>
      </c>
      <c r="C1706" s="2" t="s">
        <v>218</v>
      </c>
      <c r="D1706" s="2" t="s">
        <v>201</v>
      </c>
      <c r="E1706" s="2" t="s">
        <v>4647</v>
      </c>
      <c r="F1706" s="2">
        <v>63</v>
      </c>
      <c r="G1706" s="2">
        <v>63</v>
      </c>
      <c r="H1706" s="2">
        <v>0</v>
      </c>
      <c r="I1706" s="1">
        <v>0</v>
      </c>
      <c r="J1706" s="26">
        <v>45305</v>
      </c>
      <c r="K1706" s="22">
        <v>94500</v>
      </c>
      <c r="L1706" s="18">
        <v>101.07</v>
      </c>
      <c r="M1706" s="22">
        <v>66150</v>
      </c>
      <c r="N1706" s="22">
        <v>28350</v>
      </c>
      <c r="O1706" s="18">
        <v>30.32</v>
      </c>
      <c r="P1706" s="52">
        <f>IF(COUNTIF(TblPurchases[BatchID],TblOutcomes[[#This Row],[BatchID]])&lt;&gt;1,"n.a.",TblOutcomes[[#This Row],[Qty Wasted]]*SUMIFS(TblPurchases[Unit Cost (CLP)],TblPurchases[BatchID],TblOutcomes[[#This Row],[BatchID]]))</f>
        <v>0</v>
      </c>
      <c r="Q1706" s="51">
        <f>IF(COUNTIF(TblPurchases[BatchID],TblOutcomes[[#This Row],[BatchID]])&lt;&gt;1,"n.a.",SUMIFS(TblPurchases[Purchase Date],TblPurchases[BatchID],TblOutcomes[[#This Row],[BatchID]]))</f>
        <v>45271</v>
      </c>
    </row>
    <row r="1707" spans="2:17" x14ac:dyDescent="0.25">
      <c r="B1707" s="2" t="s">
        <v>2512</v>
      </c>
      <c r="C1707" s="2" t="s">
        <v>218</v>
      </c>
      <c r="D1707" s="2" t="s">
        <v>201</v>
      </c>
      <c r="E1707" s="2" t="s">
        <v>4647</v>
      </c>
      <c r="F1707" s="2">
        <v>55</v>
      </c>
      <c r="G1707" s="2">
        <v>55</v>
      </c>
      <c r="H1707" s="2">
        <v>0</v>
      </c>
      <c r="I1707" s="1">
        <v>0</v>
      </c>
      <c r="J1707" s="26">
        <v>45410</v>
      </c>
      <c r="K1707" s="22">
        <v>82500</v>
      </c>
      <c r="L1707" s="18">
        <v>88.24</v>
      </c>
      <c r="M1707" s="22">
        <v>57750</v>
      </c>
      <c r="N1707" s="22">
        <v>24750</v>
      </c>
      <c r="O1707" s="18">
        <v>26.47</v>
      </c>
      <c r="P1707" s="52">
        <f>IF(COUNTIF(TblPurchases[BatchID],TblOutcomes[[#This Row],[BatchID]])&lt;&gt;1,"n.a.",TblOutcomes[[#This Row],[Qty Wasted]]*SUMIFS(TblPurchases[Unit Cost (CLP)],TblPurchases[BatchID],TblOutcomes[[#This Row],[BatchID]]))</f>
        <v>0</v>
      </c>
      <c r="Q1707" s="51">
        <f>IF(COUNTIF(TblPurchases[BatchID],TblOutcomes[[#This Row],[BatchID]])&lt;&gt;1,"n.a.",SUMIFS(TblPurchases[Purchase Date],TblPurchases[BatchID],TblOutcomes[[#This Row],[BatchID]]))</f>
        <v>45328</v>
      </c>
    </row>
    <row r="1708" spans="2:17" x14ac:dyDescent="0.25">
      <c r="B1708" s="2" t="s">
        <v>2513</v>
      </c>
      <c r="C1708" s="2" t="s">
        <v>218</v>
      </c>
      <c r="D1708" s="2" t="s">
        <v>201</v>
      </c>
      <c r="E1708" s="2" t="s">
        <v>4647</v>
      </c>
      <c r="F1708" s="2">
        <v>57</v>
      </c>
      <c r="G1708" s="2">
        <v>57</v>
      </c>
      <c r="H1708" s="2">
        <v>0</v>
      </c>
      <c r="I1708" s="1">
        <v>0</v>
      </c>
      <c r="J1708" s="26">
        <v>45463</v>
      </c>
      <c r="K1708" s="22">
        <v>85500</v>
      </c>
      <c r="L1708" s="18">
        <v>91.44</v>
      </c>
      <c r="M1708" s="22">
        <v>59850</v>
      </c>
      <c r="N1708" s="22">
        <v>25650</v>
      </c>
      <c r="O1708" s="18">
        <v>27.43</v>
      </c>
      <c r="P1708" s="52">
        <f>IF(COUNTIF(TblPurchases[BatchID],TblOutcomes[[#This Row],[BatchID]])&lt;&gt;1,"n.a.",TblOutcomes[[#This Row],[Qty Wasted]]*SUMIFS(TblPurchases[Unit Cost (CLP)],TblPurchases[BatchID],TblOutcomes[[#This Row],[BatchID]]))</f>
        <v>0</v>
      </c>
      <c r="Q1708" s="51">
        <f>IF(COUNTIF(TblPurchases[BatchID],TblOutcomes[[#This Row],[BatchID]])&lt;&gt;1,"n.a.",SUMIFS(TblPurchases[Purchase Date],TblPurchases[BatchID],TblOutcomes[[#This Row],[BatchID]]))</f>
        <v>45401</v>
      </c>
    </row>
    <row r="1709" spans="2:17" x14ac:dyDescent="0.25">
      <c r="B1709" s="2" t="s">
        <v>2514</v>
      </c>
      <c r="C1709" s="2" t="s">
        <v>218</v>
      </c>
      <c r="D1709" s="2" t="s">
        <v>201</v>
      </c>
      <c r="E1709" s="2" t="s">
        <v>4646</v>
      </c>
      <c r="F1709" s="2">
        <v>56</v>
      </c>
      <c r="G1709" s="2">
        <v>55.33</v>
      </c>
      <c r="H1709" s="2">
        <v>0.67</v>
      </c>
      <c r="I1709" s="1">
        <v>1.2</v>
      </c>
      <c r="J1709" s="26">
        <v>45980</v>
      </c>
      <c r="K1709" s="22">
        <v>82995</v>
      </c>
      <c r="L1709" s="18">
        <v>88.76</v>
      </c>
      <c r="M1709" s="22">
        <v>58800</v>
      </c>
      <c r="N1709" s="22">
        <v>24195</v>
      </c>
      <c r="O1709" s="18">
        <v>25.88</v>
      </c>
      <c r="P1709" s="52">
        <f>IF(COUNTIF(TblPurchases[BatchID],TblOutcomes[[#This Row],[BatchID]])&lt;&gt;1,"n.a.",TblOutcomes[[#This Row],[Qty Wasted]]*SUMIFS(TblPurchases[Unit Cost (CLP)],TblPurchases[BatchID],TblOutcomes[[#This Row],[BatchID]]))</f>
        <v>703.5</v>
      </c>
      <c r="Q1709" s="51">
        <f>IF(COUNTIF(TblPurchases[BatchID],TblOutcomes[[#This Row],[BatchID]])&lt;&gt;1,"n.a.",SUMIFS(TblPurchases[Purchase Date],TblPurchases[BatchID],TblOutcomes[[#This Row],[BatchID]]))</f>
        <v>45440</v>
      </c>
    </row>
    <row r="1710" spans="2:17" x14ac:dyDescent="0.25">
      <c r="B1710" s="2" t="s">
        <v>2515</v>
      </c>
      <c r="C1710" s="2" t="s">
        <v>218</v>
      </c>
      <c r="D1710" s="2" t="s">
        <v>201</v>
      </c>
      <c r="E1710" s="2" t="s">
        <v>4646</v>
      </c>
      <c r="F1710" s="2">
        <v>45</v>
      </c>
      <c r="G1710" s="2">
        <v>44.73</v>
      </c>
      <c r="H1710" s="2">
        <v>0.27</v>
      </c>
      <c r="I1710" s="1">
        <v>0.6</v>
      </c>
      <c r="J1710" s="26">
        <v>46040</v>
      </c>
      <c r="K1710" s="22">
        <v>67095</v>
      </c>
      <c r="L1710" s="18">
        <v>71.760000000000005</v>
      </c>
      <c r="M1710" s="22">
        <v>47250</v>
      </c>
      <c r="N1710" s="22">
        <v>19845</v>
      </c>
      <c r="O1710" s="18">
        <v>21.22</v>
      </c>
      <c r="P1710" s="52">
        <f>IF(COUNTIF(TblPurchases[BatchID],TblOutcomes[[#This Row],[BatchID]])&lt;&gt;1,"n.a.",TblOutcomes[[#This Row],[Qty Wasted]]*SUMIFS(TblPurchases[Unit Cost (CLP)],TblPurchases[BatchID],TblOutcomes[[#This Row],[BatchID]]))</f>
        <v>283.5</v>
      </c>
      <c r="Q1710" s="51">
        <f>IF(COUNTIF(TblPurchases[BatchID],TblOutcomes[[#This Row],[BatchID]])&lt;&gt;1,"n.a.",SUMIFS(TblPurchases[Purchase Date],TblPurchases[BatchID],TblOutcomes[[#This Row],[BatchID]]))</f>
        <v>45500</v>
      </c>
    </row>
    <row r="1711" spans="2:17" x14ac:dyDescent="0.25">
      <c r="B1711" s="2" t="s">
        <v>2516</v>
      </c>
      <c r="C1711" s="2" t="s">
        <v>218</v>
      </c>
      <c r="D1711" s="2" t="s">
        <v>201</v>
      </c>
      <c r="E1711" s="2" t="s">
        <v>4646</v>
      </c>
      <c r="F1711" s="2">
        <v>65</v>
      </c>
      <c r="G1711" s="2">
        <v>64.28</v>
      </c>
      <c r="H1711" s="2">
        <v>0.71</v>
      </c>
      <c r="I1711" s="1">
        <v>1.1000000000000001</v>
      </c>
      <c r="J1711" s="26">
        <v>46100</v>
      </c>
      <c r="K1711" s="22">
        <v>96420</v>
      </c>
      <c r="L1711" s="18">
        <v>103.12</v>
      </c>
      <c r="M1711" s="22">
        <v>68250</v>
      </c>
      <c r="N1711" s="22">
        <v>28170</v>
      </c>
      <c r="O1711" s="18">
        <v>30.13</v>
      </c>
      <c r="P1711" s="52">
        <f>IF(COUNTIF(TblPurchases[BatchID],TblOutcomes[[#This Row],[BatchID]])&lt;&gt;1,"n.a.",TblOutcomes[[#This Row],[Qty Wasted]]*SUMIFS(TblPurchases[Unit Cost (CLP)],TblPurchases[BatchID],TblOutcomes[[#This Row],[BatchID]]))</f>
        <v>745.5</v>
      </c>
      <c r="Q1711" s="51">
        <f>IF(COUNTIF(TblPurchases[BatchID],TblOutcomes[[#This Row],[BatchID]])&lt;&gt;1,"n.a.",SUMIFS(TblPurchases[Purchase Date],TblPurchases[BatchID],TblOutcomes[[#This Row],[BatchID]]))</f>
        <v>45560</v>
      </c>
    </row>
    <row r="1712" spans="2:17" x14ac:dyDescent="0.25">
      <c r="B1712" s="2" t="s">
        <v>2517</v>
      </c>
      <c r="C1712" s="2" t="s">
        <v>218</v>
      </c>
      <c r="D1712" s="2" t="s">
        <v>201</v>
      </c>
      <c r="E1712" s="2" t="s">
        <v>4647</v>
      </c>
      <c r="F1712" s="2">
        <v>43</v>
      </c>
      <c r="G1712" s="2">
        <v>43</v>
      </c>
      <c r="H1712" s="2">
        <v>0</v>
      </c>
      <c r="I1712" s="1">
        <v>0</v>
      </c>
      <c r="J1712" s="26">
        <v>45666</v>
      </c>
      <c r="K1712" s="22">
        <v>64500</v>
      </c>
      <c r="L1712" s="18">
        <v>68.98</v>
      </c>
      <c r="M1712" s="22">
        <v>45150</v>
      </c>
      <c r="N1712" s="22">
        <v>19350</v>
      </c>
      <c r="O1712" s="18">
        <v>20.7</v>
      </c>
      <c r="P1712" s="52">
        <f>IF(COUNTIF(TblPurchases[BatchID],TblOutcomes[[#This Row],[BatchID]])&lt;&gt;1,"n.a.",TblOutcomes[[#This Row],[Qty Wasted]]*SUMIFS(TblPurchases[Unit Cost (CLP)],TblPurchases[BatchID],TblOutcomes[[#This Row],[BatchID]]))</f>
        <v>0</v>
      </c>
      <c r="Q1712" s="51">
        <f>IF(COUNTIF(TblPurchases[BatchID],TblOutcomes[[#This Row],[BatchID]])&lt;&gt;1,"n.a.",SUMIFS(TblPurchases[Purchase Date],TblPurchases[BatchID],TblOutcomes[[#This Row],[BatchID]]))</f>
        <v>45619</v>
      </c>
    </row>
    <row r="1713" spans="2:17" x14ac:dyDescent="0.25">
      <c r="B1713" s="2" t="s">
        <v>2518</v>
      </c>
      <c r="C1713" s="2" t="s">
        <v>218</v>
      </c>
      <c r="D1713" s="2" t="s">
        <v>201</v>
      </c>
      <c r="E1713" s="2" t="s">
        <v>4646</v>
      </c>
      <c r="F1713" s="2">
        <v>55</v>
      </c>
      <c r="G1713" s="2">
        <v>54.67</v>
      </c>
      <c r="H1713" s="2">
        <v>0.33</v>
      </c>
      <c r="I1713" s="1">
        <v>0.6</v>
      </c>
      <c r="J1713" s="26">
        <v>46217</v>
      </c>
      <c r="K1713" s="22">
        <v>82005</v>
      </c>
      <c r="L1713" s="18">
        <v>87.71</v>
      </c>
      <c r="M1713" s="22">
        <v>57750</v>
      </c>
      <c r="N1713" s="22">
        <v>24255</v>
      </c>
      <c r="O1713" s="18">
        <v>25.94</v>
      </c>
      <c r="P1713" s="52">
        <f>IF(COUNTIF(TblPurchases[BatchID],TblOutcomes[[#This Row],[BatchID]])&lt;&gt;1,"n.a.",TblOutcomes[[#This Row],[Qty Wasted]]*SUMIFS(TblPurchases[Unit Cost (CLP)],TblPurchases[BatchID],TblOutcomes[[#This Row],[BatchID]]))</f>
        <v>346.5</v>
      </c>
      <c r="Q1713" s="51">
        <f>IF(COUNTIF(TblPurchases[BatchID],TblOutcomes[[#This Row],[BatchID]])&lt;&gt;1,"n.a.",SUMIFS(TblPurchases[Purchase Date],TblPurchases[BatchID],TblOutcomes[[#This Row],[BatchID]]))</f>
        <v>45677</v>
      </c>
    </row>
    <row r="1714" spans="2:17" x14ac:dyDescent="0.25">
      <c r="B1714" s="2" t="s">
        <v>2519</v>
      </c>
      <c r="C1714" s="2" t="s">
        <v>218</v>
      </c>
      <c r="D1714" s="2" t="s">
        <v>201</v>
      </c>
      <c r="E1714" s="2" t="s">
        <v>4647</v>
      </c>
      <c r="F1714" s="2">
        <v>54</v>
      </c>
      <c r="G1714" s="2">
        <v>54</v>
      </c>
      <c r="H1714" s="2">
        <v>0</v>
      </c>
      <c r="I1714" s="1">
        <v>0</v>
      </c>
      <c r="J1714" s="26">
        <v>45759</v>
      </c>
      <c r="K1714" s="22">
        <v>81000</v>
      </c>
      <c r="L1714" s="18">
        <v>86.63</v>
      </c>
      <c r="M1714" s="22">
        <v>56700</v>
      </c>
      <c r="N1714" s="22">
        <v>24300</v>
      </c>
      <c r="O1714" s="18">
        <v>25.99</v>
      </c>
      <c r="P1714" s="52">
        <f>IF(COUNTIF(TblPurchases[BatchID],TblOutcomes[[#This Row],[BatchID]])&lt;&gt;1,"n.a.",TblOutcomes[[#This Row],[Qty Wasted]]*SUMIFS(TblPurchases[Unit Cost (CLP)],TblPurchases[BatchID],TblOutcomes[[#This Row],[BatchID]]))</f>
        <v>0</v>
      </c>
      <c r="Q1714" s="51">
        <f>IF(COUNTIF(TblPurchases[BatchID],TblOutcomes[[#This Row],[BatchID]])&lt;&gt;1,"n.a.",SUMIFS(TblPurchases[Purchase Date],TblPurchases[BatchID],TblOutcomes[[#This Row],[BatchID]]))</f>
        <v>45731</v>
      </c>
    </row>
    <row r="1715" spans="2:17" x14ac:dyDescent="0.25">
      <c r="B1715" s="2" t="s">
        <v>2520</v>
      </c>
      <c r="C1715" s="2" t="s">
        <v>218</v>
      </c>
      <c r="D1715" s="2" t="s">
        <v>201</v>
      </c>
      <c r="E1715" s="2" t="s">
        <v>4646</v>
      </c>
      <c r="F1715" s="2">
        <v>55</v>
      </c>
      <c r="G1715" s="2">
        <v>54.45</v>
      </c>
      <c r="H1715" s="2">
        <v>0.55000000000000004</v>
      </c>
      <c r="I1715" s="1">
        <v>1</v>
      </c>
      <c r="J1715" s="26">
        <v>46323</v>
      </c>
      <c r="K1715" s="22">
        <v>81675</v>
      </c>
      <c r="L1715" s="18">
        <v>87.35</v>
      </c>
      <c r="M1715" s="22">
        <v>57750</v>
      </c>
      <c r="N1715" s="22">
        <v>23925</v>
      </c>
      <c r="O1715" s="18">
        <v>25.59</v>
      </c>
      <c r="P1715" s="52">
        <f>IF(COUNTIF(TblPurchases[BatchID],TblOutcomes[[#This Row],[BatchID]])&lt;&gt;1,"n.a.",TblOutcomes[[#This Row],[Qty Wasted]]*SUMIFS(TblPurchases[Unit Cost (CLP)],TblPurchases[BatchID],TblOutcomes[[#This Row],[BatchID]]))</f>
        <v>577.5</v>
      </c>
      <c r="Q1715" s="51">
        <f>IF(COUNTIF(TblPurchases[BatchID],TblOutcomes[[#This Row],[BatchID]])&lt;&gt;1,"n.a.",SUMIFS(TblPurchases[Purchase Date],TblPurchases[BatchID],TblOutcomes[[#This Row],[BatchID]]))</f>
        <v>45783</v>
      </c>
    </row>
    <row r="1716" spans="2:17" x14ac:dyDescent="0.25">
      <c r="B1716" s="2" t="s">
        <v>2521</v>
      </c>
      <c r="C1716" s="2" t="s">
        <v>220</v>
      </c>
      <c r="D1716" s="2" t="s">
        <v>201</v>
      </c>
      <c r="E1716" s="2" t="s">
        <v>4647</v>
      </c>
      <c r="F1716" s="2">
        <v>54</v>
      </c>
      <c r="G1716" s="2">
        <v>54</v>
      </c>
      <c r="H1716" s="2">
        <v>0</v>
      </c>
      <c r="I1716" s="1">
        <v>0</v>
      </c>
      <c r="J1716" s="26">
        <v>45207</v>
      </c>
      <c r="K1716" s="22">
        <v>108000</v>
      </c>
      <c r="L1716" s="18">
        <v>115.51</v>
      </c>
      <c r="M1716" s="22">
        <v>78300</v>
      </c>
      <c r="N1716" s="22">
        <v>29700</v>
      </c>
      <c r="O1716" s="18">
        <v>31.76</v>
      </c>
      <c r="P1716" s="52">
        <f>IF(COUNTIF(TblPurchases[BatchID],TblOutcomes[[#This Row],[BatchID]])&lt;&gt;1,"n.a.",TblOutcomes[[#This Row],[Qty Wasted]]*SUMIFS(TblPurchases[Unit Cost (CLP)],TblPurchases[BatchID],TblOutcomes[[#This Row],[BatchID]]))</f>
        <v>0</v>
      </c>
      <c r="Q1716" s="51">
        <f>IF(COUNTIF(TblPurchases[BatchID],TblOutcomes[[#This Row],[BatchID]])&lt;&gt;1,"n.a.",SUMIFS(TblPurchases[Purchase Date],TblPurchases[BatchID],TblOutcomes[[#This Row],[BatchID]]))</f>
        <v>45157</v>
      </c>
    </row>
    <row r="1717" spans="2:17" x14ac:dyDescent="0.25">
      <c r="B1717" s="2" t="s">
        <v>2522</v>
      </c>
      <c r="C1717" s="2" t="s">
        <v>220</v>
      </c>
      <c r="D1717" s="2" t="s">
        <v>201</v>
      </c>
      <c r="E1717" s="2" t="s">
        <v>4647</v>
      </c>
      <c r="F1717" s="2">
        <v>57</v>
      </c>
      <c r="G1717" s="2">
        <v>57</v>
      </c>
      <c r="H1717" s="2">
        <v>0</v>
      </c>
      <c r="I1717" s="1">
        <v>0</v>
      </c>
      <c r="J1717" s="26">
        <v>45264</v>
      </c>
      <c r="K1717" s="22">
        <v>114000</v>
      </c>
      <c r="L1717" s="18">
        <v>121.93</v>
      </c>
      <c r="M1717" s="22">
        <v>76950</v>
      </c>
      <c r="N1717" s="22">
        <v>37050</v>
      </c>
      <c r="O1717" s="18">
        <v>39.630000000000003</v>
      </c>
      <c r="P1717" s="52">
        <f>IF(COUNTIF(TblPurchases[BatchID],TblOutcomes[[#This Row],[BatchID]])&lt;&gt;1,"n.a.",TblOutcomes[[#This Row],[Qty Wasted]]*SUMIFS(TblPurchases[Unit Cost (CLP)],TblPurchases[BatchID],TblOutcomes[[#This Row],[BatchID]]))</f>
        <v>0</v>
      </c>
      <c r="Q1717" s="51">
        <f>IF(COUNTIF(TblPurchases[BatchID],TblOutcomes[[#This Row],[BatchID]])&lt;&gt;1,"n.a.",SUMIFS(TblPurchases[Purchase Date],TblPurchases[BatchID],TblOutcomes[[#This Row],[BatchID]]))</f>
        <v>45226</v>
      </c>
    </row>
    <row r="1718" spans="2:17" x14ac:dyDescent="0.25">
      <c r="B1718" s="2" t="s">
        <v>2523</v>
      </c>
      <c r="C1718" s="2" t="s">
        <v>220</v>
      </c>
      <c r="D1718" s="2" t="s">
        <v>201</v>
      </c>
      <c r="E1718" s="2" t="s">
        <v>4647</v>
      </c>
      <c r="F1718" s="2">
        <v>46</v>
      </c>
      <c r="G1718" s="2">
        <v>46</v>
      </c>
      <c r="H1718" s="2">
        <v>0</v>
      </c>
      <c r="I1718" s="1">
        <v>0</v>
      </c>
      <c r="J1718" s="26">
        <v>45354</v>
      </c>
      <c r="K1718" s="22">
        <v>92000</v>
      </c>
      <c r="L1718" s="18">
        <v>98.4</v>
      </c>
      <c r="M1718" s="22">
        <v>62100</v>
      </c>
      <c r="N1718" s="22">
        <v>29900</v>
      </c>
      <c r="O1718" s="18">
        <v>31.98</v>
      </c>
      <c r="P1718" s="52">
        <f>IF(COUNTIF(TblPurchases[BatchID],TblOutcomes[[#This Row],[BatchID]])&lt;&gt;1,"n.a.",TblOutcomes[[#This Row],[Qty Wasted]]*SUMIFS(TblPurchases[Unit Cost (CLP)],TblPurchases[BatchID],TblOutcomes[[#This Row],[BatchID]]))</f>
        <v>0</v>
      </c>
      <c r="Q1718" s="51">
        <f>IF(COUNTIF(TblPurchases[BatchID],TblOutcomes[[#This Row],[BatchID]])&lt;&gt;1,"n.a.",SUMIFS(TblPurchases[Purchase Date],TblPurchases[BatchID],TblOutcomes[[#This Row],[BatchID]]))</f>
        <v>45295</v>
      </c>
    </row>
    <row r="1719" spans="2:17" x14ac:dyDescent="0.25">
      <c r="B1719" s="2" t="s">
        <v>2524</v>
      </c>
      <c r="C1719" s="2" t="s">
        <v>220</v>
      </c>
      <c r="D1719" s="2" t="s">
        <v>201</v>
      </c>
      <c r="E1719" s="2" t="s">
        <v>4647</v>
      </c>
      <c r="F1719" s="2">
        <v>56</v>
      </c>
      <c r="G1719" s="2">
        <v>56</v>
      </c>
      <c r="H1719" s="2">
        <v>0</v>
      </c>
      <c r="I1719" s="1">
        <v>0</v>
      </c>
      <c r="J1719" s="26">
        <v>45406</v>
      </c>
      <c r="K1719" s="22">
        <v>112000</v>
      </c>
      <c r="L1719" s="18">
        <v>119.79</v>
      </c>
      <c r="M1719" s="22">
        <v>75600</v>
      </c>
      <c r="N1719" s="22">
        <v>36400</v>
      </c>
      <c r="O1719" s="18">
        <v>38.93</v>
      </c>
      <c r="P1719" s="52">
        <f>IF(COUNTIF(TblPurchases[BatchID],TblOutcomes[[#This Row],[BatchID]])&lt;&gt;1,"n.a.",TblOutcomes[[#This Row],[Qty Wasted]]*SUMIFS(TblPurchases[Unit Cost (CLP)],TblPurchases[BatchID],TblOutcomes[[#This Row],[BatchID]]))</f>
        <v>0</v>
      </c>
      <c r="Q1719" s="51">
        <f>IF(COUNTIF(TblPurchases[BatchID],TblOutcomes[[#This Row],[BatchID]])&lt;&gt;1,"n.a.",SUMIFS(TblPurchases[Purchase Date],TblPurchases[BatchID],TblOutcomes[[#This Row],[BatchID]]))</f>
        <v>45359</v>
      </c>
    </row>
    <row r="1720" spans="2:17" x14ac:dyDescent="0.25">
      <c r="B1720" s="2" t="s">
        <v>2525</v>
      </c>
      <c r="C1720" s="2" t="s">
        <v>220</v>
      </c>
      <c r="D1720" s="2" t="s">
        <v>201</v>
      </c>
      <c r="E1720" s="2" t="s">
        <v>4646</v>
      </c>
      <c r="F1720" s="2">
        <v>56</v>
      </c>
      <c r="G1720" s="2">
        <v>55.66</v>
      </c>
      <c r="H1720" s="2">
        <v>0.34</v>
      </c>
      <c r="I1720" s="1">
        <v>0.6</v>
      </c>
      <c r="J1720" s="26">
        <v>45959</v>
      </c>
      <c r="K1720" s="22">
        <v>111320</v>
      </c>
      <c r="L1720" s="18">
        <v>119.06</v>
      </c>
      <c r="M1720" s="22">
        <v>75600</v>
      </c>
      <c r="N1720" s="22">
        <v>35720</v>
      </c>
      <c r="O1720" s="18">
        <v>38.200000000000003</v>
      </c>
      <c r="P1720" s="52">
        <f>IF(COUNTIF(TblPurchases[BatchID],TblOutcomes[[#This Row],[BatchID]])&lt;&gt;1,"n.a.",TblOutcomes[[#This Row],[Qty Wasted]]*SUMIFS(TblPurchases[Unit Cost (CLP)],TblPurchases[BatchID],TblOutcomes[[#This Row],[BatchID]]))</f>
        <v>459.00000000000006</v>
      </c>
      <c r="Q1720" s="51">
        <f>IF(COUNTIF(TblPurchases[BatchID],TblOutcomes[[#This Row],[BatchID]])&lt;&gt;1,"n.a.",SUMIFS(TblPurchases[Purchase Date],TblPurchases[BatchID],TblOutcomes[[#This Row],[BatchID]]))</f>
        <v>45419</v>
      </c>
    </row>
    <row r="1721" spans="2:17" x14ac:dyDescent="0.25">
      <c r="B1721" s="2" t="s">
        <v>2526</v>
      </c>
      <c r="C1721" s="2" t="s">
        <v>220</v>
      </c>
      <c r="D1721" s="2" t="s">
        <v>201</v>
      </c>
      <c r="E1721" s="2" t="s">
        <v>4646</v>
      </c>
      <c r="F1721" s="2">
        <v>50</v>
      </c>
      <c r="G1721" s="2">
        <v>49.15</v>
      </c>
      <c r="H1721" s="2">
        <v>0.85</v>
      </c>
      <c r="I1721" s="1">
        <v>1.7</v>
      </c>
      <c r="J1721" s="26">
        <v>46013</v>
      </c>
      <c r="K1721" s="22">
        <v>98300</v>
      </c>
      <c r="L1721" s="18">
        <v>105.13</v>
      </c>
      <c r="M1721" s="22">
        <v>72500</v>
      </c>
      <c r="N1721" s="22">
        <v>25800</v>
      </c>
      <c r="O1721" s="18">
        <v>27.59</v>
      </c>
      <c r="P1721" s="52">
        <f>IF(COUNTIF(TblPurchases[BatchID],TblOutcomes[[#This Row],[BatchID]])&lt;&gt;1,"n.a.",TblOutcomes[[#This Row],[Qty Wasted]]*SUMIFS(TblPurchases[Unit Cost (CLP)],TblPurchases[BatchID],TblOutcomes[[#This Row],[BatchID]]))</f>
        <v>1232.5</v>
      </c>
      <c r="Q1721" s="51">
        <f>IF(COUNTIF(TblPurchases[BatchID],TblOutcomes[[#This Row],[BatchID]])&lt;&gt;1,"n.a.",SUMIFS(TblPurchases[Purchase Date],TblPurchases[BatchID],TblOutcomes[[#This Row],[BatchID]]))</f>
        <v>45473</v>
      </c>
    </row>
    <row r="1722" spans="2:17" x14ac:dyDescent="0.25">
      <c r="B1722" s="2" t="s">
        <v>2527</v>
      </c>
      <c r="C1722" s="2" t="s">
        <v>220</v>
      </c>
      <c r="D1722" s="2" t="s">
        <v>201</v>
      </c>
      <c r="E1722" s="2" t="s">
        <v>4646</v>
      </c>
      <c r="F1722" s="2">
        <v>56</v>
      </c>
      <c r="G1722" s="2">
        <v>55.61</v>
      </c>
      <c r="H1722" s="2">
        <v>0.39</v>
      </c>
      <c r="I1722" s="1">
        <v>0.7</v>
      </c>
      <c r="J1722" s="26">
        <v>46077</v>
      </c>
      <c r="K1722" s="22">
        <v>111220</v>
      </c>
      <c r="L1722" s="18">
        <v>118.95</v>
      </c>
      <c r="M1722" s="22">
        <v>75600</v>
      </c>
      <c r="N1722" s="22">
        <v>35620</v>
      </c>
      <c r="O1722" s="18">
        <v>38.1</v>
      </c>
      <c r="P1722" s="52">
        <f>IF(COUNTIF(TblPurchases[BatchID],TblOutcomes[[#This Row],[BatchID]])&lt;&gt;1,"n.a.",TblOutcomes[[#This Row],[Qty Wasted]]*SUMIFS(TblPurchases[Unit Cost (CLP)],TblPurchases[BatchID],TblOutcomes[[#This Row],[BatchID]]))</f>
        <v>526.5</v>
      </c>
      <c r="Q1722" s="51">
        <f>IF(COUNTIF(TblPurchases[BatchID],TblOutcomes[[#This Row],[BatchID]])&lt;&gt;1,"n.a.",SUMIFS(TblPurchases[Purchase Date],TblPurchases[BatchID],TblOutcomes[[#This Row],[BatchID]]))</f>
        <v>45537</v>
      </c>
    </row>
    <row r="1723" spans="2:17" x14ac:dyDescent="0.25">
      <c r="B1723" s="2" t="s">
        <v>2528</v>
      </c>
      <c r="C1723" s="2" t="s">
        <v>220</v>
      </c>
      <c r="D1723" s="2" t="s">
        <v>201</v>
      </c>
      <c r="E1723" s="2" t="s">
        <v>4646</v>
      </c>
      <c r="F1723" s="2">
        <v>55</v>
      </c>
      <c r="G1723" s="2">
        <v>54.45</v>
      </c>
      <c r="H1723" s="2">
        <v>0.55000000000000004</v>
      </c>
      <c r="I1723" s="1">
        <v>1</v>
      </c>
      <c r="J1723" s="26">
        <v>46136</v>
      </c>
      <c r="K1723" s="22">
        <v>108900</v>
      </c>
      <c r="L1723" s="18">
        <v>116.47</v>
      </c>
      <c r="M1723" s="22">
        <v>74250</v>
      </c>
      <c r="N1723" s="22">
        <v>34650</v>
      </c>
      <c r="O1723" s="18">
        <v>37.06</v>
      </c>
      <c r="P1723" s="52">
        <f>IF(COUNTIF(TblPurchases[BatchID],TblOutcomes[[#This Row],[BatchID]])&lt;&gt;1,"n.a.",TblOutcomes[[#This Row],[Qty Wasted]]*SUMIFS(TblPurchases[Unit Cost (CLP)],TblPurchases[BatchID],TblOutcomes[[#This Row],[BatchID]]))</f>
        <v>742.50000000000011</v>
      </c>
      <c r="Q1723" s="51">
        <f>IF(COUNTIF(TblPurchases[BatchID],TblOutcomes[[#This Row],[BatchID]])&lt;&gt;1,"n.a.",SUMIFS(TblPurchases[Purchase Date],TblPurchases[BatchID],TblOutcomes[[#This Row],[BatchID]]))</f>
        <v>45596</v>
      </c>
    </row>
    <row r="1724" spans="2:17" x14ac:dyDescent="0.25">
      <c r="B1724" s="2" t="s">
        <v>2529</v>
      </c>
      <c r="C1724" s="2" t="s">
        <v>220</v>
      </c>
      <c r="D1724" s="2" t="s">
        <v>201</v>
      </c>
      <c r="E1724" s="2" t="s">
        <v>4647</v>
      </c>
      <c r="F1724" s="2">
        <v>73</v>
      </c>
      <c r="G1724" s="2">
        <v>73</v>
      </c>
      <c r="H1724" s="2">
        <v>0</v>
      </c>
      <c r="I1724" s="1">
        <v>0</v>
      </c>
      <c r="J1724" s="26">
        <v>45724</v>
      </c>
      <c r="K1724" s="22">
        <v>146000</v>
      </c>
      <c r="L1724" s="18">
        <v>156.15</v>
      </c>
      <c r="M1724" s="22">
        <v>98550</v>
      </c>
      <c r="N1724" s="22">
        <v>47450</v>
      </c>
      <c r="O1724" s="18">
        <v>50.75</v>
      </c>
      <c r="P1724" s="52">
        <f>IF(COUNTIF(TblPurchases[BatchID],TblOutcomes[[#This Row],[BatchID]])&lt;&gt;1,"n.a.",TblOutcomes[[#This Row],[Qty Wasted]]*SUMIFS(TblPurchases[Unit Cost (CLP)],TblPurchases[BatchID],TblOutcomes[[#This Row],[BatchID]]))</f>
        <v>0</v>
      </c>
      <c r="Q1724" s="51">
        <f>IF(COUNTIF(TblPurchases[BatchID],TblOutcomes[[#This Row],[BatchID]])&lt;&gt;1,"n.a.",SUMIFS(TblPurchases[Purchase Date],TblPurchases[BatchID],TblOutcomes[[#This Row],[BatchID]]))</f>
        <v>45655</v>
      </c>
    </row>
    <row r="1725" spans="2:17" x14ac:dyDescent="0.25">
      <c r="B1725" s="2" t="s">
        <v>2530</v>
      </c>
      <c r="C1725" s="2" t="s">
        <v>220</v>
      </c>
      <c r="D1725" s="2" t="s">
        <v>201</v>
      </c>
      <c r="E1725" s="2" t="s">
        <v>4646</v>
      </c>
      <c r="F1725" s="2">
        <v>51</v>
      </c>
      <c r="G1725" s="2">
        <v>50.13</v>
      </c>
      <c r="H1725" s="2">
        <v>0.87</v>
      </c>
      <c r="I1725" s="1">
        <v>1.7</v>
      </c>
      <c r="J1725" s="26">
        <v>46248</v>
      </c>
      <c r="K1725" s="22">
        <v>100260</v>
      </c>
      <c r="L1725" s="18">
        <v>107.23</v>
      </c>
      <c r="M1725" s="22">
        <v>68850</v>
      </c>
      <c r="N1725" s="22">
        <v>31410</v>
      </c>
      <c r="O1725" s="18">
        <v>33.590000000000003</v>
      </c>
      <c r="P1725" s="52">
        <f>IF(COUNTIF(TblPurchases[BatchID],TblOutcomes[[#This Row],[BatchID]])&lt;&gt;1,"n.a.",TblOutcomes[[#This Row],[Qty Wasted]]*SUMIFS(TblPurchases[Unit Cost (CLP)],TblPurchases[BatchID],TblOutcomes[[#This Row],[BatchID]]))</f>
        <v>1174.5</v>
      </c>
      <c r="Q1725" s="51">
        <f>IF(COUNTIF(TblPurchases[BatchID],TblOutcomes[[#This Row],[BatchID]])&lt;&gt;1,"n.a.",SUMIFS(TblPurchases[Purchase Date],TblPurchases[BatchID],TblOutcomes[[#This Row],[BatchID]]))</f>
        <v>45708</v>
      </c>
    </row>
    <row r="1726" spans="2:17" x14ac:dyDescent="0.25">
      <c r="B1726" s="2" t="s">
        <v>2531</v>
      </c>
      <c r="C1726" s="2" t="s">
        <v>220</v>
      </c>
      <c r="D1726" s="2" t="s">
        <v>201</v>
      </c>
      <c r="E1726" s="2" t="s">
        <v>4647</v>
      </c>
      <c r="F1726" s="2">
        <v>58</v>
      </c>
      <c r="G1726" s="2">
        <v>58</v>
      </c>
      <c r="H1726" s="2">
        <v>0</v>
      </c>
      <c r="I1726" s="1">
        <v>0</v>
      </c>
      <c r="J1726" s="26">
        <v>45799</v>
      </c>
      <c r="K1726" s="22">
        <v>116000</v>
      </c>
      <c r="L1726" s="18">
        <v>124.06</v>
      </c>
      <c r="M1726" s="22">
        <v>78300</v>
      </c>
      <c r="N1726" s="22">
        <v>37700</v>
      </c>
      <c r="O1726" s="18">
        <v>40.32</v>
      </c>
      <c r="P1726" s="52">
        <f>IF(COUNTIF(TblPurchases[BatchID],TblOutcomes[[#This Row],[BatchID]])&lt;&gt;1,"n.a.",TblOutcomes[[#This Row],[Qty Wasted]]*SUMIFS(TblPurchases[Unit Cost (CLP)],TblPurchases[BatchID],TblOutcomes[[#This Row],[BatchID]]))</f>
        <v>0</v>
      </c>
      <c r="Q1726" s="51">
        <f>IF(COUNTIF(TblPurchases[BatchID],TblOutcomes[[#This Row],[BatchID]])&lt;&gt;1,"n.a.",SUMIFS(TblPurchases[Purchase Date],TblPurchases[BatchID],TblOutcomes[[#This Row],[BatchID]]))</f>
        <v>45763</v>
      </c>
    </row>
    <row r="1727" spans="2:17" x14ac:dyDescent="0.25">
      <c r="B1727" s="2" t="s">
        <v>2532</v>
      </c>
      <c r="C1727" s="2" t="s">
        <v>220</v>
      </c>
      <c r="D1727" s="2" t="s">
        <v>201</v>
      </c>
      <c r="E1727" s="2" t="s">
        <v>4647</v>
      </c>
      <c r="F1727" s="2">
        <v>46</v>
      </c>
      <c r="G1727" s="2">
        <v>46</v>
      </c>
      <c r="H1727" s="2">
        <v>0</v>
      </c>
      <c r="I1727" s="1">
        <v>0</v>
      </c>
      <c r="J1727" s="26">
        <v>45892</v>
      </c>
      <c r="K1727" s="22">
        <v>92000</v>
      </c>
      <c r="L1727" s="18">
        <v>98.4</v>
      </c>
      <c r="M1727" s="22">
        <v>62100</v>
      </c>
      <c r="N1727" s="22">
        <v>29900</v>
      </c>
      <c r="O1727" s="18">
        <v>31.98</v>
      </c>
      <c r="P1727" s="52">
        <f>IF(COUNTIF(TblPurchases[BatchID],TblOutcomes[[#This Row],[BatchID]])&lt;&gt;1,"n.a.",TblOutcomes[[#This Row],[Qty Wasted]]*SUMIFS(TblPurchases[Unit Cost (CLP)],TblPurchases[BatchID],TblOutcomes[[#This Row],[BatchID]]))</f>
        <v>0</v>
      </c>
      <c r="Q1727" s="51">
        <f>IF(COUNTIF(TblPurchases[BatchID],TblOutcomes[[#This Row],[BatchID]])&lt;&gt;1,"n.a.",SUMIFS(TblPurchases[Purchase Date],TblPurchases[BatchID],TblOutcomes[[#This Row],[BatchID]]))</f>
        <v>45819</v>
      </c>
    </row>
    <row r="1728" spans="2:17" x14ac:dyDescent="0.25">
      <c r="B1728" s="2" t="s">
        <v>2533</v>
      </c>
      <c r="C1728" s="2" t="s">
        <v>222</v>
      </c>
      <c r="D1728" s="2" t="s">
        <v>224</v>
      </c>
      <c r="E1728" s="2" t="s">
        <v>4647</v>
      </c>
      <c r="F1728" s="2">
        <v>24</v>
      </c>
      <c r="G1728" s="2">
        <v>24</v>
      </c>
      <c r="H1728" s="2">
        <v>0</v>
      </c>
      <c r="I1728" s="1">
        <v>0</v>
      </c>
      <c r="J1728" s="26">
        <v>45241</v>
      </c>
      <c r="K1728" s="22">
        <v>108000</v>
      </c>
      <c r="L1728" s="18">
        <v>115.51</v>
      </c>
      <c r="M1728" s="22">
        <v>75600</v>
      </c>
      <c r="N1728" s="22">
        <v>32400</v>
      </c>
      <c r="O1728" s="18">
        <v>34.65</v>
      </c>
      <c r="P1728" s="52">
        <f>IF(COUNTIF(TblPurchases[BatchID],TblOutcomes[[#This Row],[BatchID]])&lt;&gt;1,"n.a.",TblOutcomes[[#This Row],[Qty Wasted]]*SUMIFS(TblPurchases[Unit Cost (CLP)],TblPurchases[BatchID],TblOutcomes[[#This Row],[BatchID]]))</f>
        <v>0</v>
      </c>
      <c r="Q1728" s="51">
        <f>IF(COUNTIF(TblPurchases[BatchID],TblOutcomes[[#This Row],[BatchID]])&lt;&gt;1,"n.a.",SUMIFS(TblPurchases[Purchase Date],TblPurchases[BatchID],TblOutcomes[[#This Row],[BatchID]]))</f>
        <v>45167</v>
      </c>
    </row>
    <row r="1729" spans="2:17" x14ac:dyDescent="0.25">
      <c r="B1729" s="2" t="s">
        <v>2534</v>
      </c>
      <c r="C1729" s="2" t="s">
        <v>222</v>
      </c>
      <c r="D1729" s="2" t="s">
        <v>224</v>
      </c>
      <c r="E1729" s="2" t="s">
        <v>4647</v>
      </c>
      <c r="F1729" s="2">
        <v>21</v>
      </c>
      <c r="G1729" s="2">
        <v>21</v>
      </c>
      <c r="H1729" s="2">
        <v>0</v>
      </c>
      <c r="I1729" s="1">
        <v>0</v>
      </c>
      <c r="J1729" s="26">
        <v>45252</v>
      </c>
      <c r="K1729" s="22">
        <v>94500</v>
      </c>
      <c r="L1729" s="18">
        <v>101.07</v>
      </c>
      <c r="M1729" s="22">
        <v>66150</v>
      </c>
      <c r="N1729" s="22">
        <v>28350</v>
      </c>
      <c r="O1729" s="18">
        <v>30.32</v>
      </c>
      <c r="P1729" s="52">
        <f>IF(COUNTIF(TblPurchases[BatchID],TblOutcomes[[#This Row],[BatchID]])&lt;&gt;1,"n.a.",TblOutcomes[[#This Row],[Qty Wasted]]*SUMIFS(TblPurchases[Unit Cost (CLP)],TblPurchases[BatchID],TblOutcomes[[#This Row],[BatchID]]))</f>
        <v>0</v>
      </c>
      <c r="Q1729" s="51">
        <f>IF(COUNTIF(TblPurchases[BatchID],TblOutcomes[[#This Row],[BatchID]])&lt;&gt;1,"n.a.",SUMIFS(TblPurchases[Purchase Date],TblPurchases[BatchID],TblOutcomes[[#This Row],[BatchID]]))</f>
        <v>45213</v>
      </c>
    </row>
    <row r="1730" spans="2:17" x14ac:dyDescent="0.25">
      <c r="B1730" s="2" t="s">
        <v>2535</v>
      </c>
      <c r="C1730" s="2" t="s">
        <v>222</v>
      </c>
      <c r="D1730" s="2" t="s">
        <v>224</v>
      </c>
      <c r="E1730" s="2" t="s">
        <v>4646</v>
      </c>
      <c r="F1730" s="2">
        <v>35</v>
      </c>
      <c r="G1730" s="2">
        <v>33.909999999999997</v>
      </c>
      <c r="H1730" s="2">
        <v>1.08</v>
      </c>
      <c r="I1730" s="1">
        <v>3.1</v>
      </c>
      <c r="J1730" s="26">
        <v>46002</v>
      </c>
      <c r="K1730" s="22">
        <v>152595</v>
      </c>
      <c r="L1730" s="18">
        <v>163.19999999999999</v>
      </c>
      <c r="M1730" s="22">
        <v>110250</v>
      </c>
      <c r="N1730" s="22">
        <v>42345</v>
      </c>
      <c r="O1730" s="18">
        <v>45.29</v>
      </c>
      <c r="P1730" s="52">
        <f>IF(COUNTIF(TblPurchases[BatchID],TblOutcomes[[#This Row],[BatchID]])&lt;&gt;1,"n.a.",TblOutcomes[[#This Row],[Qty Wasted]]*SUMIFS(TblPurchases[Unit Cost (CLP)],TblPurchases[BatchID],TblOutcomes[[#This Row],[BatchID]]))</f>
        <v>3402</v>
      </c>
      <c r="Q1730" s="51">
        <f>IF(COUNTIF(TblPurchases[BatchID],TblOutcomes[[#This Row],[BatchID]])&lt;&gt;1,"n.a.",SUMIFS(TblPurchases[Purchase Date],TblPurchases[BatchID],TblOutcomes[[#This Row],[BatchID]]))</f>
        <v>45272</v>
      </c>
    </row>
    <row r="1731" spans="2:17" x14ac:dyDescent="0.25">
      <c r="B1731" s="2" t="s">
        <v>2536</v>
      </c>
      <c r="C1731" s="2" t="s">
        <v>222</v>
      </c>
      <c r="D1731" s="2" t="s">
        <v>224</v>
      </c>
      <c r="E1731" s="2" t="s">
        <v>4646</v>
      </c>
      <c r="F1731" s="2">
        <v>27</v>
      </c>
      <c r="G1731" s="2">
        <v>25.84</v>
      </c>
      <c r="H1731" s="2">
        <v>1.1599999999999999</v>
      </c>
      <c r="I1731" s="1">
        <v>4.3</v>
      </c>
      <c r="J1731" s="26">
        <v>46065</v>
      </c>
      <c r="K1731" s="22">
        <v>116280</v>
      </c>
      <c r="L1731" s="18">
        <v>124.36</v>
      </c>
      <c r="M1731" s="22">
        <v>85050</v>
      </c>
      <c r="N1731" s="22">
        <v>31230</v>
      </c>
      <c r="O1731" s="18">
        <v>33.4</v>
      </c>
      <c r="P1731" s="52">
        <f>IF(COUNTIF(TblPurchases[BatchID],TblOutcomes[[#This Row],[BatchID]])&lt;&gt;1,"n.a.",TblOutcomes[[#This Row],[Qty Wasted]]*SUMIFS(TblPurchases[Unit Cost (CLP)],TblPurchases[BatchID],TblOutcomes[[#This Row],[BatchID]]))</f>
        <v>3653.9999999999995</v>
      </c>
      <c r="Q1731" s="51">
        <f>IF(COUNTIF(TblPurchases[BatchID],TblOutcomes[[#This Row],[BatchID]])&lt;&gt;1,"n.a.",SUMIFS(TblPurchases[Purchase Date],TblPurchases[BatchID],TblOutcomes[[#This Row],[BatchID]]))</f>
        <v>45335</v>
      </c>
    </row>
    <row r="1732" spans="2:17" x14ac:dyDescent="0.25">
      <c r="B1732" s="2" t="s">
        <v>2537</v>
      </c>
      <c r="C1732" s="2" t="s">
        <v>222</v>
      </c>
      <c r="D1732" s="2" t="s">
        <v>224</v>
      </c>
      <c r="E1732" s="2" t="s">
        <v>4647</v>
      </c>
      <c r="F1732" s="2">
        <v>23</v>
      </c>
      <c r="G1732" s="2">
        <v>23</v>
      </c>
      <c r="H1732" s="2">
        <v>0</v>
      </c>
      <c r="I1732" s="1">
        <v>0</v>
      </c>
      <c r="J1732" s="26">
        <v>45410</v>
      </c>
      <c r="K1732" s="22">
        <v>103500</v>
      </c>
      <c r="L1732" s="18">
        <v>110.7</v>
      </c>
      <c r="M1732" s="22">
        <v>72450</v>
      </c>
      <c r="N1732" s="22">
        <v>31050</v>
      </c>
      <c r="O1732" s="18">
        <v>33.21</v>
      </c>
      <c r="P1732" s="52">
        <f>IF(COUNTIF(TblPurchases[BatchID],TblOutcomes[[#This Row],[BatchID]])&lt;&gt;1,"n.a.",TblOutcomes[[#This Row],[Qty Wasted]]*SUMIFS(TblPurchases[Unit Cost (CLP)],TblPurchases[BatchID],TblOutcomes[[#This Row],[BatchID]]))</f>
        <v>0</v>
      </c>
      <c r="Q1732" s="51">
        <f>IF(COUNTIF(TblPurchases[BatchID],TblOutcomes[[#This Row],[BatchID]])&lt;&gt;1,"n.a.",SUMIFS(TblPurchases[Purchase Date],TblPurchases[BatchID],TblOutcomes[[#This Row],[BatchID]]))</f>
        <v>45375</v>
      </c>
    </row>
    <row r="1733" spans="2:17" x14ac:dyDescent="0.25">
      <c r="B1733" s="2" t="s">
        <v>2538</v>
      </c>
      <c r="C1733" s="2" t="s">
        <v>222</v>
      </c>
      <c r="D1733" s="2" t="s">
        <v>224</v>
      </c>
      <c r="E1733" s="2" t="s">
        <v>4647</v>
      </c>
      <c r="F1733" s="2">
        <v>26</v>
      </c>
      <c r="G1733" s="2">
        <v>26</v>
      </c>
      <c r="H1733" s="2">
        <v>0</v>
      </c>
      <c r="I1733" s="1">
        <v>0</v>
      </c>
      <c r="J1733" s="26">
        <v>45469</v>
      </c>
      <c r="K1733" s="22">
        <v>117000</v>
      </c>
      <c r="L1733" s="18">
        <v>125.13</v>
      </c>
      <c r="M1733" s="22">
        <v>81900</v>
      </c>
      <c r="N1733" s="22">
        <v>35100</v>
      </c>
      <c r="O1733" s="18">
        <v>37.54</v>
      </c>
      <c r="P1733" s="52">
        <f>IF(COUNTIF(TblPurchases[BatchID],TblOutcomes[[#This Row],[BatchID]])&lt;&gt;1,"n.a.",TblOutcomes[[#This Row],[Qty Wasted]]*SUMIFS(TblPurchases[Unit Cost (CLP)],TblPurchases[BatchID],TblOutcomes[[#This Row],[BatchID]]))</f>
        <v>0</v>
      </c>
      <c r="Q1733" s="51">
        <f>IF(COUNTIF(TblPurchases[BatchID],TblOutcomes[[#This Row],[BatchID]])&lt;&gt;1,"n.a.",SUMIFS(TblPurchases[Purchase Date],TblPurchases[BatchID],TblOutcomes[[#This Row],[BatchID]]))</f>
        <v>45432</v>
      </c>
    </row>
    <row r="1734" spans="2:17" x14ac:dyDescent="0.25">
      <c r="B1734" s="2" t="s">
        <v>2539</v>
      </c>
      <c r="C1734" s="2" t="s">
        <v>222</v>
      </c>
      <c r="D1734" s="2" t="s">
        <v>224</v>
      </c>
      <c r="E1734" s="2" t="s">
        <v>4647</v>
      </c>
      <c r="F1734" s="2">
        <v>20</v>
      </c>
      <c r="G1734" s="2">
        <v>20</v>
      </c>
      <c r="H1734" s="2">
        <v>0</v>
      </c>
      <c r="I1734" s="1">
        <v>0</v>
      </c>
      <c r="J1734" s="26">
        <v>45535</v>
      </c>
      <c r="K1734" s="22">
        <v>90000</v>
      </c>
      <c r="L1734" s="18">
        <v>96.26</v>
      </c>
      <c r="M1734" s="22">
        <v>67000</v>
      </c>
      <c r="N1734" s="22">
        <v>23000</v>
      </c>
      <c r="O1734" s="18">
        <v>24.6</v>
      </c>
      <c r="P1734" s="52">
        <f>IF(COUNTIF(TblPurchases[BatchID],TblOutcomes[[#This Row],[BatchID]])&lt;&gt;1,"n.a.",TblOutcomes[[#This Row],[Qty Wasted]]*SUMIFS(TblPurchases[Unit Cost (CLP)],TblPurchases[BatchID],TblOutcomes[[#This Row],[BatchID]]))</f>
        <v>0</v>
      </c>
      <c r="Q1734" s="51">
        <f>IF(COUNTIF(TblPurchases[BatchID],TblOutcomes[[#This Row],[BatchID]])&lt;&gt;1,"n.a.",SUMIFS(TblPurchases[Purchase Date],TblPurchases[BatchID],TblOutcomes[[#This Row],[BatchID]]))</f>
        <v>45487</v>
      </c>
    </row>
    <row r="1735" spans="2:17" x14ac:dyDescent="0.25">
      <c r="B1735" s="2" t="s">
        <v>2540</v>
      </c>
      <c r="C1735" s="2" t="s">
        <v>222</v>
      </c>
      <c r="D1735" s="2" t="s">
        <v>224</v>
      </c>
      <c r="E1735" s="2" t="s">
        <v>4647</v>
      </c>
      <c r="F1735" s="2">
        <v>32</v>
      </c>
      <c r="G1735" s="2">
        <v>32</v>
      </c>
      <c r="H1735" s="2">
        <v>0</v>
      </c>
      <c r="I1735" s="1">
        <v>0</v>
      </c>
      <c r="J1735" s="26">
        <v>45584</v>
      </c>
      <c r="K1735" s="22">
        <v>144000</v>
      </c>
      <c r="L1735" s="18">
        <v>154.01</v>
      </c>
      <c r="M1735" s="22">
        <v>100800</v>
      </c>
      <c r="N1735" s="22">
        <v>43200</v>
      </c>
      <c r="O1735" s="18">
        <v>46.2</v>
      </c>
      <c r="P1735" s="52">
        <f>IF(COUNTIF(TblPurchases[BatchID],TblOutcomes[[#This Row],[BatchID]])&lt;&gt;1,"n.a.",TblOutcomes[[#This Row],[Qty Wasted]]*SUMIFS(TblPurchases[Unit Cost (CLP)],TblPurchases[BatchID],TblOutcomes[[#This Row],[BatchID]]))</f>
        <v>0</v>
      </c>
      <c r="Q1735" s="51">
        <f>IF(COUNTIF(TblPurchases[BatchID],TblOutcomes[[#This Row],[BatchID]])&lt;&gt;1,"n.a.",SUMIFS(TblPurchases[Purchase Date],TblPurchases[BatchID],TblOutcomes[[#This Row],[BatchID]]))</f>
        <v>45561</v>
      </c>
    </row>
    <row r="1736" spans="2:17" x14ac:dyDescent="0.25">
      <c r="B1736" s="2" t="s">
        <v>2541</v>
      </c>
      <c r="C1736" s="2" t="s">
        <v>222</v>
      </c>
      <c r="D1736" s="2" t="s">
        <v>224</v>
      </c>
      <c r="E1736" s="2" t="s">
        <v>4646</v>
      </c>
      <c r="F1736" s="2">
        <v>24</v>
      </c>
      <c r="G1736" s="2">
        <v>23.11</v>
      </c>
      <c r="H1736" s="2">
        <v>0.89</v>
      </c>
      <c r="I1736" s="1">
        <v>3.7</v>
      </c>
      <c r="J1736" s="26">
        <v>46340</v>
      </c>
      <c r="K1736" s="22">
        <v>103995</v>
      </c>
      <c r="L1736" s="18">
        <v>111.22</v>
      </c>
      <c r="M1736" s="22">
        <v>75600</v>
      </c>
      <c r="N1736" s="22">
        <v>28395</v>
      </c>
      <c r="O1736" s="18">
        <v>30.37</v>
      </c>
      <c r="P1736" s="52">
        <f>IF(COUNTIF(TblPurchases[BatchID],TblOutcomes[[#This Row],[BatchID]])&lt;&gt;1,"n.a.",TblOutcomes[[#This Row],[Qty Wasted]]*SUMIFS(TblPurchases[Unit Cost (CLP)],TblPurchases[BatchID],TblOutcomes[[#This Row],[BatchID]]))</f>
        <v>2803.5</v>
      </c>
      <c r="Q1736" s="51">
        <f>IF(COUNTIF(TblPurchases[BatchID],TblOutcomes[[#This Row],[BatchID]])&lt;&gt;1,"n.a.",SUMIFS(TblPurchases[Purchase Date],TblPurchases[BatchID],TblOutcomes[[#This Row],[BatchID]]))</f>
        <v>45610</v>
      </c>
    </row>
    <row r="1737" spans="2:17" x14ac:dyDescent="0.25">
      <c r="B1737" s="2" t="s">
        <v>2542</v>
      </c>
      <c r="C1737" s="2" t="s">
        <v>222</v>
      </c>
      <c r="D1737" s="2" t="s">
        <v>224</v>
      </c>
      <c r="E1737" s="2" t="s">
        <v>4646</v>
      </c>
      <c r="F1737" s="2">
        <v>25</v>
      </c>
      <c r="G1737" s="2">
        <v>24.12</v>
      </c>
      <c r="H1737" s="2">
        <v>0.88</v>
      </c>
      <c r="I1737" s="1">
        <v>3.5</v>
      </c>
      <c r="J1737" s="26">
        <v>46415</v>
      </c>
      <c r="K1737" s="22">
        <v>108540</v>
      </c>
      <c r="L1737" s="18">
        <v>116.09</v>
      </c>
      <c r="M1737" s="22">
        <v>78750</v>
      </c>
      <c r="N1737" s="22">
        <v>29790</v>
      </c>
      <c r="O1737" s="18">
        <v>31.86</v>
      </c>
      <c r="P1737" s="52">
        <f>IF(COUNTIF(TblPurchases[BatchID],TblOutcomes[[#This Row],[BatchID]])&lt;&gt;1,"n.a.",TblOutcomes[[#This Row],[Qty Wasted]]*SUMIFS(TblPurchases[Unit Cost (CLP)],TblPurchases[BatchID],TblOutcomes[[#This Row],[BatchID]]))</f>
        <v>2772</v>
      </c>
      <c r="Q1737" s="51">
        <f>IF(COUNTIF(TblPurchases[BatchID],TblOutcomes[[#This Row],[BatchID]])&lt;&gt;1,"n.a.",SUMIFS(TblPurchases[Purchase Date],TblPurchases[BatchID],TblOutcomes[[#This Row],[BatchID]]))</f>
        <v>45685</v>
      </c>
    </row>
    <row r="1738" spans="2:17" x14ac:dyDescent="0.25">
      <c r="B1738" s="2" t="s">
        <v>2543</v>
      </c>
      <c r="C1738" s="2" t="s">
        <v>222</v>
      </c>
      <c r="D1738" s="2" t="s">
        <v>224</v>
      </c>
      <c r="E1738" s="2" t="s">
        <v>4647</v>
      </c>
      <c r="F1738" s="2">
        <v>27</v>
      </c>
      <c r="G1738" s="2">
        <v>27</v>
      </c>
      <c r="H1738" s="2">
        <v>0</v>
      </c>
      <c r="I1738" s="1">
        <v>0</v>
      </c>
      <c r="J1738" s="26">
        <v>45796</v>
      </c>
      <c r="K1738" s="22">
        <v>121500</v>
      </c>
      <c r="L1738" s="18">
        <v>129.94999999999999</v>
      </c>
      <c r="M1738" s="22">
        <v>90450</v>
      </c>
      <c r="N1738" s="22">
        <v>31050</v>
      </c>
      <c r="O1738" s="18">
        <v>33.21</v>
      </c>
      <c r="P1738" s="52">
        <f>IF(COUNTIF(TblPurchases[BatchID],TblOutcomes[[#This Row],[BatchID]])&lt;&gt;1,"n.a.",TblOutcomes[[#This Row],[Qty Wasted]]*SUMIFS(TblPurchases[Unit Cost (CLP)],TblPurchases[BatchID],TblOutcomes[[#This Row],[BatchID]]))</f>
        <v>0</v>
      </c>
      <c r="Q1738" s="51">
        <f>IF(COUNTIF(TblPurchases[BatchID],TblOutcomes[[#This Row],[BatchID]])&lt;&gt;1,"n.a.",SUMIFS(TblPurchases[Purchase Date],TblPurchases[BatchID],TblOutcomes[[#This Row],[BatchID]]))</f>
        <v>45728</v>
      </c>
    </row>
    <row r="1739" spans="2:17" x14ac:dyDescent="0.25">
      <c r="B1739" s="2" t="s">
        <v>2544</v>
      </c>
      <c r="C1739" s="2" t="s">
        <v>222</v>
      </c>
      <c r="D1739" s="2" t="s">
        <v>224</v>
      </c>
      <c r="E1739" s="2" t="s">
        <v>4646</v>
      </c>
      <c r="F1739" s="2">
        <v>23</v>
      </c>
      <c r="G1739" s="2">
        <v>22.43</v>
      </c>
      <c r="H1739" s="2">
        <v>0.57999999999999996</v>
      </c>
      <c r="I1739" s="1">
        <v>2.5</v>
      </c>
      <c r="J1739" s="26">
        <v>46533</v>
      </c>
      <c r="K1739" s="22">
        <v>100935</v>
      </c>
      <c r="L1739" s="18">
        <v>107.95</v>
      </c>
      <c r="M1739" s="22">
        <v>72450</v>
      </c>
      <c r="N1739" s="22">
        <v>28485</v>
      </c>
      <c r="O1739" s="18">
        <v>30.47</v>
      </c>
      <c r="P1739" s="52">
        <f>IF(COUNTIF(TblPurchases[BatchID],TblOutcomes[[#This Row],[BatchID]])&lt;&gt;1,"n.a.",TblOutcomes[[#This Row],[Qty Wasted]]*SUMIFS(TblPurchases[Unit Cost (CLP)],TblPurchases[BatchID],TblOutcomes[[#This Row],[BatchID]]))</f>
        <v>1826.9999999999998</v>
      </c>
      <c r="Q1739" s="51">
        <f>IF(COUNTIF(TblPurchases[BatchID],TblOutcomes[[#This Row],[BatchID]])&lt;&gt;1,"n.a.",SUMIFS(TblPurchases[Purchase Date],TblPurchases[BatchID],TblOutcomes[[#This Row],[BatchID]]))</f>
        <v>45803</v>
      </c>
    </row>
    <row r="1740" spans="2:17" x14ac:dyDescent="0.25">
      <c r="B1740" s="2" t="s">
        <v>2545</v>
      </c>
      <c r="C1740" s="2" t="s">
        <v>226</v>
      </c>
      <c r="D1740" s="2" t="s">
        <v>224</v>
      </c>
      <c r="E1740" s="2" t="s">
        <v>4647</v>
      </c>
      <c r="F1740" s="2">
        <v>26</v>
      </c>
      <c r="G1740" s="2">
        <v>26</v>
      </c>
      <c r="H1740" s="2">
        <v>0</v>
      </c>
      <c r="I1740" s="1">
        <v>0</v>
      </c>
      <c r="J1740" s="26">
        <v>45201</v>
      </c>
      <c r="K1740" s="22">
        <v>143000</v>
      </c>
      <c r="L1740" s="18">
        <v>152.94</v>
      </c>
      <c r="M1740" s="22">
        <v>104000</v>
      </c>
      <c r="N1740" s="22">
        <v>39000</v>
      </c>
      <c r="O1740" s="18">
        <v>41.71</v>
      </c>
      <c r="P1740" s="52">
        <f>IF(COUNTIF(TblPurchases[BatchID],TblOutcomes[[#This Row],[BatchID]])&lt;&gt;1,"n.a.",TblOutcomes[[#This Row],[Qty Wasted]]*SUMIFS(TblPurchases[Unit Cost (CLP)],TblPurchases[BatchID],TblOutcomes[[#This Row],[BatchID]]))</f>
        <v>0</v>
      </c>
      <c r="Q1740" s="51">
        <f>IF(COUNTIF(TblPurchases[BatchID],TblOutcomes[[#This Row],[BatchID]])&lt;&gt;1,"n.a.",SUMIFS(TblPurchases[Purchase Date],TblPurchases[BatchID],TblOutcomes[[#This Row],[BatchID]]))</f>
        <v>45141</v>
      </c>
    </row>
    <row r="1741" spans="2:17" x14ac:dyDescent="0.25">
      <c r="B1741" s="2" t="s">
        <v>2546</v>
      </c>
      <c r="C1741" s="2" t="s">
        <v>226</v>
      </c>
      <c r="D1741" s="2" t="s">
        <v>224</v>
      </c>
      <c r="E1741" s="2" t="s">
        <v>4647</v>
      </c>
      <c r="F1741" s="2">
        <v>26</v>
      </c>
      <c r="G1741" s="2">
        <v>26</v>
      </c>
      <c r="H1741" s="2">
        <v>0</v>
      </c>
      <c r="I1741" s="1">
        <v>0</v>
      </c>
      <c r="J1741" s="26">
        <v>45241</v>
      </c>
      <c r="K1741" s="22">
        <v>143000</v>
      </c>
      <c r="L1741" s="18">
        <v>152.94</v>
      </c>
      <c r="M1741" s="22">
        <v>104000</v>
      </c>
      <c r="N1741" s="22">
        <v>39000</v>
      </c>
      <c r="O1741" s="18">
        <v>41.71</v>
      </c>
      <c r="P1741" s="52">
        <f>IF(COUNTIF(TblPurchases[BatchID],TblOutcomes[[#This Row],[BatchID]])&lt;&gt;1,"n.a.",TblOutcomes[[#This Row],[Qty Wasted]]*SUMIFS(TblPurchases[Unit Cost (CLP)],TblPurchases[BatchID],TblOutcomes[[#This Row],[BatchID]]))</f>
        <v>0</v>
      </c>
      <c r="Q1741" s="51">
        <f>IF(COUNTIF(TblPurchases[BatchID],TblOutcomes[[#This Row],[BatchID]])&lt;&gt;1,"n.a.",SUMIFS(TblPurchases[Purchase Date],TblPurchases[BatchID],TblOutcomes[[#This Row],[BatchID]]))</f>
        <v>45201</v>
      </c>
    </row>
    <row r="1742" spans="2:17" x14ac:dyDescent="0.25">
      <c r="B1742" s="2" t="s">
        <v>2547</v>
      </c>
      <c r="C1742" s="2" t="s">
        <v>226</v>
      </c>
      <c r="D1742" s="2" t="s">
        <v>224</v>
      </c>
      <c r="E1742" s="2" t="s">
        <v>4647</v>
      </c>
      <c r="F1742" s="2">
        <v>30</v>
      </c>
      <c r="G1742" s="2">
        <v>30</v>
      </c>
      <c r="H1742" s="2">
        <v>0</v>
      </c>
      <c r="I1742" s="1">
        <v>0</v>
      </c>
      <c r="J1742" s="26">
        <v>45341</v>
      </c>
      <c r="K1742" s="22">
        <v>165000</v>
      </c>
      <c r="L1742" s="18">
        <v>176.47</v>
      </c>
      <c r="M1742" s="22">
        <v>120000</v>
      </c>
      <c r="N1742" s="22">
        <v>45000</v>
      </c>
      <c r="O1742" s="18">
        <v>48.13</v>
      </c>
      <c r="P1742" s="52">
        <f>IF(COUNTIF(TblPurchases[BatchID],TblOutcomes[[#This Row],[BatchID]])&lt;&gt;1,"n.a.",TblOutcomes[[#This Row],[Qty Wasted]]*SUMIFS(TblPurchases[Unit Cost (CLP)],TblPurchases[BatchID],TblOutcomes[[#This Row],[BatchID]]))</f>
        <v>0</v>
      </c>
      <c r="Q1742" s="51">
        <f>IF(COUNTIF(TblPurchases[BatchID],TblOutcomes[[#This Row],[BatchID]])&lt;&gt;1,"n.a.",SUMIFS(TblPurchases[Purchase Date],TblPurchases[BatchID],TblOutcomes[[#This Row],[BatchID]]))</f>
        <v>45262</v>
      </c>
    </row>
    <row r="1743" spans="2:17" x14ac:dyDescent="0.25">
      <c r="B1743" s="2" t="s">
        <v>2548</v>
      </c>
      <c r="C1743" s="2" t="s">
        <v>226</v>
      </c>
      <c r="D1743" s="2" t="s">
        <v>224</v>
      </c>
      <c r="E1743" s="2" t="s">
        <v>4647</v>
      </c>
      <c r="F1743" s="2">
        <v>28</v>
      </c>
      <c r="G1743" s="2">
        <v>28</v>
      </c>
      <c r="H1743" s="2">
        <v>0</v>
      </c>
      <c r="I1743" s="1">
        <v>0</v>
      </c>
      <c r="J1743" s="26">
        <v>45368</v>
      </c>
      <c r="K1743" s="22">
        <v>154000</v>
      </c>
      <c r="L1743" s="18">
        <v>164.71</v>
      </c>
      <c r="M1743" s="22">
        <v>112000</v>
      </c>
      <c r="N1743" s="22">
        <v>42000</v>
      </c>
      <c r="O1743" s="18">
        <v>44.92</v>
      </c>
      <c r="P1743" s="52">
        <f>IF(COUNTIF(TblPurchases[BatchID],TblOutcomes[[#This Row],[BatchID]])&lt;&gt;1,"n.a.",TblOutcomes[[#This Row],[Qty Wasted]]*SUMIFS(TblPurchases[Unit Cost (CLP)],TblPurchases[BatchID],TblOutcomes[[#This Row],[BatchID]]))</f>
        <v>0</v>
      </c>
      <c r="Q1743" s="51">
        <f>IF(COUNTIF(TblPurchases[BatchID],TblOutcomes[[#This Row],[BatchID]])&lt;&gt;1,"n.a.",SUMIFS(TblPurchases[Purchase Date],TblPurchases[BatchID],TblOutcomes[[#This Row],[BatchID]]))</f>
        <v>45323</v>
      </c>
    </row>
    <row r="1744" spans="2:17" x14ac:dyDescent="0.25">
      <c r="B1744" s="2" t="s">
        <v>2549</v>
      </c>
      <c r="C1744" s="2" t="s">
        <v>226</v>
      </c>
      <c r="D1744" s="2" t="s">
        <v>224</v>
      </c>
      <c r="E1744" s="2" t="s">
        <v>4647</v>
      </c>
      <c r="F1744" s="2">
        <v>27</v>
      </c>
      <c r="G1744" s="2">
        <v>27</v>
      </c>
      <c r="H1744" s="2">
        <v>0</v>
      </c>
      <c r="I1744" s="1">
        <v>0</v>
      </c>
      <c r="J1744" s="26">
        <v>45440</v>
      </c>
      <c r="K1744" s="22">
        <v>148500</v>
      </c>
      <c r="L1744" s="18">
        <v>158.82</v>
      </c>
      <c r="M1744" s="22">
        <v>108000</v>
      </c>
      <c r="N1744" s="22">
        <v>40500</v>
      </c>
      <c r="O1744" s="18">
        <v>43.32</v>
      </c>
      <c r="P1744" s="52">
        <f>IF(COUNTIF(TblPurchases[BatchID],TblOutcomes[[#This Row],[BatchID]])&lt;&gt;1,"n.a.",TblOutcomes[[#This Row],[Qty Wasted]]*SUMIFS(TblPurchases[Unit Cost (CLP)],TblPurchases[BatchID],TblOutcomes[[#This Row],[BatchID]]))</f>
        <v>0</v>
      </c>
      <c r="Q1744" s="51">
        <f>IF(COUNTIF(TblPurchases[BatchID],TblOutcomes[[#This Row],[BatchID]])&lt;&gt;1,"n.a.",SUMIFS(TblPurchases[Purchase Date],TblPurchases[BatchID],TblOutcomes[[#This Row],[BatchID]]))</f>
        <v>45393</v>
      </c>
    </row>
    <row r="1745" spans="2:17" x14ac:dyDescent="0.25">
      <c r="B1745" s="2" t="s">
        <v>2550</v>
      </c>
      <c r="C1745" s="2" t="s">
        <v>226</v>
      </c>
      <c r="D1745" s="2" t="s">
        <v>224</v>
      </c>
      <c r="E1745" s="2" t="s">
        <v>4646</v>
      </c>
      <c r="F1745" s="2">
        <v>25</v>
      </c>
      <c r="G1745" s="2">
        <v>24.77</v>
      </c>
      <c r="H1745" s="2">
        <v>0.22</v>
      </c>
      <c r="I1745" s="1">
        <v>0.9</v>
      </c>
      <c r="J1745" s="26">
        <v>46195</v>
      </c>
      <c r="K1745" s="22">
        <v>136235</v>
      </c>
      <c r="L1745" s="18">
        <v>145.71</v>
      </c>
      <c r="M1745" s="22">
        <v>100000</v>
      </c>
      <c r="N1745" s="22">
        <v>36235</v>
      </c>
      <c r="O1745" s="18">
        <v>38.75</v>
      </c>
      <c r="P1745" s="52">
        <f>IF(COUNTIF(TblPurchases[BatchID],TblOutcomes[[#This Row],[BatchID]])&lt;&gt;1,"n.a.",TblOutcomes[[#This Row],[Qty Wasted]]*SUMIFS(TblPurchases[Unit Cost (CLP)],TblPurchases[BatchID],TblOutcomes[[#This Row],[BatchID]]))</f>
        <v>880</v>
      </c>
      <c r="Q1745" s="51">
        <f>IF(COUNTIF(TblPurchases[BatchID],TblOutcomes[[#This Row],[BatchID]])&lt;&gt;1,"n.a.",SUMIFS(TblPurchases[Purchase Date],TblPurchases[BatchID],TblOutcomes[[#This Row],[BatchID]]))</f>
        <v>45465</v>
      </c>
    </row>
    <row r="1746" spans="2:17" x14ac:dyDescent="0.25">
      <c r="B1746" s="2" t="s">
        <v>2551</v>
      </c>
      <c r="C1746" s="2" t="s">
        <v>226</v>
      </c>
      <c r="D1746" s="2" t="s">
        <v>224</v>
      </c>
      <c r="E1746" s="2" t="s">
        <v>4646</v>
      </c>
      <c r="F1746" s="2">
        <v>25</v>
      </c>
      <c r="G1746" s="2">
        <v>24.4</v>
      </c>
      <c r="H1746" s="2">
        <v>0.6</v>
      </c>
      <c r="I1746" s="1">
        <v>2.4</v>
      </c>
      <c r="J1746" s="26">
        <v>46257</v>
      </c>
      <c r="K1746" s="22">
        <v>134200</v>
      </c>
      <c r="L1746" s="18">
        <v>143.53</v>
      </c>
      <c r="M1746" s="22">
        <v>101250</v>
      </c>
      <c r="N1746" s="22">
        <v>32950</v>
      </c>
      <c r="O1746" s="18">
        <v>35.24</v>
      </c>
      <c r="P1746" s="52">
        <f>IF(COUNTIF(TblPurchases[BatchID],TblOutcomes[[#This Row],[BatchID]])&lt;&gt;1,"n.a.",TblOutcomes[[#This Row],[Qty Wasted]]*SUMIFS(TblPurchases[Unit Cost (CLP)],TblPurchases[BatchID],TblOutcomes[[#This Row],[BatchID]]))</f>
        <v>2430</v>
      </c>
      <c r="Q1746" s="51">
        <f>IF(COUNTIF(TblPurchases[BatchID],TblOutcomes[[#This Row],[BatchID]])&lt;&gt;1,"n.a.",SUMIFS(TblPurchases[Purchase Date],TblPurchases[BatchID],TblOutcomes[[#This Row],[BatchID]]))</f>
        <v>45527</v>
      </c>
    </row>
    <row r="1747" spans="2:17" x14ac:dyDescent="0.25">
      <c r="B1747" s="2" t="s">
        <v>2552</v>
      </c>
      <c r="C1747" s="2" t="s">
        <v>226</v>
      </c>
      <c r="D1747" s="2" t="s">
        <v>224</v>
      </c>
      <c r="E1747" s="2" t="s">
        <v>4647</v>
      </c>
      <c r="F1747" s="2">
        <v>20</v>
      </c>
      <c r="G1747" s="2">
        <v>20</v>
      </c>
      <c r="H1747" s="2">
        <v>0</v>
      </c>
      <c r="I1747" s="1">
        <v>0</v>
      </c>
      <c r="J1747" s="26">
        <v>45606</v>
      </c>
      <c r="K1747" s="22">
        <v>110000</v>
      </c>
      <c r="L1747" s="18">
        <v>117.65</v>
      </c>
      <c r="M1747" s="22">
        <v>80000</v>
      </c>
      <c r="N1747" s="22">
        <v>30000</v>
      </c>
      <c r="O1747" s="18">
        <v>32.090000000000003</v>
      </c>
      <c r="P1747" s="52">
        <f>IF(COUNTIF(TblPurchases[BatchID],TblOutcomes[[#This Row],[BatchID]])&lt;&gt;1,"n.a.",TblOutcomes[[#This Row],[Qty Wasted]]*SUMIFS(TblPurchases[Unit Cost (CLP)],TblPurchases[BatchID],TblOutcomes[[#This Row],[BatchID]]))</f>
        <v>0</v>
      </c>
      <c r="Q1747" s="51">
        <f>IF(COUNTIF(TblPurchases[BatchID],TblOutcomes[[#This Row],[BatchID]])&lt;&gt;1,"n.a.",SUMIFS(TblPurchases[Purchase Date],TblPurchases[BatchID],TblOutcomes[[#This Row],[BatchID]]))</f>
        <v>45572</v>
      </c>
    </row>
    <row r="1748" spans="2:17" x14ac:dyDescent="0.25">
      <c r="B1748" s="2" t="s">
        <v>2553</v>
      </c>
      <c r="C1748" s="2" t="s">
        <v>226</v>
      </c>
      <c r="D1748" s="2" t="s">
        <v>224</v>
      </c>
      <c r="E1748" s="2" t="s">
        <v>4647</v>
      </c>
      <c r="F1748" s="2">
        <v>32</v>
      </c>
      <c r="G1748" s="2">
        <v>32</v>
      </c>
      <c r="H1748" s="2">
        <v>0</v>
      </c>
      <c r="I1748" s="1">
        <v>0</v>
      </c>
      <c r="J1748" s="26">
        <v>45690</v>
      </c>
      <c r="K1748" s="22">
        <v>176000</v>
      </c>
      <c r="L1748" s="18">
        <v>188.24</v>
      </c>
      <c r="M1748" s="22">
        <v>128000</v>
      </c>
      <c r="N1748" s="22">
        <v>48000</v>
      </c>
      <c r="O1748" s="18">
        <v>51.34</v>
      </c>
      <c r="P1748" s="52">
        <f>IF(COUNTIF(TblPurchases[BatchID],TblOutcomes[[#This Row],[BatchID]])&lt;&gt;1,"n.a.",TblOutcomes[[#This Row],[Qty Wasted]]*SUMIFS(TblPurchases[Unit Cost (CLP)],TblPurchases[BatchID],TblOutcomes[[#This Row],[BatchID]]))</f>
        <v>0</v>
      </c>
      <c r="Q1748" s="51">
        <f>IF(COUNTIF(TblPurchases[BatchID],TblOutcomes[[#This Row],[BatchID]])&lt;&gt;1,"n.a.",SUMIFS(TblPurchases[Purchase Date],TblPurchases[BatchID],TblOutcomes[[#This Row],[BatchID]]))</f>
        <v>45637</v>
      </c>
    </row>
    <row r="1749" spans="2:17" x14ac:dyDescent="0.25">
      <c r="B1749" s="2" t="s">
        <v>2554</v>
      </c>
      <c r="C1749" s="2" t="s">
        <v>226</v>
      </c>
      <c r="D1749" s="2" t="s">
        <v>224</v>
      </c>
      <c r="E1749" s="2" t="s">
        <v>4647</v>
      </c>
      <c r="F1749" s="2">
        <v>26</v>
      </c>
      <c r="G1749" s="2">
        <v>26</v>
      </c>
      <c r="H1749" s="2">
        <v>0</v>
      </c>
      <c r="I1749" s="1">
        <v>0</v>
      </c>
      <c r="J1749" s="26">
        <v>45753</v>
      </c>
      <c r="K1749" s="22">
        <v>143000</v>
      </c>
      <c r="L1749" s="18">
        <v>152.94</v>
      </c>
      <c r="M1749" s="22">
        <v>104000</v>
      </c>
      <c r="N1749" s="22">
        <v>39000</v>
      </c>
      <c r="O1749" s="18">
        <v>41.71</v>
      </c>
      <c r="P1749" s="52">
        <f>IF(COUNTIF(TblPurchases[BatchID],TblOutcomes[[#This Row],[BatchID]])&lt;&gt;1,"n.a.",TblOutcomes[[#This Row],[Qty Wasted]]*SUMIFS(TblPurchases[Unit Cost (CLP)],TblPurchases[BatchID],TblOutcomes[[#This Row],[BatchID]]))</f>
        <v>0</v>
      </c>
      <c r="Q1749" s="51">
        <f>IF(COUNTIF(TblPurchases[BatchID],TblOutcomes[[#This Row],[BatchID]])&lt;&gt;1,"n.a.",SUMIFS(TblPurchases[Purchase Date],TblPurchases[BatchID],TblOutcomes[[#This Row],[BatchID]]))</f>
        <v>45698</v>
      </c>
    </row>
    <row r="1750" spans="2:17" x14ac:dyDescent="0.25">
      <c r="B1750" s="2" t="s">
        <v>2555</v>
      </c>
      <c r="C1750" s="2" t="s">
        <v>226</v>
      </c>
      <c r="D1750" s="2" t="s">
        <v>224</v>
      </c>
      <c r="E1750" s="2" t="s">
        <v>4647</v>
      </c>
      <c r="F1750" s="2">
        <v>26</v>
      </c>
      <c r="G1750" s="2">
        <v>26</v>
      </c>
      <c r="H1750" s="2">
        <v>0</v>
      </c>
      <c r="I1750" s="1">
        <v>0</v>
      </c>
      <c r="J1750" s="26">
        <v>45833</v>
      </c>
      <c r="K1750" s="22">
        <v>143000</v>
      </c>
      <c r="L1750" s="18">
        <v>152.94</v>
      </c>
      <c r="M1750" s="22">
        <v>104000</v>
      </c>
      <c r="N1750" s="22">
        <v>39000</v>
      </c>
      <c r="O1750" s="18">
        <v>41.71</v>
      </c>
      <c r="P1750" s="52">
        <f>IF(COUNTIF(TblPurchases[BatchID],TblOutcomes[[#This Row],[BatchID]])&lt;&gt;1,"n.a.",TblOutcomes[[#This Row],[Qty Wasted]]*SUMIFS(TblPurchases[Unit Cost (CLP)],TblPurchases[BatchID],TblOutcomes[[#This Row],[BatchID]]))</f>
        <v>0</v>
      </c>
      <c r="Q1750" s="51">
        <f>IF(COUNTIF(TblPurchases[BatchID],TblOutcomes[[#This Row],[BatchID]])&lt;&gt;1,"n.a.",SUMIFS(TblPurchases[Purchase Date],TblPurchases[BatchID],TblOutcomes[[#This Row],[BatchID]]))</f>
        <v>45774</v>
      </c>
    </row>
    <row r="1751" spans="2:17" x14ac:dyDescent="0.25">
      <c r="B1751" s="2" t="s">
        <v>2556</v>
      </c>
      <c r="C1751" s="2" t="s">
        <v>226</v>
      </c>
      <c r="D1751" s="2" t="s">
        <v>224</v>
      </c>
      <c r="E1751" s="2" t="s">
        <v>4646</v>
      </c>
      <c r="F1751" s="2">
        <v>30</v>
      </c>
      <c r="G1751" s="2">
        <v>29.43</v>
      </c>
      <c r="H1751" s="2">
        <v>0.56999999999999995</v>
      </c>
      <c r="I1751" s="1">
        <v>1.9</v>
      </c>
      <c r="J1751" s="26">
        <v>46559</v>
      </c>
      <c r="K1751" s="22">
        <v>161865</v>
      </c>
      <c r="L1751" s="18">
        <v>173.12</v>
      </c>
      <c r="M1751" s="22">
        <v>120000</v>
      </c>
      <c r="N1751" s="22">
        <v>41865</v>
      </c>
      <c r="O1751" s="18">
        <v>44.78</v>
      </c>
      <c r="P1751" s="52">
        <f>IF(COUNTIF(TblPurchases[BatchID],TblOutcomes[[#This Row],[BatchID]])&lt;&gt;1,"n.a.",TblOutcomes[[#This Row],[Qty Wasted]]*SUMIFS(TblPurchases[Unit Cost (CLP)],TblPurchases[BatchID],TblOutcomes[[#This Row],[BatchID]]))</f>
        <v>2280</v>
      </c>
      <c r="Q1751" s="51">
        <f>IF(COUNTIF(TblPurchases[BatchID],TblOutcomes[[#This Row],[BatchID]])&lt;&gt;1,"n.a.",SUMIFS(TblPurchases[Purchase Date],TblPurchases[BatchID],TblOutcomes[[#This Row],[BatchID]]))</f>
        <v>45829</v>
      </c>
    </row>
    <row r="1752" spans="2:17" x14ac:dyDescent="0.25">
      <c r="B1752" s="2" t="s">
        <v>2557</v>
      </c>
      <c r="C1752" s="2" t="s">
        <v>228</v>
      </c>
      <c r="D1752" s="2" t="s">
        <v>224</v>
      </c>
      <c r="E1752" s="2" t="s">
        <v>4647</v>
      </c>
      <c r="F1752" s="2">
        <v>22</v>
      </c>
      <c r="G1752" s="2">
        <v>22</v>
      </c>
      <c r="H1752" s="2">
        <v>0</v>
      </c>
      <c r="I1752" s="1">
        <v>0</v>
      </c>
      <c r="J1752" s="26">
        <v>45145</v>
      </c>
      <c r="K1752" s="22">
        <v>110000</v>
      </c>
      <c r="L1752" s="18">
        <v>117.65</v>
      </c>
      <c r="M1752" s="22">
        <v>75900</v>
      </c>
      <c r="N1752" s="22">
        <v>34100</v>
      </c>
      <c r="O1752" s="18">
        <v>36.47</v>
      </c>
      <c r="P1752" s="52">
        <f>IF(COUNTIF(TblPurchases[BatchID],TblOutcomes[[#This Row],[BatchID]])&lt;&gt;1,"n.a.",TblOutcomes[[#This Row],[Qty Wasted]]*SUMIFS(TblPurchases[Unit Cost (CLP)],TblPurchases[BatchID],TblOutcomes[[#This Row],[BatchID]]))</f>
        <v>0</v>
      </c>
      <c r="Q1752" s="51">
        <f>IF(COUNTIF(TblPurchases[BatchID],TblOutcomes[[#This Row],[BatchID]])&lt;&gt;1,"n.a.",SUMIFS(TblPurchases[Purchase Date],TblPurchases[BatchID],TblOutcomes[[#This Row],[BatchID]]))</f>
        <v>45112</v>
      </c>
    </row>
    <row r="1753" spans="2:17" x14ac:dyDescent="0.25">
      <c r="B1753" s="2" t="s">
        <v>2558</v>
      </c>
      <c r="C1753" s="2" t="s">
        <v>228</v>
      </c>
      <c r="D1753" s="2" t="s">
        <v>224</v>
      </c>
      <c r="E1753" s="2" t="s">
        <v>4647</v>
      </c>
      <c r="F1753" s="2">
        <v>27</v>
      </c>
      <c r="G1753" s="2">
        <v>27</v>
      </c>
      <c r="H1753" s="2">
        <v>0</v>
      </c>
      <c r="I1753" s="1">
        <v>0</v>
      </c>
      <c r="J1753" s="26">
        <v>45219</v>
      </c>
      <c r="K1753" s="22">
        <v>135000</v>
      </c>
      <c r="L1753" s="18">
        <v>144.38999999999999</v>
      </c>
      <c r="M1753" s="22">
        <v>93150</v>
      </c>
      <c r="N1753" s="22">
        <v>41850</v>
      </c>
      <c r="O1753" s="18">
        <v>44.76</v>
      </c>
      <c r="P1753" s="52">
        <f>IF(COUNTIF(TblPurchases[BatchID],TblOutcomes[[#This Row],[BatchID]])&lt;&gt;1,"n.a.",TblOutcomes[[#This Row],[Qty Wasted]]*SUMIFS(TblPurchases[Unit Cost (CLP)],TblPurchases[BatchID],TblOutcomes[[#This Row],[BatchID]]))</f>
        <v>0</v>
      </c>
      <c r="Q1753" s="51">
        <f>IF(COUNTIF(TblPurchases[BatchID],TblOutcomes[[#This Row],[BatchID]])&lt;&gt;1,"n.a.",SUMIFS(TblPurchases[Purchase Date],TblPurchases[BatchID],TblOutcomes[[#This Row],[BatchID]]))</f>
        <v>45173</v>
      </c>
    </row>
    <row r="1754" spans="2:17" x14ac:dyDescent="0.25">
      <c r="B1754" s="2" t="s">
        <v>2559</v>
      </c>
      <c r="C1754" s="2" t="s">
        <v>228</v>
      </c>
      <c r="D1754" s="2" t="s">
        <v>224</v>
      </c>
      <c r="E1754" s="2" t="s">
        <v>4646</v>
      </c>
      <c r="F1754" s="2">
        <v>23</v>
      </c>
      <c r="G1754" s="2">
        <v>22.33</v>
      </c>
      <c r="H1754" s="2">
        <v>0.67</v>
      </c>
      <c r="I1754" s="1">
        <v>2.9</v>
      </c>
      <c r="J1754" s="26">
        <v>45966</v>
      </c>
      <c r="K1754" s="22">
        <v>111650</v>
      </c>
      <c r="L1754" s="18">
        <v>119.41</v>
      </c>
      <c r="M1754" s="22">
        <v>79350</v>
      </c>
      <c r="N1754" s="22">
        <v>32300</v>
      </c>
      <c r="O1754" s="18">
        <v>34.549999999999997</v>
      </c>
      <c r="P1754" s="52">
        <f>IF(COUNTIF(TblPurchases[BatchID],TblOutcomes[[#This Row],[BatchID]])&lt;&gt;1,"n.a.",TblOutcomes[[#This Row],[Qty Wasted]]*SUMIFS(TblPurchases[Unit Cost (CLP)],TblPurchases[BatchID],TblOutcomes[[#This Row],[BatchID]]))</f>
        <v>2311.5</v>
      </c>
      <c r="Q1754" s="51">
        <f>IF(COUNTIF(TblPurchases[BatchID],TblOutcomes[[#This Row],[BatchID]])&lt;&gt;1,"n.a.",SUMIFS(TblPurchases[Purchase Date],TblPurchases[BatchID],TblOutcomes[[#This Row],[BatchID]]))</f>
        <v>45236</v>
      </c>
    </row>
    <row r="1755" spans="2:17" x14ac:dyDescent="0.25">
      <c r="B1755" s="2" t="s">
        <v>2560</v>
      </c>
      <c r="C1755" s="2" t="s">
        <v>228</v>
      </c>
      <c r="D1755" s="2" t="s">
        <v>224</v>
      </c>
      <c r="E1755" s="2" t="s">
        <v>4647</v>
      </c>
      <c r="F1755" s="2">
        <v>25</v>
      </c>
      <c r="G1755" s="2">
        <v>25</v>
      </c>
      <c r="H1755" s="2">
        <v>0</v>
      </c>
      <c r="I1755" s="1">
        <v>0</v>
      </c>
      <c r="J1755" s="26">
        <v>45367</v>
      </c>
      <c r="K1755" s="22">
        <v>125000</v>
      </c>
      <c r="L1755" s="18">
        <v>133.69</v>
      </c>
      <c r="M1755" s="22">
        <v>86250</v>
      </c>
      <c r="N1755" s="22">
        <v>38750</v>
      </c>
      <c r="O1755" s="18">
        <v>41.44</v>
      </c>
      <c r="P1755" s="52">
        <f>IF(COUNTIF(TblPurchases[BatchID],TblOutcomes[[#This Row],[BatchID]])&lt;&gt;1,"n.a.",TblOutcomes[[#This Row],[Qty Wasted]]*SUMIFS(TblPurchases[Unit Cost (CLP)],TblPurchases[BatchID],TblOutcomes[[#This Row],[BatchID]]))</f>
        <v>0</v>
      </c>
      <c r="Q1755" s="51">
        <f>IF(COUNTIF(TblPurchases[BatchID],TblOutcomes[[#This Row],[BatchID]])&lt;&gt;1,"n.a.",SUMIFS(TblPurchases[Purchase Date],TblPurchases[BatchID],TblOutcomes[[#This Row],[BatchID]]))</f>
        <v>45324</v>
      </c>
    </row>
    <row r="1756" spans="2:17" x14ac:dyDescent="0.25">
      <c r="B1756" s="2" t="s">
        <v>2561</v>
      </c>
      <c r="C1756" s="2" t="s">
        <v>228</v>
      </c>
      <c r="D1756" s="2" t="s">
        <v>224</v>
      </c>
      <c r="E1756" s="2" t="s">
        <v>4646</v>
      </c>
      <c r="F1756" s="2">
        <v>27</v>
      </c>
      <c r="G1756" s="2">
        <v>26</v>
      </c>
      <c r="H1756" s="2">
        <v>1</v>
      </c>
      <c r="I1756" s="1">
        <v>3.7</v>
      </c>
      <c r="J1756" s="26">
        <v>46114</v>
      </c>
      <c r="K1756" s="22">
        <v>130000</v>
      </c>
      <c r="L1756" s="18">
        <v>139.04</v>
      </c>
      <c r="M1756" s="22">
        <v>93150</v>
      </c>
      <c r="N1756" s="22">
        <v>36850</v>
      </c>
      <c r="O1756" s="18">
        <v>39.409999999999997</v>
      </c>
      <c r="P1756" s="52">
        <f>IF(COUNTIF(TblPurchases[BatchID],TblOutcomes[[#This Row],[BatchID]])&lt;&gt;1,"n.a.",TblOutcomes[[#This Row],[Qty Wasted]]*SUMIFS(TblPurchases[Unit Cost (CLP)],TblPurchases[BatchID],TblOutcomes[[#This Row],[BatchID]]))</f>
        <v>3450</v>
      </c>
      <c r="Q1756" s="51">
        <f>IF(COUNTIF(TblPurchases[BatchID],TblOutcomes[[#This Row],[BatchID]])&lt;&gt;1,"n.a.",SUMIFS(TblPurchases[Purchase Date],TblPurchases[BatchID],TblOutcomes[[#This Row],[BatchID]]))</f>
        <v>45384</v>
      </c>
    </row>
    <row r="1757" spans="2:17" x14ac:dyDescent="0.25">
      <c r="B1757" s="2" t="s">
        <v>2562</v>
      </c>
      <c r="C1757" s="2" t="s">
        <v>228</v>
      </c>
      <c r="D1757" s="2" t="s">
        <v>224</v>
      </c>
      <c r="E1757" s="2" t="s">
        <v>4647</v>
      </c>
      <c r="F1757" s="2">
        <v>27</v>
      </c>
      <c r="G1757" s="2">
        <v>27</v>
      </c>
      <c r="H1757" s="2">
        <v>0</v>
      </c>
      <c r="I1757" s="1">
        <v>0</v>
      </c>
      <c r="J1757" s="26">
        <v>45500</v>
      </c>
      <c r="K1757" s="22">
        <v>135000</v>
      </c>
      <c r="L1757" s="18">
        <v>144.38999999999999</v>
      </c>
      <c r="M1757" s="22">
        <v>93150</v>
      </c>
      <c r="N1757" s="22">
        <v>41850</v>
      </c>
      <c r="O1757" s="18">
        <v>44.76</v>
      </c>
      <c r="P1757" s="52">
        <f>IF(COUNTIF(TblPurchases[BatchID],TblOutcomes[[#This Row],[BatchID]])&lt;&gt;1,"n.a.",TblOutcomes[[#This Row],[Qty Wasted]]*SUMIFS(TblPurchases[Unit Cost (CLP)],TblPurchases[BatchID],TblOutcomes[[#This Row],[BatchID]]))</f>
        <v>0</v>
      </c>
      <c r="Q1757" s="51">
        <f>IF(COUNTIF(TblPurchases[BatchID],TblOutcomes[[#This Row],[BatchID]])&lt;&gt;1,"n.a.",SUMIFS(TblPurchases[Purchase Date],TblPurchases[BatchID],TblOutcomes[[#This Row],[BatchID]]))</f>
        <v>45438</v>
      </c>
    </row>
    <row r="1758" spans="2:17" x14ac:dyDescent="0.25">
      <c r="B1758" s="2" t="s">
        <v>2563</v>
      </c>
      <c r="C1758" s="2" t="s">
        <v>228</v>
      </c>
      <c r="D1758" s="2" t="s">
        <v>224</v>
      </c>
      <c r="E1758" s="2" t="s">
        <v>4647</v>
      </c>
      <c r="F1758" s="2">
        <v>24</v>
      </c>
      <c r="G1758" s="2">
        <v>24</v>
      </c>
      <c r="H1758" s="2">
        <v>0</v>
      </c>
      <c r="I1758" s="1">
        <v>0</v>
      </c>
      <c r="J1758" s="26">
        <v>45561</v>
      </c>
      <c r="K1758" s="22">
        <v>120000</v>
      </c>
      <c r="L1758" s="18">
        <v>128.34</v>
      </c>
      <c r="M1758" s="22">
        <v>82800</v>
      </c>
      <c r="N1758" s="22">
        <v>37200</v>
      </c>
      <c r="O1758" s="18">
        <v>39.79</v>
      </c>
      <c r="P1758" s="52">
        <f>IF(COUNTIF(TblPurchases[BatchID],TblOutcomes[[#This Row],[BatchID]])&lt;&gt;1,"n.a.",TblOutcomes[[#This Row],[Qty Wasted]]*SUMIFS(TblPurchases[Unit Cost (CLP)],TblPurchases[BatchID],TblOutcomes[[#This Row],[BatchID]]))</f>
        <v>0</v>
      </c>
      <c r="Q1758" s="51">
        <f>IF(COUNTIF(TblPurchases[BatchID],TblOutcomes[[#This Row],[BatchID]])&lt;&gt;1,"n.a.",SUMIFS(TblPurchases[Purchase Date],TblPurchases[BatchID],TblOutcomes[[#This Row],[BatchID]]))</f>
        <v>45511</v>
      </c>
    </row>
    <row r="1759" spans="2:17" x14ac:dyDescent="0.25">
      <c r="B1759" s="2" t="s">
        <v>2564</v>
      </c>
      <c r="C1759" s="2" t="s">
        <v>228</v>
      </c>
      <c r="D1759" s="2" t="s">
        <v>224</v>
      </c>
      <c r="E1759" s="2" t="s">
        <v>4647</v>
      </c>
      <c r="F1759" s="2">
        <v>25</v>
      </c>
      <c r="G1759" s="2">
        <v>25</v>
      </c>
      <c r="H1759" s="2">
        <v>0</v>
      </c>
      <c r="I1759" s="1">
        <v>0</v>
      </c>
      <c r="J1759" s="26">
        <v>45616</v>
      </c>
      <c r="K1759" s="22">
        <v>125000</v>
      </c>
      <c r="L1759" s="18">
        <v>133.69</v>
      </c>
      <c r="M1759" s="22">
        <v>86250</v>
      </c>
      <c r="N1759" s="22">
        <v>38750</v>
      </c>
      <c r="O1759" s="18">
        <v>41.44</v>
      </c>
      <c r="P1759" s="52">
        <f>IF(COUNTIF(TblPurchases[BatchID],TblOutcomes[[#This Row],[BatchID]])&lt;&gt;1,"n.a.",TblOutcomes[[#This Row],[Qty Wasted]]*SUMIFS(TblPurchases[Unit Cost (CLP)],TblPurchases[BatchID],TblOutcomes[[#This Row],[BatchID]]))</f>
        <v>0</v>
      </c>
      <c r="Q1759" s="51">
        <f>IF(COUNTIF(TblPurchases[BatchID],TblOutcomes[[#This Row],[BatchID]])&lt;&gt;1,"n.a.",SUMIFS(TblPurchases[Purchase Date],TblPurchases[BatchID],TblOutcomes[[#This Row],[BatchID]]))</f>
        <v>45571</v>
      </c>
    </row>
    <row r="1760" spans="2:17" x14ac:dyDescent="0.25">
      <c r="B1760" s="2" t="s">
        <v>2565</v>
      </c>
      <c r="C1760" s="2" t="s">
        <v>228</v>
      </c>
      <c r="D1760" s="2" t="s">
        <v>224</v>
      </c>
      <c r="E1760" s="2" t="s">
        <v>4647</v>
      </c>
      <c r="F1760" s="2">
        <v>26</v>
      </c>
      <c r="G1760" s="2">
        <v>26</v>
      </c>
      <c r="H1760" s="2">
        <v>0</v>
      </c>
      <c r="I1760" s="1">
        <v>0</v>
      </c>
      <c r="J1760" s="26">
        <v>45668</v>
      </c>
      <c r="K1760" s="22">
        <v>130000</v>
      </c>
      <c r="L1760" s="18">
        <v>139.04</v>
      </c>
      <c r="M1760" s="22">
        <v>89700</v>
      </c>
      <c r="N1760" s="22">
        <v>40300</v>
      </c>
      <c r="O1760" s="18">
        <v>43.1</v>
      </c>
      <c r="P1760" s="52">
        <f>IF(COUNTIF(TblPurchases[BatchID],TblOutcomes[[#This Row],[BatchID]])&lt;&gt;1,"n.a.",TblOutcomes[[#This Row],[Qty Wasted]]*SUMIFS(TblPurchases[Unit Cost (CLP)],TblPurchases[BatchID],TblOutcomes[[#This Row],[BatchID]]))</f>
        <v>0</v>
      </c>
      <c r="Q1760" s="51">
        <f>IF(COUNTIF(TblPurchases[BatchID],TblOutcomes[[#This Row],[BatchID]])&lt;&gt;1,"n.a.",SUMIFS(TblPurchases[Purchase Date],TblPurchases[BatchID],TblOutcomes[[#This Row],[BatchID]]))</f>
        <v>45620</v>
      </c>
    </row>
    <row r="1761" spans="2:17" x14ac:dyDescent="0.25">
      <c r="B1761" s="2" t="s">
        <v>2566</v>
      </c>
      <c r="C1761" s="2" t="s">
        <v>228</v>
      </c>
      <c r="D1761" s="2" t="s">
        <v>224</v>
      </c>
      <c r="E1761" s="2" t="s">
        <v>4646</v>
      </c>
      <c r="F1761" s="2">
        <v>26</v>
      </c>
      <c r="G1761" s="2">
        <v>24.83</v>
      </c>
      <c r="H1761" s="2">
        <v>1.17</v>
      </c>
      <c r="I1761" s="1">
        <v>4.5</v>
      </c>
      <c r="J1761" s="26">
        <v>46400</v>
      </c>
      <c r="K1761" s="22">
        <v>124150</v>
      </c>
      <c r="L1761" s="18">
        <v>132.78</v>
      </c>
      <c r="M1761" s="22">
        <v>89700</v>
      </c>
      <c r="N1761" s="22">
        <v>34450</v>
      </c>
      <c r="O1761" s="18">
        <v>36.840000000000003</v>
      </c>
      <c r="P1761" s="52">
        <f>IF(COUNTIF(TblPurchases[BatchID],TblOutcomes[[#This Row],[BatchID]])&lt;&gt;1,"n.a.",TblOutcomes[[#This Row],[Qty Wasted]]*SUMIFS(TblPurchases[Unit Cost (CLP)],TblPurchases[BatchID],TblOutcomes[[#This Row],[BatchID]]))</f>
        <v>4036.4999999999995</v>
      </c>
      <c r="Q1761" s="51">
        <f>IF(COUNTIF(TblPurchases[BatchID],TblOutcomes[[#This Row],[BatchID]])&lt;&gt;1,"n.a.",SUMIFS(TblPurchases[Purchase Date],TblPurchases[BatchID],TblOutcomes[[#This Row],[BatchID]]))</f>
        <v>45670</v>
      </c>
    </row>
    <row r="1762" spans="2:17" x14ac:dyDescent="0.25">
      <c r="B1762" s="2" t="s">
        <v>2567</v>
      </c>
      <c r="C1762" s="2" t="s">
        <v>228</v>
      </c>
      <c r="D1762" s="2" t="s">
        <v>224</v>
      </c>
      <c r="E1762" s="2" t="s">
        <v>4646</v>
      </c>
      <c r="F1762" s="2">
        <v>29</v>
      </c>
      <c r="G1762" s="2">
        <v>28.22</v>
      </c>
      <c r="H1762" s="2">
        <v>0.78</v>
      </c>
      <c r="I1762" s="1">
        <v>2.7</v>
      </c>
      <c r="J1762" s="26">
        <v>46450</v>
      </c>
      <c r="K1762" s="22">
        <v>141100</v>
      </c>
      <c r="L1762" s="18">
        <v>150.91</v>
      </c>
      <c r="M1762" s="22">
        <v>100050</v>
      </c>
      <c r="N1762" s="22">
        <v>41050</v>
      </c>
      <c r="O1762" s="18">
        <v>43.9</v>
      </c>
      <c r="P1762" s="52">
        <f>IF(COUNTIF(TblPurchases[BatchID],TblOutcomes[[#This Row],[BatchID]])&lt;&gt;1,"n.a.",TblOutcomes[[#This Row],[Qty Wasted]]*SUMIFS(TblPurchases[Unit Cost (CLP)],TblPurchases[BatchID],TblOutcomes[[#This Row],[BatchID]]))</f>
        <v>2691</v>
      </c>
      <c r="Q1762" s="51">
        <f>IF(COUNTIF(TblPurchases[BatchID],TblOutcomes[[#This Row],[BatchID]])&lt;&gt;1,"n.a.",SUMIFS(TblPurchases[Purchase Date],TblPurchases[BatchID],TblOutcomes[[#This Row],[BatchID]]))</f>
        <v>45720</v>
      </c>
    </row>
    <row r="1763" spans="2:17" x14ac:dyDescent="0.25">
      <c r="B1763" s="2" t="s">
        <v>2568</v>
      </c>
      <c r="C1763" s="2" t="s">
        <v>228</v>
      </c>
      <c r="D1763" s="2" t="s">
        <v>224</v>
      </c>
      <c r="E1763" s="2" t="s">
        <v>4647</v>
      </c>
      <c r="F1763" s="2">
        <v>24</v>
      </c>
      <c r="G1763" s="2">
        <v>24</v>
      </c>
      <c r="H1763" s="2">
        <v>0</v>
      </c>
      <c r="I1763" s="1">
        <v>0</v>
      </c>
      <c r="J1763" s="26">
        <v>45828</v>
      </c>
      <c r="K1763" s="22">
        <v>120000</v>
      </c>
      <c r="L1763" s="18">
        <v>128.34</v>
      </c>
      <c r="M1763" s="22">
        <v>82800</v>
      </c>
      <c r="N1763" s="22">
        <v>37200</v>
      </c>
      <c r="O1763" s="18">
        <v>39.79</v>
      </c>
      <c r="P1763" s="52">
        <f>IF(COUNTIF(TblPurchases[BatchID],TblOutcomes[[#This Row],[BatchID]])&lt;&gt;1,"n.a.",TblOutcomes[[#This Row],[Qty Wasted]]*SUMIFS(TblPurchases[Unit Cost (CLP)],TblPurchases[BatchID],TblOutcomes[[#This Row],[BatchID]]))</f>
        <v>0</v>
      </c>
      <c r="Q1763" s="51">
        <f>IF(COUNTIF(TblPurchases[BatchID],TblOutcomes[[#This Row],[BatchID]])&lt;&gt;1,"n.a.",SUMIFS(TblPurchases[Purchase Date],TblPurchases[BatchID],TblOutcomes[[#This Row],[BatchID]]))</f>
        <v>45782</v>
      </c>
    </row>
    <row r="1764" spans="2:17" x14ac:dyDescent="0.25">
      <c r="B1764" s="2" t="s">
        <v>2569</v>
      </c>
      <c r="C1764" s="2" t="s">
        <v>230</v>
      </c>
      <c r="D1764" s="2" t="s">
        <v>224</v>
      </c>
      <c r="E1764" s="2" t="s">
        <v>4647</v>
      </c>
      <c r="F1764" s="2">
        <v>23</v>
      </c>
      <c r="G1764" s="2">
        <v>23</v>
      </c>
      <c r="H1764" s="2">
        <v>0</v>
      </c>
      <c r="I1764" s="1">
        <v>0</v>
      </c>
      <c r="J1764" s="26">
        <v>45181</v>
      </c>
      <c r="K1764" s="22">
        <v>138000</v>
      </c>
      <c r="L1764" s="18">
        <v>147.59</v>
      </c>
      <c r="M1764" s="22">
        <v>94300</v>
      </c>
      <c r="N1764" s="22">
        <v>43700</v>
      </c>
      <c r="O1764" s="18">
        <v>46.74</v>
      </c>
      <c r="P1764" s="52">
        <f>IF(COUNTIF(TblPurchases[BatchID],TblOutcomes[[#This Row],[BatchID]])&lt;&gt;1,"n.a.",TblOutcomes[[#This Row],[Qty Wasted]]*SUMIFS(TblPurchases[Unit Cost (CLP)],TblPurchases[BatchID],TblOutcomes[[#This Row],[BatchID]]))</f>
        <v>0</v>
      </c>
      <c r="Q1764" s="51">
        <f>IF(COUNTIF(TblPurchases[BatchID],TblOutcomes[[#This Row],[BatchID]])&lt;&gt;1,"n.a.",SUMIFS(TblPurchases[Purchase Date],TblPurchases[BatchID],TblOutcomes[[#This Row],[BatchID]]))</f>
        <v>45133</v>
      </c>
    </row>
    <row r="1765" spans="2:17" x14ac:dyDescent="0.25">
      <c r="B1765" s="2" t="s">
        <v>2570</v>
      </c>
      <c r="C1765" s="2" t="s">
        <v>230</v>
      </c>
      <c r="D1765" s="2" t="s">
        <v>224</v>
      </c>
      <c r="E1765" s="2" t="s">
        <v>4647</v>
      </c>
      <c r="F1765" s="2">
        <v>27</v>
      </c>
      <c r="G1765" s="2">
        <v>27</v>
      </c>
      <c r="H1765" s="2">
        <v>0</v>
      </c>
      <c r="I1765" s="1">
        <v>0</v>
      </c>
      <c r="J1765" s="26">
        <v>45231</v>
      </c>
      <c r="K1765" s="22">
        <v>162000</v>
      </c>
      <c r="L1765" s="18">
        <v>173.26</v>
      </c>
      <c r="M1765" s="22">
        <v>110700</v>
      </c>
      <c r="N1765" s="22">
        <v>51300</v>
      </c>
      <c r="O1765" s="18">
        <v>54.87</v>
      </c>
      <c r="P1765" s="52">
        <f>IF(COUNTIF(TblPurchases[BatchID],TblOutcomes[[#This Row],[BatchID]])&lt;&gt;1,"n.a.",TblOutcomes[[#This Row],[Qty Wasted]]*SUMIFS(TblPurchases[Unit Cost (CLP)],TblPurchases[BatchID],TblOutcomes[[#This Row],[BatchID]]))</f>
        <v>0</v>
      </c>
      <c r="Q1765" s="51">
        <f>IF(COUNTIF(TblPurchases[BatchID],TblOutcomes[[#This Row],[BatchID]])&lt;&gt;1,"n.a.",SUMIFS(TblPurchases[Purchase Date],TblPurchases[BatchID],TblOutcomes[[#This Row],[BatchID]]))</f>
        <v>45181</v>
      </c>
    </row>
    <row r="1766" spans="2:17" x14ac:dyDescent="0.25">
      <c r="B1766" s="2" t="s">
        <v>2571</v>
      </c>
      <c r="C1766" s="2" t="s">
        <v>230</v>
      </c>
      <c r="D1766" s="2" t="s">
        <v>224</v>
      </c>
      <c r="E1766" s="2" t="s">
        <v>4647</v>
      </c>
      <c r="F1766" s="2">
        <v>23</v>
      </c>
      <c r="G1766" s="2">
        <v>23</v>
      </c>
      <c r="H1766" s="2">
        <v>0</v>
      </c>
      <c r="I1766" s="1">
        <v>0</v>
      </c>
      <c r="J1766" s="26">
        <v>45279</v>
      </c>
      <c r="K1766" s="22">
        <v>138000</v>
      </c>
      <c r="L1766" s="18">
        <v>147.59</v>
      </c>
      <c r="M1766" s="22">
        <v>94300</v>
      </c>
      <c r="N1766" s="22">
        <v>43700</v>
      </c>
      <c r="O1766" s="18">
        <v>46.74</v>
      </c>
      <c r="P1766" s="52">
        <f>IF(COUNTIF(TblPurchases[BatchID],TblOutcomes[[#This Row],[BatchID]])&lt;&gt;1,"n.a.",TblOutcomes[[#This Row],[Qty Wasted]]*SUMIFS(TblPurchases[Unit Cost (CLP)],TblPurchases[BatchID],TblOutcomes[[#This Row],[BatchID]]))</f>
        <v>0</v>
      </c>
      <c r="Q1766" s="51">
        <f>IF(COUNTIF(TblPurchases[BatchID],TblOutcomes[[#This Row],[BatchID]])&lt;&gt;1,"n.a.",SUMIFS(TblPurchases[Purchase Date],TblPurchases[BatchID],TblOutcomes[[#This Row],[BatchID]]))</f>
        <v>45229</v>
      </c>
    </row>
    <row r="1767" spans="2:17" x14ac:dyDescent="0.25">
      <c r="B1767" s="2" t="s">
        <v>2572</v>
      </c>
      <c r="C1767" s="2" t="s">
        <v>230</v>
      </c>
      <c r="D1767" s="2" t="s">
        <v>224</v>
      </c>
      <c r="E1767" s="2" t="s">
        <v>4646</v>
      </c>
      <c r="F1767" s="2">
        <v>28</v>
      </c>
      <c r="G1767" s="2">
        <v>27.44</v>
      </c>
      <c r="H1767" s="2">
        <v>0.56000000000000005</v>
      </c>
      <c r="I1767" s="1">
        <v>2</v>
      </c>
      <c r="J1767" s="26">
        <v>46004</v>
      </c>
      <c r="K1767" s="22">
        <v>164640</v>
      </c>
      <c r="L1767" s="18">
        <v>176.09</v>
      </c>
      <c r="M1767" s="22">
        <v>114800</v>
      </c>
      <c r="N1767" s="22">
        <v>49840</v>
      </c>
      <c r="O1767" s="18">
        <v>53.3</v>
      </c>
      <c r="P1767" s="52">
        <f>IF(COUNTIF(TblPurchases[BatchID],TblOutcomes[[#This Row],[BatchID]])&lt;&gt;1,"n.a.",TblOutcomes[[#This Row],[Qty Wasted]]*SUMIFS(TblPurchases[Unit Cost (CLP)],TblPurchases[BatchID],TblOutcomes[[#This Row],[BatchID]]))</f>
        <v>2296</v>
      </c>
      <c r="Q1767" s="51">
        <f>IF(COUNTIF(TblPurchases[BatchID],TblOutcomes[[#This Row],[BatchID]])&lt;&gt;1,"n.a.",SUMIFS(TblPurchases[Purchase Date],TblPurchases[BatchID],TblOutcomes[[#This Row],[BatchID]]))</f>
        <v>45274</v>
      </c>
    </row>
    <row r="1768" spans="2:17" x14ac:dyDescent="0.25">
      <c r="B1768" s="2" t="s">
        <v>2573</v>
      </c>
      <c r="C1768" s="2" t="s">
        <v>230</v>
      </c>
      <c r="D1768" s="2" t="s">
        <v>224</v>
      </c>
      <c r="E1768" s="2" t="s">
        <v>4647</v>
      </c>
      <c r="F1768" s="2">
        <v>24</v>
      </c>
      <c r="G1768" s="2">
        <v>24</v>
      </c>
      <c r="H1768" s="2">
        <v>0</v>
      </c>
      <c r="I1768" s="1">
        <v>0</v>
      </c>
      <c r="J1768" s="26">
        <v>45383</v>
      </c>
      <c r="K1768" s="22">
        <v>144000</v>
      </c>
      <c r="L1768" s="18">
        <v>154.01</v>
      </c>
      <c r="M1768" s="22">
        <v>106800</v>
      </c>
      <c r="N1768" s="22">
        <v>37200</v>
      </c>
      <c r="O1768" s="18">
        <v>39.79</v>
      </c>
      <c r="P1768" s="52">
        <f>IF(COUNTIF(TblPurchases[BatchID],TblOutcomes[[#This Row],[BatchID]])&lt;&gt;1,"n.a.",TblOutcomes[[#This Row],[Qty Wasted]]*SUMIFS(TblPurchases[Unit Cost (CLP)],TblPurchases[BatchID],TblOutcomes[[#This Row],[BatchID]]))</f>
        <v>0</v>
      </c>
      <c r="Q1768" s="51">
        <f>IF(COUNTIF(TblPurchases[BatchID],TblOutcomes[[#This Row],[BatchID]])&lt;&gt;1,"n.a.",SUMIFS(TblPurchases[Purchase Date],TblPurchases[BatchID],TblOutcomes[[#This Row],[BatchID]]))</f>
        <v>45344</v>
      </c>
    </row>
    <row r="1769" spans="2:17" x14ac:dyDescent="0.25">
      <c r="B1769" s="2" t="s">
        <v>2574</v>
      </c>
      <c r="C1769" s="2" t="s">
        <v>230</v>
      </c>
      <c r="D1769" s="2" t="s">
        <v>224</v>
      </c>
      <c r="E1769" s="2" t="s">
        <v>4647</v>
      </c>
      <c r="F1769" s="2">
        <v>22</v>
      </c>
      <c r="G1769" s="2">
        <v>22</v>
      </c>
      <c r="H1769" s="2">
        <v>0</v>
      </c>
      <c r="I1769" s="1">
        <v>0</v>
      </c>
      <c r="J1769" s="26">
        <v>45447</v>
      </c>
      <c r="K1769" s="22">
        <v>132000</v>
      </c>
      <c r="L1769" s="18">
        <v>141.18</v>
      </c>
      <c r="M1769" s="22">
        <v>90200</v>
      </c>
      <c r="N1769" s="22">
        <v>41800</v>
      </c>
      <c r="O1769" s="18">
        <v>44.71</v>
      </c>
      <c r="P1769" s="52">
        <f>IF(COUNTIF(TblPurchases[BatchID],TblOutcomes[[#This Row],[BatchID]])&lt;&gt;1,"n.a.",TblOutcomes[[#This Row],[Qty Wasted]]*SUMIFS(TblPurchases[Unit Cost (CLP)],TblPurchases[BatchID],TblOutcomes[[#This Row],[BatchID]]))</f>
        <v>0</v>
      </c>
      <c r="Q1769" s="51">
        <f>IF(COUNTIF(TblPurchases[BatchID],TblOutcomes[[#This Row],[BatchID]])&lt;&gt;1,"n.a.",SUMIFS(TblPurchases[Purchase Date],TblPurchases[BatchID],TblOutcomes[[#This Row],[BatchID]]))</f>
        <v>45407</v>
      </c>
    </row>
    <row r="1770" spans="2:17" x14ac:dyDescent="0.25">
      <c r="B1770" s="2" t="s">
        <v>2575</v>
      </c>
      <c r="C1770" s="2" t="s">
        <v>230</v>
      </c>
      <c r="D1770" s="2" t="s">
        <v>224</v>
      </c>
      <c r="E1770" s="2" t="s">
        <v>4647</v>
      </c>
      <c r="F1770" s="2">
        <v>26</v>
      </c>
      <c r="G1770" s="2">
        <v>26</v>
      </c>
      <c r="H1770" s="2">
        <v>0</v>
      </c>
      <c r="I1770" s="1">
        <v>0</v>
      </c>
      <c r="J1770" s="26">
        <v>45492</v>
      </c>
      <c r="K1770" s="22">
        <v>156000</v>
      </c>
      <c r="L1770" s="18">
        <v>166.84</v>
      </c>
      <c r="M1770" s="22">
        <v>106600</v>
      </c>
      <c r="N1770" s="22">
        <v>49400</v>
      </c>
      <c r="O1770" s="18">
        <v>52.83</v>
      </c>
      <c r="P1770" s="52">
        <f>IF(COUNTIF(TblPurchases[BatchID],TblOutcomes[[#This Row],[BatchID]])&lt;&gt;1,"n.a.",TblOutcomes[[#This Row],[Qty Wasted]]*SUMIFS(TblPurchases[Unit Cost (CLP)],TblPurchases[BatchID],TblOutcomes[[#This Row],[BatchID]]))</f>
        <v>0</v>
      </c>
      <c r="Q1770" s="51">
        <f>IF(COUNTIF(TblPurchases[BatchID],TblOutcomes[[#This Row],[BatchID]])&lt;&gt;1,"n.a.",SUMIFS(TblPurchases[Purchase Date],TblPurchases[BatchID],TblOutcomes[[#This Row],[BatchID]]))</f>
        <v>45451</v>
      </c>
    </row>
    <row r="1771" spans="2:17" x14ac:dyDescent="0.25">
      <c r="B1771" s="2" t="s">
        <v>2576</v>
      </c>
      <c r="C1771" s="2" t="s">
        <v>230</v>
      </c>
      <c r="D1771" s="2" t="s">
        <v>224</v>
      </c>
      <c r="E1771" s="2" t="s">
        <v>4646</v>
      </c>
      <c r="F1771" s="2">
        <v>25</v>
      </c>
      <c r="G1771" s="2">
        <v>24.62</v>
      </c>
      <c r="H1771" s="2">
        <v>0.38</v>
      </c>
      <c r="I1771" s="1">
        <v>1.5</v>
      </c>
      <c r="J1771" s="26">
        <v>46248</v>
      </c>
      <c r="K1771" s="22">
        <v>147720</v>
      </c>
      <c r="L1771" s="18">
        <v>157.99</v>
      </c>
      <c r="M1771" s="22">
        <v>102500</v>
      </c>
      <c r="N1771" s="22">
        <v>45220</v>
      </c>
      <c r="O1771" s="18">
        <v>48.36</v>
      </c>
      <c r="P1771" s="52">
        <f>IF(COUNTIF(TblPurchases[BatchID],TblOutcomes[[#This Row],[BatchID]])&lt;&gt;1,"n.a.",TblOutcomes[[#This Row],[Qty Wasted]]*SUMIFS(TblPurchases[Unit Cost (CLP)],TblPurchases[BatchID],TblOutcomes[[#This Row],[BatchID]]))</f>
        <v>1558</v>
      </c>
      <c r="Q1771" s="51">
        <f>IF(COUNTIF(TblPurchases[BatchID],TblOutcomes[[#This Row],[BatchID]])&lt;&gt;1,"n.a.",SUMIFS(TblPurchases[Purchase Date],TblPurchases[BatchID],TblOutcomes[[#This Row],[BatchID]]))</f>
        <v>45518</v>
      </c>
    </row>
    <row r="1772" spans="2:17" x14ac:dyDescent="0.25">
      <c r="B1772" s="2" t="s">
        <v>2577</v>
      </c>
      <c r="C1772" s="2" t="s">
        <v>230</v>
      </c>
      <c r="D1772" s="2" t="s">
        <v>224</v>
      </c>
      <c r="E1772" s="2" t="s">
        <v>4646</v>
      </c>
      <c r="F1772" s="2">
        <v>25</v>
      </c>
      <c r="G1772" s="2">
        <v>24.45</v>
      </c>
      <c r="H1772" s="2">
        <v>0.55000000000000004</v>
      </c>
      <c r="I1772" s="1">
        <v>2.2000000000000002</v>
      </c>
      <c r="J1772" s="26">
        <v>46304</v>
      </c>
      <c r="K1772" s="22">
        <v>146700</v>
      </c>
      <c r="L1772" s="18">
        <v>156.9</v>
      </c>
      <c r="M1772" s="22">
        <v>102500</v>
      </c>
      <c r="N1772" s="22">
        <v>44200</v>
      </c>
      <c r="O1772" s="18">
        <v>47.27</v>
      </c>
      <c r="P1772" s="52">
        <f>IF(COUNTIF(TblPurchases[BatchID],TblOutcomes[[#This Row],[BatchID]])&lt;&gt;1,"n.a.",TblOutcomes[[#This Row],[Qty Wasted]]*SUMIFS(TblPurchases[Unit Cost (CLP)],TblPurchases[BatchID],TblOutcomes[[#This Row],[BatchID]]))</f>
        <v>2255</v>
      </c>
      <c r="Q1772" s="51">
        <f>IF(COUNTIF(TblPurchases[BatchID],TblOutcomes[[#This Row],[BatchID]])&lt;&gt;1,"n.a.",SUMIFS(TblPurchases[Purchase Date],TblPurchases[BatchID],TblOutcomes[[#This Row],[BatchID]]))</f>
        <v>45574</v>
      </c>
    </row>
    <row r="1773" spans="2:17" x14ac:dyDescent="0.25">
      <c r="B1773" s="2" t="s">
        <v>2578</v>
      </c>
      <c r="C1773" s="2" t="s">
        <v>230</v>
      </c>
      <c r="D1773" s="2" t="s">
        <v>224</v>
      </c>
      <c r="E1773" s="2" t="s">
        <v>4647</v>
      </c>
      <c r="F1773" s="2">
        <v>29</v>
      </c>
      <c r="G1773" s="2">
        <v>29</v>
      </c>
      <c r="H1773" s="2">
        <v>0</v>
      </c>
      <c r="I1773" s="1">
        <v>0</v>
      </c>
      <c r="J1773" s="26">
        <v>45674</v>
      </c>
      <c r="K1773" s="22">
        <v>174000</v>
      </c>
      <c r="L1773" s="18">
        <v>186.1</v>
      </c>
      <c r="M1773" s="22">
        <v>118900</v>
      </c>
      <c r="N1773" s="22">
        <v>55100</v>
      </c>
      <c r="O1773" s="18">
        <v>58.93</v>
      </c>
      <c r="P1773" s="52">
        <f>IF(COUNTIF(TblPurchases[BatchID],TblOutcomes[[#This Row],[BatchID]])&lt;&gt;1,"n.a.",TblOutcomes[[#This Row],[Qty Wasted]]*SUMIFS(TblPurchases[Unit Cost (CLP)],TblPurchases[BatchID],TblOutcomes[[#This Row],[BatchID]]))</f>
        <v>0</v>
      </c>
      <c r="Q1773" s="51">
        <f>IF(COUNTIF(TblPurchases[BatchID],TblOutcomes[[#This Row],[BatchID]])&lt;&gt;1,"n.a.",SUMIFS(TblPurchases[Purchase Date],TblPurchases[BatchID],TblOutcomes[[#This Row],[BatchID]]))</f>
        <v>45632</v>
      </c>
    </row>
    <row r="1774" spans="2:17" x14ac:dyDescent="0.25">
      <c r="B1774" s="2" t="s">
        <v>2579</v>
      </c>
      <c r="C1774" s="2" t="s">
        <v>230</v>
      </c>
      <c r="D1774" s="2" t="s">
        <v>224</v>
      </c>
      <c r="E1774" s="2" t="s">
        <v>4647</v>
      </c>
      <c r="F1774" s="2">
        <v>24</v>
      </c>
      <c r="G1774" s="2">
        <v>24</v>
      </c>
      <c r="H1774" s="2">
        <v>0</v>
      </c>
      <c r="I1774" s="1">
        <v>0</v>
      </c>
      <c r="J1774" s="26">
        <v>45724</v>
      </c>
      <c r="K1774" s="22">
        <v>144000</v>
      </c>
      <c r="L1774" s="18">
        <v>154.01</v>
      </c>
      <c r="M1774" s="22">
        <v>98400</v>
      </c>
      <c r="N1774" s="22">
        <v>45600</v>
      </c>
      <c r="O1774" s="18">
        <v>48.77</v>
      </c>
      <c r="P1774" s="52">
        <f>IF(COUNTIF(TblPurchases[BatchID],TblOutcomes[[#This Row],[BatchID]])&lt;&gt;1,"n.a.",TblOutcomes[[#This Row],[Qty Wasted]]*SUMIFS(TblPurchases[Unit Cost (CLP)],TblPurchases[BatchID],TblOutcomes[[#This Row],[BatchID]]))</f>
        <v>0</v>
      </c>
      <c r="Q1774" s="51">
        <f>IF(COUNTIF(TblPurchases[BatchID],TblOutcomes[[#This Row],[BatchID]])&lt;&gt;1,"n.a.",SUMIFS(TblPurchases[Purchase Date],TblPurchases[BatchID],TblOutcomes[[#This Row],[BatchID]]))</f>
        <v>45689</v>
      </c>
    </row>
    <row r="1775" spans="2:17" x14ac:dyDescent="0.25">
      <c r="B1775" s="2" t="s">
        <v>2580</v>
      </c>
      <c r="C1775" s="2" t="s">
        <v>230</v>
      </c>
      <c r="D1775" s="2" t="s">
        <v>224</v>
      </c>
      <c r="E1775" s="2" t="s">
        <v>4647</v>
      </c>
      <c r="F1775" s="2">
        <v>24</v>
      </c>
      <c r="G1775" s="2">
        <v>24</v>
      </c>
      <c r="H1775" s="2">
        <v>0</v>
      </c>
      <c r="I1775" s="1">
        <v>0</v>
      </c>
      <c r="J1775" s="26">
        <v>45795</v>
      </c>
      <c r="K1775" s="22">
        <v>144000</v>
      </c>
      <c r="L1775" s="18">
        <v>154.01</v>
      </c>
      <c r="M1775" s="22">
        <v>98400</v>
      </c>
      <c r="N1775" s="22">
        <v>45600</v>
      </c>
      <c r="O1775" s="18">
        <v>48.77</v>
      </c>
      <c r="P1775" s="52">
        <f>IF(COUNTIF(TblPurchases[BatchID],TblOutcomes[[#This Row],[BatchID]])&lt;&gt;1,"n.a.",TblOutcomes[[#This Row],[Qty Wasted]]*SUMIFS(TblPurchases[Unit Cost (CLP)],TblPurchases[BatchID],TblOutcomes[[#This Row],[BatchID]]))</f>
        <v>0</v>
      </c>
      <c r="Q1775" s="51">
        <f>IF(COUNTIF(TblPurchases[BatchID],TblOutcomes[[#This Row],[BatchID]])&lt;&gt;1,"n.a.",SUMIFS(TblPurchases[Purchase Date],TblPurchases[BatchID],TblOutcomes[[#This Row],[BatchID]]))</f>
        <v>45749</v>
      </c>
    </row>
    <row r="1776" spans="2:17" x14ac:dyDescent="0.25">
      <c r="B1776" s="2" t="s">
        <v>2581</v>
      </c>
      <c r="C1776" s="2" t="s">
        <v>230</v>
      </c>
      <c r="D1776" s="2" t="s">
        <v>224</v>
      </c>
      <c r="E1776" s="2" t="s">
        <v>4647</v>
      </c>
      <c r="F1776" s="2">
        <v>27</v>
      </c>
      <c r="G1776" s="2">
        <v>27</v>
      </c>
      <c r="H1776" s="2">
        <v>0</v>
      </c>
      <c r="I1776" s="1">
        <v>0</v>
      </c>
      <c r="J1776" s="26">
        <v>45867</v>
      </c>
      <c r="K1776" s="22">
        <v>162000</v>
      </c>
      <c r="L1776" s="18">
        <v>173.26</v>
      </c>
      <c r="M1776" s="22">
        <v>110700</v>
      </c>
      <c r="N1776" s="22">
        <v>51300</v>
      </c>
      <c r="O1776" s="18">
        <v>54.87</v>
      </c>
      <c r="P1776" s="52">
        <f>IF(COUNTIF(TblPurchases[BatchID],TblOutcomes[[#This Row],[BatchID]])&lt;&gt;1,"n.a.",TblOutcomes[[#This Row],[Qty Wasted]]*SUMIFS(TblPurchases[Unit Cost (CLP)],TblPurchases[BatchID],TblOutcomes[[#This Row],[BatchID]]))</f>
        <v>0</v>
      </c>
      <c r="Q1776" s="51">
        <f>IF(COUNTIF(TblPurchases[BatchID],TblOutcomes[[#This Row],[BatchID]])&lt;&gt;1,"n.a.",SUMIFS(TblPurchases[Purchase Date],TblPurchases[BatchID],TblOutcomes[[#This Row],[BatchID]]))</f>
        <v>45812</v>
      </c>
    </row>
    <row r="1777" spans="2:17" x14ac:dyDescent="0.25">
      <c r="B1777" s="2" t="s">
        <v>2582</v>
      </c>
      <c r="C1777" s="2" t="s">
        <v>232</v>
      </c>
      <c r="D1777" s="2" t="s">
        <v>224</v>
      </c>
      <c r="E1777" s="2" t="s">
        <v>4647</v>
      </c>
      <c r="F1777" s="2">
        <v>26</v>
      </c>
      <c r="G1777" s="2">
        <v>26</v>
      </c>
      <c r="H1777" s="2">
        <v>0</v>
      </c>
      <c r="I1777" s="1">
        <v>0</v>
      </c>
      <c r="J1777" s="26">
        <v>45149</v>
      </c>
      <c r="K1777" s="22">
        <v>169000</v>
      </c>
      <c r="L1777" s="18">
        <v>180.75</v>
      </c>
      <c r="M1777" s="22">
        <v>122200</v>
      </c>
      <c r="N1777" s="22">
        <v>46800</v>
      </c>
      <c r="O1777" s="18">
        <v>50.05</v>
      </c>
      <c r="P1777" s="52">
        <f>IF(COUNTIF(TblPurchases[BatchID],TblOutcomes[[#This Row],[BatchID]])&lt;&gt;1,"n.a.",TblOutcomes[[#This Row],[Qty Wasted]]*SUMIFS(TblPurchases[Unit Cost (CLP)],TblPurchases[BatchID],TblOutcomes[[#This Row],[BatchID]]))</f>
        <v>0</v>
      </c>
      <c r="Q1777" s="51">
        <f>IF(COUNTIF(TblPurchases[BatchID],TblOutcomes[[#This Row],[BatchID]])&lt;&gt;1,"n.a.",SUMIFS(TblPurchases[Purchase Date],TblPurchases[BatchID],TblOutcomes[[#This Row],[BatchID]]))</f>
        <v>45135</v>
      </c>
    </row>
    <row r="1778" spans="2:17" x14ac:dyDescent="0.25">
      <c r="B1778" s="2" t="s">
        <v>2583</v>
      </c>
      <c r="C1778" s="2" t="s">
        <v>232</v>
      </c>
      <c r="D1778" s="2" t="s">
        <v>224</v>
      </c>
      <c r="E1778" s="2" t="s">
        <v>4647</v>
      </c>
      <c r="F1778" s="2">
        <v>33</v>
      </c>
      <c r="G1778" s="2">
        <v>33</v>
      </c>
      <c r="H1778" s="2">
        <v>0</v>
      </c>
      <c r="I1778" s="1">
        <v>0</v>
      </c>
      <c r="J1778" s="26">
        <v>45217</v>
      </c>
      <c r="K1778" s="22">
        <v>214500</v>
      </c>
      <c r="L1778" s="18">
        <v>229.41</v>
      </c>
      <c r="M1778" s="22">
        <v>155100</v>
      </c>
      <c r="N1778" s="22">
        <v>59400</v>
      </c>
      <c r="O1778" s="18">
        <v>63.53</v>
      </c>
      <c r="P1778" s="52">
        <f>IF(COUNTIF(TblPurchases[BatchID],TblOutcomes[[#This Row],[BatchID]])&lt;&gt;1,"n.a.",TblOutcomes[[#This Row],[Qty Wasted]]*SUMIFS(TblPurchases[Unit Cost (CLP)],TblPurchases[BatchID],TblOutcomes[[#This Row],[BatchID]]))</f>
        <v>0</v>
      </c>
      <c r="Q1778" s="51">
        <f>IF(COUNTIF(TblPurchases[BatchID],TblOutcomes[[#This Row],[BatchID]])&lt;&gt;1,"n.a.",SUMIFS(TblPurchases[Purchase Date],TblPurchases[BatchID],TblOutcomes[[#This Row],[BatchID]]))</f>
        <v>45184</v>
      </c>
    </row>
    <row r="1779" spans="2:17" x14ac:dyDescent="0.25">
      <c r="B1779" s="2" t="s">
        <v>2584</v>
      </c>
      <c r="C1779" s="2" t="s">
        <v>232</v>
      </c>
      <c r="D1779" s="2" t="s">
        <v>224</v>
      </c>
      <c r="E1779" s="2" t="s">
        <v>4647</v>
      </c>
      <c r="F1779" s="2">
        <v>25</v>
      </c>
      <c r="G1779" s="2">
        <v>25</v>
      </c>
      <c r="H1779" s="2">
        <v>0</v>
      </c>
      <c r="I1779" s="1">
        <v>0</v>
      </c>
      <c r="J1779" s="26">
        <v>45319</v>
      </c>
      <c r="K1779" s="22">
        <v>162500</v>
      </c>
      <c r="L1779" s="18">
        <v>173.8</v>
      </c>
      <c r="M1779" s="22">
        <v>117500</v>
      </c>
      <c r="N1779" s="22">
        <v>45000</v>
      </c>
      <c r="O1779" s="18">
        <v>48.13</v>
      </c>
      <c r="P1779" s="52">
        <f>IF(COUNTIF(TblPurchases[BatchID],TblOutcomes[[#This Row],[BatchID]])&lt;&gt;1,"n.a.",TblOutcomes[[#This Row],[Qty Wasted]]*SUMIFS(TblPurchases[Unit Cost (CLP)],TblPurchases[BatchID],TblOutcomes[[#This Row],[BatchID]]))</f>
        <v>0</v>
      </c>
      <c r="Q1779" s="51">
        <f>IF(COUNTIF(TblPurchases[BatchID],TblOutcomes[[#This Row],[BatchID]])&lt;&gt;1,"n.a.",SUMIFS(TblPurchases[Purchase Date],TblPurchases[BatchID],TblOutcomes[[#This Row],[BatchID]]))</f>
        <v>45241</v>
      </c>
    </row>
    <row r="1780" spans="2:17" x14ac:dyDescent="0.25">
      <c r="B1780" s="2" t="s">
        <v>2585</v>
      </c>
      <c r="C1780" s="2" t="s">
        <v>232</v>
      </c>
      <c r="D1780" s="2" t="s">
        <v>224</v>
      </c>
      <c r="E1780" s="2" t="s">
        <v>4647</v>
      </c>
      <c r="F1780" s="2">
        <v>25</v>
      </c>
      <c r="G1780" s="2">
        <v>25</v>
      </c>
      <c r="H1780" s="2">
        <v>0</v>
      </c>
      <c r="I1780" s="1">
        <v>0</v>
      </c>
      <c r="J1780" s="26">
        <v>45364</v>
      </c>
      <c r="K1780" s="22">
        <v>162500</v>
      </c>
      <c r="L1780" s="18">
        <v>173.8</v>
      </c>
      <c r="M1780" s="22">
        <v>117500</v>
      </c>
      <c r="N1780" s="22">
        <v>45000</v>
      </c>
      <c r="O1780" s="18">
        <v>48.13</v>
      </c>
      <c r="P1780" s="52">
        <f>IF(COUNTIF(TblPurchases[BatchID],TblOutcomes[[#This Row],[BatchID]])&lt;&gt;1,"n.a.",TblOutcomes[[#This Row],[Qty Wasted]]*SUMIFS(TblPurchases[Unit Cost (CLP)],TblPurchases[BatchID],TblOutcomes[[#This Row],[BatchID]]))</f>
        <v>0</v>
      </c>
      <c r="Q1780" s="51">
        <f>IF(COUNTIF(TblPurchases[BatchID],TblOutcomes[[#This Row],[BatchID]])&lt;&gt;1,"n.a.",SUMIFS(TblPurchases[Purchase Date],TblPurchases[BatchID],TblOutcomes[[#This Row],[BatchID]]))</f>
        <v>45320</v>
      </c>
    </row>
    <row r="1781" spans="2:17" x14ac:dyDescent="0.25">
      <c r="B1781" s="2" t="s">
        <v>2586</v>
      </c>
      <c r="C1781" s="2" t="s">
        <v>232</v>
      </c>
      <c r="D1781" s="2" t="s">
        <v>224</v>
      </c>
      <c r="E1781" s="2" t="s">
        <v>4647</v>
      </c>
      <c r="F1781" s="2">
        <v>25</v>
      </c>
      <c r="G1781" s="2">
        <v>25</v>
      </c>
      <c r="H1781" s="2">
        <v>0</v>
      </c>
      <c r="I1781" s="1">
        <v>0</v>
      </c>
      <c r="J1781" s="26">
        <v>45412</v>
      </c>
      <c r="K1781" s="22">
        <v>162500</v>
      </c>
      <c r="L1781" s="18">
        <v>173.8</v>
      </c>
      <c r="M1781" s="22">
        <v>117500</v>
      </c>
      <c r="N1781" s="22">
        <v>45000</v>
      </c>
      <c r="O1781" s="18">
        <v>48.13</v>
      </c>
      <c r="P1781" s="52">
        <f>IF(COUNTIF(TblPurchases[BatchID],TblOutcomes[[#This Row],[BatchID]])&lt;&gt;1,"n.a.",TblOutcomes[[#This Row],[Qty Wasted]]*SUMIFS(TblPurchases[Unit Cost (CLP)],TblPurchases[BatchID],TblOutcomes[[#This Row],[BatchID]]))</f>
        <v>0</v>
      </c>
      <c r="Q1781" s="51">
        <f>IF(COUNTIF(TblPurchases[BatchID],TblOutcomes[[#This Row],[BatchID]])&lt;&gt;1,"n.a.",SUMIFS(TblPurchases[Purchase Date],TblPurchases[BatchID],TblOutcomes[[#This Row],[BatchID]]))</f>
        <v>45365</v>
      </c>
    </row>
    <row r="1782" spans="2:17" x14ac:dyDescent="0.25">
      <c r="B1782" s="2" t="s">
        <v>2587</v>
      </c>
      <c r="C1782" s="2" t="s">
        <v>232</v>
      </c>
      <c r="D1782" s="2" t="s">
        <v>224</v>
      </c>
      <c r="E1782" s="2" t="s">
        <v>4646</v>
      </c>
      <c r="F1782" s="2">
        <v>23</v>
      </c>
      <c r="G1782" s="2">
        <v>22.75</v>
      </c>
      <c r="H1782" s="2">
        <v>0.25</v>
      </c>
      <c r="I1782" s="1">
        <v>1.1000000000000001</v>
      </c>
      <c r="J1782" s="26">
        <v>46145</v>
      </c>
      <c r="K1782" s="22">
        <v>147875</v>
      </c>
      <c r="L1782" s="18">
        <v>158.16</v>
      </c>
      <c r="M1782" s="22">
        <v>108100</v>
      </c>
      <c r="N1782" s="22">
        <v>39775</v>
      </c>
      <c r="O1782" s="18">
        <v>42.54</v>
      </c>
      <c r="P1782" s="52">
        <f>IF(COUNTIF(TblPurchases[BatchID],TblOutcomes[[#This Row],[BatchID]])&lt;&gt;1,"n.a.",TblOutcomes[[#This Row],[Qty Wasted]]*SUMIFS(TblPurchases[Unit Cost (CLP)],TblPurchases[BatchID],TblOutcomes[[#This Row],[BatchID]]))</f>
        <v>1175</v>
      </c>
      <c r="Q1782" s="51">
        <f>IF(COUNTIF(TblPurchases[BatchID],TblOutcomes[[#This Row],[BatchID]])&lt;&gt;1,"n.a.",SUMIFS(TblPurchases[Purchase Date],TblPurchases[BatchID],TblOutcomes[[#This Row],[BatchID]]))</f>
        <v>45415</v>
      </c>
    </row>
    <row r="1783" spans="2:17" x14ac:dyDescent="0.25">
      <c r="B1783" s="2" t="s">
        <v>2588</v>
      </c>
      <c r="C1783" s="2" t="s">
        <v>232</v>
      </c>
      <c r="D1783" s="2" t="s">
        <v>224</v>
      </c>
      <c r="E1783" s="2" t="s">
        <v>4646</v>
      </c>
      <c r="F1783" s="2">
        <v>26</v>
      </c>
      <c r="G1783" s="2">
        <v>25.53</v>
      </c>
      <c r="H1783" s="2">
        <v>0.47</v>
      </c>
      <c r="I1783" s="1">
        <v>1.8</v>
      </c>
      <c r="J1783" s="26">
        <v>46197</v>
      </c>
      <c r="K1783" s="22">
        <v>165945</v>
      </c>
      <c r="L1783" s="18">
        <v>177.48</v>
      </c>
      <c r="M1783" s="22">
        <v>122200</v>
      </c>
      <c r="N1783" s="22">
        <v>43745</v>
      </c>
      <c r="O1783" s="18">
        <v>46.79</v>
      </c>
      <c r="P1783" s="52">
        <f>IF(COUNTIF(TblPurchases[BatchID],TblOutcomes[[#This Row],[BatchID]])&lt;&gt;1,"n.a.",TblOutcomes[[#This Row],[Qty Wasted]]*SUMIFS(TblPurchases[Unit Cost (CLP)],TblPurchases[BatchID],TblOutcomes[[#This Row],[BatchID]]))</f>
        <v>2209</v>
      </c>
      <c r="Q1783" s="51">
        <f>IF(COUNTIF(TblPurchases[BatchID],TblOutcomes[[#This Row],[BatchID]])&lt;&gt;1,"n.a.",SUMIFS(TblPurchases[Purchase Date],TblPurchases[BatchID],TblOutcomes[[#This Row],[BatchID]]))</f>
        <v>45467</v>
      </c>
    </row>
    <row r="1784" spans="2:17" x14ac:dyDescent="0.25">
      <c r="B1784" s="2" t="s">
        <v>2589</v>
      </c>
      <c r="C1784" s="2" t="s">
        <v>232</v>
      </c>
      <c r="D1784" s="2" t="s">
        <v>224</v>
      </c>
      <c r="E1784" s="2" t="s">
        <v>4646</v>
      </c>
      <c r="F1784" s="2">
        <v>27</v>
      </c>
      <c r="G1784" s="2">
        <v>26.08</v>
      </c>
      <c r="H1784" s="2">
        <v>0.92</v>
      </c>
      <c r="I1784" s="1">
        <v>3.4</v>
      </c>
      <c r="J1784" s="26">
        <v>46264</v>
      </c>
      <c r="K1784" s="22">
        <v>169520</v>
      </c>
      <c r="L1784" s="18">
        <v>181.3</v>
      </c>
      <c r="M1784" s="22">
        <v>126900</v>
      </c>
      <c r="N1784" s="22">
        <v>42620</v>
      </c>
      <c r="O1784" s="18">
        <v>45.58</v>
      </c>
      <c r="P1784" s="52">
        <f>IF(COUNTIF(TblPurchases[BatchID],TblOutcomes[[#This Row],[BatchID]])&lt;&gt;1,"n.a.",TblOutcomes[[#This Row],[Qty Wasted]]*SUMIFS(TblPurchases[Unit Cost (CLP)],TblPurchases[BatchID],TblOutcomes[[#This Row],[BatchID]]))</f>
        <v>4324</v>
      </c>
      <c r="Q1784" s="51">
        <f>IF(COUNTIF(TblPurchases[BatchID],TblOutcomes[[#This Row],[BatchID]])&lt;&gt;1,"n.a.",SUMIFS(TblPurchases[Purchase Date],TblPurchases[BatchID],TblOutcomes[[#This Row],[BatchID]]))</f>
        <v>45534</v>
      </c>
    </row>
    <row r="1785" spans="2:17" x14ac:dyDescent="0.25">
      <c r="B1785" s="2" t="s">
        <v>2590</v>
      </c>
      <c r="C1785" s="2" t="s">
        <v>232</v>
      </c>
      <c r="D1785" s="2" t="s">
        <v>224</v>
      </c>
      <c r="E1785" s="2" t="s">
        <v>4647</v>
      </c>
      <c r="F1785" s="2">
        <v>27</v>
      </c>
      <c r="G1785" s="2">
        <v>27</v>
      </c>
      <c r="H1785" s="2">
        <v>0</v>
      </c>
      <c r="I1785" s="1">
        <v>0</v>
      </c>
      <c r="J1785" s="26">
        <v>45642</v>
      </c>
      <c r="K1785" s="22">
        <v>175500</v>
      </c>
      <c r="L1785" s="18">
        <v>187.7</v>
      </c>
      <c r="M1785" s="22">
        <v>126900</v>
      </c>
      <c r="N1785" s="22">
        <v>48600</v>
      </c>
      <c r="O1785" s="18">
        <v>51.98</v>
      </c>
      <c r="P1785" s="52">
        <f>IF(COUNTIF(TblPurchases[BatchID],TblOutcomes[[#This Row],[BatchID]])&lt;&gt;1,"n.a.",TblOutcomes[[#This Row],[Qty Wasted]]*SUMIFS(TblPurchases[Unit Cost (CLP)],TblPurchases[BatchID],TblOutcomes[[#This Row],[BatchID]]))</f>
        <v>0</v>
      </c>
      <c r="Q1785" s="51">
        <f>IF(COUNTIF(TblPurchases[BatchID],TblOutcomes[[#This Row],[BatchID]])&lt;&gt;1,"n.a.",SUMIFS(TblPurchases[Purchase Date],TblPurchases[BatchID],TblOutcomes[[#This Row],[BatchID]]))</f>
        <v>45593</v>
      </c>
    </row>
    <row r="1786" spans="2:17" x14ac:dyDescent="0.25">
      <c r="B1786" s="2" t="s">
        <v>2591</v>
      </c>
      <c r="C1786" s="2" t="s">
        <v>232</v>
      </c>
      <c r="D1786" s="2" t="s">
        <v>224</v>
      </c>
      <c r="E1786" s="2" t="s">
        <v>4647</v>
      </c>
      <c r="F1786" s="2">
        <v>35</v>
      </c>
      <c r="G1786" s="2">
        <v>35</v>
      </c>
      <c r="H1786" s="2">
        <v>0</v>
      </c>
      <c r="I1786" s="1">
        <v>0</v>
      </c>
      <c r="J1786" s="26">
        <v>45705</v>
      </c>
      <c r="K1786" s="22">
        <v>227500</v>
      </c>
      <c r="L1786" s="18">
        <v>243.32</v>
      </c>
      <c r="M1786" s="22">
        <v>164500</v>
      </c>
      <c r="N1786" s="22">
        <v>63000</v>
      </c>
      <c r="O1786" s="18">
        <v>67.38</v>
      </c>
      <c r="P1786" s="52">
        <f>IF(COUNTIF(TblPurchases[BatchID],TblOutcomes[[#This Row],[BatchID]])&lt;&gt;1,"n.a.",TblOutcomes[[#This Row],[Qty Wasted]]*SUMIFS(TblPurchases[Unit Cost (CLP)],TblPurchases[BatchID],TblOutcomes[[#This Row],[BatchID]]))</f>
        <v>0</v>
      </c>
      <c r="Q1786" s="51">
        <f>IF(COUNTIF(TblPurchases[BatchID],TblOutcomes[[#This Row],[BatchID]])&lt;&gt;1,"n.a.",SUMIFS(TblPurchases[Purchase Date],TblPurchases[BatchID],TblOutcomes[[#This Row],[BatchID]]))</f>
        <v>45654</v>
      </c>
    </row>
    <row r="1787" spans="2:17" x14ac:dyDescent="0.25">
      <c r="B1787" s="2" t="s">
        <v>2592</v>
      </c>
      <c r="C1787" s="2" t="s">
        <v>232</v>
      </c>
      <c r="D1787" s="2" t="s">
        <v>224</v>
      </c>
      <c r="E1787" s="2" t="s">
        <v>4646</v>
      </c>
      <c r="F1787" s="2">
        <v>26</v>
      </c>
      <c r="G1787" s="2">
        <v>24.91</v>
      </c>
      <c r="H1787" s="2">
        <v>1.0900000000000001</v>
      </c>
      <c r="I1787" s="1">
        <v>4.2</v>
      </c>
      <c r="J1787" s="26">
        <v>46436</v>
      </c>
      <c r="K1787" s="22">
        <v>161915</v>
      </c>
      <c r="L1787" s="18">
        <v>173.17</v>
      </c>
      <c r="M1787" s="22">
        <v>122200</v>
      </c>
      <c r="N1787" s="22">
        <v>39715</v>
      </c>
      <c r="O1787" s="18">
        <v>42.48</v>
      </c>
      <c r="P1787" s="52">
        <f>IF(COUNTIF(TblPurchases[BatchID],TblOutcomes[[#This Row],[BatchID]])&lt;&gt;1,"n.a.",TblOutcomes[[#This Row],[Qty Wasted]]*SUMIFS(TblPurchases[Unit Cost (CLP)],TblPurchases[BatchID],TblOutcomes[[#This Row],[BatchID]]))</f>
        <v>5123</v>
      </c>
      <c r="Q1787" s="51">
        <f>IF(COUNTIF(TblPurchases[BatchID],TblOutcomes[[#This Row],[BatchID]])&lt;&gt;1,"n.a.",SUMIFS(TblPurchases[Purchase Date],TblPurchases[BatchID],TblOutcomes[[#This Row],[BatchID]]))</f>
        <v>45706</v>
      </c>
    </row>
    <row r="1788" spans="2:17" x14ac:dyDescent="0.25">
      <c r="B1788" s="2" t="s">
        <v>2593</v>
      </c>
      <c r="C1788" s="2" t="s">
        <v>232</v>
      </c>
      <c r="D1788" s="2" t="s">
        <v>224</v>
      </c>
      <c r="E1788" s="2" t="s">
        <v>4646</v>
      </c>
      <c r="F1788" s="2">
        <v>26</v>
      </c>
      <c r="G1788" s="2">
        <v>25.19</v>
      </c>
      <c r="H1788" s="2">
        <v>0.81</v>
      </c>
      <c r="I1788" s="1">
        <v>3.1</v>
      </c>
      <c r="J1788" s="26">
        <v>46493</v>
      </c>
      <c r="K1788" s="22">
        <v>163735</v>
      </c>
      <c r="L1788" s="18">
        <v>175.12</v>
      </c>
      <c r="M1788" s="22">
        <v>122200</v>
      </c>
      <c r="N1788" s="22">
        <v>41535</v>
      </c>
      <c r="O1788" s="18">
        <v>44.42</v>
      </c>
      <c r="P1788" s="52">
        <f>IF(COUNTIF(TblPurchases[BatchID],TblOutcomes[[#This Row],[BatchID]])&lt;&gt;1,"n.a.",TblOutcomes[[#This Row],[Qty Wasted]]*SUMIFS(TblPurchases[Unit Cost (CLP)],TblPurchases[BatchID],TblOutcomes[[#This Row],[BatchID]]))</f>
        <v>3807.0000000000005</v>
      </c>
      <c r="Q1788" s="51">
        <f>IF(COUNTIF(TblPurchases[BatchID],TblOutcomes[[#This Row],[BatchID]])&lt;&gt;1,"n.a.",SUMIFS(TblPurchases[Purchase Date],TblPurchases[BatchID],TblOutcomes[[#This Row],[BatchID]]))</f>
        <v>45763</v>
      </c>
    </row>
    <row r="1789" spans="2:17" x14ac:dyDescent="0.25">
      <c r="B1789" s="2" t="s">
        <v>2594</v>
      </c>
      <c r="C1789" s="2" t="s">
        <v>232</v>
      </c>
      <c r="D1789" s="2" t="s">
        <v>224</v>
      </c>
      <c r="E1789" s="2" t="s">
        <v>4647</v>
      </c>
      <c r="F1789" s="2">
        <v>30</v>
      </c>
      <c r="G1789" s="2">
        <v>30</v>
      </c>
      <c r="H1789" s="2">
        <v>0</v>
      </c>
      <c r="I1789" s="1">
        <v>0</v>
      </c>
      <c r="J1789" s="26">
        <v>45856</v>
      </c>
      <c r="K1789" s="22">
        <v>195000</v>
      </c>
      <c r="L1789" s="18">
        <v>208.56</v>
      </c>
      <c r="M1789" s="22">
        <v>141000</v>
      </c>
      <c r="N1789" s="22">
        <v>54000</v>
      </c>
      <c r="O1789" s="18">
        <v>57.75</v>
      </c>
      <c r="P1789" s="52">
        <f>IF(COUNTIF(TblPurchases[BatchID],TblOutcomes[[#This Row],[BatchID]])&lt;&gt;1,"n.a.",TblOutcomes[[#This Row],[Qty Wasted]]*SUMIFS(TblPurchases[Unit Cost (CLP)],TblPurchases[BatchID],TblOutcomes[[#This Row],[BatchID]]))</f>
        <v>0</v>
      </c>
      <c r="Q1789" s="51">
        <f>IF(COUNTIF(TblPurchases[BatchID],TblOutcomes[[#This Row],[BatchID]])&lt;&gt;1,"n.a.",SUMIFS(TblPurchases[Purchase Date],TblPurchases[BatchID],TblOutcomes[[#This Row],[BatchID]]))</f>
        <v>45817</v>
      </c>
    </row>
    <row r="1790" spans="2:17" x14ac:dyDescent="0.25">
      <c r="B1790" s="2" t="s">
        <v>2595</v>
      </c>
      <c r="C1790" s="2" t="s">
        <v>235</v>
      </c>
      <c r="D1790" s="2" t="s">
        <v>237</v>
      </c>
      <c r="E1790" s="2" t="s">
        <v>4647</v>
      </c>
      <c r="F1790" s="2">
        <v>18</v>
      </c>
      <c r="G1790" s="2">
        <v>18</v>
      </c>
      <c r="H1790" s="2">
        <v>0</v>
      </c>
      <c r="I1790" s="1">
        <v>0</v>
      </c>
      <c r="J1790" s="26">
        <v>45131</v>
      </c>
      <c r="K1790" s="22">
        <v>117000</v>
      </c>
      <c r="L1790" s="18">
        <v>125.13</v>
      </c>
      <c r="M1790" s="22">
        <v>85500</v>
      </c>
      <c r="N1790" s="22">
        <v>31500</v>
      </c>
      <c r="O1790" s="18">
        <v>33.69</v>
      </c>
      <c r="P1790" s="52">
        <f>IF(COUNTIF(TblPurchases[BatchID],TblOutcomes[[#This Row],[BatchID]])&lt;&gt;1,"n.a.",TblOutcomes[[#This Row],[Qty Wasted]]*SUMIFS(TblPurchases[Unit Cost (CLP)],TblPurchases[BatchID],TblOutcomes[[#This Row],[BatchID]]))</f>
        <v>0</v>
      </c>
      <c r="Q1790" s="51">
        <f>IF(COUNTIF(TblPurchases[BatchID],TblOutcomes[[#This Row],[BatchID]])&lt;&gt;1,"n.a.",SUMIFS(TblPurchases[Purchase Date],TblPurchases[BatchID],TblOutcomes[[#This Row],[BatchID]]))</f>
        <v>45111</v>
      </c>
    </row>
    <row r="1791" spans="2:17" x14ac:dyDescent="0.25">
      <c r="B1791" s="2" t="s">
        <v>2596</v>
      </c>
      <c r="C1791" s="2" t="s">
        <v>235</v>
      </c>
      <c r="D1791" s="2" t="s">
        <v>237</v>
      </c>
      <c r="E1791" s="2" t="s">
        <v>4646</v>
      </c>
      <c r="F1791" s="2">
        <v>17</v>
      </c>
      <c r="G1791" s="2">
        <v>16.010000000000002</v>
      </c>
      <c r="H1791" s="2">
        <v>0.99</v>
      </c>
      <c r="I1791" s="1">
        <v>5.8</v>
      </c>
      <c r="J1791" s="26">
        <v>45309</v>
      </c>
      <c r="K1791" s="22">
        <v>104065</v>
      </c>
      <c r="L1791" s="18">
        <v>111.3</v>
      </c>
      <c r="M1791" s="22">
        <v>80750</v>
      </c>
      <c r="N1791" s="22">
        <v>23315</v>
      </c>
      <c r="O1791" s="18">
        <v>24.94</v>
      </c>
      <c r="P1791" s="52">
        <f>IF(COUNTIF(TblPurchases[BatchID],TblOutcomes[[#This Row],[BatchID]])&lt;&gt;1,"n.a.",TblOutcomes[[#This Row],[Qty Wasted]]*SUMIFS(TblPurchases[Unit Cost (CLP)],TblPurchases[BatchID],TblOutcomes[[#This Row],[BatchID]]))</f>
        <v>4702.5</v>
      </c>
      <c r="Q1791" s="51">
        <f>IF(COUNTIF(TblPurchases[BatchID],TblOutcomes[[#This Row],[BatchID]])&lt;&gt;1,"n.a.",SUMIFS(TblPurchases[Purchase Date],TblPurchases[BatchID],TblOutcomes[[#This Row],[BatchID]]))</f>
        <v>45129</v>
      </c>
    </row>
    <row r="1792" spans="2:17" x14ac:dyDescent="0.25">
      <c r="B1792" s="2" t="s">
        <v>2597</v>
      </c>
      <c r="C1792" s="2" t="s">
        <v>235</v>
      </c>
      <c r="D1792" s="2" t="s">
        <v>237</v>
      </c>
      <c r="E1792" s="2" t="s">
        <v>4646</v>
      </c>
      <c r="F1792" s="2">
        <v>23</v>
      </c>
      <c r="G1792" s="2">
        <v>21.55</v>
      </c>
      <c r="H1792" s="2">
        <v>1.45</v>
      </c>
      <c r="I1792" s="1">
        <v>6.3</v>
      </c>
      <c r="J1792" s="26">
        <v>45330</v>
      </c>
      <c r="K1792" s="22">
        <v>140075</v>
      </c>
      <c r="L1792" s="18">
        <v>149.81</v>
      </c>
      <c r="M1792" s="22">
        <v>109250</v>
      </c>
      <c r="N1792" s="22">
        <v>30825</v>
      </c>
      <c r="O1792" s="18">
        <v>32.97</v>
      </c>
      <c r="P1792" s="52">
        <f>IF(COUNTIF(TblPurchases[BatchID],TblOutcomes[[#This Row],[BatchID]])&lt;&gt;1,"n.a.",TblOutcomes[[#This Row],[Qty Wasted]]*SUMIFS(TblPurchases[Unit Cost (CLP)],TblPurchases[BatchID],TblOutcomes[[#This Row],[BatchID]]))</f>
        <v>6887.5</v>
      </c>
      <c r="Q1792" s="51">
        <f>IF(COUNTIF(TblPurchases[BatchID],TblOutcomes[[#This Row],[BatchID]])&lt;&gt;1,"n.a.",SUMIFS(TblPurchases[Purchase Date],TblPurchases[BatchID],TblOutcomes[[#This Row],[BatchID]]))</f>
        <v>45150</v>
      </c>
    </row>
    <row r="1793" spans="2:17" x14ac:dyDescent="0.25">
      <c r="B1793" s="2" t="s">
        <v>2598</v>
      </c>
      <c r="C1793" s="2" t="s">
        <v>235</v>
      </c>
      <c r="D1793" s="2" t="s">
        <v>237</v>
      </c>
      <c r="E1793" s="2" t="s">
        <v>4647</v>
      </c>
      <c r="F1793" s="2">
        <v>28</v>
      </c>
      <c r="G1793" s="2">
        <v>28</v>
      </c>
      <c r="H1793" s="2">
        <v>0</v>
      </c>
      <c r="I1793" s="1">
        <v>0</v>
      </c>
      <c r="J1793" s="26">
        <v>45195</v>
      </c>
      <c r="K1793" s="22">
        <v>182000</v>
      </c>
      <c r="L1793" s="18">
        <v>194.65</v>
      </c>
      <c r="M1793" s="22">
        <v>133000</v>
      </c>
      <c r="N1793" s="22">
        <v>49000</v>
      </c>
      <c r="O1793" s="18">
        <v>52.41</v>
      </c>
      <c r="P1793" s="52">
        <f>IF(COUNTIF(TblPurchases[BatchID],TblOutcomes[[#This Row],[BatchID]])&lt;&gt;1,"n.a.",TblOutcomes[[#This Row],[Qty Wasted]]*SUMIFS(TblPurchases[Unit Cost (CLP)],TblPurchases[BatchID],TblOutcomes[[#This Row],[BatchID]]))</f>
        <v>0</v>
      </c>
      <c r="Q1793" s="51">
        <f>IF(COUNTIF(TblPurchases[BatchID],TblOutcomes[[#This Row],[BatchID]])&lt;&gt;1,"n.a.",SUMIFS(TblPurchases[Purchase Date],TblPurchases[BatchID],TblOutcomes[[#This Row],[BatchID]]))</f>
        <v>45173</v>
      </c>
    </row>
    <row r="1794" spans="2:17" x14ac:dyDescent="0.25">
      <c r="B1794" s="2" t="s">
        <v>2599</v>
      </c>
      <c r="C1794" s="2" t="s">
        <v>235</v>
      </c>
      <c r="D1794" s="2" t="s">
        <v>237</v>
      </c>
      <c r="E1794" s="2" t="s">
        <v>4647</v>
      </c>
      <c r="F1794" s="2">
        <v>22</v>
      </c>
      <c r="G1794" s="2">
        <v>22</v>
      </c>
      <c r="H1794" s="2">
        <v>0</v>
      </c>
      <c r="I1794" s="1">
        <v>0</v>
      </c>
      <c r="J1794" s="26">
        <v>45204</v>
      </c>
      <c r="K1794" s="22">
        <v>143000</v>
      </c>
      <c r="L1794" s="18">
        <v>152.94</v>
      </c>
      <c r="M1794" s="22">
        <v>104500</v>
      </c>
      <c r="N1794" s="22">
        <v>38500</v>
      </c>
      <c r="O1794" s="18">
        <v>41.18</v>
      </c>
      <c r="P1794" s="52">
        <f>IF(COUNTIF(TblPurchases[BatchID],TblOutcomes[[#This Row],[BatchID]])&lt;&gt;1,"n.a.",TblOutcomes[[#This Row],[Qty Wasted]]*SUMIFS(TblPurchases[Unit Cost (CLP)],TblPurchases[BatchID],TblOutcomes[[#This Row],[BatchID]]))</f>
        <v>0</v>
      </c>
      <c r="Q1794" s="51">
        <f>IF(COUNTIF(TblPurchases[BatchID],TblOutcomes[[#This Row],[BatchID]])&lt;&gt;1,"n.a.",SUMIFS(TblPurchases[Purchase Date],TblPurchases[BatchID],TblOutcomes[[#This Row],[BatchID]]))</f>
        <v>45191</v>
      </c>
    </row>
    <row r="1795" spans="2:17" x14ac:dyDescent="0.25">
      <c r="B1795" s="2" t="s">
        <v>2600</v>
      </c>
      <c r="C1795" s="2" t="s">
        <v>235</v>
      </c>
      <c r="D1795" s="2" t="s">
        <v>237</v>
      </c>
      <c r="E1795" s="2" t="s">
        <v>4646</v>
      </c>
      <c r="F1795" s="2">
        <v>19</v>
      </c>
      <c r="G1795" s="2">
        <v>18.05</v>
      </c>
      <c r="H1795" s="2">
        <v>0.95</v>
      </c>
      <c r="I1795" s="1">
        <v>5</v>
      </c>
      <c r="J1795" s="26">
        <v>45388</v>
      </c>
      <c r="K1795" s="22">
        <v>117325</v>
      </c>
      <c r="L1795" s="18">
        <v>125.48</v>
      </c>
      <c r="M1795" s="22">
        <v>90250</v>
      </c>
      <c r="N1795" s="22">
        <v>27075</v>
      </c>
      <c r="O1795" s="18">
        <v>28.96</v>
      </c>
      <c r="P1795" s="52">
        <f>IF(COUNTIF(TblPurchases[BatchID],TblOutcomes[[#This Row],[BatchID]])&lt;&gt;1,"n.a.",TblOutcomes[[#This Row],[Qty Wasted]]*SUMIFS(TblPurchases[Unit Cost (CLP)],TblPurchases[BatchID],TblOutcomes[[#This Row],[BatchID]]))</f>
        <v>4512.5</v>
      </c>
      <c r="Q1795" s="51">
        <f>IF(COUNTIF(TblPurchases[BatchID],TblOutcomes[[#This Row],[BatchID]])&lt;&gt;1,"n.a.",SUMIFS(TblPurchases[Purchase Date],TblPurchases[BatchID],TblOutcomes[[#This Row],[BatchID]]))</f>
        <v>45208</v>
      </c>
    </row>
    <row r="1796" spans="2:17" x14ac:dyDescent="0.25">
      <c r="B1796" s="2" t="s">
        <v>2601</v>
      </c>
      <c r="C1796" s="2" t="s">
        <v>235</v>
      </c>
      <c r="D1796" s="2" t="s">
        <v>237</v>
      </c>
      <c r="E1796" s="2" t="s">
        <v>4646</v>
      </c>
      <c r="F1796" s="2">
        <v>18</v>
      </c>
      <c r="G1796" s="2">
        <v>16.940000000000001</v>
      </c>
      <c r="H1796" s="2">
        <v>1.06</v>
      </c>
      <c r="I1796" s="1">
        <v>5.9</v>
      </c>
      <c r="J1796" s="26">
        <v>45411</v>
      </c>
      <c r="K1796" s="22">
        <v>110110</v>
      </c>
      <c r="L1796" s="18">
        <v>117.76</v>
      </c>
      <c r="M1796" s="22">
        <v>85500</v>
      </c>
      <c r="N1796" s="22">
        <v>24610</v>
      </c>
      <c r="O1796" s="18">
        <v>26.32</v>
      </c>
      <c r="P1796" s="52">
        <f>IF(COUNTIF(TblPurchases[BatchID],TblOutcomes[[#This Row],[BatchID]])&lt;&gt;1,"n.a.",TblOutcomes[[#This Row],[Qty Wasted]]*SUMIFS(TblPurchases[Unit Cost (CLP)],TblPurchases[BatchID],TblOutcomes[[#This Row],[BatchID]]))</f>
        <v>5035</v>
      </c>
      <c r="Q1796" s="51">
        <f>IF(COUNTIF(TblPurchases[BatchID],TblOutcomes[[#This Row],[BatchID]])&lt;&gt;1,"n.a.",SUMIFS(TblPurchases[Purchase Date],TblPurchases[BatchID],TblOutcomes[[#This Row],[BatchID]]))</f>
        <v>45231</v>
      </c>
    </row>
    <row r="1797" spans="2:17" x14ac:dyDescent="0.25">
      <c r="B1797" s="2" t="s">
        <v>2602</v>
      </c>
      <c r="C1797" s="2" t="s">
        <v>235</v>
      </c>
      <c r="D1797" s="2" t="s">
        <v>237</v>
      </c>
      <c r="E1797" s="2" t="s">
        <v>4646</v>
      </c>
      <c r="F1797" s="2">
        <v>18</v>
      </c>
      <c r="G1797" s="2">
        <v>17.05</v>
      </c>
      <c r="H1797" s="2">
        <v>0.95</v>
      </c>
      <c r="I1797" s="1">
        <v>5.3</v>
      </c>
      <c r="J1797" s="26">
        <v>45432</v>
      </c>
      <c r="K1797" s="22">
        <v>110825</v>
      </c>
      <c r="L1797" s="18">
        <v>118.53</v>
      </c>
      <c r="M1797" s="22">
        <v>85500</v>
      </c>
      <c r="N1797" s="22">
        <v>25325</v>
      </c>
      <c r="O1797" s="18">
        <v>27.09</v>
      </c>
      <c r="P1797" s="52">
        <f>IF(COUNTIF(TblPurchases[BatchID],TblOutcomes[[#This Row],[BatchID]])&lt;&gt;1,"n.a.",TblOutcomes[[#This Row],[Qty Wasted]]*SUMIFS(TblPurchases[Unit Cost (CLP)],TblPurchases[BatchID],TblOutcomes[[#This Row],[BatchID]]))</f>
        <v>4512.5</v>
      </c>
      <c r="Q1797" s="51">
        <f>IF(COUNTIF(TblPurchases[BatchID],TblOutcomes[[#This Row],[BatchID]])&lt;&gt;1,"n.a.",SUMIFS(TblPurchases[Purchase Date],TblPurchases[BatchID],TblOutcomes[[#This Row],[BatchID]]))</f>
        <v>45252</v>
      </c>
    </row>
    <row r="1798" spans="2:17" x14ac:dyDescent="0.25">
      <c r="B1798" s="2" t="s">
        <v>2603</v>
      </c>
      <c r="C1798" s="2" t="s">
        <v>235</v>
      </c>
      <c r="D1798" s="2" t="s">
        <v>237</v>
      </c>
      <c r="E1798" s="2" t="s">
        <v>4647</v>
      </c>
      <c r="F1798" s="2">
        <v>25</v>
      </c>
      <c r="G1798" s="2">
        <v>25</v>
      </c>
      <c r="H1798" s="2">
        <v>0</v>
      </c>
      <c r="I1798" s="1">
        <v>0</v>
      </c>
      <c r="J1798" s="26">
        <v>45283</v>
      </c>
      <c r="K1798" s="22">
        <v>162500</v>
      </c>
      <c r="L1798" s="18">
        <v>173.8</v>
      </c>
      <c r="M1798" s="22">
        <v>118750</v>
      </c>
      <c r="N1798" s="22">
        <v>43750</v>
      </c>
      <c r="O1798" s="18">
        <v>46.79</v>
      </c>
      <c r="P1798" s="52">
        <f>IF(COUNTIF(TblPurchases[BatchID],TblOutcomes[[#This Row],[BatchID]])&lt;&gt;1,"n.a.",TblOutcomes[[#This Row],[Qty Wasted]]*SUMIFS(TblPurchases[Unit Cost (CLP)],TblPurchases[BatchID],TblOutcomes[[#This Row],[BatchID]]))</f>
        <v>0</v>
      </c>
      <c r="Q1798" s="51">
        <f>IF(COUNTIF(TblPurchases[BatchID],TblOutcomes[[#This Row],[BatchID]])&lt;&gt;1,"n.a.",SUMIFS(TblPurchases[Purchase Date],TblPurchases[BatchID],TblOutcomes[[#This Row],[BatchID]]))</f>
        <v>45269</v>
      </c>
    </row>
    <row r="1799" spans="2:17" x14ac:dyDescent="0.25">
      <c r="B1799" s="2" t="s">
        <v>2604</v>
      </c>
      <c r="C1799" s="2" t="s">
        <v>235</v>
      </c>
      <c r="D1799" s="2" t="s">
        <v>237</v>
      </c>
      <c r="E1799" s="2" t="s">
        <v>4646</v>
      </c>
      <c r="F1799" s="2">
        <v>18</v>
      </c>
      <c r="G1799" s="2">
        <v>16.399999999999999</v>
      </c>
      <c r="H1799" s="2">
        <v>1.6</v>
      </c>
      <c r="I1799" s="1">
        <v>8.9</v>
      </c>
      <c r="J1799" s="26">
        <v>45473</v>
      </c>
      <c r="K1799" s="22">
        <v>106600</v>
      </c>
      <c r="L1799" s="18">
        <v>114.01</v>
      </c>
      <c r="M1799" s="22">
        <v>85500</v>
      </c>
      <c r="N1799" s="22">
        <v>21100</v>
      </c>
      <c r="O1799" s="18">
        <v>22.57</v>
      </c>
      <c r="P1799" s="52">
        <f>IF(COUNTIF(TblPurchases[BatchID],TblOutcomes[[#This Row],[BatchID]])&lt;&gt;1,"n.a.",TblOutcomes[[#This Row],[Qty Wasted]]*SUMIFS(TblPurchases[Unit Cost (CLP)],TblPurchases[BatchID],TblOutcomes[[#This Row],[BatchID]]))</f>
        <v>7600</v>
      </c>
      <c r="Q1799" s="51">
        <f>IF(COUNTIF(TblPurchases[BatchID],TblOutcomes[[#This Row],[BatchID]])&lt;&gt;1,"n.a.",SUMIFS(TblPurchases[Purchase Date],TblPurchases[BatchID],TblOutcomes[[#This Row],[BatchID]]))</f>
        <v>45293</v>
      </c>
    </row>
    <row r="1800" spans="2:17" x14ac:dyDescent="0.25">
      <c r="B1800" s="2" t="s">
        <v>2605</v>
      </c>
      <c r="C1800" s="2" t="s">
        <v>235</v>
      </c>
      <c r="D1800" s="2" t="s">
        <v>237</v>
      </c>
      <c r="E1800" s="2" t="s">
        <v>4646</v>
      </c>
      <c r="F1800" s="2">
        <v>22</v>
      </c>
      <c r="G1800" s="2">
        <v>19.91</v>
      </c>
      <c r="H1800" s="2">
        <v>2.09</v>
      </c>
      <c r="I1800" s="1">
        <v>9.5</v>
      </c>
      <c r="J1800" s="26">
        <v>45497</v>
      </c>
      <c r="K1800" s="22">
        <v>129415</v>
      </c>
      <c r="L1800" s="18">
        <v>138.41</v>
      </c>
      <c r="M1800" s="22">
        <v>112200</v>
      </c>
      <c r="N1800" s="22">
        <v>17215</v>
      </c>
      <c r="O1800" s="18">
        <v>18.41</v>
      </c>
      <c r="P1800" s="52">
        <f>IF(COUNTIF(TblPurchases[BatchID],TblOutcomes[[#This Row],[BatchID]])&lt;&gt;1,"n.a.",TblOutcomes[[#This Row],[Qty Wasted]]*SUMIFS(TblPurchases[Unit Cost (CLP)],TblPurchases[BatchID],TblOutcomes[[#This Row],[BatchID]]))</f>
        <v>10659</v>
      </c>
      <c r="Q1800" s="51">
        <f>IF(COUNTIF(TblPurchases[BatchID],TblOutcomes[[#This Row],[BatchID]])&lt;&gt;1,"n.a.",SUMIFS(TblPurchases[Purchase Date],TblPurchases[BatchID],TblOutcomes[[#This Row],[BatchID]]))</f>
        <v>45317</v>
      </c>
    </row>
    <row r="1801" spans="2:17" x14ac:dyDescent="0.25">
      <c r="B1801" s="2" t="s">
        <v>2606</v>
      </c>
      <c r="C1801" s="2" t="s">
        <v>235</v>
      </c>
      <c r="D1801" s="2" t="s">
        <v>237</v>
      </c>
      <c r="E1801" s="2" t="s">
        <v>4646</v>
      </c>
      <c r="F1801" s="2">
        <v>17</v>
      </c>
      <c r="G1801" s="2">
        <v>15.3</v>
      </c>
      <c r="H1801" s="2">
        <v>1.7</v>
      </c>
      <c r="I1801" s="1">
        <v>10</v>
      </c>
      <c r="J1801" s="26">
        <v>45517</v>
      </c>
      <c r="K1801" s="22">
        <v>99450</v>
      </c>
      <c r="L1801" s="18">
        <v>106.36</v>
      </c>
      <c r="M1801" s="22">
        <v>86700</v>
      </c>
      <c r="N1801" s="22">
        <v>12750</v>
      </c>
      <c r="O1801" s="18">
        <v>13.64</v>
      </c>
      <c r="P1801" s="52">
        <f>IF(COUNTIF(TblPurchases[BatchID],TblOutcomes[[#This Row],[BatchID]])&lt;&gt;1,"n.a.",TblOutcomes[[#This Row],[Qty Wasted]]*SUMIFS(TblPurchases[Unit Cost (CLP)],TblPurchases[BatchID],TblOutcomes[[#This Row],[BatchID]]))</f>
        <v>8670</v>
      </c>
      <c r="Q1801" s="51">
        <f>IF(COUNTIF(TblPurchases[BatchID],TblOutcomes[[#This Row],[BatchID]])&lt;&gt;1,"n.a.",SUMIFS(TblPurchases[Purchase Date],TblPurchases[BatchID],TblOutcomes[[#This Row],[BatchID]]))</f>
        <v>45337</v>
      </c>
    </row>
    <row r="1802" spans="2:17" x14ac:dyDescent="0.25">
      <c r="B1802" s="2" t="s">
        <v>2607</v>
      </c>
      <c r="C1802" s="2" t="s">
        <v>235</v>
      </c>
      <c r="D1802" s="2" t="s">
        <v>237</v>
      </c>
      <c r="E1802" s="2" t="s">
        <v>4647</v>
      </c>
      <c r="F1802" s="2">
        <v>21</v>
      </c>
      <c r="G1802" s="2">
        <v>21</v>
      </c>
      <c r="H1802" s="2">
        <v>0</v>
      </c>
      <c r="I1802" s="1">
        <v>0</v>
      </c>
      <c r="J1802" s="26">
        <v>45379</v>
      </c>
      <c r="K1802" s="22">
        <v>136500</v>
      </c>
      <c r="L1802" s="18">
        <v>145.99</v>
      </c>
      <c r="M1802" s="22">
        <v>99750</v>
      </c>
      <c r="N1802" s="22">
        <v>36750</v>
      </c>
      <c r="O1802" s="18">
        <v>39.299999999999997</v>
      </c>
      <c r="P1802" s="52">
        <f>IF(COUNTIF(TblPurchases[BatchID],TblOutcomes[[#This Row],[BatchID]])&lt;&gt;1,"n.a.",TblOutcomes[[#This Row],[Qty Wasted]]*SUMIFS(TblPurchases[Unit Cost (CLP)],TblPurchases[BatchID],TblOutcomes[[#This Row],[BatchID]]))</f>
        <v>0</v>
      </c>
      <c r="Q1802" s="51">
        <f>IF(COUNTIF(TblPurchases[BatchID],TblOutcomes[[#This Row],[BatchID]])&lt;&gt;1,"n.a.",SUMIFS(TblPurchases[Purchase Date],TblPurchases[BatchID],TblOutcomes[[#This Row],[BatchID]]))</f>
        <v>45358</v>
      </c>
    </row>
    <row r="1803" spans="2:17" x14ac:dyDescent="0.25">
      <c r="B1803" s="2" t="s">
        <v>2608</v>
      </c>
      <c r="C1803" s="2" t="s">
        <v>235</v>
      </c>
      <c r="D1803" s="2" t="s">
        <v>237</v>
      </c>
      <c r="E1803" s="2" t="s">
        <v>4646</v>
      </c>
      <c r="F1803" s="2">
        <v>21</v>
      </c>
      <c r="G1803" s="2">
        <v>19.95</v>
      </c>
      <c r="H1803" s="2">
        <v>1.05</v>
      </c>
      <c r="I1803" s="1">
        <v>5</v>
      </c>
      <c r="J1803" s="26">
        <v>45557</v>
      </c>
      <c r="K1803" s="22">
        <v>129675</v>
      </c>
      <c r="L1803" s="18">
        <v>138.69</v>
      </c>
      <c r="M1803" s="22">
        <v>99750</v>
      </c>
      <c r="N1803" s="22">
        <v>29925</v>
      </c>
      <c r="O1803" s="18">
        <v>32.01</v>
      </c>
      <c r="P1803" s="52">
        <f>IF(COUNTIF(TblPurchases[BatchID],TblOutcomes[[#This Row],[BatchID]])&lt;&gt;1,"n.a.",TblOutcomes[[#This Row],[Qty Wasted]]*SUMIFS(TblPurchases[Unit Cost (CLP)],TblPurchases[BatchID],TblOutcomes[[#This Row],[BatchID]]))</f>
        <v>4987.5</v>
      </c>
      <c r="Q1803" s="51">
        <f>IF(COUNTIF(TblPurchases[BatchID],TblOutcomes[[#This Row],[BatchID]])&lt;&gt;1,"n.a.",SUMIFS(TblPurchases[Purchase Date],TblPurchases[BatchID],TblOutcomes[[#This Row],[BatchID]]))</f>
        <v>45377</v>
      </c>
    </row>
    <row r="1804" spans="2:17" x14ac:dyDescent="0.25">
      <c r="B1804" s="2" t="s">
        <v>2609</v>
      </c>
      <c r="C1804" s="2" t="s">
        <v>235</v>
      </c>
      <c r="D1804" s="2" t="s">
        <v>237</v>
      </c>
      <c r="E1804" s="2" t="s">
        <v>4647</v>
      </c>
      <c r="F1804" s="2">
        <v>19</v>
      </c>
      <c r="G1804" s="2">
        <v>19</v>
      </c>
      <c r="H1804" s="2">
        <v>0</v>
      </c>
      <c r="I1804" s="1">
        <v>0</v>
      </c>
      <c r="J1804" s="26">
        <v>45405</v>
      </c>
      <c r="K1804" s="22">
        <v>123500</v>
      </c>
      <c r="L1804" s="18">
        <v>132.09</v>
      </c>
      <c r="M1804" s="22">
        <v>90250</v>
      </c>
      <c r="N1804" s="22">
        <v>33250</v>
      </c>
      <c r="O1804" s="18">
        <v>35.56</v>
      </c>
      <c r="P1804" s="52">
        <f>IF(COUNTIF(TblPurchases[BatchID],TblOutcomes[[#This Row],[BatchID]])&lt;&gt;1,"n.a.",TblOutcomes[[#This Row],[Qty Wasted]]*SUMIFS(TblPurchases[Unit Cost (CLP)],TblPurchases[BatchID],TblOutcomes[[#This Row],[BatchID]]))</f>
        <v>0</v>
      </c>
      <c r="Q1804" s="51">
        <f>IF(COUNTIF(TblPurchases[BatchID],TblOutcomes[[#This Row],[BatchID]])&lt;&gt;1,"n.a.",SUMIFS(TblPurchases[Purchase Date],TblPurchases[BatchID],TblOutcomes[[#This Row],[BatchID]]))</f>
        <v>45391</v>
      </c>
    </row>
    <row r="1805" spans="2:17" x14ac:dyDescent="0.25">
      <c r="B1805" s="2" t="s">
        <v>2610</v>
      </c>
      <c r="C1805" s="2" t="s">
        <v>235</v>
      </c>
      <c r="D1805" s="2" t="s">
        <v>237</v>
      </c>
      <c r="E1805" s="2" t="s">
        <v>4646</v>
      </c>
      <c r="F1805" s="2">
        <v>17</v>
      </c>
      <c r="G1805" s="2">
        <v>16.420000000000002</v>
      </c>
      <c r="H1805" s="2">
        <v>0.57999999999999996</v>
      </c>
      <c r="I1805" s="1">
        <v>3.4</v>
      </c>
      <c r="J1805" s="26">
        <v>45591</v>
      </c>
      <c r="K1805" s="22">
        <v>106730</v>
      </c>
      <c r="L1805" s="18">
        <v>114.15</v>
      </c>
      <c r="M1805" s="22">
        <v>80750</v>
      </c>
      <c r="N1805" s="22">
        <v>25980</v>
      </c>
      <c r="O1805" s="18">
        <v>27.79</v>
      </c>
      <c r="P1805" s="52">
        <f>IF(COUNTIF(TblPurchases[BatchID],TblOutcomes[[#This Row],[BatchID]])&lt;&gt;1,"n.a.",TblOutcomes[[#This Row],[Qty Wasted]]*SUMIFS(TblPurchases[Unit Cost (CLP)],TblPurchases[BatchID],TblOutcomes[[#This Row],[BatchID]]))</f>
        <v>2755</v>
      </c>
      <c r="Q1805" s="51">
        <f>IF(COUNTIF(TblPurchases[BatchID],TblOutcomes[[#This Row],[BatchID]])&lt;&gt;1,"n.a.",SUMIFS(TblPurchases[Purchase Date],TblPurchases[BatchID],TblOutcomes[[#This Row],[BatchID]]))</f>
        <v>45411</v>
      </c>
    </row>
    <row r="1806" spans="2:17" x14ac:dyDescent="0.25">
      <c r="B1806" s="2" t="s">
        <v>2611</v>
      </c>
      <c r="C1806" s="2" t="s">
        <v>235</v>
      </c>
      <c r="D1806" s="2" t="s">
        <v>237</v>
      </c>
      <c r="E1806" s="2" t="s">
        <v>4647</v>
      </c>
      <c r="F1806" s="2">
        <v>21</v>
      </c>
      <c r="G1806" s="2">
        <v>21</v>
      </c>
      <c r="H1806" s="2">
        <v>0</v>
      </c>
      <c r="I1806" s="1">
        <v>0</v>
      </c>
      <c r="J1806" s="26">
        <v>45444</v>
      </c>
      <c r="K1806" s="22">
        <v>136500</v>
      </c>
      <c r="L1806" s="18">
        <v>145.99</v>
      </c>
      <c r="M1806" s="22">
        <v>99750</v>
      </c>
      <c r="N1806" s="22">
        <v>36750</v>
      </c>
      <c r="O1806" s="18">
        <v>39.299999999999997</v>
      </c>
      <c r="P1806" s="52">
        <f>IF(COUNTIF(TblPurchases[BatchID],TblOutcomes[[#This Row],[BatchID]])&lt;&gt;1,"n.a.",TblOutcomes[[#This Row],[Qty Wasted]]*SUMIFS(TblPurchases[Unit Cost (CLP)],TblPurchases[BatchID],TblOutcomes[[#This Row],[BatchID]]))</f>
        <v>0</v>
      </c>
      <c r="Q1806" s="51">
        <f>IF(COUNTIF(TblPurchases[BatchID],TblOutcomes[[#This Row],[BatchID]])&lt;&gt;1,"n.a.",SUMIFS(TblPurchases[Purchase Date],TblPurchases[BatchID],TblOutcomes[[#This Row],[BatchID]]))</f>
        <v>45426</v>
      </c>
    </row>
    <row r="1807" spans="2:17" x14ac:dyDescent="0.25">
      <c r="B1807" s="2" t="s">
        <v>2612</v>
      </c>
      <c r="C1807" s="2" t="s">
        <v>235</v>
      </c>
      <c r="D1807" s="2" t="s">
        <v>237</v>
      </c>
      <c r="E1807" s="2" t="s">
        <v>4647</v>
      </c>
      <c r="F1807" s="2">
        <v>19</v>
      </c>
      <c r="G1807" s="2">
        <v>19</v>
      </c>
      <c r="H1807" s="2">
        <v>0</v>
      </c>
      <c r="I1807" s="1">
        <v>0</v>
      </c>
      <c r="J1807" s="26">
        <v>45469</v>
      </c>
      <c r="K1807" s="22">
        <v>123500</v>
      </c>
      <c r="L1807" s="18">
        <v>132.09</v>
      </c>
      <c r="M1807" s="22">
        <v>90250</v>
      </c>
      <c r="N1807" s="22">
        <v>33250</v>
      </c>
      <c r="O1807" s="18">
        <v>35.56</v>
      </c>
      <c r="P1807" s="52">
        <f>IF(COUNTIF(TblPurchases[BatchID],TblOutcomes[[#This Row],[BatchID]])&lt;&gt;1,"n.a.",TblOutcomes[[#This Row],[Qty Wasted]]*SUMIFS(TblPurchases[Unit Cost (CLP)],TblPurchases[BatchID],TblOutcomes[[#This Row],[BatchID]]))</f>
        <v>0</v>
      </c>
      <c r="Q1807" s="51">
        <f>IF(COUNTIF(TblPurchases[BatchID],TblOutcomes[[#This Row],[BatchID]])&lt;&gt;1,"n.a.",SUMIFS(TblPurchases[Purchase Date],TblPurchases[BatchID],TblOutcomes[[#This Row],[BatchID]]))</f>
        <v>45452</v>
      </c>
    </row>
    <row r="1808" spans="2:17" x14ac:dyDescent="0.25">
      <c r="B1808" s="2" t="s">
        <v>2613</v>
      </c>
      <c r="C1808" s="2" t="s">
        <v>235</v>
      </c>
      <c r="D1808" s="2" t="s">
        <v>237</v>
      </c>
      <c r="E1808" s="2" t="s">
        <v>4646</v>
      </c>
      <c r="F1808" s="2">
        <v>20</v>
      </c>
      <c r="G1808" s="2">
        <v>18.88</v>
      </c>
      <c r="H1808" s="2">
        <v>1.1200000000000001</v>
      </c>
      <c r="I1808" s="1">
        <v>5.6</v>
      </c>
      <c r="J1808" s="26">
        <v>45649</v>
      </c>
      <c r="K1808" s="22">
        <v>122720</v>
      </c>
      <c r="L1808" s="18">
        <v>131.25</v>
      </c>
      <c r="M1808" s="22">
        <v>95000</v>
      </c>
      <c r="N1808" s="22">
        <v>27720</v>
      </c>
      <c r="O1808" s="18">
        <v>29.65</v>
      </c>
      <c r="P1808" s="52">
        <f>IF(COUNTIF(TblPurchases[BatchID],TblOutcomes[[#This Row],[BatchID]])&lt;&gt;1,"n.a.",TblOutcomes[[#This Row],[Qty Wasted]]*SUMIFS(TblPurchases[Unit Cost (CLP)],TblPurchases[BatchID],TblOutcomes[[#This Row],[BatchID]]))</f>
        <v>5320.0000000000009</v>
      </c>
      <c r="Q1808" s="51">
        <f>IF(COUNTIF(TblPurchases[BatchID],TblOutcomes[[#This Row],[BatchID]])&lt;&gt;1,"n.a.",SUMIFS(TblPurchases[Purchase Date],TblPurchases[BatchID],TblOutcomes[[#This Row],[BatchID]]))</f>
        <v>45469</v>
      </c>
    </row>
    <row r="1809" spans="2:17" x14ac:dyDescent="0.25">
      <c r="B1809" s="2" t="s">
        <v>2614</v>
      </c>
      <c r="C1809" s="2" t="s">
        <v>235</v>
      </c>
      <c r="D1809" s="2" t="s">
        <v>237</v>
      </c>
      <c r="E1809" s="2" t="s">
        <v>4646</v>
      </c>
      <c r="F1809" s="2">
        <v>19</v>
      </c>
      <c r="G1809" s="2">
        <v>18.28</v>
      </c>
      <c r="H1809" s="2">
        <v>0.72</v>
      </c>
      <c r="I1809" s="1">
        <v>3.8</v>
      </c>
      <c r="J1809" s="26">
        <v>45668</v>
      </c>
      <c r="K1809" s="22">
        <v>118820</v>
      </c>
      <c r="L1809" s="18">
        <v>127.08</v>
      </c>
      <c r="M1809" s="22">
        <v>90250</v>
      </c>
      <c r="N1809" s="22">
        <v>28570</v>
      </c>
      <c r="O1809" s="18">
        <v>30.56</v>
      </c>
      <c r="P1809" s="52">
        <f>IF(COUNTIF(TblPurchases[BatchID],TblOutcomes[[#This Row],[BatchID]])&lt;&gt;1,"n.a.",TblOutcomes[[#This Row],[Qty Wasted]]*SUMIFS(TblPurchases[Unit Cost (CLP)],TblPurchases[BatchID],TblOutcomes[[#This Row],[BatchID]]))</f>
        <v>3420</v>
      </c>
      <c r="Q1809" s="51">
        <f>IF(COUNTIF(TblPurchases[BatchID],TblOutcomes[[#This Row],[BatchID]])&lt;&gt;1,"n.a.",SUMIFS(TblPurchases[Purchase Date],TblPurchases[BatchID],TblOutcomes[[#This Row],[BatchID]]))</f>
        <v>45488</v>
      </c>
    </row>
    <row r="1810" spans="2:17" x14ac:dyDescent="0.25">
      <c r="B1810" s="2" t="s">
        <v>2615</v>
      </c>
      <c r="C1810" s="2" t="s">
        <v>235</v>
      </c>
      <c r="D1810" s="2" t="s">
        <v>237</v>
      </c>
      <c r="E1810" s="2" t="s">
        <v>4647</v>
      </c>
      <c r="F1810" s="2">
        <v>19</v>
      </c>
      <c r="G1810" s="2">
        <v>19</v>
      </c>
      <c r="H1810" s="2">
        <v>0</v>
      </c>
      <c r="I1810" s="1">
        <v>0</v>
      </c>
      <c r="J1810" s="26">
        <v>45541</v>
      </c>
      <c r="K1810" s="22">
        <v>123500</v>
      </c>
      <c r="L1810" s="18">
        <v>132.09</v>
      </c>
      <c r="M1810" s="22">
        <v>90250</v>
      </c>
      <c r="N1810" s="22">
        <v>33250</v>
      </c>
      <c r="O1810" s="18">
        <v>35.56</v>
      </c>
      <c r="P1810" s="52">
        <f>IF(COUNTIF(TblPurchases[BatchID],TblOutcomes[[#This Row],[BatchID]])&lt;&gt;1,"n.a.",TblOutcomes[[#This Row],[Qty Wasted]]*SUMIFS(TblPurchases[Unit Cost (CLP)],TblPurchases[BatchID],TblOutcomes[[#This Row],[BatchID]]))</f>
        <v>0</v>
      </c>
      <c r="Q1810" s="51">
        <f>IF(COUNTIF(TblPurchases[BatchID],TblOutcomes[[#This Row],[BatchID]])&lt;&gt;1,"n.a.",SUMIFS(TblPurchases[Purchase Date],TblPurchases[BatchID],TblOutcomes[[#This Row],[BatchID]]))</f>
        <v>45514</v>
      </c>
    </row>
    <row r="1811" spans="2:17" x14ac:dyDescent="0.25">
      <c r="B1811" s="2" t="s">
        <v>2616</v>
      </c>
      <c r="C1811" s="2" t="s">
        <v>235</v>
      </c>
      <c r="D1811" s="2" t="s">
        <v>237</v>
      </c>
      <c r="E1811" s="2" t="s">
        <v>4647</v>
      </c>
      <c r="F1811" s="2">
        <v>23</v>
      </c>
      <c r="G1811" s="2">
        <v>23</v>
      </c>
      <c r="H1811" s="2">
        <v>0</v>
      </c>
      <c r="I1811" s="1">
        <v>0</v>
      </c>
      <c r="J1811" s="26">
        <v>45541</v>
      </c>
      <c r="K1811" s="22">
        <v>149500</v>
      </c>
      <c r="L1811" s="18">
        <v>159.88999999999999</v>
      </c>
      <c r="M1811" s="22">
        <v>109250</v>
      </c>
      <c r="N1811" s="22">
        <v>40250</v>
      </c>
      <c r="O1811" s="18">
        <v>43.05</v>
      </c>
      <c r="P1811" s="52">
        <f>IF(COUNTIF(TblPurchases[BatchID],TblOutcomes[[#This Row],[BatchID]])&lt;&gt;1,"n.a.",TblOutcomes[[#This Row],[Qty Wasted]]*SUMIFS(TblPurchases[Unit Cost (CLP)],TblPurchases[BatchID],TblOutcomes[[#This Row],[BatchID]]))</f>
        <v>0</v>
      </c>
      <c r="Q1811" s="51">
        <f>IF(COUNTIF(TblPurchases[BatchID],TblOutcomes[[#This Row],[BatchID]])&lt;&gt;1,"n.a.",SUMIFS(TblPurchases[Purchase Date],TblPurchases[BatchID],TblOutcomes[[#This Row],[BatchID]]))</f>
        <v>45539</v>
      </c>
    </row>
    <row r="1812" spans="2:17" x14ac:dyDescent="0.25">
      <c r="B1812" s="2" t="s">
        <v>2617</v>
      </c>
      <c r="C1812" s="2" t="s">
        <v>235</v>
      </c>
      <c r="D1812" s="2" t="s">
        <v>237</v>
      </c>
      <c r="E1812" s="2" t="s">
        <v>4646</v>
      </c>
      <c r="F1812" s="2">
        <v>29</v>
      </c>
      <c r="G1812" s="2">
        <v>27.2</v>
      </c>
      <c r="H1812" s="2">
        <v>1.8</v>
      </c>
      <c r="I1812" s="1">
        <v>6.2</v>
      </c>
      <c r="J1812" s="26">
        <v>45738</v>
      </c>
      <c r="K1812" s="22">
        <v>176800</v>
      </c>
      <c r="L1812" s="18">
        <v>189.09</v>
      </c>
      <c r="M1812" s="22">
        <v>137750</v>
      </c>
      <c r="N1812" s="22">
        <v>39050</v>
      </c>
      <c r="O1812" s="18">
        <v>41.76</v>
      </c>
      <c r="P1812" s="52">
        <f>IF(COUNTIF(TblPurchases[BatchID],TblOutcomes[[#This Row],[BatchID]])&lt;&gt;1,"n.a.",TblOutcomes[[#This Row],[Qty Wasted]]*SUMIFS(TblPurchases[Unit Cost (CLP)],TblPurchases[BatchID],TblOutcomes[[#This Row],[BatchID]]))</f>
        <v>8550</v>
      </c>
      <c r="Q1812" s="51">
        <f>IF(COUNTIF(TblPurchases[BatchID],TblOutcomes[[#This Row],[BatchID]])&lt;&gt;1,"n.a.",SUMIFS(TblPurchases[Purchase Date],TblPurchases[BatchID],TblOutcomes[[#This Row],[BatchID]]))</f>
        <v>45558</v>
      </c>
    </row>
    <row r="1813" spans="2:17" x14ac:dyDescent="0.25">
      <c r="B1813" s="2" t="s">
        <v>2618</v>
      </c>
      <c r="C1813" s="2" t="s">
        <v>235</v>
      </c>
      <c r="D1813" s="2" t="s">
        <v>237</v>
      </c>
      <c r="E1813" s="2" t="s">
        <v>4647</v>
      </c>
      <c r="F1813" s="2">
        <v>19</v>
      </c>
      <c r="G1813" s="2">
        <v>19</v>
      </c>
      <c r="H1813" s="2">
        <v>0</v>
      </c>
      <c r="I1813" s="1">
        <v>0</v>
      </c>
      <c r="J1813" s="26">
        <v>45598</v>
      </c>
      <c r="K1813" s="22">
        <v>123500</v>
      </c>
      <c r="L1813" s="18">
        <v>132.09</v>
      </c>
      <c r="M1813" s="22">
        <v>90250</v>
      </c>
      <c r="N1813" s="22">
        <v>33250</v>
      </c>
      <c r="O1813" s="18">
        <v>35.56</v>
      </c>
      <c r="P1813" s="52">
        <f>IF(COUNTIF(TblPurchases[BatchID],TblOutcomes[[#This Row],[BatchID]])&lt;&gt;1,"n.a.",TblOutcomes[[#This Row],[Qty Wasted]]*SUMIFS(TblPurchases[Unit Cost (CLP)],TblPurchases[BatchID],TblOutcomes[[#This Row],[BatchID]]))</f>
        <v>0</v>
      </c>
      <c r="Q1813" s="51">
        <f>IF(COUNTIF(TblPurchases[BatchID],TblOutcomes[[#This Row],[BatchID]])&lt;&gt;1,"n.a.",SUMIFS(TblPurchases[Purchase Date],TblPurchases[BatchID],TblOutcomes[[#This Row],[BatchID]]))</f>
        <v>45579</v>
      </c>
    </row>
    <row r="1814" spans="2:17" x14ac:dyDescent="0.25">
      <c r="B1814" s="2" t="s">
        <v>2619</v>
      </c>
      <c r="C1814" s="2" t="s">
        <v>235</v>
      </c>
      <c r="D1814" s="2" t="s">
        <v>237</v>
      </c>
      <c r="E1814" s="2" t="s">
        <v>4647</v>
      </c>
      <c r="F1814" s="2">
        <v>22</v>
      </c>
      <c r="G1814" s="2">
        <v>22</v>
      </c>
      <c r="H1814" s="2">
        <v>0</v>
      </c>
      <c r="I1814" s="1">
        <v>0</v>
      </c>
      <c r="J1814" s="26">
        <v>45618</v>
      </c>
      <c r="K1814" s="22">
        <v>143000</v>
      </c>
      <c r="L1814" s="18">
        <v>152.94</v>
      </c>
      <c r="M1814" s="22">
        <v>104500</v>
      </c>
      <c r="N1814" s="22">
        <v>38500</v>
      </c>
      <c r="O1814" s="18">
        <v>41.18</v>
      </c>
      <c r="P1814" s="52">
        <f>IF(COUNTIF(TblPurchases[BatchID],TblOutcomes[[#This Row],[BatchID]])&lt;&gt;1,"n.a.",TblOutcomes[[#This Row],[Qty Wasted]]*SUMIFS(TblPurchases[Unit Cost (CLP)],TblPurchases[BatchID],TblOutcomes[[#This Row],[BatchID]]))</f>
        <v>0</v>
      </c>
      <c r="Q1814" s="51">
        <f>IF(COUNTIF(TblPurchases[BatchID],TblOutcomes[[#This Row],[BatchID]])&lt;&gt;1,"n.a.",SUMIFS(TblPurchases[Purchase Date],TblPurchases[BatchID],TblOutcomes[[#This Row],[BatchID]]))</f>
        <v>45597</v>
      </c>
    </row>
    <row r="1815" spans="2:17" x14ac:dyDescent="0.25">
      <c r="B1815" s="2" t="s">
        <v>2620</v>
      </c>
      <c r="C1815" s="2" t="s">
        <v>235</v>
      </c>
      <c r="D1815" s="2" t="s">
        <v>237</v>
      </c>
      <c r="E1815" s="2" t="s">
        <v>4646</v>
      </c>
      <c r="F1815" s="2">
        <v>18</v>
      </c>
      <c r="G1815" s="2">
        <v>16.649999999999999</v>
      </c>
      <c r="H1815" s="2">
        <v>1.35</v>
      </c>
      <c r="I1815" s="1">
        <v>7.5</v>
      </c>
      <c r="J1815" s="26">
        <v>45797</v>
      </c>
      <c r="K1815" s="22">
        <v>108225</v>
      </c>
      <c r="L1815" s="18">
        <v>115.75</v>
      </c>
      <c r="M1815" s="22">
        <v>85500</v>
      </c>
      <c r="N1815" s="22">
        <v>22725</v>
      </c>
      <c r="O1815" s="18">
        <v>24.3</v>
      </c>
      <c r="P1815" s="52">
        <f>IF(COUNTIF(TblPurchases[BatchID],TblOutcomes[[#This Row],[BatchID]])&lt;&gt;1,"n.a.",TblOutcomes[[#This Row],[Qty Wasted]]*SUMIFS(TblPurchases[Unit Cost (CLP)],TblPurchases[BatchID],TblOutcomes[[#This Row],[BatchID]]))</f>
        <v>6412.5</v>
      </c>
      <c r="Q1815" s="51">
        <f>IF(COUNTIF(TblPurchases[BatchID],TblOutcomes[[#This Row],[BatchID]])&lt;&gt;1,"n.a.",SUMIFS(TblPurchases[Purchase Date],TblPurchases[BatchID],TblOutcomes[[#This Row],[BatchID]]))</f>
        <v>45617</v>
      </c>
    </row>
    <row r="1816" spans="2:17" x14ac:dyDescent="0.25">
      <c r="B1816" s="2" t="s">
        <v>2621</v>
      </c>
      <c r="C1816" s="2" t="s">
        <v>235</v>
      </c>
      <c r="D1816" s="2" t="s">
        <v>237</v>
      </c>
      <c r="E1816" s="2" t="s">
        <v>4647</v>
      </c>
      <c r="F1816" s="2">
        <v>24</v>
      </c>
      <c r="G1816" s="2">
        <v>24</v>
      </c>
      <c r="H1816" s="2">
        <v>0</v>
      </c>
      <c r="I1816" s="1">
        <v>0</v>
      </c>
      <c r="J1816" s="26">
        <v>45654</v>
      </c>
      <c r="K1816" s="22">
        <v>156000</v>
      </c>
      <c r="L1816" s="18">
        <v>166.84</v>
      </c>
      <c r="M1816" s="22">
        <v>122400</v>
      </c>
      <c r="N1816" s="22">
        <v>33600</v>
      </c>
      <c r="O1816" s="18">
        <v>35.94</v>
      </c>
      <c r="P1816" s="52">
        <f>IF(COUNTIF(TblPurchases[BatchID],TblOutcomes[[#This Row],[BatchID]])&lt;&gt;1,"n.a.",TblOutcomes[[#This Row],[Qty Wasted]]*SUMIFS(TblPurchases[Unit Cost (CLP)],TblPurchases[BatchID],TblOutcomes[[#This Row],[BatchID]]))</f>
        <v>0</v>
      </c>
      <c r="Q1816" s="51">
        <f>IF(COUNTIF(TblPurchases[BatchID],TblOutcomes[[#This Row],[BatchID]])&lt;&gt;1,"n.a.",SUMIFS(TblPurchases[Purchase Date],TblPurchases[BatchID],TblOutcomes[[#This Row],[BatchID]]))</f>
        <v>45637</v>
      </c>
    </row>
    <row r="1817" spans="2:17" x14ac:dyDescent="0.25">
      <c r="B1817" s="2" t="s">
        <v>2622</v>
      </c>
      <c r="C1817" s="2" t="s">
        <v>235</v>
      </c>
      <c r="D1817" s="2" t="s">
        <v>237</v>
      </c>
      <c r="E1817" s="2" t="s">
        <v>4647</v>
      </c>
      <c r="F1817" s="2">
        <v>27</v>
      </c>
      <c r="G1817" s="2">
        <v>27</v>
      </c>
      <c r="H1817" s="2">
        <v>0</v>
      </c>
      <c r="I1817" s="1">
        <v>0</v>
      </c>
      <c r="J1817" s="26">
        <v>45680</v>
      </c>
      <c r="K1817" s="22">
        <v>175500</v>
      </c>
      <c r="L1817" s="18">
        <v>187.7</v>
      </c>
      <c r="M1817" s="22">
        <v>128250</v>
      </c>
      <c r="N1817" s="22">
        <v>47250</v>
      </c>
      <c r="O1817" s="18">
        <v>50.53</v>
      </c>
      <c r="P1817" s="52">
        <f>IF(COUNTIF(TblPurchases[BatchID],TblOutcomes[[#This Row],[BatchID]])&lt;&gt;1,"n.a.",TblOutcomes[[#This Row],[Qty Wasted]]*SUMIFS(TblPurchases[Unit Cost (CLP)],TblPurchases[BatchID],TblOutcomes[[#This Row],[BatchID]]))</f>
        <v>0</v>
      </c>
      <c r="Q1817" s="51">
        <f>IF(COUNTIF(TblPurchases[BatchID],TblOutcomes[[#This Row],[BatchID]])&lt;&gt;1,"n.a.",SUMIFS(TblPurchases[Purchase Date],TblPurchases[BatchID],TblOutcomes[[#This Row],[BatchID]]))</f>
        <v>45654</v>
      </c>
    </row>
    <row r="1818" spans="2:17" x14ac:dyDescent="0.25">
      <c r="B1818" s="2" t="s">
        <v>2623</v>
      </c>
      <c r="C1818" s="2" t="s">
        <v>235</v>
      </c>
      <c r="D1818" s="2" t="s">
        <v>237</v>
      </c>
      <c r="E1818" s="2" t="s">
        <v>4647</v>
      </c>
      <c r="F1818" s="2">
        <v>23</v>
      </c>
      <c r="G1818" s="2">
        <v>23</v>
      </c>
      <c r="H1818" s="2">
        <v>0</v>
      </c>
      <c r="I1818" s="1">
        <v>0</v>
      </c>
      <c r="J1818" s="26">
        <v>45691</v>
      </c>
      <c r="K1818" s="22">
        <v>149500</v>
      </c>
      <c r="L1818" s="18">
        <v>159.88999999999999</v>
      </c>
      <c r="M1818" s="22">
        <v>109250</v>
      </c>
      <c r="N1818" s="22">
        <v>40250</v>
      </c>
      <c r="O1818" s="18">
        <v>43.05</v>
      </c>
      <c r="P1818" s="52">
        <f>IF(COUNTIF(TblPurchases[BatchID],TblOutcomes[[#This Row],[BatchID]])&lt;&gt;1,"n.a.",TblOutcomes[[#This Row],[Qty Wasted]]*SUMIFS(TblPurchases[Unit Cost (CLP)],TblPurchases[BatchID],TblOutcomes[[#This Row],[BatchID]]))</f>
        <v>0</v>
      </c>
      <c r="Q1818" s="51">
        <f>IF(COUNTIF(TblPurchases[BatchID],TblOutcomes[[#This Row],[BatchID]])&lt;&gt;1,"n.a.",SUMIFS(TblPurchases[Purchase Date],TblPurchases[BatchID],TblOutcomes[[#This Row],[BatchID]]))</f>
        <v>45678</v>
      </c>
    </row>
    <row r="1819" spans="2:17" x14ac:dyDescent="0.25">
      <c r="B1819" s="2" t="s">
        <v>2624</v>
      </c>
      <c r="C1819" s="2" t="s">
        <v>235</v>
      </c>
      <c r="D1819" s="2" t="s">
        <v>237</v>
      </c>
      <c r="E1819" s="2" t="s">
        <v>4647</v>
      </c>
      <c r="F1819" s="2">
        <v>21</v>
      </c>
      <c r="G1819" s="2">
        <v>21</v>
      </c>
      <c r="H1819" s="2">
        <v>0</v>
      </c>
      <c r="I1819" s="1">
        <v>0</v>
      </c>
      <c r="J1819" s="26">
        <v>45715</v>
      </c>
      <c r="K1819" s="22">
        <v>136500</v>
      </c>
      <c r="L1819" s="18">
        <v>145.99</v>
      </c>
      <c r="M1819" s="22">
        <v>99750</v>
      </c>
      <c r="N1819" s="22">
        <v>36750</v>
      </c>
      <c r="O1819" s="18">
        <v>39.299999999999997</v>
      </c>
      <c r="P1819" s="52">
        <f>IF(COUNTIF(TblPurchases[BatchID],TblOutcomes[[#This Row],[BatchID]])&lt;&gt;1,"n.a.",TblOutcomes[[#This Row],[Qty Wasted]]*SUMIFS(TblPurchases[Unit Cost (CLP)],TblPurchases[BatchID],TblOutcomes[[#This Row],[BatchID]]))</f>
        <v>0</v>
      </c>
      <c r="Q1819" s="51">
        <f>IF(COUNTIF(TblPurchases[BatchID],TblOutcomes[[#This Row],[BatchID]])&lt;&gt;1,"n.a.",SUMIFS(TblPurchases[Purchase Date],TblPurchases[BatchID],TblOutcomes[[#This Row],[BatchID]]))</f>
        <v>45695</v>
      </c>
    </row>
    <row r="1820" spans="2:17" x14ac:dyDescent="0.25">
      <c r="B1820" s="2" t="s">
        <v>2625</v>
      </c>
      <c r="C1820" s="2" t="s">
        <v>235</v>
      </c>
      <c r="D1820" s="2" t="s">
        <v>237</v>
      </c>
      <c r="E1820" s="2" t="s">
        <v>4646</v>
      </c>
      <c r="F1820" s="2">
        <v>20</v>
      </c>
      <c r="G1820" s="2">
        <v>18.12</v>
      </c>
      <c r="H1820" s="2">
        <v>1.88</v>
      </c>
      <c r="I1820" s="1">
        <v>9.4</v>
      </c>
      <c r="J1820" s="26">
        <v>45896</v>
      </c>
      <c r="K1820" s="22">
        <v>117780</v>
      </c>
      <c r="L1820" s="18">
        <v>125.97</v>
      </c>
      <c r="M1820" s="22">
        <v>95000</v>
      </c>
      <c r="N1820" s="22">
        <v>22780</v>
      </c>
      <c r="O1820" s="18">
        <v>24.36</v>
      </c>
      <c r="P1820" s="52">
        <f>IF(COUNTIF(TblPurchases[BatchID],TblOutcomes[[#This Row],[BatchID]])&lt;&gt;1,"n.a.",TblOutcomes[[#This Row],[Qty Wasted]]*SUMIFS(TblPurchases[Unit Cost (CLP)],TblPurchases[BatchID],TblOutcomes[[#This Row],[BatchID]]))</f>
        <v>8930</v>
      </c>
      <c r="Q1820" s="51">
        <f>IF(COUNTIF(TblPurchases[BatchID],TblOutcomes[[#This Row],[BatchID]])&lt;&gt;1,"n.a.",SUMIFS(TblPurchases[Purchase Date],TblPurchases[BatchID],TblOutcomes[[#This Row],[BatchID]]))</f>
        <v>45716</v>
      </c>
    </row>
    <row r="1821" spans="2:17" x14ac:dyDescent="0.25">
      <c r="B1821" s="2" t="s">
        <v>2626</v>
      </c>
      <c r="C1821" s="2" t="s">
        <v>235</v>
      </c>
      <c r="D1821" s="2" t="s">
        <v>237</v>
      </c>
      <c r="E1821" s="2" t="s">
        <v>4646</v>
      </c>
      <c r="F1821" s="2">
        <v>19</v>
      </c>
      <c r="G1821" s="2">
        <v>17.71</v>
      </c>
      <c r="H1821" s="2">
        <v>1.29</v>
      </c>
      <c r="I1821" s="1">
        <v>6.8</v>
      </c>
      <c r="J1821" s="26">
        <v>45913</v>
      </c>
      <c r="K1821" s="22">
        <v>115115</v>
      </c>
      <c r="L1821" s="18">
        <v>123.12</v>
      </c>
      <c r="M1821" s="22">
        <v>96900</v>
      </c>
      <c r="N1821" s="22">
        <v>18215</v>
      </c>
      <c r="O1821" s="18">
        <v>19.48</v>
      </c>
      <c r="P1821" s="52">
        <f>IF(COUNTIF(TblPurchases[BatchID],TblOutcomes[[#This Row],[BatchID]])&lt;&gt;1,"n.a.",TblOutcomes[[#This Row],[Qty Wasted]]*SUMIFS(TblPurchases[Unit Cost (CLP)],TblPurchases[BatchID],TblOutcomes[[#This Row],[BatchID]]))</f>
        <v>6579</v>
      </c>
      <c r="Q1821" s="51">
        <f>IF(COUNTIF(TblPurchases[BatchID],TblOutcomes[[#This Row],[BatchID]])&lt;&gt;1,"n.a.",SUMIFS(TblPurchases[Purchase Date],TblPurchases[BatchID],TblOutcomes[[#This Row],[BatchID]]))</f>
        <v>45733</v>
      </c>
    </row>
    <row r="1822" spans="2:17" x14ac:dyDescent="0.25">
      <c r="B1822" s="2" t="s">
        <v>2627</v>
      </c>
      <c r="C1822" s="2" t="s">
        <v>235</v>
      </c>
      <c r="D1822" s="2" t="s">
        <v>237</v>
      </c>
      <c r="E1822" s="2" t="s">
        <v>4646</v>
      </c>
      <c r="F1822" s="2">
        <v>22</v>
      </c>
      <c r="G1822" s="2">
        <v>20</v>
      </c>
      <c r="H1822" s="2">
        <v>2</v>
      </c>
      <c r="I1822" s="1">
        <v>9.1</v>
      </c>
      <c r="J1822" s="26">
        <v>45932</v>
      </c>
      <c r="K1822" s="22">
        <v>130000</v>
      </c>
      <c r="L1822" s="18">
        <v>139.04</v>
      </c>
      <c r="M1822" s="22">
        <v>112200</v>
      </c>
      <c r="N1822" s="22">
        <v>17800</v>
      </c>
      <c r="O1822" s="18">
        <v>19.04</v>
      </c>
      <c r="P1822" s="52">
        <f>IF(COUNTIF(TblPurchases[BatchID],TblOutcomes[[#This Row],[BatchID]])&lt;&gt;1,"n.a.",TblOutcomes[[#This Row],[Qty Wasted]]*SUMIFS(TblPurchases[Unit Cost (CLP)],TblPurchases[BatchID],TblOutcomes[[#This Row],[BatchID]]))</f>
        <v>10200</v>
      </c>
      <c r="Q1822" s="51">
        <f>IF(COUNTIF(TblPurchases[BatchID],TblOutcomes[[#This Row],[BatchID]])&lt;&gt;1,"n.a.",SUMIFS(TblPurchases[Purchase Date],TblPurchases[BatchID],TblOutcomes[[#This Row],[BatchID]]))</f>
        <v>45752</v>
      </c>
    </row>
    <row r="1823" spans="2:17" x14ac:dyDescent="0.25">
      <c r="B1823" s="2" t="s">
        <v>2628</v>
      </c>
      <c r="C1823" s="2" t="s">
        <v>235</v>
      </c>
      <c r="D1823" s="2" t="s">
        <v>237</v>
      </c>
      <c r="E1823" s="2" t="s">
        <v>4647</v>
      </c>
      <c r="F1823" s="2">
        <v>23</v>
      </c>
      <c r="G1823" s="2">
        <v>23</v>
      </c>
      <c r="H1823" s="2">
        <v>0</v>
      </c>
      <c r="I1823" s="1">
        <v>0</v>
      </c>
      <c r="J1823" s="26">
        <v>45790</v>
      </c>
      <c r="K1823" s="22">
        <v>149500</v>
      </c>
      <c r="L1823" s="18">
        <v>159.88999999999999</v>
      </c>
      <c r="M1823" s="22">
        <v>117300</v>
      </c>
      <c r="N1823" s="22">
        <v>32200</v>
      </c>
      <c r="O1823" s="18">
        <v>34.44</v>
      </c>
      <c r="P1823" s="52">
        <f>IF(COUNTIF(TblPurchases[BatchID],TblOutcomes[[#This Row],[BatchID]])&lt;&gt;1,"n.a.",TblOutcomes[[#This Row],[Qty Wasted]]*SUMIFS(TblPurchases[Unit Cost (CLP)],TblPurchases[BatchID],TblOutcomes[[#This Row],[BatchID]]))</f>
        <v>0</v>
      </c>
      <c r="Q1823" s="51">
        <f>IF(COUNTIF(TblPurchases[BatchID],TblOutcomes[[#This Row],[BatchID]])&lt;&gt;1,"n.a.",SUMIFS(TblPurchases[Purchase Date],TblPurchases[BatchID],TblOutcomes[[#This Row],[BatchID]]))</f>
        <v>45771</v>
      </c>
    </row>
    <row r="1824" spans="2:17" x14ac:dyDescent="0.25">
      <c r="B1824" s="2" t="s">
        <v>2629</v>
      </c>
      <c r="C1824" s="2" t="s">
        <v>235</v>
      </c>
      <c r="D1824" s="2" t="s">
        <v>237</v>
      </c>
      <c r="E1824" s="2" t="s">
        <v>4647</v>
      </c>
      <c r="F1824" s="2">
        <v>21</v>
      </c>
      <c r="G1824" s="2">
        <v>21</v>
      </c>
      <c r="H1824" s="2">
        <v>0</v>
      </c>
      <c r="I1824" s="1">
        <v>0</v>
      </c>
      <c r="J1824" s="26">
        <v>45806</v>
      </c>
      <c r="K1824" s="22">
        <v>136500</v>
      </c>
      <c r="L1824" s="18">
        <v>145.99</v>
      </c>
      <c r="M1824" s="22">
        <v>107100</v>
      </c>
      <c r="N1824" s="22">
        <v>29400</v>
      </c>
      <c r="O1824" s="18">
        <v>31.44</v>
      </c>
      <c r="P1824" s="52">
        <f>IF(COUNTIF(TblPurchases[BatchID],TblOutcomes[[#This Row],[BatchID]])&lt;&gt;1,"n.a.",TblOutcomes[[#This Row],[Qty Wasted]]*SUMIFS(TblPurchases[Unit Cost (CLP)],TblPurchases[BatchID],TblOutcomes[[#This Row],[BatchID]]))</f>
        <v>0</v>
      </c>
      <c r="Q1824" s="51">
        <f>IF(COUNTIF(TblPurchases[BatchID],TblOutcomes[[#This Row],[BatchID]])&lt;&gt;1,"n.a.",SUMIFS(TblPurchases[Purchase Date],TblPurchases[BatchID],TblOutcomes[[#This Row],[BatchID]]))</f>
        <v>45794</v>
      </c>
    </row>
    <row r="1825" spans="2:17" x14ac:dyDescent="0.25">
      <c r="B1825" s="2" t="s">
        <v>2630</v>
      </c>
      <c r="C1825" s="2" t="s">
        <v>235</v>
      </c>
      <c r="D1825" s="2" t="s">
        <v>237</v>
      </c>
      <c r="E1825" s="2" t="s">
        <v>4646</v>
      </c>
      <c r="F1825" s="2">
        <v>22</v>
      </c>
      <c r="G1825" s="2">
        <v>20.88</v>
      </c>
      <c r="H1825" s="2">
        <v>1.1200000000000001</v>
      </c>
      <c r="I1825" s="1">
        <v>5.0999999999999996</v>
      </c>
      <c r="J1825" s="26">
        <v>45994</v>
      </c>
      <c r="K1825" s="22">
        <v>135720</v>
      </c>
      <c r="L1825" s="18">
        <v>145.16</v>
      </c>
      <c r="M1825" s="22">
        <v>104500</v>
      </c>
      <c r="N1825" s="22">
        <v>31220</v>
      </c>
      <c r="O1825" s="18">
        <v>33.39</v>
      </c>
      <c r="P1825" s="52">
        <f>IF(COUNTIF(TblPurchases[BatchID],TblOutcomes[[#This Row],[BatchID]])&lt;&gt;1,"n.a.",TblOutcomes[[#This Row],[Qty Wasted]]*SUMIFS(TblPurchases[Unit Cost (CLP)],TblPurchases[BatchID],TblOutcomes[[#This Row],[BatchID]]))</f>
        <v>5320.0000000000009</v>
      </c>
      <c r="Q1825" s="51">
        <f>IF(COUNTIF(TblPurchases[BatchID],TblOutcomes[[#This Row],[BatchID]])&lt;&gt;1,"n.a.",SUMIFS(TblPurchases[Purchase Date],TblPurchases[BatchID],TblOutcomes[[#This Row],[BatchID]]))</f>
        <v>45814</v>
      </c>
    </row>
    <row r="1826" spans="2:17" x14ac:dyDescent="0.25">
      <c r="B1826" s="2" t="s">
        <v>2631</v>
      </c>
      <c r="C1826" s="2" t="s">
        <v>235</v>
      </c>
      <c r="D1826" s="2" t="s">
        <v>237</v>
      </c>
      <c r="E1826" s="2" t="s">
        <v>4647</v>
      </c>
      <c r="F1826" s="2">
        <v>25</v>
      </c>
      <c r="G1826" s="2">
        <v>25</v>
      </c>
      <c r="H1826" s="2">
        <v>0</v>
      </c>
      <c r="I1826" s="1">
        <v>0</v>
      </c>
      <c r="J1826" s="26">
        <v>45836</v>
      </c>
      <c r="K1826" s="22">
        <v>162500</v>
      </c>
      <c r="L1826" s="18">
        <v>173.8</v>
      </c>
      <c r="M1826" s="22">
        <v>118750</v>
      </c>
      <c r="N1826" s="22">
        <v>43750</v>
      </c>
      <c r="O1826" s="18">
        <v>46.79</v>
      </c>
      <c r="P1826" s="52">
        <f>IF(COUNTIF(TblPurchases[BatchID],TblOutcomes[[#This Row],[BatchID]])&lt;&gt;1,"n.a.",TblOutcomes[[#This Row],[Qty Wasted]]*SUMIFS(TblPurchases[Unit Cost (CLP)],TblPurchases[BatchID],TblOutcomes[[#This Row],[BatchID]]))</f>
        <v>0</v>
      </c>
      <c r="Q1826" s="51">
        <f>IF(COUNTIF(TblPurchases[BatchID],TblOutcomes[[#This Row],[BatchID]])&lt;&gt;1,"n.a.",SUMIFS(TblPurchases[Purchase Date],TblPurchases[BatchID],TblOutcomes[[#This Row],[BatchID]]))</f>
        <v>45832</v>
      </c>
    </row>
    <row r="1827" spans="2:17" x14ac:dyDescent="0.25">
      <c r="B1827" s="2" t="s">
        <v>2632</v>
      </c>
      <c r="C1827" s="2" t="s">
        <v>238</v>
      </c>
      <c r="D1827" s="2" t="s">
        <v>237</v>
      </c>
      <c r="E1827" s="2" t="s">
        <v>4647</v>
      </c>
      <c r="F1827" s="2">
        <v>17</v>
      </c>
      <c r="G1827" s="2">
        <v>17</v>
      </c>
      <c r="H1827" s="2">
        <v>0</v>
      </c>
      <c r="I1827" s="1">
        <v>0</v>
      </c>
      <c r="J1827" s="26">
        <v>45119</v>
      </c>
      <c r="K1827" s="22">
        <v>110500</v>
      </c>
      <c r="L1827" s="18">
        <v>118.18</v>
      </c>
      <c r="M1827" s="22">
        <v>79050</v>
      </c>
      <c r="N1827" s="22">
        <v>31450</v>
      </c>
      <c r="O1827" s="18">
        <v>33.64</v>
      </c>
      <c r="P1827" s="52">
        <f>IF(COUNTIF(TblPurchases[BatchID],TblOutcomes[[#This Row],[BatchID]])&lt;&gt;1,"n.a.",TblOutcomes[[#This Row],[Qty Wasted]]*SUMIFS(TblPurchases[Unit Cost (CLP)],TblPurchases[BatchID],TblOutcomes[[#This Row],[BatchID]]))</f>
        <v>0</v>
      </c>
      <c r="Q1827" s="51">
        <f>IF(COUNTIF(TblPurchases[BatchID],TblOutcomes[[#This Row],[BatchID]])&lt;&gt;1,"n.a.",SUMIFS(TblPurchases[Purchase Date],TblPurchases[BatchID],TblOutcomes[[#This Row],[BatchID]]))</f>
        <v>45111</v>
      </c>
    </row>
    <row r="1828" spans="2:17" x14ac:dyDescent="0.25">
      <c r="B1828" s="2" t="s">
        <v>2633</v>
      </c>
      <c r="C1828" s="2" t="s">
        <v>238</v>
      </c>
      <c r="D1828" s="2" t="s">
        <v>237</v>
      </c>
      <c r="E1828" s="2" t="s">
        <v>4647</v>
      </c>
      <c r="F1828" s="2">
        <v>22</v>
      </c>
      <c r="G1828" s="2">
        <v>22</v>
      </c>
      <c r="H1828" s="2">
        <v>0</v>
      </c>
      <c r="I1828" s="1">
        <v>0</v>
      </c>
      <c r="J1828" s="26">
        <v>45142</v>
      </c>
      <c r="K1828" s="22">
        <v>143000</v>
      </c>
      <c r="L1828" s="18">
        <v>152.94</v>
      </c>
      <c r="M1828" s="22">
        <v>103400</v>
      </c>
      <c r="N1828" s="22">
        <v>39600</v>
      </c>
      <c r="O1828" s="18">
        <v>42.35</v>
      </c>
      <c r="P1828" s="52">
        <f>IF(COUNTIF(TblPurchases[BatchID],TblOutcomes[[#This Row],[BatchID]])&lt;&gt;1,"n.a.",TblOutcomes[[#This Row],[Qty Wasted]]*SUMIFS(TblPurchases[Unit Cost (CLP)],TblPurchases[BatchID],TblOutcomes[[#This Row],[BatchID]]))</f>
        <v>0</v>
      </c>
      <c r="Q1828" s="51">
        <f>IF(COUNTIF(TblPurchases[BatchID],TblOutcomes[[#This Row],[BatchID]])&lt;&gt;1,"n.a.",SUMIFS(TblPurchases[Purchase Date],TblPurchases[BatchID],TblOutcomes[[#This Row],[BatchID]]))</f>
        <v>45131</v>
      </c>
    </row>
    <row r="1829" spans="2:17" x14ac:dyDescent="0.25">
      <c r="B1829" s="2" t="s">
        <v>2634</v>
      </c>
      <c r="C1829" s="2" t="s">
        <v>238</v>
      </c>
      <c r="D1829" s="2" t="s">
        <v>237</v>
      </c>
      <c r="E1829" s="2" t="s">
        <v>4646</v>
      </c>
      <c r="F1829" s="2">
        <v>21</v>
      </c>
      <c r="G1829" s="2">
        <v>19.84</v>
      </c>
      <c r="H1829" s="2">
        <v>1.1599999999999999</v>
      </c>
      <c r="I1829" s="1">
        <v>5.5</v>
      </c>
      <c r="J1829" s="26">
        <v>45333</v>
      </c>
      <c r="K1829" s="22">
        <v>128960</v>
      </c>
      <c r="L1829" s="18">
        <v>137.93</v>
      </c>
      <c r="M1829" s="22">
        <v>97650</v>
      </c>
      <c r="N1829" s="22">
        <v>31310</v>
      </c>
      <c r="O1829" s="18">
        <v>33.49</v>
      </c>
      <c r="P1829" s="52">
        <f>IF(COUNTIF(TblPurchases[BatchID],TblOutcomes[[#This Row],[BatchID]])&lt;&gt;1,"n.a.",TblOutcomes[[#This Row],[Qty Wasted]]*SUMIFS(TblPurchases[Unit Cost (CLP)],TblPurchases[BatchID],TblOutcomes[[#This Row],[BatchID]]))</f>
        <v>5394</v>
      </c>
      <c r="Q1829" s="51">
        <f>IF(COUNTIF(TblPurchases[BatchID],TblOutcomes[[#This Row],[BatchID]])&lt;&gt;1,"n.a.",SUMIFS(TblPurchases[Purchase Date],TblPurchases[BatchID],TblOutcomes[[#This Row],[BatchID]]))</f>
        <v>45153</v>
      </c>
    </row>
    <row r="1830" spans="2:17" x14ac:dyDescent="0.25">
      <c r="B1830" s="2" t="s">
        <v>2635</v>
      </c>
      <c r="C1830" s="2" t="s">
        <v>238</v>
      </c>
      <c r="D1830" s="2" t="s">
        <v>237</v>
      </c>
      <c r="E1830" s="2" t="s">
        <v>4647</v>
      </c>
      <c r="F1830" s="2">
        <v>24</v>
      </c>
      <c r="G1830" s="2">
        <v>24</v>
      </c>
      <c r="H1830" s="2">
        <v>0</v>
      </c>
      <c r="I1830" s="1">
        <v>0</v>
      </c>
      <c r="J1830" s="26">
        <v>45199</v>
      </c>
      <c r="K1830" s="22">
        <v>156000</v>
      </c>
      <c r="L1830" s="18">
        <v>166.84</v>
      </c>
      <c r="M1830" s="22">
        <v>111600</v>
      </c>
      <c r="N1830" s="22">
        <v>44400</v>
      </c>
      <c r="O1830" s="18">
        <v>47.49</v>
      </c>
      <c r="P1830" s="52">
        <f>IF(COUNTIF(TblPurchases[BatchID],TblOutcomes[[#This Row],[BatchID]])&lt;&gt;1,"n.a.",TblOutcomes[[#This Row],[Qty Wasted]]*SUMIFS(TblPurchases[Unit Cost (CLP)],TblPurchases[BatchID],TblOutcomes[[#This Row],[BatchID]]))</f>
        <v>0</v>
      </c>
      <c r="Q1830" s="51">
        <f>IF(COUNTIF(TblPurchases[BatchID],TblOutcomes[[#This Row],[BatchID]])&lt;&gt;1,"n.a.",SUMIFS(TblPurchases[Purchase Date],TblPurchases[BatchID],TblOutcomes[[#This Row],[BatchID]]))</f>
        <v>45176</v>
      </c>
    </row>
    <row r="1831" spans="2:17" x14ac:dyDescent="0.25">
      <c r="B1831" s="2" t="s">
        <v>2636</v>
      </c>
      <c r="C1831" s="2" t="s">
        <v>238</v>
      </c>
      <c r="D1831" s="2" t="s">
        <v>237</v>
      </c>
      <c r="E1831" s="2" t="s">
        <v>4647</v>
      </c>
      <c r="F1831" s="2">
        <v>29</v>
      </c>
      <c r="G1831" s="2">
        <v>29</v>
      </c>
      <c r="H1831" s="2">
        <v>0</v>
      </c>
      <c r="I1831" s="1">
        <v>0</v>
      </c>
      <c r="J1831" s="26">
        <v>45224</v>
      </c>
      <c r="K1831" s="22">
        <v>188500</v>
      </c>
      <c r="L1831" s="18">
        <v>201.6</v>
      </c>
      <c r="M1831" s="22">
        <v>134850</v>
      </c>
      <c r="N1831" s="22">
        <v>53650</v>
      </c>
      <c r="O1831" s="18">
        <v>57.38</v>
      </c>
      <c r="P1831" s="52">
        <f>IF(COUNTIF(TblPurchases[BatchID],TblOutcomes[[#This Row],[BatchID]])&lt;&gt;1,"n.a.",TblOutcomes[[#This Row],[Qty Wasted]]*SUMIFS(TblPurchases[Unit Cost (CLP)],TblPurchases[BatchID],TblOutcomes[[#This Row],[BatchID]]))</f>
        <v>0</v>
      </c>
      <c r="Q1831" s="51">
        <f>IF(COUNTIF(TblPurchases[BatchID],TblOutcomes[[#This Row],[BatchID]])&lt;&gt;1,"n.a.",SUMIFS(TblPurchases[Purchase Date],TblPurchases[BatchID],TblOutcomes[[#This Row],[BatchID]]))</f>
        <v>45197</v>
      </c>
    </row>
    <row r="1832" spans="2:17" x14ac:dyDescent="0.25">
      <c r="B1832" s="2" t="s">
        <v>2637</v>
      </c>
      <c r="C1832" s="2" t="s">
        <v>238</v>
      </c>
      <c r="D1832" s="2" t="s">
        <v>237</v>
      </c>
      <c r="E1832" s="2" t="s">
        <v>4646</v>
      </c>
      <c r="F1832" s="2">
        <v>21</v>
      </c>
      <c r="G1832" s="2">
        <v>20.54</v>
      </c>
      <c r="H1832" s="2">
        <v>0.46</v>
      </c>
      <c r="I1832" s="1">
        <v>2.2000000000000002</v>
      </c>
      <c r="J1832" s="26">
        <v>45401</v>
      </c>
      <c r="K1832" s="22">
        <v>133510</v>
      </c>
      <c r="L1832" s="18">
        <v>142.79</v>
      </c>
      <c r="M1832" s="22">
        <v>97650</v>
      </c>
      <c r="N1832" s="22">
        <v>35860</v>
      </c>
      <c r="O1832" s="18">
        <v>38.35</v>
      </c>
      <c r="P1832" s="52">
        <f>IF(COUNTIF(TblPurchases[BatchID],TblOutcomes[[#This Row],[BatchID]])&lt;&gt;1,"n.a.",TblOutcomes[[#This Row],[Qty Wasted]]*SUMIFS(TblPurchases[Unit Cost (CLP)],TblPurchases[BatchID],TblOutcomes[[#This Row],[BatchID]]))</f>
        <v>2139</v>
      </c>
      <c r="Q1832" s="51">
        <f>IF(COUNTIF(TblPurchases[BatchID],TblOutcomes[[#This Row],[BatchID]])&lt;&gt;1,"n.a.",SUMIFS(TblPurchases[Purchase Date],TblPurchases[BatchID],TblOutcomes[[#This Row],[BatchID]]))</f>
        <v>45221</v>
      </c>
    </row>
    <row r="1833" spans="2:17" x14ac:dyDescent="0.25">
      <c r="B1833" s="2" t="s">
        <v>2638</v>
      </c>
      <c r="C1833" s="2" t="s">
        <v>238</v>
      </c>
      <c r="D1833" s="2" t="s">
        <v>237</v>
      </c>
      <c r="E1833" s="2" t="s">
        <v>4647</v>
      </c>
      <c r="F1833" s="2">
        <v>19</v>
      </c>
      <c r="G1833" s="2">
        <v>19</v>
      </c>
      <c r="H1833" s="2">
        <v>0</v>
      </c>
      <c r="I1833" s="1">
        <v>0</v>
      </c>
      <c r="J1833" s="26">
        <v>45258</v>
      </c>
      <c r="K1833" s="22">
        <v>123500</v>
      </c>
      <c r="L1833" s="18">
        <v>132.09</v>
      </c>
      <c r="M1833" s="22">
        <v>88350</v>
      </c>
      <c r="N1833" s="22">
        <v>35150</v>
      </c>
      <c r="O1833" s="18">
        <v>37.590000000000003</v>
      </c>
      <c r="P1833" s="52">
        <f>IF(COUNTIF(TblPurchases[BatchID],TblOutcomes[[#This Row],[BatchID]])&lt;&gt;1,"n.a.",TblOutcomes[[#This Row],[Qty Wasted]]*SUMIFS(TblPurchases[Unit Cost (CLP)],TblPurchases[BatchID],TblOutcomes[[#This Row],[BatchID]]))</f>
        <v>0</v>
      </c>
      <c r="Q1833" s="51">
        <f>IF(COUNTIF(TblPurchases[BatchID],TblOutcomes[[#This Row],[BatchID]])&lt;&gt;1,"n.a.",SUMIFS(TblPurchases[Purchase Date],TblPurchases[BatchID],TblOutcomes[[#This Row],[BatchID]]))</f>
        <v>45242</v>
      </c>
    </row>
    <row r="1834" spans="2:17" x14ac:dyDescent="0.25">
      <c r="B1834" s="2" t="s">
        <v>2639</v>
      </c>
      <c r="C1834" s="2" t="s">
        <v>238</v>
      </c>
      <c r="D1834" s="2" t="s">
        <v>237</v>
      </c>
      <c r="E1834" s="2" t="s">
        <v>4647</v>
      </c>
      <c r="F1834" s="2">
        <v>27</v>
      </c>
      <c r="G1834" s="2">
        <v>27</v>
      </c>
      <c r="H1834" s="2">
        <v>0</v>
      </c>
      <c r="I1834" s="1">
        <v>0</v>
      </c>
      <c r="J1834" s="26">
        <v>45283</v>
      </c>
      <c r="K1834" s="22">
        <v>175500</v>
      </c>
      <c r="L1834" s="18">
        <v>187.7</v>
      </c>
      <c r="M1834" s="22">
        <v>125550</v>
      </c>
      <c r="N1834" s="22">
        <v>49950</v>
      </c>
      <c r="O1834" s="18">
        <v>53.42</v>
      </c>
      <c r="P1834" s="52">
        <f>IF(COUNTIF(TblPurchases[BatchID],TblOutcomes[[#This Row],[BatchID]])&lt;&gt;1,"n.a.",TblOutcomes[[#This Row],[Qty Wasted]]*SUMIFS(TblPurchases[Unit Cost (CLP)],TblPurchases[BatchID],TblOutcomes[[#This Row],[BatchID]]))</f>
        <v>0</v>
      </c>
      <c r="Q1834" s="51">
        <f>IF(COUNTIF(TblPurchases[BatchID],TblOutcomes[[#This Row],[BatchID]])&lt;&gt;1,"n.a.",SUMIFS(TblPurchases[Purchase Date],TblPurchases[BatchID],TblOutcomes[[#This Row],[BatchID]]))</f>
        <v>45267</v>
      </c>
    </row>
    <row r="1835" spans="2:17" x14ac:dyDescent="0.25">
      <c r="B1835" s="2" t="s">
        <v>2640</v>
      </c>
      <c r="C1835" s="2" t="s">
        <v>238</v>
      </c>
      <c r="D1835" s="2" t="s">
        <v>237</v>
      </c>
      <c r="E1835" s="2" t="s">
        <v>4646</v>
      </c>
      <c r="F1835" s="2">
        <v>24</v>
      </c>
      <c r="G1835" s="2">
        <v>21.79</v>
      </c>
      <c r="H1835" s="2">
        <v>2.21</v>
      </c>
      <c r="I1835" s="1">
        <v>9.1999999999999993</v>
      </c>
      <c r="J1835" s="26">
        <v>45469</v>
      </c>
      <c r="K1835" s="22">
        <v>141635</v>
      </c>
      <c r="L1835" s="18">
        <v>151.47999999999999</v>
      </c>
      <c r="M1835" s="22">
        <v>111600</v>
      </c>
      <c r="N1835" s="22">
        <v>30035</v>
      </c>
      <c r="O1835" s="18">
        <v>32.119999999999997</v>
      </c>
      <c r="P1835" s="52">
        <f>IF(COUNTIF(TblPurchases[BatchID],TblOutcomes[[#This Row],[BatchID]])&lt;&gt;1,"n.a.",TblOutcomes[[#This Row],[Qty Wasted]]*SUMIFS(TblPurchases[Unit Cost (CLP)],TblPurchases[BatchID],TblOutcomes[[#This Row],[BatchID]]))</f>
        <v>10276.5</v>
      </c>
      <c r="Q1835" s="51">
        <f>IF(COUNTIF(TblPurchases[BatchID],TblOutcomes[[#This Row],[BatchID]])&lt;&gt;1,"n.a.",SUMIFS(TblPurchases[Purchase Date],TblPurchases[BatchID],TblOutcomes[[#This Row],[BatchID]]))</f>
        <v>45289</v>
      </c>
    </row>
    <row r="1836" spans="2:17" x14ac:dyDescent="0.25">
      <c r="B1836" s="2" t="s">
        <v>2641</v>
      </c>
      <c r="C1836" s="2" t="s">
        <v>238</v>
      </c>
      <c r="D1836" s="2" t="s">
        <v>237</v>
      </c>
      <c r="E1836" s="2" t="s">
        <v>4646</v>
      </c>
      <c r="F1836" s="2">
        <v>20</v>
      </c>
      <c r="G1836" s="2">
        <v>18.3</v>
      </c>
      <c r="H1836" s="2">
        <v>1.7</v>
      </c>
      <c r="I1836" s="1">
        <v>8.5</v>
      </c>
      <c r="J1836" s="26">
        <v>45483</v>
      </c>
      <c r="K1836" s="22">
        <v>118950</v>
      </c>
      <c r="L1836" s="18">
        <v>127.22</v>
      </c>
      <c r="M1836" s="22">
        <v>94000</v>
      </c>
      <c r="N1836" s="22">
        <v>24950</v>
      </c>
      <c r="O1836" s="18">
        <v>26.68</v>
      </c>
      <c r="P1836" s="52">
        <f>IF(COUNTIF(TblPurchases[BatchID],TblOutcomes[[#This Row],[BatchID]])&lt;&gt;1,"n.a.",TblOutcomes[[#This Row],[Qty Wasted]]*SUMIFS(TblPurchases[Unit Cost (CLP)],TblPurchases[BatchID],TblOutcomes[[#This Row],[BatchID]]))</f>
        <v>7990</v>
      </c>
      <c r="Q1836" s="51">
        <f>IF(COUNTIF(TblPurchases[BatchID],TblOutcomes[[#This Row],[BatchID]])&lt;&gt;1,"n.a.",SUMIFS(TblPurchases[Purchase Date],TblPurchases[BatchID],TblOutcomes[[#This Row],[BatchID]]))</f>
        <v>45303</v>
      </c>
    </row>
    <row r="1837" spans="2:17" x14ac:dyDescent="0.25">
      <c r="B1837" s="2" t="s">
        <v>2642</v>
      </c>
      <c r="C1837" s="2" t="s">
        <v>238</v>
      </c>
      <c r="D1837" s="2" t="s">
        <v>237</v>
      </c>
      <c r="E1837" s="2" t="s">
        <v>4647</v>
      </c>
      <c r="F1837" s="2">
        <v>18</v>
      </c>
      <c r="G1837" s="2">
        <v>18</v>
      </c>
      <c r="H1837" s="2">
        <v>0</v>
      </c>
      <c r="I1837" s="1">
        <v>0</v>
      </c>
      <c r="J1837" s="26">
        <v>45335</v>
      </c>
      <c r="K1837" s="22">
        <v>117000</v>
      </c>
      <c r="L1837" s="18">
        <v>125.13</v>
      </c>
      <c r="M1837" s="22">
        <v>83700</v>
      </c>
      <c r="N1837" s="22">
        <v>33300</v>
      </c>
      <c r="O1837" s="18">
        <v>35.61</v>
      </c>
      <c r="P1837" s="52">
        <f>IF(COUNTIF(TblPurchases[BatchID],TblOutcomes[[#This Row],[BatchID]])&lt;&gt;1,"n.a.",TblOutcomes[[#This Row],[Qty Wasted]]*SUMIFS(TblPurchases[Unit Cost (CLP)],TblPurchases[BatchID],TblOutcomes[[#This Row],[BatchID]]))</f>
        <v>0</v>
      </c>
      <c r="Q1837" s="51">
        <f>IF(COUNTIF(TblPurchases[BatchID],TblOutcomes[[#This Row],[BatchID]])&lt;&gt;1,"n.a.",SUMIFS(TblPurchases[Purchase Date],TblPurchases[BatchID],TblOutcomes[[#This Row],[BatchID]]))</f>
        <v>45317</v>
      </c>
    </row>
    <row r="1838" spans="2:17" x14ac:dyDescent="0.25">
      <c r="B1838" s="2" t="s">
        <v>2643</v>
      </c>
      <c r="C1838" s="2" t="s">
        <v>238</v>
      </c>
      <c r="D1838" s="2" t="s">
        <v>237</v>
      </c>
      <c r="E1838" s="2" t="s">
        <v>4647</v>
      </c>
      <c r="F1838" s="2">
        <v>22</v>
      </c>
      <c r="G1838" s="2">
        <v>22</v>
      </c>
      <c r="H1838" s="2">
        <v>0</v>
      </c>
      <c r="I1838" s="1">
        <v>0</v>
      </c>
      <c r="J1838" s="26">
        <v>45354</v>
      </c>
      <c r="K1838" s="22">
        <v>143000</v>
      </c>
      <c r="L1838" s="18">
        <v>152.94</v>
      </c>
      <c r="M1838" s="22">
        <v>102300</v>
      </c>
      <c r="N1838" s="22">
        <v>40700</v>
      </c>
      <c r="O1838" s="18">
        <v>43.53</v>
      </c>
      <c r="P1838" s="52">
        <f>IF(COUNTIF(TblPurchases[BatchID],TblOutcomes[[#This Row],[BatchID]])&lt;&gt;1,"n.a.",TblOutcomes[[#This Row],[Qty Wasted]]*SUMIFS(TblPurchases[Unit Cost (CLP)],TblPurchases[BatchID],TblOutcomes[[#This Row],[BatchID]]))</f>
        <v>0</v>
      </c>
      <c r="Q1838" s="51">
        <f>IF(COUNTIF(TblPurchases[BatchID],TblOutcomes[[#This Row],[BatchID]])&lt;&gt;1,"n.a.",SUMIFS(TblPurchases[Purchase Date],TblPurchases[BatchID],TblOutcomes[[#This Row],[BatchID]]))</f>
        <v>45338</v>
      </c>
    </row>
    <row r="1839" spans="2:17" x14ac:dyDescent="0.25">
      <c r="B1839" s="2" t="s">
        <v>2644</v>
      </c>
      <c r="C1839" s="2" t="s">
        <v>238</v>
      </c>
      <c r="D1839" s="2" t="s">
        <v>237</v>
      </c>
      <c r="E1839" s="2" t="s">
        <v>4647</v>
      </c>
      <c r="F1839" s="2">
        <v>23</v>
      </c>
      <c r="G1839" s="2">
        <v>23</v>
      </c>
      <c r="H1839" s="2">
        <v>0</v>
      </c>
      <c r="I1839" s="1">
        <v>0</v>
      </c>
      <c r="J1839" s="26">
        <v>45376</v>
      </c>
      <c r="K1839" s="22">
        <v>149500</v>
      </c>
      <c r="L1839" s="18">
        <v>159.88999999999999</v>
      </c>
      <c r="M1839" s="22">
        <v>108100</v>
      </c>
      <c r="N1839" s="22">
        <v>41400</v>
      </c>
      <c r="O1839" s="18">
        <v>44.28</v>
      </c>
      <c r="P1839" s="52">
        <f>IF(COUNTIF(TblPurchases[BatchID],TblOutcomes[[#This Row],[BatchID]])&lt;&gt;1,"n.a.",TblOutcomes[[#This Row],[Qty Wasted]]*SUMIFS(TblPurchases[Unit Cost (CLP)],TblPurchases[BatchID],TblOutcomes[[#This Row],[BatchID]]))</f>
        <v>0</v>
      </c>
      <c r="Q1839" s="51">
        <f>IF(COUNTIF(TblPurchases[BatchID],TblOutcomes[[#This Row],[BatchID]])&lt;&gt;1,"n.a.",SUMIFS(TblPurchases[Purchase Date],TblPurchases[BatchID],TblOutcomes[[#This Row],[BatchID]]))</f>
        <v>45358</v>
      </c>
    </row>
    <row r="1840" spans="2:17" x14ac:dyDescent="0.25">
      <c r="B1840" s="2" t="s">
        <v>2645</v>
      </c>
      <c r="C1840" s="2" t="s">
        <v>238</v>
      </c>
      <c r="D1840" s="2" t="s">
        <v>237</v>
      </c>
      <c r="E1840" s="2" t="s">
        <v>4646</v>
      </c>
      <c r="F1840" s="2">
        <v>18</v>
      </c>
      <c r="G1840" s="2">
        <v>17.690000000000001</v>
      </c>
      <c r="H1840" s="2">
        <v>0.31</v>
      </c>
      <c r="I1840" s="1">
        <v>1.7</v>
      </c>
      <c r="J1840" s="26">
        <v>45564</v>
      </c>
      <c r="K1840" s="22">
        <v>114985</v>
      </c>
      <c r="L1840" s="18">
        <v>122.98</v>
      </c>
      <c r="M1840" s="22">
        <v>83700</v>
      </c>
      <c r="N1840" s="22">
        <v>31285</v>
      </c>
      <c r="O1840" s="18">
        <v>33.46</v>
      </c>
      <c r="P1840" s="52">
        <f>IF(COUNTIF(TblPurchases[BatchID],TblOutcomes[[#This Row],[BatchID]])&lt;&gt;1,"n.a.",TblOutcomes[[#This Row],[Qty Wasted]]*SUMIFS(TblPurchases[Unit Cost (CLP)],TblPurchases[BatchID],TblOutcomes[[#This Row],[BatchID]]))</f>
        <v>1441.5</v>
      </c>
      <c r="Q1840" s="51">
        <f>IF(COUNTIF(TblPurchases[BatchID],TblOutcomes[[#This Row],[BatchID]])&lt;&gt;1,"n.a.",SUMIFS(TblPurchases[Purchase Date],TblPurchases[BatchID],TblOutcomes[[#This Row],[BatchID]]))</f>
        <v>45384</v>
      </c>
    </row>
    <row r="1841" spans="2:17" x14ac:dyDescent="0.25">
      <c r="B1841" s="2" t="s">
        <v>2646</v>
      </c>
      <c r="C1841" s="2" t="s">
        <v>238</v>
      </c>
      <c r="D1841" s="2" t="s">
        <v>237</v>
      </c>
      <c r="E1841" s="2" t="s">
        <v>4647</v>
      </c>
      <c r="F1841" s="2">
        <v>22</v>
      </c>
      <c r="G1841" s="2">
        <v>22</v>
      </c>
      <c r="H1841" s="2">
        <v>0</v>
      </c>
      <c r="I1841" s="1">
        <v>0</v>
      </c>
      <c r="J1841" s="26">
        <v>45423</v>
      </c>
      <c r="K1841" s="22">
        <v>143000</v>
      </c>
      <c r="L1841" s="18">
        <v>152.94</v>
      </c>
      <c r="M1841" s="22">
        <v>102300</v>
      </c>
      <c r="N1841" s="22">
        <v>40700</v>
      </c>
      <c r="O1841" s="18">
        <v>43.53</v>
      </c>
      <c r="P1841" s="52">
        <f>IF(COUNTIF(TblPurchases[BatchID],TblOutcomes[[#This Row],[BatchID]])&lt;&gt;1,"n.a.",TblOutcomes[[#This Row],[Qty Wasted]]*SUMIFS(TblPurchases[Unit Cost (CLP)],TblPurchases[BatchID],TblOutcomes[[#This Row],[BatchID]]))</f>
        <v>0</v>
      </c>
      <c r="Q1841" s="51">
        <f>IF(COUNTIF(TblPurchases[BatchID],TblOutcomes[[#This Row],[BatchID]])&lt;&gt;1,"n.a.",SUMIFS(TblPurchases[Purchase Date],TblPurchases[BatchID],TblOutcomes[[#This Row],[BatchID]]))</f>
        <v>45404</v>
      </c>
    </row>
    <row r="1842" spans="2:17" x14ac:dyDescent="0.25">
      <c r="B1842" s="2" t="s">
        <v>2647</v>
      </c>
      <c r="C1842" s="2" t="s">
        <v>238</v>
      </c>
      <c r="D1842" s="2" t="s">
        <v>237</v>
      </c>
      <c r="E1842" s="2" t="s">
        <v>4646</v>
      </c>
      <c r="F1842" s="2">
        <v>22</v>
      </c>
      <c r="G1842" s="2">
        <v>21.27</v>
      </c>
      <c r="H1842" s="2">
        <v>0.73</v>
      </c>
      <c r="I1842" s="1">
        <v>3.3</v>
      </c>
      <c r="J1842" s="26">
        <v>45604</v>
      </c>
      <c r="K1842" s="22">
        <v>138255</v>
      </c>
      <c r="L1842" s="18">
        <v>147.87</v>
      </c>
      <c r="M1842" s="22">
        <v>102300</v>
      </c>
      <c r="N1842" s="22">
        <v>35955</v>
      </c>
      <c r="O1842" s="18">
        <v>38.450000000000003</v>
      </c>
      <c r="P1842" s="52">
        <f>IF(COUNTIF(TblPurchases[BatchID],TblOutcomes[[#This Row],[BatchID]])&lt;&gt;1,"n.a.",TblOutcomes[[#This Row],[Qty Wasted]]*SUMIFS(TblPurchases[Unit Cost (CLP)],TblPurchases[BatchID],TblOutcomes[[#This Row],[BatchID]]))</f>
        <v>3394.5</v>
      </c>
      <c r="Q1842" s="51">
        <f>IF(COUNTIF(TblPurchases[BatchID],TblOutcomes[[#This Row],[BatchID]])&lt;&gt;1,"n.a.",SUMIFS(TblPurchases[Purchase Date],TblPurchases[BatchID],TblOutcomes[[#This Row],[BatchID]]))</f>
        <v>45424</v>
      </c>
    </row>
    <row r="1843" spans="2:17" x14ac:dyDescent="0.25">
      <c r="B1843" s="2" t="s">
        <v>2648</v>
      </c>
      <c r="C1843" s="2" t="s">
        <v>238</v>
      </c>
      <c r="D1843" s="2" t="s">
        <v>237</v>
      </c>
      <c r="E1843" s="2" t="s">
        <v>4647</v>
      </c>
      <c r="F1843" s="2">
        <v>21</v>
      </c>
      <c r="G1843" s="2">
        <v>21</v>
      </c>
      <c r="H1843" s="2">
        <v>0</v>
      </c>
      <c r="I1843" s="1">
        <v>0</v>
      </c>
      <c r="J1843" s="26">
        <v>45455</v>
      </c>
      <c r="K1843" s="22">
        <v>136500</v>
      </c>
      <c r="L1843" s="18">
        <v>145.99</v>
      </c>
      <c r="M1843" s="22">
        <v>97650</v>
      </c>
      <c r="N1843" s="22">
        <v>38850</v>
      </c>
      <c r="O1843" s="18">
        <v>41.55</v>
      </c>
      <c r="P1843" s="52">
        <f>IF(COUNTIF(TblPurchases[BatchID],TblOutcomes[[#This Row],[BatchID]])&lt;&gt;1,"n.a.",TblOutcomes[[#This Row],[Qty Wasted]]*SUMIFS(TblPurchases[Unit Cost (CLP)],TblPurchases[BatchID],TblOutcomes[[#This Row],[BatchID]]))</f>
        <v>0</v>
      </c>
      <c r="Q1843" s="51">
        <f>IF(COUNTIF(TblPurchases[BatchID],TblOutcomes[[#This Row],[BatchID]])&lt;&gt;1,"n.a.",SUMIFS(TblPurchases[Purchase Date],TblPurchases[BatchID],TblOutcomes[[#This Row],[BatchID]]))</f>
        <v>45436</v>
      </c>
    </row>
    <row r="1844" spans="2:17" x14ac:dyDescent="0.25">
      <c r="B1844" s="2" t="s">
        <v>2649</v>
      </c>
      <c r="C1844" s="2" t="s">
        <v>238</v>
      </c>
      <c r="D1844" s="2" t="s">
        <v>237</v>
      </c>
      <c r="E1844" s="2" t="s">
        <v>4646</v>
      </c>
      <c r="F1844" s="2">
        <v>19</v>
      </c>
      <c r="G1844" s="2">
        <v>17.989999999999998</v>
      </c>
      <c r="H1844" s="2">
        <v>1.01</v>
      </c>
      <c r="I1844" s="1">
        <v>5.3</v>
      </c>
      <c r="J1844" s="26">
        <v>45631</v>
      </c>
      <c r="K1844" s="22">
        <v>116935</v>
      </c>
      <c r="L1844" s="18">
        <v>125.06</v>
      </c>
      <c r="M1844" s="22">
        <v>88350</v>
      </c>
      <c r="N1844" s="22">
        <v>28585</v>
      </c>
      <c r="O1844" s="18">
        <v>30.57</v>
      </c>
      <c r="P1844" s="52">
        <f>IF(COUNTIF(TblPurchases[BatchID],TblOutcomes[[#This Row],[BatchID]])&lt;&gt;1,"n.a.",TblOutcomes[[#This Row],[Qty Wasted]]*SUMIFS(TblPurchases[Unit Cost (CLP)],TblPurchases[BatchID],TblOutcomes[[#This Row],[BatchID]]))</f>
        <v>4696.5</v>
      </c>
      <c r="Q1844" s="51">
        <f>IF(COUNTIF(TblPurchases[BatchID],TblOutcomes[[#This Row],[BatchID]])&lt;&gt;1,"n.a.",SUMIFS(TblPurchases[Purchase Date],TblPurchases[BatchID],TblOutcomes[[#This Row],[BatchID]]))</f>
        <v>45451</v>
      </c>
    </row>
    <row r="1845" spans="2:17" x14ac:dyDescent="0.25">
      <c r="B1845" s="2" t="s">
        <v>2650</v>
      </c>
      <c r="C1845" s="2" t="s">
        <v>238</v>
      </c>
      <c r="D1845" s="2" t="s">
        <v>237</v>
      </c>
      <c r="E1845" s="2" t="s">
        <v>4646</v>
      </c>
      <c r="F1845" s="2">
        <v>19</v>
      </c>
      <c r="G1845" s="2">
        <v>17.57</v>
      </c>
      <c r="H1845" s="2">
        <v>1.43</v>
      </c>
      <c r="I1845" s="1">
        <v>7.5</v>
      </c>
      <c r="J1845" s="26">
        <v>45650</v>
      </c>
      <c r="K1845" s="22">
        <v>114205</v>
      </c>
      <c r="L1845" s="18">
        <v>122.14</v>
      </c>
      <c r="M1845" s="22">
        <v>88350</v>
      </c>
      <c r="N1845" s="22">
        <v>25855</v>
      </c>
      <c r="O1845" s="18">
        <v>27.65</v>
      </c>
      <c r="P1845" s="52">
        <f>IF(COUNTIF(TblPurchases[BatchID],TblOutcomes[[#This Row],[BatchID]])&lt;&gt;1,"n.a.",TblOutcomes[[#This Row],[Qty Wasted]]*SUMIFS(TblPurchases[Unit Cost (CLP)],TblPurchases[BatchID],TblOutcomes[[#This Row],[BatchID]]))</f>
        <v>6649.5</v>
      </c>
      <c r="Q1845" s="51">
        <f>IF(COUNTIF(TblPurchases[BatchID],TblOutcomes[[#This Row],[BatchID]])&lt;&gt;1,"n.a.",SUMIFS(TblPurchases[Purchase Date],TblPurchases[BatchID],TblOutcomes[[#This Row],[BatchID]]))</f>
        <v>45470</v>
      </c>
    </row>
    <row r="1846" spans="2:17" x14ac:dyDescent="0.25">
      <c r="B1846" s="2" t="s">
        <v>2651</v>
      </c>
      <c r="C1846" s="2" t="s">
        <v>238</v>
      </c>
      <c r="D1846" s="2" t="s">
        <v>237</v>
      </c>
      <c r="E1846" s="2" t="s">
        <v>4647</v>
      </c>
      <c r="F1846" s="2">
        <v>17</v>
      </c>
      <c r="G1846" s="2">
        <v>17</v>
      </c>
      <c r="H1846" s="2">
        <v>0</v>
      </c>
      <c r="I1846" s="1">
        <v>0</v>
      </c>
      <c r="J1846" s="26">
        <v>45498</v>
      </c>
      <c r="K1846" s="22">
        <v>110500</v>
      </c>
      <c r="L1846" s="18">
        <v>118.18</v>
      </c>
      <c r="M1846" s="22">
        <v>79050</v>
      </c>
      <c r="N1846" s="22">
        <v>31450</v>
      </c>
      <c r="O1846" s="18">
        <v>33.64</v>
      </c>
      <c r="P1846" s="52">
        <f>IF(COUNTIF(TblPurchases[BatchID],TblOutcomes[[#This Row],[BatchID]])&lt;&gt;1,"n.a.",TblOutcomes[[#This Row],[Qty Wasted]]*SUMIFS(TblPurchases[Unit Cost (CLP)],TblPurchases[BatchID],TblOutcomes[[#This Row],[BatchID]]))</f>
        <v>0</v>
      </c>
      <c r="Q1846" s="51">
        <f>IF(COUNTIF(TblPurchases[BatchID],TblOutcomes[[#This Row],[BatchID]])&lt;&gt;1,"n.a.",SUMIFS(TblPurchases[Purchase Date],TblPurchases[BatchID],TblOutcomes[[#This Row],[BatchID]]))</f>
        <v>45490</v>
      </c>
    </row>
    <row r="1847" spans="2:17" x14ac:dyDescent="0.25">
      <c r="B1847" s="2" t="s">
        <v>2652</v>
      </c>
      <c r="C1847" s="2" t="s">
        <v>238</v>
      </c>
      <c r="D1847" s="2" t="s">
        <v>237</v>
      </c>
      <c r="E1847" s="2" t="s">
        <v>4646</v>
      </c>
      <c r="F1847" s="2">
        <v>23</v>
      </c>
      <c r="G1847" s="2">
        <v>22.63</v>
      </c>
      <c r="H1847" s="2">
        <v>0.37</v>
      </c>
      <c r="I1847" s="1">
        <v>1.6</v>
      </c>
      <c r="J1847" s="26">
        <v>45688</v>
      </c>
      <c r="K1847" s="22">
        <v>147095</v>
      </c>
      <c r="L1847" s="18">
        <v>157.32</v>
      </c>
      <c r="M1847" s="22">
        <v>106950</v>
      </c>
      <c r="N1847" s="22">
        <v>40145</v>
      </c>
      <c r="O1847" s="18">
        <v>42.94</v>
      </c>
      <c r="P1847" s="52">
        <f>IF(COUNTIF(TblPurchases[BatchID],TblOutcomes[[#This Row],[BatchID]])&lt;&gt;1,"n.a.",TblOutcomes[[#This Row],[Qty Wasted]]*SUMIFS(TblPurchases[Unit Cost (CLP)],TblPurchases[BatchID],TblOutcomes[[#This Row],[BatchID]]))</f>
        <v>1720.5</v>
      </c>
      <c r="Q1847" s="51">
        <f>IF(COUNTIF(TblPurchases[BatchID],TblOutcomes[[#This Row],[BatchID]])&lt;&gt;1,"n.a.",SUMIFS(TblPurchases[Purchase Date],TblPurchases[BatchID],TblOutcomes[[#This Row],[BatchID]]))</f>
        <v>45508</v>
      </c>
    </row>
    <row r="1848" spans="2:17" x14ac:dyDescent="0.25">
      <c r="B1848" s="2" t="s">
        <v>2653</v>
      </c>
      <c r="C1848" s="2" t="s">
        <v>238</v>
      </c>
      <c r="D1848" s="2" t="s">
        <v>237</v>
      </c>
      <c r="E1848" s="2" t="s">
        <v>4646</v>
      </c>
      <c r="F1848" s="2">
        <v>22</v>
      </c>
      <c r="G1848" s="2">
        <v>21.12</v>
      </c>
      <c r="H1848" s="2">
        <v>0.88</v>
      </c>
      <c r="I1848" s="1">
        <v>4</v>
      </c>
      <c r="J1848" s="26">
        <v>45709</v>
      </c>
      <c r="K1848" s="22">
        <v>137280</v>
      </c>
      <c r="L1848" s="18">
        <v>146.82</v>
      </c>
      <c r="M1848" s="22">
        <v>102300</v>
      </c>
      <c r="N1848" s="22">
        <v>34980</v>
      </c>
      <c r="O1848" s="18">
        <v>37.409999999999997</v>
      </c>
      <c r="P1848" s="52">
        <f>IF(COUNTIF(TblPurchases[BatchID],TblOutcomes[[#This Row],[BatchID]])&lt;&gt;1,"n.a.",TblOutcomes[[#This Row],[Qty Wasted]]*SUMIFS(TblPurchases[Unit Cost (CLP)],TblPurchases[BatchID],TblOutcomes[[#This Row],[BatchID]]))</f>
        <v>4092</v>
      </c>
      <c r="Q1848" s="51">
        <f>IF(COUNTIF(TblPurchases[BatchID],TblOutcomes[[#This Row],[BatchID]])&lt;&gt;1,"n.a.",SUMIFS(TblPurchases[Purchase Date],TblPurchases[BatchID],TblOutcomes[[#This Row],[BatchID]]))</f>
        <v>45529</v>
      </c>
    </row>
    <row r="1849" spans="2:17" x14ac:dyDescent="0.25">
      <c r="B1849" s="2" t="s">
        <v>2654</v>
      </c>
      <c r="C1849" s="2" t="s">
        <v>238</v>
      </c>
      <c r="D1849" s="2" t="s">
        <v>237</v>
      </c>
      <c r="E1849" s="2" t="s">
        <v>4647</v>
      </c>
      <c r="F1849" s="2">
        <v>25</v>
      </c>
      <c r="G1849" s="2">
        <v>25</v>
      </c>
      <c r="H1849" s="2">
        <v>0</v>
      </c>
      <c r="I1849" s="1">
        <v>0</v>
      </c>
      <c r="J1849" s="26">
        <v>45563</v>
      </c>
      <c r="K1849" s="22">
        <v>162500</v>
      </c>
      <c r="L1849" s="18">
        <v>173.8</v>
      </c>
      <c r="M1849" s="22">
        <v>116250</v>
      </c>
      <c r="N1849" s="22">
        <v>46250</v>
      </c>
      <c r="O1849" s="18">
        <v>49.47</v>
      </c>
      <c r="P1849" s="52">
        <f>IF(COUNTIF(TblPurchases[BatchID],TblOutcomes[[#This Row],[BatchID]])&lt;&gt;1,"n.a.",TblOutcomes[[#This Row],[Qty Wasted]]*SUMIFS(TblPurchases[Unit Cost (CLP)],TblPurchases[BatchID],TblOutcomes[[#This Row],[BatchID]]))</f>
        <v>0</v>
      </c>
      <c r="Q1849" s="51">
        <f>IF(COUNTIF(TblPurchases[BatchID],TblOutcomes[[#This Row],[BatchID]])&lt;&gt;1,"n.a.",SUMIFS(TblPurchases[Purchase Date],TblPurchases[BatchID],TblOutcomes[[#This Row],[BatchID]]))</f>
        <v>45549</v>
      </c>
    </row>
    <row r="1850" spans="2:17" x14ac:dyDescent="0.25">
      <c r="B1850" s="2" t="s">
        <v>2655</v>
      </c>
      <c r="C1850" s="2" t="s">
        <v>238</v>
      </c>
      <c r="D1850" s="2" t="s">
        <v>237</v>
      </c>
      <c r="E1850" s="2" t="s">
        <v>4647</v>
      </c>
      <c r="F1850" s="2">
        <v>24</v>
      </c>
      <c r="G1850" s="2">
        <v>24</v>
      </c>
      <c r="H1850" s="2">
        <v>0</v>
      </c>
      <c r="I1850" s="1">
        <v>0</v>
      </c>
      <c r="J1850" s="26">
        <v>45588</v>
      </c>
      <c r="K1850" s="22">
        <v>156000</v>
      </c>
      <c r="L1850" s="18">
        <v>166.84</v>
      </c>
      <c r="M1850" s="22">
        <v>111600</v>
      </c>
      <c r="N1850" s="22">
        <v>44400</v>
      </c>
      <c r="O1850" s="18">
        <v>47.49</v>
      </c>
      <c r="P1850" s="52">
        <f>IF(COUNTIF(TblPurchases[BatchID],TblOutcomes[[#This Row],[BatchID]])&lt;&gt;1,"n.a.",TblOutcomes[[#This Row],[Qty Wasted]]*SUMIFS(TblPurchases[Unit Cost (CLP)],TblPurchases[BatchID],TblOutcomes[[#This Row],[BatchID]]))</f>
        <v>0</v>
      </c>
      <c r="Q1850" s="51">
        <f>IF(COUNTIF(TblPurchases[BatchID],TblOutcomes[[#This Row],[BatchID]])&lt;&gt;1,"n.a.",SUMIFS(TblPurchases[Purchase Date],TblPurchases[BatchID],TblOutcomes[[#This Row],[BatchID]]))</f>
        <v>45564</v>
      </c>
    </row>
    <row r="1851" spans="2:17" x14ac:dyDescent="0.25">
      <c r="B1851" s="2" t="s">
        <v>2656</v>
      </c>
      <c r="C1851" s="2" t="s">
        <v>238</v>
      </c>
      <c r="D1851" s="2" t="s">
        <v>237</v>
      </c>
      <c r="E1851" s="2" t="s">
        <v>4647</v>
      </c>
      <c r="F1851" s="2">
        <v>19</v>
      </c>
      <c r="G1851" s="2">
        <v>19</v>
      </c>
      <c r="H1851" s="2">
        <v>0</v>
      </c>
      <c r="I1851" s="1">
        <v>0</v>
      </c>
      <c r="J1851" s="26">
        <v>45609</v>
      </c>
      <c r="K1851" s="22">
        <v>123500</v>
      </c>
      <c r="L1851" s="18">
        <v>132.09</v>
      </c>
      <c r="M1851" s="22">
        <v>88350</v>
      </c>
      <c r="N1851" s="22">
        <v>35150</v>
      </c>
      <c r="O1851" s="18">
        <v>37.590000000000003</v>
      </c>
      <c r="P1851" s="52">
        <f>IF(COUNTIF(TblPurchases[BatchID],TblOutcomes[[#This Row],[BatchID]])&lt;&gt;1,"n.a.",TblOutcomes[[#This Row],[Qty Wasted]]*SUMIFS(TblPurchases[Unit Cost (CLP)],TblPurchases[BatchID],TblOutcomes[[#This Row],[BatchID]]))</f>
        <v>0</v>
      </c>
      <c r="Q1851" s="51">
        <f>IF(COUNTIF(TblPurchases[BatchID],TblOutcomes[[#This Row],[BatchID]])&lt;&gt;1,"n.a.",SUMIFS(TblPurchases[Purchase Date],TblPurchases[BatchID],TblOutcomes[[#This Row],[BatchID]]))</f>
        <v>45584</v>
      </c>
    </row>
    <row r="1852" spans="2:17" x14ac:dyDescent="0.25">
      <c r="B1852" s="2" t="s">
        <v>2657</v>
      </c>
      <c r="C1852" s="2" t="s">
        <v>238</v>
      </c>
      <c r="D1852" s="2" t="s">
        <v>237</v>
      </c>
      <c r="E1852" s="2" t="s">
        <v>4646</v>
      </c>
      <c r="F1852" s="2">
        <v>21</v>
      </c>
      <c r="G1852" s="2">
        <v>19.149999999999999</v>
      </c>
      <c r="H1852" s="2">
        <v>1.85</v>
      </c>
      <c r="I1852" s="1">
        <v>8.8000000000000007</v>
      </c>
      <c r="J1852" s="26">
        <v>45781</v>
      </c>
      <c r="K1852" s="22">
        <v>124475</v>
      </c>
      <c r="L1852" s="18">
        <v>133.13</v>
      </c>
      <c r="M1852" s="22">
        <v>97650</v>
      </c>
      <c r="N1852" s="22">
        <v>26825</v>
      </c>
      <c r="O1852" s="18">
        <v>28.69</v>
      </c>
      <c r="P1852" s="52">
        <f>IF(COUNTIF(TblPurchases[BatchID],TblOutcomes[[#This Row],[BatchID]])&lt;&gt;1,"n.a.",TblOutcomes[[#This Row],[Qty Wasted]]*SUMIFS(TblPurchases[Unit Cost (CLP)],TblPurchases[BatchID],TblOutcomes[[#This Row],[BatchID]]))</f>
        <v>8602.5</v>
      </c>
      <c r="Q1852" s="51">
        <f>IF(COUNTIF(TblPurchases[BatchID],TblOutcomes[[#This Row],[BatchID]])&lt;&gt;1,"n.a.",SUMIFS(TblPurchases[Purchase Date],TblPurchases[BatchID],TblOutcomes[[#This Row],[BatchID]]))</f>
        <v>45601</v>
      </c>
    </row>
    <row r="1853" spans="2:17" x14ac:dyDescent="0.25">
      <c r="B1853" s="2" t="s">
        <v>2658</v>
      </c>
      <c r="C1853" s="2" t="s">
        <v>238</v>
      </c>
      <c r="D1853" s="2" t="s">
        <v>237</v>
      </c>
      <c r="E1853" s="2" t="s">
        <v>4647</v>
      </c>
      <c r="F1853" s="2">
        <v>18</v>
      </c>
      <c r="G1853" s="2">
        <v>18</v>
      </c>
      <c r="H1853" s="2">
        <v>0</v>
      </c>
      <c r="I1853" s="1">
        <v>0</v>
      </c>
      <c r="J1853" s="26">
        <v>45640</v>
      </c>
      <c r="K1853" s="22">
        <v>117000</v>
      </c>
      <c r="L1853" s="18">
        <v>125.13</v>
      </c>
      <c r="M1853" s="22">
        <v>83700</v>
      </c>
      <c r="N1853" s="22">
        <v>33300</v>
      </c>
      <c r="O1853" s="18">
        <v>35.61</v>
      </c>
      <c r="P1853" s="52">
        <f>IF(COUNTIF(TblPurchases[BatchID],TblOutcomes[[#This Row],[BatchID]])&lt;&gt;1,"n.a.",TblOutcomes[[#This Row],[Qty Wasted]]*SUMIFS(TblPurchases[Unit Cost (CLP)],TblPurchases[BatchID],TblOutcomes[[#This Row],[BatchID]]))</f>
        <v>0</v>
      </c>
      <c r="Q1853" s="51">
        <f>IF(COUNTIF(TblPurchases[BatchID],TblOutcomes[[#This Row],[BatchID]])&lt;&gt;1,"n.a.",SUMIFS(TblPurchases[Purchase Date],TblPurchases[BatchID],TblOutcomes[[#This Row],[BatchID]]))</f>
        <v>45623</v>
      </c>
    </row>
    <row r="1854" spans="2:17" x14ac:dyDescent="0.25">
      <c r="B1854" s="2" t="s">
        <v>2659</v>
      </c>
      <c r="C1854" s="2" t="s">
        <v>238</v>
      </c>
      <c r="D1854" s="2" t="s">
        <v>237</v>
      </c>
      <c r="E1854" s="2" t="s">
        <v>4646</v>
      </c>
      <c r="F1854" s="2">
        <v>24</v>
      </c>
      <c r="G1854" s="2">
        <v>21.62</v>
      </c>
      <c r="H1854" s="2">
        <v>2.38</v>
      </c>
      <c r="I1854" s="1">
        <v>9.9</v>
      </c>
      <c r="J1854" s="26">
        <v>45826</v>
      </c>
      <c r="K1854" s="22">
        <v>140530</v>
      </c>
      <c r="L1854" s="18">
        <v>150.30000000000001</v>
      </c>
      <c r="M1854" s="22">
        <v>111600</v>
      </c>
      <c r="N1854" s="22">
        <v>28930</v>
      </c>
      <c r="O1854" s="18">
        <v>30.94</v>
      </c>
      <c r="P1854" s="52">
        <f>IF(COUNTIF(TblPurchases[BatchID],TblOutcomes[[#This Row],[BatchID]])&lt;&gt;1,"n.a.",TblOutcomes[[#This Row],[Qty Wasted]]*SUMIFS(TblPurchases[Unit Cost (CLP)],TblPurchases[BatchID],TblOutcomes[[#This Row],[BatchID]]))</f>
        <v>11067</v>
      </c>
      <c r="Q1854" s="51">
        <f>IF(COUNTIF(TblPurchases[BatchID],TblOutcomes[[#This Row],[BatchID]])&lt;&gt;1,"n.a.",SUMIFS(TblPurchases[Purchase Date],TblPurchases[BatchID],TblOutcomes[[#This Row],[BatchID]]))</f>
        <v>45646</v>
      </c>
    </row>
    <row r="1855" spans="2:17" x14ac:dyDescent="0.25">
      <c r="B1855" s="2" t="s">
        <v>2660</v>
      </c>
      <c r="C1855" s="2" t="s">
        <v>238</v>
      </c>
      <c r="D1855" s="2" t="s">
        <v>237</v>
      </c>
      <c r="E1855" s="2" t="s">
        <v>4647</v>
      </c>
      <c r="F1855" s="2">
        <v>22</v>
      </c>
      <c r="G1855" s="2">
        <v>22</v>
      </c>
      <c r="H1855" s="2">
        <v>0</v>
      </c>
      <c r="I1855" s="1">
        <v>0</v>
      </c>
      <c r="J1855" s="26">
        <v>45680</v>
      </c>
      <c r="K1855" s="22">
        <v>143000</v>
      </c>
      <c r="L1855" s="18">
        <v>152.94</v>
      </c>
      <c r="M1855" s="22">
        <v>102300</v>
      </c>
      <c r="N1855" s="22">
        <v>40700</v>
      </c>
      <c r="O1855" s="18">
        <v>43.53</v>
      </c>
      <c r="P1855" s="52">
        <f>IF(COUNTIF(TblPurchases[BatchID],TblOutcomes[[#This Row],[BatchID]])&lt;&gt;1,"n.a.",TblOutcomes[[#This Row],[Qty Wasted]]*SUMIFS(TblPurchases[Unit Cost (CLP)],TblPurchases[BatchID],TblOutcomes[[#This Row],[BatchID]]))</f>
        <v>0</v>
      </c>
      <c r="Q1855" s="51">
        <f>IF(COUNTIF(TblPurchases[BatchID],TblOutcomes[[#This Row],[BatchID]])&lt;&gt;1,"n.a.",SUMIFS(TblPurchases[Purchase Date],TblPurchases[BatchID],TblOutcomes[[#This Row],[BatchID]]))</f>
        <v>45670</v>
      </c>
    </row>
    <row r="1856" spans="2:17" x14ac:dyDescent="0.25">
      <c r="B1856" s="2" t="s">
        <v>2661</v>
      </c>
      <c r="C1856" s="2" t="s">
        <v>238</v>
      </c>
      <c r="D1856" s="2" t="s">
        <v>237</v>
      </c>
      <c r="E1856" s="2" t="s">
        <v>4647</v>
      </c>
      <c r="F1856" s="2">
        <v>21</v>
      </c>
      <c r="G1856" s="2">
        <v>21</v>
      </c>
      <c r="H1856" s="2">
        <v>0</v>
      </c>
      <c r="I1856" s="1">
        <v>0</v>
      </c>
      <c r="J1856" s="26">
        <v>45715</v>
      </c>
      <c r="K1856" s="22">
        <v>136500</v>
      </c>
      <c r="L1856" s="18">
        <v>145.99</v>
      </c>
      <c r="M1856" s="22">
        <v>97650</v>
      </c>
      <c r="N1856" s="22">
        <v>38850</v>
      </c>
      <c r="O1856" s="18">
        <v>41.55</v>
      </c>
      <c r="P1856" s="52">
        <f>IF(COUNTIF(TblPurchases[BatchID],TblOutcomes[[#This Row],[BatchID]])&lt;&gt;1,"n.a.",TblOutcomes[[#This Row],[Qty Wasted]]*SUMIFS(TblPurchases[Unit Cost (CLP)],TblPurchases[BatchID],TblOutcomes[[#This Row],[BatchID]]))</f>
        <v>0</v>
      </c>
      <c r="Q1856" s="51">
        <f>IF(COUNTIF(TblPurchases[BatchID],TblOutcomes[[#This Row],[BatchID]])&lt;&gt;1,"n.a.",SUMIFS(TblPurchases[Purchase Date],TblPurchases[BatchID],TblOutcomes[[#This Row],[BatchID]]))</f>
        <v>45690</v>
      </c>
    </row>
    <row r="1857" spans="2:17" x14ac:dyDescent="0.25">
      <c r="B1857" s="2" t="s">
        <v>2662</v>
      </c>
      <c r="C1857" s="2" t="s">
        <v>238</v>
      </c>
      <c r="D1857" s="2" t="s">
        <v>237</v>
      </c>
      <c r="E1857" s="2" t="s">
        <v>4646</v>
      </c>
      <c r="F1857" s="2">
        <v>22</v>
      </c>
      <c r="G1857" s="2">
        <v>20.239999999999998</v>
      </c>
      <c r="H1857" s="2">
        <v>1.76</v>
      </c>
      <c r="I1857" s="1">
        <v>8</v>
      </c>
      <c r="J1857" s="26">
        <v>45899</v>
      </c>
      <c r="K1857" s="22">
        <v>131560</v>
      </c>
      <c r="L1857" s="18">
        <v>140.71</v>
      </c>
      <c r="M1857" s="22">
        <v>102300</v>
      </c>
      <c r="N1857" s="22">
        <v>29260</v>
      </c>
      <c r="O1857" s="18">
        <v>31.29</v>
      </c>
      <c r="P1857" s="52">
        <f>IF(COUNTIF(TblPurchases[BatchID],TblOutcomes[[#This Row],[BatchID]])&lt;&gt;1,"n.a.",TblOutcomes[[#This Row],[Qty Wasted]]*SUMIFS(TblPurchases[Unit Cost (CLP)],TblPurchases[BatchID],TblOutcomes[[#This Row],[BatchID]]))</f>
        <v>8184</v>
      </c>
      <c r="Q1857" s="51">
        <f>IF(COUNTIF(TblPurchases[BatchID],TblOutcomes[[#This Row],[BatchID]])&lt;&gt;1,"n.a.",SUMIFS(TblPurchases[Purchase Date],TblPurchases[BatchID],TblOutcomes[[#This Row],[BatchID]]))</f>
        <v>45719</v>
      </c>
    </row>
    <row r="1858" spans="2:17" x14ac:dyDescent="0.25">
      <c r="B1858" s="2" t="s">
        <v>2663</v>
      </c>
      <c r="C1858" s="2" t="s">
        <v>238</v>
      </c>
      <c r="D1858" s="2" t="s">
        <v>237</v>
      </c>
      <c r="E1858" s="2" t="s">
        <v>4647</v>
      </c>
      <c r="F1858" s="2">
        <v>21</v>
      </c>
      <c r="G1858" s="2">
        <v>21</v>
      </c>
      <c r="H1858" s="2">
        <v>0</v>
      </c>
      <c r="I1858" s="1">
        <v>0</v>
      </c>
      <c r="J1858" s="26">
        <v>45755</v>
      </c>
      <c r="K1858" s="22">
        <v>136500</v>
      </c>
      <c r="L1858" s="18">
        <v>145.99</v>
      </c>
      <c r="M1858" s="22">
        <v>97650</v>
      </c>
      <c r="N1858" s="22">
        <v>38850</v>
      </c>
      <c r="O1858" s="18">
        <v>41.55</v>
      </c>
      <c r="P1858" s="52">
        <f>IF(COUNTIF(TblPurchases[BatchID],TblOutcomes[[#This Row],[BatchID]])&lt;&gt;1,"n.a.",TblOutcomes[[#This Row],[Qty Wasted]]*SUMIFS(TblPurchases[Unit Cost (CLP)],TblPurchases[BatchID],TblOutcomes[[#This Row],[BatchID]]))</f>
        <v>0</v>
      </c>
      <c r="Q1858" s="51">
        <f>IF(COUNTIF(TblPurchases[BatchID],TblOutcomes[[#This Row],[BatchID]])&lt;&gt;1,"n.a.",SUMIFS(TblPurchases[Purchase Date],TblPurchases[BatchID],TblOutcomes[[#This Row],[BatchID]]))</f>
        <v>45739</v>
      </c>
    </row>
    <row r="1859" spans="2:17" x14ac:dyDescent="0.25">
      <c r="B1859" s="2" t="s">
        <v>2664</v>
      </c>
      <c r="C1859" s="2" t="s">
        <v>238</v>
      </c>
      <c r="D1859" s="2" t="s">
        <v>237</v>
      </c>
      <c r="E1859" s="2" t="s">
        <v>4647</v>
      </c>
      <c r="F1859" s="2">
        <v>20</v>
      </c>
      <c r="G1859" s="2">
        <v>20</v>
      </c>
      <c r="H1859" s="2">
        <v>0</v>
      </c>
      <c r="I1859" s="1">
        <v>0</v>
      </c>
      <c r="J1859" s="26">
        <v>45772</v>
      </c>
      <c r="K1859" s="22">
        <v>130000</v>
      </c>
      <c r="L1859" s="18">
        <v>139.04</v>
      </c>
      <c r="M1859" s="22">
        <v>94000</v>
      </c>
      <c r="N1859" s="22">
        <v>36000</v>
      </c>
      <c r="O1859" s="18">
        <v>38.5</v>
      </c>
      <c r="P1859" s="52">
        <f>IF(COUNTIF(TblPurchases[BatchID],TblOutcomes[[#This Row],[BatchID]])&lt;&gt;1,"n.a.",TblOutcomes[[#This Row],[Qty Wasted]]*SUMIFS(TblPurchases[Unit Cost (CLP)],TblPurchases[BatchID],TblOutcomes[[#This Row],[BatchID]]))</f>
        <v>0</v>
      </c>
      <c r="Q1859" s="51">
        <f>IF(COUNTIF(TblPurchases[BatchID],TblOutcomes[[#This Row],[BatchID]])&lt;&gt;1,"n.a.",SUMIFS(TblPurchases[Purchase Date],TblPurchases[BatchID],TblOutcomes[[#This Row],[BatchID]]))</f>
        <v>45757</v>
      </c>
    </row>
    <row r="1860" spans="2:17" x14ac:dyDescent="0.25">
      <c r="B1860" s="2" t="s">
        <v>2665</v>
      </c>
      <c r="C1860" s="2" t="s">
        <v>238</v>
      </c>
      <c r="D1860" s="2" t="s">
        <v>237</v>
      </c>
      <c r="E1860" s="2" t="s">
        <v>4647</v>
      </c>
      <c r="F1860" s="2">
        <v>18</v>
      </c>
      <c r="G1860" s="2">
        <v>18</v>
      </c>
      <c r="H1860" s="2">
        <v>0</v>
      </c>
      <c r="I1860" s="1">
        <v>0</v>
      </c>
      <c r="J1860" s="26">
        <v>45791</v>
      </c>
      <c r="K1860" s="22">
        <v>117000</v>
      </c>
      <c r="L1860" s="18">
        <v>125.13</v>
      </c>
      <c r="M1860" s="22">
        <v>83700</v>
      </c>
      <c r="N1860" s="22">
        <v>33300</v>
      </c>
      <c r="O1860" s="18">
        <v>35.61</v>
      </c>
      <c r="P1860" s="52">
        <f>IF(COUNTIF(TblPurchases[BatchID],TblOutcomes[[#This Row],[BatchID]])&lt;&gt;1,"n.a.",TblOutcomes[[#This Row],[Qty Wasted]]*SUMIFS(TblPurchases[Unit Cost (CLP)],TblPurchases[BatchID],TblOutcomes[[#This Row],[BatchID]]))</f>
        <v>0</v>
      </c>
      <c r="Q1860" s="51">
        <f>IF(COUNTIF(TblPurchases[BatchID],TblOutcomes[[#This Row],[BatchID]])&lt;&gt;1,"n.a.",SUMIFS(TblPurchases[Purchase Date],TblPurchases[BatchID],TblOutcomes[[#This Row],[BatchID]]))</f>
        <v>45780</v>
      </c>
    </row>
    <row r="1861" spans="2:17" x14ac:dyDescent="0.25">
      <c r="B1861" s="2" t="s">
        <v>2666</v>
      </c>
      <c r="C1861" s="2" t="s">
        <v>238</v>
      </c>
      <c r="D1861" s="2" t="s">
        <v>237</v>
      </c>
      <c r="E1861" s="2" t="s">
        <v>4647</v>
      </c>
      <c r="F1861" s="2">
        <v>19</v>
      </c>
      <c r="G1861" s="2">
        <v>19</v>
      </c>
      <c r="H1861" s="2">
        <v>0</v>
      </c>
      <c r="I1861" s="1">
        <v>0</v>
      </c>
      <c r="J1861" s="26">
        <v>45816</v>
      </c>
      <c r="K1861" s="22">
        <v>123500</v>
      </c>
      <c r="L1861" s="18">
        <v>132.09</v>
      </c>
      <c r="M1861" s="22">
        <v>89300</v>
      </c>
      <c r="N1861" s="22">
        <v>34200</v>
      </c>
      <c r="O1861" s="18">
        <v>36.58</v>
      </c>
      <c r="P1861" s="52">
        <f>IF(COUNTIF(TblPurchases[BatchID],TblOutcomes[[#This Row],[BatchID]])&lt;&gt;1,"n.a.",TblOutcomes[[#This Row],[Qty Wasted]]*SUMIFS(TblPurchases[Unit Cost (CLP)],TblPurchases[BatchID],TblOutcomes[[#This Row],[BatchID]]))</f>
        <v>0</v>
      </c>
      <c r="Q1861" s="51">
        <f>IF(COUNTIF(TblPurchases[BatchID],TblOutcomes[[#This Row],[BatchID]])&lt;&gt;1,"n.a.",SUMIFS(TblPurchases[Purchase Date],TblPurchases[BatchID],TblOutcomes[[#This Row],[BatchID]]))</f>
        <v>45795</v>
      </c>
    </row>
    <row r="1862" spans="2:17" x14ac:dyDescent="0.25">
      <c r="B1862" s="2" t="s">
        <v>2667</v>
      </c>
      <c r="C1862" s="2" t="s">
        <v>238</v>
      </c>
      <c r="D1862" s="2" t="s">
        <v>237</v>
      </c>
      <c r="E1862" s="2" t="s">
        <v>4647</v>
      </c>
      <c r="F1862" s="2">
        <v>25</v>
      </c>
      <c r="G1862" s="2">
        <v>25</v>
      </c>
      <c r="H1862" s="2">
        <v>0</v>
      </c>
      <c r="I1862" s="1">
        <v>0</v>
      </c>
      <c r="J1862" s="26">
        <v>45842</v>
      </c>
      <c r="K1862" s="22">
        <v>162500</v>
      </c>
      <c r="L1862" s="18">
        <v>173.8</v>
      </c>
      <c r="M1862" s="22">
        <v>116250</v>
      </c>
      <c r="N1862" s="22">
        <v>46250</v>
      </c>
      <c r="O1862" s="18">
        <v>49.47</v>
      </c>
      <c r="P1862" s="52">
        <f>IF(COUNTIF(TblPurchases[BatchID],TblOutcomes[[#This Row],[BatchID]])&lt;&gt;1,"n.a.",TblOutcomes[[#This Row],[Qty Wasted]]*SUMIFS(TblPurchases[Unit Cost (CLP)],TblPurchases[BatchID],TblOutcomes[[#This Row],[BatchID]]))</f>
        <v>0</v>
      </c>
      <c r="Q1862" s="51">
        <f>IF(COUNTIF(TblPurchases[BatchID],TblOutcomes[[#This Row],[BatchID]])&lt;&gt;1,"n.a.",SUMIFS(TblPurchases[Purchase Date],TblPurchases[BatchID],TblOutcomes[[#This Row],[BatchID]]))</f>
        <v>45814</v>
      </c>
    </row>
    <row r="1863" spans="2:17" x14ac:dyDescent="0.25">
      <c r="B1863" s="2" t="s">
        <v>2668</v>
      </c>
      <c r="C1863" s="2" t="s">
        <v>238</v>
      </c>
      <c r="D1863" s="2" t="s">
        <v>237</v>
      </c>
      <c r="E1863" s="2" t="s">
        <v>4646</v>
      </c>
      <c r="F1863" s="2">
        <v>25</v>
      </c>
      <c r="G1863" s="2">
        <v>24.12</v>
      </c>
      <c r="H1863" s="2">
        <v>0.88</v>
      </c>
      <c r="I1863" s="1">
        <v>3.5</v>
      </c>
      <c r="J1863" s="26">
        <v>46018</v>
      </c>
      <c r="K1863" s="22">
        <v>156780</v>
      </c>
      <c r="L1863" s="18">
        <v>167.68</v>
      </c>
      <c r="M1863" s="22">
        <v>116250</v>
      </c>
      <c r="N1863" s="22">
        <v>40530</v>
      </c>
      <c r="O1863" s="18">
        <v>43.35</v>
      </c>
      <c r="P1863" s="52">
        <f>IF(COUNTIF(TblPurchases[BatchID],TblOutcomes[[#This Row],[BatchID]])&lt;&gt;1,"n.a.",TblOutcomes[[#This Row],[Qty Wasted]]*SUMIFS(TblPurchases[Unit Cost (CLP)],TblPurchases[BatchID],TblOutcomes[[#This Row],[BatchID]]))</f>
        <v>4092</v>
      </c>
      <c r="Q1863" s="51">
        <f>IF(COUNTIF(TblPurchases[BatchID],TblOutcomes[[#This Row],[BatchID]])&lt;&gt;1,"n.a.",SUMIFS(TblPurchases[Purchase Date],TblPurchases[BatchID],TblOutcomes[[#This Row],[BatchID]]))</f>
        <v>45838</v>
      </c>
    </row>
    <row r="1864" spans="2:17" x14ac:dyDescent="0.25">
      <c r="B1864" s="2" t="s">
        <v>2669</v>
      </c>
      <c r="C1864" s="2" t="s">
        <v>240</v>
      </c>
      <c r="D1864" s="2" t="s">
        <v>237</v>
      </c>
      <c r="E1864" s="2" t="s">
        <v>4647</v>
      </c>
      <c r="F1864" s="2">
        <v>23</v>
      </c>
      <c r="G1864" s="2">
        <v>23</v>
      </c>
      <c r="H1864" s="2">
        <v>0</v>
      </c>
      <c r="I1864" s="1">
        <v>0</v>
      </c>
      <c r="J1864" s="26">
        <v>45127</v>
      </c>
      <c r="K1864" s="22">
        <v>161000</v>
      </c>
      <c r="L1864" s="18">
        <v>172.19</v>
      </c>
      <c r="M1864" s="22">
        <v>116150</v>
      </c>
      <c r="N1864" s="22">
        <v>44850</v>
      </c>
      <c r="O1864" s="18">
        <v>47.97</v>
      </c>
      <c r="P1864" s="52">
        <f>IF(COUNTIF(TblPurchases[BatchID],TblOutcomes[[#This Row],[BatchID]])&lt;&gt;1,"n.a.",TblOutcomes[[#This Row],[Qty Wasted]]*SUMIFS(TblPurchases[Unit Cost (CLP)],TblPurchases[BatchID],TblOutcomes[[#This Row],[BatchID]]))</f>
        <v>0</v>
      </c>
      <c r="Q1864" s="51">
        <f>IF(COUNTIF(TblPurchases[BatchID],TblOutcomes[[#This Row],[BatchID]])&lt;&gt;1,"n.a.",SUMIFS(TblPurchases[Purchase Date],TblPurchases[BatchID],TblOutcomes[[#This Row],[BatchID]]))</f>
        <v>45108</v>
      </c>
    </row>
    <row r="1865" spans="2:17" x14ac:dyDescent="0.25">
      <c r="B1865" s="2" t="s">
        <v>2670</v>
      </c>
      <c r="C1865" s="2" t="s">
        <v>240</v>
      </c>
      <c r="D1865" s="2" t="s">
        <v>237</v>
      </c>
      <c r="E1865" s="2" t="s">
        <v>4646</v>
      </c>
      <c r="F1865" s="2">
        <v>18</v>
      </c>
      <c r="G1865" s="2">
        <v>17.53</v>
      </c>
      <c r="H1865" s="2">
        <v>0.47</v>
      </c>
      <c r="I1865" s="1">
        <v>2.6</v>
      </c>
      <c r="J1865" s="26">
        <v>45303</v>
      </c>
      <c r="K1865" s="22">
        <v>122710</v>
      </c>
      <c r="L1865" s="18">
        <v>131.24</v>
      </c>
      <c r="M1865" s="22">
        <v>90900</v>
      </c>
      <c r="N1865" s="22">
        <v>31810</v>
      </c>
      <c r="O1865" s="18">
        <v>34.020000000000003</v>
      </c>
      <c r="P1865" s="52">
        <f>IF(COUNTIF(TblPurchases[BatchID],TblOutcomes[[#This Row],[BatchID]])&lt;&gt;1,"n.a.",TblOutcomes[[#This Row],[Qty Wasted]]*SUMIFS(TblPurchases[Unit Cost (CLP)],TblPurchases[BatchID],TblOutcomes[[#This Row],[BatchID]]))</f>
        <v>2373.5</v>
      </c>
      <c r="Q1865" s="51">
        <f>IF(COUNTIF(TblPurchases[BatchID],TblOutcomes[[#This Row],[BatchID]])&lt;&gt;1,"n.a.",SUMIFS(TblPurchases[Purchase Date],TblPurchases[BatchID],TblOutcomes[[#This Row],[BatchID]]))</f>
        <v>45123</v>
      </c>
    </row>
    <row r="1866" spans="2:17" x14ac:dyDescent="0.25">
      <c r="B1866" s="2" t="s">
        <v>2671</v>
      </c>
      <c r="C1866" s="2" t="s">
        <v>240</v>
      </c>
      <c r="D1866" s="2" t="s">
        <v>237</v>
      </c>
      <c r="E1866" s="2" t="s">
        <v>4646</v>
      </c>
      <c r="F1866" s="2">
        <v>22</v>
      </c>
      <c r="G1866" s="2">
        <v>20.92</v>
      </c>
      <c r="H1866" s="2">
        <v>1.08</v>
      </c>
      <c r="I1866" s="1">
        <v>4.9000000000000004</v>
      </c>
      <c r="J1866" s="26">
        <v>45321</v>
      </c>
      <c r="K1866" s="22">
        <v>146440</v>
      </c>
      <c r="L1866" s="18">
        <v>156.62</v>
      </c>
      <c r="M1866" s="22">
        <v>111100</v>
      </c>
      <c r="N1866" s="22">
        <v>35340</v>
      </c>
      <c r="O1866" s="18">
        <v>37.799999999999997</v>
      </c>
      <c r="P1866" s="52">
        <f>IF(COUNTIF(TblPurchases[BatchID],TblOutcomes[[#This Row],[BatchID]])&lt;&gt;1,"n.a.",TblOutcomes[[#This Row],[Qty Wasted]]*SUMIFS(TblPurchases[Unit Cost (CLP)],TblPurchases[BatchID],TblOutcomes[[#This Row],[BatchID]]))</f>
        <v>5454</v>
      </c>
      <c r="Q1866" s="51">
        <f>IF(COUNTIF(TblPurchases[BatchID],TblOutcomes[[#This Row],[BatchID]])&lt;&gt;1,"n.a.",SUMIFS(TblPurchases[Purchase Date],TblPurchases[BatchID],TblOutcomes[[#This Row],[BatchID]]))</f>
        <v>45141</v>
      </c>
    </row>
    <row r="1867" spans="2:17" x14ac:dyDescent="0.25">
      <c r="B1867" s="2" t="s">
        <v>2672</v>
      </c>
      <c r="C1867" s="2" t="s">
        <v>240</v>
      </c>
      <c r="D1867" s="2" t="s">
        <v>237</v>
      </c>
      <c r="E1867" s="2" t="s">
        <v>4646</v>
      </c>
      <c r="F1867" s="2">
        <v>23</v>
      </c>
      <c r="G1867" s="2">
        <v>22.54</v>
      </c>
      <c r="H1867" s="2">
        <v>0.46</v>
      </c>
      <c r="I1867" s="1">
        <v>2</v>
      </c>
      <c r="J1867" s="26">
        <v>45347</v>
      </c>
      <c r="K1867" s="22">
        <v>157780</v>
      </c>
      <c r="L1867" s="18">
        <v>168.75</v>
      </c>
      <c r="M1867" s="22">
        <v>116150</v>
      </c>
      <c r="N1867" s="22">
        <v>41630</v>
      </c>
      <c r="O1867" s="18">
        <v>44.52</v>
      </c>
      <c r="P1867" s="52">
        <f>IF(COUNTIF(TblPurchases[BatchID],TblOutcomes[[#This Row],[BatchID]])&lt;&gt;1,"n.a.",TblOutcomes[[#This Row],[Qty Wasted]]*SUMIFS(TblPurchases[Unit Cost (CLP)],TblPurchases[BatchID],TblOutcomes[[#This Row],[BatchID]]))</f>
        <v>2323</v>
      </c>
      <c r="Q1867" s="51">
        <f>IF(COUNTIF(TblPurchases[BatchID],TblOutcomes[[#This Row],[BatchID]])&lt;&gt;1,"n.a.",SUMIFS(TblPurchases[Purchase Date],TblPurchases[BatchID],TblOutcomes[[#This Row],[BatchID]]))</f>
        <v>45167</v>
      </c>
    </row>
    <row r="1868" spans="2:17" x14ac:dyDescent="0.25">
      <c r="B1868" s="2" t="s">
        <v>2673</v>
      </c>
      <c r="C1868" s="2" t="s">
        <v>240</v>
      </c>
      <c r="D1868" s="2" t="s">
        <v>237</v>
      </c>
      <c r="E1868" s="2" t="s">
        <v>4646</v>
      </c>
      <c r="F1868" s="2">
        <v>23</v>
      </c>
      <c r="G1868" s="2">
        <v>21.87</v>
      </c>
      <c r="H1868" s="2">
        <v>1.1299999999999999</v>
      </c>
      <c r="I1868" s="1">
        <v>4.9000000000000004</v>
      </c>
      <c r="J1868" s="26">
        <v>45365</v>
      </c>
      <c r="K1868" s="22">
        <v>153090</v>
      </c>
      <c r="L1868" s="18">
        <v>163.72999999999999</v>
      </c>
      <c r="M1868" s="22">
        <v>116150</v>
      </c>
      <c r="N1868" s="22">
        <v>36940</v>
      </c>
      <c r="O1868" s="18">
        <v>39.51</v>
      </c>
      <c r="P1868" s="52">
        <f>IF(COUNTIF(TblPurchases[BatchID],TblOutcomes[[#This Row],[BatchID]])&lt;&gt;1,"n.a.",TblOutcomes[[#This Row],[Qty Wasted]]*SUMIFS(TblPurchases[Unit Cost (CLP)],TblPurchases[BatchID],TblOutcomes[[#This Row],[BatchID]]))</f>
        <v>5706.4999999999991</v>
      </c>
      <c r="Q1868" s="51">
        <f>IF(COUNTIF(TblPurchases[BatchID],TblOutcomes[[#This Row],[BatchID]])&lt;&gt;1,"n.a.",SUMIFS(TblPurchases[Purchase Date],TblPurchases[BatchID],TblOutcomes[[#This Row],[BatchID]]))</f>
        <v>45185</v>
      </c>
    </row>
    <row r="1869" spans="2:17" x14ac:dyDescent="0.25">
      <c r="B1869" s="2" t="s">
        <v>2674</v>
      </c>
      <c r="C1869" s="2" t="s">
        <v>240</v>
      </c>
      <c r="D1869" s="2" t="s">
        <v>237</v>
      </c>
      <c r="E1869" s="2" t="s">
        <v>4646</v>
      </c>
      <c r="F1869" s="2">
        <v>23</v>
      </c>
      <c r="G1869" s="2">
        <v>22.7</v>
      </c>
      <c r="H1869" s="2">
        <v>0.3</v>
      </c>
      <c r="I1869" s="1">
        <v>1.3</v>
      </c>
      <c r="J1869" s="26">
        <v>45388</v>
      </c>
      <c r="K1869" s="22">
        <v>158900</v>
      </c>
      <c r="L1869" s="18">
        <v>169.95</v>
      </c>
      <c r="M1869" s="22">
        <v>116150</v>
      </c>
      <c r="N1869" s="22">
        <v>42750</v>
      </c>
      <c r="O1869" s="18">
        <v>45.72</v>
      </c>
      <c r="P1869" s="52">
        <f>IF(COUNTIF(TblPurchases[BatchID],TblOutcomes[[#This Row],[BatchID]])&lt;&gt;1,"n.a.",TblOutcomes[[#This Row],[Qty Wasted]]*SUMIFS(TblPurchases[Unit Cost (CLP)],TblPurchases[BatchID],TblOutcomes[[#This Row],[BatchID]]))</f>
        <v>1515</v>
      </c>
      <c r="Q1869" s="51">
        <f>IF(COUNTIF(TblPurchases[BatchID],TblOutcomes[[#This Row],[BatchID]])&lt;&gt;1,"n.a.",SUMIFS(TblPurchases[Purchase Date],TblPurchases[BatchID],TblOutcomes[[#This Row],[BatchID]]))</f>
        <v>45208</v>
      </c>
    </row>
    <row r="1870" spans="2:17" x14ac:dyDescent="0.25">
      <c r="B1870" s="2" t="s">
        <v>2675</v>
      </c>
      <c r="C1870" s="2" t="s">
        <v>240</v>
      </c>
      <c r="D1870" s="2" t="s">
        <v>237</v>
      </c>
      <c r="E1870" s="2" t="s">
        <v>4647</v>
      </c>
      <c r="F1870" s="2">
        <v>21</v>
      </c>
      <c r="G1870" s="2">
        <v>21</v>
      </c>
      <c r="H1870" s="2">
        <v>0</v>
      </c>
      <c r="I1870" s="1">
        <v>0</v>
      </c>
      <c r="J1870" s="26">
        <v>45246</v>
      </c>
      <c r="K1870" s="22">
        <v>147000</v>
      </c>
      <c r="L1870" s="18">
        <v>157.22</v>
      </c>
      <c r="M1870" s="22">
        <v>106050</v>
      </c>
      <c r="N1870" s="22">
        <v>40950</v>
      </c>
      <c r="O1870" s="18">
        <v>43.8</v>
      </c>
      <c r="P1870" s="52">
        <f>IF(COUNTIF(TblPurchases[BatchID],TblOutcomes[[#This Row],[BatchID]])&lt;&gt;1,"n.a.",TblOutcomes[[#This Row],[Qty Wasted]]*SUMIFS(TblPurchases[Unit Cost (CLP)],TblPurchases[BatchID],TblOutcomes[[#This Row],[BatchID]]))</f>
        <v>0</v>
      </c>
      <c r="Q1870" s="51">
        <f>IF(COUNTIF(TblPurchases[BatchID],TblOutcomes[[#This Row],[BatchID]])&lt;&gt;1,"n.a.",SUMIFS(TblPurchases[Purchase Date],TblPurchases[BatchID],TblOutcomes[[#This Row],[BatchID]]))</f>
        <v>45232</v>
      </c>
    </row>
    <row r="1871" spans="2:17" x14ac:dyDescent="0.25">
      <c r="B1871" s="2" t="s">
        <v>2676</v>
      </c>
      <c r="C1871" s="2" t="s">
        <v>240</v>
      </c>
      <c r="D1871" s="2" t="s">
        <v>237</v>
      </c>
      <c r="E1871" s="2" t="s">
        <v>4647</v>
      </c>
      <c r="F1871" s="2">
        <v>20</v>
      </c>
      <c r="G1871" s="2">
        <v>20</v>
      </c>
      <c r="H1871" s="2">
        <v>0</v>
      </c>
      <c r="I1871" s="1">
        <v>0</v>
      </c>
      <c r="J1871" s="26">
        <v>45259</v>
      </c>
      <c r="K1871" s="22">
        <v>140000</v>
      </c>
      <c r="L1871" s="18">
        <v>149.72999999999999</v>
      </c>
      <c r="M1871" s="22">
        <v>101000</v>
      </c>
      <c r="N1871" s="22">
        <v>39000</v>
      </c>
      <c r="O1871" s="18">
        <v>41.71</v>
      </c>
      <c r="P1871" s="52">
        <f>IF(COUNTIF(TblPurchases[BatchID],TblOutcomes[[#This Row],[BatchID]])&lt;&gt;1,"n.a.",TblOutcomes[[#This Row],[Qty Wasted]]*SUMIFS(TblPurchases[Unit Cost (CLP)],TblPurchases[BatchID],TblOutcomes[[#This Row],[BatchID]]))</f>
        <v>0</v>
      </c>
      <c r="Q1871" s="51">
        <f>IF(COUNTIF(TblPurchases[BatchID],TblOutcomes[[#This Row],[BatchID]])&lt;&gt;1,"n.a.",SUMIFS(TblPurchases[Purchase Date],TblPurchases[BatchID],TblOutcomes[[#This Row],[BatchID]]))</f>
        <v>45252</v>
      </c>
    </row>
    <row r="1872" spans="2:17" x14ac:dyDescent="0.25">
      <c r="B1872" s="2" t="s">
        <v>2677</v>
      </c>
      <c r="C1872" s="2" t="s">
        <v>240</v>
      </c>
      <c r="D1872" s="2" t="s">
        <v>237</v>
      </c>
      <c r="E1872" s="2" t="s">
        <v>4647</v>
      </c>
      <c r="F1872" s="2">
        <v>26</v>
      </c>
      <c r="G1872" s="2">
        <v>26</v>
      </c>
      <c r="H1872" s="2">
        <v>0</v>
      </c>
      <c r="I1872" s="1">
        <v>0</v>
      </c>
      <c r="J1872" s="26">
        <v>45301</v>
      </c>
      <c r="K1872" s="22">
        <v>182000</v>
      </c>
      <c r="L1872" s="18">
        <v>194.65</v>
      </c>
      <c r="M1872" s="22">
        <v>131300</v>
      </c>
      <c r="N1872" s="22">
        <v>50700</v>
      </c>
      <c r="O1872" s="18">
        <v>54.22</v>
      </c>
      <c r="P1872" s="52">
        <f>IF(COUNTIF(TblPurchases[BatchID],TblOutcomes[[#This Row],[BatchID]])&lt;&gt;1,"n.a.",TblOutcomes[[#This Row],[Qty Wasted]]*SUMIFS(TblPurchases[Unit Cost (CLP)],TblPurchases[BatchID],TblOutcomes[[#This Row],[BatchID]]))</f>
        <v>0</v>
      </c>
      <c r="Q1872" s="51">
        <f>IF(COUNTIF(TblPurchases[BatchID],TblOutcomes[[#This Row],[BatchID]])&lt;&gt;1,"n.a.",SUMIFS(TblPurchases[Purchase Date],TblPurchases[BatchID],TblOutcomes[[#This Row],[BatchID]]))</f>
        <v>45273</v>
      </c>
    </row>
    <row r="1873" spans="2:17" x14ac:dyDescent="0.25">
      <c r="B1873" s="2" t="s">
        <v>2678</v>
      </c>
      <c r="C1873" s="2" t="s">
        <v>240</v>
      </c>
      <c r="D1873" s="2" t="s">
        <v>237</v>
      </c>
      <c r="E1873" s="2" t="s">
        <v>4647</v>
      </c>
      <c r="F1873" s="2">
        <v>21</v>
      </c>
      <c r="G1873" s="2">
        <v>21</v>
      </c>
      <c r="H1873" s="2">
        <v>0</v>
      </c>
      <c r="I1873" s="1">
        <v>0</v>
      </c>
      <c r="J1873" s="26">
        <v>45322</v>
      </c>
      <c r="K1873" s="22">
        <v>147000</v>
      </c>
      <c r="L1873" s="18">
        <v>157.22</v>
      </c>
      <c r="M1873" s="22">
        <v>111300</v>
      </c>
      <c r="N1873" s="22">
        <v>35700</v>
      </c>
      <c r="O1873" s="18">
        <v>38.18</v>
      </c>
      <c r="P1873" s="52">
        <f>IF(COUNTIF(TblPurchases[BatchID],TblOutcomes[[#This Row],[BatchID]])&lt;&gt;1,"n.a.",TblOutcomes[[#This Row],[Qty Wasted]]*SUMIFS(TblPurchases[Unit Cost (CLP)],TblPurchases[BatchID],TblOutcomes[[#This Row],[BatchID]]))</f>
        <v>0</v>
      </c>
      <c r="Q1873" s="51">
        <f>IF(COUNTIF(TblPurchases[BatchID],TblOutcomes[[#This Row],[BatchID]])&lt;&gt;1,"n.a.",SUMIFS(TblPurchases[Purchase Date],TblPurchases[BatchID],TblOutcomes[[#This Row],[BatchID]]))</f>
        <v>45300</v>
      </c>
    </row>
    <row r="1874" spans="2:17" x14ac:dyDescent="0.25">
      <c r="B1874" s="2" t="s">
        <v>2679</v>
      </c>
      <c r="C1874" s="2" t="s">
        <v>240</v>
      </c>
      <c r="D1874" s="2" t="s">
        <v>237</v>
      </c>
      <c r="E1874" s="2" t="s">
        <v>4647</v>
      </c>
      <c r="F1874" s="2">
        <v>18</v>
      </c>
      <c r="G1874" s="2">
        <v>18</v>
      </c>
      <c r="H1874" s="2">
        <v>0</v>
      </c>
      <c r="I1874" s="1">
        <v>0</v>
      </c>
      <c r="J1874" s="26">
        <v>45328</v>
      </c>
      <c r="K1874" s="22">
        <v>126000</v>
      </c>
      <c r="L1874" s="18">
        <v>134.76</v>
      </c>
      <c r="M1874" s="22">
        <v>90900</v>
      </c>
      <c r="N1874" s="22">
        <v>35100</v>
      </c>
      <c r="O1874" s="18">
        <v>37.54</v>
      </c>
      <c r="P1874" s="52">
        <f>IF(COUNTIF(TblPurchases[BatchID],TblOutcomes[[#This Row],[BatchID]])&lt;&gt;1,"n.a.",TblOutcomes[[#This Row],[Qty Wasted]]*SUMIFS(TblPurchases[Unit Cost (CLP)],TblPurchases[BatchID],TblOutcomes[[#This Row],[BatchID]]))</f>
        <v>0</v>
      </c>
      <c r="Q1874" s="51">
        <f>IF(COUNTIF(TblPurchases[BatchID],TblOutcomes[[#This Row],[BatchID]])&lt;&gt;1,"n.a.",SUMIFS(TblPurchases[Purchase Date],TblPurchases[BatchID],TblOutcomes[[#This Row],[BatchID]]))</f>
        <v>45317</v>
      </c>
    </row>
    <row r="1875" spans="2:17" x14ac:dyDescent="0.25">
      <c r="B1875" s="2" t="s">
        <v>2680</v>
      </c>
      <c r="C1875" s="2" t="s">
        <v>240</v>
      </c>
      <c r="D1875" s="2" t="s">
        <v>237</v>
      </c>
      <c r="E1875" s="2" t="s">
        <v>4646</v>
      </c>
      <c r="F1875" s="2">
        <v>18</v>
      </c>
      <c r="G1875" s="2">
        <v>16.09</v>
      </c>
      <c r="H1875" s="2">
        <v>1.91</v>
      </c>
      <c r="I1875" s="1">
        <v>10.6</v>
      </c>
      <c r="J1875" s="26">
        <v>45521</v>
      </c>
      <c r="K1875" s="22">
        <v>112630</v>
      </c>
      <c r="L1875" s="18">
        <v>120.46</v>
      </c>
      <c r="M1875" s="22">
        <v>90900</v>
      </c>
      <c r="N1875" s="22">
        <v>21730</v>
      </c>
      <c r="O1875" s="18">
        <v>23.24</v>
      </c>
      <c r="P1875" s="52">
        <f>IF(COUNTIF(TblPurchases[BatchID],TblOutcomes[[#This Row],[BatchID]])&lt;&gt;1,"n.a.",TblOutcomes[[#This Row],[Qty Wasted]]*SUMIFS(TblPurchases[Unit Cost (CLP)],TblPurchases[BatchID],TblOutcomes[[#This Row],[BatchID]]))</f>
        <v>9645.5</v>
      </c>
      <c r="Q1875" s="51">
        <f>IF(COUNTIF(TblPurchases[BatchID],TblOutcomes[[#This Row],[BatchID]])&lt;&gt;1,"n.a.",SUMIFS(TblPurchases[Purchase Date],TblPurchases[BatchID],TblOutcomes[[#This Row],[BatchID]]))</f>
        <v>45341</v>
      </c>
    </row>
    <row r="1876" spans="2:17" x14ac:dyDescent="0.25">
      <c r="B1876" s="2" t="s">
        <v>2681</v>
      </c>
      <c r="C1876" s="2" t="s">
        <v>240</v>
      </c>
      <c r="D1876" s="2" t="s">
        <v>237</v>
      </c>
      <c r="E1876" s="2" t="s">
        <v>4647</v>
      </c>
      <c r="F1876" s="2">
        <v>21</v>
      </c>
      <c r="G1876" s="2">
        <v>21</v>
      </c>
      <c r="H1876" s="2">
        <v>0</v>
      </c>
      <c r="I1876" s="1">
        <v>0</v>
      </c>
      <c r="J1876" s="26">
        <v>45383</v>
      </c>
      <c r="K1876" s="22">
        <v>147000</v>
      </c>
      <c r="L1876" s="18">
        <v>157.22</v>
      </c>
      <c r="M1876" s="22">
        <v>106050</v>
      </c>
      <c r="N1876" s="22">
        <v>40950</v>
      </c>
      <c r="O1876" s="18">
        <v>43.8</v>
      </c>
      <c r="P1876" s="52">
        <f>IF(COUNTIF(TblPurchases[BatchID],TblOutcomes[[#This Row],[BatchID]])&lt;&gt;1,"n.a.",TblOutcomes[[#This Row],[Qty Wasted]]*SUMIFS(TblPurchases[Unit Cost (CLP)],TblPurchases[BatchID],TblOutcomes[[#This Row],[BatchID]]))</f>
        <v>0</v>
      </c>
      <c r="Q1876" s="51">
        <f>IF(COUNTIF(TblPurchases[BatchID],TblOutcomes[[#This Row],[BatchID]])&lt;&gt;1,"n.a.",SUMIFS(TblPurchases[Purchase Date],TblPurchases[BatchID],TblOutcomes[[#This Row],[BatchID]]))</f>
        <v>45369</v>
      </c>
    </row>
    <row r="1877" spans="2:17" x14ac:dyDescent="0.25">
      <c r="B1877" s="2" t="s">
        <v>2682</v>
      </c>
      <c r="C1877" s="2" t="s">
        <v>240</v>
      </c>
      <c r="D1877" s="2" t="s">
        <v>237</v>
      </c>
      <c r="E1877" s="2" t="s">
        <v>4647</v>
      </c>
      <c r="F1877" s="2">
        <v>19</v>
      </c>
      <c r="G1877" s="2">
        <v>19</v>
      </c>
      <c r="H1877" s="2">
        <v>0</v>
      </c>
      <c r="I1877" s="1">
        <v>0</v>
      </c>
      <c r="J1877" s="26">
        <v>45400</v>
      </c>
      <c r="K1877" s="22">
        <v>133000</v>
      </c>
      <c r="L1877" s="18">
        <v>142.25</v>
      </c>
      <c r="M1877" s="22">
        <v>95950</v>
      </c>
      <c r="N1877" s="22">
        <v>37050</v>
      </c>
      <c r="O1877" s="18">
        <v>39.630000000000003</v>
      </c>
      <c r="P1877" s="52">
        <f>IF(COUNTIF(TblPurchases[BatchID],TblOutcomes[[#This Row],[BatchID]])&lt;&gt;1,"n.a.",TblOutcomes[[#This Row],[Qty Wasted]]*SUMIFS(TblPurchases[Unit Cost (CLP)],TblPurchases[BatchID],TblOutcomes[[#This Row],[BatchID]]))</f>
        <v>0</v>
      </c>
      <c r="Q1877" s="51">
        <f>IF(COUNTIF(TblPurchases[BatchID],TblOutcomes[[#This Row],[BatchID]])&lt;&gt;1,"n.a.",SUMIFS(TblPurchases[Purchase Date],TblPurchases[BatchID],TblOutcomes[[#This Row],[BatchID]]))</f>
        <v>45387</v>
      </c>
    </row>
    <row r="1878" spans="2:17" x14ac:dyDescent="0.25">
      <c r="B1878" s="2" t="s">
        <v>2683</v>
      </c>
      <c r="C1878" s="2" t="s">
        <v>240</v>
      </c>
      <c r="D1878" s="2" t="s">
        <v>237</v>
      </c>
      <c r="E1878" s="2" t="s">
        <v>4647</v>
      </c>
      <c r="F1878" s="2">
        <v>18</v>
      </c>
      <c r="G1878" s="2">
        <v>18</v>
      </c>
      <c r="H1878" s="2">
        <v>0</v>
      </c>
      <c r="I1878" s="1">
        <v>0</v>
      </c>
      <c r="J1878" s="26">
        <v>45414</v>
      </c>
      <c r="K1878" s="22">
        <v>126000</v>
      </c>
      <c r="L1878" s="18">
        <v>134.76</v>
      </c>
      <c r="M1878" s="22">
        <v>90900</v>
      </c>
      <c r="N1878" s="22">
        <v>35100</v>
      </c>
      <c r="O1878" s="18">
        <v>37.54</v>
      </c>
      <c r="P1878" s="52">
        <f>IF(COUNTIF(TblPurchases[BatchID],TblOutcomes[[#This Row],[BatchID]])&lt;&gt;1,"n.a.",TblOutcomes[[#This Row],[Qty Wasted]]*SUMIFS(TblPurchases[Unit Cost (CLP)],TblPurchases[BatchID],TblOutcomes[[#This Row],[BatchID]]))</f>
        <v>0</v>
      </c>
      <c r="Q1878" s="51">
        <f>IF(COUNTIF(TblPurchases[BatchID],TblOutcomes[[#This Row],[BatchID]])&lt;&gt;1,"n.a.",SUMIFS(TblPurchases[Purchase Date],TblPurchases[BatchID],TblOutcomes[[#This Row],[BatchID]]))</f>
        <v>45406</v>
      </c>
    </row>
    <row r="1879" spans="2:17" x14ac:dyDescent="0.25">
      <c r="B1879" s="2" t="s">
        <v>2684</v>
      </c>
      <c r="C1879" s="2" t="s">
        <v>240</v>
      </c>
      <c r="D1879" s="2" t="s">
        <v>237</v>
      </c>
      <c r="E1879" s="2" t="s">
        <v>4647</v>
      </c>
      <c r="F1879" s="2">
        <v>19</v>
      </c>
      <c r="G1879" s="2">
        <v>19</v>
      </c>
      <c r="H1879" s="2">
        <v>0</v>
      </c>
      <c r="I1879" s="1">
        <v>0</v>
      </c>
      <c r="J1879" s="26">
        <v>45449</v>
      </c>
      <c r="K1879" s="22">
        <v>133000</v>
      </c>
      <c r="L1879" s="18">
        <v>142.25</v>
      </c>
      <c r="M1879" s="22">
        <v>95950</v>
      </c>
      <c r="N1879" s="22">
        <v>37050</v>
      </c>
      <c r="O1879" s="18">
        <v>39.630000000000003</v>
      </c>
      <c r="P1879" s="52">
        <f>IF(COUNTIF(TblPurchases[BatchID],TblOutcomes[[#This Row],[BatchID]])&lt;&gt;1,"n.a.",TblOutcomes[[#This Row],[Qty Wasted]]*SUMIFS(TblPurchases[Unit Cost (CLP)],TblPurchases[BatchID],TblOutcomes[[#This Row],[BatchID]]))</f>
        <v>0</v>
      </c>
      <c r="Q1879" s="51">
        <f>IF(COUNTIF(TblPurchases[BatchID],TblOutcomes[[#This Row],[BatchID]])&lt;&gt;1,"n.a.",SUMIFS(TblPurchases[Purchase Date],TblPurchases[BatchID],TblOutcomes[[#This Row],[BatchID]]))</f>
        <v>45426</v>
      </c>
    </row>
    <row r="1880" spans="2:17" x14ac:dyDescent="0.25">
      <c r="B1880" s="2" t="s">
        <v>2685</v>
      </c>
      <c r="C1880" s="2" t="s">
        <v>240</v>
      </c>
      <c r="D1880" s="2" t="s">
        <v>237</v>
      </c>
      <c r="E1880" s="2" t="s">
        <v>4647</v>
      </c>
      <c r="F1880" s="2">
        <v>21</v>
      </c>
      <c r="G1880" s="2">
        <v>21</v>
      </c>
      <c r="H1880" s="2">
        <v>0</v>
      </c>
      <c r="I1880" s="1">
        <v>0</v>
      </c>
      <c r="J1880" s="26">
        <v>45460</v>
      </c>
      <c r="K1880" s="22">
        <v>147000</v>
      </c>
      <c r="L1880" s="18">
        <v>157.22</v>
      </c>
      <c r="M1880" s="22">
        <v>106050</v>
      </c>
      <c r="N1880" s="22">
        <v>40950</v>
      </c>
      <c r="O1880" s="18">
        <v>43.8</v>
      </c>
      <c r="P1880" s="52">
        <f>IF(COUNTIF(TblPurchases[BatchID],TblOutcomes[[#This Row],[BatchID]])&lt;&gt;1,"n.a.",TblOutcomes[[#This Row],[Qty Wasted]]*SUMIFS(TblPurchases[Unit Cost (CLP)],TblPurchases[BatchID],TblOutcomes[[#This Row],[BatchID]]))</f>
        <v>0</v>
      </c>
      <c r="Q1880" s="51">
        <f>IF(COUNTIF(TblPurchases[BatchID],TblOutcomes[[#This Row],[BatchID]])&lt;&gt;1,"n.a.",SUMIFS(TblPurchases[Purchase Date],TblPurchases[BatchID],TblOutcomes[[#This Row],[BatchID]]))</f>
        <v>45447</v>
      </c>
    </row>
    <row r="1881" spans="2:17" x14ac:dyDescent="0.25">
      <c r="B1881" s="2" t="s">
        <v>2686</v>
      </c>
      <c r="C1881" s="2" t="s">
        <v>240</v>
      </c>
      <c r="D1881" s="2" t="s">
        <v>237</v>
      </c>
      <c r="E1881" s="2" t="s">
        <v>4646</v>
      </c>
      <c r="F1881" s="2">
        <v>23</v>
      </c>
      <c r="G1881" s="2">
        <v>20.98</v>
      </c>
      <c r="H1881" s="2">
        <v>2.02</v>
      </c>
      <c r="I1881" s="1">
        <v>8.8000000000000007</v>
      </c>
      <c r="J1881" s="26">
        <v>45645</v>
      </c>
      <c r="K1881" s="22">
        <v>146860</v>
      </c>
      <c r="L1881" s="18">
        <v>157.07</v>
      </c>
      <c r="M1881" s="22">
        <v>116150</v>
      </c>
      <c r="N1881" s="22">
        <v>30710</v>
      </c>
      <c r="O1881" s="18">
        <v>32.840000000000003</v>
      </c>
      <c r="P1881" s="52">
        <f>IF(COUNTIF(TblPurchases[BatchID],TblOutcomes[[#This Row],[BatchID]])&lt;&gt;1,"n.a.",TblOutcomes[[#This Row],[Qty Wasted]]*SUMIFS(TblPurchases[Unit Cost (CLP)],TblPurchases[BatchID],TblOutcomes[[#This Row],[BatchID]]))</f>
        <v>10201</v>
      </c>
      <c r="Q1881" s="51">
        <f>IF(COUNTIF(TblPurchases[BatchID],TblOutcomes[[#This Row],[BatchID]])&lt;&gt;1,"n.a.",SUMIFS(TblPurchases[Purchase Date],TblPurchases[BatchID],TblOutcomes[[#This Row],[BatchID]]))</f>
        <v>45465</v>
      </c>
    </row>
    <row r="1882" spans="2:17" x14ac:dyDescent="0.25">
      <c r="B1882" s="2" t="s">
        <v>2687</v>
      </c>
      <c r="C1882" s="2" t="s">
        <v>240</v>
      </c>
      <c r="D1882" s="2" t="s">
        <v>237</v>
      </c>
      <c r="E1882" s="2" t="s">
        <v>4646</v>
      </c>
      <c r="F1882" s="2">
        <v>23</v>
      </c>
      <c r="G1882" s="2">
        <v>22.33</v>
      </c>
      <c r="H1882" s="2">
        <v>0.67</v>
      </c>
      <c r="I1882" s="1">
        <v>2.9</v>
      </c>
      <c r="J1882" s="26">
        <v>45666</v>
      </c>
      <c r="K1882" s="22">
        <v>156310</v>
      </c>
      <c r="L1882" s="18">
        <v>167.18</v>
      </c>
      <c r="M1882" s="22">
        <v>116150</v>
      </c>
      <c r="N1882" s="22">
        <v>40160</v>
      </c>
      <c r="O1882" s="18">
        <v>42.95</v>
      </c>
      <c r="P1882" s="52">
        <f>IF(COUNTIF(TblPurchases[BatchID],TblOutcomes[[#This Row],[BatchID]])&lt;&gt;1,"n.a.",TblOutcomes[[#This Row],[Qty Wasted]]*SUMIFS(TblPurchases[Unit Cost (CLP)],TblPurchases[BatchID],TblOutcomes[[#This Row],[BatchID]]))</f>
        <v>3383.5</v>
      </c>
      <c r="Q1882" s="51">
        <f>IF(COUNTIF(TblPurchases[BatchID],TblOutcomes[[#This Row],[BatchID]])&lt;&gt;1,"n.a.",SUMIFS(TblPurchases[Purchase Date],TblPurchases[BatchID],TblOutcomes[[#This Row],[BatchID]]))</f>
        <v>45486</v>
      </c>
    </row>
    <row r="1883" spans="2:17" x14ac:dyDescent="0.25">
      <c r="B1883" s="2" t="s">
        <v>2688</v>
      </c>
      <c r="C1883" s="2" t="s">
        <v>240</v>
      </c>
      <c r="D1883" s="2" t="s">
        <v>237</v>
      </c>
      <c r="E1883" s="2" t="s">
        <v>4646</v>
      </c>
      <c r="F1883" s="2">
        <v>23</v>
      </c>
      <c r="G1883" s="2">
        <v>20.49</v>
      </c>
      <c r="H1883" s="2">
        <v>2.5099999999999998</v>
      </c>
      <c r="I1883" s="1">
        <v>10.9</v>
      </c>
      <c r="J1883" s="26">
        <v>45687</v>
      </c>
      <c r="K1883" s="22">
        <v>143430</v>
      </c>
      <c r="L1883" s="18">
        <v>153.4</v>
      </c>
      <c r="M1883" s="22">
        <v>121900</v>
      </c>
      <c r="N1883" s="22">
        <v>21530</v>
      </c>
      <c r="O1883" s="18">
        <v>23.03</v>
      </c>
      <c r="P1883" s="52">
        <f>IF(COUNTIF(TblPurchases[BatchID],TblOutcomes[[#This Row],[BatchID]])&lt;&gt;1,"n.a.",TblOutcomes[[#This Row],[Qty Wasted]]*SUMIFS(TblPurchases[Unit Cost (CLP)],TblPurchases[BatchID],TblOutcomes[[#This Row],[BatchID]]))</f>
        <v>13302.999999999998</v>
      </c>
      <c r="Q1883" s="51">
        <f>IF(COUNTIF(TblPurchases[BatchID],TblOutcomes[[#This Row],[BatchID]])&lt;&gt;1,"n.a.",SUMIFS(TblPurchases[Purchase Date],TblPurchases[BatchID],TblOutcomes[[#This Row],[BatchID]]))</f>
        <v>45507</v>
      </c>
    </row>
    <row r="1884" spans="2:17" x14ac:dyDescent="0.25">
      <c r="B1884" s="2" t="s">
        <v>2689</v>
      </c>
      <c r="C1884" s="2" t="s">
        <v>240</v>
      </c>
      <c r="D1884" s="2" t="s">
        <v>237</v>
      </c>
      <c r="E1884" s="2" t="s">
        <v>4647</v>
      </c>
      <c r="F1884" s="2">
        <v>18</v>
      </c>
      <c r="G1884" s="2">
        <v>18</v>
      </c>
      <c r="H1884" s="2">
        <v>0</v>
      </c>
      <c r="I1884" s="1">
        <v>0</v>
      </c>
      <c r="J1884" s="26">
        <v>45541</v>
      </c>
      <c r="K1884" s="22">
        <v>126000</v>
      </c>
      <c r="L1884" s="18">
        <v>134.76</v>
      </c>
      <c r="M1884" s="22">
        <v>95400</v>
      </c>
      <c r="N1884" s="22">
        <v>30600</v>
      </c>
      <c r="O1884" s="18">
        <v>32.729999999999997</v>
      </c>
      <c r="P1884" s="52">
        <f>IF(COUNTIF(TblPurchases[BatchID],TblOutcomes[[#This Row],[BatchID]])&lt;&gt;1,"n.a.",TblOutcomes[[#This Row],[Qty Wasted]]*SUMIFS(TblPurchases[Unit Cost (CLP)],TblPurchases[BatchID],TblOutcomes[[#This Row],[BatchID]]))</f>
        <v>0</v>
      </c>
      <c r="Q1884" s="51">
        <f>IF(COUNTIF(TblPurchases[BatchID],TblOutcomes[[#This Row],[BatchID]])&lt;&gt;1,"n.a.",SUMIFS(TblPurchases[Purchase Date],TblPurchases[BatchID],TblOutcomes[[#This Row],[BatchID]]))</f>
        <v>45530</v>
      </c>
    </row>
    <row r="1885" spans="2:17" x14ac:dyDescent="0.25">
      <c r="B1885" s="2" t="s">
        <v>2690</v>
      </c>
      <c r="C1885" s="2" t="s">
        <v>240</v>
      </c>
      <c r="D1885" s="2" t="s">
        <v>237</v>
      </c>
      <c r="E1885" s="2" t="s">
        <v>4646</v>
      </c>
      <c r="F1885" s="2">
        <v>24</v>
      </c>
      <c r="G1885" s="2">
        <v>22.63</v>
      </c>
      <c r="H1885" s="2">
        <v>1.37</v>
      </c>
      <c r="I1885" s="1">
        <v>5.7</v>
      </c>
      <c r="J1885" s="26">
        <v>45735</v>
      </c>
      <c r="K1885" s="22">
        <v>158410</v>
      </c>
      <c r="L1885" s="18">
        <v>169.42</v>
      </c>
      <c r="M1885" s="22">
        <v>121200</v>
      </c>
      <c r="N1885" s="22">
        <v>37210</v>
      </c>
      <c r="O1885" s="18">
        <v>39.799999999999997</v>
      </c>
      <c r="P1885" s="52">
        <f>IF(COUNTIF(TblPurchases[BatchID],TblOutcomes[[#This Row],[BatchID]])&lt;&gt;1,"n.a.",TblOutcomes[[#This Row],[Qty Wasted]]*SUMIFS(TblPurchases[Unit Cost (CLP)],TblPurchases[BatchID],TblOutcomes[[#This Row],[BatchID]]))</f>
        <v>6918.5000000000009</v>
      </c>
      <c r="Q1885" s="51">
        <f>IF(COUNTIF(TblPurchases[BatchID],TblOutcomes[[#This Row],[BatchID]])&lt;&gt;1,"n.a.",SUMIFS(TblPurchases[Purchase Date],TblPurchases[BatchID],TblOutcomes[[#This Row],[BatchID]]))</f>
        <v>45555</v>
      </c>
    </row>
    <row r="1886" spans="2:17" x14ac:dyDescent="0.25">
      <c r="B1886" s="2" t="s">
        <v>2691</v>
      </c>
      <c r="C1886" s="2" t="s">
        <v>240</v>
      </c>
      <c r="D1886" s="2" t="s">
        <v>237</v>
      </c>
      <c r="E1886" s="2" t="s">
        <v>4647</v>
      </c>
      <c r="F1886" s="2">
        <v>23</v>
      </c>
      <c r="G1886" s="2">
        <v>23</v>
      </c>
      <c r="H1886" s="2">
        <v>0</v>
      </c>
      <c r="I1886" s="1">
        <v>0</v>
      </c>
      <c r="J1886" s="26">
        <v>45597</v>
      </c>
      <c r="K1886" s="22">
        <v>161000</v>
      </c>
      <c r="L1886" s="18">
        <v>172.19</v>
      </c>
      <c r="M1886" s="22">
        <v>121900</v>
      </c>
      <c r="N1886" s="22">
        <v>39100</v>
      </c>
      <c r="O1886" s="18">
        <v>41.82</v>
      </c>
      <c r="P1886" s="52">
        <f>IF(COUNTIF(TblPurchases[BatchID],TblOutcomes[[#This Row],[BatchID]])&lt;&gt;1,"n.a.",TblOutcomes[[#This Row],[Qty Wasted]]*SUMIFS(TblPurchases[Unit Cost (CLP)],TblPurchases[BatchID],TblOutcomes[[#This Row],[BatchID]]))</f>
        <v>0</v>
      </c>
      <c r="Q1886" s="51">
        <f>IF(COUNTIF(TblPurchases[BatchID],TblOutcomes[[#This Row],[BatchID]])&lt;&gt;1,"n.a.",SUMIFS(TblPurchases[Purchase Date],TblPurchases[BatchID],TblOutcomes[[#This Row],[BatchID]]))</f>
        <v>45574</v>
      </c>
    </row>
    <row r="1887" spans="2:17" x14ac:dyDescent="0.25">
      <c r="B1887" s="2" t="s">
        <v>2692</v>
      </c>
      <c r="C1887" s="2" t="s">
        <v>240</v>
      </c>
      <c r="D1887" s="2" t="s">
        <v>237</v>
      </c>
      <c r="E1887" s="2" t="s">
        <v>4647</v>
      </c>
      <c r="F1887" s="2">
        <v>19</v>
      </c>
      <c r="G1887" s="2">
        <v>19</v>
      </c>
      <c r="H1887" s="2">
        <v>0</v>
      </c>
      <c r="I1887" s="1">
        <v>0</v>
      </c>
      <c r="J1887" s="26">
        <v>45612</v>
      </c>
      <c r="K1887" s="22">
        <v>133000</v>
      </c>
      <c r="L1887" s="18">
        <v>142.25</v>
      </c>
      <c r="M1887" s="22">
        <v>100700</v>
      </c>
      <c r="N1887" s="22">
        <v>32300</v>
      </c>
      <c r="O1887" s="18">
        <v>34.549999999999997</v>
      </c>
      <c r="P1887" s="52">
        <f>IF(COUNTIF(TblPurchases[BatchID],TblOutcomes[[#This Row],[BatchID]])&lt;&gt;1,"n.a.",TblOutcomes[[#This Row],[Qty Wasted]]*SUMIFS(TblPurchases[Unit Cost (CLP)],TblPurchases[BatchID],TblOutcomes[[#This Row],[BatchID]]))</f>
        <v>0</v>
      </c>
      <c r="Q1887" s="51">
        <f>IF(COUNTIF(TblPurchases[BatchID],TblOutcomes[[#This Row],[BatchID]])&lt;&gt;1,"n.a.",SUMIFS(TblPurchases[Purchase Date],TblPurchases[BatchID],TblOutcomes[[#This Row],[BatchID]]))</f>
        <v>45594</v>
      </c>
    </row>
    <row r="1888" spans="2:17" x14ac:dyDescent="0.25">
      <c r="B1888" s="2" t="s">
        <v>2693</v>
      </c>
      <c r="C1888" s="2" t="s">
        <v>240</v>
      </c>
      <c r="D1888" s="2" t="s">
        <v>237</v>
      </c>
      <c r="E1888" s="2" t="s">
        <v>4647</v>
      </c>
      <c r="F1888" s="2">
        <v>18</v>
      </c>
      <c r="G1888" s="2">
        <v>18</v>
      </c>
      <c r="H1888" s="2">
        <v>0</v>
      </c>
      <c r="I1888" s="1">
        <v>0</v>
      </c>
      <c r="J1888" s="26">
        <v>45620</v>
      </c>
      <c r="K1888" s="22">
        <v>126000</v>
      </c>
      <c r="L1888" s="18">
        <v>134.76</v>
      </c>
      <c r="M1888" s="22">
        <v>90900</v>
      </c>
      <c r="N1888" s="22">
        <v>35100</v>
      </c>
      <c r="O1888" s="18">
        <v>37.54</v>
      </c>
      <c r="P1888" s="52">
        <f>IF(COUNTIF(TblPurchases[BatchID],TblOutcomes[[#This Row],[BatchID]])&lt;&gt;1,"n.a.",TblOutcomes[[#This Row],[Qty Wasted]]*SUMIFS(TblPurchases[Unit Cost (CLP)],TblPurchases[BatchID],TblOutcomes[[#This Row],[BatchID]]))</f>
        <v>0</v>
      </c>
      <c r="Q1888" s="51">
        <f>IF(COUNTIF(TblPurchases[BatchID],TblOutcomes[[#This Row],[BatchID]])&lt;&gt;1,"n.a.",SUMIFS(TblPurchases[Purchase Date],TblPurchases[BatchID],TblOutcomes[[#This Row],[BatchID]]))</f>
        <v>45610</v>
      </c>
    </row>
    <row r="1889" spans="2:17" x14ac:dyDescent="0.25">
      <c r="B1889" s="2" t="s">
        <v>2694</v>
      </c>
      <c r="C1889" s="2" t="s">
        <v>240</v>
      </c>
      <c r="D1889" s="2" t="s">
        <v>237</v>
      </c>
      <c r="E1889" s="2" t="s">
        <v>4647</v>
      </c>
      <c r="F1889" s="2">
        <v>27</v>
      </c>
      <c r="G1889" s="2">
        <v>27</v>
      </c>
      <c r="H1889" s="2">
        <v>0</v>
      </c>
      <c r="I1889" s="1">
        <v>0</v>
      </c>
      <c r="J1889" s="26">
        <v>45650</v>
      </c>
      <c r="K1889" s="22">
        <v>189000</v>
      </c>
      <c r="L1889" s="18">
        <v>202.14</v>
      </c>
      <c r="M1889" s="22">
        <v>136350</v>
      </c>
      <c r="N1889" s="22">
        <v>52650</v>
      </c>
      <c r="O1889" s="18">
        <v>56.31</v>
      </c>
      <c r="P1889" s="52">
        <f>IF(COUNTIF(TblPurchases[BatchID],TblOutcomes[[#This Row],[BatchID]])&lt;&gt;1,"n.a.",TblOutcomes[[#This Row],[Qty Wasted]]*SUMIFS(TblPurchases[Unit Cost (CLP)],TblPurchases[BatchID],TblOutcomes[[#This Row],[BatchID]]))</f>
        <v>0</v>
      </c>
      <c r="Q1889" s="51">
        <f>IF(COUNTIF(TblPurchases[BatchID],TblOutcomes[[#This Row],[BatchID]])&lt;&gt;1,"n.a.",SUMIFS(TblPurchases[Purchase Date],TblPurchases[BatchID],TblOutcomes[[#This Row],[BatchID]]))</f>
        <v>45628</v>
      </c>
    </row>
    <row r="1890" spans="2:17" x14ac:dyDescent="0.25">
      <c r="B1890" s="2" t="s">
        <v>2695</v>
      </c>
      <c r="C1890" s="2" t="s">
        <v>240</v>
      </c>
      <c r="D1890" s="2" t="s">
        <v>237</v>
      </c>
      <c r="E1890" s="2" t="s">
        <v>4646</v>
      </c>
      <c r="F1890" s="2">
        <v>28</v>
      </c>
      <c r="G1890" s="2">
        <v>25.37</v>
      </c>
      <c r="H1890" s="2">
        <v>2.63</v>
      </c>
      <c r="I1890" s="1">
        <v>9.4</v>
      </c>
      <c r="J1890" s="26">
        <v>45827</v>
      </c>
      <c r="K1890" s="22">
        <v>177590</v>
      </c>
      <c r="L1890" s="18">
        <v>189.94</v>
      </c>
      <c r="M1890" s="22">
        <v>141400</v>
      </c>
      <c r="N1890" s="22">
        <v>36190</v>
      </c>
      <c r="O1890" s="18">
        <v>38.71</v>
      </c>
      <c r="P1890" s="52">
        <f>IF(COUNTIF(TblPurchases[BatchID],TblOutcomes[[#This Row],[BatchID]])&lt;&gt;1,"n.a.",TblOutcomes[[#This Row],[Qty Wasted]]*SUMIFS(TblPurchases[Unit Cost (CLP)],TblPurchases[BatchID],TblOutcomes[[#This Row],[BatchID]]))</f>
        <v>13281.5</v>
      </c>
      <c r="Q1890" s="51">
        <f>IF(COUNTIF(TblPurchases[BatchID],TblOutcomes[[#This Row],[BatchID]])&lt;&gt;1,"n.a.",SUMIFS(TblPurchases[Purchase Date],TblPurchases[BatchID],TblOutcomes[[#This Row],[BatchID]]))</f>
        <v>45647</v>
      </c>
    </row>
    <row r="1891" spans="2:17" x14ac:dyDescent="0.25">
      <c r="B1891" s="2" t="s">
        <v>2696</v>
      </c>
      <c r="C1891" s="2" t="s">
        <v>240</v>
      </c>
      <c r="D1891" s="2" t="s">
        <v>237</v>
      </c>
      <c r="E1891" s="2" t="s">
        <v>4646</v>
      </c>
      <c r="F1891" s="2">
        <v>20</v>
      </c>
      <c r="G1891" s="2">
        <v>18.739999999999998</v>
      </c>
      <c r="H1891" s="2">
        <v>1.26</v>
      </c>
      <c r="I1891" s="1">
        <v>6.3</v>
      </c>
      <c r="J1891" s="26">
        <v>45850</v>
      </c>
      <c r="K1891" s="22">
        <v>131180</v>
      </c>
      <c r="L1891" s="18">
        <v>140.30000000000001</v>
      </c>
      <c r="M1891" s="22">
        <v>106000</v>
      </c>
      <c r="N1891" s="22">
        <v>25180</v>
      </c>
      <c r="O1891" s="18">
        <v>26.93</v>
      </c>
      <c r="P1891" s="52">
        <f>IF(COUNTIF(TblPurchases[BatchID],TblOutcomes[[#This Row],[BatchID]])&lt;&gt;1,"n.a.",TblOutcomes[[#This Row],[Qty Wasted]]*SUMIFS(TblPurchases[Unit Cost (CLP)],TblPurchases[BatchID],TblOutcomes[[#This Row],[BatchID]]))</f>
        <v>6678</v>
      </c>
      <c r="Q1891" s="51">
        <f>IF(COUNTIF(TblPurchases[BatchID],TblOutcomes[[#This Row],[BatchID]])&lt;&gt;1,"n.a.",SUMIFS(TblPurchases[Purchase Date],TblPurchases[BatchID],TblOutcomes[[#This Row],[BatchID]]))</f>
        <v>45670</v>
      </c>
    </row>
    <row r="1892" spans="2:17" x14ac:dyDescent="0.25">
      <c r="B1892" s="2" t="s">
        <v>2697</v>
      </c>
      <c r="C1892" s="2" t="s">
        <v>240</v>
      </c>
      <c r="D1892" s="2" t="s">
        <v>237</v>
      </c>
      <c r="E1892" s="2" t="s">
        <v>4646</v>
      </c>
      <c r="F1892" s="2">
        <v>23</v>
      </c>
      <c r="G1892" s="2">
        <v>19.89</v>
      </c>
      <c r="H1892" s="2">
        <v>3.11</v>
      </c>
      <c r="I1892" s="1">
        <v>13.5</v>
      </c>
      <c r="J1892" s="26">
        <v>45872</v>
      </c>
      <c r="K1892" s="22">
        <v>139230</v>
      </c>
      <c r="L1892" s="18">
        <v>148.91</v>
      </c>
      <c r="M1892" s="22">
        <v>116150</v>
      </c>
      <c r="N1892" s="22">
        <v>23080</v>
      </c>
      <c r="O1892" s="18">
        <v>24.68</v>
      </c>
      <c r="P1892" s="52">
        <f>IF(COUNTIF(TblPurchases[BatchID],TblOutcomes[[#This Row],[BatchID]])&lt;&gt;1,"n.a.",TblOutcomes[[#This Row],[Qty Wasted]]*SUMIFS(TblPurchases[Unit Cost (CLP)],TblPurchases[BatchID],TblOutcomes[[#This Row],[BatchID]]))</f>
        <v>15705.5</v>
      </c>
      <c r="Q1892" s="51">
        <f>IF(COUNTIF(TblPurchases[BatchID],TblOutcomes[[#This Row],[BatchID]])&lt;&gt;1,"n.a.",SUMIFS(TblPurchases[Purchase Date],TblPurchases[BatchID],TblOutcomes[[#This Row],[BatchID]]))</f>
        <v>45692</v>
      </c>
    </row>
    <row r="1893" spans="2:17" x14ac:dyDescent="0.25">
      <c r="B1893" s="2" t="s">
        <v>2698</v>
      </c>
      <c r="C1893" s="2" t="s">
        <v>240</v>
      </c>
      <c r="D1893" s="2" t="s">
        <v>237</v>
      </c>
      <c r="E1893" s="2" t="s">
        <v>4647</v>
      </c>
      <c r="F1893" s="2">
        <v>22</v>
      </c>
      <c r="G1893" s="2">
        <v>22</v>
      </c>
      <c r="H1893" s="2">
        <v>0</v>
      </c>
      <c r="I1893" s="1">
        <v>0</v>
      </c>
      <c r="J1893" s="26">
        <v>45728</v>
      </c>
      <c r="K1893" s="22">
        <v>154000</v>
      </c>
      <c r="L1893" s="18">
        <v>164.71</v>
      </c>
      <c r="M1893" s="22">
        <v>111100</v>
      </c>
      <c r="N1893" s="22">
        <v>42900</v>
      </c>
      <c r="O1893" s="18">
        <v>45.88</v>
      </c>
      <c r="P1893" s="52">
        <f>IF(COUNTIF(TblPurchases[BatchID],TblOutcomes[[#This Row],[BatchID]])&lt;&gt;1,"n.a.",TblOutcomes[[#This Row],[Qty Wasted]]*SUMIFS(TblPurchases[Unit Cost (CLP)],TblPurchases[BatchID],TblOutcomes[[#This Row],[BatchID]]))</f>
        <v>0</v>
      </c>
      <c r="Q1893" s="51">
        <f>IF(COUNTIF(TblPurchases[BatchID],TblOutcomes[[#This Row],[BatchID]])&lt;&gt;1,"n.a.",SUMIFS(TblPurchases[Purchase Date],TblPurchases[BatchID],TblOutcomes[[#This Row],[BatchID]]))</f>
        <v>45707</v>
      </c>
    </row>
    <row r="1894" spans="2:17" x14ac:dyDescent="0.25">
      <c r="B1894" s="2" t="s">
        <v>2699</v>
      </c>
      <c r="C1894" s="2" t="s">
        <v>240</v>
      </c>
      <c r="D1894" s="2" t="s">
        <v>237</v>
      </c>
      <c r="E1894" s="2" t="s">
        <v>4646</v>
      </c>
      <c r="F1894" s="2">
        <v>22</v>
      </c>
      <c r="G1894" s="2">
        <v>20.68</v>
      </c>
      <c r="H1894" s="2">
        <v>1.32</v>
      </c>
      <c r="I1894" s="1">
        <v>6</v>
      </c>
      <c r="J1894" s="26">
        <v>45910</v>
      </c>
      <c r="K1894" s="22">
        <v>144760</v>
      </c>
      <c r="L1894" s="18">
        <v>154.82</v>
      </c>
      <c r="M1894" s="22">
        <v>116600</v>
      </c>
      <c r="N1894" s="22">
        <v>28160</v>
      </c>
      <c r="O1894" s="18">
        <v>30.12</v>
      </c>
      <c r="P1894" s="52">
        <f>IF(COUNTIF(TblPurchases[BatchID],TblOutcomes[[#This Row],[BatchID]])&lt;&gt;1,"n.a.",TblOutcomes[[#This Row],[Qty Wasted]]*SUMIFS(TblPurchases[Unit Cost (CLP)],TblPurchases[BatchID],TblOutcomes[[#This Row],[BatchID]]))</f>
        <v>6996</v>
      </c>
      <c r="Q1894" s="51">
        <f>IF(COUNTIF(TblPurchases[BatchID],TblOutcomes[[#This Row],[BatchID]])&lt;&gt;1,"n.a.",SUMIFS(TblPurchases[Purchase Date],TblPurchases[BatchID],TblOutcomes[[#This Row],[BatchID]]))</f>
        <v>45730</v>
      </c>
    </row>
    <row r="1895" spans="2:17" x14ac:dyDescent="0.25">
      <c r="B1895" s="2" t="s">
        <v>2700</v>
      </c>
      <c r="C1895" s="2" t="s">
        <v>240</v>
      </c>
      <c r="D1895" s="2" t="s">
        <v>237</v>
      </c>
      <c r="E1895" s="2" t="s">
        <v>4647</v>
      </c>
      <c r="F1895" s="2">
        <v>23</v>
      </c>
      <c r="G1895" s="2">
        <v>23</v>
      </c>
      <c r="H1895" s="2">
        <v>0</v>
      </c>
      <c r="I1895" s="1">
        <v>0</v>
      </c>
      <c r="J1895" s="26">
        <v>45760</v>
      </c>
      <c r="K1895" s="22">
        <v>161000</v>
      </c>
      <c r="L1895" s="18">
        <v>172.19</v>
      </c>
      <c r="M1895" s="22">
        <v>116150</v>
      </c>
      <c r="N1895" s="22">
        <v>44850</v>
      </c>
      <c r="O1895" s="18">
        <v>47.97</v>
      </c>
      <c r="P1895" s="52">
        <f>IF(COUNTIF(TblPurchases[BatchID],TblOutcomes[[#This Row],[BatchID]])&lt;&gt;1,"n.a.",TblOutcomes[[#This Row],[Qty Wasted]]*SUMIFS(TblPurchases[Unit Cost (CLP)],TblPurchases[BatchID],TblOutcomes[[#This Row],[BatchID]]))</f>
        <v>0</v>
      </c>
      <c r="Q1895" s="51">
        <f>IF(COUNTIF(TblPurchases[BatchID],TblOutcomes[[#This Row],[BatchID]])&lt;&gt;1,"n.a.",SUMIFS(TblPurchases[Purchase Date],TblPurchases[BatchID],TblOutcomes[[#This Row],[BatchID]]))</f>
        <v>45750</v>
      </c>
    </row>
    <row r="1896" spans="2:17" x14ac:dyDescent="0.25">
      <c r="B1896" s="2" t="s">
        <v>2701</v>
      </c>
      <c r="C1896" s="2" t="s">
        <v>240</v>
      </c>
      <c r="D1896" s="2" t="s">
        <v>237</v>
      </c>
      <c r="E1896" s="2" t="s">
        <v>4647</v>
      </c>
      <c r="F1896" s="2">
        <v>20</v>
      </c>
      <c r="G1896" s="2">
        <v>20</v>
      </c>
      <c r="H1896" s="2">
        <v>0</v>
      </c>
      <c r="I1896" s="1">
        <v>0</v>
      </c>
      <c r="J1896" s="26">
        <v>45790</v>
      </c>
      <c r="K1896" s="22">
        <v>140000</v>
      </c>
      <c r="L1896" s="18">
        <v>149.72999999999999</v>
      </c>
      <c r="M1896" s="22">
        <v>101000</v>
      </c>
      <c r="N1896" s="22">
        <v>39000</v>
      </c>
      <c r="O1896" s="18">
        <v>41.71</v>
      </c>
      <c r="P1896" s="52">
        <f>IF(COUNTIF(TblPurchases[BatchID],TblOutcomes[[#This Row],[BatchID]])&lt;&gt;1,"n.a.",TblOutcomes[[#This Row],[Qty Wasted]]*SUMIFS(TblPurchases[Unit Cost (CLP)],TblPurchases[BatchID],TblOutcomes[[#This Row],[BatchID]]))</f>
        <v>0</v>
      </c>
      <c r="Q1896" s="51">
        <f>IF(COUNTIF(TblPurchases[BatchID],TblOutcomes[[#This Row],[BatchID]])&lt;&gt;1,"n.a.",SUMIFS(TblPurchases[Purchase Date],TblPurchases[BatchID],TblOutcomes[[#This Row],[BatchID]]))</f>
        <v>45770</v>
      </c>
    </row>
    <row r="1897" spans="2:17" x14ac:dyDescent="0.25">
      <c r="B1897" s="2" t="s">
        <v>2702</v>
      </c>
      <c r="C1897" s="2" t="s">
        <v>240</v>
      </c>
      <c r="D1897" s="2" t="s">
        <v>237</v>
      </c>
      <c r="E1897" s="2" t="s">
        <v>4646</v>
      </c>
      <c r="F1897" s="2">
        <v>23</v>
      </c>
      <c r="G1897" s="2">
        <v>22.68</v>
      </c>
      <c r="H1897" s="2">
        <v>0.32</v>
      </c>
      <c r="I1897" s="1">
        <v>1.4</v>
      </c>
      <c r="J1897" s="26">
        <v>45968</v>
      </c>
      <c r="K1897" s="22">
        <v>158760</v>
      </c>
      <c r="L1897" s="18">
        <v>169.8</v>
      </c>
      <c r="M1897" s="22">
        <v>116150</v>
      </c>
      <c r="N1897" s="22">
        <v>42610</v>
      </c>
      <c r="O1897" s="18">
        <v>45.57</v>
      </c>
      <c r="P1897" s="52">
        <f>IF(COUNTIF(TblPurchases[BatchID],TblOutcomes[[#This Row],[BatchID]])&lt;&gt;1,"n.a.",TblOutcomes[[#This Row],[Qty Wasted]]*SUMIFS(TblPurchases[Unit Cost (CLP)],TblPurchases[BatchID],TblOutcomes[[#This Row],[BatchID]]))</f>
        <v>1616</v>
      </c>
      <c r="Q1897" s="51">
        <f>IF(COUNTIF(TblPurchases[BatchID],TblOutcomes[[#This Row],[BatchID]])&lt;&gt;1,"n.a.",SUMIFS(TblPurchases[Purchase Date],TblPurchases[BatchID],TblOutcomes[[#This Row],[BatchID]]))</f>
        <v>45788</v>
      </c>
    </row>
    <row r="1898" spans="2:17" x14ac:dyDescent="0.25">
      <c r="B1898" s="2" t="s">
        <v>2703</v>
      </c>
      <c r="C1898" s="2" t="s">
        <v>240</v>
      </c>
      <c r="D1898" s="2" t="s">
        <v>237</v>
      </c>
      <c r="E1898" s="2" t="s">
        <v>4647</v>
      </c>
      <c r="F1898" s="2">
        <v>20</v>
      </c>
      <c r="G1898" s="2">
        <v>20</v>
      </c>
      <c r="H1898" s="2">
        <v>0</v>
      </c>
      <c r="I1898" s="1">
        <v>0</v>
      </c>
      <c r="J1898" s="26">
        <v>45816</v>
      </c>
      <c r="K1898" s="22">
        <v>140000</v>
      </c>
      <c r="L1898" s="18">
        <v>149.72999999999999</v>
      </c>
      <c r="M1898" s="22">
        <v>101000</v>
      </c>
      <c r="N1898" s="22">
        <v>39000</v>
      </c>
      <c r="O1898" s="18">
        <v>41.71</v>
      </c>
      <c r="P1898" s="52">
        <f>IF(COUNTIF(TblPurchases[BatchID],TblOutcomes[[#This Row],[BatchID]])&lt;&gt;1,"n.a.",TblOutcomes[[#This Row],[Qty Wasted]]*SUMIFS(TblPurchases[Unit Cost (CLP)],TblPurchases[BatchID],TblOutcomes[[#This Row],[BatchID]]))</f>
        <v>0</v>
      </c>
      <c r="Q1898" s="51">
        <f>IF(COUNTIF(TblPurchases[BatchID],TblOutcomes[[#This Row],[BatchID]])&lt;&gt;1,"n.a.",SUMIFS(TblPurchases[Purchase Date],TblPurchases[BatchID],TblOutcomes[[#This Row],[BatchID]]))</f>
        <v>45802</v>
      </c>
    </row>
    <row r="1899" spans="2:17" x14ac:dyDescent="0.25">
      <c r="B1899" s="2" t="s">
        <v>2704</v>
      </c>
      <c r="C1899" s="2" t="s">
        <v>240</v>
      </c>
      <c r="D1899" s="2" t="s">
        <v>237</v>
      </c>
      <c r="E1899" s="2" t="s">
        <v>4647</v>
      </c>
      <c r="F1899" s="2">
        <v>21</v>
      </c>
      <c r="G1899" s="2">
        <v>21</v>
      </c>
      <c r="H1899" s="2">
        <v>0</v>
      </c>
      <c r="I1899" s="1">
        <v>0</v>
      </c>
      <c r="J1899" s="26">
        <v>45830</v>
      </c>
      <c r="K1899" s="22">
        <v>147000</v>
      </c>
      <c r="L1899" s="18">
        <v>157.22</v>
      </c>
      <c r="M1899" s="22">
        <v>106050</v>
      </c>
      <c r="N1899" s="22">
        <v>40950</v>
      </c>
      <c r="O1899" s="18">
        <v>43.8</v>
      </c>
      <c r="P1899" s="52">
        <f>IF(COUNTIF(TblPurchases[BatchID],TblOutcomes[[#This Row],[BatchID]])&lt;&gt;1,"n.a.",TblOutcomes[[#This Row],[Qty Wasted]]*SUMIFS(TblPurchases[Unit Cost (CLP)],TblPurchases[BatchID],TblOutcomes[[#This Row],[BatchID]]))</f>
        <v>0</v>
      </c>
      <c r="Q1899" s="51">
        <f>IF(COUNTIF(TblPurchases[BatchID],TblOutcomes[[#This Row],[BatchID]])&lt;&gt;1,"n.a.",SUMIFS(TblPurchases[Purchase Date],TblPurchases[BatchID],TblOutcomes[[#This Row],[BatchID]]))</f>
        <v>45820</v>
      </c>
    </row>
    <row r="1900" spans="2:17" x14ac:dyDescent="0.25">
      <c r="B1900" s="2" t="s">
        <v>2705</v>
      </c>
      <c r="C1900" s="2" t="s">
        <v>242</v>
      </c>
      <c r="D1900" s="2" t="s">
        <v>237</v>
      </c>
      <c r="E1900" s="2" t="s">
        <v>4646</v>
      </c>
      <c r="F1900" s="2">
        <v>23</v>
      </c>
      <c r="G1900" s="2">
        <v>21.71</v>
      </c>
      <c r="H1900" s="2">
        <v>1.29</v>
      </c>
      <c r="I1900" s="1">
        <v>5.6</v>
      </c>
      <c r="J1900" s="26">
        <v>45297</v>
      </c>
      <c r="K1900" s="22">
        <v>217100</v>
      </c>
      <c r="L1900" s="18">
        <v>232.19</v>
      </c>
      <c r="M1900" s="22">
        <v>162150</v>
      </c>
      <c r="N1900" s="22">
        <v>54950</v>
      </c>
      <c r="O1900" s="18">
        <v>58.77</v>
      </c>
      <c r="P1900" s="52">
        <f>IF(COUNTIF(TblPurchases[BatchID],TblOutcomes[[#This Row],[BatchID]])&lt;&gt;1,"n.a.",TblOutcomes[[#This Row],[Qty Wasted]]*SUMIFS(TblPurchases[Unit Cost (CLP)],TblPurchases[BatchID],TblOutcomes[[#This Row],[BatchID]]))</f>
        <v>9094.5</v>
      </c>
      <c r="Q1900" s="51">
        <f>IF(COUNTIF(TblPurchases[BatchID],TblOutcomes[[#This Row],[BatchID]])&lt;&gt;1,"n.a.",SUMIFS(TblPurchases[Purchase Date],TblPurchases[BatchID],TblOutcomes[[#This Row],[BatchID]]))</f>
        <v>45117</v>
      </c>
    </row>
    <row r="1901" spans="2:17" x14ac:dyDescent="0.25">
      <c r="B1901" s="2" t="s">
        <v>2706</v>
      </c>
      <c r="C1901" s="2" t="s">
        <v>242</v>
      </c>
      <c r="D1901" s="2" t="s">
        <v>237</v>
      </c>
      <c r="E1901" s="2" t="s">
        <v>4647</v>
      </c>
      <c r="F1901" s="2">
        <v>18</v>
      </c>
      <c r="G1901" s="2">
        <v>18</v>
      </c>
      <c r="H1901" s="2">
        <v>0</v>
      </c>
      <c r="I1901" s="1">
        <v>0</v>
      </c>
      <c r="J1901" s="26">
        <v>45313</v>
      </c>
      <c r="K1901" s="22">
        <v>180000</v>
      </c>
      <c r="L1901" s="18">
        <v>192.51</v>
      </c>
      <c r="M1901" s="22">
        <v>126900</v>
      </c>
      <c r="N1901" s="22">
        <v>53100</v>
      </c>
      <c r="O1901" s="18">
        <v>56.79</v>
      </c>
      <c r="P1901" s="52">
        <f>IF(COUNTIF(TblPurchases[BatchID],TblOutcomes[[#This Row],[BatchID]])&lt;&gt;1,"n.a.",TblOutcomes[[#This Row],[Qty Wasted]]*SUMIFS(TblPurchases[Unit Cost (CLP)],TblPurchases[BatchID],TblOutcomes[[#This Row],[BatchID]]))</f>
        <v>0</v>
      </c>
      <c r="Q1901" s="51">
        <f>IF(COUNTIF(TblPurchases[BatchID],TblOutcomes[[#This Row],[BatchID]])&lt;&gt;1,"n.a.",SUMIFS(TblPurchases[Purchase Date],TblPurchases[BatchID],TblOutcomes[[#This Row],[BatchID]]))</f>
        <v>45133</v>
      </c>
    </row>
    <row r="1902" spans="2:17" x14ac:dyDescent="0.25">
      <c r="B1902" s="2" t="s">
        <v>2707</v>
      </c>
      <c r="C1902" s="2" t="s">
        <v>242</v>
      </c>
      <c r="D1902" s="2" t="s">
        <v>237</v>
      </c>
      <c r="E1902" s="2" t="s">
        <v>4646</v>
      </c>
      <c r="F1902" s="2">
        <v>21</v>
      </c>
      <c r="G1902" s="2">
        <v>19.68</v>
      </c>
      <c r="H1902" s="2">
        <v>1.32</v>
      </c>
      <c r="I1902" s="1">
        <v>6.3</v>
      </c>
      <c r="J1902" s="26">
        <v>45330</v>
      </c>
      <c r="K1902" s="22">
        <v>196800</v>
      </c>
      <c r="L1902" s="18">
        <v>210.48</v>
      </c>
      <c r="M1902" s="22">
        <v>148050</v>
      </c>
      <c r="N1902" s="22">
        <v>48750</v>
      </c>
      <c r="O1902" s="18">
        <v>52.14</v>
      </c>
      <c r="P1902" s="52">
        <f>IF(COUNTIF(TblPurchases[BatchID],TblOutcomes[[#This Row],[BatchID]])&lt;&gt;1,"n.a.",TblOutcomes[[#This Row],[Qty Wasted]]*SUMIFS(TblPurchases[Unit Cost (CLP)],TblPurchases[BatchID],TblOutcomes[[#This Row],[BatchID]]))</f>
        <v>9306</v>
      </c>
      <c r="Q1902" s="51">
        <f>IF(COUNTIF(TblPurchases[BatchID],TblOutcomes[[#This Row],[BatchID]])&lt;&gt;1,"n.a.",SUMIFS(TblPurchases[Purchase Date],TblPurchases[BatchID],TblOutcomes[[#This Row],[BatchID]]))</f>
        <v>45150</v>
      </c>
    </row>
    <row r="1903" spans="2:17" x14ac:dyDescent="0.25">
      <c r="B1903" s="2" t="s">
        <v>2708</v>
      </c>
      <c r="C1903" s="2" t="s">
        <v>242</v>
      </c>
      <c r="D1903" s="2" t="s">
        <v>237</v>
      </c>
      <c r="E1903" s="2" t="s">
        <v>4647</v>
      </c>
      <c r="F1903" s="2">
        <v>27</v>
      </c>
      <c r="G1903" s="2">
        <v>27</v>
      </c>
      <c r="H1903" s="2">
        <v>0</v>
      </c>
      <c r="I1903" s="1">
        <v>0</v>
      </c>
      <c r="J1903" s="26">
        <v>45194</v>
      </c>
      <c r="K1903" s="22">
        <v>270000</v>
      </c>
      <c r="L1903" s="18">
        <v>288.77</v>
      </c>
      <c r="M1903" s="22">
        <v>190350</v>
      </c>
      <c r="N1903" s="22">
        <v>79650</v>
      </c>
      <c r="O1903" s="18">
        <v>85.19</v>
      </c>
      <c r="P1903" s="52">
        <f>IF(COUNTIF(TblPurchases[BatchID],TblOutcomes[[#This Row],[BatchID]])&lt;&gt;1,"n.a.",TblOutcomes[[#This Row],[Qty Wasted]]*SUMIFS(TblPurchases[Unit Cost (CLP)],TblPurchases[BatchID],TblOutcomes[[#This Row],[BatchID]]))</f>
        <v>0</v>
      </c>
      <c r="Q1903" s="51">
        <f>IF(COUNTIF(TblPurchases[BatchID],TblOutcomes[[#This Row],[BatchID]])&lt;&gt;1,"n.a.",SUMIFS(TblPurchases[Purchase Date],TblPurchases[BatchID],TblOutcomes[[#This Row],[BatchID]]))</f>
        <v>45176</v>
      </c>
    </row>
    <row r="1904" spans="2:17" x14ac:dyDescent="0.25">
      <c r="B1904" s="2" t="s">
        <v>2709</v>
      </c>
      <c r="C1904" s="2" t="s">
        <v>242</v>
      </c>
      <c r="D1904" s="2" t="s">
        <v>237</v>
      </c>
      <c r="E1904" s="2" t="s">
        <v>4647</v>
      </c>
      <c r="F1904" s="2">
        <v>21</v>
      </c>
      <c r="G1904" s="2">
        <v>21</v>
      </c>
      <c r="H1904" s="2">
        <v>0</v>
      </c>
      <c r="I1904" s="1">
        <v>0</v>
      </c>
      <c r="J1904" s="26">
        <v>45214</v>
      </c>
      <c r="K1904" s="22">
        <v>210000</v>
      </c>
      <c r="L1904" s="18">
        <v>224.6</v>
      </c>
      <c r="M1904" s="22">
        <v>148050</v>
      </c>
      <c r="N1904" s="22">
        <v>61950</v>
      </c>
      <c r="O1904" s="18">
        <v>66.260000000000005</v>
      </c>
      <c r="P1904" s="52">
        <f>IF(COUNTIF(TblPurchases[BatchID],TblOutcomes[[#This Row],[BatchID]])&lt;&gt;1,"n.a.",TblOutcomes[[#This Row],[Qty Wasted]]*SUMIFS(TblPurchases[Unit Cost (CLP)],TblPurchases[BatchID],TblOutcomes[[#This Row],[BatchID]]))</f>
        <v>0</v>
      </c>
      <c r="Q1904" s="51">
        <f>IF(COUNTIF(TblPurchases[BatchID],TblOutcomes[[#This Row],[BatchID]])&lt;&gt;1,"n.a.",SUMIFS(TblPurchases[Purchase Date],TblPurchases[BatchID],TblOutcomes[[#This Row],[BatchID]]))</f>
        <v>45202</v>
      </c>
    </row>
    <row r="1905" spans="2:17" x14ac:dyDescent="0.25">
      <c r="B1905" s="2" t="s">
        <v>2710</v>
      </c>
      <c r="C1905" s="2" t="s">
        <v>242</v>
      </c>
      <c r="D1905" s="2" t="s">
        <v>237</v>
      </c>
      <c r="E1905" s="2" t="s">
        <v>4646</v>
      </c>
      <c r="F1905" s="2">
        <v>19</v>
      </c>
      <c r="G1905" s="2">
        <v>16.989999999999998</v>
      </c>
      <c r="H1905" s="2">
        <v>2.0099999999999998</v>
      </c>
      <c r="I1905" s="1">
        <v>10.6</v>
      </c>
      <c r="J1905" s="26">
        <v>45407</v>
      </c>
      <c r="K1905" s="22">
        <v>169900</v>
      </c>
      <c r="L1905" s="18">
        <v>181.71</v>
      </c>
      <c r="M1905" s="22">
        <v>133950</v>
      </c>
      <c r="N1905" s="22">
        <v>35950</v>
      </c>
      <c r="O1905" s="18">
        <v>38.450000000000003</v>
      </c>
      <c r="P1905" s="52">
        <f>IF(COUNTIF(TblPurchases[BatchID],TblOutcomes[[#This Row],[BatchID]])&lt;&gt;1,"n.a.",TblOutcomes[[#This Row],[Qty Wasted]]*SUMIFS(TblPurchases[Unit Cost (CLP)],TblPurchases[BatchID],TblOutcomes[[#This Row],[BatchID]]))</f>
        <v>14170.499999999998</v>
      </c>
      <c r="Q1905" s="51">
        <f>IF(COUNTIF(TblPurchases[BatchID],TblOutcomes[[#This Row],[BatchID]])&lt;&gt;1,"n.a.",SUMIFS(TblPurchases[Purchase Date],TblPurchases[BatchID],TblOutcomes[[#This Row],[BatchID]]))</f>
        <v>45227</v>
      </c>
    </row>
    <row r="1906" spans="2:17" x14ac:dyDescent="0.25">
      <c r="B1906" s="2" t="s">
        <v>2711</v>
      </c>
      <c r="C1906" s="2" t="s">
        <v>242</v>
      </c>
      <c r="D1906" s="2" t="s">
        <v>237</v>
      </c>
      <c r="E1906" s="2" t="s">
        <v>4647</v>
      </c>
      <c r="F1906" s="2">
        <v>20</v>
      </c>
      <c r="G1906" s="2">
        <v>20</v>
      </c>
      <c r="H1906" s="2">
        <v>0</v>
      </c>
      <c r="I1906" s="1">
        <v>0</v>
      </c>
      <c r="J1906" s="26">
        <v>45269</v>
      </c>
      <c r="K1906" s="22">
        <v>200000</v>
      </c>
      <c r="L1906" s="18">
        <v>213.9</v>
      </c>
      <c r="M1906" s="22">
        <v>141000</v>
      </c>
      <c r="N1906" s="22">
        <v>59000</v>
      </c>
      <c r="O1906" s="18">
        <v>63.1</v>
      </c>
      <c r="P1906" s="52">
        <f>IF(COUNTIF(TblPurchases[BatchID],TblOutcomes[[#This Row],[BatchID]])&lt;&gt;1,"n.a.",TblOutcomes[[#This Row],[Qty Wasted]]*SUMIFS(TblPurchases[Unit Cost (CLP)],TblPurchases[BatchID],TblOutcomes[[#This Row],[BatchID]]))</f>
        <v>0</v>
      </c>
      <c r="Q1906" s="51">
        <f>IF(COUNTIF(TblPurchases[BatchID],TblOutcomes[[#This Row],[BatchID]])&lt;&gt;1,"n.a.",SUMIFS(TblPurchases[Purchase Date],TblPurchases[BatchID],TblOutcomes[[#This Row],[BatchID]]))</f>
        <v>45244</v>
      </c>
    </row>
    <row r="1907" spans="2:17" x14ac:dyDescent="0.25">
      <c r="B1907" s="2" t="s">
        <v>2712</v>
      </c>
      <c r="C1907" s="2" t="s">
        <v>242</v>
      </c>
      <c r="D1907" s="2" t="s">
        <v>237</v>
      </c>
      <c r="E1907" s="2" t="s">
        <v>4646</v>
      </c>
      <c r="F1907" s="2">
        <v>22</v>
      </c>
      <c r="G1907" s="2">
        <v>20.239999999999998</v>
      </c>
      <c r="H1907" s="2">
        <v>1.76</v>
      </c>
      <c r="I1907" s="1">
        <v>8</v>
      </c>
      <c r="J1907" s="26">
        <v>45440</v>
      </c>
      <c r="K1907" s="22">
        <v>202400</v>
      </c>
      <c r="L1907" s="18">
        <v>216.47</v>
      </c>
      <c r="M1907" s="22">
        <v>155100</v>
      </c>
      <c r="N1907" s="22">
        <v>47300</v>
      </c>
      <c r="O1907" s="18">
        <v>50.59</v>
      </c>
      <c r="P1907" s="52">
        <f>IF(COUNTIF(TblPurchases[BatchID],TblOutcomes[[#This Row],[BatchID]])&lt;&gt;1,"n.a.",TblOutcomes[[#This Row],[Qty Wasted]]*SUMIFS(TblPurchases[Unit Cost (CLP)],TblPurchases[BatchID],TblOutcomes[[#This Row],[BatchID]]))</f>
        <v>12408</v>
      </c>
      <c r="Q1907" s="51">
        <f>IF(COUNTIF(TblPurchases[BatchID],TblOutcomes[[#This Row],[BatchID]])&lt;&gt;1,"n.a.",SUMIFS(TblPurchases[Purchase Date],TblPurchases[BatchID],TblOutcomes[[#This Row],[BatchID]]))</f>
        <v>45260</v>
      </c>
    </row>
    <row r="1908" spans="2:17" x14ac:dyDescent="0.25">
      <c r="B1908" s="2" t="s">
        <v>2713</v>
      </c>
      <c r="C1908" s="2" t="s">
        <v>242</v>
      </c>
      <c r="D1908" s="2" t="s">
        <v>237</v>
      </c>
      <c r="E1908" s="2" t="s">
        <v>4646</v>
      </c>
      <c r="F1908" s="2">
        <v>25</v>
      </c>
      <c r="G1908" s="2">
        <v>22.48</v>
      </c>
      <c r="H1908" s="2">
        <v>2.5299999999999998</v>
      </c>
      <c r="I1908" s="1">
        <v>10.1</v>
      </c>
      <c r="J1908" s="26">
        <v>45460</v>
      </c>
      <c r="K1908" s="22">
        <v>224800</v>
      </c>
      <c r="L1908" s="18">
        <v>240.43</v>
      </c>
      <c r="M1908" s="22">
        <v>176250</v>
      </c>
      <c r="N1908" s="22">
        <v>48550</v>
      </c>
      <c r="O1908" s="18">
        <v>51.93</v>
      </c>
      <c r="P1908" s="52">
        <f>IF(COUNTIF(TblPurchases[BatchID],TblOutcomes[[#This Row],[BatchID]])&lt;&gt;1,"n.a.",TblOutcomes[[#This Row],[Qty Wasted]]*SUMIFS(TblPurchases[Unit Cost (CLP)],TblPurchases[BatchID],TblOutcomes[[#This Row],[BatchID]]))</f>
        <v>17836.5</v>
      </c>
      <c r="Q1908" s="51">
        <f>IF(COUNTIF(TblPurchases[BatchID],TblOutcomes[[#This Row],[BatchID]])&lt;&gt;1,"n.a.",SUMIFS(TblPurchases[Purchase Date],TblPurchases[BatchID],TblOutcomes[[#This Row],[BatchID]]))</f>
        <v>45280</v>
      </c>
    </row>
    <row r="1909" spans="2:17" x14ac:dyDescent="0.25">
      <c r="B1909" s="2" t="s">
        <v>2714</v>
      </c>
      <c r="C1909" s="2" t="s">
        <v>242</v>
      </c>
      <c r="D1909" s="2" t="s">
        <v>237</v>
      </c>
      <c r="E1909" s="2" t="s">
        <v>4646</v>
      </c>
      <c r="F1909" s="2">
        <v>22</v>
      </c>
      <c r="G1909" s="2">
        <v>19.29</v>
      </c>
      <c r="H1909" s="2">
        <v>2.71</v>
      </c>
      <c r="I1909" s="1">
        <v>12.3</v>
      </c>
      <c r="J1909" s="26">
        <v>45485</v>
      </c>
      <c r="K1909" s="22">
        <v>192900</v>
      </c>
      <c r="L1909" s="18">
        <v>206.31</v>
      </c>
      <c r="M1909" s="22">
        <v>155100</v>
      </c>
      <c r="N1909" s="22">
        <v>37800</v>
      </c>
      <c r="O1909" s="18">
        <v>40.43</v>
      </c>
      <c r="P1909" s="52">
        <f>IF(COUNTIF(TblPurchases[BatchID],TblOutcomes[[#This Row],[BatchID]])&lt;&gt;1,"n.a.",TblOutcomes[[#This Row],[Qty Wasted]]*SUMIFS(TblPurchases[Unit Cost (CLP)],TblPurchases[BatchID],TblOutcomes[[#This Row],[BatchID]]))</f>
        <v>19105.5</v>
      </c>
      <c r="Q1909" s="51">
        <f>IF(COUNTIF(TblPurchases[BatchID],TblOutcomes[[#This Row],[BatchID]])&lt;&gt;1,"n.a.",SUMIFS(TblPurchases[Purchase Date],TblPurchases[BatchID],TblOutcomes[[#This Row],[BatchID]]))</f>
        <v>45305</v>
      </c>
    </row>
    <row r="1910" spans="2:17" x14ac:dyDescent="0.25">
      <c r="B1910" s="2" t="s">
        <v>2715</v>
      </c>
      <c r="C1910" s="2" t="s">
        <v>242</v>
      </c>
      <c r="D1910" s="2" t="s">
        <v>237</v>
      </c>
      <c r="E1910" s="2" t="s">
        <v>4646</v>
      </c>
      <c r="F1910" s="2">
        <v>20</v>
      </c>
      <c r="G1910" s="2">
        <v>17.98</v>
      </c>
      <c r="H1910" s="2">
        <v>2.02</v>
      </c>
      <c r="I1910" s="1">
        <v>10.1</v>
      </c>
      <c r="J1910" s="26">
        <v>45500</v>
      </c>
      <c r="K1910" s="22">
        <v>179800</v>
      </c>
      <c r="L1910" s="18">
        <v>192.3</v>
      </c>
      <c r="M1910" s="22">
        <v>141000</v>
      </c>
      <c r="N1910" s="22">
        <v>38800</v>
      </c>
      <c r="O1910" s="18">
        <v>41.5</v>
      </c>
      <c r="P1910" s="52">
        <f>IF(COUNTIF(TblPurchases[BatchID],TblOutcomes[[#This Row],[BatchID]])&lt;&gt;1,"n.a.",TblOutcomes[[#This Row],[Qty Wasted]]*SUMIFS(TblPurchases[Unit Cost (CLP)],TblPurchases[BatchID],TblOutcomes[[#This Row],[BatchID]]))</f>
        <v>14241</v>
      </c>
      <c r="Q1910" s="51">
        <f>IF(COUNTIF(TblPurchases[BatchID],TblOutcomes[[#This Row],[BatchID]])&lt;&gt;1,"n.a.",SUMIFS(TblPurchases[Purchase Date],TblPurchases[BatchID],TblOutcomes[[#This Row],[BatchID]]))</f>
        <v>45320</v>
      </c>
    </row>
    <row r="1911" spans="2:17" x14ac:dyDescent="0.25">
      <c r="B1911" s="2" t="s">
        <v>2716</v>
      </c>
      <c r="C1911" s="2" t="s">
        <v>242</v>
      </c>
      <c r="D1911" s="2" t="s">
        <v>237</v>
      </c>
      <c r="E1911" s="2" t="s">
        <v>4647</v>
      </c>
      <c r="F1911" s="2">
        <v>20</v>
      </c>
      <c r="G1911" s="2">
        <v>20</v>
      </c>
      <c r="H1911" s="2">
        <v>0</v>
      </c>
      <c r="I1911" s="1">
        <v>0</v>
      </c>
      <c r="J1911" s="26">
        <v>45354</v>
      </c>
      <c r="K1911" s="22">
        <v>200000</v>
      </c>
      <c r="L1911" s="18">
        <v>213.9</v>
      </c>
      <c r="M1911" s="22">
        <v>141000</v>
      </c>
      <c r="N1911" s="22">
        <v>59000</v>
      </c>
      <c r="O1911" s="18">
        <v>63.1</v>
      </c>
      <c r="P1911" s="52">
        <f>IF(COUNTIF(TblPurchases[BatchID],TblOutcomes[[#This Row],[BatchID]])&lt;&gt;1,"n.a.",TblOutcomes[[#This Row],[Qty Wasted]]*SUMIFS(TblPurchases[Unit Cost (CLP)],TblPurchases[BatchID],TblOutcomes[[#This Row],[BatchID]]))</f>
        <v>0</v>
      </c>
      <c r="Q1911" s="51">
        <f>IF(COUNTIF(TblPurchases[BatchID],TblOutcomes[[#This Row],[BatchID]])&lt;&gt;1,"n.a.",SUMIFS(TblPurchases[Purchase Date],TblPurchases[BatchID],TblOutcomes[[#This Row],[BatchID]]))</f>
        <v>45339</v>
      </c>
    </row>
    <row r="1912" spans="2:17" x14ac:dyDescent="0.25">
      <c r="B1912" s="2" t="s">
        <v>2717</v>
      </c>
      <c r="C1912" s="2" t="s">
        <v>242</v>
      </c>
      <c r="D1912" s="2" t="s">
        <v>237</v>
      </c>
      <c r="E1912" s="2" t="s">
        <v>4647</v>
      </c>
      <c r="F1912" s="2">
        <v>19</v>
      </c>
      <c r="G1912" s="2">
        <v>19</v>
      </c>
      <c r="H1912" s="2">
        <v>0</v>
      </c>
      <c r="I1912" s="1">
        <v>0</v>
      </c>
      <c r="J1912" s="26">
        <v>45381</v>
      </c>
      <c r="K1912" s="22">
        <v>190000</v>
      </c>
      <c r="L1912" s="18">
        <v>203.21</v>
      </c>
      <c r="M1912" s="22">
        <v>133950</v>
      </c>
      <c r="N1912" s="22">
        <v>56050</v>
      </c>
      <c r="O1912" s="18">
        <v>59.95</v>
      </c>
      <c r="P1912" s="52">
        <f>IF(COUNTIF(TblPurchases[BatchID],TblOutcomes[[#This Row],[BatchID]])&lt;&gt;1,"n.a.",TblOutcomes[[#This Row],[Qty Wasted]]*SUMIFS(TblPurchases[Unit Cost (CLP)],TblPurchases[BatchID],TblOutcomes[[#This Row],[BatchID]]))</f>
        <v>0</v>
      </c>
      <c r="Q1912" s="51">
        <f>IF(COUNTIF(TblPurchases[BatchID],TblOutcomes[[#This Row],[BatchID]])&lt;&gt;1,"n.a.",SUMIFS(TblPurchases[Purchase Date],TblPurchases[BatchID],TblOutcomes[[#This Row],[BatchID]]))</f>
        <v>45362</v>
      </c>
    </row>
    <row r="1913" spans="2:17" x14ac:dyDescent="0.25">
      <c r="B1913" s="2" t="s">
        <v>2718</v>
      </c>
      <c r="C1913" s="2" t="s">
        <v>242</v>
      </c>
      <c r="D1913" s="2" t="s">
        <v>237</v>
      </c>
      <c r="E1913" s="2" t="s">
        <v>4647</v>
      </c>
      <c r="F1913" s="2">
        <v>17</v>
      </c>
      <c r="G1913" s="2">
        <v>17</v>
      </c>
      <c r="H1913" s="2">
        <v>0</v>
      </c>
      <c r="I1913" s="1">
        <v>0</v>
      </c>
      <c r="J1913" s="26">
        <v>45405</v>
      </c>
      <c r="K1913" s="22">
        <v>170000</v>
      </c>
      <c r="L1913" s="18">
        <v>181.82</v>
      </c>
      <c r="M1913" s="22">
        <v>119850</v>
      </c>
      <c r="N1913" s="22">
        <v>50150</v>
      </c>
      <c r="O1913" s="18">
        <v>53.64</v>
      </c>
      <c r="P1913" s="52">
        <f>IF(COUNTIF(TblPurchases[BatchID],TblOutcomes[[#This Row],[BatchID]])&lt;&gt;1,"n.a.",TblOutcomes[[#This Row],[Qty Wasted]]*SUMIFS(TblPurchases[Unit Cost (CLP)],TblPurchases[BatchID],TblOutcomes[[#This Row],[BatchID]]))</f>
        <v>0</v>
      </c>
      <c r="Q1913" s="51">
        <f>IF(COUNTIF(TblPurchases[BatchID],TblOutcomes[[#This Row],[BatchID]])&lt;&gt;1,"n.a.",SUMIFS(TblPurchases[Purchase Date],TblPurchases[BatchID],TblOutcomes[[#This Row],[BatchID]]))</f>
        <v>45385</v>
      </c>
    </row>
    <row r="1914" spans="2:17" x14ac:dyDescent="0.25">
      <c r="B1914" s="2" t="s">
        <v>2719</v>
      </c>
      <c r="C1914" s="2" t="s">
        <v>242</v>
      </c>
      <c r="D1914" s="2" t="s">
        <v>237</v>
      </c>
      <c r="E1914" s="2" t="s">
        <v>4647</v>
      </c>
      <c r="F1914" s="2">
        <v>19</v>
      </c>
      <c r="G1914" s="2">
        <v>19</v>
      </c>
      <c r="H1914" s="2">
        <v>0</v>
      </c>
      <c r="I1914" s="1">
        <v>0</v>
      </c>
      <c r="J1914" s="26">
        <v>45423</v>
      </c>
      <c r="K1914" s="22">
        <v>190000</v>
      </c>
      <c r="L1914" s="18">
        <v>203.21</v>
      </c>
      <c r="M1914" s="22">
        <v>133950</v>
      </c>
      <c r="N1914" s="22">
        <v>56050</v>
      </c>
      <c r="O1914" s="18">
        <v>59.95</v>
      </c>
      <c r="P1914" s="52">
        <f>IF(COUNTIF(TblPurchases[BatchID],TblOutcomes[[#This Row],[BatchID]])&lt;&gt;1,"n.a.",TblOutcomes[[#This Row],[Qty Wasted]]*SUMIFS(TblPurchases[Unit Cost (CLP)],TblPurchases[BatchID],TblOutcomes[[#This Row],[BatchID]]))</f>
        <v>0</v>
      </c>
      <c r="Q1914" s="51">
        <f>IF(COUNTIF(TblPurchases[BatchID],TblOutcomes[[#This Row],[BatchID]])&lt;&gt;1,"n.a.",SUMIFS(TblPurchases[Purchase Date],TblPurchases[BatchID],TblOutcomes[[#This Row],[BatchID]]))</f>
        <v>45404</v>
      </c>
    </row>
    <row r="1915" spans="2:17" x14ac:dyDescent="0.25">
      <c r="B1915" s="2" t="s">
        <v>2720</v>
      </c>
      <c r="C1915" s="2" t="s">
        <v>242</v>
      </c>
      <c r="D1915" s="2" t="s">
        <v>237</v>
      </c>
      <c r="E1915" s="2" t="s">
        <v>4647</v>
      </c>
      <c r="F1915" s="2">
        <v>18</v>
      </c>
      <c r="G1915" s="2">
        <v>18</v>
      </c>
      <c r="H1915" s="2">
        <v>0</v>
      </c>
      <c r="I1915" s="1">
        <v>0</v>
      </c>
      <c r="J1915" s="26">
        <v>45438</v>
      </c>
      <c r="K1915" s="22">
        <v>180000</v>
      </c>
      <c r="L1915" s="18">
        <v>192.51</v>
      </c>
      <c r="M1915" s="22">
        <v>126900</v>
      </c>
      <c r="N1915" s="22">
        <v>53100</v>
      </c>
      <c r="O1915" s="18">
        <v>56.79</v>
      </c>
      <c r="P1915" s="52">
        <f>IF(COUNTIF(TblPurchases[BatchID],TblOutcomes[[#This Row],[BatchID]])&lt;&gt;1,"n.a.",TblOutcomes[[#This Row],[Qty Wasted]]*SUMIFS(TblPurchases[Unit Cost (CLP)],TblPurchases[BatchID],TblOutcomes[[#This Row],[BatchID]]))</f>
        <v>0</v>
      </c>
      <c r="Q1915" s="51">
        <f>IF(COUNTIF(TblPurchases[BatchID],TblOutcomes[[#This Row],[BatchID]])&lt;&gt;1,"n.a.",SUMIFS(TblPurchases[Purchase Date],TblPurchases[BatchID],TblOutcomes[[#This Row],[BatchID]]))</f>
        <v>45425</v>
      </c>
    </row>
    <row r="1916" spans="2:17" x14ac:dyDescent="0.25">
      <c r="B1916" s="2" t="s">
        <v>2721</v>
      </c>
      <c r="C1916" s="2" t="s">
        <v>242</v>
      </c>
      <c r="D1916" s="2" t="s">
        <v>237</v>
      </c>
      <c r="E1916" s="2" t="s">
        <v>4647</v>
      </c>
      <c r="F1916" s="2">
        <v>22</v>
      </c>
      <c r="G1916" s="2">
        <v>22</v>
      </c>
      <c r="H1916" s="2">
        <v>0</v>
      </c>
      <c r="I1916" s="1">
        <v>0</v>
      </c>
      <c r="J1916" s="26">
        <v>45468</v>
      </c>
      <c r="K1916" s="22">
        <v>220000</v>
      </c>
      <c r="L1916" s="18">
        <v>235.29</v>
      </c>
      <c r="M1916" s="22">
        <v>162800</v>
      </c>
      <c r="N1916" s="22">
        <v>57200</v>
      </c>
      <c r="O1916" s="18">
        <v>61.18</v>
      </c>
      <c r="P1916" s="52">
        <f>IF(COUNTIF(TblPurchases[BatchID],TblOutcomes[[#This Row],[BatchID]])&lt;&gt;1,"n.a.",TblOutcomes[[#This Row],[Qty Wasted]]*SUMIFS(TblPurchases[Unit Cost (CLP)],TblPurchases[BatchID],TblOutcomes[[#This Row],[BatchID]]))</f>
        <v>0</v>
      </c>
      <c r="Q1916" s="51">
        <f>IF(COUNTIF(TblPurchases[BatchID],TblOutcomes[[#This Row],[BatchID]])&lt;&gt;1,"n.a.",SUMIFS(TblPurchases[Purchase Date],TblPurchases[BatchID],TblOutcomes[[#This Row],[BatchID]]))</f>
        <v>45451</v>
      </c>
    </row>
    <row r="1917" spans="2:17" x14ac:dyDescent="0.25">
      <c r="B1917" s="2" t="s">
        <v>2722</v>
      </c>
      <c r="C1917" s="2" t="s">
        <v>242</v>
      </c>
      <c r="D1917" s="2" t="s">
        <v>237</v>
      </c>
      <c r="E1917" s="2" t="s">
        <v>4647</v>
      </c>
      <c r="F1917" s="2">
        <v>19</v>
      </c>
      <c r="G1917" s="2">
        <v>19</v>
      </c>
      <c r="H1917" s="2">
        <v>0</v>
      </c>
      <c r="I1917" s="1">
        <v>0</v>
      </c>
      <c r="J1917" s="26">
        <v>45484</v>
      </c>
      <c r="K1917" s="22">
        <v>190000</v>
      </c>
      <c r="L1917" s="18">
        <v>203.21</v>
      </c>
      <c r="M1917" s="22">
        <v>133950</v>
      </c>
      <c r="N1917" s="22">
        <v>56050</v>
      </c>
      <c r="O1917" s="18">
        <v>59.95</v>
      </c>
      <c r="P1917" s="52">
        <f>IF(COUNTIF(TblPurchases[BatchID],TblOutcomes[[#This Row],[BatchID]])&lt;&gt;1,"n.a.",TblOutcomes[[#This Row],[Qty Wasted]]*SUMIFS(TblPurchases[Unit Cost (CLP)],TblPurchases[BatchID],TblOutcomes[[#This Row],[BatchID]]))</f>
        <v>0</v>
      </c>
      <c r="Q1917" s="51">
        <f>IF(COUNTIF(TblPurchases[BatchID],TblOutcomes[[#This Row],[BatchID]])&lt;&gt;1,"n.a.",SUMIFS(TblPurchases[Purchase Date],TblPurchases[BatchID],TblOutcomes[[#This Row],[BatchID]]))</f>
        <v>45469</v>
      </c>
    </row>
    <row r="1918" spans="2:17" x14ac:dyDescent="0.25">
      <c r="B1918" s="2" t="s">
        <v>2723</v>
      </c>
      <c r="C1918" s="2" t="s">
        <v>242</v>
      </c>
      <c r="D1918" s="2" t="s">
        <v>237</v>
      </c>
      <c r="E1918" s="2" t="s">
        <v>4647</v>
      </c>
      <c r="F1918" s="2">
        <v>20</v>
      </c>
      <c r="G1918" s="2">
        <v>20</v>
      </c>
      <c r="H1918" s="2">
        <v>0</v>
      </c>
      <c r="I1918" s="1">
        <v>0</v>
      </c>
      <c r="J1918" s="26">
        <v>45494</v>
      </c>
      <c r="K1918" s="22">
        <v>200000</v>
      </c>
      <c r="L1918" s="18">
        <v>213.9</v>
      </c>
      <c r="M1918" s="22">
        <v>141000</v>
      </c>
      <c r="N1918" s="22">
        <v>59000</v>
      </c>
      <c r="O1918" s="18">
        <v>63.1</v>
      </c>
      <c r="P1918" s="52">
        <f>IF(COUNTIF(TblPurchases[BatchID],TblOutcomes[[#This Row],[BatchID]])&lt;&gt;1,"n.a.",TblOutcomes[[#This Row],[Qty Wasted]]*SUMIFS(TblPurchases[Unit Cost (CLP)],TblPurchases[BatchID],TblOutcomes[[#This Row],[BatchID]]))</f>
        <v>0</v>
      </c>
      <c r="Q1918" s="51">
        <f>IF(COUNTIF(TblPurchases[BatchID],TblOutcomes[[#This Row],[BatchID]])&lt;&gt;1,"n.a.",SUMIFS(TblPurchases[Purchase Date],TblPurchases[BatchID],TblOutcomes[[#This Row],[BatchID]]))</f>
        <v>45488</v>
      </c>
    </row>
    <row r="1919" spans="2:17" x14ac:dyDescent="0.25">
      <c r="B1919" s="2" t="s">
        <v>2724</v>
      </c>
      <c r="C1919" s="2" t="s">
        <v>242</v>
      </c>
      <c r="D1919" s="2" t="s">
        <v>237</v>
      </c>
      <c r="E1919" s="2" t="s">
        <v>4646</v>
      </c>
      <c r="F1919" s="2">
        <v>21</v>
      </c>
      <c r="G1919" s="2">
        <v>19.36</v>
      </c>
      <c r="H1919" s="2">
        <v>1.64</v>
      </c>
      <c r="I1919" s="1">
        <v>7.8</v>
      </c>
      <c r="J1919" s="26">
        <v>45688</v>
      </c>
      <c r="K1919" s="22">
        <v>193600</v>
      </c>
      <c r="L1919" s="18">
        <v>207.06</v>
      </c>
      <c r="M1919" s="22">
        <v>155400</v>
      </c>
      <c r="N1919" s="22">
        <v>38200</v>
      </c>
      <c r="O1919" s="18">
        <v>40.86</v>
      </c>
      <c r="P1919" s="52">
        <f>IF(COUNTIF(TblPurchases[BatchID],TblOutcomes[[#This Row],[BatchID]])&lt;&gt;1,"n.a.",TblOutcomes[[#This Row],[Qty Wasted]]*SUMIFS(TblPurchases[Unit Cost (CLP)],TblPurchases[BatchID],TblOutcomes[[#This Row],[BatchID]]))</f>
        <v>12136</v>
      </c>
      <c r="Q1919" s="51">
        <f>IF(COUNTIF(TblPurchases[BatchID],TblOutcomes[[#This Row],[BatchID]])&lt;&gt;1,"n.a.",SUMIFS(TblPurchases[Purchase Date],TblPurchases[BatchID],TblOutcomes[[#This Row],[BatchID]]))</f>
        <v>45508</v>
      </c>
    </row>
    <row r="1920" spans="2:17" x14ac:dyDescent="0.25">
      <c r="B1920" s="2" t="s">
        <v>2725</v>
      </c>
      <c r="C1920" s="2" t="s">
        <v>242</v>
      </c>
      <c r="D1920" s="2" t="s">
        <v>237</v>
      </c>
      <c r="E1920" s="2" t="s">
        <v>4647</v>
      </c>
      <c r="F1920" s="2">
        <v>22</v>
      </c>
      <c r="G1920" s="2">
        <v>22</v>
      </c>
      <c r="H1920" s="2">
        <v>0</v>
      </c>
      <c r="I1920" s="1">
        <v>0</v>
      </c>
      <c r="J1920" s="26">
        <v>45546</v>
      </c>
      <c r="K1920" s="22">
        <v>220000</v>
      </c>
      <c r="L1920" s="18">
        <v>235.29</v>
      </c>
      <c r="M1920" s="22">
        <v>155100</v>
      </c>
      <c r="N1920" s="22">
        <v>64900</v>
      </c>
      <c r="O1920" s="18">
        <v>69.41</v>
      </c>
      <c r="P1920" s="52">
        <f>IF(COUNTIF(TblPurchases[BatchID],TblOutcomes[[#This Row],[BatchID]])&lt;&gt;1,"n.a.",TblOutcomes[[#This Row],[Qty Wasted]]*SUMIFS(TblPurchases[Unit Cost (CLP)],TblPurchases[BatchID],TblOutcomes[[#This Row],[BatchID]]))</f>
        <v>0</v>
      </c>
      <c r="Q1920" s="51">
        <f>IF(COUNTIF(TblPurchases[BatchID],TblOutcomes[[#This Row],[BatchID]])&lt;&gt;1,"n.a.",SUMIFS(TblPurchases[Purchase Date],TblPurchases[BatchID],TblOutcomes[[#This Row],[BatchID]]))</f>
        <v>45527</v>
      </c>
    </row>
    <row r="1921" spans="2:17" x14ac:dyDescent="0.25">
      <c r="B1921" s="2" t="s">
        <v>2726</v>
      </c>
      <c r="C1921" s="2" t="s">
        <v>242</v>
      </c>
      <c r="D1921" s="2" t="s">
        <v>237</v>
      </c>
      <c r="E1921" s="2" t="s">
        <v>4647</v>
      </c>
      <c r="F1921" s="2">
        <v>24</v>
      </c>
      <c r="G1921" s="2">
        <v>24</v>
      </c>
      <c r="H1921" s="2">
        <v>0</v>
      </c>
      <c r="I1921" s="1">
        <v>0</v>
      </c>
      <c r="J1921" s="26">
        <v>45562</v>
      </c>
      <c r="K1921" s="22">
        <v>240000</v>
      </c>
      <c r="L1921" s="18">
        <v>256.68</v>
      </c>
      <c r="M1921" s="22">
        <v>169200</v>
      </c>
      <c r="N1921" s="22">
        <v>70800</v>
      </c>
      <c r="O1921" s="18">
        <v>75.72</v>
      </c>
      <c r="P1921" s="52">
        <f>IF(COUNTIF(TblPurchases[BatchID],TblOutcomes[[#This Row],[BatchID]])&lt;&gt;1,"n.a.",TblOutcomes[[#This Row],[Qty Wasted]]*SUMIFS(TblPurchases[Unit Cost (CLP)],TblPurchases[BatchID],TblOutcomes[[#This Row],[BatchID]]))</f>
        <v>0</v>
      </c>
      <c r="Q1921" s="51">
        <f>IF(COUNTIF(TblPurchases[BatchID],TblOutcomes[[#This Row],[BatchID]])&lt;&gt;1,"n.a.",SUMIFS(TblPurchases[Purchase Date],TblPurchases[BatchID],TblOutcomes[[#This Row],[BatchID]]))</f>
        <v>45547</v>
      </c>
    </row>
    <row r="1922" spans="2:17" x14ac:dyDescent="0.25">
      <c r="B1922" s="2" t="s">
        <v>2727</v>
      </c>
      <c r="C1922" s="2" t="s">
        <v>242</v>
      </c>
      <c r="D1922" s="2" t="s">
        <v>237</v>
      </c>
      <c r="E1922" s="2" t="s">
        <v>4647</v>
      </c>
      <c r="F1922" s="2">
        <v>19</v>
      </c>
      <c r="G1922" s="2">
        <v>19</v>
      </c>
      <c r="H1922" s="2">
        <v>0</v>
      </c>
      <c r="I1922" s="1">
        <v>0</v>
      </c>
      <c r="J1922" s="26">
        <v>45747</v>
      </c>
      <c r="K1922" s="22">
        <v>190000</v>
      </c>
      <c r="L1922" s="18">
        <v>203.21</v>
      </c>
      <c r="M1922" s="22">
        <v>133950</v>
      </c>
      <c r="N1922" s="22">
        <v>56050</v>
      </c>
      <c r="O1922" s="18">
        <v>59.95</v>
      </c>
      <c r="P1922" s="52">
        <f>IF(COUNTIF(TblPurchases[BatchID],TblOutcomes[[#This Row],[BatchID]])&lt;&gt;1,"n.a.",TblOutcomes[[#This Row],[Qty Wasted]]*SUMIFS(TblPurchases[Unit Cost (CLP)],TblPurchases[BatchID],TblOutcomes[[#This Row],[BatchID]]))</f>
        <v>0</v>
      </c>
      <c r="Q1922" s="51">
        <f>IF(COUNTIF(TblPurchases[BatchID],TblOutcomes[[#This Row],[BatchID]])&lt;&gt;1,"n.a.",SUMIFS(TblPurchases[Purchase Date],TblPurchases[BatchID],TblOutcomes[[#This Row],[BatchID]]))</f>
        <v>45567</v>
      </c>
    </row>
    <row r="1923" spans="2:17" x14ac:dyDescent="0.25">
      <c r="B1923" s="2" t="s">
        <v>2728</v>
      </c>
      <c r="C1923" s="2" t="s">
        <v>242</v>
      </c>
      <c r="D1923" s="2" t="s">
        <v>237</v>
      </c>
      <c r="E1923" s="2" t="s">
        <v>4646</v>
      </c>
      <c r="F1923" s="2">
        <v>21</v>
      </c>
      <c r="G1923" s="2">
        <v>20.03</v>
      </c>
      <c r="H1923" s="2">
        <v>0.97</v>
      </c>
      <c r="I1923" s="1">
        <v>4.5999999999999996</v>
      </c>
      <c r="J1923" s="26">
        <v>45763</v>
      </c>
      <c r="K1923" s="22">
        <v>200300</v>
      </c>
      <c r="L1923" s="18">
        <v>214.22</v>
      </c>
      <c r="M1923" s="22">
        <v>155400</v>
      </c>
      <c r="N1923" s="22">
        <v>44900</v>
      </c>
      <c r="O1923" s="18">
        <v>48.02</v>
      </c>
      <c r="P1923" s="52">
        <f>IF(COUNTIF(TblPurchases[BatchID],TblOutcomes[[#This Row],[BatchID]])&lt;&gt;1,"n.a.",TblOutcomes[[#This Row],[Qty Wasted]]*SUMIFS(TblPurchases[Unit Cost (CLP)],TblPurchases[BatchID],TblOutcomes[[#This Row],[BatchID]]))</f>
        <v>7178</v>
      </c>
      <c r="Q1923" s="51">
        <f>IF(COUNTIF(TblPurchases[BatchID],TblOutcomes[[#This Row],[BatchID]])&lt;&gt;1,"n.a.",SUMIFS(TblPurchases[Purchase Date],TblPurchases[BatchID],TblOutcomes[[#This Row],[BatchID]]))</f>
        <v>45583</v>
      </c>
    </row>
    <row r="1924" spans="2:17" x14ac:dyDescent="0.25">
      <c r="B1924" s="2" t="s">
        <v>2729</v>
      </c>
      <c r="C1924" s="2" t="s">
        <v>242</v>
      </c>
      <c r="D1924" s="2" t="s">
        <v>237</v>
      </c>
      <c r="E1924" s="2" t="s">
        <v>4646</v>
      </c>
      <c r="F1924" s="2">
        <v>18</v>
      </c>
      <c r="G1924" s="2">
        <v>16.399999999999999</v>
      </c>
      <c r="H1924" s="2">
        <v>1.6</v>
      </c>
      <c r="I1924" s="1">
        <v>8.9</v>
      </c>
      <c r="J1924" s="26">
        <v>45783</v>
      </c>
      <c r="K1924" s="22">
        <v>164000</v>
      </c>
      <c r="L1924" s="18">
        <v>175.4</v>
      </c>
      <c r="M1924" s="22">
        <v>126900</v>
      </c>
      <c r="N1924" s="22">
        <v>37100</v>
      </c>
      <c r="O1924" s="18">
        <v>39.68</v>
      </c>
      <c r="P1924" s="52">
        <f>IF(COUNTIF(TblPurchases[BatchID],TblOutcomes[[#This Row],[BatchID]])&lt;&gt;1,"n.a.",TblOutcomes[[#This Row],[Qty Wasted]]*SUMIFS(TblPurchases[Unit Cost (CLP)],TblPurchases[BatchID],TblOutcomes[[#This Row],[BatchID]]))</f>
        <v>11280</v>
      </c>
      <c r="Q1924" s="51">
        <f>IF(COUNTIF(TblPurchases[BatchID],TblOutcomes[[#This Row],[BatchID]])&lt;&gt;1,"n.a.",SUMIFS(TblPurchases[Purchase Date],TblPurchases[BatchID],TblOutcomes[[#This Row],[BatchID]]))</f>
        <v>45603</v>
      </c>
    </row>
    <row r="1925" spans="2:17" x14ac:dyDescent="0.25">
      <c r="B1925" s="2" t="s">
        <v>2730</v>
      </c>
      <c r="C1925" s="2" t="s">
        <v>242</v>
      </c>
      <c r="D1925" s="2" t="s">
        <v>237</v>
      </c>
      <c r="E1925" s="2" t="s">
        <v>4646</v>
      </c>
      <c r="F1925" s="2">
        <v>25</v>
      </c>
      <c r="G1925" s="2">
        <v>23.1</v>
      </c>
      <c r="H1925" s="2">
        <v>1.9</v>
      </c>
      <c r="I1925" s="1">
        <v>7.6</v>
      </c>
      <c r="J1925" s="26">
        <v>45810</v>
      </c>
      <c r="K1925" s="22">
        <v>231000</v>
      </c>
      <c r="L1925" s="18">
        <v>247.06</v>
      </c>
      <c r="M1925" s="22">
        <v>176250</v>
      </c>
      <c r="N1925" s="22">
        <v>54750</v>
      </c>
      <c r="O1925" s="18">
        <v>58.56</v>
      </c>
      <c r="P1925" s="52">
        <f>IF(COUNTIF(TblPurchases[BatchID],TblOutcomes[[#This Row],[BatchID]])&lt;&gt;1,"n.a.",TblOutcomes[[#This Row],[Qty Wasted]]*SUMIFS(TblPurchases[Unit Cost (CLP)],TblPurchases[BatchID],TblOutcomes[[#This Row],[BatchID]]))</f>
        <v>13395</v>
      </c>
      <c r="Q1925" s="51">
        <f>IF(COUNTIF(TblPurchases[BatchID],TblOutcomes[[#This Row],[BatchID]])&lt;&gt;1,"n.a.",SUMIFS(TblPurchases[Purchase Date],TblPurchases[BatchID],TblOutcomes[[#This Row],[BatchID]]))</f>
        <v>45630</v>
      </c>
    </row>
    <row r="1926" spans="2:17" x14ac:dyDescent="0.25">
      <c r="B1926" s="2" t="s">
        <v>2731</v>
      </c>
      <c r="C1926" s="2" t="s">
        <v>242</v>
      </c>
      <c r="D1926" s="2" t="s">
        <v>237</v>
      </c>
      <c r="E1926" s="2" t="s">
        <v>4647</v>
      </c>
      <c r="F1926" s="2">
        <v>28</v>
      </c>
      <c r="G1926" s="2">
        <v>28</v>
      </c>
      <c r="H1926" s="2">
        <v>0</v>
      </c>
      <c r="I1926" s="1">
        <v>0</v>
      </c>
      <c r="J1926" s="26">
        <v>45667</v>
      </c>
      <c r="K1926" s="22">
        <v>280000</v>
      </c>
      <c r="L1926" s="18">
        <v>299.47000000000003</v>
      </c>
      <c r="M1926" s="22">
        <v>197400</v>
      </c>
      <c r="N1926" s="22">
        <v>82600</v>
      </c>
      <c r="O1926" s="18">
        <v>88.34</v>
      </c>
      <c r="P1926" s="52">
        <f>IF(COUNTIF(TblPurchases[BatchID],TblOutcomes[[#This Row],[BatchID]])&lt;&gt;1,"n.a.",TblOutcomes[[#This Row],[Qty Wasted]]*SUMIFS(TblPurchases[Unit Cost (CLP)],TblPurchases[BatchID],TblOutcomes[[#This Row],[BatchID]]))</f>
        <v>0</v>
      </c>
      <c r="Q1926" s="51">
        <f>IF(COUNTIF(TblPurchases[BatchID],TblOutcomes[[#This Row],[BatchID]])&lt;&gt;1,"n.a.",SUMIFS(TblPurchases[Purchase Date],TblPurchases[BatchID],TblOutcomes[[#This Row],[BatchID]]))</f>
        <v>45648</v>
      </c>
    </row>
    <row r="1927" spans="2:17" x14ac:dyDescent="0.25">
      <c r="B1927" s="2" t="s">
        <v>2732</v>
      </c>
      <c r="C1927" s="2" t="s">
        <v>242</v>
      </c>
      <c r="D1927" s="2" t="s">
        <v>237</v>
      </c>
      <c r="E1927" s="2" t="s">
        <v>4646</v>
      </c>
      <c r="F1927" s="2">
        <v>23</v>
      </c>
      <c r="G1927" s="2">
        <v>21.05</v>
      </c>
      <c r="H1927" s="2">
        <v>1.96</v>
      </c>
      <c r="I1927" s="1">
        <v>8.5</v>
      </c>
      <c r="J1927" s="26">
        <v>45856</v>
      </c>
      <c r="K1927" s="22">
        <v>210500</v>
      </c>
      <c r="L1927" s="18">
        <v>225.13</v>
      </c>
      <c r="M1927" s="22">
        <v>162150</v>
      </c>
      <c r="N1927" s="22">
        <v>48350</v>
      </c>
      <c r="O1927" s="18">
        <v>51.71</v>
      </c>
      <c r="P1927" s="52">
        <f>IF(COUNTIF(TblPurchases[BatchID],TblOutcomes[[#This Row],[BatchID]])&lt;&gt;1,"n.a.",TblOutcomes[[#This Row],[Qty Wasted]]*SUMIFS(TblPurchases[Unit Cost (CLP)],TblPurchases[BatchID],TblOutcomes[[#This Row],[BatchID]]))</f>
        <v>13818</v>
      </c>
      <c r="Q1927" s="51">
        <f>IF(COUNTIF(TblPurchases[BatchID],TblOutcomes[[#This Row],[BatchID]])&lt;&gt;1,"n.a.",SUMIFS(TblPurchases[Purchase Date],TblPurchases[BatchID],TblOutcomes[[#This Row],[BatchID]]))</f>
        <v>45676</v>
      </c>
    </row>
    <row r="1928" spans="2:17" x14ac:dyDescent="0.25">
      <c r="B1928" s="2" t="s">
        <v>2733</v>
      </c>
      <c r="C1928" s="2" t="s">
        <v>242</v>
      </c>
      <c r="D1928" s="2" t="s">
        <v>237</v>
      </c>
      <c r="E1928" s="2" t="s">
        <v>4647</v>
      </c>
      <c r="F1928" s="2">
        <v>22</v>
      </c>
      <c r="G1928" s="2">
        <v>22</v>
      </c>
      <c r="H1928" s="2">
        <v>0</v>
      </c>
      <c r="I1928" s="1">
        <v>0</v>
      </c>
      <c r="J1928" s="26">
        <v>45717</v>
      </c>
      <c r="K1928" s="22">
        <v>220000</v>
      </c>
      <c r="L1928" s="18">
        <v>235.29</v>
      </c>
      <c r="M1928" s="22">
        <v>162800</v>
      </c>
      <c r="N1928" s="22">
        <v>57200</v>
      </c>
      <c r="O1928" s="18">
        <v>61.18</v>
      </c>
      <c r="P1928" s="52">
        <f>IF(COUNTIF(TblPurchases[BatchID],TblOutcomes[[#This Row],[BatchID]])&lt;&gt;1,"n.a.",TblOutcomes[[#This Row],[Qty Wasted]]*SUMIFS(TblPurchases[Unit Cost (CLP)],TblPurchases[BatchID],TblOutcomes[[#This Row],[BatchID]]))</f>
        <v>0</v>
      </c>
      <c r="Q1928" s="51">
        <f>IF(COUNTIF(TblPurchases[BatchID],TblOutcomes[[#This Row],[BatchID]])&lt;&gt;1,"n.a.",SUMIFS(TblPurchases[Purchase Date],TblPurchases[BatchID],TblOutcomes[[#This Row],[BatchID]]))</f>
        <v>45699</v>
      </c>
    </row>
    <row r="1929" spans="2:17" x14ac:dyDescent="0.25">
      <c r="B1929" s="2" t="s">
        <v>2734</v>
      </c>
      <c r="C1929" s="2" t="s">
        <v>242</v>
      </c>
      <c r="D1929" s="2" t="s">
        <v>237</v>
      </c>
      <c r="E1929" s="2" t="s">
        <v>4646</v>
      </c>
      <c r="F1929" s="2">
        <v>24</v>
      </c>
      <c r="G1929" s="2">
        <v>21.91</v>
      </c>
      <c r="H1929" s="2">
        <v>2.09</v>
      </c>
      <c r="I1929" s="1">
        <v>8.6999999999999993</v>
      </c>
      <c r="J1929" s="26">
        <v>45900</v>
      </c>
      <c r="K1929" s="22">
        <v>219100</v>
      </c>
      <c r="L1929" s="18">
        <v>234.33</v>
      </c>
      <c r="M1929" s="22">
        <v>177600</v>
      </c>
      <c r="N1929" s="22">
        <v>41500</v>
      </c>
      <c r="O1929" s="18">
        <v>44.39</v>
      </c>
      <c r="P1929" s="52">
        <f>IF(COUNTIF(TblPurchases[BatchID],TblOutcomes[[#This Row],[BatchID]])&lt;&gt;1,"n.a.",TblOutcomes[[#This Row],[Qty Wasted]]*SUMIFS(TblPurchases[Unit Cost (CLP)],TblPurchases[BatchID],TblOutcomes[[#This Row],[BatchID]]))</f>
        <v>15465.999999999998</v>
      </c>
      <c r="Q1929" s="51">
        <f>IF(COUNTIF(TblPurchases[BatchID],TblOutcomes[[#This Row],[BatchID]])&lt;&gt;1,"n.a.",SUMIFS(TblPurchases[Purchase Date],TblPurchases[BatchID],TblOutcomes[[#This Row],[BatchID]]))</f>
        <v>45720</v>
      </c>
    </row>
    <row r="1930" spans="2:17" x14ac:dyDescent="0.25">
      <c r="B1930" s="2" t="s">
        <v>2735</v>
      </c>
      <c r="C1930" s="2" t="s">
        <v>242</v>
      </c>
      <c r="D1930" s="2" t="s">
        <v>237</v>
      </c>
      <c r="E1930" s="2" t="s">
        <v>4647</v>
      </c>
      <c r="F1930" s="2">
        <v>20</v>
      </c>
      <c r="G1930" s="2">
        <v>20</v>
      </c>
      <c r="H1930" s="2">
        <v>0</v>
      </c>
      <c r="I1930" s="1">
        <v>0</v>
      </c>
      <c r="J1930" s="26">
        <v>45755</v>
      </c>
      <c r="K1930" s="22">
        <v>200000</v>
      </c>
      <c r="L1930" s="18">
        <v>213.9</v>
      </c>
      <c r="M1930" s="22">
        <v>141000</v>
      </c>
      <c r="N1930" s="22">
        <v>59000</v>
      </c>
      <c r="O1930" s="18">
        <v>63.1</v>
      </c>
      <c r="P1930" s="52">
        <f>IF(COUNTIF(TblPurchases[BatchID],TblOutcomes[[#This Row],[BatchID]])&lt;&gt;1,"n.a.",TblOutcomes[[#This Row],[Qty Wasted]]*SUMIFS(TblPurchases[Unit Cost (CLP)],TblPurchases[BatchID],TblOutcomes[[#This Row],[BatchID]]))</f>
        <v>0</v>
      </c>
      <c r="Q1930" s="51">
        <f>IF(COUNTIF(TblPurchases[BatchID],TblOutcomes[[#This Row],[BatchID]])&lt;&gt;1,"n.a.",SUMIFS(TblPurchases[Purchase Date],TblPurchases[BatchID],TblOutcomes[[#This Row],[BatchID]]))</f>
        <v>45738</v>
      </c>
    </row>
    <row r="1931" spans="2:17" x14ac:dyDescent="0.25">
      <c r="B1931" s="2" t="s">
        <v>2736</v>
      </c>
      <c r="C1931" s="2" t="s">
        <v>242</v>
      </c>
      <c r="D1931" s="2" t="s">
        <v>237</v>
      </c>
      <c r="E1931" s="2" t="s">
        <v>4646</v>
      </c>
      <c r="F1931" s="2">
        <v>23</v>
      </c>
      <c r="G1931" s="2">
        <v>21.62</v>
      </c>
      <c r="H1931" s="2">
        <v>1.38</v>
      </c>
      <c r="I1931" s="1">
        <v>6</v>
      </c>
      <c r="J1931" s="26">
        <v>45936</v>
      </c>
      <c r="K1931" s="22">
        <v>216200</v>
      </c>
      <c r="L1931" s="18">
        <v>231.23</v>
      </c>
      <c r="M1931" s="22">
        <v>162150</v>
      </c>
      <c r="N1931" s="22">
        <v>54050</v>
      </c>
      <c r="O1931" s="18">
        <v>57.81</v>
      </c>
      <c r="P1931" s="52">
        <f>IF(COUNTIF(TblPurchases[BatchID],TblOutcomes[[#This Row],[BatchID]])&lt;&gt;1,"n.a.",TblOutcomes[[#This Row],[Qty Wasted]]*SUMIFS(TblPurchases[Unit Cost (CLP)],TblPurchases[BatchID],TblOutcomes[[#This Row],[BatchID]]))</f>
        <v>9729</v>
      </c>
      <c r="Q1931" s="51">
        <f>IF(COUNTIF(TblPurchases[BatchID],TblOutcomes[[#This Row],[BatchID]])&lt;&gt;1,"n.a.",SUMIFS(TblPurchases[Purchase Date],TblPurchases[BatchID],TblOutcomes[[#This Row],[BatchID]]))</f>
        <v>45756</v>
      </c>
    </row>
    <row r="1932" spans="2:17" x14ac:dyDescent="0.25">
      <c r="B1932" s="2" t="s">
        <v>2737</v>
      </c>
      <c r="C1932" s="2" t="s">
        <v>242</v>
      </c>
      <c r="D1932" s="2" t="s">
        <v>237</v>
      </c>
      <c r="E1932" s="2" t="s">
        <v>4647</v>
      </c>
      <c r="F1932" s="2">
        <v>20</v>
      </c>
      <c r="G1932" s="2">
        <v>20</v>
      </c>
      <c r="H1932" s="2">
        <v>0</v>
      </c>
      <c r="I1932" s="1">
        <v>0</v>
      </c>
      <c r="J1932" s="26">
        <v>45795</v>
      </c>
      <c r="K1932" s="22">
        <v>200000</v>
      </c>
      <c r="L1932" s="18">
        <v>213.9</v>
      </c>
      <c r="M1932" s="22">
        <v>141000</v>
      </c>
      <c r="N1932" s="22">
        <v>59000</v>
      </c>
      <c r="O1932" s="18">
        <v>63.1</v>
      </c>
      <c r="P1932" s="52">
        <f>IF(COUNTIF(TblPurchases[BatchID],TblOutcomes[[#This Row],[BatchID]])&lt;&gt;1,"n.a.",TblOutcomes[[#This Row],[Qty Wasted]]*SUMIFS(TblPurchases[Unit Cost (CLP)],TblPurchases[BatchID],TblOutcomes[[#This Row],[BatchID]]))</f>
        <v>0</v>
      </c>
      <c r="Q1932" s="51">
        <f>IF(COUNTIF(TblPurchases[BatchID],TblOutcomes[[#This Row],[BatchID]])&lt;&gt;1,"n.a.",SUMIFS(TblPurchases[Purchase Date],TblPurchases[BatchID],TblOutcomes[[#This Row],[BatchID]]))</f>
        <v>45780</v>
      </c>
    </row>
    <row r="1933" spans="2:17" x14ac:dyDescent="0.25">
      <c r="B1933" s="2" t="s">
        <v>2738</v>
      </c>
      <c r="C1933" s="2" t="s">
        <v>242</v>
      </c>
      <c r="D1933" s="2" t="s">
        <v>237</v>
      </c>
      <c r="E1933" s="2" t="s">
        <v>4646</v>
      </c>
      <c r="F1933" s="2">
        <v>25</v>
      </c>
      <c r="G1933" s="2">
        <v>23.8</v>
      </c>
      <c r="H1933" s="2">
        <v>1.2</v>
      </c>
      <c r="I1933" s="1">
        <v>4.8</v>
      </c>
      <c r="J1933" s="26">
        <v>45982</v>
      </c>
      <c r="K1933" s="22">
        <v>238000</v>
      </c>
      <c r="L1933" s="18">
        <v>254.55</v>
      </c>
      <c r="M1933" s="22">
        <v>176250</v>
      </c>
      <c r="N1933" s="22">
        <v>61750</v>
      </c>
      <c r="O1933" s="18">
        <v>66.040000000000006</v>
      </c>
      <c r="P1933" s="52">
        <f>IF(COUNTIF(TblPurchases[BatchID],TblOutcomes[[#This Row],[BatchID]])&lt;&gt;1,"n.a.",TblOutcomes[[#This Row],[Qty Wasted]]*SUMIFS(TblPurchases[Unit Cost (CLP)],TblPurchases[BatchID],TblOutcomes[[#This Row],[BatchID]]))</f>
        <v>8460</v>
      </c>
      <c r="Q1933" s="51">
        <f>IF(COUNTIF(TblPurchases[BatchID],TblOutcomes[[#This Row],[BatchID]])&lt;&gt;1,"n.a.",SUMIFS(TblPurchases[Purchase Date],TblPurchases[BatchID],TblOutcomes[[#This Row],[BatchID]]))</f>
        <v>45802</v>
      </c>
    </row>
    <row r="1934" spans="2:17" x14ac:dyDescent="0.25">
      <c r="B1934" s="2" t="s">
        <v>2739</v>
      </c>
      <c r="C1934" s="2" t="s">
        <v>242</v>
      </c>
      <c r="D1934" s="2" t="s">
        <v>237</v>
      </c>
      <c r="E1934" s="2" t="s">
        <v>4646</v>
      </c>
      <c r="F1934" s="2">
        <v>23</v>
      </c>
      <c r="G1934" s="2">
        <v>22.17</v>
      </c>
      <c r="H1934" s="2">
        <v>0.83</v>
      </c>
      <c r="I1934" s="1">
        <v>3.6</v>
      </c>
      <c r="J1934" s="26">
        <v>46004</v>
      </c>
      <c r="K1934" s="22">
        <v>221700</v>
      </c>
      <c r="L1934" s="18">
        <v>237.11</v>
      </c>
      <c r="M1934" s="22">
        <v>162150</v>
      </c>
      <c r="N1934" s="22">
        <v>59550</v>
      </c>
      <c r="O1934" s="18">
        <v>63.69</v>
      </c>
      <c r="P1934" s="52">
        <f>IF(COUNTIF(TblPurchases[BatchID],TblOutcomes[[#This Row],[BatchID]])&lt;&gt;1,"n.a.",TblOutcomes[[#This Row],[Qty Wasted]]*SUMIFS(TblPurchases[Unit Cost (CLP)],TblPurchases[BatchID],TblOutcomes[[#This Row],[BatchID]]))</f>
        <v>5851.5</v>
      </c>
      <c r="Q1934" s="51">
        <f>IF(COUNTIF(TblPurchases[BatchID],TblOutcomes[[#This Row],[BatchID]])&lt;&gt;1,"n.a.",SUMIFS(TblPurchases[Purchase Date],TblPurchases[BatchID],TblOutcomes[[#This Row],[BatchID]]))</f>
        <v>45824</v>
      </c>
    </row>
    <row r="1935" spans="2:17" x14ac:dyDescent="0.25">
      <c r="B1935" s="2" t="s">
        <v>2740</v>
      </c>
      <c r="C1935" s="2" t="s">
        <v>244</v>
      </c>
      <c r="D1935" s="2" t="s">
        <v>237</v>
      </c>
      <c r="E1935" s="2" t="s">
        <v>4647</v>
      </c>
      <c r="F1935" s="2">
        <v>20</v>
      </c>
      <c r="G1935" s="2">
        <v>20</v>
      </c>
      <c r="H1935" s="2">
        <v>0</v>
      </c>
      <c r="I1935" s="1">
        <v>0</v>
      </c>
      <c r="J1935" s="26">
        <v>45133</v>
      </c>
      <c r="K1935" s="22">
        <v>180000</v>
      </c>
      <c r="L1935" s="18">
        <v>192.51</v>
      </c>
      <c r="M1935" s="22">
        <v>129000</v>
      </c>
      <c r="N1935" s="22">
        <v>51000</v>
      </c>
      <c r="O1935" s="18">
        <v>54.55</v>
      </c>
      <c r="P1935" s="52">
        <f>IF(COUNTIF(TblPurchases[BatchID],TblOutcomes[[#This Row],[BatchID]])&lt;&gt;1,"n.a.",TblOutcomes[[#This Row],[Qty Wasted]]*SUMIFS(TblPurchases[Unit Cost (CLP)],TblPurchases[BatchID],TblOutcomes[[#This Row],[BatchID]]))</f>
        <v>0</v>
      </c>
      <c r="Q1935" s="51">
        <f>IF(COUNTIF(TblPurchases[BatchID],TblOutcomes[[#This Row],[BatchID]])&lt;&gt;1,"n.a.",SUMIFS(TblPurchases[Purchase Date],TblPurchases[BatchID],TblOutcomes[[#This Row],[BatchID]]))</f>
        <v>45118</v>
      </c>
    </row>
    <row r="1936" spans="2:17" x14ac:dyDescent="0.25">
      <c r="B1936" s="2" t="s">
        <v>2741</v>
      </c>
      <c r="C1936" s="2" t="s">
        <v>244</v>
      </c>
      <c r="D1936" s="2" t="s">
        <v>237</v>
      </c>
      <c r="E1936" s="2" t="s">
        <v>4647</v>
      </c>
      <c r="F1936" s="2">
        <v>20</v>
      </c>
      <c r="G1936" s="2">
        <v>20</v>
      </c>
      <c r="H1936" s="2">
        <v>0</v>
      </c>
      <c r="I1936" s="1">
        <v>0</v>
      </c>
      <c r="J1936" s="26">
        <v>45149</v>
      </c>
      <c r="K1936" s="22">
        <v>180000</v>
      </c>
      <c r="L1936" s="18">
        <v>192.51</v>
      </c>
      <c r="M1936" s="22">
        <v>129000</v>
      </c>
      <c r="N1936" s="22">
        <v>51000</v>
      </c>
      <c r="O1936" s="18">
        <v>54.55</v>
      </c>
      <c r="P1936" s="52">
        <f>IF(COUNTIF(TblPurchases[BatchID],TblOutcomes[[#This Row],[BatchID]])&lt;&gt;1,"n.a.",TblOutcomes[[#This Row],[Qty Wasted]]*SUMIFS(TblPurchases[Unit Cost (CLP)],TblPurchases[BatchID],TblOutcomes[[#This Row],[BatchID]]))</f>
        <v>0</v>
      </c>
      <c r="Q1936" s="51">
        <f>IF(COUNTIF(TblPurchases[BatchID],TblOutcomes[[#This Row],[BatchID]])&lt;&gt;1,"n.a.",SUMIFS(TblPurchases[Purchase Date],TblPurchases[BatchID],TblOutcomes[[#This Row],[BatchID]]))</f>
        <v>45130</v>
      </c>
    </row>
    <row r="1937" spans="2:17" x14ac:dyDescent="0.25">
      <c r="B1937" s="2" t="s">
        <v>2742</v>
      </c>
      <c r="C1937" s="2" t="s">
        <v>244</v>
      </c>
      <c r="D1937" s="2" t="s">
        <v>237</v>
      </c>
      <c r="E1937" s="2" t="s">
        <v>4646</v>
      </c>
      <c r="F1937" s="2">
        <v>17</v>
      </c>
      <c r="G1937" s="2">
        <v>16.03</v>
      </c>
      <c r="H1937" s="2">
        <v>0.97</v>
      </c>
      <c r="I1937" s="1">
        <v>5.7</v>
      </c>
      <c r="J1937" s="26">
        <v>45329</v>
      </c>
      <c r="K1937" s="22">
        <v>144270</v>
      </c>
      <c r="L1937" s="18">
        <v>154.30000000000001</v>
      </c>
      <c r="M1937" s="22">
        <v>109650</v>
      </c>
      <c r="N1937" s="22">
        <v>34620</v>
      </c>
      <c r="O1937" s="18">
        <v>37.03</v>
      </c>
      <c r="P1937" s="52">
        <f>IF(COUNTIF(TblPurchases[BatchID],TblOutcomes[[#This Row],[BatchID]])&lt;&gt;1,"n.a.",TblOutcomes[[#This Row],[Qty Wasted]]*SUMIFS(TblPurchases[Unit Cost (CLP)],TblPurchases[BatchID],TblOutcomes[[#This Row],[BatchID]]))</f>
        <v>6256.5</v>
      </c>
      <c r="Q1937" s="51">
        <f>IF(COUNTIF(TblPurchases[BatchID],TblOutcomes[[#This Row],[BatchID]])&lt;&gt;1,"n.a.",SUMIFS(TblPurchases[Purchase Date],TblPurchases[BatchID],TblOutcomes[[#This Row],[BatchID]]))</f>
        <v>45149</v>
      </c>
    </row>
    <row r="1938" spans="2:17" x14ac:dyDescent="0.25">
      <c r="B1938" s="2" t="s">
        <v>2743</v>
      </c>
      <c r="C1938" s="2" t="s">
        <v>244</v>
      </c>
      <c r="D1938" s="2" t="s">
        <v>237</v>
      </c>
      <c r="E1938" s="2" t="s">
        <v>4647</v>
      </c>
      <c r="F1938" s="2">
        <v>20</v>
      </c>
      <c r="G1938" s="2">
        <v>20</v>
      </c>
      <c r="H1938" s="2">
        <v>0</v>
      </c>
      <c r="I1938" s="1">
        <v>0</v>
      </c>
      <c r="J1938" s="26">
        <v>45178</v>
      </c>
      <c r="K1938" s="22">
        <v>180000</v>
      </c>
      <c r="L1938" s="18">
        <v>192.51</v>
      </c>
      <c r="M1938" s="22">
        <v>129000</v>
      </c>
      <c r="N1938" s="22">
        <v>51000</v>
      </c>
      <c r="O1938" s="18">
        <v>54.55</v>
      </c>
      <c r="P1938" s="52">
        <f>IF(COUNTIF(TblPurchases[BatchID],TblOutcomes[[#This Row],[BatchID]])&lt;&gt;1,"n.a.",TblOutcomes[[#This Row],[Qty Wasted]]*SUMIFS(TblPurchases[Unit Cost (CLP)],TblPurchases[BatchID],TblOutcomes[[#This Row],[BatchID]]))</f>
        <v>0</v>
      </c>
      <c r="Q1938" s="51">
        <f>IF(COUNTIF(TblPurchases[BatchID],TblOutcomes[[#This Row],[BatchID]])&lt;&gt;1,"n.a.",SUMIFS(TblPurchases[Purchase Date],TblPurchases[BatchID],TblOutcomes[[#This Row],[BatchID]]))</f>
        <v>45165</v>
      </c>
    </row>
    <row r="1939" spans="2:17" x14ac:dyDescent="0.25">
      <c r="B1939" s="2" t="s">
        <v>2744</v>
      </c>
      <c r="C1939" s="2" t="s">
        <v>244</v>
      </c>
      <c r="D1939" s="2" t="s">
        <v>237</v>
      </c>
      <c r="E1939" s="2" t="s">
        <v>4647</v>
      </c>
      <c r="F1939" s="2">
        <v>22</v>
      </c>
      <c r="G1939" s="2">
        <v>22</v>
      </c>
      <c r="H1939" s="2">
        <v>0</v>
      </c>
      <c r="I1939" s="1">
        <v>0</v>
      </c>
      <c r="J1939" s="26">
        <v>45204</v>
      </c>
      <c r="K1939" s="22">
        <v>198000</v>
      </c>
      <c r="L1939" s="18">
        <v>211.76</v>
      </c>
      <c r="M1939" s="22">
        <v>141900</v>
      </c>
      <c r="N1939" s="22">
        <v>56100</v>
      </c>
      <c r="O1939" s="18">
        <v>60</v>
      </c>
      <c r="P1939" s="52">
        <f>IF(COUNTIF(TblPurchases[BatchID],TblOutcomes[[#This Row],[BatchID]])&lt;&gt;1,"n.a.",TblOutcomes[[#This Row],[Qty Wasted]]*SUMIFS(TblPurchases[Unit Cost (CLP)],TblPurchases[BatchID],TblOutcomes[[#This Row],[BatchID]]))</f>
        <v>0</v>
      </c>
      <c r="Q1939" s="51">
        <f>IF(COUNTIF(TblPurchases[BatchID],TblOutcomes[[#This Row],[BatchID]])&lt;&gt;1,"n.a.",SUMIFS(TblPurchases[Purchase Date],TblPurchases[BatchID],TblOutcomes[[#This Row],[BatchID]]))</f>
        <v>45187</v>
      </c>
    </row>
    <row r="1940" spans="2:17" x14ac:dyDescent="0.25">
      <c r="B1940" s="2" t="s">
        <v>2745</v>
      </c>
      <c r="C1940" s="2" t="s">
        <v>244</v>
      </c>
      <c r="D1940" s="2" t="s">
        <v>237</v>
      </c>
      <c r="E1940" s="2" t="s">
        <v>4646</v>
      </c>
      <c r="F1940" s="2">
        <v>18</v>
      </c>
      <c r="G1940" s="2">
        <v>16.78</v>
      </c>
      <c r="H1940" s="2">
        <v>1.22</v>
      </c>
      <c r="I1940" s="1">
        <v>6.8</v>
      </c>
      <c r="J1940" s="26">
        <v>45385</v>
      </c>
      <c r="K1940" s="22">
        <v>151020</v>
      </c>
      <c r="L1940" s="18">
        <v>161.52000000000001</v>
      </c>
      <c r="M1940" s="22">
        <v>119700</v>
      </c>
      <c r="N1940" s="22">
        <v>31320</v>
      </c>
      <c r="O1940" s="18">
        <v>33.5</v>
      </c>
      <c r="P1940" s="52">
        <f>IF(COUNTIF(TblPurchases[BatchID],TblOutcomes[[#This Row],[BatchID]])&lt;&gt;1,"n.a.",TblOutcomes[[#This Row],[Qty Wasted]]*SUMIFS(TblPurchases[Unit Cost (CLP)],TblPurchases[BatchID],TblOutcomes[[#This Row],[BatchID]]))</f>
        <v>8113</v>
      </c>
      <c r="Q1940" s="51">
        <f>IF(COUNTIF(TblPurchases[BatchID],TblOutcomes[[#This Row],[BatchID]])&lt;&gt;1,"n.a.",SUMIFS(TblPurchases[Purchase Date],TblPurchases[BatchID],TblOutcomes[[#This Row],[BatchID]]))</f>
        <v>45205</v>
      </c>
    </row>
    <row r="1941" spans="2:17" x14ac:dyDescent="0.25">
      <c r="B1941" s="2" t="s">
        <v>2746</v>
      </c>
      <c r="C1941" s="2" t="s">
        <v>244</v>
      </c>
      <c r="D1941" s="2" t="s">
        <v>237</v>
      </c>
      <c r="E1941" s="2" t="s">
        <v>4647</v>
      </c>
      <c r="F1941" s="2">
        <v>21</v>
      </c>
      <c r="G1941" s="2">
        <v>21</v>
      </c>
      <c r="H1941" s="2">
        <v>0</v>
      </c>
      <c r="I1941" s="1">
        <v>0</v>
      </c>
      <c r="J1941" s="26">
        <v>45246</v>
      </c>
      <c r="K1941" s="22">
        <v>189000</v>
      </c>
      <c r="L1941" s="18">
        <v>202.14</v>
      </c>
      <c r="M1941" s="22">
        <v>135450</v>
      </c>
      <c r="N1941" s="22">
        <v>53550</v>
      </c>
      <c r="O1941" s="18">
        <v>57.27</v>
      </c>
      <c r="P1941" s="52">
        <f>IF(COUNTIF(TblPurchases[BatchID],TblOutcomes[[#This Row],[BatchID]])&lt;&gt;1,"n.a.",TblOutcomes[[#This Row],[Qty Wasted]]*SUMIFS(TblPurchases[Unit Cost (CLP)],TblPurchases[BatchID],TblOutcomes[[#This Row],[BatchID]]))</f>
        <v>0</v>
      </c>
      <c r="Q1941" s="51">
        <f>IF(COUNTIF(TblPurchases[BatchID],TblOutcomes[[#This Row],[BatchID]])&lt;&gt;1,"n.a.",SUMIFS(TblPurchases[Purchase Date],TblPurchases[BatchID],TblOutcomes[[#This Row],[BatchID]]))</f>
        <v>45225</v>
      </c>
    </row>
    <row r="1942" spans="2:17" x14ac:dyDescent="0.25">
      <c r="B1942" s="2" t="s">
        <v>2747</v>
      </c>
      <c r="C1942" s="2" t="s">
        <v>244</v>
      </c>
      <c r="D1942" s="2" t="s">
        <v>237</v>
      </c>
      <c r="E1942" s="2" t="s">
        <v>4646</v>
      </c>
      <c r="F1942" s="2">
        <v>18</v>
      </c>
      <c r="G1942" s="2">
        <v>17.55</v>
      </c>
      <c r="H1942" s="2">
        <v>0.45</v>
      </c>
      <c r="I1942" s="1">
        <v>2.5</v>
      </c>
      <c r="J1942" s="26">
        <v>45429</v>
      </c>
      <c r="K1942" s="22">
        <v>157950</v>
      </c>
      <c r="L1942" s="18">
        <v>168.93</v>
      </c>
      <c r="M1942" s="22">
        <v>116100</v>
      </c>
      <c r="N1942" s="22">
        <v>41850</v>
      </c>
      <c r="O1942" s="18">
        <v>44.76</v>
      </c>
      <c r="P1942" s="52">
        <f>IF(COUNTIF(TblPurchases[BatchID],TblOutcomes[[#This Row],[BatchID]])&lt;&gt;1,"n.a.",TblOutcomes[[#This Row],[Qty Wasted]]*SUMIFS(TblPurchases[Unit Cost (CLP)],TblPurchases[BatchID],TblOutcomes[[#This Row],[BatchID]]))</f>
        <v>2902.5</v>
      </c>
      <c r="Q1942" s="51">
        <f>IF(COUNTIF(TblPurchases[BatchID],TblOutcomes[[#This Row],[BatchID]])&lt;&gt;1,"n.a.",SUMIFS(TblPurchases[Purchase Date],TblPurchases[BatchID],TblOutcomes[[#This Row],[BatchID]]))</f>
        <v>45249</v>
      </c>
    </row>
    <row r="1943" spans="2:17" x14ac:dyDescent="0.25">
      <c r="B1943" s="2" t="s">
        <v>2748</v>
      </c>
      <c r="C1943" s="2" t="s">
        <v>244</v>
      </c>
      <c r="D1943" s="2" t="s">
        <v>237</v>
      </c>
      <c r="E1943" s="2" t="s">
        <v>4646</v>
      </c>
      <c r="F1943" s="2">
        <v>26</v>
      </c>
      <c r="G1943" s="2">
        <v>23.61</v>
      </c>
      <c r="H1943" s="2">
        <v>2.39</v>
      </c>
      <c r="I1943" s="1">
        <v>9.1999999999999993</v>
      </c>
      <c r="J1943" s="26">
        <v>45456</v>
      </c>
      <c r="K1943" s="22">
        <v>212490</v>
      </c>
      <c r="L1943" s="18">
        <v>227.26</v>
      </c>
      <c r="M1943" s="22">
        <v>172900</v>
      </c>
      <c r="N1943" s="22">
        <v>39590</v>
      </c>
      <c r="O1943" s="18">
        <v>42.34</v>
      </c>
      <c r="P1943" s="52">
        <f>IF(COUNTIF(TblPurchases[BatchID],TblOutcomes[[#This Row],[BatchID]])&lt;&gt;1,"n.a.",TblOutcomes[[#This Row],[Qty Wasted]]*SUMIFS(TblPurchases[Unit Cost (CLP)],TblPurchases[BatchID],TblOutcomes[[#This Row],[BatchID]]))</f>
        <v>15893.5</v>
      </c>
      <c r="Q1943" s="51">
        <f>IF(COUNTIF(TblPurchases[BatchID],TblOutcomes[[#This Row],[BatchID]])&lt;&gt;1,"n.a.",SUMIFS(TblPurchases[Purchase Date],TblPurchases[BatchID],TblOutcomes[[#This Row],[BatchID]]))</f>
        <v>45276</v>
      </c>
    </row>
    <row r="1944" spans="2:17" x14ac:dyDescent="0.25">
      <c r="B1944" s="2" t="s">
        <v>2749</v>
      </c>
      <c r="C1944" s="2" t="s">
        <v>244</v>
      </c>
      <c r="D1944" s="2" t="s">
        <v>237</v>
      </c>
      <c r="E1944" s="2" t="s">
        <v>4647</v>
      </c>
      <c r="F1944" s="2">
        <v>18</v>
      </c>
      <c r="G1944" s="2">
        <v>18</v>
      </c>
      <c r="H1944" s="2">
        <v>0</v>
      </c>
      <c r="I1944" s="1">
        <v>0</v>
      </c>
      <c r="J1944" s="26">
        <v>45315</v>
      </c>
      <c r="K1944" s="22">
        <v>162000</v>
      </c>
      <c r="L1944" s="18">
        <v>173.26</v>
      </c>
      <c r="M1944" s="22">
        <v>116100</v>
      </c>
      <c r="N1944" s="22">
        <v>45900</v>
      </c>
      <c r="O1944" s="18">
        <v>49.09</v>
      </c>
      <c r="P1944" s="52">
        <f>IF(COUNTIF(TblPurchases[BatchID],TblOutcomes[[#This Row],[BatchID]])&lt;&gt;1,"n.a.",TblOutcomes[[#This Row],[Qty Wasted]]*SUMIFS(TblPurchases[Unit Cost (CLP)],TblPurchases[BatchID],TblOutcomes[[#This Row],[BatchID]]))</f>
        <v>0</v>
      </c>
      <c r="Q1944" s="51">
        <f>IF(COUNTIF(TblPurchases[BatchID],TblOutcomes[[#This Row],[BatchID]])&lt;&gt;1,"n.a.",SUMIFS(TblPurchases[Purchase Date],TblPurchases[BatchID],TblOutcomes[[#This Row],[BatchID]]))</f>
        <v>45293</v>
      </c>
    </row>
    <row r="1945" spans="2:17" x14ac:dyDescent="0.25">
      <c r="B1945" s="2" t="s">
        <v>2750</v>
      </c>
      <c r="C1945" s="2" t="s">
        <v>244</v>
      </c>
      <c r="D1945" s="2" t="s">
        <v>237</v>
      </c>
      <c r="E1945" s="2" t="s">
        <v>4646</v>
      </c>
      <c r="F1945" s="2">
        <v>20</v>
      </c>
      <c r="G1945" s="2">
        <v>19.38</v>
      </c>
      <c r="H1945" s="2">
        <v>0.62</v>
      </c>
      <c r="I1945" s="1">
        <v>3.1</v>
      </c>
      <c r="J1945" s="26">
        <v>45490</v>
      </c>
      <c r="K1945" s="22">
        <v>174420</v>
      </c>
      <c r="L1945" s="18">
        <v>186.55</v>
      </c>
      <c r="M1945" s="22">
        <v>129000</v>
      </c>
      <c r="N1945" s="22">
        <v>45420</v>
      </c>
      <c r="O1945" s="18">
        <v>48.58</v>
      </c>
      <c r="P1945" s="52">
        <f>IF(COUNTIF(TblPurchases[BatchID],TblOutcomes[[#This Row],[BatchID]])&lt;&gt;1,"n.a.",TblOutcomes[[#This Row],[Qty Wasted]]*SUMIFS(TblPurchases[Unit Cost (CLP)],TblPurchases[BatchID],TblOutcomes[[#This Row],[BatchID]]))</f>
        <v>3999</v>
      </c>
      <c r="Q1945" s="51">
        <f>IF(COUNTIF(TblPurchases[BatchID],TblOutcomes[[#This Row],[BatchID]])&lt;&gt;1,"n.a.",SUMIFS(TblPurchases[Purchase Date],TblPurchases[BatchID],TblOutcomes[[#This Row],[BatchID]]))</f>
        <v>45310</v>
      </c>
    </row>
    <row r="1946" spans="2:17" x14ac:dyDescent="0.25">
      <c r="B1946" s="2" t="s">
        <v>2751</v>
      </c>
      <c r="C1946" s="2" t="s">
        <v>244</v>
      </c>
      <c r="D1946" s="2" t="s">
        <v>237</v>
      </c>
      <c r="E1946" s="2" t="s">
        <v>4647</v>
      </c>
      <c r="F1946" s="2">
        <v>20</v>
      </c>
      <c r="G1946" s="2">
        <v>20</v>
      </c>
      <c r="H1946" s="2">
        <v>0</v>
      </c>
      <c r="I1946" s="1">
        <v>0</v>
      </c>
      <c r="J1946" s="26">
        <v>45347</v>
      </c>
      <c r="K1946" s="22">
        <v>180000</v>
      </c>
      <c r="L1946" s="18">
        <v>192.51</v>
      </c>
      <c r="M1946" s="22">
        <v>133000</v>
      </c>
      <c r="N1946" s="22">
        <v>47000</v>
      </c>
      <c r="O1946" s="18">
        <v>50.27</v>
      </c>
      <c r="P1946" s="52">
        <f>IF(COUNTIF(TblPurchases[BatchID],TblOutcomes[[#This Row],[BatchID]])&lt;&gt;1,"n.a.",TblOutcomes[[#This Row],[Qty Wasted]]*SUMIFS(TblPurchases[Unit Cost (CLP)],TblPurchases[BatchID],TblOutcomes[[#This Row],[BatchID]]))</f>
        <v>0</v>
      </c>
      <c r="Q1946" s="51">
        <f>IF(COUNTIF(TblPurchases[BatchID],TblOutcomes[[#This Row],[BatchID]])&lt;&gt;1,"n.a.",SUMIFS(TblPurchases[Purchase Date],TblPurchases[BatchID],TblOutcomes[[#This Row],[BatchID]]))</f>
        <v>45330</v>
      </c>
    </row>
    <row r="1947" spans="2:17" x14ac:dyDescent="0.25">
      <c r="B1947" s="2" t="s">
        <v>2752</v>
      </c>
      <c r="C1947" s="2" t="s">
        <v>244</v>
      </c>
      <c r="D1947" s="2" t="s">
        <v>237</v>
      </c>
      <c r="E1947" s="2" t="s">
        <v>4647</v>
      </c>
      <c r="F1947" s="2">
        <v>22</v>
      </c>
      <c r="G1947" s="2">
        <v>22</v>
      </c>
      <c r="H1947" s="2">
        <v>0</v>
      </c>
      <c r="I1947" s="1">
        <v>0</v>
      </c>
      <c r="J1947" s="26">
        <v>45364</v>
      </c>
      <c r="K1947" s="22">
        <v>198000</v>
      </c>
      <c r="L1947" s="18">
        <v>211.76</v>
      </c>
      <c r="M1947" s="22">
        <v>146300</v>
      </c>
      <c r="N1947" s="22">
        <v>51700</v>
      </c>
      <c r="O1947" s="18">
        <v>55.29</v>
      </c>
      <c r="P1947" s="52">
        <f>IF(COUNTIF(TblPurchases[BatchID],TblOutcomes[[#This Row],[BatchID]])&lt;&gt;1,"n.a.",TblOutcomes[[#This Row],[Qty Wasted]]*SUMIFS(TblPurchases[Unit Cost (CLP)],TblPurchases[BatchID],TblOutcomes[[#This Row],[BatchID]]))</f>
        <v>0</v>
      </c>
      <c r="Q1947" s="51">
        <f>IF(COUNTIF(TblPurchases[BatchID],TblOutcomes[[#This Row],[BatchID]])&lt;&gt;1,"n.a.",SUMIFS(TblPurchases[Purchase Date],TblPurchases[BatchID],TblOutcomes[[#This Row],[BatchID]]))</f>
        <v>45348</v>
      </c>
    </row>
    <row r="1948" spans="2:17" x14ac:dyDescent="0.25">
      <c r="B1948" s="2" t="s">
        <v>2753</v>
      </c>
      <c r="C1948" s="2" t="s">
        <v>244</v>
      </c>
      <c r="D1948" s="2" t="s">
        <v>237</v>
      </c>
      <c r="E1948" s="2" t="s">
        <v>4646</v>
      </c>
      <c r="F1948" s="2">
        <v>23</v>
      </c>
      <c r="G1948" s="2">
        <v>21.02</v>
      </c>
      <c r="H1948" s="2">
        <v>1.98</v>
      </c>
      <c r="I1948" s="1">
        <v>8.6</v>
      </c>
      <c r="J1948" s="26">
        <v>45547</v>
      </c>
      <c r="K1948" s="22">
        <v>189180</v>
      </c>
      <c r="L1948" s="18">
        <v>202.33</v>
      </c>
      <c r="M1948" s="22">
        <v>148350</v>
      </c>
      <c r="N1948" s="22">
        <v>40830</v>
      </c>
      <c r="O1948" s="18">
        <v>43.67</v>
      </c>
      <c r="P1948" s="52">
        <f>IF(COUNTIF(TblPurchases[BatchID],TblOutcomes[[#This Row],[BatchID]])&lt;&gt;1,"n.a.",TblOutcomes[[#This Row],[Qty Wasted]]*SUMIFS(TblPurchases[Unit Cost (CLP)],TblPurchases[BatchID],TblOutcomes[[#This Row],[BatchID]]))</f>
        <v>12771</v>
      </c>
      <c r="Q1948" s="51">
        <f>IF(COUNTIF(TblPurchases[BatchID],TblOutcomes[[#This Row],[BatchID]])&lt;&gt;1,"n.a.",SUMIFS(TblPurchases[Purchase Date],TblPurchases[BatchID],TblOutcomes[[#This Row],[BatchID]]))</f>
        <v>45367</v>
      </c>
    </row>
    <row r="1949" spans="2:17" x14ac:dyDescent="0.25">
      <c r="B1949" s="2" t="s">
        <v>2754</v>
      </c>
      <c r="C1949" s="2" t="s">
        <v>244</v>
      </c>
      <c r="D1949" s="2" t="s">
        <v>237</v>
      </c>
      <c r="E1949" s="2" t="s">
        <v>4646</v>
      </c>
      <c r="F1949" s="2">
        <v>18</v>
      </c>
      <c r="G1949" s="2">
        <v>16.600000000000001</v>
      </c>
      <c r="H1949" s="2">
        <v>1.4</v>
      </c>
      <c r="I1949" s="1">
        <v>7.8</v>
      </c>
      <c r="J1949" s="26">
        <v>45562</v>
      </c>
      <c r="K1949" s="22">
        <v>149400</v>
      </c>
      <c r="L1949" s="18">
        <v>159.79</v>
      </c>
      <c r="M1949" s="22">
        <v>116100</v>
      </c>
      <c r="N1949" s="22">
        <v>33300</v>
      </c>
      <c r="O1949" s="18">
        <v>35.61</v>
      </c>
      <c r="P1949" s="52">
        <f>IF(COUNTIF(TblPurchases[BatchID],TblOutcomes[[#This Row],[BatchID]])&lt;&gt;1,"n.a.",TblOutcomes[[#This Row],[Qty Wasted]]*SUMIFS(TblPurchases[Unit Cost (CLP)],TblPurchases[BatchID],TblOutcomes[[#This Row],[BatchID]]))</f>
        <v>9030</v>
      </c>
      <c r="Q1949" s="51">
        <f>IF(COUNTIF(TblPurchases[BatchID],TblOutcomes[[#This Row],[BatchID]])&lt;&gt;1,"n.a.",SUMIFS(TblPurchases[Purchase Date],TblPurchases[BatchID],TblOutcomes[[#This Row],[BatchID]]))</f>
        <v>45382</v>
      </c>
    </row>
    <row r="1950" spans="2:17" x14ac:dyDescent="0.25">
      <c r="B1950" s="2" t="s">
        <v>2755</v>
      </c>
      <c r="C1950" s="2" t="s">
        <v>244</v>
      </c>
      <c r="D1950" s="2" t="s">
        <v>237</v>
      </c>
      <c r="E1950" s="2" t="s">
        <v>4646</v>
      </c>
      <c r="F1950" s="2">
        <v>21</v>
      </c>
      <c r="G1950" s="2">
        <v>19.8</v>
      </c>
      <c r="H1950" s="2">
        <v>1.2</v>
      </c>
      <c r="I1950" s="1">
        <v>5.7</v>
      </c>
      <c r="J1950" s="26">
        <v>45579</v>
      </c>
      <c r="K1950" s="22">
        <v>178200</v>
      </c>
      <c r="L1950" s="18">
        <v>190.59</v>
      </c>
      <c r="M1950" s="22">
        <v>135450</v>
      </c>
      <c r="N1950" s="22">
        <v>42750</v>
      </c>
      <c r="O1950" s="18">
        <v>45.72</v>
      </c>
      <c r="P1950" s="52">
        <f>IF(COUNTIF(TblPurchases[BatchID],TblOutcomes[[#This Row],[BatchID]])&lt;&gt;1,"n.a.",TblOutcomes[[#This Row],[Qty Wasted]]*SUMIFS(TblPurchases[Unit Cost (CLP)],TblPurchases[BatchID],TblOutcomes[[#This Row],[BatchID]]))</f>
        <v>7740</v>
      </c>
      <c r="Q1950" s="51">
        <f>IF(COUNTIF(TblPurchases[BatchID],TblOutcomes[[#This Row],[BatchID]])&lt;&gt;1,"n.a.",SUMIFS(TblPurchases[Purchase Date],TblPurchases[BatchID],TblOutcomes[[#This Row],[BatchID]]))</f>
        <v>45399</v>
      </c>
    </row>
    <row r="1951" spans="2:17" x14ac:dyDescent="0.25">
      <c r="B1951" s="2" t="s">
        <v>2756</v>
      </c>
      <c r="C1951" s="2" t="s">
        <v>244</v>
      </c>
      <c r="D1951" s="2" t="s">
        <v>237</v>
      </c>
      <c r="E1951" s="2" t="s">
        <v>4646</v>
      </c>
      <c r="F1951" s="2">
        <v>20</v>
      </c>
      <c r="G1951" s="2">
        <v>19.7</v>
      </c>
      <c r="H1951" s="2">
        <v>0.3</v>
      </c>
      <c r="I1951" s="1">
        <v>1.5</v>
      </c>
      <c r="J1951" s="26">
        <v>45604</v>
      </c>
      <c r="K1951" s="22">
        <v>177300</v>
      </c>
      <c r="L1951" s="18">
        <v>189.63</v>
      </c>
      <c r="M1951" s="22">
        <v>133000</v>
      </c>
      <c r="N1951" s="22">
        <v>44300</v>
      </c>
      <c r="O1951" s="18">
        <v>47.38</v>
      </c>
      <c r="P1951" s="52">
        <f>IF(COUNTIF(TblPurchases[BatchID],TblOutcomes[[#This Row],[BatchID]])&lt;&gt;1,"n.a.",TblOutcomes[[#This Row],[Qty Wasted]]*SUMIFS(TblPurchases[Unit Cost (CLP)],TblPurchases[BatchID],TblOutcomes[[#This Row],[BatchID]]))</f>
        <v>1995</v>
      </c>
      <c r="Q1951" s="51">
        <f>IF(COUNTIF(TblPurchases[BatchID],TblOutcomes[[#This Row],[BatchID]])&lt;&gt;1,"n.a.",SUMIFS(TblPurchases[Purchase Date],TblPurchases[BatchID],TblOutcomes[[#This Row],[BatchID]]))</f>
        <v>45424</v>
      </c>
    </row>
    <row r="1952" spans="2:17" x14ac:dyDescent="0.25">
      <c r="B1952" s="2" t="s">
        <v>2757</v>
      </c>
      <c r="C1952" s="2" t="s">
        <v>244</v>
      </c>
      <c r="D1952" s="2" t="s">
        <v>237</v>
      </c>
      <c r="E1952" s="2" t="s">
        <v>4647</v>
      </c>
      <c r="F1952" s="2">
        <v>20</v>
      </c>
      <c r="G1952" s="2">
        <v>20</v>
      </c>
      <c r="H1952" s="2">
        <v>0</v>
      </c>
      <c r="I1952" s="1">
        <v>0</v>
      </c>
      <c r="J1952" s="26">
        <v>45462</v>
      </c>
      <c r="K1952" s="22">
        <v>180000</v>
      </c>
      <c r="L1952" s="18">
        <v>192.51</v>
      </c>
      <c r="M1952" s="22">
        <v>133000</v>
      </c>
      <c r="N1952" s="22">
        <v>47000</v>
      </c>
      <c r="O1952" s="18">
        <v>50.27</v>
      </c>
      <c r="P1952" s="52">
        <f>IF(COUNTIF(TblPurchases[BatchID],TblOutcomes[[#This Row],[BatchID]])&lt;&gt;1,"n.a.",TblOutcomes[[#This Row],[Qty Wasted]]*SUMIFS(TblPurchases[Unit Cost (CLP)],TblPurchases[BatchID],TblOutcomes[[#This Row],[BatchID]]))</f>
        <v>0</v>
      </c>
      <c r="Q1952" s="51">
        <f>IF(COUNTIF(TblPurchases[BatchID],TblOutcomes[[#This Row],[BatchID]])&lt;&gt;1,"n.a.",SUMIFS(TblPurchases[Purchase Date],TblPurchases[BatchID],TblOutcomes[[#This Row],[BatchID]]))</f>
        <v>45443</v>
      </c>
    </row>
    <row r="1953" spans="2:17" x14ac:dyDescent="0.25">
      <c r="B1953" s="2" t="s">
        <v>2758</v>
      </c>
      <c r="C1953" s="2" t="s">
        <v>244</v>
      </c>
      <c r="D1953" s="2" t="s">
        <v>237</v>
      </c>
      <c r="E1953" s="2" t="s">
        <v>4646</v>
      </c>
      <c r="F1953" s="2">
        <v>18</v>
      </c>
      <c r="G1953" s="2">
        <v>17.75</v>
      </c>
      <c r="H1953" s="2">
        <v>0.25</v>
      </c>
      <c r="I1953" s="1">
        <v>1.4</v>
      </c>
      <c r="J1953" s="26">
        <v>45640</v>
      </c>
      <c r="K1953" s="22">
        <v>159750</v>
      </c>
      <c r="L1953" s="18">
        <v>170.86</v>
      </c>
      <c r="M1953" s="22">
        <v>116100</v>
      </c>
      <c r="N1953" s="22">
        <v>43650</v>
      </c>
      <c r="O1953" s="18">
        <v>46.68</v>
      </c>
      <c r="P1953" s="52">
        <f>IF(COUNTIF(TblPurchases[BatchID],TblOutcomes[[#This Row],[BatchID]])&lt;&gt;1,"n.a.",TblOutcomes[[#This Row],[Qty Wasted]]*SUMIFS(TblPurchases[Unit Cost (CLP)],TblPurchases[BatchID],TblOutcomes[[#This Row],[BatchID]]))</f>
        <v>1612.5</v>
      </c>
      <c r="Q1953" s="51">
        <f>IF(COUNTIF(TblPurchases[BatchID],TblOutcomes[[#This Row],[BatchID]])&lt;&gt;1,"n.a.",SUMIFS(TblPurchases[Purchase Date],TblPurchases[BatchID],TblOutcomes[[#This Row],[BatchID]]))</f>
        <v>45460</v>
      </c>
    </row>
    <row r="1954" spans="2:17" x14ac:dyDescent="0.25">
      <c r="B1954" s="2" t="s">
        <v>2759</v>
      </c>
      <c r="C1954" s="2" t="s">
        <v>244</v>
      </c>
      <c r="D1954" s="2" t="s">
        <v>237</v>
      </c>
      <c r="E1954" s="2" t="s">
        <v>4646</v>
      </c>
      <c r="F1954" s="2">
        <v>20</v>
      </c>
      <c r="G1954" s="2">
        <v>19.12</v>
      </c>
      <c r="H1954" s="2">
        <v>0.88</v>
      </c>
      <c r="I1954" s="1">
        <v>4.4000000000000004</v>
      </c>
      <c r="J1954" s="26">
        <v>45667</v>
      </c>
      <c r="K1954" s="22">
        <v>172080</v>
      </c>
      <c r="L1954" s="18">
        <v>184.04</v>
      </c>
      <c r="M1954" s="22">
        <v>129000</v>
      </c>
      <c r="N1954" s="22">
        <v>43080</v>
      </c>
      <c r="O1954" s="18">
        <v>46.07</v>
      </c>
      <c r="P1954" s="52">
        <f>IF(COUNTIF(TblPurchases[BatchID],TblOutcomes[[#This Row],[BatchID]])&lt;&gt;1,"n.a.",TblOutcomes[[#This Row],[Qty Wasted]]*SUMIFS(TblPurchases[Unit Cost (CLP)],TblPurchases[BatchID],TblOutcomes[[#This Row],[BatchID]]))</f>
        <v>5676</v>
      </c>
      <c r="Q1954" s="51">
        <f>IF(COUNTIF(TblPurchases[BatchID],TblOutcomes[[#This Row],[BatchID]])&lt;&gt;1,"n.a.",SUMIFS(TblPurchases[Purchase Date],TblPurchases[BatchID],TblOutcomes[[#This Row],[BatchID]]))</f>
        <v>45487</v>
      </c>
    </row>
    <row r="1955" spans="2:17" x14ac:dyDescent="0.25">
      <c r="B1955" s="2" t="s">
        <v>2760</v>
      </c>
      <c r="C1955" s="2" t="s">
        <v>244</v>
      </c>
      <c r="D1955" s="2" t="s">
        <v>237</v>
      </c>
      <c r="E1955" s="2" t="s">
        <v>4647</v>
      </c>
      <c r="F1955" s="2">
        <v>20</v>
      </c>
      <c r="G1955" s="2">
        <v>20</v>
      </c>
      <c r="H1955" s="2">
        <v>0</v>
      </c>
      <c r="I1955" s="1">
        <v>0</v>
      </c>
      <c r="J1955" s="26">
        <v>45521</v>
      </c>
      <c r="K1955" s="22">
        <v>180000</v>
      </c>
      <c r="L1955" s="18">
        <v>192.51</v>
      </c>
      <c r="M1955" s="22">
        <v>129000</v>
      </c>
      <c r="N1955" s="22">
        <v>51000</v>
      </c>
      <c r="O1955" s="18">
        <v>54.55</v>
      </c>
      <c r="P1955" s="52">
        <f>IF(COUNTIF(TblPurchases[BatchID],TblOutcomes[[#This Row],[BatchID]])&lt;&gt;1,"n.a.",TblOutcomes[[#This Row],[Qty Wasted]]*SUMIFS(TblPurchases[Unit Cost (CLP)],TblPurchases[BatchID],TblOutcomes[[#This Row],[BatchID]]))</f>
        <v>0</v>
      </c>
      <c r="Q1955" s="51">
        <f>IF(COUNTIF(TblPurchases[BatchID],TblOutcomes[[#This Row],[BatchID]])&lt;&gt;1,"n.a.",SUMIFS(TblPurchases[Purchase Date],TblPurchases[BatchID],TblOutcomes[[#This Row],[BatchID]]))</f>
        <v>45505</v>
      </c>
    </row>
    <row r="1956" spans="2:17" x14ac:dyDescent="0.25">
      <c r="B1956" s="2" t="s">
        <v>2761</v>
      </c>
      <c r="C1956" s="2" t="s">
        <v>244</v>
      </c>
      <c r="D1956" s="2" t="s">
        <v>237</v>
      </c>
      <c r="E1956" s="2" t="s">
        <v>4647</v>
      </c>
      <c r="F1956" s="2">
        <v>21</v>
      </c>
      <c r="G1956" s="2">
        <v>21</v>
      </c>
      <c r="H1956" s="2">
        <v>0</v>
      </c>
      <c r="I1956" s="1">
        <v>0</v>
      </c>
      <c r="J1956" s="26">
        <v>45534</v>
      </c>
      <c r="K1956" s="22">
        <v>189000</v>
      </c>
      <c r="L1956" s="18">
        <v>202.14</v>
      </c>
      <c r="M1956" s="22">
        <v>135450</v>
      </c>
      <c r="N1956" s="22">
        <v>53550</v>
      </c>
      <c r="O1956" s="18">
        <v>57.27</v>
      </c>
      <c r="P1956" s="52">
        <f>IF(COUNTIF(TblPurchases[BatchID],TblOutcomes[[#This Row],[BatchID]])&lt;&gt;1,"n.a.",TblOutcomes[[#This Row],[Qty Wasted]]*SUMIFS(TblPurchases[Unit Cost (CLP)],TblPurchases[BatchID],TblOutcomes[[#This Row],[BatchID]]))</f>
        <v>0</v>
      </c>
      <c r="Q1956" s="51">
        <f>IF(COUNTIF(TblPurchases[BatchID],TblOutcomes[[#This Row],[BatchID]])&lt;&gt;1,"n.a.",SUMIFS(TblPurchases[Purchase Date],TblPurchases[BatchID],TblOutcomes[[#This Row],[BatchID]]))</f>
        <v>45521</v>
      </c>
    </row>
    <row r="1957" spans="2:17" x14ac:dyDescent="0.25">
      <c r="B1957" s="2" t="s">
        <v>2762</v>
      </c>
      <c r="C1957" s="2" t="s">
        <v>244</v>
      </c>
      <c r="D1957" s="2" t="s">
        <v>237</v>
      </c>
      <c r="E1957" s="2" t="s">
        <v>4647</v>
      </c>
      <c r="F1957" s="2">
        <v>25</v>
      </c>
      <c r="G1957" s="2">
        <v>25</v>
      </c>
      <c r="H1957" s="2">
        <v>0</v>
      </c>
      <c r="I1957" s="1">
        <v>0</v>
      </c>
      <c r="J1957" s="26">
        <v>45564</v>
      </c>
      <c r="K1957" s="22">
        <v>225000</v>
      </c>
      <c r="L1957" s="18">
        <v>240.64</v>
      </c>
      <c r="M1957" s="22">
        <v>166250</v>
      </c>
      <c r="N1957" s="22">
        <v>58750</v>
      </c>
      <c r="O1957" s="18">
        <v>62.83</v>
      </c>
      <c r="P1957" s="52">
        <f>IF(COUNTIF(TblPurchases[BatchID],TblOutcomes[[#This Row],[BatchID]])&lt;&gt;1,"n.a.",TblOutcomes[[#This Row],[Qty Wasted]]*SUMIFS(TblPurchases[Unit Cost (CLP)],TblPurchases[BatchID],TblOutcomes[[#This Row],[BatchID]]))</f>
        <v>0</v>
      </c>
      <c r="Q1957" s="51">
        <f>IF(COUNTIF(TblPurchases[BatchID],TblOutcomes[[#This Row],[BatchID]])&lt;&gt;1,"n.a.",SUMIFS(TblPurchases[Purchase Date],TblPurchases[BatchID],TblOutcomes[[#This Row],[BatchID]]))</f>
        <v>45544</v>
      </c>
    </row>
    <row r="1958" spans="2:17" x14ac:dyDescent="0.25">
      <c r="B1958" s="2" t="s">
        <v>2763</v>
      </c>
      <c r="C1958" s="2" t="s">
        <v>244</v>
      </c>
      <c r="D1958" s="2" t="s">
        <v>237</v>
      </c>
      <c r="E1958" s="2" t="s">
        <v>4646</v>
      </c>
      <c r="F1958" s="2">
        <v>21</v>
      </c>
      <c r="G1958" s="2">
        <v>20.18</v>
      </c>
      <c r="H1958" s="2">
        <v>0.82</v>
      </c>
      <c r="I1958" s="1">
        <v>3.9</v>
      </c>
      <c r="J1958" s="26">
        <v>45750</v>
      </c>
      <c r="K1958" s="22">
        <v>181620</v>
      </c>
      <c r="L1958" s="18">
        <v>194.25</v>
      </c>
      <c r="M1958" s="22">
        <v>139650</v>
      </c>
      <c r="N1958" s="22">
        <v>41970</v>
      </c>
      <c r="O1958" s="18">
        <v>44.89</v>
      </c>
      <c r="P1958" s="52">
        <f>IF(COUNTIF(TblPurchases[BatchID],TblOutcomes[[#This Row],[BatchID]])&lt;&gt;1,"n.a.",TblOutcomes[[#This Row],[Qty Wasted]]*SUMIFS(TblPurchases[Unit Cost (CLP)],TblPurchases[BatchID],TblOutcomes[[#This Row],[BatchID]]))</f>
        <v>5453</v>
      </c>
      <c r="Q1958" s="51">
        <f>IF(COUNTIF(TblPurchases[BatchID],TblOutcomes[[#This Row],[BatchID]])&lt;&gt;1,"n.a.",SUMIFS(TblPurchases[Purchase Date],TblPurchases[BatchID],TblOutcomes[[#This Row],[BatchID]]))</f>
        <v>45570</v>
      </c>
    </row>
    <row r="1959" spans="2:17" x14ac:dyDescent="0.25">
      <c r="B1959" s="2" t="s">
        <v>2764</v>
      </c>
      <c r="C1959" s="2" t="s">
        <v>244</v>
      </c>
      <c r="D1959" s="2" t="s">
        <v>237</v>
      </c>
      <c r="E1959" s="2" t="s">
        <v>4646</v>
      </c>
      <c r="F1959" s="2">
        <v>20</v>
      </c>
      <c r="G1959" s="2">
        <v>19.420000000000002</v>
      </c>
      <c r="H1959" s="2">
        <v>0.57999999999999996</v>
      </c>
      <c r="I1959" s="1">
        <v>2.9</v>
      </c>
      <c r="J1959" s="26">
        <v>45773</v>
      </c>
      <c r="K1959" s="22">
        <v>174780</v>
      </c>
      <c r="L1959" s="18">
        <v>186.93</v>
      </c>
      <c r="M1959" s="22">
        <v>129000</v>
      </c>
      <c r="N1959" s="22">
        <v>45780</v>
      </c>
      <c r="O1959" s="18">
        <v>48.96</v>
      </c>
      <c r="P1959" s="52">
        <f>IF(COUNTIF(TblPurchases[BatchID],TblOutcomes[[#This Row],[BatchID]])&lt;&gt;1,"n.a.",TblOutcomes[[#This Row],[Qty Wasted]]*SUMIFS(TblPurchases[Unit Cost (CLP)],TblPurchases[BatchID],TblOutcomes[[#This Row],[BatchID]]))</f>
        <v>3740.9999999999995</v>
      </c>
      <c r="Q1959" s="51">
        <f>IF(COUNTIF(TblPurchases[BatchID],TblOutcomes[[#This Row],[BatchID]])&lt;&gt;1,"n.a.",SUMIFS(TblPurchases[Purchase Date],TblPurchases[BatchID],TblOutcomes[[#This Row],[BatchID]]))</f>
        <v>45593</v>
      </c>
    </row>
    <row r="1960" spans="2:17" x14ac:dyDescent="0.25">
      <c r="B1960" s="2" t="s">
        <v>2765</v>
      </c>
      <c r="C1960" s="2" t="s">
        <v>244</v>
      </c>
      <c r="D1960" s="2" t="s">
        <v>237</v>
      </c>
      <c r="E1960" s="2" t="s">
        <v>4647</v>
      </c>
      <c r="F1960" s="2">
        <v>18</v>
      </c>
      <c r="G1960" s="2">
        <v>18</v>
      </c>
      <c r="H1960" s="2">
        <v>0</v>
      </c>
      <c r="I1960" s="1">
        <v>0</v>
      </c>
      <c r="J1960" s="26">
        <v>45636</v>
      </c>
      <c r="K1960" s="22">
        <v>162000</v>
      </c>
      <c r="L1960" s="18">
        <v>173.26</v>
      </c>
      <c r="M1960" s="22">
        <v>116100</v>
      </c>
      <c r="N1960" s="22">
        <v>45900</v>
      </c>
      <c r="O1960" s="18">
        <v>49.09</v>
      </c>
      <c r="P1960" s="52">
        <f>IF(COUNTIF(TblPurchases[BatchID],TblOutcomes[[#This Row],[BatchID]])&lt;&gt;1,"n.a.",TblOutcomes[[#This Row],[Qty Wasted]]*SUMIFS(TblPurchases[Unit Cost (CLP)],TblPurchases[BatchID],TblOutcomes[[#This Row],[BatchID]]))</f>
        <v>0</v>
      </c>
      <c r="Q1960" s="51">
        <f>IF(COUNTIF(TblPurchases[BatchID],TblOutcomes[[#This Row],[BatchID]])&lt;&gt;1,"n.a.",SUMIFS(TblPurchases[Purchase Date],TblPurchases[BatchID],TblOutcomes[[#This Row],[BatchID]]))</f>
        <v>45618</v>
      </c>
    </row>
    <row r="1961" spans="2:17" x14ac:dyDescent="0.25">
      <c r="B1961" s="2" t="s">
        <v>2766</v>
      </c>
      <c r="C1961" s="2" t="s">
        <v>244</v>
      </c>
      <c r="D1961" s="2" t="s">
        <v>237</v>
      </c>
      <c r="E1961" s="2" t="s">
        <v>4646</v>
      </c>
      <c r="F1961" s="2">
        <v>27</v>
      </c>
      <c r="G1961" s="2">
        <v>24.95</v>
      </c>
      <c r="H1961" s="2">
        <v>2.0499999999999998</v>
      </c>
      <c r="I1961" s="1">
        <v>7.6</v>
      </c>
      <c r="J1961" s="26">
        <v>45814</v>
      </c>
      <c r="K1961" s="22">
        <v>224550</v>
      </c>
      <c r="L1961" s="18">
        <v>240.16</v>
      </c>
      <c r="M1961" s="22">
        <v>174150</v>
      </c>
      <c r="N1961" s="22">
        <v>50400</v>
      </c>
      <c r="O1961" s="18">
        <v>53.9</v>
      </c>
      <c r="P1961" s="52">
        <f>IF(COUNTIF(TblPurchases[BatchID],TblOutcomes[[#This Row],[BatchID]])&lt;&gt;1,"n.a.",TblOutcomes[[#This Row],[Qty Wasted]]*SUMIFS(TblPurchases[Unit Cost (CLP)],TblPurchases[BatchID],TblOutcomes[[#This Row],[BatchID]]))</f>
        <v>13222.499999999998</v>
      </c>
      <c r="Q1961" s="51">
        <f>IF(COUNTIF(TblPurchases[BatchID],TblOutcomes[[#This Row],[BatchID]])&lt;&gt;1,"n.a.",SUMIFS(TblPurchases[Purchase Date],TblPurchases[BatchID],TblOutcomes[[#This Row],[BatchID]]))</f>
        <v>45634</v>
      </c>
    </row>
    <row r="1962" spans="2:17" x14ac:dyDescent="0.25">
      <c r="B1962" s="2" t="s">
        <v>2767</v>
      </c>
      <c r="C1962" s="2" t="s">
        <v>244</v>
      </c>
      <c r="D1962" s="2" t="s">
        <v>237</v>
      </c>
      <c r="E1962" s="2" t="s">
        <v>4647</v>
      </c>
      <c r="F1962" s="2">
        <v>24</v>
      </c>
      <c r="G1962" s="2">
        <v>24</v>
      </c>
      <c r="H1962" s="2">
        <v>0</v>
      </c>
      <c r="I1962" s="1">
        <v>0</v>
      </c>
      <c r="J1962" s="26">
        <v>45677</v>
      </c>
      <c r="K1962" s="22">
        <v>216000</v>
      </c>
      <c r="L1962" s="18">
        <v>231.02</v>
      </c>
      <c r="M1962" s="22">
        <v>159600</v>
      </c>
      <c r="N1962" s="22">
        <v>56400</v>
      </c>
      <c r="O1962" s="18">
        <v>60.32</v>
      </c>
      <c r="P1962" s="52">
        <f>IF(COUNTIF(TblPurchases[BatchID],TblOutcomes[[#This Row],[BatchID]])&lt;&gt;1,"n.a.",TblOutcomes[[#This Row],[Qty Wasted]]*SUMIFS(TblPurchases[Unit Cost (CLP)],TblPurchases[BatchID],TblOutcomes[[#This Row],[BatchID]]))</f>
        <v>0</v>
      </c>
      <c r="Q1962" s="51">
        <f>IF(COUNTIF(TblPurchases[BatchID],TblOutcomes[[#This Row],[BatchID]])&lt;&gt;1,"n.a.",SUMIFS(TblPurchases[Purchase Date],TblPurchases[BatchID],TblOutcomes[[#This Row],[BatchID]]))</f>
        <v>45654</v>
      </c>
    </row>
    <row r="1963" spans="2:17" x14ac:dyDescent="0.25">
      <c r="B1963" s="2" t="s">
        <v>2768</v>
      </c>
      <c r="C1963" s="2" t="s">
        <v>244</v>
      </c>
      <c r="D1963" s="2" t="s">
        <v>237</v>
      </c>
      <c r="E1963" s="2" t="s">
        <v>4646</v>
      </c>
      <c r="F1963" s="2">
        <v>22</v>
      </c>
      <c r="G1963" s="2">
        <v>19.649999999999999</v>
      </c>
      <c r="H1963" s="2">
        <v>2.35</v>
      </c>
      <c r="I1963" s="1">
        <v>10.7</v>
      </c>
      <c r="J1963" s="26">
        <v>45851</v>
      </c>
      <c r="K1963" s="22">
        <v>176850</v>
      </c>
      <c r="L1963" s="18">
        <v>189.14</v>
      </c>
      <c r="M1963" s="22">
        <v>146300</v>
      </c>
      <c r="N1963" s="22">
        <v>30550</v>
      </c>
      <c r="O1963" s="18">
        <v>32.67</v>
      </c>
      <c r="P1963" s="52">
        <f>IF(COUNTIF(TblPurchases[BatchID],TblOutcomes[[#This Row],[BatchID]])&lt;&gt;1,"n.a.",TblOutcomes[[#This Row],[Qty Wasted]]*SUMIFS(TblPurchases[Unit Cost (CLP)],TblPurchases[BatchID],TblOutcomes[[#This Row],[BatchID]]))</f>
        <v>15627.5</v>
      </c>
      <c r="Q1963" s="51">
        <f>IF(COUNTIF(TblPurchases[BatchID],TblOutcomes[[#This Row],[BatchID]])&lt;&gt;1,"n.a.",SUMIFS(TblPurchases[Purchase Date],TblPurchases[BatchID],TblOutcomes[[#This Row],[BatchID]]))</f>
        <v>45671</v>
      </c>
    </row>
    <row r="1964" spans="2:17" x14ac:dyDescent="0.25">
      <c r="B1964" s="2" t="s">
        <v>2769</v>
      </c>
      <c r="C1964" s="2" t="s">
        <v>244</v>
      </c>
      <c r="D1964" s="2" t="s">
        <v>237</v>
      </c>
      <c r="E1964" s="2" t="s">
        <v>4646</v>
      </c>
      <c r="F1964" s="2">
        <v>21</v>
      </c>
      <c r="G1964" s="2">
        <v>19.11</v>
      </c>
      <c r="H1964" s="2">
        <v>1.89</v>
      </c>
      <c r="I1964" s="1">
        <v>9</v>
      </c>
      <c r="J1964" s="26">
        <v>45870</v>
      </c>
      <c r="K1964" s="22">
        <v>171990</v>
      </c>
      <c r="L1964" s="18">
        <v>183.95</v>
      </c>
      <c r="M1964" s="22">
        <v>135450</v>
      </c>
      <c r="N1964" s="22">
        <v>36540</v>
      </c>
      <c r="O1964" s="18">
        <v>39.08</v>
      </c>
      <c r="P1964" s="52">
        <f>IF(COUNTIF(TblPurchases[BatchID],TblOutcomes[[#This Row],[BatchID]])&lt;&gt;1,"n.a.",TblOutcomes[[#This Row],[Qty Wasted]]*SUMIFS(TblPurchases[Unit Cost (CLP)],TblPurchases[BatchID],TblOutcomes[[#This Row],[BatchID]]))</f>
        <v>12190.5</v>
      </c>
      <c r="Q1964" s="51">
        <f>IF(COUNTIF(TblPurchases[BatchID],TblOutcomes[[#This Row],[BatchID]])&lt;&gt;1,"n.a.",SUMIFS(TblPurchases[Purchase Date],TblPurchases[BatchID],TblOutcomes[[#This Row],[BatchID]]))</f>
        <v>45690</v>
      </c>
    </row>
    <row r="1965" spans="2:17" x14ac:dyDescent="0.25">
      <c r="B1965" s="2" t="s">
        <v>2770</v>
      </c>
      <c r="C1965" s="2" t="s">
        <v>244</v>
      </c>
      <c r="D1965" s="2" t="s">
        <v>237</v>
      </c>
      <c r="E1965" s="2" t="s">
        <v>4647</v>
      </c>
      <c r="F1965" s="2">
        <v>23</v>
      </c>
      <c r="G1965" s="2">
        <v>23</v>
      </c>
      <c r="H1965" s="2">
        <v>0</v>
      </c>
      <c r="I1965" s="1">
        <v>0</v>
      </c>
      <c r="J1965" s="26">
        <v>45724</v>
      </c>
      <c r="K1965" s="22">
        <v>207000</v>
      </c>
      <c r="L1965" s="18">
        <v>221.39</v>
      </c>
      <c r="M1965" s="22">
        <v>152950</v>
      </c>
      <c r="N1965" s="22">
        <v>54050</v>
      </c>
      <c r="O1965" s="18">
        <v>57.81</v>
      </c>
      <c r="P1965" s="52">
        <f>IF(COUNTIF(TblPurchases[BatchID],TblOutcomes[[#This Row],[BatchID]])&lt;&gt;1,"n.a.",TblOutcomes[[#This Row],[Qty Wasted]]*SUMIFS(TblPurchases[Unit Cost (CLP)],TblPurchases[BatchID],TblOutcomes[[#This Row],[BatchID]]))</f>
        <v>0</v>
      </c>
      <c r="Q1965" s="51">
        <f>IF(COUNTIF(TblPurchases[BatchID],TblOutcomes[[#This Row],[BatchID]])&lt;&gt;1,"n.a.",SUMIFS(TblPurchases[Purchase Date],TblPurchases[BatchID],TblOutcomes[[#This Row],[BatchID]]))</f>
        <v>45710</v>
      </c>
    </row>
    <row r="1966" spans="2:17" x14ac:dyDescent="0.25">
      <c r="B1966" s="2" t="s">
        <v>2771</v>
      </c>
      <c r="C1966" s="2" t="s">
        <v>244</v>
      </c>
      <c r="D1966" s="2" t="s">
        <v>237</v>
      </c>
      <c r="E1966" s="2" t="s">
        <v>4647</v>
      </c>
      <c r="F1966" s="2">
        <v>24</v>
      </c>
      <c r="G1966" s="2">
        <v>24</v>
      </c>
      <c r="H1966" s="2">
        <v>0</v>
      </c>
      <c r="I1966" s="1">
        <v>0</v>
      </c>
      <c r="J1966" s="26">
        <v>45738</v>
      </c>
      <c r="K1966" s="22">
        <v>216000</v>
      </c>
      <c r="L1966" s="18">
        <v>231.02</v>
      </c>
      <c r="M1966" s="22">
        <v>154800</v>
      </c>
      <c r="N1966" s="22">
        <v>61200</v>
      </c>
      <c r="O1966" s="18">
        <v>65.45</v>
      </c>
      <c r="P1966" s="52">
        <f>IF(COUNTIF(TblPurchases[BatchID],TblOutcomes[[#This Row],[BatchID]])&lt;&gt;1,"n.a.",TblOutcomes[[#This Row],[Qty Wasted]]*SUMIFS(TblPurchases[Unit Cost (CLP)],TblPurchases[BatchID],TblOutcomes[[#This Row],[BatchID]]))</f>
        <v>0</v>
      </c>
      <c r="Q1966" s="51">
        <f>IF(COUNTIF(TblPurchases[BatchID],TblOutcomes[[#This Row],[BatchID]])&lt;&gt;1,"n.a.",SUMIFS(TblPurchases[Purchase Date],TblPurchases[BatchID],TblOutcomes[[#This Row],[BatchID]]))</f>
        <v>45724</v>
      </c>
    </row>
    <row r="1967" spans="2:17" x14ac:dyDescent="0.25">
      <c r="B1967" s="2" t="s">
        <v>2772</v>
      </c>
      <c r="C1967" s="2" t="s">
        <v>244</v>
      </c>
      <c r="D1967" s="2" t="s">
        <v>237</v>
      </c>
      <c r="E1967" s="2" t="s">
        <v>4647</v>
      </c>
      <c r="F1967" s="2">
        <v>21</v>
      </c>
      <c r="G1967" s="2">
        <v>21</v>
      </c>
      <c r="H1967" s="2">
        <v>0</v>
      </c>
      <c r="I1967" s="1">
        <v>0</v>
      </c>
      <c r="J1967" s="26">
        <v>45761</v>
      </c>
      <c r="K1967" s="22">
        <v>189000</v>
      </c>
      <c r="L1967" s="18">
        <v>202.14</v>
      </c>
      <c r="M1967" s="22">
        <v>139650</v>
      </c>
      <c r="N1967" s="22">
        <v>49350</v>
      </c>
      <c r="O1967" s="18">
        <v>52.78</v>
      </c>
      <c r="P1967" s="52">
        <f>IF(COUNTIF(TblPurchases[BatchID],TblOutcomes[[#This Row],[BatchID]])&lt;&gt;1,"n.a.",TblOutcomes[[#This Row],[Qty Wasted]]*SUMIFS(TblPurchases[Unit Cost (CLP)],TblPurchases[BatchID],TblOutcomes[[#This Row],[BatchID]]))</f>
        <v>0</v>
      </c>
      <c r="Q1967" s="51">
        <f>IF(COUNTIF(TblPurchases[BatchID],TblOutcomes[[#This Row],[BatchID]])&lt;&gt;1,"n.a.",SUMIFS(TblPurchases[Purchase Date],TblPurchases[BatchID],TblOutcomes[[#This Row],[BatchID]]))</f>
        <v>45741</v>
      </c>
    </row>
    <row r="1968" spans="2:17" x14ac:dyDescent="0.25">
      <c r="B1968" s="2" t="s">
        <v>2773</v>
      </c>
      <c r="C1968" s="2" t="s">
        <v>244</v>
      </c>
      <c r="D1968" s="2" t="s">
        <v>237</v>
      </c>
      <c r="E1968" s="2" t="s">
        <v>4647</v>
      </c>
      <c r="F1968" s="2">
        <v>19</v>
      </c>
      <c r="G1968" s="2">
        <v>19</v>
      </c>
      <c r="H1968" s="2">
        <v>0</v>
      </c>
      <c r="I1968" s="1">
        <v>0</v>
      </c>
      <c r="J1968" s="26">
        <v>45780</v>
      </c>
      <c r="K1968" s="22">
        <v>171000</v>
      </c>
      <c r="L1968" s="18">
        <v>182.89</v>
      </c>
      <c r="M1968" s="22">
        <v>122550</v>
      </c>
      <c r="N1968" s="22">
        <v>48450</v>
      </c>
      <c r="O1968" s="18">
        <v>51.82</v>
      </c>
      <c r="P1968" s="52">
        <f>IF(COUNTIF(TblPurchases[BatchID],TblOutcomes[[#This Row],[BatchID]])&lt;&gt;1,"n.a.",TblOutcomes[[#This Row],[Qty Wasted]]*SUMIFS(TblPurchases[Unit Cost (CLP)],TblPurchases[BatchID],TblOutcomes[[#This Row],[BatchID]]))</f>
        <v>0</v>
      </c>
      <c r="Q1968" s="51">
        <f>IF(COUNTIF(TblPurchases[BatchID],TblOutcomes[[#This Row],[BatchID]])&lt;&gt;1,"n.a.",SUMIFS(TblPurchases[Purchase Date],TblPurchases[BatchID],TblOutcomes[[#This Row],[BatchID]]))</f>
        <v>45763</v>
      </c>
    </row>
    <row r="1969" spans="2:17" x14ac:dyDescent="0.25">
      <c r="B1969" s="2" t="s">
        <v>2774</v>
      </c>
      <c r="C1969" s="2" t="s">
        <v>244</v>
      </c>
      <c r="D1969" s="2" t="s">
        <v>237</v>
      </c>
      <c r="E1969" s="2" t="s">
        <v>4647</v>
      </c>
      <c r="F1969" s="2">
        <v>25</v>
      </c>
      <c r="G1969" s="2">
        <v>25</v>
      </c>
      <c r="H1969" s="2">
        <v>0</v>
      </c>
      <c r="I1969" s="1">
        <v>0</v>
      </c>
      <c r="J1969" s="26">
        <v>45964</v>
      </c>
      <c r="K1969" s="22">
        <v>225000</v>
      </c>
      <c r="L1969" s="18">
        <v>240.64</v>
      </c>
      <c r="M1969" s="22">
        <v>166250</v>
      </c>
      <c r="N1969" s="22">
        <v>58750</v>
      </c>
      <c r="O1969" s="18">
        <v>62.83</v>
      </c>
      <c r="P1969" s="52">
        <f>IF(COUNTIF(TblPurchases[BatchID],TblOutcomes[[#This Row],[BatchID]])&lt;&gt;1,"n.a.",TblOutcomes[[#This Row],[Qty Wasted]]*SUMIFS(TblPurchases[Unit Cost (CLP)],TblPurchases[BatchID],TblOutcomes[[#This Row],[BatchID]]))</f>
        <v>0</v>
      </c>
      <c r="Q1969" s="51">
        <f>IF(COUNTIF(TblPurchases[BatchID],TblOutcomes[[#This Row],[BatchID]])&lt;&gt;1,"n.a.",SUMIFS(TblPurchases[Purchase Date],TblPurchases[BatchID],TblOutcomes[[#This Row],[BatchID]]))</f>
        <v>45784</v>
      </c>
    </row>
    <row r="1970" spans="2:17" x14ac:dyDescent="0.25">
      <c r="B1970" s="2" t="s">
        <v>2775</v>
      </c>
      <c r="C1970" s="2" t="s">
        <v>244</v>
      </c>
      <c r="D1970" s="2" t="s">
        <v>237</v>
      </c>
      <c r="E1970" s="2" t="s">
        <v>4647</v>
      </c>
      <c r="F1970" s="2">
        <v>22</v>
      </c>
      <c r="G1970" s="2">
        <v>22</v>
      </c>
      <c r="H1970" s="2">
        <v>0</v>
      </c>
      <c r="I1970" s="1">
        <v>0</v>
      </c>
      <c r="J1970" s="26">
        <v>45820</v>
      </c>
      <c r="K1970" s="22">
        <v>198000</v>
      </c>
      <c r="L1970" s="18">
        <v>211.76</v>
      </c>
      <c r="M1970" s="22">
        <v>141900</v>
      </c>
      <c r="N1970" s="22">
        <v>56100</v>
      </c>
      <c r="O1970" s="18">
        <v>60</v>
      </c>
      <c r="P1970" s="52">
        <f>IF(COUNTIF(TblPurchases[BatchID],TblOutcomes[[#This Row],[BatchID]])&lt;&gt;1,"n.a.",TblOutcomes[[#This Row],[Qty Wasted]]*SUMIFS(TblPurchases[Unit Cost (CLP)],TblPurchases[BatchID],TblOutcomes[[#This Row],[BatchID]]))</f>
        <v>0</v>
      </c>
      <c r="Q1970" s="51">
        <f>IF(COUNTIF(TblPurchases[BatchID],TblOutcomes[[#This Row],[BatchID]])&lt;&gt;1,"n.a.",SUMIFS(TblPurchases[Purchase Date],TblPurchases[BatchID],TblOutcomes[[#This Row],[BatchID]]))</f>
        <v>45804</v>
      </c>
    </row>
    <row r="1971" spans="2:17" x14ac:dyDescent="0.25">
      <c r="B1971" s="2" t="s">
        <v>2776</v>
      </c>
      <c r="C1971" s="2" t="s">
        <v>244</v>
      </c>
      <c r="D1971" s="2" t="s">
        <v>237</v>
      </c>
      <c r="E1971" s="2" t="s">
        <v>4646</v>
      </c>
      <c r="F1971" s="2">
        <v>20</v>
      </c>
      <c r="G1971" s="2">
        <v>19.02</v>
      </c>
      <c r="H1971" s="2">
        <v>0.98</v>
      </c>
      <c r="I1971" s="1">
        <v>4.9000000000000004</v>
      </c>
      <c r="J1971" s="26">
        <v>46006</v>
      </c>
      <c r="K1971" s="22">
        <v>171180</v>
      </c>
      <c r="L1971" s="18">
        <v>183.08</v>
      </c>
      <c r="M1971" s="22">
        <v>129000</v>
      </c>
      <c r="N1971" s="22">
        <v>42180</v>
      </c>
      <c r="O1971" s="18">
        <v>45.11</v>
      </c>
      <c r="P1971" s="52">
        <f>IF(COUNTIF(TblPurchases[BatchID],TblOutcomes[[#This Row],[BatchID]])&lt;&gt;1,"n.a.",TblOutcomes[[#This Row],[Qty Wasted]]*SUMIFS(TblPurchases[Unit Cost (CLP)],TblPurchases[BatchID],TblOutcomes[[#This Row],[BatchID]]))</f>
        <v>6321</v>
      </c>
      <c r="Q1971" s="51">
        <f>IF(COUNTIF(TblPurchases[BatchID],TblOutcomes[[#This Row],[BatchID]])&lt;&gt;1,"n.a.",SUMIFS(TblPurchases[Purchase Date],TblPurchases[BatchID],TblOutcomes[[#This Row],[BatchID]]))</f>
        <v>45826</v>
      </c>
    </row>
    <row r="1972" spans="2:17" x14ac:dyDescent="0.25">
      <c r="B1972" s="2" t="s">
        <v>2777</v>
      </c>
      <c r="C1972" s="2" t="s">
        <v>246</v>
      </c>
      <c r="D1972" s="2" t="s">
        <v>237</v>
      </c>
      <c r="E1972" s="2" t="s">
        <v>4647</v>
      </c>
      <c r="F1972" s="2">
        <v>36</v>
      </c>
      <c r="G1972" s="2">
        <v>36</v>
      </c>
      <c r="H1972" s="2">
        <v>0</v>
      </c>
      <c r="I1972" s="1">
        <v>0</v>
      </c>
      <c r="J1972" s="26">
        <v>45135</v>
      </c>
      <c r="K1972" s="22">
        <v>396000</v>
      </c>
      <c r="L1972" s="18">
        <v>423.53</v>
      </c>
      <c r="M1972" s="22">
        <v>277200</v>
      </c>
      <c r="N1972" s="22">
        <v>118800</v>
      </c>
      <c r="O1972" s="18">
        <v>127.06</v>
      </c>
      <c r="P1972" s="52">
        <f>IF(COUNTIF(TblPurchases[BatchID],TblOutcomes[[#This Row],[BatchID]])&lt;&gt;1,"n.a.",TblOutcomes[[#This Row],[Qty Wasted]]*SUMIFS(TblPurchases[Unit Cost (CLP)],TblPurchases[BatchID],TblOutcomes[[#This Row],[BatchID]]))</f>
        <v>0</v>
      </c>
      <c r="Q1972" s="51">
        <f>IF(COUNTIF(TblPurchases[BatchID],TblOutcomes[[#This Row],[BatchID]])&lt;&gt;1,"n.a.",SUMIFS(TblPurchases[Purchase Date],TblPurchases[BatchID],TblOutcomes[[#This Row],[BatchID]]))</f>
        <v>45127</v>
      </c>
    </row>
    <row r="1973" spans="2:17" x14ac:dyDescent="0.25">
      <c r="B1973" s="2" t="s">
        <v>2778</v>
      </c>
      <c r="C1973" s="2" t="s">
        <v>246</v>
      </c>
      <c r="D1973" s="2" t="s">
        <v>237</v>
      </c>
      <c r="E1973" s="2" t="s">
        <v>4647</v>
      </c>
      <c r="F1973" s="2">
        <v>30</v>
      </c>
      <c r="G1973" s="2">
        <v>30</v>
      </c>
      <c r="H1973" s="2">
        <v>0</v>
      </c>
      <c r="I1973" s="1">
        <v>0</v>
      </c>
      <c r="J1973" s="26">
        <v>45166</v>
      </c>
      <c r="K1973" s="22">
        <v>330000</v>
      </c>
      <c r="L1973" s="18">
        <v>352.94</v>
      </c>
      <c r="M1973" s="22">
        <v>231000</v>
      </c>
      <c r="N1973" s="22">
        <v>99000</v>
      </c>
      <c r="O1973" s="18">
        <v>105.88</v>
      </c>
      <c r="P1973" s="52">
        <f>IF(COUNTIF(TblPurchases[BatchID],TblOutcomes[[#This Row],[BatchID]])&lt;&gt;1,"n.a.",TblOutcomes[[#This Row],[Qty Wasted]]*SUMIFS(TblPurchases[Unit Cost (CLP)],TblPurchases[BatchID],TblOutcomes[[#This Row],[BatchID]]))</f>
        <v>0</v>
      </c>
      <c r="Q1973" s="51">
        <f>IF(COUNTIF(TblPurchases[BatchID],TblOutcomes[[#This Row],[BatchID]])&lt;&gt;1,"n.a.",SUMIFS(TblPurchases[Purchase Date],TblPurchases[BatchID],TblOutcomes[[#This Row],[BatchID]]))</f>
        <v>45145</v>
      </c>
    </row>
    <row r="1974" spans="2:17" x14ac:dyDescent="0.25">
      <c r="B1974" s="2" t="s">
        <v>2779</v>
      </c>
      <c r="C1974" s="2" t="s">
        <v>246</v>
      </c>
      <c r="D1974" s="2" t="s">
        <v>237</v>
      </c>
      <c r="E1974" s="2" t="s">
        <v>4647</v>
      </c>
      <c r="F1974" s="2">
        <v>37</v>
      </c>
      <c r="G1974" s="2">
        <v>37</v>
      </c>
      <c r="H1974" s="2">
        <v>0</v>
      </c>
      <c r="I1974" s="1">
        <v>0</v>
      </c>
      <c r="J1974" s="26">
        <v>45182</v>
      </c>
      <c r="K1974" s="22">
        <v>407000</v>
      </c>
      <c r="L1974" s="18">
        <v>435.29</v>
      </c>
      <c r="M1974" s="22">
        <v>284900</v>
      </c>
      <c r="N1974" s="22">
        <v>122100</v>
      </c>
      <c r="O1974" s="18">
        <v>130.59</v>
      </c>
      <c r="P1974" s="52">
        <f>IF(COUNTIF(TblPurchases[BatchID],TblOutcomes[[#This Row],[BatchID]])&lt;&gt;1,"n.a.",TblOutcomes[[#This Row],[Qty Wasted]]*SUMIFS(TblPurchases[Unit Cost (CLP)],TblPurchases[BatchID],TblOutcomes[[#This Row],[BatchID]]))</f>
        <v>0</v>
      </c>
      <c r="Q1974" s="51">
        <f>IF(COUNTIF(TblPurchases[BatchID],TblOutcomes[[#This Row],[BatchID]])&lt;&gt;1,"n.a.",SUMIFS(TblPurchases[Purchase Date],TblPurchases[BatchID],TblOutcomes[[#This Row],[BatchID]]))</f>
        <v>45170</v>
      </c>
    </row>
    <row r="1975" spans="2:17" x14ac:dyDescent="0.25">
      <c r="B1975" s="2" t="s">
        <v>2780</v>
      </c>
      <c r="C1975" s="2" t="s">
        <v>246</v>
      </c>
      <c r="D1975" s="2" t="s">
        <v>237</v>
      </c>
      <c r="E1975" s="2" t="s">
        <v>4646</v>
      </c>
      <c r="F1975" s="2">
        <v>38</v>
      </c>
      <c r="G1975" s="2">
        <v>35.57</v>
      </c>
      <c r="H1975" s="2">
        <v>2.4300000000000002</v>
      </c>
      <c r="I1975" s="1">
        <v>6.4</v>
      </c>
      <c r="J1975" s="26">
        <v>45373</v>
      </c>
      <c r="K1975" s="22">
        <v>391270</v>
      </c>
      <c r="L1975" s="18">
        <v>418.47</v>
      </c>
      <c r="M1975" s="22">
        <v>292600</v>
      </c>
      <c r="N1975" s="22">
        <v>98670</v>
      </c>
      <c r="O1975" s="18">
        <v>105.53</v>
      </c>
      <c r="P1975" s="52">
        <f>IF(COUNTIF(TblPurchases[BatchID],TblOutcomes[[#This Row],[BatchID]])&lt;&gt;1,"n.a.",TblOutcomes[[#This Row],[Qty Wasted]]*SUMIFS(TblPurchases[Unit Cost (CLP)],TblPurchases[BatchID],TblOutcomes[[#This Row],[BatchID]]))</f>
        <v>18711</v>
      </c>
      <c r="Q1975" s="51">
        <f>IF(COUNTIF(TblPurchases[BatchID],TblOutcomes[[#This Row],[BatchID]])&lt;&gt;1,"n.a.",SUMIFS(TblPurchases[Purchase Date],TblPurchases[BatchID],TblOutcomes[[#This Row],[BatchID]]))</f>
        <v>45193</v>
      </c>
    </row>
    <row r="1976" spans="2:17" x14ac:dyDescent="0.25">
      <c r="B1976" s="2" t="s">
        <v>2781</v>
      </c>
      <c r="C1976" s="2" t="s">
        <v>246</v>
      </c>
      <c r="D1976" s="2" t="s">
        <v>237</v>
      </c>
      <c r="E1976" s="2" t="s">
        <v>4646</v>
      </c>
      <c r="F1976" s="2">
        <v>13</v>
      </c>
      <c r="G1976" s="2">
        <v>11.49</v>
      </c>
      <c r="H1976" s="2">
        <v>1.51</v>
      </c>
      <c r="I1976" s="1">
        <v>11.6</v>
      </c>
      <c r="J1976" s="26">
        <v>45393</v>
      </c>
      <c r="K1976" s="22">
        <v>126390</v>
      </c>
      <c r="L1976" s="18">
        <v>135.18</v>
      </c>
      <c r="M1976" s="22">
        <v>100100</v>
      </c>
      <c r="N1976" s="22">
        <v>26290</v>
      </c>
      <c r="O1976" s="18">
        <v>28.12</v>
      </c>
      <c r="P1976" s="52">
        <f>IF(COUNTIF(TblPurchases[BatchID],TblOutcomes[[#This Row],[BatchID]])&lt;&gt;1,"n.a.",TblOutcomes[[#This Row],[Qty Wasted]]*SUMIFS(TblPurchases[Unit Cost (CLP)],TblPurchases[BatchID],TblOutcomes[[#This Row],[BatchID]]))</f>
        <v>11627</v>
      </c>
      <c r="Q1976" s="51">
        <f>IF(COUNTIF(TblPurchases[BatchID],TblOutcomes[[#This Row],[BatchID]])&lt;&gt;1,"n.a.",SUMIFS(TblPurchases[Purchase Date],TblPurchases[BatchID],TblOutcomes[[#This Row],[BatchID]]))</f>
        <v>45213</v>
      </c>
    </row>
    <row r="1977" spans="2:17" x14ac:dyDescent="0.25">
      <c r="B1977" s="2" t="s">
        <v>2782</v>
      </c>
      <c r="C1977" s="2" t="s">
        <v>246</v>
      </c>
      <c r="D1977" s="2" t="s">
        <v>237</v>
      </c>
      <c r="E1977" s="2" t="s">
        <v>4646</v>
      </c>
      <c r="F1977" s="2">
        <v>12</v>
      </c>
      <c r="G1977" s="2">
        <v>10.74</v>
      </c>
      <c r="H1977" s="2">
        <v>1.26</v>
      </c>
      <c r="I1977" s="1">
        <v>10.5</v>
      </c>
      <c r="J1977" s="26">
        <v>45409</v>
      </c>
      <c r="K1977" s="22">
        <v>118140</v>
      </c>
      <c r="L1977" s="18">
        <v>126.35</v>
      </c>
      <c r="M1977" s="22">
        <v>92400</v>
      </c>
      <c r="N1977" s="22">
        <v>25740</v>
      </c>
      <c r="O1977" s="18">
        <v>27.53</v>
      </c>
      <c r="P1977" s="52">
        <f>IF(COUNTIF(TblPurchases[BatchID],TblOutcomes[[#This Row],[BatchID]])&lt;&gt;1,"n.a.",TblOutcomes[[#This Row],[Qty Wasted]]*SUMIFS(TblPurchases[Unit Cost (CLP)],TblPurchases[BatchID],TblOutcomes[[#This Row],[BatchID]]))</f>
        <v>9702</v>
      </c>
      <c r="Q1977" s="51">
        <f>IF(COUNTIF(TblPurchases[BatchID],TblOutcomes[[#This Row],[BatchID]])&lt;&gt;1,"n.a.",SUMIFS(TblPurchases[Purchase Date],TblPurchases[BatchID],TblOutcomes[[#This Row],[BatchID]]))</f>
        <v>45229</v>
      </c>
    </row>
    <row r="1978" spans="2:17" x14ac:dyDescent="0.25">
      <c r="B1978" s="2" t="s">
        <v>2783</v>
      </c>
      <c r="C1978" s="2" t="s">
        <v>246</v>
      </c>
      <c r="D1978" s="2" t="s">
        <v>237</v>
      </c>
      <c r="E1978" s="2" t="s">
        <v>4646</v>
      </c>
      <c r="F1978" s="2">
        <v>11</v>
      </c>
      <c r="G1978" s="2">
        <v>10</v>
      </c>
      <c r="H1978" s="2">
        <v>1</v>
      </c>
      <c r="I1978" s="1">
        <v>9.1</v>
      </c>
      <c r="J1978" s="26">
        <v>45425</v>
      </c>
      <c r="K1978" s="22">
        <v>110000</v>
      </c>
      <c r="L1978" s="18">
        <v>117.65</v>
      </c>
      <c r="M1978" s="22">
        <v>84700</v>
      </c>
      <c r="N1978" s="22">
        <v>25300</v>
      </c>
      <c r="O1978" s="18">
        <v>27.06</v>
      </c>
      <c r="P1978" s="52">
        <f>IF(COUNTIF(TblPurchases[BatchID],TblOutcomes[[#This Row],[BatchID]])&lt;&gt;1,"n.a.",TblOutcomes[[#This Row],[Qty Wasted]]*SUMIFS(TblPurchases[Unit Cost (CLP)],TblPurchases[BatchID],TblOutcomes[[#This Row],[BatchID]]))</f>
        <v>7700</v>
      </c>
      <c r="Q1978" s="51">
        <f>IF(COUNTIF(TblPurchases[BatchID],TblOutcomes[[#This Row],[BatchID]])&lt;&gt;1,"n.a.",SUMIFS(TblPurchases[Purchase Date],TblPurchases[BatchID],TblOutcomes[[#This Row],[BatchID]]))</f>
        <v>45245</v>
      </c>
    </row>
    <row r="1979" spans="2:17" x14ac:dyDescent="0.25">
      <c r="B1979" s="2" t="s">
        <v>2784</v>
      </c>
      <c r="C1979" s="2" t="s">
        <v>246</v>
      </c>
      <c r="D1979" s="2" t="s">
        <v>237</v>
      </c>
      <c r="E1979" s="2" t="s">
        <v>4646</v>
      </c>
      <c r="F1979" s="2">
        <v>16</v>
      </c>
      <c r="G1979" s="2">
        <v>15.14</v>
      </c>
      <c r="H1979" s="2">
        <v>0.86</v>
      </c>
      <c r="I1979" s="1">
        <v>5.4</v>
      </c>
      <c r="J1979" s="26">
        <v>45448</v>
      </c>
      <c r="K1979" s="22">
        <v>166540</v>
      </c>
      <c r="L1979" s="18">
        <v>178.12</v>
      </c>
      <c r="M1979" s="22">
        <v>123200</v>
      </c>
      <c r="N1979" s="22">
        <v>43340</v>
      </c>
      <c r="O1979" s="18">
        <v>46.35</v>
      </c>
      <c r="P1979" s="52">
        <f>IF(COUNTIF(TblPurchases[BatchID],TblOutcomes[[#This Row],[BatchID]])&lt;&gt;1,"n.a.",TblOutcomes[[#This Row],[Qty Wasted]]*SUMIFS(TblPurchases[Unit Cost (CLP)],TblPurchases[BatchID],TblOutcomes[[#This Row],[BatchID]]))</f>
        <v>6622</v>
      </c>
      <c r="Q1979" s="51">
        <f>IF(COUNTIF(TblPurchases[BatchID],TblOutcomes[[#This Row],[BatchID]])&lt;&gt;1,"n.a.",SUMIFS(TblPurchases[Purchase Date],TblPurchases[BatchID],TblOutcomes[[#This Row],[BatchID]]))</f>
        <v>45268</v>
      </c>
    </row>
    <row r="1980" spans="2:17" x14ac:dyDescent="0.25">
      <c r="B1980" s="2" t="s">
        <v>2785</v>
      </c>
      <c r="C1980" s="2" t="s">
        <v>246</v>
      </c>
      <c r="D1980" s="2" t="s">
        <v>237</v>
      </c>
      <c r="E1980" s="2" t="s">
        <v>4646</v>
      </c>
      <c r="F1980" s="2">
        <v>16</v>
      </c>
      <c r="G1980" s="2">
        <v>13.9</v>
      </c>
      <c r="H1980" s="2">
        <v>2.1</v>
      </c>
      <c r="I1980" s="1">
        <v>13.1</v>
      </c>
      <c r="J1980" s="26">
        <v>45470</v>
      </c>
      <c r="K1980" s="22">
        <v>152900</v>
      </c>
      <c r="L1980" s="18">
        <v>163.53</v>
      </c>
      <c r="M1980" s="22">
        <v>123200</v>
      </c>
      <c r="N1980" s="22">
        <v>29700</v>
      </c>
      <c r="O1980" s="18">
        <v>31.76</v>
      </c>
      <c r="P1980" s="52">
        <f>IF(COUNTIF(TblPurchases[BatchID],TblOutcomes[[#This Row],[BatchID]])&lt;&gt;1,"n.a.",TblOutcomes[[#This Row],[Qty Wasted]]*SUMIFS(TblPurchases[Unit Cost (CLP)],TblPurchases[BatchID],TblOutcomes[[#This Row],[BatchID]]))</f>
        <v>16170</v>
      </c>
      <c r="Q1980" s="51">
        <f>IF(COUNTIF(TblPurchases[BatchID],TblOutcomes[[#This Row],[BatchID]])&lt;&gt;1,"n.a.",SUMIFS(TblPurchases[Purchase Date],TblPurchases[BatchID],TblOutcomes[[#This Row],[BatchID]]))</f>
        <v>45290</v>
      </c>
    </row>
    <row r="1981" spans="2:17" x14ac:dyDescent="0.25">
      <c r="B1981" s="2" t="s">
        <v>2786</v>
      </c>
      <c r="C1981" s="2" t="s">
        <v>246</v>
      </c>
      <c r="D1981" s="2" t="s">
        <v>237</v>
      </c>
      <c r="E1981" s="2" t="s">
        <v>4646</v>
      </c>
      <c r="F1981" s="2">
        <v>11</v>
      </c>
      <c r="G1981" s="2">
        <v>9.2100000000000009</v>
      </c>
      <c r="H1981" s="2">
        <v>1.79</v>
      </c>
      <c r="I1981" s="1">
        <v>16.3</v>
      </c>
      <c r="J1981" s="26">
        <v>45493</v>
      </c>
      <c r="K1981" s="22">
        <v>101310</v>
      </c>
      <c r="L1981" s="18">
        <v>108.35</v>
      </c>
      <c r="M1981" s="22">
        <v>84700</v>
      </c>
      <c r="N1981" s="22">
        <v>16610</v>
      </c>
      <c r="O1981" s="18">
        <v>17.760000000000002</v>
      </c>
      <c r="P1981" s="52">
        <f>IF(COUNTIF(TblPurchases[BatchID],TblOutcomes[[#This Row],[BatchID]])&lt;&gt;1,"n.a.",TblOutcomes[[#This Row],[Qty Wasted]]*SUMIFS(TblPurchases[Unit Cost (CLP)],TblPurchases[BatchID],TblOutcomes[[#This Row],[BatchID]]))</f>
        <v>13783</v>
      </c>
      <c r="Q1981" s="51">
        <f>IF(COUNTIF(TblPurchases[BatchID],TblOutcomes[[#This Row],[BatchID]])&lt;&gt;1,"n.a.",SUMIFS(TblPurchases[Purchase Date],TblPurchases[BatchID],TblOutcomes[[#This Row],[BatchID]]))</f>
        <v>45313</v>
      </c>
    </row>
    <row r="1982" spans="2:17" x14ac:dyDescent="0.25">
      <c r="B1982" s="2" t="s">
        <v>2787</v>
      </c>
      <c r="C1982" s="2" t="s">
        <v>246</v>
      </c>
      <c r="D1982" s="2" t="s">
        <v>237</v>
      </c>
      <c r="E1982" s="2" t="s">
        <v>4646</v>
      </c>
      <c r="F1982" s="2">
        <v>13</v>
      </c>
      <c r="G1982" s="2">
        <v>11.13</v>
      </c>
      <c r="H1982" s="2">
        <v>1.87</v>
      </c>
      <c r="I1982" s="1">
        <v>14.4</v>
      </c>
      <c r="J1982" s="26">
        <v>45514</v>
      </c>
      <c r="K1982" s="22">
        <v>122430</v>
      </c>
      <c r="L1982" s="18">
        <v>130.94</v>
      </c>
      <c r="M1982" s="22">
        <v>100100</v>
      </c>
      <c r="N1982" s="22">
        <v>22330</v>
      </c>
      <c r="O1982" s="18">
        <v>23.88</v>
      </c>
      <c r="P1982" s="52">
        <f>IF(COUNTIF(TblPurchases[BatchID],TblOutcomes[[#This Row],[BatchID]])&lt;&gt;1,"n.a.",TblOutcomes[[#This Row],[Qty Wasted]]*SUMIFS(TblPurchases[Unit Cost (CLP)],TblPurchases[BatchID],TblOutcomes[[#This Row],[BatchID]]))</f>
        <v>14399</v>
      </c>
      <c r="Q1982" s="51">
        <f>IF(COUNTIF(TblPurchases[BatchID],TblOutcomes[[#This Row],[BatchID]])&lt;&gt;1,"n.a.",SUMIFS(TblPurchases[Purchase Date],TblPurchases[BatchID],TblOutcomes[[#This Row],[BatchID]]))</f>
        <v>45334</v>
      </c>
    </row>
    <row r="1983" spans="2:17" x14ac:dyDescent="0.25">
      <c r="B1983" s="2" t="s">
        <v>2788</v>
      </c>
      <c r="C1983" s="2" t="s">
        <v>246</v>
      </c>
      <c r="D1983" s="2" t="s">
        <v>237</v>
      </c>
      <c r="E1983" s="2" t="s">
        <v>4647</v>
      </c>
      <c r="F1983" s="2">
        <v>13</v>
      </c>
      <c r="G1983" s="2">
        <v>13</v>
      </c>
      <c r="H1983" s="2">
        <v>0</v>
      </c>
      <c r="I1983" s="1">
        <v>0</v>
      </c>
      <c r="J1983" s="26">
        <v>45360</v>
      </c>
      <c r="K1983" s="22">
        <v>143000</v>
      </c>
      <c r="L1983" s="18">
        <v>152.94</v>
      </c>
      <c r="M1983" s="22">
        <v>100100</v>
      </c>
      <c r="N1983" s="22">
        <v>42900</v>
      </c>
      <c r="O1983" s="18">
        <v>45.88</v>
      </c>
      <c r="P1983" s="52">
        <f>IF(COUNTIF(TblPurchases[BatchID],TblOutcomes[[#This Row],[BatchID]])&lt;&gt;1,"n.a.",TblOutcomes[[#This Row],[Qty Wasted]]*SUMIFS(TblPurchases[Unit Cost (CLP)],TblPurchases[BatchID],TblOutcomes[[#This Row],[BatchID]]))</f>
        <v>0</v>
      </c>
      <c r="Q1983" s="51">
        <f>IF(COUNTIF(TblPurchases[BatchID],TblOutcomes[[#This Row],[BatchID]])&lt;&gt;1,"n.a.",SUMIFS(TblPurchases[Purchase Date],TblPurchases[BatchID],TblOutcomes[[#This Row],[BatchID]]))</f>
        <v>45350</v>
      </c>
    </row>
    <row r="1984" spans="2:17" x14ac:dyDescent="0.25">
      <c r="B1984" s="2" t="s">
        <v>2789</v>
      </c>
      <c r="C1984" s="2" t="s">
        <v>246</v>
      </c>
      <c r="D1984" s="2" t="s">
        <v>237</v>
      </c>
      <c r="E1984" s="2" t="s">
        <v>4646</v>
      </c>
      <c r="F1984" s="2">
        <v>13</v>
      </c>
      <c r="G1984" s="2">
        <v>11.87</v>
      </c>
      <c r="H1984" s="2">
        <v>1.1299999999999999</v>
      </c>
      <c r="I1984" s="1">
        <v>8.6999999999999993</v>
      </c>
      <c r="J1984" s="26">
        <v>45548</v>
      </c>
      <c r="K1984" s="22">
        <v>130570</v>
      </c>
      <c r="L1984" s="18">
        <v>139.65</v>
      </c>
      <c r="M1984" s="22">
        <v>100100</v>
      </c>
      <c r="N1984" s="22">
        <v>30470</v>
      </c>
      <c r="O1984" s="18">
        <v>32.590000000000003</v>
      </c>
      <c r="P1984" s="52">
        <f>IF(COUNTIF(TblPurchases[BatchID],TblOutcomes[[#This Row],[BatchID]])&lt;&gt;1,"n.a.",TblOutcomes[[#This Row],[Qty Wasted]]*SUMIFS(TblPurchases[Unit Cost (CLP)],TblPurchases[BatchID],TblOutcomes[[#This Row],[BatchID]]))</f>
        <v>8701</v>
      </c>
      <c r="Q1984" s="51">
        <f>IF(COUNTIF(TblPurchases[BatchID],TblOutcomes[[#This Row],[BatchID]])&lt;&gt;1,"n.a.",SUMIFS(TblPurchases[Purchase Date],TblPurchases[BatchID],TblOutcomes[[#This Row],[BatchID]]))</f>
        <v>45368</v>
      </c>
    </row>
    <row r="1985" spans="2:17" x14ac:dyDescent="0.25">
      <c r="B1985" s="2" t="s">
        <v>2790</v>
      </c>
      <c r="C1985" s="2" t="s">
        <v>246</v>
      </c>
      <c r="D1985" s="2" t="s">
        <v>237</v>
      </c>
      <c r="E1985" s="2" t="s">
        <v>4647</v>
      </c>
      <c r="F1985" s="2">
        <v>35</v>
      </c>
      <c r="G1985" s="2">
        <v>35</v>
      </c>
      <c r="H1985" s="2">
        <v>0</v>
      </c>
      <c r="I1985" s="1">
        <v>0</v>
      </c>
      <c r="J1985" s="26">
        <v>45403</v>
      </c>
      <c r="K1985" s="22">
        <v>385000</v>
      </c>
      <c r="L1985" s="18">
        <v>411.76</v>
      </c>
      <c r="M1985" s="22">
        <v>287000</v>
      </c>
      <c r="N1985" s="22">
        <v>98000</v>
      </c>
      <c r="O1985" s="18">
        <v>104.81</v>
      </c>
      <c r="P1985" s="52">
        <f>IF(COUNTIF(TblPurchases[BatchID],TblOutcomes[[#This Row],[BatchID]])&lt;&gt;1,"n.a.",TblOutcomes[[#This Row],[Qty Wasted]]*SUMIFS(TblPurchases[Unit Cost (CLP)],TblPurchases[BatchID],TblOutcomes[[#This Row],[BatchID]]))</f>
        <v>0</v>
      </c>
      <c r="Q1985" s="51">
        <f>IF(COUNTIF(TblPurchases[BatchID],TblOutcomes[[#This Row],[BatchID]])&lt;&gt;1,"n.a.",SUMIFS(TblPurchases[Purchase Date],TblPurchases[BatchID],TblOutcomes[[#This Row],[BatchID]]))</f>
        <v>45384</v>
      </c>
    </row>
    <row r="1986" spans="2:17" x14ac:dyDescent="0.25">
      <c r="B1986" s="2" t="s">
        <v>2791</v>
      </c>
      <c r="C1986" s="2" t="s">
        <v>246</v>
      </c>
      <c r="D1986" s="2" t="s">
        <v>237</v>
      </c>
      <c r="E1986" s="2" t="s">
        <v>4646</v>
      </c>
      <c r="F1986" s="2">
        <v>30</v>
      </c>
      <c r="G1986" s="2">
        <v>29.31</v>
      </c>
      <c r="H1986" s="2">
        <v>0.69</v>
      </c>
      <c r="I1986" s="1">
        <v>2.2999999999999998</v>
      </c>
      <c r="J1986" s="26">
        <v>45583</v>
      </c>
      <c r="K1986" s="22">
        <v>322410</v>
      </c>
      <c r="L1986" s="18">
        <v>344.82</v>
      </c>
      <c r="M1986" s="22">
        <v>231000</v>
      </c>
      <c r="N1986" s="22">
        <v>91410</v>
      </c>
      <c r="O1986" s="18">
        <v>97.76</v>
      </c>
      <c r="P1986" s="52">
        <f>IF(COUNTIF(TblPurchases[BatchID],TblOutcomes[[#This Row],[BatchID]])&lt;&gt;1,"n.a.",TblOutcomes[[#This Row],[Qty Wasted]]*SUMIFS(TblPurchases[Unit Cost (CLP)],TblPurchases[BatchID],TblOutcomes[[#This Row],[BatchID]]))</f>
        <v>5313</v>
      </c>
      <c r="Q1986" s="51">
        <f>IF(COUNTIF(TblPurchases[BatchID],TblOutcomes[[#This Row],[BatchID]])&lt;&gt;1,"n.a.",SUMIFS(TblPurchases[Purchase Date],TblPurchases[BatchID],TblOutcomes[[#This Row],[BatchID]]))</f>
        <v>45403</v>
      </c>
    </row>
    <row r="1987" spans="2:17" x14ac:dyDescent="0.25">
      <c r="B1987" s="2" t="s">
        <v>2792</v>
      </c>
      <c r="C1987" s="2" t="s">
        <v>246</v>
      </c>
      <c r="D1987" s="2" t="s">
        <v>237</v>
      </c>
      <c r="E1987" s="2" t="s">
        <v>4647</v>
      </c>
      <c r="F1987" s="2">
        <v>28</v>
      </c>
      <c r="G1987" s="2">
        <v>28</v>
      </c>
      <c r="H1987" s="2">
        <v>0</v>
      </c>
      <c r="I1987" s="1">
        <v>0</v>
      </c>
      <c r="J1987" s="26">
        <v>45446</v>
      </c>
      <c r="K1987" s="22">
        <v>308000</v>
      </c>
      <c r="L1987" s="18">
        <v>329.41</v>
      </c>
      <c r="M1987" s="22">
        <v>215600</v>
      </c>
      <c r="N1987" s="22">
        <v>92400</v>
      </c>
      <c r="O1987" s="18">
        <v>98.82</v>
      </c>
      <c r="P1987" s="52">
        <f>IF(COUNTIF(TblPurchases[BatchID],TblOutcomes[[#This Row],[BatchID]])&lt;&gt;1,"n.a.",TblOutcomes[[#This Row],[Qty Wasted]]*SUMIFS(TblPurchases[Unit Cost (CLP)],TblPurchases[BatchID],TblOutcomes[[#This Row],[BatchID]]))</f>
        <v>0</v>
      </c>
      <c r="Q1987" s="51">
        <f>IF(COUNTIF(TblPurchases[BatchID],TblOutcomes[[#This Row],[BatchID]])&lt;&gt;1,"n.a.",SUMIFS(TblPurchases[Purchase Date],TblPurchases[BatchID],TblOutcomes[[#This Row],[BatchID]]))</f>
        <v>45429</v>
      </c>
    </row>
    <row r="1988" spans="2:17" x14ac:dyDescent="0.25">
      <c r="B1988" s="2" t="s">
        <v>2793</v>
      </c>
      <c r="C1988" s="2" t="s">
        <v>246</v>
      </c>
      <c r="D1988" s="2" t="s">
        <v>237</v>
      </c>
      <c r="E1988" s="2" t="s">
        <v>4646</v>
      </c>
      <c r="F1988" s="2">
        <v>31</v>
      </c>
      <c r="G1988" s="2">
        <v>28.74</v>
      </c>
      <c r="H1988" s="2">
        <v>2.2599999999999998</v>
      </c>
      <c r="I1988" s="1">
        <v>7.3</v>
      </c>
      <c r="J1988" s="26">
        <v>45628</v>
      </c>
      <c r="K1988" s="22">
        <v>316140</v>
      </c>
      <c r="L1988" s="18">
        <v>338.12</v>
      </c>
      <c r="M1988" s="22">
        <v>238700</v>
      </c>
      <c r="N1988" s="22">
        <v>77440</v>
      </c>
      <c r="O1988" s="18">
        <v>82.82</v>
      </c>
      <c r="P1988" s="52">
        <f>IF(COUNTIF(TblPurchases[BatchID],TblOutcomes[[#This Row],[BatchID]])&lt;&gt;1,"n.a.",TblOutcomes[[#This Row],[Qty Wasted]]*SUMIFS(TblPurchases[Unit Cost (CLP)],TblPurchases[BatchID],TblOutcomes[[#This Row],[BatchID]]))</f>
        <v>17402</v>
      </c>
      <c r="Q1988" s="51">
        <f>IF(COUNTIF(TblPurchases[BatchID],TblOutcomes[[#This Row],[BatchID]])&lt;&gt;1,"n.a.",SUMIFS(TblPurchases[Purchase Date],TblPurchases[BatchID],TblOutcomes[[#This Row],[BatchID]]))</f>
        <v>45448</v>
      </c>
    </row>
    <row r="1989" spans="2:17" x14ac:dyDescent="0.25">
      <c r="B1989" s="2" t="s">
        <v>2794</v>
      </c>
      <c r="C1989" s="2" t="s">
        <v>246</v>
      </c>
      <c r="D1989" s="2" t="s">
        <v>237</v>
      </c>
      <c r="E1989" s="2" t="s">
        <v>4647</v>
      </c>
      <c r="F1989" s="2">
        <v>27</v>
      </c>
      <c r="G1989" s="2">
        <v>27</v>
      </c>
      <c r="H1989" s="2">
        <v>0</v>
      </c>
      <c r="I1989" s="1">
        <v>0</v>
      </c>
      <c r="J1989" s="26">
        <v>45483</v>
      </c>
      <c r="K1989" s="22">
        <v>297000</v>
      </c>
      <c r="L1989" s="18">
        <v>317.64999999999998</v>
      </c>
      <c r="M1989" s="22">
        <v>207900</v>
      </c>
      <c r="N1989" s="22">
        <v>89100</v>
      </c>
      <c r="O1989" s="18">
        <v>95.29</v>
      </c>
      <c r="P1989" s="52">
        <f>IF(COUNTIF(TblPurchases[BatchID],TblOutcomes[[#This Row],[BatchID]])&lt;&gt;1,"n.a.",TblOutcomes[[#This Row],[Qty Wasted]]*SUMIFS(TblPurchases[Unit Cost (CLP)],TblPurchases[BatchID],TblOutcomes[[#This Row],[BatchID]]))</f>
        <v>0</v>
      </c>
      <c r="Q1989" s="51">
        <f>IF(COUNTIF(TblPurchases[BatchID],TblOutcomes[[#This Row],[BatchID]])&lt;&gt;1,"n.a.",SUMIFS(TblPurchases[Purchase Date],TblPurchases[BatchID],TblOutcomes[[#This Row],[BatchID]]))</f>
        <v>45468</v>
      </c>
    </row>
    <row r="1990" spans="2:17" x14ac:dyDescent="0.25">
      <c r="B1990" s="2" t="s">
        <v>2795</v>
      </c>
      <c r="C1990" s="2" t="s">
        <v>246</v>
      </c>
      <c r="D1990" s="2" t="s">
        <v>237</v>
      </c>
      <c r="E1990" s="2" t="s">
        <v>4646</v>
      </c>
      <c r="F1990" s="2">
        <v>28</v>
      </c>
      <c r="G1990" s="2">
        <v>27.61</v>
      </c>
      <c r="H1990" s="2">
        <v>0.39</v>
      </c>
      <c r="I1990" s="1">
        <v>1.4</v>
      </c>
      <c r="J1990" s="26">
        <v>45667</v>
      </c>
      <c r="K1990" s="22">
        <v>303710</v>
      </c>
      <c r="L1990" s="18">
        <v>324.82</v>
      </c>
      <c r="M1990" s="22">
        <v>215600</v>
      </c>
      <c r="N1990" s="22">
        <v>88110</v>
      </c>
      <c r="O1990" s="18">
        <v>94.24</v>
      </c>
      <c r="P1990" s="52">
        <f>IF(COUNTIF(TblPurchases[BatchID],TblOutcomes[[#This Row],[BatchID]])&lt;&gt;1,"n.a.",TblOutcomes[[#This Row],[Qty Wasted]]*SUMIFS(TblPurchases[Unit Cost (CLP)],TblPurchases[BatchID],TblOutcomes[[#This Row],[BatchID]]))</f>
        <v>3003</v>
      </c>
      <c r="Q1990" s="51">
        <f>IF(COUNTIF(TblPurchases[BatchID],TblOutcomes[[#This Row],[BatchID]])&lt;&gt;1,"n.a.",SUMIFS(TblPurchases[Purchase Date],TblPurchases[BatchID],TblOutcomes[[#This Row],[BatchID]]))</f>
        <v>45487</v>
      </c>
    </row>
    <row r="1991" spans="2:17" x14ac:dyDescent="0.25">
      <c r="B1991" s="2" t="s">
        <v>2796</v>
      </c>
      <c r="C1991" s="2" t="s">
        <v>246</v>
      </c>
      <c r="D1991" s="2" t="s">
        <v>237</v>
      </c>
      <c r="E1991" s="2" t="s">
        <v>4647</v>
      </c>
      <c r="F1991" s="2">
        <v>31</v>
      </c>
      <c r="G1991" s="2">
        <v>31</v>
      </c>
      <c r="H1991" s="2">
        <v>0</v>
      </c>
      <c r="I1991" s="1">
        <v>0</v>
      </c>
      <c r="J1991" s="26">
        <v>45529</v>
      </c>
      <c r="K1991" s="22">
        <v>341000</v>
      </c>
      <c r="L1991" s="18">
        <v>364.71</v>
      </c>
      <c r="M1991" s="22">
        <v>238700</v>
      </c>
      <c r="N1991" s="22">
        <v>102300</v>
      </c>
      <c r="O1991" s="18">
        <v>109.41</v>
      </c>
      <c r="P1991" s="52">
        <f>IF(COUNTIF(TblPurchases[BatchID],TblOutcomes[[#This Row],[BatchID]])&lt;&gt;1,"n.a.",TblOutcomes[[#This Row],[Qty Wasted]]*SUMIFS(TblPurchases[Unit Cost (CLP)],TblPurchases[BatchID],TblOutcomes[[#This Row],[BatchID]]))</f>
        <v>0</v>
      </c>
      <c r="Q1991" s="51">
        <f>IF(COUNTIF(TblPurchases[BatchID],TblOutcomes[[#This Row],[BatchID]])&lt;&gt;1,"n.a.",SUMIFS(TblPurchases[Purchase Date],TblPurchases[BatchID],TblOutcomes[[#This Row],[BatchID]]))</f>
        <v>45509</v>
      </c>
    </row>
    <row r="1992" spans="2:17" x14ac:dyDescent="0.25">
      <c r="B1992" s="2" t="s">
        <v>2797</v>
      </c>
      <c r="C1992" s="2" t="s">
        <v>246</v>
      </c>
      <c r="D1992" s="2" t="s">
        <v>237</v>
      </c>
      <c r="E1992" s="2" t="s">
        <v>4647</v>
      </c>
      <c r="F1992" s="2">
        <v>35</v>
      </c>
      <c r="G1992" s="2">
        <v>35</v>
      </c>
      <c r="H1992" s="2">
        <v>0</v>
      </c>
      <c r="I1992" s="1">
        <v>0</v>
      </c>
      <c r="J1992" s="26">
        <v>45551</v>
      </c>
      <c r="K1992" s="22">
        <v>385000</v>
      </c>
      <c r="L1992" s="18">
        <v>411.76</v>
      </c>
      <c r="M1992" s="22">
        <v>269500</v>
      </c>
      <c r="N1992" s="22">
        <v>115500</v>
      </c>
      <c r="O1992" s="18">
        <v>123.53</v>
      </c>
      <c r="P1992" s="52">
        <f>IF(COUNTIF(TblPurchases[BatchID],TblOutcomes[[#This Row],[BatchID]])&lt;&gt;1,"n.a.",TblOutcomes[[#This Row],[Qty Wasted]]*SUMIFS(TblPurchases[Unit Cost (CLP)],TblPurchases[BatchID],TblOutcomes[[#This Row],[BatchID]]))</f>
        <v>0</v>
      </c>
      <c r="Q1992" s="51">
        <f>IF(COUNTIF(TblPurchases[BatchID],TblOutcomes[[#This Row],[BatchID]])&lt;&gt;1,"n.a.",SUMIFS(TblPurchases[Purchase Date],TblPurchases[BatchID],TblOutcomes[[#This Row],[BatchID]]))</f>
        <v>45532</v>
      </c>
    </row>
    <row r="1993" spans="2:17" x14ac:dyDescent="0.25">
      <c r="B1993" s="2" t="s">
        <v>2798</v>
      </c>
      <c r="C1993" s="2" t="s">
        <v>246</v>
      </c>
      <c r="D1993" s="2" t="s">
        <v>237</v>
      </c>
      <c r="E1993" s="2" t="s">
        <v>4647</v>
      </c>
      <c r="F1993" s="2">
        <v>45</v>
      </c>
      <c r="G1993" s="2">
        <v>45</v>
      </c>
      <c r="H1993" s="2">
        <v>0</v>
      </c>
      <c r="I1993" s="1">
        <v>0</v>
      </c>
      <c r="J1993" s="26">
        <v>45574</v>
      </c>
      <c r="K1993" s="22">
        <v>495000</v>
      </c>
      <c r="L1993" s="18">
        <v>529.41</v>
      </c>
      <c r="M1993" s="22">
        <v>369000</v>
      </c>
      <c r="N1993" s="22">
        <v>126000</v>
      </c>
      <c r="O1993" s="18">
        <v>134.76</v>
      </c>
      <c r="P1993" s="52">
        <f>IF(COUNTIF(TblPurchases[BatchID],TblOutcomes[[#This Row],[BatchID]])&lt;&gt;1,"n.a.",TblOutcomes[[#This Row],[Qty Wasted]]*SUMIFS(TblPurchases[Unit Cost (CLP)],TblPurchases[BatchID],TblOutcomes[[#This Row],[BatchID]]))</f>
        <v>0</v>
      </c>
      <c r="Q1993" s="51">
        <f>IF(COUNTIF(TblPurchases[BatchID],TblOutcomes[[#This Row],[BatchID]])&lt;&gt;1,"n.a.",SUMIFS(TblPurchases[Purchase Date],TblPurchases[BatchID],TblOutcomes[[#This Row],[BatchID]]))</f>
        <v>45555</v>
      </c>
    </row>
    <row r="1994" spans="2:17" x14ac:dyDescent="0.25">
      <c r="B1994" s="2" t="s">
        <v>2799</v>
      </c>
      <c r="C1994" s="2" t="s">
        <v>246</v>
      </c>
      <c r="D1994" s="2" t="s">
        <v>237</v>
      </c>
      <c r="E1994" s="2" t="s">
        <v>4647</v>
      </c>
      <c r="F1994" s="2">
        <v>13</v>
      </c>
      <c r="G1994" s="2">
        <v>13</v>
      </c>
      <c r="H1994" s="2">
        <v>0</v>
      </c>
      <c r="I1994" s="1">
        <v>0</v>
      </c>
      <c r="J1994" s="26">
        <v>45598</v>
      </c>
      <c r="K1994" s="22">
        <v>143000</v>
      </c>
      <c r="L1994" s="18">
        <v>152.94</v>
      </c>
      <c r="M1994" s="22">
        <v>100100</v>
      </c>
      <c r="N1994" s="22">
        <v>42900</v>
      </c>
      <c r="O1994" s="18">
        <v>45.88</v>
      </c>
      <c r="P1994" s="52">
        <f>IF(COUNTIF(TblPurchases[BatchID],TblOutcomes[[#This Row],[BatchID]])&lt;&gt;1,"n.a.",TblOutcomes[[#This Row],[Qty Wasted]]*SUMIFS(TblPurchases[Unit Cost (CLP)],TblPurchases[BatchID],TblOutcomes[[#This Row],[BatchID]]))</f>
        <v>0</v>
      </c>
      <c r="Q1994" s="51">
        <f>IF(COUNTIF(TblPurchases[BatchID],TblOutcomes[[#This Row],[BatchID]])&lt;&gt;1,"n.a.",SUMIFS(TblPurchases[Purchase Date],TblPurchases[BatchID],TblOutcomes[[#This Row],[BatchID]]))</f>
        <v>45578</v>
      </c>
    </row>
    <row r="1995" spans="2:17" x14ac:dyDescent="0.25">
      <c r="B1995" s="2" t="s">
        <v>2800</v>
      </c>
      <c r="C1995" s="2" t="s">
        <v>246</v>
      </c>
      <c r="D1995" s="2" t="s">
        <v>237</v>
      </c>
      <c r="E1995" s="2" t="s">
        <v>4646</v>
      </c>
      <c r="F1995" s="2">
        <v>12</v>
      </c>
      <c r="G1995" s="2">
        <v>10.97</v>
      </c>
      <c r="H1995" s="2">
        <v>1.03</v>
      </c>
      <c r="I1995" s="1">
        <v>8.6</v>
      </c>
      <c r="J1995" s="26">
        <v>45785</v>
      </c>
      <c r="K1995" s="22">
        <v>120670</v>
      </c>
      <c r="L1995" s="18">
        <v>129.06</v>
      </c>
      <c r="M1995" s="22">
        <v>98400</v>
      </c>
      <c r="N1995" s="22">
        <v>22270</v>
      </c>
      <c r="O1995" s="18">
        <v>23.82</v>
      </c>
      <c r="P1995" s="52">
        <f>IF(COUNTIF(TblPurchases[BatchID],TblOutcomes[[#This Row],[BatchID]])&lt;&gt;1,"n.a.",TblOutcomes[[#This Row],[Qty Wasted]]*SUMIFS(TblPurchases[Unit Cost (CLP)],TblPurchases[BatchID],TblOutcomes[[#This Row],[BatchID]]))</f>
        <v>8446</v>
      </c>
      <c r="Q1995" s="51">
        <f>IF(COUNTIF(TblPurchases[BatchID],TblOutcomes[[#This Row],[BatchID]])&lt;&gt;1,"n.a.",SUMIFS(TblPurchases[Purchase Date],TblPurchases[BatchID],TblOutcomes[[#This Row],[BatchID]]))</f>
        <v>45605</v>
      </c>
    </row>
    <row r="1996" spans="2:17" x14ac:dyDescent="0.25">
      <c r="B1996" s="2" t="s">
        <v>2801</v>
      </c>
      <c r="C1996" s="2" t="s">
        <v>246</v>
      </c>
      <c r="D1996" s="2" t="s">
        <v>237</v>
      </c>
      <c r="E1996" s="2" t="s">
        <v>4646</v>
      </c>
      <c r="F1996" s="2">
        <v>14</v>
      </c>
      <c r="G1996" s="2">
        <v>12.67</v>
      </c>
      <c r="H1996" s="2">
        <v>1.33</v>
      </c>
      <c r="I1996" s="1">
        <v>9.5</v>
      </c>
      <c r="J1996" s="26">
        <v>45807</v>
      </c>
      <c r="K1996" s="22">
        <v>139370</v>
      </c>
      <c r="L1996" s="18">
        <v>149.06</v>
      </c>
      <c r="M1996" s="22">
        <v>107800</v>
      </c>
      <c r="N1996" s="22">
        <v>31570</v>
      </c>
      <c r="O1996" s="18">
        <v>33.76</v>
      </c>
      <c r="P1996" s="52">
        <f>IF(COUNTIF(TblPurchases[BatchID],TblOutcomes[[#This Row],[BatchID]])&lt;&gt;1,"n.a.",TblOutcomes[[#This Row],[Qty Wasted]]*SUMIFS(TblPurchases[Unit Cost (CLP)],TblPurchases[BatchID],TblOutcomes[[#This Row],[BatchID]]))</f>
        <v>10241</v>
      </c>
      <c r="Q1996" s="51">
        <f>IF(COUNTIF(TblPurchases[BatchID],TblOutcomes[[#This Row],[BatchID]])&lt;&gt;1,"n.a.",SUMIFS(TblPurchases[Purchase Date],TblPurchases[BatchID],TblOutcomes[[#This Row],[BatchID]]))</f>
        <v>45627</v>
      </c>
    </row>
    <row r="1997" spans="2:17" x14ac:dyDescent="0.25">
      <c r="B1997" s="2" t="s">
        <v>2802</v>
      </c>
      <c r="C1997" s="2" t="s">
        <v>246</v>
      </c>
      <c r="D1997" s="2" t="s">
        <v>237</v>
      </c>
      <c r="E1997" s="2" t="s">
        <v>4647</v>
      </c>
      <c r="F1997" s="2">
        <v>14</v>
      </c>
      <c r="G1997" s="2">
        <v>14</v>
      </c>
      <c r="H1997" s="2">
        <v>0</v>
      </c>
      <c r="I1997" s="1">
        <v>0</v>
      </c>
      <c r="J1997" s="26">
        <v>45666</v>
      </c>
      <c r="K1997" s="22">
        <v>154000</v>
      </c>
      <c r="L1997" s="18">
        <v>164.71</v>
      </c>
      <c r="M1997" s="22">
        <v>107800</v>
      </c>
      <c r="N1997" s="22">
        <v>46200</v>
      </c>
      <c r="O1997" s="18">
        <v>49.41</v>
      </c>
      <c r="P1997" s="52">
        <f>IF(COUNTIF(TblPurchases[BatchID],TblOutcomes[[#This Row],[BatchID]])&lt;&gt;1,"n.a.",TblOutcomes[[#This Row],[Qty Wasted]]*SUMIFS(TblPurchases[Unit Cost (CLP)],TblPurchases[BatchID],TblOutcomes[[#This Row],[BatchID]]))</f>
        <v>0</v>
      </c>
      <c r="Q1997" s="51">
        <f>IF(COUNTIF(TblPurchases[BatchID],TblOutcomes[[#This Row],[BatchID]])&lt;&gt;1,"n.a.",SUMIFS(TblPurchases[Purchase Date],TblPurchases[BatchID],TblOutcomes[[#This Row],[BatchID]]))</f>
        <v>45649</v>
      </c>
    </row>
    <row r="1998" spans="2:17" x14ac:dyDescent="0.25">
      <c r="B1998" s="2" t="s">
        <v>2803</v>
      </c>
      <c r="C1998" s="2" t="s">
        <v>246</v>
      </c>
      <c r="D1998" s="2" t="s">
        <v>237</v>
      </c>
      <c r="E1998" s="2" t="s">
        <v>4646</v>
      </c>
      <c r="F1998" s="2">
        <v>11</v>
      </c>
      <c r="G1998" s="2">
        <v>9.0500000000000007</v>
      </c>
      <c r="H1998" s="2">
        <v>1.95</v>
      </c>
      <c r="I1998" s="1">
        <v>17.7</v>
      </c>
      <c r="J1998" s="26">
        <v>45853</v>
      </c>
      <c r="K1998" s="22">
        <v>99550</v>
      </c>
      <c r="L1998" s="18">
        <v>106.47</v>
      </c>
      <c r="M1998" s="22">
        <v>84700</v>
      </c>
      <c r="N1998" s="22">
        <v>14850</v>
      </c>
      <c r="O1998" s="18">
        <v>15.88</v>
      </c>
      <c r="P1998" s="52">
        <f>IF(COUNTIF(TblPurchases[BatchID],TblOutcomes[[#This Row],[BatchID]])&lt;&gt;1,"n.a.",TblOutcomes[[#This Row],[Qty Wasted]]*SUMIFS(TblPurchases[Unit Cost (CLP)],TblPurchases[BatchID],TblOutcomes[[#This Row],[BatchID]]))</f>
        <v>15015</v>
      </c>
      <c r="Q1998" s="51">
        <f>IF(COUNTIF(TblPurchases[BatchID],TblOutcomes[[#This Row],[BatchID]])&lt;&gt;1,"n.a.",SUMIFS(TblPurchases[Purchase Date],TblPurchases[BatchID],TblOutcomes[[#This Row],[BatchID]]))</f>
        <v>45673</v>
      </c>
    </row>
    <row r="1999" spans="2:17" x14ac:dyDescent="0.25">
      <c r="B1999" s="2" t="s">
        <v>2804</v>
      </c>
      <c r="C1999" s="2" t="s">
        <v>246</v>
      </c>
      <c r="D1999" s="2" t="s">
        <v>237</v>
      </c>
      <c r="E1999" s="2" t="s">
        <v>4646</v>
      </c>
      <c r="F1999" s="2">
        <v>14</v>
      </c>
      <c r="G1999" s="2">
        <v>12.11</v>
      </c>
      <c r="H1999" s="2">
        <v>1.89</v>
      </c>
      <c r="I1999" s="1">
        <v>13.5</v>
      </c>
      <c r="J1999" s="26">
        <v>45876</v>
      </c>
      <c r="K1999" s="22">
        <v>133210</v>
      </c>
      <c r="L1999" s="18">
        <v>142.47</v>
      </c>
      <c r="M1999" s="22">
        <v>107800</v>
      </c>
      <c r="N1999" s="22">
        <v>25410</v>
      </c>
      <c r="O1999" s="18">
        <v>27.18</v>
      </c>
      <c r="P1999" s="52">
        <f>IF(COUNTIF(TblPurchases[BatchID],TblOutcomes[[#This Row],[BatchID]])&lt;&gt;1,"n.a.",TblOutcomes[[#This Row],[Qty Wasted]]*SUMIFS(TblPurchases[Unit Cost (CLP)],TblPurchases[BatchID],TblOutcomes[[#This Row],[BatchID]]))</f>
        <v>14553</v>
      </c>
      <c r="Q1999" s="51">
        <f>IF(COUNTIF(TblPurchases[BatchID],TblOutcomes[[#This Row],[BatchID]])&lt;&gt;1,"n.a.",SUMIFS(TblPurchases[Purchase Date],TblPurchases[BatchID],TblOutcomes[[#This Row],[BatchID]]))</f>
        <v>45696</v>
      </c>
    </row>
    <row r="2000" spans="2:17" x14ac:dyDescent="0.25">
      <c r="B2000" s="2" t="s">
        <v>2805</v>
      </c>
      <c r="C2000" s="2" t="s">
        <v>246</v>
      </c>
      <c r="D2000" s="2" t="s">
        <v>237</v>
      </c>
      <c r="E2000" s="2" t="s">
        <v>4646</v>
      </c>
      <c r="F2000" s="2">
        <v>13</v>
      </c>
      <c r="G2000" s="2">
        <v>11.04</v>
      </c>
      <c r="H2000" s="2">
        <v>1.96</v>
      </c>
      <c r="I2000" s="1">
        <v>15.1</v>
      </c>
      <c r="J2000" s="26">
        <v>45891</v>
      </c>
      <c r="K2000" s="22">
        <v>121440</v>
      </c>
      <c r="L2000" s="18">
        <v>129.88</v>
      </c>
      <c r="M2000" s="22">
        <v>100100</v>
      </c>
      <c r="N2000" s="22">
        <v>21340</v>
      </c>
      <c r="O2000" s="18">
        <v>22.82</v>
      </c>
      <c r="P2000" s="52">
        <f>IF(COUNTIF(TblPurchases[BatchID],TblOutcomes[[#This Row],[BatchID]])&lt;&gt;1,"n.a.",TblOutcomes[[#This Row],[Qty Wasted]]*SUMIFS(TblPurchases[Unit Cost (CLP)],TblPurchases[BatchID],TblOutcomes[[#This Row],[BatchID]]))</f>
        <v>15092</v>
      </c>
      <c r="Q2000" s="51">
        <f>IF(COUNTIF(TblPurchases[BatchID],TblOutcomes[[#This Row],[BatchID]])&lt;&gt;1,"n.a.",SUMIFS(TblPurchases[Purchase Date],TblPurchases[BatchID],TblOutcomes[[#This Row],[BatchID]]))</f>
        <v>45711</v>
      </c>
    </row>
    <row r="2001" spans="2:17" x14ac:dyDescent="0.25">
      <c r="B2001" s="2" t="s">
        <v>2806</v>
      </c>
      <c r="C2001" s="2" t="s">
        <v>246</v>
      </c>
      <c r="D2001" s="2" t="s">
        <v>237</v>
      </c>
      <c r="E2001" s="2" t="s">
        <v>4646</v>
      </c>
      <c r="F2001" s="2">
        <v>12</v>
      </c>
      <c r="G2001" s="2">
        <v>10.57</v>
      </c>
      <c r="H2001" s="2">
        <v>1.43</v>
      </c>
      <c r="I2001" s="1">
        <v>11.9</v>
      </c>
      <c r="J2001" s="26">
        <v>45908</v>
      </c>
      <c r="K2001" s="22">
        <v>116270</v>
      </c>
      <c r="L2001" s="18">
        <v>124.35</v>
      </c>
      <c r="M2001" s="22">
        <v>92400</v>
      </c>
      <c r="N2001" s="22">
        <v>23870</v>
      </c>
      <c r="O2001" s="18">
        <v>25.53</v>
      </c>
      <c r="P2001" s="52">
        <f>IF(COUNTIF(TblPurchases[BatchID],TblOutcomes[[#This Row],[BatchID]])&lt;&gt;1,"n.a.",TblOutcomes[[#This Row],[Qty Wasted]]*SUMIFS(TblPurchases[Unit Cost (CLP)],TblPurchases[BatchID],TblOutcomes[[#This Row],[BatchID]]))</f>
        <v>11011</v>
      </c>
      <c r="Q2001" s="51">
        <f>IF(COUNTIF(TblPurchases[BatchID],TblOutcomes[[#This Row],[BatchID]])&lt;&gt;1,"n.a.",SUMIFS(TblPurchases[Purchase Date],TblPurchases[BatchID],TblOutcomes[[#This Row],[BatchID]]))</f>
        <v>45728</v>
      </c>
    </row>
    <row r="2002" spans="2:17" x14ac:dyDescent="0.25">
      <c r="B2002" s="2" t="s">
        <v>2807</v>
      </c>
      <c r="C2002" s="2" t="s">
        <v>246</v>
      </c>
      <c r="D2002" s="2" t="s">
        <v>237</v>
      </c>
      <c r="E2002" s="2" t="s">
        <v>4646</v>
      </c>
      <c r="F2002" s="2">
        <v>12</v>
      </c>
      <c r="G2002" s="2">
        <v>10.24</v>
      </c>
      <c r="H2002" s="2">
        <v>1.76</v>
      </c>
      <c r="I2002" s="1">
        <v>14.7</v>
      </c>
      <c r="J2002" s="26">
        <v>45925</v>
      </c>
      <c r="K2002" s="22">
        <v>112640</v>
      </c>
      <c r="L2002" s="18">
        <v>120.47</v>
      </c>
      <c r="M2002" s="22">
        <v>92400</v>
      </c>
      <c r="N2002" s="22">
        <v>20240</v>
      </c>
      <c r="O2002" s="18">
        <v>21.65</v>
      </c>
      <c r="P2002" s="52">
        <f>IF(COUNTIF(TblPurchases[BatchID],TblOutcomes[[#This Row],[BatchID]])&lt;&gt;1,"n.a.",TblOutcomes[[#This Row],[Qty Wasted]]*SUMIFS(TblPurchases[Unit Cost (CLP)],TblPurchases[BatchID],TblOutcomes[[#This Row],[BatchID]]))</f>
        <v>13552</v>
      </c>
      <c r="Q2002" s="51">
        <f>IF(COUNTIF(TblPurchases[BatchID],TblOutcomes[[#This Row],[BatchID]])&lt;&gt;1,"n.a.",SUMIFS(TblPurchases[Purchase Date],TblPurchases[BatchID],TblOutcomes[[#This Row],[BatchID]]))</f>
        <v>45745</v>
      </c>
    </row>
    <row r="2003" spans="2:17" x14ac:dyDescent="0.25">
      <c r="B2003" s="2" t="s">
        <v>2808</v>
      </c>
      <c r="C2003" s="2" t="s">
        <v>246</v>
      </c>
      <c r="D2003" s="2" t="s">
        <v>237</v>
      </c>
      <c r="E2003" s="2" t="s">
        <v>4647</v>
      </c>
      <c r="F2003" s="2">
        <v>37</v>
      </c>
      <c r="G2003" s="2">
        <v>37</v>
      </c>
      <c r="H2003" s="2">
        <v>0</v>
      </c>
      <c r="I2003" s="1">
        <v>0</v>
      </c>
      <c r="J2003" s="26">
        <v>45785</v>
      </c>
      <c r="K2003" s="22">
        <v>407000</v>
      </c>
      <c r="L2003" s="18">
        <v>435.29</v>
      </c>
      <c r="M2003" s="22">
        <v>284900</v>
      </c>
      <c r="N2003" s="22">
        <v>122100</v>
      </c>
      <c r="O2003" s="18">
        <v>130.59</v>
      </c>
      <c r="P2003" s="52">
        <f>IF(COUNTIF(TblPurchases[BatchID],TblOutcomes[[#This Row],[BatchID]])&lt;&gt;1,"n.a.",TblOutcomes[[#This Row],[Qty Wasted]]*SUMIFS(TblPurchases[Unit Cost (CLP)],TblPurchases[BatchID],TblOutcomes[[#This Row],[BatchID]]))</f>
        <v>0</v>
      </c>
      <c r="Q2003" s="51">
        <f>IF(COUNTIF(TblPurchases[BatchID],TblOutcomes[[#This Row],[BatchID]])&lt;&gt;1,"n.a.",SUMIFS(TblPurchases[Purchase Date],TblPurchases[BatchID],TblOutcomes[[#This Row],[BatchID]]))</f>
        <v>45773</v>
      </c>
    </row>
    <row r="2004" spans="2:17" x14ac:dyDescent="0.25">
      <c r="B2004" s="2" t="s">
        <v>2809</v>
      </c>
      <c r="C2004" s="2" t="s">
        <v>246</v>
      </c>
      <c r="D2004" s="2" t="s">
        <v>237</v>
      </c>
      <c r="E2004" s="2" t="s">
        <v>4647</v>
      </c>
      <c r="F2004" s="2">
        <v>37</v>
      </c>
      <c r="G2004" s="2">
        <v>37</v>
      </c>
      <c r="H2004" s="2">
        <v>0</v>
      </c>
      <c r="I2004" s="1">
        <v>0</v>
      </c>
      <c r="J2004" s="26">
        <v>45804</v>
      </c>
      <c r="K2004" s="22">
        <v>407000</v>
      </c>
      <c r="L2004" s="18">
        <v>435.29</v>
      </c>
      <c r="M2004" s="22">
        <v>284900</v>
      </c>
      <c r="N2004" s="22">
        <v>122100</v>
      </c>
      <c r="O2004" s="18">
        <v>130.59</v>
      </c>
      <c r="P2004" s="52">
        <f>IF(COUNTIF(TblPurchases[BatchID],TblOutcomes[[#This Row],[BatchID]])&lt;&gt;1,"n.a.",TblOutcomes[[#This Row],[Qty Wasted]]*SUMIFS(TblPurchases[Unit Cost (CLP)],TblPurchases[BatchID],TblOutcomes[[#This Row],[BatchID]]))</f>
        <v>0</v>
      </c>
      <c r="Q2004" s="51">
        <f>IF(COUNTIF(TblPurchases[BatchID],TblOutcomes[[#This Row],[BatchID]])&lt;&gt;1,"n.a.",SUMIFS(TblPurchases[Purchase Date],TblPurchases[BatchID],TblOutcomes[[#This Row],[BatchID]]))</f>
        <v>45789</v>
      </c>
    </row>
    <row r="2005" spans="2:17" x14ac:dyDescent="0.25">
      <c r="B2005" s="2" t="s">
        <v>2810</v>
      </c>
      <c r="C2005" s="2" t="s">
        <v>246</v>
      </c>
      <c r="D2005" s="2" t="s">
        <v>237</v>
      </c>
      <c r="E2005" s="2" t="s">
        <v>4647</v>
      </c>
      <c r="F2005" s="2">
        <v>38</v>
      </c>
      <c r="G2005" s="2">
        <v>38</v>
      </c>
      <c r="H2005" s="2">
        <v>0</v>
      </c>
      <c r="I2005" s="1">
        <v>0</v>
      </c>
      <c r="J2005" s="26">
        <v>45832</v>
      </c>
      <c r="K2005" s="22">
        <v>418000</v>
      </c>
      <c r="L2005" s="18">
        <v>447.06</v>
      </c>
      <c r="M2005" s="22">
        <v>292600</v>
      </c>
      <c r="N2005" s="22">
        <v>125400</v>
      </c>
      <c r="O2005" s="18">
        <v>134.12</v>
      </c>
      <c r="P2005" s="52">
        <f>IF(COUNTIF(TblPurchases[BatchID],TblOutcomes[[#This Row],[BatchID]])&lt;&gt;1,"n.a.",TblOutcomes[[#This Row],[Qty Wasted]]*SUMIFS(TblPurchases[Unit Cost (CLP)],TblPurchases[BatchID],TblOutcomes[[#This Row],[BatchID]]))</f>
        <v>0</v>
      </c>
      <c r="Q2005" s="51">
        <f>IF(COUNTIF(TblPurchases[BatchID],TblOutcomes[[#This Row],[BatchID]])&lt;&gt;1,"n.a.",SUMIFS(TblPurchases[Purchase Date],TblPurchases[BatchID],TblOutcomes[[#This Row],[BatchID]]))</f>
        <v>45813</v>
      </c>
    </row>
    <row r="2006" spans="2:17" x14ac:dyDescent="0.25">
      <c r="B2006" s="2" t="s">
        <v>2811</v>
      </c>
      <c r="C2006" s="2" t="s">
        <v>246</v>
      </c>
      <c r="D2006" s="2" t="s">
        <v>237</v>
      </c>
      <c r="E2006" s="2" t="s">
        <v>4647</v>
      </c>
      <c r="F2006" s="2">
        <v>36</v>
      </c>
      <c r="G2006" s="2">
        <v>36</v>
      </c>
      <c r="H2006" s="2">
        <v>0</v>
      </c>
      <c r="I2006" s="1">
        <v>0</v>
      </c>
      <c r="J2006" s="26">
        <v>45850</v>
      </c>
      <c r="K2006" s="22">
        <v>396000</v>
      </c>
      <c r="L2006" s="18">
        <v>423.53</v>
      </c>
      <c r="M2006" s="22">
        <v>277200</v>
      </c>
      <c r="N2006" s="22">
        <v>118800</v>
      </c>
      <c r="O2006" s="18">
        <v>127.06</v>
      </c>
      <c r="P2006" s="52">
        <f>IF(COUNTIF(TblPurchases[BatchID],TblOutcomes[[#This Row],[BatchID]])&lt;&gt;1,"n.a.",TblOutcomes[[#This Row],[Qty Wasted]]*SUMIFS(TblPurchases[Unit Cost (CLP)],TblPurchases[BatchID],TblOutcomes[[#This Row],[BatchID]]))</f>
        <v>0</v>
      </c>
      <c r="Q2006" s="51">
        <f>IF(COUNTIF(TblPurchases[BatchID],TblOutcomes[[#This Row],[BatchID]])&lt;&gt;1,"n.a.",SUMIFS(TblPurchases[Purchase Date],TblPurchases[BatchID],TblOutcomes[[#This Row],[BatchID]]))</f>
        <v>45837</v>
      </c>
    </row>
    <row r="2007" spans="2:17" x14ac:dyDescent="0.25">
      <c r="B2007" s="2" t="s">
        <v>2812</v>
      </c>
      <c r="C2007" s="2" t="s">
        <v>248</v>
      </c>
      <c r="D2007" s="2" t="s">
        <v>237</v>
      </c>
      <c r="E2007" s="2" t="s">
        <v>4647</v>
      </c>
      <c r="F2007" s="2">
        <v>23</v>
      </c>
      <c r="G2007" s="2">
        <v>23</v>
      </c>
      <c r="H2007" s="2">
        <v>0</v>
      </c>
      <c r="I2007" s="1">
        <v>0</v>
      </c>
      <c r="J2007" s="26">
        <v>45139</v>
      </c>
      <c r="K2007" s="22">
        <v>172500</v>
      </c>
      <c r="L2007" s="18">
        <v>184.49</v>
      </c>
      <c r="M2007" s="22">
        <v>121900</v>
      </c>
      <c r="N2007" s="22">
        <v>50600</v>
      </c>
      <c r="O2007" s="18">
        <v>54.12</v>
      </c>
      <c r="P2007" s="52">
        <f>IF(COUNTIF(TblPurchases[BatchID],TblOutcomes[[#This Row],[BatchID]])&lt;&gt;1,"n.a.",TblOutcomes[[#This Row],[Qty Wasted]]*SUMIFS(TblPurchases[Unit Cost (CLP)],TblPurchases[BatchID],TblOutcomes[[#This Row],[BatchID]]))</f>
        <v>0</v>
      </c>
      <c r="Q2007" s="51">
        <f>IF(COUNTIF(TblPurchases[BatchID],TblOutcomes[[#This Row],[BatchID]])&lt;&gt;1,"n.a.",SUMIFS(TblPurchases[Purchase Date],TblPurchases[BatchID],TblOutcomes[[#This Row],[BatchID]]))</f>
        <v>45123</v>
      </c>
    </row>
    <row r="2008" spans="2:17" x14ac:dyDescent="0.25">
      <c r="B2008" s="2" t="s">
        <v>2813</v>
      </c>
      <c r="C2008" s="2" t="s">
        <v>248</v>
      </c>
      <c r="D2008" s="2" t="s">
        <v>237</v>
      </c>
      <c r="E2008" s="2" t="s">
        <v>4646</v>
      </c>
      <c r="F2008" s="2">
        <v>22</v>
      </c>
      <c r="G2008" s="2">
        <v>21.38</v>
      </c>
      <c r="H2008" s="2">
        <v>0.62</v>
      </c>
      <c r="I2008" s="1">
        <v>2.8</v>
      </c>
      <c r="J2008" s="26">
        <v>45325</v>
      </c>
      <c r="K2008" s="22">
        <v>160350</v>
      </c>
      <c r="L2008" s="18">
        <v>171.5</v>
      </c>
      <c r="M2008" s="22">
        <v>116600</v>
      </c>
      <c r="N2008" s="22">
        <v>43750</v>
      </c>
      <c r="O2008" s="18">
        <v>46.79</v>
      </c>
      <c r="P2008" s="52">
        <f>IF(COUNTIF(TblPurchases[BatchID],TblOutcomes[[#This Row],[BatchID]])&lt;&gt;1,"n.a.",TblOutcomes[[#This Row],[Qty Wasted]]*SUMIFS(TblPurchases[Unit Cost (CLP)],TblPurchases[BatchID],TblOutcomes[[#This Row],[BatchID]]))</f>
        <v>3286</v>
      </c>
      <c r="Q2008" s="51">
        <f>IF(COUNTIF(TblPurchases[BatchID],TblOutcomes[[#This Row],[BatchID]])&lt;&gt;1,"n.a.",SUMIFS(TblPurchases[Purchase Date],TblPurchases[BatchID],TblOutcomes[[#This Row],[BatchID]]))</f>
        <v>45145</v>
      </c>
    </row>
    <row r="2009" spans="2:17" x14ac:dyDescent="0.25">
      <c r="B2009" s="2" t="s">
        <v>2814</v>
      </c>
      <c r="C2009" s="2" t="s">
        <v>248</v>
      </c>
      <c r="D2009" s="2" t="s">
        <v>237</v>
      </c>
      <c r="E2009" s="2" t="s">
        <v>4646</v>
      </c>
      <c r="F2009" s="2">
        <v>23</v>
      </c>
      <c r="G2009" s="2">
        <v>22.68</v>
      </c>
      <c r="H2009" s="2">
        <v>0.32</v>
      </c>
      <c r="I2009" s="1">
        <v>1.4</v>
      </c>
      <c r="J2009" s="26">
        <v>45352</v>
      </c>
      <c r="K2009" s="22">
        <v>170100</v>
      </c>
      <c r="L2009" s="18">
        <v>181.93</v>
      </c>
      <c r="M2009" s="22">
        <v>121900</v>
      </c>
      <c r="N2009" s="22">
        <v>48200</v>
      </c>
      <c r="O2009" s="18">
        <v>51.55</v>
      </c>
      <c r="P2009" s="52">
        <f>IF(COUNTIF(TblPurchases[BatchID],TblOutcomes[[#This Row],[BatchID]])&lt;&gt;1,"n.a.",TblOutcomes[[#This Row],[Qty Wasted]]*SUMIFS(TblPurchases[Unit Cost (CLP)],TblPurchases[BatchID],TblOutcomes[[#This Row],[BatchID]]))</f>
        <v>1696</v>
      </c>
      <c r="Q2009" s="51">
        <f>IF(COUNTIF(TblPurchases[BatchID],TblOutcomes[[#This Row],[BatchID]])&lt;&gt;1,"n.a.",SUMIFS(TblPurchases[Purchase Date],TblPurchases[BatchID],TblOutcomes[[#This Row],[BatchID]]))</f>
        <v>45172</v>
      </c>
    </row>
    <row r="2010" spans="2:17" x14ac:dyDescent="0.25">
      <c r="B2010" s="2" t="s">
        <v>2815</v>
      </c>
      <c r="C2010" s="2" t="s">
        <v>248</v>
      </c>
      <c r="D2010" s="2" t="s">
        <v>237</v>
      </c>
      <c r="E2010" s="2" t="s">
        <v>4646</v>
      </c>
      <c r="F2010" s="2">
        <v>26</v>
      </c>
      <c r="G2010" s="2">
        <v>25.35</v>
      </c>
      <c r="H2010" s="2">
        <v>0.65</v>
      </c>
      <c r="I2010" s="1">
        <v>2.5</v>
      </c>
      <c r="J2010" s="26">
        <v>45372</v>
      </c>
      <c r="K2010" s="22">
        <v>190125</v>
      </c>
      <c r="L2010" s="18">
        <v>203.34</v>
      </c>
      <c r="M2010" s="22">
        <v>137800</v>
      </c>
      <c r="N2010" s="22">
        <v>52325</v>
      </c>
      <c r="O2010" s="18">
        <v>55.96</v>
      </c>
      <c r="P2010" s="52">
        <f>IF(COUNTIF(TblPurchases[BatchID],TblOutcomes[[#This Row],[BatchID]])&lt;&gt;1,"n.a.",TblOutcomes[[#This Row],[Qty Wasted]]*SUMIFS(TblPurchases[Unit Cost (CLP)],TblPurchases[BatchID],TblOutcomes[[#This Row],[BatchID]]))</f>
        <v>3445</v>
      </c>
      <c r="Q2010" s="51">
        <f>IF(COUNTIF(TblPurchases[BatchID],TblOutcomes[[#This Row],[BatchID]])&lt;&gt;1,"n.a.",SUMIFS(TblPurchases[Purchase Date],TblPurchases[BatchID],TblOutcomes[[#This Row],[BatchID]]))</f>
        <v>45192</v>
      </c>
    </row>
    <row r="2011" spans="2:17" x14ac:dyDescent="0.25">
      <c r="B2011" s="2" t="s">
        <v>2816</v>
      </c>
      <c r="C2011" s="2" t="s">
        <v>248</v>
      </c>
      <c r="D2011" s="2" t="s">
        <v>237</v>
      </c>
      <c r="E2011" s="2" t="s">
        <v>4646</v>
      </c>
      <c r="F2011" s="2">
        <v>19</v>
      </c>
      <c r="G2011" s="2">
        <v>18.09</v>
      </c>
      <c r="H2011" s="2">
        <v>0.91</v>
      </c>
      <c r="I2011" s="1">
        <v>4.8</v>
      </c>
      <c r="J2011" s="26">
        <v>45392</v>
      </c>
      <c r="K2011" s="22">
        <v>135675</v>
      </c>
      <c r="L2011" s="18">
        <v>145.11000000000001</v>
      </c>
      <c r="M2011" s="22">
        <v>100700</v>
      </c>
      <c r="N2011" s="22">
        <v>34975</v>
      </c>
      <c r="O2011" s="18">
        <v>37.409999999999997</v>
      </c>
      <c r="P2011" s="52">
        <f>IF(COUNTIF(TblPurchases[BatchID],TblOutcomes[[#This Row],[BatchID]])&lt;&gt;1,"n.a.",TblOutcomes[[#This Row],[Qty Wasted]]*SUMIFS(TblPurchases[Unit Cost (CLP)],TblPurchases[BatchID],TblOutcomes[[#This Row],[BatchID]]))</f>
        <v>4823</v>
      </c>
      <c r="Q2011" s="51">
        <f>IF(COUNTIF(TblPurchases[BatchID],TblOutcomes[[#This Row],[BatchID]])&lt;&gt;1,"n.a.",SUMIFS(TblPurchases[Purchase Date],TblPurchases[BatchID],TblOutcomes[[#This Row],[BatchID]]))</f>
        <v>45212</v>
      </c>
    </row>
    <row r="2012" spans="2:17" x14ac:dyDescent="0.25">
      <c r="B2012" s="2" t="s">
        <v>2817</v>
      </c>
      <c r="C2012" s="2" t="s">
        <v>248</v>
      </c>
      <c r="D2012" s="2" t="s">
        <v>237</v>
      </c>
      <c r="E2012" s="2" t="s">
        <v>4647</v>
      </c>
      <c r="F2012" s="2">
        <v>22</v>
      </c>
      <c r="G2012" s="2">
        <v>22</v>
      </c>
      <c r="H2012" s="2">
        <v>0</v>
      </c>
      <c r="I2012" s="1">
        <v>0</v>
      </c>
      <c r="J2012" s="26">
        <v>45259</v>
      </c>
      <c r="K2012" s="22">
        <v>165000</v>
      </c>
      <c r="L2012" s="18">
        <v>176.47</v>
      </c>
      <c r="M2012" s="22">
        <v>121000</v>
      </c>
      <c r="N2012" s="22">
        <v>44000</v>
      </c>
      <c r="O2012" s="18">
        <v>47.06</v>
      </c>
      <c r="P2012" s="52">
        <f>IF(COUNTIF(TblPurchases[BatchID],TblOutcomes[[#This Row],[BatchID]])&lt;&gt;1,"n.a.",TblOutcomes[[#This Row],[Qty Wasted]]*SUMIFS(TblPurchases[Unit Cost (CLP)],TblPurchases[BatchID],TblOutcomes[[#This Row],[BatchID]]))</f>
        <v>0</v>
      </c>
      <c r="Q2012" s="51">
        <f>IF(COUNTIF(TblPurchases[BatchID],TblOutcomes[[#This Row],[BatchID]])&lt;&gt;1,"n.a.",SUMIFS(TblPurchases[Purchase Date],TblPurchases[BatchID],TblOutcomes[[#This Row],[BatchID]]))</f>
        <v>45237</v>
      </c>
    </row>
    <row r="2013" spans="2:17" x14ac:dyDescent="0.25">
      <c r="B2013" s="2" t="s">
        <v>2818</v>
      </c>
      <c r="C2013" s="2" t="s">
        <v>248</v>
      </c>
      <c r="D2013" s="2" t="s">
        <v>237</v>
      </c>
      <c r="E2013" s="2" t="s">
        <v>4647</v>
      </c>
      <c r="F2013" s="2">
        <v>20</v>
      </c>
      <c r="G2013" s="2">
        <v>20</v>
      </c>
      <c r="H2013" s="2">
        <v>0</v>
      </c>
      <c r="I2013" s="1">
        <v>0</v>
      </c>
      <c r="J2013" s="26">
        <v>45280</v>
      </c>
      <c r="K2013" s="22">
        <v>150000</v>
      </c>
      <c r="L2013" s="18">
        <v>160.43</v>
      </c>
      <c r="M2013" s="22">
        <v>106000</v>
      </c>
      <c r="N2013" s="22">
        <v>44000</v>
      </c>
      <c r="O2013" s="18">
        <v>47.06</v>
      </c>
      <c r="P2013" s="52">
        <f>IF(COUNTIF(TblPurchases[BatchID],TblOutcomes[[#This Row],[BatchID]])&lt;&gt;1,"n.a.",TblOutcomes[[#This Row],[Qty Wasted]]*SUMIFS(TblPurchases[Unit Cost (CLP)],TblPurchases[BatchID],TblOutcomes[[#This Row],[BatchID]]))</f>
        <v>0</v>
      </c>
      <c r="Q2013" s="51">
        <f>IF(COUNTIF(TblPurchases[BatchID],TblOutcomes[[#This Row],[BatchID]])&lt;&gt;1,"n.a.",SUMIFS(TblPurchases[Purchase Date],TblPurchases[BatchID],TblOutcomes[[#This Row],[BatchID]]))</f>
        <v>45259</v>
      </c>
    </row>
    <row r="2014" spans="2:17" x14ac:dyDescent="0.25">
      <c r="B2014" s="2" t="s">
        <v>2819</v>
      </c>
      <c r="C2014" s="2" t="s">
        <v>248</v>
      </c>
      <c r="D2014" s="2" t="s">
        <v>237</v>
      </c>
      <c r="E2014" s="2" t="s">
        <v>4647</v>
      </c>
      <c r="F2014" s="2">
        <v>29</v>
      </c>
      <c r="G2014" s="2">
        <v>29</v>
      </c>
      <c r="H2014" s="2">
        <v>0</v>
      </c>
      <c r="I2014" s="1">
        <v>0</v>
      </c>
      <c r="J2014" s="26">
        <v>45299</v>
      </c>
      <c r="K2014" s="22">
        <v>217500</v>
      </c>
      <c r="L2014" s="18">
        <v>232.62</v>
      </c>
      <c r="M2014" s="22">
        <v>159500</v>
      </c>
      <c r="N2014" s="22">
        <v>58000</v>
      </c>
      <c r="O2014" s="18">
        <v>62.03</v>
      </c>
      <c r="P2014" s="52">
        <f>IF(COUNTIF(TblPurchases[BatchID],TblOutcomes[[#This Row],[BatchID]])&lt;&gt;1,"n.a.",TblOutcomes[[#This Row],[Qty Wasted]]*SUMIFS(TblPurchases[Unit Cost (CLP)],TblPurchases[BatchID],TblOutcomes[[#This Row],[BatchID]]))</f>
        <v>0</v>
      </c>
      <c r="Q2014" s="51">
        <f>IF(COUNTIF(TblPurchases[BatchID],TblOutcomes[[#This Row],[BatchID]])&lt;&gt;1,"n.a.",SUMIFS(TblPurchases[Purchase Date],TblPurchases[BatchID],TblOutcomes[[#This Row],[BatchID]]))</f>
        <v>45276</v>
      </c>
    </row>
    <row r="2015" spans="2:17" x14ac:dyDescent="0.25">
      <c r="B2015" s="2" t="s">
        <v>2820</v>
      </c>
      <c r="C2015" s="2" t="s">
        <v>248</v>
      </c>
      <c r="D2015" s="2" t="s">
        <v>237</v>
      </c>
      <c r="E2015" s="2" t="s">
        <v>4646</v>
      </c>
      <c r="F2015" s="2">
        <v>23</v>
      </c>
      <c r="G2015" s="2">
        <v>21.14</v>
      </c>
      <c r="H2015" s="2">
        <v>1.86</v>
      </c>
      <c r="I2015" s="1">
        <v>8.1</v>
      </c>
      <c r="J2015" s="26">
        <v>45476</v>
      </c>
      <c r="K2015" s="22">
        <v>158550</v>
      </c>
      <c r="L2015" s="18">
        <v>169.57</v>
      </c>
      <c r="M2015" s="22">
        <v>121900</v>
      </c>
      <c r="N2015" s="22">
        <v>36650</v>
      </c>
      <c r="O2015" s="18">
        <v>39.200000000000003</v>
      </c>
      <c r="P2015" s="52">
        <f>IF(COUNTIF(TblPurchases[BatchID],TblOutcomes[[#This Row],[BatchID]])&lt;&gt;1,"n.a.",TblOutcomes[[#This Row],[Qty Wasted]]*SUMIFS(TblPurchases[Unit Cost (CLP)],TblPurchases[BatchID],TblOutcomes[[#This Row],[BatchID]]))</f>
        <v>9858</v>
      </c>
      <c r="Q2015" s="51">
        <f>IF(COUNTIF(TblPurchases[BatchID],TblOutcomes[[#This Row],[BatchID]])&lt;&gt;1,"n.a.",SUMIFS(TblPurchases[Purchase Date],TblPurchases[BatchID],TblOutcomes[[#This Row],[BatchID]]))</f>
        <v>45296</v>
      </c>
    </row>
    <row r="2016" spans="2:17" x14ac:dyDescent="0.25">
      <c r="B2016" s="2" t="s">
        <v>2821</v>
      </c>
      <c r="C2016" s="2" t="s">
        <v>248</v>
      </c>
      <c r="D2016" s="2" t="s">
        <v>237</v>
      </c>
      <c r="E2016" s="2" t="s">
        <v>4647</v>
      </c>
      <c r="F2016" s="2">
        <v>21</v>
      </c>
      <c r="G2016" s="2">
        <v>21</v>
      </c>
      <c r="H2016" s="2">
        <v>0</v>
      </c>
      <c r="I2016" s="1">
        <v>0</v>
      </c>
      <c r="J2016" s="26">
        <v>45325</v>
      </c>
      <c r="K2016" s="22">
        <v>157500</v>
      </c>
      <c r="L2016" s="18">
        <v>168.45</v>
      </c>
      <c r="M2016" s="22">
        <v>111300</v>
      </c>
      <c r="N2016" s="22">
        <v>46200</v>
      </c>
      <c r="O2016" s="18">
        <v>49.41</v>
      </c>
      <c r="P2016" s="52">
        <f>IF(COUNTIF(TblPurchases[BatchID],TblOutcomes[[#This Row],[BatchID]])&lt;&gt;1,"n.a.",TblOutcomes[[#This Row],[Qty Wasted]]*SUMIFS(TblPurchases[Unit Cost (CLP)],TblPurchases[BatchID],TblOutcomes[[#This Row],[BatchID]]))</f>
        <v>0</v>
      </c>
      <c r="Q2016" s="51">
        <f>IF(COUNTIF(TblPurchases[BatchID],TblOutcomes[[#This Row],[BatchID]])&lt;&gt;1,"n.a.",SUMIFS(TblPurchases[Purchase Date],TblPurchases[BatchID],TblOutcomes[[#This Row],[BatchID]]))</f>
        <v>45311</v>
      </c>
    </row>
    <row r="2017" spans="2:17" x14ac:dyDescent="0.25">
      <c r="B2017" s="2" t="s">
        <v>2822</v>
      </c>
      <c r="C2017" s="2" t="s">
        <v>248</v>
      </c>
      <c r="D2017" s="2" t="s">
        <v>237</v>
      </c>
      <c r="E2017" s="2" t="s">
        <v>4646</v>
      </c>
      <c r="F2017" s="2">
        <v>19</v>
      </c>
      <c r="G2017" s="2">
        <v>16.97</v>
      </c>
      <c r="H2017" s="2">
        <v>2.0299999999999998</v>
      </c>
      <c r="I2017" s="1">
        <v>10.7</v>
      </c>
      <c r="J2017" s="26">
        <v>45509</v>
      </c>
      <c r="K2017" s="22">
        <v>127275</v>
      </c>
      <c r="L2017" s="18">
        <v>136.12</v>
      </c>
      <c r="M2017" s="22">
        <v>100700</v>
      </c>
      <c r="N2017" s="22">
        <v>26575</v>
      </c>
      <c r="O2017" s="18">
        <v>28.42</v>
      </c>
      <c r="P2017" s="52">
        <f>IF(COUNTIF(TblPurchases[BatchID],TblOutcomes[[#This Row],[BatchID]])&lt;&gt;1,"n.a.",TblOutcomes[[#This Row],[Qty Wasted]]*SUMIFS(TblPurchases[Unit Cost (CLP)],TblPurchases[BatchID],TblOutcomes[[#This Row],[BatchID]]))</f>
        <v>10758.999999999998</v>
      </c>
      <c r="Q2017" s="51">
        <f>IF(COUNTIF(TblPurchases[BatchID],TblOutcomes[[#This Row],[BatchID]])&lt;&gt;1,"n.a.",SUMIFS(TblPurchases[Purchase Date],TblPurchases[BatchID],TblOutcomes[[#This Row],[BatchID]]))</f>
        <v>45329</v>
      </c>
    </row>
    <row r="2018" spans="2:17" x14ac:dyDescent="0.25">
      <c r="B2018" s="2" t="s">
        <v>2823</v>
      </c>
      <c r="C2018" s="2" t="s">
        <v>248</v>
      </c>
      <c r="D2018" s="2" t="s">
        <v>237</v>
      </c>
      <c r="E2018" s="2" t="s">
        <v>4646</v>
      </c>
      <c r="F2018" s="2">
        <v>23</v>
      </c>
      <c r="G2018" s="2">
        <v>21.44</v>
      </c>
      <c r="H2018" s="2">
        <v>1.56</v>
      </c>
      <c r="I2018" s="1">
        <v>6.8</v>
      </c>
      <c r="J2018" s="26">
        <v>45526</v>
      </c>
      <c r="K2018" s="22">
        <v>160800</v>
      </c>
      <c r="L2018" s="18">
        <v>171.98</v>
      </c>
      <c r="M2018" s="22">
        <v>121900</v>
      </c>
      <c r="N2018" s="22">
        <v>38900</v>
      </c>
      <c r="O2018" s="18">
        <v>41.6</v>
      </c>
      <c r="P2018" s="52">
        <f>IF(COUNTIF(TblPurchases[BatchID],TblOutcomes[[#This Row],[BatchID]])&lt;&gt;1,"n.a.",TblOutcomes[[#This Row],[Qty Wasted]]*SUMIFS(TblPurchases[Unit Cost (CLP)],TblPurchases[BatchID],TblOutcomes[[#This Row],[BatchID]]))</f>
        <v>8268</v>
      </c>
      <c r="Q2018" s="51">
        <f>IF(COUNTIF(TblPurchases[BatchID],TblOutcomes[[#This Row],[BatchID]])&lt;&gt;1,"n.a.",SUMIFS(TblPurchases[Purchase Date],TblPurchases[BatchID],TblOutcomes[[#This Row],[BatchID]]))</f>
        <v>45346</v>
      </c>
    </row>
    <row r="2019" spans="2:17" x14ac:dyDescent="0.25">
      <c r="B2019" s="2" t="s">
        <v>2824</v>
      </c>
      <c r="C2019" s="2" t="s">
        <v>248</v>
      </c>
      <c r="D2019" s="2" t="s">
        <v>237</v>
      </c>
      <c r="E2019" s="2" t="s">
        <v>4646</v>
      </c>
      <c r="F2019" s="2">
        <v>22</v>
      </c>
      <c r="G2019" s="2">
        <v>20.239999999999998</v>
      </c>
      <c r="H2019" s="2">
        <v>1.76</v>
      </c>
      <c r="I2019" s="1">
        <v>8</v>
      </c>
      <c r="J2019" s="26">
        <v>45545</v>
      </c>
      <c r="K2019" s="22">
        <v>151800</v>
      </c>
      <c r="L2019" s="18">
        <v>162.35</v>
      </c>
      <c r="M2019" s="22">
        <v>121000</v>
      </c>
      <c r="N2019" s="22">
        <v>30800</v>
      </c>
      <c r="O2019" s="18">
        <v>32.94</v>
      </c>
      <c r="P2019" s="52">
        <f>IF(COUNTIF(TblPurchases[BatchID],TblOutcomes[[#This Row],[BatchID]])&lt;&gt;1,"n.a.",TblOutcomes[[#This Row],[Qty Wasted]]*SUMIFS(TblPurchases[Unit Cost (CLP)],TblPurchases[BatchID],TblOutcomes[[#This Row],[BatchID]]))</f>
        <v>9680</v>
      </c>
      <c r="Q2019" s="51">
        <f>IF(COUNTIF(TblPurchases[BatchID],TblOutcomes[[#This Row],[BatchID]])&lt;&gt;1,"n.a.",SUMIFS(TblPurchases[Purchase Date],TblPurchases[BatchID],TblOutcomes[[#This Row],[BatchID]]))</f>
        <v>45365</v>
      </c>
    </row>
    <row r="2020" spans="2:17" x14ac:dyDescent="0.25">
      <c r="B2020" s="2" t="s">
        <v>2825</v>
      </c>
      <c r="C2020" s="2" t="s">
        <v>248</v>
      </c>
      <c r="D2020" s="2" t="s">
        <v>237</v>
      </c>
      <c r="E2020" s="2" t="s">
        <v>4647</v>
      </c>
      <c r="F2020" s="2">
        <v>21</v>
      </c>
      <c r="G2020" s="2">
        <v>21</v>
      </c>
      <c r="H2020" s="2">
        <v>0</v>
      </c>
      <c r="I2020" s="1">
        <v>0</v>
      </c>
      <c r="J2020" s="26">
        <v>45403</v>
      </c>
      <c r="K2020" s="22">
        <v>157500</v>
      </c>
      <c r="L2020" s="18">
        <v>168.45</v>
      </c>
      <c r="M2020" s="22">
        <v>111300</v>
      </c>
      <c r="N2020" s="22">
        <v>46200</v>
      </c>
      <c r="O2020" s="18">
        <v>49.41</v>
      </c>
      <c r="P2020" s="52">
        <f>IF(COUNTIF(TblPurchases[BatchID],TblOutcomes[[#This Row],[BatchID]])&lt;&gt;1,"n.a.",TblOutcomes[[#This Row],[Qty Wasted]]*SUMIFS(TblPurchases[Unit Cost (CLP)],TblPurchases[BatchID],TblOutcomes[[#This Row],[BatchID]]))</f>
        <v>0</v>
      </c>
      <c r="Q2020" s="51">
        <f>IF(COUNTIF(TblPurchases[BatchID],TblOutcomes[[#This Row],[BatchID]])&lt;&gt;1,"n.a.",SUMIFS(TblPurchases[Purchase Date],TblPurchases[BatchID],TblOutcomes[[#This Row],[BatchID]]))</f>
        <v>45383</v>
      </c>
    </row>
    <row r="2021" spans="2:17" x14ac:dyDescent="0.25">
      <c r="B2021" s="2" t="s">
        <v>2826</v>
      </c>
      <c r="C2021" s="2" t="s">
        <v>248</v>
      </c>
      <c r="D2021" s="2" t="s">
        <v>237</v>
      </c>
      <c r="E2021" s="2" t="s">
        <v>4646</v>
      </c>
      <c r="F2021" s="2">
        <v>18</v>
      </c>
      <c r="G2021" s="2">
        <v>16.690000000000001</v>
      </c>
      <c r="H2021" s="2">
        <v>1.31</v>
      </c>
      <c r="I2021" s="1">
        <v>7.3</v>
      </c>
      <c r="J2021" s="26">
        <v>45582</v>
      </c>
      <c r="K2021" s="22">
        <v>125175</v>
      </c>
      <c r="L2021" s="18">
        <v>133.88</v>
      </c>
      <c r="M2021" s="22">
        <v>99000</v>
      </c>
      <c r="N2021" s="22">
        <v>26175</v>
      </c>
      <c r="O2021" s="18">
        <v>27.99</v>
      </c>
      <c r="P2021" s="52">
        <f>IF(COUNTIF(TblPurchases[BatchID],TblOutcomes[[#This Row],[BatchID]])&lt;&gt;1,"n.a.",TblOutcomes[[#This Row],[Qty Wasted]]*SUMIFS(TblPurchases[Unit Cost (CLP)],TblPurchases[BatchID],TblOutcomes[[#This Row],[BatchID]]))</f>
        <v>7205</v>
      </c>
      <c r="Q2021" s="51">
        <f>IF(COUNTIF(TblPurchases[BatchID],TblOutcomes[[#This Row],[BatchID]])&lt;&gt;1,"n.a.",SUMIFS(TblPurchases[Purchase Date],TblPurchases[BatchID],TblOutcomes[[#This Row],[BatchID]]))</f>
        <v>45402</v>
      </c>
    </row>
    <row r="2022" spans="2:17" x14ac:dyDescent="0.25">
      <c r="B2022" s="2" t="s">
        <v>2827</v>
      </c>
      <c r="C2022" s="2" t="s">
        <v>248</v>
      </c>
      <c r="D2022" s="2" t="s">
        <v>237</v>
      </c>
      <c r="E2022" s="2" t="s">
        <v>4647</v>
      </c>
      <c r="F2022" s="2">
        <v>22</v>
      </c>
      <c r="G2022" s="2">
        <v>22</v>
      </c>
      <c r="H2022" s="2">
        <v>0</v>
      </c>
      <c r="I2022" s="1">
        <v>0</v>
      </c>
      <c r="J2022" s="26">
        <v>45451</v>
      </c>
      <c r="K2022" s="22">
        <v>165000</v>
      </c>
      <c r="L2022" s="18">
        <v>176.47</v>
      </c>
      <c r="M2022" s="22">
        <v>116600</v>
      </c>
      <c r="N2022" s="22">
        <v>48400</v>
      </c>
      <c r="O2022" s="18">
        <v>51.76</v>
      </c>
      <c r="P2022" s="52">
        <f>IF(COUNTIF(TblPurchases[BatchID],TblOutcomes[[#This Row],[BatchID]])&lt;&gt;1,"n.a.",TblOutcomes[[#This Row],[Qty Wasted]]*SUMIFS(TblPurchases[Unit Cost (CLP)],TblPurchases[BatchID],TblOutcomes[[#This Row],[BatchID]]))</f>
        <v>0</v>
      </c>
      <c r="Q2022" s="51">
        <f>IF(COUNTIF(TblPurchases[BatchID],TblOutcomes[[#This Row],[BatchID]])&lt;&gt;1,"n.a.",SUMIFS(TblPurchases[Purchase Date],TblPurchases[BatchID],TblOutcomes[[#This Row],[BatchID]]))</f>
        <v>45423</v>
      </c>
    </row>
    <row r="2023" spans="2:17" x14ac:dyDescent="0.25">
      <c r="B2023" s="2" t="s">
        <v>2828</v>
      </c>
      <c r="C2023" s="2" t="s">
        <v>248</v>
      </c>
      <c r="D2023" s="2" t="s">
        <v>237</v>
      </c>
      <c r="E2023" s="2" t="s">
        <v>4646</v>
      </c>
      <c r="F2023" s="2">
        <v>20</v>
      </c>
      <c r="G2023" s="2">
        <v>19.600000000000001</v>
      </c>
      <c r="H2023" s="2">
        <v>0.4</v>
      </c>
      <c r="I2023" s="1">
        <v>2</v>
      </c>
      <c r="J2023" s="26">
        <v>45620</v>
      </c>
      <c r="K2023" s="22">
        <v>147000</v>
      </c>
      <c r="L2023" s="18">
        <v>157.22</v>
      </c>
      <c r="M2023" s="22">
        <v>106000</v>
      </c>
      <c r="N2023" s="22">
        <v>41000</v>
      </c>
      <c r="O2023" s="18">
        <v>43.85</v>
      </c>
      <c r="P2023" s="52">
        <f>IF(COUNTIF(TblPurchases[BatchID],TblOutcomes[[#This Row],[BatchID]])&lt;&gt;1,"n.a.",TblOutcomes[[#This Row],[Qty Wasted]]*SUMIFS(TblPurchases[Unit Cost (CLP)],TblPurchases[BatchID],TblOutcomes[[#This Row],[BatchID]]))</f>
        <v>2120</v>
      </c>
      <c r="Q2023" s="51">
        <f>IF(COUNTIF(TblPurchases[BatchID],TblOutcomes[[#This Row],[BatchID]])&lt;&gt;1,"n.a.",SUMIFS(TblPurchases[Purchase Date],TblPurchases[BatchID],TblOutcomes[[#This Row],[BatchID]]))</f>
        <v>45440</v>
      </c>
    </row>
    <row r="2024" spans="2:17" x14ac:dyDescent="0.25">
      <c r="B2024" s="2" t="s">
        <v>2829</v>
      </c>
      <c r="C2024" s="2" t="s">
        <v>248</v>
      </c>
      <c r="D2024" s="2" t="s">
        <v>237</v>
      </c>
      <c r="E2024" s="2" t="s">
        <v>4647</v>
      </c>
      <c r="F2024" s="2">
        <v>18</v>
      </c>
      <c r="G2024" s="2">
        <v>18</v>
      </c>
      <c r="H2024" s="2">
        <v>0</v>
      </c>
      <c r="I2024" s="1">
        <v>0</v>
      </c>
      <c r="J2024" s="26">
        <v>45480</v>
      </c>
      <c r="K2024" s="22">
        <v>135000</v>
      </c>
      <c r="L2024" s="18">
        <v>144.38999999999999</v>
      </c>
      <c r="M2024" s="22">
        <v>95400</v>
      </c>
      <c r="N2024" s="22">
        <v>39600</v>
      </c>
      <c r="O2024" s="18">
        <v>42.35</v>
      </c>
      <c r="P2024" s="52">
        <f>IF(COUNTIF(TblPurchases[BatchID],TblOutcomes[[#This Row],[BatchID]])&lt;&gt;1,"n.a.",TblOutcomes[[#This Row],[Qty Wasted]]*SUMIFS(TblPurchases[Unit Cost (CLP)],TblPurchases[BatchID],TblOutcomes[[#This Row],[BatchID]]))</f>
        <v>0</v>
      </c>
      <c r="Q2024" s="51">
        <f>IF(COUNTIF(TblPurchases[BatchID],TblOutcomes[[#This Row],[BatchID]])&lt;&gt;1,"n.a.",SUMIFS(TblPurchases[Purchase Date],TblPurchases[BatchID],TblOutcomes[[#This Row],[BatchID]]))</f>
        <v>45462</v>
      </c>
    </row>
    <row r="2025" spans="2:17" x14ac:dyDescent="0.25">
      <c r="B2025" s="2" t="s">
        <v>2830</v>
      </c>
      <c r="C2025" s="2" t="s">
        <v>248</v>
      </c>
      <c r="D2025" s="2" t="s">
        <v>237</v>
      </c>
      <c r="E2025" s="2" t="s">
        <v>4647</v>
      </c>
      <c r="F2025" s="2">
        <v>23</v>
      </c>
      <c r="G2025" s="2">
        <v>23</v>
      </c>
      <c r="H2025" s="2">
        <v>0</v>
      </c>
      <c r="I2025" s="1">
        <v>0</v>
      </c>
      <c r="J2025" s="26">
        <v>45489</v>
      </c>
      <c r="K2025" s="22">
        <v>172500</v>
      </c>
      <c r="L2025" s="18">
        <v>184.49</v>
      </c>
      <c r="M2025" s="22">
        <v>121900</v>
      </c>
      <c r="N2025" s="22">
        <v>50600</v>
      </c>
      <c r="O2025" s="18">
        <v>54.12</v>
      </c>
      <c r="P2025" s="52">
        <f>IF(COUNTIF(TblPurchases[BatchID],TblOutcomes[[#This Row],[BatchID]])&lt;&gt;1,"n.a.",TblOutcomes[[#This Row],[Qty Wasted]]*SUMIFS(TblPurchases[Unit Cost (CLP)],TblPurchases[BatchID],TblOutcomes[[#This Row],[BatchID]]))</f>
        <v>0</v>
      </c>
      <c r="Q2025" s="51">
        <f>IF(COUNTIF(TblPurchases[BatchID],TblOutcomes[[#This Row],[BatchID]])&lt;&gt;1,"n.a.",SUMIFS(TblPurchases[Purchase Date],TblPurchases[BatchID],TblOutcomes[[#This Row],[BatchID]]))</f>
        <v>45479</v>
      </c>
    </row>
    <row r="2026" spans="2:17" x14ac:dyDescent="0.25">
      <c r="B2026" s="2" t="s">
        <v>2831</v>
      </c>
      <c r="C2026" s="2" t="s">
        <v>248</v>
      </c>
      <c r="D2026" s="2" t="s">
        <v>237</v>
      </c>
      <c r="E2026" s="2" t="s">
        <v>4647</v>
      </c>
      <c r="F2026" s="2">
        <v>19</v>
      </c>
      <c r="G2026" s="2">
        <v>19</v>
      </c>
      <c r="H2026" s="2">
        <v>0</v>
      </c>
      <c r="I2026" s="1">
        <v>0</v>
      </c>
      <c r="J2026" s="26">
        <v>45518</v>
      </c>
      <c r="K2026" s="22">
        <v>142500</v>
      </c>
      <c r="L2026" s="18">
        <v>152.41</v>
      </c>
      <c r="M2026" s="22">
        <v>100700</v>
      </c>
      <c r="N2026" s="22">
        <v>41800</v>
      </c>
      <c r="O2026" s="18">
        <v>44.71</v>
      </c>
      <c r="P2026" s="52">
        <f>IF(COUNTIF(TblPurchases[BatchID],TblOutcomes[[#This Row],[BatchID]])&lt;&gt;1,"n.a.",TblOutcomes[[#This Row],[Qty Wasted]]*SUMIFS(TblPurchases[Unit Cost (CLP)],TblPurchases[BatchID],TblOutcomes[[#This Row],[BatchID]]))</f>
        <v>0</v>
      </c>
      <c r="Q2026" s="51">
        <f>IF(COUNTIF(TblPurchases[BatchID],TblOutcomes[[#This Row],[BatchID]])&lt;&gt;1,"n.a.",SUMIFS(TblPurchases[Purchase Date],TblPurchases[BatchID],TblOutcomes[[#This Row],[BatchID]]))</f>
        <v>45498</v>
      </c>
    </row>
    <row r="2027" spans="2:17" x14ac:dyDescent="0.25">
      <c r="B2027" s="2" t="s">
        <v>2832</v>
      </c>
      <c r="C2027" s="2" t="s">
        <v>248</v>
      </c>
      <c r="D2027" s="2" t="s">
        <v>237</v>
      </c>
      <c r="E2027" s="2" t="s">
        <v>4646</v>
      </c>
      <c r="F2027" s="2">
        <v>23</v>
      </c>
      <c r="G2027" s="2">
        <v>21.76</v>
      </c>
      <c r="H2027" s="2">
        <v>1.24</v>
      </c>
      <c r="I2027" s="1">
        <v>5.4</v>
      </c>
      <c r="J2027" s="26">
        <v>45700</v>
      </c>
      <c r="K2027" s="22">
        <v>163200</v>
      </c>
      <c r="L2027" s="18">
        <v>174.55</v>
      </c>
      <c r="M2027" s="22">
        <v>121900</v>
      </c>
      <c r="N2027" s="22">
        <v>41300</v>
      </c>
      <c r="O2027" s="18">
        <v>44.17</v>
      </c>
      <c r="P2027" s="52">
        <f>IF(COUNTIF(TblPurchases[BatchID],TblOutcomes[[#This Row],[BatchID]])&lt;&gt;1,"n.a.",TblOutcomes[[#This Row],[Qty Wasted]]*SUMIFS(TblPurchases[Unit Cost (CLP)],TblPurchases[BatchID],TblOutcomes[[#This Row],[BatchID]]))</f>
        <v>6572</v>
      </c>
      <c r="Q2027" s="51">
        <f>IF(COUNTIF(TblPurchases[BatchID],TblOutcomes[[#This Row],[BatchID]])&lt;&gt;1,"n.a.",SUMIFS(TblPurchases[Purchase Date],TblPurchases[BatchID],TblOutcomes[[#This Row],[BatchID]]))</f>
        <v>45520</v>
      </c>
    </row>
    <row r="2028" spans="2:17" x14ac:dyDescent="0.25">
      <c r="B2028" s="2" t="s">
        <v>2833</v>
      </c>
      <c r="C2028" s="2" t="s">
        <v>248</v>
      </c>
      <c r="D2028" s="2" t="s">
        <v>237</v>
      </c>
      <c r="E2028" s="2" t="s">
        <v>4646</v>
      </c>
      <c r="F2028" s="2">
        <v>22</v>
      </c>
      <c r="G2028" s="2">
        <v>20.9</v>
      </c>
      <c r="H2028" s="2">
        <v>1.1000000000000001</v>
      </c>
      <c r="I2028" s="1">
        <v>5</v>
      </c>
      <c r="J2028" s="26">
        <v>45729</v>
      </c>
      <c r="K2028" s="22">
        <v>156750</v>
      </c>
      <c r="L2028" s="18">
        <v>167.65</v>
      </c>
      <c r="M2028" s="22">
        <v>116600</v>
      </c>
      <c r="N2028" s="22">
        <v>40150</v>
      </c>
      <c r="O2028" s="18">
        <v>42.94</v>
      </c>
      <c r="P2028" s="52">
        <f>IF(COUNTIF(TblPurchases[BatchID],TblOutcomes[[#This Row],[BatchID]])&lt;&gt;1,"n.a.",TblOutcomes[[#This Row],[Qty Wasted]]*SUMIFS(TblPurchases[Unit Cost (CLP)],TblPurchases[BatchID],TblOutcomes[[#This Row],[BatchID]]))</f>
        <v>5830.0000000000009</v>
      </c>
      <c r="Q2028" s="51">
        <f>IF(COUNTIF(TblPurchases[BatchID],TblOutcomes[[#This Row],[BatchID]])&lt;&gt;1,"n.a.",SUMIFS(TblPurchases[Purchase Date],TblPurchases[BatchID],TblOutcomes[[#This Row],[BatchID]]))</f>
        <v>45549</v>
      </c>
    </row>
    <row r="2029" spans="2:17" x14ac:dyDescent="0.25">
      <c r="B2029" s="2" t="s">
        <v>2834</v>
      </c>
      <c r="C2029" s="2" t="s">
        <v>248</v>
      </c>
      <c r="D2029" s="2" t="s">
        <v>237</v>
      </c>
      <c r="E2029" s="2" t="s">
        <v>4647</v>
      </c>
      <c r="F2029" s="2">
        <v>22</v>
      </c>
      <c r="G2029" s="2">
        <v>22</v>
      </c>
      <c r="H2029" s="2">
        <v>0</v>
      </c>
      <c r="I2029" s="1">
        <v>0</v>
      </c>
      <c r="J2029" s="26">
        <v>45589</v>
      </c>
      <c r="K2029" s="22">
        <v>165000</v>
      </c>
      <c r="L2029" s="18">
        <v>176.47</v>
      </c>
      <c r="M2029" s="22">
        <v>116600</v>
      </c>
      <c r="N2029" s="22">
        <v>48400</v>
      </c>
      <c r="O2029" s="18">
        <v>51.76</v>
      </c>
      <c r="P2029" s="52">
        <f>IF(COUNTIF(TblPurchases[BatchID],TblOutcomes[[#This Row],[BatchID]])&lt;&gt;1,"n.a.",TblOutcomes[[#This Row],[Qty Wasted]]*SUMIFS(TblPurchases[Unit Cost (CLP)],TblPurchases[BatchID],TblOutcomes[[#This Row],[BatchID]]))</f>
        <v>0</v>
      </c>
      <c r="Q2029" s="51">
        <f>IF(COUNTIF(TblPurchases[BatchID],TblOutcomes[[#This Row],[BatchID]])&lt;&gt;1,"n.a.",SUMIFS(TblPurchases[Purchase Date],TblPurchases[BatchID],TblOutcomes[[#This Row],[BatchID]]))</f>
        <v>45569</v>
      </c>
    </row>
    <row r="2030" spans="2:17" x14ac:dyDescent="0.25">
      <c r="B2030" s="2" t="s">
        <v>2835</v>
      </c>
      <c r="C2030" s="2" t="s">
        <v>248</v>
      </c>
      <c r="D2030" s="2" t="s">
        <v>237</v>
      </c>
      <c r="E2030" s="2" t="s">
        <v>4646</v>
      </c>
      <c r="F2030" s="2">
        <v>23</v>
      </c>
      <c r="G2030" s="2">
        <v>21.92</v>
      </c>
      <c r="H2030" s="2">
        <v>1.08</v>
      </c>
      <c r="I2030" s="1">
        <v>4.7</v>
      </c>
      <c r="J2030" s="26">
        <v>45772</v>
      </c>
      <c r="K2030" s="22">
        <v>164400</v>
      </c>
      <c r="L2030" s="18">
        <v>175.83</v>
      </c>
      <c r="M2030" s="22">
        <v>121900</v>
      </c>
      <c r="N2030" s="22">
        <v>42500</v>
      </c>
      <c r="O2030" s="18">
        <v>45.45</v>
      </c>
      <c r="P2030" s="52">
        <f>IF(COUNTIF(TblPurchases[BatchID],TblOutcomes[[#This Row],[BatchID]])&lt;&gt;1,"n.a.",TblOutcomes[[#This Row],[Qty Wasted]]*SUMIFS(TblPurchases[Unit Cost (CLP)],TblPurchases[BatchID],TblOutcomes[[#This Row],[BatchID]]))</f>
        <v>5724</v>
      </c>
      <c r="Q2030" s="51">
        <f>IF(COUNTIF(TblPurchases[BatchID],TblOutcomes[[#This Row],[BatchID]])&lt;&gt;1,"n.a.",SUMIFS(TblPurchases[Purchase Date],TblPurchases[BatchID],TblOutcomes[[#This Row],[BatchID]]))</f>
        <v>45592</v>
      </c>
    </row>
    <row r="2031" spans="2:17" x14ac:dyDescent="0.25">
      <c r="B2031" s="2" t="s">
        <v>2836</v>
      </c>
      <c r="C2031" s="2" t="s">
        <v>248</v>
      </c>
      <c r="D2031" s="2" t="s">
        <v>237</v>
      </c>
      <c r="E2031" s="2" t="s">
        <v>4647</v>
      </c>
      <c r="F2031" s="2">
        <v>21</v>
      </c>
      <c r="G2031" s="2">
        <v>21</v>
      </c>
      <c r="H2031" s="2">
        <v>0</v>
      </c>
      <c r="I2031" s="1">
        <v>0</v>
      </c>
      <c r="J2031" s="26">
        <v>45633</v>
      </c>
      <c r="K2031" s="22">
        <v>157500</v>
      </c>
      <c r="L2031" s="18">
        <v>168.45</v>
      </c>
      <c r="M2031" s="22">
        <v>111300</v>
      </c>
      <c r="N2031" s="22">
        <v>46200</v>
      </c>
      <c r="O2031" s="18">
        <v>49.41</v>
      </c>
      <c r="P2031" s="52">
        <f>IF(COUNTIF(TblPurchases[BatchID],TblOutcomes[[#This Row],[BatchID]])&lt;&gt;1,"n.a.",TblOutcomes[[#This Row],[Qty Wasted]]*SUMIFS(TblPurchases[Unit Cost (CLP)],TblPurchases[BatchID],TblOutcomes[[#This Row],[BatchID]]))</f>
        <v>0</v>
      </c>
      <c r="Q2031" s="51">
        <f>IF(COUNTIF(TblPurchases[BatchID],TblOutcomes[[#This Row],[BatchID]])&lt;&gt;1,"n.a.",SUMIFS(TblPurchases[Purchase Date],TblPurchases[BatchID],TblOutcomes[[#This Row],[BatchID]]))</f>
        <v>45615</v>
      </c>
    </row>
    <row r="2032" spans="2:17" x14ac:dyDescent="0.25">
      <c r="B2032" s="2" t="s">
        <v>2837</v>
      </c>
      <c r="C2032" s="2" t="s">
        <v>248</v>
      </c>
      <c r="D2032" s="2" t="s">
        <v>237</v>
      </c>
      <c r="E2032" s="2" t="s">
        <v>4647</v>
      </c>
      <c r="F2032" s="2">
        <v>27</v>
      </c>
      <c r="G2032" s="2">
        <v>27</v>
      </c>
      <c r="H2032" s="2">
        <v>0</v>
      </c>
      <c r="I2032" s="1">
        <v>0</v>
      </c>
      <c r="J2032" s="26">
        <v>45640</v>
      </c>
      <c r="K2032" s="22">
        <v>202500</v>
      </c>
      <c r="L2032" s="18">
        <v>216.58</v>
      </c>
      <c r="M2032" s="22">
        <v>143100</v>
      </c>
      <c r="N2032" s="22">
        <v>59400</v>
      </c>
      <c r="O2032" s="18">
        <v>63.53</v>
      </c>
      <c r="P2032" s="52">
        <f>IF(COUNTIF(TblPurchases[BatchID],TblOutcomes[[#This Row],[BatchID]])&lt;&gt;1,"n.a.",TblOutcomes[[#This Row],[Qty Wasted]]*SUMIFS(TblPurchases[Unit Cost (CLP)],TblPurchases[BatchID],TblOutcomes[[#This Row],[BatchID]]))</f>
        <v>0</v>
      </c>
      <c r="Q2032" s="51">
        <f>IF(COUNTIF(TblPurchases[BatchID],TblOutcomes[[#This Row],[BatchID]])&lt;&gt;1,"n.a.",SUMIFS(TblPurchases[Purchase Date],TblPurchases[BatchID],TblOutcomes[[#This Row],[BatchID]]))</f>
        <v>45631</v>
      </c>
    </row>
    <row r="2033" spans="2:17" x14ac:dyDescent="0.25">
      <c r="B2033" s="2" t="s">
        <v>2838</v>
      </c>
      <c r="C2033" s="2" t="s">
        <v>248</v>
      </c>
      <c r="D2033" s="2" t="s">
        <v>237</v>
      </c>
      <c r="E2033" s="2" t="s">
        <v>4647</v>
      </c>
      <c r="F2033" s="2">
        <v>28</v>
      </c>
      <c r="G2033" s="2">
        <v>28</v>
      </c>
      <c r="H2033" s="2">
        <v>0</v>
      </c>
      <c r="I2033" s="1">
        <v>0</v>
      </c>
      <c r="J2033" s="26">
        <v>45663</v>
      </c>
      <c r="K2033" s="22">
        <v>210000</v>
      </c>
      <c r="L2033" s="18">
        <v>224.6</v>
      </c>
      <c r="M2033" s="22">
        <v>148400</v>
      </c>
      <c r="N2033" s="22">
        <v>61600</v>
      </c>
      <c r="O2033" s="18">
        <v>65.88</v>
      </c>
      <c r="P2033" s="52">
        <f>IF(COUNTIF(TblPurchases[BatchID],TblOutcomes[[#This Row],[BatchID]])&lt;&gt;1,"n.a.",TblOutcomes[[#This Row],[Qty Wasted]]*SUMIFS(TblPurchases[Unit Cost (CLP)],TblPurchases[BatchID],TblOutcomes[[#This Row],[BatchID]]))</f>
        <v>0</v>
      </c>
      <c r="Q2033" s="51">
        <f>IF(COUNTIF(TblPurchases[BatchID],TblOutcomes[[#This Row],[BatchID]])&lt;&gt;1,"n.a.",SUMIFS(TblPurchases[Purchase Date],TblPurchases[BatchID],TblOutcomes[[#This Row],[BatchID]]))</f>
        <v>45653</v>
      </c>
    </row>
    <row r="2034" spans="2:17" x14ac:dyDescent="0.25">
      <c r="B2034" s="2" t="s">
        <v>2839</v>
      </c>
      <c r="C2034" s="2" t="s">
        <v>248</v>
      </c>
      <c r="D2034" s="2" t="s">
        <v>237</v>
      </c>
      <c r="E2034" s="2" t="s">
        <v>4646</v>
      </c>
      <c r="F2034" s="2">
        <v>19</v>
      </c>
      <c r="G2034" s="2">
        <v>17.59</v>
      </c>
      <c r="H2034" s="2">
        <v>1.41</v>
      </c>
      <c r="I2034" s="1">
        <v>7.4</v>
      </c>
      <c r="J2034" s="26">
        <v>45852</v>
      </c>
      <c r="K2034" s="22">
        <v>131925</v>
      </c>
      <c r="L2034" s="18">
        <v>141.1</v>
      </c>
      <c r="M2034" s="22">
        <v>100700</v>
      </c>
      <c r="N2034" s="22">
        <v>31225</v>
      </c>
      <c r="O2034" s="18">
        <v>33.4</v>
      </c>
      <c r="P2034" s="52">
        <f>IF(COUNTIF(TblPurchases[BatchID],TblOutcomes[[#This Row],[BatchID]])&lt;&gt;1,"n.a.",TblOutcomes[[#This Row],[Qty Wasted]]*SUMIFS(TblPurchases[Unit Cost (CLP)],TblPurchases[BatchID],TblOutcomes[[#This Row],[BatchID]]))</f>
        <v>7473</v>
      </c>
      <c r="Q2034" s="51">
        <f>IF(COUNTIF(TblPurchases[BatchID],TblOutcomes[[#This Row],[BatchID]])&lt;&gt;1,"n.a.",SUMIFS(TblPurchases[Purchase Date],TblPurchases[BatchID],TblOutcomes[[#This Row],[BatchID]]))</f>
        <v>45672</v>
      </c>
    </row>
    <row r="2035" spans="2:17" x14ac:dyDescent="0.25">
      <c r="B2035" s="2" t="s">
        <v>2840</v>
      </c>
      <c r="C2035" s="2" t="s">
        <v>248</v>
      </c>
      <c r="D2035" s="2" t="s">
        <v>237</v>
      </c>
      <c r="E2035" s="2" t="s">
        <v>4647</v>
      </c>
      <c r="F2035" s="2">
        <v>21</v>
      </c>
      <c r="G2035" s="2">
        <v>21</v>
      </c>
      <c r="H2035" s="2">
        <v>0</v>
      </c>
      <c r="I2035" s="1">
        <v>0</v>
      </c>
      <c r="J2035" s="26">
        <v>45700</v>
      </c>
      <c r="K2035" s="22">
        <v>157500</v>
      </c>
      <c r="L2035" s="18">
        <v>168.45</v>
      </c>
      <c r="M2035" s="22">
        <v>111300</v>
      </c>
      <c r="N2035" s="22">
        <v>46200</v>
      </c>
      <c r="O2035" s="18">
        <v>49.41</v>
      </c>
      <c r="P2035" s="52">
        <f>IF(COUNTIF(TblPurchases[BatchID],TblOutcomes[[#This Row],[BatchID]])&lt;&gt;1,"n.a.",TblOutcomes[[#This Row],[Qty Wasted]]*SUMIFS(TblPurchases[Unit Cost (CLP)],TblPurchases[BatchID],TblOutcomes[[#This Row],[BatchID]]))</f>
        <v>0</v>
      </c>
      <c r="Q2035" s="51">
        <f>IF(COUNTIF(TblPurchases[BatchID],TblOutcomes[[#This Row],[BatchID]])&lt;&gt;1,"n.a.",SUMIFS(TblPurchases[Purchase Date],TblPurchases[BatchID],TblOutcomes[[#This Row],[BatchID]]))</f>
        <v>45692</v>
      </c>
    </row>
    <row r="2036" spans="2:17" x14ac:dyDescent="0.25">
      <c r="B2036" s="2" t="s">
        <v>2841</v>
      </c>
      <c r="C2036" s="2" t="s">
        <v>248</v>
      </c>
      <c r="D2036" s="2" t="s">
        <v>237</v>
      </c>
      <c r="E2036" s="2" t="s">
        <v>4647</v>
      </c>
      <c r="F2036" s="2">
        <v>19</v>
      </c>
      <c r="G2036" s="2">
        <v>19</v>
      </c>
      <c r="H2036" s="2">
        <v>0</v>
      </c>
      <c r="I2036" s="1">
        <v>0</v>
      </c>
      <c r="J2036" s="26">
        <v>45730</v>
      </c>
      <c r="K2036" s="22">
        <v>142500</v>
      </c>
      <c r="L2036" s="18">
        <v>152.41</v>
      </c>
      <c r="M2036" s="22">
        <v>100700</v>
      </c>
      <c r="N2036" s="22">
        <v>41800</v>
      </c>
      <c r="O2036" s="18">
        <v>44.71</v>
      </c>
      <c r="P2036" s="52">
        <f>IF(COUNTIF(TblPurchases[BatchID],TblOutcomes[[#This Row],[BatchID]])&lt;&gt;1,"n.a.",TblOutcomes[[#This Row],[Qty Wasted]]*SUMIFS(TblPurchases[Unit Cost (CLP)],TblPurchases[BatchID],TblOutcomes[[#This Row],[BatchID]]))</f>
        <v>0</v>
      </c>
      <c r="Q2036" s="51">
        <f>IF(COUNTIF(TblPurchases[BatchID],TblOutcomes[[#This Row],[BatchID]])&lt;&gt;1,"n.a.",SUMIFS(TblPurchases[Purchase Date],TblPurchases[BatchID],TblOutcomes[[#This Row],[BatchID]]))</f>
        <v>45711</v>
      </c>
    </row>
    <row r="2037" spans="2:17" x14ac:dyDescent="0.25">
      <c r="B2037" s="2" t="s">
        <v>2842</v>
      </c>
      <c r="C2037" s="2" t="s">
        <v>248</v>
      </c>
      <c r="D2037" s="2" t="s">
        <v>237</v>
      </c>
      <c r="E2037" s="2" t="s">
        <v>4647</v>
      </c>
      <c r="F2037" s="2">
        <v>22</v>
      </c>
      <c r="G2037" s="2">
        <v>22</v>
      </c>
      <c r="H2037" s="2">
        <v>0</v>
      </c>
      <c r="I2037" s="1">
        <v>0</v>
      </c>
      <c r="J2037" s="26">
        <v>45740</v>
      </c>
      <c r="K2037" s="22">
        <v>165000</v>
      </c>
      <c r="L2037" s="18">
        <v>176.47</v>
      </c>
      <c r="M2037" s="22">
        <v>116600</v>
      </c>
      <c r="N2037" s="22">
        <v>48400</v>
      </c>
      <c r="O2037" s="18">
        <v>51.76</v>
      </c>
      <c r="P2037" s="52">
        <f>IF(COUNTIF(TblPurchases[BatchID],TblOutcomes[[#This Row],[BatchID]])&lt;&gt;1,"n.a.",TblOutcomes[[#This Row],[Qty Wasted]]*SUMIFS(TblPurchases[Unit Cost (CLP)],TblPurchases[BatchID],TblOutcomes[[#This Row],[BatchID]]))</f>
        <v>0</v>
      </c>
      <c r="Q2037" s="51">
        <f>IF(COUNTIF(TblPurchases[BatchID],TblOutcomes[[#This Row],[BatchID]])&lt;&gt;1,"n.a.",SUMIFS(TblPurchases[Purchase Date],TblPurchases[BatchID],TblOutcomes[[#This Row],[BatchID]]))</f>
        <v>45734</v>
      </c>
    </row>
    <row r="2038" spans="2:17" x14ac:dyDescent="0.25">
      <c r="B2038" s="2" t="s">
        <v>2843</v>
      </c>
      <c r="C2038" s="2" t="s">
        <v>248</v>
      </c>
      <c r="D2038" s="2" t="s">
        <v>237</v>
      </c>
      <c r="E2038" s="2" t="s">
        <v>4647</v>
      </c>
      <c r="F2038" s="2">
        <v>23</v>
      </c>
      <c r="G2038" s="2">
        <v>23</v>
      </c>
      <c r="H2038" s="2">
        <v>0</v>
      </c>
      <c r="I2038" s="1">
        <v>0</v>
      </c>
      <c r="J2038" s="26">
        <v>45769</v>
      </c>
      <c r="K2038" s="22">
        <v>172500</v>
      </c>
      <c r="L2038" s="18">
        <v>184.49</v>
      </c>
      <c r="M2038" s="22">
        <v>121900</v>
      </c>
      <c r="N2038" s="22">
        <v>50600</v>
      </c>
      <c r="O2038" s="18">
        <v>54.12</v>
      </c>
      <c r="P2038" s="52">
        <f>IF(COUNTIF(TblPurchases[BatchID],TblOutcomes[[#This Row],[BatchID]])&lt;&gt;1,"n.a.",TblOutcomes[[#This Row],[Qty Wasted]]*SUMIFS(TblPurchases[Unit Cost (CLP)],TblPurchases[BatchID],TblOutcomes[[#This Row],[BatchID]]))</f>
        <v>0</v>
      </c>
      <c r="Q2038" s="51">
        <f>IF(COUNTIF(TblPurchases[BatchID],TblOutcomes[[#This Row],[BatchID]])&lt;&gt;1,"n.a.",SUMIFS(TblPurchases[Purchase Date],TblPurchases[BatchID],TblOutcomes[[#This Row],[BatchID]]))</f>
        <v>45752</v>
      </c>
    </row>
    <row r="2039" spans="2:17" x14ac:dyDescent="0.25">
      <c r="B2039" s="2" t="s">
        <v>2844</v>
      </c>
      <c r="C2039" s="2" t="s">
        <v>248</v>
      </c>
      <c r="D2039" s="2" t="s">
        <v>237</v>
      </c>
      <c r="E2039" s="2" t="s">
        <v>4647</v>
      </c>
      <c r="F2039" s="2">
        <v>21</v>
      </c>
      <c r="G2039" s="2">
        <v>21</v>
      </c>
      <c r="H2039" s="2">
        <v>0</v>
      </c>
      <c r="I2039" s="1">
        <v>0</v>
      </c>
      <c r="J2039" s="26">
        <v>45799</v>
      </c>
      <c r="K2039" s="22">
        <v>157500</v>
      </c>
      <c r="L2039" s="18">
        <v>168.45</v>
      </c>
      <c r="M2039" s="22">
        <v>111300</v>
      </c>
      <c r="N2039" s="22">
        <v>46200</v>
      </c>
      <c r="O2039" s="18">
        <v>49.41</v>
      </c>
      <c r="P2039" s="52">
        <f>IF(COUNTIF(TblPurchases[BatchID],TblOutcomes[[#This Row],[BatchID]])&lt;&gt;1,"n.a.",TblOutcomes[[#This Row],[Qty Wasted]]*SUMIFS(TblPurchases[Unit Cost (CLP)],TblPurchases[BatchID],TblOutcomes[[#This Row],[BatchID]]))</f>
        <v>0</v>
      </c>
      <c r="Q2039" s="51">
        <f>IF(COUNTIF(TblPurchases[BatchID],TblOutcomes[[#This Row],[BatchID]])&lt;&gt;1,"n.a.",SUMIFS(TblPurchases[Purchase Date],TblPurchases[BatchID],TblOutcomes[[#This Row],[BatchID]]))</f>
        <v>45774</v>
      </c>
    </row>
    <row r="2040" spans="2:17" x14ac:dyDescent="0.25">
      <c r="B2040" s="2" t="s">
        <v>2845</v>
      </c>
      <c r="C2040" s="2" t="s">
        <v>248</v>
      </c>
      <c r="D2040" s="2" t="s">
        <v>237</v>
      </c>
      <c r="E2040" s="2" t="s">
        <v>4647</v>
      </c>
      <c r="F2040" s="2">
        <v>25</v>
      </c>
      <c r="G2040" s="2">
        <v>25</v>
      </c>
      <c r="H2040" s="2">
        <v>0</v>
      </c>
      <c r="I2040" s="1">
        <v>0</v>
      </c>
      <c r="J2040" s="26">
        <v>45802</v>
      </c>
      <c r="K2040" s="22">
        <v>187500</v>
      </c>
      <c r="L2040" s="18">
        <v>200.53</v>
      </c>
      <c r="M2040" s="22">
        <v>132500</v>
      </c>
      <c r="N2040" s="22">
        <v>55000</v>
      </c>
      <c r="O2040" s="18">
        <v>58.82</v>
      </c>
      <c r="P2040" s="52">
        <f>IF(COUNTIF(TblPurchases[BatchID],TblOutcomes[[#This Row],[BatchID]])&lt;&gt;1,"n.a.",TblOutcomes[[#This Row],[Qty Wasted]]*SUMIFS(TblPurchases[Unit Cost (CLP)],TblPurchases[BatchID],TblOutcomes[[#This Row],[BatchID]]))</f>
        <v>0</v>
      </c>
      <c r="Q2040" s="51">
        <f>IF(COUNTIF(TblPurchases[BatchID],TblOutcomes[[#This Row],[BatchID]])&lt;&gt;1,"n.a.",SUMIFS(TblPurchases[Purchase Date],TblPurchases[BatchID],TblOutcomes[[#This Row],[BatchID]]))</f>
        <v>45787</v>
      </c>
    </row>
    <row r="2041" spans="2:17" x14ac:dyDescent="0.25">
      <c r="B2041" s="2" t="s">
        <v>2846</v>
      </c>
      <c r="C2041" s="2" t="s">
        <v>248</v>
      </c>
      <c r="D2041" s="2" t="s">
        <v>237</v>
      </c>
      <c r="E2041" s="2" t="s">
        <v>4647</v>
      </c>
      <c r="F2041" s="2">
        <v>21</v>
      </c>
      <c r="G2041" s="2">
        <v>21</v>
      </c>
      <c r="H2041" s="2">
        <v>0</v>
      </c>
      <c r="I2041" s="1">
        <v>0</v>
      </c>
      <c r="J2041" s="26">
        <v>45819</v>
      </c>
      <c r="K2041" s="22">
        <v>157500</v>
      </c>
      <c r="L2041" s="18">
        <v>168.45</v>
      </c>
      <c r="M2041" s="22">
        <v>111300</v>
      </c>
      <c r="N2041" s="22">
        <v>46200</v>
      </c>
      <c r="O2041" s="18">
        <v>49.41</v>
      </c>
      <c r="P2041" s="52">
        <f>IF(COUNTIF(TblPurchases[BatchID],TblOutcomes[[#This Row],[BatchID]])&lt;&gt;1,"n.a.",TblOutcomes[[#This Row],[Qty Wasted]]*SUMIFS(TblPurchases[Unit Cost (CLP)],TblPurchases[BatchID],TblOutcomes[[#This Row],[BatchID]]))</f>
        <v>0</v>
      </c>
      <c r="Q2041" s="51">
        <f>IF(COUNTIF(TblPurchases[BatchID],TblOutcomes[[#This Row],[BatchID]])&lt;&gt;1,"n.a.",SUMIFS(TblPurchases[Purchase Date],TblPurchases[BatchID],TblOutcomes[[#This Row],[BatchID]]))</f>
        <v>45805</v>
      </c>
    </row>
    <row r="2042" spans="2:17" x14ac:dyDescent="0.25">
      <c r="B2042" s="2" t="s">
        <v>2847</v>
      </c>
      <c r="C2042" s="2" t="s">
        <v>248</v>
      </c>
      <c r="D2042" s="2" t="s">
        <v>237</v>
      </c>
      <c r="E2042" s="2" t="s">
        <v>4646</v>
      </c>
      <c r="F2042" s="2">
        <v>18</v>
      </c>
      <c r="G2042" s="2">
        <v>16.760000000000002</v>
      </c>
      <c r="H2042" s="2">
        <v>1.24</v>
      </c>
      <c r="I2042" s="1">
        <v>6.9</v>
      </c>
      <c r="J2042" s="26">
        <v>46010</v>
      </c>
      <c r="K2042" s="22">
        <v>125700</v>
      </c>
      <c r="L2042" s="18">
        <v>134.44</v>
      </c>
      <c r="M2042" s="22">
        <v>95400</v>
      </c>
      <c r="N2042" s="22">
        <v>30300</v>
      </c>
      <c r="O2042" s="18">
        <v>32.409999999999997</v>
      </c>
      <c r="P2042" s="52">
        <f>IF(COUNTIF(TblPurchases[BatchID],TblOutcomes[[#This Row],[BatchID]])&lt;&gt;1,"n.a.",TblOutcomes[[#This Row],[Qty Wasted]]*SUMIFS(TblPurchases[Unit Cost (CLP)],TblPurchases[BatchID],TblOutcomes[[#This Row],[BatchID]]))</f>
        <v>6572</v>
      </c>
      <c r="Q2042" s="51">
        <f>IF(COUNTIF(TblPurchases[BatchID],TblOutcomes[[#This Row],[BatchID]])&lt;&gt;1,"n.a.",SUMIFS(TblPurchases[Purchase Date],TblPurchases[BatchID],TblOutcomes[[#This Row],[BatchID]]))</f>
        <v>45830</v>
      </c>
    </row>
    <row r="2043" spans="2:17" x14ac:dyDescent="0.25">
      <c r="B2043" s="2" t="s">
        <v>2848</v>
      </c>
      <c r="C2043" s="2" t="s">
        <v>250</v>
      </c>
      <c r="D2043" s="2" t="s">
        <v>237</v>
      </c>
      <c r="E2043" s="2" t="s">
        <v>4647</v>
      </c>
      <c r="F2043" s="2">
        <v>21</v>
      </c>
      <c r="G2043" s="2">
        <v>21</v>
      </c>
      <c r="H2043" s="2">
        <v>0</v>
      </c>
      <c r="I2043" s="1">
        <v>0</v>
      </c>
      <c r="J2043" s="26">
        <v>45121</v>
      </c>
      <c r="K2043" s="22">
        <v>178500</v>
      </c>
      <c r="L2043" s="18">
        <v>190.91</v>
      </c>
      <c r="M2043" s="22">
        <v>123900</v>
      </c>
      <c r="N2043" s="22">
        <v>54600</v>
      </c>
      <c r="O2043" s="18">
        <v>58.4</v>
      </c>
      <c r="P2043" s="52">
        <f>IF(COUNTIF(TblPurchases[BatchID],TblOutcomes[[#This Row],[BatchID]])&lt;&gt;1,"n.a.",TblOutcomes[[#This Row],[Qty Wasted]]*SUMIFS(TblPurchases[Unit Cost (CLP)],TblPurchases[BatchID],TblOutcomes[[#This Row],[BatchID]]))</f>
        <v>0</v>
      </c>
      <c r="Q2043" s="51">
        <f>IF(COUNTIF(TblPurchases[BatchID],TblOutcomes[[#This Row],[BatchID]])&lt;&gt;1,"n.a.",SUMIFS(TblPurchases[Purchase Date],TblPurchases[BatchID],TblOutcomes[[#This Row],[BatchID]]))</f>
        <v>45110</v>
      </c>
    </row>
    <row r="2044" spans="2:17" x14ac:dyDescent="0.25">
      <c r="B2044" s="2" t="s">
        <v>2849</v>
      </c>
      <c r="C2044" s="2" t="s">
        <v>250</v>
      </c>
      <c r="D2044" s="2" t="s">
        <v>237</v>
      </c>
      <c r="E2044" s="2" t="s">
        <v>4647</v>
      </c>
      <c r="F2044" s="2">
        <v>19</v>
      </c>
      <c r="G2044" s="2">
        <v>19</v>
      </c>
      <c r="H2044" s="2">
        <v>0</v>
      </c>
      <c r="I2044" s="1">
        <v>0</v>
      </c>
      <c r="J2044" s="26">
        <v>45150</v>
      </c>
      <c r="K2044" s="22">
        <v>161500</v>
      </c>
      <c r="L2044" s="18">
        <v>172.73</v>
      </c>
      <c r="M2044" s="22">
        <v>112100</v>
      </c>
      <c r="N2044" s="22">
        <v>49400</v>
      </c>
      <c r="O2044" s="18">
        <v>52.83</v>
      </c>
      <c r="P2044" s="52">
        <f>IF(COUNTIF(TblPurchases[BatchID],TblOutcomes[[#This Row],[BatchID]])&lt;&gt;1,"n.a.",TblOutcomes[[#This Row],[Qty Wasted]]*SUMIFS(TblPurchases[Unit Cost (CLP)],TblPurchases[BatchID],TblOutcomes[[#This Row],[BatchID]]))</f>
        <v>0</v>
      </c>
      <c r="Q2044" s="51">
        <f>IF(COUNTIF(TblPurchases[BatchID],TblOutcomes[[#This Row],[BatchID]])&lt;&gt;1,"n.a.",SUMIFS(TblPurchases[Purchase Date],TblPurchases[BatchID],TblOutcomes[[#This Row],[BatchID]]))</f>
        <v>45129</v>
      </c>
    </row>
    <row r="2045" spans="2:17" x14ac:dyDescent="0.25">
      <c r="B2045" s="2" t="s">
        <v>2850</v>
      </c>
      <c r="C2045" s="2" t="s">
        <v>250</v>
      </c>
      <c r="D2045" s="2" t="s">
        <v>237</v>
      </c>
      <c r="E2045" s="2" t="s">
        <v>4646</v>
      </c>
      <c r="F2045" s="2">
        <v>18</v>
      </c>
      <c r="G2045" s="2">
        <v>17.329999999999998</v>
      </c>
      <c r="H2045" s="2">
        <v>0.67</v>
      </c>
      <c r="I2045" s="1">
        <v>3.7</v>
      </c>
      <c r="J2045" s="26">
        <v>45327</v>
      </c>
      <c r="K2045" s="22">
        <v>147305</v>
      </c>
      <c r="L2045" s="18">
        <v>157.55000000000001</v>
      </c>
      <c r="M2045" s="22">
        <v>106200</v>
      </c>
      <c r="N2045" s="22">
        <v>41105</v>
      </c>
      <c r="O2045" s="18">
        <v>43.96</v>
      </c>
      <c r="P2045" s="52">
        <f>IF(COUNTIF(TblPurchases[BatchID],TblOutcomes[[#This Row],[BatchID]])&lt;&gt;1,"n.a.",TblOutcomes[[#This Row],[Qty Wasted]]*SUMIFS(TblPurchases[Unit Cost (CLP)],TblPurchases[BatchID],TblOutcomes[[#This Row],[BatchID]]))</f>
        <v>3953.0000000000005</v>
      </c>
      <c r="Q2045" s="51">
        <f>IF(COUNTIF(TblPurchases[BatchID],TblOutcomes[[#This Row],[BatchID]])&lt;&gt;1,"n.a.",SUMIFS(TblPurchases[Purchase Date],TblPurchases[BatchID],TblOutcomes[[#This Row],[BatchID]]))</f>
        <v>45147</v>
      </c>
    </row>
    <row r="2046" spans="2:17" x14ac:dyDescent="0.25">
      <c r="B2046" s="2" t="s">
        <v>2851</v>
      </c>
      <c r="C2046" s="2" t="s">
        <v>250</v>
      </c>
      <c r="D2046" s="2" t="s">
        <v>237</v>
      </c>
      <c r="E2046" s="2" t="s">
        <v>4646</v>
      </c>
      <c r="F2046" s="2">
        <v>26</v>
      </c>
      <c r="G2046" s="2">
        <v>24.67</v>
      </c>
      <c r="H2046" s="2">
        <v>1.33</v>
      </c>
      <c r="I2046" s="1">
        <v>5.0999999999999996</v>
      </c>
      <c r="J2046" s="26">
        <v>45351</v>
      </c>
      <c r="K2046" s="22">
        <v>209695</v>
      </c>
      <c r="L2046" s="18">
        <v>224.27</v>
      </c>
      <c r="M2046" s="22">
        <v>153400</v>
      </c>
      <c r="N2046" s="22">
        <v>56295</v>
      </c>
      <c r="O2046" s="18">
        <v>60.21</v>
      </c>
      <c r="P2046" s="52">
        <f>IF(COUNTIF(TblPurchases[BatchID],TblOutcomes[[#This Row],[BatchID]])&lt;&gt;1,"n.a.",TblOutcomes[[#This Row],[Qty Wasted]]*SUMIFS(TblPurchases[Unit Cost (CLP)],TblPurchases[BatchID],TblOutcomes[[#This Row],[BatchID]]))</f>
        <v>7847</v>
      </c>
      <c r="Q2046" s="51">
        <f>IF(COUNTIF(TblPurchases[BatchID],TblOutcomes[[#This Row],[BatchID]])&lt;&gt;1,"n.a.",SUMIFS(TblPurchases[Purchase Date],TblPurchases[BatchID],TblOutcomes[[#This Row],[BatchID]]))</f>
        <v>45171</v>
      </c>
    </row>
    <row r="2047" spans="2:17" x14ac:dyDescent="0.25">
      <c r="B2047" s="2" t="s">
        <v>2852</v>
      </c>
      <c r="C2047" s="2" t="s">
        <v>250</v>
      </c>
      <c r="D2047" s="2" t="s">
        <v>237</v>
      </c>
      <c r="E2047" s="2" t="s">
        <v>4647</v>
      </c>
      <c r="F2047" s="2">
        <v>26</v>
      </c>
      <c r="G2047" s="2">
        <v>26</v>
      </c>
      <c r="H2047" s="2">
        <v>0</v>
      </c>
      <c r="I2047" s="1">
        <v>0</v>
      </c>
      <c r="J2047" s="26">
        <v>45207</v>
      </c>
      <c r="K2047" s="22">
        <v>221000</v>
      </c>
      <c r="L2047" s="18">
        <v>236.36</v>
      </c>
      <c r="M2047" s="22">
        <v>153400</v>
      </c>
      <c r="N2047" s="22">
        <v>67600</v>
      </c>
      <c r="O2047" s="18">
        <v>72.3</v>
      </c>
      <c r="P2047" s="52">
        <f>IF(COUNTIF(TblPurchases[BatchID],TblOutcomes[[#This Row],[BatchID]])&lt;&gt;1,"n.a.",TblOutcomes[[#This Row],[Qty Wasted]]*SUMIFS(TblPurchases[Unit Cost (CLP)],TblPurchases[BatchID],TblOutcomes[[#This Row],[BatchID]]))</f>
        <v>0</v>
      </c>
      <c r="Q2047" s="51">
        <f>IF(COUNTIF(TblPurchases[BatchID],TblOutcomes[[#This Row],[BatchID]])&lt;&gt;1,"n.a.",SUMIFS(TblPurchases[Purchase Date],TblPurchases[BatchID],TblOutcomes[[#This Row],[BatchID]]))</f>
        <v>45194</v>
      </c>
    </row>
    <row r="2048" spans="2:17" x14ac:dyDescent="0.25">
      <c r="B2048" s="2" t="s">
        <v>2853</v>
      </c>
      <c r="C2048" s="2" t="s">
        <v>250</v>
      </c>
      <c r="D2048" s="2" t="s">
        <v>237</v>
      </c>
      <c r="E2048" s="2" t="s">
        <v>4646</v>
      </c>
      <c r="F2048" s="2">
        <v>22</v>
      </c>
      <c r="G2048" s="2">
        <v>20.02</v>
      </c>
      <c r="H2048" s="2">
        <v>1.98</v>
      </c>
      <c r="I2048" s="1">
        <v>9</v>
      </c>
      <c r="J2048" s="26">
        <v>45394</v>
      </c>
      <c r="K2048" s="22">
        <v>170170</v>
      </c>
      <c r="L2048" s="18">
        <v>182</v>
      </c>
      <c r="M2048" s="22">
        <v>129800</v>
      </c>
      <c r="N2048" s="22">
        <v>40370</v>
      </c>
      <c r="O2048" s="18">
        <v>43.18</v>
      </c>
      <c r="P2048" s="52">
        <f>IF(COUNTIF(TblPurchases[BatchID],TblOutcomes[[#This Row],[BatchID]])&lt;&gt;1,"n.a.",TblOutcomes[[#This Row],[Qty Wasted]]*SUMIFS(TblPurchases[Unit Cost (CLP)],TblPurchases[BatchID],TblOutcomes[[#This Row],[BatchID]]))</f>
        <v>11682</v>
      </c>
      <c r="Q2048" s="51">
        <f>IF(COUNTIF(TblPurchases[BatchID],TblOutcomes[[#This Row],[BatchID]])&lt;&gt;1,"n.a.",SUMIFS(TblPurchases[Purchase Date],TblPurchases[BatchID],TblOutcomes[[#This Row],[BatchID]]))</f>
        <v>45214</v>
      </c>
    </row>
    <row r="2049" spans="2:17" x14ac:dyDescent="0.25">
      <c r="B2049" s="2" t="s">
        <v>2854</v>
      </c>
      <c r="C2049" s="2" t="s">
        <v>250</v>
      </c>
      <c r="D2049" s="2" t="s">
        <v>237</v>
      </c>
      <c r="E2049" s="2" t="s">
        <v>4647</v>
      </c>
      <c r="F2049" s="2">
        <v>19</v>
      </c>
      <c r="G2049" s="2">
        <v>19</v>
      </c>
      <c r="H2049" s="2">
        <v>0</v>
      </c>
      <c r="I2049" s="1">
        <v>0</v>
      </c>
      <c r="J2049" s="26">
        <v>45254</v>
      </c>
      <c r="K2049" s="22">
        <v>161500</v>
      </c>
      <c r="L2049" s="18">
        <v>172.73</v>
      </c>
      <c r="M2049" s="22">
        <v>112100</v>
      </c>
      <c r="N2049" s="22">
        <v>49400</v>
      </c>
      <c r="O2049" s="18">
        <v>52.83</v>
      </c>
      <c r="P2049" s="52">
        <f>IF(COUNTIF(TblPurchases[BatchID],TblOutcomes[[#This Row],[BatchID]])&lt;&gt;1,"n.a.",TblOutcomes[[#This Row],[Qty Wasted]]*SUMIFS(TblPurchases[Unit Cost (CLP)],TblPurchases[BatchID],TblOutcomes[[#This Row],[BatchID]]))</f>
        <v>0</v>
      </c>
      <c r="Q2049" s="51">
        <f>IF(COUNTIF(TblPurchases[BatchID],TblOutcomes[[#This Row],[BatchID]])&lt;&gt;1,"n.a.",SUMIFS(TblPurchases[Purchase Date],TblPurchases[BatchID],TblOutcomes[[#This Row],[BatchID]]))</f>
        <v>45233</v>
      </c>
    </row>
    <row r="2050" spans="2:17" x14ac:dyDescent="0.25">
      <c r="B2050" s="2" t="s">
        <v>2855</v>
      </c>
      <c r="C2050" s="2" t="s">
        <v>250</v>
      </c>
      <c r="D2050" s="2" t="s">
        <v>237</v>
      </c>
      <c r="E2050" s="2" t="s">
        <v>4646</v>
      </c>
      <c r="F2050" s="2">
        <v>21</v>
      </c>
      <c r="G2050" s="2">
        <v>20.03</v>
      </c>
      <c r="H2050" s="2">
        <v>0.97</v>
      </c>
      <c r="I2050" s="1">
        <v>4.5999999999999996</v>
      </c>
      <c r="J2050" s="26">
        <v>45428</v>
      </c>
      <c r="K2050" s="22">
        <v>170255</v>
      </c>
      <c r="L2050" s="18">
        <v>182.09</v>
      </c>
      <c r="M2050" s="22">
        <v>123900</v>
      </c>
      <c r="N2050" s="22">
        <v>46355</v>
      </c>
      <c r="O2050" s="18">
        <v>49.58</v>
      </c>
      <c r="P2050" s="52">
        <f>IF(COUNTIF(TblPurchases[BatchID],TblOutcomes[[#This Row],[BatchID]])&lt;&gt;1,"n.a.",TblOutcomes[[#This Row],[Qty Wasted]]*SUMIFS(TblPurchases[Unit Cost (CLP)],TblPurchases[BatchID],TblOutcomes[[#This Row],[BatchID]]))</f>
        <v>5723</v>
      </c>
      <c r="Q2050" s="51">
        <f>IF(COUNTIF(TblPurchases[BatchID],TblOutcomes[[#This Row],[BatchID]])&lt;&gt;1,"n.a.",SUMIFS(TblPurchases[Purchase Date],TblPurchases[BatchID],TblOutcomes[[#This Row],[BatchID]]))</f>
        <v>45248</v>
      </c>
    </row>
    <row r="2051" spans="2:17" x14ac:dyDescent="0.25">
      <c r="B2051" s="2" t="s">
        <v>2856</v>
      </c>
      <c r="C2051" s="2" t="s">
        <v>250</v>
      </c>
      <c r="D2051" s="2" t="s">
        <v>237</v>
      </c>
      <c r="E2051" s="2" t="s">
        <v>4646</v>
      </c>
      <c r="F2051" s="2">
        <v>29</v>
      </c>
      <c r="G2051" s="2">
        <v>27.32</v>
      </c>
      <c r="H2051" s="2">
        <v>1.68</v>
      </c>
      <c r="I2051" s="1">
        <v>5.8</v>
      </c>
      <c r="J2051" s="26">
        <v>45450</v>
      </c>
      <c r="K2051" s="22">
        <v>232220</v>
      </c>
      <c r="L2051" s="18">
        <v>248.36</v>
      </c>
      <c r="M2051" s="22">
        <v>171100</v>
      </c>
      <c r="N2051" s="22">
        <v>61120</v>
      </c>
      <c r="O2051" s="18">
        <v>65.37</v>
      </c>
      <c r="P2051" s="52">
        <f>IF(COUNTIF(TblPurchases[BatchID],TblOutcomes[[#This Row],[BatchID]])&lt;&gt;1,"n.a.",TblOutcomes[[#This Row],[Qty Wasted]]*SUMIFS(TblPurchases[Unit Cost (CLP)],TblPurchases[BatchID],TblOutcomes[[#This Row],[BatchID]]))</f>
        <v>9912</v>
      </c>
      <c r="Q2051" s="51">
        <f>IF(COUNTIF(TblPurchases[BatchID],TblOutcomes[[#This Row],[BatchID]])&lt;&gt;1,"n.a.",SUMIFS(TblPurchases[Purchase Date],TblPurchases[BatchID],TblOutcomes[[#This Row],[BatchID]]))</f>
        <v>45270</v>
      </c>
    </row>
    <row r="2052" spans="2:17" x14ac:dyDescent="0.25">
      <c r="B2052" s="2" t="s">
        <v>2857</v>
      </c>
      <c r="C2052" s="2" t="s">
        <v>250</v>
      </c>
      <c r="D2052" s="2" t="s">
        <v>237</v>
      </c>
      <c r="E2052" s="2" t="s">
        <v>4646</v>
      </c>
      <c r="F2052" s="2">
        <v>28</v>
      </c>
      <c r="G2052" s="2">
        <v>26.04</v>
      </c>
      <c r="H2052" s="2">
        <v>1.96</v>
      </c>
      <c r="I2052" s="1">
        <v>7</v>
      </c>
      <c r="J2052" s="26">
        <v>45467</v>
      </c>
      <c r="K2052" s="22">
        <v>221340</v>
      </c>
      <c r="L2052" s="18">
        <v>236.73</v>
      </c>
      <c r="M2052" s="22">
        <v>165200</v>
      </c>
      <c r="N2052" s="22">
        <v>56140</v>
      </c>
      <c r="O2052" s="18">
        <v>60.04</v>
      </c>
      <c r="P2052" s="52">
        <f>IF(COUNTIF(TblPurchases[BatchID],TblOutcomes[[#This Row],[BatchID]])&lt;&gt;1,"n.a.",TblOutcomes[[#This Row],[Qty Wasted]]*SUMIFS(TblPurchases[Unit Cost (CLP)],TblPurchases[BatchID],TblOutcomes[[#This Row],[BatchID]]))</f>
        <v>11564</v>
      </c>
      <c r="Q2052" s="51">
        <f>IF(COUNTIF(TblPurchases[BatchID],TblOutcomes[[#This Row],[BatchID]])&lt;&gt;1,"n.a.",SUMIFS(TblPurchases[Purchase Date],TblPurchases[BatchID],TblOutcomes[[#This Row],[BatchID]]))</f>
        <v>45287</v>
      </c>
    </row>
    <row r="2053" spans="2:17" x14ac:dyDescent="0.25">
      <c r="B2053" s="2" t="s">
        <v>2858</v>
      </c>
      <c r="C2053" s="2" t="s">
        <v>250</v>
      </c>
      <c r="D2053" s="2" t="s">
        <v>237</v>
      </c>
      <c r="E2053" s="2" t="s">
        <v>4646</v>
      </c>
      <c r="F2053" s="2">
        <v>23</v>
      </c>
      <c r="G2053" s="2">
        <v>20.98</v>
      </c>
      <c r="H2053" s="2">
        <v>2.02</v>
      </c>
      <c r="I2053" s="1">
        <v>8.8000000000000007</v>
      </c>
      <c r="J2053" s="26">
        <v>45486</v>
      </c>
      <c r="K2053" s="22">
        <v>178330</v>
      </c>
      <c r="L2053" s="18">
        <v>190.73</v>
      </c>
      <c r="M2053" s="22">
        <v>135700</v>
      </c>
      <c r="N2053" s="22">
        <v>42630</v>
      </c>
      <c r="O2053" s="18">
        <v>45.59</v>
      </c>
      <c r="P2053" s="52">
        <f>IF(COUNTIF(TblPurchases[BatchID],TblOutcomes[[#This Row],[BatchID]])&lt;&gt;1,"n.a.",TblOutcomes[[#This Row],[Qty Wasted]]*SUMIFS(TblPurchases[Unit Cost (CLP)],TblPurchases[BatchID],TblOutcomes[[#This Row],[BatchID]]))</f>
        <v>11918</v>
      </c>
      <c r="Q2053" s="51">
        <f>IF(COUNTIF(TblPurchases[BatchID],TblOutcomes[[#This Row],[BatchID]])&lt;&gt;1,"n.a.",SUMIFS(TblPurchases[Purchase Date],TblPurchases[BatchID],TblOutcomes[[#This Row],[BatchID]]))</f>
        <v>45306</v>
      </c>
    </row>
    <row r="2054" spans="2:17" x14ac:dyDescent="0.25">
      <c r="B2054" s="2" t="s">
        <v>2859</v>
      </c>
      <c r="C2054" s="2" t="s">
        <v>250</v>
      </c>
      <c r="D2054" s="2" t="s">
        <v>237</v>
      </c>
      <c r="E2054" s="2" t="s">
        <v>4647</v>
      </c>
      <c r="F2054" s="2">
        <v>18</v>
      </c>
      <c r="G2054" s="2">
        <v>18</v>
      </c>
      <c r="H2054" s="2">
        <v>0</v>
      </c>
      <c r="I2054" s="1">
        <v>0</v>
      </c>
      <c r="J2054" s="26">
        <v>45341</v>
      </c>
      <c r="K2054" s="22">
        <v>153000</v>
      </c>
      <c r="L2054" s="18">
        <v>163.63999999999999</v>
      </c>
      <c r="M2054" s="22">
        <v>106200</v>
      </c>
      <c r="N2054" s="22">
        <v>46800</v>
      </c>
      <c r="O2054" s="18">
        <v>50.05</v>
      </c>
      <c r="P2054" s="52">
        <f>IF(COUNTIF(TblPurchases[BatchID],TblOutcomes[[#This Row],[BatchID]])&lt;&gt;1,"n.a.",TblOutcomes[[#This Row],[Qty Wasted]]*SUMIFS(TblPurchases[Unit Cost (CLP)],TblPurchases[BatchID],TblOutcomes[[#This Row],[BatchID]]))</f>
        <v>0</v>
      </c>
      <c r="Q2054" s="51">
        <f>IF(COUNTIF(TblPurchases[BatchID],TblOutcomes[[#This Row],[BatchID]])&lt;&gt;1,"n.a.",SUMIFS(TblPurchases[Purchase Date],TblPurchases[BatchID],TblOutcomes[[#This Row],[BatchID]]))</f>
        <v>45329</v>
      </c>
    </row>
    <row r="2055" spans="2:17" x14ac:dyDescent="0.25">
      <c r="B2055" s="2" t="s">
        <v>2860</v>
      </c>
      <c r="C2055" s="2" t="s">
        <v>250</v>
      </c>
      <c r="D2055" s="2" t="s">
        <v>237</v>
      </c>
      <c r="E2055" s="2" t="s">
        <v>4646</v>
      </c>
      <c r="F2055" s="2">
        <v>21</v>
      </c>
      <c r="G2055" s="2">
        <v>19.05</v>
      </c>
      <c r="H2055" s="2">
        <v>1.95</v>
      </c>
      <c r="I2055" s="1">
        <v>9.3000000000000007</v>
      </c>
      <c r="J2055" s="26">
        <v>45529</v>
      </c>
      <c r="K2055" s="22">
        <v>161925</v>
      </c>
      <c r="L2055" s="18">
        <v>173.18</v>
      </c>
      <c r="M2055" s="22">
        <v>123900</v>
      </c>
      <c r="N2055" s="22">
        <v>38025</v>
      </c>
      <c r="O2055" s="18">
        <v>40.67</v>
      </c>
      <c r="P2055" s="52">
        <f>IF(COUNTIF(TblPurchases[BatchID],TblOutcomes[[#This Row],[BatchID]])&lt;&gt;1,"n.a.",TblOutcomes[[#This Row],[Qty Wasted]]*SUMIFS(TblPurchases[Unit Cost (CLP)],TblPurchases[BatchID],TblOutcomes[[#This Row],[BatchID]]))</f>
        <v>11505</v>
      </c>
      <c r="Q2055" s="51">
        <f>IF(COUNTIF(TblPurchases[BatchID],TblOutcomes[[#This Row],[BatchID]])&lt;&gt;1,"n.a.",SUMIFS(TblPurchases[Purchase Date],TblPurchases[BatchID],TblOutcomes[[#This Row],[BatchID]]))</f>
        <v>45349</v>
      </c>
    </row>
    <row r="2056" spans="2:17" x14ac:dyDescent="0.25">
      <c r="B2056" s="2" t="s">
        <v>2861</v>
      </c>
      <c r="C2056" s="2" t="s">
        <v>250</v>
      </c>
      <c r="D2056" s="2" t="s">
        <v>237</v>
      </c>
      <c r="E2056" s="2" t="s">
        <v>4647</v>
      </c>
      <c r="F2056" s="2">
        <v>18</v>
      </c>
      <c r="G2056" s="2">
        <v>18</v>
      </c>
      <c r="H2056" s="2">
        <v>0</v>
      </c>
      <c r="I2056" s="1">
        <v>0</v>
      </c>
      <c r="J2056" s="26">
        <v>45389</v>
      </c>
      <c r="K2056" s="22">
        <v>153000</v>
      </c>
      <c r="L2056" s="18">
        <v>163.63999999999999</v>
      </c>
      <c r="M2056" s="22">
        <v>106200</v>
      </c>
      <c r="N2056" s="22">
        <v>46800</v>
      </c>
      <c r="O2056" s="18">
        <v>50.05</v>
      </c>
      <c r="P2056" s="52">
        <f>IF(COUNTIF(TblPurchases[BatchID],TblOutcomes[[#This Row],[BatchID]])&lt;&gt;1,"n.a.",TblOutcomes[[#This Row],[Qty Wasted]]*SUMIFS(TblPurchases[Unit Cost (CLP)],TblPurchases[BatchID],TblOutcomes[[#This Row],[BatchID]]))</f>
        <v>0</v>
      </c>
      <c r="Q2056" s="51">
        <f>IF(COUNTIF(TblPurchases[BatchID],TblOutcomes[[#This Row],[BatchID]])&lt;&gt;1,"n.a.",SUMIFS(TblPurchases[Purchase Date],TblPurchases[BatchID],TblOutcomes[[#This Row],[BatchID]]))</f>
        <v>45375</v>
      </c>
    </row>
    <row r="2057" spans="2:17" x14ac:dyDescent="0.25">
      <c r="B2057" s="2" t="s">
        <v>2862</v>
      </c>
      <c r="C2057" s="2" t="s">
        <v>250</v>
      </c>
      <c r="D2057" s="2" t="s">
        <v>237</v>
      </c>
      <c r="E2057" s="2" t="s">
        <v>4647</v>
      </c>
      <c r="F2057" s="2">
        <v>19</v>
      </c>
      <c r="G2057" s="2">
        <v>19</v>
      </c>
      <c r="H2057" s="2">
        <v>0</v>
      </c>
      <c r="I2057" s="1">
        <v>0</v>
      </c>
      <c r="J2057" s="26">
        <v>45415</v>
      </c>
      <c r="K2057" s="22">
        <v>161500</v>
      </c>
      <c r="L2057" s="18">
        <v>172.73</v>
      </c>
      <c r="M2057" s="22">
        <v>112100</v>
      </c>
      <c r="N2057" s="22">
        <v>49400</v>
      </c>
      <c r="O2057" s="18">
        <v>52.83</v>
      </c>
      <c r="P2057" s="52">
        <f>IF(COUNTIF(TblPurchases[BatchID],TblOutcomes[[#This Row],[BatchID]])&lt;&gt;1,"n.a.",TblOutcomes[[#This Row],[Qty Wasted]]*SUMIFS(TblPurchases[Unit Cost (CLP)],TblPurchases[BatchID],TblOutcomes[[#This Row],[BatchID]]))</f>
        <v>0</v>
      </c>
      <c r="Q2057" s="51">
        <f>IF(COUNTIF(TblPurchases[BatchID],TblOutcomes[[#This Row],[BatchID]])&lt;&gt;1,"n.a.",SUMIFS(TblPurchases[Purchase Date],TblPurchases[BatchID],TblOutcomes[[#This Row],[BatchID]]))</f>
        <v>45394</v>
      </c>
    </row>
    <row r="2058" spans="2:17" x14ac:dyDescent="0.25">
      <c r="B2058" s="2" t="s">
        <v>2863</v>
      </c>
      <c r="C2058" s="2" t="s">
        <v>250</v>
      </c>
      <c r="D2058" s="2" t="s">
        <v>237</v>
      </c>
      <c r="E2058" s="2" t="s">
        <v>4647</v>
      </c>
      <c r="F2058" s="2">
        <v>19</v>
      </c>
      <c r="G2058" s="2">
        <v>19</v>
      </c>
      <c r="H2058" s="2">
        <v>0</v>
      </c>
      <c r="I2058" s="1">
        <v>0</v>
      </c>
      <c r="J2058" s="26">
        <v>45436</v>
      </c>
      <c r="K2058" s="22">
        <v>161500</v>
      </c>
      <c r="L2058" s="18">
        <v>172.73</v>
      </c>
      <c r="M2058" s="22">
        <v>112100</v>
      </c>
      <c r="N2058" s="22">
        <v>49400</v>
      </c>
      <c r="O2058" s="18">
        <v>52.83</v>
      </c>
      <c r="P2058" s="52">
        <f>IF(COUNTIF(TblPurchases[BatchID],TblOutcomes[[#This Row],[BatchID]])&lt;&gt;1,"n.a.",TblOutcomes[[#This Row],[Qty Wasted]]*SUMIFS(TblPurchases[Unit Cost (CLP)],TblPurchases[BatchID],TblOutcomes[[#This Row],[BatchID]]))</f>
        <v>0</v>
      </c>
      <c r="Q2058" s="51">
        <f>IF(COUNTIF(TblPurchases[BatchID],TblOutcomes[[#This Row],[BatchID]])&lt;&gt;1,"n.a.",SUMIFS(TblPurchases[Purchase Date],TblPurchases[BatchID],TblOutcomes[[#This Row],[BatchID]]))</f>
        <v>45413</v>
      </c>
    </row>
    <row r="2059" spans="2:17" x14ac:dyDescent="0.25">
      <c r="B2059" s="2" t="s">
        <v>2864</v>
      </c>
      <c r="C2059" s="2" t="s">
        <v>250</v>
      </c>
      <c r="D2059" s="2" t="s">
        <v>237</v>
      </c>
      <c r="E2059" s="2" t="s">
        <v>4647</v>
      </c>
      <c r="F2059" s="2">
        <v>17</v>
      </c>
      <c r="G2059" s="2">
        <v>17</v>
      </c>
      <c r="H2059" s="2">
        <v>0</v>
      </c>
      <c r="I2059" s="1">
        <v>0</v>
      </c>
      <c r="J2059" s="26">
        <v>45446</v>
      </c>
      <c r="K2059" s="22">
        <v>144500</v>
      </c>
      <c r="L2059" s="18">
        <v>154.55000000000001</v>
      </c>
      <c r="M2059" s="22">
        <v>100300</v>
      </c>
      <c r="N2059" s="22">
        <v>44200</v>
      </c>
      <c r="O2059" s="18">
        <v>47.27</v>
      </c>
      <c r="P2059" s="52">
        <f>IF(COUNTIF(TblPurchases[BatchID],TblOutcomes[[#This Row],[BatchID]])&lt;&gt;1,"n.a.",TblOutcomes[[#This Row],[Qty Wasted]]*SUMIFS(TblPurchases[Unit Cost (CLP)],TblPurchases[BatchID],TblOutcomes[[#This Row],[BatchID]]))</f>
        <v>0</v>
      </c>
      <c r="Q2059" s="51">
        <f>IF(COUNTIF(TblPurchases[BatchID],TblOutcomes[[#This Row],[BatchID]])&lt;&gt;1,"n.a.",SUMIFS(TblPurchases[Purchase Date],TblPurchases[BatchID],TblOutcomes[[#This Row],[BatchID]]))</f>
        <v>45437</v>
      </c>
    </row>
    <row r="2060" spans="2:17" x14ac:dyDescent="0.25">
      <c r="B2060" s="2" t="s">
        <v>2865</v>
      </c>
      <c r="C2060" s="2" t="s">
        <v>250</v>
      </c>
      <c r="D2060" s="2" t="s">
        <v>237</v>
      </c>
      <c r="E2060" s="2" t="s">
        <v>4647</v>
      </c>
      <c r="F2060" s="2">
        <v>23</v>
      </c>
      <c r="G2060" s="2">
        <v>23</v>
      </c>
      <c r="H2060" s="2">
        <v>0</v>
      </c>
      <c r="I2060" s="1">
        <v>0</v>
      </c>
      <c r="J2060" s="26">
        <v>45470</v>
      </c>
      <c r="K2060" s="22">
        <v>195500</v>
      </c>
      <c r="L2060" s="18">
        <v>209.09</v>
      </c>
      <c r="M2060" s="22">
        <v>135700</v>
      </c>
      <c r="N2060" s="22">
        <v>59800</v>
      </c>
      <c r="O2060" s="18">
        <v>63.96</v>
      </c>
      <c r="P2060" s="52">
        <f>IF(COUNTIF(TblPurchases[BatchID],TblOutcomes[[#This Row],[BatchID]])&lt;&gt;1,"n.a.",TblOutcomes[[#This Row],[Qty Wasted]]*SUMIFS(TblPurchases[Unit Cost (CLP)],TblPurchases[BatchID],TblOutcomes[[#This Row],[BatchID]]))</f>
        <v>0</v>
      </c>
      <c r="Q2060" s="51">
        <f>IF(COUNTIF(TblPurchases[BatchID],TblOutcomes[[#This Row],[BatchID]])&lt;&gt;1,"n.a.",SUMIFS(TblPurchases[Purchase Date],TblPurchases[BatchID],TblOutcomes[[#This Row],[BatchID]]))</f>
        <v>45456</v>
      </c>
    </row>
    <row r="2061" spans="2:17" x14ac:dyDescent="0.25">
      <c r="B2061" s="2" t="s">
        <v>2866</v>
      </c>
      <c r="C2061" s="2" t="s">
        <v>250</v>
      </c>
      <c r="D2061" s="2" t="s">
        <v>237</v>
      </c>
      <c r="E2061" s="2" t="s">
        <v>4647</v>
      </c>
      <c r="F2061" s="2">
        <v>20</v>
      </c>
      <c r="G2061" s="2">
        <v>20</v>
      </c>
      <c r="H2061" s="2">
        <v>0</v>
      </c>
      <c r="I2061" s="1">
        <v>0</v>
      </c>
      <c r="J2061" s="26">
        <v>45494</v>
      </c>
      <c r="K2061" s="22">
        <v>170000</v>
      </c>
      <c r="L2061" s="18">
        <v>181.82</v>
      </c>
      <c r="M2061" s="22">
        <v>118000</v>
      </c>
      <c r="N2061" s="22">
        <v>52000</v>
      </c>
      <c r="O2061" s="18">
        <v>55.61</v>
      </c>
      <c r="P2061" s="52">
        <f>IF(COUNTIF(TblPurchases[BatchID],TblOutcomes[[#This Row],[BatchID]])&lt;&gt;1,"n.a.",TblOutcomes[[#This Row],[Qty Wasted]]*SUMIFS(TblPurchases[Unit Cost (CLP)],TblPurchases[BatchID],TblOutcomes[[#This Row],[BatchID]]))</f>
        <v>0</v>
      </c>
      <c r="Q2061" s="51">
        <f>IF(COUNTIF(TblPurchases[BatchID],TblOutcomes[[#This Row],[BatchID]])&lt;&gt;1,"n.a.",SUMIFS(TblPurchases[Purchase Date],TblPurchases[BatchID],TblOutcomes[[#This Row],[BatchID]]))</f>
        <v>45475</v>
      </c>
    </row>
    <row r="2062" spans="2:17" x14ac:dyDescent="0.25">
      <c r="B2062" s="2" t="s">
        <v>2867</v>
      </c>
      <c r="C2062" s="2" t="s">
        <v>250</v>
      </c>
      <c r="D2062" s="2" t="s">
        <v>237</v>
      </c>
      <c r="E2062" s="2" t="s">
        <v>4647</v>
      </c>
      <c r="F2062" s="2">
        <v>22</v>
      </c>
      <c r="G2062" s="2">
        <v>22</v>
      </c>
      <c r="H2062" s="2">
        <v>0</v>
      </c>
      <c r="I2062" s="1">
        <v>0</v>
      </c>
      <c r="J2062" s="26">
        <v>45517</v>
      </c>
      <c r="K2062" s="22">
        <v>187000</v>
      </c>
      <c r="L2062" s="18">
        <v>200</v>
      </c>
      <c r="M2062" s="22">
        <v>129800</v>
      </c>
      <c r="N2062" s="22">
        <v>57200</v>
      </c>
      <c r="O2062" s="18">
        <v>61.18</v>
      </c>
      <c r="P2062" s="52">
        <f>IF(COUNTIF(TblPurchases[BatchID],TblOutcomes[[#This Row],[BatchID]])&lt;&gt;1,"n.a.",TblOutcomes[[#This Row],[Qty Wasted]]*SUMIFS(TblPurchases[Unit Cost (CLP)],TblPurchases[BatchID],TblOutcomes[[#This Row],[BatchID]]))</f>
        <v>0</v>
      </c>
      <c r="Q2062" s="51">
        <f>IF(COUNTIF(TblPurchases[BatchID],TblOutcomes[[#This Row],[BatchID]])&lt;&gt;1,"n.a.",SUMIFS(TblPurchases[Purchase Date],TblPurchases[BatchID],TblOutcomes[[#This Row],[BatchID]]))</f>
        <v>45496</v>
      </c>
    </row>
    <row r="2063" spans="2:17" x14ac:dyDescent="0.25">
      <c r="B2063" s="2" t="s">
        <v>2868</v>
      </c>
      <c r="C2063" s="2" t="s">
        <v>250</v>
      </c>
      <c r="D2063" s="2" t="s">
        <v>237</v>
      </c>
      <c r="E2063" s="2" t="s">
        <v>4647</v>
      </c>
      <c r="F2063" s="2">
        <v>18</v>
      </c>
      <c r="G2063" s="2">
        <v>18</v>
      </c>
      <c r="H2063" s="2">
        <v>0</v>
      </c>
      <c r="I2063" s="1">
        <v>0</v>
      </c>
      <c r="J2063" s="26">
        <v>45534</v>
      </c>
      <c r="K2063" s="22">
        <v>153000</v>
      </c>
      <c r="L2063" s="18">
        <v>163.63999999999999</v>
      </c>
      <c r="M2063" s="22">
        <v>106200</v>
      </c>
      <c r="N2063" s="22">
        <v>46800</v>
      </c>
      <c r="O2063" s="18">
        <v>50.05</v>
      </c>
      <c r="P2063" s="52">
        <f>IF(COUNTIF(TblPurchases[BatchID],TblOutcomes[[#This Row],[BatchID]])&lt;&gt;1,"n.a.",TblOutcomes[[#This Row],[Qty Wasted]]*SUMIFS(TblPurchases[Unit Cost (CLP)],TblPurchases[BatchID],TblOutcomes[[#This Row],[BatchID]]))</f>
        <v>0</v>
      </c>
      <c r="Q2063" s="51">
        <f>IF(COUNTIF(TblPurchases[BatchID],TblOutcomes[[#This Row],[BatchID]])&lt;&gt;1,"n.a.",SUMIFS(TblPurchases[Purchase Date],TblPurchases[BatchID],TblOutcomes[[#This Row],[BatchID]]))</f>
        <v>45520</v>
      </c>
    </row>
    <row r="2064" spans="2:17" x14ac:dyDescent="0.25">
      <c r="B2064" s="2" t="s">
        <v>2869</v>
      </c>
      <c r="C2064" s="2" t="s">
        <v>250</v>
      </c>
      <c r="D2064" s="2" t="s">
        <v>237</v>
      </c>
      <c r="E2064" s="2" t="s">
        <v>4646</v>
      </c>
      <c r="F2064" s="2">
        <v>28</v>
      </c>
      <c r="G2064" s="2">
        <v>27.16</v>
      </c>
      <c r="H2064" s="2">
        <v>0.84</v>
      </c>
      <c r="I2064" s="1">
        <v>3</v>
      </c>
      <c r="J2064" s="26">
        <v>45724</v>
      </c>
      <c r="K2064" s="22">
        <v>230860</v>
      </c>
      <c r="L2064" s="18">
        <v>246.91</v>
      </c>
      <c r="M2064" s="22">
        <v>165200</v>
      </c>
      <c r="N2064" s="22">
        <v>65660</v>
      </c>
      <c r="O2064" s="18">
        <v>70.22</v>
      </c>
      <c r="P2064" s="52">
        <f>IF(COUNTIF(TblPurchases[BatchID],TblOutcomes[[#This Row],[BatchID]])&lt;&gt;1,"n.a.",TblOutcomes[[#This Row],[Qty Wasted]]*SUMIFS(TblPurchases[Unit Cost (CLP)],TblPurchases[BatchID],TblOutcomes[[#This Row],[BatchID]]))</f>
        <v>4956</v>
      </c>
      <c r="Q2064" s="51">
        <f>IF(COUNTIF(TblPurchases[BatchID],TblOutcomes[[#This Row],[BatchID]])&lt;&gt;1,"n.a.",SUMIFS(TblPurchases[Purchase Date],TblPurchases[BatchID],TblOutcomes[[#This Row],[BatchID]]))</f>
        <v>45544</v>
      </c>
    </row>
    <row r="2065" spans="2:17" x14ac:dyDescent="0.25">
      <c r="B2065" s="2" t="s">
        <v>2870</v>
      </c>
      <c r="C2065" s="2" t="s">
        <v>250</v>
      </c>
      <c r="D2065" s="2" t="s">
        <v>237</v>
      </c>
      <c r="E2065" s="2" t="s">
        <v>4646</v>
      </c>
      <c r="F2065" s="2">
        <v>19</v>
      </c>
      <c r="G2065" s="2">
        <v>18.600000000000001</v>
      </c>
      <c r="H2065" s="2">
        <v>0.4</v>
      </c>
      <c r="I2065" s="1">
        <v>2.1</v>
      </c>
      <c r="J2065" s="26">
        <v>45746</v>
      </c>
      <c r="K2065" s="22">
        <v>158100</v>
      </c>
      <c r="L2065" s="18">
        <v>169.09</v>
      </c>
      <c r="M2065" s="22">
        <v>112100</v>
      </c>
      <c r="N2065" s="22">
        <v>46000</v>
      </c>
      <c r="O2065" s="18">
        <v>49.2</v>
      </c>
      <c r="P2065" s="52">
        <f>IF(COUNTIF(TblPurchases[BatchID],TblOutcomes[[#This Row],[BatchID]])&lt;&gt;1,"n.a.",TblOutcomes[[#This Row],[Qty Wasted]]*SUMIFS(TblPurchases[Unit Cost (CLP)],TblPurchases[BatchID],TblOutcomes[[#This Row],[BatchID]]))</f>
        <v>2360</v>
      </c>
      <c r="Q2065" s="51">
        <f>IF(COUNTIF(TblPurchases[BatchID],TblOutcomes[[#This Row],[BatchID]])&lt;&gt;1,"n.a.",SUMIFS(TblPurchases[Purchase Date],TblPurchases[BatchID],TblOutcomes[[#This Row],[BatchID]]))</f>
        <v>45566</v>
      </c>
    </row>
    <row r="2066" spans="2:17" x14ac:dyDescent="0.25">
      <c r="B2066" s="2" t="s">
        <v>2871</v>
      </c>
      <c r="C2066" s="2" t="s">
        <v>250</v>
      </c>
      <c r="D2066" s="2" t="s">
        <v>237</v>
      </c>
      <c r="E2066" s="2" t="s">
        <v>4647</v>
      </c>
      <c r="F2066" s="2">
        <v>19</v>
      </c>
      <c r="G2066" s="2">
        <v>19</v>
      </c>
      <c r="H2066" s="2">
        <v>0</v>
      </c>
      <c r="I2066" s="1">
        <v>0</v>
      </c>
      <c r="J2066" s="26">
        <v>45607</v>
      </c>
      <c r="K2066" s="22">
        <v>161500</v>
      </c>
      <c r="L2066" s="18">
        <v>172.73</v>
      </c>
      <c r="M2066" s="22">
        <v>112100</v>
      </c>
      <c r="N2066" s="22">
        <v>49400</v>
      </c>
      <c r="O2066" s="18">
        <v>52.83</v>
      </c>
      <c r="P2066" s="52">
        <f>IF(COUNTIF(TblPurchases[BatchID],TblOutcomes[[#This Row],[BatchID]])&lt;&gt;1,"n.a.",TblOutcomes[[#This Row],[Qty Wasted]]*SUMIFS(TblPurchases[Unit Cost (CLP)],TblPurchases[BatchID],TblOutcomes[[#This Row],[BatchID]]))</f>
        <v>0</v>
      </c>
      <c r="Q2066" s="51">
        <f>IF(COUNTIF(TblPurchases[BatchID],TblOutcomes[[#This Row],[BatchID]])&lt;&gt;1,"n.a.",SUMIFS(TblPurchases[Purchase Date],TblPurchases[BatchID],TblOutcomes[[#This Row],[BatchID]]))</f>
        <v>45582</v>
      </c>
    </row>
    <row r="2067" spans="2:17" x14ac:dyDescent="0.25">
      <c r="B2067" s="2" t="s">
        <v>2872</v>
      </c>
      <c r="C2067" s="2" t="s">
        <v>250</v>
      </c>
      <c r="D2067" s="2" t="s">
        <v>237</v>
      </c>
      <c r="E2067" s="2" t="s">
        <v>4647</v>
      </c>
      <c r="F2067" s="2">
        <v>19</v>
      </c>
      <c r="G2067" s="2">
        <v>19</v>
      </c>
      <c r="H2067" s="2">
        <v>0</v>
      </c>
      <c r="I2067" s="1">
        <v>0</v>
      </c>
      <c r="J2067" s="26">
        <v>45615</v>
      </c>
      <c r="K2067" s="22">
        <v>161500</v>
      </c>
      <c r="L2067" s="18">
        <v>172.73</v>
      </c>
      <c r="M2067" s="22">
        <v>112100</v>
      </c>
      <c r="N2067" s="22">
        <v>49400</v>
      </c>
      <c r="O2067" s="18">
        <v>52.83</v>
      </c>
      <c r="P2067" s="52">
        <f>IF(COUNTIF(TblPurchases[BatchID],TblOutcomes[[#This Row],[BatchID]])&lt;&gt;1,"n.a.",TblOutcomes[[#This Row],[Qty Wasted]]*SUMIFS(TblPurchases[Unit Cost (CLP)],TblPurchases[BatchID],TblOutcomes[[#This Row],[BatchID]]))</f>
        <v>0</v>
      </c>
      <c r="Q2067" s="51">
        <f>IF(COUNTIF(TblPurchases[BatchID],TblOutcomes[[#This Row],[BatchID]])&lt;&gt;1,"n.a.",SUMIFS(TblPurchases[Purchase Date],TblPurchases[BatchID],TblOutcomes[[#This Row],[BatchID]]))</f>
        <v>45594</v>
      </c>
    </row>
    <row r="2068" spans="2:17" x14ac:dyDescent="0.25">
      <c r="B2068" s="2" t="s">
        <v>2873</v>
      </c>
      <c r="C2068" s="2" t="s">
        <v>250</v>
      </c>
      <c r="D2068" s="2" t="s">
        <v>237</v>
      </c>
      <c r="E2068" s="2" t="s">
        <v>4646</v>
      </c>
      <c r="F2068" s="2">
        <v>23</v>
      </c>
      <c r="G2068" s="2">
        <v>20.98</v>
      </c>
      <c r="H2068" s="2">
        <v>2.02</v>
      </c>
      <c r="I2068" s="1">
        <v>8.8000000000000007</v>
      </c>
      <c r="J2068" s="26">
        <v>45801</v>
      </c>
      <c r="K2068" s="22">
        <v>178330</v>
      </c>
      <c r="L2068" s="18">
        <v>190.73</v>
      </c>
      <c r="M2068" s="22">
        <v>135700</v>
      </c>
      <c r="N2068" s="22">
        <v>42630</v>
      </c>
      <c r="O2068" s="18">
        <v>45.59</v>
      </c>
      <c r="P2068" s="52">
        <f>IF(COUNTIF(TblPurchases[BatchID],TblOutcomes[[#This Row],[BatchID]])&lt;&gt;1,"n.a.",TblOutcomes[[#This Row],[Qty Wasted]]*SUMIFS(TblPurchases[Unit Cost (CLP)],TblPurchases[BatchID],TblOutcomes[[#This Row],[BatchID]]))</f>
        <v>11918</v>
      </c>
      <c r="Q2068" s="51">
        <f>IF(COUNTIF(TblPurchases[BatchID],TblOutcomes[[#This Row],[BatchID]])&lt;&gt;1,"n.a.",SUMIFS(TblPurchases[Purchase Date],TblPurchases[BatchID],TblOutcomes[[#This Row],[BatchID]]))</f>
        <v>45621</v>
      </c>
    </row>
    <row r="2069" spans="2:17" x14ac:dyDescent="0.25">
      <c r="B2069" s="2" t="s">
        <v>2874</v>
      </c>
      <c r="C2069" s="2" t="s">
        <v>250</v>
      </c>
      <c r="D2069" s="2" t="s">
        <v>237</v>
      </c>
      <c r="E2069" s="2" t="s">
        <v>4647</v>
      </c>
      <c r="F2069" s="2">
        <v>28</v>
      </c>
      <c r="G2069" s="2">
        <v>28</v>
      </c>
      <c r="H2069" s="2">
        <v>0</v>
      </c>
      <c r="I2069" s="1">
        <v>0</v>
      </c>
      <c r="J2069" s="26">
        <v>45644</v>
      </c>
      <c r="K2069" s="22">
        <v>238000</v>
      </c>
      <c r="L2069" s="18">
        <v>254.55</v>
      </c>
      <c r="M2069" s="22">
        <v>165200</v>
      </c>
      <c r="N2069" s="22">
        <v>72800</v>
      </c>
      <c r="O2069" s="18">
        <v>77.86</v>
      </c>
      <c r="P2069" s="52">
        <f>IF(COUNTIF(TblPurchases[BatchID],TblOutcomes[[#This Row],[BatchID]])&lt;&gt;1,"n.a.",TblOutcomes[[#This Row],[Qty Wasted]]*SUMIFS(TblPurchases[Unit Cost (CLP)],TblPurchases[BatchID],TblOutcomes[[#This Row],[BatchID]]))</f>
        <v>0</v>
      </c>
      <c r="Q2069" s="51">
        <f>IF(COUNTIF(TblPurchases[BatchID],TblOutcomes[[#This Row],[BatchID]])&lt;&gt;1,"n.a.",SUMIFS(TblPurchases[Purchase Date],TblPurchases[BatchID],TblOutcomes[[#This Row],[BatchID]]))</f>
        <v>45641</v>
      </c>
    </row>
    <row r="2070" spans="2:17" x14ac:dyDescent="0.25">
      <c r="B2070" s="2" t="s">
        <v>2875</v>
      </c>
      <c r="C2070" s="2" t="s">
        <v>250</v>
      </c>
      <c r="D2070" s="2" t="s">
        <v>237</v>
      </c>
      <c r="E2070" s="2" t="s">
        <v>4646</v>
      </c>
      <c r="F2070" s="2">
        <v>21</v>
      </c>
      <c r="G2070" s="2">
        <v>19.09</v>
      </c>
      <c r="H2070" s="2">
        <v>1.91</v>
      </c>
      <c r="I2070" s="1">
        <v>9.1</v>
      </c>
      <c r="J2070" s="26">
        <v>45849</v>
      </c>
      <c r="K2070" s="22">
        <v>162265</v>
      </c>
      <c r="L2070" s="18">
        <v>173.55</v>
      </c>
      <c r="M2070" s="22">
        <v>123900</v>
      </c>
      <c r="N2070" s="22">
        <v>38365</v>
      </c>
      <c r="O2070" s="18">
        <v>41.03</v>
      </c>
      <c r="P2070" s="52">
        <f>IF(COUNTIF(TblPurchases[BatchID],TblOutcomes[[#This Row],[BatchID]])&lt;&gt;1,"n.a.",TblOutcomes[[#This Row],[Qty Wasted]]*SUMIFS(TblPurchases[Unit Cost (CLP)],TblPurchases[BatchID],TblOutcomes[[#This Row],[BatchID]]))</f>
        <v>11269</v>
      </c>
      <c r="Q2070" s="51">
        <f>IF(COUNTIF(TblPurchases[BatchID],TblOutcomes[[#This Row],[BatchID]])&lt;&gt;1,"n.a.",SUMIFS(TblPurchases[Purchase Date],TblPurchases[BatchID],TblOutcomes[[#This Row],[BatchID]]))</f>
        <v>45669</v>
      </c>
    </row>
    <row r="2071" spans="2:17" x14ac:dyDescent="0.25">
      <c r="B2071" s="2" t="s">
        <v>2876</v>
      </c>
      <c r="C2071" s="2" t="s">
        <v>250</v>
      </c>
      <c r="D2071" s="2" t="s">
        <v>237</v>
      </c>
      <c r="E2071" s="2" t="s">
        <v>4647</v>
      </c>
      <c r="F2071" s="2">
        <v>20</v>
      </c>
      <c r="G2071" s="2">
        <v>20</v>
      </c>
      <c r="H2071" s="2">
        <v>0</v>
      </c>
      <c r="I2071" s="1">
        <v>0</v>
      </c>
      <c r="J2071" s="26">
        <v>45696</v>
      </c>
      <c r="K2071" s="22">
        <v>170000</v>
      </c>
      <c r="L2071" s="18">
        <v>181.82</v>
      </c>
      <c r="M2071" s="22">
        <v>118000</v>
      </c>
      <c r="N2071" s="22">
        <v>52000</v>
      </c>
      <c r="O2071" s="18">
        <v>55.61</v>
      </c>
      <c r="P2071" s="52">
        <f>IF(COUNTIF(TblPurchases[BatchID],TblOutcomes[[#This Row],[BatchID]])&lt;&gt;1,"n.a.",TblOutcomes[[#This Row],[Qty Wasted]]*SUMIFS(TblPurchases[Unit Cost (CLP)],TblPurchases[BatchID],TblOutcomes[[#This Row],[BatchID]]))</f>
        <v>0</v>
      </c>
      <c r="Q2071" s="51">
        <f>IF(COUNTIF(TblPurchases[BatchID],TblOutcomes[[#This Row],[BatchID]])&lt;&gt;1,"n.a.",SUMIFS(TblPurchases[Purchase Date],TblPurchases[BatchID],TblOutcomes[[#This Row],[BatchID]]))</f>
        <v>45684</v>
      </c>
    </row>
    <row r="2072" spans="2:17" x14ac:dyDescent="0.25">
      <c r="B2072" s="2" t="s">
        <v>2877</v>
      </c>
      <c r="C2072" s="2" t="s">
        <v>250</v>
      </c>
      <c r="D2072" s="2" t="s">
        <v>237</v>
      </c>
      <c r="E2072" s="2" t="s">
        <v>4646</v>
      </c>
      <c r="F2072" s="2">
        <v>19</v>
      </c>
      <c r="G2072" s="2">
        <v>17.52</v>
      </c>
      <c r="H2072" s="2">
        <v>1.48</v>
      </c>
      <c r="I2072" s="1">
        <v>7.8</v>
      </c>
      <c r="J2072" s="26">
        <v>45883</v>
      </c>
      <c r="K2072" s="22">
        <v>148920</v>
      </c>
      <c r="L2072" s="18">
        <v>159.27000000000001</v>
      </c>
      <c r="M2072" s="22">
        <v>112100</v>
      </c>
      <c r="N2072" s="22">
        <v>36820</v>
      </c>
      <c r="O2072" s="18">
        <v>39.380000000000003</v>
      </c>
      <c r="P2072" s="52">
        <f>IF(COUNTIF(TblPurchases[BatchID],TblOutcomes[[#This Row],[BatchID]])&lt;&gt;1,"n.a.",TblOutcomes[[#This Row],[Qty Wasted]]*SUMIFS(TblPurchases[Unit Cost (CLP)],TblPurchases[BatchID],TblOutcomes[[#This Row],[BatchID]]))</f>
        <v>8732</v>
      </c>
      <c r="Q2072" s="51">
        <f>IF(COUNTIF(TblPurchases[BatchID],TblOutcomes[[#This Row],[BatchID]])&lt;&gt;1,"n.a.",SUMIFS(TblPurchases[Purchase Date],TblPurchases[BatchID],TblOutcomes[[#This Row],[BatchID]]))</f>
        <v>45703</v>
      </c>
    </row>
    <row r="2073" spans="2:17" x14ac:dyDescent="0.25">
      <c r="B2073" s="2" t="s">
        <v>2878</v>
      </c>
      <c r="C2073" s="2" t="s">
        <v>250</v>
      </c>
      <c r="D2073" s="2" t="s">
        <v>237</v>
      </c>
      <c r="E2073" s="2" t="s">
        <v>4647</v>
      </c>
      <c r="F2073" s="2">
        <v>23</v>
      </c>
      <c r="G2073" s="2">
        <v>23</v>
      </c>
      <c r="H2073" s="2">
        <v>0</v>
      </c>
      <c r="I2073" s="1">
        <v>0</v>
      </c>
      <c r="J2073" s="26">
        <v>45744</v>
      </c>
      <c r="K2073" s="22">
        <v>195500</v>
      </c>
      <c r="L2073" s="18">
        <v>209.09</v>
      </c>
      <c r="M2073" s="22">
        <v>135700</v>
      </c>
      <c r="N2073" s="22">
        <v>59800</v>
      </c>
      <c r="O2073" s="18">
        <v>63.96</v>
      </c>
      <c r="P2073" s="52">
        <f>IF(COUNTIF(TblPurchases[BatchID],TblOutcomes[[#This Row],[BatchID]])&lt;&gt;1,"n.a.",TblOutcomes[[#This Row],[Qty Wasted]]*SUMIFS(TblPurchases[Unit Cost (CLP)],TblPurchases[BatchID],TblOutcomes[[#This Row],[BatchID]]))</f>
        <v>0</v>
      </c>
      <c r="Q2073" s="51">
        <f>IF(COUNTIF(TblPurchases[BatchID],TblOutcomes[[#This Row],[BatchID]])&lt;&gt;1,"n.a.",SUMIFS(TblPurchases[Purchase Date],TblPurchases[BatchID],TblOutcomes[[#This Row],[BatchID]]))</f>
        <v>45724</v>
      </c>
    </row>
    <row r="2074" spans="2:17" x14ac:dyDescent="0.25">
      <c r="B2074" s="2" t="s">
        <v>2879</v>
      </c>
      <c r="C2074" s="2" t="s">
        <v>250</v>
      </c>
      <c r="D2074" s="2" t="s">
        <v>237</v>
      </c>
      <c r="E2074" s="2" t="s">
        <v>4646</v>
      </c>
      <c r="F2074" s="2">
        <v>24</v>
      </c>
      <c r="G2074" s="2">
        <v>21.62</v>
      </c>
      <c r="H2074" s="2">
        <v>2.38</v>
      </c>
      <c r="I2074" s="1">
        <v>9.9</v>
      </c>
      <c r="J2074" s="26">
        <v>45929</v>
      </c>
      <c r="K2074" s="22">
        <v>183770</v>
      </c>
      <c r="L2074" s="18">
        <v>196.55</v>
      </c>
      <c r="M2074" s="22">
        <v>141600</v>
      </c>
      <c r="N2074" s="22">
        <v>42170</v>
      </c>
      <c r="O2074" s="18">
        <v>45.1</v>
      </c>
      <c r="P2074" s="52">
        <f>IF(COUNTIF(TblPurchases[BatchID],TblOutcomes[[#This Row],[BatchID]])&lt;&gt;1,"n.a.",TblOutcomes[[#This Row],[Qty Wasted]]*SUMIFS(TblPurchases[Unit Cost (CLP)],TblPurchases[BatchID],TblOutcomes[[#This Row],[BatchID]]))</f>
        <v>14042</v>
      </c>
      <c r="Q2074" s="51">
        <f>IF(COUNTIF(TblPurchases[BatchID],TblOutcomes[[#This Row],[BatchID]])&lt;&gt;1,"n.a.",SUMIFS(TblPurchases[Purchase Date],TblPurchases[BatchID],TblOutcomes[[#This Row],[BatchID]]))</f>
        <v>45749</v>
      </c>
    </row>
    <row r="2075" spans="2:17" x14ac:dyDescent="0.25">
      <c r="B2075" s="2" t="s">
        <v>2880</v>
      </c>
      <c r="C2075" s="2" t="s">
        <v>250</v>
      </c>
      <c r="D2075" s="2" t="s">
        <v>237</v>
      </c>
      <c r="E2075" s="2" t="s">
        <v>4647</v>
      </c>
      <c r="F2075" s="2">
        <v>19</v>
      </c>
      <c r="G2075" s="2">
        <v>19</v>
      </c>
      <c r="H2075" s="2">
        <v>0</v>
      </c>
      <c r="I2075" s="1">
        <v>0</v>
      </c>
      <c r="J2075" s="26">
        <v>45774</v>
      </c>
      <c r="K2075" s="22">
        <v>161500</v>
      </c>
      <c r="L2075" s="18">
        <v>172.73</v>
      </c>
      <c r="M2075" s="22">
        <v>112100</v>
      </c>
      <c r="N2075" s="22">
        <v>49400</v>
      </c>
      <c r="O2075" s="18">
        <v>52.83</v>
      </c>
      <c r="P2075" s="52">
        <f>IF(COUNTIF(TblPurchases[BatchID],TblOutcomes[[#This Row],[BatchID]])&lt;&gt;1,"n.a.",TblOutcomes[[#This Row],[Qty Wasted]]*SUMIFS(TblPurchases[Unit Cost (CLP)],TblPurchases[BatchID],TblOutcomes[[#This Row],[BatchID]]))</f>
        <v>0</v>
      </c>
      <c r="Q2075" s="51">
        <f>IF(COUNTIF(TblPurchases[BatchID],TblOutcomes[[#This Row],[BatchID]])&lt;&gt;1,"n.a.",SUMIFS(TblPurchases[Purchase Date],TblPurchases[BatchID],TblOutcomes[[#This Row],[BatchID]]))</f>
        <v>45762</v>
      </c>
    </row>
    <row r="2076" spans="2:17" x14ac:dyDescent="0.25">
      <c r="B2076" s="2" t="s">
        <v>2881</v>
      </c>
      <c r="C2076" s="2" t="s">
        <v>250</v>
      </c>
      <c r="D2076" s="2" t="s">
        <v>237</v>
      </c>
      <c r="E2076" s="2" t="s">
        <v>4646</v>
      </c>
      <c r="F2076" s="2">
        <v>23</v>
      </c>
      <c r="G2076" s="2">
        <v>22.84</v>
      </c>
      <c r="H2076" s="2">
        <v>0.16</v>
      </c>
      <c r="I2076" s="1">
        <v>0.7</v>
      </c>
      <c r="J2076" s="26">
        <v>45965</v>
      </c>
      <c r="K2076" s="22">
        <v>194140</v>
      </c>
      <c r="L2076" s="18">
        <v>207.64</v>
      </c>
      <c r="M2076" s="22">
        <v>135700</v>
      </c>
      <c r="N2076" s="22">
        <v>58440</v>
      </c>
      <c r="O2076" s="18">
        <v>62.5</v>
      </c>
      <c r="P2076" s="52">
        <f>IF(COUNTIF(TblPurchases[BatchID],TblOutcomes[[#This Row],[BatchID]])&lt;&gt;1,"n.a.",TblOutcomes[[#This Row],[Qty Wasted]]*SUMIFS(TblPurchases[Unit Cost (CLP)],TblPurchases[BatchID],TblOutcomes[[#This Row],[BatchID]]))</f>
        <v>944</v>
      </c>
      <c r="Q2076" s="51">
        <f>IF(COUNTIF(TblPurchases[BatchID],TblOutcomes[[#This Row],[BatchID]])&lt;&gt;1,"n.a.",SUMIFS(TblPurchases[Purchase Date],TblPurchases[BatchID],TblOutcomes[[#This Row],[BatchID]]))</f>
        <v>45785</v>
      </c>
    </row>
    <row r="2077" spans="2:17" x14ac:dyDescent="0.25">
      <c r="B2077" s="2" t="s">
        <v>2882</v>
      </c>
      <c r="C2077" s="2" t="s">
        <v>250</v>
      </c>
      <c r="D2077" s="2" t="s">
        <v>237</v>
      </c>
      <c r="E2077" s="2" t="s">
        <v>4647</v>
      </c>
      <c r="F2077" s="2">
        <v>21</v>
      </c>
      <c r="G2077" s="2">
        <v>21</v>
      </c>
      <c r="H2077" s="2">
        <v>0</v>
      </c>
      <c r="I2077" s="1">
        <v>0</v>
      </c>
      <c r="J2077" s="26">
        <v>45821</v>
      </c>
      <c r="K2077" s="22">
        <v>178500</v>
      </c>
      <c r="L2077" s="18">
        <v>190.91</v>
      </c>
      <c r="M2077" s="22">
        <v>123900</v>
      </c>
      <c r="N2077" s="22">
        <v>54600</v>
      </c>
      <c r="O2077" s="18">
        <v>58.4</v>
      </c>
      <c r="P2077" s="52">
        <f>IF(COUNTIF(TblPurchases[BatchID],TblOutcomes[[#This Row],[BatchID]])&lt;&gt;1,"n.a.",TblOutcomes[[#This Row],[Qty Wasted]]*SUMIFS(TblPurchases[Unit Cost (CLP)],TblPurchases[BatchID],TblOutcomes[[#This Row],[BatchID]]))</f>
        <v>0</v>
      </c>
      <c r="Q2077" s="51">
        <f>IF(COUNTIF(TblPurchases[BatchID],TblOutcomes[[#This Row],[BatchID]])&lt;&gt;1,"n.a.",SUMIFS(TblPurchases[Purchase Date],TblPurchases[BatchID],TblOutcomes[[#This Row],[BatchID]]))</f>
        <v>45802</v>
      </c>
    </row>
    <row r="2078" spans="2:17" x14ac:dyDescent="0.25">
      <c r="B2078" s="2" t="s">
        <v>2883</v>
      </c>
      <c r="C2078" s="2" t="s">
        <v>250</v>
      </c>
      <c r="D2078" s="2" t="s">
        <v>237</v>
      </c>
      <c r="E2078" s="2" t="s">
        <v>4647</v>
      </c>
      <c r="F2078" s="2">
        <v>21</v>
      </c>
      <c r="G2078" s="2">
        <v>21</v>
      </c>
      <c r="H2078" s="2">
        <v>0</v>
      </c>
      <c r="I2078" s="1">
        <v>0</v>
      </c>
      <c r="J2078" s="26">
        <v>45834</v>
      </c>
      <c r="K2078" s="22">
        <v>178500</v>
      </c>
      <c r="L2078" s="18">
        <v>190.91</v>
      </c>
      <c r="M2078" s="22">
        <v>123900</v>
      </c>
      <c r="N2078" s="22">
        <v>54600</v>
      </c>
      <c r="O2078" s="18">
        <v>58.4</v>
      </c>
      <c r="P2078" s="52">
        <f>IF(COUNTIF(TblPurchases[BatchID],TblOutcomes[[#This Row],[BatchID]])&lt;&gt;1,"n.a.",TblOutcomes[[#This Row],[Qty Wasted]]*SUMIFS(TblPurchases[Unit Cost (CLP)],TblPurchases[BatchID],TblOutcomes[[#This Row],[BatchID]]))</f>
        <v>0</v>
      </c>
      <c r="Q2078" s="51">
        <f>IF(COUNTIF(TblPurchases[BatchID],TblOutcomes[[#This Row],[BatchID]])&lt;&gt;1,"n.a.",SUMIFS(TblPurchases[Purchase Date],TblPurchases[BatchID],TblOutcomes[[#This Row],[BatchID]]))</f>
        <v>45821</v>
      </c>
    </row>
    <row r="2079" spans="2:17" x14ac:dyDescent="0.25">
      <c r="B2079" s="2" t="s">
        <v>2884</v>
      </c>
      <c r="C2079" s="2" t="s">
        <v>252</v>
      </c>
      <c r="D2079" s="2" t="s">
        <v>237</v>
      </c>
      <c r="E2079" s="2" t="s">
        <v>4647</v>
      </c>
      <c r="F2079" s="2">
        <v>23</v>
      </c>
      <c r="G2079" s="2">
        <v>23</v>
      </c>
      <c r="H2079" s="2">
        <v>0</v>
      </c>
      <c r="I2079" s="1">
        <v>0</v>
      </c>
      <c r="J2079" s="26">
        <v>45125</v>
      </c>
      <c r="K2079" s="22">
        <v>126500</v>
      </c>
      <c r="L2079" s="18">
        <v>135.29</v>
      </c>
      <c r="M2079" s="22">
        <v>98900</v>
      </c>
      <c r="N2079" s="22">
        <v>27600</v>
      </c>
      <c r="O2079" s="18">
        <v>29.52</v>
      </c>
      <c r="P2079" s="52">
        <f>IF(COUNTIF(TblPurchases[BatchID],TblOutcomes[[#This Row],[BatchID]])&lt;&gt;1,"n.a.",TblOutcomes[[#This Row],[Qty Wasted]]*SUMIFS(TblPurchases[Unit Cost (CLP)],TblPurchases[BatchID],TblOutcomes[[#This Row],[BatchID]]))</f>
        <v>0</v>
      </c>
      <c r="Q2079" s="51">
        <f>IF(COUNTIF(TblPurchases[BatchID],TblOutcomes[[#This Row],[BatchID]])&lt;&gt;1,"n.a.",SUMIFS(TblPurchases[Purchase Date],TblPurchases[BatchID],TblOutcomes[[#This Row],[BatchID]]))</f>
        <v>45112</v>
      </c>
    </row>
    <row r="2080" spans="2:17" x14ac:dyDescent="0.25">
      <c r="B2080" s="2" t="s">
        <v>2885</v>
      </c>
      <c r="C2080" s="2" t="s">
        <v>252</v>
      </c>
      <c r="D2080" s="2" t="s">
        <v>237</v>
      </c>
      <c r="E2080" s="2" t="s">
        <v>4647</v>
      </c>
      <c r="F2080" s="2">
        <v>22</v>
      </c>
      <c r="G2080" s="2">
        <v>22</v>
      </c>
      <c r="H2080" s="2">
        <v>0</v>
      </c>
      <c r="I2080" s="1">
        <v>0</v>
      </c>
      <c r="J2080" s="26">
        <v>45137</v>
      </c>
      <c r="K2080" s="22">
        <v>121000</v>
      </c>
      <c r="L2080" s="18">
        <v>129.41</v>
      </c>
      <c r="M2080" s="22">
        <v>89100</v>
      </c>
      <c r="N2080" s="22">
        <v>31900</v>
      </c>
      <c r="O2080" s="18">
        <v>34.119999999999997</v>
      </c>
      <c r="P2080" s="52">
        <f>IF(COUNTIF(TblPurchases[BatchID],TblOutcomes[[#This Row],[BatchID]])&lt;&gt;1,"n.a.",TblOutcomes[[#This Row],[Qty Wasted]]*SUMIFS(TblPurchases[Unit Cost (CLP)],TblPurchases[BatchID],TblOutcomes[[#This Row],[BatchID]]))</f>
        <v>0</v>
      </c>
      <c r="Q2080" s="51">
        <f>IF(COUNTIF(TblPurchases[BatchID],TblOutcomes[[#This Row],[BatchID]])&lt;&gt;1,"n.a.",SUMIFS(TblPurchases[Purchase Date],TblPurchases[BatchID],TblOutcomes[[#This Row],[BatchID]]))</f>
        <v>45126</v>
      </c>
    </row>
    <row r="2081" spans="2:17" x14ac:dyDescent="0.25">
      <c r="B2081" s="2" t="s">
        <v>2886</v>
      </c>
      <c r="C2081" s="2" t="s">
        <v>252</v>
      </c>
      <c r="D2081" s="2" t="s">
        <v>237</v>
      </c>
      <c r="E2081" s="2" t="s">
        <v>4647</v>
      </c>
      <c r="F2081" s="2">
        <v>19</v>
      </c>
      <c r="G2081" s="2">
        <v>19</v>
      </c>
      <c r="H2081" s="2">
        <v>0</v>
      </c>
      <c r="I2081" s="1">
        <v>0</v>
      </c>
      <c r="J2081" s="26">
        <v>45165</v>
      </c>
      <c r="K2081" s="22">
        <v>104500</v>
      </c>
      <c r="L2081" s="18">
        <v>111.76</v>
      </c>
      <c r="M2081" s="22">
        <v>76950</v>
      </c>
      <c r="N2081" s="22">
        <v>27550</v>
      </c>
      <c r="O2081" s="18">
        <v>29.47</v>
      </c>
      <c r="P2081" s="52">
        <f>IF(COUNTIF(TblPurchases[BatchID],TblOutcomes[[#This Row],[BatchID]])&lt;&gt;1,"n.a.",TblOutcomes[[#This Row],[Qty Wasted]]*SUMIFS(TblPurchases[Unit Cost (CLP)],TblPurchases[BatchID],TblOutcomes[[#This Row],[BatchID]]))</f>
        <v>0</v>
      </c>
      <c r="Q2081" s="51">
        <f>IF(COUNTIF(TblPurchases[BatchID],TblOutcomes[[#This Row],[BatchID]])&lt;&gt;1,"n.a.",SUMIFS(TblPurchases[Purchase Date],TblPurchases[BatchID],TblOutcomes[[#This Row],[BatchID]]))</f>
        <v>45149</v>
      </c>
    </row>
    <row r="2082" spans="2:17" x14ac:dyDescent="0.25">
      <c r="B2082" s="2" t="s">
        <v>2887</v>
      </c>
      <c r="C2082" s="2" t="s">
        <v>252</v>
      </c>
      <c r="D2082" s="2" t="s">
        <v>237</v>
      </c>
      <c r="E2082" s="2" t="s">
        <v>4647</v>
      </c>
      <c r="F2082" s="2">
        <v>20</v>
      </c>
      <c r="G2082" s="2">
        <v>20</v>
      </c>
      <c r="H2082" s="2">
        <v>0</v>
      </c>
      <c r="I2082" s="1">
        <v>0</v>
      </c>
      <c r="J2082" s="26">
        <v>45185</v>
      </c>
      <c r="K2082" s="22">
        <v>110000</v>
      </c>
      <c r="L2082" s="18">
        <v>117.65</v>
      </c>
      <c r="M2082" s="22">
        <v>81000</v>
      </c>
      <c r="N2082" s="22">
        <v>29000</v>
      </c>
      <c r="O2082" s="18">
        <v>31.02</v>
      </c>
      <c r="P2082" s="52">
        <f>IF(COUNTIF(TblPurchases[BatchID],TblOutcomes[[#This Row],[BatchID]])&lt;&gt;1,"n.a.",TblOutcomes[[#This Row],[Qty Wasted]]*SUMIFS(TblPurchases[Unit Cost (CLP)],TblPurchases[BatchID],TblOutcomes[[#This Row],[BatchID]]))</f>
        <v>0</v>
      </c>
      <c r="Q2082" s="51">
        <f>IF(COUNTIF(TblPurchases[BatchID],TblOutcomes[[#This Row],[BatchID]])&lt;&gt;1,"n.a.",SUMIFS(TblPurchases[Purchase Date],TblPurchases[BatchID],TblOutcomes[[#This Row],[BatchID]]))</f>
        <v>45165</v>
      </c>
    </row>
    <row r="2083" spans="2:17" x14ac:dyDescent="0.25">
      <c r="B2083" s="2" t="s">
        <v>2888</v>
      </c>
      <c r="C2083" s="2" t="s">
        <v>252</v>
      </c>
      <c r="D2083" s="2" t="s">
        <v>237</v>
      </c>
      <c r="E2083" s="2" t="s">
        <v>4647</v>
      </c>
      <c r="F2083" s="2">
        <v>23</v>
      </c>
      <c r="G2083" s="2">
        <v>23</v>
      </c>
      <c r="H2083" s="2">
        <v>0</v>
      </c>
      <c r="I2083" s="1">
        <v>0</v>
      </c>
      <c r="J2083" s="26">
        <v>45203</v>
      </c>
      <c r="K2083" s="22">
        <v>126500</v>
      </c>
      <c r="L2083" s="18">
        <v>135.29</v>
      </c>
      <c r="M2083" s="22">
        <v>93150</v>
      </c>
      <c r="N2083" s="22">
        <v>33350</v>
      </c>
      <c r="O2083" s="18">
        <v>35.67</v>
      </c>
      <c r="P2083" s="52">
        <f>IF(COUNTIF(TblPurchases[BatchID],TblOutcomes[[#This Row],[BatchID]])&lt;&gt;1,"n.a.",TblOutcomes[[#This Row],[Qty Wasted]]*SUMIFS(TblPurchases[Unit Cost (CLP)],TblPurchases[BatchID],TblOutcomes[[#This Row],[BatchID]]))</f>
        <v>0</v>
      </c>
      <c r="Q2083" s="51">
        <f>IF(COUNTIF(TblPurchases[BatchID],TblOutcomes[[#This Row],[BatchID]])&lt;&gt;1,"n.a.",SUMIFS(TblPurchases[Purchase Date],TblPurchases[BatchID],TblOutcomes[[#This Row],[BatchID]]))</f>
        <v>45186</v>
      </c>
    </row>
    <row r="2084" spans="2:17" x14ac:dyDescent="0.25">
      <c r="B2084" s="2" t="s">
        <v>2889</v>
      </c>
      <c r="C2084" s="2" t="s">
        <v>252</v>
      </c>
      <c r="D2084" s="2" t="s">
        <v>237</v>
      </c>
      <c r="E2084" s="2" t="s">
        <v>4647</v>
      </c>
      <c r="F2084" s="2">
        <v>21</v>
      </c>
      <c r="G2084" s="2">
        <v>21</v>
      </c>
      <c r="H2084" s="2">
        <v>0</v>
      </c>
      <c r="I2084" s="1">
        <v>0</v>
      </c>
      <c r="J2084" s="26">
        <v>45225</v>
      </c>
      <c r="K2084" s="22">
        <v>115500</v>
      </c>
      <c r="L2084" s="18">
        <v>123.53</v>
      </c>
      <c r="M2084" s="22">
        <v>85050</v>
      </c>
      <c r="N2084" s="22">
        <v>30450</v>
      </c>
      <c r="O2084" s="18">
        <v>32.57</v>
      </c>
      <c r="P2084" s="52">
        <f>IF(COUNTIF(TblPurchases[BatchID],TblOutcomes[[#This Row],[BatchID]])&lt;&gt;1,"n.a.",TblOutcomes[[#This Row],[Qty Wasted]]*SUMIFS(TblPurchases[Unit Cost (CLP)],TblPurchases[BatchID],TblOutcomes[[#This Row],[BatchID]]))</f>
        <v>0</v>
      </c>
      <c r="Q2084" s="51">
        <f>IF(COUNTIF(TblPurchases[BatchID],TblOutcomes[[#This Row],[BatchID]])&lt;&gt;1,"n.a.",SUMIFS(TblPurchases[Purchase Date],TblPurchases[BatchID],TblOutcomes[[#This Row],[BatchID]]))</f>
        <v>45206</v>
      </c>
    </row>
    <row r="2085" spans="2:17" x14ac:dyDescent="0.25">
      <c r="B2085" s="2" t="s">
        <v>2890</v>
      </c>
      <c r="C2085" s="2" t="s">
        <v>252</v>
      </c>
      <c r="D2085" s="2" t="s">
        <v>237</v>
      </c>
      <c r="E2085" s="2" t="s">
        <v>4647</v>
      </c>
      <c r="F2085" s="2">
        <v>18</v>
      </c>
      <c r="G2085" s="2">
        <v>18</v>
      </c>
      <c r="H2085" s="2">
        <v>0</v>
      </c>
      <c r="I2085" s="1">
        <v>0</v>
      </c>
      <c r="J2085" s="26">
        <v>45235</v>
      </c>
      <c r="K2085" s="22">
        <v>99000</v>
      </c>
      <c r="L2085" s="18">
        <v>105.88</v>
      </c>
      <c r="M2085" s="22">
        <v>72900</v>
      </c>
      <c r="N2085" s="22">
        <v>26100</v>
      </c>
      <c r="O2085" s="18">
        <v>27.91</v>
      </c>
      <c r="P2085" s="52">
        <f>IF(COUNTIF(TblPurchases[BatchID],TblOutcomes[[#This Row],[BatchID]])&lt;&gt;1,"n.a.",TblOutcomes[[#This Row],[Qty Wasted]]*SUMIFS(TblPurchases[Unit Cost (CLP)],TblPurchases[BatchID],TblOutcomes[[#This Row],[BatchID]]))</f>
        <v>0</v>
      </c>
      <c r="Q2085" s="51">
        <f>IF(COUNTIF(TblPurchases[BatchID],TblOutcomes[[#This Row],[BatchID]])&lt;&gt;1,"n.a.",SUMIFS(TblPurchases[Purchase Date],TblPurchases[BatchID],TblOutcomes[[#This Row],[BatchID]]))</f>
        <v>45225</v>
      </c>
    </row>
    <row r="2086" spans="2:17" x14ac:dyDescent="0.25">
      <c r="B2086" s="2" t="s">
        <v>2891</v>
      </c>
      <c r="C2086" s="2" t="s">
        <v>252</v>
      </c>
      <c r="D2086" s="2" t="s">
        <v>237</v>
      </c>
      <c r="E2086" s="2" t="s">
        <v>4646</v>
      </c>
      <c r="F2086" s="2">
        <v>19</v>
      </c>
      <c r="G2086" s="2">
        <v>17.309999999999999</v>
      </c>
      <c r="H2086" s="2">
        <v>1.69</v>
      </c>
      <c r="I2086" s="1">
        <v>8.9</v>
      </c>
      <c r="J2086" s="26">
        <v>45424</v>
      </c>
      <c r="K2086" s="22">
        <v>95205</v>
      </c>
      <c r="L2086" s="18">
        <v>101.82</v>
      </c>
      <c r="M2086" s="22">
        <v>76950</v>
      </c>
      <c r="N2086" s="22">
        <v>18255</v>
      </c>
      <c r="O2086" s="18">
        <v>19.52</v>
      </c>
      <c r="P2086" s="52">
        <f>IF(COUNTIF(TblPurchases[BatchID],TblOutcomes[[#This Row],[BatchID]])&lt;&gt;1,"n.a.",TblOutcomes[[#This Row],[Qty Wasted]]*SUMIFS(TblPurchases[Unit Cost (CLP)],TblPurchases[BatchID],TblOutcomes[[#This Row],[BatchID]]))</f>
        <v>6844.5</v>
      </c>
      <c r="Q2086" s="51">
        <f>IF(COUNTIF(TblPurchases[BatchID],TblOutcomes[[#This Row],[BatchID]])&lt;&gt;1,"n.a.",SUMIFS(TblPurchases[Purchase Date],TblPurchases[BatchID],TblOutcomes[[#This Row],[BatchID]]))</f>
        <v>45244</v>
      </c>
    </row>
    <row r="2087" spans="2:17" x14ac:dyDescent="0.25">
      <c r="B2087" s="2" t="s">
        <v>2892</v>
      </c>
      <c r="C2087" s="2" t="s">
        <v>252</v>
      </c>
      <c r="D2087" s="2" t="s">
        <v>237</v>
      </c>
      <c r="E2087" s="2" t="s">
        <v>4646</v>
      </c>
      <c r="F2087" s="2">
        <v>29</v>
      </c>
      <c r="G2087" s="2">
        <v>26.07</v>
      </c>
      <c r="H2087" s="2">
        <v>2.93</v>
      </c>
      <c r="I2087" s="1">
        <v>10.1</v>
      </c>
      <c r="J2087" s="26">
        <v>45443</v>
      </c>
      <c r="K2087" s="22">
        <v>143385</v>
      </c>
      <c r="L2087" s="18">
        <v>153.35</v>
      </c>
      <c r="M2087" s="22">
        <v>117450</v>
      </c>
      <c r="N2087" s="22">
        <v>25935</v>
      </c>
      <c r="O2087" s="18">
        <v>27.74</v>
      </c>
      <c r="P2087" s="52">
        <f>IF(COUNTIF(TblPurchases[BatchID],TblOutcomes[[#This Row],[BatchID]])&lt;&gt;1,"n.a.",TblOutcomes[[#This Row],[Qty Wasted]]*SUMIFS(TblPurchases[Unit Cost (CLP)],TblPurchases[BatchID],TblOutcomes[[#This Row],[BatchID]]))</f>
        <v>11866.5</v>
      </c>
      <c r="Q2087" s="51">
        <f>IF(COUNTIF(TblPurchases[BatchID],TblOutcomes[[#This Row],[BatchID]])&lt;&gt;1,"n.a.",SUMIFS(TblPurchases[Purchase Date],TblPurchases[BatchID],TblOutcomes[[#This Row],[BatchID]]))</f>
        <v>45263</v>
      </c>
    </row>
    <row r="2088" spans="2:17" x14ac:dyDescent="0.25">
      <c r="B2088" s="2" t="s">
        <v>2893</v>
      </c>
      <c r="C2088" s="2" t="s">
        <v>252</v>
      </c>
      <c r="D2088" s="2" t="s">
        <v>237</v>
      </c>
      <c r="E2088" s="2" t="s">
        <v>4646</v>
      </c>
      <c r="F2088" s="2">
        <v>23</v>
      </c>
      <c r="G2088" s="2">
        <v>21.87</v>
      </c>
      <c r="H2088" s="2">
        <v>1.1299999999999999</v>
      </c>
      <c r="I2088" s="1">
        <v>4.9000000000000004</v>
      </c>
      <c r="J2088" s="26">
        <v>45464</v>
      </c>
      <c r="K2088" s="22">
        <v>120285</v>
      </c>
      <c r="L2088" s="18">
        <v>128.65</v>
      </c>
      <c r="M2088" s="22">
        <v>93150</v>
      </c>
      <c r="N2088" s="22">
        <v>27135</v>
      </c>
      <c r="O2088" s="18">
        <v>29.02</v>
      </c>
      <c r="P2088" s="52">
        <f>IF(COUNTIF(TblPurchases[BatchID],TblOutcomes[[#This Row],[BatchID]])&lt;&gt;1,"n.a.",TblOutcomes[[#This Row],[Qty Wasted]]*SUMIFS(TblPurchases[Unit Cost (CLP)],TblPurchases[BatchID],TblOutcomes[[#This Row],[BatchID]]))</f>
        <v>4576.5</v>
      </c>
      <c r="Q2088" s="51">
        <f>IF(COUNTIF(TblPurchases[BatchID],TblOutcomes[[#This Row],[BatchID]])&lt;&gt;1,"n.a.",SUMIFS(TblPurchases[Purchase Date],TblPurchases[BatchID],TblOutcomes[[#This Row],[BatchID]]))</f>
        <v>45284</v>
      </c>
    </row>
    <row r="2089" spans="2:17" x14ac:dyDescent="0.25">
      <c r="B2089" s="2" t="s">
        <v>2894</v>
      </c>
      <c r="C2089" s="2" t="s">
        <v>252</v>
      </c>
      <c r="D2089" s="2" t="s">
        <v>237</v>
      </c>
      <c r="E2089" s="2" t="s">
        <v>4646</v>
      </c>
      <c r="F2089" s="2">
        <v>22</v>
      </c>
      <c r="G2089" s="2">
        <v>19.87</v>
      </c>
      <c r="H2089" s="2">
        <v>2.13</v>
      </c>
      <c r="I2089" s="1">
        <v>9.6999999999999993</v>
      </c>
      <c r="J2089" s="26">
        <v>45483</v>
      </c>
      <c r="K2089" s="22">
        <v>109285</v>
      </c>
      <c r="L2089" s="18">
        <v>116.88</v>
      </c>
      <c r="M2089" s="22">
        <v>89100</v>
      </c>
      <c r="N2089" s="22">
        <v>20185</v>
      </c>
      <c r="O2089" s="18">
        <v>21.59</v>
      </c>
      <c r="P2089" s="52">
        <f>IF(COUNTIF(TblPurchases[BatchID],TblOutcomes[[#This Row],[BatchID]])&lt;&gt;1,"n.a.",TblOutcomes[[#This Row],[Qty Wasted]]*SUMIFS(TblPurchases[Unit Cost (CLP)],TblPurchases[BatchID],TblOutcomes[[#This Row],[BatchID]]))</f>
        <v>8626.5</v>
      </c>
      <c r="Q2089" s="51">
        <f>IF(COUNTIF(TblPurchases[BatchID],TblOutcomes[[#This Row],[BatchID]])&lt;&gt;1,"n.a.",SUMIFS(TblPurchases[Purchase Date],TblPurchases[BatchID],TblOutcomes[[#This Row],[BatchID]]))</f>
        <v>45303</v>
      </c>
    </row>
    <row r="2090" spans="2:17" x14ac:dyDescent="0.25">
      <c r="B2090" s="2" t="s">
        <v>2895</v>
      </c>
      <c r="C2090" s="2" t="s">
        <v>252</v>
      </c>
      <c r="D2090" s="2" t="s">
        <v>237</v>
      </c>
      <c r="E2090" s="2" t="s">
        <v>4647</v>
      </c>
      <c r="F2090" s="2">
        <v>18</v>
      </c>
      <c r="G2090" s="2">
        <v>18</v>
      </c>
      <c r="H2090" s="2">
        <v>0</v>
      </c>
      <c r="I2090" s="1">
        <v>0</v>
      </c>
      <c r="J2090" s="26">
        <v>45342</v>
      </c>
      <c r="K2090" s="22">
        <v>99000</v>
      </c>
      <c r="L2090" s="18">
        <v>105.88</v>
      </c>
      <c r="M2090" s="22">
        <v>77400</v>
      </c>
      <c r="N2090" s="22">
        <v>21600</v>
      </c>
      <c r="O2090" s="18">
        <v>23.1</v>
      </c>
      <c r="P2090" s="52">
        <f>IF(COUNTIF(TblPurchases[BatchID],TblOutcomes[[#This Row],[BatchID]])&lt;&gt;1,"n.a.",TblOutcomes[[#This Row],[Qty Wasted]]*SUMIFS(TblPurchases[Unit Cost (CLP)],TblPurchases[BatchID],TblOutcomes[[#This Row],[BatchID]]))</f>
        <v>0</v>
      </c>
      <c r="Q2090" s="51">
        <f>IF(COUNTIF(TblPurchases[BatchID],TblOutcomes[[#This Row],[BatchID]])&lt;&gt;1,"n.a.",SUMIFS(TblPurchases[Purchase Date],TblPurchases[BatchID],TblOutcomes[[#This Row],[BatchID]]))</f>
        <v>45326</v>
      </c>
    </row>
    <row r="2091" spans="2:17" x14ac:dyDescent="0.25">
      <c r="B2091" s="2" t="s">
        <v>2896</v>
      </c>
      <c r="C2091" s="2" t="s">
        <v>252</v>
      </c>
      <c r="D2091" s="2" t="s">
        <v>237</v>
      </c>
      <c r="E2091" s="2" t="s">
        <v>4647</v>
      </c>
      <c r="F2091" s="2">
        <v>21</v>
      </c>
      <c r="G2091" s="2">
        <v>21</v>
      </c>
      <c r="H2091" s="2">
        <v>0</v>
      </c>
      <c r="I2091" s="1">
        <v>0</v>
      </c>
      <c r="J2091" s="26">
        <v>45363</v>
      </c>
      <c r="K2091" s="22">
        <v>115500</v>
      </c>
      <c r="L2091" s="18">
        <v>123.53</v>
      </c>
      <c r="M2091" s="22">
        <v>85050</v>
      </c>
      <c r="N2091" s="22">
        <v>30450</v>
      </c>
      <c r="O2091" s="18">
        <v>32.57</v>
      </c>
      <c r="P2091" s="52">
        <f>IF(COUNTIF(TblPurchases[BatchID],TblOutcomes[[#This Row],[BatchID]])&lt;&gt;1,"n.a.",TblOutcomes[[#This Row],[Qty Wasted]]*SUMIFS(TblPurchases[Unit Cost (CLP)],TblPurchases[BatchID],TblOutcomes[[#This Row],[BatchID]]))</f>
        <v>0</v>
      </c>
      <c r="Q2091" s="51">
        <f>IF(COUNTIF(TblPurchases[BatchID],TblOutcomes[[#This Row],[BatchID]])&lt;&gt;1,"n.a.",SUMIFS(TblPurchases[Purchase Date],TblPurchases[BatchID],TblOutcomes[[#This Row],[BatchID]]))</f>
        <v>45346</v>
      </c>
    </row>
    <row r="2092" spans="2:17" x14ac:dyDescent="0.25">
      <c r="B2092" s="2" t="s">
        <v>2897</v>
      </c>
      <c r="C2092" s="2" t="s">
        <v>252</v>
      </c>
      <c r="D2092" s="2" t="s">
        <v>237</v>
      </c>
      <c r="E2092" s="2" t="s">
        <v>4647</v>
      </c>
      <c r="F2092" s="2">
        <v>19</v>
      </c>
      <c r="G2092" s="2">
        <v>19</v>
      </c>
      <c r="H2092" s="2">
        <v>0</v>
      </c>
      <c r="I2092" s="1">
        <v>0</v>
      </c>
      <c r="J2092" s="26">
        <v>45387</v>
      </c>
      <c r="K2092" s="22">
        <v>104500</v>
      </c>
      <c r="L2092" s="18">
        <v>111.76</v>
      </c>
      <c r="M2092" s="22">
        <v>76950</v>
      </c>
      <c r="N2092" s="22">
        <v>27550</v>
      </c>
      <c r="O2092" s="18">
        <v>29.47</v>
      </c>
      <c r="P2092" s="52">
        <f>IF(COUNTIF(TblPurchases[BatchID],TblOutcomes[[#This Row],[BatchID]])&lt;&gt;1,"n.a.",TblOutcomes[[#This Row],[Qty Wasted]]*SUMIFS(TblPurchases[Unit Cost (CLP)],TblPurchases[BatchID],TblOutcomes[[#This Row],[BatchID]]))</f>
        <v>0</v>
      </c>
      <c r="Q2092" s="51">
        <f>IF(COUNTIF(TblPurchases[BatchID],TblOutcomes[[#This Row],[BatchID]])&lt;&gt;1,"n.a.",SUMIFS(TblPurchases[Purchase Date],TblPurchases[BatchID],TblOutcomes[[#This Row],[BatchID]]))</f>
        <v>45372</v>
      </c>
    </row>
    <row r="2093" spans="2:17" x14ac:dyDescent="0.25">
      <c r="B2093" s="2" t="s">
        <v>2898</v>
      </c>
      <c r="C2093" s="2" t="s">
        <v>252</v>
      </c>
      <c r="D2093" s="2" t="s">
        <v>237</v>
      </c>
      <c r="E2093" s="2" t="s">
        <v>4646</v>
      </c>
      <c r="F2093" s="2">
        <v>17</v>
      </c>
      <c r="G2093" s="2">
        <v>15.86</v>
      </c>
      <c r="H2093" s="2">
        <v>1.1399999999999999</v>
      </c>
      <c r="I2093" s="1">
        <v>6.7</v>
      </c>
      <c r="J2093" s="26">
        <v>45570</v>
      </c>
      <c r="K2093" s="22">
        <v>87230</v>
      </c>
      <c r="L2093" s="18">
        <v>93.29</v>
      </c>
      <c r="M2093" s="22">
        <v>68850</v>
      </c>
      <c r="N2093" s="22">
        <v>18380</v>
      </c>
      <c r="O2093" s="18">
        <v>19.66</v>
      </c>
      <c r="P2093" s="52">
        <f>IF(COUNTIF(TblPurchases[BatchID],TblOutcomes[[#This Row],[BatchID]])&lt;&gt;1,"n.a.",TblOutcomes[[#This Row],[Qty Wasted]]*SUMIFS(TblPurchases[Unit Cost (CLP)],TblPurchases[BatchID],TblOutcomes[[#This Row],[BatchID]]))</f>
        <v>4617</v>
      </c>
      <c r="Q2093" s="51">
        <f>IF(COUNTIF(TblPurchases[BatchID],TblOutcomes[[#This Row],[BatchID]])&lt;&gt;1,"n.a.",SUMIFS(TblPurchases[Purchase Date],TblPurchases[BatchID],TblOutcomes[[#This Row],[BatchID]]))</f>
        <v>45390</v>
      </c>
    </row>
    <row r="2094" spans="2:17" x14ac:dyDescent="0.25">
      <c r="B2094" s="2" t="s">
        <v>2899</v>
      </c>
      <c r="C2094" s="2" t="s">
        <v>252</v>
      </c>
      <c r="D2094" s="2" t="s">
        <v>237</v>
      </c>
      <c r="E2094" s="2" t="s">
        <v>4647</v>
      </c>
      <c r="F2094" s="2">
        <v>23</v>
      </c>
      <c r="G2094" s="2">
        <v>23</v>
      </c>
      <c r="H2094" s="2">
        <v>0</v>
      </c>
      <c r="I2094" s="1">
        <v>0</v>
      </c>
      <c r="J2094" s="26">
        <v>45590</v>
      </c>
      <c r="K2094" s="22">
        <v>126500</v>
      </c>
      <c r="L2094" s="18">
        <v>135.29</v>
      </c>
      <c r="M2094" s="22">
        <v>93150</v>
      </c>
      <c r="N2094" s="22">
        <v>33350</v>
      </c>
      <c r="O2094" s="18">
        <v>35.67</v>
      </c>
      <c r="P2094" s="52">
        <f>IF(COUNTIF(TblPurchases[BatchID],TblOutcomes[[#This Row],[BatchID]])&lt;&gt;1,"n.a.",TblOutcomes[[#This Row],[Qty Wasted]]*SUMIFS(TblPurchases[Unit Cost (CLP)],TblPurchases[BatchID],TblOutcomes[[#This Row],[BatchID]]))</f>
        <v>0</v>
      </c>
      <c r="Q2094" s="51">
        <f>IF(COUNTIF(TblPurchases[BatchID],TblOutcomes[[#This Row],[BatchID]])&lt;&gt;1,"n.a.",SUMIFS(TblPurchases[Purchase Date],TblPurchases[BatchID],TblOutcomes[[#This Row],[BatchID]]))</f>
        <v>45410</v>
      </c>
    </row>
    <row r="2095" spans="2:17" x14ac:dyDescent="0.25">
      <c r="B2095" s="2" t="s">
        <v>2900</v>
      </c>
      <c r="C2095" s="2" t="s">
        <v>252</v>
      </c>
      <c r="D2095" s="2" t="s">
        <v>237</v>
      </c>
      <c r="E2095" s="2" t="s">
        <v>4647</v>
      </c>
      <c r="F2095" s="2">
        <v>19</v>
      </c>
      <c r="G2095" s="2">
        <v>19</v>
      </c>
      <c r="H2095" s="2">
        <v>0</v>
      </c>
      <c r="I2095" s="1">
        <v>0</v>
      </c>
      <c r="J2095" s="26">
        <v>45451</v>
      </c>
      <c r="K2095" s="22">
        <v>104500</v>
      </c>
      <c r="L2095" s="18">
        <v>111.76</v>
      </c>
      <c r="M2095" s="22">
        <v>76950</v>
      </c>
      <c r="N2095" s="22">
        <v>27550</v>
      </c>
      <c r="O2095" s="18">
        <v>29.47</v>
      </c>
      <c r="P2095" s="52">
        <f>IF(COUNTIF(TblPurchases[BatchID],TblOutcomes[[#This Row],[BatchID]])&lt;&gt;1,"n.a.",TblOutcomes[[#This Row],[Qty Wasted]]*SUMIFS(TblPurchases[Unit Cost (CLP)],TblPurchases[BatchID],TblOutcomes[[#This Row],[BatchID]]))</f>
        <v>0</v>
      </c>
      <c r="Q2095" s="51">
        <f>IF(COUNTIF(TblPurchases[BatchID],TblOutcomes[[#This Row],[BatchID]])&lt;&gt;1,"n.a.",SUMIFS(TblPurchases[Purchase Date],TblPurchases[BatchID],TblOutcomes[[#This Row],[BatchID]]))</f>
        <v>45428</v>
      </c>
    </row>
    <row r="2096" spans="2:17" x14ac:dyDescent="0.25">
      <c r="B2096" s="2" t="s">
        <v>2901</v>
      </c>
      <c r="C2096" s="2" t="s">
        <v>252</v>
      </c>
      <c r="D2096" s="2" t="s">
        <v>237</v>
      </c>
      <c r="E2096" s="2" t="s">
        <v>4647</v>
      </c>
      <c r="F2096" s="2">
        <v>19</v>
      </c>
      <c r="G2096" s="2">
        <v>19</v>
      </c>
      <c r="H2096" s="2">
        <v>0</v>
      </c>
      <c r="I2096" s="1">
        <v>0</v>
      </c>
      <c r="J2096" s="26">
        <v>45452</v>
      </c>
      <c r="K2096" s="22">
        <v>104500</v>
      </c>
      <c r="L2096" s="18">
        <v>111.76</v>
      </c>
      <c r="M2096" s="22">
        <v>76950</v>
      </c>
      <c r="N2096" s="22">
        <v>27550</v>
      </c>
      <c r="O2096" s="18">
        <v>29.47</v>
      </c>
      <c r="P2096" s="52">
        <f>IF(COUNTIF(TblPurchases[BatchID],TblOutcomes[[#This Row],[BatchID]])&lt;&gt;1,"n.a.",TblOutcomes[[#This Row],[Qty Wasted]]*SUMIFS(TblPurchases[Unit Cost (CLP)],TblPurchases[BatchID],TblOutcomes[[#This Row],[BatchID]]))</f>
        <v>0</v>
      </c>
      <c r="Q2096" s="51">
        <f>IF(COUNTIF(TblPurchases[BatchID],TblOutcomes[[#This Row],[BatchID]])&lt;&gt;1,"n.a.",SUMIFS(TblPurchases[Purchase Date],TblPurchases[BatchID],TblOutcomes[[#This Row],[BatchID]]))</f>
        <v>45441</v>
      </c>
    </row>
    <row r="2097" spans="2:17" x14ac:dyDescent="0.25">
      <c r="B2097" s="2" t="s">
        <v>2902</v>
      </c>
      <c r="C2097" s="2" t="s">
        <v>252</v>
      </c>
      <c r="D2097" s="2" t="s">
        <v>237</v>
      </c>
      <c r="E2097" s="2" t="s">
        <v>4646</v>
      </c>
      <c r="F2097" s="2">
        <v>19</v>
      </c>
      <c r="G2097" s="2">
        <v>17.54</v>
      </c>
      <c r="H2097" s="2">
        <v>1.46</v>
      </c>
      <c r="I2097" s="1">
        <v>7.7</v>
      </c>
      <c r="J2097" s="26">
        <v>45638</v>
      </c>
      <c r="K2097" s="22">
        <v>96470</v>
      </c>
      <c r="L2097" s="18">
        <v>103.18</v>
      </c>
      <c r="M2097" s="22">
        <v>76950</v>
      </c>
      <c r="N2097" s="22">
        <v>19520</v>
      </c>
      <c r="O2097" s="18">
        <v>20.88</v>
      </c>
      <c r="P2097" s="52">
        <f>IF(COUNTIF(TblPurchases[BatchID],TblOutcomes[[#This Row],[BatchID]])&lt;&gt;1,"n.a.",TblOutcomes[[#This Row],[Qty Wasted]]*SUMIFS(TblPurchases[Unit Cost (CLP)],TblPurchases[BatchID],TblOutcomes[[#This Row],[BatchID]]))</f>
        <v>5913</v>
      </c>
      <c r="Q2097" s="51">
        <f>IF(COUNTIF(TblPurchases[BatchID],TblOutcomes[[#This Row],[BatchID]])&lt;&gt;1,"n.a.",SUMIFS(TblPurchases[Purchase Date],TblPurchases[BatchID],TblOutcomes[[#This Row],[BatchID]]))</f>
        <v>45458</v>
      </c>
    </row>
    <row r="2098" spans="2:17" x14ac:dyDescent="0.25">
      <c r="B2098" s="2" t="s">
        <v>2903</v>
      </c>
      <c r="C2098" s="2" t="s">
        <v>252</v>
      </c>
      <c r="D2098" s="2" t="s">
        <v>237</v>
      </c>
      <c r="E2098" s="2" t="s">
        <v>4647</v>
      </c>
      <c r="F2098" s="2">
        <v>19</v>
      </c>
      <c r="G2098" s="2">
        <v>19</v>
      </c>
      <c r="H2098" s="2">
        <v>0</v>
      </c>
      <c r="I2098" s="1">
        <v>0</v>
      </c>
      <c r="J2098" s="26">
        <v>45504</v>
      </c>
      <c r="K2098" s="22">
        <v>104500</v>
      </c>
      <c r="L2098" s="18">
        <v>111.76</v>
      </c>
      <c r="M2098" s="22">
        <v>76950</v>
      </c>
      <c r="N2098" s="22">
        <v>27550</v>
      </c>
      <c r="O2098" s="18">
        <v>29.47</v>
      </c>
      <c r="P2098" s="52">
        <f>IF(COUNTIF(TblPurchases[BatchID],TblOutcomes[[#This Row],[BatchID]])&lt;&gt;1,"n.a.",TblOutcomes[[#This Row],[Qty Wasted]]*SUMIFS(TblPurchases[Unit Cost (CLP)],TblPurchases[BatchID],TblOutcomes[[#This Row],[BatchID]]))</f>
        <v>0</v>
      </c>
      <c r="Q2098" s="51">
        <f>IF(COUNTIF(TblPurchases[BatchID],TblOutcomes[[#This Row],[BatchID]])&lt;&gt;1,"n.a.",SUMIFS(TblPurchases[Purchase Date],TblPurchases[BatchID],TblOutcomes[[#This Row],[BatchID]]))</f>
        <v>45479</v>
      </c>
    </row>
    <row r="2099" spans="2:17" x14ac:dyDescent="0.25">
      <c r="B2099" s="2" t="s">
        <v>2904</v>
      </c>
      <c r="C2099" s="2" t="s">
        <v>252</v>
      </c>
      <c r="D2099" s="2" t="s">
        <v>237</v>
      </c>
      <c r="E2099" s="2" t="s">
        <v>4647</v>
      </c>
      <c r="F2099" s="2">
        <v>23</v>
      </c>
      <c r="G2099" s="2">
        <v>23</v>
      </c>
      <c r="H2099" s="2">
        <v>0</v>
      </c>
      <c r="I2099" s="1">
        <v>0</v>
      </c>
      <c r="J2099" s="26">
        <v>45509</v>
      </c>
      <c r="K2099" s="22">
        <v>126500</v>
      </c>
      <c r="L2099" s="18">
        <v>135.29</v>
      </c>
      <c r="M2099" s="22">
        <v>93150</v>
      </c>
      <c r="N2099" s="22">
        <v>33350</v>
      </c>
      <c r="O2099" s="18">
        <v>35.67</v>
      </c>
      <c r="P2099" s="52">
        <f>IF(COUNTIF(TblPurchases[BatchID],TblOutcomes[[#This Row],[BatchID]])&lt;&gt;1,"n.a.",TblOutcomes[[#This Row],[Qty Wasted]]*SUMIFS(TblPurchases[Unit Cost (CLP)],TblPurchases[BatchID],TblOutcomes[[#This Row],[BatchID]]))</f>
        <v>0</v>
      </c>
      <c r="Q2099" s="51">
        <f>IF(COUNTIF(TblPurchases[BatchID],TblOutcomes[[#This Row],[BatchID]])&lt;&gt;1,"n.a.",SUMIFS(TblPurchases[Purchase Date],TblPurchases[BatchID],TblOutcomes[[#This Row],[BatchID]]))</f>
        <v>45497</v>
      </c>
    </row>
    <row r="2100" spans="2:17" x14ac:dyDescent="0.25">
      <c r="B2100" s="2" t="s">
        <v>2905</v>
      </c>
      <c r="C2100" s="2" t="s">
        <v>252</v>
      </c>
      <c r="D2100" s="2" t="s">
        <v>237</v>
      </c>
      <c r="E2100" s="2" t="s">
        <v>4647</v>
      </c>
      <c r="F2100" s="2">
        <v>22</v>
      </c>
      <c r="G2100" s="2">
        <v>22</v>
      </c>
      <c r="H2100" s="2">
        <v>0</v>
      </c>
      <c r="I2100" s="1">
        <v>0</v>
      </c>
      <c r="J2100" s="26">
        <v>45539</v>
      </c>
      <c r="K2100" s="22">
        <v>121000</v>
      </c>
      <c r="L2100" s="18">
        <v>129.41</v>
      </c>
      <c r="M2100" s="22">
        <v>89100</v>
      </c>
      <c r="N2100" s="22">
        <v>31900</v>
      </c>
      <c r="O2100" s="18">
        <v>34.119999999999997</v>
      </c>
      <c r="P2100" s="52">
        <f>IF(COUNTIF(TblPurchases[BatchID],TblOutcomes[[#This Row],[BatchID]])&lt;&gt;1,"n.a.",TblOutcomes[[#This Row],[Qty Wasted]]*SUMIFS(TblPurchases[Unit Cost (CLP)],TblPurchases[BatchID],TblOutcomes[[#This Row],[BatchID]]))</f>
        <v>0</v>
      </c>
      <c r="Q2100" s="51">
        <f>IF(COUNTIF(TblPurchases[BatchID],TblOutcomes[[#This Row],[BatchID]])&lt;&gt;1,"n.a.",SUMIFS(TblPurchases[Purchase Date],TblPurchases[BatchID],TblOutcomes[[#This Row],[BatchID]]))</f>
        <v>45511</v>
      </c>
    </row>
    <row r="2101" spans="2:17" x14ac:dyDescent="0.25">
      <c r="B2101" s="2" t="s">
        <v>2906</v>
      </c>
      <c r="C2101" s="2" t="s">
        <v>252</v>
      </c>
      <c r="D2101" s="2" t="s">
        <v>237</v>
      </c>
      <c r="E2101" s="2" t="s">
        <v>4647</v>
      </c>
      <c r="F2101" s="2">
        <v>21</v>
      </c>
      <c r="G2101" s="2">
        <v>21</v>
      </c>
      <c r="H2101" s="2">
        <v>0</v>
      </c>
      <c r="I2101" s="1">
        <v>0</v>
      </c>
      <c r="J2101" s="26">
        <v>45552</v>
      </c>
      <c r="K2101" s="22">
        <v>115500</v>
      </c>
      <c r="L2101" s="18">
        <v>123.53</v>
      </c>
      <c r="M2101" s="22">
        <v>85050</v>
      </c>
      <c r="N2101" s="22">
        <v>30450</v>
      </c>
      <c r="O2101" s="18">
        <v>32.57</v>
      </c>
      <c r="P2101" s="52">
        <f>IF(COUNTIF(TblPurchases[BatchID],TblOutcomes[[#This Row],[BatchID]])&lt;&gt;1,"n.a.",TblOutcomes[[#This Row],[Qty Wasted]]*SUMIFS(TblPurchases[Unit Cost (CLP)],TblPurchases[BatchID],TblOutcomes[[#This Row],[BatchID]]))</f>
        <v>0</v>
      </c>
      <c r="Q2101" s="51">
        <f>IF(COUNTIF(TblPurchases[BatchID],TblOutcomes[[#This Row],[BatchID]])&lt;&gt;1,"n.a.",SUMIFS(TblPurchases[Purchase Date],TblPurchases[BatchID],TblOutcomes[[#This Row],[BatchID]]))</f>
        <v>45534</v>
      </c>
    </row>
    <row r="2102" spans="2:17" x14ac:dyDescent="0.25">
      <c r="B2102" s="2" t="s">
        <v>2907</v>
      </c>
      <c r="C2102" s="2" t="s">
        <v>252</v>
      </c>
      <c r="D2102" s="2" t="s">
        <v>237</v>
      </c>
      <c r="E2102" s="2" t="s">
        <v>4647</v>
      </c>
      <c r="F2102" s="2">
        <v>23</v>
      </c>
      <c r="G2102" s="2">
        <v>23</v>
      </c>
      <c r="H2102" s="2">
        <v>0</v>
      </c>
      <c r="I2102" s="1">
        <v>0</v>
      </c>
      <c r="J2102" s="26">
        <v>45590</v>
      </c>
      <c r="K2102" s="22">
        <v>126500</v>
      </c>
      <c r="L2102" s="18">
        <v>135.29</v>
      </c>
      <c r="M2102" s="22">
        <v>98900</v>
      </c>
      <c r="N2102" s="22">
        <v>27600</v>
      </c>
      <c r="O2102" s="18">
        <v>29.52</v>
      </c>
      <c r="P2102" s="52">
        <f>IF(COUNTIF(TblPurchases[BatchID],TblOutcomes[[#This Row],[BatchID]])&lt;&gt;1,"n.a.",TblOutcomes[[#This Row],[Qty Wasted]]*SUMIFS(TblPurchases[Unit Cost (CLP)],TblPurchases[BatchID],TblOutcomes[[#This Row],[BatchID]]))</f>
        <v>0</v>
      </c>
      <c r="Q2102" s="51">
        <f>IF(COUNTIF(TblPurchases[BatchID],TblOutcomes[[#This Row],[BatchID]])&lt;&gt;1,"n.a.",SUMIFS(TblPurchases[Purchase Date],TblPurchases[BatchID],TblOutcomes[[#This Row],[BatchID]]))</f>
        <v>45561</v>
      </c>
    </row>
    <row r="2103" spans="2:17" x14ac:dyDescent="0.25">
      <c r="B2103" s="2" t="s">
        <v>2908</v>
      </c>
      <c r="C2103" s="2" t="s">
        <v>252</v>
      </c>
      <c r="D2103" s="2" t="s">
        <v>237</v>
      </c>
      <c r="E2103" s="2" t="s">
        <v>4646</v>
      </c>
      <c r="F2103" s="2">
        <v>18</v>
      </c>
      <c r="G2103" s="2">
        <v>17.48</v>
      </c>
      <c r="H2103" s="2">
        <v>0.52</v>
      </c>
      <c r="I2103" s="1">
        <v>2.9</v>
      </c>
      <c r="J2103" s="26">
        <v>45762</v>
      </c>
      <c r="K2103" s="22">
        <v>96140</v>
      </c>
      <c r="L2103" s="18">
        <v>102.82</v>
      </c>
      <c r="M2103" s="22">
        <v>72900</v>
      </c>
      <c r="N2103" s="22">
        <v>23240</v>
      </c>
      <c r="O2103" s="18">
        <v>24.86</v>
      </c>
      <c r="P2103" s="52">
        <f>IF(COUNTIF(TblPurchases[BatchID],TblOutcomes[[#This Row],[BatchID]])&lt;&gt;1,"n.a.",TblOutcomes[[#This Row],[Qty Wasted]]*SUMIFS(TblPurchases[Unit Cost (CLP)],TblPurchases[BatchID],TblOutcomes[[#This Row],[BatchID]]))</f>
        <v>2106</v>
      </c>
      <c r="Q2103" s="51">
        <f>IF(COUNTIF(TblPurchases[BatchID],TblOutcomes[[#This Row],[BatchID]])&lt;&gt;1,"n.a.",SUMIFS(TblPurchases[Purchase Date],TblPurchases[BatchID],TblOutcomes[[#This Row],[BatchID]]))</f>
        <v>45582</v>
      </c>
    </row>
    <row r="2104" spans="2:17" x14ac:dyDescent="0.25">
      <c r="B2104" s="2" t="s">
        <v>2909</v>
      </c>
      <c r="C2104" s="2" t="s">
        <v>252</v>
      </c>
      <c r="D2104" s="2" t="s">
        <v>237</v>
      </c>
      <c r="E2104" s="2" t="s">
        <v>4646</v>
      </c>
      <c r="F2104" s="2">
        <v>22</v>
      </c>
      <c r="G2104" s="2">
        <v>20.22</v>
      </c>
      <c r="H2104" s="2">
        <v>1.78</v>
      </c>
      <c r="I2104" s="1">
        <v>8.1</v>
      </c>
      <c r="J2104" s="26">
        <v>45782</v>
      </c>
      <c r="K2104" s="22">
        <v>111210</v>
      </c>
      <c r="L2104" s="18">
        <v>118.94</v>
      </c>
      <c r="M2104" s="22">
        <v>89100</v>
      </c>
      <c r="N2104" s="22">
        <v>22110</v>
      </c>
      <c r="O2104" s="18">
        <v>23.65</v>
      </c>
      <c r="P2104" s="52">
        <f>IF(COUNTIF(TblPurchases[BatchID],TblOutcomes[[#This Row],[BatchID]])&lt;&gt;1,"n.a.",TblOutcomes[[#This Row],[Qty Wasted]]*SUMIFS(TblPurchases[Unit Cost (CLP)],TblPurchases[BatchID],TblOutcomes[[#This Row],[BatchID]]))</f>
        <v>7209</v>
      </c>
      <c r="Q2104" s="51">
        <f>IF(COUNTIF(TblPurchases[BatchID],TblOutcomes[[#This Row],[BatchID]])&lt;&gt;1,"n.a.",SUMIFS(TblPurchases[Purchase Date],TblPurchases[BatchID],TblOutcomes[[#This Row],[BatchID]]))</f>
        <v>45602</v>
      </c>
    </row>
    <row r="2105" spans="2:17" x14ac:dyDescent="0.25">
      <c r="B2105" s="2" t="s">
        <v>2910</v>
      </c>
      <c r="C2105" s="2" t="s">
        <v>252</v>
      </c>
      <c r="D2105" s="2" t="s">
        <v>237</v>
      </c>
      <c r="E2105" s="2" t="s">
        <v>4647</v>
      </c>
      <c r="F2105" s="2">
        <v>19</v>
      </c>
      <c r="G2105" s="2">
        <v>19</v>
      </c>
      <c r="H2105" s="2">
        <v>0</v>
      </c>
      <c r="I2105" s="1">
        <v>0</v>
      </c>
      <c r="J2105" s="26">
        <v>45639</v>
      </c>
      <c r="K2105" s="22">
        <v>104500</v>
      </c>
      <c r="L2105" s="18">
        <v>111.76</v>
      </c>
      <c r="M2105" s="22">
        <v>76950</v>
      </c>
      <c r="N2105" s="22">
        <v>27550</v>
      </c>
      <c r="O2105" s="18">
        <v>29.47</v>
      </c>
      <c r="P2105" s="52">
        <f>IF(COUNTIF(TblPurchases[BatchID],TblOutcomes[[#This Row],[BatchID]])&lt;&gt;1,"n.a.",TblOutcomes[[#This Row],[Qty Wasted]]*SUMIFS(TblPurchases[Unit Cost (CLP)],TblPurchases[BatchID],TblOutcomes[[#This Row],[BatchID]]))</f>
        <v>0</v>
      </c>
      <c r="Q2105" s="51">
        <f>IF(COUNTIF(TblPurchases[BatchID],TblOutcomes[[#This Row],[BatchID]])&lt;&gt;1,"n.a.",SUMIFS(TblPurchases[Purchase Date],TblPurchases[BatchID],TblOutcomes[[#This Row],[BatchID]]))</f>
        <v>45625</v>
      </c>
    </row>
    <row r="2106" spans="2:17" x14ac:dyDescent="0.25">
      <c r="B2106" s="2" t="s">
        <v>2911</v>
      </c>
      <c r="C2106" s="2" t="s">
        <v>252</v>
      </c>
      <c r="D2106" s="2" t="s">
        <v>237</v>
      </c>
      <c r="E2106" s="2" t="s">
        <v>4647</v>
      </c>
      <c r="F2106" s="2">
        <v>26</v>
      </c>
      <c r="G2106" s="2">
        <v>26</v>
      </c>
      <c r="H2106" s="2">
        <v>0</v>
      </c>
      <c r="I2106" s="1">
        <v>0</v>
      </c>
      <c r="J2106" s="26">
        <v>45666</v>
      </c>
      <c r="K2106" s="22">
        <v>143000</v>
      </c>
      <c r="L2106" s="18">
        <v>152.94</v>
      </c>
      <c r="M2106" s="22">
        <v>105300</v>
      </c>
      <c r="N2106" s="22">
        <v>37700</v>
      </c>
      <c r="O2106" s="18">
        <v>40.32</v>
      </c>
      <c r="P2106" s="52">
        <f>IF(COUNTIF(TblPurchases[BatchID],TblOutcomes[[#This Row],[BatchID]])&lt;&gt;1,"n.a.",TblOutcomes[[#This Row],[Qty Wasted]]*SUMIFS(TblPurchases[Unit Cost (CLP)],TblPurchases[BatchID],TblOutcomes[[#This Row],[BatchID]]))</f>
        <v>0</v>
      </c>
      <c r="Q2106" s="51">
        <f>IF(COUNTIF(TblPurchases[BatchID],TblOutcomes[[#This Row],[BatchID]])&lt;&gt;1,"n.a.",SUMIFS(TblPurchases[Purchase Date],TblPurchases[BatchID],TblOutcomes[[#This Row],[BatchID]]))</f>
        <v>45644</v>
      </c>
    </row>
    <row r="2107" spans="2:17" x14ac:dyDescent="0.25">
      <c r="B2107" s="2" t="s">
        <v>2912</v>
      </c>
      <c r="C2107" s="2" t="s">
        <v>252</v>
      </c>
      <c r="D2107" s="2" t="s">
        <v>237</v>
      </c>
      <c r="E2107" s="2" t="s">
        <v>4646</v>
      </c>
      <c r="F2107" s="2">
        <v>25</v>
      </c>
      <c r="G2107" s="2">
        <v>22.95</v>
      </c>
      <c r="H2107" s="2">
        <v>2.0499999999999998</v>
      </c>
      <c r="I2107" s="1">
        <v>8.1999999999999993</v>
      </c>
      <c r="J2107" s="26">
        <v>45842</v>
      </c>
      <c r="K2107" s="22">
        <v>126225</v>
      </c>
      <c r="L2107" s="18">
        <v>135</v>
      </c>
      <c r="M2107" s="22">
        <v>101250</v>
      </c>
      <c r="N2107" s="22">
        <v>24975</v>
      </c>
      <c r="O2107" s="18">
        <v>26.71</v>
      </c>
      <c r="P2107" s="52">
        <f>IF(COUNTIF(TblPurchases[BatchID],TblOutcomes[[#This Row],[BatchID]])&lt;&gt;1,"n.a.",TblOutcomes[[#This Row],[Qty Wasted]]*SUMIFS(TblPurchases[Unit Cost (CLP)],TblPurchases[BatchID],TblOutcomes[[#This Row],[BatchID]]))</f>
        <v>8302.5</v>
      </c>
      <c r="Q2107" s="51">
        <f>IF(COUNTIF(TblPurchases[BatchID],TblOutcomes[[#This Row],[BatchID]])&lt;&gt;1,"n.a.",SUMIFS(TblPurchases[Purchase Date],TblPurchases[BatchID],TblOutcomes[[#This Row],[BatchID]]))</f>
        <v>45662</v>
      </c>
    </row>
    <row r="2108" spans="2:17" x14ac:dyDescent="0.25">
      <c r="B2108" s="2" t="s">
        <v>2913</v>
      </c>
      <c r="C2108" s="2" t="s">
        <v>252</v>
      </c>
      <c r="D2108" s="2" t="s">
        <v>237</v>
      </c>
      <c r="E2108" s="2" t="s">
        <v>4646</v>
      </c>
      <c r="F2108" s="2">
        <v>21</v>
      </c>
      <c r="G2108" s="2">
        <v>18.690000000000001</v>
      </c>
      <c r="H2108" s="2">
        <v>2.31</v>
      </c>
      <c r="I2108" s="1">
        <v>11</v>
      </c>
      <c r="J2108" s="26">
        <v>45861</v>
      </c>
      <c r="K2108" s="22">
        <v>102795</v>
      </c>
      <c r="L2108" s="18">
        <v>109.94</v>
      </c>
      <c r="M2108" s="22">
        <v>85050</v>
      </c>
      <c r="N2108" s="22">
        <v>17745</v>
      </c>
      <c r="O2108" s="18">
        <v>18.98</v>
      </c>
      <c r="P2108" s="52">
        <f>IF(COUNTIF(TblPurchases[BatchID],TblOutcomes[[#This Row],[BatchID]])&lt;&gt;1,"n.a.",TblOutcomes[[#This Row],[Qty Wasted]]*SUMIFS(TblPurchases[Unit Cost (CLP)],TblPurchases[BatchID],TblOutcomes[[#This Row],[BatchID]]))</f>
        <v>9355.5</v>
      </c>
      <c r="Q2108" s="51">
        <f>IF(COUNTIF(TblPurchases[BatchID],TblOutcomes[[#This Row],[BatchID]])&lt;&gt;1,"n.a.",SUMIFS(TblPurchases[Purchase Date],TblPurchases[BatchID],TblOutcomes[[#This Row],[BatchID]]))</f>
        <v>45681</v>
      </c>
    </row>
    <row r="2109" spans="2:17" x14ac:dyDescent="0.25">
      <c r="B2109" s="2" t="s">
        <v>2914</v>
      </c>
      <c r="C2109" s="2" t="s">
        <v>252</v>
      </c>
      <c r="D2109" s="2" t="s">
        <v>237</v>
      </c>
      <c r="E2109" s="2" t="s">
        <v>4647</v>
      </c>
      <c r="F2109" s="2">
        <v>20</v>
      </c>
      <c r="G2109" s="2">
        <v>20</v>
      </c>
      <c r="H2109" s="2">
        <v>0</v>
      </c>
      <c r="I2109" s="1">
        <v>0</v>
      </c>
      <c r="J2109" s="26">
        <v>45723</v>
      </c>
      <c r="K2109" s="22">
        <v>110000</v>
      </c>
      <c r="L2109" s="18">
        <v>117.65</v>
      </c>
      <c r="M2109" s="22">
        <v>81000</v>
      </c>
      <c r="N2109" s="22">
        <v>29000</v>
      </c>
      <c r="O2109" s="18">
        <v>31.02</v>
      </c>
      <c r="P2109" s="52">
        <f>IF(COUNTIF(TblPurchases[BatchID],TblOutcomes[[#This Row],[BatchID]])&lt;&gt;1,"n.a.",TblOutcomes[[#This Row],[Qty Wasted]]*SUMIFS(TblPurchases[Unit Cost (CLP)],TblPurchases[BatchID],TblOutcomes[[#This Row],[BatchID]]))</f>
        <v>0</v>
      </c>
      <c r="Q2109" s="51">
        <f>IF(COUNTIF(TblPurchases[BatchID],TblOutcomes[[#This Row],[BatchID]])&lt;&gt;1,"n.a.",SUMIFS(TblPurchases[Purchase Date],TblPurchases[BatchID],TblOutcomes[[#This Row],[BatchID]]))</f>
        <v>45707</v>
      </c>
    </row>
    <row r="2110" spans="2:17" x14ac:dyDescent="0.25">
      <c r="B2110" s="2" t="s">
        <v>2915</v>
      </c>
      <c r="C2110" s="2" t="s">
        <v>252</v>
      </c>
      <c r="D2110" s="2" t="s">
        <v>237</v>
      </c>
      <c r="E2110" s="2" t="s">
        <v>4646</v>
      </c>
      <c r="F2110" s="2">
        <v>20</v>
      </c>
      <c r="G2110" s="2">
        <v>18.899999999999999</v>
      </c>
      <c r="H2110" s="2">
        <v>1.1000000000000001</v>
      </c>
      <c r="I2110" s="1">
        <v>5.5</v>
      </c>
      <c r="J2110" s="26">
        <v>45907</v>
      </c>
      <c r="K2110" s="22">
        <v>103950</v>
      </c>
      <c r="L2110" s="18">
        <v>111.18</v>
      </c>
      <c r="M2110" s="22">
        <v>81000</v>
      </c>
      <c r="N2110" s="22">
        <v>22950</v>
      </c>
      <c r="O2110" s="18">
        <v>24.55</v>
      </c>
      <c r="P2110" s="52">
        <f>IF(COUNTIF(TblPurchases[BatchID],TblOutcomes[[#This Row],[BatchID]])&lt;&gt;1,"n.a.",TblOutcomes[[#This Row],[Qty Wasted]]*SUMIFS(TblPurchases[Unit Cost (CLP)],TblPurchases[BatchID],TblOutcomes[[#This Row],[BatchID]]))</f>
        <v>4455</v>
      </c>
      <c r="Q2110" s="51">
        <f>IF(COUNTIF(TblPurchases[BatchID],TblOutcomes[[#This Row],[BatchID]])&lt;&gt;1,"n.a.",SUMIFS(TblPurchases[Purchase Date],TblPurchases[BatchID],TblOutcomes[[#This Row],[BatchID]]))</f>
        <v>45727</v>
      </c>
    </row>
    <row r="2111" spans="2:17" x14ac:dyDescent="0.25">
      <c r="B2111" s="2" t="s">
        <v>2916</v>
      </c>
      <c r="C2111" s="2" t="s">
        <v>252</v>
      </c>
      <c r="D2111" s="2" t="s">
        <v>237</v>
      </c>
      <c r="E2111" s="2" t="s">
        <v>4647</v>
      </c>
      <c r="F2111" s="2">
        <v>19</v>
      </c>
      <c r="G2111" s="2">
        <v>19</v>
      </c>
      <c r="H2111" s="2">
        <v>0</v>
      </c>
      <c r="I2111" s="1">
        <v>0</v>
      </c>
      <c r="J2111" s="26">
        <v>45760</v>
      </c>
      <c r="K2111" s="22">
        <v>104500</v>
      </c>
      <c r="L2111" s="18">
        <v>111.76</v>
      </c>
      <c r="M2111" s="22">
        <v>76950</v>
      </c>
      <c r="N2111" s="22">
        <v>27550</v>
      </c>
      <c r="O2111" s="18">
        <v>29.47</v>
      </c>
      <c r="P2111" s="52">
        <f>IF(COUNTIF(TblPurchases[BatchID],TblOutcomes[[#This Row],[BatchID]])&lt;&gt;1,"n.a.",TblOutcomes[[#This Row],[Qty Wasted]]*SUMIFS(TblPurchases[Unit Cost (CLP)],TblPurchases[BatchID],TblOutcomes[[#This Row],[BatchID]]))</f>
        <v>0</v>
      </c>
      <c r="Q2111" s="51">
        <f>IF(COUNTIF(TblPurchases[BatchID],TblOutcomes[[#This Row],[BatchID]])&lt;&gt;1,"n.a.",SUMIFS(TblPurchases[Purchase Date],TblPurchases[BatchID],TblOutcomes[[#This Row],[BatchID]]))</f>
        <v>45748</v>
      </c>
    </row>
    <row r="2112" spans="2:17" x14ac:dyDescent="0.25">
      <c r="B2112" s="2" t="s">
        <v>2917</v>
      </c>
      <c r="C2112" s="2" t="s">
        <v>252</v>
      </c>
      <c r="D2112" s="2" t="s">
        <v>237</v>
      </c>
      <c r="E2112" s="2" t="s">
        <v>4647</v>
      </c>
      <c r="F2112" s="2">
        <v>21</v>
      </c>
      <c r="G2112" s="2">
        <v>21</v>
      </c>
      <c r="H2112" s="2">
        <v>0</v>
      </c>
      <c r="I2112" s="1">
        <v>0</v>
      </c>
      <c r="J2112" s="26">
        <v>45785</v>
      </c>
      <c r="K2112" s="22">
        <v>115500</v>
      </c>
      <c r="L2112" s="18">
        <v>123.53</v>
      </c>
      <c r="M2112" s="22">
        <v>85050</v>
      </c>
      <c r="N2112" s="22">
        <v>30450</v>
      </c>
      <c r="O2112" s="18">
        <v>32.57</v>
      </c>
      <c r="P2112" s="52">
        <f>IF(COUNTIF(TblPurchases[BatchID],TblOutcomes[[#This Row],[BatchID]])&lt;&gt;1,"n.a.",TblOutcomes[[#This Row],[Qty Wasted]]*SUMIFS(TblPurchases[Unit Cost (CLP)],TblPurchases[BatchID],TblOutcomes[[#This Row],[BatchID]]))</f>
        <v>0</v>
      </c>
      <c r="Q2112" s="51">
        <f>IF(COUNTIF(TblPurchases[BatchID],TblOutcomes[[#This Row],[BatchID]])&lt;&gt;1,"n.a.",SUMIFS(TblPurchases[Purchase Date],TblPurchases[BatchID],TblOutcomes[[#This Row],[BatchID]]))</f>
        <v>45767</v>
      </c>
    </row>
    <row r="2113" spans="2:17" x14ac:dyDescent="0.25">
      <c r="B2113" s="2" t="s">
        <v>2918</v>
      </c>
      <c r="C2113" s="2" t="s">
        <v>252</v>
      </c>
      <c r="D2113" s="2" t="s">
        <v>237</v>
      </c>
      <c r="E2113" s="2" t="s">
        <v>4646</v>
      </c>
      <c r="F2113" s="2">
        <v>25</v>
      </c>
      <c r="G2113" s="2">
        <v>24.12</v>
      </c>
      <c r="H2113" s="2">
        <v>0.88</v>
      </c>
      <c r="I2113" s="1">
        <v>3.5</v>
      </c>
      <c r="J2113" s="26">
        <v>45968</v>
      </c>
      <c r="K2113" s="22">
        <v>132660</v>
      </c>
      <c r="L2113" s="18">
        <v>141.88</v>
      </c>
      <c r="M2113" s="22">
        <v>101250</v>
      </c>
      <c r="N2113" s="22">
        <v>31410</v>
      </c>
      <c r="O2113" s="18">
        <v>33.590000000000003</v>
      </c>
      <c r="P2113" s="52">
        <f>IF(COUNTIF(TblPurchases[BatchID],TblOutcomes[[#This Row],[BatchID]])&lt;&gt;1,"n.a.",TblOutcomes[[#This Row],[Qty Wasted]]*SUMIFS(TblPurchases[Unit Cost (CLP)],TblPurchases[BatchID],TblOutcomes[[#This Row],[BatchID]]))</f>
        <v>3564</v>
      </c>
      <c r="Q2113" s="51">
        <f>IF(COUNTIF(TblPurchases[BatchID],TblOutcomes[[#This Row],[BatchID]])&lt;&gt;1,"n.a.",SUMIFS(TblPurchases[Purchase Date],TblPurchases[BatchID],TblOutcomes[[#This Row],[BatchID]]))</f>
        <v>45788</v>
      </c>
    </row>
    <row r="2114" spans="2:17" x14ac:dyDescent="0.25">
      <c r="B2114" s="2" t="s">
        <v>2919</v>
      </c>
      <c r="C2114" s="2" t="s">
        <v>252</v>
      </c>
      <c r="D2114" s="2" t="s">
        <v>237</v>
      </c>
      <c r="E2114" s="2" t="s">
        <v>4647</v>
      </c>
      <c r="F2114" s="2">
        <v>21</v>
      </c>
      <c r="G2114" s="2">
        <v>21</v>
      </c>
      <c r="H2114" s="2">
        <v>0</v>
      </c>
      <c r="I2114" s="1">
        <v>0</v>
      </c>
      <c r="J2114" s="26">
        <v>45990</v>
      </c>
      <c r="K2114" s="22">
        <v>115500</v>
      </c>
      <c r="L2114" s="18">
        <v>123.53</v>
      </c>
      <c r="M2114" s="22">
        <v>85050</v>
      </c>
      <c r="N2114" s="22">
        <v>30450</v>
      </c>
      <c r="O2114" s="18">
        <v>32.57</v>
      </c>
      <c r="P2114" s="52">
        <f>IF(COUNTIF(TblPurchases[BatchID],TblOutcomes[[#This Row],[BatchID]])&lt;&gt;1,"n.a.",TblOutcomes[[#This Row],[Qty Wasted]]*SUMIFS(TblPurchases[Unit Cost (CLP)],TblPurchases[BatchID],TblOutcomes[[#This Row],[BatchID]]))</f>
        <v>0</v>
      </c>
      <c r="Q2114" s="51">
        <f>IF(COUNTIF(TblPurchases[BatchID],TblOutcomes[[#This Row],[BatchID]])&lt;&gt;1,"n.a.",SUMIFS(TblPurchases[Purchase Date],TblPurchases[BatchID],TblOutcomes[[#This Row],[BatchID]]))</f>
        <v>45810</v>
      </c>
    </row>
    <row r="2115" spans="2:17" x14ac:dyDescent="0.25">
      <c r="B2115" s="2" t="s">
        <v>2920</v>
      </c>
      <c r="C2115" s="2" t="s">
        <v>252</v>
      </c>
      <c r="D2115" s="2" t="s">
        <v>237</v>
      </c>
      <c r="E2115" s="2" t="s">
        <v>4647</v>
      </c>
      <c r="F2115" s="2">
        <v>22</v>
      </c>
      <c r="G2115" s="2">
        <v>22</v>
      </c>
      <c r="H2115" s="2">
        <v>0</v>
      </c>
      <c r="I2115" s="1">
        <v>0</v>
      </c>
      <c r="J2115" s="26">
        <v>45854</v>
      </c>
      <c r="K2115" s="22">
        <v>121000</v>
      </c>
      <c r="L2115" s="18">
        <v>129.41</v>
      </c>
      <c r="M2115" s="22">
        <v>89100</v>
      </c>
      <c r="N2115" s="22">
        <v>31900</v>
      </c>
      <c r="O2115" s="18">
        <v>34.119999999999997</v>
      </c>
      <c r="P2115" s="52">
        <f>IF(COUNTIF(TblPurchases[BatchID],TblOutcomes[[#This Row],[BatchID]])&lt;&gt;1,"n.a.",TblOutcomes[[#This Row],[Qty Wasted]]*SUMIFS(TblPurchases[Unit Cost (CLP)],TblPurchases[BatchID],TblOutcomes[[#This Row],[BatchID]]))</f>
        <v>0</v>
      </c>
      <c r="Q2115" s="51">
        <f>IF(COUNTIF(TblPurchases[BatchID],TblOutcomes[[#This Row],[BatchID]])&lt;&gt;1,"n.a.",SUMIFS(TblPurchases[Purchase Date],TblPurchases[BatchID],TblOutcomes[[#This Row],[BatchID]]))</f>
        <v>45834</v>
      </c>
    </row>
    <row r="2116" spans="2:17" x14ac:dyDescent="0.25">
      <c r="B2116" s="2" t="s">
        <v>2921</v>
      </c>
      <c r="C2116" s="2" t="s">
        <v>254</v>
      </c>
      <c r="D2116" s="2" t="s">
        <v>256</v>
      </c>
      <c r="E2116" s="2" t="s">
        <v>4647</v>
      </c>
      <c r="F2116" s="2">
        <v>22</v>
      </c>
      <c r="G2116" s="2">
        <v>22</v>
      </c>
      <c r="H2116" s="2">
        <v>0</v>
      </c>
      <c r="I2116" s="1">
        <v>0</v>
      </c>
      <c r="J2116" s="26">
        <v>45136</v>
      </c>
      <c r="K2116" s="22">
        <v>198000</v>
      </c>
      <c r="L2116" s="18">
        <v>211.76</v>
      </c>
      <c r="M2116" s="22">
        <v>149600</v>
      </c>
      <c r="N2116" s="22">
        <v>48400</v>
      </c>
      <c r="O2116" s="18">
        <v>51.76</v>
      </c>
      <c r="P2116" s="52">
        <f>IF(COUNTIF(TblPurchases[BatchID],TblOutcomes[[#This Row],[BatchID]])&lt;&gt;1,"n.a.",TblOutcomes[[#This Row],[Qty Wasted]]*SUMIFS(TblPurchases[Unit Cost (CLP)],TblPurchases[BatchID],TblOutcomes[[#This Row],[BatchID]]))</f>
        <v>0</v>
      </c>
      <c r="Q2116" s="51">
        <f>IF(COUNTIF(TblPurchases[BatchID],TblOutcomes[[#This Row],[BatchID]])&lt;&gt;1,"n.a.",SUMIFS(TblPurchases[Purchase Date],TblPurchases[BatchID],TblOutcomes[[#This Row],[BatchID]]))</f>
        <v>45120</v>
      </c>
    </row>
    <row r="2117" spans="2:17" x14ac:dyDescent="0.25">
      <c r="B2117" s="2" t="s">
        <v>2922</v>
      </c>
      <c r="C2117" s="2" t="s">
        <v>254</v>
      </c>
      <c r="D2117" s="2" t="s">
        <v>256</v>
      </c>
      <c r="E2117" s="2" t="s">
        <v>4647</v>
      </c>
      <c r="F2117" s="2">
        <v>22</v>
      </c>
      <c r="G2117" s="2">
        <v>22</v>
      </c>
      <c r="H2117" s="2">
        <v>0</v>
      </c>
      <c r="I2117" s="1">
        <v>0</v>
      </c>
      <c r="J2117" s="26">
        <v>45160</v>
      </c>
      <c r="K2117" s="22">
        <v>198000</v>
      </c>
      <c r="L2117" s="18">
        <v>211.76</v>
      </c>
      <c r="M2117" s="22">
        <v>149600</v>
      </c>
      <c r="N2117" s="22">
        <v>48400</v>
      </c>
      <c r="O2117" s="18">
        <v>51.76</v>
      </c>
      <c r="P2117" s="52">
        <f>IF(COUNTIF(TblPurchases[BatchID],TblOutcomes[[#This Row],[BatchID]])&lt;&gt;1,"n.a.",TblOutcomes[[#This Row],[Qty Wasted]]*SUMIFS(TblPurchases[Unit Cost (CLP)],TblPurchases[BatchID],TblOutcomes[[#This Row],[BatchID]]))</f>
        <v>0</v>
      </c>
      <c r="Q2117" s="51">
        <f>IF(COUNTIF(TblPurchases[BatchID],TblOutcomes[[#This Row],[BatchID]])&lt;&gt;1,"n.a.",SUMIFS(TblPurchases[Purchase Date],TblPurchases[BatchID],TblOutcomes[[#This Row],[BatchID]]))</f>
        <v>45145</v>
      </c>
    </row>
    <row r="2118" spans="2:17" x14ac:dyDescent="0.25">
      <c r="B2118" s="2" t="s">
        <v>2923</v>
      </c>
      <c r="C2118" s="2" t="s">
        <v>254</v>
      </c>
      <c r="D2118" s="2" t="s">
        <v>256</v>
      </c>
      <c r="E2118" s="2" t="s">
        <v>4647</v>
      </c>
      <c r="F2118" s="2">
        <v>21</v>
      </c>
      <c r="G2118" s="2">
        <v>21</v>
      </c>
      <c r="H2118" s="2">
        <v>0</v>
      </c>
      <c r="I2118" s="1">
        <v>0</v>
      </c>
      <c r="J2118" s="26">
        <v>45189</v>
      </c>
      <c r="K2118" s="22">
        <v>189000</v>
      </c>
      <c r="L2118" s="18">
        <v>202.14</v>
      </c>
      <c r="M2118" s="22">
        <v>142800</v>
      </c>
      <c r="N2118" s="22">
        <v>46200</v>
      </c>
      <c r="O2118" s="18">
        <v>49.41</v>
      </c>
      <c r="P2118" s="52">
        <f>IF(COUNTIF(TblPurchases[BatchID],TblOutcomes[[#This Row],[BatchID]])&lt;&gt;1,"n.a.",TblOutcomes[[#This Row],[Qty Wasted]]*SUMIFS(TblPurchases[Unit Cost (CLP)],TblPurchases[BatchID],TblOutcomes[[#This Row],[BatchID]]))</f>
        <v>0</v>
      </c>
      <c r="Q2118" s="51">
        <f>IF(COUNTIF(TblPurchases[BatchID],TblOutcomes[[#This Row],[BatchID]])&lt;&gt;1,"n.a.",SUMIFS(TblPurchases[Purchase Date],TblPurchases[BatchID],TblOutcomes[[#This Row],[BatchID]]))</f>
        <v>45168</v>
      </c>
    </row>
    <row r="2119" spans="2:17" x14ac:dyDescent="0.25">
      <c r="B2119" s="2" t="s">
        <v>2924</v>
      </c>
      <c r="C2119" s="2" t="s">
        <v>254</v>
      </c>
      <c r="D2119" s="2" t="s">
        <v>256</v>
      </c>
      <c r="E2119" s="2" t="s">
        <v>4646</v>
      </c>
      <c r="F2119" s="2">
        <v>22</v>
      </c>
      <c r="G2119" s="2">
        <v>20.99</v>
      </c>
      <c r="H2119" s="2">
        <v>1.01</v>
      </c>
      <c r="I2119" s="1">
        <v>4.5999999999999996</v>
      </c>
      <c r="J2119" s="26">
        <v>45400</v>
      </c>
      <c r="K2119" s="22">
        <v>188910</v>
      </c>
      <c r="L2119" s="18">
        <v>202.04</v>
      </c>
      <c r="M2119" s="22">
        <v>149600</v>
      </c>
      <c r="N2119" s="22">
        <v>39310</v>
      </c>
      <c r="O2119" s="18">
        <v>42.04</v>
      </c>
      <c r="P2119" s="52">
        <f>IF(COUNTIF(TblPurchases[BatchID],TblOutcomes[[#This Row],[BatchID]])&lt;&gt;1,"n.a.",TblOutcomes[[#This Row],[Qty Wasted]]*SUMIFS(TblPurchases[Unit Cost (CLP)],TblPurchases[BatchID],TblOutcomes[[#This Row],[BatchID]]))</f>
        <v>6868</v>
      </c>
      <c r="Q2119" s="51">
        <f>IF(COUNTIF(TblPurchases[BatchID],TblOutcomes[[#This Row],[BatchID]])&lt;&gt;1,"n.a.",SUMIFS(TblPurchases[Purchase Date],TblPurchases[BatchID],TblOutcomes[[#This Row],[BatchID]]))</f>
        <v>45190</v>
      </c>
    </row>
    <row r="2120" spans="2:17" x14ac:dyDescent="0.25">
      <c r="B2120" s="2" t="s">
        <v>2925</v>
      </c>
      <c r="C2120" s="2" t="s">
        <v>254</v>
      </c>
      <c r="D2120" s="2" t="s">
        <v>256</v>
      </c>
      <c r="E2120" s="2" t="s">
        <v>4647</v>
      </c>
      <c r="F2120" s="2">
        <v>8</v>
      </c>
      <c r="G2120" s="2">
        <v>8</v>
      </c>
      <c r="H2120" s="2">
        <v>0</v>
      </c>
      <c r="I2120" s="1">
        <v>0</v>
      </c>
      <c r="J2120" s="26">
        <v>45215</v>
      </c>
      <c r="K2120" s="22">
        <v>72000</v>
      </c>
      <c r="L2120" s="18">
        <v>77.010000000000005</v>
      </c>
      <c r="M2120" s="22">
        <v>54400</v>
      </c>
      <c r="N2120" s="22">
        <v>17600</v>
      </c>
      <c r="O2120" s="18">
        <v>18.82</v>
      </c>
      <c r="P2120" s="52">
        <f>IF(COUNTIF(TblPurchases[BatchID],TblOutcomes[[#This Row],[BatchID]])&lt;&gt;1,"n.a.",TblOutcomes[[#This Row],[Qty Wasted]]*SUMIFS(TblPurchases[Unit Cost (CLP)],TblPurchases[BatchID],TblOutcomes[[#This Row],[BatchID]]))</f>
        <v>0</v>
      </c>
      <c r="Q2120" s="51">
        <f>IF(COUNTIF(TblPurchases[BatchID],TblOutcomes[[#This Row],[BatchID]])&lt;&gt;1,"n.a.",SUMIFS(TblPurchases[Purchase Date],TblPurchases[BatchID],TblOutcomes[[#This Row],[BatchID]]))</f>
        <v>45206</v>
      </c>
    </row>
    <row r="2121" spans="2:17" x14ac:dyDescent="0.25">
      <c r="B2121" s="2" t="s">
        <v>2926</v>
      </c>
      <c r="C2121" s="2" t="s">
        <v>254</v>
      </c>
      <c r="D2121" s="2" t="s">
        <v>256</v>
      </c>
      <c r="E2121" s="2" t="s">
        <v>4647</v>
      </c>
      <c r="F2121" s="2">
        <v>6</v>
      </c>
      <c r="G2121" s="2">
        <v>6</v>
      </c>
      <c r="H2121" s="2">
        <v>0</v>
      </c>
      <c r="I2121" s="1">
        <v>0</v>
      </c>
      <c r="J2121" s="26">
        <v>45243</v>
      </c>
      <c r="K2121" s="22">
        <v>54000</v>
      </c>
      <c r="L2121" s="18">
        <v>57.75</v>
      </c>
      <c r="M2121" s="22">
        <v>40800</v>
      </c>
      <c r="N2121" s="22">
        <v>13200</v>
      </c>
      <c r="O2121" s="18">
        <v>14.12</v>
      </c>
      <c r="P2121" s="52">
        <f>IF(COUNTIF(TblPurchases[BatchID],TblOutcomes[[#This Row],[BatchID]])&lt;&gt;1,"n.a.",TblOutcomes[[#This Row],[Qty Wasted]]*SUMIFS(TblPurchases[Unit Cost (CLP)],TblPurchases[BatchID],TblOutcomes[[#This Row],[BatchID]]))</f>
        <v>0</v>
      </c>
      <c r="Q2121" s="51">
        <f>IF(COUNTIF(TblPurchases[BatchID],TblOutcomes[[#This Row],[BatchID]])&lt;&gt;1,"n.a.",SUMIFS(TblPurchases[Purchase Date],TblPurchases[BatchID],TblOutcomes[[#This Row],[BatchID]]))</f>
        <v>45226</v>
      </c>
    </row>
    <row r="2122" spans="2:17" x14ac:dyDescent="0.25">
      <c r="B2122" s="2" t="s">
        <v>2927</v>
      </c>
      <c r="C2122" s="2" t="s">
        <v>254</v>
      </c>
      <c r="D2122" s="2" t="s">
        <v>256</v>
      </c>
      <c r="E2122" s="2" t="s">
        <v>4646</v>
      </c>
      <c r="F2122" s="2">
        <v>6</v>
      </c>
      <c r="G2122" s="2">
        <v>5.39</v>
      </c>
      <c r="H2122" s="2">
        <v>0.61</v>
      </c>
      <c r="I2122" s="1">
        <v>10.1</v>
      </c>
      <c r="J2122" s="26">
        <v>45458</v>
      </c>
      <c r="K2122" s="22">
        <v>48510</v>
      </c>
      <c r="L2122" s="18">
        <v>51.88</v>
      </c>
      <c r="M2122" s="22">
        <v>40800</v>
      </c>
      <c r="N2122" s="22">
        <v>7710</v>
      </c>
      <c r="O2122" s="18">
        <v>8.25</v>
      </c>
      <c r="P2122" s="52">
        <f>IF(COUNTIF(TblPurchases[BatchID],TblOutcomes[[#This Row],[BatchID]])&lt;&gt;1,"n.a.",TblOutcomes[[#This Row],[Qty Wasted]]*SUMIFS(TblPurchases[Unit Cost (CLP)],TblPurchases[BatchID],TblOutcomes[[#This Row],[BatchID]]))</f>
        <v>4148</v>
      </c>
      <c r="Q2122" s="51">
        <f>IF(COUNTIF(TblPurchases[BatchID],TblOutcomes[[#This Row],[BatchID]])&lt;&gt;1,"n.a.",SUMIFS(TblPurchases[Purchase Date],TblPurchases[BatchID],TblOutcomes[[#This Row],[BatchID]]))</f>
        <v>45248</v>
      </c>
    </row>
    <row r="2123" spans="2:17" x14ac:dyDescent="0.25">
      <c r="B2123" s="2" t="s">
        <v>2928</v>
      </c>
      <c r="C2123" s="2" t="s">
        <v>254</v>
      </c>
      <c r="D2123" s="2" t="s">
        <v>256</v>
      </c>
      <c r="E2123" s="2" t="s">
        <v>4646</v>
      </c>
      <c r="F2123" s="2">
        <v>9</v>
      </c>
      <c r="G2123" s="2">
        <v>8.66</v>
      </c>
      <c r="H2123" s="2">
        <v>0.34</v>
      </c>
      <c r="I2123" s="1">
        <v>3.8</v>
      </c>
      <c r="J2123" s="26">
        <v>45474</v>
      </c>
      <c r="K2123" s="22">
        <v>77940</v>
      </c>
      <c r="L2123" s="18">
        <v>83.36</v>
      </c>
      <c r="M2123" s="22">
        <v>61200</v>
      </c>
      <c r="N2123" s="22">
        <v>16740</v>
      </c>
      <c r="O2123" s="18">
        <v>17.899999999999999</v>
      </c>
      <c r="P2123" s="52">
        <f>IF(COUNTIF(TblPurchases[BatchID],TblOutcomes[[#This Row],[BatchID]])&lt;&gt;1,"n.a.",TblOutcomes[[#This Row],[Qty Wasted]]*SUMIFS(TblPurchases[Unit Cost (CLP)],TblPurchases[BatchID],TblOutcomes[[#This Row],[BatchID]]))</f>
        <v>2312</v>
      </c>
      <c r="Q2123" s="51">
        <f>IF(COUNTIF(TblPurchases[BatchID],TblOutcomes[[#This Row],[BatchID]])&lt;&gt;1,"n.a.",SUMIFS(TblPurchases[Purchase Date],TblPurchases[BatchID],TblOutcomes[[#This Row],[BatchID]]))</f>
        <v>45264</v>
      </c>
    </row>
    <row r="2124" spans="2:17" x14ac:dyDescent="0.25">
      <c r="B2124" s="2" t="s">
        <v>2929</v>
      </c>
      <c r="C2124" s="2" t="s">
        <v>254</v>
      </c>
      <c r="D2124" s="2" t="s">
        <v>256</v>
      </c>
      <c r="E2124" s="2" t="s">
        <v>4647</v>
      </c>
      <c r="F2124" s="2">
        <v>9</v>
      </c>
      <c r="G2124" s="2">
        <v>9</v>
      </c>
      <c r="H2124" s="2">
        <v>0</v>
      </c>
      <c r="I2124" s="1">
        <v>0</v>
      </c>
      <c r="J2124" s="26">
        <v>45300</v>
      </c>
      <c r="K2124" s="22">
        <v>81000</v>
      </c>
      <c r="L2124" s="18">
        <v>86.63</v>
      </c>
      <c r="M2124" s="22">
        <v>61200</v>
      </c>
      <c r="N2124" s="22">
        <v>19800</v>
      </c>
      <c r="O2124" s="18">
        <v>21.18</v>
      </c>
      <c r="P2124" s="52">
        <f>IF(COUNTIF(TblPurchases[BatchID],TblOutcomes[[#This Row],[BatchID]])&lt;&gt;1,"n.a.",TblOutcomes[[#This Row],[Qty Wasted]]*SUMIFS(TblPurchases[Unit Cost (CLP)],TblPurchases[BatchID],TblOutcomes[[#This Row],[BatchID]]))</f>
        <v>0</v>
      </c>
      <c r="Q2124" s="51">
        <f>IF(COUNTIF(TblPurchases[BatchID],TblOutcomes[[#This Row],[BatchID]])&lt;&gt;1,"n.a.",SUMIFS(TblPurchases[Purchase Date],TblPurchases[BatchID],TblOutcomes[[#This Row],[BatchID]]))</f>
        <v>45285</v>
      </c>
    </row>
    <row r="2125" spans="2:17" x14ac:dyDescent="0.25">
      <c r="B2125" s="2" t="s">
        <v>2930</v>
      </c>
      <c r="C2125" s="2" t="s">
        <v>254</v>
      </c>
      <c r="D2125" s="2" t="s">
        <v>256</v>
      </c>
      <c r="E2125" s="2" t="s">
        <v>4646</v>
      </c>
      <c r="F2125" s="2">
        <v>8</v>
      </c>
      <c r="G2125" s="2">
        <v>7.74</v>
      </c>
      <c r="H2125" s="2">
        <v>0.26</v>
      </c>
      <c r="I2125" s="1">
        <v>3.3</v>
      </c>
      <c r="J2125" s="26">
        <v>45517</v>
      </c>
      <c r="K2125" s="22">
        <v>69660</v>
      </c>
      <c r="L2125" s="18">
        <v>74.5</v>
      </c>
      <c r="M2125" s="22">
        <v>54400</v>
      </c>
      <c r="N2125" s="22">
        <v>15260</v>
      </c>
      <c r="O2125" s="18">
        <v>16.32</v>
      </c>
      <c r="P2125" s="52">
        <f>IF(COUNTIF(TblPurchases[BatchID],TblOutcomes[[#This Row],[BatchID]])&lt;&gt;1,"n.a.",TblOutcomes[[#This Row],[Qty Wasted]]*SUMIFS(TblPurchases[Unit Cost (CLP)],TblPurchases[BatchID],TblOutcomes[[#This Row],[BatchID]]))</f>
        <v>1768</v>
      </c>
      <c r="Q2125" s="51">
        <f>IF(COUNTIF(TblPurchases[BatchID],TblOutcomes[[#This Row],[BatchID]])&lt;&gt;1,"n.a.",SUMIFS(TblPurchases[Purchase Date],TblPurchases[BatchID],TblOutcomes[[#This Row],[BatchID]]))</f>
        <v>45307</v>
      </c>
    </row>
    <row r="2126" spans="2:17" x14ac:dyDescent="0.25">
      <c r="B2126" s="2" t="s">
        <v>2931</v>
      </c>
      <c r="C2126" s="2" t="s">
        <v>254</v>
      </c>
      <c r="D2126" s="2" t="s">
        <v>256</v>
      </c>
      <c r="E2126" s="2" t="s">
        <v>4646</v>
      </c>
      <c r="F2126" s="2">
        <v>7</v>
      </c>
      <c r="G2126" s="2">
        <v>6.12</v>
      </c>
      <c r="H2126" s="2">
        <v>0.88</v>
      </c>
      <c r="I2126" s="1">
        <v>12.5</v>
      </c>
      <c r="J2126" s="26">
        <v>45544</v>
      </c>
      <c r="K2126" s="22">
        <v>55080</v>
      </c>
      <c r="L2126" s="18">
        <v>58.91</v>
      </c>
      <c r="M2126" s="22">
        <v>47600</v>
      </c>
      <c r="N2126" s="22">
        <v>7480</v>
      </c>
      <c r="O2126" s="18">
        <v>8</v>
      </c>
      <c r="P2126" s="52">
        <f>IF(COUNTIF(TblPurchases[BatchID],TblOutcomes[[#This Row],[BatchID]])&lt;&gt;1,"n.a.",TblOutcomes[[#This Row],[Qty Wasted]]*SUMIFS(TblPurchases[Unit Cost (CLP)],TblPurchases[BatchID],TblOutcomes[[#This Row],[BatchID]]))</f>
        <v>5984</v>
      </c>
      <c r="Q2126" s="51">
        <f>IF(COUNTIF(TblPurchases[BatchID],TblOutcomes[[#This Row],[BatchID]])&lt;&gt;1,"n.a.",SUMIFS(TblPurchases[Purchase Date],TblPurchases[BatchID],TblOutcomes[[#This Row],[BatchID]]))</f>
        <v>45334</v>
      </c>
    </row>
    <row r="2127" spans="2:17" x14ac:dyDescent="0.25">
      <c r="B2127" s="2" t="s">
        <v>2932</v>
      </c>
      <c r="C2127" s="2" t="s">
        <v>254</v>
      </c>
      <c r="D2127" s="2" t="s">
        <v>256</v>
      </c>
      <c r="E2127" s="2" t="s">
        <v>4646</v>
      </c>
      <c r="F2127" s="2">
        <v>7</v>
      </c>
      <c r="G2127" s="2">
        <v>6.48</v>
      </c>
      <c r="H2127" s="2">
        <v>0.52</v>
      </c>
      <c r="I2127" s="1">
        <v>7.4</v>
      </c>
      <c r="J2127" s="26">
        <v>45562</v>
      </c>
      <c r="K2127" s="22">
        <v>58320</v>
      </c>
      <c r="L2127" s="18">
        <v>62.37</v>
      </c>
      <c r="M2127" s="22">
        <v>47600</v>
      </c>
      <c r="N2127" s="22">
        <v>10720</v>
      </c>
      <c r="O2127" s="18">
        <v>11.47</v>
      </c>
      <c r="P2127" s="52">
        <f>IF(COUNTIF(TblPurchases[BatchID],TblOutcomes[[#This Row],[BatchID]])&lt;&gt;1,"n.a.",TblOutcomes[[#This Row],[Qty Wasted]]*SUMIFS(TblPurchases[Unit Cost (CLP)],TblPurchases[BatchID],TblOutcomes[[#This Row],[BatchID]]))</f>
        <v>3536</v>
      </c>
      <c r="Q2127" s="51">
        <f>IF(COUNTIF(TblPurchases[BatchID],TblOutcomes[[#This Row],[BatchID]])&lt;&gt;1,"n.a.",SUMIFS(TblPurchases[Purchase Date],TblPurchases[BatchID],TblOutcomes[[#This Row],[BatchID]]))</f>
        <v>45352</v>
      </c>
    </row>
    <row r="2128" spans="2:17" x14ac:dyDescent="0.25">
      <c r="B2128" s="2" t="s">
        <v>2933</v>
      </c>
      <c r="C2128" s="2" t="s">
        <v>254</v>
      </c>
      <c r="D2128" s="2" t="s">
        <v>256</v>
      </c>
      <c r="E2128" s="2" t="s">
        <v>4647</v>
      </c>
      <c r="F2128" s="2">
        <v>6</v>
      </c>
      <c r="G2128" s="2">
        <v>6</v>
      </c>
      <c r="H2128" s="2">
        <v>0</v>
      </c>
      <c r="I2128" s="1">
        <v>0</v>
      </c>
      <c r="J2128" s="26">
        <v>45390</v>
      </c>
      <c r="K2128" s="22">
        <v>54000</v>
      </c>
      <c r="L2128" s="18">
        <v>57.75</v>
      </c>
      <c r="M2128" s="22">
        <v>40800</v>
      </c>
      <c r="N2128" s="22">
        <v>13200</v>
      </c>
      <c r="O2128" s="18">
        <v>14.12</v>
      </c>
      <c r="P2128" s="52">
        <f>IF(COUNTIF(TblPurchases[BatchID],TblOutcomes[[#This Row],[BatchID]])&lt;&gt;1,"n.a.",TblOutcomes[[#This Row],[Qty Wasted]]*SUMIFS(TblPurchases[Unit Cost (CLP)],TblPurchases[BatchID],TblOutcomes[[#This Row],[BatchID]]))</f>
        <v>0</v>
      </c>
      <c r="Q2128" s="51">
        <f>IF(COUNTIF(TblPurchases[BatchID],TblOutcomes[[#This Row],[BatchID]])&lt;&gt;1,"n.a.",SUMIFS(TblPurchases[Purchase Date],TblPurchases[BatchID],TblOutcomes[[#This Row],[BatchID]]))</f>
        <v>45371</v>
      </c>
    </row>
    <row r="2129" spans="2:17" x14ac:dyDescent="0.25">
      <c r="B2129" s="2" t="s">
        <v>2934</v>
      </c>
      <c r="C2129" s="2" t="s">
        <v>254</v>
      </c>
      <c r="D2129" s="2" t="s">
        <v>256</v>
      </c>
      <c r="E2129" s="2" t="s">
        <v>4646</v>
      </c>
      <c r="F2129" s="2">
        <v>19</v>
      </c>
      <c r="G2129" s="2">
        <v>17.559999999999999</v>
      </c>
      <c r="H2129" s="2">
        <v>1.44</v>
      </c>
      <c r="I2129" s="1">
        <v>7.6</v>
      </c>
      <c r="J2129" s="26">
        <v>45599</v>
      </c>
      <c r="K2129" s="22">
        <v>158040</v>
      </c>
      <c r="L2129" s="18">
        <v>169.03</v>
      </c>
      <c r="M2129" s="22">
        <v>129200</v>
      </c>
      <c r="N2129" s="22">
        <v>28840</v>
      </c>
      <c r="O2129" s="18">
        <v>30.84</v>
      </c>
      <c r="P2129" s="52">
        <f>IF(COUNTIF(TblPurchases[BatchID],TblOutcomes[[#This Row],[BatchID]])&lt;&gt;1,"n.a.",TblOutcomes[[#This Row],[Qty Wasted]]*SUMIFS(TblPurchases[Unit Cost (CLP)],TblPurchases[BatchID],TblOutcomes[[#This Row],[BatchID]]))</f>
        <v>9792</v>
      </c>
      <c r="Q2129" s="51">
        <f>IF(COUNTIF(TblPurchases[BatchID],TblOutcomes[[#This Row],[BatchID]])&lt;&gt;1,"n.a.",SUMIFS(TblPurchases[Purchase Date],TblPurchases[BatchID],TblOutcomes[[#This Row],[BatchID]]))</f>
        <v>45389</v>
      </c>
    </row>
    <row r="2130" spans="2:17" x14ac:dyDescent="0.25">
      <c r="B2130" s="2" t="s">
        <v>2935</v>
      </c>
      <c r="C2130" s="2" t="s">
        <v>254</v>
      </c>
      <c r="D2130" s="2" t="s">
        <v>256</v>
      </c>
      <c r="E2130" s="2" t="s">
        <v>4646</v>
      </c>
      <c r="F2130" s="2">
        <v>20</v>
      </c>
      <c r="G2130" s="2">
        <v>19.14</v>
      </c>
      <c r="H2130" s="2">
        <v>0.86</v>
      </c>
      <c r="I2130" s="1">
        <v>4.3</v>
      </c>
      <c r="J2130" s="26">
        <v>45617</v>
      </c>
      <c r="K2130" s="22">
        <v>172260</v>
      </c>
      <c r="L2130" s="18">
        <v>184.24</v>
      </c>
      <c r="M2130" s="22">
        <v>136000</v>
      </c>
      <c r="N2130" s="22">
        <v>36260</v>
      </c>
      <c r="O2130" s="18">
        <v>38.78</v>
      </c>
      <c r="P2130" s="52">
        <f>IF(COUNTIF(TblPurchases[BatchID],TblOutcomes[[#This Row],[BatchID]])&lt;&gt;1,"n.a.",TblOutcomes[[#This Row],[Qty Wasted]]*SUMIFS(TblPurchases[Unit Cost (CLP)],TblPurchases[BatchID],TblOutcomes[[#This Row],[BatchID]]))</f>
        <v>5848</v>
      </c>
      <c r="Q2130" s="51">
        <f>IF(COUNTIF(TblPurchases[BatchID],TblOutcomes[[#This Row],[BatchID]])&lt;&gt;1,"n.a.",SUMIFS(TblPurchases[Purchase Date],TblPurchases[BatchID],TblOutcomes[[#This Row],[BatchID]]))</f>
        <v>45407</v>
      </c>
    </row>
    <row r="2131" spans="2:17" x14ac:dyDescent="0.25">
      <c r="B2131" s="2" t="s">
        <v>2936</v>
      </c>
      <c r="C2131" s="2" t="s">
        <v>254</v>
      </c>
      <c r="D2131" s="2" t="s">
        <v>256</v>
      </c>
      <c r="E2131" s="2" t="s">
        <v>4647</v>
      </c>
      <c r="F2131" s="2">
        <v>20</v>
      </c>
      <c r="G2131" s="2">
        <v>20</v>
      </c>
      <c r="H2131" s="2">
        <v>0</v>
      </c>
      <c r="I2131" s="1">
        <v>0</v>
      </c>
      <c r="J2131" s="26">
        <v>45449</v>
      </c>
      <c r="K2131" s="22">
        <v>180000</v>
      </c>
      <c r="L2131" s="18">
        <v>192.51</v>
      </c>
      <c r="M2131" s="22">
        <v>136000</v>
      </c>
      <c r="N2131" s="22">
        <v>44000</v>
      </c>
      <c r="O2131" s="18">
        <v>47.06</v>
      </c>
      <c r="P2131" s="52">
        <f>IF(COUNTIF(TblPurchases[BatchID],TblOutcomes[[#This Row],[BatchID]])&lt;&gt;1,"n.a.",TblOutcomes[[#This Row],[Qty Wasted]]*SUMIFS(TblPurchases[Unit Cost (CLP)],TblPurchases[BatchID],TblOutcomes[[#This Row],[BatchID]]))</f>
        <v>0</v>
      </c>
      <c r="Q2131" s="51">
        <f>IF(COUNTIF(TblPurchases[BatchID],TblOutcomes[[#This Row],[BatchID]])&lt;&gt;1,"n.a.",SUMIFS(TblPurchases[Purchase Date],TblPurchases[BatchID],TblOutcomes[[#This Row],[BatchID]]))</f>
        <v>45431</v>
      </c>
    </row>
    <row r="2132" spans="2:17" x14ac:dyDescent="0.25">
      <c r="B2132" s="2" t="s">
        <v>2937</v>
      </c>
      <c r="C2132" s="2" t="s">
        <v>254</v>
      </c>
      <c r="D2132" s="2" t="s">
        <v>256</v>
      </c>
      <c r="E2132" s="2" t="s">
        <v>4647</v>
      </c>
      <c r="F2132" s="2">
        <v>22</v>
      </c>
      <c r="G2132" s="2">
        <v>22</v>
      </c>
      <c r="H2132" s="2">
        <v>0</v>
      </c>
      <c r="I2132" s="1">
        <v>0</v>
      </c>
      <c r="J2132" s="26">
        <v>45468</v>
      </c>
      <c r="K2132" s="22">
        <v>198000</v>
      </c>
      <c r="L2132" s="18">
        <v>211.76</v>
      </c>
      <c r="M2132" s="22">
        <v>149600</v>
      </c>
      <c r="N2132" s="22">
        <v>48400</v>
      </c>
      <c r="O2132" s="18">
        <v>51.76</v>
      </c>
      <c r="P2132" s="52">
        <f>IF(COUNTIF(TblPurchases[BatchID],TblOutcomes[[#This Row],[BatchID]])&lt;&gt;1,"n.a.",TblOutcomes[[#This Row],[Qty Wasted]]*SUMIFS(TblPurchases[Unit Cost (CLP)],TblPurchases[BatchID],TblOutcomes[[#This Row],[BatchID]]))</f>
        <v>0</v>
      </c>
      <c r="Q2132" s="51">
        <f>IF(COUNTIF(TblPurchases[BatchID],TblOutcomes[[#This Row],[BatchID]])&lt;&gt;1,"n.a.",SUMIFS(TblPurchases[Purchase Date],TblPurchases[BatchID],TblOutcomes[[#This Row],[BatchID]]))</f>
        <v>45448</v>
      </c>
    </row>
    <row r="2133" spans="2:17" x14ac:dyDescent="0.25">
      <c r="B2133" s="2" t="s">
        <v>2938</v>
      </c>
      <c r="C2133" s="2" t="s">
        <v>254</v>
      </c>
      <c r="D2133" s="2" t="s">
        <v>256</v>
      </c>
      <c r="E2133" s="2" t="s">
        <v>4647</v>
      </c>
      <c r="F2133" s="2">
        <v>20</v>
      </c>
      <c r="G2133" s="2">
        <v>20</v>
      </c>
      <c r="H2133" s="2">
        <v>0</v>
      </c>
      <c r="I2133" s="1">
        <v>0</v>
      </c>
      <c r="J2133" s="26">
        <v>45480</v>
      </c>
      <c r="K2133" s="22">
        <v>180000</v>
      </c>
      <c r="L2133" s="18">
        <v>192.51</v>
      </c>
      <c r="M2133" s="22">
        <v>146000</v>
      </c>
      <c r="N2133" s="22">
        <v>34000</v>
      </c>
      <c r="O2133" s="18">
        <v>36.36</v>
      </c>
      <c r="P2133" s="52">
        <f>IF(COUNTIF(TblPurchases[BatchID],TblOutcomes[[#This Row],[BatchID]])&lt;&gt;1,"n.a.",TblOutcomes[[#This Row],[Qty Wasted]]*SUMIFS(TblPurchases[Unit Cost (CLP)],TblPurchases[BatchID],TblOutcomes[[#This Row],[BatchID]]))</f>
        <v>0</v>
      </c>
      <c r="Q2133" s="51">
        <f>IF(COUNTIF(TblPurchases[BatchID],TblOutcomes[[#This Row],[BatchID]])&lt;&gt;1,"n.a.",SUMIFS(TblPurchases[Purchase Date],TblPurchases[BatchID],TblOutcomes[[#This Row],[BatchID]]))</f>
        <v>45471</v>
      </c>
    </row>
    <row r="2134" spans="2:17" x14ac:dyDescent="0.25">
      <c r="B2134" s="2" t="s">
        <v>2939</v>
      </c>
      <c r="C2134" s="2" t="s">
        <v>254</v>
      </c>
      <c r="D2134" s="2" t="s">
        <v>256</v>
      </c>
      <c r="E2134" s="2" t="s">
        <v>4647</v>
      </c>
      <c r="F2134" s="2">
        <v>19</v>
      </c>
      <c r="G2134" s="2">
        <v>19</v>
      </c>
      <c r="H2134" s="2">
        <v>0</v>
      </c>
      <c r="I2134" s="1">
        <v>0</v>
      </c>
      <c r="J2134" s="26">
        <v>45504</v>
      </c>
      <c r="K2134" s="22">
        <v>171000</v>
      </c>
      <c r="L2134" s="18">
        <v>182.89</v>
      </c>
      <c r="M2134" s="22">
        <v>138700</v>
      </c>
      <c r="N2134" s="22">
        <v>32300</v>
      </c>
      <c r="O2134" s="18">
        <v>34.549999999999997</v>
      </c>
      <c r="P2134" s="52">
        <f>IF(COUNTIF(TblPurchases[BatchID],TblOutcomes[[#This Row],[BatchID]])&lt;&gt;1,"n.a.",TblOutcomes[[#This Row],[Qty Wasted]]*SUMIFS(TblPurchases[Unit Cost (CLP)],TblPurchases[BatchID],TblOutcomes[[#This Row],[BatchID]]))</f>
        <v>0</v>
      </c>
      <c r="Q2134" s="51">
        <f>IF(COUNTIF(TblPurchases[BatchID],TblOutcomes[[#This Row],[BatchID]])&lt;&gt;1,"n.a.",SUMIFS(TblPurchases[Purchase Date],TblPurchases[BatchID],TblOutcomes[[#This Row],[BatchID]]))</f>
        <v>45489</v>
      </c>
    </row>
    <row r="2135" spans="2:17" x14ac:dyDescent="0.25">
      <c r="B2135" s="2" t="s">
        <v>2940</v>
      </c>
      <c r="C2135" s="2" t="s">
        <v>254</v>
      </c>
      <c r="D2135" s="2" t="s">
        <v>256</v>
      </c>
      <c r="E2135" s="2" t="s">
        <v>4646</v>
      </c>
      <c r="F2135" s="2">
        <v>18</v>
      </c>
      <c r="G2135" s="2">
        <v>17.350000000000001</v>
      </c>
      <c r="H2135" s="2">
        <v>0.65</v>
      </c>
      <c r="I2135" s="1">
        <v>3.6</v>
      </c>
      <c r="J2135" s="26">
        <v>45711</v>
      </c>
      <c r="K2135" s="22">
        <v>156150</v>
      </c>
      <c r="L2135" s="18">
        <v>167.01</v>
      </c>
      <c r="M2135" s="22">
        <v>122400</v>
      </c>
      <c r="N2135" s="22">
        <v>33750</v>
      </c>
      <c r="O2135" s="18">
        <v>36.1</v>
      </c>
      <c r="P2135" s="52">
        <f>IF(COUNTIF(TblPurchases[BatchID],TblOutcomes[[#This Row],[BatchID]])&lt;&gt;1,"n.a.",TblOutcomes[[#This Row],[Qty Wasted]]*SUMIFS(TblPurchases[Unit Cost (CLP)],TblPurchases[BatchID],TblOutcomes[[#This Row],[BatchID]]))</f>
        <v>4420</v>
      </c>
      <c r="Q2135" s="51">
        <f>IF(COUNTIF(TblPurchases[BatchID],TblOutcomes[[#This Row],[BatchID]])&lt;&gt;1,"n.a.",SUMIFS(TblPurchases[Purchase Date],TblPurchases[BatchID],TblOutcomes[[#This Row],[BatchID]]))</f>
        <v>45501</v>
      </c>
    </row>
    <row r="2136" spans="2:17" x14ac:dyDescent="0.25">
      <c r="B2136" s="2" t="s">
        <v>2941</v>
      </c>
      <c r="C2136" s="2" t="s">
        <v>254</v>
      </c>
      <c r="D2136" s="2" t="s">
        <v>256</v>
      </c>
      <c r="E2136" s="2" t="s">
        <v>4647</v>
      </c>
      <c r="F2136" s="2">
        <v>22</v>
      </c>
      <c r="G2136" s="2">
        <v>22</v>
      </c>
      <c r="H2136" s="2">
        <v>0</v>
      </c>
      <c r="I2136" s="1">
        <v>0</v>
      </c>
      <c r="J2136" s="26">
        <v>45548</v>
      </c>
      <c r="K2136" s="22">
        <v>198000</v>
      </c>
      <c r="L2136" s="18">
        <v>211.76</v>
      </c>
      <c r="M2136" s="22">
        <v>149600</v>
      </c>
      <c r="N2136" s="22">
        <v>48400</v>
      </c>
      <c r="O2136" s="18">
        <v>51.76</v>
      </c>
      <c r="P2136" s="52">
        <f>IF(COUNTIF(TblPurchases[BatchID],TblOutcomes[[#This Row],[BatchID]])&lt;&gt;1,"n.a.",TblOutcomes[[#This Row],[Qty Wasted]]*SUMIFS(TblPurchases[Unit Cost (CLP)],TblPurchases[BatchID],TblOutcomes[[#This Row],[BatchID]]))</f>
        <v>0</v>
      </c>
      <c r="Q2136" s="51">
        <f>IF(COUNTIF(TblPurchases[BatchID],TblOutcomes[[#This Row],[BatchID]])&lt;&gt;1,"n.a.",SUMIFS(TblPurchases[Purchase Date],TblPurchases[BatchID],TblOutcomes[[#This Row],[BatchID]]))</f>
        <v>45527</v>
      </c>
    </row>
    <row r="2137" spans="2:17" x14ac:dyDescent="0.25">
      <c r="B2137" s="2" t="s">
        <v>2942</v>
      </c>
      <c r="C2137" s="2" t="s">
        <v>254</v>
      </c>
      <c r="D2137" s="2" t="s">
        <v>256</v>
      </c>
      <c r="E2137" s="2" t="s">
        <v>4647</v>
      </c>
      <c r="F2137" s="2">
        <v>28</v>
      </c>
      <c r="G2137" s="2">
        <v>28</v>
      </c>
      <c r="H2137" s="2">
        <v>0</v>
      </c>
      <c r="I2137" s="1">
        <v>0</v>
      </c>
      <c r="J2137" s="26">
        <v>45559</v>
      </c>
      <c r="K2137" s="22">
        <v>252000</v>
      </c>
      <c r="L2137" s="18">
        <v>269.52</v>
      </c>
      <c r="M2137" s="22">
        <v>204400</v>
      </c>
      <c r="N2137" s="22">
        <v>47600</v>
      </c>
      <c r="O2137" s="18">
        <v>50.91</v>
      </c>
      <c r="P2137" s="52">
        <f>IF(COUNTIF(TblPurchases[BatchID],TblOutcomes[[#This Row],[BatchID]])&lt;&gt;1,"n.a.",TblOutcomes[[#This Row],[Qty Wasted]]*SUMIFS(TblPurchases[Unit Cost (CLP)],TblPurchases[BatchID],TblOutcomes[[#This Row],[BatchID]]))</f>
        <v>0</v>
      </c>
      <c r="Q2137" s="51">
        <f>IF(COUNTIF(TblPurchases[BatchID],TblOutcomes[[#This Row],[BatchID]])&lt;&gt;1,"n.a.",SUMIFS(TblPurchases[Purchase Date],TblPurchases[BatchID],TblOutcomes[[#This Row],[BatchID]]))</f>
        <v>45547</v>
      </c>
    </row>
    <row r="2138" spans="2:17" x14ac:dyDescent="0.25">
      <c r="B2138" s="2" t="s">
        <v>2943</v>
      </c>
      <c r="C2138" s="2" t="s">
        <v>254</v>
      </c>
      <c r="D2138" s="2" t="s">
        <v>256</v>
      </c>
      <c r="E2138" s="2" t="s">
        <v>4647</v>
      </c>
      <c r="F2138" s="2">
        <v>6</v>
      </c>
      <c r="G2138" s="2">
        <v>6</v>
      </c>
      <c r="H2138" s="2">
        <v>0</v>
      </c>
      <c r="I2138" s="1">
        <v>0</v>
      </c>
      <c r="J2138" s="26">
        <v>45587</v>
      </c>
      <c r="K2138" s="22">
        <v>54000</v>
      </c>
      <c r="L2138" s="18">
        <v>57.75</v>
      </c>
      <c r="M2138" s="22">
        <v>40800</v>
      </c>
      <c r="N2138" s="22">
        <v>13200</v>
      </c>
      <c r="O2138" s="18">
        <v>14.12</v>
      </c>
      <c r="P2138" s="52">
        <f>IF(COUNTIF(TblPurchases[BatchID],TblOutcomes[[#This Row],[BatchID]])&lt;&gt;1,"n.a.",TblOutcomes[[#This Row],[Qty Wasted]]*SUMIFS(TblPurchases[Unit Cost (CLP)],TblPurchases[BatchID],TblOutcomes[[#This Row],[BatchID]]))</f>
        <v>0</v>
      </c>
      <c r="Q2138" s="51">
        <f>IF(COUNTIF(TblPurchases[BatchID],TblOutcomes[[#This Row],[BatchID]])&lt;&gt;1,"n.a.",SUMIFS(TblPurchases[Purchase Date],TblPurchases[BatchID],TblOutcomes[[#This Row],[BatchID]]))</f>
        <v>45574</v>
      </c>
    </row>
    <row r="2139" spans="2:17" x14ac:dyDescent="0.25">
      <c r="B2139" s="2" t="s">
        <v>2944</v>
      </c>
      <c r="C2139" s="2" t="s">
        <v>254</v>
      </c>
      <c r="D2139" s="2" t="s">
        <v>256</v>
      </c>
      <c r="E2139" s="2" t="s">
        <v>4646</v>
      </c>
      <c r="F2139" s="2">
        <v>7</v>
      </c>
      <c r="G2139" s="2">
        <v>6.84</v>
      </c>
      <c r="H2139" s="2">
        <v>0.16</v>
      </c>
      <c r="I2139" s="1">
        <v>2.2999999999999998</v>
      </c>
      <c r="J2139" s="26">
        <v>45805</v>
      </c>
      <c r="K2139" s="22">
        <v>61560</v>
      </c>
      <c r="L2139" s="18">
        <v>65.84</v>
      </c>
      <c r="M2139" s="22">
        <v>51100</v>
      </c>
      <c r="N2139" s="22">
        <v>10460</v>
      </c>
      <c r="O2139" s="18">
        <v>11.19</v>
      </c>
      <c r="P2139" s="52">
        <f>IF(COUNTIF(TblPurchases[BatchID],TblOutcomes[[#This Row],[BatchID]])&lt;&gt;1,"n.a.",TblOutcomes[[#This Row],[Qty Wasted]]*SUMIFS(TblPurchases[Unit Cost (CLP)],TblPurchases[BatchID],TblOutcomes[[#This Row],[BatchID]]))</f>
        <v>1168</v>
      </c>
      <c r="Q2139" s="51">
        <f>IF(COUNTIF(TblPurchases[BatchID],TblOutcomes[[#This Row],[BatchID]])&lt;&gt;1,"n.a.",SUMIFS(TblPurchases[Purchase Date],TblPurchases[BatchID],TblOutcomes[[#This Row],[BatchID]]))</f>
        <v>45595</v>
      </c>
    </row>
    <row r="2140" spans="2:17" x14ac:dyDescent="0.25">
      <c r="B2140" s="2" t="s">
        <v>2945</v>
      </c>
      <c r="C2140" s="2" t="s">
        <v>254</v>
      </c>
      <c r="D2140" s="2" t="s">
        <v>256</v>
      </c>
      <c r="E2140" s="2" t="s">
        <v>4647</v>
      </c>
      <c r="F2140" s="2">
        <v>8</v>
      </c>
      <c r="G2140" s="2">
        <v>8</v>
      </c>
      <c r="H2140" s="2">
        <v>0</v>
      </c>
      <c r="I2140" s="1">
        <v>0</v>
      </c>
      <c r="J2140" s="26">
        <v>45630</v>
      </c>
      <c r="K2140" s="22">
        <v>72000</v>
      </c>
      <c r="L2140" s="18">
        <v>77.010000000000005</v>
      </c>
      <c r="M2140" s="22">
        <v>58400</v>
      </c>
      <c r="N2140" s="22">
        <v>13600</v>
      </c>
      <c r="O2140" s="18">
        <v>14.55</v>
      </c>
      <c r="P2140" s="52">
        <f>IF(COUNTIF(TblPurchases[BatchID],TblOutcomes[[#This Row],[BatchID]])&lt;&gt;1,"n.a.",TblOutcomes[[#This Row],[Qty Wasted]]*SUMIFS(TblPurchases[Unit Cost (CLP)],TblPurchases[BatchID],TblOutcomes[[#This Row],[BatchID]]))</f>
        <v>0</v>
      </c>
      <c r="Q2140" s="51">
        <f>IF(COUNTIF(TblPurchases[BatchID],TblOutcomes[[#This Row],[BatchID]])&lt;&gt;1,"n.a.",SUMIFS(TblPurchases[Purchase Date],TblPurchases[BatchID],TblOutcomes[[#This Row],[BatchID]]))</f>
        <v>45616</v>
      </c>
    </row>
    <row r="2141" spans="2:17" x14ac:dyDescent="0.25">
      <c r="B2141" s="2" t="s">
        <v>2946</v>
      </c>
      <c r="C2141" s="2" t="s">
        <v>254</v>
      </c>
      <c r="D2141" s="2" t="s">
        <v>256</v>
      </c>
      <c r="E2141" s="2" t="s">
        <v>4646</v>
      </c>
      <c r="F2141" s="2">
        <v>10</v>
      </c>
      <c r="G2141" s="2">
        <v>9.11</v>
      </c>
      <c r="H2141" s="2">
        <v>0.89</v>
      </c>
      <c r="I2141" s="1">
        <v>8.9</v>
      </c>
      <c r="J2141" s="26">
        <v>45848</v>
      </c>
      <c r="K2141" s="22">
        <v>81990</v>
      </c>
      <c r="L2141" s="18">
        <v>87.69</v>
      </c>
      <c r="M2141" s="22">
        <v>73000</v>
      </c>
      <c r="N2141" s="22">
        <v>8990</v>
      </c>
      <c r="O2141" s="18">
        <v>9.61</v>
      </c>
      <c r="P2141" s="52">
        <f>IF(COUNTIF(TblPurchases[BatchID],TblOutcomes[[#This Row],[BatchID]])&lt;&gt;1,"n.a.",TblOutcomes[[#This Row],[Qty Wasted]]*SUMIFS(TblPurchases[Unit Cost (CLP)],TblPurchases[BatchID],TblOutcomes[[#This Row],[BatchID]]))</f>
        <v>6497</v>
      </c>
      <c r="Q2141" s="51">
        <f>IF(COUNTIF(TblPurchases[BatchID],TblOutcomes[[#This Row],[BatchID]])&lt;&gt;1,"n.a.",SUMIFS(TblPurchases[Purchase Date],TblPurchases[BatchID],TblOutcomes[[#This Row],[BatchID]]))</f>
        <v>45638</v>
      </c>
    </row>
    <row r="2142" spans="2:17" x14ac:dyDescent="0.25">
      <c r="B2142" s="2" t="s">
        <v>2947</v>
      </c>
      <c r="C2142" s="2" t="s">
        <v>254</v>
      </c>
      <c r="D2142" s="2" t="s">
        <v>256</v>
      </c>
      <c r="E2142" s="2" t="s">
        <v>4647</v>
      </c>
      <c r="F2142" s="2">
        <v>7</v>
      </c>
      <c r="G2142" s="2">
        <v>7</v>
      </c>
      <c r="H2142" s="2">
        <v>0</v>
      </c>
      <c r="I2142" s="1">
        <v>0</v>
      </c>
      <c r="J2142" s="26">
        <v>45665</v>
      </c>
      <c r="K2142" s="22">
        <v>63000</v>
      </c>
      <c r="L2142" s="18">
        <v>67.38</v>
      </c>
      <c r="M2142" s="22">
        <v>47600</v>
      </c>
      <c r="N2142" s="22">
        <v>15400</v>
      </c>
      <c r="O2142" s="18">
        <v>16.47</v>
      </c>
      <c r="P2142" s="52">
        <f>IF(COUNTIF(TblPurchases[BatchID],TblOutcomes[[#This Row],[BatchID]])&lt;&gt;1,"n.a.",TblOutcomes[[#This Row],[Qty Wasted]]*SUMIFS(TblPurchases[Unit Cost (CLP)],TblPurchases[BatchID],TblOutcomes[[#This Row],[BatchID]]))</f>
        <v>0</v>
      </c>
      <c r="Q2142" s="51">
        <f>IF(COUNTIF(TblPurchases[BatchID],TblOutcomes[[#This Row],[BatchID]])&lt;&gt;1,"n.a.",SUMIFS(TblPurchases[Purchase Date],TblPurchases[BatchID],TblOutcomes[[#This Row],[BatchID]]))</f>
        <v>45658</v>
      </c>
    </row>
    <row r="2143" spans="2:17" x14ac:dyDescent="0.25">
      <c r="B2143" s="2" t="s">
        <v>2948</v>
      </c>
      <c r="C2143" s="2" t="s">
        <v>254</v>
      </c>
      <c r="D2143" s="2" t="s">
        <v>256</v>
      </c>
      <c r="E2143" s="2" t="s">
        <v>4647</v>
      </c>
      <c r="F2143" s="2">
        <v>7</v>
      </c>
      <c r="G2143" s="2">
        <v>7</v>
      </c>
      <c r="H2143" s="2">
        <v>0</v>
      </c>
      <c r="I2143" s="1">
        <v>0</v>
      </c>
      <c r="J2143" s="26">
        <v>45704</v>
      </c>
      <c r="K2143" s="22">
        <v>63000</v>
      </c>
      <c r="L2143" s="18">
        <v>67.38</v>
      </c>
      <c r="M2143" s="22">
        <v>47600</v>
      </c>
      <c r="N2143" s="22">
        <v>15400</v>
      </c>
      <c r="O2143" s="18">
        <v>16.47</v>
      </c>
      <c r="P2143" s="52">
        <f>IF(COUNTIF(TblPurchases[BatchID],TblOutcomes[[#This Row],[BatchID]])&lt;&gt;1,"n.a.",TblOutcomes[[#This Row],[Qty Wasted]]*SUMIFS(TblPurchases[Unit Cost (CLP)],TblPurchases[BatchID],TblOutcomes[[#This Row],[BatchID]]))</f>
        <v>0</v>
      </c>
      <c r="Q2143" s="51">
        <f>IF(COUNTIF(TblPurchases[BatchID],TblOutcomes[[#This Row],[BatchID]])&lt;&gt;1,"n.a.",SUMIFS(TblPurchases[Purchase Date],TblPurchases[BatchID],TblOutcomes[[#This Row],[BatchID]]))</f>
        <v>45676</v>
      </c>
    </row>
    <row r="2144" spans="2:17" x14ac:dyDescent="0.25">
      <c r="B2144" s="2" t="s">
        <v>2949</v>
      </c>
      <c r="C2144" s="2" t="s">
        <v>254</v>
      </c>
      <c r="D2144" s="2" t="s">
        <v>256</v>
      </c>
      <c r="E2144" s="2" t="s">
        <v>4647</v>
      </c>
      <c r="F2144" s="2">
        <v>7</v>
      </c>
      <c r="G2144" s="2">
        <v>7</v>
      </c>
      <c r="H2144" s="2">
        <v>0</v>
      </c>
      <c r="I2144" s="1">
        <v>0</v>
      </c>
      <c r="J2144" s="26">
        <v>45721</v>
      </c>
      <c r="K2144" s="22">
        <v>63000</v>
      </c>
      <c r="L2144" s="18">
        <v>67.38</v>
      </c>
      <c r="M2144" s="22">
        <v>47600</v>
      </c>
      <c r="N2144" s="22">
        <v>15400</v>
      </c>
      <c r="O2144" s="18">
        <v>16.47</v>
      </c>
      <c r="P2144" s="52">
        <f>IF(COUNTIF(TblPurchases[BatchID],TblOutcomes[[#This Row],[BatchID]])&lt;&gt;1,"n.a.",TblOutcomes[[#This Row],[Qty Wasted]]*SUMIFS(TblPurchases[Unit Cost (CLP)],TblPurchases[BatchID],TblOutcomes[[#This Row],[BatchID]]))</f>
        <v>0</v>
      </c>
      <c r="Q2144" s="51">
        <f>IF(COUNTIF(TblPurchases[BatchID],TblOutcomes[[#This Row],[BatchID]])&lt;&gt;1,"n.a.",SUMIFS(TblPurchases[Purchase Date],TblPurchases[BatchID],TblOutcomes[[#This Row],[BatchID]]))</f>
        <v>45701</v>
      </c>
    </row>
    <row r="2145" spans="2:17" x14ac:dyDescent="0.25">
      <c r="B2145" s="2" t="s">
        <v>2950</v>
      </c>
      <c r="C2145" s="2" t="s">
        <v>254</v>
      </c>
      <c r="D2145" s="2" t="s">
        <v>256</v>
      </c>
      <c r="E2145" s="2" t="s">
        <v>4647</v>
      </c>
      <c r="F2145" s="2">
        <v>7</v>
      </c>
      <c r="G2145" s="2">
        <v>7</v>
      </c>
      <c r="H2145" s="2">
        <v>0</v>
      </c>
      <c r="I2145" s="1">
        <v>0</v>
      </c>
      <c r="J2145" s="26">
        <v>45729</v>
      </c>
      <c r="K2145" s="22">
        <v>63000</v>
      </c>
      <c r="L2145" s="18">
        <v>67.38</v>
      </c>
      <c r="M2145" s="22">
        <v>47600</v>
      </c>
      <c r="N2145" s="22">
        <v>15400</v>
      </c>
      <c r="O2145" s="18">
        <v>16.47</v>
      </c>
      <c r="P2145" s="52">
        <f>IF(COUNTIF(TblPurchases[BatchID],TblOutcomes[[#This Row],[BatchID]])&lt;&gt;1,"n.a.",TblOutcomes[[#This Row],[Qty Wasted]]*SUMIFS(TblPurchases[Unit Cost (CLP)],TblPurchases[BatchID],TblOutcomes[[#This Row],[BatchID]]))</f>
        <v>0</v>
      </c>
      <c r="Q2145" s="51">
        <f>IF(COUNTIF(TblPurchases[BatchID],TblOutcomes[[#This Row],[BatchID]])&lt;&gt;1,"n.a.",SUMIFS(TblPurchases[Purchase Date],TblPurchases[BatchID],TblOutcomes[[#This Row],[BatchID]]))</f>
        <v>45715</v>
      </c>
    </row>
    <row r="2146" spans="2:17" x14ac:dyDescent="0.25">
      <c r="B2146" s="2" t="s">
        <v>2951</v>
      </c>
      <c r="C2146" s="2" t="s">
        <v>254</v>
      </c>
      <c r="D2146" s="2" t="s">
        <v>256</v>
      </c>
      <c r="E2146" s="2" t="s">
        <v>4646</v>
      </c>
      <c r="F2146" s="2">
        <v>7</v>
      </c>
      <c r="G2146" s="2">
        <v>6.5</v>
      </c>
      <c r="H2146" s="2">
        <v>0.5</v>
      </c>
      <c r="I2146" s="1">
        <v>7.1</v>
      </c>
      <c r="J2146" s="26">
        <v>45949</v>
      </c>
      <c r="K2146" s="22">
        <v>58500</v>
      </c>
      <c r="L2146" s="18">
        <v>62.57</v>
      </c>
      <c r="M2146" s="22">
        <v>47600</v>
      </c>
      <c r="N2146" s="22">
        <v>10900</v>
      </c>
      <c r="O2146" s="18">
        <v>11.66</v>
      </c>
      <c r="P2146" s="52">
        <f>IF(COUNTIF(TblPurchases[BatchID],TblOutcomes[[#This Row],[BatchID]])&lt;&gt;1,"n.a.",TblOutcomes[[#This Row],[Qty Wasted]]*SUMIFS(TblPurchases[Unit Cost (CLP)],TblPurchases[BatchID],TblOutcomes[[#This Row],[BatchID]]))</f>
        <v>3400</v>
      </c>
      <c r="Q2146" s="51">
        <f>IF(COUNTIF(TblPurchases[BatchID],TblOutcomes[[#This Row],[BatchID]])&lt;&gt;1,"n.a.",SUMIFS(TblPurchases[Purchase Date],TblPurchases[BatchID],TblOutcomes[[#This Row],[BatchID]]))</f>
        <v>45739</v>
      </c>
    </row>
    <row r="2147" spans="2:17" x14ac:dyDescent="0.25">
      <c r="B2147" s="2" t="s">
        <v>2952</v>
      </c>
      <c r="C2147" s="2" t="s">
        <v>254</v>
      </c>
      <c r="D2147" s="2" t="s">
        <v>256</v>
      </c>
      <c r="E2147" s="2" t="s">
        <v>4647</v>
      </c>
      <c r="F2147" s="2">
        <v>19</v>
      </c>
      <c r="G2147" s="2">
        <v>19</v>
      </c>
      <c r="H2147" s="2">
        <v>0</v>
      </c>
      <c r="I2147" s="1">
        <v>0</v>
      </c>
      <c r="J2147" s="26">
        <v>45771</v>
      </c>
      <c r="K2147" s="22">
        <v>171000</v>
      </c>
      <c r="L2147" s="18">
        <v>182.89</v>
      </c>
      <c r="M2147" s="22">
        <v>129200</v>
      </c>
      <c r="N2147" s="22">
        <v>41800</v>
      </c>
      <c r="O2147" s="18">
        <v>44.71</v>
      </c>
      <c r="P2147" s="52">
        <f>IF(COUNTIF(TblPurchases[BatchID],TblOutcomes[[#This Row],[BatchID]])&lt;&gt;1,"n.a.",TblOutcomes[[#This Row],[Qty Wasted]]*SUMIFS(TblPurchases[Unit Cost (CLP)],TblPurchases[BatchID],TblOutcomes[[#This Row],[BatchID]]))</f>
        <v>0</v>
      </c>
      <c r="Q2147" s="51">
        <f>IF(COUNTIF(TblPurchases[BatchID],TblOutcomes[[#This Row],[BatchID]])&lt;&gt;1,"n.a.",SUMIFS(TblPurchases[Purchase Date],TblPurchases[BatchID],TblOutcomes[[#This Row],[BatchID]]))</f>
        <v>45760</v>
      </c>
    </row>
    <row r="2148" spans="2:17" x14ac:dyDescent="0.25">
      <c r="B2148" s="2" t="s">
        <v>2953</v>
      </c>
      <c r="C2148" s="2" t="s">
        <v>254</v>
      </c>
      <c r="D2148" s="2" t="s">
        <v>256</v>
      </c>
      <c r="E2148" s="2" t="s">
        <v>4647</v>
      </c>
      <c r="F2148" s="2">
        <v>18</v>
      </c>
      <c r="G2148" s="2">
        <v>18</v>
      </c>
      <c r="H2148" s="2">
        <v>0</v>
      </c>
      <c r="I2148" s="1">
        <v>0</v>
      </c>
      <c r="J2148" s="26">
        <v>45803</v>
      </c>
      <c r="K2148" s="22">
        <v>162000</v>
      </c>
      <c r="L2148" s="18">
        <v>173.26</v>
      </c>
      <c r="M2148" s="22">
        <v>122400</v>
      </c>
      <c r="N2148" s="22">
        <v>39600</v>
      </c>
      <c r="O2148" s="18">
        <v>42.35</v>
      </c>
      <c r="P2148" s="52">
        <f>IF(COUNTIF(TblPurchases[BatchID],TblOutcomes[[#This Row],[BatchID]])&lt;&gt;1,"n.a.",TblOutcomes[[#This Row],[Qty Wasted]]*SUMIFS(TblPurchases[Unit Cost (CLP)],TblPurchases[BatchID],TblOutcomes[[#This Row],[BatchID]]))</f>
        <v>0</v>
      </c>
      <c r="Q2148" s="51">
        <f>IF(COUNTIF(TblPurchases[BatchID],TblOutcomes[[#This Row],[BatchID]])&lt;&gt;1,"n.a.",SUMIFS(TblPurchases[Purchase Date],TblPurchases[BatchID],TblOutcomes[[#This Row],[BatchID]]))</f>
        <v>45782</v>
      </c>
    </row>
    <row r="2149" spans="2:17" x14ac:dyDescent="0.25">
      <c r="B2149" s="2" t="s">
        <v>2954</v>
      </c>
      <c r="C2149" s="2" t="s">
        <v>254</v>
      </c>
      <c r="D2149" s="2" t="s">
        <v>256</v>
      </c>
      <c r="E2149" s="2" t="s">
        <v>4647</v>
      </c>
      <c r="F2149" s="2">
        <v>23</v>
      </c>
      <c r="G2149" s="2">
        <v>23</v>
      </c>
      <c r="H2149" s="2">
        <v>0</v>
      </c>
      <c r="I2149" s="1">
        <v>0</v>
      </c>
      <c r="J2149" s="26">
        <v>45806</v>
      </c>
      <c r="K2149" s="22">
        <v>207000</v>
      </c>
      <c r="L2149" s="18">
        <v>221.39</v>
      </c>
      <c r="M2149" s="22">
        <v>156400</v>
      </c>
      <c r="N2149" s="22">
        <v>50600</v>
      </c>
      <c r="O2149" s="18">
        <v>54.12</v>
      </c>
      <c r="P2149" s="52">
        <f>IF(COUNTIF(TblPurchases[BatchID],TblOutcomes[[#This Row],[BatchID]])&lt;&gt;1,"n.a.",TblOutcomes[[#This Row],[Qty Wasted]]*SUMIFS(TblPurchases[Unit Cost (CLP)],TblPurchases[BatchID],TblOutcomes[[#This Row],[BatchID]]))</f>
        <v>0</v>
      </c>
      <c r="Q2149" s="51">
        <f>IF(COUNTIF(TblPurchases[BatchID],TblOutcomes[[#This Row],[BatchID]])&lt;&gt;1,"n.a.",SUMIFS(TblPurchases[Purchase Date],TblPurchases[BatchID],TblOutcomes[[#This Row],[BatchID]]))</f>
        <v>45799</v>
      </c>
    </row>
    <row r="2150" spans="2:17" x14ac:dyDescent="0.25">
      <c r="B2150" s="2" t="s">
        <v>2955</v>
      </c>
      <c r="C2150" s="2" t="s">
        <v>254</v>
      </c>
      <c r="D2150" s="2" t="s">
        <v>256</v>
      </c>
      <c r="E2150" s="2" t="s">
        <v>4647</v>
      </c>
      <c r="F2150" s="2">
        <v>22</v>
      </c>
      <c r="G2150" s="2">
        <v>22</v>
      </c>
      <c r="H2150" s="2">
        <v>0</v>
      </c>
      <c r="I2150" s="1">
        <v>0</v>
      </c>
      <c r="J2150" s="26">
        <v>45844</v>
      </c>
      <c r="K2150" s="22">
        <v>198000</v>
      </c>
      <c r="L2150" s="18">
        <v>211.76</v>
      </c>
      <c r="M2150" s="22">
        <v>149600</v>
      </c>
      <c r="N2150" s="22">
        <v>48400</v>
      </c>
      <c r="O2150" s="18">
        <v>51.76</v>
      </c>
      <c r="P2150" s="52">
        <f>IF(COUNTIF(TblPurchases[BatchID],TblOutcomes[[#This Row],[BatchID]])&lt;&gt;1,"n.a.",TblOutcomes[[#This Row],[Qty Wasted]]*SUMIFS(TblPurchases[Unit Cost (CLP)],TblPurchases[BatchID],TblOutcomes[[#This Row],[BatchID]]))</f>
        <v>0</v>
      </c>
      <c r="Q2150" s="51">
        <f>IF(COUNTIF(TblPurchases[BatchID],TblOutcomes[[#This Row],[BatchID]])&lt;&gt;1,"n.a.",SUMIFS(TblPurchases[Purchase Date],TblPurchases[BatchID],TblOutcomes[[#This Row],[BatchID]]))</f>
        <v>45822</v>
      </c>
    </row>
    <row r="2151" spans="2:17" x14ac:dyDescent="0.25">
      <c r="B2151" s="2" t="s">
        <v>2956</v>
      </c>
      <c r="C2151" s="2" t="s">
        <v>257</v>
      </c>
      <c r="D2151" s="2" t="s">
        <v>256</v>
      </c>
      <c r="E2151" s="2" t="s">
        <v>4647</v>
      </c>
      <c r="F2151" s="2">
        <v>18</v>
      </c>
      <c r="G2151" s="2">
        <v>18</v>
      </c>
      <c r="H2151" s="2">
        <v>0</v>
      </c>
      <c r="I2151" s="1">
        <v>0</v>
      </c>
      <c r="J2151" s="26">
        <v>45138</v>
      </c>
      <c r="K2151" s="22">
        <v>234000</v>
      </c>
      <c r="L2151" s="18">
        <v>250.27</v>
      </c>
      <c r="M2151" s="22">
        <v>180000</v>
      </c>
      <c r="N2151" s="22">
        <v>54000</v>
      </c>
      <c r="O2151" s="18">
        <v>57.75</v>
      </c>
      <c r="P2151" s="52">
        <f>IF(COUNTIF(TblPurchases[BatchID],TblOutcomes[[#This Row],[BatchID]])&lt;&gt;1,"n.a.",TblOutcomes[[#This Row],[Qty Wasted]]*SUMIFS(TblPurchases[Unit Cost (CLP)],TblPurchases[BatchID],TblOutcomes[[#This Row],[BatchID]]))</f>
        <v>0</v>
      </c>
      <c r="Q2151" s="51">
        <f>IF(COUNTIF(TblPurchases[BatchID],TblOutcomes[[#This Row],[BatchID]])&lt;&gt;1,"n.a.",SUMIFS(TblPurchases[Purchase Date],TblPurchases[BatchID],TblOutcomes[[#This Row],[BatchID]]))</f>
        <v>45122</v>
      </c>
    </row>
    <row r="2152" spans="2:17" x14ac:dyDescent="0.25">
      <c r="B2152" s="2" t="s">
        <v>2957</v>
      </c>
      <c r="C2152" s="2" t="s">
        <v>257</v>
      </c>
      <c r="D2152" s="2" t="s">
        <v>256</v>
      </c>
      <c r="E2152" s="2" t="s">
        <v>4646</v>
      </c>
      <c r="F2152" s="2">
        <v>18</v>
      </c>
      <c r="G2152" s="2">
        <v>17.079999999999998</v>
      </c>
      <c r="H2152" s="2">
        <v>0.92</v>
      </c>
      <c r="I2152" s="1">
        <v>5.0999999999999996</v>
      </c>
      <c r="J2152" s="26">
        <v>45358</v>
      </c>
      <c r="K2152" s="22">
        <v>222040</v>
      </c>
      <c r="L2152" s="18">
        <v>237.48</v>
      </c>
      <c r="M2152" s="22">
        <v>180000</v>
      </c>
      <c r="N2152" s="22">
        <v>42040</v>
      </c>
      <c r="O2152" s="18">
        <v>44.96</v>
      </c>
      <c r="P2152" s="52">
        <f>IF(COUNTIF(TblPurchases[BatchID],TblOutcomes[[#This Row],[BatchID]])&lt;&gt;1,"n.a.",TblOutcomes[[#This Row],[Qty Wasted]]*SUMIFS(TblPurchases[Unit Cost (CLP)],TblPurchases[BatchID],TblOutcomes[[#This Row],[BatchID]]))</f>
        <v>9200</v>
      </c>
      <c r="Q2152" s="51">
        <f>IF(COUNTIF(TblPurchases[BatchID],TblOutcomes[[#This Row],[BatchID]])&lt;&gt;1,"n.a.",SUMIFS(TblPurchases[Purchase Date],TblPurchases[BatchID],TblOutcomes[[#This Row],[BatchID]]))</f>
        <v>45148</v>
      </c>
    </row>
    <row r="2153" spans="2:17" x14ac:dyDescent="0.25">
      <c r="B2153" s="2" t="s">
        <v>2958</v>
      </c>
      <c r="C2153" s="2" t="s">
        <v>257</v>
      </c>
      <c r="D2153" s="2" t="s">
        <v>256</v>
      </c>
      <c r="E2153" s="2" t="s">
        <v>4647</v>
      </c>
      <c r="F2153" s="2">
        <v>28</v>
      </c>
      <c r="G2153" s="2">
        <v>28</v>
      </c>
      <c r="H2153" s="2">
        <v>0</v>
      </c>
      <c r="I2153" s="1">
        <v>0</v>
      </c>
      <c r="J2153" s="26">
        <v>45178</v>
      </c>
      <c r="K2153" s="22">
        <v>364000</v>
      </c>
      <c r="L2153" s="18">
        <v>389.3</v>
      </c>
      <c r="M2153" s="22">
        <v>280000</v>
      </c>
      <c r="N2153" s="22">
        <v>84000</v>
      </c>
      <c r="O2153" s="18">
        <v>89.84</v>
      </c>
      <c r="P2153" s="52">
        <f>IF(COUNTIF(TblPurchases[BatchID],TblOutcomes[[#This Row],[BatchID]])&lt;&gt;1,"n.a.",TblOutcomes[[#This Row],[Qty Wasted]]*SUMIFS(TblPurchases[Unit Cost (CLP)],TblPurchases[BatchID],TblOutcomes[[#This Row],[BatchID]]))</f>
        <v>0</v>
      </c>
      <c r="Q2153" s="51">
        <f>IF(COUNTIF(TblPurchases[BatchID],TblOutcomes[[#This Row],[BatchID]])&lt;&gt;1,"n.a.",SUMIFS(TblPurchases[Purchase Date],TblPurchases[BatchID],TblOutcomes[[#This Row],[BatchID]]))</f>
        <v>45171</v>
      </c>
    </row>
    <row r="2154" spans="2:17" x14ac:dyDescent="0.25">
      <c r="B2154" s="2" t="s">
        <v>2959</v>
      </c>
      <c r="C2154" s="2" t="s">
        <v>257</v>
      </c>
      <c r="D2154" s="2" t="s">
        <v>256</v>
      </c>
      <c r="E2154" s="2" t="s">
        <v>4646</v>
      </c>
      <c r="F2154" s="2">
        <v>22</v>
      </c>
      <c r="G2154" s="2">
        <v>21.69</v>
      </c>
      <c r="H2154" s="2">
        <v>0.31</v>
      </c>
      <c r="I2154" s="1">
        <v>1.4</v>
      </c>
      <c r="J2154" s="26">
        <v>45397</v>
      </c>
      <c r="K2154" s="22">
        <v>281970</v>
      </c>
      <c r="L2154" s="18">
        <v>301.57</v>
      </c>
      <c r="M2154" s="22">
        <v>220000</v>
      </c>
      <c r="N2154" s="22">
        <v>61970</v>
      </c>
      <c r="O2154" s="18">
        <v>66.28</v>
      </c>
      <c r="P2154" s="52">
        <f>IF(COUNTIF(TblPurchases[BatchID],TblOutcomes[[#This Row],[BatchID]])&lt;&gt;1,"n.a.",TblOutcomes[[#This Row],[Qty Wasted]]*SUMIFS(TblPurchases[Unit Cost (CLP)],TblPurchases[BatchID],TblOutcomes[[#This Row],[BatchID]]))</f>
        <v>3100</v>
      </c>
      <c r="Q2154" s="51">
        <f>IF(COUNTIF(TblPurchases[BatchID],TblOutcomes[[#This Row],[BatchID]])&lt;&gt;1,"n.a.",SUMIFS(TblPurchases[Purchase Date],TblPurchases[BatchID],TblOutcomes[[#This Row],[BatchID]]))</f>
        <v>45187</v>
      </c>
    </row>
    <row r="2155" spans="2:17" x14ac:dyDescent="0.25">
      <c r="B2155" s="2" t="s">
        <v>2960</v>
      </c>
      <c r="C2155" s="2" t="s">
        <v>257</v>
      </c>
      <c r="D2155" s="2" t="s">
        <v>256</v>
      </c>
      <c r="E2155" s="2" t="s">
        <v>4646</v>
      </c>
      <c r="F2155" s="2">
        <v>8</v>
      </c>
      <c r="G2155" s="2">
        <v>7.43</v>
      </c>
      <c r="H2155" s="2">
        <v>0.56999999999999995</v>
      </c>
      <c r="I2155" s="1">
        <v>7.1</v>
      </c>
      <c r="J2155" s="26">
        <v>45418</v>
      </c>
      <c r="K2155" s="22">
        <v>96590</v>
      </c>
      <c r="L2155" s="18">
        <v>103.3</v>
      </c>
      <c r="M2155" s="22">
        <v>80000</v>
      </c>
      <c r="N2155" s="22">
        <v>16590</v>
      </c>
      <c r="O2155" s="18">
        <v>17.739999999999998</v>
      </c>
      <c r="P2155" s="52">
        <f>IF(COUNTIF(TblPurchases[BatchID],TblOutcomes[[#This Row],[BatchID]])&lt;&gt;1,"n.a.",TblOutcomes[[#This Row],[Qty Wasted]]*SUMIFS(TblPurchases[Unit Cost (CLP)],TblPurchases[BatchID],TblOutcomes[[#This Row],[BatchID]]))</f>
        <v>5699.9999999999991</v>
      </c>
      <c r="Q2155" s="51">
        <f>IF(COUNTIF(TblPurchases[BatchID],TblOutcomes[[#This Row],[BatchID]])&lt;&gt;1,"n.a.",SUMIFS(TblPurchases[Purchase Date],TblPurchases[BatchID],TblOutcomes[[#This Row],[BatchID]]))</f>
        <v>45208</v>
      </c>
    </row>
    <row r="2156" spans="2:17" x14ac:dyDescent="0.25">
      <c r="B2156" s="2" t="s">
        <v>2961</v>
      </c>
      <c r="C2156" s="2" t="s">
        <v>257</v>
      </c>
      <c r="D2156" s="2" t="s">
        <v>256</v>
      </c>
      <c r="E2156" s="2" t="s">
        <v>4646</v>
      </c>
      <c r="F2156" s="2">
        <v>8</v>
      </c>
      <c r="G2156" s="2">
        <v>7.18</v>
      </c>
      <c r="H2156" s="2">
        <v>0.82</v>
      </c>
      <c r="I2156" s="1">
        <v>10.3</v>
      </c>
      <c r="J2156" s="26">
        <v>45440</v>
      </c>
      <c r="K2156" s="22">
        <v>93340</v>
      </c>
      <c r="L2156" s="18">
        <v>99.83</v>
      </c>
      <c r="M2156" s="22">
        <v>80000</v>
      </c>
      <c r="N2156" s="22">
        <v>13340</v>
      </c>
      <c r="O2156" s="18">
        <v>14.27</v>
      </c>
      <c r="P2156" s="52">
        <f>IF(COUNTIF(TblPurchases[BatchID],TblOutcomes[[#This Row],[BatchID]])&lt;&gt;1,"n.a.",TblOutcomes[[#This Row],[Qty Wasted]]*SUMIFS(TblPurchases[Unit Cost (CLP)],TblPurchases[BatchID],TblOutcomes[[#This Row],[BatchID]]))</f>
        <v>8200</v>
      </c>
      <c r="Q2156" s="51">
        <f>IF(COUNTIF(TblPurchases[BatchID],TblOutcomes[[#This Row],[BatchID]])&lt;&gt;1,"n.a.",SUMIFS(TblPurchases[Purchase Date],TblPurchases[BatchID],TblOutcomes[[#This Row],[BatchID]]))</f>
        <v>45230</v>
      </c>
    </row>
    <row r="2157" spans="2:17" x14ac:dyDescent="0.25">
      <c r="B2157" s="2" t="s">
        <v>2962</v>
      </c>
      <c r="C2157" s="2" t="s">
        <v>257</v>
      </c>
      <c r="D2157" s="2" t="s">
        <v>256</v>
      </c>
      <c r="E2157" s="2" t="s">
        <v>4647</v>
      </c>
      <c r="F2157" s="2">
        <v>8</v>
      </c>
      <c r="G2157" s="2">
        <v>8</v>
      </c>
      <c r="H2157" s="2">
        <v>0</v>
      </c>
      <c r="I2157" s="1">
        <v>0</v>
      </c>
      <c r="J2157" s="26">
        <v>45276</v>
      </c>
      <c r="K2157" s="22">
        <v>104000</v>
      </c>
      <c r="L2157" s="18">
        <v>111.23</v>
      </c>
      <c r="M2157" s="22">
        <v>80000</v>
      </c>
      <c r="N2157" s="22">
        <v>24000</v>
      </c>
      <c r="O2157" s="18">
        <v>25.67</v>
      </c>
      <c r="P2157" s="52">
        <f>IF(COUNTIF(TblPurchases[BatchID],TblOutcomes[[#This Row],[BatchID]])&lt;&gt;1,"n.a.",TblOutcomes[[#This Row],[Qty Wasted]]*SUMIFS(TblPurchases[Unit Cost (CLP)],TblPurchases[BatchID],TblOutcomes[[#This Row],[BatchID]]))</f>
        <v>0</v>
      </c>
      <c r="Q2157" s="51">
        <f>IF(COUNTIF(TblPurchases[BatchID],TblOutcomes[[#This Row],[BatchID]])&lt;&gt;1,"n.a.",SUMIFS(TblPurchases[Purchase Date],TblPurchases[BatchID],TblOutcomes[[#This Row],[BatchID]]))</f>
        <v>45251</v>
      </c>
    </row>
    <row r="2158" spans="2:17" x14ac:dyDescent="0.25">
      <c r="B2158" s="2" t="s">
        <v>2963</v>
      </c>
      <c r="C2158" s="2" t="s">
        <v>257</v>
      </c>
      <c r="D2158" s="2" t="s">
        <v>256</v>
      </c>
      <c r="E2158" s="2" t="s">
        <v>4647</v>
      </c>
      <c r="F2158" s="2">
        <v>10</v>
      </c>
      <c r="G2158" s="2">
        <v>10</v>
      </c>
      <c r="H2158" s="2">
        <v>0</v>
      </c>
      <c r="I2158" s="1">
        <v>0</v>
      </c>
      <c r="J2158" s="26">
        <v>45301</v>
      </c>
      <c r="K2158" s="22">
        <v>130000</v>
      </c>
      <c r="L2158" s="18">
        <v>139.04</v>
      </c>
      <c r="M2158" s="22">
        <v>100000</v>
      </c>
      <c r="N2158" s="22">
        <v>30000</v>
      </c>
      <c r="O2158" s="18">
        <v>32.090000000000003</v>
      </c>
      <c r="P2158" s="52">
        <f>IF(COUNTIF(TblPurchases[BatchID],TblOutcomes[[#This Row],[BatchID]])&lt;&gt;1,"n.a.",TblOutcomes[[#This Row],[Qty Wasted]]*SUMIFS(TblPurchases[Unit Cost (CLP)],TblPurchases[BatchID],TblOutcomes[[#This Row],[BatchID]]))</f>
        <v>0</v>
      </c>
      <c r="Q2158" s="51">
        <f>IF(COUNTIF(TblPurchases[BatchID],TblOutcomes[[#This Row],[BatchID]])&lt;&gt;1,"n.a.",SUMIFS(TblPurchases[Purchase Date],TblPurchases[BatchID],TblOutcomes[[#This Row],[BatchID]]))</f>
        <v>45276</v>
      </c>
    </row>
    <row r="2159" spans="2:17" x14ac:dyDescent="0.25">
      <c r="B2159" s="2" t="s">
        <v>2964</v>
      </c>
      <c r="C2159" s="2" t="s">
        <v>257</v>
      </c>
      <c r="D2159" s="2" t="s">
        <v>256</v>
      </c>
      <c r="E2159" s="2" t="s">
        <v>4647</v>
      </c>
      <c r="F2159" s="2">
        <v>7</v>
      </c>
      <c r="G2159" s="2">
        <v>7</v>
      </c>
      <c r="H2159" s="2">
        <v>0</v>
      </c>
      <c r="I2159" s="1">
        <v>0</v>
      </c>
      <c r="J2159" s="26">
        <v>45318</v>
      </c>
      <c r="K2159" s="22">
        <v>91000</v>
      </c>
      <c r="L2159" s="18">
        <v>97.33</v>
      </c>
      <c r="M2159" s="22">
        <v>70000</v>
      </c>
      <c r="N2159" s="22">
        <v>21000</v>
      </c>
      <c r="O2159" s="18">
        <v>22.46</v>
      </c>
      <c r="P2159" s="52">
        <f>IF(COUNTIF(TblPurchases[BatchID],TblOutcomes[[#This Row],[BatchID]])&lt;&gt;1,"n.a.",TblOutcomes[[#This Row],[Qty Wasted]]*SUMIFS(TblPurchases[Unit Cost (CLP)],TblPurchases[BatchID],TblOutcomes[[#This Row],[BatchID]]))</f>
        <v>0</v>
      </c>
      <c r="Q2159" s="51">
        <f>IF(COUNTIF(TblPurchases[BatchID],TblOutcomes[[#This Row],[BatchID]])&lt;&gt;1,"n.a.",SUMIFS(TblPurchases[Purchase Date],TblPurchases[BatchID],TblOutcomes[[#This Row],[BatchID]]))</f>
        <v>45299</v>
      </c>
    </row>
    <row r="2160" spans="2:17" x14ac:dyDescent="0.25">
      <c r="B2160" s="2" t="s">
        <v>2965</v>
      </c>
      <c r="C2160" s="2" t="s">
        <v>257</v>
      </c>
      <c r="D2160" s="2" t="s">
        <v>256</v>
      </c>
      <c r="E2160" s="2" t="s">
        <v>4647</v>
      </c>
      <c r="F2160" s="2">
        <v>7</v>
      </c>
      <c r="G2160" s="2">
        <v>7</v>
      </c>
      <c r="H2160" s="2">
        <v>0</v>
      </c>
      <c r="I2160" s="1">
        <v>0</v>
      </c>
      <c r="J2160" s="26">
        <v>45340</v>
      </c>
      <c r="K2160" s="22">
        <v>91000</v>
      </c>
      <c r="L2160" s="18">
        <v>97.33</v>
      </c>
      <c r="M2160" s="22">
        <v>70000</v>
      </c>
      <c r="N2160" s="22">
        <v>21000</v>
      </c>
      <c r="O2160" s="18">
        <v>22.46</v>
      </c>
      <c r="P2160" s="52">
        <f>IF(COUNTIF(TblPurchases[BatchID],TblOutcomes[[#This Row],[BatchID]])&lt;&gt;1,"n.a.",TblOutcomes[[#This Row],[Qty Wasted]]*SUMIFS(TblPurchases[Unit Cost (CLP)],TblPurchases[BatchID],TblOutcomes[[#This Row],[BatchID]]))</f>
        <v>0</v>
      </c>
      <c r="Q2160" s="51">
        <f>IF(COUNTIF(TblPurchases[BatchID],TblOutcomes[[#This Row],[BatchID]])&lt;&gt;1,"n.a.",SUMIFS(TblPurchases[Purchase Date],TblPurchases[BatchID],TblOutcomes[[#This Row],[BatchID]]))</f>
        <v>45316</v>
      </c>
    </row>
    <row r="2161" spans="2:17" x14ac:dyDescent="0.25">
      <c r="B2161" s="2" t="s">
        <v>2966</v>
      </c>
      <c r="C2161" s="2" t="s">
        <v>257</v>
      </c>
      <c r="D2161" s="2" t="s">
        <v>256</v>
      </c>
      <c r="E2161" s="2" t="s">
        <v>4646</v>
      </c>
      <c r="F2161" s="2">
        <v>7</v>
      </c>
      <c r="G2161" s="2">
        <v>6.04</v>
      </c>
      <c r="H2161" s="2">
        <v>0.96</v>
      </c>
      <c r="I2161" s="1">
        <v>13.7</v>
      </c>
      <c r="J2161" s="26">
        <v>45545</v>
      </c>
      <c r="K2161" s="22">
        <v>78520</v>
      </c>
      <c r="L2161" s="18">
        <v>83.98</v>
      </c>
      <c r="M2161" s="22">
        <v>67550</v>
      </c>
      <c r="N2161" s="22">
        <v>10970</v>
      </c>
      <c r="O2161" s="18">
        <v>11.73</v>
      </c>
      <c r="P2161" s="52">
        <f>IF(COUNTIF(TblPurchases[BatchID],TblOutcomes[[#This Row],[BatchID]])&lt;&gt;1,"n.a.",TblOutcomes[[#This Row],[Qty Wasted]]*SUMIFS(TblPurchases[Unit Cost (CLP)],TblPurchases[BatchID],TblOutcomes[[#This Row],[BatchID]]))</f>
        <v>9264</v>
      </c>
      <c r="Q2161" s="51">
        <f>IF(COUNTIF(TblPurchases[BatchID],TblOutcomes[[#This Row],[BatchID]])&lt;&gt;1,"n.a.",SUMIFS(TblPurchases[Purchase Date],TblPurchases[BatchID],TblOutcomes[[#This Row],[BatchID]]))</f>
        <v>45335</v>
      </c>
    </row>
    <row r="2162" spans="2:17" x14ac:dyDescent="0.25">
      <c r="B2162" s="2" t="s">
        <v>2967</v>
      </c>
      <c r="C2162" s="2" t="s">
        <v>257</v>
      </c>
      <c r="D2162" s="2" t="s">
        <v>256</v>
      </c>
      <c r="E2162" s="2" t="s">
        <v>4647</v>
      </c>
      <c r="F2162" s="2">
        <v>8</v>
      </c>
      <c r="G2162" s="2">
        <v>8</v>
      </c>
      <c r="H2162" s="2">
        <v>0</v>
      </c>
      <c r="I2162" s="1">
        <v>0</v>
      </c>
      <c r="J2162" s="26">
        <v>45363</v>
      </c>
      <c r="K2162" s="22">
        <v>104000</v>
      </c>
      <c r="L2162" s="18">
        <v>111.23</v>
      </c>
      <c r="M2162" s="22">
        <v>80000</v>
      </c>
      <c r="N2162" s="22">
        <v>24000</v>
      </c>
      <c r="O2162" s="18">
        <v>25.67</v>
      </c>
      <c r="P2162" s="52">
        <f>IF(COUNTIF(TblPurchases[BatchID],TblOutcomes[[#This Row],[BatchID]])&lt;&gt;1,"n.a.",TblOutcomes[[#This Row],[Qty Wasted]]*SUMIFS(TblPurchases[Unit Cost (CLP)],TblPurchases[BatchID],TblOutcomes[[#This Row],[BatchID]]))</f>
        <v>0</v>
      </c>
      <c r="Q2162" s="51">
        <f>IF(COUNTIF(TblPurchases[BatchID],TblOutcomes[[#This Row],[BatchID]])&lt;&gt;1,"n.a.",SUMIFS(TblPurchases[Purchase Date],TblPurchases[BatchID],TblOutcomes[[#This Row],[BatchID]]))</f>
        <v>45350</v>
      </c>
    </row>
    <row r="2163" spans="2:17" x14ac:dyDescent="0.25">
      <c r="B2163" s="2" t="s">
        <v>2968</v>
      </c>
      <c r="C2163" s="2" t="s">
        <v>257</v>
      </c>
      <c r="D2163" s="2" t="s">
        <v>256</v>
      </c>
      <c r="E2163" s="2" t="s">
        <v>4646</v>
      </c>
      <c r="F2163" s="2">
        <v>6</v>
      </c>
      <c r="G2163" s="2">
        <v>5.58</v>
      </c>
      <c r="H2163" s="2">
        <v>0.42</v>
      </c>
      <c r="I2163" s="1">
        <v>7</v>
      </c>
      <c r="J2163" s="26">
        <v>45580</v>
      </c>
      <c r="K2163" s="22">
        <v>72540</v>
      </c>
      <c r="L2163" s="18">
        <v>77.58</v>
      </c>
      <c r="M2163" s="22">
        <v>60000</v>
      </c>
      <c r="N2163" s="22">
        <v>12540</v>
      </c>
      <c r="O2163" s="18">
        <v>13.41</v>
      </c>
      <c r="P2163" s="52">
        <f>IF(COUNTIF(TblPurchases[BatchID],TblOutcomes[[#This Row],[BatchID]])&lt;&gt;1,"n.a.",TblOutcomes[[#This Row],[Qty Wasted]]*SUMIFS(TblPurchases[Unit Cost (CLP)],TblPurchases[BatchID],TblOutcomes[[#This Row],[BatchID]]))</f>
        <v>4200</v>
      </c>
      <c r="Q2163" s="51">
        <f>IF(COUNTIF(TblPurchases[BatchID],TblOutcomes[[#This Row],[BatchID]])&lt;&gt;1,"n.a.",SUMIFS(TblPurchases[Purchase Date],TblPurchases[BatchID],TblOutcomes[[#This Row],[BatchID]]))</f>
        <v>45370</v>
      </c>
    </row>
    <row r="2164" spans="2:17" x14ac:dyDescent="0.25">
      <c r="B2164" s="2" t="s">
        <v>2969</v>
      </c>
      <c r="C2164" s="2" t="s">
        <v>257</v>
      </c>
      <c r="D2164" s="2" t="s">
        <v>256</v>
      </c>
      <c r="E2164" s="2" t="s">
        <v>4647</v>
      </c>
      <c r="F2164" s="2">
        <v>20</v>
      </c>
      <c r="G2164" s="2">
        <v>20</v>
      </c>
      <c r="H2164" s="2">
        <v>0</v>
      </c>
      <c r="I2164" s="1">
        <v>0</v>
      </c>
      <c r="J2164" s="26">
        <v>45403</v>
      </c>
      <c r="K2164" s="22">
        <v>260000</v>
      </c>
      <c r="L2164" s="18">
        <v>278.07</v>
      </c>
      <c r="M2164" s="22">
        <v>200000</v>
      </c>
      <c r="N2164" s="22">
        <v>60000</v>
      </c>
      <c r="O2164" s="18">
        <v>64.17</v>
      </c>
      <c r="P2164" s="52">
        <f>IF(COUNTIF(TblPurchases[BatchID],TblOutcomes[[#This Row],[BatchID]])&lt;&gt;1,"n.a.",TblOutcomes[[#This Row],[Qty Wasted]]*SUMIFS(TblPurchases[Unit Cost (CLP)],TblPurchases[BatchID],TblOutcomes[[#This Row],[BatchID]]))</f>
        <v>0</v>
      </c>
      <c r="Q2164" s="51">
        <f>IF(COUNTIF(TblPurchases[BatchID],TblOutcomes[[#This Row],[BatchID]])&lt;&gt;1,"n.a.",SUMIFS(TblPurchases[Purchase Date],TblPurchases[BatchID],TblOutcomes[[#This Row],[BatchID]]))</f>
        <v>45393</v>
      </c>
    </row>
    <row r="2165" spans="2:17" x14ac:dyDescent="0.25">
      <c r="B2165" s="2" t="s">
        <v>2970</v>
      </c>
      <c r="C2165" s="2" t="s">
        <v>257</v>
      </c>
      <c r="D2165" s="2" t="s">
        <v>256</v>
      </c>
      <c r="E2165" s="2" t="s">
        <v>4647</v>
      </c>
      <c r="F2165" s="2">
        <v>21</v>
      </c>
      <c r="G2165" s="2">
        <v>21</v>
      </c>
      <c r="H2165" s="2">
        <v>0</v>
      </c>
      <c r="I2165" s="1">
        <v>0</v>
      </c>
      <c r="J2165" s="26">
        <v>45434</v>
      </c>
      <c r="K2165" s="22">
        <v>273000</v>
      </c>
      <c r="L2165" s="18">
        <v>291.98</v>
      </c>
      <c r="M2165" s="22">
        <v>210000</v>
      </c>
      <c r="N2165" s="22">
        <v>63000</v>
      </c>
      <c r="O2165" s="18">
        <v>67.38</v>
      </c>
      <c r="P2165" s="52">
        <f>IF(COUNTIF(TblPurchases[BatchID],TblOutcomes[[#This Row],[BatchID]])&lt;&gt;1,"n.a.",TblOutcomes[[#This Row],[Qty Wasted]]*SUMIFS(TblPurchases[Unit Cost (CLP)],TblPurchases[BatchID],TblOutcomes[[#This Row],[BatchID]]))</f>
        <v>0</v>
      </c>
      <c r="Q2165" s="51">
        <f>IF(COUNTIF(TblPurchases[BatchID],TblOutcomes[[#This Row],[BatchID]])&lt;&gt;1,"n.a.",SUMIFS(TblPurchases[Purchase Date],TblPurchases[BatchID],TblOutcomes[[#This Row],[BatchID]]))</f>
        <v>45417</v>
      </c>
    </row>
    <row r="2166" spans="2:17" x14ac:dyDescent="0.25">
      <c r="B2166" s="2" t="s">
        <v>2971</v>
      </c>
      <c r="C2166" s="2" t="s">
        <v>257</v>
      </c>
      <c r="D2166" s="2" t="s">
        <v>256</v>
      </c>
      <c r="E2166" s="2" t="s">
        <v>4647</v>
      </c>
      <c r="F2166" s="2">
        <v>22</v>
      </c>
      <c r="G2166" s="2">
        <v>22</v>
      </c>
      <c r="H2166" s="2">
        <v>0</v>
      </c>
      <c r="I2166" s="1">
        <v>0</v>
      </c>
      <c r="J2166" s="26">
        <v>45445</v>
      </c>
      <c r="K2166" s="22">
        <v>286000</v>
      </c>
      <c r="L2166" s="18">
        <v>305.88</v>
      </c>
      <c r="M2166" s="22">
        <v>220000</v>
      </c>
      <c r="N2166" s="22">
        <v>66000</v>
      </c>
      <c r="O2166" s="18">
        <v>70.59</v>
      </c>
      <c r="P2166" s="52">
        <f>IF(COUNTIF(TblPurchases[BatchID],TblOutcomes[[#This Row],[BatchID]])&lt;&gt;1,"n.a.",TblOutcomes[[#This Row],[Qty Wasted]]*SUMIFS(TblPurchases[Unit Cost (CLP)],TblPurchases[BatchID],TblOutcomes[[#This Row],[BatchID]]))</f>
        <v>0</v>
      </c>
      <c r="Q2166" s="51">
        <f>IF(COUNTIF(TblPurchases[BatchID],TblOutcomes[[#This Row],[BatchID]])&lt;&gt;1,"n.a.",SUMIFS(TblPurchases[Purchase Date],TblPurchases[BatchID],TblOutcomes[[#This Row],[BatchID]]))</f>
        <v>45437</v>
      </c>
    </row>
    <row r="2167" spans="2:17" x14ac:dyDescent="0.25">
      <c r="B2167" s="2" t="s">
        <v>2972</v>
      </c>
      <c r="C2167" s="2" t="s">
        <v>257</v>
      </c>
      <c r="D2167" s="2" t="s">
        <v>256</v>
      </c>
      <c r="E2167" s="2" t="s">
        <v>4647</v>
      </c>
      <c r="F2167" s="2">
        <v>17</v>
      </c>
      <c r="G2167" s="2">
        <v>17</v>
      </c>
      <c r="H2167" s="2">
        <v>0</v>
      </c>
      <c r="I2167" s="1">
        <v>0</v>
      </c>
      <c r="J2167" s="26">
        <v>45474</v>
      </c>
      <c r="K2167" s="22">
        <v>221000</v>
      </c>
      <c r="L2167" s="18">
        <v>236.36</v>
      </c>
      <c r="M2167" s="22">
        <v>170000</v>
      </c>
      <c r="N2167" s="22">
        <v>51000</v>
      </c>
      <c r="O2167" s="18">
        <v>54.55</v>
      </c>
      <c r="P2167" s="52">
        <f>IF(COUNTIF(TblPurchases[BatchID],TblOutcomes[[#This Row],[BatchID]])&lt;&gt;1,"n.a.",TblOutcomes[[#This Row],[Qty Wasted]]*SUMIFS(TblPurchases[Unit Cost (CLP)],TblPurchases[BatchID],TblOutcomes[[#This Row],[BatchID]]))</f>
        <v>0</v>
      </c>
      <c r="Q2167" s="51">
        <f>IF(COUNTIF(TblPurchases[BatchID],TblOutcomes[[#This Row],[BatchID]])&lt;&gt;1,"n.a.",SUMIFS(TblPurchases[Purchase Date],TblPurchases[BatchID],TblOutcomes[[#This Row],[BatchID]]))</f>
        <v>45457</v>
      </c>
    </row>
    <row r="2168" spans="2:17" x14ac:dyDescent="0.25">
      <c r="B2168" s="2" t="s">
        <v>2973</v>
      </c>
      <c r="C2168" s="2" t="s">
        <v>257</v>
      </c>
      <c r="D2168" s="2" t="s">
        <v>256</v>
      </c>
      <c r="E2168" s="2" t="s">
        <v>4647</v>
      </c>
      <c r="F2168" s="2">
        <v>22</v>
      </c>
      <c r="G2168" s="2">
        <v>22</v>
      </c>
      <c r="H2168" s="2">
        <v>0</v>
      </c>
      <c r="I2168" s="1">
        <v>0</v>
      </c>
      <c r="J2168" s="26">
        <v>45494</v>
      </c>
      <c r="K2168" s="22">
        <v>286000</v>
      </c>
      <c r="L2168" s="18">
        <v>305.88</v>
      </c>
      <c r="M2168" s="22">
        <v>220000</v>
      </c>
      <c r="N2168" s="22">
        <v>66000</v>
      </c>
      <c r="O2168" s="18">
        <v>70.59</v>
      </c>
      <c r="P2168" s="52">
        <f>IF(COUNTIF(TblPurchases[BatchID],TblOutcomes[[#This Row],[BatchID]])&lt;&gt;1,"n.a.",TblOutcomes[[#This Row],[Qty Wasted]]*SUMIFS(TblPurchases[Unit Cost (CLP)],TblPurchases[BatchID],TblOutcomes[[#This Row],[BatchID]]))</f>
        <v>0</v>
      </c>
      <c r="Q2168" s="51">
        <f>IF(COUNTIF(TblPurchases[BatchID],TblOutcomes[[#This Row],[BatchID]])&lt;&gt;1,"n.a.",SUMIFS(TblPurchases[Purchase Date],TblPurchases[BatchID],TblOutcomes[[#This Row],[BatchID]]))</f>
        <v>45471</v>
      </c>
    </row>
    <row r="2169" spans="2:17" x14ac:dyDescent="0.25">
      <c r="B2169" s="2" t="s">
        <v>2974</v>
      </c>
      <c r="C2169" s="2" t="s">
        <v>257</v>
      </c>
      <c r="D2169" s="2" t="s">
        <v>256</v>
      </c>
      <c r="E2169" s="2" t="s">
        <v>4647</v>
      </c>
      <c r="F2169" s="2">
        <v>16</v>
      </c>
      <c r="G2169" s="2">
        <v>16</v>
      </c>
      <c r="H2169" s="2">
        <v>0</v>
      </c>
      <c r="I2169" s="1">
        <v>0</v>
      </c>
      <c r="J2169" s="26">
        <v>45505</v>
      </c>
      <c r="K2169" s="22">
        <v>208000</v>
      </c>
      <c r="L2169" s="18">
        <v>222.46</v>
      </c>
      <c r="M2169" s="22">
        <v>160000</v>
      </c>
      <c r="N2169" s="22">
        <v>48000</v>
      </c>
      <c r="O2169" s="18">
        <v>51.34</v>
      </c>
      <c r="P2169" s="52">
        <f>IF(COUNTIF(TblPurchases[BatchID],TblOutcomes[[#This Row],[BatchID]])&lt;&gt;1,"n.a.",TblOutcomes[[#This Row],[Qty Wasted]]*SUMIFS(TblPurchases[Unit Cost (CLP)],TblPurchases[BatchID],TblOutcomes[[#This Row],[BatchID]]))</f>
        <v>0</v>
      </c>
      <c r="Q2169" s="51">
        <f>IF(COUNTIF(TblPurchases[BatchID],TblOutcomes[[#This Row],[BatchID]])&lt;&gt;1,"n.a.",SUMIFS(TblPurchases[Purchase Date],TblPurchases[BatchID],TblOutcomes[[#This Row],[BatchID]]))</f>
        <v>45489</v>
      </c>
    </row>
    <row r="2170" spans="2:17" x14ac:dyDescent="0.25">
      <c r="B2170" s="2" t="s">
        <v>2975</v>
      </c>
      <c r="C2170" s="2" t="s">
        <v>257</v>
      </c>
      <c r="D2170" s="2" t="s">
        <v>256</v>
      </c>
      <c r="E2170" s="2" t="s">
        <v>4646</v>
      </c>
      <c r="F2170" s="2">
        <v>21</v>
      </c>
      <c r="G2170" s="2">
        <v>19.87</v>
      </c>
      <c r="H2170" s="2">
        <v>1.1299999999999999</v>
      </c>
      <c r="I2170" s="1">
        <v>5.4</v>
      </c>
      <c r="J2170" s="26">
        <v>45722</v>
      </c>
      <c r="K2170" s="22">
        <v>258310</v>
      </c>
      <c r="L2170" s="18">
        <v>276.27</v>
      </c>
      <c r="M2170" s="22">
        <v>210000</v>
      </c>
      <c r="N2170" s="22">
        <v>48310</v>
      </c>
      <c r="O2170" s="18">
        <v>51.67</v>
      </c>
      <c r="P2170" s="52">
        <f>IF(COUNTIF(TblPurchases[BatchID],TblOutcomes[[#This Row],[BatchID]])&lt;&gt;1,"n.a.",TblOutcomes[[#This Row],[Qty Wasted]]*SUMIFS(TblPurchases[Unit Cost (CLP)],TblPurchases[BatchID],TblOutcomes[[#This Row],[BatchID]]))</f>
        <v>11299.999999999998</v>
      </c>
      <c r="Q2170" s="51">
        <f>IF(COUNTIF(TblPurchases[BatchID],TblOutcomes[[#This Row],[BatchID]])&lt;&gt;1,"n.a.",SUMIFS(TblPurchases[Purchase Date],TblPurchases[BatchID],TblOutcomes[[#This Row],[BatchID]]))</f>
        <v>45512</v>
      </c>
    </row>
    <row r="2171" spans="2:17" x14ac:dyDescent="0.25">
      <c r="B2171" s="2" t="s">
        <v>2976</v>
      </c>
      <c r="C2171" s="2" t="s">
        <v>257</v>
      </c>
      <c r="D2171" s="2" t="s">
        <v>256</v>
      </c>
      <c r="E2171" s="2" t="s">
        <v>4647</v>
      </c>
      <c r="F2171" s="2">
        <v>16</v>
      </c>
      <c r="G2171" s="2">
        <v>16</v>
      </c>
      <c r="H2171" s="2">
        <v>0</v>
      </c>
      <c r="I2171" s="1">
        <v>0</v>
      </c>
      <c r="J2171" s="26">
        <v>45540</v>
      </c>
      <c r="K2171" s="22">
        <v>208000</v>
      </c>
      <c r="L2171" s="18">
        <v>222.46</v>
      </c>
      <c r="M2171" s="22">
        <v>160000</v>
      </c>
      <c r="N2171" s="22">
        <v>48000</v>
      </c>
      <c r="O2171" s="18">
        <v>51.34</v>
      </c>
      <c r="P2171" s="52">
        <f>IF(COUNTIF(TblPurchases[BatchID],TblOutcomes[[#This Row],[BatchID]])&lt;&gt;1,"n.a.",TblOutcomes[[#This Row],[Qty Wasted]]*SUMIFS(TblPurchases[Unit Cost (CLP)],TblPurchases[BatchID],TblOutcomes[[#This Row],[BatchID]]))</f>
        <v>0</v>
      </c>
      <c r="Q2171" s="51">
        <f>IF(COUNTIF(TblPurchases[BatchID],TblOutcomes[[#This Row],[BatchID]])&lt;&gt;1,"n.a.",SUMIFS(TblPurchases[Purchase Date],TblPurchases[BatchID],TblOutcomes[[#This Row],[BatchID]]))</f>
        <v>45530</v>
      </c>
    </row>
    <row r="2172" spans="2:17" x14ac:dyDescent="0.25">
      <c r="B2172" s="2" t="s">
        <v>2977</v>
      </c>
      <c r="C2172" s="2" t="s">
        <v>257</v>
      </c>
      <c r="D2172" s="2" t="s">
        <v>256</v>
      </c>
      <c r="E2172" s="2" t="s">
        <v>4647</v>
      </c>
      <c r="F2172" s="2">
        <v>28</v>
      </c>
      <c r="G2172" s="2">
        <v>28</v>
      </c>
      <c r="H2172" s="2">
        <v>0</v>
      </c>
      <c r="I2172" s="1">
        <v>0</v>
      </c>
      <c r="J2172" s="26">
        <v>45566</v>
      </c>
      <c r="K2172" s="22">
        <v>364000</v>
      </c>
      <c r="L2172" s="18">
        <v>389.3</v>
      </c>
      <c r="M2172" s="22">
        <v>270200</v>
      </c>
      <c r="N2172" s="22">
        <v>93800</v>
      </c>
      <c r="O2172" s="18">
        <v>100.32</v>
      </c>
      <c r="P2172" s="52">
        <f>IF(COUNTIF(TblPurchases[BatchID],TblOutcomes[[#This Row],[BatchID]])&lt;&gt;1,"n.a.",TblOutcomes[[#This Row],[Qty Wasted]]*SUMIFS(TblPurchases[Unit Cost (CLP)],TblPurchases[BatchID],TblOutcomes[[#This Row],[BatchID]]))</f>
        <v>0</v>
      </c>
      <c r="Q2172" s="51">
        <f>IF(COUNTIF(TblPurchases[BatchID],TblOutcomes[[#This Row],[BatchID]])&lt;&gt;1,"n.a.",SUMIFS(TblPurchases[Purchase Date],TblPurchases[BatchID],TblOutcomes[[#This Row],[BatchID]]))</f>
        <v>45551</v>
      </c>
    </row>
    <row r="2173" spans="2:17" x14ac:dyDescent="0.25">
      <c r="B2173" s="2" t="s">
        <v>2978</v>
      </c>
      <c r="C2173" s="2" t="s">
        <v>257</v>
      </c>
      <c r="D2173" s="2" t="s">
        <v>256</v>
      </c>
      <c r="E2173" s="2" t="s">
        <v>4647</v>
      </c>
      <c r="F2173" s="2">
        <v>7</v>
      </c>
      <c r="G2173" s="2">
        <v>7</v>
      </c>
      <c r="H2173" s="2">
        <v>0</v>
      </c>
      <c r="I2173" s="1">
        <v>0</v>
      </c>
      <c r="J2173" s="26">
        <v>45592</v>
      </c>
      <c r="K2173" s="22">
        <v>91000</v>
      </c>
      <c r="L2173" s="18">
        <v>97.33</v>
      </c>
      <c r="M2173" s="22">
        <v>70000</v>
      </c>
      <c r="N2173" s="22">
        <v>21000</v>
      </c>
      <c r="O2173" s="18">
        <v>22.46</v>
      </c>
      <c r="P2173" s="52">
        <f>IF(COUNTIF(TblPurchases[BatchID],TblOutcomes[[#This Row],[BatchID]])&lt;&gt;1,"n.a.",TblOutcomes[[#This Row],[Qty Wasted]]*SUMIFS(TblPurchases[Unit Cost (CLP)],TblPurchases[BatchID],TblOutcomes[[#This Row],[BatchID]]))</f>
        <v>0</v>
      </c>
      <c r="Q2173" s="51">
        <f>IF(COUNTIF(TblPurchases[BatchID],TblOutcomes[[#This Row],[BatchID]])&lt;&gt;1,"n.a.",SUMIFS(TblPurchases[Purchase Date],TblPurchases[BatchID],TblOutcomes[[#This Row],[BatchID]]))</f>
        <v>45573</v>
      </c>
    </row>
    <row r="2174" spans="2:17" x14ac:dyDescent="0.25">
      <c r="B2174" s="2" t="s">
        <v>2979</v>
      </c>
      <c r="C2174" s="2" t="s">
        <v>257</v>
      </c>
      <c r="D2174" s="2" t="s">
        <v>256</v>
      </c>
      <c r="E2174" s="2" t="s">
        <v>4646</v>
      </c>
      <c r="F2174" s="2">
        <v>7</v>
      </c>
      <c r="G2174" s="2">
        <v>6.74</v>
      </c>
      <c r="H2174" s="2">
        <v>0.26</v>
      </c>
      <c r="I2174" s="1">
        <v>3.7</v>
      </c>
      <c r="J2174" s="26">
        <v>45806</v>
      </c>
      <c r="K2174" s="22">
        <v>87620</v>
      </c>
      <c r="L2174" s="18">
        <v>93.71</v>
      </c>
      <c r="M2174" s="22">
        <v>70000</v>
      </c>
      <c r="N2174" s="22">
        <v>17620</v>
      </c>
      <c r="O2174" s="18">
        <v>18.84</v>
      </c>
      <c r="P2174" s="52">
        <f>IF(COUNTIF(TblPurchases[BatchID],TblOutcomes[[#This Row],[BatchID]])&lt;&gt;1,"n.a.",TblOutcomes[[#This Row],[Qty Wasted]]*SUMIFS(TblPurchases[Unit Cost (CLP)],TblPurchases[BatchID],TblOutcomes[[#This Row],[BatchID]]))</f>
        <v>2600</v>
      </c>
      <c r="Q2174" s="51">
        <f>IF(COUNTIF(TblPurchases[BatchID],TblOutcomes[[#This Row],[BatchID]])&lt;&gt;1,"n.a.",SUMIFS(TblPurchases[Purchase Date],TblPurchases[BatchID],TblOutcomes[[#This Row],[BatchID]]))</f>
        <v>45596</v>
      </c>
    </row>
    <row r="2175" spans="2:17" x14ac:dyDescent="0.25">
      <c r="B2175" s="2" t="s">
        <v>2980</v>
      </c>
      <c r="C2175" s="2" t="s">
        <v>257</v>
      </c>
      <c r="D2175" s="2" t="s">
        <v>256</v>
      </c>
      <c r="E2175" s="2" t="s">
        <v>4646</v>
      </c>
      <c r="F2175" s="2">
        <v>8</v>
      </c>
      <c r="G2175" s="2">
        <v>7.35</v>
      </c>
      <c r="H2175" s="2">
        <v>0.65</v>
      </c>
      <c r="I2175" s="1">
        <v>8.1</v>
      </c>
      <c r="J2175" s="26">
        <v>45828</v>
      </c>
      <c r="K2175" s="22">
        <v>95550</v>
      </c>
      <c r="L2175" s="18">
        <v>102.19</v>
      </c>
      <c r="M2175" s="22">
        <v>80000</v>
      </c>
      <c r="N2175" s="22">
        <v>15550</v>
      </c>
      <c r="O2175" s="18">
        <v>16.63</v>
      </c>
      <c r="P2175" s="52">
        <f>IF(COUNTIF(TblPurchases[BatchID],TblOutcomes[[#This Row],[BatchID]])&lt;&gt;1,"n.a.",TblOutcomes[[#This Row],[Qty Wasted]]*SUMIFS(TblPurchases[Unit Cost (CLP)],TblPurchases[BatchID],TblOutcomes[[#This Row],[BatchID]]))</f>
        <v>6500</v>
      </c>
      <c r="Q2175" s="51">
        <f>IF(COUNTIF(TblPurchases[BatchID],TblOutcomes[[#This Row],[BatchID]])&lt;&gt;1,"n.a.",SUMIFS(TblPurchases[Purchase Date],TblPurchases[BatchID],TblOutcomes[[#This Row],[BatchID]]))</f>
        <v>45618</v>
      </c>
    </row>
    <row r="2176" spans="2:17" x14ac:dyDescent="0.25">
      <c r="B2176" s="2" t="s">
        <v>2981</v>
      </c>
      <c r="C2176" s="2" t="s">
        <v>257</v>
      </c>
      <c r="D2176" s="2" t="s">
        <v>256</v>
      </c>
      <c r="E2176" s="2" t="s">
        <v>4646</v>
      </c>
      <c r="F2176" s="2">
        <v>9</v>
      </c>
      <c r="G2176" s="2">
        <v>8.93</v>
      </c>
      <c r="H2176" s="2">
        <v>7.0000000000000007E-2</v>
      </c>
      <c r="I2176" s="1">
        <v>0.8</v>
      </c>
      <c r="J2176" s="26">
        <v>45851</v>
      </c>
      <c r="K2176" s="22">
        <v>116090</v>
      </c>
      <c r="L2176" s="18">
        <v>124.16</v>
      </c>
      <c r="M2176" s="22">
        <v>90000</v>
      </c>
      <c r="N2176" s="22">
        <v>26090</v>
      </c>
      <c r="O2176" s="18">
        <v>27.9</v>
      </c>
      <c r="P2176" s="52">
        <f>IF(COUNTIF(TblPurchases[BatchID],TblOutcomes[[#This Row],[BatchID]])&lt;&gt;1,"n.a.",TblOutcomes[[#This Row],[Qty Wasted]]*SUMIFS(TblPurchases[Unit Cost (CLP)],TblPurchases[BatchID],TblOutcomes[[#This Row],[BatchID]]))</f>
        <v>700.00000000000011</v>
      </c>
      <c r="Q2176" s="51">
        <f>IF(COUNTIF(TblPurchases[BatchID],TblOutcomes[[#This Row],[BatchID]])&lt;&gt;1,"n.a.",SUMIFS(TblPurchases[Purchase Date],TblPurchases[BatchID],TblOutcomes[[#This Row],[BatchID]]))</f>
        <v>45641</v>
      </c>
    </row>
    <row r="2177" spans="2:17" x14ac:dyDescent="0.25">
      <c r="B2177" s="2" t="s">
        <v>2982</v>
      </c>
      <c r="C2177" s="2" t="s">
        <v>257</v>
      </c>
      <c r="D2177" s="2" t="s">
        <v>256</v>
      </c>
      <c r="E2177" s="2" t="s">
        <v>4646</v>
      </c>
      <c r="F2177" s="2">
        <v>7</v>
      </c>
      <c r="G2177" s="2">
        <v>6.73</v>
      </c>
      <c r="H2177" s="2">
        <v>0.27</v>
      </c>
      <c r="I2177" s="1">
        <v>3.8</v>
      </c>
      <c r="J2177" s="26">
        <v>45871</v>
      </c>
      <c r="K2177" s="22">
        <v>87490</v>
      </c>
      <c r="L2177" s="18">
        <v>93.57</v>
      </c>
      <c r="M2177" s="22">
        <v>67550</v>
      </c>
      <c r="N2177" s="22">
        <v>19940</v>
      </c>
      <c r="O2177" s="18">
        <v>21.33</v>
      </c>
      <c r="P2177" s="52">
        <f>IF(COUNTIF(TblPurchases[BatchID],TblOutcomes[[#This Row],[BatchID]])&lt;&gt;1,"n.a.",TblOutcomes[[#This Row],[Qty Wasted]]*SUMIFS(TblPurchases[Unit Cost (CLP)],TblPurchases[BatchID],TblOutcomes[[#This Row],[BatchID]]))</f>
        <v>2605.5</v>
      </c>
      <c r="Q2177" s="51">
        <f>IF(COUNTIF(TblPurchases[BatchID],TblOutcomes[[#This Row],[BatchID]])&lt;&gt;1,"n.a.",SUMIFS(TblPurchases[Purchase Date],TblPurchases[BatchID],TblOutcomes[[#This Row],[BatchID]]))</f>
        <v>45661</v>
      </c>
    </row>
    <row r="2178" spans="2:17" x14ac:dyDescent="0.25">
      <c r="B2178" s="2" t="s">
        <v>2983</v>
      </c>
      <c r="C2178" s="2" t="s">
        <v>257</v>
      </c>
      <c r="D2178" s="2" t="s">
        <v>256</v>
      </c>
      <c r="E2178" s="2" t="s">
        <v>4646</v>
      </c>
      <c r="F2178" s="2">
        <v>8</v>
      </c>
      <c r="G2178" s="2">
        <v>7.41</v>
      </c>
      <c r="H2178" s="2">
        <v>0.59</v>
      </c>
      <c r="I2178" s="1">
        <v>7.4</v>
      </c>
      <c r="J2178" s="26">
        <v>45893</v>
      </c>
      <c r="K2178" s="22">
        <v>96330</v>
      </c>
      <c r="L2178" s="18">
        <v>103.03</v>
      </c>
      <c r="M2178" s="22">
        <v>80000</v>
      </c>
      <c r="N2178" s="22">
        <v>16330</v>
      </c>
      <c r="O2178" s="18">
        <v>17.47</v>
      </c>
      <c r="P2178" s="52">
        <f>IF(COUNTIF(TblPurchases[BatchID],TblOutcomes[[#This Row],[BatchID]])&lt;&gt;1,"n.a.",TblOutcomes[[#This Row],[Qty Wasted]]*SUMIFS(TblPurchases[Unit Cost (CLP)],TblPurchases[BatchID],TblOutcomes[[#This Row],[BatchID]]))</f>
        <v>5900</v>
      </c>
      <c r="Q2178" s="51">
        <f>IF(COUNTIF(TblPurchases[BatchID],TblOutcomes[[#This Row],[BatchID]])&lt;&gt;1,"n.a.",SUMIFS(TblPurchases[Purchase Date],TblPurchases[BatchID],TblOutcomes[[#This Row],[BatchID]]))</f>
        <v>45683</v>
      </c>
    </row>
    <row r="2179" spans="2:17" x14ac:dyDescent="0.25">
      <c r="B2179" s="2" t="s">
        <v>2984</v>
      </c>
      <c r="C2179" s="2" t="s">
        <v>257</v>
      </c>
      <c r="D2179" s="2" t="s">
        <v>256</v>
      </c>
      <c r="E2179" s="2" t="s">
        <v>4646</v>
      </c>
      <c r="F2179" s="2">
        <v>8</v>
      </c>
      <c r="G2179" s="2">
        <v>7.31</v>
      </c>
      <c r="H2179" s="2">
        <v>0.69</v>
      </c>
      <c r="I2179" s="1">
        <v>8.6</v>
      </c>
      <c r="J2179" s="26">
        <v>45915</v>
      </c>
      <c r="K2179" s="22">
        <v>95030</v>
      </c>
      <c r="L2179" s="18">
        <v>101.64</v>
      </c>
      <c r="M2179" s="22">
        <v>80000</v>
      </c>
      <c r="N2179" s="22">
        <v>15030</v>
      </c>
      <c r="O2179" s="18">
        <v>16.07</v>
      </c>
      <c r="P2179" s="52">
        <f>IF(COUNTIF(TblPurchases[BatchID],TblOutcomes[[#This Row],[BatchID]])&lt;&gt;1,"n.a.",TblOutcomes[[#This Row],[Qty Wasted]]*SUMIFS(TblPurchases[Unit Cost (CLP)],TblPurchases[BatchID],TblOutcomes[[#This Row],[BatchID]]))</f>
        <v>6899.9999999999991</v>
      </c>
      <c r="Q2179" s="51">
        <f>IF(COUNTIF(TblPurchases[BatchID],TblOutcomes[[#This Row],[BatchID]])&lt;&gt;1,"n.a.",SUMIFS(TblPurchases[Purchase Date],TblPurchases[BatchID],TblOutcomes[[#This Row],[BatchID]]))</f>
        <v>45705</v>
      </c>
    </row>
    <row r="2180" spans="2:17" x14ac:dyDescent="0.25">
      <c r="B2180" s="2" t="s">
        <v>2985</v>
      </c>
      <c r="C2180" s="2" t="s">
        <v>257</v>
      </c>
      <c r="D2180" s="2" t="s">
        <v>256</v>
      </c>
      <c r="E2180" s="2" t="s">
        <v>4646</v>
      </c>
      <c r="F2180" s="2">
        <v>8</v>
      </c>
      <c r="G2180" s="2">
        <v>7.45</v>
      </c>
      <c r="H2180" s="2">
        <v>0.55000000000000004</v>
      </c>
      <c r="I2180" s="1">
        <v>6.9</v>
      </c>
      <c r="J2180" s="26">
        <v>45933</v>
      </c>
      <c r="K2180" s="22">
        <v>96850</v>
      </c>
      <c r="L2180" s="18">
        <v>103.58</v>
      </c>
      <c r="M2180" s="22">
        <v>80000</v>
      </c>
      <c r="N2180" s="22">
        <v>16850</v>
      </c>
      <c r="O2180" s="18">
        <v>18.02</v>
      </c>
      <c r="P2180" s="52">
        <f>IF(COUNTIF(TblPurchases[BatchID],TblOutcomes[[#This Row],[BatchID]])&lt;&gt;1,"n.a.",TblOutcomes[[#This Row],[Qty Wasted]]*SUMIFS(TblPurchases[Unit Cost (CLP)],TblPurchases[BatchID],TblOutcomes[[#This Row],[BatchID]]))</f>
        <v>5500</v>
      </c>
      <c r="Q2180" s="51">
        <f>IF(COUNTIF(TblPurchases[BatchID],TblOutcomes[[#This Row],[BatchID]])&lt;&gt;1,"n.a.",SUMIFS(TblPurchases[Purchase Date],TblPurchases[BatchID],TblOutcomes[[#This Row],[BatchID]]))</f>
        <v>45723</v>
      </c>
    </row>
    <row r="2181" spans="2:17" x14ac:dyDescent="0.25">
      <c r="B2181" s="2" t="s">
        <v>2986</v>
      </c>
      <c r="C2181" s="2" t="s">
        <v>257</v>
      </c>
      <c r="D2181" s="2" t="s">
        <v>256</v>
      </c>
      <c r="E2181" s="2" t="s">
        <v>4647</v>
      </c>
      <c r="F2181" s="2">
        <v>19</v>
      </c>
      <c r="G2181" s="2">
        <v>19</v>
      </c>
      <c r="H2181" s="2">
        <v>0</v>
      </c>
      <c r="I2181" s="1">
        <v>0</v>
      </c>
      <c r="J2181" s="26">
        <v>45765</v>
      </c>
      <c r="K2181" s="22">
        <v>247000</v>
      </c>
      <c r="L2181" s="18">
        <v>264.17</v>
      </c>
      <c r="M2181" s="22">
        <v>190000</v>
      </c>
      <c r="N2181" s="22">
        <v>57000</v>
      </c>
      <c r="O2181" s="18">
        <v>60.96</v>
      </c>
      <c r="P2181" s="52">
        <f>IF(COUNTIF(TblPurchases[BatchID],TblOutcomes[[#This Row],[BatchID]])&lt;&gt;1,"n.a.",TblOutcomes[[#This Row],[Qty Wasted]]*SUMIFS(TblPurchases[Unit Cost (CLP)],TblPurchases[BatchID],TblOutcomes[[#This Row],[BatchID]]))</f>
        <v>0</v>
      </c>
      <c r="Q2181" s="51">
        <f>IF(COUNTIF(TblPurchases[BatchID],TblOutcomes[[#This Row],[BatchID]])&lt;&gt;1,"n.a.",SUMIFS(TblPurchases[Purchase Date],TblPurchases[BatchID],TblOutcomes[[#This Row],[BatchID]]))</f>
        <v>45748</v>
      </c>
    </row>
    <row r="2182" spans="2:17" x14ac:dyDescent="0.25">
      <c r="B2182" s="2" t="s">
        <v>2987</v>
      </c>
      <c r="C2182" s="2" t="s">
        <v>257</v>
      </c>
      <c r="D2182" s="2" t="s">
        <v>256</v>
      </c>
      <c r="E2182" s="2" t="s">
        <v>4647</v>
      </c>
      <c r="F2182" s="2">
        <v>21</v>
      </c>
      <c r="G2182" s="2">
        <v>21</v>
      </c>
      <c r="H2182" s="2">
        <v>0</v>
      </c>
      <c r="I2182" s="1">
        <v>0</v>
      </c>
      <c r="J2182" s="26">
        <v>45790</v>
      </c>
      <c r="K2182" s="22">
        <v>273000</v>
      </c>
      <c r="L2182" s="18">
        <v>291.98</v>
      </c>
      <c r="M2182" s="22">
        <v>210000</v>
      </c>
      <c r="N2182" s="22">
        <v>63000</v>
      </c>
      <c r="O2182" s="18">
        <v>67.38</v>
      </c>
      <c r="P2182" s="52">
        <f>IF(COUNTIF(TblPurchases[BatchID],TblOutcomes[[#This Row],[BatchID]])&lt;&gt;1,"n.a.",TblOutcomes[[#This Row],[Qty Wasted]]*SUMIFS(TblPurchases[Unit Cost (CLP)],TblPurchases[BatchID],TblOutcomes[[#This Row],[BatchID]]))</f>
        <v>0</v>
      </c>
      <c r="Q2182" s="51">
        <f>IF(COUNTIF(TblPurchases[BatchID],TblOutcomes[[#This Row],[BatchID]])&lt;&gt;1,"n.a.",SUMIFS(TblPurchases[Purchase Date],TblPurchases[BatchID],TblOutcomes[[#This Row],[BatchID]]))</f>
        <v>45770</v>
      </c>
    </row>
    <row r="2183" spans="2:17" x14ac:dyDescent="0.25">
      <c r="B2183" s="2" t="s">
        <v>2988</v>
      </c>
      <c r="C2183" s="2" t="s">
        <v>257</v>
      </c>
      <c r="D2183" s="2" t="s">
        <v>256</v>
      </c>
      <c r="E2183" s="2" t="s">
        <v>4646</v>
      </c>
      <c r="F2183" s="2">
        <v>22</v>
      </c>
      <c r="G2183" s="2">
        <v>21.52</v>
      </c>
      <c r="H2183" s="2">
        <v>0.48</v>
      </c>
      <c r="I2183" s="1">
        <v>2.2000000000000002</v>
      </c>
      <c r="J2183" s="26">
        <v>45998</v>
      </c>
      <c r="K2183" s="22">
        <v>279760</v>
      </c>
      <c r="L2183" s="18">
        <v>299.20999999999998</v>
      </c>
      <c r="M2183" s="22">
        <v>220000</v>
      </c>
      <c r="N2183" s="22">
        <v>59760</v>
      </c>
      <c r="O2183" s="18">
        <v>63.91</v>
      </c>
      <c r="P2183" s="52">
        <f>IF(COUNTIF(TblPurchases[BatchID],TblOutcomes[[#This Row],[BatchID]])&lt;&gt;1,"n.a.",TblOutcomes[[#This Row],[Qty Wasted]]*SUMIFS(TblPurchases[Unit Cost (CLP)],TblPurchases[BatchID],TblOutcomes[[#This Row],[BatchID]]))</f>
        <v>4800</v>
      </c>
      <c r="Q2183" s="51">
        <f>IF(COUNTIF(TblPurchases[BatchID],TblOutcomes[[#This Row],[BatchID]])&lt;&gt;1,"n.a.",SUMIFS(TblPurchases[Purchase Date],TblPurchases[BatchID],TblOutcomes[[#This Row],[BatchID]]))</f>
        <v>45788</v>
      </c>
    </row>
    <row r="2184" spans="2:17" x14ac:dyDescent="0.25">
      <c r="B2184" s="2" t="s">
        <v>2989</v>
      </c>
      <c r="C2184" s="2" t="s">
        <v>257</v>
      </c>
      <c r="D2184" s="2" t="s">
        <v>256</v>
      </c>
      <c r="E2184" s="2" t="s">
        <v>4647</v>
      </c>
      <c r="F2184" s="2">
        <v>22</v>
      </c>
      <c r="G2184" s="2">
        <v>22</v>
      </c>
      <c r="H2184" s="2">
        <v>0</v>
      </c>
      <c r="I2184" s="1">
        <v>0</v>
      </c>
      <c r="J2184" s="26">
        <v>45831</v>
      </c>
      <c r="K2184" s="22">
        <v>286000</v>
      </c>
      <c r="L2184" s="18">
        <v>305.88</v>
      </c>
      <c r="M2184" s="22">
        <v>220000</v>
      </c>
      <c r="N2184" s="22">
        <v>66000</v>
      </c>
      <c r="O2184" s="18">
        <v>70.59</v>
      </c>
      <c r="P2184" s="52">
        <f>IF(COUNTIF(TblPurchases[BatchID],TblOutcomes[[#This Row],[BatchID]])&lt;&gt;1,"n.a.",TblOutcomes[[#This Row],[Qty Wasted]]*SUMIFS(TblPurchases[Unit Cost (CLP)],TblPurchases[BatchID],TblOutcomes[[#This Row],[BatchID]]))</f>
        <v>0</v>
      </c>
      <c r="Q2184" s="51">
        <f>IF(COUNTIF(TblPurchases[BatchID],TblOutcomes[[#This Row],[BatchID]])&lt;&gt;1,"n.a.",SUMIFS(TblPurchases[Purchase Date],TblPurchases[BatchID],TblOutcomes[[#This Row],[BatchID]]))</f>
        <v>45814</v>
      </c>
    </row>
    <row r="2185" spans="2:17" x14ac:dyDescent="0.25">
      <c r="B2185" s="2" t="s">
        <v>2990</v>
      </c>
      <c r="C2185" s="2" t="s">
        <v>257</v>
      </c>
      <c r="D2185" s="2" t="s">
        <v>256</v>
      </c>
      <c r="E2185" s="2" t="s">
        <v>4647</v>
      </c>
      <c r="F2185" s="2">
        <v>23</v>
      </c>
      <c r="G2185" s="2">
        <v>23</v>
      </c>
      <c r="H2185" s="2">
        <v>0</v>
      </c>
      <c r="I2185" s="1">
        <v>0</v>
      </c>
      <c r="J2185" s="26">
        <v>45850</v>
      </c>
      <c r="K2185" s="22">
        <v>299000</v>
      </c>
      <c r="L2185" s="18">
        <v>319.79000000000002</v>
      </c>
      <c r="M2185" s="22">
        <v>221950</v>
      </c>
      <c r="N2185" s="22">
        <v>77050</v>
      </c>
      <c r="O2185" s="18">
        <v>82.41</v>
      </c>
      <c r="P2185" s="52">
        <f>IF(COUNTIF(TblPurchases[BatchID],TblOutcomes[[#This Row],[BatchID]])&lt;&gt;1,"n.a.",TblOutcomes[[#This Row],[Qty Wasted]]*SUMIFS(TblPurchases[Unit Cost (CLP)],TblPurchases[BatchID],TblOutcomes[[#This Row],[BatchID]]))</f>
        <v>0</v>
      </c>
      <c r="Q2185" s="51">
        <f>IF(COUNTIF(TblPurchases[BatchID],TblOutcomes[[#This Row],[BatchID]])&lt;&gt;1,"n.a.",SUMIFS(TblPurchases[Purchase Date],TblPurchases[BatchID],TblOutcomes[[#This Row],[BatchID]]))</f>
        <v>45834</v>
      </c>
    </row>
    <row r="2186" spans="2:17" x14ac:dyDescent="0.25">
      <c r="B2186" s="2" t="s">
        <v>2991</v>
      </c>
      <c r="C2186" s="2" t="s">
        <v>259</v>
      </c>
      <c r="D2186" s="2" t="s">
        <v>256</v>
      </c>
      <c r="E2186" s="2" t="s">
        <v>4647</v>
      </c>
      <c r="F2186" s="2">
        <v>18</v>
      </c>
      <c r="G2186" s="2">
        <v>18</v>
      </c>
      <c r="H2186" s="2">
        <v>0</v>
      </c>
      <c r="I2186" s="1">
        <v>0</v>
      </c>
      <c r="J2186" s="26">
        <v>45130</v>
      </c>
      <c r="K2186" s="22">
        <v>108000</v>
      </c>
      <c r="L2186" s="18">
        <v>115.51</v>
      </c>
      <c r="M2186" s="22">
        <v>83700</v>
      </c>
      <c r="N2186" s="22">
        <v>24300</v>
      </c>
      <c r="O2186" s="18">
        <v>25.99</v>
      </c>
      <c r="P2186" s="52">
        <f>IF(COUNTIF(TblPurchases[BatchID],TblOutcomes[[#This Row],[BatchID]])&lt;&gt;1,"n.a.",TblOutcomes[[#This Row],[Qty Wasted]]*SUMIFS(TblPurchases[Unit Cost (CLP)],TblPurchases[BatchID],TblOutcomes[[#This Row],[BatchID]]))</f>
        <v>0</v>
      </c>
      <c r="Q2186" s="51">
        <f>IF(COUNTIF(TblPurchases[BatchID],TblOutcomes[[#This Row],[BatchID]])&lt;&gt;1,"n.a.",SUMIFS(TblPurchases[Purchase Date],TblPurchases[BatchID],TblOutcomes[[#This Row],[BatchID]]))</f>
        <v>45113</v>
      </c>
    </row>
    <row r="2187" spans="2:17" x14ac:dyDescent="0.25">
      <c r="B2187" s="2" t="s">
        <v>2992</v>
      </c>
      <c r="C2187" s="2" t="s">
        <v>259</v>
      </c>
      <c r="D2187" s="2" t="s">
        <v>256</v>
      </c>
      <c r="E2187" s="2" t="s">
        <v>4646</v>
      </c>
      <c r="F2187" s="2">
        <v>21</v>
      </c>
      <c r="G2187" s="2">
        <v>20.29</v>
      </c>
      <c r="H2187" s="2">
        <v>0.71</v>
      </c>
      <c r="I2187" s="1">
        <v>3.4</v>
      </c>
      <c r="J2187" s="26">
        <v>45347</v>
      </c>
      <c r="K2187" s="22">
        <v>121740</v>
      </c>
      <c r="L2187" s="18">
        <v>130.19999999999999</v>
      </c>
      <c r="M2187" s="22">
        <v>97650</v>
      </c>
      <c r="N2187" s="22">
        <v>24090</v>
      </c>
      <c r="O2187" s="18">
        <v>25.76</v>
      </c>
      <c r="P2187" s="52">
        <f>IF(COUNTIF(TblPurchases[BatchID],TblOutcomes[[#This Row],[BatchID]])&lt;&gt;1,"n.a.",TblOutcomes[[#This Row],[Qty Wasted]]*SUMIFS(TblPurchases[Unit Cost (CLP)],TblPurchases[BatchID],TblOutcomes[[#This Row],[BatchID]]))</f>
        <v>3301.5</v>
      </c>
      <c r="Q2187" s="51">
        <f>IF(COUNTIF(TblPurchases[BatchID],TblOutcomes[[#This Row],[BatchID]])&lt;&gt;1,"n.a.",SUMIFS(TblPurchases[Purchase Date],TblPurchases[BatchID],TblOutcomes[[#This Row],[BatchID]]))</f>
        <v>45137</v>
      </c>
    </row>
    <row r="2188" spans="2:17" x14ac:dyDescent="0.25">
      <c r="B2188" s="2" t="s">
        <v>2993</v>
      </c>
      <c r="C2188" s="2" t="s">
        <v>259</v>
      </c>
      <c r="D2188" s="2" t="s">
        <v>256</v>
      </c>
      <c r="E2188" s="2" t="s">
        <v>4647</v>
      </c>
      <c r="F2188" s="2">
        <v>18</v>
      </c>
      <c r="G2188" s="2">
        <v>18</v>
      </c>
      <c r="H2188" s="2">
        <v>0</v>
      </c>
      <c r="I2188" s="1">
        <v>0</v>
      </c>
      <c r="J2188" s="26">
        <v>45187</v>
      </c>
      <c r="K2188" s="22">
        <v>108000</v>
      </c>
      <c r="L2188" s="18">
        <v>115.51</v>
      </c>
      <c r="M2188" s="22">
        <v>83700</v>
      </c>
      <c r="N2188" s="22">
        <v>24300</v>
      </c>
      <c r="O2188" s="18">
        <v>25.99</v>
      </c>
      <c r="P2188" s="52">
        <f>IF(COUNTIF(TblPurchases[BatchID],TblOutcomes[[#This Row],[BatchID]])&lt;&gt;1,"n.a.",TblOutcomes[[#This Row],[Qty Wasted]]*SUMIFS(TblPurchases[Unit Cost (CLP)],TblPurchases[BatchID],TblOutcomes[[#This Row],[BatchID]]))</f>
        <v>0</v>
      </c>
      <c r="Q2188" s="51">
        <f>IF(COUNTIF(TblPurchases[BatchID],TblOutcomes[[#This Row],[BatchID]])&lt;&gt;1,"n.a.",SUMIFS(TblPurchases[Purchase Date],TblPurchases[BatchID],TblOutcomes[[#This Row],[BatchID]]))</f>
        <v>45164</v>
      </c>
    </row>
    <row r="2189" spans="2:17" x14ac:dyDescent="0.25">
      <c r="B2189" s="2" t="s">
        <v>2994</v>
      </c>
      <c r="C2189" s="2" t="s">
        <v>259</v>
      </c>
      <c r="D2189" s="2" t="s">
        <v>256</v>
      </c>
      <c r="E2189" s="2" t="s">
        <v>4647</v>
      </c>
      <c r="F2189" s="2">
        <v>22</v>
      </c>
      <c r="G2189" s="2">
        <v>22</v>
      </c>
      <c r="H2189" s="2">
        <v>0</v>
      </c>
      <c r="I2189" s="1">
        <v>0</v>
      </c>
      <c r="J2189" s="26">
        <v>45199</v>
      </c>
      <c r="K2189" s="22">
        <v>132000</v>
      </c>
      <c r="L2189" s="18">
        <v>141.18</v>
      </c>
      <c r="M2189" s="22">
        <v>102300</v>
      </c>
      <c r="N2189" s="22">
        <v>29700</v>
      </c>
      <c r="O2189" s="18">
        <v>31.76</v>
      </c>
      <c r="P2189" s="52">
        <f>IF(COUNTIF(TblPurchases[BatchID],TblOutcomes[[#This Row],[BatchID]])&lt;&gt;1,"n.a.",TblOutcomes[[#This Row],[Qty Wasted]]*SUMIFS(TblPurchases[Unit Cost (CLP)],TblPurchases[BatchID],TblOutcomes[[#This Row],[BatchID]]))</f>
        <v>0</v>
      </c>
      <c r="Q2189" s="51">
        <f>IF(COUNTIF(TblPurchases[BatchID],TblOutcomes[[#This Row],[BatchID]])&lt;&gt;1,"n.a.",SUMIFS(TblPurchases[Purchase Date],TblPurchases[BatchID],TblOutcomes[[#This Row],[BatchID]]))</f>
        <v>45179</v>
      </c>
    </row>
    <row r="2190" spans="2:17" x14ac:dyDescent="0.25">
      <c r="B2190" s="2" t="s">
        <v>2995</v>
      </c>
      <c r="C2190" s="2" t="s">
        <v>259</v>
      </c>
      <c r="D2190" s="2" t="s">
        <v>256</v>
      </c>
      <c r="E2190" s="2" t="s">
        <v>4647</v>
      </c>
      <c r="F2190" s="2">
        <v>25</v>
      </c>
      <c r="G2190" s="2">
        <v>25</v>
      </c>
      <c r="H2190" s="2">
        <v>0</v>
      </c>
      <c r="I2190" s="1">
        <v>0</v>
      </c>
      <c r="J2190" s="26">
        <v>45214</v>
      </c>
      <c r="K2190" s="22">
        <v>150000</v>
      </c>
      <c r="L2190" s="18">
        <v>160.43</v>
      </c>
      <c r="M2190" s="22">
        <v>116250</v>
      </c>
      <c r="N2190" s="22">
        <v>33750</v>
      </c>
      <c r="O2190" s="18">
        <v>36.1</v>
      </c>
      <c r="P2190" s="52">
        <f>IF(COUNTIF(TblPurchases[BatchID],TblOutcomes[[#This Row],[BatchID]])&lt;&gt;1,"n.a.",TblOutcomes[[#This Row],[Qty Wasted]]*SUMIFS(TblPurchases[Unit Cost (CLP)],TblPurchases[BatchID],TblOutcomes[[#This Row],[BatchID]]))</f>
        <v>0</v>
      </c>
      <c r="Q2190" s="51">
        <f>IF(COUNTIF(TblPurchases[BatchID],TblOutcomes[[#This Row],[BatchID]])&lt;&gt;1,"n.a.",SUMIFS(TblPurchases[Purchase Date],TblPurchases[BatchID],TblOutcomes[[#This Row],[BatchID]]))</f>
        <v>45194</v>
      </c>
    </row>
    <row r="2191" spans="2:17" x14ac:dyDescent="0.25">
      <c r="B2191" s="2" t="s">
        <v>2996</v>
      </c>
      <c r="C2191" s="2" t="s">
        <v>259</v>
      </c>
      <c r="D2191" s="2" t="s">
        <v>256</v>
      </c>
      <c r="E2191" s="2" t="s">
        <v>4647</v>
      </c>
      <c r="F2191" s="2">
        <v>7</v>
      </c>
      <c r="G2191" s="2">
        <v>7</v>
      </c>
      <c r="H2191" s="2">
        <v>0</v>
      </c>
      <c r="I2191" s="1">
        <v>0</v>
      </c>
      <c r="J2191" s="26">
        <v>45238</v>
      </c>
      <c r="K2191" s="22">
        <v>42000</v>
      </c>
      <c r="L2191" s="18">
        <v>44.92</v>
      </c>
      <c r="M2191" s="22">
        <v>32550</v>
      </c>
      <c r="N2191" s="22">
        <v>9450</v>
      </c>
      <c r="O2191" s="18">
        <v>10.11</v>
      </c>
      <c r="P2191" s="52">
        <f>IF(COUNTIF(TblPurchases[BatchID],TblOutcomes[[#This Row],[BatchID]])&lt;&gt;1,"n.a.",TblOutcomes[[#This Row],[Qty Wasted]]*SUMIFS(TblPurchases[Unit Cost (CLP)],TblPurchases[BatchID],TblOutcomes[[#This Row],[BatchID]]))</f>
        <v>0</v>
      </c>
      <c r="Q2191" s="51">
        <f>IF(COUNTIF(TblPurchases[BatchID],TblOutcomes[[#This Row],[BatchID]])&lt;&gt;1,"n.a.",SUMIFS(TblPurchases[Purchase Date],TblPurchases[BatchID],TblOutcomes[[#This Row],[BatchID]]))</f>
        <v>45214</v>
      </c>
    </row>
    <row r="2192" spans="2:17" x14ac:dyDescent="0.25">
      <c r="B2192" s="2" t="s">
        <v>2997</v>
      </c>
      <c r="C2192" s="2" t="s">
        <v>259</v>
      </c>
      <c r="D2192" s="2" t="s">
        <v>256</v>
      </c>
      <c r="E2192" s="2" t="s">
        <v>4646</v>
      </c>
      <c r="F2192" s="2">
        <v>6</v>
      </c>
      <c r="G2192" s="2">
        <v>5.69</v>
      </c>
      <c r="H2192" s="2">
        <v>0.31</v>
      </c>
      <c r="I2192" s="1">
        <v>5.0999999999999996</v>
      </c>
      <c r="J2192" s="26">
        <v>45450</v>
      </c>
      <c r="K2192" s="22">
        <v>34140</v>
      </c>
      <c r="L2192" s="18">
        <v>36.51</v>
      </c>
      <c r="M2192" s="22">
        <v>27900</v>
      </c>
      <c r="N2192" s="22">
        <v>6240</v>
      </c>
      <c r="O2192" s="18">
        <v>6.67</v>
      </c>
      <c r="P2192" s="52">
        <f>IF(COUNTIF(TblPurchases[BatchID],TblOutcomes[[#This Row],[BatchID]])&lt;&gt;1,"n.a.",TblOutcomes[[#This Row],[Qty Wasted]]*SUMIFS(TblPurchases[Unit Cost (CLP)],TblPurchases[BatchID],TblOutcomes[[#This Row],[BatchID]]))</f>
        <v>1441.5</v>
      </c>
      <c r="Q2192" s="51">
        <f>IF(COUNTIF(TblPurchases[BatchID],TblOutcomes[[#This Row],[BatchID]])&lt;&gt;1,"n.a.",SUMIFS(TblPurchases[Purchase Date],TblPurchases[BatchID],TblOutcomes[[#This Row],[BatchID]]))</f>
        <v>45240</v>
      </c>
    </row>
    <row r="2193" spans="2:17" x14ac:dyDescent="0.25">
      <c r="B2193" s="2" t="s">
        <v>2998</v>
      </c>
      <c r="C2193" s="2" t="s">
        <v>259</v>
      </c>
      <c r="D2193" s="2" t="s">
        <v>256</v>
      </c>
      <c r="E2193" s="2" t="s">
        <v>4646</v>
      </c>
      <c r="F2193" s="2">
        <v>7</v>
      </c>
      <c r="G2193" s="2">
        <v>6.42</v>
      </c>
      <c r="H2193" s="2">
        <v>0.57999999999999996</v>
      </c>
      <c r="I2193" s="1">
        <v>8.3000000000000007</v>
      </c>
      <c r="J2193" s="26">
        <v>45469</v>
      </c>
      <c r="K2193" s="22">
        <v>38520</v>
      </c>
      <c r="L2193" s="18">
        <v>41.2</v>
      </c>
      <c r="M2193" s="22">
        <v>32200</v>
      </c>
      <c r="N2193" s="22">
        <v>6320</v>
      </c>
      <c r="O2193" s="18">
        <v>6.76</v>
      </c>
      <c r="P2193" s="52">
        <f>IF(COUNTIF(TblPurchases[BatchID],TblOutcomes[[#This Row],[BatchID]])&lt;&gt;1,"n.a.",TblOutcomes[[#This Row],[Qty Wasted]]*SUMIFS(TblPurchases[Unit Cost (CLP)],TblPurchases[BatchID],TblOutcomes[[#This Row],[BatchID]]))</f>
        <v>2668</v>
      </c>
      <c r="Q2193" s="51">
        <f>IF(COUNTIF(TblPurchases[BatchID],TblOutcomes[[#This Row],[BatchID]])&lt;&gt;1,"n.a.",SUMIFS(TblPurchases[Purchase Date],TblPurchases[BatchID],TblOutcomes[[#This Row],[BatchID]]))</f>
        <v>45259</v>
      </c>
    </row>
    <row r="2194" spans="2:17" x14ac:dyDescent="0.25">
      <c r="B2194" s="2" t="s">
        <v>2999</v>
      </c>
      <c r="C2194" s="2" t="s">
        <v>259</v>
      </c>
      <c r="D2194" s="2" t="s">
        <v>256</v>
      </c>
      <c r="E2194" s="2" t="s">
        <v>4646</v>
      </c>
      <c r="F2194" s="2">
        <v>9</v>
      </c>
      <c r="G2194" s="2">
        <v>8.5</v>
      </c>
      <c r="H2194" s="2">
        <v>0.49</v>
      </c>
      <c r="I2194" s="1">
        <v>5.5</v>
      </c>
      <c r="J2194" s="26">
        <v>45487</v>
      </c>
      <c r="K2194" s="22">
        <v>51000</v>
      </c>
      <c r="L2194" s="18">
        <v>54.55</v>
      </c>
      <c r="M2194" s="22">
        <v>41850</v>
      </c>
      <c r="N2194" s="22">
        <v>9150</v>
      </c>
      <c r="O2194" s="18">
        <v>9.7899999999999991</v>
      </c>
      <c r="P2194" s="52">
        <f>IF(COUNTIF(TblPurchases[BatchID],TblOutcomes[[#This Row],[BatchID]])&lt;&gt;1,"n.a.",TblOutcomes[[#This Row],[Qty Wasted]]*SUMIFS(TblPurchases[Unit Cost (CLP)],TblPurchases[BatchID],TblOutcomes[[#This Row],[BatchID]]))</f>
        <v>2278.5</v>
      </c>
      <c r="Q2194" s="51">
        <f>IF(COUNTIF(TblPurchases[BatchID],TblOutcomes[[#This Row],[BatchID]])&lt;&gt;1,"n.a.",SUMIFS(TblPurchases[Purchase Date],TblPurchases[BatchID],TblOutcomes[[#This Row],[BatchID]]))</f>
        <v>45277</v>
      </c>
    </row>
    <row r="2195" spans="2:17" x14ac:dyDescent="0.25">
      <c r="B2195" s="2" t="s">
        <v>3000</v>
      </c>
      <c r="C2195" s="2" t="s">
        <v>259</v>
      </c>
      <c r="D2195" s="2" t="s">
        <v>256</v>
      </c>
      <c r="E2195" s="2" t="s">
        <v>4647</v>
      </c>
      <c r="F2195" s="2">
        <v>8</v>
      </c>
      <c r="G2195" s="2">
        <v>8</v>
      </c>
      <c r="H2195" s="2">
        <v>0</v>
      </c>
      <c r="I2195" s="1">
        <v>0</v>
      </c>
      <c r="J2195" s="26">
        <v>45314</v>
      </c>
      <c r="K2195" s="22">
        <v>48000</v>
      </c>
      <c r="L2195" s="18">
        <v>51.34</v>
      </c>
      <c r="M2195" s="22">
        <v>37200</v>
      </c>
      <c r="N2195" s="22">
        <v>10800</v>
      </c>
      <c r="O2195" s="18">
        <v>11.55</v>
      </c>
      <c r="P2195" s="52">
        <f>IF(COUNTIF(TblPurchases[BatchID],TblOutcomes[[#This Row],[BatchID]])&lt;&gt;1,"n.a.",TblOutcomes[[#This Row],[Qty Wasted]]*SUMIFS(TblPurchases[Unit Cost (CLP)],TblPurchases[BatchID],TblOutcomes[[#This Row],[BatchID]]))</f>
        <v>0</v>
      </c>
      <c r="Q2195" s="51">
        <f>IF(COUNTIF(TblPurchases[BatchID],TblOutcomes[[#This Row],[BatchID]])&lt;&gt;1,"n.a.",SUMIFS(TblPurchases[Purchase Date],TblPurchases[BatchID],TblOutcomes[[#This Row],[BatchID]]))</f>
        <v>45295</v>
      </c>
    </row>
    <row r="2196" spans="2:17" x14ac:dyDescent="0.25">
      <c r="B2196" s="2" t="s">
        <v>3001</v>
      </c>
      <c r="C2196" s="2" t="s">
        <v>259</v>
      </c>
      <c r="D2196" s="2" t="s">
        <v>256</v>
      </c>
      <c r="E2196" s="2" t="s">
        <v>4646</v>
      </c>
      <c r="F2196" s="2">
        <v>8</v>
      </c>
      <c r="G2196" s="2">
        <v>7.54</v>
      </c>
      <c r="H2196" s="2">
        <v>0.46</v>
      </c>
      <c r="I2196" s="1">
        <v>5.8</v>
      </c>
      <c r="J2196" s="26">
        <v>45524</v>
      </c>
      <c r="K2196" s="22">
        <v>45240</v>
      </c>
      <c r="L2196" s="18">
        <v>48.39</v>
      </c>
      <c r="M2196" s="22">
        <v>37200</v>
      </c>
      <c r="N2196" s="22">
        <v>8040</v>
      </c>
      <c r="O2196" s="18">
        <v>8.6</v>
      </c>
      <c r="P2196" s="52">
        <f>IF(COUNTIF(TblPurchases[BatchID],TblOutcomes[[#This Row],[BatchID]])&lt;&gt;1,"n.a.",TblOutcomes[[#This Row],[Qty Wasted]]*SUMIFS(TblPurchases[Unit Cost (CLP)],TblPurchases[BatchID],TblOutcomes[[#This Row],[BatchID]]))</f>
        <v>2139</v>
      </c>
      <c r="Q2196" s="51">
        <f>IF(COUNTIF(TblPurchases[BatchID],TblOutcomes[[#This Row],[BatchID]])&lt;&gt;1,"n.a.",SUMIFS(TblPurchases[Purchase Date],TblPurchases[BatchID],TblOutcomes[[#This Row],[BatchID]]))</f>
        <v>45314</v>
      </c>
    </row>
    <row r="2197" spans="2:17" x14ac:dyDescent="0.25">
      <c r="B2197" s="2" t="s">
        <v>3002</v>
      </c>
      <c r="C2197" s="2" t="s">
        <v>259</v>
      </c>
      <c r="D2197" s="2" t="s">
        <v>256</v>
      </c>
      <c r="E2197" s="2" t="s">
        <v>4647</v>
      </c>
      <c r="F2197" s="2">
        <v>8</v>
      </c>
      <c r="G2197" s="2">
        <v>8</v>
      </c>
      <c r="H2197" s="2">
        <v>0</v>
      </c>
      <c r="I2197" s="1">
        <v>0</v>
      </c>
      <c r="J2197" s="26">
        <v>45352</v>
      </c>
      <c r="K2197" s="22">
        <v>48000</v>
      </c>
      <c r="L2197" s="18">
        <v>51.34</v>
      </c>
      <c r="M2197" s="22">
        <v>37200</v>
      </c>
      <c r="N2197" s="22">
        <v>10800</v>
      </c>
      <c r="O2197" s="18">
        <v>11.55</v>
      </c>
      <c r="P2197" s="52">
        <f>IF(COUNTIF(TblPurchases[BatchID],TblOutcomes[[#This Row],[BatchID]])&lt;&gt;1,"n.a.",TblOutcomes[[#This Row],[Qty Wasted]]*SUMIFS(TblPurchases[Unit Cost (CLP)],TblPurchases[BatchID],TblOutcomes[[#This Row],[BatchID]]))</f>
        <v>0</v>
      </c>
      <c r="Q2197" s="51">
        <f>IF(COUNTIF(TblPurchases[BatchID],TblOutcomes[[#This Row],[BatchID]])&lt;&gt;1,"n.a.",SUMIFS(TblPurchases[Purchase Date],TblPurchases[BatchID],TblOutcomes[[#This Row],[BatchID]]))</f>
        <v>45335</v>
      </c>
    </row>
    <row r="2198" spans="2:17" x14ac:dyDescent="0.25">
      <c r="B2198" s="2" t="s">
        <v>3003</v>
      </c>
      <c r="C2198" s="2" t="s">
        <v>259</v>
      </c>
      <c r="D2198" s="2" t="s">
        <v>256</v>
      </c>
      <c r="E2198" s="2" t="s">
        <v>4646</v>
      </c>
      <c r="F2198" s="2">
        <v>7</v>
      </c>
      <c r="G2198" s="2">
        <v>6.69</v>
      </c>
      <c r="H2198" s="2">
        <v>0.31</v>
      </c>
      <c r="I2198" s="1">
        <v>4.4000000000000004</v>
      </c>
      <c r="J2198" s="26">
        <v>45564</v>
      </c>
      <c r="K2198" s="22">
        <v>40140</v>
      </c>
      <c r="L2198" s="18">
        <v>42.93</v>
      </c>
      <c r="M2198" s="22">
        <v>32550</v>
      </c>
      <c r="N2198" s="22">
        <v>7590</v>
      </c>
      <c r="O2198" s="18">
        <v>8.1199999999999992</v>
      </c>
      <c r="P2198" s="52">
        <f>IF(COUNTIF(TblPurchases[BatchID],TblOutcomes[[#This Row],[BatchID]])&lt;&gt;1,"n.a.",TblOutcomes[[#This Row],[Qty Wasted]]*SUMIFS(TblPurchases[Unit Cost (CLP)],TblPurchases[BatchID],TblOutcomes[[#This Row],[BatchID]]))</f>
        <v>1441.5</v>
      </c>
      <c r="Q2198" s="51">
        <f>IF(COUNTIF(TblPurchases[BatchID],TblOutcomes[[#This Row],[BatchID]])&lt;&gt;1,"n.a.",SUMIFS(TblPurchases[Purchase Date],TblPurchases[BatchID],TblOutcomes[[#This Row],[BatchID]]))</f>
        <v>45354</v>
      </c>
    </row>
    <row r="2199" spans="2:17" x14ac:dyDescent="0.25">
      <c r="B2199" s="2" t="s">
        <v>3004</v>
      </c>
      <c r="C2199" s="2" t="s">
        <v>259</v>
      </c>
      <c r="D2199" s="2" t="s">
        <v>256</v>
      </c>
      <c r="E2199" s="2" t="s">
        <v>4647</v>
      </c>
      <c r="F2199" s="2">
        <v>7</v>
      </c>
      <c r="G2199" s="2">
        <v>7</v>
      </c>
      <c r="H2199" s="2">
        <v>0</v>
      </c>
      <c r="I2199" s="1">
        <v>0</v>
      </c>
      <c r="J2199" s="26">
        <v>45377</v>
      </c>
      <c r="K2199" s="22">
        <v>42000</v>
      </c>
      <c r="L2199" s="18">
        <v>44.92</v>
      </c>
      <c r="M2199" s="22">
        <v>32200</v>
      </c>
      <c r="N2199" s="22">
        <v>9800</v>
      </c>
      <c r="O2199" s="18">
        <v>10.48</v>
      </c>
      <c r="P2199" s="52">
        <f>IF(COUNTIF(TblPurchases[BatchID],TblOutcomes[[#This Row],[BatchID]])&lt;&gt;1,"n.a.",TblOutcomes[[#This Row],[Qty Wasted]]*SUMIFS(TblPurchases[Unit Cost (CLP)],TblPurchases[BatchID],TblOutcomes[[#This Row],[BatchID]]))</f>
        <v>0</v>
      </c>
      <c r="Q2199" s="51">
        <f>IF(COUNTIF(TblPurchases[BatchID],TblOutcomes[[#This Row],[BatchID]])&lt;&gt;1,"n.a.",SUMIFS(TblPurchases[Purchase Date],TblPurchases[BatchID],TblOutcomes[[#This Row],[BatchID]]))</f>
        <v>45372</v>
      </c>
    </row>
    <row r="2200" spans="2:17" x14ac:dyDescent="0.25">
      <c r="B2200" s="2" t="s">
        <v>3005</v>
      </c>
      <c r="C2200" s="2" t="s">
        <v>259</v>
      </c>
      <c r="D2200" s="2" t="s">
        <v>256</v>
      </c>
      <c r="E2200" s="2" t="s">
        <v>4647</v>
      </c>
      <c r="F2200" s="2">
        <v>17</v>
      </c>
      <c r="G2200" s="2">
        <v>17</v>
      </c>
      <c r="H2200" s="2">
        <v>0</v>
      </c>
      <c r="I2200" s="1">
        <v>0</v>
      </c>
      <c r="J2200" s="26">
        <v>45405</v>
      </c>
      <c r="K2200" s="22">
        <v>102000</v>
      </c>
      <c r="L2200" s="18">
        <v>109.09</v>
      </c>
      <c r="M2200" s="22">
        <v>79050</v>
      </c>
      <c r="N2200" s="22">
        <v>22950</v>
      </c>
      <c r="O2200" s="18">
        <v>24.55</v>
      </c>
      <c r="P2200" s="52">
        <f>IF(COUNTIF(TblPurchases[BatchID],TblOutcomes[[#This Row],[BatchID]])&lt;&gt;1,"n.a.",TblOutcomes[[#This Row],[Qty Wasted]]*SUMIFS(TblPurchases[Unit Cost (CLP)],TblPurchases[BatchID],TblOutcomes[[#This Row],[BatchID]]))</f>
        <v>0</v>
      </c>
      <c r="Q2200" s="51">
        <f>IF(COUNTIF(TblPurchases[BatchID],TblOutcomes[[#This Row],[BatchID]])&lt;&gt;1,"n.a.",SUMIFS(TblPurchases[Purchase Date],TblPurchases[BatchID],TblOutcomes[[#This Row],[BatchID]]))</f>
        <v>45393</v>
      </c>
    </row>
    <row r="2201" spans="2:17" x14ac:dyDescent="0.25">
      <c r="B2201" s="2" t="s">
        <v>3006</v>
      </c>
      <c r="C2201" s="2" t="s">
        <v>259</v>
      </c>
      <c r="D2201" s="2" t="s">
        <v>256</v>
      </c>
      <c r="E2201" s="2" t="s">
        <v>4647</v>
      </c>
      <c r="F2201" s="2">
        <v>20</v>
      </c>
      <c r="G2201" s="2">
        <v>20</v>
      </c>
      <c r="H2201" s="2">
        <v>0</v>
      </c>
      <c r="I2201" s="1">
        <v>0</v>
      </c>
      <c r="J2201" s="26">
        <v>45428</v>
      </c>
      <c r="K2201" s="22">
        <v>120000</v>
      </c>
      <c r="L2201" s="18">
        <v>128.34</v>
      </c>
      <c r="M2201" s="22">
        <v>93000</v>
      </c>
      <c r="N2201" s="22">
        <v>27000</v>
      </c>
      <c r="O2201" s="18">
        <v>28.88</v>
      </c>
      <c r="P2201" s="52">
        <f>IF(COUNTIF(TblPurchases[BatchID],TblOutcomes[[#This Row],[BatchID]])&lt;&gt;1,"n.a.",TblOutcomes[[#This Row],[Qty Wasted]]*SUMIFS(TblPurchases[Unit Cost (CLP)],TblPurchases[BatchID],TblOutcomes[[#This Row],[BatchID]]))</f>
        <v>0</v>
      </c>
      <c r="Q2201" s="51">
        <f>IF(COUNTIF(TblPurchases[BatchID],TblOutcomes[[#This Row],[BatchID]])&lt;&gt;1,"n.a.",SUMIFS(TblPurchases[Purchase Date],TblPurchases[BatchID],TblOutcomes[[#This Row],[BatchID]]))</f>
        <v>45416</v>
      </c>
    </row>
    <row r="2202" spans="2:17" x14ac:dyDescent="0.25">
      <c r="B2202" s="2" t="s">
        <v>3007</v>
      </c>
      <c r="C2202" s="2" t="s">
        <v>259</v>
      </c>
      <c r="D2202" s="2" t="s">
        <v>256</v>
      </c>
      <c r="E2202" s="2" t="s">
        <v>4647</v>
      </c>
      <c r="F2202" s="2">
        <v>18</v>
      </c>
      <c r="G2202" s="2">
        <v>18</v>
      </c>
      <c r="H2202" s="2">
        <v>0</v>
      </c>
      <c r="I2202" s="1">
        <v>0</v>
      </c>
      <c r="J2202" s="26">
        <v>45448</v>
      </c>
      <c r="K2202" s="22">
        <v>108000</v>
      </c>
      <c r="L2202" s="18">
        <v>115.51</v>
      </c>
      <c r="M2202" s="22">
        <v>83700</v>
      </c>
      <c r="N2202" s="22">
        <v>24300</v>
      </c>
      <c r="O2202" s="18">
        <v>25.99</v>
      </c>
      <c r="P2202" s="52">
        <f>IF(COUNTIF(TblPurchases[BatchID],TblOutcomes[[#This Row],[BatchID]])&lt;&gt;1,"n.a.",TblOutcomes[[#This Row],[Qty Wasted]]*SUMIFS(TblPurchases[Unit Cost (CLP)],TblPurchases[BatchID],TblOutcomes[[#This Row],[BatchID]]))</f>
        <v>0</v>
      </c>
      <c r="Q2202" s="51">
        <f>IF(COUNTIF(TblPurchases[BatchID],TblOutcomes[[#This Row],[BatchID]])&lt;&gt;1,"n.a.",SUMIFS(TblPurchases[Purchase Date],TblPurchases[BatchID],TblOutcomes[[#This Row],[BatchID]]))</f>
        <v>45437</v>
      </c>
    </row>
    <row r="2203" spans="2:17" x14ac:dyDescent="0.25">
      <c r="B2203" s="2" t="s">
        <v>3008</v>
      </c>
      <c r="C2203" s="2" t="s">
        <v>259</v>
      </c>
      <c r="D2203" s="2" t="s">
        <v>256</v>
      </c>
      <c r="E2203" s="2" t="s">
        <v>4647</v>
      </c>
      <c r="F2203" s="2">
        <v>17</v>
      </c>
      <c r="G2203" s="2">
        <v>17</v>
      </c>
      <c r="H2203" s="2">
        <v>0</v>
      </c>
      <c r="I2203" s="1">
        <v>0</v>
      </c>
      <c r="J2203" s="26">
        <v>45470</v>
      </c>
      <c r="K2203" s="22">
        <v>102000</v>
      </c>
      <c r="L2203" s="18">
        <v>109.09</v>
      </c>
      <c r="M2203" s="22">
        <v>79050</v>
      </c>
      <c r="N2203" s="22">
        <v>22950</v>
      </c>
      <c r="O2203" s="18">
        <v>24.55</v>
      </c>
      <c r="P2203" s="52">
        <f>IF(COUNTIF(TblPurchases[BatchID],TblOutcomes[[#This Row],[BatchID]])&lt;&gt;1,"n.a.",TblOutcomes[[#This Row],[Qty Wasted]]*SUMIFS(TblPurchases[Unit Cost (CLP)],TblPurchases[BatchID],TblOutcomes[[#This Row],[BatchID]]))</f>
        <v>0</v>
      </c>
      <c r="Q2203" s="51">
        <f>IF(COUNTIF(TblPurchases[BatchID],TblOutcomes[[#This Row],[BatchID]])&lt;&gt;1,"n.a.",SUMIFS(TblPurchases[Purchase Date],TblPurchases[BatchID],TblOutcomes[[#This Row],[BatchID]]))</f>
        <v>45457</v>
      </c>
    </row>
    <row r="2204" spans="2:17" x14ac:dyDescent="0.25">
      <c r="B2204" s="2" t="s">
        <v>3009</v>
      </c>
      <c r="C2204" s="2" t="s">
        <v>259</v>
      </c>
      <c r="D2204" s="2" t="s">
        <v>256</v>
      </c>
      <c r="E2204" s="2" t="s">
        <v>4647</v>
      </c>
      <c r="F2204" s="2">
        <v>19</v>
      </c>
      <c r="G2204" s="2">
        <v>19</v>
      </c>
      <c r="H2204" s="2">
        <v>0</v>
      </c>
      <c r="I2204" s="1">
        <v>0</v>
      </c>
      <c r="J2204" s="26">
        <v>45498</v>
      </c>
      <c r="K2204" s="22">
        <v>114000</v>
      </c>
      <c r="L2204" s="18">
        <v>121.93</v>
      </c>
      <c r="M2204" s="22">
        <v>88350</v>
      </c>
      <c r="N2204" s="22">
        <v>25650</v>
      </c>
      <c r="O2204" s="18">
        <v>27.43</v>
      </c>
      <c r="P2204" s="52">
        <f>IF(COUNTIF(TblPurchases[BatchID],TblOutcomes[[#This Row],[BatchID]])&lt;&gt;1,"n.a.",TblOutcomes[[#This Row],[Qty Wasted]]*SUMIFS(TblPurchases[Unit Cost (CLP)],TblPurchases[BatchID],TblOutcomes[[#This Row],[BatchID]]))</f>
        <v>0</v>
      </c>
      <c r="Q2204" s="51">
        <f>IF(COUNTIF(TblPurchases[BatchID],TblOutcomes[[#This Row],[BatchID]])&lt;&gt;1,"n.a.",SUMIFS(TblPurchases[Purchase Date],TblPurchases[BatchID],TblOutcomes[[#This Row],[BatchID]]))</f>
        <v>45477</v>
      </c>
    </row>
    <row r="2205" spans="2:17" x14ac:dyDescent="0.25">
      <c r="B2205" s="2" t="s">
        <v>3010</v>
      </c>
      <c r="C2205" s="2" t="s">
        <v>259</v>
      </c>
      <c r="D2205" s="2" t="s">
        <v>256</v>
      </c>
      <c r="E2205" s="2" t="s">
        <v>4647</v>
      </c>
      <c r="F2205" s="2">
        <v>19</v>
      </c>
      <c r="G2205" s="2">
        <v>19</v>
      </c>
      <c r="H2205" s="2">
        <v>0</v>
      </c>
      <c r="I2205" s="1">
        <v>0</v>
      </c>
      <c r="J2205" s="26">
        <v>45510</v>
      </c>
      <c r="K2205" s="22">
        <v>114000</v>
      </c>
      <c r="L2205" s="18">
        <v>121.93</v>
      </c>
      <c r="M2205" s="22">
        <v>87400</v>
      </c>
      <c r="N2205" s="22">
        <v>26600</v>
      </c>
      <c r="O2205" s="18">
        <v>28.45</v>
      </c>
      <c r="P2205" s="52">
        <f>IF(COUNTIF(TblPurchases[BatchID],TblOutcomes[[#This Row],[BatchID]])&lt;&gt;1,"n.a.",TblOutcomes[[#This Row],[Qty Wasted]]*SUMIFS(TblPurchases[Unit Cost (CLP)],TblPurchases[BatchID],TblOutcomes[[#This Row],[BatchID]]))</f>
        <v>0</v>
      </c>
      <c r="Q2205" s="51">
        <f>IF(COUNTIF(TblPurchases[BatchID],TblOutcomes[[#This Row],[BatchID]])&lt;&gt;1,"n.a.",SUMIFS(TblPurchases[Purchase Date],TblPurchases[BatchID],TblOutcomes[[#This Row],[BatchID]]))</f>
        <v>45492</v>
      </c>
    </row>
    <row r="2206" spans="2:17" x14ac:dyDescent="0.25">
      <c r="B2206" s="2" t="s">
        <v>3011</v>
      </c>
      <c r="C2206" s="2" t="s">
        <v>259</v>
      </c>
      <c r="D2206" s="2" t="s">
        <v>256</v>
      </c>
      <c r="E2206" s="2" t="s">
        <v>4647</v>
      </c>
      <c r="F2206" s="2">
        <v>18</v>
      </c>
      <c r="G2206" s="2">
        <v>18</v>
      </c>
      <c r="H2206" s="2">
        <v>0</v>
      </c>
      <c r="I2206" s="1">
        <v>0</v>
      </c>
      <c r="J2206" s="26">
        <v>45538</v>
      </c>
      <c r="K2206" s="22">
        <v>108000</v>
      </c>
      <c r="L2206" s="18">
        <v>115.51</v>
      </c>
      <c r="M2206" s="22">
        <v>83700</v>
      </c>
      <c r="N2206" s="22">
        <v>24300</v>
      </c>
      <c r="O2206" s="18">
        <v>25.99</v>
      </c>
      <c r="P2206" s="52">
        <f>IF(COUNTIF(TblPurchases[BatchID],TblOutcomes[[#This Row],[BatchID]])&lt;&gt;1,"n.a.",TblOutcomes[[#This Row],[Qty Wasted]]*SUMIFS(TblPurchases[Unit Cost (CLP)],TblPurchases[BatchID],TblOutcomes[[#This Row],[BatchID]]))</f>
        <v>0</v>
      </c>
      <c r="Q2206" s="51">
        <f>IF(COUNTIF(TblPurchases[BatchID],TblOutcomes[[#This Row],[BatchID]])&lt;&gt;1,"n.a.",SUMIFS(TblPurchases[Purchase Date],TblPurchases[BatchID],TblOutcomes[[#This Row],[BatchID]]))</f>
        <v>45518</v>
      </c>
    </row>
    <row r="2207" spans="2:17" x14ac:dyDescent="0.25">
      <c r="B2207" s="2" t="s">
        <v>3012</v>
      </c>
      <c r="C2207" s="2" t="s">
        <v>259</v>
      </c>
      <c r="D2207" s="2" t="s">
        <v>256</v>
      </c>
      <c r="E2207" s="2" t="s">
        <v>4647</v>
      </c>
      <c r="F2207" s="2">
        <v>22</v>
      </c>
      <c r="G2207" s="2">
        <v>22</v>
      </c>
      <c r="H2207" s="2">
        <v>0</v>
      </c>
      <c r="I2207" s="1">
        <v>0</v>
      </c>
      <c r="J2207" s="26">
        <v>45551</v>
      </c>
      <c r="K2207" s="22">
        <v>132000</v>
      </c>
      <c r="L2207" s="18">
        <v>141.18</v>
      </c>
      <c r="M2207" s="22">
        <v>102300</v>
      </c>
      <c r="N2207" s="22">
        <v>29700</v>
      </c>
      <c r="O2207" s="18">
        <v>31.76</v>
      </c>
      <c r="P2207" s="52">
        <f>IF(COUNTIF(TblPurchases[BatchID],TblOutcomes[[#This Row],[BatchID]])&lt;&gt;1,"n.a.",TblOutcomes[[#This Row],[Qty Wasted]]*SUMIFS(TblPurchases[Unit Cost (CLP)],TblPurchases[BatchID],TblOutcomes[[#This Row],[BatchID]]))</f>
        <v>0</v>
      </c>
      <c r="Q2207" s="51">
        <f>IF(COUNTIF(TblPurchases[BatchID],TblOutcomes[[#This Row],[BatchID]])&lt;&gt;1,"n.a.",SUMIFS(TblPurchases[Purchase Date],TblPurchases[BatchID],TblOutcomes[[#This Row],[BatchID]]))</f>
        <v>45536</v>
      </c>
    </row>
    <row r="2208" spans="2:17" x14ac:dyDescent="0.25">
      <c r="B2208" s="2" t="s">
        <v>3013</v>
      </c>
      <c r="C2208" s="2" t="s">
        <v>259</v>
      </c>
      <c r="D2208" s="2" t="s">
        <v>256</v>
      </c>
      <c r="E2208" s="2" t="s">
        <v>4647</v>
      </c>
      <c r="F2208" s="2">
        <v>24</v>
      </c>
      <c r="G2208" s="2">
        <v>24</v>
      </c>
      <c r="H2208" s="2">
        <v>0</v>
      </c>
      <c r="I2208" s="1">
        <v>0</v>
      </c>
      <c r="J2208" s="26">
        <v>45573</v>
      </c>
      <c r="K2208" s="22">
        <v>144000</v>
      </c>
      <c r="L2208" s="18">
        <v>154.01</v>
      </c>
      <c r="M2208" s="22">
        <v>111600</v>
      </c>
      <c r="N2208" s="22">
        <v>32400</v>
      </c>
      <c r="O2208" s="18">
        <v>34.65</v>
      </c>
      <c r="P2208" s="52">
        <f>IF(COUNTIF(TblPurchases[BatchID],TblOutcomes[[#This Row],[BatchID]])&lt;&gt;1,"n.a.",TblOutcomes[[#This Row],[Qty Wasted]]*SUMIFS(TblPurchases[Unit Cost (CLP)],TblPurchases[BatchID],TblOutcomes[[#This Row],[BatchID]]))</f>
        <v>0</v>
      </c>
      <c r="Q2208" s="51">
        <f>IF(COUNTIF(TblPurchases[BatchID],TblOutcomes[[#This Row],[BatchID]])&lt;&gt;1,"n.a.",SUMIFS(TblPurchases[Purchase Date],TblPurchases[BatchID],TblOutcomes[[#This Row],[BatchID]]))</f>
        <v>45556</v>
      </c>
    </row>
    <row r="2209" spans="2:17" x14ac:dyDescent="0.25">
      <c r="B2209" s="2" t="s">
        <v>3014</v>
      </c>
      <c r="C2209" s="2" t="s">
        <v>259</v>
      </c>
      <c r="D2209" s="2" t="s">
        <v>256</v>
      </c>
      <c r="E2209" s="2" t="s">
        <v>4647</v>
      </c>
      <c r="F2209" s="2">
        <v>6</v>
      </c>
      <c r="G2209" s="2">
        <v>6</v>
      </c>
      <c r="H2209" s="2">
        <v>0</v>
      </c>
      <c r="I2209" s="1">
        <v>0</v>
      </c>
      <c r="J2209" s="26">
        <v>45610</v>
      </c>
      <c r="K2209" s="22">
        <v>36000</v>
      </c>
      <c r="L2209" s="18">
        <v>38.5</v>
      </c>
      <c r="M2209" s="22">
        <v>27900</v>
      </c>
      <c r="N2209" s="22">
        <v>8100</v>
      </c>
      <c r="O2209" s="18">
        <v>8.66</v>
      </c>
      <c r="P2209" s="52">
        <f>IF(COUNTIF(TblPurchases[BatchID],TblOutcomes[[#This Row],[BatchID]])&lt;&gt;1,"n.a.",TblOutcomes[[#This Row],[Qty Wasted]]*SUMIFS(TblPurchases[Unit Cost (CLP)],TblPurchases[BatchID],TblOutcomes[[#This Row],[BatchID]]))</f>
        <v>0</v>
      </c>
      <c r="Q2209" s="51">
        <f>IF(COUNTIF(TblPurchases[BatchID],TblOutcomes[[#This Row],[BatchID]])&lt;&gt;1,"n.a.",SUMIFS(TblPurchases[Purchase Date],TblPurchases[BatchID],TblOutcomes[[#This Row],[BatchID]]))</f>
        <v>45583</v>
      </c>
    </row>
    <row r="2210" spans="2:17" x14ac:dyDescent="0.25">
      <c r="B2210" s="2" t="s">
        <v>3015</v>
      </c>
      <c r="C2210" s="2" t="s">
        <v>259</v>
      </c>
      <c r="D2210" s="2" t="s">
        <v>256</v>
      </c>
      <c r="E2210" s="2" t="s">
        <v>4647</v>
      </c>
      <c r="F2210" s="2">
        <v>8</v>
      </c>
      <c r="G2210" s="2">
        <v>8</v>
      </c>
      <c r="H2210" s="2">
        <v>0</v>
      </c>
      <c r="I2210" s="1">
        <v>0</v>
      </c>
      <c r="J2210" s="26">
        <v>45617</v>
      </c>
      <c r="K2210" s="22">
        <v>48000</v>
      </c>
      <c r="L2210" s="18">
        <v>51.34</v>
      </c>
      <c r="M2210" s="22">
        <v>37200</v>
      </c>
      <c r="N2210" s="22">
        <v>10800</v>
      </c>
      <c r="O2210" s="18">
        <v>11.55</v>
      </c>
      <c r="P2210" s="52">
        <f>IF(COUNTIF(TblPurchases[BatchID],TblOutcomes[[#This Row],[BatchID]])&lt;&gt;1,"n.a.",TblOutcomes[[#This Row],[Qty Wasted]]*SUMIFS(TblPurchases[Unit Cost (CLP)],TblPurchases[BatchID],TblOutcomes[[#This Row],[BatchID]]))</f>
        <v>0</v>
      </c>
      <c r="Q2210" s="51">
        <f>IF(COUNTIF(TblPurchases[BatchID],TblOutcomes[[#This Row],[BatchID]])&lt;&gt;1,"n.a.",SUMIFS(TblPurchases[Purchase Date],TblPurchases[BatchID],TblOutcomes[[#This Row],[BatchID]]))</f>
        <v>45604</v>
      </c>
    </row>
    <row r="2211" spans="2:17" x14ac:dyDescent="0.25">
      <c r="B2211" s="2" t="s">
        <v>3016</v>
      </c>
      <c r="C2211" s="2" t="s">
        <v>259</v>
      </c>
      <c r="D2211" s="2" t="s">
        <v>256</v>
      </c>
      <c r="E2211" s="2" t="s">
        <v>4647</v>
      </c>
      <c r="F2211" s="2">
        <v>8</v>
      </c>
      <c r="G2211" s="2">
        <v>8</v>
      </c>
      <c r="H2211" s="2">
        <v>0</v>
      </c>
      <c r="I2211" s="1">
        <v>0</v>
      </c>
      <c r="J2211" s="26">
        <v>45638</v>
      </c>
      <c r="K2211" s="22">
        <v>48000</v>
      </c>
      <c r="L2211" s="18">
        <v>51.34</v>
      </c>
      <c r="M2211" s="22">
        <v>37200</v>
      </c>
      <c r="N2211" s="22">
        <v>10800</v>
      </c>
      <c r="O2211" s="18">
        <v>11.55</v>
      </c>
      <c r="P2211" s="52">
        <f>IF(COUNTIF(TblPurchases[BatchID],TblOutcomes[[#This Row],[BatchID]])&lt;&gt;1,"n.a.",TblOutcomes[[#This Row],[Qty Wasted]]*SUMIFS(TblPurchases[Unit Cost (CLP)],TblPurchases[BatchID],TblOutcomes[[#This Row],[BatchID]]))</f>
        <v>0</v>
      </c>
      <c r="Q2211" s="51">
        <f>IF(COUNTIF(TblPurchases[BatchID],TblOutcomes[[#This Row],[BatchID]])&lt;&gt;1,"n.a.",SUMIFS(TblPurchases[Purchase Date],TblPurchases[BatchID],TblOutcomes[[#This Row],[BatchID]]))</f>
        <v>45625</v>
      </c>
    </row>
    <row r="2212" spans="2:17" x14ac:dyDescent="0.25">
      <c r="B2212" s="2" t="s">
        <v>3017</v>
      </c>
      <c r="C2212" s="2" t="s">
        <v>259</v>
      </c>
      <c r="D2212" s="2" t="s">
        <v>256</v>
      </c>
      <c r="E2212" s="2" t="s">
        <v>4646</v>
      </c>
      <c r="F2212" s="2">
        <v>9</v>
      </c>
      <c r="G2212" s="2">
        <v>8.33</v>
      </c>
      <c r="H2212" s="2">
        <v>0.67</v>
      </c>
      <c r="I2212" s="1">
        <v>7.4</v>
      </c>
      <c r="J2212" s="26">
        <v>45848</v>
      </c>
      <c r="K2212" s="22">
        <v>49980</v>
      </c>
      <c r="L2212" s="18">
        <v>53.45</v>
      </c>
      <c r="M2212" s="22">
        <v>41850</v>
      </c>
      <c r="N2212" s="22">
        <v>8130</v>
      </c>
      <c r="O2212" s="18">
        <v>8.6999999999999993</v>
      </c>
      <c r="P2212" s="52">
        <f>IF(COUNTIF(TblPurchases[BatchID],TblOutcomes[[#This Row],[BatchID]])&lt;&gt;1,"n.a.",TblOutcomes[[#This Row],[Qty Wasted]]*SUMIFS(TblPurchases[Unit Cost (CLP)],TblPurchases[BatchID],TblOutcomes[[#This Row],[BatchID]]))</f>
        <v>3115.5</v>
      </c>
      <c r="Q2212" s="51">
        <f>IF(COUNTIF(TblPurchases[BatchID],TblOutcomes[[#This Row],[BatchID]])&lt;&gt;1,"n.a.",SUMIFS(TblPurchases[Purchase Date],TblPurchases[BatchID],TblOutcomes[[#This Row],[BatchID]]))</f>
        <v>45638</v>
      </c>
    </row>
    <row r="2213" spans="2:17" x14ac:dyDescent="0.25">
      <c r="B2213" s="2" t="s">
        <v>3018</v>
      </c>
      <c r="C2213" s="2" t="s">
        <v>259</v>
      </c>
      <c r="D2213" s="2" t="s">
        <v>256</v>
      </c>
      <c r="E2213" s="2" t="s">
        <v>4646</v>
      </c>
      <c r="F2213" s="2">
        <v>8</v>
      </c>
      <c r="G2213" s="2">
        <v>7.54</v>
      </c>
      <c r="H2213" s="2">
        <v>0.46</v>
      </c>
      <c r="I2213" s="1">
        <v>5.8</v>
      </c>
      <c r="J2213" s="26">
        <v>45868</v>
      </c>
      <c r="K2213" s="22">
        <v>45240</v>
      </c>
      <c r="L2213" s="18">
        <v>48.39</v>
      </c>
      <c r="M2213" s="22">
        <v>37200</v>
      </c>
      <c r="N2213" s="22">
        <v>8040</v>
      </c>
      <c r="O2213" s="18">
        <v>8.6</v>
      </c>
      <c r="P2213" s="52">
        <f>IF(COUNTIF(TblPurchases[BatchID],TblOutcomes[[#This Row],[BatchID]])&lt;&gt;1,"n.a.",TblOutcomes[[#This Row],[Qty Wasted]]*SUMIFS(TblPurchases[Unit Cost (CLP)],TblPurchases[BatchID],TblOutcomes[[#This Row],[BatchID]]))</f>
        <v>2139</v>
      </c>
      <c r="Q2213" s="51">
        <f>IF(COUNTIF(TblPurchases[BatchID],TblOutcomes[[#This Row],[BatchID]])&lt;&gt;1,"n.a.",SUMIFS(TblPurchases[Purchase Date],TblPurchases[BatchID],TblOutcomes[[#This Row],[BatchID]]))</f>
        <v>45658</v>
      </c>
    </row>
    <row r="2214" spans="2:17" x14ac:dyDescent="0.25">
      <c r="B2214" s="2" t="s">
        <v>3019</v>
      </c>
      <c r="C2214" s="2" t="s">
        <v>259</v>
      </c>
      <c r="D2214" s="2" t="s">
        <v>256</v>
      </c>
      <c r="E2214" s="2" t="s">
        <v>4647</v>
      </c>
      <c r="F2214" s="2">
        <v>9</v>
      </c>
      <c r="G2214" s="2">
        <v>9</v>
      </c>
      <c r="H2214" s="2">
        <v>0</v>
      </c>
      <c r="I2214" s="1">
        <v>0</v>
      </c>
      <c r="J2214" s="26">
        <v>45692</v>
      </c>
      <c r="K2214" s="22">
        <v>54000</v>
      </c>
      <c r="L2214" s="18">
        <v>57.75</v>
      </c>
      <c r="M2214" s="22">
        <v>41850</v>
      </c>
      <c r="N2214" s="22">
        <v>12150</v>
      </c>
      <c r="O2214" s="18">
        <v>12.99</v>
      </c>
      <c r="P2214" s="52">
        <f>IF(COUNTIF(TblPurchases[BatchID],TblOutcomes[[#This Row],[BatchID]])&lt;&gt;1,"n.a.",TblOutcomes[[#This Row],[Qty Wasted]]*SUMIFS(TblPurchases[Unit Cost (CLP)],TblPurchases[BatchID],TblOutcomes[[#This Row],[BatchID]]))</f>
        <v>0</v>
      </c>
      <c r="Q2214" s="51">
        <f>IF(COUNTIF(TblPurchases[BatchID],TblOutcomes[[#This Row],[BatchID]])&lt;&gt;1,"n.a.",SUMIFS(TblPurchases[Purchase Date],TblPurchases[BatchID],TblOutcomes[[#This Row],[BatchID]]))</f>
        <v>45680</v>
      </c>
    </row>
    <row r="2215" spans="2:17" x14ac:dyDescent="0.25">
      <c r="B2215" s="2" t="s">
        <v>3020</v>
      </c>
      <c r="C2215" s="2" t="s">
        <v>259</v>
      </c>
      <c r="D2215" s="2" t="s">
        <v>256</v>
      </c>
      <c r="E2215" s="2" t="s">
        <v>4647</v>
      </c>
      <c r="F2215" s="2">
        <v>8</v>
      </c>
      <c r="G2215" s="2">
        <v>8</v>
      </c>
      <c r="H2215" s="2">
        <v>0</v>
      </c>
      <c r="I2215" s="1">
        <v>0</v>
      </c>
      <c r="J2215" s="26">
        <v>45723</v>
      </c>
      <c r="K2215" s="22">
        <v>48000</v>
      </c>
      <c r="L2215" s="18">
        <v>51.34</v>
      </c>
      <c r="M2215" s="22">
        <v>36800</v>
      </c>
      <c r="N2215" s="22">
        <v>11200</v>
      </c>
      <c r="O2215" s="18">
        <v>11.98</v>
      </c>
      <c r="P2215" s="52">
        <f>IF(COUNTIF(TblPurchases[BatchID],TblOutcomes[[#This Row],[BatchID]])&lt;&gt;1,"n.a.",TblOutcomes[[#This Row],[Qty Wasted]]*SUMIFS(TblPurchases[Unit Cost (CLP)],TblPurchases[BatchID],TblOutcomes[[#This Row],[BatchID]]))</f>
        <v>0</v>
      </c>
      <c r="Q2215" s="51">
        <f>IF(COUNTIF(TblPurchases[BatchID],TblOutcomes[[#This Row],[BatchID]])&lt;&gt;1,"n.a.",SUMIFS(TblPurchases[Purchase Date],TblPurchases[BatchID],TblOutcomes[[#This Row],[BatchID]]))</f>
        <v>45702</v>
      </c>
    </row>
    <row r="2216" spans="2:17" x14ac:dyDescent="0.25">
      <c r="B2216" s="2" t="s">
        <v>3021</v>
      </c>
      <c r="C2216" s="2" t="s">
        <v>259</v>
      </c>
      <c r="D2216" s="2" t="s">
        <v>256</v>
      </c>
      <c r="E2216" s="2" t="s">
        <v>4646</v>
      </c>
      <c r="F2216" s="2">
        <v>9</v>
      </c>
      <c r="G2216" s="2">
        <v>8.2899999999999991</v>
      </c>
      <c r="H2216" s="2">
        <v>0.71</v>
      </c>
      <c r="I2216" s="1">
        <v>7.9</v>
      </c>
      <c r="J2216" s="26">
        <v>45936</v>
      </c>
      <c r="K2216" s="22">
        <v>49740</v>
      </c>
      <c r="L2216" s="18">
        <v>53.2</v>
      </c>
      <c r="M2216" s="22">
        <v>41850</v>
      </c>
      <c r="N2216" s="22">
        <v>7890</v>
      </c>
      <c r="O2216" s="18">
        <v>8.44</v>
      </c>
      <c r="P2216" s="52">
        <f>IF(COUNTIF(TblPurchases[BatchID],TblOutcomes[[#This Row],[BatchID]])&lt;&gt;1,"n.a.",TblOutcomes[[#This Row],[Qty Wasted]]*SUMIFS(TblPurchases[Unit Cost (CLP)],TblPurchases[BatchID],TblOutcomes[[#This Row],[BatchID]]))</f>
        <v>3301.5</v>
      </c>
      <c r="Q2216" s="51">
        <f>IF(COUNTIF(TblPurchases[BatchID],TblOutcomes[[#This Row],[BatchID]])&lt;&gt;1,"n.a.",SUMIFS(TblPurchases[Purchase Date],TblPurchases[BatchID],TblOutcomes[[#This Row],[BatchID]]))</f>
        <v>45726</v>
      </c>
    </row>
    <row r="2217" spans="2:17" x14ac:dyDescent="0.25">
      <c r="B2217" s="2" t="s">
        <v>3022</v>
      </c>
      <c r="C2217" s="2" t="s">
        <v>259</v>
      </c>
      <c r="D2217" s="2" t="s">
        <v>256</v>
      </c>
      <c r="E2217" s="2" t="s">
        <v>4647</v>
      </c>
      <c r="F2217" s="2">
        <v>21</v>
      </c>
      <c r="G2217" s="2">
        <v>21</v>
      </c>
      <c r="H2217" s="2">
        <v>0</v>
      </c>
      <c r="I2217" s="1">
        <v>0</v>
      </c>
      <c r="J2217" s="26">
        <v>45777</v>
      </c>
      <c r="K2217" s="22">
        <v>126000</v>
      </c>
      <c r="L2217" s="18">
        <v>134.76</v>
      </c>
      <c r="M2217" s="22">
        <v>97650</v>
      </c>
      <c r="N2217" s="22">
        <v>28350</v>
      </c>
      <c r="O2217" s="18">
        <v>30.32</v>
      </c>
      <c r="P2217" s="52">
        <f>IF(COUNTIF(TblPurchases[BatchID],TblOutcomes[[#This Row],[BatchID]])&lt;&gt;1,"n.a.",TblOutcomes[[#This Row],[Qty Wasted]]*SUMIFS(TblPurchases[Unit Cost (CLP)],TblPurchases[BatchID],TblOutcomes[[#This Row],[BatchID]]))</f>
        <v>0</v>
      </c>
      <c r="Q2217" s="51">
        <f>IF(COUNTIF(TblPurchases[BatchID],TblOutcomes[[#This Row],[BatchID]])&lt;&gt;1,"n.a.",SUMIFS(TblPurchases[Purchase Date],TblPurchases[BatchID],TblOutcomes[[#This Row],[BatchID]]))</f>
        <v>45753</v>
      </c>
    </row>
    <row r="2218" spans="2:17" x14ac:dyDescent="0.25">
      <c r="B2218" s="2" t="s">
        <v>3023</v>
      </c>
      <c r="C2218" s="2" t="s">
        <v>259</v>
      </c>
      <c r="D2218" s="2" t="s">
        <v>256</v>
      </c>
      <c r="E2218" s="2" t="s">
        <v>4647</v>
      </c>
      <c r="F2218" s="2">
        <v>20</v>
      </c>
      <c r="G2218" s="2">
        <v>20</v>
      </c>
      <c r="H2218" s="2">
        <v>0</v>
      </c>
      <c r="I2218" s="1">
        <v>0</v>
      </c>
      <c r="J2218" s="26">
        <v>45787</v>
      </c>
      <c r="K2218" s="22">
        <v>120000</v>
      </c>
      <c r="L2218" s="18">
        <v>128.34</v>
      </c>
      <c r="M2218" s="22">
        <v>93000</v>
      </c>
      <c r="N2218" s="22">
        <v>27000</v>
      </c>
      <c r="O2218" s="18">
        <v>28.88</v>
      </c>
      <c r="P2218" s="52">
        <f>IF(COUNTIF(TblPurchases[BatchID],TblOutcomes[[#This Row],[BatchID]])&lt;&gt;1,"n.a.",TblOutcomes[[#This Row],[Qty Wasted]]*SUMIFS(TblPurchases[Unit Cost (CLP)],TblPurchases[BatchID],TblOutcomes[[#This Row],[BatchID]]))</f>
        <v>0</v>
      </c>
      <c r="Q2218" s="51">
        <f>IF(COUNTIF(TblPurchases[BatchID],TblOutcomes[[#This Row],[BatchID]])&lt;&gt;1,"n.a.",SUMIFS(TblPurchases[Purchase Date],TblPurchases[BatchID],TblOutcomes[[#This Row],[BatchID]]))</f>
        <v>45770</v>
      </c>
    </row>
    <row r="2219" spans="2:17" x14ac:dyDescent="0.25">
      <c r="B2219" s="2" t="s">
        <v>3024</v>
      </c>
      <c r="C2219" s="2" t="s">
        <v>259</v>
      </c>
      <c r="D2219" s="2" t="s">
        <v>256</v>
      </c>
      <c r="E2219" s="2" t="s">
        <v>4647</v>
      </c>
      <c r="F2219" s="2">
        <v>19</v>
      </c>
      <c r="G2219" s="2">
        <v>19</v>
      </c>
      <c r="H2219" s="2">
        <v>0</v>
      </c>
      <c r="I2219" s="1">
        <v>0</v>
      </c>
      <c r="J2219" s="26">
        <v>45808</v>
      </c>
      <c r="K2219" s="22">
        <v>114000</v>
      </c>
      <c r="L2219" s="18">
        <v>121.93</v>
      </c>
      <c r="M2219" s="22">
        <v>88350</v>
      </c>
      <c r="N2219" s="22">
        <v>25650</v>
      </c>
      <c r="O2219" s="18">
        <v>27.43</v>
      </c>
      <c r="P2219" s="52">
        <f>IF(COUNTIF(TblPurchases[BatchID],TblOutcomes[[#This Row],[BatchID]])&lt;&gt;1,"n.a.",TblOutcomes[[#This Row],[Qty Wasted]]*SUMIFS(TblPurchases[Unit Cost (CLP)],TblPurchases[BatchID],TblOutcomes[[#This Row],[BatchID]]))</f>
        <v>0</v>
      </c>
      <c r="Q2219" s="51">
        <f>IF(COUNTIF(TblPurchases[BatchID],TblOutcomes[[#This Row],[BatchID]])&lt;&gt;1,"n.a.",SUMIFS(TblPurchases[Purchase Date],TblPurchases[BatchID],TblOutcomes[[#This Row],[BatchID]]))</f>
        <v>45791</v>
      </c>
    </row>
    <row r="2220" spans="2:17" x14ac:dyDescent="0.25">
      <c r="B2220" s="2" t="s">
        <v>3025</v>
      </c>
      <c r="C2220" s="2" t="s">
        <v>259</v>
      </c>
      <c r="D2220" s="2" t="s">
        <v>256</v>
      </c>
      <c r="E2220" s="2" t="s">
        <v>4646</v>
      </c>
      <c r="F2220" s="2">
        <v>22</v>
      </c>
      <c r="G2220" s="2">
        <v>19.670000000000002</v>
      </c>
      <c r="H2220" s="2">
        <v>2.33</v>
      </c>
      <c r="I2220" s="1">
        <v>10.6</v>
      </c>
      <c r="J2220" s="26">
        <v>46023</v>
      </c>
      <c r="K2220" s="22">
        <v>118020</v>
      </c>
      <c r="L2220" s="18">
        <v>126.22</v>
      </c>
      <c r="M2220" s="22">
        <v>102300</v>
      </c>
      <c r="N2220" s="22">
        <v>15720</v>
      </c>
      <c r="O2220" s="18">
        <v>16.809999999999999</v>
      </c>
      <c r="P2220" s="52">
        <f>IF(COUNTIF(TblPurchases[BatchID],TblOutcomes[[#This Row],[BatchID]])&lt;&gt;1,"n.a.",TblOutcomes[[#This Row],[Qty Wasted]]*SUMIFS(TblPurchases[Unit Cost (CLP)],TblPurchases[BatchID],TblOutcomes[[#This Row],[BatchID]]))</f>
        <v>10834.5</v>
      </c>
      <c r="Q2220" s="51">
        <f>IF(COUNTIF(TblPurchases[BatchID],TblOutcomes[[#This Row],[BatchID]])&lt;&gt;1,"n.a.",SUMIFS(TblPurchases[Purchase Date],TblPurchases[BatchID],TblOutcomes[[#This Row],[BatchID]]))</f>
        <v>45813</v>
      </c>
    </row>
    <row r="2221" spans="2:17" x14ac:dyDescent="0.25">
      <c r="B2221" s="2" t="s">
        <v>3026</v>
      </c>
      <c r="C2221" s="2" t="s">
        <v>259</v>
      </c>
      <c r="D2221" s="2" t="s">
        <v>256</v>
      </c>
      <c r="E2221" s="2" t="s">
        <v>4647</v>
      </c>
      <c r="F2221" s="2">
        <v>23</v>
      </c>
      <c r="G2221" s="2">
        <v>23</v>
      </c>
      <c r="H2221" s="2">
        <v>0</v>
      </c>
      <c r="I2221" s="1">
        <v>0</v>
      </c>
      <c r="J2221" s="26">
        <v>45851</v>
      </c>
      <c r="K2221" s="22">
        <v>138000</v>
      </c>
      <c r="L2221" s="18">
        <v>147.59</v>
      </c>
      <c r="M2221" s="22">
        <v>106950</v>
      </c>
      <c r="N2221" s="22">
        <v>31050</v>
      </c>
      <c r="O2221" s="18">
        <v>33.21</v>
      </c>
      <c r="P2221" s="52">
        <f>IF(COUNTIF(TblPurchases[BatchID],TblOutcomes[[#This Row],[BatchID]])&lt;&gt;1,"n.a.",TblOutcomes[[#This Row],[Qty Wasted]]*SUMIFS(TblPurchases[Unit Cost (CLP)],TblPurchases[BatchID],TblOutcomes[[#This Row],[BatchID]]))</f>
        <v>0</v>
      </c>
      <c r="Q2221" s="51">
        <f>IF(COUNTIF(TblPurchases[BatchID],TblOutcomes[[#This Row],[BatchID]])&lt;&gt;1,"n.a.",SUMIFS(TblPurchases[Purchase Date],TblPurchases[BatchID],TblOutcomes[[#This Row],[BatchID]]))</f>
        <v>45829</v>
      </c>
    </row>
    <row r="2222" spans="2:17" x14ac:dyDescent="0.25">
      <c r="B2222" s="2" t="s">
        <v>3027</v>
      </c>
      <c r="C2222" s="2" t="s">
        <v>261</v>
      </c>
      <c r="D2222" s="2" t="s">
        <v>256</v>
      </c>
      <c r="E2222" s="2" t="s">
        <v>4646</v>
      </c>
      <c r="F2222" s="2">
        <v>19</v>
      </c>
      <c r="G2222" s="2">
        <v>17.77</v>
      </c>
      <c r="H2222" s="2">
        <v>1.24</v>
      </c>
      <c r="I2222" s="1">
        <v>6.5</v>
      </c>
      <c r="J2222" s="26">
        <v>45319</v>
      </c>
      <c r="K2222" s="22">
        <v>177700</v>
      </c>
      <c r="L2222" s="18">
        <v>190.05</v>
      </c>
      <c r="M2222" s="22">
        <v>143450</v>
      </c>
      <c r="N2222" s="22">
        <v>34250</v>
      </c>
      <c r="O2222" s="18">
        <v>36.630000000000003</v>
      </c>
      <c r="P2222" s="52">
        <f>IF(COUNTIF(TblPurchases[BatchID],TblOutcomes[[#This Row],[BatchID]])&lt;&gt;1,"n.a.",TblOutcomes[[#This Row],[Qty Wasted]]*SUMIFS(TblPurchases[Unit Cost (CLP)],TblPurchases[BatchID],TblOutcomes[[#This Row],[BatchID]]))</f>
        <v>9362</v>
      </c>
      <c r="Q2222" s="51">
        <f>IF(COUNTIF(TblPurchases[BatchID],TblOutcomes[[#This Row],[BatchID]])&lt;&gt;1,"n.a.",SUMIFS(TblPurchases[Purchase Date],TblPurchases[BatchID],TblOutcomes[[#This Row],[BatchID]]))</f>
        <v>45109</v>
      </c>
    </row>
    <row r="2223" spans="2:17" x14ac:dyDescent="0.25">
      <c r="B2223" s="2" t="s">
        <v>3028</v>
      </c>
      <c r="C2223" s="2" t="s">
        <v>261</v>
      </c>
      <c r="D2223" s="2" t="s">
        <v>256</v>
      </c>
      <c r="E2223" s="2" t="s">
        <v>4647</v>
      </c>
      <c r="F2223" s="2">
        <v>22</v>
      </c>
      <c r="G2223" s="2">
        <v>22</v>
      </c>
      <c r="H2223" s="2">
        <v>0</v>
      </c>
      <c r="I2223" s="1">
        <v>0</v>
      </c>
      <c r="J2223" s="26">
        <v>45146</v>
      </c>
      <c r="K2223" s="22">
        <v>220000</v>
      </c>
      <c r="L2223" s="18">
        <v>235.29</v>
      </c>
      <c r="M2223" s="22">
        <v>166100</v>
      </c>
      <c r="N2223" s="22">
        <v>53900</v>
      </c>
      <c r="O2223" s="18">
        <v>57.65</v>
      </c>
      <c r="P2223" s="52">
        <f>IF(COUNTIF(TblPurchases[BatchID],TblOutcomes[[#This Row],[BatchID]])&lt;&gt;1,"n.a.",TblOutcomes[[#This Row],[Qty Wasted]]*SUMIFS(TblPurchases[Unit Cost (CLP)],TblPurchases[BatchID],TblOutcomes[[#This Row],[BatchID]]))</f>
        <v>0</v>
      </c>
      <c r="Q2223" s="51">
        <f>IF(COUNTIF(TblPurchases[BatchID],TblOutcomes[[#This Row],[BatchID]])&lt;&gt;1,"n.a.",SUMIFS(TblPurchases[Purchase Date],TblPurchases[BatchID],TblOutcomes[[#This Row],[BatchID]]))</f>
        <v>45134</v>
      </c>
    </row>
    <row r="2224" spans="2:17" x14ac:dyDescent="0.25">
      <c r="B2224" s="2" t="s">
        <v>3029</v>
      </c>
      <c r="C2224" s="2" t="s">
        <v>261</v>
      </c>
      <c r="D2224" s="2" t="s">
        <v>256</v>
      </c>
      <c r="E2224" s="2" t="s">
        <v>4647</v>
      </c>
      <c r="F2224" s="2">
        <v>20</v>
      </c>
      <c r="G2224" s="2">
        <v>20</v>
      </c>
      <c r="H2224" s="2">
        <v>0</v>
      </c>
      <c r="I2224" s="1">
        <v>0</v>
      </c>
      <c r="J2224" s="26">
        <v>45164</v>
      </c>
      <c r="K2224" s="22">
        <v>200000</v>
      </c>
      <c r="L2224" s="18">
        <v>213.9</v>
      </c>
      <c r="M2224" s="22">
        <v>151000</v>
      </c>
      <c r="N2224" s="22">
        <v>49000</v>
      </c>
      <c r="O2224" s="18">
        <v>52.41</v>
      </c>
      <c r="P2224" s="52">
        <f>IF(COUNTIF(TblPurchases[BatchID],TblOutcomes[[#This Row],[BatchID]])&lt;&gt;1,"n.a.",TblOutcomes[[#This Row],[Qty Wasted]]*SUMIFS(TblPurchases[Unit Cost (CLP)],TblPurchases[BatchID],TblOutcomes[[#This Row],[BatchID]]))</f>
        <v>0</v>
      </c>
      <c r="Q2224" s="51">
        <f>IF(COUNTIF(TblPurchases[BatchID],TblOutcomes[[#This Row],[BatchID]])&lt;&gt;1,"n.a.",SUMIFS(TblPurchases[Purchase Date],TblPurchases[BatchID],TblOutcomes[[#This Row],[BatchID]]))</f>
        <v>45150</v>
      </c>
    </row>
    <row r="2225" spans="2:17" x14ac:dyDescent="0.25">
      <c r="B2225" s="2" t="s">
        <v>3030</v>
      </c>
      <c r="C2225" s="2" t="s">
        <v>261</v>
      </c>
      <c r="D2225" s="2" t="s">
        <v>256</v>
      </c>
      <c r="E2225" s="2" t="s">
        <v>4646</v>
      </c>
      <c r="F2225" s="2">
        <v>21</v>
      </c>
      <c r="G2225" s="2">
        <v>19.53</v>
      </c>
      <c r="H2225" s="2">
        <v>1.47</v>
      </c>
      <c r="I2225" s="1">
        <v>7</v>
      </c>
      <c r="J2225" s="26">
        <v>45376</v>
      </c>
      <c r="K2225" s="22">
        <v>195300</v>
      </c>
      <c r="L2225" s="18">
        <v>208.88</v>
      </c>
      <c r="M2225" s="22">
        <v>160650</v>
      </c>
      <c r="N2225" s="22">
        <v>34650</v>
      </c>
      <c r="O2225" s="18">
        <v>37.06</v>
      </c>
      <c r="P2225" s="52">
        <f>IF(COUNTIF(TblPurchases[BatchID],TblOutcomes[[#This Row],[BatchID]])&lt;&gt;1,"n.a.",TblOutcomes[[#This Row],[Qty Wasted]]*SUMIFS(TblPurchases[Unit Cost (CLP)],TblPurchases[BatchID],TblOutcomes[[#This Row],[BatchID]]))</f>
        <v>11245.5</v>
      </c>
      <c r="Q2225" s="51">
        <f>IF(COUNTIF(TblPurchases[BatchID],TblOutcomes[[#This Row],[BatchID]])&lt;&gt;1,"n.a.",SUMIFS(TblPurchases[Purchase Date],TblPurchases[BatchID],TblOutcomes[[#This Row],[BatchID]]))</f>
        <v>45166</v>
      </c>
    </row>
    <row r="2226" spans="2:17" x14ac:dyDescent="0.25">
      <c r="B2226" s="2" t="s">
        <v>3031</v>
      </c>
      <c r="C2226" s="2" t="s">
        <v>261</v>
      </c>
      <c r="D2226" s="2" t="s">
        <v>256</v>
      </c>
      <c r="E2226" s="2" t="s">
        <v>4646</v>
      </c>
      <c r="F2226" s="2">
        <v>26</v>
      </c>
      <c r="G2226" s="2">
        <v>25.79</v>
      </c>
      <c r="H2226" s="2">
        <v>0.21</v>
      </c>
      <c r="I2226" s="1">
        <v>0.8</v>
      </c>
      <c r="J2226" s="26">
        <v>45399</v>
      </c>
      <c r="K2226" s="22">
        <v>257900</v>
      </c>
      <c r="L2226" s="18">
        <v>275.83</v>
      </c>
      <c r="M2226" s="22">
        <v>198900</v>
      </c>
      <c r="N2226" s="22">
        <v>59000</v>
      </c>
      <c r="O2226" s="18">
        <v>63.1</v>
      </c>
      <c r="P2226" s="52">
        <f>IF(COUNTIF(TblPurchases[BatchID],TblOutcomes[[#This Row],[BatchID]])&lt;&gt;1,"n.a.",TblOutcomes[[#This Row],[Qty Wasted]]*SUMIFS(TblPurchases[Unit Cost (CLP)],TblPurchases[BatchID],TblOutcomes[[#This Row],[BatchID]]))</f>
        <v>1606.5</v>
      </c>
      <c r="Q2226" s="51">
        <f>IF(COUNTIF(TblPurchases[BatchID],TblOutcomes[[#This Row],[BatchID]])&lt;&gt;1,"n.a.",SUMIFS(TblPurchases[Purchase Date],TblPurchases[BatchID],TblOutcomes[[#This Row],[BatchID]]))</f>
        <v>45189</v>
      </c>
    </row>
    <row r="2227" spans="2:17" x14ac:dyDescent="0.25">
      <c r="B2227" s="2" t="s">
        <v>3032</v>
      </c>
      <c r="C2227" s="2" t="s">
        <v>261</v>
      </c>
      <c r="D2227" s="2" t="s">
        <v>256</v>
      </c>
      <c r="E2227" s="2" t="s">
        <v>4646</v>
      </c>
      <c r="F2227" s="2">
        <v>6</v>
      </c>
      <c r="G2227" s="2">
        <v>5.39</v>
      </c>
      <c r="H2227" s="2">
        <v>0.61</v>
      </c>
      <c r="I2227" s="1">
        <v>10.1</v>
      </c>
      <c r="J2227" s="26">
        <v>45422</v>
      </c>
      <c r="K2227" s="22">
        <v>53900</v>
      </c>
      <c r="L2227" s="18">
        <v>57.65</v>
      </c>
      <c r="M2227" s="22">
        <v>45300</v>
      </c>
      <c r="N2227" s="22">
        <v>8600</v>
      </c>
      <c r="O2227" s="18">
        <v>9.1999999999999993</v>
      </c>
      <c r="P2227" s="52">
        <f>IF(COUNTIF(TblPurchases[BatchID],TblOutcomes[[#This Row],[BatchID]])&lt;&gt;1,"n.a.",TblOutcomes[[#This Row],[Qty Wasted]]*SUMIFS(TblPurchases[Unit Cost (CLP)],TblPurchases[BatchID],TblOutcomes[[#This Row],[BatchID]]))</f>
        <v>4605.5</v>
      </c>
      <c r="Q2227" s="51">
        <f>IF(COUNTIF(TblPurchases[BatchID],TblOutcomes[[#This Row],[BatchID]])&lt;&gt;1,"n.a.",SUMIFS(TblPurchases[Purchase Date],TblPurchases[BatchID],TblOutcomes[[#This Row],[BatchID]]))</f>
        <v>45212</v>
      </c>
    </row>
    <row r="2228" spans="2:17" x14ac:dyDescent="0.25">
      <c r="B2228" s="2" t="s">
        <v>3033</v>
      </c>
      <c r="C2228" s="2" t="s">
        <v>261</v>
      </c>
      <c r="D2228" s="2" t="s">
        <v>256</v>
      </c>
      <c r="E2228" s="2" t="s">
        <v>4647</v>
      </c>
      <c r="F2228" s="2">
        <v>7</v>
      </c>
      <c r="G2228" s="2">
        <v>7</v>
      </c>
      <c r="H2228" s="2">
        <v>0</v>
      </c>
      <c r="I2228" s="1">
        <v>0</v>
      </c>
      <c r="J2228" s="26">
        <v>45248</v>
      </c>
      <c r="K2228" s="22">
        <v>70000</v>
      </c>
      <c r="L2228" s="18">
        <v>74.87</v>
      </c>
      <c r="M2228" s="22">
        <v>52850</v>
      </c>
      <c r="N2228" s="22">
        <v>17150</v>
      </c>
      <c r="O2228" s="18">
        <v>18.34</v>
      </c>
      <c r="P2228" s="52">
        <f>IF(COUNTIF(TblPurchases[BatchID],TblOutcomes[[#This Row],[BatchID]])&lt;&gt;1,"n.a.",TblOutcomes[[#This Row],[Qty Wasted]]*SUMIFS(TblPurchases[Unit Cost (CLP)],TblPurchases[BatchID],TblOutcomes[[#This Row],[BatchID]]))</f>
        <v>0</v>
      </c>
      <c r="Q2228" s="51">
        <f>IF(COUNTIF(TblPurchases[BatchID],TblOutcomes[[#This Row],[BatchID]])&lt;&gt;1,"n.a.",SUMIFS(TblPurchases[Purchase Date],TblPurchases[BatchID],TblOutcomes[[#This Row],[BatchID]]))</f>
        <v>45237</v>
      </c>
    </row>
    <row r="2229" spans="2:17" x14ac:dyDescent="0.25">
      <c r="B2229" s="2" t="s">
        <v>3034</v>
      </c>
      <c r="C2229" s="2" t="s">
        <v>261</v>
      </c>
      <c r="D2229" s="2" t="s">
        <v>256</v>
      </c>
      <c r="E2229" s="2" t="s">
        <v>4646</v>
      </c>
      <c r="F2229" s="2">
        <v>7</v>
      </c>
      <c r="G2229" s="2">
        <v>6.56</v>
      </c>
      <c r="H2229" s="2">
        <v>0.44</v>
      </c>
      <c r="I2229" s="1">
        <v>6.3</v>
      </c>
      <c r="J2229" s="26">
        <v>45469</v>
      </c>
      <c r="K2229" s="22">
        <v>65600</v>
      </c>
      <c r="L2229" s="18">
        <v>70.16</v>
      </c>
      <c r="M2229" s="22">
        <v>52850</v>
      </c>
      <c r="N2229" s="22">
        <v>12750</v>
      </c>
      <c r="O2229" s="18">
        <v>13.64</v>
      </c>
      <c r="P2229" s="52">
        <f>IF(COUNTIF(TblPurchases[BatchID],TblOutcomes[[#This Row],[BatchID]])&lt;&gt;1,"n.a.",TblOutcomes[[#This Row],[Qty Wasted]]*SUMIFS(TblPurchases[Unit Cost (CLP)],TblPurchases[BatchID],TblOutcomes[[#This Row],[BatchID]]))</f>
        <v>3322</v>
      </c>
      <c r="Q2229" s="51">
        <f>IF(COUNTIF(TblPurchases[BatchID],TblOutcomes[[#This Row],[BatchID]])&lt;&gt;1,"n.a.",SUMIFS(TblPurchases[Purchase Date],TblPurchases[BatchID],TblOutcomes[[#This Row],[BatchID]]))</f>
        <v>45259</v>
      </c>
    </row>
    <row r="2230" spans="2:17" x14ac:dyDescent="0.25">
      <c r="B2230" s="2" t="s">
        <v>3035</v>
      </c>
      <c r="C2230" s="2" t="s">
        <v>261</v>
      </c>
      <c r="D2230" s="2" t="s">
        <v>256</v>
      </c>
      <c r="E2230" s="2" t="s">
        <v>4647</v>
      </c>
      <c r="F2230" s="2">
        <v>10</v>
      </c>
      <c r="G2230" s="2">
        <v>10</v>
      </c>
      <c r="H2230" s="2">
        <v>0</v>
      </c>
      <c r="I2230" s="1">
        <v>0</v>
      </c>
      <c r="J2230" s="26">
        <v>45304</v>
      </c>
      <c r="K2230" s="22">
        <v>100000</v>
      </c>
      <c r="L2230" s="18">
        <v>106.95</v>
      </c>
      <c r="M2230" s="22">
        <v>75500</v>
      </c>
      <c r="N2230" s="22">
        <v>24500</v>
      </c>
      <c r="O2230" s="18">
        <v>26.2</v>
      </c>
      <c r="P2230" s="52">
        <f>IF(COUNTIF(TblPurchases[BatchID],TblOutcomes[[#This Row],[BatchID]])&lt;&gt;1,"n.a.",TblOutcomes[[#This Row],[Qty Wasted]]*SUMIFS(TblPurchases[Unit Cost (CLP)],TblPurchases[BatchID],TblOutcomes[[#This Row],[BatchID]]))</f>
        <v>0</v>
      </c>
      <c r="Q2230" s="51">
        <f>IF(COUNTIF(TblPurchases[BatchID],TblOutcomes[[#This Row],[BatchID]])&lt;&gt;1,"n.a.",SUMIFS(TblPurchases[Purchase Date],TblPurchases[BatchID],TblOutcomes[[#This Row],[BatchID]]))</f>
        <v>45281</v>
      </c>
    </row>
    <row r="2231" spans="2:17" x14ac:dyDescent="0.25">
      <c r="B2231" s="2" t="s">
        <v>3036</v>
      </c>
      <c r="C2231" s="2" t="s">
        <v>261</v>
      </c>
      <c r="D2231" s="2" t="s">
        <v>256</v>
      </c>
      <c r="E2231" s="2" t="s">
        <v>4646</v>
      </c>
      <c r="F2231" s="2">
        <v>7</v>
      </c>
      <c r="G2231" s="2">
        <v>6.45</v>
      </c>
      <c r="H2231" s="2">
        <v>0.55000000000000004</v>
      </c>
      <c r="I2231" s="1">
        <v>7.9</v>
      </c>
      <c r="J2231" s="26">
        <v>45512</v>
      </c>
      <c r="K2231" s="22">
        <v>64500</v>
      </c>
      <c r="L2231" s="18">
        <v>68.98</v>
      </c>
      <c r="M2231" s="22">
        <v>52850</v>
      </c>
      <c r="N2231" s="22">
        <v>11650</v>
      </c>
      <c r="O2231" s="18">
        <v>12.46</v>
      </c>
      <c r="P2231" s="52">
        <f>IF(COUNTIF(TblPurchases[BatchID],TblOutcomes[[#This Row],[BatchID]])&lt;&gt;1,"n.a.",TblOutcomes[[#This Row],[Qty Wasted]]*SUMIFS(TblPurchases[Unit Cost (CLP)],TblPurchases[BatchID],TblOutcomes[[#This Row],[BatchID]]))</f>
        <v>4152.5</v>
      </c>
      <c r="Q2231" s="51">
        <f>IF(COUNTIF(TblPurchases[BatchID],TblOutcomes[[#This Row],[BatchID]])&lt;&gt;1,"n.a.",SUMIFS(TblPurchases[Purchase Date],TblPurchases[BatchID],TblOutcomes[[#This Row],[BatchID]]))</f>
        <v>45302</v>
      </c>
    </row>
    <row r="2232" spans="2:17" x14ac:dyDescent="0.25">
      <c r="B2232" s="2" t="s">
        <v>3037</v>
      </c>
      <c r="C2232" s="2" t="s">
        <v>261</v>
      </c>
      <c r="D2232" s="2" t="s">
        <v>256</v>
      </c>
      <c r="E2232" s="2" t="s">
        <v>4647</v>
      </c>
      <c r="F2232" s="2">
        <v>6</v>
      </c>
      <c r="G2232" s="2">
        <v>6</v>
      </c>
      <c r="H2232" s="2">
        <v>0</v>
      </c>
      <c r="I2232" s="1">
        <v>0</v>
      </c>
      <c r="J2232" s="26">
        <v>45346</v>
      </c>
      <c r="K2232" s="22">
        <v>60000</v>
      </c>
      <c r="L2232" s="18">
        <v>64.17</v>
      </c>
      <c r="M2232" s="22">
        <v>45300</v>
      </c>
      <c r="N2232" s="22">
        <v>14700</v>
      </c>
      <c r="O2232" s="18">
        <v>15.72</v>
      </c>
      <c r="P2232" s="52">
        <f>IF(COUNTIF(TblPurchases[BatchID],TblOutcomes[[#This Row],[BatchID]])&lt;&gt;1,"n.a.",TblOutcomes[[#This Row],[Qty Wasted]]*SUMIFS(TblPurchases[Unit Cost (CLP)],TblPurchases[BatchID],TblOutcomes[[#This Row],[BatchID]]))</f>
        <v>0</v>
      </c>
      <c r="Q2232" s="51">
        <f>IF(COUNTIF(TblPurchases[BatchID],TblOutcomes[[#This Row],[BatchID]])&lt;&gt;1,"n.a.",SUMIFS(TblPurchases[Purchase Date],TblPurchases[BatchID],TblOutcomes[[#This Row],[BatchID]]))</f>
        <v>45326</v>
      </c>
    </row>
    <row r="2233" spans="2:17" x14ac:dyDescent="0.25">
      <c r="B2233" s="2" t="s">
        <v>3038</v>
      </c>
      <c r="C2233" s="2" t="s">
        <v>261</v>
      </c>
      <c r="D2233" s="2" t="s">
        <v>256</v>
      </c>
      <c r="E2233" s="2" t="s">
        <v>4646</v>
      </c>
      <c r="F2233" s="2">
        <v>8</v>
      </c>
      <c r="G2233" s="2">
        <v>7.21</v>
      </c>
      <c r="H2233" s="2">
        <v>0.79</v>
      </c>
      <c r="I2233" s="1">
        <v>9.9</v>
      </c>
      <c r="J2233" s="26">
        <v>45557</v>
      </c>
      <c r="K2233" s="22">
        <v>72100</v>
      </c>
      <c r="L2233" s="18">
        <v>77.11</v>
      </c>
      <c r="M2233" s="22">
        <v>60400</v>
      </c>
      <c r="N2233" s="22">
        <v>11700</v>
      </c>
      <c r="O2233" s="18">
        <v>12.51</v>
      </c>
      <c r="P2233" s="52">
        <f>IF(COUNTIF(TblPurchases[BatchID],TblOutcomes[[#This Row],[BatchID]])&lt;&gt;1,"n.a.",TblOutcomes[[#This Row],[Qty Wasted]]*SUMIFS(TblPurchases[Unit Cost (CLP)],TblPurchases[BatchID],TblOutcomes[[#This Row],[BatchID]]))</f>
        <v>5964.5</v>
      </c>
      <c r="Q2233" s="51">
        <f>IF(COUNTIF(TblPurchases[BatchID],TblOutcomes[[#This Row],[BatchID]])&lt;&gt;1,"n.a.",SUMIFS(TblPurchases[Purchase Date],TblPurchases[BatchID],TblOutcomes[[#This Row],[BatchID]]))</f>
        <v>45347</v>
      </c>
    </row>
    <row r="2234" spans="2:17" x14ac:dyDescent="0.25">
      <c r="B2234" s="2" t="s">
        <v>3039</v>
      </c>
      <c r="C2234" s="2" t="s">
        <v>261</v>
      </c>
      <c r="D2234" s="2" t="s">
        <v>256</v>
      </c>
      <c r="E2234" s="2" t="s">
        <v>4647</v>
      </c>
      <c r="F2234" s="2">
        <v>6</v>
      </c>
      <c r="G2234" s="2">
        <v>6</v>
      </c>
      <c r="H2234" s="2">
        <v>0</v>
      </c>
      <c r="I2234" s="1">
        <v>0</v>
      </c>
      <c r="J2234" s="26">
        <v>45381</v>
      </c>
      <c r="K2234" s="22">
        <v>60000</v>
      </c>
      <c r="L2234" s="18">
        <v>64.17</v>
      </c>
      <c r="M2234" s="22">
        <v>45900</v>
      </c>
      <c r="N2234" s="22">
        <v>14100</v>
      </c>
      <c r="O2234" s="18">
        <v>15.08</v>
      </c>
      <c r="P2234" s="52">
        <f>IF(COUNTIF(TblPurchases[BatchID],TblOutcomes[[#This Row],[BatchID]])&lt;&gt;1,"n.a.",TblOutcomes[[#This Row],[Qty Wasted]]*SUMIFS(TblPurchases[Unit Cost (CLP)],TblPurchases[BatchID],TblOutcomes[[#This Row],[BatchID]]))</f>
        <v>0</v>
      </c>
      <c r="Q2234" s="51">
        <f>IF(COUNTIF(TblPurchases[BatchID],TblOutcomes[[#This Row],[BatchID]])&lt;&gt;1,"n.a.",SUMIFS(TblPurchases[Purchase Date],TblPurchases[BatchID],TblOutcomes[[#This Row],[BatchID]]))</f>
        <v>45366</v>
      </c>
    </row>
    <row r="2235" spans="2:17" x14ac:dyDescent="0.25">
      <c r="B2235" s="2" t="s">
        <v>3040</v>
      </c>
      <c r="C2235" s="2" t="s">
        <v>261</v>
      </c>
      <c r="D2235" s="2" t="s">
        <v>256</v>
      </c>
      <c r="E2235" s="2" t="s">
        <v>4646</v>
      </c>
      <c r="F2235" s="2">
        <v>8</v>
      </c>
      <c r="G2235" s="2">
        <v>7.48</v>
      </c>
      <c r="H2235" s="2">
        <v>0.52</v>
      </c>
      <c r="I2235" s="1">
        <v>6.5</v>
      </c>
      <c r="J2235" s="26">
        <v>45588</v>
      </c>
      <c r="K2235" s="22">
        <v>74800</v>
      </c>
      <c r="L2235" s="18">
        <v>80</v>
      </c>
      <c r="M2235" s="22">
        <v>60400</v>
      </c>
      <c r="N2235" s="22">
        <v>14400</v>
      </c>
      <c r="O2235" s="18">
        <v>15.4</v>
      </c>
      <c r="P2235" s="52">
        <f>IF(COUNTIF(TblPurchases[BatchID],TblOutcomes[[#This Row],[BatchID]])&lt;&gt;1,"n.a.",TblOutcomes[[#This Row],[Qty Wasted]]*SUMIFS(TblPurchases[Unit Cost (CLP)],TblPurchases[BatchID],TblOutcomes[[#This Row],[BatchID]]))</f>
        <v>3926</v>
      </c>
      <c r="Q2235" s="51">
        <f>IF(COUNTIF(TblPurchases[BatchID],TblOutcomes[[#This Row],[BatchID]])&lt;&gt;1,"n.a.",SUMIFS(TblPurchases[Purchase Date],TblPurchases[BatchID],TblOutcomes[[#This Row],[BatchID]]))</f>
        <v>45378</v>
      </c>
    </row>
    <row r="2236" spans="2:17" x14ac:dyDescent="0.25">
      <c r="B2236" s="2" t="s">
        <v>3041</v>
      </c>
      <c r="C2236" s="2" t="s">
        <v>261</v>
      </c>
      <c r="D2236" s="2" t="s">
        <v>256</v>
      </c>
      <c r="E2236" s="2" t="s">
        <v>4647</v>
      </c>
      <c r="F2236" s="2">
        <v>20</v>
      </c>
      <c r="G2236" s="2">
        <v>20</v>
      </c>
      <c r="H2236" s="2">
        <v>0</v>
      </c>
      <c r="I2236" s="1">
        <v>0</v>
      </c>
      <c r="J2236" s="26">
        <v>45411</v>
      </c>
      <c r="K2236" s="22">
        <v>200000</v>
      </c>
      <c r="L2236" s="18">
        <v>213.9</v>
      </c>
      <c r="M2236" s="22">
        <v>151000</v>
      </c>
      <c r="N2236" s="22">
        <v>49000</v>
      </c>
      <c r="O2236" s="18">
        <v>52.41</v>
      </c>
      <c r="P2236" s="52">
        <f>IF(COUNTIF(TblPurchases[BatchID],TblOutcomes[[#This Row],[BatchID]])&lt;&gt;1,"n.a.",TblOutcomes[[#This Row],[Qty Wasted]]*SUMIFS(TblPurchases[Unit Cost (CLP)],TblPurchases[BatchID],TblOutcomes[[#This Row],[BatchID]]))</f>
        <v>0</v>
      </c>
      <c r="Q2236" s="51">
        <f>IF(COUNTIF(TblPurchases[BatchID],TblOutcomes[[#This Row],[BatchID]])&lt;&gt;1,"n.a.",SUMIFS(TblPurchases[Purchase Date],TblPurchases[BatchID],TblOutcomes[[#This Row],[BatchID]]))</f>
        <v>45400</v>
      </c>
    </row>
    <row r="2237" spans="2:17" x14ac:dyDescent="0.25">
      <c r="B2237" s="2" t="s">
        <v>3042</v>
      </c>
      <c r="C2237" s="2" t="s">
        <v>261</v>
      </c>
      <c r="D2237" s="2" t="s">
        <v>256</v>
      </c>
      <c r="E2237" s="2" t="s">
        <v>4647</v>
      </c>
      <c r="F2237" s="2">
        <v>21</v>
      </c>
      <c r="G2237" s="2">
        <v>21</v>
      </c>
      <c r="H2237" s="2">
        <v>0</v>
      </c>
      <c r="I2237" s="1">
        <v>0</v>
      </c>
      <c r="J2237" s="26">
        <v>45442</v>
      </c>
      <c r="K2237" s="22">
        <v>210000</v>
      </c>
      <c r="L2237" s="18">
        <v>224.6</v>
      </c>
      <c r="M2237" s="22">
        <v>158550</v>
      </c>
      <c r="N2237" s="22">
        <v>51450</v>
      </c>
      <c r="O2237" s="18">
        <v>55.03</v>
      </c>
      <c r="P2237" s="52">
        <f>IF(COUNTIF(TblPurchases[BatchID],TblOutcomes[[#This Row],[BatchID]])&lt;&gt;1,"n.a.",TblOutcomes[[#This Row],[Qty Wasted]]*SUMIFS(TblPurchases[Unit Cost (CLP)],TblPurchases[BatchID],TblOutcomes[[#This Row],[BatchID]]))</f>
        <v>0</v>
      </c>
      <c r="Q2237" s="51">
        <f>IF(COUNTIF(TblPurchases[BatchID],TblOutcomes[[#This Row],[BatchID]])&lt;&gt;1,"n.a.",SUMIFS(TblPurchases[Purchase Date],TblPurchases[BatchID],TblOutcomes[[#This Row],[BatchID]]))</f>
        <v>45426</v>
      </c>
    </row>
    <row r="2238" spans="2:17" x14ac:dyDescent="0.25">
      <c r="B2238" s="2" t="s">
        <v>3043</v>
      </c>
      <c r="C2238" s="2" t="s">
        <v>261</v>
      </c>
      <c r="D2238" s="2" t="s">
        <v>256</v>
      </c>
      <c r="E2238" s="2" t="s">
        <v>4646</v>
      </c>
      <c r="F2238" s="2">
        <v>19</v>
      </c>
      <c r="G2238" s="2">
        <v>17.48</v>
      </c>
      <c r="H2238" s="2">
        <v>1.52</v>
      </c>
      <c r="I2238" s="1">
        <v>8</v>
      </c>
      <c r="J2238" s="26">
        <v>45656</v>
      </c>
      <c r="K2238" s="22">
        <v>174800</v>
      </c>
      <c r="L2238" s="18">
        <v>186.95</v>
      </c>
      <c r="M2238" s="22">
        <v>143450</v>
      </c>
      <c r="N2238" s="22">
        <v>31350</v>
      </c>
      <c r="O2238" s="18">
        <v>33.53</v>
      </c>
      <c r="P2238" s="52">
        <f>IF(COUNTIF(TblPurchases[BatchID],TblOutcomes[[#This Row],[BatchID]])&lt;&gt;1,"n.a.",TblOutcomes[[#This Row],[Qty Wasted]]*SUMIFS(TblPurchases[Unit Cost (CLP)],TblPurchases[BatchID],TblOutcomes[[#This Row],[BatchID]]))</f>
        <v>11476</v>
      </c>
      <c r="Q2238" s="51">
        <f>IF(COUNTIF(TblPurchases[BatchID],TblOutcomes[[#This Row],[BatchID]])&lt;&gt;1,"n.a.",SUMIFS(TblPurchases[Purchase Date],TblPurchases[BatchID],TblOutcomes[[#This Row],[BatchID]]))</f>
        <v>45446</v>
      </c>
    </row>
    <row r="2239" spans="2:17" x14ac:dyDescent="0.25">
      <c r="B2239" s="2" t="s">
        <v>3044</v>
      </c>
      <c r="C2239" s="2" t="s">
        <v>261</v>
      </c>
      <c r="D2239" s="2" t="s">
        <v>256</v>
      </c>
      <c r="E2239" s="2" t="s">
        <v>4647</v>
      </c>
      <c r="F2239" s="2">
        <v>19</v>
      </c>
      <c r="G2239" s="2">
        <v>19</v>
      </c>
      <c r="H2239" s="2">
        <v>0</v>
      </c>
      <c r="I2239" s="1">
        <v>0</v>
      </c>
      <c r="J2239" s="26">
        <v>45480</v>
      </c>
      <c r="K2239" s="22">
        <v>190000</v>
      </c>
      <c r="L2239" s="18">
        <v>203.21</v>
      </c>
      <c r="M2239" s="22">
        <v>143450</v>
      </c>
      <c r="N2239" s="22">
        <v>46550</v>
      </c>
      <c r="O2239" s="18">
        <v>49.79</v>
      </c>
      <c r="P2239" s="52">
        <f>IF(COUNTIF(TblPurchases[BatchID],TblOutcomes[[#This Row],[BatchID]])&lt;&gt;1,"n.a.",TblOutcomes[[#This Row],[Qty Wasted]]*SUMIFS(TblPurchases[Unit Cost (CLP)],TblPurchases[BatchID],TblOutcomes[[#This Row],[BatchID]]))</f>
        <v>0</v>
      </c>
      <c r="Q2239" s="51">
        <f>IF(COUNTIF(TblPurchases[BatchID],TblOutcomes[[#This Row],[BatchID]])&lt;&gt;1,"n.a.",SUMIFS(TblPurchases[Purchase Date],TblPurchases[BatchID],TblOutcomes[[#This Row],[BatchID]]))</f>
        <v>45462</v>
      </c>
    </row>
    <row r="2240" spans="2:17" x14ac:dyDescent="0.25">
      <c r="B2240" s="2" t="s">
        <v>3045</v>
      </c>
      <c r="C2240" s="2" t="s">
        <v>261</v>
      </c>
      <c r="D2240" s="2" t="s">
        <v>256</v>
      </c>
      <c r="E2240" s="2" t="s">
        <v>4646</v>
      </c>
      <c r="F2240" s="2">
        <v>20</v>
      </c>
      <c r="G2240" s="2">
        <v>18.84</v>
      </c>
      <c r="H2240" s="2">
        <v>1.1599999999999999</v>
      </c>
      <c r="I2240" s="1">
        <v>5.8</v>
      </c>
      <c r="J2240" s="26">
        <v>45688</v>
      </c>
      <c r="K2240" s="22">
        <v>188400</v>
      </c>
      <c r="L2240" s="18">
        <v>201.5</v>
      </c>
      <c r="M2240" s="22">
        <v>151000</v>
      </c>
      <c r="N2240" s="22">
        <v>37400</v>
      </c>
      <c r="O2240" s="18">
        <v>40</v>
      </c>
      <c r="P2240" s="52">
        <f>IF(COUNTIF(TblPurchases[BatchID],TblOutcomes[[#This Row],[BatchID]])&lt;&gt;1,"n.a.",TblOutcomes[[#This Row],[Qty Wasted]]*SUMIFS(TblPurchases[Unit Cost (CLP)],TblPurchases[BatchID],TblOutcomes[[#This Row],[BatchID]]))</f>
        <v>8758</v>
      </c>
      <c r="Q2240" s="51">
        <f>IF(COUNTIF(TblPurchases[BatchID],TblOutcomes[[#This Row],[BatchID]])&lt;&gt;1,"n.a.",SUMIFS(TblPurchases[Purchase Date],TblPurchases[BatchID],TblOutcomes[[#This Row],[BatchID]]))</f>
        <v>45478</v>
      </c>
    </row>
    <row r="2241" spans="2:17" x14ac:dyDescent="0.25">
      <c r="B2241" s="2" t="s">
        <v>3046</v>
      </c>
      <c r="C2241" s="2" t="s">
        <v>261</v>
      </c>
      <c r="D2241" s="2" t="s">
        <v>256</v>
      </c>
      <c r="E2241" s="2" t="s">
        <v>4647</v>
      </c>
      <c r="F2241" s="2">
        <v>18</v>
      </c>
      <c r="G2241" s="2">
        <v>18</v>
      </c>
      <c r="H2241" s="2">
        <v>0</v>
      </c>
      <c r="I2241" s="1">
        <v>0</v>
      </c>
      <c r="J2241" s="26">
        <v>45516</v>
      </c>
      <c r="K2241" s="22">
        <v>180000</v>
      </c>
      <c r="L2241" s="18">
        <v>192.51</v>
      </c>
      <c r="M2241" s="22">
        <v>135900</v>
      </c>
      <c r="N2241" s="22">
        <v>44100</v>
      </c>
      <c r="O2241" s="18">
        <v>47.17</v>
      </c>
      <c r="P2241" s="52">
        <f>IF(COUNTIF(TblPurchases[BatchID],TblOutcomes[[#This Row],[BatchID]])&lt;&gt;1,"n.a.",TblOutcomes[[#This Row],[Qty Wasted]]*SUMIFS(TblPurchases[Unit Cost (CLP)],TblPurchases[BatchID],TblOutcomes[[#This Row],[BatchID]]))</f>
        <v>0</v>
      </c>
      <c r="Q2241" s="51">
        <f>IF(COUNTIF(TblPurchases[BatchID],TblOutcomes[[#This Row],[BatchID]])&lt;&gt;1,"n.a.",SUMIFS(TblPurchases[Purchase Date],TblPurchases[BatchID],TblOutcomes[[#This Row],[BatchID]]))</f>
        <v>45500</v>
      </c>
    </row>
    <row r="2242" spans="2:17" x14ac:dyDescent="0.25">
      <c r="B2242" s="2" t="s">
        <v>3047</v>
      </c>
      <c r="C2242" s="2" t="s">
        <v>261</v>
      </c>
      <c r="D2242" s="2" t="s">
        <v>256</v>
      </c>
      <c r="E2242" s="2" t="s">
        <v>4646</v>
      </c>
      <c r="F2242" s="2">
        <v>17</v>
      </c>
      <c r="G2242" s="2">
        <v>15.83</v>
      </c>
      <c r="H2242" s="2">
        <v>1.17</v>
      </c>
      <c r="I2242" s="1">
        <v>6.9</v>
      </c>
      <c r="J2242" s="26">
        <v>45729</v>
      </c>
      <c r="K2242" s="22">
        <v>158300</v>
      </c>
      <c r="L2242" s="18">
        <v>169.3</v>
      </c>
      <c r="M2242" s="22">
        <v>128350</v>
      </c>
      <c r="N2242" s="22">
        <v>29950</v>
      </c>
      <c r="O2242" s="18">
        <v>32.03</v>
      </c>
      <c r="P2242" s="52">
        <f>IF(COUNTIF(TblPurchases[BatchID],TblOutcomes[[#This Row],[BatchID]])&lt;&gt;1,"n.a.",TblOutcomes[[#This Row],[Qty Wasted]]*SUMIFS(TblPurchases[Unit Cost (CLP)],TblPurchases[BatchID],TblOutcomes[[#This Row],[BatchID]]))</f>
        <v>8833.5</v>
      </c>
      <c r="Q2242" s="51">
        <f>IF(COUNTIF(TblPurchases[BatchID],TblOutcomes[[#This Row],[BatchID]])&lt;&gt;1,"n.a.",SUMIFS(TblPurchases[Purchase Date],TblPurchases[BatchID],TblOutcomes[[#This Row],[BatchID]]))</f>
        <v>45519</v>
      </c>
    </row>
    <row r="2243" spans="2:17" x14ac:dyDescent="0.25">
      <c r="B2243" s="2" t="s">
        <v>3048</v>
      </c>
      <c r="C2243" s="2" t="s">
        <v>261</v>
      </c>
      <c r="D2243" s="2" t="s">
        <v>256</v>
      </c>
      <c r="E2243" s="2" t="s">
        <v>4647</v>
      </c>
      <c r="F2243" s="2">
        <v>26</v>
      </c>
      <c r="G2243" s="2">
        <v>26</v>
      </c>
      <c r="H2243" s="2">
        <v>0</v>
      </c>
      <c r="I2243" s="1">
        <v>0</v>
      </c>
      <c r="J2243" s="26">
        <v>45557</v>
      </c>
      <c r="K2243" s="22">
        <v>260000</v>
      </c>
      <c r="L2243" s="18">
        <v>278.07</v>
      </c>
      <c r="M2243" s="22">
        <v>196300</v>
      </c>
      <c r="N2243" s="22">
        <v>63700</v>
      </c>
      <c r="O2243" s="18">
        <v>68.13</v>
      </c>
      <c r="P2243" s="52">
        <f>IF(COUNTIF(TblPurchases[BatchID],TblOutcomes[[#This Row],[BatchID]])&lt;&gt;1,"n.a.",TblOutcomes[[#This Row],[Qty Wasted]]*SUMIFS(TblPurchases[Unit Cost (CLP)],TblPurchases[BatchID],TblOutcomes[[#This Row],[BatchID]]))</f>
        <v>0</v>
      </c>
      <c r="Q2243" s="51">
        <f>IF(COUNTIF(TblPurchases[BatchID],TblOutcomes[[#This Row],[BatchID]])&lt;&gt;1,"n.a.",SUMIFS(TblPurchases[Purchase Date],TblPurchases[BatchID],TblOutcomes[[#This Row],[BatchID]]))</f>
        <v>45539</v>
      </c>
    </row>
    <row r="2244" spans="2:17" x14ac:dyDescent="0.25">
      <c r="B2244" s="2" t="s">
        <v>3049</v>
      </c>
      <c r="C2244" s="2" t="s">
        <v>261</v>
      </c>
      <c r="D2244" s="2" t="s">
        <v>256</v>
      </c>
      <c r="E2244" s="2" t="s">
        <v>4647</v>
      </c>
      <c r="F2244" s="2">
        <v>21</v>
      </c>
      <c r="G2244" s="2">
        <v>21</v>
      </c>
      <c r="H2244" s="2">
        <v>0</v>
      </c>
      <c r="I2244" s="1">
        <v>0</v>
      </c>
      <c r="J2244" s="26">
        <v>45584</v>
      </c>
      <c r="K2244" s="22">
        <v>210000</v>
      </c>
      <c r="L2244" s="18">
        <v>224.6</v>
      </c>
      <c r="M2244" s="22">
        <v>158550</v>
      </c>
      <c r="N2244" s="22">
        <v>51450</v>
      </c>
      <c r="O2244" s="18">
        <v>55.03</v>
      </c>
      <c r="P2244" s="52">
        <f>IF(COUNTIF(TblPurchases[BatchID],TblOutcomes[[#This Row],[BatchID]])&lt;&gt;1,"n.a.",TblOutcomes[[#This Row],[Qty Wasted]]*SUMIFS(TblPurchases[Unit Cost (CLP)],TblPurchases[BatchID],TblOutcomes[[#This Row],[BatchID]]))</f>
        <v>0</v>
      </c>
      <c r="Q2244" s="51">
        <f>IF(COUNTIF(TblPurchases[BatchID],TblOutcomes[[#This Row],[BatchID]])&lt;&gt;1,"n.a.",SUMIFS(TblPurchases[Purchase Date],TblPurchases[BatchID],TblOutcomes[[#This Row],[BatchID]]))</f>
        <v>45563</v>
      </c>
    </row>
    <row r="2245" spans="2:17" x14ac:dyDescent="0.25">
      <c r="B2245" s="2" t="s">
        <v>3050</v>
      </c>
      <c r="C2245" s="2" t="s">
        <v>261</v>
      </c>
      <c r="D2245" s="2" t="s">
        <v>256</v>
      </c>
      <c r="E2245" s="2" t="s">
        <v>4647</v>
      </c>
      <c r="F2245" s="2">
        <v>7</v>
      </c>
      <c r="G2245" s="2">
        <v>7</v>
      </c>
      <c r="H2245" s="2">
        <v>0</v>
      </c>
      <c r="I2245" s="1">
        <v>0</v>
      </c>
      <c r="J2245" s="26">
        <v>45598</v>
      </c>
      <c r="K2245" s="22">
        <v>70000</v>
      </c>
      <c r="L2245" s="18">
        <v>74.87</v>
      </c>
      <c r="M2245" s="22">
        <v>52850</v>
      </c>
      <c r="N2245" s="22">
        <v>17150</v>
      </c>
      <c r="O2245" s="18">
        <v>18.34</v>
      </c>
      <c r="P2245" s="52">
        <f>IF(COUNTIF(TblPurchases[BatchID],TblOutcomes[[#This Row],[BatchID]])&lt;&gt;1,"n.a.",TblOutcomes[[#This Row],[Qty Wasted]]*SUMIFS(TblPurchases[Unit Cost (CLP)],TblPurchases[BatchID],TblOutcomes[[#This Row],[BatchID]]))</f>
        <v>0</v>
      </c>
      <c r="Q2245" s="51">
        <f>IF(COUNTIF(TblPurchases[BatchID],TblOutcomes[[#This Row],[BatchID]])&lt;&gt;1,"n.a.",SUMIFS(TblPurchases[Purchase Date],TblPurchases[BatchID],TblOutcomes[[#This Row],[BatchID]]))</f>
        <v>45581</v>
      </c>
    </row>
    <row r="2246" spans="2:17" x14ac:dyDescent="0.25">
      <c r="B2246" s="2" t="s">
        <v>3051</v>
      </c>
      <c r="C2246" s="2" t="s">
        <v>261</v>
      </c>
      <c r="D2246" s="2" t="s">
        <v>256</v>
      </c>
      <c r="E2246" s="2" t="s">
        <v>4647</v>
      </c>
      <c r="F2246" s="2">
        <v>7</v>
      </c>
      <c r="G2246" s="2">
        <v>7</v>
      </c>
      <c r="H2246" s="2">
        <v>0</v>
      </c>
      <c r="I2246" s="1">
        <v>0</v>
      </c>
      <c r="J2246" s="26">
        <v>45620</v>
      </c>
      <c r="K2246" s="22">
        <v>70000</v>
      </c>
      <c r="L2246" s="18">
        <v>74.87</v>
      </c>
      <c r="M2246" s="22">
        <v>52850</v>
      </c>
      <c r="N2246" s="22">
        <v>17150</v>
      </c>
      <c r="O2246" s="18">
        <v>18.34</v>
      </c>
      <c r="P2246" s="52">
        <f>IF(COUNTIF(TblPurchases[BatchID],TblOutcomes[[#This Row],[BatchID]])&lt;&gt;1,"n.a.",TblOutcomes[[#This Row],[Qty Wasted]]*SUMIFS(TblPurchases[Unit Cost (CLP)],TblPurchases[BatchID],TblOutcomes[[#This Row],[BatchID]]))</f>
        <v>0</v>
      </c>
      <c r="Q2246" s="51">
        <f>IF(COUNTIF(TblPurchases[BatchID],TblOutcomes[[#This Row],[BatchID]])&lt;&gt;1,"n.a.",SUMIFS(TblPurchases[Purchase Date],TblPurchases[BatchID],TblOutcomes[[#This Row],[BatchID]]))</f>
        <v>45600</v>
      </c>
    </row>
    <row r="2247" spans="2:17" x14ac:dyDescent="0.25">
      <c r="B2247" s="2" t="s">
        <v>3052</v>
      </c>
      <c r="C2247" s="2" t="s">
        <v>261</v>
      </c>
      <c r="D2247" s="2" t="s">
        <v>256</v>
      </c>
      <c r="E2247" s="2" t="s">
        <v>4647</v>
      </c>
      <c r="F2247" s="2">
        <v>7</v>
      </c>
      <c r="G2247" s="2">
        <v>7</v>
      </c>
      <c r="H2247" s="2">
        <v>0</v>
      </c>
      <c r="I2247" s="1">
        <v>0</v>
      </c>
      <c r="J2247" s="26">
        <v>45635</v>
      </c>
      <c r="K2247" s="22">
        <v>70000</v>
      </c>
      <c r="L2247" s="18">
        <v>74.87</v>
      </c>
      <c r="M2247" s="22">
        <v>52850</v>
      </c>
      <c r="N2247" s="22">
        <v>17150</v>
      </c>
      <c r="O2247" s="18">
        <v>18.34</v>
      </c>
      <c r="P2247" s="52">
        <f>IF(COUNTIF(TblPurchases[BatchID],TblOutcomes[[#This Row],[BatchID]])&lt;&gt;1,"n.a.",TblOutcomes[[#This Row],[Qty Wasted]]*SUMIFS(TblPurchases[Unit Cost (CLP)],TblPurchases[BatchID],TblOutcomes[[#This Row],[BatchID]]))</f>
        <v>0</v>
      </c>
      <c r="Q2247" s="51">
        <f>IF(COUNTIF(TblPurchases[BatchID],TblOutcomes[[#This Row],[BatchID]])&lt;&gt;1,"n.a.",SUMIFS(TblPurchases[Purchase Date],TblPurchases[BatchID],TblOutcomes[[#This Row],[BatchID]]))</f>
        <v>45621</v>
      </c>
    </row>
    <row r="2248" spans="2:17" x14ac:dyDescent="0.25">
      <c r="B2248" s="2" t="s">
        <v>3053</v>
      </c>
      <c r="C2248" s="2" t="s">
        <v>261</v>
      </c>
      <c r="D2248" s="2" t="s">
        <v>256</v>
      </c>
      <c r="E2248" s="2" t="s">
        <v>4646</v>
      </c>
      <c r="F2248" s="2">
        <v>8</v>
      </c>
      <c r="G2248" s="2">
        <v>7.53</v>
      </c>
      <c r="H2248" s="2">
        <v>0.47</v>
      </c>
      <c r="I2248" s="1">
        <v>5.9</v>
      </c>
      <c r="J2248" s="26">
        <v>45854</v>
      </c>
      <c r="K2248" s="22">
        <v>75300</v>
      </c>
      <c r="L2248" s="18">
        <v>80.53</v>
      </c>
      <c r="M2248" s="22">
        <v>60400</v>
      </c>
      <c r="N2248" s="22">
        <v>14900</v>
      </c>
      <c r="O2248" s="18">
        <v>15.94</v>
      </c>
      <c r="P2248" s="52">
        <f>IF(COUNTIF(TblPurchases[BatchID],TblOutcomes[[#This Row],[BatchID]])&lt;&gt;1,"n.a.",TblOutcomes[[#This Row],[Qty Wasted]]*SUMIFS(TblPurchases[Unit Cost (CLP)],TblPurchases[BatchID],TblOutcomes[[#This Row],[BatchID]]))</f>
        <v>3548.5</v>
      </c>
      <c r="Q2248" s="51">
        <f>IF(COUNTIF(TblPurchases[BatchID],TblOutcomes[[#This Row],[BatchID]])&lt;&gt;1,"n.a.",SUMIFS(TblPurchases[Purchase Date],TblPurchases[BatchID],TblOutcomes[[#This Row],[BatchID]]))</f>
        <v>45644</v>
      </c>
    </row>
    <row r="2249" spans="2:17" x14ac:dyDescent="0.25">
      <c r="B2249" s="2" t="s">
        <v>3054</v>
      </c>
      <c r="C2249" s="2" t="s">
        <v>261</v>
      </c>
      <c r="D2249" s="2" t="s">
        <v>256</v>
      </c>
      <c r="E2249" s="2" t="s">
        <v>4646</v>
      </c>
      <c r="F2249" s="2">
        <v>7</v>
      </c>
      <c r="G2249" s="2">
        <v>6.42</v>
      </c>
      <c r="H2249" s="2">
        <v>0.57999999999999996</v>
      </c>
      <c r="I2249" s="1">
        <v>8.3000000000000007</v>
      </c>
      <c r="J2249" s="26">
        <v>45875</v>
      </c>
      <c r="K2249" s="22">
        <v>64200</v>
      </c>
      <c r="L2249" s="18">
        <v>68.66</v>
      </c>
      <c r="M2249" s="22">
        <v>52850</v>
      </c>
      <c r="N2249" s="22">
        <v>11350</v>
      </c>
      <c r="O2249" s="18">
        <v>12.14</v>
      </c>
      <c r="P2249" s="52">
        <f>IF(COUNTIF(TblPurchases[BatchID],TblOutcomes[[#This Row],[BatchID]])&lt;&gt;1,"n.a.",TblOutcomes[[#This Row],[Qty Wasted]]*SUMIFS(TblPurchases[Unit Cost (CLP)],TblPurchases[BatchID],TblOutcomes[[#This Row],[BatchID]]))</f>
        <v>4379</v>
      </c>
      <c r="Q2249" s="51">
        <f>IF(COUNTIF(TblPurchases[BatchID],TblOutcomes[[#This Row],[BatchID]])&lt;&gt;1,"n.a.",SUMIFS(TblPurchases[Purchase Date],TblPurchases[BatchID],TblOutcomes[[#This Row],[BatchID]]))</f>
        <v>45665</v>
      </c>
    </row>
    <row r="2250" spans="2:17" x14ac:dyDescent="0.25">
      <c r="B2250" s="2" t="s">
        <v>3055</v>
      </c>
      <c r="C2250" s="2" t="s">
        <v>261</v>
      </c>
      <c r="D2250" s="2" t="s">
        <v>256</v>
      </c>
      <c r="E2250" s="2" t="s">
        <v>4646</v>
      </c>
      <c r="F2250" s="2">
        <v>8</v>
      </c>
      <c r="G2250" s="2">
        <v>7.17</v>
      </c>
      <c r="H2250" s="2">
        <v>0.83</v>
      </c>
      <c r="I2250" s="1">
        <v>10.4</v>
      </c>
      <c r="J2250" s="26">
        <v>45898</v>
      </c>
      <c r="K2250" s="22">
        <v>71700</v>
      </c>
      <c r="L2250" s="18">
        <v>76.680000000000007</v>
      </c>
      <c r="M2250" s="22">
        <v>60400</v>
      </c>
      <c r="N2250" s="22">
        <v>11300</v>
      </c>
      <c r="O2250" s="18">
        <v>12.09</v>
      </c>
      <c r="P2250" s="52">
        <f>IF(COUNTIF(TblPurchases[BatchID],TblOutcomes[[#This Row],[BatchID]])&lt;&gt;1,"n.a.",TblOutcomes[[#This Row],[Qty Wasted]]*SUMIFS(TblPurchases[Unit Cost (CLP)],TblPurchases[BatchID],TblOutcomes[[#This Row],[BatchID]]))</f>
        <v>6266.5</v>
      </c>
      <c r="Q2250" s="51">
        <f>IF(COUNTIF(TblPurchases[BatchID],TblOutcomes[[#This Row],[BatchID]])&lt;&gt;1,"n.a.",SUMIFS(TblPurchases[Purchase Date],TblPurchases[BatchID],TblOutcomes[[#This Row],[BatchID]]))</f>
        <v>45688</v>
      </c>
    </row>
    <row r="2251" spans="2:17" x14ac:dyDescent="0.25">
      <c r="B2251" s="2" t="s">
        <v>3056</v>
      </c>
      <c r="C2251" s="2" t="s">
        <v>261</v>
      </c>
      <c r="D2251" s="2" t="s">
        <v>256</v>
      </c>
      <c r="E2251" s="2" t="s">
        <v>4646</v>
      </c>
      <c r="F2251" s="2">
        <v>7</v>
      </c>
      <c r="G2251" s="2">
        <v>6.34</v>
      </c>
      <c r="H2251" s="2">
        <v>0.66</v>
      </c>
      <c r="I2251" s="1">
        <v>9.4</v>
      </c>
      <c r="J2251" s="26">
        <v>45917</v>
      </c>
      <c r="K2251" s="22">
        <v>63400</v>
      </c>
      <c r="L2251" s="18">
        <v>67.81</v>
      </c>
      <c r="M2251" s="22">
        <v>52850</v>
      </c>
      <c r="N2251" s="22">
        <v>10550</v>
      </c>
      <c r="O2251" s="18">
        <v>11.28</v>
      </c>
      <c r="P2251" s="52">
        <f>IF(COUNTIF(TblPurchases[BatchID],TblOutcomes[[#This Row],[BatchID]])&lt;&gt;1,"n.a.",TblOutcomes[[#This Row],[Qty Wasted]]*SUMIFS(TblPurchases[Unit Cost (CLP)],TblPurchases[BatchID],TblOutcomes[[#This Row],[BatchID]]))</f>
        <v>4983</v>
      </c>
      <c r="Q2251" s="51">
        <f>IF(COUNTIF(TblPurchases[BatchID],TblOutcomes[[#This Row],[BatchID]])&lt;&gt;1,"n.a.",SUMIFS(TblPurchases[Purchase Date],TblPurchases[BatchID],TblOutcomes[[#This Row],[BatchID]]))</f>
        <v>45707</v>
      </c>
    </row>
    <row r="2252" spans="2:17" x14ac:dyDescent="0.25">
      <c r="B2252" s="2" t="s">
        <v>3057</v>
      </c>
      <c r="C2252" s="2" t="s">
        <v>261</v>
      </c>
      <c r="D2252" s="2" t="s">
        <v>256</v>
      </c>
      <c r="E2252" s="2" t="s">
        <v>4646</v>
      </c>
      <c r="F2252" s="2">
        <v>9</v>
      </c>
      <c r="G2252" s="2">
        <v>8.09</v>
      </c>
      <c r="H2252" s="2">
        <v>0.91</v>
      </c>
      <c r="I2252" s="1">
        <v>10.1</v>
      </c>
      <c r="J2252" s="26">
        <v>45940</v>
      </c>
      <c r="K2252" s="22">
        <v>80900</v>
      </c>
      <c r="L2252" s="18">
        <v>86.52</v>
      </c>
      <c r="M2252" s="22">
        <v>67950</v>
      </c>
      <c r="N2252" s="22">
        <v>12950</v>
      </c>
      <c r="O2252" s="18">
        <v>13.85</v>
      </c>
      <c r="P2252" s="52">
        <f>IF(COUNTIF(TblPurchases[BatchID],TblOutcomes[[#This Row],[BatchID]])&lt;&gt;1,"n.a.",TblOutcomes[[#This Row],[Qty Wasted]]*SUMIFS(TblPurchases[Unit Cost (CLP)],TblPurchases[BatchID],TblOutcomes[[#This Row],[BatchID]]))</f>
        <v>6870.5</v>
      </c>
      <c r="Q2252" s="51">
        <f>IF(COUNTIF(TblPurchases[BatchID],TblOutcomes[[#This Row],[BatchID]])&lt;&gt;1,"n.a.",SUMIFS(TblPurchases[Purchase Date],TblPurchases[BatchID],TblOutcomes[[#This Row],[BatchID]]))</f>
        <v>45730</v>
      </c>
    </row>
    <row r="2253" spans="2:17" x14ac:dyDescent="0.25">
      <c r="B2253" s="2" t="s">
        <v>3058</v>
      </c>
      <c r="C2253" s="2" t="s">
        <v>261</v>
      </c>
      <c r="D2253" s="2" t="s">
        <v>256</v>
      </c>
      <c r="E2253" s="2" t="s">
        <v>4647</v>
      </c>
      <c r="F2253" s="2">
        <v>22</v>
      </c>
      <c r="G2253" s="2">
        <v>22</v>
      </c>
      <c r="H2253" s="2">
        <v>0</v>
      </c>
      <c r="I2253" s="1">
        <v>0</v>
      </c>
      <c r="J2253" s="26">
        <v>45773</v>
      </c>
      <c r="K2253" s="22">
        <v>220000</v>
      </c>
      <c r="L2253" s="18">
        <v>235.29</v>
      </c>
      <c r="M2253" s="22">
        <v>166100</v>
      </c>
      <c r="N2253" s="22">
        <v>53900</v>
      </c>
      <c r="O2253" s="18">
        <v>57.65</v>
      </c>
      <c r="P2253" s="52">
        <f>IF(COUNTIF(TblPurchases[BatchID],TblOutcomes[[#This Row],[BatchID]])&lt;&gt;1,"n.a.",TblOutcomes[[#This Row],[Qty Wasted]]*SUMIFS(TblPurchases[Unit Cost (CLP)],TblPurchases[BatchID],TblOutcomes[[#This Row],[BatchID]]))</f>
        <v>0</v>
      </c>
      <c r="Q2253" s="51">
        <f>IF(COUNTIF(TblPurchases[BatchID],TblOutcomes[[#This Row],[BatchID]])&lt;&gt;1,"n.a.",SUMIFS(TblPurchases[Purchase Date],TblPurchases[BatchID],TblOutcomes[[#This Row],[BatchID]]))</f>
        <v>45753</v>
      </c>
    </row>
    <row r="2254" spans="2:17" x14ac:dyDescent="0.25">
      <c r="B2254" s="2" t="s">
        <v>3059</v>
      </c>
      <c r="C2254" s="2" t="s">
        <v>261</v>
      </c>
      <c r="D2254" s="2" t="s">
        <v>256</v>
      </c>
      <c r="E2254" s="2" t="s">
        <v>4647</v>
      </c>
      <c r="F2254" s="2">
        <v>23</v>
      </c>
      <c r="G2254" s="2">
        <v>23</v>
      </c>
      <c r="H2254" s="2">
        <v>0</v>
      </c>
      <c r="I2254" s="1">
        <v>0</v>
      </c>
      <c r="J2254" s="26">
        <v>45785</v>
      </c>
      <c r="K2254" s="22">
        <v>230000</v>
      </c>
      <c r="L2254" s="18">
        <v>245.99</v>
      </c>
      <c r="M2254" s="22">
        <v>173650</v>
      </c>
      <c r="N2254" s="22">
        <v>56350</v>
      </c>
      <c r="O2254" s="18">
        <v>60.27</v>
      </c>
      <c r="P2254" s="52">
        <f>IF(COUNTIF(TblPurchases[BatchID],TblOutcomes[[#This Row],[BatchID]])&lt;&gt;1,"n.a.",TblOutcomes[[#This Row],[Qty Wasted]]*SUMIFS(TblPurchases[Unit Cost (CLP)],TblPurchases[BatchID],TblOutcomes[[#This Row],[BatchID]]))</f>
        <v>0</v>
      </c>
      <c r="Q2254" s="51">
        <f>IF(COUNTIF(TblPurchases[BatchID],TblOutcomes[[#This Row],[BatchID]])&lt;&gt;1,"n.a.",SUMIFS(TblPurchases[Purchase Date],TblPurchases[BatchID],TblOutcomes[[#This Row],[BatchID]]))</f>
        <v>45773</v>
      </c>
    </row>
    <row r="2255" spans="2:17" x14ac:dyDescent="0.25">
      <c r="B2255" s="2" t="s">
        <v>3060</v>
      </c>
      <c r="C2255" s="2" t="s">
        <v>261</v>
      </c>
      <c r="D2255" s="2" t="s">
        <v>256</v>
      </c>
      <c r="E2255" s="2" t="s">
        <v>4647</v>
      </c>
      <c r="F2255" s="2">
        <v>20</v>
      </c>
      <c r="G2255" s="2">
        <v>20</v>
      </c>
      <c r="H2255" s="2">
        <v>0</v>
      </c>
      <c r="I2255" s="1">
        <v>0</v>
      </c>
      <c r="J2255" s="26">
        <v>45812</v>
      </c>
      <c r="K2255" s="22">
        <v>200000</v>
      </c>
      <c r="L2255" s="18">
        <v>213.9</v>
      </c>
      <c r="M2255" s="22">
        <v>151000</v>
      </c>
      <c r="N2255" s="22">
        <v>49000</v>
      </c>
      <c r="O2255" s="18">
        <v>52.41</v>
      </c>
      <c r="P2255" s="52">
        <f>IF(COUNTIF(TblPurchases[BatchID],TblOutcomes[[#This Row],[BatchID]])&lt;&gt;1,"n.a.",TblOutcomes[[#This Row],[Qty Wasted]]*SUMIFS(TblPurchases[Unit Cost (CLP)],TblPurchases[BatchID],TblOutcomes[[#This Row],[BatchID]]))</f>
        <v>0</v>
      </c>
      <c r="Q2255" s="51">
        <f>IF(COUNTIF(TblPurchases[BatchID],TblOutcomes[[#This Row],[BatchID]])&lt;&gt;1,"n.a.",SUMIFS(TblPurchases[Purchase Date],TblPurchases[BatchID],TblOutcomes[[#This Row],[BatchID]]))</f>
        <v>45794</v>
      </c>
    </row>
    <row r="2256" spans="2:17" x14ac:dyDescent="0.25">
      <c r="B2256" s="2" t="s">
        <v>3061</v>
      </c>
      <c r="C2256" s="2" t="s">
        <v>261</v>
      </c>
      <c r="D2256" s="2" t="s">
        <v>256</v>
      </c>
      <c r="E2256" s="2" t="s">
        <v>4647</v>
      </c>
      <c r="F2256" s="2">
        <v>22</v>
      </c>
      <c r="G2256" s="2">
        <v>22</v>
      </c>
      <c r="H2256" s="2">
        <v>0</v>
      </c>
      <c r="I2256" s="1">
        <v>0</v>
      </c>
      <c r="J2256" s="26">
        <v>45831</v>
      </c>
      <c r="K2256" s="22">
        <v>220000</v>
      </c>
      <c r="L2256" s="18">
        <v>235.29</v>
      </c>
      <c r="M2256" s="22">
        <v>166100</v>
      </c>
      <c r="N2256" s="22">
        <v>53900</v>
      </c>
      <c r="O2256" s="18">
        <v>57.65</v>
      </c>
      <c r="P2256" s="52">
        <f>IF(COUNTIF(TblPurchases[BatchID],TblOutcomes[[#This Row],[BatchID]])&lt;&gt;1,"n.a.",TblOutcomes[[#This Row],[Qty Wasted]]*SUMIFS(TblPurchases[Unit Cost (CLP)],TblPurchases[BatchID],TblOutcomes[[#This Row],[BatchID]]))</f>
        <v>0</v>
      </c>
      <c r="Q2256" s="51">
        <f>IF(COUNTIF(TblPurchases[BatchID],TblOutcomes[[#This Row],[BatchID]])&lt;&gt;1,"n.a.",SUMIFS(TblPurchases[Purchase Date],TblPurchases[BatchID],TblOutcomes[[#This Row],[BatchID]]))</f>
        <v>45810</v>
      </c>
    </row>
    <row r="2257" spans="2:17" x14ac:dyDescent="0.25">
      <c r="B2257" s="2" t="s">
        <v>3062</v>
      </c>
      <c r="C2257" s="2" t="s">
        <v>261</v>
      </c>
      <c r="D2257" s="2" t="s">
        <v>256</v>
      </c>
      <c r="E2257" s="2" t="s">
        <v>4647</v>
      </c>
      <c r="F2257" s="2">
        <v>19</v>
      </c>
      <c r="G2257" s="2">
        <v>19</v>
      </c>
      <c r="H2257" s="2">
        <v>0</v>
      </c>
      <c r="I2257" s="1">
        <v>0</v>
      </c>
      <c r="J2257" s="26">
        <v>45838</v>
      </c>
      <c r="K2257" s="22">
        <v>190000</v>
      </c>
      <c r="L2257" s="18">
        <v>203.21</v>
      </c>
      <c r="M2257" s="22">
        <v>143450</v>
      </c>
      <c r="N2257" s="22">
        <v>46550</v>
      </c>
      <c r="O2257" s="18">
        <v>49.79</v>
      </c>
      <c r="P2257" s="52">
        <f>IF(COUNTIF(TblPurchases[BatchID],TblOutcomes[[#This Row],[BatchID]])&lt;&gt;1,"n.a.",TblOutcomes[[#This Row],[Qty Wasted]]*SUMIFS(TblPurchases[Unit Cost (CLP)],TblPurchases[BatchID],TblOutcomes[[#This Row],[BatchID]]))</f>
        <v>0</v>
      </c>
      <c r="Q2257" s="51">
        <f>IF(COUNTIF(TblPurchases[BatchID],TblOutcomes[[#This Row],[BatchID]])&lt;&gt;1,"n.a.",SUMIFS(TblPurchases[Purchase Date],TblPurchases[BatchID],TblOutcomes[[#This Row],[BatchID]]))</f>
        <v>45830</v>
      </c>
    </row>
    <row r="2258" spans="2:17" x14ac:dyDescent="0.25">
      <c r="B2258" s="2" t="s">
        <v>3063</v>
      </c>
      <c r="C2258" s="2" t="s">
        <v>263</v>
      </c>
      <c r="D2258" s="2" t="s">
        <v>256</v>
      </c>
      <c r="E2258" s="2" t="s">
        <v>4647</v>
      </c>
      <c r="F2258" s="2">
        <v>20</v>
      </c>
      <c r="G2258" s="2">
        <v>20</v>
      </c>
      <c r="H2258" s="2">
        <v>0</v>
      </c>
      <c r="I2258" s="1">
        <v>0</v>
      </c>
      <c r="J2258" s="26">
        <v>45134</v>
      </c>
      <c r="K2258" s="22">
        <v>240000</v>
      </c>
      <c r="L2258" s="18">
        <v>256.68</v>
      </c>
      <c r="M2258" s="22">
        <v>185000</v>
      </c>
      <c r="N2258" s="22">
        <v>55000</v>
      </c>
      <c r="O2258" s="18">
        <v>58.82</v>
      </c>
      <c r="P2258" s="52">
        <f>IF(COUNTIF(TblPurchases[BatchID],TblOutcomes[[#This Row],[BatchID]])&lt;&gt;1,"n.a.",TblOutcomes[[#This Row],[Qty Wasted]]*SUMIFS(TblPurchases[Unit Cost (CLP)],TblPurchases[BatchID],TblOutcomes[[#This Row],[BatchID]]))</f>
        <v>0</v>
      </c>
      <c r="Q2258" s="51">
        <f>IF(COUNTIF(TblPurchases[BatchID],TblOutcomes[[#This Row],[BatchID]])&lt;&gt;1,"n.a.",SUMIFS(TblPurchases[Purchase Date],TblPurchases[BatchID],TblOutcomes[[#This Row],[BatchID]]))</f>
        <v>45121</v>
      </c>
    </row>
    <row r="2259" spans="2:17" x14ac:dyDescent="0.25">
      <c r="B2259" s="2" t="s">
        <v>3064</v>
      </c>
      <c r="C2259" s="2" t="s">
        <v>263</v>
      </c>
      <c r="D2259" s="2" t="s">
        <v>256</v>
      </c>
      <c r="E2259" s="2" t="s">
        <v>4647</v>
      </c>
      <c r="F2259" s="2">
        <v>21</v>
      </c>
      <c r="G2259" s="2">
        <v>21</v>
      </c>
      <c r="H2259" s="2">
        <v>0</v>
      </c>
      <c r="I2259" s="1">
        <v>0</v>
      </c>
      <c r="J2259" s="26">
        <v>45166</v>
      </c>
      <c r="K2259" s="22">
        <v>252000</v>
      </c>
      <c r="L2259" s="18">
        <v>269.52</v>
      </c>
      <c r="M2259" s="22">
        <v>194250</v>
      </c>
      <c r="N2259" s="22">
        <v>57750</v>
      </c>
      <c r="O2259" s="18">
        <v>61.76</v>
      </c>
      <c r="P2259" s="52">
        <f>IF(COUNTIF(TblPurchases[BatchID],TblOutcomes[[#This Row],[BatchID]])&lt;&gt;1,"n.a.",TblOutcomes[[#This Row],[Qty Wasted]]*SUMIFS(TblPurchases[Unit Cost (CLP)],TblPurchases[BatchID],TblOutcomes[[#This Row],[BatchID]]))</f>
        <v>0</v>
      </c>
      <c r="Q2259" s="51">
        <f>IF(COUNTIF(TblPurchases[BatchID],TblOutcomes[[#This Row],[BatchID]])&lt;&gt;1,"n.a.",SUMIFS(TblPurchases[Purchase Date],TblPurchases[BatchID],TblOutcomes[[#This Row],[BatchID]]))</f>
        <v>45140</v>
      </c>
    </row>
    <row r="2260" spans="2:17" x14ac:dyDescent="0.25">
      <c r="B2260" s="2" t="s">
        <v>3065</v>
      </c>
      <c r="C2260" s="2" t="s">
        <v>263</v>
      </c>
      <c r="D2260" s="2" t="s">
        <v>256</v>
      </c>
      <c r="E2260" s="2" t="s">
        <v>4647</v>
      </c>
      <c r="F2260" s="2">
        <v>18</v>
      </c>
      <c r="G2260" s="2">
        <v>18</v>
      </c>
      <c r="H2260" s="2">
        <v>0</v>
      </c>
      <c r="I2260" s="1">
        <v>0</v>
      </c>
      <c r="J2260" s="26">
        <v>45179</v>
      </c>
      <c r="K2260" s="22">
        <v>216000</v>
      </c>
      <c r="L2260" s="18">
        <v>231.02</v>
      </c>
      <c r="M2260" s="22">
        <v>166500</v>
      </c>
      <c r="N2260" s="22">
        <v>49500</v>
      </c>
      <c r="O2260" s="18">
        <v>52.94</v>
      </c>
      <c r="P2260" s="52">
        <f>IF(COUNTIF(TblPurchases[BatchID],TblOutcomes[[#This Row],[BatchID]])&lt;&gt;1,"n.a.",TblOutcomes[[#This Row],[Qty Wasted]]*SUMIFS(TblPurchases[Unit Cost (CLP)],TblPurchases[BatchID],TblOutcomes[[#This Row],[BatchID]]))</f>
        <v>0</v>
      </c>
      <c r="Q2260" s="51">
        <f>IF(COUNTIF(TblPurchases[BatchID],TblOutcomes[[#This Row],[BatchID]])&lt;&gt;1,"n.a.",SUMIFS(TblPurchases[Purchase Date],TblPurchases[BatchID],TblOutcomes[[#This Row],[BatchID]]))</f>
        <v>45162</v>
      </c>
    </row>
    <row r="2261" spans="2:17" x14ac:dyDescent="0.25">
      <c r="B2261" s="2" t="s">
        <v>3066</v>
      </c>
      <c r="C2261" s="2" t="s">
        <v>263</v>
      </c>
      <c r="D2261" s="2" t="s">
        <v>256</v>
      </c>
      <c r="E2261" s="2" t="s">
        <v>4647</v>
      </c>
      <c r="F2261" s="2">
        <v>27</v>
      </c>
      <c r="G2261" s="2">
        <v>27</v>
      </c>
      <c r="H2261" s="2">
        <v>0</v>
      </c>
      <c r="I2261" s="1">
        <v>0</v>
      </c>
      <c r="J2261" s="26">
        <v>45201</v>
      </c>
      <c r="K2261" s="22">
        <v>324000</v>
      </c>
      <c r="L2261" s="18">
        <v>346.52</v>
      </c>
      <c r="M2261" s="22">
        <v>249750</v>
      </c>
      <c r="N2261" s="22">
        <v>74250</v>
      </c>
      <c r="O2261" s="18">
        <v>79.41</v>
      </c>
      <c r="P2261" s="52">
        <f>IF(COUNTIF(TblPurchases[BatchID],TblOutcomes[[#This Row],[BatchID]])&lt;&gt;1,"n.a.",TblOutcomes[[#This Row],[Qty Wasted]]*SUMIFS(TblPurchases[Unit Cost (CLP)],TblPurchases[BatchID],TblOutcomes[[#This Row],[BatchID]]))</f>
        <v>0</v>
      </c>
      <c r="Q2261" s="51">
        <f>IF(COUNTIF(TblPurchases[BatchID],TblOutcomes[[#This Row],[BatchID]])&lt;&gt;1,"n.a.",SUMIFS(TblPurchases[Purchase Date],TblPurchases[BatchID],TblOutcomes[[#This Row],[BatchID]]))</f>
        <v>45183</v>
      </c>
    </row>
    <row r="2262" spans="2:17" x14ac:dyDescent="0.25">
      <c r="B2262" s="2" t="s">
        <v>3067</v>
      </c>
      <c r="C2262" s="2" t="s">
        <v>263</v>
      </c>
      <c r="D2262" s="2" t="s">
        <v>256</v>
      </c>
      <c r="E2262" s="2" t="s">
        <v>4646</v>
      </c>
      <c r="F2262" s="2">
        <v>8</v>
      </c>
      <c r="G2262" s="2">
        <v>7.64</v>
      </c>
      <c r="H2262" s="2">
        <v>0.36</v>
      </c>
      <c r="I2262" s="1">
        <v>4.5</v>
      </c>
      <c r="J2262" s="26">
        <v>45414</v>
      </c>
      <c r="K2262" s="22">
        <v>91680</v>
      </c>
      <c r="L2262" s="18">
        <v>98.05</v>
      </c>
      <c r="M2262" s="22">
        <v>74000</v>
      </c>
      <c r="N2262" s="22">
        <v>17680</v>
      </c>
      <c r="O2262" s="18">
        <v>18.91</v>
      </c>
      <c r="P2262" s="52">
        <f>IF(COUNTIF(TblPurchases[BatchID],TblOutcomes[[#This Row],[BatchID]])&lt;&gt;1,"n.a.",TblOutcomes[[#This Row],[Qty Wasted]]*SUMIFS(TblPurchases[Unit Cost (CLP)],TblPurchases[BatchID],TblOutcomes[[#This Row],[BatchID]]))</f>
        <v>3330</v>
      </c>
      <c r="Q2262" s="51">
        <f>IF(COUNTIF(TblPurchases[BatchID],TblOutcomes[[#This Row],[BatchID]])&lt;&gt;1,"n.a.",SUMIFS(TblPurchases[Purchase Date],TblPurchases[BatchID],TblOutcomes[[#This Row],[BatchID]]))</f>
        <v>45204</v>
      </c>
    </row>
    <row r="2263" spans="2:17" x14ac:dyDescent="0.25">
      <c r="B2263" s="2" t="s">
        <v>3068</v>
      </c>
      <c r="C2263" s="2" t="s">
        <v>263</v>
      </c>
      <c r="D2263" s="2" t="s">
        <v>256</v>
      </c>
      <c r="E2263" s="2" t="s">
        <v>4646</v>
      </c>
      <c r="F2263" s="2">
        <v>7</v>
      </c>
      <c r="G2263" s="2">
        <v>6.45</v>
      </c>
      <c r="H2263" s="2">
        <v>0.55000000000000004</v>
      </c>
      <c r="I2263" s="1">
        <v>7.8</v>
      </c>
      <c r="J2263" s="26">
        <v>45431</v>
      </c>
      <c r="K2263" s="22">
        <v>77400</v>
      </c>
      <c r="L2263" s="18">
        <v>82.78</v>
      </c>
      <c r="M2263" s="22">
        <v>64750</v>
      </c>
      <c r="N2263" s="22">
        <v>12650</v>
      </c>
      <c r="O2263" s="18">
        <v>13.53</v>
      </c>
      <c r="P2263" s="52">
        <f>IF(COUNTIF(TblPurchases[BatchID],TblOutcomes[[#This Row],[BatchID]])&lt;&gt;1,"n.a.",TblOutcomes[[#This Row],[Qty Wasted]]*SUMIFS(TblPurchases[Unit Cost (CLP)],TblPurchases[BatchID],TblOutcomes[[#This Row],[BatchID]]))</f>
        <v>5087.5</v>
      </c>
      <c r="Q2263" s="51">
        <f>IF(COUNTIF(TblPurchases[BatchID],TblOutcomes[[#This Row],[BatchID]])&lt;&gt;1,"n.a.",SUMIFS(TblPurchases[Purchase Date],TblPurchases[BatchID],TblOutcomes[[#This Row],[BatchID]]))</f>
        <v>45221</v>
      </c>
    </row>
    <row r="2264" spans="2:17" x14ac:dyDescent="0.25">
      <c r="B2264" s="2" t="s">
        <v>3069</v>
      </c>
      <c r="C2264" s="2" t="s">
        <v>263</v>
      </c>
      <c r="D2264" s="2" t="s">
        <v>256</v>
      </c>
      <c r="E2264" s="2" t="s">
        <v>4647</v>
      </c>
      <c r="F2264" s="2">
        <v>7</v>
      </c>
      <c r="G2264" s="2">
        <v>7</v>
      </c>
      <c r="H2264" s="2">
        <v>0</v>
      </c>
      <c r="I2264" s="1">
        <v>0</v>
      </c>
      <c r="J2264" s="26">
        <v>45249</v>
      </c>
      <c r="K2264" s="22">
        <v>84000</v>
      </c>
      <c r="L2264" s="18">
        <v>89.84</v>
      </c>
      <c r="M2264" s="22">
        <v>64750</v>
      </c>
      <c r="N2264" s="22">
        <v>19250</v>
      </c>
      <c r="O2264" s="18">
        <v>20.59</v>
      </c>
      <c r="P2264" s="52">
        <f>IF(COUNTIF(TblPurchases[BatchID],TblOutcomes[[#This Row],[BatchID]])&lt;&gt;1,"n.a.",TblOutcomes[[#This Row],[Qty Wasted]]*SUMIFS(TblPurchases[Unit Cost (CLP)],TblPurchases[BatchID],TblOutcomes[[#This Row],[BatchID]]))</f>
        <v>0</v>
      </c>
      <c r="Q2264" s="51">
        <f>IF(COUNTIF(TblPurchases[BatchID],TblOutcomes[[#This Row],[BatchID]])&lt;&gt;1,"n.a.",SUMIFS(TblPurchases[Purchase Date],TblPurchases[BatchID],TblOutcomes[[#This Row],[BatchID]]))</f>
        <v>45240</v>
      </c>
    </row>
    <row r="2265" spans="2:17" x14ac:dyDescent="0.25">
      <c r="B2265" s="2" t="s">
        <v>3070</v>
      </c>
      <c r="C2265" s="2" t="s">
        <v>263</v>
      </c>
      <c r="D2265" s="2" t="s">
        <v>256</v>
      </c>
      <c r="E2265" s="2" t="s">
        <v>4646</v>
      </c>
      <c r="F2265" s="2">
        <v>8</v>
      </c>
      <c r="G2265" s="2">
        <v>7.14</v>
      </c>
      <c r="H2265" s="2">
        <v>0.86</v>
      </c>
      <c r="I2265" s="1">
        <v>10.8</v>
      </c>
      <c r="J2265" s="26">
        <v>45469</v>
      </c>
      <c r="K2265" s="22">
        <v>85680</v>
      </c>
      <c r="L2265" s="18">
        <v>91.64</v>
      </c>
      <c r="M2265" s="22">
        <v>74000</v>
      </c>
      <c r="N2265" s="22">
        <v>11680</v>
      </c>
      <c r="O2265" s="18">
        <v>12.49</v>
      </c>
      <c r="P2265" s="52">
        <f>IF(COUNTIF(TblPurchases[BatchID],TblOutcomes[[#This Row],[BatchID]])&lt;&gt;1,"n.a.",TblOutcomes[[#This Row],[Qty Wasted]]*SUMIFS(TblPurchases[Unit Cost (CLP)],TblPurchases[BatchID],TblOutcomes[[#This Row],[BatchID]]))</f>
        <v>7955</v>
      </c>
      <c r="Q2265" s="51">
        <f>IF(COUNTIF(TblPurchases[BatchID],TblOutcomes[[#This Row],[BatchID]])&lt;&gt;1,"n.a.",SUMIFS(TblPurchases[Purchase Date],TblPurchases[BatchID],TblOutcomes[[#This Row],[BatchID]]))</f>
        <v>45259</v>
      </c>
    </row>
    <row r="2266" spans="2:17" x14ac:dyDescent="0.25">
      <c r="B2266" s="2" t="s">
        <v>3071</v>
      </c>
      <c r="C2266" s="2" t="s">
        <v>263</v>
      </c>
      <c r="D2266" s="2" t="s">
        <v>256</v>
      </c>
      <c r="E2266" s="2" t="s">
        <v>4647</v>
      </c>
      <c r="F2266" s="2">
        <v>8</v>
      </c>
      <c r="G2266" s="2">
        <v>8</v>
      </c>
      <c r="H2266" s="2">
        <v>0</v>
      </c>
      <c r="I2266" s="1">
        <v>0</v>
      </c>
      <c r="J2266" s="26">
        <v>45301</v>
      </c>
      <c r="K2266" s="22">
        <v>96000</v>
      </c>
      <c r="L2266" s="18">
        <v>102.67</v>
      </c>
      <c r="M2266" s="22">
        <v>74000</v>
      </c>
      <c r="N2266" s="22">
        <v>22000</v>
      </c>
      <c r="O2266" s="18">
        <v>23.53</v>
      </c>
      <c r="P2266" s="52">
        <f>IF(COUNTIF(TblPurchases[BatchID],TblOutcomes[[#This Row],[BatchID]])&lt;&gt;1,"n.a.",TblOutcomes[[#This Row],[Qty Wasted]]*SUMIFS(TblPurchases[Unit Cost (CLP)],TblPurchases[BatchID],TblOutcomes[[#This Row],[BatchID]]))</f>
        <v>0</v>
      </c>
      <c r="Q2266" s="51">
        <f>IF(COUNTIF(TblPurchases[BatchID],TblOutcomes[[#This Row],[BatchID]])&lt;&gt;1,"n.a.",SUMIFS(TblPurchases[Purchase Date],TblPurchases[BatchID],TblOutcomes[[#This Row],[BatchID]]))</f>
        <v>45278</v>
      </c>
    </row>
    <row r="2267" spans="2:17" x14ac:dyDescent="0.25">
      <c r="B2267" s="2" t="s">
        <v>3072</v>
      </c>
      <c r="C2267" s="2" t="s">
        <v>263</v>
      </c>
      <c r="D2267" s="2" t="s">
        <v>256</v>
      </c>
      <c r="E2267" s="2" t="s">
        <v>4647</v>
      </c>
      <c r="F2267" s="2">
        <v>8</v>
      </c>
      <c r="G2267" s="2">
        <v>8</v>
      </c>
      <c r="H2267" s="2">
        <v>0</v>
      </c>
      <c r="I2267" s="1">
        <v>0</v>
      </c>
      <c r="J2267" s="26">
        <v>45320</v>
      </c>
      <c r="K2267" s="22">
        <v>96000</v>
      </c>
      <c r="L2267" s="18">
        <v>102.67</v>
      </c>
      <c r="M2267" s="22">
        <v>74000</v>
      </c>
      <c r="N2267" s="22">
        <v>22000</v>
      </c>
      <c r="O2267" s="18">
        <v>23.53</v>
      </c>
      <c r="P2267" s="52">
        <f>IF(COUNTIF(TblPurchases[BatchID],TblOutcomes[[#This Row],[BatchID]])&lt;&gt;1,"n.a.",TblOutcomes[[#This Row],[Qty Wasted]]*SUMIFS(TblPurchases[Unit Cost (CLP)],TblPurchases[BatchID],TblOutcomes[[#This Row],[BatchID]]))</f>
        <v>0</v>
      </c>
      <c r="Q2267" s="51">
        <f>IF(COUNTIF(TblPurchases[BatchID],TblOutcomes[[#This Row],[BatchID]])&lt;&gt;1,"n.a.",SUMIFS(TblPurchases[Purchase Date],TblPurchases[BatchID],TblOutcomes[[#This Row],[BatchID]]))</f>
        <v>45297</v>
      </c>
    </row>
    <row r="2268" spans="2:17" x14ac:dyDescent="0.25">
      <c r="B2268" s="2" t="s">
        <v>3073</v>
      </c>
      <c r="C2268" s="2" t="s">
        <v>263</v>
      </c>
      <c r="D2268" s="2" t="s">
        <v>256</v>
      </c>
      <c r="E2268" s="2" t="s">
        <v>4646</v>
      </c>
      <c r="F2268" s="2">
        <v>7</v>
      </c>
      <c r="G2268" s="2">
        <v>6.25</v>
      </c>
      <c r="H2268" s="2">
        <v>0.75</v>
      </c>
      <c r="I2268" s="1">
        <v>10.7</v>
      </c>
      <c r="J2268" s="26">
        <v>45525</v>
      </c>
      <c r="K2268" s="22">
        <v>75000</v>
      </c>
      <c r="L2268" s="18">
        <v>80.209999999999994</v>
      </c>
      <c r="M2268" s="22">
        <v>66850</v>
      </c>
      <c r="N2268" s="22">
        <v>8150</v>
      </c>
      <c r="O2268" s="18">
        <v>8.7200000000000006</v>
      </c>
      <c r="P2268" s="52">
        <f>IF(COUNTIF(TblPurchases[BatchID],TblOutcomes[[#This Row],[BatchID]])&lt;&gt;1,"n.a.",TblOutcomes[[#This Row],[Qty Wasted]]*SUMIFS(TblPurchases[Unit Cost (CLP)],TblPurchases[BatchID],TblOutcomes[[#This Row],[BatchID]]))</f>
        <v>7162.5</v>
      </c>
      <c r="Q2268" s="51">
        <f>IF(COUNTIF(TblPurchases[BatchID],TblOutcomes[[#This Row],[BatchID]])&lt;&gt;1,"n.a.",SUMIFS(TblPurchases[Purchase Date],TblPurchases[BatchID],TblOutcomes[[#This Row],[BatchID]]))</f>
        <v>45315</v>
      </c>
    </row>
    <row r="2269" spans="2:17" x14ac:dyDescent="0.25">
      <c r="B2269" s="2" t="s">
        <v>3074</v>
      </c>
      <c r="C2269" s="2" t="s">
        <v>263</v>
      </c>
      <c r="D2269" s="2" t="s">
        <v>256</v>
      </c>
      <c r="E2269" s="2" t="s">
        <v>4647</v>
      </c>
      <c r="F2269" s="2">
        <v>7</v>
      </c>
      <c r="G2269" s="2">
        <v>7</v>
      </c>
      <c r="H2269" s="2">
        <v>0</v>
      </c>
      <c r="I2269" s="1">
        <v>0</v>
      </c>
      <c r="J2269" s="26">
        <v>45344</v>
      </c>
      <c r="K2269" s="22">
        <v>84000</v>
      </c>
      <c r="L2269" s="18">
        <v>89.84</v>
      </c>
      <c r="M2269" s="22">
        <v>64750</v>
      </c>
      <c r="N2269" s="22">
        <v>19250</v>
      </c>
      <c r="O2269" s="18">
        <v>20.59</v>
      </c>
      <c r="P2269" s="52">
        <f>IF(COUNTIF(TblPurchases[BatchID],TblOutcomes[[#This Row],[BatchID]])&lt;&gt;1,"n.a.",TblOutcomes[[#This Row],[Qty Wasted]]*SUMIFS(TblPurchases[Unit Cost (CLP)],TblPurchases[BatchID],TblOutcomes[[#This Row],[BatchID]]))</f>
        <v>0</v>
      </c>
      <c r="Q2269" s="51">
        <f>IF(COUNTIF(TblPurchases[BatchID],TblOutcomes[[#This Row],[BatchID]])&lt;&gt;1,"n.a.",SUMIFS(TblPurchases[Purchase Date],TblPurchases[BatchID],TblOutcomes[[#This Row],[BatchID]]))</f>
        <v>45333</v>
      </c>
    </row>
    <row r="2270" spans="2:17" x14ac:dyDescent="0.25">
      <c r="B2270" s="2" t="s">
        <v>3075</v>
      </c>
      <c r="C2270" s="2" t="s">
        <v>263</v>
      </c>
      <c r="D2270" s="2" t="s">
        <v>256</v>
      </c>
      <c r="E2270" s="2" t="s">
        <v>4647</v>
      </c>
      <c r="F2270" s="2">
        <v>7</v>
      </c>
      <c r="G2270" s="2">
        <v>7</v>
      </c>
      <c r="H2270" s="2">
        <v>0</v>
      </c>
      <c r="I2270" s="1">
        <v>0</v>
      </c>
      <c r="J2270" s="26">
        <v>45363</v>
      </c>
      <c r="K2270" s="22">
        <v>84000</v>
      </c>
      <c r="L2270" s="18">
        <v>89.84</v>
      </c>
      <c r="M2270" s="22">
        <v>64750</v>
      </c>
      <c r="N2270" s="22">
        <v>19250</v>
      </c>
      <c r="O2270" s="18">
        <v>20.59</v>
      </c>
      <c r="P2270" s="52">
        <f>IF(COUNTIF(TblPurchases[BatchID],TblOutcomes[[#This Row],[BatchID]])&lt;&gt;1,"n.a.",TblOutcomes[[#This Row],[Qty Wasted]]*SUMIFS(TblPurchases[Unit Cost (CLP)],TblPurchases[BatchID],TblOutcomes[[#This Row],[BatchID]]))</f>
        <v>0</v>
      </c>
      <c r="Q2270" s="51">
        <f>IF(COUNTIF(TblPurchases[BatchID],TblOutcomes[[#This Row],[BatchID]])&lt;&gt;1,"n.a.",SUMIFS(TblPurchases[Purchase Date],TblPurchases[BatchID],TblOutcomes[[#This Row],[BatchID]]))</f>
        <v>45353</v>
      </c>
    </row>
    <row r="2271" spans="2:17" x14ac:dyDescent="0.25">
      <c r="B2271" s="2" t="s">
        <v>3076</v>
      </c>
      <c r="C2271" s="2" t="s">
        <v>263</v>
      </c>
      <c r="D2271" s="2" t="s">
        <v>256</v>
      </c>
      <c r="E2271" s="2" t="s">
        <v>4647</v>
      </c>
      <c r="F2271" s="2">
        <v>8</v>
      </c>
      <c r="G2271" s="2">
        <v>8</v>
      </c>
      <c r="H2271" s="2">
        <v>0</v>
      </c>
      <c r="I2271" s="1">
        <v>0</v>
      </c>
      <c r="J2271" s="26">
        <v>45398</v>
      </c>
      <c r="K2271" s="22">
        <v>96000</v>
      </c>
      <c r="L2271" s="18">
        <v>102.67</v>
      </c>
      <c r="M2271" s="22">
        <v>74000</v>
      </c>
      <c r="N2271" s="22">
        <v>22000</v>
      </c>
      <c r="O2271" s="18">
        <v>23.53</v>
      </c>
      <c r="P2271" s="52">
        <f>IF(COUNTIF(TblPurchases[BatchID],TblOutcomes[[#This Row],[BatchID]])&lt;&gt;1,"n.a.",TblOutcomes[[#This Row],[Qty Wasted]]*SUMIFS(TblPurchases[Unit Cost (CLP)],TblPurchases[BatchID],TblOutcomes[[#This Row],[BatchID]]))</f>
        <v>0</v>
      </c>
      <c r="Q2271" s="51">
        <f>IF(COUNTIF(TblPurchases[BatchID],TblOutcomes[[#This Row],[BatchID]])&lt;&gt;1,"n.a.",SUMIFS(TblPurchases[Purchase Date],TblPurchases[BatchID],TblOutcomes[[#This Row],[BatchID]]))</f>
        <v>45381</v>
      </c>
    </row>
    <row r="2272" spans="2:17" x14ac:dyDescent="0.25">
      <c r="B2272" s="2" t="s">
        <v>3077</v>
      </c>
      <c r="C2272" s="2" t="s">
        <v>263</v>
      </c>
      <c r="D2272" s="2" t="s">
        <v>256</v>
      </c>
      <c r="E2272" s="2" t="s">
        <v>4647</v>
      </c>
      <c r="F2272" s="2">
        <v>18</v>
      </c>
      <c r="G2272" s="2">
        <v>18</v>
      </c>
      <c r="H2272" s="2">
        <v>0</v>
      </c>
      <c r="I2272" s="1">
        <v>0</v>
      </c>
      <c r="J2272" s="26">
        <v>45422</v>
      </c>
      <c r="K2272" s="22">
        <v>216000</v>
      </c>
      <c r="L2272" s="18">
        <v>231.02</v>
      </c>
      <c r="M2272" s="22">
        <v>171900</v>
      </c>
      <c r="N2272" s="22">
        <v>44100</v>
      </c>
      <c r="O2272" s="18">
        <v>47.17</v>
      </c>
      <c r="P2272" s="52">
        <f>IF(COUNTIF(TblPurchases[BatchID],TblOutcomes[[#This Row],[BatchID]])&lt;&gt;1,"n.a.",TblOutcomes[[#This Row],[Qty Wasted]]*SUMIFS(TblPurchases[Unit Cost (CLP)],TblPurchases[BatchID],TblOutcomes[[#This Row],[BatchID]]))</f>
        <v>0</v>
      </c>
      <c r="Q2272" s="51">
        <f>IF(COUNTIF(TblPurchases[BatchID],TblOutcomes[[#This Row],[BatchID]])&lt;&gt;1,"n.a.",SUMIFS(TblPurchases[Purchase Date],TblPurchases[BatchID],TblOutcomes[[#This Row],[BatchID]]))</f>
        <v>45401</v>
      </c>
    </row>
    <row r="2273" spans="2:17" x14ac:dyDescent="0.25">
      <c r="B2273" s="2" t="s">
        <v>3078</v>
      </c>
      <c r="C2273" s="2" t="s">
        <v>263</v>
      </c>
      <c r="D2273" s="2" t="s">
        <v>256</v>
      </c>
      <c r="E2273" s="2" t="s">
        <v>4647</v>
      </c>
      <c r="F2273" s="2">
        <v>20</v>
      </c>
      <c r="G2273" s="2">
        <v>20</v>
      </c>
      <c r="H2273" s="2">
        <v>0</v>
      </c>
      <c r="I2273" s="1">
        <v>0</v>
      </c>
      <c r="J2273" s="26">
        <v>45433</v>
      </c>
      <c r="K2273" s="22">
        <v>240000</v>
      </c>
      <c r="L2273" s="18">
        <v>256.68</v>
      </c>
      <c r="M2273" s="22">
        <v>185000</v>
      </c>
      <c r="N2273" s="22">
        <v>55000</v>
      </c>
      <c r="O2273" s="18">
        <v>58.82</v>
      </c>
      <c r="P2273" s="52">
        <f>IF(COUNTIF(TblPurchases[BatchID],TblOutcomes[[#This Row],[BatchID]])&lt;&gt;1,"n.a.",TblOutcomes[[#This Row],[Qty Wasted]]*SUMIFS(TblPurchases[Unit Cost (CLP)],TblPurchases[BatchID],TblOutcomes[[#This Row],[BatchID]]))</f>
        <v>0</v>
      </c>
      <c r="Q2273" s="51">
        <f>IF(COUNTIF(TblPurchases[BatchID],TblOutcomes[[#This Row],[BatchID]])&lt;&gt;1,"n.a.",SUMIFS(TblPurchases[Purchase Date],TblPurchases[BatchID],TblOutcomes[[#This Row],[BatchID]]))</f>
        <v>45422</v>
      </c>
    </row>
    <row r="2274" spans="2:17" x14ac:dyDescent="0.25">
      <c r="B2274" s="2" t="s">
        <v>3079</v>
      </c>
      <c r="C2274" s="2" t="s">
        <v>263</v>
      </c>
      <c r="D2274" s="2" t="s">
        <v>256</v>
      </c>
      <c r="E2274" s="2" t="s">
        <v>4647</v>
      </c>
      <c r="F2274" s="2">
        <v>21</v>
      </c>
      <c r="G2274" s="2">
        <v>21</v>
      </c>
      <c r="H2274" s="2">
        <v>0</v>
      </c>
      <c r="I2274" s="1">
        <v>0</v>
      </c>
      <c r="J2274" s="26">
        <v>45459</v>
      </c>
      <c r="K2274" s="22">
        <v>252000</v>
      </c>
      <c r="L2274" s="18">
        <v>269.52</v>
      </c>
      <c r="M2274" s="22">
        <v>200550</v>
      </c>
      <c r="N2274" s="22">
        <v>51450</v>
      </c>
      <c r="O2274" s="18">
        <v>55.03</v>
      </c>
      <c r="P2274" s="52">
        <f>IF(COUNTIF(TblPurchases[BatchID],TblOutcomes[[#This Row],[BatchID]])&lt;&gt;1,"n.a.",TblOutcomes[[#This Row],[Qty Wasted]]*SUMIFS(TblPurchases[Unit Cost (CLP)],TblPurchases[BatchID],TblOutcomes[[#This Row],[BatchID]]))</f>
        <v>0</v>
      </c>
      <c r="Q2274" s="51">
        <f>IF(COUNTIF(TblPurchases[BatchID],TblOutcomes[[#This Row],[BatchID]])&lt;&gt;1,"n.a.",SUMIFS(TblPurchases[Purchase Date],TblPurchases[BatchID],TblOutcomes[[#This Row],[BatchID]]))</f>
        <v>45437</v>
      </c>
    </row>
    <row r="2275" spans="2:17" x14ac:dyDescent="0.25">
      <c r="B2275" s="2" t="s">
        <v>3080</v>
      </c>
      <c r="C2275" s="2" t="s">
        <v>263</v>
      </c>
      <c r="D2275" s="2" t="s">
        <v>256</v>
      </c>
      <c r="E2275" s="2" t="s">
        <v>4647</v>
      </c>
      <c r="F2275" s="2">
        <v>18</v>
      </c>
      <c r="G2275" s="2">
        <v>18</v>
      </c>
      <c r="H2275" s="2">
        <v>0</v>
      </c>
      <c r="I2275" s="1">
        <v>0</v>
      </c>
      <c r="J2275" s="26">
        <v>45473</v>
      </c>
      <c r="K2275" s="22">
        <v>216000</v>
      </c>
      <c r="L2275" s="18">
        <v>231.02</v>
      </c>
      <c r="M2275" s="22">
        <v>166500</v>
      </c>
      <c r="N2275" s="22">
        <v>49500</v>
      </c>
      <c r="O2275" s="18">
        <v>52.94</v>
      </c>
      <c r="P2275" s="52">
        <f>IF(COUNTIF(TblPurchases[BatchID],TblOutcomes[[#This Row],[BatchID]])&lt;&gt;1,"n.a.",TblOutcomes[[#This Row],[Qty Wasted]]*SUMIFS(TblPurchases[Unit Cost (CLP)],TblPurchases[BatchID],TblOutcomes[[#This Row],[BatchID]]))</f>
        <v>0</v>
      </c>
      <c r="Q2275" s="51">
        <f>IF(COUNTIF(TblPurchases[BatchID],TblOutcomes[[#This Row],[BatchID]])&lt;&gt;1,"n.a.",SUMIFS(TblPurchases[Purchase Date],TblPurchases[BatchID],TblOutcomes[[#This Row],[BatchID]]))</f>
        <v>45456</v>
      </c>
    </row>
    <row r="2276" spans="2:17" x14ac:dyDescent="0.25">
      <c r="B2276" s="2" t="s">
        <v>3081</v>
      </c>
      <c r="C2276" s="2" t="s">
        <v>263</v>
      </c>
      <c r="D2276" s="2" t="s">
        <v>256</v>
      </c>
      <c r="E2276" s="2" t="s">
        <v>4647</v>
      </c>
      <c r="F2276" s="2">
        <v>19</v>
      </c>
      <c r="G2276" s="2">
        <v>19</v>
      </c>
      <c r="H2276" s="2">
        <v>0</v>
      </c>
      <c r="I2276" s="1">
        <v>0</v>
      </c>
      <c r="J2276" s="26">
        <v>45487</v>
      </c>
      <c r="K2276" s="22">
        <v>228000</v>
      </c>
      <c r="L2276" s="18">
        <v>243.85</v>
      </c>
      <c r="M2276" s="22">
        <v>175750</v>
      </c>
      <c r="N2276" s="22">
        <v>52250</v>
      </c>
      <c r="O2276" s="18">
        <v>55.88</v>
      </c>
      <c r="P2276" s="52">
        <f>IF(COUNTIF(TblPurchases[BatchID],TblOutcomes[[#This Row],[BatchID]])&lt;&gt;1,"n.a.",TblOutcomes[[#This Row],[Qty Wasted]]*SUMIFS(TblPurchases[Unit Cost (CLP)],TblPurchases[BatchID],TblOutcomes[[#This Row],[BatchID]]))</f>
        <v>0</v>
      </c>
      <c r="Q2276" s="51">
        <f>IF(COUNTIF(TblPurchases[BatchID],TblOutcomes[[#This Row],[BatchID]])&lt;&gt;1,"n.a.",SUMIFS(TblPurchases[Purchase Date],TblPurchases[BatchID],TblOutcomes[[#This Row],[BatchID]]))</f>
        <v>45473</v>
      </c>
    </row>
    <row r="2277" spans="2:17" x14ac:dyDescent="0.25">
      <c r="B2277" s="2" t="s">
        <v>3082</v>
      </c>
      <c r="C2277" s="2" t="s">
        <v>263</v>
      </c>
      <c r="D2277" s="2" t="s">
        <v>256</v>
      </c>
      <c r="E2277" s="2" t="s">
        <v>4647</v>
      </c>
      <c r="F2277" s="2">
        <v>21</v>
      </c>
      <c r="G2277" s="2">
        <v>21</v>
      </c>
      <c r="H2277" s="2">
        <v>0</v>
      </c>
      <c r="I2277" s="1">
        <v>0</v>
      </c>
      <c r="J2277" s="26">
        <v>45506</v>
      </c>
      <c r="K2277" s="22">
        <v>252000</v>
      </c>
      <c r="L2277" s="18">
        <v>269.52</v>
      </c>
      <c r="M2277" s="22">
        <v>194250</v>
      </c>
      <c r="N2277" s="22">
        <v>57750</v>
      </c>
      <c r="O2277" s="18">
        <v>61.76</v>
      </c>
      <c r="P2277" s="52">
        <f>IF(COUNTIF(TblPurchases[BatchID],TblOutcomes[[#This Row],[BatchID]])&lt;&gt;1,"n.a.",TblOutcomes[[#This Row],[Qty Wasted]]*SUMIFS(TblPurchases[Unit Cost (CLP)],TblPurchases[BatchID],TblOutcomes[[#This Row],[BatchID]]))</f>
        <v>0</v>
      </c>
      <c r="Q2277" s="51">
        <f>IF(COUNTIF(TblPurchases[BatchID],TblOutcomes[[#This Row],[BatchID]])&lt;&gt;1,"n.a.",SUMIFS(TblPurchases[Purchase Date],TblPurchases[BatchID],TblOutcomes[[#This Row],[BatchID]]))</f>
        <v>45494</v>
      </c>
    </row>
    <row r="2278" spans="2:17" x14ac:dyDescent="0.25">
      <c r="B2278" s="2" t="s">
        <v>3083</v>
      </c>
      <c r="C2278" s="2" t="s">
        <v>263</v>
      </c>
      <c r="D2278" s="2" t="s">
        <v>256</v>
      </c>
      <c r="E2278" s="2" t="s">
        <v>4647</v>
      </c>
      <c r="F2278" s="2">
        <v>20</v>
      </c>
      <c r="G2278" s="2">
        <v>20</v>
      </c>
      <c r="H2278" s="2">
        <v>0</v>
      </c>
      <c r="I2278" s="1">
        <v>0</v>
      </c>
      <c r="J2278" s="26">
        <v>45531</v>
      </c>
      <c r="K2278" s="22">
        <v>240000</v>
      </c>
      <c r="L2278" s="18">
        <v>256.68</v>
      </c>
      <c r="M2278" s="22">
        <v>185000</v>
      </c>
      <c r="N2278" s="22">
        <v>55000</v>
      </c>
      <c r="O2278" s="18">
        <v>58.82</v>
      </c>
      <c r="P2278" s="52">
        <f>IF(COUNTIF(TblPurchases[BatchID],TblOutcomes[[#This Row],[BatchID]])&lt;&gt;1,"n.a.",TblOutcomes[[#This Row],[Qty Wasted]]*SUMIFS(TblPurchases[Unit Cost (CLP)],TblPurchases[BatchID],TblOutcomes[[#This Row],[BatchID]]))</f>
        <v>0</v>
      </c>
      <c r="Q2278" s="51">
        <f>IF(COUNTIF(TblPurchases[BatchID],TblOutcomes[[#This Row],[BatchID]])&lt;&gt;1,"n.a.",SUMIFS(TblPurchases[Purchase Date],TblPurchases[BatchID],TblOutcomes[[#This Row],[BatchID]]))</f>
        <v>45513</v>
      </c>
    </row>
    <row r="2279" spans="2:17" x14ac:dyDescent="0.25">
      <c r="B2279" s="2" t="s">
        <v>3084</v>
      </c>
      <c r="C2279" s="2" t="s">
        <v>263</v>
      </c>
      <c r="D2279" s="2" t="s">
        <v>256</v>
      </c>
      <c r="E2279" s="2" t="s">
        <v>4646</v>
      </c>
      <c r="F2279" s="2">
        <v>24</v>
      </c>
      <c r="G2279" s="2">
        <v>21.98</v>
      </c>
      <c r="H2279" s="2">
        <v>2.02</v>
      </c>
      <c r="I2279" s="1">
        <v>8.4</v>
      </c>
      <c r="J2279" s="26">
        <v>45747</v>
      </c>
      <c r="K2279" s="22">
        <v>263760</v>
      </c>
      <c r="L2279" s="18">
        <v>282.10000000000002</v>
      </c>
      <c r="M2279" s="22">
        <v>229200</v>
      </c>
      <c r="N2279" s="22">
        <v>34560</v>
      </c>
      <c r="O2279" s="18">
        <v>36.96</v>
      </c>
      <c r="P2279" s="52">
        <f>IF(COUNTIF(TblPurchases[BatchID],TblOutcomes[[#This Row],[BatchID]])&lt;&gt;1,"n.a.",TblOutcomes[[#This Row],[Qty Wasted]]*SUMIFS(TblPurchases[Unit Cost (CLP)],TblPurchases[BatchID],TblOutcomes[[#This Row],[BatchID]]))</f>
        <v>19291</v>
      </c>
      <c r="Q2279" s="51">
        <f>IF(COUNTIF(TblPurchases[BatchID],TblOutcomes[[#This Row],[BatchID]])&lt;&gt;1,"n.a.",SUMIFS(TblPurchases[Purchase Date],TblPurchases[BatchID],TblOutcomes[[#This Row],[BatchID]]))</f>
        <v>45537</v>
      </c>
    </row>
    <row r="2280" spans="2:17" x14ac:dyDescent="0.25">
      <c r="B2280" s="2" t="s">
        <v>3085</v>
      </c>
      <c r="C2280" s="2" t="s">
        <v>263</v>
      </c>
      <c r="D2280" s="2" t="s">
        <v>256</v>
      </c>
      <c r="E2280" s="2" t="s">
        <v>4647</v>
      </c>
      <c r="F2280" s="2">
        <v>21</v>
      </c>
      <c r="G2280" s="2">
        <v>21</v>
      </c>
      <c r="H2280" s="2">
        <v>0</v>
      </c>
      <c r="I2280" s="1">
        <v>0</v>
      </c>
      <c r="J2280" s="26">
        <v>45577</v>
      </c>
      <c r="K2280" s="22">
        <v>252000</v>
      </c>
      <c r="L2280" s="18">
        <v>269.52</v>
      </c>
      <c r="M2280" s="22">
        <v>194250</v>
      </c>
      <c r="N2280" s="22">
        <v>57750</v>
      </c>
      <c r="O2280" s="18">
        <v>61.76</v>
      </c>
      <c r="P2280" s="52">
        <f>IF(COUNTIF(TblPurchases[BatchID],TblOutcomes[[#This Row],[BatchID]])&lt;&gt;1,"n.a.",TblOutcomes[[#This Row],[Qty Wasted]]*SUMIFS(TblPurchases[Unit Cost (CLP)],TblPurchases[BatchID],TblOutcomes[[#This Row],[BatchID]]))</f>
        <v>0</v>
      </c>
      <c r="Q2280" s="51">
        <f>IF(COUNTIF(TblPurchases[BatchID],TblOutcomes[[#This Row],[BatchID]])&lt;&gt;1,"n.a.",SUMIFS(TblPurchases[Purchase Date],TblPurchases[BatchID],TblOutcomes[[#This Row],[BatchID]]))</f>
        <v>45565</v>
      </c>
    </row>
    <row r="2281" spans="2:17" x14ac:dyDescent="0.25">
      <c r="B2281" s="2" t="s">
        <v>3086</v>
      </c>
      <c r="C2281" s="2" t="s">
        <v>263</v>
      </c>
      <c r="D2281" s="2" t="s">
        <v>256</v>
      </c>
      <c r="E2281" s="2" t="s">
        <v>4647</v>
      </c>
      <c r="F2281" s="2">
        <v>6</v>
      </c>
      <c r="G2281" s="2">
        <v>6</v>
      </c>
      <c r="H2281" s="2">
        <v>0</v>
      </c>
      <c r="I2281" s="1">
        <v>0</v>
      </c>
      <c r="J2281" s="26">
        <v>45601</v>
      </c>
      <c r="K2281" s="22">
        <v>72000</v>
      </c>
      <c r="L2281" s="18">
        <v>77.010000000000005</v>
      </c>
      <c r="M2281" s="22">
        <v>55500</v>
      </c>
      <c r="N2281" s="22">
        <v>16500</v>
      </c>
      <c r="O2281" s="18">
        <v>17.649999999999999</v>
      </c>
      <c r="P2281" s="52">
        <f>IF(COUNTIF(TblPurchases[BatchID],TblOutcomes[[#This Row],[BatchID]])&lt;&gt;1,"n.a.",TblOutcomes[[#This Row],[Qty Wasted]]*SUMIFS(TblPurchases[Unit Cost (CLP)],TblPurchases[BatchID],TblOutcomes[[#This Row],[BatchID]]))</f>
        <v>0</v>
      </c>
      <c r="Q2281" s="51">
        <f>IF(COUNTIF(TblPurchases[BatchID],TblOutcomes[[#This Row],[BatchID]])&lt;&gt;1,"n.a.",SUMIFS(TblPurchases[Purchase Date],TblPurchases[BatchID],TblOutcomes[[#This Row],[BatchID]]))</f>
        <v>45583</v>
      </c>
    </row>
    <row r="2282" spans="2:17" x14ac:dyDescent="0.25">
      <c r="B2282" s="2" t="s">
        <v>3087</v>
      </c>
      <c r="C2282" s="2" t="s">
        <v>263</v>
      </c>
      <c r="D2282" s="2" t="s">
        <v>256</v>
      </c>
      <c r="E2282" s="2" t="s">
        <v>4646</v>
      </c>
      <c r="F2282" s="2">
        <v>7</v>
      </c>
      <c r="G2282" s="2">
        <v>6.52</v>
      </c>
      <c r="H2282" s="2">
        <v>0.48</v>
      </c>
      <c r="I2282" s="1">
        <v>6.8</v>
      </c>
      <c r="J2282" s="26">
        <v>45809</v>
      </c>
      <c r="K2282" s="22">
        <v>78240</v>
      </c>
      <c r="L2282" s="18">
        <v>83.68</v>
      </c>
      <c r="M2282" s="22">
        <v>64750</v>
      </c>
      <c r="N2282" s="22">
        <v>13490</v>
      </c>
      <c r="O2282" s="18">
        <v>14.43</v>
      </c>
      <c r="P2282" s="52">
        <f>IF(COUNTIF(TblPurchases[BatchID],TblOutcomes[[#This Row],[BatchID]])&lt;&gt;1,"n.a.",TblOutcomes[[#This Row],[Qty Wasted]]*SUMIFS(TblPurchases[Unit Cost (CLP)],TblPurchases[BatchID],TblOutcomes[[#This Row],[BatchID]]))</f>
        <v>4440</v>
      </c>
      <c r="Q2282" s="51">
        <f>IF(COUNTIF(TblPurchases[BatchID],TblOutcomes[[#This Row],[BatchID]])&lt;&gt;1,"n.a.",SUMIFS(TblPurchases[Purchase Date],TblPurchases[BatchID],TblOutcomes[[#This Row],[BatchID]]))</f>
        <v>45599</v>
      </c>
    </row>
    <row r="2283" spans="2:17" x14ac:dyDescent="0.25">
      <c r="B2283" s="2" t="s">
        <v>3088</v>
      </c>
      <c r="C2283" s="2" t="s">
        <v>263</v>
      </c>
      <c r="D2283" s="2" t="s">
        <v>256</v>
      </c>
      <c r="E2283" s="2" t="s">
        <v>4646</v>
      </c>
      <c r="F2283" s="2">
        <v>7</v>
      </c>
      <c r="G2283" s="2">
        <v>6.33</v>
      </c>
      <c r="H2283" s="2">
        <v>0.67</v>
      </c>
      <c r="I2283" s="1">
        <v>9.5</v>
      </c>
      <c r="J2283" s="26">
        <v>45824</v>
      </c>
      <c r="K2283" s="22">
        <v>75960</v>
      </c>
      <c r="L2283" s="18">
        <v>81.239999999999995</v>
      </c>
      <c r="M2283" s="22">
        <v>64750</v>
      </c>
      <c r="N2283" s="22">
        <v>11210</v>
      </c>
      <c r="O2283" s="18">
        <v>11.99</v>
      </c>
      <c r="P2283" s="52">
        <f>IF(COUNTIF(TblPurchases[BatchID],TblOutcomes[[#This Row],[BatchID]])&lt;&gt;1,"n.a.",TblOutcomes[[#This Row],[Qty Wasted]]*SUMIFS(TblPurchases[Unit Cost (CLP)],TblPurchases[BatchID],TblOutcomes[[#This Row],[BatchID]]))</f>
        <v>6197.5</v>
      </c>
      <c r="Q2283" s="51">
        <f>IF(COUNTIF(TblPurchases[BatchID],TblOutcomes[[#This Row],[BatchID]])&lt;&gt;1,"n.a.",SUMIFS(TblPurchases[Purchase Date],TblPurchases[BatchID],TblOutcomes[[#This Row],[BatchID]]))</f>
        <v>45614</v>
      </c>
    </row>
    <row r="2284" spans="2:17" x14ac:dyDescent="0.25">
      <c r="B2284" s="2" t="s">
        <v>3089</v>
      </c>
      <c r="C2284" s="2" t="s">
        <v>263</v>
      </c>
      <c r="D2284" s="2" t="s">
        <v>256</v>
      </c>
      <c r="E2284" s="2" t="s">
        <v>4647</v>
      </c>
      <c r="F2284" s="2">
        <v>8</v>
      </c>
      <c r="G2284" s="2">
        <v>8</v>
      </c>
      <c r="H2284" s="2">
        <v>0</v>
      </c>
      <c r="I2284" s="1">
        <v>0</v>
      </c>
      <c r="J2284" s="26">
        <v>45644</v>
      </c>
      <c r="K2284" s="22">
        <v>96000</v>
      </c>
      <c r="L2284" s="18">
        <v>102.67</v>
      </c>
      <c r="M2284" s="22">
        <v>74000</v>
      </c>
      <c r="N2284" s="22">
        <v>22000</v>
      </c>
      <c r="O2284" s="18">
        <v>23.53</v>
      </c>
      <c r="P2284" s="52">
        <f>IF(COUNTIF(TblPurchases[BatchID],TblOutcomes[[#This Row],[BatchID]])&lt;&gt;1,"n.a.",TblOutcomes[[#This Row],[Qty Wasted]]*SUMIFS(TblPurchases[Unit Cost (CLP)],TblPurchases[BatchID],TblOutcomes[[#This Row],[BatchID]]))</f>
        <v>0</v>
      </c>
      <c r="Q2284" s="51">
        <f>IF(COUNTIF(TblPurchases[BatchID],TblOutcomes[[#This Row],[BatchID]])&lt;&gt;1,"n.a.",SUMIFS(TblPurchases[Purchase Date],TblPurchases[BatchID],TblOutcomes[[#This Row],[BatchID]]))</f>
        <v>45633</v>
      </c>
    </row>
    <row r="2285" spans="2:17" x14ac:dyDescent="0.25">
      <c r="B2285" s="2" t="s">
        <v>3090</v>
      </c>
      <c r="C2285" s="2" t="s">
        <v>263</v>
      </c>
      <c r="D2285" s="2" t="s">
        <v>256</v>
      </c>
      <c r="E2285" s="2" t="s">
        <v>4646</v>
      </c>
      <c r="F2285" s="2">
        <v>8</v>
      </c>
      <c r="G2285" s="2">
        <v>7.38</v>
      </c>
      <c r="H2285" s="2">
        <v>0.62</v>
      </c>
      <c r="I2285" s="1">
        <v>7.7</v>
      </c>
      <c r="J2285" s="26">
        <v>45862</v>
      </c>
      <c r="K2285" s="22">
        <v>88560</v>
      </c>
      <c r="L2285" s="18">
        <v>94.72</v>
      </c>
      <c r="M2285" s="22">
        <v>76400</v>
      </c>
      <c r="N2285" s="22">
        <v>12160</v>
      </c>
      <c r="O2285" s="18">
        <v>13.01</v>
      </c>
      <c r="P2285" s="52">
        <f>IF(COUNTIF(TblPurchases[BatchID],TblOutcomes[[#This Row],[BatchID]])&lt;&gt;1,"n.a.",TblOutcomes[[#This Row],[Qty Wasted]]*SUMIFS(TblPurchases[Unit Cost (CLP)],TblPurchases[BatchID],TblOutcomes[[#This Row],[BatchID]]))</f>
        <v>5921</v>
      </c>
      <c r="Q2285" s="51">
        <f>IF(COUNTIF(TblPurchases[BatchID],TblOutcomes[[#This Row],[BatchID]])&lt;&gt;1,"n.a.",SUMIFS(TblPurchases[Purchase Date],TblPurchases[BatchID],TblOutcomes[[#This Row],[BatchID]]))</f>
        <v>45652</v>
      </c>
    </row>
    <row r="2286" spans="2:17" x14ac:dyDescent="0.25">
      <c r="B2286" s="2" t="s">
        <v>3091</v>
      </c>
      <c r="C2286" s="2" t="s">
        <v>263</v>
      </c>
      <c r="D2286" s="2" t="s">
        <v>256</v>
      </c>
      <c r="E2286" s="2" t="s">
        <v>4647</v>
      </c>
      <c r="F2286" s="2">
        <v>7</v>
      </c>
      <c r="G2286" s="2">
        <v>7</v>
      </c>
      <c r="H2286" s="2">
        <v>0</v>
      </c>
      <c r="I2286" s="1">
        <v>0</v>
      </c>
      <c r="J2286" s="26">
        <v>45690</v>
      </c>
      <c r="K2286" s="22">
        <v>84000</v>
      </c>
      <c r="L2286" s="18">
        <v>89.84</v>
      </c>
      <c r="M2286" s="22">
        <v>64750</v>
      </c>
      <c r="N2286" s="22">
        <v>19250</v>
      </c>
      <c r="O2286" s="18">
        <v>20.59</v>
      </c>
      <c r="P2286" s="52">
        <f>IF(COUNTIF(TblPurchases[BatchID],TblOutcomes[[#This Row],[BatchID]])&lt;&gt;1,"n.a.",TblOutcomes[[#This Row],[Qty Wasted]]*SUMIFS(TblPurchases[Unit Cost (CLP)],TblPurchases[BatchID],TblOutcomes[[#This Row],[BatchID]]))</f>
        <v>0</v>
      </c>
      <c r="Q2286" s="51">
        <f>IF(COUNTIF(TblPurchases[BatchID],TblOutcomes[[#This Row],[BatchID]])&lt;&gt;1,"n.a.",SUMIFS(TblPurchases[Purchase Date],TblPurchases[BatchID],TblOutcomes[[#This Row],[BatchID]]))</f>
        <v>45671</v>
      </c>
    </row>
    <row r="2287" spans="2:17" x14ac:dyDescent="0.25">
      <c r="B2287" s="2" t="s">
        <v>3092</v>
      </c>
      <c r="C2287" s="2" t="s">
        <v>263</v>
      </c>
      <c r="D2287" s="2" t="s">
        <v>256</v>
      </c>
      <c r="E2287" s="2" t="s">
        <v>4647</v>
      </c>
      <c r="F2287" s="2">
        <v>8</v>
      </c>
      <c r="G2287" s="2">
        <v>8</v>
      </c>
      <c r="H2287" s="2">
        <v>0</v>
      </c>
      <c r="I2287" s="1">
        <v>0</v>
      </c>
      <c r="J2287" s="26">
        <v>45704</v>
      </c>
      <c r="K2287" s="22">
        <v>96000</v>
      </c>
      <c r="L2287" s="18">
        <v>102.67</v>
      </c>
      <c r="M2287" s="22">
        <v>74000</v>
      </c>
      <c r="N2287" s="22">
        <v>22000</v>
      </c>
      <c r="O2287" s="18">
        <v>23.53</v>
      </c>
      <c r="P2287" s="52">
        <f>IF(COUNTIF(TblPurchases[BatchID],TblOutcomes[[#This Row],[BatchID]])&lt;&gt;1,"n.a.",TblOutcomes[[#This Row],[Qty Wasted]]*SUMIFS(TblPurchases[Unit Cost (CLP)],TblPurchases[BatchID],TblOutcomes[[#This Row],[BatchID]]))</f>
        <v>0</v>
      </c>
      <c r="Q2287" s="51">
        <f>IF(COUNTIF(TblPurchases[BatchID],TblOutcomes[[#This Row],[BatchID]])&lt;&gt;1,"n.a.",SUMIFS(TblPurchases[Purchase Date],TblPurchases[BatchID],TblOutcomes[[#This Row],[BatchID]]))</f>
        <v>45690</v>
      </c>
    </row>
    <row r="2288" spans="2:17" x14ac:dyDescent="0.25">
      <c r="B2288" s="2" t="s">
        <v>3093</v>
      </c>
      <c r="C2288" s="2" t="s">
        <v>263</v>
      </c>
      <c r="D2288" s="2" t="s">
        <v>256</v>
      </c>
      <c r="E2288" s="2" t="s">
        <v>4647</v>
      </c>
      <c r="F2288" s="2">
        <v>8</v>
      </c>
      <c r="G2288" s="2">
        <v>8</v>
      </c>
      <c r="H2288" s="2">
        <v>0</v>
      </c>
      <c r="I2288" s="1">
        <v>0</v>
      </c>
      <c r="J2288" s="26">
        <v>45726</v>
      </c>
      <c r="K2288" s="22">
        <v>96000</v>
      </c>
      <c r="L2288" s="18">
        <v>102.67</v>
      </c>
      <c r="M2288" s="22">
        <v>74000</v>
      </c>
      <c r="N2288" s="22">
        <v>22000</v>
      </c>
      <c r="O2288" s="18">
        <v>23.53</v>
      </c>
      <c r="P2288" s="52">
        <f>IF(COUNTIF(TblPurchases[BatchID],TblOutcomes[[#This Row],[BatchID]])&lt;&gt;1,"n.a.",TblOutcomes[[#This Row],[Qty Wasted]]*SUMIFS(TblPurchases[Unit Cost (CLP)],TblPurchases[BatchID],TblOutcomes[[#This Row],[BatchID]]))</f>
        <v>0</v>
      </c>
      <c r="Q2288" s="51">
        <f>IF(COUNTIF(TblPurchases[BatchID],TblOutcomes[[#This Row],[BatchID]])&lt;&gt;1,"n.a.",SUMIFS(TblPurchases[Purchase Date],TblPurchases[BatchID],TblOutcomes[[#This Row],[BatchID]]))</f>
        <v>45715</v>
      </c>
    </row>
    <row r="2289" spans="2:17" x14ac:dyDescent="0.25">
      <c r="B2289" s="2" t="s">
        <v>3094</v>
      </c>
      <c r="C2289" s="2" t="s">
        <v>263</v>
      </c>
      <c r="D2289" s="2" t="s">
        <v>256</v>
      </c>
      <c r="E2289" s="2" t="s">
        <v>4646</v>
      </c>
      <c r="F2289" s="2">
        <v>7</v>
      </c>
      <c r="G2289" s="2">
        <v>6.12</v>
      </c>
      <c r="H2289" s="2">
        <v>0.88</v>
      </c>
      <c r="I2289" s="1">
        <v>12.6</v>
      </c>
      <c r="J2289" s="26">
        <v>45951</v>
      </c>
      <c r="K2289" s="22">
        <v>73440</v>
      </c>
      <c r="L2289" s="18">
        <v>78.55</v>
      </c>
      <c r="M2289" s="22">
        <v>64750</v>
      </c>
      <c r="N2289" s="22">
        <v>8690</v>
      </c>
      <c r="O2289" s="18">
        <v>9.2899999999999991</v>
      </c>
      <c r="P2289" s="52">
        <f>IF(COUNTIF(TblPurchases[BatchID],TblOutcomes[[#This Row],[BatchID]])&lt;&gt;1,"n.a.",TblOutcomes[[#This Row],[Qty Wasted]]*SUMIFS(TblPurchases[Unit Cost (CLP)],TblPurchases[BatchID],TblOutcomes[[#This Row],[BatchID]]))</f>
        <v>8140</v>
      </c>
      <c r="Q2289" s="51">
        <f>IF(COUNTIF(TblPurchases[BatchID],TblOutcomes[[#This Row],[BatchID]])&lt;&gt;1,"n.a.",SUMIFS(TblPurchases[Purchase Date],TblPurchases[BatchID],TblOutcomes[[#This Row],[BatchID]]))</f>
        <v>45741</v>
      </c>
    </row>
    <row r="2290" spans="2:17" x14ac:dyDescent="0.25">
      <c r="B2290" s="2" t="s">
        <v>3095</v>
      </c>
      <c r="C2290" s="2" t="s">
        <v>263</v>
      </c>
      <c r="D2290" s="2" t="s">
        <v>256</v>
      </c>
      <c r="E2290" s="2" t="s">
        <v>4647</v>
      </c>
      <c r="F2290" s="2">
        <v>21</v>
      </c>
      <c r="G2290" s="2">
        <v>21</v>
      </c>
      <c r="H2290" s="2">
        <v>0</v>
      </c>
      <c r="I2290" s="1">
        <v>0</v>
      </c>
      <c r="J2290" s="26">
        <v>45790</v>
      </c>
      <c r="K2290" s="22">
        <v>252000</v>
      </c>
      <c r="L2290" s="18">
        <v>269.52</v>
      </c>
      <c r="M2290" s="22">
        <v>194250</v>
      </c>
      <c r="N2290" s="22">
        <v>57750</v>
      </c>
      <c r="O2290" s="18">
        <v>61.76</v>
      </c>
      <c r="P2290" s="52">
        <f>IF(COUNTIF(TblPurchases[BatchID],TblOutcomes[[#This Row],[BatchID]])&lt;&gt;1,"n.a.",TblOutcomes[[#This Row],[Qty Wasted]]*SUMIFS(TblPurchases[Unit Cost (CLP)],TblPurchases[BatchID],TblOutcomes[[#This Row],[BatchID]]))</f>
        <v>0</v>
      </c>
      <c r="Q2290" s="51">
        <f>IF(COUNTIF(TblPurchases[BatchID],TblOutcomes[[#This Row],[BatchID]])&lt;&gt;1,"n.a.",SUMIFS(TblPurchases[Purchase Date],TblPurchases[BatchID],TblOutcomes[[#This Row],[BatchID]]))</f>
        <v>45768</v>
      </c>
    </row>
    <row r="2291" spans="2:17" x14ac:dyDescent="0.25">
      <c r="B2291" s="2" t="s">
        <v>3096</v>
      </c>
      <c r="C2291" s="2" t="s">
        <v>263</v>
      </c>
      <c r="D2291" s="2" t="s">
        <v>256</v>
      </c>
      <c r="E2291" s="2" t="s">
        <v>4647</v>
      </c>
      <c r="F2291" s="2">
        <v>19</v>
      </c>
      <c r="G2291" s="2">
        <v>19</v>
      </c>
      <c r="H2291" s="2">
        <v>0</v>
      </c>
      <c r="I2291" s="1">
        <v>0</v>
      </c>
      <c r="J2291" s="26">
        <v>45803</v>
      </c>
      <c r="K2291" s="22">
        <v>228000</v>
      </c>
      <c r="L2291" s="18">
        <v>243.85</v>
      </c>
      <c r="M2291" s="22">
        <v>175750</v>
      </c>
      <c r="N2291" s="22">
        <v>52250</v>
      </c>
      <c r="O2291" s="18">
        <v>55.88</v>
      </c>
      <c r="P2291" s="52">
        <f>IF(COUNTIF(TblPurchases[BatchID],TblOutcomes[[#This Row],[BatchID]])&lt;&gt;1,"n.a.",TblOutcomes[[#This Row],[Qty Wasted]]*SUMIFS(TblPurchases[Unit Cost (CLP)],TblPurchases[BatchID],TblOutcomes[[#This Row],[BatchID]]))</f>
        <v>0</v>
      </c>
      <c r="Q2291" s="51">
        <f>IF(COUNTIF(TblPurchases[BatchID],TblOutcomes[[#This Row],[BatchID]])&lt;&gt;1,"n.a.",SUMIFS(TblPurchases[Purchase Date],TblPurchases[BatchID],TblOutcomes[[#This Row],[BatchID]]))</f>
        <v>45794</v>
      </c>
    </row>
    <row r="2292" spans="2:17" x14ac:dyDescent="0.25">
      <c r="B2292" s="2" t="s">
        <v>3097</v>
      </c>
      <c r="C2292" s="2" t="s">
        <v>263</v>
      </c>
      <c r="D2292" s="2" t="s">
        <v>256</v>
      </c>
      <c r="E2292" s="2" t="s">
        <v>4647</v>
      </c>
      <c r="F2292" s="2">
        <v>22</v>
      </c>
      <c r="G2292" s="2">
        <v>22</v>
      </c>
      <c r="H2292" s="2">
        <v>0</v>
      </c>
      <c r="I2292" s="1">
        <v>0</v>
      </c>
      <c r="J2292" s="26">
        <v>45837</v>
      </c>
      <c r="K2292" s="22">
        <v>264000</v>
      </c>
      <c r="L2292" s="18">
        <v>282.35000000000002</v>
      </c>
      <c r="M2292" s="22">
        <v>203500</v>
      </c>
      <c r="N2292" s="22">
        <v>60500</v>
      </c>
      <c r="O2292" s="18">
        <v>64.709999999999994</v>
      </c>
      <c r="P2292" s="52">
        <f>IF(COUNTIF(TblPurchases[BatchID],TblOutcomes[[#This Row],[BatchID]])&lt;&gt;1,"n.a.",TblOutcomes[[#This Row],[Qty Wasted]]*SUMIFS(TblPurchases[Unit Cost (CLP)],TblPurchases[BatchID],TblOutcomes[[#This Row],[BatchID]]))</f>
        <v>0</v>
      </c>
      <c r="Q2292" s="51">
        <f>IF(COUNTIF(TblPurchases[BatchID],TblOutcomes[[#This Row],[BatchID]])&lt;&gt;1,"n.a.",SUMIFS(TblPurchases[Purchase Date],TblPurchases[BatchID],TblOutcomes[[#This Row],[BatchID]]))</f>
        <v>45816</v>
      </c>
    </row>
    <row r="2293" spans="2:17" x14ac:dyDescent="0.25">
      <c r="B2293" s="2" t="s">
        <v>3098</v>
      </c>
      <c r="C2293" s="2" t="s">
        <v>263</v>
      </c>
      <c r="D2293" s="2" t="s">
        <v>256</v>
      </c>
      <c r="E2293" s="2" t="s">
        <v>4647</v>
      </c>
      <c r="F2293" s="2">
        <v>23</v>
      </c>
      <c r="G2293" s="2">
        <v>23</v>
      </c>
      <c r="H2293" s="2">
        <v>0</v>
      </c>
      <c r="I2293" s="1">
        <v>0</v>
      </c>
      <c r="J2293" s="26">
        <v>45850</v>
      </c>
      <c r="K2293" s="22">
        <v>276000</v>
      </c>
      <c r="L2293" s="18">
        <v>295.19</v>
      </c>
      <c r="M2293" s="22">
        <v>212750</v>
      </c>
      <c r="N2293" s="22">
        <v>63250</v>
      </c>
      <c r="O2293" s="18">
        <v>67.650000000000006</v>
      </c>
      <c r="P2293" s="52">
        <f>IF(COUNTIF(TblPurchases[BatchID],TblOutcomes[[#This Row],[BatchID]])&lt;&gt;1,"n.a.",TblOutcomes[[#This Row],[Qty Wasted]]*SUMIFS(TblPurchases[Unit Cost (CLP)],TblPurchases[BatchID],TblOutcomes[[#This Row],[BatchID]]))</f>
        <v>0</v>
      </c>
      <c r="Q2293" s="51">
        <f>IF(COUNTIF(TblPurchases[BatchID],TblOutcomes[[#This Row],[BatchID]])&lt;&gt;1,"n.a.",SUMIFS(TblPurchases[Purchase Date],TblPurchases[BatchID],TblOutcomes[[#This Row],[BatchID]]))</f>
        <v>45832</v>
      </c>
    </row>
    <row r="2294" spans="2:17" x14ac:dyDescent="0.25">
      <c r="B2294" s="2" t="s">
        <v>3099</v>
      </c>
      <c r="C2294" s="2" t="s">
        <v>265</v>
      </c>
      <c r="D2294" s="2" t="s">
        <v>256</v>
      </c>
      <c r="E2294" s="2" t="s">
        <v>4647</v>
      </c>
      <c r="F2294" s="2">
        <v>20</v>
      </c>
      <c r="G2294" s="2">
        <v>20</v>
      </c>
      <c r="H2294" s="2">
        <v>0</v>
      </c>
      <c r="I2294" s="1">
        <v>0</v>
      </c>
      <c r="J2294" s="26">
        <v>45143</v>
      </c>
      <c r="K2294" s="22">
        <v>220000</v>
      </c>
      <c r="L2294" s="18">
        <v>235.29</v>
      </c>
      <c r="M2294" s="22">
        <v>170000</v>
      </c>
      <c r="N2294" s="22">
        <v>50000</v>
      </c>
      <c r="O2294" s="18">
        <v>53.48</v>
      </c>
      <c r="P2294" s="52">
        <f>IF(COUNTIF(TblPurchases[BatchID],TblOutcomes[[#This Row],[BatchID]])&lt;&gt;1,"n.a.",TblOutcomes[[#This Row],[Qty Wasted]]*SUMIFS(TblPurchases[Unit Cost (CLP)],TblPurchases[BatchID],TblOutcomes[[#This Row],[BatchID]]))</f>
        <v>0</v>
      </c>
      <c r="Q2294" s="51">
        <f>IF(COUNTIF(TblPurchases[BatchID],TblOutcomes[[#This Row],[BatchID]])&lt;&gt;1,"n.a.",SUMIFS(TblPurchases[Purchase Date],TblPurchases[BatchID],TblOutcomes[[#This Row],[BatchID]]))</f>
        <v>45128</v>
      </c>
    </row>
    <row r="2295" spans="2:17" x14ac:dyDescent="0.25">
      <c r="B2295" s="2" t="s">
        <v>3100</v>
      </c>
      <c r="C2295" s="2" t="s">
        <v>265</v>
      </c>
      <c r="D2295" s="2" t="s">
        <v>256</v>
      </c>
      <c r="E2295" s="2" t="s">
        <v>4647</v>
      </c>
      <c r="F2295" s="2">
        <v>22</v>
      </c>
      <c r="G2295" s="2">
        <v>22</v>
      </c>
      <c r="H2295" s="2">
        <v>0</v>
      </c>
      <c r="I2295" s="1">
        <v>0</v>
      </c>
      <c r="J2295" s="26">
        <v>45159</v>
      </c>
      <c r="K2295" s="22">
        <v>242000</v>
      </c>
      <c r="L2295" s="18">
        <v>258.82</v>
      </c>
      <c r="M2295" s="22">
        <v>187000</v>
      </c>
      <c r="N2295" s="22">
        <v>55000</v>
      </c>
      <c r="O2295" s="18">
        <v>58.82</v>
      </c>
      <c r="P2295" s="52">
        <f>IF(COUNTIF(TblPurchases[BatchID],TblOutcomes[[#This Row],[BatchID]])&lt;&gt;1,"n.a.",TblOutcomes[[#This Row],[Qty Wasted]]*SUMIFS(TblPurchases[Unit Cost (CLP)],TblPurchases[BatchID],TblOutcomes[[#This Row],[BatchID]]))</f>
        <v>0</v>
      </c>
      <c r="Q2295" s="51">
        <f>IF(COUNTIF(TblPurchases[BatchID],TblOutcomes[[#This Row],[BatchID]])&lt;&gt;1,"n.a.",SUMIFS(TblPurchases[Purchase Date],TblPurchases[BatchID],TblOutcomes[[#This Row],[BatchID]]))</f>
        <v>45150</v>
      </c>
    </row>
    <row r="2296" spans="2:17" x14ac:dyDescent="0.25">
      <c r="B2296" s="2" t="s">
        <v>3101</v>
      </c>
      <c r="C2296" s="2" t="s">
        <v>265</v>
      </c>
      <c r="D2296" s="2" t="s">
        <v>256</v>
      </c>
      <c r="E2296" s="2" t="s">
        <v>4647</v>
      </c>
      <c r="F2296" s="2">
        <v>19</v>
      </c>
      <c r="G2296" s="2">
        <v>19</v>
      </c>
      <c r="H2296" s="2">
        <v>0</v>
      </c>
      <c r="I2296" s="1">
        <v>0</v>
      </c>
      <c r="J2296" s="26">
        <v>45187</v>
      </c>
      <c r="K2296" s="22">
        <v>209000</v>
      </c>
      <c r="L2296" s="18">
        <v>223.53</v>
      </c>
      <c r="M2296" s="22">
        <v>161500</v>
      </c>
      <c r="N2296" s="22">
        <v>47500</v>
      </c>
      <c r="O2296" s="18">
        <v>50.8</v>
      </c>
      <c r="P2296" s="52">
        <f>IF(COUNTIF(TblPurchases[BatchID],TblOutcomes[[#This Row],[BatchID]])&lt;&gt;1,"n.a.",TblOutcomes[[#This Row],[Qty Wasted]]*SUMIFS(TblPurchases[Unit Cost (CLP)],TblPurchases[BatchID],TblOutcomes[[#This Row],[BatchID]]))</f>
        <v>0</v>
      </c>
      <c r="Q2296" s="51">
        <f>IF(COUNTIF(TblPurchases[BatchID],TblOutcomes[[#This Row],[BatchID]])&lt;&gt;1,"n.a.",SUMIFS(TblPurchases[Purchase Date],TblPurchases[BatchID],TblOutcomes[[#This Row],[BatchID]]))</f>
        <v>45169</v>
      </c>
    </row>
    <row r="2297" spans="2:17" x14ac:dyDescent="0.25">
      <c r="B2297" s="2" t="s">
        <v>3102</v>
      </c>
      <c r="C2297" s="2" t="s">
        <v>265</v>
      </c>
      <c r="D2297" s="2" t="s">
        <v>256</v>
      </c>
      <c r="E2297" s="2" t="s">
        <v>4647</v>
      </c>
      <c r="F2297" s="2">
        <v>23</v>
      </c>
      <c r="G2297" s="2">
        <v>23</v>
      </c>
      <c r="H2297" s="2">
        <v>0</v>
      </c>
      <c r="I2297" s="1">
        <v>0</v>
      </c>
      <c r="J2297" s="26">
        <v>45202</v>
      </c>
      <c r="K2297" s="22">
        <v>253000</v>
      </c>
      <c r="L2297" s="18">
        <v>270.58999999999997</v>
      </c>
      <c r="M2297" s="22">
        <v>202400</v>
      </c>
      <c r="N2297" s="22">
        <v>50600</v>
      </c>
      <c r="O2297" s="18">
        <v>54.12</v>
      </c>
      <c r="P2297" s="52">
        <f>IF(COUNTIF(TblPurchases[BatchID],TblOutcomes[[#This Row],[BatchID]])&lt;&gt;1,"n.a.",TblOutcomes[[#This Row],[Qty Wasted]]*SUMIFS(TblPurchases[Unit Cost (CLP)],TblPurchases[BatchID],TblOutcomes[[#This Row],[BatchID]]))</f>
        <v>0</v>
      </c>
      <c r="Q2297" s="51">
        <f>IF(COUNTIF(TblPurchases[BatchID],TblOutcomes[[#This Row],[BatchID]])&lt;&gt;1,"n.a.",SUMIFS(TblPurchases[Purchase Date],TblPurchases[BatchID],TblOutcomes[[#This Row],[BatchID]]))</f>
        <v>45196</v>
      </c>
    </row>
    <row r="2298" spans="2:17" x14ac:dyDescent="0.25">
      <c r="B2298" s="2" t="s">
        <v>3103</v>
      </c>
      <c r="C2298" s="2" t="s">
        <v>265</v>
      </c>
      <c r="D2298" s="2" t="s">
        <v>256</v>
      </c>
      <c r="E2298" s="2" t="s">
        <v>4646</v>
      </c>
      <c r="F2298" s="2">
        <v>8</v>
      </c>
      <c r="G2298" s="2">
        <v>7.34</v>
      </c>
      <c r="H2298" s="2">
        <v>0.66</v>
      </c>
      <c r="I2298" s="1">
        <v>8.3000000000000007</v>
      </c>
      <c r="J2298" s="26">
        <v>45421</v>
      </c>
      <c r="K2298" s="22">
        <v>80740</v>
      </c>
      <c r="L2298" s="18">
        <v>86.35</v>
      </c>
      <c r="M2298" s="22">
        <v>68000</v>
      </c>
      <c r="N2298" s="22">
        <v>12740</v>
      </c>
      <c r="O2298" s="18">
        <v>13.63</v>
      </c>
      <c r="P2298" s="52">
        <f>IF(COUNTIF(TblPurchases[BatchID],TblOutcomes[[#This Row],[BatchID]])&lt;&gt;1,"n.a.",TblOutcomes[[#This Row],[Qty Wasted]]*SUMIFS(TblPurchases[Unit Cost (CLP)],TblPurchases[BatchID],TblOutcomes[[#This Row],[BatchID]]))</f>
        <v>5610</v>
      </c>
      <c r="Q2298" s="51">
        <f>IF(COUNTIF(TblPurchases[BatchID],TblOutcomes[[#This Row],[BatchID]])&lt;&gt;1,"n.a.",SUMIFS(TblPurchases[Purchase Date],TblPurchases[BatchID],TblOutcomes[[#This Row],[BatchID]]))</f>
        <v>45211</v>
      </c>
    </row>
    <row r="2299" spans="2:17" x14ac:dyDescent="0.25">
      <c r="B2299" s="2" t="s">
        <v>3104</v>
      </c>
      <c r="C2299" s="2" t="s">
        <v>265</v>
      </c>
      <c r="D2299" s="2" t="s">
        <v>256</v>
      </c>
      <c r="E2299" s="2" t="s">
        <v>4646</v>
      </c>
      <c r="F2299" s="2">
        <v>8</v>
      </c>
      <c r="G2299" s="2">
        <v>7.39</v>
      </c>
      <c r="H2299" s="2">
        <v>0.61</v>
      </c>
      <c r="I2299" s="1">
        <v>7.6</v>
      </c>
      <c r="J2299" s="26">
        <v>45436</v>
      </c>
      <c r="K2299" s="22">
        <v>81290</v>
      </c>
      <c r="L2299" s="18">
        <v>86.94</v>
      </c>
      <c r="M2299" s="22">
        <v>70400</v>
      </c>
      <c r="N2299" s="22">
        <v>10890</v>
      </c>
      <c r="O2299" s="18">
        <v>11.65</v>
      </c>
      <c r="P2299" s="52">
        <f>IF(COUNTIF(TblPurchases[BatchID],TblOutcomes[[#This Row],[BatchID]])&lt;&gt;1,"n.a.",TblOutcomes[[#This Row],[Qty Wasted]]*SUMIFS(TblPurchases[Unit Cost (CLP)],TblPurchases[BatchID],TblOutcomes[[#This Row],[BatchID]]))</f>
        <v>5368</v>
      </c>
      <c r="Q2299" s="51">
        <f>IF(COUNTIF(TblPurchases[BatchID],TblOutcomes[[#This Row],[BatchID]])&lt;&gt;1,"n.a.",SUMIFS(TblPurchases[Purchase Date],TblPurchases[BatchID],TblOutcomes[[#This Row],[BatchID]]))</f>
        <v>45226</v>
      </c>
    </row>
    <row r="2300" spans="2:17" x14ac:dyDescent="0.25">
      <c r="B2300" s="2" t="s">
        <v>3105</v>
      </c>
      <c r="C2300" s="2" t="s">
        <v>265</v>
      </c>
      <c r="D2300" s="2" t="s">
        <v>256</v>
      </c>
      <c r="E2300" s="2" t="s">
        <v>4647</v>
      </c>
      <c r="F2300" s="2">
        <v>8</v>
      </c>
      <c r="G2300" s="2">
        <v>8</v>
      </c>
      <c r="H2300" s="2">
        <v>0</v>
      </c>
      <c r="I2300" s="1">
        <v>0</v>
      </c>
      <c r="J2300" s="26">
        <v>45269</v>
      </c>
      <c r="K2300" s="22">
        <v>88000</v>
      </c>
      <c r="L2300" s="18">
        <v>94.12</v>
      </c>
      <c r="M2300" s="22">
        <v>68000</v>
      </c>
      <c r="N2300" s="22">
        <v>20000</v>
      </c>
      <c r="O2300" s="18">
        <v>21.39</v>
      </c>
      <c r="P2300" s="52">
        <f>IF(COUNTIF(TblPurchases[BatchID],TblOutcomes[[#This Row],[BatchID]])&lt;&gt;1,"n.a.",TblOutcomes[[#This Row],[Qty Wasted]]*SUMIFS(TblPurchases[Unit Cost (CLP)],TblPurchases[BatchID],TblOutcomes[[#This Row],[BatchID]]))</f>
        <v>0</v>
      </c>
      <c r="Q2300" s="51">
        <f>IF(COUNTIF(TblPurchases[BatchID],TblOutcomes[[#This Row],[BatchID]])&lt;&gt;1,"n.a.",SUMIFS(TblPurchases[Purchase Date],TblPurchases[BatchID],TblOutcomes[[#This Row],[BatchID]]))</f>
        <v>45250</v>
      </c>
    </row>
    <row r="2301" spans="2:17" x14ac:dyDescent="0.25">
      <c r="B2301" s="2" t="s">
        <v>3106</v>
      </c>
      <c r="C2301" s="2" t="s">
        <v>265</v>
      </c>
      <c r="D2301" s="2" t="s">
        <v>256</v>
      </c>
      <c r="E2301" s="2" t="s">
        <v>4647</v>
      </c>
      <c r="F2301" s="2">
        <v>8</v>
      </c>
      <c r="G2301" s="2">
        <v>8</v>
      </c>
      <c r="H2301" s="2">
        <v>0</v>
      </c>
      <c r="I2301" s="1">
        <v>0</v>
      </c>
      <c r="J2301" s="26">
        <v>45291</v>
      </c>
      <c r="K2301" s="22">
        <v>88000</v>
      </c>
      <c r="L2301" s="18">
        <v>94.12</v>
      </c>
      <c r="M2301" s="22">
        <v>68000</v>
      </c>
      <c r="N2301" s="22">
        <v>20000</v>
      </c>
      <c r="O2301" s="18">
        <v>21.39</v>
      </c>
      <c r="P2301" s="52">
        <f>IF(COUNTIF(TblPurchases[BatchID],TblOutcomes[[#This Row],[BatchID]])&lt;&gt;1,"n.a.",TblOutcomes[[#This Row],[Qty Wasted]]*SUMIFS(TblPurchases[Unit Cost (CLP)],TblPurchases[BatchID],TblOutcomes[[#This Row],[BatchID]]))</f>
        <v>0</v>
      </c>
      <c r="Q2301" s="51">
        <f>IF(COUNTIF(TblPurchases[BatchID],TblOutcomes[[#This Row],[BatchID]])&lt;&gt;1,"n.a.",SUMIFS(TblPurchases[Purchase Date],TblPurchases[BatchID],TblOutcomes[[#This Row],[BatchID]]))</f>
        <v>45272</v>
      </c>
    </row>
    <row r="2302" spans="2:17" x14ac:dyDescent="0.25">
      <c r="B2302" s="2" t="s">
        <v>3107</v>
      </c>
      <c r="C2302" s="2" t="s">
        <v>265</v>
      </c>
      <c r="D2302" s="2" t="s">
        <v>256</v>
      </c>
      <c r="E2302" s="2" t="s">
        <v>4646</v>
      </c>
      <c r="F2302" s="2">
        <v>10</v>
      </c>
      <c r="G2302" s="2">
        <v>9.19</v>
      </c>
      <c r="H2302" s="2">
        <v>0.81</v>
      </c>
      <c r="I2302" s="1">
        <v>8.1</v>
      </c>
      <c r="J2302" s="26">
        <v>45501</v>
      </c>
      <c r="K2302" s="22">
        <v>101090</v>
      </c>
      <c r="L2302" s="18">
        <v>108.12</v>
      </c>
      <c r="M2302" s="22">
        <v>85000</v>
      </c>
      <c r="N2302" s="22">
        <v>16090</v>
      </c>
      <c r="O2302" s="18">
        <v>17.21</v>
      </c>
      <c r="P2302" s="52">
        <f>IF(COUNTIF(TblPurchases[BatchID],TblOutcomes[[#This Row],[BatchID]])&lt;&gt;1,"n.a.",TblOutcomes[[#This Row],[Qty Wasted]]*SUMIFS(TblPurchases[Unit Cost (CLP)],TblPurchases[BatchID],TblOutcomes[[#This Row],[BatchID]]))</f>
        <v>6885</v>
      </c>
      <c r="Q2302" s="51">
        <f>IF(COUNTIF(TblPurchases[BatchID],TblOutcomes[[#This Row],[BatchID]])&lt;&gt;1,"n.a.",SUMIFS(TblPurchases[Purchase Date],TblPurchases[BatchID],TblOutcomes[[#This Row],[BatchID]]))</f>
        <v>45291</v>
      </c>
    </row>
    <row r="2303" spans="2:17" x14ac:dyDescent="0.25">
      <c r="B2303" s="2" t="s">
        <v>3108</v>
      </c>
      <c r="C2303" s="2" t="s">
        <v>265</v>
      </c>
      <c r="D2303" s="2" t="s">
        <v>256</v>
      </c>
      <c r="E2303" s="2" t="s">
        <v>4646</v>
      </c>
      <c r="F2303" s="2">
        <v>6</v>
      </c>
      <c r="G2303" s="2">
        <v>5.5</v>
      </c>
      <c r="H2303" s="2">
        <v>0.5</v>
      </c>
      <c r="I2303" s="1">
        <v>8.3000000000000007</v>
      </c>
      <c r="J2303" s="26">
        <v>45517</v>
      </c>
      <c r="K2303" s="22">
        <v>60500</v>
      </c>
      <c r="L2303" s="18">
        <v>64.709999999999994</v>
      </c>
      <c r="M2303" s="22">
        <v>51000</v>
      </c>
      <c r="N2303" s="22">
        <v>9500</v>
      </c>
      <c r="O2303" s="18">
        <v>10.16</v>
      </c>
      <c r="P2303" s="52">
        <f>IF(COUNTIF(TblPurchases[BatchID],TblOutcomes[[#This Row],[BatchID]])&lt;&gt;1,"n.a.",TblOutcomes[[#This Row],[Qty Wasted]]*SUMIFS(TblPurchases[Unit Cost (CLP)],TblPurchases[BatchID],TblOutcomes[[#This Row],[BatchID]]))</f>
        <v>4250</v>
      </c>
      <c r="Q2303" s="51">
        <f>IF(COUNTIF(TblPurchases[BatchID],TblOutcomes[[#This Row],[BatchID]])&lt;&gt;1,"n.a.",SUMIFS(TblPurchases[Purchase Date],TblPurchases[BatchID],TblOutcomes[[#This Row],[BatchID]]))</f>
        <v>45307</v>
      </c>
    </row>
    <row r="2304" spans="2:17" x14ac:dyDescent="0.25">
      <c r="B2304" s="2" t="s">
        <v>3109</v>
      </c>
      <c r="C2304" s="2" t="s">
        <v>265</v>
      </c>
      <c r="D2304" s="2" t="s">
        <v>256</v>
      </c>
      <c r="E2304" s="2" t="s">
        <v>4646</v>
      </c>
      <c r="F2304" s="2">
        <v>7</v>
      </c>
      <c r="G2304" s="2">
        <v>6.36</v>
      </c>
      <c r="H2304" s="2">
        <v>0.64</v>
      </c>
      <c r="I2304" s="1">
        <v>9.1</v>
      </c>
      <c r="J2304" s="26">
        <v>45539</v>
      </c>
      <c r="K2304" s="22">
        <v>69960</v>
      </c>
      <c r="L2304" s="18">
        <v>74.819999999999993</v>
      </c>
      <c r="M2304" s="22">
        <v>59500</v>
      </c>
      <c r="N2304" s="22">
        <v>10460</v>
      </c>
      <c r="O2304" s="18">
        <v>11.19</v>
      </c>
      <c r="P2304" s="52">
        <f>IF(COUNTIF(TblPurchases[BatchID],TblOutcomes[[#This Row],[BatchID]])&lt;&gt;1,"n.a.",TblOutcomes[[#This Row],[Qty Wasted]]*SUMIFS(TblPurchases[Unit Cost (CLP)],TblPurchases[BatchID],TblOutcomes[[#This Row],[BatchID]]))</f>
        <v>5440</v>
      </c>
      <c r="Q2304" s="51">
        <f>IF(COUNTIF(TblPurchases[BatchID],TblOutcomes[[#This Row],[BatchID]])&lt;&gt;1,"n.a.",SUMIFS(TblPurchases[Purchase Date],TblPurchases[BatchID],TblOutcomes[[#This Row],[BatchID]]))</f>
        <v>45329</v>
      </c>
    </row>
    <row r="2305" spans="2:17" x14ac:dyDescent="0.25">
      <c r="B2305" s="2" t="s">
        <v>3110</v>
      </c>
      <c r="C2305" s="2" t="s">
        <v>265</v>
      </c>
      <c r="D2305" s="2" t="s">
        <v>256</v>
      </c>
      <c r="E2305" s="2" t="s">
        <v>4646</v>
      </c>
      <c r="F2305" s="2">
        <v>8</v>
      </c>
      <c r="G2305" s="2">
        <v>7.25</v>
      </c>
      <c r="H2305" s="2">
        <v>0.75</v>
      </c>
      <c r="I2305" s="1">
        <v>9.4</v>
      </c>
      <c r="J2305" s="26">
        <v>45563</v>
      </c>
      <c r="K2305" s="22">
        <v>79750</v>
      </c>
      <c r="L2305" s="18">
        <v>85.29</v>
      </c>
      <c r="M2305" s="22">
        <v>68000</v>
      </c>
      <c r="N2305" s="22">
        <v>11750</v>
      </c>
      <c r="O2305" s="18">
        <v>12.57</v>
      </c>
      <c r="P2305" s="52">
        <f>IF(COUNTIF(TblPurchases[BatchID],TblOutcomes[[#This Row],[BatchID]])&lt;&gt;1,"n.a.",TblOutcomes[[#This Row],[Qty Wasted]]*SUMIFS(TblPurchases[Unit Cost (CLP)],TblPurchases[BatchID],TblOutcomes[[#This Row],[BatchID]]))</f>
        <v>6375</v>
      </c>
      <c r="Q2305" s="51">
        <f>IF(COUNTIF(TblPurchases[BatchID],TblOutcomes[[#This Row],[BatchID]])&lt;&gt;1,"n.a.",SUMIFS(TblPurchases[Purchase Date],TblPurchases[BatchID],TblOutcomes[[#This Row],[BatchID]]))</f>
        <v>45353</v>
      </c>
    </row>
    <row r="2306" spans="2:17" x14ac:dyDescent="0.25">
      <c r="B2306" s="2" t="s">
        <v>3111</v>
      </c>
      <c r="C2306" s="2" t="s">
        <v>265</v>
      </c>
      <c r="D2306" s="2" t="s">
        <v>256</v>
      </c>
      <c r="E2306" s="2" t="s">
        <v>4646</v>
      </c>
      <c r="F2306" s="2">
        <v>7</v>
      </c>
      <c r="G2306" s="2">
        <v>6.76</v>
      </c>
      <c r="H2306" s="2">
        <v>0.24</v>
      </c>
      <c r="I2306" s="1">
        <v>3.4</v>
      </c>
      <c r="J2306" s="26">
        <v>45581</v>
      </c>
      <c r="K2306" s="22">
        <v>74360</v>
      </c>
      <c r="L2306" s="18">
        <v>79.53</v>
      </c>
      <c r="M2306" s="22">
        <v>59500</v>
      </c>
      <c r="N2306" s="22">
        <v>14860</v>
      </c>
      <c r="O2306" s="18">
        <v>15.89</v>
      </c>
      <c r="P2306" s="52">
        <f>IF(COUNTIF(TblPurchases[BatchID],TblOutcomes[[#This Row],[BatchID]])&lt;&gt;1,"n.a.",TblOutcomes[[#This Row],[Qty Wasted]]*SUMIFS(TblPurchases[Unit Cost (CLP)],TblPurchases[BatchID],TblOutcomes[[#This Row],[BatchID]]))</f>
        <v>2040</v>
      </c>
      <c r="Q2306" s="51">
        <f>IF(COUNTIF(TblPurchases[BatchID],TblOutcomes[[#This Row],[BatchID]])&lt;&gt;1,"n.a.",SUMIFS(TblPurchases[Purchase Date],TblPurchases[BatchID],TblOutcomes[[#This Row],[BatchID]]))</f>
        <v>45371</v>
      </c>
    </row>
    <row r="2307" spans="2:17" x14ac:dyDescent="0.25">
      <c r="B2307" s="2" t="s">
        <v>3112</v>
      </c>
      <c r="C2307" s="2" t="s">
        <v>265</v>
      </c>
      <c r="D2307" s="2" t="s">
        <v>256</v>
      </c>
      <c r="E2307" s="2" t="s">
        <v>4647</v>
      </c>
      <c r="F2307" s="2">
        <v>20</v>
      </c>
      <c r="G2307" s="2">
        <v>20</v>
      </c>
      <c r="H2307" s="2">
        <v>0</v>
      </c>
      <c r="I2307" s="1">
        <v>0</v>
      </c>
      <c r="J2307" s="26">
        <v>45409</v>
      </c>
      <c r="K2307" s="22">
        <v>220000</v>
      </c>
      <c r="L2307" s="18">
        <v>235.29</v>
      </c>
      <c r="M2307" s="22">
        <v>170000</v>
      </c>
      <c r="N2307" s="22">
        <v>50000</v>
      </c>
      <c r="O2307" s="18">
        <v>53.48</v>
      </c>
      <c r="P2307" s="52">
        <f>IF(COUNTIF(TblPurchases[BatchID],TblOutcomes[[#This Row],[BatchID]])&lt;&gt;1,"n.a.",TblOutcomes[[#This Row],[Qty Wasted]]*SUMIFS(TblPurchases[Unit Cost (CLP)],TblPurchases[BatchID],TblOutcomes[[#This Row],[BatchID]]))</f>
        <v>0</v>
      </c>
      <c r="Q2307" s="51">
        <f>IF(COUNTIF(TblPurchases[BatchID],TblOutcomes[[#This Row],[BatchID]])&lt;&gt;1,"n.a.",SUMIFS(TblPurchases[Purchase Date],TblPurchases[BatchID],TblOutcomes[[#This Row],[BatchID]]))</f>
        <v>45390</v>
      </c>
    </row>
    <row r="2308" spans="2:17" x14ac:dyDescent="0.25">
      <c r="B2308" s="2" t="s">
        <v>3113</v>
      </c>
      <c r="C2308" s="2" t="s">
        <v>265</v>
      </c>
      <c r="D2308" s="2" t="s">
        <v>256</v>
      </c>
      <c r="E2308" s="2" t="s">
        <v>4647</v>
      </c>
      <c r="F2308" s="2">
        <v>22</v>
      </c>
      <c r="G2308" s="2">
        <v>22</v>
      </c>
      <c r="H2308" s="2">
        <v>0</v>
      </c>
      <c r="I2308" s="1">
        <v>0</v>
      </c>
      <c r="J2308" s="26">
        <v>45430</v>
      </c>
      <c r="K2308" s="22">
        <v>242000</v>
      </c>
      <c r="L2308" s="18">
        <v>258.82</v>
      </c>
      <c r="M2308" s="22">
        <v>187000</v>
      </c>
      <c r="N2308" s="22">
        <v>55000</v>
      </c>
      <c r="O2308" s="18">
        <v>58.82</v>
      </c>
      <c r="P2308" s="52">
        <f>IF(COUNTIF(TblPurchases[BatchID],TblOutcomes[[#This Row],[BatchID]])&lt;&gt;1,"n.a.",TblOutcomes[[#This Row],[Qty Wasted]]*SUMIFS(TblPurchases[Unit Cost (CLP)],TblPurchases[BatchID],TblOutcomes[[#This Row],[BatchID]]))</f>
        <v>0</v>
      </c>
      <c r="Q2308" s="51">
        <f>IF(COUNTIF(TblPurchases[BatchID],TblOutcomes[[#This Row],[BatchID]])&lt;&gt;1,"n.a.",SUMIFS(TblPurchases[Purchase Date],TblPurchases[BatchID],TblOutcomes[[#This Row],[BatchID]]))</f>
        <v>45411</v>
      </c>
    </row>
    <row r="2309" spans="2:17" x14ac:dyDescent="0.25">
      <c r="B2309" s="2" t="s">
        <v>3114</v>
      </c>
      <c r="C2309" s="2" t="s">
        <v>265</v>
      </c>
      <c r="D2309" s="2" t="s">
        <v>256</v>
      </c>
      <c r="E2309" s="2" t="s">
        <v>4647</v>
      </c>
      <c r="F2309" s="2">
        <v>22</v>
      </c>
      <c r="G2309" s="2">
        <v>22</v>
      </c>
      <c r="H2309" s="2">
        <v>0</v>
      </c>
      <c r="I2309" s="1">
        <v>0</v>
      </c>
      <c r="J2309" s="26">
        <v>45439</v>
      </c>
      <c r="K2309" s="22">
        <v>242000</v>
      </c>
      <c r="L2309" s="18">
        <v>258.82</v>
      </c>
      <c r="M2309" s="22">
        <v>187000</v>
      </c>
      <c r="N2309" s="22">
        <v>55000</v>
      </c>
      <c r="O2309" s="18">
        <v>58.82</v>
      </c>
      <c r="P2309" s="52">
        <f>IF(COUNTIF(TblPurchases[BatchID],TblOutcomes[[#This Row],[BatchID]])&lt;&gt;1,"n.a.",TblOutcomes[[#This Row],[Qty Wasted]]*SUMIFS(TblPurchases[Unit Cost (CLP)],TblPurchases[BatchID],TblOutcomes[[#This Row],[BatchID]]))</f>
        <v>0</v>
      </c>
      <c r="Q2309" s="51">
        <f>IF(COUNTIF(TblPurchases[BatchID],TblOutcomes[[#This Row],[BatchID]])&lt;&gt;1,"n.a.",SUMIFS(TblPurchases[Purchase Date],TblPurchases[BatchID],TblOutcomes[[#This Row],[BatchID]]))</f>
        <v>45429</v>
      </c>
    </row>
    <row r="2310" spans="2:17" x14ac:dyDescent="0.25">
      <c r="B2310" s="2" t="s">
        <v>3115</v>
      </c>
      <c r="C2310" s="2" t="s">
        <v>265</v>
      </c>
      <c r="D2310" s="2" t="s">
        <v>256</v>
      </c>
      <c r="E2310" s="2" t="s">
        <v>4647</v>
      </c>
      <c r="F2310" s="2">
        <v>19</v>
      </c>
      <c r="G2310" s="2">
        <v>19</v>
      </c>
      <c r="H2310" s="2">
        <v>0</v>
      </c>
      <c r="I2310" s="1">
        <v>0</v>
      </c>
      <c r="J2310" s="26">
        <v>45471</v>
      </c>
      <c r="K2310" s="22">
        <v>209000</v>
      </c>
      <c r="L2310" s="18">
        <v>223.53</v>
      </c>
      <c r="M2310" s="22">
        <v>161500</v>
      </c>
      <c r="N2310" s="22">
        <v>47500</v>
      </c>
      <c r="O2310" s="18">
        <v>50.8</v>
      </c>
      <c r="P2310" s="52">
        <f>IF(COUNTIF(TblPurchases[BatchID],TblOutcomes[[#This Row],[BatchID]])&lt;&gt;1,"n.a.",TblOutcomes[[#This Row],[Qty Wasted]]*SUMIFS(TblPurchases[Unit Cost (CLP)],TblPurchases[BatchID],TblOutcomes[[#This Row],[BatchID]]))</f>
        <v>0</v>
      </c>
      <c r="Q2310" s="51">
        <f>IF(COUNTIF(TblPurchases[BatchID],TblOutcomes[[#This Row],[BatchID]])&lt;&gt;1,"n.a.",SUMIFS(TblPurchases[Purchase Date],TblPurchases[BatchID],TblOutcomes[[#This Row],[BatchID]]))</f>
        <v>45449</v>
      </c>
    </row>
    <row r="2311" spans="2:17" x14ac:dyDescent="0.25">
      <c r="B2311" s="2" t="s">
        <v>3116</v>
      </c>
      <c r="C2311" s="2" t="s">
        <v>265</v>
      </c>
      <c r="D2311" s="2" t="s">
        <v>256</v>
      </c>
      <c r="E2311" s="2" t="s">
        <v>4647</v>
      </c>
      <c r="F2311" s="2">
        <v>19</v>
      </c>
      <c r="G2311" s="2">
        <v>19</v>
      </c>
      <c r="H2311" s="2">
        <v>0</v>
      </c>
      <c r="I2311" s="1">
        <v>0</v>
      </c>
      <c r="J2311" s="26">
        <v>45493</v>
      </c>
      <c r="K2311" s="22">
        <v>209000</v>
      </c>
      <c r="L2311" s="18">
        <v>223.53</v>
      </c>
      <c r="M2311" s="22">
        <v>161500</v>
      </c>
      <c r="N2311" s="22">
        <v>47500</v>
      </c>
      <c r="O2311" s="18">
        <v>50.8</v>
      </c>
      <c r="P2311" s="52">
        <f>IF(COUNTIF(TblPurchases[BatchID],TblOutcomes[[#This Row],[BatchID]])&lt;&gt;1,"n.a.",TblOutcomes[[#This Row],[Qty Wasted]]*SUMIFS(TblPurchases[Unit Cost (CLP)],TblPurchases[BatchID],TblOutcomes[[#This Row],[BatchID]]))</f>
        <v>0</v>
      </c>
      <c r="Q2311" s="51">
        <f>IF(COUNTIF(TblPurchases[BatchID],TblOutcomes[[#This Row],[BatchID]])&lt;&gt;1,"n.a.",SUMIFS(TblPurchases[Purchase Date],TblPurchases[BatchID],TblOutcomes[[#This Row],[BatchID]]))</f>
        <v>45469</v>
      </c>
    </row>
    <row r="2312" spans="2:17" x14ac:dyDescent="0.25">
      <c r="B2312" s="2" t="s">
        <v>3117</v>
      </c>
      <c r="C2312" s="2" t="s">
        <v>265</v>
      </c>
      <c r="D2312" s="2" t="s">
        <v>256</v>
      </c>
      <c r="E2312" s="2" t="s">
        <v>4647</v>
      </c>
      <c r="F2312" s="2">
        <v>19</v>
      </c>
      <c r="G2312" s="2">
        <v>19</v>
      </c>
      <c r="H2312" s="2">
        <v>0</v>
      </c>
      <c r="I2312" s="1">
        <v>0</v>
      </c>
      <c r="J2312" s="26">
        <v>45500</v>
      </c>
      <c r="K2312" s="22">
        <v>209000</v>
      </c>
      <c r="L2312" s="18">
        <v>223.53</v>
      </c>
      <c r="M2312" s="22">
        <v>161500</v>
      </c>
      <c r="N2312" s="22">
        <v>47500</v>
      </c>
      <c r="O2312" s="18">
        <v>50.8</v>
      </c>
      <c r="P2312" s="52">
        <f>IF(COUNTIF(TblPurchases[BatchID],TblOutcomes[[#This Row],[BatchID]])&lt;&gt;1,"n.a.",TblOutcomes[[#This Row],[Qty Wasted]]*SUMIFS(TblPurchases[Unit Cost (CLP)],TblPurchases[BatchID],TblOutcomes[[#This Row],[BatchID]]))</f>
        <v>0</v>
      </c>
      <c r="Q2312" s="51">
        <f>IF(COUNTIF(TblPurchases[BatchID],TblOutcomes[[#This Row],[BatchID]])&lt;&gt;1,"n.a.",SUMIFS(TblPurchases[Purchase Date],TblPurchases[BatchID],TblOutcomes[[#This Row],[BatchID]]))</f>
        <v>45489</v>
      </c>
    </row>
    <row r="2313" spans="2:17" x14ac:dyDescent="0.25">
      <c r="B2313" s="2" t="s">
        <v>3118</v>
      </c>
      <c r="C2313" s="2" t="s">
        <v>265</v>
      </c>
      <c r="D2313" s="2" t="s">
        <v>256</v>
      </c>
      <c r="E2313" s="2" t="s">
        <v>4647</v>
      </c>
      <c r="F2313" s="2">
        <v>19</v>
      </c>
      <c r="G2313" s="2">
        <v>19</v>
      </c>
      <c r="H2313" s="2">
        <v>0</v>
      </c>
      <c r="I2313" s="1">
        <v>0</v>
      </c>
      <c r="J2313" s="26">
        <v>45529</v>
      </c>
      <c r="K2313" s="22">
        <v>209000</v>
      </c>
      <c r="L2313" s="18">
        <v>223.53</v>
      </c>
      <c r="M2313" s="22">
        <v>161500</v>
      </c>
      <c r="N2313" s="22">
        <v>47500</v>
      </c>
      <c r="O2313" s="18">
        <v>50.8</v>
      </c>
      <c r="P2313" s="52">
        <f>IF(COUNTIF(TblPurchases[BatchID],TblOutcomes[[#This Row],[BatchID]])&lt;&gt;1,"n.a.",TblOutcomes[[#This Row],[Qty Wasted]]*SUMIFS(TblPurchases[Unit Cost (CLP)],TblPurchases[BatchID],TblOutcomes[[#This Row],[BatchID]]))</f>
        <v>0</v>
      </c>
      <c r="Q2313" s="51">
        <f>IF(COUNTIF(TblPurchases[BatchID],TblOutcomes[[#This Row],[BatchID]])&lt;&gt;1,"n.a.",SUMIFS(TblPurchases[Purchase Date],TblPurchases[BatchID],TblOutcomes[[#This Row],[BatchID]]))</f>
        <v>45513</v>
      </c>
    </row>
    <row r="2314" spans="2:17" x14ac:dyDescent="0.25">
      <c r="B2314" s="2" t="s">
        <v>3119</v>
      </c>
      <c r="C2314" s="2" t="s">
        <v>265</v>
      </c>
      <c r="D2314" s="2" t="s">
        <v>256</v>
      </c>
      <c r="E2314" s="2" t="s">
        <v>4647</v>
      </c>
      <c r="F2314" s="2">
        <v>20</v>
      </c>
      <c r="G2314" s="2">
        <v>20</v>
      </c>
      <c r="H2314" s="2">
        <v>0</v>
      </c>
      <c r="I2314" s="1">
        <v>0</v>
      </c>
      <c r="J2314" s="26">
        <v>45545</v>
      </c>
      <c r="K2314" s="22">
        <v>220000</v>
      </c>
      <c r="L2314" s="18">
        <v>235.29</v>
      </c>
      <c r="M2314" s="22">
        <v>170000</v>
      </c>
      <c r="N2314" s="22">
        <v>50000</v>
      </c>
      <c r="O2314" s="18">
        <v>53.48</v>
      </c>
      <c r="P2314" s="52">
        <f>IF(COUNTIF(TblPurchases[BatchID],TblOutcomes[[#This Row],[BatchID]])&lt;&gt;1,"n.a.",TblOutcomes[[#This Row],[Qty Wasted]]*SUMIFS(TblPurchases[Unit Cost (CLP)],TblPurchases[BatchID],TblOutcomes[[#This Row],[BatchID]]))</f>
        <v>0</v>
      </c>
      <c r="Q2314" s="51">
        <f>IF(COUNTIF(TblPurchases[BatchID],TblOutcomes[[#This Row],[BatchID]])&lt;&gt;1,"n.a.",SUMIFS(TblPurchases[Purchase Date],TblPurchases[BatchID],TblOutcomes[[#This Row],[BatchID]]))</f>
        <v>45535</v>
      </c>
    </row>
    <row r="2315" spans="2:17" x14ac:dyDescent="0.25">
      <c r="B2315" s="2" t="s">
        <v>3120</v>
      </c>
      <c r="C2315" s="2" t="s">
        <v>265</v>
      </c>
      <c r="D2315" s="2" t="s">
        <v>256</v>
      </c>
      <c r="E2315" s="2" t="s">
        <v>4647</v>
      </c>
      <c r="F2315" s="2">
        <v>27</v>
      </c>
      <c r="G2315" s="2">
        <v>27</v>
      </c>
      <c r="H2315" s="2">
        <v>0</v>
      </c>
      <c r="I2315" s="1">
        <v>0</v>
      </c>
      <c r="J2315" s="26">
        <v>45566</v>
      </c>
      <c r="K2315" s="22">
        <v>297000</v>
      </c>
      <c r="L2315" s="18">
        <v>317.64999999999998</v>
      </c>
      <c r="M2315" s="22">
        <v>229500</v>
      </c>
      <c r="N2315" s="22">
        <v>67500</v>
      </c>
      <c r="O2315" s="18">
        <v>72.19</v>
      </c>
      <c r="P2315" s="52">
        <f>IF(COUNTIF(TblPurchases[BatchID],TblOutcomes[[#This Row],[BatchID]])&lt;&gt;1,"n.a.",TblOutcomes[[#This Row],[Qty Wasted]]*SUMIFS(TblPurchases[Unit Cost (CLP)],TblPurchases[BatchID],TblOutcomes[[#This Row],[BatchID]]))</f>
        <v>0</v>
      </c>
      <c r="Q2315" s="51">
        <f>IF(COUNTIF(TblPurchases[BatchID],TblOutcomes[[#This Row],[BatchID]])&lt;&gt;1,"n.a.",SUMIFS(TblPurchases[Purchase Date],TblPurchases[BatchID],TblOutcomes[[#This Row],[BatchID]]))</f>
        <v>45555</v>
      </c>
    </row>
    <row r="2316" spans="2:17" x14ac:dyDescent="0.25">
      <c r="B2316" s="2" t="s">
        <v>3121</v>
      </c>
      <c r="C2316" s="2" t="s">
        <v>265</v>
      </c>
      <c r="D2316" s="2" t="s">
        <v>256</v>
      </c>
      <c r="E2316" s="2" t="s">
        <v>4647</v>
      </c>
      <c r="F2316" s="2">
        <v>7</v>
      </c>
      <c r="G2316" s="2">
        <v>7</v>
      </c>
      <c r="H2316" s="2">
        <v>0</v>
      </c>
      <c r="I2316" s="1">
        <v>0</v>
      </c>
      <c r="J2316" s="26">
        <v>45587</v>
      </c>
      <c r="K2316" s="22">
        <v>77000</v>
      </c>
      <c r="L2316" s="18">
        <v>82.35</v>
      </c>
      <c r="M2316" s="22">
        <v>59500</v>
      </c>
      <c r="N2316" s="22">
        <v>17500</v>
      </c>
      <c r="O2316" s="18">
        <v>18.72</v>
      </c>
      <c r="P2316" s="52">
        <f>IF(COUNTIF(TblPurchases[BatchID],TblOutcomes[[#This Row],[BatchID]])&lt;&gt;1,"n.a.",TblOutcomes[[#This Row],[Qty Wasted]]*SUMIFS(TblPurchases[Unit Cost (CLP)],TblPurchases[BatchID],TblOutcomes[[#This Row],[BatchID]]))</f>
        <v>0</v>
      </c>
      <c r="Q2316" s="51">
        <f>IF(COUNTIF(TblPurchases[BatchID],TblOutcomes[[#This Row],[BatchID]])&lt;&gt;1,"n.a.",SUMIFS(TblPurchases[Purchase Date],TblPurchases[BatchID],TblOutcomes[[#This Row],[BatchID]]))</f>
        <v>45576</v>
      </c>
    </row>
    <row r="2317" spans="2:17" x14ac:dyDescent="0.25">
      <c r="B2317" s="2" t="s">
        <v>3122</v>
      </c>
      <c r="C2317" s="2" t="s">
        <v>265</v>
      </c>
      <c r="D2317" s="2" t="s">
        <v>256</v>
      </c>
      <c r="E2317" s="2" t="s">
        <v>4647</v>
      </c>
      <c r="F2317" s="2">
        <v>7</v>
      </c>
      <c r="G2317" s="2">
        <v>7</v>
      </c>
      <c r="H2317" s="2">
        <v>0</v>
      </c>
      <c r="I2317" s="1">
        <v>0</v>
      </c>
      <c r="J2317" s="26">
        <v>45603</v>
      </c>
      <c r="K2317" s="22">
        <v>77000</v>
      </c>
      <c r="L2317" s="18">
        <v>82.35</v>
      </c>
      <c r="M2317" s="22">
        <v>59500</v>
      </c>
      <c r="N2317" s="22">
        <v>17500</v>
      </c>
      <c r="O2317" s="18">
        <v>18.72</v>
      </c>
      <c r="P2317" s="52">
        <f>IF(COUNTIF(TblPurchases[BatchID],TblOutcomes[[#This Row],[BatchID]])&lt;&gt;1,"n.a.",TblOutcomes[[#This Row],[Qty Wasted]]*SUMIFS(TblPurchases[Unit Cost (CLP)],TblPurchases[BatchID],TblOutcomes[[#This Row],[BatchID]]))</f>
        <v>0</v>
      </c>
      <c r="Q2317" s="51">
        <f>IF(COUNTIF(TblPurchases[BatchID],TblOutcomes[[#This Row],[BatchID]])&lt;&gt;1,"n.a.",SUMIFS(TblPurchases[Purchase Date],TblPurchases[BatchID],TblOutcomes[[#This Row],[BatchID]]))</f>
        <v>45595</v>
      </c>
    </row>
    <row r="2318" spans="2:17" x14ac:dyDescent="0.25">
      <c r="B2318" s="2" t="s">
        <v>3123</v>
      </c>
      <c r="C2318" s="2" t="s">
        <v>265</v>
      </c>
      <c r="D2318" s="2" t="s">
        <v>256</v>
      </c>
      <c r="E2318" s="2" t="s">
        <v>4647</v>
      </c>
      <c r="F2318" s="2">
        <v>7</v>
      </c>
      <c r="G2318" s="2">
        <v>7</v>
      </c>
      <c r="H2318" s="2">
        <v>0</v>
      </c>
      <c r="I2318" s="1">
        <v>0</v>
      </c>
      <c r="J2318" s="26">
        <v>45637</v>
      </c>
      <c r="K2318" s="22">
        <v>77000</v>
      </c>
      <c r="L2318" s="18">
        <v>82.35</v>
      </c>
      <c r="M2318" s="22">
        <v>59500</v>
      </c>
      <c r="N2318" s="22">
        <v>17500</v>
      </c>
      <c r="O2318" s="18">
        <v>18.72</v>
      </c>
      <c r="P2318" s="52">
        <f>IF(COUNTIF(TblPurchases[BatchID],TblOutcomes[[#This Row],[BatchID]])&lt;&gt;1,"n.a.",TblOutcomes[[#This Row],[Qty Wasted]]*SUMIFS(TblPurchases[Unit Cost (CLP)],TblPurchases[BatchID],TblOutcomes[[#This Row],[BatchID]]))</f>
        <v>0</v>
      </c>
      <c r="Q2318" s="51">
        <f>IF(COUNTIF(TblPurchases[BatchID],TblOutcomes[[#This Row],[BatchID]])&lt;&gt;1,"n.a.",SUMIFS(TblPurchases[Purchase Date],TblPurchases[BatchID],TblOutcomes[[#This Row],[BatchID]]))</f>
        <v>45616</v>
      </c>
    </row>
    <row r="2319" spans="2:17" x14ac:dyDescent="0.25">
      <c r="B2319" s="2" t="s">
        <v>3124</v>
      </c>
      <c r="C2319" s="2" t="s">
        <v>265</v>
      </c>
      <c r="D2319" s="2" t="s">
        <v>256</v>
      </c>
      <c r="E2319" s="2" t="s">
        <v>4646</v>
      </c>
      <c r="F2319" s="2">
        <v>10</v>
      </c>
      <c r="G2319" s="2">
        <v>9.56</v>
      </c>
      <c r="H2319" s="2">
        <v>0.44</v>
      </c>
      <c r="I2319" s="1">
        <v>4.4000000000000004</v>
      </c>
      <c r="J2319" s="26">
        <v>45844</v>
      </c>
      <c r="K2319" s="22">
        <v>105160</v>
      </c>
      <c r="L2319" s="18">
        <v>112.47</v>
      </c>
      <c r="M2319" s="22">
        <v>85000</v>
      </c>
      <c r="N2319" s="22">
        <v>20160</v>
      </c>
      <c r="O2319" s="18">
        <v>21.56</v>
      </c>
      <c r="P2319" s="52">
        <f>IF(COUNTIF(TblPurchases[BatchID],TblOutcomes[[#This Row],[BatchID]])&lt;&gt;1,"n.a.",TblOutcomes[[#This Row],[Qty Wasted]]*SUMIFS(TblPurchases[Unit Cost (CLP)],TblPurchases[BatchID],TblOutcomes[[#This Row],[BatchID]]))</f>
        <v>3740</v>
      </c>
      <c r="Q2319" s="51">
        <f>IF(COUNTIF(TblPurchases[BatchID],TblOutcomes[[#This Row],[BatchID]])&lt;&gt;1,"n.a.",SUMIFS(TblPurchases[Purchase Date],TblPurchases[BatchID],TblOutcomes[[#This Row],[BatchID]]))</f>
        <v>45634</v>
      </c>
    </row>
    <row r="2320" spans="2:17" x14ac:dyDescent="0.25">
      <c r="B2320" s="2" t="s">
        <v>3125</v>
      </c>
      <c r="C2320" s="2" t="s">
        <v>265</v>
      </c>
      <c r="D2320" s="2" t="s">
        <v>256</v>
      </c>
      <c r="E2320" s="2" t="s">
        <v>4646</v>
      </c>
      <c r="F2320" s="2">
        <v>8</v>
      </c>
      <c r="G2320" s="2">
        <v>7.08</v>
      </c>
      <c r="H2320" s="2">
        <v>0.92</v>
      </c>
      <c r="I2320" s="1">
        <v>11.5</v>
      </c>
      <c r="J2320" s="26">
        <v>45861</v>
      </c>
      <c r="K2320" s="22">
        <v>77880</v>
      </c>
      <c r="L2320" s="18">
        <v>83.29</v>
      </c>
      <c r="M2320" s="22">
        <v>68000</v>
      </c>
      <c r="N2320" s="22">
        <v>9880</v>
      </c>
      <c r="O2320" s="18">
        <v>10.57</v>
      </c>
      <c r="P2320" s="52">
        <f>IF(COUNTIF(TblPurchases[BatchID],TblOutcomes[[#This Row],[BatchID]])&lt;&gt;1,"n.a.",TblOutcomes[[#This Row],[Qty Wasted]]*SUMIFS(TblPurchases[Unit Cost (CLP)],TblPurchases[BatchID],TblOutcomes[[#This Row],[BatchID]]))</f>
        <v>7820</v>
      </c>
      <c r="Q2320" s="51">
        <f>IF(COUNTIF(TblPurchases[BatchID],TblOutcomes[[#This Row],[BatchID]])&lt;&gt;1,"n.a.",SUMIFS(TblPurchases[Purchase Date],TblPurchases[BatchID],TblOutcomes[[#This Row],[BatchID]]))</f>
        <v>45651</v>
      </c>
    </row>
    <row r="2321" spans="2:17" x14ac:dyDescent="0.25">
      <c r="B2321" s="2" t="s">
        <v>3126</v>
      </c>
      <c r="C2321" s="2" t="s">
        <v>265</v>
      </c>
      <c r="D2321" s="2" t="s">
        <v>256</v>
      </c>
      <c r="E2321" s="2" t="s">
        <v>4647</v>
      </c>
      <c r="F2321" s="2">
        <v>7</v>
      </c>
      <c r="G2321" s="2">
        <v>7</v>
      </c>
      <c r="H2321" s="2">
        <v>0</v>
      </c>
      <c r="I2321" s="1">
        <v>0</v>
      </c>
      <c r="J2321" s="26">
        <v>45683</v>
      </c>
      <c r="K2321" s="22">
        <v>77000</v>
      </c>
      <c r="L2321" s="18">
        <v>82.35</v>
      </c>
      <c r="M2321" s="22">
        <v>59500</v>
      </c>
      <c r="N2321" s="22">
        <v>17500</v>
      </c>
      <c r="O2321" s="18">
        <v>18.72</v>
      </c>
      <c r="P2321" s="52">
        <f>IF(COUNTIF(TblPurchases[BatchID],TblOutcomes[[#This Row],[BatchID]])&lt;&gt;1,"n.a.",TblOutcomes[[#This Row],[Qty Wasted]]*SUMIFS(TblPurchases[Unit Cost (CLP)],TblPurchases[BatchID],TblOutcomes[[#This Row],[BatchID]]))</f>
        <v>0</v>
      </c>
      <c r="Q2321" s="51">
        <f>IF(COUNTIF(TblPurchases[BatchID],TblOutcomes[[#This Row],[BatchID]])&lt;&gt;1,"n.a.",SUMIFS(TblPurchases[Purchase Date],TblPurchases[BatchID],TblOutcomes[[#This Row],[BatchID]]))</f>
        <v>45669</v>
      </c>
    </row>
    <row r="2322" spans="2:17" x14ac:dyDescent="0.25">
      <c r="B2322" s="2" t="s">
        <v>3127</v>
      </c>
      <c r="C2322" s="2" t="s">
        <v>265</v>
      </c>
      <c r="D2322" s="2" t="s">
        <v>256</v>
      </c>
      <c r="E2322" s="2" t="s">
        <v>4646</v>
      </c>
      <c r="F2322" s="2">
        <v>7</v>
      </c>
      <c r="G2322" s="2">
        <v>6.71</v>
      </c>
      <c r="H2322" s="2">
        <v>0.28999999999999998</v>
      </c>
      <c r="I2322" s="1">
        <v>4.2</v>
      </c>
      <c r="J2322" s="26">
        <v>45900</v>
      </c>
      <c r="K2322" s="22">
        <v>73810</v>
      </c>
      <c r="L2322" s="18">
        <v>78.94</v>
      </c>
      <c r="M2322" s="22">
        <v>59500</v>
      </c>
      <c r="N2322" s="22">
        <v>14310</v>
      </c>
      <c r="O2322" s="18">
        <v>15.3</v>
      </c>
      <c r="P2322" s="52">
        <f>IF(COUNTIF(TblPurchases[BatchID],TblOutcomes[[#This Row],[BatchID]])&lt;&gt;1,"n.a.",TblOutcomes[[#This Row],[Qty Wasted]]*SUMIFS(TblPurchases[Unit Cost (CLP)],TblPurchases[BatchID],TblOutcomes[[#This Row],[BatchID]]))</f>
        <v>2465</v>
      </c>
      <c r="Q2322" s="51">
        <f>IF(COUNTIF(TblPurchases[BatchID],TblOutcomes[[#This Row],[BatchID]])&lt;&gt;1,"n.a.",SUMIFS(TblPurchases[Purchase Date],TblPurchases[BatchID],TblOutcomes[[#This Row],[BatchID]]))</f>
        <v>45690</v>
      </c>
    </row>
    <row r="2323" spans="2:17" x14ac:dyDescent="0.25">
      <c r="B2323" s="2" t="s">
        <v>3128</v>
      </c>
      <c r="C2323" s="2" t="s">
        <v>265</v>
      </c>
      <c r="D2323" s="2" t="s">
        <v>256</v>
      </c>
      <c r="E2323" s="2" t="s">
        <v>4646</v>
      </c>
      <c r="F2323" s="2">
        <v>7</v>
      </c>
      <c r="G2323" s="2">
        <v>6.52</v>
      </c>
      <c r="H2323" s="2">
        <v>0.48</v>
      </c>
      <c r="I2323" s="1">
        <v>6.8</v>
      </c>
      <c r="J2323" s="26">
        <v>45923</v>
      </c>
      <c r="K2323" s="22">
        <v>71720</v>
      </c>
      <c r="L2323" s="18">
        <v>76.709999999999994</v>
      </c>
      <c r="M2323" s="22">
        <v>59500</v>
      </c>
      <c r="N2323" s="22">
        <v>12220</v>
      </c>
      <c r="O2323" s="18">
        <v>13.07</v>
      </c>
      <c r="P2323" s="52">
        <f>IF(COUNTIF(TblPurchases[BatchID],TblOutcomes[[#This Row],[BatchID]])&lt;&gt;1,"n.a.",TblOutcomes[[#This Row],[Qty Wasted]]*SUMIFS(TblPurchases[Unit Cost (CLP)],TblPurchases[BatchID],TblOutcomes[[#This Row],[BatchID]]))</f>
        <v>4080</v>
      </c>
      <c r="Q2323" s="51">
        <f>IF(COUNTIF(TblPurchases[BatchID],TblOutcomes[[#This Row],[BatchID]])&lt;&gt;1,"n.a.",SUMIFS(TblPurchases[Purchase Date],TblPurchases[BatchID],TblOutcomes[[#This Row],[BatchID]]))</f>
        <v>45713</v>
      </c>
    </row>
    <row r="2324" spans="2:17" x14ac:dyDescent="0.25">
      <c r="B2324" s="2" t="s">
        <v>3129</v>
      </c>
      <c r="C2324" s="2" t="s">
        <v>265</v>
      </c>
      <c r="D2324" s="2" t="s">
        <v>256</v>
      </c>
      <c r="E2324" s="2" t="s">
        <v>4646</v>
      </c>
      <c r="F2324" s="2">
        <v>8</v>
      </c>
      <c r="G2324" s="2">
        <v>7.26</v>
      </c>
      <c r="H2324" s="2">
        <v>0.74</v>
      </c>
      <c r="I2324" s="1">
        <v>9.1999999999999993</v>
      </c>
      <c r="J2324" s="26">
        <v>45948</v>
      </c>
      <c r="K2324" s="22">
        <v>79860</v>
      </c>
      <c r="L2324" s="18">
        <v>85.41</v>
      </c>
      <c r="M2324" s="22">
        <v>68000</v>
      </c>
      <c r="N2324" s="22">
        <v>11860</v>
      </c>
      <c r="O2324" s="18">
        <v>12.68</v>
      </c>
      <c r="P2324" s="52">
        <f>IF(COUNTIF(TblPurchases[BatchID],TblOutcomes[[#This Row],[BatchID]])&lt;&gt;1,"n.a.",TblOutcomes[[#This Row],[Qty Wasted]]*SUMIFS(TblPurchases[Unit Cost (CLP)],TblPurchases[BatchID],TblOutcomes[[#This Row],[BatchID]]))</f>
        <v>6290</v>
      </c>
      <c r="Q2324" s="51">
        <f>IF(COUNTIF(TblPurchases[BatchID],TblOutcomes[[#This Row],[BatchID]])&lt;&gt;1,"n.a.",SUMIFS(TblPurchases[Purchase Date],TblPurchases[BatchID],TblOutcomes[[#This Row],[BatchID]]))</f>
        <v>45738</v>
      </c>
    </row>
    <row r="2325" spans="2:17" x14ac:dyDescent="0.25">
      <c r="B2325" s="2" t="s">
        <v>3130</v>
      </c>
      <c r="C2325" s="2" t="s">
        <v>265</v>
      </c>
      <c r="D2325" s="2" t="s">
        <v>256</v>
      </c>
      <c r="E2325" s="2" t="s">
        <v>4647</v>
      </c>
      <c r="F2325" s="2">
        <v>20</v>
      </c>
      <c r="G2325" s="2">
        <v>20</v>
      </c>
      <c r="H2325" s="2">
        <v>0</v>
      </c>
      <c r="I2325" s="1">
        <v>0</v>
      </c>
      <c r="J2325" s="26">
        <v>45783</v>
      </c>
      <c r="K2325" s="22">
        <v>220000</v>
      </c>
      <c r="L2325" s="18">
        <v>235.29</v>
      </c>
      <c r="M2325" s="22">
        <v>170000</v>
      </c>
      <c r="N2325" s="22">
        <v>50000</v>
      </c>
      <c r="O2325" s="18">
        <v>53.48</v>
      </c>
      <c r="P2325" s="52">
        <f>IF(COUNTIF(TblPurchases[BatchID],TblOutcomes[[#This Row],[BatchID]])&lt;&gt;1,"n.a.",TblOutcomes[[#This Row],[Qty Wasted]]*SUMIFS(TblPurchases[Unit Cost (CLP)],TblPurchases[BatchID],TblOutcomes[[#This Row],[BatchID]]))</f>
        <v>0</v>
      </c>
      <c r="Q2325" s="51">
        <f>IF(COUNTIF(TblPurchases[BatchID],TblOutcomes[[#This Row],[BatchID]])&lt;&gt;1,"n.a.",SUMIFS(TblPurchases[Purchase Date],TblPurchases[BatchID],TblOutcomes[[#This Row],[BatchID]]))</f>
        <v>45760</v>
      </c>
    </row>
    <row r="2326" spans="2:17" x14ac:dyDescent="0.25">
      <c r="B2326" s="2" t="s">
        <v>3131</v>
      </c>
      <c r="C2326" s="2" t="s">
        <v>265</v>
      </c>
      <c r="D2326" s="2" t="s">
        <v>256</v>
      </c>
      <c r="E2326" s="2" t="s">
        <v>4647</v>
      </c>
      <c r="F2326" s="2">
        <v>20</v>
      </c>
      <c r="G2326" s="2">
        <v>20</v>
      </c>
      <c r="H2326" s="2">
        <v>0</v>
      </c>
      <c r="I2326" s="1">
        <v>0</v>
      </c>
      <c r="J2326" s="26">
        <v>45797</v>
      </c>
      <c r="K2326" s="22">
        <v>220000</v>
      </c>
      <c r="L2326" s="18">
        <v>235.29</v>
      </c>
      <c r="M2326" s="22">
        <v>170000</v>
      </c>
      <c r="N2326" s="22">
        <v>50000</v>
      </c>
      <c r="O2326" s="18">
        <v>53.48</v>
      </c>
      <c r="P2326" s="52">
        <f>IF(COUNTIF(TblPurchases[BatchID],TblOutcomes[[#This Row],[BatchID]])&lt;&gt;1,"n.a.",TblOutcomes[[#This Row],[Qty Wasted]]*SUMIFS(TblPurchases[Unit Cost (CLP)],TblPurchases[BatchID],TblOutcomes[[#This Row],[BatchID]]))</f>
        <v>0</v>
      </c>
      <c r="Q2326" s="51">
        <f>IF(COUNTIF(TblPurchases[BatchID],TblOutcomes[[#This Row],[BatchID]])&lt;&gt;1,"n.a.",SUMIFS(TblPurchases[Purchase Date],TblPurchases[BatchID],TblOutcomes[[#This Row],[BatchID]]))</f>
        <v>45779</v>
      </c>
    </row>
    <row r="2327" spans="2:17" x14ac:dyDescent="0.25">
      <c r="B2327" s="2" t="s">
        <v>3132</v>
      </c>
      <c r="C2327" s="2" t="s">
        <v>265</v>
      </c>
      <c r="D2327" s="2" t="s">
        <v>256</v>
      </c>
      <c r="E2327" s="2" t="s">
        <v>4647</v>
      </c>
      <c r="F2327" s="2">
        <v>20</v>
      </c>
      <c r="G2327" s="2">
        <v>20</v>
      </c>
      <c r="H2327" s="2">
        <v>0</v>
      </c>
      <c r="I2327" s="1">
        <v>0</v>
      </c>
      <c r="J2327" s="26">
        <v>45821</v>
      </c>
      <c r="K2327" s="22">
        <v>220000</v>
      </c>
      <c r="L2327" s="18">
        <v>235.29</v>
      </c>
      <c r="M2327" s="22">
        <v>170000</v>
      </c>
      <c r="N2327" s="22">
        <v>50000</v>
      </c>
      <c r="O2327" s="18">
        <v>53.48</v>
      </c>
      <c r="P2327" s="52">
        <f>IF(COUNTIF(TblPurchases[BatchID],TblOutcomes[[#This Row],[BatchID]])&lt;&gt;1,"n.a.",TblOutcomes[[#This Row],[Qty Wasted]]*SUMIFS(TblPurchases[Unit Cost (CLP)],TblPurchases[BatchID],TblOutcomes[[#This Row],[BatchID]]))</f>
        <v>0</v>
      </c>
      <c r="Q2327" s="51">
        <f>IF(COUNTIF(TblPurchases[BatchID],TblOutcomes[[#This Row],[BatchID]])&lt;&gt;1,"n.a.",SUMIFS(TblPurchases[Purchase Date],TblPurchases[BatchID],TblOutcomes[[#This Row],[BatchID]]))</f>
        <v>45805</v>
      </c>
    </row>
    <row r="2328" spans="2:17" x14ac:dyDescent="0.25">
      <c r="B2328" s="2" t="s">
        <v>3133</v>
      </c>
      <c r="C2328" s="2" t="s">
        <v>265</v>
      </c>
      <c r="D2328" s="2" t="s">
        <v>256</v>
      </c>
      <c r="E2328" s="2" t="s">
        <v>4647</v>
      </c>
      <c r="F2328" s="2">
        <v>21</v>
      </c>
      <c r="G2328" s="2">
        <v>21</v>
      </c>
      <c r="H2328" s="2">
        <v>0</v>
      </c>
      <c r="I2328" s="1">
        <v>0</v>
      </c>
      <c r="J2328" s="26">
        <v>45847</v>
      </c>
      <c r="K2328" s="22">
        <v>231000</v>
      </c>
      <c r="L2328" s="18">
        <v>247.06</v>
      </c>
      <c r="M2328" s="22">
        <v>178500</v>
      </c>
      <c r="N2328" s="22">
        <v>52500</v>
      </c>
      <c r="O2328" s="18">
        <v>56.15</v>
      </c>
      <c r="P2328" s="52">
        <f>IF(COUNTIF(TblPurchases[BatchID],TblOutcomes[[#This Row],[BatchID]])&lt;&gt;1,"n.a.",TblOutcomes[[#This Row],[Qty Wasted]]*SUMIFS(TblPurchases[Unit Cost (CLP)],TblPurchases[BatchID],TblOutcomes[[#This Row],[BatchID]]))</f>
        <v>0</v>
      </c>
      <c r="Q2328" s="51">
        <f>IF(COUNTIF(TblPurchases[BatchID],TblOutcomes[[#This Row],[BatchID]])&lt;&gt;1,"n.a.",SUMIFS(TblPurchases[Purchase Date],TblPurchases[BatchID],TblOutcomes[[#This Row],[BatchID]]))</f>
        <v>45824</v>
      </c>
    </row>
    <row r="2329" spans="2:17" x14ac:dyDescent="0.25">
      <c r="B2329" s="2" t="s">
        <v>3134</v>
      </c>
      <c r="C2329" s="2" t="s">
        <v>267</v>
      </c>
      <c r="D2329" s="2" t="s">
        <v>256</v>
      </c>
      <c r="E2329" s="2" t="s">
        <v>4647</v>
      </c>
      <c r="F2329" s="2">
        <v>17</v>
      </c>
      <c r="G2329" s="2">
        <v>17</v>
      </c>
      <c r="H2329" s="2">
        <v>0</v>
      </c>
      <c r="I2329" s="1">
        <v>0</v>
      </c>
      <c r="J2329" s="26">
        <v>45131</v>
      </c>
      <c r="K2329" s="22">
        <v>127500</v>
      </c>
      <c r="L2329" s="18">
        <v>136.36000000000001</v>
      </c>
      <c r="M2329" s="22">
        <v>91800</v>
      </c>
      <c r="N2329" s="22">
        <v>35700</v>
      </c>
      <c r="O2329" s="18">
        <v>38.18</v>
      </c>
      <c r="P2329" s="52">
        <f>IF(COUNTIF(TblPurchases[BatchID],TblOutcomes[[#This Row],[BatchID]])&lt;&gt;1,"n.a.",TblOutcomes[[#This Row],[Qty Wasted]]*SUMIFS(TblPurchases[Unit Cost (CLP)],TblPurchases[BatchID],TblOutcomes[[#This Row],[BatchID]]))</f>
        <v>0</v>
      </c>
      <c r="Q2329" s="51">
        <f>IF(COUNTIF(TblPurchases[BatchID],TblOutcomes[[#This Row],[BatchID]])&lt;&gt;1,"n.a.",SUMIFS(TblPurchases[Purchase Date],TblPurchases[BatchID],TblOutcomes[[#This Row],[BatchID]]))</f>
        <v>45120</v>
      </c>
    </row>
    <row r="2330" spans="2:17" x14ac:dyDescent="0.25">
      <c r="B2330" s="2" t="s">
        <v>3135</v>
      </c>
      <c r="C2330" s="2" t="s">
        <v>267</v>
      </c>
      <c r="D2330" s="2" t="s">
        <v>256</v>
      </c>
      <c r="E2330" s="2" t="s">
        <v>4647</v>
      </c>
      <c r="F2330" s="2">
        <v>18</v>
      </c>
      <c r="G2330" s="2">
        <v>18</v>
      </c>
      <c r="H2330" s="2">
        <v>0</v>
      </c>
      <c r="I2330" s="1">
        <v>0</v>
      </c>
      <c r="J2330" s="26">
        <v>45151</v>
      </c>
      <c r="K2330" s="22">
        <v>135000</v>
      </c>
      <c r="L2330" s="18">
        <v>144.38999999999999</v>
      </c>
      <c r="M2330" s="22">
        <v>97200</v>
      </c>
      <c r="N2330" s="22">
        <v>37800</v>
      </c>
      <c r="O2330" s="18">
        <v>40.43</v>
      </c>
      <c r="P2330" s="52">
        <f>IF(COUNTIF(TblPurchases[BatchID],TblOutcomes[[#This Row],[BatchID]])&lt;&gt;1,"n.a.",TblOutcomes[[#This Row],[Qty Wasted]]*SUMIFS(TblPurchases[Unit Cost (CLP)],TblPurchases[BatchID],TblOutcomes[[#This Row],[BatchID]]))</f>
        <v>0</v>
      </c>
      <c r="Q2330" s="51">
        <f>IF(COUNTIF(TblPurchases[BatchID],TblOutcomes[[#This Row],[BatchID]])&lt;&gt;1,"n.a.",SUMIFS(TblPurchases[Purchase Date],TblPurchases[BatchID],TblOutcomes[[#This Row],[BatchID]]))</f>
        <v>45138</v>
      </c>
    </row>
    <row r="2331" spans="2:17" x14ac:dyDescent="0.25">
      <c r="B2331" s="2" t="s">
        <v>3136</v>
      </c>
      <c r="C2331" s="2" t="s">
        <v>267</v>
      </c>
      <c r="D2331" s="2" t="s">
        <v>256</v>
      </c>
      <c r="E2331" s="2" t="s">
        <v>4647</v>
      </c>
      <c r="F2331" s="2">
        <v>19</v>
      </c>
      <c r="G2331" s="2">
        <v>19</v>
      </c>
      <c r="H2331" s="2">
        <v>0</v>
      </c>
      <c r="I2331" s="1">
        <v>0</v>
      </c>
      <c r="J2331" s="26">
        <v>45176</v>
      </c>
      <c r="K2331" s="22">
        <v>142500</v>
      </c>
      <c r="L2331" s="18">
        <v>152.41</v>
      </c>
      <c r="M2331" s="22">
        <v>118750</v>
      </c>
      <c r="N2331" s="22">
        <v>23750</v>
      </c>
      <c r="O2331" s="18">
        <v>25.4</v>
      </c>
      <c r="P2331" s="52">
        <f>IF(COUNTIF(TblPurchases[BatchID],TblOutcomes[[#This Row],[BatchID]])&lt;&gt;1,"n.a.",TblOutcomes[[#This Row],[Qty Wasted]]*SUMIFS(TblPurchases[Unit Cost (CLP)],TblPurchases[BatchID],TblOutcomes[[#This Row],[BatchID]]))</f>
        <v>0</v>
      </c>
      <c r="Q2331" s="51">
        <f>IF(COUNTIF(TblPurchases[BatchID],TblOutcomes[[#This Row],[BatchID]])&lt;&gt;1,"n.a.",SUMIFS(TblPurchases[Purchase Date],TblPurchases[BatchID],TblOutcomes[[#This Row],[BatchID]]))</f>
        <v>45160</v>
      </c>
    </row>
    <row r="2332" spans="2:17" x14ac:dyDescent="0.25">
      <c r="B2332" s="2" t="s">
        <v>3137</v>
      </c>
      <c r="C2332" s="2" t="s">
        <v>267</v>
      </c>
      <c r="D2332" s="2" t="s">
        <v>256</v>
      </c>
      <c r="E2332" s="2" t="s">
        <v>4646</v>
      </c>
      <c r="F2332" s="2">
        <v>23</v>
      </c>
      <c r="G2332" s="2">
        <v>22.15</v>
      </c>
      <c r="H2332" s="2">
        <v>0.85</v>
      </c>
      <c r="I2332" s="1">
        <v>3.7</v>
      </c>
      <c r="J2332" s="26">
        <v>45392</v>
      </c>
      <c r="K2332" s="22">
        <v>166125</v>
      </c>
      <c r="L2332" s="18">
        <v>177.67</v>
      </c>
      <c r="M2332" s="22">
        <v>124200</v>
      </c>
      <c r="N2332" s="22">
        <v>41925</v>
      </c>
      <c r="O2332" s="18">
        <v>44.84</v>
      </c>
      <c r="P2332" s="52">
        <f>IF(COUNTIF(TblPurchases[BatchID],TblOutcomes[[#This Row],[BatchID]])&lt;&gt;1,"n.a.",TblOutcomes[[#This Row],[Qty Wasted]]*SUMIFS(TblPurchases[Unit Cost (CLP)],TblPurchases[BatchID],TblOutcomes[[#This Row],[BatchID]]))</f>
        <v>4590</v>
      </c>
      <c r="Q2332" s="51">
        <f>IF(COUNTIF(TblPurchases[BatchID],TblOutcomes[[#This Row],[BatchID]])&lt;&gt;1,"n.a.",SUMIFS(TblPurchases[Purchase Date],TblPurchases[BatchID],TblOutcomes[[#This Row],[BatchID]]))</f>
        <v>45182</v>
      </c>
    </row>
    <row r="2333" spans="2:17" x14ac:dyDescent="0.25">
      <c r="B2333" s="2" t="s">
        <v>3138</v>
      </c>
      <c r="C2333" s="2" t="s">
        <v>267</v>
      </c>
      <c r="D2333" s="2" t="s">
        <v>256</v>
      </c>
      <c r="E2333" s="2" t="s">
        <v>4646</v>
      </c>
      <c r="F2333" s="2">
        <v>8</v>
      </c>
      <c r="G2333" s="2">
        <v>7.42</v>
      </c>
      <c r="H2333" s="2">
        <v>0.57999999999999996</v>
      </c>
      <c r="I2333" s="1">
        <v>7.2</v>
      </c>
      <c r="J2333" s="26">
        <v>45412</v>
      </c>
      <c r="K2333" s="22">
        <v>55650</v>
      </c>
      <c r="L2333" s="18">
        <v>59.52</v>
      </c>
      <c r="M2333" s="22">
        <v>43200</v>
      </c>
      <c r="N2333" s="22">
        <v>12450</v>
      </c>
      <c r="O2333" s="18">
        <v>13.32</v>
      </c>
      <c r="P2333" s="52">
        <f>IF(COUNTIF(TblPurchases[BatchID],TblOutcomes[[#This Row],[BatchID]])&lt;&gt;1,"n.a.",TblOutcomes[[#This Row],[Qty Wasted]]*SUMIFS(TblPurchases[Unit Cost (CLP)],TblPurchases[BatchID],TblOutcomes[[#This Row],[BatchID]]))</f>
        <v>3132</v>
      </c>
      <c r="Q2333" s="51">
        <f>IF(COUNTIF(TblPurchases[BatchID],TblOutcomes[[#This Row],[BatchID]])&lt;&gt;1,"n.a.",SUMIFS(TblPurchases[Purchase Date],TblPurchases[BatchID],TblOutcomes[[#This Row],[BatchID]]))</f>
        <v>45202</v>
      </c>
    </row>
    <row r="2334" spans="2:17" x14ac:dyDescent="0.25">
      <c r="B2334" s="2" t="s">
        <v>3139</v>
      </c>
      <c r="C2334" s="2" t="s">
        <v>267</v>
      </c>
      <c r="D2334" s="2" t="s">
        <v>256</v>
      </c>
      <c r="E2334" s="2" t="s">
        <v>4647</v>
      </c>
      <c r="F2334" s="2">
        <v>7</v>
      </c>
      <c r="G2334" s="2">
        <v>7</v>
      </c>
      <c r="H2334" s="2">
        <v>0</v>
      </c>
      <c r="I2334" s="1">
        <v>0</v>
      </c>
      <c r="J2334" s="26">
        <v>45230</v>
      </c>
      <c r="K2334" s="22">
        <v>52500</v>
      </c>
      <c r="L2334" s="18">
        <v>56.15</v>
      </c>
      <c r="M2334" s="22">
        <v>37800</v>
      </c>
      <c r="N2334" s="22">
        <v>14700</v>
      </c>
      <c r="O2334" s="18">
        <v>15.72</v>
      </c>
      <c r="P2334" s="52">
        <f>IF(COUNTIF(TblPurchases[BatchID],TblOutcomes[[#This Row],[BatchID]])&lt;&gt;1,"n.a.",TblOutcomes[[#This Row],[Qty Wasted]]*SUMIFS(TblPurchases[Unit Cost (CLP)],TblPurchases[BatchID],TblOutcomes[[#This Row],[BatchID]]))</f>
        <v>0</v>
      </c>
      <c r="Q2334" s="51">
        <f>IF(COUNTIF(TblPurchases[BatchID],TblOutcomes[[#This Row],[BatchID]])&lt;&gt;1,"n.a.",SUMIFS(TblPurchases[Purchase Date],TblPurchases[BatchID],TblOutcomes[[#This Row],[BatchID]]))</f>
        <v>45223</v>
      </c>
    </row>
    <row r="2335" spans="2:17" x14ac:dyDescent="0.25">
      <c r="B2335" s="2" t="s">
        <v>3140</v>
      </c>
      <c r="C2335" s="2" t="s">
        <v>267</v>
      </c>
      <c r="D2335" s="2" t="s">
        <v>256</v>
      </c>
      <c r="E2335" s="2" t="s">
        <v>4647</v>
      </c>
      <c r="F2335" s="2">
        <v>8</v>
      </c>
      <c r="G2335" s="2">
        <v>8</v>
      </c>
      <c r="H2335" s="2">
        <v>0</v>
      </c>
      <c r="I2335" s="1">
        <v>0</v>
      </c>
      <c r="J2335" s="26">
        <v>45267</v>
      </c>
      <c r="K2335" s="22">
        <v>60000</v>
      </c>
      <c r="L2335" s="18">
        <v>64.17</v>
      </c>
      <c r="M2335" s="22">
        <v>43200</v>
      </c>
      <c r="N2335" s="22">
        <v>16800</v>
      </c>
      <c r="O2335" s="18">
        <v>17.97</v>
      </c>
      <c r="P2335" s="52">
        <f>IF(COUNTIF(TblPurchases[BatchID],TblOutcomes[[#This Row],[BatchID]])&lt;&gt;1,"n.a.",TblOutcomes[[#This Row],[Qty Wasted]]*SUMIFS(TblPurchases[Unit Cost (CLP)],TblPurchases[BatchID],TblOutcomes[[#This Row],[BatchID]]))</f>
        <v>0</v>
      </c>
      <c r="Q2335" s="51">
        <f>IF(COUNTIF(TblPurchases[BatchID],TblOutcomes[[#This Row],[BatchID]])&lt;&gt;1,"n.a.",SUMIFS(TblPurchases[Purchase Date],TblPurchases[BatchID],TblOutcomes[[#This Row],[BatchID]]))</f>
        <v>45248</v>
      </c>
    </row>
    <row r="2336" spans="2:17" x14ac:dyDescent="0.25">
      <c r="B2336" s="2" t="s">
        <v>3141</v>
      </c>
      <c r="C2336" s="2" t="s">
        <v>267</v>
      </c>
      <c r="D2336" s="2" t="s">
        <v>256</v>
      </c>
      <c r="E2336" s="2" t="s">
        <v>4647</v>
      </c>
      <c r="F2336" s="2">
        <v>10</v>
      </c>
      <c r="G2336" s="2">
        <v>10</v>
      </c>
      <c r="H2336" s="2">
        <v>0</v>
      </c>
      <c r="I2336" s="1">
        <v>0</v>
      </c>
      <c r="J2336" s="26">
        <v>45293</v>
      </c>
      <c r="K2336" s="22">
        <v>75000</v>
      </c>
      <c r="L2336" s="18">
        <v>80.209999999999994</v>
      </c>
      <c r="M2336" s="22">
        <v>54000</v>
      </c>
      <c r="N2336" s="22">
        <v>21000</v>
      </c>
      <c r="O2336" s="18">
        <v>22.46</v>
      </c>
      <c r="P2336" s="52">
        <f>IF(COUNTIF(TblPurchases[BatchID],TblOutcomes[[#This Row],[BatchID]])&lt;&gt;1,"n.a.",TblOutcomes[[#This Row],[Qty Wasted]]*SUMIFS(TblPurchases[Unit Cost (CLP)],TblPurchases[BatchID],TblOutcomes[[#This Row],[BatchID]]))</f>
        <v>0</v>
      </c>
      <c r="Q2336" s="51">
        <f>IF(COUNTIF(TblPurchases[BatchID],TblOutcomes[[#This Row],[BatchID]])&lt;&gt;1,"n.a.",SUMIFS(TblPurchases[Purchase Date],TblPurchases[BatchID],TblOutcomes[[#This Row],[BatchID]]))</f>
        <v>45274</v>
      </c>
    </row>
    <row r="2337" spans="2:17" x14ac:dyDescent="0.25">
      <c r="B2337" s="2" t="s">
        <v>3142</v>
      </c>
      <c r="C2337" s="2" t="s">
        <v>267</v>
      </c>
      <c r="D2337" s="2" t="s">
        <v>256</v>
      </c>
      <c r="E2337" s="2" t="s">
        <v>4646</v>
      </c>
      <c r="F2337" s="2">
        <v>6</v>
      </c>
      <c r="G2337" s="2">
        <v>5.46</v>
      </c>
      <c r="H2337" s="2">
        <v>0.54</v>
      </c>
      <c r="I2337" s="1">
        <v>9</v>
      </c>
      <c r="J2337" s="26">
        <v>45506</v>
      </c>
      <c r="K2337" s="22">
        <v>40950</v>
      </c>
      <c r="L2337" s="18">
        <v>43.8</v>
      </c>
      <c r="M2337" s="22">
        <v>32400</v>
      </c>
      <c r="N2337" s="22">
        <v>8550</v>
      </c>
      <c r="O2337" s="18">
        <v>9.14</v>
      </c>
      <c r="P2337" s="52">
        <f>IF(COUNTIF(TblPurchases[BatchID],TblOutcomes[[#This Row],[BatchID]])&lt;&gt;1,"n.a.",TblOutcomes[[#This Row],[Qty Wasted]]*SUMIFS(TblPurchases[Unit Cost (CLP)],TblPurchases[BatchID],TblOutcomes[[#This Row],[BatchID]]))</f>
        <v>2916</v>
      </c>
      <c r="Q2337" s="51">
        <f>IF(COUNTIF(TblPurchases[BatchID],TblOutcomes[[#This Row],[BatchID]])&lt;&gt;1,"n.a.",SUMIFS(TblPurchases[Purchase Date],TblPurchases[BatchID],TblOutcomes[[#This Row],[BatchID]]))</f>
        <v>45296</v>
      </c>
    </row>
    <row r="2338" spans="2:17" x14ac:dyDescent="0.25">
      <c r="B2338" s="2" t="s">
        <v>3143</v>
      </c>
      <c r="C2338" s="2" t="s">
        <v>267</v>
      </c>
      <c r="D2338" s="2" t="s">
        <v>256</v>
      </c>
      <c r="E2338" s="2" t="s">
        <v>4647</v>
      </c>
      <c r="F2338" s="2">
        <v>7</v>
      </c>
      <c r="G2338" s="2">
        <v>7</v>
      </c>
      <c r="H2338" s="2">
        <v>0</v>
      </c>
      <c r="I2338" s="1">
        <v>0</v>
      </c>
      <c r="J2338" s="26">
        <v>45341</v>
      </c>
      <c r="K2338" s="22">
        <v>52500</v>
      </c>
      <c r="L2338" s="18">
        <v>56.15</v>
      </c>
      <c r="M2338" s="22">
        <v>37800</v>
      </c>
      <c r="N2338" s="22">
        <v>14700</v>
      </c>
      <c r="O2338" s="18">
        <v>15.72</v>
      </c>
      <c r="P2338" s="52">
        <f>IF(COUNTIF(TblPurchases[BatchID],TblOutcomes[[#This Row],[BatchID]])&lt;&gt;1,"n.a.",TblOutcomes[[#This Row],[Qty Wasted]]*SUMIFS(TblPurchases[Unit Cost (CLP)],TblPurchases[BatchID],TblOutcomes[[#This Row],[BatchID]]))</f>
        <v>0</v>
      </c>
      <c r="Q2338" s="51">
        <f>IF(COUNTIF(TblPurchases[BatchID],TblOutcomes[[#This Row],[BatchID]])&lt;&gt;1,"n.a.",SUMIFS(TblPurchases[Purchase Date],TblPurchases[BatchID],TblOutcomes[[#This Row],[BatchID]]))</f>
        <v>45319</v>
      </c>
    </row>
    <row r="2339" spans="2:17" x14ac:dyDescent="0.25">
      <c r="B2339" s="2" t="s">
        <v>3144</v>
      </c>
      <c r="C2339" s="2" t="s">
        <v>267</v>
      </c>
      <c r="D2339" s="2" t="s">
        <v>256</v>
      </c>
      <c r="E2339" s="2" t="s">
        <v>4646</v>
      </c>
      <c r="F2339" s="2">
        <v>8</v>
      </c>
      <c r="G2339" s="2">
        <v>7.06</v>
      </c>
      <c r="H2339" s="2">
        <v>0.94</v>
      </c>
      <c r="I2339" s="1">
        <v>11.7</v>
      </c>
      <c r="J2339" s="26">
        <v>45556</v>
      </c>
      <c r="K2339" s="22">
        <v>52950</v>
      </c>
      <c r="L2339" s="18">
        <v>56.63</v>
      </c>
      <c r="M2339" s="22">
        <v>43200</v>
      </c>
      <c r="N2339" s="22">
        <v>9750</v>
      </c>
      <c r="O2339" s="18">
        <v>10.43</v>
      </c>
      <c r="P2339" s="52">
        <f>IF(COUNTIF(TblPurchases[BatchID],TblOutcomes[[#This Row],[BatchID]])&lt;&gt;1,"n.a.",TblOutcomes[[#This Row],[Qty Wasted]]*SUMIFS(TblPurchases[Unit Cost (CLP)],TblPurchases[BatchID],TblOutcomes[[#This Row],[BatchID]]))</f>
        <v>5076</v>
      </c>
      <c r="Q2339" s="51">
        <f>IF(COUNTIF(TblPurchases[BatchID],TblOutcomes[[#This Row],[BatchID]])&lt;&gt;1,"n.a.",SUMIFS(TblPurchases[Purchase Date],TblPurchases[BatchID],TblOutcomes[[#This Row],[BatchID]]))</f>
        <v>45346</v>
      </c>
    </row>
    <row r="2340" spans="2:17" x14ac:dyDescent="0.25">
      <c r="B2340" s="2" t="s">
        <v>3145</v>
      </c>
      <c r="C2340" s="2" t="s">
        <v>267</v>
      </c>
      <c r="D2340" s="2" t="s">
        <v>256</v>
      </c>
      <c r="E2340" s="2" t="s">
        <v>4647</v>
      </c>
      <c r="F2340" s="2">
        <v>6</v>
      </c>
      <c r="G2340" s="2">
        <v>6</v>
      </c>
      <c r="H2340" s="2">
        <v>0</v>
      </c>
      <c r="I2340" s="1">
        <v>0</v>
      </c>
      <c r="J2340" s="26">
        <v>45396</v>
      </c>
      <c r="K2340" s="22">
        <v>45000</v>
      </c>
      <c r="L2340" s="18">
        <v>48.13</v>
      </c>
      <c r="M2340" s="22">
        <v>32400</v>
      </c>
      <c r="N2340" s="22">
        <v>12600</v>
      </c>
      <c r="O2340" s="18">
        <v>13.48</v>
      </c>
      <c r="P2340" s="52">
        <f>IF(COUNTIF(TblPurchases[BatchID],TblOutcomes[[#This Row],[BatchID]])&lt;&gt;1,"n.a.",TblOutcomes[[#This Row],[Qty Wasted]]*SUMIFS(TblPurchases[Unit Cost (CLP)],TblPurchases[BatchID],TblOutcomes[[#This Row],[BatchID]]))</f>
        <v>0</v>
      </c>
      <c r="Q2340" s="51">
        <f>IF(COUNTIF(TblPurchases[BatchID],TblOutcomes[[#This Row],[BatchID]])&lt;&gt;1,"n.a.",SUMIFS(TblPurchases[Purchase Date],TblPurchases[BatchID],TblOutcomes[[#This Row],[BatchID]]))</f>
        <v>45370</v>
      </c>
    </row>
    <row r="2341" spans="2:17" x14ac:dyDescent="0.25">
      <c r="B2341" s="2" t="s">
        <v>3146</v>
      </c>
      <c r="C2341" s="2" t="s">
        <v>267</v>
      </c>
      <c r="D2341" s="2" t="s">
        <v>256</v>
      </c>
      <c r="E2341" s="2" t="s">
        <v>4646</v>
      </c>
      <c r="F2341" s="2">
        <v>17</v>
      </c>
      <c r="G2341" s="2">
        <v>15.66</v>
      </c>
      <c r="H2341" s="2">
        <v>1.34</v>
      </c>
      <c r="I2341" s="1">
        <v>7.9</v>
      </c>
      <c r="J2341" s="26">
        <v>45605</v>
      </c>
      <c r="K2341" s="22">
        <v>117450</v>
      </c>
      <c r="L2341" s="18">
        <v>125.61</v>
      </c>
      <c r="M2341" s="22">
        <v>91800</v>
      </c>
      <c r="N2341" s="22">
        <v>25650</v>
      </c>
      <c r="O2341" s="18">
        <v>27.43</v>
      </c>
      <c r="P2341" s="52">
        <f>IF(COUNTIF(TblPurchases[BatchID],TblOutcomes[[#This Row],[BatchID]])&lt;&gt;1,"n.a.",TblOutcomes[[#This Row],[Qty Wasted]]*SUMIFS(TblPurchases[Unit Cost (CLP)],TblPurchases[BatchID],TblOutcomes[[#This Row],[BatchID]]))</f>
        <v>7236</v>
      </c>
      <c r="Q2341" s="51">
        <f>IF(COUNTIF(TblPurchases[BatchID],TblOutcomes[[#This Row],[BatchID]])&lt;&gt;1,"n.a.",SUMIFS(TblPurchases[Purchase Date],TblPurchases[BatchID],TblOutcomes[[#This Row],[BatchID]]))</f>
        <v>45395</v>
      </c>
    </row>
    <row r="2342" spans="2:17" x14ac:dyDescent="0.25">
      <c r="B2342" s="2" t="s">
        <v>3147</v>
      </c>
      <c r="C2342" s="2" t="s">
        <v>267</v>
      </c>
      <c r="D2342" s="2" t="s">
        <v>256</v>
      </c>
      <c r="E2342" s="2" t="s">
        <v>4647</v>
      </c>
      <c r="F2342" s="2">
        <v>18</v>
      </c>
      <c r="G2342" s="2">
        <v>18</v>
      </c>
      <c r="H2342" s="2">
        <v>0</v>
      </c>
      <c r="I2342" s="1">
        <v>0</v>
      </c>
      <c r="J2342" s="26">
        <v>45420</v>
      </c>
      <c r="K2342" s="22">
        <v>135000</v>
      </c>
      <c r="L2342" s="18">
        <v>144.38999999999999</v>
      </c>
      <c r="M2342" s="22">
        <v>97200</v>
      </c>
      <c r="N2342" s="22">
        <v>37800</v>
      </c>
      <c r="O2342" s="18">
        <v>40.43</v>
      </c>
      <c r="P2342" s="52">
        <f>IF(COUNTIF(TblPurchases[BatchID],TblOutcomes[[#This Row],[BatchID]])&lt;&gt;1,"n.a.",TblOutcomes[[#This Row],[Qty Wasted]]*SUMIFS(TblPurchases[Unit Cost (CLP)],TblPurchases[BatchID],TblOutcomes[[#This Row],[BatchID]]))</f>
        <v>0</v>
      </c>
      <c r="Q2342" s="51">
        <f>IF(COUNTIF(TblPurchases[BatchID],TblOutcomes[[#This Row],[BatchID]])&lt;&gt;1,"n.a.",SUMIFS(TblPurchases[Purchase Date],TblPurchases[BatchID],TblOutcomes[[#This Row],[BatchID]]))</f>
        <v>45412</v>
      </c>
    </row>
    <row r="2343" spans="2:17" x14ac:dyDescent="0.25">
      <c r="B2343" s="2" t="s">
        <v>3148</v>
      </c>
      <c r="C2343" s="2" t="s">
        <v>267</v>
      </c>
      <c r="D2343" s="2" t="s">
        <v>256</v>
      </c>
      <c r="E2343" s="2" t="s">
        <v>4647</v>
      </c>
      <c r="F2343" s="2">
        <v>19</v>
      </c>
      <c r="G2343" s="2">
        <v>19</v>
      </c>
      <c r="H2343" s="2">
        <v>0</v>
      </c>
      <c r="I2343" s="1">
        <v>0</v>
      </c>
      <c r="J2343" s="26">
        <v>45459</v>
      </c>
      <c r="K2343" s="22">
        <v>142500</v>
      </c>
      <c r="L2343" s="18">
        <v>152.41</v>
      </c>
      <c r="M2343" s="22">
        <v>118750</v>
      </c>
      <c r="N2343" s="22">
        <v>23750</v>
      </c>
      <c r="O2343" s="18">
        <v>25.4</v>
      </c>
      <c r="P2343" s="52">
        <f>IF(COUNTIF(TblPurchases[BatchID],TblOutcomes[[#This Row],[BatchID]])&lt;&gt;1,"n.a.",TblOutcomes[[#This Row],[Qty Wasted]]*SUMIFS(TblPurchases[Unit Cost (CLP)],TblPurchases[BatchID],TblOutcomes[[#This Row],[BatchID]]))</f>
        <v>0</v>
      </c>
      <c r="Q2343" s="51">
        <f>IF(COUNTIF(TblPurchases[BatchID],TblOutcomes[[#This Row],[BatchID]])&lt;&gt;1,"n.a.",SUMIFS(TblPurchases[Purchase Date],TblPurchases[BatchID],TblOutcomes[[#This Row],[BatchID]]))</f>
        <v>45437</v>
      </c>
    </row>
    <row r="2344" spans="2:17" x14ac:dyDescent="0.25">
      <c r="B2344" s="2" t="s">
        <v>3149</v>
      </c>
      <c r="C2344" s="2" t="s">
        <v>267</v>
      </c>
      <c r="D2344" s="2" t="s">
        <v>256</v>
      </c>
      <c r="E2344" s="2" t="s">
        <v>4647</v>
      </c>
      <c r="F2344" s="2">
        <v>17</v>
      </c>
      <c r="G2344" s="2">
        <v>17</v>
      </c>
      <c r="H2344" s="2">
        <v>0</v>
      </c>
      <c r="I2344" s="1">
        <v>0</v>
      </c>
      <c r="J2344" s="26">
        <v>45468</v>
      </c>
      <c r="K2344" s="22">
        <v>127500</v>
      </c>
      <c r="L2344" s="18">
        <v>136.36000000000001</v>
      </c>
      <c r="M2344" s="22">
        <v>91800</v>
      </c>
      <c r="N2344" s="22">
        <v>35700</v>
      </c>
      <c r="O2344" s="18">
        <v>38.18</v>
      </c>
      <c r="P2344" s="52">
        <f>IF(COUNTIF(TblPurchases[BatchID],TblOutcomes[[#This Row],[BatchID]])&lt;&gt;1,"n.a.",TblOutcomes[[#This Row],[Qty Wasted]]*SUMIFS(TblPurchases[Unit Cost (CLP)],TblPurchases[BatchID],TblOutcomes[[#This Row],[BatchID]]))</f>
        <v>0</v>
      </c>
      <c r="Q2344" s="51">
        <f>IF(COUNTIF(TblPurchases[BatchID],TblOutcomes[[#This Row],[BatchID]])&lt;&gt;1,"n.a.",SUMIFS(TblPurchases[Purchase Date],TblPurchases[BatchID],TblOutcomes[[#This Row],[BatchID]]))</f>
        <v>45459</v>
      </c>
    </row>
    <row r="2345" spans="2:17" x14ac:dyDescent="0.25">
      <c r="B2345" s="2" t="s">
        <v>3150</v>
      </c>
      <c r="C2345" s="2" t="s">
        <v>267</v>
      </c>
      <c r="D2345" s="2" t="s">
        <v>256</v>
      </c>
      <c r="E2345" s="2" t="s">
        <v>4646</v>
      </c>
      <c r="F2345" s="2">
        <v>17</v>
      </c>
      <c r="G2345" s="2">
        <v>15.78</v>
      </c>
      <c r="H2345" s="2">
        <v>1.22</v>
      </c>
      <c r="I2345" s="1">
        <v>7.2</v>
      </c>
      <c r="J2345" s="26">
        <v>45686</v>
      </c>
      <c r="K2345" s="22">
        <v>118350</v>
      </c>
      <c r="L2345" s="18">
        <v>126.58</v>
      </c>
      <c r="M2345" s="22">
        <v>91800</v>
      </c>
      <c r="N2345" s="22">
        <v>26550</v>
      </c>
      <c r="O2345" s="18">
        <v>28.4</v>
      </c>
      <c r="P2345" s="52">
        <f>IF(COUNTIF(TblPurchases[BatchID],TblOutcomes[[#This Row],[BatchID]])&lt;&gt;1,"n.a.",TblOutcomes[[#This Row],[Qty Wasted]]*SUMIFS(TblPurchases[Unit Cost (CLP)],TblPurchases[BatchID],TblOutcomes[[#This Row],[BatchID]]))</f>
        <v>6588</v>
      </c>
      <c r="Q2345" s="51">
        <f>IF(COUNTIF(TblPurchases[BatchID],TblOutcomes[[#This Row],[BatchID]])&lt;&gt;1,"n.a.",SUMIFS(TblPurchases[Purchase Date],TblPurchases[BatchID],TblOutcomes[[#This Row],[BatchID]]))</f>
        <v>45476</v>
      </c>
    </row>
    <row r="2346" spans="2:17" x14ac:dyDescent="0.25">
      <c r="B2346" s="2" t="s">
        <v>3151</v>
      </c>
      <c r="C2346" s="2" t="s">
        <v>267</v>
      </c>
      <c r="D2346" s="2" t="s">
        <v>256</v>
      </c>
      <c r="E2346" s="2" t="s">
        <v>4647</v>
      </c>
      <c r="F2346" s="2">
        <v>19</v>
      </c>
      <c r="G2346" s="2">
        <v>19</v>
      </c>
      <c r="H2346" s="2">
        <v>0</v>
      </c>
      <c r="I2346" s="1">
        <v>0</v>
      </c>
      <c r="J2346" s="26">
        <v>45524</v>
      </c>
      <c r="K2346" s="22">
        <v>142500</v>
      </c>
      <c r="L2346" s="18">
        <v>152.41</v>
      </c>
      <c r="M2346" s="22">
        <v>102600</v>
      </c>
      <c r="N2346" s="22">
        <v>39900</v>
      </c>
      <c r="O2346" s="18">
        <v>42.67</v>
      </c>
      <c r="P2346" s="52">
        <f>IF(COUNTIF(TblPurchases[BatchID],TblOutcomes[[#This Row],[BatchID]])&lt;&gt;1,"n.a.",TblOutcomes[[#This Row],[Qty Wasted]]*SUMIFS(TblPurchases[Unit Cost (CLP)],TblPurchases[BatchID],TblOutcomes[[#This Row],[BatchID]]))</f>
        <v>0</v>
      </c>
      <c r="Q2346" s="51">
        <f>IF(COUNTIF(TblPurchases[BatchID],TblOutcomes[[#This Row],[BatchID]])&lt;&gt;1,"n.a.",SUMIFS(TblPurchases[Purchase Date],TblPurchases[BatchID],TblOutcomes[[#This Row],[BatchID]]))</f>
        <v>45499</v>
      </c>
    </row>
    <row r="2347" spans="2:17" x14ac:dyDescent="0.25">
      <c r="B2347" s="2" t="s">
        <v>3152</v>
      </c>
      <c r="C2347" s="2" t="s">
        <v>267</v>
      </c>
      <c r="D2347" s="2" t="s">
        <v>256</v>
      </c>
      <c r="E2347" s="2" t="s">
        <v>4647</v>
      </c>
      <c r="F2347" s="2">
        <v>21</v>
      </c>
      <c r="G2347" s="2">
        <v>21</v>
      </c>
      <c r="H2347" s="2">
        <v>0</v>
      </c>
      <c r="I2347" s="1">
        <v>0</v>
      </c>
      <c r="J2347" s="26">
        <v>45537</v>
      </c>
      <c r="K2347" s="22">
        <v>157500</v>
      </c>
      <c r="L2347" s="18">
        <v>168.45</v>
      </c>
      <c r="M2347" s="22">
        <v>113400</v>
      </c>
      <c r="N2347" s="22">
        <v>44100</v>
      </c>
      <c r="O2347" s="18">
        <v>47.17</v>
      </c>
      <c r="P2347" s="52">
        <f>IF(COUNTIF(TblPurchases[BatchID],TblOutcomes[[#This Row],[BatchID]])&lt;&gt;1,"n.a.",TblOutcomes[[#This Row],[Qty Wasted]]*SUMIFS(TblPurchases[Unit Cost (CLP)],TblPurchases[BatchID],TblOutcomes[[#This Row],[BatchID]]))</f>
        <v>0</v>
      </c>
      <c r="Q2347" s="51">
        <f>IF(COUNTIF(TblPurchases[BatchID],TblOutcomes[[#This Row],[BatchID]])&lt;&gt;1,"n.a.",SUMIFS(TblPurchases[Purchase Date],TblPurchases[BatchID],TblOutcomes[[#This Row],[BatchID]]))</f>
        <v>45520</v>
      </c>
    </row>
    <row r="2348" spans="2:17" x14ac:dyDescent="0.25">
      <c r="B2348" s="2" t="s">
        <v>3153</v>
      </c>
      <c r="C2348" s="2" t="s">
        <v>267</v>
      </c>
      <c r="D2348" s="2" t="s">
        <v>256</v>
      </c>
      <c r="E2348" s="2" t="s">
        <v>4647</v>
      </c>
      <c r="F2348" s="2">
        <v>26</v>
      </c>
      <c r="G2348" s="2">
        <v>26</v>
      </c>
      <c r="H2348" s="2">
        <v>0</v>
      </c>
      <c r="I2348" s="1">
        <v>0</v>
      </c>
      <c r="J2348" s="26">
        <v>45555</v>
      </c>
      <c r="K2348" s="22">
        <v>195000</v>
      </c>
      <c r="L2348" s="18">
        <v>208.56</v>
      </c>
      <c r="M2348" s="22">
        <v>140400</v>
      </c>
      <c r="N2348" s="22">
        <v>54600</v>
      </c>
      <c r="O2348" s="18">
        <v>58.4</v>
      </c>
      <c r="P2348" s="52">
        <f>IF(COUNTIF(TblPurchases[BatchID],TblOutcomes[[#This Row],[BatchID]])&lt;&gt;1,"n.a.",TblOutcomes[[#This Row],[Qty Wasted]]*SUMIFS(TblPurchases[Unit Cost (CLP)],TblPurchases[BatchID],TblOutcomes[[#This Row],[BatchID]]))</f>
        <v>0</v>
      </c>
      <c r="Q2348" s="51">
        <f>IF(COUNTIF(TblPurchases[BatchID],TblOutcomes[[#This Row],[BatchID]])&lt;&gt;1,"n.a.",SUMIFS(TblPurchases[Purchase Date],TblPurchases[BatchID],TblOutcomes[[#This Row],[BatchID]]))</f>
        <v>45540</v>
      </c>
    </row>
    <row r="2349" spans="2:17" x14ac:dyDescent="0.25">
      <c r="B2349" s="2" t="s">
        <v>3154</v>
      </c>
      <c r="C2349" s="2" t="s">
        <v>267</v>
      </c>
      <c r="D2349" s="2" t="s">
        <v>256</v>
      </c>
      <c r="E2349" s="2" t="s">
        <v>4646</v>
      </c>
      <c r="F2349" s="2">
        <v>8</v>
      </c>
      <c r="G2349" s="2">
        <v>7.57</v>
      </c>
      <c r="H2349" s="2">
        <v>0.43</v>
      </c>
      <c r="I2349" s="1">
        <v>5.4</v>
      </c>
      <c r="J2349" s="26">
        <v>45776</v>
      </c>
      <c r="K2349" s="22">
        <v>56775</v>
      </c>
      <c r="L2349" s="18">
        <v>60.72</v>
      </c>
      <c r="M2349" s="22">
        <v>43200</v>
      </c>
      <c r="N2349" s="22">
        <v>13575</v>
      </c>
      <c r="O2349" s="18">
        <v>14.52</v>
      </c>
      <c r="P2349" s="52">
        <f>IF(COUNTIF(TblPurchases[BatchID],TblOutcomes[[#This Row],[BatchID]])&lt;&gt;1,"n.a.",TblOutcomes[[#This Row],[Qty Wasted]]*SUMIFS(TblPurchases[Unit Cost (CLP)],TblPurchases[BatchID],TblOutcomes[[#This Row],[BatchID]]))</f>
        <v>2322</v>
      </c>
      <c r="Q2349" s="51">
        <f>IF(COUNTIF(TblPurchases[BatchID],TblOutcomes[[#This Row],[BatchID]])&lt;&gt;1,"n.a.",SUMIFS(TblPurchases[Purchase Date],TblPurchases[BatchID],TblOutcomes[[#This Row],[BatchID]]))</f>
        <v>45566</v>
      </c>
    </row>
    <row r="2350" spans="2:17" x14ac:dyDescent="0.25">
      <c r="B2350" s="2" t="s">
        <v>3155</v>
      </c>
      <c r="C2350" s="2" t="s">
        <v>267</v>
      </c>
      <c r="D2350" s="2" t="s">
        <v>256</v>
      </c>
      <c r="E2350" s="2" t="s">
        <v>4647</v>
      </c>
      <c r="F2350" s="2">
        <v>8</v>
      </c>
      <c r="G2350" s="2">
        <v>8</v>
      </c>
      <c r="H2350" s="2">
        <v>0</v>
      </c>
      <c r="I2350" s="1">
        <v>0</v>
      </c>
      <c r="J2350" s="26">
        <v>45603</v>
      </c>
      <c r="K2350" s="22">
        <v>60000</v>
      </c>
      <c r="L2350" s="18">
        <v>64.17</v>
      </c>
      <c r="M2350" s="22">
        <v>43200</v>
      </c>
      <c r="N2350" s="22">
        <v>16800</v>
      </c>
      <c r="O2350" s="18">
        <v>17.97</v>
      </c>
      <c r="P2350" s="52">
        <f>IF(COUNTIF(TblPurchases[BatchID],TblOutcomes[[#This Row],[BatchID]])&lt;&gt;1,"n.a.",TblOutcomes[[#This Row],[Qty Wasted]]*SUMIFS(TblPurchases[Unit Cost (CLP)],TblPurchases[BatchID],TblOutcomes[[#This Row],[BatchID]]))</f>
        <v>0</v>
      </c>
      <c r="Q2350" s="51">
        <f>IF(COUNTIF(TblPurchases[BatchID],TblOutcomes[[#This Row],[BatchID]])&lt;&gt;1,"n.a.",SUMIFS(TblPurchases[Purchase Date],TblPurchases[BatchID],TblOutcomes[[#This Row],[BatchID]]))</f>
        <v>45584</v>
      </c>
    </row>
    <row r="2351" spans="2:17" x14ac:dyDescent="0.25">
      <c r="B2351" s="2" t="s">
        <v>3156</v>
      </c>
      <c r="C2351" s="2" t="s">
        <v>267</v>
      </c>
      <c r="D2351" s="2" t="s">
        <v>256</v>
      </c>
      <c r="E2351" s="2" t="s">
        <v>4646</v>
      </c>
      <c r="F2351" s="2">
        <v>7</v>
      </c>
      <c r="G2351" s="2">
        <v>6.38</v>
      </c>
      <c r="H2351" s="2">
        <v>0.62</v>
      </c>
      <c r="I2351" s="1">
        <v>8.8000000000000007</v>
      </c>
      <c r="J2351" s="26">
        <v>45817</v>
      </c>
      <c r="K2351" s="22">
        <v>47850</v>
      </c>
      <c r="L2351" s="18">
        <v>51.18</v>
      </c>
      <c r="M2351" s="22">
        <v>37800</v>
      </c>
      <c r="N2351" s="22">
        <v>10050</v>
      </c>
      <c r="O2351" s="18">
        <v>10.75</v>
      </c>
      <c r="P2351" s="52">
        <f>IF(COUNTIF(TblPurchases[BatchID],TblOutcomes[[#This Row],[BatchID]])&lt;&gt;1,"n.a.",TblOutcomes[[#This Row],[Qty Wasted]]*SUMIFS(TblPurchases[Unit Cost (CLP)],TblPurchases[BatchID],TblOutcomes[[#This Row],[BatchID]]))</f>
        <v>3348</v>
      </c>
      <c r="Q2351" s="51">
        <f>IF(COUNTIF(TblPurchases[BatchID],TblOutcomes[[#This Row],[BatchID]])&lt;&gt;1,"n.a.",SUMIFS(TblPurchases[Purchase Date],TblPurchases[BatchID],TblOutcomes[[#This Row],[BatchID]]))</f>
        <v>45607</v>
      </c>
    </row>
    <row r="2352" spans="2:17" x14ac:dyDescent="0.25">
      <c r="B2352" s="2" t="s">
        <v>3157</v>
      </c>
      <c r="C2352" s="2" t="s">
        <v>267</v>
      </c>
      <c r="D2352" s="2" t="s">
        <v>256</v>
      </c>
      <c r="E2352" s="2" t="s">
        <v>4647</v>
      </c>
      <c r="F2352" s="2">
        <v>7</v>
      </c>
      <c r="G2352" s="2">
        <v>7</v>
      </c>
      <c r="H2352" s="2">
        <v>0</v>
      </c>
      <c r="I2352" s="1">
        <v>0</v>
      </c>
      <c r="J2352" s="26">
        <v>45638</v>
      </c>
      <c r="K2352" s="22">
        <v>52500</v>
      </c>
      <c r="L2352" s="18">
        <v>56.15</v>
      </c>
      <c r="M2352" s="22">
        <v>37800</v>
      </c>
      <c r="N2352" s="22">
        <v>14700</v>
      </c>
      <c r="O2352" s="18">
        <v>15.72</v>
      </c>
      <c r="P2352" s="52">
        <f>IF(COUNTIF(TblPurchases[BatchID],TblOutcomes[[#This Row],[BatchID]])&lt;&gt;1,"n.a.",TblOutcomes[[#This Row],[Qty Wasted]]*SUMIFS(TblPurchases[Unit Cost (CLP)],TblPurchases[BatchID],TblOutcomes[[#This Row],[BatchID]]))</f>
        <v>0</v>
      </c>
      <c r="Q2352" s="51">
        <f>IF(COUNTIF(TblPurchases[BatchID],TblOutcomes[[#This Row],[BatchID]])&lt;&gt;1,"n.a.",SUMIFS(TblPurchases[Purchase Date],TblPurchases[BatchID],TblOutcomes[[#This Row],[BatchID]]))</f>
        <v>45626</v>
      </c>
    </row>
    <row r="2353" spans="2:17" x14ac:dyDescent="0.25">
      <c r="B2353" s="2" t="s">
        <v>3158</v>
      </c>
      <c r="C2353" s="2" t="s">
        <v>267</v>
      </c>
      <c r="D2353" s="2" t="s">
        <v>256</v>
      </c>
      <c r="E2353" s="2" t="s">
        <v>4647</v>
      </c>
      <c r="F2353" s="2">
        <v>11</v>
      </c>
      <c r="G2353" s="2">
        <v>11</v>
      </c>
      <c r="H2353" s="2">
        <v>0</v>
      </c>
      <c r="I2353" s="1">
        <v>0</v>
      </c>
      <c r="J2353" s="26">
        <v>45660</v>
      </c>
      <c r="K2353" s="22">
        <v>82500</v>
      </c>
      <c r="L2353" s="18">
        <v>88.24</v>
      </c>
      <c r="M2353" s="22">
        <v>68750</v>
      </c>
      <c r="N2353" s="22">
        <v>13750</v>
      </c>
      <c r="O2353" s="18">
        <v>14.71</v>
      </c>
      <c r="P2353" s="52">
        <f>IF(COUNTIF(TblPurchases[BatchID],TblOutcomes[[#This Row],[BatchID]])&lt;&gt;1,"n.a.",TblOutcomes[[#This Row],[Qty Wasted]]*SUMIFS(TblPurchases[Unit Cost (CLP)],TblPurchases[BatchID],TblOutcomes[[#This Row],[BatchID]]))</f>
        <v>0</v>
      </c>
      <c r="Q2353" s="51">
        <f>IF(COUNTIF(TblPurchases[BatchID],TblOutcomes[[#This Row],[BatchID]])&lt;&gt;1,"n.a.",SUMIFS(TblPurchases[Purchase Date],TblPurchases[BatchID],TblOutcomes[[#This Row],[BatchID]]))</f>
        <v>45647</v>
      </c>
    </row>
    <row r="2354" spans="2:17" x14ac:dyDescent="0.25">
      <c r="B2354" s="2" t="s">
        <v>3159</v>
      </c>
      <c r="C2354" s="2" t="s">
        <v>267</v>
      </c>
      <c r="D2354" s="2" t="s">
        <v>256</v>
      </c>
      <c r="E2354" s="2" t="s">
        <v>4647</v>
      </c>
      <c r="F2354" s="2">
        <v>7</v>
      </c>
      <c r="G2354" s="2">
        <v>7</v>
      </c>
      <c r="H2354" s="2">
        <v>0</v>
      </c>
      <c r="I2354" s="1">
        <v>0</v>
      </c>
      <c r="J2354" s="26">
        <v>45688</v>
      </c>
      <c r="K2354" s="22">
        <v>52500</v>
      </c>
      <c r="L2354" s="18">
        <v>56.15</v>
      </c>
      <c r="M2354" s="22">
        <v>37800</v>
      </c>
      <c r="N2354" s="22">
        <v>14700</v>
      </c>
      <c r="O2354" s="18">
        <v>15.72</v>
      </c>
      <c r="P2354" s="52">
        <f>IF(COUNTIF(TblPurchases[BatchID],TblOutcomes[[#This Row],[BatchID]])&lt;&gt;1,"n.a.",TblOutcomes[[#This Row],[Qty Wasted]]*SUMIFS(TblPurchases[Unit Cost (CLP)],TblPurchases[BatchID],TblOutcomes[[#This Row],[BatchID]]))</f>
        <v>0</v>
      </c>
      <c r="Q2354" s="51">
        <f>IF(COUNTIF(TblPurchases[BatchID],TblOutcomes[[#This Row],[BatchID]])&lt;&gt;1,"n.a.",SUMIFS(TblPurchases[Purchase Date],TblPurchases[BatchID],TblOutcomes[[#This Row],[BatchID]]))</f>
        <v>45669</v>
      </c>
    </row>
    <row r="2355" spans="2:17" x14ac:dyDescent="0.25">
      <c r="B2355" s="2" t="s">
        <v>3160</v>
      </c>
      <c r="C2355" s="2" t="s">
        <v>267</v>
      </c>
      <c r="D2355" s="2" t="s">
        <v>256</v>
      </c>
      <c r="E2355" s="2" t="s">
        <v>4646</v>
      </c>
      <c r="F2355" s="2">
        <v>7</v>
      </c>
      <c r="G2355" s="2">
        <v>6.31</v>
      </c>
      <c r="H2355" s="2">
        <v>0.69</v>
      </c>
      <c r="I2355" s="1">
        <v>9.8000000000000007</v>
      </c>
      <c r="J2355" s="26">
        <v>45898</v>
      </c>
      <c r="K2355" s="22">
        <v>47325</v>
      </c>
      <c r="L2355" s="18">
        <v>50.61</v>
      </c>
      <c r="M2355" s="22">
        <v>37800</v>
      </c>
      <c r="N2355" s="22">
        <v>9525</v>
      </c>
      <c r="O2355" s="18">
        <v>10.19</v>
      </c>
      <c r="P2355" s="52">
        <f>IF(COUNTIF(TblPurchases[BatchID],TblOutcomes[[#This Row],[BatchID]])&lt;&gt;1,"n.a.",TblOutcomes[[#This Row],[Qty Wasted]]*SUMIFS(TblPurchases[Unit Cost (CLP)],TblPurchases[BatchID],TblOutcomes[[#This Row],[BatchID]]))</f>
        <v>3725.9999999999995</v>
      </c>
      <c r="Q2355" s="51">
        <f>IF(COUNTIF(TblPurchases[BatchID],TblOutcomes[[#This Row],[BatchID]])&lt;&gt;1,"n.a.",SUMIFS(TblPurchases[Purchase Date],TblPurchases[BatchID],TblOutcomes[[#This Row],[BatchID]]))</f>
        <v>45688</v>
      </c>
    </row>
    <row r="2356" spans="2:17" x14ac:dyDescent="0.25">
      <c r="B2356" s="2" t="s">
        <v>3161</v>
      </c>
      <c r="C2356" s="2" t="s">
        <v>267</v>
      </c>
      <c r="D2356" s="2" t="s">
        <v>256</v>
      </c>
      <c r="E2356" s="2" t="s">
        <v>4647</v>
      </c>
      <c r="F2356" s="2">
        <v>7</v>
      </c>
      <c r="G2356" s="2">
        <v>7</v>
      </c>
      <c r="H2356" s="2">
        <v>0</v>
      </c>
      <c r="I2356" s="1">
        <v>0</v>
      </c>
      <c r="J2356" s="26">
        <v>45729</v>
      </c>
      <c r="K2356" s="22">
        <v>52500</v>
      </c>
      <c r="L2356" s="18">
        <v>56.15</v>
      </c>
      <c r="M2356" s="22">
        <v>37800</v>
      </c>
      <c r="N2356" s="22">
        <v>14700</v>
      </c>
      <c r="O2356" s="18">
        <v>15.72</v>
      </c>
      <c r="P2356" s="52">
        <f>IF(COUNTIF(TblPurchases[BatchID],TblOutcomes[[#This Row],[BatchID]])&lt;&gt;1,"n.a.",TblOutcomes[[#This Row],[Qty Wasted]]*SUMIFS(TblPurchases[Unit Cost (CLP)],TblPurchases[BatchID],TblOutcomes[[#This Row],[BatchID]]))</f>
        <v>0</v>
      </c>
      <c r="Q2356" s="51">
        <f>IF(COUNTIF(TblPurchases[BatchID],TblOutcomes[[#This Row],[BatchID]])&lt;&gt;1,"n.a.",SUMIFS(TblPurchases[Purchase Date],TblPurchases[BatchID],TblOutcomes[[#This Row],[BatchID]]))</f>
        <v>45711</v>
      </c>
    </row>
    <row r="2357" spans="2:17" x14ac:dyDescent="0.25">
      <c r="B2357" s="2" t="s">
        <v>3162</v>
      </c>
      <c r="C2357" s="2" t="s">
        <v>267</v>
      </c>
      <c r="D2357" s="2" t="s">
        <v>256</v>
      </c>
      <c r="E2357" s="2" t="s">
        <v>4646</v>
      </c>
      <c r="F2357" s="2">
        <v>8</v>
      </c>
      <c r="G2357" s="2">
        <v>7.59</v>
      </c>
      <c r="H2357" s="2">
        <v>0.41</v>
      </c>
      <c r="I2357" s="1">
        <v>5.0999999999999996</v>
      </c>
      <c r="J2357" s="26">
        <v>45943</v>
      </c>
      <c r="K2357" s="22">
        <v>56925</v>
      </c>
      <c r="L2357" s="18">
        <v>60.88</v>
      </c>
      <c r="M2357" s="22">
        <v>43200</v>
      </c>
      <c r="N2357" s="22">
        <v>13725</v>
      </c>
      <c r="O2357" s="18">
        <v>14.68</v>
      </c>
      <c r="P2357" s="52">
        <f>IF(COUNTIF(TblPurchases[BatchID],TblOutcomes[[#This Row],[BatchID]])&lt;&gt;1,"n.a.",TblOutcomes[[#This Row],[Qty Wasted]]*SUMIFS(TblPurchases[Unit Cost (CLP)],TblPurchases[BatchID],TblOutcomes[[#This Row],[BatchID]]))</f>
        <v>2214</v>
      </c>
      <c r="Q2357" s="51">
        <f>IF(COUNTIF(TblPurchases[BatchID],TblOutcomes[[#This Row],[BatchID]])&lt;&gt;1,"n.a.",SUMIFS(TblPurchases[Purchase Date],TblPurchases[BatchID],TblOutcomes[[#This Row],[BatchID]]))</f>
        <v>45733</v>
      </c>
    </row>
    <row r="2358" spans="2:17" x14ac:dyDescent="0.25">
      <c r="B2358" s="2" t="s">
        <v>3163</v>
      </c>
      <c r="C2358" s="2" t="s">
        <v>267</v>
      </c>
      <c r="D2358" s="2" t="s">
        <v>256</v>
      </c>
      <c r="E2358" s="2" t="s">
        <v>4647</v>
      </c>
      <c r="F2358" s="2">
        <v>22</v>
      </c>
      <c r="G2358" s="2">
        <v>22</v>
      </c>
      <c r="H2358" s="2">
        <v>0</v>
      </c>
      <c r="I2358" s="1">
        <v>0</v>
      </c>
      <c r="J2358" s="26">
        <v>45768</v>
      </c>
      <c r="K2358" s="22">
        <v>165000</v>
      </c>
      <c r="L2358" s="18">
        <v>176.47</v>
      </c>
      <c r="M2358" s="22">
        <v>118800</v>
      </c>
      <c r="N2358" s="22">
        <v>46200</v>
      </c>
      <c r="O2358" s="18">
        <v>49.41</v>
      </c>
      <c r="P2358" s="52">
        <f>IF(COUNTIF(TblPurchases[BatchID],TblOutcomes[[#This Row],[BatchID]])&lt;&gt;1,"n.a.",TblOutcomes[[#This Row],[Qty Wasted]]*SUMIFS(TblPurchases[Unit Cost (CLP)],TblPurchases[BatchID],TblOutcomes[[#This Row],[BatchID]]))</f>
        <v>0</v>
      </c>
      <c r="Q2358" s="51">
        <f>IF(COUNTIF(TblPurchases[BatchID],TblOutcomes[[#This Row],[BatchID]])&lt;&gt;1,"n.a.",SUMIFS(TblPurchases[Purchase Date],TblPurchases[BatchID],TblOutcomes[[#This Row],[BatchID]]))</f>
        <v>45754</v>
      </c>
    </row>
    <row r="2359" spans="2:17" x14ac:dyDescent="0.25">
      <c r="B2359" s="2" t="s">
        <v>3164</v>
      </c>
      <c r="C2359" s="2" t="s">
        <v>267</v>
      </c>
      <c r="D2359" s="2" t="s">
        <v>256</v>
      </c>
      <c r="E2359" s="2" t="s">
        <v>4647</v>
      </c>
      <c r="F2359" s="2">
        <v>23</v>
      </c>
      <c r="G2359" s="2">
        <v>23</v>
      </c>
      <c r="H2359" s="2">
        <v>0</v>
      </c>
      <c r="I2359" s="1">
        <v>0</v>
      </c>
      <c r="J2359" s="26">
        <v>45798</v>
      </c>
      <c r="K2359" s="22">
        <v>172500</v>
      </c>
      <c r="L2359" s="18">
        <v>184.49</v>
      </c>
      <c r="M2359" s="22">
        <v>124200</v>
      </c>
      <c r="N2359" s="22">
        <v>48300</v>
      </c>
      <c r="O2359" s="18">
        <v>51.66</v>
      </c>
      <c r="P2359" s="52">
        <f>IF(COUNTIF(TblPurchases[BatchID],TblOutcomes[[#This Row],[BatchID]])&lt;&gt;1,"n.a.",TblOutcomes[[#This Row],[Qty Wasted]]*SUMIFS(TblPurchases[Unit Cost (CLP)],TblPurchases[BatchID],TblOutcomes[[#This Row],[BatchID]]))</f>
        <v>0</v>
      </c>
      <c r="Q2359" s="51">
        <f>IF(COUNTIF(TblPurchases[BatchID],TblOutcomes[[#This Row],[BatchID]])&lt;&gt;1,"n.a.",SUMIFS(TblPurchases[Purchase Date],TblPurchases[BatchID],TblOutcomes[[#This Row],[BatchID]]))</f>
        <v>45780</v>
      </c>
    </row>
    <row r="2360" spans="2:17" x14ac:dyDescent="0.25">
      <c r="B2360" s="2" t="s">
        <v>3165</v>
      </c>
      <c r="C2360" s="2" t="s">
        <v>267</v>
      </c>
      <c r="D2360" s="2" t="s">
        <v>256</v>
      </c>
      <c r="E2360" s="2" t="s">
        <v>4646</v>
      </c>
      <c r="F2360" s="2">
        <v>20</v>
      </c>
      <c r="G2360" s="2">
        <v>19.38</v>
      </c>
      <c r="H2360" s="2">
        <v>0.62</v>
      </c>
      <c r="I2360" s="1">
        <v>3.1</v>
      </c>
      <c r="J2360" s="26">
        <v>46014</v>
      </c>
      <c r="K2360" s="22">
        <v>145350</v>
      </c>
      <c r="L2360" s="18">
        <v>155.44999999999999</v>
      </c>
      <c r="M2360" s="22">
        <v>108000</v>
      </c>
      <c r="N2360" s="22">
        <v>37350</v>
      </c>
      <c r="O2360" s="18">
        <v>39.950000000000003</v>
      </c>
      <c r="P2360" s="52">
        <f>IF(COUNTIF(TblPurchases[BatchID],TblOutcomes[[#This Row],[BatchID]])&lt;&gt;1,"n.a.",TblOutcomes[[#This Row],[Qty Wasted]]*SUMIFS(TblPurchases[Unit Cost (CLP)],TblPurchases[BatchID],TblOutcomes[[#This Row],[BatchID]]))</f>
        <v>3348</v>
      </c>
      <c r="Q2360" s="51">
        <f>IF(COUNTIF(TblPurchases[BatchID],TblOutcomes[[#This Row],[BatchID]])&lt;&gt;1,"n.a.",SUMIFS(TblPurchases[Purchase Date],TblPurchases[BatchID],TblOutcomes[[#This Row],[BatchID]]))</f>
        <v>45804</v>
      </c>
    </row>
    <row r="2361" spans="2:17" x14ac:dyDescent="0.25">
      <c r="B2361" s="2" t="s">
        <v>3166</v>
      </c>
      <c r="C2361" s="2" t="s">
        <v>267</v>
      </c>
      <c r="D2361" s="2" t="s">
        <v>256</v>
      </c>
      <c r="E2361" s="2" t="s">
        <v>4647</v>
      </c>
      <c r="F2361" s="2">
        <v>22</v>
      </c>
      <c r="G2361" s="2">
        <v>22</v>
      </c>
      <c r="H2361" s="2">
        <v>0</v>
      </c>
      <c r="I2361" s="1">
        <v>0</v>
      </c>
      <c r="J2361" s="26">
        <v>45839</v>
      </c>
      <c r="K2361" s="22">
        <v>165000</v>
      </c>
      <c r="L2361" s="18">
        <v>176.47</v>
      </c>
      <c r="M2361" s="22">
        <v>118800</v>
      </c>
      <c r="N2361" s="22">
        <v>46200</v>
      </c>
      <c r="O2361" s="18">
        <v>49.41</v>
      </c>
      <c r="P2361" s="52">
        <f>IF(COUNTIF(TblPurchases[BatchID],TblOutcomes[[#This Row],[BatchID]])&lt;&gt;1,"n.a.",TblOutcomes[[#This Row],[Qty Wasted]]*SUMIFS(TblPurchases[Unit Cost (CLP)],TblPurchases[BatchID],TblOutcomes[[#This Row],[BatchID]]))</f>
        <v>0</v>
      </c>
      <c r="Q2361" s="51">
        <f>IF(COUNTIF(TblPurchases[BatchID],TblOutcomes[[#This Row],[BatchID]])&lt;&gt;1,"n.a.",SUMIFS(TblPurchases[Purchase Date],TblPurchases[BatchID],TblOutcomes[[#This Row],[BatchID]]))</f>
        <v>45825</v>
      </c>
    </row>
    <row r="2362" spans="2:17" x14ac:dyDescent="0.25">
      <c r="B2362" s="2" t="s">
        <v>3167</v>
      </c>
      <c r="C2362" s="2" t="s">
        <v>269</v>
      </c>
      <c r="D2362" s="2" t="s">
        <v>256</v>
      </c>
      <c r="E2362" s="2" t="s">
        <v>4647</v>
      </c>
      <c r="F2362" s="2">
        <v>20</v>
      </c>
      <c r="G2362" s="2">
        <v>20</v>
      </c>
      <c r="H2362" s="2">
        <v>0</v>
      </c>
      <c r="I2362" s="1">
        <v>0</v>
      </c>
      <c r="J2362" s="26">
        <v>45136</v>
      </c>
      <c r="K2362" s="22">
        <v>440000</v>
      </c>
      <c r="L2362" s="18">
        <v>470.59</v>
      </c>
      <c r="M2362" s="22">
        <v>334000</v>
      </c>
      <c r="N2362" s="22">
        <v>106000</v>
      </c>
      <c r="O2362" s="18">
        <v>113.37</v>
      </c>
      <c r="P2362" s="52">
        <f>IF(COUNTIF(TblPurchases[BatchID],TblOutcomes[[#This Row],[BatchID]])&lt;&gt;1,"n.a.",TblOutcomes[[#This Row],[Qty Wasted]]*SUMIFS(TblPurchases[Unit Cost (CLP)],TblPurchases[BatchID],TblOutcomes[[#This Row],[BatchID]]))</f>
        <v>0</v>
      </c>
      <c r="Q2362" s="51">
        <f>IF(COUNTIF(TblPurchases[BatchID],TblOutcomes[[#This Row],[BatchID]])&lt;&gt;1,"n.a.",SUMIFS(TblPurchases[Purchase Date],TblPurchases[BatchID],TblOutcomes[[#This Row],[BatchID]]))</f>
        <v>45125</v>
      </c>
    </row>
    <row r="2363" spans="2:17" x14ac:dyDescent="0.25">
      <c r="B2363" s="2" t="s">
        <v>3168</v>
      </c>
      <c r="C2363" s="2" t="s">
        <v>269</v>
      </c>
      <c r="D2363" s="2" t="s">
        <v>256</v>
      </c>
      <c r="E2363" s="2" t="s">
        <v>4646</v>
      </c>
      <c r="F2363" s="2">
        <v>18</v>
      </c>
      <c r="G2363" s="2">
        <v>17.100000000000001</v>
      </c>
      <c r="H2363" s="2">
        <v>0.9</v>
      </c>
      <c r="I2363" s="1">
        <v>5</v>
      </c>
      <c r="J2363" s="26">
        <v>45362</v>
      </c>
      <c r="K2363" s="22">
        <v>376200</v>
      </c>
      <c r="L2363" s="18">
        <v>402.35</v>
      </c>
      <c r="M2363" s="22">
        <v>298800</v>
      </c>
      <c r="N2363" s="22">
        <v>77400</v>
      </c>
      <c r="O2363" s="18">
        <v>82.78</v>
      </c>
      <c r="P2363" s="52">
        <f>IF(COUNTIF(TblPurchases[BatchID],TblOutcomes[[#This Row],[BatchID]])&lt;&gt;1,"n.a.",TblOutcomes[[#This Row],[Qty Wasted]]*SUMIFS(TblPurchases[Unit Cost (CLP)],TblPurchases[BatchID],TblOutcomes[[#This Row],[BatchID]]))</f>
        <v>14940</v>
      </c>
      <c r="Q2363" s="51">
        <f>IF(COUNTIF(TblPurchases[BatchID],TblOutcomes[[#This Row],[BatchID]])&lt;&gt;1,"n.a.",SUMIFS(TblPurchases[Purchase Date],TblPurchases[BatchID],TblOutcomes[[#This Row],[BatchID]]))</f>
        <v>45152</v>
      </c>
    </row>
    <row r="2364" spans="2:17" x14ac:dyDescent="0.25">
      <c r="B2364" s="2" t="s">
        <v>3169</v>
      </c>
      <c r="C2364" s="2" t="s">
        <v>269</v>
      </c>
      <c r="D2364" s="2" t="s">
        <v>256</v>
      </c>
      <c r="E2364" s="2" t="s">
        <v>4647</v>
      </c>
      <c r="F2364" s="2">
        <v>18</v>
      </c>
      <c r="G2364" s="2">
        <v>18</v>
      </c>
      <c r="H2364" s="2">
        <v>0</v>
      </c>
      <c r="I2364" s="1">
        <v>0</v>
      </c>
      <c r="J2364" s="26">
        <v>45186</v>
      </c>
      <c r="K2364" s="22">
        <v>396000</v>
      </c>
      <c r="L2364" s="18">
        <v>423.53</v>
      </c>
      <c r="M2364" s="22">
        <v>298800</v>
      </c>
      <c r="N2364" s="22">
        <v>97200</v>
      </c>
      <c r="O2364" s="18">
        <v>103.96</v>
      </c>
      <c r="P2364" s="52">
        <f>IF(COUNTIF(TblPurchases[BatchID],TblOutcomes[[#This Row],[BatchID]])&lt;&gt;1,"n.a.",TblOutcomes[[#This Row],[Qty Wasted]]*SUMIFS(TblPurchases[Unit Cost (CLP)],TblPurchases[BatchID],TblOutcomes[[#This Row],[BatchID]]))</f>
        <v>0</v>
      </c>
      <c r="Q2364" s="51">
        <f>IF(COUNTIF(TblPurchases[BatchID],TblOutcomes[[#This Row],[BatchID]])&lt;&gt;1,"n.a.",SUMIFS(TblPurchases[Purchase Date],TblPurchases[BatchID],TblOutcomes[[#This Row],[BatchID]]))</f>
        <v>45167</v>
      </c>
    </row>
    <row r="2365" spans="2:17" x14ac:dyDescent="0.25">
      <c r="B2365" s="2" t="s">
        <v>3170</v>
      </c>
      <c r="C2365" s="2" t="s">
        <v>269</v>
      </c>
      <c r="D2365" s="2" t="s">
        <v>256</v>
      </c>
      <c r="E2365" s="2" t="s">
        <v>4647</v>
      </c>
      <c r="F2365" s="2">
        <v>27</v>
      </c>
      <c r="G2365" s="2">
        <v>27</v>
      </c>
      <c r="H2365" s="2">
        <v>0</v>
      </c>
      <c r="I2365" s="1">
        <v>0</v>
      </c>
      <c r="J2365" s="26">
        <v>45203</v>
      </c>
      <c r="K2365" s="22">
        <v>594000</v>
      </c>
      <c r="L2365" s="18">
        <v>635.29</v>
      </c>
      <c r="M2365" s="22">
        <v>448200</v>
      </c>
      <c r="N2365" s="22">
        <v>145800</v>
      </c>
      <c r="O2365" s="18">
        <v>155.94</v>
      </c>
      <c r="P2365" s="52">
        <f>IF(COUNTIF(TblPurchases[BatchID],TblOutcomes[[#This Row],[BatchID]])&lt;&gt;1,"n.a.",TblOutcomes[[#This Row],[Qty Wasted]]*SUMIFS(TblPurchases[Unit Cost (CLP)],TblPurchases[BatchID],TblOutcomes[[#This Row],[BatchID]]))</f>
        <v>0</v>
      </c>
      <c r="Q2365" s="51">
        <f>IF(COUNTIF(TblPurchases[BatchID],TblOutcomes[[#This Row],[BatchID]])&lt;&gt;1,"n.a.",SUMIFS(TblPurchases[Purchase Date],TblPurchases[BatchID],TblOutcomes[[#This Row],[BatchID]]))</f>
        <v>45181</v>
      </c>
    </row>
    <row r="2366" spans="2:17" x14ac:dyDescent="0.25">
      <c r="B2366" s="2" t="s">
        <v>3171</v>
      </c>
      <c r="C2366" s="2" t="s">
        <v>269</v>
      </c>
      <c r="D2366" s="2" t="s">
        <v>256</v>
      </c>
      <c r="E2366" s="2" t="s">
        <v>4647</v>
      </c>
      <c r="F2366" s="2">
        <v>7</v>
      </c>
      <c r="G2366" s="2">
        <v>7</v>
      </c>
      <c r="H2366" s="2">
        <v>0</v>
      </c>
      <c r="I2366" s="1">
        <v>0</v>
      </c>
      <c r="J2366" s="26">
        <v>45225</v>
      </c>
      <c r="K2366" s="22">
        <v>154000</v>
      </c>
      <c r="L2366" s="18">
        <v>164.71</v>
      </c>
      <c r="M2366" s="22">
        <v>116200</v>
      </c>
      <c r="N2366" s="22">
        <v>37800</v>
      </c>
      <c r="O2366" s="18">
        <v>40.43</v>
      </c>
      <c r="P2366" s="52">
        <f>IF(COUNTIF(TblPurchases[BatchID],TblOutcomes[[#This Row],[BatchID]])&lt;&gt;1,"n.a.",TblOutcomes[[#This Row],[Qty Wasted]]*SUMIFS(TblPurchases[Unit Cost (CLP)],TblPurchases[BatchID],TblOutcomes[[#This Row],[BatchID]]))</f>
        <v>0</v>
      </c>
      <c r="Q2366" s="51">
        <f>IF(COUNTIF(TblPurchases[BatchID],TblOutcomes[[#This Row],[BatchID]])&lt;&gt;1,"n.a.",SUMIFS(TblPurchases[Purchase Date],TblPurchases[BatchID],TblOutcomes[[#This Row],[BatchID]]))</f>
        <v>45204</v>
      </c>
    </row>
    <row r="2367" spans="2:17" x14ac:dyDescent="0.25">
      <c r="B2367" s="2" t="s">
        <v>3172</v>
      </c>
      <c r="C2367" s="2" t="s">
        <v>269</v>
      </c>
      <c r="D2367" s="2" t="s">
        <v>256</v>
      </c>
      <c r="E2367" s="2" t="s">
        <v>4646</v>
      </c>
      <c r="F2367" s="2">
        <v>7</v>
      </c>
      <c r="G2367" s="2">
        <v>6.22</v>
      </c>
      <c r="H2367" s="2">
        <v>0.78</v>
      </c>
      <c r="I2367" s="1">
        <v>11.2</v>
      </c>
      <c r="J2367" s="26">
        <v>45436</v>
      </c>
      <c r="K2367" s="22">
        <v>136840</v>
      </c>
      <c r="L2367" s="18">
        <v>146.35</v>
      </c>
      <c r="M2367" s="22">
        <v>116200</v>
      </c>
      <c r="N2367" s="22">
        <v>20640</v>
      </c>
      <c r="O2367" s="18">
        <v>22.07</v>
      </c>
      <c r="P2367" s="52">
        <f>IF(COUNTIF(TblPurchases[BatchID],TblOutcomes[[#This Row],[BatchID]])&lt;&gt;1,"n.a.",TblOutcomes[[#This Row],[Qty Wasted]]*SUMIFS(TblPurchases[Unit Cost (CLP)],TblPurchases[BatchID],TblOutcomes[[#This Row],[BatchID]]))</f>
        <v>12948</v>
      </c>
      <c r="Q2367" s="51">
        <f>IF(COUNTIF(TblPurchases[BatchID],TblOutcomes[[#This Row],[BatchID]])&lt;&gt;1,"n.a.",SUMIFS(TblPurchases[Purchase Date],TblPurchases[BatchID],TblOutcomes[[#This Row],[BatchID]]))</f>
        <v>45226</v>
      </c>
    </row>
    <row r="2368" spans="2:17" x14ac:dyDescent="0.25">
      <c r="B2368" s="2" t="s">
        <v>3173</v>
      </c>
      <c r="C2368" s="2" t="s">
        <v>269</v>
      </c>
      <c r="D2368" s="2" t="s">
        <v>256</v>
      </c>
      <c r="E2368" s="2" t="s">
        <v>4647</v>
      </c>
      <c r="F2368" s="2">
        <v>6</v>
      </c>
      <c r="G2368" s="2">
        <v>6</v>
      </c>
      <c r="H2368" s="2">
        <v>0</v>
      </c>
      <c r="I2368" s="1">
        <v>0</v>
      </c>
      <c r="J2368" s="26">
        <v>45259</v>
      </c>
      <c r="K2368" s="22">
        <v>132000</v>
      </c>
      <c r="L2368" s="18">
        <v>141.18</v>
      </c>
      <c r="M2368" s="22">
        <v>99600</v>
      </c>
      <c r="N2368" s="22">
        <v>32400</v>
      </c>
      <c r="O2368" s="18">
        <v>34.65</v>
      </c>
      <c r="P2368" s="52">
        <f>IF(COUNTIF(TblPurchases[BatchID],TblOutcomes[[#This Row],[BatchID]])&lt;&gt;1,"n.a.",TblOutcomes[[#This Row],[Qty Wasted]]*SUMIFS(TblPurchases[Unit Cost (CLP)],TblPurchases[BatchID],TblOutcomes[[#This Row],[BatchID]]))</f>
        <v>0</v>
      </c>
      <c r="Q2368" s="51">
        <f>IF(COUNTIF(TblPurchases[BatchID],TblOutcomes[[#This Row],[BatchID]])&lt;&gt;1,"n.a.",SUMIFS(TblPurchases[Purchase Date],TblPurchases[BatchID],TblOutcomes[[#This Row],[BatchID]]))</f>
        <v>45247</v>
      </c>
    </row>
    <row r="2369" spans="2:17" x14ac:dyDescent="0.25">
      <c r="B2369" s="2" t="s">
        <v>3174</v>
      </c>
      <c r="C2369" s="2" t="s">
        <v>269</v>
      </c>
      <c r="D2369" s="2" t="s">
        <v>256</v>
      </c>
      <c r="E2369" s="2" t="s">
        <v>4646</v>
      </c>
      <c r="F2369" s="2">
        <v>10</v>
      </c>
      <c r="G2369" s="2">
        <v>9.82</v>
      </c>
      <c r="H2369" s="2">
        <v>0.18</v>
      </c>
      <c r="I2369" s="1">
        <v>1.8</v>
      </c>
      <c r="J2369" s="26">
        <v>45474</v>
      </c>
      <c r="K2369" s="22">
        <v>216040</v>
      </c>
      <c r="L2369" s="18">
        <v>231.06</v>
      </c>
      <c r="M2369" s="22">
        <v>166000</v>
      </c>
      <c r="N2369" s="22">
        <v>50040</v>
      </c>
      <c r="O2369" s="18">
        <v>53.52</v>
      </c>
      <c r="P2369" s="52">
        <f>IF(COUNTIF(TblPurchases[BatchID],TblOutcomes[[#This Row],[BatchID]])&lt;&gt;1,"n.a.",TblOutcomes[[#This Row],[Qty Wasted]]*SUMIFS(TblPurchases[Unit Cost (CLP)],TblPurchases[BatchID],TblOutcomes[[#This Row],[BatchID]]))</f>
        <v>2988</v>
      </c>
      <c r="Q2369" s="51">
        <f>IF(COUNTIF(TblPurchases[BatchID],TblOutcomes[[#This Row],[BatchID]])&lt;&gt;1,"n.a.",SUMIFS(TblPurchases[Purchase Date],TblPurchases[BatchID],TblOutcomes[[#This Row],[BatchID]]))</f>
        <v>45264</v>
      </c>
    </row>
    <row r="2370" spans="2:17" x14ac:dyDescent="0.25">
      <c r="B2370" s="2" t="s">
        <v>3175</v>
      </c>
      <c r="C2370" s="2" t="s">
        <v>269</v>
      </c>
      <c r="D2370" s="2" t="s">
        <v>256</v>
      </c>
      <c r="E2370" s="2" t="s">
        <v>4646</v>
      </c>
      <c r="F2370" s="2">
        <v>10</v>
      </c>
      <c r="G2370" s="2">
        <v>9.18</v>
      </c>
      <c r="H2370" s="2">
        <v>0.82</v>
      </c>
      <c r="I2370" s="1">
        <v>8.1999999999999993</v>
      </c>
      <c r="J2370" s="26">
        <v>45500</v>
      </c>
      <c r="K2370" s="22">
        <v>201960</v>
      </c>
      <c r="L2370" s="18">
        <v>216</v>
      </c>
      <c r="M2370" s="22">
        <v>166000</v>
      </c>
      <c r="N2370" s="22">
        <v>35960</v>
      </c>
      <c r="O2370" s="18">
        <v>38.46</v>
      </c>
      <c r="P2370" s="52">
        <f>IF(COUNTIF(TblPurchases[BatchID],TblOutcomes[[#This Row],[BatchID]])&lt;&gt;1,"n.a.",TblOutcomes[[#This Row],[Qty Wasted]]*SUMIFS(TblPurchases[Unit Cost (CLP)],TblPurchases[BatchID],TblOutcomes[[#This Row],[BatchID]]))</f>
        <v>13612</v>
      </c>
      <c r="Q2370" s="51">
        <f>IF(COUNTIF(TblPurchases[BatchID],TblOutcomes[[#This Row],[BatchID]])&lt;&gt;1,"n.a.",SUMIFS(TblPurchases[Purchase Date],TblPurchases[BatchID],TblOutcomes[[#This Row],[BatchID]]))</f>
        <v>45290</v>
      </c>
    </row>
    <row r="2371" spans="2:17" x14ac:dyDescent="0.25">
      <c r="B2371" s="2" t="s">
        <v>3176</v>
      </c>
      <c r="C2371" s="2" t="s">
        <v>269</v>
      </c>
      <c r="D2371" s="2" t="s">
        <v>256</v>
      </c>
      <c r="E2371" s="2" t="s">
        <v>4647</v>
      </c>
      <c r="F2371" s="2">
        <v>8</v>
      </c>
      <c r="G2371" s="2">
        <v>8</v>
      </c>
      <c r="H2371" s="2">
        <v>0</v>
      </c>
      <c r="I2371" s="1">
        <v>0</v>
      </c>
      <c r="J2371" s="26">
        <v>45330</v>
      </c>
      <c r="K2371" s="22">
        <v>176000</v>
      </c>
      <c r="L2371" s="18">
        <v>188.24</v>
      </c>
      <c r="M2371" s="22">
        <v>132800</v>
      </c>
      <c r="N2371" s="22">
        <v>43200</v>
      </c>
      <c r="O2371" s="18">
        <v>46.2</v>
      </c>
      <c r="P2371" s="52">
        <f>IF(COUNTIF(TblPurchases[BatchID],TblOutcomes[[#This Row],[BatchID]])&lt;&gt;1,"n.a.",TblOutcomes[[#This Row],[Qty Wasted]]*SUMIFS(TblPurchases[Unit Cost (CLP)],TblPurchases[BatchID],TblOutcomes[[#This Row],[BatchID]]))</f>
        <v>0</v>
      </c>
      <c r="Q2371" s="51">
        <f>IF(COUNTIF(TblPurchases[BatchID],TblOutcomes[[#This Row],[BatchID]])&lt;&gt;1,"n.a.",SUMIFS(TblPurchases[Purchase Date],TblPurchases[BatchID],TblOutcomes[[#This Row],[BatchID]]))</f>
        <v>45309</v>
      </c>
    </row>
    <row r="2372" spans="2:17" x14ac:dyDescent="0.25">
      <c r="B2372" s="2" t="s">
        <v>3177</v>
      </c>
      <c r="C2372" s="2" t="s">
        <v>269</v>
      </c>
      <c r="D2372" s="2" t="s">
        <v>256</v>
      </c>
      <c r="E2372" s="2" t="s">
        <v>4647</v>
      </c>
      <c r="F2372" s="2">
        <v>7</v>
      </c>
      <c r="G2372" s="2">
        <v>7</v>
      </c>
      <c r="H2372" s="2">
        <v>0</v>
      </c>
      <c r="I2372" s="1">
        <v>0</v>
      </c>
      <c r="J2372" s="26">
        <v>45341</v>
      </c>
      <c r="K2372" s="22">
        <v>154000</v>
      </c>
      <c r="L2372" s="18">
        <v>164.71</v>
      </c>
      <c r="M2372" s="22">
        <v>116200</v>
      </c>
      <c r="N2372" s="22">
        <v>37800</v>
      </c>
      <c r="O2372" s="18">
        <v>40.43</v>
      </c>
      <c r="P2372" s="52">
        <f>IF(COUNTIF(TblPurchases[BatchID],TblOutcomes[[#This Row],[BatchID]])&lt;&gt;1,"n.a.",TblOutcomes[[#This Row],[Qty Wasted]]*SUMIFS(TblPurchases[Unit Cost (CLP)],TblPurchases[BatchID],TblOutcomes[[#This Row],[BatchID]]))</f>
        <v>0</v>
      </c>
      <c r="Q2372" s="51">
        <f>IF(COUNTIF(TblPurchases[BatchID],TblOutcomes[[#This Row],[BatchID]])&lt;&gt;1,"n.a.",SUMIFS(TblPurchases[Purchase Date],TblPurchases[BatchID],TblOutcomes[[#This Row],[BatchID]]))</f>
        <v>45330</v>
      </c>
    </row>
    <row r="2373" spans="2:17" x14ac:dyDescent="0.25">
      <c r="B2373" s="2" t="s">
        <v>3178</v>
      </c>
      <c r="C2373" s="2" t="s">
        <v>269</v>
      </c>
      <c r="D2373" s="2" t="s">
        <v>256</v>
      </c>
      <c r="E2373" s="2" t="s">
        <v>4646</v>
      </c>
      <c r="F2373" s="2">
        <v>8</v>
      </c>
      <c r="G2373" s="2">
        <v>7.32</v>
      </c>
      <c r="H2373" s="2">
        <v>0.68</v>
      </c>
      <c r="I2373" s="1">
        <v>8.5</v>
      </c>
      <c r="J2373" s="26">
        <v>45562</v>
      </c>
      <c r="K2373" s="22">
        <v>161040</v>
      </c>
      <c r="L2373" s="18">
        <v>172.24</v>
      </c>
      <c r="M2373" s="22">
        <v>132800</v>
      </c>
      <c r="N2373" s="22">
        <v>28240</v>
      </c>
      <c r="O2373" s="18">
        <v>30.2</v>
      </c>
      <c r="P2373" s="52">
        <f>IF(COUNTIF(TblPurchases[BatchID],TblOutcomes[[#This Row],[BatchID]])&lt;&gt;1,"n.a.",TblOutcomes[[#This Row],[Qty Wasted]]*SUMIFS(TblPurchases[Unit Cost (CLP)],TblPurchases[BatchID],TblOutcomes[[#This Row],[BatchID]]))</f>
        <v>11288</v>
      </c>
      <c r="Q2373" s="51">
        <f>IF(COUNTIF(TblPurchases[BatchID],TblOutcomes[[#This Row],[BatchID]])&lt;&gt;1,"n.a.",SUMIFS(TblPurchases[Purchase Date],TblPurchases[BatchID],TblOutcomes[[#This Row],[BatchID]]))</f>
        <v>45352</v>
      </c>
    </row>
    <row r="2374" spans="2:17" x14ac:dyDescent="0.25">
      <c r="B2374" s="2" t="s">
        <v>3179</v>
      </c>
      <c r="C2374" s="2" t="s">
        <v>269</v>
      </c>
      <c r="D2374" s="2" t="s">
        <v>256</v>
      </c>
      <c r="E2374" s="2" t="s">
        <v>4646</v>
      </c>
      <c r="F2374" s="2">
        <v>7</v>
      </c>
      <c r="G2374" s="2">
        <v>6.41</v>
      </c>
      <c r="H2374" s="2">
        <v>0.59</v>
      </c>
      <c r="I2374" s="1">
        <v>8.4</v>
      </c>
      <c r="J2374" s="26">
        <v>45582</v>
      </c>
      <c r="K2374" s="22">
        <v>141020</v>
      </c>
      <c r="L2374" s="18">
        <v>150.82</v>
      </c>
      <c r="M2374" s="22">
        <v>116200</v>
      </c>
      <c r="N2374" s="22">
        <v>24820</v>
      </c>
      <c r="O2374" s="18">
        <v>26.55</v>
      </c>
      <c r="P2374" s="52">
        <f>IF(COUNTIF(TblPurchases[BatchID],TblOutcomes[[#This Row],[BatchID]])&lt;&gt;1,"n.a.",TblOutcomes[[#This Row],[Qty Wasted]]*SUMIFS(TblPurchases[Unit Cost (CLP)],TblPurchases[BatchID],TblOutcomes[[#This Row],[BatchID]]))</f>
        <v>9794</v>
      </c>
      <c r="Q2374" s="51">
        <f>IF(COUNTIF(TblPurchases[BatchID],TblOutcomes[[#This Row],[BatchID]])&lt;&gt;1,"n.a.",SUMIFS(TblPurchases[Purchase Date],TblPurchases[BatchID],TblOutcomes[[#This Row],[BatchID]]))</f>
        <v>45372</v>
      </c>
    </row>
    <row r="2375" spans="2:17" x14ac:dyDescent="0.25">
      <c r="B2375" s="2" t="s">
        <v>3180</v>
      </c>
      <c r="C2375" s="2" t="s">
        <v>269</v>
      </c>
      <c r="D2375" s="2" t="s">
        <v>256</v>
      </c>
      <c r="E2375" s="2" t="s">
        <v>4647</v>
      </c>
      <c r="F2375" s="2">
        <v>18</v>
      </c>
      <c r="G2375" s="2">
        <v>18</v>
      </c>
      <c r="H2375" s="2">
        <v>0</v>
      </c>
      <c r="I2375" s="1">
        <v>0</v>
      </c>
      <c r="J2375" s="26">
        <v>45421</v>
      </c>
      <c r="K2375" s="22">
        <v>396000</v>
      </c>
      <c r="L2375" s="18">
        <v>423.53</v>
      </c>
      <c r="M2375" s="22">
        <v>298800</v>
      </c>
      <c r="N2375" s="22">
        <v>97200</v>
      </c>
      <c r="O2375" s="18">
        <v>103.96</v>
      </c>
      <c r="P2375" s="52">
        <f>IF(COUNTIF(TblPurchases[BatchID],TblOutcomes[[#This Row],[BatchID]])&lt;&gt;1,"n.a.",TblOutcomes[[#This Row],[Qty Wasted]]*SUMIFS(TblPurchases[Unit Cost (CLP)],TblPurchases[BatchID],TblOutcomes[[#This Row],[BatchID]]))</f>
        <v>0</v>
      </c>
      <c r="Q2375" s="51">
        <f>IF(COUNTIF(TblPurchases[BatchID],TblOutcomes[[#This Row],[BatchID]])&lt;&gt;1,"n.a.",SUMIFS(TblPurchases[Purchase Date],TblPurchases[BatchID],TblOutcomes[[#This Row],[BatchID]]))</f>
        <v>45398</v>
      </c>
    </row>
    <row r="2376" spans="2:17" x14ac:dyDescent="0.25">
      <c r="B2376" s="2" t="s">
        <v>3181</v>
      </c>
      <c r="C2376" s="2" t="s">
        <v>269</v>
      </c>
      <c r="D2376" s="2" t="s">
        <v>256</v>
      </c>
      <c r="E2376" s="2" t="s">
        <v>4647</v>
      </c>
      <c r="F2376" s="2">
        <v>22</v>
      </c>
      <c r="G2376" s="2">
        <v>22</v>
      </c>
      <c r="H2376" s="2">
        <v>0</v>
      </c>
      <c r="I2376" s="1">
        <v>0</v>
      </c>
      <c r="J2376" s="26">
        <v>45437</v>
      </c>
      <c r="K2376" s="22">
        <v>484000</v>
      </c>
      <c r="L2376" s="18">
        <v>517.65</v>
      </c>
      <c r="M2376" s="22">
        <v>367400</v>
      </c>
      <c r="N2376" s="22">
        <v>116600</v>
      </c>
      <c r="O2376" s="18">
        <v>124.71</v>
      </c>
      <c r="P2376" s="52">
        <f>IF(COUNTIF(TblPurchases[BatchID],TblOutcomes[[#This Row],[BatchID]])&lt;&gt;1,"n.a.",TblOutcomes[[#This Row],[Qty Wasted]]*SUMIFS(TblPurchases[Unit Cost (CLP)],TblPurchases[BatchID],TblOutcomes[[#This Row],[BatchID]]))</f>
        <v>0</v>
      </c>
      <c r="Q2376" s="51">
        <f>IF(COUNTIF(TblPurchases[BatchID],TblOutcomes[[#This Row],[BatchID]])&lt;&gt;1,"n.a.",SUMIFS(TblPurchases[Purchase Date],TblPurchases[BatchID],TblOutcomes[[#This Row],[BatchID]]))</f>
        <v>45418</v>
      </c>
    </row>
    <row r="2377" spans="2:17" x14ac:dyDescent="0.25">
      <c r="B2377" s="2" t="s">
        <v>3182</v>
      </c>
      <c r="C2377" s="2" t="s">
        <v>269</v>
      </c>
      <c r="D2377" s="2" t="s">
        <v>256</v>
      </c>
      <c r="E2377" s="2" t="s">
        <v>4647</v>
      </c>
      <c r="F2377" s="2">
        <v>19</v>
      </c>
      <c r="G2377" s="2">
        <v>19</v>
      </c>
      <c r="H2377" s="2">
        <v>0</v>
      </c>
      <c r="I2377" s="1">
        <v>0</v>
      </c>
      <c r="J2377" s="26">
        <v>45450</v>
      </c>
      <c r="K2377" s="22">
        <v>418000</v>
      </c>
      <c r="L2377" s="18">
        <v>447.06</v>
      </c>
      <c r="M2377" s="22">
        <v>317300</v>
      </c>
      <c r="N2377" s="22">
        <v>100700</v>
      </c>
      <c r="O2377" s="18">
        <v>107.7</v>
      </c>
      <c r="P2377" s="52">
        <f>IF(COUNTIF(TblPurchases[BatchID],TblOutcomes[[#This Row],[BatchID]])&lt;&gt;1,"n.a.",TblOutcomes[[#This Row],[Qty Wasted]]*SUMIFS(TblPurchases[Unit Cost (CLP)],TblPurchases[BatchID],TblOutcomes[[#This Row],[BatchID]]))</f>
        <v>0</v>
      </c>
      <c r="Q2377" s="51">
        <f>IF(COUNTIF(TblPurchases[BatchID],TblOutcomes[[#This Row],[BatchID]])&lt;&gt;1,"n.a.",SUMIFS(TblPurchases[Purchase Date],TblPurchases[BatchID],TblOutcomes[[#This Row],[BatchID]]))</f>
        <v>45434</v>
      </c>
    </row>
    <row r="2378" spans="2:17" x14ac:dyDescent="0.25">
      <c r="B2378" s="2" t="s">
        <v>3183</v>
      </c>
      <c r="C2378" s="2" t="s">
        <v>269</v>
      </c>
      <c r="D2378" s="2" t="s">
        <v>256</v>
      </c>
      <c r="E2378" s="2" t="s">
        <v>4647</v>
      </c>
      <c r="F2378" s="2">
        <v>21</v>
      </c>
      <c r="G2378" s="2">
        <v>21</v>
      </c>
      <c r="H2378" s="2">
        <v>0</v>
      </c>
      <c r="I2378" s="1">
        <v>0</v>
      </c>
      <c r="J2378" s="26">
        <v>45475</v>
      </c>
      <c r="K2378" s="22">
        <v>462000</v>
      </c>
      <c r="L2378" s="18">
        <v>494.12</v>
      </c>
      <c r="M2378" s="22">
        <v>348600</v>
      </c>
      <c r="N2378" s="22">
        <v>113400</v>
      </c>
      <c r="O2378" s="18">
        <v>121.28</v>
      </c>
      <c r="P2378" s="52">
        <f>IF(COUNTIF(TblPurchases[BatchID],TblOutcomes[[#This Row],[BatchID]])&lt;&gt;1,"n.a.",TblOutcomes[[#This Row],[Qty Wasted]]*SUMIFS(TblPurchases[Unit Cost (CLP)],TblPurchases[BatchID],TblOutcomes[[#This Row],[BatchID]]))</f>
        <v>0</v>
      </c>
      <c r="Q2378" s="51">
        <f>IF(COUNTIF(TblPurchases[BatchID],TblOutcomes[[#This Row],[BatchID]])&lt;&gt;1,"n.a.",SUMIFS(TblPurchases[Purchase Date],TblPurchases[BatchID],TblOutcomes[[#This Row],[BatchID]]))</f>
        <v>45454</v>
      </c>
    </row>
    <row r="2379" spans="2:17" x14ac:dyDescent="0.25">
      <c r="B2379" s="2" t="s">
        <v>3184</v>
      </c>
      <c r="C2379" s="2" t="s">
        <v>269</v>
      </c>
      <c r="D2379" s="2" t="s">
        <v>256</v>
      </c>
      <c r="E2379" s="2" t="s">
        <v>4646</v>
      </c>
      <c r="F2379" s="2">
        <v>20</v>
      </c>
      <c r="G2379" s="2">
        <v>18.38</v>
      </c>
      <c r="H2379" s="2">
        <v>1.62</v>
      </c>
      <c r="I2379" s="1">
        <v>8.1</v>
      </c>
      <c r="J2379" s="26">
        <v>45681</v>
      </c>
      <c r="K2379" s="22">
        <v>404360</v>
      </c>
      <c r="L2379" s="18">
        <v>432.47</v>
      </c>
      <c r="M2379" s="22">
        <v>332000</v>
      </c>
      <c r="N2379" s="22">
        <v>72360</v>
      </c>
      <c r="O2379" s="18">
        <v>77.39</v>
      </c>
      <c r="P2379" s="52">
        <f>IF(COUNTIF(TblPurchases[BatchID],TblOutcomes[[#This Row],[BatchID]])&lt;&gt;1,"n.a.",TblOutcomes[[#This Row],[Qty Wasted]]*SUMIFS(TblPurchases[Unit Cost (CLP)],TblPurchases[BatchID],TblOutcomes[[#This Row],[BatchID]]))</f>
        <v>26892</v>
      </c>
      <c r="Q2379" s="51">
        <f>IF(COUNTIF(TblPurchases[BatchID],TblOutcomes[[#This Row],[BatchID]])&lt;&gt;1,"n.a.",SUMIFS(TblPurchases[Purchase Date],TblPurchases[BatchID],TblOutcomes[[#This Row],[BatchID]]))</f>
        <v>45471</v>
      </c>
    </row>
    <row r="2380" spans="2:17" x14ac:dyDescent="0.25">
      <c r="B2380" s="2" t="s">
        <v>3185</v>
      </c>
      <c r="C2380" s="2" t="s">
        <v>269</v>
      </c>
      <c r="D2380" s="2" t="s">
        <v>256</v>
      </c>
      <c r="E2380" s="2" t="s">
        <v>4646</v>
      </c>
      <c r="F2380" s="2">
        <v>21</v>
      </c>
      <c r="G2380" s="2">
        <v>18.84</v>
      </c>
      <c r="H2380" s="2">
        <v>2.16</v>
      </c>
      <c r="I2380" s="1">
        <v>10.3</v>
      </c>
      <c r="J2380" s="26">
        <v>45694</v>
      </c>
      <c r="K2380" s="22">
        <v>414480</v>
      </c>
      <c r="L2380" s="18">
        <v>443.29</v>
      </c>
      <c r="M2380" s="22">
        <v>348600</v>
      </c>
      <c r="N2380" s="22">
        <v>65880</v>
      </c>
      <c r="O2380" s="18">
        <v>70.459999999999994</v>
      </c>
      <c r="P2380" s="52">
        <f>IF(COUNTIF(TblPurchases[BatchID],TblOutcomes[[#This Row],[BatchID]])&lt;&gt;1,"n.a.",TblOutcomes[[#This Row],[Qty Wasted]]*SUMIFS(TblPurchases[Unit Cost (CLP)],TblPurchases[BatchID],TblOutcomes[[#This Row],[BatchID]]))</f>
        <v>35856</v>
      </c>
      <c r="Q2380" s="51">
        <f>IF(COUNTIF(TblPurchases[BatchID],TblOutcomes[[#This Row],[BatchID]])&lt;&gt;1,"n.a.",SUMIFS(TblPurchases[Purchase Date],TblPurchases[BatchID],TblOutcomes[[#This Row],[BatchID]]))</f>
        <v>45484</v>
      </c>
    </row>
    <row r="2381" spans="2:17" x14ac:dyDescent="0.25">
      <c r="B2381" s="2" t="s">
        <v>3186</v>
      </c>
      <c r="C2381" s="2" t="s">
        <v>269</v>
      </c>
      <c r="D2381" s="2" t="s">
        <v>256</v>
      </c>
      <c r="E2381" s="2" t="s">
        <v>4646</v>
      </c>
      <c r="F2381" s="2">
        <v>20</v>
      </c>
      <c r="G2381" s="2">
        <v>18.940000000000001</v>
      </c>
      <c r="H2381" s="2">
        <v>1.06</v>
      </c>
      <c r="I2381" s="1">
        <v>5.3</v>
      </c>
      <c r="J2381" s="26">
        <v>45713</v>
      </c>
      <c r="K2381" s="22">
        <v>416680</v>
      </c>
      <c r="L2381" s="18">
        <v>445.65</v>
      </c>
      <c r="M2381" s="22">
        <v>332000</v>
      </c>
      <c r="N2381" s="22">
        <v>84680</v>
      </c>
      <c r="O2381" s="18">
        <v>90.57</v>
      </c>
      <c r="P2381" s="52">
        <f>IF(COUNTIF(TblPurchases[BatchID],TblOutcomes[[#This Row],[BatchID]])&lt;&gt;1,"n.a.",TblOutcomes[[#This Row],[Qty Wasted]]*SUMIFS(TblPurchases[Unit Cost (CLP)],TblPurchases[BatchID],TblOutcomes[[#This Row],[BatchID]]))</f>
        <v>17596</v>
      </c>
      <c r="Q2381" s="51">
        <f>IF(COUNTIF(TblPurchases[BatchID],TblOutcomes[[#This Row],[BatchID]])&lt;&gt;1,"n.a.",SUMIFS(TblPurchases[Purchase Date],TblPurchases[BatchID],TblOutcomes[[#This Row],[BatchID]]))</f>
        <v>45503</v>
      </c>
    </row>
    <row r="2382" spans="2:17" x14ac:dyDescent="0.25">
      <c r="B2382" s="2" t="s">
        <v>3187</v>
      </c>
      <c r="C2382" s="2" t="s">
        <v>269</v>
      </c>
      <c r="D2382" s="2" t="s">
        <v>256</v>
      </c>
      <c r="E2382" s="2" t="s">
        <v>4646</v>
      </c>
      <c r="F2382" s="2">
        <v>21</v>
      </c>
      <c r="G2382" s="2">
        <v>19.399999999999999</v>
      </c>
      <c r="H2382" s="2">
        <v>1.6</v>
      </c>
      <c r="I2382" s="1">
        <v>7.6</v>
      </c>
      <c r="J2382" s="26">
        <v>45732</v>
      </c>
      <c r="K2382" s="22">
        <v>426800</v>
      </c>
      <c r="L2382" s="18">
        <v>456.47</v>
      </c>
      <c r="M2382" s="22">
        <v>348600</v>
      </c>
      <c r="N2382" s="22">
        <v>78200</v>
      </c>
      <c r="O2382" s="18">
        <v>83.64</v>
      </c>
      <c r="P2382" s="52">
        <f>IF(COUNTIF(TblPurchases[BatchID],TblOutcomes[[#This Row],[BatchID]])&lt;&gt;1,"n.a.",TblOutcomes[[#This Row],[Qty Wasted]]*SUMIFS(TblPurchases[Unit Cost (CLP)],TblPurchases[BatchID],TblOutcomes[[#This Row],[BatchID]]))</f>
        <v>26560</v>
      </c>
      <c r="Q2382" s="51">
        <f>IF(COUNTIF(TblPurchases[BatchID],TblOutcomes[[#This Row],[BatchID]])&lt;&gt;1,"n.a.",SUMIFS(TblPurchases[Purchase Date],TblPurchases[BatchID],TblOutcomes[[#This Row],[BatchID]]))</f>
        <v>45522</v>
      </c>
    </row>
    <row r="2383" spans="2:17" x14ac:dyDescent="0.25">
      <c r="B2383" s="2" t="s">
        <v>3188</v>
      </c>
      <c r="C2383" s="2" t="s">
        <v>269</v>
      </c>
      <c r="D2383" s="2" t="s">
        <v>256</v>
      </c>
      <c r="E2383" s="2" t="s">
        <v>4647</v>
      </c>
      <c r="F2383" s="2">
        <v>24</v>
      </c>
      <c r="G2383" s="2">
        <v>24</v>
      </c>
      <c r="H2383" s="2">
        <v>0</v>
      </c>
      <c r="I2383" s="1">
        <v>0</v>
      </c>
      <c r="J2383" s="26">
        <v>45557</v>
      </c>
      <c r="K2383" s="22">
        <v>528000</v>
      </c>
      <c r="L2383" s="18">
        <v>564.71</v>
      </c>
      <c r="M2383" s="22">
        <v>398400</v>
      </c>
      <c r="N2383" s="22">
        <v>129600</v>
      </c>
      <c r="O2383" s="18">
        <v>138.61000000000001</v>
      </c>
      <c r="P2383" s="52">
        <f>IF(COUNTIF(TblPurchases[BatchID],TblOutcomes[[#This Row],[BatchID]])&lt;&gt;1,"n.a.",TblOutcomes[[#This Row],[Qty Wasted]]*SUMIFS(TblPurchases[Unit Cost (CLP)],TblPurchases[BatchID],TblOutcomes[[#This Row],[BatchID]]))</f>
        <v>0</v>
      </c>
      <c r="Q2383" s="51">
        <f>IF(COUNTIF(TblPurchases[BatchID],TblOutcomes[[#This Row],[BatchID]])&lt;&gt;1,"n.a.",SUMIFS(TblPurchases[Purchase Date],TblPurchases[BatchID],TblOutcomes[[#This Row],[BatchID]]))</f>
        <v>45543</v>
      </c>
    </row>
    <row r="2384" spans="2:17" x14ac:dyDescent="0.25">
      <c r="B2384" s="2" t="s">
        <v>3189</v>
      </c>
      <c r="C2384" s="2" t="s">
        <v>269</v>
      </c>
      <c r="D2384" s="2" t="s">
        <v>256</v>
      </c>
      <c r="E2384" s="2" t="s">
        <v>4646</v>
      </c>
      <c r="F2384" s="2">
        <v>8</v>
      </c>
      <c r="G2384" s="2">
        <v>7.51</v>
      </c>
      <c r="H2384" s="2">
        <v>0.49</v>
      </c>
      <c r="I2384" s="1">
        <v>6.1</v>
      </c>
      <c r="J2384" s="26">
        <v>45776</v>
      </c>
      <c r="K2384" s="22">
        <v>165220</v>
      </c>
      <c r="L2384" s="18">
        <v>176.71</v>
      </c>
      <c r="M2384" s="22">
        <v>132800</v>
      </c>
      <c r="N2384" s="22">
        <v>32420</v>
      </c>
      <c r="O2384" s="18">
        <v>34.67</v>
      </c>
      <c r="P2384" s="52">
        <f>IF(COUNTIF(TblPurchases[BatchID],TblOutcomes[[#This Row],[BatchID]])&lt;&gt;1,"n.a.",TblOutcomes[[#This Row],[Qty Wasted]]*SUMIFS(TblPurchases[Unit Cost (CLP)],TblPurchases[BatchID],TblOutcomes[[#This Row],[BatchID]]))</f>
        <v>8134</v>
      </c>
      <c r="Q2384" s="51">
        <f>IF(COUNTIF(TblPurchases[BatchID],TblOutcomes[[#This Row],[BatchID]])&lt;&gt;1,"n.a.",SUMIFS(TblPurchases[Purchase Date],TblPurchases[BatchID],TblOutcomes[[#This Row],[BatchID]]))</f>
        <v>45566</v>
      </c>
    </row>
    <row r="2385" spans="2:17" x14ac:dyDescent="0.25">
      <c r="B2385" s="2" t="s">
        <v>3190</v>
      </c>
      <c r="C2385" s="2" t="s">
        <v>269</v>
      </c>
      <c r="D2385" s="2" t="s">
        <v>256</v>
      </c>
      <c r="E2385" s="2" t="s">
        <v>4647</v>
      </c>
      <c r="F2385" s="2">
        <v>8</v>
      </c>
      <c r="G2385" s="2">
        <v>8</v>
      </c>
      <c r="H2385" s="2">
        <v>0</v>
      </c>
      <c r="I2385" s="1">
        <v>0</v>
      </c>
      <c r="J2385" s="26">
        <v>45599</v>
      </c>
      <c r="K2385" s="22">
        <v>176000</v>
      </c>
      <c r="L2385" s="18">
        <v>188.24</v>
      </c>
      <c r="M2385" s="22">
        <v>133600</v>
      </c>
      <c r="N2385" s="22">
        <v>42400</v>
      </c>
      <c r="O2385" s="18">
        <v>45.35</v>
      </c>
      <c r="P2385" s="52">
        <f>IF(COUNTIF(TblPurchases[BatchID],TblOutcomes[[#This Row],[BatchID]])&lt;&gt;1,"n.a.",TblOutcomes[[#This Row],[Qty Wasted]]*SUMIFS(TblPurchases[Unit Cost (CLP)],TblPurchases[BatchID],TblOutcomes[[#This Row],[BatchID]]))</f>
        <v>0</v>
      </c>
      <c r="Q2385" s="51">
        <f>IF(COUNTIF(TblPurchases[BatchID],TblOutcomes[[#This Row],[BatchID]])&lt;&gt;1,"n.a.",SUMIFS(TblPurchases[Purchase Date],TblPurchases[BatchID],TblOutcomes[[#This Row],[BatchID]]))</f>
        <v>45590</v>
      </c>
    </row>
    <row r="2386" spans="2:17" x14ac:dyDescent="0.25">
      <c r="B2386" s="2" t="s">
        <v>3191</v>
      </c>
      <c r="C2386" s="2" t="s">
        <v>269</v>
      </c>
      <c r="D2386" s="2" t="s">
        <v>256</v>
      </c>
      <c r="E2386" s="2" t="s">
        <v>4647</v>
      </c>
      <c r="F2386" s="2">
        <v>8</v>
      </c>
      <c r="G2386" s="2">
        <v>8</v>
      </c>
      <c r="H2386" s="2">
        <v>0</v>
      </c>
      <c r="I2386" s="1">
        <v>0</v>
      </c>
      <c r="J2386" s="26">
        <v>45635</v>
      </c>
      <c r="K2386" s="22">
        <v>176000</v>
      </c>
      <c r="L2386" s="18">
        <v>188.24</v>
      </c>
      <c r="M2386" s="22">
        <v>132800</v>
      </c>
      <c r="N2386" s="22">
        <v>43200</v>
      </c>
      <c r="O2386" s="18">
        <v>46.2</v>
      </c>
      <c r="P2386" s="52">
        <f>IF(COUNTIF(TblPurchases[BatchID],TblOutcomes[[#This Row],[BatchID]])&lt;&gt;1,"n.a.",TblOutcomes[[#This Row],[Qty Wasted]]*SUMIFS(TblPurchases[Unit Cost (CLP)],TblPurchases[BatchID],TblOutcomes[[#This Row],[BatchID]]))</f>
        <v>0</v>
      </c>
      <c r="Q2386" s="51">
        <f>IF(COUNTIF(TblPurchases[BatchID],TblOutcomes[[#This Row],[BatchID]])&lt;&gt;1,"n.a.",SUMIFS(TblPurchases[Purchase Date],TblPurchases[BatchID],TblOutcomes[[#This Row],[BatchID]]))</f>
        <v>45613</v>
      </c>
    </row>
    <row r="2387" spans="2:17" x14ac:dyDescent="0.25">
      <c r="B2387" s="2" t="s">
        <v>3192</v>
      </c>
      <c r="C2387" s="2" t="s">
        <v>269</v>
      </c>
      <c r="D2387" s="2" t="s">
        <v>256</v>
      </c>
      <c r="E2387" s="2" t="s">
        <v>4646</v>
      </c>
      <c r="F2387" s="2">
        <v>8</v>
      </c>
      <c r="G2387" s="2">
        <v>7.74</v>
      </c>
      <c r="H2387" s="2">
        <v>0.26</v>
      </c>
      <c r="I2387" s="1">
        <v>3.3</v>
      </c>
      <c r="J2387" s="26">
        <v>45841</v>
      </c>
      <c r="K2387" s="22">
        <v>170280</v>
      </c>
      <c r="L2387" s="18">
        <v>182.12</v>
      </c>
      <c r="M2387" s="22">
        <v>132800</v>
      </c>
      <c r="N2387" s="22">
        <v>37480</v>
      </c>
      <c r="O2387" s="18">
        <v>40.090000000000003</v>
      </c>
      <c r="P2387" s="52">
        <f>IF(COUNTIF(TblPurchases[BatchID],TblOutcomes[[#This Row],[BatchID]])&lt;&gt;1,"n.a.",TblOutcomes[[#This Row],[Qty Wasted]]*SUMIFS(TblPurchases[Unit Cost (CLP)],TblPurchases[BatchID],TblOutcomes[[#This Row],[BatchID]]))</f>
        <v>4316</v>
      </c>
      <c r="Q2387" s="51">
        <f>IF(COUNTIF(TblPurchases[BatchID],TblOutcomes[[#This Row],[BatchID]])&lt;&gt;1,"n.a.",SUMIFS(TblPurchases[Purchase Date],TblPurchases[BatchID],TblOutcomes[[#This Row],[BatchID]]))</f>
        <v>45631</v>
      </c>
    </row>
    <row r="2388" spans="2:17" x14ac:dyDescent="0.25">
      <c r="B2388" s="2" t="s">
        <v>3193</v>
      </c>
      <c r="C2388" s="2" t="s">
        <v>269</v>
      </c>
      <c r="D2388" s="2" t="s">
        <v>256</v>
      </c>
      <c r="E2388" s="2" t="s">
        <v>4647</v>
      </c>
      <c r="F2388" s="2">
        <v>10</v>
      </c>
      <c r="G2388" s="2">
        <v>10</v>
      </c>
      <c r="H2388" s="2">
        <v>0</v>
      </c>
      <c r="I2388" s="1">
        <v>0</v>
      </c>
      <c r="J2388" s="26">
        <v>45669</v>
      </c>
      <c r="K2388" s="22">
        <v>220000</v>
      </c>
      <c r="L2388" s="18">
        <v>235.29</v>
      </c>
      <c r="M2388" s="22">
        <v>166000</v>
      </c>
      <c r="N2388" s="22">
        <v>54000</v>
      </c>
      <c r="O2388" s="18">
        <v>57.75</v>
      </c>
      <c r="P2388" s="52">
        <f>IF(COUNTIF(TblPurchases[BatchID],TblOutcomes[[#This Row],[BatchID]])&lt;&gt;1,"n.a.",TblOutcomes[[#This Row],[Qty Wasted]]*SUMIFS(TblPurchases[Unit Cost (CLP)],TblPurchases[BatchID],TblOutcomes[[#This Row],[BatchID]]))</f>
        <v>0</v>
      </c>
      <c r="Q2388" s="51">
        <f>IF(COUNTIF(TblPurchases[BatchID],TblOutcomes[[#This Row],[BatchID]])&lt;&gt;1,"n.a.",SUMIFS(TblPurchases[Purchase Date],TblPurchases[BatchID],TblOutcomes[[#This Row],[BatchID]]))</f>
        <v>45649</v>
      </c>
    </row>
    <row r="2389" spans="2:17" x14ac:dyDescent="0.25">
      <c r="B2389" s="2" t="s">
        <v>3194</v>
      </c>
      <c r="C2389" s="2" t="s">
        <v>269</v>
      </c>
      <c r="D2389" s="2" t="s">
        <v>256</v>
      </c>
      <c r="E2389" s="2" t="s">
        <v>4647</v>
      </c>
      <c r="F2389" s="2">
        <v>8</v>
      </c>
      <c r="G2389" s="2">
        <v>8</v>
      </c>
      <c r="H2389" s="2">
        <v>0</v>
      </c>
      <c r="I2389" s="1">
        <v>0</v>
      </c>
      <c r="J2389" s="26">
        <v>45687</v>
      </c>
      <c r="K2389" s="22">
        <v>176000</v>
      </c>
      <c r="L2389" s="18">
        <v>188.24</v>
      </c>
      <c r="M2389" s="22">
        <v>132800</v>
      </c>
      <c r="N2389" s="22">
        <v>43200</v>
      </c>
      <c r="O2389" s="18">
        <v>46.2</v>
      </c>
      <c r="P2389" s="52">
        <f>IF(COUNTIF(TblPurchases[BatchID],TblOutcomes[[#This Row],[BatchID]])&lt;&gt;1,"n.a.",TblOutcomes[[#This Row],[Qty Wasted]]*SUMIFS(TblPurchases[Unit Cost (CLP)],TblPurchases[BatchID],TblOutcomes[[#This Row],[BatchID]]))</f>
        <v>0</v>
      </c>
      <c r="Q2389" s="51">
        <f>IF(COUNTIF(TblPurchases[BatchID],TblOutcomes[[#This Row],[BatchID]])&lt;&gt;1,"n.a.",SUMIFS(TblPurchases[Purchase Date],TblPurchases[BatchID],TblOutcomes[[#This Row],[BatchID]]))</f>
        <v>45670</v>
      </c>
    </row>
    <row r="2390" spans="2:17" x14ac:dyDescent="0.25">
      <c r="B2390" s="2" t="s">
        <v>3195</v>
      </c>
      <c r="C2390" s="2" t="s">
        <v>269</v>
      </c>
      <c r="D2390" s="2" t="s">
        <v>256</v>
      </c>
      <c r="E2390" s="2" t="s">
        <v>4646</v>
      </c>
      <c r="F2390" s="2">
        <v>8</v>
      </c>
      <c r="G2390" s="2">
        <v>7.33</v>
      </c>
      <c r="H2390" s="2">
        <v>0.67</v>
      </c>
      <c r="I2390" s="1">
        <v>8.4</v>
      </c>
      <c r="J2390" s="26">
        <v>45897</v>
      </c>
      <c r="K2390" s="22">
        <v>161260</v>
      </c>
      <c r="L2390" s="18">
        <v>172.47</v>
      </c>
      <c r="M2390" s="22">
        <v>132800</v>
      </c>
      <c r="N2390" s="22">
        <v>28460</v>
      </c>
      <c r="O2390" s="18">
        <v>30.44</v>
      </c>
      <c r="P2390" s="52">
        <f>IF(COUNTIF(TblPurchases[BatchID],TblOutcomes[[#This Row],[BatchID]])&lt;&gt;1,"n.a.",TblOutcomes[[#This Row],[Qty Wasted]]*SUMIFS(TblPurchases[Unit Cost (CLP)],TblPurchases[BatchID],TblOutcomes[[#This Row],[BatchID]]))</f>
        <v>11122</v>
      </c>
      <c r="Q2390" s="51">
        <f>IF(COUNTIF(TblPurchases[BatchID],TblOutcomes[[#This Row],[BatchID]])&lt;&gt;1,"n.a.",SUMIFS(TblPurchases[Purchase Date],TblPurchases[BatchID],TblOutcomes[[#This Row],[BatchID]]))</f>
        <v>45687</v>
      </c>
    </row>
    <row r="2391" spans="2:17" x14ac:dyDescent="0.25">
      <c r="B2391" s="2" t="s">
        <v>3196</v>
      </c>
      <c r="C2391" s="2" t="s">
        <v>269</v>
      </c>
      <c r="D2391" s="2" t="s">
        <v>256</v>
      </c>
      <c r="E2391" s="2" t="s">
        <v>4647</v>
      </c>
      <c r="F2391" s="2">
        <v>7</v>
      </c>
      <c r="G2391" s="2">
        <v>7</v>
      </c>
      <c r="H2391" s="2">
        <v>0</v>
      </c>
      <c r="I2391" s="1">
        <v>0</v>
      </c>
      <c r="J2391" s="26">
        <v>45713</v>
      </c>
      <c r="K2391" s="22">
        <v>154000</v>
      </c>
      <c r="L2391" s="18">
        <v>164.71</v>
      </c>
      <c r="M2391" s="22">
        <v>116200</v>
      </c>
      <c r="N2391" s="22">
        <v>37800</v>
      </c>
      <c r="O2391" s="18">
        <v>40.43</v>
      </c>
      <c r="P2391" s="52">
        <f>IF(COUNTIF(TblPurchases[BatchID],TblOutcomes[[#This Row],[BatchID]])&lt;&gt;1,"n.a.",TblOutcomes[[#This Row],[Qty Wasted]]*SUMIFS(TblPurchases[Unit Cost (CLP)],TblPurchases[BatchID],TblOutcomes[[#This Row],[BatchID]]))</f>
        <v>0</v>
      </c>
      <c r="Q2391" s="51">
        <f>IF(COUNTIF(TblPurchases[BatchID],TblOutcomes[[#This Row],[BatchID]])&lt;&gt;1,"n.a.",SUMIFS(TblPurchases[Purchase Date],TblPurchases[BatchID],TblOutcomes[[#This Row],[BatchID]]))</f>
        <v>45704</v>
      </c>
    </row>
    <row r="2392" spans="2:17" x14ac:dyDescent="0.25">
      <c r="B2392" s="2" t="s">
        <v>3197</v>
      </c>
      <c r="C2392" s="2" t="s">
        <v>269</v>
      </c>
      <c r="D2392" s="2" t="s">
        <v>256</v>
      </c>
      <c r="E2392" s="2" t="s">
        <v>4646</v>
      </c>
      <c r="F2392" s="2">
        <v>7</v>
      </c>
      <c r="G2392" s="2">
        <v>6.68</v>
      </c>
      <c r="H2392" s="2">
        <v>0.32</v>
      </c>
      <c r="I2392" s="1">
        <v>4.5999999999999996</v>
      </c>
      <c r="J2392" s="26">
        <v>45930</v>
      </c>
      <c r="K2392" s="22">
        <v>146960</v>
      </c>
      <c r="L2392" s="18">
        <v>157.18</v>
      </c>
      <c r="M2392" s="22">
        <v>116200</v>
      </c>
      <c r="N2392" s="22">
        <v>30760</v>
      </c>
      <c r="O2392" s="18">
        <v>32.9</v>
      </c>
      <c r="P2392" s="52">
        <f>IF(COUNTIF(TblPurchases[BatchID],TblOutcomes[[#This Row],[BatchID]])&lt;&gt;1,"n.a.",TblOutcomes[[#This Row],[Qty Wasted]]*SUMIFS(TblPurchases[Unit Cost (CLP)],TblPurchases[BatchID],TblOutcomes[[#This Row],[BatchID]]))</f>
        <v>5312</v>
      </c>
      <c r="Q2392" s="51">
        <f>IF(COUNTIF(TblPurchases[BatchID],TblOutcomes[[#This Row],[BatchID]])&lt;&gt;1,"n.a.",SUMIFS(TblPurchases[Purchase Date],TblPurchases[BatchID],TblOutcomes[[#This Row],[BatchID]]))</f>
        <v>45720</v>
      </c>
    </row>
    <row r="2393" spans="2:17" x14ac:dyDescent="0.25">
      <c r="B2393" s="2" t="s">
        <v>3198</v>
      </c>
      <c r="C2393" s="2" t="s">
        <v>269</v>
      </c>
      <c r="D2393" s="2" t="s">
        <v>256</v>
      </c>
      <c r="E2393" s="2" t="s">
        <v>4646</v>
      </c>
      <c r="F2393" s="2">
        <v>8</v>
      </c>
      <c r="G2393" s="2">
        <v>7.2</v>
      </c>
      <c r="H2393" s="2">
        <v>0.8</v>
      </c>
      <c r="I2393" s="1">
        <v>10</v>
      </c>
      <c r="J2393" s="26">
        <v>45955</v>
      </c>
      <c r="K2393" s="22">
        <v>158400</v>
      </c>
      <c r="L2393" s="18">
        <v>169.41</v>
      </c>
      <c r="M2393" s="22">
        <v>133600</v>
      </c>
      <c r="N2393" s="22">
        <v>24800</v>
      </c>
      <c r="O2393" s="18">
        <v>26.52</v>
      </c>
      <c r="P2393" s="52">
        <f>IF(COUNTIF(TblPurchases[BatchID],TblOutcomes[[#This Row],[BatchID]])&lt;&gt;1,"n.a.",TblOutcomes[[#This Row],[Qty Wasted]]*SUMIFS(TblPurchases[Unit Cost (CLP)],TblPurchases[BatchID],TblOutcomes[[#This Row],[BatchID]]))</f>
        <v>13360</v>
      </c>
      <c r="Q2393" s="51">
        <f>IF(COUNTIF(TblPurchases[BatchID],TblOutcomes[[#This Row],[BatchID]])&lt;&gt;1,"n.a.",SUMIFS(TblPurchases[Purchase Date],TblPurchases[BatchID],TblOutcomes[[#This Row],[BatchID]]))</f>
        <v>45745</v>
      </c>
    </row>
    <row r="2394" spans="2:17" x14ac:dyDescent="0.25">
      <c r="B2394" s="2" t="s">
        <v>3199</v>
      </c>
      <c r="C2394" s="2" t="s">
        <v>269</v>
      </c>
      <c r="D2394" s="2" t="s">
        <v>256</v>
      </c>
      <c r="E2394" s="2" t="s">
        <v>4647</v>
      </c>
      <c r="F2394" s="2">
        <v>18</v>
      </c>
      <c r="G2394" s="2">
        <v>18</v>
      </c>
      <c r="H2394" s="2">
        <v>0</v>
      </c>
      <c r="I2394" s="1">
        <v>0</v>
      </c>
      <c r="J2394" s="26">
        <v>45795</v>
      </c>
      <c r="K2394" s="22">
        <v>396000</v>
      </c>
      <c r="L2394" s="18">
        <v>423.53</v>
      </c>
      <c r="M2394" s="22">
        <v>298800</v>
      </c>
      <c r="N2394" s="22">
        <v>97200</v>
      </c>
      <c r="O2394" s="18">
        <v>103.96</v>
      </c>
      <c r="P2394" s="52">
        <f>IF(COUNTIF(TblPurchases[BatchID],TblOutcomes[[#This Row],[BatchID]])&lt;&gt;1,"n.a.",TblOutcomes[[#This Row],[Qty Wasted]]*SUMIFS(TblPurchases[Unit Cost (CLP)],TblPurchases[BatchID],TblOutcomes[[#This Row],[BatchID]]))</f>
        <v>0</v>
      </c>
      <c r="Q2394" s="51">
        <f>IF(COUNTIF(TblPurchases[BatchID],TblOutcomes[[#This Row],[BatchID]])&lt;&gt;1,"n.a.",SUMIFS(TblPurchases[Purchase Date],TblPurchases[BatchID],TblOutcomes[[#This Row],[BatchID]]))</f>
        <v>45769</v>
      </c>
    </row>
    <row r="2395" spans="2:17" x14ac:dyDescent="0.25">
      <c r="B2395" s="2" t="s">
        <v>3200</v>
      </c>
      <c r="C2395" s="2" t="s">
        <v>269</v>
      </c>
      <c r="D2395" s="2" t="s">
        <v>256</v>
      </c>
      <c r="E2395" s="2" t="s">
        <v>4647</v>
      </c>
      <c r="F2395" s="2">
        <v>23</v>
      </c>
      <c r="G2395" s="2">
        <v>23</v>
      </c>
      <c r="H2395" s="2">
        <v>0</v>
      </c>
      <c r="I2395" s="1">
        <v>0</v>
      </c>
      <c r="J2395" s="26">
        <v>45798</v>
      </c>
      <c r="K2395" s="22">
        <v>506000</v>
      </c>
      <c r="L2395" s="18">
        <v>541.17999999999995</v>
      </c>
      <c r="M2395" s="22">
        <v>381800</v>
      </c>
      <c r="N2395" s="22">
        <v>124200</v>
      </c>
      <c r="O2395" s="18">
        <v>132.83000000000001</v>
      </c>
      <c r="P2395" s="52">
        <f>IF(COUNTIF(TblPurchases[BatchID],TblOutcomes[[#This Row],[BatchID]])&lt;&gt;1,"n.a.",TblOutcomes[[#This Row],[Qty Wasted]]*SUMIFS(TblPurchases[Unit Cost (CLP)],TblPurchases[BatchID],TblOutcomes[[#This Row],[BatchID]]))</f>
        <v>0</v>
      </c>
      <c r="Q2395" s="51">
        <f>IF(COUNTIF(TblPurchases[BatchID],TblOutcomes[[#This Row],[BatchID]])&lt;&gt;1,"n.a.",SUMIFS(TblPurchases[Purchase Date],TblPurchases[BatchID],TblOutcomes[[#This Row],[BatchID]]))</f>
        <v>45787</v>
      </c>
    </row>
    <row r="2396" spans="2:17" x14ac:dyDescent="0.25">
      <c r="B2396" s="2" t="s">
        <v>3201</v>
      </c>
      <c r="C2396" s="2" t="s">
        <v>269</v>
      </c>
      <c r="D2396" s="2" t="s">
        <v>256</v>
      </c>
      <c r="E2396" s="2" t="s">
        <v>4646</v>
      </c>
      <c r="F2396" s="2">
        <v>19</v>
      </c>
      <c r="G2396" s="2">
        <v>17.399999999999999</v>
      </c>
      <c r="H2396" s="2">
        <v>1.6</v>
      </c>
      <c r="I2396" s="1">
        <v>8.4</v>
      </c>
      <c r="J2396" s="26">
        <v>46014</v>
      </c>
      <c r="K2396" s="22">
        <v>382800</v>
      </c>
      <c r="L2396" s="18">
        <v>409.41</v>
      </c>
      <c r="M2396" s="22">
        <v>315400</v>
      </c>
      <c r="N2396" s="22">
        <v>67400</v>
      </c>
      <c r="O2396" s="18">
        <v>72.09</v>
      </c>
      <c r="P2396" s="52">
        <f>IF(COUNTIF(TblPurchases[BatchID],TblOutcomes[[#This Row],[BatchID]])&lt;&gt;1,"n.a.",TblOutcomes[[#This Row],[Qty Wasted]]*SUMIFS(TblPurchases[Unit Cost (CLP)],TblPurchases[BatchID],TblOutcomes[[#This Row],[BatchID]]))</f>
        <v>26560</v>
      </c>
      <c r="Q2396" s="51">
        <f>IF(COUNTIF(TblPurchases[BatchID],TblOutcomes[[#This Row],[BatchID]])&lt;&gt;1,"n.a.",SUMIFS(TblPurchases[Purchase Date],TblPurchases[BatchID],TblOutcomes[[#This Row],[BatchID]]))</f>
        <v>45804</v>
      </c>
    </row>
    <row r="2397" spans="2:17" x14ac:dyDescent="0.25">
      <c r="B2397" s="2" t="s">
        <v>3202</v>
      </c>
      <c r="C2397" s="2" t="s">
        <v>269</v>
      </c>
      <c r="D2397" s="2" t="s">
        <v>256</v>
      </c>
      <c r="E2397" s="2" t="s">
        <v>4646</v>
      </c>
      <c r="F2397" s="2">
        <v>22</v>
      </c>
      <c r="G2397" s="2">
        <v>20.22</v>
      </c>
      <c r="H2397" s="2">
        <v>1.78</v>
      </c>
      <c r="I2397" s="1">
        <v>8.1</v>
      </c>
      <c r="J2397" s="26">
        <v>46035</v>
      </c>
      <c r="K2397" s="22">
        <v>444840</v>
      </c>
      <c r="L2397" s="18">
        <v>475.76</v>
      </c>
      <c r="M2397" s="22">
        <v>365200</v>
      </c>
      <c r="N2397" s="22">
        <v>79640</v>
      </c>
      <c r="O2397" s="18">
        <v>85.18</v>
      </c>
      <c r="P2397" s="52">
        <f>IF(COUNTIF(TblPurchases[BatchID],TblOutcomes[[#This Row],[BatchID]])&lt;&gt;1,"n.a.",TblOutcomes[[#This Row],[Qty Wasted]]*SUMIFS(TblPurchases[Unit Cost (CLP)],TblPurchases[BatchID],TblOutcomes[[#This Row],[BatchID]]))</f>
        <v>29548</v>
      </c>
      <c r="Q2397" s="51">
        <f>IF(COUNTIF(TblPurchases[BatchID],TblOutcomes[[#This Row],[BatchID]])&lt;&gt;1,"n.a.",SUMIFS(TblPurchases[Purchase Date],TblPurchases[BatchID],TblOutcomes[[#This Row],[BatchID]]))</f>
        <v>45825</v>
      </c>
    </row>
    <row r="2398" spans="2:17" x14ac:dyDescent="0.25">
      <c r="B2398" s="2" t="s">
        <v>3203</v>
      </c>
      <c r="C2398" s="2" t="s">
        <v>271</v>
      </c>
      <c r="D2398" s="2" t="s">
        <v>256</v>
      </c>
      <c r="E2398" s="2" t="s">
        <v>4646</v>
      </c>
      <c r="F2398" s="2">
        <v>19</v>
      </c>
      <c r="G2398" s="2">
        <v>18.010000000000002</v>
      </c>
      <c r="H2398" s="2">
        <v>0.99</v>
      </c>
      <c r="I2398" s="1">
        <v>5.2</v>
      </c>
      <c r="J2398" s="26">
        <v>45338</v>
      </c>
      <c r="K2398" s="22">
        <v>468260</v>
      </c>
      <c r="L2398" s="18">
        <v>500.81</v>
      </c>
      <c r="M2398" s="22">
        <v>377150</v>
      </c>
      <c r="N2398" s="22">
        <v>91110</v>
      </c>
      <c r="O2398" s="18">
        <v>97.44</v>
      </c>
      <c r="P2398" s="52">
        <f>IF(COUNTIF(TblPurchases[BatchID],TblOutcomes[[#This Row],[BatchID]])&lt;&gt;1,"n.a.",TblOutcomes[[#This Row],[Qty Wasted]]*SUMIFS(TblPurchases[Unit Cost (CLP)],TblPurchases[BatchID],TblOutcomes[[#This Row],[BatchID]]))</f>
        <v>19651.5</v>
      </c>
      <c r="Q2398" s="51">
        <f>IF(COUNTIF(TblPurchases[BatchID],TblOutcomes[[#This Row],[BatchID]])&lt;&gt;1,"n.a.",SUMIFS(TblPurchases[Purchase Date],TblPurchases[BatchID],TblOutcomes[[#This Row],[BatchID]]))</f>
        <v>45128</v>
      </c>
    </row>
    <row r="2399" spans="2:17" x14ac:dyDescent="0.25">
      <c r="B2399" s="2" t="s">
        <v>3204</v>
      </c>
      <c r="C2399" s="2" t="s">
        <v>271</v>
      </c>
      <c r="D2399" s="2" t="s">
        <v>256</v>
      </c>
      <c r="E2399" s="2" t="s">
        <v>4647</v>
      </c>
      <c r="F2399" s="2">
        <v>17</v>
      </c>
      <c r="G2399" s="2">
        <v>17</v>
      </c>
      <c r="H2399" s="2">
        <v>0</v>
      </c>
      <c r="I2399" s="1">
        <v>0</v>
      </c>
      <c r="J2399" s="26">
        <v>45156</v>
      </c>
      <c r="K2399" s="22">
        <v>442000</v>
      </c>
      <c r="L2399" s="18">
        <v>472.73</v>
      </c>
      <c r="M2399" s="22">
        <v>333200</v>
      </c>
      <c r="N2399" s="22">
        <v>108800</v>
      </c>
      <c r="O2399" s="18">
        <v>116.36</v>
      </c>
      <c r="P2399" s="52">
        <f>IF(COUNTIF(TblPurchases[BatchID],TblOutcomes[[#This Row],[BatchID]])&lt;&gt;1,"n.a.",TblOutcomes[[#This Row],[Qty Wasted]]*SUMIFS(TblPurchases[Unit Cost (CLP)],TblPurchases[BatchID],TblOutcomes[[#This Row],[BatchID]]))</f>
        <v>0</v>
      </c>
      <c r="Q2399" s="51">
        <f>IF(COUNTIF(TblPurchases[BatchID],TblOutcomes[[#This Row],[BatchID]])&lt;&gt;1,"n.a.",SUMIFS(TblPurchases[Purchase Date],TblPurchases[BatchID],TblOutcomes[[#This Row],[BatchID]]))</f>
        <v>45147</v>
      </c>
    </row>
    <row r="2400" spans="2:17" x14ac:dyDescent="0.25">
      <c r="B2400" s="2" t="s">
        <v>3205</v>
      </c>
      <c r="C2400" s="2" t="s">
        <v>271</v>
      </c>
      <c r="D2400" s="2" t="s">
        <v>256</v>
      </c>
      <c r="E2400" s="2" t="s">
        <v>4647</v>
      </c>
      <c r="F2400" s="2">
        <v>17</v>
      </c>
      <c r="G2400" s="2">
        <v>17</v>
      </c>
      <c r="H2400" s="2">
        <v>0</v>
      </c>
      <c r="I2400" s="1">
        <v>0</v>
      </c>
      <c r="J2400" s="26">
        <v>45177</v>
      </c>
      <c r="K2400" s="22">
        <v>442000</v>
      </c>
      <c r="L2400" s="18">
        <v>472.73</v>
      </c>
      <c r="M2400" s="22">
        <v>333200</v>
      </c>
      <c r="N2400" s="22">
        <v>108800</v>
      </c>
      <c r="O2400" s="18">
        <v>116.36</v>
      </c>
      <c r="P2400" s="52">
        <f>IF(COUNTIF(TblPurchases[BatchID],TblOutcomes[[#This Row],[BatchID]])&lt;&gt;1,"n.a.",TblOutcomes[[#This Row],[Qty Wasted]]*SUMIFS(TblPurchases[Unit Cost (CLP)],TblPurchases[BatchID],TblOutcomes[[#This Row],[BatchID]]))</f>
        <v>0</v>
      </c>
      <c r="Q2400" s="51">
        <f>IF(COUNTIF(TblPurchases[BatchID],TblOutcomes[[#This Row],[BatchID]])&lt;&gt;1,"n.a.",SUMIFS(TblPurchases[Purchase Date],TblPurchases[BatchID],TblOutcomes[[#This Row],[BatchID]]))</f>
        <v>45165</v>
      </c>
    </row>
    <row r="2401" spans="2:17" x14ac:dyDescent="0.25">
      <c r="B2401" s="2" t="s">
        <v>3206</v>
      </c>
      <c r="C2401" s="2" t="s">
        <v>271</v>
      </c>
      <c r="D2401" s="2" t="s">
        <v>256</v>
      </c>
      <c r="E2401" s="2" t="s">
        <v>4647</v>
      </c>
      <c r="F2401" s="2">
        <v>26</v>
      </c>
      <c r="G2401" s="2">
        <v>26</v>
      </c>
      <c r="H2401" s="2">
        <v>0</v>
      </c>
      <c r="I2401" s="1">
        <v>0</v>
      </c>
      <c r="J2401" s="26">
        <v>45198</v>
      </c>
      <c r="K2401" s="22">
        <v>676000</v>
      </c>
      <c r="L2401" s="18">
        <v>722.99</v>
      </c>
      <c r="M2401" s="22">
        <v>509600</v>
      </c>
      <c r="N2401" s="22">
        <v>166400</v>
      </c>
      <c r="O2401" s="18">
        <v>177.97</v>
      </c>
      <c r="P2401" s="52">
        <f>IF(COUNTIF(TblPurchases[BatchID],TblOutcomes[[#This Row],[BatchID]])&lt;&gt;1,"n.a.",TblOutcomes[[#This Row],[Qty Wasted]]*SUMIFS(TblPurchases[Unit Cost (CLP)],TblPurchases[BatchID],TblOutcomes[[#This Row],[BatchID]]))</f>
        <v>0</v>
      </c>
      <c r="Q2401" s="51">
        <f>IF(COUNTIF(TblPurchases[BatchID],TblOutcomes[[#This Row],[BatchID]])&lt;&gt;1,"n.a.",SUMIFS(TblPurchases[Purchase Date],TblPurchases[BatchID],TblOutcomes[[#This Row],[BatchID]]))</f>
        <v>45188</v>
      </c>
    </row>
    <row r="2402" spans="2:17" x14ac:dyDescent="0.25">
      <c r="B2402" s="2" t="s">
        <v>3207</v>
      </c>
      <c r="C2402" s="2" t="s">
        <v>271</v>
      </c>
      <c r="D2402" s="2" t="s">
        <v>256</v>
      </c>
      <c r="E2402" s="2" t="s">
        <v>4646</v>
      </c>
      <c r="F2402" s="2">
        <v>8</v>
      </c>
      <c r="G2402" s="2">
        <v>7.33</v>
      </c>
      <c r="H2402" s="2">
        <v>0.67</v>
      </c>
      <c r="I2402" s="1">
        <v>8.4</v>
      </c>
      <c r="J2402" s="26">
        <v>45415</v>
      </c>
      <c r="K2402" s="22">
        <v>190580</v>
      </c>
      <c r="L2402" s="18">
        <v>203.83</v>
      </c>
      <c r="M2402" s="22">
        <v>156800</v>
      </c>
      <c r="N2402" s="22">
        <v>33780</v>
      </c>
      <c r="O2402" s="18">
        <v>36.130000000000003</v>
      </c>
      <c r="P2402" s="52">
        <f>IF(COUNTIF(TblPurchases[BatchID],TblOutcomes[[#This Row],[BatchID]])&lt;&gt;1,"n.a.",TblOutcomes[[#This Row],[Qty Wasted]]*SUMIFS(TblPurchases[Unit Cost (CLP)],TblPurchases[BatchID],TblOutcomes[[#This Row],[BatchID]]))</f>
        <v>13132</v>
      </c>
      <c r="Q2402" s="51">
        <f>IF(COUNTIF(TblPurchases[BatchID],TblOutcomes[[#This Row],[BatchID]])&lt;&gt;1,"n.a.",SUMIFS(TblPurchases[Purchase Date],TblPurchases[BatchID],TblOutcomes[[#This Row],[BatchID]]))</f>
        <v>45205</v>
      </c>
    </row>
    <row r="2403" spans="2:17" x14ac:dyDescent="0.25">
      <c r="B2403" s="2" t="s">
        <v>3208</v>
      </c>
      <c r="C2403" s="2" t="s">
        <v>271</v>
      </c>
      <c r="D2403" s="2" t="s">
        <v>256</v>
      </c>
      <c r="E2403" s="2" t="s">
        <v>4646</v>
      </c>
      <c r="F2403" s="2">
        <v>7</v>
      </c>
      <c r="G2403" s="2">
        <v>6.43</v>
      </c>
      <c r="H2403" s="2">
        <v>0.56999999999999995</v>
      </c>
      <c r="I2403" s="1">
        <v>8.1</v>
      </c>
      <c r="J2403" s="26">
        <v>45438</v>
      </c>
      <c r="K2403" s="22">
        <v>167180</v>
      </c>
      <c r="L2403" s="18">
        <v>178.8</v>
      </c>
      <c r="M2403" s="22">
        <v>137200</v>
      </c>
      <c r="N2403" s="22">
        <v>29980</v>
      </c>
      <c r="O2403" s="18">
        <v>32.06</v>
      </c>
      <c r="P2403" s="52">
        <f>IF(COUNTIF(TblPurchases[BatchID],TblOutcomes[[#This Row],[BatchID]])&lt;&gt;1,"n.a.",TblOutcomes[[#This Row],[Qty Wasted]]*SUMIFS(TblPurchases[Unit Cost (CLP)],TblPurchases[BatchID],TblOutcomes[[#This Row],[BatchID]]))</f>
        <v>11171.999999999998</v>
      </c>
      <c r="Q2403" s="51">
        <f>IF(COUNTIF(TblPurchases[BatchID],TblOutcomes[[#This Row],[BatchID]])&lt;&gt;1,"n.a.",SUMIFS(TblPurchases[Purchase Date],TblPurchases[BatchID],TblOutcomes[[#This Row],[BatchID]]))</f>
        <v>45228</v>
      </c>
    </row>
    <row r="2404" spans="2:17" x14ac:dyDescent="0.25">
      <c r="B2404" s="2" t="s">
        <v>3209</v>
      </c>
      <c r="C2404" s="2" t="s">
        <v>271</v>
      </c>
      <c r="D2404" s="2" t="s">
        <v>256</v>
      </c>
      <c r="E2404" s="2" t="s">
        <v>4647</v>
      </c>
      <c r="F2404" s="2">
        <v>8</v>
      </c>
      <c r="G2404" s="2">
        <v>8</v>
      </c>
      <c r="H2404" s="2">
        <v>0</v>
      </c>
      <c r="I2404" s="1">
        <v>0</v>
      </c>
      <c r="J2404" s="26">
        <v>45271</v>
      </c>
      <c r="K2404" s="22">
        <v>208000</v>
      </c>
      <c r="L2404" s="18">
        <v>222.46</v>
      </c>
      <c r="M2404" s="22">
        <v>156800</v>
      </c>
      <c r="N2404" s="22">
        <v>51200</v>
      </c>
      <c r="O2404" s="18">
        <v>54.76</v>
      </c>
      <c r="P2404" s="52">
        <f>IF(COUNTIF(TblPurchases[BatchID],TblOutcomes[[#This Row],[BatchID]])&lt;&gt;1,"n.a.",TblOutcomes[[#This Row],[Qty Wasted]]*SUMIFS(TblPurchases[Unit Cost (CLP)],TblPurchases[BatchID],TblOutcomes[[#This Row],[BatchID]]))</f>
        <v>0</v>
      </c>
      <c r="Q2404" s="51">
        <f>IF(COUNTIF(TblPurchases[BatchID],TblOutcomes[[#This Row],[BatchID]])&lt;&gt;1,"n.a.",SUMIFS(TblPurchases[Purchase Date],TblPurchases[BatchID],TblOutcomes[[#This Row],[BatchID]]))</f>
        <v>45248</v>
      </c>
    </row>
    <row r="2405" spans="2:17" x14ac:dyDescent="0.25">
      <c r="B2405" s="2" t="s">
        <v>3210</v>
      </c>
      <c r="C2405" s="2" t="s">
        <v>271</v>
      </c>
      <c r="D2405" s="2" t="s">
        <v>256</v>
      </c>
      <c r="E2405" s="2" t="s">
        <v>4647</v>
      </c>
      <c r="F2405" s="2">
        <v>9</v>
      </c>
      <c r="G2405" s="2">
        <v>9</v>
      </c>
      <c r="H2405" s="2">
        <v>0</v>
      </c>
      <c r="I2405" s="1">
        <v>0</v>
      </c>
      <c r="J2405" s="26">
        <v>45279</v>
      </c>
      <c r="K2405" s="22">
        <v>234000</v>
      </c>
      <c r="L2405" s="18">
        <v>250.27</v>
      </c>
      <c r="M2405" s="22">
        <v>176400</v>
      </c>
      <c r="N2405" s="22">
        <v>57600</v>
      </c>
      <c r="O2405" s="18">
        <v>61.6</v>
      </c>
      <c r="P2405" s="52">
        <f>IF(COUNTIF(TblPurchases[BatchID],TblOutcomes[[#This Row],[BatchID]])&lt;&gt;1,"n.a.",TblOutcomes[[#This Row],[Qty Wasted]]*SUMIFS(TblPurchases[Unit Cost (CLP)],TblPurchases[BatchID],TblOutcomes[[#This Row],[BatchID]]))</f>
        <v>0</v>
      </c>
      <c r="Q2405" s="51">
        <f>IF(COUNTIF(TblPurchases[BatchID],TblOutcomes[[#This Row],[BatchID]])&lt;&gt;1,"n.a.",SUMIFS(TblPurchases[Purchase Date],TblPurchases[BatchID],TblOutcomes[[#This Row],[BatchID]]))</f>
        <v>45265</v>
      </c>
    </row>
    <row r="2406" spans="2:17" x14ac:dyDescent="0.25">
      <c r="B2406" s="2" t="s">
        <v>3211</v>
      </c>
      <c r="C2406" s="2" t="s">
        <v>271</v>
      </c>
      <c r="D2406" s="2" t="s">
        <v>256</v>
      </c>
      <c r="E2406" s="2" t="s">
        <v>4646</v>
      </c>
      <c r="F2406" s="2">
        <v>9</v>
      </c>
      <c r="G2406" s="2">
        <v>8.3000000000000007</v>
      </c>
      <c r="H2406" s="2">
        <v>0.7</v>
      </c>
      <c r="I2406" s="1">
        <v>7.8</v>
      </c>
      <c r="J2406" s="26">
        <v>45495</v>
      </c>
      <c r="K2406" s="22">
        <v>215800</v>
      </c>
      <c r="L2406" s="18">
        <v>230.8</v>
      </c>
      <c r="M2406" s="22">
        <v>178650</v>
      </c>
      <c r="N2406" s="22">
        <v>37150</v>
      </c>
      <c r="O2406" s="18">
        <v>39.729999999999997</v>
      </c>
      <c r="P2406" s="52">
        <f>IF(COUNTIF(TblPurchases[BatchID],TblOutcomes[[#This Row],[BatchID]])&lt;&gt;1,"n.a.",TblOutcomes[[#This Row],[Qty Wasted]]*SUMIFS(TblPurchases[Unit Cost (CLP)],TblPurchases[BatchID],TblOutcomes[[#This Row],[BatchID]]))</f>
        <v>13895</v>
      </c>
      <c r="Q2406" s="51">
        <f>IF(COUNTIF(TblPurchases[BatchID],TblOutcomes[[#This Row],[BatchID]])&lt;&gt;1,"n.a.",SUMIFS(TblPurchases[Purchase Date],TblPurchases[BatchID],TblOutcomes[[#This Row],[BatchID]]))</f>
        <v>45285</v>
      </c>
    </row>
    <row r="2407" spans="2:17" x14ac:dyDescent="0.25">
      <c r="B2407" s="2" t="s">
        <v>3212</v>
      </c>
      <c r="C2407" s="2" t="s">
        <v>271</v>
      </c>
      <c r="D2407" s="2" t="s">
        <v>256</v>
      </c>
      <c r="E2407" s="2" t="s">
        <v>4646</v>
      </c>
      <c r="F2407" s="2">
        <v>8</v>
      </c>
      <c r="G2407" s="2">
        <v>7.21</v>
      </c>
      <c r="H2407" s="2">
        <v>0.79</v>
      </c>
      <c r="I2407" s="1">
        <v>9.9</v>
      </c>
      <c r="J2407" s="26">
        <v>45519</v>
      </c>
      <c r="K2407" s="22">
        <v>187460</v>
      </c>
      <c r="L2407" s="18">
        <v>200.49</v>
      </c>
      <c r="M2407" s="22">
        <v>156800</v>
      </c>
      <c r="N2407" s="22">
        <v>30660</v>
      </c>
      <c r="O2407" s="18">
        <v>32.79</v>
      </c>
      <c r="P2407" s="52">
        <f>IF(COUNTIF(TblPurchases[BatchID],TblOutcomes[[#This Row],[BatchID]])&lt;&gt;1,"n.a.",TblOutcomes[[#This Row],[Qty Wasted]]*SUMIFS(TblPurchases[Unit Cost (CLP)],TblPurchases[BatchID],TblOutcomes[[#This Row],[BatchID]]))</f>
        <v>15484</v>
      </c>
      <c r="Q2407" s="51">
        <f>IF(COUNTIF(TblPurchases[BatchID],TblOutcomes[[#This Row],[BatchID]])&lt;&gt;1,"n.a.",SUMIFS(TblPurchases[Purchase Date],TblPurchases[BatchID],TblOutcomes[[#This Row],[BatchID]]))</f>
        <v>45309</v>
      </c>
    </row>
    <row r="2408" spans="2:17" x14ac:dyDescent="0.25">
      <c r="B2408" s="2" t="s">
        <v>3213</v>
      </c>
      <c r="C2408" s="2" t="s">
        <v>271</v>
      </c>
      <c r="D2408" s="2" t="s">
        <v>256</v>
      </c>
      <c r="E2408" s="2" t="s">
        <v>4647</v>
      </c>
      <c r="F2408" s="2">
        <v>6</v>
      </c>
      <c r="G2408" s="2">
        <v>6</v>
      </c>
      <c r="H2408" s="2">
        <v>0</v>
      </c>
      <c r="I2408" s="1">
        <v>0</v>
      </c>
      <c r="J2408" s="26">
        <v>45339</v>
      </c>
      <c r="K2408" s="22">
        <v>156000</v>
      </c>
      <c r="L2408" s="18">
        <v>166.84</v>
      </c>
      <c r="M2408" s="22">
        <v>117600</v>
      </c>
      <c r="N2408" s="22">
        <v>38400</v>
      </c>
      <c r="O2408" s="18">
        <v>41.07</v>
      </c>
      <c r="P2408" s="52">
        <f>IF(COUNTIF(TblPurchases[BatchID],TblOutcomes[[#This Row],[BatchID]])&lt;&gt;1,"n.a.",TblOutcomes[[#This Row],[Qty Wasted]]*SUMIFS(TblPurchases[Unit Cost (CLP)],TblPurchases[BatchID],TblOutcomes[[#This Row],[BatchID]]))</f>
        <v>0</v>
      </c>
      <c r="Q2408" s="51">
        <f>IF(COUNTIF(TblPurchases[BatchID],TblOutcomes[[#This Row],[BatchID]])&lt;&gt;1,"n.a.",SUMIFS(TblPurchases[Purchase Date],TblPurchases[BatchID],TblOutcomes[[#This Row],[BatchID]]))</f>
        <v>45326</v>
      </c>
    </row>
    <row r="2409" spans="2:17" x14ac:dyDescent="0.25">
      <c r="B2409" s="2" t="s">
        <v>3214</v>
      </c>
      <c r="C2409" s="2" t="s">
        <v>271</v>
      </c>
      <c r="D2409" s="2" t="s">
        <v>256</v>
      </c>
      <c r="E2409" s="2" t="s">
        <v>4646</v>
      </c>
      <c r="F2409" s="2">
        <v>8</v>
      </c>
      <c r="G2409" s="2">
        <v>7.58</v>
      </c>
      <c r="H2409" s="2">
        <v>0.42</v>
      </c>
      <c r="I2409" s="1">
        <v>5.2</v>
      </c>
      <c r="J2409" s="26">
        <v>45560</v>
      </c>
      <c r="K2409" s="22">
        <v>197080</v>
      </c>
      <c r="L2409" s="18">
        <v>210.78</v>
      </c>
      <c r="M2409" s="22">
        <v>156800</v>
      </c>
      <c r="N2409" s="22">
        <v>40280</v>
      </c>
      <c r="O2409" s="18">
        <v>43.08</v>
      </c>
      <c r="P2409" s="52">
        <f>IF(COUNTIF(TblPurchases[BatchID],TblOutcomes[[#This Row],[BatchID]])&lt;&gt;1,"n.a.",TblOutcomes[[#This Row],[Qty Wasted]]*SUMIFS(TblPurchases[Unit Cost (CLP)],TblPurchases[BatchID],TblOutcomes[[#This Row],[BatchID]]))</f>
        <v>8232</v>
      </c>
      <c r="Q2409" s="51">
        <f>IF(COUNTIF(TblPurchases[BatchID],TblOutcomes[[#This Row],[BatchID]])&lt;&gt;1,"n.a.",SUMIFS(TblPurchases[Purchase Date],TblPurchases[BatchID],TblOutcomes[[#This Row],[BatchID]]))</f>
        <v>45350</v>
      </c>
    </row>
    <row r="2410" spans="2:17" x14ac:dyDescent="0.25">
      <c r="B2410" s="2" t="s">
        <v>3215</v>
      </c>
      <c r="C2410" s="2" t="s">
        <v>271</v>
      </c>
      <c r="D2410" s="2" t="s">
        <v>256</v>
      </c>
      <c r="E2410" s="2" t="s">
        <v>4646</v>
      </c>
      <c r="F2410" s="2">
        <v>8</v>
      </c>
      <c r="G2410" s="2">
        <v>7.56</v>
      </c>
      <c r="H2410" s="2">
        <v>0.44</v>
      </c>
      <c r="I2410" s="1">
        <v>5.5</v>
      </c>
      <c r="J2410" s="26">
        <v>45575</v>
      </c>
      <c r="K2410" s="22">
        <v>196560</v>
      </c>
      <c r="L2410" s="18">
        <v>210.22</v>
      </c>
      <c r="M2410" s="22">
        <v>156800</v>
      </c>
      <c r="N2410" s="22">
        <v>39760</v>
      </c>
      <c r="O2410" s="18">
        <v>42.52</v>
      </c>
      <c r="P2410" s="52">
        <f>IF(COUNTIF(TblPurchases[BatchID],TblOutcomes[[#This Row],[BatchID]])&lt;&gt;1,"n.a.",TblOutcomes[[#This Row],[Qty Wasted]]*SUMIFS(TblPurchases[Unit Cost (CLP)],TblPurchases[BatchID],TblOutcomes[[#This Row],[BatchID]]))</f>
        <v>8624</v>
      </c>
      <c r="Q2410" s="51">
        <f>IF(COUNTIF(TblPurchases[BatchID],TblOutcomes[[#This Row],[BatchID]])&lt;&gt;1,"n.a.",SUMIFS(TblPurchases[Purchase Date],TblPurchases[BatchID],TblOutcomes[[#This Row],[BatchID]]))</f>
        <v>45365</v>
      </c>
    </row>
    <row r="2411" spans="2:17" x14ac:dyDescent="0.25">
      <c r="B2411" s="2" t="s">
        <v>3216</v>
      </c>
      <c r="C2411" s="2" t="s">
        <v>271</v>
      </c>
      <c r="D2411" s="2" t="s">
        <v>256</v>
      </c>
      <c r="E2411" s="2" t="s">
        <v>4647</v>
      </c>
      <c r="F2411" s="2">
        <v>18</v>
      </c>
      <c r="G2411" s="2">
        <v>18</v>
      </c>
      <c r="H2411" s="2">
        <v>0</v>
      </c>
      <c r="I2411" s="1">
        <v>0</v>
      </c>
      <c r="J2411" s="26">
        <v>45409</v>
      </c>
      <c r="K2411" s="22">
        <v>468000</v>
      </c>
      <c r="L2411" s="18">
        <v>500.53</v>
      </c>
      <c r="M2411" s="22">
        <v>352800</v>
      </c>
      <c r="N2411" s="22">
        <v>115200</v>
      </c>
      <c r="O2411" s="18">
        <v>123.21</v>
      </c>
      <c r="P2411" s="52">
        <f>IF(COUNTIF(TblPurchases[BatchID],TblOutcomes[[#This Row],[BatchID]])&lt;&gt;1,"n.a.",TblOutcomes[[#This Row],[Qty Wasted]]*SUMIFS(TblPurchases[Unit Cost (CLP)],TblPurchases[BatchID],TblOutcomes[[#This Row],[BatchID]]))</f>
        <v>0</v>
      </c>
      <c r="Q2411" s="51">
        <f>IF(COUNTIF(TblPurchases[BatchID],TblOutcomes[[#This Row],[BatchID]])&lt;&gt;1,"n.a.",SUMIFS(TblPurchases[Purchase Date],TblPurchases[BatchID],TblOutcomes[[#This Row],[BatchID]]))</f>
        <v>45392</v>
      </c>
    </row>
    <row r="2412" spans="2:17" x14ac:dyDescent="0.25">
      <c r="B2412" s="2" t="s">
        <v>3217</v>
      </c>
      <c r="C2412" s="2" t="s">
        <v>271</v>
      </c>
      <c r="D2412" s="2" t="s">
        <v>256</v>
      </c>
      <c r="E2412" s="2" t="s">
        <v>4647</v>
      </c>
      <c r="F2412" s="2">
        <v>20</v>
      </c>
      <c r="G2412" s="2">
        <v>20</v>
      </c>
      <c r="H2412" s="2">
        <v>0</v>
      </c>
      <c r="I2412" s="1">
        <v>0</v>
      </c>
      <c r="J2412" s="26">
        <v>45426</v>
      </c>
      <c r="K2412" s="22">
        <v>520000</v>
      </c>
      <c r="L2412" s="18">
        <v>556.15</v>
      </c>
      <c r="M2412" s="22">
        <v>392000</v>
      </c>
      <c r="N2412" s="22">
        <v>128000</v>
      </c>
      <c r="O2412" s="18">
        <v>136.9</v>
      </c>
      <c r="P2412" s="52">
        <f>IF(COUNTIF(TblPurchases[BatchID],TblOutcomes[[#This Row],[BatchID]])&lt;&gt;1,"n.a.",TblOutcomes[[#This Row],[Qty Wasted]]*SUMIFS(TblPurchases[Unit Cost (CLP)],TblPurchases[BatchID],TblOutcomes[[#This Row],[BatchID]]))</f>
        <v>0</v>
      </c>
      <c r="Q2412" s="51">
        <f>IF(COUNTIF(TblPurchases[BatchID],TblOutcomes[[#This Row],[BatchID]])&lt;&gt;1,"n.a.",SUMIFS(TblPurchases[Purchase Date],TblPurchases[BatchID],TblOutcomes[[#This Row],[BatchID]]))</f>
        <v>45411</v>
      </c>
    </row>
    <row r="2413" spans="2:17" x14ac:dyDescent="0.25">
      <c r="B2413" s="2" t="s">
        <v>3218</v>
      </c>
      <c r="C2413" s="2" t="s">
        <v>271</v>
      </c>
      <c r="D2413" s="2" t="s">
        <v>256</v>
      </c>
      <c r="E2413" s="2" t="s">
        <v>4647</v>
      </c>
      <c r="F2413" s="2">
        <v>21</v>
      </c>
      <c r="G2413" s="2">
        <v>21</v>
      </c>
      <c r="H2413" s="2">
        <v>0</v>
      </c>
      <c r="I2413" s="1">
        <v>0</v>
      </c>
      <c r="J2413" s="26">
        <v>45452</v>
      </c>
      <c r="K2413" s="22">
        <v>546000</v>
      </c>
      <c r="L2413" s="18">
        <v>583.96</v>
      </c>
      <c r="M2413" s="22">
        <v>411600</v>
      </c>
      <c r="N2413" s="22">
        <v>134400</v>
      </c>
      <c r="O2413" s="18">
        <v>143.74</v>
      </c>
      <c r="P2413" s="52">
        <f>IF(COUNTIF(TblPurchases[BatchID],TblOutcomes[[#This Row],[BatchID]])&lt;&gt;1,"n.a.",TblOutcomes[[#This Row],[Qty Wasted]]*SUMIFS(TblPurchases[Unit Cost (CLP)],TblPurchases[BatchID],TblOutcomes[[#This Row],[BatchID]]))</f>
        <v>0</v>
      </c>
      <c r="Q2413" s="51">
        <f>IF(COUNTIF(TblPurchases[BatchID],TblOutcomes[[#This Row],[BatchID]])&lt;&gt;1,"n.a.",SUMIFS(TblPurchases[Purchase Date],TblPurchases[BatchID],TblOutcomes[[#This Row],[BatchID]]))</f>
        <v>45435</v>
      </c>
    </row>
    <row r="2414" spans="2:17" x14ac:dyDescent="0.25">
      <c r="B2414" s="2" t="s">
        <v>3219</v>
      </c>
      <c r="C2414" s="2" t="s">
        <v>271</v>
      </c>
      <c r="D2414" s="2" t="s">
        <v>256</v>
      </c>
      <c r="E2414" s="2" t="s">
        <v>4647</v>
      </c>
      <c r="F2414" s="2">
        <v>20</v>
      </c>
      <c r="G2414" s="2">
        <v>20</v>
      </c>
      <c r="H2414" s="2">
        <v>0</v>
      </c>
      <c r="I2414" s="1">
        <v>0</v>
      </c>
      <c r="J2414" s="26">
        <v>45465</v>
      </c>
      <c r="K2414" s="22">
        <v>520000</v>
      </c>
      <c r="L2414" s="18">
        <v>556.15</v>
      </c>
      <c r="M2414" s="22">
        <v>392000</v>
      </c>
      <c r="N2414" s="22">
        <v>128000</v>
      </c>
      <c r="O2414" s="18">
        <v>136.9</v>
      </c>
      <c r="P2414" s="52">
        <f>IF(COUNTIF(TblPurchases[BatchID],TblOutcomes[[#This Row],[BatchID]])&lt;&gt;1,"n.a.",TblOutcomes[[#This Row],[Qty Wasted]]*SUMIFS(TblPurchases[Unit Cost (CLP)],TblPurchases[BatchID],TblOutcomes[[#This Row],[BatchID]]))</f>
        <v>0</v>
      </c>
      <c r="Q2414" s="51">
        <f>IF(COUNTIF(TblPurchases[BatchID],TblOutcomes[[#This Row],[BatchID]])&lt;&gt;1,"n.a.",SUMIFS(TblPurchases[Purchase Date],TblPurchases[BatchID],TblOutcomes[[#This Row],[BatchID]]))</f>
        <v>45454</v>
      </c>
    </row>
    <row r="2415" spans="2:17" x14ac:dyDescent="0.25">
      <c r="B2415" s="2" t="s">
        <v>3220</v>
      </c>
      <c r="C2415" s="2" t="s">
        <v>271</v>
      </c>
      <c r="D2415" s="2" t="s">
        <v>256</v>
      </c>
      <c r="E2415" s="2" t="s">
        <v>4646</v>
      </c>
      <c r="F2415" s="2">
        <v>20</v>
      </c>
      <c r="G2415" s="2">
        <v>19.02</v>
      </c>
      <c r="H2415" s="2">
        <v>0.98</v>
      </c>
      <c r="I2415" s="1">
        <v>4.9000000000000004</v>
      </c>
      <c r="J2415" s="26">
        <v>45681</v>
      </c>
      <c r="K2415" s="22">
        <v>494520</v>
      </c>
      <c r="L2415" s="18">
        <v>528.9</v>
      </c>
      <c r="M2415" s="22">
        <v>397000</v>
      </c>
      <c r="N2415" s="22">
        <v>97520</v>
      </c>
      <c r="O2415" s="18">
        <v>104.3</v>
      </c>
      <c r="P2415" s="52">
        <f>IF(COUNTIF(TblPurchases[BatchID],TblOutcomes[[#This Row],[BatchID]])&lt;&gt;1,"n.a.",TblOutcomes[[#This Row],[Qty Wasted]]*SUMIFS(TblPurchases[Unit Cost (CLP)],TblPurchases[BatchID],TblOutcomes[[#This Row],[BatchID]]))</f>
        <v>19453</v>
      </c>
      <c r="Q2415" s="51">
        <f>IF(COUNTIF(TblPurchases[BatchID],TblOutcomes[[#This Row],[BatchID]])&lt;&gt;1,"n.a.",SUMIFS(TblPurchases[Purchase Date],TblPurchases[BatchID],TblOutcomes[[#This Row],[BatchID]]))</f>
        <v>45471</v>
      </c>
    </row>
    <row r="2416" spans="2:17" x14ac:dyDescent="0.25">
      <c r="B2416" s="2" t="s">
        <v>3221</v>
      </c>
      <c r="C2416" s="2" t="s">
        <v>271</v>
      </c>
      <c r="D2416" s="2" t="s">
        <v>256</v>
      </c>
      <c r="E2416" s="2" t="s">
        <v>4646</v>
      </c>
      <c r="F2416" s="2">
        <v>20</v>
      </c>
      <c r="G2416" s="2">
        <v>19.18</v>
      </c>
      <c r="H2416" s="2">
        <v>0.82</v>
      </c>
      <c r="I2416" s="1">
        <v>4.0999999999999996</v>
      </c>
      <c r="J2416" s="26">
        <v>45705</v>
      </c>
      <c r="K2416" s="22">
        <v>498680</v>
      </c>
      <c r="L2416" s="18">
        <v>533.35</v>
      </c>
      <c r="M2416" s="22">
        <v>392000</v>
      </c>
      <c r="N2416" s="22">
        <v>106680</v>
      </c>
      <c r="O2416" s="18">
        <v>114.1</v>
      </c>
      <c r="P2416" s="52">
        <f>IF(COUNTIF(TblPurchases[BatchID],TblOutcomes[[#This Row],[BatchID]])&lt;&gt;1,"n.a.",TblOutcomes[[#This Row],[Qty Wasted]]*SUMIFS(TblPurchases[Unit Cost (CLP)],TblPurchases[BatchID],TblOutcomes[[#This Row],[BatchID]]))</f>
        <v>16071.999999999998</v>
      </c>
      <c r="Q2416" s="51">
        <f>IF(COUNTIF(TblPurchases[BatchID],TblOutcomes[[#This Row],[BatchID]])&lt;&gt;1,"n.a.",SUMIFS(TblPurchases[Purchase Date],TblPurchases[BatchID],TblOutcomes[[#This Row],[BatchID]]))</f>
        <v>45495</v>
      </c>
    </row>
    <row r="2417" spans="2:17" x14ac:dyDescent="0.25">
      <c r="B2417" s="2" t="s">
        <v>3222</v>
      </c>
      <c r="C2417" s="2" t="s">
        <v>271</v>
      </c>
      <c r="D2417" s="2" t="s">
        <v>256</v>
      </c>
      <c r="E2417" s="2" t="s">
        <v>4647</v>
      </c>
      <c r="F2417" s="2">
        <v>22</v>
      </c>
      <c r="G2417" s="2">
        <v>22</v>
      </c>
      <c r="H2417" s="2">
        <v>0</v>
      </c>
      <c r="I2417" s="1">
        <v>0</v>
      </c>
      <c r="J2417" s="26">
        <v>45541</v>
      </c>
      <c r="K2417" s="22">
        <v>572000</v>
      </c>
      <c r="L2417" s="18">
        <v>611.76</v>
      </c>
      <c r="M2417" s="22">
        <v>431200</v>
      </c>
      <c r="N2417" s="22">
        <v>140800</v>
      </c>
      <c r="O2417" s="18">
        <v>150.59</v>
      </c>
      <c r="P2417" s="52">
        <f>IF(COUNTIF(TblPurchases[BatchID],TblOutcomes[[#This Row],[BatchID]])&lt;&gt;1,"n.a.",TblOutcomes[[#This Row],[Qty Wasted]]*SUMIFS(TblPurchases[Unit Cost (CLP)],TblPurchases[BatchID],TblOutcomes[[#This Row],[BatchID]]))</f>
        <v>0</v>
      </c>
      <c r="Q2417" s="51">
        <f>IF(COUNTIF(TblPurchases[BatchID],TblOutcomes[[#This Row],[BatchID]])&lt;&gt;1,"n.a.",SUMIFS(TblPurchases[Purchase Date],TblPurchases[BatchID],TblOutcomes[[#This Row],[BatchID]]))</f>
        <v>45517</v>
      </c>
    </row>
    <row r="2418" spans="2:17" x14ac:dyDescent="0.25">
      <c r="B2418" s="2" t="s">
        <v>3223</v>
      </c>
      <c r="C2418" s="2" t="s">
        <v>271</v>
      </c>
      <c r="D2418" s="2" t="s">
        <v>256</v>
      </c>
      <c r="E2418" s="2" t="s">
        <v>4647</v>
      </c>
      <c r="F2418" s="2">
        <v>24</v>
      </c>
      <c r="G2418" s="2">
        <v>24</v>
      </c>
      <c r="H2418" s="2">
        <v>0</v>
      </c>
      <c r="I2418" s="1">
        <v>0</v>
      </c>
      <c r="J2418" s="26">
        <v>45560</v>
      </c>
      <c r="K2418" s="22">
        <v>624000</v>
      </c>
      <c r="L2418" s="18">
        <v>667.38</v>
      </c>
      <c r="M2418" s="22">
        <v>470400</v>
      </c>
      <c r="N2418" s="22">
        <v>153600</v>
      </c>
      <c r="O2418" s="18">
        <v>164.28</v>
      </c>
      <c r="P2418" s="52">
        <f>IF(COUNTIF(TblPurchases[BatchID],TblOutcomes[[#This Row],[BatchID]])&lt;&gt;1,"n.a.",TblOutcomes[[#This Row],[Qty Wasted]]*SUMIFS(TblPurchases[Unit Cost (CLP)],TblPurchases[BatchID],TblOutcomes[[#This Row],[BatchID]]))</f>
        <v>0</v>
      </c>
      <c r="Q2418" s="51">
        <f>IF(COUNTIF(TblPurchases[BatchID],TblOutcomes[[#This Row],[BatchID]])&lt;&gt;1,"n.a.",SUMIFS(TblPurchases[Purchase Date],TblPurchases[BatchID],TblOutcomes[[#This Row],[BatchID]]))</f>
        <v>45542</v>
      </c>
    </row>
    <row r="2419" spans="2:17" x14ac:dyDescent="0.25">
      <c r="B2419" s="2" t="s">
        <v>3224</v>
      </c>
      <c r="C2419" s="2" t="s">
        <v>271</v>
      </c>
      <c r="D2419" s="2" t="s">
        <v>256</v>
      </c>
      <c r="E2419" s="2" t="s">
        <v>4647</v>
      </c>
      <c r="F2419" s="2">
        <v>23</v>
      </c>
      <c r="G2419" s="2">
        <v>23</v>
      </c>
      <c r="H2419" s="2">
        <v>0</v>
      </c>
      <c r="I2419" s="1">
        <v>0</v>
      </c>
      <c r="J2419" s="26">
        <v>45579</v>
      </c>
      <c r="K2419" s="22">
        <v>598000</v>
      </c>
      <c r="L2419" s="18">
        <v>639.57000000000005</v>
      </c>
      <c r="M2419" s="22">
        <v>450800</v>
      </c>
      <c r="N2419" s="22">
        <v>147200</v>
      </c>
      <c r="O2419" s="18">
        <v>157.43</v>
      </c>
      <c r="P2419" s="52">
        <f>IF(COUNTIF(TblPurchases[BatchID],TblOutcomes[[#This Row],[BatchID]])&lt;&gt;1,"n.a.",TblOutcomes[[#This Row],[Qty Wasted]]*SUMIFS(TblPurchases[Unit Cost (CLP)],TblPurchases[BatchID],TblOutcomes[[#This Row],[BatchID]]))</f>
        <v>0</v>
      </c>
      <c r="Q2419" s="51">
        <f>IF(COUNTIF(TblPurchases[BatchID],TblOutcomes[[#This Row],[BatchID]])&lt;&gt;1,"n.a.",SUMIFS(TblPurchases[Purchase Date],TblPurchases[BatchID],TblOutcomes[[#This Row],[BatchID]]))</f>
        <v>45563</v>
      </c>
    </row>
    <row r="2420" spans="2:17" x14ac:dyDescent="0.25">
      <c r="B2420" s="2" t="s">
        <v>3225</v>
      </c>
      <c r="C2420" s="2" t="s">
        <v>271</v>
      </c>
      <c r="D2420" s="2" t="s">
        <v>256</v>
      </c>
      <c r="E2420" s="2" t="s">
        <v>4647</v>
      </c>
      <c r="F2420" s="2">
        <v>7</v>
      </c>
      <c r="G2420" s="2">
        <v>7</v>
      </c>
      <c r="H2420" s="2">
        <v>0</v>
      </c>
      <c r="I2420" s="1">
        <v>0</v>
      </c>
      <c r="J2420" s="26">
        <v>45605</v>
      </c>
      <c r="K2420" s="22">
        <v>182000</v>
      </c>
      <c r="L2420" s="18">
        <v>194.65</v>
      </c>
      <c r="M2420" s="22">
        <v>137200</v>
      </c>
      <c r="N2420" s="22">
        <v>44800</v>
      </c>
      <c r="O2420" s="18">
        <v>47.91</v>
      </c>
      <c r="P2420" s="52">
        <f>IF(COUNTIF(TblPurchases[BatchID],TblOutcomes[[#This Row],[BatchID]])&lt;&gt;1,"n.a.",TblOutcomes[[#This Row],[Qty Wasted]]*SUMIFS(TblPurchases[Unit Cost (CLP)],TblPurchases[BatchID],TblOutcomes[[#This Row],[BatchID]]))</f>
        <v>0</v>
      </c>
      <c r="Q2420" s="51">
        <f>IF(COUNTIF(TblPurchases[BatchID],TblOutcomes[[#This Row],[BatchID]])&lt;&gt;1,"n.a.",SUMIFS(TblPurchases[Purchase Date],TblPurchases[BatchID],TblOutcomes[[#This Row],[BatchID]]))</f>
        <v>45581</v>
      </c>
    </row>
    <row r="2421" spans="2:17" x14ac:dyDescent="0.25">
      <c r="B2421" s="2" t="s">
        <v>3226</v>
      </c>
      <c r="C2421" s="2" t="s">
        <v>271</v>
      </c>
      <c r="D2421" s="2" t="s">
        <v>256</v>
      </c>
      <c r="E2421" s="2" t="s">
        <v>4647</v>
      </c>
      <c r="F2421" s="2">
        <v>8</v>
      </c>
      <c r="G2421" s="2">
        <v>8</v>
      </c>
      <c r="H2421" s="2">
        <v>0</v>
      </c>
      <c r="I2421" s="1">
        <v>0</v>
      </c>
      <c r="J2421" s="26">
        <v>45608</v>
      </c>
      <c r="K2421" s="22">
        <v>208000</v>
      </c>
      <c r="L2421" s="18">
        <v>222.46</v>
      </c>
      <c r="M2421" s="22">
        <v>156800</v>
      </c>
      <c r="N2421" s="22">
        <v>51200</v>
      </c>
      <c r="O2421" s="18">
        <v>54.76</v>
      </c>
      <c r="P2421" s="52">
        <f>IF(COUNTIF(TblPurchases[BatchID],TblOutcomes[[#This Row],[BatchID]])&lt;&gt;1,"n.a.",TblOutcomes[[#This Row],[Qty Wasted]]*SUMIFS(TblPurchases[Unit Cost (CLP)],TblPurchases[BatchID],TblOutcomes[[#This Row],[BatchID]]))</f>
        <v>0</v>
      </c>
      <c r="Q2421" s="51">
        <f>IF(COUNTIF(TblPurchases[BatchID],TblOutcomes[[#This Row],[BatchID]])&lt;&gt;1,"n.a.",SUMIFS(TblPurchases[Purchase Date],TblPurchases[BatchID],TblOutcomes[[#This Row],[BatchID]]))</f>
        <v>45601</v>
      </c>
    </row>
    <row r="2422" spans="2:17" x14ac:dyDescent="0.25">
      <c r="B2422" s="2" t="s">
        <v>3227</v>
      </c>
      <c r="C2422" s="2" t="s">
        <v>271</v>
      </c>
      <c r="D2422" s="2" t="s">
        <v>256</v>
      </c>
      <c r="E2422" s="2" t="s">
        <v>4646</v>
      </c>
      <c r="F2422" s="2">
        <v>8</v>
      </c>
      <c r="G2422" s="2">
        <v>7.24</v>
      </c>
      <c r="H2422" s="2">
        <v>0.76</v>
      </c>
      <c r="I2422" s="1">
        <v>9.5</v>
      </c>
      <c r="J2422" s="26">
        <v>45834</v>
      </c>
      <c r="K2422" s="22">
        <v>188240</v>
      </c>
      <c r="L2422" s="18">
        <v>201.33</v>
      </c>
      <c r="M2422" s="22">
        <v>156800</v>
      </c>
      <c r="N2422" s="22">
        <v>31440</v>
      </c>
      <c r="O2422" s="18">
        <v>33.630000000000003</v>
      </c>
      <c r="P2422" s="52">
        <f>IF(COUNTIF(TblPurchases[BatchID],TblOutcomes[[#This Row],[BatchID]])&lt;&gt;1,"n.a.",TblOutcomes[[#This Row],[Qty Wasted]]*SUMIFS(TblPurchases[Unit Cost (CLP)],TblPurchases[BatchID],TblOutcomes[[#This Row],[BatchID]]))</f>
        <v>14896</v>
      </c>
      <c r="Q2422" s="51">
        <f>IF(COUNTIF(TblPurchases[BatchID],TblOutcomes[[#This Row],[BatchID]])&lt;&gt;1,"n.a.",SUMIFS(TblPurchases[Purchase Date],TblPurchases[BatchID],TblOutcomes[[#This Row],[BatchID]]))</f>
        <v>45624</v>
      </c>
    </row>
    <row r="2423" spans="2:17" x14ac:dyDescent="0.25">
      <c r="B2423" s="2" t="s">
        <v>3228</v>
      </c>
      <c r="C2423" s="2" t="s">
        <v>271</v>
      </c>
      <c r="D2423" s="2" t="s">
        <v>256</v>
      </c>
      <c r="E2423" s="2" t="s">
        <v>4647</v>
      </c>
      <c r="F2423" s="2">
        <v>8</v>
      </c>
      <c r="G2423" s="2">
        <v>8</v>
      </c>
      <c r="H2423" s="2">
        <v>0</v>
      </c>
      <c r="I2423" s="1">
        <v>0</v>
      </c>
      <c r="J2423" s="26">
        <v>45648</v>
      </c>
      <c r="K2423" s="22">
        <v>208000</v>
      </c>
      <c r="L2423" s="18">
        <v>222.46</v>
      </c>
      <c r="M2423" s="22">
        <v>156800</v>
      </c>
      <c r="N2423" s="22">
        <v>51200</v>
      </c>
      <c r="O2423" s="18">
        <v>54.76</v>
      </c>
      <c r="P2423" s="52">
        <f>IF(COUNTIF(TblPurchases[BatchID],TblOutcomes[[#This Row],[BatchID]])&lt;&gt;1,"n.a.",TblOutcomes[[#This Row],[Qty Wasted]]*SUMIFS(TblPurchases[Unit Cost (CLP)],TblPurchases[BatchID],TblOutcomes[[#This Row],[BatchID]]))</f>
        <v>0</v>
      </c>
      <c r="Q2423" s="51">
        <f>IF(COUNTIF(TblPurchases[BatchID],TblOutcomes[[#This Row],[BatchID]])&lt;&gt;1,"n.a.",SUMIFS(TblPurchases[Purchase Date],TblPurchases[BatchID],TblOutcomes[[#This Row],[BatchID]]))</f>
        <v>45639</v>
      </c>
    </row>
    <row r="2424" spans="2:17" x14ac:dyDescent="0.25">
      <c r="B2424" s="2" t="s">
        <v>3229</v>
      </c>
      <c r="C2424" s="2" t="s">
        <v>271</v>
      </c>
      <c r="D2424" s="2" t="s">
        <v>256</v>
      </c>
      <c r="E2424" s="2" t="s">
        <v>4647</v>
      </c>
      <c r="F2424" s="2">
        <v>10</v>
      </c>
      <c r="G2424" s="2">
        <v>10</v>
      </c>
      <c r="H2424" s="2">
        <v>0</v>
      </c>
      <c r="I2424" s="1">
        <v>0</v>
      </c>
      <c r="J2424" s="26">
        <v>45680</v>
      </c>
      <c r="K2424" s="22">
        <v>260000</v>
      </c>
      <c r="L2424" s="18">
        <v>278.07</v>
      </c>
      <c r="M2424" s="22">
        <v>196000</v>
      </c>
      <c r="N2424" s="22">
        <v>64000</v>
      </c>
      <c r="O2424" s="18">
        <v>68.45</v>
      </c>
      <c r="P2424" s="52">
        <f>IF(COUNTIF(TblPurchases[BatchID],TblOutcomes[[#This Row],[BatchID]])&lt;&gt;1,"n.a.",TblOutcomes[[#This Row],[Qty Wasted]]*SUMIFS(TblPurchases[Unit Cost (CLP)],TblPurchases[BatchID],TblOutcomes[[#This Row],[BatchID]]))</f>
        <v>0</v>
      </c>
      <c r="Q2424" s="51">
        <f>IF(COUNTIF(TblPurchases[BatchID],TblOutcomes[[#This Row],[BatchID]])&lt;&gt;1,"n.a.",SUMIFS(TblPurchases[Purchase Date],TblPurchases[BatchID],TblOutcomes[[#This Row],[BatchID]]))</f>
        <v>45656</v>
      </c>
    </row>
    <row r="2425" spans="2:17" x14ac:dyDescent="0.25">
      <c r="B2425" s="2" t="s">
        <v>3230</v>
      </c>
      <c r="C2425" s="2" t="s">
        <v>271</v>
      </c>
      <c r="D2425" s="2" t="s">
        <v>256</v>
      </c>
      <c r="E2425" s="2" t="s">
        <v>4647</v>
      </c>
      <c r="F2425" s="2">
        <v>9</v>
      </c>
      <c r="G2425" s="2">
        <v>9</v>
      </c>
      <c r="H2425" s="2">
        <v>0</v>
      </c>
      <c r="I2425" s="1">
        <v>0</v>
      </c>
      <c r="J2425" s="26">
        <v>45695</v>
      </c>
      <c r="K2425" s="22">
        <v>234000</v>
      </c>
      <c r="L2425" s="18">
        <v>250.27</v>
      </c>
      <c r="M2425" s="22">
        <v>178650</v>
      </c>
      <c r="N2425" s="22">
        <v>55350</v>
      </c>
      <c r="O2425" s="18">
        <v>59.2</v>
      </c>
      <c r="P2425" s="52">
        <f>IF(COUNTIF(TblPurchases[BatchID],TblOutcomes[[#This Row],[BatchID]])&lt;&gt;1,"n.a.",TblOutcomes[[#This Row],[Qty Wasted]]*SUMIFS(TblPurchases[Unit Cost (CLP)],TblPurchases[BatchID],TblOutcomes[[#This Row],[BatchID]]))</f>
        <v>0</v>
      </c>
      <c r="Q2425" s="51">
        <f>IF(COUNTIF(TblPurchases[BatchID],TblOutcomes[[#This Row],[BatchID]])&lt;&gt;1,"n.a.",SUMIFS(TblPurchases[Purchase Date],TblPurchases[BatchID],TblOutcomes[[#This Row],[BatchID]]))</f>
        <v>45677</v>
      </c>
    </row>
    <row r="2426" spans="2:17" x14ac:dyDescent="0.25">
      <c r="B2426" s="2" t="s">
        <v>3231</v>
      </c>
      <c r="C2426" s="2" t="s">
        <v>271</v>
      </c>
      <c r="D2426" s="2" t="s">
        <v>256</v>
      </c>
      <c r="E2426" s="2" t="s">
        <v>4646</v>
      </c>
      <c r="F2426" s="2">
        <v>8</v>
      </c>
      <c r="G2426" s="2">
        <v>7.15</v>
      </c>
      <c r="H2426" s="2">
        <v>0.85</v>
      </c>
      <c r="I2426" s="1">
        <v>10.6</v>
      </c>
      <c r="J2426" s="26">
        <v>45905</v>
      </c>
      <c r="K2426" s="22">
        <v>185900</v>
      </c>
      <c r="L2426" s="18">
        <v>198.82</v>
      </c>
      <c r="M2426" s="22">
        <v>156800</v>
      </c>
      <c r="N2426" s="22">
        <v>29100</v>
      </c>
      <c r="O2426" s="18">
        <v>31.12</v>
      </c>
      <c r="P2426" s="52">
        <f>IF(COUNTIF(TblPurchases[BatchID],TblOutcomes[[#This Row],[BatchID]])&lt;&gt;1,"n.a.",TblOutcomes[[#This Row],[Qty Wasted]]*SUMIFS(TblPurchases[Unit Cost (CLP)],TblPurchases[BatchID],TblOutcomes[[#This Row],[BatchID]]))</f>
        <v>16660</v>
      </c>
      <c r="Q2426" s="51">
        <f>IF(COUNTIF(TblPurchases[BatchID],TblOutcomes[[#This Row],[BatchID]])&lt;&gt;1,"n.a.",SUMIFS(TblPurchases[Purchase Date],TblPurchases[BatchID],TblOutcomes[[#This Row],[BatchID]]))</f>
        <v>45695</v>
      </c>
    </row>
    <row r="2427" spans="2:17" x14ac:dyDescent="0.25">
      <c r="B2427" s="2" t="s">
        <v>3232</v>
      </c>
      <c r="C2427" s="2" t="s">
        <v>271</v>
      </c>
      <c r="D2427" s="2" t="s">
        <v>256</v>
      </c>
      <c r="E2427" s="2" t="s">
        <v>4647</v>
      </c>
      <c r="F2427" s="2">
        <v>7</v>
      </c>
      <c r="G2427" s="2">
        <v>7</v>
      </c>
      <c r="H2427" s="2">
        <v>0</v>
      </c>
      <c r="I2427" s="1">
        <v>0</v>
      </c>
      <c r="J2427" s="26">
        <v>45726</v>
      </c>
      <c r="K2427" s="22">
        <v>182000</v>
      </c>
      <c r="L2427" s="18">
        <v>194.65</v>
      </c>
      <c r="M2427" s="22">
        <v>137200</v>
      </c>
      <c r="N2427" s="22">
        <v>44800</v>
      </c>
      <c r="O2427" s="18">
        <v>47.91</v>
      </c>
      <c r="P2427" s="52">
        <f>IF(COUNTIF(TblPurchases[BatchID],TblOutcomes[[#This Row],[BatchID]])&lt;&gt;1,"n.a.",TblOutcomes[[#This Row],[Qty Wasted]]*SUMIFS(TblPurchases[Unit Cost (CLP)],TblPurchases[BatchID],TblOutcomes[[#This Row],[BatchID]]))</f>
        <v>0</v>
      </c>
      <c r="Q2427" s="51">
        <f>IF(COUNTIF(TblPurchases[BatchID],TblOutcomes[[#This Row],[BatchID]])&lt;&gt;1,"n.a.",SUMIFS(TblPurchases[Purchase Date],TblPurchases[BatchID],TblOutcomes[[#This Row],[BatchID]]))</f>
        <v>45712</v>
      </c>
    </row>
    <row r="2428" spans="2:17" x14ac:dyDescent="0.25">
      <c r="B2428" s="2" t="s">
        <v>3233</v>
      </c>
      <c r="C2428" s="2" t="s">
        <v>271</v>
      </c>
      <c r="D2428" s="2" t="s">
        <v>256</v>
      </c>
      <c r="E2428" s="2" t="s">
        <v>4647</v>
      </c>
      <c r="F2428" s="2">
        <v>7</v>
      </c>
      <c r="G2428" s="2">
        <v>7</v>
      </c>
      <c r="H2428" s="2">
        <v>0</v>
      </c>
      <c r="I2428" s="1">
        <v>0</v>
      </c>
      <c r="J2428" s="26">
        <v>45745</v>
      </c>
      <c r="K2428" s="22">
        <v>182000</v>
      </c>
      <c r="L2428" s="18">
        <v>194.65</v>
      </c>
      <c r="M2428" s="22">
        <v>137200</v>
      </c>
      <c r="N2428" s="22">
        <v>44800</v>
      </c>
      <c r="O2428" s="18">
        <v>47.91</v>
      </c>
      <c r="P2428" s="52">
        <f>IF(COUNTIF(TblPurchases[BatchID],TblOutcomes[[#This Row],[BatchID]])&lt;&gt;1,"n.a.",TblOutcomes[[#This Row],[Qty Wasted]]*SUMIFS(TblPurchases[Unit Cost (CLP)],TblPurchases[BatchID],TblOutcomes[[#This Row],[BatchID]]))</f>
        <v>0</v>
      </c>
      <c r="Q2428" s="51">
        <f>IF(COUNTIF(TblPurchases[BatchID],TblOutcomes[[#This Row],[BatchID]])&lt;&gt;1,"n.a.",SUMIFS(TblPurchases[Purchase Date],TblPurchases[BatchID],TblOutcomes[[#This Row],[BatchID]]))</f>
        <v>45728</v>
      </c>
    </row>
    <row r="2429" spans="2:17" x14ac:dyDescent="0.25">
      <c r="B2429" s="2" t="s">
        <v>3234</v>
      </c>
      <c r="C2429" s="2" t="s">
        <v>271</v>
      </c>
      <c r="D2429" s="2" t="s">
        <v>256</v>
      </c>
      <c r="E2429" s="2" t="s">
        <v>4647</v>
      </c>
      <c r="F2429" s="2">
        <v>20</v>
      </c>
      <c r="G2429" s="2">
        <v>20</v>
      </c>
      <c r="H2429" s="2">
        <v>0</v>
      </c>
      <c r="I2429" s="1">
        <v>0</v>
      </c>
      <c r="J2429" s="26">
        <v>45771</v>
      </c>
      <c r="K2429" s="22">
        <v>520000</v>
      </c>
      <c r="L2429" s="18">
        <v>556.15</v>
      </c>
      <c r="M2429" s="22">
        <v>397000</v>
      </c>
      <c r="N2429" s="22">
        <v>123000</v>
      </c>
      <c r="O2429" s="18">
        <v>131.55000000000001</v>
      </c>
      <c r="P2429" s="52">
        <f>IF(COUNTIF(TblPurchases[BatchID],TblOutcomes[[#This Row],[BatchID]])&lt;&gt;1,"n.a.",TblOutcomes[[#This Row],[Qty Wasted]]*SUMIFS(TblPurchases[Unit Cost (CLP)],TblPurchases[BatchID],TblOutcomes[[#This Row],[BatchID]]))</f>
        <v>0</v>
      </c>
      <c r="Q2429" s="51">
        <f>IF(COUNTIF(TblPurchases[BatchID],TblOutcomes[[#This Row],[BatchID]])&lt;&gt;1,"n.a.",SUMIFS(TblPurchases[Purchase Date],TblPurchases[BatchID],TblOutcomes[[#This Row],[BatchID]]))</f>
        <v>45752</v>
      </c>
    </row>
    <row r="2430" spans="2:17" x14ac:dyDescent="0.25">
      <c r="B2430" s="2" t="s">
        <v>3235</v>
      </c>
      <c r="C2430" s="2" t="s">
        <v>271</v>
      </c>
      <c r="D2430" s="2" t="s">
        <v>256</v>
      </c>
      <c r="E2430" s="2" t="s">
        <v>4647</v>
      </c>
      <c r="F2430" s="2">
        <v>18</v>
      </c>
      <c r="G2430" s="2">
        <v>18</v>
      </c>
      <c r="H2430" s="2">
        <v>0</v>
      </c>
      <c r="I2430" s="1">
        <v>0</v>
      </c>
      <c r="J2430" s="26">
        <v>45795</v>
      </c>
      <c r="K2430" s="22">
        <v>468000</v>
      </c>
      <c r="L2430" s="18">
        <v>500.53</v>
      </c>
      <c r="M2430" s="22">
        <v>352800</v>
      </c>
      <c r="N2430" s="22">
        <v>115200</v>
      </c>
      <c r="O2430" s="18">
        <v>123.21</v>
      </c>
      <c r="P2430" s="52">
        <f>IF(COUNTIF(TblPurchases[BatchID],TblOutcomes[[#This Row],[BatchID]])&lt;&gt;1,"n.a.",TblOutcomes[[#This Row],[Qty Wasted]]*SUMIFS(TblPurchases[Unit Cost (CLP)],TblPurchases[BatchID],TblOutcomes[[#This Row],[BatchID]]))</f>
        <v>0</v>
      </c>
      <c r="Q2430" s="51">
        <f>IF(COUNTIF(TblPurchases[BatchID],TblOutcomes[[#This Row],[BatchID]])&lt;&gt;1,"n.a.",SUMIFS(TblPurchases[Purchase Date],TblPurchases[BatchID],TblOutcomes[[#This Row],[BatchID]]))</f>
        <v>45773</v>
      </c>
    </row>
    <row r="2431" spans="2:17" x14ac:dyDescent="0.25">
      <c r="B2431" s="2" t="s">
        <v>3236</v>
      </c>
      <c r="C2431" s="2" t="s">
        <v>271</v>
      </c>
      <c r="D2431" s="2" t="s">
        <v>256</v>
      </c>
      <c r="E2431" s="2" t="s">
        <v>4647</v>
      </c>
      <c r="F2431" s="2">
        <v>18</v>
      </c>
      <c r="G2431" s="2">
        <v>18</v>
      </c>
      <c r="H2431" s="2">
        <v>0</v>
      </c>
      <c r="I2431" s="1">
        <v>0</v>
      </c>
      <c r="J2431" s="26">
        <v>45805</v>
      </c>
      <c r="K2431" s="22">
        <v>468000</v>
      </c>
      <c r="L2431" s="18">
        <v>500.53</v>
      </c>
      <c r="M2431" s="22">
        <v>352800</v>
      </c>
      <c r="N2431" s="22">
        <v>115200</v>
      </c>
      <c r="O2431" s="18">
        <v>123.21</v>
      </c>
      <c r="P2431" s="52">
        <f>IF(COUNTIF(TblPurchases[BatchID],TblOutcomes[[#This Row],[BatchID]])&lt;&gt;1,"n.a.",TblOutcomes[[#This Row],[Qty Wasted]]*SUMIFS(TblPurchases[Unit Cost (CLP)],TblPurchases[BatchID],TblOutcomes[[#This Row],[BatchID]]))</f>
        <v>0</v>
      </c>
      <c r="Q2431" s="51">
        <f>IF(COUNTIF(TblPurchases[BatchID],TblOutcomes[[#This Row],[BatchID]])&lt;&gt;1,"n.a.",SUMIFS(TblPurchases[Purchase Date],TblPurchases[BatchID],TblOutcomes[[#This Row],[BatchID]]))</f>
        <v>45791</v>
      </c>
    </row>
    <row r="2432" spans="2:17" x14ac:dyDescent="0.25">
      <c r="B2432" s="2" t="s">
        <v>3237</v>
      </c>
      <c r="C2432" s="2" t="s">
        <v>271</v>
      </c>
      <c r="D2432" s="2" t="s">
        <v>256</v>
      </c>
      <c r="E2432" s="2" t="s">
        <v>4647</v>
      </c>
      <c r="F2432" s="2">
        <v>22</v>
      </c>
      <c r="G2432" s="2">
        <v>22</v>
      </c>
      <c r="H2432" s="2">
        <v>0</v>
      </c>
      <c r="I2432" s="1">
        <v>0</v>
      </c>
      <c r="J2432" s="26">
        <v>45837</v>
      </c>
      <c r="K2432" s="22">
        <v>572000</v>
      </c>
      <c r="L2432" s="18">
        <v>611.76</v>
      </c>
      <c r="M2432" s="22">
        <v>431200</v>
      </c>
      <c r="N2432" s="22">
        <v>140800</v>
      </c>
      <c r="O2432" s="18">
        <v>150.59</v>
      </c>
      <c r="P2432" s="52">
        <f>IF(COUNTIF(TblPurchases[BatchID],TblOutcomes[[#This Row],[BatchID]])&lt;&gt;1,"n.a.",TblOutcomes[[#This Row],[Qty Wasted]]*SUMIFS(TblPurchases[Unit Cost (CLP)],TblPurchases[BatchID],TblOutcomes[[#This Row],[BatchID]]))</f>
        <v>0</v>
      </c>
      <c r="Q2432" s="51">
        <f>IF(COUNTIF(TblPurchases[BatchID],TblOutcomes[[#This Row],[BatchID]])&lt;&gt;1,"n.a.",SUMIFS(TblPurchases[Purchase Date],TblPurchases[BatchID],TblOutcomes[[#This Row],[BatchID]]))</f>
        <v>45810</v>
      </c>
    </row>
    <row r="2433" spans="2:17" x14ac:dyDescent="0.25">
      <c r="B2433" s="2" t="s">
        <v>3238</v>
      </c>
      <c r="C2433" s="2" t="s">
        <v>271</v>
      </c>
      <c r="D2433" s="2" t="s">
        <v>256</v>
      </c>
      <c r="E2433" s="2" t="s">
        <v>4647</v>
      </c>
      <c r="F2433" s="2">
        <v>19</v>
      </c>
      <c r="G2433" s="2">
        <v>19</v>
      </c>
      <c r="H2433" s="2">
        <v>0</v>
      </c>
      <c r="I2433" s="1">
        <v>0</v>
      </c>
      <c r="J2433" s="26">
        <v>45842</v>
      </c>
      <c r="K2433" s="22">
        <v>494000</v>
      </c>
      <c r="L2433" s="18">
        <v>528.34</v>
      </c>
      <c r="M2433" s="22">
        <v>372400</v>
      </c>
      <c r="N2433" s="22">
        <v>121600</v>
      </c>
      <c r="O2433" s="18">
        <v>130.05000000000001</v>
      </c>
      <c r="P2433" s="52">
        <f>IF(COUNTIF(TblPurchases[BatchID],TblOutcomes[[#This Row],[BatchID]])&lt;&gt;1,"n.a.",TblOutcomes[[#This Row],[Qty Wasted]]*SUMIFS(TblPurchases[Unit Cost (CLP)],TblPurchases[BatchID],TblOutcomes[[#This Row],[BatchID]]))</f>
        <v>0</v>
      </c>
      <c r="Q2433" s="51">
        <f>IF(COUNTIF(TblPurchases[BatchID],TblOutcomes[[#This Row],[BatchID]])&lt;&gt;1,"n.a.",SUMIFS(TblPurchases[Purchase Date],TblPurchases[BatchID],TblOutcomes[[#This Row],[BatchID]]))</f>
        <v>45832</v>
      </c>
    </row>
    <row r="2434" spans="2:17" x14ac:dyDescent="0.25">
      <c r="B2434" s="2" t="s">
        <v>3239</v>
      </c>
      <c r="C2434" s="2" t="s">
        <v>273</v>
      </c>
      <c r="D2434" s="2" t="s">
        <v>256</v>
      </c>
      <c r="E2434" s="2" t="s">
        <v>4647</v>
      </c>
      <c r="F2434" s="2">
        <v>22</v>
      </c>
      <c r="G2434" s="2">
        <v>22</v>
      </c>
      <c r="H2434" s="2">
        <v>0</v>
      </c>
      <c r="I2434" s="1">
        <v>0</v>
      </c>
      <c r="J2434" s="26">
        <v>45128</v>
      </c>
      <c r="K2434" s="22">
        <v>572000</v>
      </c>
      <c r="L2434" s="18">
        <v>611.76</v>
      </c>
      <c r="M2434" s="22">
        <v>443300</v>
      </c>
      <c r="N2434" s="22">
        <v>128700</v>
      </c>
      <c r="O2434" s="18">
        <v>137.65</v>
      </c>
      <c r="P2434" s="52">
        <f>IF(COUNTIF(TblPurchases[BatchID],TblOutcomes[[#This Row],[BatchID]])&lt;&gt;1,"n.a.",TblOutcomes[[#This Row],[Qty Wasted]]*SUMIFS(TblPurchases[Unit Cost (CLP)],TblPurchases[BatchID],TblOutcomes[[#This Row],[BatchID]]))</f>
        <v>0</v>
      </c>
      <c r="Q2434" s="51">
        <f>IF(COUNTIF(TblPurchases[BatchID],TblOutcomes[[#This Row],[BatchID]])&lt;&gt;1,"n.a.",SUMIFS(TblPurchases[Purchase Date],TblPurchases[BatchID],TblOutcomes[[#This Row],[BatchID]]))</f>
        <v>45109</v>
      </c>
    </row>
    <row r="2435" spans="2:17" x14ac:dyDescent="0.25">
      <c r="B2435" s="2" t="s">
        <v>3240</v>
      </c>
      <c r="C2435" s="2" t="s">
        <v>273</v>
      </c>
      <c r="D2435" s="2" t="s">
        <v>256</v>
      </c>
      <c r="E2435" s="2" t="s">
        <v>4647</v>
      </c>
      <c r="F2435" s="2">
        <v>21</v>
      </c>
      <c r="G2435" s="2">
        <v>21</v>
      </c>
      <c r="H2435" s="2">
        <v>0</v>
      </c>
      <c r="I2435" s="1">
        <v>0</v>
      </c>
      <c r="J2435" s="26">
        <v>45146</v>
      </c>
      <c r="K2435" s="22">
        <v>546000</v>
      </c>
      <c r="L2435" s="18">
        <v>583.96</v>
      </c>
      <c r="M2435" s="22">
        <v>423150</v>
      </c>
      <c r="N2435" s="22">
        <v>122850</v>
      </c>
      <c r="O2435" s="18">
        <v>131.38999999999999</v>
      </c>
      <c r="P2435" s="52">
        <f>IF(COUNTIF(TblPurchases[BatchID],TblOutcomes[[#This Row],[BatchID]])&lt;&gt;1,"n.a.",TblOutcomes[[#This Row],[Qty Wasted]]*SUMIFS(TblPurchases[Unit Cost (CLP)],TblPurchases[BatchID],TblOutcomes[[#This Row],[BatchID]]))</f>
        <v>0</v>
      </c>
      <c r="Q2435" s="51">
        <f>IF(COUNTIF(TblPurchases[BatchID],TblOutcomes[[#This Row],[BatchID]])&lt;&gt;1,"n.a.",SUMIFS(TblPurchases[Purchase Date],TblPurchases[BatchID],TblOutcomes[[#This Row],[BatchID]]))</f>
        <v>45132</v>
      </c>
    </row>
    <row r="2436" spans="2:17" x14ac:dyDescent="0.25">
      <c r="B2436" s="2" t="s">
        <v>3241</v>
      </c>
      <c r="C2436" s="2" t="s">
        <v>273</v>
      </c>
      <c r="D2436" s="2" t="s">
        <v>256</v>
      </c>
      <c r="E2436" s="2" t="s">
        <v>4647</v>
      </c>
      <c r="F2436" s="2">
        <v>17</v>
      </c>
      <c r="G2436" s="2">
        <v>17</v>
      </c>
      <c r="H2436" s="2">
        <v>0</v>
      </c>
      <c r="I2436" s="1">
        <v>0</v>
      </c>
      <c r="J2436" s="26">
        <v>45178</v>
      </c>
      <c r="K2436" s="22">
        <v>442000</v>
      </c>
      <c r="L2436" s="18">
        <v>472.73</v>
      </c>
      <c r="M2436" s="22">
        <v>342550</v>
      </c>
      <c r="N2436" s="22">
        <v>99450</v>
      </c>
      <c r="O2436" s="18">
        <v>106.36</v>
      </c>
      <c r="P2436" s="52">
        <f>IF(COUNTIF(TblPurchases[BatchID],TblOutcomes[[#This Row],[BatchID]])&lt;&gt;1,"n.a.",TblOutcomes[[#This Row],[Qty Wasted]]*SUMIFS(TblPurchases[Unit Cost (CLP)],TblPurchases[BatchID],TblOutcomes[[#This Row],[BatchID]]))</f>
        <v>0</v>
      </c>
      <c r="Q2436" s="51">
        <f>IF(COUNTIF(TblPurchases[BatchID],TblOutcomes[[#This Row],[BatchID]])&lt;&gt;1,"n.a.",SUMIFS(TblPurchases[Purchase Date],TblPurchases[BatchID],TblOutcomes[[#This Row],[BatchID]]))</f>
        <v>45158</v>
      </c>
    </row>
    <row r="2437" spans="2:17" x14ac:dyDescent="0.25">
      <c r="B2437" s="2" t="s">
        <v>3242</v>
      </c>
      <c r="C2437" s="2" t="s">
        <v>273</v>
      </c>
      <c r="D2437" s="2" t="s">
        <v>256</v>
      </c>
      <c r="E2437" s="2" t="s">
        <v>4647</v>
      </c>
      <c r="F2437" s="2">
        <v>23</v>
      </c>
      <c r="G2437" s="2">
        <v>23</v>
      </c>
      <c r="H2437" s="2">
        <v>0</v>
      </c>
      <c r="I2437" s="1">
        <v>0</v>
      </c>
      <c r="J2437" s="26">
        <v>45202</v>
      </c>
      <c r="K2437" s="22">
        <v>598000</v>
      </c>
      <c r="L2437" s="18">
        <v>639.57000000000005</v>
      </c>
      <c r="M2437" s="22">
        <v>463450</v>
      </c>
      <c r="N2437" s="22">
        <v>134550</v>
      </c>
      <c r="O2437" s="18">
        <v>143.9</v>
      </c>
      <c r="P2437" s="52">
        <f>IF(COUNTIF(TblPurchases[BatchID],TblOutcomes[[#This Row],[BatchID]])&lt;&gt;1,"n.a.",TblOutcomes[[#This Row],[Qty Wasted]]*SUMIFS(TblPurchases[Unit Cost (CLP)],TblPurchases[BatchID],TblOutcomes[[#This Row],[BatchID]]))</f>
        <v>0</v>
      </c>
      <c r="Q2437" s="51">
        <f>IF(COUNTIF(TblPurchases[BatchID],TblOutcomes[[#This Row],[BatchID]])&lt;&gt;1,"n.a.",SUMIFS(TblPurchases[Purchase Date],TblPurchases[BatchID],TblOutcomes[[#This Row],[BatchID]]))</f>
        <v>45179</v>
      </c>
    </row>
    <row r="2438" spans="2:17" x14ac:dyDescent="0.25">
      <c r="B2438" s="2" t="s">
        <v>3243</v>
      </c>
      <c r="C2438" s="2" t="s">
        <v>273</v>
      </c>
      <c r="D2438" s="2" t="s">
        <v>256</v>
      </c>
      <c r="E2438" s="2" t="s">
        <v>4647</v>
      </c>
      <c r="F2438" s="2">
        <v>6</v>
      </c>
      <c r="G2438" s="2">
        <v>6</v>
      </c>
      <c r="H2438" s="2">
        <v>0</v>
      </c>
      <c r="I2438" s="1">
        <v>0</v>
      </c>
      <c r="J2438" s="26">
        <v>45217</v>
      </c>
      <c r="K2438" s="22">
        <v>156000</v>
      </c>
      <c r="L2438" s="18">
        <v>166.84</v>
      </c>
      <c r="M2438" s="22">
        <v>120900</v>
      </c>
      <c r="N2438" s="22">
        <v>35100</v>
      </c>
      <c r="O2438" s="18">
        <v>37.54</v>
      </c>
      <c r="P2438" s="52">
        <f>IF(COUNTIF(TblPurchases[BatchID],TblOutcomes[[#This Row],[BatchID]])&lt;&gt;1,"n.a.",TblOutcomes[[#This Row],[Qty Wasted]]*SUMIFS(TblPurchases[Unit Cost (CLP)],TblPurchases[BatchID],TblOutcomes[[#This Row],[BatchID]]))</f>
        <v>0</v>
      </c>
      <c r="Q2438" s="51">
        <f>IF(COUNTIF(TblPurchases[BatchID],TblOutcomes[[#This Row],[BatchID]])&lt;&gt;1,"n.a.",SUMIFS(TblPurchases[Purchase Date],TblPurchases[BatchID],TblOutcomes[[#This Row],[BatchID]]))</f>
        <v>45203</v>
      </c>
    </row>
    <row r="2439" spans="2:17" x14ac:dyDescent="0.25">
      <c r="B2439" s="2" t="s">
        <v>3244</v>
      </c>
      <c r="C2439" s="2" t="s">
        <v>273</v>
      </c>
      <c r="D2439" s="2" t="s">
        <v>256</v>
      </c>
      <c r="E2439" s="2" t="s">
        <v>4646</v>
      </c>
      <c r="F2439" s="2">
        <v>8</v>
      </c>
      <c r="G2439" s="2">
        <v>7.7</v>
      </c>
      <c r="H2439" s="2">
        <v>0.3</v>
      </c>
      <c r="I2439" s="1">
        <v>3.8</v>
      </c>
      <c r="J2439" s="26">
        <v>45433</v>
      </c>
      <c r="K2439" s="22">
        <v>200200</v>
      </c>
      <c r="L2439" s="18">
        <v>214.12</v>
      </c>
      <c r="M2439" s="22">
        <v>161200</v>
      </c>
      <c r="N2439" s="22">
        <v>39000</v>
      </c>
      <c r="O2439" s="18">
        <v>41.71</v>
      </c>
      <c r="P2439" s="52">
        <f>IF(COUNTIF(TblPurchases[BatchID],TblOutcomes[[#This Row],[BatchID]])&lt;&gt;1,"n.a.",TblOutcomes[[#This Row],[Qty Wasted]]*SUMIFS(TblPurchases[Unit Cost (CLP)],TblPurchases[BatchID],TblOutcomes[[#This Row],[BatchID]]))</f>
        <v>6045</v>
      </c>
      <c r="Q2439" s="51">
        <f>IF(COUNTIF(TblPurchases[BatchID],TblOutcomes[[#This Row],[BatchID]])&lt;&gt;1,"n.a.",SUMIFS(TblPurchases[Purchase Date],TblPurchases[BatchID],TblOutcomes[[#This Row],[BatchID]]))</f>
        <v>45223</v>
      </c>
    </row>
    <row r="2440" spans="2:17" x14ac:dyDescent="0.25">
      <c r="B2440" s="2" t="s">
        <v>3245</v>
      </c>
      <c r="C2440" s="2" t="s">
        <v>273</v>
      </c>
      <c r="D2440" s="2" t="s">
        <v>256</v>
      </c>
      <c r="E2440" s="2" t="s">
        <v>4646</v>
      </c>
      <c r="F2440" s="2">
        <v>6</v>
      </c>
      <c r="G2440" s="2">
        <v>5.36</v>
      </c>
      <c r="H2440" s="2">
        <v>0.64</v>
      </c>
      <c r="I2440" s="1">
        <v>10.6</v>
      </c>
      <c r="J2440" s="26">
        <v>45446</v>
      </c>
      <c r="K2440" s="22">
        <v>139360</v>
      </c>
      <c r="L2440" s="18">
        <v>149.05000000000001</v>
      </c>
      <c r="M2440" s="22">
        <v>121500</v>
      </c>
      <c r="N2440" s="22">
        <v>17860</v>
      </c>
      <c r="O2440" s="18">
        <v>19.100000000000001</v>
      </c>
      <c r="P2440" s="52">
        <f>IF(COUNTIF(TblPurchases[BatchID],TblOutcomes[[#This Row],[BatchID]])&lt;&gt;1,"n.a.",TblOutcomes[[#This Row],[Qty Wasted]]*SUMIFS(TblPurchases[Unit Cost (CLP)],TblPurchases[BatchID],TblOutcomes[[#This Row],[BatchID]]))</f>
        <v>12960</v>
      </c>
      <c r="Q2440" s="51">
        <f>IF(COUNTIF(TblPurchases[BatchID],TblOutcomes[[#This Row],[BatchID]])&lt;&gt;1,"n.a.",SUMIFS(TblPurchases[Purchase Date],TblPurchases[BatchID],TblOutcomes[[#This Row],[BatchID]]))</f>
        <v>45236</v>
      </c>
    </row>
    <row r="2441" spans="2:17" x14ac:dyDescent="0.25">
      <c r="B2441" s="2" t="s">
        <v>3246</v>
      </c>
      <c r="C2441" s="2" t="s">
        <v>273</v>
      </c>
      <c r="D2441" s="2" t="s">
        <v>256</v>
      </c>
      <c r="E2441" s="2" t="s">
        <v>4646</v>
      </c>
      <c r="F2441" s="2">
        <v>7</v>
      </c>
      <c r="G2441" s="2">
        <v>6.33</v>
      </c>
      <c r="H2441" s="2">
        <v>0.67</v>
      </c>
      <c r="I2441" s="1">
        <v>9.5</v>
      </c>
      <c r="J2441" s="26">
        <v>45465</v>
      </c>
      <c r="K2441" s="22">
        <v>164580</v>
      </c>
      <c r="L2441" s="18">
        <v>176.02</v>
      </c>
      <c r="M2441" s="22">
        <v>141050</v>
      </c>
      <c r="N2441" s="22">
        <v>23530</v>
      </c>
      <c r="O2441" s="18">
        <v>25.17</v>
      </c>
      <c r="P2441" s="52">
        <f>IF(COUNTIF(TblPurchases[BatchID],TblOutcomes[[#This Row],[BatchID]])&lt;&gt;1,"n.a.",TblOutcomes[[#This Row],[Qty Wasted]]*SUMIFS(TblPurchases[Unit Cost (CLP)],TblPurchases[BatchID],TblOutcomes[[#This Row],[BatchID]]))</f>
        <v>13500.5</v>
      </c>
      <c r="Q2441" s="51">
        <f>IF(COUNTIF(TblPurchases[BatchID],TblOutcomes[[#This Row],[BatchID]])&lt;&gt;1,"n.a.",SUMIFS(TblPurchases[Purchase Date],TblPurchases[BatchID],TblOutcomes[[#This Row],[BatchID]]))</f>
        <v>45255</v>
      </c>
    </row>
    <row r="2442" spans="2:17" x14ac:dyDescent="0.25">
      <c r="B2442" s="2" t="s">
        <v>3247</v>
      </c>
      <c r="C2442" s="2" t="s">
        <v>273</v>
      </c>
      <c r="D2442" s="2" t="s">
        <v>256</v>
      </c>
      <c r="E2442" s="2" t="s">
        <v>4647</v>
      </c>
      <c r="F2442" s="2">
        <v>11</v>
      </c>
      <c r="G2442" s="2">
        <v>11</v>
      </c>
      <c r="H2442" s="2">
        <v>0</v>
      </c>
      <c r="I2442" s="1">
        <v>0</v>
      </c>
      <c r="J2442" s="26">
        <v>45302</v>
      </c>
      <c r="K2442" s="22">
        <v>286000</v>
      </c>
      <c r="L2442" s="18">
        <v>305.88</v>
      </c>
      <c r="M2442" s="22">
        <v>221650</v>
      </c>
      <c r="N2442" s="22">
        <v>64350</v>
      </c>
      <c r="O2442" s="18">
        <v>68.819999999999993</v>
      </c>
      <c r="P2442" s="52">
        <f>IF(COUNTIF(TblPurchases[BatchID],TblOutcomes[[#This Row],[BatchID]])&lt;&gt;1,"n.a.",TblOutcomes[[#This Row],[Qty Wasted]]*SUMIFS(TblPurchases[Unit Cost (CLP)],TblPurchases[BatchID],TblOutcomes[[#This Row],[BatchID]]))</f>
        <v>0</v>
      </c>
      <c r="Q2442" s="51">
        <f>IF(COUNTIF(TblPurchases[BatchID],TblOutcomes[[#This Row],[BatchID]])&lt;&gt;1,"n.a.",SUMIFS(TblPurchases[Purchase Date],TblPurchases[BatchID],TblOutcomes[[#This Row],[BatchID]]))</f>
        <v>45282</v>
      </c>
    </row>
    <row r="2443" spans="2:17" x14ac:dyDescent="0.25">
      <c r="B2443" s="2" t="s">
        <v>3248</v>
      </c>
      <c r="C2443" s="2" t="s">
        <v>273</v>
      </c>
      <c r="D2443" s="2" t="s">
        <v>256</v>
      </c>
      <c r="E2443" s="2" t="s">
        <v>4646</v>
      </c>
      <c r="F2443" s="2">
        <v>7</v>
      </c>
      <c r="G2443" s="2">
        <v>6.31</v>
      </c>
      <c r="H2443" s="2">
        <v>0.69</v>
      </c>
      <c r="I2443" s="1">
        <v>9.8000000000000007</v>
      </c>
      <c r="J2443" s="26">
        <v>45511</v>
      </c>
      <c r="K2443" s="22">
        <v>164060</v>
      </c>
      <c r="L2443" s="18">
        <v>175.47</v>
      </c>
      <c r="M2443" s="22">
        <v>141050</v>
      </c>
      <c r="N2443" s="22">
        <v>23010</v>
      </c>
      <c r="O2443" s="18">
        <v>24.61</v>
      </c>
      <c r="P2443" s="52">
        <f>IF(COUNTIF(TblPurchases[BatchID],TblOutcomes[[#This Row],[BatchID]])&lt;&gt;1,"n.a.",TblOutcomes[[#This Row],[Qty Wasted]]*SUMIFS(TblPurchases[Unit Cost (CLP)],TblPurchases[BatchID],TblOutcomes[[#This Row],[BatchID]]))</f>
        <v>13903.499999999998</v>
      </c>
      <c r="Q2443" s="51">
        <f>IF(COUNTIF(TblPurchases[BatchID],TblOutcomes[[#This Row],[BatchID]])&lt;&gt;1,"n.a.",SUMIFS(TblPurchases[Purchase Date],TblPurchases[BatchID],TblOutcomes[[#This Row],[BatchID]]))</f>
        <v>45301</v>
      </c>
    </row>
    <row r="2444" spans="2:17" x14ac:dyDescent="0.25">
      <c r="B2444" s="2" t="s">
        <v>3249</v>
      </c>
      <c r="C2444" s="2" t="s">
        <v>273</v>
      </c>
      <c r="D2444" s="2" t="s">
        <v>256</v>
      </c>
      <c r="E2444" s="2" t="s">
        <v>4646</v>
      </c>
      <c r="F2444" s="2">
        <v>7</v>
      </c>
      <c r="G2444" s="2">
        <v>6.61</v>
      </c>
      <c r="H2444" s="2">
        <v>0.39</v>
      </c>
      <c r="I2444" s="1">
        <v>5.6</v>
      </c>
      <c r="J2444" s="26">
        <v>45534</v>
      </c>
      <c r="K2444" s="22">
        <v>171860</v>
      </c>
      <c r="L2444" s="18">
        <v>183.81</v>
      </c>
      <c r="M2444" s="22">
        <v>141050</v>
      </c>
      <c r="N2444" s="22">
        <v>30810</v>
      </c>
      <c r="O2444" s="18">
        <v>32.950000000000003</v>
      </c>
      <c r="P2444" s="52">
        <f>IF(COUNTIF(TblPurchases[BatchID],TblOutcomes[[#This Row],[BatchID]])&lt;&gt;1,"n.a.",TblOutcomes[[#This Row],[Qty Wasted]]*SUMIFS(TblPurchases[Unit Cost (CLP)],TblPurchases[BatchID],TblOutcomes[[#This Row],[BatchID]]))</f>
        <v>7858.5</v>
      </c>
      <c r="Q2444" s="51">
        <f>IF(COUNTIF(TblPurchases[BatchID],TblOutcomes[[#This Row],[BatchID]])&lt;&gt;1,"n.a.",SUMIFS(TblPurchases[Purchase Date],TblPurchases[BatchID],TblOutcomes[[#This Row],[BatchID]]))</f>
        <v>45324</v>
      </c>
    </row>
    <row r="2445" spans="2:17" x14ac:dyDescent="0.25">
      <c r="B2445" s="2" t="s">
        <v>3250</v>
      </c>
      <c r="C2445" s="2" t="s">
        <v>273</v>
      </c>
      <c r="D2445" s="2" t="s">
        <v>256</v>
      </c>
      <c r="E2445" s="2" t="s">
        <v>4646</v>
      </c>
      <c r="F2445" s="2">
        <v>7</v>
      </c>
      <c r="G2445" s="2">
        <v>6.31</v>
      </c>
      <c r="H2445" s="2">
        <v>0.69</v>
      </c>
      <c r="I2445" s="1">
        <v>9.8000000000000007</v>
      </c>
      <c r="J2445" s="26">
        <v>45558</v>
      </c>
      <c r="K2445" s="22">
        <v>164060</v>
      </c>
      <c r="L2445" s="18">
        <v>175.47</v>
      </c>
      <c r="M2445" s="22">
        <v>141050</v>
      </c>
      <c r="N2445" s="22">
        <v>23010</v>
      </c>
      <c r="O2445" s="18">
        <v>24.61</v>
      </c>
      <c r="P2445" s="52">
        <f>IF(COUNTIF(TblPurchases[BatchID],TblOutcomes[[#This Row],[BatchID]])&lt;&gt;1,"n.a.",TblOutcomes[[#This Row],[Qty Wasted]]*SUMIFS(TblPurchases[Unit Cost (CLP)],TblPurchases[BatchID],TblOutcomes[[#This Row],[BatchID]]))</f>
        <v>13903.499999999998</v>
      </c>
      <c r="Q2445" s="51">
        <f>IF(COUNTIF(TblPurchases[BatchID],TblOutcomes[[#This Row],[BatchID]])&lt;&gt;1,"n.a.",SUMIFS(TblPurchases[Purchase Date],TblPurchases[BatchID],TblOutcomes[[#This Row],[BatchID]]))</f>
        <v>45348</v>
      </c>
    </row>
    <row r="2446" spans="2:17" x14ac:dyDescent="0.25">
      <c r="B2446" s="2" t="s">
        <v>3251</v>
      </c>
      <c r="C2446" s="2" t="s">
        <v>273</v>
      </c>
      <c r="D2446" s="2" t="s">
        <v>256</v>
      </c>
      <c r="E2446" s="2" t="s">
        <v>4647</v>
      </c>
      <c r="F2446" s="2">
        <v>6</v>
      </c>
      <c r="G2446" s="2">
        <v>6</v>
      </c>
      <c r="H2446" s="2">
        <v>0</v>
      </c>
      <c r="I2446" s="1">
        <v>0</v>
      </c>
      <c r="J2446" s="26">
        <v>45386</v>
      </c>
      <c r="K2446" s="22">
        <v>156000</v>
      </c>
      <c r="L2446" s="18">
        <v>166.84</v>
      </c>
      <c r="M2446" s="22">
        <v>120900</v>
      </c>
      <c r="N2446" s="22">
        <v>35100</v>
      </c>
      <c r="O2446" s="18">
        <v>37.54</v>
      </c>
      <c r="P2446" s="52">
        <f>IF(COUNTIF(TblPurchases[BatchID],TblOutcomes[[#This Row],[BatchID]])&lt;&gt;1,"n.a.",TblOutcomes[[#This Row],[Qty Wasted]]*SUMIFS(TblPurchases[Unit Cost (CLP)],TblPurchases[BatchID],TblOutcomes[[#This Row],[BatchID]]))</f>
        <v>0</v>
      </c>
      <c r="Q2446" s="51">
        <f>IF(COUNTIF(TblPurchases[BatchID],TblOutcomes[[#This Row],[BatchID]])&lt;&gt;1,"n.a.",SUMIFS(TblPurchases[Purchase Date],TblPurchases[BatchID],TblOutcomes[[#This Row],[BatchID]]))</f>
        <v>45368</v>
      </c>
    </row>
    <row r="2447" spans="2:17" x14ac:dyDescent="0.25">
      <c r="B2447" s="2" t="s">
        <v>3252</v>
      </c>
      <c r="C2447" s="2" t="s">
        <v>273</v>
      </c>
      <c r="D2447" s="2" t="s">
        <v>256</v>
      </c>
      <c r="E2447" s="2" t="s">
        <v>4647</v>
      </c>
      <c r="F2447" s="2">
        <v>19</v>
      </c>
      <c r="G2447" s="2">
        <v>19</v>
      </c>
      <c r="H2447" s="2">
        <v>0</v>
      </c>
      <c r="I2447" s="1">
        <v>0</v>
      </c>
      <c r="J2447" s="26">
        <v>45409</v>
      </c>
      <c r="K2447" s="22">
        <v>494000</v>
      </c>
      <c r="L2447" s="18">
        <v>528.34</v>
      </c>
      <c r="M2447" s="22">
        <v>382850</v>
      </c>
      <c r="N2447" s="22">
        <v>111150</v>
      </c>
      <c r="O2447" s="18">
        <v>118.88</v>
      </c>
      <c r="P2447" s="52">
        <f>IF(COUNTIF(TblPurchases[BatchID],TblOutcomes[[#This Row],[BatchID]])&lt;&gt;1,"n.a.",TblOutcomes[[#This Row],[Qty Wasted]]*SUMIFS(TblPurchases[Unit Cost (CLP)],TblPurchases[BatchID],TblOutcomes[[#This Row],[BatchID]]))</f>
        <v>0</v>
      </c>
      <c r="Q2447" s="51">
        <f>IF(COUNTIF(TblPurchases[BatchID],TblOutcomes[[#This Row],[BatchID]])&lt;&gt;1,"n.a.",SUMIFS(TblPurchases[Purchase Date],TblPurchases[BatchID],TblOutcomes[[#This Row],[BatchID]]))</f>
        <v>45384</v>
      </c>
    </row>
    <row r="2448" spans="2:17" x14ac:dyDescent="0.25">
      <c r="B2448" s="2" t="s">
        <v>3253</v>
      </c>
      <c r="C2448" s="2" t="s">
        <v>273</v>
      </c>
      <c r="D2448" s="2" t="s">
        <v>256</v>
      </c>
      <c r="E2448" s="2" t="s">
        <v>4646</v>
      </c>
      <c r="F2448" s="2">
        <v>18</v>
      </c>
      <c r="G2448" s="2">
        <v>16.899999999999999</v>
      </c>
      <c r="H2448" s="2">
        <v>1.1000000000000001</v>
      </c>
      <c r="I2448" s="1">
        <v>6.1</v>
      </c>
      <c r="J2448" s="26">
        <v>45615</v>
      </c>
      <c r="K2448" s="22">
        <v>439400</v>
      </c>
      <c r="L2448" s="18">
        <v>469.95</v>
      </c>
      <c r="M2448" s="22">
        <v>362700</v>
      </c>
      <c r="N2448" s="22">
        <v>76700</v>
      </c>
      <c r="O2448" s="18">
        <v>82.03</v>
      </c>
      <c r="P2448" s="52">
        <f>IF(COUNTIF(TblPurchases[BatchID],TblOutcomes[[#This Row],[BatchID]])&lt;&gt;1,"n.a.",TblOutcomes[[#This Row],[Qty Wasted]]*SUMIFS(TblPurchases[Unit Cost (CLP)],TblPurchases[BatchID],TblOutcomes[[#This Row],[BatchID]]))</f>
        <v>22165</v>
      </c>
      <c r="Q2448" s="51">
        <f>IF(COUNTIF(TblPurchases[BatchID],TblOutcomes[[#This Row],[BatchID]])&lt;&gt;1,"n.a.",SUMIFS(TblPurchases[Purchase Date],TblPurchases[BatchID],TblOutcomes[[#This Row],[BatchID]]))</f>
        <v>45405</v>
      </c>
    </row>
    <row r="2449" spans="2:17" x14ac:dyDescent="0.25">
      <c r="B2449" s="2" t="s">
        <v>3254</v>
      </c>
      <c r="C2449" s="2" t="s">
        <v>273</v>
      </c>
      <c r="D2449" s="2" t="s">
        <v>256</v>
      </c>
      <c r="E2449" s="2" t="s">
        <v>4647</v>
      </c>
      <c r="F2449" s="2">
        <v>20</v>
      </c>
      <c r="G2449" s="2">
        <v>20</v>
      </c>
      <c r="H2449" s="2">
        <v>0</v>
      </c>
      <c r="I2449" s="1">
        <v>0</v>
      </c>
      <c r="J2449" s="26">
        <v>45456</v>
      </c>
      <c r="K2449" s="22">
        <v>520000</v>
      </c>
      <c r="L2449" s="18">
        <v>556.15</v>
      </c>
      <c r="M2449" s="22">
        <v>403000</v>
      </c>
      <c r="N2449" s="22">
        <v>117000</v>
      </c>
      <c r="O2449" s="18">
        <v>125.13</v>
      </c>
      <c r="P2449" s="52">
        <f>IF(COUNTIF(TblPurchases[BatchID],TblOutcomes[[#This Row],[BatchID]])&lt;&gt;1,"n.a.",TblOutcomes[[#This Row],[Qty Wasted]]*SUMIFS(TblPurchases[Unit Cost (CLP)],TblPurchases[BatchID],TblOutcomes[[#This Row],[BatchID]]))</f>
        <v>0</v>
      </c>
      <c r="Q2449" s="51">
        <f>IF(COUNTIF(TblPurchases[BatchID],TblOutcomes[[#This Row],[BatchID]])&lt;&gt;1,"n.a.",SUMIFS(TblPurchases[Purchase Date],TblPurchases[BatchID],TblOutcomes[[#This Row],[BatchID]]))</f>
        <v>45429</v>
      </c>
    </row>
    <row r="2450" spans="2:17" x14ac:dyDescent="0.25">
      <c r="B2450" s="2" t="s">
        <v>3255</v>
      </c>
      <c r="C2450" s="2" t="s">
        <v>273</v>
      </c>
      <c r="D2450" s="2" t="s">
        <v>256</v>
      </c>
      <c r="E2450" s="2" t="s">
        <v>4647</v>
      </c>
      <c r="F2450" s="2">
        <v>20</v>
      </c>
      <c r="G2450" s="2">
        <v>20</v>
      </c>
      <c r="H2450" s="2">
        <v>0</v>
      </c>
      <c r="I2450" s="1">
        <v>0</v>
      </c>
      <c r="J2450" s="26">
        <v>45459</v>
      </c>
      <c r="K2450" s="22">
        <v>520000</v>
      </c>
      <c r="L2450" s="18">
        <v>556.15</v>
      </c>
      <c r="M2450" s="22">
        <v>403000</v>
      </c>
      <c r="N2450" s="22">
        <v>117000</v>
      </c>
      <c r="O2450" s="18">
        <v>125.13</v>
      </c>
      <c r="P2450" s="52">
        <f>IF(COUNTIF(TblPurchases[BatchID],TblOutcomes[[#This Row],[BatchID]])&lt;&gt;1,"n.a.",TblOutcomes[[#This Row],[Qty Wasted]]*SUMIFS(TblPurchases[Unit Cost (CLP)],TblPurchases[BatchID],TblOutcomes[[#This Row],[BatchID]]))</f>
        <v>0</v>
      </c>
      <c r="Q2450" s="51">
        <f>IF(COUNTIF(TblPurchases[BatchID],TblOutcomes[[#This Row],[BatchID]])&lt;&gt;1,"n.a.",SUMIFS(TblPurchases[Purchase Date],TblPurchases[BatchID],TblOutcomes[[#This Row],[BatchID]]))</f>
        <v>45447</v>
      </c>
    </row>
    <row r="2451" spans="2:17" x14ac:dyDescent="0.25">
      <c r="B2451" s="2" t="s">
        <v>3256</v>
      </c>
      <c r="C2451" s="2" t="s">
        <v>273</v>
      </c>
      <c r="D2451" s="2" t="s">
        <v>256</v>
      </c>
      <c r="E2451" s="2" t="s">
        <v>4647</v>
      </c>
      <c r="F2451" s="2">
        <v>19</v>
      </c>
      <c r="G2451" s="2">
        <v>19</v>
      </c>
      <c r="H2451" s="2">
        <v>0</v>
      </c>
      <c r="I2451" s="1">
        <v>0</v>
      </c>
      <c r="J2451" s="26">
        <v>45490</v>
      </c>
      <c r="K2451" s="22">
        <v>494000</v>
      </c>
      <c r="L2451" s="18">
        <v>528.34</v>
      </c>
      <c r="M2451" s="22">
        <v>382850</v>
      </c>
      <c r="N2451" s="22">
        <v>111150</v>
      </c>
      <c r="O2451" s="18">
        <v>118.88</v>
      </c>
      <c r="P2451" s="52">
        <f>IF(COUNTIF(TblPurchases[BatchID],TblOutcomes[[#This Row],[BatchID]])&lt;&gt;1,"n.a.",TblOutcomes[[#This Row],[Qty Wasted]]*SUMIFS(TblPurchases[Unit Cost (CLP)],TblPurchases[BatchID],TblOutcomes[[#This Row],[BatchID]]))</f>
        <v>0</v>
      </c>
      <c r="Q2451" s="51">
        <f>IF(COUNTIF(TblPurchases[BatchID],TblOutcomes[[#This Row],[BatchID]])&lt;&gt;1,"n.a.",SUMIFS(TblPurchases[Purchase Date],TblPurchases[BatchID],TblOutcomes[[#This Row],[BatchID]]))</f>
        <v>45469</v>
      </c>
    </row>
    <row r="2452" spans="2:17" x14ac:dyDescent="0.25">
      <c r="B2452" s="2" t="s">
        <v>3257</v>
      </c>
      <c r="C2452" s="2" t="s">
        <v>273</v>
      </c>
      <c r="D2452" s="2" t="s">
        <v>256</v>
      </c>
      <c r="E2452" s="2" t="s">
        <v>4646</v>
      </c>
      <c r="F2452" s="2">
        <v>21</v>
      </c>
      <c r="G2452" s="2">
        <v>19.38</v>
      </c>
      <c r="H2452" s="2">
        <v>1.62</v>
      </c>
      <c r="I2452" s="1">
        <v>7.7</v>
      </c>
      <c r="J2452" s="26">
        <v>45702</v>
      </c>
      <c r="K2452" s="22">
        <v>503880</v>
      </c>
      <c r="L2452" s="18">
        <v>538.91</v>
      </c>
      <c r="M2452" s="22">
        <v>425250</v>
      </c>
      <c r="N2452" s="22">
        <v>78630</v>
      </c>
      <c r="O2452" s="18">
        <v>84.1</v>
      </c>
      <c r="P2452" s="52">
        <f>IF(COUNTIF(TblPurchases[BatchID],TblOutcomes[[#This Row],[BatchID]])&lt;&gt;1,"n.a.",TblOutcomes[[#This Row],[Qty Wasted]]*SUMIFS(TblPurchases[Unit Cost (CLP)],TblPurchases[BatchID],TblOutcomes[[#This Row],[BatchID]]))</f>
        <v>32805</v>
      </c>
      <c r="Q2452" s="51">
        <f>IF(COUNTIF(TblPurchases[BatchID],TblOutcomes[[#This Row],[BatchID]])&lt;&gt;1,"n.a.",SUMIFS(TblPurchases[Purchase Date],TblPurchases[BatchID],TblOutcomes[[#This Row],[BatchID]]))</f>
        <v>45492</v>
      </c>
    </row>
    <row r="2453" spans="2:17" x14ac:dyDescent="0.25">
      <c r="B2453" s="2" t="s">
        <v>3258</v>
      </c>
      <c r="C2453" s="2" t="s">
        <v>273</v>
      </c>
      <c r="D2453" s="2" t="s">
        <v>256</v>
      </c>
      <c r="E2453" s="2" t="s">
        <v>4647</v>
      </c>
      <c r="F2453" s="2">
        <v>19</v>
      </c>
      <c r="G2453" s="2">
        <v>19</v>
      </c>
      <c r="H2453" s="2">
        <v>0</v>
      </c>
      <c r="I2453" s="1">
        <v>0</v>
      </c>
      <c r="J2453" s="26">
        <v>45526</v>
      </c>
      <c r="K2453" s="22">
        <v>494000</v>
      </c>
      <c r="L2453" s="18">
        <v>528.34</v>
      </c>
      <c r="M2453" s="22">
        <v>382850</v>
      </c>
      <c r="N2453" s="22">
        <v>111150</v>
      </c>
      <c r="O2453" s="18">
        <v>118.88</v>
      </c>
      <c r="P2453" s="52">
        <f>IF(COUNTIF(TblPurchases[BatchID],TblOutcomes[[#This Row],[BatchID]])&lt;&gt;1,"n.a.",TblOutcomes[[#This Row],[Qty Wasted]]*SUMIFS(TblPurchases[Unit Cost (CLP)],TblPurchases[BatchID],TblOutcomes[[#This Row],[BatchID]]))</f>
        <v>0</v>
      </c>
      <c r="Q2453" s="51">
        <f>IF(COUNTIF(TblPurchases[BatchID],TblOutcomes[[#This Row],[BatchID]])&lt;&gt;1,"n.a.",SUMIFS(TblPurchases[Purchase Date],TblPurchases[BatchID],TblOutcomes[[#This Row],[BatchID]]))</f>
        <v>45511</v>
      </c>
    </row>
    <row r="2454" spans="2:17" x14ac:dyDescent="0.25">
      <c r="B2454" s="2" t="s">
        <v>3259</v>
      </c>
      <c r="C2454" s="2" t="s">
        <v>273</v>
      </c>
      <c r="D2454" s="2" t="s">
        <v>256</v>
      </c>
      <c r="E2454" s="2" t="s">
        <v>4647</v>
      </c>
      <c r="F2454" s="2">
        <v>19</v>
      </c>
      <c r="G2454" s="2">
        <v>19</v>
      </c>
      <c r="H2454" s="2">
        <v>0</v>
      </c>
      <c r="I2454" s="1">
        <v>0</v>
      </c>
      <c r="J2454" s="26">
        <v>45545</v>
      </c>
      <c r="K2454" s="22">
        <v>494000</v>
      </c>
      <c r="L2454" s="18">
        <v>528.34</v>
      </c>
      <c r="M2454" s="22">
        <v>382850</v>
      </c>
      <c r="N2454" s="22">
        <v>111150</v>
      </c>
      <c r="O2454" s="18">
        <v>118.88</v>
      </c>
      <c r="P2454" s="52">
        <f>IF(COUNTIF(TblPurchases[BatchID],TblOutcomes[[#This Row],[BatchID]])&lt;&gt;1,"n.a.",TblOutcomes[[#This Row],[Qty Wasted]]*SUMIFS(TblPurchases[Unit Cost (CLP)],TblPurchases[BatchID],TblOutcomes[[#This Row],[BatchID]]))</f>
        <v>0</v>
      </c>
      <c r="Q2454" s="51">
        <f>IF(COUNTIF(TblPurchases[BatchID],TblOutcomes[[#This Row],[BatchID]])&lt;&gt;1,"n.a.",SUMIFS(TblPurchases[Purchase Date],TblPurchases[BatchID],TblOutcomes[[#This Row],[BatchID]]))</f>
        <v>45532</v>
      </c>
    </row>
    <row r="2455" spans="2:17" x14ac:dyDescent="0.25">
      <c r="B2455" s="2" t="s">
        <v>3260</v>
      </c>
      <c r="C2455" s="2" t="s">
        <v>273</v>
      </c>
      <c r="D2455" s="2" t="s">
        <v>256</v>
      </c>
      <c r="E2455" s="2" t="s">
        <v>4647</v>
      </c>
      <c r="F2455" s="2">
        <v>27</v>
      </c>
      <c r="G2455" s="2">
        <v>27</v>
      </c>
      <c r="H2455" s="2">
        <v>0</v>
      </c>
      <c r="I2455" s="1">
        <v>0</v>
      </c>
      <c r="J2455" s="26">
        <v>45568</v>
      </c>
      <c r="K2455" s="22">
        <v>702000</v>
      </c>
      <c r="L2455" s="18">
        <v>750.8</v>
      </c>
      <c r="M2455" s="22">
        <v>544050</v>
      </c>
      <c r="N2455" s="22">
        <v>157950</v>
      </c>
      <c r="O2455" s="18">
        <v>168.93</v>
      </c>
      <c r="P2455" s="52">
        <f>IF(COUNTIF(TblPurchases[BatchID],TblOutcomes[[#This Row],[BatchID]])&lt;&gt;1,"n.a.",TblOutcomes[[#This Row],[Qty Wasted]]*SUMIFS(TblPurchases[Unit Cost (CLP)],TblPurchases[BatchID],TblOutcomes[[#This Row],[BatchID]]))</f>
        <v>0</v>
      </c>
      <c r="Q2455" s="51">
        <f>IF(COUNTIF(TblPurchases[BatchID],TblOutcomes[[#This Row],[BatchID]])&lt;&gt;1,"n.a.",SUMIFS(TblPurchases[Purchase Date],TblPurchases[BatchID],TblOutcomes[[#This Row],[BatchID]]))</f>
        <v>45548</v>
      </c>
    </row>
    <row r="2456" spans="2:17" x14ac:dyDescent="0.25">
      <c r="B2456" s="2" t="s">
        <v>3261</v>
      </c>
      <c r="C2456" s="2" t="s">
        <v>273</v>
      </c>
      <c r="D2456" s="2" t="s">
        <v>256</v>
      </c>
      <c r="E2456" s="2" t="s">
        <v>4646</v>
      </c>
      <c r="F2456" s="2">
        <v>6</v>
      </c>
      <c r="G2456" s="2">
        <v>5.71</v>
      </c>
      <c r="H2456" s="2">
        <v>0.28999999999999998</v>
      </c>
      <c r="I2456" s="1">
        <v>4.9000000000000004</v>
      </c>
      <c r="J2456" s="26">
        <v>45781</v>
      </c>
      <c r="K2456" s="22">
        <v>148460</v>
      </c>
      <c r="L2456" s="18">
        <v>158.78</v>
      </c>
      <c r="M2456" s="22">
        <v>120900</v>
      </c>
      <c r="N2456" s="22">
        <v>27560</v>
      </c>
      <c r="O2456" s="18">
        <v>29.48</v>
      </c>
      <c r="P2456" s="52">
        <f>IF(COUNTIF(TblPurchases[BatchID],TblOutcomes[[#This Row],[BatchID]])&lt;&gt;1,"n.a.",TblOutcomes[[#This Row],[Qty Wasted]]*SUMIFS(TblPurchases[Unit Cost (CLP)],TblPurchases[BatchID],TblOutcomes[[#This Row],[BatchID]]))</f>
        <v>5843.5</v>
      </c>
      <c r="Q2456" s="51">
        <f>IF(COUNTIF(TblPurchases[BatchID],TblOutcomes[[#This Row],[BatchID]])&lt;&gt;1,"n.a.",SUMIFS(TblPurchases[Purchase Date],TblPurchases[BatchID],TblOutcomes[[#This Row],[BatchID]]))</f>
        <v>45571</v>
      </c>
    </row>
    <row r="2457" spans="2:17" x14ac:dyDescent="0.25">
      <c r="B2457" s="2" t="s">
        <v>3262</v>
      </c>
      <c r="C2457" s="2" t="s">
        <v>273</v>
      </c>
      <c r="D2457" s="2" t="s">
        <v>256</v>
      </c>
      <c r="E2457" s="2" t="s">
        <v>4647</v>
      </c>
      <c r="F2457" s="2">
        <v>7</v>
      </c>
      <c r="G2457" s="2">
        <v>7</v>
      </c>
      <c r="H2457" s="2">
        <v>0</v>
      </c>
      <c r="I2457" s="1">
        <v>0</v>
      </c>
      <c r="J2457" s="26">
        <v>45610</v>
      </c>
      <c r="K2457" s="22">
        <v>182000</v>
      </c>
      <c r="L2457" s="18">
        <v>194.65</v>
      </c>
      <c r="M2457" s="22">
        <v>141050</v>
      </c>
      <c r="N2457" s="22">
        <v>40950</v>
      </c>
      <c r="O2457" s="18">
        <v>43.8</v>
      </c>
      <c r="P2457" s="52">
        <f>IF(COUNTIF(TblPurchases[BatchID],TblOutcomes[[#This Row],[BatchID]])&lt;&gt;1,"n.a.",TblOutcomes[[#This Row],[Qty Wasted]]*SUMIFS(TblPurchases[Unit Cost (CLP)],TblPurchases[BatchID],TblOutcomes[[#This Row],[BatchID]]))</f>
        <v>0</v>
      </c>
      <c r="Q2457" s="51">
        <f>IF(COUNTIF(TblPurchases[BatchID],TblOutcomes[[#This Row],[BatchID]])&lt;&gt;1,"n.a.",SUMIFS(TblPurchases[Purchase Date],TblPurchases[BatchID],TblOutcomes[[#This Row],[BatchID]]))</f>
        <v>45591</v>
      </c>
    </row>
    <row r="2458" spans="2:17" x14ac:dyDescent="0.25">
      <c r="B2458" s="2" t="s">
        <v>3263</v>
      </c>
      <c r="C2458" s="2" t="s">
        <v>273</v>
      </c>
      <c r="D2458" s="2" t="s">
        <v>256</v>
      </c>
      <c r="E2458" s="2" t="s">
        <v>4647</v>
      </c>
      <c r="F2458" s="2">
        <v>8</v>
      </c>
      <c r="G2458" s="2">
        <v>8</v>
      </c>
      <c r="H2458" s="2">
        <v>0</v>
      </c>
      <c r="I2458" s="1">
        <v>0</v>
      </c>
      <c r="J2458" s="26">
        <v>45638</v>
      </c>
      <c r="K2458" s="22">
        <v>208000</v>
      </c>
      <c r="L2458" s="18">
        <v>222.46</v>
      </c>
      <c r="M2458" s="22">
        <v>161200</v>
      </c>
      <c r="N2458" s="22">
        <v>46800</v>
      </c>
      <c r="O2458" s="18">
        <v>50.05</v>
      </c>
      <c r="P2458" s="52">
        <f>IF(COUNTIF(TblPurchases[BatchID],TblOutcomes[[#This Row],[BatchID]])&lt;&gt;1,"n.a.",TblOutcomes[[#This Row],[Qty Wasted]]*SUMIFS(TblPurchases[Unit Cost (CLP)],TblPurchases[BatchID],TblOutcomes[[#This Row],[BatchID]]))</f>
        <v>0</v>
      </c>
      <c r="Q2458" s="51">
        <f>IF(COUNTIF(TblPurchases[BatchID],TblOutcomes[[#This Row],[BatchID]])&lt;&gt;1,"n.a.",SUMIFS(TblPurchases[Purchase Date],TblPurchases[BatchID],TblOutcomes[[#This Row],[BatchID]]))</f>
        <v>45613</v>
      </c>
    </row>
    <row r="2459" spans="2:17" x14ac:dyDescent="0.25">
      <c r="B2459" s="2" t="s">
        <v>3264</v>
      </c>
      <c r="C2459" s="2" t="s">
        <v>273</v>
      </c>
      <c r="D2459" s="2" t="s">
        <v>256</v>
      </c>
      <c r="E2459" s="2" t="s">
        <v>4647</v>
      </c>
      <c r="F2459" s="2">
        <v>9</v>
      </c>
      <c r="G2459" s="2">
        <v>9</v>
      </c>
      <c r="H2459" s="2">
        <v>0</v>
      </c>
      <c r="I2459" s="1">
        <v>0</v>
      </c>
      <c r="J2459" s="26">
        <v>45645</v>
      </c>
      <c r="K2459" s="22">
        <v>234000</v>
      </c>
      <c r="L2459" s="18">
        <v>250.27</v>
      </c>
      <c r="M2459" s="22">
        <v>181350</v>
      </c>
      <c r="N2459" s="22">
        <v>52650</v>
      </c>
      <c r="O2459" s="18">
        <v>56.31</v>
      </c>
      <c r="P2459" s="52">
        <f>IF(COUNTIF(TblPurchases[BatchID],TblOutcomes[[#This Row],[BatchID]])&lt;&gt;1,"n.a.",TblOutcomes[[#This Row],[Qty Wasted]]*SUMIFS(TblPurchases[Unit Cost (CLP)],TblPurchases[BatchID],TblOutcomes[[#This Row],[BatchID]]))</f>
        <v>0</v>
      </c>
      <c r="Q2459" s="51">
        <f>IF(COUNTIF(TblPurchases[BatchID],TblOutcomes[[#This Row],[BatchID]])&lt;&gt;1,"n.a.",SUMIFS(TblPurchases[Purchase Date],TblPurchases[BatchID],TblOutcomes[[#This Row],[BatchID]]))</f>
        <v>45633</v>
      </c>
    </row>
    <row r="2460" spans="2:17" x14ac:dyDescent="0.25">
      <c r="B2460" s="2" t="s">
        <v>3265</v>
      </c>
      <c r="C2460" s="2" t="s">
        <v>273</v>
      </c>
      <c r="D2460" s="2" t="s">
        <v>256</v>
      </c>
      <c r="E2460" s="2" t="s">
        <v>4647</v>
      </c>
      <c r="F2460" s="2">
        <v>9</v>
      </c>
      <c r="G2460" s="2">
        <v>9</v>
      </c>
      <c r="H2460" s="2">
        <v>0</v>
      </c>
      <c r="I2460" s="1">
        <v>0</v>
      </c>
      <c r="J2460" s="26">
        <v>45865</v>
      </c>
      <c r="K2460" s="22">
        <v>234000</v>
      </c>
      <c r="L2460" s="18">
        <v>250.27</v>
      </c>
      <c r="M2460" s="22">
        <v>182250</v>
      </c>
      <c r="N2460" s="22">
        <v>51750</v>
      </c>
      <c r="O2460" s="18">
        <v>55.35</v>
      </c>
      <c r="P2460" s="52">
        <f>IF(COUNTIF(TblPurchases[BatchID],TblOutcomes[[#This Row],[BatchID]])&lt;&gt;1,"n.a.",TblOutcomes[[#This Row],[Qty Wasted]]*SUMIFS(TblPurchases[Unit Cost (CLP)],TblPurchases[BatchID],TblOutcomes[[#This Row],[BatchID]]))</f>
        <v>0</v>
      </c>
      <c r="Q2460" s="51">
        <f>IF(COUNTIF(TblPurchases[BatchID],TblOutcomes[[#This Row],[BatchID]])&lt;&gt;1,"n.a.",SUMIFS(TblPurchases[Purchase Date],TblPurchases[BatchID],TblOutcomes[[#This Row],[BatchID]]))</f>
        <v>45655</v>
      </c>
    </row>
    <row r="2461" spans="2:17" x14ac:dyDescent="0.25">
      <c r="B2461" s="2" t="s">
        <v>3266</v>
      </c>
      <c r="C2461" s="2" t="s">
        <v>273</v>
      </c>
      <c r="D2461" s="2" t="s">
        <v>256</v>
      </c>
      <c r="E2461" s="2" t="s">
        <v>4646</v>
      </c>
      <c r="F2461" s="2">
        <v>9</v>
      </c>
      <c r="G2461" s="2">
        <v>8.23</v>
      </c>
      <c r="H2461" s="2">
        <v>0.77</v>
      </c>
      <c r="I2461" s="1">
        <v>8.5</v>
      </c>
      <c r="J2461" s="26">
        <v>45882</v>
      </c>
      <c r="K2461" s="22">
        <v>213980</v>
      </c>
      <c r="L2461" s="18">
        <v>228.86</v>
      </c>
      <c r="M2461" s="22">
        <v>181350</v>
      </c>
      <c r="N2461" s="22">
        <v>32630</v>
      </c>
      <c r="O2461" s="18">
        <v>34.9</v>
      </c>
      <c r="P2461" s="52">
        <f>IF(COUNTIF(TblPurchases[BatchID],TblOutcomes[[#This Row],[BatchID]])&lt;&gt;1,"n.a.",TblOutcomes[[#This Row],[Qty Wasted]]*SUMIFS(TblPurchases[Unit Cost (CLP)],TblPurchases[BatchID],TblOutcomes[[#This Row],[BatchID]]))</f>
        <v>15515.5</v>
      </c>
      <c r="Q2461" s="51">
        <f>IF(COUNTIF(TblPurchases[BatchID],TblOutcomes[[#This Row],[BatchID]])&lt;&gt;1,"n.a.",SUMIFS(TblPurchases[Purchase Date],TblPurchases[BatchID],TblOutcomes[[#This Row],[BatchID]]))</f>
        <v>45672</v>
      </c>
    </row>
    <row r="2462" spans="2:17" x14ac:dyDescent="0.25">
      <c r="B2462" s="2" t="s">
        <v>3267</v>
      </c>
      <c r="C2462" s="2" t="s">
        <v>273</v>
      </c>
      <c r="D2462" s="2" t="s">
        <v>256</v>
      </c>
      <c r="E2462" s="2" t="s">
        <v>4646</v>
      </c>
      <c r="F2462" s="2">
        <v>7</v>
      </c>
      <c r="G2462" s="2">
        <v>6.17</v>
      </c>
      <c r="H2462" s="2">
        <v>0.83</v>
      </c>
      <c r="I2462" s="1">
        <v>11.8</v>
      </c>
      <c r="J2462" s="26">
        <v>45902</v>
      </c>
      <c r="K2462" s="22">
        <v>160420</v>
      </c>
      <c r="L2462" s="18">
        <v>171.57</v>
      </c>
      <c r="M2462" s="22">
        <v>141050</v>
      </c>
      <c r="N2462" s="22">
        <v>19370</v>
      </c>
      <c r="O2462" s="18">
        <v>20.72</v>
      </c>
      <c r="P2462" s="52">
        <f>IF(COUNTIF(TblPurchases[BatchID],TblOutcomes[[#This Row],[BatchID]])&lt;&gt;1,"n.a.",TblOutcomes[[#This Row],[Qty Wasted]]*SUMIFS(TblPurchases[Unit Cost (CLP)],TblPurchases[BatchID],TblOutcomes[[#This Row],[BatchID]]))</f>
        <v>16724.5</v>
      </c>
      <c r="Q2462" s="51">
        <f>IF(COUNTIF(TblPurchases[BatchID],TblOutcomes[[#This Row],[BatchID]])&lt;&gt;1,"n.a.",SUMIFS(TblPurchases[Purchase Date],TblPurchases[BatchID],TblOutcomes[[#This Row],[BatchID]]))</f>
        <v>45692</v>
      </c>
    </row>
    <row r="2463" spans="2:17" x14ac:dyDescent="0.25">
      <c r="B2463" s="2" t="s">
        <v>3268</v>
      </c>
      <c r="C2463" s="2" t="s">
        <v>273</v>
      </c>
      <c r="D2463" s="2" t="s">
        <v>256</v>
      </c>
      <c r="E2463" s="2" t="s">
        <v>4646</v>
      </c>
      <c r="F2463" s="2">
        <v>8</v>
      </c>
      <c r="G2463" s="2">
        <v>7.4</v>
      </c>
      <c r="H2463" s="2">
        <v>0.6</v>
      </c>
      <c r="I2463" s="1">
        <v>7.5</v>
      </c>
      <c r="J2463" s="26">
        <v>45924</v>
      </c>
      <c r="K2463" s="22">
        <v>192400</v>
      </c>
      <c r="L2463" s="18">
        <v>205.78</v>
      </c>
      <c r="M2463" s="22">
        <v>161200</v>
      </c>
      <c r="N2463" s="22">
        <v>31200</v>
      </c>
      <c r="O2463" s="18">
        <v>33.369999999999997</v>
      </c>
      <c r="P2463" s="52">
        <f>IF(COUNTIF(TblPurchases[BatchID],TblOutcomes[[#This Row],[BatchID]])&lt;&gt;1,"n.a.",TblOutcomes[[#This Row],[Qty Wasted]]*SUMIFS(TblPurchases[Unit Cost (CLP)],TblPurchases[BatchID],TblOutcomes[[#This Row],[BatchID]]))</f>
        <v>12090</v>
      </c>
      <c r="Q2463" s="51">
        <f>IF(COUNTIF(TblPurchases[BatchID],TblOutcomes[[#This Row],[BatchID]])&lt;&gt;1,"n.a.",SUMIFS(TblPurchases[Purchase Date],TblPurchases[BatchID],TblOutcomes[[#This Row],[BatchID]]))</f>
        <v>45714</v>
      </c>
    </row>
    <row r="2464" spans="2:17" x14ac:dyDescent="0.25">
      <c r="B2464" s="2" t="s">
        <v>3269</v>
      </c>
      <c r="C2464" s="2" t="s">
        <v>273</v>
      </c>
      <c r="D2464" s="2" t="s">
        <v>256</v>
      </c>
      <c r="E2464" s="2" t="s">
        <v>4647</v>
      </c>
      <c r="F2464" s="2">
        <v>7</v>
      </c>
      <c r="G2464" s="2">
        <v>7</v>
      </c>
      <c r="H2464" s="2">
        <v>0</v>
      </c>
      <c r="I2464" s="1">
        <v>0</v>
      </c>
      <c r="J2464" s="26">
        <v>45753</v>
      </c>
      <c r="K2464" s="22">
        <v>182000</v>
      </c>
      <c r="L2464" s="18">
        <v>194.65</v>
      </c>
      <c r="M2464" s="22">
        <v>141050</v>
      </c>
      <c r="N2464" s="22">
        <v>40950</v>
      </c>
      <c r="O2464" s="18">
        <v>43.8</v>
      </c>
      <c r="P2464" s="52">
        <f>IF(COUNTIF(TblPurchases[BatchID],TblOutcomes[[#This Row],[BatchID]])&lt;&gt;1,"n.a.",TblOutcomes[[#This Row],[Qty Wasted]]*SUMIFS(TblPurchases[Unit Cost (CLP)],TblPurchases[BatchID],TblOutcomes[[#This Row],[BatchID]]))</f>
        <v>0</v>
      </c>
      <c r="Q2464" s="51">
        <f>IF(COUNTIF(TblPurchases[BatchID],TblOutcomes[[#This Row],[BatchID]])&lt;&gt;1,"n.a.",SUMIFS(TblPurchases[Purchase Date],TblPurchases[BatchID],TblOutcomes[[#This Row],[BatchID]]))</f>
        <v>45732</v>
      </c>
    </row>
    <row r="2465" spans="2:17" x14ac:dyDescent="0.25">
      <c r="B2465" s="2" t="s">
        <v>3270</v>
      </c>
      <c r="C2465" s="2" t="s">
        <v>273</v>
      </c>
      <c r="D2465" s="2" t="s">
        <v>256</v>
      </c>
      <c r="E2465" s="2" t="s">
        <v>4647</v>
      </c>
      <c r="F2465" s="2">
        <v>21</v>
      </c>
      <c r="G2465" s="2">
        <v>21</v>
      </c>
      <c r="H2465" s="2">
        <v>0</v>
      </c>
      <c r="I2465" s="1">
        <v>0</v>
      </c>
      <c r="J2465" s="26">
        <v>45768</v>
      </c>
      <c r="K2465" s="22">
        <v>546000</v>
      </c>
      <c r="L2465" s="18">
        <v>583.96</v>
      </c>
      <c r="M2465" s="22">
        <v>423150</v>
      </c>
      <c r="N2465" s="22">
        <v>122850</v>
      </c>
      <c r="O2465" s="18">
        <v>131.38999999999999</v>
      </c>
      <c r="P2465" s="52">
        <f>IF(COUNTIF(TblPurchases[BatchID],TblOutcomes[[#This Row],[BatchID]])&lt;&gt;1,"n.a.",TblOutcomes[[#This Row],[Qty Wasted]]*SUMIFS(TblPurchases[Unit Cost (CLP)],TblPurchases[BatchID],TblOutcomes[[#This Row],[BatchID]]))</f>
        <v>0</v>
      </c>
      <c r="Q2465" s="51">
        <f>IF(COUNTIF(TblPurchases[BatchID],TblOutcomes[[#This Row],[BatchID]])&lt;&gt;1,"n.a.",SUMIFS(TblPurchases[Purchase Date],TblPurchases[BatchID],TblOutcomes[[#This Row],[BatchID]]))</f>
        <v>45759</v>
      </c>
    </row>
    <row r="2466" spans="2:17" x14ac:dyDescent="0.25">
      <c r="B2466" s="2" t="s">
        <v>3271</v>
      </c>
      <c r="C2466" s="2" t="s">
        <v>273</v>
      </c>
      <c r="D2466" s="2" t="s">
        <v>256</v>
      </c>
      <c r="E2466" s="2" t="s">
        <v>4647</v>
      </c>
      <c r="F2466" s="2">
        <v>21</v>
      </c>
      <c r="G2466" s="2">
        <v>21</v>
      </c>
      <c r="H2466" s="2">
        <v>0</v>
      </c>
      <c r="I2466" s="1">
        <v>0</v>
      </c>
      <c r="J2466" s="26">
        <v>45788</v>
      </c>
      <c r="K2466" s="22">
        <v>546000</v>
      </c>
      <c r="L2466" s="18">
        <v>583.96</v>
      </c>
      <c r="M2466" s="22">
        <v>423150</v>
      </c>
      <c r="N2466" s="22">
        <v>122850</v>
      </c>
      <c r="O2466" s="18">
        <v>131.38999999999999</v>
      </c>
      <c r="P2466" s="52">
        <f>IF(COUNTIF(TblPurchases[BatchID],TblOutcomes[[#This Row],[BatchID]])&lt;&gt;1,"n.a.",TblOutcomes[[#This Row],[Qty Wasted]]*SUMIFS(TblPurchases[Unit Cost (CLP)],TblPurchases[BatchID],TblOutcomes[[#This Row],[BatchID]]))</f>
        <v>0</v>
      </c>
      <c r="Q2466" s="51">
        <f>IF(COUNTIF(TblPurchases[BatchID],TblOutcomes[[#This Row],[BatchID]])&lt;&gt;1,"n.a.",SUMIFS(TblPurchases[Purchase Date],TblPurchases[BatchID],TblOutcomes[[#This Row],[BatchID]]))</f>
        <v>45780</v>
      </c>
    </row>
    <row r="2467" spans="2:17" x14ac:dyDescent="0.25">
      <c r="B2467" s="2" t="s">
        <v>3272</v>
      </c>
      <c r="C2467" s="2" t="s">
        <v>273</v>
      </c>
      <c r="D2467" s="2" t="s">
        <v>256</v>
      </c>
      <c r="E2467" s="2" t="s">
        <v>4647</v>
      </c>
      <c r="F2467" s="2">
        <v>22</v>
      </c>
      <c r="G2467" s="2">
        <v>22</v>
      </c>
      <c r="H2467" s="2">
        <v>0</v>
      </c>
      <c r="I2467" s="1">
        <v>0</v>
      </c>
      <c r="J2467" s="26">
        <v>45829</v>
      </c>
      <c r="K2467" s="22">
        <v>572000</v>
      </c>
      <c r="L2467" s="18">
        <v>611.76</v>
      </c>
      <c r="M2467" s="22">
        <v>443300</v>
      </c>
      <c r="N2467" s="22">
        <v>128700</v>
      </c>
      <c r="O2467" s="18">
        <v>137.65</v>
      </c>
      <c r="P2467" s="52">
        <f>IF(COUNTIF(TblPurchases[BatchID],TblOutcomes[[#This Row],[BatchID]])&lt;&gt;1,"n.a.",TblOutcomes[[#This Row],[Qty Wasted]]*SUMIFS(TblPurchases[Unit Cost (CLP)],TblPurchases[BatchID],TblOutcomes[[#This Row],[BatchID]]))</f>
        <v>0</v>
      </c>
      <c r="Q2467" s="51">
        <f>IF(COUNTIF(TblPurchases[BatchID],TblOutcomes[[#This Row],[BatchID]])&lt;&gt;1,"n.a.",SUMIFS(TblPurchases[Purchase Date],TblPurchases[BatchID],TblOutcomes[[#This Row],[BatchID]]))</f>
        <v>45804</v>
      </c>
    </row>
    <row r="2468" spans="2:17" x14ac:dyDescent="0.25">
      <c r="B2468" s="2" t="s">
        <v>3273</v>
      </c>
      <c r="C2468" s="2" t="s">
        <v>273</v>
      </c>
      <c r="D2468" s="2" t="s">
        <v>256</v>
      </c>
      <c r="E2468" s="2" t="s">
        <v>4647</v>
      </c>
      <c r="F2468" s="2">
        <v>22</v>
      </c>
      <c r="G2468" s="2">
        <v>22</v>
      </c>
      <c r="H2468" s="2">
        <v>0</v>
      </c>
      <c r="I2468" s="1">
        <v>0</v>
      </c>
      <c r="J2468" s="26">
        <v>45839</v>
      </c>
      <c r="K2468" s="22">
        <v>572000</v>
      </c>
      <c r="L2468" s="18">
        <v>611.76</v>
      </c>
      <c r="M2468" s="22">
        <v>443300</v>
      </c>
      <c r="N2468" s="22">
        <v>128700</v>
      </c>
      <c r="O2468" s="18">
        <v>137.65</v>
      </c>
      <c r="P2468" s="52">
        <f>IF(COUNTIF(TblPurchases[BatchID],TblOutcomes[[#This Row],[BatchID]])&lt;&gt;1,"n.a.",TblOutcomes[[#This Row],[Qty Wasted]]*SUMIFS(TblPurchases[Unit Cost (CLP)],TblPurchases[BatchID],TblOutcomes[[#This Row],[BatchID]]))</f>
        <v>0</v>
      </c>
      <c r="Q2468" s="51">
        <f>IF(COUNTIF(TblPurchases[BatchID],TblOutcomes[[#This Row],[BatchID]])&lt;&gt;1,"n.a.",SUMIFS(TblPurchases[Purchase Date],TblPurchases[BatchID],TblOutcomes[[#This Row],[BatchID]]))</f>
        <v>45824</v>
      </c>
    </row>
    <row r="2469" spans="2:17" x14ac:dyDescent="0.25">
      <c r="B2469" s="2" t="s">
        <v>3274</v>
      </c>
      <c r="C2469" s="2" t="s">
        <v>275</v>
      </c>
      <c r="D2469" s="2" t="s">
        <v>256</v>
      </c>
      <c r="E2469" s="2" t="s">
        <v>4646</v>
      </c>
      <c r="F2469" s="2">
        <v>21</v>
      </c>
      <c r="G2469" s="2">
        <v>20.58</v>
      </c>
      <c r="H2469" s="2">
        <v>0.42</v>
      </c>
      <c r="I2469" s="1">
        <v>2</v>
      </c>
      <c r="J2469" s="26">
        <v>45333</v>
      </c>
      <c r="K2469" s="22">
        <v>617400</v>
      </c>
      <c r="L2469" s="18">
        <v>660.32</v>
      </c>
      <c r="M2469" s="22">
        <v>481950</v>
      </c>
      <c r="N2469" s="22">
        <v>135450</v>
      </c>
      <c r="O2469" s="18">
        <v>144.87</v>
      </c>
      <c r="P2469" s="52">
        <f>IF(COUNTIF(TblPurchases[BatchID],TblOutcomes[[#This Row],[BatchID]])&lt;&gt;1,"n.a.",TblOutcomes[[#This Row],[Qty Wasted]]*SUMIFS(TblPurchases[Unit Cost (CLP)],TblPurchases[BatchID],TblOutcomes[[#This Row],[BatchID]]))</f>
        <v>9639</v>
      </c>
      <c r="Q2469" s="51">
        <f>IF(COUNTIF(TblPurchases[BatchID],TblOutcomes[[#This Row],[BatchID]])&lt;&gt;1,"n.a.",SUMIFS(TblPurchases[Purchase Date],TblPurchases[BatchID],TblOutcomes[[#This Row],[BatchID]]))</f>
        <v>45123</v>
      </c>
    </row>
    <row r="2470" spans="2:17" x14ac:dyDescent="0.25">
      <c r="B2470" s="2" t="s">
        <v>3275</v>
      </c>
      <c r="C2470" s="2" t="s">
        <v>275</v>
      </c>
      <c r="D2470" s="2" t="s">
        <v>256</v>
      </c>
      <c r="E2470" s="2" t="s">
        <v>4647</v>
      </c>
      <c r="F2470" s="2">
        <v>21</v>
      </c>
      <c r="G2470" s="2">
        <v>21</v>
      </c>
      <c r="H2470" s="2">
        <v>0</v>
      </c>
      <c r="I2470" s="1">
        <v>0</v>
      </c>
      <c r="J2470" s="26">
        <v>45162</v>
      </c>
      <c r="K2470" s="22">
        <v>630000</v>
      </c>
      <c r="L2470" s="18">
        <v>673.8</v>
      </c>
      <c r="M2470" s="22">
        <v>481950</v>
      </c>
      <c r="N2470" s="22">
        <v>148050</v>
      </c>
      <c r="O2470" s="18">
        <v>158.34</v>
      </c>
      <c r="P2470" s="52">
        <f>IF(COUNTIF(TblPurchases[BatchID],TblOutcomes[[#This Row],[BatchID]])&lt;&gt;1,"n.a.",TblOutcomes[[#This Row],[Qty Wasted]]*SUMIFS(TblPurchases[Unit Cost (CLP)],TblPurchases[BatchID],TblOutcomes[[#This Row],[BatchID]]))</f>
        <v>0</v>
      </c>
      <c r="Q2470" s="51">
        <f>IF(COUNTIF(TblPurchases[BatchID],TblOutcomes[[#This Row],[BatchID]])&lt;&gt;1,"n.a.",SUMIFS(TblPurchases[Purchase Date],TblPurchases[BatchID],TblOutcomes[[#This Row],[BatchID]]))</f>
        <v>45143</v>
      </c>
    </row>
    <row r="2471" spans="2:17" x14ac:dyDescent="0.25">
      <c r="B2471" s="2" t="s">
        <v>3276</v>
      </c>
      <c r="C2471" s="2" t="s">
        <v>275</v>
      </c>
      <c r="D2471" s="2" t="s">
        <v>256</v>
      </c>
      <c r="E2471" s="2" t="s">
        <v>4647</v>
      </c>
      <c r="F2471" s="2">
        <v>20</v>
      </c>
      <c r="G2471" s="2">
        <v>20</v>
      </c>
      <c r="H2471" s="2">
        <v>0</v>
      </c>
      <c r="I2471" s="1">
        <v>0</v>
      </c>
      <c r="J2471" s="26">
        <v>45172</v>
      </c>
      <c r="K2471" s="22">
        <v>600000</v>
      </c>
      <c r="L2471" s="18">
        <v>641.71</v>
      </c>
      <c r="M2471" s="22">
        <v>459000</v>
      </c>
      <c r="N2471" s="22">
        <v>141000</v>
      </c>
      <c r="O2471" s="18">
        <v>150.80000000000001</v>
      </c>
      <c r="P2471" s="52">
        <f>IF(COUNTIF(TblPurchases[BatchID],TblOutcomes[[#This Row],[BatchID]])&lt;&gt;1,"n.a.",TblOutcomes[[#This Row],[Qty Wasted]]*SUMIFS(TblPurchases[Unit Cost (CLP)],TblPurchases[BatchID],TblOutcomes[[#This Row],[BatchID]]))</f>
        <v>0</v>
      </c>
      <c r="Q2471" s="51">
        <f>IF(COUNTIF(TblPurchases[BatchID],TblOutcomes[[#This Row],[BatchID]])&lt;&gt;1,"n.a.",SUMIFS(TblPurchases[Purchase Date],TblPurchases[BatchID],TblOutcomes[[#This Row],[BatchID]]))</f>
        <v>45159</v>
      </c>
    </row>
    <row r="2472" spans="2:17" x14ac:dyDescent="0.25">
      <c r="B2472" s="2" t="s">
        <v>3277</v>
      </c>
      <c r="C2472" s="2" t="s">
        <v>275</v>
      </c>
      <c r="D2472" s="2" t="s">
        <v>256</v>
      </c>
      <c r="E2472" s="2" t="s">
        <v>4647</v>
      </c>
      <c r="F2472" s="2">
        <v>23</v>
      </c>
      <c r="G2472" s="2">
        <v>23</v>
      </c>
      <c r="H2472" s="2">
        <v>0</v>
      </c>
      <c r="I2472" s="1">
        <v>0</v>
      </c>
      <c r="J2472" s="26">
        <v>45192</v>
      </c>
      <c r="K2472" s="22">
        <v>690000</v>
      </c>
      <c r="L2472" s="18">
        <v>737.97</v>
      </c>
      <c r="M2472" s="22">
        <v>527850</v>
      </c>
      <c r="N2472" s="22">
        <v>162150</v>
      </c>
      <c r="O2472" s="18">
        <v>173.42</v>
      </c>
      <c r="P2472" s="52">
        <f>IF(COUNTIF(TblPurchases[BatchID],TblOutcomes[[#This Row],[BatchID]])&lt;&gt;1,"n.a.",TblOutcomes[[#This Row],[Qty Wasted]]*SUMIFS(TblPurchases[Unit Cost (CLP)],TblPurchases[BatchID],TblOutcomes[[#This Row],[BatchID]]))</f>
        <v>0</v>
      </c>
      <c r="Q2472" s="51">
        <f>IF(COUNTIF(TblPurchases[BatchID],TblOutcomes[[#This Row],[BatchID]])&lt;&gt;1,"n.a.",SUMIFS(TblPurchases[Purchase Date],TblPurchases[BatchID],TblOutcomes[[#This Row],[BatchID]]))</f>
        <v>45180</v>
      </c>
    </row>
    <row r="2473" spans="2:17" x14ac:dyDescent="0.25">
      <c r="B2473" s="2" t="s">
        <v>3278</v>
      </c>
      <c r="C2473" s="2" t="s">
        <v>275</v>
      </c>
      <c r="D2473" s="2" t="s">
        <v>256</v>
      </c>
      <c r="E2473" s="2" t="s">
        <v>4647</v>
      </c>
      <c r="F2473" s="2">
        <v>7</v>
      </c>
      <c r="G2473" s="2">
        <v>7</v>
      </c>
      <c r="H2473" s="2">
        <v>0</v>
      </c>
      <c r="I2473" s="1">
        <v>0</v>
      </c>
      <c r="J2473" s="26">
        <v>45211</v>
      </c>
      <c r="K2473" s="22">
        <v>210000</v>
      </c>
      <c r="L2473" s="18">
        <v>224.6</v>
      </c>
      <c r="M2473" s="22">
        <v>160650</v>
      </c>
      <c r="N2473" s="22">
        <v>49350</v>
      </c>
      <c r="O2473" s="18">
        <v>52.78</v>
      </c>
      <c r="P2473" s="52">
        <f>IF(COUNTIF(TblPurchases[BatchID],TblOutcomes[[#This Row],[BatchID]])&lt;&gt;1,"n.a.",TblOutcomes[[#This Row],[Qty Wasted]]*SUMIFS(TblPurchases[Unit Cost (CLP)],TblPurchases[BatchID],TblOutcomes[[#This Row],[BatchID]]))</f>
        <v>0</v>
      </c>
      <c r="Q2473" s="51">
        <f>IF(COUNTIF(TblPurchases[BatchID],TblOutcomes[[#This Row],[BatchID]])&lt;&gt;1,"n.a.",SUMIFS(TblPurchases[Purchase Date],TblPurchases[BatchID],TblOutcomes[[#This Row],[BatchID]]))</f>
        <v>45200</v>
      </c>
    </row>
    <row r="2474" spans="2:17" x14ac:dyDescent="0.25">
      <c r="B2474" s="2" t="s">
        <v>3279</v>
      </c>
      <c r="C2474" s="2" t="s">
        <v>275</v>
      </c>
      <c r="D2474" s="2" t="s">
        <v>256</v>
      </c>
      <c r="E2474" s="2" t="s">
        <v>4647</v>
      </c>
      <c r="F2474" s="2">
        <v>8</v>
      </c>
      <c r="G2474" s="2">
        <v>8</v>
      </c>
      <c r="H2474" s="2">
        <v>0</v>
      </c>
      <c r="I2474" s="1">
        <v>0</v>
      </c>
      <c r="J2474" s="26">
        <v>45240</v>
      </c>
      <c r="K2474" s="22">
        <v>240000</v>
      </c>
      <c r="L2474" s="18">
        <v>256.68</v>
      </c>
      <c r="M2474" s="22">
        <v>183600</v>
      </c>
      <c r="N2474" s="22">
        <v>56400</v>
      </c>
      <c r="O2474" s="18">
        <v>60.32</v>
      </c>
      <c r="P2474" s="52">
        <f>IF(COUNTIF(TblPurchases[BatchID],TblOutcomes[[#This Row],[BatchID]])&lt;&gt;1,"n.a.",TblOutcomes[[#This Row],[Qty Wasted]]*SUMIFS(TblPurchases[Unit Cost (CLP)],TblPurchases[BatchID],TblOutcomes[[#This Row],[BatchID]]))</f>
        <v>0</v>
      </c>
      <c r="Q2474" s="51">
        <f>IF(COUNTIF(TblPurchases[BatchID],TblOutcomes[[#This Row],[BatchID]])&lt;&gt;1,"n.a.",SUMIFS(TblPurchases[Purchase Date],TblPurchases[BatchID],TblOutcomes[[#This Row],[BatchID]]))</f>
        <v>45223</v>
      </c>
    </row>
    <row r="2475" spans="2:17" x14ac:dyDescent="0.25">
      <c r="B2475" s="2" t="s">
        <v>3280</v>
      </c>
      <c r="C2475" s="2" t="s">
        <v>275</v>
      </c>
      <c r="D2475" s="2" t="s">
        <v>256</v>
      </c>
      <c r="E2475" s="2" t="s">
        <v>4647</v>
      </c>
      <c r="F2475" s="2">
        <v>7</v>
      </c>
      <c r="G2475" s="2">
        <v>7</v>
      </c>
      <c r="H2475" s="2">
        <v>0</v>
      </c>
      <c r="I2475" s="1">
        <v>0</v>
      </c>
      <c r="J2475" s="26">
        <v>45266</v>
      </c>
      <c r="K2475" s="22">
        <v>210000</v>
      </c>
      <c r="L2475" s="18">
        <v>224.6</v>
      </c>
      <c r="M2475" s="22">
        <v>160650</v>
      </c>
      <c r="N2475" s="22">
        <v>49350</v>
      </c>
      <c r="O2475" s="18">
        <v>52.78</v>
      </c>
      <c r="P2475" s="52">
        <f>IF(COUNTIF(TblPurchases[BatchID],TblOutcomes[[#This Row],[BatchID]])&lt;&gt;1,"n.a.",TblOutcomes[[#This Row],[Qty Wasted]]*SUMIFS(TblPurchases[Unit Cost (CLP)],TblPurchases[BatchID],TblOutcomes[[#This Row],[BatchID]]))</f>
        <v>0</v>
      </c>
      <c r="Q2475" s="51">
        <f>IF(COUNTIF(TblPurchases[BatchID],TblOutcomes[[#This Row],[BatchID]])&lt;&gt;1,"n.a.",SUMIFS(TblPurchases[Purchase Date],TblPurchases[BatchID],TblOutcomes[[#This Row],[BatchID]]))</f>
        <v>45243</v>
      </c>
    </row>
    <row r="2476" spans="2:17" x14ac:dyDescent="0.25">
      <c r="B2476" s="2" t="s">
        <v>3281</v>
      </c>
      <c r="C2476" s="2" t="s">
        <v>275</v>
      </c>
      <c r="D2476" s="2" t="s">
        <v>256</v>
      </c>
      <c r="E2476" s="2" t="s">
        <v>4646</v>
      </c>
      <c r="F2476" s="2">
        <v>9</v>
      </c>
      <c r="G2476" s="2">
        <v>8.69</v>
      </c>
      <c r="H2476" s="2">
        <v>0.31</v>
      </c>
      <c r="I2476" s="1">
        <v>3.4</v>
      </c>
      <c r="J2476" s="26">
        <v>45472</v>
      </c>
      <c r="K2476" s="22">
        <v>260700</v>
      </c>
      <c r="L2476" s="18">
        <v>278.82</v>
      </c>
      <c r="M2476" s="22">
        <v>206550</v>
      </c>
      <c r="N2476" s="22">
        <v>54150</v>
      </c>
      <c r="O2476" s="18">
        <v>57.91</v>
      </c>
      <c r="P2476" s="52">
        <f>IF(COUNTIF(TblPurchases[BatchID],TblOutcomes[[#This Row],[BatchID]])&lt;&gt;1,"n.a.",TblOutcomes[[#This Row],[Qty Wasted]]*SUMIFS(TblPurchases[Unit Cost (CLP)],TblPurchases[BatchID],TblOutcomes[[#This Row],[BatchID]]))</f>
        <v>7114.5</v>
      </c>
      <c r="Q2476" s="51">
        <f>IF(COUNTIF(TblPurchases[BatchID],TblOutcomes[[#This Row],[BatchID]])&lt;&gt;1,"n.a.",SUMIFS(TblPurchases[Purchase Date],TblPurchases[BatchID],TblOutcomes[[#This Row],[BatchID]]))</f>
        <v>45262</v>
      </c>
    </row>
    <row r="2477" spans="2:17" x14ac:dyDescent="0.25">
      <c r="B2477" s="2" t="s">
        <v>3282</v>
      </c>
      <c r="C2477" s="2" t="s">
        <v>275</v>
      </c>
      <c r="D2477" s="2" t="s">
        <v>256</v>
      </c>
      <c r="E2477" s="2" t="s">
        <v>4647</v>
      </c>
      <c r="F2477" s="2">
        <v>10</v>
      </c>
      <c r="G2477" s="2">
        <v>10</v>
      </c>
      <c r="H2477" s="2">
        <v>0</v>
      </c>
      <c r="I2477" s="1">
        <v>0</v>
      </c>
      <c r="J2477" s="26">
        <v>45307</v>
      </c>
      <c r="K2477" s="22">
        <v>300000</v>
      </c>
      <c r="L2477" s="18">
        <v>320.86</v>
      </c>
      <c r="M2477" s="22">
        <v>229500</v>
      </c>
      <c r="N2477" s="22">
        <v>70500</v>
      </c>
      <c r="O2477" s="18">
        <v>75.400000000000006</v>
      </c>
      <c r="P2477" s="52">
        <f>IF(COUNTIF(TblPurchases[BatchID],TblOutcomes[[#This Row],[BatchID]])&lt;&gt;1,"n.a.",TblOutcomes[[#This Row],[Qty Wasted]]*SUMIFS(TblPurchases[Unit Cost (CLP)],TblPurchases[BatchID],TblOutcomes[[#This Row],[BatchID]]))</f>
        <v>0</v>
      </c>
      <c r="Q2477" s="51">
        <f>IF(COUNTIF(TblPurchases[BatchID],TblOutcomes[[#This Row],[BatchID]])&lt;&gt;1,"n.a.",SUMIFS(TblPurchases[Purchase Date],TblPurchases[BatchID],TblOutcomes[[#This Row],[BatchID]]))</f>
        <v>45281</v>
      </c>
    </row>
    <row r="2478" spans="2:17" x14ac:dyDescent="0.25">
      <c r="B2478" s="2" t="s">
        <v>3283</v>
      </c>
      <c r="C2478" s="2" t="s">
        <v>275</v>
      </c>
      <c r="D2478" s="2" t="s">
        <v>256</v>
      </c>
      <c r="E2478" s="2" t="s">
        <v>4647</v>
      </c>
      <c r="F2478" s="2">
        <v>7</v>
      </c>
      <c r="G2478" s="2">
        <v>7</v>
      </c>
      <c r="H2478" s="2">
        <v>0</v>
      </c>
      <c r="I2478" s="1">
        <v>0</v>
      </c>
      <c r="J2478" s="26">
        <v>45319</v>
      </c>
      <c r="K2478" s="22">
        <v>210000</v>
      </c>
      <c r="L2478" s="18">
        <v>224.6</v>
      </c>
      <c r="M2478" s="22">
        <v>160650</v>
      </c>
      <c r="N2478" s="22">
        <v>49350</v>
      </c>
      <c r="O2478" s="18">
        <v>52.78</v>
      </c>
      <c r="P2478" s="52">
        <f>IF(COUNTIF(TblPurchases[BatchID],TblOutcomes[[#This Row],[BatchID]])&lt;&gt;1,"n.a.",TblOutcomes[[#This Row],[Qty Wasted]]*SUMIFS(TblPurchases[Unit Cost (CLP)],TblPurchases[BatchID],TblOutcomes[[#This Row],[BatchID]]))</f>
        <v>0</v>
      </c>
      <c r="Q2478" s="51">
        <f>IF(COUNTIF(TblPurchases[BatchID],TblOutcomes[[#This Row],[BatchID]])&lt;&gt;1,"n.a.",SUMIFS(TblPurchases[Purchase Date],TblPurchases[BatchID],TblOutcomes[[#This Row],[BatchID]]))</f>
        <v>45297</v>
      </c>
    </row>
    <row r="2479" spans="2:17" x14ac:dyDescent="0.25">
      <c r="B2479" s="2" t="s">
        <v>3284</v>
      </c>
      <c r="C2479" s="2" t="s">
        <v>275</v>
      </c>
      <c r="D2479" s="2" t="s">
        <v>256</v>
      </c>
      <c r="E2479" s="2" t="s">
        <v>4646</v>
      </c>
      <c r="F2479" s="2">
        <v>8</v>
      </c>
      <c r="G2479" s="2">
        <v>7.27</v>
      </c>
      <c r="H2479" s="2">
        <v>0.73</v>
      </c>
      <c r="I2479" s="1">
        <v>9.1</v>
      </c>
      <c r="J2479" s="26">
        <v>45521</v>
      </c>
      <c r="K2479" s="22">
        <v>218100</v>
      </c>
      <c r="L2479" s="18">
        <v>233.26</v>
      </c>
      <c r="M2479" s="22">
        <v>183600</v>
      </c>
      <c r="N2479" s="22">
        <v>34500</v>
      </c>
      <c r="O2479" s="18">
        <v>36.9</v>
      </c>
      <c r="P2479" s="52">
        <f>IF(COUNTIF(TblPurchases[BatchID],TblOutcomes[[#This Row],[BatchID]])&lt;&gt;1,"n.a.",TblOutcomes[[#This Row],[Qty Wasted]]*SUMIFS(TblPurchases[Unit Cost (CLP)],TblPurchases[BatchID],TblOutcomes[[#This Row],[BatchID]]))</f>
        <v>16753.5</v>
      </c>
      <c r="Q2479" s="51">
        <f>IF(COUNTIF(TblPurchases[BatchID],TblOutcomes[[#This Row],[BatchID]])&lt;&gt;1,"n.a.",SUMIFS(TblPurchases[Purchase Date],TblPurchases[BatchID],TblOutcomes[[#This Row],[BatchID]]))</f>
        <v>45311</v>
      </c>
    </row>
    <row r="2480" spans="2:17" x14ac:dyDescent="0.25">
      <c r="B2480" s="2" t="s">
        <v>3285</v>
      </c>
      <c r="C2480" s="2" t="s">
        <v>275</v>
      </c>
      <c r="D2480" s="2" t="s">
        <v>256</v>
      </c>
      <c r="E2480" s="2" t="s">
        <v>4646</v>
      </c>
      <c r="F2480" s="2">
        <v>8</v>
      </c>
      <c r="G2480" s="2">
        <v>7.46</v>
      </c>
      <c r="H2480" s="2">
        <v>0.54</v>
      </c>
      <c r="I2480" s="1">
        <v>6.8</v>
      </c>
      <c r="J2480" s="26">
        <v>45540</v>
      </c>
      <c r="K2480" s="22">
        <v>223800</v>
      </c>
      <c r="L2480" s="18">
        <v>239.36</v>
      </c>
      <c r="M2480" s="22">
        <v>183600</v>
      </c>
      <c r="N2480" s="22">
        <v>40200</v>
      </c>
      <c r="O2480" s="18">
        <v>42.99</v>
      </c>
      <c r="P2480" s="52">
        <f>IF(COUNTIF(TblPurchases[BatchID],TblOutcomes[[#This Row],[BatchID]])&lt;&gt;1,"n.a.",TblOutcomes[[#This Row],[Qty Wasted]]*SUMIFS(TblPurchases[Unit Cost (CLP)],TblPurchases[BatchID],TblOutcomes[[#This Row],[BatchID]]))</f>
        <v>12393</v>
      </c>
      <c r="Q2480" s="51">
        <f>IF(COUNTIF(TblPurchases[BatchID],TblOutcomes[[#This Row],[BatchID]])&lt;&gt;1,"n.a.",SUMIFS(TblPurchases[Purchase Date],TblPurchases[BatchID],TblOutcomes[[#This Row],[BatchID]]))</f>
        <v>45330</v>
      </c>
    </row>
    <row r="2481" spans="2:17" x14ac:dyDescent="0.25">
      <c r="B2481" s="2" t="s">
        <v>3286</v>
      </c>
      <c r="C2481" s="2" t="s">
        <v>275</v>
      </c>
      <c r="D2481" s="2" t="s">
        <v>256</v>
      </c>
      <c r="E2481" s="2" t="s">
        <v>4647</v>
      </c>
      <c r="F2481" s="2">
        <v>7</v>
      </c>
      <c r="G2481" s="2">
        <v>7</v>
      </c>
      <c r="H2481" s="2">
        <v>0</v>
      </c>
      <c r="I2481" s="1">
        <v>0</v>
      </c>
      <c r="J2481" s="26">
        <v>45366</v>
      </c>
      <c r="K2481" s="22">
        <v>210000</v>
      </c>
      <c r="L2481" s="18">
        <v>224.6</v>
      </c>
      <c r="M2481" s="22">
        <v>160650</v>
      </c>
      <c r="N2481" s="22">
        <v>49350</v>
      </c>
      <c r="O2481" s="18">
        <v>52.78</v>
      </c>
      <c r="P2481" s="52">
        <f>IF(COUNTIF(TblPurchases[BatchID],TblOutcomes[[#This Row],[BatchID]])&lt;&gt;1,"n.a.",TblOutcomes[[#This Row],[Qty Wasted]]*SUMIFS(TblPurchases[Unit Cost (CLP)],TblPurchases[BatchID],TblOutcomes[[#This Row],[BatchID]]))</f>
        <v>0</v>
      </c>
      <c r="Q2481" s="51">
        <f>IF(COUNTIF(TblPurchases[BatchID],TblOutcomes[[#This Row],[BatchID]])&lt;&gt;1,"n.a.",SUMIFS(TblPurchases[Purchase Date],TblPurchases[BatchID],TblOutcomes[[#This Row],[BatchID]]))</f>
        <v>45354</v>
      </c>
    </row>
    <row r="2482" spans="2:17" x14ac:dyDescent="0.25">
      <c r="B2482" s="2" t="s">
        <v>3287</v>
      </c>
      <c r="C2482" s="2" t="s">
        <v>275</v>
      </c>
      <c r="D2482" s="2" t="s">
        <v>256</v>
      </c>
      <c r="E2482" s="2" t="s">
        <v>4646</v>
      </c>
      <c r="F2482" s="2">
        <v>7</v>
      </c>
      <c r="G2482" s="2">
        <v>6.5</v>
      </c>
      <c r="H2482" s="2">
        <v>0.5</v>
      </c>
      <c r="I2482" s="1">
        <v>7.2</v>
      </c>
      <c r="J2482" s="26">
        <v>45587</v>
      </c>
      <c r="K2482" s="22">
        <v>195000</v>
      </c>
      <c r="L2482" s="18">
        <v>208.56</v>
      </c>
      <c r="M2482" s="22">
        <v>160650</v>
      </c>
      <c r="N2482" s="22">
        <v>34350</v>
      </c>
      <c r="O2482" s="18">
        <v>36.74</v>
      </c>
      <c r="P2482" s="52">
        <f>IF(COUNTIF(TblPurchases[BatchID],TblOutcomes[[#This Row],[BatchID]])&lt;&gt;1,"n.a.",TblOutcomes[[#This Row],[Qty Wasted]]*SUMIFS(TblPurchases[Unit Cost (CLP)],TblPurchases[BatchID],TblOutcomes[[#This Row],[BatchID]]))</f>
        <v>11475</v>
      </c>
      <c r="Q2482" s="51">
        <f>IF(COUNTIF(TblPurchases[BatchID],TblOutcomes[[#This Row],[BatchID]])&lt;&gt;1,"n.a.",SUMIFS(TblPurchases[Purchase Date],TblPurchases[BatchID],TblOutcomes[[#This Row],[BatchID]]))</f>
        <v>45377</v>
      </c>
    </row>
    <row r="2483" spans="2:17" x14ac:dyDescent="0.25">
      <c r="B2483" s="2" t="s">
        <v>3288</v>
      </c>
      <c r="C2483" s="2" t="s">
        <v>275</v>
      </c>
      <c r="D2483" s="2" t="s">
        <v>256</v>
      </c>
      <c r="E2483" s="2" t="s">
        <v>4647</v>
      </c>
      <c r="F2483" s="2">
        <v>20</v>
      </c>
      <c r="G2483" s="2">
        <v>20</v>
      </c>
      <c r="H2483" s="2">
        <v>0</v>
      </c>
      <c r="I2483" s="1">
        <v>0</v>
      </c>
      <c r="J2483" s="26">
        <v>45415</v>
      </c>
      <c r="K2483" s="22">
        <v>600000</v>
      </c>
      <c r="L2483" s="18">
        <v>641.71</v>
      </c>
      <c r="M2483" s="22">
        <v>478000</v>
      </c>
      <c r="N2483" s="22">
        <v>122000</v>
      </c>
      <c r="O2483" s="18">
        <v>130.47999999999999</v>
      </c>
      <c r="P2483" s="52">
        <f>IF(COUNTIF(TblPurchases[BatchID],TblOutcomes[[#This Row],[BatchID]])&lt;&gt;1,"n.a.",TblOutcomes[[#This Row],[Qty Wasted]]*SUMIFS(TblPurchases[Unit Cost (CLP)],TblPurchases[BatchID],TblOutcomes[[#This Row],[BatchID]]))</f>
        <v>0</v>
      </c>
      <c r="Q2483" s="51">
        <f>IF(COUNTIF(TblPurchases[BatchID],TblOutcomes[[#This Row],[BatchID]])&lt;&gt;1,"n.a.",SUMIFS(TblPurchases[Purchase Date],TblPurchases[BatchID],TblOutcomes[[#This Row],[BatchID]]))</f>
        <v>45398</v>
      </c>
    </row>
    <row r="2484" spans="2:17" x14ac:dyDescent="0.25">
      <c r="B2484" s="2" t="s">
        <v>3289</v>
      </c>
      <c r="C2484" s="2" t="s">
        <v>275</v>
      </c>
      <c r="D2484" s="2" t="s">
        <v>256</v>
      </c>
      <c r="E2484" s="2" t="s">
        <v>4647</v>
      </c>
      <c r="F2484" s="2">
        <v>20</v>
      </c>
      <c r="G2484" s="2">
        <v>20</v>
      </c>
      <c r="H2484" s="2">
        <v>0</v>
      </c>
      <c r="I2484" s="1">
        <v>0</v>
      </c>
      <c r="J2484" s="26">
        <v>45428</v>
      </c>
      <c r="K2484" s="22">
        <v>600000</v>
      </c>
      <c r="L2484" s="18">
        <v>641.71</v>
      </c>
      <c r="M2484" s="22">
        <v>459000</v>
      </c>
      <c r="N2484" s="22">
        <v>141000</v>
      </c>
      <c r="O2484" s="18">
        <v>150.80000000000001</v>
      </c>
      <c r="P2484" s="52">
        <f>IF(COUNTIF(TblPurchases[BatchID],TblOutcomes[[#This Row],[BatchID]])&lt;&gt;1,"n.a.",TblOutcomes[[#This Row],[Qty Wasted]]*SUMIFS(TblPurchases[Unit Cost (CLP)],TblPurchases[BatchID],TblOutcomes[[#This Row],[BatchID]]))</f>
        <v>0</v>
      </c>
      <c r="Q2484" s="51">
        <f>IF(COUNTIF(TblPurchases[BatchID],TblOutcomes[[#This Row],[BatchID]])&lt;&gt;1,"n.a.",SUMIFS(TblPurchases[Purchase Date],TblPurchases[BatchID],TblOutcomes[[#This Row],[BatchID]]))</f>
        <v>45418</v>
      </c>
    </row>
    <row r="2485" spans="2:17" x14ac:dyDescent="0.25">
      <c r="B2485" s="2" t="s">
        <v>3290</v>
      </c>
      <c r="C2485" s="2" t="s">
        <v>275</v>
      </c>
      <c r="D2485" s="2" t="s">
        <v>256</v>
      </c>
      <c r="E2485" s="2" t="s">
        <v>4646</v>
      </c>
      <c r="F2485" s="2">
        <v>20</v>
      </c>
      <c r="G2485" s="2">
        <v>18.3</v>
      </c>
      <c r="H2485" s="2">
        <v>1.7</v>
      </c>
      <c r="I2485" s="1">
        <v>8.5</v>
      </c>
      <c r="J2485" s="26">
        <v>45645</v>
      </c>
      <c r="K2485" s="22">
        <v>549000</v>
      </c>
      <c r="L2485" s="18">
        <v>587.16999999999996</v>
      </c>
      <c r="M2485" s="22">
        <v>478000</v>
      </c>
      <c r="N2485" s="22">
        <v>71000</v>
      </c>
      <c r="O2485" s="18">
        <v>75.94</v>
      </c>
      <c r="P2485" s="52">
        <f>IF(COUNTIF(TblPurchases[BatchID],TblOutcomes[[#This Row],[BatchID]])&lt;&gt;1,"n.a.",TblOutcomes[[#This Row],[Qty Wasted]]*SUMIFS(TblPurchases[Unit Cost (CLP)],TblPurchases[BatchID],TblOutcomes[[#This Row],[BatchID]]))</f>
        <v>40630</v>
      </c>
      <c r="Q2485" s="51">
        <f>IF(COUNTIF(TblPurchases[BatchID],TblOutcomes[[#This Row],[BatchID]])&lt;&gt;1,"n.a.",SUMIFS(TblPurchases[Purchase Date],TblPurchases[BatchID],TblOutcomes[[#This Row],[BatchID]]))</f>
        <v>45435</v>
      </c>
    </row>
    <row r="2486" spans="2:17" x14ac:dyDescent="0.25">
      <c r="B2486" s="2" t="s">
        <v>3291</v>
      </c>
      <c r="C2486" s="2" t="s">
        <v>275</v>
      </c>
      <c r="D2486" s="2" t="s">
        <v>256</v>
      </c>
      <c r="E2486" s="2" t="s">
        <v>4646</v>
      </c>
      <c r="F2486" s="2">
        <v>19</v>
      </c>
      <c r="G2486" s="2">
        <v>17.78</v>
      </c>
      <c r="H2486" s="2">
        <v>1.22</v>
      </c>
      <c r="I2486" s="1">
        <v>6.4</v>
      </c>
      <c r="J2486" s="26">
        <v>45657</v>
      </c>
      <c r="K2486" s="22">
        <v>533400</v>
      </c>
      <c r="L2486" s="18">
        <v>570.48</v>
      </c>
      <c r="M2486" s="22">
        <v>436050</v>
      </c>
      <c r="N2486" s="22">
        <v>97350</v>
      </c>
      <c r="O2486" s="18">
        <v>104.12</v>
      </c>
      <c r="P2486" s="52">
        <f>IF(COUNTIF(TblPurchases[BatchID],TblOutcomes[[#This Row],[BatchID]])&lt;&gt;1,"n.a.",TblOutcomes[[#This Row],[Qty Wasted]]*SUMIFS(TblPurchases[Unit Cost (CLP)],TblPurchases[BatchID],TblOutcomes[[#This Row],[BatchID]]))</f>
        <v>27999</v>
      </c>
      <c r="Q2486" s="51">
        <f>IF(COUNTIF(TblPurchases[BatchID],TblOutcomes[[#This Row],[BatchID]])&lt;&gt;1,"n.a.",SUMIFS(TblPurchases[Purchase Date],TblPurchases[BatchID],TblOutcomes[[#This Row],[BatchID]]))</f>
        <v>45447</v>
      </c>
    </row>
    <row r="2487" spans="2:17" x14ac:dyDescent="0.25">
      <c r="B2487" s="2" t="s">
        <v>3292</v>
      </c>
      <c r="C2487" s="2" t="s">
        <v>275</v>
      </c>
      <c r="D2487" s="2" t="s">
        <v>256</v>
      </c>
      <c r="E2487" s="2" t="s">
        <v>4647</v>
      </c>
      <c r="F2487" s="2">
        <v>22</v>
      </c>
      <c r="G2487" s="2">
        <v>22</v>
      </c>
      <c r="H2487" s="2">
        <v>0</v>
      </c>
      <c r="I2487" s="1">
        <v>0</v>
      </c>
      <c r="J2487" s="26">
        <v>45484</v>
      </c>
      <c r="K2487" s="22">
        <v>660000</v>
      </c>
      <c r="L2487" s="18">
        <v>705.88</v>
      </c>
      <c r="M2487" s="22">
        <v>504900</v>
      </c>
      <c r="N2487" s="22">
        <v>155100</v>
      </c>
      <c r="O2487" s="18">
        <v>165.88</v>
      </c>
      <c r="P2487" s="52">
        <f>IF(COUNTIF(TblPurchases[BatchID],TblOutcomes[[#This Row],[BatchID]])&lt;&gt;1,"n.a.",TblOutcomes[[#This Row],[Qty Wasted]]*SUMIFS(TblPurchases[Unit Cost (CLP)],TblPurchases[BatchID],TblOutcomes[[#This Row],[BatchID]]))</f>
        <v>0</v>
      </c>
      <c r="Q2487" s="51">
        <f>IF(COUNTIF(TblPurchases[BatchID],TblOutcomes[[#This Row],[BatchID]])&lt;&gt;1,"n.a.",SUMIFS(TblPurchases[Purchase Date],TblPurchases[BatchID],TblOutcomes[[#This Row],[BatchID]]))</f>
        <v>45468</v>
      </c>
    </row>
    <row r="2488" spans="2:17" x14ac:dyDescent="0.25">
      <c r="B2488" s="2" t="s">
        <v>3293</v>
      </c>
      <c r="C2488" s="2" t="s">
        <v>275</v>
      </c>
      <c r="D2488" s="2" t="s">
        <v>256</v>
      </c>
      <c r="E2488" s="2" t="s">
        <v>4647</v>
      </c>
      <c r="F2488" s="2">
        <v>21</v>
      </c>
      <c r="G2488" s="2">
        <v>21</v>
      </c>
      <c r="H2488" s="2">
        <v>0</v>
      </c>
      <c r="I2488" s="1">
        <v>0</v>
      </c>
      <c r="J2488" s="26">
        <v>45483</v>
      </c>
      <c r="K2488" s="22">
        <v>630000</v>
      </c>
      <c r="L2488" s="18">
        <v>673.8</v>
      </c>
      <c r="M2488" s="22">
        <v>481950</v>
      </c>
      <c r="N2488" s="22">
        <v>148050</v>
      </c>
      <c r="O2488" s="18">
        <v>158.34</v>
      </c>
      <c r="P2488" s="52">
        <f>IF(COUNTIF(TblPurchases[BatchID],TblOutcomes[[#This Row],[BatchID]])&lt;&gt;1,"n.a.",TblOutcomes[[#This Row],[Qty Wasted]]*SUMIFS(TblPurchases[Unit Cost (CLP)],TblPurchases[BatchID],TblOutcomes[[#This Row],[BatchID]]))</f>
        <v>0</v>
      </c>
      <c r="Q2488" s="51">
        <f>IF(COUNTIF(TblPurchases[BatchID],TblOutcomes[[#This Row],[BatchID]])&lt;&gt;1,"n.a.",SUMIFS(TblPurchases[Purchase Date],TblPurchases[BatchID],TblOutcomes[[#This Row],[BatchID]]))</f>
        <v>45480</v>
      </c>
    </row>
    <row r="2489" spans="2:17" x14ac:dyDescent="0.25">
      <c r="B2489" s="2" t="s">
        <v>3294</v>
      </c>
      <c r="C2489" s="2" t="s">
        <v>275</v>
      </c>
      <c r="D2489" s="2" t="s">
        <v>256</v>
      </c>
      <c r="E2489" s="2" t="s">
        <v>4647</v>
      </c>
      <c r="F2489" s="2">
        <v>20</v>
      </c>
      <c r="G2489" s="2">
        <v>20</v>
      </c>
      <c r="H2489" s="2">
        <v>0</v>
      </c>
      <c r="I2489" s="1">
        <v>0</v>
      </c>
      <c r="J2489" s="26">
        <v>45509</v>
      </c>
      <c r="K2489" s="22">
        <v>600000</v>
      </c>
      <c r="L2489" s="18">
        <v>641.71</v>
      </c>
      <c r="M2489" s="22">
        <v>459000</v>
      </c>
      <c r="N2489" s="22">
        <v>141000</v>
      </c>
      <c r="O2489" s="18">
        <v>150.80000000000001</v>
      </c>
      <c r="P2489" s="52">
        <f>IF(COUNTIF(TblPurchases[BatchID],TblOutcomes[[#This Row],[BatchID]])&lt;&gt;1,"n.a.",TblOutcomes[[#This Row],[Qty Wasted]]*SUMIFS(TblPurchases[Unit Cost (CLP)],TblPurchases[BatchID],TblOutcomes[[#This Row],[BatchID]]))</f>
        <v>0</v>
      </c>
      <c r="Q2489" s="51">
        <f>IF(COUNTIF(TblPurchases[BatchID],TblOutcomes[[#This Row],[BatchID]])&lt;&gt;1,"n.a.",SUMIFS(TblPurchases[Purchase Date],TblPurchases[BatchID],TblOutcomes[[#This Row],[BatchID]]))</f>
        <v>45498</v>
      </c>
    </row>
    <row r="2490" spans="2:17" x14ac:dyDescent="0.25">
      <c r="B2490" s="2" t="s">
        <v>3295</v>
      </c>
      <c r="C2490" s="2" t="s">
        <v>275</v>
      </c>
      <c r="D2490" s="2" t="s">
        <v>256</v>
      </c>
      <c r="E2490" s="2" t="s">
        <v>4647</v>
      </c>
      <c r="F2490" s="2">
        <v>19</v>
      </c>
      <c r="G2490" s="2">
        <v>19</v>
      </c>
      <c r="H2490" s="2">
        <v>0</v>
      </c>
      <c r="I2490" s="1">
        <v>0</v>
      </c>
      <c r="J2490" s="26">
        <v>45533</v>
      </c>
      <c r="K2490" s="22">
        <v>570000</v>
      </c>
      <c r="L2490" s="18">
        <v>609.63</v>
      </c>
      <c r="M2490" s="22">
        <v>436050</v>
      </c>
      <c r="N2490" s="22">
        <v>133950</v>
      </c>
      <c r="O2490" s="18">
        <v>143.26</v>
      </c>
      <c r="P2490" s="52">
        <f>IF(COUNTIF(TblPurchases[BatchID],TblOutcomes[[#This Row],[BatchID]])&lt;&gt;1,"n.a.",TblOutcomes[[#This Row],[Qty Wasted]]*SUMIFS(TblPurchases[Unit Cost (CLP)],TblPurchases[BatchID],TblOutcomes[[#This Row],[BatchID]]))</f>
        <v>0</v>
      </c>
      <c r="Q2490" s="51">
        <f>IF(COUNTIF(TblPurchases[BatchID],TblOutcomes[[#This Row],[BatchID]])&lt;&gt;1,"n.a.",SUMIFS(TblPurchases[Purchase Date],TblPurchases[BatchID],TblOutcomes[[#This Row],[BatchID]]))</f>
        <v>45521</v>
      </c>
    </row>
    <row r="2491" spans="2:17" x14ac:dyDescent="0.25">
      <c r="B2491" s="2" t="s">
        <v>3296</v>
      </c>
      <c r="C2491" s="2" t="s">
        <v>275</v>
      </c>
      <c r="D2491" s="2" t="s">
        <v>256</v>
      </c>
      <c r="E2491" s="2" t="s">
        <v>4647</v>
      </c>
      <c r="F2491" s="2">
        <v>25</v>
      </c>
      <c r="G2491" s="2">
        <v>25</v>
      </c>
      <c r="H2491" s="2">
        <v>0</v>
      </c>
      <c r="I2491" s="1">
        <v>0</v>
      </c>
      <c r="J2491" s="26">
        <v>45554</v>
      </c>
      <c r="K2491" s="22">
        <v>750000</v>
      </c>
      <c r="L2491" s="18">
        <v>802.14</v>
      </c>
      <c r="M2491" s="22">
        <v>573750</v>
      </c>
      <c r="N2491" s="22">
        <v>176250</v>
      </c>
      <c r="O2491" s="18">
        <v>188.5</v>
      </c>
      <c r="P2491" s="52">
        <f>IF(COUNTIF(TblPurchases[BatchID],TblOutcomes[[#This Row],[BatchID]])&lt;&gt;1,"n.a.",TblOutcomes[[#This Row],[Qty Wasted]]*SUMIFS(TblPurchases[Unit Cost (CLP)],TblPurchases[BatchID],TblOutcomes[[#This Row],[BatchID]]))</f>
        <v>0</v>
      </c>
      <c r="Q2491" s="51">
        <f>IF(COUNTIF(TblPurchases[BatchID],TblOutcomes[[#This Row],[BatchID]])&lt;&gt;1,"n.a.",SUMIFS(TblPurchases[Purchase Date],TblPurchases[BatchID],TblOutcomes[[#This Row],[BatchID]]))</f>
        <v>45536</v>
      </c>
    </row>
    <row r="2492" spans="2:17" x14ac:dyDescent="0.25">
      <c r="B2492" s="2" t="s">
        <v>3297</v>
      </c>
      <c r="C2492" s="2" t="s">
        <v>275</v>
      </c>
      <c r="D2492" s="2" t="s">
        <v>256</v>
      </c>
      <c r="E2492" s="2" t="s">
        <v>4647</v>
      </c>
      <c r="F2492" s="2">
        <v>23</v>
      </c>
      <c r="G2492" s="2">
        <v>23</v>
      </c>
      <c r="H2492" s="2">
        <v>0</v>
      </c>
      <c r="I2492" s="1">
        <v>0</v>
      </c>
      <c r="J2492" s="26">
        <v>45575</v>
      </c>
      <c r="K2492" s="22">
        <v>690000</v>
      </c>
      <c r="L2492" s="18">
        <v>737.97</v>
      </c>
      <c r="M2492" s="22">
        <v>527850</v>
      </c>
      <c r="N2492" s="22">
        <v>162150</v>
      </c>
      <c r="O2492" s="18">
        <v>173.42</v>
      </c>
      <c r="P2492" s="52">
        <f>IF(COUNTIF(TblPurchases[BatchID],TblOutcomes[[#This Row],[BatchID]])&lt;&gt;1,"n.a.",TblOutcomes[[#This Row],[Qty Wasted]]*SUMIFS(TblPurchases[Unit Cost (CLP)],TblPurchases[BatchID],TblOutcomes[[#This Row],[BatchID]]))</f>
        <v>0</v>
      </c>
      <c r="Q2492" s="51">
        <f>IF(COUNTIF(TblPurchases[BatchID],TblOutcomes[[#This Row],[BatchID]])&lt;&gt;1,"n.a.",SUMIFS(TblPurchases[Purchase Date],TblPurchases[BatchID],TblOutcomes[[#This Row],[BatchID]]))</f>
        <v>45558</v>
      </c>
    </row>
    <row r="2493" spans="2:17" x14ac:dyDescent="0.25">
      <c r="B2493" s="2" t="s">
        <v>3298</v>
      </c>
      <c r="C2493" s="2" t="s">
        <v>275</v>
      </c>
      <c r="D2493" s="2" t="s">
        <v>256</v>
      </c>
      <c r="E2493" s="2" t="s">
        <v>4647</v>
      </c>
      <c r="F2493" s="2">
        <v>7</v>
      </c>
      <c r="G2493" s="2">
        <v>7</v>
      </c>
      <c r="H2493" s="2">
        <v>0</v>
      </c>
      <c r="I2493" s="1">
        <v>0</v>
      </c>
      <c r="J2493" s="26">
        <v>45589</v>
      </c>
      <c r="K2493" s="22">
        <v>210000</v>
      </c>
      <c r="L2493" s="18">
        <v>224.6</v>
      </c>
      <c r="M2493" s="22">
        <v>160650</v>
      </c>
      <c r="N2493" s="22">
        <v>49350</v>
      </c>
      <c r="O2493" s="18">
        <v>52.78</v>
      </c>
      <c r="P2493" s="52">
        <f>IF(COUNTIF(TblPurchases[BatchID],TblOutcomes[[#This Row],[BatchID]])&lt;&gt;1,"n.a.",TblOutcomes[[#This Row],[Qty Wasted]]*SUMIFS(TblPurchases[Unit Cost (CLP)],TblPurchases[BatchID],TblOutcomes[[#This Row],[BatchID]]))</f>
        <v>0</v>
      </c>
      <c r="Q2493" s="51">
        <f>IF(COUNTIF(TblPurchases[BatchID],TblOutcomes[[#This Row],[BatchID]])&lt;&gt;1,"n.a.",SUMIFS(TblPurchases[Purchase Date],TblPurchases[BatchID],TblOutcomes[[#This Row],[BatchID]]))</f>
        <v>45580</v>
      </c>
    </row>
    <row r="2494" spans="2:17" x14ac:dyDescent="0.25">
      <c r="B2494" s="2" t="s">
        <v>3299</v>
      </c>
      <c r="C2494" s="2" t="s">
        <v>275</v>
      </c>
      <c r="D2494" s="2" t="s">
        <v>256</v>
      </c>
      <c r="E2494" s="2" t="s">
        <v>4647</v>
      </c>
      <c r="F2494" s="2">
        <v>7</v>
      </c>
      <c r="G2494" s="2">
        <v>7</v>
      </c>
      <c r="H2494" s="2">
        <v>0</v>
      </c>
      <c r="I2494" s="1">
        <v>0</v>
      </c>
      <c r="J2494" s="26">
        <v>45623</v>
      </c>
      <c r="K2494" s="22">
        <v>210000</v>
      </c>
      <c r="L2494" s="18">
        <v>224.6</v>
      </c>
      <c r="M2494" s="22">
        <v>160650</v>
      </c>
      <c r="N2494" s="22">
        <v>49350</v>
      </c>
      <c r="O2494" s="18">
        <v>52.78</v>
      </c>
      <c r="P2494" s="52">
        <f>IF(COUNTIF(TblPurchases[BatchID],TblOutcomes[[#This Row],[BatchID]])&lt;&gt;1,"n.a.",TblOutcomes[[#This Row],[Qty Wasted]]*SUMIFS(TblPurchases[Unit Cost (CLP)],TblPurchases[BatchID],TblOutcomes[[#This Row],[BatchID]]))</f>
        <v>0</v>
      </c>
      <c r="Q2494" s="51">
        <f>IF(COUNTIF(TblPurchases[BatchID],TblOutcomes[[#This Row],[BatchID]])&lt;&gt;1,"n.a.",SUMIFS(TblPurchases[Purchase Date],TblPurchases[BatchID],TblOutcomes[[#This Row],[BatchID]]))</f>
        <v>45603</v>
      </c>
    </row>
    <row r="2495" spans="2:17" x14ac:dyDescent="0.25">
      <c r="B2495" s="2" t="s">
        <v>3300</v>
      </c>
      <c r="C2495" s="2" t="s">
        <v>275</v>
      </c>
      <c r="D2495" s="2" t="s">
        <v>256</v>
      </c>
      <c r="E2495" s="2" t="s">
        <v>4646</v>
      </c>
      <c r="F2495" s="2">
        <v>8</v>
      </c>
      <c r="G2495" s="2">
        <v>7.71</v>
      </c>
      <c r="H2495" s="2">
        <v>0.28999999999999998</v>
      </c>
      <c r="I2495" s="1">
        <v>3.6</v>
      </c>
      <c r="J2495" s="26">
        <v>45831</v>
      </c>
      <c r="K2495" s="22">
        <v>231300</v>
      </c>
      <c r="L2495" s="18">
        <v>247.38</v>
      </c>
      <c r="M2495" s="22">
        <v>183600</v>
      </c>
      <c r="N2495" s="22">
        <v>47700</v>
      </c>
      <c r="O2495" s="18">
        <v>51.02</v>
      </c>
      <c r="P2495" s="52">
        <f>IF(COUNTIF(TblPurchases[BatchID],TblOutcomes[[#This Row],[BatchID]])&lt;&gt;1,"n.a.",TblOutcomes[[#This Row],[Qty Wasted]]*SUMIFS(TblPurchases[Unit Cost (CLP)],TblPurchases[BatchID],TblOutcomes[[#This Row],[BatchID]]))</f>
        <v>6655.4999999999991</v>
      </c>
      <c r="Q2495" s="51">
        <f>IF(COUNTIF(TblPurchases[BatchID],TblOutcomes[[#This Row],[BatchID]])&lt;&gt;1,"n.a.",SUMIFS(TblPurchases[Purchase Date],TblPurchases[BatchID],TblOutcomes[[#This Row],[BatchID]]))</f>
        <v>45621</v>
      </c>
    </row>
    <row r="2496" spans="2:17" x14ac:dyDescent="0.25">
      <c r="B2496" s="2" t="s">
        <v>3301</v>
      </c>
      <c r="C2496" s="2" t="s">
        <v>275</v>
      </c>
      <c r="D2496" s="2" t="s">
        <v>256</v>
      </c>
      <c r="E2496" s="2" t="s">
        <v>4647</v>
      </c>
      <c r="F2496" s="2">
        <v>9</v>
      </c>
      <c r="G2496" s="2">
        <v>9</v>
      </c>
      <c r="H2496" s="2">
        <v>0</v>
      </c>
      <c r="I2496" s="1">
        <v>0</v>
      </c>
      <c r="J2496" s="26">
        <v>45662</v>
      </c>
      <c r="K2496" s="22">
        <v>270000</v>
      </c>
      <c r="L2496" s="18">
        <v>288.77</v>
      </c>
      <c r="M2496" s="22">
        <v>206550</v>
      </c>
      <c r="N2496" s="22">
        <v>63450</v>
      </c>
      <c r="O2496" s="18">
        <v>67.86</v>
      </c>
      <c r="P2496" s="52">
        <f>IF(COUNTIF(TblPurchases[BatchID],TblOutcomes[[#This Row],[BatchID]])&lt;&gt;1,"n.a.",TblOutcomes[[#This Row],[Qty Wasted]]*SUMIFS(TblPurchases[Unit Cost (CLP)],TblPurchases[BatchID],TblOutcomes[[#This Row],[BatchID]]))</f>
        <v>0</v>
      </c>
      <c r="Q2496" s="51">
        <f>IF(COUNTIF(TblPurchases[BatchID],TblOutcomes[[#This Row],[BatchID]])&lt;&gt;1,"n.a.",SUMIFS(TblPurchases[Purchase Date],TblPurchases[BatchID],TblOutcomes[[#This Row],[BatchID]]))</f>
        <v>45642</v>
      </c>
    </row>
    <row r="2497" spans="2:17" x14ac:dyDescent="0.25">
      <c r="B2497" s="2" t="s">
        <v>3302</v>
      </c>
      <c r="C2497" s="2" t="s">
        <v>275</v>
      </c>
      <c r="D2497" s="2" t="s">
        <v>256</v>
      </c>
      <c r="E2497" s="2" t="s">
        <v>4647</v>
      </c>
      <c r="F2497" s="2">
        <v>9</v>
      </c>
      <c r="G2497" s="2">
        <v>9</v>
      </c>
      <c r="H2497" s="2">
        <v>0</v>
      </c>
      <c r="I2497" s="1">
        <v>0</v>
      </c>
      <c r="J2497" s="26">
        <v>45673</v>
      </c>
      <c r="K2497" s="22">
        <v>270000</v>
      </c>
      <c r="L2497" s="18">
        <v>288.77</v>
      </c>
      <c r="M2497" s="22">
        <v>206550</v>
      </c>
      <c r="N2497" s="22">
        <v>63450</v>
      </c>
      <c r="O2497" s="18">
        <v>67.86</v>
      </c>
      <c r="P2497" s="52">
        <f>IF(COUNTIF(TblPurchases[BatchID],TblOutcomes[[#This Row],[BatchID]])&lt;&gt;1,"n.a.",TblOutcomes[[#This Row],[Qty Wasted]]*SUMIFS(TblPurchases[Unit Cost (CLP)],TblPurchases[BatchID],TblOutcomes[[#This Row],[BatchID]]))</f>
        <v>0</v>
      </c>
      <c r="Q2497" s="51">
        <f>IF(COUNTIF(TblPurchases[BatchID],TblOutcomes[[#This Row],[BatchID]])&lt;&gt;1,"n.a.",SUMIFS(TblPurchases[Purchase Date],TblPurchases[BatchID],TblOutcomes[[#This Row],[BatchID]]))</f>
        <v>45659</v>
      </c>
    </row>
    <row r="2498" spans="2:17" x14ac:dyDescent="0.25">
      <c r="B2498" s="2" t="s">
        <v>3303</v>
      </c>
      <c r="C2498" s="2" t="s">
        <v>275</v>
      </c>
      <c r="D2498" s="2" t="s">
        <v>256</v>
      </c>
      <c r="E2498" s="2" t="s">
        <v>4646</v>
      </c>
      <c r="F2498" s="2">
        <v>8</v>
      </c>
      <c r="G2498" s="2">
        <v>7.18</v>
      </c>
      <c r="H2498" s="2">
        <v>0.82</v>
      </c>
      <c r="I2498" s="1">
        <v>10.3</v>
      </c>
      <c r="J2498" s="26">
        <v>45892</v>
      </c>
      <c r="K2498" s="22">
        <v>215400</v>
      </c>
      <c r="L2498" s="18">
        <v>230.37</v>
      </c>
      <c r="M2498" s="22">
        <v>183600</v>
      </c>
      <c r="N2498" s="22">
        <v>31800</v>
      </c>
      <c r="O2498" s="18">
        <v>34.01</v>
      </c>
      <c r="P2498" s="52">
        <f>IF(COUNTIF(TblPurchases[BatchID],TblOutcomes[[#This Row],[BatchID]])&lt;&gt;1,"n.a.",TblOutcomes[[#This Row],[Qty Wasted]]*SUMIFS(TblPurchases[Unit Cost (CLP)],TblPurchases[BatchID],TblOutcomes[[#This Row],[BatchID]]))</f>
        <v>18819</v>
      </c>
      <c r="Q2498" s="51">
        <f>IF(COUNTIF(TblPurchases[BatchID],TblOutcomes[[#This Row],[BatchID]])&lt;&gt;1,"n.a.",SUMIFS(TblPurchases[Purchase Date],TblPurchases[BatchID],TblOutcomes[[#This Row],[BatchID]]))</f>
        <v>45682</v>
      </c>
    </row>
    <row r="2499" spans="2:17" x14ac:dyDescent="0.25">
      <c r="B2499" s="2" t="s">
        <v>3304</v>
      </c>
      <c r="C2499" s="2" t="s">
        <v>275</v>
      </c>
      <c r="D2499" s="2" t="s">
        <v>256</v>
      </c>
      <c r="E2499" s="2" t="s">
        <v>4647</v>
      </c>
      <c r="F2499" s="2">
        <v>7</v>
      </c>
      <c r="G2499" s="2">
        <v>7</v>
      </c>
      <c r="H2499" s="2">
        <v>0</v>
      </c>
      <c r="I2499" s="1">
        <v>0</v>
      </c>
      <c r="J2499" s="26">
        <v>45712</v>
      </c>
      <c r="K2499" s="22">
        <v>210000</v>
      </c>
      <c r="L2499" s="18">
        <v>224.6</v>
      </c>
      <c r="M2499" s="22">
        <v>160650</v>
      </c>
      <c r="N2499" s="22">
        <v>49350</v>
      </c>
      <c r="O2499" s="18">
        <v>52.78</v>
      </c>
      <c r="P2499" s="52">
        <f>IF(COUNTIF(TblPurchases[BatchID],TblOutcomes[[#This Row],[BatchID]])&lt;&gt;1,"n.a.",TblOutcomes[[#This Row],[Qty Wasted]]*SUMIFS(TblPurchases[Unit Cost (CLP)],TblPurchases[BatchID],TblOutcomes[[#This Row],[BatchID]]))</f>
        <v>0</v>
      </c>
      <c r="Q2499" s="51">
        <f>IF(COUNTIF(TblPurchases[BatchID],TblOutcomes[[#This Row],[BatchID]])&lt;&gt;1,"n.a.",SUMIFS(TblPurchases[Purchase Date],TblPurchases[BatchID],TblOutcomes[[#This Row],[BatchID]]))</f>
        <v>45703</v>
      </c>
    </row>
    <row r="2500" spans="2:17" x14ac:dyDescent="0.25">
      <c r="B2500" s="2" t="s">
        <v>3305</v>
      </c>
      <c r="C2500" s="2" t="s">
        <v>275</v>
      </c>
      <c r="D2500" s="2" t="s">
        <v>256</v>
      </c>
      <c r="E2500" s="2" t="s">
        <v>4646</v>
      </c>
      <c r="F2500" s="2">
        <v>7</v>
      </c>
      <c r="G2500" s="2">
        <v>6.45</v>
      </c>
      <c r="H2500" s="2">
        <v>0.55000000000000004</v>
      </c>
      <c r="I2500" s="1">
        <v>7.9</v>
      </c>
      <c r="J2500" s="26">
        <v>45934</v>
      </c>
      <c r="K2500" s="22">
        <v>193500</v>
      </c>
      <c r="L2500" s="18">
        <v>206.95</v>
      </c>
      <c r="M2500" s="22">
        <v>160650</v>
      </c>
      <c r="N2500" s="22">
        <v>32850</v>
      </c>
      <c r="O2500" s="18">
        <v>35.130000000000003</v>
      </c>
      <c r="P2500" s="52">
        <f>IF(COUNTIF(TblPurchases[BatchID],TblOutcomes[[#This Row],[BatchID]])&lt;&gt;1,"n.a.",TblOutcomes[[#This Row],[Qty Wasted]]*SUMIFS(TblPurchases[Unit Cost (CLP)],TblPurchases[BatchID],TblOutcomes[[#This Row],[BatchID]]))</f>
        <v>12622.500000000002</v>
      </c>
      <c r="Q2500" s="51">
        <f>IF(COUNTIF(TblPurchases[BatchID],TblOutcomes[[#This Row],[BatchID]])&lt;&gt;1,"n.a.",SUMIFS(TblPurchases[Purchase Date],TblPurchases[BatchID],TblOutcomes[[#This Row],[BatchID]]))</f>
        <v>45724</v>
      </c>
    </row>
    <row r="2501" spans="2:17" x14ac:dyDescent="0.25">
      <c r="B2501" s="2" t="s">
        <v>3306</v>
      </c>
      <c r="C2501" s="2" t="s">
        <v>275</v>
      </c>
      <c r="D2501" s="2" t="s">
        <v>256</v>
      </c>
      <c r="E2501" s="2" t="s">
        <v>4646</v>
      </c>
      <c r="F2501" s="2">
        <v>9</v>
      </c>
      <c r="G2501" s="2">
        <v>8.27</v>
      </c>
      <c r="H2501" s="2">
        <v>0.73</v>
      </c>
      <c r="I2501" s="1">
        <v>8.1</v>
      </c>
      <c r="J2501" s="26">
        <v>45953</v>
      </c>
      <c r="K2501" s="22">
        <v>248100</v>
      </c>
      <c r="L2501" s="18">
        <v>265.35000000000002</v>
      </c>
      <c r="M2501" s="22">
        <v>206550</v>
      </c>
      <c r="N2501" s="22">
        <v>41550</v>
      </c>
      <c r="O2501" s="18">
        <v>44.44</v>
      </c>
      <c r="P2501" s="52">
        <f>IF(COUNTIF(TblPurchases[BatchID],TblOutcomes[[#This Row],[BatchID]])&lt;&gt;1,"n.a.",TblOutcomes[[#This Row],[Qty Wasted]]*SUMIFS(TblPurchases[Unit Cost (CLP)],TblPurchases[BatchID],TblOutcomes[[#This Row],[BatchID]]))</f>
        <v>16753.5</v>
      </c>
      <c r="Q2501" s="51">
        <f>IF(COUNTIF(TblPurchases[BatchID],TblOutcomes[[#This Row],[BatchID]])&lt;&gt;1,"n.a.",SUMIFS(TblPurchases[Purchase Date],TblPurchases[BatchID],TblOutcomes[[#This Row],[BatchID]]))</f>
        <v>45743</v>
      </c>
    </row>
    <row r="2502" spans="2:17" x14ac:dyDescent="0.25">
      <c r="B2502" s="2" t="s">
        <v>3307</v>
      </c>
      <c r="C2502" s="2" t="s">
        <v>275</v>
      </c>
      <c r="D2502" s="2" t="s">
        <v>256</v>
      </c>
      <c r="E2502" s="2" t="s">
        <v>4646</v>
      </c>
      <c r="F2502" s="2">
        <v>22</v>
      </c>
      <c r="G2502" s="2">
        <v>20.55</v>
      </c>
      <c r="H2502" s="2">
        <v>1.45</v>
      </c>
      <c r="I2502" s="1">
        <v>6.6</v>
      </c>
      <c r="J2502" s="26">
        <v>45975</v>
      </c>
      <c r="K2502" s="22">
        <v>616500</v>
      </c>
      <c r="L2502" s="18">
        <v>659.36</v>
      </c>
      <c r="M2502" s="22">
        <v>504900</v>
      </c>
      <c r="N2502" s="22">
        <v>111600</v>
      </c>
      <c r="O2502" s="18">
        <v>119.36</v>
      </c>
      <c r="P2502" s="52">
        <f>IF(COUNTIF(TblPurchases[BatchID],TblOutcomes[[#This Row],[BatchID]])&lt;&gt;1,"n.a.",TblOutcomes[[#This Row],[Qty Wasted]]*SUMIFS(TblPurchases[Unit Cost (CLP)],TblPurchases[BatchID],TblOutcomes[[#This Row],[BatchID]]))</f>
        <v>33277.5</v>
      </c>
      <c r="Q2502" s="51">
        <f>IF(COUNTIF(TblPurchases[BatchID],TblOutcomes[[#This Row],[BatchID]])&lt;&gt;1,"n.a.",SUMIFS(TblPurchases[Purchase Date],TblPurchases[BatchID],TblOutcomes[[#This Row],[BatchID]]))</f>
        <v>45765</v>
      </c>
    </row>
    <row r="2503" spans="2:17" x14ac:dyDescent="0.25">
      <c r="B2503" s="2" t="s">
        <v>3308</v>
      </c>
      <c r="C2503" s="2" t="s">
        <v>275</v>
      </c>
      <c r="D2503" s="2" t="s">
        <v>256</v>
      </c>
      <c r="E2503" s="2" t="s">
        <v>4647</v>
      </c>
      <c r="F2503" s="2">
        <v>19</v>
      </c>
      <c r="G2503" s="2">
        <v>19</v>
      </c>
      <c r="H2503" s="2">
        <v>0</v>
      </c>
      <c r="I2503" s="1">
        <v>0</v>
      </c>
      <c r="J2503" s="26">
        <v>45806</v>
      </c>
      <c r="K2503" s="22">
        <v>570000</v>
      </c>
      <c r="L2503" s="18">
        <v>609.63</v>
      </c>
      <c r="M2503" s="22">
        <v>454100</v>
      </c>
      <c r="N2503" s="22">
        <v>115900</v>
      </c>
      <c r="O2503" s="18">
        <v>123.96</v>
      </c>
      <c r="P2503" s="52">
        <f>IF(COUNTIF(TblPurchases[BatchID],TblOutcomes[[#This Row],[BatchID]])&lt;&gt;1,"n.a.",TblOutcomes[[#This Row],[Qty Wasted]]*SUMIFS(TblPurchases[Unit Cost (CLP)],TblPurchases[BatchID],TblOutcomes[[#This Row],[BatchID]]))</f>
        <v>0</v>
      </c>
      <c r="Q2503" s="51">
        <f>IF(COUNTIF(TblPurchases[BatchID],TblOutcomes[[#This Row],[BatchID]])&lt;&gt;1,"n.a.",SUMIFS(TblPurchases[Purchase Date],TblPurchases[BatchID],TblOutcomes[[#This Row],[BatchID]]))</f>
        <v>45785</v>
      </c>
    </row>
    <row r="2504" spans="2:17" x14ac:dyDescent="0.25">
      <c r="B2504" s="2" t="s">
        <v>3309</v>
      </c>
      <c r="C2504" s="2" t="s">
        <v>275</v>
      </c>
      <c r="D2504" s="2" t="s">
        <v>256</v>
      </c>
      <c r="E2504" s="2" t="s">
        <v>4647</v>
      </c>
      <c r="F2504" s="2">
        <v>23</v>
      </c>
      <c r="G2504" s="2">
        <v>23</v>
      </c>
      <c r="H2504" s="2">
        <v>0</v>
      </c>
      <c r="I2504" s="1">
        <v>0</v>
      </c>
      <c r="J2504" s="26">
        <v>45829</v>
      </c>
      <c r="K2504" s="22">
        <v>690000</v>
      </c>
      <c r="L2504" s="18">
        <v>737.97</v>
      </c>
      <c r="M2504" s="22">
        <v>527850</v>
      </c>
      <c r="N2504" s="22">
        <v>162150</v>
      </c>
      <c r="O2504" s="18">
        <v>173.42</v>
      </c>
      <c r="P2504" s="52">
        <f>IF(COUNTIF(TblPurchases[BatchID],TblOutcomes[[#This Row],[BatchID]])&lt;&gt;1,"n.a.",TblOutcomes[[#This Row],[Qty Wasted]]*SUMIFS(TblPurchases[Unit Cost (CLP)],TblPurchases[BatchID],TblOutcomes[[#This Row],[BatchID]]))</f>
        <v>0</v>
      </c>
      <c r="Q2504" s="51">
        <f>IF(COUNTIF(TblPurchases[BatchID],TblOutcomes[[#This Row],[BatchID]])&lt;&gt;1,"n.a.",SUMIFS(TblPurchases[Purchase Date],TblPurchases[BatchID],TblOutcomes[[#This Row],[BatchID]]))</f>
        <v>45811</v>
      </c>
    </row>
    <row r="2505" spans="2:17" x14ac:dyDescent="0.25">
      <c r="B2505" s="2" t="s">
        <v>3310</v>
      </c>
      <c r="C2505" s="2" t="s">
        <v>275</v>
      </c>
      <c r="D2505" s="2" t="s">
        <v>256</v>
      </c>
      <c r="E2505" s="2" t="s">
        <v>4647</v>
      </c>
      <c r="F2505" s="2">
        <v>22</v>
      </c>
      <c r="G2505" s="2">
        <v>22</v>
      </c>
      <c r="H2505" s="2">
        <v>0</v>
      </c>
      <c r="I2505" s="1">
        <v>0</v>
      </c>
      <c r="J2505" s="26">
        <v>45843</v>
      </c>
      <c r="K2505" s="22">
        <v>660000</v>
      </c>
      <c r="L2505" s="18">
        <v>705.88</v>
      </c>
      <c r="M2505" s="22">
        <v>504900</v>
      </c>
      <c r="N2505" s="22">
        <v>155100</v>
      </c>
      <c r="O2505" s="18">
        <v>165.88</v>
      </c>
      <c r="P2505" s="52">
        <f>IF(COUNTIF(TblPurchases[BatchID],TblOutcomes[[#This Row],[BatchID]])&lt;&gt;1,"n.a.",TblOutcomes[[#This Row],[Qty Wasted]]*SUMIFS(TblPurchases[Unit Cost (CLP)],TblPurchases[BatchID],TblOutcomes[[#This Row],[BatchID]]))</f>
        <v>0</v>
      </c>
      <c r="Q2505" s="51">
        <f>IF(COUNTIF(TblPurchases[BatchID],TblOutcomes[[#This Row],[BatchID]])&lt;&gt;1,"n.a.",SUMIFS(TblPurchases[Purchase Date],TblPurchases[BatchID],TblOutcomes[[#This Row],[BatchID]]))</f>
        <v>45830</v>
      </c>
    </row>
    <row r="2506" spans="2:17" x14ac:dyDescent="0.25">
      <c r="B2506" s="2" t="s">
        <v>3311</v>
      </c>
      <c r="C2506" s="2" t="s">
        <v>277</v>
      </c>
      <c r="D2506" s="2" t="s">
        <v>256</v>
      </c>
      <c r="E2506" s="2" t="s">
        <v>4647</v>
      </c>
      <c r="F2506" s="2">
        <v>21</v>
      </c>
      <c r="G2506" s="2">
        <v>21</v>
      </c>
      <c r="H2506" s="2">
        <v>0</v>
      </c>
      <c r="I2506" s="1">
        <v>0</v>
      </c>
      <c r="J2506" s="26">
        <v>45139</v>
      </c>
      <c r="K2506" s="22">
        <v>630000</v>
      </c>
      <c r="L2506" s="18">
        <v>673.8</v>
      </c>
      <c r="M2506" s="22">
        <v>471450</v>
      </c>
      <c r="N2506" s="22">
        <v>158550</v>
      </c>
      <c r="O2506" s="18">
        <v>169.57</v>
      </c>
      <c r="P2506" s="52">
        <f>IF(COUNTIF(TblPurchases[BatchID],TblOutcomes[[#This Row],[BatchID]])&lt;&gt;1,"n.a.",TblOutcomes[[#This Row],[Qty Wasted]]*SUMIFS(TblPurchases[Unit Cost (CLP)],TblPurchases[BatchID],TblOutcomes[[#This Row],[BatchID]]))</f>
        <v>0</v>
      </c>
      <c r="Q2506" s="51">
        <f>IF(COUNTIF(TblPurchases[BatchID],TblOutcomes[[#This Row],[BatchID]])&lt;&gt;1,"n.a.",SUMIFS(TblPurchases[Purchase Date],TblPurchases[BatchID],TblOutcomes[[#This Row],[BatchID]]))</f>
        <v>45125</v>
      </c>
    </row>
    <row r="2507" spans="2:17" x14ac:dyDescent="0.25">
      <c r="B2507" s="2" t="s">
        <v>3312</v>
      </c>
      <c r="C2507" s="2" t="s">
        <v>277</v>
      </c>
      <c r="D2507" s="2" t="s">
        <v>256</v>
      </c>
      <c r="E2507" s="2" t="s">
        <v>4647</v>
      </c>
      <c r="F2507" s="2">
        <v>17</v>
      </c>
      <c r="G2507" s="2">
        <v>17</v>
      </c>
      <c r="H2507" s="2">
        <v>0</v>
      </c>
      <c r="I2507" s="1">
        <v>0</v>
      </c>
      <c r="J2507" s="26">
        <v>45154</v>
      </c>
      <c r="K2507" s="22">
        <v>510000</v>
      </c>
      <c r="L2507" s="18">
        <v>545.45000000000005</v>
      </c>
      <c r="M2507" s="22">
        <v>381650</v>
      </c>
      <c r="N2507" s="22">
        <v>128350</v>
      </c>
      <c r="O2507" s="18">
        <v>137.27000000000001</v>
      </c>
      <c r="P2507" s="52">
        <f>IF(COUNTIF(TblPurchases[BatchID],TblOutcomes[[#This Row],[BatchID]])&lt;&gt;1,"n.a.",TblOutcomes[[#This Row],[Qty Wasted]]*SUMIFS(TblPurchases[Unit Cost (CLP)],TblPurchases[BatchID],TblOutcomes[[#This Row],[BatchID]]))</f>
        <v>0</v>
      </c>
      <c r="Q2507" s="51">
        <f>IF(COUNTIF(TblPurchases[BatchID],TblOutcomes[[#This Row],[BatchID]])&lt;&gt;1,"n.a.",SUMIFS(TblPurchases[Purchase Date],TblPurchases[BatchID],TblOutcomes[[#This Row],[BatchID]]))</f>
        <v>45149</v>
      </c>
    </row>
    <row r="2508" spans="2:17" x14ac:dyDescent="0.25">
      <c r="B2508" s="2" t="s">
        <v>3313</v>
      </c>
      <c r="C2508" s="2" t="s">
        <v>277</v>
      </c>
      <c r="D2508" s="2" t="s">
        <v>256</v>
      </c>
      <c r="E2508" s="2" t="s">
        <v>4647</v>
      </c>
      <c r="F2508" s="2">
        <v>18</v>
      </c>
      <c r="G2508" s="2">
        <v>18</v>
      </c>
      <c r="H2508" s="2">
        <v>0</v>
      </c>
      <c r="I2508" s="1">
        <v>0</v>
      </c>
      <c r="J2508" s="26">
        <v>45177</v>
      </c>
      <c r="K2508" s="22">
        <v>540000</v>
      </c>
      <c r="L2508" s="18">
        <v>577.54</v>
      </c>
      <c r="M2508" s="22">
        <v>404100</v>
      </c>
      <c r="N2508" s="22">
        <v>135900</v>
      </c>
      <c r="O2508" s="18">
        <v>145.35</v>
      </c>
      <c r="P2508" s="52">
        <f>IF(COUNTIF(TblPurchases[BatchID],TblOutcomes[[#This Row],[BatchID]])&lt;&gt;1,"n.a.",TblOutcomes[[#This Row],[Qty Wasted]]*SUMIFS(TblPurchases[Unit Cost (CLP)],TblPurchases[BatchID],TblOutcomes[[#This Row],[BatchID]]))</f>
        <v>0</v>
      </c>
      <c r="Q2508" s="51">
        <f>IF(COUNTIF(TblPurchases[BatchID],TblOutcomes[[#This Row],[BatchID]])&lt;&gt;1,"n.a.",SUMIFS(TblPurchases[Purchase Date],TblPurchases[BatchID],TblOutcomes[[#This Row],[BatchID]]))</f>
        <v>45168</v>
      </c>
    </row>
    <row r="2509" spans="2:17" x14ac:dyDescent="0.25">
      <c r="B2509" s="2" t="s">
        <v>3314</v>
      </c>
      <c r="C2509" s="2" t="s">
        <v>277</v>
      </c>
      <c r="D2509" s="2" t="s">
        <v>256</v>
      </c>
      <c r="E2509" s="2" t="s">
        <v>4647</v>
      </c>
      <c r="F2509" s="2">
        <v>25</v>
      </c>
      <c r="G2509" s="2">
        <v>25</v>
      </c>
      <c r="H2509" s="2">
        <v>0</v>
      </c>
      <c r="I2509" s="1">
        <v>0</v>
      </c>
      <c r="J2509" s="26">
        <v>45202</v>
      </c>
      <c r="K2509" s="22">
        <v>750000</v>
      </c>
      <c r="L2509" s="18">
        <v>802.14</v>
      </c>
      <c r="M2509" s="22">
        <v>561250</v>
      </c>
      <c r="N2509" s="22">
        <v>188750</v>
      </c>
      <c r="O2509" s="18">
        <v>201.87</v>
      </c>
      <c r="P2509" s="52">
        <f>IF(COUNTIF(TblPurchases[BatchID],TblOutcomes[[#This Row],[BatchID]])&lt;&gt;1,"n.a.",TblOutcomes[[#This Row],[Qty Wasted]]*SUMIFS(TblPurchases[Unit Cost (CLP)],TblPurchases[BatchID],TblOutcomes[[#This Row],[BatchID]]))</f>
        <v>0</v>
      </c>
      <c r="Q2509" s="51">
        <f>IF(COUNTIF(TblPurchases[BatchID],TblOutcomes[[#This Row],[BatchID]])&lt;&gt;1,"n.a.",SUMIFS(TblPurchases[Purchase Date],TblPurchases[BatchID],TblOutcomes[[#This Row],[BatchID]]))</f>
        <v>45185</v>
      </c>
    </row>
    <row r="2510" spans="2:17" x14ac:dyDescent="0.25">
      <c r="B2510" s="2" t="s">
        <v>3315</v>
      </c>
      <c r="C2510" s="2" t="s">
        <v>277</v>
      </c>
      <c r="D2510" s="2" t="s">
        <v>256</v>
      </c>
      <c r="E2510" s="2" t="s">
        <v>4646</v>
      </c>
      <c r="F2510" s="2">
        <v>6</v>
      </c>
      <c r="G2510" s="2">
        <v>5.48</v>
      </c>
      <c r="H2510" s="2">
        <v>0.52</v>
      </c>
      <c r="I2510" s="1">
        <v>8.6999999999999993</v>
      </c>
      <c r="J2510" s="26">
        <v>45415</v>
      </c>
      <c r="K2510" s="22">
        <v>164400</v>
      </c>
      <c r="L2510" s="18">
        <v>175.83</v>
      </c>
      <c r="M2510" s="22">
        <v>134700</v>
      </c>
      <c r="N2510" s="22">
        <v>29700</v>
      </c>
      <c r="O2510" s="18">
        <v>31.76</v>
      </c>
      <c r="P2510" s="52">
        <f>IF(COUNTIF(TblPurchases[BatchID],TblOutcomes[[#This Row],[BatchID]])&lt;&gt;1,"n.a.",TblOutcomes[[#This Row],[Qty Wasted]]*SUMIFS(TblPurchases[Unit Cost (CLP)],TblPurchases[BatchID],TblOutcomes[[#This Row],[BatchID]]))</f>
        <v>11674</v>
      </c>
      <c r="Q2510" s="51">
        <f>IF(COUNTIF(TblPurchases[BatchID],TblOutcomes[[#This Row],[BatchID]])&lt;&gt;1,"n.a.",SUMIFS(TblPurchases[Purchase Date],TblPurchases[BatchID],TblOutcomes[[#This Row],[BatchID]]))</f>
        <v>45205</v>
      </c>
    </row>
    <row r="2511" spans="2:17" x14ac:dyDescent="0.25">
      <c r="B2511" s="2" t="s">
        <v>3316</v>
      </c>
      <c r="C2511" s="2" t="s">
        <v>277</v>
      </c>
      <c r="D2511" s="2" t="s">
        <v>256</v>
      </c>
      <c r="E2511" s="2" t="s">
        <v>4647</v>
      </c>
      <c r="F2511" s="2">
        <v>8</v>
      </c>
      <c r="G2511" s="2">
        <v>8</v>
      </c>
      <c r="H2511" s="2">
        <v>0</v>
      </c>
      <c r="I2511" s="1">
        <v>0</v>
      </c>
      <c r="J2511" s="26">
        <v>45250</v>
      </c>
      <c r="K2511" s="22">
        <v>240000</v>
      </c>
      <c r="L2511" s="18">
        <v>256.68</v>
      </c>
      <c r="M2511" s="22">
        <v>179600</v>
      </c>
      <c r="N2511" s="22">
        <v>60400</v>
      </c>
      <c r="O2511" s="18">
        <v>64.599999999999994</v>
      </c>
      <c r="P2511" s="52">
        <f>IF(COUNTIF(TblPurchases[BatchID],TblOutcomes[[#This Row],[BatchID]])&lt;&gt;1,"n.a.",TblOutcomes[[#This Row],[Qty Wasted]]*SUMIFS(TblPurchases[Unit Cost (CLP)],TblPurchases[BatchID],TblOutcomes[[#This Row],[BatchID]]))</f>
        <v>0</v>
      </c>
      <c r="Q2511" s="51">
        <f>IF(COUNTIF(TblPurchases[BatchID],TblOutcomes[[#This Row],[BatchID]])&lt;&gt;1,"n.a.",SUMIFS(TblPurchases[Purchase Date],TblPurchases[BatchID],TblOutcomes[[#This Row],[BatchID]]))</f>
        <v>45227</v>
      </c>
    </row>
    <row r="2512" spans="2:17" x14ac:dyDescent="0.25">
      <c r="B2512" s="2" t="s">
        <v>3317</v>
      </c>
      <c r="C2512" s="2" t="s">
        <v>277</v>
      </c>
      <c r="D2512" s="2" t="s">
        <v>256</v>
      </c>
      <c r="E2512" s="2" t="s">
        <v>4646</v>
      </c>
      <c r="F2512" s="2">
        <v>6</v>
      </c>
      <c r="G2512" s="2">
        <v>5.36</v>
      </c>
      <c r="H2512" s="2">
        <v>0.64</v>
      </c>
      <c r="I2512" s="1">
        <v>10.7</v>
      </c>
      <c r="J2512" s="26">
        <v>45457</v>
      </c>
      <c r="K2512" s="22">
        <v>160800</v>
      </c>
      <c r="L2512" s="18">
        <v>171.98</v>
      </c>
      <c r="M2512" s="22">
        <v>134700</v>
      </c>
      <c r="N2512" s="22">
        <v>26100</v>
      </c>
      <c r="O2512" s="18">
        <v>27.91</v>
      </c>
      <c r="P2512" s="52">
        <f>IF(COUNTIF(TblPurchases[BatchID],TblOutcomes[[#This Row],[BatchID]])&lt;&gt;1,"n.a.",TblOutcomes[[#This Row],[Qty Wasted]]*SUMIFS(TblPurchases[Unit Cost (CLP)],TblPurchases[BatchID],TblOutcomes[[#This Row],[BatchID]]))</f>
        <v>14368</v>
      </c>
      <c r="Q2512" s="51">
        <f>IF(COUNTIF(TblPurchases[BatchID],TblOutcomes[[#This Row],[BatchID]])&lt;&gt;1,"n.a.",SUMIFS(TblPurchases[Purchase Date],TblPurchases[BatchID],TblOutcomes[[#This Row],[BatchID]]))</f>
        <v>45247</v>
      </c>
    </row>
    <row r="2513" spans="2:17" x14ac:dyDescent="0.25">
      <c r="B2513" s="2" t="s">
        <v>3318</v>
      </c>
      <c r="C2513" s="2" t="s">
        <v>277</v>
      </c>
      <c r="D2513" s="2" t="s">
        <v>256</v>
      </c>
      <c r="E2513" s="2" t="s">
        <v>4646</v>
      </c>
      <c r="F2513" s="2">
        <v>10</v>
      </c>
      <c r="G2513" s="2">
        <v>9.32</v>
      </c>
      <c r="H2513" s="2">
        <v>0.68</v>
      </c>
      <c r="I2513" s="1">
        <v>6.8</v>
      </c>
      <c r="J2513" s="26">
        <v>45478</v>
      </c>
      <c r="K2513" s="22">
        <v>279600</v>
      </c>
      <c r="L2513" s="18">
        <v>299.04000000000002</v>
      </c>
      <c r="M2513" s="22">
        <v>224500</v>
      </c>
      <c r="N2513" s="22">
        <v>55100</v>
      </c>
      <c r="O2513" s="18">
        <v>58.93</v>
      </c>
      <c r="P2513" s="52">
        <f>IF(COUNTIF(TblPurchases[BatchID],TblOutcomes[[#This Row],[BatchID]])&lt;&gt;1,"n.a.",TblOutcomes[[#This Row],[Qty Wasted]]*SUMIFS(TblPurchases[Unit Cost (CLP)],TblPurchases[BatchID],TblOutcomes[[#This Row],[BatchID]]))</f>
        <v>15266.000000000002</v>
      </c>
      <c r="Q2513" s="51">
        <f>IF(COUNTIF(TblPurchases[BatchID],TblOutcomes[[#This Row],[BatchID]])&lt;&gt;1,"n.a.",SUMIFS(TblPurchases[Purchase Date],TblPurchases[BatchID],TblOutcomes[[#This Row],[BatchID]]))</f>
        <v>45268</v>
      </c>
    </row>
    <row r="2514" spans="2:17" x14ac:dyDescent="0.25">
      <c r="B2514" s="2" t="s">
        <v>3319</v>
      </c>
      <c r="C2514" s="2" t="s">
        <v>277</v>
      </c>
      <c r="D2514" s="2" t="s">
        <v>256</v>
      </c>
      <c r="E2514" s="2" t="s">
        <v>4646</v>
      </c>
      <c r="F2514" s="2">
        <v>9</v>
      </c>
      <c r="G2514" s="2">
        <v>8.43</v>
      </c>
      <c r="H2514" s="2">
        <v>0.56999999999999995</v>
      </c>
      <c r="I2514" s="1">
        <v>6.3</v>
      </c>
      <c r="J2514" s="26">
        <v>45499</v>
      </c>
      <c r="K2514" s="22">
        <v>252900</v>
      </c>
      <c r="L2514" s="18">
        <v>270.48</v>
      </c>
      <c r="M2514" s="22">
        <v>202050</v>
      </c>
      <c r="N2514" s="22">
        <v>50850</v>
      </c>
      <c r="O2514" s="18">
        <v>54.39</v>
      </c>
      <c r="P2514" s="52">
        <f>IF(COUNTIF(TblPurchases[BatchID],TblOutcomes[[#This Row],[BatchID]])&lt;&gt;1,"n.a.",TblOutcomes[[#This Row],[Qty Wasted]]*SUMIFS(TblPurchases[Unit Cost (CLP)],TblPurchases[BatchID],TblOutcomes[[#This Row],[BatchID]]))</f>
        <v>12796.499999999998</v>
      </c>
      <c r="Q2514" s="51">
        <f>IF(COUNTIF(TblPurchases[BatchID],TblOutcomes[[#This Row],[BatchID]])&lt;&gt;1,"n.a.",SUMIFS(TblPurchases[Purchase Date],TblPurchases[BatchID],TblOutcomes[[#This Row],[BatchID]]))</f>
        <v>45289</v>
      </c>
    </row>
    <row r="2515" spans="2:17" x14ac:dyDescent="0.25">
      <c r="B2515" s="2" t="s">
        <v>3320</v>
      </c>
      <c r="C2515" s="2" t="s">
        <v>277</v>
      </c>
      <c r="D2515" s="2" t="s">
        <v>256</v>
      </c>
      <c r="E2515" s="2" t="s">
        <v>4646</v>
      </c>
      <c r="F2515" s="2">
        <v>7</v>
      </c>
      <c r="G2515" s="2">
        <v>6.39</v>
      </c>
      <c r="H2515" s="2">
        <v>0.61</v>
      </c>
      <c r="I2515" s="1">
        <v>8.6999999999999993</v>
      </c>
      <c r="J2515" s="26">
        <v>45517</v>
      </c>
      <c r="K2515" s="22">
        <v>191700</v>
      </c>
      <c r="L2515" s="18">
        <v>205.03</v>
      </c>
      <c r="M2515" s="22">
        <v>157150</v>
      </c>
      <c r="N2515" s="22">
        <v>34550</v>
      </c>
      <c r="O2515" s="18">
        <v>36.950000000000003</v>
      </c>
      <c r="P2515" s="52">
        <f>IF(COUNTIF(TblPurchases[BatchID],TblOutcomes[[#This Row],[BatchID]])&lt;&gt;1,"n.a.",TblOutcomes[[#This Row],[Qty Wasted]]*SUMIFS(TblPurchases[Unit Cost (CLP)],TblPurchases[BatchID],TblOutcomes[[#This Row],[BatchID]]))</f>
        <v>13694.5</v>
      </c>
      <c r="Q2515" s="51">
        <f>IF(COUNTIF(TblPurchases[BatchID],TblOutcomes[[#This Row],[BatchID]])&lt;&gt;1,"n.a.",SUMIFS(TblPurchases[Purchase Date],TblPurchases[BatchID],TblOutcomes[[#This Row],[BatchID]]))</f>
        <v>45307</v>
      </c>
    </row>
    <row r="2516" spans="2:17" x14ac:dyDescent="0.25">
      <c r="B2516" s="2" t="s">
        <v>3321</v>
      </c>
      <c r="C2516" s="2" t="s">
        <v>277</v>
      </c>
      <c r="D2516" s="2" t="s">
        <v>256</v>
      </c>
      <c r="E2516" s="2" t="s">
        <v>4646</v>
      </c>
      <c r="F2516" s="2">
        <v>7</v>
      </c>
      <c r="G2516" s="2">
        <v>6.44</v>
      </c>
      <c r="H2516" s="2">
        <v>0.56000000000000005</v>
      </c>
      <c r="I2516" s="1">
        <v>8</v>
      </c>
      <c r="J2516" s="26">
        <v>45534</v>
      </c>
      <c r="K2516" s="22">
        <v>193200</v>
      </c>
      <c r="L2516" s="18">
        <v>206.63</v>
      </c>
      <c r="M2516" s="22">
        <v>157150</v>
      </c>
      <c r="N2516" s="22">
        <v>36050</v>
      </c>
      <c r="O2516" s="18">
        <v>38.56</v>
      </c>
      <c r="P2516" s="52">
        <f>IF(COUNTIF(TblPurchases[BatchID],TblOutcomes[[#This Row],[BatchID]])&lt;&gt;1,"n.a.",TblOutcomes[[#This Row],[Qty Wasted]]*SUMIFS(TblPurchases[Unit Cost (CLP)],TblPurchases[BatchID],TblOutcomes[[#This Row],[BatchID]]))</f>
        <v>12572.000000000002</v>
      </c>
      <c r="Q2516" s="51">
        <f>IF(COUNTIF(TblPurchases[BatchID],TblOutcomes[[#This Row],[BatchID]])&lt;&gt;1,"n.a.",SUMIFS(TblPurchases[Purchase Date],TblPurchases[BatchID],TblOutcomes[[#This Row],[BatchID]]))</f>
        <v>45324</v>
      </c>
    </row>
    <row r="2517" spans="2:17" x14ac:dyDescent="0.25">
      <c r="B2517" s="2" t="s">
        <v>3322</v>
      </c>
      <c r="C2517" s="2" t="s">
        <v>277</v>
      </c>
      <c r="D2517" s="2" t="s">
        <v>256</v>
      </c>
      <c r="E2517" s="2" t="s">
        <v>4646</v>
      </c>
      <c r="F2517" s="2">
        <v>7</v>
      </c>
      <c r="G2517" s="2">
        <v>6.14</v>
      </c>
      <c r="H2517" s="2">
        <v>0.86</v>
      </c>
      <c r="I2517" s="1">
        <v>12.3</v>
      </c>
      <c r="J2517" s="26">
        <v>45562</v>
      </c>
      <c r="K2517" s="22">
        <v>184200</v>
      </c>
      <c r="L2517" s="18">
        <v>197.01</v>
      </c>
      <c r="M2517" s="22">
        <v>157150</v>
      </c>
      <c r="N2517" s="22">
        <v>27050</v>
      </c>
      <c r="O2517" s="18">
        <v>28.93</v>
      </c>
      <c r="P2517" s="52">
        <f>IF(COUNTIF(TblPurchases[BatchID],TblOutcomes[[#This Row],[BatchID]])&lt;&gt;1,"n.a.",TblOutcomes[[#This Row],[Qty Wasted]]*SUMIFS(TblPurchases[Unit Cost (CLP)],TblPurchases[BatchID],TblOutcomes[[#This Row],[BatchID]]))</f>
        <v>19307</v>
      </c>
      <c r="Q2517" s="51">
        <f>IF(COUNTIF(TblPurchases[BatchID],TblOutcomes[[#This Row],[BatchID]])&lt;&gt;1,"n.a.",SUMIFS(TblPurchases[Purchase Date],TblPurchases[BatchID],TblOutcomes[[#This Row],[BatchID]]))</f>
        <v>45352</v>
      </c>
    </row>
    <row r="2518" spans="2:17" x14ac:dyDescent="0.25">
      <c r="B2518" s="2" t="s">
        <v>3323</v>
      </c>
      <c r="C2518" s="2" t="s">
        <v>277</v>
      </c>
      <c r="D2518" s="2" t="s">
        <v>256</v>
      </c>
      <c r="E2518" s="2" t="s">
        <v>4646</v>
      </c>
      <c r="F2518" s="2">
        <v>8</v>
      </c>
      <c r="G2518" s="2">
        <v>7.06</v>
      </c>
      <c r="H2518" s="2">
        <v>0.94</v>
      </c>
      <c r="I2518" s="1">
        <v>11.7</v>
      </c>
      <c r="J2518" s="26">
        <v>45576</v>
      </c>
      <c r="K2518" s="22">
        <v>211800</v>
      </c>
      <c r="L2518" s="18">
        <v>226.52</v>
      </c>
      <c r="M2518" s="22">
        <v>179600</v>
      </c>
      <c r="N2518" s="22">
        <v>32200</v>
      </c>
      <c r="O2518" s="18">
        <v>34.44</v>
      </c>
      <c r="P2518" s="52">
        <f>IF(COUNTIF(TblPurchases[BatchID],TblOutcomes[[#This Row],[BatchID]])&lt;&gt;1,"n.a.",TblOutcomes[[#This Row],[Qty Wasted]]*SUMIFS(TblPurchases[Unit Cost (CLP)],TblPurchases[BatchID],TblOutcomes[[#This Row],[BatchID]]))</f>
        <v>21103</v>
      </c>
      <c r="Q2518" s="51">
        <f>IF(COUNTIF(TblPurchases[BatchID],TblOutcomes[[#This Row],[BatchID]])&lt;&gt;1,"n.a.",SUMIFS(TblPurchases[Purchase Date],TblPurchases[BatchID],TblOutcomes[[#This Row],[BatchID]]))</f>
        <v>45366</v>
      </c>
    </row>
    <row r="2519" spans="2:17" x14ac:dyDescent="0.25">
      <c r="B2519" s="2" t="s">
        <v>3324</v>
      </c>
      <c r="C2519" s="2" t="s">
        <v>277</v>
      </c>
      <c r="D2519" s="2" t="s">
        <v>256</v>
      </c>
      <c r="E2519" s="2" t="s">
        <v>4647</v>
      </c>
      <c r="F2519" s="2">
        <v>18</v>
      </c>
      <c r="G2519" s="2">
        <v>18</v>
      </c>
      <c r="H2519" s="2">
        <v>0</v>
      </c>
      <c r="I2519" s="1">
        <v>0</v>
      </c>
      <c r="J2519" s="26">
        <v>45402</v>
      </c>
      <c r="K2519" s="22">
        <v>540000</v>
      </c>
      <c r="L2519" s="18">
        <v>577.54</v>
      </c>
      <c r="M2519" s="22">
        <v>404100</v>
      </c>
      <c r="N2519" s="22">
        <v>135900</v>
      </c>
      <c r="O2519" s="18">
        <v>145.35</v>
      </c>
      <c r="P2519" s="52">
        <f>IF(COUNTIF(TblPurchases[BatchID],TblOutcomes[[#This Row],[BatchID]])&lt;&gt;1,"n.a.",TblOutcomes[[#This Row],[Qty Wasted]]*SUMIFS(TblPurchases[Unit Cost (CLP)],TblPurchases[BatchID],TblOutcomes[[#This Row],[BatchID]]))</f>
        <v>0</v>
      </c>
      <c r="Q2519" s="51">
        <f>IF(COUNTIF(TblPurchases[BatchID],TblOutcomes[[#This Row],[BatchID]])&lt;&gt;1,"n.a.",SUMIFS(TblPurchases[Purchase Date],TblPurchases[BatchID],TblOutcomes[[#This Row],[BatchID]]))</f>
        <v>45386</v>
      </c>
    </row>
    <row r="2520" spans="2:17" x14ac:dyDescent="0.25">
      <c r="B2520" s="2" t="s">
        <v>3325</v>
      </c>
      <c r="C2520" s="2" t="s">
        <v>277</v>
      </c>
      <c r="D2520" s="2" t="s">
        <v>256</v>
      </c>
      <c r="E2520" s="2" t="s">
        <v>4647</v>
      </c>
      <c r="F2520" s="2">
        <v>20</v>
      </c>
      <c r="G2520" s="2">
        <v>20</v>
      </c>
      <c r="H2520" s="2">
        <v>0</v>
      </c>
      <c r="I2520" s="1">
        <v>0</v>
      </c>
      <c r="J2520" s="26">
        <v>45427</v>
      </c>
      <c r="K2520" s="22">
        <v>600000</v>
      </c>
      <c r="L2520" s="18">
        <v>641.71</v>
      </c>
      <c r="M2520" s="22">
        <v>449000</v>
      </c>
      <c r="N2520" s="22">
        <v>151000</v>
      </c>
      <c r="O2520" s="18">
        <v>161.5</v>
      </c>
      <c r="P2520" s="52">
        <f>IF(COUNTIF(TblPurchases[BatchID],TblOutcomes[[#This Row],[BatchID]])&lt;&gt;1,"n.a.",TblOutcomes[[#This Row],[Qty Wasted]]*SUMIFS(TblPurchases[Unit Cost (CLP)],TblPurchases[BatchID],TblOutcomes[[#This Row],[BatchID]]))</f>
        <v>0</v>
      </c>
      <c r="Q2520" s="51">
        <f>IF(COUNTIF(TblPurchases[BatchID],TblOutcomes[[#This Row],[BatchID]])&lt;&gt;1,"n.a.",SUMIFS(TblPurchases[Purchase Date],TblPurchases[BatchID],TblOutcomes[[#This Row],[BatchID]]))</f>
        <v>45403</v>
      </c>
    </row>
    <row r="2521" spans="2:17" x14ac:dyDescent="0.25">
      <c r="B2521" s="2" t="s">
        <v>3326</v>
      </c>
      <c r="C2521" s="2" t="s">
        <v>277</v>
      </c>
      <c r="D2521" s="2" t="s">
        <v>256</v>
      </c>
      <c r="E2521" s="2" t="s">
        <v>4647</v>
      </c>
      <c r="F2521" s="2">
        <v>19</v>
      </c>
      <c r="G2521" s="2">
        <v>19</v>
      </c>
      <c r="H2521" s="2">
        <v>0</v>
      </c>
      <c r="I2521" s="1">
        <v>0</v>
      </c>
      <c r="J2521" s="26">
        <v>45435</v>
      </c>
      <c r="K2521" s="22">
        <v>570000</v>
      </c>
      <c r="L2521" s="18">
        <v>609.63</v>
      </c>
      <c r="M2521" s="22">
        <v>426550</v>
      </c>
      <c r="N2521" s="22">
        <v>143450</v>
      </c>
      <c r="O2521" s="18">
        <v>153.41999999999999</v>
      </c>
      <c r="P2521" s="52">
        <f>IF(COUNTIF(TblPurchases[BatchID],TblOutcomes[[#This Row],[BatchID]])&lt;&gt;1,"n.a.",TblOutcomes[[#This Row],[Qty Wasted]]*SUMIFS(TblPurchases[Unit Cost (CLP)],TblPurchases[BatchID],TblOutcomes[[#This Row],[BatchID]]))</f>
        <v>0</v>
      </c>
      <c r="Q2521" s="51">
        <f>IF(COUNTIF(TblPurchases[BatchID],TblOutcomes[[#This Row],[BatchID]])&lt;&gt;1,"n.a.",SUMIFS(TblPurchases[Purchase Date],TblPurchases[BatchID],TblOutcomes[[#This Row],[BatchID]]))</f>
        <v>45422</v>
      </c>
    </row>
    <row r="2522" spans="2:17" x14ac:dyDescent="0.25">
      <c r="B2522" s="2" t="s">
        <v>3327</v>
      </c>
      <c r="C2522" s="2" t="s">
        <v>277</v>
      </c>
      <c r="D2522" s="2" t="s">
        <v>256</v>
      </c>
      <c r="E2522" s="2" t="s">
        <v>4647</v>
      </c>
      <c r="F2522" s="2">
        <v>21</v>
      </c>
      <c r="G2522" s="2">
        <v>21</v>
      </c>
      <c r="H2522" s="2">
        <v>0</v>
      </c>
      <c r="I2522" s="1">
        <v>0</v>
      </c>
      <c r="J2522" s="26">
        <v>45458</v>
      </c>
      <c r="K2522" s="22">
        <v>630000</v>
      </c>
      <c r="L2522" s="18">
        <v>673.8</v>
      </c>
      <c r="M2522" s="22">
        <v>471450</v>
      </c>
      <c r="N2522" s="22">
        <v>158550</v>
      </c>
      <c r="O2522" s="18">
        <v>169.57</v>
      </c>
      <c r="P2522" s="52">
        <f>IF(COUNTIF(TblPurchases[BatchID],TblOutcomes[[#This Row],[BatchID]])&lt;&gt;1,"n.a.",TblOutcomes[[#This Row],[Qty Wasted]]*SUMIFS(TblPurchases[Unit Cost (CLP)],TblPurchases[BatchID],TblOutcomes[[#This Row],[BatchID]]))</f>
        <v>0</v>
      </c>
      <c r="Q2522" s="51">
        <f>IF(COUNTIF(TblPurchases[BatchID],TblOutcomes[[#This Row],[BatchID]])&lt;&gt;1,"n.a.",SUMIFS(TblPurchases[Purchase Date],TblPurchases[BatchID],TblOutcomes[[#This Row],[BatchID]]))</f>
        <v>45439</v>
      </c>
    </row>
    <row r="2523" spans="2:17" x14ac:dyDescent="0.25">
      <c r="B2523" s="2" t="s">
        <v>3328</v>
      </c>
      <c r="C2523" s="2" t="s">
        <v>277</v>
      </c>
      <c r="D2523" s="2" t="s">
        <v>256</v>
      </c>
      <c r="E2523" s="2" t="s">
        <v>4646</v>
      </c>
      <c r="F2523" s="2">
        <v>18</v>
      </c>
      <c r="G2523" s="2">
        <v>17.41</v>
      </c>
      <c r="H2523" s="2">
        <v>0.59</v>
      </c>
      <c r="I2523" s="1">
        <v>3.3</v>
      </c>
      <c r="J2523" s="26">
        <v>45666</v>
      </c>
      <c r="K2523" s="22">
        <v>522300</v>
      </c>
      <c r="L2523" s="18">
        <v>558.61</v>
      </c>
      <c r="M2523" s="22">
        <v>439200</v>
      </c>
      <c r="N2523" s="22">
        <v>83100</v>
      </c>
      <c r="O2523" s="18">
        <v>88.88</v>
      </c>
      <c r="P2523" s="52">
        <f>IF(COUNTIF(TblPurchases[BatchID],TblOutcomes[[#This Row],[BatchID]])&lt;&gt;1,"n.a.",TblOutcomes[[#This Row],[Qty Wasted]]*SUMIFS(TblPurchases[Unit Cost (CLP)],TblPurchases[BatchID],TblOutcomes[[#This Row],[BatchID]]))</f>
        <v>14396</v>
      </c>
      <c r="Q2523" s="51">
        <f>IF(COUNTIF(TblPurchases[BatchID],TblOutcomes[[#This Row],[BatchID]])&lt;&gt;1,"n.a.",SUMIFS(TblPurchases[Purchase Date],TblPurchases[BatchID],TblOutcomes[[#This Row],[BatchID]]))</f>
        <v>45456</v>
      </c>
    </row>
    <row r="2524" spans="2:17" x14ac:dyDescent="0.25">
      <c r="B2524" s="2" t="s">
        <v>3329</v>
      </c>
      <c r="C2524" s="2" t="s">
        <v>277</v>
      </c>
      <c r="D2524" s="2" t="s">
        <v>256</v>
      </c>
      <c r="E2524" s="2" t="s">
        <v>4647</v>
      </c>
      <c r="F2524" s="2">
        <v>21</v>
      </c>
      <c r="G2524" s="2">
        <v>21</v>
      </c>
      <c r="H2524" s="2">
        <v>0</v>
      </c>
      <c r="I2524" s="1">
        <v>0</v>
      </c>
      <c r="J2524" s="26">
        <v>45501</v>
      </c>
      <c r="K2524" s="22">
        <v>630000</v>
      </c>
      <c r="L2524" s="18">
        <v>673.8</v>
      </c>
      <c r="M2524" s="22">
        <v>471450</v>
      </c>
      <c r="N2524" s="22">
        <v>158550</v>
      </c>
      <c r="O2524" s="18">
        <v>169.57</v>
      </c>
      <c r="P2524" s="52">
        <f>IF(COUNTIF(TblPurchases[BatchID],TblOutcomes[[#This Row],[BatchID]])&lt;&gt;1,"n.a.",TblOutcomes[[#This Row],[Qty Wasted]]*SUMIFS(TblPurchases[Unit Cost (CLP)],TblPurchases[BatchID],TblOutcomes[[#This Row],[BatchID]]))</f>
        <v>0</v>
      </c>
      <c r="Q2524" s="51">
        <f>IF(COUNTIF(TblPurchases[BatchID],TblOutcomes[[#This Row],[BatchID]])&lt;&gt;1,"n.a.",SUMIFS(TblPurchases[Purchase Date],TblPurchases[BatchID],TblOutcomes[[#This Row],[BatchID]]))</f>
        <v>45476</v>
      </c>
    </row>
    <row r="2525" spans="2:17" x14ac:dyDescent="0.25">
      <c r="B2525" s="2" t="s">
        <v>3330</v>
      </c>
      <c r="C2525" s="2" t="s">
        <v>277</v>
      </c>
      <c r="D2525" s="2" t="s">
        <v>256</v>
      </c>
      <c r="E2525" s="2" t="s">
        <v>4647</v>
      </c>
      <c r="F2525" s="2">
        <v>22</v>
      </c>
      <c r="G2525" s="2">
        <v>22</v>
      </c>
      <c r="H2525" s="2">
        <v>0</v>
      </c>
      <c r="I2525" s="1">
        <v>0</v>
      </c>
      <c r="J2525" s="26">
        <v>45522</v>
      </c>
      <c r="K2525" s="22">
        <v>660000</v>
      </c>
      <c r="L2525" s="18">
        <v>705.88</v>
      </c>
      <c r="M2525" s="22">
        <v>493900</v>
      </c>
      <c r="N2525" s="22">
        <v>166100</v>
      </c>
      <c r="O2525" s="18">
        <v>177.65</v>
      </c>
      <c r="P2525" s="52">
        <f>IF(COUNTIF(TblPurchases[BatchID],TblOutcomes[[#This Row],[BatchID]])&lt;&gt;1,"n.a.",TblOutcomes[[#This Row],[Qty Wasted]]*SUMIFS(TblPurchases[Unit Cost (CLP)],TblPurchases[BatchID],TblOutcomes[[#This Row],[BatchID]]))</f>
        <v>0</v>
      </c>
      <c r="Q2525" s="51">
        <f>IF(COUNTIF(TblPurchases[BatchID],TblOutcomes[[#This Row],[BatchID]])&lt;&gt;1,"n.a.",SUMIFS(TblPurchases[Purchase Date],TblPurchases[BatchID],TblOutcomes[[#This Row],[BatchID]]))</f>
        <v>45500</v>
      </c>
    </row>
    <row r="2526" spans="2:17" x14ac:dyDescent="0.25">
      <c r="B2526" s="2" t="s">
        <v>3331</v>
      </c>
      <c r="C2526" s="2" t="s">
        <v>277</v>
      </c>
      <c r="D2526" s="2" t="s">
        <v>256</v>
      </c>
      <c r="E2526" s="2" t="s">
        <v>4647</v>
      </c>
      <c r="F2526" s="2">
        <v>22</v>
      </c>
      <c r="G2526" s="2">
        <v>22</v>
      </c>
      <c r="H2526" s="2">
        <v>0</v>
      </c>
      <c r="I2526" s="1">
        <v>0</v>
      </c>
      <c r="J2526" s="26">
        <v>45532</v>
      </c>
      <c r="K2526" s="22">
        <v>660000</v>
      </c>
      <c r="L2526" s="18">
        <v>705.88</v>
      </c>
      <c r="M2526" s="22">
        <v>536800</v>
      </c>
      <c r="N2526" s="22">
        <v>123200</v>
      </c>
      <c r="O2526" s="18">
        <v>131.76</v>
      </c>
      <c r="P2526" s="52">
        <f>IF(COUNTIF(TblPurchases[BatchID],TblOutcomes[[#This Row],[BatchID]])&lt;&gt;1,"n.a.",TblOutcomes[[#This Row],[Qty Wasted]]*SUMIFS(TblPurchases[Unit Cost (CLP)],TblPurchases[BatchID],TblOutcomes[[#This Row],[BatchID]]))</f>
        <v>0</v>
      </c>
      <c r="Q2526" s="51">
        <f>IF(COUNTIF(TblPurchases[BatchID],TblOutcomes[[#This Row],[BatchID]])&lt;&gt;1,"n.a.",SUMIFS(TblPurchases[Purchase Date],TblPurchases[BatchID],TblOutcomes[[#This Row],[BatchID]]))</f>
        <v>45519</v>
      </c>
    </row>
    <row r="2527" spans="2:17" x14ac:dyDescent="0.25">
      <c r="B2527" s="2" t="s">
        <v>3332</v>
      </c>
      <c r="C2527" s="2" t="s">
        <v>277</v>
      </c>
      <c r="D2527" s="2" t="s">
        <v>256</v>
      </c>
      <c r="E2527" s="2" t="s">
        <v>4647</v>
      </c>
      <c r="F2527" s="2">
        <v>26</v>
      </c>
      <c r="G2527" s="2">
        <v>26</v>
      </c>
      <c r="H2527" s="2">
        <v>0</v>
      </c>
      <c r="I2527" s="1">
        <v>0</v>
      </c>
      <c r="J2527" s="26">
        <v>45559</v>
      </c>
      <c r="K2527" s="22">
        <v>780000</v>
      </c>
      <c r="L2527" s="18">
        <v>834.22</v>
      </c>
      <c r="M2527" s="22">
        <v>583700</v>
      </c>
      <c r="N2527" s="22">
        <v>196300</v>
      </c>
      <c r="O2527" s="18">
        <v>209.95</v>
      </c>
      <c r="P2527" s="52">
        <f>IF(COUNTIF(TblPurchases[BatchID],TblOutcomes[[#This Row],[BatchID]])&lt;&gt;1,"n.a.",TblOutcomes[[#This Row],[Qty Wasted]]*SUMIFS(TblPurchases[Unit Cost (CLP)],TblPurchases[BatchID],TblOutcomes[[#This Row],[BatchID]]))</f>
        <v>0</v>
      </c>
      <c r="Q2527" s="51">
        <f>IF(COUNTIF(TblPurchases[BatchID],TblOutcomes[[#This Row],[BatchID]])&lt;&gt;1,"n.a.",SUMIFS(TblPurchases[Purchase Date],TblPurchases[BatchID],TblOutcomes[[#This Row],[BatchID]]))</f>
        <v>45544</v>
      </c>
    </row>
    <row r="2528" spans="2:17" x14ac:dyDescent="0.25">
      <c r="B2528" s="2" t="s">
        <v>3333</v>
      </c>
      <c r="C2528" s="2" t="s">
        <v>277</v>
      </c>
      <c r="D2528" s="2" t="s">
        <v>256</v>
      </c>
      <c r="E2528" s="2" t="s">
        <v>4647</v>
      </c>
      <c r="F2528" s="2">
        <v>27</v>
      </c>
      <c r="G2528" s="2">
        <v>27</v>
      </c>
      <c r="H2528" s="2">
        <v>0</v>
      </c>
      <c r="I2528" s="1">
        <v>0</v>
      </c>
      <c r="J2528" s="26">
        <v>45581</v>
      </c>
      <c r="K2528" s="22">
        <v>810000</v>
      </c>
      <c r="L2528" s="18">
        <v>866.31</v>
      </c>
      <c r="M2528" s="22">
        <v>606150</v>
      </c>
      <c r="N2528" s="22">
        <v>203850</v>
      </c>
      <c r="O2528" s="18">
        <v>218.02</v>
      </c>
      <c r="P2528" s="52">
        <f>IF(COUNTIF(TblPurchases[BatchID],TblOutcomes[[#This Row],[BatchID]])&lt;&gt;1,"n.a.",TblOutcomes[[#This Row],[Qty Wasted]]*SUMIFS(TblPurchases[Unit Cost (CLP)],TblPurchases[BatchID],TblOutcomes[[#This Row],[BatchID]]))</f>
        <v>0</v>
      </c>
      <c r="Q2528" s="51">
        <f>IF(COUNTIF(TblPurchases[BatchID],TblOutcomes[[#This Row],[BatchID]])&lt;&gt;1,"n.a.",SUMIFS(TblPurchases[Purchase Date],TblPurchases[BatchID],TblOutcomes[[#This Row],[BatchID]]))</f>
        <v>45565</v>
      </c>
    </row>
    <row r="2529" spans="2:17" x14ac:dyDescent="0.25">
      <c r="B2529" s="2" t="s">
        <v>3334</v>
      </c>
      <c r="C2529" s="2" t="s">
        <v>277</v>
      </c>
      <c r="D2529" s="2" t="s">
        <v>256</v>
      </c>
      <c r="E2529" s="2" t="s">
        <v>4646</v>
      </c>
      <c r="F2529" s="2">
        <v>6</v>
      </c>
      <c r="G2529" s="2">
        <v>5.57</v>
      </c>
      <c r="H2529" s="2">
        <v>0.43</v>
      </c>
      <c r="I2529" s="1">
        <v>7.1</v>
      </c>
      <c r="J2529" s="26">
        <v>45793</v>
      </c>
      <c r="K2529" s="22">
        <v>167100</v>
      </c>
      <c r="L2529" s="18">
        <v>178.72</v>
      </c>
      <c r="M2529" s="22">
        <v>134700</v>
      </c>
      <c r="N2529" s="22">
        <v>32400</v>
      </c>
      <c r="O2529" s="18">
        <v>34.65</v>
      </c>
      <c r="P2529" s="52">
        <f>IF(COUNTIF(TblPurchases[BatchID],TblOutcomes[[#This Row],[BatchID]])&lt;&gt;1,"n.a.",TblOutcomes[[#This Row],[Qty Wasted]]*SUMIFS(TblPurchases[Unit Cost (CLP)],TblPurchases[BatchID],TblOutcomes[[#This Row],[BatchID]]))</f>
        <v>9653.5</v>
      </c>
      <c r="Q2529" s="51">
        <f>IF(COUNTIF(TblPurchases[BatchID],TblOutcomes[[#This Row],[BatchID]])&lt;&gt;1,"n.a.",SUMIFS(TblPurchases[Purchase Date],TblPurchases[BatchID],TblOutcomes[[#This Row],[BatchID]]))</f>
        <v>45583</v>
      </c>
    </row>
    <row r="2530" spans="2:17" x14ac:dyDescent="0.25">
      <c r="B2530" s="2" t="s">
        <v>3335</v>
      </c>
      <c r="C2530" s="2" t="s">
        <v>277</v>
      </c>
      <c r="D2530" s="2" t="s">
        <v>256</v>
      </c>
      <c r="E2530" s="2" t="s">
        <v>4647</v>
      </c>
      <c r="F2530" s="2">
        <v>7</v>
      </c>
      <c r="G2530" s="2">
        <v>7</v>
      </c>
      <c r="H2530" s="2">
        <v>0</v>
      </c>
      <c r="I2530" s="1">
        <v>0</v>
      </c>
      <c r="J2530" s="26">
        <v>45620</v>
      </c>
      <c r="K2530" s="22">
        <v>210000</v>
      </c>
      <c r="L2530" s="18">
        <v>224.6</v>
      </c>
      <c r="M2530" s="22">
        <v>157150</v>
      </c>
      <c r="N2530" s="22">
        <v>52850</v>
      </c>
      <c r="O2530" s="18">
        <v>56.52</v>
      </c>
      <c r="P2530" s="52">
        <f>IF(COUNTIF(TblPurchases[BatchID],TblOutcomes[[#This Row],[BatchID]])&lt;&gt;1,"n.a.",TblOutcomes[[#This Row],[Qty Wasted]]*SUMIFS(TblPurchases[Unit Cost (CLP)],TblPurchases[BatchID],TblOutcomes[[#This Row],[BatchID]]))</f>
        <v>0</v>
      </c>
      <c r="Q2530" s="51">
        <f>IF(COUNTIF(TblPurchases[BatchID],TblOutcomes[[#This Row],[BatchID]])&lt;&gt;1,"n.a.",SUMIFS(TblPurchases[Purchase Date],TblPurchases[BatchID],TblOutcomes[[#This Row],[BatchID]]))</f>
        <v>45602</v>
      </c>
    </row>
    <row r="2531" spans="2:17" x14ac:dyDescent="0.25">
      <c r="B2531" s="2" t="s">
        <v>3336</v>
      </c>
      <c r="C2531" s="2" t="s">
        <v>277</v>
      </c>
      <c r="D2531" s="2" t="s">
        <v>256</v>
      </c>
      <c r="E2531" s="2" t="s">
        <v>4646</v>
      </c>
      <c r="F2531" s="2">
        <v>8</v>
      </c>
      <c r="G2531" s="2">
        <v>7.61</v>
      </c>
      <c r="H2531" s="2">
        <v>0.39</v>
      </c>
      <c r="I2531" s="1">
        <v>4.9000000000000004</v>
      </c>
      <c r="J2531" s="26">
        <v>45833</v>
      </c>
      <c r="K2531" s="22">
        <v>228300</v>
      </c>
      <c r="L2531" s="18">
        <v>244.17</v>
      </c>
      <c r="M2531" s="22">
        <v>179600</v>
      </c>
      <c r="N2531" s="22">
        <v>48700</v>
      </c>
      <c r="O2531" s="18">
        <v>52.09</v>
      </c>
      <c r="P2531" s="52">
        <f>IF(COUNTIF(TblPurchases[BatchID],TblOutcomes[[#This Row],[BatchID]])&lt;&gt;1,"n.a.",TblOutcomes[[#This Row],[Qty Wasted]]*SUMIFS(TblPurchases[Unit Cost (CLP)],TblPurchases[BatchID],TblOutcomes[[#This Row],[BatchID]]))</f>
        <v>8755.5</v>
      </c>
      <c r="Q2531" s="51">
        <f>IF(COUNTIF(TblPurchases[BatchID],TblOutcomes[[#This Row],[BatchID]])&lt;&gt;1,"n.a.",SUMIFS(TblPurchases[Purchase Date],TblPurchases[BatchID],TblOutcomes[[#This Row],[BatchID]]))</f>
        <v>45623</v>
      </c>
    </row>
    <row r="2532" spans="2:17" x14ac:dyDescent="0.25">
      <c r="B2532" s="2" t="s">
        <v>3337</v>
      </c>
      <c r="C2532" s="2" t="s">
        <v>277</v>
      </c>
      <c r="D2532" s="2" t="s">
        <v>256</v>
      </c>
      <c r="E2532" s="2" t="s">
        <v>4647</v>
      </c>
      <c r="F2532" s="2">
        <v>10</v>
      </c>
      <c r="G2532" s="2">
        <v>10</v>
      </c>
      <c r="H2532" s="2">
        <v>0</v>
      </c>
      <c r="I2532" s="1">
        <v>0</v>
      </c>
      <c r="J2532" s="26">
        <v>45653</v>
      </c>
      <c r="K2532" s="22">
        <v>300000</v>
      </c>
      <c r="L2532" s="18">
        <v>320.86</v>
      </c>
      <c r="M2532" s="22">
        <v>224500</v>
      </c>
      <c r="N2532" s="22">
        <v>75500</v>
      </c>
      <c r="O2532" s="18">
        <v>80.75</v>
      </c>
      <c r="P2532" s="52">
        <f>IF(COUNTIF(TblPurchases[BatchID],TblOutcomes[[#This Row],[BatchID]])&lt;&gt;1,"n.a.",TblOutcomes[[#This Row],[Qty Wasted]]*SUMIFS(TblPurchases[Unit Cost (CLP)],TblPurchases[BatchID],TblOutcomes[[#This Row],[BatchID]]))</f>
        <v>0</v>
      </c>
      <c r="Q2532" s="51">
        <f>IF(COUNTIF(TblPurchases[BatchID],TblOutcomes[[#This Row],[BatchID]])&lt;&gt;1,"n.a.",SUMIFS(TblPurchases[Purchase Date],TblPurchases[BatchID],TblOutcomes[[#This Row],[BatchID]]))</f>
        <v>45639</v>
      </c>
    </row>
    <row r="2533" spans="2:17" x14ac:dyDescent="0.25">
      <c r="B2533" s="2" t="s">
        <v>3338</v>
      </c>
      <c r="C2533" s="2" t="s">
        <v>277</v>
      </c>
      <c r="D2533" s="2" t="s">
        <v>256</v>
      </c>
      <c r="E2533" s="2" t="s">
        <v>4647</v>
      </c>
      <c r="F2533" s="2">
        <v>7</v>
      </c>
      <c r="G2533" s="2">
        <v>7</v>
      </c>
      <c r="H2533" s="2">
        <v>0</v>
      </c>
      <c r="I2533" s="1">
        <v>0</v>
      </c>
      <c r="J2533" s="26">
        <v>45673</v>
      </c>
      <c r="K2533" s="22">
        <v>210000</v>
      </c>
      <c r="L2533" s="18">
        <v>224.6</v>
      </c>
      <c r="M2533" s="22">
        <v>157150</v>
      </c>
      <c r="N2533" s="22">
        <v>52850</v>
      </c>
      <c r="O2533" s="18">
        <v>56.52</v>
      </c>
      <c r="P2533" s="52">
        <f>IF(COUNTIF(TblPurchases[BatchID],TblOutcomes[[#This Row],[BatchID]])&lt;&gt;1,"n.a.",TblOutcomes[[#This Row],[Qty Wasted]]*SUMIFS(TblPurchases[Unit Cost (CLP)],TblPurchases[BatchID],TblOutcomes[[#This Row],[BatchID]]))</f>
        <v>0</v>
      </c>
      <c r="Q2533" s="51">
        <f>IF(COUNTIF(TblPurchases[BatchID],TblOutcomes[[#This Row],[BatchID]])&lt;&gt;1,"n.a.",SUMIFS(TblPurchases[Purchase Date],TblPurchases[BatchID],TblOutcomes[[#This Row],[BatchID]]))</f>
        <v>45662</v>
      </c>
    </row>
    <row r="2534" spans="2:17" x14ac:dyDescent="0.25">
      <c r="B2534" s="2" t="s">
        <v>3339</v>
      </c>
      <c r="C2534" s="2" t="s">
        <v>277</v>
      </c>
      <c r="D2534" s="2" t="s">
        <v>256</v>
      </c>
      <c r="E2534" s="2" t="s">
        <v>4646</v>
      </c>
      <c r="F2534" s="2">
        <v>8</v>
      </c>
      <c r="G2534" s="2">
        <v>7.06</v>
      </c>
      <c r="H2534" s="2">
        <v>0.94</v>
      </c>
      <c r="I2534" s="1">
        <v>11.8</v>
      </c>
      <c r="J2534" s="26">
        <v>45890</v>
      </c>
      <c r="K2534" s="22">
        <v>211800</v>
      </c>
      <c r="L2534" s="18">
        <v>226.52</v>
      </c>
      <c r="M2534" s="22">
        <v>195200</v>
      </c>
      <c r="N2534" s="22">
        <v>16600</v>
      </c>
      <c r="O2534" s="18">
        <v>17.75</v>
      </c>
      <c r="P2534" s="52">
        <f>IF(COUNTIF(TblPurchases[BatchID],TblOutcomes[[#This Row],[BatchID]])&lt;&gt;1,"n.a.",TblOutcomes[[#This Row],[Qty Wasted]]*SUMIFS(TblPurchases[Unit Cost (CLP)],TblPurchases[BatchID],TblOutcomes[[#This Row],[BatchID]]))</f>
        <v>22936</v>
      </c>
      <c r="Q2534" s="51">
        <f>IF(COUNTIF(TblPurchases[BatchID],TblOutcomes[[#This Row],[BatchID]])&lt;&gt;1,"n.a.",SUMIFS(TblPurchases[Purchase Date],TblPurchases[BatchID],TblOutcomes[[#This Row],[BatchID]]))</f>
        <v>45680</v>
      </c>
    </row>
    <row r="2535" spans="2:17" x14ac:dyDescent="0.25">
      <c r="B2535" s="2" t="s">
        <v>3340</v>
      </c>
      <c r="C2535" s="2" t="s">
        <v>277</v>
      </c>
      <c r="D2535" s="2" t="s">
        <v>256</v>
      </c>
      <c r="E2535" s="2" t="s">
        <v>4647</v>
      </c>
      <c r="F2535" s="2">
        <v>7</v>
      </c>
      <c r="G2535" s="2">
        <v>7</v>
      </c>
      <c r="H2535" s="2">
        <v>0</v>
      </c>
      <c r="I2535" s="1">
        <v>0</v>
      </c>
      <c r="J2535" s="26">
        <v>45712</v>
      </c>
      <c r="K2535" s="22">
        <v>210000</v>
      </c>
      <c r="L2535" s="18">
        <v>224.6</v>
      </c>
      <c r="M2535" s="22">
        <v>157150</v>
      </c>
      <c r="N2535" s="22">
        <v>52850</v>
      </c>
      <c r="O2535" s="18">
        <v>56.52</v>
      </c>
      <c r="P2535" s="52">
        <f>IF(COUNTIF(TblPurchases[BatchID],TblOutcomes[[#This Row],[BatchID]])&lt;&gt;1,"n.a.",TblOutcomes[[#This Row],[Qty Wasted]]*SUMIFS(TblPurchases[Unit Cost (CLP)],TblPurchases[BatchID],TblOutcomes[[#This Row],[BatchID]]))</f>
        <v>0</v>
      </c>
      <c r="Q2535" s="51">
        <f>IF(COUNTIF(TblPurchases[BatchID],TblOutcomes[[#This Row],[BatchID]])&lt;&gt;1,"n.a.",SUMIFS(TblPurchases[Purchase Date],TblPurchases[BatchID],TblOutcomes[[#This Row],[BatchID]]))</f>
        <v>45699</v>
      </c>
    </row>
    <row r="2536" spans="2:17" x14ac:dyDescent="0.25">
      <c r="B2536" s="2" t="s">
        <v>3341</v>
      </c>
      <c r="C2536" s="2" t="s">
        <v>277</v>
      </c>
      <c r="D2536" s="2" t="s">
        <v>256</v>
      </c>
      <c r="E2536" s="2" t="s">
        <v>4646</v>
      </c>
      <c r="F2536" s="2">
        <v>9</v>
      </c>
      <c r="G2536" s="2">
        <v>8.3800000000000008</v>
      </c>
      <c r="H2536" s="2">
        <v>0.62</v>
      </c>
      <c r="I2536" s="1">
        <v>6.9</v>
      </c>
      <c r="J2536" s="26">
        <v>45934</v>
      </c>
      <c r="K2536" s="22">
        <v>251400</v>
      </c>
      <c r="L2536" s="18">
        <v>268.88</v>
      </c>
      <c r="M2536" s="22">
        <v>202050</v>
      </c>
      <c r="N2536" s="22">
        <v>49350</v>
      </c>
      <c r="O2536" s="18">
        <v>52.78</v>
      </c>
      <c r="P2536" s="52">
        <f>IF(COUNTIF(TblPurchases[BatchID],TblOutcomes[[#This Row],[BatchID]])&lt;&gt;1,"n.a.",TblOutcomes[[#This Row],[Qty Wasted]]*SUMIFS(TblPurchases[Unit Cost (CLP)],TblPurchases[BatchID],TblOutcomes[[#This Row],[BatchID]]))</f>
        <v>13919</v>
      </c>
      <c r="Q2536" s="51">
        <f>IF(COUNTIF(TblPurchases[BatchID],TblOutcomes[[#This Row],[BatchID]])&lt;&gt;1,"n.a.",SUMIFS(TblPurchases[Purchase Date],TblPurchases[BatchID],TblOutcomes[[#This Row],[BatchID]]))</f>
        <v>45724</v>
      </c>
    </row>
    <row r="2537" spans="2:17" x14ac:dyDescent="0.25">
      <c r="B2537" s="2" t="s">
        <v>3342</v>
      </c>
      <c r="C2537" s="2" t="s">
        <v>277</v>
      </c>
      <c r="D2537" s="2" t="s">
        <v>256</v>
      </c>
      <c r="E2537" s="2" t="s">
        <v>4646</v>
      </c>
      <c r="F2537" s="2">
        <v>9</v>
      </c>
      <c r="G2537" s="2">
        <v>8.34</v>
      </c>
      <c r="H2537" s="2">
        <v>0.66</v>
      </c>
      <c r="I2537" s="1">
        <v>7.3</v>
      </c>
      <c r="J2537" s="26">
        <v>45954</v>
      </c>
      <c r="K2537" s="22">
        <v>250200</v>
      </c>
      <c r="L2537" s="18">
        <v>267.58999999999997</v>
      </c>
      <c r="M2537" s="22">
        <v>202050</v>
      </c>
      <c r="N2537" s="22">
        <v>48150</v>
      </c>
      <c r="O2537" s="18">
        <v>51.5</v>
      </c>
      <c r="P2537" s="52">
        <f>IF(COUNTIF(TblPurchases[BatchID],TblOutcomes[[#This Row],[BatchID]])&lt;&gt;1,"n.a.",TblOutcomes[[#This Row],[Qty Wasted]]*SUMIFS(TblPurchases[Unit Cost (CLP)],TblPurchases[BatchID],TblOutcomes[[#This Row],[BatchID]]))</f>
        <v>14817</v>
      </c>
      <c r="Q2537" s="51">
        <f>IF(COUNTIF(TblPurchases[BatchID],TblOutcomes[[#This Row],[BatchID]])&lt;&gt;1,"n.a.",SUMIFS(TblPurchases[Purchase Date],TblPurchases[BatchID],TblOutcomes[[#This Row],[BatchID]]))</f>
        <v>45744</v>
      </c>
    </row>
    <row r="2538" spans="2:17" x14ac:dyDescent="0.25">
      <c r="B2538" s="2" t="s">
        <v>3343</v>
      </c>
      <c r="C2538" s="2" t="s">
        <v>277</v>
      </c>
      <c r="D2538" s="2" t="s">
        <v>256</v>
      </c>
      <c r="E2538" s="2" t="s">
        <v>4646</v>
      </c>
      <c r="F2538" s="2">
        <v>19</v>
      </c>
      <c r="G2538" s="2">
        <v>18.34</v>
      </c>
      <c r="H2538" s="2">
        <v>0.67</v>
      </c>
      <c r="I2538" s="1">
        <v>3.5</v>
      </c>
      <c r="J2538" s="26">
        <v>45978</v>
      </c>
      <c r="K2538" s="22">
        <v>550200</v>
      </c>
      <c r="L2538" s="18">
        <v>588.45000000000005</v>
      </c>
      <c r="M2538" s="22">
        <v>426550</v>
      </c>
      <c r="N2538" s="22">
        <v>123650</v>
      </c>
      <c r="O2538" s="18">
        <v>132.25</v>
      </c>
      <c r="P2538" s="52">
        <f>IF(COUNTIF(TblPurchases[BatchID],TblOutcomes[[#This Row],[BatchID]])&lt;&gt;1,"n.a.",TblOutcomes[[#This Row],[Qty Wasted]]*SUMIFS(TblPurchases[Unit Cost (CLP)],TblPurchases[BatchID],TblOutcomes[[#This Row],[BatchID]]))</f>
        <v>15041.5</v>
      </c>
      <c r="Q2538" s="51">
        <f>IF(COUNTIF(TblPurchases[BatchID],TblOutcomes[[#This Row],[BatchID]])&lt;&gt;1,"n.a.",SUMIFS(TblPurchases[Purchase Date],TblPurchases[BatchID],TblOutcomes[[#This Row],[BatchID]]))</f>
        <v>45768</v>
      </c>
    </row>
    <row r="2539" spans="2:17" x14ac:dyDescent="0.25">
      <c r="B2539" s="2" t="s">
        <v>3344</v>
      </c>
      <c r="C2539" s="2" t="s">
        <v>277</v>
      </c>
      <c r="D2539" s="2" t="s">
        <v>256</v>
      </c>
      <c r="E2539" s="2" t="s">
        <v>4647</v>
      </c>
      <c r="F2539" s="2">
        <v>20</v>
      </c>
      <c r="G2539" s="2">
        <v>20</v>
      </c>
      <c r="H2539" s="2">
        <v>0</v>
      </c>
      <c r="I2539" s="1">
        <v>0</v>
      </c>
      <c r="J2539" s="26">
        <v>45803</v>
      </c>
      <c r="K2539" s="22">
        <v>600000</v>
      </c>
      <c r="L2539" s="18">
        <v>641.71</v>
      </c>
      <c r="M2539" s="22">
        <v>449000</v>
      </c>
      <c r="N2539" s="22">
        <v>151000</v>
      </c>
      <c r="O2539" s="18">
        <v>161.5</v>
      </c>
      <c r="P2539" s="52">
        <f>IF(COUNTIF(TblPurchases[BatchID],TblOutcomes[[#This Row],[BatchID]])&lt;&gt;1,"n.a.",TblOutcomes[[#This Row],[Qty Wasted]]*SUMIFS(TblPurchases[Unit Cost (CLP)],TblPurchases[BatchID],TblOutcomes[[#This Row],[BatchID]]))</f>
        <v>0</v>
      </c>
      <c r="Q2539" s="51">
        <f>IF(COUNTIF(TblPurchases[BatchID],TblOutcomes[[#This Row],[BatchID]])&lt;&gt;1,"n.a.",SUMIFS(TblPurchases[Purchase Date],TblPurchases[BatchID],TblOutcomes[[#This Row],[BatchID]]))</f>
        <v>45787</v>
      </c>
    </row>
    <row r="2540" spans="2:17" x14ac:dyDescent="0.25">
      <c r="B2540" s="2" t="s">
        <v>3345</v>
      </c>
      <c r="C2540" s="2" t="s">
        <v>277</v>
      </c>
      <c r="D2540" s="2" t="s">
        <v>256</v>
      </c>
      <c r="E2540" s="2" t="s">
        <v>4647</v>
      </c>
      <c r="F2540" s="2">
        <v>22</v>
      </c>
      <c r="G2540" s="2">
        <v>22</v>
      </c>
      <c r="H2540" s="2">
        <v>0</v>
      </c>
      <c r="I2540" s="1">
        <v>0</v>
      </c>
      <c r="J2540" s="26">
        <v>45821</v>
      </c>
      <c r="K2540" s="22">
        <v>660000</v>
      </c>
      <c r="L2540" s="18">
        <v>705.88</v>
      </c>
      <c r="M2540" s="22">
        <v>493900</v>
      </c>
      <c r="N2540" s="22">
        <v>166100</v>
      </c>
      <c r="O2540" s="18">
        <v>177.65</v>
      </c>
      <c r="P2540" s="52">
        <f>IF(COUNTIF(TblPurchases[BatchID],TblOutcomes[[#This Row],[BatchID]])&lt;&gt;1,"n.a.",TblOutcomes[[#This Row],[Qty Wasted]]*SUMIFS(TblPurchases[Unit Cost (CLP)],TblPurchases[BatchID],TblOutcomes[[#This Row],[BatchID]]))</f>
        <v>0</v>
      </c>
      <c r="Q2540" s="51">
        <f>IF(COUNTIF(TblPurchases[BatchID],TblOutcomes[[#This Row],[BatchID]])&lt;&gt;1,"n.a.",SUMIFS(TblPurchases[Purchase Date],TblPurchases[BatchID],TblOutcomes[[#This Row],[BatchID]]))</f>
        <v>45808</v>
      </c>
    </row>
    <row r="2541" spans="2:17" x14ac:dyDescent="0.25">
      <c r="B2541" s="2" t="s">
        <v>3346</v>
      </c>
      <c r="C2541" s="2" t="s">
        <v>277</v>
      </c>
      <c r="D2541" s="2" t="s">
        <v>256</v>
      </c>
      <c r="E2541" s="2" t="s">
        <v>4647</v>
      </c>
      <c r="F2541" s="2">
        <v>20</v>
      </c>
      <c r="G2541" s="2">
        <v>20</v>
      </c>
      <c r="H2541" s="2">
        <v>0</v>
      </c>
      <c r="I2541" s="1">
        <v>0</v>
      </c>
      <c r="J2541" s="26">
        <v>45847</v>
      </c>
      <c r="K2541" s="22">
        <v>600000</v>
      </c>
      <c r="L2541" s="18">
        <v>641.71</v>
      </c>
      <c r="M2541" s="22">
        <v>449000</v>
      </c>
      <c r="N2541" s="22">
        <v>151000</v>
      </c>
      <c r="O2541" s="18">
        <v>161.5</v>
      </c>
      <c r="P2541" s="52">
        <f>IF(COUNTIF(TblPurchases[BatchID],TblOutcomes[[#This Row],[BatchID]])&lt;&gt;1,"n.a.",TblOutcomes[[#This Row],[Qty Wasted]]*SUMIFS(TblPurchases[Unit Cost (CLP)],TblPurchases[BatchID],TblOutcomes[[#This Row],[BatchID]]))</f>
        <v>0</v>
      </c>
      <c r="Q2541" s="51">
        <f>IF(COUNTIF(TblPurchases[BatchID],TblOutcomes[[#This Row],[BatchID]])&lt;&gt;1,"n.a.",SUMIFS(TblPurchases[Purchase Date],TblPurchases[BatchID],TblOutcomes[[#This Row],[BatchID]]))</f>
        <v>45825</v>
      </c>
    </row>
    <row r="2542" spans="2:17" x14ac:dyDescent="0.25">
      <c r="B2542" s="2" t="s">
        <v>3347</v>
      </c>
      <c r="C2542" s="2" t="s">
        <v>279</v>
      </c>
      <c r="D2542" s="2" t="s">
        <v>256</v>
      </c>
      <c r="E2542" s="2" t="s">
        <v>4647</v>
      </c>
      <c r="F2542" s="2">
        <v>17</v>
      </c>
      <c r="G2542" s="2">
        <v>17</v>
      </c>
      <c r="H2542" s="2">
        <v>0</v>
      </c>
      <c r="I2542" s="1">
        <v>0</v>
      </c>
      <c r="J2542" s="26">
        <v>45117</v>
      </c>
      <c r="K2542" s="22">
        <v>306000</v>
      </c>
      <c r="L2542" s="18">
        <v>327.27</v>
      </c>
      <c r="M2542" s="22">
        <v>221000</v>
      </c>
      <c r="N2542" s="22">
        <v>85000</v>
      </c>
      <c r="O2542" s="18">
        <v>90.91</v>
      </c>
      <c r="P2542" s="52">
        <f>IF(COUNTIF(TblPurchases[BatchID],TblOutcomes[[#This Row],[BatchID]])&lt;&gt;1,"n.a.",TblOutcomes[[#This Row],[Qty Wasted]]*SUMIFS(TblPurchases[Unit Cost (CLP)],TblPurchases[BatchID],TblOutcomes[[#This Row],[BatchID]]))</f>
        <v>0</v>
      </c>
      <c r="Q2542" s="51">
        <f>IF(COUNTIF(TblPurchases[BatchID],TblOutcomes[[#This Row],[BatchID]])&lt;&gt;1,"n.a.",SUMIFS(TblPurchases[Purchase Date],TblPurchases[BatchID],TblOutcomes[[#This Row],[BatchID]]))</f>
        <v>45113</v>
      </c>
    </row>
    <row r="2543" spans="2:17" x14ac:dyDescent="0.25">
      <c r="B2543" s="2" t="s">
        <v>3348</v>
      </c>
      <c r="C2543" s="2" t="s">
        <v>279</v>
      </c>
      <c r="D2543" s="2" t="s">
        <v>256</v>
      </c>
      <c r="E2543" s="2" t="s">
        <v>4647</v>
      </c>
      <c r="F2543" s="2">
        <v>19</v>
      </c>
      <c r="G2543" s="2">
        <v>19</v>
      </c>
      <c r="H2543" s="2">
        <v>0</v>
      </c>
      <c r="I2543" s="1">
        <v>0</v>
      </c>
      <c r="J2543" s="26">
        <v>45144</v>
      </c>
      <c r="K2543" s="22">
        <v>342000</v>
      </c>
      <c r="L2543" s="18">
        <v>365.78</v>
      </c>
      <c r="M2543" s="22">
        <v>247000</v>
      </c>
      <c r="N2543" s="22">
        <v>95000</v>
      </c>
      <c r="O2543" s="18">
        <v>101.6</v>
      </c>
      <c r="P2543" s="52">
        <f>IF(COUNTIF(TblPurchases[BatchID],TblOutcomes[[#This Row],[BatchID]])&lt;&gt;1,"n.a.",TblOutcomes[[#This Row],[Qty Wasted]]*SUMIFS(TblPurchases[Unit Cost (CLP)],TblPurchases[BatchID],TblOutcomes[[#This Row],[BatchID]]))</f>
        <v>0</v>
      </c>
      <c r="Q2543" s="51">
        <f>IF(COUNTIF(TblPurchases[BatchID],TblOutcomes[[#This Row],[BatchID]])&lt;&gt;1,"n.a.",SUMIFS(TblPurchases[Purchase Date],TblPurchases[BatchID],TblOutcomes[[#This Row],[BatchID]]))</f>
        <v>45125</v>
      </c>
    </row>
    <row r="2544" spans="2:17" x14ac:dyDescent="0.25">
      <c r="B2544" s="2" t="s">
        <v>3349</v>
      </c>
      <c r="C2544" s="2" t="s">
        <v>279</v>
      </c>
      <c r="D2544" s="2" t="s">
        <v>256</v>
      </c>
      <c r="E2544" s="2" t="s">
        <v>4647</v>
      </c>
      <c r="F2544" s="2">
        <v>19</v>
      </c>
      <c r="G2544" s="2">
        <v>19</v>
      </c>
      <c r="H2544" s="2">
        <v>0</v>
      </c>
      <c r="I2544" s="1">
        <v>0</v>
      </c>
      <c r="J2544" s="26">
        <v>45158</v>
      </c>
      <c r="K2544" s="22">
        <v>342000</v>
      </c>
      <c r="L2544" s="18">
        <v>365.78</v>
      </c>
      <c r="M2544" s="22">
        <v>247000</v>
      </c>
      <c r="N2544" s="22">
        <v>95000</v>
      </c>
      <c r="O2544" s="18">
        <v>101.6</v>
      </c>
      <c r="P2544" s="52">
        <f>IF(COUNTIF(TblPurchases[BatchID],TblOutcomes[[#This Row],[BatchID]])&lt;&gt;1,"n.a.",TblOutcomes[[#This Row],[Qty Wasted]]*SUMIFS(TblPurchases[Unit Cost (CLP)],TblPurchases[BatchID],TblOutcomes[[#This Row],[BatchID]]))</f>
        <v>0</v>
      </c>
      <c r="Q2544" s="51">
        <f>IF(COUNTIF(TblPurchases[BatchID],TblOutcomes[[#This Row],[BatchID]])&lt;&gt;1,"n.a.",SUMIFS(TblPurchases[Purchase Date],TblPurchases[BatchID],TblOutcomes[[#This Row],[BatchID]]))</f>
        <v>45145</v>
      </c>
    </row>
    <row r="2545" spans="2:17" x14ac:dyDescent="0.25">
      <c r="B2545" s="2" t="s">
        <v>3350</v>
      </c>
      <c r="C2545" s="2" t="s">
        <v>279</v>
      </c>
      <c r="D2545" s="2" t="s">
        <v>256</v>
      </c>
      <c r="E2545" s="2" t="s">
        <v>4647</v>
      </c>
      <c r="F2545" s="2">
        <v>18</v>
      </c>
      <c r="G2545" s="2">
        <v>18</v>
      </c>
      <c r="H2545" s="2">
        <v>0</v>
      </c>
      <c r="I2545" s="1">
        <v>0</v>
      </c>
      <c r="J2545" s="26">
        <v>45199</v>
      </c>
      <c r="K2545" s="22">
        <v>324000</v>
      </c>
      <c r="L2545" s="18">
        <v>346.52</v>
      </c>
      <c r="M2545" s="22">
        <v>234000</v>
      </c>
      <c r="N2545" s="22">
        <v>90000</v>
      </c>
      <c r="O2545" s="18">
        <v>96.26</v>
      </c>
      <c r="P2545" s="52">
        <f>IF(COUNTIF(TblPurchases[BatchID],TblOutcomes[[#This Row],[BatchID]])&lt;&gt;1,"n.a.",TblOutcomes[[#This Row],[Qty Wasted]]*SUMIFS(TblPurchases[Unit Cost (CLP)],TblPurchases[BatchID],TblOutcomes[[#This Row],[BatchID]]))</f>
        <v>0</v>
      </c>
      <c r="Q2545" s="51">
        <f>IF(COUNTIF(TblPurchases[BatchID],TblOutcomes[[#This Row],[BatchID]])&lt;&gt;1,"n.a.",SUMIFS(TblPurchases[Purchase Date],TblPurchases[BatchID],TblOutcomes[[#This Row],[BatchID]]))</f>
        <v>45169</v>
      </c>
    </row>
    <row r="2546" spans="2:17" x14ac:dyDescent="0.25">
      <c r="B2546" s="2" t="s">
        <v>3351</v>
      </c>
      <c r="C2546" s="2" t="s">
        <v>279</v>
      </c>
      <c r="D2546" s="2" t="s">
        <v>256</v>
      </c>
      <c r="E2546" s="2" t="s">
        <v>4647</v>
      </c>
      <c r="F2546" s="2">
        <v>26</v>
      </c>
      <c r="G2546" s="2">
        <v>26</v>
      </c>
      <c r="H2546" s="2">
        <v>0</v>
      </c>
      <c r="I2546" s="1">
        <v>0</v>
      </c>
      <c r="J2546" s="26">
        <v>45204</v>
      </c>
      <c r="K2546" s="22">
        <v>468000</v>
      </c>
      <c r="L2546" s="18">
        <v>500.53</v>
      </c>
      <c r="M2546" s="22">
        <v>338000</v>
      </c>
      <c r="N2546" s="22">
        <v>130000</v>
      </c>
      <c r="O2546" s="18">
        <v>139.04</v>
      </c>
      <c r="P2546" s="52">
        <f>IF(COUNTIF(TblPurchases[BatchID],TblOutcomes[[#This Row],[BatchID]])&lt;&gt;1,"n.a.",TblOutcomes[[#This Row],[Qty Wasted]]*SUMIFS(TblPurchases[Unit Cost (CLP)],TblPurchases[BatchID],TblOutcomes[[#This Row],[BatchID]]))</f>
        <v>0</v>
      </c>
      <c r="Q2546" s="51">
        <f>IF(COUNTIF(TblPurchases[BatchID],TblOutcomes[[#This Row],[BatchID]])&lt;&gt;1,"n.a.",SUMIFS(TblPurchases[Purchase Date],TblPurchases[BatchID],TblOutcomes[[#This Row],[BatchID]]))</f>
        <v>45189</v>
      </c>
    </row>
    <row r="2547" spans="2:17" x14ac:dyDescent="0.25">
      <c r="B2547" s="2" t="s">
        <v>3352</v>
      </c>
      <c r="C2547" s="2" t="s">
        <v>279</v>
      </c>
      <c r="D2547" s="2" t="s">
        <v>256</v>
      </c>
      <c r="E2547" s="2" t="s">
        <v>4647</v>
      </c>
      <c r="F2547" s="2">
        <v>7</v>
      </c>
      <c r="G2547" s="2">
        <v>7</v>
      </c>
      <c r="H2547" s="2">
        <v>0</v>
      </c>
      <c r="I2547" s="1">
        <v>0</v>
      </c>
      <c r="J2547" s="26">
        <v>45223</v>
      </c>
      <c r="K2547" s="22">
        <v>126000</v>
      </c>
      <c r="L2547" s="18">
        <v>134.76</v>
      </c>
      <c r="M2547" s="22">
        <v>91000</v>
      </c>
      <c r="N2547" s="22">
        <v>35000</v>
      </c>
      <c r="O2547" s="18">
        <v>37.43</v>
      </c>
      <c r="P2547" s="52">
        <f>IF(COUNTIF(TblPurchases[BatchID],TblOutcomes[[#This Row],[BatchID]])&lt;&gt;1,"n.a.",TblOutcomes[[#This Row],[Qty Wasted]]*SUMIFS(TblPurchases[Unit Cost (CLP)],TblPurchases[BatchID],TblOutcomes[[#This Row],[BatchID]]))</f>
        <v>0</v>
      </c>
      <c r="Q2547" s="51">
        <f>IF(COUNTIF(TblPurchases[BatchID],TblOutcomes[[#This Row],[BatchID]])&lt;&gt;1,"n.a.",SUMIFS(TblPurchases[Purchase Date],TblPurchases[BatchID],TblOutcomes[[#This Row],[BatchID]]))</f>
        <v>45209</v>
      </c>
    </row>
    <row r="2548" spans="2:17" x14ac:dyDescent="0.25">
      <c r="B2548" s="2" t="s">
        <v>3353</v>
      </c>
      <c r="C2548" s="2" t="s">
        <v>279</v>
      </c>
      <c r="D2548" s="2" t="s">
        <v>256</v>
      </c>
      <c r="E2548" s="2" t="s">
        <v>4646</v>
      </c>
      <c r="F2548" s="2">
        <v>8</v>
      </c>
      <c r="G2548" s="2">
        <v>6.94</v>
      </c>
      <c r="H2548" s="2">
        <v>1.06</v>
      </c>
      <c r="I2548" s="1">
        <v>13.3</v>
      </c>
      <c r="J2548" s="26">
        <v>45435</v>
      </c>
      <c r="K2548" s="22">
        <v>124920</v>
      </c>
      <c r="L2548" s="18">
        <v>133.6</v>
      </c>
      <c r="M2548" s="22">
        <v>104000</v>
      </c>
      <c r="N2548" s="22">
        <v>20920</v>
      </c>
      <c r="O2548" s="18">
        <v>22.37</v>
      </c>
      <c r="P2548" s="52">
        <f>IF(COUNTIF(TblPurchases[BatchID],TblOutcomes[[#This Row],[BatchID]])&lt;&gt;1,"n.a.",TblOutcomes[[#This Row],[Qty Wasted]]*SUMIFS(TblPurchases[Unit Cost (CLP)],TblPurchases[BatchID],TblOutcomes[[#This Row],[BatchID]]))</f>
        <v>13780</v>
      </c>
      <c r="Q2548" s="51">
        <f>IF(COUNTIF(TblPurchases[BatchID],TblOutcomes[[#This Row],[BatchID]])&lt;&gt;1,"n.a.",SUMIFS(TblPurchases[Purchase Date],TblPurchases[BatchID],TblOutcomes[[#This Row],[BatchID]]))</f>
        <v>45225</v>
      </c>
    </row>
    <row r="2549" spans="2:17" x14ac:dyDescent="0.25">
      <c r="B2549" s="2" t="s">
        <v>3354</v>
      </c>
      <c r="C2549" s="2" t="s">
        <v>279</v>
      </c>
      <c r="D2549" s="2" t="s">
        <v>256</v>
      </c>
      <c r="E2549" s="2" t="s">
        <v>4646</v>
      </c>
      <c r="F2549" s="2">
        <v>7</v>
      </c>
      <c r="G2549" s="2">
        <v>6.18</v>
      </c>
      <c r="H2549" s="2">
        <v>0.82</v>
      </c>
      <c r="I2549" s="1">
        <v>11.7</v>
      </c>
      <c r="J2549" s="26">
        <v>45457</v>
      </c>
      <c r="K2549" s="22">
        <v>111240</v>
      </c>
      <c r="L2549" s="18">
        <v>118.97</v>
      </c>
      <c r="M2549" s="22">
        <v>91000</v>
      </c>
      <c r="N2549" s="22">
        <v>20240</v>
      </c>
      <c r="O2549" s="18">
        <v>21.65</v>
      </c>
      <c r="P2549" s="52">
        <f>IF(COUNTIF(TblPurchases[BatchID],TblOutcomes[[#This Row],[BatchID]])&lt;&gt;1,"n.a.",TblOutcomes[[#This Row],[Qty Wasted]]*SUMIFS(TblPurchases[Unit Cost (CLP)],TblPurchases[BatchID],TblOutcomes[[#This Row],[BatchID]]))</f>
        <v>10660</v>
      </c>
      <c r="Q2549" s="51">
        <f>IF(COUNTIF(TblPurchases[BatchID],TblOutcomes[[#This Row],[BatchID]])&lt;&gt;1,"n.a.",SUMIFS(TblPurchases[Purchase Date],TblPurchases[BatchID],TblOutcomes[[#This Row],[BatchID]]))</f>
        <v>45247</v>
      </c>
    </row>
    <row r="2550" spans="2:17" x14ac:dyDescent="0.25">
      <c r="B2550" s="2" t="s">
        <v>3355</v>
      </c>
      <c r="C2550" s="2" t="s">
        <v>279</v>
      </c>
      <c r="D2550" s="2" t="s">
        <v>256</v>
      </c>
      <c r="E2550" s="2" t="s">
        <v>4646</v>
      </c>
      <c r="F2550" s="2">
        <v>7</v>
      </c>
      <c r="G2550" s="2">
        <v>6.33</v>
      </c>
      <c r="H2550" s="2">
        <v>0.67</v>
      </c>
      <c r="I2550" s="1">
        <v>9.6</v>
      </c>
      <c r="J2550" s="26">
        <v>45470</v>
      </c>
      <c r="K2550" s="22">
        <v>113940</v>
      </c>
      <c r="L2550" s="18">
        <v>121.86</v>
      </c>
      <c r="M2550" s="22">
        <v>91000</v>
      </c>
      <c r="N2550" s="22">
        <v>22940</v>
      </c>
      <c r="O2550" s="18">
        <v>24.53</v>
      </c>
      <c r="P2550" s="52">
        <f>IF(COUNTIF(TblPurchases[BatchID],TblOutcomes[[#This Row],[BatchID]])&lt;&gt;1,"n.a.",TblOutcomes[[#This Row],[Qty Wasted]]*SUMIFS(TblPurchases[Unit Cost (CLP)],TblPurchases[BatchID],TblOutcomes[[#This Row],[BatchID]]))</f>
        <v>8710</v>
      </c>
      <c r="Q2550" s="51">
        <f>IF(COUNTIF(TblPurchases[BatchID],TblOutcomes[[#This Row],[BatchID]])&lt;&gt;1,"n.a.",SUMIFS(TblPurchases[Purchase Date],TblPurchases[BatchID],TblOutcomes[[#This Row],[BatchID]]))</f>
        <v>45260</v>
      </c>
    </row>
    <row r="2551" spans="2:17" x14ac:dyDescent="0.25">
      <c r="B2551" s="2" t="s">
        <v>3356</v>
      </c>
      <c r="C2551" s="2" t="s">
        <v>279</v>
      </c>
      <c r="D2551" s="2" t="s">
        <v>256</v>
      </c>
      <c r="E2551" s="2" t="s">
        <v>4646</v>
      </c>
      <c r="F2551" s="2">
        <v>10</v>
      </c>
      <c r="G2551" s="2">
        <v>9.65</v>
      </c>
      <c r="H2551" s="2">
        <v>0.35</v>
      </c>
      <c r="I2551" s="1">
        <v>3.5</v>
      </c>
      <c r="J2551" s="26">
        <v>45487</v>
      </c>
      <c r="K2551" s="22">
        <v>173700</v>
      </c>
      <c r="L2551" s="18">
        <v>185.78</v>
      </c>
      <c r="M2551" s="22">
        <v>130000</v>
      </c>
      <c r="N2551" s="22">
        <v>43700</v>
      </c>
      <c r="O2551" s="18">
        <v>46.74</v>
      </c>
      <c r="P2551" s="52">
        <f>IF(COUNTIF(TblPurchases[BatchID],TblOutcomes[[#This Row],[BatchID]])&lt;&gt;1,"n.a.",TblOutcomes[[#This Row],[Qty Wasted]]*SUMIFS(TblPurchases[Unit Cost (CLP)],TblPurchases[BatchID],TblOutcomes[[#This Row],[BatchID]]))</f>
        <v>4550</v>
      </c>
      <c r="Q2551" s="51">
        <f>IF(COUNTIF(TblPurchases[BatchID],TblOutcomes[[#This Row],[BatchID]])&lt;&gt;1,"n.a.",SUMIFS(TblPurchases[Purchase Date],TblPurchases[BatchID],TblOutcomes[[#This Row],[BatchID]]))</f>
        <v>45277</v>
      </c>
    </row>
    <row r="2552" spans="2:17" x14ac:dyDescent="0.25">
      <c r="B2552" s="2" t="s">
        <v>3357</v>
      </c>
      <c r="C2552" s="2" t="s">
        <v>279</v>
      </c>
      <c r="D2552" s="2" t="s">
        <v>256</v>
      </c>
      <c r="E2552" s="2" t="s">
        <v>4646</v>
      </c>
      <c r="F2552" s="2">
        <v>8</v>
      </c>
      <c r="G2552" s="2">
        <v>7.26</v>
      </c>
      <c r="H2552" s="2">
        <v>0.74</v>
      </c>
      <c r="I2552" s="1">
        <v>9.3000000000000007</v>
      </c>
      <c r="J2552" s="26">
        <v>45509</v>
      </c>
      <c r="K2552" s="22">
        <v>130680</v>
      </c>
      <c r="L2552" s="18">
        <v>139.76</v>
      </c>
      <c r="M2552" s="22">
        <v>104000</v>
      </c>
      <c r="N2552" s="22">
        <v>26680</v>
      </c>
      <c r="O2552" s="18">
        <v>28.53</v>
      </c>
      <c r="P2552" s="52">
        <f>IF(COUNTIF(TblPurchases[BatchID],TblOutcomes[[#This Row],[BatchID]])&lt;&gt;1,"n.a.",TblOutcomes[[#This Row],[Qty Wasted]]*SUMIFS(TblPurchases[Unit Cost (CLP)],TblPurchases[BatchID],TblOutcomes[[#This Row],[BatchID]]))</f>
        <v>9620</v>
      </c>
      <c r="Q2552" s="51">
        <f>IF(COUNTIF(TblPurchases[BatchID],TblOutcomes[[#This Row],[BatchID]])&lt;&gt;1,"n.a.",SUMIFS(TblPurchases[Purchase Date],TblPurchases[BatchID],TblOutcomes[[#This Row],[BatchID]]))</f>
        <v>45299</v>
      </c>
    </row>
    <row r="2553" spans="2:17" x14ac:dyDescent="0.25">
      <c r="B2553" s="2" t="s">
        <v>3358</v>
      </c>
      <c r="C2553" s="2" t="s">
        <v>279</v>
      </c>
      <c r="D2553" s="2" t="s">
        <v>256</v>
      </c>
      <c r="E2553" s="2" t="s">
        <v>4647</v>
      </c>
      <c r="F2553" s="2">
        <v>7</v>
      </c>
      <c r="G2553" s="2">
        <v>7</v>
      </c>
      <c r="H2553" s="2">
        <v>0</v>
      </c>
      <c r="I2553" s="1">
        <v>0</v>
      </c>
      <c r="J2553" s="26">
        <v>45326</v>
      </c>
      <c r="K2553" s="22">
        <v>126000</v>
      </c>
      <c r="L2553" s="18">
        <v>134.76</v>
      </c>
      <c r="M2553" s="22">
        <v>91000</v>
      </c>
      <c r="N2553" s="22">
        <v>35000</v>
      </c>
      <c r="O2553" s="18">
        <v>37.43</v>
      </c>
      <c r="P2553" s="52">
        <f>IF(COUNTIF(TblPurchases[BatchID],TblOutcomes[[#This Row],[BatchID]])&lt;&gt;1,"n.a.",TblOutcomes[[#This Row],[Qty Wasted]]*SUMIFS(TblPurchases[Unit Cost (CLP)],TblPurchases[BatchID],TblOutcomes[[#This Row],[BatchID]]))</f>
        <v>0</v>
      </c>
      <c r="Q2553" s="51">
        <f>IF(COUNTIF(TblPurchases[BatchID],TblOutcomes[[#This Row],[BatchID]])&lt;&gt;1,"n.a.",SUMIFS(TblPurchases[Purchase Date],TblPurchases[BatchID],TblOutcomes[[#This Row],[BatchID]]))</f>
        <v>45317</v>
      </c>
    </row>
    <row r="2554" spans="2:17" x14ac:dyDescent="0.25">
      <c r="B2554" s="2" t="s">
        <v>3359</v>
      </c>
      <c r="C2554" s="2" t="s">
        <v>279</v>
      </c>
      <c r="D2554" s="2" t="s">
        <v>256</v>
      </c>
      <c r="E2554" s="2" t="s">
        <v>4646</v>
      </c>
      <c r="F2554" s="2">
        <v>6</v>
      </c>
      <c r="G2554" s="2">
        <v>5.72</v>
      </c>
      <c r="H2554" s="2">
        <v>0.28000000000000003</v>
      </c>
      <c r="I2554" s="1">
        <v>4.5999999999999996</v>
      </c>
      <c r="J2554" s="26">
        <v>45547</v>
      </c>
      <c r="K2554" s="22">
        <v>102960</v>
      </c>
      <c r="L2554" s="18">
        <v>110.12</v>
      </c>
      <c r="M2554" s="22">
        <v>88800</v>
      </c>
      <c r="N2554" s="22">
        <v>14160</v>
      </c>
      <c r="O2554" s="18">
        <v>15.14</v>
      </c>
      <c r="P2554" s="52">
        <f>IF(COUNTIF(TblPurchases[BatchID],TblOutcomes[[#This Row],[BatchID]])&lt;&gt;1,"n.a.",TblOutcomes[[#This Row],[Qty Wasted]]*SUMIFS(TblPurchases[Unit Cost (CLP)],TblPurchases[BatchID],TblOutcomes[[#This Row],[BatchID]]))</f>
        <v>4144</v>
      </c>
      <c r="Q2554" s="51">
        <f>IF(COUNTIF(TblPurchases[BatchID],TblOutcomes[[#This Row],[BatchID]])&lt;&gt;1,"n.a.",SUMIFS(TblPurchases[Purchase Date],TblPurchases[BatchID],TblOutcomes[[#This Row],[BatchID]]))</f>
        <v>45337</v>
      </c>
    </row>
    <row r="2555" spans="2:17" x14ac:dyDescent="0.25">
      <c r="B2555" s="2" t="s">
        <v>3360</v>
      </c>
      <c r="C2555" s="2" t="s">
        <v>279</v>
      </c>
      <c r="D2555" s="2" t="s">
        <v>256</v>
      </c>
      <c r="E2555" s="2" t="s">
        <v>4647</v>
      </c>
      <c r="F2555" s="2">
        <v>7</v>
      </c>
      <c r="G2555" s="2">
        <v>7</v>
      </c>
      <c r="H2555" s="2">
        <v>0</v>
      </c>
      <c r="I2555" s="1">
        <v>0</v>
      </c>
      <c r="J2555" s="26">
        <v>45381</v>
      </c>
      <c r="K2555" s="22">
        <v>126000</v>
      </c>
      <c r="L2555" s="18">
        <v>134.76</v>
      </c>
      <c r="M2555" s="22">
        <v>91000</v>
      </c>
      <c r="N2555" s="22">
        <v>35000</v>
      </c>
      <c r="O2555" s="18">
        <v>37.43</v>
      </c>
      <c r="P2555" s="52">
        <f>IF(COUNTIF(TblPurchases[BatchID],TblOutcomes[[#This Row],[BatchID]])&lt;&gt;1,"n.a.",TblOutcomes[[#This Row],[Qty Wasted]]*SUMIFS(TblPurchases[Unit Cost (CLP)],TblPurchases[BatchID],TblOutcomes[[#This Row],[BatchID]]))</f>
        <v>0</v>
      </c>
      <c r="Q2555" s="51">
        <f>IF(COUNTIF(TblPurchases[BatchID],TblOutcomes[[#This Row],[BatchID]])&lt;&gt;1,"n.a.",SUMIFS(TblPurchases[Purchase Date],TblPurchases[BatchID],TblOutcomes[[#This Row],[BatchID]]))</f>
        <v>45357</v>
      </c>
    </row>
    <row r="2556" spans="2:17" x14ac:dyDescent="0.25">
      <c r="B2556" s="2" t="s">
        <v>3361</v>
      </c>
      <c r="C2556" s="2" t="s">
        <v>279</v>
      </c>
      <c r="D2556" s="2" t="s">
        <v>256</v>
      </c>
      <c r="E2556" s="2" t="s">
        <v>4647</v>
      </c>
      <c r="F2556" s="2">
        <v>8</v>
      </c>
      <c r="G2556" s="2">
        <v>8</v>
      </c>
      <c r="H2556" s="2">
        <v>0</v>
      </c>
      <c r="I2556" s="1">
        <v>0</v>
      </c>
      <c r="J2556" s="26">
        <v>45388</v>
      </c>
      <c r="K2556" s="22">
        <v>144000</v>
      </c>
      <c r="L2556" s="18">
        <v>154.01</v>
      </c>
      <c r="M2556" s="22">
        <v>104000</v>
      </c>
      <c r="N2556" s="22">
        <v>40000</v>
      </c>
      <c r="O2556" s="18">
        <v>42.78</v>
      </c>
      <c r="P2556" s="52">
        <f>IF(COUNTIF(TblPurchases[BatchID],TblOutcomes[[#This Row],[BatchID]])&lt;&gt;1,"n.a.",TblOutcomes[[#This Row],[Qty Wasted]]*SUMIFS(TblPurchases[Unit Cost (CLP)],TblPurchases[BatchID],TblOutcomes[[#This Row],[BatchID]]))</f>
        <v>0</v>
      </c>
      <c r="Q2556" s="51">
        <f>IF(COUNTIF(TblPurchases[BatchID],TblOutcomes[[#This Row],[BatchID]])&lt;&gt;1,"n.a.",SUMIFS(TblPurchases[Purchase Date],TblPurchases[BatchID],TblOutcomes[[#This Row],[BatchID]]))</f>
        <v>45374</v>
      </c>
    </row>
    <row r="2557" spans="2:17" x14ac:dyDescent="0.25">
      <c r="B2557" s="2" t="s">
        <v>3362</v>
      </c>
      <c r="C2557" s="2" t="s">
        <v>279</v>
      </c>
      <c r="D2557" s="2" t="s">
        <v>256</v>
      </c>
      <c r="E2557" s="2" t="s">
        <v>4646</v>
      </c>
      <c r="F2557" s="2">
        <v>22</v>
      </c>
      <c r="G2557" s="2">
        <v>21.41</v>
      </c>
      <c r="H2557" s="2">
        <v>0.59</v>
      </c>
      <c r="I2557" s="1">
        <v>2.7</v>
      </c>
      <c r="J2557" s="26">
        <v>45606</v>
      </c>
      <c r="K2557" s="22">
        <v>385380</v>
      </c>
      <c r="L2557" s="18">
        <v>412.17</v>
      </c>
      <c r="M2557" s="22">
        <v>286000</v>
      </c>
      <c r="N2557" s="22">
        <v>99380</v>
      </c>
      <c r="O2557" s="18">
        <v>106.29</v>
      </c>
      <c r="P2557" s="52">
        <f>IF(COUNTIF(TblPurchases[BatchID],TblOutcomes[[#This Row],[BatchID]])&lt;&gt;1,"n.a.",TblOutcomes[[#This Row],[Qty Wasted]]*SUMIFS(TblPurchases[Unit Cost (CLP)],TblPurchases[BatchID],TblOutcomes[[#This Row],[BatchID]]))</f>
        <v>7670</v>
      </c>
      <c r="Q2557" s="51">
        <f>IF(COUNTIF(TblPurchases[BatchID],TblOutcomes[[#This Row],[BatchID]])&lt;&gt;1,"n.a.",SUMIFS(TblPurchases[Purchase Date],TblPurchases[BatchID],TblOutcomes[[#This Row],[BatchID]]))</f>
        <v>45396</v>
      </c>
    </row>
    <row r="2558" spans="2:17" x14ac:dyDescent="0.25">
      <c r="B2558" s="2" t="s">
        <v>3363</v>
      </c>
      <c r="C2558" s="2" t="s">
        <v>279</v>
      </c>
      <c r="D2558" s="2" t="s">
        <v>256</v>
      </c>
      <c r="E2558" s="2" t="s">
        <v>4647</v>
      </c>
      <c r="F2558" s="2">
        <v>18</v>
      </c>
      <c r="G2558" s="2">
        <v>18</v>
      </c>
      <c r="H2558" s="2">
        <v>0</v>
      </c>
      <c r="I2558" s="1">
        <v>0</v>
      </c>
      <c r="J2558" s="26">
        <v>45446</v>
      </c>
      <c r="K2558" s="22">
        <v>324000</v>
      </c>
      <c r="L2558" s="18">
        <v>346.52</v>
      </c>
      <c r="M2558" s="22">
        <v>234000</v>
      </c>
      <c r="N2558" s="22">
        <v>90000</v>
      </c>
      <c r="O2558" s="18">
        <v>96.26</v>
      </c>
      <c r="P2558" s="52">
        <f>IF(COUNTIF(TblPurchases[BatchID],TblOutcomes[[#This Row],[BatchID]])&lt;&gt;1,"n.a.",TblOutcomes[[#This Row],[Qty Wasted]]*SUMIFS(TblPurchases[Unit Cost (CLP)],TblPurchases[BatchID],TblOutcomes[[#This Row],[BatchID]]))</f>
        <v>0</v>
      </c>
      <c r="Q2558" s="51">
        <f>IF(COUNTIF(TblPurchases[BatchID],TblOutcomes[[#This Row],[BatchID]])&lt;&gt;1,"n.a.",SUMIFS(TblPurchases[Purchase Date],TblPurchases[BatchID],TblOutcomes[[#This Row],[BatchID]]))</f>
        <v>45419</v>
      </c>
    </row>
    <row r="2559" spans="2:17" x14ac:dyDescent="0.25">
      <c r="B2559" s="2" t="s">
        <v>3364</v>
      </c>
      <c r="C2559" s="2" t="s">
        <v>279</v>
      </c>
      <c r="D2559" s="2" t="s">
        <v>256</v>
      </c>
      <c r="E2559" s="2" t="s">
        <v>4647</v>
      </c>
      <c r="F2559" s="2">
        <v>19</v>
      </c>
      <c r="G2559" s="2">
        <v>19</v>
      </c>
      <c r="H2559" s="2">
        <v>0</v>
      </c>
      <c r="I2559" s="1">
        <v>0</v>
      </c>
      <c r="J2559" s="26">
        <v>45453</v>
      </c>
      <c r="K2559" s="22">
        <v>342000</v>
      </c>
      <c r="L2559" s="18">
        <v>365.78</v>
      </c>
      <c r="M2559" s="22">
        <v>247000</v>
      </c>
      <c r="N2559" s="22">
        <v>95000</v>
      </c>
      <c r="O2559" s="18">
        <v>101.6</v>
      </c>
      <c r="P2559" s="52">
        <f>IF(COUNTIF(TblPurchases[BatchID],TblOutcomes[[#This Row],[BatchID]])&lt;&gt;1,"n.a.",TblOutcomes[[#This Row],[Qty Wasted]]*SUMIFS(TblPurchases[Unit Cost (CLP)],TblPurchases[BatchID],TblOutcomes[[#This Row],[BatchID]]))</f>
        <v>0</v>
      </c>
      <c r="Q2559" s="51">
        <f>IF(COUNTIF(TblPurchases[BatchID],TblOutcomes[[#This Row],[BatchID]])&lt;&gt;1,"n.a.",SUMIFS(TblPurchases[Purchase Date],TblPurchases[BatchID],TblOutcomes[[#This Row],[BatchID]]))</f>
        <v>45437</v>
      </c>
    </row>
    <row r="2560" spans="2:17" x14ac:dyDescent="0.25">
      <c r="B2560" s="2" t="s">
        <v>3365</v>
      </c>
      <c r="C2560" s="2" t="s">
        <v>279</v>
      </c>
      <c r="D2560" s="2" t="s">
        <v>256</v>
      </c>
      <c r="E2560" s="2" t="s">
        <v>4646</v>
      </c>
      <c r="F2560" s="2">
        <v>21</v>
      </c>
      <c r="G2560" s="2">
        <v>20.52</v>
      </c>
      <c r="H2560" s="2">
        <v>0.48</v>
      </c>
      <c r="I2560" s="1">
        <v>2.2999999999999998</v>
      </c>
      <c r="J2560" s="26">
        <v>45667</v>
      </c>
      <c r="K2560" s="22">
        <v>369360</v>
      </c>
      <c r="L2560" s="18">
        <v>395.04</v>
      </c>
      <c r="M2560" s="22">
        <v>273000</v>
      </c>
      <c r="N2560" s="22">
        <v>96360</v>
      </c>
      <c r="O2560" s="18">
        <v>103.06</v>
      </c>
      <c r="P2560" s="52">
        <f>IF(COUNTIF(TblPurchases[BatchID],TblOutcomes[[#This Row],[BatchID]])&lt;&gt;1,"n.a.",TblOutcomes[[#This Row],[Qty Wasted]]*SUMIFS(TblPurchases[Unit Cost (CLP)],TblPurchases[BatchID],TblOutcomes[[#This Row],[BatchID]]))</f>
        <v>6240</v>
      </c>
      <c r="Q2560" s="51">
        <f>IF(COUNTIF(TblPurchases[BatchID],TblOutcomes[[#This Row],[BatchID]])&lt;&gt;1,"n.a.",SUMIFS(TblPurchases[Purchase Date],TblPurchases[BatchID],TblOutcomes[[#This Row],[BatchID]]))</f>
        <v>45457</v>
      </c>
    </row>
    <row r="2561" spans="2:17" x14ac:dyDescent="0.25">
      <c r="B2561" s="2" t="s">
        <v>3366</v>
      </c>
      <c r="C2561" s="2" t="s">
        <v>279</v>
      </c>
      <c r="D2561" s="2" t="s">
        <v>256</v>
      </c>
      <c r="E2561" s="2" t="s">
        <v>4647</v>
      </c>
      <c r="F2561" s="2">
        <v>16</v>
      </c>
      <c r="G2561" s="2">
        <v>16</v>
      </c>
      <c r="H2561" s="2">
        <v>0</v>
      </c>
      <c r="I2561" s="1">
        <v>0</v>
      </c>
      <c r="J2561" s="26">
        <v>45488</v>
      </c>
      <c r="K2561" s="22">
        <v>288000</v>
      </c>
      <c r="L2561" s="18">
        <v>308.02</v>
      </c>
      <c r="M2561" s="22">
        <v>208000</v>
      </c>
      <c r="N2561" s="22">
        <v>80000</v>
      </c>
      <c r="O2561" s="18">
        <v>85.56</v>
      </c>
      <c r="P2561" s="52">
        <f>IF(COUNTIF(TblPurchases[BatchID],TblOutcomes[[#This Row],[BatchID]])&lt;&gt;1,"n.a.",TblOutcomes[[#This Row],[Qty Wasted]]*SUMIFS(TblPurchases[Unit Cost (CLP)],TblPurchases[BatchID],TblOutcomes[[#This Row],[BatchID]]))</f>
        <v>0</v>
      </c>
      <c r="Q2561" s="51">
        <f>IF(COUNTIF(TblPurchases[BatchID],TblOutcomes[[#This Row],[BatchID]])&lt;&gt;1,"n.a.",SUMIFS(TblPurchases[Purchase Date],TblPurchases[BatchID],TblOutcomes[[#This Row],[BatchID]]))</f>
        <v>45474</v>
      </c>
    </row>
    <row r="2562" spans="2:17" x14ac:dyDescent="0.25">
      <c r="B2562" s="2" t="s">
        <v>3367</v>
      </c>
      <c r="C2562" s="2" t="s">
        <v>279</v>
      </c>
      <c r="D2562" s="2" t="s">
        <v>256</v>
      </c>
      <c r="E2562" s="2" t="s">
        <v>4647</v>
      </c>
      <c r="F2562" s="2">
        <v>19</v>
      </c>
      <c r="G2562" s="2">
        <v>19</v>
      </c>
      <c r="H2562" s="2">
        <v>0</v>
      </c>
      <c r="I2562" s="1">
        <v>0</v>
      </c>
      <c r="J2562" s="26">
        <v>45500</v>
      </c>
      <c r="K2562" s="22">
        <v>342000</v>
      </c>
      <c r="L2562" s="18">
        <v>365.78</v>
      </c>
      <c r="M2562" s="22">
        <v>247000</v>
      </c>
      <c r="N2562" s="22">
        <v>95000</v>
      </c>
      <c r="O2562" s="18">
        <v>101.6</v>
      </c>
      <c r="P2562" s="52">
        <f>IF(COUNTIF(TblPurchases[BatchID],TblOutcomes[[#This Row],[BatchID]])&lt;&gt;1,"n.a.",TblOutcomes[[#This Row],[Qty Wasted]]*SUMIFS(TblPurchases[Unit Cost (CLP)],TblPurchases[BatchID],TblOutcomes[[#This Row],[BatchID]]))</f>
        <v>0</v>
      </c>
      <c r="Q2562" s="51">
        <f>IF(COUNTIF(TblPurchases[BatchID],TblOutcomes[[#This Row],[BatchID]])&lt;&gt;1,"n.a.",SUMIFS(TblPurchases[Purchase Date],TblPurchases[BatchID],TblOutcomes[[#This Row],[BatchID]]))</f>
        <v>45490</v>
      </c>
    </row>
    <row r="2563" spans="2:17" x14ac:dyDescent="0.25">
      <c r="B2563" s="2" t="s">
        <v>3368</v>
      </c>
      <c r="C2563" s="2" t="s">
        <v>279</v>
      </c>
      <c r="D2563" s="2" t="s">
        <v>256</v>
      </c>
      <c r="E2563" s="2" t="s">
        <v>4647</v>
      </c>
      <c r="F2563" s="2">
        <v>22</v>
      </c>
      <c r="G2563" s="2">
        <v>22</v>
      </c>
      <c r="H2563" s="2">
        <v>0</v>
      </c>
      <c r="I2563" s="1">
        <v>0</v>
      </c>
      <c r="J2563" s="26">
        <v>45526</v>
      </c>
      <c r="K2563" s="22">
        <v>396000</v>
      </c>
      <c r="L2563" s="18">
        <v>423.53</v>
      </c>
      <c r="M2563" s="22">
        <v>286000</v>
      </c>
      <c r="N2563" s="22">
        <v>110000</v>
      </c>
      <c r="O2563" s="18">
        <v>117.65</v>
      </c>
      <c r="P2563" s="52">
        <f>IF(COUNTIF(TblPurchases[BatchID],TblOutcomes[[#This Row],[BatchID]])&lt;&gt;1,"n.a.",TblOutcomes[[#This Row],[Qty Wasted]]*SUMIFS(TblPurchases[Unit Cost (CLP)],TblPurchases[BatchID],TblOutcomes[[#This Row],[BatchID]]))</f>
        <v>0</v>
      </c>
      <c r="Q2563" s="51">
        <f>IF(COUNTIF(TblPurchases[BatchID],TblOutcomes[[#This Row],[BatchID]])&lt;&gt;1,"n.a.",SUMIFS(TblPurchases[Purchase Date],TblPurchases[BatchID],TblOutcomes[[#This Row],[BatchID]]))</f>
        <v>45511</v>
      </c>
    </row>
    <row r="2564" spans="2:17" x14ac:dyDescent="0.25">
      <c r="B2564" s="2" t="s">
        <v>3369</v>
      </c>
      <c r="C2564" s="2" t="s">
        <v>279</v>
      </c>
      <c r="D2564" s="2" t="s">
        <v>256</v>
      </c>
      <c r="E2564" s="2" t="s">
        <v>4647</v>
      </c>
      <c r="F2564" s="2">
        <v>17</v>
      </c>
      <c r="G2564" s="2">
        <v>17</v>
      </c>
      <c r="H2564" s="2">
        <v>0</v>
      </c>
      <c r="I2564" s="1">
        <v>0</v>
      </c>
      <c r="J2564" s="26">
        <v>45554</v>
      </c>
      <c r="K2564" s="22">
        <v>306000</v>
      </c>
      <c r="L2564" s="18">
        <v>327.27</v>
      </c>
      <c r="M2564" s="22">
        <v>221000</v>
      </c>
      <c r="N2564" s="22">
        <v>85000</v>
      </c>
      <c r="O2564" s="18">
        <v>90.91</v>
      </c>
      <c r="P2564" s="52">
        <f>IF(COUNTIF(TblPurchases[BatchID],TblOutcomes[[#This Row],[BatchID]])&lt;&gt;1,"n.a.",TblOutcomes[[#This Row],[Qty Wasted]]*SUMIFS(TblPurchases[Unit Cost (CLP)],TblPurchases[BatchID],TblOutcomes[[#This Row],[BatchID]]))</f>
        <v>0</v>
      </c>
      <c r="Q2564" s="51">
        <f>IF(COUNTIF(TblPurchases[BatchID],TblOutcomes[[#This Row],[BatchID]])&lt;&gt;1,"n.a.",SUMIFS(TblPurchases[Purchase Date],TblPurchases[BatchID],TblOutcomes[[#This Row],[BatchID]]))</f>
        <v>45532</v>
      </c>
    </row>
    <row r="2565" spans="2:17" x14ac:dyDescent="0.25">
      <c r="B2565" s="2" t="s">
        <v>3370</v>
      </c>
      <c r="C2565" s="2" t="s">
        <v>279</v>
      </c>
      <c r="D2565" s="2" t="s">
        <v>256</v>
      </c>
      <c r="E2565" s="2" t="s">
        <v>4646</v>
      </c>
      <c r="F2565" s="2">
        <v>25</v>
      </c>
      <c r="G2565" s="2">
        <v>22.3</v>
      </c>
      <c r="H2565" s="2">
        <v>2.7</v>
      </c>
      <c r="I2565" s="1">
        <v>10.8</v>
      </c>
      <c r="J2565" s="26">
        <v>45757</v>
      </c>
      <c r="K2565" s="22">
        <v>401400</v>
      </c>
      <c r="L2565" s="18">
        <v>429.3</v>
      </c>
      <c r="M2565" s="22">
        <v>325000</v>
      </c>
      <c r="N2565" s="22">
        <v>76400</v>
      </c>
      <c r="O2565" s="18">
        <v>81.709999999999994</v>
      </c>
      <c r="P2565" s="52">
        <f>IF(COUNTIF(TblPurchases[BatchID],TblOutcomes[[#This Row],[BatchID]])&lt;&gt;1,"n.a.",TblOutcomes[[#This Row],[Qty Wasted]]*SUMIFS(TblPurchases[Unit Cost (CLP)],TblPurchases[BatchID],TblOutcomes[[#This Row],[BatchID]]))</f>
        <v>35100</v>
      </c>
      <c r="Q2565" s="51">
        <f>IF(COUNTIF(TblPurchases[BatchID],TblOutcomes[[#This Row],[BatchID]])&lt;&gt;1,"n.a.",SUMIFS(TblPurchases[Purchase Date],TblPurchases[BatchID],TblOutcomes[[#This Row],[BatchID]]))</f>
        <v>45547</v>
      </c>
    </row>
    <row r="2566" spans="2:17" x14ac:dyDescent="0.25">
      <c r="B2566" s="2" t="s">
        <v>3371</v>
      </c>
      <c r="C2566" s="2" t="s">
        <v>279</v>
      </c>
      <c r="D2566" s="2" t="s">
        <v>256</v>
      </c>
      <c r="E2566" s="2" t="s">
        <v>4647</v>
      </c>
      <c r="F2566" s="2">
        <v>8</v>
      </c>
      <c r="G2566" s="2">
        <v>8</v>
      </c>
      <c r="H2566" s="2">
        <v>0</v>
      </c>
      <c r="I2566" s="1">
        <v>0</v>
      </c>
      <c r="J2566" s="26">
        <v>45587</v>
      </c>
      <c r="K2566" s="22">
        <v>144000</v>
      </c>
      <c r="L2566" s="18">
        <v>154.01</v>
      </c>
      <c r="M2566" s="22">
        <v>118400</v>
      </c>
      <c r="N2566" s="22">
        <v>25600</v>
      </c>
      <c r="O2566" s="18">
        <v>27.38</v>
      </c>
      <c r="P2566" s="52">
        <f>IF(COUNTIF(TblPurchases[BatchID],TblOutcomes[[#This Row],[BatchID]])&lt;&gt;1,"n.a.",TblOutcomes[[#This Row],[Qty Wasted]]*SUMIFS(TblPurchases[Unit Cost (CLP)],TblPurchases[BatchID],TblOutcomes[[#This Row],[BatchID]]))</f>
        <v>0</v>
      </c>
      <c r="Q2566" s="51">
        <f>IF(COUNTIF(TblPurchases[BatchID],TblOutcomes[[#This Row],[BatchID]])&lt;&gt;1,"n.a.",SUMIFS(TblPurchases[Purchase Date],TblPurchases[BatchID],TblOutcomes[[#This Row],[BatchID]]))</f>
        <v>45568</v>
      </c>
    </row>
    <row r="2567" spans="2:17" x14ac:dyDescent="0.25">
      <c r="B2567" s="2" t="s">
        <v>3372</v>
      </c>
      <c r="C2567" s="2" t="s">
        <v>279</v>
      </c>
      <c r="D2567" s="2" t="s">
        <v>256</v>
      </c>
      <c r="E2567" s="2" t="s">
        <v>4646</v>
      </c>
      <c r="F2567" s="2">
        <v>6</v>
      </c>
      <c r="G2567" s="2">
        <v>5.27</v>
      </c>
      <c r="H2567" s="2">
        <v>0.73</v>
      </c>
      <c r="I2567" s="1">
        <v>12.2</v>
      </c>
      <c r="J2567" s="26">
        <v>45796</v>
      </c>
      <c r="K2567" s="22">
        <v>94860</v>
      </c>
      <c r="L2567" s="18">
        <v>101.45</v>
      </c>
      <c r="M2567" s="22">
        <v>78000</v>
      </c>
      <c r="N2567" s="22">
        <v>16860</v>
      </c>
      <c r="O2567" s="18">
        <v>18.03</v>
      </c>
      <c r="P2567" s="52">
        <f>IF(COUNTIF(TblPurchases[BatchID],TblOutcomes[[#This Row],[BatchID]])&lt;&gt;1,"n.a.",TblOutcomes[[#This Row],[Qty Wasted]]*SUMIFS(TblPurchases[Unit Cost (CLP)],TblPurchases[BatchID],TblOutcomes[[#This Row],[BatchID]]))</f>
        <v>9490</v>
      </c>
      <c r="Q2567" s="51">
        <f>IF(COUNTIF(TblPurchases[BatchID],TblOutcomes[[#This Row],[BatchID]])&lt;&gt;1,"n.a.",SUMIFS(TblPurchases[Purchase Date],TblPurchases[BatchID],TblOutcomes[[#This Row],[BatchID]]))</f>
        <v>45586</v>
      </c>
    </row>
    <row r="2568" spans="2:17" x14ac:dyDescent="0.25">
      <c r="B2568" s="2" t="s">
        <v>3373</v>
      </c>
      <c r="C2568" s="2" t="s">
        <v>279</v>
      </c>
      <c r="D2568" s="2" t="s">
        <v>256</v>
      </c>
      <c r="E2568" s="2" t="s">
        <v>4647</v>
      </c>
      <c r="F2568" s="2">
        <v>7</v>
      </c>
      <c r="G2568" s="2">
        <v>7</v>
      </c>
      <c r="H2568" s="2">
        <v>0</v>
      </c>
      <c r="I2568" s="1">
        <v>0</v>
      </c>
      <c r="J2568" s="26">
        <v>45621</v>
      </c>
      <c r="K2568" s="22">
        <v>126000</v>
      </c>
      <c r="L2568" s="18">
        <v>134.76</v>
      </c>
      <c r="M2568" s="22">
        <v>91000</v>
      </c>
      <c r="N2568" s="22">
        <v>35000</v>
      </c>
      <c r="O2568" s="18">
        <v>37.43</v>
      </c>
      <c r="P2568" s="52">
        <f>IF(COUNTIF(TblPurchases[BatchID],TblOutcomes[[#This Row],[BatchID]])&lt;&gt;1,"n.a.",TblOutcomes[[#This Row],[Qty Wasted]]*SUMIFS(TblPurchases[Unit Cost (CLP)],TblPurchases[BatchID],TblOutcomes[[#This Row],[BatchID]]))</f>
        <v>0</v>
      </c>
      <c r="Q2568" s="51">
        <f>IF(COUNTIF(TblPurchases[BatchID],TblOutcomes[[#This Row],[BatchID]])&lt;&gt;1,"n.a.",SUMIFS(TblPurchases[Purchase Date],TblPurchases[BatchID],TblOutcomes[[#This Row],[BatchID]]))</f>
        <v>45610</v>
      </c>
    </row>
    <row r="2569" spans="2:17" x14ac:dyDescent="0.25">
      <c r="B2569" s="2" t="s">
        <v>3374</v>
      </c>
      <c r="C2569" s="2" t="s">
        <v>279</v>
      </c>
      <c r="D2569" s="2" t="s">
        <v>256</v>
      </c>
      <c r="E2569" s="2" t="s">
        <v>4646</v>
      </c>
      <c r="F2569" s="2">
        <v>10</v>
      </c>
      <c r="G2569" s="2">
        <v>9.4600000000000009</v>
      </c>
      <c r="H2569" s="2">
        <v>0.54</v>
      </c>
      <c r="I2569" s="1">
        <v>5.4</v>
      </c>
      <c r="J2569" s="26">
        <v>45848</v>
      </c>
      <c r="K2569" s="22">
        <v>170280</v>
      </c>
      <c r="L2569" s="18">
        <v>182.12</v>
      </c>
      <c r="M2569" s="22">
        <v>130000</v>
      </c>
      <c r="N2569" s="22">
        <v>40280</v>
      </c>
      <c r="O2569" s="18">
        <v>43.08</v>
      </c>
      <c r="P2569" s="52">
        <f>IF(COUNTIF(TblPurchases[BatchID],TblOutcomes[[#This Row],[BatchID]])&lt;&gt;1,"n.a.",TblOutcomes[[#This Row],[Qty Wasted]]*SUMIFS(TblPurchases[Unit Cost (CLP)],TblPurchases[BatchID],TblOutcomes[[#This Row],[BatchID]]))</f>
        <v>7020.0000000000009</v>
      </c>
      <c r="Q2569" s="51">
        <f>IF(COUNTIF(TblPurchases[BatchID],TblOutcomes[[#This Row],[BatchID]])&lt;&gt;1,"n.a.",SUMIFS(TblPurchases[Purchase Date],TblPurchases[BatchID],TblOutcomes[[#This Row],[BatchID]]))</f>
        <v>45638</v>
      </c>
    </row>
    <row r="2570" spans="2:17" x14ac:dyDescent="0.25">
      <c r="B2570" s="2" t="s">
        <v>3375</v>
      </c>
      <c r="C2570" s="2" t="s">
        <v>279</v>
      </c>
      <c r="D2570" s="2" t="s">
        <v>256</v>
      </c>
      <c r="E2570" s="2" t="s">
        <v>4647</v>
      </c>
      <c r="F2570" s="2">
        <v>10</v>
      </c>
      <c r="G2570" s="2">
        <v>10</v>
      </c>
      <c r="H2570" s="2">
        <v>0</v>
      </c>
      <c r="I2570" s="1">
        <v>0</v>
      </c>
      <c r="J2570" s="26">
        <v>45675</v>
      </c>
      <c r="K2570" s="22">
        <v>180000</v>
      </c>
      <c r="L2570" s="18">
        <v>192.51</v>
      </c>
      <c r="M2570" s="22">
        <v>148000</v>
      </c>
      <c r="N2570" s="22">
        <v>32000</v>
      </c>
      <c r="O2570" s="18">
        <v>34.22</v>
      </c>
      <c r="P2570" s="52">
        <f>IF(COUNTIF(TblPurchases[BatchID],TblOutcomes[[#This Row],[BatchID]])&lt;&gt;1,"n.a.",TblOutcomes[[#This Row],[Qty Wasted]]*SUMIFS(TblPurchases[Unit Cost (CLP)],TblPurchases[BatchID],TblOutcomes[[#This Row],[BatchID]]))</f>
        <v>0</v>
      </c>
      <c r="Q2570" s="51">
        <f>IF(COUNTIF(TblPurchases[BatchID],TblOutcomes[[#This Row],[BatchID]])&lt;&gt;1,"n.a.",SUMIFS(TblPurchases[Purchase Date],TblPurchases[BatchID],TblOutcomes[[#This Row],[BatchID]]))</f>
        <v>45657</v>
      </c>
    </row>
    <row r="2571" spans="2:17" x14ac:dyDescent="0.25">
      <c r="B2571" s="2" t="s">
        <v>3376</v>
      </c>
      <c r="C2571" s="2" t="s">
        <v>279</v>
      </c>
      <c r="D2571" s="2" t="s">
        <v>256</v>
      </c>
      <c r="E2571" s="2" t="s">
        <v>4647</v>
      </c>
      <c r="F2571" s="2">
        <v>8</v>
      </c>
      <c r="G2571" s="2">
        <v>8</v>
      </c>
      <c r="H2571" s="2">
        <v>0</v>
      </c>
      <c r="I2571" s="1">
        <v>0</v>
      </c>
      <c r="J2571" s="26">
        <v>45704</v>
      </c>
      <c r="K2571" s="22">
        <v>144000</v>
      </c>
      <c r="L2571" s="18">
        <v>154.01</v>
      </c>
      <c r="M2571" s="22">
        <v>104000</v>
      </c>
      <c r="N2571" s="22">
        <v>40000</v>
      </c>
      <c r="O2571" s="18">
        <v>42.78</v>
      </c>
      <c r="P2571" s="52">
        <f>IF(COUNTIF(TblPurchases[BatchID],TblOutcomes[[#This Row],[BatchID]])&lt;&gt;1,"n.a.",TblOutcomes[[#This Row],[Qty Wasted]]*SUMIFS(TblPurchases[Unit Cost (CLP)],TblPurchases[BatchID],TblOutcomes[[#This Row],[BatchID]]))</f>
        <v>0</v>
      </c>
      <c r="Q2571" s="51">
        <f>IF(COUNTIF(TblPurchases[BatchID],TblOutcomes[[#This Row],[BatchID]])&lt;&gt;1,"n.a.",SUMIFS(TblPurchases[Purchase Date],TblPurchases[BatchID],TblOutcomes[[#This Row],[BatchID]]))</f>
        <v>45679</v>
      </c>
    </row>
    <row r="2572" spans="2:17" x14ac:dyDescent="0.25">
      <c r="B2572" s="2" t="s">
        <v>3377</v>
      </c>
      <c r="C2572" s="2" t="s">
        <v>279</v>
      </c>
      <c r="D2572" s="2" t="s">
        <v>256</v>
      </c>
      <c r="E2572" s="2" t="s">
        <v>4646</v>
      </c>
      <c r="F2572" s="2">
        <v>8</v>
      </c>
      <c r="G2572" s="2">
        <v>7.19</v>
      </c>
      <c r="H2572" s="2">
        <v>0.81</v>
      </c>
      <c r="I2572" s="1">
        <v>10.1</v>
      </c>
      <c r="J2572" s="26">
        <v>45907</v>
      </c>
      <c r="K2572" s="22">
        <v>129420</v>
      </c>
      <c r="L2572" s="18">
        <v>138.41999999999999</v>
      </c>
      <c r="M2572" s="22">
        <v>104000</v>
      </c>
      <c r="N2572" s="22">
        <v>25420</v>
      </c>
      <c r="O2572" s="18">
        <v>27.19</v>
      </c>
      <c r="P2572" s="52">
        <f>IF(COUNTIF(TblPurchases[BatchID],TblOutcomes[[#This Row],[BatchID]])&lt;&gt;1,"n.a.",TblOutcomes[[#This Row],[Qty Wasted]]*SUMIFS(TblPurchases[Unit Cost (CLP)],TblPurchases[BatchID],TblOutcomes[[#This Row],[BatchID]]))</f>
        <v>10530</v>
      </c>
      <c r="Q2572" s="51">
        <f>IF(COUNTIF(TblPurchases[BatchID],TblOutcomes[[#This Row],[BatchID]])&lt;&gt;1,"n.a.",SUMIFS(TblPurchases[Purchase Date],TblPurchases[BatchID],TblOutcomes[[#This Row],[BatchID]]))</f>
        <v>45697</v>
      </c>
    </row>
    <row r="2573" spans="2:17" x14ac:dyDescent="0.25">
      <c r="B2573" s="2" t="s">
        <v>3378</v>
      </c>
      <c r="C2573" s="2" t="s">
        <v>279</v>
      </c>
      <c r="D2573" s="2" t="s">
        <v>256</v>
      </c>
      <c r="E2573" s="2" t="s">
        <v>4647</v>
      </c>
      <c r="F2573" s="2">
        <v>9</v>
      </c>
      <c r="G2573" s="2">
        <v>9</v>
      </c>
      <c r="H2573" s="2">
        <v>0</v>
      </c>
      <c r="I2573" s="1">
        <v>0</v>
      </c>
      <c r="J2573" s="26">
        <v>45722</v>
      </c>
      <c r="K2573" s="22">
        <v>162000</v>
      </c>
      <c r="L2573" s="18">
        <v>173.26</v>
      </c>
      <c r="M2573" s="22">
        <v>117000</v>
      </c>
      <c r="N2573" s="22">
        <v>45000</v>
      </c>
      <c r="O2573" s="18">
        <v>48.13</v>
      </c>
      <c r="P2573" s="52">
        <f>IF(COUNTIF(TblPurchases[BatchID],TblOutcomes[[#This Row],[BatchID]])&lt;&gt;1,"n.a.",TblOutcomes[[#This Row],[Qty Wasted]]*SUMIFS(TblPurchases[Unit Cost (CLP)],TblPurchases[BatchID],TblOutcomes[[#This Row],[BatchID]]))</f>
        <v>0</v>
      </c>
      <c r="Q2573" s="51">
        <f>IF(COUNTIF(TblPurchases[BatchID],TblOutcomes[[#This Row],[BatchID]])&lt;&gt;1,"n.a.",SUMIFS(TblPurchases[Purchase Date],TblPurchases[BatchID],TblOutcomes[[#This Row],[BatchID]]))</f>
        <v>45716</v>
      </c>
    </row>
    <row r="2574" spans="2:17" x14ac:dyDescent="0.25">
      <c r="B2574" s="2" t="s">
        <v>3379</v>
      </c>
      <c r="C2574" s="2" t="s">
        <v>279</v>
      </c>
      <c r="D2574" s="2" t="s">
        <v>256</v>
      </c>
      <c r="E2574" s="2" t="s">
        <v>4646</v>
      </c>
      <c r="F2574" s="2">
        <v>8</v>
      </c>
      <c r="G2574" s="2">
        <v>7.37</v>
      </c>
      <c r="H2574" s="2">
        <v>0.63</v>
      </c>
      <c r="I2574" s="1">
        <v>7.9</v>
      </c>
      <c r="J2574" s="26">
        <v>45954</v>
      </c>
      <c r="K2574" s="22">
        <v>132660</v>
      </c>
      <c r="L2574" s="18">
        <v>141.88</v>
      </c>
      <c r="M2574" s="22">
        <v>104000</v>
      </c>
      <c r="N2574" s="22">
        <v>28660</v>
      </c>
      <c r="O2574" s="18">
        <v>30.65</v>
      </c>
      <c r="P2574" s="52">
        <f>IF(COUNTIF(TblPurchases[BatchID],TblOutcomes[[#This Row],[BatchID]])&lt;&gt;1,"n.a.",TblOutcomes[[#This Row],[Qty Wasted]]*SUMIFS(TblPurchases[Unit Cost (CLP)],TblPurchases[BatchID],TblOutcomes[[#This Row],[BatchID]]))</f>
        <v>8190</v>
      </c>
      <c r="Q2574" s="51">
        <f>IF(COUNTIF(TblPurchases[BatchID],TblOutcomes[[#This Row],[BatchID]])&lt;&gt;1,"n.a.",SUMIFS(TblPurchases[Purchase Date],TblPurchases[BatchID],TblOutcomes[[#This Row],[BatchID]]))</f>
        <v>45744</v>
      </c>
    </row>
    <row r="2575" spans="2:17" x14ac:dyDescent="0.25">
      <c r="B2575" s="2" t="s">
        <v>3380</v>
      </c>
      <c r="C2575" s="2" t="s">
        <v>279</v>
      </c>
      <c r="D2575" s="2" t="s">
        <v>256</v>
      </c>
      <c r="E2575" s="2" t="s">
        <v>4647</v>
      </c>
      <c r="F2575" s="2">
        <v>18</v>
      </c>
      <c r="G2575" s="2">
        <v>18</v>
      </c>
      <c r="H2575" s="2">
        <v>0</v>
      </c>
      <c r="I2575" s="1">
        <v>0</v>
      </c>
      <c r="J2575" s="26">
        <v>45776</v>
      </c>
      <c r="K2575" s="22">
        <v>324000</v>
      </c>
      <c r="L2575" s="18">
        <v>346.52</v>
      </c>
      <c r="M2575" s="22">
        <v>234000</v>
      </c>
      <c r="N2575" s="22">
        <v>90000</v>
      </c>
      <c r="O2575" s="18">
        <v>96.26</v>
      </c>
      <c r="P2575" s="52">
        <f>IF(COUNTIF(TblPurchases[BatchID],TblOutcomes[[#This Row],[BatchID]])&lt;&gt;1,"n.a.",TblOutcomes[[#This Row],[Qty Wasted]]*SUMIFS(TblPurchases[Unit Cost (CLP)],TblPurchases[BatchID],TblOutcomes[[#This Row],[BatchID]]))</f>
        <v>0</v>
      </c>
      <c r="Q2575" s="51">
        <f>IF(COUNTIF(TblPurchases[BatchID],TblOutcomes[[#This Row],[BatchID]])&lt;&gt;1,"n.a.",SUMIFS(TblPurchases[Purchase Date],TblPurchases[BatchID],TblOutcomes[[#This Row],[BatchID]]))</f>
        <v>45764</v>
      </c>
    </row>
    <row r="2576" spans="2:17" x14ac:dyDescent="0.25">
      <c r="B2576" s="2" t="s">
        <v>3381</v>
      </c>
      <c r="C2576" s="2" t="s">
        <v>279</v>
      </c>
      <c r="D2576" s="2" t="s">
        <v>256</v>
      </c>
      <c r="E2576" s="2" t="s">
        <v>4647</v>
      </c>
      <c r="F2576" s="2">
        <v>18</v>
      </c>
      <c r="G2576" s="2">
        <v>18</v>
      </c>
      <c r="H2576" s="2">
        <v>0</v>
      </c>
      <c r="I2576" s="1">
        <v>0</v>
      </c>
      <c r="J2576" s="26">
        <v>45801</v>
      </c>
      <c r="K2576" s="22">
        <v>324000</v>
      </c>
      <c r="L2576" s="18">
        <v>346.52</v>
      </c>
      <c r="M2576" s="22">
        <v>234000</v>
      </c>
      <c r="N2576" s="22">
        <v>90000</v>
      </c>
      <c r="O2576" s="18">
        <v>96.26</v>
      </c>
      <c r="P2576" s="52">
        <f>IF(COUNTIF(TblPurchases[BatchID],TblOutcomes[[#This Row],[BatchID]])&lt;&gt;1,"n.a.",TblOutcomes[[#This Row],[Qty Wasted]]*SUMIFS(TblPurchases[Unit Cost (CLP)],TblPurchases[BatchID],TblOutcomes[[#This Row],[BatchID]]))</f>
        <v>0</v>
      </c>
      <c r="Q2576" s="51">
        <f>IF(COUNTIF(TblPurchases[BatchID],TblOutcomes[[#This Row],[BatchID]])&lt;&gt;1,"n.a.",SUMIFS(TblPurchases[Purchase Date],TblPurchases[BatchID],TblOutcomes[[#This Row],[BatchID]]))</f>
        <v>45787</v>
      </c>
    </row>
    <row r="2577" spans="2:17" x14ac:dyDescent="0.25">
      <c r="B2577" s="2" t="s">
        <v>3382</v>
      </c>
      <c r="C2577" s="2" t="s">
        <v>279</v>
      </c>
      <c r="D2577" s="2" t="s">
        <v>256</v>
      </c>
      <c r="E2577" s="2" t="s">
        <v>4646</v>
      </c>
      <c r="F2577" s="2">
        <v>18</v>
      </c>
      <c r="G2577" s="2">
        <v>16.920000000000002</v>
      </c>
      <c r="H2577" s="2">
        <v>1.08</v>
      </c>
      <c r="I2577" s="1">
        <v>6</v>
      </c>
      <c r="J2577" s="26">
        <v>46024</v>
      </c>
      <c r="K2577" s="22">
        <v>304560</v>
      </c>
      <c r="L2577" s="18">
        <v>325.73</v>
      </c>
      <c r="M2577" s="22">
        <v>234000</v>
      </c>
      <c r="N2577" s="22">
        <v>70560</v>
      </c>
      <c r="O2577" s="18">
        <v>75.47</v>
      </c>
      <c r="P2577" s="52">
        <f>IF(COUNTIF(TblPurchases[BatchID],TblOutcomes[[#This Row],[BatchID]])&lt;&gt;1,"n.a.",TblOutcomes[[#This Row],[Qty Wasted]]*SUMIFS(TblPurchases[Unit Cost (CLP)],TblPurchases[BatchID],TblOutcomes[[#This Row],[BatchID]]))</f>
        <v>14040.000000000002</v>
      </c>
      <c r="Q2577" s="51">
        <f>IF(COUNTIF(TblPurchases[BatchID],TblOutcomes[[#This Row],[BatchID]])&lt;&gt;1,"n.a.",SUMIFS(TblPurchases[Purchase Date],TblPurchases[BatchID],TblOutcomes[[#This Row],[BatchID]]))</f>
        <v>45814</v>
      </c>
    </row>
    <row r="2578" spans="2:17" x14ac:dyDescent="0.25">
      <c r="B2578" s="2" t="s">
        <v>3383</v>
      </c>
      <c r="C2578" s="2" t="s">
        <v>279</v>
      </c>
      <c r="D2578" s="2" t="s">
        <v>256</v>
      </c>
      <c r="E2578" s="2" t="s">
        <v>4647</v>
      </c>
      <c r="F2578" s="2">
        <v>21</v>
      </c>
      <c r="G2578" s="2">
        <v>21</v>
      </c>
      <c r="H2578" s="2">
        <v>0</v>
      </c>
      <c r="I2578" s="1">
        <v>0</v>
      </c>
      <c r="J2578" s="26">
        <v>45854</v>
      </c>
      <c r="K2578" s="22">
        <v>378000</v>
      </c>
      <c r="L2578" s="18">
        <v>404.28</v>
      </c>
      <c r="M2578" s="22">
        <v>273000</v>
      </c>
      <c r="N2578" s="22">
        <v>105000</v>
      </c>
      <c r="O2578" s="18">
        <v>112.3</v>
      </c>
      <c r="P2578" s="52">
        <f>IF(COUNTIF(TblPurchases[BatchID],TblOutcomes[[#This Row],[BatchID]])&lt;&gt;1,"n.a.",TblOutcomes[[#This Row],[Qty Wasted]]*SUMIFS(TblPurchases[Unit Cost (CLP)],TblPurchases[BatchID],TblOutcomes[[#This Row],[BatchID]]))</f>
        <v>0</v>
      </c>
      <c r="Q2578" s="51">
        <f>IF(COUNTIF(TblPurchases[BatchID],TblOutcomes[[#This Row],[BatchID]])&lt;&gt;1,"n.a.",SUMIFS(TblPurchases[Purchase Date],TblPurchases[BatchID],TblOutcomes[[#This Row],[BatchID]]))</f>
        <v>45834</v>
      </c>
    </row>
    <row r="2579" spans="2:17" x14ac:dyDescent="0.25">
      <c r="B2579" s="2" t="s">
        <v>3384</v>
      </c>
      <c r="C2579" s="2" t="s">
        <v>281</v>
      </c>
      <c r="D2579" s="2" t="s">
        <v>256</v>
      </c>
      <c r="E2579" s="2" t="s">
        <v>4647</v>
      </c>
      <c r="F2579" s="2">
        <v>21</v>
      </c>
      <c r="G2579" s="2">
        <v>21</v>
      </c>
      <c r="H2579" s="2">
        <v>0</v>
      </c>
      <c r="I2579" s="1">
        <v>0</v>
      </c>
      <c r="J2579" s="26">
        <v>45132</v>
      </c>
      <c r="K2579" s="22">
        <v>336000</v>
      </c>
      <c r="L2579" s="18">
        <v>359.36</v>
      </c>
      <c r="M2579" s="22">
        <v>243600</v>
      </c>
      <c r="N2579" s="22">
        <v>92400</v>
      </c>
      <c r="O2579" s="18">
        <v>98.82</v>
      </c>
      <c r="P2579" s="52">
        <f>IF(COUNTIF(TblPurchases[BatchID],TblOutcomes[[#This Row],[BatchID]])&lt;&gt;1,"n.a.",TblOutcomes[[#This Row],[Qty Wasted]]*SUMIFS(TblPurchases[Unit Cost (CLP)],TblPurchases[BatchID],TblOutcomes[[#This Row],[BatchID]]))</f>
        <v>0</v>
      </c>
      <c r="Q2579" s="51">
        <f>IF(COUNTIF(TblPurchases[BatchID],TblOutcomes[[#This Row],[BatchID]])&lt;&gt;1,"n.a.",SUMIFS(TblPurchases[Purchase Date],TblPurchases[BatchID],TblOutcomes[[#This Row],[BatchID]]))</f>
        <v>45116</v>
      </c>
    </row>
    <row r="2580" spans="2:17" x14ac:dyDescent="0.25">
      <c r="B2580" s="2" t="s">
        <v>3385</v>
      </c>
      <c r="C2580" s="2" t="s">
        <v>281</v>
      </c>
      <c r="D2580" s="2" t="s">
        <v>256</v>
      </c>
      <c r="E2580" s="2" t="s">
        <v>4647</v>
      </c>
      <c r="F2580" s="2">
        <v>18</v>
      </c>
      <c r="G2580" s="2">
        <v>18</v>
      </c>
      <c r="H2580" s="2">
        <v>0</v>
      </c>
      <c r="I2580" s="1">
        <v>0</v>
      </c>
      <c r="J2580" s="26">
        <v>45141</v>
      </c>
      <c r="K2580" s="22">
        <v>288000</v>
      </c>
      <c r="L2580" s="18">
        <v>308.02</v>
      </c>
      <c r="M2580" s="22">
        <v>208800</v>
      </c>
      <c r="N2580" s="22">
        <v>79200</v>
      </c>
      <c r="O2580" s="18">
        <v>84.71</v>
      </c>
      <c r="P2580" s="52">
        <f>IF(COUNTIF(TblPurchases[BatchID],TblOutcomes[[#This Row],[BatchID]])&lt;&gt;1,"n.a.",TblOutcomes[[#This Row],[Qty Wasted]]*SUMIFS(TblPurchases[Unit Cost (CLP)],TblPurchases[BatchID],TblOutcomes[[#This Row],[BatchID]]))</f>
        <v>0</v>
      </c>
      <c r="Q2580" s="51">
        <f>IF(COUNTIF(TblPurchases[BatchID],TblOutcomes[[#This Row],[BatchID]])&lt;&gt;1,"n.a.",SUMIFS(TblPurchases[Purchase Date],TblPurchases[BatchID],TblOutcomes[[#This Row],[BatchID]]))</f>
        <v>45132</v>
      </c>
    </row>
    <row r="2581" spans="2:17" x14ac:dyDescent="0.25">
      <c r="B2581" s="2" t="s">
        <v>3386</v>
      </c>
      <c r="C2581" s="2" t="s">
        <v>281</v>
      </c>
      <c r="D2581" s="2" t="s">
        <v>256</v>
      </c>
      <c r="E2581" s="2" t="s">
        <v>4646</v>
      </c>
      <c r="F2581" s="2">
        <v>21</v>
      </c>
      <c r="G2581" s="2">
        <v>19.59</v>
      </c>
      <c r="H2581" s="2">
        <v>1.41</v>
      </c>
      <c r="I2581" s="1">
        <v>6.7</v>
      </c>
      <c r="J2581" s="26">
        <v>45364</v>
      </c>
      <c r="K2581" s="22">
        <v>313440</v>
      </c>
      <c r="L2581" s="18">
        <v>335.23</v>
      </c>
      <c r="M2581" s="22">
        <v>243600</v>
      </c>
      <c r="N2581" s="22">
        <v>69840</v>
      </c>
      <c r="O2581" s="18">
        <v>74.7</v>
      </c>
      <c r="P2581" s="52">
        <f>IF(COUNTIF(TblPurchases[BatchID],TblOutcomes[[#This Row],[BatchID]])&lt;&gt;1,"n.a.",TblOutcomes[[#This Row],[Qty Wasted]]*SUMIFS(TblPurchases[Unit Cost (CLP)],TblPurchases[BatchID],TblOutcomes[[#This Row],[BatchID]]))</f>
        <v>16355.999999999998</v>
      </c>
      <c r="Q2581" s="51">
        <f>IF(COUNTIF(TblPurchases[BatchID],TblOutcomes[[#This Row],[BatchID]])&lt;&gt;1,"n.a.",SUMIFS(TblPurchases[Purchase Date],TblPurchases[BatchID],TblOutcomes[[#This Row],[BatchID]]))</f>
        <v>45154</v>
      </c>
    </row>
    <row r="2582" spans="2:17" x14ac:dyDescent="0.25">
      <c r="B2582" s="2" t="s">
        <v>3387</v>
      </c>
      <c r="C2582" s="2" t="s">
        <v>281</v>
      </c>
      <c r="D2582" s="2" t="s">
        <v>256</v>
      </c>
      <c r="E2582" s="2" t="s">
        <v>4647</v>
      </c>
      <c r="F2582" s="2">
        <v>25</v>
      </c>
      <c r="G2582" s="2">
        <v>25</v>
      </c>
      <c r="H2582" s="2">
        <v>0</v>
      </c>
      <c r="I2582" s="1">
        <v>0</v>
      </c>
      <c r="J2582" s="26">
        <v>45191</v>
      </c>
      <c r="K2582" s="22">
        <v>400000</v>
      </c>
      <c r="L2582" s="18">
        <v>427.81</v>
      </c>
      <c r="M2582" s="22">
        <v>302500</v>
      </c>
      <c r="N2582" s="22">
        <v>97500</v>
      </c>
      <c r="O2582" s="18">
        <v>104.28</v>
      </c>
      <c r="P2582" s="52">
        <f>IF(COUNTIF(TblPurchases[BatchID],TblOutcomes[[#This Row],[BatchID]])&lt;&gt;1,"n.a.",TblOutcomes[[#This Row],[Qty Wasted]]*SUMIFS(TblPurchases[Unit Cost (CLP)],TblPurchases[BatchID],TblOutcomes[[#This Row],[BatchID]]))</f>
        <v>0</v>
      </c>
      <c r="Q2582" s="51">
        <f>IF(COUNTIF(TblPurchases[BatchID],TblOutcomes[[#This Row],[BatchID]])&lt;&gt;1,"n.a.",SUMIFS(TblPurchases[Purchase Date],TblPurchases[BatchID],TblOutcomes[[#This Row],[BatchID]]))</f>
        <v>45179</v>
      </c>
    </row>
    <row r="2583" spans="2:17" x14ac:dyDescent="0.25">
      <c r="B2583" s="2" t="s">
        <v>3388</v>
      </c>
      <c r="C2583" s="2" t="s">
        <v>281</v>
      </c>
      <c r="D2583" s="2" t="s">
        <v>256</v>
      </c>
      <c r="E2583" s="2" t="s">
        <v>4646</v>
      </c>
      <c r="F2583" s="2">
        <v>24</v>
      </c>
      <c r="G2583" s="2">
        <v>23.18</v>
      </c>
      <c r="H2583" s="2">
        <v>0.82</v>
      </c>
      <c r="I2583" s="1">
        <v>3.4</v>
      </c>
      <c r="J2583" s="26">
        <v>45401</v>
      </c>
      <c r="K2583" s="22">
        <v>370880</v>
      </c>
      <c r="L2583" s="18">
        <v>396.66</v>
      </c>
      <c r="M2583" s="22">
        <v>278400</v>
      </c>
      <c r="N2583" s="22">
        <v>92480</v>
      </c>
      <c r="O2583" s="18">
        <v>98.91</v>
      </c>
      <c r="P2583" s="52">
        <f>IF(COUNTIF(TblPurchases[BatchID],TblOutcomes[[#This Row],[BatchID]])&lt;&gt;1,"n.a.",TblOutcomes[[#This Row],[Qty Wasted]]*SUMIFS(TblPurchases[Unit Cost (CLP)],TblPurchases[BatchID],TblOutcomes[[#This Row],[BatchID]]))</f>
        <v>9512</v>
      </c>
      <c r="Q2583" s="51">
        <f>IF(COUNTIF(TblPurchases[BatchID],TblOutcomes[[#This Row],[BatchID]])&lt;&gt;1,"n.a.",SUMIFS(TblPurchases[Purchase Date],TblPurchases[BatchID],TblOutcomes[[#This Row],[BatchID]]))</f>
        <v>45191</v>
      </c>
    </row>
    <row r="2584" spans="2:17" x14ac:dyDescent="0.25">
      <c r="B2584" s="2" t="s">
        <v>3389</v>
      </c>
      <c r="C2584" s="2" t="s">
        <v>281</v>
      </c>
      <c r="D2584" s="2" t="s">
        <v>256</v>
      </c>
      <c r="E2584" s="2" t="s">
        <v>4646</v>
      </c>
      <c r="F2584" s="2">
        <v>6</v>
      </c>
      <c r="G2584" s="2">
        <v>5.52</v>
      </c>
      <c r="H2584" s="2">
        <v>0.48</v>
      </c>
      <c r="I2584" s="1">
        <v>8</v>
      </c>
      <c r="J2584" s="26">
        <v>45425</v>
      </c>
      <c r="K2584" s="22">
        <v>88320</v>
      </c>
      <c r="L2584" s="18">
        <v>94.46</v>
      </c>
      <c r="M2584" s="22">
        <v>69600</v>
      </c>
      <c r="N2584" s="22">
        <v>18720</v>
      </c>
      <c r="O2584" s="18">
        <v>20.02</v>
      </c>
      <c r="P2584" s="52">
        <f>IF(COUNTIF(TblPurchases[BatchID],TblOutcomes[[#This Row],[BatchID]])&lt;&gt;1,"n.a.",TblOutcomes[[#This Row],[Qty Wasted]]*SUMIFS(TblPurchases[Unit Cost (CLP)],TblPurchases[BatchID],TblOutcomes[[#This Row],[BatchID]]))</f>
        <v>5568</v>
      </c>
      <c r="Q2584" s="51">
        <f>IF(COUNTIF(TblPurchases[BatchID],TblOutcomes[[#This Row],[BatchID]])&lt;&gt;1,"n.a.",SUMIFS(TblPurchases[Purchase Date],TblPurchases[BatchID],TblOutcomes[[#This Row],[BatchID]]))</f>
        <v>45215</v>
      </c>
    </row>
    <row r="2585" spans="2:17" x14ac:dyDescent="0.25">
      <c r="B2585" s="2" t="s">
        <v>3390</v>
      </c>
      <c r="C2585" s="2" t="s">
        <v>281</v>
      </c>
      <c r="D2585" s="2" t="s">
        <v>256</v>
      </c>
      <c r="E2585" s="2" t="s">
        <v>4647</v>
      </c>
      <c r="F2585" s="2">
        <v>7</v>
      </c>
      <c r="G2585" s="2">
        <v>7</v>
      </c>
      <c r="H2585" s="2">
        <v>0</v>
      </c>
      <c r="I2585" s="1">
        <v>0</v>
      </c>
      <c r="J2585" s="26">
        <v>45258</v>
      </c>
      <c r="K2585" s="22">
        <v>112000</v>
      </c>
      <c r="L2585" s="18">
        <v>119.79</v>
      </c>
      <c r="M2585" s="22">
        <v>81200</v>
      </c>
      <c r="N2585" s="22">
        <v>30800</v>
      </c>
      <c r="O2585" s="18">
        <v>32.94</v>
      </c>
      <c r="P2585" s="52">
        <f>IF(COUNTIF(TblPurchases[BatchID],TblOutcomes[[#This Row],[BatchID]])&lt;&gt;1,"n.a.",TblOutcomes[[#This Row],[Qty Wasted]]*SUMIFS(TblPurchases[Unit Cost (CLP)],TblPurchases[BatchID],TblOutcomes[[#This Row],[BatchID]]))</f>
        <v>0</v>
      </c>
      <c r="Q2585" s="51">
        <f>IF(COUNTIF(TblPurchases[BatchID],TblOutcomes[[#This Row],[BatchID]])&lt;&gt;1,"n.a.",SUMIFS(TblPurchases[Purchase Date],TblPurchases[BatchID],TblOutcomes[[#This Row],[BatchID]]))</f>
        <v>45237</v>
      </c>
    </row>
    <row r="2586" spans="2:17" x14ac:dyDescent="0.25">
      <c r="B2586" s="2" t="s">
        <v>3391</v>
      </c>
      <c r="C2586" s="2" t="s">
        <v>281</v>
      </c>
      <c r="D2586" s="2" t="s">
        <v>256</v>
      </c>
      <c r="E2586" s="2" t="s">
        <v>4646</v>
      </c>
      <c r="F2586" s="2">
        <v>7</v>
      </c>
      <c r="G2586" s="2">
        <v>6.23</v>
      </c>
      <c r="H2586" s="2">
        <v>0.77</v>
      </c>
      <c r="I2586" s="1">
        <v>11</v>
      </c>
      <c r="J2586" s="26">
        <v>45466</v>
      </c>
      <c r="K2586" s="22">
        <v>99680</v>
      </c>
      <c r="L2586" s="18">
        <v>106.61</v>
      </c>
      <c r="M2586" s="22">
        <v>81200</v>
      </c>
      <c r="N2586" s="22">
        <v>18480</v>
      </c>
      <c r="O2586" s="18">
        <v>19.760000000000002</v>
      </c>
      <c r="P2586" s="52">
        <f>IF(COUNTIF(TblPurchases[BatchID],TblOutcomes[[#This Row],[BatchID]])&lt;&gt;1,"n.a.",TblOutcomes[[#This Row],[Qty Wasted]]*SUMIFS(TblPurchases[Unit Cost (CLP)],TblPurchases[BatchID],TblOutcomes[[#This Row],[BatchID]]))</f>
        <v>8932</v>
      </c>
      <c r="Q2586" s="51">
        <f>IF(COUNTIF(TblPurchases[BatchID],TblOutcomes[[#This Row],[BatchID]])&lt;&gt;1,"n.a.",SUMIFS(TblPurchases[Purchase Date],TblPurchases[BatchID],TblOutcomes[[#This Row],[BatchID]]))</f>
        <v>45256</v>
      </c>
    </row>
    <row r="2587" spans="2:17" x14ac:dyDescent="0.25">
      <c r="B2587" s="2" t="s">
        <v>3392</v>
      </c>
      <c r="C2587" s="2" t="s">
        <v>281</v>
      </c>
      <c r="D2587" s="2" t="s">
        <v>256</v>
      </c>
      <c r="E2587" s="2" t="s">
        <v>4647</v>
      </c>
      <c r="F2587" s="2">
        <v>8</v>
      </c>
      <c r="G2587" s="2">
        <v>8</v>
      </c>
      <c r="H2587" s="2">
        <v>0</v>
      </c>
      <c r="I2587" s="1">
        <v>0</v>
      </c>
      <c r="J2587" s="26">
        <v>45299</v>
      </c>
      <c r="K2587" s="22">
        <v>128000</v>
      </c>
      <c r="L2587" s="18">
        <v>136.9</v>
      </c>
      <c r="M2587" s="22">
        <v>92800</v>
      </c>
      <c r="N2587" s="22">
        <v>35200</v>
      </c>
      <c r="O2587" s="18">
        <v>37.65</v>
      </c>
      <c r="P2587" s="52">
        <f>IF(COUNTIF(TblPurchases[BatchID],TblOutcomes[[#This Row],[BatchID]])&lt;&gt;1,"n.a.",TblOutcomes[[#This Row],[Qty Wasted]]*SUMIFS(TblPurchases[Unit Cost (CLP)],TblPurchases[BatchID],TblOutcomes[[#This Row],[BatchID]]))</f>
        <v>0</v>
      </c>
      <c r="Q2587" s="51">
        <f>IF(COUNTIF(TblPurchases[BatchID],TblOutcomes[[#This Row],[BatchID]])&lt;&gt;1,"n.a.",SUMIFS(TblPurchases[Purchase Date],TblPurchases[BatchID],TblOutcomes[[#This Row],[BatchID]]))</f>
        <v>45279</v>
      </c>
    </row>
    <row r="2588" spans="2:17" x14ac:dyDescent="0.25">
      <c r="B2588" s="2" t="s">
        <v>3393</v>
      </c>
      <c r="C2588" s="2" t="s">
        <v>281</v>
      </c>
      <c r="D2588" s="2" t="s">
        <v>256</v>
      </c>
      <c r="E2588" s="2" t="s">
        <v>4646</v>
      </c>
      <c r="F2588" s="2">
        <v>8</v>
      </c>
      <c r="G2588" s="2">
        <v>7.22</v>
      </c>
      <c r="H2588" s="2">
        <v>0.78</v>
      </c>
      <c r="I2588" s="1">
        <v>9.6999999999999993</v>
      </c>
      <c r="J2588" s="26">
        <v>45515</v>
      </c>
      <c r="K2588" s="22">
        <v>115520</v>
      </c>
      <c r="L2588" s="18">
        <v>123.55</v>
      </c>
      <c r="M2588" s="22">
        <v>92800</v>
      </c>
      <c r="N2588" s="22">
        <v>22720</v>
      </c>
      <c r="O2588" s="18">
        <v>24.3</v>
      </c>
      <c r="P2588" s="52">
        <f>IF(COUNTIF(TblPurchases[BatchID],TblOutcomes[[#This Row],[BatchID]])&lt;&gt;1,"n.a.",TblOutcomes[[#This Row],[Qty Wasted]]*SUMIFS(TblPurchases[Unit Cost (CLP)],TblPurchases[BatchID],TblOutcomes[[#This Row],[BatchID]]))</f>
        <v>9048</v>
      </c>
      <c r="Q2588" s="51">
        <f>IF(COUNTIF(TblPurchases[BatchID],TblOutcomes[[#This Row],[BatchID]])&lt;&gt;1,"n.a.",SUMIFS(TblPurchases[Purchase Date],TblPurchases[BatchID],TblOutcomes[[#This Row],[BatchID]]))</f>
        <v>45305</v>
      </c>
    </row>
    <row r="2589" spans="2:17" x14ac:dyDescent="0.25">
      <c r="B2589" s="2" t="s">
        <v>3394</v>
      </c>
      <c r="C2589" s="2" t="s">
        <v>281</v>
      </c>
      <c r="D2589" s="2" t="s">
        <v>256</v>
      </c>
      <c r="E2589" s="2" t="s">
        <v>4647</v>
      </c>
      <c r="F2589" s="2">
        <v>7</v>
      </c>
      <c r="G2589" s="2">
        <v>7</v>
      </c>
      <c r="H2589" s="2">
        <v>0</v>
      </c>
      <c r="I2589" s="1">
        <v>0</v>
      </c>
      <c r="J2589" s="26">
        <v>45340</v>
      </c>
      <c r="K2589" s="22">
        <v>112000</v>
      </c>
      <c r="L2589" s="18">
        <v>119.79</v>
      </c>
      <c r="M2589" s="22">
        <v>81200</v>
      </c>
      <c r="N2589" s="22">
        <v>30800</v>
      </c>
      <c r="O2589" s="18">
        <v>32.94</v>
      </c>
      <c r="P2589" s="52">
        <f>IF(COUNTIF(TblPurchases[BatchID],TblOutcomes[[#This Row],[BatchID]])&lt;&gt;1,"n.a.",TblOutcomes[[#This Row],[Qty Wasted]]*SUMIFS(TblPurchases[Unit Cost (CLP)],TblPurchases[BatchID],TblOutcomes[[#This Row],[BatchID]]))</f>
        <v>0</v>
      </c>
      <c r="Q2589" s="51">
        <f>IF(COUNTIF(TblPurchases[BatchID],TblOutcomes[[#This Row],[BatchID]])&lt;&gt;1,"n.a.",SUMIFS(TblPurchases[Purchase Date],TblPurchases[BatchID],TblOutcomes[[#This Row],[BatchID]]))</f>
        <v>45325</v>
      </c>
    </row>
    <row r="2590" spans="2:17" x14ac:dyDescent="0.25">
      <c r="B2590" s="2" t="s">
        <v>3395</v>
      </c>
      <c r="C2590" s="2" t="s">
        <v>281</v>
      </c>
      <c r="D2590" s="2" t="s">
        <v>256</v>
      </c>
      <c r="E2590" s="2" t="s">
        <v>4647</v>
      </c>
      <c r="F2590" s="2">
        <v>7</v>
      </c>
      <c r="G2590" s="2">
        <v>7</v>
      </c>
      <c r="H2590" s="2">
        <v>0</v>
      </c>
      <c r="I2590" s="1">
        <v>0</v>
      </c>
      <c r="J2590" s="26">
        <v>45355</v>
      </c>
      <c r="K2590" s="22">
        <v>112000</v>
      </c>
      <c r="L2590" s="18">
        <v>119.79</v>
      </c>
      <c r="M2590" s="22">
        <v>81200</v>
      </c>
      <c r="N2590" s="22">
        <v>30800</v>
      </c>
      <c r="O2590" s="18">
        <v>32.94</v>
      </c>
      <c r="P2590" s="52">
        <f>IF(COUNTIF(TblPurchases[BatchID],TblOutcomes[[#This Row],[BatchID]])&lt;&gt;1,"n.a.",TblOutcomes[[#This Row],[Qty Wasted]]*SUMIFS(TblPurchases[Unit Cost (CLP)],TblPurchases[BatchID],TblOutcomes[[#This Row],[BatchID]]))</f>
        <v>0</v>
      </c>
      <c r="Q2590" s="51">
        <f>IF(COUNTIF(TblPurchases[BatchID],TblOutcomes[[#This Row],[BatchID]])&lt;&gt;1,"n.a.",SUMIFS(TblPurchases[Purchase Date],TblPurchases[BatchID],TblOutcomes[[#This Row],[BatchID]]))</f>
        <v>45349</v>
      </c>
    </row>
    <row r="2591" spans="2:17" x14ac:dyDescent="0.25">
      <c r="B2591" s="2" t="s">
        <v>3396</v>
      </c>
      <c r="C2591" s="2" t="s">
        <v>281</v>
      </c>
      <c r="D2591" s="2" t="s">
        <v>256</v>
      </c>
      <c r="E2591" s="2" t="s">
        <v>4646</v>
      </c>
      <c r="F2591" s="2">
        <v>7</v>
      </c>
      <c r="G2591" s="2">
        <v>6.5</v>
      </c>
      <c r="H2591" s="2">
        <v>0.5</v>
      </c>
      <c r="I2591" s="1">
        <v>7.2</v>
      </c>
      <c r="J2591" s="26">
        <v>45579</v>
      </c>
      <c r="K2591" s="22">
        <v>104000</v>
      </c>
      <c r="L2591" s="18">
        <v>111.23</v>
      </c>
      <c r="M2591" s="22">
        <v>81200</v>
      </c>
      <c r="N2591" s="22">
        <v>22800</v>
      </c>
      <c r="O2591" s="18">
        <v>24.39</v>
      </c>
      <c r="P2591" s="52">
        <f>IF(COUNTIF(TblPurchases[BatchID],TblOutcomes[[#This Row],[BatchID]])&lt;&gt;1,"n.a.",TblOutcomes[[#This Row],[Qty Wasted]]*SUMIFS(TblPurchases[Unit Cost (CLP)],TblPurchases[BatchID],TblOutcomes[[#This Row],[BatchID]]))</f>
        <v>5800</v>
      </c>
      <c r="Q2591" s="51">
        <f>IF(COUNTIF(TblPurchases[BatchID],TblOutcomes[[#This Row],[BatchID]])&lt;&gt;1,"n.a.",SUMIFS(TblPurchases[Purchase Date],TblPurchases[BatchID],TblOutcomes[[#This Row],[BatchID]]))</f>
        <v>45369</v>
      </c>
    </row>
    <row r="2592" spans="2:17" x14ac:dyDescent="0.25">
      <c r="B2592" s="2" t="s">
        <v>3397</v>
      </c>
      <c r="C2592" s="2" t="s">
        <v>281</v>
      </c>
      <c r="D2592" s="2" t="s">
        <v>256</v>
      </c>
      <c r="E2592" s="2" t="s">
        <v>4647</v>
      </c>
      <c r="F2592" s="2">
        <v>17</v>
      </c>
      <c r="G2592" s="2">
        <v>17</v>
      </c>
      <c r="H2592" s="2">
        <v>0</v>
      </c>
      <c r="I2592" s="1">
        <v>0</v>
      </c>
      <c r="J2592" s="26">
        <v>45427</v>
      </c>
      <c r="K2592" s="22">
        <v>272000</v>
      </c>
      <c r="L2592" s="18">
        <v>290.91000000000003</v>
      </c>
      <c r="M2592" s="22">
        <v>197200</v>
      </c>
      <c r="N2592" s="22">
        <v>74800</v>
      </c>
      <c r="O2592" s="18">
        <v>80</v>
      </c>
      <c r="P2592" s="52">
        <f>IF(COUNTIF(TblPurchases[BatchID],TblOutcomes[[#This Row],[BatchID]])&lt;&gt;1,"n.a.",TblOutcomes[[#This Row],[Qty Wasted]]*SUMIFS(TblPurchases[Unit Cost (CLP)],TblPurchases[BatchID],TblOutcomes[[#This Row],[BatchID]]))</f>
        <v>0</v>
      </c>
      <c r="Q2592" s="51">
        <f>IF(COUNTIF(TblPurchases[BatchID],TblOutcomes[[#This Row],[BatchID]])&lt;&gt;1,"n.a.",SUMIFS(TblPurchases[Purchase Date],TblPurchases[BatchID],TblOutcomes[[#This Row],[BatchID]]))</f>
        <v>45393</v>
      </c>
    </row>
    <row r="2593" spans="2:17" x14ac:dyDescent="0.25">
      <c r="B2593" s="2" t="s">
        <v>3398</v>
      </c>
      <c r="C2593" s="2" t="s">
        <v>281</v>
      </c>
      <c r="D2593" s="2" t="s">
        <v>256</v>
      </c>
      <c r="E2593" s="2" t="s">
        <v>4646</v>
      </c>
      <c r="F2593" s="2">
        <v>18</v>
      </c>
      <c r="G2593" s="2">
        <v>16.25</v>
      </c>
      <c r="H2593" s="2">
        <v>1.75</v>
      </c>
      <c r="I2593" s="1">
        <v>9.6999999999999993</v>
      </c>
      <c r="J2593" s="26">
        <v>45626</v>
      </c>
      <c r="K2593" s="22">
        <v>260000</v>
      </c>
      <c r="L2593" s="18">
        <v>278.07</v>
      </c>
      <c r="M2593" s="22">
        <v>208800</v>
      </c>
      <c r="N2593" s="22">
        <v>51200</v>
      </c>
      <c r="O2593" s="18">
        <v>54.76</v>
      </c>
      <c r="P2593" s="52">
        <f>IF(COUNTIF(TblPurchases[BatchID],TblOutcomes[[#This Row],[BatchID]])&lt;&gt;1,"n.a.",TblOutcomes[[#This Row],[Qty Wasted]]*SUMIFS(TblPurchases[Unit Cost (CLP)],TblPurchases[BatchID],TblOutcomes[[#This Row],[BatchID]]))</f>
        <v>20300</v>
      </c>
      <c r="Q2593" s="51">
        <f>IF(COUNTIF(TblPurchases[BatchID],TblOutcomes[[#This Row],[BatchID]])&lt;&gt;1,"n.a.",SUMIFS(TblPurchases[Purchase Date],TblPurchases[BatchID],TblOutcomes[[#This Row],[BatchID]]))</f>
        <v>45416</v>
      </c>
    </row>
    <row r="2594" spans="2:17" x14ac:dyDescent="0.25">
      <c r="B2594" s="2" t="s">
        <v>3399</v>
      </c>
      <c r="C2594" s="2" t="s">
        <v>281</v>
      </c>
      <c r="D2594" s="2" t="s">
        <v>256</v>
      </c>
      <c r="E2594" s="2" t="s">
        <v>4647</v>
      </c>
      <c r="F2594" s="2">
        <v>21</v>
      </c>
      <c r="G2594" s="2">
        <v>21</v>
      </c>
      <c r="H2594" s="2">
        <v>0</v>
      </c>
      <c r="I2594" s="1">
        <v>0</v>
      </c>
      <c r="J2594" s="26">
        <v>45455</v>
      </c>
      <c r="K2594" s="22">
        <v>336000</v>
      </c>
      <c r="L2594" s="18">
        <v>359.36</v>
      </c>
      <c r="M2594" s="22">
        <v>254100</v>
      </c>
      <c r="N2594" s="22">
        <v>81900</v>
      </c>
      <c r="O2594" s="18">
        <v>87.59</v>
      </c>
      <c r="P2594" s="52">
        <f>IF(COUNTIF(TblPurchases[BatchID],TblOutcomes[[#This Row],[BatchID]])&lt;&gt;1,"n.a.",TblOutcomes[[#This Row],[Qty Wasted]]*SUMIFS(TblPurchases[Unit Cost (CLP)],TblPurchases[BatchID],TblOutcomes[[#This Row],[BatchID]]))</f>
        <v>0</v>
      </c>
      <c r="Q2594" s="51">
        <f>IF(COUNTIF(TblPurchases[BatchID],TblOutcomes[[#This Row],[BatchID]])&lt;&gt;1,"n.a.",SUMIFS(TblPurchases[Purchase Date],TblPurchases[BatchID],TblOutcomes[[#This Row],[BatchID]]))</f>
        <v>45437</v>
      </c>
    </row>
    <row r="2595" spans="2:17" x14ac:dyDescent="0.25">
      <c r="B2595" s="2" t="s">
        <v>3400</v>
      </c>
      <c r="C2595" s="2" t="s">
        <v>281</v>
      </c>
      <c r="D2595" s="2" t="s">
        <v>256</v>
      </c>
      <c r="E2595" s="2" t="s">
        <v>4647</v>
      </c>
      <c r="F2595" s="2">
        <v>22</v>
      </c>
      <c r="G2595" s="2">
        <v>22</v>
      </c>
      <c r="H2595" s="2">
        <v>0</v>
      </c>
      <c r="I2595" s="1">
        <v>0</v>
      </c>
      <c r="J2595" s="26">
        <v>45481</v>
      </c>
      <c r="K2595" s="22">
        <v>352000</v>
      </c>
      <c r="L2595" s="18">
        <v>376.47</v>
      </c>
      <c r="M2595" s="22">
        <v>255200</v>
      </c>
      <c r="N2595" s="22">
        <v>96800</v>
      </c>
      <c r="O2595" s="18">
        <v>103.53</v>
      </c>
      <c r="P2595" s="52">
        <f>IF(COUNTIF(TblPurchases[BatchID],TblOutcomes[[#This Row],[BatchID]])&lt;&gt;1,"n.a.",TblOutcomes[[#This Row],[Qty Wasted]]*SUMIFS(TblPurchases[Unit Cost (CLP)],TblPurchases[BatchID],TblOutcomes[[#This Row],[BatchID]]))</f>
        <v>0</v>
      </c>
      <c r="Q2595" s="51">
        <f>IF(COUNTIF(TblPurchases[BatchID],TblOutcomes[[#This Row],[BatchID]])&lt;&gt;1,"n.a.",SUMIFS(TblPurchases[Purchase Date],TblPurchases[BatchID],TblOutcomes[[#This Row],[BatchID]]))</f>
        <v>45463</v>
      </c>
    </row>
    <row r="2596" spans="2:17" x14ac:dyDescent="0.25">
      <c r="B2596" s="2" t="s">
        <v>3401</v>
      </c>
      <c r="C2596" s="2" t="s">
        <v>281</v>
      </c>
      <c r="D2596" s="2" t="s">
        <v>256</v>
      </c>
      <c r="E2596" s="2" t="s">
        <v>4647</v>
      </c>
      <c r="F2596" s="2">
        <v>20</v>
      </c>
      <c r="G2596" s="2">
        <v>20</v>
      </c>
      <c r="H2596" s="2">
        <v>0</v>
      </c>
      <c r="I2596" s="1">
        <v>0</v>
      </c>
      <c r="J2596" s="26">
        <v>45501</v>
      </c>
      <c r="K2596" s="22">
        <v>320000</v>
      </c>
      <c r="L2596" s="18">
        <v>342.25</v>
      </c>
      <c r="M2596" s="22">
        <v>242000</v>
      </c>
      <c r="N2596" s="22">
        <v>78000</v>
      </c>
      <c r="O2596" s="18">
        <v>83.42</v>
      </c>
      <c r="P2596" s="52">
        <f>IF(COUNTIF(TblPurchases[BatchID],TblOutcomes[[#This Row],[BatchID]])&lt;&gt;1,"n.a.",TblOutcomes[[#This Row],[Qty Wasted]]*SUMIFS(TblPurchases[Unit Cost (CLP)],TblPurchases[BatchID],TblOutcomes[[#This Row],[BatchID]]))</f>
        <v>0</v>
      </c>
      <c r="Q2596" s="51">
        <f>IF(COUNTIF(TblPurchases[BatchID],TblOutcomes[[#This Row],[BatchID]])&lt;&gt;1,"n.a.",SUMIFS(TblPurchases[Purchase Date],TblPurchases[BatchID],TblOutcomes[[#This Row],[BatchID]]))</f>
        <v>45487</v>
      </c>
    </row>
    <row r="2597" spans="2:17" x14ac:dyDescent="0.25">
      <c r="B2597" s="2" t="s">
        <v>3402</v>
      </c>
      <c r="C2597" s="2" t="s">
        <v>281</v>
      </c>
      <c r="D2597" s="2" t="s">
        <v>256</v>
      </c>
      <c r="E2597" s="2" t="s">
        <v>4646</v>
      </c>
      <c r="F2597" s="2">
        <v>17</v>
      </c>
      <c r="G2597" s="2">
        <v>15.81</v>
      </c>
      <c r="H2597" s="2">
        <v>1.19</v>
      </c>
      <c r="I2597" s="1">
        <v>7</v>
      </c>
      <c r="J2597" s="26">
        <v>45716</v>
      </c>
      <c r="K2597" s="22">
        <v>252960</v>
      </c>
      <c r="L2597" s="18">
        <v>270.55</v>
      </c>
      <c r="M2597" s="22">
        <v>197200</v>
      </c>
      <c r="N2597" s="22">
        <v>55760</v>
      </c>
      <c r="O2597" s="18">
        <v>59.64</v>
      </c>
      <c r="P2597" s="52">
        <f>IF(COUNTIF(TblPurchases[BatchID],TblOutcomes[[#This Row],[BatchID]])&lt;&gt;1,"n.a.",TblOutcomes[[#This Row],[Qty Wasted]]*SUMIFS(TblPurchases[Unit Cost (CLP)],TblPurchases[BatchID],TblOutcomes[[#This Row],[BatchID]]))</f>
        <v>13804</v>
      </c>
      <c r="Q2597" s="51">
        <f>IF(COUNTIF(TblPurchases[BatchID],TblOutcomes[[#This Row],[BatchID]])&lt;&gt;1,"n.a.",SUMIFS(TblPurchases[Purchase Date],TblPurchases[BatchID],TblOutcomes[[#This Row],[BatchID]]))</f>
        <v>45506</v>
      </c>
    </row>
    <row r="2598" spans="2:17" x14ac:dyDescent="0.25">
      <c r="B2598" s="2" t="s">
        <v>3403</v>
      </c>
      <c r="C2598" s="2" t="s">
        <v>281</v>
      </c>
      <c r="D2598" s="2" t="s">
        <v>256</v>
      </c>
      <c r="E2598" s="2" t="s">
        <v>4647</v>
      </c>
      <c r="F2598" s="2">
        <v>19</v>
      </c>
      <c r="G2598" s="2">
        <v>19</v>
      </c>
      <c r="H2598" s="2">
        <v>0</v>
      </c>
      <c r="I2598" s="1">
        <v>0</v>
      </c>
      <c r="J2598" s="26">
        <v>45547</v>
      </c>
      <c r="K2598" s="22">
        <v>304000</v>
      </c>
      <c r="L2598" s="18">
        <v>325.13</v>
      </c>
      <c r="M2598" s="22">
        <v>220400</v>
      </c>
      <c r="N2598" s="22">
        <v>83600</v>
      </c>
      <c r="O2598" s="18">
        <v>89.41</v>
      </c>
      <c r="P2598" s="52">
        <f>IF(COUNTIF(TblPurchases[BatchID],TblOutcomes[[#This Row],[BatchID]])&lt;&gt;1,"n.a.",TblOutcomes[[#This Row],[Qty Wasted]]*SUMIFS(TblPurchases[Unit Cost (CLP)],TblPurchases[BatchID],TblOutcomes[[#This Row],[BatchID]]))</f>
        <v>0</v>
      </c>
      <c r="Q2598" s="51">
        <f>IF(COUNTIF(TblPurchases[BatchID],TblOutcomes[[#This Row],[BatchID]])&lt;&gt;1,"n.a.",SUMIFS(TblPurchases[Purchase Date],TblPurchases[BatchID],TblOutcomes[[#This Row],[BatchID]]))</f>
        <v>45528</v>
      </c>
    </row>
    <row r="2599" spans="2:17" x14ac:dyDescent="0.25">
      <c r="B2599" s="2" t="s">
        <v>3404</v>
      </c>
      <c r="C2599" s="2" t="s">
        <v>281</v>
      </c>
      <c r="D2599" s="2" t="s">
        <v>256</v>
      </c>
      <c r="E2599" s="2" t="s">
        <v>4647</v>
      </c>
      <c r="F2599" s="2">
        <v>25</v>
      </c>
      <c r="G2599" s="2">
        <v>25</v>
      </c>
      <c r="H2599" s="2">
        <v>0</v>
      </c>
      <c r="I2599" s="1">
        <v>0</v>
      </c>
      <c r="J2599" s="26">
        <v>45568</v>
      </c>
      <c r="K2599" s="22">
        <v>400000</v>
      </c>
      <c r="L2599" s="18">
        <v>427.81</v>
      </c>
      <c r="M2599" s="22">
        <v>290000</v>
      </c>
      <c r="N2599" s="22">
        <v>110000</v>
      </c>
      <c r="O2599" s="18">
        <v>117.65</v>
      </c>
      <c r="P2599" s="52">
        <f>IF(COUNTIF(TblPurchases[BatchID],TblOutcomes[[#This Row],[BatchID]])&lt;&gt;1,"n.a.",TblOutcomes[[#This Row],[Qty Wasted]]*SUMIFS(TblPurchases[Unit Cost (CLP)],TblPurchases[BatchID],TblOutcomes[[#This Row],[BatchID]]))</f>
        <v>0</v>
      </c>
      <c r="Q2599" s="51">
        <f>IF(COUNTIF(TblPurchases[BatchID],TblOutcomes[[#This Row],[BatchID]])&lt;&gt;1,"n.a.",SUMIFS(TblPurchases[Purchase Date],TblPurchases[BatchID],TblOutcomes[[#This Row],[BatchID]]))</f>
        <v>45549</v>
      </c>
    </row>
    <row r="2600" spans="2:17" x14ac:dyDescent="0.25">
      <c r="B2600" s="2" t="s">
        <v>3405</v>
      </c>
      <c r="C2600" s="2" t="s">
        <v>281</v>
      </c>
      <c r="D2600" s="2" t="s">
        <v>256</v>
      </c>
      <c r="E2600" s="2" t="s">
        <v>4646</v>
      </c>
      <c r="F2600" s="2">
        <v>7</v>
      </c>
      <c r="G2600" s="2">
        <v>6.58</v>
      </c>
      <c r="H2600" s="2">
        <v>0.42</v>
      </c>
      <c r="I2600" s="1">
        <v>6</v>
      </c>
      <c r="J2600" s="26">
        <v>45779</v>
      </c>
      <c r="K2600" s="22">
        <v>105280</v>
      </c>
      <c r="L2600" s="18">
        <v>112.6</v>
      </c>
      <c r="M2600" s="22">
        <v>81200</v>
      </c>
      <c r="N2600" s="22">
        <v>24080</v>
      </c>
      <c r="O2600" s="18">
        <v>25.75</v>
      </c>
      <c r="P2600" s="52">
        <f>IF(COUNTIF(TblPurchases[BatchID],TblOutcomes[[#This Row],[BatchID]])&lt;&gt;1,"n.a.",TblOutcomes[[#This Row],[Qty Wasted]]*SUMIFS(TblPurchases[Unit Cost (CLP)],TblPurchases[BatchID],TblOutcomes[[#This Row],[BatchID]]))</f>
        <v>4872</v>
      </c>
      <c r="Q2600" s="51">
        <f>IF(COUNTIF(TblPurchases[BatchID],TblOutcomes[[#This Row],[BatchID]])&lt;&gt;1,"n.a.",SUMIFS(TblPurchases[Purchase Date],TblPurchases[BatchID],TblOutcomes[[#This Row],[BatchID]]))</f>
        <v>45569</v>
      </c>
    </row>
    <row r="2601" spans="2:17" x14ac:dyDescent="0.25">
      <c r="B2601" s="2" t="s">
        <v>3406</v>
      </c>
      <c r="C2601" s="2" t="s">
        <v>281</v>
      </c>
      <c r="D2601" s="2" t="s">
        <v>256</v>
      </c>
      <c r="E2601" s="2" t="s">
        <v>4646</v>
      </c>
      <c r="F2601" s="2">
        <v>8</v>
      </c>
      <c r="G2601" s="2">
        <v>7.44</v>
      </c>
      <c r="H2601" s="2">
        <v>0.56000000000000005</v>
      </c>
      <c r="I2601" s="1">
        <v>7</v>
      </c>
      <c r="J2601" s="26">
        <v>45802</v>
      </c>
      <c r="K2601" s="22">
        <v>119040</v>
      </c>
      <c r="L2601" s="18">
        <v>127.32</v>
      </c>
      <c r="M2601" s="22">
        <v>92800</v>
      </c>
      <c r="N2601" s="22">
        <v>26240</v>
      </c>
      <c r="O2601" s="18">
        <v>28.06</v>
      </c>
      <c r="P2601" s="52">
        <f>IF(COUNTIF(TblPurchases[BatchID],TblOutcomes[[#This Row],[BatchID]])&lt;&gt;1,"n.a.",TblOutcomes[[#This Row],[Qty Wasted]]*SUMIFS(TblPurchases[Unit Cost (CLP)],TblPurchases[BatchID],TblOutcomes[[#This Row],[BatchID]]))</f>
        <v>6496.0000000000009</v>
      </c>
      <c r="Q2601" s="51">
        <f>IF(COUNTIF(TblPurchases[BatchID],TblOutcomes[[#This Row],[BatchID]])&lt;&gt;1,"n.a.",SUMIFS(TblPurchases[Purchase Date],TblPurchases[BatchID],TblOutcomes[[#This Row],[BatchID]]))</f>
        <v>45592</v>
      </c>
    </row>
    <row r="2602" spans="2:17" x14ac:dyDescent="0.25">
      <c r="B2602" s="2" t="s">
        <v>3407</v>
      </c>
      <c r="C2602" s="2" t="s">
        <v>281</v>
      </c>
      <c r="D2602" s="2" t="s">
        <v>256</v>
      </c>
      <c r="E2602" s="2" t="s">
        <v>4646</v>
      </c>
      <c r="F2602" s="2">
        <v>8</v>
      </c>
      <c r="G2602" s="2">
        <v>7.38</v>
      </c>
      <c r="H2602" s="2">
        <v>0.62</v>
      </c>
      <c r="I2602" s="1">
        <v>7.7</v>
      </c>
      <c r="J2602" s="26">
        <v>45818</v>
      </c>
      <c r="K2602" s="22">
        <v>118080</v>
      </c>
      <c r="L2602" s="18">
        <v>126.29</v>
      </c>
      <c r="M2602" s="22">
        <v>92800</v>
      </c>
      <c r="N2602" s="22">
        <v>25280</v>
      </c>
      <c r="O2602" s="18">
        <v>27.04</v>
      </c>
      <c r="P2602" s="52">
        <f>IF(COUNTIF(TblPurchases[BatchID],TblOutcomes[[#This Row],[BatchID]])&lt;&gt;1,"n.a.",TblOutcomes[[#This Row],[Qty Wasted]]*SUMIFS(TblPurchases[Unit Cost (CLP)],TblPurchases[BatchID],TblOutcomes[[#This Row],[BatchID]]))</f>
        <v>7192</v>
      </c>
      <c r="Q2602" s="51">
        <f>IF(COUNTIF(TblPurchases[BatchID],TblOutcomes[[#This Row],[BatchID]])&lt;&gt;1,"n.a.",SUMIFS(TblPurchases[Purchase Date],TblPurchases[BatchID],TblOutcomes[[#This Row],[BatchID]]))</f>
        <v>45608</v>
      </c>
    </row>
    <row r="2603" spans="2:17" x14ac:dyDescent="0.25">
      <c r="B2603" s="2" t="s">
        <v>3408</v>
      </c>
      <c r="C2603" s="2" t="s">
        <v>281</v>
      </c>
      <c r="D2603" s="2" t="s">
        <v>256</v>
      </c>
      <c r="E2603" s="2" t="s">
        <v>4647</v>
      </c>
      <c r="F2603" s="2">
        <v>8</v>
      </c>
      <c r="G2603" s="2">
        <v>8</v>
      </c>
      <c r="H2603" s="2">
        <v>0</v>
      </c>
      <c r="I2603" s="1">
        <v>0</v>
      </c>
      <c r="J2603" s="26">
        <v>45647</v>
      </c>
      <c r="K2603" s="22">
        <v>128000</v>
      </c>
      <c r="L2603" s="18">
        <v>136.9</v>
      </c>
      <c r="M2603" s="22">
        <v>92800</v>
      </c>
      <c r="N2603" s="22">
        <v>35200</v>
      </c>
      <c r="O2603" s="18">
        <v>37.65</v>
      </c>
      <c r="P2603" s="52">
        <f>IF(COUNTIF(TblPurchases[BatchID],TblOutcomes[[#This Row],[BatchID]])&lt;&gt;1,"n.a.",TblOutcomes[[#This Row],[Qty Wasted]]*SUMIFS(TblPurchases[Unit Cost (CLP)],TblPurchases[BatchID],TblOutcomes[[#This Row],[BatchID]]))</f>
        <v>0</v>
      </c>
      <c r="Q2603" s="51">
        <f>IF(COUNTIF(TblPurchases[BatchID],TblOutcomes[[#This Row],[BatchID]])&lt;&gt;1,"n.a.",SUMIFS(TblPurchases[Purchase Date],TblPurchases[BatchID],TblOutcomes[[#This Row],[BatchID]]))</f>
        <v>45626</v>
      </c>
    </row>
    <row r="2604" spans="2:17" x14ac:dyDescent="0.25">
      <c r="B2604" s="2" t="s">
        <v>3409</v>
      </c>
      <c r="C2604" s="2" t="s">
        <v>281</v>
      </c>
      <c r="D2604" s="2" t="s">
        <v>256</v>
      </c>
      <c r="E2604" s="2" t="s">
        <v>4646</v>
      </c>
      <c r="F2604" s="2">
        <v>8</v>
      </c>
      <c r="G2604" s="2">
        <v>7.4</v>
      </c>
      <c r="H2604" s="2">
        <v>0.6</v>
      </c>
      <c r="I2604" s="1">
        <v>7.5</v>
      </c>
      <c r="J2604" s="26">
        <v>45858</v>
      </c>
      <c r="K2604" s="22">
        <v>118400</v>
      </c>
      <c r="L2604" s="18">
        <v>126.63</v>
      </c>
      <c r="M2604" s="22">
        <v>92800</v>
      </c>
      <c r="N2604" s="22">
        <v>25600</v>
      </c>
      <c r="O2604" s="18">
        <v>27.38</v>
      </c>
      <c r="P2604" s="52">
        <f>IF(COUNTIF(TblPurchases[BatchID],TblOutcomes[[#This Row],[BatchID]])&lt;&gt;1,"n.a.",TblOutcomes[[#This Row],[Qty Wasted]]*SUMIFS(TblPurchases[Unit Cost (CLP)],TblPurchases[BatchID],TblOutcomes[[#This Row],[BatchID]]))</f>
        <v>6960</v>
      </c>
      <c r="Q2604" s="51">
        <f>IF(COUNTIF(TblPurchases[BatchID],TblOutcomes[[#This Row],[BatchID]])&lt;&gt;1,"n.a.",SUMIFS(TblPurchases[Purchase Date],TblPurchases[BatchID],TblOutcomes[[#This Row],[BatchID]]))</f>
        <v>45648</v>
      </c>
    </row>
    <row r="2605" spans="2:17" x14ac:dyDescent="0.25">
      <c r="B2605" s="2" t="s">
        <v>3410</v>
      </c>
      <c r="C2605" s="2" t="s">
        <v>281</v>
      </c>
      <c r="D2605" s="2" t="s">
        <v>256</v>
      </c>
      <c r="E2605" s="2" t="s">
        <v>4646</v>
      </c>
      <c r="F2605" s="2">
        <v>8</v>
      </c>
      <c r="G2605" s="2">
        <v>7.37</v>
      </c>
      <c r="H2605" s="2">
        <v>0.63</v>
      </c>
      <c r="I2605" s="1">
        <v>7.9</v>
      </c>
      <c r="J2605" s="26">
        <v>45879</v>
      </c>
      <c r="K2605" s="22">
        <v>117920</v>
      </c>
      <c r="L2605" s="18">
        <v>126.12</v>
      </c>
      <c r="M2605" s="22">
        <v>92800</v>
      </c>
      <c r="N2605" s="22">
        <v>25120</v>
      </c>
      <c r="O2605" s="18">
        <v>26.87</v>
      </c>
      <c r="P2605" s="52">
        <f>IF(COUNTIF(TblPurchases[BatchID],TblOutcomes[[#This Row],[BatchID]])&lt;&gt;1,"n.a.",TblOutcomes[[#This Row],[Qty Wasted]]*SUMIFS(TblPurchases[Unit Cost (CLP)],TblPurchases[BatchID],TblOutcomes[[#This Row],[BatchID]]))</f>
        <v>7308</v>
      </c>
      <c r="Q2605" s="51">
        <f>IF(COUNTIF(TblPurchases[BatchID],TblOutcomes[[#This Row],[BatchID]])&lt;&gt;1,"n.a.",SUMIFS(TblPurchases[Purchase Date],TblPurchases[BatchID],TblOutcomes[[#This Row],[BatchID]]))</f>
        <v>45669</v>
      </c>
    </row>
    <row r="2606" spans="2:17" x14ac:dyDescent="0.25">
      <c r="B2606" s="2" t="s">
        <v>3411</v>
      </c>
      <c r="C2606" s="2" t="s">
        <v>281</v>
      </c>
      <c r="D2606" s="2" t="s">
        <v>256</v>
      </c>
      <c r="E2606" s="2" t="s">
        <v>4647</v>
      </c>
      <c r="F2606" s="2">
        <v>8</v>
      </c>
      <c r="G2606" s="2">
        <v>8</v>
      </c>
      <c r="H2606" s="2">
        <v>0</v>
      </c>
      <c r="I2606" s="1">
        <v>0</v>
      </c>
      <c r="J2606" s="26">
        <v>45699</v>
      </c>
      <c r="K2606" s="22">
        <v>128000</v>
      </c>
      <c r="L2606" s="18">
        <v>136.9</v>
      </c>
      <c r="M2606" s="22">
        <v>92800</v>
      </c>
      <c r="N2606" s="22">
        <v>35200</v>
      </c>
      <c r="O2606" s="18">
        <v>37.65</v>
      </c>
      <c r="P2606" s="52">
        <f>IF(COUNTIF(TblPurchases[BatchID],TblOutcomes[[#This Row],[BatchID]])&lt;&gt;1,"n.a.",TblOutcomes[[#This Row],[Qty Wasted]]*SUMIFS(TblPurchases[Unit Cost (CLP)],TblPurchases[BatchID],TblOutcomes[[#This Row],[BatchID]]))</f>
        <v>0</v>
      </c>
      <c r="Q2606" s="51">
        <f>IF(COUNTIF(TblPurchases[BatchID],TblOutcomes[[#This Row],[BatchID]])&lt;&gt;1,"n.a.",SUMIFS(TblPurchases[Purchase Date],TblPurchases[BatchID],TblOutcomes[[#This Row],[BatchID]]))</f>
        <v>45687</v>
      </c>
    </row>
    <row r="2607" spans="2:17" x14ac:dyDescent="0.25">
      <c r="B2607" s="2" t="s">
        <v>3412</v>
      </c>
      <c r="C2607" s="2" t="s">
        <v>281</v>
      </c>
      <c r="D2607" s="2" t="s">
        <v>256</v>
      </c>
      <c r="E2607" s="2" t="s">
        <v>4647</v>
      </c>
      <c r="F2607" s="2">
        <v>8</v>
      </c>
      <c r="G2607" s="2">
        <v>8</v>
      </c>
      <c r="H2607" s="2">
        <v>0</v>
      </c>
      <c r="I2607" s="1">
        <v>0</v>
      </c>
      <c r="J2607" s="26">
        <v>45727</v>
      </c>
      <c r="K2607" s="22">
        <v>128000</v>
      </c>
      <c r="L2607" s="18">
        <v>136.9</v>
      </c>
      <c r="M2607" s="22">
        <v>92800</v>
      </c>
      <c r="N2607" s="22">
        <v>35200</v>
      </c>
      <c r="O2607" s="18">
        <v>37.65</v>
      </c>
      <c r="P2607" s="52">
        <f>IF(COUNTIF(TblPurchases[BatchID],TblOutcomes[[#This Row],[BatchID]])&lt;&gt;1,"n.a.",TblOutcomes[[#This Row],[Qty Wasted]]*SUMIFS(TblPurchases[Unit Cost (CLP)],TblPurchases[BatchID],TblOutcomes[[#This Row],[BatchID]]))</f>
        <v>0</v>
      </c>
      <c r="Q2607" s="51">
        <f>IF(COUNTIF(TblPurchases[BatchID],TblOutcomes[[#This Row],[BatchID]])&lt;&gt;1,"n.a.",SUMIFS(TblPurchases[Purchase Date],TblPurchases[BatchID],TblOutcomes[[#This Row],[BatchID]]))</f>
        <v>45713</v>
      </c>
    </row>
    <row r="2608" spans="2:17" x14ac:dyDescent="0.25">
      <c r="B2608" s="2" t="s">
        <v>3413</v>
      </c>
      <c r="C2608" s="2" t="s">
        <v>281</v>
      </c>
      <c r="D2608" s="2" t="s">
        <v>256</v>
      </c>
      <c r="E2608" s="2" t="s">
        <v>4647</v>
      </c>
      <c r="F2608" s="2">
        <v>7</v>
      </c>
      <c r="G2608" s="2">
        <v>7</v>
      </c>
      <c r="H2608" s="2">
        <v>0</v>
      </c>
      <c r="I2608" s="1">
        <v>0</v>
      </c>
      <c r="J2608" s="26">
        <v>45741</v>
      </c>
      <c r="K2608" s="22">
        <v>112000</v>
      </c>
      <c r="L2608" s="18">
        <v>119.79</v>
      </c>
      <c r="M2608" s="22">
        <v>81200</v>
      </c>
      <c r="N2608" s="22">
        <v>30800</v>
      </c>
      <c r="O2608" s="18">
        <v>32.94</v>
      </c>
      <c r="P2608" s="52">
        <f>IF(COUNTIF(TblPurchases[BatchID],TblOutcomes[[#This Row],[BatchID]])&lt;&gt;1,"n.a.",TblOutcomes[[#This Row],[Qty Wasted]]*SUMIFS(TblPurchases[Unit Cost (CLP)],TblPurchases[BatchID],TblOutcomes[[#This Row],[BatchID]]))</f>
        <v>0</v>
      </c>
      <c r="Q2608" s="51">
        <f>IF(COUNTIF(TblPurchases[BatchID],TblOutcomes[[#This Row],[BatchID]])&lt;&gt;1,"n.a.",SUMIFS(TblPurchases[Purchase Date],TblPurchases[BatchID],TblOutcomes[[#This Row],[BatchID]]))</f>
        <v>45729</v>
      </c>
    </row>
    <row r="2609" spans="2:17" x14ac:dyDescent="0.25">
      <c r="B2609" s="2" t="s">
        <v>3414</v>
      </c>
      <c r="C2609" s="2" t="s">
        <v>281</v>
      </c>
      <c r="D2609" s="2" t="s">
        <v>256</v>
      </c>
      <c r="E2609" s="2" t="s">
        <v>4647</v>
      </c>
      <c r="F2609" s="2">
        <v>19</v>
      </c>
      <c r="G2609" s="2">
        <v>19</v>
      </c>
      <c r="H2609" s="2">
        <v>0</v>
      </c>
      <c r="I2609" s="1">
        <v>0</v>
      </c>
      <c r="J2609" s="26">
        <v>45771</v>
      </c>
      <c r="K2609" s="22">
        <v>304000</v>
      </c>
      <c r="L2609" s="18">
        <v>325.13</v>
      </c>
      <c r="M2609" s="22">
        <v>220400</v>
      </c>
      <c r="N2609" s="22">
        <v>83600</v>
      </c>
      <c r="O2609" s="18">
        <v>89.41</v>
      </c>
      <c r="P2609" s="52">
        <f>IF(COUNTIF(TblPurchases[BatchID],TblOutcomes[[#This Row],[BatchID]])&lt;&gt;1,"n.a.",TblOutcomes[[#This Row],[Qty Wasted]]*SUMIFS(TblPurchases[Unit Cost (CLP)],TblPurchases[BatchID],TblOutcomes[[#This Row],[BatchID]]))</f>
        <v>0</v>
      </c>
      <c r="Q2609" s="51">
        <f>IF(COUNTIF(TblPurchases[BatchID],TblOutcomes[[#This Row],[BatchID]])&lt;&gt;1,"n.a.",SUMIFS(TblPurchases[Purchase Date],TblPurchases[BatchID],TblOutcomes[[#This Row],[BatchID]]))</f>
        <v>45753</v>
      </c>
    </row>
    <row r="2610" spans="2:17" x14ac:dyDescent="0.25">
      <c r="B2610" s="2" t="s">
        <v>3415</v>
      </c>
      <c r="C2610" s="2" t="s">
        <v>281</v>
      </c>
      <c r="D2610" s="2" t="s">
        <v>256</v>
      </c>
      <c r="E2610" s="2" t="s">
        <v>4646</v>
      </c>
      <c r="F2610" s="2">
        <v>23</v>
      </c>
      <c r="G2610" s="2">
        <v>22.24</v>
      </c>
      <c r="H2610" s="2">
        <v>0.76</v>
      </c>
      <c r="I2610" s="1">
        <v>3.3</v>
      </c>
      <c r="J2610" s="26">
        <v>45981</v>
      </c>
      <c r="K2610" s="22">
        <v>355840</v>
      </c>
      <c r="L2610" s="18">
        <v>380.58</v>
      </c>
      <c r="M2610" s="22">
        <v>266800</v>
      </c>
      <c r="N2610" s="22">
        <v>89040</v>
      </c>
      <c r="O2610" s="18">
        <v>95.23</v>
      </c>
      <c r="P2610" s="52">
        <f>IF(COUNTIF(TblPurchases[BatchID],TblOutcomes[[#This Row],[BatchID]])&lt;&gt;1,"n.a.",TblOutcomes[[#This Row],[Qty Wasted]]*SUMIFS(TblPurchases[Unit Cost (CLP)],TblPurchases[BatchID],TblOutcomes[[#This Row],[BatchID]]))</f>
        <v>8816</v>
      </c>
      <c r="Q2610" s="51">
        <f>IF(COUNTIF(TblPurchases[BatchID],TblOutcomes[[#This Row],[BatchID]])&lt;&gt;1,"n.a.",SUMIFS(TblPurchases[Purchase Date],TblPurchases[BatchID],TblOutcomes[[#This Row],[BatchID]]))</f>
        <v>45771</v>
      </c>
    </row>
    <row r="2611" spans="2:17" x14ac:dyDescent="0.25">
      <c r="B2611" s="2" t="s">
        <v>3416</v>
      </c>
      <c r="C2611" s="2" t="s">
        <v>281</v>
      </c>
      <c r="D2611" s="2" t="s">
        <v>256</v>
      </c>
      <c r="E2611" s="2" t="s">
        <v>4647</v>
      </c>
      <c r="F2611" s="2">
        <v>22</v>
      </c>
      <c r="G2611" s="2">
        <v>22</v>
      </c>
      <c r="H2611" s="2">
        <v>0</v>
      </c>
      <c r="I2611" s="1">
        <v>0</v>
      </c>
      <c r="J2611" s="26">
        <v>45805</v>
      </c>
      <c r="K2611" s="22">
        <v>352000</v>
      </c>
      <c r="L2611" s="18">
        <v>376.47</v>
      </c>
      <c r="M2611" s="22">
        <v>255200</v>
      </c>
      <c r="N2611" s="22">
        <v>96800</v>
      </c>
      <c r="O2611" s="18">
        <v>103.53</v>
      </c>
      <c r="P2611" s="52">
        <f>IF(COUNTIF(TblPurchases[BatchID],TblOutcomes[[#This Row],[BatchID]])&lt;&gt;1,"n.a.",TblOutcomes[[#This Row],[Qty Wasted]]*SUMIFS(TblPurchases[Unit Cost (CLP)],TblPurchases[BatchID],TblOutcomes[[#This Row],[BatchID]]))</f>
        <v>0</v>
      </c>
      <c r="Q2611" s="51">
        <f>IF(COUNTIF(TblPurchases[BatchID],TblOutcomes[[#This Row],[BatchID]])&lt;&gt;1,"n.a.",SUMIFS(TblPurchases[Purchase Date],TblPurchases[BatchID],TblOutcomes[[#This Row],[BatchID]]))</f>
        <v>45791</v>
      </c>
    </row>
    <row r="2612" spans="2:17" x14ac:dyDescent="0.25">
      <c r="B2612" s="2" t="s">
        <v>3417</v>
      </c>
      <c r="C2612" s="2" t="s">
        <v>281</v>
      </c>
      <c r="D2612" s="2" t="s">
        <v>256</v>
      </c>
      <c r="E2612" s="2" t="s">
        <v>4647</v>
      </c>
      <c r="F2612" s="2">
        <v>23</v>
      </c>
      <c r="G2612" s="2">
        <v>23</v>
      </c>
      <c r="H2612" s="2">
        <v>0</v>
      </c>
      <c r="I2612" s="1">
        <v>0</v>
      </c>
      <c r="J2612" s="26">
        <v>45837</v>
      </c>
      <c r="K2612" s="22">
        <v>368000</v>
      </c>
      <c r="L2612" s="18">
        <v>393.58</v>
      </c>
      <c r="M2612" s="22">
        <v>278300</v>
      </c>
      <c r="N2612" s="22">
        <v>89700</v>
      </c>
      <c r="O2612" s="18">
        <v>95.94</v>
      </c>
      <c r="P2612" s="52">
        <f>IF(COUNTIF(TblPurchases[BatchID],TblOutcomes[[#This Row],[BatchID]])&lt;&gt;1,"n.a.",TblOutcomes[[#This Row],[Qty Wasted]]*SUMIFS(TblPurchases[Unit Cost (CLP)],TblPurchases[BatchID],TblOutcomes[[#This Row],[BatchID]]))</f>
        <v>0</v>
      </c>
      <c r="Q2612" s="51">
        <f>IF(COUNTIF(TblPurchases[BatchID],TblOutcomes[[#This Row],[BatchID]])&lt;&gt;1,"n.a.",SUMIFS(TblPurchases[Purchase Date],TblPurchases[BatchID],TblOutcomes[[#This Row],[BatchID]]))</f>
        <v>45821</v>
      </c>
    </row>
    <row r="2613" spans="2:17" x14ac:dyDescent="0.25">
      <c r="B2613" s="2" t="s">
        <v>3418</v>
      </c>
      <c r="C2613" s="2" t="s">
        <v>283</v>
      </c>
      <c r="D2613" s="2" t="s">
        <v>256</v>
      </c>
      <c r="E2613" s="2" t="s">
        <v>4647</v>
      </c>
      <c r="F2613" s="2">
        <v>20</v>
      </c>
      <c r="G2613" s="2">
        <v>20</v>
      </c>
      <c r="H2613" s="2">
        <v>0</v>
      </c>
      <c r="I2613" s="1">
        <v>0</v>
      </c>
      <c r="J2613" s="26">
        <v>45123</v>
      </c>
      <c r="K2613" s="22">
        <v>480000</v>
      </c>
      <c r="L2613" s="18">
        <v>513.37</v>
      </c>
      <c r="M2613" s="22">
        <v>344000</v>
      </c>
      <c r="N2613" s="22">
        <v>136000</v>
      </c>
      <c r="O2613" s="18">
        <v>145.44999999999999</v>
      </c>
      <c r="P2613" s="52">
        <f>IF(COUNTIF(TblPurchases[BatchID],TblOutcomes[[#This Row],[BatchID]])&lt;&gt;1,"n.a.",TblOutcomes[[#This Row],[Qty Wasted]]*SUMIFS(TblPurchases[Unit Cost (CLP)],TblPurchases[BatchID],TblOutcomes[[#This Row],[BatchID]]))</f>
        <v>0</v>
      </c>
      <c r="Q2613" s="51">
        <f>IF(COUNTIF(TblPurchases[BatchID],TblOutcomes[[#This Row],[BatchID]])&lt;&gt;1,"n.a.",SUMIFS(TblPurchases[Purchase Date],TblPurchases[BatchID],TblOutcomes[[#This Row],[BatchID]]))</f>
        <v>45111</v>
      </c>
    </row>
    <row r="2614" spans="2:17" x14ac:dyDescent="0.25">
      <c r="B2614" s="2" t="s">
        <v>3419</v>
      </c>
      <c r="C2614" s="2" t="s">
        <v>283</v>
      </c>
      <c r="D2614" s="2" t="s">
        <v>256</v>
      </c>
      <c r="E2614" s="2" t="s">
        <v>4647</v>
      </c>
      <c r="F2614" s="2">
        <v>18</v>
      </c>
      <c r="G2614" s="2">
        <v>18</v>
      </c>
      <c r="H2614" s="2">
        <v>0</v>
      </c>
      <c r="I2614" s="1">
        <v>0</v>
      </c>
      <c r="J2614" s="26">
        <v>45141</v>
      </c>
      <c r="K2614" s="22">
        <v>432000</v>
      </c>
      <c r="L2614" s="18">
        <v>462.03</v>
      </c>
      <c r="M2614" s="22">
        <v>309600</v>
      </c>
      <c r="N2614" s="22">
        <v>122400</v>
      </c>
      <c r="O2614" s="18">
        <v>130.91</v>
      </c>
      <c r="P2614" s="52">
        <f>IF(COUNTIF(TblPurchases[BatchID],TblOutcomes[[#This Row],[BatchID]])&lt;&gt;1,"n.a.",TblOutcomes[[#This Row],[Qty Wasted]]*SUMIFS(TblPurchases[Unit Cost (CLP)],TblPurchases[BatchID],TblOutcomes[[#This Row],[BatchID]]))</f>
        <v>0</v>
      </c>
      <c r="Q2614" s="51">
        <f>IF(COUNTIF(TblPurchases[BatchID],TblOutcomes[[#This Row],[BatchID]])&lt;&gt;1,"n.a.",SUMIFS(TblPurchases[Purchase Date],TblPurchases[BatchID],TblOutcomes[[#This Row],[BatchID]]))</f>
        <v>45128</v>
      </c>
    </row>
    <row r="2615" spans="2:17" x14ac:dyDescent="0.25">
      <c r="B2615" s="2" t="s">
        <v>3420</v>
      </c>
      <c r="C2615" s="2" t="s">
        <v>283</v>
      </c>
      <c r="D2615" s="2" t="s">
        <v>256</v>
      </c>
      <c r="E2615" s="2" t="s">
        <v>4647</v>
      </c>
      <c r="F2615" s="2">
        <v>17</v>
      </c>
      <c r="G2615" s="2">
        <v>17</v>
      </c>
      <c r="H2615" s="2">
        <v>0</v>
      </c>
      <c r="I2615" s="1">
        <v>0</v>
      </c>
      <c r="J2615" s="26">
        <v>45188</v>
      </c>
      <c r="K2615" s="22">
        <v>408000</v>
      </c>
      <c r="L2615" s="18">
        <v>436.36</v>
      </c>
      <c r="M2615" s="22">
        <v>292400</v>
      </c>
      <c r="N2615" s="22">
        <v>115600</v>
      </c>
      <c r="O2615" s="18">
        <v>123.64</v>
      </c>
      <c r="P2615" s="52">
        <f>IF(COUNTIF(TblPurchases[BatchID],TblOutcomes[[#This Row],[BatchID]])&lt;&gt;1,"n.a.",TblOutcomes[[#This Row],[Qty Wasted]]*SUMIFS(TblPurchases[Unit Cost (CLP)],TblPurchases[BatchID],TblOutcomes[[#This Row],[BatchID]]))</f>
        <v>0</v>
      </c>
      <c r="Q2615" s="51">
        <f>IF(COUNTIF(TblPurchases[BatchID],TblOutcomes[[#This Row],[BatchID]])&lt;&gt;1,"n.a.",SUMIFS(TblPurchases[Purchase Date],TblPurchases[BatchID],TblOutcomes[[#This Row],[BatchID]]))</f>
        <v>45159</v>
      </c>
    </row>
    <row r="2616" spans="2:17" x14ac:dyDescent="0.25">
      <c r="B2616" s="2" t="s">
        <v>3421</v>
      </c>
      <c r="C2616" s="2" t="s">
        <v>283</v>
      </c>
      <c r="D2616" s="2" t="s">
        <v>256</v>
      </c>
      <c r="E2616" s="2" t="s">
        <v>4647</v>
      </c>
      <c r="F2616" s="2">
        <v>24</v>
      </c>
      <c r="G2616" s="2">
        <v>24</v>
      </c>
      <c r="H2616" s="2">
        <v>0</v>
      </c>
      <c r="I2616" s="1">
        <v>0</v>
      </c>
      <c r="J2616" s="26">
        <v>45190</v>
      </c>
      <c r="K2616" s="22">
        <v>576000</v>
      </c>
      <c r="L2616" s="18">
        <v>616.04</v>
      </c>
      <c r="M2616" s="22">
        <v>412800</v>
      </c>
      <c r="N2616" s="22">
        <v>163200</v>
      </c>
      <c r="O2616" s="18">
        <v>174.55</v>
      </c>
      <c r="P2616" s="52">
        <f>IF(COUNTIF(TblPurchases[BatchID],TblOutcomes[[#This Row],[BatchID]])&lt;&gt;1,"n.a.",TblOutcomes[[#This Row],[Qty Wasted]]*SUMIFS(TblPurchases[Unit Cost (CLP)],TblPurchases[BatchID],TblOutcomes[[#This Row],[BatchID]]))</f>
        <v>0</v>
      </c>
      <c r="Q2616" s="51">
        <f>IF(COUNTIF(TblPurchases[BatchID],TblOutcomes[[#This Row],[BatchID]])&lt;&gt;1,"n.a.",SUMIFS(TblPurchases[Purchase Date],TblPurchases[BatchID],TblOutcomes[[#This Row],[BatchID]]))</f>
        <v>45179</v>
      </c>
    </row>
    <row r="2617" spans="2:17" x14ac:dyDescent="0.25">
      <c r="B2617" s="2" t="s">
        <v>3422</v>
      </c>
      <c r="C2617" s="2" t="s">
        <v>283</v>
      </c>
      <c r="D2617" s="2" t="s">
        <v>256</v>
      </c>
      <c r="E2617" s="2" t="s">
        <v>4647</v>
      </c>
      <c r="F2617" s="2">
        <v>26</v>
      </c>
      <c r="G2617" s="2">
        <v>26</v>
      </c>
      <c r="H2617" s="2">
        <v>0</v>
      </c>
      <c r="I2617" s="1">
        <v>0</v>
      </c>
      <c r="J2617" s="26">
        <v>45220</v>
      </c>
      <c r="K2617" s="22">
        <v>624000</v>
      </c>
      <c r="L2617" s="18">
        <v>667.38</v>
      </c>
      <c r="M2617" s="22">
        <v>483600</v>
      </c>
      <c r="N2617" s="22">
        <v>140400</v>
      </c>
      <c r="O2617" s="18">
        <v>150.16</v>
      </c>
      <c r="P2617" s="52">
        <f>IF(COUNTIF(TblPurchases[BatchID],TblOutcomes[[#This Row],[BatchID]])&lt;&gt;1,"n.a.",TblOutcomes[[#This Row],[Qty Wasted]]*SUMIFS(TblPurchases[Unit Cost (CLP)],TblPurchases[BatchID],TblOutcomes[[#This Row],[BatchID]]))</f>
        <v>0</v>
      </c>
      <c r="Q2617" s="51">
        <f>IF(COUNTIF(TblPurchases[BatchID],TblOutcomes[[#This Row],[BatchID]])&lt;&gt;1,"n.a.",SUMIFS(TblPurchases[Purchase Date],TblPurchases[BatchID],TblOutcomes[[#This Row],[BatchID]]))</f>
        <v>45199</v>
      </c>
    </row>
    <row r="2618" spans="2:17" x14ac:dyDescent="0.25">
      <c r="B2618" s="2" t="s">
        <v>3423</v>
      </c>
      <c r="C2618" s="2" t="s">
        <v>283</v>
      </c>
      <c r="D2618" s="2" t="s">
        <v>256</v>
      </c>
      <c r="E2618" s="2" t="s">
        <v>4646</v>
      </c>
      <c r="F2618" s="2">
        <v>6</v>
      </c>
      <c r="G2618" s="2">
        <v>5.72</v>
      </c>
      <c r="H2618" s="2">
        <v>0.28000000000000003</v>
      </c>
      <c r="I2618" s="1">
        <v>4.7</v>
      </c>
      <c r="J2618" s="26">
        <v>45427</v>
      </c>
      <c r="K2618" s="22">
        <v>137280</v>
      </c>
      <c r="L2618" s="18">
        <v>146.82</v>
      </c>
      <c r="M2618" s="22">
        <v>103200</v>
      </c>
      <c r="N2618" s="22">
        <v>34080</v>
      </c>
      <c r="O2618" s="18">
        <v>36.450000000000003</v>
      </c>
      <c r="P2618" s="52">
        <f>IF(COUNTIF(TblPurchases[BatchID],TblOutcomes[[#This Row],[BatchID]])&lt;&gt;1,"n.a.",TblOutcomes[[#This Row],[Qty Wasted]]*SUMIFS(TblPurchases[Unit Cost (CLP)],TblPurchases[BatchID],TblOutcomes[[#This Row],[BatchID]]))</f>
        <v>4816.0000000000009</v>
      </c>
      <c r="Q2618" s="51">
        <f>IF(COUNTIF(TblPurchases[BatchID],TblOutcomes[[#This Row],[BatchID]])&lt;&gt;1,"n.a.",SUMIFS(TblPurchases[Purchase Date],TblPurchases[BatchID],TblOutcomes[[#This Row],[BatchID]]))</f>
        <v>45217</v>
      </c>
    </row>
    <row r="2619" spans="2:17" x14ac:dyDescent="0.25">
      <c r="B2619" s="2" t="s">
        <v>3424</v>
      </c>
      <c r="C2619" s="2" t="s">
        <v>283</v>
      </c>
      <c r="D2619" s="2" t="s">
        <v>256</v>
      </c>
      <c r="E2619" s="2" t="s">
        <v>4647</v>
      </c>
      <c r="F2619" s="2">
        <v>7</v>
      </c>
      <c r="G2619" s="2">
        <v>7</v>
      </c>
      <c r="H2619" s="2">
        <v>0</v>
      </c>
      <c r="I2619" s="1">
        <v>0</v>
      </c>
      <c r="J2619" s="26">
        <v>45245</v>
      </c>
      <c r="K2619" s="22">
        <v>168000</v>
      </c>
      <c r="L2619" s="18">
        <v>179.68</v>
      </c>
      <c r="M2619" s="22">
        <v>120400</v>
      </c>
      <c r="N2619" s="22">
        <v>47600</v>
      </c>
      <c r="O2619" s="18">
        <v>50.91</v>
      </c>
      <c r="P2619" s="52">
        <f>IF(COUNTIF(TblPurchases[BatchID],TblOutcomes[[#This Row],[BatchID]])&lt;&gt;1,"n.a.",TblOutcomes[[#This Row],[Qty Wasted]]*SUMIFS(TblPurchases[Unit Cost (CLP)],TblPurchases[BatchID],TblOutcomes[[#This Row],[BatchID]]))</f>
        <v>0</v>
      </c>
      <c r="Q2619" s="51">
        <f>IF(COUNTIF(TblPurchases[BatchID],TblOutcomes[[#This Row],[BatchID]])&lt;&gt;1,"n.a.",SUMIFS(TblPurchases[Purchase Date],TblPurchases[BatchID],TblOutcomes[[#This Row],[BatchID]]))</f>
        <v>45238</v>
      </c>
    </row>
    <row r="2620" spans="2:17" x14ac:dyDescent="0.25">
      <c r="B2620" s="2" t="s">
        <v>3425</v>
      </c>
      <c r="C2620" s="2" t="s">
        <v>283</v>
      </c>
      <c r="D2620" s="2" t="s">
        <v>256</v>
      </c>
      <c r="E2620" s="2" t="s">
        <v>4646</v>
      </c>
      <c r="F2620" s="2">
        <v>7</v>
      </c>
      <c r="G2620" s="2">
        <v>6.37</v>
      </c>
      <c r="H2620" s="2">
        <v>0.63</v>
      </c>
      <c r="I2620" s="1">
        <v>9</v>
      </c>
      <c r="J2620" s="26">
        <v>45469</v>
      </c>
      <c r="K2620" s="22">
        <v>152880</v>
      </c>
      <c r="L2620" s="18">
        <v>163.51</v>
      </c>
      <c r="M2620" s="22">
        <v>120400</v>
      </c>
      <c r="N2620" s="22">
        <v>32480</v>
      </c>
      <c r="O2620" s="18">
        <v>34.74</v>
      </c>
      <c r="P2620" s="52">
        <f>IF(COUNTIF(TblPurchases[BatchID],TblOutcomes[[#This Row],[BatchID]])&lt;&gt;1,"n.a.",TblOutcomes[[#This Row],[Qty Wasted]]*SUMIFS(TblPurchases[Unit Cost (CLP)],TblPurchases[BatchID],TblOutcomes[[#This Row],[BatchID]]))</f>
        <v>10836</v>
      </c>
      <c r="Q2620" s="51">
        <f>IF(COUNTIF(TblPurchases[BatchID],TblOutcomes[[#This Row],[BatchID]])&lt;&gt;1,"n.a.",SUMIFS(TblPurchases[Purchase Date],TblPurchases[BatchID],TblOutcomes[[#This Row],[BatchID]]))</f>
        <v>45259</v>
      </c>
    </row>
    <row r="2621" spans="2:17" x14ac:dyDescent="0.25">
      <c r="B2621" s="2" t="s">
        <v>3426</v>
      </c>
      <c r="C2621" s="2" t="s">
        <v>283</v>
      </c>
      <c r="D2621" s="2" t="s">
        <v>256</v>
      </c>
      <c r="E2621" s="2" t="s">
        <v>4647</v>
      </c>
      <c r="F2621" s="2">
        <v>8</v>
      </c>
      <c r="G2621" s="2">
        <v>8</v>
      </c>
      <c r="H2621" s="2">
        <v>0</v>
      </c>
      <c r="I2621" s="1">
        <v>0</v>
      </c>
      <c r="J2621" s="26">
        <v>45293</v>
      </c>
      <c r="K2621" s="22">
        <v>192000</v>
      </c>
      <c r="L2621" s="18">
        <v>205.35</v>
      </c>
      <c r="M2621" s="22">
        <v>137600</v>
      </c>
      <c r="N2621" s="22">
        <v>54400</v>
      </c>
      <c r="O2621" s="18">
        <v>58.18</v>
      </c>
      <c r="P2621" s="52">
        <f>IF(COUNTIF(TblPurchases[BatchID],TblOutcomes[[#This Row],[BatchID]])&lt;&gt;1,"n.a.",TblOutcomes[[#This Row],[Qty Wasted]]*SUMIFS(TblPurchases[Unit Cost (CLP)],TblPurchases[BatchID],TblOutcomes[[#This Row],[BatchID]]))</f>
        <v>0</v>
      </c>
      <c r="Q2621" s="51">
        <f>IF(COUNTIF(TblPurchases[BatchID],TblOutcomes[[#This Row],[BatchID]])&lt;&gt;1,"n.a.",SUMIFS(TblPurchases[Purchase Date],TblPurchases[BatchID],TblOutcomes[[#This Row],[BatchID]]))</f>
        <v>45276</v>
      </c>
    </row>
    <row r="2622" spans="2:17" x14ac:dyDescent="0.25">
      <c r="B2622" s="2" t="s">
        <v>3427</v>
      </c>
      <c r="C2622" s="2" t="s">
        <v>283</v>
      </c>
      <c r="D2622" s="2" t="s">
        <v>256</v>
      </c>
      <c r="E2622" s="2" t="s">
        <v>4646</v>
      </c>
      <c r="F2622" s="2">
        <v>7</v>
      </c>
      <c r="G2622" s="2">
        <v>6.7</v>
      </c>
      <c r="H2622" s="2">
        <v>0.3</v>
      </c>
      <c r="I2622" s="1">
        <v>4.3</v>
      </c>
      <c r="J2622" s="26">
        <v>45506</v>
      </c>
      <c r="K2622" s="22">
        <v>160800</v>
      </c>
      <c r="L2622" s="18">
        <v>171.98</v>
      </c>
      <c r="M2622" s="22">
        <v>120400</v>
      </c>
      <c r="N2622" s="22">
        <v>40400</v>
      </c>
      <c r="O2622" s="18">
        <v>43.21</v>
      </c>
      <c r="P2622" s="52">
        <f>IF(COUNTIF(TblPurchases[BatchID],TblOutcomes[[#This Row],[BatchID]])&lt;&gt;1,"n.a.",TblOutcomes[[#This Row],[Qty Wasted]]*SUMIFS(TblPurchases[Unit Cost (CLP)],TblPurchases[BatchID],TblOutcomes[[#This Row],[BatchID]]))</f>
        <v>5160</v>
      </c>
      <c r="Q2622" s="51">
        <f>IF(COUNTIF(TblPurchases[BatchID],TblOutcomes[[#This Row],[BatchID]])&lt;&gt;1,"n.a.",SUMIFS(TblPurchases[Purchase Date],TblPurchases[BatchID],TblOutcomes[[#This Row],[BatchID]]))</f>
        <v>45296</v>
      </c>
    </row>
    <row r="2623" spans="2:17" x14ac:dyDescent="0.25">
      <c r="B2623" s="2" t="s">
        <v>3428</v>
      </c>
      <c r="C2623" s="2" t="s">
        <v>283</v>
      </c>
      <c r="D2623" s="2" t="s">
        <v>256</v>
      </c>
      <c r="E2623" s="2" t="s">
        <v>4647</v>
      </c>
      <c r="F2623" s="2">
        <v>6</v>
      </c>
      <c r="G2623" s="2">
        <v>6</v>
      </c>
      <c r="H2623" s="2">
        <v>0</v>
      </c>
      <c r="I2623" s="1">
        <v>0</v>
      </c>
      <c r="J2623" s="26">
        <v>45336</v>
      </c>
      <c r="K2623" s="22">
        <v>144000</v>
      </c>
      <c r="L2623" s="18">
        <v>154.01</v>
      </c>
      <c r="M2623" s="22">
        <v>103200</v>
      </c>
      <c r="N2623" s="22">
        <v>40800</v>
      </c>
      <c r="O2623" s="18">
        <v>43.64</v>
      </c>
      <c r="P2623" s="52">
        <f>IF(COUNTIF(TblPurchases[BatchID],TblOutcomes[[#This Row],[BatchID]])&lt;&gt;1,"n.a.",TblOutcomes[[#This Row],[Qty Wasted]]*SUMIFS(TblPurchases[Unit Cost (CLP)],TblPurchases[BatchID],TblOutcomes[[#This Row],[BatchID]]))</f>
        <v>0</v>
      </c>
      <c r="Q2623" s="51">
        <f>IF(COUNTIF(TblPurchases[BatchID],TblOutcomes[[#This Row],[BatchID]])&lt;&gt;1,"n.a.",SUMIFS(TblPurchases[Purchase Date],TblPurchases[BatchID],TblOutcomes[[#This Row],[BatchID]]))</f>
        <v>45316</v>
      </c>
    </row>
    <row r="2624" spans="2:17" x14ac:dyDescent="0.25">
      <c r="B2624" s="2" t="s">
        <v>3429</v>
      </c>
      <c r="C2624" s="2" t="s">
        <v>283</v>
      </c>
      <c r="D2624" s="2" t="s">
        <v>256</v>
      </c>
      <c r="E2624" s="2" t="s">
        <v>4646</v>
      </c>
      <c r="F2624" s="2">
        <v>7</v>
      </c>
      <c r="G2624" s="2">
        <v>6.38</v>
      </c>
      <c r="H2624" s="2">
        <v>0.62</v>
      </c>
      <c r="I2624" s="1">
        <v>8.9</v>
      </c>
      <c r="J2624" s="26">
        <v>45554</v>
      </c>
      <c r="K2624" s="22">
        <v>153120</v>
      </c>
      <c r="L2624" s="18">
        <v>163.76</v>
      </c>
      <c r="M2624" s="22">
        <v>120400</v>
      </c>
      <c r="N2624" s="22">
        <v>32720</v>
      </c>
      <c r="O2624" s="18">
        <v>34.99</v>
      </c>
      <c r="P2624" s="52">
        <f>IF(COUNTIF(TblPurchases[BatchID],TblOutcomes[[#This Row],[BatchID]])&lt;&gt;1,"n.a.",TblOutcomes[[#This Row],[Qty Wasted]]*SUMIFS(TblPurchases[Unit Cost (CLP)],TblPurchases[BatchID],TblOutcomes[[#This Row],[BatchID]]))</f>
        <v>10664</v>
      </c>
      <c r="Q2624" s="51">
        <f>IF(COUNTIF(TblPurchases[BatchID],TblOutcomes[[#This Row],[BatchID]])&lt;&gt;1,"n.a.",SUMIFS(TblPurchases[Purchase Date],TblPurchases[BatchID],TblOutcomes[[#This Row],[BatchID]]))</f>
        <v>45344</v>
      </c>
    </row>
    <row r="2625" spans="2:17" x14ac:dyDescent="0.25">
      <c r="B2625" s="2" t="s">
        <v>3430</v>
      </c>
      <c r="C2625" s="2" t="s">
        <v>283</v>
      </c>
      <c r="D2625" s="2" t="s">
        <v>256</v>
      </c>
      <c r="E2625" s="2" t="s">
        <v>4647</v>
      </c>
      <c r="F2625" s="2">
        <v>7</v>
      </c>
      <c r="G2625" s="2">
        <v>7</v>
      </c>
      <c r="H2625" s="2">
        <v>0</v>
      </c>
      <c r="I2625" s="1">
        <v>0</v>
      </c>
      <c r="J2625" s="26">
        <v>45379</v>
      </c>
      <c r="K2625" s="22">
        <v>168000</v>
      </c>
      <c r="L2625" s="18">
        <v>179.68</v>
      </c>
      <c r="M2625" s="22">
        <v>120400</v>
      </c>
      <c r="N2625" s="22">
        <v>47600</v>
      </c>
      <c r="O2625" s="18">
        <v>50.91</v>
      </c>
      <c r="P2625" s="52">
        <f>IF(COUNTIF(TblPurchases[BatchID],TblOutcomes[[#This Row],[BatchID]])&lt;&gt;1,"n.a.",TblOutcomes[[#This Row],[Qty Wasted]]*SUMIFS(TblPurchases[Unit Cost (CLP)],TblPurchases[BatchID],TblOutcomes[[#This Row],[BatchID]]))</f>
        <v>0</v>
      </c>
      <c r="Q2625" s="51">
        <f>IF(COUNTIF(TblPurchases[BatchID],TblOutcomes[[#This Row],[BatchID]])&lt;&gt;1,"n.a.",SUMIFS(TblPurchases[Purchase Date],TblPurchases[BatchID],TblOutcomes[[#This Row],[BatchID]]))</f>
        <v>45363</v>
      </c>
    </row>
    <row r="2626" spans="2:17" x14ac:dyDescent="0.25">
      <c r="B2626" s="2" t="s">
        <v>3431</v>
      </c>
      <c r="C2626" s="2" t="s">
        <v>283</v>
      </c>
      <c r="D2626" s="2" t="s">
        <v>256</v>
      </c>
      <c r="E2626" s="2" t="s">
        <v>4647</v>
      </c>
      <c r="F2626" s="2">
        <v>22</v>
      </c>
      <c r="G2626" s="2">
        <v>22</v>
      </c>
      <c r="H2626" s="2">
        <v>0</v>
      </c>
      <c r="I2626" s="1">
        <v>0</v>
      </c>
      <c r="J2626" s="26">
        <v>45386</v>
      </c>
      <c r="K2626" s="22">
        <v>528000</v>
      </c>
      <c r="L2626" s="18">
        <v>564.71</v>
      </c>
      <c r="M2626" s="22">
        <v>378400</v>
      </c>
      <c r="N2626" s="22">
        <v>149600</v>
      </c>
      <c r="O2626" s="18">
        <v>160</v>
      </c>
      <c r="P2626" s="52">
        <f>IF(COUNTIF(TblPurchases[BatchID],TblOutcomes[[#This Row],[BatchID]])&lt;&gt;1,"n.a.",TblOutcomes[[#This Row],[Qty Wasted]]*SUMIFS(TblPurchases[Unit Cost (CLP)],TblPurchases[BatchID],TblOutcomes[[#This Row],[BatchID]]))</f>
        <v>0</v>
      </c>
      <c r="Q2626" s="51">
        <f>IF(COUNTIF(TblPurchases[BatchID],TblOutcomes[[#This Row],[BatchID]])&lt;&gt;1,"n.a.",SUMIFS(TblPurchases[Purchase Date],TblPurchases[BatchID],TblOutcomes[[#This Row],[BatchID]]))</f>
        <v>45384</v>
      </c>
    </row>
    <row r="2627" spans="2:17" x14ac:dyDescent="0.25">
      <c r="B2627" s="2" t="s">
        <v>3432</v>
      </c>
      <c r="C2627" s="2" t="s">
        <v>283</v>
      </c>
      <c r="D2627" s="2" t="s">
        <v>256</v>
      </c>
      <c r="E2627" s="2" t="s">
        <v>4646</v>
      </c>
      <c r="F2627" s="2">
        <v>18</v>
      </c>
      <c r="G2627" s="2">
        <v>17.48</v>
      </c>
      <c r="H2627" s="2">
        <v>0.52</v>
      </c>
      <c r="I2627" s="1">
        <v>2.9</v>
      </c>
      <c r="J2627" s="26">
        <v>45614</v>
      </c>
      <c r="K2627" s="22">
        <v>419520</v>
      </c>
      <c r="L2627" s="18">
        <v>448.68</v>
      </c>
      <c r="M2627" s="22">
        <v>309600</v>
      </c>
      <c r="N2627" s="22">
        <v>109920</v>
      </c>
      <c r="O2627" s="18">
        <v>117.56</v>
      </c>
      <c r="P2627" s="52">
        <f>IF(COUNTIF(TblPurchases[BatchID],TblOutcomes[[#This Row],[BatchID]])&lt;&gt;1,"n.a.",TblOutcomes[[#This Row],[Qty Wasted]]*SUMIFS(TblPurchases[Unit Cost (CLP)],TblPurchases[BatchID],TblOutcomes[[#This Row],[BatchID]]))</f>
        <v>8944</v>
      </c>
      <c r="Q2627" s="51">
        <f>IF(COUNTIF(TblPurchases[BatchID],TblOutcomes[[#This Row],[BatchID]])&lt;&gt;1,"n.a.",SUMIFS(TblPurchases[Purchase Date],TblPurchases[BatchID],TblOutcomes[[#This Row],[BatchID]]))</f>
        <v>45404</v>
      </c>
    </row>
    <row r="2628" spans="2:17" x14ac:dyDescent="0.25">
      <c r="B2628" s="2" t="s">
        <v>3433</v>
      </c>
      <c r="C2628" s="2" t="s">
        <v>283</v>
      </c>
      <c r="D2628" s="2" t="s">
        <v>256</v>
      </c>
      <c r="E2628" s="2" t="s">
        <v>4647</v>
      </c>
      <c r="F2628" s="2">
        <v>19</v>
      </c>
      <c r="G2628" s="2">
        <v>19</v>
      </c>
      <c r="H2628" s="2">
        <v>0</v>
      </c>
      <c r="I2628" s="1">
        <v>0</v>
      </c>
      <c r="J2628" s="26">
        <v>45439</v>
      </c>
      <c r="K2628" s="22">
        <v>456000</v>
      </c>
      <c r="L2628" s="18">
        <v>487.7</v>
      </c>
      <c r="M2628" s="22">
        <v>326800</v>
      </c>
      <c r="N2628" s="22">
        <v>129200</v>
      </c>
      <c r="O2628" s="18">
        <v>138.18</v>
      </c>
      <c r="P2628" s="52">
        <f>IF(COUNTIF(TblPurchases[BatchID],TblOutcomes[[#This Row],[BatchID]])&lt;&gt;1,"n.a.",TblOutcomes[[#This Row],[Qty Wasted]]*SUMIFS(TblPurchases[Unit Cost (CLP)],TblPurchases[BatchID],TblOutcomes[[#This Row],[BatchID]]))</f>
        <v>0</v>
      </c>
      <c r="Q2628" s="51">
        <f>IF(COUNTIF(TblPurchases[BatchID],TblOutcomes[[#This Row],[BatchID]])&lt;&gt;1,"n.a.",SUMIFS(TblPurchases[Purchase Date],TblPurchases[BatchID],TblOutcomes[[#This Row],[BatchID]]))</f>
        <v>45425</v>
      </c>
    </row>
    <row r="2629" spans="2:17" x14ac:dyDescent="0.25">
      <c r="B2629" s="2" t="s">
        <v>3434</v>
      </c>
      <c r="C2629" s="2" t="s">
        <v>283</v>
      </c>
      <c r="D2629" s="2" t="s">
        <v>256</v>
      </c>
      <c r="E2629" s="2" t="s">
        <v>4647</v>
      </c>
      <c r="F2629" s="2">
        <v>21</v>
      </c>
      <c r="G2629" s="2">
        <v>21</v>
      </c>
      <c r="H2629" s="2">
        <v>0</v>
      </c>
      <c r="I2629" s="1">
        <v>0</v>
      </c>
      <c r="J2629" s="26">
        <v>45458</v>
      </c>
      <c r="K2629" s="22">
        <v>504000</v>
      </c>
      <c r="L2629" s="18">
        <v>539.04</v>
      </c>
      <c r="M2629" s="22">
        <v>361200</v>
      </c>
      <c r="N2629" s="22">
        <v>142800</v>
      </c>
      <c r="O2629" s="18">
        <v>152.72999999999999</v>
      </c>
      <c r="P2629" s="52">
        <f>IF(COUNTIF(TblPurchases[BatchID],TblOutcomes[[#This Row],[BatchID]])&lt;&gt;1,"n.a.",TblOutcomes[[#This Row],[Qty Wasted]]*SUMIFS(TblPurchases[Unit Cost (CLP)],TblPurchases[BatchID],TblOutcomes[[#This Row],[BatchID]]))</f>
        <v>0</v>
      </c>
      <c r="Q2629" s="51">
        <f>IF(COUNTIF(TblPurchases[BatchID],TblOutcomes[[#This Row],[BatchID]])&lt;&gt;1,"n.a.",SUMIFS(TblPurchases[Purchase Date],TblPurchases[BatchID],TblOutcomes[[#This Row],[BatchID]]))</f>
        <v>45444</v>
      </c>
    </row>
    <row r="2630" spans="2:17" x14ac:dyDescent="0.25">
      <c r="B2630" s="2" t="s">
        <v>3435</v>
      </c>
      <c r="C2630" s="2" t="s">
        <v>283</v>
      </c>
      <c r="D2630" s="2" t="s">
        <v>256</v>
      </c>
      <c r="E2630" s="2" t="s">
        <v>4647</v>
      </c>
      <c r="F2630" s="2">
        <v>18</v>
      </c>
      <c r="G2630" s="2">
        <v>18</v>
      </c>
      <c r="H2630" s="2">
        <v>0</v>
      </c>
      <c r="I2630" s="1">
        <v>0</v>
      </c>
      <c r="J2630" s="26">
        <v>45481</v>
      </c>
      <c r="K2630" s="22">
        <v>432000</v>
      </c>
      <c r="L2630" s="18">
        <v>462.03</v>
      </c>
      <c r="M2630" s="22">
        <v>309600</v>
      </c>
      <c r="N2630" s="22">
        <v>122400</v>
      </c>
      <c r="O2630" s="18">
        <v>130.91</v>
      </c>
      <c r="P2630" s="52">
        <f>IF(COUNTIF(TblPurchases[BatchID],TblOutcomes[[#This Row],[BatchID]])&lt;&gt;1,"n.a.",TblOutcomes[[#This Row],[Qty Wasted]]*SUMIFS(TblPurchases[Unit Cost (CLP)],TblPurchases[BatchID],TblOutcomes[[#This Row],[BatchID]]))</f>
        <v>0</v>
      </c>
      <c r="Q2630" s="51">
        <f>IF(COUNTIF(TblPurchases[BatchID],TblOutcomes[[#This Row],[BatchID]])&lt;&gt;1,"n.a.",SUMIFS(TblPurchases[Purchase Date],TblPurchases[BatchID],TblOutcomes[[#This Row],[BatchID]]))</f>
        <v>45468</v>
      </c>
    </row>
    <row r="2631" spans="2:17" x14ac:dyDescent="0.25">
      <c r="B2631" s="2" t="s">
        <v>3436</v>
      </c>
      <c r="C2631" s="2" t="s">
        <v>283</v>
      </c>
      <c r="D2631" s="2" t="s">
        <v>256</v>
      </c>
      <c r="E2631" s="2" t="s">
        <v>4646</v>
      </c>
      <c r="F2631" s="2">
        <v>17</v>
      </c>
      <c r="G2631" s="2">
        <v>15.35</v>
      </c>
      <c r="H2631" s="2">
        <v>1.65</v>
      </c>
      <c r="I2631" s="1">
        <v>9.6999999999999993</v>
      </c>
      <c r="J2631" s="26">
        <v>45693</v>
      </c>
      <c r="K2631" s="22">
        <v>368400</v>
      </c>
      <c r="L2631" s="18">
        <v>394.01</v>
      </c>
      <c r="M2631" s="22">
        <v>292400</v>
      </c>
      <c r="N2631" s="22">
        <v>76000</v>
      </c>
      <c r="O2631" s="18">
        <v>81.28</v>
      </c>
      <c r="P2631" s="52">
        <f>IF(COUNTIF(TblPurchases[BatchID],TblOutcomes[[#This Row],[BatchID]])&lt;&gt;1,"n.a.",TblOutcomes[[#This Row],[Qty Wasted]]*SUMIFS(TblPurchases[Unit Cost (CLP)],TblPurchases[BatchID],TblOutcomes[[#This Row],[BatchID]]))</f>
        <v>28380</v>
      </c>
      <c r="Q2631" s="51">
        <f>IF(COUNTIF(TblPurchases[BatchID],TblOutcomes[[#This Row],[BatchID]])&lt;&gt;1,"n.a.",SUMIFS(TblPurchases[Purchase Date],TblPurchases[BatchID],TblOutcomes[[#This Row],[BatchID]]))</f>
        <v>45483</v>
      </c>
    </row>
    <row r="2632" spans="2:17" x14ac:dyDescent="0.25">
      <c r="B2632" s="2" t="s">
        <v>3437</v>
      </c>
      <c r="C2632" s="2" t="s">
        <v>283</v>
      </c>
      <c r="D2632" s="2" t="s">
        <v>256</v>
      </c>
      <c r="E2632" s="2" t="s">
        <v>4647</v>
      </c>
      <c r="F2632" s="2">
        <v>17</v>
      </c>
      <c r="G2632" s="2">
        <v>17</v>
      </c>
      <c r="H2632" s="2">
        <v>0</v>
      </c>
      <c r="I2632" s="1">
        <v>0</v>
      </c>
      <c r="J2632" s="26">
        <v>45518</v>
      </c>
      <c r="K2632" s="22">
        <v>408000</v>
      </c>
      <c r="L2632" s="18">
        <v>436.36</v>
      </c>
      <c r="M2632" s="22">
        <v>292400</v>
      </c>
      <c r="N2632" s="22">
        <v>115600</v>
      </c>
      <c r="O2632" s="18">
        <v>123.64</v>
      </c>
      <c r="P2632" s="52">
        <f>IF(COUNTIF(TblPurchases[BatchID],TblOutcomes[[#This Row],[BatchID]])&lt;&gt;1,"n.a.",TblOutcomes[[#This Row],[Qty Wasted]]*SUMIFS(TblPurchases[Unit Cost (CLP)],TblPurchases[BatchID],TblOutcomes[[#This Row],[BatchID]]))</f>
        <v>0</v>
      </c>
      <c r="Q2632" s="51">
        <f>IF(COUNTIF(TblPurchases[BatchID],TblOutcomes[[#This Row],[BatchID]])&lt;&gt;1,"n.a.",SUMIFS(TblPurchases[Purchase Date],TblPurchases[BatchID],TblOutcomes[[#This Row],[BatchID]]))</f>
        <v>45506</v>
      </c>
    </row>
    <row r="2633" spans="2:17" x14ac:dyDescent="0.25">
      <c r="B2633" s="2" t="s">
        <v>3438</v>
      </c>
      <c r="C2633" s="2" t="s">
        <v>283</v>
      </c>
      <c r="D2633" s="2" t="s">
        <v>256</v>
      </c>
      <c r="E2633" s="2" t="s">
        <v>4646</v>
      </c>
      <c r="F2633" s="2">
        <v>18</v>
      </c>
      <c r="G2633" s="2">
        <v>16.45</v>
      </c>
      <c r="H2633" s="2">
        <v>1.55</v>
      </c>
      <c r="I2633" s="1">
        <v>8.6</v>
      </c>
      <c r="J2633" s="26">
        <v>45738</v>
      </c>
      <c r="K2633" s="22">
        <v>394800</v>
      </c>
      <c r="L2633" s="18">
        <v>422.25</v>
      </c>
      <c r="M2633" s="22">
        <v>309600</v>
      </c>
      <c r="N2633" s="22">
        <v>85200</v>
      </c>
      <c r="O2633" s="18">
        <v>91.12</v>
      </c>
      <c r="P2633" s="52">
        <f>IF(COUNTIF(TblPurchases[BatchID],TblOutcomes[[#This Row],[BatchID]])&lt;&gt;1,"n.a.",TblOutcomes[[#This Row],[Qty Wasted]]*SUMIFS(TblPurchases[Unit Cost (CLP)],TblPurchases[BatchID],TblOutcomes[[#This Row],[BatchID]]))</f>
        <v>26660</v>
      </c>
      <c r="Q2633" s="51">
        <f>IF(COUNTIF(TblPurchases[BatchID],TblOutcomes[[#This Row],[BatchID]])&lt;&gt;1,"n.a.",SUMIFS(TblPurchases[Purchase Date],TblPurchases[BatchID],TblOutcomes[[#This Row],[BatchID]]))</f>
        <v>45528</v>
      </c>
    </row>
    <row r="2634" spans="2:17" x14ac:dyDescent="0.25">
      <c r="B2634" s="2" t="s">
        <v>3439</v>
      </c>
      <c r="C2634" s="2" t="s">
        <v>283</v>
      </c>
      <c r="D2634" s="2" t="s">
        <v>256</v>
      </c>
      <c r="E2634" s="2" t="s">
        <v>4647</v>
      </c>
      <c r="F2634" s="2">
        <v>23</v>
      </c>
      <c r="G2634" s="2">
        <v>23</v>
      </c>
      <c r="H2634" s="2">
        <v>0</v>
      </c>
      <c r="I2634" s="1">
        <v>0</v>
      </c>
      <c r="J2634" s="26">
        <v>45571</v>
      </c>
      <c r="K2634" s="22">
        <v>552000</v>
      </c>
      <c r="L2634" s="18">
        <v>590.37</v>
      </c>
      <c r="M2634" s="22">
        <v>395600</v>
      </c>
      <c r="N2634" s="22">
        <v>156400</v>
      </c>
      <c r="O2634" s="18">
        <v>167.27</v>
      </c>
      <c r="P2634" s="52">
        <f>IF(COUNTIF(TblPurchases[BatchID],TblOutcomes[[#This Row],[BatchID]])&lt;&gt;1,"n.a.",TblOutcomes[[#This Row],[Qty Wasted]]*SUMIFS(TblPurchases[Unit Cost (CLP)],TblPurchases[BatchID],TblOutcomes[[#This Row],[BatchID]]))</f>
        <v>0</v>
      </c>
      <c r="Q2634" s="51">
        <f>IF(COUNTIF(TblPurchases[BatchID],TblOutcomes[[#This Row],[BatchID]])&lt;&gt;1,"n.a.",SUMIFS(TblPurchases[Purchase Date],TblPurchases[BatchID],TblOutcomes[[#This Row],[BatchID]]))</f>
        <v>45554</v>
      </c>
    </row>
    <row r="2635" spans="2:17" x14ac:dyDescent="0.25">
      <c r="B2635" s="2" t="s">
        <v>3440</v>
      </c>
      <c r="C2635" s="2" t="s">
        <v>283</v>
      </c>
      <c r="D2635" s="2" t="s">
        <v>256</v>
      </c>
      <c r="E2635" s="2" t="s">
        <v>4646</v>
      </c>
      <c r="F2635" s="2">
        <v>6</v>
      </c>
      <c r="G2635" s="2">
        <v>5.47</v>
      </c>
      <c r="H2635" s="2">
        <v>0.53</v>
      </c>
      <c r="I2635" s="1">
        <v>8.9</v>
      </c>
      <c r="J2635" s="26">
        <v>45782</v>
      </c>
      <c r="K2635" s="22">
        <v>131280</v>
      </c>
      <c r="L2635" s="18">
        <v>140.41</v>
      </c>
      <c r="M2635" s="22">
        <v>103200</v>
      </c>
      <c r="N2635" s="22">
        <v>28080</v>
      </c>
      <c r="O2635" s="18">
        <v>30.03</v>
      </c>
      <c r="P2635" s="52">
        <f>IF(COUNTIF(TblPurchases[BatchID],TblOutcomes[[#This Row],[BatchID]])&lt;&gt;1,"n.a.",TblOutcomes[[#This Row],[Qty Wasted]]*SUMIFS(TblPurchases[Unit Cost (CLP)],TblPurchases[BatchID],TblOutcomes[[#This Row],[BatchID]]))</f>
        <v>9116</v>
      </c>
      <c r="Q2635" s="51">
        <f>IF(COUNTIF(TblPurchases[BatchID],TblOutcomes[[#This Row],[BatchID]])&lt;&gt;1,"n.a.",SUMIFS(TblPurchases[Purchase Date],TblPurchases[BatchID],TblOutcomes[[#This Row],[BatchID]]))</f>
        <v>45572</v>
      </c>
    </row>
    <row r="2636" spans="2:17" x14ac:dyDescent="0.25">
      <c r="B2636" s="2" t="s">
        <v>3441</v>
      </c>
      <c r="C2636" s="2" t="s">
        <v>283</v>
      </c>
      <c r="D2636" s="2" t="s">
        <v>256</v>
      </c>
      <c r="E2636" s="2" t="s">
        <v>4647</v>
      </c>
      <c r="F2636" s="2">
        <v>7</v>
      </c>
      <c r="G2636" s="2">
        <v>7</v>
      </c>
      <c r="H2636" s="2">
        <v>0</v>
      </c>
      <c r="I2636" s="1">
        <v>0</v>
      </c>
      <c r="J2636" s="26">
        <v>45612</v>
      </c>
      <c r="K2636" s="22">
        <v>168000</v>
      </c>
      <c r="L2636" s="18">
        <v>179.68</v>
      </c>
      <c r="M2636" s="22">
        <v>120400</v>
      </c>
      <c r="N2636" s="22">
        <v>47600</v>
      </c>
      <c r="O2636" s="18">
        <v>50.91</v>
      </c>
      <c r="P2636" s="52">
        <f>IF(COUNTIF(TblPurchases[BatchID],TblOutcomes[[#This Row],[BatchID]])&lt;&gt;1,"n.a.",TblOutcomes[[#This Row],[Qty Wasted]]*SUMIFS(TblPurchases[Unit Cost (CLP)],TblPurchases[BatchID],TblOutcomes[[#This Row],[BatchID]]))</f>
        <v>0</v>
      </c>
      <c r="Q2636" s="51">
        <f>IF(COUNTIF(TblPurchases[BatchID],TblOutcomes[[#This Row],[BatchID]])&lt;&gt;1,"n.a.",SUMIFS(TblPurchases[Purchase Date],TblPurchases[BatchID],TblOutcomes[[#This Row],[BatchID]]))</f>
        <v>45591</v>
      </c>
    </row>
    <row r="2637" spans="2:17" x14ac:dyDescent="0.25">
      <c r="B2637" s="2" t="s">
        <v>3442</v>
      </c>
      <c r="C2637" s="2" t="s">
        <v>283</v>
      </c>
      <c r="D2637" s="2" t="s">
        <v>256</v>
      </c>
      <c r="E2637" s="2" t="s">
        <v>4646</v>
      </c>
      <c r="F2637" s="2">
        <v>8</v>
      </c>
      <c r="G2637" s="2">
        <v>7.78</v>
      </c>
      <c r="H2637" s="2">
        <v>0.22</v>
      </c>
      <c r="I2637" s="1">
        <v>2.8</v>
      </c>
      <c r="J2637" s="26">
        <v>45825</v>
      </c>
      <c r="K2637" s="22">
        <v>186720</v>
      </c>
      <c r="L2637" s="18">
        <v>199.7</v>
      </c>
      <c r="M2637" s="22">
        <v>137600</v>
      </c>
      <c r="N2637" s="22">
        <v>49120</v>
      </c>
      <c r="O2637" s="18">
        <v>52.53</v>
      </c>
      <c r="P2637" s="52">
        <f>IF(COUNTIF(TblPurchases[BatchID],TblOutcomes[[#This Row],[BatchID]])&lt;&gt;1,"n.a.",TblOutcomes[[#This Row],[Qty Wasted]]*SUMIFS(TblPurchases[Unit Cost (CLP)],TblPurchases[BatchID],TblOutcomes[[#This Row],[BatchID]]))</f>
        <v>3784</v>
      </c>
      <c r="Q2637" s="51">
        <f>IF(COUNTIF(TblPurchases[BatchID],TblOutcomes[[#This Row],[BatchID]])&lt;&gt;1,"n.a.",SUMIFS(TblPurchases[Purchase Date],TblPurchases[BatchID],TblOutcomes[[#This Row],[BatchID]]))</f>
        <v>45615</v>
      </c>
    </row>
    <row r="2638" spans="2:17" x14ac:dyDescent="0.25">
      <c r="B2638" s="2" t="s">
        <v>3443</v>
      </c>
      <c r="C2638" s="2" t="s">
        <v>283</v>
      </c>
      <c r="D2638" s="2" t="s">
        <v>256</v>
      </c>
      <c r="E2638" s="2" t="s">
        <v>4647</v>
      </c>
      <c r="F2638" s="2">
        <v>8</v>
      </c>
      <c r="G2638" s="2">
        <v>8</v>
      </c>
      <c r="H2638" s="2">
        <v>0</v>
      </c>
      <c r="I2638" s="1">
        <v>0</v>
      </c>
      <c r="J2638" s="26">
        <v>45641</v>
      </c>
      <c r="K2638" s="22">
        <v>192000</v>
      </c>
      <c r="L2638" s="18">
        <v>205.35</v>
      </c>
      <c r="M2638" s="22">
        <v>148800</v>
      </c>
      <c r="N2638" s="22">
        <v>43200</v>
      </c>
      <c r="O2638" s="18">
        <v>46.2</v>
      </c>
      <c r="P2638" s="52">
        <f>IF(COUNTIF(TblPurchases[BatchID],TblOutcomes[[#This Row],[BatchID]])&lt;&gt;1,"n.a.",TblOutcomes[[#This Row],[Qty Wasted]]*SUMIFS(TblPurchases[Unit Cost (CLP)],TblPurchases[BatchID],TblOutcomes[[#This Row],[BatchID]]))</f>
        <v>0</v>
      </c>
      <c r="Q2638" s="51">
        <f>IF(COUNTIF(TblPurchases[BatchID],TblOutcomes[[#This Row],[BatchID]])&lt;&gt;1,"n.a.",SUMIFS(TblPurchases[Purchase Date],TblPurchases[BatchID],TblOutcomes[[#This Row],[BatchID]]))</f>
        <v>45628</v>
      </c>
    </row>
    <row r="2639" spans="2:17" x14ac:dyDescent="0.25">
      <c r="B2639" s="2" t="s">
        <v>3444</v>
      </c>
      <c r="C2639" s="2" t="s">
        <v>283</v>
      </c>
      <c r="D2639" s="2" t="s">
        <v>256</v>
      </c>
      <c r="E2639" s="2" t="s">
        <v>4646</v>
      </c>
      <c r="F2639" s="2">
        <v>9</v>
      </c>
      <c r="G2639" s="2">
        <v>8.43</v>
      </c>
      <c r="H2639" s="2">
        <v>0.56999999999999995</v>
      </c>
      <c r="I2639" s="1">
        <v>6.3</v>
      </c>
      <c r="J2639" s="26">
        <v>45859</v>
      </c>
      <c r="K2639" s="22">
        <v>202320</v>
      </c>
      <c r="L2639" s="18">
        <v>216.39</v>
      </c>
      <c r="M2639" s="22">
        <v>154800</v>
      </c>
      <c r="N2639" s="22">
        <v>47520</v>
      </c>
      <c r="O2639" s="18">
        <v>50.82</v>
      </c>
      <c r="P2639" s="52">
        <f>IF(COUNTIF(TblPurchases[BatchID],TblOutcomes[[#This Row],[BatchID]])&lt;&gt;1,"n.a.",TblOutcomes[[#This Row],[Qty Wasted]]*SUMIFS(TblPurchases[Unit Cost (CLP)],TblPurchases[BatchID],TblOutcomes[[#This Row],[BatchID]]))</f>
        <v>9804</v>
      </c>
      <c r="Q2639" s="51">
        <f>IF(COUNTIF(TblPurchases[BatchID],TblOutcomes[[#This Row],[BatchID]])&lt;&gt;1,"n.a.",SUMIFS(TblPurchases[Purchase Date],TblPurchases[BatchID],TblOutcomes[[#This Row],[BatchID]]))</f>
        <v>45649</v>
      </c>
    </row>
    <row r="2640" spans="2:17" x14ac:dyDescent="0.25">
      <c r="B2640" s="2" t="s">
        <v>3445</v>
      </c>
      <c r="C2640" s="2" t="s">
        <v>283</v>
      </c>
      <c r="D2640" s="2" t="s">
        <v>256</v>
      </c>
      <c r="E2640" s="2" t="s">
        <v>4646</v>
      </c>
      <c r="F2640" s="2">
        <v>9</v>
      </c>
      <c r="G2640" s="2">
        <v>8.16</v>
      </c>
      <c r="H2640" s="2">
        <v>0.84</v>
      </c>
      <c r="I2640" s="1">
        <v>9.3000000000000007</v>
      </c>
      <c r="J2640" s="26">
        <v>45881</v>
      </c>
      <c r="K2640" s="22">
        <v>195840</v>
      </c>
      <c r="L2640" s="18">
        <v>209.45</v>
      </c>
      <c r="M2640" s="22">
        <v>154800</v>
      </c>
      <c r="N2640" s="22">
        <v>41040</v>
      </c>
      <c r="O2640" s="18">
        <v>43.89</v>
      </c>
      <c r="P2640" s="52">
        <f>IF(COUNTIF(TblPurchases[BatchID],TblOutcomes[[#This Row],[BatchID]])&lt;&gt;1,"n.a.",TblOutcomes[[#This Row],[Qty Wasted]]*SUMIFS(TblPurchases[Unit Cost (CLP)],TblPurchases[BatchID],TblOutcomes[[#This Row],[BatchID]]))</f>
        <v>14448</v>
      </c>
      <c r="Q2640" s="51">
        <f>IF(COUNTIF(TblPurchases[BatchID],TblOutcomes[[#This Row],[BatchID]])&lt;&gt;1,"n.a.",SUMIFS(TblPurchases[Purchase Date],TblPurchases[BatchID],TblOutcomes[[#This Row],[BatchID]]))</f>
        <v>45671</v>
      </c>
    </row>
    <row r="2641" spans="2:17" x14ac:dyDescent="0.25">
      <c r="B2641" s="2" t="s">
        <v>3446</v>
      </c>
      <c r="C2641" s="2" t="s">
        <v>283</v>
      </c>
      <c r="D2641" s="2" t="s">
        <v>256</v>
      </c>
      <c r="E2641" s="2" t="s">
        <v>4647</v>
      </c>
      <c r="F2641" s="2">
        <v>7</v>
      </c>
      <c r="G2641" s="2">
        <v>7</v>
      </c>
      <c r="H2641" s="2">
        <v>0</v>
      </c>
      <c r="I2641" s="1">
        <v>0</v>
      </c>
      <c r="J2641" s="26">
        <v>45714</v>
      </c>
      <c r="K2641" s="22">
        <v>168000</v>
      </c>
      <c r="L2641" s="18">
        <v>179.68</v>
      </c>
      <c r="M2641" s="22">
        <v>130200</v>
      </c>
      <c r="N2641" s="22">
        <v>37800</v>
      </c>
      <c r="O2641" s="18">
        <v>40.43</v>
      </c>
      <c r="P2641" s="52">
        <f>IF(COUNTIF(TblPurchases[BatchID],TblOutcomes[[#This Row],[BatchID]])&lt;&gt;1,"n.a.",TblOutcomes[[#This Row],[Qty Wasted]]*SUMIFS(TblPurchases[Unit Cost (CLP)],TblPurchases[BatchID],TblOutcomes[[#This Row],[BatchID]]))</f>
        <v>0</v>
      </c>
      <c r="Q2641" s="51">
        <f>IF(COUNTIF(TblPurchases[BatchID],TblOutcomes[[#This Row],[BatchID]])&lt;&gt;1,"n.a.",SUMIFS(TblPurchases[Purchase Date],TblPurchases[BatchID],TblOutcomes[[#This Row],[BatchID]]))</f>
        <v>45693</v>
      </c>
    </row>
    <row r="2642" spans="2:17" x14ac:dyDescent="0.25">
      <c r="B2642" s="2" t="s">
        <v>3447</v>
      </c>
      <c r="C2642" s="2" t="s">
        <v>283</v>
      </c>
      <c r="D2642" s="2" t="s">
        <v>256</v>
      </c>
      <c r="E2642" s="2" t="s">
        <v>4646</v>
      </c>
      <c r="F2642" s="2">
        <v>8</v>
      </c>
      <c r="G2642" s="2">
        <v>7.26</v>
      </c>
      <c r="H2642" s="2">
        <v>0.74</v>
      </c>
      <c r="I2642" s="1">
        <v>9.3000000000000007</v>
      </c>
      <c r="J2642" s="26">
        <v>45922</v>
      </c>
      <c r="K2642" s="22">
        <v>174240</v>
      </c>
      <c r="L2642" s="18">
        <v>186.35</v>
      </c>
      <c r="M2642" s="22">
        <v>137600</v>
      </c>
      <c r="N2642" s="22">
        <v>36640</v>
      </c>
      <c r="O2642" s="18">
        <v>39.19</v>
      </c>
      <c r="P2642" s="52">
        <f>IF(COUNTIF(TblPurchases[BatchID],TblOutcomes[[#This Row],[BatchID]])&lt;&gt;1,"n.a.",TblOutcomes[[#This Row],[Qty Wasted]]*SUMIFS(TblPurchases[Unit Cost (CLP)],TblPurchases[BatchID],TblOutcomes[[#This Row],[BatchID]]))</f>
        <v>12728</v>
      </c>
      <c r="Q2642" s="51">
        <f>IF(COUNTIF(TblPurchases[BatchID],TblOutcomes[[#This Row],[BatchID]])&lt;&gt;1,"n.a.",SUMIFS(TblPurchases[Purchase Date],TblPurchases[BatchID],TblOutcomes[[#This Row],[BatchID]]))</f>
        <v>45712</v>
      </c>
    </row>
    <row r="2643" spans="2:17" x14ac:dyDescent="0.25">
      <c r="B2643" s="2" t="s">
        <v>3448</v>
      </c>
      <c r="C2643" s="2" t="s">
        <v>283</v>
      </c>
      <c r="D2643" s="2" t="s">
        <v>256</v>
      </c>
      <c r="E2643" s="2" t="s">
        <v>4646</v>
      </c>
      <c r="F2643" s="2">
        <v>7</v>
      </c>
      <c r="G2643" s="2">
        <v>6.34</v>
      </c>
      <c r="H2643" s="2">
        <v>0.66</v>
      </c>
      <c r="I2643" s="1">
        <v>9.4</v>
      </c>
      <c r="J2643" s="26">
        <v>45940</v>
      </c>
      <c r="K2643" s="22">
        <v>152160</v>
      </c>
      <c r="L2643" s="18">
        <v>162.74</v>
      </c>
      <c r="M2643" s="22">
        <v>120400</v>
      </c>
      <c r="N2643" s="22">
        <v>31760</v>
      </c>
      <c r="O2643" s="18">
        <v>33.97</v>
      </c>
      <c r="P2643" s="52">
        <f>IF(COUNTIF(TblPurchases[BatchID],TblOutcomes[[#This Row],[BatchID]])&lt;&gt;1,"n.a.",TblOutcomes[[#This Row],[Qty Wasted]]*SUMIFS(TblPurchases[Unit Cost (CLP)],TblPurchases[BatchID],TblOutcomes[[#This Row],[BatchID]]))</f>
        <v>11352</v>
      </c>
      <c r="Q2643" s="51">
        <f>IF(COUNTIF(TblPurchases[BatchID],TblOutcomes[[#This Row],[BatchID]])&lt;&gt;1,"n.a.",SUMIFS(TblPurchases[Purchase Date],TblPurchases[BatchID],TblOutcomes[[#This Row],[BatchID]]))</f>
        <v>45730</v>
      </c>
    </row>
    <row r="2644" spans="2:17" x14ac:dyDescent="0.25">
      <c r="B2644" s="2" t="s">
        <v>3449</v>
      </c>
      <c r="C2644" s="2" t="s">
        <v>283</v>
      </c>
      <c r="D2644" s="2" t="s">
        <v>256</v>
      </c>
      <c r="E2644" s="2" t="s">
        <v>4647</v>
      </c>
      <c r="F2644" s="2">
        <v>7</v>
      </c>
      <c r="G2644" s="2">
        <v>7</v>
      </c>
      <c r="H2644" s="2">
        <v>0</v>
      </c>
      <c r="I2644" s="1">
        <v>0</v>
      </c>
      <c r="J2644" s="26">
        <v>45766</v>
      </c>
      <c r="K2644" s="22">
        <v>168000</v>
      </c>
      <c r="L2644" s="18">
        <v>179.68</v>
      </c>
      <c r="M2644" s="22">
        <v>120400</v>
      </c>
      <c r="N2644" s="22">
        <v>47600</v>
      </c>
      <c r="O2644" s="18">
        <v>50.91</v>
      </c>
      <c r="P2644" s="52">
        <f>IF(COUNTIF(TblPurchases[BatchID],TblOutcomes[[#This Row],[BatchID]])&lt;&gt;1,"n.a.",TblOutcomes[[#This Row],[Qty Wasted]]*SUMIFS(TblPurchases[Unit Cost (CLP)],TblPurchases[BatchID],TblOutcomes[[#This Row],[BatchID]]))</f>
        <v>0</v>
      </c>
      <c r="Q2644" s="51">
        <f>IF(COUNTIF(TblPurchases[BatchID],TblOutcomes[[#This Row],[BatchID]])&lt;&gt;1,"n.a.",SUMIFS(TblPurchases[Purchase Date],TblPurchases[BatchID],TblOutcomes[[#This Row],[BatchID]]))</f>
        <v>45746</v>
      </c>
    </row>
    <row r="2645" spans="2:17" x14ac:dyDescent="0.25">
      <c r="B2645" s="2" t="s">
        <v>3450</v>
      </c>
      <c r="C2645" s="2" t="s">
        <v>283</v>
      </c>
      <c r="D2645" s="2" t="s">
        <v>256</v>
      </c>
      <c r="E2645" s="2" t="s">
        <v>4647</v>
      </c>
      <c r="F2645" s="2">
        <v>18</v>
      </c>
      <c r="G2645" s="2">
        <v>18</v>
      </c>
      <c r="H2645" s="2">
        <v>0</v>
      </c>
      <c r="I2645" s="1">
        <v>0</v>
      </c>
      <c r="J2645" s="26">
        <v>45783</v>
      </c>
      <c r="K2645" s="22">
        <v>432000</v>
      </c>
      <c r="L2645" s="18">
        <v>462.03</v>
      </c>
      <c r="M2645" s="22">
        <v>309600</v>
      </c>
      <c r="N2645" s="22">
        <v>122400</v>
      </c>
      <c r="O2645" s="18">
        <v>130.91</v>
      </c>
      <c r="P2645" s="52">
        <f>IF(COUNTIF(TblPurchases[BatchID],TblOutcomes[[#This Row],[BatchID]])&lt;&gt;1,"n.a.",TblOutcomes[[#This Row],[Qty Wasted]]*SUMIFS(TblPurchases[Unit Cost (CLP)],TblPurchases[BatchID],TblOutcomes[[#This Row],[BatchID]]))</f>
        <v>0</v>
      </c>
      <c r="Q2645" s="51">
        <f>IF(COUNTIF(TblPurchases[BatchID],TblOutcomes[[#This Row],[BatchID]])&lt;&gt;1,"n.a.",SUMIFS(TblPurchases[Purchase Date],TblPurchases[BatchID],TblOutcomes[[#This Row],[BatchID]]))</f>
        <v>45760</v>
      </c>
    </row>
    <row r="2646" spans="2:17" x14ac:dyDescent="0.25">
      <c r="B2646" s="2" t="s">
        <v>3451</v>
      </c>
      <c r="C2646" s="2" t="s">
        <v>283</v>
      </c>
      <c r="D2646" s="2" t="s">
        <v>256</v>
      </c>
      <c r="E2646" s="2" t="s">
        <v>4647</v>
      </c>
      <c r="F2646" s="2">
        <v>19</v>
      </c>
      <c r="G2646" s="2">
        <v>19</v>
      </c>
      <c r="H2646" s="2">
        <v>0</v>
      </c>
      <c r="I2646" s="1">
        <v>0</v>
      </c>
      <c r="J2646" s="26">
        <v>45787</v>
      </c>
      <c r="K2646" s="22">
        <v>456000</v>
      </c>
      <c r="L2646" s="18">
        <v>487.7</v>
      </c>
      <c r="M2646" s="22">
        <v>326800</v>
      </c>
      <c r="N2646" s="22">
        <v>129200</v>
      </c>
      <c r="O2646" s="18">
        <v>138.18</v>
      </c>
      <c r="P2646" s="52">
        <f>IF(COUNTIF(TblPurchases[BatchID],TblOutcomes[[#This Row],[BatchID]])&lt;&gt;1,"n.a.",TblOutcomes[[#This Row],[Qty Wasted]]*SUMIFS(TblPurchases[Unit Cost (CLP)],TblPurchases[BatchID],TblOutcomes[[#This Row],[BatchID]]))</f>
        <v>0</v>
      </c>
      <c r="Q2646" s="51">
        <f>IF(COUNTIF(TblPurchases[BatchID],TblOutcomes[[#This Row],[BatchID]])&lt;&gt;1,"n.a.",SUMIFS(TblPurchases[Purchase Date],TblPurchases[BatchID],TblOutcomes[[#This Row],[BatchID]]))</f>
        <v>45781</v>
      </c>
    </row>
    <row r="2647" spans="2:17" x14ac:dyDescent="0.25">
      <c r="B2647" s="2" t="s">
        <v>3452</v>
      </c>
      <c r="C2647" s="2" t="s">
        <v>283</v>
      </c>
      <c r="D2647" s="2" t="s">
        <v>256</v>
      </c>
      <c r="E2647" s="2" t="s">
        <v>4647</v>
      </c>
      <c r="F2647" s="2">
        <v>18</v>
      </c>
      <c r="G2647" s="2">
        <v>18</v>
      </c>
      <c r="H2647" s="2">
        <v>0</v>
      </c>
      <c r="I2647" s="1">
        <v>0</v>
      </c>
      <c r="J2647" s="26">
        <v>45819</v>
      </c>
      <c r="K2647" s="22">
        <v>432000</v>
      </c>
      <c r="L2647" s="18">
        <v>462.03</v>
      </c>
      <c r="M2647" s="22">
        <v>309600</v>
      </c>
      <c r="N2647" s="22">
        <v>122400</v>
      </c>
      <c r="O2647" s="18">
        <v>130.91</v>
      </c>
      <c r="P2647" s="52">
        <f>IF(COUNTIF(TblPurchases[BatchID],TblOutcomes[[#This Row],[BatchID]])&lt;&gt;1,"n.a.",TblOutcomes[[#This Row],[Qty Wasted]]*SUMIFS(TblPurchases[Unit Cost (CLP)],TblPurchases[BatchID],TblOutcomes[[#This Row],[BatchID]]))</f>
        <v>0</v>
      </c>
      <c r="Q2647" s="51">
        <f>IF(COUNTIF(TblPurchases[BatchID],TblOutcomes[[#This Row],[BatchID]])&lt;&gt;1,"n.a.",SUMIFS(TblPurchases[Purchase Date],TblPurchases[BatchID],TblOutcomes[[#This Row],[BatchID]]))</f>
        <v>45799</v>
      </c>
    </row>
    <row r="2648" spans="2:17" x14ac:dyDescent="0.25">
      <c r="B2648" s="2" t="s">
        <v>3453</v>
      </c>
      <c r="C2648" s="2" t="s">
        <v>283</v>
      </c>
      <c r="D2648" s="2" t="s">
        <v>256</v>
      </c>
      <c r="E2648" s="2" t="s">
        <v>4647</v>
      </c>
      <c r="F2648" s="2">
        <v>19</v>
      </c>
      <c r="G2648" s="2">
        <v>19</v>
      </c>
      <c r="H2648" s="2">
        <v>0</v>
      </c>
      <c r="I2648" s="1">
        <v>0</v>
      </c>
      <c r="J2648" s="26">
        <v>45835</v>
      </c>
      <c r="K2648" s="22">
        <v>456000</v>
      </c>
      <c r="L2648" s="18">
        <v>487.7</v>
      </c>
      <c r="M2648" s="22">
        <v>326800</v>
      </c>
      <c r="N2648" s="22">
        <v>129200</v>
      </c>
      <c r="O2648" s="18">
        <v>138.18</v>
      </c>
      <c r="P2648" s="52">
        <f>IF(COUNTIF(TblPurchases[BatchID],TblOutcomes[[#This Row],[BatchID]])&lt;&gt;1,"n.a.",TblOutcomes[[#This Row],[Qty Wasted]]*SUMIFS(TblPurchases[Unit Cost (CLP)],TblPurchases[BatchID],TblOutcomes[[#This Row],[BatchID]]))</f>
        <v>0</v>
      </c>
      <c r="Q2648" s="51">
        <f>IF(COUNTIF(TblPurchases[BatchID],TblOutcomes[[#This Row],[BatchID]])&lt;&gt;1,"n.a.",SUMIFS(TblPurchases[Purchase Date],TblPurchases[BatchID],TblOutcomes[[#This Row],[BatchID]]))</f>
        <v>45821</v>
      </c>
    </row>
    <row r="2649" spans="2:17" x14ac:dyDescent="0.25">
      <c r="B2649" s="2" t="s">
        <v>3454</v>
      </c>
      <c r="C2649" s="2" t="s">
        <v>285</v>
      </c>
      <c r="D2649" s="2" t="s">
        <v>287</v>
      </c>
      <c r="E2649" s="2" t="s">
        <v>4646</v>
      </c>
      <c r="F2649" s="2">
        <v>11</v>
      </c>
      <c r="G2649" s="2">
        <v>10.66</v>
      </c>
      <c r="H2649" s="2">
        <v>0.34</v>
      </c>
      <c r="I2649" s="1">
        <v>3.1</v>
      </c>
      <c r="J2649" s="26">
        <v>45354</v>
      </c>
      <c r="K2649" s="22">
        <v>42640</v>
      </c>
      <c r="L2649" s="18">
        <v>45.6</v>
      </c>
      <c r="M2649" s="22">
        <v>30800</v>
      </c>
      <c r="N2649" s="22">
        <v>11840</v>
      </c>
      <c r="O2649" s="18">
        <v>12.66</v>
      </c>
      <c r="P2649" s="52">
        <f>IF(COUNTIF(TblPurchases[BatchID],TblOutcomes[[#This Row],[BatchID]])&lt;&gt;1,"n.a.",TblOutcomes[[#This Row],[Qty Wasted]]*SUMIFS(TblPurchases[Unit Cost (CLP)],TblPurchases[BatchID],TblOutcomes[[#This Row],[BatchID]]))</f>
        <v>952.00000000000011</v>
      </c>
      <c r="Q2649" s="51">
        <f>IF(COUNTIF(TblPurchases[BatchID],TblOutcomes[[#This Row],[BatchID]])&lt;&gt;1,"n.a.",SUMIFS(TblPurchases[Purchase Date],TblPurchases[BatchID],TblOutcomes[[#This Row],[BatchID]]))</f>
        <v>45114</v>
      </c>
    </row>
    <row r="2650" spans="2:17" x14ac:dyDescent="0.25">
      <c r="B2650" s="2" t="s">
        <v>3455</v>
      </c>
      <c r="C2650" s="2" t="s">
        <v>285</v>
      </c>
      <c r="D2650" s="2" t="s">
        <v>287</v>
      </c>
      <c r="E2650" s="2" t="s">
        <v>4647</v>
      </c>
      <c r="F2650" s="2">
        <v>11</v>
      </c>
      <c r="G2650" s="2">
        <v>11</v>
      </c>
      <c r="H2650" s="2">
        <v>0</v>
      </c>
      <c r="I2650" s="1">
        <v>0</v>
      </c>
      <c r="J2650" s="26">
        <v>45179</v>
      </c>
      <c r="K2650" s="22">
        <v>44000</v>
      </c>
      <c r="L2650" s="18">
        <v>47.06</v>
      </c>
      <c r="M2650" s="22">
        <v>30800</v>
      </c>
      <c r="N2650" s="22">
        <v>13200</v>
      </c>
      <c r="O2650" s="18">
        <v>14.12</v>
      </c>
      <c r="P2650" s="52">
        <f>IF(COUNTIF(TblPurchases[BatchID],TblOutcomes[[#This Row],[BatchID]])&lt;&gt;1,"n.a.",TblOutcomes[[#This Row],[Qty Wasted]]*SUMIFS(TblPurchases[Unit Cost (CLP)],TblPurchases[BatchID],TblOutcomes[[#This Row],[BatchID]]))</f>
        <v>0</v>
      </c>
      <c r="Q2650" s="51">
        <f>IF(COUNTIF(TblPurchases[BatchID],TblOutcomes[[#This Row],[BatchID]])&lt;&gt;1,"n.a.",SUMIFS(TblPurchases[Purchase Date],TblPurchases[BatchID],TblOutcomes[[#This Row],[BatchID]]))</f>
        <v>45149</v>
      </c>
    </row>
    <row r="2651" spans="2:17" x14ac:dyDescent="0.25">
      <c r="B2651" s="2" t="s">
        <v>3456</v>
      </c>
      <c r="C2651" s="2" t="s">
        <v>285</v>
      </c>
      <c r="D2651" s="2" t="s">
        <v>287</v>
      </c>
      <c r="E2651" s="2" t="s">
        <v>4647</v>
      </c>
      <c r="F2651" s="2">
        <v>13</v>
      </c>
      <c r="G2651" s="2">
        <v>13</v>
      </c>
      <c r="H2651" s="2">
        <v>0</v>
      </c>
      <c r="I2651" s="1">
        <v>0</v>
      </c>
      <c r="J2651" s="26">
        <v>45207</v>
      </c>
      <c r="K2651" s="22">
        <v>52000</v>
      </c>
      <c r="L2651" s="18">
        <v>55.61</v>
      </c>
      <c r="M2651" s="22">
        <v>36400</v>
      </c>
      <c r="N2651" s="22">
        <v>15600</v>
      </c>
      <c r="O2651" s="18">
        <v>16.68</v>
      </c>
      <c r="P2651" s="52">
        <f>IF(COUNTIF(TblPurchases[BatchID],TblOutcomes[[#This Row],[BatchID]])&lt;&gt;1,"n.a.",TblOutcomes[[#This Row],[Qty Wasted]]*SUMIFS(TblPurchases[Unit Cost (CLP)],TblPurchases[BatchID],TblOutcomes[[#This Row],[BatchID]]))</f>
        <v>0</v>
      </c>
      <c r="Q2651" s="51">
        <f>IF(COUNTIF(TblPurchases[BatchID],TblOutcomes[[#This Row],[BatchID]])&lt;&gt;1,"n.a.",SUMIFS(TblPurchases[Purchase Date],TblPurchases[BatchID],TblOutcomes[[#This Row],[BatchID]]))</f>
        <v>45177</v>
      </c>
    </row>
    <row r="2652" spans="2:17" x14ac:dyDescent="0.25">
      <c r="B2652" s="2" t="s">
        <v>3457</v>
      </c>
      <c r="C2652" s="2" t="s">
        <v>285</v>
      </c>
      <c r="D2652" s="2" t="s">
        <v>287</v>
      </c>
      <c r="E2652" s="2" t="s">
        <v>4646</v>
      </c>
      <c r="F2652" s="2">
        <v>9</v>
      </c>
      <c r="G2652" s="2">
        <v>8.34</v>
      </c>
      <c r="H2652" s="2">
        <v>0.66</v>
      </c>
      <c r="I2652" s="1">
        <v>7.3</v>
      </c>
      <c r="J2652" s="26">
        <v>45446</v>
      </c>
      <c r="K2652" s="22">
        <v>33360</v>
      </c>
      <c r="L2652" s="18">
        <v>35.68</v>
      </c>
      <c r="M2652" s="22">
        <v>27450</v>
      </c>
      <c r="N2652" s="22">
        <v>5910</v>
      </c>
      <c r="O2652" s="18">
        <v>6.32</v>
      </c>
      <c r="P2652" s="52">
        <f>IF(COUNTIF(TblPurchases[BatchID],TblOutcomes[[#This Row],[BatchID]])&lt;&gt;1,"n.a.",TblOutcomes[[#This Row],[Qty Wasted]]*SUMIFS(TblPurchases[Unit Cost (CLP)],TblPurchases[BatchID],TblOutcomes[[#This Row],[BatchID]]))</f>
        <v>2013</v>
      </c>
      <c r="Q2652" s="51">
        <f>IF(COUNTIF(TblPurchases[BatchID],TblOutcomes[[#This Row],[BatchID]])&lt;&gt;1,"n.a.",SUMIFS(TblPurchases[Purchase Date],TblPurchases[BatchID],TblOutcomes[[#This Row],[BatchID]]))</f>
        <v>45206</v>
      </c>
    </row>
    <row r="2653" spans="2:17" x14ac:dyDescent="0.25">
      <c r="B2653" s="2" t="s">
        <v>3458</v>
      </c>
      <c r="C2653" s="2" t="s">
        <v>285</v>
      </c>
      <c r="D2653" s="2" t="s">
        <v>287</v>
      </c>
      <c r="E2653" s="2" t="s">
        <v>4646</v>
      </c>
      <c r="F2653" s="2">
        <v>11</v>
      </c>
      <c r="G2653" s="2">
        <v>10.35</v>
      </c>
      <c r="H2653" s="2">
        <v>0.65</v>
      </c>
      <c r="I2653" s="1">
        <v>5.9</v>
      </c>
      <c r="J2653" s="26">
        <v>45478</v>
      </c>
      <c r="K2653" s="22">
        <v>41400</v>
      </c>
      <c r="L2653" s="18">
        <v>44.28</v>
      </c>
      <c r="M2653" s="22">
        <v>30800</v>
      </c>
      <c r="N2653" s="22">
        <v>10600</v>
      </c>
      <c r="O2653" s="18">
        <v>11.34</v>
      </c>
      <c r="P2653" s="52">
        <f>IF(COUNTIF(TblPurchases[BatchID],TblOutcomes[[#This Row],[BatchID]])&lt;&gt;1,"n.a.",TblOutcomes[[#This Row],[Qty Wasted]]*SUMIFS(TblPurchases[Unit Cost (CLP)],TblPurchases[BatchID],TblOutcomes[[#This Row],[BatchID]]))</f>
        <v>1820</v>
      </c>
      <c r="Q2653" s="51">
        <f>IF(COUNTIF(TblPurchases[BatchID],TblOutcomes[[#This Row],[BatchID]])&lt;&gt;1,"n.a.",SUMIFS(TblPurchases[Purchase Date],TblPurchases[BatchID],TblOutcomes[[#This Row],[BatchID]]))</f>
        <v>45238</v>
      </c>
    </row>
    <row r="2654" spans="2:17" x14ac:dyDescent="0.25">
      <c r="B2654" s="2" t="s">
        <v>3459</v>
      </c>
      <c r="C2654" s="2" t="s">
        <v>285</v>
      </c>
      <c r="D2654" s="2" t="s">
        <v>287</v>
      </c>
      <c r="E2654" s="2" t="s">
        <v>4647</v>
      </c>
      <c r="F2654" s="2">
        <v>14</v>
      </c>
      <c r="G2654" s="2">
        <v>14</v>
      </c>
      <c r="H2654" s="2">
        <v>0</v>
      </c>
      <c r="I2654" s="1">
        <v>0</v>
      </c>
      <c r="J2654" s="26">
        <v>45309</v>
      </c>
      <c r="K2654" s="22">
        <v>56000</v>
      </c>
      <c r="L2654" s="18">
        <v>59.89</v>
      </c>
      <c r="M2654" s="22">
        <v>39200</v>
      </c>
      <c r="N2654" s="22">
        <v>16800</v>
      </c>
      <c r="O2654" s="18">
        <v>17.97</v>
      </c>
      <c r="P2654" s="52">
        <f>IF(COUNTIF(TblPurchases[BatchID],TblOutcomes[[#This Row],[BatchID]])&lt;&gt;1,"n.a.",TblOutcomes[[#This Row],[Qty Wasted]]*SUMIFS(TblPurchases[Unit Cost (CLP)],TblPurchases[BatchID],TblOutcomes[[#This Row],[BatchID]]))</f>
        <v>0</v>
      </c>
      <c r="Q2654" s="51">
        <f>IF(COUNTIF(TblPurchases[BatchID],TblOutcomes[[#This Row],[BatchID]])&lt;&gt;1,"n.a.",SUMIFS(TblPurchases[Purchase Date],TblPurchases[BatchID],TblOutcomes[[#This Row],[BatchID]]))</f>
        <v>45270</v>
      </c>
    </row>
    <row r="2655" spans="2:17" x14ac:dyDescent="0.25">
      <c r="B2655" s="2" t="s">
        <v>3460</v>
      </c>
      <c r="C2655" s="2" t="s">
        <v>285</v>
      </c>
      <c r="D2655" s="2" t="s">
        <v>287</v>
      </c>
      <c r="E2655" s="2" t="s">
        <v>4646</v>
      </c>
      <c r="F2655" s="2">
        <v>10</v>
      </c>
      <c r="G2655" s="2">
        <v>9.9499999999999993</v>
      </c>
      <c r="H2655" s="2">
        <v>0.05</v>
      </c>
      <c r="I2655" s="1">
        <v>0.5</v>
      </c>
      <c r="J2655" s="26">
        <v>45532</v>
      </c>
      <c r="K2655" s="22">
        <v>39800</v>
      </c>
      <c r="L2655" s="18">
        <v>42.57</v>
      </c>
      <c r="M2655" s="22">
        <v>28000</v>
      </c>
      <c r="N2655" s="22">
        <v>11800</v>
      </c>
      <c r="O2655" s="18">
        <v>12.62</v>
      </c>
      <c r="P2655" s="52">
        <f>IF(COUNTIF(TblPurchases[BatchID],TblOutcomes[[#This Row],[BatchID]])&lt;&gt;1,"n.a.",TblOutcomes[[#This Row],[Qty Wasted]]*SUMIFS(TblPurchases[Unit Cost (CLP)],TblPurchases[BatchID],TblOutcomes[[#This Row],[BatchID]]))</f>
        <v>140</v>
      </c>
      <c r="Q2655" s="51">
        <f>IF(COUNTIF(TblPurchases[BatchID],TblOutcomes[[#This Row],[BatchID]])&lt;&gt;1,"n.a.",SUMIFS(TblPurchases[Purchase Date],TblPurchases[BatchID],TblOutcomes[[#This Row],[BatchID]]))</f>
        <v>45292</v>
      </c>
    </row>
    <row r="2656" spans="2:17" x14ac:dyDescent="0.25">
      <c r="B2656" s="2" t="s">
        <v>3461</v>
      </c>
      <c r="C2656" s="2" t="s">
        <v>285</v>
      </c>
      <c r="D2656" s="2" t="s">
        <v>287</v>
      </c>
      <c r="E2656" s="2" t="s">
        <v>4647</v>
      </c>
      <c r="F2656" s="2">
        <v>9</v>
      </c>
      <c r="G2656" s="2">
        <v>9</v>
      </c>
      <c r="H2656" s="2">
        <v>0</v>
      </c>
      <c r="I2656" s="1">
        <v>0</v>
      </c>
      <c r="J2656" s="26">
        <v>45367</v>
      </c>
      <c r="K2656" s="22">
        <v>36000</v>
      </c>
      <c r="L2656" s="18">
        <v>38.5</v>
      </c>
      <c r="M2656" s="22">
        <v>25200</v>
      </c>
      <c r="N2656" s="22">
        <v>10800</v>
      </c>
      <c r="O2656" s="18">
        <v>11.55</v>
      </c>
      <c r="P2656" s="52">
        <f>IF(COUNTIF(TblPurchases[BatchID],TblOutcomes[[#This Row],[BatchID]])&lt;&gt;1,"n.a.",TblOutcomes[[#This Row],[Qty Wasted]]*SUMIFS(TblPurchases[Unit Cost (CLP)],TblPurchases[BatchID],TblOutcomes[[#This Row],[BatchID]]))</f>
        <v>0</v>
      </c>
      <c r="Q2656" s="51">
        <f>IF(COUNTIF(TblPurchases[BatchID],TblOutcomes[[#This Row],[BatchID]])&lt;&gt;1,"n.a.",SUMIFS(TblPurchases[Purchase Date],TblPurchases[BatchID],TblOutcomes[[#This Row],[BatchID]]))</f>
        <v>45333</v>
      </c>
    </row>
    <row r="2657" spans="2:17" x14ac:dyDescent="0.25">
      <c r="B2657" s="2" t="s">
        <v>3462</v>
      </c>
      <c r="C2657" s="2" t="s">
        <v>285</v>
      </c>
      <c r="D2657" s="2" t="s">
        <v>287</v>
      </c>
      <c r="E2657" s="2" t="s">
        <v>4646</v>
      </c>
      <c r="F2657" s="2">
        <v>10</v>
      </c>
      <c r="G2657" s="2">
        <v>9.0399999999999991</v>
      </c>
      <c r="H2657" s="2">
        <v>0.96</v>
      </c>
      <c r="I2657" s="1">
        <v>9.6</v>
      </c>
      <c r="J2657" s="26">
        <v>45610</v>
      </c>
      <c r="K2657" s="22">
        <v>36160</v>
      </c>
      <c r="L2657" s="18">
        <v>38.67</v>
      </c>
      <c r="M2657" s="22">
        <v>30500</v>
      </c>
      <c r="N2657" s="22">
        <v>5660</v>
      </c>
      <c r="O2657" s="18">
        <v>6.05</v>
      </c>
      <c r="P2657" s="52">
        <f>IF(COUNTIF(TblPurchases[BatchID],TblOutcomes[[#This Row],[BatchID]])&lt;&gt;1,"n.a.",TblOutcomes[[#This Row],[Qty Wasted]]*SUMIFS(TblPurchases[Unit Cost (CLP)],TblPurchases[BatchID],TblOutcomes[[#This Row],[BatchID]]))</f>
        <v>2928</v>
      </c>
      <c r="Q2657" s="51">
        <f>IF(COUNTIF(TblPurchases[BatchID],TblOutcomes[[#This Row],[BatchID]])&lt;&gt;1,"n.a.",SUMIFS(TblPurchases[Purchase Date],TblPurchases[BatchID],TblOutcomes[[#This Row],[BatchID]]))</f>
        <v>45370</v>
      </c>
    </row>
    <row r="2658" spans="2:17" x14ac:dyDescent="0.25">
      <c r="B2658" s="2" t="s">
        <v>3463</v>
      </c>
      <c r="C2658" s="2" t="s">
        <v>285</v>
      </c>
      <c r="D2658" s="2" t="s">
        <v>287</v>
      </c>
      <c r="E2658" s="2" t="s">
        <v>4646</v>
      </c>
      <c r="F2658" s="2">
        <v>9</v>
      </c>
      <c r="G2658" s="2">
        <v>8.2799999999999994</v>
      </c>
      <c r="H2658" s="2">
        <v>0.72</v>
      </c>
      <c r="I2658" s="1">
        <v>8</v>
      </c>
      <c r="J2658" s="26">
        <v>45644</v>
      </c>
      <c r="K2658" s="22">
        <v>33120</v>
      </c>
      <c r="L2658" s="18">
        <v>35.42</v>
      </c>
      <c r="M2658" s="22">
        <v>25200</v>
      </c>
      <c r="N2658" s="22">
        <v>7920</v>
      </c>
      <c r="O2658" s="18">
        <v>8.4700000000000006</v>
      </c>
      <c r="P2658" s="52">
        <f>IF(COUNTIF(TblPurchases[BatchID],TblOutcomes[[#This Row],[BatchID]])&lt;&gt;1,"n.a.",TblOutcomes[[#This Row],[Qty Wasted]]*SUMIFS(TblPurchases[Unit Cost (CLP)],TblPurchases[BatchID],TblOutcomes[[#This Row],[BatchID]]))</f>
        <v>2016</v>
      </c>
      <c r="Q2658" s="51">
        <f>IF(COUNTIF(TblPurchases[BatchID],TblOutcomes[[#This Row],[BatchID]])&lt;&gt;1,"n.a.",SUMIFS(TblPurchases[Purchase Date],TblPurchases[BatchID],TblOutcomes[[#This Row],[BatchID]]))</f>
        <v>45404</v>
      </c>
    </row>
    <row r="2659" spans="2:17" x14ac:dyDescent="0.25">
      <c r="B2659" s="2" t="s">
        <v>3464</v>
      </c>
      <c r="C2659" s="2" t="s">
        <v>285</v>
      </c>
      <c r="D2659" s="2" t="s">
        <v>287</v>
      </c>
      <c r="E2659" s="2" t="s">
        <v>4646</v>
      </c>
      <c r="F2659" s="2">
        <v>11</v>
      </c>
      <c r="G2659" s="2">
        <v>10.39</v>
      </c>
      <c r="H2659" s="2">
        <v>0.6</v>
      </c>
      <c r="I2659" s="1">
        <v>5.5</v>
      </c>
      <c r="J2659" s="26">
        <v>45680</v>
      </c>
      <c r="K2659" s="22">
        <v>41560</v>
      </c>
      <c r="L2659" s="18">
        <v>44.45</v>
      </c>
      <c r="M2659" s="22">
        <v>30800</v>
      </c>
      <c r="N2659" s="22">
        <v>10760</v>
      </c>
      <c r="O2659" s="18">
        <v>11.51</v>
      </c>
      <c r="P2659" s="52">
        <f>IF(COUNTIF(TblPurchases[BatchID],TblOutcomes[[#This Row],[BatchID]])&lt;&gt;1,"n.a.",TblOutcomes[[#This Row],[Qty Wasted]]*SUMIFS(TblPurchases[Unit Cost (CLP)],TblPurchases[BatchID],TblOutcomes[[#This Row],[BatchID]]))</f>
        <v>1680</v>
      </c>
      <c r="Q2659" s="51">
        <f>IF(COUNTIF(TblPurchases[BatchID],TblOutcomes[[#This Row],[BatchID]])&lt;&gt;1,"n.a.",SUMIFS(TblPurchases[Purchase Date],TblPurchases[BatchID],TblOutcomes[[#This Row],[BatchID]]))</f>
        <v>45440</v>
      </c>
    </row>
    <row r="2660" spans="2:17" x14ac:dyDescent="0.25">
      <c r="B2660" s="2" t="s">
        <v>3465</v>
      </c>
      <c r="C2660" s="2" t="s">
        <v>285</v>
      </c>
      <c r="D2660" s="2" t="s">
        <v>287</v>
      </c>
      <c r="E2660" s="2" t="s">
        <v>4647</v>
      </c>
      <c r="F2660" s="2">
        <v>9</v>
      </c>
      <c r="G2660" s="2">
        <v>9</v>
      </c>
      <c r="H2660" s="2">
        <v>0</v>
      </c>
      <c r="I2660" s="1">
        <v>0</v>
      </c>
      <c r="J2660" s="26">
        <v>45499</v>
      </c>
      <c r="K2660" s="22">
        <v>36000</v>
      </c>
      <c r="L2660" s="18">
        <v>38.5</v>
      </c>
      <c r="M2660" s="22">
        <v>25200</v>
      </c>
      <c r="N2660" s="22">
        <v>10800</v>
      </c>
      <c r="O2660" s="18">
        <v>11.55</v>
      </c>
      <c r="P2660" s="52">
        <f>IF(COUNTIF(TblPurchases[BatchID],TblOutcomes[[#This Row],[BatchID]])&lt;&gt;1,"n.a.",TblOutcomes[[#This Row],[Qty Wasted]]*SUMIFS(TblPurchases[Unit Cost (CLP)],TblPurchases[BatchID],TblOutcomes[[#This Row],[BatchID]]))</f>
        <v>0</v>
      </c>
      <c r="Q2660" s="51">
        <f>IF(COUNTIF(TblPurchases[BatchID],TblOutcomes[[#This Row],[BatchID]])&lt;&gt;1,"n.a.",SUMIFS(TblPurchases[Purchase Date],TblPurchases[BatchID],TblOutcomes[[#This Row],[BatchID]]))</f>
        <v>45476</v>
      </c>
    </row>
    <row r="2661" spans="2:17" x14ac:dyDescent="0.25">
      <c r="B2661" s="2" t="s">
        <v>3466</v>
      </c>
      <c r="C2661" s="2" t="s">
        <v>285</v>
      </c>
      <c r="D2661" s="2" t="s">
        <v>287</v>
      </c>
      <c r="E2661" s="2" t="s">
        <v>4647</v>
      </c>
      <c r="F2661" s="2">
        <v>11</v>
      </c>
      <c r="G2661" s="2">
        <v>11</v>
      </c>
      <c r="H2661" s="2">
        <v>0</v>
      </c>
      <c r="I2661" s="1">
        <v>0</v>
      </c>
      <c r="J2661" s="26">
        <v>45538</v>
      </c>
      <c r="K2661" s="22">
        <v>44000</v>
      </c>
      <c r="L2661" s="18">
        <v>47.06</v>
      </c>
      <c r="M2661" s="22">
        <v>30800</v>
      </c>
      <c r="N2661" s="22">
        <v>13200</v>
      </c>
      <c r="O2661" s="18">
        <v>14.12</v>
      </c>
      <c r="P2661" s="52">
        <f>IF(COUNTIF(TblPurchases[BatchID],TblOutcomes[[#This Row],[BatchID]])&lt;&gt;1,"n.a.",TblOutcomes[[#This Row],[Qty Wasted]]*SUMIFS(TblPurchases[Unit Cost (CLP)],TblPurchases[BatchID],TblOutcomes[[#This Row],[BatchID]]))</f>
        <v>0</v>
      </c>
      <c r="Q2661" s="51">
        <f>IF(COUNTIF(TblPurchases[BatchID],TblOutcomes[[#This Row],[BatchID]])&lt;&gt;1,"n.a.",SUMIFS(TblPurchases[Purchase Date],TblPurchases[BatchID],TblOutcomes[[#This Row],[BatchID]]))</f>
        <v>45506</v>
      </c>
    </row>
    <row r="2662" spans="2:17" x14ac:dyDescent="0.25">
      <c r="B2662" s="2" t="s">
        <v>3467</v>
      </c>
      <c r="C2662" s="2" t="s">
        <v>285</v>
      </c>
      <c r="D2662" s="2" t="s">
        <v>287</v>
      </c>
      <c r="E2662" s="2" t="s">
        <v>4647</v>
      </c>
      <c r="F2662" s="2">
        <v>12</v>
      </c>
      <c r="G2662" s="2">
        <v>12</v>
      </c>
      <c r="H2662" s="2">
        <v>0</v>
      </c>
      <c r="I2662" s="1">
        <v>0</v>
      </c>
      <c r="J2662" s="26">
        <v>45565</v>
      </c>
      <c r="K2662" s="22">
        <v>48000</v>
      </c>
      <c r="L2662" s="18">
        <v>51.34</v>
      </c>
      <c r="M2662" s="22">
        <v>33600</v>
      </c>
      <c r="N2662" s="22">
        <v>14400</v>
      </c>
      <c r="O2662" s="18">
        <v>15.4</v>
      </c>
      <c r="P2662" s="52">
        <f>IF(COUNTIF(TblPurchases[BatchID],TblOutcomes[[#This Row],[BatchID]])&lt;&gt;1,"n.a.",TblOutcomes[[#This Row],[Qty Wasted]]*SUMIFS(TblPurchases[Unit Cost (CLP)],TblPurchases[BatchID],TblOutcomes[[#This Row],[BatchID]]))</f>
        <v>0</v>
      </c>
      <c r="Q2662" s="51">
        <f>IF(COUNTIF(TblPurchases[BatchID],TblOutcomes[[#This Row],[BatchID]])&lt;&gt;1,"n.a.",SUMIFS(TblPurchases[Purchase Date],TblPurchases[BatchID],TblOutcomes[[#This Row],[BatchID]]))</f>
        <v>45541</v>
      </c>
    </row>
    <row r="2663" spans="2:17" x14ac:dyDescent="0.25">
      <c r="B2663" s="2" t="s">
        <v>3468</v>
      </c>
      <c r="C2663" s="2" t="s">
        <v>285</v>
      </c>
      <c r="D2663" s="2" t="s">
        <v>287</v>
      </c>
      <c r="E2663" s="2" t="s">
        <v>4646</v>
      </c>
      <c r="F2663" s="2">
        <v>10</v>
      </c>
      <c r="G2663" s="2">
        <v>9.34</v>
      </c>
      <c r="H2663" s="2">
        <v>0.66</v>
      </c>
      <c r="I2663" s="1">
        <v>6.6</v>
      </c>
      <c r="J2663" s="26">
        <v>45817</v>
      </c>
      <c r="K2663" s="22">
        <v>37360</v>
      </c>
      <c r="L2663" s="18">
        <v>39.96</v>
      </c>
      <c r="M2663" s="22">
        <v>28000</v>
      </c>
      <c r="N2663" s="22">
        <v>9360</v>
      </c>
      <c r="O2663" s="18">
        <v>10.01</v>
      </c>
      <c r="P2663" s="52">
        <f>IF(COUNTIF(TblPurchases[BatchID],TblOutcomes[[#This Row],[BatchID]])&lt;&gt;1,"n.a.",TblOutcomes[[#This Row],[Qty Wasted]]*SUMIFS(TblPurchases[Unit Cost (CLP)],TblPurchases[BatchID],TblOutcomes[[#This Row],[BatchID]]))</f>
        <v>1848</v>
      </c>
      <c r="Q2663" s="51">
        <f>IF(COUNTIF(TblPurchases[BatchID],TblOutcomes[[#This Row],[BatchID]])&lt;&gt;1,"n.a.",SUMIFS(TblPurchases[Purchase Date],TblPurchases[BatchID],TblOutcomes[[#This Row],[BatchID]]))</f>
        <v>45577</v>
      </c>
    </row>
    <row r="2664" spans="2:17" x14ac:dyDescent="0.25">
      <c r="B2664" s="2" t="s">
        <v>3469</v>
      </c>
      <c r="C2664" s="2" t="s">
        <v>285</v>
      </c>
      <c r="D2664" s="2" t="s">
        <v>287</v>
      </c>
      <c r="E2664" s="2" t="s">
        <v>4647</v>
      </c>
      <c r="F2664" s="2">
        <v>9</v>
      </c>
      <c r="G2664" s="2">
        <v>9</v>
      </c>
      <c r="H2664" s="2">
        <v>0</v>
      </c>
      <c r="I2664" s="1">
        <v>0</v>
      </c>
      <c r="J2664" s="26">
        <v>45656</v>
      </c>
      <c r="K2664" s="22">
        <v>36000</v>
      </c>
      <c r="L2664" s="18">
        <v>38.5</v>
      </c>
      <c r="M2664" s="22">
        <v>25200</v>
      </c>
      <c r="N2664" s="22">
        <v>10800</v>
      </c>
      <c r="O2664" s="18">
        <v>11.55</v>
      </c>
      <c r="P2664" s="52">
        <f>IF(COUNTIF(TblPurchases[BatchID],TblOutcomes[[#This Row],[BatchID]])&lt;&gt;1,"n.a.",TblOutcomes[[#This Row],[Qty Wasted]]*SUMIFS(TblPurchases[Unit Cost (CLP)],TblPurchases[BatchID],TblOutcomes[[#This Row],[BatchID]]))</f>
        <v>0</v>
      </c>
      <c r="Q2664" s="51">
        <f>IF(COUNTIF(TblPurchases[BatchID],TblOutcomes[[#This Row],[BatchID]])&lt;&gt;1,"n.a.",SUMIFS(TblPurchases[Purchase Date],TblPurchases[BatchID],TblOutcomes[[#This Row],[BatchID]]))</f>
        <v>45615</v>
      </c>
    </row>
    <row r="2665" spans="2:17" x14ac:dyDescent="0.25">
      <c r="B2665" s="2" t="s">
        <v>3470</v>
      </c>
      <c r="C2665" s="2" t="s">
        <v>285</v>
      </c>
      <c r="D2665" s="2" t="s">
        <v>287</v>
      </c>
      <c r="E2665" s="2" t="s">
        <v>4647</v>
      </c>
      <c r="F2665" s="2">
        <v>13</v>
      </c>
      <c r="G2665" s="2">
        <v>13</v>
      </c>
      <c r="H2665" s="2">
        <v>0</v>
      </c>
      <c r="I2665" s="1">
        <v>0</v>
      </c>
      <c r="J2665" s="26">
        <v>45674</v>
      </c>
      <c r="K2665" s="22">
        <v>52000</v>
      </c>
      <c r="L2665" s="18">
        <v>55.61</v>
      </c>
      <c r="M2665" s="22">
        <v>36400</v>
      </c>
      <c r="N2665" s="22">
        <v>15600</v>
      </c>
      <c r="O2665" s="18">
        <v>16.68</v>
      </c>
      <c r="P2665" s="52">
        <f>IF(COUNTIF(TblPurchases[BatchID],TblOutcomes[[#This Row],[BatchID]])&lt;&gt;1,"n.a.",TblOutcomes[[#This Row],[Qty Wasted]]*SUMIFS(TblPurchases[Unit Cost (CLP)],TblPurchases[BatchID],TblOutcomes[[#This Row],[BatchID]]))</f>
        <v>0</v>
      </c>
      <c r="Q2665" s="51">
        <f>IF(COUNTIF(TblPurchases[BatchID],TblOutcomes[[#This Row],[BatchID]])&lt;&gt;1,"n.a.",SUMIFS(TblPurchases[Purchase Date],TblPurchases[BatchID],TblOutcomes[[#This Row],[BatchID]]))</f>
        <v>45648</v>
      </c>
    </row>
    <row r="2666" spans="2:17" x14ac:dyDescent="0.25">
      <c r="B2666" s="2" t="s">
        <v>3471</v>
      </c>
      <c r="C2666" s="2" t="s">
        <v>285</v>
      </c>
      <c r="D2666" s="2" t="s">
        <v>287</v>
      </c>
      <c r="E2666" s="2" t="s">
        <v>4647</v>
      </c>
      <c r="F2666" s="2">
        <v>10</v>
      </c>
      <c r="G2666" s="2">
        <v>10</v>
      </c>
      <c r="H2666" s="2">
        <v>0</v>
      </c>
      <c r="I2666" s="1">
        <v>0</v>
      </c>
      <c r="J2666" s="26">
        <v>45721</v>
      </c>
      <c r="K2666" s="22">
        <v>40000</v>
      </c>
      <c r="L2666" s="18">
        <v>42.78</v>
      </c>
      <c r="M2666" s="22">
        <v>28000</v>
      </c>
      <c r="N2666" s="22">
        <v>12000</v>
      </c>
      <c r="O2666" s="18">
        <v>12.83</v>
      </c>
      <c r="P2666" s="52">
        <f>IF(COUNTIF(TblPurchases[BatchID],TblOutcomes[[#This Row],[BatchID]])&lt;&gt;1,"n.a.",TblOutcomes[[#This Row],[Qty Wasted]]*SUMIFS(TblPurchases[Unit Cost (CLP)],TblPurchases[BatchID],TblOutcomes[[#This Row],[BatchID]]))</f>
        <v>0</v>
      </c>
      <c r="Q2666" s="51">
        <f>IF(COUNTIF(TblPurchases[BatchID],TblOutcomes[[#This Row],[BatchID]])&lt;&gt;1,"n.a.",SUMIFS(TblPurchases[Purchase Date],TblPurchases[BatchID],TblOutcomes[[#This Row],[BatchID]]))</f>
        <v>45679</v>
      </c>
    </row>
    <row r="2667" spans="2:17" x14ac:dyDescent="0.25">
      <c r="B2667" s="2" t="s">
        <v>3472</v>
      </c>
      <c r="C2667" s="2" t="s">
        <v>285</v>
      </c>
      <c r="D2667" s="2" t="s">
        <v>287</v>
      </c>
      <c r="E2667" s="2" t="s">
        <v>4647</v>
      </c>
      <c r="F2667" s="2">
        <v>10</v>
      </c>
      <c r="G2667" s="2">
        <v>10</v>
      </c>
      <c r="H2667" s="2">
        <v>0</v>
      </c>
      <c r="I2667" s="1">
        <v>0</v>
      </c>
      <c r="J2667" s="26">
        <v>45752</v>
      </c>
      <c r="K2667" s="22">
        <v>40000</v>
      </c>
      <c r="L2667" s="18">
        <v>42.78</v>
      </c>
      <c r="M2667" s="22">
        <v>28000</v>
      </c>
      <c r="N2667" s="22">
        <v>12000</v>
      </c>
      <c r="O2667" s="18">
        <v>12.83</v>
      </c>
      <c r="P2667" s="52">
        <f>IF(COUNTIF(TblPurchases[BatchID],TblOutcomes[[#This Row],[BatchID]])&lt;&gt;1,"n.a.",TblOutcomes[[#This Row],[Qty Wasted]]*SUMIFS(TblPurchases[Unit Cost (CLP)],TblPurchases[BatchID],TblOutcomes[[#This Row],[BatchID]]))</f>
        <v>0</v>
      </c>
      <c r="Q2667" s="51">
        <f>IF(COUNTIF(TblPurchases[BatchID],TblOutcomes[[#This Row],[BatchID]])&lt;&gt;1,"n.a.",SUMIFS(TblPurchases[Purchase Date],TblPurchases[BatchID],TblOutcomes[[#This Row],[BatchID]]))</f>
        <v>45713</v>
      </c>
    </row>
    <row r="2668" spans="2:17" x14ac:dyDescent="0.25">
      <c r="B2668" s="2" t="s">
        <v>3473</v>
      </c>
      <c r="C2668" s="2" t="s">
        <v>285</v>
      </c>
      <c r="D2668" s="2" t="s">
        <v>287</v>
      </c>
      <c r="E2668" s="2" t="s">
        <v>4647</v>
      </c>
      <c r="F2668" s="2">
        <v>10</v>
      </c>
      <c r="G2668" s="2">
        <v>10</v>
      </c>
      <c r="H2668" s="2">
        <v>0</v>
      </c>
      <c r="I2668" s="1">
        <v>0</v>
      </c>
      <c r="J2668" s="26">
        <v>45771</v>
      </c>
      <c r="K2668" s="22">
        <v>40000</v>
      </c>
      <c r="L2668" s="18">
        <v>42.78</v>
      </c>
      <c r="M2668" s="22">
        <v>28000</v>
      </c>
      <c r="N2668" s="22">
        <v>12000</v>
      </c>
      <c r="O2668" s="18">
        <v>12.83</v>
      </c>
      <c r="P2668" s="52">
        <f>IF(COUNTIF(TblPurchases[BatchID],TblOutcomes[[#This Row],[BatchID]])&lt;&gt;1,"n.a.",TblOutcomes[[#This Row],[Qty Wasted]]*SUMIFS(TblPurchases[Unit Cost (CLP)],TblPurchases[BatchID],TblOutcomes[[#This Row],[BatchID]]))</f>
        <v>0</v>
      </c>
      <c r="Q2668" s="51">
        <f>IF(COUNTIF(TblPurchases[BatchID],TblOutcomes[[#This Row],[BatchID]])&lt;&gt;1,"n.a.",SUMIFS(TblPurchases[Purchase Date],TblPurchases[BatchID],TblOutcomes[[#This Row],[BatchID]]))</f>
        <v>45751</v>
      </c>
    </row>
    <row r="2669" spans="2:17" x14ac:dyDescent="0.25">
      <c r="B2669" s="2" t="s">
        <v>3474</v>
      </c>
      <c r="C2669" s="2" t="s">
        <v>285</v>
      </c>
      <c r="D2669" s="2" t="s">
        <v>287</v>
      </c>
      <c r="E2669" s="2" t="s">
        <v>4646</v>
      </c>
      <c r="F2669" s="2">
        <v>12</v>
      </c>
      <c r="G2669" s="2">
        <v>11.23</v>
      </c>
      <c r="H2669" s="2">
        <v>0.77</v>
      </c>
      <c r="I2669" s="1">
        <v>6.4</v>
      </c>
      <c r="J2669" s="26">
        <v>46031</v>
      </c>
      <c r="K2669" s="22">
        <v>44920</v>
      </c>
      <c r="L2669" s="18">
        <v>48.04</v>
      </c>
      <c r="M2669" s="22">
        <v>33600</v>
      </c>
      <c r="N2669" s="22">
        <v>11320</v>
      </c>
      <c r="O2669" s="18">
        <v>12.11</v>
      </c>
      <c r="P2669" s="52">
        <f>IF(COUNTIF(TblPurchases[BatchID],TblOutcomes[[#This Row],[BatchID]])&lt;&gt;1,"n.a.",TblOutcomes[[#This Row],[Qty Wasted]]*SUMIFS(TblPurchases[Unit Cost (CLP)],TblPurchases[BatchID],TblOutcomes[[#This Row],[BatchID]]))</f>
        <v>2156</v>
      </c>
      <c r="Q2669" s="51">
        <f>IF(COUNTIF(TblPurchases[BatchID],TblOutcomes[[#This Row],[BatchID]])&lt;&gt;1,"n.a.",SUMIFS(TblPurchases[Purchase Date],TblPurchases[BatchID],TblOutcomes[[#This Row],[BatchID]]))</f>
        <v>45791</v>
      </c>
    </row>
    <row r="2670" spans="2:17" x14ac:dyDescent="0.25">
      <c r="B2670" s="2" t="s">
        <v>3475</v>
      </c>
      <c r="C2670" s="2" t="s">
        <v>285</v>
      </c>
      <c r="D2670" s="2" t="s">
        <v>287</v>
      </c>
      <c r="E2670" s="2" t="s">
        <v>4647</v>
      </c>
      <c r="F2670" s="2">
        <v>11</v>
      </c>
      <c r="G2670" s="2">
        <v>11</v>
      </c>
      <c r="H2670" s="2">
        <v>0</v>
      </c>
      <c r="I2670" s="1">
        <v>0</v>
      </c>
      <c r="J2670" s="26">
        <v>45853</v>
      </c>
      <c r="K2670" s="22">
        <v>44000</v>
      </c>
      <c r="L2670" s="18">
        <v>47.06</v>
      </c>
      <c r="M2670" s="22">
        <v>30800</v>
      </c>
      <c r="N2670" s="22">
        <v>13200</v>
      </c>
      <c r="O2670" s="18">
        <v>14.12</v>
      </c>
      <c r="P2670" s="52">
        <f>IF(COUNTIF(TblPurchases[BatchID],TblOutcomes[[#This Row],[BatchID]])&lt;&gt;1,"n.a.",TblOutcomes[[#This Row],[Qty Wasted]]*SUMIFS(TblPurchases[Unit Cost (CLP)],TblPurchases[BatchID],TblOutcomes[[#This Row],[BatchID]]))</f>
        <v>0</v>
      </c>
      <c r="Q2670" s="51">
        <f>IF(COUNTIF(TblPurchases[BatchID],TblOutcomes[[#This Row],[BatchID]])&lt;&gt;1,"n.a.",SUMIFS(TblPurchases[Purchase Date],TblPurchases[BatchID],TblOutcomes[[#This Row],[BatchID]]))</f>
        <v>45824</v>
      </c>
    </row>
    <row r="2671" spans="2:17" x14ac:dyDescent="0.25">
      <c r="B2671" s="2" t="s">
        <v>3476</v>
      </c>
      <c r="C2671" s="2" t="s">
        <v>288</v>
      </c>
      <c r="D2671" s="2" t="s">
        <v>287</v>
      </c>
      <c r="E2671" s="2" t="s">
        <v>4646</v>
      </c>
      <c r="F2671" s="2">
        <v>9</v>
      </c>
      <c r="G2671" s="2">
        <v>8.52</v>
      </c>
      <c r="H2671" s="2">
        <v>0.48</v>
      </c>
      <c r="I2671" s="1">
        <v>5.3</v>
      </c>
      <c r="J2671" s="26">
        <v>45378</v>
      </c>
      <c r="K2671" s="22">
        <v>51120</v>
      </c>
      <c r="L2671" s="18">
        <v>54.67</v>
      </c>
      <c r="M2671" s="22">
        <v>37800</v>
      </c>
      <c r="N2671" s="22">
        <v>13320</v>
      </c>
      <c r="O2671" s="18">
        <v>14.25</v>
      </c>
      <c r="P2671" s="52">
        <f>IF(COUNTIF(TblPurchases[BatchID],TblOutcomes[[#This Row],[BatchID]])&lt;&gt;1,"n.a.",TblOutcomes[[#This Row],[Qty Wasted]]*SUMIFS(TblPurchases[Unit Cost (CLP)],TblPurchases[BatchID],TblOutcomes[[#This Row],[BatchID]]))</f>
        <v>2016</v>
      </c>
      <c r="Q2671" s="51">
        <f>IF(COUNTIF(TblPurchases[BatchID],TblOutcomes[[#This Row],[BatchID]])&lt;&gt;1,"n.a.",SUMIFS(TblPurchases[Purchase Date],TblPurchases[BatchID],TblOutcomes[[#This Row],[BatchID]]))</f>
        <v>45138</v>
      </c>
    </row>
    <row r="2672" spans="2:17" x14ac:dyDescent="0.25">
      <c r="B2672" s="2" t="s">
        <v>3477</v>
      </c>
      <c r="C2672" s="2" t="s">
        <v>288</v>
      </c>
      <c r="D2672" s="2" t="s">
        <v>287</v>
      </c>
      <c r="E2672" s="2" t="s">
        <v>4647</v>
      </c>
      <c r="F2672" s="2">
        <v>9</v>
      </c>
      <c r="G2672" s="2">
        <v>9</v>
      </c>
      <c r="H2672" s="2">
        <v>0</v>
      </c>
      <c r="I2672" s="1">
        <v>0</v>
      </c>
      <c r="J2672" s="26">
        <v>45189</v>
      </c>
      <c r="K2672" s="22">
        <v>54000</v>
      </c>
      <c r="L2672" s="18">
        <v>57.75</v>
      </c>
      <c r="M2672" s="22">
        <v>37800</v>
      </c>
      <c r="N2672" s="22">
        <v>16200</v>
      </c>
      <c r="O2672" s="18">
        <v>17.329999999999998</v>
      </c>
      <c r="P2672" s="52">
        <f>IF(COUNTIF(TblPurchases[BatchID],TblOutcomes[[#This Row],[BatchID]])&lt;&gt;1,"n.a.",TblOutcomes[[#This Row],[Qty Wasted]]*SUMIFS(TblPurchases[Unit Cost (CLP)],TblPurchases[BatchID],TblOutcomes[[#This Row],[BatchID]]))</f>
        <v>0</v>
      </c>
      <c r="Q2672" s="51">
        <f>IF(COUNTIF(TblPurchases[BatchID],TblOutcomes[[#This Row],[BatchID]])&lt;&gt;1,"n.a.",SUMIFS(TblPurchases[Purchase Date],TblPurchases[BatchID],TblOutcomes[[#This Row],[BatchID]]))</f>
        <v>45164</v>
      </c>
    </row>
    <row r="2673" spans="2:17" x14ac:dyDescent="0.25">
      <c r="B2673" s="2" t="s">
        <v>3478</v>
      </c>
      <c r="C2673" s="2" t="s">
        <v>288</v>
      </c>
      <c r="D2673" s="2" t="s">
        <v>287</v>
      </c>
      <c r="E2673" s="2" t="s">
        <v>4646</v>
      </c>
      <c r="F2673" s="2">
        <v>12</v>
      </c>
      <c r="G2673" s="2">
        <v>11.36</v>
      </c>
      <c r="H2673" s="2">
        <v>0.64</v>
      </c>
      <c r="I2673" s="1">
        <v>5.3</v>
      </c>
      <c r="J2673" s="26">
        <v>45436</v>
      </c>
      <c r="K2673" s="22">
        <v>68160</v>
      </c>
      <c r="L2673" s="18">
        <v>72.900000000000006</v>
      </c>
      <c r="M2673" s="22">
        <v>50400</v>
      </c>
      <c r="N2673" s="22">
        <v>17760</v>
      </c>
      <c r="O2673" s="18">
        <v>18.989999999999998</v>
      </c>
      <c r="P2673" s="52">
        <f>IF(COUNTIF(TblPurchases[BatchID],TblOutcomes[[#This Row],[BatchID]])&lt;&gt;1,"n.a.",TblOutcomes[[#This Row],[Qty Wasted]]*SUMIFS(TblPurchases[Unit Cost (CLP)],TblPurchases[BatchID],TblOutcomes[[#This Row],[BatchID]]))</f>
        <v>2688</v>
      </c>
      <c r="Q2673" s="51">
        <f>IF(COUNTIF(TblPurchases[BatchID],TblOutcomes[[#This Row],[BatchID]])&lt;&gt;1,"n.a.",SUMIFS(TblPurchases[Purchase Date],TblPurchases[BatchID],TblOutcomes[[#This Row],[BatchID]]))</f>
        <v>45196</v>
      </c>
    </row>
    <row r="2674" spans="2:17" x14ac:dyDescent="0.25">
      <c r="B2674" s="2" t="s">
        <v>3479</v>
      </c>
      <c r="C2674" s="2" t="s">
        <v>288</v>
      </c>
      <c r="D2674" s="2" t="s">
        <v>287</v>
      </c>
      <c r="E2674" s="2" t="s">
        <v>4646</v>
      </c>
      <c r="F2674" s="2">
        <v>10</v>
      </c>
      <c r="G2674" s="2">
        <v>9.3699999999999992</v>
      </c>
      <c r="H2674" s="2">
        <v>0.63</v>
      </c>
      <c r="I2674" s="1">
        <v>6.3</v>
      </c>
      <c r="J2674" s="26">
        <v>45475</v>
      </c>
      <c r="K2674" s="22">
        <v>56220</v>
      </c>
      <c r="L2674" s="18">
        <v>60.13</v>
      </c>
      <c r="M2674" s="22">
        <v>42000</v>
      </c>
      <c r="N2674" s="22">
        <v>14220</v>
      </c>
      <c r="O2674" s="18">
        <v>15.21</v>
      </c>
      <c r="P2674" s="52">
        <f>IF(COUNTIF(TblPurchases[BatchID],TblOutcomes[[#This Row],[BatchID]])&lt;&gt;1,"n.a.",TblOutcomes[[#This Row],[Qty Wasted]]*SUMIFS(TblPurchases[Unit Cost (CLP)],TblPurchases[BatchID],TblOutcomes[[#This Row],[BatchID]]))</f>
        <v>2646</v>
      </c>
      <c r="Q2674" s="51">
        <f>IF(COUNTIF(TblPurchases[BatchID],TblOutcomes[[#This Row],[BatchID]])&lt;&gt;1,"n.a.",SUMIFS(TblPurchases[Purchase Date],TblPurchases[BatchID],TblOutcomes[[#This Row],[BatchID]]))</f>
        <v>45235</v>
      </c>
    </row>
    <row r="2675" spans="2:17" x14ac:dyDescent="0.25">
      <c r="B2675" s="2" t="s">
        <v>3480</v>
      </c>
      <c r="C2675" s="2" t="s">
        <v>288</v>
      </c>
      <c r="D2675" s="2" t="s">
        <v>287</v>
      </c>
      <c r="E2675" s="2" t="s">
        <v>4647</v>
      </c>
      <c r="F2675" s="2">
        <v>15</v>
      </c>
      <c r="G2675" s="2">
        <v>15</v>
      </c>
      <c r="H2675" s="2">
        <v>0</v>
      </c>
      <c r="I2675" s="1">
        <v>0</v>
      </c>
      <c r="J2675" s="26">
        <v>45292</v>
      </c>
      <c r="K2675" s="22">
        <v>90000</v>
      </c>
      <c r="L2675" s="18">
        <v>96.26</v>
      </c>
      <c r="M2675" s="22">
        <v>63000</v>
      </c>
      <c r="N2675" s="22">
        <v>27000</v>
      </c>
      <c r="O2675" s="18">
        <v>28.88</v>
      </c>
      <c r="P2675" s="52">
        <f>IF(COUNTIF(TblPurchases[BatchID],TblOutcomes[[#This Row],[BatchID]])&lt;&gt;1,"n.a.",TblOutcomes[[#This Row],[Qty Wasted]]*SUMIFS(TblPurchases[Unit Cost (CLP)],TblPurchases[BatchID],TblOutcomes[[#This Row],[BatchID]]))</f>
        <v>0</v>
      </c>
      <c r="Q2675" s="51">
        <f>IF(COUNTIF(TblPurchases[BatchID],TblOutcomes[[#This Row],[BatchID]])&lt;&gt;1,"n.a.",SUMIFS(TblPurchases[Purchase Date],TblPurchases[BatchID],TblOutcomes[[#This Row],[BatchID]]))</f>
        <v>45268</v>
      </c>
    </row>
    <row r="2676" spans="2:17" x14ac:dyDescent="0.25">
      <c r="B2676" s="2" t="s">
        <v>3481</v>
      </c>
      <c r="C2676" s="2" t="s">
        <v>288</v>
      </c>
      <c r="D2676" s="2" t="s">
        <v>287</v>
      </c>
      <c r="E2676" s="2" t="s">
        <v>4647</v>
      </c>
      <c r="F2676" s="2">
        <v>10</v>
      </c>
      <c r="G2676" s="2">
        <v>10</v>
      </c>
      <c r="H2676" s="2">
        <v>0</v>
      </c>
      <c r="I2676" s="1">
        <v>0</v>
      </c>
      <c r="J2676" s="26">
        <v>45313</v>
      </c>
      <c r="K2676" s="22">
        <v>60000</v>
      </c>
      <c r="L2676" s="18">
        <v>64.17</v>
      </c>
      <c r="M2676" s="22">
        <v>42000</v>
      </c>
      <c r="N2676" s="22">
        <v>18000</v>
      </c>
      <c r="O2676" s="18">
        <v>19.25</v>
      </c>
      <c r="P2676" s="52">
        <f>IF(COUNTIF(TblPurchases[BatchID],TblOutcomes[[#This Row],[BatchID]])&lt;&gt;1,"n.a.",TblOutcomes[[#This Row],[Qty Wasted]]*SUMIFS(TblPurchases[Unit Cost (CLP)],TblPurchases[BatchID],TblOutcomes[[#This Row],[BatchID]]))</f>
        <v>0</v>
      </c>
      <c r="Q2676" s="51">
        <f>IF(COUNTIF(TblPurchases[BatchID],TblOutcomes[[#This Row],[BatchID]])&lt;&gt;1,"n.a.",SUMIFS(TblPurchases[Purchase Date],TblPurchases[BatchID],TblOutcomes[[#This Row],[BatchID]]))</f>
        <v>45293</v>
      </c>
    </row>
    <row r="2677" spans="2:17" x14ac:dyDescent="0.25">
      <c r="B2677" s="2" t="s">
        <v>3482</v>
      </c>
      <c r="C2677" s="2" t="s">
        <v>288</v>
      </c>
      <c r="D2677" s="2" t="s">
        <v>287</v>
      </c>
      <c r="E2677" s="2" t="s">
        <v>4647</v>
      </c>
      <c r="F2677" s="2">
        <v>11</v>
      </c>
      <c r="G2677" s="2">
        <v>11</v>
      </c>
      <c r="H2677" s="2">
        <v>0</v>
      </c>
      <c r="I2677" s="1">
        <v>0</v>
      </c>
      <c r="J2677" s="26">
        <v>45332</v>
      </c>
      <c r="K2677" s="22">
        <v>66000</v>
      </c>
      <c r="L2677" s="18">
        <v>70.59</v>
      </c>
      <c r="M2677" s="22">
        <v>46200</v>
      </c>
      <c r="N2677" s="22">
        <v>19800</v>
      </c>
      <c r="O2677" s="18">
        <v>21.18</v>
      </c>
      <c r="P2677" s="52">
        <f>IF(COUNTIF(TblPurchases[BatchID],TblOutcomes[[#This Row],[BatchID]])&lt;&gt;1,"n.a.",TblOutcomes[[#This Row],[Qty Wasted]]*SUMIFS(TblPurchases[Unit Cost (CLP)],TblPurchases[BatchID],TblOutcomes[[#This Row],[BatchID]]))</f>
        <v>0</v>
      </c>
      <c r="Q2677" s="51">
        <f>IF(COUNTIF(TblPurchases[BatchID],TblOutcomes[[#This Row],[BatchID]])&lt;&gt;1,"n.a.",SUMIFS(TblPurchases[Purchase Date],TblPurchases[BatchID],TblOutcomes[[#This Row],[BatchID]]))</f>
        <v>45330</v>
      </c>
    </row>
    <row r="2678" spans="2:17" x14ac:dyDescent="0.25">
      <c r="B2678" s="2" t="s">
        <v>3483</v>
      </c>
      <c r="C2678" s="2" t="s">
        <v>288</v>
      </c>
      <c r="D2678" s="2" t="s">
        <v>287</v>
      </c>
      <c r="E2678" s="2" t="s">
        <v>4646</v>
      </c>
      <c r="F2678" s="2">
        <v>9</v>
      </c>
      <c r="G2678" s="2">
        <v>8.6300000000000008</v>
      </c>
      <c r="H2678" s="2">
        <v>0.37</v>
      </c>
      <c r="I2678" s="1">
        <v>4.0999999999999996</v>
      </c>
      <c r="J2678" s="26">
        <v>45609</v>
      </c>
      <c r="K2678" s="22">
        <v>51780</v>
      </c>
      <c r="L2678" s="18">
        <v>55.38</v>
      </c>
      <c r="M2678" s="22">
        <v>37800</v>
      </c>
      <c r="N2678" s="22">
        <v>13980</v>
      </c>
      <c r="O2678" s="18">
        <v>14.95</v>
      </c>
      <c r="P2678" s="52">
        <f>IF(COUNTIF(TblPurchases[BatchID],TblOutcomes[[#This Row],[BatchID]])&lt;&gt;1,"n.a.",TblOutcomes[[#This Row],[Qty Wasted]]*SUMIFS(TblPurchases[Unit Cost (CLP)],TblPurchases[BatchID],TblOutcomes[[#This Row],[BatchID]]))</f>
        <v>1554</v>
      </c>
      <c r="Q2678" s="51">
        <f>IF(COUNTIF(TblPurchases[BatchID],TblOutcomes[[#This Row],[BatchID]])&lt;&gt;1,"n.a.",SUMIFS(TblPurchases[Purchase Date],TblPurchases[BatchID],TblOutcomes[[#This Row],[BatchID]]))</f>
        <v>45369</v>
      </c>
    </row>
    <row r="2679" spans="2:17" x14ac:dyDescent="0.25">
      <c r="B2679" s="2" t="s">
        <v>3484</v>
      </c>
      <c r="C2679" s="2" t="s">
        <v>288</v>
      </c>
      <c r="D2679" s="2" t="s">
        <v>287</v>
      </c>
      <c r="E2679" s="2" t="s">
        <v>4647</v>
      </c>
      <c r="F2679" s="2">
        <v>11</v>
      </c>
      <c r="G2679" s="2">
        <v>11</v>
      </c>
      <c r="H2679" s="2">
        <v>0</v>
      </c>
      <c r="I2679" s="1">
        <v>0</v>
      </c>
      <c r="J2679" s="26">
        <v>45428</v>
      </c>
      <c r="K2679" s="22">
        <v>66000</v>
      </c>
      <c r="L2679" s="18">
        <v>70.59</v>
      </c>
      <c r="M2679" s="22">
        <v>46200</v>
      </c>
      <c r="N2679" s="22">
        <v>19800</v>
      </c>
      <c r="O2679" s="18">
        <v>21.18</v>
      </c>
      <c r="P2679" s="52">
        <f>IF(COUNTIF(TblPurchases[BatchID],TblOutcomes[[#This Row],[BatchID]])&lt;&gt;1,"n.a.",TblOutcomes[[#This Row],[Qty Wasted]]*SUMIFS(TblPurchases[Unit Cost (CLP)],TblPurchases[BatchID],TblOutcomes[[#This Row],[BatchID]]))</f>
        <v>0</v>
      </c>
      <c r="Q2679" s="51">
        <f>IF(COUNTIF(TblPurchases[BatchID],TblOutcomes[[#This Row],[BatchID]])&lt;&gt;1,"n.a.",SUMIFS(TblPurchases[Purchase Date],TblPurchases[BatchID],TblOutcomes[[#This Row],[BatchID]]))</f>
        <v>45399</v>
      </c>
    </row>
    <row r="2680" spans="2:17" x14ac:dyDescent="0.25">
      <c r="B2680" s="2" t="s">
        <v>3485</v>
      </c>
      <c r="C2680" s="2" t="s">
        <v>288</v>
      </c>
      <c r="D2680" s="2" t="s">
        <v>287</v>
      </c>
      <c r="E2680" s="2" t="s">
        <v>4646</v>
      </c>
      <c r="F2680" s="2">
        <v>11</v>
      </c>
      <c r="G2680" s="2">
        <v>10.57</v>
      </c>
      <c r="H2680" s="2">
        <v>0.43</v>
      </c>
      <c r="I2680" s="1">
        <v>3.9</v>
      </c>
      <c r="J2680" s="26">
        <v>45672</v>
      </c>
      <c r="K2680" s="22">
        <v>63420</v>
      </c>
      <c r="L2680" s="18">
        <v>67.83</v>
      </c>
      <c r="M2680" s="22">
        <v>46200</v>
      </c>
      <c r="N2680" s="22">
        <v>17220</v>
      </c>
      <c r="O2680" s="18">
        <v>18.420000000000002</v>
      </c>
      <c r="P2680" s="52">
        <f>IF(COUNTIF(TblPurchases[BatchID],TblOutcomes[[#This Row],[BatchID]])&lt;&gt;1,"n.a.",TblOutcomes[[#This Row],[Qty Wasted]]*SUMIFS(TblPurchases[Unit Cost (CLP)],TblPurchases[BatchID],TblOutcomes[[#This Row],[BatchID]]))</f>
        <v>1806</v>
      </c>
      <c r="Q2680" s="51">
        <f>IF(COUNTIF(TblPurchases[BatchID],TblOutcomes[[#This Row],[BatchID]])&lt;&gt;1,"n.a.",SUMIFS(TblPurchases[Purchase Date],TblPurchases[BatchID],TblOutcomes[[#This Row],[BatchID]]))</f>
        <v>45432</v>
      </c>
    </row>
    <row r="2681" spans="2:17" x14ac:dyDescent="0.25">
      <c r="B2681" s="2" t="s">
        <v>3486</v>
      </c>
      <c r="C2681" s="2" t="s">
        <v>288</v>
      </c>
      <c r="D2681" s="2" t="s">
        <v>287</v>
      </c>
      <c r="E2681" s="2" t="s">
        <v>4646</v>
      </c>
      <c r="F2681" s="2">
        <v>11</v>
      </c>
      <c r="G2681" s="2">
        <v>10.42</v>
      </c>
      <c r="H2681" s="2">
        <v>0.57999999999999996</v>
      </c>
      <c r="I2681" s="1">
        <v>5.3</v>
      </c>
      <c r="J2681" s="26">
        <v>45703</v>
      </c>
      <c r="K2681" s="22">
        <v>62520</v>
      </c>
      <c r="L2681" s="18">
        <v>66.87</v>
      </c>
      <c r="M2681" s="22">
        <v>46200</v>
      </c>
      <c r="N2681" s="22">
        <v>16320</v>
      </c>
      <c r="O2681" s="18">
        <v>17.45</v>
      </c>
      <c r="P2681" s="52">
        <f>IF(COUNTIF(TblPurchases[BatchID],TblOutcomes[[#This Row],[BatchID]])&lt;&gt;1,"n.a.",TblOutcomes[[#This Row],[Qty Wasted]]*SUMIFS(TblPurchases[Unit Cost (CLP)],TblPurchases[BatchID],TblOutcomes[[#This Row],[BatchID]]))</f>
        <v>2436</v>
      </c>
      <c r="Q2681" s="51">
        <f>IF(COUNTIF(TblPurchases[BatchID],TblOutcomes[[#This Row],[BatchID]])&lt;&gt;1,"n.a.",SUMIFS(TblPurchases[Purchase Date],TblPurchases[BatchID],TblOutcomes[[#This Row],[BatchID]]))</f>
        <v>45463</v>
      </c>
    </row>
    <row r="2682" spans="2:17" x14ac:dyDescent="0.25">
      <c r="B2682" s="2" t="s">
        <v>3487</v>
      </c>
      <c r="C2682" s="2" t="s">
        <v>288</v>
      </c>
      <c r="D2682" s="2" t="s">
        <v>287</v>
      </c>
      <c r="E2682" s="2" t="s">
        <v>4647</v>
      </c>
      <c r="F2682" s="2">
        <v>11</v>
      </c>
      <c r="G2682" s="2">
        <v>11</v>
      </c>
      <c r="H2682" s="2">
        <v>0</v>
      </c>
      <c r="I2682" s="1">
        <v>0</v>
      </c>
      <c r="J2682" s="26">
        <v>45534</v>
      </c>
      <c r="K2682" s="22">
        <v>66000</v>
      </c>
      <c r="L2682" s="18">
        <v>70.59</v>
      </c>
      <c r="M2682" s="22">
        <v>46200</v>
      </c>
      <c r="N2682" s="22">
        <v>19800</v>
      </c>
      <c r="O2682" s="18">
        <v>21.18</v>
      </c>
      <c r="P2682" s="52">
        <f>IF(COUNTIF(TblPurchases[BatchID],TblOutcomes[[#This Row],[BatchID]])&lt;&gt;1,"n.a.",TblOutcomes[[#This Row],[Qty Wasted]]*SUMIFS(TblPurchases[Unit Cost (CLP)],TblPurchases[BatchID],TblOutcomes[[#This Row],[BatchID]]))</f>
        <v>0</v>
      </c>
      <c r="Q2682" s="51">
        <f>IF(COUNTIF(TblPurchases[BatchID],TblOutcomes[[#This Row],[BatchID]])&lt;&gt;1,"n.a.",SUMIFS(TblPurchases[Purchase Date],TblPurchases[BatchID],TblOutcomes[[#This Row],[BatchID]]))</f>
        <v>45501</v>
      </c>
    </row>
    <row r="2683" spans="2:17" x14ac:dyDescent="0.25">
      <c r="B2683" s="2" t="s">
        <v>3488</v>
      </c>
      <c r="C2683" s="2" t="s">
        <v>288</v>
      </c>
      <c r="D2683" s="2" t="s">
        <v>287</v>
      </c>
      <c r="E2683" s="2" t="s">
        <v>4646</v>
      </c>
      <c r="F2683" s="2">
        <v>10</v>
      </c>
      <c r="G2683" s="2">
        <v>9.56</v>
      </c>
      <c r="H2683" s="2">
        <v>0.44</v>
      </c>
      <c r="I2683" s="1">
        <v>4.4000000000000004</v>
      </c>
      <c r="J2683" s="26">
        <v>45768</v>
      </c>
      <c r="K2683" s="22">
        <v>57360</v>
      </c>
      <c r="L2683" s="18">
        <v>61.35</v>
      </c>
      <c r="M2683" s="22">
        <v>42000</v>
      </c>
      <c r="N2683" s="22">
        <v>15360</v>
      </c>
      <c r="O2683" s="18">
        <v>16.43</v>
      </c>
      <c r="P2683" s="52">
        <f>IF(COUNTIF(TblPurchases[BatchID],TblOutcomes[[#This Row],[BatchID]])&lt;&gt;1,"n.a.",TblOutcomes[[#This Row],[Qty Wasted]]*SUMIFS(TblPurchases[Unit Cost (CLP)],TblPurchases[BatchID],TblOutcomes[[#This Row],[BatchID]]))</f>
        <v>1848</v>
      </c>
      <c r="Q2683" s="51">
        <f>IF(COUNTIF(TblPurchases[BatchID],TblOutcomes[[#This Row],[BatchID]])&lt;&gt;1,"n.a.",SUMIFS(TblPurchases[Purchase Date],TblPurchases[BatchID],TblOutcomes[[#This Row],[BatchID]]))</f>
        <v>45528</v>
      </c>
    </row>
    <row r="2684" spans="2:17" x14ac:dyDescent="0.25">
      <c r="B2684" s="2" t="s">
        <v>3489</v>
      </c>
      <c r="C2684" s="2" t="s">
        <v>288</v>
      </c>
      <c r="D2684" s="2" t="s">
        <v>287</v>
      </c>
      <c r="E2684" s="2" t="s">
        <v>4647</v>
      </c>
      <c r="F2684" s="2">
        <v>10</v>
      </c>
      <c r="G2684" s="2">
        <v>10</v>
      </c>
      <c r="H2684" s="2">
        <v>0</v>
      </c>
      <c r="I2684" s="1">
        <v>0</v>
      </c>
      <c r="J2684" s="26">
        <v>45591</v>
      </c>
      <c r="K2684" s="22">
        <v>60000</v>
      </c>
      <c r="L2684" s="18">
        <v>64.17</v>
      </c>
      <c r="M2684" s="22">
        <v>42000</v>
      </c>
      <c r="N2684" s="22">
        <v>18000</v>
      </c>
      <c r="O2684" s="18">
        <v>19.25</v>
      </c>
      <c r="P2684" s="52">
        <f>IF(COUNTIF(TblPurchases[BatchID],TblOutcomes[[#This Row],[BatchID]])&lt;&gt;1,"n.a.",TblOutcomes[[#This Row],[Qty Wasted]]*SUMIFS(TblPurchases[Unit Cost (CLP)],TblPurchases[BatchID],TblOutcomes[[#This Row],[BatchID]]))</f>
        <v>0</v>
      </c>
      <c r="Q2684" s="51">
        <f>IF(COUNTIF(TblPurchases[BatchID],TblOutcomes[[#This Row],[BatchID]])&lt;&gt;1,"n.a.",SUMIFS(TblPurchases[Purchase Date],TblPurchases[BatchID],TblOutcomes[[#This Row],[BatchID]]))</f>
        <v>45567</v>
      </c>
    </row>
    <row r="2685" spans="2:17" x14ac:dyDescent="0.25">
      <c r="B2685" s="2" t="s">
        <v>3490</v>
      </c>
      <c r="C2685" s="2" t="s">
        <v>288</v>
      </c>
      <c r="D2685" s="2" t="s">
        <v>287</v>
      </c>
      <c r="E2685" s="2" t="s">
        <v>4647</v>
      </c>
      <c r="F2685" s="2">
        <v>9</v>
      </c>
      <c r="G2685" s="2">
        <v>9</v>
      </c>
      <c r="H2685" s="2">
        <v>0</v>
      </c>
      <c r="I2685" s="1">
        <v>0</v>
      </c>
      <c r="J2685" s="26">
        <v>45644</v>
      </c>
      <c r="K2685" s="22">
        <v>54000</v>
      </c>
      <c r="L2685" s="18">
        <v>57.75</v>
      </c>
      <c r="M2685" s="22">
        <v>37800</v>
      </c>
      <c r="N2685" s="22">
        <v>16200</v>
      </c>
      <c r="O2685" s="18">
        <v>17.329999999999998</v>
      </c>
      <c r="P2685" s="52">
        <f>IF(COUNTIF(TblPurchases[BatchID],TblOutcomes[[#This Row],[BatchID]])&lt;&gt;1,"n.a.",TblOutcomes[[#This Row],[Qty Wasted]]*SUMIFS(TblPurchases[Unit Cost (CLP)],TblPurchases[BatchID],TblOutcomes[[#This Row],[BatchID]]))</f>
        <v>0</v>
      </c>
      <c r="Q2685" s="51">
        <f>IF(COUNTIF(TblPurchases[BatchID],TblOutcomes[[#This Row],[BatchID]])&lt;&gt;1,"n.a.",SUMIFS(TblPurchases[Purchase Date],TblPurchases[BatchID],TblOutcomes[[#This Row],[BatchID]]))</f>
        <v>45605</v>
      </c>
    </row>
    <row r="2686" spans="2:17" x14ac:dyDescent="0.25">
      <c r="B2686" s="2" t="s">
        <v>3491</v>
      </c>
      <c r="C2686" s="2" t="s">
        <v>288</v>
      </c>
      <c r="D2686" s="2" t="s">
        <v>287</v>
      </c>
      <c r="E2686" s="2" t="s">
        <v>4647</v>
      </c>
      <c r="F2686" s="2">
        <v>15</v>
      </c>
      <c r="G2686" s="2">
        <v>15</v>
      </c>
      <c r="H2686" s="2">
        <v>0</v>
      </c>
      <c r="I2686" s="1">
        <v>0</v>
      </c>
      <c r="J2686" s="26">
        <v>45662</v>
      </c>
      <c r="K2686" s="22">
        <v>90000</v>
      </c>
      <c r="L2686" s="18">
        <v>96.26</v>
      </c>
      <c r="M2686" s="22">
        <v>63000</v>
      </c>
      <c r="N2686" s="22">
        <v>27000</v>
      </c>
      <c r="O2686" s="18">
        <v>28.88</v>
      </c>
      <c r="P2686" s="52">
        <f>IF(COUNTIF(TblPurchases[BatchID],TblOutcomes[[#This Row],[BatchID]])&lt;&gt;1,"n.a.",TblOutcomes[[#This Row],[Qty Wasted]]*SUMIFS(TblPurchases[Unit Cost (CLP)],TblPurchases[BatchID],TblOutcomes[[#This Row],[BatchID]]))</f>
        <v>0</v>
      </c>
      <c r="Q2686" s="51">
        <f>IF(COUNTIF(TblPurchases[BatchID],TblOutcomes[[#This Row],[BatchID]])&lt;&gt;1,"n.a.",SUMIFS(TblPurchases[Purchase Date],TblPurchases[BatchID],TblOutcomes[[#This Row],[BatchID]]))</f>
        <v>45627</v>
      </c>
    </row>
    <row r="2687" spans="2:17" x14ac:dyDescent="0.25">
      <c r="B2687" s="2" t="s">
        <v>3492</v>
      </c>
      <c r="C2687" s="2" t="s">
        <v>288</v>
      </c>
      <c r="D2687" s="2" t="s">
        <v>287</v>
      </c>
      <c r="E2687" s="2" t="s">
        <v>4647</v>
      </c>
      <c r="F2687" s="2">
        <v>12</v>
      </c>
      <c r="G2687" s="2">
        <v>12</v>
      </c>
      <c r="H2687" s="2">
        <v>0</v>
      </c>
      <c r="I2687" s="1">
        <v>0</v>
      </c>
      <c r="J2687" s="26">
        <v>45678</v>
      </c>
      <c r="K2687" s="22">
        <v>72000</v>
      </c>
      <c r="L2687" s="18">
        <v>77.010000000000005</v>
      </c>
      <c r="M2687" s="22">
        <v>50400</v>
      </c>
      <c r="N2687" s="22">
        <v>21600</v>
      </c>
      <c r="O2687" s="18">
        <v>23.1</v>
      </c>
      <c r="P2687" s="52">
        <f>IF(COUNTIF(TblPurchases[BatchID],TblOutcomes[[#This Row],[BatchID]])&lt;&gt;1,"n.a.",TblOutcomes[[#This Row],[Qty Wasted]]*SUMIFS(TblPurchases[Unit Cost (CLP)],TblPurchases[BatchID],TblOutcomes[[#This Row],[BatchID]]))</f>
        <v>0</v>
      </c>
      <c r="Q2687" s="51">
        <f>IF(COUNTIF(TblPurchases[BatchID],TblOutcomes[[#This Row],[BatchID]])&lt;&gt;1,"n.a.",SUMIFS(TblPurchases[Purchase Date],TblPurchases[BatchID],TblOutcomes[[#This Row],[BatchID]]))</f>
        <v>45655</v>
      </c>
    </row>
    <row r="2688" spans="2:17" x14ac:dyDescent="0.25">
      <c r="B2688" s="2" t="s">
        <v>3493</v>
      </c>
      <c r="C2688" s="2" t="s">
        <v>288</v>
      </c>
      <c r="D2688" s="2" t="s">
        <v>287</v>
      </c>
      <c r="E2688" s="2" t="s">
        <v>4647</v>
      </c>
      <c r="F2688" s="2">
        <v>11</v>
      </c>
      <c r="G2688" s="2">
        <v>11</v>
      </c>
      <c r="H2688" s="2">
        <v>0</v>
      </c>
      <c r="I2688" s="1">
        <v>0</v>
      </c>
      <c r="J2688" s="26">
        <v>45722</v>
      </c>
      <c r="K2688" s="22">
        <v>66000</v>
      </c>
      <c r="L2688" s="18">
        <v>70.59</v>
      </c>
      <c r="M2688" s="22">
        <v>46200</v>
      </c>
      <c r="N2688" s="22">
        <v>19800</v>
      </c>
      <c r="O2688" s="18">
        <v>21.18</v>
      </c>
      <c r="P2688" s="52">
        <f>IF(COUNTIF(TblPurchases[BatchID],TblOutcomes[[#This Row],[BatchID]])&lt;&gt;1,"n.a.",TblOutcomes[[#This Row],[Qty Wasted]]*SUMIFS(TblPurchases[Unit Cost (CLP)],TblPurchases[BatchID],TblOutcomes[[#This Row],[BatchID]]))</f>
        <v>0</v>
      </c>
      <c r="Q2688" s="51">
        <f>IF(COUNTIF(TblPurchases[BatchID],TblOutcomes[[#This Row],[BatchID]])&lt;&gt;1,"n.a.",SUMIFS(TblPurchases[Purchase Date],TblPurchases[BatchID],TblOutcomes[[#This Row],[BatchID]]))</f>
        <v>45699</v>
      </c>
    </row>
    <row r="2689" spans="2:17" x14ac:dyDescent="0.25">
      <c r="B2689" s="2" t="s">
        <v>3494</v>
      </c>
      <c r="C2689" s="2" t="s">
        <v>288</v>
      </c>
      <c r="D2689" s="2" t="s">
        <v>287</v>
      </c>
      <c r="E2689" s="2" t="s">
        <v>4647</v>
      </c>
      <c r="F2689" s="2">
        <v>12</v>
      </c>
      <c r="G2689" s="2">
        <v>12</v>
      </c>
      <c r="H2689" s="2">
        <v>0</v>
      </c>
      <c r="I2689" s="1">
        <v>0</v>
      </c>
      <c r="J2689" s="26">
        <v>45750</v>
      </c>
      <c r="K2689" s="22">
        <v>72000</v>
      </c>
      <c r="L2689" s="18">
        <v>77.010000000000005</v>
      </c>
      <c r="M2689" s="22">
        <v>50400</v>
      </c>
      <c r="N2689" s="22">
        <v>21600</v>
      </c>
      <c r="O2689" s="18">
        <v>23.1</v>
      </c>
      <c r="P2689" s="52">
        <f>IF(COUNTIF(TblPurchases[BatchID],TblOutcomes[[#This Row],[BatchID]])&lt;&gt;1,"n.a.",TblOutcomes[[#This Row],[Qty Wasted]]*SUMIFS(TblPurchases[Unit Cost (CLP)],TblPurchases[BatchID],TblOutcomes[[#This Row],[BatchID]]))</f>
        <v>0</v>
      </c>
      <c r="Q2689" s="51">
        <f>IF(COUNTIF(TblPurchases[BatchID],TblOutcomes[[#This Row],[BatchID]])&lt;&gt;1,"n.a.",SUMIFS(TblPurchases[Purchase Date],TblPurchases[BatchID],TblOutcomes[[#This Row],[BatchID]]))</f>
        <v>45725</v>
      </c>
    </row>
    <row r="2690" spans="2:17" x14ac:dyDescent="0.25">
      <c r="B2690" s="2" t="s">
        <v>3495</v>
      </c>
      <c r="C2690" s="2" t="s">
        <v>288</v>
      </c>
      <c r="D2690" s="2" t="s">
        <v>287</v>
      </c>
      <c r="E2690" s="2" t="s">
        <v>4647</v>
      </c>
      <c r="F2690" s="2">
        <v>11</v>
      </c>
      <c r="G2690" s="2">
        <v>11</v>
      </c>
      <c r="H2690" s="2">
        <v>0</v>
      </c>
      <c r="I2690" s="1">
        <v>0</v>
      </c>
      <c r="J2690" s="26">
        <v>45773</v>
      </c>
      <c r="K2690" s="22">
        <v>66000</v>
      </c>
      <c r="L2690" s="18">
        <v>70.59</v>
      </c>
      <c r="M2690" s="22">
        <v>46200</v>
      </c>
      <c r="N2690" s="22">
        <v>19800</v>
      </c>
      <c r="O2690" s="18">
        <v>21.18</v>
      </c>
      <c r="P2690" s="52">
        <f>IF(COUNTIF(TblPurchases[BatchID],TblOutcomes[[#This Row],[BatchID]])&lt;&gt;1,"n.a.",TblOutcomes[[#This Row],[Qty Wasted]]*SUMIFS(TblPurchases[Unit Cost (CLP)],TblPurchases[BatchID],TblOutcomes[[#This Row],[BatchID]]))</f>
        <v>0</v>
      </c>
      <c r="Q2690" s="51">
        <f>IF(COUNTIF(TblPurchases[BatchID],TblOutcomes[[#This Row],[BatchID]])&lt;&gt;1,"n.a.",SUMIFS(TblPurchases[Purchase Date],TblPurchases[BatchID],TblOutcomes[[#This Row],[BatchID]]))</f>
        <v>45759</v>
      </c>
    </row>
    <row r="2691" spans="2:17" x14ac:dyDescent="0.25">
      <c r="B2691" s="2" t="s">
        <v>3496</v>
      </c>
      <c r="C2691" s="2" t="s">
        <v>288</v>
      </c>
      <c r="D2691" s="2" t="s">
        <v>287</v>
      </c>
      <c r="E2691" s="2" t="s">
        <v>4647</v>
      </c>
      <c r="F2691" s="2">
        <v>10</v>
      </c>
      <c r="G2691" s="2">
        <v>10</v>
      </c>
      <c r="H2691" s="2">
        <v>0</v>
      </c>
      <c r="I2691" s="1">
        <v>0</v>
      </c>
      <c r="J2691" s="26">
        <v>45831</v>
      </c>
      <c r="K2691" s="22">
        <v>60000</v>
      </c>
      <c r="L2691" s="18">
        <v>64.17</v>
      </c>
      <c r="M2691" s="22">
        <v>42000</v>
      </c>
      <c r="N2691" s="22">
        <v>18000</v>
      </c>
      <c r="O2691" s="18">
        <v>19.25</v>
      </c>
      <c r="P2691" s="52">
        <f>IF(COUNTIF(TblPurchases[BatchID],TblOutcomes[[#This Row],[BatchID]])&lt;&gt;1,"n.a.",TblOutcomes[[#This Row],[Qty Wasted]]*SUMIFS(TblPurchases[Unit Cost (CLP)],TblPurchases[BatchID],TblOutcomes[[#This Row],[BatchID]]))</f>
        <v>0</v>
      </c>
      <c r="Q2691" s="51">
        <f>IF(COUNTIF(TblPurchases[BatchID],TblOutcomes[[#This Row],[BatchID]])&lt;&gt;1,"n.a.",SUMIFS(TblPurchases[Purchase Date],TblPurchases[BatchID],TblOutcomes[[#This Row],[BatchID]]))</f>
        <v>45796</v>
      </c>
    </row>
    <row r="2692" spans="2:17" x14ac:dyDescent="0.25">
      <c r="B2692" s="2" t="s">
        <v>3497</v>
      </c>
      <c r="C2692" s="2" t="s">
        <v>290</v>
      </c>
      <c r="D2692" s="2" t="s">
        <v>287</v>
      </c>
      <c r="E2692" s="2" t="s">
        <v>4647</v>
      </c>
      <c r="F2692" s="2">
        <v>9</v>
      </c>
      <c r="G2692" s="2">
        <v>9</v>
      </c>
      <c r="H2692" s="2">
        <v>0</v>
      </c>
      <c r="I2692" s="1">
        <v>0</v>
      </c>
      <c r="J2692" s="26">
        <v>45155</v>
      </c>
      <c r="K2692" s="22">
        <v>45000</v>
      </c>
      <c r="L2692" s="18">
        <v>48.13</v>
      </c>
      <c r="M2692" s="22">
        <v>33300</v>
      </c>
      <c r="N2692" s="22">
        <v>11700</v>
      </c>
      <c r="O2692" s="18">
        <v>12.51</v>
      </c>
      <c r="P2692" s="52">
        <f>IF(COUNTIF(TblPurchases[BatchID],TblOutcomes[[#This Row],[BatchID]])&lt;&gt;1,"n.a.",TblOutcomes[[#This Row],[Qty Wasted]]*SUMIFS(TblPurchases[Unit Cost (CLP)],TblPurchases[BatchID],TblOutcomes[[#This Row],[BatchID]]))</f>
        <v>0</v>
      </c>
      <c r="Q2692" s="51">
        <f>IF(COUNTIF(TblPurchases[BatchID],TblOutcomes[[#This Row],[BatchID]])&lt;&gt;1,"n.a.",SUMIFS(TblPurchases[Purchase Date],TblPurchases[BatchID],TblOutcomes[[#This Row],[BatchID]]))</f>
        <v>45130</v>
      </c>
    </row>
    <row r="2693" spans="2:17" x14ac:dyDescent="0.25">
      <c r="B2693" s="2" t="s">
        <v>3498</v>
      </c>
      <c r="C2693" s="2" t="s">
        <v>290</v>
      </c>
      <c r="D2693" s="2" t="s">
        <v>287</v>
      </c>
      <c r="E2693" s="2" t="s">
        <v>4646</v>
      </c>
      <c r="F2693" s="2">
        <v>9</v>
      </c>
      <c r="G2693" s="2">
        <v>8.5</v>
      </c>
      <c r="H2693" s="2">
        <v>0.5</v>
      </c>
      <c r="I2693" s="1">
        <v>5.6</v>
      </c>
      <c r="J2693" s="26">
        <v>45401</v>
      </c>
      <c r="K2693" s="22">
        <v>42500</v>
      </c>
      <c r="L2693" s="18">
        <v>45.45</v>
      </c>
      <c r="M2693" s="22">
        <v>33300</v>
      </c>
      <c r="N2693" s="22">
        <v>9200</v>
      </c>
      <c r="O2693" s="18">
        <v>9.84</v>
      </c>
      <c r="P2693" s="52">
        <f>IF(COUNTIF(TblPurchases[BatchID],TblOutcomes[[#This Row],[BatchID]])&lt;&gt;1,"n.a.",TblOutcomes[[#This Row],[Qty Wasted]]*SUMIFS(TblPurchases[Unit Cost (CLP)],TblPurchases[BatchID],TblOutcomes[[#This Row],[BatchID]]))</f>
        <v>1850</v>
      </c>
      <c r="Q2693" s="51">
        <f>IF(COUNTIF(TblPurchases[BatchID],TblOutcomes[[#This Row],[BatchID]])&lt;&gt;1,"n.a.",SUMIFS(TblPurchases[Purchase Date],TblPurchases[BatchID],TblOutcomes[[#This Row],[BatchID]]))</f>
        <v>45161</v>
      </c>
    </row>
    <row r="2694" spans="2:17" x14ac:dyDescent="0.25">
      <c r="B2694" s="2" t="s">
        <v>3499</v>
      </c>
      <c r="C2694" s="2" t="s">
        <v>290</v>
      </c>
      <c r="D2694" s="2" t="s">
        <v>287</v>
      </c>
      <c r="E2694" s="2" t="s">
        <v>4647</v>
      </c>
      <c r="F2694" s="2">
        <v>11</v>
      </c>
      <c r="G2694" s="2">
        <v>11</v>
      </c>
      <c r="H2694" s="2">
        <v>0</v>
      </c>
      <c r="I2694" s="1">
        <v>0</v>
      </c>
      <c r="J2694" s="26">
        <v>45229</v>
      </c>
      <c r="K2694" s="22">
        <v>55000</v>
      </c>
      <c r="L2694" s="18">
        <v>58.82</v>
      </c>
      <c r="M2694" s="22">
        <v>40700</v>
      </c>
      <c r="N2694" s="22">
        <v>14300</v>
      </c>
      <c r="O2694" s="18">
        <v>15.29</v>
      </c>
      <c r="P2694" s="52">
        <f>IF(COUNTIF(TblPurchases[BatchID],TblOutcomes[[#This Row],[BatchID]])&lt;&gt;1,"n.a.",TblOutcomes[[#This Row],[Qty Wasted]]*SUMIFS(TblPurchases[Unit Cost (CLP)],TblPurchases[BatchID],TblOutcomes[[#This Row],[BatchID]]))</f>
        <v>0</v>
      </c>
      <c r="Q2694" s="51">
        <f>IF(COUNTIF(TblPurchases[BatchID],TblOutcomes[[#This Row],[BatchID]])&lt;&gt;1,"n.a.",SUMIFS(TblPurchases[Purchase Date],TblPurchases[BatchID],TblOutcomes[[#This Row],[BatchID]]))</f>
        <v>45192</v>
      </c>
    </row>
    <row r="2695" spans="2:17" x14ac:dyDescent="0.25">
      <c r="B2695" s="2" t="s">
        <v>3500</v>
      </c>
      <c r="C2695" s="2" t="s">
        <v>290</v>
      </c>
      <c r="D2695" s="2" t="s">
        <v>287</v>
      </c>
      <c r="E2695" s="2" t="s">
        <v>4647</v>
      </c>
      <c r="F2695" s="2">
        <v>9</v>
      </c>
      <c r="G2695" s="2">
        <v>9</v>
      </c>
      <c r="H2695" s="2">
        <v>0</v>
      </c>
      <c r="I2695" s="1">
        <v>0</v>
      </c>
      <c r="J2695" s="26">
        <v>45235</v>
      </c>
      <c r="K2695" s="22">
        <v>45000</v>
      </c>
      <c r="L2695" s="18">
        <v>48.13</v>
      </c>
      <c r="M2695" s="22">
        <v>33300</v>
      </c>
      <c r="N2695" s="22">
        <v>11700</v>
      </c>
      <c r="O2695" s="18">
        <v>12.51</v>
      </c>
      <c r="P2695" s="52">
        <f>IF(COUNTIF(TblPurchases[BatchID],TblOutcomes[[#This Row],[BatchID]])&lt;&gt;1,"n.a.",TblOutcomes[[#This Row],[Qty Wasted]]*SUMIFS(TblPurchases[Unit Cost (CLP)],TblPurchases[BatchID],TblOutcomes[[#This Row],[BatchID]]))</f>
        <v>0</v>
      </c>
      <c r="Q2695" s="51">
        <f>IF(COUNTIF(TblPurchases[BatchID],TblOutcomes[[#This Row],[BatchID]])&lt;&gt;1,"n.a.",SUMIFS(TblPurchases[Purchase Date],TblPurchases[BatchID],TblOutcomes[[#This Row],[BatchID]]))</f>
        <v>45230</v>
      </c>
    </row>
    <row r="2696" spans="2:17" x14ac:dyDescent="0.25">
      <c r="B2696" s="2" t="s">
        <v>3501</v>
      </c>
      <c r="C2696" s="2" t="s">
        <v>290</v>
      </c>
      <c r="D2696" s="2" t="s">
        <v>287</v>
      </c>
      <c r="E2696" s="2" t="s">
        <v>4647</v>
      </c>
      <c r="F2696" s="2">
        <v>15</v>
      </c>
      <c r="G2696" s="2">
        <v>15</v>
      </c>
      <c r="H2696" s="2">
        <v>0</v>
      </c>
      <c r="I2696" s="1">
        <v>0</v>
      </c>
      <c r="J2696" s="26">
        <v>45288</v>
      </c>
      <c r="K2696" s="22">
        <v>75000</v>
      </c>
      <c r="L2696" s="18">
        <v>80.209999999999994</v>
      </c>
      <c r="M2696" s="22">
        <v>55500</v>
      </c>
      <c r="N2696" s="22">
        <v>19500</v>
      </c>
      <c r="O2696" s="18">
        <v>20.86</v>
      </c>
      <c r="P2696" s="52">
        <f>IF(COUNTIF(TblPurchases[BatchID],TblOutcomes[[#This Row],[BatchID]])&lt;&gt;1,"n.a.",TblOutcomes[[#This Row],[Qty Wasted]]*SUMIFS(TblPurchases[Unit Cost (CLP)],TblPurchases[BatchID],TblOutcomes[[#This Row],[BatchID]]))</f>
        <v>0</v>
      </c>
      <c r="Q2696" s="51">
        <f>IF(COUNTIF(TblPurchases[BatchID],TblOutcomes[[#This Row],[BatchID]])&lt;&gt;1,"n.a.",SUMIFS(TblPurchases[Purchase Date],TblPurchases[BatchID],TblOutcomes[[#This Row],[BatchID]]))</f>
        <v>45267</v>
      </c>
    </row>
    <row r="2697" spans="2:17" x14ac:dyDescent="0.25">
      <c r="B2697" s="2" t="s">
        <v>3502</v>
      </c>
      <c r="C2697" s="2" t="s">
        <v>290</v>
      </c>
      <c r="D2697" s="2" t="s">
        <v>287</v>
      </c>
      <c r="E2697" s="2" t="s">
        <v>4647</v>
      </c>
      <c r="F2697" s="2">
        <v>11</v>
      </c>
      <c r="G2697" s="2">
        <v>11</v>
      </c>
      <c r="H2697" s="2">
        <v>0</v>
      </c>
      <c r="I2697" s="1">
        <v>0</v>
      </c>
      <c r="J2697" s="26">
        <v>45304</v>
      </c>
      <c r="K2697" s="22">
        <v>55000</v>
      </c>
      <c r="L2697" s="18">
        <v>58.82</v>
      </c>
      <c r="M2697" s="22">
        <v>40700</v>
      </c>
      <c r="N2697" s="22">
        <v>14300</v>
      </c>
      <c r="O2697" s="18">
        <v>15.29</v>
      </c>
      <c r="P2697" s="52">
        <f>IF(COUNTIF(TblPurchases[BatchID],TblOutcomes[[#This Row],[BatchID]])&lt;&gt;1,"n.a.",TblOutcomes[[#This Row],[Qty Wasted]]*SUMIFS(TblPurchases[Unit Cost (CLP)],TblPurchases[BatchID],TblOutcomes[[#This Row],[BatchID]]))</f>
        <v>0</v>
      </c>
      <c r="Q2697" s="51">
        <f>IF(COUNTIF(TblPurchases[BatchID],TblOutcomes[[#This Row],[BatchID]])&lt;&gt;1,"n.a.",SUMIFS(TblPurchases[Purchase Date],TblPurchases[BatchID],TblOutcomes[[#This Row],[BatchID]]))</f>
        <v>45302</v>
      </c>
    </row>
    <row r="2698" spans="2:17" x14ac:dyDescent="0.25">
      <c r="B2698" s="2" t="s">
        <v>3503</v>
      </c>
      <c r="C2698" s="2" t="s">
        <v>290</v>
      </c>
      <c r="D2698" s="2" t="s">
        <v>287</v>
      </c>
      <c r="E2698" s="2" t="s">
        <v>4646</v>
      </c>
      <c r="F2698" s="2">
        <v>10</v>
      </c>
      <c r="G2698" s="2">
        <v>9.99</v>
      </c>
      <c r="H2698" s="2">
        <v>0.01</v>
      </c>
      <c r="I2698" s="1">
        <v>0.1</v>
      </c>
      <c r="J2698" s="26">
        <v>45586</v>
      </c>
      <c r="K2698" s="22">
        <v>49950</v>
      </c>
      <c r="L2698" s="18">
        <v>53.42</v>
      </c>
      <c r="M2698" s="22">
        <v>37000</v>
      </c>
      <c r="N2698" s="22">
        <v>12950</v>
      </c>
      <c r="O2698" s="18">
        <v>13.85</v>
      </c>
      <c r="P2698" s="52">
        <f>IF(COUNTIF(TblPurchases[BatchID],TblOutcomes[[#This Row],[BatchID]])&lt;&gt;1,"n.a.",TblOutcomes[[#This Row],[Qty Wasted]]*SUMIFS(TblPurchases[Unit Cost (CLP)],TblPurchases[BatchID],TblOutcomes[[#This Row],[BatchID]]))</f>
        <v>37</v>
      </c>
      <c r="Q2698" s="51">
        <f>IF(COUNTIF(TblPurchases[BatchID],TblOutcomes[[#This Row],[BatchID]])&lt;&gt;1,"n.a.",SUMIFS(TblPurchases[Purchase Date],TblPurchases[BatchID],TblOutcomes[[#This Row],[BatchID]]))</f>
        <v>45346</v>
      </c>
    </row>
    <row r="2699" spans="2:17" x14ac:dyDescent="0.25">
      <c r="B2699" s="2" t="s">
        <v>3504</v>
      </c>
      <c r="C2699" s="2" t="s">
        <v>290</v>
      </c>
      <c r="D2699" s="2" t="s">
        <v>287</v>
      </c>
      <c r="E2699" s="2" t="s">
        <v>4647</v>
      </c>
      <c r="F2699" s="2">
        <v>9</v>
      </c>
      <c r="G2699" s="2">
        <v>9</v>
      </c>
      <c r="H2699" s="2">
        <v>0</v>
      </c>
      <c r="I2699" s="1">
        <v>0</v>
      </c>
      <c r="J2699" s="26">
        <v>45406</v>
      </c>
      <c r="K2699" s="22">
        <v>45000</v>
      </c>
      <c r="L2699" s="18">
        <v>48.13</v>
      </c>
      <c r="M2699" s="22">
        <v>33300</v>
      </c>
      <c r="N2699" s="22">
        <v>11700</v>
      </c>
      <c r="O2699" s="18">
        <v>12.51</v>
      </c>
      <c r="P2699" s="52">
        <f>IF(COUNTIF(TblPurchases[BatchID],TblOutcomes[[#This Row],[BatchID]])&lt;&gt;1,"n.a.",TblOutcomes[[#This Row],[Qty Wasted]]*SUMIFS(TblPurchases[Unit Cost (CLP)],TblPurchases[BatchID],TblOutcomes[[#This Row],[BatchID]]))</f>
        <v>0</v>
      </c>
      <c r="Q2699" s="51">
        <f>IF(COUNTIF(TblPurchases[BatchID],TblOutcomes[[#This Row],[BatchID]])&lt;&gt;1,"n.a.",SUMIFS(TblPurchases[Purchase Date],TblPurchases[BatchID],TblOutcomes[[#This Row],[BatchID]]))</f>
        <v>45377</v>
      </c>
    </row>
    <row r="2700" spans="2:17" x14ac:dyDescent="0.25">
      <c r="B2700" s="2" t="s">
        <v>3505</v>
      </c>
      <c r="C2700" s="2" t="s">
        <v>290</v>
      </c>
      <c r="D2700" s="2" t="s">
        <v>287</v>
      </c>
      <c r="E2700" s="2" t="s">
        <v>4647</v>
      </c>
      <c r="F2700" s="2">
        <v>9</v>
      </c>
      <c r="G2700" s="2">
        <v>9</v>
      </c>
      <c r="H2700" s="2">
        <v>0</v>
      </c>
      <c r="I2700" s="1">
        <v>0</v>
      </c>
      <c r="J2700" s="26">
        <v>45433</v>
      </c>
      <c r="K2700" s="22">
        <v>45000</v>
      </c>
      <c r="L2700" s="18">
        <v>48.13</v>
      </c>
      <c r="M2700" s="22">
        <v>33300</v>
      </c>
      <c r="N2700" s="22">
        <v>11700</v>
      </c>
      <c r="O2700" s="18">
        <v>12.51</v>
      </c>
      <c r="P2700" s="52">
        <f>IF(COUNTIF(TblPurchases[BatchID],TblOutcomes[[#This Row],[BatchID]])&lt;&gt;1,"n.a.",TblOutcomes[[#This Row],[Qty Wasted]]*SUMIFS(TblPurchases[Unit Cost (CLP)],TblPurchases[BatchID],TblOutcomes[[#This Row],[BatchID]]))</f>
        <v>0</v>
      </c>
      <c r="Q2700" s="51">
        <f>IF(COUNTIF(TblPurchases[BatchID],TblOutcomes[[#This Row],[BatchID]])&lt;&gt;1,"n.a.",SUMIFS(TblPurchases[Purchase Date],TblPurchases[BatchID],TblOutcomes[[#This Row],[BatchID]]))</f>
        <v>45417</v>
      </c>
    </row>
    <row r="2701" spans="2:17" x14ac:dyDescent="0.25">
      <c r="B2701" s="2" t="s">
        <v>3506</v>
      </c>
      <c r="C2701" s="2" t="s">
        <v>290</v>
      </c>
      <c r="D2701" s="2" t="s">
        <v>287</v>
      </c>
      <c r="E2701" s="2" t="s">
        <v>4646</v>
      </c>
      <c r="F2701" s="2">
        <v>9</v>
      </c>
      <c r="G2701" s="2">
        <v>8.65</v>
      </c>
      <c r="H2701" s="2">
        <v>0.35</v>
      </c>
      <c r="I2701" s="1">
        <v>3.9</v>
      </c>
      <c r="J2701" s="26">
        <v>45696</v>
      </c>
      <c r="K2701" s="22">
        <v>43250</v>
      </c>
      <c r="L2701" s="18">
        <v>46.26</v>
      </c>
      <c r="M2701" s="22">
        <v>33300</v>
      </c>
      <c r="N2701" s="22">
        <v>9950</v>
      </c>
      <c r="O2701" s="18">
        <v>10.64</v>
      </c>
      <c r="P2701" s="52">
        <f>IF(COUNTIF(TblPurchases[BatchID],TblOutcomes[[#This Row],[BatchID]])&lt;&gt;1,"n.a.",TblOutcomes[[#This Row],[Qty Wasted]]*SUMIFS(TblPurchases[Unit Cost (CLP)],TblPurchases[BatchID],TblOutcomes[[#This Row],[BatchID]]))</f>
        <v>1295</v>
      </c>
      <c r="Q2701" s="51">
        <f>IF(COUNTIF(TblPurchases[BatchID],TblOutcomes[[#This Row],[BatchID]])&lt;&gt;1,"n.a.",SUMIFS(TblPurchases[Purchase Date],TblPurchases[BatchID],TblOutcomes[[#This Row],[BatchID]]))</f>
        <v>45456</v>
      </c>
    </row>
    <row r="2702" spans="2:17" x14ac:dyDescent="0.25">
      <c r="B2702" s="2" t="s">
        <v>3507</v>
      </c>
      <c r="C2702" s="2" t="s">
        <v>290</v>
      </c>
      <c r="D2702" s="2" t="s">
        <v>287</v>
      </c>
      <c r="E2702" s="2" t="s">
        <v>4647</v>
      </c>
      <c r="F2702" s="2">
        <v>10</v>
      </c>
      <c r="G2702" s="2">
        <v>10</v>
      </c>
      <c r="H2702" s="2">
        <v>0</v>
      </c>
      <c r="I2702" s="1">
        <v>0</v>
      </c>
      <c r="J2702" s="26">
        <v>45535</v>
      </c>
      <c r="K2702" s="22">
        <v>50000</v>
      </c>
      <c r="L2702" s="18">
        <v>53.48</v>
      </c>
      <c r="M2702" s="22">
        <v>37000</v>
      </c>
      <c r="N2702" s="22">
        <v>13000</v>
      </c>
      <c r="O2702" s="18">
        <v>13.9</v>
      </c>
      <c r="P2702" s="52">
        <f>IF(COUNTIF(TblPurchases[BatchID],TblOutcomes[[#This Row],[BatchID]])&lt;&gt;1,"n.a.",TblOutcomes[[#This Row],[Qty Wasted]]*SUMIFS(TblPurchases[Unit Cost (CLP)],TblPurchases[BatchID],TblOutcomes[[#This Row],[BatchID]]))</f>
        <v>0</v>
      </c>
      <c r="Q2702" s="51">
        <f>IF(COUNTIF(TblPurchases[BatchID],TblOutcomes[[#This Row],[BatchID]])&lt;&gt;1,"n.a.",SUMIFS(TblPurchases[Purchase Date],TblPurchases[BatchID],TblOutcomes[[#This Row],[BatchID]]))</f>
        <v>45498</v>
      </c>
    </row>
    <row r="2703" spans="2:17" x14ac:dyDescent="0.25">
      <c r="B2703" s="2" t="s">
        <v>3508</v>
      </c>
      <c r="C2703" s="2" t="s">
        <v>290</v>
      </c>
      <c r="D2703" s="2" t="s">
        <v>287</v>
      </c>
      <c r="E2703" s="2" t="s">
        <v>4646</v>
      </c>
      <c r="F2703" s="2">
        <v>11</v>
      </c>
      <c r="G2703" s="2">
        <v>10.43</v>
      </c>
      <c r="H2703" s="2">
        <v>0.56999999999999995</v>
      </c>
      <c r="I2703" s="1">
        <v>5.2</v>
      </c>
      <c r="J2703" s="26">
        <v>45771</v>
      </c>
      <c r="K2703" s="22">
        <v>52150</v>
      </c>
      <c r="L2703" s="18">
        <v>55.78</v>
      </c>
      <c r="M2703" s="22">
        <v>40700</v>
      </c>
      <c r="N2703" s="22">
        <v>11450</v>
      </c>
      <c r="O2703" s="18">
        <v>12.25</v>
      </c>
      <c r="P2703" s="52">
        <f>IF(COUNTIF(TblPurchases[BatchID],TblOutcomes[[#This Row],[BatchID]])&lt;&gt;1,"n.a.",TblOutcomes[[#This Row],[Qty Wasted]]*SUMIFS(TblPurchases[Unit Cost (CLP)],TblPurchases[BatchID],TblOutcomes[[#This Row],[BatchID]]))</f>
        <v>2109</v>
      </c>
      <c r="Q2703" s="51">
        <f>IF(COUNTIF(TblPurchases[BatchID],TblOutcomes[[#This Row],[BatchID]])&lt;&gt;1,"n.a.",SUMIFS(TblPurchases[Purchase Date],TblPurchases[BatchID],TblOutcomes[[#This Row],[BatchID]]))</f>
        <v>45531</v>
      </c>
    </row>
    <row r="2704" spans="2:17" x14ac:dyDescent="0.25">
      <c r="B2704" s="2" t="s">
        <v>3509</v>
      </c>
      <c r="C2704" s="2" t="s">
        <v>290</v>
      </c>
      <c r="D2704" s="2" t="s">
        <v>287</v>
      </c>
      <c r="E2704" s="2" t="s">
        <v>4647</v>
      </c>
      <c r="F2704" s="2">
        <v>11</v>
      </c>
      <c r="G2704" s="2">
        <v>11</v>
      </c>
      <c r="H2704" s="2">
        <v>0</v>
      </c>
      <c r="I2704" s="1">
        <v>0</v>
      </c>
      <c r="J2704" s="26">
        <v>45581</v>
      </c>
      <c r="K2704" s="22">
        <v>55000</v>
      </c>
      <c r="L2704" s="18">
        <v>58.82</v>
      </c>
      <c r="M2704" s="22">
        <v>40700</v>
      </c>
      <c r="N2704" s="22">
        <v>14300</v>
      </c>
      <c r="O2704" s="18">
        <v>15.29</v>
      </c>
      <c r="P2704" s="52">
        <f>IF(COUNTIF(TblPurchases[BatchID],TblOutcomes[[#This Row],[BatchID]])&lt;&gt;1,"n.a.",TblOutcomes[[#This Row],[Qty Wasted]]*SUMIFS(TblPurchases[Unit Cost (CLP)],TblPurchases[BatchID],TblOutcomes[[#This Row],[BatchID]]))</f>
        <v>0</v>
      </c>
      <c r="Q2704" s="51">
        <f>IF(COUNTIF(TblPurchases[BatchID],TblOutcomes[[#This Row],[BatchID]])&lt;&gt;1,"n.a.",SUMIFS(TblPurchases[Purchase Date],TblPurchases[BatchID],TblOutcomes[[#This Row],[BatchID]]))</f>
        <v>45563</v>
      </c>
    </row>
    <row r="2705" spans="2:17" x14ac:dyDescent="0.25">
      <c r="B2705" s="2" t="s">
        <v>3510</v>
      </c>
      <c r="C2705" s="2" t="s">
        <v>290</v>
      </c>
      <c r="D2705" s="2" t="s">
        <v>287</v>
      </c>
      <c r="E2705" s="2" t="s">
        <v>4646</v>
      </c>
      <c r="F2705" s="2">
        <v>10</v>
      </c>
      <c r="G2705" s="2">
        <v>9.43</v>
      </c>
      <c r="H2705" s="2">
        <v>0.56999999999999995</v>
      </c>
      <c r="I2705" s="1">
        <v>5.7</v>
      </c>
      <c r="J2705" s="26">
        <v>45842</v>
      </c>
      <c r="K2705" s="22">
        <v>47150</v>
      </c>
      <c r="L2705" s="18">
        <v>50.43</v>
      </c>
      <c r="M2705" s="22">
        <v>37000</v>
      </c>
      <c r="N2705" s="22">
        <v>10150</v>
      </c>
      <c r="O2705" s="18">
        <v>10.86</v>
      </c>
      <c r="P2705" s="52">
        <f>IF(COUNTIF(TblPurchases[BatchID],TblOutcomes[[#This Row],[BatchID]])&lt;&gt;1,"n.a.",TblOutcomes[[#This Row],[Qty Wasted]]*SUMIFS(TblPurchases[Unit Cost (CLP)],TblPurchases[BatchID],TblOutcomes[[#This Row],[BatchID]]))</f>
        <v>2109</v>
      </c>
      <c r="Q2705" s="51">
        <f>IF(COUNTIF(TblPurchases[BatchID],TblOutcomes[[#This Row],[BatchID]])&lt;&gt;1,"n.a.",SUMIFS(TblPurchases[Purchase Date],TblPurchases[BatchID],TblOutcomes[[#This Row],[BatchID]]))</f>
        <v>45602</v>
      </c>
    </row>
    <row r="2706" spans="2:17" x14ac:dyDescent="0.25">
      <c r="B2706" s="2" t="s">
        <v>3511</v>
      </c>
      <c r="C2706" s="2" t="s">
        <v>290</v>
      </c>
      <c r="D2706" s="2" t="s">
        <v>287</v>
      </c>
      <c r="E2706" s="2" t="s">
        <v>4647</v>
      </c>
      <c r="F2706" s="2">
        <v>12</v>
      </c>
      <c r="G2706" s="2">
        <v>12</v>
      </c>
      <c r="H2706" s="2">
        <v>0</v>
      </c>
      <c r="I2706" s="1">
        <v>0</v>
      </c>
      <c r="J2706" s="26">
        <v>45671</v>
      </c>
      <c r="K2706" s="22">
        <v>60000</v>
      </c>
      <c r="L2706" s="18">
        <v>64.17</v>
      </c>
      <c r="M2706" s="22">
        <v>44400</v>
      </c>
      <c r="N2706" s="22">
        <v>15600</v>
      </c>
      <c r="O2706" s="18">
        <v>16.68</v>
      </c>
      <c r="P2706" s="52">
        <f>IF(COUNTIF(TblPurchases[BatchID],TblOutcomes[[#This Row],[BatchID]])&lt;&gt;1,"n.a.",TblOutcomes[[#This Row],[Qty Wasted]]*SUMIFS(TblPurchases[Unit Cost (CLP)],TblPurchases[BatchID],TblOutcomes[[#This Row],[BatchID]]))</f>
        <v>0</v>
      </c>
      <c r="Q2706" s="51">
        <f>IF(COUNTIF(TblPurchases[BatchID],TblOutcomes[[#This Row],[BatchID]])&lt;&gt;1,"n.a.",SUMIFS(TblPurchases[Purchase Date],TblPurchases[BatchID],TblOutcomes[[#This Row],[BatchID]]))</f>
        <v>45647</v>
      </c>
    </row>
    <row r="2707" spans="2:17" x14ac:dyDescent="0.25">
      <c r="B2707" s="2" t="s">
        <v>3512</v>
      </c>
      <c r="C2707" s="2" t="s">
        <v>290</v>
      </c>
      <c r="D2707" s="2" t="s">
        <v>287</v>
      </c>
      <c r="E2707" s="2" t="s">
        <v>4647</v>
      </c>
      <c r="F2707" s="2">
        <v>9</v>
      </c>
      <c r="G2707" s="2">
        <v>9</v>
      </c>
      <c r="H2707" s="2">
        <v>0</v>
      </c>
      <c r="I2707" s="1">
        <v>0</v>
      </c>
      <c r="J2707" s="26">
        <v>45704</v>
      </c>
      <c r="K2707" s="22">
        <v>45000</v>
      </c>
      <c r="L2707" s="18">
        <v>48.13</v>
      </c>
      <c r="M2707" s="22">
        <v>33300</v>
      </c>
      <c r="N2707" s="22">
        <v>11700</v>
      </c>
      <c r="O2707" s="18">
        <v>12.51</v>
      </c>
      <c r="P2707" s="52">
        <f>IF(COUNTIF(TblPurchases[BatchID],TblOutcomes[[#This Row],[BatchID]])&lt;&gt;1,"n.a.",TblOutcomes[[#This Row],[Qty Wasted]]*SUMIFS(TblPurchases[Unit Cost (CLP)],TblPurchases[BatchID],TblOutcomes[[#This Row],[BatchID]]))</f>
        <v>0</v>
      </c>
      <c r="Q2707" s="51">
        <f>IF(COUNTIF(TblPurchases[BatchID],TblOutcomes[[#This Row],[BatchID]])&lt;&gt;1,"n.a.",SUMIFS(TblPurchases[Purchase Date],TblPurchases[BatchID],TblOutcomes[[#This Row],[BatchID]]))</f>
        <v>45670</v>
      </c>
    </row>
    <row r="2708" spans="2:17" x14ac:dyDescent="0.25">
      <c r="B2708" s="2" t="s">
        <v>3513</v>
      </c>
      <c r="C2708" s="2" t="s">
        <v>290</v>
      </c>
      <c r="D2708" s="2" t="s">
        <v>287</v>
      </c>
      <c r="E2708" s="2" t="s">
        <v>4646</v>
      </c>
      <c r="F2708" s="2">
        <v>11</v>
      </c>
      <c r="G2708" s="2">
        <v>10.53</v>
      </c>
      <c r="H2708" s="2">
        <v>0.47</v>
      </c>
      <c r="I2708" s="1">
        <v>4.3</v>
      </c>
      <c r="J2708" s="26">
        <v>45943</v>
      </c>
      <c r="K2708" s="22">
        <v>52650</v>
      </c>
      <c r="L2708" s="18">
        <v>56.31</v>
      </c>
      <c r="M2708" s="22">
        <v>40700</v>
      </c>
      <c r="N2708" s="22">
        <v>11950</v>
      </c>
      <c r="O2708" s="18">
        <v>12.78</v>
      </c>
      <c r="P2708" s="52">
        <f>IF(COUNTIF(TblPurchases[BatchID],TblOutcomes[[#This Row],[BatchID]])&lt;&gt;1,"n.a.",TblOutcomes[[#This Row],[Qty Wasted]]*SUMIFS(TblPurchases[Unit Cost (CLP)],TblPurchases[BatchID],TblOutcomes[[#This Row],[BatchID]]))</f>
        <v>1739</v>
      </c>
      <c r="Q2708" s="51">
        <f>IF(COUNTIF(TblPurchases[BatchID],TblOutcomes[[#This Row],[BatchID]])&lt;&gt;1,"n.a.",SUMIFS(TblPurchases[Purchase Date],TblPurchases[BatchID],TblOutcomes[[#This Row],[BatchID]]))</f>
        <v>45703</v>
      </c>
    </row>
    <row r="2709" spans="2:17" x14ac:dyDescent="0.25">
      <c r="B2709" s="2" t="s">
        <v>3514</v>
      </c>
      <c r="C2709" s="2" t="s">
        <v>290</v>
      </c>
      <c r="D2709" s="2" t="s">
        <v>287</v>
      </c>
      <c r="E2709" s="2" t="s">
        <v>4646</v>
      </c>
      <c r="F2709" s="2">
        <v>10</v>
      </c>
      <c r="G2709" s="2">
        <v>9.23</v>
      </c>
      <c r="H2709" s="2">
        <v>0.77</v>
      </c>
      <c r="I2709" s="1">
        <v>7.7</v>
      </c>
      <c r="J2709" s="26">
        <v>45974</v>
      </c>
      <c r="K2709" s="22">
        <v>46150</v>
      </c>
      <c r="L2709" s="18">
        <v>49.36</v>
      </c>
      <c r="M2709" s="22">
        <v>37000</v>
      </c>
      <c r="N2709" s="22">
        <v>9150</v>
      </c>
      <c r="O2709" s="18">
        <v>9.7899999999999991</v>
      </c>
      <c r="P2709" s="52">
        <f>IF(COUNTIF(TblPurchases[BatchID],TblOutcomes[[#This Row],[BatchID]])&lt;&gt;1,"n.a.",TblOutcomes[[#This Row],[Qty Wasted]]*SUMIFS(TblPurchases[Unit Cost (CLP)],TblPurchases[BatchID],TblOutcomes[[#This Row],[BatchID]]))</f>
        <v>2849</v>
      </c>
      <c r="Q2709" s="51">
        <f>IF(COUNTIF(TblPurchases[BatchID],TblOutcomes[[#This Row],[BatchID]])&lt;&gt;1,"n.a.",SUMIFS(TblPurchases[Purchase Date],TblPurchases[BatchID],TblOutcomes[[#This Row],[BatchID]]))</f>
        <v>45734</v>
      </c>
    </row>
    <row r="2710" spans="2:17" x14ac:dyDescent="0.25">
      <c r="B2710" s="2" t="s">
        <v>3515</v>
      </c>
      <c r="C2710" s="2" t="s">
        <v>290</v>
      </c>
      <c r="D2710" s="2" t="s">
        <v>287</v>
      </c>
      <c r="E2710" s="2" t="s">
        <v>4647</v>
      </c>
      <c r="F2710" s="2">
        <v>11</v>
      </c>
      <c r="G2710" s="2">
        <v>11</v>
      </c>
      <c r="H2710" s="2">
        <v>0</v>
      </c>
      <c r="I2710" s="1">
        <v>0</v>
      </c>
      <c r="J2710" s="26">
        <v>45794</v>
      </c>
      <c r="K2710" s="22">
        <v>55000</v>
      </c>
      <c r="L2710" s="18">
        <v>58.82</v>
      </c>
      <c r="M2710" s="22">
        <v>40700</v>
      </c>
      <c r="N2710" s="22">
        <v>14300</v>
      </c>
      <c r="O2710" s="18">
        <v>15.29</v>
      </c>
      <c r="P2710" s="52">
        <f>IF(COUNTIF(TblPurchases[BatchID],TblOutcomes[[#This Row],[BatchID]])&lt;&gt;1,"n.a.",TblOutcomes[[#This Row],[Qty Wasted]]*SUMIFS(TblPurchases[Unit Cost (CLP)],TblPurchases[BatchID],TblOutcomes[[#This Row],[BatchID]]))</f>
        <v>0</v>
      </c>
      <c r="Q2710" s="51">
        <f>IF(COUNTIF(TblPurchases[BatchID],TblOutcomes[[#This Row],[BatchID]])&lt;&gt;1,"n.a.",SUMIFS(TblPurchases[Purchase Date],TblPurchases[BatchID],TblOutcomes[[#This Row],[BatchID]]))</f>
        <v>45774</v>
      </c>
    </row>
    <row r="2711" spans="2:17" x14ac:dyDescent="0.25">
      <c r="B2711" s="2" t="s">
        <v>3516</v>
      </c>
      <c r="C2711" s="2" t="s">
        <v>290</v>
      </c>
      <c r="D2711" s="2" t="s">
        <v>287</v>
      </c>
      <c r="E2711" s="2" t="s">
        <v>4646</v>
      </c>
      <c r="F2711" s="2">
        <v>10</v>
      </c>
      <c r="G2711" s="2">
        <v>9.4600000000000009</v>
      </c>
      <c r="H2711" s="2">
        <v>0.54</v>
      </c>
      <c r="I2711" s="1">
        <v>5.4</v>
      </c>
      <c r="J2711" s="26">
        <v>46052</v>
      </c>
      <c r="K2711" s="22">
        <v>47300</v>
      </c>
      <c r="L2711" s="18">
        <v>50.59</v>
      </c>
      <c r="M2711" s="22">
        <v>37000</v>
      </c>
      <c r="N2711" s="22">
        <v>10300</v>
      </c>
      <c r="O2711" s="18">
        <v>11.02</v>
      </c>
      <c r="P2711" s="52">
        <f>IF(COUNTIF(TblPurchases[BatchID],TblOutcomes[[#This Row],[BatchID]])&lt;&gt;1,"n.a.",TblOutcomes[[#This Row],[Qty Wasted]]*SUMIFS(TblPurchases[Unit Cost (CLP)],TblPurchases[BatchID],TblOutcomes[[#This Row],[BatchID]]))</f>
        <v>1998.0000000000002</v>
      </c>
      <c r="Q2711" s="51">
        <f>IF(COUNTIF(TblPurchases[BatchID],TblOutcomes[[#This Row],[BatchID]])&lt;&gt;1,"n.a.",SUMIFS(TblPurchases[Purchase Date],TblPurchases[BatchID],TblOutcomes[[#This Row],[BatchID]]))</f>
        <v>45812</v>
      </c>
    </row>
    <row r="2712" spans="2:17" x14ac:dyDescent="0.25">
      <c r="B2712" s="2" t="s">
        <v>3517</v>
      </c>
      <c r="C2712" s="2" t="s">
        <v>292</v>
      </c>
      <c r="D2712" s="2" t="s">
        <v>287</v>
      </c>
      <c r="E2712" s="2" t="s">
        <v>4647</v>
      </c>
      <c r="F2712" s="2">
        <v>10</v>
      </c>
      <c r="G2712" s="2">
        <v>10</v>
      </c>
      <c r="H2712" s="2">
        <v>0</v>
      </c>
      <c r="I2712" s="1">
        <v>0</v>
      </c>
      <c r="J2712" s="26">
        <v>45155</v>
      </c>
      <c r="K2712" s="22">
        <v>35000</v>
      </c>
      <c r="L2712" s="18">
        <v>37.43</v>
      </c>
      <c r="M2712" s="22">
        <v>25500</v>
      </c>
      <c r="N2712" s="22">
        <v>9500</v>
      </c>
      <c r="O2712" s="18">
        <v>10.16</v>
      </c>
      <c r="P2712" s="52">
        <f>IF(COUNTIF(TblPurchases[BatchID],TblOutcomes[[#This Row],[BatchID]])&lt;&gt;1,"n.a.",TblOutcomes[[#This Row],[Qty Wasted]]*SUMIFS(TblPurchases[Unit Cost (CLP)],TblPurchases[BatchID],TblOutcomes[[#This Row],[BatchID]]))</f>
        <v>0</v>
      </c>
      <c r="Q2712" s="51">
        <f>IF(COUNTIF(TblPurchases[BatchID],TblOutcomes[[#This Row],[BatchID]])&lt;&gt;1,"n.a.",SUMIFS(TblPurchases[Purchase Date],TblPurchases[BatchID],TblOutcomes[[#This Row],[BatchID]]))</f>
        <v>45123</v>
      </c>
    </row>
    <row r="2713" spans="2:17" x14ac:dyDescent="0.25">
      <c r="B2713" s="2" t="s">
        <v>3518</v>
      </c>
      <c r="C2713" s="2" t="s">
        <v>292</v>
      </c>
      <c r="D2713" s="2" t="s">
        <v>287</v>
      </c>
      <c r="E2713" s="2" t="s">
        <v>4646</v>
      </c>
      <c r="F2713" s="2">
        <v>10</v>
      </c>
      <c r="G2713" s="2">
        <v>9.56</v>
      </c>
      <c r="H2713" s="2">
        <v>0.44</v>
      </c>
      <c r="I2713" s="1">
        <v>4.4000000000000004</v>
      </c>
      <c r="J2713" s="26">
        <v>45395</v>
      </c>
      <c r="K2713" s="22">
        <v>33460</v>
      </c>
      <c r="L2713" s="18">
        <v>35.79</v>
      </c>
      <c r="M2713" s="22">
        <v>25500</v>
      </c>
      <c r="N2713" s="22">
        <v>7960</v>
      </c>
      <c r="O2713" s="18">
        <v>8.51</v>
      </c>
      <c r="P2713" s="52">
        <f>IF(COUNTIF(TblPurchases[BatchID],TblOutcomes[[#This Row],[BatchID]])&lt;&gt;1,"n.a.",TblOutcomes[[#This Row],[Qty Wasted]]*SUMIFS(TblPurchases[Unit Cost (CLP)],TblPurchases[BatchID],TblOutcomes[[#This Row],[BatchID]]))</f>
        <v>1122</v>
      </c>
      <c r="Q2713" s="51">
        <f>IF(COUNTIF(TblPurchases[BatchID],TblOutcomes[[#This Row],[BatchID]])&lt;&gt;1,"n.a.",SUMIFS(TblPurchases[Purchase Date],TblPurchases[BatchID],TblOutcomes[[#This Row],[BatchID]]))</f>
        <v>45155</v>
      </c>
    </row>
    <row r="2714" spans="2:17" x14ac:dyDescent="0.25">
      <c r="B2714" s="2" t="s">
        <v>3519</v>
      </c>
      <c r="C2714" s="2" t="s">
        <v>292</v>
      </c>
      <c r="D2714" s="2" t="s">
        <v>287</v>
      </c>
      <c r="E2714" s="2" t="s">
        <v>4647</v>
      </c>
      <c r="F2714" s="2">
        <v>14</v>
      </c>
      <c r="G2714" s="2">
        <v>14</v>
      </c>
      <c r="H2714" s="2">
        <v>0</v>
      </c>
      <c r="I2714" s="1">
        <v>0</v>
      </c>
      <c r="J2714" s="26">
        <v>45213</v>
      </c>
      <c r="K2714" s="22">
        <v>49000</v>
      </c>
      <c r="L2714" s="18">
        <v>52.41</v>
      </c>
      <c r="M2714" s="22">
        <v>35700</v>
      </c>
      <c r="N2714" s="22">
        <v>13300</v>
      </c>
      <c r="O2714" s="18">
        <v>14.22</v>
      </c>
      <c r="P2714" s="52">
        <f>IF(COUNTIF(TblPurchases[BatchID],TblOutcomes[[#This Row],[BatchID]])&lt;&gt;1,"n.a.",TblOutcomes[[#This Row],[Qty Wasted]]*SUMIFS(TblPurchases[Unit Cost (CLP)],TblPurchases[BatchID],TblOutcomes[[#This Row],[BatchID]]))</f>
        <v>0</v>
      </c>
      <c r="Q2714" s="51">
        <f>IF(COUNTIF(TblPurchases[BatchID],TblOutcomes[[#This Row],[BatchID]])&lt;&gt;1,"n.a.",SUMIFS(TblPurchases[Purchase Date],TblPurchases[BatchID],TblOutcomes[[#This Row],[BatchID]]))</f>
        <v>45182</v>
      </c>
    </row>
    <row r="2715" spans="2:17" x14ac:dyDescent="0.25">
      <c r="B2715" s="2" t="s">
        <v>3520</v>
      </c>
      <c r="C2715" s="2" t="s">
        <v>292</v>
      </c>
      <c r="D2715" s="2" t="s">
        <v>287</v>
      </c>
      <c r="E2715" s="2" t="s">
        <v>4646</v>
      </c>
      <c r="F2715" s="2">
        <v>11</v>
      </c>
      <c r="G2715" s="2">
        <v>10.43</v>
      </c>
      <c r="H2715" s="2">
        <v>0.56999999999999995</v>
      </c>
      <c r="I2715" s="1">
        <v>5.2</v>
      </c>
      <c r="J2715" s="26">
        <v>45461</v>
      </c>
      <c r="K2715" s="22">
        <v>36505</v>
      </c>
      <c r="L2715" s="18">
        <v>39.04</v>
      </c>
      <c r="M2715" s="22">
        <v>28050</v>
      </c>
      <c r="N2715" s="22">
        <v>8455</v>
      </c>
      <c r="O2715" s="18">
        <v>9.0399999999999991</v>
      </c>
      <c r="P2715" s="52">
        <f>IF(COUNTIF(TblPurchases[BatchID],TblOutcomes[[#This Row],[BatchID]])&lt;&gt;1,"n.a.",TblOutcomes[[#This Row],[Qty Wasted]]*SUMIFS(TblPurchases[Unit Cost (CLP)],TblPurchases[BatchID],TblOutcomes[[#This Row],[BatchID]]))</f>
        <v>1453.4999999999998</v>
      </c>
      <c r="Q2715" s="51">
        <f>IF(COUNTIF(TblPurchases[BatchID],TblOutcomes[[#This Row],[BatchID]])&lt;&gt;1,"n.a.",SUMIFS(TblPurchases[Purchase Date],TblPurchases[BatchID],TblOutcomes[[#This Row],[BatchID]]))</f>
        <v>45221</v>
      </c>
    </row>
    <row r="2716" spans="2:17" x14ac:dyDescent="0.25">
      <c r="B2716" s="2" t="s">
        <v>3521</v>
      </c>
      <c r="C2716" s="2" t="s">
        <v>292</v>
      </c>
      <c r="D2716" s="2" t="s">
        <v>287</v>
      </c>
      <c r="E2716" s="2" t="s">
        <v>4647</v>
      </c>
      <c r="F2716" s="2">
        <v>10</v>
      </c>
      <c r="G2716" s="2">
        <v>10</v>
      </c>
      <c r="H2716" s="2">
        <v>0</v>
      </c>
      <c r="I2716" s="1">
        <v>0</v>
      </c>
      <c r="J2716" s="26">
        <v>45276</v>
      </c>
      <c r="K2716" s="22">
        <v>35000</v>
      </c>
      <c r="L2716" s="18">
        <v>37.43</v>
      </c>
      <c r="M2716" s="22">
        <v>25500</v>
      </c>
      <c r="N2716" s="22">
        <v>9500</v>
      </c>
      <c r="O2716" s="18">
        <v>10.16</v>
      </c>
      <c r="P2716" s="52">
        <f>IF(COUNTIF(TblPurchases[BatchID],TblOutcomes[[#This Row],[BatchID]])&lt;&gt;1,"n.a.",TblOutcomes[[#This Row],[Qty Wasted]]*SUMIFS(TblPurchases[Unit Cost (CLP)],TblPurchases[BatchID],TblOutcomes[[#This Row],[BatchID]]))</f>
        <v>0</v>
      </c>
      <c r="Q2716" s="51">
        <f>IF(COUNTIF(TblPurchases[BatchID],TblOutcomes[[#This Row],[BatchID]])&lt;&gt;1,"n.a.",SUMIFS(TblPurchases[Purchase Date],TblPurchases[BatchID],TblOutcomes[[#This Row],[BatchID]]))</f>
        <v>45256</v>
      </c>
    </row>
    <row r="2717" spans="2:17" x14ac:dyDescent="0.25">
      <c r="B2717" s="2" t="s">
        <v>3522</v>
      </c>
      <c r="C2717" s="2" t="s">
        <v>292</v>
      </c>
      <c r="D2717" s="2" t="s">
        <v>287</v>
      </c>
      <c r="E2717" s="2" t="s">
        <v>4647</v>
      </c>
      <c r="F2717" s="2">
        <v>10</v>
      </c>
      <c r="G2717" s="2">
        <v>10</v>
      </c>
      <c r="H2717" s="2">
        <v>0</v>
      </c>
      <c r="I2717" s="1">
        <v>0</v>
      </c>
      <c r="J2717" s="26">
        <v>45316</v>
      </c>
      <c r="K2717" s="22">
        <v>35000</v>
      </c>
      <c r="L2717" s="18">
        <v>37.43</v>
      </c>
      <c r="M2717" s="22">
        <v>25500</v>
      </c>
      <c r="N2717" s="22">
        <v>9500</v>
      </c>
      <c r="O2717" s="18">
        <v>10.16</v>
      </c>
      <c r="P2717" s="52">
        <f>IF(COUNTIF(TblPurchases[BatchID],TblOutcomes[[#This Row],[BatchID]])&lt;&gt;1,"n.a.",TblOutcomes[[#This Row],[Qty Wasted]]*SUMIFS(TblPurchases[Unit Cost (CLP)],TblPurchases[BatchID],TblOutcomes[[#This Row],[BatchID]]))</f>
        <v>0</v>
      </c>
      <c r="Q2717" s="51">
        <f>IF(COUNTIF(TblPurchases[BatchID],TblOutcomes[[#This Row],[BatchID]])&lt;&gt;1,"n.a.",SUMIFS(TblPurchases[Purchase Date],TblPurchases[BatchID],TblOutcomes[[#This Row],[BatchID]]))</f>
        <v>45296</v>
      </c>
    </row>
    <row r="2718" spans="2:17" x14ac:dyDescent="0.25">
      <c r="B2718" s="2" t="s">
        <v>3523</v>
      </c>
      <c r="C2718" s="2" t="s">
        <v>292</v>
      </c>
      <c r="D2718" s="2" t="s">
        <v>287</v>
      </c>
      <c r="E2718" s="2" t="s">
        <v>4647</v>
      </c>
      <c r="F2718" s="2">
        <v>9</v>
      </c>
      <c r="G2718" s="2">
        <v>9</v>
      </c>
      <c r="H2718" s="2">
        <v>0</v>
      </c>
      <c r="I2718" s="1">
        <v>0</v>
      </c>
      <c r="J2718" s="26">
        <v>45379</v>
      </c>
      <c r="K2718" s="22">
        <v>31500</v>
      </c>
      <c r="L2718" s="18">
        <v>33.69</v>
      </c>
      <c r="M2718" s="22">
        <v>22950</v>
      </c>
      <c r="N2718" s="22">
        <v>8550</v>
      </c>
      <c r="O2718" s="18">
        <v>9.14</v>
      </c>
      <c r="P2718" s="52">
        <f>IF(COUNTIF(TblPurchases[BatchID],TblOutcomes[[#This Row],[BatchID]])&lt;&gt;1,"n.a.",TblOutcomes[[#This Row],[Qty Wasted]]*SUMIFS(TblPurchases[Unit Cost (CLP)],TblPurchases[BatchID],TblOutcomes[[#This Row],[BatchID]]))</f>
        <v>0</v>
      </c>
      <c r="Q2718" s="51">
        <f>IF(COUNTIF(TblPurchases[BatchID],TblOutcomes[[#This Row],[BatchID]])&lt;&gt;1,"n.a.",SUMIFS(TblPurchases[Purchase Date],TblPurchases[BatchID],TblOutcomes[[#This Row],[BatchID]]))</f>
        <v>45343</v>
      </c>
    </row>
    <row r="2719" spans="2:17" x14ac:dyDescent="0.25">
      <c r="B2719" s="2" t="s">
        <v>3524</v>
      </c>
      <c r="C2719" s="2" t="s">
        <v>292</v>
      </c>
      <c r="D2719" s="2" t="s">
        <v>287</v>
      </c>
      <c r="E2719" s="2" t="s">
        <v>4647</v>
      </c>
      <c r="F2719" s="2">
        <v>10</v>
      </c>
      <c r="G2719" s="2">
        <v>10</v>
      </c>
      <c r="H2719" s="2">
        <v>0</v>
      </c>
      <c r="I2719" s="1">
        <v>0</v>
      </c>
      <c r="J2719" s="26">
        <v>45408</v>
      </c>
      <c r="K2719" s="22">
        <v>35000</v>
      </c>
      <c r="L2719" s="18">
        <v>37.43</v>
      </c>
      <c r="M2719" s="22">
        <v>25500</v>
      </c>
      <c r="N2719" s="22">
        <v>9500</v>
      </c>
      <c r="O2719" s="18">
        <v>10.16</v>
      </c>
      <c r="P2719" s="52">
        <f>IF(COUNTIF(TblPurchases[BatchID],TblOutcomes[[#This Row],[BatchID]])&lt;&gt;1,"n.a.",TblOutcomes[[#This Row],[Qty Wasted]]*SUMIFS(TblPurchases[Unit Cost (CLP)],TblPurchases[BatchID],TblOutcomes[[#This Row],[BatchID]]))</f>
        <v>0</v>
      </c>
      <c r="Q2719" s="51">
        <f>IF(COUNTIF(TblPurchases[BatchID],TblOutcomes[[#This Row],[BatchID]])&lt;&gt;1,"n.a.",SUMIFS(TblPurchases[Purchase Date],TblPurchases[BatchID],TblOutcomes[[#This Row],[BatchID]]))</f>
        <v>45372</v>
      </c>
    </row>
    <row r="2720" spans="2:17" x14ac:dyDescent="0.25">
      <c r="B2720" s="2" t="s">
        <v>3525</v>
      </c>
      <c r="C2720" s="2" t="s">
        <v>292</v>
      </c>
      <c r="D2720" s="2" t="s">
        <v>287</v>
      </c>
      <c r="E2720" s="2" t="s">
        <v>4647</v>
      </c>
      <c r="F2720" s="2">
        <v>9</v>
      </c>
      <c r="G2720" s="2">
        <v>9</v>
      </c>
      <c r="H2720" s="2">
        <v>0</v>
      </c>
      <c r="I2720" s="1">
        <v>0</v>
      </c>
      <c r="J2720" s="26">
        <v>45446</v>
      </c>
      <c r="K2720" s="22">
        <v>31500</v>
      </c>
      <c r="L2720" s="18">
        <v>33.69</v>
      </c>
      <c r="M2720" s="22">
        <v>22950</v>
      </c>
      <c r="N2720" s="22">
        <v>8550</v>
      </c>
      <c r="O2720" s="18">
        <v>9.14</v>
      </c>
      <c r="P2720" s="52">
        <f>IF(COUNTIF(TblPurchases[BatchID],TblOutcomes[[#This Row],[BatchID]])&lt;&gt;1,"n.a.",TblOutcomes[[#This Row],[Qty Wasted]]*SUMIFS(TblPurchases[Unit Cost (CLP)],TblPurchases[BatchID],TblOutcomes[[#This Row],[BatchID]]))</f>
        <v>0</v>
      </c>
      <c r="Q2720" s="51">
        <f>IF(COUNTIF(TblPurchases[BatchID],TblOutcomes[[#This Row],[BatchID]])&lt;&gt;1,"n.a.",SUMIFS(TblPurchases[Purchase Date],TblPurchases[BatchID],TblOutcomes[[#This Row],[BatchID]]))</f>
        <v>45405</v>
      </c>
    </row>
    <row r="2721" spans="2:17" x14ac:dyDescent="0.25">
      <c r="B2721" s="2" t="s">
        <v>3526</v>
      </c>
      <c r="C2721" s="2" t="s">
        <v>292</v>
      </c>
      <c r="D2721" s="2" t="s">
        <v>287</v>
      </c>
      <c r="E2721" s="2" t="s">
        <v>4646</v>
      </c>
      <c r="F2721" s="2">
        <v>11</v>
      </c>
      <c r="G2721" s="2">
        <v>10.44</v>
      </c>
      <c r="H2721" s="2">
        <v>0.56000000000000005</v>
      </c>
      <c r="I2721" s="1">
        <v>5.0999999999999996</v>
      </c>
      <c r="J2721" s="26">
        <v>45676</v>
      </c>
      <c r="K2721" s="22">
        <v>36540</v>
      </c>
      <c r="L2721" s="18">
        <v>39.08</v>
      </c>
      <c r="M2721" s="22">
        <v>28050</v>
      </c>
      <c r="N2721" s="22">
        <v>8490</v>
      </c>
      <c r="O2721" s="18">
        <v>9.08</v>
      </c>
      <c r="P2721" s="52">
        <f>IF(COUNTIF(TblPurchases[BatchID],TblOutcomes[[#This Row],[BatchID]])&lt;&gt;1,"n.a.",TblOutcomes[[#This Row],[Qty Wasted]]*SUMIFS(TblPurchases[Unit Cost (CLP)],TblPurchases[BatchID],TblOutcomes[[#This Row],[BatchID]]))</f>
        <v>1428.0000000000002</v>
      </c>
      <c r="Q2721" s="51">
        <f>IF(COUNTIF(TblPurchases[BatchID],TblOutcomes[[#This Row],[BatchID]])&lt;&gt;1,"n.a.",SUMIFS(TblPurchases[Purchase Date],TblPurchases[BatchID],TblOutcomes[[#This Row],[BatchID]]))</f>
        <v>45436</v>
      </c>
    </row>
    <row r="2722" spans="2:17" x14ac:dyDescent="0.25">
      <c r="B2722" s="2" t="s">
        <v>3527</v>
      </c>
      <c r="C2722" s="2" t="s">
        <v>292</v>
      </c>
      <c r="D2722" s="2" t="s">
        <v>287</v>
      </c>
      <c r="E2722" s="2" t="s">
        <v>4646</v>
      </c>
      <c r="F2722" s="2">
        <v>9</v>
      </c>
      <c r="G2722" s="2">
        <v>8.36</v>
      </c>
      <c r="H2722" s="2">
        <v>0.64</v>
      </c>
      <c r="I2722" s="1">
        <v>7.1</v>
      </c>
      <c r="J2722" s="26">
        <v>45712</v>
      </c>
      <c r="K2722" s="22">
        <v>29260</v>
      </c>
      <c r="L2722" s="18">
        <v>31.29</v>
      </c>
      <c r="M2722" s="22">
        <v>22950</v>
      </c>
      <c r="N2722" s="22">
        <v>6310</v>
      </c>
      <c r="O2722" s="18">
        <v>6.75</v>
      </c>
      <c r="P2722" s="52">
        <f>IF(COUNTIF(TblPurchases[BatchID],TblOutcomes[[#This Row],[BatchID]])&lt;&gt;1,"n.a.",TblOutcomes[[#This Row],[Qty Wasted]]*SUMIFS(TblPurchases[Unit Cost (CLP)],TblPurchases[BatchID],TblOutcomes[[#This Row],[BatchID]]))</f>
        <v>1632</v>
      </c>
      <c r="Q2722" s="51">
        <f>IF(COUNTIF(TblPurchases[BatchID],TblOutcomes[[#This Row],[BatchID]])&lt;&gt;1,"n.a.",SUMIFS(TblPurchases[Purchase Date],TblPurchases[BatchID],TblOutcomes[[#This Row],[BatchID]]))</f>
        <v>45472</v>
      </c>
    </row>
    <row r="2723" spans="2:17" x14ac:dyDescent="0.25">
      <c r="B2723" s="2" t="s">
        <v>3528</v>
      </c>
      <c r="C2723" s="2" t="s">
        <v>292</v>
      </c>
      <c r="D2723" s="2" t="s">
        <v>287</v>
      </c>
      <c r="E2723" s="2" t="s">
        <v>4647</v>
      </c>
      <c r="F2723" s="2">
        <v>9</v>
      </c>
      <c r="G2723" s="2">
        <v>9</v>
      </c>
      <c r="H2723" s="2">
        <v>0</v>
      </c>
      <c r="I2723" s="1">
        <v>0</v>
      </c>
      <c r="J2723" s="26">
        <v>45536</v>
      </c>
      <c r="K2723" s="22">
        <v>31500</v>
      </c>
      <c r="L2723" s="18">
        <v>33.69</v>
      </c>
      <c r="M2723" s="22">
        <v>22950</v>
      </c>
      <c r="N2723" s="22">
        <v>8550</v>
      </c>
      <c r="O2723" s="18">
        <v>9.14</v>
      </c>
      <c r="P2723" s="52">
        <f>IF(COUNTIF(TblPurchases[BatchID],TblOutcomes[[#This Row],[BatchID]])&lt;&gt;1,"n.a.",TblOutcomes[[#This Row],[Qty Wasted]]*SUMIFS(TblPurchases[Unit Cost (CLP)],TblPurchases[BatchID],TblOutcomes[[#This Row],[BatchID]]))</f>
        <v>0</v>
      </c>
      <c r="Q2723" s="51">
        <f>IF(COUNTIF(TblPurchases[BatchID],TblOutcomes[[#This Row],[BatchID]])&lt;&gt;1,"n.a.",SUMIFS(TblPurchases[Purchase Date],TblPurchases[BatchID],TblOutcomes[[#This Row],[BatchID]]))</f>
        <v>45499</v>
      </c>
    </row>
    <row r="2724" spans="2:17" x14ac:dyDescent="0.25">
      <c r="B2724" s="2" t="s">
        <v>3529</v>
      </c>
      <c r="C2724" s="2" t="s">
        <v>292</v>
      </c>
      <c r="D2724" s="2" t="s">
        <v>287</v>
      </c>
      <c r="E2724" s="2" t="s">
        <v>4646</v>
      </c>
      <c r="F2724" s="2">
        <v>10</v>
      </c>
      <c r="G2724" s="2">
        <v>9.44</v>
      </c>
      <c r="H2724" s="2">
        <v>0.56000000000000005</v>
      </c>
      <c r="I2724" s="1">
        <v>5.6</v>
      </c>
      <c r="J2724" s="26">
        <v>45772</v>
      </c>
      <c r="K2724" s="22">
        <v>33040</v>
      </c>
      <c r="L2724" s="18">
        <v>35.340000000000003</v>
      </c>
      <c r="M2724" s="22">
        <v>25500</v>
      </c>
      <c r="N2724" s="22">
        <v>7540</v>
      </c>
      <c r="O2724" s="18">
        <v>8.06</v>
      </c>
      <c r="P2724" s="52">
        <f>IF(COUNTIF(TblPurchases[BatchID],TblOutcomes[[#This Row],[BatchID]])&lt;&gt;1,"n.a.",TblOutcomes[[#This Row],[Qty Wasted]]*SUMIFS(TblPurchases[Unit Cost (CLP)],TblPurchases[BatchID],TblOutcomes[[#This Row],[BatchID]]))</f>
        <v>1428.0000000000002</v>
      </c>
      <c r="Q2724" s="51">
        <f>IF(COUNTIF(TblPurchases[BatchID],TblOutcomes[[#This Row],[BatchID]])&lt;&gt;1,"n.a.",SUMIFS(TblPurchases[Purchase Date],TblPurchases[BatchID],TblOutcomes[[#This Row],[BatchID]]))</f>
        <v>45532</v>
      </c>
    </row>
    <row r="2725" spans="2:17" x14ac:dyDescent="0.25">
      <c r="B2725" s="2" t="s">
        <v>3530</v>
      </c>
      <c r="C2725" s="2" t="s">
        <v>292</v>
      </c>
      <c r="D2725" s="2" t="s">
        <v>287</v>
      </c>
      <c r="E2725" s="2" t="s">
        <v>4646</v>
      </c>
      <c r="F2725" s="2">
        <v>9</v>
      </c>
      <c r="G2725" s="2">
        <v>8.42</v>
      </c>
      <c r="H2725" s="2">
        <v>0.57999999999999996</v>
      </c>
      <c r="I2725" s="1">
        <v>6.5</v>
      </c>
      <c r="J2725" s="26">
        <v>45812</v>
      </c>
      <c r="K2725" s="22">
        <v>29470</v>
      </c>
      <c r="L2725" s="18">
        <v>31.52</v>
      </c>
      <c r="M2725" s="22">
        <v>22950</v>
      </c>
      <c r="N2725" s="22">
        <v>6520</v>
      </c>
      <c r="O2725" s="18">
        <v>6.97</v>
      </c>
      <c r="P2725" s="52">
        <f>IF(COUNTIF(TblPurchases[BatchID],TblOutcomes[[#This Row],[BatchID]])&lt;&gt;1,"n.a.",TblOutcomes[[#This Row],[Qty Wasted]]*SUMIFS(TblPurchases[Unit Cost (CLP)],TblPurchases[BatchID],TblOutcomes[[#This Row],[BatchID]]))</f>
        <v>1479</v>
      </c>
      <c r="Q2725" s="51">
        <f>IF(COUNTIF(TblPurchases[BatchID],TblOutcomes[[#This Row],[BatchID]])&lt;&gt;1,"n.a.",SUMIFS(TblPurchases[Purchase Date],TblPurchases[BatchID],TblOutcomes[[#This Row],[BatchID]]))</f>
        <v>45572</v>
      </c>
    </row>
    <row r="2726" spans="2:17" x14ac:dyDescent="0.25">
      <c r="B2726" s="2" t="s">
        <v>3531</v>
      </c>
      <c r="C2726" s="2" t="s">
        <v>292</v>
      </c>
      <c r="D2726" s="2" t="s">
        <v>287</v>
      </c>
      <c r="E2726" s="2" t="s">
        <v>4646</v>
      </c>
      <c r="F2726" s="2">
        <v>11</v>
      </c>
      <c r="G2726" s="2">
        <v>9.9</v>
      </c>
      <c r="H2726" s="2">
        <v>1.1000000000000001</v>
      </c>
      <c r="I2726" s="1">
        <v>10</v>
      </c>
      <c r="J2726" s="26">
        <v>45855</v>
      </c>
      <c r="K2726" s="22">
        <v>34650</v>
      </c>
      <c r="L2726" s="18">
        <v>37.06</v>
      </c>
      <c r="M2726" s="22">
        <v>28050</v>
      </c>
      <c r="N2726" s="22">
        <v>6600</v>
      </c>
      <c r="O2726" s="18">
        <v>7.06</v>
      </c>
      <c r="P2726" s="52">
        <f>IF(COUNTIF(TblPurchases[BatchID],TblOutcomes[[#This Row],[BatchID]])&lt;&gt;1,"n.a.",TblOutcomes[[#This Row],[Qty Wasted]]*SUMIFS(TblPurchases[Unit Cost (CLP)],TblPurchases[BatchID],TblOutcomes[[#This Row],[BatchID]]))</f>
        <v>2805</v>
      </c>
      <c r="Q2726" s="51">
        <f>IF(COUNTIF(TblPurchases[BatchID],TblOutcomes[[#This Row],[BatchID]])&lt;&gt;1,"n.a.",SUMIFS(TblPurchases[Purchase Date],TblPurchases[BatchID],TblOutcomes[[#This Row],[BatchID]]))</f>
        <v>45615</v>
      </c>
    </row>
    <row r="2727" spans="2:17" x14ac:dyDescent="0.25">
      <c r="B2727" s="2" t="s">
        <v>3532</v>
      </c>
      <c r="C2727" s="2" t="s">
        <v>292</v>
      </c>
      <c r="D2727" s="2" t="s">
        <v>287</v>
      </c>
      <c r="E2727" s="2" t="s">
        <v>4647</v>
      </c>
      <c r="F2727" s="2">
        <v>12</v>
      </c>
      <c r="G2727" s="2">
        <v>12</v>
      </c>
      <c r="H2727" s="2">
        <v>0</v>
      </c>
      <c r="I2727" s="1">
        <v>0</v>
      </c>
      <c r="J2727" s="26">
        <v>45687</v>
      </c>
      <c r="K2727" s="22">
        <v>42000</v>
      </c>
      <c r="L2727" s="18">
        <v>44.92</v>
      </c>
      <c r="M2727" s="22">
        <v>30600</v>
      </c>
      <c r="N2727" s="22">
        <v>11400</v>
      </c>
      <c r="O2727" s="18">
        <v>12.19</v>
      </c>
      <c r="P2727" s="52">
        <f>IF(COUNTIF(TblPurchases[BatchID],TblOutcomes[[#This Row],[BatchID]])&lt;&gt;1,"n.a.",TblOutcomes[[#This Row],[Qty Wasted]]*SUMIFS(TblPurchases[Unit Cost (CLP)],TblPurchases[BatchID],TblOutcomes[[#This Row],[BatchID]]))</f>
        <v>0</v>
      </c>
      <c r="Q2727" s="51">
        <f>IF(COUNTIF(TblPurchases[BatchID],TblOutcomes[[#This Row],[BatchID]])&lt;&gt;1,"n.a.",SUMIFS(TblPurchases[Purchase Date],TblPurchases[BatchID],TblOutcomes[[#This Row],[BatchID]]))</f>
        <v>45652</v>
      </c>
    </row>
    <row r="2728" spans="2:17" x14ac:dyDescent="0.25">
      <c r="B2728" s="2" t="s">
        <v>3533</v>
      </c>
      <c r="C2728" s="2" t="s">
        <v>292</v>
      </c>
      <c r="D2728" s="2" t="s">
        <v>287</v>
      </c>
      <c r="E2728" s="2" t="s">
        <v>4647</v>
      </c>
      <c r="F2728" s="2">
        <v>10</v>
      </c>
      <c r="G2728" s="2">
        <v>10</v>
      </c>
      <c r="H2728" s="2">
        <v>0</v>
      </c>
      <c r="I2728" s="1">
        <v>0</v>
      </c>
      <c r="J2728" s="26">
        <v>45712</v>
      </c>
      <c r="K2728" s="22">
        <v>35000</v>
      </c>
      <c r="L2728" s="18">
        <v>37.43</v>
      </c>
      <c r="M2728" s="22">
        <v>25500</v>
      </c>
      <c r="N2728" s="22">
        <v>9500</v>
      </c>
      <c r="O2728" s="18">
        <v>10.16</v>
      </c>
      <c r="P2728" s="52">
        <f>IF(COUNTIF(TblPurchases[BatchID],TblOutcomes[[#This Row],[BatchID]])&lt;&gt;1,"n.a.",TblOutcomes[[#This Row],[Qty Wasted]]*SUMIFS(TblPurchases[Unit Cost (CLP)],TblPurchases[BatchID],TblOutcomes[[#This Row],[BatchID]]))</f>
        <v>0</v>
      </c>
      <c r="Q2728" s="51">
        <f>IF(COUNTIF(TblPurchases[BatchID],TblOutcomes[[#This Row],[BatchID]])&lt;&gt;1,"n.a.",SUMIFS(TblPurchases[Purchase Date],TblPurchases[BatchID],TblOutcomes[[#This Row],[BatchID]]))</f>
        <v>45688</v>
      </c>
    </row>
    <row r="2729" spans="2:17" x14ac:dyDescent="0.25">
      <c r="B2729" s="2" t="s">
        <v>3534</v>
      </c>
      <c r="C2729" s="2" t="s">
        <v>292</v>
      </c>
      <c r="D2729" s="2" t="s">
        <v>287</v>
      </c>
      <c r="E2729" s="2" t="s">
        <v>4647</v>
      </c>
      <c r="F2729" s="2">
        <v>12</v>
      </c>
      <c r="G2729" s="2">
        <v>12</v>
      </c>
      <c r="H2729" s="2">
        <v>0</v>
      </c>
      <c r="I2729" s="1">
        <v>0</v>
      </c>
      <c r="J2729" s="26">
        <v>45966</v>
      </c>
      <c r="K2729" s="22">
        <v>42000</v>
      </c>
      <c r="L2729" s="18">
        <v>44.92</v>
      </c>
      <c r="M2729" s="22">
        <v>30600</v>
      </c>
      <c r="N2729" s="22">
        <v>11400</v>
      </c>
      <c r="O2729" s="18">
        <v>12.19</v>
      </c>
      <c r="P2729" s="52">
        <f>IF(COUNTIF(TblPurchases[BatchID],TblOutcomes[[#This Row],[BatchID]])&lt;&gt;1,"n.a.",TblOutcomes[[#This Row],[Qty Wasted]]*SUMIFS(TblPurchases[Unit Cost (CLP)],TblPurchases[BatchID],TblOutcomes[[#This Row],[BatchID]]))</f>
        <v>0</v>
      </c>
      <c r="Q2729" s="51">
        <f>IF(COUNTIF(TblPurchases[BatchID],TblOutcomes[[#This Row],[BatchID]])&lt;&gt;1,"n.a.",SUMIFS(TblPurchases[Purchase Date],TblPurchases[BatchID],TblOutcomes[[#This Row],[BatchID]]))</f>
        <v>45726</v>
      </c>
    </row>
    <row r="2730" spans="2:17" x14ac:dyDescent="0.25">
      <c r="B2730" s="2" t="s">
        <v>3535</v>
      </c>
      <c r="C2730" s="2" t="s">
        <v>292</v>
      </c>
      <c r="D2730" s="2" t="s">
        <v>287</v>
      </c>
      <c r="E2730" s="2" t="s">
        <v>4647</v>
      </c>
      <c r="F2730" s="2">
        <v>11</v>
      </c>
      <c r="G2730" s="2">
        <v>11</v>
      </c>
      <c r="H2730" s="2">
        <v>0</v>
      </c>
      <c r="I2730" s="1">
        <v>0</v>
      </c>
      <c r="J2730" s="26">
        <v>45789</v>
      </c>
      <c r="K2730" s="22">
        <v>38500</v>
      </c>
      <c r="L2730" s="18">
        <v>41.18</v>
      </c>
      <c r="M2730" s="22">
        <v>28050</v>
      </c>
      <c r="N2730" s="22">
        <v>10450</v>
      </c>
      <c r="O2730" s="18">
        <v>11.18</v>
      </c>
      <c r="P2730" s="52">
        <f>IF(COUNTIF(TblPurchases[BatchID],TblOutcomes[[#This Row],[BatchID]])&lt;&gt;1,"n.a.",TblOutcomes[[#This Row],[Qty Wasted]]*SUMIFS(TblPurchases[Unit Cost (CLP)],TblPurchases[BatchID],TblOutcomes[[#This Row],[BatchID]]))</f>
        <v>0</v>
      </c>
      <c r="Q2730" s="51">
        <f>IF(COUNTIF(TblPurchases[BatchID],TblOutcomes[[#This Row],[BatchID]])&lt;&gt;1,"n.a.",SUMIFS(TblPurchases[Purchase Date],TblPurchases[BatchID],TblOutcomes[[#This Row],[BatchID]]))</f>
        <v>45759</v>
      </c>
    </row>
    <row r="2731" spans="2:17" x14ac:dyDescent="0.25">
      <c r="B2731" s="2" t="s">
        <v>3536</v>
      </c>
      <c r="C2731" s="2" t="s">
        <v>292</v>
      </c>
      <c r="D2731" s="2" t="s">
        <v>287</v>
      </c>
      <c r="E2731" s="2" t="s">
        <v>4647</v>
      </c>
      <c r="F2731" s="2">
        <v>11</v>
      </c>
      <c r="G2731" s="2">
        <v>11</v>
      </c>
      <c r="H2731" s="2">
        <v>0</v>
      </c>
      <c r="I2731" s="1">
        <v>0</v>
      </c>
      <c r="J2731" s="26">
        <v>45825</v>
      </c>
      <c r="K2731" s="22">
        <v>38500</v>
      </c>
      <c r="L2731" s="18">
        <v>41.18</v>
      </c>
      <c r="M2731" s="22">
        <v>28050</v>
      </c>
      <c r="N2731" s="22">
        <v>10450</v>
      </c>
      <c r="O2731" s="18">
        <v>11.18</v>
      </c>
      <c r="P2731" s="52">
        <f>IF(COUNTIF(TblPurchases[BatchID],TblOutcomes[[#This Row],[BatchID]])&lt;&gt;1,"n.a.",TblOutcomes[[#This Row],[Qty Wasted]]*SUMIFS(TblPurchases[Unit Cost (CLP)],TblPurchases[BatchID],TblOutcomes[[#This Row],[BatchID]]))</f>
        <v>0</v>
      </c>
      <c r="Q2731" s="51">
        <f>IF(COUNTIF(TblPurchases[BatchID],TblOutcomes[[#This Row],[BatchID]])&lt;&gt;1,"n.a.",SUMIFS(TblPurchases[Purchase Date],TblPurchases[BatchID],TblOutcomes[[#This Row],[BatchID]]))</f>
        <v>45788</v>
      </c>
    </row>
    <row r="2732" spans="2:17" x14ac:dyDescent="0.25">
      <c r="B2732" s="2" t="s">
        <v>3537</v>
      </c>
      <c r="C2732" s="2" t="s">
        <v>292</v>
      </c>
      <c r="D2732" s="2" t="s">
        <v>287</v>
      </c>
      <c r="E2732" s="2" t="s">
        <v>4646</v>
      </c>
      <c r="F2732" s="2">
        <v>12</v>
      </c>
      <c r="G2732" s="2">
        <v>11.4</v>
      </c>
      <c r="H2732" s="2">
        <v>0.6</v>
      </c>
      <c r="I2732" s="1">
        <v>5</v>
      </c>
      <c r="J2732" s="26">
        <v>46066</v>
      </c>
      <c r="K2732" s="22">
        <v>39900</v>
      </c>
      <c r="L2732" s="18">
        <v>42.67</v>
      </c>
      <c r="M2732" s="22">
        <v>30600</v>
      </c>
      <c r="N2732" s="22">
        <v>9300</v>
      </c>
      <c r="O2732" s="18">
        <v>9.9499999999999993</v>
      </c>
      <c r="P2732" s="52">
        <f>IF(COUNTIF(TblPurchases[BatchID],TblOutcomes[[#This Row],[BatchID]])&lt;&gt;1,"n.a.",TblOutcomes[[#This Row],[Qty Wasted]]*SUMIFS(TblPurchases[Unit Cost (CLP)],TblPurchases[BatchID],TblOutcomes[[#This Row],[BatchID]]))</f>
        <v>1530</v>
      </c>
      <c r="Q2732" s="51">
        <f>IF(COUNTIF(TblPurchases[BatchID],TblOutcomes[[#This Row],[BatchID]])&lt;&gt;1,"n.a.",SUMIFS(TblPurchases[Purchase Date],TblPurchases[BatchID],TblOutcomes[[#This Row],[BatchID]]))</f>
        <v>45826</v>
      </c>
    </row>
    <row r="2733" spans="2:17" x14ac:dyDescent="0.25">
      <c r="B2733" s="2" t="s">
        <v>3538</v>
      </c>
      <c r="C2733" s="2" t="s">
        <v>294</v>
      </c>
      <c r="D2733" s="2" t="s">
        <v>287</v>
      </c>
      <c r="E2733" s="2" t="s">
        <v>4647</v>
      </c>
      <c r="F2733" s="2">
        <v>11</v>
      </c>
      <c r="G2733" s="2">
        <v>11</v>
      </c>
      <c r="H2733" s="2">
        <v>0</v>
      </c>
      <c r="I2733" s="1">
        <v>0</v>
      </c>
      <c r="J2733" s="26">
        <v>45177</v>
      </c>
      <c r="K2733" s="22">
        <v>49500</v>
      </c>
      <c r="L2733" s="18">
        <v>52.94</v>
      </c>
      <c r="M2733" s="22">
        <v>36300</v>
      </c>
      <c r="N2733" s="22">
        <v>13200</v>
      </c>
      <c r="O2733" s="18">
        <v>14.12</v>
      </c>
      <c r="P2733" s="52">
        <f>IF(COUNTIF(TblPurchases[BatchID],TblOutcomes[[#This Row],[BatchID]])&lt;&gt;1,"n.a.",TblOutcomes[[#This Row],[Qty Wasted]]*SUMIFS(TblPurchases[Unit Cost (CLP)],TblPurchases[BatchID],TblOutcomes[[#This Row],[BatchID]]))</f>
        <v>0</v>
      </c>
      <c r="Q2733" s="51">
        <f>IF(COUNTIF(TblPurchases[BatchID],TblOutcomes[[#This Row],[BatchID]])&lt;&gt;1,"n.a.",SUMIFS(TblPurchases[Purchase Date],TblPurchases[BatchID],TblOutcomes[[#This Row],[BatchID]]))</f>
        <v>45136</v>
      </c>
    </row>
    <row r="2734" spans="2:17" x14ac:dyDescent="0.25">
      <c r="B2734" s="2" t="s">
        <v>3539</v>
      </c>
      <c r="C2734" s="2" t="s">
        <v>294</v>
      </c>
      <c r="D2734" s="2" t="s">
        <v>287</v>
      </c>
      <c r="E2734" s="2" t="s">
        <v>4647</v>
      </c>
      <c r="F2734" s="2">
        <v>13</v>
      </c>
      <c r="G2734" s="2">
        <v>13</v>
      </c>
      <c r="H2734" s="2">
        <v>0</v>
      </c>
      <c r="I2734" s="1">
        <v>0</v>
      </c>
      <c r="J2734" s="26">
        <v>45193</v>
      </c>
      <c r="K2734" s="22">
        <v>58500</v>
      </c>
      <c r="L2734" s="18">
        <v>62.57</v>
      </c>
      <c r="M2734" s="22">
        <v>42900</v>
      </c>
      <c r="N2734" s="22">
        <v>15600</v>
      </c>
      <c r="O2734" s="18">
        <v>16.68</v>
      </c>
      <c r="P2734" s="52">
        <f>IF(COUNTIF(TblPurchases[BatchID],TblOutcomes[[#This Row],[BatchID]])&lt;&gt;1,"n.a.",TblOutcomes[[#This Row],[Qty Wasted]]*SUMIFS(TblPurchases[Unit Cost (CLP)],TblPurchases[BatchID],TblOutcomes[[#This Row],[BatchID]]))</f>
        <v>0</v>
      </c>
      <c r="Q2734" s="51">
        <f>IF(COUNTIF(TblPurchases[BatchID],TblOutcomes[[#This Row],[BatchID]])&lt;&gt;1,"n.a.",SUMIFS(TblPurchases[Purchase Date],TblPurchases[BatchID],TblOutcomes[[#This Row],[BatchID]]))</f>
        <v>45172</v>
      </c>
    </row>
    <row r="2735" spans="2:17" x14ac:dyDescent="0.25">
      <c r="B2735" s="2" t="s">
        <v>3540</v>
      </c>
      <c r="C2735" s="2" t="s">
        <v>294</v>
      </c>
      <c r="D2735" s="2" t="s">
        <v>287</v>
      </c>
      <c r="E2735" s="2" t="s">
        <v>4647</v>
      </c>
      <c r="F2735" s="2">
        <v>11</v>
      </c>
      <c r="G2735" s="2">
        <v>11</v>
      </c>
      <c r="H2735" s="2">
        <v>0</v>
      </c>
      <c r="I2735" s="1">
        <v>0</v>
      </c>
      <c r="J2735" s="26">
        <v>45228</v>
      </c>
      <c r="K2735" s="22">
        <v>49500</v>
      </c>
      <c r="L2735" s="18">
        <v>52.94</v>
      </c>
      <c r="M2735" s="22">
        <v>36300</v>
      </c>
      <c r="N2735" s="22">
        <v>13200</v>
      </c>
      <c r="O2735" s="18">
        <v>14.12</v>
      </c>
      <c r="P2735" s="52">
        <f>IF(COUNTIF(TblPurchases[BatchID],TblOutcomes[[#This Row],[BatchID]])&lt;&gt;1,"n.a.",TblOutcomes[[#This Row],[Qty Wasted]]*SUMIFS(TblPurchases[Unit Cost (CLP)],TblPurchases[BatchID],TblOutcomes[[#This Row],[BatchID]]))</f>
        <v>0</v>
      </c>
      <c r="Q2735" s="51">
        <f>IF(COUNTIF(TblPurchases[BatchID],TblOutcomes[[#This Row],[BatchID]])&lt;&gt;1,"n.a.",SUMIFS(TblPurchases[Purchase Date],TblPurchases[BatchID],TblOutcomes[[#This Row],[BatchID]]))</f>
        <v>45202</v>
      </c>
    </row>
    <row r="2736" spans="2:17" x14ac:dyDescent="0.25">
      <c r="B2736" s="2" t="s">
        <v>3541</v>
      </c>
      <c r="C2736" s="2" t="s">
        <v>294</v>
      </c>
      <c r="D2736" s="2" t="s">
        <v>287</v>
      </c>
      <c r="E2736" s="2" t="s">
        <v>4646</v>
      </c>
      <c r="F2736" s="2">
        <v>10</v>
      </c>
      <c r="G2736" s="2">
        <v>9.52</v>
      </c>
      <c r="H2736" s="2">
        <v>0.48</v>
      </c>
      <c r="I2736" s="1">
        <v>4.8</v>
      </c>
      <c r="J2736" s="26">
        <v>45478</v>
      </c>
      <c r="K2736" s="22">
        <v>42840</v>
      </c>
      <c r="L2736" s="18">
        <v>45.82</v>
      </c>
      <c r="M2736" s="22">
        <v>33000</v>
      </c>
      <c r="N2736" s="22">
        <v>9840</v>
      </c>
      <c r="O2736" s="18">
        <v>10.52</v>
      </c>
      <c r="P2736" s="52">
        <f>IF(COUNTIF(TblPurchases[BatchID],TblOutcomes[[#This Row],[BatchID]])&lt;&gt;1,"n.a.",TblOutcomes[[#This Row],[Qty Wasted]]*SUMIFS(TblPurchases[Unit Cost (CLP)],TblPurchases[BatchID],TblOutcomes[[#This Row],[BatchID]]))</f>
        <v>1584</v>
      </c>
      <c r="Q2736" s="51">
        <f>IF(COUNTIF(TblPurchases[BatchID],TblOutcomes[[#This Row],[BatchID]])&lt;&gt;1,"n.a.",SUMIFS(TblPurchases[Purchase Date],TblPurchases[BatchID],TblOutcomes[[#This Row],[BatchID]]))</f>
        <v>45238</v>
      </c>
    </row>
    <row r="2737" spans="2:17" x14ac:dyDescent="0.25">
      <c r="B2737" s="2" t="s">
        <v>3542</v>
      </c>
      <c r="C2737" s="2" t="s">
        <v>294</v>
      </c>
      <c r="D2737" s="2" t="s">
        <v>287</v>
      </c>
      <c r="E2737" s="2" t="s">
        <v>4646</v>
      </c>
      <c r="F2737" s="2">
        <v>13</v>
      </c>
      <c r="G2737" s="2">
        <v>11.92</v>
      </c>
      <c r="H2737" s="2">
        <v>1.08</v>
      </c>
      <c r="I2737" s="1">
        <v>8.3000000000000007</v>
      </c>
      <c r="J2737" s="26">
        <v>45519</v>
      </c>
      <c r="K2737" s="22">
        <v>53640</v>
      </c>
      <c r="L2737" s="18">
        <v>57.37</v>
      </c>
      <c r="M2737" s="22">
        <v>42900</v>
      </c>
      <c r="N2737" s="22">
        <v>10740</v>
      </c>
      <c r="O2737" s="18">
        <v>11.49</v>
      </c>
      <c r="P2737" s="52">
        <f>IF(COUNTIF(TblPurchases[BatchID],TblOutcomes[[#This Row],[BatchID]])&lt;&gt;1,"n.a.",TblOutcomes[[#This Row],[Qty Wasted]]*SUMIFS(TblPurchases[Unit Cost (CLP)],TblPurchases[BatchID],TblOutcomes[[#This Row],[BatchID]]))</f>
        <v>3564.0000000000005</v>
      </c>
      <c r="Q2737" s="51">
        <f>IF(COUNTIF(TblPurchases[BatchID],TblOutcomes[[#This Row],[BatchID]])&lt;&gt;1,"n.a.",SUMIFS(TblPurchases[Purchase Date],TblPurchases[BatchID],TblOutcomes[[#This Row],[BatchID]]))</f>
        <v>45279</v>
      </c>
    </row>
    <row r="2738" spans="2:17" x14ac:dyDescent="0.25">
      <c r="B2738" s="2" t="s">
        <v>3543</v>
      </c>
      <c r="C2738" s="2" t="s">
        <v>294</v>
      </c>
      <c r="D2738" s="2" t="s">
        <v>287</v>
      </c>
      <c r="E2738" s="2" t="s">
        <v>4646</v>
      </c>
      <c r="F2738" s="2">
        <v>11</v>
      </c>
      <c r="G2738" s="2">
        <v>10.56</v>
      </c>
      <c r="H2738" s="2">
        <v>0.44</v>
      </c>
      <c r="I2738" s="1">
        <v>4</v>
      </c>
      <c r="J2738" s="26">
        <v>45548</v>
      </c>
      <c r="K2738" s="22">
        <v>47520</v>
      </c>
      <c r="L2738" s="18">
        <v>50.82</v>
      </c>
      <c r="M2738" s="22">
        <v>36300</v>
      </c>
      <c r="N2738" s="22">
        <v>11220</v>
      </c>
      <c r="O2738" s="18">
        <v>12</v>
      </c>
      <c r="P2738" s="52">
        <f>IF(COUNTIF(TblPurchases[BatchID],TblOutcomes[[#This Row],[BatchID]])&lt;&gt;1,"n.a.",TblOutcomes[[#This Row],[Qty Wasted]]*SUMIFS(TblPurchases[Unit Cost (CLP)],TblPurchases[BatchID],TblOutcomes[[#This Row],[BatchID]]))</f>
        <v>1452</v>
      </c>
      <c r="Q2738" s="51">
        <f>IF(COUNTIF(TblPurchases[BatchID],TblOutcomes[[#This Row],[BatchID]])&lt;&gt;1,"n.a.",SUMIFS(TblPurchases[Purchase Date],TblPurchases[BatchID],TblOutcomes[[#This Row],[BatchID]]))</f>
        <v>45308</v>
      </c>
    </row>
    <row r="2739" spans="2:17" x14ac:dyDescent="0.25">
      <c r="B2739" s="2" t="s">
        <v>3544</v>
      </c>
      <c r="C2739" s="2" t="s">
        <v>294</v>
      </c>
      <c r="D2739" s="2" t="s">
        <v>287</v>
      </c>
      <c r="E2739" s="2" t="s">
        <v>4647</v>
      </c>
      <c r="F2739" s="2">
        <v>10</v>
      </c>
      <c r="G2739" s="2">
        <v>10</v>
      </c>
      <c r="H2739" s="2">
        <v>0</v>
      </c>
      <c r="I2739" s="1">
        <v>0</v>
      </c>
      <c r="J2739" s="26">
        <v>45375</v>
      </c>
      <c r="K2739" s="22">
        <v>45000</v>
      </c>
      <c r="L2739" s="18">
        <v>48.13</v>
      </c>
      <c r="M2739" s="22">
        <v>33000</v>
      </c>
      <c r="N2739" s="22">
        <v>12000</v>
      </c>
      <c r="O2739" s="18">
        <v>12.83</v>
      </c>
      <c r="P2739" s="52">
        <f>IF(COUNTIF(TblPurchases[BatchID],TblOutcomes[[#This Row],[BatchID]])&lt;&gt;1,"n.a.",TblOutcomes[[#This Row],[Qty Wasted]]*SUMIFS(TblPurchases[Unit Cost (CLP)],TblPurchases[BatchID],TblOutcomes[[#This Row],[BatchID]]))</f>
        <v>0</v>
      </c>
      <c r="Q2739" s="51">
        <f>IF(COUNTIF(TblPurchases[BatchID],TblOutcomes[[#This Row],[BatchID]])&lt;&gt;1,"n.a.",SUMIFS(TblPurchases[Purchase Date],TblPurchases[BatchID],TblOutcomes[[#This Row],[BatchID]]))</f>
        <v>45351</v>
      </c>
    </row>
    <row r="2740" spans="2:17" x14ac:dyDescent="0.25">
      <c r="B2740" s="2" t="s">
        <v>3545</v>
      </c>
      <c r="C2740" s="2" t="s">
        <v>294</v>
      </c>
      <c r="D2740" s="2" t="s">
        <v>287</v>
      </c>
      <c r="E2740" s="2" t="s">
        <v>4647</v>
      </c>
      <c r="F2740" s="2">
        <v>11</v>
      </c>
      <c r="G2740" s="2">
        <v>11</v>
      </c>
      <c r="H2740" s="2">
        <v>0</v>
      </c>
      <c r="I2740" s="1">
        <v>0</v>
      </c>
      <c r="J2740" s="26">
        <v>45398</v>
      </c>
      <c r="K2740" s="22">
        <v>49500</v>
      </c>
      <c r="L2740" s="18">
        <v>52.94</v>
      </c>
      <c r="M2740" s="22">
        <v>36300</v>
      </c>
      <c r="N2740" s="22">
        <v>13200</v>
      </c>
      <c r="O2740" s="18">
        <v>14.12</v>
      </c>
      <c r="P2740" s="52">
        <f>IF(COUNTIF(TblPurchases[BatchID],TblOutcomes[[#This Row],[BatchID]])&lt;&gt;1,"n.a.",TblOutcomes[[#This Row],[Qty Wasted]]*SUMIFS(TblPurchases[Unit Cost (CLP)],TblPurchases[BatchID],TblOutcomes[[#This Row],[BatchID]]))</f>
        <v>0</v>
      </c>
      <c r="Q2740" s="51">
        <f>IF(COUNTIF(TblPurchases[BatchID],TblOutcomes[[#This Row],[BatchID]])&lt;&gt;1,"n.a.",SUMIFS(TblPurchases[Purchase Date],TblPurchases[BatchID],TblOutcomes[[#This Row],[BatchID]]))</f>
        <v>45376</v>
      </c>
    </row>
    <row r="2741" spans="2:17" x14ac:dyDescent="0.25">
      <c r="B2741" s="2" t="s">
        <v>3546</v>
      </c>
      <c r="C2741" s="2" t="s">
        <v>294</v>
      </c>
      <c r="D2741" s="2" t="s">
        <v>287</v>
      </c>
      <c r="E2741" s="2" t="s">
        <v>4646</v>
      </c>
      <c r="F2741" s="2">
        <v>11</v>
      </c>
      <c r="G2741" s="2">
        <v>10.25</v>
      </c>
      <c r="H2741" s="2">
        <v>0.75</v>
      </c>
      <c r="I2741" s="1">
        <v>6.8</v>
      </c>
      <c r="J2741" s="26">
        <v>45656</v>
      </c>
      <c r="K2741" s="22">
        <v>46125</v>
      </c>
      <c r="L2741" s="18">
        <v>49.33</v>
      </c>
      <c r="M2741" s="22">
        <v>36300</v>
      </c>
      <c r="N2741" s="22">
        <v>9825</v>
      </c>
      <c r="O2741" s="18">
        <v>10.51</v>
      </c>
      <c r="P2741" s="52">
        <f>IF(COUNTIF(TblPurchases[BatchID],TblOutcomes[[#This Row],[BatchID]])&lt;&gt;1,"n.a.",TblOutcomes[[#This Row],[Qty Wasted]]*SUMIFS(TblPurchases[Unit Cost (CLP)],TblPurchases[BatchID],TblOutcomes[[#This Row],[BatchID]]))</f>
        <v>2475</v>
      </c>
      <c r="Q2741" s="51">
        <f>IF(COUNTIF(TblPurchases[BatchID],TblOutcomes[[#This Row],[BatchID]])&lt;&gt;1,"n.a.",SUMIFS(TblPurchases[Purchase Date],TblPurchases[BatchID],TblOutcomes[[#This Row],[BatchID]]))</f>
        <v>45416</v>
      </c>
    </row>
    <row r="2742" spans="2:17" x14ac:dyDescent="0.25">
      <c r="B2742" s="2" t="s">
        <v>3547</v>
      </c>
      <c r="C2742" s="2" t="s">
        <v>294</v>
      </c>
      <c r="D2742" s="2" t="s">
        <v>287</v>
      </c>
      <c r="E2742" s="2" t="s">
        <v>4647</v>
      </c>
      <c r="F2742" s="2">
        <v>9</v>
      </c>
      <c r="G2742" s="2">
        <v>9</v>
      </c>
      <c r="H2742" s="2">
        <v>0</v>
      </c>
      <c r="I2742" s="1">
        <v>0</v>
      </c>
      <c r="J2742" s="26">
        <v>45491</v>
      </c>
      <c r="K2742" s="22">
        <v>40500</v>
      </c>
      <c r="L2742" s="18">
        <v>43.32</v>
      </c>
      <c r="M2742" s="22">
        <v>29700</v>
      </c>
      <c r="N2742" s="22">
        <v>10800</v>
      </c>
      <c r="O2742" s="18">
        <v>11.55</v>
      </c>
      <c r="P2742" s="52">
        <f>IF(COUNTIF(TblPurchases[BatchID],TblOutcomes[[#This Row],[BatchID]])&lt;&gt;1,"n.a.",TblOutcomes[[#This Row],[Qty Wasted]]*SUMIFS(TblPurchases[Unit Cost (CLP)],TblPurchases[BatchID],TblOutcomes[[#This Row],[BatchID]]))</f>
        <v>0</v>
      </c>
      <c r="Q2742" s="51">
        <f>IF(COUNTIF(TblPurchases[BatchID],TblOutcomes[[#This Row],[BatchID]])&lt;&gt;1,"n.a.",SUMIFS(TblPurchases[Purchase Date],TblPurchases[BatchID],TblOutcomes[[#This Row],[BatchID]]))</f>
        <v>45456</v>
      </c>
    </row>
    <row r="2743" spans="2:17" x14ac:dyDescent="0.25">
      <c r="B2743" s="2" t="s">
        <v>3548</v>
      </c>
      <c r="C2743" s="2" t="s">
        <v>294</v>
      </c>
      <c r="D2743" s="2" t="s">
        <v>287</v>
      </c>
      <c r="E2743" s="2" t="s">
        <v>4646</v>
      </c>
      <c r="F2743" s="2">
        <v>11</v>
      </c>
      <c r="G2743" s="2">
        <v>10.29</v>
      </c>
      <c r="H2743" s="2">
        <v>0.72</v>
      </c>
      <c r="I2743" s="1">
        <v>6.5</v>
      </c>
      <c r="J2743" s="26">
        <v>45731</v>
      </c>
      <c r="K2743" s="22">
        <v>46305</v>
      </c>
      <c r="L2743" s="18">
        <v>49.52</v>
      </c>
      <c r="M2743" s="22">
        <v>36300</v>
      </c>
      <c r="N2743" s="22">
        <v>10005</v>
      </c>
      <c r="O2743" s="18">
        <v>10.7</v>
      </c>
      <c r="P2743" s="52">
        <f>IF(COUNTIF(TblPurchases[BatchID],TblOutcomes[[#This Row],[BatchID]])&lt;&gt;1,"n.a.",TblOutcomes[[#This Row],[Qty Wasted]]*SUMIFS(TblPurchases[Unit Cost (CLP)],TblPurchases[BatchID],TblOutcomes[[#This Row],[BatchID]]))</f>
        <v>2376</v>
      </c>
      <c r="Q2743" s="51">
        <f>IF(COUNTIF(TblPurchases[BatchID],TblOutcomes[[#This Row],[BatchID]])&lt;&gt;1,"n.a.",SUMIFS(TblPurchases[Purchase Date],TblPurchases[BatchID],TblOutcomes[[#This Row],[BatchID]]))</f>
        <v>45491</v>
      </c>
    </row>
    <row r="2744" spans="2:17" x14ac:dyDescent="0.25">
      <c r="B2744" s="2" t="s">
        <v>3549</v>
      </c>
      <c r="C2744" s="2" t="s">
        <v>294</v>
      </c>
      <c r="D2744" s="2" t="s">
        <v>287</v>
      </c>
      <c r="E2744" s="2" t="s">
        <v>4647</v>
      </c>
      <c r="F2744" s="2">
        <v>10</v>
      </c>
      <c r="G2744" s="2">
        <v>10</v>
      </c>
      <c r="H2744" s="2">
        <v>0</v>
      </c>
      <c r="I2744" s="1">
        <v>0</v>
      </c>
      <c r="J2744" s="26">
        <v>45564</v>
      </c>
      <c r="K2744" s="22">
        <v>45000</v>
      </c>
      <c r="L2744" s="18">
        <v>48.13</v>
      </c>
      <c r="M2744" s="22">
        <v>34500</v>
      </c>
      <c r="N2744" s="22">
        <v>10500</v>
      </c>
      <c r="O2744" s="18">
        <v>11.23</v>
      </c>
      <c r="P2744" s="52">
        <f>IF(COUNTIF(TblPurchases[BatchID],TblOutcomes[[#This Row],[BatchID]])&lt;&gt;1,"n.a.",TblOutcomes[[#This Row],[Qty Wasted]]*SUMIFS(TblPurchases[Unit Cost (CLP)],TblPurchases[BatchID],TblOutcomes[[#This Row],[BatchID]]))</f>
        <v>0</v>
      </c>
      <c r="Q2744" s="51">
        <f>IF(COUNTIF(TblPurchases[BatchID],TblOutcomes[[#This Row],[BatchID]])&lt;&gt;1,"n.a.",SUMIFS(TblPurchases[Purchase Date],TblPurchases[BatchID],TblOutcomes[[#This Row],[BatchID]]))</f>
        <v>45528</v>
      </c>
    </row>
    <row r="2745" spans="2:17" x14ac:dyDescent="0.25">
      <c r="B2745" s="2" t="s">
        <v>3550</v>
      </c>
      <c r="C2745" s="2" t="s">
        <v>294</v>
      </c>
      <c r="D2745" s="2" t="s">
        <v>287</v>
      </c>
      <c r="E2745" s="2" t="s">
        <v>4647</v>
      </c>
      <c r="F2745" s="2">
        <v>14</v>
      </c>
      <c r="G2745" s="2">
        <v>14</v>
      </c>
      <c r="H2745" s="2">
        <v>0</v>
      </c>
      <c r="I2745" s="1">
        <v>0</v>
      </c>
      <c r="J2745" s="26">
        <v>45579</v>
      </c>
      <c r="K2745" s="22">
        <v>63000</v>
      </c>
      <c r="L2745" s="18">
        <v>67.38</v>
      </c>
      <c r="M2745" s="22">
        <v>46200</v>
      </c>
      <c r="N2745" s="22">
        <v>16800</v>
      </c>
      <c r="O2745" s="18">
        <v>17.97</v>
      </c>
      <c r="P2745" s="52">
        <f>IF(COUNTIF(TblPurchases[BatchID],TblOutcomes[[#This Row],[BatchID]])&lt;&gt;1,"n.a.",TblOutcomes[[#This Row],[Qty Wasted]]*SUMIFS(TblPurchases[Unit Cost (CLP)],TblPurchases[BatchID],TblOutcomes[[#This Row],[BatchID]]))</f>
        <v>0</v>
      </c>
      <c r="Q2745" s="51">
        <f>IF(COUNTIF(TblPurchases[BatchID],TblOutcomes[[#This Row],[BatchID]])&lt;&gt;1,"n.a.",SUMIFS(TblPurchases[Purchase Date],TblPurchases[BatchID],TblOutcomes[[#This Row],[BatchID]]))</f>
        <v>45557</v>
      </c>
    </row>
    <row r="2746" spans="2:17" x14ac:dyDescent="0.25">
      <c r="B2746" s="2" t="s">
        <v>3551</v>
      </c>
      <c r="C2746" s="2" t="s">
        <v>294</v>
      </c>
      <c r="D2746" s="2" t="s">
        <v>287</v>
      </c>
      <c r="E2746" s="2" t="s">
        <v>4646</v>
      </c>
      <c r="F2746" s="2">
        <v>11</v>
      </c>
      <c r="G2746" s="2">
        <v>10.63</v>
      </c>
      <c r="H2746" s="2">
        <v>0.37</v>
      </c>
      <c r="I2746" s="1">
        <v>3.4</v>
      </c>
      <c r="J2746" s="26">
        <v>45824</v>
      </c>
      <c r="K2746" s="22">
        <v>47835</v>
      </c>
      <c r="L2746" s="18">
        <v>51.16</v>
      </c>
      <c r="M2746" s="22">
        <v>36300</v>
      </c>
      <c r="N2746" s="22">
        <v>11535</v>
      </c>
      <c r="O2746" s="18">
        <v>12.34</v>
      </c>
      <c r="P2746" s="52">
        <f>IF(COUNTIF(TblPurchases[BatchID],TblOutcomes[[#This Row],[BatchID]])&lt;&gt;1,"n.a.",TblOutcomes[[#This Row],[Qty Wasted]]*SUMIFS(TblPurchases[Unit Cost (CLP)],TblPurchases[BatchID],TblOutcomes[[#This Row],[BatchID]]))</f>
        <v>1221</v>
      </c>
      <c r="Q2746" s="51">
        <f>IF(COUNTIF(TblPurchases[BatchID],TblOutcomes[[#This Row],[BatchID]])&lt;&gt;1,"n.a.",SUMIFS(TblPurchases[Purchase Date],TblPurchases[BatchID],TblOutcomes[[#This Row],[BatchID]]))</f>
        <v>45584</v>
      </c>
    </row>
    <row r="2747" spans="2:17" x14ac:dyDescent="0.25">
      <c r="B2747" s="2" t="s">
        <v>3552</v>
      </c>
      <c r="C2747" s="2" t="s">
        <v>294</v>
      </c>
      <c r="D2747" s="2" t="s">
        <v>287</v>
      </c>
      <c r="E2747" s="2" t="s">
        <v>4647</v>
      </c>
      <c r="F2747" s="2">
        <v>11</v>
      </c>
      <c r="G2747" s="2">
        <v>11</v>
      </c>
      <c r="H2747" s="2">
        <v>0</v>
      </c>
      <c r="I2747" s="1">
        <v>0</v>
      </c>
      <c r="J2747" s="26">
        <v>45651</v>
      </c>
      <c r="K2747" s="22">
        <v>49500</v>
      </c>
      <c r="L2747" s="18">
        <v>52.94</v>
      </c>
      <c r="M2747" s="22">
        <v>37950</v>
      </c>
      <c r="N2747" s="22">
        <v>11550</v>
      </c>
      <c r="O2747" s="18">
        <v>12.35</v>
      </c>
      <c r="P2747" s="52">
        <f>IF(COUNTIF(TblPurchases[BatchID],TblOutcomes[[#This Row],[BatchID]])&lt;&gt;1,"n.a.",TblOutcomes[[#This Row],[Qty Wasted]]*SUMIFS(TblPurchases[Unit Cost (CLP)],TblPurchases[BatchID],TblOutcomes[[#This Row],[BatchID]]))</f>
        <v>0</v>
      </c>
      <c r="Q2747" s="51">
        <f>IF(COUNTIF(TblPurchases[BatchID],TblOutcomes[[#This Row],[BatchID]])&lt;&gt;1,"n.a.",SUMIFS(TblPurchases[Purchase Date],TblPurchases[BatchID],TblOutcomes[[#This Row],[BatchID]]))</f>
        <v>45616</v>
      </c>
    </row>
    <row r="2748" spans="2:17" x14ac:dyDescent="0.25">
      <c r="B2748" s="2" t="s">
        <v>3553</v>
      </c>
      <c r="C2748" s="2" t="s">
        <v>294</v>
      </c>
      <c r="D2748" s="2" t="s">
        <v>287</v>
      </c>
      <c r="E2748" s="2" t="s">
        <v>4647</v>
      </c>
      <c r="F2748" s="2">
        <v>14</v>
      </c>
      <c r="G2748" s="2">
        <v>14</v>
      </c>
      <c r="H2748" s="2">
        <v>0</v>
      </c>
      <c r="I2748" s="1">
        <v>0</v>
      </c>
      <c r="J2748" s="26">
        <v>45684</v>
      </c>
      <c r="K2748" s="22">
        <v>63000</v>
      </c>
      <c r="L2748" s="18">
        <v>67.38</v>
      </c>
      <c r="M2748" s="22">
        <v>46200</v>
      </c>
      <c r="N2748" s="22">
        <v>16800</v>
      </c>
      <c r="O2748" s="18">
        <v>17.97</v>
      </c>
      <c r="P2748" s="52">
        <f>IF(COUNTIF(TblPurchases[BatchID],TblOutcomes[[#This Row],[BatchID]])&lt;&gt;1,"n.a.",TblOutcomes[[#This Row],[Qty Wasted]]*SUMIFS(TblPurchases[Unit Cost (CLP)],TblPurchases[BatchID],TblOutcomes[[#This Row],[BatchID]]))</f>
        <v>0</v>
      </c>
      <c r="Q2748" s="51">
        <f>IF(COUNTIF(TblPurchases[BatchID],TblOutcomes[[#This Row],[BatchID]])&lt;&gt;1,"n.a.",SUMIFS(TblPurchases[Purchase Date],TblPurchases[BatchID],TblOutcomes[[#This Row],[BatchID]]))</f>
        <v>45648</v>
      </c>
    </row>
    <row r="2749" spans="2:17" x14ac:dyDescent="0.25">
      <c r="B2749" s="2" t="s">
        <v>3554</v>
      </c>
      <c r="C2749" s="2" t="s">
        <v>294</v>
      </c>
      <c r="D2749" s="2" t="s">
        <v>287</v>
      </c>
      <c r="E2749" s="2" t="s">
        <v>4646</v>
      </c>
      <c r="F2749" s="2">
        <v>10</v>
      </c>
      <c r="G2749" s="2">
        <v>9.41</v>
      </c>
      <c r="H2749" s="2">
        <v>0.59</v>
      </c>
      <c r="I2749" s="1">
        <v>5.9</v>
      </c>
      <c r="J2749" s="26">
        <v>45923</v>
      </c>
      <c r="K2749" s="22">
        <v>42345</v>
      </c>
      <c r="L2749" s="18">
        <v>45.29</v>
      </c>
      <c r="M2749" s="22">
        <v>33000</v>
      </c>
      <c r="N2749" s="22">
        <v>9345</v>
      </c>
      <c r="O2749" s="18">
        <v>9.99</v>
      </c>
      <c r="P2749" s="52">
        <f>IF(COUNTIF(TblPurchases[BatchID],TblOutcomes[[#This Row],[BatchID]])&lt;&gt;1,"n.a.",TblOutcomes[[#This Row],[Qty Wasted]]*SUMIFS(TblPurchases[Unit Cost (CLP)],TblPurchases[BatchID],TblOutcomes[[#This Row],[BatchID]]))</f>
        <v>1947</v>
      </c>
      <c r="Q2749" s="51">
        <f>IF(COUNTIF(TblPurchases[BatchID],TblOutcomes[[#This Row],[BatchID]])&lt;&gt;1,"n.a.",SUMIFS(TblPurchases[Purchase Date],TblPurchases[BatchID],TblOutcomes[[#This Row],[BatchID]]))</f>
        <v>45683</v>
      </c>
    </row>
    <row r="2750" spans="2:17" x14ac:dyDescent="0.25">
      <c r="B2750" s="2" t="s">
        <v>3555</v>
      </c>
      <c r="C2750" s="2" t="s">
        <v>294</v>
      </c>
      <c r="D2750" s="2" t="s">
        <v>287</v>
      </c>
      <c r="E2750" s="2" t="s">
        <v>4646</v>
      </c>
      <c r="F2750" s="2">
        <v>10</v>
      </c>
      <c r="G2750" s="2">
        <v>9.69</v>
      </c>
      <c r="H2750" s="2">
        <v>0.31</v>
      </c>
      <c r="I2750" s="1">
        <v>3.1</v>
      </c>
      <c r="J2750" s="26">
        <v>45944</v>
      </c>
      <c r="K2750" s="22">
        <v>43605</v>
      </c>
      <c r="L2750" s="18">
        <v>46.64</v>
      </c>
      <c r="M2750" s="22">
        <v>33000</v>
      </c>
      <c r="N2750" s="22">
        <v>10605</v>
      </c>
      <c r="O2750" s="18">
        <v>11.34</v>
      </c>
      <c r="P2750" s="52">
        <f>IF(COUNTIF(TblPurchases[BatchID],TblOutcomes[[#This Row],[BatchID]])&lt;&gt;1,"n.a.",TblOutcomes[[#This Row],[Qty Wasted]]*SUMIFS(TblPurchases[Unit Cost (CLP)],TblPurchases[BatchID],TblOutcomes[[#This Row],[BatchID]]))</f>
        <v>1023</v>
      </c>
      <c r="Q2750" s="51">
        <f>IF(COUNTIF(TblPurchases[BatchID],TblOutcomes[[#This Row],[BatchID]])&lt;&gt;1,"n.a.",SUMIFS(TblPurchases[Purchase Date],TblPurchases[BatchID],TblOutcomes[[#This Row],[BatchID]]))</f>
        <v>45704</v>
      </c>
    </row>
    <row r="2751" spans="2:17" x14ac:dyDescent="0.25">
      <c r="B2751" s="2" t="s">
        <v>3556</v>
      </c>
      <c r="C2751" s="2" t="s">
        <v>294</v>
      </c>
      <c r="D2751" s="2" t="s">
        <v>287</v>
      </c>
      <c r="E2751" s="2" t="s">
        <v>4647</v>
      </c>
      <c r="F2751" s="2">
        <v>10</v>
      </c>
      <c r="G2751" s="2">
        <v>10</v>
      </c>
      <c r="H2751" s="2">
        <v>0</v>
      </c>
      <c r="I2751" s="1">
        <v>0</v>
      </c>
      <c r="J2751" s="26">
        <v>45750</v>
      </c>
      <c r="K2751" s="22">
        <v>45000</v>
      </c>
      <c r="L2751" s="18">
        <v>48.13</v>
      </c>
      <c r="M2751" s="22">
        <v>33000</v>
      </c>
      <c r="N2751" s="22">
        <v>12000</v>
      </c>
      <c r="O2751" s="18">
        <v>12.83</v>
      </c>
      <c r="P2751" s="52">
        <f>IF(COUNTIF(TblPurchases[BatchID],TblOutcomes[[#This Row],[BatchID]])&lt;&gt;1,"n.a.",TblOutcomes[[#This Row],[Qty Wasted]]*SUMIFS(TblPurchases[Unit Cost (CLP)],TblPurchases[BatchID],TblOutcomes[[#This Row],[BatchID]]))</f>
        <v>0</v>
      </c>
      <c r="Q2751" s="51">
        <f>IF(COUNTIF(TblPurchases[BatchID],TblOutcomes[[#This Row],[BatchID]])&lt;&gt;1,"n.a.",SUMIFS(TblPurchases[Purchase Date],TblPurchases[BatchID],TblOutcomes[[#This Row],[BatchID]]))</f>
        <v>45736</v>
      </c>
    </row>
    <row r="2752" spans="2:17" x14ac:dyDescent="0.25">
      <c r="B2752" s="2" t="s">
        <v>3557</v>
      </c>
      <c r="C2752" s="2" t="s">
        <v>294</v>
      </c>
      <c r="D2752" s="2" t="s">
        <v>287</v>
      </c>
      <c r="E2752" s="2" t="s">
        <v>4647</v>
      </c>
      <c r="F2752" s="2">
        <v>10</v>
      </c>
      <c r="G2752" s="2">
        <v>10</v>
      </c>
      <c r="H2752" s="2">
        <v>0</v>
      </c>
      <c r="I2752" s="1">
        <v>0</v>
      </c>
      <c r="J2752" s="26">
        <v>46006</v>
      </c>
      <c r="K2752" s="22">
        <v>45000</v>
      </c>
      <c r="L2752" s="18">
        <v>48.13</v>
      </c>
      <c r="M2752" s="22">
        <v>33000</v>
      </c>
      <c r="N2752" s="22">
        <v>12000</v>
      </c>
      <c r="O2752" s="18">
        <v>12.83</v>
      </c>
      <c r="P2752" s="52">
        <f>IF(COUNTIF(TblPurchases[BatchID],TblOutcomes[[#This Row],[BatchID]])&lt;&gt;1,"n.a.",TblOutcomes[[#This Row],[Qty Wasted]]*SUMIFS(TblPurchases[Unit Cost (CLP)],TblPurchases[BatchID],TblOutcomes[[#This Row],[BatchID]]))</f>
        <v>0</v>
      </c>
      <c r="Q2752" s="51">
        <f>IF(COUNTIF(TblPurchases[BatchID],TblOutcomes[[#This Row],[BatchID]])&lt;&gt;1,"n.a.",SUMIFS(TblPurchases[Purchase Date],TblPurchases[BatchID],TblOutcomes[[#This Row],[BatchID]]))</f>
        <v>45766</v>
      </c>
    </row>
    <row r="2753" spans="2:17" x14ac:dyDescent="0.25">
      <c r="B2753" s="2" t="s">
        <v>3558</v>
      </c>
      <c r="C2753" s="2" t="s">
        <v>294</v>
      </c>
      <c r="D2753" s="2" t="s">
        <v>287</v>
      </c>
      <c r="E2753" s="2" t="s">
        <v>4646</v>
      </c>
      <c r="F2753" s="2">
        <v>10</v>
      </c>
      <c r="G2753" s="2">
        <v>9.39</v>
      </c>
      <c r="H2753" s="2">
        <v>0.61</v>
      </c>
      <c r="I2753" s="1">
        <v>6.1</v>
      </c>
      <c r="J2753" s="26">
        <v>46048</v>
      </c>
      <c r="K2753" s="22">
        <v>42255</v>
      </c>
      <c r="L2753" s="18">
        <v>45.19</v>
      </c>
      <c r="M2753" s="22">
        <v>33000</v>
      </c>
      <c r="N2753" s="22">
        <v>9255</v>
      </c>
      <c r="O2753" s="18">
        <v>9.9</v>
      </c>
      <c r="P2753" s="52">
        <f>IF(COUNTIF(TblPurchases[BatchID],TblOutcomes[[#This Row],[BatchID]])&lt;&gt;1,"n.a.",TblOutcomes[[#This Row],[Qty Wasted]]*SUMIFS(TblPurchases[Unit Cost (CLP)],TblPurchases[BatchID],TblOutcomes[[#This Row],[BatchID]]))</f>
        <v>2013</v>
      </c>
      <c r="Q2753" s="51">
        <f>IF(COUNTIF(TblPurchases[BatchID],TblOutcomes[[#This Row],[BatchID]])&lt;&gt;1,"n.a.",SUMIFS(TblPurchases[Purchase Date],TblPurchases[BatchID],TblOutcomes[[#This Row],[BatchID]]))</f>
        <v>45808</v>
      </c>
    </row>
    <row r="2754" spans="2:17" x14ac:dyDescent="0.25">
      <c r="B2754" s="2" t="s">
        <v>3559</v>
      </c>
      <c r="C2754" s="2" t="s">
        <v>294</v>
      </c>
      <c r="D2754" s="2" t="s">
        <v>287</v>
      </c>
      <c r="E2754" s="2" t="s">
        <v>4646</v>
      </c>
      <c r="F2754" s="2">
        <v>10</v>
      </c>
      <c r="G2754" s="2">
        <v>9.2799999999999994</v>
      </c>
      <c r="H2754" s="2">
        <v>0.72</v>
      </c>
      <c r="I2754" s="1">
        <v>7.2</v>
      </c>
      <c r="J2754" s="26">
        <v>46078</v>
      </c>
      <c r="K2754" s="22">
        <v>41760</v>
      </c>
      <c r="L2754" s="18">
        <v>44.66</v>
      </c>
      <c r="M2754" s="22">
        <v>33000</v>
      </c>
      <c r="N2754" s="22">
        <v>8760</v>
      </c>
      <c r="O2754" s="18">
        <v>9.3699999999999992</v>
      </c>
      <c r="P2754" s="52">
        <f>IF(COUNTIF(TblPurchases[BatchID],TblOutcomes[[#This Row],[BatchID]])&lt;&gt;1,"n.a.",TblOutcomes[[#This Row],[Qty Wasted]]*SUMIFS(TblPurchases[Unit Cost (CLP)],TblPurchases[BatchID],TblOutcomes[[#This Row],[BatchID]]))</f>
        <v>2376</v>
      </c>
      <c r="Q2754" s="51">
        <f>IF(COUNTIF(TblPurchases[BatchID],TblOutcomes[[#This Row],[BatchID]])&lt;&gt;1,"n.a.",SUMIFS(TblPurchases[Purchase Date],TblPurchases[BatchID],TblOutcomes[[#This Row],[BatchID]]))</f>
        <v>45838</v>
      </c>
    </row>
    <row r="2755" spans="2:17" x14ac:dyDescent="0.25">
      <c r="B2755" s="2" t="s">
        <v>3560</v>
      </c>
      <c r="C2755" s="2" t="s">
        <v>296</v>
      </c>
      <c r="D2755" s="2" t="s">
        <v>71</v>
      </c>
      <c r="E2755" s="2" t="s">
        <v>4647</v>
      </c>
      <c r="F2755" s="2">
        <v>44</v>
      </c>
      <c r="G2755" s="2">
        <v>44</v>
      </c>
      <c r="H2755" s="2">
        <v>0</v>
      </c>
      <c r="I2755" s="1">
        <v>0</v>
      </c>
      <c r="J2755" s="26">
        <v>45157</v>
      </c>
      <c r="K2755" s="22">
        <v>44000</v>
      </c>
      <c r="L2755" s="18">
        <v>47.06</v>
      </c>
      <c r="M2755" s="22">
        <v>30800</v>
      </c>
      <c r="N2755" s="22">
        <v>13200</v>
      </c>
      <c r="O2755" s="18">
        <v>14.12</v>
      </c>
      <c r="P2755" s="52">
        <f>IF(COUNTIF(TblPurchases[BatchID],TblOutcomes[[#This Row],[BatchID]])&lt;&gt;1,"n.a.",TblOutcomes[[#This Row],[Qty Wasted]]*SUMIFS(TblPurchases[Unit Cost (CLP)],TblPurchases[BatchID],TblOutcomes[[#This Row],[BatchID]]))</f>
        <v>0</v>
      </c>
      <c r="Q2755" s="51">
        <f>IF(COUNTIF(TblPurchases[BatchID],TblOutcomes[[#This Row],[BatchID]])&lt;&gt;1,"n.a.",SUMIFS(TblPurchases[Purchase Date],TblPurchases[BatchID],TblOutcomes[[#This Row],[BatchID]]))</f>
        <v>45116</v>
      </c>
    </row>
    <row r="2756" spans="2:17" x14ac:dyDescent="0.25">
      <c r="B2756" s="2" t="s">
        <v>3561</v>
      </c>
      <c r="C2756" s="2" t="s">
        <v>296</v>
      </c>
      <c r="D2756" s="2" t="s">
        <v>71</v>
      </c>
      <c r="E2756" s="2" t="s">
        <v>4647</v>
      </c>
      <c r="F2756" s="2">
        <v>37</v>
      </c>
      <c r="G2756" s="2">
        <v>37</v>
      </c>
      <c r="H2756" s="2">
        <v>0</v>
      </c>
      <c r="I2756" s="1">
        <v>0</v>
      </c>
      <c r="J2756" s="26">
        <v>45171</v>
      </c>
      <c r="K2756" s="22">
        <v>37000</v>
      </c>
      <c r="L2756" s="18">
        <v>39.57</v>
      </c>
      <c r="M2756" s="22">
        <v>25900</v>
      </c>
      <c r="N2756" s="22">
        <v>11100</v>
      </c>
      <c r="O2756" s="18">
        <v>11.87</v>
      </c>
      <c r="P2756" s="52">
        <f>IF(COUNTIF(TblPurchases[BatchID],TblOutcomes[[#This Row],[BatchID]])&lt;&gt;1,"n.a.",TblOutcomes[[#This Row],[Qty Wasted]]*SUMIFS(TblPurchases[Unit Cost (CLP)],TblPurchases[BatchID],TblOutcomes[[#This Row],[BatchID]]))</f>
        <v>0</v>
      </c>
      <c r="Q2756" s="51">
        <f>IF(COUNTIF(TblPurchases[BatchID],TblOutcomes[[#This Row],[BatchID]])&lt;&gt;1,"n.a.",SUMIFS(TblPurchases[Purchase Date],TblPurchases[BatchID],TblOutcomes[[#This Row],[BatchID]]))</f>
        <v>45149</v>
      </c>
    </row>
    <row r="2757" spans="2:17" x14ac:dyDescent="0.25">
      <c r="B2757" s="2" t="s">
        <v>3562</v>
      </c>
      <c r="C2757" s="2" t="s">
        <v>296</v>
      </c>
      <c r="D2757" s="2" t="s">
        <v>71</v>
      </c>
      <c r="E2757" s="2" t="s">
        <v>4647</v>
      </c>
      <c r="F2757" s="2">
        <v>50</v>
      </c>
      <c r="G2757" s="2">
        <v>50</v>
      </c>
      <c r="H2757" s="2">
        <v>0</v>
      </c>
      <c r="I2757" s="1">
        <v>0</v>
      </c>
      <c r="J2757" s="26">
        <v>45197</v>
      </c>
      <c r="K2757" s="22">
        <v>50000</v>
      </c>
      <c r="L2757" s="18">
        <v>53.48</v>
      </c>
      <c r="M2757" s="22">
        <v>35000</v>
      </c>
      <c r="N2757" s="22">
        <v>15000</v>
      </c>
      <c r="O2757" s="18">
        <v>16.04</v>
      </c>
      <c r="P2757" s="52">
        <f>IF(COUNTIF(TblPurchases[BatchID],TblOutcomes[[#This Row],[BatchID]])&lt;&gt;1,"n.a.",TblOutcomes[[#This Row],[Qty Wasted]]*SUMIFS(TblPurchases[Unit Cost (CLP)],TblPurchases[BatchID],TblOutcomes[[#This Row],[BatchID]]))</f>
        <v>0</v>
      </c>
      <c r="Q2757" s="51">
        <f>IF(COUNTIF(TblPurchases[BatchID],TblOutcomes[[#This Row],[BatchID]])&lt;&gt;1,"n.a.",SUMIFS(TblPurchases[Purchase Date],TblPurchases[BatchID],TblOutcomes[[#This Row],[BatchID]]))</f>
        <v>45180</v>
      </c>
    </row>
    <row r="2758" spans="2:17" x14ac:dyDescent="0.25">
      <c r="B2758" s="2" t="s">
        <v>3563</v>
      </c>
      <c r="C2758" s="2" t="s">
        <v>296</v>
      </c>
      <c r="D2758" s="2" t="s">
        <v>71</v>
      </c>
      <c r="E2758" s="2" t="s">
        <v>4646</v>
      </c>
      <c r="F2758" s="2">
        <v>36</v>
      </c>
      <c r="G2758" s="2">
        <v>34.99</v>
      </c>
      <c r="H2758" s="2">
        <v>1.01</v>
      </c>
      <c r="I2758" s="1">
        <v>2.8</v>
      </c>
      <c r="J2758" s="26">
        <v>45509</v>
      </c>
      <c r="K2758" s="22">
        <v>34990</v>
      </c>
      <c r="L2758" s="18">
        <v>37.42</v>
      </c>
      <c r="M2758" s="22">
        <v>25200</v>
      </c>
      <c r="N2758" s="22">
        <v>9790</v>
      </c>
      <c r="O2758" s="18">
        <v>10.47</v>
      </c>
      <c r="P2758" s="52">
        <f>IF(COUNTIF(TblPurchases[BatchID],TblOutcomes[[#This Row],[BatchID]])&lt;&gt;1,"n.a.",TblOutcomes[[#This Row],[Qty Wasted]]*SUMIFS(TblPurchases[Unit Cost (CLP)],TblPurchases[BatchID],TblOutcomes[[#This Row],[BatchID]]))</f>
        <v>707</v>
      </c>
      <c r="Q2758" s="51">
        <f>IF(COUNTIF(TblPurchases[BatchID],TblOutcomes[[#This Row],[BatchID]])&lt;&gt;1,"n.a.",SUMIFS(TblPurchases[Purchase Date],TblPurchases[BatchID],TblOutcomes[[#This Row],[BatchID]]))</f>
        <v>45209</v>
      </c>
    </row>
    <row r="2759" spans="2:17" x14ac:dyDescent="0.25">
      <c r="B2759" s="2" t="s">
        <v>3564</v>
      </c>
      <c r="C2759" s="2" t="s">
        <v>296</v>
      </c>
      <c r="D2759" s="2" t="s">
        <v>71</v>
      </c>
      <c r="E2759" s="2" t="s">
        <v>4647</v>
      </c>
      <c r="F2759" s="2">
        <v>35</v>
      </c>
      <c r="G2759" s="2">
        <v>35</v>
      </c>
      <c r="H2759" s="2">
        <v>0</v>
      </c>
      <c r="I2759" s="1">
        <v>0</v>
      </c>
      <c r="J2759" s="26">
        <v>45287</v>
      </c>
      <c r="K2759" s="22">
        <v>35000</v>
      </c>
      <c r="L2759" s="18">
        <v>37.43</v>
      </c>
      <c r="M2759" s="22">
        <v>24500</v>
      </c>
      <c r="N2759" s="22">
        <v>10500</v>
      </c>
      <c r="O2759" s="18">
        <v>11.23</v>
      </c>
      <c r="P2759" s="52">
        <f>IF(COUNTIF(TblPurchases[BatchID],TblOutcomes[[#This Row],[BatchID]])&lt;&gt;1,"n.a.",TblOutcomes[[#This Row],[Qty Wasted]]*SUMIFS(TblPurchases[Unit Cost (CLP)],TblPurchases[BatchID],TblOutcomes[[#This Row],[BatchID]]))</f>
        <v>0</v>
      </c>
      <c r="Q2759" s="51">
        <f>IF(COUNTIF(TblPurchases[BatchID],TblOutcomes[[#This Row],[BatchID]])&lt;&gt;1,"n.a.",SUMIFS(TblPurchases[Purchase Date],TblPurchases[BatchID],TblOutcomes[[#This Row],[BatchID]]))</f>
        <v>45254</v>
      </c>
    </row>
    <row r="2760" spans="2:17" x14ac:dyDescent="0.25">
      <c r="B2760" s="2" t="s">
        <v>3565</v>
      </c>
      <c r="C2760" s="2" t="s">
        <v>296</v>
      </c>
      <c r="D2760" s="2" t="s">
        <v>71</v>
      </c>
      <c r="E2760" s="2" t="s">
        <v>4646</v>
      </c>
      <c r="F2760" s="2">
        <v>48</v>
      </c>
      <c r="G2760" s="2">
        <v>46.42</v>
      </c>
      <c r="H2760" s="2">
        <v>1.58</v>
      </c>
      <c r="I2760" s="1">
        <v>3.3</v>
      </c>
      <c r="J2760" s="26">
        <v>45589</v>
      </c>
      <c r="K2760" s="22">
        <v>46420</v>
      </c>
      <c r="L2760" s="18">
        <v>49.65</v>
      </c>
      <c r="M2760" s="22">
        <v>33600</v>
      </c>
      <c r="N2760" s="22">
        <v>12820</v>
      </c>
      <c r="O2760" s="18">
        <v>13.71</v>
      </c>
      <c r="P2760" s="52">
        <f>IF(COUNTIF(TblPurchases[BatchID],TblOutcomes[[#This Row],[BatchID]])&lt;&gt;1,"n.a.",TblOutcomes[[#This Row],[Qty Wasted]]*SUMIFS(TblPurchases[Unit Cost (CLP)],TblPurchases[BatchID],TblOutcomes[[#This Row],[BatchID]]))</f>
        <v>1106</v>
      </c>
      <c r="Q2760" s="51">
        <f>IF(COUNTIF(TblPurchases[BatchID],TblOutcomes[[#This Row],[BatchID]])&lt;&gt;1,"n.a.",SUMIFS(TblPurchases[Purchase Date],TblPurchases[BatchID],TblOutcomes[[#This Row],[BatchID]]))</f>
        <v>45289</v>
      </c>
    </row>
    <row r="2761" spans="2:17" x14ac:dyDescent="0.25">
      <c r="B2761" s="2" t="s">
        <v>3566</v>
      </c>
      <c r="C2761" s="2" t="s">
        <v>296</v>
      </c>
      <c r="D2761" s="2" t="s">
        <v>71</v>
      </c>
      <c r="E2761" s="2" t="s">
        <v>4646</v>
      </c>
      <c r="F2761" s="2">
        <v>42</v>
      </c>
      <c r="G2761" s="2">
        <v>41.03</v>
      </c>
      <c r="H2761" s="2">
        <v>0.97</v>
      </c>
      <c r="I2761" s="1">
        <v>2.2999999999999998</v>
      </c>
      <c r="J2761" s="26">
        <v>45623</v>
      </c>
      <c r="K2761" s="22">
        <v>41030</v>
      </c>
      <c r="L2761" s="18">
        <v>43.88</v>
      </c>
      <c r="M2761" s="22">
        <v>29400</v>
      </c>
      <c r="N2761" s="22">
        <v>11630</v>
      </c>
      <c r="O2761" s="18">
        <v>12.44</v>
      </c>
      <c r="P2761" s="52">
        <f>IF(COUNTIF(TblPurchases[BatchID],TblOutcomes[[#This Row],[BatchID]])&lt;&gt;1,"n.a.",TblOutcomes[[#This Row],[Qty Wasted]]*SUMIFS(TblPurchases[Unit Cost (CLP)],TblPurchases[BatchID],TblOutcomes[[#This Row],[BatchID]]))</f>
        <v>679</v>
      </c>
      <c r="Q2761" s="51">
        <f>IF(COUNTIF(TblPurchases[BatchID],TblOutcomes[[#This Row],[BatchID]])&lt;&gt;1,"n.a.",SUMIFS(TblPurchases[Purchase Date],TblPurchases[BatchID],TblOutcomes[[#This Row],[BatchID]]))</f>
        <v>45323</v>
      </c>
    </row>
    <row r="2762" spans="2:17" x14ac:dyDescent="0.25">
      <c r="B2762" s="2" t="s">
        <v>3567</v>
      </c>
      <c r="C2762" s="2" t="s">
        <v>296</v>
      </c>
      <c r="D2762" s="2" t="s">
        <v>71</v>
      </c>
      <c r="E2762" s="2" t="s">
        <v>4647</v>
      </c>
      <c r="F2762" s="2">
        <v>44</v>
      </c>
      <c r="G2762" s="2">
        <v>44</v>
      </c>
      <c r="H2762" s="2">
        <v>0</v>
      </c>
      <c r="I2762" s="1">
        <v>0</v>
      </c>
      <c r="J2762" s="26">
        <v>45393</v>
      </c>
      <c r="K2762" s="22">
        <v>44000</v>
      </c>
      <c r="L2762" s="18">
        <v>47.06</v>
      </c>
      <c r="M2762" s="22">
        <v>30800</v>
      </c>
      <c r="N2762" s="22">
        <v>13200</v>
      </c>
      <c r="O2762" s="18">
        <v>14.12</v>
      </c>
      <c r="P2762" s="52">
        <f>IF(COUNTIF(TblPurchases[BatchID],TblOutcomes[[#This Row],[BatchID]])&lt;&gt;1,"n.a.",TblOutcomes[[#This Row],[Qty Wasted]]*SUMIFS(TblPurchases[Unit Cost (CLP)],TblPurchases[BatchID],TblOutcomes[[#This Row],[BatchID]]))</f>
        <v>0</v>
      </c>
      <c r="Q2762" s="51">
        <f>IF(COUNTIF(TblPurchases[BatchID],TblOutcomes[[#This Row],[BatchID]])&lt;&gt;1,"n.a.",SUMIFS(TblPurchases[Purchase Date],TblPurchases[BatchID],TblOutcomes[[#This Row],[BatchID]]))</f>
        <v>45364</v>
      </c>
    </row>
    <row r="2763" spans="2:17" x14ac:dyDescent="0.25">
      <c r="B2763" s="2" t="s">
        <v>3568</v>
      </c>
      <c r="C2763" s="2" t="s">
        <v>296</v>
      </c>
      <c r="D2763" s="2" t="s">
        <v>71</v>
      </c>
      <c r="E2763" s="2" t="s">
        <v>4646</v>
      </c>
      <c r="F2763" s="2">
        <v>34</v>
      </c>
      <c r="G2763" s="2">
        <v>33.39</v>
      </c>
      <c r="H2763" s="2">
        <v>0.61</v>
      </c>
      <c r="I2763" s="1">
        <v>1.8</v>
      </c>
      <c r="J2763" s="26">
        <v>45698</v>
      </c>
      <c r="K2763" s="22">
        <v>33390</v>
      </c>
      <c r="L2763" s="18">
        <v>35.71</v>
      </c>
      <c r="M2763" s="22">
        <v>23800</v>
      </c>
      <c r="N2763" s="22">
        <v>9590</v>
      </c>
      <c r="O2763" s="18">
        <v>10.26</v>
      </c>
      <c r="P2763" s="52">
        <f>IF(COUNTIF(TblPurchases[BatchID],TblOutcomes[[#This Row],[BatchID]])&lt;&gt;1,"n.a.",TblOutcomes[[#This Row],[Qty Wasted]]*SUMIFS(TblPurchases[Unit Cost (CLP)],TblPurchases[BatchID],TblOutcomes[[#This Row],[BatchID]]))</f>
        <v>427</v>
      </c>
      <c r="Q2763" s="51">
        <f>IF(COUNTIF(TblPurchases[BatchID],TblOutcomes[[#This Row],[BatchID]])&lt;&gt;1,"n.a.",SUMIFS(TblPurchases[Purchase Date],TblPurchases[BatchID],TblOutcomes[[#This Row],[BatchID]]))</f>
        <v>45398</v>
      </c>
    </row>
    <row r="2764" spans="2:17" x14ac:dyDescent="0.25">
      <c r="B2764" s="2" t="s">
        <v>3569</v>
      </c>
      <c r="C2764" s="2" t="s">
        <v>296</v>
      </c>
      <c r="D2764" s="2" t="s">
        <v>71</v>
      </c>
      <c r="E2764" s="2" t="s">
        <v>4647</v>
      </c>
      <c r="F2764" s="2">
        <v>41</v>
      </c>
      <c r="G2764" s="2">
        <v>41</v>
      </c>
      <c r="H2764" s="2">
        <v>0</v>
      </c>
      <c r="I2764" s="1">
        <v>0</v>
      </c>
      <c r="J2764" s="26">
        <v>45456</v>
      </c>
      <c r="K2764" s="22">
        <v>41000</v>
      </c>
      <c r="L2764" s="18">
        <v>43.85</v>
      </c>
      <c r="M2764" s="22">
        <v>28700</v>
      </c>
      <c r="N2764" s="22">
        <v>12300</v>
      </c>
      <c r="O2764" s="18">
        <v>13.16</v>
      </c>
      <c r="P2764" s="52">
        <f>IF(COUNTIF(TblPurchases[BatchID],TblOutcomes[[#This Row],[BatchID]])&lt;&gt;1,"n.a.",TblOutcomes[[#This Row],[Qty Wasted]]*SUMIFS(TblPurchases[Unit Cost (CLP)],TblPurchases[BatchID],TblOutcomes[[#This Row],[BatchID]]))</f>
        <v>0</v>
      </c>
      <c r="Q2764" s="51">
        <f>IF(COUNTIF(TblPurchases[BatchID],TblOutcomes[[#This Row],[BatchID]])&lt;&gt;1,"n.a.",SUMIFS(TblPurchases[Purchase Date],TblPurchases[BatchID],TblOutcomes[[#This Row],[BatchID]]))</f>
        <v>45436</v>
      </c>
    </row>
    <row r="2765" spans="2:17" x14ac:dyDescent="0.25">
      <c r="B2765" s="2" t="s">
        <v>3570</v>
      </c>
      <c r="C2765" s="2" t="s">
        <v>296</v>
      </c>
      <c r="D2765" s="2" t="s">
        <v>71</v>
      </c>
      <c r="E2765" s="2" t="s">
        <v>4647</v>
      </c>
      <c r="F2765" s="2">
        <v>36</v>
      </c>
      <c r="G2765" s="2">
        <v>36</v>
      </c>
      <c r="H2765" s="2">
        <v>0</v>
      </c>
      <c r="I2765" s="1">
        <v>0</v>
      </c>
      <c r="J2765" s="26">
        <v>45510</v>
      </c>
      <c r="K2765" s="22">
        <v>36000</v>
      </c>
      <c r="L2765" s="18">
        <v>38.5</v>
      </c>
      <c r="M2765" s="22">
        <v>25200</v>
      </c>
      <c r="N2765" s="22">
        <v>10800</v>
      </c>
      <c r="O2765" s="18">
        <v>11.55</v>
      </c>
      <c r="P2765" s="52">
        <f>IF(COUNTIF(TblPurchases[BatchID],TblOutcomes[[#This Row],[BatchID]])&lt;&gt;1,"n.a.",TblOutcomes[[#This Row],[Qty Wasted]]*SUMIFS(TblPurchases[Unit Cost (CLP)],TblPurchases[BatchID],TblOutcomes[[#This Row],[BatchID]]))</f>
        <v>0</v>
      </c>
      <c r="Q2765" s="51">
        <f>IF(COUNTIF(TblPurchases[BatchID],TblOutcomes[[#This Row],[BatchID]])&lt;&gt;1,"n.a.",SUMIFS(TblPurchases[Purchase Date],TblPurchases[BatchID],TblOutcomes[[#This Row],[BatchID]]))</f>
        <v>45474</v>
      </c>
    </row>
    <row r="2766" spans="2:17" x14ac:dyDescent="0.25">
      <c r="B2766" s="2" t="s">
        <v>3571</v>
      </c>
      <c r="C2766" s="2" t="s">
        <v>296</v>
      </c>
      <c r="D2766" s="2" t="s">
        <v>71</v>
      </c>
      <c r="E2766" s="2" t="s">
        <v>4646</v>
      </c>
      <c r="F2766" s="2">
        <v>45</v>
      </c>
      <c r="G2766" s="2">
        <v>44.1</v>
      </c>
      <c r="H2766" s="2">
        <v>0.9</v>
      </c>
      <c r="I2766" s="1">
        <v>2</v>
      </c>
      <c r="J2766" s="26">
        <v>45804</v>
      </c>
      <c r="K2766" s="22">
        <v>44100</v>
      </c>
      <c r="L2766" s="18">
        <v>47.17</v>
      </c>
      <c r="M2766" s="22">
        <v>31500</v>
      </c>
      <c r="N2766" s="22">
        <v>12600</v>
      </c>
      <c r="O2766" s="18">
        <v>13.48</v>
      </c>
      <c r="P2766" s="52">
        <f>IF(COUNTIF(TblPurchases[BatchID],TblOutcomes[[#This Row],[BatchID]])&lt;&gt;1,"n.a.",TblOutcomes[[#This Row],[Qty Wasted]]*SUMIFS(TblPurchases[Unit Cost (CLP)],TblPurchases[BatchID],TblOutcomes[[#This Row],[BatchID]]))</f>
        <v>630</v>
      </c>
      <c r="Q2766" s="51">
        <f>IF(COUNTIF(TblPurchases[BatchID],TblOutcomes[[#This Row],[BatchID]])&lt;&gt;1,"n.a.",SUMIFS(TblPurchases[Purchase Date],TblPurchases[BatchID],TblOutcomes[[#This Row],[BatchID]]))</f>
        <v>45504</v>
      </c>
    </row>
    <row r="2767" spans="2:17" x14ac:dyDescent="0.25">
      <c r="B2767" s="2" t="s">
        <v>3572</v>
      </c>
      <c r="C2767" s="2" t="s">
        <v>296</v>
      </c>
      <c r="D2767" s="2" t="s">
        <v>71</v>
      </c>
      <c r="E2767" s="2" t="s">
        <v>4646</v>
      </c>
      <c r="F2767" s="2">
        <v>45</v>
      </c>
      <c r="G2767" s="2">
        <v>43.2</v>
      </c>
      <c r="H2767" s="2">
        <v>1.8</v>
      </c>
      <c r="I2767" s="1">
        <v>4</v>
      </c>
      <c r="J2767" s="26">
        <v>45850</v>
      </c>
      <c r="K2767" s="22">
        <v>43200</v>
      </c>
      <c r="L2767" s="18">
        <v>46.2</v>
      </c>
      <c r="M2767" s="22">
        <v>31500</v>
      </c>
      <c r="N2767" s="22">
        <v>11700</v>
      </c>
      <c r="O2767" s="18">
        <v>12.51</v>
      </c>
      <c r="P2767" s="52">
        <f>IF(COUNTIF(TblPurchases[BatchID],TblOutcomes[[#This Row],[BatchID]])&lt;&gt;1,"n.a.",TblOutcomes[[#This Row],[Qty Wasted]]*SUMIFS(TblPurchases[Unit Cost (CLP)],TblPurchases[BatchID],TblOutcomes[[#This Row],[BatchID]]))</f>
        <v>1260</v>
      </c>
      <c r="Q2767" s="51">
        <f>IF(COUNTIF(TblPurchases[BatchID],TblOutcomes[[#This Row],[BatchID]])&lt;&gt;1,"n.a.",SUMIFS(TblPurchases[Purchase Date],TblPurchases[BatchID],TblOutcomes[[#This Row],[BatchID]]))</f>
        <v>45550</v>
      </c>
    </row>
    <row r="2768" spans="2:17" x14ac:dyDescent="0.25">
      <c r="B2768" s="2" t="s">
        <v>3573</v>
      </c>
      <c r="C2768" s="2" t="s">
        <v>296</v>
      </c>
      <c r="D2768" s="2" t="s">
        <v>71</v>
      </c>
      <c r="E2768" s="2" t="s">
        <v>4647</v>
      </c>
      <c r="F2768" s="2">
        <v>38</v>
      </c>
      <c r="G2768" s="2">
        <v>38</v>
      </c>
      <c r="H2768" s="2">
        <v>0</v>
      </c>
      <c r="I2768" s="1">
        <v>0</v>
      </c>
      <c r="J2768" s="26">
        <v>45615</v>
      </c>
      <c r="K2768" s="22">
        <v>38000</v>
      </c>
      <c r="L2768" s="18">
        <v>40.64</v>
      </c>
      <c r="M2768" s="22">
        <v>26600</v>
      </c>
      <c r="N2768" s="22">
        <v>11400</v>
      </c>
      <c r="O2768" s="18">
        <v>12.19</v>
      </c>
      <c r="P2768" s="52">
        <f>IF(COUNTIF(TblPurchases[BatchID],TblOutcomes[[#This Row],[BatchID]])&lt;&gt;1,"n.a.",TblOutcomes[[#This Row],[Qty Wasted]]*SUMIFS(TblPurchases[Unit Cost (CLP)],TblPurchases[BatchID],TblOutcomes[[#This Row],[BatchID]]))</f>
        <v>0</v>
      </c>
      <c r="Q2768" s="51">
        <f>IF(COUNTIF(TblPurchases[BatchID],TblOutcomes[[#This Row],[BatchID]])&lt;&gt;1,"n.a.",SUMIFS(TblPurchases[Purchase Date],TblPurchases[BatchID],TblOutcomes[[#This Row],[BatchID]]))</f>
        <v>45590</v>
      </c>
    </row>
    <row r="2769" spans="2:17" x14ac:dyDescent="0.25">
      <c r="B2769" s="2" t="s">
        <v>3574</v>
      </c>
      <c r="C2769" s="2" t="s">
        <v>296</v>
      </c>
      <c r="D2769" s="2" t="s">
        <v>71</v>
      </c>
      <c r="E2769" s="2" t="s">
        <v>4646</v>
      </c>
      <c r="F2769" s="2">
        <v>40</v>
      </c>
      <c r="G2769" s="2">
        <v>39.92</v>
      </c>
      <c r="H2769" s="2">
        <v>0.08</v>
      </c>
      <c r="I2769" s="1">
        <v>0.2</v>
      </c>
      <c r="J2769" s="26">
        <v>45926</v>
      </c>
      <c r="K2769" s="22">
        <v>39920</v>
      </c>
      <c r="L2769" s="18">
        <v>42.7</v>
      </c>
      <c r="M2769" s="22">
        <v>28000</v>
      </c>
      <c r="N2769" s="22">
        <v>11920</v>
      </c>
      <c r="O2769" s="18">
        <v>12.75</v>
      </c>
      <c r="P2769" s="52">
        <f>IF(COUNTIF(TblPurchases[BatchID],TblOutcomes[[#This Row],[BatchID]])&lt;&gt;1,"n.a.",TblOutcomes[[#This Row],[Qty Wasted]]*SUMIFS(TblPurchases[Unit Cost (CLP)],TblPurchases[BatchID],TblOutcomes[[#This Row],[BatchID]]))</f>
        <v>56</v>
      </c>
      <c r="Q2769" s="51">
        <f>IF(COUNTIF(TblPurchases[BatchID],TblOutcomes[[#This Row],[BatchID]])&lt;&gt;1,"n.a.",SUMIFS(TblPurchases[Purchase Date],TblPurchases[BatchID],TblOutcomes[[#This Row],[BatchID]]))</f>
        <v>45626</v>
      </c>
    </row>
    <row r="2770" spans="2:17" x14ac:dyDescent="0.25">
      <c r="B2770" s="2" t="s">
        <v>3575</v>
      </c>
      <c r="C2770" s="2" t="s">
        <v>296</v>
      </c>
      <c r="D2770" s="2" t="s">
        <v>71</v>
      </c>
      <c r="E2770" s="2" t="s">
        <v>4647</v>
      </c>
      <c r="F2770" s="2">
        <v>45</v>
      </c>
      <c r="G2770" s="2">
        <v>45</v>
      </c>
      <c r="H2770" s="2">
        <v>0</v>
      </c>
      <c r="I2770" s="1">
        <v>0</v>
      </c>
      <c r="J2770" s="26">
        <v>45698</v>
      </c>
      <c r="K2770" s="22">
        <v>45000</v>
      </c>
      <c r="L2770" s="18">
        <v>48.13</v>
      </c>
      <c r="M2770" s="22">
        <v>31500</v>
      </c>
      <c r="N2770" s="22">
        <v>13500</v>
      </c>
      <c r="O2770" s="18">
        <v>14.44</v>
      </c>
      <c r="P2770" s="52">
        <f>IF(COUNTIF(TblPurchases[BatchID],TblOutcomes[[#This Row],[BatchID]])&lt;&gt;1,"n.a.",TblOutcomes[[#This Row],[Qty Wasted]]*SUMIFS(TblPurchases[Unit Cost (CLP)],TblPurchases[BatchID],TblOutcomes[[#This Row],[BatchID]]))</f>
        <v>0</v>
      </c>
      <c r="Q2770" s="51">
        <f>IF(COUNTIF(TblPurchases[BatchID],TblOutcomes[[#This Row],[BatchID]])&lt;&gt;1,"n.a.",SUMIFS(TblPurchases[Purchase Date],TblPurchases[BatchID],TblOutcomes[[#This Row],[BatchID]]))</f>
        <v>45663</v>
      </c>
    </row>
    <row r="2771" spans="2:17" x14ac:dyDescent="0.25">
      <c r="B2771" s="2" t="s">
        <v>3576</v>
      </c>
      <c r="C2771" s="2" t="s">
        <v>296</v>
      </c>
      <c r="D2771" s="2" t="s">
        <v>71</v>
      </c>
      <c r="E2771" s="2" t="s">
        <v>4646</v>
      </c>
      <c r="F2771" s="2">
        <v>42</v>
      </c>
      <c r="G2771" s="2">
        <v>40.49</v>
      </c>
      <c r="H2771" s="2">
        <v>1.51</v>
      </c>
      <c r="I2771" s="1">
        <v>3.6</v>
      </c>
      <c r="J2771" s="26">
        <v>45990</v>
      </c>
      <c r="K2771" s="22">
        <v>40490</v>
      </c>
      <c r="L2771" s="18">
        <v>43.3</v>
      </c>
      <c r="M2771" s="22">
        <v>29400</v>
      </c>
      <c r="N2771" s="22">
        <v>11090</v>
      </c>
      <c r="O2771" s="18">
        <v>11.86</v>
      </c>
      <c r="P2771" s="52">
        <f>IF(COUNTIF(TblPurchases[BatchID],TblOutcomes[[#This Row],[BatchID]])&lt;&gt;1,"n.a.",TblOutcomes[[#This Row],[Qty Wasted]]*SUMIFS(TblPurchases[Unit Cost (CLP)],TblPurchases[BatchID],TblOutcomes[[#This Row],[BatchID]]))</f>
        <v>1057</v>
      </c>
      <c r="Q2771" s="51">
        <f>IF(COUNTIF(TblPurchases[BatchID],TblOutcomes[[#This Row],[BatchID]])&lt;&gt;1,"n.a.",SUMIFS(TblPurchases[Purchase Date],TblPurchases[BatchID],TblOutcomes[[#This Row],[BatchID]]))</f>
        <v>45690</v>
      </c>
    </row>
    <row r="2772" spans="2:17" x14ac:dyDescent="0.25">
      <c r="B2772" s="2" t="s">
        <v>3577</v>
      </c>
      <c r="C2772" s="2" t="s">
        <v>296</v>
      </c>
      <c r="D2772" s="2" t="s">
        <v>71</v>
      </c>
      <c r="E2772" s="2" t="s">
        <v>4647</v>
      </c>
      <c r="F2772" s="2">
        <v>44</v>
      </c>
      <c r="G2772" s="2">
        <v>44</v>
      </c>
      <c r="H2772" s="2">
        <v>0</v>
      </c>
      <c r="I2772" s="1">
        <v>0</v>
      </c>
      <c r="J2772" s="26">
        <v>45752</v>
      </c>
      <c r="K2772" s="22">
        <v>44000</v>
      </c>
      <c r="L2772" s="18">
        <v>47.06</v>
      </c>
      <c r="M2772" s="22">
        <v>30800</v>
      </c>
      <c r="N2772" s="22">
        <v>13200</v>
      </c>
      <c r="O2772" s="18">
        <v>14.12</v>
      </c>
      <c r="P2772" s="52">
        <f>IF(COUNTIF(TblPurchases[BatchID],TblOutcomes[[#This Row],[BatchID]])&lt;&gt;1,"n.a.",TblOutcomes[[#This Row],[Qty Wasted]]*SUMIFS(TblPurchases[Unit Cost (CLP)],TblPurchases[BatchID],TblOutcomes[[#This Row],[BatchID]]))</f>
        <v>0</v>
      </c>
      <c r="Q2772" s="51">
        <f>IF(COUNTIF(TblPurchases[BatchID],TblOutcomes[[#This Row],[BatchID]])&lt;&gt;1,"n.a.",SUMIFS(TblPurchases[Purchase Date],TblPurchases[BatchID],TblOutcomes[[#This Row],[BatchID]]))</f>
        <v>45728</v>
      </c>
    </row>
    <row r="2773" spans="2:17" x14ac:dyDescent="0.25">
      <c r="B2773" s="2" t="s">
        <v>3578</v>
      </c>
      <c r="C2773" s="2" t="s">
        <v>296</v>
      </c>
      <c r="D2773" s="2" t="s">
        <v>71</v>
      </c>
      <c r="E2773" s="2" t="s">
        <v>4647</v>
      </c>
      <c r="F2773" s="2">
        <v>37</v>
      </c>
      <c r="G2773" s="2">
        <v>37</v>
      </c>
      <c r="H2773" s="2">
        <v>0</v>
      </c>
      <c r="I2773" s="1">
        <v>0</v>
      </c>
      <c r="J2773" s="26">
        <v>45782</v>
      </c>
      <c r="K2773" s="22">
        <v>37000</v>
      </c>
      <c r="L2773" s="18">
        <v>39.57</v>
      </c>
      <c r="M2773" s="22">
        <v>25900</v>
      </c>
      <c r="N2773" s="22">
        <v>11100</v>
      </c>
      <c r="O2773" s="18">
        <v>11.87</v>
      </c>
      <c r="P2773" s="52">
        <f>IF(COUNTIF(TblPurchases[BatchID],TblOutcomes[[#This Row],[BatchID]])&lt;&gt;1,"n.a.",TblOutcomes[[#This Row],[Qty Wasted]]*SUMIFS(TblPurchases[Unit Cost (CLP)],TblPurchases[BatchID],TblOutcomes[[#This Row],[BatchID]]))</f>
        <v>0</v>
      </c>
      <c r="Q2773" s="51">
        <f>IF(COUNTIF(TblPurchases[BatchID],TblOutcomes[[#This Row],[BatchID]])&lt;&gt;1,"n.a.",SUMIFS(TblPurchases[Purchase Date],TblPurchases[BatchID],TblOutcomes[[#This Row],[BatchID]]))</f>
        <v>45767</v>
      </c>
    </row>
    <row r="2774" spans="2:17" x14ac:dyDescent="0.25">
      <c r="B2774" s="2" t="s">
        <v>3579</v>
      </c>
      <c r="C2774" s="2" t="s">
        <v>296</v>
      </c>
      <c r="D2774" s="2" t="s">
        <v>71</v>
      </c>
      <c r="E2774" s="2" t="s">
        <v>4646</v>
      </c>
      <c r="F2774" s="2">
        <v>39</v>
      </c>
      <c r="G2774" s="2">
        <v>38.409999999999997</v>
      </c>
      <c r="H2774" s="2">
        <v>0.57999999999999996</v>
      </c>
      <c r="I2774" s="1">
        <v>1.5</v>
      </c>
      <c r="J2774" s="26">
        <v>46100</v>
      </c>
      <c r="K2774" s="22">
        <v>38410</v>
      </c>
      <c r="L2774" s="18">
        <v>41.08</v>
      </c>
      <c r="M2774" s="22">
        <v>27300</v>
      </c>
      <c r="N2774" s="22">
        <v>11110</v>
      </c>
      <c r="O2774" s="18">
        <v>11.88</v>
      </c>
      <c r="P2774" s="52">
        <f>IF(COUNTIF(TblPurchases[BatchID],TblOutcomes[[#This Row],[BatchID]])&lt;&gt;1,"n.a.",TblOutcomes[[#This Row],[Qty Wasted]]*SUMIFS(TblPurchases[Unit Cost (CLP)],TblPurchases[BatchID],TblOutcomes[[#This Row],[BatchID]]))</f>
        <v>406</v>
      </c>
      <c r="Q2774" s="51">
        <f>IF(COUNTIF(TblPurchases[BatchID],TblOutcomes[[#This Row],[BatchID]])&lt;&gt;1,"n.a.",SUMIFS(TblPurchases[Purchase Date],TblPurchases[BatchID],TblOutcomes[[#This Row],[BatchID]]))</f>
        <v>45800</v>
      </c>
    </row>
    <row r="2775" spans="2:17" x14ac:dyDescent="0.25">
      <c r="B2775" s="2" t="s">
        <v>3580</v>
      </c>
      <c r="C2775" s="2" t="s">
        <v>296</v>
      </c>
      <c r="D2775" s="2" t="s">
        <v>71</v>
      </c>
      <c r="E2775" s="2" t="s">
        <v>4647</v>
      </c>
      <c r="F2775" s="2">
        <v>39</v>
      </c>
      <c r="G2775" s="2">
        <v>39</v>
      </c>
      <c r="H2775" s="2">
        <v>0</v>
      </c>
      <c r="I2775" s="1">
        <v>0</v>
      </c>
      <c r="J2775" s="26">
        <v>45854</v>
      </c>
      <c r="K2775" s="22">
        <v>39000</v>
      </c>
      <c r="L2775" s="18">
        <v>41.71</v>
      </c>
      <c r="M2775" s="22">
        <v>27300</v>
      </c>
      <c r="N2775" s="22">
        <v>11700</v>
      </c>
      <c r="O2775" s="18">
        <v>12.51</v>
      </c>
      <c r="P2775" s="52">
        <f>IF(COUNTIF(TblPurchases[BatchID],TblOutcomes[[#This Row],[BatchID]])&lt;&gt;1,"n.a.",TblOutcomes[[#This Row],[Qty Wasted]]*SUMIFS(TblPurchases[Unit Cost (CLP)],TblPurchases[BatchID],TblOutcomes[[#This Row],[BatchID]]))</f>
        <v>0</v>
      </c>
      <c r="Q2775" s="51">
        <f>IF(COUNTIF(TblPurchases[BatchID],TblOutcomes[[#This Row],[BatchID]])&lt;&gt;1,"n.a.",SUMIFS(TblPurchases[Purchase Date],TblPurchases[BatchID],TblOutcomes[[#This Row],[BatchID]]))</f>
        <v>45823</v>
      </c>
    </row>
    <row r="2776" spans="2:17" x14ac:dyDescent="0.25">
      <c r="B2776" s="2" t="s">
        <v>3581</v>
      </c>
      <c r="C2776" s="2" t="s">
        <v>299</v>
      </c>
      <c r="D2776" s="2" t="s">
        <v>71</v>
      </c>
      <c r="E2776" s="2" t="s">
        <v>4646</v>
      </c>
      <c r="F2776" s="2">
        <v>14</v>
      </c>
      <c r="G2776" s="2">
        <v>13.66</v>
      </c>
      <c r="H2776" s="2">
        <v>0.34</v>
      </c>
      <c r="I2776" s="1">
        <v>2.4</v>
      </c>
      <c r="J2776" s="26">
        <v>45414</v>
      </c>
      <c r="K2776" s="22">
        <v>47810</v>
      </c>
      <c r="L2776" s="18">
        <v>51.13</v>
      </c>
      <c r="M2776" s="22">
        <v>34300</v>
      </c>
      <c r="N2776" s="22">
        <v>13510</v>
      </c>
      <c r="O2776" s="18">
        <v>14.45</v>
      </c>
      <c r="P2776" s="52">
        <f>IF(COUNTIF(TblPurchases[BatchID],TblOutcomes[[#This Row],[BatchID]])&lt;&gt;1,"n.a.",TblOutcomes[[#This Row],[Qty Wasted]]*SUMIFS(TblPurchases[Unit Cost (CLP)],TblPurchases[BatchID],TblOutcomes[[#This Row],[BatchID]]))</f>
        <v>833.00000000000011</v>
      </c>
      <c r="Q2776" s="51">
        <f>IF(COUNTIF(TblPurchases[BatchID],TblOutcomes[[#This Row],[BatchID]])&lt;&gt;1,"n.a.",SUMIFS(TblPurchases[Purchase Date],TblPurchases[BatchID],TblOutcomes[[#This Row],[BatchID]]))</f>
        <v>45114</v>
      </c>
    </row>
    <row r="2777" spans="2:17" x14ac:dyDescent="0.25">
      <c r="B2777" s="2" t="s">
        <v>3582</v>
      </c>
      <c r="C2777" s="2" t="s">
        <v>299</v>
      </c>
      <c r="D2777" s="2" t="s">
        <v>71</v>
      </c>
      <c r="E2777" s="2" t="s">
        <v>4646</v>
      </c>
      <c r="F2777" s="2">
        <v>14</v>
      </c>
      <c r="G2777" s="2">
        <v>13.27</v>
      </c>
      <c r="H2777" s="2">
        <v>0.73</v>
      </c>
      <c r="I2777" s="1">
        <v>5.2</v>
      </c>
      <c r="J2777" s="26">
        <v>45451</v>
      </c>
      <c r="K2777" s="22">
        <v>46445</v>
      </c>
      <c r="L2777" s="18">
        <v>49.67</v>
      </c>
      <c r="M2777" s="22">
        <v>34300</v>
      </c>
      <c r="N2777" s="22">
        <v>12145</v>
      </c>
      <c r="O2777" s="18">
        <v>12.99</v>
      </c>
      <c r="P2777" s="52">
        <f>IF(COUNTIF(TblPurchases[BatchID],TblOutcomes[[#This Row],[BatchID]])&lt;&gt;1,"n.a.",TblOutcomes[[#This Row],[Qty Wasted]]*SUMIFS(TblPurchases[Unit Cost (CLP)],TblPurchases[BatchID],TblOutcomes[[#This Row],[BatchID]]))</f>
        <v>1788.5</v>
      </c>
      <c r="Q2777" s="51">
        <f>IF(COUNTIF(TblPurchases[BatchID],TblOutcomes[[#This Row],[BatchID]])&lt;&gt;1,"n.a.",SUMIFS(TblPurchases[Purchase Date],TblPurchases[BatchID],TblOutcomes[[#This Row],[BatchID]]))</f>
        <v>45151</v>
      </c>
    </row>
    <row r="2778" spans="2:17" x14ac:dyDescent="0.25">
      <c r="B2778" s="2" t="s">
        <v>3583</v>
      </c>
      <c r="C2778" s="2" t="s">
        <v>299</v>
      </c>
      <c r="D2778" s="2" t="s">
        <v>71</v>
      </c>
      <c r="E2778" s="2" t="s">
        <v>4647</v>
      </c>
      <c r="F2778" s="2">
        <v>18</v>
      </c>
      <c r="G2778" s="2">
        <v>18</v>
      </c>
      <c r="H2778" s="2">
        <v>0</v>
      </c>
      <c r="I2778" s="1">
        <v>0</v>
      </c>
      <c r="J2778" s="26">
        <v>45212</v>
      </c>
      <c r="K2778" s="22">
        <v>63000</v>
      </c>
      <c r="L2778" s="18">
        <v>67.38</v>
      </c>
      <c r="M2778" s="22">
        <v>44100</v>
      </c>
      <c r="N2778" s="22">
        <v>18900</v>
      </c>
      <c r="O2778" s="18">
        <v>20.21</v>
      </c>
      <c r="P2778" s="52">
        <f>IF(COUNTIF(TblPurchases[BatchID],TblOutcomes[[#This Row],[BatchID]])&lt;&gt;1,"n.a.",TblOutcomes[[#This Row],[Qty Wasted]]*SUMIFS(TblPurchases[Unit Cost (CLP)],TblPurchases[BatchID],TblOutcomes[[#This Row],[BatchID]]))</f>
        <v>0</v>
      </c>
      <c r="Q2778" s="51">
        <f>IF(COUNTIF(TblPurchases[BatchID],TblOutcomes[[#This Row],[BatchID]])&lt;&gt;1,"n.a.",SUMIFS(TblPurchases[Purchase Date],TblPurchases[BatchID],TblOutcomes[[#This Row],[BatchID]]))</f>
        <v>45195</v>
      </c>
    </row>
    <row r="2779" spans="2:17" x14ac:dyDescent="0.25">
      <c r="B2779" s="2" t="s">
        <v>3584</v>
      </c>
      <c r="C2779" s="2" t="s">
        <v>299</v>
      </c>
      <c r="D2779" s="2" t="s">
        <v>71</v>
      </c>
      <c r="E2779" s="2" t="s">
        <v>4647</v>
      </c>
      <c r="F2779" s="2">
        <v>5</v>
      </c>
      <c r="G2779" s="2">
        <v>5</v>
      </c>
      <c r="H2779" s="2">
        <v>0</v>
      </c>
      <c r="I2779" s="1">
        <v>0</v>
      </c>
      <c r="J2779" s="26">
        <v>45249</v>
      </c>
      <c r="K2779" s="22">
        <v>17500</v>
      </c>
      <c r="L2779" s="18">
        <v>18.72</v>
      </c>
      <c r="M2779" s="22">
        <v>12250</v>
      </c>
      <c r="N2779" s="22">
        <v>5250</v>
      </c>
      <c r="O2779" s="18">
        <v>5.61</v>
      </c>
      <c r="P2779" s="52">
        <f>IF(COUNTIF(TblPurchases[BatchID],TblOutcomes[[#This Row],[BatchID]])&lt;&gt;1,"n.a.",TblOutcomes[[#This Row],[Qty Wasted]]*SUMIFS(TblPurchases[Unit Cost (CLP)],TblPurchases[BatchID],TblOutcomes[[#This Row],[BatchID]]))</f>
        <v>0</v>
      </c>
      <c r="Q2779" s="51">
        <f>IF(COUNTIF(TblPurchases[BatchID],TblOutcomes[[#This Row],[BatchID]])&lt;&gt;1,"n.a.",SUMIFS(TblPurchases[Purchase Date],TblPurchases[BatchID],TblOutcomes[[#This Row],[BatchID]]))</f>
        <v>45221</v>
      </c>
    </row>
    <row r="2780" spans="2:17" x14ac:dyDescent="0.25">
      <c r="B2780" s="2" t="s">
        <v>3585</v>
      </c>
      <c r="C2780" s="2" t="s">
        <v>299</v>
      </c>
      <c r="D2780" s="2" t="s">
        <v>71</v>
      </c>
      <c r="E2780" s="2" t="s">
        <v>4646</v>
      </c>
      <c r="F2780" s="2">
        <v>5</v>
      </c>
      <c r="G2780" s="2">
        <v>4.82</v>
      </c>
      <c r="H2780" s="2">
        <v>0.18</v>
      </c>
      <c r="I2780" s="1">
        <v>3.6</v>
      </c>
      <c r="J2780" s="26">
        <v>45559</v>
      </c>
      <c r="K2780" s="22">
        <v>16870</v>
      </c>
      <c r="L2780" s="18">
        <v>18.04</v>
      </c>
      <c r="M2780" s="22">
        <v>12250</v>
      </c>
      <c r="N2780" s="22">
        <v>4620</v>
      </c>
      <c r="O2780" s="18">
        <v>4.9400000000000004</v>
      </c>
      <c r="P2780" s="52">
        <f>IF(COUNTIF(TblPurchases[BatchID],TblOutcomes[[#This Row],[BatchID]])&lt;&gt;1,"n.a.",TblOutcomes[[#This Row],[Qty Wasted]]*SUMIFS(TblPurchases[Unit Cost (CLP)],TblPurchases[BatchID],TblOutcomes[[#This Row],[BatchID]]))</f>
        <v>441</v>
      </c>
      <c r="Q2780" s="51">
        <f>IF(COUNTIF(TblPurchases[BatchID],TblOutcomes[[#This Row],[BatchID]])&lt;&gt;1,"n.a.",SUMIFS(TblPurchases[Purchase Date],TblPurchases[BatchID],TblOutcomes[[#This Row],[BatchID]]))</f>
        <v>45259</v>
      </c>
    </row>
    <row r="2781" spans="2:17" x14ac:dyDescent="0.25">
      <c r="B2781" s="2" t="s">
        <v>3586</v>
      </c>
      <c r="C2781" s="2" t="s">
        <v>299</v>
      </c>
      <c r="D2781" s="2" t="s">
        <v>71</v>
      </c>
      <c r="E2781" s="2" t="s">
        <v>4647</v>
      </c>
      <c r="F2781" s="2">
        <v>5</v>
      </c>
      <c r="G2781" s="2">
        <v>5</v>
      </c>
      <c r="H2781" s="2">
        <v>0</v>
      </c>
      <c r="I2781" s="1">
        <v>0</v>
      </c>
      <c r="J2781" s="26">
        <v>45314</v>
      </c>
      <c r="K2781" s="22">
        <v>17500</v>
      </c>
      <c r="L2781" s="18">
        <v>18.72</v>
      </c>
      <c r="M2781" s="22">
        <v>12250</v>
      </c>
      <c r="N2781" s="22">
        <v>5250</v>
      </c>
      <c r="O2781" s="18">
        <v>5.61</v>
      </c>
      <c r="P2781" s="52">
        <f>IF(COUNTIF(TblPurchases[BatchID],TblOutcomes[[#This Row],[BatchID]])&lt;&gt;1,"n.a.",TblOutcomes[[#This Row],[Qty Wasted]]*SUMIFS(TblPurchases[Unit Cost (CLP)],TblPurchases[BatchID],TblOutcomes[[#This Row],[BatchID]]))</f>
        <v>0</v>
      </c>
      <c r="Q2781" s="51">
        <f>IF(COUNTIF(TblPurchases[BatchID],TblOutcomes[[#This Row],[BatchID]])&lt;&gt;1,"n.a.",SUMIFS(TblPurchases[Purchase Date],TblPurchases[BatchID],TblOutcomes[[#This Row],[BatchID]]))</f>
        <v>45292</v>
      </c>
    </row>
    <row r="2782" spans="2:17" x14ac:dyDescent="0.25">
      <c r="B2782" s="2" t="s">
        <v>3587</v>
      </c>
      <c r="C2782" s="2" t="s">
        <v>299</v>
      </c>
      <c r="D2782" s="2" t="s">
        <v>71</v>
      </c>
      <c r="E2782" s="2" t="s">
        <v>4646</v>
      </c>
      <c r="F2782" s="2">
        <v>4</v>
      </c>
      <c r="G2782" s="2">
        <v>3.87</v>
      </c>
      <c r="H2782" s="2">
        <v>0.13</v>
      </c>
      <c r="I2782" s="1">
        <v>3.2</v>
      </c>
      <c r="J2782" s="26">
        <v>45626</v>
      </c>
      <c r="K2782" s="22">
        <v>13545</v>
      </c>
      <c r="L2782" s="18">
        <v>14.49</v>
      </c>
      <c r="M2782" s="22">
        <v>9600</v>
      </c>
      <c r="N2782" s="22">
        <v>3945</v>
      </c>
      <c r="O2782" s="18">
        <v>4.22</v>
      </c>
      <c r="P2782" s="52">
        <f>IF(COUNTIF(TblPurchases[BatchID],TblOutcomes[[#This Row],[BatchID]])&lt;&gt;1,"n.a.",TblOutcomes[[#This Row],[Qty Wasted]]*SUMIFS(TblPurchases[Unit Cost (CLP)],TblPurchases[BatchID],TblOutcomes[[#This Row],[BatchID]]))</f>
        <v>312</v>
      </c>
      <c r="Q2782" s="51">
        <f>IF(COUNTIF(TblPurchases[BatchID],TblOutcomes[[#This Row],[BatchID]])&lt;&gt;1,"n.a.",SUMIFS(TblPurchases[Purchase Date],TblPurchases[BatchID],TblOutcomes[[#This Row],[BatchID]]))</f>
        <v>45326</v>
      </c>
    </row>
    <row r="2783" spans="2:17" x14ac:dyDescent="0.25">
      <c r="B2783" s="2" t="s">
        <v>3588</v>
      </c>
      <c r="C2783" s="2" t="s">
        <v>299</v>
      </c>
      <c r="D2783" s="2" t="s">
        <v>71</v>
      </c>
      <c r="E2783" s="2" t="s">
        <v>4646</v>
      </c>
      <c r="F2783" s="2">
        <v>5</v>
      </c>
      <c r="G2783" s="2">
        <v>4.7</v>
      </c>
      <c r="H2783" s="2">
        <v>0.3</v>
      </c>
      <c r="I2783" s="1">
        <v>6.1</v>
      </c>
      <c r="J2783" s="26">
        <v>45665</v>
      </c>
      <c r="K2783" s="22">
        <v>16450</v>
      </c>
      <c r="L2783" s="18">
        <v>17.59</v>
      </c>
      <c r="M2783" s="22">
        <v>12250</v>
      </c>
      <c r="N2783" s="22">
        <v>4200</v>
      </c>
      <c r="O2783" s="18">
        <v>4.49</v>
      </c>
      <c r="P2783" s="52">
        <f>IF(COUNTIF(TblPurchases[BatchID],TblOutcomes[[#This Row],[BatchID]])&lt;&gt;1,"n.a.",TblOutcomes[[#This Row],[Qty Wasted]]*SUMIFS(TblPurchases[Unit Cost (CLP)],TblPurchases[BatchID],TblOutcomes[[#This Row],[BatchID]]))</f>
        <v>735</v>
      </c>
      <c r="Q2783" s="51">
        <f>IF(COUNTIF(TblPurchases[BatchID],TblOutcomes[[#This Row],[BatchID]])&lt;&gt;1,"n.a.",SUMIFS(TblPurchases[Purchase Date],TblPurchases[BatchID],TblOutcomes[[#This Row],[BatchID]]))</f>
        <v>45365</v>
      </c>
    </row>
    <row r="2784" spans="2:17" x14ac:dyDescent="0.25">
      <c r="B2784" s="2" t="s">
        <v>3589</v>
      </c>
      <c r="C2784" s="2" t="s">
        <v>299</v>
      </c>
      <c r="D2784" s="2" t="s">
        <v>71</v>
      </c>
      <c r="E2784" s="2" t="s">
        <v>4646</v>
      </c>
      <c r="F2784" s="2">
        <v>13</v>
      </c>
      <c r="G2784" s="2">
        <v>12.84</v>
      </c>
      <c r="H2784" s="2">
        <v>0.16</v>
      </c>
      <c r="I2784" s="1">
        <v>1.2</v>
      </c>
      <c r="J2784" s="26">
        <v>45703</v>
      </c>
      <c r="K2784" s="22">
        <v>44940</v>
      </c>
      <c r="L2784" s="18">
        <v>48.06</v>
      </c>
      <c r="M2784" s="22">
        <v>31850</v>
      </c>
      <c r="N2784" s="22">
        <v>13090</v>
      </c>
      <c r="O2784" s="18">
        <v>14</v>
      </c>
      <c r="P2784" s="52">
        <f>IF(COUNTIF(TblPurchases[BatchID],TblOutcomes[[#This Row],[BatchID]])&lt;&gt;1,"n.a.",TblOutcomes[[#This Row],[Qty Wasted]]*SUMIFS(TblPurchases[Unit Cost (CLP)],TblPurchases[BatchID],TblOutcomes[[#This Row],[BatchID]]))</f>
        <v>392</v>
      </c>
      <c r="Q2784" s="51">
        <f>IF(COUNTIF(TblPurchases[BatchID],TblOutcomes[[#This Row],[BatchID]])&lt;&gt;1,"n.a.",SUMIFS(TblPurchases[Purchase Date],TblPurchases[BatchID],TblOutcomes[[#This Row],[BatchID]]))</f>
        <v>45403</v>
      </c>
    </row>
    <row r="2785" spans="2:17" x14ac:dyDescent="0.25">
      <c r="B2785" s="2" t="s">
        <v>3590</v>
      </c>
      <c r="C2785" s="2" t="s">
        <v>299</v>
      </c>
      <c r="D2785" s="2" t="s">
        <v>71</v>
      </c>
      <c r="E2785" s="2" t="s">
        <v>4647</v>
      </c>
      <c r="F2785" s="2">
        <v>12</v>
      </c>
      <c r="G2785" s="2">
        <v>12</v>
      </c>
      <c r="H2785" s="2">
        <v>0</v>
      </c>
      <c r="I2785" s="1">
        <v>0</v>
      </c>
      <c r="J2785" s="26">
        <v>45452</v>
      </c>
      <c r="K2785" s="22">
        <v>42000</v>
      </c>
      <c r="L2785" s="18">
        <v>44.92</v>
      </c>
      <c r="M2785" s="22">
        <v>29400</v>
      </c>
      <c r="N2785" s="22">
        <v>12600</v>
      </c>
      <c r="O2785" s="18">
        <v>13.48</v>
      </c>
      <c r="P2785" s="52">
        <f>IF(COUNTIF(TblPurchases[BatchID],TblOutcomes[[#This Row],[BatchID]])&lt;&gt;1,"n.a.",TblOutcomes[[#This Row],[Qty Wasted]]*SUMIFS(TblPurchases[Unit Cost (CLP)],TblPurchases[BatchID],TblOutcomes[[#This Row],[BatchID]]))</f>
        <v>0</v>
      </c>
      <c r="Q2785" s="51">
        <f>IF(COUNTIF(TblPurchases[BatchID],TblOutcomes[[#This Row],[BatchID]])&lt;&gt;1,"n.a.",SUMIFS(TblPurchases[Purchase Date],TblPurchases[BatchID],TblOutcomes[[#This Row],[BatchID]]))</f>
        <v>45441</v>
      </c>
    </row>
    <row r="2786" spans="2:17" x14ac:dyDescent="0.25">
      <c r="B2786" s="2" t="s">
        <v>3591</v>
      </c>
      <c r="C2786" s="2" t="s">
        <v>299</v>
      </c>
      <c r="D2786" s="2" t="s">
        <v>71</v>
      </c>
      <c r="E2786" s="2" t="s">
        <v>4647</v>
      </c>
      <c r="F2786" s="2">
        <v>12</v>
      </c>
      <c r="G2786" s="2">
        <v>12</v>
      </c>
      <c r="H2786" s="2">
        <v>0</v>
      </c>
      <c r="I2786" s="1">
        <v>0</v>
      </c>
      <c r="J2786" s="26">
        <v>45504</v>
      </c>
      <c r="K2786" s="22">
        <v>42000</v>
      </c>
      <c r="L2786" s="18">
        <v>44.92</v>
      </c>
      <c r="M2786" s="22">
        <v>29400</v>
      </c>
      <c r="N2786" s="22">
        <v>12600</v>
      </c>
      <c r="O2786" s="18">
        <v>13.48</v>
      </c>
      <c r="P2786" s="52">
        <f>IF(COUNTIF(TblPurchases[BatchID],TblOutcomes[[#This Row],[BatchID]])&lt;&gt;1,"n.a.",TblOutcomes[[#This Row],[Qty Wasted]]*SUMIFS(TblPurchases[Unit Cost (CLP)],TblPurchases[BatchID],TblOutcomes[[#This Row],[BatchID]]))</f>
        <v>0</v>
      </c>
      <c r="Q2786" s="51">
        <f>IF(COUNTIF(TblPurchases[BatchID],TblOutcomes[[#This Row],[BatchID]])&lt;&gt;1,"n.a.",SUMIFS(TblPurchases[Purchase Date],TblPurchases[BatchID],TblOutcomes[[#This Row],[BatchID]]))</f>
        <v>45475</v>
      </c>
    </row>
    <row r="2787" spans="2:17" x14ac:dyDescent="0.25">
      <c r="B2787" s="2" t="s">
        <v>3592</v>
      </c>
      <c r="C2787" s="2" t="s">
        <v>299</v>
      </c>
      <c r="D2787" s="2" t="s">
        <v>71</v>
      </c>
      <c r="E2787" s="2" t="s">
        <v>4647</v>
      </c>
      <c r="F2787" s="2">
        <v>14</v>
      </c>
      <c r="G2787" s="2">
        <v>14</v>
      </c>
      <c r="H2787" s="2">
        <v>0</v>
      </c>
      <c r="I2787" s="1">
        <v>0</v>
      </c>
      <c r="J2787" s="26">
        <v>45531</v>
      </c>
      <c r="K2787" s="22">
        <v>49000</v>
      </c>
      <c r="L2787" s="18">
        <v>52.41</v>
      </c>
      <c r="M2787" s="22">
        <v>33600</v>
      </c>
      <c r="N2787" s="22">
        <v>15400</v>
      </c>
      <c r="O2787" s="18">
        <v>16.47</v>
      </c>
      <c r="P2787" s="52">
        <f>IF(COUNTIF(TblPurchases[BatchID],TblOutcomes[[#This Row],[BatchID]])&lt;&gt;1,"n.a.",TblOutcomes[[#This Row],[Qty Wasted]]*SUMIFS(TblPurchases[Unit Cost (CLP)],TblPurchases[BatchID],TblOutcomes[[#This Row],[BatchID]]))</f>
        <v>0</v>
      </c>
      <c r="Q2787" s="51">
        <f>IF(COUNTIF(TblPurchases[BatchID],TblOutcomes[[#This Row],[BatchID]])&lt;&gt;1,"n.a.",SUMIFS(TblPurchases[Purchase Date],TblPurchases[BatchID],TblOutcomes[[#This Row],[BatchID]]))</f>
        <v>45512</v>
      </c>
    </row>
    <row r="2788" spans="2:17" x14ac:dyDescent="0.25">
      <c r="B2788" s="2" t="s">
        <v>3593</v>
      </c>
      <c r="C2788" s="2" t="s">
        <v>299</v>
      </c>
      <c r="D2788" s="2" t="s">
        <v>71</v>
      </c>
      <c r="E2788" s="2" t="s">
        <v>4647</v>
      </c>
      <c r="F2788" s="2">
        <v>16</v>
      </c>
      <c r="G2788" s="2">
        <v>16</v>
      </c>
      <c r="H2788" s="2">
        <v>0</v>
      </c>
      <c r="I2788" s="1">
        <v>0</v>
      </c>
      <c r="J2788" s="26">
        <v>45562</v>
      </c>
      <c r="K2788" s="22">
        <v>56000</v>
      </c>
      <c r="L2788" s="18">
        <v>59.89</v>
      </c>
      <c r="M2788" s="22">
        <v>39200</v>
      </c>
      <c r="N2788" s="22">
        <v>16800</v>
      </c>
      <c r="O2788" s="18">
        <v>17.97</v>
      </c>
      <c r="P2788" s="52">
        <f>IF(COUNTIF(TblPurchases[BatchID],TblOutcomes[[#This Row],[BatchID]])&lt;&gt;1,"n.a.",TblOutcomes[[#This Row],[Qty Wasted]]*SUMIFS(TblPurchases[Unit Cost (CLP)],TblPurchases[BatchID],TblOutcomes[[#This Row],[BatchID]]))</f>
        <v>0</v>
      </c>
      <c r="Q2788" s="51">
        <f>IF(COUNTIF(TblPurchases[BatchID],TblOutcomes[[#This Row],[BatchID]])&lt;&gt;1,"n.a.",SUMIFS(TblPurchases[Purchase Date],TblPurchases[BatchID],TblOutcomes[[#This Row],[BatchID]]))</f>
        <v>45548</v>
      </c>
    </row>
    <row r="2789" spans="2:17" x14ac:dyDescent="0.25">
      <c r="B2789" s="2" t="s">
        <v>3594</v>
      </c>
      <c r="C2789" s="2" t="s">
        <v>299</v>
      </c>
      <c r="D2789" s="2" t="s">
        <v>71</v>
      </c>
      <c r="E2789" s="2" t="s">
        <v>4647</v>
      </c>
      <c r="F2789" s="2">
        <v>4</v>
      </c>
      <c r="G2789" s="2">
        <v>4</v>
      </c>
      <c r="H2789" s="2">
        <v>0</v>
      </c>
      <c r="I2789" s="1">
        <v>0</v>
      </c>
      <c r="J2789" s="26">
        <v>45620</v>
      </c>
      <c r="K2789" s="22">
        <v>14000</v>
      </c>
      <c r="L2789" s="18">
        <v>14.97</v>
      </c>
      <c r="M2789" s="22">
        <v>9800</v>
      </c>
      <c r="N2789" s="22">
        <v>4200</v>
      </c>
      <c r="O2789" s="18">
        <v>4.49</v>
      </c>
      <c r="P2789" s="52">
        <f>IF(COUNTIF(TblPurchases[BatchID],TblOutcomes[[#This Row],[BatchID]])&lt;&gt;1,"n.a.",TblOutcomes[[#This Row],[Qty Wasted]]*SUMIFS(TblPurchases[Unit Cost (CLP)],TblPurchases[BatchID],TblOutcomes[[#This Row],[BatchID]]))</f>
        <v>0</v>
      </c>
      <c r="Q2789" s="51">
        <f>IF(COUNTIF(TblPurchases[BatchID],TblOutcomes[[#This Row],[BatchID]])&lt;&gt;1,"n.a.",SUMIFS(TblPurchases[Purchase Date],TblPurchases[BatchID],TblOutcomes[[#This Row],[BatchID]]))</f>
        <v>45581</v>
      </c>
    </row>
    <row r="2790" spans="2:17" x14ac:dyDescent="0.25">
      <c r="B2790" s="2" t="s">
        <v>3595</v>
      </c>
      <c r="C2790" s="2" t="s">
        <v>299</v>
      </c>
      <c r="D2790" s="2" t="s">
        <v>71</v>
      </c>
      <c r="E2790" s="2" t="s">
        <v>4647</v>
      </c>
      <c r="F2790" s="2">
        <v>4</v>
      </c>
      <c r="G2790" s="2">
        <v>4</v>
      </c>
      <c r="H2790" s="2">
        <v>0</v>
      </c>
      <c r="I2790" s="1">
        <v>0</v>
      </c>
      <c r="J2790" s="26">
        <v>45646</v>
      </c>
      <c r="K2790" s="22">
        <v>14000</v>
      </c>
      <c r="L2790" s="18">
        <v>14.97</v>
      </c>
      <c r="M2790" s="22">
        <v>9600</v>
      </c>
      <c r="N2790" s="22">
        <v>4400</v>
      </c>
      <c r="O2790" s="18">
        <v>4.71</v>
      </c>
      <c r="P2790" s="52">
        <f>IF(COUNTIF(TblPurchases[BatchID],TblOutcomes[[#This Row],[BatchID]])&lt;&gt;1,"n.a.",TblOutcomes[[#This Row],[Qty Wasted]]*SUMIFS(TblPurchases[Unit Cost (CLP)],TblPurchases[BatchID],TblOutcomes[[#This Row],[BatchID]]))</f>
        <v>0</v>
      </c>
      <c r="Q2790" s="51">
        <f>IF(COUNTIF(TblPurchases[BatchID],TblOutcomes[[#This Row],[BatchID]])&lt;&gt;1,"n.a.",SUMIFS(TblPurchases[Purchase Date],TblPurchases[BatchID],TblOutcomes[[#This Row],[BatchID]]))</f>
        <v>45621</v>
      </c>
    </row>
    <row r="2791" spans="2:17" x14ac:dyDescent="0.25">
      <c r="B2791" s="2" t="s">
        <v>3596</v>
      </c>
      <c r="C2791" s="2" t="s">
        <v>299</v>
      </c>
      <c r="D2791" s="2" t="s">
        <v>71</v>
      </c>
      <c r="E2791" s="2" t="s">
        <v>4646</v>
      </c>
      <c r="F2791" s="2">
        <v>7</v>
      </c>
      <c r="G2791" s="2">
        <v>6.85</v>
      </c>
      <c r="H2791" s="2">
        <v>0.15</v>
      </c>
      <c r="I2791" s="1">
        <v>2.2000000000000002</v>
      </c>
      <c r="J2791" s="26">
        <v>45956</v>
      </c>
      <c r="K2791" s="22">
        <v>23975</v>
      </c>
      <c r="L2791" s="18">
        <v>25.64</v>
      </c>
      <c r="M2791" s="22">
        <v>17150</v>
      </c>
      <c r="N2791" s="22">
        <v>6825</v>
      </c>
      <c r="O2791" s="18">
        <v>7.3</v>
      </c>
      <c r="P2791" s="52">
        <f>IF(COUNTIF(TblPurchases[BatchID],TblOutcomes[[#This Row],[BatchID]])&lt;&gt;1,"n.a.",TblOutcomes[[#This Row],[Qty Wasted]]*SUMIFS(TblPurchases[Unit Cost (CLP)],TblPurchases[BatchID],TblOutcomes[[#This Row],[BatchID]]))</f>
        <v>367.5</v>
      </c>
      <c r="Q2791" s="51">
        <f>IF(COUNTIF(TblPurchases[BatchID],TblOutcomes[[#This Row],[BatchID]])&lt;&gt;1,"n.a.",SUMIFS(TblPurchases[Purchase Date],TblPurchases[BatchID],TblOutcomes[[#This Row],[BatchID]]))</f>
        <v>45656</v>
      </c>
    </row>
    <row r="2792" spans="2:17" x14ac:dyDescent="0.25">
      <c r="B2792" s="2" t="s">
        <v>3597</v>
      </c>
      <c r="C2792" s="2" t="s">
        <v>299</v>
      </c>
      <c r="D2792" s="2" t="s">
        <v>71</v>
      </c>
      <c r="E2792" s="2" t="s">
        <v>4647</v>
      </c>
      <c r="F2792" s="2">
        <v>5</v>
      </c>
      <c r="G2792" s="2">
        <v>5</v>
      </c>
      <c r="H2792" s="2">
        <v>0</v>
      </c>
      <c r="I2792" s="1">
        <v>0</v>
      </c>
      <c r="J2792" s="26">
        <v>45719</v>
      </c>
      <c r="K2792" s="22">
        <v>17500</v>
      </c>
      <c r="L2792" s="18">
        <v>18.72</v>
      </c>
      <c r="M2792" s="22">
        <v>12250</v>
      </c>
      <c r="N2792" s="22">
        <v>5250</v>
      </c>
      <c r="O2792" s="18">
        <v>5.61</v>
      </c>
      <c r="P2792" s="52">
        <f>IF(COUNTIF(TblPurchases[BatchID],TblOutcomes[[#This Row],[BatchID]])&lt;&gt;1,"n.a.",TblOutcomes[[#This Row],[Qty Wasted]]*SUMIFS(TblPurchases[Unit Cost (CLP)],TblPurchases[BatchID],TblOutcomes[[#This Row],[BatchID]]))</f>
        <v>0</v>
      </c>
      <c r="Q2792" s="51">
        <f>IF(COUNTIF(TblPurchases[BatchID],TblOutcomes[[#This Row],[BatchID]])&lt;&gt;1,"n.a.",SUMIFS(TblPurchases[Purchase Date],TblPurchases[BatchID],TblOutcomes[[#This Row],[BatchID]]))</f>
        <v>45691</v>
      </c>
    </row>
    <row r="2793" spans="2:17" x14ac:dyDescent="0.25">
      <c r="B2793" s="2" t="s">
        <v>3598</v>
      </c>
      <c r="C2793" s="2" t="s">
        <v>299</v>
      </c>
      <c r="D2793" s="2" t="s">
        <v>71</v>
      </c>
      <c r="E2793" s="2" t="s">
        <v>4646</v>
      </c>
      <c r="F2793" s="2">
        <v>5</v>
      </c>
      <c r="G2793" s="2">
        <v>4.82</v>
      </c>
      <c r="H2793" s="2">
        <v>0.18</v>
      </c>
      <c r="I2793" s="1">
        <v>3.6</v>
      </c>
      <c r="J2793" s="26">
        <v>46023</v>
      </c>
      <c r="K2793" s="22">
        <v>16870</v>
      </c>
      <c r="L2793" s="18">
        <v>18.04</v>
      </c>
      <c r="M2793" s="22">
        <v>12250</v>
      </c>
      <c r="N2793" s="22">
        <v>4620</v>
      </c>
      <c r="O2793" s="18">
        <v>4.9400000000000004</v>
      </c>
      <c r="P2793" s="52">
        <f>IF(COUNTIF(TblPurchases[BatchID],TblOutcomes[[#This Row],[BatchID]])&lt;&gt;1,"n.a.",TblOutcomes[[#This Row],[Qty Wasted]]*SUMIFS(TblPurchases[Unit Cost (CLP)],TblPurchases[BatchID],TblOutcomes[[#This Row],[BatchID]]))</f>
        <v>441</v>
      </c>
      <c r="Q2793" s="51">
        <f>IF(COUNTIF(TblPurchases[BatchID],TblOutcomes[[#This Row],[BatchID]])&lt;&gt;1,"n.a.",SUMIFS(TblPurchases[Purchase Date],TblPurchases[BatchID],TblOutcomes[[#This Row],[BatchID]]))</f>
        <v>45723</v>
      </c>
    </row>
    <row r="2794" spans="2:17" x14ac:dyDescent="0.25">
      <c r="B2794" s="2" t="s">
        <v>3599</v>
      </c>
      <c r="C2794" s="2" t="s">
        <v>299</v>
      </c>
      <c r="D2794" s="2" t="s">
        <v>71</v>
      </c>
      <c r="E2794" s="2" t="s">
        <v>4646</v>
      </c>
      <c r="F2794" s="2">
        <v>14</v>
      </c>
      <c r="G2794" s="2">
        <v>13.66</v>
      </c>
      <c r="H2794" s="2">
        <v>0.34</v>
      </c>
      <c r="I2794" s="1">
        <v>2.4</v>
      </c>
      <c r="J2794" s="26">
        <v>46058</v>
      </c>
      <c r="K2794" s="22">
        <v>47810</v>
      </c>
      <c r="L2794" s="18">
        <v>51.13</v>
      </c>
      <c r="M2794" s="22">
        <v>34300</v>
      </c>
      <c r="N2794" s="22">
        <v>13510</v>
      </c>
      <c r="O2794" s="18">
        <v>14.45</v>
      </c>
      <c r="P2794" s="52">
        <f>IF(COUNTIF(TblPurchases[BatchID],TblOutcomes[[#This Row],[BatchID]])&lt;&gt;1,"n.a.",TblOutcomes[[#This Row],[Qty Wasted]]*SUMIFS(TblPurchases[Unit Cost (CLP)],TblPurchases[BatchID],TblOutcomes[[#This Row],[BatchID]]))</f>
        <v>833.00000000000011</v>
      </c>
      <c r="Q2794" s="51">
        <f>IF(COUNTIF(TblPurchases[BatchID],TblOutcomes[[#This Row],[BatchID]])&lt;&gt;1,"n.a.",SUMIFS(TblPurchases[Purchase Date],TblPurchases[BatchID],TblOutcomes[[#This Row],[BatchID]]))</f>
        <v>45758</v>
      </c>
    </row>
    <row r="2795" spans="2:17" x14ac:dyDescent="0.25">
      <c r="B2795" s="2" t="s">
        <v>3600</v>
      </c>
      <c r="C2795" s="2" t="s">
        <v>299</v>
      </c>
      <c r="D2795" s="2" t="s">
        <v>71</v>
      </c>
      <c r="E2795" s="2" t="s">
        <v>4647</v>
      </c>
      <c r="F2795" s="2">
        <v>14</v>
      </c>
      <c r="G2795" s="2">
        <v>14</v>
      </c>
      <c r="H2795" s="2">
        <v>0</v>
      </c>
      <c r="I2795" s="1">
        <v>0</v>
      </c>
      <c r="J2795" s="26">
        <v>45812</v>
      </c>
      <c r="K2795" s="22">
        <v>49000</v>
      </c>
      <c r="L2795" s="18">
        <v>52.41</v>
      </c>
      <c r="M2795" s="22">
        <v>34300</v>
      </c>
      <c r="N2795" s="22">
        <v>14700</v>
      </c>
      <c r="O2795" s="18">
        <v>15.72</v>
      </c>
      <c r="P2795" s="52">
        <f>IF(COUNTIF(TblPurchases[BatchID],TblOutcomes[[#This Row],[BatchID]])&lt;&gt;1,"n.a.",TblOutcomes[[#This Row],[Qty Wasted]]*SUMIFS(TblPurchases[Unit Cost (CLP)],TblPurchases[BatchID],TblOutcomes[[#This Row],[BatchID]]))</f>
        <v>0</v>
      </c>
      <c r="Q2795" s="51">
        <f>IF(COUNTIF(TblPurchases[BatchID],TblOutcomes[[#This Row],[BatchID]])&lt;&gt;1,"n.a.",SUMIFS(TblPurchases[Purchase Date],TblPurchases[BatchID],TblOutcomes[[#This Row],[BatchID]]))</f>
        <v>45789</v>
      </c>
    </row>
    <row r="2796" spans="2:17" x14ac:dyDescent="0.25">
      <c r="B2796" s="2" t="s">
        <v>3601</v>
      </c>
      <c r="C2796" s="2" t="s">
        <v>299</v>
      </c>
      <c r="D2796" s="2" t="s">
        <v>71</v>
      </c>
      <c r="E2796" s="2" t="s">
        <v>4647</v>
      </c>
      <c r="F2796" s="2">
        <v>13</v>
      </c>
      <c r="G2796" s="2">
        <v>13</v>
      </c>
      <c r="H2796" s="2">
        <v>0</v>
      </c>
      <c r="I2796" s="1">
        <v>0</v>
      </c>
      <c r="J2796" s="26">
        <v>45841</v>
      </c>
      <c r="K2796" s="22">
        <v>45500</v>
      </c>
      <c r="L2796" s="18">
        <v>48.66</v>
      </c>
      <c r="M2796" s="22">
        <v>31200</v>
      </c>
      <c r="N2796" s="22">
        <v>14300</v>
      </c>
      <c r="O2796" s="18">
        <v>15.29</v>
      </c>
      <c r="P2796" s="52">
        <f>IF(COUNTIF(TblPurchases[BatchID],TblOutcomes[[#This Row],[BatchID]])&lt;&gt;1,"n.a.",TblOutcomes[[#This Row],[Qty Wasted]]*SUMIFS(TblPurchases[Unit Cost (CLP)],TblPurchases[BatchID],TblOutcomes[[#This Row],[BatchID]]))</f>
        <v>0</v>
      </c>
      <c r="Q2796" s="51">
        <f>IF(COUNTIF(TblPurchases[BatchID],TblOutcomes[[#This Row],[BatchID]])&lt;&gt;1,"n.a.",SUMIFS(TblPurchases[Purchase Date],TblPurchases[BatchID],TblOutcomes[[#This Row],[BatchID]]))</f>
        <v>45819</v>
      </c>
    </row>
    <row r="2797" spans="2:17" x14ac:dyDescent="0.25">
      <c r="B2797" s="2" t="s">
        <v>3602</v>
      </c>
      <c r="C2797" s="2" t="s">
        <v>301</v>
      </c>
      <c r="D2797" s="2" t="s">
        <v>71</v>
      </c>
      <c r="E2797" s="2" t="s">
        <v>4646</v>
      </c>
      <c r="F2797" s="2">
        <v>27</v>
      </c>
      <c r="G2797" s="2">
        <v>25.65</v>
      </c>
      <c r="H2797" s="2">
        <v>1.35</v>
      </c>
      <c r="I2797" s="1">
        <v>5</v>
      </c>
      <c r="J2797" s="26">
        <v>45421</v>
      </c>
      <c r="K2797" s="22">
        <v>51300</v>
      </c>
      <c r="L2797" s="18">
        <v>54.87</v>
      </c>
      <c r="M2797" s="22">
        <v>36450</v>
      </c>
      <c r="N2797" s="22">
        <v>14850</v>
      </c>
      <c r="O2797" s="18">
        <v>15.88</v>
      </c>
      <c r="P2797" s="52">
        <f>IF(COUNTIF(TblPurchases[BatchID],TblOutcomes[[#This Row],[BatchID]])&lt;&gt;1,"n.a.",TblOutcomes[[#This Row],[Qty Wasted]]*SUMIFS(TblPurchases[Unit Cost (CLP)],TblPurchases[BatchID],TblOutcomes[[#This Row],[BatchID]]))</f>
        <v>1822.5000000000002</v>
      </c>
      <c r="Q2797" s="51">
        <f>IF(COUNTIF(TblPurchases[BatchID],TblOutcomes[[#This Row],[BatchID]])&lt;&gt;1,"n.a.",SUMIFS(TblPurchases[Purchase Date],TblPurchases[BatchID],TblOutcomes[[#This Row],[BatchID]]))</f>
        <v>45121</v>
      </c>
    </row>
    <row r="2798" spans="2:17" x14ac:dyDescent="0.25">
      <c r="B2798" s="2" t="s">
        <v>3603</v>
      </c>
      <c r="C2798" s="2" t="s">
        <v>301</v>
      </c>
      <c r="D2798" s="2" t="s">
        <v>71</v>
      </c>
      <c r="E2798" s="2" t="s">
        <v>4646</v>
      </c>
      <c r="F2798" s="2">
        <v>21</v>
      </c>
      <c r="G2798" s="2">
        <v>20.45</v>
      </c>
      <c r="H2798" s="2">
        <v>0.55000000000000004</v>
      </c>
      <c r="I2798" s="1">
        <v>2.6</v>
      </c>
      <c r="J2798" s="26">
        <v>45454</v>
      </c>
      <c r="K2798" s="22">
        <v>40900</v>
      </c>
      <c r="L2798" s="18">
        <v>43.74</v>
      </c>
      <c r="M2798" s="22">
        <v>28350</v>
      </c>
      <c r="N2798" s="22">
        <v>12550</v>
      </c>
      <c r="O2798" s="18">
        <v>13.42</v>
      </c>
      <c r="P2798" s="52">
        <f>IF(COUNTIF(TblPurchases[BatchID],TblOutcomes[[#This Row],[BatchID]])&lt;&gt;1,"n.a.",TblOutcomes[[#This Row],[Qty Wasted]]*SUMIFS(TblPurchases[Unit Cost (CLP)],TblPurchases[BatchID],TblOutcomes[[#This Row],[BatchID]]))</f>
        <v>742.50000000000011</v>
      </c>
      <c r="Q2798" s="51">
        <f>IF(COUNTIF(TblPurchases[BatchID],TblOutcomes[[#This Row],[BatchID]])&lt;&gt;1,"n.a.",SUMIFS(TblPurchases[Purchase Date],TblPurchases[BatchID],TblOutcomes[[#This Row],[BatchID]]))</f>
        <v>45154</v>
      </c>
    </row>
    <row r="2799" spans="2:17" x14ac:dyDescent="0.25">
      <c r="B2799" s="2" t="s">
        <v>3604</v>
      </c>
      <c r="C2799" s="2" t="s">
        <v>301</v>
      </c>
      <c r="D2799" s="2" t="s">
        <v>71</v>
      </c>
      <c r="E2799" s="2" t="s">
        <v>4646</v>
      </c>
      <c r="F2799" s="2">
        <v>24</v>
      </c>
      <c r="G2799" s="2">
        <v>22.7</v>
      </c>
      <c r="H2799" s="2">
        <v>1.3</v>
      </c>
      <c r="I2799" s="1">
        <v>5.4</v>
      </c>
      <c r="J2799" s="26">
        <v>45506</v>
      </c>
      <c r="K2799" s="22">
        <v>45400</v>
      </c>
      <c r="L2799" s="18">
        <v>48.56</v>
      </c>
      <c r="M2799" s="22">
        <v>32400</v>
      </c>
      <c r="N2799" s="22">
        <v>13000</v>
      </c>
      <c r="O2799" s="18">
        <v>13.9</v>
      </c>
      <c r="P2799" s="52">
        <f>IF(COUNTIF(TblPurchases[BatchID],TblOutcomes[[#This Row],[BatchID]])&lt;&gt;1,"n.a.",TblOutcomes[[#This Row],[Qty Wasted]]*SUMIFS(TblPurchases[Unit Cost (CLP)],TblPurchases[BatchID],TblOutcomes[[#This Row],[BatchID]]))</f>
        <v>1755</v>
      </c>
      <c r="Q2799" s="51">
        <f>IF(COUNTIF(TblPurchases[BatchID],TblOutcomes[[#This Row],[BatchID]])&lt;&gt;1,"n.a.",SUMIFS(TblPurchases[Purchase Date],TblPurchases[BatchID],TblOutcomes[[#This Row],[BatchID]]))</f>
        <v>45206</v>
      </c>
    </row>
    <row r="2800" spans="2:17" x14ac:dyDescent="0.25">
      <c r="B2800" s="2" t="s">
        <v>3605</v>
      </c>
      <c r="C2800" s="2" t="s">
        <v>301</v>
      </c>
      <c r="D2800" s="2" t="s">
        <v>71</v>
      </c>
      <c r="E2800" s="2" t="s">
        <v>4647</v>
      </c>
      <c r="F2800" s="2">
        <v>24</v>
      </c>
      <c r="G2800" s="2">
        <v>24</v>
      </c>
      <c r="H2800" s="2">
        <v>0</v>
      </c>
      <c r="I2800" s="1">
        <v>0</v>
      </c>
      <c r="J2800" s="26">
        <v>45269</v>
      </c>
      <c r="K2800" s="22">
        <v>48000</v>
      </c>
      <c r="L2800" s="18">
        <v>51.34</v>
      </c>
      <c r="M2800" s="22">
        <v>34800</v>
      </c>
      <c r="N2800" s="22">
        <v>13200</v>
      </c>
      <c r="O2800" s="18">
        <v>14.12</v>
      </c>
      <c r="P2800" s="52">
        <f>IF(COUNTIF(TblPurchases[BatchID],TblOutcomes[[#This Row],[BatchID]])&lt;&gt;1,"n.a.",TblOutcomes[[#This Row],[Qty Wasted]]*SUMIFS(TblPurchases[Unit Cost (CLP)],TblPurchases[BatchID],TblOutcomes[[#This Row],[BatchID]]))</f>
        <v>0</v>
      </c>
      <c r="Q2800" s="51">
        <f>IF(COUNTIF(TblPurchases[BatchID],TblOutcomes[[#This Row],[BatchID]])&lt;&gt;1,"n.a.",SUMIFS(TblPurchases[Purchase Date],TblPurchases[BatchID],TblOutcomes[[#This Row],[BatchID]]))</f>
        <v>45241</v>
      </c>
    </row>
    <row r="2801" spans="2:17" x14ac:dyDescent="0.25">
      <c r="B2801" s="2" t="s">
        <v>3606</v>
      </c>
      <c r="C2801" s="2" t="s">
        <v>301</v>
      </c>
      <c r="D2801" s="2" t="s">
        <v>71</v>
      </c>
      <c r="E2801" s="2" t="s">
        <v>4647</v>
      </c>
      <c r="F2801" s="2">
        <v>35</v>
      </c>
      <c r="G2801" s="2">
        <v>35</v>
      </c>
      <c r="H2801" s="2">
        <v>0</v>
      </c>
      <c r="I2801" s="1">
        <v>0</v>
      </c>
      <c r="J2801" s="26">
        <v>45293</v>
      </c>
      <c r="K2801" s="22">
        <v>70000</v>
      </c>
      <c r="L2801" s="18">
        <v>74.87</v>
      </c>
      <c r="M2801" s="22">
        <v>47250</v>
      </c>
      <c r="N2801" s="22">
        <v>22750</v>
      </c>
      <c r="O2801" s="18">
        <v>24.33</v>
      </c>
      <c r="P2801" s="52">
        <f>IF(COUNTIF(TblPurchases[BatchID],TblOutcomes[[#This Row],[BatchID]])&lt;&gt;1,"n.a.",TblOutcomes[[#This Row],[Qty Wasted]]*SUMIFS(TblPurchases[Unit Cost (CLP)],TblPurchases[BatchID],TblOutcomes[[#This Row],[BatchID]]))</f>
        <v>0</v>
      </c>
      <c r="Q2801" s="51">
        <f>IF(COUNTIF(TblPurchases[BatchID],TblOutcomes[[#This Row],[BatchID]])&lt;&gt;1,"n.a.",SUMIFS(TblPurchases[Purchase Date],TblPurchases[BatchID],TblOutcomes[[#This Row],[BatchID]]))</f>
        <v>45271</v>
      </c>
    </row>
    <row r="2802" spans="2:17" x14ac:dyDescent="0.25">
      <c r="B2802" s="2" t="s">
        <v>3607</v>
      </c>
      <c r="C2802" s="2" t="s">
        <v>301</v>
      </c>
      <c r="D2802" s="2" t="s">
        <v>71</v>
      </c>
      <c r="E2802" s="2" t="s">
        <v>4647</v>
      </c>
      <c r="F2802" s="2">
        <v>26</v>
      </c>
      <c r="G2802" s="2">
        <v>26</v>
      </c>
      <c r="H2802" s="2">
        <v>0</v>
      </c>
      <c r="I2802" s="1">
        <v>0</v>
      </c>
      <c r="J2802" s="26">
        <v>45339</v>
      </c>
      <c r="K2802" s="22">
        <v>52000</v>
      </c>
      <c r="L2802" s="18">
        <v>55.61</v>
      </c>
      <c r="M2802" s="22">
        <v>35100</v>
      </c>
      <c r="N2802" s="22">
        <v>16900</v>
      </c>
      <c r="O2802" s="18">
        <v>18.07</v>
      </c>
      <c r="P2802" s="52">
        <f>IF(COUNTIF(TblPurchases[BatchID],TblOutcomes[[#This Row],[BatchID]])&lt;&gt;1,"n.a.",TblOutcomes[[#This Row],[Qty Wasted]]*SUMIFS(TblPurchases[Unit Cost (CLP)],TblPurchases[BatchID],TblOutcomes[[#This Row],[BatchID]]))</f>
        <v>0</v>
      </c>
      <c r="Q2802" s="51">
        <f>IF(COUNTIF(TblPurchases[BatchID],TblOutcomes[[#This Row],[BatchID]])&lt;&gt;1,"n.a.",SUMIFS(TblPurchases[Purchase Date],TblPurchases[BatchID],TblOutcomes[[#This Row],[BatchID]]))</f>
        <v>45308</v>
      </c>
    </row>
    <row r="2803" spans="2:17" x14ac:dyDescent="0.25">
      <c r="B2803" s="2" t="s">
        <v>3608</v>
      </c>
      <c r="C2803" s="2" t="s">
        <v>301</v>
      </c>
      <c r="D2803" s="2" t="s">
        <v>71</v>
      </c>
      <c r="E2803" s="2" t="s">
        <v>4646</v>
      </c>
      <c r="F2803" s="2">
        <v>27</v>
      </c>
      <c r="G2803" s="2">
        <v>26.68</v>
      </c>
      <c r="H2803" s="2">
        <v>0.32</v>
      </c>
      <c r="I2803" s="1">
        <v>1.2</v>
      </c>
      <c r="J2803" s="26">
        <v>45650</v>
      </c>
      <c r="K2803" s="22">
        <v>53360</v>
      </c>
      <c r="L2803" s="18">
        <v>57.07</v>
      </c>
      <c r="M2803" s="22">
        <v>36450</v>
      </c>
      <c r="N2803" s="22">
        <v>16910</v>
      </c>
      <c r="O2803" s="18">
        <v>18.09</v>
      </c>
      <c r="P2803" s="52">
        <f>IF(COUNTIF(TblPurchases[BatchID],TblOutcomes[[#This Row],[BatchID]])&lt;&gt;1,"n.a.",TblOutcomes[[#This Row],[Qty Wasted]]*SUMIFS(TblPurchases[Unit Cost (CLP)],TblPurchases[BatchID],TblOutcomes[[#This Row],[BatchID]]))</f>
        <v>432</v>
      </c>
      <c r="Q2803" s="51">
        <f>IF(COUNTIF(TblPurchases[BatchID],TblOutcomes[[#This Row],[BatchID]])&lt;&gt;1,"n.a.",SUMIFS(TblPurchases[Purchase Date],TblPurchases[BatchID],TblOutcomes[[#This Row],[BatchID]]))</f>
        <v>45350</v>
      </c>
    </row>
    <row r="2804" spans="2:17" x14ac:dyDescent="0.25">
      <c r="B2804" s="2" t="s">
        <v>3609</v>
      </c>
      <c r="C2804" s="2" t="s">
        <v>301</v>
      </c>
      <c r="D2804" s="2" t="s">
        <v>71</v>
      </c>
      <c r="E2804" s="2" t="s">
        <v>4647</v>
      </c>
      <c r="F2804" s="2">
        <v>25</v>
      </c>
      <c r="G2804" s="2">
        <v>25</v>
      </c>
      <c r="H2804" s="2">
        <v>0</v>
      </c>
      <c r="I2804" s="1">
        <v>0</v>
      </c>
      <c r="J2804" s="26">
        <v>45409</v>
      </c>
      <c r="K2804" s="22">
        <v>50000</v>
      </c>
      <c r="L2804" s="18">
        <v>53.48</v>
      </c>
      <c r="M2804" s="22">
        <v>33750</v>
      </c>
      <c r="N2804" s="22">
        <v>16250</v>
      </c>
      <c r="O2804" s="18">
        <v>17.38</v>
      </c>
      <c r="P2804" s="52">
        <f>IF(COUNTIF(TblPurchases[BatchID],TblOutcomes[[#This Row],[BatchID]])&lt;&gt;1,"n.a.",TblOutcomes[[#This Row],[Qty Wasted]]*SUMIFS(TblPurchases[Unit Cost (CLP)],TblPurchases[BatchID],TblOutcomes[[#This Row],[BatchID]]))</f>
        <v>0</v>
      </c>
      <c r="Q2804" s="51">
        <f>IF(COUNTIF(TblPurchases[BatchID],TblOutcomes[[#This Row],[BatchID]])&lt;&gt;1,"n.a.",SUMIFS(TblPurchases[Purchase Date],TblPurchases[BatchID],TblOutcomes[[#This Row],[BatchID]]))</f>
        <v>45391</v>
      </c>
    </row>
    <row r="2805" spans="2:17" x14ac:dyDescent="0.25">
      <c r="B2805" s="2" t="s">
        <v>3610</v>
      </c>
      <c r="C2805" s="2" t="s">
        <v>301</v>
      </c>
      <c r="D2805" s="2" t="s">
        <v>71</v>
      </c>
      <c r="E2805" s="2" t="s">
        <v>4646</v>
      </c>
      <c r="F2805" s="2">
        <v>23</v>
      </c>
      <c r="G2805" s="2">
        <v>21.87</v>
      </c>
      <c r="H2805" s="2">
        <v>1.1299999999999999</v>
      </c>
      <c r="I2805" s="1">
        <v>4.9000000000000004</v>
      </c>
      <c r="J2805" s="26">
        <v>45721</v>
      </c>
      <c r="K2805" s="22">
        <v>43740</v>
      </c>
      <c r="L2805" s="18">
        <v>46.78</v>
      </c>
      <c r="M2805" s="22">
        <v>31050</v>
      </c>
      <c r="N2805" s="22">
        <v>12690</v>
      </c>
      <c r="O2805" s="18">
        <v>13.57</v>
      </c>
      <c r="P2805" s="52">
        <f>IF(COUNTIF(TblPurchases[BatchID],TblOutcomes[[#This Row],[BatchID]])&lt;&gt;1,"n.a.",TblOutcomes[[#This Row],[Qty Wasted]]*SUMIFS(TblPurchases[Unit Cost (CLP)],TblPurchases[BatchID],TblOutcomes[[#This Row],[BatchID]]))</f>
        <v>1525.4999999999998</v>
      </c>
      <c r="Q2805" s="51">
        <f>IF(COUNTIF(TblPurchases[BatchID],TblOutcomes[[#This Row],[BatchID]])&lt;&gt;1,"n.a.",SUMIFS(TblPurchases[Purchase Date],TblPurchases[BatchID],TblOutcomes[[#This Row],[BatchID]]))</f>
        <v>45421</v>
      </c>
    </row>
    <row r="2806" spans="2:17" x14ac:dyDescent="0.25">
      <c r="B2806" s="2" t="s">
        <v>3611</v>
      </c>
      <c r="C2806" s="2" t="s">
        <v>301</v>
      </c>
      <c r="D2806" s="2" t="s">
        <v>71</v>
      </c>
      <c r="E2806" s="2" t="s">
        <v>4647</v>
      </c>
      <c r="F2806" s="2">
        <v>22</v>
      </c>
      <c r="G2806" s="2">
        <v>22</v>
      </c>
      <c r="H2806" s="2">
        <v>0</v>
      </c>
      <c r="I2806" s="1">
        <v>0</v>
      </c>
      <c r="J2806" s="26">
        <v>45493</v>
      </c>
      <c r="K2806" s="22">
        <v>44000</v>
      </c>
      <c r="L2806" s="18">
        <v>47.06</v>
      </c>
      <c r="M2806" s="22">
        <v>29700</v>
      </c>
      <c r="N2806" s="22">
        <v>14300</v>
      </c>
      <c r="O2806" s="18">
        <v>15.29</v>
      </c>
      <c r="P2806" s="52">
        <f>IF(COUNTIF(TblPurchases[BatchID],TblOutcomes[[#This Row],[BatchID]])&lt;&gt;1,"n.a.",TblOutcomes[[#This Row],[Qty Wasted]]*SUMIFS(TblPurchases[Unit Cost (CLP)],TblPurchases[BatchID],TblOutcomes[[#This Row],[BatchID]]))</f>
        <v>0</v>
      </c>
      <c r="Q2806" s="51">
        <f>IF(COUNTIF(TblPurchases[BatchID],TblOutcomes[[#This Row],[BatchID]])&lt;&gt;1,"n.a.",SUMIFS(TblPurchases[Purchase Date],TblPurchases[BatchID],TblOutcomes[[#This Row],[BatchID]]))</f>
        <v>45459</v>
      </c>
    </row>
    <row r="2807" spans="2:17" x14ac:dyDescent="0.25">
      <c r="B2807" s="2" t="s">
        <v>3612</v>
      </c>
      <c r="C2807" s="2" t="s">
        <v>301</v>
      </c>
      <c r="D2807" s="2" t="s">
        <v>71</v>
      </c>
      <c r="E2807" s="2" t="s">
        <v>4646</v>
      </c>
      <c r="F2807" s="2">
        <v>27</v>
      </c>
      <c r="G2807" s="2">
        <v>26.05</v>
      </c>
      <c r="H2807" s="2">
        <v>0.95</v>
      </c>
      <c r="I2807" s="1">
        <v>3.5</v>
      </c>
      <c r="J2807" s="26">
        <v>45803</v>
      </c>
      <c r="K2807" s="22">
        <v>52100</v>
      </c>
      <c r="L2807" s="18">
        <v>55.72</v>
      </c>
      <c r="M2807" s="22">
        <v>36450</v>
      </c>
      <c r="N2807" s="22">
        <v>15650</v>
      </c>
      <c r="O2807" s="18">
        <v>16.739999999999998</v>
      </c>
      <c r="P2807" s="52">
        <f>IF(COUNTIF(TblPurchases[BatchID],TblOutcomes[[#This Row],[BatchID]])&lt;&gt;1,"n.a.",TblOutcomes[[#This Row],[Qty Wasted]]*SUMIFS(TblPurchases[Unit Cost (CLP)],TblPurchases[BatchID],TblOutcomes[[#This Row],[BatchID]]))</f>
        <v>1282.5</v>
      </c>
      <c r="Q2807" s="51">
        <f>IF(COUNTIF(TblPurchases[BatchID],TblOutcomes[[#This Row],[BatchID]])&lt;&gt;1,"n.a.",SUMIFS(TblPurchases[Purchase Date],TblPurchases[BatchID],TblOutcomes[[#This Row],[BatchID]]))</f>
        <v>45503</v>
      </c>
    </row>
    <row r="2808" spans="2:17" x14ac:dyDescent="0.25">
      <c r="B2808" s="2" t="s">
        <v>3613</v>
      </c>
      <c r="C2808" s="2" t="s">
        <v>301</v>
      </c>
      <c r="D2808" s="2" t="s">
        <v>71</v>
      </c>
      <c r="E2808" s="2" t="s">
        <v>4646</v>
      </c>
      <c r="F2808" s="2">
        <v>26</v>
      </c>
      <c r="G2808" s="2">
        <v>25.12</v>
      </c>
      <c r="H2808" s="2">
        <v>0.88</v>
      </c>
      <c r="I2808" s="1">
        <v>3.4</v>
      </c>
      <c r="J2808" s="26">
        <v>45834</v>
      </c>
      <c r="K2808" s="22">
        <v>50240</v>
      </c>
      <c r="L2808" s="18">
        <v>53.73</v>
      </c>
      <c r="M2808" s="22">
        <v>35100</v>
      </c>
      <c r="N2808" s="22">
        <v>15140</v>
      </c>
      <c r="O2808" s="18">
        <v>16.190000000000001</v>
      </c>
      <c r="P2808" s="52">
        <f>IF(COUNTIF(TblPurchases[BatchID],TblOutcomes[[#This Row],[BatchID]])&lt;&gt;1,"n.a.",TblOutcomes[[#This Row],[Qty Wasted]]*SUMIFS(TblPurchases[Unit Cost (CLP)],TblPurchases[BatchID],TblOutcomes[[#This Row],[BatchID]]))</f>
        <v>1188</v>
      </c>
      <c r="Q2808" s="51">
        <f>IF(COUNTIF(TblPurchases[BatchID],TblOutcomes[[#This Row],[BatchID]])&lt;&gt;1,"n.a.",SUMIFS(TblPurchases[Purchase Date],TblPurchases[BatchID],TblOutcomes[[#This Row],[BatchID]]))</f>
        <v>45534</v>
      </c>
    </row>
    <row r="2809" spans="2:17" x14ac:dyDescent="0.25">
      <c r="B2809" s="2" t="s">
        <v>3614</v>
      </c>
      <c r="C2809" s="2" t="s">
        <v>301</v>
      </c>
      <c r="D2809" s="2" t="s">
        <v>71</v>
      </c>
      <c r="E2809" s="2" t="s">
        <v>4647</v>
      </c>
      <c r="F2809" s="2">
        <v>22</v>
      </c>
      <c r="G2809" s="2">
        <v>22</v>
      </c>
      <c r="H2809" s="2">
        <v>0</v>
      </c>
      <c r="I2809" s="1">
        <v>0</v>
      </c>
      <c r="J2809" s="26">
        <v>45590</v>
      </c>
      <c r="K2809" s="22">
        <v>44000</v>
      </c>
      <c r="L2809" s="18">
        <v>47.06</v>
      </c>
      <c r="M2809" s="22">
        <v>31900</v>
      </c>
      <c r="N2809" s="22">
        <v>12100</v>
      </c>
      <c r="O2809" s="18">
        <v>12.94</v>
      </c>
      <c r="P2809" s="52">
        <f>IF(COUNTIF(TblPurchases[BatchID],TblOutcomes[[#This Row],[BatchID]])&lt;&gt;1,"n.a.",TblOutcomes[[#This Row],[Qty Wasted]]*SUMIFS(TblPurchases[Unit Cost (CLP)],TblPurchases[BatchID],TblOutcomes[[#This Row],[BatchID]]))</f>
        <v>0</v>
      </c>
      <c r="Q2809" s="51">
        <f>IF(COUNTIF(TblPurchases[BatchID],TblOutcomes[[#This Row],[BatchID]])&lt;&gt;1,"n.a.",SUMIFS(TblPurchases[Purchase Date],TblPurchases[BatchID],TblOutcomes[[#This Row],[BatchID]]))</f>
        <v>45567</v>
      </c>
    </row>
    <row r="2810" spans="2:17" x14ac:dyDescent="0.25">
      <c r="B2810" s="2" t="s">
        <v>3615</v>
      </c>
      <c r="C2810" s="2" t="s">
        <v>301</v>
      </c>
      <c r="D2810" s="2" t="s">
        <v>71</v>
      </c>
      <c r="E2810" s="2" t="s">
        <v>4647</v>
      </c>
      <c r="F2810" s="2">
        <v>21</v>
      </c>
      <c r="G2810" s="2">
        <v>21</v>
      </c>
      <c r="H2810" s="2">
        <v>0</v>
      </c>
      <c r="I2810" s="1">
        <v>0</v>
      </c>
      <c r="J2810" s="26">
        <v>45619</v>
      </c>
      <c r="K2810" s="22">
        <v>42000</v>
      </c>
      <c r="L2810" s="18">
        <v>44.92</v>
      </c>
      <c r="M2810" s="22">
        <v>28350</v>
      </c>
      <c r="N2810" s="22">
        <v>13650</v>
      </c>
      <c r="O2810" s="18">
        <v>14.6</v>
      </c>
      <c r="P2810" s="52">
        <f>IF(COUNTIF(TblPurchases[BatchID],TblOutcomes[[#This Row],[BatchID]])&lt;&gt;1,"n.a.",TblOutcomes[[#This Row],[Qty Wasted]]*SUMIFS(TblPurchases[Unit Cost (CLP)],TblPurchases[BatchID],TblOutcomes[[#This Row],[BatchID]]))</f>
        <v>0</v>
      </c>
      <c r="Q2810" s="51">
        <f>IF(COUNTIF(TblPurchases[BatchID],TblOutcomes[[#This Row],[BatchID]])&lt;&gt;1,"n.a.",SUMIFS(TblPurchases[Purchase Date],TblPurchases[BatchID],TblOutcomes[[#This Row],[BatchID]]))</f>
        <v>45600</v>
      </c>
    </row>
    <row r="2811" spans="2:17" x14ac:dyDescent="0.25">
      <c r="B2811" s="2" t="s">
        <v>3616</v>
      </c>
      <c r="C2811" s="2" t="s">
        <v>301</v>
      </c>
      <c r="D2811" s="2" t="s">
        <v>71</v>
      </c>
      <c r="E2811" s="2" t="s">
        <v>4647</v>
      </c>
      <c r="F2811" s="2">
        <v>31</v>
      </c>
      <c r="G2811" s="2">
        <v>31</v>
      </c>
      <c r="H2811" s="2">
        <v>0</v>
      </c>
      <c r="I2811" s="1">
        <v>0</v>
      </c>
      <c r="J2811" s="26">
        <v>45670</v>
      </c>
      <c r="K2811" s="22">
        <v>62000</v>
      </c>
      <c r="L2811" s="18">
        <v>66.31</v>
      </c>
      <c r="M2811" s="22">
        <v>41850</v>
      </c>
      <c r="N2811" s="22">
        <v>20150</v>
      </c>
      <c r="O2811" s="18">
        <v>21.55</v>
      </c>
      <c r="P2811" s="52">
        <f>IF(COUNTIF(TblPurchases[BatchID],TblOutcomes[[#This Row],[BatchID]])&lt;&gt;1,"n.a.",TblOutcomes[[#This Row],[Qty Wasted]]*SUMIFS(TblPurchases[Unit Cost (CLP)],TblPurchases[BatchID],TblOutcomes[[#This Row],[BatchID]]))</f>
        <v>0</v>
      </c>
      <c r="Q2811" s="51">
        <f>IF(COUNTIF(TblPurchases[BatchID],TblOutcomes[[#This Row],[BatchID]])&lt;&gt;1,"n.a.",SUMIFS(TblPurchases[Purchase Date],TblPurchases[BatchID],TblOutcomes[[#This Row],[BatchID]]))</f>
        <v>45636</v>
      </c>
    </row>
    <row r="2812" spans="2:17" x14ac:dyDescent="0.25">
      <c r="B2812" s="2" t="s">
        <v>3617</v>
      </c>
      <c r="C2812" s="2" t="s">
        <v>301</v>
      </c>
      <c r="D2812" s="2" t="s">
        <v>71</v>
      </c>
      <c r="E2812" s="2" t="s">
        <v>4647</v>
      </c>
      <c r="F2812" s="2">
        <v>27</v>
      </c>
      <c r="G2812" s="2">
        <v>27</v>
      </c>
      <c r="H2812" s="2">
        <v>0</v>
      </c>
      <c r="I2812" s="1">
        <v>0</v>
      </c>
      <c r="J2812" s="26">
        <v>45691</v>
      </c>
      <c r="K2812" s="22">
        <v>54000</v>
      </c>
      <c r="L2812" s="18">
        <v>57.75</v>
      </c>
      <c r="M2812" s="22">
        <v>36450</v>
      </c>
      <c r="N2812" s="22">
        <v>17550</v>
      </c>
      <c r="O2812" s="18">
        <v>18.77</v>
      </c>
      <c r="P2812" s="52">
        <f>IF(COUNTIF(TblPurchases[BatchID],TblOutcomes[[#This Row],[BatchID]])&lt;&gt;1,"n.a.",TblOutcomes[[#This Row],[Qty Wasted]]*SUMIFS(TblPurchases[Unit Cost (CLP)],TblPurchases[BatchID],TblOutcomes[[#This Row],[BatchID]]))</f>
        <v>0</v>
      </c>
      <c r="Q2812" s="51">
        <f>IF(COUNTIF(TblPurchases[BatchID],TblOutcomes[[#This Row],[BatchID]])&lt;&gt;1,"n.a.",SUMIFS(TblPurchases[Purchase Date],TblPurchases[BatchID],TblOutcomes[[#This Row],[BatchID]]))</f>
        <v>45665</v>
      </c>
    </row>
    <row r="2813" spans="2:17" x14ac:dyDescent="0.25">
      <c r="B2813" s="2" t="s">
        <v>3618</v>
      </c>
      <c r="C2813" s="2" t="s">
        <v>301</v>
      </c>
      <c r="D2813" s="2" t="s">
        <v>71</v>
      </c>
      <c r="E2813" s="2" t="s">
        <v>4646</v>
      </c>
      <c r="F2813" s="2">
        <v>23</v>
      </c>
      <c r="G2813" s="2">
        <v>22.52</v>
      </c>
      <c r="H2813" s="2">
        <v>0.48</v>
      </c>
      <c r="I2813" s="1">
        <v>2.1</v>
      </c>
      <c r="J2813" s="26">
        <v>45998</v>
      </c>
      <c r="K2813" s="22">
        <v>45040</v>
      </c>
      <c r="L2813" s="18">
        <v>48.17</v>
      </c>
      <c r="M2813" s="22">
        <v>31050</v>
      </c>
      <c r="N2813" s="22">
        <v>13990</v>
      </c>
      <c r="O2813" s="18">
        <v>14.96</v>
      </c>
      <c r="P2813" s="52">
        <f>IF(COUNTIF(TblPurchases[BatchID],TblOutcomes[[#This Row],[BatchID]])&lt;&gt;1,"n.a.",TblOutcomes[[#This Row],[Qty Wasted]]*SUMIFS(TblPurchases[Unit Cost (CLP)],TblPurchases[BatchID],TblOutcomes[[#This Row],[BatchID]]))</f>
        <v>648</v>
      </c>
      <c r="Q2813" s="51">
        <f>IF(COUNTIF(TblPurchases[BatchID],TblOutcomes[[#This Row],[BatchID]])&lt;&gt;1,"n.a.",SUMIFS(TblPurchases[Purchase Date],TblPurchases[BatchID],TblOutcomes[[#This Row],[BatchID]]))</f>
        <v>45698</v>
      </c>
    </row>
    <row r="2814" spans="2:17" x14ac:dyDescent="0.25">
      <c r="B2814" s="2" t="s">
        <v>3619</v>
      </c>
      <c r="C2814" s="2" t="s">
        <v>301</v>
      </c>
      <c r="D2814" s="2" t="s">
        <v>71</v>
      </c>
      <c r="E2814" s="2" t="s">
        <v>4647</v>
      </c>
      <c r="F2814" s="2">
        <v>28</v>
      </c>
      <c r="G2814" s="2">
        <v>28</v>
      </c>
      <c r="H2814" s="2">
        <v>0</v>
      </c>
      <c r="I2814" s="1">
        <v>0</v>
      </c>
      <c r="J2814" s="26">
        <v>45759</v>
      </c>
      <c r="K2814" s="22">
        <v>56000</v>
      </c>
      <c r="L2814" s="18">
        <v>59.89</v>
      </c>
      <c r="M2814" s="22">
        <v>37800</v>
      </c>
      <c r="N2814" s="22">
        <v>18200</v>
      </c>
      <c r="O2814" s="18">
        <v>19.47</v>
      </c>
      <c r="P2814" s="52">
        <f>IF(COUNTIF(TblPurchases[BatchID],TblOutcomes[[#This Row],[BatchID]])&lt;&gt;1,"n.a.",TblOutcomes[[#This Row],[Qty Wasted]]*SUMIFS(TblPurchases[Unit Cost (CLP)],TblPurchases[BatchID],TblOutcomes[[#This Row],[BatchID]]))</f>
        <v>0</v>
      </c>
      <c r="Q2814" s="51">
        <f>IF(COUNTIF(TblPurchases[BatchID],TblOutcomes[[#This Row],[BatchID]])&lt;&gt;1,"n.a.",SUMIFS(TblPurchases[Purchase Date],TblPurchases[BatchID],TblOutcomes[[#This Row],[BatchID]]))</f>
        <v>45736</v>
      </c>
    </row>
    <row r="2815" spans="2:17" x14ac:dyDescent="0.25">
      <c r="B2815" s="2" t="s">
        <v>3620</v>
      </c>
      <c r="C2815" s="2" t="s">
        <v>301</v>
      </c>
      <c r="D2815" s="2" t="s">
        <v>71</v>
      </c>
      <c r="E2815" s="2" t="s">
        <v>4646</v>
      </c>
      <c r="F2815" s="2">
        <v>23</v>
      </c>
      <c r="G2815" s="2">
        <v>21.87</v>
      </c>
      <c r="H2815" s="2">
        <v>1.1299999999999999</v>
      </c>
      <c r="I2815" s="1">
        <v>4.9000000000000004</v>
      </c>
      <c r="J2815" s="26">
        <v>46065</v>
      </c>
      <c r="K2815" s="22">
        <v>43740</v>
      </c>
      <c r="L2815" s="18">
        <v>46.78</v>
      </c>
      <c r="M2815" s="22">
        <v>33350</v>
      </c>
      <c r="N2815" s="22">
        <v>10390</v>
      </c>
      <c r="O2815" s="18">
        <v>11.11</v>
      </c>
      <c r="P2815" s="52">
        <f>IF(COUNTIF(TblPurchases[BatchID],TblOutcomes[[#This Row],[BatchID]])&lt;&gt;1,"n.a.",TblOutcomes[[#This Row],[Qty Wasted]]*SUMIFS(TblPurchases[Unit Cost (CLP)],TblPurchases[BatchID],TblOutcomes[[#This Row],[BatchID]]))</f>
        <v>1638.4999999999998</v>
      </c>
      <c r="Q2815" s="51">
        <f>IF(COUNTIF(TblPurchases[BatchID],TblOutcomes[[#This Row],[BatchID]])&lt;&gt;1,"n.a.",SUMIFS(TblPurchases[Purchase Date],TblPurchases[BatchID],TblOutcomes[[#This Row],[BatchID]]))</f>
        <v>45765</v>
      </c>
    </row>
    <row r="2816" spans="2:17" x14ac:dyDescent="0.25">
      <c r="B2816" s="2" t="s">
        <v>3621</v>
      </c>
      <c r="C2816" s="2" t="s">
        <v>301</v>
      </c>
      <c r="D2816" s="2" t="s">
        <v>71</v>
      </c>
      <c r="E2816" s="2" t="s">
        <v>4646</v>
      </c>
      <c r="F2816" s="2">
        <v>26</v>
      </c>
      <c r="G2816" s="2">
        <v>24.6</v>
      </c>
      <c r="H2816" s="2">
        <v>1.4</v>
      </c>
      <c r="I2816" s="1">
        <v>5.4</v>
      </c>
      <c r="J2816" s="26">
        <v>46100</v>
      </c>
      <c r="K2816" s="22">
        <v>49200</v>
      </c>
      <c r="L2816" s="18">
        <v>52.62</v>
      </c>
      <c r="M2816" s="22">
        <v>35100</v>
      </c>
      <c r="N2816" s="22">
        <v>14100</v>
      </c>
      <c r="O2816" s="18">
        <v>15.08</v>
      </c>
      <c r="P2816" s="52">
        <f>IF(COUNTIF(TblPurchases[BatchID],TblOutcomes[[#This Row],[BatchID]])&lt;&gt;1,"n.a.",TblOutcomes[[#This Row],[Qty Wasted]]*SUMIFS(TblPurchases[Unit Cost (CLP)],TblPurchases[BatchID],TblOutcomes[[#This Row],[BatchID]]))</f>
        <v>1889.9999999999998</v>
      </c>
      <c r="Q2816" s="51">
        <f>IF(COUNTIF(TblPurchases[BatchID],TblOutcomes[[#This Row],[BatchID]])&lt;&gt;1,"n.a.",SUMIFS(TblPurchases[Purchase Date],TblPurchases[BatchID],TblOutcomes[[#This Row],[BatchID]]))</f>
        <v>45800</v>
      </c>
    </row>
    <row r="2817" spans="2:17" x14ac:dyDescent="0.25">
      <c r="B2817" s="2" t="s">
        <v>3622</v>
      </c>
      <c r="C2817" s="2" t="s">
        <v>301</v>
      </c>
      <c r="D2817" s="2" t="s">
        <v>71</v>
      </c>
      <c r="E2817" s="2" t="s">
        <v>4646</v>
      </c>
      <c r="F2817" s="2">
        <v>22</v>
      </c>
      <c r="G2817" s="2">
        <v>20.94</v>
      </c>
      <c r="H2817" s="2">
        <v>1.06</v>
      </c>
      <c r="I2817" s="1">
        <v>4.8</v>
      </c>
      <c r="J2817" s="26">
        <v>46133</v>
      </c>
      <c r="K2817" s="22">
        <v>41880</v>
      </c>
      <c r="L2817" s="18">
        <v>44.79</v>
      </c>
      <c r="M2817" s="22">
        <v>29700</v>
      </c>
      <c r="N2817" s="22">
        <v>12180</v>
      </c>
      <c r="O2817" s="18">
        <v>13.03</v>
      </c>
      <c r="P2817" s="52">
        <f>IF(COUNTIF(TblPurchases[BatchID],TblOutcomes[[#This Row],[BatchID]])&lt;&gt;1,"n.a.",TblOutcomes[[#This Row],[Qty Wasted]]*SUMIFS(TblPurchases[Unit Cost (CLP)],TblPurchases[BatchID],TblOutcomes[[#This Row],[BatchID]]))</f>
        <v>1431</v>
      </c>
      <c r="Q2817" s="51">
        <f>IF(COUNTIF(TblPurchases[BatchID],TblOutcomes[[#This Row],[BatchID]])&lt;&gt;1,"n.a.",SUMIFS(TblPurchases[Purchase Date],TblPurchases[BatchID],TblOutcomes[[#This Row],[BatchID]]))</f>
        <v>45833</v>
      </c>
    </row>
    <row r="2818" spans="2:17" x14ac:dyDescent="0.25">
      <c r="B2818" s="2" t="s">
        <v>3623</v>
      </c>
      <c r="C2818" s="2" t="s">
        <v>304</v>
      </c>
      <c r="D2818" s="2" t="s">
        <v>71</v>
      </c>
      <c r="E2818" s="2" t="s">
        <v>4646</v>
      </c>
      <c r="F2818" s="2">
        <v>45</v>
      </c>
      <c r="G2818" s="2">
        <v>43.02</v>
      </c>
      <c r="H2818" s="2">
        <v>1.98</v>
      </c>
      <c r="I2818" s="1">
        <v>4.4000000000000004</v>
      </c>
      <c r="J2818" s="26">
        <v>45416</v>
      </c>
      <c r="K2818" s="22">
        <v>43020</v>
      </c>
      <c r="L2818" s="18">
        <v>46.01</v>
      </c>
      <c r="M2818" s="22">
        <v>31500</v>
      </c>
      <c r="N2818" s="22">
        <v>11520</v>
      </c>
      <c r="O2818" s="18">
        <v>12.32</v>
      </c>
      <c r="P2818" s="52">
        <f>IF(COUNTIF(TblPurchases[BatchID],TblOutcomes[[#This Row],[BatchID]])&lt;&gt;1,"n.a.",TblOutcomes[[#This Row],[Qty Wasted]]*SUMIFS(TblPurchases[Unit Cost (CLP)],TblPurchases[BatchID],TblOutcomes[[#This Row],[BatchID]]))</f>
        <v>1386</v>
      </c>
      <c r="Q2818" s="51">
        <f>IF(COUNTIF(TblPurchases[BatchID],TblOutcomes[[#This Row],[BatchID]])&lt;&gt;1,"n.a.",SUMIFS(TblPurchases[Purchase Date],TblPurchases[BatchID],TblOutcomes[[#This Row],[BatchID]]))</f>
        <v>45116</v>
      </c>
    </row>
    <row r="2819" spans="2:17" x14ac:dyDescent="0.25">
      <c r="B2819" s="2" t="s">
        <v>3624</v>
      </c>
      <c r="C2819" s="2" t="s">
        <v>304</v>
      </c>
      <c r="D2819" s="2" t="s">
        <v>71</v>
      </c>
      <c r="E2819" s="2" t="s">
        <v>4647</v>
      </c>
      <c r="F2819" s="2">
        <v>45</v>
      </c>
      <c r="G2819" s="2">
        <v>45</v>
      </c>
      <c r="H2819" s="2">
        <v>0</v>
      </c>
      <c r="I2819" s="1">
        <v>0</v>
      </c>
      <c r="J2819" s="26">
        <v>45177</v>
      </c>
      <c r="K2819" s="22">
        <v>45000</v>
      </c>
      <c r="L2819" s="18">
        <v>48.13</v>
      </c>
      <c r="M2819" s="22">
        <v>31500</v>
      </c>
      <c r="N2819" s="22">
        <v>13500</v>
      </c>
      <c r="O2819" s="18">
        <v>14.44</v>
      </c>
      <c r="P2819" s="52">
        <f>IF(COUNTIF(TblPurchases[BatchID],TblOutcomes[[#This Row],[BatchID]])&lt;&gt;1,"n.a.",TblOutcomes[[#This Row],[Qty Wasted]]*SUMIFS(TblPurchases[Unit Cost (CLP)],TblPurchases[BatchID],TblOutcomes[[#This Row],[BatchID]]))</f>
        <v>0</v>
      </c>
      <c r="Q2819" s="51">
        <f>IF(COUNTIF(TblPurchases[BatchID],TblOutcomes[[#This Row],[BatchID]])&lt;&gt;1,"n.a.",SUMIFS(TblPurchases[Purchase Date],TblPurchases[BatchID],TblOutcomes[[#This Row],[BatchID]]))</f>
        <v>45147</v>
      </c>
    </row>
    <row r="2820" spans="2:17" x14ac:dyDescent="0.25">
      <c r="B2820" s="2" t="s">
        <v>3625</v>
      </c>
      <c r="C2820" s="2" t="s">
        <v>304</v>
      </c>
      <c r="D2820" s="2" t="s">
        <v>71</v>
      </c>
      <c r="E2820" s="2" t="s">
        <v>4646</v>
      </c>
      <c r="F2820" s="2">
        <v>45</v>
      </c>
      <c r="G2820" s="2">
        <v>44.33</v>
      </c>
      <c r="H2820" s="2">
        <v>0.67</v>
      </c>
      <c r="I2820" s="1">
        <v>1.5</v>
      </c>
      <c r="J2820" s="26">
        <v>45473</v>
      </c>
      <c r="K2820" s="22">
        <v>44330</v>
      </c>
      <c r="L2820" s="18">
        <v>47.41</v>
      </c>
      <c r="M2820" s="22">
        <v>31500</v>
      </c>
      <c r="N2820" s="22">
        <v>12830</v>
      </c>
      <c r="O2820" s="18">
        <v>13.72</v>
      </c>
      <c r="P2820" s="52">
        <f>IF(COUNTIF(TblPurchases[BatchID],TblOutcomes[[#This Row],[BatchID]])&lt;&gt;1,"n.a.",TblOutcomes[[#This Row],[Qty Wasted]]*SUMIFS(TblPurchases[Unit Cost (CLP)],TblPurchases[BatchID],TblOutcomes[[#This Row],[BatchID]]))</f>
        <v>469</v>
      </c>
      <c r="Q2820" s="51">
        <f>IF(COUNTIF(TblPurchases[BatchID],TblOutcomes[[#This Row],[BatchID]])&lt;&gt;1,"n.a.",SUMIFS(TblPurchases[Purchase Date],TblPurchases[BatchID],TblOutcomes[[#This Row],[BatchID]]))</f>
        <v>45173</v>
      </c>
    </row>
    <row r="2821" spans="2:17" x14ac:dyDescent="0.25">
      <c r="B2821" s="2" t="s">
        <v>3626</v>
      </c>
      <c r="C2821" s="2" t="s">
        <v>304</v>
      </c>
      <c r="D2821" s="2" t="s">
        <v>71</v>
      </c>
      <c r="E2821" s="2" t="s">
        <v>4646</v>
      </c>
      <c r="F2821" s="2">
        <v>41</v>
      </c>
      <c r="G2821" s="2">
        <v>39.729999999999997</v>
      </c>
      <c r="H2821" s="2">
        <v>1.27</v>
      </c>
      <c r="I2821" s="1">
        <v>3.1</v>
      </c>
      <c r="J2821" s="26">
        <v>45508</v>
      </c>
      <c r="K2821" s="22">
        <v>39730</v>
      </c>
      <c r="L2821" s="18">
        <v>42.49</v>
      </c>
      <c r="M2821" s="22">
        <v>28700</v>
      </c>
      <c r="N2821" s="22">
        <v>11030</v>
      </c>
      <c r="O2821" s="18">
        <v>11.8</v>
      </c>
      <c r="P2821" s="52">
        <f>IF(COUNTIF(TblPurchases[BatchID],TblOutcomes[[#This Row],[BatchID]])&lt;&gt;1,"n.a.",TblOutcomes[[#This Row],[Qty Wasted]]*SUMIFS(TblPurchases[Unit Cost (CLP)],TblPurchases[BatchID],TblOutcomes[[#This Row],[BatchID]]))</f>
        <v>889</v>
      </c>
      <c r="Q2821" s="51">
        <f>IF(COUNTIF(TblPurchases[BatchID],TblOutcomes[[#This Row],[BatchID]])&lt;&gt;1,"n.a.",SUMIFS(TblPurchases[Purchase Date],TblPurchases[BatchID],TblOutcomes[[#This Row],[BatchID]]))</f>
        <v>45208</v>
      </c>
    </row>
    <row r="2822" spans="2:17" x14ac:dyDescent="0.25">
      <c r="B2822" s="2" t="s">
        <v>3627</v>
      </c>
      <c r="C2822" s="2" t="s">
        <v>304</v>
      </c>
      <c r="D2822" s="2" t="s">
        <v>71</v>
      </c>
      <c r="E2822" s="2" t="s">
        <v>4647</v>
      </c>
      <c r="F2822" s="2">
        <v>44</v>
      </c>
      <c r="G2822" s="2">
        <v>44</v>
      </c>
      <c r="H2822" s="2">
        <v>0</v>
      </c>
      <c r="I2822" s="1">
        <v>0</v>
      </c>
      <c r="J2822" s="26">
        <v>45270</v>
      </c>
      <c r="K2822" s="22">
        <v>44000</v>
      </c>
      <c r="L2822" s="18">
        <v>47.06</v>
      </c>
      <c r="M2822" s="22">
        <v>30800</v>
      </c>
      <c r="N2822" s="22">
        <v>13200</v>
      </c>
      <c r="O2822" s="18">
        <v>14.12</v>
      </c>
      <c r="P2822" s="52">
        <f>IF(COUNTIF(TblPurchases[BatchID],TblOutcomes[[#This Row],[BatchID]])&lt;&gt;1,"n.a.",TblOutcomes[[#This Row],[Qty Wasted]]*SUMIFS(TblPurchases[Unit Cost (CLP)],TblPurchases[BatchID],TblOutcomes[[#This Row],[BatchID]]))</f>
        <v>0</v>
      </c>
      <c r="Q2822" s="51">
        <f>IF(COUNTIF(TblPurchases[BatchID],TblOutcomes[[#This Row],[BatchID]])&lt;&gt;1,"n.a.",SUMIFS(TblPurchases[Purchase Date],TblPurchases[BatchID],TblOutcomes[[#This Row],[BatchID]]))</f>
        <v>45246</v>
      </c>
    </row>
    <row r="2823" spans="2:17" x14ac:dyDescent="0.25">
      <c r="B2823" s="2" t="s">
        <v>3628</v>
      </c>
      <c r="C2823" s="2" t="s">
        <v>304</v>
      </c>
      <c r="D2823" s="2" t="s">
        <v>71</v>
      </c>
      <c r="E2823" s="2" t="s">
        <v>4646</v>
      </c>
      <c r="F2823" s="2">
        <v>47</v>
      </c>
      <c r="G2823" s="2">
        <v>46.53</v>
      </c>
      <c r="H2823" s="2">
        <v>0.47</v>
      </c>
      <c r="I2823" s="1">
        <v>1</v>
      </c>
      <c r="J2823" s="26">
        <v>45580</v>
      </c>
      <c r="K2823" s="22">
        <v>46530</v>
      </c>
      <c r="L2823" s="18">
        <v>49.76</v>
      </c>
      <c r="M2823" s="22">
        <v>32900</v>
      </c>
      <c r="N2823" s="22">
        <v>13630</v>
      </c>
      <c r="O2823" s="18">
        <v>14.58</v>
      </c>
      <c r="P2823" s="52">
        <f>IF(COUNTIF(TblPurchases[BatchID],TblOutcomes[[#This Row],[BatchID]])&lt;&gt;1,"n.a.",TblOutcomes[[#This Row],[Qty Wasted]]*SUMIFS(TblPurchases[Unit Cost (CLP)],TblPurchases[BatchID],TblOutcomes[[#This Row],[BatchID]]))</f>
        <v>329</v>
      </c>
      <c r="Q2823" s="51">
        <f>IF(COUNTIF(TblPurchases[BatchID],TblOutcomes[[#This Row],[BatchID]])&lt;&gt;1,"n.a.",SUMIFS(TblPurchases[Purchase Date],TblPurchases[BatchID],TblOutcomes[[#This Row],[BatchID]]))</f>
        <v>45280</v>
      </c>
    </row>
    <row r="2824" spans="2:17" x14ac:dyDescent="0.25">
      <c r="B2824" s="2" t="s">
        <v>3629</v>
      </c>
      <c r="C2824" s="2" t="s">
        <v>304</v>
      </c>
      <c r="D2824" s="2" t="s">
        <v>71</v>
      </c>
      <c r="E2824" s="2" t="s">
        <v>4647</v>
      </c>
      <c r="F2824" s="2">
        <v>39</v>
      </c>
      <c r="G2824" s="2">
        <v>39</v>
      </c>
      <c r="H2824" s="2">
        <v>0</v>
      </c>
      <c r="I2824" s="1">
        <v>0</v>
      </c>
      <c r="J2824" s="26">
        <v>45354</v>
      </c>
      <c r="K2824" s="22">
        <v>39000</v>
      </c>
      <c r="L2824" s="18">
        <v>41.71</v>
      </c>
      <c r="M2824" s="22">
        <v>27300</v>
      </c>
      <c r="N2824" s="22">
        <v>11700</v>
      </c>
      <c r="O2824" s="18">
        <v>12.51</v>
      </c>
      <c r="P2824" s="52">
        <f>IF(COUNTIF(TblPurchases[BatchID],TblOutcomes[[#This Row],[BatchID]])&lt;&gt;1,"n.a.",TblOutcomes[[#This Row],[Qty Wasted]]*SUMIFS(TblPurchases[Unit Cost (CLP)],TblPurchases[BatchID],TblOutcomes[[#This Row],[BatchID]]))</f>
        <v>0</v>
      </c>
      <c r="Q2824" s="51">
        <f>IF(COUNTIF(TblPurchases[BatchID],TblOutcomes[[#This Row],[BatchID]])&lt;&gt;1,"n.a.",SUMIFS(TblPurchases[Purchase Date],TblPurchases[BatchID],TblOutcomes[[#This Row],[BatchID]]))</f>
        <v>45323</v>
      </c>
    </row>
    <row r="2825" spans="2:17" x14ac:dyDescent="0.25">
      <c r="B2825" s="2" t="s">
        <v>3630</v>
      </c>
      <c r="C2825" s="2" t="s">
        <v>304</v>
      </c>
      <c r="D2825" s="2" t="s">
        <v>71</v>
      </c>
      <c r="E2825" s="2" t="s">
        <v>4647</v>
      </c>
      <c r="F2825" s="2">
        <v>45</v>
      </c>
      <c r="G2825" s="2">
        <v>45</v>
      </c>
      <c r="H2825" s="2">
        <v>0</v>
      </c>
      <c r="I2825" s="1">
        <v>0</v>
      </c>
      <c r="J2825" s="26">
        <v>45390</v>
      </c>
      <c r="K2825" s="22">
        <v>45000</v>
      </c>
      <c r="L2825" s="18">
        <v>48.13</v>
      </c>
      <c r="M2825" s="22">
        <v>31500</v>
      </c>
      <c r="N2825" s="22">
        <v>13500</v>
      </c>
      <c r="O2825" s="18">
        <v>14.44</v>
      </c>
      <c r="P2825" s="52">
        <f>IF(COUNTIF(TblPurchases[BatchID],TblOutcomes[[#This Row],[BatchID]])&lt;&gt;1,"n.a.",TblOutcomes[[#This Row],[Qty Wasted]]*SUMIFS(TblPurchases[Unit Cost (CLP)],TblPurchases[BatchID],TblOutcomes[[#This Row],[BatchID]]))</f>
        <v>0</v>
      </c>
      <c r="Q2825" s="51">
        <f>IF(COUNTIF(TblPurchases[BatchID],TblOutcomes[[#This Row],[BatchID]])&lt;&gt;1,"n.a.",SUMIFS(TblPurchases[Purchase Date],TblPurchases[BatchID],TblOutcomes[[#This Row],[BatchID]]))</f>
        <v>45360</v>
      </c>
    </row>
    <row r="2826" spans="2:17" x14ac:dyDescent="0.25">
      <c r="B2826" s="2" t="s">
        <v>3631</v>
      </c>
      <c r="C2826" s="2" t="s">
        <v>304</v>
      </c>
      <c r="D2826" s="2" t="s">
        <v>71</v>
      </c>
      <c r="E2826" s="2" t="s">
        <v>4646</v>
      </c>
      <c r="F2826" s="2">
        <v>39</v>
      </c>
      <c r="G2826" s="2">
        <v>37.32</v>
      </c>
      <c r="H2826" s="2">
        <v>1.68</v>
      </c>
      <c r="I2826" s="1">
        <v>4.3</v>
      </c>
      <c r="J2826" s="26">
        <v>45697</v>
      </c>
      <c r="K2826" s="22">
        <v>37320</v>
      </c>
      <c r="L2826" s="18">
        <v>39.909999999999997</v>
      </c>
      <c r="M2826" s="22">
        <v>27300</v>
      </c>
      <c r="N2826" s="22">
        <v>10020</v>
      </c>
      <c r="O2826" s="18">
        <v>10.72</v>
      </c>
      <c r="P2826" s="52">
        <f>IF(COUNTIF(TblPurchases[BatchID],TblOutcomes[[#This Row],[BatchID]])&lt;&gt;1,"n.a.",TblOutcomes[[#This Row],[Qty Wasted]]*SUMIFS(TblPurchases[Unit Cost (CLP)],TblPurchases[BatchID],TblOutcomes[[#This Row],[BatchID]]))</f>
        <v>1176</v>
      </c>
      <c r="Q2826" s="51">
        <f>IF(COUNTIF(TblPurchases[BatchID],TblOutcomes[[#This Row],[BatchID]])&lt;&gt;1,"n.a.",SUMIFS(TblPurchases[Purchase Date],TblPurchases[BatchID],TblOutcomes[[#This Row],[BatchID]]))</f>
        <v>45397</v>
      </c>
    </row>
    <row r="2827" spans="2:17" x14ac:dyDescent="0.25">
      <c r="B2827" s="2" t="s">
        <v>3632</v>
      </c>
      <c r="C2827" s="2" t="s">
        <v>304</v>
      </c>
      <c r="D2827" s="2" t="s">
        <v>71</v>
      </c>
      <c r="E2827" s="2" t="s">
        <v>4646</v>
      </c>
      <c r="F2827" s="2">
        <v>44</v>
      </c>
      <c r="G2827" s="2">
        <v>41.71</v>
      </c>
      <c r="H2827" s="2">
        <v>2.29</v>
      </c>
      <c r="I2827" s="1">
        <v>5.2</v>
      </c>
      <c r="J2827" s="26">
        <v>45726</v>
      </c>
      <c r="K2827" s="22">
        <v>41710</v>
      </c>
      <c r="L2827" s="18">
        <v>44.61</v>
      </c>
      <c r="M2827" s="22">
        <v>30800</v>
      </c>
      <c r="N2827" s="22">
        <v>10910</v>
      </c>
      <c r="O2827" s="18">
        <v>11.67</v>
      </c>
      <c r="P2827" s="52">
        <f>IF(COUNTIF(TblPurchases[BatchID],TblOutcomes[[#This Row],[BatchID]])&lt;&gt;1,"n.a.",TblOutcomes[[#This Row],[Qty Wasted]]*SUMIFS(TblPurchases[Unit Cost (CLP)],TblPurchases[BatchID],TblOutcomes[[#This Row],[BatchID]]))</f>
        <v>1603</v>
      </c>
      <c r="Q2827" s="51">
        <f>IF(COUNTIF(TblPurchases[BatchID],TblOutcomes[[#This Row],[BatchID]])&lt;&gt;1,"n.a.",SUMIFS(TblPurchases[Purchase Date],TblPurchases[BatchID],TblOutcomes[[#This Row],[BatchID]]))</f>
        <v>45426</v>
      </c>
    </row>
    <row r="2828" spans="2:17" x14ac:dyDescent="0.25">
      <c r="B2828" s="2" t="s">
        <v>3633</v>
      </c>
      <c r="C2828" s="2" t="s">
        <v>304</v>
      </c>
      <c r="D2828" s="2" t="s">
        <v>71</v>
      </c>
      <c r="E2828" s="2" t="s">
        <v>4646</v>
      </c>
      <c r="F2828" s="2">
        <v>41</v>
      </c>
      <c r="G2828" s="2">
        <v>38.83</v>
      </c>
      <c r="H2828" s="2">
        <v>2.17</v>
      </c>
      <c r="I2828" s="1">
        <v>5.3</v>
      </c>
      <c r="J2828" s="26">
        <v>45766</v>
      </c>
      <c r="K2828" s="22">
        <v>38830</v>
      </c>
      <c r="L2828" s="18">
        <v>41.53</v>
      </c>
      <c r="M2828" s="22">
        <v>28700</v>
      </c>
      <c r="N2828" s="22">
        <v>10130</v>
      </c>
      <c r="O2828" s="18">
        <v>10.83</v>
      </c>
      <c r="P2828" s="52">
        <f>IF(COUNTIF(TblPurchases[BatchID],TblOutcomes[[#This Row],[BatchID]])&lt;&gt;1,"n.a.",TblOutcomes[[#This Row],[Qty Wasted]]*SUMIFS(TblPurchases[Unit Cost (CLP)],TblPurchases[BatchID],TblOutcomes[[#This Row],[BatchID]]))</f>
        <v>1519</v>
      </c>
      <c r="Q2828" s="51">
        <f>IF(COUNTIF(TblPurchases[BatchID],TblOutcomes[[#This Row],[BatchID]])&lt;&gt;1,"n.a.",SUMIFS(TblPurchases[Purchase Date],TblPurchases[BatchID],TblOutcomes[[#This Row],[BatchID]]))</f>
        <v>45466</v>
      </c>
    </row>
    <row r="2829" spans="2:17" x14ac:dyDescent="0.25">
      <c r="B2829" s="2" t="s">
        <v>3634</v>
      </c>
      <c r="C2829" s="2" t="s">
        <v>304</v>
      </c>
      <c r="D2829" s="2" t="s">
        <v>71</v>
      </c>
      <c r="E2829" s="2" t="s">
        <v>4647</v>
      </c>
      <c r="F2829" s="2">
        <v>42</v>
      </c>
      <c r="G2829" s="2">
        <v>42</v>
      </c>
      <c r="H2829" s="2">
        <v>0</v>
      </c>
      <c r="I2829" s="1">
        <v>0</v>
      </c>
      <c r="J2829" s="26">
        <v>45525</v>
      </c>
      <c r="K2829" s="22">
        <v>42000</v>
      </c>
      <c r="L2829" s="18">
        <v>44.92</v>
      </c>
      <c r="M2829" s="22">
        <v>29400</v>
      </c>
      <c r="N2829" s="22">
        <v>12600</v>
      </c>
      <c r="O2829" s="18">
        <v>13.48</v>
      </c>
      <c r="P2829" s="52">
        <f>IF(COUNTIF(TblPurchases[BatchID],TblOutcomes[[#This Row],[BatchID]])&lt;&gt;1,"n.a.",TblOutcomes[[#This Row],[Qty Wasted]]*SUMIFS(TblPurchases[Unit Cost (CLP)],TblPurchases[BatchID],TblOutcomes[[#This Row],[BatchID]]))</f>
        <v>0</v>
      </c>
      <c r="Q2829" s="51">
        <f>IF(COUNTIF(TblPurchases[BatchID],TblOutcomes[[#This Row],[BatchID]])&lt;&gt;1,"n.a.",SUMIFS(TblPurchases[Purchase Date],TblPurchases[BatchID],TblOutcomes[[#This Row],[BatchID]]))</f>
        <v>45497</v>
      </c>
    </row>
    <row r="2830" spans="2:17" x14ac:dyDescent="0.25">
      <c r="B2830" s="2" t="s">
        <v>3635</v>
      </c>
      <c r="C2830" s="2" t="s">
        <v>304</v>
      </c>
      <c r="D2830" s="2" t="s">
        <v>71</v>
      </c>
      <c r="E2830" s="2" t="s">
        <v>4646</v>
      </c>
      <c r="F2830" s="2">
        <v>43</v>
      </c>
      <c r="G2830" s="2">
        <v>40.81</v>
      </c>
      <c r="H2830" s="2">
        <v>2.19</v>
      </c>
      <c r="I2830" s="1">
        <v>5.0999999999999996</v>
      </c>
      <c r="J2830" s="26">
        <v>45831</v>
      </c>
      <c r="K2830" s="22">
        <v>40810</v>
      </c>
      <c r="L2830" s="18">
        <v>43.65</v>
      </c>
      <c r="M2830" s="22">
        <v>32250</v>
      </c>
      <c r="N2830" s="22">
        <v>8560</v>
      </c>
      <c r="O2830" s="18">
        <v>9.16</v>
      </c>
      <c r="P2830" s="52">
        <f>IF(COUNTIF(TblPurchases[BatchID],TblOutcomes[[#This Row],[BatchID]])&lt;&gt;1,"n.a.",TblOutcomes[[#This Row],[Qty Wasted]]*SUMIFS(TblPurchases[Unit Cost (CLP)],TblPurchases[BatchID],TblOutcomes[[#This Row],[BatchID]]))</f>
        <v>1642.5</v>
      </c>
      <c r="Q2830" s="51">
        <f>IF(COUNTIF(TblPurchases[BatchID],TblOutcomes[[#This Row],[BatchID]])&lt;&gt;1,"n.a.",SUMIFS(TblPurchases[Purchase Date],TblPurchases[BatchID],TblOutcomes[[#This Row],[BatchID]]))</f>
        <v>45531</v>
      </c>
    </row>
    <row r="2831" spans="2:17" x14ac:dyDescent="0.25">
      <c r="B2831" s="2" t="s">
        <v>3636</v>
      </c>
      <c r="C2831" s="2" t="s">
        <v>304</v>
      </c>
      <c r="D2831" s="2" t="s">
        <v>71</v>
      </c>
      <c r="E2831" s="2" t="s">
        <v>4646</v>
      </c>
      <c r="F2831" s="2">
        <v>53</v>
      </c>
      <c r="G2831" s="2">
        <v>51.36</v>
      </c>
      <c r="H2831" s="2">
        <v>1.64</v>
      </c>
      <c r="I2831" s="1">
        <v>3.1</v>
      </c>
      <c r="J2831" s="26">
        <v>45863</v>
      </c>
      <c r="K2831" s="22">
        <v>51360</v>
      </c>
      <c r="L2831" s="18">
        <v>54.93</v>
      </c>
      <c r="M2831" s="22">
        <v>37100</v>
      </c>
      <c r="N2831" s="22">
        <v>14260</v>
      </c>
      <c r="O2831" s="18">
        <v>15.25</v>
      </c>
      <c r="P2831" s="52">
        <f>IF(COUNTIF(TblPurchases[BatchID],TblOutcomes[[#This Row],[BatchID]])&lt;&gt;1,"n.a.",TblOutcomes[[#This Row],[Qty Wasted]]*SUMIFS(TblPurchases[Unit Cost (CLP)],TblPurchases[BatchID],TblOutcomes[[#This Row],[BatchID]]))</f>
        <v>1148</v>
      </c>
      <c r="Q2831" s="51">
        <f>IF(COUNTIF(TblPurchases[BatchID],TblOutcomes[[#This Row],[BatchID]])&lt;&gt;1,"n.a.",SUMIFS(TblPurchases[Purchase Date],TblPurchases[BatchID],TblOutcomes[[#This Row],[BatchID]]))</f>
        <v>45563</v>
      </c>
    </row>
    <row r="2832" spans="2:17" x14ac:dyDescent="0.25">
      <c r="B2832" s="2" t="s">
        <v>3637</v>
      </c>
      <c r="C2832" s="2" t="s">
        <v>304</v>
      </c>
      <c r="D2832" s="2" t="s">
        <v>71</v>
      </c>
      <c r="E2832" s="2" t="s">
        <v>4646</v>
      </c>
      <c r="F2832" s="2">
        <v>37</v>
      </c>
      <c r="G2832" s="2">
        <v>35.520000000000003</v>
      </c>
      <c r="H2832" s="2">
        <v>1.48</v>
      </c>
      <c r="I2832" s="1">
        <v>4</v>
      </c>
      <c r="J2832" s="26">
        <v>45893</v>
      </c>
      <c r="K2832" s="22">
        <v>35520</v>
      </c>
      <c r="L2832" s="18">
        <v>37.99</v>
      </c>
      <c r="M2832" s="22">
        <v>25900</v>
      </c>
      <c r="N2832" s="22">
        <v>9620</v>
      </c>
      <c r="O2832" s="18">
        <v>10.29</v>
      </c>
      <c r="P2832" s="52">
        <f>IF(COUNTIF(TblPurchases[BatchID],TblOutcomes[[#This Row],[BatchID]])&lt;&gt;1,"n.a.",TblOutcomes[[#This Row],[Qty Wasted]]*SUMIFS(TblPurchases[Unit Cost (CLP)],TblPurchases[BatchID],TblOutcomes[[#This Row],[BatchID]]))</f>
        <v>1036</v>
      </c>
      <c r="Q2832" s="51">
        <f>IF(COUNTIF(TblPurchases[BatchID],TblOutcomes[[#This Row],[BatchID]])&lt;&gt;1,"n.a.",SUMIFS(TblPurchases[Purchase Date],TblPurchases[BatchID],TblOutcomes[[#This Row],[BatchID]]))</f>
        <v>45593</v>
      </c>
    </row>
    <row r="2833" spans="2:17" x14ac:dyDescent="0.25">
      <c r="B2833" s="2" t="s">
        <v>3638</v>
      </c>
      <c r="C2833" s="2" t="s">
        <v>304</v>
      </c>
      <c r="D2833" s="2" t="s">
        <v>71</v>
      </c>
      <c r="E2833" s="2" t="s">
        <v>4646</v>
      </c>
      <c r="F2833" s="2">
        <v>45</v>
      </c>
      <c r="G2833" s="2">
        <v>44.01</v>
      </c>
      <c r="H2833" s="2">
        <v>0.99</v>
      </c>
      <c r="I2833" s="1">
        <v>2.2000000000000002</v>
      </c>
      <c r="J2833" s="26">
        <v>45923</v>
      </c>
      <c r="K2833" s="22">
        <v>44010</v>
      </c>
      <c r="L2833" s="18">
        <v>47.07</v>
      </c>
      <c r="M2833" s="22">
        <v>31500</v>
      </c>
      <c r="N2833" s="22">
        <v>12510</v>
      </c>
      <c r="O2833" s="18">
        <v>13.38</v>
      </c>
      <c r="P2833" s="52">
        <f>IF(COUNTIF(TblPurchases[BatchID],TblOutcomes[[#This Row],[BatchID]])&lt;&gt;1,"n.a.",TblOutcomes[[#This Row],[Qty Wasted]]*SUMIFS(TblPurchases[Unit Cost (CLP)],TblPurchases[BatchID],TblOutcomes[[#This Row],[BatchID]]))</f>
        <v>693</v>
      </c>
      <c r="Q2833" s="51">
        <f>IF(COUNTIF(TblPurchases[BatchID],TblOutcomes[[#This Row],[BatchID]])&lt;&gt;1,"n.a.",SUMIFS(TblPurchases[Purchase Date],TblPurchases[BatchID],TblOutcomes[[#This Row],[BatchID]]))</f>
        <v>45623</v>
      </c>
    </row>
    <row r="2834" spans="2:17" x14ac:dyDescent="0.25">
      <c r="B2834" s="2" t="s">
        <v>3639</v>
      </c>
      <c r="C2834" s="2" t="s">
        <v>304</v>
      </c>
      <c r="D2834" s="2" t="s">
        <v>71</v>
      </c>
      <c r="E2834" s="2" t="s">
        <v>4647</v>
      </c>
      <c r="F2834" s="2">
        <v>39</v>
      </c>
      <c r="G2834" s="2">
        <v>39</v>
      </c>
      <c r="H2834" s="2">
        <v>0</v>
      </c>
      <c r="I2834" s="1">
        <v>0</v>
      </c>
      <c r="J2834" s="26">
        <v>45706</v>
      </c>
      <c r="K2834" s="22">
        <v>39000</v>
      </c>
      <c r="L2834" s="18">
        <v>41.71</v>
      </c>
      <c r="M2834" s="22">
        <v>27300</v>
      </c>
      <c r="N2834" s="22">
        <v>11700</v>
      </c>
      <c r="O2834" s="18">
        <v>12.51</v>
      </c>
      <c r="P2834" s="52">
        <f>IF(COUNTIF(TblPurchases[BatchID],TblOutcomes[[#This Row],[BatchID]])&lt;&gt;1,"n.a.",TblOutcomes[[#This Row],[Qty Wasted]]*SUMIFS(TblPurchases[Unit Cost (CLP)],TblPurchases[BatchID],TblOutcomes[[#This Row],[BatchID]]))</f>
        <v>0</v>
      </c>
      <c r="Q2834" s="51">
        <f>IF(COUNTIF(TblPurchases[BatchID],TblOutcomes[[#This Row],[BatchID]])&lt;&gt;1,"n.a.",SUMIFS(TblPurchases[Purchase Date],TblPurchases[BatchID],TblOutcomes[[#This Row],[BatchID]]))</f>
        <v>45669</v>
      </c>
    </row>
    <row r="2835" spans="2:17" x14ac:dyDescent="0.25">
      <c r="B2835" s="2" t="s">
        <v>3640</v>
      </c>
      <c r="C2835" s="2" t="s">
        <v>304</v>
      </c>
      <c r="D2835" s="2" t="s">
        <v>71</v>
      </c>
      <c r="E2835" s="2" t="s">
        <v>4646</v>
      </c>
      <c r="F2835" s="2">
        <v>45</v>
      </c>
      <c r="G2835" s="2">
        <v>44.01</v>
      </c>
      <c r="H2835" s="2">
        <v>0.99</v>
      </c>
      <c r="I2835" s="1">
        <v>2.2000000000000002</v>
      </c>
      <c r="J2835" s="26">
        <v>46005</v>
      </c>
      <c r="K2835" s="22">
        <v>44010</v>
      </c>
      <c r="L2835" s="18">
        <v>47.07</v>
      </c>
      <c r="M2835" s="22">
        <v>31500</v>
      </c>
      <c r="N2835" s="22">
        <v>12510</v>
      </c>
      <c r="O2835" s="18">
        <v>13.38</v>
      </c>
      <c r="P2835" s="52">
        <f>IF(COUNTIF(TblPurchases[BatchID],TblOutcomes[[#This Row],[BatchID]])&lt;&gt;1,"n.a.",TblOutcomes[[#This Row],[Qty Wasted]]*SUMIFS(TblPurchases[Unit Cost (CLP)],TblPurchases[BatchID],TblOutcomes[[#This Row],[BatchID]]))</f>
        <v>693</v>
      </c>
      <c r="Q2835" s="51">
        <f>IF(COUNTIF(TblPurchases[BatchID],TblOutcomes[[#This Row],[BatchID]])&lt;&gt;1,"n.a.",SUMIFS(TblPurchases[Purchase Date],TblPurchases[BatchID],TblOutcomes[[#This Row],[BatchID]]))</f>
        <v>45705</v>
      </c>
    </row>
    <row r="2836" spans="2:17" x14ac:dyDescent="0.25">
      <c r="B2836" s="2" t="s">
        <v>3641</v>
      </c>
      <c r="C2836" s="2" t="s">
        <v>304</v>
      </c>
      <c r="D2836" s="2" t="s">
        <v>71</v>
      </c>
      <c r="E2836" s="2" t="s">
        <v>4647</v>
      </c>
      <c r="F2836" s="2">
        <v>45</v>
      </c>
      <c r="G2836" s="2">
        <v>45</v>
      </c>
      <c r="H2836" s="2">
        <v>0</v>
      </c>
      <c r="I2836" s="1">
        <v>0</v>
      </c>
      <c r="J2836" s="26">
        <v>45773</v>
      </c>
      <c r="K2836" s="22">
        <v>45000</v>
      </c>
      <c r="L2836" s="18">
        <v>48.13</v>
      </c>
      <c r="M2836" s="22">
        <v>31500</v>
      </c>
      <c r="N2836" s="22">
        <v>13500</v>
      </c>
      <c r="O2836" s="18">
        <v>14.44</v>
      </c>
      <c r="P2836" s="52">
        <f>IF(COUNTIF(TblPurchases[BatchID],TblOutcomes[[#This Row],[BatchID]])&lt;&gt;1,"n.a.",TblOutcomes[[#This Row],[Qty Wasted]]*SUMIFS(TblPurchases[Unit Cost (CLP)],TblPurchases[BatchID],TblOutcomes[[#This Row],[BatchID]]))</f>
        <v>0</v>
      </c>
      <c r="Q2836" s="51">
        <f>IF(COUNTIF(TblPurchases[BatchID],TblOutcomes[[#This Row],[BatchID]])&lt;&gt;1,"n.a.",SUMIFS(TblPurchases[Purchase Date],TblPurchases[BatchID],TblOutcomes[[#This Row],[BatchID]]))</f>
        <v>45742</v>
      </c>
    </row>
    <row r="2837" spans="2:17" x14ac:dyDescent="0.25">
      <c r="B2837" s="2" t="s">
        <v>3642</v>
      </c>
      <c r="C2837" s="2" t="s">
        <v>304</v>
      </c>
      <c r="D2837" s="2" t="s">
        <v>71</v>
      </c>
      <c r="E2837" s="2" t="s">
        <v>4646</v>
      </c>
      <c r="F2837" s="2">
        <v>49</v>
      </c>
      <c r="G2837" s="2">
        <v>48.46</v>
      </c>
      <c r="H2837" s="2">
        <v>0.54</v>
      </c>
      <c r="I2837" s="1">
        <v>1.1000000000000001</v>
      </c>
      <c r="J2837" s="26">
        <v>46087</v>
      </c>
      <c r="K2837" s="22">
        <v>48460</v>
      </c>
      <c r="L2837" s="18">
        <v>51.83</v>
      </c>
      <c r="M2837" s="22">
        <v>36750</v>
      </c>
      <c r="N2837" s="22">
        <v>11710</v>
      </c>
      <c r="O2837" s="18">
        <v>12.52</v>
      </c>
      <c r="P2837" s="52">
        <f>IF(COUNTIF(TblPurchases[BatchID],TblOutcomes[[#This Row],[BatchID]])&lt;&gt;1,"n.a.",TblOutcomes[[#This Row],[Qty Wasted]]*SUMIFS(TblPurchases[Unit Cost (CLP)],TblPurchases[BatchID],TblOutcomes[[#This Row],[BatchID]]))</f>
        <v>405</v>
      </c>
      <c r="Q2837" s="51">
        <f>IF(COUNTIF(TblPurchases[BatchID],TblOutcomes[[#This Row],[BatchID]])&lt;&gt;1,"n.a.",SUMIFS(TblPurchases[Purchase Date],TblPurchases[BatchID],TblOutcomes[[#This Row],[BatchID]]))</f>
        <v>45787</v>
      </c>
    </row>
    <row r="2838" spans="2:17" x14ac:dyDescent="0.25">
      <c r="B2838" s="2" t="s">
        <v>3643</v>
      </c>
      <c r="C2838" s="2" t="s">
        <v>304</v>
      </c>
      <c r="D2838" s="2" t="s">
        <v>71</v>
      </c>
      <c r="E2838" s="2" t="s">
        <v>4646</v>
      </c>
      <c r="F2838" s="2">
        <v>45</v>
      </c>
      <c r="G2838" s="2">
        <v>43.2</v>
      </c>
      <c r="H2838" s="2">
        <v>1.8</v>
      </c>
      <c r="I2838" s="1">
        <v>4</v>
      </c>
      <c r="J2838" s="26">
        <v>46115</v>
      </c>
      <c r="K2838" s="22">
        <v>43200</v>
      </c>
      <c r="L2838" s="18">
        <v>46.2</v>
      </c>
      <c r="M2838" s="22">
        <v>31500</v>
      </c>
      <c r="N2838" s="22">
        <v>11700</v>
      </c>
      <c r="O2838" s="18">
        <v>12.51</v>
      </c>
      <c r="P2838" s="52">
        <f>IF(COUNTIF(TblPurchases[BatchID],TblOutcomes[[#This Row],[BatchID]])&lt;&gt;1,"n.a.",TblOutcomes[[#This Row],[Qty Wasted]]*SUMIFS(TblPurchases[Unit Cost (CLP)],TblPurchases[BatchID],TblOutcomes[[#This Row],[BatchID]]))</f>
        <v>1260</v>
      </c>
      <c r="Q2838" s="51">
        <f>IF(COUNTIF(TblPurchases[BatchID],TblOutcomes[[#This Row],[BatchID]])&lt;&gt;1,"n.a.",SUMIFS(TblPurchases[Purchase Date],TblPurchases[BatchID],TblOutcomes[[#This Row],[BatchID]]))</f>
        <v>45815</v>
      </c>
    </row>
    <row r="2839" spans="2:17" x14ac:dyDescent="0.25">
      <c r="B2839" s="2" t="s">
        <v>3644</v>
      </c>
      <c r="C2839" s="2" t="s">
        <v>306</v>
      </c>
      <c r="D2839" s="2" t="s">
        <v>71</v>
      </c>
      <c r="E2839" s="2" t="s">
        <v>4646</v>
      </c>
      <c r="F2839" s="2">
        <v>71</v>
      </c>
      <c r="G2839" s="2">
        <v>68.3</v>
      </c>
      <c r="H2839" s="2">
        <v>2.7</v>
      </c>
      <c r="I2839" s="1">
        <v>3.8</v>
      </c>
      <c r="J2839" s="26">
        <v>45438</v>
      </c>
      <c r="K2839" s="22">
        <v>68300</v>
      </c>
      <c r="L2839" s="18">
        <v>73.05</v>
      </c>
      <c r="M2839" s="22">
        <v>49700</v>
      </c>
      <c r="N2839" s="22">
        <v>18600</v>
      </c>
      <c r="O2839" s="18">
        <v>19.89</v>
      </c>
      <c r="P2839" s="52">
        <f>IF(COUNTIF(TblPurchases[BatchID],TblOutcomes[[#This Row],[BatchID]])&lt;&gt;1,"n.a.",TblOutcomes[[#This Row],[Qty Wasted]]*SUMIFS(TblPurchases[Unit Cost (CLP)],TblPurchases[BatchID],TblOutcomes[[#This Row],[BatchID]]))</f>
        <v>1890.0000000000002</v>
      </c>
      <c r="Q2839" s="51">
        <f>IF(COUNTIF(TblPurchases[BatchID],TblOutcomes[[#This Row],[BatchID]])&lt;&gt;1,"n.a.",SUMIFS(TblPurchases[Purchase Date],TblPurchases[BatchID],TblOutcomes[[#This Row],[BatchID]]))</f>
        <v>45138</v>
      </c>
    </row>
    <row r="2840" spans="2:17" x14ac:dyDescent="0.25">
      <c r="B2840" s="2" t="s">
        <v>3645</v>
      </c>
      <c r="C2840" s="2" t="s">
        <v>306</v>
      </c>
      <c r="D2840" s="2" t="s">
        <v>71</v>
      </c>
      <c r="E2840" s="2" t="s">
        <v>4646</v>
      </c>
      <c r="F2840" s="2">
        <v>64</v>
      </c>
      <c r="G2840" s="2">
        <v>62.46</v>
      </c>
      <c r="H2840" s="2">
        <v>1.54</v>
      </c>
      <c r="I2840" s="1">
        <v>2.4</v>
      </c>
      <c r="J2840" s="26">
        <v>45468</v>
      </c>
      <c r="K2840" s="22">
        <v>62460</v>
      </c>
      <c r="L2840" s="18">
        <v>66.8</v>
      </c>
      <c r="M2840" s="22">
        <v>44800</v>
      </c>
      <c r="N2840" s="22">
        <v>17660</v>
      </c>
      <c r="O2840" s="18">
        <v>18.89</v>
      </c>
      <c r="P2840" s="52">
        <f>IF(COUNTIF(TblPurchases[BatchID],TblOutcomes[[#This Row],[BatchID]])&lt;&gt;1,"n.a.",TblOutcomes[[#This Row],[Qty Wasted]]*SUMIFS(TblPurchases[Unit Cost (CLP)],TblPurchases[BatchID],TblOutcomes[[#This Row],[BatchID]]))</f>
        <v>1078</v>
      </c>
      <c r="Q2840" s="51">
        <f>IF(COUNTIF(TblPurchases[BatchID],TblOutcomes[[#This Row],[BatchID]])&lt;&gt;1,"n.a.",SUMIFS(TblPurchases[Purchase Date],TblPurchases[BatchID],TblOutcomes[[#This Row],[BatchID]]))</f>
        <v>45168</v>
      </c>
    </row>
    <row r="2841" spans="2:17" x14ac:dyDescent="0.25">
      <c r="B2841" s="2" t="s">
        <v>3646</v>
      </c>
      <c r="C2841" s="2" t="s">
        <v>306</v>
      </c>
      <c r="D2841" s="2" t="s">
        <v>71</v>
      </c>
      <c r="E2841" s="2" t="s">
        <v>4647</v>
      </c>
      <c r="F2841" s="2">
        <v>23</v>
      </c>
      <c r="G2841" s="2">
        <v>23</v>
      </c>
      <c r="H2841" s="2">
        <v>0</v>
      </c>
      <c r="I2841" s="1">
        <v>0</v>
      </c>
      <c r="J2841" s="26">
        <v>45217</v>
      </c>
      <c r="K2841" s="22">
        <v>23000</v>
      </c>
      <c r="L2841" s="18">
        <v>24.6</v>
      </c>
      <c r="M2841" s="22">
        <v>16100</v>
      </c>
      <c r="N2841" s="22">
        <v>6900</v>
      </c>
      <c r="O2841" s="18">
        <v>7.38</v>
      </c>
      <c r="P2841" s="52">
        <f>IF(COUNTIF(TblPurchases[BatchID],TblOutcomes[[#This Row],[BatchID]])&lt;&gt;1,"n.a.",TblOutcomes[[#This Row],[Qty Wasted]]*SUMIFS(TblPurchases[Unit Cost (CLP)],TblPurchases[BatchID],TblOutcomes[[#This Row],[BatchID]]))</f>
        <v>0</v>
      </c>
      <c r="Q2841" s="51">
        <f>IF(COUNTIF(TblPurchases[BatchID],TblOutcomes[[#This Row],[BatchID]])&lt;&gt;1,"n.a.",SUMIFS(TblPurchases[Purchase Date],TblPurchases[BatchID],TblOutcomes[[#This Row],[BatchID]]))</f>
        <v>45201</v>
      </c>
    </row>
    <row r="2842" spans="2:17" x14ac:dyDescent="0.25">
      <c r="B2842" s="2" t="s">
        <v>3647</v>
      </c>
      <c r="C2842" s="2" t="s">
        <v>306</v>
      </c>
      <c r="D2842" s="2" t="s">
        <v>71</v>
      </c>
      <c r="E2842" s="2" t="s">
        <v>4647</v>
      </c>
      <c r="F2842" s="2">
        <v>25</v>
      </c>
      <c r="G2842" s="2">
        <v>25</v>
      </c>
      <c r="H2842" s="2">
        <v>0</v>
      </c>
      <c r="I2842" s="1">
        <v>0</v>
      </c>
      <c r="J2842" s="26">
        <v>45258</v>
      </c>
      <c r="K2842" s="22">
        <v>25000</v>
      </c>
      <c r="L2842" s="18">
        <v>26.74</v>
      </c>
      <c r="M2842" s="22">
        <v>17500</v>
      </c>
      <c r="N2842" s="22">
        <v>7500</v>
      </c>
      <c r="O2842" s="18">
        <v>8.02</v>
      </c>
      <c r="P2842" s="52">
        <f>IF(COUNTIF(TblPurchases[BatchID],TblOutcomes[[#This Row],[BatchID]])&lt;&gt;1,"n.a.",TblOutcomes[[#This Row],[Qty Wasted]]*SUMIFS(TblPurchases[Unit Cost (CLP)],TblPurchases[BatchID],TblOutcomes[[#This Row],[BatchID]]))</f>
        <v>0</v>
      </c>
      <c r="Q2842" s="51">
        <f>IF(COUNTIF(TblPurchases[BatchID],TblOutcomes[[#This Row],[BatchID]])&lt;&gt;1,"n.a.",SUMIFS(TblPurchases[Purchase Date],TblPurchases[BatchID],TblOutcomes[[#This Row],[BatchID]]))</f>
        <v>45232</v>
      </c>
    </row>
    <row r="2843" spans="2:17" x14ac:dyDescent="0.25">
      <c r="B2843" s="2" t="s">
        <v>3648</v>
      </c>
      <c r="C2843" s="2" t="s">
        <v>306</v>
      </c>
      <c r="D2843" s="2" t="s">
        <v>71</v>
      </c>
      <c r="E2843" s="2" t="s">
        <v>4646</v>
      </c>
      <c r="F2843" s="2">
        <v>25</v>
      </c>
      <c r="G2843" s="2">
        <v>23</v>
      </c>
      <c r="H2843" s="2">
        <v>2</v>
      </c>
      <c r="I2843" s="1">
        <v>8</v>
      </c>
      <c r="J2843" s="26">
        <v>45560</v>
      </c>
      <c r="K2843" s="22">
        <v>23000</v>
      </c>
      <c r="L2843" s="18">
        <v>24.6</v>
      </c>
      <c r="M2843" s="22">
        <v>18750</v>
      </c>
      <c r="N2843" s="22">
        <v>4250</v>
      </c>
      <c r="O2843" s="18">
        <v>4.55</v>
      </c>
      <c r="P2843" s="52">
        <f>IF(COUNTIF(TblPurchases[BatchID],TblOutcomes[[#This Row],[BatchID]])&lt;&gt;1,"n.a.",TblOutcomes[[#This Row],[Qty Wasted]]*SUMIFS(TblPurchases[Unit Cost (CLP)],TblPurchases[BatchID],TblOutcomes[[#This Row],[BatchID]]))</f>
        <v>1500</v>
      </c>
      <c r="Q2843" s="51">
        <f>IF(COUNTIF(TblPurchases[BatchID],TblOutcomes[[#This Row],[BatchID]])&lt;&gt;1,"n.a.",SUMIFS(TblPurchases[Purchase Date],TblPurchases[BatchID],TblOutcomes[[#This Row],[BatchID]]))</f>
        <v>45260</v>
      </c>
    </row>
    <row r="2844" spans="2:17" x14ac:dyDescent="0.25">
      <c r="B2844" s="2" t="s">
        <v>3649</v>
      </c>
      <c r="C2844" s="2" t="s">
        <v>306</v>
      </c>
      <c r="D2844" s="2" t="s">
        <v>71</v>
      </c>
      <c r="E2844" s="2" t="s">
        <v>4647</v>
      </c>
      <c r="F2844" s="2">
        <v>24</v>
      </c>
      <c r="G2844" s="2">
        <v>24</v>
      </c>
      <c r="H2844" s="2">
        <v>0</v>
      </c>
      <c r="I2844" s="1">
        <v>0</v>
      </c>
      <c r="J2844" s="26">
        <v>45332</v>
      </c>
      <c r="K2844" s="22">
        <v>24000</v>
      </c>
      <c r="L2844" s="18">
        <v>25.67</v>
      </c>
      <c r="M2844" s="22">
        <v>16800</v>
      </c>
      <c r="N2844" s="22">
        <v>7200</v>
      </c>
      <c r="O2844" s="18">
        <v>7.7</v>
      </c>
      <c r="P2844" s="52">
        <f>IF(COUNTIF(TblPurchases[BatchID],TblOutcomes[[#This Row],[BatchID]])&lt;&gt;1,"n.a.",TblOutcomes[[#This Row],[Qty Wasted]]*SUMIFS(TblPurchases[Unit Cost (CLP)],TblPurchases[BatchID],TblOutcomes[[#This Row],[BatchID]]))</f>
        <v>0</v>
      </c>
      <c r="Q2844" s="51">
        <f>IF(COUNTIF(TblPurchases[BatchID],TblOutcomes[[#This Row],[BatchID]])&lt;&gt;1,"n.a.",SUMIFS(TblPurchases[Purchase Date],TblPurchases[BatchID],TblOutcomes[[#This Row],[BatchID]]))</f>
        <v>45292</v>
      </c>
    </row>
    <row r="2845" spans="2:17" x14ac:dyDescent="0.25">
      <c r="B2845" s="2" t="s">
        <v>3650</v>
      </c>
      <c r="C2845" s="2" t="s">
        <v>306</v>
      </c>
      <c r="D2845" s="2" t="s">
        <v>71</v>
      </c>
      <c r="E2845" s="2" t="s">
        <v>4646</v>
      </c>
      <c r="F2845" s="2">
        <v>27</v>
      </c>
      <c r="G2845" s="2">
        <v>25.7</v>
      </c>
      <c r="H2845" s="2">
        <v>1.3</v>
      </c>
      <c r="I2845" s="1">
        <v>4.8</v>
      </c>
      <c r="J2845" s="26">
        <v>45633</v>
      </c>
      <c r="K2845" s="22">
        <v>25700</v>
      </c>
      <c r="L2845" s="18">
        <v>27.49</v>
      </c>
      <c r="M2845" s="22">
        <v>18900</v>
      </c>
      <c r="N2845" s="22">
        <v>6800</v>
      </c>
      <c r="O2845" s="18">
        <v>7.27</v>
      </c>
      <c r="P2845" s="52">
        <f>IF(COUNTIF(TblPurchases[BatchID],TblOutcomes[[#This Row],[BatchID]])&lt;&gt;1,"n.a.",TblOutcomes[[#This Row],[Qty Wasted]]*SUMIFS(TblPurchases[Unit Cost (CLP)],TblPurchases[BatchID],TblOutcomes[[#This Row],[BatchID]]))</f>
        <v>910</v>
      </c>
      <c r="Q2845" s="51">
        <f>IF(COUNTIF(TblPurchases[BatchID],TblOutcomes[[#This Row],[BatchID]])&lt;&gt;1,"n.a.",SUMIFS(TblPurchases[Purchase Date],TblPurchases[BatchID],TblOutcomes[[#This Row],[BatchID]]))</f>
        <v>45333</v>
      </c>
    </row>
    <row r="2846" spans="2:17" x14ac:dyDescent="0.25">
      <c r="B2846" s="2" t="s">
        <v>3651</v>
      </c>
      <c r="C2846" s="2" t="s">
        <v>306</v>
      </c>
      <c r="D2846" s="2" t="s">
        <v>71</v>
      </c>
      <c r="E2846" s="2" t="s">
        <v>4646</v>
      </c>
      <c r="F2846" s="2">
        <v>23</v>
      </c>
      <c r="G2846" s="2">
        <v>22.08</v>
      </c>
      <c r="H2846" s="2">
        <v>0.92</v>
      </c>
      <c r="I2846" s="1">
        <v>4</v>
      </c>
      <c r="J2846" s="26">
        <v>45664</v>
      </c>
      <c r="K2846" s="22">
        <v>22080</v>
      </c>
      <c r="L2846" s="18">
        <v>23.61</v>
      </c>
      <c r="M2846" s="22">
        <v>16100</v>
      </c>
      <c r="N2846" s="22">
        <v>5980</v>
      </c>
      <c r="O2846" s="18">
        <v>6.4</v>
      </c>
      <c r="P2846" s="52">
        <f>IF(COUNTIF(TblPurchases[BatchID],TblOutcomes[[#This Row],[BatchID]])&lt;&gt;1,"n.a.",TblOutcomes[[#This Row],[Qty Wasted]]*SUMIFS(TblPurchases[Unit Cost (CLP)],TblPurchases[BatchID],TblOutcomes[[#This Row],[BatchID]]))</f>
        <v>644</v>
      </c>
      <c r="Q2846" s="51">
        <f>IF(COUNTIF(TblPurchases[BatchID],TblOutcomes[[#This Row],[BatchID]])&lt;&gt;1,"n.a.",SUMIFS(TblPurchases[Purchase Date],TblPurchases[BatchID],TblOutcomes[[#This Row],[BatchID]]))</f>
        <v>45364</v>
      </c>
    </row>
    <row r="2847" spans="2:17" x14ac:dyDescent="0.25">
      <c r="B2847" s="2" t="s">
        <v>3652</v>
      </c>
      <c r="C2847" s="2" t="s">
        <v>306</v>
      </c>
      <c r="D2847" s="2" t="s">
        <v>71</v>
      </c>
      <c r="E2847" s="2" t="s">
        <v>4647</v>
      </c>
      <c r="F2847" s="2">
        <v>68</v>
      </c>
      <c r="G2847" s="2">
        <v>68</v>
      </c>
      <c r="H2847" s="2">
        <v>0</v>
      </c>
      <c r="I2847" s="1">
        <v>0</v>
      </c>
      <c r="J2847" s="26">
        <v>45432</v>
      </c>
      <c r="K2847" s="22">
        <v>68000</v>
      </c>
      <c r="L2847" s="18">
        <v>72.73</v>
      </c>
      <c r="M2847" s="22">
        <v>47600</v>
      </c>
      <c r="N2847" s="22">
        <v>20400</v>
      </c>
      <c r="O2847" s="18">
        <v>21.82</v>
      </c>
      <c r="P2847" s="52">
        <f>IF(COUNTIF(TblPurchases[BatchID],TblOutcomes[[#This Row],[BatchID]])&lt;&gt;1,"n.a.",TblOutcomes[[#This Row],[Qty Wasted]]*SUMIFS(TblPurchases[Unit Cost (CLP)],TblPurchases[BatchID],TblOutcomes[[#This Row],[BatchID]]))</f>
        <v>0</v>
      </c>
      <c r="Q2847" s="51">
        <f>IF(COUNTIF(TblPurchases[BatchID],TblOutcomes[[#This Row],[BatchID]])&lt;&gt;1,"n.a.",SUMIFS(TblPurchases[Purchase Date],TblPurchases[BatchID],TblOutcomes[[#This Row],[BatchID]]))</f>
        <v>45402</v>
      </c>
    </row>
    <row r="2848" spans="2:17" x14ac:dyDescent="0.25">
      <c r="B2848" s="2" t="s">
        <v>3653</v>
      </c>
      <c r="C2848" s="2" t="s">
        <v>306</v>
      </c>
      <c r="D2848" s="2" t="s">
        <v>71</v>
      </c>
      <c r="E2848" s="2" t="s">
        <v>4646</v>
      </c>
      <c r="F2848" s="2">
        <v>73</v>
      </c>
      <c r="G2848" s="2">
        <v>68.98</v>
      </c>
      <c r="H2848" s="2">
        <v>4.01</v>
      </c>
      <c r="I2848" s="1">
        <v>5.5</v>
      </c>
      <c r="J2848" s="26">
        <v>45725</v>
      </c>
      <c r="K2848" s="22">
        <v>68980</v>
      </c>
      <c r="L2848" s="18">
        <v>73.78</v>
      </c>
      <c r="M2848" s="22">
        <v>51100</v>
      </c>
      <c r="N2848" s="22">
        <v>17880</v>
      </c>
      <c r="O2848" s="18">
        <v>19.12</v>
      </c>
      <c r="P2848" s="52">
        <f>IF(COUNTIF(TblPurchases[BatchID],TblOutcomes[[#This Row],[BatchID]])&lt;&gt;1,"n.a.",TblOutcomes[[#This Row],[Qty Wasted]]*SUMIFS(TblPurchases[Unit Cost (CLP)],TblPurchases[BatchID],TblOutcomes[[#This Row],[BatchID]]))</f>
        <v>2807</v>
      </c>
      <c r="Q2848" s="51">
        <f>IF(COUNTIF(TblPurchases[BatchID],TblOutcomes[[#This Row],[BatchID]])&lt;&gt;1,"n.a.",SUMIFS(TblPurchases[Purchase Date],TblPurchases[BatchID],TblOutcomes[[#This Row],[BatchID]]))</f>
        <v>45425</v>
      </c>
    </row>
    <row r="2849" spans="2:17" x14ac:dyDescent="0.25">
      <c r="B2849" s="2" t="s">
        <v>3654</v>
      </c>
      <c r="C2849" s="2" t="s">
        <v>306</v>
      </c>
      <c r="D2849" s="2" t="s">
        <v>71</v>
      </c>
      <c r="E2849" s="2" t="s">
        <v>4647</v>
      </c>
      <c r="F2849" s="2">
        <v>73</v>
      </c>
      <c r="G2849" s="2">
        <v>73</v>
      </c>
      <c r="H2849" s="2">
        <v>0</v>
      </c>
      <c r="I2849" s="1">
        <v>0</v>
      </c>
      <c r="J2849" s="26">
        <v>45499</v>
      </c>
      <c r="K2849" s="22">
        <v>73000</v>
      </c>
      <c r="L2849" s="18">
        <v>78.069999999999993</v>
      </c>
      <c r="M2849" s="22">
        <v>54750</v>
      </c>
      <c r="N2849" s="22">
        <v>18250</v>
      </c>
      <c r="O2849" s="18">
        <v>19.52</v>
      </c>
      <c r="P2849" s="52">
        <f>IF(COUNTIF(TblPurchases[BatchID],TblOutcomes[[#This Row],[BatchID]])&lt;&gt;1,"n.a.",TblOutcomes[[#This Row],[Qty Wasted]]*SUMIFS(TblPurchases[Unit Cost (CLP)],TblPurchases[BatchID],TblOutcomes[[#This Row],[BatchID]]))</f>
        <v>0</v>
      </c>
      <c r="Q2849" s="51">
        <f>IF(COUNTIF(TblPurchases[BatchID],TblOutcomes[[#This Row],[BatchID]])&lt;&gt;1,"n.a.",SUMIFS(TblPurchases[Purchase Date],TblPurchases[BatchID],TblOutcomes[[#This Row],[BatchID]]))</f>
        <v>45464</v>
      </c>
    </row>
    <row r="2850" spans="2:17" x14ac:dyDescent="0.25">
      <c r="B2850" s="2" t="s">
        <v>3655</v>
      </c>
      <c r="C2850" s="2" t="s">
        <v>306</v>
      </c>
      <c r="D2850" s="2" t="s">
        <v>71</v>
      </c>
      <c r="E2850" s="2" t="s">
        <v>4647</v>
      </c>
      <c r="F2850" s="2">
        <v>66</v>
      </c>
      <c r="G2850" s="2">
        <v>66</v>
      </c>
      <c r="H2850" s="2">
        <v>0</v>
      </c>
      <c r="I2850" s="1">
        <v>0</v>
      </c>
      <c r="J2850" s="26">
        <v>45520</v>
      </c>
      <c r="K2850" s="22">
        <v>66000</v>
      </c>
      <c r="L2850" s="18">
        <v>70.59</v>
      </c>
      <c r="M2850" s="22">
        <v>46200</v>
      </c>
      <c r="N2850" s="22">
        <v>19800</v>
      </c>
      <c r="O2850" s="18">
        <v>21.18</v>
      </c>
      <c r="P2850" s="52">
        <f>IF(COUNTIF(TblPurchases[BatchID],TblOutcomes[[#This Row],[BatchID]])&lt;&gt;1,"n.a.",TblOutcomes[[#This Row],[Qty Wasted]]*SUMIFS(TblPurchases[Unit Cost (CLP)],TblPurchases[BatchID],TblOutcomes[[#This Row],[BatchID]]))</f>
        <v>0</v>
      </c>
      <c r="Q2850" s="51">
        <f>IF(COUNTIF(TblPurchases[BatchID],TblOutcomes[[#This Row],[BatchID]])&lt;&gt;1,"n.a.",SUMIFS(TblPurchases[Purchase Date],TblPurchases[BatchID],TblOutcomes[[#This Row],[BatchID]]))</f>
        <v>45499</v>
      </c>
    </row>
    <row r="2851" spans="2:17" x14ac:dyDescent="0.25">
      <c r="B2851" s="2" t="s">
        <v>3656</v>
      </c>
      <c r="C2851" s="2" t="s">
        <v>306</v>
      </c>
      <c r="D2851" s="2" t="s">
        <v>71</v>
      </c>
      <c r="E2851" s="2" t="s">
        <v>4647</v>
      </c>
      <c r="F2851" s="2">
        <v>80</v>
      </c>
      <c r="G2851" s="2">
        <v>80</v>
      </c>
      <c r="H2851" s="2">
        <v>0</v>
      </c>
      <c r="I2851" s="1">
        <v>0</v>
      </c>
      <c r="J2851" s="26">
        <v>45581</v>
      </c>
      <c r="K2851" s="22">
        <v>80000</v>
      </c>
      <c r="L2851" s="18">
        <v>85.56</v>
      </c>
      <c r="M2851" s="22">
        <v>56000</v>
      </c>
      <c r="N2851" s="22">
        <v>24000</v>
      </c>
      <c r="O2851" s="18">
        <v>25.67</v>
      </c>
      <c r="P2851" s="52">
        <f>IF(COUNTIF(TblPurchases[BatchID],TblOutcomes[[#This Row],[BatchID]])&lt;&gt;1,"n.a.",TblOutcomes[[#This Row],[Qty Wasted]]*SUMIFS(TblPurchases[Unit Cost (CLP)],TblPurchases[BatchID],TblOutcomes[[#This Row],[BatchID]]))</f>
        <v>0</v>
      </c>
      <c r="Q2851" s="51">
        <f>IF(COUNTIF(TblPurchases[BatchID],TblOutcomes[[#This Row],[BatchID]])&lt;&gt;1,"n.a.",SUMIFS(TblPurchases[Purchase Date],TblPurchases[BatchID],TblOutcomes[[#This Row],[BatchID]]))</f>
        <v>45544</v>
      </c>
    </row>
    <row r="2852" spans="2:17" x14ac:dyDescent="0.25">
      <c r="B2852" s="2" t="s">
        <v>3657</v>
      </c>
      <c r="C2852" s="2" t="s">
        <v>306</v>
      </c>
      <c r="D2852" s="2" t="s">
        <v>71</v>
      </c>
      <c r="E2852" s="2" t="s">
        <v>4647</v>
      </c>
      <c r="F2852" s="2">
        <v>26</v>
      </c>
      <c r="G2852" s="2">
        <v>26</v>
      </c>
      <c r="H2852" s="2">
        <v>0</v>
      </c>
      <c r="I2852" s="1">
        <v>0</v>
      </c>
      <c r="J2852" s="26">
        <v>45594</v>
      </c>
      <c r="K2852" s="22">
        <v>26000</v>
      </c>
      <c r="L2852" s="18">
        <v>27.81</v>
      </c>
      <c r="M2852" s="22">
        <v>18200</v>
      </c>
      <c r="N2852" s="22">
        <v>7800</v>
      </c>
      <c r="O2852" s="18">
        <v>8.34</v>
      </c>
      <c r="P2852" s="52">
        <f>IF(COUNTIF(TblPurchases[BatchID],TblOutcomes[[#This Row],[BatchID]])&lt;&gt;1,"n.a.",TblOutcomes[[#This Row],[Qty Wasted]]*SUMIFS(TblPurchases[Unit Cost (CLP)],TblPurchases[BatchID],TblOutcomes[[#This Row],[BatchID]]))</f>
        <v>0</v>
      </c>
      <c r="Q2852" s="51">
        <f>IF(COUNTIF(TblPurchases[BatchID],TblOutcomes[[#This Row],[BatchID]])&lt;&gt;1,"n.a.",SUMIFS(TblPurchases[Purchase Date],TblPurchases[BatchID],TblOutcomes[[#This Row],[BatchID]]))</f>
        <v>45577</v>
      </c>
    </row>
    <row r="2853" spans="2:17" x14ac:dyDescent="0.25">
      <c r="B2853" s="2" t="s">
        <v>3658</v>
      </c>
      <c r="C2853" s="2" t="s">
        <v>306</v>
      </c>
      <c r="D2853" s="2" t="s">
        <v>71</v>
      </c>
      <c r="E2853" s="2" t="s">
        <v>4646</v>
      </c>
      <c r="F2853" s="2">
        <v>24</v>
      </c>
      <c r="G2853" s="2">
        <v>23.11</v>
      </c>
      <c r="H2853" s="2">
        <v>0.89</v>
      </c>
      <c r="I2853" s="1">
        <v>3.7</v>
      </c>
      <c r="J2853" s="26">
        <v>45910</v>
      </c>
      <c r="K2853" s="22">
        <v>23110</v>
      </c>
      <c r="L2853" s="18">
        <v>24.72</v>
      </c>
      <c r="M2853" s="22">
        <v>16800</v>
      </c>
      <c r="N2853" s="22">
        <v>6310</v>
      </c>
      <c r="O2853" s="18">
        <v>6.75</v>
      </c>
      <c r="P2853" s="52">
        <f>IF(COUNTIF(TblPurchases[BatchID],TblOutcomes[[#This Row],[BatchID]])&lt;&gt;1,"n.a.",TblOutcomes[[#This Row],[Qty Wasted]]*SUMIFS(TblPurchases[Unit Cost (CLP)],TblPurchases[BatchID],TblOutcomes[[#This Row],[BatchID]]))</f>
        <v>623</v>
      </c>
      <c r="Q2853" s="51">
        <f>IF(COUNTIF(TblPurchases[BatchID],TblOutcomes[[#This Row],[BatchID]])&lt;&gt;1,"n.a.",SUMIFS(TblPurchases[Purchase Date],TblPurchases[BatchID],TblOutcomes[[#This Row],[BatchID]]))</f>
        <v>45610</v>
      </c>
    </row>
    <row r="2854" spans="2:17" x14ac:dyDescent="0.25">
      <c r="B2854" s="2" t="s">
        <v>3659</v>
      </c>
      <c r="C2854" s="2" t="s">
        <v>306</v>
      </c>
      <c r="D2854" s="2" t="s">
        <v>71</v>
      </c>
      <c r="E2854" s="2" t="s">
        <v>4646</v>
      </c>
      <c r="F2854" s="2">
        <v>35</v>
      </c>
      <c r="G2854" s="2">
        <v>33.21</v>
      </c>
      <c r="H2854" s="2">
        <v>1.78</v>
      </c>
      <c r="I2854" s="1">
        <v>5.0999999999999996</v>
      </c>
      <c r="J2854" s="26">
        <v>45947</v>
      </c>
      <c r="K2854" s="22">
        <v>33210</v>
      </c>
      <c r="L2854" s="18">
        <v>35.520000000000003</v>
      </c>
      <c r="M2854" s="22">
        <v>24500</v>
      </c>
      <c r="N2854" s="22">
        <v>8710</v>
      </c>
      <c r="O2854" s="18">
        <v>9.32</v>
      </c>
      <c r="P2854" s="52">
        <f>IF(COUNTIF(TblPurchases[BatchID],TblOutcomes[[#This Row],[BatchID]])&lt;&gt;1,"n.a.",TblOutcomes[[#This Row],[Qty Wasted]]*SUMIFS(TblPurchases[Unit Cost (CLP)],TblPurchases[BatchID],TblOutcomes[[#This Row],[BatchID]]))</f>
        <v>1246</v>
      </c>
      <c r="Q2854" s="51">
        <f>IF(COUNTIF(TblPurchases[BatchID],TblOutcomes[[#This Row],[BatchID]])&lt;&gt;1,"n.a.",SUMIFS(TblPurchases[Purchase Date],TblPurchases[BatchID],TblOutcomes[[#This Row],[BatchID]]))</f>
        <v>45647</v>
      </c>
    </row>
    <row r="2855" spans="2:17" x14ac:dyDescent="0.25">
      <c r="B2855" s="2" t="s">
        <v>3660</v>
      </c>
      <c r="C2855" s="2" t="s">
        <v>306</v>
      </c>
      <c r="D2855" s="2" t="s">
        <v>71</v>
      </c>
      <c r="E2855" s="2" t="s">
        <v>4647</v>
      </c>
      <c r="F2855" s="2">
        <v>27</v>
      </c>
      <c r="G2855" s="2">
        <v>27</v>
      </c>
      <c r="H2855" s="2">
        <v>0</v>
      </c>
      <c r="I2855" s="1">
        <v>0</v>
      </c>
      <c r="J2855" s="26">
        <v>45704</v>
      </c>
      <c r="K2855" s="22">
        <v>27000</v>
      </c>
      <c r="L2855" s="18">
        <v>28.88</v>
      </c>
      <c r="M2855" s="22">
        <v>18900</v>
      </c>
      <c r="N2855" s="22">
        <v>8100</v>
      </c>
      <c r="O2855" s="18">
        <v>8.66</v>
      </c>
      <c r="P2855" s="52">
        <f>IF(COUNTIF(TblPurchases[BatchID],TblOutcomes[[#This Row],[BatchID]])&lt;&gt;1,"n.a.",TblOutcomes[[#This Row],[Qty Wasted]]*SUMIFS(TblPurchases[Unit Cost (CLP)],TblPurchases[BatchID],TblOutcomes[[#This Row],[BatchID]]))</f>
        <v>0</v>
      </c>
      <c r="Q2855" s="51">
        <f>IF(COUNTIF(TblPurchases[BatchID],TblOutcomes[[#This Row],[BatchID]])&lt;&gt;1,"n.a.",SUMIFS(TblPurchases[Purchase Date],TblPurchases[BatchID],TblOutcomes[[#This Row],[BatchID]]))</f>
        <v>45679</v>
      </c>
    </row>
    <row r="2856" spans="2:17" x14ac:dyDescent="0.25">
      <c r="B2856" s="2" t="s">
        <v>3661</v>
      </c>
      <c r="C2856" s="2" t="s">
        <v>306</v>
      </c>
      <c r="D2856" s="2" t="s">
        <v>71</v>
      </c>
      <c r="E2856" s="2" t="s">
        <v>4647</v>
      </c>
      <c r="F2856" s="2">
        <v>26</v>
      </c>
      <c r="G2856" s="2">
        <v>26</v>
      </c>
      <c r="H2856" s="2">
        <v>0</v>
      </c>
      <c r="I2856" s="1">
        <v>0</v>
      </c>
      <c r="J2856" s="26">
        <v>45740</v>
      </c>
      <c r="K2856" s="22">
        <v>26000</v>
      </c>
      <c r="L2856" s="18">
        <v>27.81</v>
      </c>
      <c r="M2856" s="22">
        <v>18200</v>
      </c>
      <c r="N2856" s="22">
        <v>7800</v>
      </c>
      <c r="O2856" s="18">
        <v>8.34</v>
      </c>
      <c r="P2856" s="52">
        <f>IF(COUNTIF(TblPurchases[BatchID],TblOutcomes[[#This Row],[BatchID]])&lt;&gt;1,"n.a.",TblOutcomes[[#This Row],[Qty Wasted]]*SUMIFS(TblPurchases[Unit Cost (CLP)],TblPurchases[BatchID],TblOutcomes[[#This Row],[BatchID]]))</f>
        <v>0</v>
      </c>
      <c r="Q2856" s="51">
        <f>IF(COUNTIF(TblPurchases[BatchID],TblOutcomes[[#This Row],[BatchID]])&lt;&gt;1,"n.a.",SUMIFS(TblPurchases[Purchase Date],TblPurchases[BatchID],TblOutcomes[[#This Row],[BatchID]]))</f>
        <v>45715</v>
      </c>
    </row>
    <row r="2857" spans="2:17" x14ac:dyDescent="0.25">
      <c r="B2857" s="2" t="s">
        <v>3662</v>
      </c>
      <c r="C2857" s="2" t="s">
        <v>306</v>
      </c>
      <c r="D2857" s="2" t="s">
        <v>71</v>
      </c>
      <c r="E2857" s="2" t="s">
        <v>4646</v>
      </c>
      <c r="F2857" s="2">
        <v>28</v>
      </c>
      <c r="G2857" s="2">
        <v>26.6</v>
      </c>
      <c r="H2857" s="2">
        <v>1.4</v>
      </c>
      <c r="I2857" s="1">
        <v>5</v>
      </c>
      <c r="J2857" s="26">
        <v>46039</v>
      </c>
      <c r="K2857" s="22">
        <v>26600</v>
      </c>
      <c r="L2857" s="18">
        <v>28.45</v>
      </c>
      <c r="M2857" s="22">
        <v>21000</v>
      </c>
      <c r="N2857" s="22">
        <v>5600</v>
      </c>
      <c r="O2857" s="18">
        <v>5.99</v>
      </c>
      <c r="P2857" s="52">
        <f>IF(COUNTIF(TblPurchases[BatchID],TblOutcomes[[#This Row],[BatchID]])&lt;&gt;1,"n.a.",TblOutcomes[[#This Row],[Qty Wasted]]*SUMIFS(TblPurchases[Unit Cost (CLP)],TblPurchases[BatchID],TblOutcomes[[#This Row],[BatchID]]))</f>
        <v>1050</v>
      </c>
      <c r="Q2857" s="51">
        <f>IF(COUNTIF(TblPurchases[BatchID],TblOutcomes[[#This Row],[BatchID]])&lt;&gt;1,"n.a.",SUMIFS(TblPurchases[Purchase Date],TblPurchases[BatchID],TblOutcomes[[#This Row],[BatchID]]))</f>
        <v>45739</v>
      </c>
    </row>
    <row r="2858" spans="2:17" x14ac:dyDescent="0.25">
      <c r="B2858" s="2" t="s">
        <v>3663</v>
      </c>
      <c r="C2858" s="2" t="s">
        <v>306</v>
      </c>
      <c r="D2858" s="2" t="s">
        <v>71</v>
      </c>
      <c r="E2858" s="2" t="s">
        <v>4647</v>
      </c>
      <c r="F2858" s="2">
        <v>70</v>
      </c>
      <c r="G2858" s="2">
        <v>70</v>
      </c>
      <c r="H2858" s="2">
        <v>0</v>
      </c>
      <c r="I2858" s="1">
        <v>0</v>
      </c>
      <c r="J2858" s="26">
        <v>45811</v>
      </c>
      <c r="K2858" s="22">
        <v>70000</v>
      </c>
      <c r="L2858" s="18">
        <v>74.87</v>
      </c>
      <c r="M2858" s="22">
        <v>52500</v>
      </c>
      <c r="N2858" s="22">
        <v>17500</v>
      </c>
      <c r="O2858" s="18">
        <v>18.72</v>
      </c>
      <c r="P2858" s="52">
        <f>IF(COUNTIF(TblPurchases[BatchID],TblOutcomes[[#This Row],[BatchID]])&lt;&gt;1,"n.a.",TblOutcomes[[#This Row],[Qty Wasted]]*SUMIFS(TblPurchases[Unit Cost (CLP)],TblPurchases[BatchID],TblOutcomes[[#This Row],[BatchID]]))</f>
        <v>0</v>
      </c>
      <c r="Q2858" s="51">
        <f>IF(COUNTIF(TblPurchases[BatchID],TblOutcomes[[#This Row],[BatchID]])&lt;&gt;1,"n.a.",SUMIFS(TblPurchases[Purchase Date],TblPurchases[BatchID],TblOutcomes[[#This Row],[BatchID]]))</f>
        <v>45774</v>
      </c>
    </row>
    <row r="2859" spans="2:17" x14ac:dyDescent="0.25">
      <c r="B2859" s="2" t="s">
        <v>3664</v>
      </c>
      <c r="C2859" s="2" t="s">
        <v>306</v>
      </c>
      <c r="D2859" s="2" t="s">
        <v>71</v>
      </c>
      <c r="E2859" s="2" t="s">
        <v>4647</v>
      </c>
      <c r="F2859" s="2">
        <v>67</v>
      </c>
      <c r="G2859" s="2">
        <v>67</v>
      </c>
      <c r="H2859" s="2">
        <v>0</v>
      </c>
      <c r="I2859" s="1">
        <v>0</v>
      </c>
      <c r="J2859" s="26">
        <v>45831</v>
      </c>
      <c r="K2859" s="22">
        <v>67000</v>
      </c>
      <c r="L2859" s="18">
        <v>71.66</v>
      </c>
      <c r="M2859" s="22">
        <v>46900</v>
      </c>
      <c r="N2859" s="22">
        <v>20100</v>
      </c>
      <c r="O2859" s="18">
        <v>21.5</v>
      </c>
      <c r="P2859" s="52">
        <f>IF(COUNTIF(TblPurchases[BatchID],TblOutcomes[[#This Row],[BatchID]])&lt;&gt;1,"n.a.",TblOutcomes[[#This Row],[Qty Wasted]]*SUMIFS(TblPurchases[Unit Cost (CLP)],TblPurchases[BatchID],TblOutcomes[[#This Row],[BatchID]]))</f>
        <v>0</v>
      </c>
      <c r="Q2859" s="51">
        <f>IF(COUNTIF(TblPurchases[BatchID],TblOutcomes[[#This Row],[BatchID]])&lt;&gt;1,"n.a.",SUMIFS(TblPurchases[Purchase Date],TblPurchases[BatchID],TblOutcomes[[#This Row],[BatchID]]))</f>
        <v>45806</v>
      </c>
    </row>
    <row r="2860" spans="2:17" x14ac:dyDescent="0.25">
      <c r="B2860" s="2" t="s">
        <v>3665</v>
      </c>
      <c r="C2860" s="2" t="s">
        <v>308</v>
      </c>
      <c r="D2860" s="2" t="s">
        <v>71</v>
      </c>
      <c r="E2860" s="2" t="s">
        <v>4646</v>
      </c>
      <c r="F2860" s="2">
        <v>46</v>
      </c>
      <c r="G2860" s="2">
        <v>45.36</v>
      </c>
      <c r="H2860" s="2">
        <v>0.64</v>
      </c>
      <c r="I2860" s="1">
        <v>1.4</v>
      </c>
      <c r="J2860" s="26">
        <v>45414</v>
      </c>
      <c r="K2860" s="22">
        <v>45360</v>
      </c>
      <c r="L2860" s="18">
        <v>48.51</v>
      </c>
      <c r="M2860" s="22">
        <v>29900</v>
      </c>
      <c r="N2860" s="22">
        <v>15460</v>
      </c>
      <c r="O2860" s="18">
        <v>16.53</v>
      </c>
      <c r="P2860" s="52">
        <f>IF(COUNTIF(TblPurchases[BatchID],TblOutcomes[[#This Row],[BatchID]])&lt;&gt;1,"n.a.",TblOutcomes[[#This Row],[Qty Wasted]]*SUMIFS(TblPurchases[Unit Cost (CLP)],TblPurchases[BatchID],TblOutcomes[[#This Row],[BatchID]]))</f>
        <v>416</v>
      </c>
      <c r="Q2860" s="51">
        <f>IF(COUNTIF(TblPurchases[BatchID],TblOutcomes[[#This Row],[BatchID]])&lt;&gt;1,"n.a.",SUMIFS(TblPurchases[Purchase Date],TblPurchases[BatchID],TblOutcomes[[#This Row],[BatchID]]))</f>
        <v>45114</v>
      </c>
    </row>
    <row r="2861" spans="2:17" x14ac:dyDescent="0.25">
      <c r="B2861" s="2" t="s">
        <v>3666</v>
      </c>
      <c r="C2861" s="2" t="s">
        <v>308</v>
      </c>
      <c r="D2861" s="2" t="s">
        <v>71</v>
      </c>
      <c r="E2861" s="2" t="s">
        <v>4647</v>
      </c>
      <c r="F2861" s="2">
        <v>55</v>
      </c>
      <c r="G2861" s="2">
        <v>55</v>
      </c>
      <c r="H2861" s="2">
        <v>0</v>
      </c>
      <c r="I2861" s="1">
        <v>0</v>
      </c>
      <c r="J2861" s="26">
        <v>45182</v>
      </c>
      <c r="K2861" s="22">
        <v>55000</v>
      </c>
      <c r="L2861" s="18">
        <v>58.82</v>
      </c>
      <c r="M2861" s="22">
        <v>35750</v>
      </c>
      <c r="N2861" s="22">
        <v>19250</v>
      </c>
      <c r="O2861" s="18">
        <v>20.59</v>
      </c>
      <c r="P2861" s="52">
        <f>IF(COUNTIF(TblPurchases[BatchID],TblOutcomes[[#This Row],[BatchID]])&lt;&gt;1,"n.a.",TblOutcomes[[#This Row],[Qty Wasted]]*SUMIFS(TblPurchases[Unit Cost (CLP)],TblPurchases[BatchID],TblOutcomes[[#This Row],[BatchID]]))</f>
        <v>0</v>
      </c>
      <c r="Q2861" s="51">
        <f>IF(COUNTIF(TblPurchases[BatchID],TblOutcomes[[#This Row],[BatchID]])&lt;&gt;1,"n.a.",SUMIFS(TblPurchases[Purchase Date],TblPurchases[BatchID],TblOutcomes[[#This Row],[BatchID]]))</f>
        <v>45149</v>
      </c>
    </row>
    <row r="2862" spans="2:17" x14ac:dyDescent="0.25">
      <c r="B2862" s="2" t="s">
        <v>3667</v>
      </c>
      <c r="C2862" s="2" t="s">
        <v>308</v>
      </c>
      <c r="D2862" s="2" t="s">
        <v>71</v>
      </c>
      <c r="E2862" s="2" t="s">
        <v>4646</v>
      </c>
      <c r="F2862" s="2">
        <v>57</v>
      </c>
      <c r="G2862" s="2">
        <v>54.43</v>
      </c>
      <c r="H2862" s="2">
        <v>2.56</v>
      </c>
      <c r="I2862" s="1">
        <v>4.5</v>
      </c>
      <c r="J2862" s="26">
        <v>45482</v>
      </c>
      <c r="K2862" s="22">
        <v>54430</v>
      </c>
      <c r="L2862" s="18">
        <v>58.21</v>
      </c>
      <c r="M2862" s="22">
        <v>37050</v>
      </c>
      <c r="N2862" s="22">
        <v>17380</v>
      </c>
      <c r="O2862" s="18">
        <v>18.59</v>
      </c>
      <c r="P2862" s="52">
        <f>IF(COUNTIF(TblPurchases[BatchID],TblOutcomes[[#This Row],[BatchID]])&lt;&gt;1,"n.a.",TblOutcomes[[#This Row],[Qty Wasted]]*SUMIFS(TblPurchases[Unit Cost (CLP)],TblPurchases[BatchID],TblOutcomes[[#This Row],[BatchID]]))</f>
        <v>1664</v>
      </c>
      <c r="Q2862" s="51">
        <f>IF(COUNTIF(TblPurchases[BatchID],TblOutcomes[[#This Row],[BatchID]])&lt;&gt;1,"n.a.",SUMIFS(TblPurchases[Purchase Date],TblPurchases[BatchID],TblOutcomes[[#This Row],[BatchID]]))</f>
        <v>45182</v>
      </c>
    </row>
    <row r="2863" spans="2:17" x14ac:dyDescent="0.25">
      <c r="B2863" s="2" t="s">
        <v>3668</v>
      </c>
      <c r="C2863" s="2" t="s">
        <v>308</v>
      </c>
      <c r="D2863" s="2" t="s">
        <v>71</v>
      </c>
      <c r="E2863" s="2" t="s">
        <v>4646</v>
      </c>
      <c r="F2863" s="2">
        <v>49</v>
      </c>
      <c r="G2863" s="2">
        <v>47.73</v>
      </c>
      <c r="H2863" s="2">
        <v>1.27</v>
      </c>
      <c r="I2863" s="1">
        <v>2.6</v>
      </c>
      <c r="J2863" s="26">
        <v>45523</v>
      </c>
      <c r="K2863" s="22">
        <v>47730</v>
      </c>
      <c r="L2863" s="18">
        <v>51.05</v>
      </c>
      <c r="M2863" s="22">
        <v>31850</v>
      </c>
      <c r="N2863" s="22">
        <v>15880</v>
      </c>
      <c r="O2863" s="18">
        <v>16.98</v>
      </c>
      <c r="P2863" s="52">
        <f>IF(COUNTIF(TblPurchases[BatchID],TblOutcomes[[#This Row],[BatchID]])&lt;&gt;1,"n.a.",TblOutcomes[[#This Row],[Qty Wasted]]*SUMIFS(TblPurchases[Unit Cost (CLP)],TblPurchases[BatchID],TblOutcomes[[#This Row],[BatchID]]))</f>
        <v>825.5</v>
      </c>
      <c r="Q2863" s="51">
        <f>IF(COUNTIF(TblPurchases[BatchID],TblOutcomes[[#This Row],[BatchID]])&lt;&gt;1,"n.a.",SUMIFS(TblPurchases[Purchase Date],TblPurchases[BatchID],TblOutcomes[[#This Row],[BatchID]]))</f>
        <v>45223</v>
      </c>
    </row>
    <row r="2864" spans="2:17" x14ac:dyDescent="0.25">
      <c r="B2864" s="2" t="s">
        <v>3669</v>
      </c>
      <c r="C2864" s="2" t="s">
        <v>308</v>
      </c>
      <c r="D2864" s="2" t="s">
        <v>71</v>
      </c>
      <c r="E2864" s="2" t="s">
        <v>4646</v>
      </c>
      <c r="F2864" s="2">
        <v>50</v>
      </c>
      <c r="G2864" s="2">
        <v>49.3</v>
      </c>
      <c r="H2864" s="2">
        <v>0.7</v>
      </c>
      <c r="I2864" s="1">
        <v>1.4</v>
      </c>
      <c r="J2864" s="26">
        <v>45559</v>
      </c>
      <c r="K2864" s="22">
        <v>49300</v>
      </c>
      <c r="L2864" s="18">
        <v>52.73</v>
      </c>
      <c r="M2864" s="22">
        <v>32500</v>
      </c>
      <c r="N2864" s="22">
        <v>16800</v>
      </c>
      <c r="O2864" s="18">
        <v>17.97</v>
      </c>
      <c r="P2864" s="52">
        <f>IF(COUNTIF(TblPurchases[BatchID],TblOutcomes[[#This Row],[BatchID]])&lt;&gt;1,"n.a.",TblOutcomes[[#This Row],[Qty Wasted]]*SUMIFS(TblPurchases[Unit Cost (CLP)],TblPurchases[BatchID],TblOutcomes[[#This Row],[BatchID]]))</f>
        <v>454.99999999999994</v>
      </c>
      <c r="Q2864" s="51">
        <f>IF(COUNTIF(TblPurchases[BatchID],TblOutcomes[[#This Row],[BatchID]])&lt;&gt;1,"n.a.",SUMIFS(TblPurchases[Purchase Date],TblPurchases[BatchID],TblOutcomes[[#This Row],[BatchID]]))</f>
        <v>45259</v>
      </c>
    </row>
    <row r="2865" spans="2:17" x14ac:dyDescent="0.25">
      <c r="B2865" s="2" t="s">
        <v>3670</v>
      </c>
      <c r="C2865" s="2" t="s">
        <v>308</v>
      </c>
      <c r="D2865" s="2" t="s">
        <v>71</v>
      </c>
      <c r="E2865" s="2" t="s">
        <v>4647</v>
      </c>
      <c r="F2865" s="2">
        <v>63</v>
      </c>
      <c r="G2865" s="2">
        <v>63</v>
      </c>
      <c r="H2865" s="2">
        <v>0</v>
      </c>
      <c r="I2865" s="1">
        <v>0</v>
      </c>
      <c r="J2865" s="26">
        <v>45309</v>
      </c>
      <c r="K2865" s="22">
        <v>63000</v>
      </c>
      <c r="L2865" s="18">
        <v>67.38</v>
      </c>
      <c r="M2865" s="22">
        <v>47250</v>
      </c>
      <c r="N2865" s="22">
        <v>15750</v>
      </c>
      <c r="O2865" s="18">
        <v>16.84</v>
      </c>
      <c r="P2865" s="52">
        <f>IF(COUNTIF(TblPurchases[BatchID],TblOutcomes[[#This Row],[BatchID]])&lt;&gt;1,"n.a.",TblOutcomes[[#This Row],[Qty Wasted]]*SUMIFS(TblPurchases[Unit Cost (CLP)],TblPurchases[BatchID],TblOutcomes[[#This Row],[BatchID]]))</f>
        <v>0</v>
      </c>
      <c r="Q2865" s="51">
        <f>IF(COUNTIF(TblPurchases[BatchID],TblOutcomes[[#This Row],[BatchID]])&lt;&gt;1,"n.a.",SUMIFS(TblPurchases[Purchase Date],TblPurchases[BatchID],TblOutcomes[[#This Row],[BatchID]]))</f>
        <v>45287</v>
      </c>
    </row>
    <row r="2866" spans="2:17" x14ac:dyDescent="0.25">
      <c r="B2866" s="2" t="s">
        <v>3671</v>
      </c>
      <c r="C2866" s="2" t="s">
        <v>308</v>
      </c>
      <c r="D2866" s="2" t="s">
        <v>71</v>
      </c>
      <c r="E2866" s="2" t="s">
        <v>4647</v>
      </c>
      <c r="F2866" s="2">
        <v>47</v>
      </c>
      <c r="G2866" s="2">
        <v>47</v>
      </c>
      <c r="H2866" s="2">
        <v>0</v>
      </c>
      <c r="I2866" s="1">
        <v>0</v>
      </c>
      <c r="J2866" s="26">
        <v>45355</v>
      </c>
      <c r="K2866" s="22">
        <v>47000</v>
      </c>
      <c r="L2866" s="18">
        <v>50.27</v>
      </c>
      <c r="M2866" s="22">
        <v>30550</v>
      </c>
      <c r="N2866" s="22">
        <v>16450</v>
      </c>
      <c r="O2866" s="18">
        <v>17.59</v>
      </c>
      <c r="P2866" s="52">
        <f>IF(COUNTIF(TblPurchases[BatchID],TblOutcomes[[#This Row],[BatchID]])&lt;&gt;1,"n.a.",TblOutcomes[[#This Row],[Qty Wasted]]*SUMIFS(TblPurchases[Unit Cost (CLP)],TblPurchases[BatchID],TblOutcomes[[#This Row],[BatchID]]))</f>
        <v>0</v>
      </c>
      <c r="Q2866" s="51">
        <f>IF(COUNTIF(TblPurchases[BatchID],TblOutcomes[[#This Row],[BatchID]])&lt;&gt;1,"n.a.",SUMIFS(TblPurchases[Purchase Date],TblPurchases[BatchID],TblOutcomes[[#This Row],[BatchID]]))</f>
        <v>45321</v>
      </c>
    </row>
    <row r="2867" spans="2:17" x14ac:dyDescent="0.25">
      <c r="B2867" s="2" t="s">
        <v>3672</v>
      </c>
      <c r="C2867" s="2" t="s">
        <v>308</v>
      </c>
      <c r="D2867" s="2" t="s">
        <v>71</v>
      </c>
      <c r="E2867" s="2" t="s">
        <v>4646</v>
      </c>
      <c r="F2867" s="2">
        <v>51</v>
      </c>
      <c r="G2867" s="2">
        <v>48.5</v>
      </c>
      <c r="H2867" s="2">
        <v>2.5</v>
      </c>
      <c r="I2867" s="1">
        <v>4.9000000000000004</v>
      </c>
      <c r="J2867" s="26">
        <v>45655</v>
      </c>
      <c r="K2867" s="22">
        <v>48500</v>
      </c>
      <c r="L2867" s="18">
        <v>51.87</v>
      </c>
      <c r="M2867" s="22">
        <v>33150</v>
      </c>
      <c r="N2867" s="22">
        <v>15350</v>
      </c>
      <c r="O2867" s="18">
        <v>16.420000000000002</v>
      </c>
      <c r="P2867" s="52">
        <f>IF(COUNTIF(TblPurchases[BatchID],TblOutcomes[[#This Row],[BatchID]])&lt;&gt;1,"n.a.",TblOutcomes[[#This Row],[Qty Wasted]]*SUMIFS(TblPurchases[Unit Cost (CLP)],TblPurchases[BatchID],TblOutcomes[[#This Row],[BatchID]]))</f>
        <v>1625</v>
      </c>
      <c r="Q2867" s="51">
        <f>IF(COUNTIF(TblPurchases[BatchID],TblOutcomes[[#This Row],[BatchID]])&lt;&gt;1,"n.a.",SUMIFS(TblPurchases[Purchase Date],TblPurchases[BatchID],TblOutcomes[[#This Row],[BatchID]]))</f>
        <v>45355</v>
      </c>
    </row>
    <row r="2868" spans="2:17" x14ac:dyDescent="0.25">
      <c r="B2868" s="2" t="s">
        <v>3673</v>
      </c>
      <c r="C2868" s="2" t="s">
        <v>308</v>
      </c>
      <c r="D2868" s="2" t="s">
        <v>71</v>
      </c>
      <c r="E2868" s="2" t="s">
        <v>4647</v>
      </c>
      <c r="F2868" s="2">
        <v>53</v>
      </c>
      <c r="G2868" s="2">
        <v>53</v>
      </c>
      <c r="H2868" s="2">
        <v>0</v>
      </c>
      <c r="I2868" s="1">
        <v>0</v>
      </c>
      <c r="J2868" s="26">
        <v>45414</v>
      </c>
      <c r="K2868" s="22">
        <v>53000</v>
      </c>
      <c r="L2868" s="18">
        <v>56.68</v>
      </c>
      <c r="M2868" s="22">
        <v>34450</v>
      </c>
      <c r="N2868" s="22">
        <v>18550</v>
      </c>
      <c r="O2868" s="18">
        <v>19.84</v>
      </c>
      <c r="P2868" s="52">
        <f>IF(COUNTIF(TblPurchases[BatchID],TblOutcomes[[#This Row],[BatchID]])&lt;&gt;1,"n.a.",TblOutcomes[[#This Row],[Qty Wasted]]*SUMIFS(TblPurchases[Unit Cost (CLP)],TblPurchases[BatchID],TblOutcomes[[#This Row],[BatchID]]))</f>
        <v>0</v>
      </c>
      <c r="Q2868" s="51">
        <f>IF(COUNTIF(TblPurchases[BatchID],TblOutcomes[[#This Row],[BatchID]])&lt;&gt;1,"n.a.",SUMIFS(TblPurchases[Purchase Date],TblPurchases[BatchID],TblOutcomes[[#This Row],[BatchID]]))</f>
        <v>45393</v>
      </c>
    </row>
    <row r="2869" spans="2:17" x14ac:dyDescent="0.25">
      <c r="B2869" s="2" t="s">
        <v>3674</v>
      </c>
      <c r="C2869" s="2" t="s">
        <v>308</v>
      </c>
      <c r="D2869" s="2" t="s">
        <v>71</v>
      </c>
      <c r="E2869" s="2" t="s">
        <v>4647</v>
      </c>
      <c r="F2869" s="2">
        <v>48</v>
      </c>
      <c r="G2869" s="2">
        <v>48</v>
      </c>
      <c r="H2869" s="2">
        <v>0</v>
      </c>
      <c r="I2869" s="1">
        <v>0</v>
      </c>
      <c r="J2869" s="26">
        <v>45444</v>
      </c>
      <c r="K2869" s="22">
        <v>48000</v>
      </c>
      <c r="L2869" s="18">
        <v>51.34</v>
      </c>
      <c r="M2869" s="22">
        <v>36000</v>
      </c>
      <c r="N2869" s="22">
        <v>12000</v>
      </c>
      <c r="O2869" s="18">
        <v>12.83</v>
      </c>
      <c r="P2869" s="52">
        <f>IF(COUNTIF(TblPurchases[BatchID],TblOutcomes[[#This Row],[BatchID]])&lt;&gt;1,"n.a.",TblOutcomes[[#This Row],[Qty Wasted]]*SUMIFS(TblPurchases[Unit Cost (CLP)],TblPurchases[BatchID],TblOutcomes[[#This Row],[BatchID]]))</f>
        <v>0</v>
      </c>
      <c r="Q2869" s="51">
        <f>IF(COUNTIF(TblPurchases[BatchID],TblOutcomes[[#This Row],[BatchID]])&lt;&gt;1,"n.a.",SUMIFS(TblPurchases[Purchase Date],TblPurchases[BatchID],TblOutcomes[[#This Row],[BatchID]]))</f>
        <v>45422</v>
      </c>
    </row>
    <row r="2870" spans="2:17" x14ac:dyDescent="0.25">
      <c r="B2870" s="2" t="s">
        <v>3675</v>
      </c>
      <c r="C2870" s="2" t="s">
        <v>308</v>
      </c>
      <c r="D2870" s="2" t="s">
        <v>71</v>
      </c>
      <c r="E2870" s="2" t="s">
        <v>4647</v>
      </c>
      <c r="F2870" s="2">
        <v>55</v>
      </c>
      <c r="G2870" s="2">
        <v>55</v>
      </c>
      <c r="H2870" s="2">
        <v>0</v>
      </c>
      <c r="I2870" s="1">
        <v>0</v>
      </c>
      <c r="J2870" s="26">
        <v>45477</v>
      </c>
      <c r="K2870" s="22">
        <v>55000</v>
      </c>
      <c r="L2870" s="18">
        <v>58.82</v>
      </c>
      <c r="M2870" s="22">
        <v>35750</v>
      </c>
      <c r="N2870" s="22">
        <v>19250</v>
      </c>
      <c r="O2870" s="18">
        <v>20.59</v>
      </c>
      <c r="P2870" s="52">
        <f>IF(COUNTIF(TblPurchases[BatchID],TblOutcomes[[#This Row],[BatchID]])&lt;&gt;1,"n.a.",TblOutcomes[[#This Row],[Qty Wasted]]*SUMIFS(TblPurchases[Unit Cost (CLP)],TblPurchases[BatchID],TblOutcomes[[#This Row],[BatchID]]))</f>
        <v>0</v>
      </c>
      <c r="Q2870" s="51">
        <f>IF(COUNTIF(TblPurchases[BatchID],TblOutcomes[[#This Row],[BatchID]])&lt;&gt;1,"n.a.",SUMIFS(TblPurchases[Purchase Date],TblPurchases[BatchID],TblOutcomes[[#This Row],[BatchID]]))</f>
        <v>45445</v>
      </c>
    </row>
    <row r="2871" spans="2:17" x14ac:dyDescent="0.25">
      <c r="B2871" s="2" t="s">
        <v>3676</v>
      </c>
      <c r="C2871" s="2" t="s">
        <v>308</v>
      </c>
      <c r="D2871" s="2" t="s">
        <v>71</v>
      </c>
      <c r="E2871" s="2" t="s">
        <v>4646</v>
      </c>
      <c r="F2871" s="2">
        <v>56</v>
      </c>
      <c r="G2871" s="2">
        <v>54.21</v>
      </c>
      <c r="H2871" s="2">
        <v>1.79</v>
      </c>
      <c r="I2871" s="1">
        <v>3.2</v>
      </c>
      <c r="J2871" s="26">
        <v>45781</v>
      </c>
      <c r="K2871" s="22">
        <v>54210</v>
      </c>
      <c r="L2871" s="18">
        <v>57.98</v>
      </c>
      <c r="M2871" s="22">
        <v>42000</v>
      </c>
      <c r="N2871" s="22">
        <v>12210</v>
      </c>
      <c r="O2871" s="18">
        <v>13.06</v>
      </c>
      <c r="P2871" s="52">
        <f>IF(COUNTIF(TblPurchases[BatchID],TblOutcomes[[#This Row],[BatchID]])&lt;&gt;1,"n.a.",TblOutcomes[[#This Row],[Qty Wasted]]*SUMIFS(TblPurchases[Unit Cost (CLP)],TblPurchases[BatchID],TblOutcomes[[#This Row],[BatchID]]))</f>
        <v>1342.5</v>
      </c>
      <c r="Q2871" s="51">
        <f>IF(COUNTIF(TblPurchases[BatchID],TblOutcomes[[#This Row],[BatchID]])&lt;&gt;1,"n.a.",SUMIFS(TblPurchases[Purchase Date],TblPurchases[BatchID],TblOutcomes[[#This Row],[BatchID]]))</f>
        <v>45481</v>
      </c>
    </row>
    <row r="2872" spans="2:17" x14ac:dyDescent="0.25">
      <c r="B2872" s="2" t="s">
        <v>3677</v>
      </c>
      <c r="C2872" s="2" t="s">
        <v>308</v>
      </c>
      <c r="D2872" s="2" t="s">
        <v>71</v>
      </c>
      <c r="E2872" s="2" t="s">
        <v>4646</v>
      </c>
      <c r="F2872" s="2">
        <v>53</v>
      </c>
      <c r="G2872" s="2">
        <v>50.77</v>
      </c>
      <c r="H2872" s="2">
        <v>2.23</v>
      </c>
      <c r="I2872" s="1">
        <v>4.2</v>
      </c>
      <c r="J2872" s="26">
        <v>45817</v>
      </c>
      <c r="K2872" s="22">
        <v>50770</v>
      </c>
      <c r="L2872" s="18">
        <v>54.3</v>
      </c>
      <c r="M2872" s="22">
        <v>34450</v>
      </c>
      <c r="N2872" s="22">
        <v>16320</v>
      </c>
      <c r="O2872" s="18">
        <v>17.45</v>
      </c>
      <c r="P2872" s="52">
        <f>IF(COUNTIF(TblPurchases[BatchID],TblOutcomes[[#This Row],[BatchID]])&lt;&gt;1,"n.a.",TblOutcomes[[#This Row],[Qty Wasted]]*SUMIFS(TblPurchases[Unit Cost (CLP)],TblPurchases[BatchID],TblOutcomes[[#This Row],[BatchID]]))</f>
        <v>1449.5</v>
      </c>
      <c r="Q2872" s="51">
        <f>IF(COUNTIF(TblPurchases[BatchID],TblOutcomes[[#This Row],[BatchID]])&lt;&gt;1,"n.a.",SUMIFS(TblPurchases[Purchase Date],TblPurchases[BatchID],TblOutcomes[[#This Row],[BatchID]]))</f>
        <v>45517</v>
      </c>
    </row>
    <row r="2873" spans="2:17" x14ac:dyDescent="0.25">
      <c r="B2873" s="2" t="s">
        <v>3678</v>
      </c>
      <c r="C2873" s="2" t="s">
        <v>308</v>
      </c>
      <c r="D2873" s="2" t="s">
        <v>71</v>
      </c>
      <c r="E2873" s="2" t="s">
        <v>4647</v>
      </c>
      <c r="F2873" s="2">
        <v>61</v>
      </c>
      <c r="G2873" s="2">
        <v>61</v>
      </c>
      <c r="H2873" s="2">
        <v>0</v>
      </c>
      <c r="I2873" s="1">
        <v>0</v>
      </c>
      <c r="J2873" s="26">
        <v>45591</v>
      </c>
      <c r="K2873" s="22">
        <v>61000</v>
      </c>
      <c r="L2873" s="18">
        <v>65.239999999999995</v>
      </c>
      <c r="M2873" s="22">
        <v>45750</v>
      </c>
      <c r="N2873" s="22">
        <v>15250</v>
      </c>
      <c r="O2873" s="18">
        <v>16.309999999999999</v>
      </c>
      <c r="P2873" s="52">
        <f>IF(COUNTIF(TblPurchases[BatchID],TblOutcomes[[#This Row],[BatchID]])&lt;&gt;1,"n.a.",TblOutcomes[[#This Row],[Qty Wasted]]*SUMIFS(TblPurchases[Unit Cost (CLP)],TblPurchases[BatchID],TblOutcomes[[#This Row],[BatchID]]))</f>
        <v>0</v>
      </c>
      <c r="Q2873" s="51">
        <f>IF(COUNTIF(TblPurchases[BatchID],TblOutcomes[[#This Row],[BatchID]])&lt;&gt;1,"n.a.",SUMIFS(TblPurchases[Purchase Date],TblPurchases[BatchID],TblOutcomes[[#This Row],[BatchID]]))</f>
        <v>45552</v>
      </c>
    </row>
    <row r="2874" spans="2:17" x14ac:dyDescent="0.25">
      <c r="B2874" s="2" t="s">
        <v>3679</v>
      </c>
      <c r="C2874" s="2" t="s">
        <v>308</v>
      </c>
      <c r="D2874" s="2" t="s">
        <v>71</v>
      </c>
      <c r="E2874" s="2" t="s">
        <v>4646</v>
      </c>
      <c r="F2874" s="2">
        <v>54</v>
      </c>
      <c r="G2874" s="2">
        <v>52.43</v>
      </c>
      <c r="H2874" s="2">
        <v>1.57</v>
      </c>
      <c r="I2874" s="1">
        <v>2.9</v>
      </c>
      <c r="J2874" s="26">
        <v>45882</v>
      </c>
      <c r="K2874" s="22">
        <v>52430</v>
      </c>
      <c r="L2874" s="18">
        <v>56.07</v>
      </c>
      <c r="M2874" s="22">
        <v>35100</v>
      </c>
      <c r="N2874" s="22">
        <v>17330</v>
      </c>
      <c r="O2874" s="18">
        <v>18.53</v>
      </c>
      <c r="P2874" s="52">
        <f>IF(COUNTIF(TblPurchases[BatchID],TblOutcomes[[#This Row],[BatchID]])&lt;&gt;1,"n.a.",TblOutcomes[[#This Row],[Qty Wasted]]*SUMIFS(TblPurchases[Unit Cost (CLP)],TblPurchases[BatchID],TblOutcomes[[#This Row],[BatchID]]))</f>
        <v>1020.5</v>
      </c>
      <c r="Q2874" s="51">
        <f>IF(COUNTIF(TblPurchases[BatchID],TblOutcomes[[#This Row],[BatchID]])&lt;&gt;1,"n.a.",SUMIFS(TblPurchases[Purchase Date],TblPurchases[BatchID],TblOutcomes[[#This Row],[BatchID]]))</f>
        <v>45582</v>
      </c>
    </row>
    <row r="2875" spans="2:17" x14ac:dyDescent="0.25">
      <c r="B2875" s="2" t="s">
        <v>3680</v>
      </c>
      <c r="C2875" s="2" t="s">
        <v>308</v>
      </c>
      <c r="D2875" s="2" t="s">
        <v>71</v>
      </c>
      <c r="E2875" s="2" t="s">
        <v>4646</v>
      </c>
      <c r="F2875" s="2">
        <v>57</v>
      </c>
      <c r="G2875" s="2">
        <v>55.86</v>
      </c>
      <c r="H2875" s="2">
        <v>1.1399999999999999</v>
      </c>
      <c r="I2875" s="1">
        <v>2</v>
      </c>
      <c r="J2875" s="26">
        <v>45914</v>
      </c>
      <c r="K2875" s="22">
        <v>55860</v>
      </c>
      <c r="L2875" s="18">
        <v>59.74</v>
      </c>
      <c r="M2875" s="22">
        <v>37050</v>
      </c>
      <c r="N2875" s="22">
        <v>18810</v>
      </c>
      <c r="O2875" s="18">
        <v>20.12</v>
      </c>
      <c r="P2875" s="52">
        <f>IF(COUNTIF(TblPurchases[BatchID],TblOutcomes[[#This Row],[BatchID]])&lt;&gt;1,"n.a.",TblOutcomes[[#This Row],[Qty Wasted]]*SUMIFS(TblPurchases[Unit Cost (CLP)],TblPurchases[BatchID],TblOutcomes[[#This Row],[BatchID]]))</f>
        <v>740.99999999999989</v>
      </c>
      <c r="Q2875" s="51">
        <f>IF(COUNTIF(TblPurchases[BatchID],TblOutcomes[[#This Row],[BatchID]])&lt;&gt;1,"n.a.",SUMIFS(TblPurchases[Purchase Date],TblPurchases[BatchID],TblOutcomes[[#This Row],[BatchID]]))</f>
        <v>45614</v>
      </c>
    </row>
    <row r="2876" spans="2:17" x14ac:dyDescent="0.25">
      <c r="B2876" s="2" t="s">
        <v>3681</v>
      </c>
      <c r="C2876" s="2" t="s">
        <v>308</v>
      </c>
      <c r="D2876" s="2" t="s">
        <v>71</v>
      </c>
      <c r="E2876" s="2" t="s">
        <v>4647</v>
      </c>
      <c r="F2876" s="2">
        <v>65</v>
      </c>
      <c r="G2876" s="2">
        <v>65</v>
      </c>
      <c r="H2876" s="2">
        <v>0</v>
      </c>
      <c r="I2876" s="1">
        <v>0</v>
      </c>
      <c r="J2876" s="26">
        <v>45681</v>
      </c>
      <c r="K2876" s="22">
        <v>65000</v>
      </c>
      <c r="L2876" s="18">
        <v>69.52</v>
      </c>
      <c r="M2876" s="22">
        <v>42250</v>
      </c>
      <c r="N2876" s="22">
        <v>22750</v>
      </c>
      <c r="O2876" s="18">
        <v>24.33</v>
      </c>
      <c r="P2876" s="52">
        <f>IF(COUNTIF(TblPurchases[BatchID],TblOutcomes[[#This Row],[BatchID]])&lt;&gt;1,"n.a.",TblOutcomes[[#This Row],[Qty Wasted]]*SUMIFS(TblPurchases[Unit Cost (CLP)],TblPurchases[BatchID],TblOutcomes[[#This Row],[BatchID]]))</f>
        <v>0</v>
      </c>
      <c r="Q2876" s="51">
        <f>IF(COUNTIF(TblPurchases[BatchID],TblOutcomes[[#This Row],[BatchID]])&lt;&gt;1,"n.a.",SUMIFS(TblPurchases[Purchase Date],TblPurchases[BatchID],TblOutcomes[[#This Row],[BatchID]]))</f>
        <v>45651</v>
      </c>
    </row>
    <row r="2877" spans="2:17" x14ac:dyDescent="0.25">
      <c r="B2877" s="2" t="s">
        <v>3682</v>
      </c>
      <c r="C2877" s="2" t="s">
        <v>308</v>
      </c>
      <c r="D2877" s="2" t="s">
        <v>71</v>
      </c>
      <c r="E2877" s="2" t="s">
        <v>4647</v>
      </c>
      <c r="F2877" s="2">
        <v>50</v>
      </c>
      <c r="G2877" s="2">
        <v>50</v>
      </c>
      <c r="H2877" s="2">
        <v>0</v>
      </c>
      <c r="I2877" s="1">
        <v>0</v>
      </c>
      <c r="J2877" s="26">
        <v>45720</v>
      </c>
      <c r="K2877" s="22">
        <v>50000</v>
      </c>
      <c r="L2877" s="18">
        <v>53.48</v>
      </c>
      <c r="M2877" s="22">
        <v>37500</v>
      </c>
      <c r="N2877" s="22">
        <v>12500</v>
      </c>
      <c r="O2877" s="18">
        <v>13.37</v>
      </c>
      <c r="P2877" s="52">
        <f>IF(COUNTIF(TblPurchases[BatchID],TblOutcomes[[#This Row],[BatchID]])&lt;&gt;1,"n.a.",TblOutcomes[[#This Row],[Qty Wasted]]*SUMIFS(TblPurchases[Unit Cost (CLP)],TblPurchases[BatchID],TblOutcomes[[#This Row],[BatchID]]))</f>
        <v>0</v>
      </c>
      <c r="Q2877" s="51">
        <f>IF(COUNTIF(TblPurchases[BatchID],TblOutcomes[[#This Row],[BatchID]])&lt;&gt;1,"n.a.",SUMIFS(TblPurchases[Purchase Date],TblPurchases[BatchID],TblOutcomes[[#This Row],[BatchID]]))</f>
        <v>45686</v>
      </c>
    </row>
    <row r="2878" spans="2:17" x14ac:dyDescent="0.25">
      <c r="B2878" s="2" t="s">
        <v>3683</v>
      </c>
      <c r="C2878" s="2" t="s">
        <v>308</v>
      </c>
      <c r="D2878" s="2" t="s">
        <v>71</v>
      </c>
      <c r="E2878" s="2" t="s">
        <v>4646</v>
      </c>
      <c r="F2878" s="2">
        <v>48</v>
      </c>
      <c r="G2878" s="2">
        <v>47.66</v>
      </c>
      <c r="H2878" s="2">
        <v>0.34</v>
      </c>
      <c r="I2878" s="1">
        <v>0.7</v>
      </c>
      <c r="J2878" s="26">
        <v>46018</v>
      </c>
      <c r="K2878" s="22">
        <v>47660</v>
      </c>
      <c r="L2878" s="18">
        <v>50.97</v>
      </c>
      <c r="M2878" s="22">
        <v>31200</v>
      </c>
      <c r="N2878" s="22">
        <v>16460</v>
      </c>
      <c r="O2878" s="18">
        <v>17.600000000000001</v>
      </c>
      <c r="P2878" s="52">
        <f>IF(COUNTIF(TblPurchases[BatchID],TblOutcomes[[#This Row],[BatchID]])&lt;&gt;1,"n.a.",TblOutcomes[[#This Row],[Qty Wasted]]*SUMIFS(TblPurchases[Unit Cost (CLP)],TblPurchases[BatchID],TblOutcomes[[#This Row],[BatchID]]))</f>
        <v>221.00000000000003</v>
      </c>
      <c r="Q2878" s="51">
        <f>IF(COUNTIF(TblPurchases[BatchID],TblOutcomes[[#This Row],[BatchID]])&lt;&gt;1,"n.a.",SUMIFS(TblPurchases[Purchase Date],TblPurchases[BatchID],TblOutcomes[[#This Row],[BatchID]]))</f>
        <v>45718</v>
      </c>
    </row>
    <row r="2879" spans="2:17" x14ac:dyDescent="0.25">
      <c r="B2879" s="2" t="s">
        <v>3684</v>
      </c>
      <c r="C2879" s="2" t="s">
        <v>308</v>
      </c>
      <c r="D2879" s="2" t="s">
        <v>71</v>
      </c>
      <c r="E2879" s="2" t="s">
        <v>4647</v>
      </c>
      <c r="F2879" s="2">
        <v>59</v>
      </c>
      <c r="G2879" s="2">
        <v>59</v>
      </c>
      <c r="H2879" s="2">
        <v>0</v>
      </c>
      <c r="I2879" s="1">
        <v>0</v>
      </c>
      <c r="J2879" s="26">
        <v>45773</v>
      </c>
      <c r="K2879" s="22">
        <v>59000</v>
      </c>
      <c r="L2879" s="18">
        <v>63.1</v>
      </c>
      <c r="M2879" s="22">
        <v>38350</v>
      </c>
      <c r="N2879" s="22">
        <v>20650</v>
      </c>
      <c r="O2879" s="18">
        <v>22.09</v>
      </c>
      <c r="P2879" s="52">
        <f>IF(COUNTIF(TblPurchases[BatchID],TblOutcomes[[#This Row],[BatchID]])&lt;&gt;1,"n.a.",TblOutcomes[[#This Row],[Qty Wasted]]*SUMIFS(TblPurchases[Unit Cost (CLP)],TblPurchases[BatchID],TblOutcomes[[#This Row],[BatchID]]))</f>
        <v>0</v>
      </c>
      <c r="Q2879" s="51">
        <f>IF(COUNTIF(TblPurchases[BatchID],TblOutcomes[[#This Row],[BatchID]])&lt;&gt;1,"n.a.",SUMIFS(TblPurchases[Purchase Date],TblPurchases[BatchID],TblOutcomes[[#This Row],[BatchID]]))</f>
        <v>45753</v>
      </c>
    </row>
    <row r="2880" spans="2:17" x14ac:dyDescent="0.25">
      <c r="B2880" s="2" t="s">
        <v>3685</v>
      </c>
      <c r="C2880" s="2" t="s">
        <v>308</v>
      </c>
      <c r="D2880" s="2" t="s">
        <v>71</v>
      </c>
      <c r="E2880" s="2" t="s">
        <v>4647</v>
      </c>
      <c r="F2880" s="2">
        <v>54</v>
      </c>
      <c r="G2880" s="2">
        <v>54</v>
      </c>
      <c r="H2880" s="2">
        <v>0</v>
      </c>
      <c r="I2880" s="1">
        <v>0</v>
      </c>
      <c r="J2880" s="26">
        <v>45797</v>
      </c>
      <c r="K2880" s="22">
        <v>54000</v>
      </c>
      <c r="L2880" s="18">
        <v>57.75</v>
      </c>
      <c r="M2880" s="22">
        <v>35100</v>
      </c>
      <c r="N2880" s="22">
        <v>18900</v>
      </c>
      <c r="O2880" s="18">
        <v>20.21</v>
      </c>
      <c r="P2880" s="52">
        <f>IF(COUNTIF(TblPurchases[BatchID],TblOutcomes[[#This Row],[BatchID]])&lt;&gt;1,"n.a.",TblOutcomes[[#This Row],[Qty Wasted]]*SUMIFS(TblPurchases[Unit Cost (CLP)],TblPurchases[BatchID],TblOutcomes[[#This Row],[BatchID]]))</f>
        <v>0</v>
      </c>
      <c r="Q2880" s="51">
        <f>IF(COUNTIF(TblPurchases[BatchID],TblOutcomes[[#This Row],[BatchID]])&lt;&gt;1,"n.a.",SUMIFS(TblPurchases[Purchase Date],TblPurchases[BatchID],TblOutcomes[[#This Row],[BatchID]]))</f>
        <v>45778</v>
      </c>
    </row>
    <row r="2881" spans="2:17" x14ac:dyDescent="0.25">
      <c r="B2881" s="2" t="s">
        <v>3686</v>
      </c>
      <c r="C2881" s="2" t="s">
        <v>308</v>
      </c>
      <c r="D2881" s="2" t="s">
        <v>71</v>
      </c>
      <c r="E2881" s="2" t="s">
        <v>4647</v>
      </c>
      <c r="F2881" s="2">
        <v>55</v>
      </c>
      <c r="G2881" s="2">
        <v>55</v>
      </c>
      <c r="H2881" s="2">
        <v>0</v>
      </c>
      <c r="I2881" s="1">
        <v>0</v>
      </c>
      <c r="J2881" s="26">
        <v>45843</v>
      </c>
      <c r="K2881" s="22">
        <v>55000</v>
      </c>
      <c r="L2881" s="18">
        <v>58.82</v>
      </c>
      <c r="M2881" s="22">
        <v>35750</v>
      </c>
      <c r="N2881" s="22">
        <v>19250</v>
      </c>
      <c r="O2881" s="18">
        <v>20.59</v>
      </c>
      <c r="P2881" s="52">
        <f>IF(COUNTIF(TblPurchases[BatchID],TblOutcomes[[#This Row],[BatchID]])&lt;&gt;1,"n.a.",TblOutcomes[[#This Row],[Qty Wasted]]*SUMIFS(TblPurchases[Unit Cost (CLP)],TblPurchases[BatchID],TblOutcomes[[#This Row],[BatchID]]))</f>
        <v>0</v>
      </c>
      <c r="Q2881" s="51">
        <f>IF(COUNTIF(TblPurchases[BatchID],TblOutcomes[[#This Row],[BatchID]])&lt;&gt;1,"n.a.",SUMIFS(TblPurchases[Purchase Date],TblPurchases[BatchID],TblOutcomes[[#This Row],[BatchID]]))</f>
        <v>45810</v>
      </c>
    </row>
    <row r="2882" spans="2:17" x14ac:dyDescent="0.25">
      <c r="B2882" s="2" t="s">
        <v>3687</v>
      </c>
      <c r="C2882" s="2" t="s">
        <v>310</v>
      </c>
      <c r="D2882" s="2" t="s">
        <v>71</v>
      </c>
      <c r="E2882" s="2" t="s">
        <v>4647</v>
      </c>
      <c r="F2882" s="2">
        <v>56</v>
      </c>
      <c r="G2882" s="2">
        <v>56</v>
      </c>
      <c r="H2882" s="2">
        <v>0</v>
      </c>
      <c r="I2882" s="1">
        <v>0</v>
      </c>
      <c r="J2882" s="26">
        <v>45142</v>
      </c>
      <c r="K2882" s="22">
        <v>28000</v>
      </c>
      <c r="L2882" s="18">
        <v>29.95</v>
      </c>
      <c r="M2882" s="22">
        <v>19600</v>
      </c>
      <c r="N2882" s="22">
        <v>8400</v>
      </c>
      <c r="O2882" s="18">
        <v>8.98</v>
      </c>
      <c r="P2882" s="52">
        <f>IF(COUNTIF(TblPurchases[BatchID],TblOutcomes[[#This Row],[BatchID]])&lt;&gt;1,"n.a.",TblOutcomes[[#This Row],[Qty Wasted]]*SUMIFS(TblPurchases[Unit Cost (CLP)],TblPurchases[BatchID],TblOutcomes[[#This Row],[BatchID]]))</f>
        <v>0</v>
      </c>
      <c r="Q2882" s="51">
        <f>IF(COUNTIF(TblPurchases[BatchID],TblOutcomes[[#This Row],[BatchID]])&lt;&gt;1,"n.a.",SUMIFS(TblPurchases[Purchase Date],TblPurchases[BatchID],TblOutcomes[[#This Row],[BatchID]]))</f>
        <v>45119</v>
      </c>
    </row>
    <row r="2883" spans="2:17" x14ac:dyDescent="0.25">
      <c r="B2883" s="2" t="s">
        <v>3688</v>
      </c>
      <c r="C2883" s="2" t="s">
        <v>310</v>
      </c>
      <c r="D2883" s="2" t="s">
        <v>71</v>
      </c>
      <c r="E2883" s="2" t="s">
        <v>4647</v>
      </c>
      <c r="F2883" s="2">
        <v>51</v>
      </c>
      <c r="G2883" s="2">
        <v>51</v>
      </c>
      <c r="H2883" s="2">
        <v>0</v>
      </c>
      <c r="I2883" s="1">
        <v>0</v>
      </c>
      <c r="J2883" s="26">
        <v>45199</v>
      </c>
      <c r="K2883" s="22">
        <v>25500</v>
      </c>
      <c r="L2883" s="18">
        <v>27.27</v>
      </c>
      <c r="M2883" s="22">
        <v>17850</v>
      </c>
      <c r="N2883" s="22">
        <v>7650</v>
      </c>
      <c r="O2883" s="18">
        <v>8.18</v>
      </c>
      <c r="P2883" s="52">
        <f>IF(COUNTIF(TblPurchases[BatchID],TblOutcomes[[#This Row],[BatchID]])&lt;&gt;1,"n.a.",TblOutcomes[[#This Row],[Qty Wasted]]*SUMIFS(TblPurchases[Unit Cost (CLP)],TblPurchases[BatchID],TblOutcomes[[#This Row],[BatchID]]))</f>
        <v>0</v>
      </c>
      <c r="Q2883" s="51">
        <f>IF(COUNTIF(TblPurchases[BatchID],TblOutcomes[[#This Row],[BatchID]])&lt;&gt;1,"n.a.",SUMIFS(TblPurchases[Purchase Date],TblPurchases[BatchID],TblOutcomes[[#This Row],[BatchID]]))</f>
        <v>45160</v>
      </c>
    </row>
    <row r="2884" spans="2:17" x14ac:dyDescent="0.25">
      <c r="B2884" s="2" t="s">
        <v>3689</v>
      </c>
      <c r="C2884" s="2" t="s">
        <v>310</v>
      </c>
      <c r="D2884" s="2" t="s">
        <v>71</v>
      </c>
      <c r="E2884" s="2" t="s">
        <v>4647</v>
      </c>
      <c r="F2884" s="2">
        <v>60</v>
      </c>
      <c r="G2884" s="2">
        <v>60</v>
      </c>
      <c r="H2884" s="2">
        <v>0</v>
      </c>
      <c r="I2884" s="1">
        <v>0</v>
      </c>
      <c r="J2884" s="26">
        <v>45229</v>
      </c>
      <c r="K2884" s="22">
        <v>30000</v>
      </c>
      <c r="L2884" s="18">
        <v>32.090000000000003</v>
      </c>
      <c r="M2884" s="22">
        <v>21000</v>
      </c>
      <c r="N2884" s="22">
        <v>9000</v>
      </c>
      <c r="O2884" s="18">
        <v>9.6300000000000008</v>
      </c>
      <c r="P2884" s="52">
        <f>IF(COUNTIF(TblPurchases[BatchID],TblOutcomes[[#This Row],[BatchID]])&lt;&gt;1,"n.a.",TblOutcomes[[#This Row],[Qty Wasted]]*SUMIFS(TblPurchases[Unit Cost (CLP)],TblPurchases[BatchID],TblOutcomes[[#This Row],[BatchID]]))</f>
        <v>0</v>
      </c>
      <c r="Q2884" s="51">
        <f>IF(COUNTIF(TblPurchases[BatchID],TblOutcomes[[#This Row],[BatchID]])&lt;&gt;1,"n.a.",SUMIFS(TblPurchases[Purchase Date],TblPurchases[BatchID],TblOutcomes[[#This Row],[BatchID]]))</f>
        <v>45197</v>
      </c>
    </row>
    <row r="2885" spans="2:17" x14ac:dyDescent="0.25">
      <c r="B2885" s="2" t="s">
        <v>3690</v>
      </c>
      <c r="C2885" s="2" t="s">
        <v>310</v>
      </c>
      <c r="D2885" s="2" t="s">
        <v>71</v>
      </c>
      <c r="E2885" s="2" t="s">
        <v>4647</v>
      </c>
      <c r="F2885" s="2">
        <v>46</v>
      </c>
      <c r="G2885" s="2">
        <v>46</v>
      </c>
      <c r="H2885" s="2">
        <v>0</v>
      </c>
      <c r="I2885" s="1">
        <v>0</v>
      </c>
      <c r="J2885" s="26">
        <v>45281</v>
      </c>
      <c r="K2885" s="22">
        <v>23000</v>
      </c>
      <c r="L2885" s="18">
        <v>24.6</v>
      </c>
      <c r="M2885" s="22">
        <v>16100</v>
      </c>
      <c r="N2885" s="22">
        <v>6900</v>
      </c>
      <c r="O2885" s="18">
        <v>7.38</v>
      </c>
      <c r="P2885" s="52">
        <f>IF(COUNTIF(TblPurchases[BatchID],TblOutcomes[[#This Row],[BatchID]])&lt;&gt;1,"n.a.",TblOutcomes[[#This Row],[Qty Wasted]]*SUMIFS(TblPurchases[Unit Cost (CLP)],TblPurchases[BatchID],TblOutcomes[[#This Row],[BatchID]]))</f>
        <v>0</v>
      </c>
      <c r="Q2885" s="51">
        <f>IF(COUNTIF(TblPurchases[BatchID],TblOutcomes[[#This Row],[BatchID]])&lt;&gt;1,"n.a.",SUMIFS(TblPurchases[Purchase Date],TblPurchases[BatchID],TblOutcomes[[#This Row],[BatchID]]))</f>
        <v>45235</v>
      </c>
    </row>
    <row r="2886" spans="2:17" x14ac:dyDescent="0.25">
      <c r="B2886" s="2" t="s">
        <v>3691</v>
      </c>
      <c r="C2886" s="2" t="s">
        <v>310</v>
      </c>
      <c r="D2886" s="2" t="s">
        <v>71</v>
      </c>
      <c r="E2886" s="2" t="s">
        <v>4646</v>
      </c>
      <c r="F2886" s="2">
        <v>59</v>
      </c>
      <c r="G2886" s="2">
        <v>57.17</v>
      </c>
      <c r="H2886" s="2">
        <v>1.83</v>
      </c>
      <c r="I2886" s="1">
        <v>3.1</v>
      </c>
      <c r="J2886" s="26">
        <v>45565</v>
      </c>
      <c r="K2886" s="22">
        <v>28585</v>
      </c>
      <c r="L2886" s="18">
        <v>30.57</v>
      </c>
      <c r="M2886" s="22">
        <v>20650</v>
      </c>
      <c r="N2886" s="22">
        <v>7935</v>
      </c>
      <c r="O2886" s="18">
        <v>8.49</v>
      </c>
      <c r="P2886" s="52">
        <f>IF(COUNTIF(TblPurchases[BatchID],TblOutcomes[[#This Row],[BatchID]])&lt;&gt;1,"n.a.",TblOutcomes[[#This Row],[Qty Wasted]]*SUMIFS(TblPurchases[Unit Cost (CLP)],TblPurchases[BatchID],TblOutcomes[[#This Row],[BatchID]]))</f>
        <v>640.5</v>
      </c>
      <c r="Q2886" s="51">
        <f>IF(COUNTIF(TblPurchases[BatchID],TblOutcomes[[#This Row],[BatchID]])&lt;&gt;1,"n.a.",SUMIFS(TblPurchases[Purchase Date],TblPurchases[BatchID],TblOutcomes[[#This Row],[BatchID]]))</f>
        <v>45265</v>
      </c>
    </row>
    <row r="2887" spans="2:17" x14ac:dyDescent="0.25">
      <c r="B2887" s="2" t="s">
        <v>3692</v>
      </c>
      <c r="C2887" s="2" t="s">
        <v>310</v>
      </c>
      <c r="D2887" s="2" t="s">
        <v>71</v>
      </c>
      <c r="E2887" s="2" t="s">
        <v>4647</v>
      </c>
      <c r="F2887" s="2">
        <v>52</v>
      </c>
      <c r="G2887" s="2">
        <v>52</v>
      </c>
      <c r="H2887" s="2">
        <v>0</v>
      </c>
      <c r="I2887" s="1">
        <v>0</v>
      </c>
      <c r="J2887" s="26">
        <v>45320</v>
      </c>
      <c r="K2887" s="22">
        <v>26000</v>
      </c>
      <c r="L2887" s="18">
        <v>27.81</v>
      </c>
      <c r="M2887" s="22">
        <v>18200</v>
      </c>
      <c r="N2887" s="22">
        <v>7800</v>
      </c>
      <c r="O2887" s="18">
        <v>8.34</v>
      </c>
      <c r="P2887" s="52">
        <f>IF(COUNTIF(TblPurchases[BatchID],TblOutcomes[[#This Row],[BatchID]])&lt;&gt;1,"n.a.",TblOutcomes[[#This Row],[Qty Wasted]]*SUMIFS(TblPurchases[Unit Cost (CLP)],TblPurchases[BatchID],TblOutcomes[[#This Row],[BatchID]]))</f>
        <v>0</v>
      </c>
      <c r="Q2887" s="51">
        <f>IF(COUNTIF(TblPurchases[BatchID],TblOutcomes[[#This Row],[BatchID]])&lt;&gt;1,"n.a.",SUMIFS(TblPurchases[Purchase Date],TblPurchases[BatchID],TblOutcomes[[#This Row],[BatchID]]))</f>
        <v>45292</v>
      </c>
    </row>
    <row r="2888" spans="2:17" x14ac:dyDescent="0.25">
      <c r="B2888" s="2" t="s">
        <v>3693</v>
      </c>
      <c r="C2888" s="2" t="s">
        <v>310</v>
      </c>
      <c r="D2888" s="2" t="s">
        <v>71</v>
      </c>
      <c r="E2888" s="2" t="s">
        <v>4646</v>
      </c>
      <c r="F2888" s="2">
        <v>44</v>
      </c>
      <c r="G2888" s="2">
        <v>42.42</v>
      </c>
      <c r="H2888" s="2">
        <v>1.58</v>
      </c>
      <c r="I2888" s="1">
        <v>3.6</v>
      </c>
      <c r="J2888" s="26">
        <v>45628</v>
      </c>
      <c r="K2888" s="22">
        <v>21210</v>
      </c>
      <c r="L2888" s="18">
        <v>22.68</v>
      </c>
      <c r="M2888" s="22">
        <v>15400</v>
      </c>
      <c r="N2888" s="22">
        <v>5810</v>
      </c>
      <c r="O2888" s="18">
        <v>6.21</v>
      </c>
      <c r="P2888" s="52">
        <f>IF(COUNTIF(TblPurchases[BatchID],TblOutcomes[[#This Row],[BatchID]])&lt;&gt;1,"n.a.",TblOutcomes[[#This Row],[Qty Wasted]]*SUMIFS(TblPurchases[Unit Cost (CLP)],TblPurchases[BatchID],TblOutcomes[[#This Row],[BatchID]]))</f>
        <v>553</v>
      </c>
      <c r="Q2888" s="51">
        <f>IF(COUNTIF(TblPurchases[BatchID],TblOutcomes[[#This Row],[BatchID]])&lt;&gt;1,"n.a.",SUMIFS(TblPurchases[Purchase Date],TblPurchases[BatchID],TblOutcomes[[#This Row],[BatchID]]))</f>
        <v>45328</v>
      </c>
    </row>
    <row r="2889" spans="2:17" x14ac:dyDescent="0.25">
      <c r="B2889" s="2" t="s">
        <v>3694</v>
      </c>
      <c r="C2889" s="2" t="s">
        <v>310</v>
      </c>
      <c r="D2889" s="2" t="s">
        <v>71</v>
      </c>
      <c r="E2889" s="2" t="s">
        <v>4647</v>
      </c>
      <c r="F2889" s="2">
        <v>56</v>
      </c>
      <c r="G2889" s="2">
        <v>56</v>
      </c>
      <c r="H2889" s="2">
        <v>0</v>
      </c>
      <c r="I2889" s="1">
        <v>0</v>
      </c>
      <c r="J2889" s="26">
        <v>45401</v>
      </c>
      <c r="K2889" s="22">
        <v>28000</v>
      </c>
      <c r="L2889" s="18">
        <v>29.95</v>
      </c>
      <c r="M2889" s="22">
        <v>19600</v>
      </c>
      <c r="N2889" s="22">
        <v>8400</v>
      </c>
      <c r="O2889" s="18">
        <v>8.98</v>
      </c>
      <c r="P2889" s="52">
        <f>IF(COUNTIF(TblPurchases[BatchID],TblOutcomes[[#This Row],[BatchID]])&lt;&gt;1,"n.a.",TblOutcomes[[#This Row],[Qty Wasted]]*SUMIFS(TblPurchases[Unit Cost (CLP)],TblPurchases[BatchID],TblOutcomes[[#This Row],[BatchID]]))</f>
        <v>0</v>
      </c>
      <c r="Q2889" s="51">
        <f>IF(COUNTIF(TblPurchases[BatchID],TblOutcomes[[#This Row],[BatchID]])&lt;&gt;1,"n.a.",SUMIFS(TblPurchases[Purchase Date],TblPurchases[BatchID],TblOutcomes[[#This Row],[BatchID]]))</f>
        <v>45364</v>
      </c>
    </row>
    <row r="2890" spans="2:17" x14ac:dyDescent="0.25">
      <c r="B2890" s="2" t="s">
        <v>3695</v>
      </c>
      <c r="C2890" s="2" t="s">
        <v>310</v>
      </c>
      <c r="D2890" s="2" t="s">
        <v>71</v>
      </c>
      <c r="E2890" s="2" t="s">
        <v>4647</v>
      </c>
      <c r="F2890" s="2">
        <v>49</v>
      </c>
      <c r="G2890" s="2">
        <v>49</v>
      </c>
      <c r="H2890" s="2">
        <v>0</v>
      </c>
      <c r="I2890" s="1">
        <v>0</v>
      </c>
      <c r="J2890" s="26">
        <v>45416</v>
      </c>
      <c r="K2890" s="22">
        <v>24500</v>
      </c>
      <c r="L2890" s="18">
        <v>26.2</v>
      </c>
      <c r="M2890" s="22">
        <v>17150</v>
      </c>
      <c r="N2890" s="22">
        <v>7350</v>
      </c>
      <c r="O2890" s="18">
        <v>7.86</v>
      </c>
      <c r="P2890" s="52">
        <f>IF(COUNTIF(TblPurchases[BatchID],TblOutcomes[[#This Row],[BatchID]])&lt;&gt;1,"n.a.",TblOutcomes[[#This Row],[Qty Wasted]]*SUMIFS(TblPurchases[Unit Cost (CLP)],TblPurchases[BatchID],TblOutcomes[[#This Row],[BatchID]]))</f>
        <v>0</v>
      </c>
      <c r="Q2890" s="51">
        <f>IF(COUNTIF(TblPurchases[BatchID],TblOutcomes[[#This Row],[BatchID]])&lt;&gt;1,"n.a.",SUMIFS(TblPurchases[Purchase Date],TblPurchases[BatchID],TblOutcomes[[#This Row],[BatchID]]))</f>
        <v>45403</v>
      </c>
    </row>
    <row r="2891" spans="2:17" x14ac:dyDescent="0.25">
      <c r="B2891" s="2" t="s">
        <v>3696</v>
      </c>
      <c r="C2891" s="2" t="s">
        <v>310</v>
      </c>
      <c r="D2891" s="2" t="s">
        <v>71</v>
      </c>
      <c r="E2891" s="2" t="s">
        <v>4647</v>
      </c>
      <c r="F2891" s="2">
        <v>44</v>
      </c>
      <c r="G2891" s="2">
        <v>44</v>
      </c>
      <c r="H2891" s="2">
        <v>0</v>
      </c>
      <c r="I2891" s="1">
        <v>0</v>
      </c>
      <c r="J2891" s="26">
        <v>45468</v>
      </c>
      <c r="K2891" s="22">
        <v>22000</v>
      </c>
      <c r="L2891" s="18">
        <v>23.53</v>
      </c>
      <c r="M2891" s="22">
        <v>15400</v>
      </c>
      <c r="N2891" s="22">
        <v>6600</v>
      </c>
      <c r="O2891" s="18">
        <v>7.06</v>
      </c>
      <c r="P2891" s="52">
        <f>IF(COUNTIF(TblPurchases[BatchID],TblOutcomes[[#This Row],[BatchID]])&lt;&gt;1,"n.a.",TblOutcomes[[#This Row],[Qty Wasted]]*SUMIFS(TblPurchases[Unit Cost (CLP)],TblPurchases[BatchID],TblOutcomes[[#This Row],[BatchID]]))</f>
        <v>0</v>
      </c>
      <c r="Q2891" s="51">
        <f>IF(COUNTIF(TblPurchases[BatchID],TblOutcomes[[#This Row],[BatchID]])&lt;&gt;1,"n.a.",SUMIFS(TblPurchases[Purchase Date],TblPurchases[BatchID],TblOutcomes[[#This Row],[BatchID]]))</f>
        <v>45439</v>
      </c>
    </row>
    <row r="2892" spans="2:17" x14ac:dyDescent="0.25">
      <c r="B2892" s="2" t="s">
        <v>3697</v>
      </c>
      <c r="C2892" s="2" t="s">
        <v>310</v>
      </c>
      <c r="D2892" s="2" t="s">
        <v>71</v>
      </c>
      <c r="E2892" s="2" t="s">
        <v>4647</v>
      </c>
      <c r="F2892" s="2">
        <v>46</v>
      </c>
      <c r="G2892" s="2">
        <v>46</v>
      </c>
      <c r="H2892" s="2">
        <v>0</v>
      </c>
      <c r="I2892" s="1">
        <v>0</v>
      </c>
      <c r="J2892" s="26">
        <v>45496</v>
      </c>
      <c r="K2892" s="22">
        <v>23000</v>
      </c>
      <c r="L2892" s="18">
        <v>24.6</v>
      </c>
      <c r="M2892" s="22">
        <v>16100</v>
      </c>
      <c r="N2892" s="22">
        <v>6900</v>
      </c>
      <c r="O2892" s="18">
        <v>7.38</v>
      </c>
      <c r="P2892" s="52">
        <f>IF(COUNTIF(TblPurchases[BatchID],TblOutcomes[[#This Row],[BatchID]])&lt;&gt;1,"n.a.",TblOutcomes[[#This Row],[Qty Wasted]]*SUMIFS(TblPurchases[Unit Cost (CLP)],TblPurchases[BatchID],TblOutcomes[[#This Row],[BatchID]]))</f>
        <v>0</v>
      </c>
      <c r="Q2892" s="51">
        <f>IF(COUNTIF(TblPurchases[BatchID],TblOutcomes[[#This Row],[BatchID]])&lt;&gt;1,"n.a.",SUMIFS(TblPurchases[Purchase Date],TblPurchases[BatchID],TblOutcomes[[#This Row],[BatchID]]))</f>
        <v>45468</v>
      </c>
    </row>
    <row r="2893" spans="2:17" x14ac:dyDescent="0.25">
      <c r="B2893" s="2" t="s">
        <v>3698</v>
      </c>
      <c r="C2893" s="2" t="s">
        <v>310</v>
      </c>
      <c r="D2893" s="2" t="s">
        <v>71</v>
      </c>
      <c r="E2893" s="2" t="s">
        <v>4647</v>
      </c>
      <c r="F2893" s="2">
        <v>46</v>
      </c>
      <c r="G2893" s="2">
        <v>46</v>
      </c>
      <c r="H2893" s="2">
        <v>0</v>
      </c>
      <c r="I2893" s="1">
        <v>0</v>
      </c>
      <c r="J2893" s="26">
        <v>45533</v>
      </c>
      <c r="K2893" s="22">
        <v>23000</v>
      </c>
      <c r="L2893" s="18">
        <v>24.6</v>
      </c>
      <c r="M2893" s="22">
        <v>16100</v>
      </c>
      <c r="N2893" s="22">
        <v>6900</v>
      </c>
      <c r="O2893" s="18">
        <v>7.38</v>
      </c>
      <c r="P2893" s="52">
        <f>IF(COUNTIF(TblPurchases[BatchID],TblOutcomes[[#This Row],[BatchID]])&lt;&gt;1,"n.a.",TblOutcomes[[#This Row],[Qty Wasted]]*SUMIFS(TblPurchases[Unit Cost (CLP)],TblPurchases[BatchID],TblOutcomes[[#This Row],[BatchID]]))</f>
        <v>0</v>
      </c>
      <c r="Q2893" s="51">
        <f>IF(COUNTIF(TblPurchases[BatchID],TblOutcomes[[#This Row],[BatchID]])&lt;&gt;1,"n.a.",SUMIFS(TblPurchases[Purchase Date],TblPurchases[BatchID],TblOutcomes[[#This Row],[BatchID]]))</f>
        <v>45500</v>
      </c>
    </row>
    <row r="2894" spans="2:17" x14ac:dyDescent="0.25">
      <c r="B2894" s="2" t="s">
        <v>3699</v>
      </c>
      <c r="C2894" s="2" t="s">
        <v>310</v>
      </c>
      <c r="D2894" s="2" t="s">
        <v>71</v>
      </c>
      <c r="E2894" s="2" t="s">
        <v>4647</v>
      </c>
      <c r="F2894" s="2">
        <v>50</v>
      </c>
      <c r="G2894" s="2">
        <v>50</v>
      </c>
      <c r="H2894" s="2">
        <v>0</v>
      </c>
      <c r="I2894" s="1">
        <v>0</v>
      </c>
      <c r="J2894" s="26">
        <v>45554</v>
      </c>
      <c r="K2894" s="22">
        <v>25000</v>
      </c>
      <c r="L2894" s="18">
        <v>26.74</v>
      </c>
      <c r="M2894" s="22">
        <v>17500</v>
      </c>
      <c r="N2894" s="22">
        <v>7500</v>
      </c>
      <c r="O2894" s="18">
        <v>8.02</v>
      </c>
      <c r="P2894" s="52">
        <f>IF(COUNTIF(TblPurchases[BatchID],TblOutcomes[[#This Row],[BatchID]])&lt;&gt;1,"n.a.",TblOutcomes[[#This Row],[Qty Wasted]]*SUMIFS(TblPurchases[Unit Cost (CLP)],TblPurchases[BatchID],TblOutcomes[[#This Row],[BatchID]]))</f>
        <v>0</v>
      </c>
      <c r="Q2894" s="51">
        <f>IF(COUNTIF(TblPurchases[BatchID],TblOutcomes[[#This Row],[BatchID]])&lt;&gt;1,"n.a.",SUMIFS(TblPurchases[Purchase Date],TblPurchases[BatchID],TblOutcomes[[#This Row],[BatchID]]))</f>
        <v>45530</v>
      </c>
    </row>
    <row r="2895" spans="2:17" x14ac:dyDescent="0.25">
      <c r="B2895" s="2" t="s">
        <v>3700</v>
      </c>
      <c r="C2895" s="2" t="s">
        <v>310</v>
      </c>
      <c r="D2895" s="2" t="s">
        <v>71</v>
      </c>
      <c r="E2895" s="2" t="s">
        <v>4646</v>
      </c>
      <c r="F2895" s="2">
        <v>69</v>
      </c>
      <c r="G2895" s="2">
        <v>66.239999999999995</v>
      </c>
      <c r="H2895" s="2">
        <v>2.76</v>
      </c>
      <c r="I2895" s="1">
        <v>4</v>
      </c>
      <c r="J2895" s="26">
        <v>45852</v>
      </c>
      <c r="K2895" s="22">
        <v>33120</v>
      </c>
      <c r="L2895" s="18">
        <v>35.42</v>
      </c>
      <c r="M2895" s="22">
        <v>24150</v>
      </c>
      <c r="N2895" s="22">
        <v>8970</v>
      </c>
      <c r="O2895" s="18">
        <v>9.59</v>
      </c>
      <c r="P2895" s="52">
        <f>IF(COUNTIF(TblPurchases[BatchID],TblOutcomes[[#This Row],[BatchID]])&lt;&gt;1,"n.a.",TblOutcomes[[#This Row],[Qty Wasted]]*SUMIFS(TblPurchases[Unit Cost (CLP)],TblPurchases[BatchID],TblOutcomes[[#This Row],[BatchID]]))</f>
        <v>965.99999999999989</v>
      </c>
      <c r="Q2895" s="51">
        <f>IF(COUNTIF(TblPurchases[BatchID],TblOutcomes[[#This Row],[BatchID]])&lt;&gt;1,"n.a.",SUMIFS(TblPurchases[Purchase Date],TblPurchases[BatchID],TblOutcomes[[#This Row],[BatchID]]))</f>
        <v>45552</v>
      </c>
    </row>
    <row r="2896" spans="2:17" x14ac:dyDescent="0.25">
      <c r="B2896" s="2" t="s">
        <v>3701</v>
      </c>
      <c r="C2896" s="2" t="s">
        <v>310</v>
      </c>
      <c r="D2896" s="2" t="s">
        <v>71</v>
      </c>
      <c r="E2896" s="2" t="s">
        <v>4647</v>
      </c>
      <c r="F2896" s="2">
        <v>48</v>
      </c>
      <c r="G2896" s="2">
        <v>48</v>
      </c>
      <c r="H2896" s="2">
        <v>0</v>
      </c>
      <c r="I2896" s="1">
        <v>0</v>
      </c>
      <c r="J2896" s="26">
        <v>45610</v>
      </c>
      <c r="K2896" s="22">
        <v>24000</v>
      </c>
      <c r="L2896" s="18">
        <v>25.67</v>
      </c>
      <c r="M2896" s="22">
        <v>16800</v>
      </c>
      <c r="N2896" s="22">
        <v>7200</v>
      </c>
      <c r="O2896" s="18">
        <v>7.7</v>
      </c>
      <c r="P2896" s="52">
        <f>IF(COUNTIF(TblPurchases[BatchID],TblOutcomes[[#This Row],[BatchID]])&lt;&gt;1,"n.a.",TblOutcomes[[#This Row],[Qty Wasted]]*SUMIFS(TblPurchases[Unit Cost (CLP)],TblPurchases[BatchID],TblOutcomes[[#This Row],[BatchID]]))</f>
        <v>0</v>
      </c>
      <c r="Q2896" s="51">
        <f>IF(COUNTIF(TblPurchases[BatchID],TblOutcomes[[#This Row],[BatchID]])&lt;&gt;1,"n.a.",SUMIFS(TblPurchases[Purchase Date],TblPurchases[BatchID],TblOutcomes[[#This Row],[BatchID]]))</f>
        <v>45577</v>
      </c>
    </row>
    <row r="2897" spans="2:17" x14ac:dyDescent="0.25">
      <c r="B2897" s="2" t="s">
        <v>3702</v>
      </c>
      <c r="C2897" s="2" t="s">
        <v>310</v>
      </c>
      <c r="D2897" s="2" t="s">
        <v>71</v>
      </c>
      <c r="E2897" s="2" t="s">
        <v>4647</v>
      </c>
      <c r="F2897" s="2">
        <v>57</v>
      </c>
      <c r="G2897" s="2">
        <v>57</v>
      </c>
      <c r="H2897" s="2">
        <v>0</v>
      </c>
      <c r="I2897" s="1">
        <v>0</v>
      </c>
      <c r="J2897" s="26">
        <v>45621</v>
      </c>
      <c r="K2897" s="22">
        <v>28500</v>
      </c>
      <c r="L2897" s="18">
        <v>30.48</v>
      </c>
      <c r="M2897" s="22">
        <v>19950</v>
      </c>
      <c r="N2897" s="22">
        <v>8550</v>
      </c>
      <c r="O2897" s="18">
        <v>9.14</v>
      </c>
      <c r="P2897" s="52">
        <f>IF(COUNTIF(TblPurchases[BatchID],TblOutcomes[[#This Row],[BatchID]])&lt;&gt;1,"n.a.",TblOutcomes[[#This Row],[Qty Wasted]]*SUMIFS(TblPurchases[Unit Cost (CLP)],TblPurchases[BatchID],TblOutcomes[[#This Row],[BatchID]]))</f>
        <v>0</v>
      </c>
      <c r="Q2897" s="51">
        <f>IF(COUNTIF(TblPurchases[BatchID],TblOutcomes[[#This Row],[BatchID]])&lt;&gt;1,"n.a.",SUMIFS(TblPurchases[Purchase Date],TblPurchases[BatchID],TblOutcomes[[#This Row],[BatchID]]))</f>
        <v>45608</v>
      </c>
    </row>
    <row r="2898" spans="2:17" x14ac:dyDescent="0.25">
      <c r="B2898" s="2" t="s">
        <v>3703</v>
      </c>
      <c r="C2898" s="2" t="s">
        <v>310</v>
      </c>
      <c r="D2898" s="2" t="s">
        <v>71</v>
      </c>
      <c r="E2898" s="2" t="s">
        <v>4647</v>
      </c>
      <c r="F2898" s="2">
        <v>68</v>
      </c>
      <c r="G2898" s="2">
        <v>68</v>
      </c>
      <c r="H2898" s="2">
        <v>0</v>
      </c>
      <c r="I2898" s="1">
        <v>0</v>
      </c>
      <c r="J2898" s="26">
        <v>45653</v>
      </c>
      <c r="K2898" s="22">
        <v>34000</v>
      </c>
      <c r="L2898" s="18">
        <v>36.36</v>
      </c>
      <c r="M2898" s="22">
        <v>23800</v>
      </c>
      <c r="N2898" s="22">
        <v>10200</v>
      </c>
      <c r="O2898" s="18">
        <v>10.91</v>
      </c>
      <c r="P2898" s="52">
        <f>IF(COUNTIF(TblPurchases[BatchID],TblOutcomes[[#This Row],[BatchID]])&lt;&gt;1,"n.a.",TblOutcomes[[#This Row],[Qty Wasted]]*SUMIFS(TblPurchases[Unit Cost (CLP)],TblPurchases[BatchID],TblOutcomes[[#This Row],[BatchID]]))</f>
        <v>0</v>
      </c>
      <c r="Q2898" s="51">
        <f>IF(COUNTIF(TblPurchases[BatchID],TblOutcomes[[#This Row],[BatchID]])&lt;&gt;1,"n.a.",SUMIFS(TblPurchases[Purchase Date],TblPurchases[BatchID],TblOutcomes[[#This Row],[BatchID]]))</f>
        <v>45645</v>
      </c>
    </row>
    <row r="2899" spans="2:17" x14ac:dyDescent="0.25">
      <c r="B2899" s="2" t="s">
        <v>3704</v>
      </c>
      <c r="C2899" s="2" t="s">
        <v>310</v>
      </c>
      <c r="D2899" s="2" t="s">
        <v>71</v>
      </c>
      <c r="E2899" s="2" t="s">
        <v>4646</v>
      </c>
      <c r="F2899" s="2">
        <v>47</v>
      </c>
      <c r="G2899" s="2">
        <v>44.74</v>
      </c>
      <c r="H2899" s="2">
        <v>2.2599999999999998</v>
      </c>
      <c r="I2899" s="1">
        <v>4.8</v>
      </c>
      <c r="J2899" s="26">
        <v>45976</v>
      </c>
      <c r="K2899" s="22">
        <v>22370</v>
      </c>
      <c r="L2899" s="18">
        <v>23.93</v>
      </c>
      <c r="M2899" s="22">
        <v>16450</v>
      </c>
      <c r="N2899" s="22">
        <v>5920</v>
      </c>
      <c r="O2899" s="18">
        <v>6.33</v>
      </c>
      <c r="P2899" s="52">
        <f>IF(COUNTIF(TblPurchases[BatchID],TblOutcomes[[#This Row],[BatchID]])&lt;&gt;1,"n.a.",TblOutcomes[[#This Row],[Qty Wasted]]*SUMIFS(TblPurchases[Unit Cost (CLP)],TblPurchases[BatchID],TblOutcomes[[#This Row],[BatchID]]))</f>
        <v>790.99999999999989</v>
      </c>
      <c r="Q2899" s="51">
        <f>IF(COUNTIF(TblPurchases[BatchID],TblOutcomes[[#This Row],[BatchID]])&lt;&gt;1,"n.a.",SUMIFS(TblPurchases[Purchase Date],TblPurchases[BatchID],TblOutcomes[[#This Row],[BatchID]]))</f>
        <v>45676</v>
      </c>
    </row>
    <row r="2900" spans="2:17" x14ac:dyDescent="0.25">
      <c r="B2900" s="2" t="s">
        <v>3705</v>
      </c>
      <c r="C2900" s="2" t="s">
        <v>310</v>
      </c>
      <c r="D2900" s="2" t="s">
        <v>71</v>
      </c>
      <c r="E2900" s="2" t="s">
        <v>4647</v>
      </c>
      <c r="F2900" s="2">
        <v>59</v>
      </c>
      <c r="G2900" s="2">
        <v>59</v>
      </c>
      <c r="H2900" s="2">
        <v>0</v>
      </c>
      <c r="I2900" s="1">
        <v>0</v>
      </c>
      <c r="J2900" s="26">
        <v>45761</v>
      </c>
      <c r="K2900" s="22">
        <v>29500</v>
      </c>
      <c r="L2900" s="18">
        <v>31.55</v>
      </c>
      <c r="M2900" s="22">
        <v>20650</v>
      </c>
      <c r="N2900" s="22">
        <v>8850</v>
      </c>
      <c r="O2900" s="18">
        <v>9.4700000000000006</v>
      </c>
      <c r="P2900" s="52">
        <f>IF(COUNTIF(TblPurchases[BatchID],TblOutcomes[[#This Row],[BatchID]])&lt;&gt;1,"n.a.",TblOutcomes[[#This Row],[Qty Wasted]]*SUMIFS(TblPurchases[Unit Cost (CLP)],TblPurchases[BatchID],TblOutcomes[[#This Row],[BatchID]]))</f>
        <v>0</v>
      </c>
      <c r="Q2900" s="51">
        <f>IF(COUNTIF(TblPurchases[BatchID],TblOutcomes[[#This Row],[BatchID]])&lt;&gt;1,"n.a.",SUMIFS(TblPurchases[Purchase Date],TblPurchases[BatchID],TblOutcomes[[#This Row],[BatchID]]))</f>
        <v>45716</v>
      </c>
    </row>
    <row r="2901" spans="2:17" x14ac:dyDescent="0.25">
      <c r="B2901" s="2" t="s">
        <v>3706</v>
      </c>
      <c r="C2901" s="2" t="s">
        <v>310</v>
      </c>
      <c r="D2901" s="2" t="s">
        <v>71</v>
      </c>
      <c r="E2901" s="2" t="s">
        <v>4647</v>
      </c>
      <c r="F2901" s="2">
        <v>58</v>
      </c>
      <c r="G2901" s="2">
        <v>58</v>
      </c>
      <c r="H2901" s="2">
        <v>0</v>
      </c>
      <c r="I2901" s="1">
        <v>0</v>
      </c>
      <c r="J2901" s="26">
        <v>45769</v>
      </c>
      <c r="K2901" s="22">
        <v>29000</v>
      </c>
      <c r="L2901" s="18">
        <v>31.02</v>
      </c>
      <c r="M2901" s="22">
        <v>20300</v>
      </c>
      <c r="N2901" s="22">
        <v>8700</v>
      </c>
      <c r="O2901" s="18">
        <v>9.3000000000000007</v>
      </c>
      <c r="P2901" s="52">
        <f>IF(COUNTIF(TblPurchases[BatchID],TblOutcomes[[#This Row],[BatchID]])&lt;&gt;1,"n.a.",TblOutcomes[[#This Row],[Qty Wasted]]*SUMIFS(TblPurchases[Unit Cost (CLP)],TblPurchases[BatchID],TblOutcomes[[#This Row],[BatchID]]))</f>
        <v>0</v>
      </c>
      <c r="Q2901" s="51">
        <f>IF(COUNTIF(TblPurchases[BatchID],TblOutcomes[[#This Row],[BatchID]])&lt;&gt;1,"n.a.",SUMIFS(TblPurchases[Purchase Date],TblPurchases[BatchID],TblOutcomes[[#This Row],[BatchID]]))</f>
        <v>45750</v>
      </c>
    </row>
    <row r="2902" spans="2:17" x14ac:dyDescent="0.25">
      <c r="B2902" s="2" t="s">
        <v>3707</v>
      </c>
      <c r="C2902" s="2" t="s">
        <v>310</v>
      </c>
      <c r="D2902" s="2" t="s">
        <v>71</v>
      </c>
      <c r="E2902" s="2" t="s">
        <v>4646</v>
      </c>
      <c r="F2902" s="2">
        <v>59</v>
      </c>
      <c r="G2902" s="2">
        <v>55.75</v>
      </c>
      <c r="H2902" s="2">
        <v>3.25</v>
      </c>
      <c r="I2902" s="1">
        <v>5.5</v>
      </c>
      <c r="J2902" s="26">
        <v>46086</v>
      </c>
      <c r="K2902" s="22">
        <v>27875</v>
      </c>
      <c r="L2902" s="18">
        <v>29.81</v>
      </c>
      <c r="M2902" s="22">
        <v>20650</v>
      </c>
      <c r="N2902" s="22">
        <v>7225</v>
      </c>
      <c r="O2902" s="18">
        <v>7.73</v>
      </c>
      <c r="P2902" s="52">
        <f>IF(COUNTIF(TblPurchases[BatchID],TblOutcomes[[#This Row],[BatchID]])&lt;&gt;1,"n.a.",TblOutcomes[[#This Row],[Qty Wasted]]*SUMIFS(TblPurchases[Unit Cost (CLP)],TblPurchases[BatchID],TblOutcomes[[#This Row],[BatchID]]))</f>
        <v>1137.5</v>
      </c>
      <c r="Q2902" s="51">
        <f>IF(COUNTIF(TblPurchases[BatchID],TblOutcomes[[#This Row],[BatchID]])&lt;&gt;1,"n.a.",SUMIFS(TblPurchases[Purchase Date],TblPurchases[BatchID],TblOutcomes[[#This Row],[BatchID]]))</f>
        <v>45786</v>
      </c>
    </row>
    <row r="2903" spans="2:17" x14ac:dyDescent="0.25">
      <c r="B2903" s="2" t="s">
        <v>3708</v>
      </c>
      <c r="C2903" s="2" t="s">
        <v>310</v>
      </c>
      <c r="D2903" s="2" t="s">
        <v>71</v>
      </c>
      <c r="E2903" s="2" t="s">
        <v>4647</v>
      </c>
      <c r="F2903" s="2">
        <v>61</v>
      </c>
      <c r="G2903" s="2">
        <v>61</v>
      </c>
      <c r="H2903" s="2">
        <v>0</v>
      </c>
      <c r="I2903" s="1">
        <v>0</v>
      </c>
      <c r="J2903" s="26">
        <v>45859</v>
      </c>
      <c r="K2903" s="22">
        <v>30500</v>
      </c>
      <c r="L2903" s="18">
        <v>32.619999999999997</v>
      </c>
      <c r="M2903" s="22">
        <v>21350</v>
      </c>
      <c r="N2903" s="22">
        <v>9150</v>
      </c>
      <c r="O2903" s="18">
        <v>9.7899999999999991</v>
      </c>
      <c r="P2903" s="52">
        <f>IF(COUNTIF(TblPurchases[BatchID],TblOutcomes[[#This Row],[BatchID]])&lt;&gt;1,"n.a.",TblOutcomes[[#This Row],[Qty Wasted]]*SUMIFS(TblPurchases[Unit Cost (CLP)],TblPurchases[BatchID],TblOutcomes[[#This Row],[BatchID]]))</f>
        <v>0</v>
      </c>
      <c r="Q2903" s="51">
        <f>IF(COUNTIF(TblPurchases[BatchID],TblOutcomes[[#This Row],[BatchID]])&lt;&gt;1,"n.a.",SUMIFS(TblPurchases[Purchase Date],TblPurchases[BatchID],TblOutcomes[[#This Row],[BatchID]]))</f>
        <v>45831</v>
      </c>
    </row>
    <row r="2904" spans="2:17" x14ac:dyDescent="0.25">
      <c r="B2904" s="2" t="s">
        <v>3709</v>
      </c>
      <c r="C2904" s="2" t="s">
        <v>312</v>
      </c>
      <c r="D2904" s="2" t="s">
        <v>71</v>
      </c>
      <c r="E2904" s="2" t="s">
        <v>4647</v>
      </c>
      <c r="F2904" s="2">
        <v>46</v>
      </c>
      <c r="G2904" s="2">
        <v>46</v>
      </c>
      <c r="H2904" s="2">
        <v>0</v>
      </c>
      <c r="I2904" s="1">
        <v>0</v>
      </c>
      <c r="J2904" s="26">
        <v>45173</v>
      </c>
      <c r="K2904" s="22">
        <v>46000</v>
      </c>
      <c r="L2904" s="18">
        <v>49.2</v>
      </c>
      <c r="M2904" s="22">
        <v>32200</v>
      </c>
      <c r="N2904" s="22">
        <v>13800</v>
      </c>
      <c r="O2904" s="18">
        <v>14.76</v>
      </c>
      <c r="P2904" s="52">
        <f>IF(COUNTIF(TblPurchases[BatchID],TblOutcomes[[#This Row],[BatchID]])&lt;&gt;1,"n.a.",TblOutcomes[[#This Row],[Qty Wasted]]*SUMIFS(TblPurchases[Unit Cost (CLP)],TblPurchases[BatchID],TblOutcomes[[#This Row],[BatchID]]))</f>
        <v>0</v>
      </c>
      <c r="Q2904" s="51">
        <f>IF(COUNTIF(TblPurchases[BatchID],TblOutcomes[[#This Row],[BatchID]])&lt;&gt;1,"n.a.",SUMIFS(TblPurchases[Purchase Date],TblPurchases[BatchID],TblOutcomes[[#This Row],[BatchID]]))</f>
        <v>45135</v>
      </c>
    </row>
    <row r="2905" spans="2:17" x14ac:dyDescent="0.25">
      <c r="B2905" s="2" t="s">
        <v>3710</v>
      </c>
      <c r="C2905" s="2" t="s">
        <v>312</v>
      </c>
      <c r="D2905" s="2" t="s">
        <v>71</v>
      </c>
      <c r="E2905" s="2" t="s">
        <v>4647</v>
      </c>
      <c r="F2905" s="2">
        <v>61</v>
      </c>
      <c r="G2905" s="2">
        <v>61</v>
      </c>
      <c r="H2905" s="2">
        <v>0</v>
      </c>
      <c r="I2905" s="1">
        <v>0</v>
      </c>
      <c r="J2905" s="26">
        <v>45193</v>
      </c>
      <c r="K2905" s="22">
        <v>61000</v>
      </c>
      <c r="L2905" s="18">
        <v>65.239999999999995</v>
      </c>
      <c r="M2905" s="22">
        <v>42700</v>
      </c>
      <c r="N2905" s="22">
        <v>18300</v>
      </c>
      <c r="O2905" s="18">
        <v>19.57</v>
      </c>
      <c r="P2905" s="52">
        <f>IF(COUNTIF(TblPurchases[BatchID],TblOutcomes[[#This Row],[BatchID]])&lt;&gt;1,"n.a.",TblOutcomes[[#This Row],[Qty Wasted]]*SUMIFS(TblPurchases[Unit Cost (CLP)],TblPurchases[BatchID],TblOutcomes[[#This Row],[BatchID]]))</f>
        <v>0</v>
      </c>
      <c r="Q2905" s="51">
        <f>IF(COUNTIF(TblPurchases[BatchID],TblOutcomes[[#This Row],[BatchID]])&lt;&gt;1,"n.a.",SUMIFS(TblPurchases[Purchase Date],TblPurchases[BatchID],TblOutcomes[[#This Row],[BatchID]]))</f>
        <v>45172</v>
      </c>
    </row>
    <row r="2906" spans="2:17" x14ac:dyDescent="0.25">
      <c r="B2906" s="2" t="s">
        <v>3711</v>
      </c>
      <c r="C2906" s="2" t="s">
        <v>312</v>
      </c>
      <c r="D2906" s="2" t="s">
        <v>71</v>
      </c>
      <c r="E2906" s="2" t="s">
        <v>4646</v>
      </c>
      <c r="F2906" s="2">
        <v>51</v>
      </c>
      <c r="G2906" s="2">
        <v>49.47</v>
      </c>
      <c r="H2906" s="2">
        <v>1.53</v>
      </c>
      <c r="I2906" s="1">
        <v>3</v>
      </c>
      <c r="J2906" s="26">
        <v>45502</v>
      </c>
      <c r="K2906" s="22">
        <v>49470</v>
      </c>
      <c r="L2906" s="18">
        <v>52.91</v>
      </c>
      <c r="M2906" s="22">
        <v>35700</v>
      </c>
      <c r="N2906" s="22">
        <v>13770</v>
      </c>
      <c r="O2906" s="18">
        <v>14.73</v>
      </c>
      <c r="P2906" s="52">
        <f>IF(COUNTIF(TblPurchases[BatchID],TblOutcomes[[#This Row],[BatchID]])&lt;&gt;1,"n.a.",TblOutcomes[[#This Row],[Qty Wasted]]*SUMIFS(TblPurchases[Unit Cost (CLP)],TblPurchases[BatchID],TblOutcomes[[#This Row],[BatchID]]))</f>
        <v>1071</v>
      </c>
      <c r="Q2906" s="51">
        <f>IF(COUNTIF(TblPurchases[BatchID],TblOutcomes[[#This Row],[BatchID]])&lt;&gt;1,"n.a.",SUMIFS(TblPurchases[Purchase Date],TblPurchases[BatchID],TblOutcomes[[#This Row],[BatchID]]))</f>
        <v>45202</v>
      </c>
    </row>
    <row r="2907" spans="2:17" x14ac:dyDescent="0.25">
      <c r="B2907" s="2" t="s">
        <v>3712</v>
      </c>
      <c r="C2907" s="2" t="s">
        <v>312</v>
      </c>
      <c r="D2907" s="2" t="s">
        <v>71</v>
      </c>
      <c r="E2907" s="2" t="s">
        <v>4647</v>
      </c>
      <c r="F2907" s="2">
        <v>43</v>
      </c>
      <c r="G2907" s="2">
        <v>43</v>
      </c>
      <c r="H2907" s="2">
        <v>0</v>
      </c>
      <c r="I2907" s="1">
        <v>0</v>
      </c>
      <c r="J2907" s="26">
        <v>45258</v>
      </c>
      <c r="K2907" s="22">
        <v>43000</v>
      </c>
      <c r="L2907" s="18">
        <v>45.99</v>
      </c>
      <c r="M2907" s="22">
        <v>30100</v>
      </c>
      <c r="N2907" s="22">
        <v>12900</v>
      </c>
      <c r="O2907" s="18">
        <v>13.8</v>
      </c>
      <c r="P2907" s="52">
        <f>IF(COUNTIF(TblPurchases[BatchID],TblOutcomes[[#This Row],[BatchID]])&lt;&gt;1,"n.a.",TblOutcomes[[#This Row],[Qty Wasted]]*SUMIFS(TblPurchases[Unit Cost (CLP)],TblPurchases[BatchID],TblOutcomes[[#This Row],[BatchID]]))</f>
        <v>0</v>
      </c>
      <c r="Q2907" s="51">
        <f>IF(COUNTIF(TblPurchases[BatchID],TblOutcomes[[#This Row],[BatchID]])&lt;&gt;1,"n.a.",SUMIFS(TblPurchases[Purchase Date],TblPurchases[BatchID],TblOutcomes[[#This Row],[BatchID]]))</f>
        <v>45228</v>
      </c>
    </row>
    <row r="2908" spans="2:17" x14ac:dyDescent="0.25">
      <c r="B2908" s="2" t="s">
        <v>3713</v>
      </c>
      <c r="C2908" s="2" t="s">
        <v>312</v>
      </c>
      <c r="D2908" s="2" t="s">
        <v>71</v>
      </c>
      <c r="E2908" s="2" t="s">
        <v>4647</v>
      </c>
      <c r="F2908" s="2">
        <v>55</v>
      </c>
      <c r="G2908" s="2">
        <v>55</v>
      </c>
      <c r="H2908" s="2">
        <v>0</v>
      </c>
      <c r="I2908" s="1">
        <v>0</v>
      </c>
      <c r="J2908" s="26">
        <v>45278</v>
      </c>
      <c r="K2908" s="22">
        <v>55000</v>
      </c>
      <c r="L2908" s="18">
        <v>58.82</v>
      </c>
      <c r="M2908" s="22">
        <v>38500</v>
      </c>
      <c r="N2908" s="22">
        <v>16500</v>
      </c>
      <c r="O2908" s="18">
        <v>17.649999999999999</v>
      </c>
      <c r="P2908" s="52">
        <f>IF(COUNTIF(TblPurchases[BatchID],TblOutcomes[[#This Row],[BatchID]])&lt;&gt;1,"n.a.",TblOutcomes[[#This Row],[Qty Wasted]]*SUMIFS(TblPurchases[Unit Cost (CLP)],TblPurchases[BatchID],TblOutcomes[[#This Row],[BatchID]]))</f>
        <v>0</v>
      </c>
      <c r="Q2908" s="51">
        <f>IF(COUNTIF(TblPurchases[BatchID],TblOutcomes[[#This Row],[BatchID]])&lt;&gt;1,"n.a.",SUMIFS(TblPurchases[Purchase Date],TblPurchases[BatchID],TblOutcomes[[#This Row],[BatchID]]))</f>
        <v>45259</v>
      </c>
    </row>
    <row r="2909" spans="2:17" x14ac:dyDescent="0.25">
      <c r="B2909" s="2" t="s">
        <v>3714</v>
      </c>
      <c r="C2909" s="2" t="s">
        <v>312</v>
      </c>
      <c r="D2909" s="2" t="s">
        <v>71</v>
      </c>
      <c r="E2909" s="2" t="s">
        <v>4646</v>
      </c>
      <c r="F2909" s="2">
        <v>48</v>
      </c>
      <c r="G2909" s="2">
        <v>46.42</v>
      </c>
      <c r="H2909" s="2">
        <v>1.58</v>
      </c>
      <c r="I2909" s="1">
        <v>3.3</v>
      </c>
      <c r="J2909" s="26">
        <v>45598</v>
      </c>
      <c r="K2909" s="22">
        <v>46420</v>
      </c>
      <c r="L2909" s="18">
        <v>49.65</v>
      </c>
      <c r="M2909" s="22">
        <v>33600</v>
      </c>
      <c r="N2909" s="22">
        <v>12820</v>
      </c>
      <c r="O2909" s="18">
        <v>13.71</v>
      </c>
      <c r="P2909" s="52">
        <f>IF(COUNTIF(TblPurchases[BatchID],TblOutcomes[[#This Row],[BatchID]])&lt;&gt;1,"n.a.",TblOutcomes[[#This Row],[Qty Wasted]]*SUMIFS(TblPurchases[Unit Cost (CLP)],TblPurchases[BatchID],TblOutcomes[[#This Row],[BatchID]]))</f>
        <v>1106</v>
      </c>
      <c r="Q2909" s="51">
        <f>IF(COUNTIF(TblPurchases[BatchID],TblOutcomes[[#This Row],[BatchID]])&lt;&gt;1,"n.a.",SUMIFS(TblPurchases[Purchase Date],TblPurchases[BatchID],TblOutcomes[[#This Row],[BatchID]]))</f>
        <v>45298</v>
      </c>
    </row>
    <row r="2910" spans="2:17" x14ac:dyDescent="0.25">
      <c r="B2910" s="2" t="s">
        <v>3715</v>
      </c>
      <c r="C2910" s="2" t="s">
        <v>312</v>
      </c>
      <c r="D2910" s="2" t="s">
        <v>71</v>
      </c>
      <c r="E2910" s="2" t="s">
        <v>4647</v>
      </c>
      <c r="F2910" s="2">
        <v>46</v>
      </c>
      <c r="G2910" s="2">
        <v>46</v>
      </c>
      <c r="H2910" s="2">
        <v>0</v>
      </c>
      <c r="I2910" s="1">
        <v>0</v>
      </c>
      <c r="J2910" s="26">
        <v>45363</v>
      </c>
      <c r="K2910" s="22">
        <v>46000</v>
      </c>
      <c r="L2910" s="18">
        <v>49.2</v>
      </c>
      <c r="M2910" s="22">
        <v>32200</v>
      </c>
      <c r="N2910" s="22">
        <v>13800</v>
      </c>
      <c r="O2910" s="18">
        <v>14.76</v>
      </c>
      <c r="P2910" s="52">
        <f>IF(COUNTIF(TblPurchases[BatchID],TblOutcomes[[#This Row],[BatchID]])&lt;&gt;1,"n.a.",TblOutcomes[[#This Row],[Qty Wasted]]*SUMIFS(TblPurchases[Unit Cost (CLP)],TblPurchases[BatchID],TblOutcomes[[#This Row],[BatchID]]))</f>
        <v>0</v>
      </c>
      <c r="Q2910" s="51">
        <f>IF(COUNTIF(TblPurchases[BatchID],TblOutcomes[[#This Row],[BatchID]])&lt;&gt;1,"n.a.",SUMIFS(TblPurchases[Purchase Date],TblPurchases[BatchID],TblOutcomes[[#This Row],[BatchID]]))</f>
        <v>45328</v>
      </c>
    </row>
    <row r="2911" spans="2:17" x14ac:dyDescent="0.25">
      <c r="B2911" s="2" t="s">
        <v>3716</v>
      </c>
      <c r="C2911" s="2" t="s">
        <v>312</v>
      </c>
      <c r="D2911" s="2" t="s">
        <v>71</v>
      </c>
      <c r="E2911" s="2" t="s">
        <v>4646</v>
      </c>
      <c r="F2911" s="2">
        <v>47</v>
      </c>
      <c r="G2911" s="2">
        <v>45.5</v>
      </c>
      <c r="H2911" s="2">
        <v>1.5</v>
      </c>
      <c r="I2911" s="1">
        <v>3.2</v>
      </c>
      <c r="J2911" s="26">
        <v>45661</v>
      </c>
      <c r="K2911" s="22">
        <v>45500</v>
      </c>
      <c r="L2911" s="18">
        <v>48.66</v>
      </c>
      <c r="M2911" s="22">
        <v>32900</v>
      </c>
      <c r="N2911" s="22">
        <v>12600</v>
      </c>
      <c r="O2911" s="18">
        <v>13.48</v>
      </c>
      <c r="P2911" s="52">
        <f>IF(COUNTIF(TblPurchases[BatchID],TblOutcomes[[#This Row],[BatchID]])&lt;&gt;1,"n.a.",TblOutcomes[[#This Row],[Qty Wasted]]*SUMIFS(TblPurchases[Unit Cost (CLP)],TblPurchases[BatchID],TblOutcomes[[#This Row],[BatchID]]))</f>
        <v>1050</v>
      </c>
      <c r="Q2911" s="51">
        <f>IF(COUNTIF(TblPurchases[BatchID],TblOutcomes[[#This Row],[BatchID]])&lt;&gt;1,"n.a.",SUMIFS(TblPurchases[Purchase Date],TblPurchases[BatchID],TblOutcomes[[#This Row],[BatchID]]))</f>
        <v>45361</v>
      </c>
    </row>
    <row r="2912" spans="2:17" x14ac:dyDescent="0.25">
      <c r="B2912" s="2" t="s">
        <v>3717</v>
      </c>
      <c r="C2912" s="2" t="s">
        <v>312</v>
      </c>
      <c r="D2912" s="2" t="s">
        <v>71</v>
      </c>
      <c r="E2912" s="2" t="s">
        <v>4646</v>
      </c>
      <c r="F2912" s="2">
        <v>56</v>
      </c>
      <c r="G2912" s="2">
        <v>55.1</v>
      </c>
      <c r="H2912" s="2">
        <v>0.9</v>
      </c>
      <c r="I2912" s="1">
        <v>1.6</v>
      </c>
      <c r="J2912" s="26">
        <v>45684</v>
      </c>
      <c r="K2912" s="22">
        <v>55100</v>
      </c>
      <c r="L2912" s="18">
        <v>58.93</v>
      </c>
      <c r="M2912" s="22">
        <v>39200</v>
      </c>
      <c r="N2912" s="22">
        <v>15900</v>
      </c>
      <c r="O2912" s="18">
        <v>17.010000000000002</v>
      </c>
      <c r="P2912" s="52">
        <f>IF(COUNTIF(TblPurchases[BatchID],TblOutcomes[[#This Row],[BatchID]])&lt;&gt;1,"n.a.",TblOutcomes[[#This Row],[Qty Wasted]]*SUMIFS(TblPurchases[Unit Cost (CLP)],TblPurchases[BatchID],TblOutcomes[[#This Row],[BatchID]]))</f>
        <v>630</v>
      </c>
      <c r="Q2912" s="51">
        <f>IF(COUNTIF(TblPurchases[BatchID],TblOutcomes[[#This Row],[BatchID]])&lt;&gt;1,"n.a.",SUMIFS(TblPurchases[Purchase Date],TblPurchases[BatchID],TblOutcomes[[#This Row],[BatchID]]))</f>
        <v>45384</v>
      </c>
    </row>
    <row r="2913" spans="2:17" x14ac:dyDescent="0.25">
      <c r="B2913" s="2" t="s">
        <v>3718</v>
      </c>
      <c r="C2913" s="2" t="s">
        <v>312</v>
      </c>
      <c r="D2913" s="2" t="s">
        <v>71</v>
      </c>
      <c r="E2913" s="2" t="s">
        <v>4646</v>
      </c>
      <c r="F2913" s="2">
        <v>45</v>
      </c>
      <c r="G2913" s="2">
        <v>43.7</v>
      </c>
      <c r="H2913" s="2">
        <v>1.31</v>
      </c>
      <c r="I2913" s="1">
        <v>2.9</v>
      </c>
      <c r="J2913" s="26">
        <v>45725</v>
      </c>
      <c r="K2913" s="22">
        <v>43700</v>
      </c>
      <c r="L2913" s="18">
        <v>46.74</v>
      </c>
      <c r="M2913" s="22">
        <v>31500</v>
      </c>
      <c r="N2913" s="22">
        <v>12200</v>
      </c>
      <c r="O2913" s="18">
        <v>13.05</v>
      </c>
      <c r="P2913" s="52">
        <f>IF(COUNTIF(TblPurchases[BatchID],TblOutcomes[[#This Row],[BatchID]])&lt;&gt;1,"n.a.",TblOutcomes[[#This Row],[Qty Wasted]]*SUMIFS(TblPurchases[Unit Cost (CLP)],TblPurchases[BatchID],TblOutcomes[[#This Row],[BatchID]]))</f>
        <v>917</v>
      </c>
      <c r="Q2913" s="51">
        <f>IF(COUNTIF(TblPurchases[BatchID],TblOutcomes[[#This Row],[BatchID]])&lt;&gt;1,"n.a.",SUMIFS(TblPurchases[Purchase Date],TblPurchases[BatchID],TblOutcomes[[#This Row],[BatchID]]))</f>
        <v>45425</v>
      </c>
    </row>
    <row r="2914" spans="2:17" x14ac:dyDescent="0.25">
      <c r="B2914" s="2" t="s">
        <v>3719</v>
      </c>
      <c r="C2914" s="2" t="s">
        <v>312</v>
      </c>
      <c r="D2914" s="2" t="s">
        <v>71</v>
      </c>
      <c r="E2914" s="2" t="s">
        <v>4646</v>
      </c>
      <c r="F2914" s="2">
        <v>50</v>
      </c>
      <c r="G2914" s="2">
        <v>49.3</v>
      </c>
      <c r="H2914" s="2">
        <v>0.7</v>
      </c>
      <c r="I2914" s="1">
        <v>1.4</v>
      </c>
      <c r="J2914" s="26">
        <v>45762</v>
      </c>
      <c r="K2914" s="22">
        <v>49300</v>
      </c>
      <c r="L2914" s="18">
        <v>52.73</v>
      </c>
      <c r="M2914" s="22">
        <v>35000</v>
      </c>
      <c r="N2914" s="22">
        <v>14300</v>
      </c>
      <c r="O2914" s="18">
        <v>15.29</v>
      </c>
      <c r="P2914" s="52">
        <f>IF(COUNTIF(TblPurchases[BatchID],TblOutcomes[[#This Row],[BatchID]])&lt;&gt;1,"n.a.",TblOutcomes[[#This Row],[Qty Wasted]]*SUMIFS(TblPurchases[Unit Cost (CLP)],TblPurchases[BatchID],TblOutcomes[[#This Row],[BatchID]]))</f>
        <v>489.99999999999994</v>
      </c>
      <c r="Q2914" s="51">
        <f>IF(COUNTIF(TblPurchases[BatchID],TblOutcomes[[#This Row],[BatchID]])&lt;&gt;1,"n.a.",SUMIFS(TblPurchases[Purchase Date],TblPurchases[BatchID],TblOutcomes[[#This Row],[BatchID]]))</f>
        <v>45462</v>
      </c>
    </row>
    <row r="2915" spans="2:17" x14ac:dyDescent="0.25">
      <c r="B2915" s="2" t="s">
        <v>3720</v>
      </c>
      <c r="C2915" s="2" t="s">
        <v>312</v>
      </c>
      <c r="D2915" s="2" t="s">
        <v>71</v>
      </c>
      <c r="E2915" s="2" t="s">
        <v>4647</v>
      </c>
      <c r="F2915" s="2">
        <v>56</v>
      </c>
      <c r="G2915" s="2">
        <v>56</v>
      </c>
      <c r="H2915" s="2">
        <v>0</v>
      </c>
      <c r="I2915" s="1">
        <v>0</v>
      </c>
      <c r="J2915" s="26">
        <v>45525</v>
      </c>
      <c r="K2915" s="22">
        <v>56000</v>
      </c>
      <c r="L2915" s="18">
        <v>59.89</v>
      </c>
      <c r="M2915" s="22">
        <v>39200</v>
      </c>
      <c r="N2915" s="22">
        <v>16800</v>
      </c>
      <c r="O2915" s="18">
        <v>17.97</v>
      </c>
      <c r="P2915" s="52">
        <f>IF(COUNTIF(TblPurchases[BatchID],TblOutcomes[[#This Row],[BatchID]])&lt;&gt;1,"n.a.",TblOutcomes[[#This Row],[Qty Wasted]]*SUMIFS(TblPurchases[Unit Cost (CLP)],TblPurchases[BatchID],TblOutcomes[[#This Row],[BatchID]]))</f>
        <v>0</v>
      </c>
      <c r="Q2915" s="51">
        <f>IF(COUNTIF(TblPurchases[BatchID],TblOutcomes[[#This Row],[BatchID]])&lt;&gt;1,"n.a.",SUMIFS(TblPurchases[Purchase Date],TblPurchases[BatchID],TblOutcomes[[#This Row],[BatchID]]))</f>
        <v>45487</v>
      </c>
    </row>
    <row r="2916" spans="2:17" x14ac:dyDescent="0.25">
      <c r="B2916" s="2" t="s">
        <v>3721</v>
      </c>
      <c r="C2916" s="2" t="s">
        <v>312</v>
      </c>
      <c r="D2916" s="2" t="s">
        <v>71</v>
      </c>
      <c r="E2916" s="2" t="s">
        <v>4647</v>
      </c>
      <c r="F2916" s="2">
        <v>53</v>
      </c>
      <c r="G2916" s="2">
        <v>53</v>
      </c>
      <c r="H2916" s="2">
        <v>0</v>
      </c>
      <c r="I2916" s="1">
        <v>0</v>
      </c>
      <c r="J2916" s="26">
        <v>45569</v>
      </c>
      <c r="K2916" s="22">
        <v>53000</v>
      </c>
      <c r="L2916" s="18">
        <v>56.68</v>
      </c>
      <c r="M2916" s="22">
        <v>37100</v>
      </c>
      <c r="N2916" s="22">
        <v>15900</v>
      </c>
      <c r="O2916" s="18">
        <v>17.010000000000002</v>
      </c>
      <c r="P2916" s="52">
        <f>IF(COUNTIF(TblPurchases[BatchID],TblOutcomes[[#This Row],[BatchID]])&lt;&gt;1,"n.a.",TblOutcomes[[#This Row],[Qty Wasted]]*SUMIFS(TblPurchases[Unit Cost (CLP)],TblPurchases[BatchID],TblOutcomes[[#This Row],[BatchID]]))</f>
        <v>0</v>
      </c>
      <c r="Q2916" s="51">
        <f>IF(COUNTIF(TblPurchases[BatchID],TblOutcomes[[#This Row],[BatchID]])&lt;&gt;1,"n.a.",SUMIFS(TblPurchases[Purchase Date],TblPurchases[BatchID],TblOutcomes[[#This Row],[BatchID]]))</f>
        <v>45528</v>
      </c>
    </row>
    <row r="2917" spans="2:17" x14ac:dyDescent="0.25">
      <c r="B2917" s="2" t="s">
        <v>3722</v>
      </c>
      <c r="C2917" s="2" t="s">
        <v>312</v>
      </c>
      <c r="D2917" s="2" t="s">
        <v>71</v>
      </c>
      <c r="E2917" s="2" t="s">
        <v>4647</v>
      </c>
      <c r="F2917" s="2">
        <v>62</v>
      </c>
      <c r="G2917" s="2">
        <v>62</v>
      </c>
      <c r="H2917" s="2">
        <v>0</v>
      </c>
      <c r="I2917" s="1">
        <v>0</v>
      </c>
      <c r="J2917" s="26">
        <v>45588</v>
      </c>
      <c r="K2917" s="22">
        <v>62000</v>
      </c>
      <c r="L2917" s="18">
        <v>66.31</v>
      </c>
      <c r="M2917" s="22">
        <v>43400</v>
      </c>
      <c r="N2917" s="22">
        <v>18600</v>
      </c>
      <c r="O2917" s="18">
        <v>19.89</v>
      </c>
      <c r="P2917" s="52">
        <f>IF(COUNTIF(TblPurchases[BatchID],TblOutcomes[[#This Row],[BatchID]])&lt;&gt;1,"n.a.",TblOutcomes[[#This Row],[Qty Wasted]]*SUMIFS(TblPurchases[Unit Cost (CLP)],TblPurchases[BatchID],TblOutcomes[[#This Row],[BatchID]]))</f>
        <v>0</v>
      </c>
      <c r="Q2917" s="51">
        <f>IF(COUNTIF(TblPurchases[BatchID],TblOutcomes[[#This Row],[BatchID]])&lt;&gt;1,"n.a.",SUMIFS(TblPurchases[Purchase Date],TblPurchases[BatchID],TblOutcomes[[#This Row],[BatchID]]))</f>
        <v>45559</v>
      </c>
    </row>
    <row r="2918" spans="2:17" x14ac:dyDescent="0.25">
      <c r="B2918" s="2" t="s">
        <v>3723</v>
      </c>
      <c r="C2918" s="2" t="s">
        <v>312</v>
      </c>
      <c r="D2918" s="2" t="s">
        <v>71</v>
      </c>
      <c r="E2918" s="2" t="s">
        <v>4647</v>
      </c>
      <c r="F2918" s="2">
        <v>52</v>
      </c>
      <c r="G2918" s="2">
        <v>52</v>
      </c>
      <c r="H2918" s="2">
        <v>0</v>
      </c>
      <c r="I2918" s="1">
        <v>0</v>
      </c>
      <c r="J2918" s="26">
        <v>45612</v>
      </c>
      <c r="K2918" s="22">
        <v>52000</v>
      </c>
      <c r="L2918" s="18">
        <v>55.61</v>
      </c>
      <c r="M2918" s="22">
        <v>36400</v>
      </c>
      <c r="N2918" s="22">
        <v>15600</v>
      </c>
      <c r="O2918" s="18">
        <v>16.68</v>
      </c>
      <c r="P2918" s="52">
        <f>IF(COUNTIF(TblPurchases[BatchID],TblOutcomes[[#This Row],[BatchID]])&lt;&gt;1,"n.a.",TblOutcomes[[#This Row],[Qty Wasted]]*SUMIFS(TblPurchases[Unit Cost (CLP)],TblPurchases[BatchID],TblOutcomes[[#This Row],[BatchID]]))</f>
        <v>0</v>
      </c>
      <c r="Q2918" s="51">
        <f>IF(COUNTIF(TblPurchases[BatchID],TblOutcomes[[#This Row],[BatchID]])&lt;&gt;1,"n.a.",SUMIFS(TblPurchases[Purchase Date],TblPurchases[BatchID],TblOutcomes[[#This Row],[BatchID]]))</f>
        <v>45594</v>
      </c>
    </row>
    <row r="2919" spans="2:17" x14ac:dyDescent="0.25">
      <c r="B2919" s="2" t="s">
        <v>3724</v>
      </c>
      <c r="C2919" s="2" t="s">
        <v>312</v>
      </c>
      <c r="D2919" s="2" t="s">
        <v>71</v>
      </c>
      <c r="E2919" s="2" t="s">
        <v>4647</v>
      </c>
      <c r="F2919" s="2">
        <v>72</v>
      </c>
      <c r="G2919" s="2">
        <v>72</v>
      </c>
      <c r="H2919" s="2">
        <v>0</v>
      </c>
      <c r="I2919" s="1">
        <v>0</v>
      </c>
      <c r="J2919" s="26">
        <v>45653</v>
      </c>
      <c r="K2919" s="22">
        <v>72000</v>
      </c>
      <c r="L2919" s="18">
        <v>77.010000000000005</v>
      </c>
      <c r="M2919" s="22">
        <v>50400</v>
      </c>
      <c r="N2919" s="22">
        <v>21600</v>
      </c>
      <c r="O2919" s="18">
        <v>23.1</v>
      </c>
      <c r="P2919" s="52">
        <f>IF(COUNTIF(TblPurchases[BatchID],TblOutcomes[[#This Row],[BatchID]])&lt;&gt;1,"n.a.",TblOutcomes[[#This Row],[Qty Wasted]]*SUMIFS(TblPurchases[Unit Cost (CLP)],TblPurchases[BatchID],TblOutcomes[[#This Row],[BatchID]]))</f>
        <v>0</v>
      </c>
      <c r="Q2919" s="51">
        <f>IF(COUNTIF(TblPurchases[BatchID],TblOutcomes[[#This Row],[BatchID]])&lt;&gt;1,"n.a.",SUMIFS(TblPurchases[Purchase Date],TblPurchases[BatchID],TblOutcomes[[#This Row],[BatchID]]))</f>
        <v>45628</v>
      </c>
    </row>
    <row r="2920" spans="2:17" x14ac:dyDescent="0.25">
      <c r="B2920" s="2" t="s">
        <v>3725</v>
      </c>
      <c r="C2920" s="2" t="s">
        <v>312</v>
      </c>
      <c r="D2920" s="2" t="s">
        <v>71</v>
      </c>
      <c r="E2920" s="2" t="s">
        <v>4647</v>
      </c>
      <c r="F2920" s="2">
        <v>56</v>
      </c>
      <c r="G2920" s="2">
        <v>56</v>
      </c>
      <c r="H2920" s="2">
        <v>0</v>
      </c>
      <c r="I2920" s="1">
        <v>0</v>
      </c>
      <c r="J2920" s="26">
        <v>45678</v>
      </c>
      <c r="K2920" s="22">
        <v>56000</v>
      </c>
      <c r="L2920" s="18">
        <v>59.89</v>
      </c>
      <c r="M2920" s="22">
        <v>39200</v>
      </c>
      <c r="N2920" s="22">
        <v>16800</v>
      </c>
      <c r="O2920" s="18">
        <v>17.97</v>
      </c>
      <c r="P2920" s="52">
        <f>IF(COUNTIF(TblPurchases[BatchID],TblOutcomes[[#This Row],[BatchID]])&lt;&gt;1,"n.a.",TblOutcomes[[#This Row],[Qty Wasted]]*SUMIFS(TblPurchases[Unit Cost (CLP)],TblPurchases[BatchID],TblOutcomes[[#This Row],[BatchID]]))</f>
        <v>0</v>
      </c>
      <c r="Q2920" s="51">
        <f>IF(COUNTIF(TblPurchases[BatchID],TblOutcomes[[#This Row],[BatchID]])&lt;&gt;1,"n.a.",SUMIFS(TblPurchases[Purchase Date],TblPurchases[BatchID],TblOutcomes[[#This Row],[BatchID]]))</f>
        <v>45660</v>
      </c>
    </row>
    <row r="2921" spans="2:17" x14ac:dyDescent="0.25">
      <c r="B2921" s="2" t="s">
        <v>3726</v>
      </c>
      <c r="C2921" s="2" t="s">
        <v>312</v>
      </c>
      <c r="D2921" s="2" t="s">
        <v>71</v>
      </c>
      <c r="E2921" s="2" t="s">
        <v>4646</v>
      </c>
      <c r="F2921" s="2">
        <v>62</v>
      </c>
      <c r="G2921" s="2">
        <v>57.85</v>
      </c>
      <c r="H2921" s="2">
        <v>4.1500000000000004</v>
      </c>
      <c r="I2921" s="1">
        <v>6.7</v>
      </c>
      <c r="J2921" s="26">
        <v>45990</v>
      </c>
      <c r="K2921" s="22">
        <v>57850</v>
      </c>
      <c r="L2921" s="18">
        <v>61.87</v>
      </c>
      <c r="M2921" s="22">
        <v>43400</v>
      </c>
      <c r="N2921" s="22">
        <v>14450</v>
      </c>
      <c r="O2921" s="18">
        <v>15.45</v>
      </c>
      <c r="P2921" s="52">
        <f>IF(COUNTIF(TblPurchases[BatchID],TblOutcomes[[#This Row],[BatchID]])&lt;&gt;1,"n.a.",TblOutcomes[[#This Row],[Qty Wasted]]*SUMIFS(TblPurchases[Unit Cost (CLP)],TblPurchases[BatchID],TblOutcomes[[#This Row],[BatchID]]))</f>
        <v>2905.0000000000005</v>
      </c>
      <c r="Q2921" s="51">
        <f>IF(COUNTIF(TblPurchases[BatchID],TblOutcomes[[#This Row],[BatchID]])&lt;&gt;1,"n.a.",SUMIFS(TblPurchases[Purchase Date],TblPurchases[BatchID],TblOutcomes[[#This Row],[BatchID]]))</f>
        <v>45690</v>
      </c>
    </row>
    <row r="2922" spans="2:17" x14ac:dyDescent="0.25">
      <c r="B2922" s="2" t="s">
        <v>3727</v>
      </c>
      <c r="C2922" s="2" t="s">
        <v>312</v>
      </c>
      <c r="D2922" s="2" t="s">
        <v>71</v>
      </c>
      <c r="E2922" s="2" t="s">
        <v>4647</v>
      </c>
      <c r="F2922" s="2">
        <v>52</v>
      </c>
      <c r="G2922" s="2">
        <v>52</v>
      </c>
      <c r="H2922" s="2">
        <v>0</v>
      </c>
      <c r="I2922" s="1">
        <v>0</v>
      </c>
      <c r="J2922" s="26">
        <v>45766</v>
      </c>
      <c r="K2922" s="22">
        <v>52000</v>
      </c>
      <c r="L2922" s="18">
        <v>55.61</v>
      </c>
      <c r="M2922" s="22">
        <v>36400</v>
      </c>
      <c r="N2922" s="22">
        <v>15600</v>
      </c>
      <c r="O2922" s="18">
        <v>16.68</v>
      </c>
      <c r="P2922" s="52">
        <f>IF(COUNTIF(TblPurchases[BatchID],TblOutcomes[[#This Row],[BatchID]])&lt;&gt;1,"n.a.",TblOutcomes[[#This Row],[Qty Wasted]]*SUMIFS(TblPurchases[Unit Cost (CLP)],TblPurchases[BatchID],TblOutcomes[[#This Row],[BatchID]]))</f>
        <v>0</v>
      </c>
      <c r="Q2922" s="51">
        <f>IF(COUNTIF(TblPurchases[BatchID],TblOutcomes[[#This Row],[BatchID]])&lt;&gt;1,"n.a.",SUMIFS(TblPurchases[Purchase Date],TblPurchases[BatchID],TblOutcomes[[#This Row],[BatchID]]))</f>
        <v>45728</v>
      </c>
    </row>
    <row r="2923" spans="2:17" x14ac:dyDescent="0.25">
      <c r="B2923" s="2" t="s">
        <v>3728</v>
      </c>
      <c r="C2923" s="2" t="s">
        <v>312</v>
      </c>
      <c r="D2923" s="2" t="s">
        <v>71</v>
      </c>
      <c r="E2923" s="2" t="s">
        <v>4646</v>
      </c>
      <c r="F2923" s="2">
        <v>46</v>
      </c>
      <c r="G2923" s="2">
        <v>44.67</v>
      </c>
      <c r="H2923" s="2">
        <v>1.33</v>
      </c>
      <c r="I2923" s="1">
        <v>2.9</v>
      </c>
      <c r="J2923" s="26">
        <v>46072</v>
      </c>
      <c r="K2923" s="22">
        <v>44670</v>
      </c>
      <c r="L2923" s="18">
        <v>47.78</v>
      </c>
      <c r="M2923" s="22">
        <v>32200</v>
      </c>
      <c r="N2923" s="22">
        <v>12470</v>
      </c>
      <c r="O2923" s="18">
        <v>13.34</v>
      </c>
      <c r="P2923" s="52">
        <f>IF(COUNTIF(TblPurchases[BatchID],TblOutcomes[[#This Row],[BatchID]])&lt;&gt;1,"n.a.",TblOutcomes[[#This Row],[Qty Wasted]]*SUMIFS(TblPurchases[Unit Cost (CLP)],TblPurchases[BatchID],TblOutcomes[[#This Row],[BatchID]]))</f>
        <v>931</v>
      </c>
      <c r="Q2923" s="51">
        <f>IF(COUNTIF(TblPurchases[BatchID],TblOutcomes[[#This Row],[BatchID]])&lt;&gt;1,"n.a.",SUMIFS(TblPurchases[Purchase Date],TblPurchases[BatchID],TblOutcomes[[#This Row],[BatchID]]))</f>
        <v>45772</v>
      </c>
    </row>
    <row r="2924" spans="2:17" x14ac:dyDescent="0.25">
      <c r="B2924" s="2" t="s">
        <v>3729</v>
      </c>
      <c r="C2924" s="2" t="s">
        <v>312</v>
      </c>
      <c r="D2924" s="2" t="s">
        <v>71</v>
      </c>
      <c r="E2924" s="2" t="s">
        <v>4647</v>
      </c>
      <c r="F2924" s="2">
        <v>52</v>
      </c>
      <c r="G2924" s="2">
        <v>52</v>
      </c>
      <c r="H2924" s="2">
        <v>0</v>
      </c>
      <c r="I2924" s="1">
        <v>0</v>
      </c>
      <c r="J2924" s="26">
        <v>45838</v>
      </c>
      <c r="K2924" s="22">
        <v>52000</v>
      </c>
      <c r="L2924" s="18">
        <v>55.61</v>
      </c>
      <c r="M2924" s="22">
        <v>36400</v>
      </c>
      <c r="N2924" s="22">
        <v>15600</v>
      </c>
      <c r="O2924" s="18">
        <v>16.68</v>
      </c>
      <c r="P2924" s="52">
        <f>IF(COUNTIF(TblPurchases[BatchID],TblOutcomes[[#This Row],[BatchID]])&lt;&gt;1,"n.a.",TblOutcomes[[#This Row],[Qty Wasted]]*SUMIFS(TblPurchases[Unit Cost (CLP)],TblPurchases[BatchID],TblOutcomes[[#This Row],[BatchID]]))</f>
        <v>0</v>
      </c>
      <c r="Q2924" s="51">
        <f>IF(COUNTIF(TblPurchases[BatchID],TblOutcomes[[#This Row],[BatchID]])&lt;&gt;1,"n.a.",SUMIFS(TblPurchases[Purchase Date],TblPurchases[BatchID],TblOutcomes[[#This Row],[BatchID]]))</f>
        <v>45803</v>
      </c>
    </row>
    <row r="2925" spans="2:17" x14ac:dyDescent="0.25">
      <c r="B2925" s="2" t="s">
        <v>3730</v>
      </c>
      <c r="C2925" s="2" t="s">
        <v>314</v>
      </c>
      <c r="D2925" s="2" t="s">
        <v>71</v>
      </c>
      <c r="E2925" s="2" t="s">
        <v>4647</v>
      </c>
      <c r="F2925" s="2">
        <v>46</v>
      </c>
      <c r="G2925" s="2">
        <v>46</v>
      </c>
      <c r="H2925" s="2">
        <v>0</v>
      </c>
      <c r="I2925" s="1">
        <v>0</v>
      </c>
      <c r="J2925" s="26">
        <v>45154</v>
      </c>
      <c r="K2925" s="22">
        <v>23000</v>
      </c>
      <c r="L2925" s="18">
        <v>24.6</v>
      </c>
      <c r="M2925" s="22">
        <v>16100</v>
      </c>
      <c r="N2925" s="22">
        <v>6900</v>
      </c>
      <c r="O2925" s="18">
        <v>7.38</v>
      </c>
      <c r="P2925" s="52">
        <f>IF(COUNTIF(TblPurchases[BatchID],TblOutcomes[[#This Row],[BatchID]])&lt;&gt;1,"n.a.",TblOutcomes[[#This Row],[Qty Wasted]]*SUMIFS(TblPurchases[Unit Cost (CLP)],TblPurchases[BatchID],TblOutcomes[[#This Row],[BatchID]]))</f>
        <v>0</v>
      </c>
      <c r="Q2925" s="51">
        <f>IF(COUNTIF(TblPurchases[BatchID],TblOutcomes[[#This Row],[BatchID]])&lt;&gt;1,"n.a.",SUMIFS(TblPurchases[Purchase Date],TblPurchases[BatchID],TblOutcomes[[#This Row],[BatchID]]))</f>
        <v>45127</v>
      </c>
    </row>
    <row r="2926" spans="2:17" x14ac:dyDescent="0.25">
      <c r="B2926" s="2" t="s">
        <v>3731</v>
      </c>
      <c r="C2926" s="2" t="s">
        <v>314</v>
      </c>
      <c r="D2926" s="2" t="s">
        <v>71</v>
      </c>
      <c r="E2926" s="2" t="s">
        <v>4647</v>
      </c>
      <c r="F2926" s="2">
        <v>56</v>
      </c>
      <c r="G2926" s="2">
        <v>56</v>
      </c>
      <c r="H2926" s="2">
        <v>0</v>
      </c>
      <c r="I2926" s="1">
        <v>0</v>
      </c>
      <c r="J2926" s="26">
        <v>45186</v>
      </c>
      <c r="K2926" s="22">
        <v>28000</v>
      </c>
      <c r="L2926" s="18">
        <v>29.95</v>
      </c>
      <c r="M2926" s="22">
        <v>19600</v>
      </c>
      <c r="N2926" s="22">
        <v>8400</v>
      </c>
      <c r="O2926" s="18">
        <v>8.98</v>
      </c>
      <c r="P2926" s="52">
        <f>IF(COUNTIF(TblPurchases[BatchID],TblOutcomes[[#This Row],[BatchID]])&lt;&gt;1,"n.a.",TblOutcomes[[#This Row],[Qty Wasted]]*SUMIFS(TblPurchases[Unit Cost (CLP)],TblPurchases[BatchID],TblOutcomes[[#This Row],[BatchID]]))</f>
        <v>0</v>
      </c>
      <c r="Q2926" s="51">
        <f>IF(COUNTIF(TblPurchases[BatchID],TblOutcomes[[#This Row],[BatchID]])&lt;&gt;1,"n.a.",SUMIFS(TblPurchases[Purchase Date],TblPurchases[BatchID],TblOutcomes[[#This Row],[BatchID]]))</f>
        <v>45159</v>
      </c>
    </row>
    <row r="2927" spans="2:17" x14ac:dyDescent="0.25">
      <c r="B2927" s="2" t="s">
        <v>3732</v>
      </c>
      <c r="C2927" s="2" t="s">
        <v>314</v>
      </c>
      <c r="D2927" s="2" t="s">
        <v>71</v>
      </c>
      <c r="E2927" s="2" t="s">
        <v>4647</v>
      </c>
      <c r="F2927" s="2">
        <v>57</v>
      </c>
      <c r="G2927" s="2">
        <v>57</v>
      </c>
      <c r="H2927" s="2">
        <v>0</v>
      </c>
      <c r="I2927" s="1">
        <v>0</v>
      </c>
      <c r="J2927" s="26">
        <v>45231</v>
      </c>
      <c r="K2927" s="22">
        <v>28500</v>
      </c>
      <c r="L2927" s="18">
        <v>30.48</v>
      </c>
      <c r="M2927" s="22">
        <v>19950</v>
      </c>
      <c r="N2927" s="22">
        <v>8550</v>
      </c>
      <c r="O2927" s="18">
        <v>9.14</v>
      </c>
      <c r="P2927" s="52">
        <f>IF(COUNTIF(TblPurchases[BatchID],TblOutcomes[[#This Row],[BatchID]])&lt;&gt;1,"n.a.",TblOutcomes[[#This Row],[Qty Wasted]]*SUMIFS(TblPurchases[Unit Cost (CLP)],TblPurchases[BatchID],TblOutcomes[[#This Row],[BatchID]]))</f>
        <v>0</v>
      </c>
      <c r="Q2927" s="51">
        <f>IF(COUNTIF(TblPurchases[BatchID],TblOutcomes[[#This Row],[BatchID]])&lt;&gt;1,"n.a.",SUMIFS(TblPurchases[Purchase Date],TblPurchases[BatchID],TblOutcomes[[#This Row],[BatchID]]))</f>
        <v>45197</v>
      </c>
    </row>
    <row r="2928" spans="2:17" x14ac:dyDescent="0.25">
      <c r="B2928" s="2" t="s">
        <v>3733</v>
      </c>
      <c r="C2928" s="2" t="s">
        <v>314</v>
      </c>
      <c r="D2928" s="2" t="s">
        <v>71</v>
      </c>
      <c r="E2928" s="2" t="s">
        <v>4647</v>
      </c>
      <c r="F2928" s="2">
        <v>55</v>
      </c>
      <c r="G2928" s="2">
        <v>55</v>
      </c>
      <c r="H2928" s="2">
        <v>0</v>
      </c>
      <c r="I2928" s="1">
        <v>0</v>
      </c>
      <c r="J2928" s="26">
        <v>45255</v>
      </c>
      <c r="K2928" s="22">
        <v>27500</v>
      </c>
      <c r="L2928" s="18">
        <v>29.41</v>
      </c>
      <c r="M2928" s="22">
        <v>19250</v>
      </c>
      <c r="N2928" s="22">
        <v>8250</v>
      </c>
      <c r="O2928" s="18">
        <v>8.82</v>
      </c>
      <c r="P2928" s="52">
        <f>IF(COUNTIF(TblPurchases[BatchID],TblOutcomes[[#This Row],[BatchID]])&lt;&gt;1,"n.a.",TblOutcomes[[#This Row],[Qty Wasted]]*SUMIFS(TblPurchases[Unit Cost (CLP)],TblPurchases[BatchID],TblOutcomes[[#This Row],[BatchID]]))</f>
        <v>0</v>
      </c>
      <c r="Q2928" s="51">
        <f>IF(COUNTIF(TblPurchases[BatchID],TblOutcomes[[#This Row],[BatchID]])&lt;&gt;1,"n.a.",SUMIFS(TblPurchases[Purchase Date],TblPurchases[BatchID],TblOutcomes[[#This Row],[BatchID]]))</f>
        <v>45221</v>
      </c>
    </row>
    <row r="2929" spans="2:17" x14ac:dyDescent="0.25">
      <c r="B2929" s="2" t="s">
        <v>3734</v>
      </c>
      <c r="C2929" s="2" t="s">
        <v>314</v>
      </c>
      <c r="D2929" s="2" t="s">
        <v>71</v>
      </c>
      <c r="E2929" s="2" t="s">
        <v>4647</v>
      </c>
      <c r="F2929" s="2">
        <v>47</v>
      </c>
      <c r="G2929" s="2">
        <v>47</v>
      </c>
      <c r="H2929" s="2">
        <v>0</v>
      </c>
      <c r="I2929" s="1">
        <v>0</v>
      </c>
      <c r="J2929" s="26">
        <v>45284</v>
      </c>
      <c r="K2929" s="22">
        <v>23500</v>
      </c>
      <c r="L2929" s="18">
        <v>25.13</v>
      </c>
      <c r="M2929" s="22">
        <v>16450</v>
      </c>
      <c r="N2929" s="22">
        <v>7050</v>
      </c>
      <c r="O2929" s="18">
        <v>7.54</v>
      </c>
      <c r="P2929" s="52">
        <f>IF(COUNTIF(TblPurchases[BatchID],TblOutcomes[[#This Row],[BatchID]])&lt;&gt;1,"n.a.",TblOutcomes[[#This Row],[Qty Wasted]]*SUMIFS(TblPurchases[Unit Cost (CLP)],TblPurchases[BatchID],TblOutcomes[[#This Row],[BatchID]]))</f>
        <v>0</v>
      </c>
      <c r="Q2929" s="51">
        <f>IF(COUNTIF(TblPurchases[BatchID],TblOutcomes[[#This Row],[BatchID]])&lt;&gt;1,"n.a.",SUMIFS(TblPurchases[Purchase Date],TblPurchases[BatchID],TblOutcomes[[#This Row],[BatchID]]))</f>
        <v>45260</v>
      </c>
    </row>
    <row r="2930" spans="2:17" x14ac:dyDescent="0.25">
      <c r="B2930" s="2" t="s">
        <v>3735</v>
      </c>
      <c r="C2930" s="2" t="s">
        <v>314</v>
      </c>
      <c r="D2930" s="2" t="s">
        <v>71</v>
      </c>
      <c r="E2930" s="2" t="s">
        <v>4646</v>
      </c>
      <c r="F2930" s="2">
        <v>55</v>
      </c>
      <c r="G2930" s="2">
        <v>53.24</v>
      </c>
      <c r="H2930" s="2">
        <v>1.76</v>
      </c>
      <c r="I2930" s="1">
        <v>3.2</v>
      </c>
      <c r="J2930" s="26">
        <v>45599</v>
      </c>
      <c r="K2930" s="22">
        <v>26620</v>
      </c>
      <c r="L2930" s="18">
        <v>28.47</v>
      </c>
      <c r="M2930" s="22">
        <v>19250</v>
      </c>
      <c r="N2930" s="22">
        <v>7370</v>
      </c>
      <c r="O2930" s="18">
        <v>7.88</v>
      </c>
      <c r="P2930" s="52">
        <f>IF(COUNTIF(TblPurchases[BatchID],TblOutcomes[[#This Row],[BatchID]])&lt;&gt;1,"n.a.",TblOutcomes[[#This Row],[Qty Wasted]]*SUMIFS(TblPurchases[Unit Cost (CLP)],TblPurchases[BatchID],TblOutcomes[[#This Row],[BatchID]]))</f>
        <v>616</v>
      </c>
      <c r="Q2930" s="51">
        <f>IF(COUNTIF(TblPurchases[BatchID],TblOutcomes[[#This Row],[BatchID]])&lt;&gt;1,"n.a.",SUMIFS(TblPurchases[Purchase Date],TblPurchases[BatchID],TblOutcomes[[#This Row],[BatchID]]))</f>
        <v>45299</v>
      </c>
    </row>
    <row r="2931" spans="2:17" x14ac:dyDescent="0.25">
      <c r="B2931" s="2" t="s">
        <v>3736</v>
      </c>
      <c r="C2931" s="2" t="s">
        <v>314</v>
      </c>
      <c r="D2931" s="2" t="s">
        <v>71</v>
      </c>
      <c r="E2931" s="2" t="s">
        <v>4646</v>
      </c>
      <c r="F2931" s="2">
        <v>49</v>
      </c>
      <c r="G2931" s="2">
        <v>47.73</v>
      </c>
      <c r="H2931" s="2">
        <v>1.27</v>
      </c>
      <c r="I2931" s="1">
        <v>2.6</v>
      </c>
      <c r="J2931" s="26">
        <v>45636</v>
      </c>
      <c r="K2931" s="22">
        <v>23865</v>
      </c>
      <c r="L2931" s="18">
        <v>25.52</v>
      </c>
      <c r="M2931" s="22">
        <v>17150</v>
      </c>
      <c r="N2931" s="22">
        <v>6715</v>
      </c>
      <c r="O2931" s="18">
        <v>7.18</v>
      </c>
      <c r="P2931" s="52">
        <f>IF(COUNTIF(TblPurchases[BatchID],TblOutcomes[[#This Row],[BatchID]])&lt;&gt;1,"n.a.",TblOutcomes[[#This Row],[Qty Wasted]]*SUMIFS(TblPurchases[Unit Cost (CLP)],TblPurchases[BatchID],TblOutcomes[[#This Row],[BatchID]]))</f>
        <v>444.5</v>
      </c>
      <c r="Q2931" s="51">
        <f>IF(COUNTIF(TblPurchases[BatchID],TblOutcomes[[#This Row],[BatchID]])&lt;&gt;1,"n.a.",SUMIFS(TblPurchases[Purchase Date],TblPurchases[BatchID],TblOutcomes[[#This Row],[BatchID]]))</f>
        <v>45336</v>
      </c>
    </row>
    <row r="2932" spans="2:17" x14ac:dyDescent="0.25">
      <c r="B2932" s="2" t="s">
        <v>3737</v>
      </c>
      <c r="C2932" s="2" t="s">
        <v>314</v>
      </c>
      <c r="D2932" s="2" t="s">
        <v>71</v>
      </c>
      <c r="E2932" s="2" t="s">
        <v>4647</v>
      </c>
      <c r="F2932" s="2">
        <v>53</v>
      </c>
      <c r="G2932" s="2">
        <v>53</v>
      </c>
      <c r="H2932" s="2">
        <v>0</v>
      </c>
      <c r="I2932" s="1">
        <v>0</v>
      </c>
      <c r="J2932" s="26">
        <v>45407</v>
      </c>
      <c r="K2932" s="22">
        <v>26500</v>
      </c>
      <c r="L2932" s="18">
        <v>28.34</v>
      </c>
      <c r="M2932" s="22">
        <v>18550</v>
      </c>
      <c r="N2932" s="22">
        <v>7950</v>
      </c>
      <c r="O2932" s="18">
        <v>8.5</v>
      </c>
      <c r="P2932" s="52">
        <f>IF(COUNTIF(TblPurchases[BatchID],TblOutcomes[[#This Row],[BatchID]])&lt;&gt;1,"n.a.",TblOutcomes[[#This Row],[Qty Wasted]]*SUMIFS(TblPurchases[Unit Cost (CLP)],TblPurchases[BatchID],TblOutcomes[[#This Row],[BatchID]]))</f>
        <v>0</v>
      </c>
      <c r="Q2932" s="51">
        <f>IF(COUNTIF(TblPurchases[BatchID],TblOutcomes[[#This Row],[BatchID]])&lt;&gt;1,"n.a.",SUMIFS(TblPurchases[Purchase Date],TblPurchases[BatchID],TblOutcomes[[#This Row],[BatchID]]))</f>
        <v>45380</v>
      </c>
    </row>
    <row r="2933" spans="2:17" x14ac:dyDescent="0.25">
      <c r="B2933" s="2" t="s">
        <v>3738</v>
      </c>
      <c r="C2933" s="2" t="s">
        <v>314</v>
      </c>
      <c r="D2933" s="2" t="s">
        <v>71</v>
      </c>
      <c r="E2933" s="2" t="s">
        <v>4647</v>
      </c>
      <c r="F2933" s="2">
        <v>46</v>
      </c>
      <c r="G2933" s="2">
        <v>46</v>
      </c>
      <c r="H2933" s="2">
        <v>0</v>
      </c>
      <c r="I2933" s="1">
        <v>0</v>
      </c>
      <c r="J2933" s="26">
        <v>45706</v>
      </c>
      <c r="K2933" s="22">
        <v>23000</v>
      </c>
      <c r="L2933" s="18">
        <v>24.6</v>
      </c>
      <c r="M2933" s="22">
        <v>16100</v>
      </c>
      <c r="N2933" s="22">
        <v>6900</v>
      </c>
      <c r="O2933" s="18">
        <v>7.38</v>
      </c>
      <c r="P2933" s="52">
        <f>IF(COUNTIF(TblPurchases[BatchID],TblOutcomes[[#This Row],[BatchID]])&lt;&gt;1,"n.a.",TblOutcomes[[#This Row],[Qty Wasted]]*SUMIFS(TblPurchases[Unit Cost (CLP)],TblPurchases[BatchID],TblOutcomes[[#This Row],[BatchID]]))</f>
        <v>0</v>
      </c>
      <c r="Q2933" s="51">
        <f>IF(COUNTIF(TblPurchases[BatchID],TblOutcomes[[#This Row],[BatchID]])&lt;&gt;1,"n.a.",SUMIFS(TblPurchases[Purchase Date],TblPurchases[BatchID],TblOutcomes[[#This Row],[BatchID]]))</f>
        <v>45406</v>
      </c>
    </row>
    <row r="2934" spans="2:17" x14ac:dyDescent="0.25">
      <c r="B2934" s="2" t="s">
        <v>3739</v>
      </c>
      <c r="C2934" s="2" t="s">
        <v>314</v>
      </c>
      <c r="D2934" s="2" t="s">
        <v>71</v>
      </c>
      <c r="E2934" s="2" t="s">
        <v>4647</v>
      </c>
      <c r="F2934" s="2">
        <v>51</v>
      </c>
      <c r="G2934" s="2">
        <v>51</v>
      </c>
      <c r="H2934" s="2">
        <v>0</v>
      </c>
      <c r="I2934" s="1">
        <v>0</v>
      </c>
      <c r="J2934" s="26">
        <v>45484</v>
      </c>
      <c r="K2934" s="22">
        <v>25500</v>
      </c>
      <c r="L2934" s="18">
        <v>27.27</v>
      </c>
      <c r="M2934" s="22">
        <v>17850</v>
      </c>
      <c r="N2934" s="22">
        <v>7650</v>
      </c>
      <c r="O2934" s="18">
        <v>8.18</v>
      </c>
      <c r="P2934" s="52">
        <f>IF(COUNTIF(TblPurchases[BatchID],TblOutcomes[[#This Row],[BatchID]])&lt;&gt;1,"n.a.",TblOutcomes[[#This Row],[Qty Wasted]]*SUMIFS(TblPurchases[Unit Cost (CLP)],TblPurchases[BatchID],TblOutcomes[[#This Row],[BatchID]]))</f>
        <v>0</v>
      </c>
      <c r="Q2934" s="51">
        <f>IF(COUNTIF(TblPurchases[BatchID],TblOutcomes[[#This Row],[BatchID]])&lt;&gt;1,"n.a.",SUMIFS(TblPurchases[Purchase Date],TblPurchases[BatchID],TblOutcomes[[#This Row],[BatchID]]))</f>
        <v>45447</v>
      </c>
    </row>
    <row r="2935" spans="2:17" x14ac:dyDescent="0.25">
      <c r="B2935" s="2" t="s">
        <v>3740</v>
      </c>
      <c r="C2935" s="2" t="s">
        <v>314</v>
      </c>
      <c r="D2935" s="2" t="s">
        <v>71</v>
      </c>
      <c r="E2935" s="2" t="s">
        <v>4647</v>
      </c>
      <c r="F2935" s="2">
        <v>48</v>
      </c>
      <c r="G2935" s="2">
        <v>48</v>
      </c>
      <c r="H2935" s="2">
        <v>0</v>
      </c>
      <c r="I2935" s="1">
        <v>0</v>
      </c>
      <c r="J2935" s="26">
        <v>45503</v>
      </c>
      <c r="K2935" s="22">
        <v>24000</v>
      </c>
      <c r="L2935" s="18">
        <v>25.67</v>
      </c>
      <c r="M2935" s="22">
        <v>16800</v>
      </c>
      <c r="N2935" s="22">
        <v>7200</v>
      </c>
      <c r="O2935" s="18">
        <v>7.7</v>
      </c>
      <c r="P2935" s="52">
        <f>IF(COUNTIF(TblPurchases[BatchID],TblOutcomes[[#This Row],[BatchID]])&lt;&gt;1,"n.a.",TblOutcomes[[#This Row],[Qty Wasted]]*SUMIFS(TblPurchases[Unit Cost (CLP)],TblPurchases[BatchID],TblOutcomes[[#This Row],[BatchID]]))</f>
        <v>0</v>
      </c>
      <c r="Q2935" s="51">
        <f>IF(COUNTIF(TblPurchases[BatchID],TblOutcomes[[#This Row],[BatchID]])&lt;&gt;1,"n.a.",SUMIFS(TblPurchases[Purchase Date],TblPurchases[BatchID],TblOutcomes[[#This Row],[BatchID]]))</f>
        <v>45482</v>
      </c>
    </row>
    <row r="2936" spans="2:17" x14ac:dyDescent="0.25">
      <c r="B2936" s="2" t="s">
        <v>3741</v>
      </c>
      <c r="C2936" s="2" t="s">
        <v>314</v>
      </c>
      <c r="D2936" s="2" t="s">
        <v>71</v>
      </c>
      <c r="E2936" s="2" t="s">
        <v>4646</v>
      </c>
      <c r="F2936" s="2">
        <v>57</v>
      </c>
      <c r="G2936" s="2">
        <v>54.43</v>
      </c>
      <c r="H2936" s="2">
        <v>2.56</v>
      </c>
      <c r="I2936" s="1">
        <v>4.5</v>
      </c>
      <c r="J2936" s="26">
        <v>45810</v>
      </c>
      <c r="K2936" s="22">
        <v>27215</v>
      </c>
      <c r="L2936" s="18">
        <v>29.11</v>
      </c>
      <c r="M2936" s="22">
        <v>19950</v>
      </c>
      <c r="N2936" s="22">
        <v>7265</v>
      </c>
      <c r="O2936" s="18">
        <v>7.77</v>
      </c>
      <c r="P2936" s="52">
        <f>IF(COUNTIF(TblPurchases[BatchID],TblOutcomes[[#This Row],[BatchID]])&lt;&gt;1,"n.a.",TblOutcomes[[#This Row],[Qty Wasted]]*SUMIFS(TblPurchases[Unit Cost (CLP)],TblPurchases[BatchID],TblOutcomes[[#This Row],[BatchID]]))</f>
        <v>896</v>
      </c>
      <c r="Q2936" s="51">
        <f>IF(COUNTIF(TblPurchases[BatchID],TblOutcomes[[#This Row],[BatchID]])&lt;&gt;1,"n.a.",SUMIFS(TblPurchases[Purchase Date],TblPurchases[BatchID],TblOutcomes[[#This Row],[BatchID]]))</f>
        <v>45510</v>
      </c>
    </row>
    <row r="2937" spans="2:17" x14ac:dyDescent="0.25">
      <c r="B2937" s="2" t="s">
        <v>3742</v>
      </c>
      <c r="C2937" s="2" t="s">
        <v>314</v>
      </c>
      <c r="D2937" s="2" t="s">
        <v>71</v>
      </c>
      <c r="E2937" s="2" t="s">
        <v>4647</v>
      </c>
      <c r="F2937" s="2">
        <v>61</v>
      </c>
      <c r="G2937" s="2">
        <v>61</v>
      </c>
      <c r="H2937" s="2">
        <v>0</v>
      </c>
      <c r="I2937" s="1">
        <v>0</v>
      </c>
      <c r="J2937" s="26">
        <v>45566</v>
      </c>
      <c r="K2937" s="22">
        <v>30500</v>
      </c>
      <c r="L2937" s="18">
        <v>32.619999999999997</v>
      </c>
      <c r="M2937" s="22">
        <v>21350</v>
      </c>
      <c r="N2937" s="22">
        <v>9150</v>
      </c>
      <c r="O2937" s="18">
        <v>9.7899999999999991</v>
      </c>
      <c r="P2937" s="52">
        <f>IF(COUNTIF(TblPurchases[BatchID],TblOutcomes[[#This Row],[BatchID]])&lt;&gt;1,"n.a.",TblOutcomes[[#This Row],[Qty Wasted]]*SUMIFS(TblPurchases[Unit Cost (CLP)],TblPurchases[BatchID],TblOutcomes[[#This Row],[BatchID]]))</f>
        <v>0</v>
      </c>
      <c r="Q2937" s="51">
        <f>IF(COUNTIF(TblPurchases[BatchID],TblOutcomes[[#This Row],[BatchID]])&lt;&gt;1,"n.a.",SUMIFS(TblPurchases[Purchase Date],TblPurchases[BatchID],TblOutcomes[[#This Row],[BatchID]]))</f>
        <v>45544</v>
      </c>
    </row>
    <row r="2938" spans="2:17" x14ac:dyDescent="0.25">
      <c r="B2938" s="2" t="s">
        <v>3743</v>
      </c>
      <c r="C2938" s="2" t="s">
        <v>314</v>
      </c>
      <c r="D2938" s="2" t="s">
        <v>71</v>
      </c>
      <c r="E2938" s="2" t="s">
        <v>4647</v>
      </c>
      <c r="F2938" s="2">
        <v>49</v>
      </c>
      <c r="G2938" s="2">
        <v>49</v>
      </c>
      <c r="H2938" s="2">
        <v>0</v>
      </c>
      <c r="I2938" s="1">
        <v>0</v>
      </c>
      <c r="J2938" s="26">
        <v>45607</v>
      </c>
      <c r="K2938" s="22">
        <v>24500</v>
      </c>
      <c r="L2938" s="18">
        <v>26.2</v>
      </c>
      <c r="M2938" s="22">
        <v>17150</v>
      </c>
      <c r="N2938" s="22">
        <v>7350</v>
      </c>
      <c r="O2938" s="18">
        <v>7.86</v>
      </c>
      <c r="P2938" s="52">
        <f>IF(COUNTIF(TblPurchases[BatchID],TblOutcomes[[#This Row],[BatchID]])&lt;&gt;1,"n.a.",TblOutcomes[[#This Row],[Qty Wasted]]*SUMIFS(TblPurchases[Unit Cost (CLP)],TblPurchases[BatchID],TblOutcomes[[#This Row],[BatchID]]))</f>
        <v>0</v>
      </c>
      <c r="Q2938" s="51">
        <f>IF(COUNTIF(TblPurchases[BatchID],TblOutcomes[[#This Row],[BatchID]])&lt;&gt;1,"n.a.",SUMIFS(TblPurchases[Purchase Date],TblPurchases[BatchID],TblOutcomes[[#This Row],[BatchID]]))</f>
        <v>45575</v>
      </c>
    </row>
    <row r="2939" spans="2:17" x14ac:dyDescent="0.25">
      <c r="B2939" s="2" t="s">
        <v>3744</v>
      </c>
      <c r="C2939" s="2" t="s">
        <v>314</v>
      </c>
      <c r="D2939" s="2" t="s">
        <v>71</v>
      </c>
      <c r="E2939" s="2" t="s">
        <v>4646</v>
      </c>
      <c r="F2939" s="2">
        <v>50</v>
      </c>
      <c r="G2939" s="2">
        <v>48.95</v>
      </c>
      <c r="H2939" s="2">
        <v>1.05</v>
      </c>
      <c r="I2939" s="1">
        <v>2.1</v>
      </c>
      <c r="J2939" s="26">
        <v>45912</v>
      </c>
      <c r="K2939" s="22">
        <v>24475</v>
      </c>
      <c r="L2939" s="18">
        <v>26.18</v>
      </c>
      <c r="M2939" s="22">
        <v>17500</v>
      </c>
      <c r="N2939" s="22">
        <v>6975</v>
      </c>
      <c r="O2939" s="18">
        <v>7.46</v>
      </c>
      <c r="P2939" s="52">
        <f>IF(COUNTIF(TblPurchases[BatchID],TblOutcomes[[#This Row],[BatchID]])&lt;&gt;1,"n.a.",TblOutcomes[[#This Row],[Qty Wasted]]*SUMIFS(TblPurchases[Unit Cost (CLP)],TblPurchases[BatchID],TblOutcomes[[#This Row],[BatchID]]))</f>
        <v>367.5</v>
      </c>
      <c r="Q2939" s="51">
        <f>IF(COUNTIF(TblPurchases[BatchID],TblOutcomes[[#This Row],[BatchID]])&lt;&gt;1,"n.a.",SUMIFS(TblPurchases[Purchase Date],TblPurchases[BatchID],TblOutcomes[[#This Row],[BatchID]]))</f>
        <v>45612</v>
      </c>
    </row>
    <row r="2940" spans="2:17" x14ac:dyDescent="0.25">
      <c r="B2940" s="2" t="s">
        <v>3745</v>
      </c>
      <c r="C2940" s="2" t="s">
        <v>314</v>
      </c>
      <c r="D2940" s="2" t="s">
        <v>71</v>
      </c>
      <c r="E2940" s="2" t="s">
        <v>4646</v>
      </c>
      <c r="F2940" s="2">
        <v>47</v>
      </c>
      <c r="G2940" s="2">
        <v>45.78</v>
      </c>
      <c r="H2940" s="2">
        <v>1.22</v>
      </c>
      <c r="I2940" s="1">
        <v>2.6</v>
      </c>
      <c r="J2940" s="26">
        <v>45963</v>
      </c>
      <c r="K2940" s="22">
        <v>22890</v>
      </c>
      <c r="L2940" s="18">
        <v>24.48</v>
      </c>
      <c r="M2940" s="22">
        <v>16450</v>
      </c>
      <c r="N2940" s="22">
        <v>6440</v>
      </c>
      <c r="O2940" s="18">
        <v>6.89</v>
      </c>
      <c r="P2940" s="52">
        <f>IF(COUNTIF(TblPurchases[BatchID],TblOutcomes[[#This Row],[BatchID]])&lt;&gt;1,"n.a.",TblOutcomes[[#This Row],[Qty Wasted]]*SUMIFS(TblPurchases[Unit Cost (CLP)],TblPurchases[BatchID],TblOutcomes[[#This Row],[BatchID]]))</f>
        <v>427</v>
      </c>
      <c r="Q2940" s="51">
        <f>IF(COUNTIF(TblPurchases[BatchID],TblOutcomes[[#This Row],[BatchID]])&lt;&gt;1,"n.a.",SUMIFS(TblPurchases[Purchase Date],TblPurchases[BatchID],TblOutcomes[[#This Row],[BatchID]]))</f>
        <v>45663</v>
      </c>
    </row>
    <row r="2941" spans="2:17" x14ac:dyDescent="0.25">
      <c r="B2941" s="2" t="s">
        <v>3746</v>
      </c>
      <c r="C2941" s="2" t="s">
        <v>314</v>
      </c>
      <c r="D2941" s="2" t="s">
        <v>71</v>
      </c>
      <c r="E2941" s="2" t="s">
        <v>4647</v>
      </c>
      <c r="F2941" s="2">
        <v>53</v>
      </c>
      <c r="G2941" s="2">
        <v>53</v>
      </c>
      <c r="H2941" s="2">
        <v>0</v>
      </c>
      <c r="I2941" s="1">
        <v>0</v>
      </c>
      <c r="J2941" s="26">
        <v>45714</v>
      </c>
      <c r="K2941" s="22">
        <v>26500</v>
      </c>
      <c r="L2941" s="18">
        <v>28.34</v>
      </c>
      <c r="M2941" s="22">
        <v>18550</v>
      </c>
      <c r="N2941" s="22">
        <v>7950</v>
      </c>
      <c r="O2941" s="18">
        <v>8.5</v>
      </c>
      <c r="P2941" s="52">
        <f>IF(COUNTIF(TblPurchases[BatchID],TblOutcomes[[#This Row],[BatchID]])&lt;&gt;1,"n.a.",TblOutcomes[[#This Row],[Qty Wasted]]*SUMIFS(TblPurchases[Unit Cost (CLP)],TblPurchases[BatchID],TblOutcomes[[#This Row],[BatchID]]))</f>
        <v>0</v>
      </c>
      <c r="Q2941" s="51">
        <f>IF(COUNTIF(TblPurchases[BatchID],TblOutcomes[[#This Row],[BatchID]])&lt;&gt;1,"n.a.",SUMIFS(TblPurchases[Purchase Date],TblPurchases[BatchID],TblOutcomes[[#This Row],[BatchID]]))</f>
        <v>45695</v>
      </c>
    </row>
    <row r="2942" spans="2:17" x14ac:dyDescent="0.25">
      <c r="B2942" s="2" t="s">
        <v>3747</v>
      </c>
      <c r="C2942" s="2" t="s">
        <v>314</v>
      </c>
      <c r="D2942" s="2" t="s">
        <v>71</v>
      </c>
      <c r="E2942" s="2" t="s">
        <v>4646</v>
      </c>
      <c r="F2942" s="2">
        <v>51</v>
      </c>
      <c r="G2942" s="2">
        <v>49.21</v>
      </c>
      <c r="H2942" s="2">
        <v>1.79</v>
      </c>
      <c r="I2942" s="1">
        <v>3.5</v>
      </c>
      <c r="J2942" s="26">
        <v>46033</v>
      </c>
      <c r="K2942" s="22">
        <v>24605</v>
      </c>
      <c r="L2942" s="18">
        <v>26.32</v>
      </c>
      <c r="M2942" s="22">
        <v>17850</v>
      </c>
      <c r="N2942" s="22">
        <v>6755</v>
      </c>
      <c r="O2942" s="18">
        <v>7.22</v>
      </c>
      <c r="P2942" s="52">
        <f>IF(COUNTIF(TblPurchases[BatchID],TblOutcomes[[#This Row],[BatchID]])&lt;&gt;1,"n.a.",TblOutcomes[[#This Row],[Qty Wasted]]*SUMIFS(TblPurchases[Unit Cost (CLP)],TblPurchases[BatchID],TblOutcomes[[#This Row],[BatchID]]))</f>
        <v>626.5</v>
      </c>
      <c r="Q2942" s="51">
        <f>IF(COUNTIF(TblPurchases[BatchID],TblOutcomes[[#This Row],[BatchID]])&lt;&gt;1,"n.a.",SUMIFS(TblPurchases[Purchase Date],TblPurchases[BatchID],TblOutcomes[[#This Row],[BatchID]]))</f>
        <v>45733</v>
      </c>
    </row>
    <row r="2943" spans="2:17" x14ac:dyDescent="0.25">
      <c r="B2943" s="2" t="s">
        <v>3748</v>
      </c>
      <c r="C2943" s="2" t="s">
        <v>314</v>
      </c>
      <c r="D2943" s="2" t="s">
        <v>71</v>
      </c>
      <c r="E2943" s="2" t="s">
        <v>4647</v>
      </c>
      <c r="F2943" s="2">
        <v>62</v>
      </c>
      <c r="G2943" s="2">
        <v>62</v>
      </c>
      <c r="H2943" s="2">
        <v>0</v>
      </c>
      <c r="I2943" s="1">
        <v>0</v>
      </c>
      <c r="J2943" s="26">
        <v>45789</v>
      </c>
      <c r="K2943" s="22">
        <v>31000</v>
      </c>
      <c r="L2943" s="18">
        <v>33.159999999999997</v>
      </c>
      <c r="M2943" s="22">
        <v>21700</v>
      </c>
      <c r="N2943" s="22">
        <v>9300</v>
      </c>
      <c r="O2943" s="18">
        <v>9.9499999999999993</v>
      </c>
      <c r="P2943" s="52">
        <f>IF(COUNTIF(TblPurchases[BatchID],TblOutcomes[[#This Row],[BatchID]])&lt;&gt;1,"n.a.",TblOutcomes[[#This Row],[Qty Wasted]]*SUMIFS(TblPurchases[Unit Cost (CLP)],TblPurchases[BatchID],TblOutcomes[[#This Row],[BatchID]]))</f>
        <v>0</v>
      </c>
      <c r="Q2943" s="51">
        <f>IF(COUNTIF(TblPurchases[BatchID],TblOutcomes[[#This Row],[BatchID]])&lt;&gt;1,"n.a.",SUMIFS(TblPurchases[Purchase Date],TblPurchases[BatchID],TblOutcomes[[#This Row],[BatchID]]))</f>
        <v>45763</v>
      </c>
    </row>
    <row r="2944" spans="2:17" x14ac:dyDescent="0.25">
      <c r="B2944" s="2" t="s">
        <v>3749</v>
      </c>
      <c r="C2944" s="2" t="s">
        <v>314</v>
      </c>
      <c r="D2944" s="2" t="s">
        <v>71</v>
      </c>
      <c r="E2944" s="2" t="s">
        <v>4646</v>
      </c>
      <c r="F2944" s="2">
        <v>48</v>
      </c>
      <c r="G2944" s="2">
        <v>46.03</v>
      </c>
      <c r="H2944" s="2">
        <v>1.97</v>
      </c>
      <c r="I2944" s="1">
        <v>4.0999999999999996</v>
      </c>
      <c r="J2944" s="26">
        <v>46096</v>
      </c>
      <c r="K2944" s="22">
        <v>23015</v>
      </c>
      <c r="L2944" s="18">
        <v>24.61</v>
      </c>
      <c r="M2944" s="22">
        <v>16800</v>
      </c>
      <c r="N2944" s="22">
        <v>6215</v>
      </c>
      <c r="O2944" s="18">
        <v>6.65</v>
      </c>
      <c r="P2944" s="52">
        <f>IF(COUNTIF(TblPurchases[BatchID],TblOutcomes[[#This Row],[BatchID]])&lt;&gt;1,"n.a.",TblOutcomes[[#This Row],[Qty Wasted]]*SUMIFS(TblPurchases[Unit Cost (CLP)],TblPurchases[BatchID],TblOutcomes[[#This Row],[BatchID]]))</f>
        <v>689.5</v>
      </c>
      <c r="Q2944" s="51">
        <f>IF(COUNTIF(TblPurchases[BatchID],TblOutcomes[[#This Row],[BatchID]])&lt;&gt;1,"n.a.",SUMIFS(TblPurchases[Purchase Date],TblPurchases[BatchID],TblOutcomes[[#This Row],[BatchID]]))</f>
        <v>45796</v>
      </c>
    </row>
    <row r="2945" spans="2:17" x14ac:dyDescent="0.25">
      <c r="B2945" s="2" t="s">
        <v>3750</v>
      </c>
      <c r="C2945" s="2" t="s">
        <v>314</v>
      </c>
      <c r="D2945" s="2" t="s">
        <v>71</v>
      </c>
      <c r="E2945" s="2" t="s">
        <v>4647</v>
      </c>
      <c r="F2945" s="2">
        <v>59</v>
      </c>
      <c r="G2945" s="2">
        <v>59</v>
      </c>
      <c r="H2945" s="2">
        <v>0</v>
      </c>
      <c r="I2945" s="1">
        <v>0</v>
      </c>
      <c r="J2945" s="26">
        <v>45866</v>
      </c>
      <c r="K2945" s="22">
        <v>29500</v>
      </c>
      <c r="L2945" s="18">
        <v>31.55</v>
      </c>
      <c r="M2945" s="22">
        <v>20650</v>
      </c>
      <c r="N2945" s="22">
        <v>8850</v>
      </c>
      <c r="O2945" s="18">
        <v>9.4700000000000006</v>
      </c>
      <c r="P2945" s="52">
        <f>IF(COUNTIF(TblPurchases[BatchID],TblOutcomes[[#This Row],[BatchID]])&lt;&gt;1,"n.a.",TblOutcomes[[#This Row],[Qty Wasted]]*SUMIFS(TblPurchases[Unit Cost (CLP)],TblPurchases[BatchID],TblOutcomes[[#This Row],[BatchID]]))</f>
        <v>0</v>
      </c>
      <c r="Q2945" s="51">
        <f>IF(COUNTIF(TblPurchases[BatchID],TblOutcomes[[#This Row],[BatchID]])&lt;&gt;1,"n.a.",SUMIFS(TblPurchases[Purchase Date],TblPurchases[BatchID],TblOutcomes[[#This Row],[BatchID]]))</f>
        <v>45824</v>
      </c>
    </row>
    <row r="2946" spans="2:17" x14ac:dyDescent="0.25">
      <c r="B2946" s="2" t="s">
        <v>3751</v>
      </c>
      <c r="C2946" s="2" t="s">
        <v>316</v>
      </c>
      <c r="D2946" s="2" t="s">
        <v>71</v>
      </c>
      <c r="E2946" s="2" t="s">
        <v>4647</v>
      </c>
      <c r="F2946" s="2">
        <v>78</v>
      </c>
      <c r="G2946" s="2">
        <v>78</v>
      </c>
      <c r="H2946" s="2">
        <v>0</v>
      </c>
      <c r="I2946" s="1">
        <v>0</v>
      </c>
      <c r="J2946" s="26">
        <v>45138</v>
      </c>
      <c r="K2946" s="22">
        <v>78000</v>
      </c>
      <c r="L2946" s="18">
        <v>83.42</v>
      </c>
      <c r="M2946" s="22">
        <v>54600</v>
      </c>
      <c r="N2946" s="22">
        <v>23400</v>
      </c>
      <c r="O2946" s="18">
        <v>25.03</v>
      </c>
      <c r="P2946" s="52">
        <f>IF(COUNTIF(TblPurchases[BatchID],TblOutcomes[[#This Row],[BatchID]])&lt;&gt;1,"n.a.",TblOutcomes[[#This Row],[Qty Wasted]]*SUMIFS(TblPurchases[Unit Cost (CLP)],TblPurchases[BatchID],TblOutcomes[[#This Row],[BatchID]]))</f>
        <v>0</v>
      </c>
      <c r="Q2946" s="51">
        <f>IF(COUNTIF(TblPurchases[BatchID],TblOutcomes[[#This Row],[BatchID]])&lt;&gt;1,"n.a.",SUMIFS(TblPurchases[Purchase Date],TblPurchases[BatchID],TblOutcomes[[#This Row],[BatchID]]))</f>
        <v>45108</v>
      </c>
    </row>
    <row r="2947" spans="2:17" x14ac:dyDescent="0.25">
      <c r="B2947" s="2" t="s">
        <v>3752</v>
      </c>
      <c r="C2947" s="2" t="s">
        <v>316</v>
      </c>
      <c r="D2947" s="2" t="s">
        <v>71</v>
      </c>
      <c r="E2947" s="2" t="s">
        <v>4646</v>
      </c>
      <c r="F2947" s="2">
        <v>73</v>
      </c>
      <c r="G2947" s="2">
        <v>71.25</v>
      </c>
      <c r="H2947" s="2">
        <v>1.75</v>
      </c>
      <c r="I2947" s="1">
        <v>2.4</v>
      </c>
      <c r="J2947" s="26">
        <v>45436</v>
      </c>
      <c r="K2947" s="22">
        <v>71250</v>
      </c>
      <c r="L2947" s="18">
        <v>76.2</v>
      </c>
      <c r="M2947" s="22">
        <v>51100</v>
      </c>
      <c r="N2947" s="22">
        <v>20150</v>
      </c>
      <c r="O2947" s="18">
        <v>21.55</v>
      </c>
      <c r="P2947" s="52">
        <f>IF(COUNTIF(TblPurchases[BatchID],TblOutcomes[[#This Row],[BatchID]])&lt;&gt;1,"n.a.",TblOutcomes[[#This Row],[Qty Wasted]]*SUMIFS(TblPurchases[Unit Cost (CLP)],TblPurchases[BatchID],TblOutcomes[[#This Row],[BatchID]]))</f>
        <v>1225</v>
      </c>
      <c r="Q2947" s="51">
        <f>IF(COUNTIF(TblPurchases[BatchID],TblOutcomes[[#This Row],[BatchID]])&lt;&gt;1,"n.a.",SUMIFS(TblPurchases[Purchase Date],TblPurchases[BatchID],TblOutcomes[[#This Row],[BatchID]]))</f>
        <v>45136</v>
      </c>
    </row>
    <row r="2948" spans="2:17" x14ac:dyDescent="0.25">
      <c r="B2948" s="2" t="s">
        <v>3753</v>
      </c>
      <c r="C2948" s="2" t="s">
        <v>316</v>
      </c>
      <c r="D2948" s="2" t="s">
        <v>71</v>
      </c>
      <c r="E2948" s="2" t="s">
        <v>4647</v>
      </c>
      <c r="F2948" s="2">
        <v>106</v>
      </c>
      <c r="G2948" s="2">
        <v>106</v>
      </c>
      <c r="H2948" s="2">
        <v>0</v>
      </c>
      <c r="I2948" s="1">
        <v>0</v>
      </c>
      <c r="J2948" s="26">
        <v>45213</v>
      </c>
      <c r="K2948" s="22">
        <v>106000</v>
      </c>
      <c r="L2948" s="18">
        <v>113.37</v>
      </c>
      <c r="M2948" s="22">
        <v>74200</v>
      </c>
      <c r="N2948" s="22">
        <v>31800</v>
      </c>
      <c r="O2948" s="18">
        <v>34.01</v>
      </c>
      <c r="P2948" s="52">
        <f>IF(COUNTIF(TblPurchases[BatchID],TblOutcomes[[#This Row],[BatchID]])&lt;&gt;1,"n.a.",TblOutcomes[[#This Row],[Qty Wasted]]*SUMIFS(TblPurchases[Unit Cost (CLP)],TblPurchases[BatchID],TblOutcomes[[#This Row],[BatchID]]))</f>
        <v>0</v>
      </c>
      <c r="Q2948" s="51">
        <f>IF(COUNTIF(TblPurchases[BatchID],TblOutcomes[[#This Row],[BatchID]])&lt;&gt;1,"n.a.",SUMIFS(TblPurchases[Purchase Date],TblPurchases[BatchID],TblOutcomes[[#This Row],[BatchID]]))</f>
        <v>45172</v>
      </c>
    </row>
    <row r="2949" spans="2:17" x14ac:dyDescent="0.25">
      <c r="B2949" s="2" t="s">
        <v>3754</v>
      </c>
      <c r="C2949" s="2" t="s">
        <v>316</v>
      </c>
      <c r="D2949" s="2" t="s">
        <v>71</v>
      </c>
      <c r="E2949" s="2" t="s">
        <v>4646</v>
      </c>
      <c r="F2949" s="2">
        <v>32</v>
      </c>
      <c r="G2949" s="2">
        <v>29.79</v>
      </c>
      <c r="H2949" s="2">
        <v>2.21</v>
      </c>
      <c r="I2949" s="1">
        <v>6.9</v>
      </c>
      <c r="J2949" s="26">
        <v>45501</v>
      </c>
      <c r="K2949" s="22">
        <v>29790</v>
      </c>
      <c r="L2949" s="18">
        <v>31.86</v>
      </c>
      <c r="M2949" s="22">
        <v>22400</v>
      </c>
      <c r="N2949" s="22">
        <v>7390</v>
      </c>
      <c r="O2949" s="18">
        <v>7.9</v>
      </c>
      <c r="P2949" s="52">
        <f>IF(COUNTIF(TblPurchases[BatchID],TblOutcomes[[#This Row],[BatchID]])&lt;&gt;1,"n.a.",TblOutcomes[[#This Row],[Qty Wasted]]*SUMIFS(TblPurchases[Unit Cost (CLP)],TblPurchases[BatchID],TblOutcomes[[#This Row],[BatchID]]))</f>
        <v>1547</v>
      </c>
      <c r="Q2949" s="51">
        <f>IF(COUNTIF(TblPurchases[BatchID],TblOutcomes[[#This Row],[BatchID]])&lt;&gt;1,"n.a.",SUMIFS(TblPurchases[Purchase Date],TblPurchases[BatchID],TblOutcomes[[#This Row],[BatchID]]))</f>
        <v>45201</v>
      </c>
    </row>
    <row r="2950" spans="2:17" x14ac:dyDescent="0.25">
      <c r="B2950" s="2" t="s">
        <v>3755</v>
      </c>
      <c r="C2950" s="2" t="s">
        <v>316</v>
      </c>
      <c r="D2950" s="2" t="s">
        <v>71</v>
      </c>
      <c r="E2950" s="2" t="s">
        <v>4646</v>
      </c>
      <c r="F2950" s="2">
        <v>26</v>
      </c>
      <c r="G2950" s="2">
        <v>24.6</v>
      </c>
      <c r="H2950" s="2">
        <v>1.4</v>
      </c>
      <c r="I2950" s="1">
        <v>5.4</v>
      </c>
      <c r="J2950" s="26">
        <v>45532</v>
      </c>
      <c r="K2950" s="22">
        <v>24600</v>
      </c>
      <c r="L2950" s="18">
        <v>26.31</v>
      </c>
      <c r="M2950" s="22">
        <v>18200</v>
      </c>
      <c r="N2950" s="22">
        <v>6400</v>
      </c>
      <c r="O2950" s="18">
        <v>6.84</v>
      </c>
      <c r="P2950" s="52">
        <f>IF(COUNTIF(TblPurchases[BatchID],TblOutcomes[[#This Row],[BatchID]])&lt;&gt;1,"n.a.",TblOutcomes[[#This Row],[Qty Wasted]]*SUMIFS(TblPurchases[Unit Cost (CLP)],TblPurchases[BatchID],TblOutcomes[[#This Row],[BatchID]]))</f>
        <v>979.99999999999989</v>
      </c>
      <c r="Q2950" s="51">
        <f>IF(COUNTIF(TblPurchases[BatchID],TblOutcomes[[#This Row],[BatchID]])&lt;&gt;1,"n.a.",SUMIFS(TblPurchases[Purchase Date],TblPurchases[BatchID],TblOutcomes[[#This Row],[BatchID]]))</f>
        <v>45232</v>
      </c>
    </row>
    <row r="2951" spans="2:17" x14ac:dyDescent="0.25">
      <c r="B2951" s="2" t="s">
        <v>3756</v>
      </c>
      <c r="C2951" s="2" t="s">
        <v>316</v>
      </c>
      <c r="D2951" s="2" t="s">
        <v>71</v>
      </c>
      <c r="E2951" s="2" t="s">
        <v>4646</v>
      </c>
      <c r="F2951" s="2">
        <v>33</v>
      </c>
      <c r="G2951" s="2">
        <v>32.11</v>
      </c>
      <c r="H2951" s="2">
        <v>0.89</v>
      </c>
      <c r="I2951" s="1">
        <v>2.7</v>
      </c>
      <c r="J2951" s="26">
        <v>45566</v>
      </c>
      <c r="K2951" s="22">
        <v>32110</v>
      </c>
      <c r="L2951" s="18">
        <v>34.340000000000003</v>
      </c>
      <c r="M2951" s="22">
        <v>23100</v>
      </c>
      <c r="N2951" s="22">
        <v>9010</v>
      </c>
      <c r="O2951" s="18">
        <v>9.64</v>
      </c>
      <c r="P2951" s="52">
        <f>IF(COUNTIF(TblPurchases[BatchID],TblOutcomes[[#This Row],[BatchID]])&lt;&gt;1,"n.a.",TblOutcomes[[#This Row],[Qty Wasted]]*SUMIFS(TblPurchases[Unit Cost (CLP)],TblPurchases[BatchID],TblOutcomes[[#This Row],[BatchID]]))</f>
        <v>623</v>
      </c>
      <c r="Q2951" s="51">
        <f>IF(COUNTIF(TblPurchases[BatchID],TblOutcomes[[#This Row],[BatchID]])&lt;&gt;1,"n.a.",SUMIFS(TblPurchases[Purchase Date],TblPurchases[BatchID],TblOutcomes[[#This Row],[BatchID]]))</f>
        <v>45266</v>
      </c>
    </row>
    <row r="2952" spans="2:17" x14ac:dyDescent="0.25">
      <c r="B2952" s="2" t="s">
        <v>3757</v>
      </c>
      <c r="C2952" s="2" t="s">
        <v>316</v>
      </c>
      <c r="D2952" s="2" t="s">
        <v>71</v>
      </c>
      <c r="E2952" s="2" t="s">
        <v>4647</v>
      </c>
      <c r="F2952" s="2">
        <v>34</v>
      </c>
      <c r="G2952" s="2">
        <v>34</v>
      </c>
      <c r="H2952" s="2">
        <v>0</v>
      </c>
      <c r="I2952" s="1">
        <v>0</v>
      </c>
      <c r="J2952" s="26">
        <v>45331</v>
      </c>
      <c r="K2952" s="22">
        <v>34000</v>
      </c>
      <c r="L2952" s="18">
        <v>36.36</v>
      </c>
      <c r="M2952" s="22">
        <v>23800</v>
      </c>
      <c r="N2952" s="22">
        <v>10200</v>
      </c>
      <c r="O2952" s="18">
        <v>10.91</v>
      </c>
      <c r="P2952" s="52">
        <f>IF(COUNTIF(TblPurchases[BatchID],TblOutcomes[[#This Row],[BatchID]])&lt;&gt;1,"n.a.",TblOutcomes[[#This Row],[Qty Wasted]]*SUMIFS(TblPurchases[Unit Cost (CLP)],TblPurchases[BatchID],TblOutcomes[[#This Row],[BatchID]]))</f>
        <v>0</v>
      </c>
      <c r="Q2952" s="51">
        <f>IF(COUNTIF(TblPurchases[BatchID],TblOutcomes[[#This Row],[BatchID]])&lt;&gt;1,"n.a.",SUMIFS(TblPurchases[Purchase Date],TblPurchases[BatchID],TblOutcomes[[#This Row],[BatchID]]))</f>
        <v>45299</v>
      </c>
    </row>
    <row r="2953" spans="2:17" x14ac:dyDescent="0.25">
      <c r="B2953" s="2" t="s">
        <v>3758</v>
      </c>
      <c r="C2953" s="2" t="s">
        <v>316</v>
      </c>
      <c r="D2953" s="2" t="s">
        <v>71</v>
      </c>
      <c r="E2953" s="2" t="s">
        <v>4646</v>
      </c>
      <c r="F2953" s="2">
        <v>26</v>
      </c>
      <c r="G2953" s="2">
        <v>24.8</v>
      </c>
      <c r="H2953" s="2">
        <v>1.2</v>
      </c>
      <c r="I2953" s="1">
        <v>4.5999999999999996</v>
      </c>
      <c r="J2953" s="26">
        <v>45643</v>
      </c>
      <c r="K2953" s="22">
        <v>24800</v>
      </c>
      <c r="L2953" s="18">
        <v>26.52</v>
      </c>
      <c r="M2953" s="22">
        <v>18200</v>
      </c>
      <c r="N2953" s="22">
        <v>6600</v>
      </c>
      <c r="O2953" s="18">
        <v>7.06</v>
      </c>
      <c r="P2953" s="52">
        <f>IF(COUNTIF(TblPurchases[BatchID],TblOutcomes[[#This Row],[BatchID]])&lt;&gt;1,"n.a.",TblOutcomes[[#This Row],[Qty Wasted]]*SUMIFS(TblPurchases[Unit Cost (CLP)],TblPurchases[BatchID],TblOutcomes[[#This Row],[BatchID]]))</f>
        <v>840</v>
      </c>
      <c r="Q2953" s="51">
        <f>IF(COUNTIF(TblPurchases[BatchID],TblOutcomes[[#This Row],[BatchID]])&lt;&gt;1,"n.a.",SUMIFS(TblPurchases[Purchase Date],TblPurchases[BatchID],TblOutcomes[[#This Row],[BatchID]]))</f>
        <v>45343</v>
      </c>
    </row>
    <row r="2954" spans="2:17" x14ac:dyDescent="0.25">
      <c r="B2954" s="2" t="s">
        <v>3759</v>
      </c>
      <c r="C2954" s="2" t="s">
        <v>316</v>
      </c>
      <c r="D2954" s="2" t="s">
        <v>71</v>
      </c>
      <c r="E2954" s="2" t="s">
        <v>4646</v>
      </c>
      <c r="F2954" s="2">
        <v>28</v>
      </c>
      <c r="G2954" s="2">
        <v>26.6</v>
      </c>
      <c r="H2954" s="2">
        <v>1.4</v>
      </c>
      <c r="I2954" s="1">
        <v>5</v>
      </c>
      <c r="J2954" s="26">
        <v>45673</v>
      </c>
      <c r="K2954" s="22">
        <v>26600</v>
      </c>
      <c r="L2954" s="18">
        <v>28.45</v>
      </c>
      <c r="M2954" s="22">
        <v>19600</v>
      </c>
      <c r="N2954" s="22">
        <v>7000</v>
      </c>
      <c r="O2954" s="18">
        <v>7.49</v>
      </c>
      <c r="P2954" s="52">
        <f>IF(COUNTIF(TblPurchases[BatchID],TblOutcomes[[#This Row],[BatchID]])&lt;&gt;1,"n.a.",TblOutcomes[[#This Row],[Qty Wasted]]*SUMIFS(TblPurchases[Unit Cost (CLP)],TblPurchases[BatchID],TblOutcomes[[#This Row],[BatchID]]))</f>
        <v>979.99999999999989</v>
      </c>
      <c r="Q2954" s="51">
        <f>IF(COUNTIF(TblPurchases[BatchID],TblOutcomes[[#This Row],[BatchID]])&lt;&gt;1,"n.a.",SUMIFS(TblPurchases[Purchase Date],TblPurchases[BatchID],TblOutcomes[[#This Row],[BatchID]]))</f>
        <v>45373</v>
      </c>
    </row>
    <row r="2955" spans="2:17" x14ac:dyDescent="0.25">
      <c r="B2955" s="2" t="s">
        <v>3760</v>
      </c>
      <c r="C2955" s="2" t="s">
        <v>316</v>
      </c>
      <c r="D2955" s="2" t="s">
        <v>71</v>
      </c>
      <c r="E2955" s="2" t="s">
        <v>4647</v>
      </c>
      <c r="F2955" s="2">
        <v>73</v>
      </c>
      <c r="G2955" s="2">
        <v>73</v>
      </c>
      <c r="H2955" s="2">
        <v>0</v>
      </c>
      <c r="I2955" s="1">
        <v>0</v>
      </c>
      <c r="J2955" s="26">
        <v>45439</v>
      </c>
      <c r="K2955" s="22">
        <v>73000</v>
      </c>
      <c r="L2955" s="18">
        <v>78.069999999999993</v>
      </c>
      <c r="M2955" s="22">
        <v>51100</v>
      </c>
      <c r="N2955" s="22">
        <v>21900</v>
      </c>
      <c r="O2955" s="18">
        <v>23.42</v>
      </c>
      <c r="P2955" s="52">
        <f>IF(COUNTIF(TblPurchases[BatchID],TblOutcomes[[#This Row],[BatchID]])&lt;&gt;1,"n.a.",TblOutcomes[[#This Row],[Qty Wasted]]*SUMIFS(TblPurchases[Unit Cost (CLP)],TblPurchases[BatchID],TblOutcomes[[#This Row],[BatchID]]))</f>
        <v>0</v>
      </c>
      <c r="Q2955" s="51">
        <f>IF(COUNTIF(TblPurchases[BatchID],TblOutcomes[[#This Row],[BatchID]])&lt;&gt;1,"n.a.",SUMIFS(TblPurchases[Purchase Date],TblPurchases[BatchID],TblOutcomes[[#This Row],[BatchID]]))</f>
        <v>45403</v>
      </c>
    </row>
    <row r="2956" spans="2:17" x14ac:dyDescent="0.25">
      <c r="B2956" s="2" t="s">
        <v>3761</v>
      </c>
      <c r="C2956" s="2" t="s">
        <v>316</v>
      </c>
      <c r="D2956" s="2" t="s">
        <v>71</v>
      </c>
      <c r="E2956" s="2" t="s">
        <v>4646</v>
      </c>
      <c r="F2956" s="2">
        <v>86</v>
      </c>
      <c r="G2956" s="2">
        <v>83.16</v>
      </c>
      <c r="H2956" s="2">
        <v>2.84</v>
      </c>
      <c r="I2956" s="1">
        <v>3.3</v>
      </c>
      <c r="J2956" s="26">
        <v>45738</v>
      </c>
      <c r="K2956" s="22">
        <v>83160</v>
      </c>
      <c r="L2956" s="18">
        <v>88.94</v>
      </c>
      <c r="M2956" s="22">
        <v>60200</v>
      </c>
      <c r="N2956" s="22">
        <v>22960</v>
      </c>
      <c r="O2956" s="18">
        <v>24.56</v>
      </c>
      <c r="P2956" s="52">
        <f>IF(COUNTIF(TblPurchases[BatchID],TblOutcomes[[#This Row],[BatchID]])&lt;&gt;1,"n.a.",TblOutcomes[[#This Row],[Qty Wasted]]*SUMIFS(TblPurchases[Unit Cost (CLP)],TblPurchases[BatchID],TblOutcomes[[#This Row],[BatchID]]))</f>
        <v>1988</v>
      </c>
      <c r="Q2956" s="51">
        <f>IF(COUNTIF(TblPurchases[BatchID],TblOutcomes[[#This Row],[BatchID]])&lt;&gt;1,"n.a.",SUMIFS(TblPurchases[Purchase Date],TblPurchases[BatchID],TblOutcomes[[#This Row],[BatchID]]))</f>
        <v>45438</v>
      </c>
    </row>
    <row r="2957" spans="2:17" x14ac:dyDescent="0.25">
      <c r="B2957" s="2" t="s">
        <v>3762</v>
      </c>
      <c r="C2957" s="2" t="s">
        <v>316</v>
      </c>
      <c r="D2957" s="2" t="s">
        <v>71</v>
      </c>
      <c r="E2957" s="2" t="s">
        <v>4646</v>
      </c>
      <c r="F2957" s="2">
        <v>70</v>
      </c>
      <c r="G2957" s="2">
        <v>67.83</v>
      </c>
      <c r="H2957" s="2">
        <v>2.17</v>
      </c>
      <c r="I2957" s="1">
        <v>3.1</v>
      </c>
      <c r="J2957" s="26">
        <v>45765</v>
      </c>
      <c r="K2957" s="22">
        <v>67830</v>
      </c>
      <c r="L2957" s="18">
        <v>72.55</v>
      </c>
      <c r="M2957" s="22">
        <v>49000</v>
      </c>
      <c r="N2957" s="22">
        <v>18830</v>
      </c>
      <c r="O2957" s="18">
        <v>20.14</v>
      </c>
      <c r="P2957" s="52">
        <f>IF(COUNTIF(TblPurchases[BatchID],TblOutcomes[[#This Row],[BatchID]])&lt;&gt;1,"n.a.",TblOutcomes[[#This Row],[Qty Wasted]]*SUMIFS(TblPurchases[Unit Cost (CLP)],TblPurchases[BatchID],TblOutcomes[[#This Row],[BatchID]]))</f>
        <v>1519</v>
      </c>
      <c r="Q2957" s="51">
        <f>IF(COUNTIF(TblPurchases[BatchID],TblOutcomes[[#This Row],[BatchID]])&lt;&gt;1,"n.a.",SUMIFS(TblPurchases[Purchase Date],TblPurchases[BatchID],TblOutcomes[[#This Row],[BatchID]]))</f>
        <v>45465</v>
      </c>
    </row>
    <row r="2958" spans="2:17" x14ac:dyDescent="0.25">
      <c r="B2958" s="2" t="s">
        <v>3763</v>
      </c>
      <c r="C2958" s="2" t="s">
        <v>316</v>
      </c>
      <c r="D2958" s="2" t="s">
        <v>71</v>
      </c>
      <c r="E2958" s="2" t="s">
        <v>4647</v>
      </c>
      <c r="F2958" s="2">
        <v>70</v>
      </c>
      <c r="G2958" s="2">
        <v>70</v>
      </c>
      <c r="H2958" s="2">
        <v>0</v>
      </c>
      <c r="I2958" s="1">
        <v>0</v>
      </c>
      <c r="J2958" s="26">
        <v>45533</v>
      </c>
      <c r="K2958" s="22">
        <v>70000</v>
      </c>
      <c r="L2958" s="18">
        <v>74.87</v>
      </c>
      <c r="M2958" s="22">
        <v>49000</v>
      </c>
      <c r="N2958" s="22">
        <v>21000</v>
      </c>
      <c r="O2958" s="18">
        <v>22.46</v>
      </c>
      <c r="P2958" s="52">
        <f>IF(COUNTIF(TblPurchases[BatchID],TblOutcomes[[#This Row],[BatchID]])&lt;&gt;1,"n.a.",TblOutcomes[[#This Row],[Qty Wasted]]*SUMIFS(TblPurchases[Unit Cost (CLP)],TblPurchases[BatchID],TblOutcomes[[#This Row],[BatchID]]))</f>
        <v>0</v>
      </c>
      <c r="Q2958" s="51">
        <f>IF(COUNTIF(TblPurchases[BatchID],TblOutcomes[[#This Row],[BatchID]])&lt;&gt;1,"n.a.",SUMIFS(TblPurchases[Purchase Date],TblPurchases[BatchID],TblOutcomes[[#This Row],[BatchID]]))</f>
        <v>45504</v>
      </c>
    </row>
    <row r="2959" spans="2:17" x14ac:dyDescent="0.25">
      <c r="B2959" s="2" t="s">
        <v>3764</v>
      </c>
      <c r="C2959" s="2" t="s">
        <v>316</v>
      </c>
      <c r="D2959" s="2" t="s">
        <v>71</v>
      </c>
      <c r="E2959" s="2" t="s">
        <v>4646</v>
      </c>
      <c r="F2959" s="2">
        <v>98</v>
      </c>
      <c r="G2959" s="2">
        <v>95.26</v>
      </c>
      <c r="H2959" s="2">
        <v>2.74</v>
      </c>
      <c r="I2959" s="1">
        <v>2.8</v>
      </c>
      <c r="J2959" s="26">
        <v>45843</v>
      </c>
      <c r="K2959" s="22">
        <v>95260</v>
      </c>
      <c r="L2959" s="18">
        <v>101.88</v>
      </c>
      <c r="M2959" s="22">
        <v>68600</v>
      </c>
      <c r="N2959" s="22">
        <v>26660</v>
      </c>
      <c r="O2959" s="18">
        <v>28.51</v>
      </c>
      <c r="P2959" s="52">
        <f>IF(COUNTIF(TblPurchases[BatchID],TblOutcomes[[#This Row],[BatchID]])&lt;&gt;1,"n.a.",TblOutcomes[[#This Row],[Qty Wasted]]*SUMIFS(TblPurchases[Unit Cost (CLP)],TblPurchases[BatchID],TblOutcomes[[#This Row],[BatchID]]))</f>
        <v>1918.0000000000002</v>
      </c>
      <c r="Q2959" s="51">
        <f>IF(COUNTIF(TblPurchases[BatchID],TblOutcomes[[#This Row],[BatchID]])&lt;&gt;1,"n.a.",SUMIFS(TblPurchases[Purchase Date],TblPurchases[BatchID],TblOutcomes[[#This Row],[BatchID]]))</f>
        <v>45543</v>
      </c>
    </row>
    <row r="2960" spans="2:17" x14ac:dyDescent="0.25">
      <c r="B2960" s="2" t="s">
        <v>3765</v>
      </c>
      <c r="C2960" s="2" t="s">
        <v>316</v>
      </c>
      <c r="D2960" s="2" t="s">
        <v>71</v>
      </c>
      <c r="E2960" s="2" t="s">
        <v>4646</v>
      </c>
      <c r="F2960" s="2">
        <v>33</v>
      </c>
      <c r="G2960" s="2">
        <v>31.71</v>
      </c>
      <c r="H2960" s="2">
        <v>1.29</v>
      </c>
      <c r="I2960" s="1">
        <v>3.9</v>
      </c>
      <c r="J2960" s="26">
        <v>45878</v>
      </c>
      <c r="K2960" s="22">
        <v>31710</v>
      </c>
      <c r="L2960" s="18">
        <v>33.909999999999997</v>
      </c>
      <c r="M2960" s="22">
        <v>23100</v>
      </c>
      <c r="N2960" s="22">
        <v>8610</v>
      </c>
      <c r="O2960" s="18">
        <v>9.2100000000000009</v>
      </c>
      <c r="P2960" s="52">
        <f>IF(COUNTIF(TblPurchases[BatchID],TblOutcomes[[#This Row],[BatchID]])&lt;&gt;1,"n.a.",TblOutcomes[[#This Row],[Qty Wasted]]*SUMIFS(TblPurchases[Unit Cost (CLP)],TblPurchases[BatchID],TblOutcomes[[#This Row],[BatchID]]))</f>
        <v>903</v>
      </c>
      <c r="Q2960" s="51">
        <f>IF(COUNTIF(TblPurchases[BatchID],TblOutcomes[[#This Row],[BatchID]])&lt;&gt;1,"n.a.",SUMIFS(TblPurchases[Purchase Date],TblPurchases[BatchID],TblOutcomes[[#This Row],[BatchID]]))</f>
        <v>45578</v>
      </c>
    </row>
    <row r="2961" spans="2:17" x14ac:dyDescent="0.25">
      <c r="B2961" s="2" t="s">
        <v>3766</v>
      </c>
      <c r="C2961" s="2" t="s">
        <v>316</v>
      </c>
      <c r="D2961" s="2" t="s">
        <v>71</v>
      </c>
      <c r="E2961" s="2" t="s">
        <v>4646</v>
      </c>
      <c r="F2961" s="2">
        <v>33</v>
      </c>
      <c r="G2961" s="2">
        <v>30.86</v>
      </c>
      <c r="H2961" s="2">
        <v>2.15</v>
      </c>
      <c r="I2961" s="1">
        <v>6.5</v>
      </c>
      <c r="J2961" s="26">
        <v>45918</v>
      </c>
      <c r="K2961" s="22">
        <v>30860</v>
      </c>
      <c r="L2961" s="18">
        <v>33.01</v>
      </c>
      <c r="M2961" s="22">
        <v>23100</v>
      </c>
      <c r="N2961" s="22">
        <v>7760</v>
      </c>
      <c r="O2961" s="18">
        <v>8.3000000000000007</v>
      </c>
      <c r="P2961" s="52">
        <f>IF(COUNTIF(TblPurchases[BatchID],TblOutcomes[[#This Row],[BatchID]])&lt;&gt;1,"n.a.",TblOutcomes[[#This Row],[Qty Wasted]]*SUMIFS(TblPurchases[Unit Cost (CLP)],TblPurchases[BatchID],TblOutcomes[[#This Row],[BatchID]]))</f>
        <v>1505</v>
      </c>
      <c r="Q2961" s="51">
        <f>IF(COUNTIF(TblPurchases[BatchID],TblOutcomes[[#This Row],[BatchID]])&lt;&gt;1,"n.a.",SUMIFS(TblPurchases[Purchase Date],TblPurchases[BatchID],TblOutcomes[[#This Row],[BatchID]]))</f>
        <v>45618</v>
      </c>
    </row>
    <row r="2962" spans="2:17" x14ac:dyDescent="0.25">
      <c r="B2962" s="2" t="s">
        <v>3767</v>
      </c>
      <c r="C2962" s="2" t="s">
        <v>316</v>
      </c>
      <c r="D2962" s="2" t="s">
        <v>71</v>
      </c>
      <c r="E2962" s="2" t="s">
        <v>4647</v>
      </c>
      <c r="F2962" s="2">
        <v>44</v>
      </c>
      <c r="G2962" s="2">
        <v>44</v>
      </c>
      <c r="H2962" s="2">
        <v>0</v>
      </c>
      <c r="I2962" s="1">
        <v>0</v>
      </c>
      <c r="J2962" s="26">
        <v>45667</v>
      </c>
      <c r="K2962" s="22">
        <v>44000</v>
      </c>
      <c r="L2962" s="18">
        <v>47.06</v>
      </c>
      <c r="M2962" s="22">
        <v>30800</v>
      </c>
      <c r="N2962" s="22">
        <v>13200</v>
      </c>
      <c r="O2962" s="18">
        <v>14.12</v>
      </c>
      <c r="P2962" s="52">
        <f>IF(COUNTIF(TblPurchases[BatchID],TblOutcomes[[#This Row],[BatchID]])&lt;&gt;1,"n.a.",TblOutcomes[[#This Row],[Qty Wasted]]*SUMIFS(TblPurchases[Unit Cost (CLP)],TblPurchases[BatchID],TblOutcomes[[#This Row],[BatchID]]))</f>
        <v>0</v>
      </c>
      <c r="Q2962" s="51">
        <f>IF(COUNTIF(TblPurchases[BatchID],TblOutcomes[[#This Row],[BatchID]])&lt;&gt;1,"n.a.",SUMIFS(TblPurchases[Purchase Date],TblPurchases[BatchID],TblOutcomes[[#This Row],[BatchID]]))</f>
        <v>45646</v>
      </c>
    </row>
    <row r="2963" spans="2:17" x14ac:dyDescent="0.25">
      <c r="B2963" s="2" t="s">
        <v>3768</v>
      </c>
      <c r="C2963" s="2" t="s">
        <v>316</v>
      </c>
      <c r="D2963" s="2" t="s">
        <v>71</v>
      </c>
      <c r="E2963" s="2" t="s">
        <v>4647</v>
      </c>
      <c r="F2963" s="2">
        <v>29</v>
      </c>
      <c r="G2963" s="2">
        <v>29</v>
      </c>
      <c r="H2963" s="2">
        <v>0</v>
      </c>
      <c r="I2963" s="1">
        <v>0</v>
      </c>
      <c r="J2963" s="26">
        <v>45693</v>
      </c>
      <c r="K2963" s="22">
        <v>29000</v>
      </c>
      <c r="L2963" s="18">
        <v>31.02</v>
      </c>
      <c r="M2963" s="22">
        <v>20300</v>
      </c>
      <c r="N2963" s="22">
        <v>8700</v>
      </c>
      <c r="O2963" s="18">
        <v>9.3000000000000007</v>
      </c>
      <c r="P2963" s="52">
        <f>IF(COUNTIF(TblPurchases[BatchID],TblOutcomes[[#This Row],[BatchID]])&lt;&gt;1,"n.a.",TblOutcomes[[#This Row],[Qty Wasted]]*SUMIFS(TblPurchases[Unit Cost (CLP)],TblPurchases[BatchID],TblOutcomes[[#This Row],[BatchID]]))</f>
        <v>0</v>
      </c>
      <c r="Q2963" s="51">
        <f>IF(COUNTIF(TblPurchases[BatchID],TblOutcomes[[#This Row],[BatchID]])&lt;&gt;1,"n.a.",SUMIFS(TblPurchases[Purchase Date],TblPurchases[BatchID],TblOutcomes[[#This Row],[BatchID]]))</f>
        <v>45680</v>
      </c>
    </row>
    <row r="2964" spans="2:17" x14ac:dyDescent="0.25">
      <c r="B2964" s="2" t="s">
        <v>3769</v>
      </c>
      <c r="C2964" s="2" t="s">
        <v>316</v>
      </c>
      <c r="D2964" s="2" t="s">
        <v>71</v>
      </c>
      <c r="E2964" s="2" t="s">
        <v>4646</v>
      </c>
      <c r="F2964" s="2">
        <v>32</v>
      </c>
      <c r="G2964" s="2">
        <v>29.79</v>
      </c>
      <c r="H2964" s="2">
        <v>2.21</v>
      </c>
      <c r="I2964" s="1">
        <v>6.9</v>
      </c>
      <c r="J2964" s="26">
        <v>46009</v>
      </c>
      <c r="K2964" s="22">
        <v>29790</v>
      </c>
      <c r="L2964" s="18">
        <v>31.86</v>
      </c>
      <c r="M2964" s="22">
        <v>22400</v>
      </c>
      <c r="N2964" s="22">
        <v>7390</v>
      </c>
      <c r="O2964" s="18">
        <v>7.9</v>
      </c>
      <c r="P2964" s="52">
        <f>IF(COUNTIF(TblPurchases[BatchID],TblOutcomes[[#This Row],[BatchID]])&lt;&gt;1,"n.a.",TblOutcomes[[#This Row],[Qty Wasted]]*SUMIFS(TblPurchases[Unit Cost (CLP)],TblPurchases[BatchID],TblOutcomes[[#This Row],[BatchID]]))</f>
        <v>1547</v>
      </c>
      <c r="Q2964" s="51">
        <f>IF(COUNTIF(TblPurchases[BatchID],TblOutcomes[[#This Row],[BatchID]])&lt;&gt;1,"n.a.",SUMIFS(TblPurchases[Purchase Date],TblPurchases[BatchID],TblOutcomes[[#This Row],[BatchID]]))</f>
        <v>45709</v>
      </c>
    </row>
    <row r="2965" spans="2:17" x14ac:dyDescent="0.25">
      <c r="B2965" s="2" t="s">
        <v>3770</v>
      </c>
      <c r="C2965" s="2" t="s">
        <v>316</v>
      </c>
      <c r="D2965" s="2" t="s">
        <v>71</v>
      </c>
      <c r="E2965" s="2" t="s">
        <v>4646</v>
      </c>
      <c r="F2965" s="2">
        <v>35</v>
      </c>
      <c r="G2965" s="2">
        <v>33.630000000000003</v>
      </c>
      <c r="H2965" s="2">
        <v>1.36</v>
      </c>
      <c r="I2965" s="1">
        <v>3.9</v>
      </c>
      <c r="J2965" s="26">
        <v>46040</v>
      </c>
      <c r="K2965" s="22">
        <v>33630</v>
      </c>
      <c r="L2965" s="18">
        <v>35.97</v>
      </c>
      <c r="M2965" s="22">
        <v>24500</v>
      </c>
      <c r="N2965" s="22">
        <v>9130</v>
      </c>
      <c r="O2965" s="18">
        <v>9.76</v>
      </c>
      <c r="P2965" s="52">
        <f>IF(COUNTIF(TblPurchases[BatchID],TblOutcomes[[#This Row],[BatchID]])&lt;&gt;1,"n.a.",TblOutcomes[[#This Row],[Qty Wasted]]*SUMIFS(TblPurchases[Unit Cost (CLP)],TblPurchases[BatchID],TblOutcomes[[#This Row],[BatchID]]))</f>
        <v>952.00000000000011</v>
      </c>
      <c r="Q2965" s="51">
        <f>IF(COUNTIF(TblPurchases[BatchID],TblOutcomes[[#This Row],[BatchID]])&lt;&gt;1,"n.a.",SUMIFS(TblPurchases[Purchase Date],TblPurchases[BatchID],TblOutcomes[[#This Row],[BatchID]]))</f>
        <v>45740</v>
      </c>
    </row>
    <row r="2966" spans="2:17" x14ac:dyDescent="0.25">
      <c r="B2966" s="2" t="s">
        <v>3771</v>
      </c>
      <c r="C2966" s="2" t="s">
        <v>316</v>
      </c>
      <c r="D2966" s="2" t="s">
        <v>71</v>
      </c>
      <c r="E2966" s="2" t="s">
        <v>4646</v>
      </c>
      <c r="F2966" s="2">
        <v>91</v>
      </c>
      <c r="G2966" s="2">
        <v>88.72</v>
      </c>
      <c r="H2966" s="2">
        <v>2.27</v>
      </c>
      <c r="I2966" s="1">
        <v>2.5</v>
      </c>
      <c r="J2966" s="26">
        <v>46079</v>
      </c>
      <c r="K2966" s="22">
        <v>88720</v>
      </c>
      <c r="L2966" s="18">
        <v>94.89</v>
      </c>
      <c r="M2966" s="22">
        <v>63700</v>
      </c>
      <c r="N2966" s="22">
        <v>25020</v>
      </c>
      <c r="O2966" s="18">
        <v>26.76</v>
      </c>
      <c r="P2966" s="52">
        <f>IF(COUNTIF(TblPurchases[BatchID],TblOutcomes[[#This Row],[BatchID]])&lt;&gt;1,"n.a.",TblOutcomes[[#This Row],[Qty Wasted]]*SUMIFS(TblPurchases[Unit Cost (CLP)],TblPurchases[BatchID],TblOutcomes[[#This Row],[BatchID]]))</f>
        <v>1589</v>
      </c>
      <c r="Q2966" s="51">
        <f>IF(COUNTIF(TblPurchases[BatchID],TblOutcomes[[#This Row],[BatchID]])&lt;&gt;1,"n.a.",SUMIFS(TblPurchases[Purchase Date],TblPurchases[BatchID],TblOutcomes[[#This Row],[BatchID]]))</f>
        <v>45779</v>
      </c>
    </row>
    <row r="2967" spans="2:17" x14ac:dyDescent="0.25">
      <c r="B2967" s="2" t="s">
        <v>3772</v>
      </c>
      <c r="C2967" s="2" t="s">
        <v>316</v>
      </c>
      <c r="D2967" s="2" t="s">
        <v>71</v>
      </c>
      <c r="E2967" s="2" t="s">
        <v>4647</v>
      </c>
      <c r="F2967" s="2">
        <v>96</v>
      </c>
      <c r="G2967" s="2">
        <v>96</v>
      </c>
      <c r="H2967" s="2">
        <v>0</v>
      </c>
      <c r="I2967" s="1">
        <v>0</v>
      </c>
      <c r="J2967" s="26">
        <v>45819</v>
      </c>
      <c r="K2967" s="22">
        <v>96000</v>
      </c>
      <c r="L2967" s="18">
        <v>102.67</v>
      </c>
      <c r="M2967" s="22">
        <v>67200</v>
      </c>
      <c r="N2967" s="22">
        <v>28800</v>
      </c>
      <c r="O2967" s="18">
        <v>30.8</v>
      </c>
      <c r="P2967" s="52">
        <f>IF(COUNTIF(TblPurchases[BatchID],TblOutcomes[[#This Row],[BatchID]])&lt;&gt;1,"n.a.",TblOutcomes[[#This Row],[Qty Wasted]]*SUMIFS(TblPurchases[Unit Cost (CLP)],TblPurchases[BatchID],TblOutcomes[[#This Row],[BatchID]]))</f>
        <v>0</v>
      </c>
      <c r="Q2967" s="51">
        <f>IF(COUNTIF(TblPurchases[BatchID],TblOutcomes[[#This Row],[BatchID]])&lt;&gt;1,"n.a.",SUMIFS(TblPurchases[Purchase Date],TblPurchases[BatchID],TblOutcomes[[#This Row],[BatchID]]))</f>
        <v>45800</v>
      </c>
    </row>
    <row r="2968" spans="2:17" x14ac:dyDescent="0.25">
      <c r="B2968" s="2" t="s">
        <v>3773</v>
      </c>
      <c r="C2968" s="2" t="s">
        <v>318</v>
      </c>
      <c r="D2968" s="2" t="s">
        <v>71</v>
      </c>
      <c r="E2968" s="2" t="s">
        <v>4646</v>
      </c>
      <c r="F2968" s="2">
        <v>81</v>
      </c>
      <c r="G2968" s="2">
        <v>77.03</v>
      </c>
      <c r="H2968" s="2">
        <v>3.97</v>
      </c>
      <c r="I2968" s="1">
        <v>4.9000000000000004</v>
      </c>
      <c r="J2968" s="26">
        <v>45415</v>
      </c>
      <c r="K2968" s="22">
        <v>77030</v>
      </c>
      <c r="L2968" s="18">
        <v>82.39</v>
      </c>
      <c r="M2968" s="22">
        <v>56700</v>
      </c>
      <c r="N2968" s="22">
        <v>20330</v>
      </c>
      <c r="O2968" s="18">
        <v>21.74</v>
      </c>
      <c r="P2968" s="52">
        <f>IF(COUNTIF(TblPurchases[BatchID],TblOutcomes[[#This Row],[BatchID]])&lt;&gt;1,"n.a.",TblOutcomes[[#This Row],[Qty Wasted]]*SUMIFS(TblPurchases[Unit Cost (CLP)],TblPurchases[BatchID],TblOutcomes[[#This Row],[BatchID]]))</f>
        <v>2779</v>
      </c>
      <c r="Q2968" s="51">
        <f>IF(COUNTIF(TblPurchases[BatchID],TblOutcomes[[#This Row],[BatchID]])&lt;&gt;1,"n.a.",SUMIFS(TblPurchases[Purchase Date],TblPurchases[BatchID],TblOutcomes[[#This Row],[BatchID]]))</f>
        <v>45115</v>
      </c>
    </row>
    <row r="2969" spans="2:17" x14ac:dyDescent="0.25">
      <c r="B2969" s="2" t="s">
        <v>3774</v>
      </c>
      <c r="C2969" s="2" t="s">
        <v>318</v>
      </c>
      <c r="D2969" s="2" t="s">
        <v>71</v>
      </c>
      <c r="E2969" s="2" t="s">
        <v>4647</v>
      </c>
      <c r="F2969" s="2">
        <v>83</v>
      </c>
      <c r="G2969" s="2">
        <v>83</v>
      </c>
      <c r="H2969" s="2">
        <v>0</v>
      </c>
      <c r="I2969" s="1">
        <v>0</v>
      </c>
      <c r="J2969" s="26">
        <v>45165</v>
      </c>
      <c r="K2969" s="22">
        <v>83000</v>
      </c>
      <c r="L2969" s="18">
        <v>88.77</v>
      </c>
      <c r="M2969" s="22">
        <v>58100</v>
      </c>
      <c r="N2969" s="22">
        <v>24900</v>
      </c>
      <c r="O2969" s="18">
        <v>26.63</v>
      </c>
      <c r="P2969" s="52">
        <f>IF(COUNTIF(TblPurchases[BatchID],TblOutcomes[[#This Row],[BatchID]])&lt;&gt;1,"n.a.",TblOutcomes[[#This Row],[Qty Wasted]]*SUMIFS(TblPurchases[Unit Cost (CLP)],TblPurchases[BatchID],TblOutcomes[[#This Row],[BatchID]]))</f>
        <v>0</v>
      </c>
      <c r="Q2969" s="51">
        <f>IF(COUNTIF(TblPurchases[BatchID],TblOutcomes[[#This Row],[BatchID]])&lt;&gt;1,"n.a.",SUMIFS(TblPurchases[Purchase Date],TblPurchases[BatchID],TblOutcomes[[#This Row],[BatchID]]))</f>
        <v>45152</v>
      </c>
    </row>
    <row r="2970" spans="2:17" x14ac:dyDescent="0.25">
      <c r="B2970" s="2" t="s">
        <v>3775</v>
      </c>
      <c r="C2970" s="2" t="s">
        <v>318</v>
      </c>
      <c r="D2970" s="2" t="s">
        <v>71</v>
      </c>
      <c r="E2970" s="2" t="s">
        <v>4647</v>
      </c>
      <c r="F2970" s="2">
        <v>88</v>
      </c>
      <c r="G2970" s="2">
        <v>88</v>
      </c>
      <c r="H2970" s="2">
        <v>0</v>
      </c>
      <c r="I2970" s="1">
        <v>0</v>
      </c>
      <c r="J2970" s="26">
        <v>45205</v>
      </c>
      <c r="K2970" s="22">
        <v>88000</v>
      </c>
      <c r="L2970" s="18">
        <v>94.12</v>
      </c>
      <c r="M2970" s="22">
        <v>61600</v>
      </c>
      <c r="N2970" s="22">
        <v>26400</v>
      </c>
      <c r="O2970" s="18">
        <v>28.24</v>
      </c>
      <c r="P2970" s="52">
        <f>IF(COUNTIF(TblPurchases[BatchID],TblOutcomes[[#This Row],[BatchID]])&lt;&gt;1,"n.a.",TblOutcomes[[#This Row],[Qty Wasted]]*SUMIFS(TblPurchases[Unit Cost (CLP)],TblPurchases[BatchID],TblOutcomes[[#This Row],[BatchID]]))</f>
        <v>0</v>
      </c>
      <c r="Q2970" s="51">
        <f>IF(COUNTIF(TblPurchases[BatchID],TblOutcomes[[#This Row],[BatchID]])&lt;&gt;1,"n.a.",SUMIFS(TblPurchases[Purchase Date],TblPurchases[BatchID],TblOutcomes[[#This Row],[BatchID]]))</f>
        <v>45193</v>
      </c>
    </row>
    <row r="2971" spans="2:17" x14ac:dyDescent="0.25">
      <c r="B2971" s="2" t="s">
        <v>3776</v>
      </c>
      <c r="C2971" s="2" t="s">
        <v>318</v>
      </c>
      <c r="D2971" s="2" t="s">
        <v>71</v>
      </c>
      <c r="E2971" s="2" t="s">
        <v>4646</v>
      </c>
      <c r="F2971" s="2">
        <v>31</v>
      </c>
      <c r="G2971" s="2">
        <v>29.85</v>
      </c>
      <c r="H2971" s="2">
        <v>1.1499999999999999</v>
      </c>
      <c r="I2971" s="1">
        <v>3.7</v>
      </c>
      <c r="J2971" s="26">
        <v>45530</v>
      </c>
      <c r="K2971" s="22">
        <v>29850</v>
      </c>
      <c r="L2971" s="18">
        <v>31.93</v>
      </c>
      <c r="M2971" s="22">
        <v>21700</v>
      </c>
      <c r="N2971" s="22">
        <v>8150</v>
      </c>
      <c r="O2971" s="18">
        <v>8.7200000000000006</v>
      </c>
      <c r="P2971" s="52">
        <f>IF(COUNTIF(TblPurchases[BatchID],TblOutcomes[[#This Row],[BatchID]])&lt;&gt;1,"n.a.",TblOutcomes[[#This Row],[Qty Wasted]]*SUMIFS(TblPurchases[Unit Cost (CLP)],TblPurchases[BatchID],TblOutcomes[[#This Row],[BatchID]]))</f>
        <v>804.99999999999989</v>
      </c>
      <c r="Q2971" s="51">
        <f>IF(COUNTIF(TblPurchases[BatchID],TblOutcomes[[#This Row],[BatchID]])&lt;&gt;1,"n.a.",SUMIFS(TblPurchases[Purchase Date],TblPurchases[BatchID],TblOutcomes[[#This Row],[BatchID]]))</f>
        <v>45230</v>
      </c>
    </row>
    <row r="2972" spans="2:17" x14ac:dyDescent="0.25">
      <c r="B2972" s="2" t="s">
        <v>3777</v>
      </c>
      <c r="C2972" s="2" t="s">
        <v>318</v>
      </c>
      <c r="D2972" s="2" t="s">
        <v>71</v>
      </c>
      <c r="E2972" s="2" t="s">
        <v>4647</v>
      </c>
      <c r="F2972" s="2">
        <v>32</v>
      </c>
      <c r="G2972" s="2">
        <v>32</v>
      </c>
      <c r="H2972" s="2">
        <v>0</v>
      </c>
      <c r="I2972" s="1">
        <v>0</v>
      </c>
      <c r="J2972" s="26">
        <v>45296</v>
      </c>
      <c r="K2972" s="22">
        <v>32000</v>
      </c>
      <c r="L2972" s="18">
        <v>34.22</v>
      </c>
      <c r="M2972" s="22">
        <v>22400</v>
      </c>
      <c r="N2972" s="22">
        <v>9600</v>
      </c>
      <c r="O2972" s="18">
        <v>10.27</v>
      </c>
      <c r="P2972" s="52">
        <f>IF(COUNTIF(TblPurchases[BatchID],TblOutcomes[[#This Row],[BatchID]])&lt;&gt;1,"n.a.",TblOutcomes[[#This Row],[Qty Wasted]]*SUMIFS(TblPurchases[Unit Cost (CLP)],TblPurchases[BatchID],TblOutcomes[[#This Row],[BatchID]]))</f>
        <v>0</v>
      </c>
      <c r="Q2972" s="51">
        <f>IF(COUNTIF(TblPurchases[BatchID],TblOutcomes[[#This Row],[BatchID]])&lt;&gt;1,"n.a.",SUMIFS(TblPurchases[Purchase Date],TblPurchases[BatchID],TblOutcomes[[#This Row],[BatchID]]))</f>
        <v>45260</v>
      </c>
    </row>
    <row r="2973" spans="2:17" x14ac:dyDescent="0.25">
      <c r="B2973" s="2" t="s">
        <v>3778</v>
      </c>
      <c r="C2973" s="2" t="s">
        <v>318</v>
      </c>
      <c r="D2973" s="2" t="s">
        <v>71</v>
      </c>
      <c r="E2973" s="2" t="s">
        <v>4646</v>
      </c>
      <c r="F2973" s="2">
        <v>31</v>
      </c>
      <c r="G2973" s="2">
        <v>30.07</v>
      </c>
      <c r="H2973" s="2">
        <v>0.93</v>
      </c>
      <c r="I2973" s="1">
        <v>3</v>
      </c>
      <c r="J2973" s="26">
        <v>45595</v>
      </c>
      <c r="K2973" s="22">
        <v>30070</v>
      </c>
      <c r="L2973" s="18">
        <v>32.159999999999997</v>
      </c>
      <c r="M2973" s="22">
        <v>21700</v>
      </c>
      <c r="N2973" s="22">
        <v>8370</v>
      </c>
      <c r="O2973" s="18">
        <v>8.9499999999999993</v>
      </c>
      <c r="P2973" s="52">
        <f>IF(COUNTIF(TblPurchases[BatchID],TblOutcomes[[#This Row],[BatchID]])&lt;&gt;1,"n.a.",TblOutcomes[[#This Row],[Qty Wasted]]*SUMIFS(TblPurchases[Unit Cost (CLP)],TblPurchases[BatchID],TblOutcomes[[#This Row],[BatchID]]))</f>
        <v>651</v>
      </c>
      <c r="Q2973" s="51">
        <f>IF(COUNTIF(TblPurchases[BatchID],TblOutcomes[[#This Row],[BatchID]])&lt;&gt;1,"n.a.",SUMIFS(TblPurchases[Purchase Date],TblPurchases[BatchID],TblOutcomes[[#This Row],[BatchID]]))</f>
        <v>45295</v>
      </c>
    </row>
    <row r="2974" spans="2:17" x14ac:dyDescent="0.25">
      <c r="B2974" s="2" t="s">
        <v>3779</v>
      </c>
      <c r="C2974" s="2" t="s">
        <v>318</v>
      </c>
      <c r="D2974" s="2" t="s">
        <v>71</v>
      </c>
      <c r="E2974" s="2" t="s">
        <v>4646</v>
      </c>
      <c r="F2974" s="2">
        <v>28</v>
      </c>
      <c r="G2974" s="2">
        <v>26.26</v>
      </c>
      <c r="H2974" s="2">
        <v>1.74</v>
      </c>
      <c r="I2974" s="1">
        <v>6.2</v>
      </c>
      <c r="J2974" s="26">
        <v>45627</v>
      </c>
      <c r="K2974" s="22">
        <v>26260</v>
      </c>
      <c r="L2974" s="18">
        <v>28.09</v>
      </c>
      <c r="M2974" s="22">
        <v>19600</v>
      </c>
      <c r="N2974" s="22">
        <v>6660</v>
      </c>
      <c r="O2974" s="18">
        <v>7.12</v>
      </c>
      <c r="P2974" s="52">
        <f>IF(COUNTIF(TblPurchases[BatchID],TblOutcomes[[#This Row],[BatchID]])&lt;&gt;1,"n.a.",TblOutcomes[[#This Row],[Qty Wasted]]*SUMIFS(TblPurchases[Unit Cost (CLP)],TblPurchases[BatchID],TblOutcomes[[#This Row],[BatchID]]))</f>
        <v>1218</v>
      </c>
      <c r="Q2974" s="51">
        <f>IF(COUNTIF(TblPurchases[BatchID],TblOutcomes[[#This Row],[BatchID]])&lt;&gt;1,"n.a.",SUMIFS(TblPurchases[Purchase Date],TblPurchases[BatchID],TblOutcomes[[#This Row],[BatchID]]))</f>
        <v>45327</v>
      </c>
    </row>
    <row r="2975" spans="2:17" x14ac:dyDescent="0.25">
      <c r="B2975" s="2" t="s">
        <v>3780</v>
      </c>
      <c r="C2975" s="2" t="s">
        <v>318</v>
      </c>
      <c r="D2975" s="2" t="s">
        <v>71</v>
      </c>
      <c r="E2975" s="2" t="s">
        <v>4647</v>
      </c>
      <c r="F2975" s="2">
        <v>26</v>
      </c>
      <c r="G2975" s="2">
        <v>26</v>
      </c>
      <c r="H2975" s="2">
        <v>0</v>
      </c>
      <c r="I2975" s="1">
        <v>0</v>
      </c>
      <c r="J2975" s="26">
        <v>45391</v>
      </c>
      <c r="K2975" s="22">
        <v>26000</v>
      </c>
      <c r="L2975" s="18">
        <v>27.81</v>
      </c>
      <c r="M2975" s="22">
        <v>18200</v>
      </c>
      <c r="N2975" s="22">
        <v>7800</v>
      </c>
      <c r="O2975" s="18">
        <v>8.34</v>
      </c>
      <c r="P2975" s="52">
        <f>IF(COUNTIF(TblPurchases[BatchID],TblOutcomes[[#This Row],[BatchID]])&lt;&gt;1,"n.a.",TblOutcomes[[#This Row],[Qty Wasted]]*SUMIFS(TblPurchases[Unit Cost (CLP)],TblPurchases[BatchID],TblOutcomes[[#This Row],[BatchID]]))</f>
        <v>0</v>
      </c>
      <c r="Q2975" s="51">
        <f>IF(COUNTIF(TblPurchases[BatchID],TblOutcomes[[#This Row],[BatchID]])&lt;&gt;1,"n.a.",SUMIFS(TblPurchases[Purchase Date],TblPurchases[BatchID],TblOutcomes[[#This Row],[BatchID]]))</f>
        <v>45361</v>
      </c>
    </row>
    <row r="2976" spans="2:17" x14ac:dyDescent="0.25">
      <c r="B2976" s="2" t="s">
        <v>3781</v>
      </c>
      <c r="C2976" s="2" t="s">
        <v>318</v>
      </c>
      <c r="D2976" s="2" t="s">
        <v>71</v>
      </c>
      <c r="E2976" s="2" t="s">
        <v>4647</v>
      </c>
      <c r="F2976" s="2">
        <v>82</v>
      </c>
      <c r="G2976" s="2">
        <v>82</v>
      </c>
      <c r="H2976" s="2">
        <v>0</v>
      </c>
      <c r="I2976" s="1">
        <v>0</v>
      </c>
      <c r="J2976" s="26">
        <v>45405</v>
      </c>
      <c r="K2976" s="22">
        <v>82000</v>
      </c>
      <c r="L2976" s="18">
        <v>87.7</v>
      </c>
      <c r="M2976" s="22">
        <v>57400</v>
      </c>
      <c r="N2976" s="22">
        <v>24600</v>
      </c>
      <c r="O2976" s="18">
        <v>26.31</v>
      </c>
      <c r="P2976" s="52">
        <f>IF(COUNTIF(TblPurchases[BatchID],TblOutcomes[[#This Row],[BatchID]])&lt;&gt;1,"n.a.",TblOutcomes[[#This Row],[Qty Wasted]]*SUMIFS(TblPurchases[Unit Cost (CLP)],TblPurchases[BatchID],TblOutcomes[[#This Row],[BatchID]]))</f>
        <v>0</v>
      </c>
      <c r="Q2976" s="51">
        <f>IF(COUNTIF(TblPurchases[BatchID],TblOutcomes[[#This Row],[BatchID]])&lt;&gt;1,"n.a.",SUMIFS(TblPurchases[Purchase Date],TblPurchases[BatchID],TblOutcomes[[#This Row],[BatchID]]))</f>
        <v>45390</v>
      </c>
    </row>
    <row r="2977" spans="2:17" x14ac:dyDescent="0.25">
      <c r="B2977" s="2" t="s">
        <v>3782</v>
      </c>
      <c r="C2977" s="2" t="s">
        <v>318</v>
      </c>
      <c r="D2977" s="2" t="s">
        <v>71</v>
      </c>
      <c r="E2977" s="2" t="s">
        <v>4646</v>
      </c>
      <c r="F2977" s="2">
        <v>82</v>
      </c>
      <c r="G2977" s="2">
        <v>78.47</v>
      </c>
      <c r="H2977" s="2">
        <v>3.53</v>
      </c>
      <c r="I2977" s="1">
        <v>4.3</v>
      </c>
      <c r="J2977" s="26">
        <v>45725</v>
      </c>
      <c r="K2977" s="22">
        <v>78470</v>
      </c>
      <c r="L2977" s="18">
        <v>83.93</v>
      </c>
      <c r="M2977" s="22">
        <v>57400</v>
      </c>
      <c r="N2977" s="22">
        <v>21070</v>
      </c>
      <c r="O2977" s="18">
        <v>22.53</v>
      </c>
      <c r="P2977" s="52">
        <f>IF(COUNTIF(TblPurchases[BatchID],TblOutcomes[[#This Row],[BatchID]])&lt;&gt;1,"n.a.",TblOutcomes[[#This Row],[Qty Wasted]]*SUMIFS(TblPurchases[Unit Cost (CLP)],TblPurchases[BatchID],TblOutcomes[[#This Row],[BatchID]]))</f>
        <v>2471</v>
      </c>
      <c r="Q2977" s="51">
        <f>IF(COUNTIF(TblPurchases[BatchID],TblOutcomes[[#This Row],[BatchID]])&lt;&gt;1,"n.a.",SUMIFS(TblPurchases[Purchase Date],TblPurchases[BatchID],TblOutcomes[[#This Row],[BatchID]]))</f>
        <v>45425</v>
      </c>
    </row>
    <row r="2978" spans="2:17" x14ac:dyDescent="0.25">
      <c r="B2978" s="2" t="s">
        <v>3783</v>
      </c>
      <c r="C2978" s="2" t="s">
        <v>318</v>
      </c>
      <c r="D2978" s="2" t="s">
        <v>71</v>
      </c>
      <c r="E2978" s="2" t="s">
        <v>4647</v>
      </c>
      <c r="F2978" s="2">
        <v>72</v>
      </c>
      <c r="G2978" s="2">
        <v>72</v>
      </c>
      <c r="H2978" s="2">
        <v>0</v>
      </c>
      <c r="I2978" s="1">
        <v>0</v>
      </c>
      <c r="J2978" s="26">
        <v>45502</v>
      </c>
      <c r="K2978" s="22">
        <v>72000</v>
      </c>
      <c r="L2978" s="18">
        <v>77.010000000000005</v>
      </c>
      <c r="M2978" s="22">
        <v>50400</v>
      </c>
      <c r="N2978" s="22">
        <v>21600</v>
      </c>
      <c r="O2978" s="18">
        <v>23.1</v>
      </c>
      <c r="P2978" s="52">
        <f>IF(COUNTIF(TblPurchases[BatchID],TblOutcomes[[#This Row],[BatchID]])&lt;&gt;1,"n.a.",TblOutcomes[[#This Row],[Qty Wasted]]*SUMIFS(TblPurchases[Unit Cost (CLP)],TblPurchases[BatchID],TblOutcomes[[#This Row],[BatchID]]))</f>
        <v>0</v>
      </c>
      <c r="Q2978" s="51">
        <f>IF(COUNTIF(TblPurchases[BatchID],TblOutcomes[[#This Row],[BatchID]])&lt;&gt;1,"n.a.",SUMIFS(TblPurchases[Purchase Date],TblPurchases[BatchID],TblOutcomes[[#This Row],[BatchID]]))</f>
        <v>45466</v>
      </c>
    </row>
    <row r="2979" spans="2:17" x14ac:dyDescent="0.25">
      <c r="B2979" s="2" t="s">
        <v>3784</v>
      </c>
      <c r="C2979" s="2" t="s">
        <v>318</v>
      </c>
      <c r="D2979" s="2" t="s">
        <v>71</v>
      </c>
      <c r="E2979" s="2" t="s">
        <v>4647</v>
      </c>
      <c r="F2979" s="2">
        <v>89</v>
      </c>
      <c r="G2979" s="2">
        <v>89</v>
      </c>
      <c r="H2979" s="2">
        <v>0</v>
      </c>
      <c r="I2979" s="1">
        <v>0</v>
      </c>
      <c r="J2979" s="26">
        <v>45529</v>
      </c>
      <c r="K2979" s="22">
        <v>89000</v>
      </c>
      <c r="L2979" s="18">
        <v>95.19</v>
      </c>
      <c r="M2979" s="22">
        <v>62300</v>
      </c>
      <c r="N2979" s="22">
        <v>26700</v>
      </c>
      <c r="O2979" s="18">
        <v>28.56</v>
      </c>
      <c r="P2979" s="52">
        <f>IF(COUNTIF(TblPurchases[BatchID],TblOutcomes[[#This Row],[BatchID]])&lt;&gt;1,"n.a.",TblOutcomes[[#This Row],[Qty Wasted]]*SUMIFS(TblPurchases[Unit Cost (CLP)],TblPurchases[BatchID],TblOutcomes[[#This Row],[BatchID]]))</f>
        <v>0</v>
      </c>
      <c r="Q2979" s="51">
        <f>IF(COUNTIF(TblPurchases[BatchID],TblOutcomes[[#This Row],[BatchID]])&lt;&gt;1,"n.a.",SUMIFS(TblPurchases[Purchase Date],TblPurchases[BatchID],TblOutcomes[[#This Row],[BatchID]]))</f>
        <v>45499</v>
      </c>
    </row>
    <row r="2980" spans="2:17" x14ac:dyDescent="0.25">
      <c r="B2980" s="2" t="s">
        <v>3785</v>
      </c>
      <c r="C2980" s="2" t="s">
        <v>318</v>
      </c>
      <c r="D2980" s="2" t="s">
        <v>71</v>
      </c>
      <c r="E2980" s="2" t="s">
        <v>4647</v>
      </c>
      <c r="F2980" s="2">
        <v>71</v>
      </c>
      <c r="G2980" s="2">
        <v>71</v>
      </c>
      <c r="H2980" s="2">
        <v>0</v>
      </c>
      <c r="I2980" s="1">
        <v>0</v>
      </c>
      <c r="J2980" s="26">
        <v>45553</v>
      </c>
      <c r="K2980" s="22">
        <v>71000</v>
      </c>
      <c r="L2980" s="18">
        <v>75.94</v>
      </c>
      <c r="M2980" s="22">
        <v>49700</v>
      </c>
      <c r="N2980" s="22">
        <v>21300</v>
      </c>
      <c r="O2980" s="18">
        <v>22.78</v>
      </c>
      <c r="P2980" s="52">
        <f>IF(COUNTIF(TblPurchases[BatchID],TblOutcomes[[#This Row],[BatchID]])&lt;&gt;1,"n.a.",TblOutcomes[[#This Row],[Qty Wasted]]*SUMIFS(TblPurchases[Unit Cost (CLP)],TblPurchases[BatchID],TblOutcomes[[#This Row],[BatchID]]))</f>
        <v>0</v>
      </c>
      <c r="Q2980" s="51">
        <f>IF(COUNTIF(TblPurchases[BatchID],TblOutcomes[[#This Row],[BatchID]])&lt;&gt;1,"n.a.",SUMIFS(TblPurchases[Purchase Date],TblPurchases[BatchID],TblOutcomes[[#This Row],[BatchID]]))</f>
        <v>45524</v>
      </c>
    </row>
    <row r="2981" spans="2:17" x14ac:dyDescent="0.25">
      <c r="B2981" s="2" t="s">
        <v>3786</v>
      </c>
      <c r="C2981" s="2" t="s">
        <v>318</v>
      </c>
      <c r="D2981" s="2" t="s">
        <v>71</v>
      </c>
      <c r="E2981" s="2" t="s">
        <v>4646</v>
      </c>
      <c r="F2981" s="2">
        <v>98</v>
      </c>
      <c r="G2981" s="2">
        <v>97.12</v>
      </c>
      <c r="H2981" s="2">
        <v>0.88</v>
      </c>
      <c r="I2981" s="1">
        <v>0.9</v>
      </c>
      <c r="J2981" s="26">
        <v>45856</v>
      </c>
      <c r="K2981" s="22">
        <v>97120</v>
      </c>
      <c r="L2981" s="18">
        <v>103.87</v>
      </c>
      <c r="M2981" s="22">
        <v>68600</v>
      </c>
      <c r="N2981" s="22">
        <v>28520</v>
      </c>
      <c r="O2981" s="18">
        <v>30.5</v>
      </c>
      <c r="P2981" s="52">
        <f>IF(COUNTIF(TblPurchases[BatchID],TblOutcomes[[#This Row],[BatchID]])&lt;&gt;1,"n.a.",TblOutcomes[[#This Row],[Qty Wasted]]*SUMIFS(TblPurchases[Unit Cost (CLP)],TblPurchases[BatchID],TblOutcomes[[#This Row],[BatchID]]))</f>
        <v>616</v>
      </c>
      <c r="Q2981" s="51">
        <f>IF(COUNTIF(TblPurchases[BatchID],TblOutcomes[[#This Row],[BatchID]])&lt;&gt;1,"n.a.",SUMIFS(TblPurchases[Purchase Date],TblPurchases[BatchID],TblOutcomes[[#This Row],[BatchID]]))</f>
        <v>45556</v>
      </c>
    </row>
    <row r="2982" spans="2:17" x14ac:dyDescent="0.25">
      <c r="B2982" s="2" t="s">
        <v>3787</v>
      </c>
      <c r="C2982" s="2" t="s">
        <v>318</v>
      </c>
      <c r="D2982" s="2" t="s">
        <v>71</v>
      </c>
      <c r="E2982" s="2" t="s">
        <v>4646</v>
      </c>
      <c r="F2982" s="2">
        <v>31</v>
      </c>
      <c r="G2982" s="2">
        <v>30.1</v>
      </c>
      <c r="H2982" s="2">
        <v>0.9</v>
      </c>
      <c r="I2982" s="1">
        <v>2.9</v>
      </c>
      <c r="J2982" s="26">
        <v>45892</v>
      </c>
      <c r="K2982" s="22">
        <v>30100</v>
      </c>
      <c r="L2982" s="18">
        <v>32.19</v>
      </c>
      <c r="M2982" s="22">
        <v>21700</v>
      </c>
      <c r="N2982" s="22">
        <v>8400</v>
      </c>
      <c r="O2982" s="18">
        <v>8.98</v>
      </c>
      <c r="P2982" s="52">
        <f>IF(COUNTIF(TblPurchases[BatchID],TblOutcomes[[#This Row],[BatchID]])&lt;&gt;1,"n.a.",TblOutcomes[[#This Row],[Qty Wasted]]*SUMIFS(TblPurchases[Unit Cost (CLP)],TblPurchases[BatchID],TblOutcomes[[#This Row],[BatchID]]))</f>
        <v>630</v>
      </c>
      <c r="Q2982" s="51">
        <f>IF(COUNTIF(TblPurchases[BatchID],TblOutcomes[[#This Row],[BatchID]])&lt;&gt;1,"n.a.",SUMIFS(TblPurchases[Purchase Date],TblPurchases[BatchID],TblOutcomes[[#This Row],[BatchID]]))</f>
        <v>45592</v>
      </c>
    </row>
    <row r="2983" spans="2:17" x14ac:dyDescent="0.25">
      <c r="B2983" s="2" t="s">
        <v>3788</v>
      </c>
      <c r="C2983" s="2" t="s">
        <v>318</v>
      </c>
      <c r="D2983" s="2" t="s">
        <v>71</v>
      </c>
      <c r="E2983" s="2" t="s">
        <v>4647</v>
      </c>
      <c r="F2983" s="2">
        <v>36</v>
      </c>
      <c r="G2983" s="2">
        <v>36</v>
      </c>
      <c r="H2983" s="2">
        <v>0</v>
      </c>
      <c r="I2983" s="1">
        <v>0</v>
      </c>
      <c r="J2983" s="26">
        <v>45663</v>
      </c>
      <c r="K2983" s="22">
        <v>36000</v>
      </c>
      <c r="L2983" s="18">
        <v>38.5</v>
      </c>
      <c r="M2983" s="22">
        <v>25200</v>
      </c>
      <c r="N2983" s="22">
        <v>10800</v>
      </c>
      <c r="O2983" s="18">
        <v>11.55</v>
      </c>
      <c r="P2983" s="52">
        <f>IF(COUNTIF(TblPurchases[BatchID],TblOutcomes[[#This Row],[BatchID]])&lt;&gt;1,"n.a.",TblOutcomes[[#This Row],[Qty Wasted]]*SUMIFS(TblPurchases[Unit Cost (CLP)],TblPurchases[BatchID],TblOutcomes[[#This Row],[BatchID]]))</f>
        <v>0</v>
      </c>
      <c r="Q2983" s="51">
        <f>IF(COUNTIF(TblPurchases[BatchID],TblOutcomes[[#This Row],[BatchID]])&lt;&gt;1,"n.a.",SUMIFS(TblPurchases[Purchase Date],TblPurchases[BatchID],TblOutcomes[[#This Row],[BatchID]]))</f>
        <v>45628</v>
      </c>
    </row>
    <row r="2984" spans="2:17" x14ac:dyDescent="0.25">
      <c r="B2984" s="2" t="s">
        <v>3789</v>
      </c>
      <c r="C2984" s="2" t="s">
        <v>318</v>
      </c>
      <c r="D2984" s="2" t="s">
        <v>71</v>
      </c>
      <c r="E2984" s="2" t="s">
        <v>4646</v>
      </c>
      <c r="F2984" s="2">
        <v>33</v>
      </c>
      <c r="G2984" s="2">
        <v>32.08</v>
      </c>
      <c r="H2984" s="2">
        <v>0.92</v>
      </c>
      <c r="I2984" s="1">
        <v>2.8</v>
      </c>
      <c r="J2984" s="26">
        <v>45966</v>
      </c>
      <c r="K2984" s="22">
        <v>32080</v>
      </c>
      <c r="L2984" s="18">
        <v>34.31</v>
      </c>
      <c r="M2984" s="22">
        <v>23100</v>
      </c>
      <c r="N2984" s="22">
        <v>8980</v>
      </c>
      <c r="O2984" s="18">
        <v>9.6</v>
      </c>
      <c r="P2984" s="52">
        <f>IF(COUNTIF(TblPurchases[BatchID],TblOutcomes[[#This Row],[BatchID]])&lt;&gt;1,"n.a.",TblOutcomes[[#This Row],[Qty Wasted]]*SUMIFS(TblPurchases[Unit Cost (CLP)],TblPurchases[BatchID],TblOutcomes[[#This Row],[BatchID]]))</f>
        <v>644</v>
      </c>
      <c r="Q2984" s="51">
        <f>IF(COUNTIF(TblPurchases[BatchID],TblOutcomes[[#This Row],[BatchID]])&lt;&gt;1,"n.a.",SUMIFS(TblPurchases[Purchase Date],TblPurchases[BatchID],TblOutcomes[[#This Row],[BatchID]]))</f>
        <v>45666</v>
      </c>
    </row>
    <row r="2985" spans="2:17" x14ac:dyDescent="0.25">
      <c r="B2985" s="2" t="s">
        <v>3790</v>
      </c>
      <c r="C2985" s="2" t="s">
        <v>318</v>
      </c>
      <c r="D2985" s="2" t="s">
        <v>71</v>
      </c>
      <c r="E2985" s="2" t="s">
        <v>4646</v>
      </c>
      <c r="F2985" s="2">
        <v>29</v>
      </c>
      <c r="G2985" s="2">
        <v>27.61</v>
      </c>
      <c r="H2985" s="2">
        <v>1.39</v>
      </c>
      <c r="I2985" s="1">
        <v>4.8</v>
      </c>
      <c r="J2985" s="26">
        <v>45999</v>
      </c>
      <c r="K2985" s="22">
        <v>27610</v>
      </c>
      <c r="L2985" s="18">
        <v>29.53</v>
      </c>
      <c r="M2985" s="22">
        <v>20300</v>
      </c>
      <c r="N2985" s="22">
        <v>7310</v>
      </c>
      <c r="O2985" s="18">
        <v>7.82</v>
      </c>
      <c r="P2985" s="52">
        <f>IF(COUNTIF(TblPurchases[BatchID],TblOutcomes[[#This Row],[BatchID]])&lt;&gt;1,"n.a.",TblOutcomes[[#This Row],[Qty Wasted]]*SUMIFS(TblPurchases[Unit Cost (CLP)],TblPurchases[BatchID],TblOutcomes[[#This Row],[BatchID]]))</f>
        <v>972.99999999999989</v>
      </c>
      <c r="Q2985" s="51">
        <f>IF(COUNTIF(TblPurchases[BatchID],TblOutcomes[[#This Row],[BatchID]])&lt;&gt;1,"n.a.",SUMIFS(TblPurchases[Purchase Date],TblPurchases[BatchID],TblOutcomes[[#This Row],[BatchID]]))</f>
        <v>45699</v>
      </c>
    </row>
    <row r="2986" spans="2:17" x14ac:dyDescent="0.25">
      <c r="B2986" s="2" t="s">
        <v>3791</v>
      </c>
      <c r="C2986" s="2" t="s">
        <v>318</v>
      </c>
      <c r="D2986" s="2" t="s">
        <v>71</v>
      </c>
      <c r="E2986" s="2" t="s">
        <v>4646</v>
      </c>
      <c r="F2986" s="2">
        <v>30</v>
      </c>
      <c r="G2986" s="2">
        <v>28.32</v>
      </c>
      <c r="H2986" s="2">
        <v>1.68</v>
      </c>
      <c r="I2986" s="1">
        <v>5.6</v>
      </c>
      <c r="J2986" s="26">
        <v>46037</v>
      </c>
      <c r="K2986" s="22">
        <v>28320</v>
      </c>
      <c r="L2986" s="18">
        <v>30.29</v>
      </c>
      <c r="M2986" s="22">
        <v>21000</v>
      </c>
      <c r="N2986" s="22">
        <v>7320</v>
      </c>
      <c r="O2986" s="18">
        <v>7.83</v>
      </c>
      <c r="P2986" s="52">
        <f>IF(COUNTIF(TblPurchases[BatchID],TblOutcomes[[#This Row],[BatchID]])&lt;&gt;1,"n.a.",TblOutcomes[[#This Row],[Qty Wasted]]*SUMIFS(TblPurchases[Unit Cost (CLP)],TblPurchases[BatchID],TblOutcomes[[#This Row],[BatchID]]))</f>
        <v>1176</v>
      </c>
      <c r="Q2986" s="51">
        <f>IF(COUNTIF(TblPurchases[BatchID],TblOutcomes[[#This Row],[BatchID]])&lt;&gt;1,"n.a.",SUMIFS(TblPurchases[Purchase Date],TblPurchases[BatchID],TblOutcomes[[#This Row],[BatchID]]))</f>
        <v>45737</v>
      </c>
    </row>
    <row r="2987" spans="2:17" x14ac:dyDescent="0.25">
      <c r="B2987" s="2" t="s">
        <v>3792</v>
      </c>
      <c r="C2987" s="2" t="s">
        <v>318</v>
      </c>
      <c r="D2987" s="2" t="s">
        <v>71</v>
      </c>
      <c r="E2987" s="2" t="s">
        <v>4647</v>
      </c>
      <c r="F2987" s="2">
        <v>75</v>
      </c>
      <c r="G2987" s="2">
        <v>75</v>
      </c>
      <c r="H2987" s="2">
        <v>0</v>
      </c>
      <c r="I2987" s="1">
        <v>0</v>
      </c>
      <c r="J2987" s="26">
        <v>45784</v>
      </c>
      <c r="K2987" s="22">
        <v>75000</v>
      </c>
      <c r="L2987" s="18">
        <v>80.209999999999994</v>
      </c>
      <c r="M2987" s="22">
        <v>52500</v>
      </c>
      <c r="N2987" s="22">
        <v>22500</v>
      </c>
      <c r="O2987" s="18">
        <v>24.06</v>
      </c>
      <c r="P2987" s="52">
        <f>IF(COUNTIF(TblPurchases[BatchID],TblOutcomes[[#This Row],[BatchID]])&lt;&gt;1,"n.a.",TblOutcomes[[#This Row],[Qty Wasted]]*SUMIFS(TblPurchases[Unit Cost (CLP)],TblPurchases[BatchID],TblOutcomes[[#This Row],[BatchID]]))</f>
        <v>0</v>
      </c>
      <c r="Q2987" s="51">
        <f>IF(COUNTIF(TblPurchases[BatchID],TblOutcomes[[#This Row],[BatchID]])&lt;&gt;1,"n.a.",SUMIFS(TblPurchases[Purchase Date],TblPurchases[BatchID],TblOutcomes[[#This Row],[BatchID]]))</f>
        <v>45764</v>
      </c>
    </row>
    <row r="2988" spans="2:17" x14ac:dyDescent="0.25">
      <c r="B2988" s="2" t="s">
        <v>3793</v>
      </c>
      <c r="C2988" s="2" t="s">
        <v>318</v>
      </c>
      <c r="D2988" s="2" t="s">
        <v>71</v>
      </c>
      <c r="E2988" s="2" t="s">
        <v>4647</v>
      </c>
      <c r="F2988" s="2">
        <v>78</v>
      </c>
      <c r="G2988" s="2">
        <v>78</v>
      </c>
      <c r="H2988" s="2">
        <v>0</v>
      </c>
      <c r="I2988" s="1">
        <v>0</v>
      </c>
      <c r="J2988" s="26">
        <v>45847</v>
      </c>
      <c r="K2988" s="22">
        <v>78000</v>
      </c>
      <c r="L2988" s="18">
        <v>83.42</v>
      </c>
      <c r="M2988" s="22">
        <v>54600</v>
      </c>
      <c r="N2988" s="22">
        <v>23400</v>
      </c>
      <c r="O2988" s="18">
        <v>25.03</v>
      </c>
      <c r="P2988" s="52">
        <f>IF(COUNTIF(TblPurchases[BatchID],TblOutcomes[[#This Row],[BatchID]])&lt;&gt;1,"n.a.",TblOutcomes[[#This Row],[Qty Wasted]]*SUMIFS(TblPurchases[Unit Cost (CLP)],TblPurchases[BatchID],TblOutcomes[[#This Row],[BatchID]]))</f>
        <v>0</v>
      </c>
      <c r="Q2988" s="51">
        <f>IF(COUNTIF(TblPurchases[BatchID],TblOutcomes[[#This Row],[BatchID]])&lt;&gt;1,"n.a.",SUMIFS(TblPurchases[Purchase Date],TblPurchases[BatchID],TblOutcomes[[#This Row],[BatchID]]))</f>
        <v>45809</v>
      </c>
    </row>
    <row r="2989" spans="2:17" x14ac:dyDescent="0.25">
      <c r="B2989" s="2" t="s">
        <v>3794</v>
      </c>
      <c r="C2989" s="2" t="s">
        <v>320</v>
      </c>
      <c r="D2989" s="2" t="s">
        <v>71</v>
      </c>
      <c r="E2989" s="2" t="s">
        <v>4646</v>
      </c>
      <c r="F2989" s="2">
        <v>53</v>
      </c>
      <c r="G2989" s="2">
        <v>51.94</v>
      </c>
      <c r="H2989" s="2">
        <v>1.06</v>
      </c>
      <c r="I2989" s="1">
        <v>2</v>
      </c>
      <c r="J2989" s="26">
        <v>45425</v>
      </c>
      <c r="K2989" s="22">
        <v>51940</v>
      </c>
      <c r="L2989" s="18">
        <v>55.55</v>
      </c>
      <c r="M2989" s="22">
        <v>34450</v>
      </c>
      <c r="N2989" s="22">
        <v>17490</v>
      </c>
      <c r="O2989" s="18">
        <v>18.71</v>
      </c>
      <c r="P2989" s="52">
        <f>IF(COUNTIF(TblPurchases[BatchID],TblOutcomes[[#This Row],[BatchID]])&lt;&gt;1,"n.a.",TblOutcomes[[#This Row],[Qty Wasted]]*SUMIFS(TblPurchases[Unit Cost (CLP)],TblPurchases[BatchID],TblOutcomes[[#This Row],[BatchID]]))</f>
        <v>689</v>
      </c>
      <c r="Q2989" s="51">
        <f>IF(COUNTIF(TblPurchases[BatchID],TblOutcomes[[#This Row],[BatchID]])&lt;&gt;1,"n.a.",SUMIFS(TblPurchases[Purchase Date],TblPurchases[BatchID],TblOutcomes[[#This Row],[BatchID]]))</f>
        <v>45125</v>
      </c>
    </row>
    <row r="2990" spans="2:17" x14ac:dyDescent="0.25">
      <c r="B2990" s="2" t="s">
        <v>3795</v>
      </c>
      <c r="C2990" s="2" t="s">
        <v>320</v>
      </c>
      <c r="D2990" s="2" t="s">
        <v>71</v>
      </c>
      <c r="E2990" s="2" t="s">
        <v>4646</v>
      </c>
      <c r="F2990" s="2">
        <v>56</v>
      </c>
      <c r="G2990" s="2">
        <v>54.43</v>
      </c>
      <c r="H2990" s="2">
        <v>1.57</v>
      </c>
      <c r="I2990" s="1">
        <v>2.8</v>
      </c>
      <c r="J2990" s="26">
        <v>45466</v>
      </c>
      <c r="K2990" s="22">
        <v>54430</v>
      </c>
      <c r="L2990" s="18">
        <v>58.21</v>
      </c>
      <c r="M2990" s="22">
        <v>36400</v>
      </c>
      <c r="N2990" s="22">
        <v>18030</v>
      </c>
      <c r="O2990" s="18">
        <v>19.28</v>
      </c>
      <c r="P2990" s="52">
        <f>IF(COUNTIF(TblPurchases[BatchID],TblOutcomes[[#This Row],[BatchID]])&lt;&gt;1,"n.a.",TblOutcomes[[#This Row],[Qty Wasted]]*SUMIFS(TblPurchases[Unit Cost (CLP)],TblPurchases[BatchID],TblOutcomes[[#This Row],[BatchID]]))</f>
        <v>1020.5</v>
      </c>
      <c r="Q2990" s="51">
        <f>IF(COUNTIF(TblPurchases[BatchID],TblOutcomes[[#This Row],[BatchID]])&lt;&gt;1,"n.a.",SUMIFS(TblPurchases[Purchase Date],TblPurchases[BatchID],TblOutcomes[[#This Row],[BatchID]]))</f>
        <v>45166</v>
      </c>
    </row>
    <row r="2991" spans="2:17" x14ac:dyDescent="0.25">
      <c r="B2991" s="2" t="s">
        <v>3796</v>
      </c>
      <c r="C2991" s="2" t="s">
        <v>320</v>
      </c>
      <c r="D2991" s="2" t="s">
        <v>71</v>
      </c>
      <c r="E2991" s="2" t="s">
        <v>4646</v>
      </c>
      <c r="F2991" s="2">
        <v>45</v>
      </c>
      <c r="G2991" s="2">
        <v>43.02</v>
      </c>
      <c r="H2991" s="2">
        <v>1.98</v>
      </c>
      <c r="I2991" s="1">
        <v>4.4000000000000004</v>
      </c>
      <c r="J2991" s="26">
        <v>45506</v>
      </c>
      <c r="K2991" s="22">
        <v>43020</v>
      </c>
      <c r="L2991" s="18">
        <v>46.01</v>
      </c>
      <c r="M2991" s="22">
        <v>29250</v>
      </c>
      <c r="N2991" s="22">
        <v>13770</v>
      </c>
      <c r="O2991" s="18">
        <v>14.73</v>
      </c>
      <c r="P2991" s="52">
        <f>IF(COUNTIF(TblPurchases[BatchID],TblOutcomes[[#This Row],[BatchID]])&lt;&gt;1,"n.a.",TblOutcomes[[#This Row],[Qty Wasted]]*SUMIFS(TblPurchases[Unit Cost (CLP)],TblPurchases[BatchID],TblOutcomes[[#This Row],[BatchID]]))</f>
        <v>1287</v>
      </c>
      <c r="Q2991" s="51">
        <f>IF(COUNTIF(TblPurchases[BatchID],TblOutcomes[[#This Row],[BatchID]])&lt;&gt;1,"n.a.",SUMIFS(TblPurchases[Purchase Date],TblPurchases[BatchID],TblOutcomes[[#This Row],[BatchID]]))</f>
        <v>45206</v>
      </c>
    </row>
    <row r="2992" spans="2:17" x14ac:dyDescent="0.25">
      <c r="B2992" s="2" t="s">
        <v>3797</v>
      </c>
      <c r="C2992" s="2" t="s">
        <v>320</v>
      </c>
      <c r="D2992" s="2" t="s">
        <v>71</v>
      </c>
      <c r="E2992" s="2" t="s">
        <v>4647</v>
      </c>
      <c r="F2992" s="2">
        <v>55</v>
      </c>
      <c r="G2992" s="2">
        <v>55</v>
      </c>
      <c r="H2992" s="2">
        <v>0</v>
      </c>
      <c r="I2992" s="1">
        <v>0</v>
      </c>
      <c r="J2992" s="26">
        <v>45269</v>
      </c>
      <c r="K2992" s="22">
        <v>55000</v>
      </c>
      <c r="L2992" s="18">
        <v>58.82</v>
      </c>
      <c r="M2992" s="22">
        <v>35750</v>
      </c>
      <c r="N2992" s="22">
        <v>19250</v>
      </c>
      <c r="O2992" s="18">
        <v>20.59</v>
      </c>
      <c r="P2992" s="52">
        <f>IF(COUNTIF(TblPurchases[BatchID],TblOutcomes[[#This Row],[BatchID]])&lt;&gt;1,"n.a.",TblOutcomes[[#This Row],[Qty Wasted]]*SUMIFS(TblPurchases[Unit Cost (CLP)],TblPurchases[BatchID],TblOutcomes[[#This Row],[BatchID]]))</f>
        <v>0</v>
      </c>
      <c r="Q2992" s="51">
        <f>IF(COUNTIF(TblPurchases[BatchID],TblOutcomes[[#This Row],[BatchID]])&lt;&gt;1,"n.a.",SUMIFS(TblPurchases[Purchase Date],TblPurchases[BatchID],TblOutcomes[[#This Row],[BatchID]]))</f>
        <v>45239</v>
      </c>
    </row>
    <row r="2993" spans="2:17" x14ac:dyDescent="0.25">
      <c r="B2993" s="2" t="s">
        <v>3798</v>
      </c>
      <c r="C2993" s="2" t="s">
        <v>320</v>
      </c>
      <c r="D2993" s="2" t="s">
        <v>71</v>
      </c>
      <c r="E2993" s="2" t="s">
        <v>4647</v>
      </c>
      <c r="F2993" s="2">
        <v>59</v>
      </c>
      <c r="G2993" s="2">
        <v>59</v>
      </c>
      <c r="H2993" s="2">
        <v>0</v>
      </c>
      <c r="I2993" s="1">
        <v>0</v>
      </c>
      <c r="J2993" s="26">
        <v>45302</v>
      </c>
      <c r="K2993" s="22">
        <v>59000</v>
      </c>
      <c r="L2993" s="18">
        <v>63.1</v>
      </c>
      <c r="M2993" s="22">
        <v>38350</v>
      </c>
      <c r="N2993" s="22">
        <v>20650</v>
      </c>
      <c r="O2993" s="18">
        <v>22.09</v>
      </c>
      <c r="P2993" s="52">
        <f>IF(COUNTIF(TblPurchases[BatchID],TblOutcomes[[#This Row],[BatchID]])&lt;&gt;1,"n.a.",TblOutcomes[[#This Row],[Qty Wasted]]*SUMIFS(TblPurchases[Unit Cost (CLP)],TblPurchases[BatchID],TblOutcomes[[#This Row],[BatchID]]))</f>
        <v>0</v>
      </c>
      <c r="Q2993" s="51">
        <f>IF(COUNTIF(TblPurchases[BatchID],TblOutcomes[[#This Row],[BatchID]])&lt;&gt;1,"n.a.",SUMIFS(TblPurchases[Purchase Date],TblPurchases[BatchID],TblOutcomes[[#This Row],[BatchID]]))</f>
        <v>45269</v>
      </c>
    </row>
    <row r="2994" spans="2:17" x14ac:dyDescent="0.25">
      <c r="B2994" s="2" t="s">
        <v>3799</v>
      </c>
      <c r="C2994" s="2" t="s">
        <v>320</v>
      </c>
      <c r="D2994" s="2" t="s">
        <v>71</v>
      </c>
      <c r="E2994" s="2" t="s">
        <v>4646</v>
      </c>
      <c r="F2994" s="2">
        <v>51</v>
      </c>
      <c r="G2994" s="2">
        <v>49.52</v>
      </c>
      <c r="H2994" s="2">
        <v>1.48</v>
      </c>
      <c r="I2994" s="1">
        <v>2.9</v>
      </c>
      <c r="J2994" s="26">
        <v>45612</v>
      </c>
      <c r="K2994" s="22">
        <v>49520</v>
      </c>
      <c r="L2994" s="18">
        <v>52.96</v>
      </c>
      <c r="M2994" s="22">
        <v>33150</v>
      </c>
      <c r="N2994" s="22">
        <v>16370</v>
      </c>
      <c r="O2994" s="18">
        <v>17.510000000000002</v>
      </c>
      <c r="P2994" s="52">
        <f>IF(COUNTIF(TblPurchases[BatchID],TblOutcomes[[#This Row],[BatchID]])&lt;&gt;1,"n.a.",TblOutcomes[[#This Row],[Qty Wasted]]*SUMIFS(TblPurchases[Unit Cost (CLP)],TblPurchases[BatchID],TblOutcomes[[#This Row],[BatchID]]))</f>
        <v>962</v>
      </c>
      <c r="Q2994" s="51">
        <f>IF(COUNTIF(TblPurchases[BatchID],TblOutcomes[[#This Row],[BatchID]])&lt;&gt;1,"n.a.",SUMIFS(TblPurchases[Purchase Date],TblPurchases[BatchID],TblOutcomes[[#This Row],[BatchID]]))</f>
        <v>45312</v>
      </c>
    </row>
    <row r="2995" spans="2:17" x14ac:dyDescent="0.25">
      <c r="B2995" s="2" t="s">
        <v>3800</v>
      </c>
      <c r="C2995" s="2" t="s">
        <v>320</v>
      </c>
      <c r="D2995" s="2" t="s">
        <v>71</v>
      </c>
      <c r="E2995" s="2" t="s">
        <v>4646</v>
      </c>
      <c r="F2995" s="2">
        <v>54</v>
      </c>
      <c r="G2995" s="2">
        <v>51.41</v>
      </c>
      <c r="H2995" s="2">
        <v>2.59</v>
      </c>
      <c r="I2995" s="1">
        <v>4.8</v>
      </c>
      <c r="J2995" s="26">
        <v>45650</v>
      </c>
      <c r="K2995" s="22">
        <v>51410</v>
      </c>
      <c r="L2995" s="18">
        <v>54.98</v>
      </c>
      <c r="M2995" s="22">
        <v>35100</v>
      </c>
      <c r="N2995" s="22">
        <v>16310</v>
      </c>
      <c r="O2995" s="18">
        <v>17.440000000000001</v>
      </c>
      <c r="P2995" s="52">
        <f>IF(COUNTIF(TblPurchases[BatchID],TblOutcomes[[#This Row],[BatchID]])&lt;&gt;1,"n.a.",TblOutcomes[[#This Row],[Qty Wasted]]*SUMIFS(TblPurchases[Unit Cost (CLP)],TblPurchases[BatchID],TblOutcomes[[#This Row],[BatchID]]))</f>
        <v>1683.5</v>
      </c>
      <c r="Q2995" s="51">
        <f>IF(COUNTIF(TblPurchases[BatchID],TblOutcomes[[#This Row],[BatchID]])&lt;&gt;1,"n.a.",SUMIFS(TblPurchases[Purchase Date],TblPurchases[BatchID],TblOutcomes[[#This Row],[BatchID]]))</f>
        <v>45350</v>
      </c>
    </row>
    <row r="2996" spans="2:17" x14ac:dyDescent="0.25">
      <c r="B2996" s="2" t="s">
        <v>3801</v>
      </c>
      <c r="C2996" s="2" t="s">
        <v>320</v>
      </c>
      <c r="D2996" s="2" t="s">
        <v>71</v>
      </c>
      <c r="E2996" s="2" t="s">
        <v>4647</v>
      </c>
      <c r="F2996" s="2">
        <v>56</v>
      </c>
      <c r="G2996" s="2">
        <v>56</v>
      </c>
      <c r="H2996" s="2">
        <v>0</v>
      </c>
      <c r="I2996" s="1">
        <v>0</v>
      </c>
      <c r="J2996" s="26">
        <v>45393</v>
      </c>
      <c r="K2996" s="22">
        <v>56000</v>
      </c>
      <c r="L2996" s="18">
        <v>59.89</v>
      </c>
      <c r="M2996" s="22">
        <v>39200</v>
      </c>
      <c r="N2996" s="22">
        <v>16800</v>
      </c>
      <c r="O2996" s="18">
        <v>17.97</v>
      </c>
      <c r="P2996" s="52">
        <f>IF(COUNTIF(TblPurchases[BatchID],TblOutcomes[[#This Row],[BatchID]])&lt;&gt;1,"n.a.",TblOutcomes[[#This Row],[Qty Wasted]]*SUMIFS(TblPurchases[Unit Cost (CLP)],TblPurchases[BatchID],TblOutcomes[[#This Row],[BatchID]]))</f>
        <v>0</v>
      </c>
      <c r="Q2996" s="51">
        <f>IF(COUNTIF(TblPurchases[BatchID],TblOutcomes[[#This Row],[BatchID]])&lt;&gt;1,"n.a.",SUMIFS(TblPurchases[Purchase Date],TblPurchases[BatchID],TblOutcomes[[#This Row],[BatchID]]))</f>
        <v>45381</v>
      </c>
    </row>
    <row r="2997" spans="2:17" x14ac:dyDescent="0.25">
      <c r="B2997" s="2" t="s">
        <v>3802</v>
      </c>
      <c r="C2997" s="2" t="s">
        <v>320</v>
      </c>
      <c r="D2997" s="2" t="s">
        <v>71</v>
      </c>
      <c r="E2997" s="2" t="s">
        <v>4647</v>
      </c>
      <c r="F2997" s="2">
        <v>55</v>
      </c>
      <c r="G2997" s="2">
        <v>55</v>
      </c>
      <c r="H2997" s="2">
        <v>0</v>
      </c>
      <c r="I2997" s="1">
        <v>0</v>
      </c>
      <c r="J2997" s="26">
        <v>45453</v>
      </c>
      <c r="K2997" s="22">
        <v>55000</v>
      </c>
      <c r="L2997" s="18">
        <v>58.82</v>
      </c>
      <c r="M2997" s="22">
        <v>35750</v>
      </c>
      <c r="N2997" s="22">
        <v>19250</v>
      </c>
      <c r="O2997" s="18">
        <v>20.59</v>
      </c>
      <c r="P2997" s="52">
        <f>IF(COUNTIF(TblPurchases[BatchID],TblOutcomes[[#This Row],[BatchID]])&lt;&gt;1,"n.a.",TblOutcomes[[#This Row],[Qty Wasted]]*SUMIFS(TblPurchases[Unit Cost (CLP)],TblPurchases[BatchID],TblOutcomes[[#This Row],[BatchID]]))</f>
        <v>0</v>
      </c>
      <c r="Q2997" s="51">
        <f>IF(COUNTIF(TblPurchases[BatchID],TblOutcomes[[#This Row],[BatchID]])&lt;&gt;1,"n.a.",SUMIFS(TblPurchases[Purchase Date],TblPurchases[BatchID],TblOutcomes[[#This Row],[BatchID]]))</f>
        <v>45413</v>
      </c>
    </row>
    <row r="2998" spans="2:17" x14ac:dyDescent="0.25">
      <c r="B2998" s="2" t="s">
        <v>3803</v>
      </c>
      <c r="C2998" s="2" t="s">
        <v>320</v>
      </c>
      <c r="D2998" s="2" t="s">
        <v>71</v>
      </c>
      <c r="E2998" s="2" t="s">
        <v>4647</v>
      </c>
      <c r="F2998" s="2">
        <v>49</v>
      </c>
      <c r="G2998" s="2">
        <v>49</v>
      </c>
      <c r="H2998" s="2">
        <v>0</v>
      </c>
      <c r="I2998" s="1">
        <v>0</v>
      </c>
      <c r="J2998" s="26">
        <v>45447</v>
      </c>
      <c r="K2998" s="22">
        <v>49000</v>
      </c>
      <c r="L2998" s="18">
        <v>52.41</v>
      </c>
      <c r="M2998" s="22">
        <v>34300</v>
      </c>
      <c r="N2998" s="22">
        <v>14700</v>
      </c>
      <c r="O2998" s="18">
        <v>15.72</v>
      </c>
      <c r="P2998" s="52">
        <f>IF(COUNTIF(TblPurchases[BatchID],TblOutcomes[[#This Row],[BatchID]])&lt;&gt;1,"n.a.",TblOutcomes[[#This Row],[Qty Wasted]]*SUMIFS(TblPurchases[Unit Cost (CLP)],TblPurchases[BatchID],TblOutcomes[[#This Row],[BatchID]]))</f>
        <v>0</v>
      </c>
      <c r="Q2998" s="51">
        <f>IF(COUNTIF(TblPurchases[BatchID],TblOutcomes[[#This Row],[BatchID]])&lt;&gt;1,"n.a.",SUMIFS(TblPurchases[Purchase Date],TblPurchases[BatchID],TblOutcomes[[#This Row],[BatchID]]))</f>
        <v>45436</v>
      </c>
    </row>
    <row r="2999" spans="2:17" x14ac:dyDescent="0.25">
      <c r="B2999" s="2" t="s">
        <v>3804</v>
      </c>
      <c r="C2999" s="2" t="s">
        <v>320</v>
      </c>
      <c r="D2999" s="2" t="s">
        <v>71</v>
      </c>
      <c r="E2999" s="2" t="s">
        <v>4647</v>
      </c>
      <c r="F2999" s="2">
        <v>52</v>
      </c>
      <c r="G2999" s="2">
        <v>52</v>
      </c>
      <c r="H2999" s="2">
        <v>0</v>
      </c>
      <c r="I2999" s="1">
        <v>0</v>
      </c>
      <c r="J2999" s="26">
        <v>45513</v>
      </c>
      <c r="K2999" s="22">
        <v>52000</v>
      </c>
      <c r="L2999" s="18">
        <v>55.61</v>
      </c>
      <c r="M2999" s="22">
        <v>33800</v>
      </c>
      <c r="N2999" s="22">
        <v>18200</v>
      </c>
      <c r="O2999" s="18">
        <v>19.47</v>
      </c>
      <c r="P2999" s="52">
        <f>IF(COUNTIF(TblPurchases[BatchID],TblOutcomes[[#This Row],[BatchID]])&lt;&gt;1,"n.a.",TblOutcomes[[#This Row],[Qty Wasted]]*SUMIFS(TblPurchases[Unit Cost (CLP)],TblPurchases[BatchID],TblOutcomes[[#This Row],[BatchID]]))</f>
        <v>0</v>
      </c>
      <c r="Q2999" s="51">
        <f>IF(COUNTIF(TblPurchases[BatchID],TblOutcomes[[#This Row],[BatchID]])&lt;&gt;1,"n.a.",SUMIFS(TblPurchases[Purchase Date],TblPurchases[BatchID],TblOutcomes[[#This Row],[BatchID]]))</f>
        <v>45476</v>
      </c>
    </row>
    <row r="3000" spans="2:17" x14ac:dyDescent="0.25">
      <c r="B3000" s="2" t="s">
        <v>3805</v>
      </c>
      <c r="C3000" s="2" t="s">
        <v>320</v>
      </c>
      <c r="D3000" s="2" t="s">
        <v>71</v>
      </c>
      <c r="E3000" s="2" t="s">
        <v>4647</v>
      </c>
      <c r="F3000" s="2">
        <v>49</v>
      </c>
      <c r="G3000" s="2">
        <v>49</v>
      </c>
      <c r="H3000" s="2">
        <v>0</v>
      </c>
      <c r="I3000" s="1">
        <v>0</v>
      </c>
      <c r="J3000" s="26">
        <v>45551</v>
      </c>
      <c r="K3000" s="22">
        <v>49000</v>
      </c>
      <c r="L3000" s="18">
        <v>52.41</v>
      </c>
      <c r="M3000" s="22">
        <v>34300</v>
      </c>
      <c r="N3000" s="22">
        <v>14700</v>
      </c>
      <c r="O3000" s="18">
        <v>15.72</v>
      </c>
      <c r="P3000" s="52">
        <f>IF(COUNTIF(TblPurchases[BatchID],TblOutcomes[[#This Row],[BatchID]])&lt;&gt;1,"n.a.",TblOutcomes[[#This Row],[Qty Wasted]]*SUMIFS(TblPurchases[Unit Cost (CLP)],TblPurchases[BatchID],TblOutcomes[[#This Row],[BatchID]]))</f>
        <v>0</v>
      </c>
      <c r="Q3000" s="51">
        <f>IF(COUNTIF(TblPurchases[BatchID],TblOutcomes[[#This Row],[BatchID]])&lt;&gt;1,"n.a.",SUMIFS(TblPurchases[Purchase Date],TblPurchases[BatchID],TblOutcomes[[#This Row],[BatchID]]))</f>
        <v>45516</v>
      </c>
    </row>
    <row r="3001" spans="2:17" x14ac:dyDescent="0.25">
      <c r="B3001" s="2" t="s">
        <v>3806</v>
      </c>
      <c r="C3001" s="2" t="s">
        <v>320</v>
      </c>
      <c r="D3001" s="2" t="s">
        <v>71</v>
      </c>
      <c r="E3001" s="2" t="s">
        <v>4646</v>
      </c>
      <c r="F3001" s="2">
        <v>59</v>
      </c>
      <c r="G3001" s="2">
        <v>57.58</v>
      </c>
      <c r="H3001" s="2">
        <v>1.42</v>
      </c>
      <c r="I3001" s="1">
        <v>2.4</v>
      </c>
      <c r="J3001" s="26">
        <v>45844</v>
      </c>
      <c r="K3001" s="22">
        <v>57580</v>
      </c>
      <c r="L3001" s="18">
        <v>61.58</v>
      </c>
      <c r="M3001" s="22">
        <v>38350</v>
      </c>
      <c r="N3001" s="22">
        <v>19230</v>
      </c>
      <c r="O3001" s="18">
        <v>20.57</v>
      </c>
      <c r="P3001" s="52">
        <f>IF(COUNTIF(TblPurchases[BatchID],TblOutcomes[[#This Row],[BatchID]])&lt;&gt;1,"n.a.",TblOutcomes[[#This Row],[Qty Wasted]]*SUMIFS(TblPurchases[Unit Cost (CLP)],TblPurchases[BatchID],TblOutcomes[[#This Row],[BatchID]]))</f>
        <v>923</v>
      </c>
      <c r="Q3001" s="51">
        <f>IF(COUNTIF(TblPurchases[BatchID],TblOutcomes[[#This Row],[BatchID]])&lt;&gt;1,"n.a.",SUMIFS(TblPurchases[Purchase Date],TblPurchases[BatchID],TblOutcomes[[#This Row],[BatchID]]))</f>
        <v>45544</v>
      </c>
    </row>
    <row r="3002" spans="2:17" x14ac:dyDescent="0.25">
      <c r="B3002" s="2" t="s">
        <v>3807</v>
      </c>
      <c r="C3002" s="2" t="s">
        <v>320</v>
      </c>
      <c r="D3002" s="2" t="s">
        <v>71</v>
      </c>
      <c r="E3002" s="2" t="s">
        <v>4647</v>
      </c>
      <c r="F3002" s="2">
        <v>48</v>
      </c>
      <c r="G3002" s="2">
        <v>48</v>
      </c>
      <c r="H3002" s="2">
        <v>0</v>
      </c>
      <c r="I3002" s="1">
        <v>0</v>
      </c>
      <c r="J3002" s="26">
        <v>45605</v>
      </c>
      <c r="K3002" s="22">
        <v>48000</v>
      </c>
      <c r="L3002" s="18">
        <v>51.34</v>
      </c>
      <c r="M3002" s="22">
        <v>31200</v>
      </c>
      <c r="N3002" s="22">
        <v>16800</v>
      </c>
      <c r="O3002" s="18">
        <v>17.97</v>
      </c>
      <c r="P3002" s="52">
        <f>IF(COUNTIF(TblPurchases[BatchID],TblOutcomes[[#This Row],[BatchID]])&lt;&gt;1,"n.a.",TblOutcomes[[#This Row],[Qty Wasted]]*SUMIFS(TblPurchases[Unit Cost (CLP)],TblPurchases[BatchID],TblOutcomes[[#This Row],[BatchID]]))</f>
        <v>0</v>
      </c>
      <c r="Q3002" s="51">
        <f>IF(COUNTIF(TblPurchases[BatchID],TblOutcomes[[#This Row],[BatchID]])&lt;&gt;1,"n.a.",SUMIFS(TblPurchases[Purchase Date],TblPurchases[BatchID],TblOutcomes[[#This Row],[BatchID]]))</f>
        <v>45580</v>
      </c>
    </row>
    <row r="3003" spans="2:17" x14ac:dyDescent="0.25">
      <c r="B3003" s="2" t="s">
        <v>3808</v>
      </c>
      <c r="C3003" s="2" t="s">
        <v>320</v>
      </c>
      <c r="D3003" s="2" t="s">
        <v>71</v>
      </c>
      <c r="E3003" s="2" t="s">
        <v>4647</v>
      </c>
      <c r="F3003" s="2">
        <v>51</v>
      </c>
      <c r="G3003" s="2">
        <v>51</v>
      </c>
      <c r="H3003" s="2">
        <v>0</v>
      </c>
      <c r="I3003" s="1">
        <v>0</v>
      </c>
      <c r="J3003" s="26">
        <v>45644</v>
      </c>
      <c r="K3003" s="22">
        <v>51000</v>
      </c>
      <c r="L3003" s="18">
        <v>54.55</v>
      </c>
      <c r="M3003" s="22">
        <v>33150</v>
      </c>
      <c r="N3003" s="22">
        <v>17850</v>
      </c>
      <c r="O3003" s="18">
        <v>19.09</v>
      </c>
      <c r="P3003" s="52">
        <f>IF(COUNTIF(TblPurchases[BatchID],TblOutcomes[[#This Row],[BatchID]])&lt;&gt;1,"n.a.",TblOutcomes[[#This Row],[Qty Wasted]]*SUMIFS(TblPurchases[Unit Cost (CLP)],TblPurchases[BatchID],TblOutcomes[[#This Row],[BatchID]]))</f>
        <v>0</v>
      </c>
      <c r="Q3003" s="51">
        <f>IF(COUNTIF(TblPurchases[BatchID],TblOutcomes[[#This Row],[BatchID]])&lt;&gt;1,"n.a.",SUMIFS(TblPurchases[Purchase Date],TblPurchases[BatchID],TblOutcomes[[#This Row],[BatchID]]))</f>
        <v>45618</v>
      </c>
    </row>
    <row r="3004" spans="2:17" x14ac:dyDescent="0.25">
      <c r="B3004" s="2" t="s">
        <v>3809</v>
      </c>
      <c r="C3004" s="2" t="s">
        <v>320</v>
      </c>
      <c r="D3004" s="2" t="s">
        <v>71</v>
      </c>
      <c r="E3004" s="2" t="s">
        <v>4647</v>
      </c>
      <c r="F3004" s="2">
        <v>57</v>
      </c>
      <c r="G3004" s="2">
        <v>57</v>
      </c>
      <c r="H3004" s="2">
        <v>0</v>
      </c>
      <c r="I3004" s="1">
        <v>0</v>
      </c>
      <c r="J3004" s="26">
        <v>45672</v>
      </c>
      <c r="K3004" s="22">
        <v>57000</v>
      </c>
      <c r="L3004" s="18">
        <v>60.96</v>
      </c>
      <c r="M3004" s="22">
        <v>37050</v>
      </c>
      <c r="N3004" s="22">
        <v>19950</v>
      </c>
      <c r="O3004" s="18">
        <v>21.34</v>
      </c>
      <c r="P3004" s="52">
        <f>IF(COUNTIF(TblPurchases[BatchID],TblOutcomes[[#This Row],[BatchID]])&lt;&gt;1,"n.a.",TblOutcomes[[#This Row],[Qty Wasted]]*SUMIFS(TblPurchases[Unit Cost (CLP)],TblPurchases[BatchID],TblOutcomes[[#This Row],[BatchID]]))</f>
        <v>0</v>
      </c>
      <c r="Q3004" s="51">
        <f>IF(COUNTIF(TblPurchases[BatchID],TblOutcomes[[#This Row],[BatchID]])&lt;&gt;1,"n.a.",SUMIFS(TblPurchases[Purchase Date],TblPurchases[BatchID],TblOutcomes[[#This Row],[BatchID]]))</f>
        <v>45650</v>
      </c>
    </row>
    <row r="3005" spans="2:17" x14ac:dyDescent="0.25">
      <c r="B3005" s="2" t="s">
        <v>3810</v>
      </c>
      <c r="C3005" s="2" t="s">
        <v>320</v>
      </c>
      <c r="D3005" s="2" t="s">
        <v>71</v>
      </c>
      <c r="E3005" s="2" t="s">
        <v>4646</v>
      </c>
      <c r="F3005" s="2">
        <v>48</v>
      </c>
      <c r="G3005" s="2">
        <v>46.27</v>
      </c>
      <c r="H3005" s="2">
        <v>1.73</v>
      </c>
      <c r="I3005" s="1">
        <v>3.6</v>
      </c>
      <c r="J3005" s="26">
        <v>45983</v>
      </c>
      <c r="K3005" s="22">
        <v>46270</v>
      </c>
      <c r="L3005" s="18">
        <v>49.49</v>
      </c>
      <c r="M3005" s="22">
        <v>31200</v>
      </c>
      <c r="N3005" s="22">
        <v>15070</v>
      </c>
      <c r="O3005" s="18">
        <v>16.12</v>
      </c>
      <c r="P3005" s="52">
        <f>IF(COUNTIF(TblPurchases[BatchID],TblOutcomes[[#This Row],[BatchID]])&lt;&gt;1,"n.a.",TblOutcomes[[#This Row],[Qty Wasted]]*SUMIFS(TblPurchases[Unit Cost (CLP)],TblPurchases[BatchID],TblOutcomes[[#This Row],[BatchID]]))</f>
        <v>1124.5</v>
      </c>
      <c r="Q3005" s="51">
        <f>IF(COUNTIF(TblPurchases[BatchID],TblOutcomes[[#This Row],[BatchID]])&lt;&gt;1,"n.a.",SUMIFS(TblPurchases[Purchase Date],TblPurchases[BatchID],TblOutcomes[[#This Row],[BatchID]]))</f>
        <v>45683</v>
      </c>
    </row>
    <row r="3006" spans="2:17" x14ac:dyDescent="0.25">
      <c r="B3006" s="2" t="s">
        <v>3811</v>
      </c>
      <c r="C3006" s="2" t="s">
        <v>320</v>
      </c>
      <c r="D3006" s="2" t="s">
        <v>71</v>
      </c>
      <c r="E3006" s="2" t="s">
        <v>4647</v>
      </c>
      <c r="F3006" s="2">
        <v>47</v>
      </c>
      <c r="G3006" s="2">
        <v>47</v>
      </c>
      <c r="H3006" s="2">
        <v>0</v>
      </c>
      <c r="I3006" s="1">
        <v>0</v>
      </c>
      <c r="J3006" s="26">
        <v>45772</v>
      </c>
      <c r="K3006" s="22">
        <v>47000</v>
      </c>
      <c r="L3006" s="18">
        <v>50.27</v>
      </c>
      <c r="M3006" s="22">
        <v>30550</v>
      </c>
      <c r="N3006" s="22">
        <v>16450</v>
      </c>
      <c r="O3006" s="18">
        <v>17.59</v>
      </c>
      <c r="P3006" s="52">
        <f>IF(COUNTIF(TblPurchases[BatchID],TblOutcomes[[#This Row],[BatchID]])&lt;&gt;1,"n.a.",TblOutcomes[[#This Row],[Qty Wasted]]*SUMIFS(TblPurchases[Unit Cost (CLP)],TblPurchases[BatchID],TblOutcomes[[#This Row],[BatchID]]))</f>
        <v>0</v>
      </c>
      <c r="Q3006" s="51">
        <f>IF(COUNTIF(TblPurchases[BatchID],TblOutcomes[[#This Row],[BatchID]])&lt;&gt;1,"n.a.",SUMIFS(TblPurchases[Purchase Date],TblPurchases[BatchID],TblOutcomes[[#This Row],[BatchID]]))</f>
        <v>45729</v>
      </c>
    </row>
    <row r="3007" spans="2:17" x14ac:dyDescent="0.25">
      <c r="B3007" s="2" t="s">
        <v>3812</v>
      </c>
      <c r="C3007" s="2" t="s">
        <v>320</v>
      </c>
      <c r="D3007" s="2" t="s">
        <v>71</v>
      </c>
      <c r="E3007" s="2" t="s">
        <v>4646</v>
      </c>
      <c r="F3007" s="2">
        <v>54</v>
      </c>
      <c r="G3007" s="2">
        <v>52.22</v>
      </c>
      <c r="H3007" s="2">
        <v>1.78</v>
      </c>
      <c r="I3007" s="1">
        <v>3.3</v>
      </c>
      <c r="J3007" s="26">
        <v>46064</v>
      </c>
      <c r="K3007" s="22">
        <v>52220</v>
      </c>
      <c r="L3007" s="18">
        <v>55.85</v>
      </c>
      <c r="M3007" s="22">
        <v>37800</v>
      </c>
      <c r="N3007" s="22">
        <v>14420</v>
      </c>
      <c r="O3007" s="18">
        <v>15.42</v>
      </c>
      <c r="P3007" s="52">
        <f>IF(COUNTIF(TblPurchases[BatchID],TblOutcomes[[#This Row],[BatchID]])&lt;&gt;1,"n.a.",TblOutcomes[[#This Row],[Qty Wasted]]*SUMIFS(TblPurchases[Unit Cost (CLP)],TblPurchases[BatchID],TblOutcomes[[#This Row],[BatchID]]))</f>
        <v>1246</v>
      </c>
      <c r="Q3007" s="51">
        <f>IF(COUNTIF(TblPurchases[BatchID],TblOutcomes[[#This Row],[BatchID]])&lt;&gt;1,"n.a.",SUMIFS(TblPurchases[Purchase Date],TblPurchases[BatchID],TblOutcomes[[#This Row],[BatchID]]))</f>
        <v>45764</v>
      </c>
    </row>
    <row r="3008" spans="2:17" x14ac:dyDescent="0.25">
      <c r="B3008" s="2" t="s">
        <v>3813</v>
      </c>
      <c r="C3008" s="2" t="s">
        <v>320</v>
      </c>
      <c r="D3008" s="2" t="s">
        <v>71</v>
      </c>
      <c r="E3008" s="2" t="s">
        <v>4646</v>
      </c>
      <c r="F3008" s="2">
        <v>48</v>
      </c>
      <c r="G3008" s="2">
        <v>46.94</v>
      </c>
      <c r="H3008" s="2">
        <v>1.06</v>
      </c>
      <c r="I3008" s="1">
        <v>2.2000000000000002</v>
      </c>
      <c r="J3008" s="26">
        <v>46097</v>
      </c>
      <c r="K3008" s="22">
        <v>46940</v>
      </c>
      <c r="L3008" s="18">
        <v>50.2</v>
      </c>
      <c r="M3008" s="22">
        <v>31200</v>
      </c>
      <c r="N3008" s="22">
        <v>15740</v>
      </c>
      <c r="O3008" s="18">
        <v>16.829999999999998</v>
      </c>
      <c r="P3008" s="52">
        <f>IF(COUNTIF(TblPurchases[BatchID],TblOutcomes[[#This Row],[BatchID]])&lt;&gt;1,"n.a.",TblOutcomes[[#This Row],[Qty Wasted]]*SUMIFS(TblPurchases[Unit Cost (CLP)],TblPurchases[BatchID],TblOutcomes[[#This Row],[BatchID]]))</f>
        <v>689</v>
      </c>
      <c r="Q3008" s="51">
        <f>IF(COUNTIF(TblPurchases[BatchID],TblOutcomes[[#This Row],[BatchID]])&lt;&gt;1,"n.a.",SUMIFS(TblPurchases[Purchase Date],TblPurchases[BatchID],TblOutcomes[[#This Row],[BatchID]]))</f>
        <v>45797</v>
      </c>
    </row>
    <row r="3009" spans="2:17" x14ac:dyDescent="0.25">
      <c r="B3009" s="2" t="s">
        <v>3814</v>
      </c>
      <c r="C3009" s="2" t="s">
        <v>320</v>
      </c>
      <c r="D3009" s="2" t="s">
        <v>71</v>
      </c>
      <c r="E3009" s="2" t="s">
        <v>4646</v>
      </c>
      <c r="F3009" s="2">
        <v>61</v>
      </c>
      <c r="G3009" s="2">
        <v>57.58</v>
      </c>
      <c r="H3009" s="2">
        <v>3.42</v>
      </c>
      <c r="I3009" s="1">
        <v>5.6</v>
      </c>
      <c r="J3009" s="26">
        <v>46130</v>
      </c>
      <c r="K3009" s="22">
        <v>57580</v>
      </c>
      <c r="L3009" s="18">
        <v>61.58</v>
      </c>
      <c r="M3009" s="22">
        <v>39650</v>
      </c>
      <c r="N3009" s="22">
        <v>17930</v>
      </c>
      <c r="O3009" s="18">
        <v>19.18</v>
      </c>
      <c r="P3009" s="52">
        <f>IF(COUNTIF(TblPurchases[BatchID],TblOutcomes[[#This Row],[BatchID]])&lt;&gt;1,"n.a.",TblOutcomes[[#This Row],[Qty Wasted]]*SUMIFS(TblPurchases[Unit Cost (CLP)],TblPurchases[BatchID],TblOutcomes[[#This Row],[BatchID]]))</f>
        <v>2223</v>
      </c>
      <c r="Q3009" s="51">
        <f>IF(COUNTIF(TblPurchases[BatchID],TblOutcomes[[#This Row],[BatchID]])&lt;&gt;1,"n.a.",SUMIFS(TblPurchases[Purchase Date],TblPurchases[BatchID],TblOutcomes[[#This Row],[BatchID]]))</f>
        <v>45830</v>
      </c>
    </row>
    <row r="3010" spans="2:17" x14ac:dyDescent="0.25">
      <c r="B3010" s="2" t="s">
        <v>3815</v>
      </c>
      <c r="C3010" s="2" t="s">
        <v>322</v>
      </c>
      <c r="D3010" s="2" t="s">
        <v>71</v>
      </c>
      <c r="E3010" s="2" t="s">
        <v>4647</v>
      </c>
      <c r="F3010" s="2">
        <v>54</v>
      </c>
      <c r="G3010" s="2">
        <v>54</v>
      </c>
      <c r="H3010" s="2">
        <v>0</v>
      </c>
      <c r="I3010" s="1">
        <v>0</v>
      </c>
      <c r="J3010" s="26">
        <v>45148</v>
      </c>
      <c r="K3010" s="22">
        <v>27000</v>
      </c>
      <c r="L3010" s="18">
        <v>28.88</v>
      </c>
      <c r="M3010" s="22">
        <v>18900</v>
      </c>
      <c r="N3010" s="22">
        <v>8100</v>
      </c>
      <c r="O3010" s="18">
        <v>8.66</v>
      </c>
      <c r="P3010" s="52">
        <f>IF(COUNTIF(TblPurchases[BatchID],TblOutcomes[[#This Row],[BatchID]])&lt;&gt;1,"n.a.",TblOutcomes[[#This Row],[Qty Wasted]]*SUMIFS(TblPurchases[Unit Cost (CLP)],TblPurchases[BatchID],TblOutcomes[[#This Row],[BatchID]]))</f>
        <v>0</v>
      </c>
      <c r="Q3010" s="51">
        <f>IF(COUNTIF(TblPurchases[BatchID],TblOutcomes[[#This Row],[BatchID]])&lt;&gt;1,"n.a.",SUMIFS(TblPurchases[Purchase Date],TblPurchases[BatchID],TblOutcomes[[#This Row],[BatchID]]))</f>
        <v>45122</v>
      </c>
    </row>
    <row r="3011" spans="2:17" x14ac:dyDescent="0.25">
      <c r="B3011" s="2" t="s">
        <v>3816</v>
      </c>
      <c r="C3011" s="2" t="s">
        <v>322</v>
      </c>
      <c r="D3011" s="2" t="s">
        <v>71</v>
      </c>
      <c r="E3011" s="2" t="s">
        <v>4646</v>
      </c>
      <c r="F3011" s="2">
        <v>53</v>
      </c>
      <c r="G3011" s="2">
        <v>51.52</v>
      </c>
      <c r="H3011" s="2">
        <v>1.48</v>
      </c>
      <c r="I3011" s="1">
        <v>2.8</v>
      </c>
      <c r="J3011" s="26">
        <v>45462</v>
      </c>
      <c r="K3011" s="22">
        <v>25760</v>
      </c>
      <c r="L3011" s="18">
        <v>27.55</v>
      </c>
      <c r="M3011" s="22">
        <v>18550</v>
      </c>
      <c r="N3011" s="22">
        <v>7210</v>
      </c>
      <c r="O3011" s="18">
        <v>7.71</v>
      </c>
      <c r="P3011" s="52">
        <f>IF(COUNTIF(TblPurchases[BatchID],TblOutcomes[[#This Row],[BatchID]])&lt;&gt;1,"n.a.",TblOutcomes[[#This Row],[Qty Wasted]]*SUMIFS(TblPurchases[Unit Cost (CLP)],TblPurchases[BatchID],TblOutcomes[[#This Row],[BatchID]]))</f>
        <v>518</v>
      </c>
      <c r="Q3011" s="51">
        <f>IF(COUNTIF(TblPurchases[BatchID],TblOutcomes[[#This Row],[BatchID]])&lt;&gt;1,"n.a.",SUMIFS(TblPurchases[Purchase Date],TblPurchases[BatchID],TblOutcomes[[#This Row],[BatchID]]))</f>
        <v>45162</v>
      </c>
    </row>
    <row r="3012" spans="2:17" x14ac:dyDescent="0.25">
      <c r="B3012" s="2" t="s">
        <v>3817</v>
      </c>
      <c r="C3012" s="2" t="s">
        <v>322</v>
      </c>
      <c r="D3012" s="2" t="s">
        <v>71</v>
      </c>
      <c r="E3012" s="2" t="s">
        <v>4646</v>
      </c>
      <c r="F3012" s="2">
        <v>56</v>
      </c>
      <c r="G3012" s="2">
        <v>52.92</v>
      </c>
      <c r="H3012" s="2">
        <v>3.08</v>
      </c>
      <c r="I3012" s="1">
        <v>5.5</v>
      </c>
      <c r="J3012" s="26">
        <v>45502</v>
      </c>
      <c r="K3012" s="22">
        <v>26460</v>
      </c>
      <c r="L3012" s="18">
        <v>28.3</v>
      </c>
      <c r="M3012" s="22">
        <v>19600</v>
      </c>
      <c r="N3012" s="22">
        <v>6860</v>
      </c>
      <c r="O3012" s="18">
        <v>7.34</v>
      </c>
      <c r="P3012" s="52">
        <f>IF(COUNTIF(TblPurchases[BatchID],TblOutcomes[[#This Row],[BatchID]])&lt;&gt;1,"n.a.",TblOutcomes[[#This Row],[Qty Wasted]]*SUMIFS(TblPurchases[Unit Cost (CLP)],TblPurchases[BatchID],TblOutcomes[[#This Row],[BatchID]]))</f>
        <v>1078</v>
      </c>
      <c r="Q3012" s="51">
        <f>IF(COUNTIF(TblPurchases[BatchID],TblOutcomes[[#This Row],[BatchID]])&lt;&gt;1,"n.a.",SUMIFS(TblPurchases[Purchase Date],TblPurchases[BatchID],TblOutcomes[[#This Row],[BatchID]]))</f>
        <v>45202</v>
      </c>
    </row>
    <row r="3013" spans="2:17" x14ac:dyDescent="0.25">
      <c r="B3013" s="2" t="s">
        <v>3818</v>
      </c>
      <c r="C3013" s="2" t="s">
        <v>322</v>
      </c>
      <c r="D3013" s="2" t="s">
        <v>71</v>
      </c>
      <c r="E3013" s="2" t="s">
        <v>4647</v>
      </c>
      <c r="F3013" s="2">
        <v>49</v>
      </c>
      <c r="G3013" s="2">
        <v>49</v>
      </c>
      <c r="H3013" s="2">
        <v>0</v>
      </c>
      <c r="I3013" s="1">
        <v>0</v>
      </c>
      <c r="J3013" s="26">
        <v>45271</v>
      </c>
      <c r="K3013" s="22">
        <v>24500</v>
      </c>
      <c r="L3013" s="18">
        <v>26.2</v>
      </c>
      <c r="M3013" s="22">
        <v>17150</v>
      </c>
      <c r="N3013" s="22">
        <v>7350</v>
      </c>
      <c r="O3013" s="18">
        <v>7.86</v>
      </c>
      <c r="P3013" s="52">
        <f>IF(COUNTIF(TblPurchases[BatchID],TblOutcomes[[#This Row],[BatchID]])&lt;&gt;1,"n.a.",TblOutcomes[[#This Row],[Qty Wasted]]*SUMIFS(TblPurchases[Unit Cost (CLP)],TblPurchases[BatchID],TblOutcomes[[#This Row],[BatchID]]))</f>
        <v>0</v>
      </c>
      <c r="Q3013" s="51">
        <f>IF(COUNTIF(TblPurchases[BatchID],TblOutcomes[[#This Row],[BatchID]])&lt;&gt;1,"n.a.",SUMIFS(TblPurchases[Purchase Date],TblPurchases[BatchID],TblOutcomes[[#This Row],[BatchID]]))</f>
        <v>45233</v>
      </c>
    </row>
    <row r="3014" spans="2:17" x14ac:dyDescent="0.25">
      <c r="B3014" s="2" t="s">
        <v>3819</v>
      </c>
      <c r="C3014" s="2" t="s">
        <v>322</v>
      </c>
      <c r="D3014" s="2" t="s">
        <v>71</v>
      </c>
      <c r="E3014" s="2" t="s">
        <v>4647</v>
      </c>
      <c r="F3014" s="2">
        <v>61</v>
      </c>
      <c r="G3014" s="2">
        <v>61</v>
      </c>
      <c r="H3014" s="2">
        <v>0</v>
      </c>
      <c r="I3014" s="1">
        <v>0</v>
      </c>
      <c r="J3014" s="26">
        <v>45281</v>
      </c>
      <c r="K3014" s="22">
        <v>30500</v>
      </c>
      <c r="L3014" s="18">
        <v>32.619999999999997</v>
      </c>
      <c r="M3014" s="22">
        <v>21350</v>
      </c>
      <c r="N3014" s="22">
        <v>9150</v>
      </c>
      <c r="O3014" s="18">
        <v>9.7899999999999991</v>
      </c>
      <c r="P3014" s="52">
        <f>IF(COUNTIF(TblPurchases[BatchID],TblOutcomes[[#This Row],[BatchID]])&lt;&gt;1,"n.a.",TblOutcomes[[#This Row],[Qty Wasted]]*SUMIFS(TblPurchases[Unit Cost (CLP)],TblPurchases[BatchID],TblOutcomes[[#This Row],[BatchID]]))</f>
        <v>0</v>
      </c>
      <c r="Q3014" s="51">
        <f>IF(COUNTIF(TblPurchases[BatchID],TblOutcomes[[#This Row],[BatchID]])&lt;&gt;1,"n.a.",SUMIFS(TblPurchases[Purchase Date],TblPurchases[BatchID],TblOutcomes[[#This Row],[BatchID]]))</f>
        <v>45265</v>
      </c>
    </row>
    <row r="3015" spans="2:17" x14ac:dyDescent="0.25">
      <c r="B3015" s="2" t="s">
        <v>3820</v>
      </c>
      <c r="C3015" s="2" t="s">
        <v>322</v>
      </c>
      <c r="D3015" s="2" t="s">
        <v>71</v>
      </c>
      <c r="E3015" s="2" t="s">
        <v>4647</v>
      </c>
      <c r="F3015" s="2">
        <v>45</v>
      </c>
      <c r="G3015" s="2">
        <v>45</v>
      </c>
      <c r="H3015" s="2">
        <v>0</v>
      </c>
      <c r="I3015" s="1">
        <v>0</v>
      </c>
      <c r="J3015" s="26">
        <v>45316</v>
      </c>
      <c r="K3015" s="22">
        <v>22500</v>
      </c>
      <c r="L3015" s="18">
        <v>24.06</v>
      </c>
      <c r="M3015" s="22">
        <v>15750</v>
      </c>
      <c r="N3015" s="22">
        <v>6750</v>
      </c>
      <c r="O3015" s="18">
        <v>7.22</v>
      </c>
      <c r="P3015" s="52">
        <f>IF(COUNTIF(TblPurchases[BatchID],TblOutcomes[[#This Row],[BatchID]])&lt;&gt;1,"n.a.",TblOutcomes[[#This Row],[Qty Wasted]]*SUMIFS(TblPurchases[Unit Cost (CLP)],TblPurchases[BatchID],TblOutcomes[[#This Row],[BatchID]]))</f>
        <v>0</v>
      </c>
      <c r="Q3015" s="51">
        <f>IF(COUNTIF(TblPurchases[BatchID],TblOutcomes[[#This Row],[BatchID]])&lt;&gt;1,"n.a.",SUMIFS(TblPurchases[Purchase Date],TblPurchases[BatchID],TblOutcomes[[#This Row],[BatchID]]))</f>
        <v>45293</v>
      </c>
    </row>
    <row r="3016" spans="2:17" x14ac:dyDescent="0.25">
      <c r="B3016" s="2" t="s">
        <v>3821</v>
      </c>
      <c r="C3016" s="2" t="s">
        <v>322</v>
      </c>
      <c r="D3016" s="2" t="s">
        <v>71</v>
      </c>
      <c r="E3016" s="2" t="s">
        <v>4646</v>
      </c>
      <c r="F3016" s="2">
        <v>48</v>
      </c>
      <c r="G3016" s="2">
        <v>46.03</v>
      </c>
      <c r="H3016" s="2">
        <v>1.97</v>
      </c>
      <c r="I3016" s="1">
        <v>4.0999999999999996</v>
      </c>
      <c r="J3016" s="26">
        <v>45617</v>
      </c>
      <c r="K3016" s="22">
        <v>23015</v>
      </c>
      <c r="L3016" s="18">
        <v>24.61</v>
      </c>
      <c r="M3016" s="22">
        <v>16800</v>
      </c>
      <c r="N3016" s="22">
        <v>6215</v>
      </c>
      <c r="O3016" s="18">
        <v>6.65</v>
      </c>
      <c r="P3016" s="52">
        <f>IF(COUNTIF(TblPurchases[BatchID],TblOutcomes[[#This Row],[BatchID]])&lt;&gt;1,"n.a.",TblOutcomes[[#This Row],[Qty Wasted]]*SUMIFS(TblPurchases[Unit Cost (CLP)],TblPurchases[BatchID],TblOutcomes[[#This Row],[BatchID]]))</f>
        <v>689.5</v>
      </c>
      <c r="Q3016" s="51">
        <f>IF(COUNTIF(TblPurchases[BatchID],TblOutcomes[[#This Row],[BatchID]])&lt;&gt;1,"n.a.",SUMIFS(TblPurchases[Purchase Date],TblPurchases[BatchID],TblOutcomes[[#This Row],[BatchID]]))</f>
        <v>45317</v>
      </c>
    </row>
    <row r="3017" spans="2:17" x14ac:dyDescent="0.25">
      <c r="B3017" s="2" t="s">
        <v>3822</v>
      </c>
      <c r="C3017" s="2" t="s">
        <v>322</v>
      </c>
      <c r="D3017" s="2" t="s">
        <v>71</v>
      </c>
      <c r="E3017" s="2" t="s">
        <v>4647</v>
      </c>
      <c r="F3017" s="2">
        <v>52</v>
      </c>
      <c r="G3017" s="2">
        <v>52</v>
      </c>
      <c r="H3017" s="2">
        <v>0</v>
      </c>
      <c r="I3017" s="1">
        <v>0</v>
      </c>
      <c r="J3017" s="26">
        <v>45381</v>
      </c>
      <c r="K3017" s="22">
        <v>26000</v>
      </c>
      <c r="L3017" s="18">
        <v>27.81</v>
      </c>
      <c r="M3017" s="22">
        <v>18200</v>
      </c>
      <c r="N3017" s="22">
        <v>7800</v>
      </c>
      <c r="O3017" s="18">
        <v>8.34</v>
      </c>
      <c r="P3017" s="52">
        <f>IF(COUNTIF(TblPurchases[BatchID],TblOutcomes[[#This Row],[BatchID]])&lt;&gt;1,"n.a.",TblOutcomes[[#This Row],[Qty Wasted]]*SUMIFS(TblPurchases[Unit Cost (CLP)],TblPurchases[BatchID],TblOutcomes[[#This Row],[BatchID]]))</f>
        <v>0</v>
      </c>
      <c r="Q3017" s="51">
        <f>IF(COUNTIF(TblPurchases[BatchID],TblOutcomes[[#This Row],[BatchID]])&lt;&gt;1,"n.a.",SUMIFS(TblPurchases[Purchase Date],TblPurchases[BatchID],TblOutcomes[[#This Row],[BatchID]]))</f>
        <v>45356</v>
      </c>
    </row>
    <row r="3018" spans="2:17" x14ac:dyDescent="0.25">
      <c r="B3018" s="2" t="s">
        <v>3823</v>
      </c>
      <c r="C3018" s="2" t="s">
        <v>322</v>
      </c>
      <c r="D3018" s="2" t="s">
        <v>71</v>
      </c>
      <c r="E3018" s="2" t="s">
        <v>4647</v>
      </c>
      <c r="F3018" s="2">
        <v>45</v>
      </c>
      <c r="G3018" s="2">
        <v>45</v>
      </c>
      <c r="H3018" s="2">
        <v>0</v>
      </c>
      <c r="I3018" s="1">
        <v>0</v>
      </c>
      <c r="J3018" s="26">
        <v>45410</v>
      </c>
      <c r="K3018" s="22">
        <v>22500</v>
      </c>
      <c r="L3018" s="18">
        <v>24.06</v>
      </c>
      <c r="M3018" s="22">
        <v>15750</v>
      </c>
      <c r="N3018" s="22">
        <v>6750</v>
      </c>
      <c r="O3018" s="18">
        <v>7.22</v>
      </c>
      <c r="P3018" s="52">
        <f>IF(COUNTIF(TblPurchases[BatchID],TblOutcomes[[#This Row],[BatchID]])&lt;&gt;1,"n.a.",TblOutcomes[[#This Row],[Qty Wasted]]*SUMIFS(TblPurchases[Unit Cost (CLP)],TblPurchases[BatchID],TblOutcomes[[#This Row],[BatchID]]))</f>
        <v>0</v>
      </c>
      <c r="Q3018" s="51">
        <f>IF(COUNTIF(TblPurchases[BatchID],TblOutcomes[[#This Row],[BatchID]])&lt;&gt;1,"n.a.",SUMIFS(TblPurchases[Purchase Date],TblPurchases[BatchID],TblOutcomes[[#This Row],[BatchID]]))</f>
        <v>45390</v>
      </c>
    </row>
    <row r="3019" spans="2:17" x14ac:dyDescent="0.25">
      <c r="B3019" s="2" t="s">
        <v>3824</v>
      </c>
      <c r="C3019" s="2" t="s">
        <v>322</v>
      </c>
      <c r="D3019" s="2" t="s">
        <v>71</v>
      </c>
      <c r="E3019" s="2" t="s">
        <v>4647</v>
      </c>
      <c r="F3019" s="2">
        <v>49</v>
      </c>
      <c r="G3019" s="2">
        <v>49</v>
      </c>
      <c r="H3019" s="2">
        <v>0</v>
      </c>
      <c r="I3019" s="1">
        <v>0</v>
      </c>
      <c r="J3019" s="26">
        <v>45467</v>
      </c>
      <c r="K3019" s="22">
        <v>24500</v>
      </c>
      <c r="L3019" s="18">
        <v>26.2</v>
      </c>
      <c r="M3019" s="22">
        <v>17150</v>
      </c>
      <c r="N3019" s="22">
        <v>7350</v>
      </c>
      <c r="O3019" s="18">
        <v>7.86</v>
      </c>
      <c r="P3019" s="52">
        <f>IF(COUNTIF(TblPurchases[BatchID],TblOutcomes[[#This Row],[BatchID]])&lt;&gt;1,"n.a.",TblOutcomes[[#This Row],[Qty Wasted]]*SUMIFS(TblPurchases[Unit Cost (CLP)],TblPurchases[BatchID],TblOutcomes[[#This Row],[BatchID]]))</f>
        <v>0</v>
      </c>
      <c r="Q3019" s="51">
        <f>IF(COUNTIF(TblPurchases[BatchID],TblOutcomes[[#This Row],[BatchID]])&lt;&gt;1,"n.a.",SUMIFS(TblPurchases[Purchase Date],TblPurchases[BatchID],TblOutcomes[[#This Row],[BatchID]]))</f>
        <v>45423</v>
      </c>
    </row>
    <row r="3020" spans="2:17" x14ac:dyDescent="0.25">
      <c r="B3020" s="2" t="s">
        <v>3825</v>
      </c>
      <c r="C3020" s="2" t="s">
        <v>322</v>
      </c>
      <c r="D3020" s="2" t="s">
        <v>71</v>
      </c>
      <c r="E3020" s="2" t="s">
        <v>4646</v>
      </c>
      <c r="F3020" s="2">
        <v>57</v>
      </c>
      <c r="G3020" s="2">
        <v>56.71</v>
      </c>
      <c r="H3020" s="2">
        <v>0.28999999999999998</v>
      </c>
      <c r="I3020" s="1">
        <v>0.5</v>
      </c>
      <c r="J3020" s="26">
        <v>45767</v>
      </c>
      <c r="K3020" s="22">
        <v>28355</v>
      </c>
      <c r="L3020" s="18">
        <v>30.33</v>
      </c>
      <c r="M3020" s="22">
        <v>19950</v>
      </c>
      <c r="N3020" s="22">
        <v>8405</v>
      </c>
      <c r="O3020" s="18">
        <v>8.99</v>
      </c>
      <c r="P3020" s="52">
        <f>IF(COUNTIF(TblPurchases[BatchID],TblOutcomes[[#This Row],[BatchID]])&lt;&gt;1,"n.a.",TblOutcomes[[#This Row],[Qty Wasted]]*SUMIFS(TblPurchases[Unit Cost (CLP)],TblPurchases[BatchID],TblOutcomes[[#This Row],[BatchID]]))</f>
        <v>101.5</v>
      </c>
      <c r="Q3020" s="51">
        <f>IF(COUNTIF(TblPurchases[BatchID],TblOutcomes[[#This Row],[BatchID]])&lt;&gt;1,"n.a.",SUMIFS(TblPurchases[Purchase Date],TblPurchases[BatchID],TblOutcomes[[#This Row],[BatchID]]))</f>
        <v>45467</v>
      </c>
    </row>
    <row r="3021" spans="2:17" x14ac:dyDescent="0.25">
      <c r="B3021" s="2" t="s">
        <v>3826</v>
      </c>
      <c r="C3021" s="2" t="s">
        <v>322</v>
      </c>
      <c r="D3021" s="2" t="s">
        <v>71</v>
      </c>
      <c r="E3021" s="2" t="s">
        <v>4647</v>
      </c>
      <c r="F3021" s="2">
        <v>45</v>
      </c>
      <c r="G3021" s="2">
        <v>45</v>
      </c>
      <c r="H3021" s="2">
        <v>0</v>
      </c>
      <c r="I3021" s="1">
        <v>0</v>
      </c>
      <c r="J3021" s="26">
        <v>45539</v>
      </c>
      <c r="K3021" s="22">
        <v>22500</v>
      </c>
      <c r="L3021" s="18">
        <v>24.06</v>
      </c>
      <c r="M3021" s="22">
        <v>15750</v>
      </c>
      <c r="N3021" s="22">
        <v>6750</v>
      </c>
      <c r="O3021" s="18">
        <v>7.22</v>
      </c>
      <c r="P3021" s="52">
        <f>IF(COUNTIF(TblPurchases[BatchID],TblOutcomes[[#This Row],[BatchID]])&lt;&gt;1,"n.a.",TblOutcomes[[#This Row],[Qty Wasted]]*SUMIFS(TblPurchases[Unit Cost (CLP)],TblPurchases[BatchID],TblOutcomes[[#This Row],[BatchID]]))</f>
        <v>0</v>
      </c>
      <c r="Q3021" s="51">
        <f>IF(COUNTIF(TblPurchases[BatchID],TblOutcomes[[#This Row],[BatchID]])&lt;&gt;1,"n.a.",SUMIFS(TblPurchases[Purchase Date],TblPurchases[BatchID],TblOutcomes[[#This Row],[BatchID]]))</f>
        <v>45502</v>
      </c>
    </row>
    <row r="3022" spans="2:17" x14ac:dyDescent="0.25">
      <c r="B3022" s="2" t="s">
        <v>3827</v>
      </c>
      <c r="C3022" s="2" t="s">
        <v>322</v>
      </c>
      <c r="D3022" s="2" t="s">
        <v>71</v>
      </c>
      <c r="E3022" s="2" t="s">
        <v>4647</v>
      </c>
      <c r="F3022" s="2">
        <v>68</v>
      </c>
      <c r="G3022" s="2">
        <v>68</v>
      </c>
      <c r="H3022" s="2">
        <v>0</v>
      </c>
      <c r="I3022" s="1">
        <v>0</v>
      </c>
      <c r="J3022" s="26">
        <v>45568</v>
      </c>
      <c r="K3022" s="22">
        <v>34000</v>
      </c>
      <c r="L3022" s="18">
        <v>36.36</v>
      </c>
      <c r="M3022" s="22">
        <v>23800</v>
      </c>
      <c r="N3022" s="22">
        <v>10200</v>
      </c>
      <c r="O3022" s="18">
        <v>10.91</v>
      </c>
      <c r="P3022" s="52">
        <f>IF(COUNTIF(TblPurchases[BatchID],TblOutcomes[[#This Row],[BatchID]])&lt;&gt;1,"n.a.",TblOutcomes[[#This Row],[Qty Wasted]]*SUMIFS(TblPurchases[Unit Cost (CLP)],TblPurchases[BatchID],TblOutcomes[[#This Row],[BatchID]]))</f>
        <v>0</v>
      </c>
      <c r="Q3022" s="51">
        <f>IF(COUNTIF(TblPurchases[BatchID],TblOutcomes[[#This Row],[BatchID]])&lt;&gt;1,"n.a.",SUMIFS(TblPurchases[Purchase Date],TblPurchases[BatchID],TblOutcomes[[#This Row],[BatchID]]))</f>
        <v>45548</v>
      </c>
    </row>
    <row r="3023" spans="2:17" x14ac:dyDescent="0.25">
      <c r="B3023" s="2" t="s">
        <v>3828</v>
      </c>
      <c r="C3023" s="2" t="s">
        <v>322</v>
      </c>
      <c r="D3023" s="2" t="s">
        <v>71</v>
      </c>
      <c r="E3023" s="2" t="s">
        <v>4647</v>
      </c>
      <c r="F3023" s="2">
        <v>52</v>
      </c>
      <c r="G3023" s="2">
        <v>52</v>
      </c>
      <c r="H3023" s="2">
        <v>0</v>
      </c>
      <c r="I3023" s="1">
        <v>0</v>
      </c>
      <c r="J3023" s="26">
        <v>45607</v>
      </c>
      <c r="K3023" s="22">
        <v>26000</v>
      </c>
      <c r="L3023" s="18">
        <v>27.81</v>
      </c>
      <c r="M3023" s="22">
        <v>18200</v>
      </c>
      <c r="N3023" s="22">
        <v>7800</v>
      </c>
      <c r="O3023" s="18">
        <v>8.34</v>
      </c>
      <c r="P3023" s="52">
        <f>IF(COUNTIF(TblPurchases[BatchID],TblOutcomes[[#This Row],[BatchID]])&lt;&gt;1,"n.a.",TblOutcomes[[#This Row],[Qty Wasted]]*SUMIFS(TblPurchases[Unit Cost (CLP)],TblPurchases[BatchID],TblOutcomes[[#This Row],[BatchID]]))</f>
        <v>0</v>
      </c>
      <c r="Q3023" s="51">
        <f>IF(COUNTIF(TblPurchases[BatchID],TblOutcomes[[#This Row],[BatchID]])&lt;&gt;1,"n.a.",SUMIFS(TblPurchases[Purchase Date],TblPurchases[BatchID],TblOutcomes[[#This Row],[BatchID]]))</f>
        <v>45575</v>
      </c>
    </row>
    <row r="3024" spans="2:17" x14ac:dyDescent="0.25">
      <c r="B3024" s="2" t="s">
        <v>3829</v>
      </c>
      <c r="C3024" s="2" t="s">
        <v>322</v>
      </c>
      <c r="D3024" s="2" t="s">
        <v>71</v>
      </c>
      <c r="E3024" s="2" t="s">
        <v>4647</v>
      </c>
      <c r="F3024" s="2">
        <v>50</v>
      </c>
      <c r="G3024" s="2">
        <v>50</v>
      </c>
      <c r="H3024" s="2">
        <v>0</v>
      </c>
      <c r="I3024" s="1">
        <v>0</v>
      </c>
      <c r="J3024" s="26">
        <v>45644</v>
      </c>
      <c r="K3024" s="22">
        <v>25000</v>
      </c>
      <c r="L3024" s="18">
        <v>26.74</v>
      </c>
      <c r="M3024" s="22">
        <v>17500</v>
      </c>
      <c r="N3024" s="22">
        <v>7500</v>
      </c>
      <c r="O3024" s="18">
        <v>8.02</v>
      </c>
      <c r="P3024" s="52">
        <f>IF(COUNTIF(TblPurchases[BatchID],TblOutcomes[[#This Row],[BatchID]])&lt;&gt;1,"n.a.",TblOutcomes[[#This Row],[Qty Wasted]]*SUMIFS(TblPurchases[Unit Cost (CLP)],TblPurchases[BatchID],TblOutcomes[[#This Row],[BatchID]]))</f>
        <v>0</v>
      </c>
      <c r="Q3024" s="51">
        <f>IF(COUNTIF(TblPurchases[BatchID],TblOutcomes[[#This Row],[BatchID]])&lt;&gt;1,"n.a.",SUMIFS(TblPurchases[Purchase Date],TblPurchases[BatchID],TblOutcomes[[#This Row],[BatchID]]))</f>
        <v>45604</v>
      </c>
    </row>
    <row r="3025" spans="2:17" x14ac:dyDescent="0.25">
      <c r="B3025" s="2" t="s">
        <v>3830</v>
      </c>
      <c r="C3025" s="2" t="s">
        <v>322</v>
      </c>
      <c r="D3025" s="2" t="s">
        <v>71</v>
      </c>
      <c r="E3025" s="2" t="s">
        <v>4647</v>
      </c>
      <c r="F3025" s="2">
        <v>56</v>
      </c>
      <c r="G3025" s="2">
        <v>56</v>
      </c>
      <c r="H3025" s="2">
        <v>0</v>
      </c>
      <c r="I3025" s="1">
        <v>0</v>
      </c>
      <c r="J3025" s="26">
        <v>45673</v>
      </c>
      <c r="K3025" s="22">
        <v>28000</v>
      </c>
      <c r="L3025" s="18">
        <v>29.95</v>
      </c>
      <c r="M3025" s="22">
        <v>19600</v>
      </c>
      <c r="N3025" s="22">
        <v>8400</v>
      </c>
      <c r="O3025" s="18">
        <v>8.98</v>
      </c>
      <c r="P3025" s="52">
        <f>IF(COUNTIF(TblPurchases[BatchID],TblOutcomes[[#This Row],[BatchID]])&lt;&gt;1,"n.a.",TblOutcomes[[#This Row],[Qty Wasted]]*SUMIFS(TblPurchases[Unit Cost (CLP)],TblPurchases[BatchID],TblOutcomes[[#This Row],[BatchID]]))</f>
        <v>0</v>
      </c>
      <c r="Q3025" s="51">
        <f>IF(COUNTIF(TblPurchases[BatchID],TblOutcomes[[#This Row],[BatchID]])&lt;&gt;1,"n.a.",SUMIFS(TblPurchases[Purchase Date],TblPurchases[BatchID],TblOutcomes[[#This Row],[BatchID]]))</f>
        <v>45643</v>
      </c>
    </row>
    <row r="3026" spans="2:17" x14ac:dyDescent="0.25">
      <c r="B3026" s="2" t="s">
        <v>3831</v>
      </c>
      <c r="C3026" s="2" t="s">
        <v>322</v>
      </c>
      <c r="D3026" s="2" t="s">
        <v>71</v>
      </c>
      <c r="E3026" s="2" t="s">
        <v>4646</v>
      </c>
      <c r="F3026" s="2">
        <v>50</v>
      </c>
      <c r="G3026" s="2">
        <v>48.5</v>
      </c>
      <c r="H3026" s="2">
        <v>1.5</v>
      </c>
      <c r="I3026" s="1">
        <v>3</v>
      </c>
      <c r="J3026" s="26">
        <v>45971</v>
      </c>
      <c r="K3026" s="22">
        <v>24250</v>
      </c>
      <c r="L3026" s="18">
        <v>25.94</v>
      </c>
      <c r="M3026" s="22">
        <v>17500</v>
      </c>
      <c r="N3026" s="22">
        <v>6750</v>
      </c>
      <c r="O3026" s="18">
        <v>7.22</v>
      </c>
      <c r="P3026" s="52">
        <f>IF(COUNTIF(TblPurchases[BatchID],TblOutcomes[[#This Row],[BatchID]])&lt;&gt;1,"n.a.",TblOutcomes[[#This Row],[Qty Wasted]]*SUMIFS(TblPurchases[Unit Cost (CLP)],TblPurchases[BatchID],TblOutcomes[[#This Row],[BatchID]]))</f>
        <v>525</v>
      </c>
      <c r="Q3026" s="51">
        <f>IF(COUNTIF(TblPurchases[BatchID],TblOutcomes[[#This Row],[BatchID]])&lt;&gt;1,"n.a.",SUMIFS(TblPurchases[Purchase Date],TblPurchases[BatchID],TblOutcomes[[#This Row],[BatchID]]))</f>
        <v>45671</v>
      </c>
    </row>
    <row r="3027" spans="2:17" x14ac:dyDescent="0.25">
      <c r="B3027" s="2" t="s">
        <v>3832</v>
      </c>
      <c r="C3027" s="2" t="s">
        <v>322</v>
      </c>
      <c r="D3027" s="2" t="s">
        <v>71</v>
      </c>
      <c r="E3027" s="2" t="s">
        <v>4646</v>
      </c>
      <c r="F3027" s="2">
        <v>57</v>
      </c>
      <c r="G3027" s="2">
        <v>54.95</v>
      </c>
      <c r="H3027" s="2">
        <v>2.0499999999999998</v>
      </c>
      <c r="I3027" s="1">
        <v>3.6</v>
      </c>
      <c r="J3027" s="26">
        <v>46010</v>
      </c>
      <c r="K3027" s="22">
        <v>27475</v>
      </c>
      <c r="L3027" s="18">
        <v>29.39</v>
      </c>
      <c r="M3027" s="22">
        <v>19950</v>
      </c>
      <c r="N3027" s="22">
        <v>7525</v>
      </c>
      <c r="O3027" s="18">
        <v>8.0500000000000007</v>
      </c>
      <c r="P3027" s="52">
        <f>IF(COUNTIF(TblPurchases[BatchID],TblOutcomes[[#This Row],[BatchID]])&lt;&gt;1,"n.a.",TblOutcomes[[#This Row],[Qty Wasted]]*SUMIFS(TblPurchases[Unit Cost (CLP)],TblPurchases[BatchID],TblOutcomes[[#This Row],[BatchID]]))</f>
        <v>717.49999999999989</v>
      </c>
      <c r="Q3027" s="51">
        <f>IF(COUNTIF(TblPurchases[BatchID],TblOutcomes[[#This Row],[BatchID]])&lt;&gt;1,"n.a.",SUMIFS(TblPurchases[Purchase Date],TblPurchases[BatchID],TblOutcomes[[#This Row],[BatchID]]))</f>
        <v>45710</v>
      </c>
    </row>
    <row r="3028" spans="2:17" x14ac:dyDescent="0.25">
      <c r="B3028" s="2" t="s">
        <v>3833</v>
      </c>
      <c r="C3028" s="2" t="s">
        <v>322</v>
      </c>
      <c r="D3028" s="2" t="s">
        <v>71</v>
      </c>
      <c r="E3028" s="2" t="s">
        <v>4647</v>
      </c>
      <c r="F3028" s="2">
        <v>58</v>
      </c>
      <c r="G3028" s="2">
        <v>58</v>
      </c>
      <c r="H3028" s="2">
        <v>0</v>
      </c>
      <c r="I3028" s="1">
        <v>0</v>
      </c>
      <c r="J3028" s="26">
        <v>45785</v>
      </c>
      <c r="K3028" s="22">
        <v>29000</v>
      </c>
      <c r="L3028" s="18">
        <v>31.02</v>
      </c>
      <c r="M3028" s="22">
        <v>20300</v>
      </c>
      <c r="N3028" s="22">
        <v>8700</v>
      </c>
      <c r="O3028" s="18">
        <v>9.3000000000000007</v>
      </c>
      <c r="P3028" s="52">
        <f>IF(COUNTIF(TblPurchases[BatchID],TblOutcomes[[#This Row],[BatchID]])&lt;&gt;1,"n.a.",TblOutcomes[[#This Row],[Qty Wasted]]*SUMIFS(TblPurchases[Unit Cost (CLP)],TblPurchases[BatchID],TblOutcomes[[#This Row],[BatchID]]))</f>
        <v>0</v>
      </c>
      <c r="Q3028" s="51">
        <f>IF(COUNTIF(TblPurchases[BatchID],TblOutcomes[[#This Row],[BatchID]])&lt;&gt;1,"n.a.",SUMIFS(TblPurchases[Purchase Date],TblPurchases[BatchID],TblOutcomes[[#This Row],[BatchID]]))</f>
        <v>45750</v>
      </c>
    </row>
    <row r="3029" spans="2:17" x14ac:dyDescent="0.25">
      <c r="B3029" s="2" t="s">
        <v>3834</v>
      </c>
      <c r="C3029" s="2" t="s">
        <v>322</v>
      </c>
      <c r="D3029" s="2" t="s">
        <v>71</v>
      </c>
      <c r="E3029" s="2" t="s">
        <v>4647</v>
      </c>
      <c r="F3029" s="2">
        <v>53</v>
      </c>
      <c r="G3029" s="2">
        <v>53</v>
      </c>
      <c r="H3029" s="2">
        <v>0</v>
      </c>
      <c r="I3029" s="1">
        <v>0</v>
      </c>
      <c r="J3029" s="26">
        <v>45812</v>
      </c>
      <c r="K3029" s="22">
        <v>26500</v>
      </c>
      <c r="L3029" s="18">
        <v>28.34</v>
      </c>
      <c r="M3029" s="22">
        <v>18550</v>
      </c>
      <c r="N3029" s="22">
        <v>7950</v>
      </c>
      <c r="O3029" s="18">
        <v>8.5</v>
      </c>
      <c r="P3029" s="52">
        <f>IF(COUNTIF(TblPurchases[BatchID],TblOutcomes[[#This Row],[BatchID]])&lt;&gt;1,"n.a.",TblOutcomes[[#This Row],[Qty Wasted]]*SUMIFS(TblPurchases[Unit Cost (CLP)],TblPurchases[BatchID],TblOutcomes[[#This Row],[BatchID]]))</f>
        <v>0</v>
      </c>
      <c r="Q3029" s="51">
        <f>IF(COUNTIF(TblPurchases[BatchID],TblOutcomes[[#This Row],[BatchID]])&lt;&gt;1,"n.a.",SUMIFS(TblPurchases[Purchase Date],TblPurchases[BatchID],TblOutcomes[[#This Row],[BatchID]]))</f>
        <v>45781</v>
      </c>
    </row>
    <row r="3030" spans="2:17" x14ac:dyDescent="0.25">
      <c r="B3030" s="2" t="s">
        <v>3835</v>
      </c>
      <c r="C3030" s="2" t="s">
        <v>322</v>
      </c>
      <c r="D3030" s="2" t="s">
        <v>71</v>
      </c>
      <c r="E3030" s="2" t="s">
        <v>4646</v>
      </c>
      <c r="F3030" s="2">
        <v>55</v>
      </c>
      <c r="G3030" s="2">
        <v>53.9</v>
      </c>
      <c r="H3030" s="2">
        <v>1.1000000000000001</v>
      </c>
      <c r="I3030" s="1">
        <v>2</v>
      </c>
      <c r="J3030" s="26">
        <v>46110</v>
      </c>
      <c r="K3030" s="22">
        <v>26950</v>
      </c>
      <c r="L3030" s="18">
        <v>28.82</v>
      </c>
      <c r="M3030" s="22">
        <v>19250</v>
      </c>
      <c r="N3030" s="22">
        <v>7700</v>
      </c>
      <c r="O3030" s="18">
        <v>8.24</v>
      </c>
      <c r="P3030" s="52">
        <f>IF(COUNTIF(TblPurchases[BatchID],TblOutcomes[[#This Row],[BatchID]])&lt;&gt;1,"n.a.",TblOutcomes[[#This Row],[Qty Wasted]]*SUMIFS(TblPurchases[Unit Cost (CLP)],TblPurchases[BatchID],TblOutcomes[[#This Row],[BatchID]]))</f>
        <v>385.00000000000006</v>
      </c>
      <c r="Q3030" s="51">
        <f>IF(COUNTIF(TblPurchases[BatchID],TblOutcomes[[#This Row],[BatchID]])&lt;&gt;1,"n.a.",SUMIFS(TblPurchases[Purchase Date],TblPurchases[BatchID],TblOutcomes[[#This Row],[BatchID]]))</f>
        <v>45810</v>
      </c>
    </row>
    <row r="3031" spans="2:17" x14ac:dyDescent="0.25">
      <c r="B3031" s="2" t="s">
        <v>3836</v>
      </c>
      <c r="C3031" s="2" t="s">
        <v>324</v>
      </c>
      <c r="D3031" s="2" t="s">
        <v>71</v>
      </c>
      <c r="E3031" s="2" t="s">
        <v>4647</v>
      </c>
      <c r="F3031" s="2">
        <v>54</v>
      </c>
      <c r="G3031" s="2">
        <v>54</v>
      </c>
      <c r="H3031" s="2">
        <v>0</v>
      </c>
      <c r="I3031" s="1">
        <v>0</v>
      </c>
      <c r="J3031" s="26">
        <v>45137</v>
      </c>
      <c r="K3031" s="22">
        <v>54000</v>
      </c>
      <c r="L3031" s="18">
        <v>57.75</v>
      </c>
      <c r="M3031" s="22">
        <v>40500</v>
      </c>
      <c r="N3031" s="22">
        <v>13500</v>
      </c>
      <c r="O3031" s="18">
        <v>14.44</v>
      </c>
      <c r="P3031" s="52">
        <f>IF(COUNTIF(TblPurchases[BatchID],TblOutcomes[[#This Row],[BatchID]])&lt;&gt;1,"n.a.",TblOutcomes[[#This Row],[Qty Wasted]]*SUMIFS(TblPurchases[Unit Cost (CLP)],TblPurchases[BatchID],TblOutcomes[[#This Row],[BatchID]]))</f>
        <v>0</v>
      </c>
      <c r="Q3031" s="51">
        <f>IF(COUNTIF(TblPurchases[BatchID],TblOutcomes[[#This Row],[BatchID]])&lt;&gt;1,"n.a.",SUMIFS(TblPurchases[Purchase Date],TblPurchases[BatchID],TblOutcomes[[#This Row],[BatchID]]))</f>
        <v>45118</v>
      </c>
    </row>
    <row r="3032" spans="2:17" x14ac:dyDescent="0.25">
      <c r="B3032" s="2" t="s">
        <v>3837</v>
      </c>
      <c r="C3032" s="2" t="s">
        <v>324</v>
      </c>
      <c r="D3032" s="2" t="s">
        <v>71</v>
      </c>
      <c r="E3032" s="2" t="s">
        <v>4647</v>
      </c>
      <c r="F3032" s="2">
        <v>44</v>
      </c>
      <c r="G3032" s="2">
        <v>44</v>
      </c>
      <c r="H3032" s="2">
        <v>0</v>
      </c>
      <c r="I3032" s="1">
        <v>0</v>
      </c>
      <c r="J3032" s="26">
        <v>45180</v>
      </c>
      <c r="K3032" s="22">
        <v>44000</v>
      </c>
      <c r="L3032" s="18">
        <v>47.06</v>
      </c>
      <c r="M3032" s="22">
        <v>28600</v>
      </c>
      <c r="N3032" s="22">
        <v>15400</v>
      </c>
      <c r="O3032" s="18">
        <v>16.47</v>
      </c>
      <c r="P3032" s="52">
        <f>IF(COUNTIF(TblPurchases[BatchID],TblOutcomes[[#This Row],[BatchID]])&lt;&gt;1,"n.a.",TblOutcomes[[#This Row],[Qty Wasted]]*SUMIFS(TblPurchases[Unit Cost (CLP)],TblPurchases[BatchID],TblOutcomes[[#This Row],[BatchID]]))</f>
        <v>0</v>
      </c>
      <c r="Q3032" s="51">
        <f>IF(COUNTIF(TblPurchases[BatchID],TblOutcomes[[#This Row],[BatchID]])&lt;&gt;1,"n.a.",SUMIFS(TblPurchases[Purchase Date],TblPurchases[BatchID],TblOutcomes[[#This Row],[BatchID]]))</f>
        <v>45152</v>
      </c>
    </row>
    <row r="3033" spans="2:17" x14ac:dyDescent="0.25">
      <c r="B3033" s="2" t="s">
        <v>3838</v>
      </c>
      <c r="C3033" s="2" t="s">
        <v>324</v>
      </c>
      <c r="D3033" s="2" t="s">
        <v>71</v>
      </c>
      <c r="E3033" s="2" t="s">
        <v>4647</v>
      </c>
      <c r="F3033" s="2">
        <v>53</v>
      </c>
      <c r="G3033" s="2">
        <v>53</v>
      </c>
      <c r="H3033" s="2">
        <v>0</v>
      </c>
      <c r="I3033" s="1">
        <v>0</v>
      </c>
      <c r="J3033" s="26">
        <v>45232</v>
      </c>
      <c r="K3033" s="22">
        <v>53000</v>
      </c>
      <c r="L3033" s="18">
        <v>56.68</v>
      </c>
      <c r="M3033" s="22">
        <v>34450</v>
      </c>
      <c r="N3033" s="22">
        <v>18550</v>
      </c>
      <c r="O3033" s="18">
        <v>19.84</v>
      </c>
      <c r="P3033" s="52">
        <f>IF(COUNTIF(TblPurchases[BatchID],TblOutcomes[[#This Row],[BatchID]])&lt;&gt;1,"n.a.",TblOutcomes[[#This Row],[Qty Wasted]]*SUMIFS(TblPurchases[Unit Cost (CLP)],TblPurchases[BatchID],TblOutcomes[[#This Row],[BatchID]]))</f>
        <v>0</v>
      </c>
      <c r="Q3033" s="51">
        <f>IF(COUNTIF(TblPurchases[BatchID],TblOutcomes[[#This Row],[BatchID]])&lt;&gt;1,"n.a.",SUMIFS(TblPurchases[Purchase Date],TblPurchases[BatchID],TblOutcomes[[#This Row],[BatchID]]))</f>
        <v>45188</v>
      </c>
    </row>
    <row r="3034" spans="2:17" x14ac:dyDescent="0.25">
      <c r="B3034" s="2" t="s">
        <v>3839</v>
      </c>
      <c r="C3034" s="2" t="s">
        <v>324</v>
      </c>
      <c r="D3034" s="2" t="s">
        <v>71</v>
      </c>
      <c r="E3034" s="2" t="s">
        <v>4647</v>
      </c>
      <c r="F3034" s="2">
        <v>54</v>
      </c>
      <c r="G3034" s="2">
        <v>54</v>
      </c>
      <c r="H3034" s="2">
        <v>0</v>
      </c>
      <c r="I3034" s="1">
        <v>0</v>
      </c>
      <c r="J3034" s="26">
        <v>45249</v>
      </c>
      <c r="K3034" s="22">
        <v>54000</v>
      </c>
      <c r="L3034" s="18">
        <v>57.75</v>
      </c>
      <c r="M3034" s="22">
        <v>35100</v>
      </c>
      <c r="N3034" s="22">
        <v>18900</v>
      </c>
      <c r="O3034" s="18">
        <v>20.21</v>
      </c>
      <c r="P3034" s="52">
        <f>IF(COUNTIF(TblPurchases[BatchID],TblOutcomes[[#This Row],[BatchID]])&lt;&gt;1,"n.a.",TblOutcomes[[#This Row],[Qty Wasted]]*SUMIFS(TblPurchases[Unit Cost (CLP)],TblPurchases[BatchID],TblOutcomes[[#This Row],[BatchID]]))</f>
        <v>0</v>
      </c>
      <c r="Q3034" s="51">
        <f>IF(COUNTIF(TblPurchases[BatchID],TblOutcomes[[#This Row],[BatchID]])&lt;&gt;1,"n.a.",SUMIFS(TblPurchases[Purchase Date],TblPurchases[BatchID],TblOutcomes[[#This Row],[BatchID]]))</f>
        <v>45227</v>
      </c>
    </row>
    <row r="3035" spans="2:17" x14ac:dyDescent="0.25">
      <c r="B3035" s="2" t="s">
        <v>3840</v>
      </c>
      <c r="C3035" s="2" t="s">
        <v>324</v>
      </c>
      <c r="D3035" s="2" t="s">
        <v>71</v>
      </c>
      <c r="E3035" s="2" t="s">
        <v>4647</v>
      </c>
      <c r="F3035" s="2">
        <v>52</v>
      </c>
      <c r="G3035" s="2">
        <v>52</v>
      </c>
      <c r="H3035" s="2">
        <v>0</v>
      </c>
      <c r="I3035" s="1">
        <v>0</v>
      </c>
      <c r="J3035" s="26">
        <v>45279</v>
      </c>
      <c r="K3035" s="22">
        <v>52000</v>
      </c>
      <c r="L3035" s="18">
        <v>55.61</v>
      </c>
      <c r="M3035" s="22">
        <v>33800</v>
      </c>
      <c r="N3035" s="22">
        <v>18200</v>
      </c>
      <c r="O3035" s="18">
        <v>19.47</v>
      </c>
      <c r="P3035" s="52">
        <f>IF(COUNTIF(TblPurchases[BatchID],TblOutcomes[[#This Row],[BatchID]])&lt;&gt;1,"n.a.",TblOutcomes[[#This Row],[Qty Wasted]]*SUMIFS(TblPurchases[Unit Cost (CLP)],TblPurchases[BatchID],TblOutcomes[[#This Row],[BatchID]]))</f>
        <v>0</v>
      </c>
      <c r="Q3035" s="51">
        <f>IF(COUNTIF(TblPurchases[BatchID],TblOutcomes[[#This Row],[BatchID]])&lt;&gt;1,"n.a.",SUMIFS(TblPurchases[Purchase Date],TblPurchases[BatchID],TblOutcomes[[#This Row],[BatchID]]))</f>
        <v>45257</v>
      </c>
    </row>
    <row r="3036" spans="2:17" x14ac:dyDescent="0.25">
      <c r="B3036" s="2" t="s">
        <v>3841</v>
      </c>
      <c r="C3036" s="2" t="s">
        <v>324</v>
      </c>
      <c r="D3036" s="2" t="s">
        <v>71</v>
      </c>
      <c r="E3036" s="2" t="s">
        <v>4646</v>
      </c>
      <c r="F3036" s="2">
        <v>55</v>
      </c>
      <c r="G3036" s="2">
        <v>54.12</v>
      </c>
      <c r="H3036" s="2">
        <v>0.88</v>
      </c>
      <c r="I3036" s="1">
        <v>1.6</v>
      </c>
      <c r="J3036" s="26">
        <v>45593</v>
      </c>
      <c r="K3036" s="22">
        <v>54120</v>
      </c>
      <c r="L3036" s="18">
        <v>57.88</v>
      </c>
      <c r="M3036" s="22">
        <v>41250</v>
      </c>
      <c r="N3036" s="22">
        <v>12870</v>
      </c>
      <c r="O3036" s="18">
        <v>13.76</v>
      </c>
      <c r="P3036" s="52">
        <f>IF(COUNTIF(TblPurchases[BatchID],TblOutcomes[[#This Row],[BatchID]])&lt;&gt;1,"n.a.",TblOutcomes[[#This Row],[Qty Wasted]]*SUMIFS(TblPurchases[Unit Cost (CLP)],TblPurchases[BatchID],TblOutcomes[[#This Row],[BatchID]]))</f>
        <v>660</v>
      </c>
      <c r="Q3036" s="51">
        <f>IF(COUNTIF(TblPurchases[BatchID],TblOutcomes[[#This Row],[BatchID]])&lt;&gt;1,"n.a.",SUMIFS(TblPurchases[Purchase Date],TblPurchases[BatchID],TblOutcomes[[#This Row],[BatchID]]))</f>
        <v>45293</v>
      </c>
    </row>
    <row r="3037" spans="2:17" x14ac:dyDescent="0.25">
      <c r="B3037" s="2" t="s">
        <v>3842</v>
      </c>
      <c r="C3037" s="2" t="s">
        <v>324</v>
      </c>
      <c r="D3037" s="2" t="s">
        <v>71</v>
      </c>
      <c r="E3037" s="2" t="s">
        <v>4646</v>
      </c>
      <c r="F3037" s="2">
        <v>48</v>
      </c>
      <c r="G3037" s="2">
        <v>46.66</v>
      </c>
      <c r="H3037" s="2">
        <v>1.34</v>
      </c>
      <c r="I3037" s="1">
        <v>2.8</v>
      </c>
      <c r="J3037" s="26">
        <v>45630</v>
      </c>
      <c r="K3037" s="22">
        <v>46660</v>
      </c>
      <c r="L3037" s="18">
        <v>49.9</v>
      </c>
      <c r="M3037" s="22">
        <v>31200</v>
      </c>
      <c r="N3037" s="22">
        <v>15460</v>
      </c>
      <c r="O3037" s="18">
        <v>16.53</v>
      </c>
      <c r="P3037" s="52">
        <f>IF(COUNTIF(TblPurchases[BatchID],TblOutcomes[[#This Row],[BatchID]])&lt;&gt;1,"n.a.",TblOutcomes[[#This Row],[Qty Wasted]]*SUMIFS(TblPurchases[Unit Cost (CLP)],TblPurchases[BatchID],TblOutcomes[[#This Row],[BatchID]]))</f>
        <v>871</v>
      </c>
      <c r="Q3037" s="51">
        <f>IF(COUNTIF(TblPurchases[BatchID],TblOutcomes[[#This Row],[BatchID]])&lt;&gt;1,"n.a.",SUMIFS(TblPurchases[Purchase Date],TblPurchases[BatchID],TblOutcomes[[#This Row],[BatchID]]))</f>
        <v>45330</v>
      </c>
    </row>
    <row r="3038" spans="2:17" x14ac:dyDescent="0.25">
      <c r="B3038" s="2" t="s">
        <v>3843</v>
      </c>
      <c r="C3038" s="2" t="s">
        <v>324</v>
      </c>
      <c r="D3038" s="2" t="s">
        <v>71</v>
      </c>
      <c r="E3038" s="2" t="s">
        <v>4646</v>
      </c>
      <c r="F3038" s="2">
        <v>54</v>
      </c>
      <c r="G3038" s="2">
        <v>52.76</v>
      </c>
      <c r="H3038" s="2">
        <v>1.24</v>
      </c>
      <c r="I3038" s="1">
        <v>2.2999999999999998</v>
      </c>
      <c r="J3038" s="26">
        <v>45660</v>
      </c>
      <c r="K3038" s="22">
        <v>52760</v>
      </c>
      <c r="L3038" s="18">
        <v>56.43</v>
      </c>
      <c r="M3038" s="22">
        <v>40500</v>
      </c>
      <c r="N3038" s="22">
        <v>12260</v>
      </c>
      <c r="O3038" s="18">
        <v>13.11</v>
      </c>
      <c r="P3038" s="52">
        <f>IF(COUNTIF(TblPurchases[BatchID],TblOutcomes[[#This Row],[BatchID]])&lt;&gt;1,"n.a.",TblOutcomes[[#This Row],[Qty Wasted]]*SUMIFS(TblPurchases[Unit Cost (CLP)],TblPurchases[BatchID],TblOutcomes[[#This Row],[BatchID]]))</f>
        <v>930</v>
      </c>
      <c r="Q3038" s="51">
        <f>IF(COUNTIF(TblPurchases[BatchID],TblOutcomes[[#This Row],[BatchID]])&lt;&gt;1,"n.a.",SUMIFS(TblPurchases[Purchase Date],TblPurchases[BatchID],TblOutcomes[[#This Row],[BatchID]]))</f>
        <v>45360</v>
      </c>
    </row>
    <row r="3039" spans="2:17" x14ac:dyDescent="0.25">
      <c r="B3039" s="2" t="s">
        <v>3844</v>
      </c>
      <c r="C3039" s="2" t="s">
        <v>324</v>
      </c>
      <c r="D3039" s="2" t="s">
        <v>71</v>
      </c>
      <c r="E3039" s="2" t="s">
        <v>4647</v>
      </c>
      <c r="F3039" s="2">
        <v>57</v>
      </c>
      <c r="G3039" s="2">
        <v>57</v>
      </c>
      <c r="H3039" s="2">
        <v>0</v>
      </c>
      <c r="I3039" s="1">
        <v>0</v>
      </c>
      <c r="J3039" s="26">
        <v>45441</v>
      </c>
      <c r="K3039" s="22">
        <v>57000</v>
      </c>
      <c r="L3039" s="18">
        <v>60.96</v>
      </c>
      <c r="M3039" s="22">
        <v>37050</v>
      </c>
      <c r="N3039" s="22">
        <v>19950</v>
      </c>
      <c r="O3039" s="18">
        <v>21.34</v>
      </c>
      <c r="P3039" s="52">
        <f>IF(COUNTIF(TblPurchases[BatchID],TblOutcomes[[#This Row],[BatchID]])&lt;&gt;1,"n.a.",TblOutcomes[[#This Row],[Qty Wasted]]*SUMIFS(TblPurchases[Unit Cost (CLP)],TblPurchases[BatchID],TblOutcomes[[#This Row],[BatchID]]))</f>
        <v>0</v>
      </c>
      <c r="Q3039" s="51">
        <f>IF(COUNTIF(TblPurchases[BatchID],TblOutcomes[[#This Row],[BatchID]])&lt;&gt;1,"n.a.",SUMIFS(TblPurchases[Purchase Date],TblPurchases[BatchID],TblOutcomes[[#This Row],[BatchID]]))</f>
        <v>45401</v>
      </c>
    </row>
    <row r="3040" spans="2:17" x14ac:dyDescent="0.25">
      <c r="B3040" s="2" t="s">
        <v>3845</v>
      </c>
      <c r="C3040" s="2" t="s">
        <v>324</v>
      </c>
      <c r="D3040" s="2" t="s">
        <v>71</v>
      </c>
      <c r="E3040" s="2" t="s">
        <v>4647</v>
      </c>
      <c r="F3040" s="2">
        <v>52</v>
      </c>
      <c r="G3040" s="2">
        <v>52</v>
      </c>
      <c r="H3040" s="2">
        <v>0</v>
      </c>
      <c r="I3040" s="1">
        <v>0</v>
      </c>
      <c r="J3040" s="26">
        <v>45440</v>
      </c>
      <c r="K3040" s="22">
        <v>52000</v>
      </c>
      <c r="L3040" s="18">
        <v>55.61</v>
      </c>
      <c r="M3040" s="22">
        <v>33800</v>
      </c>
      <c r="N3040" s="22">
        <v>18200</v>
      </c>
      <c r="O3040" s="18">
        <v>19.47</v>
      </c>
      <c r="P3040" s="52">
        <f>IF(COUNTIF(TblPurchases[BatchID],TblOutcomes[[#This Row],[BatchID]])&lt;&gt;1,"n.a.",TblOutcomes[[#This Row],[Qty Wasted]]*SUMIFS(TblPurchases[Unit Cost (CLP)],TblPurchases[BatchID],TblOutcomes[[#This Row],[BatchID]]))</f>
        <v>0</v>
      </c>
      <c r="Q3040" s="51">
        <f>IF(COUNTIF(TblPurchases[BatchID],TblOutcomes[[#This Row],[BatchID]])&lt;&gt;1,"n.a.",SUMIFS(TblPurchases[Purchase Date],TblPurchases[BatchID],TblOutcomes[[#This Row],[BatchID]]))</f>
        <v>45428</v>
      </c>
    </row>
    <row r="3041" spans="2:17" x14ac:dyDescent="0.25">
      <c r="B3041" s="2" t="s">
        <v>3846</v>
      </c>
      <c r="C3041" s="2" t="s">
        <v>324</v>
      </c>
      <c r="D3041" s="2" t="s">
        <v>71</v>
      </c>
      <c r="E3041" s="2" t="s">
        <v>4646</v>
      </c>
      <c r="F3041" s="2">
        <v>51</v>
      </c>
      <c r="G3041" s="2">
        <v>49.37</v>
      </c>
      <c r="H3041" s="2">
        <v>1.63</v>
      </c>
      <c r="I3041" s="1">
        <v>3.2</v>
      </c>
      <c r="J3041" s="26">
        <v>45757</v>
      </c>
      <c r="K3041" s="22">
        <v>49370</v>
      </c>
      <c r="L3041" s="18">
        <v>52.8</v>
      </c>
      <c r="M3041" s="22">
        <v>33150</v>
      </c>
      <c r="N3041" s="22">
        <v>16220</v>
      </c>
      <c r="O3041" s="18">
        <v>17.350000000000001</v>
      </c>
      <c r="P3041" s="52">
        <f>IF(COUNTIF(TblPurchases[BatchID],TblOutcomes[[#This Row],[BatchID]])&lt;&gt;1,"n.a.",TblOutcomes[[#This Row],[Qty Wasted]]*SUMIFS(TblPurchases[Unit Cost (CLP)],TblPurchases[BatchID],TblOutcomes[[#This Row],[BatchID]]))</f>
        <v>1059.5</v>
      </c>
      <c r="Q3041" s="51">
        <f>IF(COUNTIF(TblPurchases[BatchID],TblOutcomes[[#This Row],[BatchID]])&lt;&gt;1,"n.a.",SUMIFS(TblPurchases[Purchase Date],TblPurchases[BatchID],TblOutcomes[[#This Row],[BatchID]]))</f>
        <v>45457</v>
      </c>
    </row>
    <row r="3042" spans="2:17" x14ac:dyDescent="0.25">
      <c r="B3042" s="2" t="s">
        <v>3847</v>
      </c>
      <c r="C3042" s="2" t="s">
        <v>324</v>
      </c>
      <c r="D3042" s="2" t="s">
        <v>71</v>
      </c>
      <c r="E3042" s="2" t="s">
        <v>4646</v>
      </c>
      <c r="F3042" s="2">
        <v>48</v>
      </c>
      <c r="G3042" s="2">
        <v>47.23</v>
      </c>
      <c r="H3042" s="2">
        <v>0.77</v>
      </c>
      <c r="I3042" s="1">
        <v>1.6</v>
      </c>
      <c r="J3042" s="26">
        <v>45796</v>
      </c>
      <c r="K3042" s="22">
        <v>47230</v>
      </c>
      <c r="L3042" s="18">
        <v>50.51</v>
      </c>
      <c r="M3042" s="22">
        <v>31200</v>
      </c>
      <c r="N3042" s="22">
        <v>16030</v>
      </c>
      <c r="O3042" s="18">
        <v>17.14</v>
      </c>
      <c r="P3042" s="52">
        <f>IF(COUNTIF(TblPurchases[BatchID],TblOutcomes[[#This Row],[BatchID]])&lt;&gt;1,"n.a.",TblOutcomes[[#This Row],[Qty Wasted]]*SUMIFS(TblPurchases[Unit Cost (CLP)],TblPurchases[BatchID],TblOutcomes[[#This Row],[BatchID]]))</f>
        <v>500.5</v>
      </c>
      <c r="Q3042" s="51">
        <f>IF(COUNTIF(TblPurchases[BatchID],TblOutcomes[[#This Row],[BatchID]])&lt;&gt;1,"n.a.",SUMIFS(TblPurchases[Purchase Date],TblPurchases[BatchID],TblOutcomes[[#This Row],[BatchID]]))</f>
        <v>45496</v>
      </c>
    </row>
    <row r="3043" spans="2:17" x14ac:dyDescent="0.25">
      <c r="B3043" s="2" t="s">
        <v>3848</v>
      </c>
      <c r="C3043" s="2" t="s">
        <v>324</v>
      </c>
      <c r="D3043" s="2" t="s">
        <v>71</v>
      </c>
      <c r="E3043" s="2" t="s">
        <v>4646</v>
      </c>
      <c r="F3043" s="2">
        <v>51</v>
      </c>
      <c r="G3043" s="2">
        <v>49.37</v>
      </c>
      <c r="H3043" s="2">
        <v>1.63</v>
      </c>
      <c r="I3043" s="1">
        <v>3.2</v>
      </c>
      <c r="J3043" s="26">
        <v>45830</v>
      </c>
      <c r="K3043" s="22">
        <v>49370</v>
      </c>
      <c r="L3043" s="18">
        <v>52.8</v>
      </c>
      <c r="M3043" s="22">
        <v>33150</v>
      </c>
      <c r="N3043" s="22">
        <v>16220</v>
      </c>
      <c r="O3043" s="18">
        <v>17.350000000000001</v>
      </c>
      <c r="P3043" s="52">
        <f>IF(COUNTIF(TblPurchases[BatchID],TblOutcomes[[#This Row],[BatchID]])&lt;&gt;1,"n.a.",TblOutcomes[[#This Row],[Qty Wasted]]*SUMIFS(TblPurchases[Unit Cost (CLP)],TblPurchases[BatchID],TblOutcomes[[#This Row],[BatchID]]))</f>
        <v>1059.5</v>
      </c>
      <c r="Q3043" s="51">
        <f>IF(COUNTIF(TblPurchases[BatchID],TblOutcomes[[#This Row],[BatchID]])&lt;&gt;1,"n.a.",SUMIFS(TblPurchases[Purchase Date],TblPurchases[BatchID],TblOutcomes[[#This Row],[BatchID]]))</f>
        <v>45530</v>
      </c>
    </row>
    <row r="3044" spans="2:17" x14ac:dyDescent="0.25">
      <c r="B3044" s="2" t="s">
        <v>3849</v>
      </c>
      <c r="C3044" s="2" t="s">
        <v>324</v>
      </c>
      <c r="D3044" s="2" t="s">
        <v>71</v>
      </c>
      <c r="E3044" s="2" t="s">
        <v>4646</v>
      </c>
      <c r="F3044" s="2">
        <v>46</v>
      </c>
      <c r="G3044" s="2">
        <v>44.57</v>
      </c>
      <c r="H3044" s="2">
        <v>1.43</v>
      </c>
      <c r="I3044" s="1">
        <v>3.1</v>
      </c>
      <c r="J3044" s="26">
        <v>45867</v>
      </c>
      <c r="K3044" s="22">
        <v>44570</v>
      </c>
      <c r="L3044" s="18">
        <v>47.67</v>
      </c>
      <c r="M3044" s="22">
        <v>29900</v>
      </c>
      <c r="N3044" s="22">
        <v>14670</v>
      </c>
      <c r="O3044" s="18">
        <v>15.69</v>
      </c>
      <c r="P3044" s="52">
        <f>IF(COUNTIF(TblPurchases[BatchID],TblOutcomes[[#This Row],[BatchID]])&lt;&gt;1,"n.a.",TblOutcomes[[#This Row],[Qty Wasted]]*SUMIFS(TblPurchases[Unit Cost (CLP)],TblPurchases[BatchID],TblOutcomes[[#This Row],[BatchID]]))</f>
        <v>929.5</v>
      </c>
      <c r="Q3044" s="51">
        <f>IF(COUNTIF(TblPurchases[BatchID],TblOutcomes[[#This Row],[BatchID]])&lt;&gt;1,"n.a.",SUMIFS(TblPurchases[Purchase Date],TblPurchases[BatchID],TblOutcomes[[#This Row],[BatchID]]))</f>
        <v>45567</v>
      </c>
    </row>
    <row r="3045" spans="2:17" x14ac:dyDescent="0.25">
      <c r="B3045" s="2" t="s">
        <v>3850</v>
      </c>
      <c r="C3045" s="2" t="s">
        <v>324</v>
      </c>
      <c r="D3045" s="2" t="s">
        <v>71</v>
      </c>
      <c r="E3045" s="2" t="s">
        <v>4646</v>
      </c>
      <c r="F3045" s="2">
        <v>44</v>
      </c>
      <c r="G3045" s="2">
        <v>43.34</v>
      </c>
      <c r="H3045" s="2">
        <v>0.66</v>
      </c>
      <c r="I3045" s="1">
        <v>1.5</v>
      </c>
      <c r="J3045" s="26">
        <v>45902</v>
      </c>
      <c r="K3045" s="22">
        <v>43340</v>
      </c>
      <c r="L3045" s="18">
        <v>46.35</v>
      </c>
      <c r="M3045" s="22">
        <v>28600</v>
      </c>
      <c r="N3045" s="22">
        <v>14740</v>
      </c>
      <c r="O3045" s="18">
        <v>15.76</v>
      </c>
      <c r="P3045" s="52">
        <f>IF(COUNTIF(TblPurchases[BatchID],TblOutcomes[[#This Row],[BatchID]])&lt;&gt;1,"n.a.",TblOutcomes[[#This Row],[Qty Wasted]]*SUMIFS(TblPurchases[Unit Cost (CLP)],TblPurchases[BatchID],TblOutcomes[[#This Row],[BatchID]]))</f>
        <v>429</v>
      </c>
      <c r="Q3045" s="51">
        <f>IF(COUNTIF(TblPurchases[BatchID],TblOutcomes[[#This Row],[BatchID]])&lt;&gt;1,"n.a.",SUMIFS(TblPurchases[Purchase Date],TblPurchases[BatchID],TblOutcomes[[#This Row],[BatchID]]))</f>
        <v>45602</v>
      </c>
    </row>
    <row r="3046" spans="2:17" x14ac:dyDescent="0.25">
      <c r="B3046" s="2" t="s">
        <v>3851</v>
      </c>
      <c r="C3046" s="2" t="s">
        <v>324</v>
      </c>
      <c r="D3046" s="2" t="s">
        <v>71</v>
      </c>
      <c r="E3046" s="2" t="s">
        <v>4647</v>
      </c>
      <c r="F3046" s="2">
        <v>57</v>
      </c>
      <c r="G3046" s="2">
        <v>57</v>
      </c>
      <c r="H3046" s="2">
        <v>0</v>
      </c>
      <c r="I3046" s="1">
        <v>0</v>
      </c>
      <c r="J3046" s="26">
        <v>45668</v>
      </c>
      <c r="K3046" s="22">
        <v>57000</v>
      </c>
      <c r="L3046" s="18">
        <v>60.96</v>
      </c>
      <c r="M3046" s="22">
        <v>37050</v>
      </c>
      <c r="N3046" s="22">
        <v>19950</v>
      </c>
      <c r="O3046" s="18">
        <v>21.34</v>
      </c>
      <c r="P3046" s="52">
        <f>IF(COUNTIF(TblPurchases[BatchID],TblOutcomes[[#This Row],[BatchID]])&lt;&gt;1,"n.a.",TblOutcomes[[#This Row],[Qty Wasted]]*SUMIFS(TblPurchases[Unit Cost (CLP)],TblPurchases[BatchID],TblOutcomes[[#This Row],[BatchID]]))</f>
        <v>0</v>
      </c>
      <c r="Q3046" s="51">
        <f>IF(COUNTIF(TblPurchases[BatchID],TblOutcomes[[#This Row],[BatchID]])&lt;&gt;1,"n.a.",SUMIFS(TblPurchases[Purchase Date],TblPurchases[BatchID],TblOutcomes[[#This Row],[BatchID]]))</f>
        <v>45635</v>
      </c>
    </row>
    <row r="3047" spans="2:17" x14ac:dyDescent="0.25">
      <c r="B3047" s="2" t="s">
        <v>3852</v>
      </c>
      <c r="C3047" s="2" t="s">
        <v>324</v>
      </c>
      <c r="D3047" s="2" t="s">
        <v>71</v>
      </c>
      <c r="E3047" s="2" t="s">
        <v>4647</v>
      </c>
      <c r="F3047" s="2">
        <v>59</v>
      </c>
      <c r="G3047" s="2">
        <v>59</v>
      </c>
      <c r="H3047" s="2">
        <v>0</v>
      </c>
      <c r="I3047" s="1">
        <v>0</v>
      </c>
      <c r="J3047" s="26">
        <v>45690</v>
      </c>
      <c r="K3047" s="22">
        <v>59000</v>
      </c>
      <c r="L3047" s="18">
        <v>63.1</v>
      </c>
      <c r="M3047" s="22">
        <v>38350</v>
      </c>
      <c r="N3047" s="22">
        <v>20650</v>
      </c>
      <c r="O3047" s="18">
        <v>22.09</v>
      </c>
      <c r="P3047" s="52">
        <f>IF(COUNTIF(TblPurchases[BatchID],TblOutcomes[[#This Row],[BatchID]])&lt;&gt;1,"n.a.",TblOutcomes[[#This Row],[Qty Wasted]]*SUMIFS(TblPurchases[Unit Cost (CLP)],TblPurchases[BatchID],TblOutcomes[[#This Row],[BatchID]]))</f>
        <v>0</v>
      </c>
      <c r="Q3047" s="51">
        <f>IF(COUNTIF(TblPurchases[BatchID],TblOutcomes[[#This Row],[BatchID]])&lt;&gt;1,"n.a.",SUMIFS(TblPurchases[Purchase Date],TblPurchases[BatchID],TblOutcomes[[#This Row],[BatchID]]))</f>
        <v>45659</v>
      </c>
    </row>
    <row r="3048" spans="2:17" x14ac:dyDescent="0.25">
      <c r="B3048" s="2" t="s">
        <v>3853</v>
      </c>
      <c r="C3048" s="2" t="s">
        <v>324</v>
      </c>
      <c r="D3048" s="2" t="s">
        <v>71</v>
      </c>
      <c r="E3048" s="2" t="s">
        <v>4647</v>
      </c>
      <c r="F3048" s="2">
        <v>51</v>
      </c>
      <c r="G3048" s="2">
        <v>51</v>
      </c>
      <c r="H3048" s="2">
        <v>0</v>
      </c>
      <c r="I3048" s="1">
        <v>0</v>
      </c>
      <c r="J3048" s="26">
        <v>45718</v>
      </c>
      <c r="K3048" s="22">
        <v>51000</v>
      </c>
      <c r="L3048" s="18">
        <v>54.55</v>
      </c>
      <c r="M3048" s="22">
        <v>33150</v>
      </c>
      <c r="N3048" s="22">
        <v>17850</v>
      </c>
      <c r="O3048" s="18">
        <v>19.09</v>
      </c>
      <c r="P3048" s="52">
        <f>IF(COUNTIF(TblPurchases[BatchID],TblOutcomes[[#This Row],[BatchID]])&lt;&gt;1,"n.a.",TblOutcomes[[#This Row],[Qty Wasted]]*SUMIFS(TblPurchases[Unit Cost (CLP)],TblPurchases[BatchID],TblOutcomes[[#This Row],[BatchID]]))</f>
        <v>0</v>
      </c>
      <c r="Q3048" s="51">
        <f>IF(COUNTIF(TblPurchases[BatchID],TblOutcomes[[#This Row],[BatchID]])&lt;&gt;1,"n.a.",SUMIFS(TblPurchases[Purchase Date],TblPurchases[BatchID],TblOutcomes[[#This Row],[BatchID]]))</f>
        <v>45695</v>
      </c>
    </row>
    <row r="3049" spans="2:17" x14ac:dyDescent="0.25">
      <c r="B3049" s="2" t="s">
        <v>3854</v>
      </c>
      <c r="C3049" s="2" t="s">
        <v>324</v>
      </c>
      <c r="D3049" s="2" t="s">
        <v>71</v>
      </c>
      <c r="E3049" s="2" t="s">
        <v>4647</v>
      </c>
      <c r="F3049" s="2">
        <v>51</v>
      </c>
      <c r="G3049" s="2">
        <v>51</v>
      </c>
      <c r="H3049" s="2">
        <v>0</v>
      </c>
      <c r="I3049" s="1">
        <v>0</v>
      </c>
      <c r="J3049" s="26">
        <v>45758</v>
      </c>
      <c r="K3049" s="22">
        <v>51000</v>
      </c>
      <c r="L3049" s="18">
        <v>54.55</v>
      </c>
      <c r="M3049" s="22">
        <v>33150</v>
      </c>
      <c r="N3049" s="22">
        <v>17850</v>
      </c>
      <c r="O3049" s="18">
        <v>19.09</v>
      </c>
      <c r="P3049" s="52">
        <f>IF(COUNTIF(TblPurchases[BatchID],TblOutcomes[[#This Row],[BatchID]])&lt;&gt;1,"n.a.",TblOutcomes[[#This Row],[Qty Wasted]]*SUMIFS(TblPurchases[Unit Cost (CLP)],TblPurchases[BatchID],TblOutcomes[[#This Row],[BatchID]]))</f>
        <v>0</v>
      </c>
      <c r="Q3049" s="51">
        <f>IF(COUNTIF(TblPurchases[BatchID],TblOutcomes[[#This Row],[BatchID]])&lt;&gt;1,"n.a.",SUMIFS(TblPurchases[Purchase Date],TblPurchases[BatchID],TblOutcomes[[#This Row],[BatchID]]))</f>
        <v>45732</v>
      </c>
    </row>
    <row r="3050" spans="2:17" x14ac:dyDescent="0.25">
      <c r="B3050" s="2" t="s">
        <v>3855</v>
      </c>
      <c r="C3050" s="2" t="s">
        <v>324</v>
      </c>
      <c r="D3050" s="2" t="s">
        <v>71</v>
      </c>
      <c r="E3050" s="2" t="s">
        <v>4646</v>
      </c>
      <c r="F3050" s="2">
        <v>51</v>
      </c>
      <c r="G3050" s="2">
        <v>49.21</v>
      </c>
      <c r="H3050" s="2">
        <v>1.79</v>
      </c>
      <c r="I3050" s="1">
        <v>3.5</v>
      </c>
      <c r="J3050" s="26">
        <v>46070</v>
      </c>
      <c r="K3050" s="22">
        <v>49210</v>
      </c>
      <c r="L3050" s="18">
        <v>52.63</v>
      </c>
      <c r="M3050" s="22">
        <v>33150</v>
      </c>
      <c r="N3050" s="22">
        <v>16060</v>
      </c>
      <c r="O3050" s="18">
        <v>17.18</v>
      </c>
      <c r="P3050" s="52">
        <f>IF(COUNTIF(TblPurchases[BatchID],TblOutcomes[[#This Row],[BatchID]])&lt;&gt;1,"n.a.",TblOutcomes[[#This Row],[Qty Wasted]]*SUMIFS(TblPurchases[Unit Cost (CLP)],TblPurchases[BatchID],TblOutcomes[[#This Row],[BatchID]]))</f>
        <v>1163.5</v>
      </c>
      <c r="Q3050" s="51">
        <f>IF(COUNTIF(TblPurchases[BatchID],TblOutcomes[[#This Row],[BatchID]])&lt;&gt;1,"n.a.",SUMIFS(TblPurchases[Purchase Date],TblPurchases[BatchID],TblOutcomes[[#This Row],[BatchID]]))</f>
        <v>45770</v>
      </c>
    </row>
    <row r="3051" spans="2:17" x14ac:dyDescent="0.25">
      <c r="B3051" s="2" t="s">
        <v>3856</v>
      </c>
      <c r="C3051" s="2" t="s">
        <v>324</v>
      </c>
      <c r="D3051" s="2" t="s">
        <v>71</v>
      </c>
      <c r="E3051" s="2" t="s">
        <v>4647</v>
      </c>
      <c r="F3051" s="2">
        <v>59</v>
      </c>
      <c r="G3051" s="2">
        <v>59</v>
      </c>
      <c r="H3051" s="2">
        <v>0</v>
      </c>
      <c r="I3051" s="1">
        <v>0</v>
      </c>
      <c r="J3051" s="26">
        <v>45826</v>
      </c>
      <c r="K3051" s="22">
        <v>59000</v>
      </c>
      <c r="L3051" s="18">
        <v>63.1</v>
      </c>
      <c r="M3051" s="22">
        <v>38350</v>
      </c>
      <c r="N3051" s="22">
        <v>20650</v>
      </c>
      <c r="O3051" s="18">
        <v>22.09</v>
      </c>
      <c r="P3051" s="52">
        <f>IF(COUNTIF(TblPurchases[BatchID],TblOutcomes[[#This Row],[BatchID]])&lt;&gt;1,"n.a.",TblOutcomes[[#This Row],[Qty Wasted]]*SUMIFS(TblPurchases[Unit Cost (CLP)],TblPurchases[BatchID],TblOutcomes[[#This Row],[BatchID]]))</f>
        <v>0</v>
      </c>
      <c r="Q3051" s="51">
        <f>IF(COUNTIF(TblPurchases[BatchID],TblOutcomes[[#This Row],[BatchID]])&lt;&gt;1,"n.a.",SUMIFS(TblPurchases[Purchase Date],TblPurchases[BatchID],TblOutcomes[[#This Row],[BatchID]]))</f>
        <v>45792</v>
      </c>
    </row>
    <row r="3052" spans="2:17" x14ac:dyDescent="0.25">
      <c r="B3052" s="2" t="s">
        <v>3857</v>
      </c>
      <c r="C3052" s="2" t="s">
        <v>324</v>
      </c>
      <c r="D3052" s="2" t="s">
        <v>71</v>
      </c>
      <c r="E3052" s="2" t="s">
        <v>4646</v>
      </c>
      <c r="F3052" s="2">
        <v>61</v>
      </c>
      <c r="G3052" s="2">
        <v>59.6</v>
      </c>
      <c r="H3052" s="2">
        <v>1.4</v>
      </c>
      <c r="I3052" s="1">
        <v>2.2999999999999998</v>
      </c>
      <c r="J3052" s="26">
        <v>46125</v>
      </c>
      <c r="K3052" s="22">
        <v>59600</v>
      </c>
      <c r="L3052" s="18">
        <v>63.74</v>
      </c>
      <c r="M3052" s="22">
        <v>45750</v>
      </c>
      <c r="N3052" s="22">
        <v>13850</v>
      </c>
      <c r="O3052" s="18">
        <v>14.81</v>
      </c>
      <c r="P3052" s="52">
        <f>IF(COUNTIF(TblPurchases[BatchID],TblOutcomes[[#This Row],[BatchID]])&lt;&gt;1,"n.a.",TblOutcomes[[#This Row],[Qty Wasted]]*SUMIFS(TblPurchases[Unit Cost (CLP)],TblPurchases[BatchID],TblOutcomes[[#This Row],[BatchID]]))</f>
        <v>1050</v>
      </c>
      <c r="Q3052" s="51">
        <f>IF(COUNTIF(TblPurchases[BatchID],TblOutcomes[[#This Row],[BatchID]])&lt;&gt;1,"n.a.",SUMIFS(TblPurchases[Purchase Date],TblPurchases[BatchID],TblOutcomes[[#This Row],[BatchID]]))</f>
        <v>45825</v>
      </c>
    </row>
    <row r="3053" spans="2:17" x14ac:dyDescent="0.25">
      <c r="B3053" s="2" t="s">
        <v>3858</v>
      </c>
      <c r="C3053" s="2" t="s">
        <v>326</v>
      </c>
      <c r="D3053" s="2" t="s">
        <v>71</v>
      </c>
      <c r="E3053" s="2" t="s">
        <v>4646</v>
      </c>
      <c r="F3053" s="2">
        <v>51</v>
      </c>
      <c r="G3053" s="2">
        <v>49.47</v>
      </c>
      <c r="H3053" s="2">
        <v>1.53</v>
      </c>
      <c r="I3053" s="1">
        <v>3</v>
      </c>
      <c r="J3053" s="26">
        <v>45428</v>
      </c>
      <c r="K3053" s="22">
        <v>24735</v>
      </c>
      <c r="L3053" s="18">
        <v>26.45</v>
      </c>
      <c r="M3053" s="22">
        <v>17850</v>
      </c>
      <c r="N3053" s="22">
        <v>6885</v>
      </c>
      <c r="O3053" s="18">
        <v>7.36</v>
      </c>
      <c r="P3053" s="52">
        <f>IF(COUNTIF(TblPurchases[BatchID],TblOutcomes[[#This Row],[BatchID]])&lt;&gt;1,"n.a.",TblOutcomes[[#This Row],[Qty Wasted]]*SUMIFS(TblPurchases[Unit Cost (CLP)],TblPurchases[BatchID],TblOutcomes[[#This Row],[BatchID]]))</f>
        <v>535.5</v>
      </c>
      <c r="Q3053" s="51">
        <f>IF(COUNTIF(TblPurchases[BatchID],TblOutcomes[[#This Row],[BatchID]])&lt;&gt;1,"n.a.",SUMIFS(TblPurchases[Purchase Date],TblPurchases[BatchID],TblOutcomes[[#This Row],[BatchID]]))</f>
        <v>45128</v>
      </c>
    </row>
    <row r="3054" spans="2:17" x14ac:dyDescent="0.25">
      <c r="B3054" s="2" t="s">
        <v>3859</v>
      </c>
      <c r="C3054" s="2" t="s">
        <v>326</v>
      </c>
      <c r="D3054" s="2" t="s">
        <v>71</v>
      </c>
      <c r="E3054" s="2" t="s">
        <v>4646</v>
      </c>
      <c r="F3054" s="2">
        <v>45</v>
      </c>
      <c r="G3054" s="2">
        <v>44.05</v>
      </c>
      <c r="H3054" s="2">
        <v>0.95</v>
      </c>
      <c r="I3054" s="1">
        <v>2.1</v>
      </c>
      <c r="J3054" s="26">
        <v>45464</v>
      </c>
      <c r="K3054" s="22">
        <v>22025</v>
      </c>
      <c r="L3054" s="18">
        <v>23.56</v>
      </c>
      <c r="M3054" s="22">
        <v>15750</v>
      </c>
      <c r="N3054" s="22">
        <v>6275</v>
      </c>
      <c r="O3054" s="18">
        <v>6.71</v>
      </c>
      <c r="P3054" s="52">
        <f>IF(COUNTIF(TblPurchases[BatchID],TblOutcomes[[#This Row],[BatchID]])&lt;&gt;1,"n.a.",TblOutcomes[[#This Row],[Qty Wasted]]*SUMIFS(TblPurchases[Unit Cost (CLP)],TblPurchases[BatchID],TblOutcomes[[#This Row],[BatchID]]))</f>
        <v>332.5</v>
      </c>
      <c r="Q3054" s="51">
        <f>IF(COUNTIF(TblPurchases[BatchID],TblOutcomes[[#This Row],[BatchID]])&lt;&gt;1,"n.a.",SUMIFS(TblPurchases[Purchase Date],TblPurchases[BatchID],TblOutcomes[[#This Row],[BatchID]]))</f>
        <v>45164</v>
      </c>
    </row>
    <row r="3055" spans="2:17" x14ac:dyDescent="0.25">
      <c r="B3055" s="2" t="s">
        <v>3860</v>
      </c>
      <c r="C3055" s="2" t="s">
        <v>326</v>
      </c>
      <c r="D3055" s="2" t="s">
        <v>71</v>
      </c>
      <c r="E3055" s="2" t="s">
        <v>4647</v>
      </c>
      <c r="F3055" s="2">
        <v>54</v>
      </c>
      <c r="G3055" s="2">
        <v>54</v>
      </c>
      <c r="H3055" s="2">
        <v>0</v>
      </c>
      <c r="I3055" s="1">
        <v>0</v>
      </c>
      <c r="J3055" s="26">
        <v>45228</v>
      </c>
      <c r="K3055" s="22">
        <v>27000</v>
      </c>
      <c r="L3055" s="18">
        <v>28.88</v>
      </c>
      <c r="M3055" s="22">
        <v>18900</v>
      </c>
      <c r="N3055" s="22">
        <v>8100</v>
      </c>
      <c r="O3055" s="18">
        <v>8.66</v>
      </c>
      <c r="P3055" s="52">
        <f>IF(COUNTIF(TblPurchases[BatchID],TblOutcomes[[#This Row],[BatchID]])&lt;&gt;1,"n.a.",TblOutcomes[[#This Row],[Qty Wasted]]*SUMIFS(TblPurchases[Unit Cost (CLP)],TblPurchases[BatchID],TblOutcomes[[#This Row],[BatchID]]))</f>
        <v>0</v>
      </c>
      <c r="Q3055" s="51">
        <f>IF(COUNTIF(TblPurchases[BatchID],TblOutcomes[[#This Row],[BatchID]])&lt;&gt;1,"n.a.",SUMIFS(TblPurchases[Purchase Date],TblPurchases[BatchID],TblOutcomes[[#This Row],[BatchID]]))</f>
        <v>45197</v>
      </c>
    </row>
    <row r="3056" spans="2:17" x14ac:dyDescent="0.25">
      <c r="B3056" s="2" t="s">
        <v>3861</v>
      </c>
      <c r="C3056" s="2" t="s">
        <v>326</v>
      </c>
      <c r="D3056" s="2" t="s">
        <v>71</v>
      </c>
      <c r="E3056" s="2" t="s">
        <v>4647</v>
      </c>
      <c r="F3056" s="2">
        <v>43</v>
      </c>
      <c r="G3056" s="2">
        <v>43</v>
      </c>
      <c r="H3056" s="2">
        <v>0</v>
      </c>
      <c r="I3056" s="1">
        <v>0</v>
      </c>
      <c r="J3056" s="26">
        <v>45255</v>
      </c>
      <c r="K3056" s="22">
        <v>21500</v>
      </c>
      <c r="L3056" s="18">
        <v>22.99</v>
      </c>
      <c r="M3056" s="22">
        <v>15050</v>
      </c>
      <c r="N3056" s="22">
        <v>6450</v>
      </c>
      <c r="O3056" s="18">
        <v>6.9</v>
      </c>
      <c r="P3056" s="52">
        <f>IF(COUNTIF(TblPurchases[BatchID],TblOutcomes[[#This Row],[BatchID]])&lt;&gt;1,"n.a.",TblOutcomes[[#This Row],[Qty Wasted]]*SUMIFS(TblPurchases[Unit Cost (CLP)],TblPurchases[BatchID],TblOutcomes[[#This Row],[BatchID]]))</f>
        <v>0</v>
      </c>
      <c r="Q3056" s="51">
        <f>IF(COUNTIF(TblPurchases[BatchID],TblOutcomes[[#This Row],[BatchID]])&lt;&gt;1,"n.a.",SUMIFS(TblPurchases[Purchase Date],TblPurchases[BatchID],TblOutcomes[[#This Row],[BatchID]]))</f>
        <v>45235</v>
      </c>
    </row>
    <row r="3057" spans="2:17" x14ac:dyDescent="0.25">
      <c r="B3057" s="2" t="s">
        <v>3862</v>
      </c>
      <c r="C3057" s="2" t="s">
        <v>326</v>
      </c>
      <c r="D3057" s="2" t="s">
        <v>71</v>
      </c>
      <c r="E3057" s="2" t="s">
        <v>4647</v>
      </c>
      <c r="F3057" s="2">
        <v>58</v>
      </c>
      <c r="G3057" s="2">
        <v>58</v>
      </c>
      <c r="H3057" s="2">
        <v>0</v>
      </c>
      <c r="I3057" s="1">
        <v>0</v>
      </c>
      <c r="J3057" s="26">
        <v>45299</v>
      </c>
      <c r="K3057" s="22">
        <v>29000</v>
      </c>
      <c r="L3057" s="18">
        <v>31.02</v>
      </c>
      <c r="M3057" s="22">
        <v>20300</v>
      </c>
      <c r="N3057" s="22">
        <v>8700</v>
      </c>
      <c r="O3057" s="18">
        <v>9.3000000000000007</v>
      </c>
      <c r="P3057" s="52">
        <f>IF(COUNTIF(TblPurchases[BatchID],TblOutcomes[[#This Row],[BatchID]])&lt;&gt;1,"n.a.",TblOutcomes[[#This Row],[Qty Wasted]]*SUMIFS(TblPurchases[Unit Cost (CLP)],TblPurchases[BatchID],TblOutcomes[[#This Row],[BatchID]]))</f>
        <v>0</v>
      </c>
      <c r="Q3057" s="51">
        <f>IF(COUNTIF(TblPurchases[BatchID],TblOutcomes[[#This Row],[BatchID]])&lt;&gt;1,"n.a.",SUMIFS(TblPurchases[Purchase Date],TblPurchases[BatchID],TblOutcomes[[#This Row],[BatchID]]))</f>
        <v>45274</v>
      </c>
    </row>
    <row r="3058" spans="2:17" x14ac:dyDescent="0.25">
      <c r="B3058" s="2" t="s">
        <v>3863</v>
      </c>
      <c r="C3058" s="2" t="s">
        <v>326</v>
      </c>
      <c r="D3058" s="2" t="s">
        <v>71</v>
      </c>
      <c r="E3058" s="2" t="s">
        <v>4647</v>
      </c>
      <c r="F3058" s="2">
        <v>44</v>
      </c>
      <c r="G3058" s="2">
        <v>44</v>
      </c>
      <c r="H3058" s="2">
        <v>0</v>
      </c>
      <c r="I3058" s="1">
        <v>0</v>
      </c>
      <c r="J3058" s="26">
        <v>45338</v>
      </c>
      <c r="K3058" s="22">
        <v>22000</v>
      </c>
      <c r="L3058" s="18">
        <v>23.53</v>
      </c>
      <c r="M3058" s="22">
        <v>15400</v>
      </c>
      <c r="N3058" s="22">
        <v>6600</v>
      </c>
      <c r="O3058" s="18">
        <v>7.06</v>
      </c>
      <c r="P3058" s="52">
        <f>IF(COUNTIF(TblPurchases[BatchID],TblOutcomes[[#This Row],[BatchID]])&lt;&gt;1,"n.a.",TblOutcomes[[#This Row],[Qty Wasted]]*SUMIFS(TblPurchases[Unit Cost (CLP)],TblPurchases[BatchID],TblOutcomes[[#This Row],[BatchID]]))</f>
        <v>0</v>
      </c>
      <c r="Q3058" s="51">
        <f>IF(COUNTIF(TblPurchases[BatchID],TblOutcomes[[#This Row],[BatchID]])&lt;&gt;1,"n.a.",SUMIFS(TblPurchases[Purchase Date],TblPurchases[BatchID],TblOutcomes[[#This Row],[BatchID]]))</f>
        <v>45305</v>
      </c>
    </row>
    <row r="3059" spans="2:17" x14ac:dyDescent="0.25">
      <c r="B3059" s="2" t="s">
        <v>3864</v>
      </c>
      <c r="C3059" s="2" t="s">
        <v>326</v>
      </c>
      <c r="D3059" s="2" t="s">
        <v>71</v>
      </c>
      <c r="E3059" s="2" t="s">
        <v>4646</v>
      </c>
      <c r="F3059" s="2">
        <v>43</v>
      </c>
      <c r="G3059" s="2">
        <v>41.97</v>
      </c>
      <c r="H3059" s="2">
        <v>1.03</v>
      </c>
      <c r="I3059" s="1">
        <v>2.4</v>
      </c>
      <c r="J3059" s="26">
        <v>45640</v>
      </c>
      <c r="K3059" s="22">
        <v>20985</v>
      </c>
      <c r="L3059" s="18">
        <v>22.44</v>
      </c>
      <c r="M3059" s="22">
        <v>15050</v>
      </c>
      <c r="N3059" s="22">
        <v>5935</v>
      </c>
      <c r="O3059" s="18">
        <v>6.35</v>
      </c>
      <c r="P3059" s="52">
        <f>IF(COUNTIF(TblPurchases[BatchID],TblOutcomes[[#This Row],[BatchID]])&lt;&gt;1,"n.a.",TblOutcomes[[#This Row],[Qty Wasted]]*SUMIFS(TblPurchases[Unit Cost (CLP)],TblPurchases[BatchID],TblOutcomes[[#This Row],[BatchID]]))</f>
        <v>360.5</v>
      </c>
      <c r="Q3059" s="51">
        <f>IF(COUNTIF(TblPurchases[BatchID],TblOutcomes[[#This Row],[BatchID]])&lt;&gt;1,"n.a.",SUMIFS(TblPurchases[Purchase Date],TblPurchases[BatchID],TblOutcomes[[#This Row],[BatchID]]))</f>
        <v>45340</v>
      </c>
    </row>
    <row r="3060" spans="2:17" x14ac:dyDescent="0.25">
      <c r="B3060" s="2" t="s">
        <v>3865</v>
      </c>
      <c r="C3060" s="2" t="s">
        <v>326</v>
      </c>
      <c r="D3060" s="2" t="s">
        <v>71</v>
      </c>
      <c r="E3060" s="2" t="s">
        <v>4646</v>
      </c>
      <c r="F3060" s="2">
        <v>46</v>
      </c>
      <c r="G3060" s="2">
        <v>44.3</v>
      </c>
      <c r="H3060" s="2">
        <v>1.7</v>
      </c>
      <c r="I3060" s="1">
        <v>3.7</v>
      </c>
      <c r="J3060" s="26">
        <v>45668</v>
      </c>
      <c r="K3060" s="22">
        <v>22150</v>
      </c>
      <c r="L3060" s="18">
        <v>23.69</v>
      </c>
      <c r="M3060" s="22">
        <v>16100</v>
      </c>
      <c r="N3060" s="22">
        <v>6050</v>
      </c>
      <c r="O3060" s="18">
        <v>6.47</v>
      </c>
      <c r="P3060" s="52">
        <f>IF(COUNTIF(TblPurchases[BatchID],TblOutcomes[[#This Row],[BatchID]])&lt;&gt;1,"n.a.",TblOutcomes[[#This Row],[Qty Wasted]]*SUMIFS(TblPurchases[Unit Cost (CLP)],TblPurchases[BatchID],TblOutcomes[[#This Row],[BatchID]]))</f>
        <v>595</v>
      </c>
      <c r="Q3060" s="51">
        <f>IF(COUNTIF(TblPurchases[BatchID],TblOutcomes[[#This Row],[BatchID]])&lt;&gt;1,"n.a.",SUMIFS(TblPurchases[Purchase Date],TblPurchases[BatchID],TblOutcomes[[#This Row],[BatchID]]))</f>
        <v>45368</v>
      </c>
    </row>
    <row r="3061" spans="2:17" x14ac:dyDescent="0.25">
      <c r="B3061" s="2" t="s">
        <v>3866</v>
      </c>
      <c r="C3061" s="2" t="s">
        <v>326</v>
      </c>
      <c r="D3061" s="2" t="s">
        <v>71</v>
      </c>
      <c r="E3061" s="2" t="s">
        <v>4647</v>
      </c>
      <c r="F3061" s="2">
        <v>56</v>
      </c>
      <c r="G3061" s="2">
        <v>56</v>
      </c>
      <c r="H3061" s="2">
        <v>0</v>
      </c>
      <c r="I3061" s="1">
        <v>0</v>
      </c>
      <c r="J3061" s="26">
        <v>45428</v>
      </c>
      <c r="K3061" s="22">
        <v>28000</v>
      </c>
      <c r="L3061" s="18">
        <v>29.95</v>
      </c>
      <c r="M3061" s="22">
        <v>19600</v>
      </c>
      <c r="N3061" s="22">
        <v>8400</v>
      </c>
      <c r="O3061" s="18">
        <v>8.98</v>
      </c>
      <c r="P3061" s="52">
        <f>IF(COUNTIF(TblPurchases[BatchID],TblOutcomes[[#This Row],[BatchID]])&lt;&gt;1,"n.a.",TblOutcomes[[#This Row],[Qty Wasted]]*SUMIFS(TblPurchases[Unit Cost (CLP)],TblPurchases[BatchID],TblOutcomes[[#This Row],[BatchID]]))</f>
        <v>0</v>
      </c>
      <c r="Q3061" s="51">
        <f>IF(COUNTIF(TblPurchases[BatchID],TblOutcomes[[#This Row],[BatchID]])&lt;&gt;1,"n.a.",SUMIFS(TblPurchases[Purchase Date],TblPurchases[BatchID],TblOutcomes[[#This Row],[BatchID]]))</f>
        <v>45400</v>
      </c>
    </row>
    <row r="3062" spans="2:17" x14ac:dyDescent="0.25">
      <c r="B3062" s="2" t="s">
        <v>3867</v>
      </c>
      <c r="C3062" s="2" t="s">
        <v>326</v>
      </c>
      <c r="D3062" s="2" t="s">
        <v>71</v>
      </c>
      <c r="E3062" s="2" t="s">
        <v>4647</v>
      </c>
      <c r="F3062" s="2">
        <v>55</v>
      </c>
      <c r="G3062" s="2">
        <v>55</v>
      </c>
      <c r="H3062" s="2">
        <v>0</v>
      </c>
      <c r="I3062" s="1">
        <v>0</v>
      </c>
      <c r="J3062" s="26">
        <v>45453</v>
      </c>
      <c r="K3062" s="22">
        <v>27500</v>
      </c>
      <c r="L3062" s="18">
        <v>29.41</v>
      </c>
      <c r="M3062" s="22">
        <v>19250</v>
      </c>
      <c r="N3062" s="22">
        <v>8250</v>
      </c>
      <c r="O3062" s="18">
        <v>8.82</v>
      </c>
      <c r="P3062" s="52">
        <f>IF(COUNTIF(TblPurchases[BatchID],TblOutcomes[[#This Row],[BatchID]])&lt;&gt;1,"n.a.",TblOutcomes[[#This Row],[Qty Wasted]]*SUMIFS(TblPurchases[Unit Cost (CLP)],TblPurchases[BatchID],TblOutcomes[[#This Row],[BatchID]]))</f>
        <v>0</v>
      </c>
      <c r="Q3062" s="51">
        <f>IF(COUNTIF(TblPurchases[BatchID],TblOutcomes[[#This Row],[BatchID]])&lt;&gt;1,"n.a.",SUMIFS(TblPurchases[Purchase Date],TblPurchases[BatchID],TblOutcomes[[#This Row],[BatchID]]))</f>
        <v>45437</v>
      </c>
    </row>
    <row r="3063" spans="2:17" x14ac:dyDescent="0.25">
      <c r="B3063" s="2" t="s">
        <v>3868</v>
      </c>
      <c r="C3063" s="2" t="s">
        <v>326</v>
      </c>
      <c r="D3063" s="2" t="s">
        <v>71</v>
      </c>
      <c r="E3063" s="2" t="s">
        <v>4647</v>
      </c>
      <c r="F3063" s="2">
        <v>43</v>
      </c>
      <c r="G3063" s="2">
        <v>43</v>
      </c>
      <c r="H3063" s="2">
        <v>0</v>
      </c>
      <c r="I3063" s="1">
        <v>0</v>
      </c>
      <c r="J3063" s="26">
        <v>45507</v>
      </c>
      <c r="K3063" s="22">
        <v>21500</v>
      </c>
      <c r="L3063" s="18">
        <v>22.99</v>
      </c>
      <c r="M3063" s="22">
        <v>15050</v>
      </c>
      <c r="N3063" s="22">
        <v>6450</v>
      </c>
      <c r="O3063" s="18">
        <v>6.9</v>
      </c>
      <c r="P3063" s="52">
        <f>IF(COUNTIF(TblPurchases[BatchID],TblOutcomes[[#This Row],[BatchID]])&lt;&gt;1,"n.a.",TblOutcomes[[#This Row],[Qty Wasted]]*SUMIFS(TblPurchases[Unit Cost (CLP)],TblPurchases[BatchID],TblOutcomes[[#This Row],[BatchID]]))</f>
        <v>0</v>
      </c>
      <c r="Q3063" s="51">
        <f>IF(COUNTIF(TblPurchases[BatchID],TblOutcomes[[#This Row],[BatchID]])&lt;&gt;1,"n.a.",SUMIFS(TblPurchases[Purchase Date],TblPurchases[BatchID],TblOutcomes[[#This Row],[BatchID]]))</f>
        <v>45481</v>
      </c>
    </row>
    <row r="3064" spans="2:17" x14ac:dyDescent="0.25">
      <c r="B3064" s="2" t="s">
        <v>3869</v>
      </c>
      <c r="C3064" s="2" t="s">
        <v>326</v>
      </c>
      <c r="D3064" s="2" t="s">
        <v>71</v>
      </c>
      <c r="E3064" s="2" t="s">
        <v>4647</v>
      </c>
      <c r="F3064" s="2">
        <v>52</v>
      </c>
      <c r="G3064" s="2">
        <v>52</v>
      </c>
      <c r="H3064" s="2">
        <v>0</v>
      </c>
      <c r="I3064" s="1">
        <v>0</v>
      </c>
      <c r="J3064" s="26">
        <v>45813</v>
      </c>
      <c r="K3064" s="22">
        <v>26000</v>
      </c>
      <c r="L3064" s="18">
        <v>27.81</v>
      </c>
      <c r="M3064" s="22">
        <v>18200</v>
      </c>
      <c r="N3064" s="22">
        <v>7800</v>
      </c>
      <c r="O3064" s="18">
        <v>8.34</v>
      </c>
      <c r="P3064" s="52">
        <f>IF(COUNTIF(TblPurchases[BatchID],TblOutcomes[[#This Row],[BatchID]])&lt;&gt;1,"n.a.",TblOutcomes[[#This Row],[Qty Wasted]]*SUMIFS(TblPurchases[Unit Cost (CLP)],TblPurchases[BatchID],TblOutcomes[[#This Row],[BatchID]]))</f>
        <v>0</v>
      </c>
      <c r="Q3064" s="51">
        <f>IF(COUNTIF(TblPurchases[BatchID],TblOutcomes[[#This Row],[BatchID]])&lt;&gt;1,"n.a.",SUMIFS(TblPurchases[Purchase Date],TblPurchases[BatchID],TblOutcomes[[#This Row],[BatchID]]))</f>
        <v>45513</v>
      </c>
    </row>
    <row r="3065" spans="2:17" x14ac:dyDescent="0.25">
      <c r="B3065" s="2" t="s">
        <v>3870</v>
      </c>
      <c r="C3065" s="2" t="s">
        <v>326</v>
      </c>
      <c r="D3065" s="2" t="s">
        <v>71</v>
      </c>
      <c r="E3065" s="2" t="s">
        <v>4647</v>
      </c>
      <c r="F3065" s="2">
        <v>63</v>
      </c>
      <c r="G3065" s="2">
        <v>63</v>
      </c>
      <c r="H3065" s="2">
        <v>0</v>
      </c>
      <c r="I3065" s="1">
        <v>0</v>
      </c>
      <c r="J3065" s="26">
        <v>45582</v>
      </c>
      <c r="K3065" s="22">
        <v>31500</v>
      </c>
      <c r="L3065" s="18">
        <v>33.69</v>
      </c>
      <c r="M3065" s="22">
        <v>22050</v>
      </c>
      <c r="N3065" s="22">
        <v>9450</v>
      </c>
      <c r="O3065" s="18">
        <v>10.11</v>
      </c>
      <c r="P3065" s="52">
        <f>IF(COUNTIF(TblPurchases[BatchID],TblOutcomes[[#This Row],[BatchID]])&lt;&gt;1,"n.a.",TblOutcomes[[#This Row],[Qty Wasted]]*SUMIFS(TblPurchases[Unit Cost (CLP)],TblPurchases[BatchID],TblOutcomes[[#This Row],[BatchID]]))</f>
        <v>0</v>
      </c>
      <c r="Q3065" s="51">
        <f>IF(COUNTIF(TblPurchases[BatchID],TblOutcomes[[#This Row],[BatchID]])&lt;&gt;1,"n.a.",SUMIFS(TblPurchases[Purchase Date],TblPurchases[BatchID],TblOutcomes[[#This Row],[BatchID]]))</f>
        <v>45558</v>
      </c>
    </row>
    <row r="3066" spans="2:17" x14ac:dyDescent="0.25">
      <c r="B3066" s="2" t="s">
        <v>3871</v>
      </c>
      <c r="C3066" s="2" t="s">
        <v>326</v>
      </c>
      <c r="D3066" s="2" t="s">
        <v>71</v>
      </c>
      <c r="E3066" s="2" t="s">
        <v>4647</v>
      </c>
      <c r="F3066" s="2">
        <v>54</v>
      </c>
      <c r="G3066" s="2">
        <v>54</v>
      </c>
      <c r="H3066" s="2">
        <v>0</v>
      </c>
      <c r="I3066" s="1">
        <v>0</v>
      </c>
      <c r="J3066" s="26">
        <v>45609</v>
      </c>
      <c r="K3066" s="22">
        <v>27000</v>
      </c>
      <c r="L3066" s="18">
        <v>28.88</v>
      </c>
      <c r="M3066" s="22">
        <v>18900</v>
      </c>
      <c r="N3066" s="22">
        <v>8100</v>
      </c>
      <c r="O3066" s="18">
        <v>8.66</v>
      </c>
      <c r="P3066" s="52">
        <f>IF(COUNTIF(TblPurchases[BatchID],TblOutcomes[[#This Row],[BatchID]])&lt;&gt;1,"n.a.",TblOutcomes[[#This Row],[Qty Wasted]]*SUMIFS(TblPurchases[Unit Cost (CLP)],TblPurchases[BatchID],TblOutcomes[[#This Row],[BatchID]]))</f>
        <v>0</v>
      </c>
      <c r="Q3066" s="51">
        <f>IF(COUNTIF(TblPurchases[BatchID],TblOutcomes[[#This Row],[BatchID]])&lt;&gt;1,"n.a.",SUMIFS(TblPurchases[Purchase Date],TblPurchases[BatchID],TblOutcomes[[#This Row],[BatchID]]))</f>
        <v>45592</v>
      </c>
    </row>
    <row r="3067" spans="2:17" x14ac:dyDescent="0.25">
      <c r="B3067" s="2" t="s">
        <v>3872</v>
      </c>
      <c r="C3067" s="2" t="s">
        <v>326</v>
      </c>
      <c r="D3067" s="2" t="s">
        <v>71</v>
      </c>
      <c r="E3067" s="2" t="s">
        <v>4647</v>
      </c>
      <c r="F3067" s="2">
        <v>57</v>
      </c>
      <c r="G3067" s="2">
        <v>57</v>
      </c>
      <c r="H3067" s="2">
        <v>0</v>
      </c>
      <c r="I3067" s="1">
        <v>0</v>
      </c>
      <c r="J3067" s="26">
        <v>45658</v>
      </c>
      <c r="K3067" s="22">
        <v>28500</v>
      </c>
      <c r="L3067" s="18">
        <v>30.48</v>
      </c>
      <c r="M3067" s="22">
        <v>19950</v>
      </c>
      <c r="N3067" s="22">
        <v>8550</v>
      </c>
      <c r="O3067" s="18">
        <v>9.14</v>
      </c>
      <c r="P3067" s="52">
        <f>IF(COUNTIF(TblPurchases[BatchID],TblOutcomes[[#This Row],[BatchID]])&lt;&gt;1,"n.a.",TblOutcomes[[#This Row],[Qty Wasted]]*SUMIFS(TblPurchases[Unit Cost (CLP)],TblPurchases[BatchID],TblOutcomes[[#This Row],[BatchID]]))</f>
        <v>0</v>
      </c>
      <c r="Q3067" s="51">
        <f>IF(COUNTIF(TblPurchases[BatchID],TblOutcomes[[#This Row],[BatchID]])&lt;&gt;1,"n.a.",SUMIFS(TblPurchases[Purchase Date],TblPurchases[BatchID],TblOutcomes[[#This Row],[BatchID]]))</f>
        <v>45630</v>
      </c>
    </row>
    <row r="3068" spans="2:17" x14ac:dyDescent="0.25">
      <c r="B3068" s="2" t="s">
        <v>3873</v>
      </c>
      <c r="C3068" s="2" t="s">
        <v>326</v>
      </c>
      <c r="D3068" s="2" t="s">
        <v>71</v>
      </c>
      <c r="E3068" s="2" t="s">
        <v>4647</v>
      </c>
      <c r="F3068" s="2">
        <v>59</v>
      </c>
      <c r="G3068" s="2">
        <v>59</v>
      </c>
      <c r="H3068" s="2">
        <v>0</v>
      </c>
      <c r="I3068" s="1">
        <v>0</v>
      </c>
      <c r="J3068" s="26">
        <v>45691</v>
      </c>
      <c r="K3068" s="22">
        <v>29500</v>
      </c>
      <c r="L3068" s="18">
        <v>31.55</v>
      </c>
      <c r="M3068" s="22">
        <v>20650</v>
      </c>
      <c r="N3068" s="22">
        <v>8850</v>
      </c>
      <c r="O3068" s="18">
        <v>9.4700000000000006</v>
      </c>
      <c r="P3068" s="52">
        <f>IF(COUNTIF(TblPurchases[BatchID],TblOutcomes[[#This Row],[BatchID]])&lt;&gt;1,"n.a.",TblOutcomes[[#This Row],[Qty Wasted]]*SUMIFS(TblPurchases[Unit Cost (CLP)],TblPurchases[BatchID],TblOutcomes[[#This Row],[BatchID]]))</f>
        <v>0</v>
      </c>
      <c r="Q3068" s="51">
        <f>IF(COUNTIF(TblPurchases[BatchID],TblOutcomes[[#This Row],[BatchID]])&lt;&gt;1,"n.a.",SUMIFS(TblPurchases[Purchase Date],TblPurchases[BatchID],TblOutcomes[[#This Row],[BatchID]]))</f>
        <v>45660</v>
      </c>
    </row>
    <row r="3069" spans="2:17" x14ac:dyDescent="0.25">
      <c r="B3069" s="2" t="s">
        <v>3874</v>
      </c>
      <c r="C3069" s="2" t="s">
        <v>326</v>
      </c>
      <c r="D3069" s="2" t="s">
        <v>71</v>
      </c>
      <c r="E3069" s="2" t="s">
        <v>4647</v>
      </c>
      <c r="F3069" s="2">
        <v>46</v>
      </c>
      <c r="G3069" s="2">
        <v>46</v>
      </c>
      <c r="H3069" s="2">
        <v>0</v>
      </c>
      <c r="I3069" s="1">
        <v>0</v>
      </c>
      <c r="J3069" s="26">
        <v>45717</v>
      </c>
      <c r="K3069" s="22">
        <v>23000</v>
      </c>
      <c r="L3069" s="18">
        <v>24.6</v>
      </c>
      <c r="M3069" s="22">
        <v>16100</v>
      </c>
      <c r="N3069" s="22">
        <v>6900</v>
      </c>
      <c r="O3069" s="18">
        <v>7.38</v>
      </c>
      <c r="P3069" s="52">
        <f>IF(COUNTIF(TblPurchases[BatchID],TblOutcomes[[#This Row],[BatchID]])&lt;&gt;1,"n.a.",TblOutcomes[[#This Row],[Qty Wasted]]*SUMIFS(TblPurchases[Unit Cost (CLP)],TblPurchases[BatchID],TblOutcomes[[#This Row],[BatchID]]))</f>
        <v>0</v>
      </c>
      <c r="Q3069" s="51">
        <f>IF(COUNTIF(TblPurchases[BatchID],TblOutcomes[[#This Row],[BatchID]])&lt;&gt;1,"n.a.",SUMIFS(TblPurchases[Purchase Date],TblPurchases[BatchID],TblOutcomes[[#This Row],[BatchID]]))</f>
        <v>45703</v>
      </c>
    </row>
    <row r="3070" spans="2:17" x14ac:dyDescent="0.25">
      <c r="B3070" s="2" t="s">
        <v>3875</v>
      </c>
      <c r="C3070" s="2" t="s">
        <v>326</v>
      </c>
      <c r="D3070" s="2" t="s">
        <v>71</v>
      </c>
      <c r="E3070" s="2" t="s">
        <v>4646</v>
      </c>
      <c r="F3070" s="2">
        <v>53</v>
      </c>
      <c r="G3070" s="2">
        <v>51.3</v>
      </c>
      <c r="H3070" s="2">
        <v>1.7</v>
      </c>
      <c r="I3070" s="1">
        <v>3.2</v>
      </c>
      <c r="J3070" s="26">
        <v>46035</v>
      </c>
      <c r="K3070" s="22">
        <v>25650</v>
      </c>
      <c r="L3070" s="18">
        <v>27.43</v>
      </c>
      <c r="M3070" s="22">
        <v>18550</v>
      </c>
      <c r="N3070" s="22">
        <v>7100</v>
      </c>
      <c r="O3070" s="18">
        <v>7.59</v>
      </c>
      <c r="P3070" s="52">
        <f>IF(COUNTIF(TblPurchases[BatchID],TblOutcomes[[#This Row],[BatchID]])&lt;&gt;1,"n.a.",TblOutcomes[[#This Row],[Qty Wasted]]*SUMIFS(TblPurchases[Unit Cost (CLP)],TblPurchases[BatchID],TblOutcomes[[#This Row],[BatchID]]))</f>
        <v>595</v>
      </c>
      <c r="Q3070" s="51">
        <f>IF(COUNTIF(TblPurchases[BatchID],TblOutcomes[[#This Row],[BatchID]])&lt;&gt;1,"n.a.",SUMIFS(TblPurchases[Purchase Date],TblPurchases[BatchID],TblOutcomes[[#This Row],[BatchID]]))</f>
        <v>45735</v>
      </c>
    </row>
    <row r="3071" spans="2:17" x14ac:dyDescent="0.25">
      <c r="B3071" s="2" t="s">
        <v>3876</v>
      </c>
      <c r="C3071" s="2" t="s">
        <v>326</v>
      </c>
      <c r="D3071" s="2" t="s">
        <v>71</v>
      </c>
      <c r="E3071" s="2" t="s">
        <v>4646</v>
      </c>
      <c r="F3071" s="2">
        <v>57</v>
      </c>
      <c r="G3071" s="2">
        <v>56.26</v>
      </c>
      <c r="H3071" s="2">
        <v>0.74</v>
      </c>
      <c r="I3071" s="1">
        <v>1.3</v>
      </c>
      <c r="J3071" s="26">
        <v>46074</v>
      </c>
      <c r="K3071" s="22">
        <v>28130</v>
      </c>
      <c r="L3071" s="18">
        <v>30.09</v>
      </c>
      <c r="M3071" s="22">
        <v>19950</v>
      </c>
      <c r="N3071" s="22">
        <v>8180</v>
      </c>
      <c r="O3071" s="18">
        <v>8.75</v>
      </c>
      <c r="P3071" s="52">
        <f>IF(COUNTIF(TblPurchases[BatchID],TblOutcomes[[#This Row],[BatchID]])&lt;&gt;1,"n.a.",TblOutcomes[[#This Row],[Qty Wasted]]*SUMIFS(TblPurchases[Unit Cost (CLP)],TblPurchases[BatchID],TblOutcomes[[#This Row],[BatchID]]))</f>
        <v>259</v>
      </c>
      <c r="Q3071" s="51">
        <f>IF(COUNTIF(TblPurchases[BatchID],TblOutcomes[[#This Row],[BatchID]])&lt;&gt;1,"n.a.",SUMIFS(TblPurchases[Purchase Date],TblPurchases[BatchID],TblOutcomes[[#This Row],[BatchID]]))</f>
        <v>45774</v>
      </c>
    </row>
    <row r="3072" spans="2:17" x14ac:dyDescent="0.25">
      <c r="B3072" s="2" t="s">
        <v>3877</v>
      </c>
      <c r="C3072" s="2" t="s">
        <v>326</v>
      </c>
      <c r="D3072" s="2" t="s">
        <v>71</v>
      </c>
      <c r="E3072" s="2" t="s">
        <v>4647</v>
      </c>
      <c r="F3072" s="2">
        <v>52</v>
      </c>
      <c r="G3072" s="2">
        <v>52</v>
      </c>
      <c r="H3072" s="2">
        <v>0</v>
      </c>
      <c r="I3072" s="1">
        <v>0</v>
      </c>
      <c r="J3072" s="26">
        <v>45849</v>
      </c>
      <c r="K3072" s="22">
        <v>26000</v>
      </c>
      <c r="L3072" s="18">
        <v>27.81</v>
      </c>
      <c r="M3072" s="22">
        <v>18200</v>
      </c>
      <c r="N3072" s="22">
        <v>7800</v>
      </c>
      <c r="O3072" s="18">
        <v>8.34</v>
      </c>
      <c r="P3072" s="52">
        <f>IF(COUNTIF(TblPurchases[BatchID],TblOutcomes[[#This Row],[BatchID]])&lt;&gt;1,"n.a.",TblOutcomes[[#This Row],[Qty Wasted]]*SUMIFS(TblPurchases[Unit Cost (CLP)],TblPurchases[BatchID],TblOutcomes[[#This Row],[BatchID]]))</f>
        <v>0</v>
      </c>
      <c r="Q3072" s="51">
        <f>IF(COUNTIF(TblPurchases[BatchID],TblOutcomes[[#This Row],[BatchID]])&lt;&gt;1,"n.a.",SUMIFS(TblPurchases[Purchase Date],TblPurchases[BatchID],TblOutcomes[[#This Row],[BatchID]]))</f>
        <v>45807</v>
      </c>
    </row>
    <row r="3073" spans="2:17" x14ac:dyDescent="0.25">
      <c r="B3073" s="2" t="s">
        <v>3878</v>
      </c>
      <c r="C3073" s="2" t="s">
        <v>328</v>
      </c>
      <c r="D3073" s="2" t="s">
        <v>71</v>
      </c>
      <c r="E3073" s="2" t="s">
        <v>4647</v>
      </c>
      <c r="F3073" s="2">
        <v>56</v>
      </c>
      <c r="G3073" s="2">
        <v>56</v>
      </c>
      <c r="H3073" s="2">
        <v>0</v>
      </c>
      <c r="I3073" s="1">
        <v>0</v>
      </c>
      <c r="J3073" s="26">
        <v>45125</v>
      </c>
      <c r="K3073" s="22">
        <v>56000</v>
      </c>
      <c r="L3073" s="18">
        <v>59.89</v>
      </c>
      <c r="M3073" s="22">
        <v>36400</v>
      </c>
      <c r="N3073" s="22">
        <v>19600</v>
      </c>
      <c r="O3073" s="18">
        <v>20.96</v>
      </c>
      <c r="P3073" s="52">
        <f>IF(COUNTIF(TblPurchases[BatchID],TblOutcomes[[#This Row],[BatchID]])&lt;&gt;1,"n.a.",TblOutcomes[[#This Row],[Qty Wasted]]*SUMIFS(TblPurchases[Unit Cost (CLP)],TblPurchases[BatchID],TblOutcomes[[#This Row],[BatchID]]))</f>
        <v>0</v>
      </c>
      <c r="Q3073" s="51">
        <f>IF(COUNTIF(TblPurchases[BatchID],TblOutcomes[[#This Row],[BatchID]])&lt;&gt;1,"n.a.",SUMIFS(TblPurchases[Purchase Date],TblPurchases[BatchID],TblOutcomes[[#This Row],[BatchID]]))</f>
        <v>45109</v>
      </c>
    </row>
    <row r="3074" spans="2:17" x14ac:dyDescent="0.25">
      <c r="B3074" s="2" t="s">
        <v>3879</v>
      </c>
      <c r="C3074" s="2" t="s">
        <v>328</v>
      </c>
      <c r="D3074" s="2" t="s">
        <v>71</v>
      </c>
      <c r="E3074" s="2" t="s">
        <v>4646</v>
      </c>
      <c r="F3074" s="2">
        <v>53</v>
      </c>
      <c r="G3074" s="2">
        <v>51.14</v>
      </c>
      <c r="H3074" s="2">
        <v>1.86</v>
      </c>
      <c r="I3074" s="1">
        <v>3.5</v>
      </c>
      <c r="J3074" s="26">
        <v>45448</v>
      </c>
      <c r="K3074" s="22">
        <v>51140</v>
      </c>
      <c r="L3074" s="18">
        <v>54.7</v>
      </c>
      <c r="M3074" s="22">
        <v>34450</v>
      </c>
      <c r="N3074" s="22">
        <v>16690</v>
      </c>
      <c r="O3074" s="18">
        <v>17.850000000000001</v>
      </c>
      <c r="P3074" s="52">
        <f>IF(COUNTIF(TblPurchases[BatchID],TblOutcomes[[#This Row],[BatchID]])&lt;&gt;1,"n.a.",TblOutcomes[[#This Row],[Qty Wasted]]*SUMIFS(TblPurchases[Unit Cost (CLP)],TblPurchases[BatchID],TblOutcomes[[#This Row],[BatchID]]))</f>
        <v>1209</v>
      </c>
      <c r="Q3074" s="51">
        <f>IF(COUNTIF(TblPurchases[BatchID],TblOutcomes[[#This Row],[BatchID]])&lt;&gt;1,"n.a.",SUMIFS(TblPurchases[Purchase Date],TblPurchases[BatchID],TblOutcomes[[#This Row],[BatchID]]))</f>
        <v>45148</v>
      </c>
    </row>
    <row r="3075" spans="2:17" x14ac:dyDescent="0.25">
      <c r="B3075" s="2" t="s">
        <v>3880</v>
      </c>
      <c r="C3075" s="2" t="s">
        <v>328</v>
      </c>
      <c r="D3075" s="2" t="s">
        <v>71</v>
      </c>
      <c r="E3075" s="2" t="s">
        <v>4647</v>
      </c>
      <c r="F3075" s="2">
        <v>55</v>
      </c>
      <c r="G3075" s="2">
        <v>55</v>
      </c>
      <c r="H3075" s="2">
        <v>0</v>
      </c>
      <c r="I3075" s="1">
        <v>0</v>
      </c>
      <c r="J3075" s="26">
        <v>45218</v>
      </c>
      <c r="K3075" s="22">
        <v>55000</v>
      </c>
      <c r="L3075" s="18">
        <v>58.82</v>
      </c>
      <c r="M3075" s="22">
        <v>35750</v>
      </c>
      <c r="N3075" s="22">
        <v>19250</v>
      </c>
      <c r="O3075" s="18">
        <v>20.59</v>
      </c>
      <c r="P3075" s="52">
        <f>IF(COUNTIF(TblPurchases[BatchID],TblOutcomes[[#This Row],[BatchID]])&lt;&gt;1,"n.a.",TblOutcomes[[#This Row],[Qty Wasted]]*SUMIFS(TblPurchases[Unit Cost (CLP)],TblPurchases[BatchID],TblOutcomes[[#This Row],[BatchID]]))</f>
        <v>0</v>
      </c>
      <c r="Q3075" s="51">
        <f>IF(COUNTIF(TblPurchases[BatchID],TblOutcomes[[#This Row],[BatchID]])&lt;&gt;1,"n.a.",SUMIFS(TblPurchases[Purchase Date],TblPurchases[BatchID],TblOutcomes[[#This Row],[BatchID]]))</f>
        <v>45192</v>
      </c>
    </row>
    <row r="3076" spans="2:17" x14ac:dyDescent="0.25">
      <c r="B3076" s="2" t="s">
        <v>3881</v>
      </c>
      <c r="C3076" s="2" t="s">
        <v>328</v>
      </c>
      <c r="D3076" s="2" t="s">
        <v>71</v>
      </c>
      <c r="E3076" s="2" t="s">
        <v>4647</v>
      </c>
      <c r="F3076" s="2">
        <v>52</v>
      </c>
      <c r="G3076" s="2">
        <v>52</v>
      </c>
      <c r="H3076" s="2">
        <v>0</v>
      </c>
      <c r="I3076" s="1">
        <v>0</v>
      </c>
      <c r="J3076" s="26">
        <v>45258</v>
      </c>
      <c r="K3076" s="22">
        <v>52000</v>
      </c>
      <c r="L3076" s="18">
        <v>55.61</v>
      </c>
      <c r="M3076" s="22">
        <v>33800</v>
      </c>
      <c r="N3076" s="22">
        <v>18200</v>
      </c>
      <c r="O3076" s="18">
        <v>19.47</v>
      </c>
      <c r="P3076" s="52">
        <f>IF(COUNTIF(TblPurchases[BatchID],TblOutcomes[[#This Row],[BatchID]])&lt;&gt;1,"n.a.",TblOutcomes[[#This Row],[Qty Wasted]]*SUMIFS(TblPurchases[Unit Cost (CLP)],TblPurchases[BatchID],TblOutcomes[[#This Row],[BatchID]]))</f>
        <v>0</v>
      </c>
      <c r="Q3076" s="51">
        <f>IF(COUNTIF(TblPurchases[BatchID],TblOutcomes[[#This Row],[BatchID]])&lt;&gt;1,"n.a.",SUMIFS(TblPurchases[Purchase Date],TblPurchases[BatchID],TblOutcomes[[#This Row],[BatchID]]))</f>
        <v>45220</v>
      </c>
    </row>
    <row r="3077" spans="2:17" x14ac:dyDescent="0.25">
      <c r="B3077" s="2" t="s">
        <v>3882</v>
      </c>
      <c r="C3077" s="2" t="s">
        <v>328</v>
      </c>
      <c r="D3077" s="2" t="s">
        <v>71</v>
      </c>
      <c r="E3077" s="2" t="s">
        <v>4647</v>
      </c>
      <c r="F3077" s="2">
        <v>54</v>
      </c>
      <c r="G3077" s="2">
        <v>54</v>
      </c>
      <c r="H3077" s="2">
        <v>0</v>
      </c>
      <c r="I3077" s="1">
        <v>0</v>
      </c>
      <c r="J3077" s="26">
        <v>45277</v>
      </c>
      <c r="K3077" s="22">
        <v>54000</v>
      </c>
      <c r="L3077" s="18">
        <v>57.75</v>
      </c>
      <c r="M3077" s="22">
        <v>35100</v>
      </c>
      <c r="N3077" s="22">
        <v>18900</v>
      </c>
      <c r="O3077" s="18">
        <v>20.21</v>
      </c>
      <c r="P3077" s="52">
        <f>IF(COUNTIF(TblPurchases[BatchID],TblOutcomes[[#This Row],[BatchID]])&lt;&gt;1,"n.a.",TblOutcomes[[#This Row],[Qty Wasted]]*SUMIFS(TblPurchases[Unit Cost (CLP)],TblPurchases[BatchID],TblOutcomes[[#This Row],[BatchID]]))</f>
        <v>0</v>
      </c>
      <c r="Q3077" s="51">
        <f>IF(COUNTIF(TblPurchases[BatchID],TblOutcomes[[#This Row],[BatchID]])&lt;&gt;1,"n.a.",SUMIFS(TblPurchases[Purchase Date],TblPurchases[BatchID],TblOutcomes[[#This Row],[BatchID]]))</f>
        <v>45252</v>
      </c>
    </row>
    <row r="3078" spans="2:17" x14ac:dyDescent="0.25">
      <c r="B3078" s="2" t="s">
        <v>3883</v>
      </c>
      <c r="C3078" s="2" t="s">
        <v>328</v>
      </c>
      <c r="D3078" s="2" t="s">
        <v>71</v>
      </c>
      <c r="E3078" s="2" t="s">
        <v>4646</v>
      </c>
      <c r="F3078" s="2">
        <v>57</v>
      </c>
      <c r="G3078" s="2">
        <v>55.35</v>
      </c>
      <c r="H3078" s="2">
        <v>1.65</v>
      </c>
      <c r="I3078" s="1">
        <v>2.9</v>
      </c>
      <c r="J3078" s="26">
        <v>45586</v>
      </c>
      <c r="K3078" s="22">
        <v>55350</v>
      </c>
      <c r="L3078" s="18">
        <v>59.2</v>
      </c>
      <c r="M3078" s="22">
        <v>37050</v>
      </c>
      <c r="N3078" s="22">
        <v>18300</v>
      </c>
      <c r="O3078" s="18">
        <v>19.57</v>
      </c>
      <c r="P3078" s="52">
        <f>IF(COUNTIF(TblPurchases[BatchID],TblOutcomes[[#This Row],[BatchID]])&lt;&gt;1,"n.a.",TblOutcomes[[#This Row],[Qty Wasted]]*SUMIFS(TblPurchases[Unit Cost (CLP)],TblPurchases[BatchID],TblOutcomes[[#This Row],[BatchID]]))</f>
        <v>1072.5</v>
      </c>
      <c r="Q3078" s="51">
        <f>IF(COUNTIF(TblPurchases[BatchID],TblOutcomes[[#This Row],[BatchID]])&lt;&gt;1,"n.a.",SUMIFS(TblPurchases[Purchase Date],TblPurchases[BatchID],TblOutcomes[[#This Row],[BatchID]]))</f>
        <v>45286</v>
      </c>
    </row>
    <row r="3079" spans="2:17" x14ac:dyDescent="0.25">
      <c r="B3079" s="2" t="s">
        <v>3884</v>
      </c>
      <c r="C3079" s="2" t="s">
        <v>328</v>
      </c>
      <c r="D3079" s="2" t="s">
        <v>71</v>
      </c>
      <c r="E3079" s="2" t="s">
        <v>4646</v>
      </c>
      <c r="F3079" s="2">
        <v>57</v>
      </c>
      <c r="G3079" s="2">
        <v>55.92</v>
      </c>
      <c r="H3079" s="2">
        <v>1.08</v>
      </c>
      <c r="I3079" s="1">
        <v>1.9</v>
      </c>
      <c r="J3079" s="26">
        <v>45624</v>
      </c>
      <c r="K3079" s="22">
        <v>55920</v>
      </c>
      <c r="L3079" s="18">
        <v>59.81</v>
      </c>
      <c r="M3079" s="22">
        <v>37050</v>
      </c>
      <c r="N3079" s="22">
        <v>18870</v>
      </c>
      <c r="O3079" s="18">
        <v>20.18</v>
      </c>
      <c r="P3079" s="52">
        <f>IF(COUNTIF(TblPurchases[BatchID],TblOutcomes[[#This Row],[BatchID]])&lt;&gt;1,"n.a.",TblOutcomes[[#This Row],[Qty Wasted]]*SUMIFS(TblPurchases[Unit Cost (CLP)],TblPurchases[BatchID],TblOutcomes[[#This Row],[BatchID]]))</f>
        <v>702</v>
      </c>
      <c r="Q3079" s="51">
        <f>IF(COUNTIF(TblPurchases[BatchID],TblOutcomes[[#This Row],[BatchID]])&lt;&gt;1,"n.a.",SUMIFS(TblPurchases[Purchase Date],TblPurchases[BatchID],TblOutcomes[[#This Row],[BatchID]]))</f>
        <v>45324</v>
      </c>
    </row>
    <row r="3080" spans="2:17" x14ac:dyDescent="0.25">
      <c r="B3080" s="2" t="s">
        <v>3885</v>
      </c>
      <c r="C3080" s="2" t="s">
        <v>328</v>
      </c>
      <c r="D3080" s="2" t="s">
        <v>71</v>
      </c>
      <c r="E3080" s="2" t="s">
        <v>4646</v>
      </c>
      <c r="F3080" s="2">
        <v>53</v>
      </c>
      <c r="G3080" s="2">
        <v>50.09</v>
      </c>
      <c r="H3080" s="2">
        <v>2.92</v>
      </c>
      <c r="I3080" s="1">
        <v>5.5</v>
      </c>
      <c r="J3080" s="26">
        <v>45661</v>
      </c>
      <c r="K3080" s="22">
        <v>50090</v>
      </c>
      <c r="L3080" s="18">
        <v>53.57</v>
      </c>
      <c r="M3080" s="22">
        <v>34450</v>
      </c>
      <c r="N3080" s="22">
        <v>15640</v>
      </c>
      <c r="O3080" s="18">
        <v>16.73</v>
      </c>
      <c r="P3080" s="52">
        <f>IF(COUNTIF(TblPurchases[BatchID],TblOutcomes[[#This Row],[BatchID]])&lt;&gt;1,"n.a.",TblOutcomes[[#This Row],[Qty Wasted]]*SUMIFS(TblPurchases[Unit Cost (CLP)],TblPurchases[BatchID],TblOutcomes[[#This Row],[BatchID]]))</f>
        <v>1898</v>
      </c>
      <c r="Q3080" s="51">
        <f>IF(COUNTIF(TblPurchases[BatchID],TblOutcomes[[#This Row],[BatchID]])&lt;&gt;1,"n.a.",SUMIFS(TblPurchases[Purchase Date],TblPurchases[BatchID],TblOutcomes[[#This Row],[BatchID]]))</f>
        <v>45361</v>
      </c>
    </row>
    <row r="3081" spans="2:17" x14ac:dyDescent="0.25">
      <c r="B3081" s="2" t="s">
        <v>3886</v>
      </c>
      <c r="C3081" s="2" t="s">
        <v>328</v>
      </c>
      <c r="D3081" s="2" t="s">
        <v>71</v>
      </c>
      <c r="E3081" s="2" t="s">
        <v>4647</v>
      </c>
      <c r="F3081" s="2">
        <v>48</v>
      </c>
      <c r="G3081" s="2">
        <v>48</v>
      </c>
      <c r="H3081" s="2">
        <v>0</v>
      </c>
      <c r="I3081" s="1">
        <v>0</v>
      </c>
      <c r="J3081" s="26">
        <v>45448</v>
      </c>
      <c r="K3081" s="22">
        <v>48000</v>
      </c>
      <c r="L3081" s="18">
        <v>51.34</v>
      </c>
      <c r="M3081" s="22">
        <v>31200</v>
      </c>
      <c r="N3081" s="22">
        <v>16800</v>
      </c>
      <c r="O3081" s="18">
        <v>17.97</v>
      </c>
      <c r="P3081" s="52">
        <f>IF(COUNTIF(TblPurchases[BatchID],TblOutcomes[[#This Row],[BatchID]])&lt;&gt;1,"n.a.",TblOutcomes[[#This Row],[Qty Wasted]]*SUMIFS(TblPurchases[Unit Cost (CLP)],TblPurchases[BatchID],TblOutcomes[[#This Row],[BatchID]]))</f>
        <v>0</v>
      </c>
      <c r="Q3081" s="51">
        <f>IF(COUNTIF(TblPurchases[BatchID],TblOutcomes[[#This Row],[BatchID]])&lt;&gt;1,"n.a.",SUMIFS(TblPurchases[Purchase Date],TblPurchases[BatchID],TblOutcomes[[#This Row],[BatchID]]))</f>
        <v>45403</v>
      </c>
    </row>
    <row r="3082" spans="2:17" x14ac:dyDescent="0.25">
      <c r="B3082" s="2" t="s">
        <v>3887</v>
      </c>
      <c r="C3082" s="2" t="s">
        <v>328</v>
      </c>
      <c r="D3082" s="2" t="s">
        <v>71</v>
      </c>
      <c r="E3082" s="2" t="s">
        <v>4646</v>
      </c>
      <c r="F3082" s="2">
        <v>51</v>
      </c>
      <c r="G3082" s="2">
        <v>49.62</v>
      </c>
      <c r="H3082" s="2">
        <v>1.38</v>
      </c>
      <c r="I3082" s="1">
        <v>2.7</v>
      </c>
      <c r="J3082" s="26">
        <v>45732</v>
      </c>
      <c r="K3082" s="22">
        <v>49620</v>
      </c>
      <c r="L3082" s="18">
        <v>53.07</v>
      </c>
      <c r="M3082" s="22">
        <v>33150</v>
      </c>
      <c r="N3082" s="22">
        <v>16470</v>
      </c>
      <c r="O3082" s="18">
        <v>17.61</v>
      </c>
      <c r="P3082" s="52">
        <f>IF(COUNTIF(TblPurchases[BatchID],TblOutcomes[[#This Row],[BatchID]])&lt;&gt;1,"n.a.",TblOutcomes[[#This Row],[Qty Wasted]]*SUMIFS(TblPurchases[Unit Cost (CLP)],TblPurchases[BatchID],TblOutcomes[[#This Row],[BatchID]]))</f>
        <v>896.99999999999989</v>
      </c>
      <c r="Q3082" s="51">
        <f>IF(COUNTIF(TblPurchases[BatchID],TblOutcomes[[#This Row],[BatchID]])&lt;&gt;1,"n.a.",SUMIFS(TblPurchases[Purchase Date],TblPurchases[BatchID],TblOutcomes[[#This Row],[BatchID]]))</f>
        <v>45432</v>
      </c>
    </row>
    <row r="3083" spans="2:17" x14ac:dyDescent="0.25">
      <c r="B3083" s="2" t="s">
        <v>3888</v>
      </c>
      <c r="C3083" s="2" t="s">
        <v>328</v>
      </c>
      <c r="D3083" s="2" t="s">
        <v>71</v>
      </c>
      <c r="E3083" s="2" t="s">
        <v>4646</v>
      </c>
      <c r="F3083" s="2">
        <v>54</v>
      </c>
      <c r="G3083" s="2">
        <v>53.14</v>
      </c>
      <c r="H3083" s="2">
        <v>0.86</v>
      </c>
      <c r="I3083" s="1">
        <v>1.6</v>
      </c>
      <c r="J3083" s="26">
        <v>45761</v>
      </c>
      <c r="K3083" s="22">
        <v>53140</v>
      </c>
      <c r="L3083" s="18">
        <v>56.83</v>
      </c>
      <c r="M3083" s="22">
        <v>35100</v>
      </c>
      <c r="N3083" s="22">
        <v>18040</v>
      </c>
      <c r="O3083" s="18">
        <v>19.29</v>
      </c>
      <c r="P3083" s="52">
        <f>IF(COUNTIF(TblPurchases[BatchID],TblOutcomes[[#This Row],[BatchID]])&lt;&gt;1,"n.a.",TblOutcomes[[#This Row],[Qty Wasted]]*SUMIFS(TblPurchases[Unit Cost (CLP)],TblPurchases[BatchID],TblOutcomes[[#This Row],[BatchID]]))</f>
        <v>559</v>
      </c>
      <c r="Q3083" s="51">
        <f>IF(COUNTIF(TblPurchases[BatchID],TblOutcomes[[#This Row],[BatchID]])&lt;&gt;1,"n.a.",SUMIFS(TblPurchases[Purchase Date],TblPurchases[BatchID],TblOutcomes[[#This Row],[BatchID]]))</f>
        <v>45461</v>
      </c>
    </row>
    <row r="3084" spans="2:17" x14ac:dyDescent="0.25">
      <c r="B3084" s="2" t="s">
        <v>3889</v>
      </c>
      <c r="C3084" s="2" t="s">
        <v>328</v>
      </c>
      <c r="D3084" s="2" t="s">
        <v>71</v>
      </c>
      <c r="E3084" s="2" t="s">
        <v>4646</v>
      </c>
      <c r="F3084" s="2">
        <v>52</v>
      </c>
      <c r="G3084" s="2">
        <v>49.61</v>
      </c>
      <c r="H3084" s="2">
        <v>2.39</v>
      </c>
      <c r="I3084" s="1">
        <v>4.5999999999999996</v>
      </c>
      <c r="J3084" s="26">
        <v>45796</v>
      </c>
      <c r="K3084" s="22">
        <v>49610</v>
      </c>
      <c r="L3084" s="18">
        <v>53.06</v>
      </c>
      <c r="M3084" s="22">
        <v>33800</v>
      </c>
      <c r="N3084" s="22">
        <v>15810</v>
      </c>
      <c r="O3084" s="18">
        <v>16.91</v>
      </c>
      <c r="P3084" s="52">
        <f>IF(COUNTIF(TblPurchases[BatchID],TblOutcomes[[#This Row],[BatchID]])&lt;&gt;1,"n.a.",TblOutcomes[[#This Row],[Qty Wasted]]*SUMIFS(TblPurchases[Unit Cost (CLP)],TblPurchases[BatchID],TblOutcomes[[#This Row],[BatchID]]))</f>
        <v>1553.5</v>
      </c>
      <c r="Q3084" s="51">
        <f>IF(COUNTIF(TblPurchases[BatchID],TblOutcomes[[#This Row],[BatchID]])&lt;&gt;1,"n.a.",SUMIFS(TblPurchases[Purchase Date],TblPurchases[BatchID],TblOutcomes[[#This Row],[BatchID]]))</f>
        <v>45496</v>
      </c>
    </row>
    <row r="3085" spans="2:17" x14ac:dyDescent="0.25">
      <c r="B3085" s="2" t="s">
        <v>3890</v>
      </c>
      <c r="C3085" s="2" t="s">
        <v>328</v>
      </c>
      <c r="D3085" s="2" t="s">
        <v>71</v>
      </c>
      <c r="E3085" s="2" t="s">
        <v>4646</v>
      </c>
      <c r="F3085" s="2">
        <v>43</v>
      </c>
      <c r="G3085" s="2">
        <v>40.81</v>
      </c>
      <c r="H3085" s="2">
        <v>2.19</v>
      </c>
      <c r="I3085" s="1">
        <v>5.0999999999999996</v>
      </c>
      <c r="J3085" s="26">
        <v>45828</v>
      </c>
      <c r="K3085" s="22">
        <v>40810</v>
      </c>
      <c r="L3085" s="18">
        <v>43.65</v>
      </c>
      <c r="M3085" s="22">
        <v>27950</v>
      </c>
      <c r="N3085" s="22">
        <v>12860</v>
      </c>
      <c r="O3085" s="18">
        <v>13.75</v>
      </c>
      <c r="P3085" s="52">
        <f>IF(COUNTIF(TblPurchases[BatchID],TblOutcomes[[#This Row],[BatchID]])&lt;&gt;1,"n.a.",TblOutcomes[[#This Row],[Qty Wasted]]*SUMIFS(TblPurchases[Unit Cost (CLP)],TblPurchases[BatchID],TblOutcomes[[#This Row],[BatchID]]))</f>
        <v>1423.5</v>
      </c>
      <c r="Q3085" s="51">
        <f>IF(COUNTIF(TblPurchases[BatchID],TblOutcomes[[#This Row],[BatchID]])&lt;&gt;1,"n.a.",SUMIFS(TblPurchases[Purchase Date],TblPurchases[BatchID],TblOutcomes[[#This Row],[BatchID]]))</f>
        <v>45528</v>
      </c>
    </row>
    <row r="3086" spans="2:17" x14ac:dyDescent="0.25">
      <c r="B3086" s="2" t="s">
        <v>3891</v>
      </c>
      <c r="C3086" s="2" t="s">
        <v>328</v>
      </c>
      <c r="D3086" s="2" t="s">
        <v>71</v>
      </c>
      <c r="E3086" s="2" t="s">
        <v>4647</v>
      </c>
      <c r="F3086" s="2">
        <v>54</v>
      </c>
      <c r="G3086" s="2">
        <v>54</v>
      </c>
      <c r="H3086" s="2">
        <v>0</v>
      </c>
      <c r="I3086" s="1">
        <v>0</v>
      </c>
      <c r="J3086" s="26">
        <v>45602</v>
      </c>
      <c r="K3086" s="22">
        <v>54000</v>
      </c>
      <c r="L3086" s="18">
        <v>57.75</v>
      </c>
      <c r="M3086" s="22">
        <v>35100</v>
      </c>
      <c r="N3086" s="22">
        <v>18900</v>
      </c>
      <c r="O3086" s="18">
        <v>20.21</v>
      </c>
      <c r="P3086" s="52">
        <f>IF(COUNTIF(TblPurchases[BatchID],TblOutcomes[[#This Row],[BatchID]])&lt;&gt;1,"n.a.",TblOutcomes[[#This Row],[Qty Wasted]]*SUMIFS(TblPurchases[Unit Cost (CLP)],TblPurchases[BatchID],TblOutcomes[[#This Row],[BatchID]]))</f>
        <v>0</v>
      </c>
      <c r="Q3086" s="51">
        <f>IF(COUNTIF(TblPurchases[BatchID],TblOutcomes[[#This Row],[BatchID]])&lt;&gt;1,"n.a.",SUMIFS(TblPurchases[Purchase Date],TblPurchases[BatchID],TblOutcomes[[#This Row],[BatchID]]))</f>
        <v>45566</v>
      </c>
    </row>
    <row r="3087" spans="2:17" x14ac:dyDescent="0.25">
      <c r="B3087" s="2" t="s">
        <v>3892</v>
      </c>
      <c r="C3087" s="2" t="s">
        <v>328</v>
      </c>
      <c r="D3087" s="2" t="s">
        <v>71</v>
      </c>
      <c r="E3087" s="2" t="s">
        <v>4646</v>
      </c>
      <c r="F3087" s="2">
        <v>55</v>
      </c>
      <c r="G3087" s="2">
        <v>52.91</v>
      </c>
      <c r="H3087" s="2">
        <v>2.09</v>
      </c>
      <c r="I3087" s="1">
        <v>3.8</v>
      </c>
      <c r="J3087" s="26">
        <v>45893</v>
      </c>
      <c r="K3087" s="22">
        <v>52910</v>
      </c>
      <c r="L3087" s="18">
        <v>56.59</v>
      </c>
      <c r="M3087" s="22">
        <v>35750</v>
      </c>
      <c r="N3087" s="22">
        <v>17160</v>
      </c>
      <c r="O3087" s="18">
        <v>18.350000000000001</v>
      </c>
      <c r="P3087" s="52">
        <f>IF(COUNTIF(TblPurchases[BatchID],TblOutcomes[[#This Row],[BatchID]])&lt;&gt;1,"n.a.",TblOutcomes[[#This Row],[Qty Wasted]]*SUMIFS(TblPurchases[Unit Cost (CLP)],TblPurchases[BatchID],TblOutcomes[[#This Row],[BatchID]]))</f>
        <v>1358.5</v>
      </c>
      <c r="Q3087" s="51">
        <f>IF(COUNTIF(TblPurchases[BatchID],TblOutcomes[[#This Row],[BatchID]])&lt;&gt;1,"n.a.",SUMIFS(TblPurchases[Purchase Date],TblPurchases[BatchID],TblOutcomes[[#This Row],[BatchID]]))</f>
        <v>45593</v>
      </c>
    </row>
    <row r="3088" spans="2:17" x14ac:dyDescent="0.25">
      <c r="B3088" s="2" t="s">
        <v>3893</v>
      </c>
      <c r="C3088" s="2" t="s">
        <v>328</v>
      </c>
      <c r="D3088" s="2" t="s">
        <v>71</v>
      </c>
      <c r="E3088" s="2" t="s">
        <v>4646</v>
      </c>
      <c r="F3088" s="2">
        <v>49</v>
      </c>
      <c r="G3088" s="2">
        <v>47.68</v>
      </c>
      <c r="H3088" s="2">
        <v>1.32</v>
      </c>
      <c r="I3088" s="1">
        <v>2.7</v>
      </c>
      <c r="J3088" s="26">
        <v>45924</v>
      </c>
      <c r="K3088" s="22">
        <v>47680</v>
      </c>
      <c r="L3088" s="18">
        <v>50.99</v>
      </c>
      <c r="M3088" s="22">
        <v>31850</v>
      </c>
      <c r="N3088" s="22">
        <v>15830</v>
      </c>
      <c r="O3088" s="18">
        <v>16.93</v>
      </c>
      <c r="P3088" s="52">
        <f>IF(COUNTIF(TblPurchases[BatchID],TblOutcomes[[#This Row],[BatchID]])&lt;&gt;1,"n.a.",TblOutcomes[[#This Row],[Qty Wasted]]*SUMIFS(TblPurchases[Unit Cost (CLP)],TblPurchases[BatchID],TblOutcomes[[#This Row],[BatchID]]))</f>
        <v>858</v>
      </c>
      <c r="Q3088" s="51">
        <f>IF(COUNTIF(TblPurchases[BatchID],TblOutcomes[[#This Row],[BatchID]])&lt;&gt;1,"n.a.",SUMIFS(TblPurchases[Purchase Date],TblPurchases[BatchID],TblOutcomes[[#This Row],[BatchID]]))</f>
        <v>45624</v>
      </c>
    </row>
    <row r="3089" spans="2:17" x14ac:dyDescent="0.25">
      <c r="B3089" s="2" t="s">
        <v>3894</v>
      </c>
      <c r="C3089" s="2" t="s">
        <v>328</v>
      </c>
      <c r="D3089" s="2" t="s">
        <v>71</v>
      </c>
      <c r="E3089" s="2" t="s">
        <v>4647</v>
      </c>
      <c r="F3089" s="2">
        <v>62</v>
      </c>
      <c r="G3089" s="2">
        <v>62</v>
      </c>
      <c r="H3089" s="2">
        <v>0</v>
      </c>
      <c r="I3089" s="1">
        <v>0</v>
      </c>
      <c r="J3089" s="26">
        <v>45688</v>
      </c>
      <c r="K3089" s="22">
        <v>62000</v>
      </c>
      <c r="L3089" s="18">
        <v>66.31</v>
      </c>
      <c r="M3089" s="22">
        <v>40300</v>
      </c>
      <c r="N3089" s="22">
        <v>21700</v>
      </c>
      <c r="O3089" s="18">
        <v>23.21</v>
      </c>
      <c r="P3089" s="52">
        <f>IF(COUNTIF(TblPurchases[BatchID],TblOutcomes[[#This Row],[BatchID]])&lt;&gt;1,"n.a.",TblOutcomes[[#This Row],[Qty Wasted]]*SUMIFS(TblPurchases[Unit Cost (CLP)],TblPurchases[BatchID],TblOutcomes[[#This Row],[BatchID]]))</f>
        <v>0</v>
      </c>
      <c r="Q3089" s="51">
        <f>IF(COUNTIF(TblPurchases[BatchID],TblOutcomes[[#This Row],[BatchID]])&lt;&gt;1,"n.a.",SUMIFS(TblPurchases[Purchase Date],TblPurchases[BatchID],TblOutcomes[[#This Row],[BatchID]]))</f>
        <v>45656</v>
      </c>
    </row>
    <row r="3090" spans="2:17" x14ac:dyDescent="0.25">
      <c r="B3090" s="2" t="s">
        <v>3895</v>
      </c>
      <c r="C3090" s="2" t="s">
        <v>328</v>
      </c>
      <c r="D3090" s="2" t="s">
        <v>71</v>
      </c>
      <c r="E3090" s="2" t="s">
        <v>4646</v>
      </c>
      <c r="F3090" s="2">
        <v>48</v>
      </c>
      <c r="G3090" s="2">
        <v>47.95</v>
      </c>
      <c r="H3090" s="2">
        <v>0.05</v>
      </c>
      <c r="I3090" s="1">
        <v>0.1</v>
      </c>
      <c r="J3090" s="26">
        <v>45984</v>
      </c>
      <c r="K3090" s="22">
        <v>47950</v>
      </c>
      <c r="L3090" s="18">
        <v>51.28</v>
      </c>
      <c r="M3090" s="22">
        <v>36000</v>
      </c>
      <c r="N3090" s="22">
        <v>11950</v>
      </c>
      <c r="O3090" s="18">
        <v>12.78</v>
      </c>
      <c r="P3090" s="52">
        <f>IF(COUNTIF(TblPurchases[BatchID],TblOutcomes[[#This Row],[BatchID]])&lt;&gt;1,"n.a.",TblOutcomes[[#This Row],[Qty Wasted]]*SUMIFS(TblPurchases[Unit Cost (CLP)],TblPurchases[BatchID],TblOutcomes[[#This Row],[BatchID]]))</f>
        <v>37.5</v>
      </c>
      <c r="Q3090" s="51">
        <f>IF(COUNTIF(TblPurchases[BatchID],TblOutcomes[[#This Row],[BatchID]])&lt;&gt;1,"n.a.",SUMIFS(TblPurchases[Purchase Date],TblPurchases[BatchID],TblOutcomes[[#This Row],[BatchID]]))</f>
        <v>45684</v>
      </c>
    </row>
    <row r="3091" spans="2:17" x14ac:dyDescent="0.25">
      <c r="B3091" s="2" t="s">
        <v>3896</v>
      </c>
      <c r="C3091" s="2" t="s">
        <v>328</v>
      </c>
      <c r="D3091" s="2" t="s">
        <v>71</v>
      </c>
      <c r="E3091" s="2" t="s">
        <v>4647</v>
      </c>
      <c r="F3091" s="2">
        <v>47</v>
      </c>
      <c r="G3091" s="2">
        <v>47</v>
      </c>
      <c r="H3091" s="2">
        <v>0</v>
      </c>
      <c r="I3091" s="1">
        <v>0</v>
      </c>
      <c r="J3091" s="26">
        <v>45769</v>
      </c>
      <c r="K3091" s="22">
        <v>47000</v>
      </c>
      <c r="L3091" s="18">
        <v>50.27</v>
      </c>
      <c r="M3091" s="22">
        <v>30550</v>
      </c>
      <c r="N3091" s="22">
        <v>16450</v>
      </c>
      <c r="O3091" s="18">
        <v>17.59</v>
      </c>
      <c r="P3091" s="52">
        <f>IF(COUNTIF(TblPurchases[BatchID],TblOutcomes[[#This Row],[BatchID]])&lt;&gt;1,"n.a.",TblOutcomes[[#This Row],[Qty Wasted]]*SUMIFS(TblPurchases[Unit Cost (CLP)],TblPurchases[BatchID],TblOutcomes[[#This Row],[BatchID]]))</f>
        <v>0</v>
      </c>
      <c r="Q3091" s="51">
        <f>IF(COUNTIF(TblPurchases[BatchID],TblOutcomes[[#This Row],[BatchID]])&lt;&gt;1,"n.a.",SUMIFS(TblPurchases[Purchase Date],TblPurchases[BatchID],TblOutcomes[[#This Row],[BatchID]]))</f>
        <v>45724</v>
      </c>
    </row>
    <row r="3092" spans="2:17" x14ac:dyDescent="0.25">
      <c r="B3092" s="2" t="s">
        <v>3897</v>
      </c>
      <c r="C3092" s="2" t="s">
        <v>328</v>
      </c>
      <c r="D3092" s="2" t="s">
        <v>71</v>
      </c>
      <c r="E3092" s="2" t="s">
        <v>4647</v>
      </c>
      <c r="F3092" s="2">
        <v>62</v>
      </c>
      <c r="G3092" s="2">
        <v>62</v>
      </c>
      <c r="H3092" s="2">
        <v>0</v>
      </c>
      <c r="I3092" s="1">
        <v>0</v>
      </c>
      <c r="J3092" s="26">
        <v>45794</v>
      </c>
      <c r="K3092" s="22">
        <v>62000</v>
      </c>
      <c r="L3092" s="18">
        <v>66.31</v>
      </c>
      <c r="M3092" s="22">
        <v>40300</v>
      </c>
      <c r="N3092" s="22">
        <v>21700</v>
      </c>
      <c r="O3092" s="18">
        <v>23.21</v>
      </c>
      <c r="P3092" s="52">
        <f>IF(COUNTIF(TblPurchases[BatchID],TblOutcomes[[#This Row],[BatchID]])&lt;&gt;1,"n.a.",TblOutcomes[[#This Row],[Qty Wasted]]*SUMIFS(TblPurchases[Unit Cost (CLP)],TblPurchases[BatchID],TblOutcomes[[#This Row],[BatchID]]))</f>
        <v>0</v>
      </c>
      <c r="Q3092" s="51">
        <f>IF(COUNTIF(TblPurchases[BatchID],TblOutcomes[[#This Row],[BatchID]])&lt;&gt;1,"n.a.",SUMIFS(TblPurchases[Purchase Date],TblPurchases[BatchID],TblOutcomes[[#This Row],[BatchID]]))</f>
        <v>45763</v>
      </c>
    </row>
    <row r="3093" spans="2:17" x14ac:dyDescent="0.25">
      <c r="B3093" s="2" t="s">
        <v>3898</v>
      </c>
      <c r="C3093" s="2" t="s">
        <v>328</v>
      </c>
      <c r="D3093" s="2" t="s">
        <v>71</v>
      </c>
      <c r="E3093" s="2" t="s">
        <v>4646</v>
      </c>
      <c r="F3093" s="2">
        <v>48</v>
      </c>
      <c r="G3093" s="2">
        <v>46.18</v>
      </c>
      <c r="H3093" s="2">
        <v>1.82</v>
      </c>
      <c r="I3093" s="1">
        <v>3.8</v>
      </c>
      <c r="J3093" s="26">
        <v>46101</v>
      </c>
      <c r="K3093" s="22">
        <v>46180</v>
      </c>
      <c r="L3093" s="18">
        <v>49.39</v>
      </c>
      <c r="M3093" s="22">
        <v>31200</v>
      </c>
      <c r="N3093" s="22">
        <v>14980</v>
      </c>
      <c r="O3093" s="18">
        <v>16.02</v>
      </c>
      <c r="P3093" s="52">
        <f>IF(COUNTIF(TblPurchases[BatchID],TblOutcomes[[#This Row],[BatchID]])&lt;&gt;1,"n.a.",TblOutcomes[[#This Row],[Qty Wasted]]*SUMIFS(TblPurchases[Unit Cost (CLP)],TblPurchases[BatchID],TblOutcomes[[#This Row],[BatchID]]))</f>
        <v>1183</v>
      </c>
      <c r="Q3093" s="51">
        <f>IF(COUNTIF(TblPurchases[BatchID],TblOutcomes[[#This Row],[BatchID]])&lt;&gt;1,"n.a.",SUMIFS(TblPurchases[Purchase Date],TblPurchases[BatchID],TblOutcomes[[#This Row],[BatchID]]))</f>
        <v>45801</v>
      </c>
    </row>
    <row r="3094" spans="2:17" x14ac:dyDescent="0.25">
      <c r="B3094" s="2" t="s">
        <v>3899</v>
      </c>
      <c r="C3094" s="2" t="s">
        <v>330</v>
      </c>
      <c r="D3094" s="2" t="s">
        <v>71</v>
      </c>
      <c r="E3094" s="2" t="s">
        <v>4646</v>
      </c>
      <c r="F3094" s="2">
        <v>49</v>
      </c>
      <c r="G3094" s="2">
        <v>47.38</v>
      </c>
      <c r="H3094" s="2">
        <v>1.62</v>
      </c>
      <c r="I3094" s="1">
        <v>3.3</v>
      </c>
      <c r="J3094" s="26">
        <v>45411</v>
      </c>
      <c r="K3094" s="22">
        <v>47380</v>
      </c>
      <c r="L3094" s="18">
        <v>50.67</v>
      </c>
      <c r="M3094" s="22">
        <v>34300</v>
      </c>
      <c r="N3094" s="22">
        <v>13080</v>
      </c>
      <c r="O3094" s="18">
        <v>13.99</v>
      </c>
      <c r="P3094" s="52">
        <f>IF(COUNTIF(TblPurchases[BatchID],TblOutcomes[[#This Row],[BatchID]])&lt;&gt;1,"n.a.",TblOutcomes[[#This Row],[Qty Wasted]]*SUMIFS(TblPurchases[Unit Cost (CLP)],TblPurchases[BatchID],TblOutcomes[[#This Row],[BatchID]]))</f>
        <v>1134</v>
      </c>
      <c r="Q3094" s="51">
        <f>IF(COUNTIF(TblPurchases[BatchID],TblOutcomes[[#This Row],[BatchID]])&lt;&gt;1,"n.a.",SUMIFS(TblPurchases[Purchase Date],TblPurchases[BatchID],TblOutcomes[[#This Row],[BatchID]]))</f>
        <v>45111</v>
      </c>
    </row>
    <row r="3095" spans="2:17" x14ac:dyDescent="0.25">
      <c r="B3095" s="2" t="s">
        <v>3900</v>
      </c>
      <c r="C3095" s="2" t="s">
        <v>330</v>
      </c>
      <c r="D3095" s="2" t="s">
        <v>71</v>
      </c>
      <c r="E3095" s="2" t="s">
        <v>4647</v>
      </c>
      <c r="F3095" s="2">
        <v>54</v>
      </c>
      <c r="G3095" s="2">
        <v>54</v>
      </c>
      <c r="H3095" s="2">
        <v>0</v>
      </c>
      <c r="I3095" s="1">
        <v>0</v>
      </c>
      <c r="J3095" s="26">
        <v>45165</v>
      </c>
      <c r="K3095" s="22">
        <v>54000</v>
      </c>
      <c r="L3095" s="18">
        <v>57.75</v>
      </c>
      <c r="M3095" s="22">
        <v>37800</v>
      </c>
      <c r="N3095" s="22">
        <v>16200</v>
      </c>
      <c r="O3095" s="18">
        <v>17.329999999999998</v>
      </c>
      <c r="P3095" s="52">
        <f>IF(COUNTIF(TblPurchases[BatchID],TblOutcomes[[#This Row],[BatchID]])&lt;&gt;1,"n.a.",TblOutcomes[[#This Row],[Qty Wasted]]*SUMIFS(TblPurchases[Unit Cost (CLP)],TblPurchases[BatchID],TblOutcomes[[#This Row],[BatchID]]))</f>
        <v>0</v>
      </c>
      <c r="Q3095" s="51">
        <f>IF(COUNTIF(TblPurchases[BatchID],TblOutcomes[[#This Row],[BatchID]])&lt;&gt;1,"n.a.",SUMIFS(TblPurchases[Purchase Date],TblPurchases[BatchID],TblOutcomes[[#This Row],[BatchID]]))</f>
        <v>45147</v>
      </c>
    </row>
    <row r="3096" spans="2:17" x14ac:dyDescent="0.25">
      <c r="B3096" s="2" t="s">
        <v>3901</v>
      </c>
      <c r="C3096" s="2" t="s">
        <v>330</v>
      </c>
      <c r="D3096" s="2" t="s">
        <v>71</v>
      </c>
      <c r="E3096" s="2" t="s">
        <v>4647</v>
      </c>
      <c r="F3096" s="2">
        <v>59</v>
      </c>
      <c r="G3096" s="2">
        <v>59</v>
      </c>
      <c r="H3096" s="2">
        <v>0</v>
      </c>
      <c r="I3096" s="1">
        <v>0</v>
      </c>
      <c r="J3096" s="26">
        <v>45194</v>
      </c>
      <c r="K3096" s="22">
        <v>59000</v>
      </c>
      <c r="L3096" s="18">
        <v>63.1</v>
      </c>
      <c r="M3096" s="22">
        <v>41300</v>
      </c>
      <c r="N3096" s="22">
        <v>17700</v>
      </c>
      <c r="O3096" s="18">
        <v>18.93</v>
      </c>
      <c r="P3096" s="52">
        <f>IF(COUNTIF(TblPurchases[BatchID],TblOutcomes[[#This Row],[BatchID]])&lt;&gt;1,"n.a.",TblOutcomes[[#This Row],[Qty Wasted]]*SUMIFS(TblPurchases[Unit Cost (CLP)],TblPurchases[BatchID],TblOutcomes[[#This Row],[BatchID]]))</f>
        <v>0</v>
      </c>
      <c r="Q3096" s="51">
        <f>IF(COUNTIF(TblPurchases[BatchID],TblOutcomes[[#This Row],[BatchID]])&lt;&gt;1,"n.a.",SUMIFS(TblPurchases[Purchase Date],TblPurchases[BatchID],TblOutcomes[[#This Row],[BatchID]]))</f>
        <v>45178</v>
      </c>
    </row>
    <row r="3097" spans="2:17" x14ac:dyDescent="0.25">
      <c r="B3097" s="2" t="s">
        <v>3902</v>
      </c>
      <c r="C3097" s="2" t="s">
        <v>330</v>
      </c>
      <c r="D3097" s="2" t="s">
        <v>71</v>
      </c>
      <c r="E3097" s="2" t="s">
        <v>4647</v>
      </c>
      <c r="F3097" s="2">
        <v>46</v>
      </c>
      <c r="G3097" s="2">
        <v>46</v>
      </c>
      <c r="H3097" s="2">
        <v>0</v>
      </c>
      <c r="I3097" s="1">
        <v>0</v>
      </c>
      <c r="J3097" s="26">
        <v>45221</v>
      </c>
      <c r="K3097" s="22">
        <v>46000</v>
      </c>
      <c r="L3097" s="18">
        <v>49.2</v>
      </c>
      <c r="M3097" s="22">
        <v>32200</v>
      </c>
      <c r="N3097" s="22">
        <v>13800</v>
      </c>
      <c r="O3097" s="18">
        <v>14.76</v>
      </c>
      <c r="P3097" s="52">
        <f>IF(COUNTIF(TblPurchases[BatchID],TblOutcomes[[#This Row],[BatchID]])&lt;&gt;1,"n.a.",TblOutcomes[[#This Row],[Qty Wasted]]*SUMIFS(TblPurchases[Unit Cost (CLP)],TblPurchases[BatchID],TblOutcomes[[#This Row],[BatchID]]))</f>
        <v>0</v>
      </c>
      <c r="Q3097" s="51">
        <f>IF(COUNTIF(TblPurchases[BatchID],TblOutcomes[[#This Row],[BatchID]])&lt;&gt;1,"n.a.",SUMIFS(TblPurchases[Purchase Date],TblPurchases[BatchID],TblOutcomes[[#This Row],[BatchID]]))</f>
        <v>45210</v>
      </c>
    </row>
    <row r="3098" spans="2:17" x14ac:dyDescent="0.25">
      <c r="B3098" s="2" t="s">
        <v>3903</v>
      </c>
      <c r="C3098" s="2" t="s">
        <v>330</v>
      </c>
      <c r="D3098" s="2" t="s">
        <v>71</v>
      </c>
      <c r="E3098" s="2" t="s">
        <v>4646</v>
      </c>
      <c r="F3098" s="2">
        <v>53</v>
      </c>
      <c r="G3098" s="2">
        <v>51.36</v>
      </c>
      <c r="H3098" s="2">
        <v>1.64</v>
      </c>
      <c r="I3098" s="1">
        <v>3.1</v>
      </c>
      <c r="J3098" s="26">
        <v>45542</v>
      </c>
      <c r="K3098" s="22">
        <v>51360</v>
      </c>
      <c r="L3098" s="18">
        <v>54.93</v>
      </c>
      <c r="M3098" s="22">
        <v>37100</v>
      </c>
      <c r="N3098" s="22">
        <v>14260</v>
      </c>
      <c r="O3098" s="18">
        <v>15.25</v>
      </c>
      <c r="P3098" s="52">
        <f>IF(COUNTIF(TblPurchases[BatchID],TblOutcomes[[#This Row],[BatchID]])&lt;&gt;1,"n.a.",TblOutcomes[[#This Row],[Qty Wasted]]*SUMIFS(TblPurchases[Unit Cost (CLP)],TblPurchases[BatchID],TblOutcomes[[#This Row],[BatchID]]))</f>
        <v>1148</v>
      </c>
      <c r="Q3098" s="51">
        <f>IF(COUNTIF(TblPurchases[BatchID],TblOutcomes[[#This Row],[BatchID]])&lt;&gt;1,"n.a.",SUMIFS(TblPurchases[Purchase Date],TblPurchases[BatchID],TblOutcomes[[#This Row],[BatchID]]))</f>
        <v>45242</v>
      </c>
    </row>
    <row r="3099" spans="2:17" x14ac:dyDescent="0.25">
      <c r="B3099" s="2" t="s">
        <v>3904</v>
      </c>
      <c r="C3099" s="2" t="s">
        <v>330</v>
      </c>
      <c r="D3099" s="2" t="s">
        <v>71</v>
      </c>
      <c r="E3099" s="2" t="s">
        <v>4646</v>
      </c>
      <c r="F3099" s="2">
        <v>68</v>
      </c>
      <c r="G3099" s="2">
        <v>65.08</v>
      </c>
      <c r="H3099" s="2">
        <v>2.92</v>
      </c>
      <c r="I3099" s="1">
        <v>4.3</v>
      </c>
      <c r="J3099" s="26">
        <v>45570</v>
      </c>
      <c r="K3099" s="22">
        <v>65080</v>
      </c>
      <c r="L3099" s="18">
        <v>69.599999999999994</v>
      </c>
      <c r="M3099" s="22">
        <v>47600</v>
      </c>
      <c r="N3099" s="22">
        <v>17480</v>
      </c>
      <c r="O3099" s="18">
        <v>18.7</v>
      </c>
      <c r="P3099" s="52">
        <f>IF(COUNTIF(TblPurchases[BatchID],TblOutcomes[[#This Row],[BatchID]])&lt;&gt;1,"n.a.",TblOutcomes[[#This Row],[Qty Wasted]]*SUMIFS(TblPurchases[Unit Cost (CLP)],TblPurchases[BatchID],TblOutcomes[[#This Row],[BatchID]]))</f>
        <v>2044</v>
      </c>
      <c r="Q3099" s="51">
        <f>IF(COUNTIF(TblPurchases[BatchID],TblOutcomes[[#This Row],[BatchID]])&lt;&gt;1,"n.a.",SUMIFS(TblPurchases[Purchase Date],TblPurchases[BatchID],TblOutcomes[[#This Row],[BatchID]]))</f>
        <v>45270</v>
      </c>
    </row>
    <row r="3100" spans="2:17" x14ac:dyDescent="0.25">
      <c r="B3100" s="2" t="s">
        <v>3905</v>
      </c>
      <c r="C3100" s="2" t="s">
        <v>330</v>
      </c>
      <c r="D3100" s="2" t="s">
        <v>71</v>
      </c>
      <c r="E3100" s="2" t="s">
        <v>4646</v>
      </c>
      <c r="F3100" s="2">
        <v>49</v>
      </c>
      <c r="G3100" s="2">
        <v>48.31</v>
      </c>
      <c r="H3100" s="2">
        <v>0.69</v>
      </c>
      <c r="I3100" s="1">
        <v>1.4</v>
      </c>
      <c r="J3100" s="26">
        <v>45606</v>
      </c>
      <c r="K3100" s="22">
        <v>48310</v>
      </c>
      <c r="L3100" s="18">
        <v>51.67</v>
      </c>
      <c r="M3100" s="22">
        <v>34300</v>
      </c>
      <c r="N3100" s="22">
        <v>14010</v>
      </c>
      <c r="O3100" s="18">
        <v>14.98</v>
      </c>
      <c r="P3100" s="52">
        <f>IF(COUNTIF(TblPurchases[BatchID],TblOutcomes[[#This Row],[BatchID]])&lt;&gt;1,"n.a.",TblOutcomes[[#This Row],[Qty Wasted]]*SUMIFS(TblPurchases[Unit Cost (CLP)],TblPurchases[BatchID],TblOutcomes[[#This Row],[BatchID]]))</f>
        <v>482.99999999999994</v>
      </c>
      <c r="Q3100" s="51">
        <f>IF(COUNTIF(TblPurchases[BatchID],TblOutcomes[[#This Row],[BatchID]])&lt;&gt;1,"n.a.",SUMIFS(TblPurchases[Purchase Date],TblPurchases[BatchID],TblOutcomes[[#This Row],[BatchID]]))</f>
        <v>45306</v>
      </c>
    </row>
    <row r="3101" spans="2:17" x14ac:dyDescent="0.25">
      <c r="B3101" s="2" t="s">
        <v>3906</v>
      </c>
      <c r="C3101" s="2" t="s">
        <v>330</v>
      </c>
      <c r="D3101" s="2" t="s">
        <v>71</v>
      </c>
      <c r="E3101" s="2" t="s">
        <v>4647</v>
      </c>
      <c r="F3101" s="2">
        <v>53</v>
      </c>
      <c r="G3101" s="2">
        <v>53</v>
      </c>
      <c r="H3101" s="2">
        <v>0</v>
      </c>
      <c r="I3101" s="1">
        <v>0</v>
      </c>
      <c r="J3101" s="26">
        <v>45384</v>
      </c>
      <c r="K3101" s="22">
        <v>53000</v>
      </c>
      <c r="L3101" s="18">
        <v>56.68</v>
      </c>
      <c r="M3101" s="22">
        <v>37100</v>
      </c>
      <c r="N3101" s="22">
        <v>15900</v>
      </c>
      <c r="O3101" s="18">
        <v>17.010000000000002</v>
      </c>
      <c r="P3101" s="52">
        <f>IF(COUNTIF(TblPurchases[BatchID],TblOutcomes[[#This Row],[BatchID]])&lt;&gt;1,"n.a.",TblOutcomes[[#This Row],[Qty Wasted]]*SUMIFS(TblPurchases[Unit Cost (CLP)],TblPurchases[BatchID],TblOutcomes[[#This Row],[BatchID]]))</f>
        <v>0</v>
      </c>
      <c r="Q3101" s="51">
        <f>IF(COUNTIF(TblPurchases[BatchID],TblOutcomes[[#This Row],[BatchID]])&lt;&gt;1,"n.a.",SUMIFS(TblPurchases[Purchase Date],TblPurchases[BatchID],TblOutcomes[[#This Row],[BatchID]]))</f>
        <v>45352</v>
      </c>
    </row>
    <row r="3102" spans="2:17" x14ac:dyDescent="0.25">
      <c r="B3102" s="2" t="s">
        <v>3907</v>
      </c>
      <c r="C3102" s="2" t="s">
        <v>330</v>
      </c>
      <c r="D3102" s="2" t="s">
        <v>71</v>
      </c>
      <c r="E3102" s="2" t="s">
        <v>4646</v>
      </c>
      <c r="F3102" s="2">
        <v>55</v>
      </c>
      <c r="G3102" s="2">
        <v>53.3</v>
      </c>
      <c r="H3102" s="2">
        <v>1.71</v>
      </c>
      <c r="I3102" s="1">
        <v>3.1</v>
      </c>
      <c r="J3102" s="26">
        <v>45679</v>
      </c>
      <c r="K3102" s="22">
        <v>53300</v>
      </c>
      <c r="L3102" s="18">
        <v>57.01</v>
      </c>
      <c r="M3102" s="22">
        <v>38500</v>
      </c>
      <c r="N3102" s="22">
        <v>14800</v>
      </c>
      <c r="O3102" s="18">
        <v>15.83</v>
      </c>
      <c r="P3102" s="52">
        <f>IF(COUNTIF(TblPurchases[BatchID],TblOutcomes[[#This Row],[BatchID]])&lt;&gt;1,"n.a.",TblOutcomes[[#This Row],[Qty Wasted]]*SUMIFS(TblPurchases[Unit Cost (CLP)],TblPurchases[BatchID],TblOutcomes[[#This Row],[BatchID]]))</f>
        <v>1197</v>
      </c>
      <c r="Q3102" s="51">
        <f>IF(COUNTIF(TblPurchases[BatchID],TblOutcomes[[#This Row],[BatchID]])&lt;&gt;1,"n.a.",SUMIFS(TblPurchases[Purchase Date],TblPurchases[BatchID],TblOutcomes[[#This Row],[BatchID]]))</f>
        <v>45379</v>
      </c>
    </row>
    <row r="3103" spans="2:17" x14ac:dyDescent="0.25">
      <c r="B3103" s="2" t="s">
        <v>3908</v>
      </c>
      <c r="C3103" s="2" t="s">
        <v>330</v>
      </c>
      <c r="D3103" s="2" t="s">
        <v>71</v>
      </c>
      <c r="E3103" s="2" t="s">
        <v>4647</v>
      </c>
      <c r="F3103" s="2">
        <v>52</v>
      </c>
      <c r="G3103" s="2">
        <v>52</v>
      </c>
      <c r="H3103" s="2">
        <v>0</v>
      </c>
      <c r="I3103" s="1">
        <v>0</v>
      </c>
      <c r="J3103" s="26">
        <v>45458</v>
      </c>
      <c r="K3103" s="22">
        <v>52000</v>
      </c>
      <c r="L3103" s="18">
        <v>55.61</v>
      </c>
      <c r="M3103" s="22">
        <v>36400</v>
      </c>
      <c r="N3103" s="22">
        <v>15600</v>
      </c>
      <c r="O3103" s="18">
        <v>16.68</v>
      </c>
      <c r="P3103" s="52">
        <f>IF(COUNTIF(TblPurchases[BatchID],TblOutcomes[[#This Row],[BatchID]])&lt;&gt;1,"n.a.",TblOutcomes[[#This Row],[Qty Wasted]]*SUMIFS(TblPurchases[Unit Cost (CLP)],TblPurchases[BatchID],TblOutcomes[[#This Row],[BatchID]]))</f>
        <v>0</v>
      </c>
      <c r="Q3103" s="51">
        <f>IF(COUNTIF(TblPurchases[BatchID],TblOutcomes[[#This Row],[BatchID]])&lt;&gt;1,"n.a.",SUMIFS(TblPurchases[Purchase Date],TblPurchases[BatchID],TblOutcomes[[#This Row],[BatchID]]))</f>
        <v>45417</v>
      </c>
    </row>
    <row r="3104" spans="2:17" x14ac:dyDescent="0.25">
      <c r="B3104" s="2" t="s">
        <v>3909</v>
      </c>
      <c r="C3104" s="2" t="s">
        <v>330</v>
      </c>
      <c r="D3104" s="2" t="s">
        <v>71</v>
      </c>
      <c r="E3104" s="2" t="s">
        <v>4646</v>
      </c>
      <c r="F3104" s="2">
        <v>44</v>
      </c>
      <c r="G3104" s="2">
        <v>41.71</v>
      </c>
      <c r="H3104" s="2">
        <v>2.29</v>
      </c>
      <c r="I3104" s="1">
        <v>5.2</v>
      </c>
      <c r="J3104" s="26">
        <v>45750</v>
      </c>
      <c r="K3104" s="22">
        <v>41710</v>
      </c>
      <c r="L3104" s="18">
        <v>44.61</v>
      </c>
      <c r="M3104" s="22">
        <v>30800</v>
      </c>
      <c r="N3104" s="22">
        <v>10910</v>
      </c>
      <c r="O3104" s="18">
        <v>11.67</v>
      </c>
      <c r="P3104" s="52">
        <f>IF(COUNTIF(TblPurchases[BatchID],TblOutcomes[[#This Row],[BatchID]])&lt;&gt;1,"n.a.",TblOutcomes[[#This Row],[Qty Wasted]]*SUMIFS(TblPurchases[Unit Cost (CLP)],TblPurchases[BatchID],TblOutcomes[[#This Row],[BatchID]]))</f>
        <v>1603</v>
      </c>
      <c r="Q3104" s="51">
        <f>IF(COUNTIF(TblPurchases[BatchID],TblOutcomes[[#This Row],[BatchID]])&lt;&gt;1,"n.a.",SUMIFS(TblPurchases[Purchase Date],TblPurchases[BatchID],TblOutcomes[[#This Row],[BatchID]]))</f>
        <v>45450</v>
      </c>
    </row>
    <row r="3105" spans="2:17" x14ac:dyDescent="0.25">
      <c r="B3105" s="2" t="s">
        <v>3910</v>
      </c>
      <c r="C3105" s="2" t="s">
        <v>330</v>
      </c>
      <c r="D3105" s="2" t="s">
        <v>71</v>
      </c>
      <c r="E3105" s="2" t="s">
        <v>4647</v>
      </c>
      <c r="F3105" s="2">
        <v>43</v>
      </c>
      <c r="G3105" s="2">
        <v>43</v>
      </c>
      <c r="H3105" s="2">
        <v>0</v>
      </c>
      <c r="I3105" s="1">
        <v>0</v>
      </c>
      <c r="J3105" s="26">
        <v>45522</v>
      </c>
      <c r="K3105" s="22">
        <v>43000</v>
      </c>
      <c r="L3105" s="18">
        <v>45.99</v>
      </c>
      <c r="M3105" s="22">
        <v>30100</v>
      </c>
      <c r="N3105" s="22">
        <v>12900</v>
      </c>
      <c r="O3105" s="18">
        <v>13.8</v>
      </c>
      <c r="P3105" s="52">
        <f>IF(COUNTIF(TblPurchases[BatchID],TblOutcomes[[#This Row],[BatchID]])&lt;&gt;1,"n.a.",TblOutcomes[[#This Row],[Qty Wasted]]*SUMIFS(TblPurchases[Unit Cost (CLP)],TblPurchases[BatchID],TblOutcomes[[#This Row],[BatchID]]))</f>
        <v>0</v>
      </c>
      <c r="Q3105" s="51">
        <f>IF(COUNTIF(TblPurchases[BatchID],TblOutcomes[[#This Row],[BatchID]])&lt;&gt;1,"n.a.",SUMIFS(TblPurchases[Purchase Date],TblPurchases[BatchID],TblOutcomes[[#This Row],[BatchID]]))</f>
        <v>45486</v>
      </c>
    </row>
    <row r="3106" spans="2:17" x14ac:dyDescent="0.25">
      <c r="B3106" s="2" t="s">
        <v>3911</v>
      </c>
      <c r="C3106" s="2" t="s">
        <v>330</v>
      </c>
      <c r="D3106" s="2" t="s">
        <v>71</v>
      </c>
      <c r="E3106" s="2" t="s">
        <v>4647</v>
      </c>
      <c r="F3106" s="2">
        <v>52</v>
      </c>
      <c r="G3106" s="2">
        <v>52</v>
      </c>
      <c r="H3106" s="2">
        <v>0</v>
      </c>
      <c r="I3106" s="1">
        <v>0</v>
      </c>
      <c r="J3106" s="26">
        <v>45540</v>
      </c>
      <c r="K3106" s="22">
        <v>52000</v>
      </c>
      <c r="L3106" s="18">
        <v>55.61</v>
      </c>
      <c r="M3106" s="22">
        <v>36400</v>
      </c>
      <c r="N3106" s="22">
        <v>15600</v>
      </c>
      <c r="O3106" s="18">
        <v>16.68</v>
      </c>
      <c r="P3106" s="52">
        <f>IF(COUNTIF(TblPurchases[BatchID],TblOutcomes[[#This Row],[BatchID]])&lt;&gt;1,"n.a.",TblOutcomes[[#This Row],[Qty Wasted]]*SUMIFS(TblPurchases[Unit Cost (CLP)],TblPurchases[BatchID],TblOutcomes[[#This Row],[BatchID]]))</f>
        <v>0</v>
      </c>
      <c r="Q3106" s="51">
        <f>IF(COUNTIF(TblPurchases[BatchID],TblOutcomes[[#This Row],[BatchID]])&lt;&gt;1,"n.a.",SUMIFS(TblPurchases[Purchase Date],TblPurchases[BatchID],TblOutcomes[[#This Row],[BatchID]]))</f>
        <v>45524</v>
      </c>
    </row>
    <row r="3107" spans="2:17" x14ac:dyDescent="0.25">
      <c r="B3107" s="2" t="s">
        <v>3912</v>
      </c>
      <c r="C3107" s="2" t="s">
        <v>330</v>
      </c>
      <c r="D3107" s="2" t="s">
        <v>71</v>
      </c>
      <c r="E3107" s="2" t="s">
        <v>4647</v>
      </c>
      <c r="F3107" s="2">
        <v>67</v>
      </c>
      <c r="G3107" s="2">
        <v>67</v>
      </c>
      <c r="H3107" s="2">
        <v>0</v>
      </c>
      <c r="I3107" s="1">
        <v>0</v>
      </c>
      <c r="J3107" s="26">
        <v>45570</v>
      </c>
      <c r="K3107" s="22">
        <v>67000</v>
      </c>
      <c r="L3107" s="18">
        <v>71.66</v>
      </c>
      <c r="M3107" s="22">
        <v>46900</v>
      </c>
      <c r="N3107" s="22">
        <v>20100</v>
      </c>
      <c r="O3107" s="18">
        <v>21.5</v>
      </c>
      <c r="P3107" s="52">
        <f>IF(COUNTIF(TblPurchases[BatchID],TblOutcomes[[#This Row],[BatchID]])&lt;&gt;1,"n.a.",TblOutcomes[[#This Row],[Qty Wasted]]*SUMIFS(TblPurchases[Unit Cost (CLP)],TblPurchases[BatchID],TblOutcomes[[#This Row],[BatchID]]))</f>
        <v>0</v>
      </c>
      <c r="Q3107" s="51">
        <f>IF(COUNTIF(TblPurchases[BatchID],TblOutcomes[[#This Row],[BatchID]])&lt;&gt;1,"n.a.",SUMIFS(TblPurchases[Purchase Date],TblPurchases[BatchID],TblOutcomes[[#This Row],[BatchID]]))</f>
        <v>45557</v>
      </c>
    </row>
    <row r="3108" spans="2:17" x14ac:dyDescent="0.25">
      <c r="B3108" s="2" t="s">
        <v>3913</v>
      </c>
      <c r="C3108" s="2" t="s">
        <v>330</v>
      </c>
      <c r="D3108" s="2" t="s">
        <v>71</v>
      </c>
      <c r="E3108" s="2" t="s">
        <v>4646</v>
      </c>
      <c r="F3108" s="2">
        <v>55</v>
      </c>
      <c r="G3108" s="2">
        <v>52.8</v>
      </c>
      <c r="H3108" s="2">
        <v>2.2000000000000002</v>
      </c>
      <c r="I3108" s="1">
        <v>4</v>
      </c>
      <c r="J3108" s="26">
        <v>45894</v>
      </c>
      <c r="K3108" s="22">
        <v>52800</v>
      </c>
      <c r="L3108" s="18">
        <v>56.47</v>
      </c>
      <c r="M3108" s="22">
        <v>38500</v>
      </c>
      <c r="N3108" s="22">
        <v>14300</v>
      </c>
      <c r="O3108" s="18">
        <v>15.29</v>
      </c>
      <c r="P3108" s="52">
        <f>IF(COUNTIF(TblPurchases[BatchID],TblOutcomes[[#This Row],[BatchID]])&lt;&gt;1,"n.a.",TblOutcomes[[#This Row],[Qty Wasted]]*SUMIFS(TblPurchases[Unit Cost (CLP)],TblPurchases[BatchID],TblOutcomes[[#This Row],[BatchID]]))</f>
        <v>1540.0000000000002</v>
      </c>
      <c r="Q3108" s="51">
        <f>IF(COUNTIF(TblPurchases[BatchID],TblOutcomes[[#This Row],[BatchID]])&lt;&gt;1,"n.a.",SUMIFS(TblPurchases[Purchase Date],TblPurchases[BatchID],TblOutcomes[[#This Row],[BatchID]]))</f>
        <v>45594</v>
      </c>
    </row>
    <row r="3109" spans="2:17" x14ac:dyDescent="0.25">
      <c r="B3109" s="2" t="s">
        <v>3914</v>
      </c>
      <c r="C3109" s="2" t="s">
        <v>330</v>
      </c>
      <c r="D3109" s="2" t="s">
        <v>71</v>
      </c>
      <c r="E3109" s="2" t="s">
        <v>4646</v>
      </c>
      <c r="F3109" s="2">
        <v>52</v>
      </c>
      <c r="G3109" s="2">
        <v>50.28</v>
      </c>
      <c r="H3109" s="2">
        <v>1.72</v>
      </c>
      <c r="I3109" s="1">
        <v>3.3</v>
      </c>
      <c r="J3109" s="26">
        <v>45925</v>
      </c>
      <c r="K3109" s="22">
        <v>50280</v>
      </c>
      <c r="L3109" s="18">
        <v>53.78</v>
      </c>
      <c r="M3109" s="22">
        <v>36400</v>
      </c>
      <c r="N3109" s="22">
        <v>13880</v>
      </c>
      <c r="O3109" s="18">
        <v>14.84</v>
      </c>
      <c r="P3109" s="52">
        <f>IF(COUNTIF(TblPurchases[BatchID],TblOutcomes[[#This Row],[BatchID]])&lt;&gt;1,"n.a.",TblOutcomes[[#This Row],[Qty Wasted]]*SUMIFS(TblPurchases[Unit Cost (CLP)],TblPurchases[BatchID],TblOutcomes[[#This Row],[BatchID]]))</f>
        <v>1204</v>
      </c>
      <c r="Q3109" s="51">
        <f>IF(COUNTIF(TblPurchases[BatchID],TblOutcomes[[#This Row],[BatchID]])&lt;&gt;1,"n.a.",SUMIFS(TblPurchases[Purchase Date],TblPurchases[BatchID],TblOutcomes[[#This Row],[BatchID]]))</f>
        <v>45625</v>
      </c>
    </row>
    <row r="3110" spans="2:17" x14ac:dyDescent="0.25">
      <c r="B3110" s="2" t="s">
        <v>3915</v>
      </c>
      <c r="C3110" s="2" t="s">
        <v>330</v>
      </c>
      <c r="D3110" s="2" t="s">
        <v>71</v>
      </c>
      <c r="E3110" s="2" t="s">
        <v>4647</v>
      </c>
      <c r="F3110" s="2">
        <v>47</v>
      </c>
      <c r="G3110" s="2">
        <v>47</v>
      </c>
      <c r="H3110" s="2">
        <v>0</v>
      </c>
      <c r="I3110" s="1">
        <v>0</v>
      </c>
      <c r="J3110" s="26">
        <v>45693</v>
      </c>
      <c r="K3110" s="22">
        <v>47000</v>
      </c>
      <c r="L3110" s="18">
        <v>50.27</v>
      </c>
      <c r="M3110" s="22">
        <v>32900</v>
      </c>
      <c r="N3110" s="22">
        <v>14100</v>
      </c>
      <c r="O3110" s="18">
        <v>15.08</v>
      </c>
      <c r="P3110" s="52">
        <f>IF(COUNTIF(TblPurchases[BatchID],TblOutcomes[[#This Row],[BatchID]])&lt;&gt;1,"n.a.",TblOutcomes[[#This Row],[Qty Wasted]]*SUMIFS(TblPurchases[Unit Cost (CLP)],TblPurchases[BatchID],TblOutcomes[[#This Row],[BatchID]]))</f>
        <v>0</v>
      </c>
      <c r="Q3110" s="51">
        <f>IF(COUNTIF(TblPurchases[BatchID],TblOutcomes[[#This Row],[BatchID]])&lt;&gt;1,"n.a.",SUMIFS(TblPurchases[Purchase Date],TblPurchases[BatchID],TblOutcomes[[#This Row],[BatchID]]))</f>
        <v>45666</v>
      </c>
    </row>
    <row r="3111" spans="2:17" x14ac:dyDescent="0.25">
      <c r="B3111" s="2" t="s">
        <v>3916</v>
      </c>
      <c r="C3111" s="2" t="s">
        <v>330</v>
      </c>
      <c r="D3111" s="2" t="s">
        <v>71</v>
      </c>
      <c r="E3111" s="2" t="s">
        <v>4646</v>
      </c>
      <c r="F3111" s="2">
        <v>60</v>
      </c>
      <c r="G3111" s="2">
        <v>59.16</v>
      </c>
      <c r="H3111" s="2">
        <v>0.84</v>
      </c>
      <c r="I3111" s="1">
        <v>1.4</v>
      </c>
      <c r="J3111" s="26">
        <v>46000</v>
      </c>
      <c r="K3111" s="22">
        <v>59160</v>
      </c>
      <c r="L3111" s="18">
        <v>63.27</v>
      </c>
      <c r="M3111" s="22">
        <v>42000</v>
      </c>
      <c r="N3111" s="22">
        <v>17160</v>
      </c>
      <c r="O3111" s="18">
        <v>18.350000000000001</v>
      </c>
      <c r="P3111" s="52">
        <f>IF(COUNTIF(TblPurchases[BatchID],TblOutcomes[[#This Row],[BatchID]])&lt;&gt;1,"n.a.",TblOutcomes[[#This Row],[Qty Wasted]]*SUMIFS(TblPurchases[Unit Cost (CLP)],TblPurchases[BatchID],TblOutcomes[[#This Row],[BatchID]]))</f>
        <v>588</v>
      </c>
      <c r="Q3111" s="51">
        <f>IF(COUNTIF(TblPurchases[BatchID],TblOutcomes[[#This Row],[BatchID]])&lt;&gt;1,"n.a.",SUMIFS(TblPurchases[Purchase Date],TblPurchases[BatchID],TblOutcomes[[#This Row],[BatchID]]))</f>
        <v>45700</v>
      </c>
    </row>
    <row r="3112" spans="2:17" x14ac:dyDescent="0.25">
      <c r="B3112" s="2" t="s">
        <v>3917</v>
      </c>
      <c r="C3112" s="2" t="s">
        <v>330</v>
      </c>
      <c r="D3112" s="2" t="s">
        <v>71</v>
      </c>
      <c r="E3112" s="2" t="s">
        <v>4646</v>
      </c>
      <c r="F3112" s="2">
        <v>61</v>
      </c>
      <c r="G3112" s="2">
        <v>59.17</v>
      </c>
      <c r="H3112" s="2">
        <v>1.83</v>
      </c>
      <c r="I3112" s="1">
        <v>3</v>
      </c>
      <c r="J3112" s="26">
        <v>46021</v>
      </c>
      <c r="K3112" s="22">
        <v>59170</v>
      </c>
      <c r="L3112" s="18">
        <v>63.28</v>
      </c>
      <c r="M3112" s="22">
        <v>42700</v>
      </c>
      <c r="N3112" s="22">
        <v>16470</v>
      </c>
      <c r="O3112" s="18">
        <v>17.61</v>
      </c>
      <c r="P3112" s="52">
        <f>IF(COUNTIF(TblPurchases[BatchID],TblOutcomes[[#This Row],[BatchID]])&lt;&gt;1,"n.a.",TblOutcomes[[#This Row],[Qty Wasted]]*SUMIFS(TblPurchases[Unit Cost (CLP)],TblPurchases[BatchID],TblOutcomes[[#This Row],[BatchID]]))</f>
        <v>1281</v>
      </c>
      <c r="Q3112" s="51">
        <f>IF(COUNTIF(TblPurchases[BatchID],TblOutcomes[[#This Row],[BatchID]])&lt;&gt;1,"n.a.",SUMIFS(TblPurchases[Purchase Date],TblPurchases[BatchID],TblOutcomes[[#This Row],[BatchID]]))</f>
        <v>45721</v>
      </c>
    </row>
    <row r="3113" spans="2:17" x14ac:dyDescent="0.25">
      <c r="B3113" s="2" t="s">
        <v>3918</v>
      </c>
      <c r="C3113" s="2" t="s">
        <v>330</v>
      </c>
      <c r="D3113" s="2" t="s">
        <v>71</v>
      </c>
      <c r="E3113" s="2" t="s">
        <v>4646</v>
      </c>
      <c r="F3113" s="2">
        <v>48</v>
      </c>
      <c r="G3113" s="2">
        <v>46.13</v>
      </c>
      <c r="H3113" s="2">
        <v>1.87</v>
      </c>
      <c r="I3113" s="1">
        <v>3.9</v>
      </c>
      <c r="J3113" s="26">
        <v>46061</v>
      </c>
      <c r="K3113" s="22">
        <v>46130</v>
      </c>
      <c r="L3113" s="18">
        <v>49.34</v>
      </c>
      <c r="M3113" s="22">
        <v>33600</v>
      </c>
      <c r="N3113" s="22">
        <v>12530</v>
      </c>
      <c r="O3113" s="18">
        <v>13.4</v>
      </c>
      <c r="P3113" s="52">
        <f>IF(COUNTIF(TblPurchases[BatchID],TblOutcomes[[#This Row],[BatchID]])&lt;&gt;1,"n.a.",TblOutcomes[[#This Row],[Qty Wasted]]*SUMIFS(TblPurchases[Unit Cost (CLP)],TblPurchases[BatchID],TblOutcomes[[#This Row],[BatchID]]))</f>
        <v>1309</v>
      </c>
      <c r="Q3113" s="51">
        <f>IF(COUNTIF(TblPurchases[BatchID],TblOutcomes[[#This Row],[BatchID]])&lt;&gt;1,"n.a.",SUMIFS(TblPurchases[Purchase Date],TblPurchases[BatchID],TblOutcomes[[#This Row],[BatchID]]))</f>
        <v>45761</v>
      </c>
    </row>
    <row r="3114" spans="2:17" x14ac:dyDescent="0.25">
      <c r="B3114" s="2" t="s">
        <v>3919</v>
      </c>
      <c r="C3114" s="2" t="s">
        <v>330</v>
      </c>
      <c r="D3114" s="2" t="s">
        <v>71</v>
      </c>
      <c r="E3114" s="2" t="s">
        <v>4647</v>
      </c>
      <c r="F3114" s="2">
        <v>60</v>
      </c>
      <c r="G3114" s="2">
        <v>60</v>
      </c>
      <c r="H3114" s="2">
        <v>0</v>
      </c>
      <c r="I3114" s="1">
        <v>0</v>
      </c>
      <c r="J3114" s="26">
        <v>45812</v>
      </c>
      <c r="K3114" s="22">
        <v>60000</v>
      </c>
      <c r="L3114" s="18">
        <v>64.17</v>
      </c>
      <c r="M3114" s="22">
        <v>42000</v>
      </c>
      <c r="N3114" s="22">
        <v>18000</v>
      </c>
      <c r="O3114" s="18">
        <v>19.25</v>
      </c>
      <c r="P3114" s="52">
        <f>IF(COUNTIF(TblPurchases[BatchID],TblOutcomes[[#This Row],[BatchID]])&lt;&gt;1,"n.a.",TblOutcomes[[#This Row],[Qty Wasted]]*SUMIFS(TblPurchases[Unit Cost (CLP)],TblPurchases[BatchID],TblOutcomes[[#This Row],[BatchID]]))</f>
        <v>0</v>
      </c>
      <c r="Q3114" s="51">
        <f>IF(COUNTIF(TblPurchases[BatchID],TblOutcomes[[#This Row],[BatchID]])&lt;&gt;1,"n.a.",SUMIFS(TblPurchases[Purchase Date],TblPurchases[BatchID],TblOutcomes[[#This Row],[BatchID]]))</f>
        <v>45788</v>
      </c>
    </row>
    <row r="3115" spans="2:17" x14ac:dyDescent="0.25">
      <c r="B3115" s="2" t="s">
        <v>3920</v>
      </c>
      <c r="C3115" s="2" t="s">
        <v>330</v>
      </c>
      <c r="D3115" s="2" t="s">
        <v>71</v>
      </c>
      <c r="E3115" s="2" t="s">
        <v>4647</v>
      </c>
      <c r="F3115" s="2">
        <v>62</v>
      </c>
      <c r="G3115" s="2">
        <v>62</v>
      </c>
      <c r="H3115" s="2">
        <v>0</v>
      </c>
      <c r="I3115" s="1">
        <v>0</v>
      </c>
      <c r="J3115" s="26">
        <v>45845</v>
      </c>
      <c r="K3115" s="22">
        <v>62000</v>
      </c>
      <c r="L3115" s="18">
        <v>66.31</v>
      </c>
      <c r="M3115" s="22">
        <v>43400</v>
      </c>
      <c r="N3115" s="22">
        <v>18600</v>
      </c>
      <c r="O3115" s="18">
        <v>19.89</v>
      </c>
      <c r="P3115" s="52">
        <f>IF(COUNTIF(TblPurchases[BatchID],TblOutcomes[[#This Row],[BatchID]])&lt;&gt;1,"n.a.",TblOutcomes[[#This Row],[Qty Wasted]]*SUMIFS(TblPurchases[Unit Cost (CLP)],TblPurchases[BatchID],TblOutcomes[[#This Row],[BatchID]]))</f>
        <v>0</v>
      </c>
      <c r="Q3115" s="51">
        <f>IF(COUNTIF(TblPurchases[BatchID],TblOutcomes[[#This Row],[BatchID]])&lt;&gt;1,"n.a.",SUMIFS(TblPurchases[Purchase Date],TblPurchases[BatchID],TblOutcomes[[#This Row],[BatchID]]))</f>
        <v>45815</v>
      </c>
    </row>
    <row r="3116" spans="2:17" x14ac:dyDescent="0.25">
      <c r="B3116" s="2" t="s">
        <v>3921</v>
      </c>
      <c r="C3116" s="2" t="s">
        <v>332</v>
      </c>
      <c r="D3116" s="2" t="s">
        <v>334</v>
      </c>
      <c r="E3116" s="2" t="s">
        <v>4647</v>
      </c>
      <c r="F3116" s="2">
        <v>25</v>
      </c>
      <c r="G3116" s="2">
        <v>25</v>
      </c>
      <c r="H3116" s="2">
        <v>0</v>
      </c>
      <c r="I3116" s="1">
        <v>0</v>
      </c>
      <c r="J3116" s="26">
        <v>45154</v>
      </c>
      <c r="K3116" s="22">
        <v>187500</v>
      </c>
      <c r="L3116" s="18">
        <v>200.53</v>
      </c>
      <c r="M3116" s="22">
        <v>133750</v>
      </c>
      <c r="N3116" s="22">
        <v>53750</v>
      </c>
      <c r="O3116" s="18">
        <v>57.49</v>
      </c>
      <c r="P3116" s="52">
        <f>IF(COUNTIF(TblPurchases[BatchID],TblOutcomes[[#This Row],[BatchID]])&lt;&gt;1,"n.a.",TblOutcomes[[#This Row],[Qty Wasted]]*SUMIFS(TblPurchases[Unit Cost (CLP)],TblPurchases[BatchID],TblOutcomes[[#This Row],[BatchID]]))</f>
        <v>0</v>
      </c>
      <c r="Q3116" s="51">
        <f>IF(COUNTIF(TblPurchases[BatchID],TblOutcomes[[#This Row],[BatchID]])&lt;&gt;1,"n.a.",SUMIFS(TblPurchases[Purchase Date],TblPurchases[BatchID],TblOutcomes[[#This Row],[BatchID]]))</f>
        <v>45120</v>
      </c>
    </row>
    <row r="3117" spans="2:17" x14ac:dyDescent="0.25">
      <c r="B3117" s="2" t="s">
        <v>3922</v>
      </c>
      <c r="C3117" s="2" t="s">
        <v>332</v>
      </c>
      <c r="D3117" s="2" t="s">
        <v>334</v>
      </c>
      <c r="E3117" s="2" t="s">
        <v>4646</v>
      </c>
      <c r="F3117" s="2">
        <v>24</v>
      </c>
      <c r="G3117" s="2">
        <v>23.33</v>
      </c>
      <c r="H3117" s="2">
        <v>0.67</v>
      </c>
      <c r="I3117" s="1">
        <v>2.8</v>
      </c>
      <c r="J3117" s="26">
        <v>45450</v>
      </c>
      <c r="K3117" s="22">
        <v>174975</v>
      </c>
      <c r="L3117" s="18">
        <v>187.14</v>
      </c>
      <c r="M3117" s="22">
        <v>128400</v>
      </c>
      <c r="N3117" s="22">
        <v>46575</v>
      </c>
      <c r="O3117" s="18">
        <v>49.81</v>
      </c>
      <c r="P3117" s="52">
        <f>IF(COUNTIF(TblPurchases[BatchID],TblOutcomes[[#This Row],[BatchID]])&lt;&gt;1,"n.a.",TblOutcomes[[#This Row],[Qty Wasted]]*SUMIFS(TblPurchases[Unit Cost (CLP)],TblPurchases[BatchID],TblOutcomes[[#This Row],[BatchID]]))</f>
        <v>3584.5</v>
      </c>
      <c r="Q3117" s="51">
        <f>IF(COUNTIF(TblPurchases[BatchID],TblOutcomes[[#This Row],[BatchID]])&lt;&gt;1,"n.a.",SUMIFS(TblPurchases[Purchase Date],TblPurchases[BatchID],TblOutcomes[[#This Row],[BatchID]]))</f>
        <v>45150</v>
      </c>
    </row>
    <row r="3118" spans="2:17" x14ac:dyDescent="0.25">
      <c r="B3118" s="2" t="s">
        <v>3923</v>
      </c>
      <c r="C3118" s="2" t="s">
        <v>332</v>
      </c>
      <c r="D3118" s="2" t="s">
        <v>334</v>
      </c>
      <c r="E3118" s="2" t="s">
        <v>4647</v>
      </c>
      <c r="F3118" s="2">
        <v>29</v>
      </c>
      <c r="G3118" s="2">
        <v>29</v>
      </c>
      <c r="H3118" s="2">
        <v>0</v>
      </c>
      <c r="I3118" s="1">
        <v>0</v>
      </c>
      <c r="J3118" s="26">
        <v>45220</v>
      </c>
      <c r="K3118" s="22">
        <v>217500</v>
      </c>
      <c r="L3118" s="18">
        <v>232.62</v>
      </c>
      <c r="M3118" s="22">
        <v>155150</v>
      </c>
      <c r="N3118" s="22">
        <v>62350</v>
      </c>
      <c r="O3118" s="18">
        <v>66.680000000000007</v>
      </c>
      <c r="P3118" s="52">
        <f>IF(COUNTIF(TblPurchases[BatchID],TblOutcomes[[#This Row],[BatchID]])&lt;&gt;1,"n.a.",TblOutcomes[[#This Row],[Qty Wasted]]*SUMIFS(TblPurchases[Unit Cost (CLP)],TblPurchases[BatchID],TblOutcomes[[#This Row],[BatchID]]))</f>
        <v>0</v>
      </c>
      <c r="Q3118" s="51">
        <f>IF(COUNTIF(TblPurchases[BatchID],TblOutcomes[[#This Row],[BatchID]])&lt;&gt;1,"n.a.",SUMIFS(TblPurchases[Purchase Date],TblPurchases[BatchID],TblOutcomes[[#This Row],[BatchID]]))</f>
        <v>45191</v>
      </c>
    </row>
    <row r="3119" spans="2:17" x14ac:dyDescent="0.25">
      <c r="B3119" s="2" t="s">
        <v>3924</v>
      </c>
      <c r="C3119" s="2" t="s">
        <v>332</v>
      </c>
      <c r="D3119" s="2" t="s">
        <v>334</v>
      </c>
      <c r="E3119" s="2" t="s">
        <v>4646</v>
      </c>
      <c r="F3119" s="2">
        <v>9</v>
      </c>
      <c r="G3119" s="2">
        <v>8.74</v>
      </c>
      <c r="H3119" s="2">
        <v>0.26</v>
      </c>
      <c r="I3119" s="1">
        <v>2.9</v>
      </c>
      <c r="J3119" s="26">
        <v>45522</v>
      </c>
      <c r="K3119" s="22">
        <v>65550</v>
      </c>
      <c r="L3119" s="18">
        <v>70.11</v>
      </c>
      <c r="M3119" s="22">
        <v>48150</v>
      </c>
      <c r="N3119" s="22">
        <v>17400</v>
      </c>
      <c r="O3119" s="18">
        <v>18.61</v>
      </c>
      <c r="P3119" s="52">
        <f>IF(COUNTIF(TblPurchases[BatchID],TblOutcomes[[#This Row],[BatchID]])&lt;&gt;1,"n.a.",TblOutcomes[[#This Row],[Qty Wasted]]*SUMIFS(TblPurchases[Unit Cost (CLP)],TblPurchases[BatchID],TblOutcomes[[#This Row],[BatchID]]))</f>
        <v>1391</v>
      </c>
      <c r="Q3119" s="51">
        <f>IF(COUNTIF(TblPurchases[BatchID],TblOutcomes[[#This Row],[BatchID]])&lt;&gt;1,"n.a.",SUMIFS(TblPurchases[Purchase Date],TblPurchases[BatchID],TblOutcomes[[#This Row],[BatchID]]))</f>
        <v>45222</v>
      </c>
    </row>
    <row r="3120" spans="2:17" x14ac:dyDescent="0.25">
      <c r="B3120" s="2" t="s">
        <v>3925</v>
      </c>
      <c r="C3120" s="2" t="s">
        <v>332</v>
      </c>
      <c r="D3120" s="2" t="s">
        <v>334</v>
      </c>
      <c r="E3120" s="2" t="s">
        <v>4647</v>
      </c>
      <c r="F3120" s="2">
        <v>9</v>
      </c>
      <c r="G3120" s="2">
        <v>9</v>
      </c>
      <c r="H3120" s="2">
        <v>0</v>
      </c>
      <c r="I3120" s="1">
        <v>0</v>
      </c>
      <c r="J3120" s="26">
        <v>45278</v>
      </c>
      <c r="K3120" s="22">
        <v>67500</v>
      </c>
      <c r="L3120" s="18">
        <v>72.19</v>
      </c>
      <c r="M3120" s="22">
        <v>48150</v>
      </c>
      <c r="N3120" s="22">
        <v>19350</v>
      </c>
      <c r="O3120" s="18">
        <v>20.7</v>
      </c>
      <c r="P3120" s="52">
        <f>IF(COUNTIF(TblPurchases[BatchID],TblOutcomes[[#This Row],[BatchID]])&lt;&gt;1,"n.a.",TblOutcomes[[#This Row],[Qty Wasted]]*SUMIFS(TblPurchases[Unit Cost (CLP)],TblPurchases[BatchID],TblOutcomes[[#This Row],[BatchID]]))</f>
        <v>0</v>
      </c>
      <c r="Q3120" s="51">
        <f>IF(COUNTIF(TblPurchases[BatchID],TblOutcomes[[#This Row],[BatchID]])&lt;&gt;1,"n.a.",SUMIFS(TblPurchases[Purchase Date],TblPurchases[BatchID],TblOutcomes[[#This Row],[BatchID]]))</f>
        <v>45255</v>
      </c>
    </row>
    <row r="3121" spans="2:17" x14ac:dyDescent="0.25">
      <c r="B3121" s="2" t="s">
        <v>3926</v>
      </c>
      <c r="C3121" s="2" t="s">
        <v>332</v>
      </c>
      <c r="D3121" s="2" t="s">
        <v>334</v>
      </c>
      <c r="E3121" s="2" t="s">
        <v>4647</v>
      </c>
      <c r="F3121" s="2">
        <v>12</v>
      </c>
      <c r="G3121" s="2">
        <v>12</v>
      </c>
      <c r="H3121" s="2">
        <v>0</v>
      </c>
      <c r="I3121" s="1">
        <v>0</v>
      </c>
      <c r="J3121" s="26">
        <v>45307</v>
      </c>
      <c r="K3121" s="22">
        <v>90000</v>
      </c>
      <c r="L3121" s="18">
        <v>96.26</v>
      </c>
      <c r="M3121" s="22">
        <v>66600</v>
      </c>
      <c r="N3121" s="22">
        <v>23400</v>
      </c>
      <c r="O3121" s="18">
        <v>25.03</v>
      </c>
      <c r="P3121" s="52">
        <f>IF(COUNTIF(TblPurchases[BatchID],TblOutcomes[[#This Row],[BatchID]])&lt;&gt;1,"n.a.",TblOutcomes[[#This Row],[Qty Wasted]]*SUMIFS(TblPurchases[Unit Cost (CLP)],TblPurchases[BatchID],TblOutcomes[[#This Row],[BatchID]]))</f>
        <v>0</v>
      </c>
      <c r="Q3121" s="51">
        <f>IF(COUNTIF(TblPurchases[BatchID],TblOutcomes[[#This Row],[BatchID]])&lt;&gt;1,"n.a.",SUMIFS(TblPurchases[Purchase Date],TblPurchases[BatchID],TblOutcomes[[#This Row],[BatchID]]))</f>
        <v>45281</v>
      </c>
    </row>
    <row r="3122" spans="2:17" x14ac:dyDescent="0.25">
      <c r="B3122" s="2" t="s">
        <v>3927</v>
      </c>
      <c r="C3122" s="2" t="s">
        <v>332</v>
      </c>
      <c r="D3122" s="2" t="s">
        <v>334</v>
      </c>
      <c r="E3122" s="2" t="s">
        <v>4646</v>
      </c>
      <c r="F3122" s="2">
        <v>9</v>
      </c>
      <c r="G3122" s="2">
        <v>8.31</v>
      </c>
      <c r="H3122" s="2">
        <v>0.69</v>
      </c>
      <c r="I3122" s="1">
        <v>7.7</v>
      </c>
      <c r="J3122" s="26">
        <v>45624</v>
      </c>
      <c r="K3122" s="22">
        <v>62325</v>
      </c>
      <c r="L3122" s="18">
        <v>66.66</v>
      </c>
      <c r="M3122" s="22">
        <v>49950</v>
      </c>
      <c r="N3122" s="22">
        <v>12375</v>
      </c>
      <c r="O3122" s="18">
        <v>13.24</v>
      </c>
      <c r="P3122" s="52">
        <f>IF(COUNTIF(TblPurchases[BatchID],TblOutcomes[[#This Row],[BatchID]])&lt;&gt;1,"n.a.",TblOutcomes[[#This Row],[Qty Wasted]]*SUMIFS(TblPurchases[Unit Cost (CLP)],TblPurchases[BatchID],TblOutcomes[[#This Row],[BatchID]]))</f>
        <v>3829.4999999999995</v>
      </c>
      <c r="Q3122" s="51">
        <f>IF(COUNTIF(TblPurchases[BatchID],TblOutcomes[[#This Row],[BatchID]])&lt;&gt;1,"n.a.",SUMIFS(TblPurchases[Purchase Date],TblPurchases[BatchID],TblOutcomes[[#This Row],[BatchID]]))</f>
        <v>45324</v>
      </c>
    </row>
    <row r="3123" spans="2:17" x14ac:dyDescent="0.25">
      <c r="B3123" s="2" t="s">
        <v>3928</v>
      </c>
      <c r="C3123" s="2" t="s">
        <v>332</v>
      </c>
      <c r="D3123" s="2" t="s">
        <v>334</v>
      </c>
      <c r="E3123" s="2" t="s">
        <v>4646</v>
      </c>
      <c r="F3123" s="2">
        <v>9</v>
      </c>
      <c r="G3123" s="2">
        <v>8.6</v>
      </c>
      <c r="H3123" s="2">
        <v>0.4</v>
      </c>
      <c r="I3123" s="1">
        <v>4.4000000000000004</v>
      </c>
      <c r="J3123" s="26">
        <v>45655</v>
      </c>
      <c r="K3123" s="22">
        <v>64500</v>
      </c>
      <c r="L3123" s="18">
        <v>68.98</v>
      </c>
      <c r="M3123" s="22">
        <v>48150</v>
      </c>
      <c r="N3123" s="22">
        <v>16350</v>
      </c>
      <c r="O3123" s="18">
        <v>17.489999999999998</v>
      </c>
      <c r="P3123" s="52">
        <f>IF(COUNTIF(TblPurchases[BatchID],TblOutcomes[[#This Row],[BatchID]])&lt;&gt;1,"n.a.",TblOutcomes[[#This Row],[Qty Wasted]]*SUMIFS(TblPurchases[Unit Cost (CLP)],TblPurchases[BatchID],TblOutcomes[[#This Row],[BatchID]]))</f>
        <v>2140</v>
      </c>
      <c r="Q3123" s="51">
        <f>IF(COUNTIF(TblPurchases[BatchID],TblOutcomes[[#This Row],[BatchID]])&lt;&gt;1,"n.a.",SUMIFS(TblPurchases[Purchase Date],TblPurchases[BatchID],TblOutcomes[[#This Row],[BatchID]]))</f>
        <v>45355</v>
      </c>
    </row>
    <row r="3124" spans="2:17" x14ac:dyDescent="0.25">
      <c r="B3124" s="2" t="s">
        <v>3929</v>
      </c>
      <c r="C3124" s="2" t="s">
        <v>332</v>
      </c>
      <c r="D3124" s="2" t="s">
        <v>334</v>
      </c>
      <c r="E3124" s="2" t="s">
        <v>4647</v>
      </c>
      <c r="F3124" s="2">
        <v>26</v>
      </c>
      <c r="G3124" s="2">
        <v>26</v>
      </c>
      <c r="H3124" s="2">
        <v>0</v>
      </c>
      <c r="I3124" s="1">
        <v>0</v>
      </c>
      <c r="J3124" s="26">
        <v>45411</v>
      </c>
      <c r="K3124" s="22">
        <v>195000</v>
      </c>
      <c r="L3124" s="18">
        <v>208.56</v>
      </c>
      <c r="M3124" s="22">
        <v>139100</v>
      </c>
      <c r="N3124" s="22">
        <v>55900</v>
      </c>
      <c r="O3124" s="18">
        <v>59.79</v>
      </c>
      <c r="P3124" s="52">
        <f>IF(COUNTIF(TblPurchases[BatchID],TblOutcomes[[#This Row],[BatchID]])&lt;&gt;1,"n.a.",TblOutcomes[[#This Row],[Qty Wasted]]*SUMIFS(TblPurchases[Unit Cost (CLP)],TblPurchases[BatchID],TblOutcomes[[#This Row],[BatchID]]))</f>
        <v>0</v>
      </c>
      <c r="Q3124" s="51">
        <f>IF(COUNTIF(TblPurchases[BatchID],TblOutcomes[[#This Row],[BatchID]])&lt;&gt;1,"n.a.",SUMIFS(TblPurchases[Purchase Date],TblPurchases[BatchID],TblOutcomes[[#This Row],[BatchID]]))</f>
        <v>45384</v>
      </c>
    </row>
    <row r="3125" spans="2:17" x14ac:dyDescent="0.25">
      <c r="B3125" s="2" t="s">
        <v>3930</v>
      </c>
      <c r="C3125" s="2" t="s">
        <v>332</v>
      </c>
      <c r="D3125" s="2" t="s">
        <v>334</v>
      </c>
      <c r="E3125" s="2" t="s">
        <v>4647</v>
      </c>
      <c r="F3125" s="2">
        <v>27</v>
      </c>
      <c r="G3125" s="2">
        <v>27</v>
      </c>
      <c r="H3125" s="2">
        <v>0</v>
      </c>
      <c r="I3125" s="1">
        <v>0</v>
      </c>
      <c r="J3125" s="26">
        <v>45444</v>
      </c>
      <c r="K3125" s="22">
        <v>202500</v>
      </c>
      <c r="L3125" s="18">
        <v>216.58</v>
      </c>
      <c r="M3125" s="22">
        <v>144450</v>
      </c>
      <c r="N3125" s="22">
        <v>58050</v>
      </c>
      <c r="O3125" s="18">
        <v>62.09</v>
      </c>
      <c r="P3125" s="52">
        <f>IF(COUNTIF(TblPurchases[BatchID],TblOutcomes[[#This Row],[BatchID]])&lt;&gt;1,"n.a.",TblOutcomes[[#This Row],[Qty Wasted]]*SUMIFS(TblPurchases[Unit Cost (CLP)],TblPurchases[BatchID],TblOutcomes[[#This Row],[BatchID]]))</f>
        <v>0</v>
      </c>
      <c r="Q3125" s="51">
        <f>IF(COUNTIF(TblPurchases[BatchID],TblOutcomes[[#This Row],[BatchID]])&lt;&gt;1,"n.a.",SUMIFS(TblPurchases[Purchase Date],TblPurchases[BatchID],TblOutcomes[[#This Row],[BatchID]]))</f>
        <v>45421</v>
      </c>
    </row>
    <row r="3126" spans="2:17" x14ac:dyDescent="0.25">
      <c r="B3126" s="2" t="s">
        <v>3931</v>
      </c>
      <c r="C3126" s="2" t="s">
        <v>332</v>
      </c>
      <c r="D3126" s="2" t="s">
        <v>334</v>
      </c>
      <c r="E3126" s="2" t="s">
        <v>4646</v>
      </c>
      <c r="F3126" s="2">
        <v>22</v>
      </c>
      <c r="G3126" s="2">
        <v>20.83</v>
      </c>
      <c r="H3126" s="2">
        <v>1.17</v>
      </c>
      <c r="I3126" s="1">
        <v>5.3</v>
      </c>
      <c r="J3126" s="26">
        <v>45751</v>
      </c>
      <c r="K3126" s="22">
        <v>156225</v>
      </c>
      <c r="L3126" s="18">
        <v>167.09</v>
      </c>
      <c r="M3126" s="22">
        <v>117700</v>
      </c>
      <c r="N3126" s="22">
        <v>38525</v>
      </c>
      <c r="O3126" s="18">
        <v>41.2</v>
      </c>
      <c r="P3126" s="52">
        <f>IF(COUNTIF(TblPurchases[BatchID],TblOutcomes[[#This Row],[BatchID]])&lt;&gt;1,"n.a.",TblOutcomes[[#This Row],[Qty Wasted]]*SUMIFS(TblPurchases[Unit Cost (CLP)],TblPurchases[BatchID],TblOutcomes[[#This Row],[BatchID]]))</f>
        <v>6259.5</v>
      </c>
      <c r="Q3126" s="51">
        <f>IF(COUNTIF(TblPurchases[BatchID],TblOutcomes[[#This Row],[BatchID]])&lt;&gt;1,"n.a.",SUMIFS(TblPurchases[Purchase Date],TblPurchases[BatchID],TblOutcomes[[#This Row],[BatchID]]))</f>
        <v>45451</v>
      </c>
    </row>
    <row r="3127" spans="2:17" x14ac:dyDescent="0.25">
      <c r="B3127" s="2" t="s">
        <v>3932</v>
      </c>
      <c r="C3127" s="2" t="s">
        <v>332</v>
      </c>
      <c r="D3127" s="2" t="s">
        <v>334</v>
      </c>
      <c r="E3127" s="2" t="s">
        <v>4647</v>
      </c>
      <c r="F3127" s="2">
        <v>21</v>
      </c>
      <c r="G3127" s="2">
        <v>21</v>
      </c>
      <c r="H3127" s="2">
        <v>0</v>
      </c>
      <c r="I3127" s="1">
        <v>0</v>
      </c>
      <c r="J3127" s="26">
        <v>45518</v>
      </c>
      <c r="K3127" s="22">
        <v>157500</v>
      </c>
      <c r="L3127" s="18">
        <v>168.45</v>
      </c>
      <c r="M3127" s="22">
        <v>112350</v>
      </c>
      <c r="N3127" s="22">
        <v>45150</v>
      </c>
      <c r="O3127" s="18">
        <v>48.29</v>
      </c>
      <c r="P3127" s="52">
        <f>IF(COUNTIF(TblPurchases[BatchID],TblOutcomes[[#This Row],[BatchID]])&lt;&gt;1,"n.a.",TblOutcomes[[#This Row],[Qty Wasted]]*SUMIFS(TblPurchases[Unit Cost (CLP)],TblPurchases[BatchID],TblOutcomes[[#This Row],[BatchID]]))</f>
        <v>0</v>
      </c>
      <c r="Q3127" s="51">
        <f>IF(COUNTIF(TblPurchases[BatchID],TblOutcomes[[#This Row],[BatchID]])&lt;&gt;1,"n.a.",SUMIFS(TblPurchases[Purchase Date],TblPurchases[BatchID],TblOutcomes[[#This Row],[BatchID]]))</f>
        <v>45489</v>
      </c>
    </row>
    <row r="3128" spans="2:17" x14ac:dyDescent="0.25">
      <c r="B3128" s="2" t="s">
        <v>3933</v>
      </c>
      <c r="C3128" s="2" t="s">
        <v>332</v>
      </c>
      <c r="D3128" s="2" t="s">
        <v>334</v>
      </c>
      <c r="E3128" s="2" t="s">
        <v>4647</v>
      </c>
      <c r="F3128" s="2">
        <v>21</v>
      </c>
      <c r="G3128" s="2">
        <v>21</v>
      </c>
      <c r="H3128" s="2">
        <v>0</v>
      </c>
      <c r="I3128" s="1">
        <v>0</v>
      </c>
      <c r="J3128" s="26">
        <v>45555</v>
      </c>
      <c r="K3128" s="22">
        <v>157500</v>
      </c>
      <c r="L3128" s="18">
        <v>168.45</v>
      </c>
      <c r="M3128" s="22">
        <v>112350</v>
      </c>
      <c r="N3128" s="22">
        <v>45150</v>
      </c>
      <c r="O3128" s="18">
        <v>48.29</v>
      </c>
      <c r="P3128" s="52">
        <f>IF(COUNTIF(TblPurchases[BatchID],TblOutcomes[[#This Row],[BatchID]])&lt;&gt;1,"n.a.",TblOutcomes[[#This Row],[Qty Wasted]]*SUMIFS(TblPurchases[Unit Cost (CLP)],TblPurchases[BatchID],TblOutcomes[[#This Row],[BatchID]]))</f>
        <v>0</v>
      </c>
      <c r="Q3128" s="51">
        <f>IF(COUNTIF(TblPurchases[BatchID],TblOutcomes[[#This Row],[BatchID]])&lt;&gt;1,"n.a.",SUMIFS(TblPurchases[Purchase Date],TblPurchases[BatchID],TblOutcomes[[#This Row],[BatchID]]))</f>
        <v>45528</v>
      </c>
    </row>
    <row r="3129" spans="2:17" x14ac:dyDescent="0.25">
      <c r="B3129" s="2" t="s">
        <v>3934</v>
      </c>
      <c r="C3129" s="2" t="s">
        <v>332</v>
      </c>
      <c r="D3129" s="2" t="s">
        <v>334</v>
      </c>
      <c r="E3129" s="2" t="s">
        <v>4647</v>
      </c>
      <c r="F3129" s="2">
        <v>9</v>
      </c>
      <c r="G3129" s="2">
        <v>9</v>
      </c>
      <c r="H3129" s="2">
        <v>0</v>
      </c>
      <c r="I3129" s="1">
        <v>0</v>
      </c>
      <c r="J3129" s="26">
        <v>45619</v>
      </c>
      <c r="K3129" s="22">
        <v>67500</v>
      </c>
      <c r="L3129" s="18">
        <v>72.19</v>
      </c>
      <c r="M3129" s="22">
        <v>48150</v>
      </c>
      <c r="N3129" s="22">
        <v>19350</v>
      </c>
      <c r="O3129" s="18">
        <v>20.7</v>
      </c>
      <c r="P3129" s="52">
        <f>IF(COUNTIF(TblPurchases[BatchID],TblOutcomes[[#This Row],[BatchID]])&lt;&gt;1,"n.a.",TblOutcomes[[#This Row],[Qty Wasted]]*SUMIFS(TblPurchases[Unit Cost (CLP)],TblPurchases[BatchID],TblOutcomes[[#This Row],[BatchID]]))</f>
        <v>0</v>
      </c>
      <c r="Q3129" s="51">
        <f>IF(COUNTIF(TblPurchases[BatchID],TblOutcomes[[#This Row],[BatchID]])&lt;&gt;1,"n.a.",SUMIFS(TblPurchases[Purchase Date],TblPurchases[BatchID],TblOutcomes[[#This Row],[BatchID]]))</f>
        <v>45566</v>
      </c>
    </row>
    <row r="3130" spans="2:17" x14ac:dyDescent="0.25">
      <c r="B3130" s="2" t="s">
        <v>3935</v>
      </c>
      <c r="C3130" s="2" t="s">
        <v>332</v>
      </c>
      <c r="D3130" s="2" t="s">
        <v>334</v>
      </c>
      <c r="E3130" s="2" t="s">
        <v>4646</v>
      </c>
      <c r="F3130" s="2">
        <v>9</v>
      </c>
      <c r="G3130" s="2">
        <v>8.52</v>
      </c>
      <c r="H3130" s="2">
        <v>0.48</v>
      </c>
      <c r="I3130" s="1">
        <v>5.3</v>
      </c>
      <c r="J3130" s="26">
        <v>45893</v>
      </c>
      <c r="K3130" s="22">
        <v>63900</v>
      </c>
      <c r="L3130" s="18">
        <v>68.34</v>
      </c>
      <c r="M3130" s="22">
        <v>49950</v>
      </c>
      <c r="N3130" s="22">
        <v>13950</v>
      </c>
      <c r="O3130" s="18">
        <v>14.92</v>
      </c>
      <c r="P3130" s="52">
        <f>IF(COUNTIF(TblPurchases[BatchID],TblOutcomes[[#This Row],[BatchID]])&lt;&gt;1,"n.a.",TblOutcomes[[#This Row],[Qty Wasted]]*SUMIFS(TblPurchases[Unit Cost (CLP)],TblPurchases[BatchID],TblOutcomes[[#This Row],[BatchID]]))</f>
        <v>2664</v>
      </c>
      <c r="Q3130" s="51">
        <f>IF(COUNTIF(TblPurchases[BatchID],TblOutcomes[[#This Row],[BatchID]])&lt;&gt;1,"n.a.",SUMIFS(TblPurchases[Purchase Date],TblPurchases[BatchID],TblOutcomes[[#This Row],[BatchID]]))</f>
        <v>45593</v>
      </c>
    </row>
    <row r="3131" spans="2:17" x14ac:dyDescent="0.25">
      <c r="B3131" s="2" t="s">
        <v>3936</v>
      </c>
      <c r="C3131" s="2" t="s">
        <v>332</v>
      </c>
      <c r="D3131" s="2" t="s">
        <v>334</v>
      </c>
      <c r="E3131" s="2" t="s">
        <v>4646</v>
      </c>
      <c r="F3131" s="2">
        <v>12</v>
      </c>
      <c r="G3131" s="2">
        <v>11.87</v>
      </c>
      <c r="H3131" s="2">
        <v>0.13</v>
      </c>
      <c r="I3131" s="1">
        <v>1.1000000000000001</v>
      </c>
      <c r="J3131" s="26">
        <v>45933</v>
      </c>
      <c r="K3131" s="22">
        <v>89025</v>
      </c>
      <c r="L3131" s="18">
        <v>95.21</v>
      </c>
      <c r="M3131" s="22">
        <v>64200</v>
      </c>
      <c r="N3131" s="22">
        <v>24825</v>
      </c>
      <c r="O3131" s="18">
        <v>26.55</v>
      </c>
      <c r="P3131" s="52">
        <f>IF(COUNTIF(TblPurchases[BatchID],TblOutcomes[[#This Row],[BatchID]])&lt;&gt;1,"n.a.",TblOutcomes[[#This Row],[Qty Wasted]]*SUMIFS(TblPurchases[Unit Cost (CLP)],TblPurchases[BatchID],TblOutcomes[[#This Row],[BatchID]]))</f>
        <v>695.5</v>
      </c>
      <c r="Q3131" s="51">
        <f>IF(COUNTIF(TblPurchases[BatchID],TblOutcomes[[#This Row],[BatchID]])&lt;&gt;1,"n.a.",SUMIFS(TblPurchases[Purchase Date],TblPurchases[BatchID],TblOutcomes[[#This Row],[BatchID]]))</f>
        <v>45633</v>
      </c>
    </row>
    <row r="3132" spans="2:17" x14ac:dyDescent="0.25">
      <c r="B3132" s="2" t="s">
        <v>3937</v>
      </c>
      <c r="C3132" s="2" t="s">
        <v>332</v>
      </c>
      <c r="D3132" s="2" t="s">
        <v>334</v>
      </c>
      <c r="E3132" s="2" t="s">
        <v>4646</v>
      </c>
      <c r="F3132" s="2">
        <v>10</v>
      </c>
      <c r="G3132" s="2">
        <v>9.75</v>
      </c>
      <c r="H3132" s="2">
        <v>0.25</v>
      </c>
      <c r="I3132" s="1">
        <v>2.5</v>
      </c>
      <c r="J3132" s="26">
        <v>45971</v>
      </c>
      <c r="K3132" s="22">
        <v>73125</v>
      </c>
      <c r="L3132" s="18">
        <v>78.209999999999994</v>
      </c>
      <c r="M3132" s="22">
        <v>53500</v>
      </c>
      <c r="N3132" s="22">
        <v>19625</v>
      </c>
      <c r="O3132" s="18">
        <v>20.99</v>
      </c>
      <c r="P3132" s="52">
        <f>IF(COUNTIF(TblPurchases[BatchID],TblOutcomes[[#This Row],[BatchID]])&lt;&gt;1,"n.a.",TblOutcomes[[#This Row],[Qty Wasted]]*SUMIFS(TblPurchases[Unit Cost (CLP)],TblPurchases[BatchID],TblOutcomes[[#This Row],[BatchID]]))</f>
        <v>1337.5</v>
      </c>
      <c r="Q3132" s="51">
        <f>IF(COUNTIF(TblPurchases[BatchID],TblOutcomes[[#This Row],[BatchID]])&lt;&gt;1,"n.a.",SUMIFS(TblPurchases[Purchase Date],TblPurchases[BatchID],TblOutcomes[[#This Row],[BatchID]]))</f>
        <v>45671</v>
      </c>
    </row>
    <row r="3133" spans="2:17" x14ac:dyDescent="0.25">
      <c r="B3133" s="2" t="s">
        <v>3938</v>
      </c>
      <c r="C3133" s="2" t="s">
        <v>332</v>
      </c>
      <c r="D3133" s="2" t="s">
        <v>334</v>
      </c>
      <c r="E3133" s="2" t="s">
        <v>4646</v>
      </c>
      <c r="F3133" s="2">
        <v>9</v>
      </c>
      <c r="G3133" s="2">
        <v>8.51</v>
      </c>
      <c r="H3133" s="2">
        <v>0.49</v>
      </c>
      <c r="I3133" s="1">
        <v>5.4</v>
      </c>
      <c r="J3133" s="26">
        <v>46008</v>
      </c>
      <c r="K3133" s="22">
        <v>63825</v>
      </c>
      <c r="L3133" s="18">
        <v>68.260000000000005</v>
      </c>
      <c r="M3133" s="22">
        <v>48150</v>
      </c>
      <c r="N3133" s="22">
        <v>15675</v>
      </c>
      <c r="O3133" s="18">
        <v>16.760000000000002</v>
      </c>
      <c r="P3133" s="52">
        <f>IF(COUNTIF(TblPurchases[BatchID],TblOutcomes[[#This Row],[BatchID]])&lt;&gt;1,"n.a.",TblOutcomes[[#This Row],[Qty Wasted]]*SUMIFS(TblPurchases[Unit Cost (CLP)],TblPurchases[BatchID],TblOutcomes[[#This Row],[BatchID]]))</f>
        <v>2621.5</v>
      </c>
      <c r="Q3133" s="51">
        <f>IF(COUNTIF(TblPurchases[BatchID],TblOutcomes[[#This Row],[BatchID]])&lt;&gt;1,"n.a.",SUMIFS(TblPurchases[Purchase Date],TblPurchases[BatchID],TblOutcomes[[#This Row],[BatchID]]))</f>
        <v>45708</v>
      </c>
    </row>
    <row r="3134" spans="2:17" x14ac:dyDescent="0.25">
      <c r="B3134" s="2" t="s">
        <v>3939</v>
      </c>
      <c r="C3134" s="2" t="s">
        <v>332</v>
      </c>
      <c r="D3134" s="2" t="s">
        <v>334</v>
      </c>
      <c r="E3134" s="2" t="s">
        <v>4646</v>
      </c>
      <c r="F3134" s="2">
        <v>9</v>
      </c>
      <c r="G3134" s="2">
        <v>8.7799999999999994</v>
      </c>
      <c r="H3134" s="2">
        <v>0.23</v>
      </c>
      <c r="I3134" s="1">
        <v>2.5</v>
      </c>
      <c r="J3134" s="26">
        <v>46037</v>
      </c>
      <c r="K3134" s="22">
        <v>65850</v>
      </c>
      <c r="L3134" s="18">
        <v>70.430000000000007</v>
      </c>
      <c r="M3134" s="22">
        <v>48150</v>
      </c>
      <c r="N3134" s="22">
        <v>17700</v>
      </c>
      <c r="O3134" s="18">
        <v>18.93</v>
      </c>
      <c r="P3134" s="52">
        <f>IF(COUNTIF(TblPurchases[BatchID],TblOutcomes[[#This Row],[BatchID]])&lt;&gt;1,"n.a.",TblOutcomes[[#This Row],[Qty Wasted]]*SUMIFS(TblPurchases[Unit Cost (CLP)],TblPurchases[BatchID],TblOutcomes[[#This Row],[BatchID]]))</f>
        <v>1230.5</v>
      </c>
      <c r="Q3134" s="51">
        <f>IF(COUNTIF(TblPurchases[BatchID],TblOutcomes[[#This Row],[BatchID]])&lt;&gt;1,"n.a.",SUMIFS(TblPurchases[Purchase Date],TblPurchases[BatchID],TblOutcomes[[#This Row],[BatchID]]))</f>
        <v>45737</v>
      </c>
    </row>
    <row r="3135" spans="2:17" x14ac:dyDescent="0.25">
      <c r="B3135" s="2" t="s">
        <v>3940</v>
      </c>
      <c r="C3135" s="2" t="s">
        <v>332</v>
      </c>
      <c r="D3135" s="2" t="s">
        <v>334</v>
      </c>
      <c r="E3135" s="2" t="s">
        <v>4647</v>
      </c>
      <c r="F3135" s="2">
        <v>28</v>
      </c>
      <c r="G3135" s="2">
        <v>28</v>
      </c>
      <c r="H3135" s="2">
        <v>0</v>
      </c>
      <c r="I3135" s="1">
        <v>0</v>
      </c>
      <c r="J3135" s="26">
        <v>45793</v>
      </c>
      <c r="K3135" s="22">
        <v>210000</v>
      </c>
      <c r="L3135" s="18">
        <v>224.6</v>
      </c>
      <c r="M3135" s="22">
        <v>149800</v>
      </c>
      <c r="N3135" s="22">
        <v>60200</v>
      </c>
      <c r="O3135" s="18">
        <v>64.39</v>
      </c>
      <c r="P3135" s="52">
        <f>IF(COUNTIF(TblPurchases[BatchID],TblOutcomes[[#This Row],[BatchID]])&lt;&gt;1,"n.a.",TblOutcomes[[#This Row],[Qty Wasted]]*SUMIFS(TblPurchases[Unit Cost (CLP)],TblPurchases[BatchID],TblOutcomes[[#This Row],[BatchID]]))</f>
        <v>0</v>
      </c>
      <c r="Q3135" s="51">
        <f>IF(COUNTIF(TblPurchases[BatchID],TblOutcomes[[#This Row],[BatchID]])&lt;&gt;1,"n.a.",SUMIFS(TblPurchases[Purchase Date],TblPurchases[BatchID],TblOutcomes[[#This Row],[BatchID]]))</f>
        <v>45772</v>
      </c>
    </row>
    <row r="3136" spans="2:17" x14ac:dyDescent="0.25">
      <c r="B3136" s="2" t="s">
        <v>3941</v>
      </c>
      <c r="C3136" s="2" t="s">
        <v>332</v>
      </c>
      <c r="D3136" s="2" t="s">
        <v>334</v>
      </c>
      <c r="E3136" s="2" t="s">
        <v>4647</v>
      </c>
      <c r="F3136" s="2">
        <v>30</v>
      </c>
      <c r="G3136" s="2">
        <v>30</v>
      </c>
      <c r="H3136" s="2">
        <v>0</v>
      </c>
      <c r="I3136" s="1">
        <v>0</v>
      </c>
      <c r="J3136" s="26">
        <v>45823</v>
      </c>
      <c r="K3136" s="22">
        <v>225000</v>
      </c>
      <c r="L3136" s="18">
        <v>240.64</v>
      </c>
      <c r="M3136" s="22">
        <v>160500</v>
      </c>
      <c r="N3136" s="22">
        <v>64500</v>
      </c>
      <c r="O3136" s="18">
        <v>68.98</v>
      </c>
      <c r="P3136" s="52">
        <f>IF(COUNTIF(TblPurchases[BatchID],TblOutcomes[[#This Row],[BatchID]])&lt;&gt;1,"n.a.",TblOutcomes[[#This Row],[Qty Wasted]]*SUMIFS(TblPurchases[Unit Cost (CLP)],TblPurchases[BatchID],TblOutcomes[[#This Row],[BatchID]]))</f>
        <v>0</v>
      </c>
      <c r="Q3136" s="51">
        <f>IF(COUNTIF(TblPurchases[BatchID],TblOutcomes[[#This Row],[BatchID]])&lt;&gt;1,"n.a.",SUMIFS(TblPurchases[Purchase Date],TblPurchases[BatchID],TblOutcomes[[#This Row],[BatchID]]))</f>
        <v>45802</v>
      </c>
    </row>
    <row r="3137" spans="2:17" x14ac:dyDescent="0.25">
      <c r="B3137" s="2" t="s">
        <v>3942</v>
      </c>
      <c r="C3137" s="2" t="s">
        <v>332</v>
      </c>
      <c r="D3137" s="2" t="s">
        <v>334</v>
      </c>
      <c r="E3137" s="2" t="s">
        <v>4647</v>
      </c>
      <c r="F3137" s="2">
        <v>27</v>
      </c>
      <c r="G3137" s="2">
        <v>27</v>
      </c>
      <c r="H3137" s="2">
        <v>0</v>
      </c>
      <c r="I3137" s="1">
        <v>0</v>
      </c>
      <c r="J3137" s="26">
        <v>45850</v>
      </c>
      <c r="K3137" s="22">
        <v>202500</v>
      </c>
      <c r="L3137" s="18">
        <v>216.58</v>
      </c>
      <c r="M3137" s="22">
        <v>144450</v>
      </c>
      <c r="N3137" s="22">
        <v>58050</v>
      </c>
      <c r="O3137" s="18">
        <v>62.09</v>
      </c>
      <c r="P3137" s="52">
        <f>IF(COUNTIF(TblPurchases[BatchID],TblOutcomes[[#This Row],[BatchID]])&lt;&gt;1,"n.a.",TblOutcomes[[#This Row],[Qty Wasted]]*SUMIFS(TblPurchases[Unit Cost (CLP)],TblPurchases[BatchID],TblOutcomes[[#This Row],[BatchID]]))</f>
        <v>0</v>
      </c>
      <c r="Q3137" s="51">
        <f>IF(COUNTIF(TblPurchases[BatchID],TblOutcomes[[#This Row],[BatchID]])&lt;&gt;1,"n.a.",SUMIFS(TblPurchases[Purchase Date],TblPurchases[BatchID],TblOutcomes[[#This Row],[BatchID]]))</f>
        <v>45835</v>
      </c>
    </row>
    <row r="3138" spans="2:17" x14ac:dyDescent="0.25">
      <c r="B3138" s="2" t="s">
        <v>3943</v>
      </c>
      <c r="C3138" s="2" t="s">
        <v>335</v>
      </c>
      <c r="D3138" s="2" t="s">
        <v>334</v>
      </c>
      <c r="E3138" s="2" t="s">
        <v>4647</v>
      </c>
      <c r="F3138" s="2">
        <v>24</v>
      </c>
      <c r="G3138" s="2">
        <v>24</v>
      </c>
      <c r="H3138" s="2">
        <v>0</v>
      </c>
      <c r="I3138" s="1">
        <v>0</v>
      </c>
      <c r="J3138" s="26">
        <v>45149</v>
      </c>
      <c r="K3138" s="22">
        <v>168000</v>
      </c>
      <c r="L3138" s="18">
        <v>179.68</v>
      </c>
      <c r="M3138" s="22">
        <v>123600</v>
      </c>
      <c r="N3138" s="22">
        <v>44400</v>
      </c>
      <c r="O3138" s="18">
        <v>47.49</v>
      </c>
      <c r="P3138" s="52">
        <f>IF(COUNTIF(TblPurchases[BatchID],TblOutcomes[[#This Row],[BatchID]])&lt;&gt;1,"n.a.",TblOutcomes[[#This Row],[Qty Wasted]]*SUMIFS(TblPurchases[Unit Cost (CLP)],TblPurchases[BatchID],TblOutcomes[[#This Row],[BatchID]]))</f>
        <v>0</v>
      </c>
      <c r="Q3138" s="51">
        <f>IF(COUNTIF(TblPurchases[BatchID],TblOutcomes[[#This Row],[BatchID]])&lt;&gt;1,"n.a.",SUMIFS(TblPurchases[Purchase Date],TblPurchases[BatchID],TblOutcomes[[#This Row],[BatchID]]))</f>
        <v>45117</v>
      </c>
    </row>
    <row r="3139" spans="2:17" x14ac:dyDescent="0.25">
      <c r="B3139" s="2" t="s">
        <v>3944</v>
      </c>
      <c r="C3139" s="2" t="s">
        <v>335</v>
      </c>
      <c r="D3139" s="2" t="s">
        <v>334</v>
      </c>
      <c r="E3139" s="2" t="s">
        <v>4647</v>
      </c>
      <c r="F3139" s="2">
        <v>24</v>
      </c>
      <c r="G3139" s="2">
        <v>24</v>
      </c>
      <c r="H3139" s="2">
        <v>0</v>
      </c>
      <c r="I3139" s="1">
        <v>0</v>
      </c>
      <c r="J3139" s="26">
        <v>45194</v>
      </c>
      <c r="K3139" s="22">
        <v>168000</v>
      </c>
      <c r="L3139" s="18">
        <v>179.68</v>
      </c>
      <c r="M3139" s="22">
        <v>123600</v>
      </c>
      <c r="N3139" s="22">
        <v>44400</v>
      </c>
      <c r="O3139" s="18">
        <v>47.49</v>
      </c>
      <c r="P3139" s="52">
        <f>IF(COUNTIF(TblPurchases[BatchID],TblOutcomes[[#This Row],[BatchID]])&lt;&gt;1,"n.a.",TblOutcomes[[#This Row],[Qty Wasted]]*SUMIFS(TblPurchases[Unit Cost (CLP)],TblPurchases[BatchID],TblOutcomes[[#This Row],[BatchID]]))</f>
        <v>0</v>
      </c>
      <c r="Q3139" s="51">
        <f>IF(COUNTIF(TblPurchases[BatchID],TblOutcomes[[#This Row],[BatchID]])&lt;&gt;1,"n.a.",SUMIFS(TblPurchases[Purchase Date],TblPurchases[BatchID],TblOutcomes[[#This Row],[BatchID]]))</f>
        <v>45158</v>
      </c>
    </row>
    <row r="3140" spans="2:17" x14ac:dyDescent="0.25">
      <c r="B3140" s="2" t="s">
        <v>3945</v>
      </c>
      <c r="C3140" s="2" t="s">
        <v>335</v>
      </c>
      <c r="D3140" s="2" t="s">
        <v>334</v>
      </c>
      <c r="E3140" s="2" t="s">
        <v>4647</v>
      </c>
      <c r="F3140" s="2">
        <v>29</v>
      </c>
      <c r="G3140" s="2">
        <v>29</v>
      </c>
      <c r="H3140" s="2">
        <v>0</v>
      </c>
      <c r="I3140" s="1">
        <v>0</v>
      </c>
      <c r="J3140" s="26">
        <v>45221</v>
      </c>
      <c r="K3140" s="22">
        <v>203000</v>
      </c>
      <c r="L3140" s="18">
        <v>217.11</v>
      </c>
      <c r="M3140" s="22">
        <v>149350</v>
      </c>
      <c r="N3140" s="22">
        <v>53650</v>
      </c>
      <c r="O3140" s="18">
        <v>57.38</v>
      </c>
      <c r="P3140" s="52">
        <f>IF(COUNTIF(TblPurchases[BatchID],TblOutcomes[[#This Row],[BatchID]])&lt;&gt;1,"n.a.",TblOutcomes[[#This Row],[Qty Wasted]]*SUMIFS(TblPurchases[Unit Cost (CLP)],TblPurchases[BatchID],TblOutcomes[[#This Row],[BatchID]]))</f>
        <v>0</v>
      </c>
      <c r="Q3140" s="51">
        <f>IF(COUNTIF(TblPurchases[BatchID],TblOutcomes[[#This Row],[BatchID]])&lt;&gt;1,"n.a.",SUMIFS(TblPurchases[Purchase Date],TblPurchases[BatchID],TblOutcomes[[#This Row],[BatchID]]))</f>
        <v>45194</v>
      </c>
    </row>
    <row r="3141" spans="2:17" x14ac:dyDescent="0.25">
      <c r="B3141" s="2" t="s">
        <v>3946</v>
      </c>
      <c r="C3141" s="2" t="s">
        <v>335</v>
      </c>
      <c r="D3141" s="2" t="s">
        <v>334</v>
      </c>
      <c r="E3141" s="2" t="s">
        <v>4646</v>
      </c>
      <c r="F3141" s="2">
        <v>9</v>
      </c>
      <c r="G3141" s="2">
        <v>8.74</v>
      </c>
      <c r="H3141" s="2">
        <v>0.26</v>
      </c>
      <c r="I3141" s="1">
        <v>2.9</v>
      </c>
      <c r="J3141" s="26">
        <v>45542</v>
      </c>
      <c r="K3141" s="22">
        <v>61180</v>
      </c>
      <c r="L3141" s="18">
        <v>65.430000000000007</v>
      </c>
      <c r="M3141" s="22">
        <v>46350</v>
      </c>
      <c r="N3141" s="22">
        <v>14830</v>
      </c>
      <c r="O3141" s="18">
        <v>15.86</v>
      </c>
      <c r="P3141" s="52">
        <f>IF(COUNTIF(TblPurchases[BatchID],TblOutcomes[[#This Row],[BatchID]])&lt;&gt;1,"n.a.",TblOutcomes[[#This Row],[Qty Wasted]]*SUMIFS(TblPurchases[Unit Cost (CLP)],TblPurchases[BatchID],TblOutcomes[[#This Row],[BatchID]]))</f>
        <v>1339</v>
      </c>
      <c r="Q3141" s="51">
        <f>IF(COUNTIF(TblPurchases[BatchID],TblOutcomes[[#This Row],[BatchID]])&lt;&gt;1,"n.a.",SUMIFS(TblPurchases[Purchase Date],TblPurchases[BatchID],TblOutcomes[[#This Row],[BatchID]]))</f>
        <v>45242</v>
      </c>
    </row>
    <row r="3142" spans="2:17" x14ac:dyDescent="0.25">
      <c r="B3142" s="2" t="s">
        <v>3947</v>
      </c>
      <c r="C3142" s="2" t="s">
        <v>335</v>
      </c>
      <c r="D3142" s="2" t="s">
        <v>334</v>
      </c>
      <c r="E3142" s="2" t="s">
        <v>4647</v>
      </c>
      <c r="F3142" s="2">
        <v>13</v>
      </c>
      <c r="G3142" s="2">
        <v>13</v>
      </c>
      <c r="H3142" s="2">
        <v>0</v>
      </c>
      <c r="I3142" s="1">
        <v>0</v>
      </c>
      <c r="J3142" s="26">
        <v>45284</v>
      </c>
      <c r="K3142" s="22">
        <v>91000</v>
      </c>
      <c r="L3142" s="18">
        <v>97.33</v>
      </c>
      <c r="M3142" s="22">
        <v>66950</v>
      </c>
      <c r="N3142" s="22">
        <v>24050</v>
      </c>
      <c r="O3142" s="18">
        <v>25.72</v>
      </c>
      <c r="P3142" s="52">
        <f>IF(COUNTIF(TblPurchases[BatchID],TblOutcomes[[#This Row],[BatchID]])&lt;&gt;1,"n.a.",TblOutcomes[[#This Row],[Qty Wasted]]*SUMIFS(TblPurchases[Unit Cost (CLP)],TblPurchases[BatchID],TblOutcomes[[#This Row],[BatchID]]))</f>
        <v>0</v>
      </c>
      <c r="Q3142" s="51">
        <f>IF(COUNTIF(TblPurchases[BatchID],TblOutcomes[[#This Row],[BatchID]])&lt;&gt;1,"n.a.",SUMIFS(TblPurchases[Purchase Date],TblPurchases[BatchID],TblOutcomes[[#This Row],[BatchID]]))</f>
        <v>45273</v>
      </c>
    </row>
    <row r="3143" spans="2:17" x14ac:dyDescent="0.25">
      <c r="B3143" s="2" t="s">
        <v>3948</v>
      </c>
      <c r="C3143" s="2" t="s">
        <v>335</v>
      </c>
      <c r="D3143" s="2" t="s">
        <v>334</v>
      </c>
      <c r="E3143" s="2" t="s">
        <v>4646</v>
      </c>
      <c r="F3143" s="2">
        <v>9</v>
      </c>
      <c r="G3143" s="2">
        <v>8.7200000000000006</v>
      </c>
      <c r="H3143" s="2">
        <v>0.28000000000000003</v>
      </c>
      <c r="I3143" s="1">
        <v>3.1</v>
      </c>
      <c r="J3143" s="26">
        <v>45615</v>
      </c>
      <c r="K3143" s="22">
        <v>61040</v>
      </c>
      <c r="L3143" s="18">
        <v>65.28</v>
      </c>
      <c r="M3143" s="22">
        <v>46350</v>
      </c>
      <c r="N3143" s="22">
        <v>14690</v>
      </c>
      <c r="O3143" s="18">
        <v>15.71</v>
      </c>
      <c r="P3143" s="52">
        <f>IF(COUNTIF(TblPurchases[BatchID],TblOutcomes[[#This Row],[BatchID]])&lt;&gt;1,"n.a.",TblOutcomes[[#This Row],[Qty Wasted]]*SUMIFS(TblPurchases[Unit Cost (CLP)],TblPurchases[BatchID],TblOutcomes[[#This Row],[BatchID]]))</f>
        <v>1442.0000000000002</v>
      </c>
      <c r="Q3143" s="51">
        <f>IF(COUNTIF(TblPurchases[BatchID],TblOutcomes[[#This Row],[BatchID]])&lt;&gt;1,"n.a.",SUMIFS(TblPurchases[Purchase Date],TblPurchases[BatchID],TblOutcomes[[#This Row],[BatchID]]))</f>
        <v>45315</v>
      </c>
    </row>
    <row r="3144" spans="2:17" x14ac:dyDescent="0.25">
      <c r="B3144" s="2" t="s">
        <v>3949</v>
      </c>
      <c r="C3144" s="2" t="s">
        <v>335</v>
      </c>
      <c r="D3144" s="2" t="s">
        <v>334</v>
      </c>
      <c r="E3144" s="2" t="s">
        <v>4646</v>
      </c>
      <c r="F3144" s="2">
        <v>9</v>
      </c>
      <c r="G3144" s="2">
        <v>8.58</v>
      </c>
      <c r="H3144" s="2">
        <v>0.42</v>
      </c>
      <c r="I3144" s="1">
        <v>4.7</v>
      </c>
      <c r="J3144" s="26">
        <v>45646</v>
      </c>
      <c r="K3144" s="22">
        <v>60060</v>
      </c>
      <c r="L3144" s="18">
        <v>64.239999999999995</v>
      </c>
      <c r="M3144" s="22">
        <v>46350</v>
      </c>
      <c r="N3144" s="22">
        <v>13710</v>
      </c>
      <c r="O3144" s="18">
        <v>14.66</v>
      </c>
      <c r="P3144" s="52">
        <f>IF(COUNTIF(TblPurchases[BatchID],TblOutcomes[[#This Row],[BatchID]])&lt;&gt;1,"n.a.",TblOutcomes[[#This Row],[Qty Wasted]]*SUMIFS(TblPurchases[Unit Cost (CLP)],TblPurchases[BatchID],TblOutcomes[[#This Row],[BatchID]]))</f>
        <v>2163</v>
      </c>
      <c r="Q3144" s="51">
        <f>IF(COUNTIF(TblPurchases[BatchID],TblOutcomes[[#This Row],[BatchID]])&lt;&gt;1,"n.a.",SUMIFS(TblPurchases[Purchase Date],TblPurchases[BatchID],TblOutcomes[[#This Row],[BatchID]]))</f>
        <v>45346</v>
      </c>
    </row>
    <row r="3145" spans="2:17" x14ac:dyDescent="0.25">
      <c r="B3145" s="2" t="s">
        <v>3950</v>
      </c>
      <c r="C3145" s="2" t="s">
        <v>335</v>
      </c>
      <c r="D3145" s="2" t="s">
        <v>334</v>
      </c>
      <c r="E3145" s="2" t="s">
        <v>4647</v>
      </c>
      <c r="F3145" s="2">
        <v>8</v>
      </c>
      <c r="G3145" s="2">
        <v>8</v>
      </c>
      <c r="H3145" s="2">
        <v>0</v>
      </c>
      <c r="I3145" s="1">
        <v>0</v>
      </c>
      <c r="J3145" s="26">
        <v>45437</v>
      </c>
      <c r="K3145" s="22">
        <v>56000</v>
      </c>
      <c r="L3145" s="18">
        <v>59.89</v>
      </c>
      <c r="M3145" s="22">
        <v>40800</v>
      </c>
      <c r="N3145" s="22">
        <v>15200</v>
      </c>
      <c r="O3145" s="18">
        <v>16.260000000000002</v>
      </c>
      <c r="P3145" s="52">
        <f>IF(COUNTIF(TblPurchases[BatchID],TblOutcomes[[#This Row],[BatchID]])&lt;&gt;1,"n.a.",TblOutcomes[[#This Row],[Qty Wasted]]*SUMIFS(TblPurchases[Unit Cost (CLP)],TblPurchases[BatchID],TblOutcomes[[#This Row],[BatchID]]))</f>
        <v>0</v>
      </c>
      <c r="Q3145" s="51">
        <f>IF(COUNTIF(TblPurchases[BatchID],TblOutcomes[[#This Row],[BatchID]])&lt;&gt;1,"n.a.",SUMIFS(TblPurchases[Purchase Date],TblPurchases[BatchID],TblOutcomes[[#This Row],[BatchID]]))</f>
        <v>45374</v>
      </c>
    </row>
    <row r="3146" spans="2:17" x14ac:dyDescent="0.25">
      <c r="B3146" s="2" t="s">
        <v>3951</v>
      </c>
      <c r="C3146" s="2" t="s">
        <v>335</v>
      </c>
      <c r="D3146" s="2" t="s">
        <v>334</v>
      </c>
      <c r="E3146" s="2" t="s">
        <v>4647</v>
      </c>
      <c r="F3146" s="2">
        <v>23</v>
      </c>
      <c r="G3146" s="2">
        <v>23</v>
      </c>
      <c r="H3146" s="2">
        <v>0</v>
      </c>
      <c r="I3146" s="1">
        <v>0</v>
      </c>
      <c r="J3146" s="26">
        <v>45436</v>
      </c>
      <c r="K3146" s="22">
        <v>161000</v>
      </c>
      <c r="L3146" s="18">
        <v>172.19</v>
      </c>
      <c r="M3146" s="22">
        <v>117300</v>
      </c>
      <c r="N3146" s="22">
        <v>43700</v>
      </c>
      <c r="O3146" s="18">
        <v>46.74</v>
      </c>
      <c r="P3146" s="52">
        <f>IF(COUNTIF(TblPurchases[BatchID],TblOutcomes[[#This Row],[BatchID]])&lt;&gt;1,"n.a.",TblOutcomes[[#This Row],[Qty Wasted]]*SUMIFS(TblPurchases[Unit Cost (CLP)],TblPurchases[BatchID],TblOutcomes[[#This Row],[BatchID]]))</f>
        <v>0</v>
      </c>
      <c r="Q3146" s="51">
        <f>IF(COUNTIF(TblPurchases[BatchID],TblOutcomes[[#This Row],[BatchID]])&lt;&gt;1,"n.a.",SUMIFS(TblPurchases[Purchase Date],TblPurchases[BatchID],TblOutcomes[[#This Row],[BatchID]]))</f>
        <v>45407</v>
      </c>
    </row>
    <row r="3147" spans="2:17" x14ac:dyDescent="0.25">
      <c r="B3147" s="2" t="s">
        <v>3952</v>
      </c>
      <c r="C3147" s="2" t="s">
        <v>335</v>
      </c>
      <c r="D3147" s="2" t="s">
        <v>334</v>
      </c>
      <c r="E3147" s="2" t="s">
        <v>4647</v>
      </c>
      <c r="F3147" s="2">
        <v>22</v>
      </c>
      <c r="G3147" s="2">
        <v>22</v>
      </c>
      <c r="H3147" s="2">
        <v>0</v>
      </c>
      <c r="I3147" s="1">
        <v>0</v>
      </c>
      <c r="J3147" s="26">
        <v>45474</v>
      </c>
      <c r="K3147" s="22">
        <v>154000</v>
      </c>
      <c r="L3147" s="18">
        <v>164.71</v>
      </c>
      <c r="M3147" s="22">
        <v>112200</v>
      </c>
      <c r="N3147" s="22">
        <v>41800</v>
      </c>
      <c r="O3147" s="18">
        <v>44.71</v>
      </c>
      <c r="P3147" s="52">
        <f>IF(COUNTIF(TblPurchases[BatchID],TblOutcomes[[#This Row],[BatchID]])&lt;&gt;1,"n.a.",TblOutcomes[[#This Row],[Qty Wasted]]*SUMIFS(TblPurchases[Unit Cost (CLP)],TblPurchases[BatchID],TblOutcomes[[#This Row],[BatchID]]))</f>
        <v>0</v>
      </c>
      <c r="Q3147" s="51">
        <f>IF(COUNTIF(TblPurchases[BatchID],TblOutcomes[[#This Row],[BatchID]])&lt;&gt;1,"n.a.",SUMIFS(TblPurchases[Purchase Date],TblPurchases[BatchID],TblOutcomes[[#This Row],[BatchID]]))</f>
        <v>45442</v>
      </c>
    </row>
    <row r="3148" spans="2:17" x14ac:dyDescent="0.25">
      <c r="B3148" s="2" t="s">
        <v>3953</v>
      </c>
      <c r="C3148" s="2" t="s">
        <v>335</v>
      </c>
      <c r="D3148" s="2" t="s">
        <v>334</v>
      </c>
      <c r="E3148" s="2" t="s">
        <v>4647</v>
      </c>
      <c r="F3148" s="2">
        <v>24</v>
      </c>
      <c r="G3148" s="2">
        <v>24</v>
      </c>
      <c r="H3148" s="2">
        <v>0</v>
      </c>
      <c r="I3148" s="1">
        <v>0</v>
      </c>
      <c r="J3148" s="26">
        <v>45509</v>
      </c>
      <c r="K3148" s="22">
        <v>168000</v>
      </c>
      <c r="L3148" s="18">
        <v>179.68</v>
      </c>
      <c r="M3148" s="22">
        <v>122400</v>
      </c>
      <c r="N3148" s="22">
        <v>45600</v>
      </c>
      <c r="O3148" s="18">
        <v>48.77</v>
      </c>
      <c r="P3148" s="52">
        <f>IF(COUNTIF(TblPurchases[BatchID],TblOutcomes[[#This Row],[BatchID]])&lt;&gt;1,"n.a.",TblOutcomes[[#This Row],[Qty Wasted]]*SUMIFS(TblPurchases[Unit Cost (CLP)],TblPurchases[BatchID],TblOutcomes[[#This Row],[BatchID]]))</f>
        <v>0</v>
      </c>
      <c r="Q3148" s="51">
        <f>IF(COUNTIF(TblPurchases[BatchID],TblOutcomes[[#This Row],[BatchID]])&lt;&gt;1,"n.a.",SUMIFS(TblPurchases[Purchase Date],TblPurchases[BatchID],TblOutcomes[[#This Row],[BatchID]]))</f>
        <v>45484</v>
      </c>
    </row>
    <row r="3149" spans="2:17" x14ac:dyDescent="0.25">
      <c r="B3149" s="2" t="s">
        <v>3954</v>
      </c>
      <c r="C3149" s="2" t="s">
        <v>335</v>
      </c>
      <c r="D3149" s="2" t="s">
        <v>334</v>
      </c>
      <c r="E3149" s="2" t="s">
        <v>4646</v>
      </c>
      <c r="F3149" s="2">
        <v>26</v>
      </c>
      <c r="G3149" s="2">
        <v>25.09</v>
      </c>
      <c r="H3149" s="2">
        <v>0.91</v>
      </c>
      <c r="I3149" s="1">
        <v>3.5</v>
      </c>
      <c r="J3149" s="26">
        <v>45815</v>
      </c>
      <c r="K3149" s="22">
        <v>175630</v>
      </c>
      <c r="L3149" s="18">
        <v>187.84</v>
      </c>
      <c r="M3149" s="22">
        <v>133900</v>
      </c>
      <c r="N3149" s="22">
        <v>41730</v>
      </c>
      <c r="O3149" s="18">
        <v>44.63</v>
      </c>
      <c r="P3149" s="52">
        <f>IF(COUNTIF(TblPurchases[BatchID],TblOutcomes[[#This Row],[BatchID]])&lt;&gt;1,"n.a.",TblOutcomes[[#This Row],[Qty Wasted]]*SUMIFS(TblPurchases[Unit Cost (CLP)],TblPurchases[BatchID],TblOutcomes[[#This Row],[BatchID]]))</f>
        <v>4686.5</v>
      </c>
      <c r="Q3149" s="51">
        <f>IF(COUNTIF(TblPurchases[BatchID],TblOutcomes[[#This Row],[BatchID]])&lt;&gt;1,"n.a.",SUMIFS(TblPurchases[Purchase Date],TblPurchases[BatchID],TblOutcomes[[#This Row],[BatchID]]))</f>
        <v>45515</v>
      </c>
    </row>
    <row r="3150" spans="2:17" x14ac:dyDescent="0.25">
      <c r="B3150" s="2" t="s">
        <v>3955</v>
      </c>
      <c r="C3150" s="2" t="s">
        <v>335</v>
      </c>
      <c r="D3150" s="2" t="s">
        <v>334</v>
      </c>
      <c r="E3150" s="2" t="s">
        <v>4646</v>
      </c>
      <c r="F3150" s="2">
        <v>30</v>
      </c>
      <c r="G3150" s="2">
        <v>28.95</v>
      </c>
      <c r="H3150" s="2">
        <v>1.05</v>
      </c>
      <c r="I3150" s="1">
        <v>3.5</v>
      </c>
      <c r="J3150" s="26">
        <v>45851</v>
      </c>
      <c r="K3150" s="22">
        <v>202650</v>
      </c>
      <c r="L3150" s="18">
        <v>216.74</v>
      </c>
      <c r="M3150" s="22">
        <v>154500</v>
      </c>
      <c r="N3150" s="22">
        <v>48150</v>
      </c>
      <c r="O3150" s="18">
        <v>51.5</v>
      </c>
      <c r="P3150" s="52">
        <f>IF(COUNTIF(TblPurchases[BatchID],TblOutcomes[[#This Row],[BatchID]])&lt;&gt;1,"n.a.",TblOutcomes[[#This Row],[Qty Wasted]]*SUMIFS(TblPurchases[Unit Cost (CLP)],TblPurchases[BatchID],TblOutcomes[[#This Row],[BatchID]]))</f>
        <v>5407.5</v>
      </c>
      <c r="Q3150" s="51">
        <f>IF(COUNTIF(TblPurchases[BatchID],TblOutcomes[[#This Row],[BatchID]])&lt;&gt;1,"n.a.",SUMIFS(TblPurchases[Purchase Date],TblPurchases[BatchID],TblOutcomes[[#This Row],[BatchID]]))</f>
        <v>45551</v>
      </c>
    </row>
    <row r="3151" spans="2:17" x14ac:dyDescent="0.25">
      <c r="B3151" s="2" t="s">
        <v>3956</v>
      </c>
      <c r="C3151" s="2" t="s">
        <v>335</v>
      </c>
      <c r="D3151" s="2" t="s">
        <v>334</v>
      </c>
      <c r="E3151" s="2" t="s">
        <v>4647</v>
      </c>
      <c r="F3151" s="2">
        <v>8</v>
      </c>
      <c r="G3151" s="2">
        <v>8</v>
      </c>
      <c r="H3151" s="2">
        <v>0</v>
      </c>
      <c r="I3151" s="1">
        <v>0</v>
      </c>
      <c r="J3151" s="26">
        <v>45633</v>
      </c>
      <c r="K3151" s="22">
        <v>56000</v>
      </c>
      <c r="L3151" s="18">
        <v>59.89</v>
      </c>
      <c r="M3151" s="22">
        <v>40800</v>
      </c>
      <c r="N3151" s="22">
        <v>15200</v>
      </c>
      <c r="O3151" s="18">
        <v>16.260000000000002</v>
      </c>
      <c r="P3151" s="52">
        <f>IF(COUNTIF(TblPurchases[BatchID],TblOutcomes[[#This Row],[BatchID]])&lt;&gt;1,"n.a.",TblOutcomes[[#This Row],[Qty Wasted]]*SUMIFS(TblPurchases[Unit Cost (CLP)],TblPurchases[BatchID],TblOutcomes[[#This Row],[BatchID]]))</f>
        <v>0</v>
      </c>
      <c r="Q3151" s="51">
        <f>IF(COUNTIF(TblPurchases[BatchID],TblOutcomes[[#This Row],[BatchID]])&lt;&gt;1,"n.a.",SUMIFS(TblPurchases[Purchase Date],TblPurchases[BatchID],TblOutcomes[[#This Row],[BatchID]]))</f>
        <v>45586</v>
      </c>
    </row>
    <row r="3152" spans="2:17" x14ac:dyDescent="0.25">
      <c r="B3152" s="2" t="s">
        <v>3957</v>
      </c>
      <c r="C3152" s="2" t="s">
        <v>335</v>
      </c>
      <c r="D3152" s="2" t="s">
        <v>334</v>
      </c>
      <c r="E3152" s="2" t="s">
        <v>4646</v>
      </c>
      <c r="F3152" s="2">
        <v>9</v>
      </c>
      <c r="G3152" s="2">
        <v>8.68</v>
      </c>
      <c r="H3152" s="2">
        <v>0.32</v>
      </c>
      <c r="I3152" s="1">
        <v>3.6</v>
      </c>
      <c r="J3152" s="26">
        <v>45917</v>
      </c>
      <c r="K3152" s="22">
        <v>60760</v>
      </c>
      <c r="L3152" s="18">
        <v>64.98</v>
      </c>
      <c r="M3152" s="22">
        <v>46350</v>
      </c>
      <c r="N3152" s="22">
        <v>14410</v>
      </c>
      <c r="O3152" s="18">
        <v>15.41</v>
      </c>
      <c r="P3152" s="52">
        <f>IF(COUNTIF(TblPurchases[BatchID],TblOutcomes[[#This Row],[BatchID]])&lt;&gt;1,"n.a.",TblOutcomes[[#This Row],[Qty Wasted]]*SUMIFS(TblPurchases[Unit Cost (CLP)],TblPurchases[BatchID],TblOutcomes[[#This Row],[BatchID]]))</f>
        <v>1648</v>
      </c>
      <c r="Q3152" s="51">
        <f>IF(COUNTIF(TblPurchases[BatchID],TblOutcomes[[#This Row],[BatchID]])&lt;&gt;1,"n.a.",SUMIFS(TblPurchases[Purchase Date],TblPurchases[BatchID],TblOutcomes[[#This Row],[BatchID]]))</f>
        <v>45617</v>
      </c>
    </row>
    <row r="3153" spans="2:17" x14ac:dyDescent="0.25">
      <c r="B3153" s="2" t="s">
        <v>3958</v>
      </c>
      <c r="C3153" s="2" t="s">
        <v>335</v>
      </c>
      <c r="D3153" s="2" t="s">
        <v>334</v>
      </c>
      <c r="E3153" s="2" t="s">
        <v>4646</v>
      </c>
      <c r="F3153" s="2">
        <v>11</v>
      </c>
      <c r="G3153" s="2">
        <v>10.6</v>
      </c>
      <c r="H3153" s="2">
        <v>0.4</v>
      </c>
      <c r="I3153" s="1">
        <v>3.6</v>
      </c>
      <c r="J3153" s="26">
        <v>45946</v>
      </c>
      <c r="K3153" s="22">
        <v>74200</v>
      </c>
      <c r="L3153" s="18">
        <v>79.36</v>
      </c>
      <c r="M3153" s="22">
        <v>56650</v>
      </c>
      <c r="N3153" s="22">
        <v>17550</v>
      </c>
      <c r="O3153" s="18">
        <v>18.77</v>
      </c>
      <c r="P3153" s="52">
        <f>IF(COUNTIF(TblPurchases[BatchID],TblOutcomes[[#This Row],[BatchID]])&lt;&gt;1,"n.a.",TblOutcomes[[#This Row],[Qty Wasted]]*SUMIFS(TblPurchases[Unit Cost (CLP)],TblPurchases[BatchID],TblOutcomes[[#This Row],[BatchID]]))</f>
        <v>2060</v>
      </c>
      <c r="Q3153" s="51">
        <f>IF(COUNTIF(TblPurchases[BatchID],TblOutcomes[[#This Row],[BatchID]])&lt;&gt;1,"n.a.",SUMIFS(TblPurchases[Purchase Date],TblPurchases[BatchID],TblOutcomes[[#This Row],[BatchID]]))</f>
        <v>45646</v>
      </c>
    </row>
    <row r="3154" spans="2:17" x14ac:dyDescent="0.25">
      <c r="B3154" s="2" t="s">
        <v>3959</v>
      </c>
      <c r="C3154" s="2" t="s">
        <v>335</v>
      </c>
      <c r="D3154" s="2" t="s">
        <v>334</v>
      </c>
      <c r="E3154" s="2" t="s">
        <v>4647</v>
      </c>
      <c r="F3154" s="2">
        <v>9</v>
      </c>
      <c r="G3154" s="2">
        <v>9</v>
      </c>
      <c r="H3154" s="2">
        <v>0</v>
      </c>
      <c r="I3154" s="1">
        <v>0</v>
      </c>
      <c r="J3154" s="26">
        <v>45709</v>
      </c>
      <c r="K3154" s="22">
        <v>63000</v>
      </c>
      <c r="L3154" s="18">
        <v>67.38</v>
      </c>
      <c r="M3154" s="22">
        <v>46350</v>
      </c>
      <c r="N3154" s="22">
        <v>16650</v>
      </c>
      <c r="O3154" s="18">
        <v>17.809999999999999</v>
      </c>
      <c r="P3154" s="52">
        <f>IF(COUNTIF(TblPurchases[BatchID],TblOutcomes[[#This Row],[BatchID]])&lt;&gt;1,"n.a.",TblOutcomes[[#This Row],[Qty Wasted]]*SUMIFS(TblPurchases[Unit Cost (CLP)],TblPurchases[BatchID],TblOutcomes[[#This Row],[BatchID]]))</f>
        <v>0</v>
      </c>
      <c r="Q3154" s="51">
        <f>IF(COUNTIF(TblPurchases[BatchID],TblOutcomes[[#This Row],[BatchID]])&lt;&gt;1,"n.a.",SUMIFS(TblPurchases[Purchase Date],TblPurchases[BatchID],TblOutcomes[[#This Row],[BatchID]]))</f>
        <v>45676</v>
      </c>
    </row>
    <row r="3155" spans="2:17" x14ac:dyDescent="0.25">
      <c r="B3155" s="2" t="s">
        <v>3960</v>
      </c>
      <c r="C3155" s="2" t="s">
        <v>335</v>
      </c>
      <c r="D3155" s="2" t="s">
        <v>334</v>
      </c>
      <c r="E3155" s="2" t="s">
        <v>4647</v>
      </c>
      <c r="F3155" s="2">
        <v>8</v>
      </c>
      <c r="G3155" s="2">
        <v>8</v>
      </c>
      <c r="H3155" s="2">
        <v>0</v>
      </c>
      <c r="I3155" s="1">
        <v>0</v>
      </c>
      <c r="J3155" s="26">
        <v>45742</v>
      </c>
      <c r="K3155" s="22">
        <v>56000</v>
      </c>
      <c r="L3155" s="18">
        <v>59.89</v>
      </c>
      <c r="M3155" s="22">
        <v>41200</v>
      </c>
      <c r="N3155" s="22">
        <v>14800</v>
      </c>
      <c r="O3155" s="18">
        <v>15.83</v>
      </c>
      <c r="P3155" s="52">
        <f>IF(COUNTIF(TblPurchases[BatchID],TblOutcomes[[#This Row],[BatchID]])&lt;&gt;1,"n.a.",TblOutcomes[[#This Row],[Qty Wasted]]*SUMIFS(TblPurchases[Unit Cost (CLP)],TblPurchases[BatchID],TblOutcomes[[#This Row],[BatchID]]))</f>
        <v>0</v>
      </c>
      <c r="Q3155" s="51">
        <f>IF(COUNTIF(TblPurchases[BatchID],TblOutcomes[[#This Row],[BatchID]])&lt;&gt;1,"n.a.",SUMIFS(TblPurchases[Purchase Date],TblPurchases[BatchID],TblOutcomes[[#This Row],[BatchID]]))</f>
        <v>45717</v>
      </c>
    </row>
    <row r="3156" spans="2:17" x14ac:dyDescent="0.25">
      <c r="B3156" s="2" t="s">
        <v>3961</v>
      </c>
      <c r="C3156" s="2" t="s">
        <v>335</v>
      </c>
      <c r="D3156" s="2" t="s">
        <v>334</v>
      </c>
      <c r="E3156" s="2" t="s">
        <v>4647</v>
      </c>
      <c r="F3156" s="2">
        <v>27</v>
      </c>
      <c r="G3156" s="2">
        <v>27</v>
      </c>
      <c r="H3156" s="2">
        <v>0</v>
      </c>
      <c r="I3156" s="1">
        <v>0</v>
      </c>
      <c r="J3156" s="26">
        <v>45779</v>
      </c>
      <c r="K3156" s="22">
        <v>189000</v>
      </c>
      <c r="L3156" s="18">
        <v>202.14</v>
      </c>
      <c r="M3156" s="22">
        <v>139050</v>
      </c>
      <c r="N3156" s="22">
        <v>49950</v>
      </c>
      <c r="O3156" s="18">
        <v>53.42</v>
      </c>
      <c r="P3156" s="52">
        <f>IF(COUNTIF(TblPurchases[BatchID],TblOutcomes[[#This Row],[BatchID]])&lt;&gt;1,"n.a.",TblOutcomes[[#This Row],[Qty Wasted]]*SUMIFS(TblPurchases[Unit Cost (CLP)],TblPurchases[BatchID],TblOutcomes[[#This Row],[BatchID]]))</f>
        <v>0</v>
      </c>
      <c r="Q3156" s="51">
        <f>IF(COUNTIF(TblPurchases[BatchID],TblOutcomes[[#This Row],[BatchID]])&lt;&gt;1,"n.a.",SUMIFS(TblPurchases[Purchase Date],TblPurchases[BatchID],TblOutcomes[[#This Row],[BatchID]]))</f>
        <v>45752</v>
      </c>
    </row>
    <row r="3157" spans="2:17" x14ac:dyDescent="0.25">
      <c r="B3157" s="2" t="s">
        <v>3962</v>
      </c>
      <c r="C3157" s="2" t="s">
        <v>335</v>
      </c>
      <c r="D3157" s="2" t="s">
        <v>334</v>
      </c>
      <c r="E3157" s="2" t="s">
        <v>4647</v>
      </c>
      <c r="F3157" s="2">
        <v>29</v>
      </c>
      <c r="G3157" s="2">
        <v>29</v>
      </c>
      <c r="H3157" s="2">
        <v>0</v>
      </c>
      <c r="I3157" s="1">
        <v>0</v>
      </c>
      <c r="J3157" s="26">
        <v>45820</v>
      </c>
      <c r="K3157" s="22">
        <v>203000</v>
      </c>
      <c r="L3157" s="18">
        <v>217.11</v>
      </c>
      <c r="M3157" s="22">
        <v>149350</v>
      </c>
      <c r="N3157" s="22">
        <v>53650</v>
      </c>
      <c r="O3157" s="18">
        <v>57.38</v>
      </c>
      <c r="P3157" s="52">
        <f>IF(COUNTIF(TblPurchases[BatchID],TblOutcomes[[#This Row],[BatchID]])&lt;&gt;1,"n.a.",TblOutcomes[[#This Row],[Qty Wasted]]*SUMIFS(TblPurchases[Unit Cost (CLP)],TblPurchases[BatchID],TblOutcomes[[#This Row],[BatchID]]))</f>
        <v>0</v>
      </c>
      <c r="Q3157" s="51">
        <f>IF(COUNTIF(TblPurchases[BatchID],TblOutcomes[[#This Row],[BatchID]])&lt;&gt;1,"n.a.",SUMIFS(TblPurchases[Purchase Date],TblPurchases[BatchID],TblOutcomes[[#This Row],[BatchID]]))</f>
        <v>45782</v>
      </c>
    </row>
    <row r="3158" spans="2:17" x14ac:dyDescent="0.25">
      <c r="B3158" s="2" t="s">
        <v>3963</v>
      </c>
      <c r="C3158" s="2" t="s">
        <v>335</v>
      </c>
      <c r="D3158" s="2" t="s">
        <v>334</v>
      </c>
      <c r="E3158" s="2" t="s">
        <v>4647</v>
      </c>
      <c r="F3158" s="2">
        <v>26</v>
      </c>
      <c r="G3158" s="2">
        <v>26</v>
      </c>
      <c r="H3158" s="2">
        <v>0</v>
      </c>
      <c r="I3158" s="1">
        <v>0</v>
      </c>
      <c r="J3158" s="26">
        <v>45835</v>
      </c>
      <c r="K3158" s="22">
        <v>182000</v>
      </c>
      <c r="L3158" s="18">
        <v>194.65</v>
      </c>
      <c r="M3158" s="22">
        <v>132600</v>
      </c>
      <c r="N3158" s="22">
        <v>49400</v>
      </c>
      <c r="O3158" s="18">
        <v>52.83</v>
      </c>
      <c r="P3158" s="52">
        <f>IF(COUNTIF(TblPurchases[BatchID],TblOutcomes[[#This Row],[BatchID]])&lt;&gt;1,"n.a.",TblOutcomes[[#This Row],[Qty Wasted]]*SUMIFS(TblPurchases[Unit Cost (CLP)],TblPurchases[BatchID],TblOutcomes[[#This Row],[BatchID]]))</f>
        <v>0</v>
      </c>
      <c r="Q3158" s="51">
        <f>IF(COUNTIF(TblPurchases[BatchID],TblOutcomes[[#This Row],[BatchID]])&lt;&gt;1,"n.a.",SUMIFS(TblPurchases[Purchase Date],TblPurchases[BatchID],TblOutcomes[[#This Row],[BatchID]]))</f>
        <v>45820</v>
      </c>
    </row>
    <row r="3159" spans="2:17" x14ac:dyDescent="0.25">
      <c r="B3159" s="2" t="s">
        <v>3964</v>
      </c>
      <c r="C3159" s="2" t="s">
        <v>337</v>
      </c>
      <c r="D3159" s="2" t="s">
        <v>334</v>
      </c>
      <c r="E3159" s="2" t="s">
        <v>4647</v>
      </c>
      <c r="F3159" s="2">
        <v>26</v>
      </c>
      <c r="G3159" s="2">
        <v>26</v>
      </c>
      <c r="H3159" s="2">
        <v>0</v>
      </c>
      <c r="I3159" s="1">
        <v>0</v>
      </c>
      <c r="J3159" s="26">
        <v>45157</v>
      </c>
      <c r="K3159" s="22">
        <v>208000</v>
      </c>
      <c r="L3159" s="18">
        <v>222.46</v>
      </c>
      <c r="M3159" s="22">
        <v>156000</v>
      </c>
      <c r="N3159" s="22">
        <v>52000</v>
      </c>
      <c r="O3159" s="18">
        <v>55.61</v>
      </c>
      <c r="P3159" s="52">
        <f>IF(COUNTIF(TblPurchases[BatchID],TblOutcomes[[#This Row],[BatchID]])&lt;&gt;1,"n.a.",TblOutcomes[[#This Row],[Qty Wasted]]*SUMIFS(TblPurchases[Unit Cost (CLP)],TblPurchases[BatchID],TblOutcomes[[#This Row],[BatchID]]))</f>
        <v>0</v>
      </c>
      <c r="Q3159" s="51">
        <f>IF(COUNTIF(TblPurchases[BatchID],TblOutcomes[[#This Row],[BatchID]])&lt;&gt;1,"n.a.",SUMIFS(TblPurchases[Purchase Date],TblPurchases[BatchID],TblOutcomes[[#This Row],[BatchID]]))</f>
        <v>45126</v>
      </c>
    </row>
    <row r="3160" spans="2:17" x14ac:dyDescent="0.25">
      <c r="B3160" s="2" t="s">
        <v>3965</v>
      </c>
      <c r="C3160" s="2" t="s">
        <v>337</v>
      </c>
      <c r="D3160" s="2" t="s">
        <v>334</v>
      </c>
      <c r="E3160" s="2" t="s">
        <v>4647</v>
      </c>
      <c r="F3160" s="2">
        <v>26</v>
      </c>
      <c r="G3160" s="2">
        <v>26</v>
      </c>
      <c r="H3160" s="2">
        <v>0</v>
      </c>
      <c r="I3160" s="1">
        <v>0</v>
      </c>
      <c r="J3160" s="26">
        <v>45206</v>
      </c>
      <c r="K3160" s="22">
        <v>208000</v>
      </c>
      <c r="L3160" s="18">
        <v>222.46</v>
      </c>
      <c r="M3160" s="22">
        <v>156000</v>
      </c>
      <c r="N3160" s="22">
        <v>52000</v>
      </c>
      <c r="O3160" s="18">
        <v>55.61</v>
      </c>
      <c r="P3160" s="52">
        <f>IF(COUNTIF(TblPurchases[BatchID],TblOutcomes[[#This Row],[BatchID]])&lt;&gt;1,"n.a.",TblOutcomes[[#This Row],[Qty Wasted]]*SUMIFS(TblPurchases[Unit Cost (CLP)],TblPurchases[BatchID],TblOutcomes[[#This Row],[BatchID]]))</f>
        <v>0</v>
      </c>
      <c r="Q3160" s="51">
        <f>IF(COUNTIF(TblPurchases[BatchID],TblOutcomes[[#This Row],[BatchID]])&lt;&gt;1,"n.a.",SUMIFS(TblPurchases[Purchase Date],TblPurchases[BatchID],TblOutcomes[[#This Row],[BatchID]]))</f>
        <v>45164</v>
      </c>
    </row>
    <row r="3161" spans="2:17" x14ac:dyDescent="0.25">
      <c r="B3161" s="2" t="s">
        <v>3966</v>
      </c>
      <c r="C3161" s="2" t="s">
        <v>337</v>
      </c>
      <c r="D3161" s="2" t="s">
        <v>334</v>
      </c>
      <c r="E3161" s="2" t="s">
        <v>4647</v>
      </c>
      <c r="F3161" s="2">
        <v>31</v>
      </c>
      <c r="G3161" s="2">
        <v>31</v>
      </c>
      <c r="H3161" s="2">
        <v>0</v>
      </c>
      <c r="I3161" s="1">
        <v>0</v>
      </c>
      <c r="J3161" s="26">
        <v>45229</v>
      </c>
      <c r="K3161" s="22">
        <v>248000</v>
      </c>
      <c r="L3161" s="18">
        <v>265.24</v>
      </c>
      <c r="M3161" s="22">
        <v>186000</v>
      </c>
      <c r="N3161" s="22">
        <v>62000</v>
      </c>
      <c r="O3161" s="18">
        <v>66.31</v>
      </c>
      <c r="P3161" s="52">
        <f>IF(COUNTIF(TblPurchases[BatchID],TblOutcomes[[#This Row],[BatchID]])&lt;&gt;1,"n.a.",TblOutcomes[[#This Row],[Qty Wasted]]*SUMIFS(TblPurchases[Unit Cost (CLP)],TblPurchases[BatchID],TblOutcomes[[#This Row],[BatchID]]))</f>
        <v>0</v>
      </c>
      <c r="Q3161" s="51">
        <f>IF(COUNTIF(TblPurchases[BatchID],TblOutcomes[[#This Row],[BatchID]])&lt;&gt;1,"n.a.",SUMIFS(TblPurchases[Purchase Date],TblPurchases[BatchID],TblOutcomes[[#This Row],[BatchID]]))</f>
        <v>45194</v>
      </c>
    </row>
    <row r="3162" spans="2:17" x14ac:dyDescent="0.25">
      <c r="B3162" s="2" t="s">
        <v>3967</v>
      </c>
      <c r="C3162" s="2" t="s">
        <v>337</v>
      </c>
      <c r="D3162" s="2" t="s">
        <v>334</v>
      </c>
      <c r="E3162" s="2" t="s">
        <v>4646</v>
      </c>
      <c r="F3162" s="2">
        <v>9</v>
      </c>
      <c r="G3162" s="2">
        <v>8.58</v>
      </c>
      <c r="H3162" s="2">
        <v>0.42</v>
      </c>
      <c r="I3162" s="1">
        <v>4.7</v>
      </c>
      <c r="J3162" s="26">
        <v>45521</v>
      </c>
      <c r="K3162" s="22">
        <v>68640</v>
      </c>
      <c r="L3162" s="18">
        <v>73.41</v>
      </c>
      <c r="M3162" s="22">
        <v>54000</v>
      </c>
      <c r="N3162" s="22">
        <v>14640</v>
      </c>
      <c r="O3162" s="18">
        <v>15.66</v>
      </c>
      <c r="P3162" s="52">
        <f>IF(COUNTIF(TblPurchases[BatchID],TblOutcomes[[#This Row],[BatchID]])&lt;&gt;1,"n.a.",TblOutcomes[[#This Row],[Qty Wasted]]*SUMIFS(TblPurchases[Unit Cost (CLP)],TblPurchases[BatchID],TblOutcomes[[#This Row],[BatchID]]))</f>
        <v>2520</v>
      </c>
      <c r="Q3162" s="51">
        <f>IF(COUNTIF(TblPurchases[BatchID],TblOutcomes[[#This Row],[BatchID]])&lt;&gt;1,"n.a.",SUMIFS(TblPurchases[Purchase Date],TblPurchases[BatchID],TblOutcomes[[#This Row],[BatchID]]))</f>
        <v>45221</v>
      </c>
    </row>
    <row r="3163" spans="2:17" x14ac:dyDescent="0.25">
      <c r="B3163" s="2" t="s">
        <v>3968</v>
      </c>
      <c r="C3163" s="2" t="s">
        <v>337</v>
      </c>
      <c r="D3163" s="2" t="s">
        <v>334</v>
      </c>
      <c r="E3163" s="2" t="s">
        <v>4646</v>
      </c>
      <c r="F3163" s="2">
        <v>10</v>
      </c>
      <c r="G3163" s="2">
        <v>9.6999999999999993</v>
      </c>
      <c r="H3163" s="2">
        <v>0.3</v>
      </c>
      <c r="I3163" s="1">
        <v>3</v>
      </c>
      <c r="J3163" s="26">
        <v>45556</v>
      </c>
      <c r="K3163" s="22">
        <v>77600</v>
      </c>
      <c r="L3163" s="18">
        <v>82.99</v>
      </c>
      <c r="M3163" s="22">
        <v>60000</v>
      </c>
      <c r="N3163" s="22">
        <v>17600</v>
      </c>
      <c r="O3163" s="18">
        <v>18.82</v>
      </c>
      <c r="P3163" s="52">
        <f>IF(COUNTIF(TblPurchases[BatchID],TblOutcomes[[#This Row],[BatchID]])&lt;&gt;1,"n.a.",TblOutcomes[[#This Row],[Qty Wasted]]*SUMIFS(TblPurchases[Unit Cost (CLP)],TblPurchases[BatchID],TblOutcomes[[#This Row],[BatchID]]))</f>
        <v>1800</v>
      </c>
      <c r="Q3163" s="51">
        <f>IF(COUNTIF(TblPurchases[BatchID],TblOutcomes[[#This Row],[BatchID]])&lt;&gt;1,"n.a.",SUMIFS(TblPurchases[Purchase Date],TblPurchases[BatchID],TblOutcomes[[#This Row],[BatchID]]))</f>
        <v>45256</v>
      </c>
    </row>
    <row r="3164" spans="2:17" x14ac:dyDescent="0.25">
      <c r="B3164" s="2" t="s">
        <v>3969</v>
      </c>
      <c r="C3164" s="2" t="s">
        <v>337</v>
      </c>
      <c r="D3164" s="2" t="s">
        <v>334</v>
      </c>
      <c r="E3164" s="2" t="s">
        <v>4647</v>
      </c>
      <c r="F3164" s="2">
        <v>13</v>
      </c>
      <c r="G3164" s="2">
        <v>13</v>
      </c>
      <c r="H3164" s="2">
        <v>0</v>
      </c>
      <c r="I3164" s="1">
        <v>0</v>
      </c>
      <c r="J3164" s="26">
        <v>45323</v>
      </c>
      <c r="K3164" s="22">
        <v>104000</v>
      </c>
      <c r="L3164" s="18">
        <v>111.23</v>
      </c>
      <c r="M3164" s="22">
        <v>78000</v>
      </c>
      <c r="N3164" s="22">
        <v>26000</v>
      </c>
      <c r="O3164" s="18">
        <v>27.81</v>
      </c>
      <c r="P3164" s="52">
        <f>IF(COUNTIF(TblPurchases[BatchID],TblOutcomes[[#This Row],[BatchID]])&lt;&gt;1,"n.a.",TblOutcomes[[#This Row],[Qty Wasted]]*SUMIFS(TblPurchases[Unit Cost (CLP)],TblPurchases[BatchID],TblOutcomes[[#This Row],[BatchID]]))</f>
        <v>0</v>
      </c>
      <c r="Q3164" s="51">
        <f>IF(COUNTIF(TblPurchases[BatchID],TblOutcomes[[#This Row],[BatchID]])&lt;&gt;1,"n.a.",SUMIFS(TblPurchases[Purchase Date],TblPurchases[BatchID],TblOutcomes[[#This Row],[BatchID]]))</f>
        <v>45286</v>
      </c>
    </row>
    <row r="3165" spans="2:17" x14ac:dyDescent="0.25">
      <c r="B3165" s="2" t="s">
        <v>3970</v>
      </c>
      <c r="C3165" s="2" t="s">
        <v>337</v>
      </c>
      <c r="D3165" s="2" t="s">
        <v>334</v>
      </c>
      <c r="E3165" s="2" t="s">
        <v>4646</v>
      </c>
      <c r="F3165" s="2">
        <v>9</v>
      </c>
      <c r="G3165" s="2">
        <v>8.4700000000000006</v>
      </c>
      <c r="H3165" s="2">
        <v>0.53</v>
      </c>
      <c r="I3165" s="1">
        <v>5.9</v>
      </c>
      <c r="J3165" s="26">
        <v>45618</v>
      </c>
      <c r="K3165" s="22">
        <v>67760</v>
      </c>
      <c r="L3165" s="18">
        <v>72.47</v>
      </c>
      <c r="M3165" s="22">
        <v>54000</v>
      </c>
      <c r="N3165" s="22">
        <v>13760</v>
      </c>
      <c r="O3165" s="18">
        <v>14.72</v>
      </c>
      <c r="P3165" s="52">
        <f>IF(COUNTIF(TblPurchases[BatchID],TblOutcomes[[#This Row],[BatchID]])&lt;&gt;1,"n.a.",TblOutcomes[[#This Row],[Qty Wasted]]*SUMIFS(TblPurchases[Unit Cost (CLP)],TblPurchases[BatchID],TblOutcomes[[#This Row],[BatchID]]))</f>
        <v>3180</v>
      </c>
      <c r="Q3165" s="51">
        <f>IF(COUNTIF(TblPurchases[BatchID],TblOutcomes[[#This Row],[BatchID]])&lt;&gt;1,"n.a.",SUMIFS(TblPurchases[Purchase Date],TblPurchases[BatchID],TblOutcomes[[#This Row],[BatchID]]))</f>
        <v>45318</v>
      </c>
    </row>
    <row r="3166" spans="2:17" x14ac:dyDescent="0.25">
      <c r="B3166" s="2" t="s">
        <v>3971</v>
      </c>
      <c r="C3166" s="2" t="s">
        <v>337</v>
      </c>
      <c r="D3166" s="2" t="s">
        <v>334</v>
      </c>
      <c r="E3166" s="2" t="s">
        <v>4647</v>
      </c>
      <c r="F3166" s="2">
        <v>9</v>
      </c>
      <c r="G3166" s="2">
        <v>9</v>
      </c>
      <c r="H3166" s="2">
        <v>0</v>
      </c>
      <c r="I3166" s="1">
        <v>0</v>
      </c>
      <c r="J3166" s="26">
        <v>45379</v>
      </c>
      <c r="K3166" s="22">
        <v>72000</v>
      </c>
      <c r="L3166" s="18">
        <v>77.010000000000005</v>
      </c>
      <c r="M3166" s="22">
        <v>54000</v>
      </c>
      <c r="N3166" s="22">
        <v>18000</v>
      </c>
      <c r="O3166" s="18">
        <v>19.25</v>
      </c>
      <c r="P3166" s="52">
        <f>IF(COUNTIF(TblPurchases[BatchID],TblOutcomes[[#This Row],[BatchID]])&lt;&gt;1,"n.a.",TblOutcomes[[#This Row],[Qty Wasted]]*SUMIFS(TblPurchases[Unit Cost (CLP)],TblPurchases[BatchID],TblOutcomes[[#This Row],[BatchID]]))</f>
        <v>0</v>
      </c>
      <c r="Q3166" s="51">
        <f>IF(COUNTIF(TblPurchases[BatchID],TblOutcomes[[#This Row],[BatchID]])&lt;&gt;1,"n.a.",SUMIFS(TblPurchases[Purchase Date],TblPurchases[BatchID],TblOutcomes[[#This Row],[BatchID]]))</f>
        <v>45351</v>
      </c>
    </row>
    <row r="3167" spans="2:17" x14ac:dyDescent="0.25">
      <c r="B3167" s="2" t="s">
        <v>3972</v>
      </c>
      <c r="C3167" s="2" t="s">
        <v>337</v>
      </c>
      <c r="D3167" s="2" t="s">
        <v>334</v>
      </c>
      <c r="E3167" s="2" t="s">
        <v>4647</v>
      </c>
      <c r="F3167" s="2">
        <v>26</v>
      </c>
      <c r="G3167" s="2">
        <v>26</v>
      </c>
      <c r="H3167" s="2">
        <v>0</v>
      </c>
      <c r="I3167" s="1">
        <v>0</v>
      </c>
      <c r="J3167" s="26">
        <v>45399</v>
      </c>
      <c r="K3167" s="22">
        <v>208000</v>
      </c>
      <c r="L3167" s="18">
        <v>222.46</v>
      </c>
      <c r="M3167" s="22">
        <v>156000</v>
      </c>
      <c r="N3167" s="22">
        <v>52000</v>
      </c>
      <c r="O3167" s="18">
        <v>55.61</v>
      </c>
      <c r="P3167" s="52">
        <f>IF(COUNTIF(TblPurchases[BatchID],TblOutcomes[[#This Row],[BatchID]])&lt;&gt;1,"n.a.",TblOutcomes[[#This Row],[Qty Wasted]]*SUMIFS(TblPurchases[Unit Cost (CLP)],TblPurchases[BatchID],TblOutcomes[[#This Row],[BatchID]]))</f>
        <v>0</v>
      </c>
      <c r="Q3167" s="51">
        <f>IF(COUNTIF(TblPurchases[BatchID],TblOutcomes[[#This Row],[BatchID]])&lt;&gt;1,"n.a.",SUMIFS(TblPurchases[Purchase Date],TblPurchases[BatchID],TblOutcomes[[#This Row],[BatchID]]))</f>
        <v>45384</v>
      </c>
    </row>
    <row r="3168" spans="2:17" x14ac:dyDescent="0.25">
      <c r="B3168" s="2" t="s">
        <v>3973</v>
      </c>
      <c r="C3168" s="2" t="s">
        <v>337</v>
      </c>
      <c r="D3168" s="2" t="s">
        <v>334</v>
      </c>
      <c r="E3168" s="2" t="s">
        <v>4647</v>
      </c>
      <c r="F3168" s="2">
        <v>26</v>
      </c>
      <c r="G3168" s="2">
        <v>26</v>
      </c>
      <c r="H3168" s="2">
        <v>0</v>
      </c>
      <c r="I3168" s="1">
        <v>0</v>
      </c>
      <c r="J3168" s="26">
        <v>45445</v>
      </c>
      <c r="K3168" s="22">
        <v>208000</v>
      </c>
      <c r="L3168" s="18">
        <v>222.46</v>
      </c>
      <c r="M3168" s="22">
        <v>156000</v>
      </c>
      <c r="N3168" s="22">
        <v>52000</v>
      </c>
      <c r="O3168" s="18">
        <v>55.61</v>
      </c>
      <c r="P3168" s="52">
        <f>IF(COUNTIF(TblPurchases[BatchID],TblOutcomes[[#This Row],[BatchID]])&lt;&gt;1,"n.a.",TblOutcomes[[#This Row],[Qty Wasted]]*SUMIFS(TblPurchases[Unit Cost (CLP)],TblPurchases[BatchID],TblOutcomes[[#This Row],[BatchID]]))</f>
        <v>0</v>
      </c>
      <c r="Q3168" s="51">
        <f>IF(COUNTIF(TblPurchases[BatchID],TblOutcomes[[#This Row],[BatchID]])&lt;&gt;1,"n.a.",SUMIFS(TblPurchases[Purchase Date],TblPurchases[BatchID],TblOutcomes[[#This Row],[BatchID]]))</f>
        <v>45410</v>
      </c>
    </row>
    <row r="3169" spans="2:17" x14ac:dyDescent="0.25">
      <c r="B3169" s="2" t="s">
        <v>3974</v>
      </c>
      <c r="C3169" s="2" t="s">
        <v>337</v>
      </c>
      <c r="D3169" s="2" t="s">
        <v>334</v>
      </c>
      <c r="E3169" s="2" t="s">
        <v>4647</v>
      </c>
      <c r="F3169" s="2">
        <v>23</v>
      </c>
      <c r="G3169" s="2">
        <v>23</v>
      </c>
      <c r="H3169" s="2">
        <v>0</v>
      </c>
      <c r="I3169" s="1">
        <v>0</v>
      </c>
      <c r="J3169" s="26">
        <v>45455</v>
      </c>
      <c r="K3169" s="22">
        <v>184000</v>
      </c>
      <c r="L3169" s="18">
        <v>196.79</v>
      </c>
      <c r="M3169" s="22">
        <v>138000</v>
      </c>
      <c r="N3169" s="22">
        <v>46000</v>
      </c>
      <c r="O3169" s="18">
        <v>49.2</v>
      </c>
      <c r="P3169" s="52">
        <f>IF(COUNTIF(TblPurchases[BatchID],TblOutcomes[[#This Row],[BatchID]])&lt;&gt;1,"n.a.",TblOutcomes[[#This Row],[Qty Wasted]]*SUMIFS(TblPurchases[Unit Cost (CLP)],TblPurchases[BatchID],TblOutcomes[[#This Row],[BatchID]]))</f>
        <v>0</v>
      </c>
      <c r="Q3169" s="51">
        <f>IF(COUNTIF(TblPurchases[BatchID],TblOutcomes[[#This Row],[BatchID]])&lt;&gt;1,"n.a.",SUMIFS(TblPurchases[Purchase Date],TblPurchases[BatchID],TblOutcomes[[#This Row],[BatchID]]))</f>
        <v>45439</v>
      </c>
    </row>
    <row r="3170" spans="2:17" x14ac:dyDescent="0.25">
      <c r="B3170" s="2" t="s">
        <v>3975</v>
      </c>
      <c r="C3170" s="2" t="s">
        <v>337</v>
      </c>
      <c r="D3170" s="2" t="s">
        <v>334</v>
      </c>
      <c r="E3170" s="2" t="s">
        <v>4647</v>
      </c>
      <c r="F3170" s="2">
        <v>27</v>
      </c>
      <c r="G3170" s="2">
        <v>27</v>
      </c>
      <c r="H3170" s="2">
        <v>0</v>
      </c>
      <c r="I3170" s="1">
        <v>0</v>
      </c>
      <c r="J3170" s="26">
        <v>45494</v>
      </c>
      <c r="K3170" s="22">
        <v>216000</v>
      </c>
      <c r="L3170" s="18">
        <v>231.02</v>
      </c>
      <c r="M3170" s="22">
        <v>162000</v>
      </c>
      <c r="N3170" s="22">
        <v>54000</v>
      </c>
      <c r="O3170" s="18">
        <v>57.75</v>
      </c>
      <c r="P3170" s="52">
        <f>IF(COUNTIF(TblPurchases[BatchID],TblOutcomes[[#This Row],[BatchID]])&lt;&gt;1,"n.a.",TblOutcomes[[#This Row],[Qty Wasted]]*SUMIFS(TblPurchases[Unit Cost (CLP)],TblPurchases[BatchID],TblOutcomes[[#This Row],[BatchID]]))</f>
        <v>0</v>
      </c>
      <c r="Q3170" s="51">
        <f>IF(COUNTIF(TblPurchases[BatchID],TblOutcomes[[#This Row],[BatchID]])&lt;&gt;1,"n.a.",SUMIFS(TblPurchases[Purchase Date],TblPurchases[BatchID],TblOutcomes[[#This Row],[BatchID]]))</f>
        <v>45480</v>
      </c>
    </row>
    <row r="3171" spans="2:17" x14ac:dyDescent="0.25">
      <c r="B3171" s="2" t="s">
        <v>3976</v>
      </c>
      <c r="C3171" s="2" t="s">
        <v>337</v>
      </c>
      <c r="D3171" s="2" t="s">
        <v>334</v>
      </c>
      <c r="E3171" s="2" t="s">
        <v>4647</v>
      </c>
      <c r="F3171" s="2">
        <v>24</v>
      </c>
      <c r="G3171" s="2">
        <v>24</v>
      </c>
      <c r="H3171" s="2">
        <v>0</v>
      </c>
      <c r="I3171" s="1">
        <v>0</v>
      </c>
      <c r="J3171" s="26">
        <v>45546</v>
      </c>
      <c r="K3171" s="22">
        <v>192000</v>
      </c>
      <c r="L3171" s="18">
        <v>205.35</v>
      </c>
      <c r="M3171" s="22">
        <v>144000</v>
      </c>
      <c r="N3171" s="22">
        <v>48000</v>
      </c>
      <c r="O3171" s="18">
        <v>51.34</v>
      </c>
      <c r="P3171" s="52">
        <f>IF(COUNTIF(TblPurchases[BatchID],TblOutcomes[[#This Row],[BatchID]])&lt;&gt;1,"n.a.",TblOutcomes[[#This Row],[Qty Wasted]]*SUMIFS(TblPurchases[Unit Cost (CLP)],TblPurchases[BatchID],TblOutcomes[[#This Row],[BatchID]]))</f>
        <v>0</v>
      </c>
      <c r="Q3171" s="51">
        <f>IF(COUNTIF(TblPurchases[BatchID],TblOutcomes[[#This Row],[BatchID]])&lt;&gt;1,"n.a.",SUMIFS(TblPurchases[Purchase Date],TblPurchases[BatchID],TblOutcomes[[#This Row],[BatchID]]))</f>
        <v>45516</v>
      </c>
    </row>
    <row r="3172" spans="2:17" x14ac:dyDescent="0.25">
      <c r="B3172" s="2" t="s">
        <v>3977</v>
      </c>
      <c r="C3172" s="2" t="s">
        <v>337</v>
      </c>
      <c r="D3172" s="2" t="s">
        <v>334</v>
      </c>
      <c r="E3172" s="2" t="s">
        <v>4647</v>
      </c>
      <c r="F3172" s="2">
        <v>28</v>
      </c>
      <c r="G3172" s="2">
        <v>28</v>
      </c>
      <c r="H3172" s="2">
        <v>0</v>
      </c>
      <c r="I3172" s="1">
        <v>0</v>
      </c>
      <c r="J3172" s="26">
        <v>45580</v>
      </c>
      <c r="K3172" s="22">
        <v>224000</v>
      </c>
      <c r="L3172" s="18">
        <v>239.57</v>
      </c>
      <c r="M3172" s="22">
        <v>168000</v>
      </c>
      <c r="N3172" s="22">
        <v>56000</v>
      </c>
      <c r="O3172" s="18">
        <v>59.89</v>
      </c>
      <c r="P3172" s="52">
        <f>IF(COUNTIF(TblPurchases[BatchID],TblOutcomes[[#This Row],[BatchID]])&lt;&gt;1,"n.a.",TblOutcomes[[#This Row],[Qty Wasted]]*SUMIFS(TblPurchases[Unit Cost (CLP)],TblPurchases[BatchID],TblOutcomes[[#This Row],[BatchID]]))</f>
        <v>0</v>
      </c>
      <c r="Q3172" s="51">
        <f>IF(COUNTIF(TblPurchases[BatchID],TblOutcomes[[#This Row],[BatchID]])&lt;&gt;1,"n.a.",SUMIFS(TblPurchases[Purchase Date],TblPurchases[BatchID],TblOutcomes[[#This Row],[BatchID]]))</f>
        <v>45546</v>
      </c>
    </row>
    <row r="3173" spans="2:17" x14ac:dyDescent="0.25">
      <c r="B3173" s="2" t="s">
        <v>3978</v>
      </c>
      <c r="C3173" s="2" t="s">
        <v>337</v>
      </c>
      <c r="D3173" s="2" t="s">
        <v>334</v>
      </c>
      <c r="E3173" s="2" t="s">
        <v>4647</v>
      </c>
      <c r="F3173" s="2">
        <v>8</v>
      </c>
      <c r="G3173" s="2">
        <v>8</v>
      </c>
      <c r="H3173" s="2">
        <v>0</v>
      </c>
      <c r="I3173" s="1">
        <v>0</v>
      </c>
      <c r="J3173" s="26">
        <v>45614</v>
      </c>
      <c r="K3173" s="22">
        <v>64000</v>
      </c>
      <c r="L3173" s="18">
        <v>68.45</v>
      </c>
      <c r="M3173" s="22">
        <v>48000</v>
      </c>
      <c r="N3173" s="22">
        <v>16000</v>
      </c>
      <c r="O3173" s="18">
        <v>17.11</v>
      </c>
      <c r="P3173" s="52">
        <f>IF(COUNTIF(TblPurchases[BatchID],TblOutcomes[[#This Row],[BatchID]])&lt;&gt;1,"n.a.",TblOutcomes[[#This Row],[Qty Wasted]]*SUMIFS(TblPurchases[Unit Cost (CLP)],TblPurchases[BatchID],TblOutcomes[[#This Row],[BatchID]]))</f>
        <v>0</v>
      </c>
      <c r="Q3173" s="51">
        <f>IF(COUNTIF(TblPurchases[BatchID],TblOutcomes[[#This Row],[BatchID]])&lt;&gt;1,"n.a.",SUMIFS(TblPurchases[Purchase Date],TblPurchases[BatchID],TblOutcomes[[#This Row],[BatchID]]))</f>
        <v>45576</v>
      </c>
    </row>
    <row r="3174" spans="2:17" x14ac:dyDescent="0.25">
      <c r="B3174" s="2" t="s">
        <v>3979</v>
      </c>
      <c r="C3174" s="2" t="s">
        <v>337</v>
      </c>
      <c r="D3174" s="2" t="s">
        <v>334</v>
      </c>
      <c r="E3174" s="2" t="s">
        <v>4647</v>
      </c>
      <c r="F3174" s="2">
        <v>8</v>
      </c>
      <c r="G3174" s="2">
        <v>8</v>
      </c>
      <c r="H3174" s="2">
        <v>0</v>
      </c>
      <c r="I3174" s="1">
        <v>0</v>
      </c>
      <c r="J3174" s="26">
        <v>45644</v>
      </c>
      <c r="K3174" s="22">
        <v>64000</v>
      </c>
      <c r="L3174" s="18">
        <v>68.45</v>
      </c>
      <c r="M3174" s="22">
        <v>48000</v>
      </c>
      <c r="N3174" s="22">
        <v>16000</v>
      </c>
      <c r="O3174" s="18">
        <v>17.11</v>
      </c>
      <c r="P3174" s="52">
        <f>IF(COUNTIF(TblPurchases[BatchID],TblOutcomes[[#This Row],[BatchID]])&lt;&gt;1,"n.a.",TblOutcomes[[#This Row],[Qty Wasted]]*SUMIFS(TblPurchases[Unit Cost (CLP)],TblPurchases[BatchID],TblOutcomes[[#This Row],[BatchID]]))</f>
        <v>0</v>
      </c>
      <c r="Q3174" s="51">
        <f>IF(COUNTIF(TblPurchases[BatchID],TblOutcomes[[#This Row],[BatchID]])&lt;&gt;1,"n.a.",SUMIFS(TblPurchases[Purchase Date],TblPurchases[BatchID],TblOutcomes[[#This Row],[BatchID]]))</f>
        <v>45611</v>
      </c>
    </row>
    <row r="3175" spans="2:17" x14ac:dyDescent="0.25">
      <c r="B3175" s="2" t="s">
        <v>3980</v>
      </c>
      <c r="C3175" s="2" t="s">
        <v>337</v>
      </c>
      <c r="D3175" s="2" t="s">
        <v>334</v>
      </c>
      <c r="E3175" s="2" t="s">
        <v>4647</v>
      </c>
      <c r="F3175" s="2">
        <v>12</v>
      </c>
      <c r="G3175" s="2">
        <v>12</v>
      </c>
      <c r="H3175" s="2">
        <v>0</v>
      </c>
      <c r="I3175" s="1">
        <v>0</v>
      </c>
      <c r="J3175" s="26">
        <v>45666</v>
      </c>
      <c r="K3175" s="22">
        <v>96000</v>
      </c>
      <c r="L3175" s="18">
        <v>102.67</v>
      </c>
      <c r="M3175" s="22">
        <v>72000</v>
      </c>
      <c r="N3175" s="22">
        <v>24000</v>
      </c>
      <c r="O3175" s="18">
        <v>25.67</v>
      </c>
      <c r="P3175" s="52">
        <f>IF(COUNTIF(TblPurchases[BatchID],TblOutcomes[[#This Row],[BatchID]])&lt;&gt;1,"n.a.",TblOutcomes[[#This Row],[Qty Wasted]]*SUMIFS(TblPurchases[Unit Cost (CLP)],TblPurchases[BatchID],TblOutcomes[[#This Row],[BatchID]]))</f>
        <v>0</v>
      </c>
      <c r="Q3175" s="51">
        <f>IF(COUNTIF(TblPurchases[BatchID],TblOutcomes[[#This Row],[BatchID]])&lt;&gt;1,"n.a.",SUMIFS(TblPurchases[Purchase Date],TblPurchases[BatchID],TblOutcomes[[#This Row],[BatchID]]))</f>
        <v>45639</v>
      </c>
    </row>
    <row r="3176" spans="2:17" x14ac:dyDescent="0.25">
      <c r="B3176" s="2" t="s">
        <v>3981</v>
      </c>
      <c r="C3176" s="2" t="s">
        <v>337</v>
      </c>
      <c r="D3176" s="2" t="s">
        <v>334</v>
      </c>
      <c r="E3176" s="2" t="s">
        <v>4646</v>
      </c>
      <c r="F3176" s="2">
        <v>9</v>
      </c>
      <c r="G3176" s="2">
        <v>8.6199999999999992</v>
      </c>
      <c r="H3176" s="2">
        <v>0.38</v>
      </c>
      <c r="I3176" s="1">
        <v>4.2</v>
      </c>
      <c r="J3176" s="26">
        <v>45970</v>
      </c>
      <c r="K3176" s="22">
        <v>68960</v>
      </c>
      <c r="L3176" s="18">
        <v>73.75</v>
      </c>
      <c r="M3176" s="22">
        <v>54000</v>
      </c>
      <c r="N3176" s="22">
        <v>14960</v>
      </c>
      <c r="O3176" s="18">
        <v>16</v>
      </c>
      <c r="P3176" s="52">
        <f>IF(COUNTIF(TblPurchases[BatchID],TblOutcomes[[#This Row],[BatchID]])&lt;&gt;1,"n.a.",TblOutcomes[[#This Row],[Qty Wasted]]*SUMIFS(TblPurchases[Unit Cost (CLP)],TblPurchases[BatchID],TblOutcomes[[#This Row],[BatchID]]))</f>
        <v>2280</v>
      </c>
      <c r="Q3176" s="51">
        <f>IF(COUNTIF(TblPurchases[BatchID],TblOutcomes[[#This Row],[BatchID]])&lt;&gt;1,"n.a.",SUMIFS(TblPurchases[Purchase Date],TblPurchases[BatchID],TblOutcomes[[#This Row],[BatchID]]))</f>
        <v>45670</v>
      </c>
    </row>
    <row r="3177" spans="2:17" x14ac:dyDescent="0.25">
      <c r="B3177" s="2" t="s">
        <v>3982</v>
      </c>
      <c r="C3177" s="2" t="s">
        <v>337</v>
      </c>
      <c r="D3177" s="2" t="s">
        <v>334</v>
      </c>
      <c r="E3177" s="2" t="s">
        <v>4647</v>
      </c>
      <c r="F3177" s="2">
        <v>11</v>
      </c>
      <c r="G3177" s="2">
        <v>11</v>
      </c>
      <c r="H3177" s="2">
        <v>0</v>
      </c>
      <c r="I3177" s="1">
        <v>0</v>
      </c>
      <c r="J3177" s="26">
        <v>45739</v>
      </c>
      <c r="K3177" s="22">
        <v>88000</v>
      </c>
      <c r="L3177" s="18">
        <v>94.12</v>
      </c>
      <c r="M3177" s="22">
        <v>66000</v>
      </c>
      <c r="N3177" s="22">
        <v>22000</v>
      </c>
      <c r="O3177" s="18">
        <v>23.53</v>
      </c>
      <c r="P3177" s="52">
        <f>IF(COUNTIF(TblPurchases[BatchID],TblOutcomes[[#This Row],[BatchID]])&lt;&gt;1,"n.a.",TblOutcomes[[#This Row],[Qty Wasted]]*SUMIFS(TblPurchases[Unit Cost (CLP)],TblPurchases[BatchID],TblOutcomes[[#This Row],[BatchID]]))</f>
        <v>0</v>
      </c>
      <c r="Q3177" s="51">
        <f>IF(COUNTIF(TblPurchases[BatchID],TblOutcomes[[#This Row],[BatchID]])&lt;&gt;1,"n.a.",SUMIFS(TblPurchases[Purchase Date],TblPurchases[BatchID],TblOutcomes[[#This Row],[BatchID]]))</f>
        <v>45700</v>
      </c>
    </row>
    <row r="3178" spans="2:17" x14ac:dyDescent="0.25">
      <c r="B3178" s="2" t="s">
        <v>3983</v>
      </c>
      <c r="C3178" s="2" t="s">
        <v>337</v>
      </c>
      <c r="D3178" s="2" t="s">
        <v>334</v>
      </c>
      <c r="E3178" s="2" t="s">
        <v>4646</v>
      </c>
      <c r="F3178" s="2">
        <v>11</v>
      </c>
      <c r="G3178" s="2">
        <v>10.6</v>
      </c>
      <c r="H3178" s="2">
        <v>0.4</v>
      </c>
      <c r="I3178" s="1">
        <v>3.6</v>
      </c>
      <c r="J3178" s="26">
        <v>46035</v>
      </c>
      <c r="K3178" s="22">
        <v>84800</v>
      </c>
      <c r="L3178" s="18">
        <v>90.7</v>
      </c>
      <c r="M3178" s="22">
        <v>66000</v>
      </c>
      <c r="N3178" s="22">
        <v>18800</v>
      </c>
      <c r="O3178" s="18">
        <v>20.11</v>
      </c>
      <c r="P3178" s="52">
        <f>IF(COUNTIF(TblPurchases[BatchID],TblOutcomes[[#This Row],[BatchID]])&lt;&gt;1,"n.a.",TblOutcomes[[#This Row],[Qty Wasted]]*SUMIFS(TblPurchases[Unit Cost (CLP)],TblPurchases[BatchID],TblOutcomes[[#This Row],[BatchID]]))</f>
        <v>2400</v>
      </c>
      <c r="Q3178" s="51">
        <f>IF(COUNTIF(TblPurchases[BatchID],TblOutcomes[[#This Row],[BatchID]])&lt;&gt;1,"n.a.",SUMIFS(TblPurchases[Purchase Date],TblPurchases[BatchID],TblOutcomes[[#This Row],[BatchID]]))</f>
        <v>45735</v>
      </c>
    </row>
    <row r="3179" spans="2:17" x14ac:dyDescent="0.25">
      <c r="B3179" s="2" t="s">
        <v>3984</v>
      </c>
      <c r="C3179" s="2" t="s">
        <v>337</v>
      </c>
      <c r="D3179" s="2" t="s">
        <v>334</v>
      </c>
      <c r="E3179" s="2" t="s">
        <v>4647</v>
      </c>
      <c r="F3179" s="2">
        <v>27</v>
      </c>
      <c r="G3179" s="2">
        <v>27</v>
      </c>
      <c r="H3179" s="2">
        <v>0</v>
      </c>
      <c r="I3179" s="1">
        <v>0</v>
      </c>
      <c r="J3179" s="26">
        <v>45821</v>
      </c>
      <c r="K3179" s="22">
        <v>216000</v>
      </c>
      <c r="L3179" s="18">
        <v>231.02</v>
      </c>
      <c r="M3179" s="22">
        <v>162000</v>
      </c>
      <c r="N3179" s="22">
        <v>54000</v>
      </c>
      <c r="O3179" s="18">
        <v>57.75</v>
      </c>
      <c r="P3179" s="52">
        <f>IF(COUNTIF(TblPurchases[BatchID],TblOutcomes[[#This Row],[BatchID]])&lt;&gt;1,"n.a.",TblOutcomes[[#This Row],[Qty Wasted]]*SUMIFS(TblPurchases[Unit Cost (CLP)],TblPurchases[BatchID],TblOutcomes[[#This Row],[BatchID]]))</f>
        <v>0</v>
      </c>
      <c r="Q3179" s="51">
        <f>IF(COUNTIF(TblPurchases[BatchID],TblOutcomes[[#This Row],[BatchID]])&lt;&gt;1,"n.a.",SUMIFS(TblPurchases[Purchase Date],TblPurchases[BatchID],TblOutcomes[[#This Row],[BatchID]]))</f>
        <v>45775</v>
      </c>
    </row>
    <row r="3180" spans="2:17" x14ac:dyDescent="0.25">
      <c r="B3180" s="2" t="s">
        <v>3985</v>
      </c>
      <c r="C3180" s="2" t="s">
        <v>337</v>
      </c>
      <c r="D3180" s="2" t="s">
        <v>334</v>
      </c>
      <c r="E3180" s="2" t="s">
        <v>4647</v>
      </c>
      <c r="F3180" s="2">
        <v>24</v>
      </c>
      <c r="G3180" s="2">
        <v>24</v>
      </c>
      <c r="H3180" s="2">
        <v>0</v>
      </c>
      <c r="I3180" s="1">
        <v>0</v>
      </c>
      <c r="J3180" s="26">
        <v>45833</v>
      </c>
      <c r="K3180" s="22">
        <v>192000</v>
      </c>
      <c r="L3180" s="18">
        <v>205.35</v>
      </c>
      <c r="M3180" s="22">
        <v>144000</v>
      </c>
      <c r="N3180" s="22">
        <v>48000</v>
      </c>
      <c r="O3180" s="18">
        <v>51.34</v>
      </c>
      <c r="P3180" s="52">
        <f>IF(COUNTIF(TblPurchases[BatchID],TblOutcomes[[#This Row],[BatchID]])&lt;&gt;1,"n.a.",TblOutcomes[[#This Row],[Qty Wasted]]*SUMIFS(TblPurchases[Unit Cost (CLP)],TblPurchases[BatchID],TblOutcomes[[#This Row],[BatchID]]))</f>
        <v>0</v>
      </c>
      <c r="Q3180" s="51">
        <f>IF(COUNTIF(TblPurchases[BatchID],TblOutcomes[[#This Row],[BatchID]])&lt;&gt;1,"n.a.",SUMIFS(TblPurchases[Purchase Date],TblPurchases[BatchID],TblOutcomes[[#This Row],[BatchID]]))</f>
        <v>45815</v>
      </c>
    </row>
    <row r="3181" spans="2:17" x14ac:dyDescent="0.25">
      <c r="B3181" s="2" t="s">
        <v>3986</v>
      </c>
      <c r="C3181" s="2" t="s">
        <v>339</v>
      </c>
      <c r="D3181" s="2" t="s">
        <v>341</v>
      </c>
      <c r="E3181" s="2" t="s">
        <v>4647</v>
      </c>
      <c r="F3181" s="2">
        <v>24</v>
      </c>
      <c r="G3181" s="2">
        <v>24</v>
      </c>
      <c r="H3181" s="2">
        <v>0</v>
      </c>
      <c r="I3181" s="1">
        <v>0</v>
      </c>
      <c r="J3181" s="26">
        <v>45171</v>
      </c>
      <c r="K3181" s="22">
        <v>108000</v>
      </c>
      <c r="L3181" s="18">
        <v>115.51</v>
      </c>
      <c r="M3181" s="22">
        <v>80400</v>
      </c>
      <c r="N3181" s="22">
        <v>27600</v>
      </c>
      <c r="O3181" s="18">
        <v>29.52</v>
      </c>
      <c r="P3181" s="52">
        <f>IF(COUNTIF(TblPurchases[BatchID],TblOutcomes[[#This Row],[BatchID]])&lt;&gt;1,"n.a.",TblOutcomes[[#This Row],[Qty Wasted]]*SUMIFS(TblPurchases[Unit Cost (CLP)],TblPurchases[BatchID],TblOutcomes[[#This Row],[BatchID]]))</f>
        <v>0</v>
      </c>
      <c r="Q3181" s="51">
        <f>IF(COUNTIF(TblPurchases[BatchID],TblOutcomes[[#This Row],[BatchID]])&lt;&gt;1,"n.a.",SUMIFS(TblPurchases[Purchase Date],TblPurchases[BatchID],TblOutcomes[[#This Row],[BatchID]]))</f>
        <v>45131</v>
      </c>
    </row>
    <row r="3182" spans="2:17" x14ac:dyDescent="0.25">
      <c r="B3182" s="2" t="s">
        <v>3987</v>
      </c>
      <c r="C3182" s="2" t="s">
        <v>339</v>
      </c>
      <c r="D3182" s="2" t="s">
        <v>341</v>
      </c>
      <c r="E3182" s="2" t="s">
        <v>4647</v>
      </c>
      <c r="F3182" s="2">
        <v>22</v>
      </c>
      <c r="G3182" s="2">
        <v>22</v>
      </c>
      <c r="H3182" s="2">
        <v>0</v>
      </c>
      <c r="I3182" s="1">
        <v>0</v>
      </c>
      <c r="J3182" s="26">
        <v>45205</v>
      </c>
      <c r="K3182" s="22">
        <v>99000</v>
      </c>
      <c r="L3182" s="18">
        <v>105.88</v>
      </c>
      <c r="M3182" s="22">
        <v>74800</v>
      </c>
      <c r="N3182" s="22">
        <v>24200</v>
      </c>
      <c r="O3182" s="18">
        <v>25.88</v>
      </c>
      <c r="P3182" s="52">
        <f>IF(COUNTIF(TblPurchases[BatchID],TblOutcomes[[#This Row],[BatchID]])&lt;&gt;1,"n.a.",TblOutcomes[[#This Row],[Qty Wasted]]*SUMIFS(TblPurchases[Unit Cost (CLP)],TblPurchases[BatchID],TblOutcomes[[#This Row],[BatchID]]))</f>
        <v>0</v>
      </c>
      <c r="Q3182" s="51">
        <f>IF(COUNTIF(TblPurchases[BatchID],TblOutcomes[[#This Row],[BatchID]])&lt;&gt;1,"n.a.",SUMIFS(TblPurchases[Purchase Date],TblPurchases[BatchID],TblOutcomes[[#This Row],[BatchID]]))</f>
        <v>45169</v>
      </c>
    </row>
    <row r="3183" spans="2:17" x14ac:dyDescent="0.25">
      <c r="B3183" s="2" t="s">
        <v>3988</v>
      </c>
      <c r="C3183" s="2" t="s">
        <v>339</v>
      </c>
      <c r="D3183" s="2" t="s">
        <v>341</v>
      </c>
      <c r="E3183" s="2" t="s">
        <v>4646</v>
      </c>
      <c r="F3183" s="2">
        <v>9</v>
      </c>
      <c r="G3183" s="2">
        <v>8.31</v>
      </c>
      <c r="H3183" s="2">
        <v>0.69</v>
      </c>
      <c r="I3183" s="1">
        <v>7.7</v>
      </c>
      <c r="J3183" s="26">
        <v>45502</v>
      </c>
      <c r="K3183" s="22">
        <v>37395</v>
      </c>
      <c r="L3183" s="18">
        <v>39.99</v>
      </c>
      <c r="M3183" s="22">
        <v>30600</v>
      </c>
      <c r="N3183" s="22">
        <v>6795</v>
      </c>
      <c r="O3183" s="18">
        <v>7.27</v>
      </c>
      <c r="P3183" s="52">
        <f>IF(COUNTIF(TblPurchases[BatchID],TblOutcomes[[#This Row],[BatchID]])&lt;&gt;1,"n.a.",TblOutcomes[[#This Row],[Qty Wasted]]*SUMIFS(TblPurchases[Unit Cost (CLP)],TblPurchases[BatchID],TblOutcomes[[#This Row],[BatchID]]))</f>
        <v>2346</v>
      </c>
      <c r="Q3183" s="51">
        <f>IF(COUNTIF(TblPurchases[BatchID],TblOutcomes[[#This Row],[BatchID]])&lt;&gt;1,"n.a.",SUMIFS(TblPurchases[Purchase Date],TblPurchases[BatchID],TblOutcomes[[#This Row],[BatchID]]))</f>
        <v>45202</v>
      </c>
    </row>
    <row r="3184" spans="2:17" x14ac:dyDescent="0.25">
      <c r="B3184" s="2" t="s">
        <v>3989</v>
      </c>
      <c r="C3184" s="2" t="s">
        <v>339</v>
      </c>
      <c r="D3184" s="2" t="s">
        <v>341</v>
      </c>
      <c r="E3184" s="2" t="s">
        <v>4646</v>
      </c>
      <c r="F3184" s="2">
        <v>9</v>
      </c>
      <c r="G3184" s="2">
        <v>8.0500000000000007</v>
      </c>
      <c r="H3184" s="2">
        <v>0.95</v>
      </c>
      <c r="I3184" s="1">
        <v>10.6</v>
      </c>
      <c r="J3184" s="26">
        <v>45539</v>
      </c>
      <c r="K3184" s="22">
        <v>36225</v>
      </c>
      <c r="L3184" s="18">
        <v>38.74</v>
      </c>
      <c r="M3184" s="22">
        <v>30600</v>
      </c>
      <c r="N3184" s="22">
        <v>5625</v>
      </c>
      <c r="O3184" s="18">
        <v>6.02</v>
      </c>
      <c r="P3184" s="52">
        <f>IF(COUNTIF(TblPurchases[BatchID],TblOutcomes[[#This Row],[BatchID]])&lt;&gt;1,"n.a.",TblOutcomes[[#This Row],[Qty Wasted]]*SUMIFS(TblPurchases[Unit Cost (CLP)],TblPurchases[BatchID],TblOutcomes[[#This Row],[BatchID]]))</f>
        <v>3230</v>
      </c>
      <c r="Q3184" s="51">
        <f>IF(COUNTIF(TblPurchases[BatchID],TblOutcomes[[#This Row],[BatchID]])&lt;&gt;1,"n.a.",SUMIFS(TblPurchases[Purchase Date],TblPurchases[BatchID],TblOutcomes[[#This Row],[BatchID]]))</f>
        <v>45239</v>
      </c>
    </row>
    <row r="3185" spans="2:17" x14ac:dyDescent="0.25">
      <c r="B3185" s="2" t="s">
        <v>3990</v>
      </c>
      <c r="C3185" s="2" t="s">
        <v>339</v>
      </c>
      <c r="D3185" s="2" t="s">
        <v>341</v>
      </c>
      <c r="E3185" s="2" t="s">
        <v>4646</v>
      </c>
      <c r="F3185" s="2">
        <v>13</v>
      </c>
      <c r="G3185" s="2">
        <v>12.31</v>
      </c>
      <c r="H3185" s="2">
        <v>0.69</v>
      </c>
      <c r="I3185" s="1">
        <v>5.3</v>
      </c>
      <c r="J3185" s="26">
        <v>45573</v>
      </c>
      <c r="K3185" s="22">
        <v>55395</v>
      </c>
      <c r="L3185" s="18">
        <v>59.25</v>
      </c>
      <c r="M3185" s="22">
        <v>44200</v>
      </c>
      <c r="N3185" s="22">
        <v>11195</v>
      </c>
      <c r="O3185" s="18">
        <v>11.97</v>
      </c>
      <c r="P3185" s="52">
        <f>IF(COUNTIF(TblPurchases[BatchID],TblOutcomes[[#This Row],[BatchID]])&lt;&gt;1,"n.a.",TblOutcomes[[#This Row],[Qty Wasted]]*SUMIFS(TblPurchases[Unit Cost (CLP)],TblPurchases[BatchID],TblOutcomes[[#This Row],[BatchID]]))</f>
        <v>2346</v>
      </c>
      <c r="Q3185" s="51">
        <f>IF(COUNTIF(TblPurchases[BatchID],TblOutcomes[[#This Row],[BatchID]])&lt;&gt;1,"n.a.",SUMIFS(TblPurchases[Purchase Date],TblPurchases[BatchID],TblOutcomes[[#This Row],[BatchID]]))</f>
        <v>45273</v>
      </c>
    </row>
    <row r="3186" spans="2:17" x14ac:dyDescent="0.25">
      <c r="B3186" s="2" t="s">
        <v>3991</v>
      </c>
      <c r="C3186" s="2" t="s">
        <v>339</v>
      </c>
      <c r="D3186" s="2" t="s">
        <v>341</v>
      </c>
      <c r="E3186" s="2" t="s">
        <v>4646</v>
      </c>
      <c r="F3186" s="2">
        <v>9</v>
      </c>
      <c r="G3186" s="2">
        <v>8.48</v>
      </c>
      <c r="H3186" s="2">
        <v>0.52</v>
      </c>
      <c r="I3186" s="1">
        <v>5.8</v>
      </c>
      <c r="J3186" s="26">
        <v>45612</v>
      </c>
      <c r="K3186" s="22">
        <v>38160</v>
      </c>
      <c r="L3186" s="18">
        <v>40.81</v>
      </c>
      <c r="M3186" s="22">
        <v>30600</v>
      </c>
      <c r="N3186" s="22">
        <v>7560</v>
      </c>
      <c r="O3186" s="18">
        <v>8.09</v>
      </c>
      <c r="P3186" s="52">
        <f>IF(COUNTIF(TblPurchases[BatchID],TblOutcomes[[#This Row],[BatchID]])&lt;&gt;1,"n.a.",TblOutcomes[[#This Row],[Qty Wasted]]*SUMIFS(TblPurchases[Unit Cost (CLP)],TblPurchases[BatchID],TblOutcomes[[#This Row],[BatchID]]))</f>
        <v>1768</v>
      </c>
      <c r="Q3186" s="51">
        <f>IF(COUNTIF(TblPurchases[BatchID],TblOutcomes[[#This Row],[BatchID]])&lt;&gt;1,"n.a.",SUMIFS(TblPurchases[Purchase Date],TblPurchases[BatchID],TblOutcomes[[#This Row],[BatchID]]))</f>
        <v>45312</v>
      </c>
    </row>
    <row r="3187" spans="2:17" x14ac:dyDescent="0.25">
      <c r="B3187" s="2" t="s">
        <v>3992</v>
      </c>
      <c r="C3187" s="2" t="s">
        <v>339</v>
      </c>
      <c r="D3187" s="2" t="s">
        <v>341</v>
      </c>
      <c r="E3187" s="2" t="s">
        <v>4646</v>
      </c>
      <c r="F3187" s="2">
        <v>10</v>
      </c>
      <c r="G3187" s="2">
        <v>9.35</v>
      </c>
      <c r="H3187" s="2">
        <v>0.65</v>
      </c>
      <c r="I3187" s="1">
        <v>6.5</v>
      </c>
      <c r="J3187" s="26">
        <v>45647</v>
      </c>
      <c r="K3187" s="22">
        <v>42075</v>
      </c>
      <c r="L3187" s="18">
        <v>45</v>
      </c>
      <c r="M3187" s="22">
        <v>34000</v>
      </c>
      <c r="N3187" s="22">
        <v>8075</v>
      </c>
      <c r="O3187" s="18">
        <v>8.64</v>
      </c>
      <c r="P3187" s="52">
        <f>IF(COUNTIF(TblPurchases[BatchID],TblOutcomes[[#This Row],[BatchID]])&lt;&gt;1,"n.a.",TblOutcomes[[#This Row],[Qty Wasted]]*SUMIFS(TblPurchases[Unit Cost (CLP)],TblPurchases[BatchID],TblOutcomes[[#This Row],[BatchID]]))</f>
        <v>2210</v>
      </c>
      <c r="Q3187" s="51">
        <f>IF(COUNTIF(TblPurchases[BatchID],TblOutcomes[[#This Row],[BatchID]])&lt;&gt;1,"n.a.",SUMIFS(TblPurchases[Purchase Date],TblPurchases[BatchID],TblOutcomes[[#This Row],[BatchID]]))</f>
        <v>45347</v>
      </c>
    </row>
    <row r="3188" spans="2:17" x14ac:dyDescent="0.25">
      <c r="B3188" s="2" t="s">
        <v>3993</v>
      </c>
      <c r="C3188" s="2" t="s">
        <v>339</v>
      </c>
      <c r="D3188" s="2" t="s">
        <v>341</v>
      </c>
      <c r="E3188" s="2" t="s">
        <v>4647</v>
      </c>
      <c r="F3188" s="2">
        <v>25</v>
      </c>
      <c r="G3188" s="2">
        <v>25</v>
      </c>
      <c r="H3188" s="2">
        <v>0</v>
      </c>
      <c r="I3188" s="1">
        <v>0</v>
      </c>
      <c r="J3188" s="26">
        <v>45396</v>
      </c>
      <c r="K3188" s="22">
        <v>112500</v>
      </c>
      <c r="L3188" s="18">
        <v>120.32</v>
      </c>
      <c r="M3188" s="22">
        <v>85000</v>
      </c>
      <c r="N3188" s="22">
        <v>27500</v>
      </c>
      <c r="O3188" s="18">
        <v>29.41</v>
      </c>
      <c r="P3188" s="52">
        <f>IF(COUNTIF(TblPurchases[BatchID],TblOutcomes[[#This Row],[BatchID]])&lt;&gt;1,"n.a.",TblOutcomes[[#This Row],[Qty Wasted]]*SUMIFS(TblPurchases[Unit Cost (CLP)],TblPurchases[BatchID],TblOutcomes[[#This Row],[BatchID]]))</f>
        <v>0</v>
      </c>
      <c r="Q3188" s="51">
        <f>IF(COUNTIF(TblPurchases[BatchID],TblOutcomes[[#This Row],[BatchID]])&lt;&gt;1,"n.a.",SUMIFS(TblPurchases[Purchase Date],TblPurchases[BatchID],TblOutcomes[[#This Row],[BatchID]]))</f>
        <v>45385</v>
      </c>
    </row>
    <row r="3189" spans="2:17" x14ac:dyDescent="0.25">
      <c r="B3189" s="2" t="s">
        <v>3994</v>
      </c>
      <c r="C3189" s="2" t="s">
        <v>339</v>
      </c>
      <c r="D3189" s="2" t="s">
        <v>341</v>
      </c>
      <c r="E3189" s="2" t="s">
        <v>4647</v>
      </c>
      <c r="F3189" s="2">
        <v>21</v>
      </c>
      <c r="G3189" s="2">
        <v>21</v>
      </c>
      <c r="H3189" s="2">
        <v>0</v>
      </c>
      <c r="I3189" s="1">
        <v>0</v>
      </c>
      <c r="J3189" s="26">
        <v>45461</v>
      </c>
      <c r="K3189" s="22">
        <v>94500</v>
      </c>
      <c r="L3189" s="18">
        <v>101.07</v>
      </c>
      <c r="M3189" s="22">
        <v>71400</v>
      </c>
      <c r="N3189" s="22">
        <v>23100</v>
      </c>
      <c r="O3189" s="18">
        <v>24.71</v>
      </c>
      <c r="P3189" s="52">
        <f>IF(COUNTIF(TblPurchases[BatchID],TblOutcomes[[#This Row],[BatchID]])&lt;&gt;1,"n.a.",TblOutcomes[[#This Row],[Qty Wasted]]*SUMIFS(TblPurchases[Unit Cost (CLP)],TblPurchases[BatchID],TblOutcomes[[#This Row],[BatchID]]))</f>
        <v>0</v>
      </c>
      <c r="Q3189" s="51">
        <f>IF(COUNTIF(TblPurchases[BatchID],TblOutcomes[[#This Row],[BatchID]])&lt;&gt;1,"n.a.",SUMIFS(TblPurchases[Purchase Date],TblPurchases[BatchID],TblOutcomes[[#This Row],[BatchID]]))</f>
        <v>45423</v>
      </c>
    </row>
    <row r="3190" spans="2:17" x14ac:dyDescent="0.25">
      <c r="B3190" s="2" t="s">
        <v>3995</v>
      </c>
      <c r="C3190" s="2" t="s">
        <v>339</v>
      </c>
      <c r="D3190" s="2" t="s">
        <v>341</v>
      </c>
      <c r="E3190" s="2" t="s">
        <v>4647</v>
      </c>
      <c r="F3190" s="2">
        <v>23</v>
      </c>
      <c r="G3190" s="2">
        <v>23</v>
      </c>
      <c r="H3190" s="2">
        <v>0</v>
      </c>
      <c r="I3190" s="1">
        <v>0</v>
      </c>
      <c r="J3190" s="26">
        <v>45499</v>
      </c>
      <c r="K3190" s="22">
        <v>103500</v>
      </c>
      <c r="L3190" s="18">
        <v>110.7</v>
      </c>
      <c r="M3190" s="22">
        <v>78200</v>
      </c>
      <c r="N3190" s="22">
        <v>25300</v>
      </c>
      <c r="O3190" s="18">
        <v>27.06</v>
      </c>
      <c r="P3190" s="52">
        <f>IF(COUNTIF(TblPurchases[BatchID],TblOutcomes[[#This Row],[BatchID]])&lt;&gt;1,"n.a.",TblOutcomes[[#This Row],[Qty Wasted]]*SUMIFS(TblPurchases[Unit Cost (CLP)],TblPurchases[BatchID],TblOutcomes[[#This Row],[BatchID]]))</f>
        <v>0</v>
      </c>
      <c r="Q3190" s="51">
        <f>IF(COUNTIF(TblPurchases[BatchID],TblOutcomes[[#This Row],[BatchID]])&lt;&gt;1,"n.a.",SUMIFS(TblPurchases[Purchase Date],TblPurchases[BatchID],TblOutcomes[[#This Row],[BatchID]]))</f>
        <v>45463</v>
      </c>
    </row>
    <row r="3191" spans="2:17" x14ac:dyDescent="0.25">
      <c r="B3191" s="2" t="s">
        <v>3996</v>
      </c>
      <c r="C3191" s="2" t="s">
        <v>339</v>
      </c>
      <c r="D3191" s="2" t="s">
        <v>341</v>
      </c>
      <c r="E3191" s="2" t="s">
        <v>4647</v>
      </c>
      <c r="F3191" s="2">
        <v>24</v>
      </c>
      <c r="G3191" s="2">
        <v>24</v>
      </c>
      <c r="H3191" s="2">
        <v>0</v>
      </c>
      <c r="I3191" s="1">
        <v>0</v>
      </c>
      <c r="J3191" s="26">
        <v>45519</v>
      </c>
      <c r="K3191" s="22">
        <v>108000</v>
      </c>
      <c r="L3191" s="18">
        <v>115.51</v>
      </c>
      <c r="M3191" s="22">
        <v>81600</v>
      </c>
      <c r="N3191" s="22">
        <v>26400</v>
      </c>
      <c r="O3191" s="18">
        <v>28.24</v>
      </c>
      <c r="P3191" s="52">
        <f>IF(COUNTIF(TblPurchases[BatchID],TblOutcomes[[#This Row],[BatchID]])&lt;&gt;1,"n.a.",TblOutcomes[[#This Row],[Qty Wasted]]*SUMIFS(TblPurchases[Unit Cost (CLP)],TblPurchases[BatchID],TblOutcomes[[#This Row],[BatchID]]))</f>
        <v>0</v>
      </c>
      <c r="Q3191" s="51">
        <f>IF(COUNTIF(TblPurchases[BatchID],TblOutcomes[[#This Row],[BatchID]])&lt;&gt;1,"n.a.",SUMIFS(TblPurchases[Purchase Date],TblPurchases[BatchID],TblOutcomes[[#This Row],[BatchID]]))</f>
        <v>45493</v>
      </c>
    </row>
    <row r="3192" spans="2:17" x14ac:dyDescent="0.25">
      <c r="B3192" s="2" t="s">
        <v>3997</v>
      </c>
      <c r="C3192" s="2" t="s">
        <v>339</v>
      </c>
      <c r="D3192" s="2" t="s">
        <v>341</v>
      </c>
      <c r="E3192" s="2" t="s">
        <v>4647</v>
      </c>
      <c r="F3192" s="2">
        <v>24</v>
      </c>
      <c r="G3192" s="2">
        <v>24</v>
      </c>
      <c r="H3192" s="2">
        <v>0</v>
      </c>
      <c r="I3192" s="1">
        <v>0</v>
      </c>
      <c r="J3192" s="26">
        <v>45552</v>
      </c>
      <c r="K3192" s="22">
        <v>108000</v>
      </c>
      <c r="L3192" s="18">
        <v>115.51</v>
      </c>
      <c r="M3192" s="22">
        <v>81600</v>
      </c>
      <c r="N3192" s="22">
        <v>26400</v>
      </c>
      <c r="O3192" s="18">
        <v>28.24</v>
      </c>
      <c r="P3192" s="52">
        <f>IF(COUNTIF(TblPurchases[BatchID],TblOutcomes[[#This Row],[BatchID]])&lt;&gt;1,"n.a.",TblOutcomes[[#This Row],[Qty Wasted]]*SUMIFS(TblPurchases[Unit Cost (CLP)],TblPurchases[BatchID],TblOutcomes[[#This Row],[BatchID]]))</f>
        <v>0</v>
      </c>
      <c r="Q3192" s="51">
        <f>IF(COUNTIF(TblPurchases[BatchID],TblOutcomes[[#This Row],[BatchID]])&lt;&gt;1,"n.a.",SUMIFS(TblPurchases[Purchase Date],TblPurchases[BatchID],TblOutcomes[[#This Row],[BatchID]]))</f>
        <v>45529</v>
      </c>
    </row>
    <row r="3193" spans="2:17" x14ac:dyDescent="0.25">
      <c r="B3193" s="2" t="s">
        <v>3998</v>
      </c>
      <c r="C3193" s="2" t="s">
        <v>339</v>
      </c>
      <c r="D3193" s="2" t="s">
        <v>341</v>
      </c>
      <c r="E3193" s="2" t="s">
        <v>4647</v>
      </c>
      <c r="F3193" s="2">
        <v>30</v>
      </c>
      <c r="G3193" s="2">
        <v>30</v>
      </c>
      <c r="H3193" s="2">
        <v>0</v>
      </c>
      <c r="I3193" s="1">
        <v>0</v>
      </c>
      <c r="J3193" s="26">
        <v>45593</v>
      </c>
      <c r="K3193" s="22">
        <v>135000</v>
      </c>
      <c r="L3193" s="18">
        <v>144.38999999999999</v>
      </c>
      <c r="M3193" s="22">
        <v>102000</v>
      </c>
      <c r="N3193" s="22">
        <v>33000</v>
      </c>
      <c r="O3193" s="18">
        <v>35.29</v>
      </c>
      <c r="P3193" s="52">
        <f>IF(COUNTIF(TblPurchases[BatchID],TblOutcomes[[#This Row],[BatchID]])&lt;&gt;1,"n.a.",TblOutcomes[[#This Row],[Qty Wasted]]*SUMIFS(TblPurchases[Unit Cost (CLP)],TblPurchases[BatchID],TblOutcomes[[#This Row],[BatchID]]))</f>
        <v>0</v>
      </c>
      <c r="Q3193" s="51">
        <f>IF(COUNTIF(TblPurchases[BatchID],TblOutcomes[[#This Row],[BatchID]])&lt;&gt;1,"n.a.",SUMIFS(TblPurchases[Purchase Date],TblPurchases[BatchID],TblOutcomes[[#This Row],[BatchID]]))</f>
        <v>45564</v>
      </c>
    </row>
    <row r="3194" spans="2:17" x14ac:dyDescent="0.25">
      <c r="B3194" s="2" t="s">
        <v>3999</v>
      </c>
      <c r="C3194" s="2" t="s">
        <v>339</v>
      </c>
      <c r="D3194" s="2" t="s">
        <v>341</v>
      </c>
      <c r="E3194" s="2" t="s">
        <v>4646</v>
      </c>
      <c r="F3194" s="2">
        <v>10</v>
      </c>
      <c r="G3194" s="2">
        <v>9.14</v>
      </c>
      <c r="H3194" s="2">
        <v>0.86</v>
      </c>
      <c r="I3194" s="1">
        <v>8.6</v>
      </c>
      <c r="J3194" s="26">
        <v>45898</v>
      </c>
      <c r="K3194" s="22">
        <v>41130</v>
      </c>
      <c r="L3194" s="18">
        <v>43.99</v>
      </c>
      <c r="M3194" s="22">
        <v>34000</v>
      </c>
      <c r="N3194" s="22">
        <v>7130</v>
      </c>
      <c r="O3194" s="18">
        <v>7.63</v>
      </c>
      <c r="P3194" s="52">
        <f>IF(COUNTIF(TblPurchases[BatchID],TblOutcomes[[#This Row],[BatchID]])&lt;&gt;1,"n.a.",TblOutcomes[[#This Row],[Qty Wasted]]*SUMIFS(TblPurchases[Unit Cost (CLP)],TblPurchases[BatchID],TblOutcomes[[#This Row],[BatchID]]))</f>
        <v>2924</v>
      </c>
      <c r="Q3194" s="51">
        <f>IF(COUNTIF(TblPurchases[BatchID],TblOutcomes[[#This Row],[BatchID]])&lt;&gt;1,"n.a.",SUMIFS(TblPurchases[Purchase Date],TblPurchases[BatchID],TblOutcomes[[#This Row],[BatchID]]))</f>
        <v>45598</v>
      </c>
    </row>
    <row r="3195" spans="2:17" x14ac:dyDescent="0.25">
      <c r="B3195" s="2" t="s">
        <v>4000</v>
      </c>
      <c r="C3195" s="2" t="s">
        <v>339</v>
      </c>
      <c r="D3195" s="2" t="s">
        <v>341</v>
      </c>
      <c r="E3195" s="2" t="s">
        <v>4646</v>
      </c>
      <c r="F3195" s="2">
        <v>9</v>
      </c>
      <c r="G3195" s="2">
        <v>8.31</v>
      </c>
      <c r="H3195" s="2">
        <v>0.69</v>
      </c>
      <c r="I3195" s="1">
        <v>7.7</v>
      </c>
      <c r="J3195" s="26">
        <v>45920</v>
      </c>
      <c r="K3195" s="22">
        <v>37395</v>
      </c>
      <c r="L3195" s="18">
        <v>39.99</v>
      </c>
      <c r="M3195" s="22">
        <v>30600</v>
      </c>
      <c r="N3195" s="22">
        <v>6795</v>
      </c>
      <c r="O3195" s="18">
        <v>7.27</v>
      </c>
      <c r="P3195" s="52">
        <f>IF(COUNTIF(TblPurchases[BatchID],TblOutcomes[[#This Row],[BatchID]])&lt;&gt;1,"n.a.",TblOutcomes[[#This Row],[Qty Wasted]]*SUMIFS(TblPurchases[Unit Cost (CLP)],TblPurchases[BatchID],TblOutcomes[[#This Row],[BatchID]]))</f>
        <v>2346</v>
      </c>
      <c r="Q3195" s="51">
        <f>IF(COUNTIF(TblPurchases[BatchID],TblOutcomes[[#This Row],[BatchID]])&lt;&gt;1,"n.a.",SUMIFS(TblPurchases[Purchase Date],TblPurchases[BatchID],TblOutcomes[[#This Row],[BatchID]]))</f>
        <v>45620</v>
      </c>
    </row>
    <row r="3196" spans="2:17" x14ac:dyDescent="0.25">
      <c r="B3196" s="2" t="s">
        <v>4001</v>
      </c>
      <c r="C3196" s="2" t="s">
        <v>339</v>
      </c>
      <c r="D3196" s="2" t="s">
        <v>341</v>
      </c>
      <c r="E3196" s="2" t="s">
        <v>4646</v>
      </c>
      <c r="F3196" s="2">
        <v>11</v>
      </c>
      <c r="G3196" s="2">
        <v>10.64</v>
      </c>
      <c r="H3196" s="2">
        <v>0.36</v>
      </c>
      <c r="I3196" s="1">
        <v>3.3</v>
      </c>
      <c r="J3196" s="26">
        <v>45950</v>
      </c>
      <c r="K3196" s="22">
        <v>47880</v>
      </c>
      <c r="L3196" s="18">
        <v>51.21</v>
      </c>
      <c r="M3196" s="22">
        <v>36850</v>
      </c>
      <c r="N3196" s="22">
        <v>11030</v>
      </c>
      <c r="O3196" s="18">
        <v>11.8</v>
      </c>
      <c r="P3196" s="52">
        <f>IF(COUNTIF(TblPurchases[BatchID],TblOutcomes[[#This Row],[BatchID]])&lt;&gt;1,"n.a.",TblOutcomes[[#This Row],[Qty Wasted]]*SUMIFS(TblPurchases[Unit Cost (CLP)],TblPurchases[BatchID],TblOutcomes[[#This Row],[BatchID]]))</f>
        <v>1206</v>
      </c>
      <c r="Q3196" s="51">
        <f>IF(COUNTIF(TblPurchases[BatchID],TblOutcomes[[#This Row],[BatchID]])&lt;&gt;1,"n.a.",SUMIFS(TblPurchases[Purchase Date],TblPurchases[BatchID],TblOutcomes[[#This Row],[BatchID]]))</f>
        <v>45650</v>
      </c>
    </row>
    <row r="3197" spans="2:17" x14ac:dyDescent="0.25">
      <c r="B3197" s="2" t="s">
        <v>4002</v>
      </c>
      <c r="C3197" s="2" t="s">
        <v>339</v>
      </c>
      <c r="D3197" s="2" t="s">
        <v>341</v>
      </c>
      <c r="E3197" s="2" t="s">
        <v>4646</v>
      </c>
      <c r="F3197" s="2">
        <v>10</v>
      </c>
      <c r="G3197" s="2">
        <v>9.61</v>
      </c>
      <c r="H3197" s="2">
        <v>0.39</v>
      </c>
      <c r="I3197" s="1">
        <v>3.9</v>
      </c>
      <c r="J3197" s="26">
        <v>45986</v>
      </c>
      <c r="K3197" s="22">
        <v>43245</v>
      </c>
      <c r="L3197" s="18">
        <v>46.25</v>
      </c>
      <c r="M3197" s="22">
        <v>34000</v>
      </c>
      <c r="N3197" s="22">
        <v>9245</v>
      </c>
      <c r="O3197" s="18">
        <v>9.89</v>
      </c>
      <c r="P3197" s="52">
        <f>IF(COUNTIF(TblPurchases[BatchID],TblOutcomes[[#This Row],[BatchID]])&lt;&gt;1,"n.a.",TblOutcomes[[#This Row],[Qty Wasted]]*SUMIFS(TblPurchases[Unit Cost (CLP)],TblPurchases[BatchID],TblOutcomes[[#This Row],[BatchID]]))</f>
        <v>1326</v>
      </c>
      <c r="Q3197" s="51">
        <f>IF(COUNTIF(TblPurchases[BatchID],TblOutcomes[[#This Row],[BatchID]])&lt;&gt;1,"n.a.",SUMIFS(TblPurchases[Purchase Date],TblPurchases[BatchID],TblOutcomes[[#This Row],[BatchID]]))</f>
        <v>45686</v>
      </c>
    </row>
    <row r="3198" spans="2:17" x14ac:dyDescent="0.25">
      <c r="B3198" s="2" t="s">
        <v>4003</v>
      </c>
      <c r="C3198" s="2" t="s">
        <v>339</v>
      </c>
      <c r="D3198" s="2" t="s">
        <v>341</v>
      </c>
      <c r="E3198" s="2" t="s">
        <v>4646</v>
      </c>
      <c r="F3198" s="2">
        <v>10</v>
      </c>
      <c r="G3198" s="2">
        <v>9.3699999999999992</v>
      </c>
      <c r="H3198" s="2">
        <v>0.63</v>
      </c>
      <c r="I3198" s="1">
        <v>6.3</v>
      </c>
      <c r="J3198" s="26">
        <v>46020</v>
      </c>
      <c r="K3198" s="22">
        <v>42165</v>
      </c>
      <c r="L3198" s="18">
        <v>45.1</v>
      </c>
      <c r="M3198" s="22">
        <v>34000</v>
      </c>
      <c r="N3198" s="22">
        <v>8165</v>
      </c>
      <c r="O3198" s="18">
        <v>8.73</v>
      </c>
      <c r="P3198" s="52">
        <f>IF(COUNTIF(TblPurchases[BatchID],TblOutcomes[[#This Row],[BatchID]])&lt;&gt;1,"n.a.",TblOutcomes[[#This Row],[Qty Wasted]]*SUMIFS(TblPurchases[Unit Cost (CLP)],TblPurchases[BatchID],TblOutcomes[[#This Row],[BatchID]]))</f>
        <v>2142</v>
      </c>
      <c r="Q3198" s="51">
        <f>IF(COUNTIF(TblPurchases[BatchID],TblOutcomes[[#This Row],[BatchID]])&lt;&gt;1,"n.a.",SUMIFS(TblPurchases[Purchase Date],TblPurchases[BatchID],TblOutcomes[[#This Row],[BatchID]]))</f>
        <v>45720</v>
      </c>
    </row>
    <row r="3199" spans="2:17" x14ac:dyDescent="0.25">
      <c r="B3199" s="2" t="s">
        <v>4004</v>
      </c>
      <c r="C3199" s="2" t="s">
        <v>339</v>
      </c>
      <c r="D3199" s="2" t="s">
        <v>341</v>
      </c>
      <c r="E3199" s="2" t="s">
        <v>4646</v>
      </c>
      <c r="F3199" s="2">
        <v>28</v>
      </c>
      <c r="G3199" s="2">
        <v>27.5</v>
      </c>
      <c r="H3199" s="2">
        <v>0.5</v>
      </c>
      <c r="I3199" s="1">
        <v>1.8</v>
      </c>
      <c r="J3199" s="26">
        <v>46053</v>
      </c>
      <c r="K3199" s="22">
        <v>123750</v>
      </c>
      <c r="L3199" s="18">
        <v>132.35</v>
      </c>
      <c r="M3199" s="22">
        <v>95200</v>
      </c>
      <c r="N3199" s="22">
        <v>28550</v>
      </c>
      <c r="O3199" s="18">
        <v>30.53</v>
      </c>
      <c r="P3199" s="52">
        <f>IF(COUNTIF(TblPurchases[BatchID],TblOutcomes[[#This Row],[BatchID]])&lt;&gt;1,"n.a.",TblOutcomes[[#This Row],[Qty Wasted]]*SUMIFS(TblPurchases[Unit Cost (CLP)],TblPurchases[BatchID],TblOutcomes[[#This Row],[BatchID]]))</f>
        <v>1700</v>
      </c>
      <c r="Q3199" s="51">
        <f>IF(COUNTIF(TblPurchases[BatchID],TblOutcomes[[#This Row],[BatchID]])&lt;&gt;1,"n.a.",SUMIFS(TblPurchases[Purchase Date],TblPurchases[BatchID],TblOutcomes[[#This Row],[BatchID]]))</f>
        <v>45753</v>
      </c>
    </row>
    <row r="3200" spans="2:17" x14ac:dyDescent="0.25">
      <c r="B3200" s="2" t="s">
        <v>4005</v>
      </c>
      <c r="C3200" s="2" t="s">
        <v>339</v>
      </c>
      <c r="D3200" s="2" t="s">
        <v>341</v>
      </c>
      <c r="E3200" s="2" t="s">
        <v>4647</v>
      </c>
      <c r="F3200" s="2">
        <v>26</v>
      </c>
      <c r="G3200" s="2">
        <v>26</v>
      </c>
      <c r="H3200" s="2">
        <v>0</v>
      </c>
      <c r="I3200" s="1">
        <v>0</v>
      </c>
      <c r="J3200" s="26">
        <v>45833</v>
      </c>
      <c r="K3200" s="22">
        <v>117000</v>
      </c>
      <c r="L3200" s="18">
        <v>125.13</v>
      </c>
      <c r="M3200" s="22">
        <v>88400</v>
      </c>
      <c r="N3200" s="22">
        <v>28600</v>
      </c>
      <c r="O3200" s="18">
        <v>30.59</v>
      </c>
      <c r="P3200" s="52">
        <f>IF(COUNTIF(TblPurchases[BatchID],TblOutcomes[[#This Row],[BatchID]])&lt;&gt;1,"n.a.",TblOutcomes[[#This Row],[Qty Wasted]]*SUMIFS(TblPurchases[Unit Cost (CLP)],TblPurchases[BatchID],TblOutcomes[[#This Row],[BatchID]]))</f>
        <v>0</v>
      </c>
      <c r="Q3200" s="51">
        <f>IF(COUNTIF(TblPurchases[BatchID],TblOutcomes[[#This Row],[BatchID]])&lt;&gt;1,"n.a.",SUMIFS(TblPurchases[Purchase Date],TblPurchases[BatchID],TblOutcomes[[#This Row],[BatchID]]))</f>
        <v>45791</v>
      </c>
    </row>
    <row r="3201" spans="2:17" x14ac:dyDescent="0.25">
      <c r="B3201" s="2" t="s">
        <v>4006</v>
      </c>
      <c r="C3201" s="2" t="s">
        <v>339</v>
      </c>
      <c r="D3201" s="2" t="s">
        <v>341</v>
      </c>
      <c r="E3201" s="2" t="s">
        <v>4647</v>
      </c>
      <c r="F3201" s="2">
        <v>24</v>
      </c>
      <c r="G3201" s="2">
        <v>24</v>
      </c>
      <c r="H3201" s="2">
        <v>0</v>
      </c>
      <c r="I3201" s="1">
        <v>0</v>
      </c>
      <c r="J3201" s="26">
        <v>45860</v>
      </c>
      <c r="K3201" s="22">
        <v>108000</v>
      </c>
      <c r="L3201" s="18">
        <v>115.51</v>
      </c>
      <c r="M3201" s="22">
        <v>81600</v>
      </c>
      <c r="N3201" s="22">
        <v>26400</v>
      </c>
      <c r="O3201" s="18">
        <v>28.24</v>
      </c>
      <c r="P3201" s="52">
        <f>IF(COUNTIF(TblPurchases[BatchID],TblOutcomes[[#This Row],[BatchID]])&lt;&gt;1,"n.a.",TblOutcomes[[#This Row],[Qty Wasted]]*SUMIFS(TblPurchases[Unit Cost (CLP)],TblPurchases[BatchID],TblOutcomes[[#This Row],[BatchID]]))</f>
        <v>0</v>
      </c>
      <c r="Q3201" s="51">
        <f>IF(COUNTIF(TblPurchases[BatchID],TblOutcomes[[#This Row],[BatchID]])&lt;&gt;1,"n.a.",SUMIFS(TblPurchases[Purchase Date],TblPurchases[BatchID],TblOutcomes[[#This Row],[BatchID]]))</f>
        <v>45828</v>
      </c>
    </row>
    <row r="3202" spans="2:17" x14ac:dyDescent="0.25">
      <c r="B3202" s="2" t="s">
        <v>4007</v>
      </c>
      <c r="C3202" s="2" t="s">
        <v>342</v>
      </c>
      <c r="D3202" s="2" t="s">
        <v>341</v>
      </c>
      <c r="E3202" s="2" t="s">
        <v>4647</v>
      </c>
      <c r="F3202" s="2">
        <v>25</v>
      </c>
      <c r="G3202" s="2">
        <v>25</v>
      </c>
      <c r="H3202" s="2">
        <v>0</v>
      </c>
      <c r="I3202" s="1">
        <v>0</v>
      </c>
      <c r="J3202" s="26">
        <v>45162</v>
      </c>
      <c r="K3202" s="22">
        <v>137500</v>
      </c>
      <c r="L3202" s="18">
        <v>147.06</v>
      </c>
      <c r="M3202" s="22">
        <v>103750</v>
      </c>
      <c r="N3202" s="22">
        <v>33750</v>
      </c>
      <c r="O3202" s="18">
        <v>36.1</v>
      </c>
      <c r="P3202" s="52">
        <f>IF(COUNTIF(TblPurchases[BatchID],TblOutcomes[[#This Row],[BatchID]])&lt;&gt;1,"n.a.",TblOutcomes[[#This Row],[Qty Wasted]]*SUMIFS(TblPurchases[Unit Cost (CLP)],TblPurchases[BatchID],TblOutcomes[[#This Row],[BatchID]]))</f>
        <v>0</v>
      </c>
      <c r="Q3202" s="51">
        <f>IF(COUNTIF(TblPurchases[BatchID],TblOutcomes[[#This Row],[BatchID]])&lt;&gt;1,"n.a.",SUMIFS(TblPurchases[Purchase Date],TblPurchases[BatchID],TblOutcomes[[#This Row],[BatchID]]))</f>
        <v>45130</v>
      </c>
    </row>
    <row r="3203" spans="2:17" x14ac:dyDescent="0.25">
      <c r="B3203" s="2" t="s">
        <v>4008</v>
      </c>
      <c r="C3203" s="2" t="s">
        <v>342</v>
      </c>
      <c r="D3203" s="2" t="s">
        <v>341</v>
      </c>
      <c r="E3203" s="2" t="s">
        <v>4647</v>
      </c>
      <c r="F3203" s="2">
        <v>25</v>
      </c>
      <c r="G3203" s="2">
        <v>25</v>
      </c>
      <c r="H3203" s="2">
        <v>0</v>
      </c>
      <c r="I3203" s="1">
        <v>0</v>
      </c>
      <c r="J3203" s="26">
        <v>45192</v>
      </c>
      <c r="K3203" s="22">
        <v>137500</v>
      </c>
      <c r="L3203" s="18">
        <v>147.06</v>
      </c>
      <c r="M3203" s="22">
        <v>103750</v>
      </c>
      <c r="N3203" s="22">
        <v>33750</v>
      </c>
      <c r="O3203" s="18">
        <v>36.1</v>
      </c>
      <c r="P3203" s="52">
        <f>IF(COUNTIF(TblPurchases[BatchID],TblOutcomes[[#This Row],[BatchID]])&lt;&gt;1,"n.a.",TblOutcomes[[#This Row],[Qty Wasted]]*SUMIFS(TblPurchases[Unit Cost (CLP)],TblPurchases[BatchID],TblOutcomes[[#This Row],[BatchID]]))</f>
        <v>0</v>
      </c>
      <c r="Q3203" s="51">
        <f>IF(COUNTIF(TblPurchases[BatchID],TblOutcomes[[#This Row],[BatchID]])&lt;&gt;1,"n.a.",SUMIFS(TblPurchases[Purchase Date],TblPurchases[BatchID],TblOutcomes[[#This Row],[BatchID]]))</f>
        <v>45166</v>
      </c>
    </row>
    <row r="3204" spans="2:17" x14ac:dyDescent="0.25">
      <c r="B3204" s="2" t="s">
        <v>4009</v>
      </c>
      <c r="C3204" s="2" t="s">
        <v>342</v>
      </c>
      <c r="D3204" s="2" t="s">
        <v>341</v>
      </c>
      <c r="E3204" s="2" t="s">
        <v>4647</v>
      </c>
      <c r="F3204" s="2">
        <v>31</v>
      </c>
      <c r="G3204" s="2">
        <v>31</v>
      </c>
      <c r="H3204" s="2">
        <v>0</v>
      </c>
      <c r="I3204" s="1">
        <v>0</v>
      </c>
      <c r="J3204" s="26">
        <v>45223</v>
      </c>
      <c r="K3204" s="22">
        <v>170500</v>
      </c>
      <c r="L3204" s="18">
        <v>182.35</v>
      </c>
      <c r="M3204" s="22">
        <v>128650</v>
      </c>
      <c r="N3204" s="22">
        <v>41850</v>
      </c>
      <c r="O3204" s="18">
        <v>44.76</v>
      </c>
      <c r="P3204" s="52">
        <f>IF(COUNTIF(TblPurchases[BatchID],TblOutcomes[[#This Row],[BatchID]])&lt;&gt;1,"n.a.",TblOutcomes[[#This Row],[Qty Wasted]]*SUMIFS(TblPurchases[Unit Cost (CLP)],TblPurchases[BatchID],TblOutcomes[[#This Row],[BatchID]]))</f>
        <v>0</v>
      </c>
      <c r="Q3204" s="51">
        <f>IF(COUNTIF(TblPurchases[BatchID],TblOutcomes[[#This Row],[BatchID]])&lt;&gt;1,"n.a.",SUMIFS(TblPurchases[Purchase Date],TblPurchases[BatchID],TblOutcomes[[#This Row],[BatchID]]))</f>
        <v>45194</v>
      </c>
    </row>
    <row r="3205" spans="2:17" x14ac:dyDescent="0.25">
      <c r="B3205" s="2" t="s">
        <v>4010</v>
      </c>
      <c r="C3205" s="2" t="s">
        <v>342</v>
      </c>
      <c r="D3205" s="2" t="s">
        <v>341</v>
      </c>
      <c r="E3205" s="2" t="s">
        <v>4647</v>
      </c>
      <c r="F3205" s="2">
        <v>8</v>
      </c>
      <c r="G3205" s="2">
        <v>8</v>
      </c>
      <c r="H3205" s="2">
        <v>0</v>
      </c>
      <c r="I3205" s="1">
        <v>0</v>
      </c>
      <c r="J3205" s="26">
        <v>45259</v>
      </c>
      <c r="K3205" s="22">
        <v>44000</v>
      </c>
      <c r="L3205" s="18">
        <v>47.06</v>
      </c>
      <c r="M3205" s="22">
        <v>33200</v>
      </c>
      <c r="N3205" s="22">
        <v>10800</v>
      </c>
      <c r="O3205" s="18">
        <v>11.55</v>
      </c>
      <c r="P3205" s="52">
        <f>IF(COUNTIF(TblPurchases[BatchID],TblOutcomes[[#This Row],[BatchID]])&lt;&gt;1,"n.a.",TblOutcomes[[#This Row],[Qty Wasted]]*SUMIFS(TblPurchases[Unit Cost (CLP)],TblPurchases[BatchID],TblOutcomes[[#This Row],[BatchID]]))</f>
        <v>0</v>
      </c>
      <c r="Q3205" s="51">
        <f>IF(COUNTIF(TblPurchases[BatchID],TblOutcomes[[#This Row],[BatchID]])&lt;&gt;1,"n.a.",SUMIFS(TblPurchases[Purchase Date],TblPurchases[BatchID],TblOutcomes[[#This Row],[BatchID]]))</f>
        <v>45229</v>
      </c>
    </row>
    <row r="3206" spans="2:17" x14ac:dyDescent="0.25">
      <c r="B3206" s="2" t="s">
        <v>4011</v>
      </c>
      <c r="C3206" s="2" t="s">
        <v>342</v>
      </c>
      <c r="D3206" s="2" t="s">
        <v>341</v>
      </c>
      <c r="E3206" s="2" t="s">
        <v>4646</v>
      </c>
      <c r="F3206" s="2">
        <v>13</v>
      </c>
      <c r="G3206" s="2">
        <v>12.62</v>
      </c>
      <c r="H3206" s="2">
        <v>0.38</v>
      </c>
      <c r="I3206" s="1">
        <v>2.9</v>
      </c>
      <c r="J3206" s="26">
        <v>45568</v>
      </c>
      <c r="K3206" s="22">
        <v>69410</v>
      </c>
      <c r="L3206" s="18">
        <v>74.239999999999995</v>
      </c>
      <c r="M3206" s="22">
        <v>53950</v>
      </c>
      <c r="N3206" s="22">
        <v>15460</v>
      </c>
      <c r="O3206" s="18">
        <v>16.53</v>
      </c>
      <c r="P3206" s="52">
        <f>IF(COUNTIF(TblPurchases[BatchID],TblOutcomes[[#This Row],[BatchID]])&lt;&gt;1,"n.a.",TblOutcomes[[#This Row],[Qty Wasted]]*SUMIFS(TblPurchases[Unit Cost (CLP)],TblPurchases[BatchID],TblOutcomes[[#This Row],[BatchID]]))</f>
        <v>1577</v>
      </c>
      <c r="Q3206" s="51">
        <f>IF(COUNTIF(TblPurchases[BatchID],TblOutcomes[[#This Row],[BatchID]])&lt;&gt;1,"n.a.",SUMIFS(TblPurchases[Purchase Date],TblPurchases[BatchID],TblOutcomes[[#This Row],[BatchID]]))</f>
        <v>45268</v>
      </c>
    </row>
    <row r="3207" spans="2:17" x14ac:dyDescent="0.25">
      <c r="B3207" s="2" t="s">
        <v>4012</v>
      </c>
      <c r="C3207" s="2" t="s">
        <v>342</v>
      </c>
      <c r="D3207" s="2" t="s">
        <v>341</v>
      </c>
      <c r="E3207" s="2" t="s">
        <v>4646</v>
      </c>
      <c r="F3207" s="2">
        <v>10</v>
      </c>
      <c r="G3207" s="2">
        <v>9.5500000000000007</v>
      </c>
      <c r="H3207" s="2">
        <v>0.45</v>
      </c>
      <c r="I3207" s="1">
        <v>4.5</v>
      </c>
      <c r="J3207" s="26">
        <v>45609</v>
      </c>
      <c r="K3207" s="22">
        <v>52525</v>
      </c>
      <c r="L3207" s="18">
        <v>56.18</v>
      </c>
      <c r="M3207" s="22">
        <v>41500</v>
      </c>
      <c r="N3207" s="22">
        <v>11025</v>
      </c>
      <c r="O3207" s="18">
        <v>11.79</v>
      </c>
      <c r="P3207" s="52">
        <f>IF(COUNTIF(TblPurchases[BatchID],TblOutcomes[[#This Row],[BatchID]])&lt;&gt;1,"n.a.",TblOutcomes[[#This Row],[Qty Wasted]]*SUMIFS(TblPurchases[Unit Cost (CLP)],TblPurchases[BatchID],TblOutcomes[[#This Row],[BatchID]]))</f>
        <v>1867.5</v>
      </c>
      <c r="Q3207" s="51">
        <f>IF(COUNTIF(TblPurchases[BatchID],TblOutcomes[[#This Row],[BatchID]])&lt;&gt;1,"n.a.",SUMIFS(TblPurchases[Purchase Date],TblPurchases[BatchID],TblOutcomes[[#This Row],[BatchID]]))</f>
        <v>45309</v>
      </c>
    </row>
    <row r="3208" spans="2:17" x14ac:dyDescent="0.25">
      <c r="B3208" s="2" t="s">
        <v>4013</v>
      </c>
      <c r="C3208" s="2" t="s">
        <v>342</v>
      </c>
      <c r="D3208" s="2" t="s">
        <v>341</v>
      </c>
      <c r="E3208" s="2" t="s">
        <v>4647</v>
      </c>
      <c r="F3208" s="2">
        <v>8</v>
      </c>
      <c r="G3208" s="2">
        <v>8</v>
      </c>
      <c r="H3208" s="2">
        <v>0</v>
      </c>
      <c r="I3208" s="1">
        <v>0</v>
      </c>
      <c r="J3208" s="26">
        <v>45358</v>
      </c>
      <c r="K3208" s="22">
        <v>44000</v>
      </c>
      <c r="L3208" s="18">
        <v>47.06</v>
      </c>
      <c r="M3208" s="22">
        <v>33200</v>
      </c>
      <c r="N3208" s="22">
        <v>10800</v>
      </c>
      <c r="O3208" s="18">
        <v>11.55</v>
      </c>
      <c r="P3208" s="52">
        <f>IF(COUNTIF(TblPurchases[BatchID],TblOutcomes[[#This Row],[BatchID]])&lt;&gt;1,"n.a.",TblOutcomes[[#This Row],[Qty Wasted]]*SUMIFS(TblPurchases[Unit Cost (CLP)],TblPurchases[BatchID],TblOutcomes[[#This Row],[BatchID]]))</f>
        <v>0</v>
      </c>
      <c r="Q3208" s="51">
        <f>IF(COUNTIF(TblPurchases[BatchID],TblOutcomes[[#This Row],[BatchID]])&lt;&gt;1,"n.a.",SUMIFS(TblPurchases[Purchase Date],TblPurchases[BatchID],TblOutcomes[[#This Row],[BatchID]]))</f>
        <v>45337</v>
      </c>
    </row>
    <row r="3209" spans="2:17" x14ac:dyDescent="0.25">
      <c r="B3209" s="2" t="s">
        <v>4014</v>
      </c>
      <c r="C3209" s="2" t="s">
        <v>342</v>
      </c>
      <c r="D3209" s="2" t="s">
        <v>341</v>
      </c>
      <c r="E3209" s="2" t="s">
        <v>4646</v>
      </c>
      <c r="F3209" s="2">
        <v>8</v>
      </c>
      <c r="G3209" s="2">
        <v>7.66</v>
      </c>
      <c r="H3209" s="2">
        <v>0.34</v>
      </c>
      <c r="I3209" s="1">
        <v>4.3</v>
      </c>
      <c r="J3209" s="26">
        <v>45667</v>
      </c>
      <c r="K3209" s="22">
        <v>42130</v>
      </c>
      <c r="L3209" s="18">
        <v>45.06</v>
      </c>
      <c r="M3209" s="22">
        <v>34000</v>
      </c>
      <c r="N3209" s="22">
        <v>8130</v>
      </c>
      <c r="O3209" s="18">
        <v>8.6999999999999993</v>
      </c>
      <c r="P3209" s="52">
        <f>IF(COUNTIF(TblPurchases[BatchID],TblOutcomes[[#This Row],[BatchID]])&lt;&gt;1,"n.a.",TblOutcomes[[#This Row],[Qty Wasted]]*SUMIFS(TblPurchases[Unit Cost (CLP)],TblPurchases[BatchID],TblOutcomes[[#This Row],[BatchID]]))</f>
        <v>1445</v>
      </c>
      <c r="Q3209" s="51">
        <f>IF(COUNTIF(TblPurchases[BatchID],TblOutcomes[[#This Row],[BatchID]])&lt;&gt;1,"n.a.",SUMIFS(TblPurchases[Purchase Date],TblPurchases[BatchID],TblOutcomes[[#This Row],[BatchID]]))</f>
        <v>45367</v>
      </c>
    </row>
    <row r="3210" spans="2:17" x14ac:dyDescent="0.25">
      <c r="B3210" s="2" t="s">
        <v>4015</v>
      </c>
      <c r="C3210" s="2" t="s">
        <v>342</v>
      </c>
      <c r="D3210" s="2" t="s">
        <v>341</v>
      </c>
      <c r="E3210" s="2" t="s">
        <v>4646</v>
      </c>
      <c r="F3210" s="2">
        <v>24</v>
      </c>
      <c r="G3210" s="2">
        <v>23.06</v>
      </c>
      <c r="H3210" s="2">
        <v>0.94</v>
      </c>
      <c r="I3210" s="1">
        <v>3.9</v>
      </c>
      <c r="J3210" s="26">
        <v>45704</v>
      </c>
      <c r="K3210" s="22">
        <v>126830</v>
      </c>
      <c r="L3210" s="18">
        <v>135.65</v>
      </c>
      <c r="M3210" s="22">
        <v>99600</v>
      </c>
      <c r="N3210" s="22">
        <v>27230</v>
      </c>
      <c r="O3210" s="18">
        <v>29.12</v>
      </c>
      <c r="P3210" s="52">
        <f>IF(COUNTIF(TblPurchases[BatchID],TblOutcomes[[#This Row],[BatchID]])&lt;&gt;1,"n.a.",TblOutcomes[[#This Row],[Qty Wasted]]*SUMIFS(TblPurchases[Unit Cost (CLP)],TblPurchases[BatchID],TblOutcomes[[#This Row],[BatchID]]))</f>
        <v>3901</v>
      </c>
      <c r="Q3210" s="51">
        <f>IF(COUNTIF(TblPurchases[BatchID],TblOutcomes[[#This Row],[BatchID]])&lt;&gt;1,"n.a.",SUMIFS(TblPurchases[Purchase Date],TblPurchases[BatchID],TblOutcomes[[#This Row],[BatchID]]))</f>
        <v>45404</v>
      </c>
    </row>
    <row r="3211" spans="2:17" x14ac:dyDescent="0.25">
      <c r="B3211" s="2" t="s">
        <v>4016</v>
      </c>
      <c r="C3211" s="2" t="s">
        <v>342</v>
      </c>
      <c r="D3211" s="2" t="s">
        <v>341</v>
      </c>
      <c r="E3211" s="2" t="s">
        <v>4647</v>
      </c>
      <c r="F3211" s="2">
        <v>23</v>
      </c>
      <c r="G3211" s="2">
        <v>23</v>
      </c>
      <c r="H3211" s="2">
        <v>0</v>
      </c>
      <c r="I3211" s="1">
        <v>0</v>
      </c>
      <c r="J3211" s="26">
        <v>45467</v>
      </c>
      <c r="K3211" s="22">
        <v>126500</v>
      </c>
      <c r="L3211" s="18">
        <v>135.29</v>
      </c>
      <c r="M3211" s="22">
        <v>95450</v>
      </c>
      <c r="N3211" s="22">
        <v>31050</v>
      </c>
      <c r="O3211" s="18">
        <v>33.21</v>
      </c>
      <c r="P3211" s="52">
        <f>IF(COUNTIF(TblPurchases[BatchID],TblOutcomes[[#This Row],[BatchID]])&lt;&gt;1,"n.a.",TblOutcomes[[#This Row],[Qty Wasted]]*SUMIFS(TblPurchases[Unit Cost (CLP)],TblPurchases[BatchID],TblOutcomes[[#This Row],[BatchID]]))</f>
        <v>0</v>
      </c>
      <c r="Q3211" s="51">
        <f>IF(COUNTIF(TblPurchases[BatchID],TblOutcomes[[#This Row],[BatchID]])&lt;&gt;1,"n.a.",SUMIFS(TblPurchases[Purchase Date],TblPurchases[BatchID],TblOutcomes[[#This Row],[BatchID]]))</f>
        <v>45436</v>
      </c>
    </row>
    <row r="3212" spans="2:17" x14ac:dyDescent="0.25">
      <c r="B3212" s="2" t="s">
        <v>4017</v>
      </c>
      <c r="C3212" s="2" t="s">
        <v>342</v>
      </c>
      <c r="D3212" s="2" t="s">
        <v>341</v>
      </c>
      <c r="E3212" s="2" t="s">
        <v>4647</v>
      </c>
      <c r="F3212" s="2">
        <v>24</v>
      </c>
      <c r="G3212" s="2">
        <v>24</v>
      </c>
      <c r="H3212" s="2">
        <v>0</v>
      </c>
      <c r="I3212" s="1">
        <v>0</v>
      </c>
      <c r="J3212" s="26">
        <v>45487</v>
      </c>
      <c r="K3212" s="22">
        <v>132000</v>
      </c>
      <c r="L3212" s="18">
        <v>141.18</v>
      </c>
      <c r="M3212" s="22">
        <v>102000</v>
      </c>
      <c r="N3212" s="22">
        <v>30000</v>
      </c>
      <c r="O3212" s="18">
        <v>32.090000000000003</v>
      </c>
      <c r="P3212" s="52">
        <f>IF(COUNTIF(TblPurchases[BatchID],TblOutcomes[[#This Row],[BatchID]])&lt;&gt;1,"n.a.",TblOutcomes[[#This Row],[Qty Wasted]]*SUMIFS(TblPurchases[Unit Cost (CLP)],TblPurchases[BatchID],TblOutcomes[[#This Row],[BatchID]]))</f>
        <v>0</v>
      </c>
      <c r="Q3212" s="51">
        <f>IF(COUNTIF(TblPurchases[BatchID],TblOutcomes[[#This Row],[BatchID]])&lt;&gt;1,"n.a.",SUMIFS(TblPurchases[Purchase Date],TblPurchases[BatchID],TblOutcomes[[#This Row],[BatchID]]))</f>
        <v>45462</v>
      </c>
    </row>
    <row r="3213" spans="2:17" x14ac:dyDescent="0.25">
      <c r="B3213" s="2" t="s">
        <v>4018</v>
      </c>
      <c r="C3213" s="2" t="s">
        <v>342</v>
      </c>
      <c r="D3213" s="2" t="s">
        <v>341</v>
      </c>
      <c r="E3213" s="2" t="s">
        <v>4647</v>
      </c>
      <c r="F3213" s="2">
        <v>23</v>
      </c>
      <c r="G3213" s="2">
        <v>23</v>
      </c>
      <c r="H3213" s="2">
        <v>0</v>
      </c>
      <c r="I3213" s="1">
        <v>0</v>
      </c>
      <c r="J3213" s="26">
        <v>45512</v>
      </c>
      <c r="K3213" s="22">
        <v>126500</v>
      </c>
      <c r="L3213" s="18">
        <v>135.29</v>
      </c>
      <c r="M3213" s="22">
        <v>95450</v>
      </c>
      <c r="N3213" s="22">
        <v>31050</v>
      </c>
      <c r="O3213" s="18">
        <v>33.21</v>
      </c>
      <c r="P3213" s="52">
        <f>IF(COUNTIF(TblPurchases[BatchID],TblOutcomes[[#This Row],[BatchID]])&lt;&gt;1,"n.a.",TblOutcomes[[#This Row],[Qty Wasted]]*SUMIFS(TblPurchases[Unit Cost (CLP)],TblPurchases[BatchID],TblOutcomes[[#This Row],[BatchID]]))</f>
        <v>0</v>
      </c>
      <c r="Q3213" s="51">
        <f>IF(COUNTIF(TblPurchases[BatchID],TblOutcomes[[#This Row],[BatchID]])&lt;&gt;1,"n.a.",SUMIFS(TblPurchases[Purchase Date],TblPurchases[BatchID],TblOutcomes[[#This Row],[BatchID]]))</f>
        <v>45483</v>
      </c>
    </row>
    <row r="3214" spans="2:17" x14ac:dyDescent="0.25">
      <c r="B3214" s="2" t="s">
        <v>4019</v>
      </c>
      <c r="C3214" s="2" t="s">
        <v>342</v>
      </c>
      <c r="D3214" s="2" t="s">
        <v>341</v>
      </c>
      <c r="E3214" s="2" t="s">
        <v>4647</v>
      </c>
      <c r="F3214" s="2">
        <v>25</v>
      </c>
      <c r="G3214" s="2">
        <v>25</v>
      </c>
      <c r="H3214" s="2">
        <v>0</v>
      </c>
      <c r="I3214" s="1">
        <v>0</v>
      </c>
      <c r="J3214" s="26">
        <v>45545</v>
      </c>
      <c r="K3214" s="22">
        <v>137500</v>
      </c>
      <c r="L3214" s="18">
        <v>147.06</v>
      </c>
      <c r="M3214" s="22">
        <v>103750</v>
      </c>
      <c r="N3214" s="22">
        <v>33750</v>
      </c>
      <c r="O3214" s="18">
        <v>36.1</v>
      </c>
      <c r="P3214" s="52">
        <f>IF(COUNTIF(TblPurchases[BatchID],TblOutcomes[[#This Row],[BatchID]])&lt;&gt;1,"n.a.",TblOutcomes[[#This Row],[Qty Wasted]]*SUMIFS(TblPurchases[Unit Cost (CLP)],TblPurchases[BatchID],TblOutcomes[[#This Row],[BatchID]]))</f>
        <v>0</v>
      </c>
      <c r="Q3214" s="51">
        <f>IF(COUNTIF(TblPurchases[BatchID],TblOutcomes[[#This Row],[BatchID]])&lt;&gt;1,"n.a.",SUMIFS(TblPurchases[Purchase Date],TblPurchases[BatchID],TblOutcomes[[#This Row],[BatchID]]))</f>
        <v>45517</v>
      </c>
    </row>
    <row r="3215" spans="2:17" x14ac:dyDescent="0.25">
      <c r="B3215" s="2" t="s">
        <v>4020</v>
      </c>
      <c r="C3215" s="2" t="s">
        <v>342</v>
      </c>
      <c r="D3215" s="2" t="s">
        <v>341</v>
      </c>
      <c r="E3215" s="2" t="s">
        <v>4647</v>
      </c>
      <c r="F3215" s="2">
        <v>30</v>
      </c>
      <c r="G3215" s="2">
        <v>30</v>
      </c>
      <c r="H3215" s="2">
        <v>0</v>
      </c>
      <c r="I3215" s="1">
        <v>0</v>
      </c>
      <c r="J3215" s="26">
        <v>45589</v>
      </c>
      <c r="K3215" s="22">
        <v>165000</v>
      </c>
      <c r="L3215" s="18">
        <v>176.47</v>
      </c>
      <c r="M3215" s="22">
        <v>124500</v>
      </c>
      <c r="N3215" s="22">
        <v>40500</v>
      </c>
      <c r="O3215" s="18">
        <v>43.32</v>
      </c>
      <c r="P3215" s="52">
        <f>IF(COUNTIF(TblPurchases[BatchID],TblOutcomes[[#This Row],[BatchID]])&lt;&gt;1,"n.a.",TblOutcomes[[#This Row],[Qty Wasted]]*SUMIFS(TblPurchases[Unit Cost (CLP)],TblPurchases[BatchID],TblOutcomes[[#This Row],[BatchID]]))</f>
        <v>0</v>
      </c>
      <c r="Q3215" s="51">
        <f>IF(COUNTIF(TblPurchases[BatchID],TblOutcomes[[#This Row],[BatchID]])&lt;&gt;1,"n.a.",SUMIFS(TblPurchases[Purchase Date],TblPurchases[BatchID],TblOutcomes[[#This Row],[BatchID]]))</f>
        <v>45552</v>
      </c>
    </row>
    <row r="3216" spans="2:17" x14ac:dyDescent="0.25">
      <c r="B3216" s="2" t="s">
        <v>4021</v>
      </c>
      <c r="C3216" s="2" t="s">
        <v>342</v>
      </c>
      <c r="D3216" s="2" t="s">
        <v>341</v>
      </c>
      <c r="E3216" s="2" t="s">
        <v>4646</v>
      </c>
      <c r="F3216" s="2">
        <v>8</v>
      </c>
      <c r="G3216" s="2">
        <v>7.53</v>
      </c>
      <c r="H3216" s="2">
        <v>0.47</v>
      </c>
      <c r="I3216" s="1">
        <v>5.9</v>
      </c>
      <c r="J3216" s="26">
        <v>45884</v>
      </c>
      <c r="K3216" s="22">
        <v>41415</v>
      </c>
      <c r="L3216" s="18">
        <v>44.29</v>
      </c>
      <c r="M3216" s="22">
        <v>33200</v>
      </c>
      <c r="N3216" s="22">
        <v>8215</v>
      </c>
      <c r="O3216" s="18">
        <v>8.7899999999999991</v>
      </c>
      <c r="P3216" s="52">
        <f>IF(COUNTIF(TblPurchases[BatchID],TblOutcomes[[#This Row],[BatchID]])&lt;&gt;1,"n.a.",TblOutcomes[[#This Row],[Qty Wasted]]*SUMIFS(TblPurchases[Unit Cost (CLP)],TblPurchases[BatchID],TblOutcomes[[#This Row],[BatchID]]))</f>
        <v>1950.5</v>
      </c>
      <c r="Q3216" s="51">
        <f>IF(COUNTIF(TblPurchases[BatchID],TblOutcomes[[#This Row],[BatchID]])&lt;&gt;1,"n.a.",SUMIFS(TblPurchases[Purchase Date],TblPurchases[BatchID],TblOutcomes[[#This Row],[BatchID]]))</f>
        <v>45584</v>
      </c>
    </row>
    <row r="3217" spans="2:17" x14ac:dyDescent="0.25">
      <c r="B3217" s="2" t="s">
        <v>4022</v>
      </c>
      <c r="C3217" s="2" t="s">
        <v>342</v>
      </c>
      <c r="D3217" s="2" t="s">
        <v>341</v>
      </c>
      <c r="E3217" s="2" t="s">
        <v>4647</v>
      </c>
      <c r="F3217" s="2">
        <v>10</v>
      </c>
      <c r="G3217" s="2">
        <v>10</v>
      </c>
      <c r="H3217" s="2">
        <v>0</v>
      </c>
      <c r="I3217" s="1">
        <v>0</v>
      </c>
      <c r="J3217" s="26">
        <v>45647</v>
      </c>
      <c r="K3217" s="22">
        <v>55000</v>
      </c>
      <c r="L3217" s="18">
        <v>58.82</v>
      </c>
      <c r="M3217" s="22">
        <v>41500</v>
      </c>
      <c r="N3217" s="22">
        <v>13500</v>
      </c>
      <c r="O3217" s="18">
        <v>14.44</v>
      </c>
      <c r="P3217" s="52">
        <f>IF(COUNTIF(TblPurchases[BatchID],TblOutcomes[[#This Row],[BatchID]])&lt;&gt;1,"n.a.",TblOutcomes[[#This Row],[Qty Wasted]]*SUMIFS(TblPurchases[Unit Cost (CLP)],TblPurchases[BatchID],TblOutcomes[[#This Row],[BatchID]]))</f>
        <v>0</v>
      </c>
      <c r="Q3217" s="51">
        <f>IF(COUNTIF(TblPurchases[BatchID],TblOutcomes[[#This Row],[BatchID]])&lt;&gt;1,"n.a.",SUMIFS(TblPurchases[Purchase Date],TblPurchases[BatchID],TblOutcomes[[#This Row],[BatchID]]))</f>
        <v>45624</v>
      </c>
    </row>
    <row r="3218" spans="2:17" x14ac:dyDescent="0.25">
      <c r="B3218" s="2" t="s">
        <v>4023</v>
      </c>
      <c r="C3218" s="2" t="s">
        <v>342</v>
      </c>
      <c r="D3218" s="2" t="s">
        <v>341</v>
      </c>
      <c r="E3218" s="2" t="s">
        <v>4646</v>
      </c>
      <c r="F3218" s="2">
        <v>12</v>
      </c>
      <c r="G3218" s="2">
        <v>11.12</v>
      </c>
      <c r="H3218" s="2">
        <v>0.88</v>
      </c>
      <c r="I3218" s="1">
        <v>7.3</v>
      </c>
      <c r="J3218" s="26">
        <v>45955</v>
      </c>
      <c r="K3218" s="22">
        <v>61160</v>
      </c>
      <c r="L3218" s="18">
        <v>65.41</v>
      </c>
      <c r="M3218" s="22">
        <v>49800</v>
      </c>
      <c r="N3218" s="22">
        <v>11360</v>
      </c>
      <c r="O3218" s="18">
        <v>12.15</v>
      </c>
      <c r="P3218" s="52">
        <f>IF(COUNTIF(TblPurchases[BatchID],TblOutcomes[[#This Row],[BatchID]])&lt;&gt;1,"n.a.",TblOutcomes[[#This Row],[Qty Wasted]]*SUMIFS(TblPurchases[Unit Cost (CLP)],TblPurchases[BatchID],TblOutcomes[[#This Row],[BatchID]]))</f>
        <v>3652</v>
      </c>
      <c r="Q3218" s="51">
        <f>IF(COUNTIF(TblPurchases[BatchID],TblOutcomes[[#This Row],[BatchID]])&lt;&gt;1,"n.a.",SUMIFS(TblPurchases[Purchase Date],TblPurchases[BatchID],TblOutcomes[[#This Row],[BatchID]]))</f>
        <v>45655</v>
      </c>
    </row>
    <row r="3219" spans="2:17" x14ac:dyDescent="0.25">
      <c r="B3219" s="2" t="s">
        <v>4024</v>
      </c>
      <c r="C3219" s="2" t="s">
        <v>342</v>
      </c>
      <c r="D3219" s="2" t="s">
        <v>341</v>
      </c>
      <c r="E3219" s="2" t="s">
        <v>4646</v>
      </c>
      <c r="F3219" s="2">
        <v>9</v>
      </c>
      <c r="G3219" s="2">
        <v>8.5299999999999994</v>
      </c>
      <c r="H3219" s="2">
        <v>0.47</v>
      </c>
      <c r="I3219" s="1">
        <v>5.2</v>
      </c>
      <c r="J3219" s="26">
        <v>45992</v>
      </c>
      <c r="K3219" s="22">
        <v>46915</v>
      </c>
      <c r="L3219" s="18">
        <v>50.18</v>
      </c>
      <c r="M3219" s="22">
        <v>37350</v>
      </c>
      <c r="N3219" s="22">
        <v>9565</v>
      </c>
      <c r="O3219" s="18">
        <v>10.23</v>
      </c>
      <c r="P3219" s="52">
        <f>IF(COUNTIF(TblPurchases[BatchID],TblOutcomes[[#This Row],[BatchID]])&lt;&gt;1,"n.a.",TblOutcomes[[#This Row],[Qty Wasted]]*SUMIFS(TblPurchases[Unit Cost (CLP)],TblPurchases[BatchID],TblOutcomes[[#This Row],[BatchID]]))</f>
        <v>1950.5</v>
      </c>
      <c r="Q3219" s="51">
        <f>IF(COUNTIF(TblPurchases[BatchID],TblOutcomes[[#This Row],[BatchID]])&lt;&gt;1,"n.a.",SUMIFS(TblPurchases[Purchase Date],TblPurchases[BatchID],TblOutcomes[[#This Row],[BatchID]]))</f>
        <v>45692</v>
      </c>
    </row>
    <row r="3220" spans="2:17" x14ac:dyDescent="0.25">
      <c r="B3220" s="2" t="s">
        <v>4025</v>
      </c>
      <c r="C3220" s="2" t="s">
        <v>342</v>
      </c>
      <c r="D3220" s="2" t="s">
        <v>341</v>
      </c>
      <c r="E3220" s="2" t="s">
        <v>4646</v>
      </c>
      <c r="F3220" s="2">
        <v>10</v>
      </c>
      <c r="G3220" s="2">
        <v>9.2200000000000006</v>
      </c>
      <c r="H3220" s="2">
        <v>0.78</v>
      </c>
      <c r="I3220" s="1">
        <v>7.8</v>
      </c>
      <c r="J3220" s="26">
        <v>46036</v>
      </c>
      <c r="K3220" s="22">
        <v>50710</v>
      </c>
      <c r="L3220" s="18">
        <v>54.24</v>
      </c>
      <c r="M3220" s="22">
        <v>41500</v>
      </c>
      <c r="N3220" s="22">
        <v>9210</v>
      </c>
      <c r="O3220" s="18">
        <v>9.85</v>
      </c>
      <c r="P3220" s="52">
        <f>IF(COUNTIF(TblPurchases[BatchID],TblOutcomes[[#This Row],[BatchID]])&lt;&gt;1,"n.a.",TblOutcomes[[#This Row],[Qty Wasted]]*SUMIFS(TblPurchases[Unit Cost (CLP)],TblPurchases[BatchID],TblOutcomes[[#This Row],[BatchID]]))</f>
        <v>3237</v>
      </c>
      <c r="Q3220" s="51">
        <f>IF(COUNTIF(TblPurchases[BatchID],TblOutcomes[[#This Row],[BatchID]])&lt;&gt;1,"n.a.",SUMIFS(TblPurchases[Purchase Date],TblPurchases[BatchID],TblOutcomes[[#This Row],[BatchID]]))</f>
        <v>45736</v>
      </c>
    </row>
    <row r="3221" spans="2:17" x14ac:dyDescent="0.25">
      <c r="B3221" s="2" t="s">
        <v>4026</v>
      </c>
      <c r="C3221" s="2" t="s">
        <v>342</v>
      </c>
      <c r="D3221" s="2" t="s">
        <v>341</v>
      </c>
      <c r="E3221" s="2" t="s">
        <v>4647</v>
      </c>
      <c r="F3221" s="2">
        <v>25</v>
      </c>
      <c r="G3221" s="2">
        <v>25</v>
      </c>
      <c r="H3221" s="2">
        <v>0</v>
      </c>
      <c r="I3221" s="1">
        <v>0</v>
      </c>
      <c r="J3221" s="26">
        <v>45800</v>
      </c>
      <c r="K3221" s="22">
        <v>137500</v>
      </c>
      <c r="L3221" s="18">
        <v>147.06</v>
      </c>
      <c r="M3221" s="22">
        <v>103750</v>
      </c>
      <c r="N3221" s="22">
        <v>33750</v>
      </c>
      <c r="O3221" s="18">
        <v>36.1</v>
      </c>
      <c r="P3221" s="52">
        <f>IF(COUNTIF(TblPurchases[BatchID],TblOutcomes[[#This Row],[BatchID]])&lt;&gt;1,"n.a.",TblOutcomes[[#This Row],[Qty Wasted]]*SUMIFS(TblPurchases[Unit Cost (CLP)],TblPurchases[BatchID],TblOutcomes[[#This Row],[BatchID]]))</f>
        <v>0</v>
      </c>
      <c r="Q3221" s="51">
        <f>IF(COUNTIF(TblPurchases[BatchID],TblOutcomes[[#This Row],[BatchID]])&lt;&gt;1,"n.a.",SUMIFS(TblPurchases[Purchase Date],TblPurchases[BatchID],TblOutcomes[[#This Row],[BatchID]]))</f>
        <v>45759</v>
      </c>
    </row>
    <row r="3222" spans="2:17" x14ac:dyDescent="0.25">
      <c r="B3222" s="2" t="s">
        <v>4027</v>
      </c>
      <c r="C3222" s="2" t="s">
        <v>342</v>
      </c>
      <c r="D3222" s="2" t="s">
        <v>341</v>
      </c>
      <c r="E3222" s="2" t="s">
        <v>4647</v>
      </c>
      <c r="F3222" s="2">
        <v>22</v>
      </c>
      <c r="G3222" s="2">
        <v>22</v>
      </c>
      <c r="H3222" s="2">
        <v>0</v>
      </c>
      <c r="I3222" s="1">
        <v>0</v>
      </c>
      <c r="J3222" s="26">
        <v>45824</v>
      </c>
      <c r="K3222" s="22">
        <v>121000</v>
      </c>
      <c r="L3222" s="18">
        <v>129.41</v>
      </c>
      <c r="M3222" s="22">
        <v>91300</v>
      </c>
      <c r="N3222" s="22">
        <v>29700</v>
      </c>
      <c r="O3222" s="18">
        <v>31.76</v>
      </c>
      <c r="P3222" s="52">
        <f>IF(COUNTIF(TblPurchases[BatchID],TblOutcomes[[#This Row],[BatchID]])&lt;&gt;1,"n.a.",TblOutcomes[[#This Row],[Qty Wasted]]*SUMIFS(TblPurchases[Unit Cost (CLP)],TblPurchases[BatchID],TblOutcomes[[#This Row],[BatchID]]))</f>
        <v>0</v>
      </c>
      <c r="Q3222" s="51">
        <f>IF(COUNTIF(TblPurchases[BatchID],TblOutcomes[[#This Row],[BatchID]])&lt;&gt;1,"n.a.",SUMIFS(TblPurchases[Purchase Date],TblPurchases[BatchID],TblOutcomes[[#This Row],[BatchID]]))</f>
        <v>45796</v>
      </c>
    </row>
    <row r="3223" spans="2:17" x14ac:dyDescent="0.25">
      <c r="B3223" s="2" t="s">
        <v>4028</v>
      </c>
      <c r="C3223" s="2" t="s">
        <v>342</v>
      </c>
      <c r="D3223" s="2" t="s">
        <v>341</v>
      </c>
      <c r="E3223" s="2" t="s">
        <v>4647</v>
      </c>
      <c r="F3223" s="2">
        <v>28</v>
      </c>
      <c r="G3223" s="2">
        <v>28</v>
      </c>
      <c r="H3223" s="2">
        <v>0</v>
      </c>
      <c r="I3223" s="1">
        <v>0</v>
      </c>
      <c r="J3223" s="26">
        <v>45851</v>
      </c>
      <c r="K3223" s="22">
        <v>154000</v>
      </c>
      <c r="L3223" s="18">
        <v>164.71</v>
      </c>
      <c r="M3223" s="22">
        <v>116200</v>
      </c>
      <c r="N3223" s="22">
        <v>37800</v>
      </c>
      <c r="O3223" s="18">
        <v>40.43</v>
      </c>
      <c r="P3223" s="52">
        <f>IF(COUNTIF(TblPurchases[BatchID],TblOutcomes[[#This Row],[BatchID]])&lt;&gt;1,"n.a.",TblOutcomes[[#This Row],[Qty Wasted]]*SUMIFS(TblPurchases[Unit Cost (CLP)],TblPurchases[BatchID],TblOutcomes[[#This Row],[BatchID]]))</f>
        <v>0</v>
      </c>
      <c r="Q3223" s="51">
        <f>IF(COUNTIF(TblPurchases[BatchID],TblOutcomes[[#This Row],[BatchID]])&lt;&gt;1,"n.a.",SUMIFS(TblPurchases[Purchase Date],TblPurchases[BatchID],TblOutcomes[[#This Row],[BatchID]]))</f>
        <v>45825</v>
      </c>
    </row>
    <row r="3224" spans="2:17" x14ac:dyDescent="0.25">
      <c r="B3224" s="2" t="s">
        <v>4029</v>
      </c>
      <c r="C3224" s="2" t="s">
        <v>344</v>
      </c>
      <c r="D3224" s="2" t="s">
        <v>341</v>
      </c>
      <c r="E3224" s="2" t="s">
        <v>4647</v>
      </c>
      <c r="F3224" s="2">
        <v>25</v>
      </c>
      <c r="G3224" s="2">
        <v>25</v>
      </c>
      <c r="H3224" s="2">
        <v>0</v>
      </c>
      <c r="I3224" s="1">
        <v>0</v>
      </c>
      <c r="J3224" s="26">
        <v>45137</v>
      </c>
      <c r="K3224" s="22">
        <v>150000</v>
      </c>
      <c r="L3224" s="18">
        <v>160.43</v>
      </c>
      <c r="M3224" s="22">
        <v>105000</v>
      </c>
      <c r="N3224" s="22">
        <v>45000</v>
      </c>
      <c r="O3224" s="18">
        <v>48.13</v>
      </c>
      <c r="P3224" s="52">
        <f>IF(COUNTIF(TblPurchases[BatchID],TblOutcomes[[#This Row],[BatchID]])&lt;&gt;1,"n.a.",TblOutcomes[[#This Row],[Qty Wasted]]*SUMIFS(TblPurchases[Unit Cost (CLP)],TblPurchases[BatchID],TblOutcomes[[#This Row],[BatchID]]))</f>
        <v>0</v>
      </c>
      <c r="Q3224" s="51">
        <f>IF(COUNTIF(TblPurchases[BatchID],TblOutcomes[[#This Row],[BatchID]])&lt;&gt;1,"n.a.",SUMIFS(TblPurchases[Purchase Date],TblPurchases[BatchID],TblOutcomes[[#This Row],[BatchID]]))</f>
        <v>45126</v>
      </c>
    </row>
    <row r="3225" spans="2:17" x14ac:dyDescent="0.25">
      <c r="B3225" s="2" t="s">
        <v>4030</v>
      </c>
      <c r="C3225" s="2" t="s">
        <v>344</v>
      </c>
      <c r="D3225" s="2" t="s">
        <v>341</v>
      </c>
      <c r="E3225" s="2" t="s">
        <v>4647</v>
      </c>
      <c r="F3225" s="2">
        <v>23</v>
      </c>
      <c r="G3225" s="2">
        <v>23</v>
      </c>
      <c r="H3225" s="2">
        <v>0</v>
      </c>
      <c r="I3225" s="1">
        <v>0</v>
      </c>
      <c r="J3225" s="26">
        <v>45175</v>
      </c>
      <c r="K3225" s="22">
        <v>138000</v>
      </c>
      <c r="L3225" s="18">
        <v>147.59</v>
      </c>
      <c r="M3225" s="22">
        <v>96600</v>
      </c>
      <c r="N3225" s="22">
        <v>41400</v>
      </c>
      <c r="O3225" s="18">
        <v>44.28</v>
      </c>
      <c r="P3225" s="52">
        <f>IF(COUNTIF(TblPurchases[BatchID],TblOutcomes[[#This Row],[BatchID]])&lt;&gt;1,"n.a.",TblOutcomes[[#This Row],[Qty Wasted]]*SUMIFS(TblPurchases[Unit Cost (CLP)],TblPurchases[BatchID],TblOutcomes[[#This Row],[BatchID]]))</f>
        <v>0</v>
      </c>
      <c r="Q3225" s="51">
        <f>IF(COUNTIF(TblPurchases[BatchID],TblOutcomes[[#This Row],[BatchID]])&lt;&gt;1,"n.a.",SUMIFS(TblPurchases[Purchase Date],TblPurchases[BatchID],TblOutcomes[[#This Row],[BatchID]]))</f>
        <v>45155</v>
      </c>
    </row>
    <row r="3226" spans="2:17" x14ac:dyDescent="0.25">
      <c r="B3226" s="2" t="s">
        <v>4031</v>
      </c>
      <c r="C3226" s="2" t="s">
        <v>344</v>
      </c>
      <c r="D3226" s="2" t="s">
        <v>341</v>
      </c>
      <c r="E3226" s="2" t="s">
        <v>4647</v>
      </c>
      <c r="F3226" s="2">
        <v>33</v>
      </c>
      <c r="G3226" s="2">
        <v>33</v>
      </c>
      <c r="H3226" s="2">
        <v>0</v>
      </c>
      <c r="I3226" s="1">
        <v>0</v>
      </c>
      <c r="J3226" s="26">
        <v>45217</v>
      </c>
      <c r="K3226" s="22">
        <v>198000</v>
      </c>
      <c r="L3226" s="18">
        <v>211.76</v>
      </c>
      <c r="M3226" s="22">
        <v>151800</v>
      </c>
      <c r="N3226" s="22">
        <v>46200</v>
      </c>
      <c r="O3226" s="18">
        <v>49.41</v>
      </c>
      <c r="P3226" s="52">
        <f>IF(COUNTIF(TblPurchases[BatchID],TblOutcomes[[#This Row],[BatchID]])&lt;&gt;1,"n.a.",TblOutcomes[[#This Row],[Qty Wasted]]*SUMIFS(TblPurchases[Unit Cost (CLP)],TblPurchases[BatchID],TblOutcomes[[#This Row],[BatchID]]))</f>
        <v>0</v>
      </c>
      <c r="Q3226" s="51">
        <f>IF(COUNTIF(TblPurchases[BatchID],TblOutcomes[[#This Row],[BatchID]])&lt;&gt;1,"n.a.",SUMIFS(TblPurchases[Purchase Date],TblPurchases[BatchID],TblOutcomes[[#This Row],[BatchID]]))</f>
        <v>45195</v>
      </c>
    </row>
    <row r="3227" spans="2:17" x14ac:dyDescent="0.25">
      <c r="B3227" s="2" t="s">
        <v>4032</v>
      </c>
      <c r="C3227" s="2" t="s">
        <v>344</v>
      </c>
      <c r="D3227" s="2" t="s">
        <v>341</v>
      </c>
      <c r="E3227" s="2" t="s">
        <v>4646</v>
      </c>
      <c r="F3227" s="2">
        <v>9</v>
      </c>
      <c r="G3227" s="2">
        <v>8.25</v>
      </c>
      <c r="H3227" s="2">
        <v>0.75</v>
      </c>
      <c r="I3227" s="1">
        <v>8.3000000000000007</v>
      </c>
      <c r="J3227" s="26">
        <v>45527</v>
      </c>
      <c r="K3227" s="22">
        <v>49500</v>
      </c>
      <c r="L3227" s="18">
        <v>52.94</v>
      </c>
      <c r="M3227" s="22">
        <v>37800</v>
      </c>
      <c r="N3227" s="22">
        <v>11700</v>
      </c>
      <c r="O3227" s="18">
        <v>12.51</v>
      </c>
      <c r="P3227" s="52">
        <f>IF(COUNTIF(TblPurchases[BatchID],TblOutcomes[[#This Row],[BatchID]])&lt;&gt;1,"n.a.",TblOutcomes[[#This Row],[Qty Wasted]]*SUMIFS(TblPurchases[Unit Cost (CLP)],TblPurchases[BatchID],TblOutcomes[[#This Row],[BatchID]]))</f>
        <v>3150</v>
      </c>
      <c r="Q3227" s="51">
        <f>IF(COUNTIF(TblPurchases[BatchID],TblOutcomes[[#This Row],[BatchID]])&lt;&gt;1,"n.a.",SUMIFS(TblPurchases[Purchase Date],TblPurchases[BatchID],TblOutcomes[[#This Row],[BatchID]]))</f>
        <v>45227</v>
      </c>
    </row>
    <row r="3228" spans="2:17" x14ac:dyDescent="0.25">
      <c r="B3228" s="2" t="s">
        <v>4033</v>
      </c>
      <c r="C3228" s="2" t="s">
        <v>344</v>
      </c>
      <c r="D3228" s="2" t="s">
        <v>341</v>
      </c>
      <c r="E3228" s="2" t="s">
        <v>4646</v>
      </c>
      <c r="F3228" s="2">
        <v>11</v>
      </c>
      <c r="G3228" s="2">
        <v>10.23</v>
      </c>
      <c r="H3228" s="2">
        <v>0.77</v>
      </c>
      <c r="I3228" s="1">
        <v>7</v>
      </c>
      <c r="J3228" s="26">
        <v>45562</v>
      </c>
      <c r="K3228" s="22">
        <v>61380</v>
      </c>
      <c r="L3228" s="18">
        <v>65.650000000000006</v>
      </c>
      <c r="M3228" s="22">
        <v>46200</v>
      </c>
      <c r="N3228" s="22">
        <v>15180</v>
      </c>
      <c r="O3228" s="18">
        <v>16.239999999999998</v>
      </c>
      <c r="P3228" s="52">
        <f>IF(COUNTIF(TblPurchases[BatchID],TblOutcomes[[#This Row],[BatchID]])&lt;&gt;1,"n.a.",TblOutcomes[[#This Row],[Qty Wasted]]*SUMIFS(TblPurchases[Unit Cost (CLP)],TblPurchases[BatchID],TblOutcomes[[#This Row],[BatchID]]))</f>
        <v>3234</v>
      </c>
      <c r="Q3228" s="51">
        <f>IF(COUNTIF(TblPurchases[BatchID],TblOutcomes[[#This Row],[BatchID]])&lt;&gt;1,"n.a.",SUMIFS(TblPurchases[Purchase Date],TblPurchases[BatchID],TblOutcomes[[#This Row],[BatchID]]))</f>
        <v>45262</v>
      </c>
    </row>
    <row r="3229" spans="2:17" x14ac:dyDescent="0.25">
      <c r="B3229" s="2" t="s">
        <v>4034</v>
      </c>
      <c r="C3229" s="2" t="s">
        <v>344</v>
      </c>
      <c r="D3229" s="2" t="s">
        <v>341</v>
      </c>
      <c r="E3229" s="2" t="s">
        <v>4647</v>
      </c>
      <c r="F3229" s="2">
        <v>9</v>
      </c>
      <c r="G3229" s="2">
        <v>9</v>
      </c>
      <c r="H3229" s="2">
        <v>0</v>
      </c>
      <c r="I3229" s="1">
        <v>0</v>
      </c>
      <c r="J3229" s="26">
        <v>45335</v>
      </c>
      <c r="K3229" s="22">
        <v>54000</v>
      </c>
      <c r="L3229" s="18">
        <v>57.75</v>
      </c>
      <c r="M3229" s="22">
        <v>37800</v>
      </c>
      <c r="N3229" s="22">
        <v>16200</v>
      </c>
      <c r="O3229" s="18">
        <v>17.329999999999998</v>
      </c>
      <c r="P3229" s="52">
        <f>IF(COUNTIF(TblPurchases[BatchID],TblOutcomes[[#This Row],[BatchID]])&lt;&gt;1,"n.a.",TblOutcomes[[#This Row],[Qty Wasted]]*SUMIFS(TblPurchases[Unit Cost (CLP)],TblPurchases[BatchID],TblOutcomes[[#This Row],[BatchID]]))</f>
        <v>0</v>
      </c>
      <c r="Q3229" s="51">
        <f>IF(COUNTIF(TblPurchases[BatchID],TblOutcomes[[#This Row],[BatchID]])&lt;&gt;1,"n.a.",SUMIFS(TblPurchases[Purchase Date],TblPurchases[BatchID],TblOutcomes[[#This Row],[BatchID]]))</f>
        <v>45303</v>
      </c>
    </row>
    <row r="3230" spans="2:17" x14ac:dyDescent="0.25">
      <c r="B3230" s="2" t="s">
        <v>4035</v>
      </c>
      <c r="C3230" s="2" t="s">
        <v>344</v>
      </c>
      <c r="D3230" s="2" t="s">
        <v>341</v>
      </c>
      <c r="E3230" s="2" t="s">
        <v>4647</v>
      </c>
      <c r="F3230" s="2">
        <v>8</v>
      </c>
      <c r="G3230" s="2">
        <v>8</v>
      </c>
      <c r="H3230" s="2">
        <v>0</v>
      </c>
      <c r="I3230" s="1">
        <v>0</v>
      </c>
      <c r="J3230" s="26">
        <v>45355</v>
      </c>
      <c r="K3230" s="22">
        <v>48000</v>
      </c>
      <c r="L3230" s="18">
        <v>51.34</v>
      </c>
      <c r="M3230" s="22">
        <v>33600</v>
      </c>
      <c r="N3230" s="22">
        <v>14400</v>
      </c>
      <c r="O3230" s="18">
        <v>15.4</v>
      </c>
      <c r="P3230" s="52">
        <f>IF(COUNTIF(TblPurchases[BatchID],TblOutcomes[[#This Row],[BatchID]])&lt;&gt;1,"n.a.",TblOutcomes[[#This Row],[Qty Wasted]]*SUMIFS(TblPurchases[Unit Cost (CLP)],TblPurchases[BatchID],TblOutcomes[[#This Row],[BatchID]]))</f>
        <v>0</v>
      </c>
      <c r="Q3230" s="51">
        <f>IF(COUNTIF(TblPurchases[BatchID],TblOutcomes[[#This Row],[BatchID]])&lt;&gt;1,"n.a.",SUMIFS(TblPurchases[Purchase Date],TblPurchases[BatchID],TblOutcomes[[#This Row],[BatchID]]))</f>
        <v>45334</v>
      </c>
    </row>
    <row r="3231" spans="2:17" x14ac:dyDescent="0.25">
      <c r="B3231" s="2" t="s">
        <v>4036</v>
      </c>
      <c r="C3231" s="2" t="s">
        <v>344</v>
      </c>
      <c r="D3231" s="2" t="s">
        <v>341</v>
      </c>
      <c r="E3231" s="2" t="s">
        <v>4646</v>
      </c>
      <c r="F3231" s="2">
        <v>8</v>
      </c>
      <c r="G3231" s="2">
        <v>7.59</v>
      </c>
      <c r="H3231" s="2">
        <v>0.41</v>
      </c>
      <c r="I3231" s="1">
        <v>5.0999999999999996</v>
      </c>
      <c r="J3231" s="26">
        <v>45673</v>
      </c>
      <c r="K3231" s="22">
        <v>45540</v>
      </c>
      <c r="L3231" s="18">
        <v>48.71</v>
      </c>
      <c r="M3231" s="22">
        <v>33600</v>
      </c>
      <c r="N3231" s="22">
        <v>11940</v>
      </c>
      <c r="O3231" s="18">
        <v>12.77</v>
      </c>
      <c r="P3231" s="52">
        <f>IF(COUNTIF(TblPurchases[BatchID],TblOutcomes[[#This Row],[BatchID]])&lt;&gt;1,"n.a.",TblOutcomes[[#This Row],[Qty Wasted]]*SUMIFS(TblPurchases[Unit Cost (CLP)],TblPurchases[BatchID],TblOutcomes[[#This Row],[BatchID]]))</f>
        <v>1722</v>
      </c>
      <c r="Q3231" s="51">
        <f>IF(COUNTIF(TblPurchases[BatchID],TblOutcomes[[#This Row],[BatchID]])&lt;&gt;1,"n.a.",SUMIFS(TblPurchases[Purchase Date],TblPurchases[BatchID],TblOutcomes[[#This Row],[BatchID]]))</f>
        <v>45373</v>
      </c>
    </row>
    <row r="3232" spans="2:17" x14ac:dyDescent="0.25">
      <c r="B3232" s="2" t="s">
        <v>4037</v>
      </c>
      <c r="C3232" s="2" t="s">
        <v>344</v>
      </c>
      <c r="D3232" s="2" t="s">
        <v>341</v>
      </c>
      <c r="E3232" s="2" t="s">
        <v>4647</v>
      </c>
      <c r="F3232" s="2">
        <v>24</v>
      </c>
      <c r="G3232" s="2">
        <v>24</v>
      </c>
      <c r="H3232" s="2">
        <v>0</v>
      </c>
      <c r="I3232" s="1">
        <v>0</v>
      </c>
      <c r="J3232" s="26">
        <v>45424</v>
      </c>
      <c r="K3232" s="22">
        <v>144000</v>
      </c>
      <c r="L3232" s="18">
        <v>154.01</v>
      </c>
      <c r="M3232" s="22">
        <v>100800</v>
      </c>
      <c r="N3232" s="22">
        <v>43200</v>
      </c>
      <c r="O3232" s="18">
        <v>46.2</v>
      </c>
      <c r="P3232" s="52">
        <f>IF(COUNTIF(TblPurchases[BatchID],TblOutcomes[[#This Row],[BatchID]])&lt;&gt;1,"n.a.",TblOutcomes[[#This Row],[Qty Wasted]]*SUMIFS(TblPurchases[Unit Cost (CLP)],TblPurchases[BatchID],TblOutcomes[[#This Row],[BatchID]]))</f>
        <v>0</v>
      </c>
      <c r="Q3232" s="51">
        <f>IF(COUNTIF(TblPurchases[BatchID],TblOutcomes[[#This Row],[BatchID]])&lt;&gt;1,"n.a.",SUMIFS(TblPurchases[Purchase Date],TblPurchases[BatchID],TblOutcomes[[#This Row],[BatchID]]))</f>
        <v>45408</v>
      </c>
    </row>
    <row r="3233" spans="2:17" x14ac:dyDescent="0.25">
      <c r="B3233" s="2" t="s">
        <v>4038</v>
      </c>
      <c r="C3233" s="2" t="s">
        <v>344</v>
      </c>
      <c r="D3233" s="2" t="s">
        <v>341</v>
      </c>
      <c r="E3233" s="2" t="s">
        <v>4647</v>
      </c>
      <c r="F3233" s="2">
        <v>22</v>
      </c>
      <c r="G3233" s="2">
        <v>22</v>
      </c>
      <c r="H3233" s="2">
        <v>0</v>
      </c>
      <c r="I3233" s="1">
        <v>0</v>
      </c>
      <c r="J3233" s="26">
        <v>45465</v>
      </c>
      <c r="K3233" s="22">
        <v>132000</v>
      </c>
      <c r="L3233" s="18">
        <v>141.18</v>
      </c>
      <c r="M3233" s="22">
        <v>92400</v>
      </c>
      <c r="N3233" s="22">
        <v>39600</v>
      </c>
      <c r="O3233" s="18">
        <v>42.35</v>
      </c>
      <c r="P3233" s="52">
        <f>IF(COUNTIF(TblPurchases[BatchID],TblOutcomes[[#This Row],[BatchID]])&lt;&gt;1,"n.a.",TblOutcomes[[#This Row],[Qty Wasted]]*SUMIFS(TblPurchases[Unit Cost (CLP)],TblPurchases[BatchID],TblOutcomes[[#This Row],[BatchID]]))</f>
        <v>0</v>
      </c>
      <c r="Q3233" s="51">
        <f>IF(COUNTIF(TblPurchases[BatchID],TblOutcomes[[#This Row],[BatchID]])&lt;&gt;1,"n.a.",SUMIFS(TblPurchases[Purchase Date],TblPurchases[BatchID],TblOutcomes[[#This Row],[BatchID]]))</f>
        <v>45440</v>
      </c>
    </row>
    <row r="3234" spans="2:17" x14ac:dyDescent="0.25">
      <c r="B3234" s="2" t="s">
        <v>4039</v>
      </c>
      <c r="C3234" s="2" t="s">
        <v>344</v>
      </c>
      <c r="D3234" s="2" t="s">
        <v>341</v>
      </c>
      <c r="E3234" s="2" t="s">
        <v>4647</v>
      </c>
      <c r="F3234" s="2">
        <v>27</v>
      </c>
      <c r="G3234" s="2">
        <v>27</v>
      </c>
      <c r="H3234" s="2">
        <v>0</v>
      </c>
      <c r="I3234" s="1">
        <v>0</v>
      </c>
      <c r="J3234" s="26">
        <v>45492</v>
      </c>
      <c r="K3234" s="22">
        <v>162000</v>
      </c>
      <c r="L3234" s="18">
        <v>173.26</v>
      </c>
      <c r="M3234" s="22">
        <v>113400</v>
      </c>
      <c r="N3234" s="22">
        <v>48600</v>
      </c>
      <c r="O3234" s="18">
        <v>51.98</v>
      </c>
      <c r="P3234" s="52">
        <f>IF(COUNTIF(TblPurchases[BatchID],TblOutcomes[[#This Row],[BatchID]])&lt;&gt;1,"n.a.",TblOutcomes[[#This Row],[Qty Wasted]]*SUMIFS(TblPurchases[Unit Cost (CLP)],TblPurchases[BatchID],TblOutcomes[[#This Row],[BatchID]]))</f>
        <v>0</v>
      </c>
      <c r="Q3234" s="51">
        <f>IF(COUNTIF(TblPurchases[BatchID],TblOutcomes[[#This Row],[BatchID]])&lt;&gt;1,"n.a.",SUMIFS(TblPurchases[Purchase Date],TblPurchases[BatchID],TblOutcomes[[#This Row],[BatchID]]))</f>
        <v>45472</v>
      </c>
    </row>
    <row r="3235" spans="2:17" x14ac:dyDescent="0.25">
      <c r="B3235" s="2" t="s">
        <v>4040</v>
      </c>
      <c r="C3235" s="2" t="s">
        <v>344</v>
      </c>
      <c r="D3235" s="2" t="s">
        <v>341</v>
      </c>
      <c r="E3235" s="2" t="s">
        <v>4647</v>
      </c>
      <c r="F3235" s="2">
        <v>24</v>
      </c>
      <c r="G3235" s="2">
        <v>24</v>
      </c>
      <c r="H3235" s="2">
        <v>0</v>
      </c>
      <c r="I3235" s="1">
        <v>0</v>
      </c>
      <c r="J3235" s="26">
        <v>45519</v>
      </c>
      <c r="K3235" s="22">
        <v>144000</v>
      </c>
      <c r="L3235" s="18">
        <v>154.01</v>
      </c>
      <c r="M3235" s="22">
        <v>100800</v>
      </c>
      <c r="N3235" s="22">
        <v>43200</v>
      </c>
      <c r="O3235" s="18">
        <v>46.2</v>
      </c>
      <c r="P3235" s="52">
        <f>IF(COUNTIF(TblPurchases[BatchID],TblOutcomes[[#This Row],[BatchID]])&lt;&gt;1,"n.a.",TblOutcomes[[#This Row],[Qty Wasted]]*SUMIFS(TblPurchases[Unit Cost (CLP)],TblPurchases[BatchID],TblOutcomes[[#This Row],[BatchID]]))</f>
        <v>0</v>
      </c>
      <c r="Q3235" s="51">
        <f>IF(COUNTIF(TblPurchases[BatchID],TblOutcomes[[#This Row],[BatchID]])&lt;&gt;1,"n.a.",SUMIFS(TblPurchases[Purchase Date],TblPurchases[BatchID],TblOutcomes[[#This Row],[BatchID]]))</f>
        <v>45503</v>
      </c>
    </row>
    <row r="3236" spans="2:17" x14ac:dyDescent="0.25">
      <c r="B3236" s="2" t="s">
        <v>4041</v>
      </c>
      <c r="C3236" s="2" t="s">
        <v>344</v>
      </c>
      <c r="D3236" s="2" t="s">
        <v>341</v>
      </c>
      <c r="E3236" s="2" t="s">
        <v>4647</v>
      </c>
      <c r="F3236" s="2">
        <v>33</v>
      </c>
      <c r="G3236" s="2">
        <v>33</v>
      </c>
      <c r="H3236" s="2">
        <v>0</v>
      </c>
      <c r="I3236" s="1">
        <v>0</v>
      </c>
      <c r="J3236" s="26">
        <v>45556</v>
      </c>
      <c r="K3236" s="22">
        <v>198000</v>
      </c>
      <c r="L3236" s="18">
        <v>211.76</v>
      </c>
      <c r="M3236" s="22">
        <v>138600</v>
      </c>
      <c r="N3236" s="22">
        <v>59400</v>
      </c>
      <c r="O3236" s="18">
        <v>63.53</v>
      </c>
      <c r="P3236" s="52">
        <f>IF(COUNTIF(TblPurchases[BatchID],TblOutcomes[[#This Row],[BatchID]])&lt;&gt;1,"n.a.",TblOutcomes[[#This Row],[Qty Wasted]]*SUMIFS(TblPurchases[Unit Cost (CLP)],TblPurchases[BatchID],TblOutcomes[[#This Row],[BatchID]]))</f>
        <v>0</v>
      </c>
      <c r="Q3236" s="51">
        <f>IF(COUNTIF(TblPurchases[BatchID],TblOutcomes[[#This Row],[BatchID]])&lt;&gt;1,"n.a.",SUMIFS(TblPurchases[Purchase Date],TblPurchases[BatchID],TblOutcomes[[#This Row],[BatchID]]))</f>
        <v>45536</v>
      </c>
    </row>
    <row r="3237" spans="2:17" x14ac:dyDescent="0.25">
      <c r="B3237" s="2" t="s">
        <v>4042</v>
      </c>
      <c r="C3237" s="2" t="s">
        <v>344</v>
      </c>
      <c r="D3237" s="2" t="s">
        <v>341</v>
      </c>
      <c r="E3237" s="2" t="s">
        <v>4647</v>
      </c>
      <c r="F3237" s="2">
        <v>9</v>
      </c>
      <c r="G3237" s="2">
        <v>9</v>
      </c>
      <c r="H3237" s="2">
        <v>0</v>
      </c>
      <c r="I3237" s="1">
        <v>0</v>
      </c>
      <c r="J3237" s="26">
        <v>45584</v>
      </c>
      <c r="K3237" s="22">
        <v>54000</v>
      </c>
      <c r="L3237" s="18">
        <v>57.75</v>
      </c>
      <c r="M3237" s="22">
        <v>37800</v>
      </c>
      <c r="N3237" s="22">
        <v>16200</v>
      </c>
      <c r="O3237" s="18">
        <v>17.329999999999998</v>
      </c>
      <c r="P3237" s="52">
        <f>IF(COUNTIF(TblPurchases[BatchID],TblOutcomes[[#This Row],[BatchID]])&lt;&gt;1,"n.a.",TblOutcomes[[#This Row],[Qty Wasted]]*SUMIFS(TblPurchases[Unit Cost (CLP)],TblPurchases[BatchID],TblOutcomes[[#This Row],[BatchID]]))</f>
        <v>0</v>
      </c>
      <c r="Q3237" s="51">
        <f>IF(COUNTIF(TblPurchases[BatchID],TblOutcomes[[#This Row],[BatchID]])&lt;&gt;1,"n.a.",SUMIFS(TblPurchases[Purchase Date],TblPurchases[BatchID],TblOutcomes[[#This Row],[BatchID]]))</f>
        <v>45571</v>
      </c>
    </row>
    <row r="3238" spans="2:17" x14ac:dyDescent="0.25">
      <c r="B3238" s="2" t="s">
        <v>4043</v>
      </c>
      <c r="C3238" s="2" t="s">
        <v>344</v>
      </c>
      <c r="D3238" s="2" t="s">
        <v>341</v>
      </c>
      <c r="E3238" s="2" t="s">
        <v>4646</v>
      </c>
      <c r="F3238" s="2">
        <v>9</v>
      </c>
      <c r="G3238" s="2">
        <v>8.57</v>
      </c>
      <c r="H3238" s="2">
        <v>0.43</v>
      </c>
      <c r="I3238" s="1">
        <v>4.8</v>
      </c>
      <c r="J3238" s="26">
        <v>45904</v>
      </c>
      <c r="K3238" s="22">
        <v>51420</v>
      </c>
      <c r="L3238" s="18">
        <v>54.99</v>
      </c>
      <c r="M3238" s="22">
        <v>41400</v>
      </c>
      <c r="N3238" s="22">
        <v>10020</v>
      </c>
      <c r="O3238" s="18">
        <v>10.72</v>
      </c>
      <c r="P3238" s="52">
        <f>IF(COUNTIF(TblPurchases[BatchID],TblOutcomes[[#This Row],[BatchID]])&lt;&gt;1,"n.a.",TblOutcomes[[#This Row],[Qty Wasted]]*SUMIFS(TblPurchases[Unit Cost (CLP)],TblPurchases[BatchID],TblOutcomes[[#This Row],[BatchID]]))</f>
        <v>1978</v>
      </c>
      <c r="Q3238" s="51">
        <f>IF(COUNTIF(TblPurchases[BatchID],TblOutcomes[[#This Row],[BatchID]])&lt;&gt;1,"n.a.",SUMIFS(TblPurchases[Purchase Date],TblPurchases[BatchID],TblOutcomes[[#This Row],[BatchID]]))</f>
        <v>45604</v>
      </c>
    </row>
    <row r="3239" spans="2:17" x14ac:dyDescent="0.25">
      <c r="B3239" s="2" t="s">
        <v>4044</v>
      </c>
      <c r="C3239" s="2" t="s">
        <v>344</v>
      </c>
      <c r="D3239" s="2" t="s">
        <v>341</v>
      </c>
      <c r="E3239" s="2" t="s">
        <v>4647</v>
      </c>
      <c r="F3239" s="2">
        <v>12</v>
      </c>
      <c r="G3239" s="2">
        <v>12</v>
      </c>
      <c r="H3239" s="2">
        <v>0</v>
      </c>
      <c r="I3239" s="1">
        <v>0</v>
      </c>
      <c r="J3239" s="26">
        <v>45670</v>
      </c>
      <c r="K3239" s="22">
        <v>72000</v>
      </c>
      <c r="L3239" s="18">
        <v>77.010000000000005</v>
      </c>
      <c r="M3239" s="22">
        <v>50400</v>
      </c>
      <c r="N3239" s="22">
        <v>21600</v>
      </c>
      <c r="O3239" s="18">
        <v>23.1</v>
      </c>
      <c r="P3239" s="52">
        <f>IF(COUNTIF(TblPurchases[BatchID],TblOutcomes[[#This Row],[BatchID]])&lt;&gt;1,"n.a.",TblOutcomes[[#This Row],[Qty Wasted]]*SUMIFS(TblPurchases[Unit Cost (CLP)],TblPurchases[BatchID],TblOutcomes[[#This Row],[BatchID]]))</f>
        <v>0</v>
      </c>
      <c r="Q3239" s="51">
        <f>IF(COUNTIF(TblPurchases[BatchID],TblOutcomes[[#This Row],[BatchID]])&lt;&gt;1,"n.a.",SUMIFS(TblPurchases[Purchase Date],TblPurchases[BatchID],TblOutcomes[[#This Row],[BatchID]]))</f>
        <v>45649</v>
      </c>
    </row>
    <row r="3240" spans="2:17" x14ac:dyDescent="0.25">
      <c r="B3240" s="2" t="s">
        <v>4045</v>
      </c>
      <c r="C3240" s="2" t="s">
        <v>344</v>
      </c>
      <c r="D3240" s="2" t="s">
        <v>341</v>
      </c>
      <c r="E3240" s="2" t="s">
        <v>4646</v>
      </c>
      <c r="F3240" s="2">
        <v>9</v>
      </c>
      <c r="G3240" s="2">
        <v>8.67</v>
      </c>
      <c r="H3240" s="2">
        <v>0.33</v>
      </c>
      <c r="I3240" s="1">
        <v>3.7</v>
      </c>
      <c r="J3240" s="26">
        <v>45986</v>
      </c>
      <c r="K3240" s="22">
        <v>52020</v>
      </c>
      <c r="L3240" s="18">
        <v>55.64</v>
      </c>
      <c r="M3240" s="22">
        <v>41400</v>
      </c>
      <c r="N3240" s="22">
        <v>10620</v>
      </c>
      <c r="O3240" s="18">
        <v>11.36</v>
      </c>
      <c r="P3240" s="52">
        <f>IF(COUNTIF(TblPurchases[BatchID],TblOutcomes[[#This Row],[BatchID]])&lt;&gt;1,"n.a.",TblOutcomes[[#This Row],[Qty Wasted]]*SUMIFS(TblPurchases[Unit Cost (CLP)],TblPurchases[BatchID],TblOutcomes[[#This Row],[BatchID]]))</f>
        <v>1518</v>
      </c>
      <c r="Q3240" s="51">
        <f>IF(COUNTIF(TblPurchases[BatchID],TblOutcomes[[#This Row],[BatchID]])&lt;&gt;1,"n.a.",SUMIFS(TblPurchases[Purchase Date],TblPurchases[BatchID],TblOutcomes[[#This Row],[BatchID]]))</f>
        <v>45686</v>
      </c>
    </row>
    <row r="3241" spans="2:17" x14ac:dyDescent="0.25">
      <c r="B3241" s="2" t="s">
        <v>4046</v>
      </c>
      <c r="C3241" s="2" t="s">
        <v>344</v>
      </c>
      <c r="D3241" s="2" t="s">
        <v>341</v>
      </c>
      <c r="E3241" s="2" t="s">
        <v>4646</v>
      </c>
      <c r="F3241" s="2">
        <v>9</v>
      </c>
      <c r="G3241" s="2">
        <v>8.34</v>
      </c>
      <c r="H3241" s="2">
        <v>0.66</v>
      </c>
      <c r="I3241" s="1">
        <v>7.3</v>
      </c>
      <c r="J3241" s="26">
        <v>46021</v>
      </c>
      <c r="K3241" s="22">
        <v>50040</v>
      </c>
      <c r="L3241" s="18">
        <v>53.52</v>
      </c>
      <c r="M3241" s="22">
        <v>37800</v>
      </c>
      <c r="N3241" s="22">
        <v>12240</v>
      </c>
      <c r="O3241" s="18">
        <v>13.09</v>
      </c>
      <c r="P3241" s="52">
        <f>IF(COUNTIF(TblPurchases[BatchID],TblOutcomes[[#This Row],[BatchID]])&lt;&gt;1,"n.a.",TblOutcomes[[#This Row],[Qty Wasted]]*SUMIFS(TblPurchases[Unit Cost (CLP)],TblPurchases[BatchID],TblOutcomes[[#This Row],[BatchID]]))</f>
        <v>2772</v>
      </c>
      <c r="Q3241" s="51">
        <f>IF(COUNTIF(TblPurchases[BatchID],TblOutcomes[[#This Row],[BatchID]])&lt;&gt;1,"n.a.",SUMIFS(TblPurchases[Purchase Date],TblPurchases[BatchID],TblOutcomes[[#This Row],[BatchID]]))</f>
        <v>45721</v>
      </c>
    </row>
    <row r="3242" spans="2:17" x14ac:dyDescent="0.25">
      <c r="B3242" s="2" t="s">
        <v>4047</v>
      </c>
      <c r="C3242" s="2" t="s">
        <v>344</v>
      </c>
      <c r="D3242" s="2" t="s">
        <v>341</v>
      </c>
      <c r="E3242" s="2" t="s">
        <v>4647</v>
      </c>
      <c r="F3242" s="2">
        <v>26</v>
      </c>
      <c r="G3242" s="2">
        <v>26</v>
      </c>
      <c r="H3242" s="2">
        <v>0</v>
      </c>
      <c r="I3242" s="1">
        <v>0</v>
      </c>
      <c r="J3242" s="26">
        <v>45773</v>
      </c>
      <c r="K3242" s="22">
        <v>156000</v>
      </c>
      <c r="L3242" s="18">
        <v>166.84</v>
      </c>
      <c r="M3242" s="22">
        <v>109200</v>
      </c>
      <c r="N3242" s="22">
        <v>46800</v>
      </c>
      <c r="O3242" s="18">
        <v>50.05</v>
      </c>
      <c r="P3242" s="52">
        <f>IF(COUNTIF(TblPurchases[BatchID],TblOutcomes[[#This Row],[BatchID]])&lt;&gt;1,"n.a.",TblOutcomes[[#This Row],[Qty Wasted]]*SUMIFS(TblPurchases[Unit Cost (CLP)],TblPurchases[BatchID],TblOutcomes[[#This Row],[BatchID]]))</f>
        <v>0</v>
      </c>
      <c r="Q3242" s="51">
        <f>IF(COUNTIF(TblPurchases[BatchID],TblOutcomes[[#This Row],[BatchID]])&lt;&gt;1,"n.a.",SUMIFS(TblPurchases[Purchase Date],TblPurchases[BatchID],TblOutcomes[[#This Row],[BatchID]]))</f>
        <v>45752</v>
      </c>
    </row>
    <row r="3243" spans="2:17" x14ac:dyDescent="0.25">
      <c r="B3243" s="2" t="s">
        <v>4048</v>
      </c>
      <c r="C3243" s="2" t="s">
        <v>344</v>
      </c>
      <c r="D3243" s="2" t="s">
        <v>341</v>
      </c>
      <c r="E3243" s="2" t="s">
        <v>4647</v>
      </c>
      <c r="F3243" s="2">
        <v>24</v>
      </c>
      <c r="G3243" s="2">
        <v>24</v>
      </c>
      <c r="H3243" s="2">
        <v>0</v>
      </c>
      <c r="I3243" s="1">
        <v>0</v>
      </c>
      <c r="J3243" s="26">
        <v>45821</v>
      </c>
      <c r="K3243" s="22">
        <v>144000</v>
      </c>
      <c r="L3243" s="18">
        <v>154.01</v>
      </c>
      <c r="M3243" s="22">
        <v>100800</v>
      </c>
      <c r="N3243" s="22">
        <v>43200</v>
      </c>
      <c r="O3243" s="18">
        <v>46.2</v>
      </c>
      <c r="P3243" s="52">
        <f>IF(COUNTIF(TblPurchases[BatchID],TblOutcomes[[#This Row],[BatchID]])&lt;&gt;1,"n.a.",TblOutcomes[[#This Row],[Qty Wasted]]*SUMIFS(TblPurchases[Unit Cost (CLP)],TblPurchases[BatchID],TblOutcomes[[#This Row],[BatchID]]))</f>
        <v>0</v>
      </c>
      <c r="Q3243" s="51">
        <f>IF(COUNTIF(TblPurchases[BatchID],TblOutcomes[[#This Row],[BatchID]])&lt;&gt;1,"n.a.",SUMIFS(TblPurchases[Purchase Date],TblPurchases[BatchID],TblOutcomes[[#This Row],[BatchID]]))</f>
        <v>45796</v>
      </c>
    </row>
    <row r="3244" spans="2:17" x14ac:dyDescent="0.25">
      <c r="B3244" s="2" t="s">
        <v>4049</v>
      </c>
      <c r="C3244" s="2" t="s">
        <v>344</v>
      </c>
      <c r="D3244" s="2" t="s">
        <v>341</v>
      </c>
      <c r="E3244" s="2" t="s">
        <v>4646</v>
      </c>
      <c r="F3244" s="2">
        <v>25</v>
      </c>
      <c r="G3244" s="2">
        <v>24.55</v>
      </c>
      <c r="H3244" s="2">
        <v>0.45</v>
      </c>
      <c r="I3244" s="1">
        <v>1.8</v>
      </c>
      <c r="J3244" s="26">
        <v>46127</v>
      </c>
      <c r="K3244" s="22">
        <v>147300</v>
      </c>
      <c r="L3244" s="18">
        <v>157.54</v>
      </c>
      <c r="M3244" s="22">
        <v>105000</v>
      </c>
      <c r="N3244" s="22">
        <v>42300</v>
      </c>
      <c r="O3244" s="18">
        <v>45.24</v>
      </c>
      <c r="P3244" s="52">
        <f>IF(COUNTIF(TblPurchases[BatchID],TblOutcomes[[#This Row],[BatchID]])&lt;&gt;1,"n.a.",TblOutcomes[[#This Row],[Qty Wasted]]*SUMIFS(TblPurchases[Unit Cost (CLP)],TblPurchases[BatchID],TblOutcomes[[#This Row],[BatchID]]))</f>
        <v>1890</v>
      </c>
      <c r="Q3244" s="51">
        <f>IF(COUNTIF(TblPurchases[BatchID],TblOutcomes[[#This Row],[BatchID]])&lt;&gt;1,"n.a.",SUMIFS(TblPurchases[Purchase Date],TblPurchases[BatchID],TblOutcomes[[#This Row],[BatchID]]))</f>
        <v>45827</v>
      </c>
    </row>
    <row r="3245" spans="2:17" x14ac:dyDescent="0.25">
      <c r="B3245" s="2" t="s">
        <v>4050</v>
      </c>
      <c r="C3245" s="2" t="s">
        <v>346</v>
      </c>
      <c r="D3245" s="2" t="s">
        <v>341</v>
      </c>
      <c r="E3245" s="2" t="s">
        <v>4647</v>
      </c>
      <c r="F3245" s="2">
        <v>24</v>
      </c>
      <c r="G3245" s="2">
        <v>24</v>
      </c>
      <c r="H3245" s="2">
        <v>0</v>
      </c>
      <c r="I3245" s="1">
        <v>0</v>
      </c>
      <c r="J3245" s="26">
        <v>45131</v>
      </c>
      <c r="K3245" s="22">
        <v>120000</v>
      </c>
      <c r="L3245" s="18">
        <v>128.34</v>
      </c>
      <c r="M3245" s="22">
        <v>90000</v>
      </c>
      <c r="N3245" s="22">
        <v>30000</v>
      </c>
      <c r="O3245" s="18">
        <v>32.090000000000003</v>
      </c>
      <c r="P3245" s="52">
        <f>IF(COUNTIF(TblPurchases[BatchID],TblOutcomes[[#This Row],[BatchID]])&lt;&gt;1,"n.a.",TblOutcomes[[#This Row],[Qty Wasted]]*SUMIFS(TblPurchases[Unit Cost (CLP)],TblPurchases[BatchID],TblOutcomes[[#This Row],[BatchID]]))</f>
        <v>0</v>
      </c>
      <c r="Q3245" s="51">
        <f>IF(COUNTIF(TblPurchases[BatchID],TblOutcomes[[#This Row],[BatchID]])&lt;&gt;1,"n.a.",SUMIFS(TblPurchases[Purchase Date],TblPurchases[BatchID],TblOutcomes[[#This Row],[BatchID]]))</f>
        <v>45114</v>
      </c>
    </row>
    <row r="3246" spans="2:17" x14ac:dyDescent="0.25">
      <c r="B3246" s="2" t="s">
        <v>4051</v>
      </c>
      <c r="C3246" s="2" t="s">
        <v>346</v>
      </c>
      <c r="D3246" s="2" t="s">
        <v>341</v>
      </c>
      <c r="E3246" s="2" t="s">
        <v>4647</v>
      </c>
      <c r="F3246" s="2">
        <v>22</v>
      </c>
      <c r="G3246" s="2">
        <v>22</v>
      </c>
      <c r="H3246" s="2">
        <v>0</v>
      </c>
      <c r="I3246" s="1">
        <v>0</v>
      </c>
      <c r="J3246" s="26">
        <v>45177</v>
      </c>
      <c r="K3246" s="22">
        <v>110000</v>
      </c>
      <c r="L3246" s="18">
        <v>117.65</v>
      </c>
      <c r="M3246" s="22">
        <v>82500</v>
      </c>
      <c r="N3246" s="22">
        <v>27500</v>
      </c>
      <c r="O3246" s="18">
        <v>29.41</v>
      </c>
      <c r="P3246" s="52">
        <f>IF(COUNTIF(TblPurchases[BatchID],TblOutcomes[[#This Row],[BatchID]])&lt;&gt;1,"n.a.",TblOutcomes[[#This Row],[Qty Wasted]]*SUMIFS(TblPurchases[Unit Cost (CLP)],TblPurchases[BatchID],TblOutcomes[[#This Row],[BatchID]]))</f>
        <v>0</v>
      </c>
      <c r="Q3246" s="51">
        <f>IF(COUNTIF(TblPurchases[BatchID],TblOutcomes[[#This Row],[BatchID]])&lt;&gt;1,"n.a.",SUMIFS(TblPurchases[Purchase Date],TblPurchases[BatchID],TblOutcomes[[#This Row],[BatchID]]))</f>
        <v>45158</v>
      </c>
    </row>
    <row r="3247" spans="2:17" x14ac:dyDescent="0.25">
      <c r="B3247" s="2" t="s">
        <v>4052</v>
      </c>
      <c r="C3247" s="2" t="s">
        <v>346</v>
      </c>
      <c r="D3247" s="2" t="s">
        <v>341</v>
      </c>
      <c r="E3247" s="2" t="s">
        <v>4647</v>
      </c>
      <c r="F3247" s="2">
        <v>30</v>
      </c>
      <c r="G3247" s="2">
        <v>30</v>
      </c>
      <c r="H3247" s="2">
        <v>0</v>
      </c>
      <c r="I3247" s="1">
        <v>0</v>
      </c>
      <c r="J3247" s="26">
        <v>45222</v>
      </c>
      <c r="K3247" s="22">
        <v>150000</v>
      </c>
      <c r="L3247" s="18">
        <v>160.43</v>
      </c>
      <c r="M3247" s="22">
        <v>112500</v>
      </c>
      <c r="N3247" s="22">
        <v>37500</v>
      </c>
      <c r="O3247" s="18">
        <v>40.11</v>
      </c>
      <c r="P3247" s="52">
        <f>IF(COUNTIF(TblPurchases[BatchID],TblOutcomes[[#This Row],[BatchID]])&lt;&gt;1,"n.a.",TblOutcomes[[#This Row],[Qty Wasted]]*SUMIFS(TblPurchases[Unit Cost (CLP)],TblPurchases[BatchID],TblOutcomes[[#This Row],[BatchID]]))</f>
        <v>0</v>
      </c>
      <c r="Q3247" s="51">
        <f>IF(COUNTIF(TblPurchases[BatchID],TblOutcomes[[#This Row],[BatchID]])&lt;&gt;1,"n.a.",SUMIFS(TblPurchases[Purchase Date],TblPurchases[BatchID],TblOutcomes[[#This Row],[BatchID]]))</f>
        <v>45185</v>
      </c>
    </row>
    <row r="3248" spans="2:17" x14ac:dyDescent="0.25">
      <c r="B3248" s="2" t="s">
        <v>4053</v>
      </c>
      <c r="C3248" s="2" t="s">
        <v>346</v>
      </c>
      <c r="D3248" s="2" t="s">
        <v>341</v>
      </c>
      <c r="E3248" s="2" t="s">
        <v>4646</v>
      </c>
      <c r="F3248" s="2">
        <v>10</v>
      </c>
      <c r="G3248" s="2">
        <v>9.39</v>
      </c>
      <c r="H3248" s="2">
        <v>0.61</v>
      </c>
      <c r="I3248" s="1">
        <v>6.1</v>
      </c>
      <c r="J3248" s="26">
        <v>45526</v>
      </c>
      <c r="K3248" s="22">
        <v>46950</v>
      </c>
      <c r="L3248" s="18">
        <v>50.21</v>
      </c>
      <c r="M3248" s="22">
        <v>36000</v>
      </c>
      <c r="N3248" s="22">
        <v>10950</v>
      </c>
      <c r="O3248" s="18">
        <v>11.71</v>
      </c>
      <c r="P3248" s="52">
        <f>IF(COUNTIF(TblPurchases[BatchID],TblOutcomes[[#This Row],[BatchID]])&lt;&gt;1,"n.a.",TblOutcomes[[#This Row],[Qty Wasted]]*SUMIFS(TblPurchases[Unit Cost (CLP)],TblPurchases[BatchID],TblOutcomes[[#This Row],[BatchID]]))</f>
        <v>2196</v>
      </c>
      <c r="Q3248" s="51">
        <f>IF(COUNTIF(TblPurchases[BatchID],TblOutcomes[[#This Row],[BatchID]])&lt;&gt;1,"n.a.",SUMIFS(TblPurchases[Purchase Date],TblPurchases[BatchID],TblOutcomes[[#This Row],[BatchID]]))</f>
        <v>45226</v>
      </c>
    </row>
    <row r="3249" spans="2:17" x14ac:dyDescent="0.25">
      <c r="B3249" s="2" t="s">
        <v>4054</v>
      </c>
      <c r="C3249" s="2" t="s">
        <v>346</v>
      </c>
      <c r="D3249" s="2" t="s">
        <v>341</v>
      </c>
      <c r="E3249" s="2" t="s">
        <v>4647</v>
      </c>
      <c r="F3249" s="2">
        <v>10</v>
      </c>
      <c r="G3249" s="2">
        <v>10</v>
      </c>
      <c r="H3249" s="2">
        <v>0</v>
      </c>
      <c r="I3249" s="1">
        <v>0</v>
      </c>
      <c r="J3249" s="26">
        <v>45294</v>
      </c>
      <c r="K3249" s="22">
        <v>50000</v>
      </c>
      <c r="L3249" s="18">
        <v>53.48</v>
      </c>
      <c r="M3249" s="22">
        <v>37500</v>
      </c>
      <c r="N3249" s="22">
        <v>12500</v>
      </c>
      <c r="O3249" s="18">
        <v>13.37</v>
      </c>
      <c r="P3249" s="52">
        <f>IF(COUNTIF(TblPurchases[BatchID],TblOutcomes[[#This Row],[BatchID]])&lt;&gt;1,"n.a.",TblOutcomes[[#This Row],[Qty Wasted]]*SUMIFS(TblPurchases[Unit Cost (CLP)],TblPurchases[BatchID],TblOutcomes[[#This Row],[BatchID]]))</f>
        <v>0</v>
      </c>
      <c r="Q3249" s="51">
        <f>IF(COUNTIF(TblPurchases[BatchID],TblOutcomes[[#This Row],[BatchID]])&lt;&gt;1,"n.a.",SUMIFS(TblPurchases[Purchase Date],TblPurchases[BatchID],TblOutcomes[[#This Row],[BatchID]]))</f>
        <v>45262</v>
      </c>
    </row>
    <row r="3250" spans="2:17" x14ac:dyDescent="0.25">
      <c r="B3250" s="2" t="s">
        <v>4055</v>
      </c>
      <c r="C3250" s="2" t="s">
        <v>346</v>
      </c>
      <c r="D3250" s="2" t="s">
        <v>341</v>
      </c>
      <c r="E3250" s="2" t="s">
        <v>4646</v>
      </c>
      <c r="F3250" s="2">
        <v>8</v>
      </c>
      <c r="G3250" s="2">
        <v>7.37</v>
      </c>
      <c r="H3250" s="2">
        <v>0.63</v>
      </c>
      <c r="I3250" s="1">
        <v>7.9</v>
      </c>
      <c r="J3250" s="26">
        <v>45601</v>
      </c>
      <c r="K3250" s="22">
        <v>36850</v>
      </c>
      <c r="L3250" s="18">
        <v>39.409999999999997</v>
      </c>
      <c r="M3250" s="22">
        <v>28800</v>
      </c>
      <c r="N3250" s="22">
        <v>8050</v>
      </c>
      <c r="O3250" s="18">
        <v>8.61</v>
      </c>
      <c r="P3250" s="52">
        <f>IF(COUNTIF(TblPurchases[BatchID],TblOutcomes[[#This Row],[BatchID]])&lt;&gt;1,"n.a.",TblOutcomes[[#This Row],[Qty Wasted]]*SUMIFS(TblPurchases[Unit Cost (CLP)],TblPurchases[BatchID],TblOutcomes[[#This Row],[BatchID]]))</f>
        <v>2268</v>
      </c>
      <c r="Q3250" s="51">
        <f>IF(COUNTIF(TblPurchases[BatchID],TblOutcomes[[#This Row],[BatchID]])&lt;&gt;1,"n.a.",SUMIFS(TblPurchases[Purchase Date],TblPurchases[BatchID],TblOutcomes[[#This Row],[BatchID]]))</f>
        <v>45301</v>
      </c>
    </row>
    <row r="3251" spans="2:17" x14ac:dyDescent="0.25">
      <c r="B3251" s="2" t="s">
        <v>4056</v>
      </c>
      <c r="C3251" s="2" t="s">
        <v>346</v>
      </c>
      <c r="D3251" s="2" t="s">
        <v>341</v>
      </c>
      <c r="E3251" s="2" t="s">
        <v>4647</v>
      </c>
      <c r="F3251" s="2">
        <v>10</v>
      </c>
      <c r="G3251" s="2">
        <v>10</v>
      </c>
      <c r="H3251" s="2">
        <v>0</v>
      </c>
      <c r="I3251" s="1">
        <v>0</v>
      </c>
      <c r="J3251" s="26">
        <v>45366</v>
      </c>
      <c r="K3251" s="22">
        <v>50000</v>
      </c>
      <c r="L3251" s="18">
        <v>53.48</v>
      </c>
      <c r="M3251" s="22">
        <v>36000</v>
      </c>
      <c r="N3251" s="22">
        <v>14000</v>
      </c>
      <c r="O3251" s="18">
        <v>14.97</v>
      </c>
      <c r="P3251" s="52">
        <f>IF(COUNTIF(TblPurchases[BatchID],TblOutcomes[[#This Row],[BatchID]])&lt;&gt;1,"n.a.",TblOutcomes[[#This Row],[Qty Wasted]]*SUMIFS(TblPurchases[Unit Cost (CLP)],TblPurchases[BatchID],TblOutcomes[[#This Row],[BatchID]]))</f>
        <v>0</v>
      </c>
      <c r="Q3251" s="51">
        <f>IF(COUNTIF(TblPurchases[BatchID],TblOutcomes[[#This Row],[BatchID]])&lt;&gt;1,"n.a.",SUMIFS(TblPurchases[Purchase Date],TblPurchases[BatchID],TblOutcomes[[#This Row],[BatchID]]))</f>
        <v>45341</v>
      </c>
    </row>
    <row r="3252" spans="2:17" x14ac:dyDescent="0.25">
      <c r="B3252" s="2" t="s">
        <v>4057</v>
      </c>
      <c r="C3252" s="2" t="s">
        <v>346</v>
      </c>
      <c r="D3252" s="2" t="s">
        <v>341</v>
      </c>
      <c r="E3252" s="2" t="s">
        <v>4646</v>
      </c>
      <c r="F3252" s="2">
        <v>10</v>
      </c>
      <c r="G3252" s="2">
        <v>9.06</v>
      </c>
      <c r="H3252" s="2">
        <v>0.94</v>
      </c>
      <c r="I3252" s="1">
        <v>9.4</v>
      </c>
      <c r="J3252" s="26">
        <v>45675</v>
      </c>
      <c r="K3252" s="22">
        <v>45300</v>
      </c>
      <c r="L3252" s="18">
        <v>48.45</v>
      </c>
      <c r="M3252" s="22">
        <v>36000</v>
      </c>
      <c r="N3252" s="22">
        <v>9300</v>
      </c>
      <c r="O3252" s="18">
        <v>9.9499999999999993</v>
      </c>
      <c r="P3252" s="52">
        <f>IF(COUNTIF(TblPurchases[BatchID],TblOutcomes[[#This Row],[BatchID]])&lt;&gt;1,"n.a.",TblOutcomes[[#This Row],[Qty Wasted]]*SUMIFS(TblPurchases[Unit Cost (CLP)],TblPurchases[BatchID],TblOutcomes[[#This Row],[BatchID]]))</f>
        <v>3384</v>
      </c>
      <c r="Q3252" s="51">
        <f>IF(COUNTIF(TblPurchases[BatchID],TblOutcomes[[#This Row],[BatchID]])&lt;&gt;1,"n.a.",SUMIFS(TblPurchases[Purchase Date],TblPurchases[BatchID],TblOutcomes[[#This Row],[BatchID]]))</f>
        <v>45375</v>
      </c>
    </row>
    <row r="3253" spans="2:17" x14ac:dyDescent="0.25">
      <c r="B3253" s="2" t="s">
        <v>4058</v>
      </c>
      <c r="C3253" s="2" t="s">
        <v>346</v>
      </c>
      <c r="D3253" s="2" t="s">
        <v>341</v>
      </c>
      <c r="E3253" s="2" t="s">
        <v>4647</v>
      </c>
      <c r="F3253" s="2">
        <v>27</v>
      </c>
      <c r="G3253" s="2">
        <v>27</v>
      </c>
      <c r="H3253" s="2">
        <v>0</v>
      </c>
      <c r="I3253" s="1">
        <v>0</v>
      </c>
      <c r="J3253" s="26">
        <v>45433</v>
      </c>
      <c r="K3253" s="22">
        <v>135000</v>
      </c>
      <c r="L3253" s="18">
        <v>144.38999999999999</v>
      </c>
      <c r="M3253" s="22">
        <v>97200</v>
      </c>
      <c r="N3253" s="22">
        <v>37800</v>
      </c>
      <c r="O3253" s="18">
        <v>40.43</v>
      </c>
      <c r="P3253" s="52">
        <f>IF(COUNTIF(TblPurchases[BatchID],TblOutcomes[[#This Row],[BatchID]])&lt;&gt;1,"n.a.",TblOutcomes[[#This Row],[Qty Wasted]]*SUMIFS(TblPurchases[Unit Cost (CLP)],TblPurchases[BatchID],TblOutcomes[[#This Row],[BatchID]]))</f>
        <v>0</v>
      </c>
      <c r="Q3253" s="51">
        <f>IF(COUNTIF(TblPurchases[BatchID],TblOutcomes[[#This Row],[BatchID]])&lt;&gt;1,"n.a.",SUMIFS(TblPurchases[Purchase Date],TblPurchases[BatchID],TblOutcomes[[#This Row],[BatchID]]))</f>
        <v>45404</v>
      </c>
    </row>
    <row r="3254" spans="2:17" x14ac:dyDescent="0.25">
      <c r="B3254" s="2" t="s">
        <v>4059</v>
      </c>
      <c r="C3254" s="2" t="s">
        <v>346</v>
      </c>
      <c r="D3254" s="2" t="s">
        <v>341</v>
      </c>
      <c r="E3254" s="2" t="s">
        <v>4647</v>
      </c>
      <c r="F3254" s="2">
        <v>21</v>
      </c>
      <c r="G3254" s="2">
        <v>21</v>
      </c>
      <c r="H3254" s="2">
        <v>0</v>
      </c>
      <c r="I3254" s="1">
        <v>0</v>
      </c>
      <c r="J3254" s="26">
        <v>45462</v>
      </c>
      <c r="K3254" s="22">
        <v>105000</v>
      </c>
      <c r="L3254" s="18">
        <v>112.3</v>
      </c>
      <c r="M3254" s="22">
        <v>75600</v>
      </c>
      <c r="N3254" s="22">
        <v>29400</v>
      </c>
      <c r="O3254" s="18">
        <v>31.44</v>
      </c>
      <c r="P3254" s="52">
        <f>IF(COUNTIF(TblPurchases[BatchID],TblOutcomes[[#This Row],[BatchID]])&lt;&gt;1,"n.a.",TblOutcomes[[#This Row],[Qty Wasted]]*SUMIFS(TblPurchases[Unit Cost (CLP)],TblPurchases[BatchID],TblOutcomes[[#This Row],[BatchID]]))</f>
        <v>0</v>
      </c>
      <c r="Q3254" s="51">
        <f>IF(COUNTIF(TblPurchases[BatchID],TblOutcomes[[#This Row],[BatchID]])&lt;&gt;1,"n.a.",SUMIFS(TblPurchases[Purchase Date],TblPurchases[BatchID],TblOutcomes[[#This Row],[BatchID]]))</f>
        <v>45441</v>
      </c>
    </row>
    <row r="3255" spans="2:17" x14ac:dyDescent="0.25">
      <c r="B3255" s="2" t="s">
        <v>4060</v>
      </c>
      <c r="C3255" s="2" t="s">
        <v>346</v>
      </c>
      <c r="D3255" s="2" t="s">
        <v>341</v>
      </c>
      <c r="E3255" s="2" t="s">
        <v>4647</v>
      </c>
      <c r="F3255" s="2">
        <v>27</v>
      </c>
      <c r="G3255" s="2">
        <v>27</v>
      </c>
      <c r="H3255" s="2">
        <v>0</v>
      </c>
      <c r="I3255" s="1">
        <v>0</v>
      </c>
      <c r="J3255" s="26">
        <v>45513</v>
      </c>
      <c r="K3255" s="22">
        <v>135000</v>
      </c>
      <c r="L3255" s="18">
        <v>144.38999999999999</v>
      </c>
      <c r="M3255" s="22">
        <v>101250</v>
      </c>
      <c r="N3255" s="22">
        <v>33750</v>
      </c>
      <c r="O3255" s="18">
        <v>36.1</v>
      </c>
      <c r="P3255" s="52">
        <f>IF(COUNTIF(TblPurchases[BatchID],TblOutcomes[[#This Row],[BatchID]])&lt;&gt;1,"n.a.",TblOutcomes[[#This Row],[Qty Wasted]]*SUMIFS(TblPurchases[Unit Cost (CLP)],TblPurchases[BatchID],TblOutcomes[[#This Row],[BatchID]]))</f>
        <v>0</v>
      </c>
      <c r="Q3255" s="51">
        <f>IF(COUNTIF(TblPurchases[BatchID],TblOutcomes[[#This Row],[BatchID]])&lt;&gt;1,"n.a.",SUMIFS(TblPurchases[Purchase Date],TblPurchases[BatchID],TblOutcomes[[#This Row],[BatchID]]))</f>
        <v>45483</v>
      </c>
    </row>
    <row r="3256" spans="2:17" x14ac:dyDescent="0.25">
      <c r="B3256" s="2" t="s">
        <v>4061</v>
      </c>
      <c r="C3256" s="2" t="s">
        <v>346</v>
      </c>
      <c r="D3256" s="2" t="s">
        <v>341</v>
      </c>
      <c r="E3256" s="2" t="s">
        <v>4646</v>
      </c>
      <c r="F3256" s="2">
        <v>21</v>
      </c>
      <c r="G3256" s="2">
        <v>20.16</v>
      </c>
      <c r="H3256" s="2">
        <v>0.84</v>
      </c>
      <c r="I3256" s="1">
        <v>4</v>
      </c>
      <c r="J3256" s="26">
        <v>45814</v>
      </c>
      <c r="K3256" s="22">
        <v>100800</v>
      </c>
      <c r="L3256" s="18">
        <v>107.81</v>
      </c>
      <c r="M3256" s="22">
        <v>75600</v>
      </c>
      <c r="N3256" s="22">
        <v>25200</v>
      </c>
      <c r="O3256" s="18">
        <v>26.95</v>
      </c>
      <c r="P3256" s="52">
        <f>IF(COUNTIF(TblPurchases[BatchID],TblOutcomes[[#This Row],[BatchID]])&lt;&gt;1,"n.a.",TblOutcomes[[#This Row],[Qty Wasted]]*SUMIFS(TblPurchases[Unit Cost (CLP)],TblPurchases[BatchID],TblOutcomes[[#This Row],[BatchID]]))</f>
        <v>3024</v>
      </c>
      <c r="Q3256" s="51">
        <f>IF(COUNTIF(TblPurchases[BatchID],TblOutcomes[[#This Row],[BatchID]])&lt;&gt;1,"n.a.",SUMIFS(TblPurchases[Purchase Date],TblPurchases[BatchID],TblOutcomes[[#This Row],[BatchID]]))</f>
        <v>45514</v>
      </c>
    </row>
    <row r="3257" spans="2:17" x14ac:dyDescent="0.25">
      <c r="B3257" s="2" t="s">
        <v>4062</v>
      </c>
      <c r="C3257" s="2" t="s">
        <v>346</v>
      </c>
      <c r="D3257" s="2" t="s">
        <v>341</v>
      </c>
      <c r="E3257" s="2" t="s">
        <v>4647</v>
      </c>
      <c r="F3257" s="2">
        <v>30</v>
      </c>
      <c r="G3257" s="2">
        <v>30</v>
      </c>
      <c r="H3257" s="2">
        <v>0</v>
      </c>
      <c r="I3257" s="1">
        <v>0</v>
      </c>
      <c r="J3257" s="26">
        <v>45563</v>
      </c>
      <c r="K3257" s="22">
        <v>150000</v>
      </c>
      <c r="L3257" s="18">
        <v>160.43</v>
      </c>
      <c r="M3257" s="22">
        <v>108000</v>
      </c>
      <c r="N3257" s="22">
        <v>42000</v>
      </c>
      <c r="O3257" s="18">
        <v>44.92</v>
      </c>
      <c r="P3257" s="52">
        <f>IF(COUNTIF(TblPurchases[BatchID],TblOutcomes[[#This Row],[BatchID]])&lt;&gt;1,"n.a.",TblOutcomes[[#This Row],[Qty Wasted]]*SUMIFS(TblPurchases[Unit Cost (CLP)],TblPurchases[BatchID],TblOutcomes[[#This Row],[BatchID]]))</f>
        <v>0</v>
      </c>
      <c r="Q3257" s="51">
        <f>IF(COUNTIF(TblPurchases[BatchID],TblOutcomes[[#This Row],[BatchID]])&lt;&gt;1,"n.a.",SUMIFS(TblPurchases[Purchase Date],TblPurchases[BatchID],TblOutcomes[[#This Row],[BatchID]]))</f>
        <v>45543</v>
      </c>
    </row>
    <row r="3258" spans="2:17" x14ac:dyDescent="0.25">
      <c r="B3258" s="2" t="s">
        <v>4063</v>
      </c>
      <c r="C3258" s="2" t="s">
        <v>346</v>
      </c>
      <c r="D3258" s="2" t="s">
        <v>341</v>
      </c>
      <c r="E3258" s="2" t="s">
        <v>4646</v>
      </c>
      <c r="F3258" s="2">
        <v>8</v>
      </c>
      <c r="G3258" s="2">
        <v>7.56</v>
      </c>
      <c r="H3258" s="2">
        <v>0.44</v>
      </c>
      <c r="I3258" s="1">
        <v>5.5</v>
      </c>
      <c r="J3258" s="26">
        <v>45875</v>
      </c>
      <c r="K3258" s="22">
        <v>37800</v>
      </c>
      <c r="L3258" s="18">
        <v>40.43</v>
      </c>
      <c r="M3258" s="22">
        <v>28800</v>
      </c>
      <c r="N3258" s="22">
        <v>9000</v>
      </c>
      <c r="O3258" s="18">
        <v>9.6300000000000008</v>
      </c>
      <c r="P3258" s="52">
        <f>IF(COUNTIF(TblPurchases[BatchID],TblOutcomes[[#This Row],[BatchID]])&lt;&gt;1,"n.a.",TblOutcomes[[#This Row],[Qty Wasted]]*SUMIFS(TblPurchases[Unit Cost (CLP)],TblPurchases[BatchID],TblOutcomes[[#This Row],[BatchID]]))</f>
        <v>1584</v>
      </c>
      <c r="Q3258" s="51">
        <f>IF(COUNTIF(TblPurchases[BatchID],TblOutcomes[[#This Row],[BatchID]])&lt;&gt;1,"n.a.",SUMIFS(TblPurchases[Purchase Date],TblPurchases[BatchID],TblOutcomes[[#This Row],[BatchID]]))</f>
        <v>45575</v>
      </c>
    </row>
    <row r="3259" spans="2:17" x14ac:dyDescent="0.25">
      <c r="B3259" s="2" t="s">
        <v>4064</v>
      </c>
      <c r="C3259" s="2" t="s">
        <v>346</v>
      </c>
      <c r="D3259" s="2" t="s">
        <v>341</v>
      </c>
      <c r="E3259" s="2" t="s">
        <v>4646</v>
      </c>
      <c r="F3259" s="2">
        <v>9</v>
      </c>
      <c r="G3259" s="2">
        <v>8.59</v>
      </c>
      <c r="H3259" s="2">
        <v>0.41</v>
      </c>
      <c r="I3259" s="1">
        <v>4.5999999999999996</v>
      </c>
      <c r="J3259" s="26">
        <v>45921</v>
      </c>
      <c r="K3259" s="22">
        <v>42950</v>
      </c>
      <c r="L3259" s="18">
        <v>45.94</v>
      </c>
      <c r="M3259" s="22">
        <v>32400</v>
      </c>
      <c r="N3259" s="22">
        <v>10550</v>
      </c>
      <c r="O3259" s="18">
        <v>11.28</v>
      </c>
      <c r="P3259" s="52">
        <f>IF(COUNTIF(TblPurchases[BatchID],TblOutcomes[[#This Row],[BatchID]])&lt;&gt;1,"n.a.",TblOutcomes[[#This Row],[Qty Wasted]]*SUMIFS(TblPurchases[Unit Cost (CLP)],TblPurchases[BatchID],TblOutcomes[[#This Row],[BatchID]]))</f>
        <v>1476</v>
      </c>
      <c r="Q3259" s="51">
        <f>IF(COUNTIF(TblPurchases[BatchID],TblOutcomes[[#This Row],[BatchID]])&lt;&gt;1,"n.a.",SUMIFS(TblPurchases[Purchase Date],TblPurchases[BatchID],TblOutcomes[[#This Row],[BatchID]]))</f>
        <v>45621</v>
      </c>
    </row>
    <row r="3260" spans="2:17" x14ac:dyDescent="0.25">
      <c r="B3260" s="2" t="s">
        <v>4065</v>
      </c>
      <c r="C3260" s="2" t="s">
        <v>346</v>
      </c>
      <c r="D3260" s="2" t="s">
        <v>341</v>
      </c>
      <c r="E3260" s="2" t="s">
        <v>4647</v>
      </c>
      <c r="F3260" s="2">
        <v>11</v>
      </c>
      <c r="G3260" s="2">
        <v>11</v>
      </c>
      <c r="H3260" s="2">
        <v>0</v>
      </c>
      <c r="I3260" s="1">
        <v>0</v>
      </c>
      <c r="J3260" s="26">
        <v>45682</v>
      </c>
      <c r="K3260" s="22">
        <v>55000</v>
      </c>
      <c r="L3260" s="18">
        <v>58.82</v>
      </c>
      <c r="M3260" s="22">
        <v>39600</v>
      </c>
      <c r="N3260" s="22">
        <v>15400</v>
      </c>
      <c r="O3260" s="18">
        <v>16.47</v>
      </c>
      <c r="P3260" s="52">
        <f>IF(COUNTIF(TblPurchases[BatchID],TblOutcomes[[#This Row],[BatchID]])&lt;&gt;1,"n.a.",TblOutcomes[[#This Row],[Qty Wasted]]*SUMIFS(TblPurchases[Unit Cost (CLP)],TblPurchases[BatchID],TblOutcomes[[#This Row],[BatchID]]))</f>
        <v>0</v>
      </c>
      <c r="Q3260" s="51">
        <f>IF(COUNTIF(TblPurchases[BatchID],TblOutcomes[[#This Row],[BatchID]])&lt;&gt;1,"n.a.",SUMIFS(TblPurchases[Purchase Date],TblPurchases[BatchID],TblOutcomes[[#This Row],[BatchID]]))</f>
        <v>45654</v>
      </c>
    </row>
    <row r="3261" spans="2:17" x14ac:dyDescent="0.25">
      <c r="B3261" s="2" t="s">
        <v>4066</v>
      </c>
      <c r="C3261" s="2" t="s">
        <v>346</v>
      </c>
      <c r="D3261" s="2" t="s">
        <v>341</v>
      </c>
      <c r="E3261" s="2" t="s">
        <v>4647</v>
      </c>
      <c r="F3261" s="2">
        <v>9</v>
      </c>
      <c r="G3261" s="2">
        <v>9</v>
      </c>
      <c r="H3261" s="2">
        <v>0</v>
      </c>
      <c r="I3261" s="1">
        <v>0</v>
      </c>
      <c r="J3261" s="26">
        <v>45722</v>
      </c>
      <c r="K3261" s="22">
        <v>45000</v>
      </c>
      <c r="L3261" s="18">
        <v>48.13</v>
      </c>
      <c r="M3261" s="22">
        <v>32400</v>
      </c>
      <c r="N3261" s="22">
        <v>12600</v>
      </c>
      <c r="O3261" s="18">
        <v>13.48</v>
      </c>
      <c r="P3261" s="52">
        <f>IF(COUNTIF(TblPurchases[BatchID],TblOutcomes[[#This Row],[BatchID]])&lt;&gt;1,"n.a.",TblOutcomes[[#This Row],[Qty Wasted]]*SUMIFS(TblPurchases[Unit Cost (CLP)],TblPurchases[BatchID],TblOutcomes[[#This Row],[BatchID]]))</f>
        <v>0</v>
      </c>
      <c r="Q3261" s="51">
        <f>IF(COUNTIF(TblPurchases[BatchID],TblOutcomes[[#This Row],[BatchID]])&lt;&gt;1,"n.a.",SUMIFS(TblPurchases[Purchase Date],TblPurchases[BatchID],TblOutcomes[[#This Row],[BatchID]]))</f>
        <v>45686</v>
      </c>
    </row>
    <row r="3262" spans="2:17" x14ac:dyDescent="0.25">
      <c r="B3262" s="2" t="s">
        <v>4067</v>
      </c>
      <c r="C3262" s="2" t="s">
        <v>346</v>
      </c>
      <c r="D3262" s="2" t="s">
        <v>341</v>
      </c>
      <c r="E3262" s="2" t="s">
        <v>4646</v>
      </c>
      <c r="F3262" s="2">
        <v>9</v>
      </c>
      <c r="G3262" s="2">
        <v>8.4700000000000006</v>
      </c>
      <c r="H3262" s="2">
        <v>0.53</v>
      </c>
      <c r="I3262" s="1">
        <v>5.9</v>
      </c>
      <c r="J3262" s="26">
        <v>46024</v>
      </c>
      <c r="K3262" s="22">
        <v>42350</v>
      </c>
      <c r="L3262" s="18">
        <v>45.29</v>
      </c>
      <c r="M3262" s="22">
        <v>32400</v>
      </c>
      <c r="N3262" s="22">
        <v>9950</v>
      </c>
      <c r="O3262" s="18">
        <v>10.64</v>
      </c>
      <c r="P3262" s="52">
        <f>IF(COUNTIF(TblPurchases[BatchID],TblOutcomes[[#This Row],[BatchID]])&lt;&gt;1,"n.a.",TblOutcomes[[#This Row],[Qty Wasted]]*SUMIFS(TblPurchases[Unit Cost (CLP)],TblPurchases[BatchID],TblOutcomes[[#This Row],[BatchID]]))</f>
        <v>1908</v>
      </c>
      <c r="Q3262" s="51">
        <f>IF(COUNTIF(TblPurchases[BatchID],TblOutcomes[[#This Row],[BatchID]])&lt;&gt;1,"n.a.",SUMIFS(TblPurchases[Purchase Date],TblPurchases[BatchID],TblOutcomes[[#This Row],[BatchID]]))</f>
        <v>45724</v>
      </c>
    </row>
    <row r="3263" spans="2:17" x14ac:dyDescent="0.25">
      <c r="B3263" s="2" t="s">
        <v>4068</v>
      </c>
      <c r="C3263" s="2" t="s">
        <v>346</v>
      </c>
      <c r="D3263" s="2" t="s">
        <v>341</v>
      </c>
      <c r="E3263" s="2" t="s">
        <v>4647</v>
      </c>
      <c r="F3263" s="2">
        <v>26</v>
      </c>
      <c r="G3263" s="2">
        <v>26</v>
      </c>
      <c r="H3263" s="2">
        <v>0</v>
      </c>
      <c r="I3263" s="1">
        <v>0</v>
      </c>
      <c r="J3263" s="26">
        <v>45795</v>
      </c>
      <c r="K3263" s="22">
        <v>130000</v>
      </c>
      <c r="L3263" s="18">
        <v>139.04</v>
      </c>
      <c r="M3263" s="22">
        <v>97500</v>
      </c>
      <c r="N3263" s="22">
        <v>32500</v>
      </c>
      <c r="O3263" s="18">
        <v>34.76</v>
      </c>
      <c r="P3263" s="52">
        <f>IF(COUNTIF(TblPurchases[BatchID],TblOutcomes[[#This Row],[BatchID]])&lt;&gt;1,"n.a.",TblOutcomes[[#This Row],[Qty Wasted]]*SUMIFS(TblPurchases[Unit Cost (CLP)],TblPurchases[BatchID],TblOutcomes[[#This Row],[BatchID]]))</f>
        <v>0</v>
      </c>
      <c r="Q3263" s="51">
        <f>IF(COUNTIF(TblPurchases[BatchID],TblOutcomes[[#This Row],[BatchID]])&lt;&gt;1,"n.a.",SUMIFS(TblPurchases[Purchase Date],TblPurchases[BatchID],TblOutcomes[[#This Row],[BatchID]]))</f>
        <v>45767</v>
      </c>
    </row>
    <row r="3264" spans="2:17" x14ac:dyDescent="0.25">
      <c r="B3264" s="2" t="s">
        <v>4069</v>
      </c>
      <c r="C3264" s="2" t="s">
        <v>346</v>
      </c>
      <c r="D3264" s="2" t="s">
        <v>341</v>
      </c>
      <c r="E3264" s="2" t="s">
        <v>4647</v>
      </c>
      <c r="F3264" s="2">
        <v>27</v>
      </c>
      <c r="G3264" s="2">
        <v>27</v>
      </c>
      <c r="H3264" s="2">
        <v>0</v>
      </c>
      <c r="I3264" s="1">
        <v>0</v>
      </c>
      <c r="J3264" s="26">
        <v>45819</v>
      </c>
      <c r="K3264" s="22">
        <v>135000</v>
      </c>
      <c r="L3264" s="18">
        <v>144.38999999999999</v>
      </c>
      <c r="M3264" s="22">
        <v>97200</v>
      </c>
      <c r="N3264" s="22">
        <v>37800</v>
      </c>
      <c r="O3264" s="18">
        <v>40.43</v>
      </c>
      <c r="P3264" s="52">
        <f>IF(COUNTIF(TblPurchases[BatchID],TblOutcomes[[#This Row],[BatchID]])&lt;&gt;1,"n.a.",TblOutcomes[[#This Row],[Qty Wasted]]*SUMIFS(TblPurchases[Unit Cost (CLP)],TblPurchases[BatchID],TblOutcomes[[#This Row],[BatchID]]))</f>
        <v>0</v>
      </c>
      <c r="Q3264" s="51">
        <f>IF(COUNTIF(TblPurchases[BatchID],TblOutcomes[[#This Row],[BatchID]])&lt;&gt;1,"n.a.",SUMIFS(TblPurchases[Purchase Date],TblPurchases[BatchID],TblOutcomes[[#This Row],[BatchID]]))</f>
        <v>45801</v>
      </c>
    </row>
    <row r="3265" spans="2:17" x14ac:dyDescent="0.25">
      <c r="B3265" s="2" t="s">
        <v>4070</v>
      </c>
      <c r="C3265" s="2" t="s">
        <v>346</v>
      </c>
      <c r="D3265" s="2" t="s">
        <v>341</v>
      </c>
      <c r="E3265" s="2" t="s">
        <v>4646</v>
      </c>
      <c r="F3265" s="2">
        <v>28</v>
      </c>
      <c r="G3265" s="2">
        <v>26.8</v>
      </c>
      <c r="H3265" s="2">
        <v>1.2</v>
      </c>
      <c r="I3265" s="1">
        <v>4.3</v>
      </c>
      <c r="J3265" s="26">
        <v>46137</v>
      </c>
      <c r="K3265" s="22">
        <v>134000</v>
      </c>
      <c r="L3265" s="18">
        <v>143.32</v>
      </c>
      <c r="M3265" s="22">
        <v>100800</v>
      </c>
      <c r="N3265" s="22">
        <v>33200</v>
      </c>
      <c r="O3265" s="18">
        <v>35.51</v>
      </c>
      <c r="P3265" s="52">
        <f>IF(COUNTIF(TblPurchases[BatchID],TblOutcomes[[#This Row],[BatchID]])&lt;&gt;1,"n.a.",TblOutcomes[[#This Row],[Qty Wasted]]*SUMIFS(TblPurchases[Unit Cost (CLP)],TblPurchases[BatchID],TblOutcomes[[#This Row],[BatchID]]))</f>
        <v>4320</v>
      </c>
      <c r="Q3265" s="51">
        <f>IF(COUNTIF(TblPurchases[BatchID],TblOutcomes[[#This Row],[BatchID]])&lt;&gt;1,"n.a.",SUMIFS(TblPurchases[Purchase Date],TblPurchases[BatchID],TblOutcomes[[#This Row],[BatchID]]))</f>
        <v>45837</v>
      </c>
    </row>
    <row r="3266" spans="2:17" x14ac:dyDescent="0.25">
      <c r="B3266" s="2" t="s">
        <v>4071</v>
      </c>
      <c r="C3266" s="2" t="s">
        <v>348</v>
      </c>
      <c r="D3266" s="2" t="s">
        <v>341</v>
      </c>
      <c r="E3266" s="2" t="s">
        <v>4647</v>
      </c>
      <c r="F3266" s="2">
        <v>23</v>
      </c>
      <c r="G3266" s="2">
        <v>23</v>
      </c>
      <c r="H3266" s="2">
        <v>0</v>
      </c>
      <c r="I3266" s="1">
        <v>0</v>
      </c>
      <c r="J3266" s="26">
        <v>45154</v>
      </c>
      <c r="K3266" s="22">
        <v>161000</v>
      </c>
      <c r="L3266" s="18">
        <v>172.19</v>
      </c>
      <c r="M3266" s="22">
        <v>115000</v>
      </c>
      <c r="N3266" s="22">
        <v>46000</v>
      </c>
      <c r="O3266" s="18">
        <v>49.2</v>
      </c>
      <c r="P3266" s="52">
        <f>IF(COUNTIF(TblPurchases[BatchID],TblOutcomes[[#This Row],[BatchID]])&lt;&gt;1,"n.a.",TblOutcomes[[#This Row],[Qty Wasted]]*SUMIFS(TblPurchases[Unit Cost (CLP)],TblPurchases[BatchID],TblOutcomes[[#This Row],[BatchID]]))</f>
        <v>0</v>
      </c>
      <c r="Q3266" s="51">
        <f>IF(COUNTIF(TblPurchases[BatchID],TblOutcomes[[#This Row],[BatchID]])&lt;&gt;1,"n.a.",SUMIFS(TblPurchases[Purchase Date],TblPurchases[BatchID],TblOutcomes[[#This Row],[BatchID]]))</f>
        <v>45109</v>
      </c>
    </row>
    <row r="3267" spans="2:17" x14ac:dyDescent="0.25">
      <c r="B3267" s="2" t="s">
        <v>4072</v>
      </c>
      <c r="C3267" s="2" t="s">
        <v>348</v>
      </c>
      <c r="D3267" s="2" t="s">
        <v>341</v>
      </c>
      <c r="E3267" s="2" t="s">
        <v>4647</v>
      </c>
      <c r="F3267" s="2">
        <v>24</v>
      </c>
      <c r="G3267" s="2">
        <v>24</v>
      </c>
      <c r="H3267" s="2">
        <v>0</v>
      </c>
      <c r="I3267" s="1">
        <v>0</v>
      </c>
      <c r="J3267" s="26">
        <v>45169</v>
      </c>
      <c r="K3267" s="22">
        <v>168000</v>
      </c>
      <c r="L3267" s="18">
        <v>179.68</v>
      </c>
      <c r="M3267" s="22">
        <v>120000</v>
      </c>
      <c r="N3267" s="22">
        <v>48000</v>
      </c>
      <c r="O3267" s="18">
        <v>51.34</v>
      </c>
      <c r="P3267" s="52">
        <f>IF(COUNTIF(TblPurchases[BatchID],TblOutcomes[[#This Row],[BatchID]])&lt;&gt;1,"n.a.",TblOutcomes[[#This Row],[Qty Wasted]]*SUMIFS(TblPurchases[Unit Cost (CLP)],TblPurchases[BatchID],TblOutcomes[[#This Row],[BatchID]]))</f>
        <v>0</v>
      </c>
      <c r="Q3267" s="51">
        <f>IF(COUNTIF(TblPurchases[BatchID],TblOutcomes[[#This Row],[BatchID]])&lt;&gt;1,"n.a.",SUMIFS(TblPurchases[Purchase Date],TblPurchases[BatchID],TblOutcomes[[#This Row],[BatchID]]))</f>
        <v>45141</v>
      </c>
    </row>
    <row r="3268" spans="2:17" x14ac:dyDescent="0.25">
      <c r="B3268" s="2" t="s">
        <v>4073</v>
      </c>
      <c r="C3268" s="2" t="s">
        <v>348</v>
      </c>
      <c r="D3268" s="2" t="s">
        <v>341</v>
      </c>
      <c r="E3268" s="2" t="s">
        <v>4647</v>
      </c>
      <c r="F3268" s="2">
        <v>34</v>
      </c>
      <c r="G3268" s="2">
        <v>34</v>
      </c>
      <c r="H3268" s="2">
        <v>0</v>
      </c>
      <c r="I3268" s="1">
        <v>0</v>
      </c>
      <c r="J3268" s="26">
        <v>45193</v>
      </c>
      <c r="K3268" s="22">
        <v>238000</v>
      </c>
      <c r="L3268" s="18">
        <v>254.55</v>
      </c>
      <c r="M3268" s="22">
        <v>170000</v>
      </c>
      <c r="N3268" s="22">
        <v>68000</v>
      </c>
      <c r="O3268" s="18">
        <v>72.73</v>
      </c>
      <c r="P3268" s="52">
        <f>IF(COUNTIF(TblPurchases[BatchID],TblOutcomes[[#This Row],[BatchID]])&lt;&gt;1,"n.a.",TblOutcomes[[#This Row],[Qty Wasted]]*SUMIFS(TblPurchases[Unit Cost (CLP)],TblPurchases[BatchID],TblOutcomes[[#This Row],[BatchID]]))</f>
        <v>0</v>
      </c>
      <c r="Q3268" s="51">
        <f>IF(COUNTIF(TblPurchases[BatchID],TblOutcomes[[#This Row],[BatchID]])&lt;&gt;1,"n.a.",SUMIFS(TblPurchases[Purchase Date],TblPurchases[BatchID],TblOutcomes[[#This Row],[BatchID]]))</f>
        <v>45182</v>
      </c>
    </row>
    <row r="3269" spans="2:17" x14ac:dyDescent="0.25">
      <c r="B3269" s="2" t="s">
        <v>4074</v>
      </c>
      <c r="C3269" s="2" t="s">
        <v>348</v>
      </c>
      <c r="D3269" s="2" t="s">
        <v>341</v>
      </c>
      <c r="E3269" s="2" t="s">
        <v>4646</v>
      </c>
      <c r="F3269" s="2">
        <v>9</v>
      </c>
      <c r="G3269" s="2">
        <v>8.44</v>
      </c>
      <c r="H3269" s="2">
        <v>0.56000000000000005</v>
      </c>
      <c r="I3269" s="1">
        <v>6.2</v>
      </c>
      <c r="J3269" s="26">
        <v>45518</v>
      </c>
      <c r="K3269" s="22">
        <v>59080</v>
      </c>
      <c r="L3269" s="18">
        <v>63.19</v>
      </c>
      <c r="M3269" s="22">
        <v>45000</v>
      </c>
      <c r="N3269" s="22">
        <v>14080</v>
      </c>
      <c r="O3269" s="18">
        <v>15.06</v>
      </c>
      <c r="P3269" s="52">
        <f>IF(COUNTIF(TblPurchases[BatchID],TblOutcomes[[#This Row],[BatchID]])&lt;&gt;1,"n.a.",TblOutcomes[[#This Row],[Qty Wasted]]*SUMIFS(TblPurchases[Unit Cost (CLP)],TblPurchases[BatchID],TblOutcomes[[#This Row],[BatchID]]))</f>
        <v>2800.0000000000005</v>
      </c>
      <c r="Q3269" s="51">
        <f>IF(COUNTIF(TblPurchases[BatchID],TblOutcomes[[#This Row],[BatchID]])&lt;&gt;1,"n.a.",SUMIFS(TblPurchases[Purchase Date],TblPurchases[BatchID],TblOutcomes[[#This Row],[BatchID]]))</f>
        <v>45218</v>
      </c>
    </row>
    <row r="3270" spans="2:17" x14ac:dyDescent="0.25">
      <c r="B3270" s="2" t="s">
        <v>4075</v>
      </c>
      <c r="C3270" s="2" t="s">
        <v>348</v>
      </c>
      <c r="D3270" s="2" t="s">
        <v>341</v>
      </c>
      <c r="E3270" s="2" t="s">
        <v>4647</v>
      </c>
      <c r="F3270" s="2">
        <v>8</v>
      </c>
      <c r="G3270" s="2">
        <v>8</v>
      </c>
      <c r="H3270" s="2">
        <v>0</v>
      </c>
      <c r="I3270" s="1">
        <v>0</v>
      </c>
      <c r="J3270" s="26">
        <v>45278</v>
      </c>
      <c r="K3270" s="22">
        <v>56000</v>
      </c>
      <c r="L3270" s="18">
        <v>59.89</v>
      </c>
      <c r="M3270" s="22">
        <v>40000</v>
      </c>
      <c r="N3270" s="22">
        <v>16000</v>
      </c>
      <c r="O3270" s="18">
        <v>17.11</v>
      </c>
      <c r="P3270" s="52">
        <f>IF(COUNTIF(TblPurchases[BatchID],TblOutcomes[[#This Row],[BatchID]])&lt;&gt;1,"n.a.",TblOutcomes[[#This Row],[Qty Wasted]]*SUMIFS(TblPurchases[Unit Cost (CLP)],TblPurchases[BatchID],TblOutcomes[[#This Row],[BatchID]]))</f>
        <v>0</v>
      </c>
      <c r="Q3270" s="51">
        <f>IF(COUNTIF(TblPurchases[BatchID],TblOutcomes[[#This Row],[BatchID]])&lt;&gt;1,"n.a.",SUMIFS(TblPurchases[Purchase Date],TblPurchases[BatchID],TblOutcomes[[#This Row],[BatchID]]))</f>
        <v>45254</v>
      </c>
    </row>
    <row r="3271" spans="2:17" x14ac:dyDescent="0.25">
      <c r="B3271" s="2" t="s">
        <v>4076</v>
      </c>
      <c r="C3271" s="2" t="s">
        <v>348</v>
      </c>
      <c r="D3271" s="2" t="s">
        <v>341</v>
      </c>
      <c r="E3271" s="2" t="s">
        <v>4647</v>
      </c>
      <c r="F3271" s="2">
        <v>10</v>
      </c>
      <c r="G3271" s="2">
        <v>10</v>
      </c>
      <c r="H3271" s="2">
        <v>0</v>
      </c>
      <c r="I3271" s="1">
        <v>0</v>
      </c>
      <c r="J3271" s="26">
        <v>45324</v>
      </c>
      <c r="K3271" s="22">
        <v>70000</v>
      </c>
      <c r="L3271" s="18">
        <v>74.87</v>
      </c>
      <c r="M3271" s="22">
        <v>50000</v>
      </c>
      <c r="N3271" s="22">
        <v>20000</v>
      </c>
      <c r="O3271" s="18">
        <v>21.39</v>
      </c>
      <c r="P3271" s="52">
        <f>IF(COUNTIF(TblPurchases[BatchID],TblOutcomes[[#This Row],[BatchID]])&lt;&gt;1,"n.a.",TblOutcomes[[#This Row],[Qty Wasted]]*SUMIFS(TblPurchases[Unit Cost (CLP)],TblPurchases[BatchID],TblOutcomes[[#This Row],[BatchID]]))</f>
        <v>0</v>
      </c>
      <c r="Q3271" s="51">
        <f>IF(COUNTIF(TblPurchases[BatchID],TblOutcomes[[#This Row],[BatchID]])&lt;&gt;1,"n.a.",SUMIFS(TblPurchases[Purchase Date],TblPurchases[BatchID],TblOutcomes[[#This Row],[BatchID]]))</f>
        <v>45286</v>
      </c>
    </row>
    <row r="3272" spans="2:17" x14ac:dyDescent="0.25">
      <c r="B3272" s="2" t="s">
        <v>4077</v>
      </c>
      <c r="C3272" s="2" t="s">
        <v>348</v>
      </c>
      <c r="D3272" s="2" t="s">
        <v>341</v>
      </c>
      <c r="E3272" s="2" t="s">
        <v>4646</v>
      </c>
      <c r="F3272" s="2">
        <v>9</v>
      </c>
      <c r="G3272" s="2">
        <v>8.31</v>
      </c>
      <c r="H3272" s="2">
        <v>0.69</v>
      </c>
      <c r="I3272" s="1">
        <v>7.7</v>
      </c>
      <c r="J3272" s="26">
        <v>45611</v>
      </c>
      <c r="K3272" s="22">
        <v>58170</v>
      </c>
      <c r="L3272" s="18">
        <v>62.21</v>
      </c>
      <c r="M3272" s="22">
        <v>45000</v>
      </c>
      <c r="N3272" s="22">
        <v>13170</v>
      </c>
      <c r="O3272" s="18">
        <v>14.09</v>
      </c>
      <c r="P3272" s="52">
        <f>IF(COUNTIF(TblPurchases[BatchID],TblOutcomes[[#This Row],[BatchID]])&lt;&gt;1,"n.a.",TblOutcomes[[#This Row],[Qty Wasted]]*SUMIFS(TblPurchases[Unit Cost (CLP)],TblPurchases[BatchID],TblOutcomes[[#This Row],[BatchID]]))</f>
        <v>3449.9999999999995</v>
      </c>
      <c r="Q3272" s="51">
        <f>IF(COUNTIF(TblPurchases[BatchID],TblOutcomes[[#This Row],[BatchID]])&lt;&gt;1,"n.a.",SUMIFS(TblPurchases[Purchase Date],TblPurchases[BatchID],TblOutcomes[[#This Row],[BatchID]]))</f>
        <v>45311</v>
      </c>
    </row>
    <row r="3273" spans="2:17" x14ac:dyDescent="0.25">
      <c r="B3273" s="2" t="s">
        <v>4078</v>
      </c>
      <c r="C3273" s="2" t="s">
        <v>348</v>
      </c>
      <c r="D3273" s="2" t="s">
        <v>341</v>
      </c>
      <c r="E3273" s="2" t="s">
        <v>4646</v>
      </c>
      <c r="F3273" s="2">
        <v>8</v>
      </c>
      <c r="G3273" s="2">
        <v>7.34</v>
      </c>
      <c r="H3273" s="2">
        <v>0.66</v>
      </c>
      <c r="I3273" s="1">
        <v>8.1999999999999993</v>
      </c>
      <c r="J3273" s="26">
        <v>45651</v>
      </c>
      <c r="K3273" s="22">
        <v>51380</v>
      </c>
      <c r="L3273" s="18">
        <v>54.95</v>
      </c>
      <c r="M3273" s="22">
        <v>40000</v>
      </c>
      <c r="N3273" s="22">
        <v>11380</v>
      </c>
      <c r="O3273" s="18">
        <v>12.17</v>
      </c>
      <c r="P3273" s="52">
        <f>IF(COUNTIF(TblPurchases[BatchID],TblOutcomes[[#This Row],[BatchID]])&lt;&gt;1,"n.a.",TblOutcomes[[#This Row],[Qty Wasted]]*SUMIFS(TblPurchases[Unit Cost (CLP)],TblPurchases[BatchID],TblOutcomes[[#This Row],[BatchID]]))</f>
        <v>3300</v>
      </c>
      <c r="Q3273" s="51">
        <f>IF(COUNTIF(TblPurchases[BatchID],TblOutcomes[[#This Row],[BatchID]])&lt;&gt;1,"n.a.",SUMIFS(TblPurchases[Purchase Date],TblPurchases[BatchID],TblOutcomes[[#This Row],[BatchID]]))</f>
        <v>45351</v>
      </c>
    </row>
    <row r="3274" spans="2:17" x14ac:dyDescent="0.25">
      <c r="B3274" s="2" t="s">
        <v>4079</v>
      </c>
      <c r="C3274" s="2" t="s">
        <v>348</v>
      </c>
      <c r="D3274" s="2" t="s">
        <v>341</v>
      </c>
      <c r="E3274" s="2" t="s">
        <v>4646</v>
      </c>
      <c r="F3274" s="2">
        <v>21</v>
      </c>
      <c r="G3274" s="2">
        <v>20.77</v>
      </c>
      <c r="H3274" s="2">
        <v>0.23</v>
      </c>
      <c r="I3274" s="1">
        <v>1.1000000000000001</v>
      </c>
      <c r="J3274" s="26">
        <v>45690</v>
      </c>
      <c r="K3274" s="22">
        <v>145390</v>
      </c>
      <c r="L3274" s="18">
        <v>155.5</v>
      </c>
      <c r="M3274" s="22">
        <v>105000</v>
      </c>
      <c r="N3274" s="22">
        <v>40390</v>
      </c>
      <c r="O3274" s="18">
        <v>43.2</v>
      </c>
      <c r="P3274" s="52">
        <f>IF(COUNTIF(TblPurchases[BatchID],TblOutcomes[[#This Row],[BatchID]])&lt;&gt;1,"n.a.",TblOutcomes[[#This Row],[Qty Wasted]]*SUMIFS(TblPurchases[Unit Cost (CLP)],TblPurchases[BatchID],TblOutcomes[[#This Row],[BatchID]]))</f>
        <v>1150</v>
      </c>
      <c r="Q3274" s="51">
        <f>IF(COUNTIF(TblPurchases[BatchID],TblOutcomes[[#This Row],[BatchID]])&lt;&gt;1,"n.a.",SUMIFS(TblPurchases[Purchase Date],TblPurchases[BatchID],TblOutcomes[[#This Row],[BatchID]]))</f>
        <v>45390</v>
      </c>
    </row>
    <row r="3275" spans="2:17" x14ac:dyDescent="0.25">
      <c r="B3275" s="2" t="s">
        <v>4080</v>
      </c>
      <c r="C3275" s="2" t="s">
        <v>348</v>
      </c>
      <c r="D3275" s="2" t="s">
        <v>341</v>
      </c>
      <c r="E3275" s="2" t="s">
        <v>4646</v>
      </c>
      <c r="F3275" s="2">
        <v>25</v>
      </c>
      <c r="G3275" s="2">
        <v>23.6</v>
      </c>
      <c r="H3275" s="2">
        <v>1.4</v>
      </c>
      <c r="I3275" s="1">
        <v>5.6</v>
      </c>
      <c r="J3275" s="26">
        <v>45726</v>
      </c>
      <c r="K3275" s="22">
        <v>165200</v>
      </c>
      <c r="L3275" s="18">
        <v>176.68</v>
      </c>
      <c r="M3275" s="22">
        <v>125000</v>
      </c>
      <c r="N3275" s="22">
        <v>40200</v>
      </c>
      <c r="O3275" s="18">
        <v>42.99</v>
      </c>
      <c r="P3275" s="52">
        <f>IF(COUNTIF(TblPurchases[BatchID],TblOutcomes[[#This Row],[BatchID]])&lt;&gt;1,"n.a.",TblOutcomes[[#This Row],[Qty Wasted]]*SUMIFS(TblPurchases[Unit Cost (CLP)],TblPurchases[BatchID],TblOutcomes[[#This Row],[BatchID]]))</f>
        <v>7000</v>
      </c>
      <c r="Q3275" s="51">
        <f>IF(COUNTIF(TblPurchases[BatchID],TblOutcomes[[#This Row],[BatchID]])&lt;&gt;1,"n.a.",SUMIFS(TblPurchases[Purchase Date],TblPurchases[BatchID],TblOutcomes[[#This Row],[BatchID]]))</f>
        <v>45426</v>
      </c>
    </row>
    <row r="3276" spans="2:17" x14ac:dyDescent="0.25">
      <c r="B3276" s="2" t="s">
        <v>4081</v>
      </c>
      <c r="C3276" s="2" t="s">
        <v>348</v>
      </c>
      <c r="D3276" s="2" t="s">
        <v>341</v>
      </c>
      <c r="E3276" s="2" t="s">
        <v>4647</v>
      </c>
      <c r="F3276" s="2">
        <v>27</v>
      </c>
      <c r="G3276" s="2">
        <v>27</v>
      </c>
      <c r="H3276" s="2">
        <v>0</v>
      </c>
      <c r="I3276" s="1">
        <v>0</v>
      </c>
      <c r="J3276" s="26">
        <v>45494</v>
      </c>
      <c r="K3276" s="22">
        <v>189000</v>
      </c>
      <c r="L3276" s="18">
        <v>202.14</v>
      </c>
      <c r="M3276" s="22">
        <v>135000</v>
      </c>
      <c r="N3276" s="22">
        <v>54000</v>
      </c>
      <c r="O3276" s="18">
        <v>57.75</v>
      </c>
      <c r="P3276" s="52">
        <f>IF(COUNTIF(TblPurchases[BatchID],TblOutcomes[[#This Row],[BatchID]])&lt;&gt;1,"n.a.",TblOutcomes[[#This Row],[Qty Wasted]]*SUMIFS(TblPurchases[Unit Cost (CLP)],TblPurchases[BatchID],TblOutcomes[[#This Row],[BatchID]]))</f>
        <v>0</v>
      </c>
      <c r="Q3276" s="51">
        <f>IF(COUNTIF(TblPurchases[BatchID],TblOutcomes[[#This Row],[BatchID]])&lt;&gt;1,"n.a.",SUMIFS(TblPurchases[Purchase Date],TblPurchases[BatchID],TblOutcomes[[#This Row],[BatchID]]))</f>
        <v>45460</v>
      </c>
    </row>
    <row r="3277" spans="2:17" x14ac:dyDescent="0.25">
      <c r="B3277" s="2" t="s">
        <v>4082</v>
      </c>
      <c r="C3277" s="2" t="s">
        <v>348</v>
      </c>
      <c r="D3277" s="2" t="s">
        <v>341</v>
      </c>
      <c r="E3277" s="2" t="s">
        <v>4647</v>
      </c>
      <c r="F3277" s="2">
        <v>23</v>
      </c>
      <c r="G3277" s="2">
        <v>23</v>
      </c>
      <c r="H3277" s="2">
        <v>0</v>
      </c>
      <c r="I3277" s="1">
        <v>0</v>
      </c>
      <c r="J3277" s="26">
        <v>45537</v>
      </c>
      <c r="K3277" s="22">
        <v>161000</v>
      </c>
      <c r="L3277" s="18">
        <v>172.19</v>
      </c>
      <c r="M3277" s="22">
        <v>115000</v>
      </c>
      <c r="N3277" s="22">
        <v>46000</v>
      </c>
      <c r="O3277" s="18">
        <v>49.2</v>
      </c>
      <c r="P3277" s="52">
        <f>IF(COUNTIF(TblPurchases[BatchID],TblOutcomes[[#This Row],[BatchID]])&lt;&gt;1,"n.a.",TblOutcomes[[#This Row],[Qty Wasted]]*SUMIFS(TblPurchases[Unit Cost (CLP)],TblPurchases[BatchID],TblOutcomes[[#This Row],[BatchID]]))</f>
        <v>0</v>
      </c>
      <c r="Q3277" s="51">
        <f>IF(COUNTIF(TblPurchases[BatchID],TblOutcomes[[#This Row],[BatchID]])&lt;&gt;1,"n.a.",SUMIFS(TblPurchases[Purchase Date],TblPurchases[BatchID],TblOutcomes[[#This Row],[BatchID]]))</f>
        <v>45496</v>
      </c>
    </row>
    <row r="3278" spans="2:17" x14ac:dyDescent="0.25">
      <c r="B3278" s="2" t="s">
        <v>4083</v>
      </c>
      <c r="C3278" s="2" t="s">
        <v>348</v>
      </c>
      <c r="D3278" s="2" t="s">
        <v>341</v>
      </c>
      <c r="E3278" s="2" t="s">
        <v>4647</v>
      </c>
      <c r="F3278" s="2">
        <v>25</v>
      </c>
      <c r="G3278" s="2">
        <v>25</v>
      </c>
      <c r="H3278" s="2">
        <v>0</v>
      </c>
      <c r="I3278" s="1">
        <v>0</v>
      </c>
      <c r="J3278" s="26">
        <v>45557</v>
      </c>
      <c r="K3278" s="22">
        <v>175000</v>
      </c>
      <c r="L3278" s="18">
        <v>187.17</v>
      </c>
      <c r="M3278" s="22">
        <v>126250</v>
      </c>
      <c r="N3278" s="22">
        <v>48750</v>
      </c>
      <c r="O3278" s="18">
        <v>52.14</v>
      </c>
      <c r="P3278" s="52">
        <f>IF(COUNTIF(TblPurchases[BatchID],TblOutcomes[[#This Row],[BatchID]])&lt;&gt;1,"n.a.",TblOutcomes[[#This Row],[Qty Wasted]]*SUMIFS(TblPurchases[Unit Cost (CLP)],TblPurchases[BatchID],TblOutcomes[[#This Row],[BatchID]]))</f>
        <v>0</v>
      </c>
      <c r="Q3278" s="51">
        <f>IF(COUNTIF(TblPurchases[BatchID],TblOutcomes[[#This Row],[BatchID]])&lt;&gt;1,"n.a.",SUMIFS(TblPurchases[Purchase Date],TblPurchases[BatchID],TblOutcomes[[#This Row],[BatchID]]))</f>
        <v>45528</v>
      </c>
    </row>
    <row r="3279" spans="2:17" x14ac:dyDescent="0.25">
      <c r="B3279" s="2" t="s">
        <v>4084</v>
      </c>
      <c r="C3279" s="2" t="s">
        <v>348</v>
      </c>
      <c r="D3279" s="2" t="s">
        <v>341</v>
      </c>
      <c r="E3279" s="2" t="s">
        <v>4647</v>
      </c>
      <c r="F3279" s="2">
        <v>31</v>
      </c>
      <c r="G3279" s="2">
        <v>31</v>
      </c>
      <c r="H3279" s="2">
        <v>0</v>
      </c>
      <c r="I3279" s="1">
        <v>0</v>
      </c>
      <c r="J3279" s="26">
        <v>45610</v>
      </c>
      <c r="K3279" s="22">
        <v>217000</v>
      </c>
      <c r="L3279" s="18">
        <v>232.09</v>
      </c>
      <c r="M3279" s="22">
        <v>155000</v>
      </c>
      <c r="N3279" s="22">
        <v>62000</v>
      </c>
      <c r="O3279" s="18">
        <v>66.31</v>
      </c>
      <c r="P3279" s="52">
        <f>IF(COUNTIF(TblPurchases[BatchID],TblOutcomes[[#This Row],[BatchID]])&lt;&gt;1,"n.a.",TblOutcomes[[#This Row],[Qty Wasted]]*SUMIFS(TblPurchases[Unit Cost (CLP)],TblPurchases[BatchID],TblOutcomes[[#This Row],[BatchID]]))</f>
        <v>0</v>
      </c>
      <c r="Q3279" s="51">
        <f>IF(COUNTIF(TblPurchases[BatchID],TblOutcomes[[#This Row],[BatchID]])&lt;&gt;1,"n.a.",SUMIFS(TblPurchases[Purchase Date],TblPurchases[BatchID],TblOutcomes[[#This Row],[BatchID]]))</f>
        <v>45565</v>
      </c>
    </row>
    <row r="3280" spans="2:17" x14ac:dyDescent="0.25">
      <c r="B3280" s="2" t="s">
        <v>4085</v>
      </c>
      <c r="C3280" s="2" t="s">
        <v>348</v>
      </c>
      <c r="D3280" s="2" t="s">
        <v>341</v>
      </c>
      <c r="E3280" s="2" t="s">
        <v>4646</v>
      </c>
      <c r="F3280" s="2">
        <v>9</v>
      </c>
      <c r="G3280" s="2">
        <v>8.44</v>
      </c>
      <c r="H3280" s="2">
        <v>0.56000000000000005</v>
      </c>
      <c r="I3280" s="1">
        <v>6.2</v>
      </c>
      <c r="J3280" s="26">
        <v>45903</v>
      </c>
      <c r="K3280" s="22">
        <v>59080</v>
      </c>
      <c r="L3280" s="18">
        <v>63.19</v>
      </c>
      <c r="M3280" s="22">
        <v>45000</v>
      </c>
      <c r="N3280" s="22">
        <v>14080</v>
      </c>
      <c r="O3280" s="18">
        <v>15.06</v>
      </c>
      <c r="P3280" s="52">
        <f>IF(COUNTIF(TblPurchases[BatchID],TblOutcomes[[#This Row],[BatchID]])&lt;&gt;1,"n.a.",TblOutcomes[[#This Row],[Qty Wasted]]*SUMIFS(TblPurchases[Unit Cost (CLP)],TblPurchases[BatchID],TblOutcomes[[#This Row],[BatchID]]))</f>
        <v>2800.0000000000005</v>
      </c>
      <c r="Q3280" s="51">
        <f>IF(COUNTIF(TblPurchases[BatchID],TblOutcomes[[#This Row],[BatchID]])&lt;&gt;1,"n.a.",SUMIFS(TblPurchases[Purchase Date],TblPurchases[BatchID],TblOutcomes[[#This Row],[BatchID]]))</f>
        <v>45603</v>
      </c>
    </row>
    <row r="3281" spans="2:17" x14ac:dyDescent="0.25">
      <c r="B3281" s="2" t="s">
        <v>4086</v>
      </c>
      <c r="C3281" s="2" t="s">
        <v>348</v>
      </c>
      <c r="D3281" s="2" t="s">
        <v>341</v>
      </c>
      <c r="E3281" s="2" t="s">
        <v>4647</v>
      </c>
      <c r="F3281" s="2">
        <v>12</v>
      </c>
      <c r="G3281" s="2">
        <v>12</v>
      </c>
      <c r="H3281" s="2">
        <v>0</v>
      </c>
      <c r="I3281" s="1">
        <v>0</v>
      </c>
      <c r="J3281" s="26">
        <v>45678</v>
      </c>
      <c r="K3281" s="22">
        <v>84000</v>
      </c>
      <c r="L3281" s="18">
        <v>89.84</v>
      </c>
      <c r="M3281" s="22">
        <v>60000</v>
      </c>
      <c r="N3281" s="22">
        <v>24000</v>
      </c>
      <c r="O3281" s="18">
        <v>25.67</v>
      </c>
      <c r="P3281" s="52">
        <f>IF(COUNTIF(TblPurchases[BatchID],TblOutcomes[[#This Row],[BatchID]])&lt;&gt;1,"n.a.",TblOutcomes[[#This Row],[Qty Wasted]]*SUMIFS(TblPurchases[Unit Cost (CLP)],TblPurchases[BatchID],TblOutcomes[[#This Row],[BatchID]]))</f>
        <v>0</v>
      </c>
      <c r="Q3281" s="51">
        <f>IF(COUNTIF(TblPurchases[BatchID],TblOutcomes[[#This Row],[BatchID]])&lt;&gt;1,"n.a.",SUMIFS(TblPurchases[Purchase Date],TblPurchases[BatchID],TblOutcomes[[#This Row],[BatchID]]))</f>
        <v>45632</v>
      </c>
    </row>
    <row r="3282" spans="2:17" x14ac:dyDescent="0.25">
      <c r="B3282" s="2" t="s">
        <v>4087</v>
      </c>
      <c r="C3282" s="2" t="s">
        <v>348</v>
      </c>
      <c r="D3282" s="2" t="s">
        <v>341</v>
      </c>
      <c r="E3282" s="2" t="s">
        <v>4646</v>
      </c>
      <c r="F3282" s="2">
        <v>8</v>
      </c>
      <c r="G3282" s="2">
        <v>7.45</v>
      </c>
      <c r="H3282" s="2">
        <v>0.55000000000000004</v>
      </c>
      <c r="I3282" s="1">
        <v>6.9</v>
      </c>
      <c r="J3282" s="26">
        <v>45963</v>
      </c>
      <c r="K3282" s="22">
        <v>52150</v>
      </c>
      <c r="L3282" s="18">
        <v>55.78</v>
      </c>
      <c r="M3282" s="22">
        <v>40000</v>
      </c>
      <c r="N3282" s="22">
        <v>12150</v>
      </c>
      <c r="O3282" s="18">
        <v>12.99</v>
      </c>
      <c r="P3282" s="52">
        <f>IF(COUNTIF(TblPurchases[BatchID],TblOutcomes[[#This Row],[BatchID]])&lt;&gt;1,"n.a.",TblOutcomes[[#This Row],[Qty Wasted]]*SUMIFS(TblPurchases[Unit Cost (CLP)],TblPurchases[BatchID],TblOutcomes[[#This Row],[BatchID]]))</f>
        <v>2750</v>
      </c>
      <c r="Q3282" s="51">
        <f>IF(COUNTIF(TblPurchases[BatchID],TblOutcomes[[#This Row],[BatchID]])&lt;&gt;1,"n.a.",SUMIFS(TblPurchases[Purchase Date],TblPurchases[BatchID],TblOutcomes[[#This Row],[BatchID]]))</f>
        <v>45663</v>
      </c>
    </row>
    <row r="3283" spans="2:17" x14ac:dyDescent="0.25">
      <c r="B3283" s="2" t="s">
        <v>4088</v>
      </c>
      <c r="C3283" s="2" t="s">
        <v>348</v>
      </c>
      <c r="D3283" s="2" t="s">
        <v>341</v>
      </c>
      <c r="E3283" s="2" t="s">
        <v>4647</v>
      </c>
      <c r="F3283" s="2">
        <v>10</v>
      </c>
      <c r="G3283" s="2">
        <v>10</v>
      </c>
      <c r="H3283" s="2">
        <v>0</v>
      </c>
      <c r="I3283" s="1">
        <v>0</v>
      </c>
      <c r="J3283" s="26">
        <v>45732</v>
      </c>
      <c r="K3283" s="22">
        <v>70000</v>
      </c>
      <c r="L3283" s="18">
        <v>74.87</v>
      </c>
      <c r="M3283" s="22">
        <v>50000</v>
      </c>
      <c r="N3283" s="22">
        <v>20000</v>
      </c>
      <c r="O3283" s="18">
        <v>21.39</v>
      </c>
      <c r="P3283" s="52">
        <f>IF(COUNTIF(TblPurchases[BatchID],TblOutcomes[[#This Row],[BatchID]])&lt;&gt;1,"n.a.",TblOutcomes[[#This Row],[Qty Wasted]]*SUMIFS(TblPurchases[Unit Cost (CLP)],TblPurchases[BatchID],TblOutcomes[[#This Row],[BatchID]]))</f>
        <v>0</v>
      </c>
      <c r="Q3283" s="51">
        <f>IF(COUNTIF(TblPurchases[BatchID],TblOutcomes[[#This Row],[BatchID]])&lt;&gt;1,"n.a.",SUMIFS(TblPurchases[Purchase Date],TblPurchases[BatchID],TblOutcomes[[#This Row],[BatchID]]))</f>
        <v>45697</v>
      </c>
    </row>
    <row r="3284" spans="2:17" x14ac:dyDescent="0.25">
      <c r="B3284" s="2" t="s">
        <v>4089</v>
      </c>
      <c r="C3284" s="2" t="s">
        <v>348</v>
      </c>
      <c r="D3284" s="2" t="s">
        <v>341</v>
      </c>
      <c r="E3284" s="2" t="s">
        <v>4646</v>
      </c>
      <c r="F3284" s="2">
        <v>9</v>
      </c>
      <c r="G3284" s="2">
        <v>8.3000000000000007</v>
      </c>
      <c r="H3284" s="2">
        <v>0.7</v>
      </c>
      <c r="I3284" s="1">
        <v>7.8</v>
      </c>
      <c r="J3284" s="26">
        <v>46038</v>
      </c>
      <c r="K3284" s="22">
        <v>58100</v>
      </c>
      <c r="L3284" s="18">
        <v>62.14</v>
      </c>
      <c r="M3284" s="22">
        <v>45000</v>
      </c>
      <c r="N3284" s="22">
        <v>13100</v>
      </c>
      <c r="O3284" s="18">
        <v>14.01</v>
      </c>
      <c r="P3284" s="52">
        <f>IF(COUNTIF(TblPurchases[BatchID],TblOutcomes[[#This Row],[BatchID]])&lt;&gt;1,"n.a.",TblOutcomes[[#This Row],[Qty Wasted]]*SUMIFS(TblPurchases[Unit Cost (CLP)],TblPurchases[BatchID],TblOutcomes[[#This Row],[BatchID]]))</f>
        <v>3500</v>
      </c>
      <c r="Q3284" s="51">
        <f>IF(COUNTIF(TblPurchases[BatchID],TblOutcomes[[#This Row],[BatchID]])&lt;&gt;1,"n.a.",SUMIFS(TblPurchases[Purchase Date],TblPurchases[BatchID],TblOutcomes[[#This Row],[BatchID]]))</f>
        <v>45738</v>
      </c>
    </row>
    <row r="3285" spans="2:17" x14ac:dyDescent="0.25">
      <c r="B3285" s="2" t="s">
        <v>4090</v>
      </c>
      <c r="C3285" s="2" t="s">
        <v>348</v>
      </c>
      <c r="D3285" s="2" t="s">
        <v>341</v>
      </c>
      <c r="E3285" s="2" t="s">
        <v>4646</v>
      </c>
      <c r="F3285" s="2">
        <v>28</v>
      </c>
      <c r="G3285" s="2">
        <v>26.99</v>
      </c>
      <c r="H3285" s="2">
        <v>1.01</v>
      </c>
      <c r="I3285" s="1">
        <v>3.6</v>
      </c>
      <c r="J3285" s="26">
        <v>46075</v>
      </c>
      <c r="K3285" s="22">
        <v>188930</v>
      </c>
      <c r="L3285" s="18">
        <v>202.06</v>
      </c>
      <c r="M3285" s="22">
        <v>140000</v>
      </c>
      <c r="N3285" s="22">
        <v>48930</v>
      </c>
      <c r="O3285" s="18">
        <v>52.33</v>
      </c>
      <c r="P3285" s="52">
        <f>IF(COUNTIF(TblPurchases[BatchID],TblOutcomes[[#This Row],[BatchID]])&lt;&gt;1,"n.a.",TblOutcomes[[#This Row],[Qty Wasted]]*SUMIFS(TblPurchases[Unit Cost (CLP)],TblPurchases[BatchID],TblOutcomes[[#This Row],[BatchID]]))</f>
        <v>5050</v>
      </c>
      <c r="Q3285" s="51">
        <f>IF(COUNTIF(TblPurchases[BatchID],TblOutcomes[[#This Row],[BatchID]])&lt;&gt;1,"n.a.",SUMIFS(TblPurchases[Purchase Date],TblPurchases[BatchID],TblOutcomes[[#This Row],[BatchID]]))</f>
        <v>45775</v>
      </c>
    </row>
    <row r="3286" spans="2:17" x14ac:dyDescent="0.25">
      <c r="B3286" s="2" t="s">
        <v>4091</v>
      </c>
      <c r="C3286" s="2" t="s">
        <v>348</v>
      </c>
      <c r="D3286" s="2" t="s">
        <v>341</v>
      </c>
      <c r="E3286" s="2" t="s">
        <v>4647</v>
      </c>
      <c r="F3286" s="2">
        <v>23</v>
      </c>
      <c r="G3286" s="2">
        <v>23</v>
      </c>
      <c r="H3286" s="2">
        <v>0</v>
      </c>
      <c r="I3286" s="1">
        <v>0</v>
      </c>
      <c r="J3286" s="26">
        <v>45831</v>
      </c>
      <c r="K3286" s="22">
        <v>161000</v>
      </c>
      <c r="L3286" s="18">
        <v>172.19</v>
      </c>
      <c r="M3286" s="22">
        <v>115000</v>
      </c>
      <c r="N3286" s="22">
        <v>46000</v>
      </c>
      <c r="O3286" s="18">
        <v>49.2</v>
      </c>
      <c r="P3286" s="52">
        <f>IF(COUNTIF(TblPurchases[BatchID],TblOutcomes[[#This Row],[BatchID]])&lt;&gt;1,"n.a.",TblOutcomes[[#This Row],[Qty Wasted]]*SUMIFS(TblPurchases[Unit Cost (CLP)],TblPurchases[BatchID],TblOutcomes[[#This Row],[BatchID]]))</f>
        <v>0</v>
      </c>
      <c r="Q3286" s="51">
        <f>IF(COUNTIF(TblPurchases[BatchID],TblOutcomes[[#This Row],[BatchID]])&lt;&gt;1,"n.a.",SUMIFS(TblPurchases[Purchase Date],TblPurchases[BatchID],TblOutcomes[[#This Row],[BatchID]]))</f>
        <v>45807</v>
      </c>
    </row>
    <row r="3287" spans="2:17" x14ac:dyDescent="0.25">
      <c r="B3287" s="2" t="s">
        <v>4092</v>
      </c>
      <c r="C3287" s="2" t="s">
        <v>348</v>
      </c>
      <c r="D3287" s="2" t="s">
        <v>341</v>
      </c>
      <c r="E3287" s="2" t="s">
        <v>4647</v>
      </c>
      <c r="F3287" s="2">
        <v>23</v>
      </c>
      <c r="G3287" s="2">
        <v>23</v>
      </c>
      <c r="H3287" s="2">
        <v>0</v>
      </c>
      <c r="I3287" s="1">
        <v>0</v>
      </c>
      <c r="J3287" s="26">
        <v>45857</v>
      </c>
      <c r="K3287" s="22">
        <v>161000</v>
      </c>
      <c r="L3287" s="18">
        <v>172.19</v>
      </c>
      <c r="M3287" s="22">
        <v>115000</v>
      </c>
      <c r="N3287" s="22">
        <v>46000</v>
      </c>
      <c r="O3287" s="18">
        <v>49.2</v>
      </c>
      <c r="P3287" s="52">
        <f>IF(COUNTIF(TblPurchases[BatchID],TblOutcomes[[#This Row],[BatchID]])&lt;&gt;1,"n.a.",TblOutcomes[[#This Row],[Qty Wasted]]*SUMIFS(TblPurchases[Unit Cost (CLP)],TblPurchases[BatchID],TblOutcomes[[#This Row],[BatchID]]))</f>
        <v>0</v>
      </c>
      <c r="Q3287" s="51">
        <f>IF(COUNTIF(TblPurchases[BatchID],TblOutcomes[[#This Row],[BatchID]])&lt;&gt;1,"n.a.",SUMIFS(TblPurchases[Purchase Date],TblPurchases[BatchID],TblOutcomes[[#This Row],[BatchID]]))</f>
        <v>45835</v>
      </c>
    </row>
    <row r="3288" spans="2:17" x14ac:dyDescent="0.25">
      <c r="B3288" s="2" t="s">
        <v>4093</v>
      </c>
      <c r="C3288" s="2" t="s">
        <v>350</v>
      </c>
      <c r="D3288" s="2" t="s">
        <v>341</v>
      </c>
      <c r="E3288" s="2" t="s">
        <v>4647</v>
      </c>
      <c r="F3288" s="2">
        <v>24</v>
      </c>
      <c r="G3288" s="2">
        <v>24</v>
      </c>
      <c r="H3288" s="2">
        <v>0</v>
      </c>
      <c r="I3288" s="1">
        <v>0</v>
      </c>
      <c r="J3288" s="26">
        <v>45143</v>
      </c>
      <c r="K3288" s="22">
        <v>156000</v>
      </c>
      <c r="L3288" s="18">
        <v>166.84</v>
      </c>
      <c r="M3288" s="22">
        <v>108000</v>
      </c>
      <c r="N3288" s="22">
        <v>48000</v>
      </c>
      <c r="O3288" s="18">
        <v>51.34</v>
      </c>
      <c r="P3288" s="52">
        <f>IF(COUNTIF(TblPurchases[BatchID],TblOutcomes[[#This Row],[BatchID]])&lt;&gt;1,"n.a.",TblOutcomes[[#This Row],[Qty Wasted]]*SUMIFS(TblPurchases[Unit Cost (CLP)],TblPurchases[BatchID],TblOutcomes[[#This Row],[BatchID]]))</f>
        <v>0</v>
      </c>
      <c r="Q3288" s="51">
        <f>IF(COUNTIF(TblPurchases[BatchID],TblOutcomes[[#This Row],[BatchID]])&lt;&gt;1,"n.a.",SUMIFS(TblPurchases[Purchase Date],TblPurchases[BatchID],TblOutcomes[[#This Row],[BatchID]]))</f>
        <v>45121</v>
      </c>
    </row>
    <row r="3289" spans="2:17" x14ac:dyDescent="0.25">
      <c r="B3289" s="2" t="s">
        <v>4094</v>
      </c>
      <c r="C3289" s="2" t="s">
        <v>350</v>
      </c>
      <c r="D3289" s="2" t="s">
        <v>341</v>
      </c>
      <c r="E3289" s="2" t="s">
        <v>4646</v>
      </c>
      <c r="F3289" s="2">
        <v>26</v>
      </c>
      <c r="G3289" s="2">
        <v>24.62</v>
      </c>
      <c r="H3289" s="2">
        <v>1.38</v>
      </c>
      <c r="I3289" s="1">
        <v>5.3</v>
      </c>
      <c r="J3289" s="26">
        <v>45451</v>
      </c>
      <c r="K3289" s="22">
        <v>160030</v>
      </c>
      <c r="L3289" s="18">
        <v>171.16</v>
      </c>
      <c r="M3289" s="22">
        <v>117000</v>
      </c>
      <c r="N3289" s="22">
        <v>43030</v>
      </c>
      <c r="O3289" s="18">
        <v>46.02</v>
      </c>
      <c r="P3289" s="52">
        <f>IF(COUNTIF(TblPurchases[BatchID],TblOutcomes[[#This Row],[BatchID]])&lt;&gt;1,"n.a.",TblOutcomes[[#This Row],[Qty Wasted]]*SUMIFS(TblPurchases[Unit Cost (CLP)],TblPurchases[BatchID],TblOutcomes[[#This Row],[BatchID]]))</f>
        <v>6209.9999999999991</v>
      </c>
      <c r="Q3289" s="51">
        <f>IF(COUNTIF(TblPurchases[BatchID],TblOutcomes[[#This Row],[BatchID]])&lt;&gt;1,"n.a.",SUMIFS(TblPurchases[Purchase Date],TblPurchases[BatchID],TblOutcomes[[#This Row],[BatchID]]))</f>
        <v>45151</v>
      </c>
    </row>
    <row r="3290" spans="2:17" x14ac:dyDescent="0.25">
      <c r="B3290" s="2" t="s">
        <v>4095</v>
      </c>
      <c r="C3290" s="2" t="s">
        <v>350</v>
      </c>
      <c r="D3290" s="2" t="s">
        <v>341</v>
      </c>
      <c r="E3290" s="2" t="s">
        <v>4647</v>
      </c>
      <c r="F3290" s="2">
        <v>33</v>
      </c>
      <c r="G3290" s="2">
        <v>33</v>
      </c>
      <c r="H3290" s="2">
        <v>0</v>
      </c>
      <c r="I3290" s="1">
        <v>0</v>
      </c>
      <c r="J3290" s="26">
        <v>45217</v>
      </c>
      <c r="K3290" s="22">
        <v>214500</v>
      </c>
      <c r="L3290" s="18">
        <v>229.41</v>
      </c>
      <c r="M3290" s="22">
        <v>148500</v>
      </c>
      <c r="N3290" s="22">
        <v>66000</v>
      </c>
      <c r="O3290" s="18">
        <v>70.59</v>
      </c>
      <c r="P3290" s="52">
        <f>IF(COUNTIF(TblPurchases[BatchID],TblOutcomes[[#This Row],[BatchID]])&lt;&gt;1,"n.a.",TblOutcomes[[#This Row],[Qty Wasted]]*SUMIFS(TblPurchases[Unit Cost (CLP)],TblPurchases[BatchID],TblOutcomes[[#This Row],[BatchID]]))</f>
        <v>0</v>
      </c>
      <c r="Q3290" s="51">
        <f>IF(COUNTIF(TblPurchases[BatchID],TblOutcomes[[#This Row],[BatchID]])&lt;&gt;1,"n.a.",SUMIFS(TblPurchases[Purchase Date],TblPurchases[BatchID],TblOutcomes[[#This Row],[BatchID]]))</f>
        <v>45189</v>
      </c>
    </row>
    <row r="3291" spans="2:17" x14ac:dyDescent="0.25">
      <c r="B3291" s="2" t="s">
        <v>4096</v>
      </c>
      <c r="C3291" s="2" t="s">
        <v>350</v>
      </c>
      <c r="D3291" s="2" t="s">
        <v>341</v>
      </c>
      <c r="E3291" s="2" t="s">
        <v>4647</v>
      </c>
      <c r="F3291" s="2">
        <v>9</v>
      </c>
      <c r="G3291" s="2">
        <v>9</v>
      </c>
      <c r="H3291" s="2">
        <v>0</v>
      </c>
      <c r="I3291" s="1">
        <v>0</v>
      </c>
      <c r="J3291" s="26">
        <v>45260</v>
      </c>
      <c r="K3291" s="22">
        <v>58500</v>
      </c>
      <c r="L3291" s="18">
        <v>62.57</v>
      </c>
      <c r="M3291" s="22">
        <v>40500</v>
      </c>
      <c r="N3291" s="22">
        <v>18000</v>
      </c>
      <c r="O3291" s="18">
        <v>19.25</v>
      </c>
      <c r="P3291" s="52">
        <f>IF(COUNTIF(TblPurchases[BatchID],TblOutcomes[[#This Row],[BatchID]])&lt;&gt;1,"n.a.",TblOutcomes[[#This Row],[Qty Wasted]]*SUMIFS(TblPurchases[Unit Cost (CLP)],TblPurchases[BatchID],TblOutcomes[[#This Row],[BatchID]]))</f>
        <v>0</v>
      </c>
      <c r="Q3291" s="51">
        <f>IF(COUNTIF(TblPurchases[BatchID],TblOutcomes[[#This Row],[BatchID]])&lt;&gt;1,"n.a.",SUMIFS(TblPurchases[Purchase Date],TblPurchases[BatchID],TblOutcomes[[#This Row],[BatchID]]))</f>
        <v>45228</v>
      </c>
    </row>
    <row r="3292" spans="2:17" x14ac:dyDescent="0.25">
      <c r="B3292" s="2" t="s">
        <v>4097</v>
      </c>
      <c r="C3292" s="2" t="s">
        <v>350</v>
      </c>
      <c r="D3292" s="2" t="s">
        <v>341</v>
      </c>
      <c r="E3292" s="2" t="s">
        <v>4647</v>
      </c>
      <c r="F3292" s="2">
        <v>11</v>
      </c>
      <c r="G3292" s="2">
        <v>11</v>
      </c>
      <c r="H3292" s="2">
        <v>0</v>
      </c>
      <c r="I3292" s="1">
        <v>0</v>
      </c>
      <c r="J3292" s="26">
        <v>45296</v>
      </c>
      <c r="K3292" s="22">
        <v>71500</v>
      </c>
      <c r="L3292" s="18">
        <v>76.47</v>
      </c>
      <c r="M3292" s="22">
        <v>49500</v>
      </c>
      <c r="N3292" s="22">
        <v>22000</v>
      </c>
      <c r="O3292" s="18">
        <v>23.53</v>
      </c>
      <c r="P3292" s="52">
        <f>IF(COUNTIF(TblPurchases[BatchID],TblOutcomes[[#This Row],[BatchID]])&lt;&gt;1,"n.a.",TblOutcomes[[#This Row],[Qty Wasted]]*SUMIFS(TblPurchases[Unit Cost (CLP)],TblPurchases[BatchID],TblOutcomes[[#This Row],[BatchID]]))</f>
        <v>0</v>
      </c>
      <c r="Q3292" s="51">
        <f>IF(COUNTIF(TblPurchases[BatchID],TblOutcomes[[#This Row],[BatchID]])&lt;&gt;1,"n.a.",SUMIFS(TblPurchases[Purchase Date],TblPurchases[BatchID],TblOutcomes[[#This Row],[BatchID]]))</f>
        <v>45265</v>
      </c>
    </row>
    <row r="3293" spans="2:17" x14ac:dyDescent="0.25">
      <c r="B3293" s="2" t="s">
        <v>4098</v>
      </c>
      <c r="C3293" s="2" t="s">
        <v>350</v>
      </c>
      <c r="D3293" s="2" t="s">
        <v>341</v>
      </c>
      <c r="E3293" s="2" t="s">
        <v>4646</v>
      </c>
      <c r="F3293" s="2">
        <v>10</v>
      </c>
      <c r="G3293" s="2">
        <v>8.9600000000000009</v>
      </c>
      <c r="H3293" s="2">
        <v>1.04</v>
      </c>
      <c r="I3293" s="1">
        <v>10.4</v>
      </c>
      <c r="J3293" s="26">
        <v>45607</v>
      </c>
      <c r="K3293" s="22">
        <v>58240</v>
      </c>
      <c r="L3293" s="18">
        <v>62.29</v>
      </c>
      <c r="M3293" s="22">
        <v>45000</v>
      </c>
      <c r="N3293" s="22">
        <v>13240</v>
      </c>
      <c r="O3293" s="18">
        <v>14.16</v>
      </c>
      <c r="P3293" s="52">
        <f>IF(COUNTIF(TblPurchases[BatchID],TblOutcomes[[#This Row],[BatchID]])&lt;&gt;1,"n.a.",TblOutcomes[[#This Row],[Qty Wasted]]*SUMIFS(TblPurchases[Unit Cost (CLP)],TblPurchases[BatchID],TblOutcomes[[#This Row],[BatchID]]))</f>
        <v>4680</v>
      </c>
      <c r="Q3293" s="51">
        <f>IF(COUNTIF(TblPurchases[BatchID],TblOutcomes[[#This Row],[BatchID]])&lt;&gt;1,"n.a.",SUMIFS(TblPurchases[Purchase Date],TblPurchases[BatchID],TblOutcomes[[#This Row],[BatchID]]))</f>
        <v>45307</v>
      </c>
    </row>
    <row r="3294" spans="2:17" x14ac:dyDescent="0.25">
      <c r="B3294" s="2" t="s">
        <v>4099</v>
      </c>
      <c r="C3294" s="2" t="s">
        <v>350</v>
      </c>
      <c r="D3294" s="2" t="s">
        <v>341</v>
      </c>
      <c r="E3294" s="2" t="s">
        <v>4646</v>
      </c>
      <c r="F3294" s="2">
        <v>8</v>
      </c>
      <c r="G3294" s="2">
        <v>7.74</v>
      </c>
      <c r="H3294" s="2">
        <v>0.26</v>
      </c>
      <c r="I3294" s="1">
        <v>3.3</v>
      </c>
      <c r="J3294" s="26">
        <v>45640</v>
      </c>
      <c r="K3294" s="22">
        <v>50310</v>
      </c>
      <c r="L3294" s="18">
        <v>53.81</v>
      </c>
      <c r="M3294" s="22">
        <v>36000</v>
      </c>
      <c r="N3294" s="22">
        <v>14310</v>
      </c>
      <c r="O3294" s="18">
        <v>15.3</v>
      </c>
      <c r="P3294" s="52">
        <f>IF(COUNTIF(TblPurchases[BatchID],TblOutcomes[[#This Row],[BatchID]])&lt;&gt;1,"n.a.",TblOutcomes[[#This Row],[Qty Wasted]]*SUMIFS(TblPurchases[Unit Cost (CLP)],TblPurchases[BatchID],TblOutcomes[[#This Row],[BatchID]]))</f>
        <v>1170</v>
      </c>
      <c r="Q3294" s="51">
        <f>IF(COUNTIF(TblPurchases[BatchID],TblOutcomes[[#This Row],[BatchID]])&lt;&gt;1,"n.a.",SUMIFS(TblPurchases[Purchase Date],TblPurchases[BatchID],TblOutcomes[[#This Row],[BatchID]]))</f>
        <v>45340</v>
      </c>
    </row>
    <row r="3295" spans="2:17" x14ac:dyDescent="0.25">
      <c r="B3295" s="2" t="s">
        <v>4100</v>
      </c>
      <c r="C3295" s="2" t="s">
        <v>350</v>
      </c>
      <c r="D3295" s="2" t="s">
        <v>341</v>
      </c>
      <c r="E3295" s="2" t="s">
        <v>4647</v>
      </c>
      <c r="F3295" s="2">
        <v>9</v>
      </c>
      <c r="G3295" s="2">
        <v>9</v>
      </c>
      <c r="H3295" s="2">
        <v>0</v>
      </c>
      <c r="I3295" s="1">
        <v>0</v>
      </c>
      <c r="J3295" s="26">
        <v>45402</v>
      </c>
      <c r="K3295" s="22">
        <v>58500</v>
      </c>
      <c r="L3295" s="18">
        <v>62.57</v>
      </c>
      <c r="M3295" s="22">
        <v>40500</v>
      </c>
      <c r="N3295" s="22">
        <v>18000</v>
      </c>
      <c r="O3295" s="18">
        <v>19.25</v>
      </c>
      <c r="P3295" s="52">
        <f>IF(COUNTIF(TblPurchases[BatchID],TblOutcomes[[#This Row],[BatchID]])&lt;&gt;1,"n.a.",TblOutcomes[[#This Row],[Qty Wasted]]*SUMIFS(TblPurchases[Unit Cost (CLP)],TblPurchases[BatchID],TblOutcomes[[#This Row],[BatchID]]))</f>
        <v>0</v>
      </c>
      <c r="Q3295" s="51">
        <f>IF(COUNTIF(TblPurchases[BatchID],TblOutcomes[[#This Row],[BatchID]])&lt;&gt;1,"n.a.",SUMIFS(TblPurchases[Purchase Date],TblPurchases[BatchID],TblOutcomes[[#This Row],[BatchID]]))</f>
        <v>45369</v>
      </c>
    </row>
    <row r="3296" spans="2:17" x14ac:dyDescent="0.25">
      <c r="B3296" s="2" t="s">
        <v>4101</v>
      </c>
      <c r="C3296" s="2" t="s">
        <v>350</v>
      </c>
      <c r="D3296" s="2" t="s">
        <v>341</v>
      </c>
      <c r="E3296" s="2" t="s">
        <v>4646</v>
      </c>
      <c r="F3296" s="2">
        <v>24</v>
      </c>
      <c r="G3296" s="2">
        <v>22.97</v>
      </c>
      <c r="H3296" s="2">
        <v>1.03</v>
      </c>
      <c r="I3296" s="1">
        <v>4.3</v>
      </c>
      <c r="J3296" s="26">
        <v>45694</v>
      </c>
      <c r="K3296" s="22">
        <v>149305</v>
      </c>
      <c r="L3296" s="18">
        <v>159.68</v>
      </c>
      <c r="M3296" s="22">
        <v>118800</v>
      </c>
      <c r="N3296" s="22">
        <v>30505</v>
      </c>
      <c r="O3296" s="18">
        <v>32.630000000000003</v>
      </c>
      <c r="P3296" s="52">
        <f>IF(COUNTIF(TblPurchases[BatchID],TblOutcomes[[#This Row],[BatchID]])&lt;&gt;1,"n.a.",TblOutcomes[[#This Row],[Qty Wasted]]*SUMIFS(TblPurchases[Unit Cost (CLP)],TblPurchases[BatchID],TblOutcomes[[#This Row],[BatchID]]))</f>
        <v>5098.5</v>
      </c>
      <c r="Q3296" s="51">
        <f>IF(COUNTIF(TblPurchases[BatchID],TblOutcomes[[#This Row],[BatchID]])&lt;&gt;1,"n.a.",SUMIFS(TblPurchases[Purchase Date],TblPurchases[BatchID],TblOutcomes[[#This Row],[BatchID]]))</f>
        <v>45394</v>
      </c>
    </row>
    <row r="3297" spans="2:17" x14ac:dyDescent="0.25">
      <c r="B3297" s="2" t="s">
        <v>4102</v>
      </c>
      <c r="C3297" s="2" t="s">
        <v>350</v>
      </c>
      <c r="D3297" s="2" t="s">
        <v>341</v>
      </c>
      <c r="E3297" s="2" t="s">
        <v>4646</v>
      </c>
      <c r="F3297" s="2">
        <v>21</v>
      </c>
      <c r="G3297" s="2">
        <v>19.59</v>
      </c>
      <c r="H3297" s="2">
        <v>1.41</v>
      </c>
      <c r="I3297" s="1">
        <v>6.7</v>
      </c>
      <c r="J3297" s="26">
        <v>45734</v>
      </c>
      <c r="K3297" s="22">
        <v>127335</v>
      </c>
      <c r="L3297" s="18">
        <v>136.19</v>
      </c>
      <c r="M3297" s="22">
        <v>94500</v>
      </c>
      <c r="N3297" s="22">
        <v>32835</v>
      </c>
      <c r="O3297" s="18">
        <v>35.119999999999997</v>
      </c>
      <c r="P3297" s="52">
        <f>IF(COUNTIF(TblPurchases[BatchID],TblOutcomes[[#This Row],[BatchID]])&lt;&gt;1,"n.a.",TblOutcomes[[#This Row],[Qty Wasted]]*SUMIFS(TblPurchases[Unit Cost (CLP)],TblPurchases[BatchID],TblOutcomes[[#This Row],[BatchID]]))</f>
        <v>6345</v>
      </c>
      <c r="Q3297" s="51">
        <f>IF(COUNTIF(TblPurchases[BatchID],TblOutcomes[[#This Row],[BatchID]])&lt;&gt;1,"n.a.",SUMIFS(TblPurchases[Purchase Date],TblPurchases[BatchID],TblOutcomes[[#This Row],[BatchID]]))</f>
        <v>45434</v>
      </c>
    </row>
    <row r="3298" spans="2:17" x14ac:dyDescent="0.25">
      <c r="B3298" s="2" t="s">
        <v>4103</v>
      </c>
      <c r="C3298" s="2" t="s">
        <v>350</v>
      </c>
      <c r="D3298" s="2" t="s">
        <v>341</v>
      </c>
      <c r="E3298" s="2" t="s">
        <v>4647</v>
      </c>
      <c r="F3298" s="2">
        <v>27</v>
      </c>
      <c r="G3298" s="2">
        <v>27</v>
      </c>
      <c r="H3298" s="2">
        <v>0</v>
      </c>
      <c r="I3298" s="1">
        <v>0</v>
      </c>
      <c r="J3298" s="26">
        <v>45508</v>
      </c>
      <c r="K3298" s="22">
        <v>175500</v>
      </c>
      <c r="L3298" s="18">
        <v>187.7</v>
      </c>
      <c r="M3298" s="22">
        <v>121500</v>
      </c>
      <c r="N3298" s="22">
        <v>54000</v>
      </c>
      <c r="O3298" s="18">
        <v>57.75</v>
      </c>
      <c r="P3298" s="52">
        <f>IF(COUNTIF(TblPurchases[BatchID],TblOutcomes[[#This Row],[BatchID]])&lt;&gt;1,"n.a.",TblOutcomes[[#This Row],[Qty Wasted]]*SUMIFS(TblPurchases[Unit Cost (CLP)],TblPurchases[BatchID],TblOutcomes[[#This Row],[BatchID]]))</f>
        <v>0</v>
      </c>
      <c r="Q3298" s="51">
        <f>IF(COUNTIF(TblPurchases[BatchID],TblOutcomes[[#This Row],[BatchID]])&lt;&gt;1,"n.a.",SUMIFS(TblPurchases[Purchase Date],TblPurchases[BatchID],TblOutcomes[[#This Row],[BatchID]]))</f>
        <v>45472</v>
      </c>
    </row>
    <row r="3299" spans="2:17" x14ac:dyDescent="0.25">
      <c r="B3299" s="2" t="s">
        <v>4104</v>
      </c>
      <c r="C3299" s="2" t="s">
        <v>350</v>
      </c>
      <c r="D3299" s="2" t="s">
        <v>341</v>
      </c>
      <c r="E3299" s="2" t="s">
        <v>4647</v>
      </c>
      <c r="F3299" s="2">
        <v>27</v>
      </c>
      <c r="G3299" s="2">
        <v>27</v>
      </c>
      <c r="H3299" s="2">
        <v>0</v>
      </c>
      <c r="I3299" s="1">
        <v>0</v>
      </c>
      <c r="J3299" s="26">
        <v>45520</v>
      </c>
      <c r="K3299" s="22">
        <v>175500</v>
      </c>
      <c r="L3299" s="18">
        <v>187.7</v>
      </c>
      <c r="M3299" s="22">
        <v>121500</v>
      </c>
      <c r="N3299" s="22">
        <v>54000</v>
      </c>
      <c r="O3299" s="18">
        <v>57.75</v>
      </c>
      <c r="P3299" s="52">
        <f>IF(COUNTIF(TblPurchases[BatchID],TblOutcomes[[#This Row],[BatchID]])&lt;&gt;1,"n.a.",TblOutcomes[[#This Row],[Qty Wasted]]*SUMIFS(TblPurchases[Unit Cost (CLP)],TblPurchases[BatchID],TblOutcomes[[#This Row],[BatchID]]))</f>
        <v>0</v>
      </c>
      <c r="Q3299" s="51">
        <f>IF(COUNTIF(TblPurchases[BatchID],TblOutcomes[[#This Row],[BatchID]])&lt;&gt;1,"n.a.",SUMIFS(TblPurchases[Purchase Date],TblPurchases[BatchID],TblOutcomes[[#This Row],[BatchID]]))</f>
        <v>45498</v>
      </c>
    </row>
    <row r="3300" spans="2:17" x14ac:dyDescent="0.25">
      <c r="B3300" s="2" t="s">
        <v>4105</v>
      </c>
      <c r="C3300" s="2" t="s">
        <v>350</v>
      </c>
      <c r="D3300" s="2" t="s">
        <v>341</v>
      </c>
      <c r="E3300" s="2" t="s">
        <v>4646</v>
      </c>
      <c r="F3300" s="2">
        <v>22</v>
      </c>
      <c r="G3300" s="2">
        <v>21.34</v>
      </c>
      <c r="H3300" s="2">
        <v>0.66</v>
      </c>
      <c r="I3300" s="1">
        <v>3</v>
      </c>
      <c r="J3300" s="26">
        <v>45826</v>
      </c>
      <c r="K3300" s="22">
        <v>138710</v>
      </c>
      <c r="L3300" s="18">
        <v>148.35</v>
      </c>
      <c r="M3300" s="22">
        <v>99000</v>
      </c>
      <c r="N3300" s="22">
        <v>39710</v>
      </c>
      <c r="O3300" s="18">
        <v>42.47</v>
      </c>
      <c r="P3300" s="52">
        <f>IF(COUNTIF(TblPurchases[BatchID],TblOutcomes[[#This Row],[BatchID]])&lt;&gt;1,"n.a.",TblOutcomes[[#This Row],[Qty Wasted]]*SUMIFS(TblPurchases[Unit Cost (CLP)],TblPurchases[BatchID],TblOutcomes[[#This Row],[BatchID]]))</f>
        <v>2970</v>
      </c>
      <c r="Q3300" s="51">
        <f>IF(COUNTIF(TblPurchases[BatchID],TblOutcomes[[#This Row],[BatchID]])&lt;&gt;1,"n.a.",SUMIFS(TblPurchases[Purchase Date],TblPurchases[BatchID],TblOutcomes[[#This Row],[BatchID]]))</f>
        <v>45526</v>
      </c>
    </row>
    <row r="3301" spans="2:17" x14ac:dyDescent="0.25">
      <c r="B3301" s="2" t="s">
        <v>4106</v>
      </c>
      <c r="C3301" s="2" t="s">
        <v>350</v>
      </c>
      <c r="D3301" s="2" t="s">
        <v>341</v>
      </c>
      <c r="E3301" s="2" t="s">
        <v>4647</v>
      </c>
      <c r="F3301" s="2">
        <v>33</v>
      </c>
      <c r="G3301" s="2">
        <v>33</v>
      </c>
      <c r="H3301" s="2">
        <v>0</v>
      </c>
      <c r="I3301" s="1">
        <v>0</v>
      </c>
      <c r="J3301" s="26">
        <v>45574</v>
      </c>
      <c r="K3301" s="22">
        <v>214500</v>
      </c>
      <c r="L3301" s="18">
        <v>229.41</v>
      </c>
      <c r="M3301" s="22">
        <v>163350</v>
      </c>
      <c r="N3301" s="22">
        <v>51150</v>
      </c>
      <c r="O3301" s="18">
        <v>54.71</v>
      </c>
      <c r="P3301" s="52">
        <f>IF(COUNTIF(TblPurchases[BatchID],TblOutcomes[[#This Row],[BatchID]])&lt;&gt;1,"n.a.",TblOutcomes[[#This Row],[Qty Wasted]]*SUMIFS(TblPurchases[Unit Cost (CLP)],TblPurchases[BatchID],TblOutcomes[[#This Row],[BatchID]]))</f>
        <v>0</v>
      </c>
      <c r="Q3301" s="51">
        <f>IF(COUNTIF(TblPurchases[BatchID],TblOutcomes[[#This Row],[BatchID]])&lt;&gt;1,"n.a.",SUMIFS(TblPurchases[Purchase Date],TblPurchases[BatchID],TblOutcomes[[#This Row],[BatchID]]))</f>
        <v>45558</v>
      </c>
    </row>
    <row r="3302" spans="2:17" x14ac:dyDescent="0.25">
      <c r="B3302" s="2" t="s">
        <v>4107</v>
      </c>
      <c r="C3302" s="2" t="s">
        <v>350</v>
      </c>
      <c r="D3302" s="2" t="s">
        <v>341</v>
      </c>
      <c r="E3302" s="2" t="s">
        <v>4646</v>
      </c>
      <c r="F3302" s="2">
        <v>10</v>
      </c>
      <c r="G3302" s="2">
        <v>9.5500000000000007</v>
      </c>
      <c r="H3302" s="2">
        <v>0.45</v>
      </c>
      <c r="I3302" s="1">
        <v>4.5</v>
      </c>
      <c r="J3302" s="26">
        <v>45895</v>
      </c>
      <c r="K3302" s="22">
        <v>62075</v>
      </c>
      <c r="L3302" s="18">
        <v>66.39</v>
      </c>
      <c r="M3302" s="22">
        <v>45000</v>
      </c>
      <c r="N3302" s="22">
        <v>17075</v>
      </c>
      <c r="O3302" s="18">
        <v>18.260000000000002</v>
      </c>
      <c r="P3302" s="52">
        <f>IF(COUNTIF(TblPurchases[BatchID],TblOutcomes[[#This Row],[BatchID]])&lt;&gt;1,"n.a.",TblOutcomes[[#This Row],[Qty Wasted]]*SUMIFS(TblPurchases[Unit Cost (CLP)],TblPurchases[BatchID],TblOutcomes[[#This Row],[BatchID]]))</f>
        <v>2025</v>
      </c>
      <c r="Q3302" s="51">
        <f>IF(COUNTIF(TblPurchases[BatchID],TblOutcomes[[#This Row],[BatchID]])&lt;&gt;1,"n.a.",SUMIFS(TblPurchases[Purchase Date],TblPurchases[BatchID],TblOutcomes[[#This Row],[BatchID]]))</f>
        <v>45595</v>
      </c>
    </row>
    <row r="3303" spans="2:17" x14ac:dyDescent="0.25">
      <c r="B3303" s="2" t="s">
        <v>4108</v>
      </c>
      <c r="C3303" s="2" t="s">
        <v>350</v>
      </c>
      <c r="D3303" s="2" t="s">
        <v>341</v>
      </c>
      <c r="E3303" s="2" t="s">
        <v>4647</v>
      </c>
      <c r="F3303" s="2">
        <v>12</v>
      </c>
      <c r="G3303" s="2">
        <v>12</v>
      </c>
      <c r="H3303" s="2">
        <v>0</v>
      </c>
      <c r="I3303" s="1">
        <v>0</v>
      </c>
      <c r="J3303" s="26">
        <v>45658</v>
      </c>
      <c r="K3303" s="22">
        <v>78000</v>
      </c>
      <c r="L3303" s="18">
        <v>83.42</v>
      </c>
      <c r="M3303" s="22">
        <v>54000</v>
      </c>
      <c r="N3303" s="22">
        <v>24000</v>
      </c>
      <c r="O3303" s="18">
        <v>25.67</v>
      </c>
      <c r="P3303" s="52">
        <f>IF(COUNTIF(TblPurchases[BatchID],TblOutcomes[[#This Row],[BatchID]])&lt;&gt;1,"n.a.",TblOutcomes[[#This Row],[Qty Wasted]]*SUMIFS(TblPurchases[Unit Cost (CLP)],TblPurchases[BatchID],TblOutcomes[[#This Row],[BatchID]]))</f>
        <v>0</v>
      </c>
      <c r="Q3303" s="51">
        <f>IF(COUNTIF(TblPurchases[BatchID],TblOutcomes[[#This Row],[BatchID]])&lt;&gt;1,"n.a.",SUMIFS(TblPurchases[Purchase Date],TblPurchases[BatchID],TblOutcomes[[#This Row],[BatchID]]))</f>
        <v>45628</v>
      </c>
    </row>
    <row r="3304" spans="2:17" x14ac:dyDescent="0.25">
      <c r="B3304" s="2" t="s">
        <v>4109</v>
      </c>
      <c r="C3304" s="2" t="s">
        <v>350</v>
      </c>
      <c r="D3304" s="2" t="s">
        <v>341</v>
      </c>
      <c r="E3304" s="2" t="s">
        <v>4647</v>
      </c>
      <c r="F3304" s="2">
        <v>10</v>
      </c>
      <c r="G3304" s="2">
        <v>10</v>
      </c>
      <c r="H3304" s="2">
        <v>0</v>
      </c>
      <c r="I3304" s="1">
        <v>0</v>
      </c>
      <c r="J3304" s="26">
        <v>45680</v>
      </c>
      <c r="K3304" s="22">
        <v>65000</v>
      </c>
      <c r="L3304" s="18">
        <v>69.52</v>
      </c>
      <c r="M3304" s="22">
        <v>45000</v>
      </c>
      <c r="N3304" s="22">
        <v>20000</v>
      </c>
      <c r="O3304" s="18">
        <v>21.39</v>
      </c>
      <c r="P3304" s="52">
        <f>IF(COUNTIF(TblPurchases[BatchID],TblOutcomes[[#This Row],[BatchID]])&lt;&gt;1,"n.a.",TblOutcomes[[#This Row],[Qty Wasted]]*SUMIFS(TblPurchases[Unit Cost (CLP)],TblPurchases[BatchID],TblOutcomes[[#This Row],[BatchID]]))</f>
        <v>0</v>
      </c>
      <c r="Q3304" s="51">
        <f>IF(COUNTIF(TblPurchases[BatchID],TblOutcomes[[#This Row],[BatchID]])&lt;&gt;1,"n.a.",SUMIFS(TblPurchases[Purchase Date],TblPurchases[BatchID],TblOutcomes[[#This Row],[BatchID]]))</f>
        <v>45661</v>
      </c>
    </row>
    <row r="3305" spans="2:17" x14ac:dyDescent="0.25">
      <c r="B3305" s="2" t="s">
        <v>4110</v>
      </c>
      <c r="C3305" s="2" t="s">
        <v>350</v>
      </c>
      <c r="D3305" s="2" t="s">
        <v>341</v>
      </c>
      <c r="E3305" s="2" t="s">
        <v>4647</v>
      </c>
      <c r="F3305" s="2">
        <v>10</v>
      </c>
      <c r="G3305" s="2">
        <v>10</v>
      </c>
      <c r="H3305" s="2">
        <v>0</v>
      </c>
      <c r="I3305" s="1">
        <v>0</v>
      </c>
      <c r="J3305" s="26">
        <v>45712</v>
      </c>
      <c r="K3305" s="22">
        <v>65000</v>
      </c>
      <c r="L3305" s="18">
        <v>69.52</v>
      </c>
      <c r="M3305" s="22">
        <v>49500</v>
      </c>
      <c r="N3305" s="22">
        <v>15500</v>
      </c>
      <c r="O3305" s="18">
        <v>16.579999999999998</v>
      </c>
      <c r="P3305" s="52">
        <f>IF(COUNTIF(TblPurchases[BatchID],TblOutcomes[[#This Row],[BatchID]])&lt;&gt;1,"n.a.",TblOutcomes[[#This Row],[Qty Wasted]]*SUMIFS(TblPurchases[Unit Cost (CLP)],TblPurchases[BatchID],TblOutcomes[[#This Row],[BatchID]]))</f>
        <v>0</v>
      </c>
      <c r="Q3305" s="51">
        <f>IF(COUNTIF(TblPurchases[BatchID],TblOutcomes[[#This Row],[BatchID]])&lt;&gt;1,"n.a.",SUMIFS(TblPurchases[Purchase Date],TblPurchases[BatchID],TblOutcomes[[#This Row],[BatchID]]))</f>
        <v>45693</v>
      </c>
    </row>
    <row r="3306" spans="2:17" x14ac:dyDescent="0.25">
      <c r="B3306" s="2" t="s">
        <v>4111</v>
      </c>
      <c r="C3306" s="2" t="s">
        <v>350</v>
      </c>
      <c r="D3306" s="2" t="s">
        <v>341</v>
      </c>
      <c r="E3306" s="2" t="s">
        <v>4647</v>
      </c>
      <c r="F3306" s="2">
        <v>10</v>
      </c>
      <c r="G3306" s="2">
        <v>10</v>
      </c>
      <c r="H3306" s="2">
        <v>0</v>
      </c>
      <c r="I3306" s="1">
        <v>0</v>
      </c>
      <c r="J3306" s="26">
        <v>45759</v>
      </c>
      <c r="K3306" s="22">
        <v>65000</v>
      </c>
      <c r="L3306" s="18">
        <v>69.52</v>
      </c>
      <c r="M3306" s="22">
        <v>49500</v>
      </c>
      <c r="N3306" s="22">
        <v>15500</v>
      </c>
      <c r="O3306" s="18">
        <v>16.579999999999998</v>
      </c>
      <c r="P3306" s="52">
        <f>IF(COUNTIF(TblPurchases[BatchID],TblOutcomes[[#This Row],[BatchID]])&lt;&gt;1,"n.a.",TblOutcomes[[#This Row],[Qty Wasted]]*SUMIFS(TblPurchases[Unit Cost (CLP)],TblPurchases[BatchID],TblOutcomes[[#This Row],[BatchID]]))</f>
        <v>0</v>
      </c>
      <c r="Q3306" s="51">
        <f>IF(COUNTIF(TblPurchases[BatchID],TblOutcomes[[#This Row],[BatchID]])&lt;&gt;1,"n.a.",SUMIFS(TblPurchases[Purchase Date],TblPurchases[BatchID],TblOutcomes[[#This Row],[BatchID]]))</f>
        <v>45736</v>
      </c>
    </row>
    <row r="3307" spans="2:17" x14ac:dyDescent="0.25">
      <c r="B3307" s="2" t="s">
        <v>4112</v>
      </c>
      <c r="C3307" s="2" t="s">
        <v>350</v>
      </c>
      <c r="D3307" s="2" t="s">
        <v>341</v>
      </c>
      <c r="E3307" s="2" t="s">
        <v>4647</v>
      </c>
      <c r="F3307" s="2">
        <v>26</v>
      </c>
      <c r="G3307" s="2">
        <v>26</v>
      </c>
      <c r="H3307" s="2">
        <v>0</v>
      </c>
      <c r="I3307" s="1">
        <v>0</v>
      </c>
      <c r="J3307" s="26">
        <v>45807</v>
      </c>
      <c r="K3307" s="22">
        <v>169000</v>
      </c>
      <c r="L3307" s="18">
        <v>180.75</v>
      </c>
      <c r="M3307" s="22">
        <v>117000</v>
      </c>
      <c r="N3307" s="22">
        <v>52000</v>
      </c>
      <c r="O3307" s="18">
        <v>55.61</v>
      </c>
      <c r="P3307" s="52">
        <f>IF(COUNTIF(TblPurchases[BatchID],TblOutcomes[[#This Row],[BatchID]])&lt;&gt;1,"n.a.",TblOutcomes[[#This Row],[Qty Wasted]]*SUMIFS(TblPurchases[Unit Cost (CLP)],TblPurchases[BatchID],TblOutcomes[[#This Row],[BatchID]]))</f>
        <v>0</v>
      </c>
      <c r="Q3307" s="51">
        <f>IF(COUNTIF(TblPurchases[BatchID],TblOutcomes[[#This Row],[BatchID]])&lt;&gt;1,"n.a.",SUMIFS(TblPurchases[Purchase Date],TblPurchases[BatchID],TblOutcomes[[#This Row],[BatchID]]))</f>
        <v>45769</v>
      </c>
    </row>
    <row r="3308" spans="2:17" x14ac:dyDescent="0.25">
      <c r="B3308" s="2" t="s">
        <v>4113</v>
      </c>
      <c r="C3308" s="2" t="s">
        <v>350</v>
      </c>
      <c r="D3308" s="2" t="s">
        <v>341</v>
      </c>
      <c r="E3308" s="2" t="s">
        <v>4647</v>
      </c>
      <c r="F3308" s="2">
        <v>28</v>
      </c>
      <c r="G3308" s="2">
        <v>28</v>
      </c>
      <c r="H3308" s="2">
        <v>0</v>
      </c>
      <c r="I3308" s="1">
        <v>0</v>
      </c>
      <c r="J3308" s="26">
        <v>45828</v>
      </c>
      <c r="K3308" s="22">
        <v>182000</v>
      </c>
      <c r="L3308" s="18">
        <v>194.65</v>
      </c>
      <c r="M3308" s="22">
        <v>126000</v>
      </c>
      <c r="N3308" s="22">
        <v>56000</v>
      </c>
      <c r="O3308" s="18">
        <v>59.89</v>
      </c>
      <c r="P3308" s="52">
        <f>IF(COUNTIF(TblPurchases[BatchID],TblOutcomes[[#This Row],[BatchID]])&lt;&gt;1,"n.a.",TblOutcomes[[#This Row],[Qty Wasted]]*SUMIFS(TblPurchases[Unit Cost (CLP)],TblPurchases[BatchID],TblOutcomes[[#This Row],[BatchID]]))</f>
        <v>0</v>
      </c>
      <c r="Q3308" s="51">
        <f>IF(COUNTIF(TblPurchases[BatchID],TblOutcomes[[#This Row],[BatchID]])&lt;&gt;1,"n.a.",SUMIFS(TblPurchases[Purchase Date],TblPurchases[BatchID],TblOutcomes[[#This Row],[BatchID]]))</f>
        <v>45805</v>
      </c>
    </row>
    <row r="3309" spans="2:17" x14ac:dyDescent="0.25">
      <c r="B3309" s="2" t="s">
        <v>4114</v>
      </c>
      <c r="C3309" s="2" t="s">
        <v>352</v>
      </c>
      <c r="D3309" s="2" t="s">
        <v>341</v>
      </c>
      <c r="E3309" s="2" t="s">
        <v>4647</v>
      </c>
      <c r="F3309" s="2">
        <v>23</v>
      </c>
      <c r="G3309" s="2">
        <v>23</v>
      </c>
      <c r="H3309" s="2">
        <v>0</v>
      </c>
      <c r="I3309" s="1">
        <v>0</v>
      </c>
      <c r="J3309" s="26">
        <v>45132</v>
      </c>
      <c r="K3309" s="22">
        <v>126500</v>
      </c>
      <c r="L3309" s="18">
        <v>135.29</v>
      </c>
      <c r="M3309" s="22">
        <v>96600</v>
      </c>
      <c r="N3309" s="22">
        <v>29900</v>
      </c>
      <c r="O3309" s="18">
        <v>31.98</v>
      </c>
      <c r="P3309" s="52">
        <f>IF(COUNTIF(TblPurchases[BatchID],TblOutcomes[[#This Row],[BatchID]])&lt;&gt;1,"n.a.",TblOutcomes[[#This Row],[Qty Wasted]]*SUMIFS(TblPurchases[Unit Cost (CLP)],TblPurchases[BatchID],TblOutcomes[[#This Row],[BatchID]]))</f>
        <v>0</v>
      </c>
      <c r="Q3309" s="51">
        <f>IF(COUNTIF(TblPurchases[BatchID],TblOutcomes[[#This Row],[BatchID]])&lt;&gt;1,"n.a.",SUMIFS(TblPurchases[Purchase Date],TblPurchases[BatchID],TblOutcomes[[#This Row],[BatchID]]))</f>
        <v>45110</v>
      </c>
    </row>
    <row r="3310" spans="2:17" x14ac:dyDescent="0.25">
      <c r="B3310" s="2" t="s">
        <v>4115</v>
      </c>
      <c r="C3310" s="2" t="s">
        <v>352</v>
      </c>
      <c r="D3310" s="2" t="s">
        <v>341</v>
      </c>
      <c r="E3310" s="2" t="s">
        <v>4646</v>
      </c>
      <c r="F3310" s="2">
        <v>22</v>
      </c>
      <c r="G3310" s="2">
        <v>21.65</v>
      </c>
      <c r="H3310" s="2">
        <v>0.35</v>
      </c>
      <c r="I3310" s="1">
        <v>1.6</v>
      </c>
      <c r="J3310" s="26">
        <v>45450</v>
      </c>
      <c r="K3310" s="22">
        <v>119075</v>
      </c>
      <c r="L3310" s="18">
        <v>127.35</v>
      </c>
      <c r="M3310" s="22">
        <v>84700</v>
      </c>
      <c r="N3310" s="22">
        <v>34375</v>
      </c>
      <c r="O3310" s="18">
        <v>36.76</v>
      </c>
      <c r="P3310" s="52">
        <f>IF(COUNTIF(TblPurchases[BatchID],TblOutcomes[[#This Row],[BatchID]])&lt;&gt;1,"n.a.",TblOutcomes[[#This Row],[Qty Wasted]]*SUMIFS(TblPurchases[Unit Cost (CLP)],TblPurchases[BatchID],TblOutcomes[[#This Row],[BatchID]]))</f>
        <v>1347.5</v>
      </c>
      <c r="Q3310" s="51">
        <f>IF(COUNTIF(TblPurchases[BatchID],TblOutcomes[[#This Row],[BatchID]])&lt;&gt;1,"n.a.",SUMIFS(TblPurchases[Purchase Date],TblPurchases[BatchID],TblOutcomes[[#This Row],[BatchID]]))</f>
        <v>45150</v>
      </c>
    </row>
    <row r="3311" spans="2:17" x14ac:dyDescent="0.25">
      <c r="B3311" s="2" t="s">
        <v>4116</v>
      </c>
      <c r="C3311" s="2" t="s">
        <v>352</v>
      </c>
      <c r="D3311" s="2" t="s">
        <v>341</v>
      </c>
      <c r="E3311" s="2" t="s">
        <v>4647</v>
      </c>
      <c r="F3311" s="2">
        <v>32</v>
      </c>
      <c r="G3311" s="2">
        <v>32</v>
      </c>
      <c r="H3311" s="2">
        <v>0</v>
      </c>
      <c r="I3311" s="1">
        <v>0</v>
      </c>
      <c r="J3311" s="26">
        <v>45204</v>
      </c>
      <c r="K3311" s="22">
        <v>176000</v>
      </c>
      <c r="L3311" s="18">
        <v>188.24</v>
      </c>
      <c r="M3311" s="22">
        <v>123200</v>
      </c>
      <c r="N3311" s="22">
        <v>52800</v>
      </c>
      <c r="O3311" s="18">
        <v>56.47</v>
      </c>
      <c r="P3311" s="52">
        <f>IF(COUNTIF(TblPurchases[BatchID],TblOutcomes[[#This Row],[BatchID]])&lt;&gt;1,"n.a.",TblOutcomes[[#This Row],[Qty Wasted]]*SUMIFS(TblPurchases[Unit Cost (CLP)],TblPurchases[BatchID],TblOutcomes[[#This Row],[BatchID]]))</f>
        <v>0</v>
      </c>
      <c r="Q3311" s="51">
        <f>IF(COUNTIF(TblPurchases[BatchID],TblOutcomes[[#This Row],[BatchID]])&lt;&gt;1,"n.a.",SUMIFS(TblPurchases[Purchase Date],TblPurchases[BatchID],TblOutcomes[[#This Row],[BatchID]]))</f>
        <v>45187</v>
      </c>
    </row>
    <row r="3312" spans="2:17" x14ac:dyDescent="0.25">
      <c r="B3312" s="2" t="s">
        <v>4117</v>
      </c>
      <c r="C3312" s="2" t="s">
        <v>352</v>
      </c>
      <c r="D3312" s="2" t="s">
        <v>341</v>
      </c>
      <c r="E3312" s="2" t="s">
        <v>4647</v>
      </c>
      <c r="F3312" s="2">
        <v>10</v>
      </c>
      <c r="G3312" s="2">
        <v>10</v>
      </c>
      <c r="H3312" s="2">
        <v>0</v>
      </c>
      <c r="I3312" s="1">
        <v>0</v>
      </c>
      <c r="J3312" s="26">
        <v>45262</v>
      </c>
      <c r="K3312" s="22">
        <v>55000</v>
      </c>
      <c r="L3312" s="18">
        <v>58.82</v>
      </c>
      <c r="M3312" s="22">
        <v>38500</v>
      </c>
      <c r="N3312" s="22">
        <v>16500</v>
      </c>
      <c r="O3312" s="18">
        <v>17.649999999999999</v>
      </c>
      <c r="P3312" s="52">
        <f>IF(COUNTIF(TblPurchases[BatchID],TblOutcomes[[#This Row],[BatchID]])&lt;&gt;1,"n.a.",TblOutcomes[[#This Row],[Qty Wasted]]*SUMIFS(TblPurchases[Unit Cost (CLP)],TblPurchases[BatchID],TblOutcomes[[#This Row],[BatchID]]))</f>
        <v>0</v>
      </c>
      <c r="Q3312" s="51">
        <f>IF(COUNTIF(TblPurchases[BatchID],TblOutcomes[[#This Row],[BatchID]])&lt;&gt;1,"n.a.",SUMIFS(TblPurchases[Purchase Date],TblPurchases[BatchID],TblOutcomes[[#This Row],[BatchID]]))</f>
        <v>45229</v>
      </c>
    </row>
    <row r="3313" spans="2:17" x14ac:dyDescent="0.25">
      <c r="B3313" s="2" t="s">
        <v>4118</v>
      </c>
      <c r="C3313" s="2" t="s">
        <v>352</v>
      </c>
      <c r="D3313" s="2" t="s">
        <v>341</v>
      </c>
      <c r="E3313" s="2" t="s">
        <v>4646</v>
      </c>
      <c r="F3313" s="2">
        <v>8</v>
      </c>
      <c r="G3313" s="2">
        <v>7.66</v>
      </c>
      <c r="H3313" s="2">
        <v>0.34</v>
      </c>
      <c r="I3313" s="1">
        <v>4.3</v>
      </c>
      <c r="J3313" s="26">
        <v>45559</v>
      </c>
      <c r="K3313" s="22">
        <v>42130</v>
      </c>
      <c r="L3313" s="18">
        <v>45.06</v>
      </c>
      <c r="M3313" s="22">
        <v>30800</v>
      </c>
      <c r="N3313" s="22">
        <v>11330</v>
      </c>
      <c r="O3313" s="18">
        <v>12.12</v>
      </c>
      <c r="P3313" s="52">
        <f>IF(COUNTIF(TblPurchases[BatchID],TblOutcomes[[#This Row],[BatchID]])&lt;&gt;1,"n.a.",TblOutcomes[[#This Row],[Qty Wasted]]*SUMIFS(TblPurchases[Unit Cost (CLP)],TblPurchases[BatchID],TblOutcomes[[#This Row],[BatchID]]))</f>
        <v>1309</v>
      </c>
      <c r="Q3313" s="51">
        <f>IF(COUNTIF(TblPurchases[BatchID],TblOutcomes[[#This Row],[BatchID]])&lt;&gt;1,"n.a.",SUMIFS(TblPurchases[Purchase Date],TblPurchases[BatchID],TblOutcomes[[#This Row],[BatchID]]))</f>
        <v>45259</v>
      </c>
    </row>
    <row r="3314" spans="2:17" x14ac:dyDescent="0.25">
      <c r="B3314" s="2" t="s">
        <v>4119</v>
      </c>
      <c r="C3314" s="2" t="s">
        <v>352</v>
      </c>
      <c r="D3314" s="2" t="s">
        <v>341</v>
      </c>
      <c r="E3314" s="2" t="s">
        <v>4647</v>
      </c>
      <c r="F3314" s="2">
        <v>9</v>
      </c>
      <c r="G3314" s="2">
        <v>9</v>
      </c>
      <c r="H3314" s="2">
        <v>0</v>
      </c>
      <c r="I3314" s="1">
        <v>0</v>
      </c>
      <c r="J3314" s="26">
        <v>45323</v>
      </c>
      <c r="K3314" s="22">
        <v>49500</v>
      </c>
      <c r="L3314" s="18">
        <v>52.94</v>
      </c>
      <c r="M3314" s="22">
        <v>34650</v>
      </c>
      <c r="N3314" s="22">
        <v>14850</v>
      </c>
      <c r="O3314" s="18">
        <v>15.88</v>
      </c>
      <c r="P3314" s="52">
        <f>IF(COUNTIF(TblPurchases[BatchID],TblOutcomes[[#This Row],[BatchID]])&lt;&gt;1,"n.a.",TblOutcomes[[#This Row],[Qty Wasted]]*SUMIFS(TblPurchases[Unit Cost (CLP)],TblPurchases[BatchID],TblOutcomes[[#This Row],[BatchID]]))</f>
        <v>0</v>
      </c>
      <c r="Q3314" s="51">
        <f>IF(COUNTIF(TblPurchases[BatchID],TblOutcomes[[#This Row],[BatchID]])&lt;&gt;1,"n.a.",SUMIFS(TblPurchases[Purchase Date],TblPurchases[BatchID],TblOutcomes[[#This Row],[BatchID]]))</f>
        <v>45295</v>
      </c>
    </row>
    <row r="3315" spans="2:17" x14ac:dyDescent="0.25">
      <c r="B3315" s="2" t="s">
        <v>4120</v>
      </c>
      <c r="C3315" s="2" t="s">
        <v>352</v>
      </c>
      <c r="D3315" s="2" t="s">
        <v>341</v>
      </c>
      <c r="E3315" s="2" t="s">
        <v>4646</v>
      </c>
      <c r="F3315" s="2">
        <v>10</v>
      </c>
      <c r="G3315" s="2">
        <v>9.49</v>
      </c>
      <c r="H3315" s="2">
        <v>0.51</v>
      </c>
      <c r="I3315" s="1">
        <v>5.0999999999999996</v>
      </c>
      <c r="J3315" s="26">
        <v>45641</v>
      </c>
      <c r="K3315" s="22">
        <v>52195</v>
      </c>
      <c r="L3315" s="18">
        <v>55.82</v>
      </c>
      <c r="M3315" s="22">
        <v>38500</v>
      </c>
      <c r="N3315" s="22">
        <v>13695</v>
      </c>
      <c r="O3315" s="18">
        <v>14.65</v>
      </c>
      <c r="P3315" s="52">
        <f>IF(COUNTIF(TblPurchases[BatchID],TblOutcomes[[#This Row],[BatchID]])&lt;&gt;1,"n.a.",TblOutcomes[[#This Row],[Qty Wasted]]*SUMIFS(TblPurchases[Unit Cost (CLP)],TblPurchases[BatchID],TblOutcomes[[#This Row],[BatchID]]))</f>
        <v>1963.5</v>
      </c>
      <c r="Q3315" s="51">
        <f>IF(COUNTIF(TblPurchases[BatchID],TblOutcomes[[#This Row],[BatchID]])&lt;&gt;1,"n.a.",SUMIFS(TblPurchases[Purchase Date],TblPurchases[BatchID],TblOutcomes[[#This Row],[BatchID]]))</f>
        <v>45341</v>
      </c>
    </row>
    <row r="3316" spans="2:17" x14ac:dyDescent="0.25">
      <c r="B3316" s="2" t="s">
        <v>4121</v>
      </c>
      <c r="C3316" s="2" t="s">
        <v>352</v>
      </c>
      <c r="D3316" s="2" t="s">
        <v>341</v>
      </c>
      <c r="E3316" s="2" t="s">
        <v>4646</v>
      </c>
      <c r="F3316" s="2">
        <v>10</v>
      </c>
      <c r="G3316" s="2">
        <v>9.09</v>
      </c>
      <c r="H3316" s="2">
        <v>0.91</v>
      </c>
      <c r="I3316" s="1">
        <v>9.1</v>
      </c>
      <c r="J3316" s="26">
        <v>45666</v>
      </c>
      <c r="K3316" s="22">
        <v>49995</v>
      </c>
      <c r="L3316" s="18">
        <v>53.47</v>
      </c>
      <c r="M3316" s="22">
        <v>38500</v>
      </c>
      <c r="N3316" s="22">
        <v>11495</v>
      </c>
      <c r="O3316" s="18">
        <v>12.29</v>
      </c>
      <c r="P3316" s="52">
        <f>IF(COUNTIF(TblPurchases[BatchID],TblOutcomes[[#This Row],[BatchID]])&lt;&gt;1,"n.a.",TblOutcomes[[#This Row],[Qty Wasted]]*SUMIFS(TblPurchases[Unit Cost (CLP)],TblPurchases[BatchID],TblOutcomes[[#This Row],[BatchID]]))</f>
        <v>3503.5</v>
      </c>
      <c r="Q3316" s="51">
        <f>IF(COUNTIF(TblPurchases[BatchID],TblOutcomes[[#This Row],[BatchID]])&lt;&gt;1,"n.a.",SUMIFS(TblPurchases[Purchase Date],TblPurchases[BatchID],TblOutcomes[[#This Row],[BatchID]]))</f>
        <v>45366</v>
      </c>
    </row>
    <row r="3317" spans="2:17" x14ac:dyDescent="0.25">
      <c r="B3317" s="2" t="s">
        <v>4122</v>
      </c>
      <c r="C3317" s="2" t="s">
        <v>352</v>
      </c>
      <c r="D3317" s="2" t="s">
        <v>341</v>
      </c>
      <c r="E3317" s="2" t="s">
        <v>4647</v>
      </c>
      <c r="F3317" s="2">
        <v>25</v>
      </c>
      <c r="G3317" s="2">
        <v>25</v>
      </c>
      <c r="H3317" s="2">
        <v>0</v>
      </c>
      <c r="I3317" s="1">
        <v>0</v>
      </c>
      <c r="J3317" s="26">
        <v>45432</v>
      </c>
      <c r="K3317" s="22">
        <v>137500</v>
      </c>
      <c r="L3317" s="18">
        <v>147.06</v>
      </c>
      <c r="M3317" s="22">
        <v>96250</v>
      </c>
      <c r="N3317" s="22">
        <v>41250</v>
      </c>
      <c r="O3317" s="18">
        <v>44.12</v>
      </c>
      <c r="P3317" s="52">
        <f>IF(COUNTIF(TblPurchases[BatchID],TblOutcomes[[#This Row],[BatchID]])&lt;&gt;1,"n.a.",TblOutcomes[[#This Row],[Qty Wasted]]*SUMIFS(TblPurchases[Unit Cost (CLP)],TblPurchases[BatchID],TblOutcomes[[#This Row],[BatchID]]))</f>
        <v>0</v>
      </c>
      <c r="Q3317" s="51">
        <f>IF(COUNTIF(TblPurchases[BatchID],TblOutcomes[[#This Row],[BatchID]])&lt;&gt;1,"n.a.",SUMIFS(TblPurchases[Purchase Date],TblPurchases[BatchID],TblOutcomes[[#This Row],[BatchID]]))</f>
        <v>45405</v>
      </c>
    </row>
    <row r="3318" spans="2:17" x14ac:dyDescent="0.25">
      <c r="B3318" s="2" t="s">
        <v>4123</v>
      </c>
      <c r="C3318" s="2" t="s">
        <v>352</v>
      </c>
      <c r="D3318" s="2" t="s">
        <v>341</v>
      </c>
      <c r="E3318" s="2" t="s">
        <v>4646</v>
      </c>
      <c r="F3318" s="2">
        <v>25</v>
      </c>
      <c r="G3318" s="2">
        <v>24.22</v>
      </c>
      <c r="H3318" s="2">
        <v>0.78</v>
      </c>
      <c r="I3318" s="1">
        <v>3.1</v>
      </c>
      <c r="J3318" s="26">
        <v>45737</v>
      </c>
      <c r="K3318" s="22">
        <v>133210</v>
      </c>
      <c r="L3318" s="18">
        <v>142.47</v>
      </c>
      <c r="M3318" s="22">
        <v>96250</v>
      </c>
      <c r="N3318" s="22">
        <v>36960</v>
      </c>
      <c r="O3318" s="18">
        <v>39.53</v>
      </c>
      <c r="P3318" s="52">
        <f>IF(COUNTIF(TblPurchases[BatchID],TblOutcomes[[#This Row],[BatchID]])&lt;&gt;1,"n.a.",TblOutcomes[[#This Row],[Qty Wasted]]*SUMIFS(TblPurchases[Unit Cost (CLP)],TblPurchases[BatchID],TblOutcomes[[#This Row],[BatchID]]))</f>
        <v>3003</v>
      </c>
      <c r="Q3318" s="51">
        <f>IF(COUNTIF(TblPurchases[BatchID],TblOutcomes[[#This Row],[BatchID]])&lt;&gt;1,"n.a.",SUMIFS(TblPurchases[Purchase Date],TblPurchases[BatchID],TblOutcomes[[#This Row],[BatchID]]))</f>
        <v>45437</v>
      </c>
    </row>
    <row r="3319" spans="2:17" x14ac:dyDescent="0.25">
      <c r="B3319" s="2" t="s">
        <v>4124</v>
      </c>
      <c r="C3319" s="2" t="s">
        <v>352</v>
      </c>
      <c r="D3319" s="2" t="s">
        <v>341</v>
      </c>
      <c r="E3319" s="2" t="s">
        <v>4647</v>
      </c>
      <c r="F3319" s="2">
        <v>27</v>
      </c>
      <c r="G3319" s="2">
        <v>27</v>
      </c>
      <c r="H3319" s="2">
        <v>0</v>
      </c>
      <c r="I3319" s="1">
        <v>0</v>
      </c>
      <c r="J3319" s="26">
        <v>45495</v>
      </c>
      <c r="K3319" s="22">
        <v>148500</v>
      </c>
      <c r="L3319" s="18">
        <v>158.82</v>
      </c>
      <c r="M3319" s="22">
        <v>103950</v>
      </c>
      <c r="N3319" s="22">
        <v>44550</v>
      </c>
      <c r="O3319" s="18">
        <v>47.65</v>
      </c>
      <c r="P3319" s="52">
        <f>IF(COUNTIF(TblPurchases[BatchID],TblOutcomes[[#This Row],[BatchID]])&lt;&gt;1,"n.a.",TblOutcomes[[#This Row],[Qty Wasted]]*SUMIFS(TblPurchases[Unit Cost (CLP)],TblPurchases[BatchID],TblOutcomes[[#This Row],[BatchID]]))</f>
        <v>0</v>
      </c>
      <c r="Q3319" s="51">
        <f>IF(COUNTIF(TblPurchases[BatchID],TblOutcomes[[#This Row],[BatchID]])&lt;&gt;1,"n.a.",SUMIFS(TblPurchases[Purchase Date],TblPurchases[BatchID],TblOutcomes[[#This Row],[BatchID]]))</f>
        <v>45460</v>
      </c>
    </row>
    <row r="3320" spans="2:17" x14ac:dyDescent="0.25">
      <c r="B3320" s="2" t="s">
        <v>4125</v>
      </c>
      <c r="C3320" s="2" t="s">
        <v>352</v>
      </c>
      <c r="D3320" s="2" t="s">
        <v>341</v>
      </c>
      <c r="E3320" s="2" t="s">
        <v>4646</v>
      </c>
      <c r="F3320" s="2">
        <v>27</v>
      </c>
      <c r="G3320" s="2">
        <v>24.44</v>
      </c>
      <c r="H3320" s="2">
        <v>2.56</v>
      </c>
      <c r="I3320" s="1">
        <v>9.5</v>
      </c>
      <c r="J3320" s="26">
        <v>45800</v>
      </c>
      <c r="K3320" s="22">
        <v>134420</v>
      </c>
      <c r="L3320" s="18">
        <v>143.76</v>
      </c>
      <c r="M3320" s="22">
        <v>103950</v>
      </c>
      <c r="N3320" s="22">
        <v>30470</v>
      </c>
      <c r="O3320" s="18">
        <v>32.590000000000003</v>
      </c>
      <c r="P3320" s="52">
        <f>IF(COUNTIF(TblPurchases[BatchID],TblOutcomes[[#This Row],[BatchID]])&lt;&gt;1,"n.a.",TblOutcomes[[#This Row],[Qty Wasted]]*SUMIFS(TblPurchases[Unit Cost (CLP)],TblPurchases[BatchID],TblOutcomes[[#This Row],[BatchID]]))</f>
        <v>9856</v>
      </c>
      <c r="Q3320" s="51">
        <f>IF(COUNTIF(TblPurchases[BatchID],TblOutcomes[[#This Row],[BatchID]])&lt;&gt;1,"n.a.",SUMIFS(TblPurchases[Purchase Date],TblPurchases[BatchID],TblOutcomes[[#This Row],[BatchID]]))</f>
        <v>45500</v>
      </c>
    </row>
    <row r="3321" spans="2:17" x14ac:dyDescent="0.25">
      <c r="B3321" s="2" t="s">
        <v>4126</v>
      </c>
      <c r="C3321" s="2" t="s">
        <v>352</v>
      </c>
      <c r="D3321" s="2" t="s">
        <v>341</v>
      </c>
      <c r="E3321" s="2" t="s">
        <v>4647</v>
      </c>
      <c r="F3321" s="2">
        <v>29</v>
      </c>
      <c r="G3321" s="2">
        <v>29</v>
      </c>
      <c r="H3321" s="2">
        <v>0</v>
      </c>
      <c r="I3321" s="1">
        <v>0</v>
      </c>
      <c r="J3321" s="26">
        <v>45579</v>
      </c>
      <c r="K3321" s="22">
        <v>159500</v>
      </c>
      <c r="L3321" s="18">
        <v>170.59</v>
      </c>
      <c r="M3321" s="22">
        <v>111650</v>
      </c>
      <c r="N3321" s="22">
        <v>47850</v>
      </c>
      <c r="O3321" s="18">
        <v>51.18</v>
      </c>
      <c r="P3321" s="52">
        <f>IF(COUNTIF(TblPurchases[BatchID],TblOutcomes[[#This Row],[BatchID]])&lt;&gt;1,"n.a.",TblOutcomes[[#This Row],[Qty Wasted]]*SUMIFS(TblPurchases[Unit Cost (CLP)],TblPurchases[BatchID],TblOutcomes[[#This Row],[BatchID]]))</f>
        <v>0</v>
      </c>
      <c r="Q3321" s="51">
        <f>IF(COUNTIF(TblPurchases[BatchID],TblOutcomes[[#This Row],[BatchID]])&lt;&gt;1,"n.a.",SUMIFS(TblPurchases[Purchase Date],TblPurchases[BatchID],TblOutcomes[[#This Row],[BatchID]]))</f>
        <v>45543</v>
      </c>
    </row>
    <row r="3322" spans="2:17" x14ac:dyDescent="0.25">
      <c r="B3322" s="2" t="s">
        <v>4127</v>
      </c>
      <c r="C3322" s="2" t="s">
        <v>352</v>
      </c>
      <c r="D3322" s="2" t="s">
        <v>341</v>
      </c>
      <c r="E3322" s="2" t="s">
        <v>4646</v>
      </c>
      <c r="F3322" s="2">
        <v>9</v>
      </c>
      <c r="G3322" s="2">
        <v>8.51</v>
      </c>
      <c r="H3322" s="2">
        <v>0.49</v>
      </c>
      <c r="I3322" s="1">
        <v>5.4</v>
      </c>
      <c r="J3322" s="26">
        <v>45877</v>
      </c>
      <c r="K3322" s="22">
        <v>46805</v>
      </c>
      <c r="L3322" s="18">
        <v>50.06</v>
      </c>
      <c r="M3322" s="22">
        <v>34650</v>
      </c>
      <c r="N3322" s="22">
        <v>12155</v>
      </c>
      <c r="O3322" s="18">
        <v>13</v>
      </c>
      <c r="P3322" s="52">
        <f>IF(COUNTIF(TblPurchases[BatchID],TblOutcomes[[#This Row],[BatchID]])&lt;&gt;1,"n.a.",TblOutcomes[[#This Row],[Qty Wasted]]*SUMIFS(TblPurchases[Unit Cost (CLP)],TblPurchases[BatchID],TblOutcomes[[#This Row],[BatchID]]))</f>
        <v>1886.5</v>
      </c>
      <c r="Q3322" s="51">
        <f>IF(COUNTIF(TblPurchases[BatchID],TblOutcomes[[#This Row],[BatchID]])&lt;&gt;1,"n.a.",SUMIFS(TblPurchases[Purchase Date],TblPurchases[BatchID],TblOutcomes[[#This Row],[BatchID]]))</f>
        <v>45577</v>
      </c>
    </row>
    <row r="3323" spans="2:17" x14ac:dyDescent="0.25">
      <c r="B3323" s="2" t="s">
        <v>4128</v>
      </c>
      <c r="C3323" s="2" t="s">
        <v>352</v>
      </c>
      <c r="D3323" s="2" t="s">
        <v>341</v>
      </c>
      <c r="E3323" s="2" t="s">
        <v>4647</v>
      </c>
      <c r="F3323" s="2">
        <v>9</v>
      </c>
      <c r="G3323" s="2">
        <v>9</v>
      </c>
      <c r="H3323" s="2">
        <v>0</v>
      </c>
      <c r="I3323" s="1">
        <v>0</v>
      </c>
      <c r="J3323" s="26">
        <v>45629</v>
      </c>
      <c r="K3323" s="22">
        <v>49500</v>
      </c>
      <c r="L3323" s="18">
        <v>52.94</v>
      </c>
      <c r="M3323" s="22">
        <v>34650</v>
      </c>
      <c r="N3323" s="22">
        <v>14850</v>
      </c>
      <c r="O3323" s="18">
        <v>15.88</v>
      </c>
      <c r="P3323" s="52">
        <f>IF(COUNTIF(TblPurchases[BatchID],TblOutcomes[[#This Row],[BatchID]])&lt;&gt;1,"n.a.",TblOutcomes[[#This Row],[Qty Wasted]]*SUMIFS(TblPurchases[Unit Cost (CLP)],TblPurchases[BatchID],TblOutcomes[[#This Row],[BatchID]]))</f>
        <v>0</v>
      </c>
      <c r="Q3323" s="51">
        <f>IF(COUNTIF(TblPurchases[BatchID],TblOutcomes[[#This Row],[BatchID]])&lt;&gt;1,"n.a.",SUMIFS(TblPurchases[Purchase Date],TblPurchases[BatchID],TblOutcomes[[#This Row],[BatchID]]))</f>
        <v>45616</v>
      </c>
    </row>
    <row r="3324" spans="2:17" x14ac:dyDescent="0.25">
      <c r="B3324" s="2" t="s">
        <v>4129</v>
      </c>
      <c r="C3324" s="2" t="s">
        <v>352</v>
      </c>
      <c r="D3324" s="2" t="s">
        <v>341</v>
      </c>
      <c r="E3324" s="2" t="s">
        <v>4647</v>
      </c>
      <c r="F3324" s="2">
        <v>13</v>
      </c>
      <c r="G3324" s="2">
        <v>13</v>
      </c>
      <c r="H3324" s="2">
        <v>0</v>
      </c>
      <c r="I3324" s="1">
        <v>0</v>
      </c>
      <c r="J3324" s="26">
        <v>45684</v>
      </c>
      <c r="K3324" s="22">
        <v>71500</v>
      </c>
      <c r="L3324" s="18">
        <v>76.47</v>
      </c>
      <c r="M3324" s="22">
        <v>54600</v>
      </c>
      <c r="N3324" s="22">
        <v>16900</v>
      </c>
      <c r="O3324" s="18">
        <v>18.07</v>
      </c>
      <c r="P3324" s="52">
        <f>IF(COUNTIF(TblPurchases[BatchID],TblOutcomes[[#This Row],[BatchID]])&lt;&gt;1,"n.a.",TblOutcomes[[#This Row],[Qty Wasted]]*SUMIFS(TblPurchases[Unit Cost (CLP)],TblPurchases[BatchID],TblOutcomes[[#This Row],[BatchID]]))</f>
        <v>0</v>
      </c>
      <c r="Q3324" s="51">
        <f>IF(COUNTIF(TblPurchases[BatchID],TblOutcomes[[#This Row],[BatchID]])&lt;&gt;1,"n.a.",SUMIFS(TblPurchases[Purchase Date],TblPurchases[BatchID],TblOutcomes[[#This Row],[BatchID]]))</f>
        <v>45656</v>
      </c>
    </row>
    <row r="3325" spans="2:17" x14ac:dyDescent="0.25">
      <c r="B3325" s="2" t="s">
        <v>4130</v>
      </c>
      <c r="C3325" s="2" t="s">
        <v>352</v>
      </c>
      <c r="D3325" s="2" t="s">
        <v>341</v>
      </c>
      <c r="E3325" s="2" t="s">
        <v>4646</v>
      </c>
      <c r="F3325" s="2">
        <v>11</v>
      </c>
      <c r="G3325" s="2">
        <v>10.37</v>
      </c>
      <c r="H3325" s="2">
        <v>0.63</v>
      </c>
      <c r="I3325" s="1">
        <v>5.7</v>
      </c>
      <c r="J3325" s="26">
        <v>45989</v>
      </c>
      <c r="K3325" s="22">
        <v>57035</v>
      </c>
      <c r="L3325" s="18">
        <v>61</v>
      </c>
      <c r="M3325" s="22">
        <v>42350</v>
      </c>
      <c r="N3325" s="22">
        <v>14685</v>
      </c>
      <c r="O3325" s="18">
        <v>15.71</v>
      </c>
      <c r="P3325" s="52">
        <f>IF(COUNTIF(TblPurchases[BatchID],TblOutcomes[[#This Row],[BatchID]])&lt;&gt;1,"n.a.",TblOutcomes[[#This Row],[Qty Wasted]]*SUMIFS(TblPurchases[Unit Cost (CLP)],TblPurchases[BatchID],TblOutcomes[[#This Row],[BatchID]]))</f>
        <v>2425.5</v>
      </c>
      <c r="Q3325" s="51">
        <f>IF(COUNTIF(TblPurchases[BatchID],TblOutcomes[[#This Row],[BatchID]])&lt;&gt;1,"n.a.",SUMIFS(TblPurchases[Purchase Date],TblPurchases[BatchID],TblOutcomes[[#This Row],[BatchID]]))</f>
        <v>45689</v>
      </c>
    </row>
    <row r="3326" spans="2:17" x14ac:dyDescent="0.25">
      <c r="B3326" s="2" t="s">
        <v>4131</v>
      </c>
      <c r="C3326" s="2" t="s">
        <v>352</v>
      </c>
      <c r="D3326" s="2" t="s">
        <v>341</v>
      </c>
      <c r="E3326" s="2" t="s">
        <v>4646</v>
      </c>
      <c r="F3326" s="2">
        <v>9</v>
      </c>
      <c r="G3326" s="2">
        <v>8.4499999999999993</v>
      </c>
      <c r="H3326" s="2">
        <v>0.55000000000000004</v>
      </c>
      <c r="I3326" s="1">
        <v>6.1</v>
      </c>
      <c r="J3326" s="26">
        <v>46019</v>
      </c>
      <c r="K3326" s="22">
        <v>46475</v>
      </c>
      <c r="L3326" s="18">
        <v>49.71</v>
      </c>
      <c r="M3326" s="22">
        <v>34650</v>
      </c>
      <c r="N3326" s="22">
        <v>11825</v>
      </c>
      <c r="O3326" s="18">
        <v>12.65</v>
      </c>
      <c r="P3326" s="52">
        <f>IF(COUNTIF(TblPurchases[BatchID],TblOutcomes[[#This Row],[BatchID]])&lt;&gt;1,"n.a.",TblOutcomes[[#This Row],[Qty Wasted]]*SUMIFS(TblPurchases[Unit Cost (CLP)],TblPurchases[BatchID],TblOutcomes[[#This Row],[BatchID]]))</f>
        <v>2117.5</v>
      </c>
      <c r="Q3326" s="51">
        <f>IF(COUNTIF(TblPurchases[BatchID],TblOutcomes[[#This Row],[BatchID]])&lt;&gt;1,"n.a.",SUMIFS(TblPurchases[Purchase Date],TblPurchases[BatchID],TblOutcomes[[#This Row],[BatchID]]))</f>
        <v>45719</v>
      </c>
    </row>
    <row r="3327" spans="2:17" x14ac:dyDescent="0.25">
      <c r="B3327" s="2" t="s">
        <v>4132</v>
      </c>
      <c r="C3327" s="2" t="s">
        <v>352</v>
      </c>
      <c r="D3327" s="2" t="s">
        <v>341</v>
      </c>
      <c r="E3327" s="2" t="s">
        <v>4647</v>
      </c>
      <c r="F3327" s="2">
        <v>27</v>
      </c>
      <c r="G3327" s="2">
        <v>27</v>
      </c>
      <c r="H3327" s="2">
        <v>0</v>
      </c>
      <c r="I3327" s="1">
        <v>0</v>
      </c>
      <c r="J3327" s="26">
        <v>45782</v>
      </c>
      <c r="K3327" s="22">
        <v>148500</v>
      </c>
      <c r="L3327" s="18">
        <v>158.82</v>
      </c>
      <c r="M3327" s="22">
        <v>103950</v>
      </c>
      <c r="N3327" s="22">
        <v>44550</v>
      </c>
      <c r="O3327" s="18">
        <v>47.65</v>
      </c>
      <c r="P3327" s="52">
        <f>IF(COUNTIF(TblPurchases[BatchID],TblOutcomes[[#This Row],[BatchID]])&lt;&gt;1,"n.a.",TblOutcomes[[#This Row],[Qty Wasted]]*SUMIFS(TblPurchases[Unit Cost (CLP)],TblPurchases[BatchID],TblOutcomes[[#This Row],[BatchID]]))</f>
        <v>0</v>
      </c>
      <c r="Q3327" s="51">
        <f>IF(COUNTIF(TblPurchases[BatchID],TblOutcomes[[#This Row],[BatchID]])&lt;&gt;1,"n.a.",SUMIFS(TblPurchases[Purchase Date],TblPurchases[BatchID],TblOutcomes[[#This Row],[BatchID]]))</f>
        <v>45758</v>
      </c>
    </row>
    <row r="3328" spans="2:17" x14ac:dyDescent="0.25">
      <c r="B3328" s="2" t="s">
        <v>4133</v>
      </c>
      <c r="C3328" s="2" t="s">
        <v>352</v>
      </c>
      <c r="D3328" s="2" t="s">
        <v>341</v>
      </c>
      <c r="E3328" s="2" t="s">
        <v>4646</v>
      </c>
      <c r="F3328" s="2">
        <v>28</v>
      </c>
      <c r="G3328" s="2">
        <v>25.87</v>
      </c>
      <c r="H3328" s="2">
        <v>2.13</v>
      </c>
      <c r="I3328" s="1">
        <v>7.6</v>
      </c>
      <c r="J3328" s="26">
        <v>46083</v>
      </c>
      <c r="K3328" s="22">
        <v>142285</v>
      </c>
      <c r="L3328" s="18">
        <v>152.18</v>
      </c>
      <c r="M3328" s="22">
        <v>117600</v>
      </c>
      <c r="N3328" s="22">
        <v>24685</v>
      </c>
      <c r="O3328" s="18">
        <v>26.4</v>
      </c>
      <c r="P3328" s="52">
        <f>IF(COUNTIF(TblPurchases[BatchID],TblOutcomes[[#This Row],[BatchID]])&lt;&gt;1,"n.a.",TblOutcomes[[#This Row],[Qty Wasted]]*SUMIFS(TblPurchases[Unit Cost (CLP)],TblPurchases[BatchID],TblOutcomes[[#This Row],[BatchID]]))</f>
        <v>8946</v>
      </c>
      <c r="Q3328" s="51">
        <f>IF(COUNTIF(TblPurchases[BatchID],TblOutcomes[[#This Row],[BatchID]])&lt;&gt;1,"n.a.",SUMIFS(TblPurchases[Purchase Date],TblPurchases[BatchID],TblOutcomes[[#This Row],[BatchID]]))</f>
        <v>45783</v>
      </c>
    </row>
    <row r="3329" spans="2:17" x14ac:dyDescent="0.25">
      <c r="B3329" s="2" t="s">
        <v>4134</v>
      </c>
      <c r="C3329" s="2" t="s">
        <v>352</v>
      </c>
      <c r="D3329" s="2" t="s">
        <v>341</v>
      </c>
      <c r="E3329" s="2" t="s">
        <v>4647</v>
      </c>
      <c r="F3329" s="2">
        <v>25</v>
      </c>
      <c r="G3329" s="2">
        <v>25</v>
      </c>
      <c r="H3329" s="2">
        <v>0</v>
      </c>
      <c r="I3329" s="1">
        <v>0</v>
      </c>
      <c r="J3329" s="26">
        <v>45834</v>
      </c>
      <c r="K3329" s="22">
        <v>137500</v>
      </c>
      <c r="L3329" s="18">
        <v>147.06</v>
      </c>
      <c r="M3329" s="22">
        <v>105000</v>
      </c>
      <c r="N3329" s="22">
        <v>32500</v>
      </c>
      <c r="O3329" s="18">
        <v>34.76</v>
      </c>
      <c r="P3329" s="52">
        <f>IF(COUNTIF(TblPurchases[BatchID],TblOutcomes[[#This Row],[BatchID]])&lt;&gt;1,"n.a.",TblOutcomes[[#This Row],[Qty Wasted]]*SUMIFS(TblPurchases[Unit Cost (CLP)],TblPurchases[BatchID],TblOutcomes[[#This Row],[BatchID]]))</f>
        <v>0</v>
      </c>
      <c r="Q3329" s="51">
        <f>IF(COUNTIF(TblPurchases[BatchID],TblOutcomes[[#This Row],[BatchID]])&lt;&gt;1,"n.a.",SUMIFS(TblPurchases[Purchase Date],TblPurchases[BatchID],TblOutcomes[[#This Row],[BatchID]]))</f>
        <v>45815</v>
      </c>
    </row>
    <row r="3330" spans="2:17" x14ac:dyDescent="0.25">
      <c r="B3330" s="2" t="s">
        <v>4135</v>
      </c>
      <c r="C3330" s="2" t="s">
        <v>354</v>
      </c>
      <c r="D3330" s="2" t="s">
        <v>341</v>
      </c>
      <c r="E3330" s="2" t="s">
        <v>4647</v>
      </c>
      <c r="F3330" s="2">
        <v>26</v>
      </c>
      <c r="G3330" s="2">
        <v>26</v>
      </c>
      <c r="H3330" s="2">
        <v>0</v>
      </c>
      <c r="I3330" s="1">
        <v>0</v>
      </c>
      <c r="J3330" s="26">
        <v>45115</v>
      </c>
      <c r="K3330" s="22">
        <v>169000</v>
      </c>
      <c r="L3330" s="18">
        <v>180.75</v>
      </c>
      <c r="M3330" s="22">
        <v>118300</v>
      </c>
      <c r="N3330" s="22">
        <v>50700</v>
      </c>
      <c r="O3330" s="18">
        <v>54.22</v>
      </c>
      <c r="P3330" s="52">
        <f>IF(COUNTIF(TblPurchases[BatchID],TblOutcomes[[#This Row],[BatchID]])&lt;&gt;1,"n.a.",TblOutcomes[[#This Row],[Qty Wasted]]*SUMIFS(TblPurchases[Unit Cost (CLP)],TblPurchases[BatchID],TblOutcomes[[#This Row],[BatchID]]))</f>
        <v>0</v>
      </c>
      <c r="Q3330" s="51">
        <f>IF(COUNTIF(TblPurchases[BatchID],TblOutcomes[[#This Row],[BatchID]])&lt;&gt;1,"n.a.",SUMIFS(TblPurchases[Purchase Date],TblPurchases[BatchID],TblOutcomes[[#This Row],[BatchID]]))</f>
        <v>45113</v>
      </c>
    </row>
    <row r="3331" spans="2:17" x14ac:dyDescent="0.25">
      <c r="B3331" s="2" t="s">
        <v>4136</v>
      </c>
      <c r="C3331" s="2" t="s">
        <v>354</v>
      </c>
      <c r="D3331" s="2" t="s">
        <v>341</v>
      </c>
      <c r="E3331" s="2" t="s">
        <v>4647</v>
      </c>
      <c r="F3331" s="2">
        <v>25</v>
      </c>
      <c r="G3331" s="2">
        <v>25</v>
      </c>
      <c r="H3331" s="2">
        <v>0</v>
      </c>
      <c r="I3331" s="1">
        <v>0</v>
      </c>
      <c r="J3331" s="26">
        <v>45175</v>
      </c>
      <c r="K3331" s="22">
        <v>162500</v>
      </c>
      <c r="L3331" s="18">
        <v>173.8</v>
      </c>
      <c r="M3331" s="22">
        <v>113750</v>
      </c>
      <c r="N3331" s="22">
        <v>48750</v>
      </c>
      <c r="O3331" s="18">
        <v>52.14</v>
      </c>
      <c r="P3331" s="52">
        <f>IF(COUNTIF(TblPurchases[BatchID],TblOutcomes[[#This Row],[BatchID]])&lt;&gt;1,"n.a.",TblOutcomes[[#This Row],[Qty Wasted]]*SUMIFS(TblPurchases[Unit Cost (CLP)],TblPurchases[BatchID],TblOutcomes[[#This Row],[BatchID]]))</f>
        <v>0</v>
      </c>
      <c r="Q3331" s="51">
        <f>IF(COUNTIF(TblPurchases[BatchID],TblOutcomes[[#This Row],[BatchID]])&lt;&gt;1,"n.a.",SUMIFS(TblPurchases[Purchase Date],TblPurchases[BatchID],TblOutcomes[[#This Row],[BatchID]]))</f>
        <v>45141</v>
      </c>
    </row>
    <row r="3332" spans="2:17" x14ac:dyDescent="0.25">
      <c r="B3332" s="2" t="s">
        <v>4137</v>
      </c>
      <c r="C3332" s="2" t="s">
        <v>354</v>
      </c>
      <c r="D3332" s="2" t="s">
        <v>341</v>
      </c>
      <c r="E3332" s="2" t="s">
        <v>4647</v>
      </c>
      <c r="F3332" s="2">
        <v>31</v>
      </c>
      <c r="G3332" s="2">
        <v>31</v>
      </c>
      <c r="H3332" s="2">
        <v>0</v>
      </c>
      <c r="I3332" s="1">
        <v>0</v>
      </c>
      <c r="J3332" s="26">
        <v>45189</v>
      </c>
      <c r="K3332" s="22">
        <v>201500</v>
      </c>
      <c r="L3332" s="18">
        <v>215.51</v>
      </c>
      <c r="M3332" s="22">
        <v>141050</v>
      </c>
      <c r="N3332" s="22">
        <v>60450</v>
      </c>
      <c r="O3332" s="18">
        <v>64.650000000000006</v>
      </c>
      <c r="P3332" s="52">
        <f>IF(COUNTIF(TblPurchases[BatchID],TblOutcomes[[#This Row],[BatchID]])&lt;&gt;1,"n.a.",TblOutcomes[[#This Row],[Qty Wasted]]*SUMIFS(TblPurchases[Unit Cost (CLP)],TblPurchases[BatchID],TblOutcomes[[#This Row],[BatchID]]))</f>
        <v>0</v>
      </c>
      <c r="Q3332" s="51">
        <f>IF(COUNTIF(TblPurchases[BatchID],TblOutcomes[[#This Row],[BatchID]])&lt;&gt;1,"n.a.",SUMIFS(TblPurchases[Purchase Date],TblPurchases[BatchID],TblOutcomes[[#This Row],[BatchID]]))</f>
        <v>45173</v>
      </c>
    </row>
    <row r="3333" spans="2:17" x14ac:dyDescent="0.25">
      <c r="B3333" s="2" t="s">
        <v>4138</v>
      </c>
      <c r="C3333" s="2" t="s">
        <v>354</v>
      </c>
      <c r="D3333" s="2" t="s">
        <v>341</v>
      </c>
      <c r="E3333" s="2" t="s">
        <v>4646</v>
      </c>
      <c r="F3333" s="2">
        <v>9</v>
      </c>
      <c r="G3333" s="2">
        <v>8.4700000000000006</v>
      </c>
      <c r="H3333" s="2">
        <v>0.53</v>
      </c>
      <c r="I3333" s="1">
        <v>5.9</v>
      </c>
      <c r="J3333" s="26">
        <v>45504</v>
      </c>
      <c r="K3333" s="22">
        <v>55055</v>
      </c>
      <c r="L3333" s="18">
        <v>58.88</v>
      </c>
      <c r="M3333" s="22">
        <v>40950</v>
      </c>
      <c r="N3333" s="22">
        <v>14105</v>
      </c>
      <c r="O3333" s="18">
        <v>15.09</v>
      </c>
      <c r="P3333" s="52">
        <f>IF(COUNTIF(TblPurchases[BatchID],TblOutcomes[[#This Row],[BatchID]])&lt;&gt;1,"n.a.",TblOutcomes[[#This Row],[Qty Wasted]]*SUMIFS(TblPurchases[Unit Cost (CLP)],TblPurchases[BatchID],TblOutcomes[[#This Row],[BatchID]]))</f>
        <v>2411.5</v>
      </c>
      <c r="Q3333" s="51">
        <f>IF(COUNTIF(TblPurchases[BatchID],TblOutcomes[[#This Row],[BatchID]])&lt;&gt;1,"n.a.",SUMIFS(TblPurchases[Purchase Date],TblPurchases[BatchID],TblOutcomes[[#This Row],[BatchID]]))</f>
        <v>45204</v>
      </c>
    </row>
    <row r="3334" spans="2:17" x14ac:dyDescent="0.25">
      <c r="B3334" s="2" t="s">
        <v>4139</v>
      </c>
      <c r="C3334" s="2" t="s">
        <v>354</v>
      </c>
      <c r="D3334" s="2" t="s">
        <v>341</v>
      </c>
      <c r="E3334" s="2" t="s">
        <v>4646</v>
      </c>
      <c r="F3334" s="2">
        <v>10</v>
      </c>
      <c r="G3334" s="2">
        <v>9.4700000000000006</v>
      </c>
      <c r="H3334" s="2">
        <v>0.53</v>
      </c>
      <c r="I3334" s="1">
        <v>5.3</v>
      </c>
      <c r="J3334" s="26">
        <v>45539</v>
      </c>
      <c r="K3334" s="22">
        <v>61555</v>
      </c>
      <c r="L3334" s="18">
        <v>65.83</v>
      </c>
      <c r="M3334" s="22">
        <v>45500</v>
      </c>
      <c r="N3334" s="22">
        <v>16055</v>
      </c>
      <c r="O3334" s="18">
        <v>17.170000000000002</v>
      </c>
      <c r="P3334" s="52">
        <f>IF(COUNTIF(TblPurchases[BatchID],TblOutcomes[[#This Row],[BatchID]])&lt;&gt;1,"n.a.",TblOutcomes[[#This Row],[Qty Wasted]]*SUMIFS(TblPurchases[Unit Cost (CLP)],TblPurchases[BatchID],TblOutcomes[[#This Row],[BatchID]]))</f>
        <v>2411.5</v>
      </c>
      <c r="Q3334" s="51">
        <f>IF(COUNTIF(TblPurchases[BatchID],TblOutcomes[[#This Row],[BatchID]])&lt;&gt;1,"n.a.",SUMIFS(TblPurchases[Purchase Date],TblPurchases[BatchID],TblOutcomes[[#This Row],[BatchID]]))</f>
        <v>45239</v>
      </c>
    </row>
    <row r="3335" spans="2:17" x14ac:dyDescent="0.25">
      <c r="B3335" s="2" t="s">
        <v>4140</v>
      </c>
      <c r="C3335" s="2" t="s">
        <v>354</v>
      </c>
      <c r="D3335" s="2" t="s">
        <v>341</v>
      </c>
      <c r="E3335" s="2" t="s">
        <v>4646</v>
      </c>
      <c r="F3335" s="2">
        <v>10</v>
      </c>
      <c r="G3335" s="2">
        <v>9.08</v>
      </c>
      <c r="H3335" s="2">
        <v>0.92</v>
      </c>
      <c r="I3335" s="1">
        <v>9.1999999999999993</v>
      </c>
      <c r="J3335" s="26">
        <v>45568</v>
      </c>
      <c r="K3335" s="22">
        <v>59020</v>
      </c>
      <c r="L3335" s="18">
        <v>63.12</v>
      </c>
      <c r="M3335" s="22">
        <v>49500</v>
      </c>
      <c r="N3335" s="22">
        <v>9520</v>
      </c>
      <c r="O3335" s="18">
        <v>10.18</v>
      </c>
      <c r="P3335" s="52">
        <f>IF(COUNTIF(TblPurchases[BatchID],TblOutcomes[[#This Row],[BatchID]])&lt;&gt;1,"n.a.",TblOutcomes[[#This Row],[Qty Wasted]]*SUMIFS(TblPurchases[Unit Cost (CLP)],TblPurchases[BatchID],TblOutcomes[[#This Row],[BatchID]]))</f>
        <v>4554</v>
      </c>
      <c r="Q3335" s="51">
        <f>IF(COUNTIF(TblPurchases[BatchID],TblOutcomes[[#This Row],[BatchID]])&lt;&gt;1,"n.a.",SUMIFS(TblPurchases[Purchase Date],TblPurchases[BatchID],TblOutcomes[[#This Row],[BatchID]]))</f>
        <v>45268</v>
      </c>
    </row>
    <row r="3336" spans="2:17" x14ac:dyDescent="0.25">
      <c r="B3336" s="2" t="s">
        <v>4141</v>
      </c>
      <c r="C3336" s="2" t="s">
        <v>354</v>
      </c>
      <c r="D3336" s="2" t="s">
        <v>341</v>
      </c>
      <c r="E3336" s="2" t="s">
        <v>4647</v>
      </c>
      <c r="F3336" s="2">
        <v>8</v>
      </c>
      <c r="G3336" s="2">
        <v>8</v>
      </c>
      <c r="H3336" s="2">
        <v>0</v>
      </c>
      <c r="I3336" s="1">
        <v>0</v>
      </c>
      <c r="J3336" s="26">
        <v>45328</v>
      </c>
      <c r="K3336" s="22">
        <v>52000</v>
      </c>
      <c r="L3336" s="18">
        <v>55.61</v>
      </c>
      <c r="M3336" s="22">
        <v>36400</v>
      </c>
      <c r="N3336" s="22">
        <v>15600</v>
      </c>
      <c r="O3336" s="18">
        <v>16.68</v>
      </c>
      <c r="P3336" s="52">
        <f>IF(COUNTIF(TblPurchases[BatchID],TblOutcomes[[#This Row],[BatchID]])&lt;&gt;1,"n.a.",TblOutcomes[[#This Row],[Qty Wasted]]*SUMIFS(TblPurchases[Unit Cost (CLP)],TblPurchases[BatchID],TblOutcomes[[#This Row],[BatchID]]))</f>
        <v>0</v>
      </c>
      <c r="Q3336" s="51">
        <f>IF(COUNTIF(TblPurchases[BatchID],TblOutcomes[[#This Row],[BatchID]])&lt;&gt;1,"n.a.",SUMIFS(TblPurchases[Purchase Date],TblPurchases[BatchID],TblOutcomes[[#This Row],[BatchID]]))</f>
        <v>45292</v>
      </c>
    </row>
    <row r="3337" spans="2:17" x14ac:dyDescent="0.25">
      <c r="B3337" s="2" t="s">
        <v>4142</v>
      </c>
      <c r="C3337" s="2" t="s">
        <v>354</v>
      </c>
      <c r="D3337" s="2" t="s">
        <v>341</v>
      </c>
      <c r="E3337" s="2" t="s">
        <v>4647</v>
      </c>
      <c r="F3337" s="2">
        <v>8</v>
      </c>
      <c r="G3337" s="2">
        <v>8</v>
      </c>
      <c r="H3337" s="2">
        <v>0</v>
      </c>
      <c r="I3337" s="1">
        <v>0</v>
      </c>
      <c r="J3337" s="26">
        <v>45356</v>
      </c>
      <c r="K3337" s="22">
        <v>52000</v>
      </c>
      <c r="L3337" s="18">
        <v>55.61</v>
      </c>
      <c r="M3337" s="22">
        <v>36400</v>
      </c>
      <c r="N3337" s="22">
        <v>15600</v>
      </c>
      <c r="O3337" s="18">
        <v>16.68</v>
      </c>
      <c r="P3337" s="52">
        <f>IF(COUNTIF(TblPurchases[BatchID],TblOutcomes[[#This Row],[BatchID]])&lt;&gt;1,"n.a.",TblOutcomes[[#This Row],[Qty Wasted]]*SUMIFS(TblPurchases[Unit Cost (CLP)],TblPurchases[BatchID],TblOutcomes[[#This Row],[BatchID]]))</f>
        <v>0</v>
      </c>
      <c r="Q3337" s="51">
        <f>IF(COUNTIF(TblPurchases[BatchID],TblOutcomes[[#This Row],[BatchID]])&lt;&gt;1,"n.a.",SUMIFS(TblPurchases[Purchase Date],TblPurchases[BatchID],TblOutcomes[[#This Row],[BatchID]]))</f>
        <v>45330</v>
      </c>
    </row>
    <row r="3338" spans="2:17" x14ac:dyDescent="0.25">
      <c r="B3338" s="2" t="s">
        <v>4143</v>
      </c>
      <c r="C3338" s="2" t="s">
        <v>354</v>
      </c>
      <c r="D3338" s="2" t="s">
        <v>341</v>
      </c>
      <c r="E3338" s="2" t="s">
        <v>4646</v>
      </c>
      <c r="F3338" s="2">
        <v>10</v>
      </c>
      <c r="G3338" s="2">
        <v>9.08</v>
      </c>
      <c r="H3338" s="2">
        <v>0.92</v>
      </c>
      <c r="I3338" s="1">
        <v>9.1999999999999993</v>
      </c>
      <c r="J3338" s="26">
        <v>45660</v>
      </c>
      <c r="K3338" s="22">
        <v>59020</v>
      </c>
      <c r="L3338" s="18">
        <v>63.12</v>
      </c>
      <c r="M3338" s="22">
        <v>45500</v>
      </c>
      <c r="N3338" s="22">
        <v>13520</v>
      </c>
      <c r="O3338" s="18">
        <v>14.46</v>
      </c>
      <c r="P3338" s="52">
        <f>IF(COUNTIF(TblPurchases[BatchID],TblOutcomes[[#This Row],[BatchID]])&lt;&gt;1,"n.a.",TblOutcomes[[#This Row],[Qty Wasted]]*SUMIFS(TblPurchases[Unit Cost (CLP)],TblPurchases[BatchID],TblOutcomes[[#This Row],[BatchID]]))</f>
        <v>4186</v>
      </c>
      <c r="Q3338" s="51">
        <f>IF(COUNTIF(TblPurchases[BatchID],TblOutcomes[[#This Row],[BatchID]])&lt;&gt;1,"n.a.",SUMIFS(TblPurchases[Purchase Date],TblPurchases[BatchID],TblOutcomes[[#This Row],[BatchID]]))</f>
        <v>45360</v>
      </c>
    </row>
    <row r="3339" spans="2:17" x14ac:dyDescent="0.25">
      <c r="B3339" s="2" t="s">
        <v>4144</v>
      </c>
      <c r="C3339" s="2" t="s">
        <v>354</v>
      </c>
      <c r="D3339" s="2" t="s">
        <v>341</v>
      </c>
      <c r="E3339" s="2" t="s">
        <v>4647</v>
      </c>
      <c r="F3339" s="2">
        <v>27</v>
      </c>
      <c r="G3339" s="2">
        <v>27</v>
      </c>
      <c r="H3339" s="2">
        <v>0</v>
      </c>
      <c r="I3339" s="1">
        <v>0</v>
      </c>
      <c r="J3339" s="26">
        <v>45432</v>
      </c>
      <c r="K3339" s="22">
        <v>175500</v>
      </c>
      <c r="L3339" s="18">
        <v>187.7</v>
      </c>
      <c r="M3339" s="22">
        <v>122850</v>
      </c>
      <c r="N3339" s="22">
        <v>52650</v>
      </c>
      <c r="O3339" s="18">
        <v>56.31</v>
      </c>
      <c r="P3339" s="52">
        <f>IF(COUNTIF(TblPurchases[BatchID],TblOutcomes[[#This Row],[BatchID]])&lt;&gt;1,"n.a.",TblOutcomes[[#This Row],[Qty Wasted]]*SUMIFS(TblPurchases[Unit Cost (CLP)],TblPurchases[BatchID],TblOutcomes[[#This Row],[BatchID]]))</f>
        <v>0</v>
      </c>
      <c r="Q3339" s="51">
        <f>IF(COUNTIF(TblPurchases[BatchID],TblOutcomes[[#This Row],[BatchID]])&lt;&gt;1,"n.a.",SUMIFS(TblPurchases[Purchase Date],TblPurchases[BatchID],TblOutcomes[[#This Row],[BatchID]]))</f>
        <v>45397</v>
      </c>
    </row>
    <row r="3340" spans="2:17" x14ac:dyDescent="0.25">
      <c r="B3340" s="2" t="s">
        <v>4145</v>
      </c>
      <c r="C3340" s="2" t="s">
        <v>354</v>
      </c>
      <c r="D3340" s="2" t="s">
        <v>341</v>
      </c>
      <c r="E3340" s="2" t="s">
        <v>4646</v>
      </c>
      <c r="F3340" s="2">
        <v>27</v>
      </c>
      <c r="G3340" s="2">
        <v>25.89</v>
      </c>
      <c r="H3340" s="2">
        <v>1.1100000000000001</v>
      </c>
      <c r="I3340" s="1">
        <v>4.0999999999999996</v>
      </c>
      <c r="J3340" s="26">
        <v>45737</v>
      </c>
      <c r="K3340" s="22">
        <v>168285</v>
      </c>
      <c r="L3340" s="18">
        <v>179.98</v>
      </c>
      <c r="M3340" s="22">
        <v>122850</v>
      </c>
      <c r="N3340" s="22">
        <v>45435</v>
      </c>
      <c r="O3340" s="18">
        <v>48.59</v>
      </c>
      <c r="P3340" s="52">
        <f>IF(COUNTIF(TblPurchases[BatchID],TblOutcomes[[#This Row],[BatchID]])&lt;&gt;1,"n.a.",TblOutcomes[[#This Row],[Qty Wasted]]*SUMIFS(TblPurchases[Unit Cost (CLP)],TblPurchases[BatchID],TblOutcomes[[#This Row],[BatchID]]))</f>
        <v>5050.5</v>
      </c>
      <c r="Q3340" s="51">
        <f>IF(COUNTIF(TblPurchases[BatchID],TblOutcomes[[#This Row],[BatchID]])&lt;&gt;1,"n.a.",SUMIFS(TblPurchases[Purchase Date],TblPurchases[BatchID],TblOutcomes[[#This Row],[BatchID]]))</f>
        <v>45437</v>
      </c>
    </row>
    <row r="3341" spans="2:17" x14ac:dyDescent="0.25">
      <c r="B3341" s="2" t="s">
        <v>4146</v>
      </c>
      <c r="C3341" s="2" t="s">
        <v>354</v>
      </c>
      <c r="D3341" s="2" t="s">
        <v>341</v>
      </c>
      <c r="E3341" s="2" t="s">
        <v>4647</v>
      </c>
      <c r="F3341" s="2">
        <v>24</v>
      </c>
      <c r="G3341" s="2">
        <v>24</v>
      </c>
      <c r="H3341" s="2">
        <v>0</v>
      </c>
      <c r="I3341" s="1">
        <v>0</v>
      </c>
      <c r="J3341" s="26">
        <v>45504</v>
      </c>
      <c r="K3341" s="22">
        <v>156000</v>
      </c>
      <c r="L3341" s="18">
        <v>166.84</v>
      </c>
      <c r="M3341" s="22">
        <v>109200</v>
      </c>
      <c r="N3341" s="22">
        <v>46800</v>
      </c>
      <c r="O3341" s="18">
        <v>50.05</v>
      </c>
      <c r="P3341" s="52">
        <f>IF(COUNTIF(TblPurchases[BatchID],TblOutcomes[[#This Row],[BatchID]])&lt;&gt;1,"n.a.",TblOutcomes[[#This Row],[Qty Wasted]]*SUMIFS(TblPurchases[Unit Cost (CLP)],TblPurchases[BatchID],TblOutcomes[[#This Row],[BatchID]]))</f>
        <v>0</v>
      </c>
      <c r="Q3341" s="51">
        <f>IF(COUNTIF(TblPurchases[BatchID],TblOutcomes[[#This Row],[BatchID]])&lt;&gt;1,"n.a.",SUMIFS(TblPurchases[Purchase Date],TblPurchases[BatchID],TblOutcomes[[#This Row],[BatchID]]))</f>
        <v>45476</v>
      </c>
    </row>
    <row r="3342" spans="2:17" x14ac:dyDescent="0.25">
      <c r="B3342" s="2" t="s">
        <v>4147</v>
      </c>
      <c r="C3342" s="2" t="s">
        <v>354</v>
      </c>
      <c r="D3342" s="2" t="s">
        <v>341</v>
      </c>
      <c r="E3342" s="2" t="s">
        <v>4646</v>
      </c>
      <c r="F3342" s="2">
        <v>22</v>
      </c>
      <c r="G3342" s="2">
        <v>21.38</v>
      </c>
      <c r="H3342" s="2">
        <v>0.62</v>
      </c>
      <c r="I3342" s="1">
        <v>2.8</v>
      </c>
      <c r="J3342" s="26">
        <v>45813</v>
      </c>
      <c r="K3342" s="22">
        <v>138970</v>
      </c>
      <c r="L3342" s="18">
        <v>148.63</v>
      </c>
      <c r="M3342" s="22">
        <v>100100</v>
      </c>
      <c r="N3342" s="22">
        <v>38870</v>
      </c>
      <c r="O3342" s="18">
        <v>41.57</v>
      </c>
      <c r="P3342" s="52">
        <f>IF(COUNTIF(TblPurchases[BatchID],TblOutcomes[[#This Row],[BatchID]])&lt;&gt;1,"n.a.",TblOutcomes[[#This Row],[Qty Wasted]]*SUMIFS(TblPurchases[Unit Cost (CLP)],TblPurchases[BatchID],TblOutcomes[[#This Row],[BatchID]]))</f>
        <v>2821</v>
      </c>
      <c r="Q3342" s="51">
        <f>IF(COUNTIF(TblPurchases[BatchID],TblOutcomes[[#This Row],[BatchID]])&lt;&gt;1,"n.a.",SUMIFS(TblPurchases[Purchase Date],TblPurchases[BatchID],TblOutcomes[[#This Row],[BatchID]]))</f>
        <v>45513</v>
      </c>
    </row>
    <row r="3343" spans="2:17" x14ac:dyDescent="0.25">
      <c r="B3343" s="2" t="s">
        <v>4148</v>
      </c>
      <c r="C3343" s="2" t="s">
        <v>354</v>
      </c>
      <c r="D3343" s="2" t="s">
        <v>341</v>
      </c>
      <c r="E3343" s="2" t="s">
        <v>4647</v>
      </c>
      <c r="F3343" s="2">
        <v>26</v>
      </c>
      <c r="G3343" s="2">
        <v>26</v>
      </c>
      <c r="H3343" s="2">
        <v>0</v>
      </c>
      <c r="I3343" s="1">
        <v>0</v>
      </c>
      <c r="J3343" s="26">
        <v>45571</v>
      </c>
      <c r="K3343" s="22">
        <v>169000</v>
      </c>
      <c r="L3343" s="18">
        <v>180.75</v>
      </c>
      <c r="M3343" s="22">
        <v>128700</v>
      </c>
      <c r="N3343" s="22">
        <v>40300</v>
      </c>
      <c r="O3343" s="18">
        <v>43.1</v>
      </c>
      <c r="P3343" s="52">
        <f>IF(COUNTIF(TblPurchases[BatchID],TblOutcomes[[#This Row],[BatchID]])&lt;&gt;1,"n.a.",TblOutcomes[[#This Row],[Qty Wasted]]*SUMIFS(TblPurchases[Unit Cost (CLP)],TblPurchases[BatchID],TblOutcomes[[#This Row],[BatchID]]))</f>
        <v>0</v>
      </c>
      <c r="Q3343" s="51">
        <f>IF(COUNTIF(TblPurchases[BatchID],TblOutcomes[[#This Row],[BatchID]])&lt;&gt;1,"n.a.",SUMIFS(TblPurchases[Purchase Date],TblPurchases[BatchID],TblOutcomes[[#This Row],[BatchID]]))</f>
        <v>45542</v>
      </c>
    </row>
    <row r="3344" spans="2:17" x14ac:dyDescent="0.25">
      <c r="B3344" s="2" t="s">
        <v>4149</v>
      </c>
      <c r="C3344" s="2" t="s">
        <v>354</v>
      </c>
      <c r="D3344" s="2" t="s">
        <v>341</v>
      </c>
      <c r="E3344" s="2" t="s">
        <v>4646</v>
      </c>
      <c r="F3344" s="2">
        <v>9</v>
      </c>
      <c r="G3344" s="2">
        <v>8.17</v>
      </c>
      <c r="H3344" s="2">
        <v>0.83</v>
      </c>
      <c r="I3344" s="1">
        <v>9.1999999999999993</v>
      </c>
      <c r="J3344" s="26">
        <v>45875</v>
      </c>
      <c r="K3344" s="22">
        <v>53105</v>
      </c>
      <c r="L3344" s="18">
        <v>56.8</v>
      </c>
      <c r="M3344" s="22">
        <v>40950</v>
      </c>
      <c r="N3344" s="22">
        <v>12155</v>
      </c>
      <c r="O3344" s="18">
        <v>13</v>
      </c>
      <c r="P3344" s="52">
        <f>IF(COUNTIF(TblPurchases[BatchID],TblOutcomes[[#This Row],[BatchID]])&lt;&gt;1,"n.a.",TblOutcomes[[#This Row],[Qty Wasted]]*SUMIFS(TblPurchases[Unit Cost (CLP)],TblPurchases[BatchID],TblOutcomes[[#This Row],[BatchID]]))</f>
        <v>3776.5</v>
      </c>
      <c r="Q3344" s="51">
        <f>IF(COUNTIF(TblPurchases[BatchID],TblOutcomes[[#This Row],[BatchID]])&lt;&gt;1,"n.a.",SUMIFS(TblPurchases[Purchase Date],TblPurchases[BatchID],TblOutcomes[[#This Row],[BatchID]]))</f>
        <v>45575</v>
      </c>
    </row>
    <row r="3345" spans="2:17" x14ac:dyDescent="0.25">
      <c r="B3345" s="2" t="s">
        <v>4150</v>
      </c>
      <c r="C3345" s="2" t="s">
        <v>354</v>
      </c>
      <c r="D3345" s="2" t="s">
        <v>341</v>
      </c>
      <c r="E3345" s="2" t="s">
        <v>4646</v>
      </c>
      <c r="F3345" s="2">
        <v>10</v>
      </c>
      <c r="G3345" s="2">
        <v>9.2799999999999994</v>
      </c>
      <c r="H3345" s="2">
        <v>0.72</v>
      </c>
      <c r="I3345" s="1">
        <v>7.2</v>
      </c>
      <c r="J3345" s="26">
        <v>45917</v>
      </c>
      <c r="K3345" s="22">
        <v>60320</v>
      </c>
      <c r="L3345" s="18">
        <v>64.510000000000005</v>
      </c>
      <c r="M3345" s="22">
        <v>45500</v>
      </c>
      <c r="N3345" s="22">
        <v>14820</v>
      </c>
      <c r="O3345" s="18">
        <v>15.85</v>
      </c>
      <c r="P3345" s="52">
        <f>IF(COUNTIF(TblPurchases[BatchID],TblOutcomes[[#This Row],[BatchID]])&lt;&gt;1,"n.a.",TblOutcomes[[#This Row],[Qty Wasted]]*SUMIFS(TblPurchases[Unit Cost (CLP)],TblPurchases[BatchID],TblOutcomes[[#This Row],[BatchID]]))</f>
        <v>3276</v>
      </c>
      <c r="Q3345" s="51">
        <f>IF(COUNTIF(TblPurchases[BatchID],TblOutcomes[[#This Row],[BatchID]])&lt;&gt;1,"n.a.",SUMIFS(TblPurchases[Purchase Date],TblPurchases[BatchID],TblOutcomes[[#This Row],[BatchID]]))</f>
        <v>45617</v>
      </c>
    </row>
    <row r="3346" spans="2:17" x14ac:dyDescent="0.25">
      <c r="B3346" s="2" t="s">
        <v>4151</v>
      </c>
      <c r="C3346" s="2" t="s">
        <v>354</v>
      </c>
      <c r="D3346" s="2" t="s">
        <v>341</v>
      </c>
      <c r="E3346" s="2" t="s">
        <v>4647</v>
      </c>
      <c r="F3346" s="2">
        <v>12</v>
      </c>
      <c r="G3346" s="2">
        <v>12</v>
      </c>
      <c r="H3346" s="2">
        <v>0</v>
      </c>
      <c r="I3346" s="1">
        <v>0</v>
      </c>
      <c r="J3346" s="26">
        <v>45658</v>
      </c>
      <c r="K3346" s="22">
        <v>78000</v>
      </c>
      <c r="L3346" s="18">
        <v>83.42</v>
      </c>
      <c r="M3346" s="22">
        <v>54600</v>
      </c>
      <c r="N3346" s="22">
        <v>23400</v>
      </c>
      <c r="O3346" s="18">
        <v>25.03</v>
      </c>
      <c r="P3346" s="52">
        <f>IF(COUNTIF(TblPurchases[BatchID],TblOutcomes[[#This Row],[BatchID]])&lt;&gt;1,"n.a.",TblOutcomes[[#This Row],[Qty Wasted]]*SUMIFS(TblPurchases[Unit Cost (CLP)],TblPurchases[BatchID],TblOutcomes[[#This Row],[BatchID]]))</f>
        <v>0</v>
      </c>
      <c r="Q3346" s="51">
        <f>IF(COUNTIF(TblPurchases[BatchID],TblOutcomes[[#This Row],[BatchID]])&lt;&gt;1,"n.a.",SUMIFS(TblPurchases[Purchase Date],TblPurchases[BatchID],TblOutcomes[[#This Row],[BatchID]]))</f>
        <v>45647</v>
      </c>
    </row>
    <row r="3347" spans="2:17" x14ac:dyDescent="0.25">
      <c r="B3347" s="2" t="s">
        <v>4152</v>
      </c>
      <c r="C3347" s="2" t="s">
        <v>354</v>
      </c>
      <c r="D3347" s="2" t="s">
        <v>341</v>
      </c>
      <c r="E3347" s="2" t="s">
        <v>4646</v>
      </c>
      <c r="F3347" s="2">
        <v>10</v>
      </c>
      <c r="G3347" s="2">
        <v>9.4499999999999993</v>
      </c>
      <c r="H3347" s="2">
        <v>0.55000000000000004</v>
      </c>
      <c r="I3347" s="1">
        <v>5.5</v>
      </c>
      <c r="J3347" s="26">
        <v>45984</v>
      </c>
      <c r="K3347" s="22">
        <v>61425</v>
      </c>
      <c r="L3347" s="18">
        <v>65.7</v>
      </c>
      <c r="M3347" s="22">
        <v>45500</v>
      </c>
      <c r="N3347" s="22">
        <v>15925</v>
      </c>
      <c r="O3347" s="18">
        <v>17.03</v>
      </c>
      <c r="P3347" s="52">
        <f>IF(COUNTIF(TblPurchases[BatchID],TblOutcomes[[#This Row],[BatchID]])&lt;&gt;1,"n.a.",TblOutcomes[[#This Row],[Qty Wasted]]*SUMIFS(TblPurchases[Unit Cost (CLP)],TblPurchases[BatchID],TblOutcomes[[#This Row],[BatchID]]))</f>
        <v>2502.5</v>
      </c>
      <c r="Q3347" s="51">
        <f>IF(COUNTIF(TblPurchases[BatchID],TblOutcomes[[#This Row],[BatchID]])&lt;&gt;1,"n.a.",SUMIFS(TblPurchases[Purchase Date],TblPurchases[BatchID],TblOutcomes[[#This Row],[BatchID]]))</f>
        <v>45684</v>
      </c>
    </row>
    <row r="3348" spans="2:17" x14ac:dyDescent="0.25">
      <c r="B3348" s="2" t="s">
        <v>4153</v>
      </c>
      <c r="C3348" s="2" t="s">
        <v>354</v>
      </c>
      <c r="D3348" s="2" t="s">
        <v>341</v>
      </c>
      <c r="E3348" s="2" t="s">
        <v>4646</v>
      </c>
      <c r="F3348" s="2">
        <v>9</v>
      </c>
      <c r="G3348" s="2">
        <v>8.4</v>
      </c>
      <c r="H3348" s="2">
        <v>0.6</v>
      </c>
      <c r="I3348" s="1">
        <v>6.7</v>
      </c>
      <c r="J3348" s="26">
        <v>46011</v>
      </c>
      <c r="K3348" s="22">
        <v>54600</v>
      </c>
      <c r="L3348" s="18">
        <v>58.4</v>
      </c>
      <c r="M3348" s="22">
        <v>40950</v>
      </c>
      <c r="N3348" s="22">
        <v>13650</v>
      </c>
      <c r="O3348" s="18">
        <v>14.6</v>
      </c>
      <c r="P3348" s="52">
        <f>IF(COUNTIF(TblPurchases[BatchID],TblOutcomes[[#This Row],[BatchID]])&lt;&gt;1,"n.a.",TblOutcomes[[#This Row],[Qty Wasted]]*SUMIFS(TblPurchases[Unit Cost (CLP)],TblPurchases[BatchID],TblOutcomes[[#This Row],[BatchID]]))</f>
        <v>2730</v>
      </c>
      <c r="Q3348" s="51">
        <f>IF(COUNTIF(TblPurchases[BatchID],TblOutcomes[[#This Row],[BatchID]])&lt;&gt;1,"n.a.",SUMIFS(TblPurchases[Purchase Date],TblPurchases[BatchID],TblOutcomes[[#This Row],[BatchID]]))</f>
        <v>45711</v>
      </c>
    </row>
    <row r="3349" spans="2:17" x14ac:dyDescent="0.25">
      <c r="B3349" s="2" t="s">
        <v>4154</v>
      </c>
      <c r="C3349" s="2" t="s">
        <v>354</v>
      </c>
      <c r="D3349" s="2" t="s">
        <v>341</v>
      </c>
      <c r="E3349" s="2" t="s">
        <v>4646</v>
      </c>
      <c r="F3349" s="2">
        <v>10</v>
      </c>
      <c r="G3349" s="2">
        <v>9.4700000000000006</v>
      </c>
      <c r="H3349" s="2">
        <v>0.53</v>
      </c>
      <c r="I3349" s="1">
        <v>5.3</v>
      </c>
      <c r="J3349" s="26">
        <v>46038</v>
      </c>
      <c r="K3349" s="22">
        <v>61555</v>
      </c>
      <c r="L3349" s="18">
        <v>65.83</v>
      </c>
      <c r="M3349" s="22">
        <v>49500</v>
      </c>
      <c r="N3349" s="22">
        <v>12055</v>
      </c>
      <c r="O3349" s="18">
        <v>12.89</v>
      </c>
      <c r="P3349" s="52">
        <f>IF(COUNTIF(TblPurchases[BatchID],TblOutcomes[[#This Row],[BatchID]])&lt;&gt;1,"n.a.",TblOutcomes[[#This Row],[Qty Wasted]]*SUMIFS(TblPurchases[Unit Cost (CLP)],TblPurchases[BatchID],TblOutcomes[[#This Row],[BatchID]]))</f>
        <v>2623.5</v>
      </c>
      <c r="Q3349" s="51">
        <f>IF(COUNTIF(TblPurchases[BatchID],TblOutcomes[[#This Row],[BatchID]])&lt;&gt;1,"n.a.",SUMIFS(TblPurchases[Purchase Date],TblPurchases[BatchID],TblOutcomes[[#This Row],[BatchID]]))</f>
        <v>45738</v>
      </c>
    </row>
    <row r="3350" spans="2:17" x14ac:dyDescent="0.25">
      <c r="B3350" s="2" t="s">
        <v>4155</v>
      </c>
      <c r="C3350" s="2" t="s">
        <v>354</v>
      </c>
      <c r="D3350" s="2" t="s">
        <v>341</v>
      </c>
      <c r="E3350" s="2" t="s">
        <v>4647</v>
      </c>
      <c r="F3350" s="2">
        <v>22</v>
      </c>
      <c r="G3350" s="2">
        <v>22</v>
      </c>
      <c r="H3350" s="2">
        <v>0</v>
      </c>
      <c r="I3350" s="1">
        <v>0</v>
      </c>
      <c r="J3350" s="26">
        <v>45806</v>
      </c>
      <c r="K3350" s="22">
        <v>143000</v>
      </c>
      <c r="L3350" s="18">
        <v>152.94</v>
      </c>
      <c r="M3350" s="22">
        <v>100100</v>
      </c>
      <c r="N3350" s="22">
        <v>42900</v>
      </c>
      <c r="O3350" s="18">
        <v>45.88</v>
      </c>
      <c r="P3350" s="52">
        <f>IF(COUNTIF(TblPurchases[BatchID],TblOutcomes[[#This Row],[BatchID]])&lt;&gt;1,"n.a.",TblOutcomes[[#This Row],[Qty Wasted]]*SUMIFS(TblPurchases[Unit Cost (CLP)],TblPurchases[BatchID],TblOutcomes[[#This Row],[BatchID]]))</f>
        <v>0</v>
      </c>
      <c r="Q3350" s="51">
        <f>IF(COUNTIF(TblPurchases[BatchID],TblOutcomes[[#This Row],[BatchID]])&lt;&gt;1,"n.a.",SUMIFS(TblPurchases[Purchase Date],TblPurchases[BatchID],TblOutcomes[[#This Row],[BatchID]]))</f>
        <v>45767</v>
      </c>
    </row>
    <row r="3351" spans="2:17" x14ac:dyDescent="0.25">
      <c r="B3351" s="2" t="s">
        <v>4156</v>
      </c>
      <c r="C3351" s="2" t="s">
        <v>354</v>
      </c>
      <c r="D3351" s="2" t="s">
        <v>341</v>
      </c>
      <c r="E3351" s="2" t="s">
        <v>4647</v>
      </c>
      <c r="F3351" s="2">
        <v>27</v>
      </c>
      <c r="G3351" s="2">
        <v>27</v>
      </c>
      <c r="H3351" s="2">
        <v>0</v>
      </c>
      <c r="I3351" s="1">
        <v>0</v>
      </c>
      <c r="J3351" s="26">
        <v>45828</v>
      </c>
      <c r="K3351" s="22">
        <v>175500</v>
      </c>
      <c r="L3351" s="18">
        <v>187.7</v>
      </c>
      <c r="M3351" s="22">
        <v>122850</v>
      </c>
      <c r="N3351" s="22">
        <v>52650</v>
      </c>
      <c r="O3351" s="18">
        <v>56.31</v>
      </c>
      <c r="P3351" s="52">
        <f>IF(COUNTIF(TblPurchases[BatchID],TblOutcomes[[#This Row],[BatchID]])&lt;&gt;1,"n.a.",TblOutcomes[[#This Row],[Qty Wasted]]*SUMIFS(TblPurchases[Unit Cost (CLP)],TblPurchases[BatchID],TblOutcomes[[#This Row],[BatchID]]))</f>
        <v>0</v>
      </c>
      <c r="Q3351" s="51">
        <f>IF(COUNTIF(TblPurchases[BatchID],TblOutcomes[[#This Row],[BatchID]])&lt;&gt;1,"n.a.",SUMIFS(TblPurchases[Purchase Date],TblPurchases[BatchID],TblOutcomes[[#This Row],[BatchID]]))</f>
        <v>45792</v>
      </c>
    </row>
    <row r="3352" spans="2:17" x14ac:dyDescent="0.25">
      <c r="B3352" s="2" t="s">
        <v>4157</v>
      </c>
      <c r="C3352" s="2" t="s">
        <v>354</v>
      </c>
      <c r="D3352" s="2" t="s">
        <v>341</v>
      </c>
      <c r="E3352" s="2" t="s">
        <v>4647</v>
      </c>
      <c r="F3352" s="2">
        <v>29</v>
      </c>
      <c r="G3352" s="2">
        <v>29</v>
      </c>
      <c r="H3352" s="2">
        <v>0</v>
      </c>
      <c r="I3352" s="1">
        <v>0</v>
      </c>
      <c r="J3352" s="26">
        <v>45840</v>
      </c>
      <c r="K3352" s="22">
        <v>188500</v>
      </c>
      <c r="L3352" s="18">
        <v>201.6</v>
      </c>
      <c r="M3352" s="22">
        <v>131950</v>
      </c>
      <c r="N3352" s="22">
        <v>56550</v>
      </c>
      <c r="O3352" s="18">
        <v>60.48</v>
      </c>
      <c r="P3352" s="52">
        <f>IF(COUNTIF(TblPurchases[BatchID],TblOutcomes[[#This Row],[BatchID]])&lt;&gt;1,"n.a.",TblOutcomes[[#This Row],[Qty Wasted]]*SUMIFS(TblPurchases[Unit Cost (CLP)],TblPurchases[BatchID],TblOutcomes[[#This Row],[BatchID]]))</f>
        <v>0</v>
      </c>
      <c r="Q3352" s="51">
        <f>IF(COUNTIF(TblPurchases[BatchID],TblOutcomes[[#This Row],[BatchID]])&lt;&gt;1,"n.a.",SUMIFS(TblPurchases[Purchase Date],TblPurchases[BatchID],TblOutcomes[[#This Row],[BatchID]]))</f>
        <v>45819</v>
      </c>
    </row>
    <row r="3353" spans="2:17" x14ac:dyDescent="0.25">
      <c r="B3353" s="2" t="s">
        <v>4158</v>
      </c>
      <c r="C3353" s="2" t="s">
        <v>356</v>
      </c>
      <c r="D3353" s="2" t="s">
        <v>341</v>
      </c>
      <c r="E3353" s="2" t="s">
        <v>4647</v>
      </c>
      <c r="F3353" s="2">
        <v>21</v>
      </c>
      <c r="G3353" s="2">
        <v>21</v>
      </c>
      <c r="H3353" s="2">
        <v>0</v>
      </c>
      <c r="I3353" s="1">
        <v>0</v>
      </c>
      <c r="J3353" s="26">
        <v>45146</v>
      </c>
      <c r="K3353" s="22">
        <v>178500</v>
      </c>
      <c r="L3353" s="18">
        <v>190.91</v>
      </c>
      <c r="M3353" s="22">
        <v>134400</v>
      </c>
      <c r="N3353" s="22">
        <v>44100</v>
      </c>
      <c r="O3353" s="18">
        <v>47.17</v>
      </c>
      <c r="P3353" s="52">
        <f>IF(COUNTIF(TblPurchases[BatchID],TblOutcomes[[#This Row],[BatchID]])&lt;&gt;1,"n.a.",TblOutcomes[[#This Row],[Qty Wasted]]*SUMIFS(TblPurchases[Unit Cost (CLP)],TblPurchases[BatchID],TblOutcomes[[#This Row],[BatchID]]))</f>
        <v>0</v>
      </c>
      <c r="Q3353" s="51">
        <f>IF(COUNTIF(TblPurchases[BatchID],TblOutcomes[[#This Row],[BatchID]])&lt;&gt;1,"n.a.",SUMIFS(TblPurchases[Purchase Date],TblPurchases[BatchID],TblOutcomes[[#This Row],[BatchID]]))</f>
        <v>45114</v>
      </c>
    </row>
    <row r="3354" spans="2:17" x14ac:dyDescent="0.25">
      <c r="B3354" s="2" t="s">
        <v>4159</v>
      </c>
      <c r="C3354" s="2" t="s">
        <v>356</v>
      </c>
      <c r="D3354" s="2" t="s">
        <v>341</v>
      </c>
      <c r="E3354" s="2" t="s">
        <v>4647</v>
      </c>
      <c r="F3354" s="2">
        <v>27</v>
      </c>
      <c r="G3354" s="2">
        <v>27</v>
      </c>
      <c r="H3354" s="2">
        <v>0</v>
      </c>
      <c r="I3354" s="1">
        <v>0</v>
      </c>
      <c r="J3354" s="26">
        <v>45182</v>
      </c>
      <c r="K3354" s="22">
        <v>229500</v>
      </c>
      <c r="L3354" s="18">
        <v>245.45</v>
      </c>
      <c r="M3354" s="22">
        <v>172800</v>
      </c>
      <c r="N3354" s="22">
        <v>56700</v>
      </c>
      <c r="O3354" s="18">
        <v>60.64</v>
      </c>
      <c r="P3354" s="52">
        <f>IF(COUNTIF(TblPurchases[BatchID],TblOutcomes[[#This Row],[BatchID]])&lt;&gt;1,"n.a.",TblOutcomes[[#This Row],[Qty Wasted]]*SUMIFS(TblPurchases[Unit Cost (CLP)],TblPurchases[BatchID],TblOutcomes[[#This Row],[BatchID]]))</f>
        <v>0</v>
      </c>
      <c r="Q3354" s="51">
        <f>IF(COUNTIF(TblPurchases[BatchID],TblOutcomes[[#This Row],[BatchID]])&lt;&gt;1,"n.a.",SUMIFS(TblPurchases[Purchase Date],TblPurchases[BatchID],TblOutcomes[[#This Row],[BatchID]]))</f>
        <v>45150</v>
      </c>
    </row>
    <row r="3355" spans="2:17" x14ac:dyDescent="0.25">
      <c r="B3355" s="2" t="s">
        <v>4160</v>
      </c>
      <c r="C3355" s="2" t="s">
        <v>356</v>
      </c>
      <c r="D3355" s="2" t="s">
        <v>341</v>
      </c>
      <c r="E3355" s="2" t="s">
        <v>4647</v>
      </c>
      <c r="F3355" s="2">
        <v>32</v>
      </c>
      <c r="G3355" s="2">
        <v>32</v>
      </c>
      <c r="H3355" s="2">
        <v>0</v>
      </c>
      <c r="I3355" s="1">
        <v>0</v>
      </c>
      <c r="J3355" s="26">
        <v>45214</v>
      </c>
      <c r="K3355" s="22">
        <v>272000</v>
      </c>
      <c r="L3355" s="18">
        <v>290.91000000000003</v>
      </c>
      <c r="M3355" s="22">
        <v>204800</v>
      </c>
      <c r="N3355" s="22">
        <v>67200</v>
      </c>
      <c r="O3355" s="18">
        <v>71.87</v>
      </c>
      <c r="P3355" s="52">
        <f>IF(COUNTIF(TblPurchases[BatchID],TblOutcomes[[#This Row],[BatchID]])&lt;&gt;1,"n.a.",TblOutcomes[[#This Row],[Qty Wasted]]*SUMIFS(TblPurchases[Unit Cost (CLP)],TblPurchases[BatchID],TblOutcomes[[#This Row],[BatchID]]))</f>
        <v>0</v>
      </c>
      <c r="Q3355" s="51">
        <f>IF(COUNTIF(TblPurchases[BatchID],TblOutcomes[[#This Row],[BatchID]])&lt;&gt;1,"n.a.",SUMIFS(TblPurchases[Purchase Date],TblPurchases[BatchID],TblOutcomes[[#This Row],[BatchID]]))</f>
        <v>45182</v>
      </c>
    </row>
    <row r="3356" spans="2:17" x14ac:dyDescent="0.25">
      <c r="B3356" s="2" t="s">
        <v>4161</v>
      </c>
      <c r="C3356" s="2" t="s">
        <v>356</v>
      </c>
      <c r="D3356" s="2" t="s">
        <v>341</v>
      </c>
      <c r="E3356" s="2" t="s">
        <v>4647</v>
      </c>
      <c r="F3356" s="2">
        <v>10</v>
      </c>
      <c r="G3356" s="2">
        <v>10</v>
      </c>
      <c r="H3356" s="2">
        <v>0</v>
      </c>
      <c r="I3356" s="1">
        <v>0</v>
      </c>
      <c r="J3356" s="26">
        <v>45242</v>
      </c>
      <c r="K3356" s="22">
        <v>85000</v>
      </c>
      <c r="L3356" s="18">
        <v>90.91</v>
      </c>
      <c r="M3356" s="22">
        <v>66000</v>
      </c>
      <c r="N3356" s="22">
        <v>19000</v>
      </c>
      <c r="O3356" s="18">
        <v>20.32</v>
      </c>
      <c r="P3356" s="52">
        <f>IF(COUNTIF(TblPurchases[BatchID],TblOutcomes[[#This Row],[BatchID]])&lt;&gt;1,"n.a.",TblOutcomes[[#This Row],[Qty Wasted]]*SUMIFS(TblPurchases[Unit Cost (CLP)],TblPurchases[BatchID],TblOutcomes[[#This Row],[BatchID]]))</f>
        <v>0</v>
      </c>
      <c r="Q3356" s="51">
        <f>IF(COUNTIF(TblPurchases[BatchID],TblOutcomes[[#This Row],[BatchID]])&lt;&gt;1,"n.a.",SUMIFS(TblPurchases[Purchase Date],TblPurchases[BatchID],TblOutcomes[[#This Row],[BatchID]]))</f>
        <v>45213</v>
      </c>
    </row>
    <row r="3357" spans="2:17" x14ac:dyDescent="0.25">
      <c r="B3357" s="2" t="s">
        <v>4162</v>
      </c>
      <c r="C3357" s="2" t="s">
        <v>356</v>
      </c>
      <c r="D3357" s="2" t="s">
        <v>341</v>
      </c>
      <c r="E3357" s="2" t="s">
        <v>4647</v>
      </c>
      <c r="F3357" s="2">
        <v>10</v>
      </c>
      <c r="G3357" s="2">
        <v>10</v>
      </c>
      <c r="H3357" s="2">
        <v>0</v>
      </c>
      <c r="I3357" s="1">
        <v>0</v>
      </c>
      <c r="J3357" s="26">
        <v>45273</v>
      </c>
      <c r="K3357" s="22">
        <v>85000</v>
      </c>
      <c r="L3357" s="18">
        <v>90.91</v>
      </c>
      <c r="M3357" s="22">
        <v>64000</v>
      </c>
      <c r="N3357" s="22">
        <v>21000</v>
      </c>
      <c r="O3357" s="18">
        <v>22.46</v>
      </c>
      <c r="P3357" s="52">
        <f>IF(COUNTIF(TblPurchases[BatchID],TblOutcomes[[#This Row],[BatchID]])&lt;&gt;1,"n.a.",TblOutcomes[[#This Row],[Qty Wasted]]*SUMIFS(TblPurchases[Unit Cost (CLP)],TblPurchases[BatchID],TblOutcomes[[#This Row],[BatchID]]))</f>
        <v>0</v>
      </c>
      <c r="Q3357" s="51">
        <f>IF(COUNTIF(TblPurchases[BatchID],TblOutcomes[[#This Row],[BatchID]])&lt;&gt;1,"n.a.",SUMIFS(TblPurchases[Purchase Date],TblPurchases[BatchID],TblOutcomes[[#This Row],[BatchID]]))</f>
        <v>45245</v>
      </c>
    </row>
    <row r="3358" spans="2:17" x14ac:dyDescent="0.25">
      <c r="B3358" s="2" t="s">
        <v>4163</v>
      </c>
      <c r="C3358" s="2" t="s">
        <v>356</v>
      </c>
      <c r="D3358" s="2" t="s">
        <v>341</v>
      </c>
      <c r="E3358" s="2" t="s">
        <v>4647</v>
      </c>
      <c r="F3358" s="2">
        <v>11</v>
      </c>
      <c r="G3358" s="2">
        <v>11</v>
      </c>
      <c r="H3358" s="2">
        <v>0</v>
      </c>
      <c r="I3358" s="1">
        <v>0</v>
      </c>
      <c r="J3358" s="26">
        <v>45334</v>
      </c>
      <c r="K3358" s="22">
        <v>93500</v>
      </c>
      <c r="L3358" s="18">
        <v>100</v>
      </c>
      <c r="M3358" s="22">
        <v>70400</v>
      </c>
      <c r="N3358" s="22">
        <v>23100</v>
      </c>
      <c r="O3358" s="18">
        <v>24.71</v>
      </c>
      <c r="P3358" s="52">
        <f>IF(COUNTIF(TblPurchases[BatchID],TblOutcomes[[#This Row],[BatchID]])&lt;&gt;1,"n.a.",TblOutcomes[[#This Row],[Qty Wasted]]*SUMIFS(TblPurchases[Unit Cost (CLP)],TblPurchases[BatchID],TblOutcomes[[#This Row],[BatchID]]))</f>
        <v>0</v>
      </c>
      <c r="Q3358" s="51">
        <f>IF(COUNTIF(TblPurchases[BatchID],TblOutcomes[[#This Row],[BatchID]])&lt;&gt;1,"n.a.",SUMIFS(TblPurchases[Purchase Date],TblPurchases[BatchID],TblOutcomes[[#This Row],[BatchID]]))</f>
        <v>45281</v>
      </c>
    </row>
    <row r="3359" spans="2:17" x14ac:dyDescent="0.25">
      <c r="B3359" s="2" t="s">
        <v>4164</v>
      </c>
      <c r="C3359" s="2" t="s">
        <v>356</v>
      </c>
      <c r="D3359" s="2" t="s">
        <v>341</v>
      </c>
      <c r="E3359" s="2" t="s">
        <v>4647</v>
      </c>
      <c r="F3359" s="2">
        <v>10</v>
      </c>
      <c r="G3359" s="2">
        <v>10</v>
      </c>
      <c r="H3359" s="2">
        <v>0</v>
      </c>
      <c r="I3359" s="1">
        <v>0</v>
      </c>
      <c r="J3359" s="26">
        <v>45352</v>
      </c>
      <c r="K3359" s="22">
        <v>85000</v>
      </c>
      <c r="L3359" s="18">
        <v>90.91</v>
      </c>
      <c r="M3359" s="22">
        <v>64000</v>
      </c>
      <c r="N3359" s="22">
        <v>21000</v>
      </c>
      <c r="O3359" s="18">
        <v>22.46</v>
      </c>
      <c r="P3359" s="52">
        <f>IF(COUNTIF(TblPurchases[BatchID],TblOutcomes[[#This Row],[BatchID]])&lt;&gt;1,"n.a.",TblOutcomes[[#This Row],[Qty Wasted]]*SUMIFS(TblPurchases[Unit Cost (CLP)],TblPurchases[BatchID],TblOutcomes[[#This Row],[BatchID]]))</f>
        <v>0</v>
      </c>
      <c r="Q3359" s="51">
        <f>IF(COUNTIF(TblPurchases[BatchID],TblOutcomes[[#This Row],[BatchID]])&lt;&gt;1,"n.a.",SUMIFS(TblPurchases[Purchase Date],TblPurchases[BatchID],TblOutcomes[[#This Row],[BatchID]]))</f>
        <v>45306</v>
      </c>
    </row>
    <row r="3360" spans="2:17" x14ac:dyDescent="0.25">
      <c r="B3360" s="2" t="s">
        <v>4165</v>
      </c>
      <c r="C3360" s="2" t="s">
        <v>356</v>
      </c>
      <c r="D3360" s="2" t="s">
        <v>341</v>
      </c>
      <c r="E3360" s="2" t="s">
        <v>4646</v>
      </c>
      <c r="F3360" s="2">
        <v>9</v>
      </c>
      <c r="G3360" s="2">
        <v>8.2799999999999994</v>
      </c>
      <c r="H3360" s="2">
        <v>0.72</v>
      </c>
      <c r="I3360" s="1">
        <v>8</v>
      </c>
      <c r="J3360" s="26">
        <v>45638</v>
      </c>
      <c r="K3360" s="22">
        <v>70380</v>
      </c>
      <c r="L3360" s="18">
        <v>75.27</v>
      </c>
      <c r="M3360" s="22">
        <v>57600</v>
      </c>
      <c r="N3360" s="22">
        <v>12780</v>
      </c>
      <c r="O3360" s="18">
        <v>13.67</v>
      </c>
      <c r="P3360" s="52">
        <f>IF(COUNTIF(TblPurchases[BatchID],TblOutcomes[[#This Row],[BatchID]])&lt;&gt;1,"n.a.",TblOutcomes[[#This Row],[Qty Wasted]]*SUMIFS(TblPurchases[Unit Cost (CLP)],TblPurchases[BatchID],TblOutcomes[[#This Row],[BatchID]]))</f>
        <v>4608</v>
      </c>
      <c r="Q3360" s="51">
        <f>IF(COUNTIF(TblPurchases[BatchID],TblOutcomes[[#This Row],[BatchID]])&lt;&gt;1,"n.a.",SUMIFS(TblPurchases[Purchase Date],TblPurchases[BatchID],TblOutcomes[[#This Row],[BatchID]]))</f>
        <v>45338</v>
      </c>
    </row>
    <row r="3361" spans="2:17" x14ac:dyDescent="0.25">
      <c r="B3361" s="2" t="s">
        <v>4166</v>
      </c>
      <c r="C3361" s="2" t="s">
        <v>356</v>
      </c>
      <c r="D3361" s="2" t="s">
        <v>341</v>
      </c>
      <c r="E3361" s="2" t="s">
        <v>4646</v>
      </c>
      <c r="F3361" s="2">
        <v>9</v>
      </c>
      <c r="G3361" s="2">
        <v>8.6300000000000008</v>
      </c>
      <c r="H3361" s="2">
        <v>0.37</v>
      </c>
      <c r="I3361" s="1">
        <v>4.0999999999999996</v>
      </c>
      <c r="J3361" s="26">
        <v>45670</v>
      </c>
      <c r="K3361" s="22">
        <v>73355</v>
      </c>
      <c r="L3361" s="18">
        <v>78.45</v>
      </c>
      <c r="M3361" s="22">
        <v>59400</v>
      </c>
      <c r="N3361" s="22">
        <v>13955</v>
      </c>
      <c r="O3361" s="18">
        <v>14.93</v>
      </c>
      <c r="P3361" s="52">
        <f>IF(COUNTIF(TblPurchases[BatchID],TblOutcomes[[#This Row],[BatchID]])&lt;&gt;1,"n.a.",TblOutcomes[[#This Row],[Qty Wasted]]*SUMIFS(TblPurchases[Unit Cost (CLP)],TblPurchases[BatchID],TblOutcomes[[#This Row],[BatchID]]))</f>
        <v>2442</v>
      </c>
      <c r="Q3361" s="51">
        <f>IF(COUNTIF(TblPurchases[BatchID],TblOutcomes[[#This Row],[BatchID]])&lt;&gt;1,"n.a.",SUMIFS(TblPurchases[Purchase Date],TblPurchases[BatchID],TblOutcomes[[#This Row],[BatchID]]))</f>
        <v>45370</v>
      </c>
    </row>
    <row r="3362" spans="2:17" x14ac:dyDescent="0.25">
      <c r="B3362" s="2" t="s">
        <v>4167</v>
      </c>
      <c r="C3362" s="2" t="s">
        <v>356</v>
      </c>
      <c r="D3362" s="2" t="s">
        <v>341</v>
      </c>
      <c r="E3362" s="2" t="s">
        <v>4647</v>
      </c>
      <c r="F3362" s="2">
        <v>22</v>
      </c>
      <c r="G3362" s="2">
        <v>22</v>
      </c>
      <c r="H3362" s="2">
        <v>0</v>
      </c>
      <c r="I3362" s="1">
        <v>0</v>
      </c>
      <c r="J3362" s="26">
        <v>45430</v>
      </c>
      <c r="K3362" s="22">
        <v>187000</v>
      </c>
      <c r="L3362" s="18">
        <v>200</v>
      </c>
      <c r="M3362" s="22">
        <v>140800</v>
      </c>
      <c r="N3362" s="22">
        <v>46200</v>
      </c>
      <c r="O3362" s="18">
        <v>49.41</v>
      </c>
      <c r="P3362" s="52">
        <f>IF(COUNTIF(TblPurchases[BatchID],TblOutcomes[[#This Row],[BatchID]])&lt;&gt;1,"n.a.",TblOutcomes[[#This Row],[Qty Wasted]]*SUMIFS(TblPurchases[Unit Cost (CLP)],TblPurchases[BatchID],TblOutcomes[[#This Row],[BatchID]]))</f>
        <v>0</v>
      </c>
      <c r="Q3362" s="51">
        <f>IF(COUNTIF(TblPurchases[BatchID],TblOutcomes[[#This Row],[BatchID]])&lt;&gt;1,"n.a.",SUMIFS(TblPurchases[Purchase Date],TblPurchases[BatchID],TblOutcomes[[#This Row],[BatchID]]))</f>
        <v>45401</v>
      </c>
    </row>
    <row r="3363" spans="2:17" x14ac:dyDescent="0.25">
      <c r="B3363" s="2" t="s">
        <v>4168</v>
      </c>
      <c r="C3363" s="2" t="s">
        <v>356</v>
      </c>
      <c r="D3363" s="2" t="s">
        <v>341</v>
      </c>
      <c r="E3363" s="2" t="s">
        <v>4647</v>
      </c>
      <c r="F3363" s="2">
        <v>27</v>
      </c>
      <c r="G3363" s="2">
        <v>27</v>
      </c>
      <c r="H3363" s="2">
        <v>0</v>
      </c>
      <c r="I3363" s="1">
        <v>0</v>
      </c>
      <c r="J3363" s="26">
        <v>45455</v>
      </c>
      <c r="K3363" s="22">
        <v>229500</v>
      </c>
      <c r="L3363" s="18">
        <v>245.45</v>
      </c>
      <c r="M3363" s="22">
        <v>172800</v>
      </c>
      <c r="N3363" s="22">
        <v>56700</v>
      </c>
      <c r="O3363" s="18">
        <v>60.64</v>
      </c>
      <c r="P3363" s="52">
        <f>IF(COUNTIF(TblPurchases[BatchID],TblOutcomes[[#This Row],[BatchID]])&lt;&gt;1,"n.a.",TblOutcomes[[#This Row],[Qty Wasted]]*SUMIFS(TblPurchases[Unit Cost (CLP)],TblPurchases[BatchID],TblOutcomes[[#This Row],[BatchID]]))</f>
        <v>0</v>
      </c>
      <c r="Q3363" s="51">
        <f>IF(COUNTIF(TblPurchases[BatchID],TblOutcomes[[#This Row],[BatchID]])&lt;&gt;1,"n.a.",SUMIFS(TblPurchases[Purchase Date],TblPurchases[BatchID],TblOutcomes[[#This Row],[BatchID]]))</f>
        <v>45434</v>
      </c>
    </row>
    <row r="3364" spans="2:17" x14ac:dyDescent="0.25">
      <c r="B3364" s="2" t="s">
        <v>4169</v>
      </c>
      <c r="C3364" s="2" t="s">
        <v>356</v>
      </c>
      <c r="D3364" s="2" t="s">
        <v>341</v>
      </c>
      <c r="E3364" s="2" t="s">
        <v>4647</v>
      </c>
      <c r="F3364" s="2">
        <v>22</v>
      </c>
      <c r="G3364" s="2">
        <v>22</v>
      </c>
      <c r="H3364" s="2">
        <v>0</v>
      </c>
      <c r="I3364" s="1">
        <v>0</v>
      </c>
      <c r="J3364" s="26">
        <v>45483</v>
      </c>
      <c r="K3364" s="22">
        <v>187000</v>
      </c>
      <c r="L3364" s="18">
        <v>200</v>
      </c>
      <c r="M3364" s="22">
        <v>140800</v>
      </c>
      <c r="N3364" s="22">
        <v>46200</v>
      </c>
      <c r="O3364" s="18">
        <v>49.41</v>
      </c>
      <c r="P3364" s="52">
        <f>IF(COUNTIF(TblPurchases[BatchID],TblOutcomes[[#This Row],[BatchID]])&lt;&gt;1,"n.a.",TblOutcomes[[#This Row],[Qty Wasted]]*SUMIFS(TblPurchases[Unit Cost (CLP)],TblPurchases[BatchID],TblOutcomes[[#This Row],[BatchID]]))</f>
        <v>0</v>
      </c>
      <c r="Q3364" s="51">
        <f>IF(COUNTIF(TblPurchases[BatchID],TblOutcomes[[#This Row],[BatchID]])&lt;&gt;1,"n.a.",SUMIFS(TblPurchases[Purchase Date],TblPurchases[BatchID],TblOutcomes[[#This Row],[BatchID]]))</f>
        <v>45463</v>
      </c>
    </row>
    <row r="3365" spans="2:17" x14ac:dyDescent="0.25">
      <c r="B3365" s="2" t="s">
        <v>4170</v>
      </c>
      <c r="C3365" s="2" t="s">
        <v>356</v>
      </c>
      <c r="D3365" s="2" t="s">
        <v>341</v>
      </c>
      <c r="E3365" s="2" t="s">
        <v>4647</v>
      </c>
      <c r="F3365" s="2">
        <v>23</v>
      </c>
      <c r="G3365" s="2">
        <v>23</v>
      </c>
      <c r="H3365" s="2">
        <v>0</v>
      </c>
      <c r="I3365" s="1">
        <v>0</v>
      </c>
      <c r="J3365" s="26">
        <v>45524</v>
      </c>
      <c r="K3365" s="22">
        <v>195500</v>
      </c>
      <c r="L3365" s="18">
        <v>209.09</v>
      </c>
      <c r="M3365" s="22">
        <v>147200</v>
      </c>
      <c r="N3365" s="22">
        <v>48300</v>
      </c>
      <c r="O3365" s="18">
        <v>51.66</v>
      </c>
      <c r="P3365" s="52">
        <f>IF(COUNTIF(TblPurchases[BatchID],TblOutcomes[[#This Row],[BatchID]])&lt;&gt;1,"n.a.",TblOutcomes[[#This Row],[Qty Wasted]]*SUMIFS(TblPurchases[Unit Cost (CLP)],TblPurchases[BatchID],TblOutcomes[[#This Row],[BatchID]]))</f>
        <v>0</v>
      </c>
      <c r="Q3365" s="51">
        <f>IF(COUNTIF(TblPurchases[BatchID],TblOutcomes[[#This Row],[BatchID]])&lt;&gt;1,"n.a.",SUMIFS(TblPurchases[Purchase Date],TblPurchases[BatchID],TblOutcomes[[#This Row],[BatchID]]))</f>
        <v>45495</v>
      </c>
    </row>
    <row r="3366" spans="2:17" x14ac:dyDescent="0.25">
      <c r="B3366" s="2" t="s">
        <v>4171</v>
      </c>
      <c r="C3366" s="2" t="s">
        <v>356</v>
      </c>
      <c r="D3366" s="2" t="s">
        <v>341</v>
      </c>
      <c r="E3366" s="2" t="s">
        <v>4647</v>
      </c>
      <c r="F3366" s="2">
        <v>27</v>
      </c>
      <c r="G3366" s="2">
        <v>27</v>
      </c>
      <c r="H3366" s="2">
        <v>0</v>
      </c>
      <c r="I3366" s="1">
        <v>0</v>
      </c>
      <c r="J3366" s="26">
        <v>45565</v>
      </c>
      <c r="K3366" s="22">
        <v>229500</v>
      </c>
      <c r="L3366" s="18">
        <v>245.45</v>
      </c>
      <c r="M3366" s="22">
        <v>172800</v>
      </c>
      <c r="N3366" s="22">
        <v>56700</v>
      </c>
      <c r="O3366" s="18">
        <v>60.64</v>
      </c>
      <c r="P3366" s="52">
        <f>IF(COUNTIF(TblPurchases[BatchID],TblOutcomes[[#This Row],[BatchID]])&lt;&gt;1,"n.a.",TblOutcomes[[#This Row],[Qty Wasted]]*SUMIFS(TblPurchases[Unit Cost (CLP)],TblPurchases[BatchID],TblOutcomes[[#This Row],[BatchID]]))</f>
        <v>0</v>
      </c>
      <c r="Q3366" s="51">
        <f>IF(COUNTIF(TblPurchases[BatchID],TblOutcomes[[#This Row],[BatchID]])&lt;&gt;1,"n.a.",SUMIFS(TblPurchases[Purchase Date],TblPurchases[BatchID],TblOutcomes[[#This Row],[BatchID]]))</f>
        <v>45531</v>
      </c>
    </row>
    <row r="3367" spans="2:17" x14ac:dyDescent="0.25">
      <c r="B3367" s="2" t="s">
        <v>4172</v>
      </c>
      <c r="C3367" s="2" t="s">
        <v>356</v>
      </c>
      <c r="D3367" s="2" t="s">
        <v>341</v>
      </c>
      <c r="E3367" s="2" t="s">
        <v>4646</v>
      </c>
      <c r="F3367" s="2">
        <v>34</v>
      </c>
      <c r="G3367" s="2">
        <v>32.299999999999997</v>
      </c>
      <c r="H3367" s="2">
        <v>1.7</v>
      </c>
      <c r="I3367" s="1">
        <v>5</v>
      </c>
      <c r="J3367" s="26">
        <v>45863</v>
      </c>
      <c r="K3367" s="22">
        <v>274550</v>
      </c>
      <c r="L3367" s="18">
        <v>293.64</v>
      </c>
      <c r="M3367" s="22">
        <v>217600</v>
      </c>
      <c r="N3367" s="22">
        <v>56950</v>
      </c>
      <c r="O3367" s="18">
        <v>60.91</v>
      </c>
      <c r="P3367" s="52">
        <f>IF(COUNTIF(TblPurchases[BatchID],TblOutcomes[[#This Row],[BatchID]])&lt;&gt;1,"n.a.",TblOutcomes[[#This Row],[Qty Wasted]]*SUMIFS(TblPurchases[Unit Cost (CLP)],TblPurchases[BatchID],TblOutcomes[[#This Row],[BatchID]]))</f>
        <v>10880</v>
      </c>
      <c r="Q3367" s="51">
        <f>IF(COUNTIF(TblPurchases[BatchID],TblOutcomes[[#This Row],[BatchID]])&lt;&gt;1,"n.a.",SUMIFS(TblPurchases[Purchase Date],TblPurchases[BatchID],TblOutcomes[[#This Row],[BatchID]]))</f>
        <v>45563</v>
      </c>
    </row>
    <row r="3368" spans="2:17" x14ac:dyDescent="0.25">
      <c r="B3368" s="2" t="s">
        <v>4173</v>
      </c>
      <c r="C3368" s="2" t="s">
        <v>356</v>
      </c>
      <c r="D3368" s="2" t="s">
        <v>341</v>
      </c>
      <c r="E3368" s="2" t="s">
        <v>4646</v>
      </c>
      <c r="F3368" s="2">
        <v>8</v>
      </c>
      <c r="G3368" s="2">
        <v>7.58</v>
      </c>
      <c r="H3368" s="2">
        <v>0.42</v>
      </c>
      <c r="I3368" s="1">
        <v>5.2</v>
      </c>
      <c r="J3368" s="26">
        <v>45898</v>
      </c>
      <c r="K3368" s="22">
        <v>64430</v>
      </c>
      <c r="L3368" s="18">
        <v>68.91</v>
      </c>
      <c r="M3368" s="22">
        <v>51200</v>
      </c>
      <c r="N3368" s="22">
        <v>13230</v>
      </c>
      <c r="O3368" s="18">
        <v>14.15</v>
      </c>
      <c r="P3368" s="52">
        <f>IF(COUNTIF(TblPurchases[BatchID],TblOutcomes[[#This Row],[BatchID]])&lt;&gt;1,"n.a.",TblOutcomes[[#This Row],[Qty Wasted]]*SUMIFS(TblPurchases[Unit Cost (CLP)],TblPurchases[BatchID],TblOutcomes[[#This Row],[BatchID]]))</f>
        <v>2688</v>
      </c>
      <c r="Q3368" s="51">
        <f>IF(COUNTIF(TblPurchases[BatchID],TblOutcomes[[#This Row],[BatchID]])&lt;&gt;1,"n.a.",SUMIFS(TblPurchases[Purchase Date],TblPurchases[BatchID],TblOutcomes[[#This Row],[BatchID]]))</f>
        <v>45598</v>
      </c>
    </row>
    <row r="3369" spans="2:17" x14ac:dyDescent="0.25">
      <c r="B3369" s="2" t="s">
        <v>4174</v>
      </c>
      <c r="C3369" s="2" t="s">
        <v>356</v>
      </c>
      <c r="D3369" s="2" t="s">
        <v>341</v>
      </c>
      <c r="E3369" s="2" t="s">
        <v>4646</v>
      </c>
      <c r="F3369" s="2">
        <v>12</v>
      </c>
      <c r="G3369" s="2">
        <v>11.45</v>
      </c>
      <c r="H3369" s="2">
        <v>0.55000000000000004</v>
      </c>
      <c r="I3369" s="1">
        <v>4.5999999999999996</v>
      </c>
      <c r="J3369" s="26">
        <v>45930</v>
      </c>
      <c r="K3369" s="22">
        <v>97325</v>
      </c>
      <c r="L3369" s="18">
        <v>104.09</v>
      </c>
      <c r="M3369" s="22">
        <v>76800</v>
      </c>
      <c r="N3369" s="22">
        <v>20525</v>
      </c>
      <c r="O3369" s="18">
        <v>21.95</v>
      </c>
      <c r="P3369" s="52">
        <f>IF(COUNTIF(TblPurchases[BatchID],TblOutcomes[[#This Row],[BatchID]])&lt;&gt;1,"n.a.",TblOutcomes[[#This Row],[Qty Wasted]]*SUMIFS(TblPurchases[Unit Cost (CLP)],TblPurchases[BatchID],TblOutcomes[[#This Row],[BatchID]]))</f>
        <v>3520.0000000000005</v>
      </c>
      <c r="Q3369" s="51">
        <f>IF(COUNTIF(TblPurchases[BatchID],TblOutcomes[[#This Row],[BatchID]])&lt;&gt;1,"n.a.",SUMIFS(TblPurchases[Purchase Date],TblPurchases[BatchID],TblOutcomes[[#This Row],[BatchID]]))</f>
        <v>45630</v>
      </c>
    </row>
    <row r="3370" spans="2:17" x14ac:dyDescent="0.25">
      <c r="B3370" s="2" t="s">
        <v>4175</v>
      </c>
      <c r="C3370" s="2" t="s">
        <v>356</v>
      </c>
      <c r="D3370" s="2" t="s">
        <v>341</v>
      </c>
      <c r="E3370" s="2" t="s">
        <v>4646</v>
      </c>
      <c r="F3370" s="2">
        <v>8</v>
      </c>
      <c r="G3370" s="2">
        <v>7.21</v>
      </c>
      <c r="H3370" s="2">
        <v>0.79</v>
      </c>
      <c r="I3370" s="1">
        <v>9.9</v>
      </c>
      <c r="J3370" s="26">
        <v>45973</v>
      </c>
      <c r="K3370" s="22">
        <v>61285</v>
      </c>
      <c r="L3370" s="18">
        <v>65.55</v>
      </c>
      <c r="M3370" s="22">
        <v>51200</v>
      </c>
      <c r="N3370" s="22">
        <v>10085</v>
      </c>
      <c r="O3370" s="18">
        <v>10.79</v>
      </c>
      <c r="P3370" s="52">
        <f>IF(COUNTIF(TblPurchases[BatchID],TblOutcomes[[#This Row],[BatchID]])&lt;&gt;1,"n.a.",TblOutcomes[[#This Row],[Qty Wasted]]*SUMIFS(TblPurchases[Unit Cost (CLP)],TblPurchases[BatchID],TblOutcomes[[#This Row],[BatchID]]))</f>
        <v>5056</v>
      </c>
      <c r="Q3370" s="51">
        <f>IF(COUNTIF(TblPurchases[BatchID],TblOutcomes[[#This Row],[BatchID]])&lt;&gt;1,"n.a.",SUMIFS(TblPurchases[Purchase Date],TblPurchases[BatchID],TblOutcomes[[#This Row],[BatchID]]))</f>
        <v>45673</v>
      </c>
    </row>
    <row r="3371" spans="2:17" x14ac:dyDescent="0.25">
      <c r="B3371" s="2" t="s">
        <v>4176</v>
      </c>
      <c r="C3371" s="2" t="s">
        <v>356</v>
      </c>
      <c r="D3371" s="2" t="s">
        <v>341</v>
      </c>
      <c r="E3371" s="2" t="s">
        <v>4647</v>
      </c>
      <c r="F3371" s="2">
        <v>10</v>
      </c>
      <c r="G3371" s="2">
        <v>10</v>
      </c>
      <c r="H3371" s="2">
        <v>0</v>
      </c>
      <c r="I3371" s="1">
        <v>0</v>
      </c>
      <c r="J3371" s="26">
        <v>45742</v>
      </c>
      <c r="K3371" s="22">
        <v>85000</v>
      </c>
      <c r="L3371" s="18">
        <v>90.91</v>
      </c>
      <c r="M3371" s="22">
        <v>64000</v>
      </c>
      <c r="N3371" s="22">
        <v>21000</v>
      </c>
      <c r="O3371" s="18">
        <v>22.46</v>
      </c>
      <c r="P3371" s="52">
        <f>IF(COUNTIF(TblPurchases[BatchID],TblOutcomes[[#This Row],[BatchID]])&lt;&gt;1,"n.a.",TblOutcomes[[#This Row],[Qty Wasted]]*SUMIFS(TblPurchases[Unit Cost (CLP)],TblPurchases[BatchID],TblOutcomes[[#This Row],[BatchID]]))</f>
        <v>0</v>
      </c>
      <c r="Q3371" s="51">
        <f>IF(COUNTIF(TblPurchases[BatchID],TblOutcomes[[#This Row],[BatchID]])&lt;&gt;1,"n.a.",SUMIFS(TblPurchases[Purchase Date],TblPurchases[BatchID],TblOutcomes[[#This Row],[BatchID]]))</f>
        <v>45707</v>
      </c>
    </row>
    <row r="3372" spans="2:17" x14ac:dyDescent="0.25">
      <c r="B3372" s="2" t="s">
        <v>4177</v>
      </c>
      <c r="C3372" s="2" t="s">
        <v>356</v>
      </c>
      <c r="D3372" s="2" t="s">
        <v>341</v>
      </c>
      <c r="E3372" s="2" t="s">
        <v>4647</v>
      </c>
      <c r="F3372" s="2">
        <v>23</v>
      </c>
      <c r="G3372" s="2">
        <v>23</v>
      </c>
      <c r="H3372" s="2">
        <v>0</v>
      </c>
      <c r="I3372" s="1">
        <v>0</v>
      </c>
      <c r="J3372" s="26">
        <v>45782</v>
      </c>
      <c r="K3372" s="22">
        <v>195500</v>
      </c>
      <c r="L3372" s="18">
        <v>209.09</v>
      </c>
      <c r="M3372" s="22">
        <v>147200</v>
      </c>
      <c r="N3372" s="22">
        <v>48300</v>
      </c>
      <c r="O3372" s="18">
        <v>51.66</v>
      </c>
      <c r="P3372" s="52">
        <f>IF(COUNTIF(TblPurchases[BatchID],TblOutcomes[[#This Row],[BatchID]])&lt;&gt;1,"n.a.",TblOutcomes[[#This Row],[Qty Wasted]]*SUMIFS(TblPurchases[Unit Cost (CLP)],TblPurchases[BatchID],TblOutcomes[[#This Row],[BatchID]]))</f>
        <v>0</v>
      </c>
      <c r="Q3372" s="51">
        <f>IF(COUNTIF(TblPurchases[BatchID],TblOutcomes[[#This Row],[BatchID]])&lt;&gt;1,"n.a.",SUMIFS(TblPurchases[Purchase Date],TblPurchases[BatchID],TblOutcomes[[#This Row],[BatchID]]))</f>
        <v>45751</v>
      </c>
    </row>
    <row r="3373" spans="2:17" x14ac:dyDescent="0.25">
      <c r="B3373" s="2" t="s">
        <v>4178</v>
      </c>
      <c r="C3373" s="2" t="s">
        <v>356</v>
      </c>
      <c r="D3373" s="2" t="s">
        <v>341</v>
      </c>
      <c r="E3373" s="2" t="s">
        <v>4647</v>
      </c>
      <c r="F3373" s="2">
        <v>23</v>
      </c>
      <c r="G3373" s="2">
        <v>23</v>
      </c>
      <c r="H3373" s="2">
        <v>0</v>
      </c>
      <c r="I3373" s="1">
        <v>0</v>
      </c>
      <c r="J3373" s="26">
        <v>45812</v>
      </c>
      <c r="K3373" s="22">
        <v>195500</v>
      </c>
      <c r="L3373" s="18">
        <v>209.09</v>
      </c>
      <c r="M3373" s="22">
        <v>147200</v>
      </c>
      <c r="N3373" s="22">
        <v>48300</v>
      </c>
      <c r="O3373" s="18">
        <v>51.66</v>
      </c>
      <c r="P3373" s="52">
        <f>IF(COUNTIF(TblPurchases[BatchID],TblOutcomes[[#This Row],[BatchID]])&lt;&gt;1,"n.a.",TblOutcomes[[#This Row],[Qty Wasted]]*SUMIFS(TblPurchases[Unit Cost (CLP)],TblPurchases[BatchID],TblOutcomes[[#This Row],[BatchID]]))</f>
        <v>0</v>
      </c>
      <c r="Q3373" s="51">
        <f>IF(COUNTIF(TblPurchases[BatchID],TblOutcomes[[#This Row],[BatchID]])&lt;&gt;1,"n.a.",SUMIFS(TblPurchases[Purchase Date],TblPurchases[BatchID],TblOutcomes[[#This Row],[BatchID]]))</f>
        <v>45787</v>
      </c>
    </row>
    <row r="3374" spans="2:17" x14ac:dyDescent="0.25">
      <c r="B3374" s="2" t="s">
        <v>4179</v>
      </c>
      <c r="C3374" s="2" t="s">
        <v>356</v>
      </c>
      <c r="D3374" s="2" t="s">
        <v>341</v>
      </c>
      <c r="E3374" s="2" t="s">
        <v>4647</v>
      </c>
      <c r="F3374" s="2">
        <v>28</v>
      </c>
      <c r="G3374" s="2">
        <v>28</v>
      </c>
      <c r="H3374" s="2">
        <v>0</v>
      </c>
      <c r="I3374" s="1">
        <v>0</v>
      </c>
      <c r="J3374" s="26">
        <v>45862</v>
      </c>
      <c r="K3374" s="22">
        <v>238000</v>
      </c>
      <c r="L3374" s="18">
        <v>254.55</v>
      </c>
      <c r="M3374" s="22">
        <v>179200</v>
      </c>
      <c r="N3374" s="22">
        <v>58800</v>
      </c>
      <c r="O3374" s="18">
        <v>62.89</v>
      </c>
      <c r="P3374" s="52">
        <f>IF(COUNTIF(TblPurchases[BatchID],TblOutcomes[[#This Row],[BatchID]])&lt;&gt;1,"n.a.",TblOutcomes[[#This Row],[Qty Wasted]]*SUMIFS(TblPurchases[Unit Cost (CLP)],TblPurchases[BatchID],TblOutcomes[[#This Row],[BatchID]]))</f>
        <v>0</v>
      </c>
      <c r="Q3374" s="51">
        <f>IF(COUNTIF(TblPurchases[BatchID],TblOutcomes[[#This Row],[BatchID]])&lt;&gt;1,"n.a.",SUMIFS(TblPurchases[Purchase Date],TblPurchases[BatchID],TblOutcomes[[#This Row],[BatchID]]))</f>
        <v>45818</v>
      </c>
    </row>
    <row r="3375" spans="2:17" x14ac:dyDescent="0.25">
      <c r="B3375" s="2" t="s">
        <v>4180</v>
      </c>
      <c r="C3375" s="2" t="s">
        <v>358</v>
      </c>
      <c r="D3375" s="2" t="s">
        <v>341</v>
      </c>
      <c r="E3375" s="2" t="s">
        <v>4647</v>
      </c>
      <c r="F3375" s="2">
        <v>27</v>
      </c>
      <c r="G3375" s="2">
        <v>27</v>
      </c>
      <c r="H3375" s="2">
        <v>0</v>
      </c>
      <c r="I3375" s="1">
        <v>0</v>
      </c>
      <c r="J3375" s="26">
        <v>45165</v>
      </c>
      <c r="K3375" s="22">
        <v>202500</v>
      </c>
      <c r="L3375" s="18">
        <v>216.58</v>
      </c>
      <c r="M3375" s="22">
        <v>145800</v>
      </c>
      <c r="N3375" s="22">
        <v>56700</v>
      </c>
      <c r="O3375" s="18">
        <v>60.64</v>
      </c>
      <c r="P3375" s="52">
        <f>IF(COUNTIF(TblPurchases[BatchID],TblOutcomes[[#This Row],[BatchID]])&lt;&gt;1,"n.a.",TblOutcomes[[#This Row],[Qty Wasted]]*SUMIFS(TblPurchases[Unit Cost (CLP)],TblPurchases[BatchID],TblOutcomes[[#This Row],[BatchID]]))</f>
        <v>0</v>
      </c>
      <c r="Q3375" s="51">
        <f>IF(COUNTIF(TblPurchases[BatchID],TblOutcomes[[#This Row],[BatchID]])&lt;&gt;1,"n.a.",SUMIFS(TblPurchases[Purchase Date],TblPurchases[BatchID],TblOutcomes[[#This Row],[BatchID]]))</f>
        <v>45130</v>
      </c>
    </row>
    <row r="3376" spans="2:17" x14ac:dyDescent="0.25">
      <c r="B3376" s="2" t="s">
        <v>4181</v>
      </c>
      <c r="C3376" s="2" t="s">
        <v>358</v>
      </c>
      <c r="D3376" s="2" t="s">
        <v>341</v>
      </c>
      <c r="E3376" s="2" t="s">
        <v>4647</v>
      </c>
      <c r="F3376" s="2">
        <v>22</v>
      </c>
      <c r="G3376" s="2">
        <v>22</v>
      </c>
      <c r="H3376" s="2">
        <v>0</v>
      </c>
      <c r="I3376" s="1">
        <v>0</v>
      </c>
      <c r="J3376" s="26">
        <v>45198</v>
      </c>
      <c r="K3376" s="22">
        <v>165000</v>
      </c>
      <c r="L3376" s="18">
        <v>176.47</v>
      </c>
      <c r="M3376" s="22">
        <v>118800</v>
      </c>
      <c r="N3376" s="22">
        <v>46200</v>
      </c>
      <c r="O3376" s="18">
        <v>49.41</v>
      </c>
      <c r="P3376" s="52">
        <f>IF(COUNTIF(TblPurchases[BatchID],TblOutcomes[[#This Row],[BatchID]])&lt;&gt;1,"n.a.",TblOutcomes[[#This Row],[Qty Wasted]]*SUMIFS(TblPurchases[Unit Cost (CLP)],TblPurchases[BatchID],TblOutcomes[[#This Row],[BatchID]]))</f>
        <v>0</v>
      </c>
      <c r="Q3376" s="51">
        <f>IF(COUNTIF(TblPurchases[BatchID],TblOutcomes[[#This Row],[BatchID]])&lt;&gt;1,"n.a.",SUMIFS(TblPurchases[Purchase Date],TblPurchases[BatchID],TblOutcomes[[#This Row],[BatchID]]))</f>
        <v>45164</v>
      </c>
    </row>
    <row r="3377" spans="2:17" x14ac:dyDescent="0.25">
      <c r="B3377" s="2" t="s">
        <v>4182</v>
      </c>
      <c r="C3377" s="2" t="s">
        <v>358</v>
      </c>
      <c r="D3377" s="2" t="s">
        <v>341</v>
      </c>
      <c r="E3377" s="2" t="s">
        <v>4647</v>
      </c>
      <c r="F3377" s="2">
        <v>31</v>
      </c>
      <c r="G3377" s="2">
        <v>31</v>
      </c>
      <c r="H3377" s="2">
        <v>0</v>
      </c>
      <c r="I3377" s="1">
        <v>0</v>
      </c>
      <c r="J3377" s="26">
        <v>45227</v>
      </c>
      <c r="K3377" s="22">
        <v>232500</v>
      </c>
      <c r="L3377" s="18">
        <v>248.66</v>
      </c>
      <c r="M3377" s="22">
        <v>167400</v>
      </c>
      <c r="N3377" s="22">
        <v>65100</v>
      </c>
      <c r="O3377" s="18">
        <v>69.63</v>
      </c>
      <c r="P3377" s="52">
        <f>IF(COUNTIF(TblPurchases[BatchID],TblOutcomes[[#This Row],[BatchID]])&lt;&gt;1,"n.a.",TblOutcomes[[#This Row],[Qty Wasted]]*SUMIFS(TblPurchases[Unit Cost (CLP)],TblPurchases[BatchID],TblOutcomes[[#This Row],[BatchID]]))</f>
        <v>0</v>
      </c>
      <c r="Q3377" s="51">
        <f>IF(COUNTIF(TblPurchases[BatchID],TblOutcomes[[#This Row],[BatchID]])&lt;&gt;1,"n.a.",SUMIFS(TblPurchases[Purchase Date],TblPurchases[BatchID],TblOutcomes[[#This Row],[BatchID]]))</f>
        <v>45198</v>
      </c>
    </row>
    <row r="3378" spans="2:17" x14ac:dyDescent="0.25">
      <c r="B3378" s="2" t="s">
        <v>4183</v>
      </c>
      <c r="C3378" s="2" t="s">
        <v>358</v>
      </c>
      <c r="D3378" s="2" t="s">
        <v>341</v>
      </c>
      <c r="E3378" s="2" t="s">
        <v>4646</v>
      </c>
      <c r="F3378" s="2">
        <v>10</v>
      </c>
      <c r="G3378" s="2">
        <v>9.3699999999999992</v>
      </c>
      <c r="H3378" s="2">
        <v>0.63</v>
      </c>
      <c r="I3378" s="1">
        <v>6.3</v>
      </c>
      <c r="J3378" s="26">
        <v>45538</v>
      </c>
      <c r="K3378" s="22">
        <v>70275</v>
      </c>
      <c r="L3378" s="18">
        <v>75.16</v>
      </c>
      <c r="M3378" s="22">
        <v>54000</v>
      </c>
      <c r="N3378" s="22">
        <v>16275</v>
      </c>
      <c r="O3378" s="18">
        <v>17.41</v>
      </c>
      <c r="P3378" s="52">
        <f>IF(COUNTIF(TblPurchases[BatchID],TblOutcomes[[#This Row],[BatchID]])&lt;&gt;1,"n.a.",TblOutcomes[[#This Row],[Qty Wasted]]*SUMIFS(TblPurchases[Unit Cost (CLP)],TblPurchases[BatchID],TblOutcomes[[#This Row],[BatchID]]))</f>
        <v>3402</v>
      </c>
      <c r="Q3378" s="51">
        <f>IF(COUNTIF(TblPurchases[BatchID],TblOutcomes[[#This Row],[BatchID]])&lt;&gt;1,"n.a.",SUMIFS(TblPurchases[Purchase Date],TblPurchases[BatchID],TblOutcomes[[#This Row],[BatchID]]))</f>
        <v>45238</v>
      </c>
    </row>
    <row r="3379" spans="2:17" x14ac:dyDescent="0.25">
      <c r="B3379" s="2" t="s">
        <v>4184</v>
      </c>
      <c r="C3379" s="2" t="s">
        <v>358</v>
      </c>
      <c r="D3379" s="2" t="s">
        <v>341</v>
      </c>
      <c r="E3379" s="2" t="s">
        <v>4647</v>
      </c>
      <c r="F3379" s="2">
        <v>11</v>
      </c>
      <c r="G3379" s="2">
        <v>11</v>
      </c>
      <c r="H3379" s="2">
        <v>0</v>
      </c>
      <c r="I3379" s="1">
        <v>0</v>
      </c>
      <c r="J3379" s="26">
        <v>45288</v>
      </c>
      <c r="K3379" s="22">
        <v>82500</v>
      </c>
      <c r="L3379" s="18">
        <v>88.24</v>
      </c>
      <c r="M3379" s="22">
        <v>59400</v>
      </c>
      <c r="N3379" s="22">
        <v>23100</v>
      </c>
      <c r="O3379" s="18">
        <v>24.71</v>
      </c>
      <c r="P3379" s="52">
        <f>IF(COUNTIF(TblPurchases[BatchID],TblOutcomes[[#This Row],[BatchID]])&lt;&gt;1,"n.a.",TblOutcomes[[#This Row],[Qty Wasted]]*SUMIFS(TblPurchases[Unit Cost (CLP)],TblPurchases[BatchID],TblOutcomes[[#This Row],[BatchID]]))</f>
        <v>0</v>
      </c>
      <c r="Q3379" s="51">
        <f>IF(COUNTIF(TblPurchases[BatchID],TblOutcomes[[#This Row],[BatchID]])&lt;&gt;1,"n.a.",SUMIFS(TblPurchases[Purchase Date],TblPurchases[BatchID],TblOutcomes[[#This Row],[BatchID]]))</f>
        <v>45273</v>
      </c>
    </row>
    <row r="3380" spans="2:17" x14ac:dyDescent="0.25">
      <c r="B3380" s="2" t="s">
        <v>4185</v>
      </c>
      <c r="C3380" s="2" t="s">
        <v>358</v>
      </c>
      <c r="D3380" s="2" t="s">
        <v>341</v>
      </c>
      <c r="E3380" s="2" t="s">
        <v>4646</v>
      </c>
      <c r="F3380" s="2">
        <v>9</v>
      </c>
      <c r="G3380" s="2">
        <v>8.23</v>
      </c>
      <c r="H3380" s="2">
        <v>0.77</v>
      </c>
      <c r="I3380" s="1">
        <v>8.5</v>
      </c>
      <c r="J3380" s="26">
        <v>45610</v>
      </c>
      <c r="K3380" s="22">
        <v>61725</v>
      </c>
      <c r="L3380" s="18">
        <v>66.02</v>
      </c>
      <c r="M3380" s="22">
        <v>48600</v>
      </c>
      <c r="N3380" s="22">
        <v>13125</v>
      </c>
      <c r="O3380" s="18">
        <v>14.04</v>
      </c>
      <c r="P3380" s="52">
        <f>IF(COUNTIF(TblPurchases[BatchID],TblOutcomes[[#This Row],[BatchID]])&lt;&gt;1,"n.a.",TblOutcomes[[#This Row],[Qty Wasted]]*SUMIFS(TblPurchases[Unit Cost (CLP)],TblPurchases[BatchID],TblOutcomes[[#This Row],[BatchID]]))</f>
        <v>4158</v>
      </c>
      <c r="Q3380" s="51">
        <f>IF(COUNTIF(TblPurchases[BatchID],TblOutcomes[[#This Row],[BatchID]])&lt;&gt;1,"n.a.",SUMIFS(TblPurchases[Purchase Date],TblPurchases[BatchID],TblOutcomes[[#This Row],[BatchID]]))</f>
        <v>45310</v>
      </c>
    </row>
    <row r="3381" spans="2:17" x14ac:dyDescent="0.25">
      <c r="B3381" s="2" t="s">
        <v>4186</v>
      </c>
      <c r="C3381" s="2" t="s">
        <v>358</v>
      </c>
      <c r="D3381" s="2" t="s">
        <v>341</v>
      </c>
      <c r="E3381" s="2" t="s">
        <v>4646</v>
      </c>
      <c r="F3381" s="2">
        <v>10</v>
      </c>
      <c r="G3381" s="2">
        <v>9.32</v>
      </c>
      <c r="H3381" s="2">
        <v>0.68</v>
      </c>
      <c r="I3381" s="1">
        <v>6.8</v>
      </c>
      <c r="J3381" s="26">
        <v>45649</v>
      </c>
      <c r="K3381" s="22">
        <v>69900</v>
      </c>
      <c r="L3381" s="18">
        <v>74.760000000000005</v>
      </c>
      <c r="M3381" s="22">
        <v>54000</v>
      </c>
      <c r="N3381" s="22">
        <v>15900</v>
      </c>
      <c r="O3381" s="18">
        <v>17.010000000000002</v>
      </c>
      <c r="P3381" s="52">
        <f>IF(COUNTIF(TblPurchases[BatchID],TblOutcomes[[#This Row],[BatchID]])&lt;&gt;1,"n.a.",TblOutcomes[[#This Row],[Qty Wasted]]*SUMIFS(TblPurchases[Unit Cost (CLP)],TblPurchases[BatchID],TblOutcomes[[#This Row],[BatchID]]))</f>
        <v>3672.0000000000005</v>
      </c>
      <c r="Q3381" s="51">
        <f>IF(COUNTIF(TblPurchases[BatchID],TblOutcomes[[#This Row],[BatchID]])&lt;&gt;1,"n.a.",SUMIFS(TblPurchases[Purchase Date],TblPurchases[BatchID],TblOutcomes[[#This Row],[BatchID]]))</f>
        <v>45349</v>
      </c>
    </row>
    <row r="3382" spans="2:17" x14ac:dyDescent="0.25">
      <c r="B3382" s="2" t="s">
        <v>4187</v>
      </c>
      <c r="C3382" s="2" t="s">
        <v>358</v>
      </c>
      <c r="D3382" s="2" t="s">
        <v>341</v>
      </c>
      <c r="E3382" s="2" t="s">
        <v>4646</v>
      </c>
      <c r="F3382" s="2">
        <v>9</v>
      </c>
      <c r="G3382" s="2">
        <v>8.5</v>
      </c>
      <c r="H3382" s="2">
        <v>0.49</v>
      </c>
      <c r="I3382" s="1">
        <v>5.5</v>
      </c>
      <c r="J3382" s="26">
        <v>45682</v>
      </c>
      <c r="K3382" s="22">
        <v>63750</v>
      </c>
      <c r="L3382" s="18">
        <v>68.180000000000007</v>
      </c>
      <c r="M3382" s="22">
        <v>48600</v>
      </c>
      <c r="N3382" s="22">
        <v>15150</v>
      </c>
      <c r="O3382" s="18">
        <v>16.2</v>
      </c>
      <c r="P3382" s="52">
        <f>IF(COUNTIF(TblPurchases[BatchID],TblOutcomes[[#This Row],[BatchID]])&lt;&gt;1,"n.a.",TblOutcomes[[#This Row],[Qty Wasted]]*SUMIFS(TblPurchases[Unit Cost (CLP)],TblPurchases[BatchID],TblOutcomes[[#This Row],[BatchID]]))</f>
        <v>2646</v>
      </c>
      <c r="Q3382" s="51">
        <f>IF(COUNTIF(TblPurchases[BatchID],TblOutcomes[[#This Row],[BatchID]])&lt;&gt;1,"n.a.",SUMIFS(TblPurchases[Purchase Date],TblPurchases[BatchID],TblOutcomes[[#This Row],[BatchID]]))</f>
        <v>45382</v>
      </c>
    </row>
    <row r="3383" spans="2:17" x14ac:dyDescent="0.25">
      <c r="B3383" s="2" t="s">
        <v>4188</v>
      </c>
      <c r="C3383" s="2" t="s">
        <v>358</v>
      </c>
      <c r="D3383" s="2" t="s">
        <v>341</v>
      </c>
      <c r="E3383" s="2" t="s">
        <v>4646</v>
      </c>
      <c r="F3383" s="2">
        <v>22</v>
      </c>
      <c r="G3383" s="2">
        <v>21.38</v>
      </c>
      <c r="H3383" s="2">
        <v>0.62</v>
      </c>
      <c r="I3383" s="1">
        <v>2.8</v>
      </c>
      <c r="J3383" s="26">
        <v>45722</v>
      </c>
      <c r="K3383" s="22">
        <v>160350</v>
      </c>
      <c r="L3383" s="18">
        <v>171.5</v>
      </c>
      <c r="M3383" s="22">
        <v>118800</v>
      </c>
      <c r="N3383" s="22">
        <v>41550</v>
      </c>
      <c r="O3383" s="18">
        <v>44.44</v>
      </c>
      <c r="P3383" s="52">
        <f>IF(COUNTIF(TblPurchases[BatchID],TblOutcomes[[#This Row],[BatchID]])&lt;&gt;1,"n.a.",TblOutcomes[[#This Row],[Qty Wasted]]*SUMIFS(TblPurchases[Unit Cost (CLP)],TblPurchases[BatchID],TblOutcomes[[#This Row],[BatchID]]))</f>
        <v>3348</v>
      </c>
      <c r="Q3383" s="51">
        <f>IF(COUNTIF(TblPurchases[BatchID],TblOutcomes[[#This Row],[BatchID]])&lt;&gt;1,"n.a.",SUMIFS(TblPurchases[Purchase Date],TblPurchases[BatchID],TblOutcomes[[#This Row],[BatchID]]))</f>
        <v>45422</v>
      </c>
    </row>
    <row r="3384" spans="2:17" x14ac:dyDescent="0.25">
      <c r="B3384" s="2" t="s">
        <v>4189</v>
      </c>
      <c r="C3384" s="2" t="s">
        <v>358</v>
      </c>
      <c r="D3384" s="2" t="s">
        <v>341</v>
      </c>
      <c r="E3384" s="2" t="s">
        <v>4646</v>
      </c>
      <c r="F3384" s="2">
        <v>25</v>
      </c>
      <c r="G3384" s="2">
        <v>24.6</v>
      </c>
      <c r="H3384" s="2">
        <v>0.4</v>
      </c>
      <c r="I3384" s="1">
        <v>1.6</v>
      </c>
      <c r="J3384" s="26">
        <v>45759</v>
      </c>
      <c r="K3384" s="22">
        <v>184500</v>
      </c>
      <c r="L3384" s="18">
        <v>197.33</v>
      </c>
      <c r="M3384" s="22">
        <v>135000</v>
      </c>
      <c r="N3384" s="22">
        <v>49500</v>
      </c>
      <c r="O3384" s="18">
        <v>52.94</v>
      </c>
      <c r="P3384" s="52">
        <f>IF(COUNTIF(TblPurchases[BatchID],TblOutcomes[[#This Row],[BatchID]])&lt;&gt;1,"n.a.",TblOutcomes[[#This Row],[Qty Wasted]]*SUMIFS(TblPurchases[Unit Cost (CLP)],TblPurchases[BatchID],TblOutcomes[[#This Row],[BatchID]]))</f>
        <v>2160</v>
      </c>
      <c r="Q3384" s="51">
        <f>IF(COUNTIF(TblPurchases[BatchID],TblOutcomes[[#This Row],[BatchID]])&lt;&gt;1,"n.a.",SUMIFS(TblPurchases[Purchase Date],TblPurchases[BatchID],TblOutcomes[[#This Row],[BatchID]]))</f>
        <v>45459</v>
      </c>
    </row>
    <row r="3385" spans="2:17" x14ac:dyDescent="0.25">
      <c r="B3385" s="2" t="s">
        <v>4190</v>
      </c>
      <c r="C3385" s="2" t="s">
        <v>358</v>
      </c>
      <c r="D3385" s="2" t="s">
        <v>341</v>
      </c>
      <c r="E3385" s="2" t="s">
        <v>4647</v>
      </c>
      <c r="F3385" s="2">
        <v>22</v>
      </c>
      <c r="G3385" s="2">
        <v>22</v>
      </c>
      <c r="H3385" s="2">
        <v>0</v>
      </c>
      <c r="I3385" s="1">
        <v>0</v>
      </c>
      <c r="J3385" s="26">
        <v>45523</v>
      </c>
      <c r="K3385" s="22">
        <v>165000</v>
      </c>
      <c r="L3385" s="18">
        <v>176.47</v>
      </c>
      <c r="M3385" s="22">
        <v>118800</v>
      </c>
      <c r="N3385" s="22">
        <v>46200</v>
      </c>
      <c r="O3385" s="18">
        <v>49.41</v>
      </c>
      <c r="P3385" s="52">
        <f>IF(COUNTIF(TblPurchases[BatchID],TblOutcomes[[#This Row],[BatchID]])&lt;&gt;1,"n.a.",TblOutcomes[[#This Row],[Qty Wasted]]*SUMIFS(TblPurchases[Unit Cost (CLP)],TblPurchases[BatchID],TblOutcomes[[#This Row],[BatchID]]))</f>
        <v>0</v>
      </c>
      <c r="Q3385" s="51">
        <f>IF(COUNTIF(TblPurchases[BatchID],TblOutcomes[[#This Row],[BatchID]])&lt;&gt;1,"n.a.",SUMIFS(TblPurchases[Purchase Date],TblPurchases[BatchID],TblOutcomes[[#This Row],[BatchID]]))</f>
        <v>45483</v>
      </c>
    </row>
    <row r="3386" spans="2:17" x14ac:dyDescent="0.25">
      <c r="B3386" s="2" t="s">
        <v>4191</v>
      </c>
      <c r="C3386" s="2" t="s">
        <v>358</v>
      </c>
      <c r="D3386" s="2" t="s">
        <v>341</v>
      </c>
      <c r="E3386" s="2" t="s">
        <v>4647</v>
      </c>
      <c r="F3386" s="2">
        <v>25</v>
      </c>
      <c r="G3386" s="2">
        <v>25</v>
      </c>
      <c r="H3386" s="2">
        <v>0</v>
      </c>
      <c r="I3386" s="1">
        <v>0</v>
      </c>
      <c r="J3386" s="26">
        <v>45532</v>
      </c>
      <c r="K3386" s="22">
        <v>187500</v>
      </c>
      <c r="L3386" s="18">
        <v>200.53</v>
      </c>
      <c r="M3386" s="22">
        <v>135000</v>
      </c>
      <c r="N3386" s="22">
        <v>52500</v>
      </c>
      <c r="O3386" s="18">
        <v>56.15</v>
      </c>
      <c r="P3386" s="52">
        <f>IF(COUNTIF(TblPurchases[BatchID],TblOutcomes[[#This Row],[BatchID]])&lt;&gt;1,"n.a.",TblOutcomes[[#This Row],[Qty Wasted]]*SUMIFS(TblPurchases[Unit Cost (CLP)],TblPurchases[BatchID],TblOutcomes[[#This Row],[BatchID]]))</f>
        <v>0</v>
      </c>
      <c r="Q3386" s="51">
        <f>IF(COUNTIF(TblPurchases[BatchID],TblOutcomes[[#This Row],[BatchID]])&lt;&gt;1,"n.a.",SUMIFS(TblPurchases[Purchase Date],TblPurchases[BatchID],TblOutcomes[[#This Row],[BatchID]]))</f>
        <v>45511</v>
      </c>
    </row>
    <row r="3387" spans="2:17" x14ac:dyDescent="0.25">
      <c r="B3387" s="2" t="s">
        <v>4192</v>
      </c>
      <c r="C3387" s="2" t="s">
        <v>358</v>
      </c>
      <c r="D3387" s="2" t="s">
        <v>341</v>
      </c>
      <c r="E3387" s="2" t="s">
        <v>4647</v>
      </c>
      <c r="F3387" s="2">
        <v>25</v>
      </c>
      <c r="G3387" s="2">
        <v>25</v>
      </c>
      <c r="H3387" s="2">
        <v>0</v>
      </c>
      <c r="I3387" s="1">
        <v>0</v>
      </c>
      <c r="J3387" s="26">
        <v>45560</v>
      </c>
      <c r="K3387" s="22">
        <v>187500</v>
      </c>
      <c r="L3387" s="18">
        <v>200.53</v>
      </c>
      <c r="M3387" s="22">
        <v>135000</v>
      </c>
      <c r="N3387" s="22">
        <v>52500</v>
      </c>
      <c r="O3387" s="18">
        <v>56.15</v>
      </c>
      <c r="P3387" s="52">
        <f>IF(COUNTIF(TblPurchases[BatchID],TblOutcomes[[#This Row],[BatchID]])&lt;&gt;1,"n.a.",TblOutcomes[[#This Row],[Qty Wasted]]*SUMIFS(TblPurchases[Unit Cost (CLP)],TblPurchases[BatchID],TblOutcomes[[#This Row],[BatchID]]))</f>
        <v>0</v>
      </c>
      <c r="Q3387" s="51">
        <f>IF(COUNTIF(TblPurchases[BatchID],TblOutcomes[[#This Row],[BatchID]])&lt;&gt;1,"n.a.",SUMIFS(TblPurchases[Purchase Date],TblPurchases[BatchID],TblOutcomes[[#This Row],[BatchID]]))</f>
        <v>45535</v>
      </c>
    </row>
    <row r="3388" spans="2:17" x14ac:dyDescent="0.25">
      <c r="B3388" s="2" t="s">
        <v>4193</v>
      </c>
      <c r="C3388" s="2" t="s">
        <v>358</v>
      </c>
      <c r="D3388" s="2" t="s">
        <v>341</v>
      </c>
      <c r="E3388" s="2" t="s">
        <v>4647</v>
      </c>
      <c r="F3388" s="2">
        <v>27</v>
      </c>
      <c r="G3388" s="2">
        <v>27</v>
      </c>
      <c r="H3388" s="2">
        <v>0</v>
      </c>
      <c r="I3388" s="1">
        <v>0</v>
      </c>
      <c r="J3388" s="26">
        <v>45570</v>
      </c>
      <c r="K3388" s="22">
        <v>202500</v>
      </c>
      <c r="L3388" s="18">
        <v>216.58</v>
      </c>
      <c r="M3388" s="22">
        <v>145800</v>
      </c>
      <c r="N3388" s="22">
        <v>56700</v>
      </c>
      <c r="O3388" s="18">
        <v>60.64</v>
      </c>
      <c r="P3388" s="52">
        <f>IF(COUNTIF(TblPurchases[BatchID],TblOutcomes[[#This Row],[BatchID]])&lt;&gt;1,"n.a.",TblOutcomes[[#This Row],[Qty Wasted]]*SUMIFS(TblPurchases[Unit Cost (CLP)],TblPurchases[BatchID],TblOutcomes[[#This Row],[BatchID]]))</f>
        <v>0</v>
      </c>
      <c r="Q3388" s="51">
        <f>IF(COUNTIF(TblPurchases[BatchID],TblOutcomes[[#This Row],[BatchID]])&lt;&gt;1,"n.a.",SUMIFS(TblPurchases[Purchase Date],TblPurchases[BatchID],TblOutcomes[[#This Row],[BatchID]]))</f>
        <v>45556</v>
      </c>
    </row>
    <row r="3389" spans="2:17" x14ac:dyDescent="0.25">
      <c r="B3389" s="2" t="s">
        <v>4194</v>
      </c>
      <c r="C3389" s="2" t="s">
        <v>358</v>
      </c>
      <c r="D3389" s="2" t="s">
        <v>341</v>
      </c>
      <c r="E3389" s="2" t="s">
        <v>4646</v>
      </c>
      <c r="F3389" s="2">
        <v>8</v>
      </c>
      <c r="G3389" s="2">
        <v>7.8</v>
      </c>
      <c r="H3389" s="2">
        <v>0.2</v>
      </c>
      <c r="I3389" s="1">
        <v>2.5</v>
      </c>
      <c r="J3389" s="26">
        <v>45884</v>
      </c>
      <c r="K3389" s="22">
        <v>58500</v>
      </c>
      <c r="L3389" s="18">
        <v>62.57</v>
      </c>
      <c r="M3389" s="22">
        <v>43200</v>
      </c>
      <c r="N3389" s="22">
        <v>15300</v>
      </c>
      <c r="O3389" s="18">
        <v>16.36</v>
      </c>
      <c r="P3389" s="52">
        <f>IF(COUNTIF(TblPurchases[BatchID],TblOutcomes[[#This Row],[BatchID]])&lt;&gt;1,"n.a.",TblOutcomes[[#This Row],[Qty Wasted]]*SUMIFS(TblPurchases[Unit Cost (CLP)],TblPurchases[BatchID],TblOutcomes[[#This Row],[BatchID]]))</f>
        <v>1080</v>
      </c>
      <c r="Q3389" s="51">
        <f>IF(COUNTIF(TblPurchases[BatchID],TblOutcomes[[#This Row],[BatchID]])&lt;&gt;1,"n.a.",SUMIFS(TblPurchases[Purchase Date],TblPurchases[BatchID],TblOutcomes[[#This Row],[BatchID]]))</f>
        <v>45584</v>
      </c>
    </row>
    <row r="3390" spans="2:17" x14ac:dyDescent="0.25">
      <c r="B3390" s="2" t="s">
        <v>4195</v>
      </c>
      <c r="C3390" s="2" t="s">
        <v>358</v>
      </c>
      <c r="D3390" s="2" t="s">
        <v>341</v>
      </c>
      <c r="E3390" s="2" t="s">
        <v>4646</v>
      </c>
      <c r="F3390" s="2">
        <v>9</v>
      </c>
      <c r="G3390" s="2">
        <v>8.44</v>
      </c>
      <c r="H3390" s="2">
        <v>0.56000000000000005</v>
      </c>
      <c r="I3390" s="1">
        <v>6.2</v>
      </c>
      <c r="J3390" s="26">
        <v>45915</v>
      </c>
      <c r="K3390" s="22">
        <v>63300</v>
      </c>
      <c r="L3390" s="18">
        <v>67.7</v>
      </c>
      <c r="M3390" s="22">
        <v>48600</v>
      </c>
      <c r="N3390" s="22">
        <v>14700</v>
      </c>
      <c r="O3390" s="18">
        <v>15.72</v>
      </c>
      <c r="P3390" s="52">
        <f>IF(COUNTIF(TblPurchases[BatchID],TblOutcomes[[#This Row],[BatchID]])&lt;&gt;1,"n.a.",TblOutcomes[[#This Row],[Qty Wasted]]*SUMIFS(TblPurchases[Unit Cost (CLP)],TblPurchases[BatchID],TblOutcomes[[#This Row],[BatchID]]))</f>
        <v>3024.0000000000005</v>
      </c>
      <c r="Q3390" s="51">
        <f>IF(COUNTIF(TblPurchases[BatchID],TblOutcomes[[#This Row],[BatchID]])&lt;&gt;1,"n.a.",SUMIFS(TblPurchases[Purchase Date],TblPurchases[BatchID],TblOutcomes[[#This Row],[BatchID]]))</f>
        <v>45615</v>
      </c>
    </row>
    <row r="3391" spans="2:17" x14ac:dyDescent="0.25">
      <c r="B3391" s="2" t="s">
        <v>4196</v>
      </c>
      <c r="C3391" s="2" t="s">
        <v>358</v>
      </c>
      <c r="D3391" s="2" t="s">
        <v>341</v>
      </c>
      <c r="E3391" s="2" t="s">
        <v>4646</v>
      </c>
      <c r="F3391" s="2">
        <v>11</v>
      </c>
      <c r="G3391" s="2">
        <v>10.68</v>
      </c>
      <c r="H3391" s="2">
        <v>0.32</v>
      </c>
      <c r="I3391" s="1">
        <v>2.9</v>
      </c>
      <c r="J3391" s="26">
        <v>45954</v>
      </c>
      <c r="K3391" s="22">
        <v>80100</v>
      </c>
      <c r="L3391" s="18">
        <v>85.67</v>
      </c>
      <c r="M3391" s="22">
        <v>59400</v>
      </c>
      <c r="N3391" s="22">
        <v>20700</v>
      </c>
      <c r="O3391" s="18">
        <v>22.14</v>
      </c>
      <c r="P3391" s="52">
        <f>IF(COUNTIF(TblPurchases[BatchID],TblOutcomes[[#This Row],[BatchID]])&lt;&gt;1,"n.a.",TblOutcomes[[#This Row],[Qty Wasted]]*SUMIFS(TblPurchases[Unit Cost (CLP)],TblPurchases[BatchID],TblOutcomes[[#This Row],[BatchID]]))</f>
        <v>1728</v>
      </c>
      <c r="Q3391" s="51">
        <f>IF(COUNTIF(TblPurchases[BatchID],TblOutcomes[[#This Row],[BatchID]])&lt;&gt;1,"n.a.",SUMIFS(TblPurchases[Purchase Date],TblPurchases[BatchID],TblOutcomes[[#This Row],[BatchID]]))</f>
        <v>45654</v>
      </c>
    </row>
    <row r="3392" spans="2:17" x14ac:dyDescent="0.25">
      <c r="B3392" s="2" t="s">
        <v>4197</v>
      </c>
      <c r="C3392" s="2" t="s">
        <v>358</v>
      </c>
      <c r="D3392" s="2" t="s">
        <v>341</v>
      </c>
      <c r="E3392" s="2" t="s">
        <v>4646</v>
      </c>
      <c r="F3392" s="2">
        <v>9</v>
      </c>
      <c r="G3392" s="2">
        <v>8.33</v>
      </c>
      <c r="H3392" s="2">
        <v>0.67</v>
      </c>
      <c r="I3392" s="1">
        <v>7.4</v>
      </c>
      <c r="J3392" s="26">
        <v>45989</v>
      </c>
      <c r="K3392" s="22">
        <v>62475</v>
      </c>
      <c r="L3392" s="18">
        <v>66.819999999999993</v>
      </c>
      <c r="M3392" s="22">
        <v>48600</v>
      </c>
      <c r="N3392" s="22">
        <v>13875</v>
      </c>
      <c r="O3392" s="18">
        <v>14.84</v>
      </c>
      <c r="P3392" s="52">
        <f>IF(COUNTIF(TblPurchases[BatchID],TblOutcomes[[#This Row],[BatchID]])&lt;&gt;1,"n.a.",TblOutcomes[[#This Row],[Qty Wasted]]*SUMIFS(TblPurchases[Unit Cost (CLP)],TblPurchases[BatchID],TblOutcomes[[#This Row],[BatchID]]))</f>
        <v>3618</v>
      </c>
      <c r="Q3392" s="51">
        <f>IF(COUNTIF(TblPurchases[BatchID],TblOutcomes[[#This Row],[BatchID]])&lt;&gt;1,"n.a.",SUMIFS(TblPurchases[Purchase Date],TblPurchases[BatchID],TblOutcomes[[#This Row],[BatchID]]))</f>
        <v>45689</v>
      </c>
    </row>
    <row r="3393" spans="2:17" x14ac:dyDescent="0.25">
      <c r="B3393" s="2" t="s">
        <v>4198</v>
      </c>
      <c r="C3393" s="2" t="s">
        <v>358</v>
      </c>
      <c r="D3393" s="2" t="s">
        <v>341</v>
      </c>
      <c r="E3393" s="2" t="s">
        <v>4647</v>
      </c>
      <c r="F3393" s="2">
        <v>10</v>
      </c>
      <c r="G3393" s="2">
        <v>10</v>
      </c>
      <c r="H3393" s="2">
        <v>0</v>
      </c>
      <c r="I3393" s="1">
        <v>0</v>
      </c>
      <c r="J3393" s="26">
        <v>45762</v>
      </c>
      <c r="K3393" s="22">
        <v>75000</v>
      </c>
      <c r="L3393" s="18">
        <v>80.209999999999994</v>
      </c>
      <c r="M3393" s="22">
        <v>54000</v>
      </c>
      <c r="N3393" s="22">
        <v>21000</v>
      </c>
      <c r="O3393" s="18">
        <v>22.46</v>
      </c>
      <c r="P3393" s="52">
        <f>IF(COUNTIF(TblPurchases[BatchID],TblOutcomes[[#This Row],[BatchID]])&lt;&gt;1,"n.a.",TblOutcomes[[#This Row],[Qty Wasted]]*SUMIFS(TblPurchases[Unit Cost (CLP)],TblPurchases[BatchID],TblOutcomes[[#This Row],[BatchID]]))</f>
        <v>0</v>
      </c>
      <c r="Q3393" s="51">
        <f>IF(COUNTIF(TblPurchases[BatchID],TblOutcomes[[#This Row],[BatchID]])&lt;&gt;1,"n.a.",SUMIFS(TblPurchases[Purchase Date],TblPurchases[BatchID],TblOutcomes[[#This Row],[BatchID]]))</f>
        <v>45723</v>
      </c>
    </row>
    <row r="3394" spans="2:17" x14ac:dyDescent="0.25">
      <c r="B3394" s="2" t="s">
        <v>4199</v>
      </c>
      <c r="C3394" s="2" t="s">
        <v>358</v>
      </c>
      <c r="D3394" s="2" t="s">
        <v>341</v>
      </c>
      <c r="E3394" s="2" t="s">
        <v>4647</v>
      </c>
      <c r="F3394" s="2">
        <v>22</v>
      </c>
      <c r="G3394" s="2">
        <v>22</v>
      </c>
      <c r="H3394" s="2">
        <v>0</v>
      </c>
      <c r="I3394" s="1">
        <v>0</v>
      </c>
      <c r="J3394" s="26">
        <v>45785</v>
      </c>
      <c r="K3394" s="22">
        <v>165000</v>
      </c>
      <c r="L3394" s="18">
        <v>176.47</v>
      </c>
      <c r="M3394" s="22">
        <v>118800</v>
      </c>
      <c r="N3394" s="22">
        <v>46200</v>
      </c>
      <c r="O3394" s="18">
        <v>49.41</v>
      </c>
      <c r="P3394" s="52">
        <f>IF(COUNTIF(TblPurchases[BatchID],TblOutcomes[[#This Row],[BatchID]])&lt;&gt;1,"n.a.",TblOutcomes[[#This Row],[Qty Wasted]]*SUMIFS(TblPurchases[Unit Cost (CLP)],TblPurchases[BatchID],TblOutcomes[[#This Row],[BatchID]]))</f>
        <v>0</v>
      </c>
      <c r="Q3394" s="51">
        <f>IF(COUNTIF(TblPurchases[BatchID],TblOutcomes[[#This Row],[BatchID]])&lt;&gt;1,"n.a.",SUMIFS(TblPurchases[Purchase Date],TblPurchases[BatchID],TblOutcomes[[#This Row],[BatchID]]))</f>
        <v>45759</v>
      </c>
    </row>
    <row r="3395" spans="2:17" x14ac:dyDescent="0.25">
      <c r="B3395" s="2" t="s">
        <v>4200</v>
      </c>
      <c r="C3395" s="2" t="s">
        <v>358</v>
      </c>
      <c r="D3395" s="2" t="s">
        <v>341</v>
      </c>
      <c r="E3395" s="2" t="s">
        <v>4647</v>
      </c>
      <c r="F3395" s="2">
        <v>29</v>
      </c>
      <c r="G3395" s="2">
        <v>29</v>
      </c>
      <c r="H3395" s="2">
        <v>0</v>
      </c>
      <c r="I3395" s="1">
        <v>0</v>
      </c>
      <c r="J3395" s="26">
        <v>45835</v>
      </c>
      <c r="K3395" s="22">
        <v>217500</v>
      </c>
      <c r="L3395" s="18">
        <v>232.62</v>
      </c>
      <c r="M3395" s="22">
        <v>156600</v>
      </c>
      <c r="N3395" s="22">
        <v>60900</v>
      </c>
      <c r="O3395" s="18">
        <v>65.13</v>
      </c>
      <c r="P3395" s="52">
        <f>IF(COUNTIF(TblPurchases[BatchID],TblOutcomes[[#This Row],[BatchID]])&lt;&gt;1,"n.a.",TblOutcomes[[#This Row],[Qty Wasted]]*SUMIFS(TblPurchases[Unit Cost (CLP)],TblPurchases[BatchID],TblOutcomes[[#This Row],[BatchID]]))</f>
        <v>0</v>
      </c>
      <c r="Q3395" s="51">
        <f>IF(COUNTIF(TblPurchases[BatchID],TblOutcomes[[#This Row],[BatchID]])&lt;&gt;1,"n.a.",SUMIFS(TblPurchases[Purchase Date],TblPurchases[BatchID],TblOutcomes[[#This Row],[BatchID]]))</f>
        <v>45796</v>
      </c>
    </row>
    <row r="3396" spans="2:17" x14ac:dyDescent="0.25">
      <c r="B3396" s="2" t="s">
        <v>4201</v>
      </c>
      <c r="C3396" s="2" t="s">
        <v>358</v>
      </c>
      <c r="D3396" s="2" t="s">
        <v>341</v>
      </c>
      <c r="E3396" s="2" t="s">
        <v>4647</v>
      </c>
      <c r="F3396" s="2">
        <v>26</v>
      </c>
      <c r="G3396" s="2">
        <v>26</v>
      </c>
      <c r="H3396" s="2">
        <v>0</v>
      </c>
      <c r="I3396" s="1">
        <v>0</v>
      </c>
      <c r="J3396" s="26">
        <v>45850</v>
      </c>
      <c r="K3396" s="22">
        <v>195000</v>
      </c>
      <c r="L3396" s="18">
        <v>208.56</v>
      </c>
      <c r="M3396" s="22">
        <v>140400</v>
      </c>
      <c r="N3396" s="22">
        <v>54600</v>
      </c>
      <c r="O3396" s="18">
        <v>58.4</v>
      </c>
      <c r="P3396" s="52">
        <f>IF(COUNTIF(TblPurchases[BatchID],TblOutcomes[[#This Row],[BatchID]])&lt;&gt;1,"n.a.",TblOutcomes[[#This Row],[Qty Wasted]]*SUMIFS(TblPurchases[Unit Cost (CLP)],TblPurchases[BatchID],TblOutcomes[[#This Row],[BatchID]]))</f>
        <v>0</v>
      </c>
      <c r="Q3396" s="51">
        <f>IF(COUNTIF(TblPurchases[BatchID],TblOutcomes[[#This Row],[BatchID]])&lt;&gt;1,"n.a.",SUMIFS(TblPurchases[Purchase Date],TblPurchases[BatchID],TblOutcomes[[#This Row],[BatchID]]))</f>
        <v>45829</v>
      </c>
    </row>
    <row r="3397" spans="2:17" x14ac:dyDescent="0.25">
      <c r="B3397" s="2" t="s">
        <v>4202</v>
      </c>
      <c r="C3397" s="2" t="s">
        <v>360</v>
      </c>
      <c r="D3397" s="2" t="s">
        <v>341</v>
      </c>
      <c r="E3397" s="2" t="s">
        <v>4646</v>
      </c>
      <c r="F3397" s="2">
        <v>17</v>
      </c>
      <c r="G3397" s="2">
        <v>16.59</v>
      </c>
      <c r="H3397" s="2">
        <v>0.41</v>
      </c>
      <c r="I3397" s="1">
        <v>2.4</v>
      </c>
      <c r="J3397" s="26">
        <v>45416</v>
      </c>
      <c r="K3397" s="22">
        <v>99540</v>
      </c>
      <c r="L3397" s="18">
        <v>106.46</v>
      </c>
      <c r="M3397" s="22">
        <v>73100</v>
      </c>
      <c r="N3397" s="22">
        <v>26440</v>
      </c>
      <c r="O3397" s="18">
        <v>28.28</v>
      </c>
      <c r="P3397" s="52">
        <f>IF(COUNTIF(TblPurchases[BatchID],TblOutcomes[[#This Row],[BatchID]])&lt;&gt;1,"n.a.",TblOutcomes[[#This Row],[Qty Wasted]]*SUMIFS(TblPurchases[Unit Cost (CLP)],TblPurchases[BatchID],TblOutcomes[[#This Row],[BatchID]]))</f>
        <v>1763</v>
      </c>
      <c r="Q3397" s="51">
        <f>IF(COUNTIF(TblPurchases[BatchID],TblOutcomes[[#This Row],[BatchID]])&lt;&gt;1,"n.a.",SUMIFS(TblPurchases[Purchase Date],TblPurchases[BatchID],TblOutcomes[[#This Row],[BatchID]]))</f>
        <v>45116</v>
      </c>
    </row>
    <row r="3398" spans="2:17" x14ac:dyDescent="0.25">
      <c r="B3398" s="2" t="s">
        <v>4203</v>
      </c>
      <c r="C3398" s="2" t="s">
        <v>360</v>
      </c>
      <c r="D3398" s="2" t="s">
        <v>341</v>
      </c>
      <c r="E3398" s="2" t="s">
        <v>4647</v>
      </c>
      <c r="F3398" s="2">
        <v>13</v>
      </c>
      <c r="G3398" s="2">
        <v>13</v>
      </c>
      <c r="H3398" s="2">
        <v>0</v>
      </c>
      <c r="I3398" s="1">
        <v>0</v>
      </c>
      <c r="J3398" s="26">
        <v>45168</v>
      </c>
      <c r="K3398" s="22">
        <v>78000</v>
      </c>
      <c r="L3398" s="18">
        <v>83.42</v>
      </c>
      <c r="M3398" s="22">
        <v>55900</v>
      </c>
      <c r="N3398" s="22">
        <v>22100</v>
      </c>
      <c r="O3398" s="18">
        <v>23.64</v>
      </c>
      <c r="P3398" s="52">
        <f>IF(COUNTIF(TblPurchases[BatchID],TblOutcomes[[#This Row],[BatchID]])&lt;&gt;1,"n.a.",TblOutcomes[[#This Row],[Qty Wasted]]*SUMIFS(TblPurchases[Unit Cost (CLP)],TblPurchases[BatchID],TblOutcomes[[#This Row],[BatchID]]))</f>
        <v>0</v>
      </c>
      <c r="Q3398" s="51">
        <f>IF(COUNTIF(TblPurchases[BatchID],TblOutcomes[[#This Row],[BatchID]])&lt;&gt;1,"n.a.",SUMIFS(TblPurchases[Purchase Date],TblPurchases[BatchID],TblOutcomes[[#This Row],[BatchID]]))</f>
        <v>45154</v>
      </c>
    </row>
    <row r="3399" spans="2:17" x14ac:dyDescent="0.25">
      <c r="B3399" s="2" t="s">
        <v>4204</v>
      </c>
      <c r="C3399" s="2" t="s">
        <v>360</v>
      </c>
      <c r="D3399" s="2" t="s">
        <v>341</v>
      </c>
      <c r="E3399" s="2" t="s">
        <v>4646</v>
      </c>
      <c r="F3399" s="2">
        <v>20</v>
      </c>
      <c r="G3399" s="2">
        <v>18.8</v>
      </c>
      <c r="H3399" s="2">
        <v>1.2</v>
      </c>
      <c r="I3399" s="1">
        <v>6</v>
      </c>
      <c r="J3399" s="26">
        <v>45483</v>
      </c>
      <c r="K3399" s="22">
        <v>112800</v>
      </c>
      <c r="L3399" s="18">
        <v>120.64</v>
      </c>
      <c r="M3399" s="22">
        <v>86000</v>
      </c>
      <c r="N3399" s="22">
        <v>26800</v>
      </c>
      <c r="O3399" s="18">
        <v>28.66</v>
      </c>
      <c r="P3399" s="52">
        <f>IF(COUNTIF(TblPurchases[BatchID],TblOutcomes[[#This Row],[BatchID]])&lt;&gt;1,"n.a.",TblOutcomes[[#This Row],[Qty Wasted]]*SUMIFS(TblPurchases[Unit Cost (CLP)],TblPurchases[BatchID],TblOutcomes[[#This Row],[BatchID]]))</f>
        <v>5160</v>
      </c>
      <c r="Q3399" s="51">
        <f>IF(COUNTIF(TblPurchases[BatchID],TblOutcomes[[#This Row],[BatchID]])&lt;&gt;1,"n.a.",SUMIFS(TblPurchases[Purchase Date],TblPurchases[BatchID],TblOutcomes[[#This Row],[BatchID]]))</f>
        <v>45183</v>
      </c>
    </row>
    <row r="3400" spans="2:17" x14ac:dyDescent="0.25">
      <c r="B3400" s="2" t="s">
        <v>4205</v>
      </c>
      <c r="C3400" s="2" t="s">
        <v>360</v>
      </c>
      <c r="D3400" s="2" t="s">
        <v>341</v>
      </c>
      <c r="E3400" s="2" t="s">
        <v>4646</v>
      </c>
      <c r="F3400" s="2">
        <v>14</v>
      </c>
      <c r="G3400" s="2">
        <v>13.47</v>
      </c>
      <c r="H3400" s="2">
        <v>0.53</v>
      </c>
      <c r="I3400" s="1">
        <v>3.8</v>
      </c>
      <c r="J3400" s="26">
        <v>45513</v>
      </c>
      <c r="K3400" s="22">
        <v>80820</v>
      </c>
      <c r="L3400" s="18">
        <v>86.44</v>
      </c>
      <c r="M3400" s="22">
        <v>60200</v>
      </c>
      <c r="N3400" s="22">
        <v>20620</v>
      </c>
      <c r="O3400" s="18">
        <v>22.05</v>
      </c>
      <c r="P3400" s="52">
        <f>IF(COUNTIF(TblPurchases[BatchID],TblOutcomes[[#This Row],[BatchID]])&lt;&gt;1,"n.a.",TblOutcomes[[#This Row],[Qty Wasted]]*SUMIFS(TblPurchases[Unit Cost (CLP)],TblPurchases[BatchID],TblOutcomes[[#This Row],[BatchID]]))</f>
        <v>2279</v>
      </c>
      <c r="Q3400" s="51">
        <f>IF(COUNTIF(TblPurchases[BatchID],TblOutcomes[[#This Row],[BatchID]])&lt;&gt;1,"n.a.",SUMIFS(TblPurchases[Purchase Date],TblPurchases[BatchID],TblOutcomes[[#This Row],[BatchID]]))</f>
        <v>45213</v>
      </c>
    </row>
    <row r="3401" spans="2:17" x14ac:dyDescent="0.25">
      <c r="B3401" s="2" t="s">
        <v>4206</v>
      </c>
      <c r="C3401" s="2" t="s">
        <v>360</v>
      </c>
      <c r="D3401" s="2" t="s">
        <v>341</v>
      </c>
      <c r="E3401" s="2" t="s">
        <v>4646</v>
      </c>
      <c r="F3401" s="2">
        <v>13</v>
      </c>
      <c r="G3401" s="2">
        <v>12.99</v>
      </c>
      <c r="H3401" s="2">
        <v>0.01</v>
      </c>
      <c r="I3401" s="1">
        <v>0.1</v>
      </c>
      <c r="J3401" s="26">
        <v>45542</v>
      </c>
      <c r="K3401" s="22">
        <v>77940</v>
      </c>
      <c r="L3401" s="18">
        <v>83.36</v>
      </c>
      <c r="M3401" s="22">
        <v>55900</v>
      </c>
      <c r="N3401" s="22">
        <v>22040</v>
      </c>
      <c r="O3401" s="18">
        <v>23.57</v>
      </c>
      <c r="P3401" s="52">
        <f>IF(COUNTIF(TblPurchases[BatchID],TblOutcomes[[#This Row],[BatchID]])&lt;&gt;1,"n.a.",TblOutcomes[[#This Row],[Qty Wasted]]*SUMIFS(TblPurchases[Unit Cost (CLP)],TblPurchases[BatchID],TblOutcomes[[#This Row],[BatchID]]))</f>
        <v>43</v>
      </c>
      <c r="Q3401" s="51">
        <f>IF(COUNTIF(TblPurchases[BatchID],TblOutcomes[[#This Row],[BatchID]])&lt;&gt;1,"n.a.",SUMIFS(TblPurchases[Purchase Date],TblPurchases[BatchID],TblOutcomes[[#This Row],[BatchID]]))</f>
        <v>45242</v>
      </c>
    </row>
    <row r="3402" spans="2:17" x14ac:dyDescent="0.25">
      <c r="B3402" s="2" t="s">
        <v>4207</v>
      </c>
      <c r="C3402" s="2" t="s">
        <v>360</v>
      </c>
      <c r="D3402" s="2" t="s">
        <v>341</v>
      </c>
      <c r="E3402" s="2" t="s">
        <v>4647</v>
      </c>
      <c r="F3402" s="2">
        <v>18</v>
      </c>
      <c r="G3402" s="2">
        <v>18</v>
      </c>
      <c r="H3402" s="2">
        <v>0</v>
      </c>
      <c r="I3402" s="1">
        <v>0</v>
      </c>
      <c r="J3402" s="26">
        <v>45311</v>
      </c>
      <c r="K3402" s="22">
        <v>108000</v>
      </c>
      <c r="L3402" s="18">
        <v>115.51</v>
      </c>
      <c r="M3402" s="22">
        <v>77400</v>
      </c>
      <c r="N3402" s="22">
        <v>30600</v>
      </c>
      <c r="O3402" s="18">
        <v>32.729999999999997</v>
      </c>
      <c r="P3402" s="52">
        <f>IF(COUNTIF(TblPurchases[BatchID],TblOutcomes[[#This Row],[BatchID]])&lt;&gt;1,"n.a.",TblOutcomes[[#This Row],[Qty Wasted]]*SUMIFS(TblPurchases[Unit Cost (CLP)],TblPurchases[BatchID],TblOutcomes[[#This Row],[BatchID]]))</f>
        <v>0</v>
      </c>
      <c r="Q3402" s="51">
        <f>IF(COUNTIF(TblPurchases[BatchID],TblOutcomes[[#This Row],[BatchID]])&lt;&gt;1,"n.a.",SUMIFS(TblPurchases[Purchase Date],TblPurchases[BatchID],TblOutcomes[[#This Row],[BatchID]]))</f>
        <v>45280</v>
      </c>
    </row>
    <row r="3403" spans="2:17" x14ac:dyDescent="0.25">
      <c r="B3403" s="2" t="s">
        <v>4208</v>
      </c>
      <c r="C3403" s="2" t="s">
        <v>360</v>
      </c>
      <c r="D3403" s="2" t="s">
        <v>341</v>
      </c>
      <c r="E3403" s="2" t="s">
        <v>4647</v>
      </c>
      <c r="F3403" s="2">
        <v>14</v>
      </c>
      <c r="G3403" s="2">
        <v>14</v>
      </c>
      <c r="H3403" s="2">
        <v>0</v>
      </c>
      <c r="I3403" s="1">
        <v>0</v>
      </c>
      <c r="J3403" s="26">
        <v>45357</v>
      </c>
      <c r="K3403" s="22">
        <v>84000</v>
      </c>
      <c r="L3403" s="18">
        <v>89.84</v>
      </c>
      <c r="M3403" s="22">
        <v>67900</v>
      </c>
      <c r="N3403" s="22">
        <v>16100</v>
      </c>
      <c r="O3403" s="18">
        <v>17.22</v>
      </c>
      <c r="P3403" s="52">
        <f>IF(COUNTIF(TblPurchases[BatchID],TblOutcomes[[#This Row],[BatchID]])&lt;&gt;1,"n.a.",TblOutcomes[[#This Row],[Qty Wasted]]*SUMIFS(TblPurchases[Unit Cost (CLP)],TblPurchases[BatchID],TblOutcomes[[#This Row],[BatchID]]))</f>
        <v>0</v>
      </c>
      <c r="Q3403" s="51">
        <f>IF(COUNTIF(TblPurchases[BatchID],TblOutcomes[[#This Row],[BatchID]])&lt;&gt;1,"n.a.",SUMIFS(TblPurchases[Purchase Date],TblPurchases[BatchID],TblOutcomes[[#This Row],[BatchID]]))</f>
        <v>45324</v>
      </c>
    </row>
    <row r="3404" spans="2:17" x14ac:dyDescent="0.25">
      <c r="B3404" s="2" t="s">
        <v>4209</v>
      </c>
      <c r="C3404" s="2" t="s">
        <v>360</v>
      </c>
      <c r="D3404" s="2" t="s">
        <v>341</v>
      </c>
      <c r="E3404" s="2" t="s">
        <v>4647</v>
      </c>
      <c r="F3404" s="2">
        <v>13</v>
      </c>
      <c r="G3404" s="2">
        <v>13</v>
      </c>
      <c r="H3404" s="2">
        <v>0</v>
      </c>
      <c r="I3404" s="1">
        <v>0</v>
      </c>
      <c r="J3404" s="26">
        <v>45384</v>
      </c>
      <c r="K3404" s="22">
        <v>78000</v>
      </c>
      <c r="L3404" s="18">
        <v>83.42</v>
      </c>
      <c r="M3404" s="22">
        <v>55900</v>
      </c>
      <c r="N3404" s="22">
        <v>22100</v>
      </c>
      <c r="O3404" s="18">
        <v>23.64</v>
      </c>
      <c r="P3404" s="52">
        <f>IF(COUNTIF(TblPurchases[BatchID],TblOutcomes[[#This Row],[BatchID]])&lt;&gt;1,"n.a.",TblOutcomes[[#This Row],[Qty Wasted]]*SUMIFS(TblPurchases[Unit Cost (CLP)],TblPurchases[BatchID],TblOutcomes[[#This Row],[BatchID]]))</f>
        <v>0</v>
      </c>
      <c r="Q3404" s="51">
        <f>IF(COUNTIF(TblPurchases[BatchID],TblOutcomes[[#This Row],[BatchID]])&lt;&gt;1,"n.a.",SUMIFS(TblPurchases[Purchase Date],TblPurchases[BatchID],TblOutcomes[[#This Row],[BatchID]]))</f>
        <v>45353</v>
      </c>
    </row>
    <row r="3405" spans="2:17" x14ac:dyDescent="0.25">
      <c r="B3405" s="2" t="s">
        <v>4210</v>
      </c>
      <c r="C3405" s="2" t="s">
        <v>360</v>
      </c>
      <c r="D3405" s="2" t="s">
        <v>341</v>
      </c>
      <c r="E3405" s="2" t="s">
        <v>4646</v>
      </c>
      <c r="F3405" s="2">
        <v>15</v>
      </c>
      <c r="G3405" s="2">
        <v>14.31</v>
      </c>
      <c r="H3405" s="2">
        <v>0.69</v>
      </c>
      <c r="I3405" s="1">
        <v>4.5999999999999996</v>
      </c>
      <c r="J3405" s="26">
        <v>45684</v>
      </c>
      <c r="K3405" s="22">
        <v>85860</v>
      </c>
      <c r="L3405" s="18">
        <v>91.83</v>
      </c>
      <c r="M3405" s="22">
        <v>64500</v>
      </c>
      <c r="N3405" s="22">
        <v>21360</v>
      </c>
      <c r="O3405" s="18">
        <v>22.84</v>
      </c>
      <c r="P3405" s="52">
        <f>IF(COUNTIF(TblPurchases[BatchID],TblOutcomes[[#This Row],[BatchID]])&lt;&gt;1,"n.a.",TblOutcomes[[#This Row],[Qty Wasted]]*SUMIFS(TblPurchases[Unit Cost (CLP)],TblPurchases[BatchID],TblOutcomes[[#This Row],[BatchID]]))</f>
        <v>2966.9999999999995</v>
      </c>
      <c r="Q3405" s="51">
        <f>IF(COUNTIF(TblPurchases[BatchID],TblOutcomes[[#This Row],[BatchID]])&lt;&gt;1,"n.a.",SUMIFS(TblPurchases[Purchase Date],TblPurchases[BatchID],TblOutcomes[[#This Row],[BatchID]]))</f>
        <v>45384</v>
      </c>
    </row>
    <row r="3406" spans="2:17" x14ac:dyDescent="0.25">
      <c r="B3406" s="2" t="s">
        <v>4211</v>
      </c>
      <c r="C3406" s="2" t="s">
        <v>360</v>
      </c>
      <c r="D3406" s="2" t="s">
        <v>341</v>
      </c>
      <c r="E3406" s="2" t="s">
        <v>4647</v>
      </c>
      <c r="F3406" s="2">
        <v>14</v>
      </c>
      <c r="G3406" s="2">
        <v>14</v>
      </c>
      <c r="H3406" s="2">
        <v>0</v>
      </c>
      <c r="I3406" s="1">
        <v>0</v>
      </c>
      <c r="J3406" s="26">
        <v>45453</v>
      </c>
      <c r="K3406" s="22">
        <v>84000</v>
      </c>
      <c r="L3406" s="18">
        <v>89.84</v>
      </c>
      <c r="M3406" s="22">
        <v>60200</v>
      </c>
      <c r="N3406" s="22">
        <v>23800</v>
      </c>
      <c r="O3406" s="18">
        <v>25.45</v>
      </c>
      <c r="P3406" s="52">
        <f>IF(COUNTIF(TblPurchases[BatchID],TblOutcomes[[#This Row],[BatchID]])&lt;&gt;1,"n.a.",TblOutcomes[[#This Row],[Qty Wasted]]*SUMIFS(TblPurchases[Unit Cost (CLP)],TblPurchases[BatchID],TblOutcomes[[#This Row],[BatchID]]))</f>
        <v>0</v>
      </c>
      <c r="Q3406" s="51">
        <f>IF(COUNTIF(TblPurchases[BatchID],TblOutcomes[[#This Row],[BatchID]])&lt;&gt;1,"n.a.",SUMIFS(TblPurchases[Purchase Date],TblPurchases[BatchID],TblOutcomes[[#This Row],[BatchID]]))</f>
        <v>45418</v>
      </c>
    </row>
    <row r="3407" spans="2:17" x14ac:dyDescent="0.25">
      <c r="B3407" s="2" t="s">
        <v>4212</v>
      </c>
      <c r="C3407" s="2" t="s">
        <v>360</v>
      </c>
      <c r="D3407" s="2" t="s">
        <v>341</v>
      </c>
      <c r="E3407" s="2" t="s">
        <v>4647</v>
      </c>
      <c r="F3407" s="2">
        <v>16</v>
      </c>
      <c r="G3407" s="2">
        <v>16</v>
      </c>
      <c r="H3407" s="2">
        <v>0</v>
      </c>
      <c r="I3407" s="1">
        <v>0</v>
      </c>
      <c r="J3407" s="26">
        <v>45489</v>
      </c>
      <c r="K3407" s="22">
        <v>96000</v>
      </c>
      <c r="L3407" s="18">
        <v>102.67</v>
      </c>
      <c r="M3407" s="22">
        <v>68800</v>
      </c>
      <c r="N3407" s="22">
        <v>27200</v>
      </c>
      <c r="O3407" s="18">
        <v>29.09</v>
      </c>
      <c r="P3407" s="52">
        <f>IF(COUNTIF(TblPurchases[BatchID],TblOutcomes[[#This Row],[BatchID]])&lt;&gt;1,"n.a.",TblOutcomes[[#This Row],[Qty Wasted]]*SUMIFS(TblPurchases[Unit Cost (CLP)],TblPurchases[BatchID],TblOutcomes[[#This Row],[BatchID]]))</f>
        <v>0</v>
      </c>
      <c r="Q3407" s="51">
        <f>IF(COUNTIF(TblPurchases[BatchID],TblOutcomes[[#This Row],[BatchID]])&lt;&gt;1,"n.a.",SUMIFS(TblPurchases[Purchase Date],TblPurchases[BatchID],TblOutcomes[[#This Row],[BatchID]]))</f>
        <v>45453</v>
      </c>
    </row>
    <row r="3408" spans="2:17" x14ac:dyDescent="0.25">
      <c r="B3408" s="2" t="s">
        <v>4213</v>
      </c>
      <c r="C3408" s="2" t="s">
        <v>360</v>
      </c>
      <c r="D3408" s="2" t="s">
        <v>341</v>
      </c>
      <c r="E3408" s="2" t="s">
        <v>4647</v>
      </c>
      <c r="F3408" s="2">
        <v>14</v>
      </c>
      <c r="G3408" s="2">
        <v>14</v>
      </c>
      <c r="H3408" s="2">
        <v>0</v>
      </c>
      <c r="I3408" s="1">
        <v>0</v>
      </c>
      <c r="J3408" s="26">
        <v>45512</v>
      </c>
      <c r="K3408" s="22">
        <v>84000</v>
      </c>
      <c r="L3408" s="18">
        <v>89.84</v>
      </c>
      <c r="M3408" s="22">
        <v>60200</v>
      </c>
      <c r="N3408" s="22">
        <v>23800</v>
      </c>
      <c r="O3408" s="18">
        <v>25.45</v>
      </c>
      <c r="P3408" s="52">
        <f>IF(COUNTIF(TblPurchases[BatchID],TblOutcomes[[#This Row],[BatchID]])&lt;&gt;1,"n.a.",TblOutcomes[[#This Row],[Qty Wasted]]*SUMIFS(TblPurchases[Unit Cost (CLP)],TblPurchases[BatchID],TblOutcomes[[#This Row],[BatchID]]))</f>
        <v>0</v>
      </c>
      <c r="Q3408" s="51">
        <f>IF(COUNTIF(TblPurchases[BatchID],TblOutcomes[[#This Row],[BatchID]])&lt;&gt;1,"n.a.",SUMIFS(TblPurchases[Purchase Date],TblPurchases[BatchID],TblOutcomes[[#This Row],[BatchID]]))</f>
        <v>45482</v>
      </c>
    </row>
    <row r="3409" spans="2:17" x14ac:dyDescent="0.25">
      <c r="B3409" s="2" t="s">
        <v>4214</v>
      </c>
      <c r="C3409" s="2" t="s">
        <v>360</v>
      </c>
      <c r="D3409" s="2" t="s">
        <v>341</v>
      </c>
      <c r="E3409" s="2" t="s">
        <v>4646</v>
      </c>
      <c r="F3409" s="2">
        <v>13</v>
      </c>
      <c r="G3409" s="2">
        <v>12.47</v>
      </c>
      <c r="H3409" s="2">
        <v>0.53</v>
      </c>
      <c r="I3409" s="1">
        <v>4.0999999999999996</v>
      </c>
      <c r="J3409" s="26">
        <v>45815</v>
      </c>
      <c r="K3409" s="22">
        <v>74820</v>
      </c>
      <c r="L3409" s="18">
        <v>80.02</v>
      </c>
      <c r="M3409" s="22">
        <v>63050</v>
      </c>
      <c r="N3409" s="22">
        <v>11770</v>
      </c>
      <c r="O3409" s="18">
        <v>12.59</v>
      </c>
      <c r="P3409" s="52">
        <f>IF(COUNTIF(TblPurchases[BatchID],TblOutcomes[[#This Row],[BatchID]])&lt;&gt;1,"n.a.",TblOutcomes[[#This Row],[Qty Wasted]]*SUMIFS(TblPurchases[Unit Cost (CLP)],TblPurchases[BatchID],TblOutcomes[[#This Row],[BatchID]]))</f>
        <v>2570.5</v>
      </c>
      <c r="Q3409" s="51">
        <f>IF(COUNTIF(TblPurchases[BatchID],TblOutcomes[[#This Row],[BatchID]])&lt;&gt;1,"n.a.",SUMIFS(TblPurchases[Purchase Date],TblPurchases[BatchID],TblOutcomes[[#This Row],[BatchID]]))</f>
        <v>45515</v>
      </c>
    </row>
    <row r="3410" spans="2:17" x14ac:dyDescent="0.25">
      <c r="B3410" s="2" t="s">
        <v>4215</v>
      </c>
      <c r="C3410" s="2" t="s">
        <v>360</v>
      </c>
      <c r="D3410" s="2" t="s">
        <v>341</v>
      </c>
      <c r="E3410" s="2" t="s">
        <v>4647</v>
      </c>
      <c r="F3410" s="2">
        <v>19</v>
      </c>
      <c r="G3410" s="2">
        <v>19</v>
      </c>
      <c r="H3410" s="2">
        <v>0</v>
      </c>
      <c r="I3410" s="1">
        <v>0</v>
      </c>
      <c r="J3410" s="26">
        <v>45566</v>
      </c>
      <c r="K3410" s="22">
        <v>114000</v>
      </c>
      <c r="L3410" s="18">
        <v>121.93</v>
      </c>
      <c r="M3410" s="22">
        <v>81700</v>
      </c>
      <c r="N3410" s="22">
        <v>32300</v>
      </c>
      <c r="O3410" s="18">
        <v>34.549999999999997</v>
      </c>
      <c r="P3410" s="52">
        <f>IF(COUNTIF(TblPurchases[BatchID],TblOutcomes[[#This Row],[BatchID]])&lt;&gt;1,"n.a.",TblOutcomes[[#This Row],[Qty Wasted]]*SUMIFS(TblPurchases[Unit Cost (CLP)],TblPurchases[BatchID],TblOutcomes[[#This Row],[BatchID]]))</f>
        <v>0</v>
      </c>
      <c r="Q3410" s="51">
        <f>IF(COUNTIF(TblPurchases[BatchID],TblOutcomes[[#This Row],[BatchID]])&lt;&gt;1,"n.a.",SUMIFS(TblPurchases[Purchase Date],TblPurchases[BatchID],TblOutcomes[[#This Row],[BatchID]]))</f>
        <v>45550</v>
      </c>
    </row>
    <row r="3411" spans="2:17" x14ac:dyDescent="0.25">
      <c r="B3411" s="2" t="s">
        <v>4216</v>
      </c>
      <c r="C3411" s="2" t="s">
        <v>360</v>
      </c>
      <c r="D3411" s="2" t="s">
        <v>341</v>
      </c>
      <c r="E3411" s="2" t="s">
        <v>4647</v>
      </c>
      <c r="F3411" s="2">
        <v>14</v>
      </c>
      <c r="G3411" s="2">
        <v>14</v>
      </c>
      <c r="H3411" s="2">
        <v>0</v>
      </c>
      <c r="I3411" s="1">
        <v>0</v>
      </c>
      <c r="J3411" s="26">
        <v>45608</v>
      </c>
      <c r="K3411" s="22">
        <v>84000</v>
      </c>
      <c r="L3411" s="18">
        <v>89.84</v>
      </c>
      <c r="M3411" s="22">
        <v>60200</v>
      </c>
      <c r="N3411" s="22">
        <v>23800</v>
      </c>
      <c r="O3411" s="18">
        <v>25.45</v>
      </c>
      <c r="P3411" s="52">
        <f>IF(COUNTIF(TblPurchases[BatchID],TblOutcomes[[#This Row],[BatchID]])&lt;&gt;1,"n.a.",TblOutcomes[[#This Row],[Qty Wasted]]*SUMIFS(TblPurchases[Unit Cost (CLP)],TblPurchases[BatchID],TblOutcomes[[#This Row],[BatchID]]))</f>
        <v>0</v>
      </c>
      <c r="Q3411" s="51">
        <f>IF(COUNTIF(TblPurchases[BatchID],TblOutcomes[[#This Row],[BatchID]])&lt;&gt;1,"n.a.",SUMIFS(TblPurchases[Purchase Date],TblPurchases[BatchID],TblOutcomes[[#This Row],[BatchID]]))</f>
        <v>45583</v>
      </c>
    </row>
    <row r="3412" spans="2:17" x14ac:dyDescent="0.25">
      <c r="B3412" s="2" t="s">
        <v>4217</v>
      </c>
      <c r="C3412" s="2" t="s">
        <v>360</v>
      </c>
      <c r="D3412" s="2" t="s">
        <v>341</v>
      </c>
      <c r="E3412" s="2" t="s">
        <v>4647</v>
      </c>
      <c r="F3412" s="2">
        <v>17</v>
      </c>
      <c r="G3412" s="2">
        <v>17</v>
      </c>
      <c r="H3412" s="2">
        <v>0</v>
      </c>
      <c r="I3412" s="1">
        <v>0</v>
      </c>
      <c r="J3412" s="26">
        <v>45632</v>
      </c>
      <c r="K3412" s="22">
        <v>102000</v>
      </c>
      <c r="L3412" s="18">
        <v>109.09</v>
      </c>
      <c r="M3412" s="22">
        <v>73100</v>
      </c>
      <c r="N3412" s="22">
        <v>28900</v>
      </c>
      <c r="O3412" s="18">
        <v>30.91</v>
      </c>
      <c r="P3412" s="52">
        <f>IF(COUNTIF(TblPurchases[BatchID],TblOutcomes[[#This Row],[BatchID]])&lt;&gt;1,"n.a.",TblOutcomes[[#This Row],[Qty Wasted]]*SUMIFS(TblPurchases[Unit Cost (CLP)],TblPurchases[BatchID],TblOutcomes[[#This Row],[BatchID]]))</f>
        <v>0</v>
      </c>
      <c r="Q3412" s="51">
        <f>IF(COUNTIF(TblPurchases[BatchID],TblOutcomes[[#This Row],[BatchID]])&lt;&gt;1,"n.a.",SUMIFS(TblPurchases[Purchase Date],TblPurchases[BatchID],TblOutcomes[[#This Row],[BatchID]]))</f>
        <v>45617</v>
      </c>
    </row>
    <row r="3413" spans="2:17" x14ac:dyDescent="0.25">
      <c r="B3413" s="2" t="s">
        <v>4218</v>
      </c>
      <c r="C3413" s="2" t="s">
        <v>360</v>
      </c>
      <c r="D3413" s="2" t="s">
        <v>341</v>
      </c>
      <c r="E3413" s="2" t="s">
        <v>4647</v>
      </c>
      <c r="F3413" s="2">
        <v>22</v>
      </c>
      <c r="G3413" s="2">
        <v>22</v>
      </c>
      <c r="H3413" s="2">
        <v>0</v>
      </c>
      <c r="I3413" s="1">
        <v>0</v>
      </c>
      <c r="J3413" s="26">
        <v>45687</v>
      </c>
      <c r="K3413" s="22">
        <v>132000</v>
      </c>
      <c r="L3413" s="18">
        <v>141.18</v>
      </c>
      <c r="M3413" s="22">
        <v>94600</v>
      </c>
      <c r="N3413" s="22">
        <v>37400</v>
      </c>
      <c r="O3413" s="18">
        <v>40</v>
      </c>
      <c r="P3413" s="52">
        <f>IF(COUNTIF(TblPurchases[BatchID],TblOutcomes[[#This Row],[BatchID]])&lt;&gt;1,"n.a.",TblOutcomes[[#This Row],[Qty Wasted]]*SUMIFS(TblPurchases[Unit Cost (CLP)],TblPurchases[BatchID],TblOutcomes[[#This Row],[BatchID]]))</f>
        <v>0</v>
      </c>
      <c r="Q3413" s="51">
        <f>IF(COUNTIF(TblPurchases[BatchID],TblOutcomes[[#This Row],[BatchID]])&lt;&gt;1,"n.a.",SUMIFS(TblPurchases[Purchase Date],TblPurchases[BatchID],TblOutcomes[[#This Row],[BatchID]]))</f>
        <v>45654</v>
      </c>
    </row>
    <row r="3414" spans="2:17" x14ac:dyDescent="0.25">
      <c r="B3414" s="2" t="s">
        <v>4219</v>
      </c>
      <c r="C3414" s="2" t="s">
        <v>360</v>
      </c>
      <c r="D3414" s="2" t="s">
        <v>341</v>
      </c>
      <c r="E3414" s="2" t="s">
        <v>4646</v>
      </c>
      <c r="F3414" s="2">
        <v>16</v>
      </c>
      <c r="G3414" s="2">
        <v>15.97</v>
      </c>
      <c r="H3414" s="2">
        <v>0.03</v>
      </c>
      <c r="I3414" s="1">
        <v>0.2</v>
      </c>
      <c r="J3414" s="26">
        <v>45983</v>
      </c>
      <c r="K3414" s="22">
        <v>95820</v>
      </c>
      <c r="L3414" s="18">
        <v>102.48</v>
      </c>
      <c r="M3414" s="22">
        <v>68800</v>
      </c>
      <c r="N3414" s="22">
        <v>27020</v>
      </c>
      <c r="O3414" s="18">
        <v>28.9</v>
      </c>
      <c r="P3414" s="52">
        <f>IF(COUNTIF(TblPurchases[BatchID],TblOutcomes[[#This Row],[BatchID]])&lt;&gt;1,"n.a.",TblOutcomes[[#This Row],[Qty Wasted]]*SUMIFS(TblPurchases[Unit Cost (CLP)],TblPurchases[BatchID],TblOutcomes[[#This Row],[BatchID]]))</f>
        <v>129</v>
      </c>
      <c r="Q3414" s="51">
        <f>IF(COUNTIF(TblPurchases[BatchID],TblOutcomes[[#This Row],[BatchID]])&lt;&gt;1,"n.a.",SUMIFS(TblPurchases[Purchase Date],TblPurchases[BatchID],TblOutcomes[[#This Row],[BatchID]]))</f>
        <v>45683</v>
      </c>
    </row>
    <row r="3415" spans="2:17" x14ac:dyDescent="0.25">
      <c r="B3415" s="2" t="s">
        <v>4220</v>
      </c>
      <c r="C3415" s="2" t="s">
        <v>360</v>
      </c>
      <c r="D3415" s="2" t="s">
        <v>341</v>
      </c>
      <c r="E3415" s="2" t="s">
        <v>4647</v>
      </c>
      <c r="F3415" s="2">
        <v>19</v>
      </c>
      <c r="G3415" s="2">
        <v>19</v>
      </c>
      <c r="H3415" s="2">
        <v>0</v>
      </c>
      <c r="I3415" s="1">
        <v>0</v>
      </c>
      <c r="J3415" s="26">
        <v>45748</v>
      </c>
      <c r="K3415" s="22">
        <v>114000</v>
      </c>
      <c r="L3415" s="18">
        <v>121.93</v>
      </c>
      <c r="M3415" s="22">
        <v>81700</v>
      </c>
      <c r="N3415" s="22">
        <v>32300</v>
      </c>
      <c r="O3415" s="18">
        <v>34.549999999999997</v>
      </c>
      <c r="P3415" s="52">
        <f>IF(COUNTIF(TblPurchases[BatchID],TblOutcomes[[#This Row],[BatchID]])&lt;&gt;1,"n.a.",TblOutcomes[[#This Row],[Qty Wasted]]*SUMIFS(TblPurchases[Unit Cost (CLP)],TblPurchases[BatchID],TblOutcomes[[#This Row],[BatchID]]))</f>
        <v>0</v>
      </c>
      <c r="Q3415" s="51">
        <f>IF(COUNTIF(TblPurchases[BatchID],TblOutcomes[[#This Row],[BatchID]])&lt;&gt;1,"n.a.",SUMIFS(TblPurchases[Purchase Date],TblPurchases[BatchID],TblOutcomes[[#This Row],[BatchID]]))</f>
        <v>45710</v>
      </c>
    </row>
    <row r="3416" spans="2:17" x14ac:dyDescent="0.25">
      <c r="B3416" s="2" t="s">
        <v>4221</v>
      </c>
      <c r="C3416" s="2" t="s">
        <v>360</v>
      </c>
      <c r="D3416" s="2" t="s">
        <v>341</v>
      </c>
      <c r="E3416" s="2" t="s">
        <v>4647</v>
      </c>
      <c r="F3416" s="2">
        <v>17</v>
      </c>
      <c r="G3416" s="2">
        <v>17</v>
      </c>
      <c r="H3416" s="2">
        <v>0</v>
      </c>
      <c r="I3416" s="1">
        <v>0</v>
      </c>
      <c r="J3416" s="26">
        <v>45777</v>
      </c>
      <c r="K3416" s="22">
        <v>102000</v>
      </c>
      <c r="L3416" s="18">
        <v>109.09</v>
      </c>
      <c r="M3416" s="22">
        <v>73100</v>
      </c>
      <c r="N3416" s="22">
        <v>28900</v>
      </c>
      <c r="O3416" s="18">
        <v>30.91</v>
      </c>
      <c r="P3416" s="52">
        <f>IF(COUNTIF(TblPurchases[BatchID],TblOutcomes[[#This Row],[BatchID]])&lt;&gt;1,"n.a.",TblOutcomes[[#This Row],[Qty Wasted]]*SUMIFS(TblPurchases[Unit Cost (CLP)],TblPurchases[BatchID],TblOutcomes[[#This Row],[BatchID]]))</f>
        <v>0</v>
      </c>
      <c r="Q3416" s="51">
        <f>IF(COUNTIF(TblPurchases[BatchID],TblOutcomes[[#This Row],[BatchID]])&lt;&gt;1,"n.a.",SUMIFS(TblPurchases[Purchase Date],TblPurchases[BatchID],TblOutcomes[[#This Row],[BatchID]]))</f>
        <v>45750</v>
      </c>
    </row>
    <row r="3417" spans="2:17" x14ac:dyDescent="0.25">
      <c r="B3417" s="2" t="s">
        <v>4222</v>
      </c>
      <c r="C3417" s="2" t="s">
        <v>360</v>
      </c>
      <c r="D3417" s="2" t="s">
        <v>341</v>
      </c>
      <c r="E3417" s="2" t="s">
        <v>4646</v>
      </c>
      <c r="F3417" s="2">
        <v>18</v>
      </c>
      <c r="G3417" s="2">
        <v>16.559999999999999</v>
      </c>
      <c r="H3417" s="2">
        <v>1.44</v>
      </c>
      <c r="I3417" s="1">
        <v>8</v>
      </c>
      <c r="J3417" s="26">
        <v>46084</v>
      </c>
      <c r="K3417" s="22">
        <v>99360</v>
      </c>
      <c r="L3417" s="18">
        <v>106.27</v>
      </c>
      <c r="M3417" s="22">
        <v>87300</v>
      </c>
      <c r="N3417" s="22">
        <v>12060</v>
      </c>
      <c r="O3417" s="18">
        <v>12.9</v>
      </c>
      <c r="P3417" s="52">
        <f>IF(COUNTIF(TblPurchases[BatchID],TblOutcomes[[#This Row],[BatchID]])&lt;&gt;1,"n.a.",TblOutcomes[[#This Row],[Qty Wasted]]*SUMIFS(TblPurchases[Unit Cost (CLP)],TblPurchases[BatchID],TblOutcomes[[#This Row],[BatchID]]))</f>
        <v>6984</v>
      </c>
      <c r="Q3417" s="51">
        <f>IF(COUNTIF(TblPurchases[BatchID],TblOutcomes[[#This Row],[BatchID]])&lt;&gt;1,"n.a.",SUMIFS(TblPurchases[Purchase Date],TblPurchases[BatchID],TblOutcomes[[#This Row],[BatchID]]))</f>
        <v>45784</v>
      </c>
    </row>
    <row r="3418" spans="2:17" x14ac:dyDescent="0.25">
      <c r="B3418" s="2" t="s">
        <v>4223</v>
      </c>
      <c r="C3418" s="2" t="s">
        <v>360</v>
      </c>
      <c r="D3418" s="2" t="s">
        <v>341</v>
      </c>
      <c r="E3418" s="2" t="s">
        <v>4647</v>
      </c>
      <c r="F3418" s="2">
        <v>15</v>
      </c>
      <c r="G3418" s="2">
        <v>15</v>
      </c>
      <c r="H3418" s="2">
        <v>0</v>
      </c>
      <c r="I3418" s="1">
        <v>0</v>
      </c>
      <c r="J3418" s="26">
        <v>45835</v>
      </c>
      <c r="K3418" s="22">
        <v>90000</v>
      </c>
      <c r="L3418" s="18">
        <v>96.26</v>
      </c>
      <c r="M3418" s="22">
        <v>64500</v>
      </c>
      <c r="N3418" s="22">
        <v>25500</v>
      </c>
      <c r="O3418" s="18">
        <v>27.27</v>
      </c>
      <c r="P3418" s="52">
        <f>IF(COUNTIF(TblPurchases[BatchID],TblOutcomes[[#This Row],[BatchID]])&lt;&gt;1,"n.a.",TblOutcomes[[#This Row],[Qty Wasted]]*SUMIFS(TblPurchases[Unit Cost (CLP)],TblPurchases[BatchID],TblOutcomes[[#This Row],[BatchID]]))</f>
        <v>0</v>
      </c>
      <c r="Q3418" s="51">
        <f>IF(COUNTIF(TblPurchases[BatchID],TblOutcomes[[#This Row],[BatchID]])&lt;&gt;1,"n.a.",SUMIFS(TblPurchases[Purchase Date],TblPurchases[BatchID],TblOutcomes[[#This Row],[BatchID]]))</f>
        <v>45815</v>
      </c>
    </row>
    <row r="3419" spans="2:17" x14ac:dyDescent="0.25">
      <c r="B3419" s="2" t="s">
        <v>4224</v>
      </c>
      <c r="C3419" s="2" t="s">
        <v>362</v>
      </c>
      <c r="D3419" s="2" t="s">
        <v>341</v>
      </c>
      <c r="E3419" s="2" t="s">
        <v>4647</v>
      </c>
      <c r="F3419" s="2">
        <v>17</v>
      </c>
      <c r="G3419" s="2">
        <v>17</v>
      </c>
      <c r="H3419" s="2">
        <v>0</v>
      </c>
      <c r="I3419" s="1">
        <v>0</v>
      </c>
      <c r="J3419" s="26">
        <v>45438</v>
      </c>
      <c r="K3419" s="22">
        <v>153000</v>
      </c>
      <c r="L3419" s="18">
        <v>163.63999999999999</v>
      </c>
      <c r="M3419" s="22">
        <v>110500</v>
      </c>
      <c r="N3419" s="22">
        <v>42500</v>
      </c>
      <c r="O3419" s="18">
        <v>45.45</v>
      </c>
      <c r="P3419" s="52">
        <f>IF(COUNTIF(TblPurchases[BatchID],TblOutcomes[[#This Row],[BatchID]])&lt;&gt;1,"n.a.",TblOutcomes[[#This Row],[Qty Wasted]]*SUMIFS(TblPurchases[Unit Cost (CLP)],TblPurchases[BatchID],TblOutcomes[[#This Row],[BatchID]]))</f>
        <v>0</v>
      </c>
      <c r="Q3419" s="51">
        <f>IF(COUNTIF(TblPurchases[BatchID],TblOutcomes[[#This Row],[BatchID]])&lt;&gt;1,"n.a.",SUMIFS(TblPurchases[Purchase Date],TblPurchases[BatchID],TblOutcomes[[#This Row],[BatchID]]))</f>
        <v>45138</v>
      </c>
    </row>
    <row r="3420" spans="2:17" x14ac:dyDescent="0.25">
      <c r="B3420" s="2" t="s">
        <v>4225</v>
      </c>
      <c r="C3420" s="2" t="s">
        <v>362</v>
      </c>
      <c r="D3420" s="2" t="s">
        <v>341</v>
      </c>
      <c r="E3420" s="2" t="s">
        <v>4647</v>
      </c>
      <c r="F3420" s="2">
        <v>20</v>
      </c>
      <c r="G3420" s="2">
        <v>20</v>
      </c>
      <c r="H3420" s="2">
        <v>0</v>
      </c>
      <c r="I3420" s="1">
        <v>0</v>
      </c>
      <c r="J3420" s="26">
        <v>45222</v>
      </c>
      <c r="K3420" s="22">
        <v>180000</v>
      </c>
      <c r="L3420" s="18">
        <v>192.51</v>
      </c>
      <c r="M3420" s="22">
        <v>136000</v>
      </c>
      <c r="N3420" s="22">
        <v>44000</v>
      </c>
      <c r="O3420" s="18">
        <v>47.06</v>
      </c>
      <c r="P3420" s="52">
        <f>IF(COUNTIF(TblPurchases[BatchID],TblOutcomes[[#This Row],[BatchID]])&lt;&gt;1,"n.a.",TblOutcomes[[#This Row],[Qty Wasted]]*SUMIFS(TblPurchases[Unit Cost (CLP)],TblPurchases[BatchID],TblOutcomes[[#This Row],[BatchID]]))</f>
        <v>0</v>
      </c>
      <c r="Q3420" s="51">
        <f>IF(COUNTIF(TblPurchases[BatchID],TblOutcomes[[#This Row],[BatchID]])&lt;&gt;1,"n.a.",SUMIFS(TblPurchases[Purchase Date],TblPurchases[BatchID],TblOutcomes[[#This Row],[BatchID]]))</f>
        <v>45184</v>
      </c>
    </row>
    <row r="3421" spans="2:17" x14ac:dyDescent="0.25">
      <c r="B3421" s="2" t="s">
        <v>4226</v>
      </c>
      <c r="C3421" s="2" t="s">
        <v>362</v>
      </c>
      <c r="D3421" s="2" t="s">
        <v>341</v>
      </c>
      <c r="E3421" s="2" t="s">
        <v>4647</v>
      </c>
      <c r="F3421" s="2">
        <v>15</v>
      </c>
      <c r="G3421" s="2">
        <v>15</v>
      </c>
      <c r="H3421" s="2">
        <v>0</v>
      </c>
      <c r="I3421" s="1">
        <v>0</v>
      </c>
      <c r="J3421" s="26">
        <v>45256</v>
      </c>
      <c r="K3421" s="22">
        <v>135000</v>
      </c>
      <c r="L3421" s="18">
        <v>144.38999999999999</v>
      </c>
      <c r="M3421" s="22">
        <v>97500</v>
      </c>
      <c r="N3421" s="22">
        <v>37500</v>
      </c>
      <c r="O3421" s="18">
        <v>40.11</v>
      </c>
      <c r="P3421" s="52">
        <f>IF(COUNTIF(TblPurchases[BatchID],TblOutcomes[[#This Row],[BatchID]])&lt;&gt;1,"n.a.",TblOutcomes[[#This Row],[Qty Wasted]]*SUMIFS(TblPurchases[Unit Cost (CLP)],TblPurchases[BatchID],TblOutcomes[[#This Row],[BatchID]]))</f>
        <v>0</v>
      </c>
      <c r="Q3421" s="51">
        <f>IF(COUNTIF(TblPurchases[BatchID],TblOutcomes[[#This Row],[BatchID]])&lt;&gt;1,"n.a.",SUMIFS(TblPurchases[Purchase Date],TblPurchases[BatchID],TblOutcomes[[#This Row],[BatchID]]))</f>
        <v>45230</v>
      </c>
    </row>
    <row r="3422" spans="2:17" x14ac:dyDescent="0.25">
      <c r="B3422" s="2" t="s">
        <v>4227</v>
      </c>
      <c r="C3422" s="2" t="s">
        <v>362</v>
      </c>
      <c r="D3422" s="2" t="s">
        <v>341</v>
      </c>
      <c r="E3422" s="2" t="s">
        <v>4646</v>
      </c>
      <c r="F3422" s="2">
        <v>21</v>
      </c>
      <c r="G3422" s="2">
        <v>20.010000000000002</v>
      </c>
      <c r="H3422" s="2">
        <v>0.99</v>
      </c>
      <c r="I3422" s="1">
        <v>4.7</v>
      </c>
      <c r="J3422" s="26">
        <v>45567</v>
      </c>
      <c r="K3422" s="22">
        <v>180090</v>
      </c>
      <c r="L3422" s="18">
        <v>192.61</v>
      </c>
      <c r="M3422" s="22">
        <v>142800</v>
      </c>
      <c r="N3422" s="22">
        <v>37290</v>
      </c>
      <c r="O3422" s="18">
        <v>39.880000000000003</v>
      </c>
      <c r="P3422" s="52">
        <f>IF(COUNTIF(TblPurchases[BatchID],TblOutcomes[[#This Row],[BatchID]])&lt;&gt;1,"n.a.",TblOutcomes[[#This Row],[Qty Wasted]]*SUMIFS(TblPurchases[Unit Cost (CLP)],TblPurchases[BatchID],TblOutcomes[[#This Row],[BatchID]]))</f>
        <v>6732</v>
      </c>
      <c r="Q3422" s="51">
        <f>IF(COUNTIF(TblPurchases[BatchID],TblOutcomes[[#This Row],[BatchID]])&lt;&gt;1,"n.a.",SUMIFS(TblPurchases[Purchase Date],TblPurchases[BatchID],TblOutcomes[[#This Row],[BatchID]]))</f>
        <v>45267</v>
      </c>
    </row>
    <row r="3423" spans="2:17" x14ac:dyDescent="0.25">
      <c r="B3423" s="2" t="s">
        <v>4228</v>
      </c>
      <c r="C3423" s="2" t="s">
        <v>362</v>
      </c>
      <c r="D3423" s="2" t="s">
        <v>341</v>
      </c>
      <c r="E3423" s="2" t="s">
        <v>4647</v>
      </c>
      <c r="F3423" s="2">
        <v>16</v>
      </c>
      <c r="G3423" s="2">
        <v>16</v>
      </c>
      <c r="H3423" s="2">
        <v>0</v>
      </c>
      <c r="I3423" s="1">
        <v>0</v>
      </c>
      <c r="J3423" s="26">
        <v>45326</v>
      </c>
      <c r="K3423" s="22">
        <v>144000</v>
      </c>
      <c r="L3423" s="18">
        <v>154.01</v>
      </c>
      <c r="M3423" s="22">
        <v>104000</v>
      </c>
      <c r="N3423" s="22">
        <v>40000</v>
      </c>
      <c r="O3423" s="18">
        <v>42.78</v>
      </c>
      <c r="P3423" s="52">
        <f>IF(COUNTIF(TblPurchases[BatchID],TblOutcomes[[#This Row],[BatchID]])&lt;&gt;1,"n.a.",TblOutcomes[[#This Row],[Qty Wasted]]*SUMIFS(TblPurchases[Unit Cost (CLP)],TblPurchases[BatchID],TblOutcomes[[#This Row],[BatchID]]))</f>
        <v>0</v>
      </c>
      <c r="Q3423" s="51">
        <f>IF(COUNTIF(TblPurchases[BatchID],TblOutcomes[[#This Row],[BatchID]])&lt;&gt;1,"n.a.",SUMIFS(TblPurchases[Purchase Date],TblPurchases[BatchID],TblOutcomes[[#This Row],[BatchID]]))</f>
        <v>45296</v>
      </c>
    </row>
    <row r="3424" spans="2:17" x14ac:dyDescent="0.25">
      <c r="B3424" s="2" t="s">
        <v>4229</v>
      </c>
      <c r="C3424" s="2" t="s">
        <v>362</v>
      </c>
      <c r="D3424" s="2" t="s">
        <v>341</v>
      </c>
      <c r="E3424" s="2" t="s">
        <v>4647</v>
      </c>
      <c r="F3424" s="2">
        <v>16</v>
      </c>
      <c r="G3424" s="2">
        <v>16</v>
      </c>
      <c r="H3424" s="2">
        <v>0</v>
      </c>
      <c r="I3424" s="1">
        <v>0</v>
      </c>
      <c r="J3424" s="26">
        <v>45366</v>
      </c>
      <c r="K3424" s="22">
        <v>144000</v>
      </c>
      <c r="L3424" s="18">
        <v>154.01</v>
      </c>
      <c r="M3424" s="22">
        <v>104000</v>
      </c>
      <c r="N3424" s="22">
        <v>40000</v>
      </c>
      <c r="O3424" s="18">
        <v>42.78</v>
      </c>
      <c r="P3424" s="52">
        <f>IF(COUNTIF(TblPurchases[BatchID],TblOutcomes[[#This Row],[BatchID]])&lt;&gt;1,"n.a.",TblOutcomes[[#This Row],[Qty Wasted]]*SUMIFS(TblPurchases[Unit Cost (CLP)],TblPurchases[BatchID],TblOutcomes[[#This Row],[BatchID]]))</f>
        <v>0</v>
      </c>
      <c r="Q3424" s="51">
        <f>IF(COUNTIF(TblPurchases[BatchID],TblOutcomes[[#This Row],[BatchID]])&lt;&gt;1,"n.a.",SUMIFS(TblPurchases[Purchase Date],TblPurchases[BatchID],TblOutcomes[[#This Row],[BatchID]]))</f>
        <v>45330</v>
      </c>
    </row>
    <row r="3425" spans="2:17" x14ac:dyDescent="0.25">
      <c r="B3425" s="2" t="s">
        <v>4230</v>
      </c>
      <c r="C3425" s="2" t="s">
        <v>362</v>
      </c>
      <c r="D3425" s="2" t="s">
        <v>341</v>
      </c>
      <c r="E3425" s="2" t="s">
        <v>4647</v>
      </c>
      <c r="F3425" s="2">
        <v>14</v>
      </c>
      <c r="G3425" s="2">
        <v>14</v>
      </c>
      <c r="H3425" s="2">
        <v>0</v>
      </c>
      <c r="I3425" s="1">
        <v>0</v>
      </c>
      <c r="J3425" s="26">
        <v>45405</v>
      </c>
      <c r="K3425" s="22">
        <v>126000</v>
      </c>
      <c r="L3425" s="18">
        <v>134.76</v>
      </c>
      <c r="M3425" s="22">
        <v>91000</v>
      </c>
      <c r="N3425" s="22">
        <v>35000</v>
      </c>
      <c r="O3425" s="18">
        <v>37.43</v>
      </c>
      <c r="P3425" s="52">
        <f>IF(COUNTIF(TblPurchases[BatchID],TblOutcomes[[#This Row],[BatchID]])&lt;&gt;1,"n.a.",TblOutcomes[[#This Row],[Qty Wasted]]*SUMIFS(TblPurchases[Unit Cost (CLP)],TblPurchases[BatchID],TblOutcomes[[#This Row],[BatchID]]))</f>
        <v>0</v>
      </c>
      <c r="Q3425" s="51">
        <f>IF(COUNTIF(TblPurchases[BatchID],TblOutcomes[[#This Row],[BatchID]])&lt;&gt;1,"n.a.",SUMIFS(TblPurchases[Purchase Date],TblPurchases[BatchID],TblOutcomes[[#This Row],[BatchID]]))</f>
        <v>45368</v>
      </c>
    </row>
    <row r="3426" spans="2:17" x14ac:dyDescent="0.25">
      <c r="B3426" s="2" t="s">
        <v>4231</v>
      </c>
      <c r="C3426" s="2" t="s">
        <v>362</v>
      </c>
      <c r="D3426" s="2" t="s">
        <v>341</v>
      </c>
      <c r="E3426" s="2" t="s">
        <v>4646</v>
      </c>
      <c r="F3426" s="2">
        <v>14</v>
      </c>
      <c r="G3426" s="2">
        <v>13.58</v>
      </c>
      <c r="H3426" s="2">
        <v>0.42</v>
      </c>
      <c r="I3426" s="1">
        <v>3</v>
      </c>
      <c r="J3426" s="26">
        <v>45697</v>
      </c>
      <c r="K3426" s="22">
        <v>122220</v>
      </c>
      <c r="L3426" s="18">
        <v>130.72</v>
      </c>
      <c r="M3426" s="22">
        <v>91000</v>
      </c>
      <c r="N3426" s="22">
        <v>31220</v>
      </c>
      <c r="O3426" s="18">
        <v>33.39</v>
      </c>
      <c r="P3426" s="52">
        <f>IF(COUNTIF(TblPurchases[BatchID],TblOutcomes[[#This Row],[BatchID]])&lt;&gt;1,"n.a.",TblOutcomes[[#This Row],[Qty Wasted]]*SUMIFS(TblPurchases[Unit Cost (CLP)],TblPurchases[BatchID],TblOutcomes[[#This Row],[BatchID]]))</f>
        <v>2730</v>
      </c>
      <c r="Q3426" s="51">
        <f>IF(COUNTIF(TblPurchases[BatchID],TblOutcomes[[#This Row],[BatchID]])&lt;&gt;1,"n.a.",SUMIFS(TblPurchases[Purchase Date],TblPurchases[BatchID],TblOutcomes[[#This Row],[BatchID]]))</f>
        <v>45397</v>
      </c>
    </row>
    <row r="3427" spans="2:17" x14ac:dyDescent="0.25">
      <c r="B3427" s="2" t="s">
        <v>4232</v>
      </c>
      <c r="C3427" s="2" t="s">
        <v>362</v>
      </c>
      <c r="D3427" s="2" t="s">
        <v>341</v>
      </c>
      <c r="E3427" s="2" t="s">
        <v>4647</v>
      </c>
      <c r="F3427" s="2">
        <v>15</v>
      </c>
      <c r="G3427" s="2">
        <v>15</v>
      </c>
      <c r="H3427" s="2">
        <v>0</v>
      </c>
      <c r="I3427" s="1">
        <v>0</v>
      </c>
      <c r="J3427" s="26">
        <v>45444</v>
      </c>
      <c r="K3427" s="22">
        <v>135000</v>
      </c>
      <c r="L3427" s="18">
        <v>144.38999999999999</v>
      </c>
      <c r="M3427" s="22">
        <v>97500</v>
      </c>
      <c r="N3427" s="22">
        <v>37500</v>
      </c>
      <c r="O3427" s="18">
        <v>40.11</v>
      </c>
      <c r="P3427" s="52">
        <f>IF(COUNTIF(TblPurchases[BatchID],TblOutcomes[[#This Row],[BatchID]])&lt;&gt;1,"n.a.",TblOutcomes[[#This Row],[Qty Wasted]]*SUMIFS(TblPurchases[Unit Cost (CLP)],TblPurchases[BatchID],TblOutcomes[[#This Row],[BatchID]]))</f>
        <v>0</v>
      </c>
      <c r="Q3427" s="51">
        <f>IF(COUNTIF(TblPurchases[BatchID],TblOutcomes[[#This Row],[BatchID]])&lt;&gt;1,"n.a.",SUMIFS(TblPurchases[Purchase Date],TblPurchases[BatchID],TblOutcomes[[#This Row],[BatchID]]))</f>
        <v>45423</v>
      </c>
    </row>
    <row r="3428" spans="2:17" x14ac:dyDescent="0.25">
      <c r="B3428" s="2" t="s">
        <v>4233</v>
      </c>
      <c r="C3428" s="2" t="s">
        <v>362</v>
      </c>
      <c r="D3428" s="2" t="s">
        <v>341</v>
      </c>
      <c r="E3428" s="2" t="s">
        <v>4646</v>
      </c>
      <c r="F3428" s="2">
        <v>16</v>
      </c>
      <c r="G3428" s="2">
        <v>14.82</v>
      </c>
      <c r="H3428" s="2">
        <v>1.18</v>
      </c>
      <c r="I3428" s="1">
        <v>7.4</v>
      </c>
      <c r="J3428" s="26">
        <v>45753</v>
      </c>
      <c r="K3428" s="22">
        <v>133380</v>
      </c>
      <c r="L3428" s="18">
        <v>142.65</v>
      </c>
      <c r="M3428" s="22">
        <v>104000</v>
      </c>
      <c r="N3428" s="22">
        <v>29380</v>
      </c>
      <c r="O3428" s="18">
        <v>31.42</v>
      </c>
      <c r="P3428" s="52">
        <f>IF(COUNTIF(TblPurchases[BatchID],TblOutcomes[[#This Row],[BatchID]])&lt;&gt;1,"n.a.",TblOutcomes[[#This Row],[Qty Wasted]]*SUMIFS(TblPurchases[Unit Cost (CLP)],TblPurchases[BatchID],TblOutcomes[[#This Row],[BatchID]]))</f>
        <v>7670</v>
      </c>
      <c r="Q3428" s="51">
        <f>IF(COUNTIF(TblPurchases[BatchID],TblOutcomes[[#This Row],[BatchID]])&lt;&gt;1,"n.a.",SUMIFS(TblPurchases[Purchase Date],TblPurchases[BatchID],TblOutcomes[[#This Row],[BatchID]]))</f>
        <v>45453</v>
      </c>
    </row>
    <row r="3429" spans="2:17" x14ac:dyDescent="0.25">
      <c r="B3429" s="2" t="s">
        <v>4234</v>
      </c>
      <c r="C3429" s="2" t="s">
        <v>362</v>
      </c>
      <c r="D3429" s="2" t="s">
        <v>341</v>
      </c>
      <c r="E3429" s="2" t="s">
        <v>4646</v>
      </c>
      <c r="F3429" s="2">
        <v>17</v>
      </c>
      <c r="G3429" s="2">
        <v>16.079999999999998</v>
      </c>
      <c r="H3429" s="2">
        <v>0.92</v>
      </c>
      <c r="I3429" s="1">
        <v>5.4</v>
      </c>
      <c r="J3429" s="26">
        <v>45790</v>
      </c>
      <c r="K3429" s="22">
        <v>144720</v>
      </c>
      <c r="L3429" s="18">
        <v>154.78</v>
      </c>
      <c r="M3429" s="22">
        <v>115600</v>
      </c>
      <c r="N3429" s="22">
        <v>29120</v>
      </c>
      <c r="O3429" s="18">
        <v>31.14</v>
      </c>
      <c r="P3429" s="52">
        <f>IF(COUNTIF(TblPurchases[BatchID],TblOutcomes[[#This Row],[BatchID]])&lt;&gt;1,"n.a.",TblOutcomes[[#This Row],[Qty Wasted]]*SUMIFS(TblPurchases[Unit Cost (CLP)],TblPurchases[BatchID],TblOutcomes[[#This Row],[BatchID]]))</f>
        <v>6256</v>
      </c>
      <c r="Q3429" s="51">
        <f>IF(COUNTIF(TblPurchases[BatchID],TblOutcomes[[#This Row],[BatchID]])&lt;&gt;1,"n.a.",SUMIFS(TblPurchases[Purchase Date],TblPurchases[BatchID],TblOutcomes[[#This Row],[BatchID]]))</f>
        <v>45490</v>
      </c>
    </row>
    <row r="3430" spans="2:17" x14ac:dyDescent="0.25">
      <c r="B3430" s="2" t="s">
        <v>4235</v>
      </c>
      <c r="C3430" s="2" t="s">
        <v>362</v>
      </c>
      <c r="D3430" s="2" t="s">
        <v>341</v>
      </c>
      <c r="E3430" s="2" t="s">
        <v>4647</v>
      </c>
      <c r="F3430" s="2">
        <v>13</v>
      </c>
      <c r="G3430" s="2">
        <v>13</v>
      </c>
      <c r="H3430" s="2">
        <v>0</v>
      </c>
      <c r="I3430" s="1">
        <v>0</v>
      </c>
      <c r="J3430" s="26">
        <v>45566</v>
      </c>
      <c r="K3430" s="22">
        <v>117000</v>
      </c>
      <c r="L3430" s="18">
        <v>125.13</v>
      </c>
      <c r="M3430" s="22">
        <v>84500</v>
      </c>
      <c r="N3430" s="22">
        <v>32500</v>
      </c>
      <c r="O3430" s="18">
        <v>34.76</v>
      </c>
      <c r="P3430" s="52">
        <f>IF(COUNTIF(TblPurchases[BatchID],TblOutcomes[[#This Row],[BatchID]])&lt;&gt;1,"n.a.",TblOutcomes[[#This Row],[Qty Wasted]]*SUMIFS(TblPurchases[Unit Cost (CLP)],TblPurchases[BatchID],TblOutcomes[[#This Row],[BatchID]]))</f>
        <v>0</v>
      </c>
      <c r="Q3430" s="51">
        <f>IF(COUNTIF(TblPurchases[BatchID],TblOutcomes[[#This Row],[BatchID]])&lt;&gt;1,"n.a.",SUMIFS(TblPurchases[Purchase Date],TblPurchases[BatchID],TblOutcomes[[#This Row],[BatchID]]))</f>
        <v>45526</v>
      </c>
    </row>
    <row r="3431" spans="2:17" x14ac:dyDescent="0.25">
      <c r="B3431" s="2" t="s">
        <v>4236</v>
      </c>
      <c r="C3431" s="2" t="s">
        <v>362</v>
      </c>
      <c r="D3431" s="2" t="s">
        <v>341</v>
      </c>
      <c r="E3431" s="2" t="s">
        <v>4647</v>
      </c>
      <c r="F3431" s="2">
        <v>20</v>
      </c>
      <c r="G3431" s="2">
        <v>20</v>
      </c>
      <c r="H3431" s="2">
        <v>0</v>
      </c>
      <c r="I3431" s="1">
        <v>0</v>
      </c>
      <c r="J3431" s="26">
        <v>45579</v>
      </c>
      <c r="K3431" s="22">
        <v>180000</v>
      </c>
      <c r="L3431" s="18">
        <v>192.51</v>
      </c>
      <c r="M3431" s="22">
        <v>136000</v>
      </c>
      <c r="N3431" s="22">
        <v>44000</v>
      </c>
      <c r="O3431" s="18">
        <v>47.06</v>
      </c>
      <c r="P3431" s="52">
        <f>IF(COUNTIF(TblPurchases[BatchID],TblOutcomes[[#This Row],[BatchID]])&lt;&gt;1,"n.a.",TblOutcomes[[#This Row],[Qty Wasted]]*SUMIFS(TblPurchases[Unit Cost (CLP)],TblPurchases[BatchID],TblOutcomes[[#This Row],[BatchID]]))</f>
        <v>0</v>
      </c>
      <c r="Q3431" s="51">
        <f>IF(COUNTIF(TblPurchases[BatchID],TblOutcomes[[#This Row],[BatchID]])&lt;&gt;1,"n.a.",SUMIFS(TblPurchases[Purchase Date],TblPurchases[BatchID],TblOutcomes[[#This Row],[BatchID]]))</f>
        <v>45552</v>
      </c>
    </row>
    <row r="3432" spans="2:17" x14ac:dyDescent="0.25">
      <c r="B3432" s="2" t="s">
        <v>4237</v>
      </c>
      <c r="C3432" s="2" t="s">
        <v>362</v>
      </c>
      <c r="D3432" s="2" t="s">
        <v>341</v>
      </c>
      <c r="E3432" s="2" t="s">
        <v>4647</v>
      </c>
      <c r="F3432" s="2">
        <v>17</v>
      </c>
      <c r="G3432" s="2">
        <v>17</v>
      </c>
      <c r="H3432" s="2">
        <v>0</v>
      </c>
      <c r="I3432" s="1">
        <v>0</v>
      </c>
      <c r="J3432" s="26">
        <v>45603</v>
      </c>
      <c r="K3432" s="22">
        <v>153000</v>
      </c>
      <c r="L3432" s="18">
        <v>163.63999999999999</v>
      </c>
      <c r="M3432" s="22">
        <v>110500</v>
      </c>
      <c r="N3432" s="22">
        <v>42500</v>
      </c>
      <c r="O3432" s="18">
        <v>45.45</v>
      </c>
      <c r="P3432" s="52">
        <f>IF(COUNTIF(TblPurchases[BatchID],TblOutcomes[[#This Row],[BatchID]])&lt;&gt;1,"n.a.",TblOutcomes[[#This Row],[Qty Wasted]]*SUMIFS(TblPurchases[Unit Cost (CLP)],TblPurchases[BatchID],TblOutcomes[[#This Row],[BatchID]]))</f>
        <v>0</v>
      </c>
      <c r="Q3432" s="51">
        <f>IF(COUNTIF(TblPurchases[BatchID],TblOutcomes[[#This Row],[BatchID]])&lt;&gt;1,"n.a.",SUMIFS(TblPurchases[Purchase Date],TblPurchases[BatchID],TblOutcomes[[#This Row],[BatchID]]))</f>
        <v>45583</v>
      </c>
    </row>
    <row r="3433" spans="2:17" x14ac:dyDescent="0.25">
      <c r="B3433" s="2" t="s">
        <v>4238</v>
      </c>
      <c r="C3433" s="2" t="s">
        <v>362</v>
      </c>
      <c r="D3433" s="2" t="s">
        <v>341</v>
      </c>
      <c r="E3433" s="2" t="s">
        <v>4647</v>
      </c>
      <c r="F3433" s="2">
        <v>19</v>
      </c>
      <c r="G3433" s="2">
        <v>19</v>
      </c>
      <c r="H3433" s="2">
        <v>0</v>
      </c>
      <c r="I3433" s="1">
        <v>0</v>
      </c>
      <c r="J3433" s="26">
        <v>45659</v>
      </c>
      <c r="K3433" s="22">
        <v>171000</v>
      </c>
      <c r="L3433" s="18">
        <v>182.89</v>
      </c>
      <c r="M3433" s="22">
        <v>123500</v>
      </c>
      <c r="N3433" s="22">
        <v>47500</v>
      </c>
      <c r="O3433" s="18">
        <v>50.8</v>
      </c>
      <c r="P3433" s="52">
        <f>IF(COUNTIF(TblPurchases[BatchID],TblOutcomes[[#This Row],[BatchID]])&lt;&gt;1,"n.a.",TblOutcomes[[#This Row],[Qty Wasted]]*SUMIFS(TblPurchases[Unit Cost (CLP)],TblPurchases[BatchID],TblOutcomes[[#This Row],[BatchID]]))</f>
        <v>0</v>
      </c>
      <c r="Q3433" s="51">
        <f>IF(COUNTIF(TblPurchases[BatchID],TblOutcomes[[#This Row],[BatchID]])&lt;&gt;1,"n.a.",SUMIFS(TblPurchases[Purchase Date],TblPurchases[BatchID],TblOutcomes[[#This Row],[BatchID]]))</f>
        <v>45627</v>
      </c>
    </row>
    <row r="3434" spans="2:17" x14ac:dyDescent="0.25">
      <c r="B3434" s="2" t="s">
        <v>4239</v>
      </c>
      <c r="C3434" s="2" t="s">
        <v>362</v>
      </c>
      <c r="D3434" s="2" t="s">
        <v>341</v>
      </c>
      <c r="E3434" s="2" t="s">
        <v>4647</v>
      </c>
      <c r="F3434" s="2">
        <v>16</v>
      </c>
      <c r="G3434" s="2">
        <v>16</v>
      </c>
      <c r="H3434" s="2">
        <v>0</v>
      </c>
      <c r="I3434" s="1">
        <v>0</v>
      </c>
      <c r="J3434" s="26">
        <v>45690</v>
      </c>
      <c r="K3434" s="22">
        <v>144000</v>
      </c>
      <c r="L3434" s="18">
        <v>154.01</v>
      </c>
      <c r="M3434" s="22">
        <v>104000</v>
      </c>
      <c r="N3434" s="22">
        <v>40000</v>
      </c>
      <c r="O3434" s="18">
        <v>42.78</v>
      </c>
      <c r="P3434" s="52">
        <f>IF(COUNTIF(TblPurchases[BatchID],TblOutcomes[[#This Row],[BatchID]])&lt;&gt;1,"n.a.",TblOutcomes[[#This Row],[Qty Wasted]]*SUMIFS(TblPurchases[Unit Cost (CLP)],TblPurchases[BatchID],TblOutcomes[[#This Row],[BatchID]]))</f>
        <v>0</v>
      </c>
      <c r="Q3434" s="51">
        <f>IF(COUNTIF(TblPurchases[BatchID],TblOutcomes[[#This Row],[BatchID]])&lt;&gt;1,"n.a.",SUMIFS(TblPurchases[Purchase Date],TblPurchases[BatchID],TblOutcomes[[#This Row],[BatchID]]))</f>
        <v>45661</v>
      </c>
    </row>
    <row r="3435" spans="2:17" x14ac:dyDescent="0.25">
      <c r="B3435" s="2" t="s">
        <v>4240</v>
      </c>
      <c r="C3435" s="2" t="s">
        <v>362</v>
      </c>
      <c r="D3435" s="2" t="s">
        <v>341</v>
      </c>
      <c r="E3435" s="2" t="s">
        <v>4647</v>
      </c>
      <c r="F3435" s="2">
        <v>14</v>
      </c>
      <c r="G3435" s="2">
        <v>14</v>
      </c>
      <c r="H3435" s="2">
        <v>0</v>
      </c>
      <c r="I3435" s="1">
        <v>0</v>
      </c>
      <c r="J3435" s="26">
        <v>45723</v>
      </c>
      <c r="K3435" s="22">
        <v>126000</v>
      </c>
      <c r="L3435" s="18">
        <v>134.76</v>
      </c>
      <c r="M3435" s="22">
        <v>91000</v>
      </c>
      <c r="N3435" s="22">
        <v>35000</v>
      </c>
      <c r="O3435" s="18">
        <v>37.43</v>
      </c>
      <c r="P3435" s="52">
        <f>IF(COUNTIF(TblPurchases[BatchID],TblOutcomes[[#This Row],[BatchID]])&lt;&gt;1,"n.a.",TblOutcomes[[#This Row],[Qty Wasted]]*SUMIFS(TblPurchases[Unit Cost (CLP)],TblPurchases[BatchID],TblOutcomes[[#This Row],[BatchID]]))</f>
        <v>0</v>
      </c>
      <c r="Q3435" s="51">
        <f>IF(COUNTIF(TblPurchases[BatchID],TblOutcomes[[#This Row],[BatchID]])&lt;&gt;1,"n.a.",SUMIFS(TblPurchases[Purchase Date],TblPurchases[BatchID],TblOutcomes[[#This Row],[BatchID]]))</f>
        <v>45690</v>
      </c>
    </row>
    <row r="3436" spans="2:17" x14ac:dyDescent="0.25">
      <c r="B3436" s="2" t="s">
        <v>4241</v>
      </c>
      <c r="C3436" s="2" t="s">
        <v>362</v>
      </c>
      <c r="D3436" s="2" t="s">
        <v>341</v>
      </c>
      <c r="E3436" s="2" t="s">
        <v>4647</v>
      </c>
      <c r="F3436" s="2">
        <v>16</v>
      </c>
      <c r="G3436" s="2">
        <v>16</v>
      </c>
      <c r="H3436" s="2">
        <v>0</v>
      </c>
      <c r="I3436" s="1">
        <v>0</v>
      </c>
      <c r="J3436" s="26">
        <v>45764</v>
      </c>
      <c r="K3436" s="22">
        <v>144000</v>
      </c>
      <c r="L3436" s="18">
        <v>154.01</v>
      </c>
      <c r="M3436" s="22">
        <v>104000</v>
      </c>
      <c r="N3436" s="22">
        <v>40000</v>
      </c>
      <c r="O3436" s="18">
        <v>42.78</v>
      </c>
      <c r="P3436" s="52">
        <f>IF(COUNTIF(TblPurchases[BatchID],TblOutcomes[[#This Row],[BatchID]])&lt;&gt;1,"n.a.",TblOutcomes[[#This Row],[Qty Wasted]]*SUMIFS(TblPurchases[Unit Cost (CLP)],TblPurchases[BatchID],TblOutcomes[[#This Row],[BatchID]]))</f>
        <v>0</v>
      </c>
      <c r="Q3436" s="51">
        <f>IF(COUNTIF(TblPurchases[BatchID],TblOutcomes[[#This Row],[BatchID]])&lt;&gt;1,"n.a.",SUMIFS(TblPurchases[Purchase Date],TblPurchases[BatchID],TblOutcomes[[#This Row],[BatchID]]))</f>
        <v>45734</v>
      </c>
    </row>
    <row r="3437" spans="2:17" x14ac:dyDescent="0.25">
      <c r="B3437" s="2" t="s">
        <v>4242</v>
      </c>
      <c r="C3437" s="2" t="s">
        <v>362</v>
      </c>
      <c r="D3437" s="2" t="s">
        <v>341</v>
      </c>
      <c r="E3437" s="2" t="s">
        <v>4647</v>
      </c>
      <c r="F3437" s="2">
        <v>18</v>
      </c>
      <c r="G3437" s="2">
        <v>18</v>
      </c>
      <c r="H3437" s="2">
        <v>0</v>
      </c>
      <c r="I3437" s="1">
        <v>0</v>
      </c>
      <c r="J3437" s="26">
        <v>45807</v>
      </c>
      <c r="K3437" s="22">
        <v>162000</v>
      </c>
      <c r="L3437" s="18">
        <v>173.26</v>
      </c>
      <c r="M3437" s="22">
        <v>117000</v>
      </c>
      <c r="N3437" s="22">
        <v>45000</v>
      </c>
      <c r="O3437" s="18">
        <v>48.13</v>
      </c>
      <c r="P3437" s="52">
        <f>IF(COUNTIF(TblPurchases[BatchID],TblOutcomes[[#This Row],[BatchID]])&lt;&gt;1,"n.a.",TblOutcomes[[#This Row],[Qty Wasted]]*SUMIFS(TblPurchases[Unit Cost (CLP)],TblPurchases[BatchID],TblOutcomes[[#This Row],[BatchID]]))</f>
        <v>0</v>
      </c>
      <c r="Q3437" s="51">
        <f>IF(COUNTIF(TblPurchases[BatchID],TblOutcomes[[#This Row],[BatchID]])&lt;&gt;1,"n.a.",SUMIFS(TblPurchases[Purchase Date],TblPurchases[BatchID],TblOutcomes[[#This Row],[BatchID]]))</f>
        <v>45771</v>
      </c>
    </row>
    <row r="3438" spans="2:17" x14ac:dyDescent="0.25">
      <c r="B3438" s="2" t="s">
        <v>4243</v>
      </c>
      <c r="C3438" s="2" t="s">
        <v>362</v>
      </c>
      <c r="D3438" s="2" t="s">
        <v>341</v>
      </c>
      <c r="E3438" s="2" t="s">
        <v>4647</v>
      </c>
      <c r="F3438" s="2">
        <v>14</v>
      </c>
      <c r="G3438" s="2">
        <v>14</v>
      </c>
      <c r="H3438" s="2">
        <v>0</v>
      </c>
      <c r="I3438" s="1">
        <v>0</v>
      </c>
      <c r="J3438" s="26">
        <v>45842</v>
      </c>
      <c r="K3438" s="22">
        <v>126000</v>
      </c>
      <c r="L3438" s="18">
        <v>134.76</v>
      </c>
      <c r="M3438" s="22">
        <v>91000</v>
      </c>
      <c r="N3438" s="22">
        <v>35000</v>
      </c>
      <c r="O3438" s="18">
        <v>37.43</v>
      </c>
      <c r="P3438" s="52">
        <f>IF(COUNTIF(TblPurchases[BatchID],TblOutcomes[[#This Row],[BatchID]])&lt;&gt;1,"n.a.",TblOutcomes[[#This Row],[Qty Wasted]]*SUMIFS(TblPurchases[Unit Cost (CLP)],TblPurchases[BatchID],TblOutcomes[[#This Row],[BatchID]]))</f>
        <v>0</v>
      </c>
      <c r="Q3438" s="51">
        <f>IF(COUNTIF(TblPurchases[BatchID],TblOutcomes[[#This Row],[BatchID]])&lt;&gt;1,"n.a.",SUMIFS(TblPurchases[Purchase Date],TblPurchases[BatchID],TblOutcomes[[#This Row],[BatchID]]))</f>
        <v>45805</v>
      </c>
    </row>
    <row r="3439" spans="2:17" x14ac:dyDescent="0.25">
      <c r="B3439" s="2" t="s">
        <v>4244</v>
      </c>
      <c r="C3439" s="2" t="s">
        <v>364</v>
      </c>
      <c r="D3439" s="2" t="s">
        <v>366</v>
      </c>
      <c r="E3439" s="2" t="s">
        <v>4647</v>
      </c>
      <c r="F3439" s="2">
        <v>9</v>
      </c>
      <c r="G3439" s="2">
        <v>9</v>
      </c>
      <c r="H3439" s="2">
        <v>0</v>
      </c>
      <c r="I3439" s="1">
        <v>0</v>
      </c>
      <c r="J3439" s="26">
        <v>45143</v>
      </c>
      <c r="K3439" s="22">
        <v>72000</v>
      </c>
      <c r="L3439" s="18">
        <v>77.010000000000005</v>
      </c>
      <c r="M3439" s="22">
        <v>52650</v>
      </c>
      <c r="N3439" s="22">
        <v>19350</v>
      </c>
      <c r="O3439" s="18">
        <v>20.7</v>
      </c>
      <c r="P3439" s="52">
        <f>IF(COUNTIF(TblPurchases[BatchID],TblOutcomes[[#This Row],[BatchID]])&lt;&gt;1,"n.a.",TblOutcomes[[#This Row],[Qty Wasted]]*SUMIFS(TblPurchases[Unit Cost (CLP)],TblPurchases[BatchID],TblOutcomes[[#This Row],[BatchID]]))</f>
        <v>0</v>
      </c>
      <c r="Q3439" s="51">
        <f>IF(COUNTIF(TblPurchases[BatchID],TblOutcomes[[#This Row],[BatchID]])&lt;&gt;1,"n.a.",SUMIFS(TblPurchases[Purchase Date],TblPurchases[BatchID],TblOutcomes[[#This Row],[BatchID]]))</f>
        <v>45119</v>
      </c>
    </row>
    <row r="3440" spans="2:17" x14ac:dyDescent="0.25">
      <c r="B3440" s="2" t="s">
        <v>4245</v>
      </c>
      <c r="C3440" s="2" t="s">
        <v>364</v>
      </c>
      <c r="D3440" s="2" t="s">
        <v>366</v>
      </c>
      <c r="E3440" s="2" t="s">
        <v>4646</v>
      </c>
      <c r="F3440" s="2">
        <v>9</v>
      </c>
      <c r="G3440" s="2">
        <v>8.6300000000000008</v>
      </c>
      <c r="H3440" s="2">
        <v>0.37</v>
      </c>
      <c r="I3440" s="1">
        <v>4.0999999999999996</v>
      </c>
      <c r="J3440" s="26">
        <v>45316</v>
      </c>
      <c r="K3440" s="22">
        <v>69040</v>
      </c>
      <c r="L3440" s="18">
        <v>73.84</v>
      </c>
      <c r="M3440" s="22">
        <v>52650</v>
      </c>
      <c r="N3440" s="22">
        <v>16390</v>
      </c>
      <c r="O3440" s="18">
        <v>17.53</v>
      </c>
      <c r="P3440" s="52">
        <f>IF(COUNTIF(TblPurchases[BatchID],TblOutcomes[[#This Row],[BatchID]])&lt;&gt;1,"n.a.",TblOutcomes[[#This Row],[Qty Wasted]]*SUMIFS(TblPurchases[Unit Cost (CLP)],TblPurchases[BatchID],TblOutcomes[[#This Row],[BatchID]]))</f>
        <v>2164.5</v>
      </c>
      <c r="Q3440" s="51">
        <f>IF(COUNTIF(TblPurchases[BatchID],TblOutcomes[[#This Row],[BatchID]])&lt;&gt;1,"n.a.",SUMIFS(TblPurchases[Purchase Date],TblPurchases[BatchID],TblOutcomes[[#This Row],[BatchID]]))</f>
        <v>45136</v>
      </c>
    </row>
    <row r="3441" spans="2:17" x14ac:dyDescent="0.25">
      <c r="B3441" s="2" t="s">
        <v>4246</v>
      </c>
      <c r="C3441" s="2" t="s">
        <v>364</v>
      </c>
      <c r="D3441" s="2" t="s">
        <v>366</v>
      </c>
      <c r="E3441" s="2" t="s">
        <v>4647</v>
      </c>
      <c r="F3441" s="2">
        <v>9</v>
      </c>
      <c r="G3441" s="2">
        <v>9</v>
      </c>
      <c r="H3441" s="2">
        <v>0</v>
      </c>
      <c r="I3441" s="1">
        <v>0</v>
      </c>
      <c r="J3441" s="26">
        <v>45179</v>
      </c>
      <c r="K3441" s="22">
        <v>72000</v>
      </c>
      <c r="L3441" s="18">
        <v>77.010000000000005</v>
      </c>
      <c r="M3441" s="22">
        <v>52650</v>
      </c>
      <c r="N3441" s="22">
        <v>19350</v>
      </c>
      <c r="O3441" s="18">
        <v>20.7</v>
      </c>
      <c r="P3441" s="52">
        <f>IF(COUNTIF(TblPurchases[BatchID],TblOutcomes[[#This Row],[BatchID]])&lt;&gt;1,"n.a.",TblOutcomes[[#This Row],[Qty Wasted]]*SUMIFS(TblPurchases[Unit Cost (CLP)],TblPurchases[BatchID],TblOutcomes[[#This Row],[BatchID]]))</f>
        <v>0</v>
      </c>
      <c r="Q3441" s="51">
        <f>IF(COUNTIF(TblPurchases[BatchID],TblOutcomes[[#This Row],[BatchID]])&lt;&gt;1,"n.a.",SUMIFS(TblPurchases[Purchase Date],TblPurchases[BatchID],TblOutcomes[[#This Row],[BatchID]]))</f>
        <v>45160</v>
      </c>
    </row>
    <row r="3442" spans="2:17" x14ac:dyDescent="0.25">
      <c r="B3442" s="2" t="s">
        <v>4247</v>
      </c>
      <c r="C3442" s="2" t="s">
        <v>364</v>
      </c>
      <c r="D3442" s="2" t="s">
        <v>366</v>
      </c>
      <c r="E3442" s="2" t="s">
        <v>4647</v>
      </c>
      <c r="F3442" s="2">
        <v>13</v>
      </c>
      <c r="G3442" s="2">
        <v>13</v>
      </c>
      <c r="H3442" s="2">
        <v>0</v>
      </c>
      <c r="I3442" s="1">
        <v>0</v>
      </c>
      <c r="J3442" s="26">
        <v>45194</v>
      </c>
      <c r="K3442" s="22">
        <v>104000</v>
      </c>
      <c r="L3442" s="18">
        <v>111.23</v>
      </c>
      <c r="M3442" s="22">
        <v>76050</v>
      </c>
      <c r="N3442" s="22">
        <v>27950</v>
      </c>
      <c r="O3442" s="18">
        <v>29.89</v>
      </c>
      <c r="P3442" s="52">
        <f>IF(COUNTIF(TblPurchases[BatchID],TblOutcomes[[#This Row],[BatchID]])&lt;&gt;1,"n.a.",TblOutcomes[[#This Row],[Qty Wasted]]*SUMIFS(TblPurchases[Unit Cost (CLP)],TblPurchases[BatchID],TblOutcomes[[#This Row],[BatchID]]))</f>
        <v>0</v>
      </c>
      <c r="Q3442" s="51">
        <f>IF(COUNTIF(TblPurchases[BatchID],TblOutcomes[[#This Row],[BatchID]])&lt;&gt;1,"n.a.",SUMIFS(TblPurchases[Purchase Date],TblPurchases[BatchID],TblOutcomes[[#This Row],[BatchID]]))</f>
        <v>45178</v>
      </c>
    </row>
    <row r="3443" spans="2:17" x14ac:dyDescent="0.25">
      <c r="B3443" s="2" t="s">
        <v>4248</v>
      </c>
      <c r="C3443" s="2" t="s">
        <v>364</v>
      </c>
      <c r="D3443" s="2" t="s">
        <v>366</v>
      </c>
      <c r="E3443" s="2" t="s">
        <v>4647</v>
      </c>
      <c r="F3443" s="2">
        <v>14</v>
      </c>
      <c r="G3443" s="2">
        <v>14</v>
      </c>
      <c r="H3443" s="2">
        <v>0</v>
      </c>
      <c r="I3443" s="1">
        <v>0</v>
      </c>
      <c r="J3443" s="26">
        <v>45216</v>
      </c>
      <c r="K3443" s="22">
        <v>112000</v>
      </c>
      <c r="L3443" s="18">
        <v>119.79</v>
      </c>
      <c r="M3443" s="22">
        <v>88200</v>
      </c>
      <c r="N3443" s="22">
        <v>23800</v>
      </c>
      <c r="O3443" s="18">
        <v>25.45</v>
      </c>
      <c r="P3443" s="52">
        <f>IF(COUNTIF(TblPurchases[BatchID],TblOutcomes[[#This Row],[BatchID]])&lt;&gt;1,"n.a.",TblOutcomes[[#This Row],[Qty Wasted]]*SUMIFS(TblPurchases[Unit Cost (CLP)],TblPurchases[BatchID],TblOutcomes[[#This Row],[BatchID]]))</f>
        <v>0</v>
      </c>
      <c r="Q3443" s="51">
        <f>IF(COUNTIF(TblPurchases[BatchID],TblOutcomes[[#This Row],[BatchID]])&lt;&gt;1,"n.a.",SUMIFS(TblPurchases[Purchase Date],TblPurchases[BatchID],TblOutcomes[[#This Row],[BatchID]]))</f>
        <v>45198</v>
      </c>
    </row>
    <row r="3444" spans="2:17" x14ac:dyDescent="0.25">
      <c r="B3444" s="2" t="s">
        <v>4249</v>
      </c>
      <c r="C3444" s="2" t="s">
        <v>364</v>
      </c>
      <c r="D3444" s="2" t="s">
        <v>366</v>
      </c>
      <c r="E3444" s="2" t="s">
        <v>4647</v>
      </c>
      <c r="F3444" s="2">
        <v>10</v>
      </c>
      <c r="G3444" s="2">
        <v>10</v>
      </c>
      <c r="H3444" s="2">
        <v>0</v>
      </c>
      <c r="I3444" s="1">
        <v>0</v>
      </c>
      <c r="J3444" s="26">
        <v>45234</v>
      </c>
      <c r="K3444" s="22">
        <v>80000</v>
      </c>
      <c r="L3444" s="18">
        <v>85.56</v>
      </c>
      <c r="M3444" s="22">
        <v>58500</v>
      </c>
      <c r="N3444" s="22">
        <v>21500</v>
      </c>
      <c r="O3444" s="18">
        <v>22.99</v>
      </c>
      <c r="P3444" s="52">
        <f>IF(COUNTIF(TblPurchases[BatchID],TblOutcomes[[#This Row],[BatchID]])&lt;&gt;1,"n.a.",TblOutcomes[[#This Row],[Qty Wasted]]*SUMIFS(TblPurchases[Unit Cost (CLP)],TblPurchases[BatchID],TblOutcomes[[#This Row],[BatchID]]))</f>
        <v>0</v>
      </c>
      <c r="Q3444" s="51">
        <f>IF(COUNTIF(TblPurchases[BatchID],TblOutcomes[[#This Row],[BatchID]])&lt;&gt;1,"n.a.",SUMIFS(TblPurchases[Purchase Date],TblPurchases[BatchID],TblOutcomes[[#This Row],[BatchID]]))</f>
        <v>45220</v>
      </c>
    </row>
    <row r="3445" spans="2:17" x14ac:dyDescent="0.25">
      <c r="B3445" s="2" t="s">
        <v>4250</v>
      </c>
      <c r="C3445" s="2" t="s">
        <v>364</v>
      </c>
      <c r="D3445" s="2" t="s">
        <v>366</v>
      </c>
      <c r="E3445" s="2" t="s">
        <v>4647</v>
      </c>
      <c r="F3445" s="2">
        <v>11</v>
      </c>
      <c r="G3445" s="2">
        <v>11</v>
      </c>
      <c r="H3445" s="2">
        <v>0</v>
      </c>
      <c r="I3445" s="1">
        <v>0</v>
      </c>
      <c r="J3445" s="26">
        <v>45249</v>
      </c>
      <c r="K3445" s="22">
        <v>88000</v>
      </c>
      <c r="L3445" s="18">
        <v>94.12</v>
      </c>
      <c r="M3445" s="22">
        <v>64350</v>
      </c>
      <c r="N3445" s="22">
        <v>23650</v>
      </c>
      <c r="O3445" s="18">
        <v>25.29</v>
      </c>
      <c r="P3445" s="52">
        <f>IF(COUNTIF(TblPurchases[BatchID],TblOutcomes[[#This Row],[BatchID]])&lt;&gt;1,"n.a.",TblOutcomes[[#This Row],[Qty Wasted]]*SUMIFS(TblPurchases[Unit Cost (CLP)],TblPurchases[BatchID],TblOutcomes[[#This Row],[BatchID]]))</f>
        <v>0</v>
      </c>
      <c r="Q3445" s="51">
        <f>IF(COUNTIF(TblPurchases[BatchID],TblOutcomes[[#This Row],[BatchID]])&lt;&gt;1,"n.a.",SUMIFS(TblPurchases[Purchase Date],TblPurchases[BatchID],TblOutcomes[[#This Row],[BatchID]]))</f>
        <v>45239</v>
      </c>
    </row>
    <row r="3446" spans="2:17" x14ac:dyDescent="0.25">
      <c r="B3446" s="2" t="s">
        <v>4251</v>
      </c>
      <c r="C3446" s="2" t="s">
        <v>364</v>
      </c>
      <c r="D3446" s="2" t="s">
        <v>366</v>
      </c>
      <c r="E3446" s="2" t="s">
        <v>4647</v>
      </c>
      <c r="F3446" s="2">
        <v>10</v>
      </c>
      <c r="G3446" s="2">
        <v>10</v>
      </c>
      <c r="H3446" s="2">
        <v>0</v>
      </c>
      <c r="I3446" s="1">
        <v>0</v>
      </c>
      <c r="J3446" s="26">
        <v>45274</v>
      </c>
      <c r="K3446" s="22">
        <v>80000</v>
      </c>
      <c r="L3446" s="18">
        <v>85.56</v>
      </c>
      <c r="M3446" s="22">
        <v>58500</v>
      </c>
      <c r="N3446" s="22">
        <v>21500</v>
      </c>
      <c r="O3446" s="18">
        <v>22.99</v>
      </c>
      <c r="P3446" s="52">
        <f>IF(COUNTIF(TblPurchases[BatchID],TblOutcomes[[#This Row],[BatchID]])&lt;&gt;1,"n.a.",TblOutcomes[[#This Row],[Qty Wasted]]*SUMIFS(TblPurchases[Unit Cost (CLP)],TblPurchases[BatchID],TblOutcomes[[#This Row],[BatchID]]))</f>
        <v>0</v>
      </c>
      <c r="Q3446" s="51">
        <f>IF(COUNTIF(TblPurchases[BatchID],TblOutcomes[[#This Row],[BatchID]])&lt;&gt;1,"n.a.",SUMIFS(TblPurchases[Purchase Date],TblPurchases[BatchID],TblOutcomes[[#This Row],[BatchID]]))</f>
        <v>45257</v>
      </c>
    </row>
    <row r="3447" spans="2:17" x14ac:dyDescent="0.25">
      <c r="B3447" s="2" t="s">
        <v>4252</v>
      </c>
      <c r="C3447" s="2" t="s">
        <v>364</v>
      </c>
      <c r="D3447" s="2" t="s">
        <v>366</v>
      </c>
      <c r="E3447" s="2" t="s">
        <v>4647</v>
      </c>
      <c r="F3447" s="2">
        <v>12</v>
      </c>
      <c r="G3447" s="2">
        <v>12</v>
      </c>
      <c r="H3447" s="2">
        <v>0</v>
      </c>
      <c r="I3447" s="1">
        <v>0</v>
      </c>
      <c r="J3447" s="26">
        <v>45297</v>
      </c>
      <c r="K3447" s="22">
        <v>96000</v>
      </c>
      <c r="L3447" s="18">
        <v>102.67</v>
      </c>
      <c r="M3447" s="22">
        <v>70200</v>
      </c>
      <c r="N3447" s="22">
        <v>25800</v>
      </c>
      <c r="O3447" s="18">
        <v>27.59</v>
      </c>
      <c r="P3447" s="52">
        <f>IF(COUNTIF(TblPurchases[BatchID],TblOutcomes[[#This Row],[BatchID]])&lt;&gt;1,"n.a.",TblOutcomes[[#This Row],[Qty Wasted]]*SUMIFS(TblPurchases[Unit Cost (CLP)],TblPurchases[BatchID],TblOutcomes[[#This Row],[BatchID]]))</f>
        <v>0</v>
      </c>
      <c r="Q3447" s="51">
        <f>IF(COUNTIF(TblPurchases[BatchID],TblOutcomes[[#This Row],[BatchID]])&lt;&gt;1,"n.a.",SUMIFS(TblPurchases[Purchase Date],TblPurchases[BatchID],TblOutcomes[[#This Row],[BatchID]]))</f>
        <v>45279</v>
      </c>
    </row>
    <row r="3448" spans="2:17" x14ac:dyDescent="0.25">
      <c r="B3448" s="2" t="s">
        <v>4253</v>
      </c>
      <c r="C3448" s="2" t="s">
        <v>364</v>
      </c>
      <c r="D3448" s="2" t="s">
        <v>366</v>
      </c>
      <c r="E3448" s="2" t="s">
        <v>4647</v>
      </c>
      <c r="F3448" s="2">
        <v>9</v>
      </c>
      <c r="G3448" s="2">
        <v>9</v>
      </c>
      <c r="H3448" s="2">
        <v>0</v>
      </c>
      <c r="I3448" s="1">
        <v>0</v>
      </c>
      <c r="J3448" s="26">
        <v>45311</v>
      </c>
      <c r="K3448" s="22">
        <v>72000</v>
      </c>
      <c r="L3448" s="18">
        <v>77.010000000000005</v>
      </c>
      <c r="M3448" s="22">
        <v>52650</v>
      </c>
      <c r="N3448" s="22">
        <v>19350</v>
      </c>
      <c r="O3448" s="18">
        <v>20.7</v>
      </c>
      <c r="P3448" s="52">
        <f>IF(COUNTIF(TblPurchases[BatchID],TblOutcomes[[#This Row],[BatchID]])&lt;&gt;1,"n.a.",TblOutcomes[[#This Row],[Qty Wasted]]*SUMIFS(TblPurchases[Unit Cost (CLP)],TblPurchases[BatchID],TblOutcomes[[#This Row],[BatchID]]))</f>
        <v>0</v>
      </c>
      <c r="Q3448" s="51">
        <f>IF(COUNTIF(TblPurchases[BatchID],TblOutcomes[[#This Row],[BatchID]])&lt;&gt;1,"n.a.",SUMIFS(TblPurchases[Purchase Date],TblPurchases[BatchID],TblOutcomes[[#This Row],[BatchID]]))</f>
        <v>45300</v>
      </c>
    </row>
    <row r="3449" spans="2:17" x14ac:dyDescent="0.25">
      <c r="B3449" s="2" t="s">
        <v>4254</v>
      </c>
      <c r="C3449" s="2" t="s">
        <v>364</v>
      </c>
      <c r="D3449" s="2" t="s">
        <v>366</v>
      </c>
      <c r="E3449" s="2" t="s">
        <v>4646</v>
      </c>
      <c r="F3449" s="2">
        <v>11</v>
      </c>
      <c r="G3449" s="2">
        <v>9.94</v>
      </c>
      <c r="H3449" s="2">
        <v>1.06</v>
      </c>
      <c r="I3449" s="1">
        <v>9.6</v>
      </c>
      <c r="J3449" s="26">
        <v>45501</v>
      </c>
      <c r="K3449" s="22">
        <v>79520</v>
      </c>
      <c r="L3449" s="18">
        <v>85.05</v>
      </c>
      <c r="M3449" s="22">
        <v>64350</v>
      </c>
      <c r="N3449" s="22">
        <v>15170</v>
      </c>
      <c r="O3449" s="18">
        <v>16.22</v>
      </c>
      <c r="P3449" s="52">
        <f>IF(COUNTIF(TblPurchases[BatchID],TblOutcomes[[#This Row],[BatchID]])&lt;&gt;1,"n.a.",TblOutcomes[[#This Row],[Qty Wasted]]*SUMIFS(TblPurchases[Unit Cost (CLP)],TblPurchases[BatchID],TblOutcomes[[#This Row],[BatchID]]))</f>
        <v>6201</v>
      </c>
      <c r="Q3449" s="51">
        <f>IF(COUNTIF(TblPurchases[BatchID],TblOutcomes[[#This Row],[BatchID]])&lt;&gt;1,"n.a.",SUMIFS(TblPurchases[Purchase Date],TblPurchases[BatchID],TblOutcomes[[#This Row],[BatchID]]))</f>
        <v>45321</v>
      </c>
    </row>
    <row r="3450" spans="2:17" x14ac:dyDescent="0.25">
      <c r="B3450" s="2" t="s">
        <v>4255</v>
      </c>
      <c r="C3450" s="2" t="s">
        <v>364</v>
      </c>
      <c r="D3450" s="2" t="s">
        <v>366</v>
      </c>
      <c r="E3450" s="2" t="s">
        <v>4646</v>
      </c>
      <c r="F3450" s="2">
        <v>10</v>
      </c>
      <c r="G3450" s="2">
        <v>8.9499999999999993</v>
      </c>
      <c r="H3450" s="2">
        <v>1.05</v>
      </c>
      <c r="I3450" s="1">
        <v>10.5</v>
      </c>
      <c r="J3450" s="26">
        <v>45519</v>
      </c>
      <c r="K3450" s="22">
        <v>71600</v>
      </c>
      <c r="L3450" s="18">
        <v>76.58</v>
      </c>
      <c r="M3450" s="22">
        <v>58500</v>
      </c>
      <c r="N3450" s="22">
        <v>13100</v>
      </c>
      <c r="O3450" s="18">
        <v>14.01</v>
      </c>
      <c r="P3450" s="52">
        <f>IF(COUNTIF(TblPurchases[BatchID],TblOutcomes[[#This Row],[BatchID]])&lt;&gt;1,"n.a.",TblOutcomes[[#This Row],[Qty Wasted]]*SUMIFS(TblPurchases[Unit Cost (CLP)],TblPurchases[BatchID],TblOutcomes[[#This Row],[BatchID]]))</f>
        <v>6142.5</v>
      </c>
      <c r="Q3450" s="51">
        <f>IF(COUNTIF(TblPurchases[BatchID],TblOutcomes[[#This Row],[BatchID]])&lt;&gt;1,"n.a.",SUMIFS(TblPurchases[Purchase Date],TblPurchases[BatchID],TblOutcomes[[#This Row],[BatchID]]))</f>
        <v>45339</v>
      </c>
    </row>
    <row r="3451" spans="2:17" x14ac:dyDescent="0.25">
      <c r="B3451" s="2" t="s">
        <v>4256</v>
      </c>
      <c r="C3451" s="2" t="s">
        <v>364</v>
      </c>
      <c r="D3451" s="2" t="s">
        <v>366</v>
      </c>
      <c r="E3451" s="2" t="s">
        <v>4647</v>
      </c>
      <c r="F3451" s="2">
        <v>9</v>
      </c>
      <c r="G3451" s="2">
        <v>9</v>
      </c>
      <c r="H3451" s="2">
        <v>0</v>
      </c>
      <c r="I3451" s="1">
        <v>0</v>
      </c>
      <c r="J3451" s="26">
        <v>45374</v>
      </c>
      <c r="K3451" s="22">
        <v>72000</v>
      </c>
      <c r="L3451" s="18">
        <v>77.010000000000005</v>
      </c>
      <c r="M3451" s="22">
        <v>56700</v>
      </c>
      <c r="N3451" s="22">
        <v>15300</v>
      </c>
      <c r="O3451" s="18">
        <v>16.36</v>
      </c>
      <c r="P3451" s="52">
        <f>IF(COUNTIF(TblPurchases[BatchID],TblOutcomes[[#This Row],[BatchID]])&lt;&gt;1,"n.a.",TblOutcomes[[#This Row],[Qty Wasted]]*SUMIFS(TblPurchases[Unit Cost (CLP)],TblPurchases[BatchID],TblOutcomes[[#This Row],[BatchID]]))</f>
        <v>0</v>
      </c>
      <c r="Q3451" s="51">
        <f>IF(COUNTIF(TblPurchases[BatchID],TblOutcomes[[#This Row],[BatchID]])&lt;&gt;1,"n.a.",SUMIFS(TblPurchases[Purchase Date],TblPurchases[BatchID],TblOutcomes[[#This Row],[BatchID]]))</f>
        <v>45358</v>
      </c>
    </row>
    <row r="3452" spans="2:17" x14ac:dyDescent="0.25">
      <c r="B3452" s="2" t="s">
        <v>4257</v>
      </c>
      <c r="C3452" s="2" t="s">
        <v>364</v>
      </c>
      <c r="D3452" s="2" t="s">
        <v>366</v>
      </c>
      <c r="E3452" s="2" t="s">
        <v>4646</v>
      </c>
      <c r="F3452" s="2">
        <v>11</v>
      </c>
      <c r="G3452" s="2">
        <v>10.210000000000001</v>
      </c>
      <c r="H3452" s="2">
        <v>0.79</v>
      </c>
      <c r="I3452" s="1">
        <v>7.2</v>
      </c>
      <c r="J3452" s="26">
        <v>45558</v>
      </c>
      <c r="K3452" s="22">
        <v>81680</v>
      </c>
      <c r="L3452" s="18">
        <v>87.36</v>
      </c>
      <c r="M3452" s="22">
        <v>64350</v>
      </c>
      <c r="N3452" s="22">
        <v>17330</v>
      </c>
      <c r="O3452" s="18">
        <v>18.53</v>
      </c>
      <c r="P3452" s="52">
        <f>IF(COUNTIF(TblPurchases[BatchID],TblOutcomes[[#This Row],[BatchID]])&lt;&gt;1,"n.a.",TblOutcomes[[#This Row],[Qty Wasted]]*SUMIFS(TblPurchases[Unit Cost (CLP)],TblPurchases[BatchID],TblOutcomes[[#This Row],[BatchID]]))</f>
        <v>4621.5</v>
      </c>
      <c r="Q3452" s="51">
        <f>IF(COUNTIF(TblPurchases[BatchID],TblOutcomes[[#This Row],[BatchID]])&lt;&gt;1,"n.a.",SUMIFS(TblPurchases[Purchase Date],TblPurchases[BatchID],TblOutcomes[[#This Row],[BatchID]]))</f>
        <v>45378</v>
      </c>
    </row>
    <row r="3453" spans="2:17" x14ac:dyDescent="0.25">
      <c r="B3453" s="2" t="s">
        <v>4258</v>
      </c>
      <c r="C3453" s="2" t="s">
        <v>364</v>
      </c>
      <c r="D3453" s="2" t="s">
        <v>366</v>
      </c>
      <c r="E3453" s="2" t="s">
        <v>4646</v>
      </c>
      <c r="F3453" s="2">
        <v>11</v>
      </c>
      <c r="G3453" s="2">
        <v>10.5</v>
      </c>
      <c r="H3453" s="2">
        <v>0.49</v>
      </c>
      <c r="I3453" s="1">
        <v>4.5</v>
      </c>
      <c r="J3453" s="26">
        <v>45580</v>
      </c>
      <c r="K3453" s="22">
        <v>84000</v>
      </c>
      <c r="L3453" s="18">
        <v>89.84</v>
      </c>
      <c r="M3453" s="22">
        <v>64350</v>
      </c>
      <c r="N3453" s="22">
        <v>19650</v>
      </c>
      <c r="O3453" s="18">
        <v>21.02</v>
      </c>
      <c r="P3453" s="52">
        <f>IF(COUNTIF(TblPurchases[BatchID],TblOutcomes[[#This Row],[BatchID]])&lt;&gt;1,"n.a.",TblOutcomes[[#This Row],[Qty Wasted]]*SUMIFS(TblPurchases[Unit Cost (CLP)],TblPurchases[BatchID],TblOutcomes[[#This Row],[BatchID]]))</f>
        <v>2866.5</v>
      </c>
      <c r="Q3453" s="51">
        <f>IF(COUNTIF(TblPurchases[BatchID],TblOutcomes[[#This Row],[BatchID]])&lt;&gt;1,"n.a.",SUMIFS(TblPurchases[Purchase Date],TblPurchases[BatchID],TblOutcomes[[#This Row],[BatchID]]))</f>
        <v>45400</v>
      </c>
    </row>
    <row r="3454" spans="2:17" x14ac:dyDescent="0.25">
      <c r="B3454" s="2" t="s">
        <v>4259</v>
      </c>
      <c r="C3454" s="2" t="s">
        <v>364</v>
      </c>
      <c r="D3454" s="2" t="s">
        <v>366</v>
      </c>
      <c r="E3454" s="2" t="s">
        <v>4646</v>
      </c>
      <c r="F3454" s="2">
        <v>10</v>
      </c>
      <c r="G3454" s="2">
        <v>9.5299999999999994</v>
      </c>
      <c r="H3454" s="2">
        <v>0.47</v>
      </c>
      <c r="I3454" s="1">
        <v>4.7</v>
      </c>
      <c r="J3454" s="26">
        <v>45601</v>
      </c>
      <c r="K3454" s="22">
        <v>76240</v>
      </c>
      <c r="L3454" s="18">
        <v>81.540000000000006</v>
      </c>
      <c r="M3454" s="22">
        <v>58500</v>
      </c>
      <c r="N3454" s="22">
        <v>17740</v>
      </c>
      <c r="O3454" s="18">
        <v>18.97</v>
      </c>
      <c r="P3454" s="52">
        <f>IF(COUNTIF(TblPurchases[BatchID],TblOutcomes[[#This Row],[BatchID]])&lt;&gt;1,"n.a.",TblOutcomes[[#This Row],[Qty Wasted]]*SUMIFS(TblPurchases[Unit Cost (CLP)],TblPurchases[BatchID],TblOutcomes[[#This Row],[BatchID]]))</f>
        <v>2749.5</v>
      </c>
      <c r="Q3454" s="51">
        <f>IF(COUNTIF(TblPurchases[BatchID],TblOutcomes[[#This Row],[BatchID]])&lt;&gt;1,"n.a.",SUMIFS(TblPurchases[Purchase Date],TblPurchases[BatchID],TblOutcomes[[#This Row],[BatchID]]))</f>
        <v>45421</v>
      </c>
    </row>
    <row r="3455" spans="2:17" x14ac:dyDescent="0.25">
      <c r="B3455" s="2" t="s">
        <v>4260</v>
      </c>
      <c r="C3455" s="2" t="s">
        <v>364</v>
      </c>
      <c r="D3455" s="2" t="s">
        <v>366</v>
      </c>
      <c r="E3455" s="2" t="s">
        <v>4646</v>
      </c>
      <c r="F3455" s="2">
        <v>11</v>
      </c>
      <c r="G3455" s="2">
        <v>10.32</v>
      </c>
      <c r="H3455" s="2">
        <v>0.68</v>
      </c>
      <c r="I3455" s="1">
        <v>6.2</v>
      </c>
      <c r="J3455" s="26">
        <v>45624</v>
      </c>
      <c r="K3455" s="22">
        <v>82560</v>
      </c>
      <c r="L3455" s="18">
        <v>88.3</v>
      </c>
      <c r="M3455" s="22">
        <v>64350</v>
      </c>
      <c r="N3455" s="22">
        <v>18210</v>
      </c>
      <c r="O3455" s="18">
        <v>19.48</v>
      </c>
      <c r="P3455" s="52">
        <f>IF(COUNTIF(TblPurchases[BatchID],TblOutcomes[[#This Row],[BatchID]])&lt;&gt;1,"n.a.",TblOutcomes[[#This Row],[Qty Wasted]]*SUMIFS(TblPurchases[Unit Cost (CLP)],TblPurchases[BatchID],TblOutcomes[[#This Row],[BatchID]]))</f>
        <v>3978.0000000000005</v>
      </c>
      <c r="Q3455" s="51">
        <f>IF(COUNTIF(TblPurchases[BatchID],TblOutcomes[[#This Row],[BatchID]])&lt;&gt;1,"n.a.",SUMIFS(TblPurchases[Purchase Date],TblPurchases[BatchID],TblOutcomes[[#This Row],[BatchID]]))</f>
        <v>45444</v>
      </c>
    </row>
    <row r="3456" spans="2:17" x14ac:dyDescent="0.25">
      <c r="B3456" s="2" t="s">
        <v>4261</v>
      </c>
      <c r="C3456" s="2" t="s">
        <v>364</v>
      </c>
      <c r="D3456" s="2" t="s">
        <v>366</v>
      </c>
      <c r="E3456" s="2" t="s">
        <v>4646</v>
      </c>
      <c r="F3456" s="2">
        <v>11</v>
      </c>
      <c r="G3456" s="2">
        <v>10.14</v>
      </c>
      <c r="H3456" s="2">
        <v>0.86</v>
      </c>
      <c r="I3456" s="1">
        <v>7.8</v>
      </c>
      <c r="J3456" s="26">
        <v>45644</v>
      </c>
      <c r="K3456" s="22">
        <v>81120</v>
      </c>
      <c r="L3456" s="18">
        <v>86.76</v>
      </c>
      <c r="M3456" s="22">
        <v>64350</v>
      </c>
      <c r="N3456" s="22">
        <v>16770</v>
      </c>
      <c r="O3456" s="18">
        <v>17.940000000000001</v>
      </c>
      <c r="P3456" s="52">
        <f>IF(COUNTIF(TblPurchases[BatchID],TblOutcomes[[#This Row],[BatchID]])&lt;&gt;1,"n.a.",TblOutcomes[[#This Row],[Qty Wasted]]*SUMIFS(TblPurchases[Unit Cost (CLP)],TblPurchases[BatchID],TblOutcomes[[#This Row],[BatchID]]))</f>
        <v>5031</v>
      </c>
      <c r="Q3456" s="51">
        <f>IF(COUNTIF(TblPurchases[BatchID],TblOutcomes[[#This Row],[BatchID]])&lt;&gt;1,"n.a.",SUMIFS(TblPurchases[Purchase Date],TblPurchases[BatchID],TblOutcomes[[#This Row],[BatchID]]))</f>
        <v>45464</v>
      </c>
    </row>
    <row r="3457" spans="2:17" x14ac:dyDescent="0.25">
      <c r="B3457" s="2" t="s">
        <v>4262</v>
      </c>
      <c r="C3457" s="2" t="s">
        <v>364</v>
      </c>
      <c r="D3457" s="2" t="s">
        <v>366</v>
      </c>
      <c r="E3457" s="2" t="s">
        <v>4646</v>
      </c>
      <c r="F3457" s="2">
        <v>10</v>
      </c>
      <c r="G3457" s="2">
        <v>9.3800000000000008</v>
      </c>
      <c r="H3457" s="2">
        <v>0.62</v>
      </c>
      <c r="I3457" s="1">
        <v>6.2</v>
      </c>
      <c r="J3457" s="26">
        <v>45665</v>
      </c>
      <c r="K3457" s="22">
        <v>75040</v>
      </c>
      <c r="L3457" s="18">
        <v>80.260000000000005</v>
      </c>
      <c r="M3457" s="22">
        <v>58500</v>
      </c>
      <c r="N3457" s="22">
        <v>16540</v>
      </c>
      <c r="O3457" s="18">
        <v>17.690000000000001</v>
      </c>
      <c r="P3457" s="52">
        <f>IF(COUNTIF(TblPurchases[BatchID],TblOutcomes[[#This Row],[BatchID]])&lt;&gt;1,"n.a.",TblOutcomes[[#This Row],[Qty Wasted]]*SUMIFS(TblPurchases[Unit Cost (CLP)],TblPurchases[BatchID],TblOutcomes[[#This Row],[BatchID]]))</f>
        <v>3627</v>
      </c>
      <c r="Q3457" s="51">
        <f>IF(COUNTIF(TblPurchases[BatchID],TblOutcomes[[#This Row],[BatchID]])&lt;&gt;1,"n.a.",SUMIFS(TblPurchases[Purchase Date],TblPurchases[BatchID],TblOutcomes[[#This Row],[BatchID]]))</f>
        <v>45485</v>
      </c>
    </row>
    <row r="3458" spans="2:17" x14ac:dyDescent="0.25">
      <c r="B3458" s="2" t="s">
        <v>4263</v>
      </c>
      <c r="C3458" s="2" t="s">
        <v>364</v>
      </c>
      <c r="D3458" s="2" t="s">
        <v>366</v>
      </c>
      <c r="E3458" s="2" t="s">
        <v>4646</v>
      </c>
      <c r="F3458" s="2">
        <v>10</v>
      </c>
      <c r="G3458" s="2">
        <v>9.4600000000000009</v>
      </c>
      <c r="H3458" s="2">
        <v>0.54</v>
      </c>
      <c r="I3458" s="1">
        <v>5.4</v>
      </c>
      <c r="J3458" s="26">
        <v>45686</v>
      </c>
      <c r="K3458" s="22">
        <v>75680</v>
      </c>
      <c r="L3458" s="18">
        <v>80.94</v>
      </c>
      <c r="M3458" s="22">
        <v>58500</v>
      </c>
      <c r="N3458" s="22">
        <v>17180</v>
      </c>
      <c r="O3458" s="18">
        <v>18.37</v>
      </c>
      <c r="P3458" s="52">
        <f>IF(COUNTIF(TblPurchases[BatchID],TblOutcomes[[#This Row],[BatchID]])&lt;&gt;1,"n.a.",TblOutcomes[[#This Row],[Qty Wasted]]*SUMIFS(TblPurchases[Unit Cost (CLP)],TblPurchases[BatchID],TblOutcomes[[#This Row],[BatchID]]))</f>
        <v>3159</v>
      </c>
      <c r="Q3458" s="51">
        <f>IF(COUNTIF(TblPurchases[BatchID],TblOutcomes[[#This Row],[BatchID]])&lt;&gt;1,"n.a.",SUMIFS(TblPurchases[Purchase Date],TblPurchases[BatchID],TblOutcomes[[#This Row],[BatchID]]))</f>
        <v>45506</v>
      </c>
    </row>
    <row r="3459" spans="2:17" x14ac:dyDescent="0.25">
      <c r="B3459" s="2" t="s">
        <v>4264</v>
      </c>
      <c r="C3459" s="2" t="s">
        <v>364</v>
      </c>
      <c r="D3459" s="2" t="s">
        <v>366</v>
      </c>
      <c r="E3459" s="2" t="s">
        <v>4647</v>
      </c>
      <c r="F3459" s="2">
        <v>9</v>
      </c>
      <c r="G3459" s="2">
        <v>9</v>
      </c>
      <c r="H3459" s="2">
        <v>0</v>
      </c>
      <c r="I3459" s="1">
        <v>0</v>
      </c>
      <c r="J3459" s="26">
        <v>45546</v>
      </c>
      <c r="K3459" s="22">
        <v>72000</v>
      </c>
      <c r="L3459" s="18">
        <v>77.010000000000005</v>
      </c>
      <c r="M3459" s="22">
        <v>52650</v>
      </c>
      <c r="N3459" s="22">
        <v>19350</v>
      </c>
      <c r="O3459" s="18">
        <v>20.7</v>
      </c>
      <c r="P3459" s="52">
        <f>IF(COUNTIF(TblPurchases[BatchID],TblOutcomes[[#This Row],[BatchID]])&lt;&gt;1,"n.a.",TblOutcomes[[#This Row],[Qty Wasted]]*SUMIFS(TblPurchases[Unit Cost (CLP)],TblPurchases[BatchID],TblOutcomes[[#This Row],[BatchID]]))</f>
        <v>0</v>
      </c>
      <c r="Q3459" s="51">
        <f>IF(COUNTIF(TblPurchases[BatchID],TblOutcomes[[#This Row],[BatchID]])&lt;&gt;1,"n.a.",SUMIFS(TblPurchases[Purchase Date],TblPurchases[BatchID],TblOutcomes[[#This Row],[BatchID]]))</f>
        <v>45528</v>
      </c>
    </row>
    <row r="3460" spans="2:17" x14ac:dyDescent="0.25">
      <c r="B3460" s="2" t="s">
        <v>4265</v>
      </c>
      <c r="C3460" s="2" t="s">
        <v>364</v>
      </c>
      <c r="D3460" s="2" t="s">
        <v>366</v>
      </c>
      <c r="E3460" s="2" t="s">
        <v>4647</v>
      </c>
      <c r="F3460" s="2">
        <v>13</v>
      </c>
      <c r="G3460" s="2">
        <v>13</v>
      </c>
      <c r="H3460" s="2">
        <v>0</v>
      </c>
      <c r="I3460" s="1">
        <v>0</v>
      </c>
      <c r="J3460" s="26">
        <v>45558</v>
      </c>
      <c r="K3460" s="22">
        <v>104000</v>
      </c>
      <c r="L3460" s="18">
        <v>111.23</v>
      </c>
      <c r="M3460" s="22">
        <v>76050</v>
      </c>
      <c r="N3460" s="22">
        <v>27950</v>
      </c>
      <c r="O3460" s="18">
        <v>29.89</v>
      </c>
      <c r="P3460" s="52">
        <f>IF(COUNTIF(TblPurchases[BatchID],TblOutcomes[[#This Row],[BatchID]])&lt;&gt;1,"n.a.",TblOutcomes[[#This Row],[Qty Wasted]]*SUMIFS(TblPurchases[Unit Cost (CLP)],TblPurchases[BatchID],TblOutcomes[[#This Row],[BatchID]]))</f>
        <v>0</v>
      </c>
      <c r="Q3460" s="51">
        <f>IF(COUNTIF(TblPurchases[BatchID],TblOutcomes[[#This Row],[BatchID]])&lt;&gt;1,"n.a.",SUMIFS(TblPurchases[Purchase Date],TblPurchases[BatchID],TblOutcomes[[#This Row],[BatchID]]))</f>
        <v>45543</v>
      </c>
    </row>
    <row r="3461" spans="2:17" x14ac:dyDescent="0.25">
      <c r="B3461" s="2" t="s">
        <v>4266</v>
      </c>
      <c r="C3461" s="2" t="s">
        <v>364</v>
      </c>
      <c r="D3461" s="2" t="s">
        <v>366</v>
      </c>
      <c r="E3461" s="2" t="s">
        <v>4646</v>
      </c>
      <c r="F3461" s="2">
        <v>13</v>
      </c>
      <c r="G3461" s="2">
        <v>12.13</v>
      </c>
      <c r="H3461" s="2">
        <v>0.87</v>
      </c>
      <c r="I3461" s="1">
        <v>6.7</v>
      </c>
      <c r="J3461" s="26">
        <v>45744</v>
      </c>
      <c r="K3461" s="22">
        <v>97040</v>
      </c>
      <c r="L3461" s="18">
        <v>103.79</v>
      </c>
      <c r="M3461" s="22">
        <v>76050</v>
      </c>
      <c r="N3461" s="22">
        <v>20990</v>
      </c>
      <c r="O3461" s="18">
        <v>22.45</v>
      </c>
      <c r="P3461" s="52">
        <f>IF(COUNTIF(TblPurchases[BatchID],TblOutcomes[[#This Row],[BatchID]])&lt;&gt;1,"n.a.",TblOutcomes[[#This Row],[Qty Wasted]]*SUMIFS(TblPurchases[Unit Cost (CLP)],TblPurchases[BatchID],TblOutcomes[[#This Row],[BatchID]]))</f>
        <v>5089.5</v>
      </c>
      <c r="Q3461" s="51">
        <f>IF(COUNTIF(TblPurchases[BatchID],TblOutcomes[[#This Row],[BatchID]])&lt;&gt;1,"n.a.",SUMIFS(TblPurchases[Purchase Date],TblPurchases[BatchID],TblOutcomes[[#This Row],[BatchID]]))</f>
        <v>45564</v>
      </c>
    </row>
    <row r="3462" spans="2:17" x14ac:dyDescent="0.25">
      <c r="B3462" s="2" t="s">
        <v>4267</v>
      </c>
      <c r="C3462" s="2" t="s">
        <v>364</v>
      </c>
      <c r="D3462" s="2" t="s">
        <v>366</v>
      </c>
      <c r="E3462" s="2" t="s">
        <v>4646</v>
      </c>
      <c r="F3462" s="2">
        <v>11</v>
      </c>
      <c r="G3462" s="2">
        <v>10.29</v>
      </c>
      <c r="H3462" s="2">
        <v>0.72</v>
      </c>
      <c r="I3462" s="1">
        <v>6.5</v>
      </c>
      <c r="J3462" s="26">
        <v>45769</v>
      </c>
      <c r="K3462" s="22">
        <v>82320</v>
      </c>
      <c r="L3462" s="18">
        <v>88.04</v>
      </c>
      <c r="M3462" s="22">
        <v>64350</v>
      </c>
      <c r="N3462" s="22">
        <v>17970</v>
      </c>
      <c r="O3462" s="18">
        <v>19.22</v>
      </c>
      <c r="P3462" s="52">
        <f>IF(COUNTIF(TblPurchases[BatchID],TblOutcomes[[#This Row],[BatchID]])&lt;&gt;1,"n.a.",TblOutcomes[[#This Row],[Qty Wasted]]*SUMIFS(TblPurchases[Unit Cost (CLP)],TblPurchases[BatchID],TblOutcomes[[#This Row],[BatchID]]))</f>
        <v>4212</v>
      </c>
      <c r="Q3462" s="51">
        <f>IF(COUNTIF(TblPurchases[BatchID],TblOutcomes[[#This Row],[BatchID]])&lt;&gt;1,"n.a.",SUMIFS(TblPurchases[Purchase Date],TblPurchases[BatchID],TblOutcomes[[#This Row],[BatchID]]))</f>
        <v>45589</v>
      </c>
    </row>
    <row r="3463" spans="2:17" x14ac:dyDescent="0.25">
      <c r="B3463" s="2" t="s">
        <v>4268</v>
      </c>
      <c r="C3463" s="2" t="s">
        <v>364</v>
      </c>
      <c r="D3463" s="2" t="s">
        <v>366</v>
      </c>
      <c r="E3463" s="2" t="s">
        <v>4647</v>
      </c>
      <c r="F3463" s="2">
        <v>10</v>
      </c>
      <c r="G3463" s="2">
        <v>10</v>
      </c>
      <c r="H3463" s="2">
        <v>0</v>
      </c>
      <c r="I3463" s="1">
        <v>0</v>
      </c>
      <c r="J3463" s="26">
        <v>45626</v>
      </c>
      <c r="K3463" s="22">
        <v>80000</v>
      </c>
      <c r="L3463" s="18">
        <v>85.56</v>
      </c>
      <c r="M3463" s="22">
        <v>58500</v>
      </c>
      <c r="N3463" s="22">
        <v>21500</v>
      </c>
      <c r="O3463" s="18">
        <v>22.99</v>
      </c>
      <c r="P3463" s="52">
        <f>IF(COUNTIF(TblPurchases[BatchID],TblOutcomes[[#This Row],[BatchID]])&lt;&gt;1,"n.a.",TblOutcomes[[#This Row],[Qty Wasted]]*SUMIFS(TblPurchases[Unit Cost (CLP)],TblPurchases[BatchID],TblOutcomes[[#This Row],[BatchID]]))</f>
        <v>0</v>
      </c>
      <c r="Q3463" s="51">
        <f>IF(COUNTIF(TblPurchases[BatchID],TblOutcomes[[#This Row],[BatchID]])&lt;&gt;1,"n.a.",SUMIFS(TblPurchases[Purchase Date],TblPurchases[BatchID],TblOutcomes[[#This Row],[BatchID]]))</f>
        <v>45611</v>
      </c>
    </row>
    <row r="3464" spans="2:17" x14ac:dyDescent="0.25">
      <c r="B3464" s="2" t="s">
        <v>4269</v>
      </c>
      <c r="C3464" s="2" t="s">
        <v>364</v>
      </c>
      <c r="D3464" s="2" t="s">
        <v>366</v>
      </c>
      <c r="E3464" s="2" t="s">
        <v>4647</v>
      </c>
      <c r="F3464" s="2">
        <v>14</v>
      </c>
      <c r="G3464" s="2">
        <v>14</v>
      </c>
      <c r="H3464" s="2">
        <v>0</v>
      </c>
      <c r="I3464" s="1">
        <v>0</v>
      </c>
      <c r="J3464" s="26">
        <v>45653</v>
      </c>
      <c r="K3464" s="22">
        <v>112000</v>
      </c>
      <c r="L3464" s="18">
        <v>119.79</v>
      </c>
      <c r="M3464" s="22">
        <v>88200</v>
      </c>
      <c r="N3464" s="22">
        <v>23800</v>
      </c>
      <c r="O3464" s="18">
        <v>25.45</v>
      </c>
      <c r="P3464" s="52">
        <f>IF(COUNTIF(TblPurchases[BatchID],TblOutcomes[[#This Row],[BatchID]])&lt;&gt;1,"n.a.",TblOutcomes[[#This Row],[Qty Wasted]]*SUMIFS(TblPurchases[Unit Cost (CLP)],TblPurchases[BatchID],TblOutcomes[[#This Row],[BatchID]]))</f>
        <v>0</v>
      </c>
      <c r="Q3464" s="51">
        <f>IF(COUNTIF(TblPurchases[BatchID],TblOutcomes[[#This Row],[BatchID]])&lt;&gt;1,"n.a.",SUMIFS(TblPurchases[Purchase Date],TblPurchases[BatchID],TblOutcomes[[#This Row],[BatchID]]))</f>
        <v>45634</v>
      </c>
    </row>
    <row r="3465" spans="2:17" x14ac:dyDescent="0.25">
      <c r="B3465" s="2" t="s">
        <v>4270</v>
      </c>
      <c r="C3465" s="2" t="s">
        <v>364</v>
      </c>
      <c r="D3465" s="2" t="s">
        <v>366</v>
      </c>
      <c r="E3465" s="2" t="s">
        <v>4647</v>
      </c>
      <c r="F3465" s="2">
        <v>14</v>
      </c>
      <c r="G3465" s="2">
        <v>14</v>
      </c>
      <c r="H3465" s="2">
        <v>0</v>
      </c>
      <c r="I3465" s="1">
        <v>0</v>
      </c>
      <c r="J3465" s="26">
        <v>45673</v>
      </c>
      <c r="K3465" s="22">
        <v>112000</v>
      </c>
      <c r="L3465" s="18">
        <v>119.79</v>
      </c>
      <c r="M3465" s="22">
        <v>81900</v>
      </c>
      <c r="N3465" s="22">
        <v>30100</v>
      </c>
      <c r="O3465" s="18">
        <v>32.19</v>
      </c>
      <c r="P3465" s="52">
        <f>IF(COUNTIF(TblPurchases[BatchID],TblOutcomes[[#This Row],[BatchID]])&lt;&gt;1,"n.a.",TblOutcomes[[#This Row],[Qty Wasted]]*SUMIFS(TblPurchases[Unit Cost (CLP)],TblPurchases[BatchID],TblOutcomes[[#This Row],[BatchID]]))</f>
        <v>0</v>
      </c>
      <c r="Q3465" s="51">
        <f>IF(COUNTIF(TblPurchases[BatchID],TblOutcomes[[#This Row],[BatchID]])&lt;&gt;1,"n.a.",SUMIFS(TblPurchases[Purchase Date],TblPurchases[BatchID],TblOutcomes[[#This Row],[BatchID]]))</f>
        <v>45655</v>
      </c>
    </row>
    <row r="3466" spans="2:17" x14ac:dyDescent="0.25">
      <c r="B3466" s="2" t="s">
        <v>4271</v>
      </c>
      <c r="C3466" s="2" t="s">
        <v>364</v>
      </c>
      <c r="D3466" s="2" t="s">
        <v>366</v>
      </c>
      <c r="E3466" s="2" t="s">
        <v>4647</v>
      </c>
      <c r="F3466" s="2">
        <v>12</v>
      </c>
      <c r="G3466" s="2">
        <v>12</v>
      </c>
      <c r="H3466" s="2">
        <v>0</v>
      </c>
      <c r="I3466" s="1">
        <v>0</v>
      </c>
      <c r="J3466" s="26">
        <v>45695</v>
      </c>
      <c r="K3466" s="22">
        <v>96000</v>
      </c>
      <c r="L3466" s="18">
        <v>102.67</v>
      </c>
      <c r="M3466" s="22">
        <v>70200</v>
      </c>
      <c r="N3466" s="22">
        <v>25800</v>
      </c>
      <c r="O3466" s="18">
        <v>27.59</v>
      </c>
      <c r="P3466" s="52">
        <f>IF(COUNTIF(TblPurchases[BatchID],TblOutcomes[[#This Row],[BatchID]])&lt;&gt;1,"n.a.",TblOutcomes[[#This Row],[Qty Wasted]]*SUMIFS(TblPurchases[Unit Cost (CLP)],TblPurchases[BatchID],TblOutcomes[[#This Row],[BatchID]]))</f>
        <v>0</v>
      </c>
      <c r="Q3466" s="51">
        <f>IF(COUNTIF(TblPurchases[BatchID],TblOutcomes[[#This Row],[BatchID]])&lt;&gt;1,"n.a.",SUMIFS(TblPurchases[Purchase Date],TblPurchases[BatchID],TblOutcomes[[#This Row],[BatchID]]))</f>
        <v>45681</v>
      </c>
    </row>
    <row r="3467" spans="2:17" x14ac:dyDescent="0.25">
      <c r="B3467" s="2" t="s">
        <v>4272</v>
      </c>
      <c r="C3467" s="2" t="s">
        <v>364</v>
      </c>
      <c r="D3467" s="2" t="s">
        <v>366</v>
      </c>
      <c r="E3467" s="2" t="s">
        <v>4647</v>
      </c>
      <c r="F3467" s="2">
        <v>11</v>
      </c>
      <c r="G3467" s="2">
        <v>11</v>
      </c>
      <c r="H3467" s="2">
        <v>0</v>
      </c>
      <c r="I3467" s="1">
        <v>0</v>
      </c>
      <c r="J3467" s="26">
        <v>45707</v>
      </c>
      <c r="K3467" s="22">
        <v>88000</v>
      </c>
      <c r="L3467" s="18">
        <v>94.12</v>
      </c>
      <c r="M3467" s="22">
        <v>64350</v>
      </c>
      <c r="N3467" s="22">
        <v>23650</v>
      </c>
      <c r="O3467" s="18">
        <v>25.29</v>
      </c>
      <c r="P3467" s="52">
        <f>IF(COUNTIF(TblPurchases[BatchID],TblOutcomes[[#This Row],[BatchID]])&lt;&gt;1,"n.a.",TblOutcomes[[#This Row],[Qty Wasted]]*SUMIFS(TblPurchases[Unit Cost (CLP)],TblPurchases[BatchID],TblOutcomes[[#This Row],[BatchID]]))</f>
        <v>0</v>
      </c>
      <c r="Q3467" s="51">
        <f>IF(COUNTIF(TblPurchases[BatchID],TblOutcomes[[#This Row],[BatchID]])&lt;&gt;1,"n.a.",SUMIFS(TblPurchases[Purchase Date],TblPurchases[BatchID],TblOutcomes[[#This Row],[BatchID]]))</f>
        <v>45698</v>
      </c>
    </row>
    <row r="3468" spans="2:17" x14ac:dyDescent="0.25">
      <c r="B3468" s="2" t="s">
        <v>4273</v>
      </c>
      <c r="C3468" s="2" t="s">
        <v>364</v>
      </c>
      <c r="D3468" s="2" t="s">
        <v>366</v>
      </c>
      <c r="E3468" s="2" t="s">
        <v>4647</v>
      </c>
      <c r="F3468" s="2">
        <v>11</v>
      </c>
      <c r="G3468" s="2">
        <v>11</v>
      </c>
      <c r="H3468" s="2">
        <v>0</v>
      </c>
      <c r="I3468" s="1">
        <v>0</v>
      </c>
      <c r="J3468" s="26">
        <v>45732</v>
      </c>
      <c r="K3468" s="22">
        <v>88000</v>
      </c>
      <c r="L3468" s="18">
        <v>94.12</v>
      </c>
      <c r="M3468" s="22">
        <v>64350</v>
      </c>
      <c r="N3468" s="22">
        <v>23650</v>
      </c>
      <c r="O3468" s="18">
        <v>25.29</v>
      </c>
      <c r="P3468" s="52">
        <f>IF(COUNTIF(TblPurchases[BatchID],TblOutcomes[[#This Row],[BatchID]])&lt;&gt;1,"n.a.",TblOutcomes[[#This Row],[Qty Wasted]]*SUMIFS(TblPurchases[Unit Cost (CLP)],TblPurchases[BatchID],TblOutcomes[[#This Row],[BatchID]]))</f>
        <v>0</v>
      </c>
      <c r="Q3468" s="51">
        <f>IF(COUNTIF(TblPurchases[BatchID],TblOutcomes[[#This Row],[BatchID]])&lt;&gt;1,"n.a.",SUMIFS(TblPurchases[Purchase Date],TblPurchases[BatchID],TblOutcomes[[#This Row],[BatchID]]))</f>
        <v>45723</v>
      </c>
    </row>
    <row r="3469" spans="2:17" x14ac:dyDescent="0.25">
      <c r="B3469" s="2" t="s">
        <v>4274</v>
      </c>
      <c r="C3469" s="2" t="s">
        <v>364</v>
      </c>
      <c r="D3469" s="2" t="s">
        <v>366</v>
      </c>
      <c r="E3469" s="2" t="s">
        <v>4646</v>
      </c>
      <c r="F3469" s="2">
        <v>11</v>
      </c>
      <c r="G3469" s="2">
        <v>10.19</v>
      </c>
      <c r="H3469" s="2">
        <v>0.81</v>
      </c>
      <c r="I3469" s="1">
        <v>7.4</v>
      </c>
      <c r="J3469" s="26">
        <v>45927</v>
      </c>
      <c r="K3469" s="22">
        <v>81520</v>
      </c>
      <c r="L3469" s="18">
        <v>87.19</v>
      </c>
      <c r="M3469" s="22">
        <v>64350</v>
      </c>
      <c r="N3469" s="22">
        <v>17170</v>
      </c>
      <c r="O3469" s="18">
        <v>18.36</v>
      </c>
      <c r="P3469" s="52">
        <f>IF(COUNTIF(TblPurchases[BatchID],TblOutcomes[[#This Row],[BatchID]])&lt;&gt;1,"n.a.",TblOutcomes[[#This Row],[Qty Wasted]]*SUMIFS(TblPurchases[Unit Cost (CLP)],TblPurchases[BatchID],TblOutcomes[[#This Row],[BatchID]]))</f>
        <v>4738.5</v>
      </c>
      <c r="Q3469" s="51">
        <f>IF(COUNTIF(TblPurchases[BatchID],TblOutcomes[[#This Row],[BatchID]])&lt;&gt;1,"n.a.",SUMIFS(TblPurchases[Purchase Date],TblPurchases[BatchID],TblOutcomes[[#This Row],[BatchID]]))</f>
        <v>45747</v>
      </c>
    </row>
    <row r="3470" spans="2:17" x14ac:dyDescent="0.25">
      <c r="B3470" s="2" t="s">
        <v>4275</v>
      </c>
      <c r="C3470" s="2" t="s">
        <v>364</v>
      </c>
      <c r="D3470" s="2" t="s">
        <v>366</v>
      </c>
      <c r="E3470" s="2" t="s">
        <v>4646</v>
      </c>
      <c r="F3470" s="2">
        <v>10</v>
      </c>
      <c r="G3470" s="2">
        <v>9.52</v>
      </c>
      <c r="H3470" s="2">
        <v>0.48</v>
      </c>
      <c r="I3470" s="1">
        <v>4.8</v>
      </c>
      <c r="J3470" s="26">
        <v>45946</v>
      </c>
      <c r="K3470" s="22">
        <v>76160</v>
      </c>
      <c r="L3470" s="18">
        <v>81.45</v>
      </c>
      <c r="M3470" s="22">
        <v>58500</v>
      </c>
      <c r="N3470" s="22">
        <v>17660</v>
      </c>
      <c r="O3470" s="18">
        <v>18.89</v>
      </c>
      <c r="P3470" s="52">
        <f>IF(COUNTIF(TblPurchases[BatchID],TblOutcomes[[#This Row],[BatchID]])&lt;&gt;1,"n.a.",TblOutcomes[[#This Row],[Qty Wasted]]*SUMIFS(TblPurchases[Unit Cost (CLP)],TblPurchases[BatchID],TblOutcomes[[#This Row],[BatchID]]))</f>
        <v>2808</v>
      </c>
      <c r="Q3470" s="51">
        <f>IF(COUNTIF(TblPurchases[BatchID],TblOutcomes[[#This Row],[BatchID]])&lt;&gt;1,"n.a.",SUMIFS(TblPurchases[Purchase Date],TblPurchases[BatchID],TblOutcomes[[#This Row],[BatchID]]))</f>
        <v>45766</v>
      </c>
    </row>
    <row r="3471" spans="2:17" x14ac:dyDescent="0.25">
      <c r="B3471" s="2" t="s">
        <v>4276</v>
      </c>
      <c r="C3471" s="2" t="s">
        <v>364</v>
      </c>
      <c r="D3471" s="2" t="s">
        <v>366</v>
      </c>
      <c r="E3471" s="2" t="s">
        <v>4647</v>
      </c>
      <c r="F3471" s="2">
        <v>10</v>
      </c>
      <c r="G3471" s="2">
        <v>10</v>
      </c>
      <c r="H3471" s="2">
        <v>0</v>
      </c>
      <c r="I3471" s="1">
        <v>0</v>
      </c>
      <c r="J3471" s="26">
        <v>45799</v>
      </c>
      <c r="K3471" s="22">
        <v>80000</v>
      </c>
      <c r="L3471" s="18">
        <v>85.56</v>
      </c>
      <c r="M3471" s="22">
        <v>63000</v>
      </c>
      <c r="N3471" s="22">
        <v>17000</v>
      </c>
      <c r="O3471" s="18">
        <v>18.18</v>
      </c>
      <c r="P3471" s="52">
        <f>IF(COUNTIF(TblPurchases[BatchID],TblOutcomes[[#This Row],[BatchID]])&lt;&gt;1,"n.a.",TblOutcomes[[#This Row],[Qty Wasted]]*SUMIFS(TblPurchases[Unit Cost (CLP)],TblPurchases[BatchID],TblOutcomes[[#This Row],[BatchID]]))</f>
        <v>0</v>
      </c>
      <c r="Q3471" s="51">
        <f>IF(COUNTIF(TblPurchases[BatchID],TblOutcomes[[#This Row],[BatchID]])&lt;&gt;1,"n.a.",SUMIFS(TblPurchases[Purchase Date],TblPurchases[BatchID],TblOutcomes[[#This Row],[BatchID]]))</f>
        <v>45784</v>
      </c>
    </row>
    <row r="3472" spans="2:17" x14ac:dyDescent="0.25">
      <c r="B3472" s="2" t="s">
        <v>4277</v>
      </c>
      <c r="C3472" s="2" t="s">
        <v>364</v>
      </c>
      <c r="D3472" s="2" t="s">
        <v>366</v>
      </c>
      <c r="E3472" s="2" t="s">
        <v>4646</v>
      </c>
      <c r="F3472" s="2">
        <v>10</v>
      </c>
      <c r="G3472" s="2">
        <v>9.51</v>
      </c>
      <c r="H3472" s="2">
        <v>0.49</v>
      </c>
      <c r="I3472" s="1">
        <v>4.9000000000000004</v>
      </c>
      <c r="J3472" s="26">
        <v>45985</v>
      </c>
      <c r="K3472" s="22">
        <v>76080</v>
      </c>
      <c r="L3472" s="18">
        <v>81.37</v>
      </c>
      <c r="M3472" s="22">
        <v>58500</v>
      </c>
      <c r="N3472" s="22">
        <v>17580</v>
      </c>
      <c r="O3472" s="18">
        <v>18.8</v>
      </c>
      <c r="P3472" s="52">
        <f>IF(COUNTIF(TblPurchases[BatchID],TblOutcomes[[#This Row],[BatchID]])&lt;&gt;1,"n.a.",TblOutcomes[[#This Row],[Qty Wasted]]*SUMIFS(TblPurchases[Unit Cost (CLP)],TblPurchases[BatchID],TblOutcomes[[#This Row],[BatchID]]))</f>
        <v>2866.5</v>
      </c>
      <c r="Q3472" s="51">
        <f>IF(COUNTIF(TblPurchases[BatchID],TblOutcomes[[#This Row],[BatchID]])&lt;&gt;1,"n.a.",SUMIFS(TblPurchases[Purchase Date],TblPurchases[BatchID],TblOutcomes[[#This Row],[BatchID]]))</f>
        <v>45805</v>
      </c>
    </row>
    <row r="3473" spans="2:17" x14ac:dyDescent="0.25">
      <c r="B3473" s="2" t="s">
        <v>4278</v>
      </c>
      <c r="C3473" s="2" t="s">
        <v>364</v>
      </c>
      <c r="D3473" s="2" t="s">
        <v>366</v>
      </c>
      <c r="E3473" s="2" t="s">
        <v>4646</v>
      </c>
      <c r="F3473" s="2">
        <v>11</v>
      </c>
      <c r="G3473" s="2">
        <v>10.34</v>
      </c>
      <c r="H3473" s="2">
        <v>0.66</v>
      </c>
      <c r="I3473" s="1">
        <v>6</v>
      </c>
      <c r="J3473" s="26">
        <v>46002</v>
      </c>
      <c r="K3473" s="22">
        <v>82720</v>
      </c>
      <c r="L3473" s="18">
        <v>88.47</v>
      </c>
      <c r="M3473" s="22">
        <v>64350</v>
      </c>
      <c r="N3473" s="22">
        <v>18370</v>
      </c>
      <c r="O3473" s="18">
        <v>19.649999999999999</v>
      </c>
      <c r="P3473" s="52">
        <f>IF(COUNTIF(TblPurchases[BatchID],TblOutcomes[[#This Row],[BatchID]])&lt;&gt;1,"n.a.",TblOutcomes[[#This Row],[Qty Wasted]]*SUMIFS(TblPurchases[Unit Cost (CLP)],TblPurchases[BatchID],TblOutcomes[[#This Row],[BatchID]]))</f>
        <v>3861</v>
      </c>
      <c r="Q3473" s="51">
        <f>IF(COUNTIF(TblPurchases[BatchID],TblOutcomes[[#This Row],[BatchID]])&lt;&gt;1,"n.a.",SUMIFS(TblPurchases[Purchase Date],TblPurchases[BatchID],TblOutcomes[[#This Row],[BatchID]]))</f>
        <v>45822</v>
      </c>
    </row>
    <row r="3474" spans="2:17" x14ac:dyDescent="0.25">
      <c r="B3474" s="2" t="s">
        <v>4279</v>
      </c>
      <c r="C3474" s="2" t="s">
        <v>367</v>
      </c>
      <c r="D3474" s="2" t="s">
        <v>366</v>
      </c>
      <c r="E3474" s="2" t="s">
        <v>4647</v>
      </c>
      <c r="F3474" s="2">
        <v>11</v>
      </c>
      <c r="G3474" s="2">
        <v>11</v>
      </c>
      <c r="H3474" s="2">
        <v>0</v>
      </c>
      <c r="I3474" s="1">
        <v>0</v>
      </c>
      <c r="J3474" s="26">
        <v>45134</v>
      </c>
      <c r="K3474" s="22">
        <v>93500</v>
      </c>
      <c r="L3474" s="18">
        <v>100</v>
      </c>
      <c r="M3474" s="22">
        <v>71500</v>
      </c>
      <c r="N3474" s="22">
        <v>22000</v>
      </c>
      <c r="O3474" s="18">
        <v>23.53</v>
      </c>
      <c r="P3474" s="52">
        <f>IF(COUNTIF(TblPurchases[BatchID],TblOutcomes[[#This Row],[BatchID]])&lt;&gt;1,"n.a.",TblOutcomes[[#This Row],[Qty Wasted]]*SUMIFS(TblPurchases[Unit Cost (CLP)],TblPurchases[BatchID],TblOutcomes[[#This Row],[BatchID]]))</f>
        <v>0</v>
      </c>
      <c r="Q3474" s="51">
        <f>IF(COUNTIF(TblPurchases[BatchID],TblOutcomes[[#This Row],[BatchID]])&lt;&gt;1,"n.a.",SUMIFS(TblPurchases[Purchase Date],TblPurchases[BatchID],TblOutcomes[[#This Row],[BatchID]]))</f>
        <v>45119</v>
      </c>
    </row>
    <row r="3475" spans="2:17" x14ac:dyDescent="0.25">
      <c r="B3475" s="2" t="s">
        <v>4280</v>
      </c>
      <c r="C3475" s="2" t="s">
        <v>367</v>
      </c>
      <c r="D3475" s="2" t="s">
        <v>366</v>
      </c>
      <c r="E3475" s="2" t="s">
        <v>4647</v>
      </c>
      <c r="F3475" s="2">
        <v>9</v>
      </c>
      <c r="G3475" s="2">
        <v>9</v>
      </c>
      <c r="H3475" s="2">
        <v>0</v>
      </c>
      <c r="I3475" s="1">
        <v>0</v>
      </c>
      <c r="J3475" s="26">
        <v>45154</v>
      </c>
      <c r="K3475" s="22">
        <v>76500</v>
      </c>
      <c r="L3475" s="18">
        <v>81.819999999999993</v>
      </c>
      <c r="M3475" s="22">
        <v>58500</v>
      </c>
      <c r="N3475" s="22">
        <v>18000</v>
      </c>
      <c r="O3475" s="18">
        <v>19.25</v>
      </c>
      <c r="P3475" s="52">
        <f>IF(COUNTIF(TblPurchases[BatchID],TblOutcomes[[#This Row],[BatchID]])&lt;&gt;1,"n.a.",TblOutcomes[[#This Row],[Qty Wasted]]*SUMIFS(TblPurchases[Unit Cost (CLP)],TblPurchases[BatchID],TblOutcomes[[#This Row],[BatchID]]))</f>
        <v>0</v>
      </c>
      <c r="Q3475" s="51">
        <f>IF(COUNTIF(TblPurchases[BatchID],TblOutcomes[[#This Row],[BatchID]])&lt;&gt;1,"n.a.",SUMIFS(TblPurchases[Purchase Date],TblPurchases[BatchID],TblOutcomes[[#This Row],[BatchID]]))</f>
        <v>45139</v>
      </c>
    </row>
    <row r="3476" spans="2:17" x14ac:dyDescent="0.25">
      <c r="B3476" s="2" t="s">
        <v>4281</v>
      </c>
      <c r="C3476" s="2" t="s">
        <v>367</v>
      </c>
      <c r="D3476" s="2" t="s">
        <v>366</v>
      </c>
      <c r="E3476" s="2" t="s">
        <v>4646</v>
      </c>
      <c r="F3476" s="2">
        <v>11</v>
      </c>
      <c r="G3476" s="2">
        <v>10.119999999999999</v>
      </c>
      <c r="H3476" s="2">
        <v>0.88</v>
      </c>
      <c r="I3476" s="1">
        <v>8</v>
      </c>
      <c r="J3476" s="26">
        <v>45335</v>
      </c>
      <c r="K3476" s="22">
        <v>86020</v>
      </c>
      <c r="L3476" s="18">
        <v>92</v>
      </c>
      <c r="M3476" s="22">
        <v>71500</v>
      </c>
      <c r="N3476" s="22">
        <v>14520</v>
      </c>
      <c r="O3476" s="18">
        <v>15.53</v>
      </c>
      <c r="P3476" s="52">
        <f>IF(COUNTIF(TblPurchases[BatchID],TblOutcomes[[#This Row],[BatchID]])&lt;&gt;1,"n.a.",TblOutcomes[[#This Row],[Qty Wasted]]*SUMIFS(TblPurchases[Unit Cost (CLP)],TblPurchases[BatchID],TblOutcomes[[#This Row],[BatchID]]))</f>
        <v>5720</v>
      </c>
      <c r="Q3476" s="51">
        <f>IF(COUNTIF(TblPurchases[BatchID],TblOutcomes[[#This Row],[BatchID]])&lt;&gt;1,"n.a.",SUMIFS(TblPurchases[Purchase Date],TblPurchases[BatchID],TblOutcomes[[#This Row],[BatchID]]))</f>
        <v>45155</v>
      </c>
    </row>
    <row r="3477" spans="2:17" x14ac:dyDescent="0.25">
      <c r="B3477" s="2" t="s">
        <v>4282</v>
      </c>
      <c r="C3477" s="2" t="s">
        <v>367</v>
      </c>
      <c r="D3477" s="2" t="s">
        <v>366</v>
      </c>
      <c r="E3477" s="2" t="s">
        <v>4647</v>
      </c>
      <c r="F3477" s="2">
        <v>13</v>
      </c>
      <c r="G3477" s="2">
        <v>13</v>
      </c>
      <c r="H3477" s="2">
        <v>0</v>
      </c>
      <c r="I3477" s="1">
        <v>0</v>
      </c>
      <c r="J3477" s="26">
        <v>45197</v>
      </c>
      <c r="K3477" s="22">
        <v>110500</v>
      </c>
      <c r="L3477" s="18">
        <v>118.18</v>
      </c>
      <c r="M3477" s="22">
        <v>84500</v>
      </c>
      <c r="N3477" s="22">
        <v>26000</v>
      </c>
      <c r="O3477" s="18">
        <v>27.81</v>
      </c>
      <c r="P3477" s="52">
        <f>IF(COUNTIF(TblPurchases[BatchID],TblOutcomes[[#This Row],[BatchID]])&lt;&gt;1,"n.a.",TblOutcomes[[#This Row],[Qty Wasted]]*SUMIFS(TblPurchases[Unit Cost (CLP)],TblPurchases[BatchID],TblOutcomes[[#This Row],[BatchID]]))</f>
        <v>0</v>
      </c>
      <c r="Q3477" s="51">
        <f>IF(COUNTIF(TblPurchases[BatchID],TblOutcomes[[#This Row],[BatchID]])&lt;&gt;1,"n.a.",SUMIFS(TblPurchases[Purchase Date],TblPurchases[BatchID],TblOutcomes[[#This Row],[BatchID]]))</f>
        <v>45174</v>
      </c>
    </row>
    <row r="3478" spans="2:17" x14ac:dyDescent="0.25">
      <c r="B3478" s="2" t="s">
        <v>4283</v>
      </c>
      <c r="C3478" s="2" t="s">
        <v>367</v>
      </c>
      <c r="D3478" s="2" t="s">
        <v>366</v>
      </c>
      <c r="E3478" s="2" t="s">
        <v>4647</v>
      </c>
      <c r="F3478" s="2">
        <v>10</v>
      </c>
      <c r="G3478" s="2">
        <v>10</v>
      </c>
      <c r="H3478" s="2">
        <v>0</v>
      </c>
      <c r="I3478" s="1">
        <v>0</v>
      </c>
      <c r="J3478" s="26">
        <v>45213</v>
      </c>
      <c r="K3478" s="22">
        <v>85000</v>
      </c>
      <c r="L3478" s="18">
        <v>90.91</v>
      </c>
      <c r="M3478" s="22">
        <v>65000</v>
      </c>
      <c r="N3478" s="22">
        <v>20000</v>
      </c>
      <c r="O3478" s="18">
        <v>21.39</v>
      </c>
      <c r="P3478" s="52">
        <f>IF(COUNTIF(TblPurchases[BatchID],TblOutcomes[[#This Row],[BatchID]])&lt;&gt;1,"n.a.",TblOutcomes[[#This Row],[Qty Wasted]]*SUMIFS(TblPurchases[Unit Cost (CLP)],TblPurchases[BatchID],TblOutcomes[[#This Row],[BatchID]]))</f>
        <v>0</v>
      </c>
      <c r="Q3478" s="51">
        <f>IF(COUNTIF(TblPurchases[BatchID],TblOutcomes[[#This Row],[BatchID]])&lt;&gt;1,"n.a.",SUMIFS(TblPurchases[Purchase Date],TblPurchases[BatchID],TblOutcomes[[#This Row],[BatchID]]))</f>
        <v>45200</v>
      </c>
    </row>
    <row r="3479" spans="2:17" x14ac:dyDescent="0.25">
      <c r="B3479" s="2" t="s">
        <v>4284</v>
      </c>
      <c r="C3479" s="2" t="s">
        <v>367</v>
      </c>
      <c r="D3479" s="2" t="s">
        <v>366</v>
      </c>
      <c r="E3479" s="2" t="s">
        <v>4646</v>
      </c>
      <c r="F3479" s="2">
        <v>10</v>
      </c>
      <c r="G3479" s="2">
        <v>9.58</v>
      </c>
      <c r="H3479" s="2">
        <v>0.42</v>
      </c>
      <c r="I3479" s="1">
        <v>4.2</v>
      </c>
      <c r="J3479" s="26">
        <v>45402</v>
      </c>
      <c r="K3479" s="22">
        <v>81430</v>
      </c>
      <c r="L3479" s="18">
        <v>87.09</v>
      </c>
      <c r="M3479" s="22">
        <v>65000</v>
      </c>
      <c r="N3479" s="22">
        <v>16430</v>
      </c>
      <c r="O3479" s="18">
        <v>17.57</v>
      </c>
      <c r="P3479" s="52">
        <f>IF(COUNTIF(TblPurchases[BatchID],TblOutcomes[[#This Row],[BatchID]])&lt;&gt;1,"n.a.",TblOutcomes[[#This Row],[Qty Wasted]]*SUMIFS(TblPurchases[Unit Cost (CLP)],TblPurchases[BatchID],TblOutcomes[[#This Row],[BatchID]]))</f>
        <v>2730</v>
      </c>
      <c r="Q3479" s="51">
        <f>IF(COUNTIF(TblPurchases[BatchID],TblOutcomes[[#This Row],[BatchID]])&lt;&gt;1,"n.a.",SUMIFS(TblPurchases[Purchase Date],TblPurchases[BatchID],TblOutcomes[[#This Row],[BatchID]]))</f>
        <v>45222</v>
      </c>
    </row>
    <row r="3480" spans="2:17" x14ac:dyDescent="0.25">
      <c r="B3480" s="2" t="s">
        <v>4285</v>
      </c>
      <c r="C3480" s="2" t="s">
        <v>367</v>
      </c>
      <c r="D3480" s="2" t="s">
        <v>366</v>
      </c>
      <c r="E3480" s="2" t="s">
        <v>4646</v>
      </c>
      <c r="F3480" s="2">
        <v>9</v>
      </c>
      <c r="G3480" s="2">
        <v>8.26</v>
      </c>
      <c r="H3480" s="2">
        <v>0.74</v>
      </c>
      <c r="I3480" s="1">
        <v>8.1999999999999993</v>
      </c>
      <c r="J3480" s="26">
        <v>45424</v>
      </c>
      <c r="K3480" s="22">
        <v>70210</v>
      </c>
      <c r="L3480" s="18">
        <v>75.09</v>
      </c>
      <c r="M3480" s="22">
        <v>58500</v>
      </c>
      <c r="N3480" s="22">
        <v>11710</v>
      </c>
      <c r="O3480" s="18">
        <v>12.52</v>
      </c>
      <c r="P3480" s="52">
        <f>IF(COUNTIF(TblPurchases[BatchID],TblOutcomes[[#This Row],[BatchID]])&lt;&gt;1,"n.a.",TblOutcomes[[#This Row],[Qty Wasted]]*SUMIFS(TblPurchases[Unit Cost (CLP)],TblPurchases[BatchID],TblOutcomes[[#This Row],[BatchID]]))</f>
        <v>4810</v>
      </c>
      <c r="Q3480" s="51">
        <f>IF(COUNTIF(TblPurchases[BatchID],TblOutcomes[[#This Row],[BatchID]])&lt;&gt;1,"n.a.",SUMIFS(TblPurchases[Purchase Date],TblPurchases[BatchID],TblOutcomes[[#This Row],[BatchID]]))</f>
        <v>45244</v>
      </c>
    </row>
    <row r="3481" spans="2:17" x14ac:dyDescent="0.25">
      <c r="B3481" s="2" t="s">
        <v>4286</v>
      </c>
      <c r="C3481" s="2" t="s">
        <v>367</v>
      </c>
      <c r="D3481" s="2" t="s">
        <v>366</v>
      </c>
      <c r="E3481" s="2" t="s">
        <v>4647</v>
      </c>
      <c r="F3481" s="2">
        <v>12</v>
      </c>
      <c r="G3481" s="2">
        <v>12</v>
      </c>
      <c r="H3481" s="2">
        <v>0</v>
      </c>
      <c r="I3481" s="1">
        <v>0</v>
      </c>
      <c r="J3481" s="26">
        <v>45275</v>
      </c>
      <c r="K3481" s="22">
        <v>102000</v>
      </c>
      <c r="L3481" s="18">
        <v>109.09</v>
      </c>
      <c r="M3481" s="22">
        <v>78000</v>
      </c>
      <c r="N3481" s="22">
        <v>24000</v>
      </c>
      <c r="O3481" s="18">
        <v>25.67</v>
      </c>
      <c r="P3481" s="52">
        <f>IF(COUNTIF(TblPurchases[BatchID],TblOutcomes[[#This Row],[BatchID]])&lt;&gt;1,"n.a.",TblOutcomes[[#This Row],[Qty Wasted]]*SUMIFS(TblPurchases[Unit Cost (CLP)],TblPurchases[BatchID],TblOutcomes[[#This Row],[BatchID]]))</f>
        <v>0</v>
      </c>
      <c r="Q3481" s="51">
        <f>IF(COUNTIF(TblPurchases[BatchID],TblOutcomes[[#This Row],[BatchID]])&lt;&gt;1,"n.a.",SUMIFS(TblPurchases[Purchase Date],TblPurchases[BatchID],TblOutcomes[[#This Row],[BatchID]]))</f>
        <v>45262</v>
      </c>
    </row>
    <row r="3482" spans="2:17" x14ac:dyDescent="0.25">
      <c r="B3482" s="2" t="s">
        <v>4287</v>
      </c>
      <c r="C3482" s="2" t="s">
        <v>367</v>
      </c>
      <c r="D3482" s="2" t="s">
        <v>366</v>
      </c>
      <c r="E3482" s="2" t="s">
        <v>4646</v>
      </c>
      <c r="F3482" s="2">
        <v>14</v>
      </c>
      <c r="G3482" s="2">
        <v>12.38</v>
      </c>
      <c r="H3482" s="2">
        <v>1.62</v>
      </c>
      <c r="I3482" s="1">
        <v>11.6</v>
      </c>
      <c r="J3482" s="26">
        <v>45467</v>
      </c>
      <c r="K3482" s="22">
        <v>105230</v>
      </c>
      <c r="L3482" s="18">
        <v>112.55</v>
      </c>
      <c r="M3482" s="22">
        <v>91000</v>
      </c>
      <c r="N3482" s="22">
        <v>14230</v>
      </c>
      <c r="O3482" s="18">
        <v>15.22</v>
      </c>
      <c r="P3482" s="52">
        <f>IF(COUNTIF(TblPurchases[BatchID],TblOutcomes[[#This Row],[BatchID]])&lt;&gt;1,"n.a.",TblOutcomes[[#This Row],[Qty Wasted]]*SUMIFS(TblPurchases[Unit Cost (CLP)],TblPurchases[BatchID],TblOutcomes[[#This Row],[BatchID]]))</f>
        <v>10530</v>
      </c>
      <c r="Q3482" s="51">
        <f>IF(COUNTIF(TblPurchases[BatchID],TblOutcomes[[#This Row],[BatchID]])&lt;&gt;1,"n.a.",SUMIFS(TblPurchases[Purchase Date],TblPurchases[BatchID],TblOutcomes[[#This Row],[BatchID]]))</f>
        <v>45287</v>
      </c>
    </row>
    <row r="3483" spans="2:17" x14ac:dyDescent="0.25">
      <c r="B3483" s="2" t="s">
        <v>4288</v>
      </c>
      <c r="C3483" s="2" t="s">
        <v>367</v>
      </c>
      <c r="D3483" s="2" t="s">
        <v>366</v>
      </c>
      <c r="E3483" s="2" t="s">
        <v>4647</v>
      </c>
      <c r="F3483" s="2">
        <v>11</v>
      </c>
      <c r="G3483" s="2">
        <v>11</v>
      </c>
      <c r="H3483" s="2">
        <v>0</v>
      </c>
      <c r="I3483" s="1">
        <v>0</v>
      </c>
      <c r="J3483" s="26">
        <v>45316</v>
      </c>
      <c r="K3483" s="22">
        <v>93500</v>
      </c>
      <c r="L3483" s="18">
        <v>100</v>
      </c>
      <c r="M3483" s="22">
        <v>71500</v>
      </c>
      <c r="N3483" s="22">
        <v>22000</v>
      </c>
      <c r="O3483" s="18">
        <v>23.53</v>
      </c>
      <c r="P3483" s="52">
        <f>IF(COUNTIF(TblPurchases[BatchID],TblOutcomes[[#This Row],[BatchID]])&lt;&gt;1,"n.a.",TblOutcomes[[#This Row],[Qty Wasted]]*SUMIFS(TblPurchases[Unit Cost (CLP)],TblPurchases[BatchID],TblOutcomes[[#This Row],[BatchID]]))</f>
        <v>0</v>
      </c>
      <c r="Q3483" s="51">
        <f>IF(COUNTIF(TblPurchases[BatchID],TblOutcomes[[#This Row],[BatchID]])&lt;&gt;1,"n.a.",SUMIFS(TblPurchases[Purchase Date],TblPurchases[BatchID],TblOutcomes[[#This Row],[BatchID]]))</f>
        <v>45310</v>
      </c>
    </row>
    <row r="3484" spans="2:17" x14ac:dyDescent="0.25">
      <c r="B3484" s="2" t="s">
        <v>4289</v>
      </c>
      <c r="C3484" s="2" t="s">
        <v>367</v>
      </c>
      <c r="D3484" s="2" t="s">
        <v>366</v>
      </c>
      <c r="E3484" s="2" t="s">
        <v>4647</v>
      </c>
      <c r="F3484" s="2">
        <v>10</v>
      </c>
      <c r="G3484" s="2">
        <v>10</v>
      </c>
      <c r="H3484" s="2">
        <v>0</v>
      </c>
      <c r="I3484" s="1">
        <v>0</v>
      </c>
      <c r="J3484" s="26">
        <v>45350</v>
      </c>
      <c r="K3484" s="22">
        <v>85000</v>
      </c>
      <c r="L3484" s="18">
        <v>90.91</v>
      </c>
      <c r="M3484" s="22">
        <v>65000</v>
      </c>
      <c r="N3484" s="22">
        <v>20000</v>
      </c>
      <c r="O3484" s="18">
        <v>21.39</v>
      </c>
      <c r="P3484" s="52">
        <f>IF(COUNTIF(TblPurchases[BatchID],TblOutcomes[[#This Row],[BatchID]])&lt;&gt;1,"n.a.",TblOutcomes[[#This Row],[Qty Wasted]]*SUMIFS(TblPurchases[Unit Cost (CLP)],TblPurchases[BatchID],TblOutcomes[[#This Row],[BatchID]]))</f>
        <v>0</v>
      </c>
      <c r="Q3484" s="51">
        <f>IF(COUNTIF(TblPurchases[BatchID],TblOutcomes[[#This Row],[BatchID]])&lt;&gt;1,"n.a.",SUMIFS(TblPurchases[Purchase Date],TblPurchases[BatchID],TblOutcomes[[#This Row],[BatchID]]))</f>
        <v>45331</v>
      </c>
    </row>
    <row r="3485" spans="2:17" x14ac:dyDescent="0.25">
      <c r="B3485" s="2" t="s">
        <v>4290</v>
      </c>
      <c r="C3485" s="2" t="s">
        <v>367</v>
      </c>
      <c r="D3485" s="2" t="s">
        <v>366</v>
      </c>
      <c r="E3485" s="2" t="s">
        <v>4647</v>
      </c>
      <c r="F3485" s="2">
        <v>9</v>
      </c>
      <c r="G3485" s="2">
        <v>9</v>
      </c>
      <c r="H3485" s="2">
        <v>0</v>
      </c>
      <c r="I3485" s="1">
        <v>0</v>
      </c>
      <c r="J3485" s="26">
        <v>45368</v>
      </c>
      <c r="K3485" s="22">
        <v>76500</v>
      </c>
      <c r="L3485" s="18">
        <v>81.819999999999993</v>
      </c>
      <c r="M3485" s="22">
        <v>58500</v>
      </c>
      <c r="N3485" s="22">
        <v>18000</v>
      </c>
      <c r="O3485" s="18">
        <v>19.25</v>
      </c>
      <c r="P3485" s="52">
        <f>IF(COUNTIF(TblPurchases[BatchID],TblOutcomes[[#This Row],[BatchID]])&lt;&gt;1,"n.a.",TblOutcomes[[#This Row],[Qty Wasted]]*SUMIFS(TblPurchases[Unit Cost (CLP)],TblPurchases[BatchID],TblOutcomes[[#This Row],[BatchID]]))</f>
        <v>0</v>
      </c>
      <c r="Q3485" s="51">
        <f>IF(COUNTIF(TblPurchases[BatchID],TblOutcomes[[#This Row],[BatchID]])&lt;&gt;1,"n.a.",SUMIFS(TblPurchases[Purchase Date],TblPurchases[BatchID],TblOutcomes[[#This Row],[BatchID]]))</f>
        <v>45354</v>
      </c>
    </row>
    <row r="3486" spans="2:17" x14ac:dyDescent="0.25">
      <c r="B3486" s="2" t="s">
        <v>4291</v>
      </c>
      <c r="C3486" s="2" t="s">
        <v>367</v>
      </c>
      <c r="D3486" s="2" t="s">
        <v>366</v>
      </c>
      <c r="E3486" s="2" t="s">
        <v>4646</v>
      </c>
      <c r="F3486" s="2">
        <v>11</v>
      </c>
      <c r="G3486" s="2">
        <v>10.46</v>
      </c>
      <c r="H3486" s="2">
        <v>0.54</v>
      </c>
      <c r="I3486" s="1">
        <v>4.9000000000000004</v>
      </c>
      <c r="J3486" s="26">
        <v>45557</v>
      </c>
      <c r="K3486" s="22">
        <v>88910</v>
      </c>
      <c r="L3486" s="18">
        <v>95.09</v>
      </c>
      <c r="M3486" s="22">
        <v>71500</v>
      </c>
      <c r="N3486" s="22">
        <v>17410</v>
      </c>
      <c r="O3486" s="18">
        <v>18.62</v>
      </c>
      <c r="P3486" s="52">
        <f>IF(COUNTIF(TblPurchases[BatchID],TblOutcomes[[#This Row],[BatchID]])&lt;&gt;1,"n.a.",TblOutcomes[[#This Row],[Qty Wasted]]*SUMIFS(TblPurchases[Unit Cost (CLP)],TblPurchases[BatchID],TblOutcomes[[#This Row],[BatchID]]))</f>
        <v>3510.0000000000005</v>
      </c>
      <c r="Q3486" s="51">
        <f>IF(COUNTIF(TblPurchases[BatchID],TblOutcomes[[#This Row],[BatchID]])&lt;&gt;1,"n.a.",SUMIFS(TblPurchases[Purchase Date],TblPurchases[BatchID],TblOutcomes[[#This Row],[BatchID]]))</f>
        <v>45377</v>
      </c>
    </row>
    <row r="3487" spans="2:17" x14ac:dyDescent="0.25">
      <c r="B3487" s="2" t="s">
        <v>4292</v>
      </c>
      <c r="C3487" s="2" t="s">
        <v>367</v>
      </c>
      <c r="D3487" s="2" t="s">
        <v>366</v>
      </c>
      <c r="E3487" s="2" t="s">
        <v>4646</v>
      </c>
      <c r="F3487" s="2">
        <v>11</v>
      </c>
      <c r="G3487" s="2">
        <v>10.65</v>
      </c>
      <c r="H3487" s="2">
        <v>0.35</v>
      </c>
      <c r="I3487" s="1">
        <v>3.2</v>
      </c>
      <c r="J3487" s="26">
        <v>45584</v>
      </c>
      <c r="K3487" s="22">
        <v>90525</v>
      </c>
      <c r="L3487" s="18">
        <v>96.82</v>
      </c>
      <c r="M3487" s="22">
        <v>71500</v>
      </c>
      <c r="N3487" s="22">
        <v>19025</v>
      </c>
      <c r="O3487" s="18">
        <v>20.350000000000001</v>
      </c>
      <c r="P3487" s="52">
        <f>IF(COUNTIF(TblPurchases[BatchID],TblOutcomes[[#This Row],[BatchID]])&lt;&gt;1,"n.a.",TblOutcomes[[#This Row],[Qty Wasted]]*SUMIFS(TblPurchases[Unit Cost (CLP)],TblPurchases[BatchID],TblOutcomes[[#This Row],[BatchID]]))</f>
        <v>2275</v>
      </c>
      <c r="Q3487" s="51">
        <f>IF(COUNTIF(TblPurchases[BatchID],TblOutcomes[[#This Row],[BatchID]])&lt;&gt;1,"n.a.",SUMIFS(TblPurchases[Purchase Date],TblPurchases[BatchID],TblOutcomes[[#This Row],[BatchID]]))</f>
        <v>45404</v>
      </c>
    </row>
    <row r="3488" spans="2:17" x14ac:dyDescent="0.25">
      <c r="B3488" s="2" t="s">
        <v>4293</v>
      </c>
      <c r="C3488" s="2" t="s">
        <v>367</v>
      </c>
      <c r="D3488" s="2" t="s">
        <v>366</v>
      </c>
      <c r="E3488" s="2" t="s">
        <v>4647</v>
      </c>
      <c r="F3488" s="2">
        <v>9</v>
      </c>
      <c r="G3488" s="2">
        <v>9</v>
      </c>
      <c r="H3488" s="2">
        <v>0</v>
      </c>
      <c r="I3488" s="1">
        <v>0</v>
      </c>
      <c r="J3488" s="26">
        <v>45450</v>
      </c>
      <c r="K3488" s="22">
        <v>76500</v>
      </c>
      <c r="L3488" s="18">
        <v>81.819999999999993</v>
      </c>
      <c r="M3488" s="22">
        <v>58500</v>
      </c>
      <c r="N3488" s="22">
        <v>18000</v>
      </c>
      <c r="O3488" s="18">
        <v>19.25</v>
      </c>
      <c r="P3488" s="52">
        <f>IF(COUNTIF(TblPurchases[BatchID],TblOutcomes[[#This Row],[BatchID]])&lt;&gt;1,"n.a.",TblOutcomes[[#This Row],[Qty Wasted]]*SUMIFS(TblPurchases[Unit Cost (CLP)],TblPurchases[BatchID],TblOutcomes[[#This Row],[BatchID]]))</f>
        <v>0</v>
      </c>
      <c r="Q3488" s="51">
        <f>IF(COUNTIF(TblPurchases[BatchID],TblOutcomes[[#This Row],[BatchID]])&lt;&gt;1,"n.a.",SUMIFS(TblPurchases[Purchase Date],TblPurchases[BatchID],TblOutcomes[[#This Row],[BatchID]]))</f>
        <v>45427</v>
      </c>
    </row>
    <row r="3489" spans="2:17" x14ac:dyDescent="0.25">
      <c r="B3489" s="2" t="s">
        <v>4294</v>
      </c>
      <c r="C3489" s="2" t="s">
        <v>367</v>
      </c>
      <c r="D3489" s="2" t="s">
        <v>366</v>
      </c>
      <c r="E3489" s="2" t="s">
        <v>4647</v>
      </c>
      <c r="F3489" s="2">
        <v>11</v>
      </c>
      <c r="G3489" s="2">
        <v>11</v>
      </c>
      <c r="H3489" s="2">
        <v>0</v>
      </c>
      <c r="I3489" s="1">
        <v>0</v>
      </c>
      <c r="J3489" s="26">
        <v>45473</v>
      </c>
      <c r="K3489" s="22">
        <v>93500</v>
      </c>
      <c r="L3489" s="18">
        <v>100</v>
      </c>
      <c r="M3489" s="22">
        <v>71500</v>
      </c>
      <c r="N3489" s="22">
        <v>22000</v>
      </c>
      <c r="O3489" s="18">
        <v>23.53</v>
      </c>
      <c r="P3489" s="52">
        <f>IF(COUNTIF(TblPurchases[BatchID],TblOutcomes[[#This Row],[BatchID]])&lt;&gt;1,"n.a.",TblOutcomes[[#This Row],[Qty Wasted]]*SUMIFS(TblPurchases[Unit Cost (CLP)],TblPurchases[BatchID],TblOutcomes[[#This Row],[BatchID]]))</f>
        <v>0</v>
      </c>
      <c r="Q3489" s="51">
        <f>IF(COUNTIF(TblPurchases[BatchID],TblOutcomes[[#This Row],[BatchID]])&lt;&gt;1,"n.a.",SUMIFS(TblPurchases[Purchase Date],TblPurchases[BatchID],TblOutcomes[[#This Row],[BatchID]]))</f>
        <v>45448</v>
      </c>
    </row>
    <row r="3490" spans="2:17" x14ac:dyDescent="0.25">
      <c r="B3490" s="2" t="s">
        <v>4295</v>
      </c>
      <c r="C3490" s="2" t="s">
        <v>367</v>
      </c>
      <c r="D3490" s="2" t="s">
        <v>366</v>
      </c>
      <c r="E3490" s="2" t="s">
        <v>4647</v>
      </c>
      <c r="F3490" s="2">
        <v>9</v>
      </c>
      <c r="G3490" s="2">
        <v>9</v>
      </c>
      <c r="H3490" s="2">
        <v>0</v>
      </c>
      <c r="I3490" s="1">
        <v>0</v>
      </c>
      <c r="J3490" s="26">
        <v>45474</v>
      </c>
      <c r="K3490" s="22">
        <v>76500</v>
      </c>
      <c r="L3490" s="18">
        <v>81.819999999999993</v>
      </c>
      <c r="M3490" s="22">
        <v>58500</v>
      </c>
      <c r="N3490" s="22">
        <v>18000</v>
      </c>
      <c r="O3490" s="18">
        <v>19.25</v>
      </c>
      <c r="P3490" s="52">
        <f>IF(COUNTIF(TblPurchases[BatchID],TblOutcomes[[#This Row],[BatchID]])&lt;&gt;1,"n.a.",TblOutcomes[[#This Row],[Qty Wasted]]*SUMIFS(TblPurchases[Unit Cost (CLP)],TblPurchases[BatchID],TblOutcomes[[#This Row],[BatchID]]))</f>
        <v>0</v>
      </c>
      <c r="Q3490" s="51">
        <f>IF(COUNTIF(TblPurchases[BatchID],TblOutcomes[[#This Row],[BatchID]])&lt;&gt;1,"n.a.",SUMIFS(TblPurchases[Purchase Date],TblPurchases[BatchID],TblOutcomes[[#This Row],[BatchID]]))</f>
        <v>45470</v>
      </c>
    </row>
    <row r="3491" spans="2:17" x14ac:dyDescent="0.25">
      <c r="B3491" s="2" t="s">
        <v>4296</v>
      </c>
      <c r="C3491" s="2" t="s">
        <v>367</v>
      </c>
      <c r="D3491" s="2" t="s">
        <v>366</v>
      </c>
      <c r="E3491" s="2" t="s">
        <v>4647</v>
      </c>
      <c r="F3491" s="2">
        <v>9</v>
      </c>
      <c r="G3491" s="2">
        <v>9</v>
      </c>
      <c r="H3491" s="2">
        <v>0</v>
      </c>
      <c r="I3491" s="1">
        <v>0</v>
      </c>
      <c r="J3491" s="26">
        <v>45515</v>
      </c>
      <c r="K3491" s="22">
        <v>76500</v>
      </c>
      <c r="L3491" s="18">
        <v>81.819999999999993</v>
      </c>
      <c r="M3491" s="22">
        <v>58500</v>
      </c>
      <c r="N3491" s="22">
        <v>18000</v>
      </c>
      <c r="O3491" s="18">
        <v>19.25</v>
      </c>
      <c r="P3491" s="52">
        <f>IF(COUNTIF(TblPurchases[BatchID],TblOutcomes[[#This Row],[BatchID]])&lt;&gt;1,"n.a.",TblOutcomes[[#This Row],[Qty Wasted]]*SUMIFS(TblPurchases[Unit Cost (CLP)],TblPurchases[BatchID],TblOutcomes[[#This Row],[BatchID]]))</f>
        <v>0</v>
      </c>
      <c r="Q3491" s="51">
        <f>IF(COUNTIF(TblPurchases[BatchID],TblOutcomes[[#This Row],[BatchID]])&lt;&gt;1,"n.a.",SUMIFS(TblPurchases[Purchase Date],TblPurchases[BatchID],TblOutcomes[[#This Row],[BatchID]]))</f>
        <v>45493</v>
      </c>
    </row>
    <row r="3492" spans="2:17" x14ac:dyDescent="0.25">
      <c r="B3492" s="2" t="s">
        <v>4297</v>
      </c>
      <c r="C3492" s="2" t="s">
        <v>367</v>
      </c>
      <c r="D3492" s="2" t="s">
        <v>366</v>
      </c>
      <c r="E3492" s="2" t="s">
        <v>4646</v>
      </c>
      <c r="F3492" s="2">
        <v>11</v>
      </c>
      <c r="G3492" s="2">
        <v>10.81</v>
      </c>
      <c r="H3492" s="2">
        <v>0.19</v>
      </c>
      <c r="I3492" s="1">
        <v>1.7</v>
      </c>
      <c r="J3492" s="26">
        <v>45690</v>
      </c>
      <c r="K3492" s="22">
        <v>91885</v>
      </c>
      <c r="L3492" s="18">
        <v>98.27</v>
      </c>
      <c r="M3492" s="22">
        <v>71500</v>
      </c>
      <c r="N3492" s="22">
        <v>20385</v>
      </c>
      <c r="O3492" s="18">
        <v>21.8</v>
      </c>
      <c r="P3492" s="52">
        <f>IF(COUNTIF(TblPurchases[BatchID],TblOutcomes[[#This Row],[BatchID]])&lt;&gt;1,"n.a.",TblOutcomes[[#This Row],[Qty Wasted]]*SUMIFS(TblPurchases[Unit Cost (CLP)],TblPurchases[BatchID],TblOutcomes[[#This Row],[BatchID]]))</f>
        <v>1235</v>
      </c>
      <c r="Q3492" s="51">
        <f>IF(COUNTIF(TblPurchases[BatchID],TblOutcomes[[#This Row],[BatchID]])&lt;&gt;1,"n.a.",SUMIFS(TblPurchases[Purchase Date],TblPurchases[BatchID],TblOutcomes[[#This Row],[BatchID]]))</f>
        <v>45510</v>
      </c>
    </row>
    <row r="3493" spans="2:17" x14ac:dyDescent="0.25">
      <c r="B3493" s="2" t="s">
        <v>4298</v>
      </c>
      <c r="C3493" s="2" t="s">
        <v>367</v>
      </c>
      <c r="D3493" s="2" t="s">
        <v>366</v>
      </c>
      <c r="E3493" s="2" t="s">
        <v>4646</v>
      </c>
      <c r="F3493" s="2">
        <v>11</v>
      </c>
      <c r="G3493" s="2">
        <v>10.24</v>
      </c>
      <c r="H3493" s="2">
        <v>0.76</v>
      </c>
      <c r="I3493" s="1">
        <v>6.9</v>
      </c>
      <c r="J3493" s="26">
        <v>45709</v>
      </c>
      <c r="K3493" s="22">
        <v>87040</v>
      </c>
      <c r="L3493" s="18">
        <v>93.09</v>
      </c>
      <c r="M3493" s="22">
        <v>71500</v>
      </c>
      <c r="N3493" s="22">
        <v>15540</v>
      </c>
      <c r="O3493" s="18">
        <v>16.62</v>
      </c>
      <c r="P3493" s="52">
        <f>IF(COUNTIF(TblPurchases[BatchID],TblOutcomes[[#This Row],[BatchID]])&lt;&gt;1,"n.a.",TblOutcomes[[#This Row],[Qty Wasted]]*SUMIFS(TblPurchases[Unit Cost (CLP)],TblPurchases[BatchID],TblOutcomes[[#This Row],[BatchID]]))</f>
        <v>4940</v>
      </c>
      <c r="Q3493" s="51">
        <f>IF(COUNTIF(TblPurchases[BatchID],TblOutcomes[[#This Row],[BatchID]])&lt;&gt;1,"n.a.",SUMIFS(TblPurchases[Purchase Date],TblPurchases[BatchID],TblOutcomes[[#This Row],[BatchID]]))</f>
        <v>45529</v>
      </c>
    </row>
    <row r="3494" spans="2:17" x14ac:dyDescent="0.25">
      <c r="B3494" s="2" t="s">
        <v>4299</v>
      </c>
      <c r="C3494" s="2" t="s">
        <v>367</v>
      </c>
      <c r="D3494" s="2" t="s">
        <v>366</v>
      </c>
      <c r="E3494" s="2" t="s">
        <v>4647</v>
      </c>
      <c r="F3494" s="2">
        <v>11</v>
      </c>
      <c r="G3494" s="2">
        <v>11</v>
      </c>
      <c r="H3494" s="2">
        <v>0</v>
      </c>
      <c r="I3494" s="1">
        <v>0</v>
      </c>
      <c r="J3494" s="26">
        <v>45561</v>
      </c>
      <c r="K3494" s="22">
        <v>93500</v>
      </c>
      <c r="L3494" s="18">
        <v>100</v>
      </c>
      <c r="M3494" s="22">
        <v>71500</v>
      </c>
      <c r="N3494" s="22">
        <v>22000</v>
      </c>
      <c r="O3494" s="18">
        <v>23.53</v>
      </c>
      <c r="P3494" s="52">
        <f>IF(COUNTIF(TblPurchases[BatchID],TblOutcomes[[#This Row],[BatchID]])&lt;&gt;1,"n.a.",TblOutcomes[[#This Row],[Qty Wasted]]*SUMIFS(TblPurchases[Unit Cost (CLP)],TblPurchases[BatchID],TblOutcomes[[#This Row],[BatchID]]))</f>
        <v>0</v>
      </c>
      <c r="Q3494" s="51">
        <f>IF(COUNTIF(TblPurchases[BatchID],TblOutcomes[[#This Row],[BatchID]])&lt;&gt;1,"n.a.",SUMIFS(TblPurchases[Purchase Date],TblPurchases[BatchID],TblOutcomes[[#This Row],[BatchID]]))</f>
        <v>45548</v>
      </c>
    </row>
    <row r="3495" spans="2:17" x14ac:dyDescent="0.25">
      <c r="B3495" s="2" t="s">
        <v>4300</v>
      </c>
      <c r="C3495" s="2" t="s">
        <v>367</v>
      </c>
      <c r="D3495" s="2" t="s">
        <v>366</v>
      </c>
      <c r="E3495" s="2" t="s">
        <v>4647</v>
      </c>
      <c r="F3495" s="2">
        <v>9</v>
      </c>
      <c r="G3495" s="2">
        <v>9</v>
      </c>
      <c r="H3495" s="2">
        <v>0</v>
      </c>
      <c r="I3495" s="1">
        <v>0</v>
      </c>
      <c r="J3495" s="26">
        <v>45588</v>
      </c>
      <c r="K3495" s="22">
        <v>76500</v>
      </c>
      <c r="L3495" s="18">
        <v>81.819999999999993</v>
      </c>
      <c r="M3495" s="22">
        <v>58500</v>
      </c>
      <c r="N3495" s="22">
        <v>18000</v>
      </c>
      <c r="O3495" s="18">
        <v>19.25</v>
      </c>
      <c r="P3495" s="52">
        <f>IF(COUNTIF(TblPurchases[BatchID],TblOutcomes[[#This Row],[BatchID]])&lt;&gt;1,"n.a.",TblOutcomes[[#This Row],[Qty Wasted]]*SUMIFS(TblPurchases[Unit Cost (CLP)],TblPurchases[BatchID],TblOutcomes[[#This Row],[BatchID]]))</f>
        <v>0</v>
      </c>
      <c r="Q3495" s="51">
        <f>IF(COUNTIF(TblPurchases[BatchID],TblOutcomes[[#This Row],[BatchID]])&lt;&gt;1,"n.a.",SUMIFS(TblPurchases[Purchase Date],TblPurchases[BatchID],TblOutcomes[[#This Row],[BatchID]]))</f>
        <v>45571</v>
      </c>
    </row>
    <row r="3496" spans="2:17" x14ac:dyDescent="0.25">
      <c r="B3496" s="2" t="s">
        <v>4301</v>
      </c>
      <c r="C3496" s="2" t="s">
        <v>367</v>
      </c>
      <c r="D3496" s="2" t="s">
        <v>366</v>
      </c>
      <c r="E3496" s="2" t="s">
        <v>4647</v>
      </c>
      <c r="F3496" s="2">
        <v>9</v>
      </c>
      <c r="G3496" s="2">
        <v>9</v>
      </c>
      <c r="H3496" s="2">
        <v>0</v>
      </c>
      <c r="I3496" s="1">
        <v>0</v>
      </c>
      <c r="J3496" s="26">
        <v>45606</v>
      </c>
      <c r="K3496" s="22">
        <v>76500</v>
      </c>
      <c r="L3496" s="18">
        <v>81.819999999999993</v>
      </c>
      <c r="M3496" s="22">
        <v>58500</v>
      </c>
      <c r="N3496" s="22">
        <v>18000</v>
      </c>
      <c r="O3496" s="18">
        <v>19.25</v>
      </c>
      <c r="P3496" s="52">
        <f>IF(COUNTIF(TblPurchases[BatchID],TblOutcomes[[#This Row],[BatchID]])&lt;&gt;1,"n.a.",TblOutcomes[[#This Row],[Qty Wasted]]*SUMIFS(TblPurchases[Unit Cost (CLP)],TblPurchases[BatchID],TblOutcomes[[#This Row],[BatchID]]))</f>
        <v>0</v>
      </c>
      <c r="Q3496" s="51">
        <f>IF(COUNTIF(TblPurchases[BatchID],TblOutcomes[[#This Row],[BatchID]])&lt;&gt;1,"n.a.",SUMIFS(TblPurchases[Purchase Date],TblPurchases[BatchID],TblOutcomes[[#This Row],[BatchID]]))</f>
        <v>45594</v>
      </c>
    </row>
    <row r="3497" spans="2:17" x14ac:dyDescent="0.25">
      <c r="B3497" s="2" t="s">
        <v>4302</v>
      </c>
      <c r="C3497" s="2" t="s">
        <v>367</v>
      </c>
      <c r="D3497" s="2" t="s">
        <v>366</v>
      </c>
      <c r="E3497" s="2" t="s">
        <v>4647</v>
      </c>
      <c r="F3497" s="2">
        <v>9</v>
      </c>
      <c r="G3497" s="2">
        <v>9</v>
      </c>
      <c r="H3497" s="2">
        <v>0</v>
      </c>
      <c r="I3497" s="1">
        <v>0</v>
      </c>
      <c r="J3497" s="26">
        <v>45621</v>
      </c>
      <c r="K3497" s="22">
        <v>76500</v>
      </c>
      <c r="L3497" s="18">
        <v>81.819999999999993</v>
      </c>
      <c r="M3497" s="22">
        <v>58500</v>
      </c>
      <c r="N3497" s="22">
        <v>18000</v>
      </c>
      <c r="O3497" s="18">
        <v>19.25</v>
      </c>
      <c r="P3497" s="52">
        <f>IF(COUNTIF(TblPurchases[BatchID],TblOutcomes[[#This Row],[BatchID]])&lt;&gt;1,"n.a.",TblOutcomes[[#This Row],[Qty Wasted]]*SUMIFS(TblPurchases[Unit Cost (CLP)],TblPurchases[BatchID],TblOutcomes[[#This Row],[BatchID]]))</f>
        <v>0</v>
      </c>
      <c r="Q3497" s="51">
        <f>IF(COUNTIF(TblPurchases[BatchID],TblOutcomes[[#This Row],[BatchID]])&lt;&gt;1,"n.a.",SUMIFS(TblPurchases[Purchase Date],TblPurchases[BatchID],TblOutcomes[[#This Row],[BatchID]]))</f>
        <v>45612</v>
      </c>
    </row>
    <row r="3498" spans="2:17" x14ac:dyDescent="0.25">
      <c r="B3498" s="2" t="s">
        <v>4303</v>
      </c>
      <c r="C3498" s="2" t="s">
        <v>367</v>
      </c>
      <c r="D3498" s="2" t="s">
        <v>366</v>
      </c>
      <c r="E3498" s="2" t="s">
        <v>4647</v>
      </c>
      <c r="F3498" s="2">
        <v>15</v>
      </c>
      <c r="G3498" s="2">
        <v>15</v>
      </c>
      <c r="H3498" s="2">
        <v>0</v>
      </c>
      <c r="I3498" s="1">
        <v>0</v>
      </c>
      <c r="J3498" s="26">
        <v>45644</v>
      </c>
      <c r="K3498" s="22">
        <v>127500</v>
      </c>
      <c r="L3498" s="18">
        <v>136.36000000000001</v>
      </c>
      <c r="M3498" s="22">
        <v>97500</v>
      </c>
      <c r="N3498" s="22">
        <v>30000</v>
      </c>
      <c r="O3498" s="18">
        <v>32.090000000000003</v>
      </c>
      <c r="P3498" s="52">
        <f>IF(COUNTIF(TblPurchases[BatchID],TblOutcomes[[#This Row],[BatchID]])&lt;&gt;1,"n.a.",TblOutcomes[[#This Row],[Qty Wasted]]*SUMIFS(TblPurchases[Unit Cost (CLP)],TblPurchases[BatchID],TblOutcomes[[#This Row],[BatchID]]))</f>
        <v>0</v>
      </c>
      <c r="Q3498" s="51">
        <f>IF(COUNTIF(TblPurchases[BatchID],TblOutcomes[[#This Row],[BatchID]])&lt;&gt;1,"n.a.",SUMIFS(TblPurchases[Purchase Date],TblPurchases[BatchID],TblOutcomes[[#This Row],[BatchID]]))</f>
        <v>45631</v>
      </c>
    </row>
    <row r="3499" spans="2:17" x14ac:dyDescent="0.25">
      <c r="B3499" s="2" t="s">
        <v>4304</v>
      </c>
      <c r="C3499" s="2" t="s">
        <v>367</v>
      </c>
      <c r="D3499" s="2" t="s">
        <v>366</v>
      </c>
      <c r="E3499" s="2" t="s">
        <v>4647</v>
      </c>
      <c r="F3499" s="2">
        <v>13</v>
      </c>
      <c r="G3499" s="2">
        <v>13</v>
      </c>
      <c r="H3499" s="2">
        <v>0</v>
      </c>
      <c r="I3499" s="1">
        <v>0</v>
      </c>
      <c r="J3499" s="26">
        <v>45663</v>
      </c>
      <c r="K3499" s="22">
        <v>110500</v>
      </c>
      <c r="L3499" s="18">
        <v>118.18</v>
      </c>
      <c r="M3499" s="22">
        <v>84500</v>
      </c>
      <c r="N3499" s="22">
        <v>26000</v>
      </c>
      <c r="O3499" s="18">
        <v>27.81</v>
      </c>
      <c r="P3499" s="52">
        <f>IF(COUNTIF(TblPurchases[BatchID],TblOutcomes[[#This Row],[BatchID]])&lt;&gt;1,"n.a.",TblOutcomes[[#This Row],[Qty Wasted]]*SUMIFS(TblPurchases[Unit Cost (CLP)],TblPurchases[BatchID],TblOutcomes[[#This Row],[BatchID]]))</f>
        <v>0</v>
      </c>
      <c r="Q3499" s="51">
        <f>IF(COUNTIF(TblPurchases[BatchID],TblOutcomes[[#This Row],[BatchID]])&lt;&gt;1,"n.a.",SUMIFS(TblPurchases[Purchase Date],TblPurchases[BatchID],TblOutcomes[[#This Row],[BatchID]]))</f>
        <v>45654</v>
      </c>
    </row>
    <row r="3500" spans="2:17" x14ac:dyDescent="0.25">
      <c r="B3500" s="2" t="s">
        <v>4305</v>
      </c>
      <c r="C3500" s="2" t="s">
        <v>367</v>
      </c>
      <c r="D3500" s="2" t="s">
        <v>366</v>
      </c>
      <c r="E3500" s="2" t="s">
        <v>4647</v>
      </c>
      <c r="F3500" s="2">
        <v>12</v>
      </c>
      <c r="G3500" s="2">
        <v>12</v>
      </c>
      <c r="H3500" s="2">
        <v>0</v>
      </c>
      <c r="I3500" s="1">
        <v>0</v>
      </c>
      <c r="J3500" s="26">
        <v>45690</v>
      </c>
      <c r="K3500" s="22">
        <v>102000</v>
      </c>
      <c r="L3500" s="18">
        <v>109.09</v>
      </c>
      <c r="M3500" s="22">
        <v>78000</v>
      </c>
      <c r="N3500" s="22">
        <v>24000</v>
      </c>
      <c r="O3500" s="18">
        <v>25.67</v>
      </c>
      <c r="P3500" s="52">
        <f>IF(COUNTIF(TblPurchases[BatchID],TblOutcomes[[#This Row],[BatchID]])&lt;&gt;1,"n.a.",TblOutcomes[[#This Row],[Qty Wasted]]*SUMIFS(TblPurchases[Unit Cost (CLP)],TblPurchases[BatchID],TblOutcomes[[#This Row],[BatchID]]))</f>
        <v>0</v>
      </c>
      <c r="Q3500" s="51">
        <f>IF(COUNTIF(TblPurchases[BatchID],TblOutcomes[[#This Row],[BatchID]])&lt;&gt;1,"n.a.",SUMIFS(TblPurchases[Purchase Date],TblPurchases[BatchID],TblOutcomes[[#This Row],[BatchID]]))</f>
        <v>45682</v>
      </c>
    </row>
    <row r="3501" spans="2:17" x14ac:dyDescent="0.25">
      <c r="B3501" s="2" t="s">
        <v>4306</v>
      </c>
      <c r="C3501" s="2" t="s">
        <v>367</v>
      </c>
      <c r="D3501" s="2" t="s">
        <v>366</v>
      </c>
      <c r="E3501" s="2" t="s">
        <v>4647</v>
      </c>
      <c r="F3501" s="2">
        <v>12</v>
      </c>
      <c r="G3501" s="2">
        <v>12</v>
      </c>
      <c r="H3501" s="2">
        <v>0</v>
      </c>
      <c r="I3501" s="1">
        <v>0</v>
      </c>
      <c r="J3501" s="26">
        <v>45727</v>
      </c>
      <c r="K3501" s="22">
        <v>102000</v>
      </c>
      <c r="L3501" s="18">
        <v>109.09</v>
      </c>
      <c r="M3501" s="22">
        <v>78000</v>
      </c>
      <c r="N3501" s="22">
        <v>24000</v>
      </c>
      <c r="O3501" s="18">
        <v>25.67</v>
      </c>
      <c r="P3501" s="52">
        <f>IF(COUNTIF(TblPurchases[BatchID],TblOutcomes[[#This Row],[BatchID]])&lt;&gt;1,"n.a.",TblOutcomes[[#This Row],[Qty Wasted]]*SUMIFS(TblPurchases[Unit Cost (CLP)],TblPurchases[BatchID],TblOutcomes[[#This Row],[BatchID]]))</f>
        <v>0</v>
      </c>
      <c r="Q3501" s="51">
        <f>IF(COUNTIF(TblPurchases[BatchID],TblOutcomes[[#This Row],[BatchID]])&lt;&gt;1,"n.a.",SUMIFS(TblPurchases[Purchase Date],TblPurchases[BatchID],TblOutcomes[[#This Row],[BatchID]]))</f>
        <v>45701</v>
      </c>
    </row>
    <row r="3502" spans="2:17" x14ac:dyDescent="0.25">
      <c r="B3502" s="2" t="s">
        <v>4307</v>
      </c>
      <c r="C3502" s="2" t="s">
        <v>367</v>
      </c>
      <c r="D3502" s="2" t="s">
        <v>366</v>
      </c>
      <c r="E3502" s="2" t="s">
        <v>4646</v>
      </c>
      <c r="F3502" s="2">
        <v>11</v>
      </c>
      <c r="G3502" s="2">
        <v>9.65</v>
      </c>
      <c r="H3502" s="2">
        <v>1.35</v>
      </c>
      <c r="I3502" s="1">
        <v>12.3</v>
      </c>
      <c r="J3502" s="26">
        <v>45895</v>
      </c>
      <c r="K3502" s="22">
        <v>82025</v>
      </c>
      <c r="L3502" s="18">
        <v>87.73</v>
      </c>
      <c r="M3502" s="22">
        <v>71500</v>
      </c>
      <c r="N3502" s="22">
        <v>10525</v>
      </c>
      <c r="O3502" s="18">
        <v>11.26</v>
      </c>
      <c r="P3502" s="52">
        <f>IF(COUNTIF(TblPurchases[BatchID],TblOutcomes[[#This Row],[BatchID]])&lt;&gt;1,"n.a.",TblOutcomes[[#This Row],[Qty Wasted]]*SUMIFS(TblPurchases[Unit Cost (CLP)],TblPurchases[BatchID],TblOutcomes[[#This Row],[BatchID]]))</f>
        <v>8775</v>
      </c>
      <c r="Q3502" s="51">
        <f>IF(COUNTIF(TblPurchases[BatchID],TblOutcomes[[#This Row],[BatchID]])&lt;&gt;1,"n.a.",SUMIFS(TblPurchases[Purchase Date],TblPurchases[BatchID],TblOutcomes[[#This Row],[BatchID]]))</f>
        <v>45715</v>
      </c>
    </row>
    <row r="3503" spans="2:17" x14ac:dyDescent="0.25">
      <c r="B3503" s="2" t="s">
        <v>4308</v>
      </c>
      <c r="C3503" s="2" t="s">
        <v>367</v>
      </c>
      <c r="D3503" s="2" t="s">
        <v>366</v>
      </c>
      <c r="E3503" s="2" t="s">
        <v>4647</v>
      </c>
      <c r="F3503" s="2">
        <v>12</v>
      </c>
      <c r="G3503" s="2">
        <v>12</v>
      </c>
      <c r="H3503" s="2">
        <v>0</v>
      </c>
      <c r="I3503" s="1">
        <v>0</v>
      </c>
      <c r="J3503" s="26">
        <v>45746</v>
      </c>
      <c r="K3503" s="22">
        <v>102000</v>
      </c>
      <c r="L3503" s="18">
        <v>109.09</v>
      </c>
      <c r="M3503" s="22">
        <v>78000</v>
      </c>
      <c r="N3503" s="22">
        <v>24000</v>
      </c>
      <c r="O3503" s="18">
        <v>25.67</v>
      </c>
      <c r="P3503" s="52">
        <f>IF(COUNTIF(TblPurchases[BatchID],TblOutcomes[[#This Row],[BatchID]])&lt;&gt;1,"n.a.",TblOutcomes[[#This Row],[Qty Wasted]]*SUMIFS(TblPurchases[Unit Cost (CLP)],TblPurchases[BatchID],TblOutcomes[[#This Row],[BatchID]]))</f>
        <v>0</v>
      </c>
      <c r="Q3503" s="51">
        <f>IF(COUNTIF(TblPurchases[BatchID],TblOutcomes[[#This Row],[BatchID]])&lt;&gt;1,"n.a.",SUMIFS(TblPurchases[Purchase Date],TblPurchases[BatchID],TblOutcomes[[#This Row],[BatchID]]))</f>
        <v>45733</v>
      </c>
    </row>
    <row r="3504" spans="2:17" x14ac:dyDescent="0.25">
      <c r="B3504" s="2" t="s">
        <v>4309</v>
      </c>
      <c r="C3504" s="2" t="s">
        <v>367</v>
      </c>
      <c r="D3504" s="2" t="s">
        <v>366</v>
      </c>
      <c r="E3504" s="2" t="s">
        <v>4646</v>
      </c>
      <c r="F3504" s="2">
        <v>10</v>
      </c>
      <c r="G3504" s="2">
        <v>9.59</v>
      </c>
      <c r="H3504" s="2">
        <v>0.41</v>
      </c>
      <c r="I3504" s="1">
        <v>4.0999999999999996</v>
      </c>
      <c r="J3504" s="26">
        <v>45928</v>
      </c>
      <c r="K3504" s="22">
        <v>81515</v>
      </c>
      <c r="L3504" s="18">
        <v>87.18</v>
      </c>
      <c r="M3504" s="22">
        <v>65000</v>
      </c>
      <c r="N3504" s="22">
        <v>16515</v>
      </c>
      <c r="O3504" s="18">
        <v>17.66</v>
      </c>
      <c r="P3504" s="52">
        <f>IF(COUNTIF(TblPurchases[BatchID],TblOutcomes[[#This Row],[BatchID]])&lt;&gt;1,"n.a.",TblOutcomes[[#This Row],[Qty Wasted]]*SUMIFS(TblPurchases[Unit Cost (CLP)],TblPurchases[BatchID],TblOutcomes[[#This Row],[BatchID]]))</f>
        <v>2665</v>
      </c>
      <c r="Q3504" s="51">
        <f>IF(COUNTIF(TblPurchases[BatchID],TblOutcomes[[#This Row],[BatchID]])&lt;&gt;1,"n.a.",SUMIFS(TblPurchases[Purchase Date],TblPurchases[BatchID],TblOutcomes[[#This Row],[BatchID]]))</f>
        <v>45748</v>
      </c>
    </row>
    <row r="3505" spans="2:17" x14ac:dyDescent="0.25">
      <c r="B3505" s="2" t="s">
        <v>4310</v>
      </c>
      <c r="C3505" s="2" t="s">
        <v>367</v>
      </c>
      <c r="D3505" s="2" t="s">
        <v>366</v>
      </c>
      <c r="E3505" s="2" t="s">
        <v>4647</v>
      </c>
      <c r="F3505" s="2">
        <v>12</v>
      </c>
      <c r="G3505" s="2">
        <v>12</v>
      </c>
      <c r="H3505" s="2">
        <v>0</v>
      </c>
      <c r="I3505" s="1">
        <v>0</v>
      </c>
      <c r="J3505" s="26">
        <v>45786</v>
      </c>
      <c r="K3505" s="22">
        <v>102000</v>
      </c>
      <c r="L3505" s="18">
        <v>109.09</v>
      </c>
      <c r="M3505" s="22">
        <v>78000</v>
      </c>
      <c r="N3505" s="22">
        <v>24000</v>
      </c>
      <c r="O3505" s="18">
        <v>25.67</v>
      </c>
      <c r="P3505" s="52">
        <f>IF(COUNTIF(TblPurchases[BatchID],TblOutcomes[[#This Row],[BatchID]])&lt;&gt;1,"n.a.",TblOutcomes[[#This Row],[Qty Wasted]]*SUMIFS(TblPurchases[Unit Cost (CLP)],TblPurchases[BatchID],TblOutcomes[[#This Row],[BatchID]]))</f>
        <v>0</v>
      </c>
      <c r="Q3505" s="51">
        <f>IF(COUNTIF(TblPurchases[BatchID],TblOutcomes[[#This Row],[BatchID]])&lt;&gt;1,"n.a.",SUMIFS(TblPurchases[Purchase Date],TblPurchases[BatchID],TblOutcomes[[#This Row],[BatchID]]))</f>
        <v>45772</v>
      </c>
    </row>
    <row r="3506" spans="2:17" x14ac:dyDescent="0.25">
      <c r="B3506" s="2" t="s">
        <v>4311</v>
      </c>
      <c r="C3506" s="2" t="s">
        <v>367</v>
      </c>
      <c r="D3506" s="2" t="s">
        <v>366</v>
      </c>
      <c r="E3506" s="2" t="s">
        <v>4646</v>
      </c>
      <c r="F3506" s="2">
        <v>9</v>
      </c>
      <c r="G3506" s="2">
        <v>8.3800000000000008</v>
      </c>
      <c r="H3506" s="2">
        <v>0.62</v>
      </c>
      <c r="I3506" s="1">
        <v>6.9</v>
      </c>
      <c r="J3506" s="26">
        <v>45973</v>
      </c>
      <c r="K3506" s="22">
        <v>71230</v>
      </c>
      <c r="L3506" s="18">
        <v>76.180000000000007</v>
      </c>
      <c r="M3506" s="22">
        <v>58500</v>
      </c>
      <c r="N3506" s="22">
        <v>12730</v>
      </c>
      <c r="O3506" s="18">
        <v>13.61</v>
      </c>
      <c r="P3506" s="52">
        <f>IF(COUNTIF(TblPurchases[BatchID],TblOutcomes[[#This Row],[BatchID]])&lt;&gt;1,"n.a.",TblOutcomes[[#This Row],[Qty Wasted]]*SUMIFS(TblPurchases[Unit Cost (CLP)],TblPurchases[BatchID],TblOutcomes[[#This Row],[BatchID]]))</f>
        <v>4030</v>
      </c>
      <c r="Q3506" s="51">
        <f>IF(COUNTIF(TblPurchases[BatchID],TblOutcomes[[#This Row],[BatchID]])&lt;&gt;1,"n.a.",SUMIFS(TblPurchases[Purchase Date],TblPurchases[BatchID],TblOutcomes[[#This Row],[BatchID]]))</f>
        <v>45793</v>
      </c>
    </row>
    <row r="3507" spans="2:17" x14ac:dyDescent="0.25">
      <c r="B3507" s="2" t="s">
        <v>4312</v>
      </c>
      <c r="C3507" s="2" t="s">
        <v>367</v>
      </c>
      <c r="D3507" s="2" t="s">
        <v>366</v>
      </c>
      <c r="E3507" s="2" t="s">
        <v>4647</v>
      </c>
      <c r="F3507" s="2">
        <v>11</v>
      </c>
      <c r="G3507" s="2">
        <v>11</v>
      </c>
      <c r="H3507" s="2">
        <v>0</v>
      </c>
      <c r="I3507" s="1">
        <v>0</v>
      </c>
      <c r="J3507" s="26">
        <v>45837</v>
      </c>
      <c r="K3507" s="22">
        <v>93500</v>
      </c>
      <c r="L3507" s="18">
        <v>100</v>
      </c>
      <c r="M3507" s="22">
        <v>71500</v>
      </c>
      <c r="N3507" s="22">
        <v>22000</v>
      </c>
      <c r="O3507" s="18">
        <v>23.53</v>
      </c>
      <c r="P3507" s="52">
        <f>IF(COUNTIF(TblPurchases[BatchID],TblOutcomes[[#This Row],[BatchID]])&lt;&gt;1,"n.a.",TblOutcomes[[#This Row],[Qty Wasted]]*SUMIFS(TblPurchases[Unit Cost (CLP)],TblPurchases[BatchID],TblOutcomes[[#This Row],[BatchID]]))</f>
        <v>0</v>
      </c>
      <c r="Q3507" s="51">
        <f>IF(COUNTIF(TblPurchases[BatchID],TblOutcomes[[#This Row],[BatchID]])&lt;&gt;1,"n.a.",SUMIFS(TblPurchases[Purchase Date],TblPurchases[BatchID],TblOutcomes[[#This Row],[BatchID]]))</f>
        <v>45816</v>
      </c>
    </row>
    <row r="3508" spans="2:17" x14ac:dyDescent="0.25">
      <c r="B3508" s="2" t="s">
        <v>4313</v>
      </c>
      <c r="C3508" s="2" t="s">
        <v>369</v>
      </c>
      <c r="D3508" s="2" t="s">
        <v>366</v>
      </c>
      <c r="E3508" s="2" t="s">
        <v>4647</v>
      </c>
      <c r="F3508" s="2">
        <v>11</v>
      </c>
      <c r="G3508" s="2">
        <v>11</v>
      </c>
      <c r="H3508" s="2">
        <v>0</v>
      </c>
      <c r="I3508" s="1">
        <v>0</v>
      </c>
      <c r="J3508" s="26">
        <v>45135</v>
      </c>
      <c r="K3508" s="22">
        <v>82500</v>
      </c>
      <c r="L3508" s="18">
        <v>88.24</v>
      </c>
      <c r="M3508" s="22">
        <v>59400</v>
      </c>
      <c r="N3508" s="22">
        <v>23100</v>
      </c>
      <c r="O3508" s="18">
        <v>24.71</v>
      </c>
      <c r="P3508" s="52">
        <f>IF(COUNTIF(TblPurchases[BatchID],TblOutcomes[[#This Row],[BatchID]])&lt;&gt;1,"n.a.",TblOutcomes[[#This Row],[Qty Wasted]]*SUMIFS(TblPurchases[Unit Cost (CLP)],TblPurchases[BatchID],TblOutcomes[[#This Row],[BatchID]]))</f>
        <v>0</v>
      </c>
      <c r="Q3508" s="51">
        <f>IF(COUNTIF(TblPurchases[BatchID],TblOutcomes[[#This Row],[BatchID]])&lt;&gt;1,"n.a.",SUMIFS(TblPurchases[Purchase Date],TblPurchases[BatchID],TblOutcomes[[#This Row],[BatchID]]))</f>
        <v>45122</v>
      </c>
    </row>
    <row r="3509" spans="2:17" x14ac:dyDescent="0.25">
      <c r="B3509" s="2" t="s">
        <v>4314</v>
      </c>
      <c r="C3509" s="2" t="s">
        <v>369</v>
      </c>
      <c r="D3509" s="2" t="s">
        <v>366</v>
      </c>
      <c r="E3509" s="2" t="s">
        <v>4647</v>
      </c>
      <c r="F3509" s="2">
        <v>10</v>
      </c>
      <c r="G3509" s="2">
        <v>10</v>
      </c>
      <c r="H3509" s="2">
        <v>0</v>
      </c>
      <c r="I3509" s="1">
        <v>0</v>
      </c>
      <c r="J3509" s="26">
        <v>45154</v>
      </c>
      <c r="K3509" s="22">
        <v>75000</v>
      </c>
      <c r="L3509" s="18">
        <v>80.209999999999994</v>
      </c>
      <c r="M3509" s="22">
        <v>54000</v>
      </c>
      <c r="N3509" s="22">
        <v>21000</v>
      </c>
      <c r="O3509" s="18">
        <v>22.46</v>
      </c>
      <c r="P3509" s="52">
        <f>IF(COUNTIF(TblPurchases[BatchID],TblOutcomes[[#This Row],[BatchID]])&lt;&gt;1,"n.a.",TblOutcomes[[#This Row],[Qty Wasted]]*SUMIFS(TblPurchases[Unit Cost (CLP)],TblPurchases[BatchID],TblOutcomes[[#This Row],[BatchID]]))</f>
        <v>0</v>
      </c>
      <c r="Q3509" s="51">
        <f>IF(COUNTIF(TblPurchases[BatchID],TblOutcomes[[#This Row],[BatchID]])&lt;&gt;1,"n.a.",SUMIFS(TblPurchases[Purchase Date],TblPurchases[BatchID],TblOutcomes[[#This Row],[BatchID]]))</f>
        <v>45145</v>
      </c>
    </row>
    <row r="3510" spans="2:17" x14ac:dyDescent="0.25">
      <c r="B3510" s="2" t="s">
        <v>4315</v>
      </c>
      <c r="C3510" s="2" t="s">
        <v>369</v>
      </c>
      <c r="D3510" s="2" t="s">
        <v>366</v>
      </c>
      <c r="E3510" s="2" t="s">
        <v>4647</v>
      </c>
      <c r="F3510" s="2">
        <v>11</v>
      </c>
      <c r="G3510" s="2">
        <v>11</v>
      </c>
      <c r="H3510" s="2">
        <v>0</v>
      </c>
      <c r="I3510" s="1">
        <v>0</v>
      </c>
      <c r="J3510" s="26">
        <v>45185</v>
      </c>
      <c r="K3510" s="22">
        <v>82500</v>
      </c>
      <c r="L3510" s="18">
        <v>88.24</v>
      </c>
      <c r="M3510" s="22">
        <v>59400</v>
      </c>
      <c r="N3510" s="22">
        <v>23100</v>
      </c>
      <c r="O3510" s="18">
        <v>24.71</v>
      </c>
      <c r="P3510" s="52">
        <f>IF(COUNTIF(TblPurchases[BatchID],TblOutcomes[[#This Row],[BatchID]])&lt;&gt;1,"n.a.",TblOutcomes[[#This Row],[Qty Wasted]]*SUMIFS(TblPurchases[Unit Cost (CLP)],TblPurchases[BatchID],TblOutcomes[[#This Row],[BatchID]]))</f>
        <v>0</v>
      </c>
      <c r="Q3510" s="51">
        <f>IF(COUNTIF(TblPurchases[BatchID],TblOutcomes[[#This Row],[BatchID]])&lt;&gt;1,"n.a.",SUMIFS(TblPurchases[Purchase Date],TblPurchases[BatchID],TblOutcomes[[#This Row],[BatchID]]))</f>
        <v>45170</v>
      </c>
    </row>
    <row r="3511" spans="2:17" x14ac:dyDescent="0.25">
      <c r="B3511" s="2" t="s">
        <v>4316</v>
      </c>
      <c r="C3511" s="2" t="s">
        <v>369</v>
      </c>
      <c r="D3511" s="2" t="s">
        <v>366</v>
      </c>
      <c r="E3511" s="2" t="s">
        <v>4646</v>
      </c>
      <c r="F3511" s="2">
        <v>11</v>
      </c>
      <c r="G3511" s="2">
        <v>10.78</v>
      </c>
      <c r="H3511" s="2">
        <v>0.22</v>
      </c>
      <c r="I3511" s="1">
        <v>2</v>
      </c>
      <c r="J3511" s="26">
        <v>45372</v>
      </c>
      <c r="K3511" s="22">
        <v>80850</v>
      </c>
      <c r="L3511" s="18">
        <v>86.47</v>
      </c>
      <c r="M3511" s="22">
        <v>59400</v>
      </c>
      <c r="N3511" s="22">
        <v>21450</v>
      </c>
      <c r="O3511" s="18">
        <v>22.94</v>
      </c>
      <c r="P3511" s="52">
        <f>IF(COUNTIF(TblPurchases[BatchID],TblOutcomes[[#This Row],[BatchID]])&lt;&gt;1,"n.a.",TblOutcomes[[#This Row],[Qty Wasted]]*SUMIFS(TblPurchases[Unit Cost (CLP)],TblPurchases[BatchID],TblOutcomes[[#This Row],[BatchID]]))</f>
        <v>1188</v>
      </c>
      <c r="Q3511" s="51">
        <f>IF(COUNTIF(TblPurchases[BatchID],TblOutcomes[[#This Row],[BatchID]])&lt;&gt;1,"n.a.",SUMIFS(TblPurchases[Purchase Date],TblPurchases[BatchID],TblOutcomes[[#This Row],[BatchID]]))</f>
        <v>45192</v>
      </c>
    </row>
    <row r="3512" spans="2:17" x14ac:dyDescent="0.25">
      <c r="B3512" s="2" t="s">
        <v>4317</v>
      </c>
      <c r="C3512" s="2" t="s">
        <v>369</v>
      </c>
      <c r="D3512" s="2" t="s">
        <v>366</v>
      </c>
      <c r="E3512" s="2" t="s">
        <v>4647</v>
      </c>
      <c r="F3512" s="2">
        <v>10</v>
      </c>
      <c r="G3512" s="2">
        <v>10</v>
      </c>
      <c r="H3512" s="2">
        <v>0</v>
      </c>
      <c r="I3512" s="1">
        <v>0</v>
      </c>
      <c r="J3512" s="26">
        <v>45236</v>
      </c>
      <c r="K3512" s="22">
        <v>75000</v>
      </c>
      <c r="L3512" s="18">
        <v>80.209999999999994</v>
      </c>
      <c r="M3512" s="22">
        <v>54000</v>
      </c>
      <c r="N3512" s="22">
        <v>21000</v>
      </c>
      <c r="O3512" s="18">
        <v>22.46</v>
      </c>
      <c r="P3512" s="52">
        <f>IF(COUNTIF(TblPurchases[BatchID],TblOutcomes[[#This Row],[BatchID]])&lt;&gt;1,"n.a.",TblOutcomes[[#This Row],[Qty Wasted]]*SUMIFS(TblPurchases[Unit Cost (CLP)],TblPurchases[BatchID],TblOutcomes[[#This Row],[BatchID]]))</f>
        <v>0</v>
      </c>
      <c r="Q3512" s="51">
        <f>IF(COUNTIF(TblPurchases[BatchID],TblOutcomes[[#This Row],[BatchID]])&lt;&gt;1,"n.a.",SUMIFS(TblPurchases[Purchase Date],TblPurchases[BatchID],TblOutcomes[[#This Row],[BatchID]]))</f>
        <v>45209</v>
      </c>
    </row>
    <row r="3513" spans="2:17" x14ac:dyDescent="0.25">
      <c r="B3513" s="2" t="s">
        <v>4318</v>
      </c>
      <c r="C3513" s="2" t="s">
        <v>369</v>
      </c>
      <c r="D3513" s="2" t="s">
        <v>366</v>
      </c>
      <c r="E3513" s="2" t="s">
        <v>4646</v>
      </c>
      <c r="F3513" s="2">
        <v>9</v>
      </c>
      <c r="G3513" s="2">
        <v>8.17</v>
      </c>
      <c r="H3513" s="2">
        <v>0.83</v>
      </c>
      <c r="I3513" s="1">
        <v>9.1999999999999993</v>
      </c>
      <c r="J3513" s="26">
        <v>45412</v>
      </c>
      <c r="K3513" s="22">
        <v>61275</v>
      </c>
      <c r="L3513" s="18">
        <v>65.53</v>
      </c>
      <c r="M3513" s="22">
        <v>48600</v>
      </c>
      <c r="N3513" s="22">
        <v>12675</v>
      </c>
      <c r="O3513" s="18">
        <v>13.56</v>
      </c>
      <c r="P3513" s="52">
        <f>IF(COUNTIF(TblPurchases[BatchID],TblOutcomes[[#This Row],[BatchID]])&lt;&gt;1,"n.a.",TblOutcomes[[#This Row],[Qty Wasted]]*SUMIFS(TblPurchases[Unit Cost (CLP)],TblPurchases[BatchID],TblOutcomes[[#This Row],[BatchID]]))</f>
        <v>4482</v>
      </c>
      <c r="Q3513" s="51">
        <f>IF(COUNTIF(TblPurchases[BatchID],TblOutcomes[[#This Row],[BatchID]])&lt;&gt;1,"n.a.",SUMIFS(TblPurchases[Purchase Date],TblPurchases[BatchID],TblOutcomes[[#This Row],[BatchID]]))</f>
        <v>45232</v>
      </c>
    </row>
    <row r="3514" spans="2:17" x14ac:dyDescent="0.25">
      <c r="B3514" s="2" t="s">
        <v>4319</v>
      </c>
      <c r="C3514" s="2" t="s">
        <v>369</v>
      </c>
      <c r="D3514" s="2" t="s">
        <v>366</v>
      </c>
      <c r="E3514" s="2" t="s">
        <v>4646</v>
      </c>
      <c r="F3514" s="2">
        <v>10</v>
      </c>
      <c r="G3514" s="2">
        <v>9.58</v>
      </c>
      <c r="H3514" s="2">
        <v>0.42</v>
      </c>
      <c r="I3514" s="1">
        <v>4.2</v>
      </c>
      <c r="J3514" s="26">
        <v>45436</v>
      </c>
      <c r="K3514" s="22">
        <v>71850</v>
      </c>
      <c r="L3514" s="18">
        <v>76.84</v>
      </c>
      <c r="M3514" s="22">
        <v>54000</v>
      </c>
      <c r="N3514" s="22">
        <v>17850</v>
      </c>
      <c r="O3514" s="18">
        <v>19.09</v>
      </c>
      <c r="P3514" s="52">
        <f>IF(COUNTIF(TblPurchases[BatchID],TblOutcomes[[#This Row],[BatchID]])&lt;&gt;1,"n.a.",TblOutcomes[[#This Row],[Qty Wasted]]*SUMIFS(TblPurchases[Unit Cost (CLP)],TblPurchases[BatchID],TblOutcomes[[#This Row],[BatchID]]))</f>
        <v>2268</v>
      </c>
      <c r="Q3514" s="51">
        <f>IF(COUNTIF(TblPurchases[BatchID],TblOutcomes[[#This Row],[BatchID]])&lt;&gt;1,"n.a.",SUMIFS(TblPurchases[Purchase Date],TblPurchases[BatchID],TblOutcomes[[#This Row],[BatchID]]))</f>
        <v>45256</v>
      </c>
    </row>
    <row r="3515" spans="2:17" x14ac:dyDescent="0.25">
      <c r="B3515" s="2" t="s">
        <v>4320</v>
      </c>
      <c r="C3515" s="2" t="s">
        <v>369</v>
      </c>
      <c r="D3515" s="2" t="s">
        <v>366</v>
      </c>
      <c r="E3515" s="2" t="s">
        <v>4646</v>
      </c>
      <c r="F3515" s="2">
        <v>13</v>
      </c>
      <c r="G3515" s="2">
        <v>12.34</v>
      </c>
      <c r="H3515" s="2">
        <v>0.66</v>
      </c>
      <c r="I3515" s="1">
        <v>5.0999999999999996</v>
      </c>
      <c r="J3515" s="26">
        <v>45458</v>
      </c>
      <c r="K3515" s="22">
        <v>92550</v>
      </c>
      <c r="L3515" s="18">
        <v>98.98</v>
      </c>
      <c r="M3515" s="22">
        <v>70850</v>
      </c>
      <c r="N3515" s="22">
        <v>21700</v>
      </c>
      <c r="O3515" s="18">
        <v>23.21</v>
      </c>
      <c r="P3515" s="52">
        <f>IF(COUNTIF(TblPurchases[BatchID],TblOutcomes[[#This Row],[BatchID]])&lt;&gt;1,"n.a.",TblOutcomes[[#This Row],[Qty Wasted]]*SUMIFS(TblPurchases[Unit Cost (CLP)],TblPurchases[BatchID],TblOutcomes[[#This Row],[BatchID]]))</f>
        <v>3597</v>
      </c>
      <c r="Q3515" s="51">
        <f>IF(COUNTIF(TblPurchases[BatchID],TblOutcomes[[#This Row],[BatchID]])&lt;&gt;1,"n.a.",SUMIFS(TblPurchases[Purchase Date],TblPurchases[BatchID],TblOutcomes[[#This Row],[BatchID]]))</f>
        <v>45278</v>
      </c>
    </row>
    <row r="3516" spans="2:17" x14ac:dyDescent="0.25">
      <c r="B3516" s="2" t="s">
        <v>4321</v>
      </c>
      <c r="C3516" s="2" t="s">
        <v>369</v>
      </c>
      <c r="D3516" s="2" t="s">
        <v>366</v>
      </c>
      <c r="E3516" s="2" t="s">
        <v>4646</v>
      </c>
      <c r="F3516" s="2">
        <v>11</v>
      </c>
      <c r="G3516" s="2">
        <v>9.61</v>
      </c>
      <c r="H3516" s="2">
        <v>1.39</v>
      </c>
      <c r="I3516" s="1">
        <v>12.6</v>
      </c>
      <c r="J3516" s="26">
        <v>45477</v>
      </c>
      <c r="K3516" s="22">
        <v>72075</v>
      </c>
      <c r="L3516" s="18">
        <v>77.09</v>
      </c>
      <c r="M3516" s="22">
        <v>59400</v>
      </c>
      <c r="N3516" s="22">
        <v>12675</v>
      </c>
      <c r="O3516" s="18">
        <v>13.56</v>
      </c>
      <c r="P3516" s="52">
        <f>IF(COUNTIF(TblPurchases[BatchID],TblOutcomes[[#This Row],[BatchID]])&lt;&gt;1,"n.a.",TblOutcomes[[#This Row],[Qty Wasted]]*SUMIFS(TblPurchases[Unit Cost (CLP)],TblPurchases[BatchID],TblOutcomes[[#This Row],[BatchID]]))</f>
        <v>7505.9999999999991</v>
      </c>
      <c r="Q3516" s="51">
        <f>IF(COUNTIF(TblPurchases[BatchID],TblOutcomes[[#This Row],[BatchID]])&lt;&gt;1,"n.a.",SUMIFS(TblPurchases[Purchase Date],TblPurchases[BatchID],TblOutcomes[[#This Row],[BatchID]]))</f>
        <v>45297</v>
      </c>
    </row>
    <row r="3517" spans="2:17" x14ac:dyDescent="0.25">
      <c r="B3517" s="2" t="s">
        <v>4322</v>
      </c>
      <c r="C3517" s="2" t="s">
        <v>369</v>
      </c>
      <c r="D3517" s="2" t="s">
        <v>366</v>
      </c>
      <c r="E3517" s="2" t="s">
        <v>4647</v>
      </c>
      <c r="F3517" s="2">
        <v>9</v>
      </c>
      <c r="G3517" s="2">
        <v>9</v>
      </c>
      <c r="H3517" s="2">
        <v>0</v>
      </c>
      <c r="I3517" s="1">
        <v>0</v>
      </c>
      <c r="J3517" s="26">
        <v>45338</v>
      </c>
      <c r="K3517" s="22">
        <v>67500</v>
      </c>
      <c r="L3517" s="18">
        <v>72.19</v>
      </c>
      <c r="M3517" s="22">
        <v>48600</v>
      </c>
      <c r="N3517" s="22">
        <v>18900</v>
      </c>
      <c r="O3517" s="18">
        <v>20.21</v>
      </c>
      <c r="P3517" s="52">
        <f>IF(COUNTIF(TblPurchases[BatchID],TblOutcomes[[#This Row],[BatchID]])&lt;&gt;1,"n.a.",TblOutcomes[[#This Row],[Qty Wasted]]*SUMIFS(TblPurchases[Unit Cost (CLP)],TblPurchases[BatchID],TblOutcomes[[#This Row],[BatchID]]))</f>
        <v>0</v>
      </c>
      <c r="Q3517" s="51">
        <f>IF(COUNTIF(TblPurchases[BatchID],TblOutcomes[[#This Row],[BatchID]])&lt;&gt;1,"n.a.",SUMIFS(TblPurchases[Purchase Date],TblPurchases[BatchID],TblOutcomes[[#This Row],[BatchID]]))</f>
        <v>45321</v>
      </c>
    </row>
    <row r="3518" spans="2:17" x14ac:dyDescent="0.25">
      <c r="B3518" s="2" t="s">
        <v>4323</v>
      </c>
      <c r="C3518" s="2" t="s">
        <v>369</v>
      </c>
      <c r="D3518" s="2" t="s">
        <v>366</v>
      </c>
      <c r="E3518" s="2" t="s">
        <v>4647</v>
      </c>
      <c r="F3518" s="2">
        <v>9</v>
      </c>
      <c r="G3518" s="2">
        <v>9</v>
      </c>
      <c r="H3518" s="2">
        <v>0</v>
      </c>
      <c r="I3518" s="1">
        <v>0</v>
      </c>
      <c r="J3518" s="26">
        <v>45352</v>
      </c>
      <c r="K3518" s="22">
        <v>67500</v>
      </c>
      <c r="L3518" s="18">
        <v>72.19</v>
      </c>
      <c r="M3518" s="22">
        <v>48600</v>
      </c>
      <c r="N3518" s="22">
        <v>18900</v>
      </c>
      <c r="O3518" s="18">
        <v>20.21</v>
      </c>
      <c r="P3518" s="52">
        <f>IF(COUNTIF(TblPurchases[BatchID],TblOutcomes[[#This Row],[BatchID]])&lt;&gt;1,"n.a.",TblOutcomes[[#This Row],[Qty Wasted]]*SUMIFS(TblPurchases[Unit Cost (CLP)],TblPurchases[BatchID],TblOutcomes[[#This Row],[BatchID]]))</f>
        <v>0</v>
      </c>
      <c r="Q3518" s="51">
        <f>IF(COUNTIF(TblPurchases[BatchID],TblOutcomes[[#This Row],[BatchID]])&lt;&gt;1,"n.a.",SUMIFS(TblPurchases[Purchase Date],TblPurchases[BatchID],TblOutcomes[[#This Row],[BatchID]]))</f>
        <v>45338</v>
      </c>
    </row>
    <row r="3519" spans="2:17" x14ac:dyDescent="0.25">
      <c r="B3519" s="2" t="s">
        <v>4324</v>
      </c>
      <c r="C3519" s="2" t="s">
        <v>369</v>
      </c>
      <c r="D3519" s="2" t="s">
        <v>366</v>
      </c>
      <c r="E3519" s="2" t="s">
        <v>4647</v>
      </c>
      <c r="F3519" s="2">
        <v>11</v>
      </c>
      <c r="G3519" s="2">
        <v>11</v>
      </c>
      <c r="H3519" s="2">
        <v>0</v>
      </c>
      <c r="I3519" s="1">
        <v>0</v>
      </c>
      <c r="J3519" s="26">
        <v>45367</v>
      </c>
      <c r="K3519" s="22">
        <v>82500</v>
      </c>
      <c r="L3519" s="18">
        <v>88.24</v>
      </c>
      <c r="M3519" s="22">
        <v>59400</v>
      </c>
      <c r="N3519" s="22">
        <v>23100</v>
      </c>
      <c r="O3519" s="18">
        <v>24.71</v>
      </c>
      <c r="P3519" s="52">
        <f>IF(COUNTIF(TblPurchases[BatchID],TblOutcomes[[#This Row],[BatchID]])&lt;&gt;1,"n.a.",TblOutcomes[[#This Row],[Qty Wasted]]*SUMIFS(TblPurchases[Unit Cost (CLP)],TblPurchases[BatchID],TblOutcomes[[#This Row],[BatchID]]))</f>
        <v>0</v>
      </c>
      <c r="Q3519" s="51">
        <f>IF(COUNTIF(TblPurchases[BatchID],TblOutcomes[[#This Row],[BatchID]])&lt;&gt;1,"n.a.",SUMIFS(TblPurchases[Purchase Date],TblPurchases[BatchID],TblOutcomes[[#This Row],[BatchID]]))</f>
        <v>45359</v>
      </c>
    </row>
    <row r="3520" spans="2:17" x14ac:dyDescent="0.25">
      <c r="B3520" s="2" t="s">
        <v>4325</v>
      </c>
      <c r="C3520" s="2" t="s">
        <v>369</v>
      </c>
      <c r="D3520" s="2" t="s">
        <v>366</v>
      </c>
      <c r="E3520" s="2" t="s">
        <v>4647</v>
      </c>
      <c r="F3520" s="2">
        <v>10</v>
      </c>
      <c r="G3520" s="2">
        <v>10</v>
      </c>
      <c r="H3520" s="2">
        <v>0</v>
      </c>
      <c r="I3520" s="1">
        <v>0</v>
      </c>
      <c r="J3520" s="26">
        <v>45391</v>
      </c>
      <c r="K3520" s="22">
        <v>75000</v>
      </c>
      <c r="L3520" s="18">
        <v>80.209999999999994</v>
      </c>
      <c r="M3520" s="22">
        <v>54000</v>
      </c>
      <c r="N3520" s="22">
        <v>21000</v>
      </c>
      <c r="O3520" s="18">
        <v>22.46</v>
      </c>
      <c r="P3520" s="52">
        <f>IF(COUNTIF(TblPurchases[BatchID],TblOutcomes[[#This Row],[BatchID]])&lt;&gt;1,"n.a.",TblOutcomes[[#This Row],[Qty Wasted]]*SUMIFS(TblPurchases[Unit Cost (CLP)],TblPurchases[BatchID],TblOutcomes[[#This Row],[BatchID]]))</f>
        <v>0</v>
      </c>
      <c r="Q3520" s="51">
        <f>IF(COUNTIF(TblPurchases[BatchID],TblOutcomes[[#This Row],[BatchID]])&lt;&gt;1,"n.a.",SUMIFS(TblPurchases[Purchase Date],TblPurchases[BatchID],TblOutcomes[[#This Row],[BatchID]]))</f>
        <v>45375</v>
      </c>
    </row>
    <row r="3521" spans="2:17" x14ac:dyDescent="0.25">
      <c r="B3521" s="2" t="s">
        <v>4326</v>
      </c>
      <c r="C3521" s="2" t="s">
        <v>369</v>
      </c>
      <c r="D3521" s="2" t="s">
        <v>366</v>
      </c>
      <c r="E3521" s="2" t="s">
        <v>4646</v>
      </c>
      <c r="F3521" s="2">
        <v>9</v>
      </c>
      <c r="G3521" s="2">
        <v>8.5500000000000007</v>
      </c>
      <c r="H3521" s="2">
        <v>0.45</v>
      </c>
      <c r="I3521" s="1">
        <v>5</v>
      </c>
      <c r="J3521" s="26">
        <v>45567</v>
      </c>
      <c r="K3521" s="22">
        <v>64125</v>
      </c>
      <c r="L3521" s="18">
        <v>68.58</v>
      </c>
      <c r="M3521" s="22">
        <v>48600</v>
      </c>
      <c r="N3521" s="22">
        <v>15525</v>
      </c>
      <c r="O3521" s="18">
        <v>16.600000000000001</v>
      </c>
      <c r="P3521" s="52">
        <f>IF(COUNTIF(TblPurchases[BatchID],TblOutcomes[[#This Row],[BatchID]])&lt;&gt;1,"n.a.",TblOutcomes[[#This Row],[Qty Wasted]]*SUMIFS(TblPurchases[Unit Cost (CLP)],TblPurchases[BatchID],TblOutcomes[[#This Row],[BatchID]]))</f>
        <v>2430</v>
      </c>
      <c r="Q3521" s="51">
        <f>IF(COUNTIF(TblPurchases[BatchID],TblOutcomes[[#This Row],[BatchID]])&lt;&gt;1,"n.a.",SUMIFS(TblPurchases[Purchase Date],TblPurchases[BatchID],TblOutcomes[[#This Row],[BatchID]]))</f>
        <v>45387</v>
      </c>
    </row>
    <row r="3522" spans="2:17" x14ac:dyDescent="0.25">
      <c r="B3522" s="2" t="s">
        <v>4327</v>
      </c>
      <c r="C3522" s="2" t="s">
        <v>369</v>
      </c>
      <c r="D3522" s="2" t="s">
        <v>366</v>
      </c>
      <c r="E3522" s="2" t="s">
        <v>4646</v>
      </c>
      <c r="F3522" s="2">
        <v>10</v>
      </c>
      <c r="G3522" s="2">
        <v>9.84</v>
      </c>
      <c r="H3522" s="2">
        <v>0.16</v>
      </c>
      <c r="I3522" s="1">
        <v>1.6</v>
      </c>
      <c r="J3522" s="26">
        <v>45581</v>
      </c>
      <c r="K3522" s="22">
        <v>73800</v>
      </c>
      <c r="L3522" s="18">
        <v>78.930000000000007</v>
      </c>
      <c r="M3522" s="22">
        <v>54000</v>
      </c>
      <c r="N3522" s="22">
        <v>19800</v>
      </c>
      <c r="O3522" s="18">
        <v>21.18</v>
      </c>
      <c r="P3522" s="52">
        <f>IF(COUNTIF(TblPurchases[BatchID],TblOutcomes[[#This Row],[BatchID]])&lt;&gt;1,"n.a.",TblOutcomes[[#This Row],[Qty Wasted]]*SUMIFS(TblPurchases[Unit Cost (CLP)],TblPurchases[BatchID],TblOutcomes[[#This Row],[BatchID]]))</f>
        <v>864</v>
      </c>
      <c r="Q3522" s="51">
        <f>IF(COUNTIF(TblPurchases[BatchID],TblOutcomes[[#This Row],[BatchID]])&lt;&gt;1,"n.a.",SUMIFS(TblPurchases[Purchase Date],TblPurchases[BatchID],TblOutcomes[[#This Row],[BatchID]]))</f>
        <v>45401</v>
      </c>
    </row>
    <row r="3523" spans="2:17" x14ac:dyDescent="0.25">
      <c r="B3523" s="2" t="s">
        <v>4328</v>
      </c>
      <c r="C3523" s="2" t="s">
        <v>369</v>
      </c>
      <c r="D3523" s="2" t="s">
        <v>366</v>
      </c>
      <c r="E3523" s="2" t="s">
        <v>4647</v>
      </c>
      <c r="F3523" s="2">
        <v>11</v>
      </c>
      <c r="G3523" s="2">
        <v>11</v>
      </c>
      <c r="H3523" s="2">
        <v>0</v>
      </c>
      <c r="I3523" s="1">
        <v>0</v>
      </c>
      <c r="J3523" s="26">
        <v>45433</v>
      </c>
      <c r="K3523" s="22">
        <v>82500</v>
      </c>
      <c r="L3523" s="18">
        <v>88.24</v>
      </c>
      <c r="M3523" s="22">
        <v>59400</v>
      </c>
      <c r="N3523" s="22">
        <v>23100</v>
      </c>
      <c r="O3523" s="18">
        <v>24.71</v>
      </c>
      <c r="P3523" s="52">
        <f>IF(COUNTIF(TblPurchases[BatchID],TblOutcomes[[#This Row],[BatchID]])&lt;&gt;1,"n.a.",TblOutcomes[[#This Row],[Qty Wasted]]*SUMIFS(TblPurchases[Unit Cost (CLP)],TblPurchases[BatchID],TblOutcomes[[#This Row],[BatchID]]))</f>
        <v>0</v>
      </c>
      <c r="Q3523" s="51">
        <f>IF(COUNTIF(TblPurchases[BatchID],TblOutcomes[[#This Row],[BatchID]])&lt;&gt;1,"n.a.",SUMIFS(TblPurchases[Purchase Date],TblPurchases[BatchID],TblOutcomes[[#This Row],[BatchID]]))</f>
        <v>45420</v>
      </c>
    </row>
    <row r="3524" spans="2:17" x14ac:dyDescent="0.25">
      <c r="B3524" s="2" t="s">
        <v>4329</v>
      </c>
      <c r="C3524" s="2" t="s">
        <v>369</v>
      </c>
      <c r="D3524" s="2" t="s">
        <v>366</v>
      </c>
      <c r="E3524" s="2" t="s">
        <v>4647</v>
      </c>
      <c r="F3524" s="2">
        <v>9</v>
      </c>
      <c r="G3524" s="2">
        <v>9</v>
      </c>
      <c r="H3524" s="2">
        <v>0</v>
      </c>
      <c r="I3524" s="1">
        <v>0</v>
      </c>
      <c r="J3524" s="26">
        <v>45451</v>
      </c>
      <c r="K3524" s="22">
        <v>67500</v>
      </c>
      <c r="L3524" s="18">
        <v>72.19</v>
      </c>
      <c r="M3524" s="22">
        <v>48600</v>
      </c>
      <c r="N3524" s="22">
        <v>18900</v>
      </c>
      <c r="O3524" s="18">
        <v>20.21</v>
      </c>
      <c r="P3524" s="52">
        <f>IF(COUNTIF(TblPurchases[BatchID],TblOutcomes[[#This Row],[BatchID]])&lt;&gt;1,"n.a.",TblOutcomes[[#This Row],[Qty Wasted]]*SUMIFS(TblPurchases[Unit Cost (CLP)],TblPurchases[BatchID],TblOutcomes[[#This Row],[BatchID]]))</f>
        <v>0</v>
      </c>
      <c r="Q3524" s="51">
        <f>IF(COUNTIF(TblPurchases[BatchID],TblOutcomes[[#This Row],[BatchID]])&lt;&gt;1,"n.a.",SUMIFS(TblPurchases[Purchase Date],TblPurchases[BatchID],TblOutcomes[[#This Row],[BatchID]]))</f>
        <v>45442</v>
      </c>
    </row>
    <row r="3525" spans="2:17" x14ac:dyDescent="0.25">
      <c r="B3525" s="2" t="s">
        <v>4330</v>
      </c>
      <c r="C3525" s="2" t="s">
        <v>369</v>
      </c>
      <c r="D3525" s="2" t="s">
        <v>366</v>
      </c>
      <c r="E3525" s="2" t="s">
        <v>4647</v>
      </c>
      <c r="F3525" s="2">
        <v>9</v>
      </c>
      <c r="G3525" s="2">
        <v>9</v>
      </c>
      <c r="H3525" s="2">
        <v>0</v>
      </c>
      <c r="I3525" s="1">
        <v>0</v>
      </c>
      <c r="J3525" s="26">
        <v>45476</v>
      </c>
      <c r="K3525" s="22">
        <v>67500</v>
      </c>
      <c r="L3525" s="18">
        <v>72.19</v>
      </c>
      <c r="M3525" s="22">
        <v>48600</v>
      </c>
      <c r="N3525" s="22">
        <v>18900</v>
      </c>
      <c r="O3525" s="18">
        <v>20.21</v>
      </c>
      <c r="P3525" s="52">
        <f>IF(COUNTIF(TblPurchases[BatchID],TblOutcomes[[#This Row],[BatchID]])&lt;&gt;1,"n.a.",TblOutcomes[[#This Row],[Qty Wasted]]*SUMIFS(TblPurchases[Unit Cost (CLP)],TblPurchases[BatchID],TblOutcomes[[#This Row],[BatchID]]))</f>
        <v>0</v>
      </c>
      <c r="Q3525" s="51">
        <f>IF(COUNTIF(TblPurchases[BatchID],TblOutcomes[[#This Row],[BatchID]])&lt;&gt;1,"n.a.",SUMIFS(TblPurchases[Purchase Date],TblPurchases[BatchID],TblOutcomes[[#This Row],[BatchID]]))</f>
        <v>45458</v>
      </c>
    </row>
    <row r="3526" spans="2:17" x14ac:dyDescent="0.25">
      <c r="B3526" s="2" t="s">
        <v>4331</v>
      </c>
      <c r="C3526" s="2" t="s">
        <v>369</v>
      </c>
      <c r="D3526" s="2" t="s">
        <v>366</v>
      </c>
      <c r="E3526" s="2" t="s">
        <v>4646</v>
      </c>
      <c r="F3526" s="2">
        <v>9</v>
      </c>
      <c r="G3526" s="2">
        <v>8.33</v>
      </c>
      <c r="H3526" s="2">
        <v>0.67</v>
      </c>
      <c r="I3526" s="1">
        <v>7.5</v>
      </c>
      <c r="J3526" s="26">
        <v>45658</v>
      </c>
      <c r="K3526" s="22">
        <v>62475</v>
      </c>
      <c r="L3526" s="18">
        <v>66.819999999999993</v>
      </c>
      <c r="M3526" s="22">
        <v>48600</v>
      </c>
      <c r="N3526" s="22">
        <v>13875</v>
      </c>
      <c r="O3526" s="18">
        <v>14.84</v>
      </c>
      <c r="P3526" s="52">
        <f>IF(COUNTIF(TblPurchases[BatchID],TblOutcomes[[#This Row],[BatchID]])&lt;&gt;1,"n.a.",TblOutcomes[[#This Row],[Qty Wasted]]*SUMIFS(TblPurchases[Unit Cost (CLP)],TblPurchases[BatchID],TblOutcomes[[#This Row],[BatchID]]))</f>
        <v>3618</v>
      </c>
      <c r="Q3526" s="51">
        <f>IF(COUNTIF(TblPurchases[BatchID],TblOutcomes[[#This Row],[BatchID]])&lt;&gt;1,"n.a.",SUMIFS(TblPurchases[Purchase Date],TblPurchases[BatchID],TblOutcomes[[#This Row],[BatchID]]))</f>
        <v>45478</v>
      </c>
    </row>
    <row r="3527" spans="2:17" x14ac:dyDescent="0.25">
      <c r="B3527" s="2" t="s">
        <v>4332</v>
      </c>
      <c r="C3527" s="2" t="s">
        <v>369</v>
      </c>
      <c r="D3527" s="2" t="s">
        <v>366</v>
      </c>
      <c r="E3527" s="2" t="s">
        <v>4647</v>
      </c>
      <c r="F3527" s="2">
        <v>10</v>
      </c>
      <c r="G3527" s="2">
        <v>10</v>
      </c>
      <c r="H3527" s="2">
        <v>0</v>
      </c>
      <c r="I3527" s="1">
        <v>0</v>
      </c>
      <c r="J3527" s="26">
        <v>45513</v>
      </c>
      <c r="K3527" s="22">
        <v>75000</v>
      </c>
      <c r="L3527" s="18">
        <v>80.209999999999994</v>
      </c>
      <c r="M3527" s="22">
        <v>54000</v>
      </c>
      <c r="N3527" s="22">
        <v>21000</v>
      </c>
      <c r="O3527" s="18">
        <v>22.46</v>
      </c>
      <c r="P3527" s="52">
        <f>IF(COUNTIF(TblPurchases[BatchID],TblOutcomes[[#This Row],[BatchID]])&lt;&gt;1,"n.a.",TblOutcomes[[#This Row],[Qty Wasted]]*SUMIFS(TblPurchases[Unit Cost (CLP)],TblPurchases[BatchID],TblOutcomes[[#This Row],[BatchID]]))</f>
        <v>0</v>
      </c>
      <c r="Q3527" s="51">
        <f>IF(COUNTIF(TblPurchases[BatchID],TblOutcomes[[#This Row],[BatchID]])&lt;&gt;1,"n.a.",SUMIFS(TblPurchases[Purchase Date],TblPurchases[BatchID],TblOutcomes[[#This Row],[BatchID]]))</f>
        <v>45496</v>
      </c>
    </row>
    <row r="3528" spans="2:17" x14ac:dyDescent="0.25">
      <c r="B3528" s="2" t="s">
        <v>4333</v>
      </c>
      <c r="C3528" s="2" t="s">
        <v>369</v>
      </c>
      <c r="D3528" s="2" t="s">
        <v>366</v>
      </c>
      <c r="E3528" s="2" t="s">
        <v>4647</v>
      </c>
      <c r="F3528" s="2">
        <v>10</v>
      </c>
      <c r="G3528" s="2">
        <v>10</v>
      </c>
      <c r="H3528" s="2">
        <v>0</v>
      </c>
      <c r="I3528" s="1">
        <v>0</v>
      </c>
      <c r="J3528" s="26">
        <v>45542</v>
      </c>
      <c r="K3528" s="22">
        <v>75000</v>
      </c>
      <c r="L3528" s="18">
        <v>80.209999999999994</v>
      </c>
      <c r="M3528" s="22">
        <v>54000</v>
      </c>
      <c r="N3528" s="22">
        <v>21000</v>
      </c>
      <c r="O3528" s="18">
        <v>22.46</v>
      </c>
      <c r="P3528" s="52">
        <f>IF(COUNTIF(TblPurchases[BatchID],TblOutcomes[[#This Row],[BatchID]])&lt;&gt;1,"n.a.",TblOutcomes[[#This Row],[Qty Wasted]]*SUMIFS(TblPurchases[Unit Cost (CLP)],TblPurchases[BatchID],TblOutcomes[[#This Row],[BatchID]]))</f>
        <v>0</v>
      </c>
      <c r="Q3528" s="51">
        <f>IF(COUNTIF(TblPurchases[BatchID],TblOutcomes[[#This Row],[BatchID]])&lt;&gt;1,"n.a.",SUMIFS(TblPurchases[Purchase Date],TblPurchases[BatchID],TblOutcomes[[#This Row],[BatchID]]))</f>
        <v>45519</v>
      </c>
    </row>
    <row r="3529" spans="2:17" x14ac:dyDescent="0.25">
      <c r="B3529" s="2" t="s">
        <v>4334</v>
      </c>
      <c r="C3529" s="2" t="s">
        <v>369</v>
      </c>
      <c r="D3529" s="2" t="s">
        <v>366</v>
      </c>
      <c r="E3529" s="2" t="s">
        <v>4647</v>
      </c>
      <c r="F3529" s="2">
        <v>13</v>
      </c>
      <c r="G3529" s="2">
        <v>13</v>
      </c>
      <c r="H3529" s="2">
        <v>0</v>
      </c>
      <c r="I3529" s="1">
        <v>0</v>
      </c>
      <c r="J3529" s="26">
        <v>45544</v>
      </c>
      <c r="K3529" s="22">
        <v>97500</v>
      </c>
      <c r="L3529" s="18">
        <v>104.28</v>
      </c>
      <c r="M3529" s="22">
        <v>70200</v>
      </c>
      <c r="N3529" s="22">
        <v>27300</v>
      </c>
      <c r="O3529" s="18">
        <v>29.2</v>
      </c>
      <c r="P3529" s="52">
        <f>IF(COUNTIF(TblPurchases[BatchID],TblOutcomes[[#This Row],[BatchID]])&lt;&gt;1,"n.a.",TblOutcomes[[#This Row],[Qty Wasted]]*SUMIFS(TblPurchases[Unit Cost (CLP)],TblPurchases[BatchID],TblOutcomes[[#This Row],[BatchID]]))</f>
        <v>0</v>
      </c>
      <c r="Q3529" s="51">
        <f>IF(COUNTIF(TblPurchases[BatchID],TblOutcomes[[#This Row],[BatchID]])&lt;&gt;1,"n.a.",SUMIFS(TblPurchases[Purchase Date],TblPurchases[BatchID],TblOutcomes[[#This Row],[BatchID]]))</f>
        <v>45537</v>
      </c>
    </row>
    <row r="3530" spans="2:17" x14ac:dyDescent="0.25">
      <c r="B3530" s="2" t="s">
        <v>4335</v>
      </c>
      <c r="C3530" s="2" t="s">
        <v>369</v>
      </c>
      <c r="D3530" s="2" t="s">
        <v>366</v>
      </c>
      <c r="E3530" s="2" t="s">
        <v>4646</v>
      </c>
      <c r="F3530" s="2">
        <v>11</v>
      </c>
      <c r="G3530" s="2">
        <v>10.130000000000001</v>
      </c>
      <c r="H3530" s="2">
        <v>0.87</v>
      </c>
      <c r="I3530" s="1">
        <v>7.9</v>
      </c>
      <c r="J3530" s="26">
        <v>45740</v>
      </c>
      <c r="K3530" s="22">
        <v>75975</v>
      </c>
      <c r="L3530" s="18">
        <v>81.260000000000005</v>
      </c>
      <c r="M3530" s="22">
        <v>59400</v>
      </c>
      <c r="N3530" s="22">
        <v>16575</v>
      </c>
      <c r="O3530" s="18">
        <v>17.73</v>
      </c>
      <c r="P3530" s="52">
        <f>IF(COUNTIF(TblPurchases[BatchID],TblOutcomes[[#This Row],[BatchID]])&lt;&gt;1,"n.a.",TblOutcomes[[#This Row],[Qty Wasted]]*SUMIFS(TblPurchases[Unit Cost (CLP)],TblPurchases[BatchID],TblOutcomes[[#This Row],[BatchID]]))</f>
        <v>4698</v>
      </c>
      <c r="Q3530" s="51">
        <f>IF(COUNTIF(TblPurchases[BatchID],TblOutcomes[[#This Row],[BatchID]])&lt;&gt;1,"n.a.",SUMIFS(TblPurchases[Purchase Date],TblPurchases[BatchID],TblOutcomes[[#This Row],[BatchID]]))</f>
        <v>45560</v>
      </c>
    </row>
    <row r="3531" spans="2:17" x14ac:dyDescent="0.25">
      <c r="B3531" s="2" t="s">
        <v>4336</v>
      </c>
      <c r="C3531" s="2" t="s">
        <v>369</v>
      </c>
      <c r="D3531" s="2" t="s">
        <v>366</v>
      </c>
      <c r="E3531" s="2" t="s">
        <v>4646</v>
      </c>
      <c r="F3531" s="2">
        <v>10</v>
      </c>
      <c r="G3531" s="2">
        <v>8.9700000000000006</v>
      </c>
      <c r="H3531" s="2">
        <v>1.03</v>
      </c>
      <c r="I3531" s="1">
        <v>10.3</v>
      </c>
      <c r="J3531" s="26">
        <v>45761</v>
      </c>
      <c r="K3531" s="22">
        <v>67275</v>
      </c>
      <c r="L3531" s="18">
        <v>71.95</v>
      </c>
      <c r="M3531" s="22">
        <v>54000</v>
      </c>
      <c r="N3531" s="22">
        <v>13275</v>
      </c>
      <c r="O3531" s="18">
        <v>14.2</v>
      </c>
      <c r="P3531" s="52">
        <f>IF(COUNTIF(TblPurchases[BatchID],TblOutcomes[[#This Row],[BatchID]])&lt;&gt;1,"n.a.",TblOutcomes[[#This Row],[Qty Wasted]]*SUMIFS(TblPurchases[Unit Cost (CLP)],TblPurchases[BatchID],TblOutcomes[[#This Row],[BatchID]]))</f>
        <v>5562</v>
      </c>
      <c r="Q3531" s="51">
        <f>IF(COUNTIF(TblPurchases[BatchID],TblOutcomes[[#This Row],[BatchID]])&lt;&gt;1,"n.a.",SUMIFS(TblPurchases[Purchase Date],TblPurchases[BatchID],TblOutcomes[[#This Row],[BatchID]]))</f>
        <v>45581</v>
      </c>
    </row>
    <row r="3532" spans="2:17" x14ac:dyDescent="0.25">
      <c r="B3532" s="2" t="s">
        <v>4337</v>
      </c>
      <c r="C3532" s="2" t="s">
        <v>369</v>
      </c>
      <c r="D3532" s="2" t="s">
        <v>366</v>
      </c>
      <c r="E3532" s="2" t="s">
        <v>4647</v>
      </c>
      <c r="F3532" s="2">
        <v>11</v>
      </c>
      <c r="G3532" s="2">
        <v>11</v>
      </c>
      <c r="H3532" s="2">
        <v>0</v>
      </c>
      <c r="I3532" s="1">
        <v>0</v>
      </c>
      <c r="J3532" s="26">
        <v>45620</v>
      </c>
      <c r="K3532" s="22">
        <v>82500</v>
      </c>
      <c r="L3532" s="18">
        <v>88.24</v>
      </c>
      <c r="M3532" s="22">
        <v>59400</v>
      </c>
      <c r="N3532" s="22">
        <v>23100</v>
      </c>
      <c r="O3532" s="18">
        <v>24.71</v>
      </c>
      <c r="P3532" s="52">
        <f>IF(COUNTIF(TblPurchases[BatchID],TblOutcomes[[#This Row],[BatchID]])&lt;&gt;1,"n.a.",TblOutcomes[[#This Row],[Qty Wasted]]*SUMIFS(TblPurchases[Unit Cost (CLP)],TblPurchases[BatchID],TblOutcomes[[#This Row],[BatchID]]))</f>
        <v>0</v>
      </c>
      <c r="Q3532" s="51">
        <f>IF(COUNTIF(TblPurchases[BatchID],TblOutcomes[[#This Row],[BatchID]])&lt;&gt;1,"n.a.",SUMIFS(TblPurchases[Purchase Date],TblPurchases[BatchID],TblOutcomes[[#This Row],[BatchID]]))</f>
        <v>45596</v>
      </c>
    </row>
    <row r="3533" spans="2:17" x14ac:dyDescent="0.25">
      <c r="B3533" s="2" t="s">
        <v>4338</v>
      </c>
      <c r="C3533" s="2" t="s">
        <v>369</v>
      </c>
      <c r="D3533" s="2" t="s">
        <v>366</v>
      </c>
      <c r="E3533" s="2" t="s">
        <v>4646</v>
      </c>
      <c r="F3533" s="2">
        <v>11</v>
      </c>
      <c r="G3533" s="2">
        <v>9.82</v>
      </c>
      <c r="H3533" s="2">
        <v>1.18</v>
      </c>
      <c r="I3533" s="1">
        <v>10.7</v>
      </c>
      <c r="J3533" s="26">
        <v>45793</v>
      </c>
      <c r="K3533" s="22">
        <v>73650</v>
      </c>
      <c r="L3533" s="18">
        <v>78.77</v>
      </c>
      <c r="M3533" s="22">
        <v>59400</v>
      </c>
      <c r="N3533" s="22">
        <v>14250</v>
      </c>
      <c r="O3533" s="18">
        <v>15.24</v>
      </c>
      <c r="P3533" s="52">
        <f>IF(COUNTIF(TblPurchases[BatchID],TblOutcomes[[#This Row],[BatchID]])&lt;&gt;1,"n.a.",TblOutcomes[[#This Row],[Qty Wasted]]*SUMIFS(TblPurchases[Unit Cost (CLP)],TblPurchases[BatchID],TblOutcomes[[#This Row],[BatchID]]))</f>
        <v>6372</v>
      </c>
      <c r="Q3533" s="51">
        <f>IF(COUNTIF(TblPurchases[BatchID],TblOutcomes[[#This Row],[BatchID]])&lt;&gt;1,"n.a.",SUMIFS(TblPurchases[Purchase Date],TblPurchases[BatchID],TblOutcomes[[#This Row],[BatchID]]))</f>
        <v>45613</v>
      </c>
    </row>
    <row r="3534" spans="2:17" x14ac:dyDescent="0.25">
      <c r="B3534" s="2" t="s">
        <v>4339</v>
      </c>
      <c r="C3534" s="2" t="s">
        <v>369</v>
      </c>
      <c r="D3534" s="2" t="s">
        <v>366</v>
      </c>
      <c r="E3534" s="2" t="s">
        <v>4646</v>
      </c>
      <c r="F3534" s="2">
        <v>13</v>
      </c>
      <c r="G3534" s="2">
        <v>12.09</v>
      </c>
      <c r="H3534" s="2">
        <v>0.91</v>
      </c>
      <c r="I3534" s="1">
        <v>7</v>
      </c>
      <c r="J3534" s="26">
        <v>45810</v>
      </c>
      <c r="K3534" s="22">
        <v>90675</v>
      </c>
      <c r="L3534" s="18">
        <v>96.98</v>
      </c>
      <c r="M3534" s="22">
        <v>70200</v>
      </c>
      <c r="N3534" s="22">
        <v>20475</v>
      </c>
      <c r="O3534" s="18">
        <v>21.9</v>
      </c>
      <c r="P3534" s="52">
        <f>IF(COUNTIF(TblPurchases[BatchID],TblOutcomes[[#This Row],[BatchID]])&lt;&gt;1,"n.a.",TblOutcomes[[#This Row],[Qty Wasted]]*SUMIFS(TblPurchases[Unit Cost (CLP)],TblPurchases[BatchID],TblOutcomes[[#This Row],[BatchID]]))</f>
        <v>4914</v>
      </c>
      <c r="Q3534" s="51">
        <f>IF(COUNTIF(TblPurchases[BatchID],TblOutcomes[[#This Row],[BatchID]])&lt;&gt;1,"n.a.",SUMIFS(TblPurchases[Purchase Date],TblPurchases[BatchID],TblOutcomes[[#This Row],[BatchID]]))</f>
        <v>45630</v>
      </c>
    </row>
    <row r="3535" spans="2:17" x14ac:dyDescent="0.25">
      <c r="B3535" s="2" t="s">
        <v>4340</v>
      </c>
      <c r="C3535" s="2" t="s">
        <v>369</v>
      </c>
      <c r="D3535" s="2" t="s">
        <v>366</v>
      </c>
      <c r="E3535" s="2" t="s">
        <v>4646</v>
      </c>
      <c r="F3535" s="2">
        <v>14</v>
      </c>
      <c r="G3535" s="2">
        <v>12.8</v>
      </c>
      <c r="H3535" s="2">
        <v>1.2</v>
      </c>
      <c r="I3535" s="1">
        <v>8.6</v>
      </c>
      <c r="J3535" s="26">
        <v>45829</v>
      </c>
      <c r="K3535" s="22">
        <v>96000</v>
      </c>
      <c r="L3535" s="18">
        <v>102.67</v>
      </c>
      <c r="M3535" s="22">
        <v>75600</v>
      </c>
      <c r="N3535" s="22">
        <v>20400</v>
      </c>
      <c r="O3535" s="18">
        <v>21.82</v>
      </c>
      <c r="P3535" s="52">
        <f>IF(COUNTIF(TblPurchases[BatchID],TblOutcomes[[#This Row],[BatchID]])&lt;&gt;1,"n.a.",TblOutcomes[[#This Row],[Qty Wasted]]*SUMIFS(TblPurchases[Unit Cost (CLP)],TblPurchases[BatchID],TblOutcomes[[#This Row],[BatchID]]))</f>
        <v>6480</v>
      </c>
      <c r="Q3535" s="51">
        <f>IF(COUNTIF(TblPurchases[BatchID],TblOutcomes[[#This Row],[BatchID]])&lt;&gt;1,"n.a.",SUMIFS(TblPurchases[Purchase Date],TblPurchases[BatchID],TblOutcomes[[#This Row],[BatchID]]))</f>
        <v>45649</v>
      </c>
    </row>
    <row r="3536" spans="2:17" x14ac:dyDescent="0.25">
      <c r="B3536" s="2" t="s">
        <v>4341</v>
      </c>
      <c r="C3536" s="2" t="s">
        <v>369</v>
      </c>
      <c r="D3536" s="2" t="s">
        <v>366</v>
      </c>
      <c r="E3536" s="2" t="s">
        <v>4646</v>
      </c>
      <c r="F3536" s="2">
        <v>11</v>
      </c>
      <c r="G3536" s="2">
        <v>9.61</v>
      </c>
      <c r="H3536" s="2">
        <v>1.39</v>
      </c>
      <c r="I3536" s="1">
        <v>12.6</v>
      </c>
      <c r="J3536" s="26">
        <v>45845</v>
      </c>
      <c r="K3536" s="22">
        <v>72075</v>
      </c>
      <c r="L3536" s="18">
        <v>77.09</v>
      </c>
      <c r="M3536" s="22">
        <v>59400</v>
      </c>
      <c r="N3536" s="22">
        <v>12675</v>
      </c>
      <c r="O3536" s="18">
        <v>13.56</v>
      </c>
      <c r="P3536" s="52">
        <f>IF(COUNTIF(TblPurchases[BatchID],TblOutcomes[[#This Row],[BatchID]])&lt;&gt;1,"n.a.",TblOutcomes[[#This Row],[Qty Wasted]]*SUMIFS(TblPurchases[Unit Cost (CLP)],TblPurchases[BatchID],TblOutcomes[[#This Row],[BatchID]]))</f>
        <v>7505.9999999999991</v>
      </c>
      <c r="Q3536" s="51">
        <f>IF(COUNTIF(TblPurchases[BatchID],TblOutcomes[[#This Row],[BatchID]])&lt;&gt;1,"n.a.",SUMIFS(TblPurchases[Purchase Date],TblPurchases[BatchID],TblOutcomes[[#This Row],[BatchID]]))</f>
        <v>45665</v>
      </c>
    </row>
    <row r="3537" spans="2:17" x14ac:dyDescent="0.25">
      <c r="B3537" s="2" t="s">
        <v>4342</v>
      </c>
      <c r="C3537" s="2" t="s">
        <v>369</v>
      </c>
      <c r="D3537" s="2" t="s">
        <v>366</v>
      </c>
      <c r="E3537" s="2" t="s">
        <v>4647</v>
      </c>
      <c r="F3537" s="2">
        <v>12</v>
      </c>
      <c r="G3537" s="2">
        <v>12</v>
      </c>
      <c r="H3537" s="2">
        <v>0</v>
      </c>
      <c r="I3537" s="1">
        <v>0</v>
      </c>
      <c r="J3537" s="26">
        <v>45714</v>
      </c>
      <c r="K3537" s="22">
        <v>90000</v>
      </c>
      <c r="L3537" s="18">
        <v>96.26</v>
      </c>
      <c r="M3537" s="22">
        <v>64800</v>
      </c>
      <c r="N3537" s="22">
        <v>25200</v>
      </c>
      <c r="O3537" s="18">
        <v>26.95</v>
      </c>
      <c r="P3537" s="52">
        <f>IF(COUNTIF(TblPurchases[BatchID],TblOutcomes[[#This Row],[BatchID]])&lt;&gt;1,"n.a.",TblOutcomes[[#This Row],[Qty Wasted]]*SUMIFS(TblPurchases[Unit Cost (CLP)],TblPurchases[BatchID],TblOutcomes[[#This Row],[BatchID]]))</f>
        <v>0</v>
      </c>
      <c r="Q3537" s="51">
        <f>IF(COUNTIF(TblPurchases[BatchID],TblOutcomes[[#This Row],[BatchID]])&lt;&gt;1,"n.a.",SUMIFS(TblPurchases[Purchase Date],TblPurchases[BatchID],TblOutcomes[[#This Row],[BatchID]]))</f>
        <v>45688</v>
      </c>
    </row>
    <row r="3538" spans="2:17" x14ac:dyDescent="0.25">
      <c r="B3538" s="2" t="s">
        <v>4343</v>
      </c>
      <c r="C3538" s="2" t="s">
        <v>369</v>
      </c>
      <c r="D3538" s="2" t="s">
        <v>366</v>
      </c>
      <c r="E3538" s="2" t="s">
        <v>4646</v>
      </c>
      <c r="F3538" s="2">
        <v>10</v>
      </c>
      <c r="G3538" s="2">
        <v>9.4499999999999993</v>
      </c>
      <c r="H3538" s="2">
        <v>0.55000000000000004</v>
      </c>
      <c r="I3538" s="1">
        <v>5.5</v>
      </c>
      <c r="J3538" s="26">
        <v>45882</v>
      </c>
      <c r="K3538" s="22">
        <v>70875</v>
      </c>
      <c r="L3538" s="18">
        <v>75.8</v>
      </c>
      <c r="M3538" s="22">
        <v>54000</v>
      </c>
      <c r="N3538" s="22">
        <v>16875</v>
      </c>
      <c r="O3538" s="18">
        <v>18.05</v>
      </c>
      <c r="P3538" s="52">
        <f>IF(COUNTIF(TblPurchases[BatchID],TblOutcomes[[#This Row],[BatchID]])&lt;&gt;1,"n.a.",TblOutcomes[[#This Row],[Qty Wasted]]*SUMIFS(TblPurchases[Unit Cost (CLP)],TblPurchases[BatchID],TblOutcomes[[#This Row],[BatchID]]))</f>
        <v>2970.0000000000005</v>
      </c>
      <c r="Q3538" s="51">
        <f>IF(COUNTIF(TblPurchases[BatchID],TblOutcomes[[#This Row],[BatchID]])&lt;&gt;1,"n.a.",SUMIFS(TblPurchases[Purchase Date],TblPurchases[BatchID],TblOutcomes[[#This Row],[BatchID]]))</f>
        <v>45702</v>
      </c>
    </row>
    <row r="3539" spans="2:17" x14ac:dyDescent="0.25">
      <c r="B3539" s="2" t="s">
        <v>4344</v>
      </c>
      <c r="C3539" s="2" t="s">
        <v>369</v>
      </c>
      <c r="D3539" s="2" t="s">
        <v>366</v>
      </c>
      <c r="E3539" s="2" t="s">
        <v>4647</v>
      </c>
      <c r="F3539" s="2">
        <v>9</v>
      </c>
      <c r="G3539" s="2">
        <v>9</v>
      </c>
      <c r="H3539" s="2">
        <v>0</v>
      </c>
      <c r="I3539" s="1">
        <v>0</v>
      </c>
      <c r="J3539" s="26">
        <v>45748</v>
      </c>
      <c r="K3539" s="22">
        <v>67500</v>
      </c>
      <c r="L3539" s="18">
        <v>72.19</v>
      </c>
      <c r="M3539" s="22">
        <v>48600</v>
      </c>
      <c r="N3539" s="22">
        <v>18900</v>
      </c>
      <c r="O3539" s="18">
        <v>20.21</v>
      </c>
      <c r="P3539" s="52">
        <f>IF(COUNTIF(TblPurchases[BatchID],TblOutcomes[[#This Row],[BatchID]])&lt;&gt;1,"n.a.",TblOutcomes[[#This Row],[Qty Wasted]]*SUMIFS(TblPurchases[Unit Cost (CLP)],TblPurchases[BatchID],TblOutcomes[[#This Row],[BatchID]]))</f>
        <v>0</v>
      </c>
      <c r="Q3539" s="51">
        <f>IF(COUNTIF(TblPurchases[BatchID],TblOutcomes[[#This Row],[BatchID]])&lt;&gt;1,"n.a.",SUMIFS(TblPurchases[Purchase Date],TblPurchases[BatchID],TblOutcomes[[#This Row],[BatchID]]))</f>
        <v>45726</v>
      </c>
    </row>
    <row r="3540" spans="2:17" x14ac:dyDescent="0.25">
      <c r="B3540" s="2" t="s">
        <v>4345</v>
      </c>
      <c r="C3540" s="2" t="s">
        <v>369</v>
      </c>
      <c r="D3540" s="2" t="s">
        <v>366</v>
      </c>
      <c r="E3540" s="2" t="s">
        <v>4646</v>
      </c>
      <c r="F3540" s="2">
        <v>11</v>
      </c>
      <c r="G3540" s="2">
        <v>10.01</v>
      </c>
      <c r="H3540" s="2">
        <v>0.99</v>
      </c>
      <c r="I3540" s="1">
        <v>9</v>
      </c>
      <c r="J3540" s="26">
        <v>45927</v>
      </c>
      <c r="K3540" s="22">
        <v>75075</v>
      </c>
      <c r="L3540" s="18">
        <v>80.290000000000006</v>
      </c>
      <c r="M3540" s="22">
        <v>59400</v>
      </c>
      <c r="N3540" s="22">
        <v>15675</v>
      </c>
      <c r="O3540" s="18">
        <v>16.760000000000002</v>
      </c>
      <c r="P3540" s="52">
        <f>IF(COUNTIF(TblPurchases[BatchID],TblOutcomes[[#This Row],[BatchID]])&lt;&gt;1,"n.a.",TblOutcomes[[#This Row],[Qty Wasted]]*SUMIFS(TblPurchases[Unit Cost (CLP)],TblPurchases[BatchID],TblOutcomes[[#This Row],[BatchID]]))</f>
        <v>5346</v>
      </c>
      <c r="Q3540" s="51">
        <f>IF(COUNTIF(TblPurchases[BatchID],TblOutcomes[[#This Row],[BatchID]])&lt;&gt;1,"n.a.",SUMIFS(TblPurchases[Purchase Date],TblPurchases[BatchID],TblOutcomes[[#This Row],[BatchID]]))</f>
        <v>45747</v>
      </c>
    </row>
    <row r="3541" spans="2:17" x14ac:dyDescent="0.25">
      <c r="B3541" s="2" t="s">
        <v>4346</v>
      </c>
      <c r="C3541" s="2" t="s">
        <v>369</v>
      </c>
      <c r="D3541" s="2" t="s">
        <v>366</v>
      </c>
      <c r="E3541" s="2" t="s">
        <v>4647</v>
      </c>
      <c r="F3541" s="2">
        <v>10</v>
      </c>
      <c r="G3541" s="2">
        <v>10</v>
      </c>
      <c r="H3541" s="2">
        <v>0</v>
      </c>
      <c r="I3541" s="1">
        <v>0</v>
      </c>
      <c r="J3541" s="26">
        <v>45782</v>
      </c>
      <c r="K3541" s="22">
        <v>75000</v>
      </c>
      <c r="L3541" s="18">
        <v>80.209999999999994</v>
      </c>
      <c r="M3541" s="22">
        <v>54000</v>
      </c>
      <c r="N3541" s="22">
        <v>21000</v>
      </c>
      <c r="O3541" s="18">
        <v>22.46</v>
      </c>
      <c r="P3541" s="52">
        <f>IF(COUNTIF(TblPurchases[BatchID],TblOutcomes[[#This Row],[BatchID]])&lt;&gt;1,"n.a.",TblOutcomes[[#This Row],[Qty Wasted]]*SUMIFS(TblPurchases[Unit Cost (CLP)],TblPurchases[BatchID],TblOutcomes[[#This Row],[BatchID]]))</f>
        <v>0</v>
      </c>
      <c r="Q3541" s="51">
        <f>IF(COUNTIF(TblPurchases[BatchID],TblOutcomes[[#This Row],[BatchID]])&lt;&gt;1,"n.a.",SUMIFS(TblPurchases[Purchase Date],TblPurchases[BatchID],TblOutcomes[[#This Row],[BatchID]]))</f>
        <v>45767</v>
      </c>
    </row>
    <row r="3542" spans="2:17" x14ac:dyDescent="0.25">
      <c r="B3542" s="2" t="s">
        <v>4347</v>
      </c>
      <c r="C3542" s="2" t="s">
        <v>369</v>
      </c>
      <c r="D3542" s="2" t="s">
        <v>366</v>
      </c>
      <c r="E3542" s="2" t="s">
        <v>4646</v>
      </c>
      <c r="F3542" s="2">
        <v>12</v>
      </c>
      <c r="G3542" s="2">
        <v>11.71</v>
      </c>
      <c r="H3542" s="2">
        <v>0.28999999999999998</v>
      </c>
      <c r="I3542" s="1">
        <v>2.4</v>
      </c>
      <c r="J3542" s="26">
        <v>45968</v>
      </c>
      <c r="K3542" s="22">
        <v>87825</v>
      </c>
      <c r="L3542" s="18">
        <v>93.93</v>
      </c>
      <c r="M3542" s="22">
        <v>64800</v>
      </c>
      <c r="N3542" s="22">
        <v>23025</v>
      </c>
      <c r="O3542" s="18">
        <v>24.63</v>
      </c>
      <c r="P3542" s="52">
        <f>IF(COUNTIF(TblPurchases[BatchID],TblOutcomes[[#This Row],[BatchID]])&lt;&gt;1,"n.a.",TblOutcomes[[#This Row],[Qty Wasted]]*SUMIFS(TblPurchases[Unit Cost (CLP)],TblPurchases[BatchID],TblOutcomes[[#This Row],[BatchID]]))</f>
        <v>1566</v>
      </c>
      <c r="Q3542" s="51">
        <f>IF(COUNTIF(TblPurchases[BatchID],TblOutcomes[[#This Row],[BatchID]])&lt;&gt;1,"n.a.",SUMIFS(TblPurchases[Purchase Date],TblPurchases[BatchID],TblOutcomes[[#This Row],[BatchID]]))</f>
        <v>45788</v>
      </c>
    </row>
    <row r="3543" spans="2:17" x14ac:dyDescent="0.25">
      <c r="B3543" s="2" t="s">
        <v>4348</v>
      </c>
      <c r="C3543" s="2" t="s">
        <v>369</v>
      </c>
      <c r="D3543" s="2" t="s">
        <v>366</v>
      </c>
      <c r="E3543" s="2" t="s">
        <v>4646</v>
      </c>
      <c r="F3543" s="2">
        <v>12</v>
      </c>
      <c r="G3543" s="2">
        <v>11.33</v>
      </c>
      <c r="H3543" s="2">
        <v>0.67</v>
      </c>
      <c r="I3543" s="1">
        <v>5.6</v>
      </c>
      <c r="J3543" s="26">
        <v>45987</v>
      </c>
      <c r="K3543" s="22">
        <v>84975</v>
      </c>
      <c r="L3543" s="18">
        <v>90.88</v>
      </c>
      <c r="M3543" s="22">
        <v>64800</v>
      </c>
      <c r="N3543" s="22">
        <v>20175</v>
      </c>
      <c r="O3543" s="18">
        <v>21.58</v>
      </c>
      <c r="P3543" s="52">
        <f>IF(COUNTIF(TblPurchases[BatchID],TblOutcomes[[#This Row],[BatchID]])&lt;&gt;1,"n.a.",TblOutcomes[[#This Row],[Qty Wasted]]*SUMIFS(TblPurchases[Unit Cost (CLP)],TblPurchases[BatchID],TblOutcomes[[#This Row],[BatchID]]))</f>
        <v>3618</v>
      </c>
      <c r="Q3543" s="51">
        <f>IF(COUNTIF(TblPurchases[BatchID],TblOutcomes[[#This Row],[BatchID]])&lt;&gt;1,"n.a.",SUMIFS(TblPurchases[Purchase Date],TblPurchases[BatchID],TblOutcomes[[#This Row],[BatchID]]))</f>
        <v>45807</v>
      </c>
    </row>
    <row r="3544" spans="2:17" x14ac:dyDescent="0.25">
      <c r="B3544" s="2" t="s">
        <v>4349</v>
      </c>
      <c r="C3544" s="2" t="s">
        <v>369</v>
      </c>
      <c r="D3544" s="2" t="s">
        <v>366</v>
      </c>
      <c r="E3544" s="2" t="s">
        <v>4647</v>
      </c>
      <c r="F3544" s="2">
        <v>10</v>
      </c>
      <c r="G3544" s="2">
        <v>10</v>
      </c>
      <c r="H3544" s="2">
        <v>0</v>
      </c>
      <c r="I3544" s="1">
        <v>0</v>
      </c>
      <c r="J3544" s="26">
        <v>45849</v>
      </c>
      <c r="K3544" s="22">
        <v>75000</v>
      </c>
      <c r="L3544" s="18">
        <v>80.209999999999994</v>
      </c>
      <c r="M3544" s="22">
        <v>54000</v>
      </c>
      <c r="N3544" s="22">
        <v>21000</v>
      </c>
      <c r="O3544" s="18">
        <v>22.46</v>
      </c>
      <c r="P3544" s="52">
        <f>IF(COUNTIF(TblPurchases[BatchID],TblOutcomes[[#This Row],[BatchID]])&lt;&gt;1,"n.a.",TblOutcomes[[#This Row],[Qty Wasted]]*SUMIFS(TblPurchases[Unit Cost (CLP)],TblPurchases[BatchID],TblOutcomes[[#This Row],[BatchID]]))</f>
        <v>0</v>
      </c>
      <c r="Q3544" s="51">
        <f>IF(COUNTIF(TblPurchases[BatchID],TblOutcomes[[#This Row],[BatchID]])&lt;&gt;1,"n.a.",SUMIFS(TblPurchases[Purchase Date],TblPurchases[BatchID],TblOutcomes[[#This Row],[BatchID]]))</f>
        <v>45826</v>
      </c>
    </row>
    <row r="3545" spans="2:17" x14ac:dyDescent="0.25">
      <c r="B3545" s="2" t="s">
        <v>4350</v>
      </c>
      <c r="C3545" s="2" t="s">
        <v>371</v>
      </c>
      <c r="D3545" s="2" t="s">
        <v>366</v>
      </c>
      <c r="E3545" s="2" t="s">
        <v>4647</v>
      </c>
      <c r="F3545" s="2">
        <v>15</v>
      </c>
      <c r="G3545" s="2">
        <v>15</v>
      </c>
      <c r="H3545" s="2">
        <v>0</v>
      </c>
      <c r="I3545" s="1">
        <v>0</v>
      </c>
      <c r="J3545" s="26">
        <v>45151</v>
      </c>
      <c r="K3545" s="22">
        <v>210000</v>
      </c>
      <c r="L3545" s="18">
        <v>224.6</v>
      </c>
      <c r="M3545" s="22">
        <v>149250</v>
      </c>
      <c r="N3545" s="22">
        <v>60750</v>
      </c>
      <c r="O3545" s="18">
        <v>64.97</v>
      </c>
      <c r="P3545" s="52">
        <f>IF(COUNTIF(TblPurchases[BatchID],TblOutcomes[[#This Row],[BatchID]])&lt;&gt;1,"n.a.",TblOutcomes[[#This Row],[Qty Wasted]]*SUMIFS(TblPurchases[Unit Cost (CLP)],TblPurchases[BatchID],TblOutcomes[[#This Row],[BatchID]]))</f>
        <v>0</v>
      </c>
      <c r="Q3545" s="51">
        <f>IF(COUNTIF(TblPurchases[BatchID],TblOutcomes[[#This Row],[BatchID]])&lt;&gt;1,"n.a.",SUMIFS(TblPurchases[Purchase Date],TblPurchases[BatchID],TblOutcomes[[#This Row],[BatchID]]))</f>
        <v>45126</v>
      </c>
    </row>
    <row r="3546" spans="2:17" x14ac:dyDescent="0.25">
      <c r="B3546" s="2" t="s">
        <v>4351</v>
      </c>
      <c r="C3546" s="2" t="s">
        <v>371</v>
      </c>
      <c r="D3546" s="2" t="s">
        <v>366</v>
      </c>
      <c r="E3546" s="2" t="s">
        <v>4646</v>
      </c>
      <c r="F3546" s="2">
        <v>14</v>
      </c>
      <c r="G3546" s="2">
        <v>13.51</v>
      </c>
      <c r="H3546" s="2">
        <v>0.49</v>
      </c>
      <c r="I3546" s="1">
        <v>3.5</v>
      </c>
      <c r="J3546" s="26">
        <v>45321</v>
      </c>
      <c r="K3546" s="22">
        <v>189140</v>
      </c>
      <c r="L3546" s="18">
        <v>202.29</v>
      </c>
      <c r="M3546" s="22">
        <v>139300</v>
      </c>
      <c r="N3546" s="22">
        <v>49840</v>
      </c>
      <c r="O3546" s="18">
        <v>53.3</v>
      </c>
      <c r="P3546" s="52">
        <f>IF(COUNTIF(TblPurchases[BatchID],TblOutcomes[[#This Row],[BatchID]])&lt;&gt;1,"n.a.",TblOutcomes[[#This Row],[Qty Wasted]]*SUMIFS(TblPurchases[Unit Cost (CLP)],TblPurchases[BatchID],TblOutcomes[[#This Row],[BatchID]]))</f>
        <v>4875.5</v>
      </c>
      <c r="Q3546" s="51">
        <f>IF(COUNTIF(TblPurchases[BatchID],TblOutcomes[[#This Row],[BatchID]])&lt;&gt;1,"n.a.",SUMIFS(TblPurchases[Purchase Date],TblPurchases[BatchID],TblOutcomes[[#This Row],[BatchID]]))</f>
        <v>45141</v>
      </c>
    </row>
    <row r="3547" spans="2:17" x14ac:dyDescent="0.25">
      <c r="B3547" s="2" t="s">
        <v>4352</v>
      </c>
      <c r="C3547" s="2" t="s">
        <v>371</v>
      </c>
      <c r="D3547" s="2" t="s">
        <v>366</v>
      </c>
      <c r="E3547" s="2" t="s">
        <v>4647</v>
      </c>
      <c r="F3547" s="2">
        <v>16</v>
      </c>
      <c r="G3547" s="2">
        <v>16</v>
      </c>
      <c r="H3547" s="2">
        <v>0</v>
      </c>
      <c r="I3547" s="1">
        <v>0</v>
      </c>
      <c r="J3547" s="26">
        <v>45174</v>
      </c>
      <c r="K3547" s="22">
        <v>224000</v>
      </c>
      <c r="L3547" s="18">
        <v>239.57</v>
      </c>
      <c r="M3547" s="22">
        <v>159200</v>
      </c>
      <c r="N3547" s="22">
        <v>64800</v>
      </c>
      <c r="O3547" s="18">
        <v>69.3</v>
      </c>
      <c r="P3547" s="52">
        <f>IF(COUNTIF(TblPurchases[BatchID],TblOutcomes[[#This Row],[BatchID]])&lt;&gt;1,"n.a.",TblOutcomes[[#This Row],[Qty Wasted]]*SUMIFS(TblPurchases[Unit Cost (CLP)],TblPurchases[BatchID],TblOutcomes[[#This Row],[BatchID]]))</f>
        <v>0</v>
      </c>
      <c r="Q3547" s="51">
        <f>IF(COUNTIF(TblPurchases[BatchID],TblOutcomes[[#This Row],[BatchID]])&lt;&gt;1,"n.a.",SUMIFS(TblPurchases[Purchase Date],TblPurchases[BatchID],TblOutcomes[[#This Row],[BatchID]]))</f>
        <v>45166</v>
      </c>
    </row>
    <row r="3548" spans="2:17" x14ac:dyDescent="0.25">
      <c r="B3548" s="2" t="s">
        <v>4353</v>
      </c>
      <c r="C3548" s="2" t="s">
        <v>371</v>
      </c>
      <c r="D3548" s="2" t="s">
        <v>366</v>
      </c>
      <c r="E3548" s="2" t="s">
        <v>4646</v>
      </c>
      <c r="F3548" s="2">
        <v>20</v>
      </c>
      <c r="G3548" s="2">
        <v>19.02</v>
      </c>
      <c r="H3548" s="2">
        <v>0.98</v>
      </c>
      <c r="I3548" s="1">
        <v>4.9000000000000004</v>
      </c>
      <c r="J3548" s="26">
        <v>45367</v>
      </c>
      <c r="K3548" s="22">
        <v>266280</v>
      </c>
      <c r="L3548" s="18">
        <v>284.79000000000002</v>
      </c>
      <c r="M3548" s="22">
        <v>199000</v>
      </c>
      <c r="N3548" s="22">
        <v>67280</v>
      </c>
      <c r="O3548" s="18">
        <v>71.959999999999994</v>
      </c>
      <c r="P3548" s="52">
        <f>IF(COUNTIF(TblPurchases[BatchID],TblOutcomes[[#This Row],[BatchID]])&lt;&gt;1,"n.a.",TblOutcomes[[#This Row],[Qty Wasted]]*SUMIFS(TblPurchases[Unit Cost (CLP)],TblPurchases[BatchID],TblOutcomes[[#This Row],[BatchID]]))</f>
        <v>9751</v>
      </c>
      <c r="Q3548" s="51">
        <f>IF(COUNTIF(TblPurchases[BatchID],TblOutcomes[[#This Row],[BatchID]])&lt;&gt;1,"n.a.",SUMIFS(TblPurchases[Purchase Date],TblPurchases[BatchID],TblOutcomes[[#This Row],[BatchID]]))</f>
        <v>45187</v>
      </c>
    </row>
    <row r="3549" spans="2:17" x14ac:dyDescent="0.25">
      <c r="B3549" s="2" t="s">
        <v>4354</v>
      </c>
      <c r="C3549" s="2" t="s">
        <v>371</v>
      </c>
      <c r="D3549" s="2" t="s">
        <v>366</v>
      </c>
      <c r="E3549" s="2" t="s">
        <v>4647</v>
      </c>
      <c r="F3549" s="2">
        <v>6</v>
      </c>
      <c r="G3549" s="2">
        <v>6</v>
      </c>
      <c r="H3549" s="2">
        <v>0</v>
      </c>
      <c r="I3549" s="1">
        <v>0</v>
      </c>
      <c r="J3549" s="26">
        <v>45221</v>
      </c>
      <c r="K3549" s="22">
        <v>84000</v>
      </c>
      <c r="L3549" s="18">
        <v>89.84</v>
      </c>
      <c r="M3549" s="22">
        <v>59700</v>
      </c>
      <c r="N3549" s="22">
        <v>24300</v>
      </c>
      <c r="O3549" s="18">
        <v>25.99</v>
      </c>
      <c r="P3549" s="52">
        <f>IF(COUNTIF(TblPurchases[BatchID],TblOutcomes[[#This Row],[BatchID]])&lt;&gt;1,"n.a.",TblOutcomes[[#This Row],[Qty Wasted]]*SUMIFS(TblPurchases[Unit Cost (CLP)],TblPurchases[BatchID],TblOutcomes[[#This Row],[BatchID]]))</f>
        <v>0</v>
      </c>
      <c r="Q3549" s="51">
        <f>IF(COUNTIF(TblPurchases[BatchID],TblOutcomes[[#This Row],[BatchID]])&lt;&gt;1,"n.a.",SUMIFS(TblPurchases[Purchase Date],TblPurchases[BatchID],TblOutcomes[[#This Row],[BatchID]]))</f>
        <v>45208</v>
      </c>
    </row>
    <row r="3550" spans="2:17" x14ac:dyDescent="0.25">
      <c r="B3550" s="2" t="s">
        <v>4355</v>
      </c>
      <c r="C3550" s="2" t="s">
        <v>371</v>
      </c>
      <c r="D3550" s="2" t="s">
        <v>366</v>
      </c>
      <c r="E3550" s="2" t="s">
        <v>4647</v>
      </c>
      <c r="F3550" s="2">
        <v>6</v>
      </c>
      <c r="G3550" s="2">
        <v>6</v>
      </c>
      <c r="H3550" s="2">
        <v>0</v>
      </c>
      <c r="I3550" s="1">
        <v>0</v>
      </c>
      <c r="J3550" s="26">
        <v>45241</v>
      </c>
      <c r="K3550" s="22">
        <v>84000</v>
      </c>
      <c r="L3550" s="18">
        <v>89.84</v>
      </c>
      <c r="M3550" s="22">
        <v>59700</v>
      </c>
      <c r="N3550" s="22">
        <v>24300</v>
      </c>
      <c r="O3550" s="18">
        <v>25.99</v>
      </c>
      <c r="P3550" s="52">
        <f>IF(COUNTIF(TblPurchases[BatchID],TblOutcomes[[#This Row],[BatchID]])&lt;&gt;1,"n.a.",TblOutcomes[[#This Row],[Qty Wasted]]*SUMIFS(TblPurchases[Unit Cost (CLP)],TblPurchases[BatchID],TblOutcomes[[#This Row],[BatchID]]))</f>
        <v>0</v>
      </c>
      <c r="Q3550" s="51">
        <f>IF(COUNTIF(TblPurchases[BatchID],TblOutcomes[[#This Row],[BatchID]])&lt;&gt;1,"n.a.",SUMIFS(TblPurchases[Purchase Date],TblPurchases[BatchID],TblOutcomes[[#This Row],[BatchID]]))</f>
        <v>45227</v>
      </c>
    </row>
    <row r="3551" spans="2:17" x14ac:dyDescent="0.25">
      <c r="B3551" s="2" t="s">
        <v>4356</v>
      </c>
      <c r="C3551" s="2" t="s">
        <v>371</v>
      </c>
      <c r="D3551" s="2" t="s">
        <v>366</v>
      </c>
      <c r="E3551" s="2" t="s">
        <v>4646</v>
      </c>
      <c r="F3551" s="2">
        <v>7</v>
      </c>
      <c r="G3551" s="2">
        <v>6.13</v>
      </c>
      <c r="H3551" s="2">
        <v>0.87</v>
      </c>
      <c r="I3551" s="1">
        <v>12.4</v>
      </c>
      <c r="J3551" s="26">
        <v>45429</v>
      </c>
      <c r="K3551" s="22">
        <v>85820</v>
      </c>
      <c r="L3551" s="18">
        <v>91.79</v>
      </c>
      <c r="M3551" s="22">
        <v>69650</v>
      </c>
      <c r="N3551" s="22">
        <v>16170</v>
      </c>
      <c r="O3551" s="18">
        <v>17.29</v>
      </c>
      <c r="P3551" s="52">
        <f>IF(COUNTIF(TblPurchases[BatchID],TblOutcomes[[#This Row],[BatchID]])&lt;&gt;1,"n.a.",TblOutcomes[[#This Row],[Qty Wasted]]*SUMIFS(TblPurchases[Unit Cost (CLP)],TblPurchases[BatchID],TblOutcomes[[#This Row],[BatchID]]))</f>
        <v>8656.5</v>
      </c>
      <c r="Q3551" s="51">
        <f>IF(COUNTIF(TblPurchases[BatchID],TblOutcomes[[#This Row],[BatchID]])&lt;&gt;1,"n.a.",SUMIFS(TblPurchases[Purchase Date],TblPurchases[BatchID],TblOutcomes[[#This Row],[BatchID]]))</f>
        <v>45249</v>
      </c>
    </row>
    <row r="3552" spans="2:17" x14ac:dyDescent="0.25">
      <c r="B3552" s="2" t="s">
        <v>4357</v>
      </c>
      <c r="C3552" s="2" t="s">
        <v>371</v>
      </c>
      <c r="D3552" s="2" t="s">
        <v>366</v>
      </c>
      <c r="E3552" s="2" t="s">
        <v>4646</v>
      </c>
      <c r="F3552" s="2">
        <v>9</v>
      </c>
      <c r="G3552" s="2">
        <v>7.93</v>
      </c>
      <c r="H3552" s="2">
        <v>1.07</v>
      </c>
      <c r="I3552" s="1">
        <v>11.9</v>
      </c>
      <c r="J3552" s="26">
        <v>45447</v>
      </c>
      <c r="K3552" s="22">
        <v>111020</v>
      </c>
      <c r="L3552" s="18">
        <v>118.74</v>
      </c>
      <c r="M3552" s="22">
        <v>89550</v>
      </c>
      <c r="N3552" s="22">
        <v>21470</v>
      </c>
      <c r="O3552" s="18">
        <v>22.96</v>
      </c>
      <c r="P3552" s="52">
        <f>IF(COUNTIF(TblPurchases[BatchID],TblOutcomes[[#This Row],[BatchID]])&lt;&gt;1,"n.a.",TblOutcomes[[#This Row],[Qty Wasted]]*SUMIFS(TblPurchases[Unit Cost (CLP)],TblPurchases[BatchID],TblOutcomes[[#This Row],[BatchID]]))</f>
        <v>10646.5</v>
      </c>
      <c r="Q3552" s="51">
        <f>IF(COUNTIF(TblPurchases[BatchID],TblOutcomes[[#This Row],[BatchID]])&lt;&gt;1,"n.a.",SUMIFS(TblPurchases[Purchase Date],TblPurchases[BatchID],TblOutcomes[[#This Row],[BatchID]]))</f>
        <v>45267</v>
      </c>
    </row>
    <row r="3553" spans="2:17" x14ac:dyDescent="0.25">
      <c r="B3553" s="2" t="s">
        <v>4358</v>
      </c>
      <c r="C3553" s="2" t="s">
        <v>371</v>
      </c>
      <c r="D3553" s="2" t="s">
        <v>366</v>
      </c>
      <c r="E3553" s="2" t="s">
        <v>4646</v>
      </c>
      <c r="F3553" s="2">
        <v>7</v>
      </c>
      <c r="G3553" s="2">
        <v>6.06</v>
      </c>
      <c r="H3553" s="2">
        <v>0.94</v>
      </c>
      <c r="I3553" s="1">
        <v>13.4</v>
      </c>
      <c r="J3553" s="26">
        <v>45463</v>
      </c>
      <c r="K3553" s="22">
        <v>84840</v>
      </c>
      <c r="L3553" s="18">
        <v>90.74</v>
      </c>
      <c r="M3553" s="22">
        <v>69650</v>
      </c>
      <c r="N3553" s="22">
        <v>15190</v>
      </c>
      <c r="O3553" s="18">
        <v>16.25</v>
      </c>
      <c r="P3553" s="52">
        <f>IF(COUNTIF(TblPurchases[BatchID],TblOutcomes[[#This Row],[BatchID]])&lt;&gt;1,"n.a.",TblOutcomes[[#This Row],[Qty Wasted]]*SUMIFS(TblPurchases[Unit Cost (CLP)],TblPurchases[BatchID],TblOutcomes[[#This Row],[BatchID]]))</f>
        <v>9353</v>
      </c>
      <c r="Q3553" s="51">
        <f>IF(COUNTIF(TblPurchases[BatchID],TblOutcomes[[#This Row],[BatchID]])&lt;&gt;1,"n.a.",SUMIFS(TblPurchases[Purchase Date],TblPurchases[BatchID],TblOutcomes[[#This Row],[BatchID]]))</f>
        <v>45283</v>
      </c>
    </row>
    <row r="3554" spans="2:17" x14ac:dyDescent="0.25">
      <c r="B3554" s="2" t="s">
        <v>4359</v>
      </c>
      <c r="C3554" s="2" t="s">
        <v>371</v>
      </c>
      <c r="D3554" s="2" t="s">
        <v>366</v>
      </c>
      <c r="E3554" s="2" t="s">
        <v>4646</v>
      </c>
      <c r="F3554" s="2">
        <v>6</v>
      </c>
      <c r="G3554" s="2">
        <v>4.88</v>
      </c>
      <c r="H3554" s="2">
        <v>1.1200000000000001</v>
      </c>
      <c r="I3554" s="1">
        <v>18.7</v>
      </c>
      <c r="J3554" s="26">
        <v>45490</v>
      </c>
      <c r="K3554" s="22">
        <v>68320</v>
      </c>
      <c r="L3554" s="18">
        <v>73.069999999999993</v>
      </c>
      <c r="M3554" s="22">
        <v>59700</v>
      </c>
      <c r="N3554" s="22">
        <v>8620</v>
      </c>
      <c r="O3554" s="18">
        <v>9.2200000000000006</v>
      </c>
      <c r="P3554" s="52">
        <f>IF(COUNTIF(TblPurchases[BatchID],TblOutcomes[[#This Row],[BatchID]])&lt;&gt;1,"n.a.",TblOutcomes[[#This Row],[Qty Wasted]]*SUMIFS(TblPurchases[Unit Cost (CLP)],TblPurchases[BatchID],TblOutcomes[[#This Row],[BatchID]]))</f>
        <v>11144.000000000002</v>
      </c>
      <c r="Q3554" s="51">
        <f>IF(COUNTIF(TblPurchases[BatchID],TblOutcomes[[#This Row],[BatchID]])&lt;&gt;1,"n.a.",SUMIFS(TblPurchases[Purchase Date],TblPurchases[BatchID],TblOutcomes[[#This Row],[BatchID]]))</f>
        <v>45310</v>
      </c>
    </row>
    <row r="3555" spans="2:17" x14ac:dyDescent="0.25">
      <c r="B3555" s="2" t="s">
        <v>4360</v>
      </c>
      <c r="C3555" s="2" t="s">
        <v>371</v>
      </c>
      <c r="D3555" s="2" t="s">
        <v>366</v>
      </c>
      <c r="E3555" s="2" t="s">
        <v>4647</v>
      </c>
      <c r="F3555" s="2">
        <v>6</v>
      </c>
      <c r="G3555" s="2">
        <v>6</v>
      </c>
      <c r="H3555" s="2">
        <v>0</v>
      </c>
      <c r="I3555" s="1">
        <v>0</v>
      </c>
      <c r="J3555" s="26">
        <v>45359</v>
      </c>
      <c r="K3555" s="22">
        <v>84000</v>
      </c>
      <c r="L3555" s="18">
        <v>89.84</v>
      </c>
      <c r="M3555" s="22">
        <v>59700</v>
      </c>
      <c r="N3555" s="22">
        <v>24300</v>
      </c>
      <c r="O3555" s="18">
        <v>25.99</v>
      </c>
      <c r="P3555" s="52">
        <f>IF(COUNTIF(TblPurchases[BatchID],TblOutcomes[[#This Row],[BatchID]])&lt;&gt;1,"n.a.",TblOutcomes[[#This Row],[Qty Wasted]]*SUMIFS(TblPurchases[Unit Cost (CLP)],TblPurchases[BatchID],TblOutcomes[[#This Row],[BatchID]]))</f>
        <v>0</v>
      </c>
      <c r="Q3555" s="51">
        <f>IF(COUNTIF(TblPurchases[BatchID],TblOutcomes[[#This Row],[BatchID]])&lt;&gt;1,"n.a.",SUMIFS(TblPurchases[Purchase Date],TblPurchases[BatchID],TblOutcomes[[#This Row],[BatchID]]))</f>
        <v>45334</v>
      </c>
    </row>
    <row r="3556" spans="2:17" x14ac:dyDescent="0.25">
      <c r="B3556" s="2" t="s">
        <v>4361</v>
      </c>
      <c r="C3556" s="2" t="s">
        <v>371</v>
      </c>
      <c r="D3556" s="2" t="s">
        <v>366</v>
      </c>
      <c r="E3556" s="2" t="s">
        <v>4647</v>
      </c>
      <c r="F3556" s="2">
        <v>6</v>
      </c>
      <c r="G3556" s="2">
        <v>6</v>
      </c>
      <c r="H3556" s="2">
        <v>0</v>
      </c>
      <c r="I3556" s="1">
        <v>0</v>
      </c>
      <c r="J3556" s="26">
        <v>45358</v>
      </c>
      <c r="K3556" s="22">
        <v>84000</v>
      </c>
      <c r="L3556" s="18">
        <v>89.84</v>
      </c>
      <c r="M3556" s="22">
        <v>59700</v>
      </c>
      <c r="N3556" s="22">
        <v>24300</v>
      </c>
      <c r="O3556" s="18">
        <v>25.99</v>
      </c>
      <c r="P3556" s="52">
        <f>IF(COUNTIF(TblPurchases[BatchID],TblOutcomes[[#This Row],[BatchID]])&lt;&gt;1,"n.a.",TblOutcomes[[#This Row],[Qty Wasted]]*SUMIFS(TblPurchases[Unit Cost (CLP)],TblPurchases[BatchID],TblOutcomes[[#This Row],[BatchID]]))</f>
        <v>0</v>
      </c>
      <c r="Q3556" s="51">
        <f>IF(COUNTIF(TblPurchases[BatchID],TblOutcomes[[#This Row],[BatchID]])&lt;&gt;1,"n.a.",SUMIFS(TblPurchases[Purchase Date],TblPurchases[BatchID],TblOutcomes[[#This Row],[BatchID]]))</f>
        <v>45351</v>
      </c>
    </row>
    <row r="3557" spans="2:17" x14ac:dyDescent="0.25">
      <c r="B3557" s="2" t="s">
        <v>4362</v>
      </c>
      <c r="C3557" s="2" t="s">
        <v>371</v>
      </c>
      <c r="D3557" s="2" t="s">
        <v>366</v>
      </c>
      <c r="E3557" s="2" t="s">
        <v>4647</v>
      </c>
      <c r="F3557" s="2">
        <v>5</v>
      </c>
      <c r="G3557" s="2">
        <v>5</v>
      </c>
      <c r="H3557" s="2">
        <v>0</v>
      </c>
      <c r="I3557" s="1">
        <v>0</v>
      </c>
      <c r="J3557" s="26">
        <v>45385</v>
      </c>
      <c r="K3557" s="22">
        <v>70000</v>
      </c>
      <c r="L3557" s="18">
        <v>74.87</v>
      </c>
      <c r="M3557" s="22">
        <v>49750</v>
      </c>
      <c r="N3557" s="22">
        <v>20250</v>
      </c>
      <c r="O3557" s="18">
        <v>21.66</v>
      </c>
      <c r="P3557" s="52">
        <f>IF(COUNTIF(TblPurchases[BatchID],TblOutcomes[[#This Row],[BatchID]])&lt;&gt;1,"n.a.",TblOutcomes[[#This Row],[Qty Wasted]]*SUMIFS(TblPurchases[Unit Cost (CLP)],TblPurchases[BatchID],TblOutcomes[[#This Row],[BatchID]]))</f>
        <v>0</v>
      </c>
      <c r="Q3557" s="51">
        <f>IF(COUNTIF(TblPurchases[BatchID],TblOutcomes[[#This Row],[BatchID]])&lt;&gt;1,"n.a.",SUMIFS(TblPurchases[Purchase Date],TblPurchases[BatchID],TblOutcomes[[#This Row],[BatchID]]))</f>
        <v>45374</v>
      </c>
    </row>
    <row r="3558" spans="2:17" x14ac:dyDescent="0.25">
      <c r="B3558" s="2" t="s">
        <v>4363</v>
      </c>
      <c r="C3558" s="2" t="s">
        <v>371</v>
      </c>
      <c r="D3558" s="2" t="s">
        <v>366</v>
      </c>
      <c r="E3558" s="2" t="s">
        <v>4646</v>
      </c>
      <c r="F3558" s="2">
        <v>16</v>
      </c>
      <c r="G3558" s="2">
        <v>14.96</v>
      </c>
      <c r="H3558" s="2">
        <v>1.04</v>
      </c>
      <c r="I3558" s="1">
        <v>6.5</v>
      </c>
      <c r="J3558" s="26">
        <v>45576</v>
      </c>
      <c r="K3558" s="22">
        <v>209440</v>
      </c>
      <c r="L3558" s="18">
        <v>224</v>
      </c>
      <c r="M3558" s="22">
        <v>180800</v>
      </c>
      <c r="N3558" s="22">
        <v>28640</v>
      </c>
      <c r="O3558" s="18">
        <v>30.63</v>
      </c>
      <c r="P3558" s="52">
        <f>IF(COUNTIF(TblPurchases[BatchID],TblOutcomes[[#This Row],[BatchID]])&lt;&gt;1,"n.a.",TblOutcomes[[#This Row],[Qty Wasted]]*SUMIFS(TblPurchases[Unit Cost (CLP)],TblPurchases[BatchID],TblOutcomes[[#This Row],[BatchID]]))</f>
        <v>11752</v>
      </c>
      <c r="Q3558" s="51">
        <f>IF(COUNTIF(TblPurchases[BatchID],TblOutcomes[[#This Row],[BatchID]])&lt;&gt;1,"n.a.",SUMIFS(TblPurchases[Purchase Date],TblPurchases[BatchID],TblOutcomes[[#This Row],[BatchID]]))</f>
        <v>45396</v>
      </c>
    </row>
    <row r="3559" spans="2:17" x14ac:dyDescent="0.25">
      <c r="B3559" s="2" t="s">
        <v>4364</v>
      </c>
      <c r="C3559" s="2" t="s">
        <v>371</v>
      </c>
      <c r="D3559" s="2" t="s">
        <v>366</v>
      </c>
      <c r="E3559" s="2" t="s">
        <v>4647</v>
      </c>
      <c r="F3559" s="2">
        <v>16</v>
      </c>
      <c r="G3559" s="2">
        <v>16</v>
      </c>
      <c r="H3559" s="2">
        <v>0</v>
      </c>
      <c r="I3559" s="1">
        <v>0</v>
      </c>
      <c r="J3559" s="26">
        <v>45430</v>
      </c>
      <c r="K3559" s="22">
        <v>224000</v>
      </c>
      <c r="L3559" s="18">
        <v>239.57</v>
      </c>
      <c r="M3559" s="22">
        <v>180800</v>
      </c>
      <c r="N3559" s="22">
        <v>43200</v>
      </c>
      <c r="O3559" s="18">
        <v>46.2</v>
      </c>
      <c r="P3559" s="52">
        <f>IF(COUNTIF(TblPurchases[BatchID],TblOutcomes[[#This Row],[BatchID]])&lt;&gt;1,"n.a.",TblOutcomes[[#This Row],[Qty Wasted]]*SUMIFS(TblPurchases[Unit Cost (CLP)],TblPurchases[BatchID],TblOutcomes[[#This Row],[BatchID]]))</f>
        <v>0</v>
      </c>
      <c r="Q3559" s="51">
        <f>IF(COUNTIF(TblPurchases[BatchID],TblOutcomes[[#This Row],[BatchID]])&lt;&gt;1,"n.a.",SUMIFS(TblPurchases[Purchase Date],TblPurchases[BatchID],TblOutcomes[[#This Row],[BatchID]]))</f>
        <v>45416</v>
      </c>
    </row>
    <row r="3560" spans="2:17" x14ac:dyDescent="0.25">
      <c r="B3560" s="2" t="s">
        <v>4365</v>
      </c>
      <c r="C3560" s="2" t="s">
        <v>371</v>
      </c>
      <c r="D3560" s="2" t="s">
        <v>366</v>
      </c>
      <c r="E3560" s="2" t="s">
        <v>4647</v>
      </c>
      <c r="F3560" s="2">
        <v>15</v>
      </c>
      <c r="G3560" s="2">
        <v>15</v>
      </c>
      <c r="H3560" s="2">
        <v>0</v>
      </c>
      <c r="I3560" s="1">
        <v>0</v>
      </c>
      <c r="J3560" s="26">
        <v>45459</v>
      </c>
      <c r="K3560" s="22">
        <v>210000</v>
      </c>
      <c r="L3560" s="18">
        <v>224.6</v>
      </c>
      <c r="M3560" s="22">
        <v>149250</v>
      </c>
      <c r="N3560" s="22">
        <v>60750</v>
      </c>
      <c r="O3560" s="18">
        <v>64.97</v>
      </c>
      <c r="P3560" s="52">
        <f>IF(COUNTIF(TblPurchases[BatchID],TblOutcomes[[#This Row],[BatchID]])&lt;&gt;1,"n.a.",TblOutcomes[[#This Row],[Qty Wasted]]*SUMIFS(TblPurchases[Unit Cost (CLP)],TblPurchases[BatchID],TblOutcomes[[#This Row],[BatchID]]))</f>
        <v>0</v>
      </c>
      <c r="Q3560" s="51">
        <f>IF(COUNTIF(TblPurchases[BatchID],TblOutcomes[[#This Row],[BatchID]])&lt;&gt;1,"n.a.",SUMIFS(TblPurchases[Purchase Date],TblPurchases[BatchID],TblOutcomes[[#This Row],[BatchID]]))</f>
        <v>45433</v>
      </c>
    </row>
    <row r="3561" spans="2:17" x14ac:dyDescent="0.25">
      <c r="B3561" s="2" t="s">
        <v>4366</v>
      </c>
      <c r="C3561" s="2" t="s">
        <v>371</v>
      </c>
      <c r="D3561" s="2" t="s">
        <v>366</v>
      </c>
      <c r="E3561" s="2" t="s">
        <v>4647</v>
      </c>
      <c r="F3561" s="2">
        <v>18</v>
      </c>
      <c r="G3561" s="2">
        <v>18</v>
      </c>
      <c r="H3561" s="2">
        <v>0</v>
      </c>
      <c r="I3561" s="1">
        <v>0</v>
      </c>
      <c r="J3561" s="26">
        <v>45476</v>
      </c>
      <c r="K3561" s="22">
        <v>252000</v>
      </c>
      <c r="L3561" s="18">
        <v>269.52</v>
      </c>
      <c r="M3561" s="22">
        <v>179100</v>
      </c>
      <c r="N3561" s="22">
        <v>72900</v>
      </c>
      <c r="O3561" s="18">
        <v>77.97</v>
      </c>
      <c r="P3561" s="52">
        <f>IF(COUNTIF(TblPurchases[BatchID],TblOutcomes[[#This Row],[BatchID]])&lt;&gt;1,"n.a.",TblOutcomes[[#This Row],[Qty Wasted]]*SUMIFS(TblPurchases[Unit Cost (CLP)],TblPurchases[BatchID],TblOutcomes[[#This Row],[BatchID]]))</f>
        <v>0</v>
      </c>
      <c r="Q3561" s="51">
        <f>IF(COUNTIF(TblPurchases[BatchID],TblOutcomes[[#This Row],[BatchID]])&lt;&gt;1,"n.a.",SUMIFS(TblPurchases[Purchase Date],TblPurchases[BatchID],TblOutcomes[[#This Row],[BatchID]]))</f>
        <v>45462</v>
      </c>
    </row>
    <row r="3562" spans="2:17" x14ac:dyDescent="0.25">
      <c r="B3562" s="2" t="s">
        <v>4367</v>
      </c>
      <c r="C3562" s="2" t="s">
        <v>371</v>
      </c>
      <c r="D3562" s="2" t="s">
        <v>366</v>
      </c>
      <c r="E3562" s="2" t="s">
        <v>4647</v>
      </c>
      <c r="F3562" s="2">
        <v>18</v>
      </c>
      <c r="G3562" s="2">
        <v>18</v>
      </c>
      <c r="H3562" s="2">
        <v>0</v>
      </c>
      <c r="I3562" s="1">
        <v>0</v>
      </c>
      <c r="J3562" s="26">
        <v>45492</v>
      </c>
      <c r="K3562" s="22">
        <v>252000</v>
      </c>
      <c r="L3562" s="18">
        <v>269.52</v>
      </c>
      <c r="M3562" s="22">
        <v>179100</v>
      </c>
      <c r="N3562" s="22">
        <v>72900</v>
      </c>
      <c r="O3562" s="18">
        <v>77.97</v>
      </c>
      <c r="P3562" s="52">
        <f>IF(COUNTIF(TblPurchases[BatchID],TblOutcomes[[#This Row],[BatchID]])&lt;&gt;1,"n.a.",TblOutcomes[[#This Row],[Qty Wasted]]*SUMIFS(TblPurchases[Unit Cost (CLP)],TblPurchases[BatchID],TblOutcomes[[#This Row],[BatchID]]))</f>
        <v>0</v>
      </c>
      <c r="Q3562" s="51">
        <f>IF(COUNTIF(TblPurchases[BatchID],TblOutcomes[[#This Row],[BatchID]])&lt;&gt;1,"n.a.",SUMIFS(TblPurchases[Purchase Date],TblPurchases[BatchID],TblOutcomes[[#This Row],[BatchID]]))</f>
        <v>45481</v>
      </c>
    </row>
    <row r="3563" spans="2:17" x14ac:dyDescent="0.25">
      <c r="B3563" s="2" t="s">
        <v>4368</v>
      </c>
      <c r="C3563" s="2" t="s">
        <v>371</v>
      </c>
      <c r="D3563" s="2" t="s">
        <v>366</v>
      </c>
      <c r="E3563" s="2" t="s">
        <v>4646</v>
      </c>
      <c r="F3563" s="2">
        <v>15</v>
      </c>
      <c r="G3563" s="2">
        <v>14.4</v>
      </c>
      <c r="H3563" s="2">
        <v>0.6</v>
      </c>
      <c r="I3563" s="1">
        <v>4</v>
      </c>
      <c r="J3563" s="26">
        <v>45682</v>
      </c>
      <c r="K3563" s="22">
        <v>201600</v>
      </c>
      <c r="L3563" s="18">
        <v>215.61</v>
      </c>
      <c r="M3563" s="22">
        <v>169500</v>
      </c>
      <c r="N3563" s="22">
        <v>32100</v>
      </c>
      <c r="O3563" s="18">
        <v>34.33</v>
      </c>
      <c r="P3563" s="52">
        <f>IF(COUNTIF(TblPurchases[BatchID],TblOutcomes[[#This Row],[BatchID]])&lt;&gt;1,"n.a.",TblOutcomes[[#This Row],[Qty Wasted]]*SUMIFS(TblPurchases[Unit Cost (CLP)],TblPurchases[BatchID],TblOutcomes[[#This Row],[BatchID]]))</f>
        <v>6780</v>
      </c>
      <c r="Q3563" s="51">
        <f>IF(COUNTIF(TblPurchases[BatchID],TblOutcomes[[#This Row],[BatchID]])&lt;&gt;1,"n.a.",SUMIFS(TblPurchases[Purchase Date],TblPurchases[BatchID],TblOutcomes[[#This Row],[BatchID]]))</f>
        <v>45502</v>
      </c>
    </row>
    <row r="3564" spans="2:17" x14ac:dyDescent="0.25">
      <c r="B3564" s="2" t="s">
        <v>4369</v>
      </c>
      <c r="C3564" s="2" t="s">
        <v>371</v>
      </c>
      <c r="D3564" s="2" t="s">
        <v>366</v>
      </c>
      <c r="E3564" s="2" t="s">
        <v>4647</v>
      </c>
      <c r="F3564" s="2">
        <v>14</v>
      </c>
      <c r="G3564" s="2">
        <v>14</v>
      </c>
      <c r="H3564" s="2">
        <v>0</v>
      </c>
      <c r="I3564" s="1">
        <v>0</v>
      </c>
      <c r="J3564" s="26">
        <v>45537</v>
      </c>
      <c r="K3564" s="22">
        <v>196000</v>
      </c>
      <c r="L3564" s="18">
        <v>209.63</v>
      </c>
      <c r="M3564" s="22">
        <v>139300</v>
      </c>
      <c r="N3564" s="22">
        <v>56700</v>
      </c>
      <c r="O3564" s="18">
        <v>60.64</v>
      </c>
      <c r="P3564" s="52">
        <f>IF(COUNTIF(TblPurchases[BatchID],TblOutcomes[[#This Row],[BatchID]])&lt;&gt;1,"n.a.",TblOutcomes[[#This Row],[Qty Wasted]]*SUMIFS(TblPurchases[Unit Cost (CLP)],TblPurchases[BatchID],TblOutcomes[[#This Row],[BatchID]]))</f>
        <v>0</v>
      </c>
      <c r="Q3564" s="51">
        <f>IF(COUNTIF(TblPurchases[BatchID],TblOutcomes[[#This Row],[BatchID]])&lt;&gt;1,"n.a.",SUMIFS(TblPurchases[Purchase Date],TblPurchases[BatchID],TblOutcomes[[#This Row],[BatchID]]))</f>
        <v>45524</v>
      </c>
    </row>
    <row r="3565" spans="2:17" x14ac:dyDescent="0.25">
      <c r="B3565" s="2" t="s">
        <v>4370</v>
      </c>
      <c r="C3565" s="2" t="s">
        <v>371</v>
      </c>
      <c r="D3565" s="2" t="s">
        <v>366</v>
      </c>
      <c r="E3565" s="2" t="s">
        <v>4647</v>
      </c>
      <c r="F3565" s="2">
        <v>17</v>
      </c>
      <c r="G3565" s="2">
        <v>17</v>
      </c>
      <c r="H3565" s="2">
        <v>0</v>
      </c>
      <c r="I3565" s="1">
        <v>0</v>
      </c>
      <c r="J3565" s="26">
        <v>45563</v>
      </c>
      <c r="K3565" s="22">
        <v>238000</v>
      </c>
      <c r="L3565" s="18">
        <v>254.55</v>
      </c>
      <c r="M3565" s="22">
        <v>169150</v>
      </c>
      <c r="N3565" s="22">
        <v>68850</v>
      </c>
      <c r="O3565" s="18">
        <v>73.64</v>
      </c>
      <c r="P3565" s="52">
        <f>IF(COUNTIF(TblPurchases[BatchID],TblOutcomes[[#This Row],[BatchID]])&lt;&gt;1,"n.a.",TblOutcomes[[#This Row],[Qty Wasted]]*SUMIFS(TblPurchases[Unit Cost (CLP)],TblPurchases[BatchID],TblOutcomes[[#This Row],[BatchID]]))</f>
        <v>0</v>
      </c>
      <c r="Q3565" s="51">
        <f>IF(COUNTIF(TblPurchases[BatchID],TblOutcomes[[#This Row],[BatchID]])&lt;&gt;1,"n.a.",SUMIFS(TblPurchases[Purchase Date],TblPurchases[BatchID],TblOutcomes[[#This Row],[BatchID]]))</f>
        <v>45545</v>
      </c>
    </row>
    <row r="3566" spans="2:17" x14ac:dyDescent="0.25">
      <c r="B3566" s="2" t="s">
        <v>4371</v>
      </c>
      <c r="C3566" s="2" t="s">
        <v>371</v>
      </c>
      <c r="D3566" s="2" t="s">
        <v>366</v>
      </c>
      <c r="E3566" s="2" t="s">
        <v>4647</v>
      </c>
      <c r="F3566" s="2">
        <v>6</v>
      </c>
      <c r="G3566" s="2">
        <v>6</v>
      </c>
      <c r="H3566" s="2">
        <v>0</v>
      </c>
      <c r="I3566" s="1">
        <v>0</v>
      </c>
      <c r="J3566" s="26">
        <v>45582</v>
      </c>
      <c r="K3566" s="22">
        <v>84000</v>
      </c>
      <c r="L3566" s="18">
        <v>89.84</v>
      </c>
      <c r="M3566" s="22">
        <v>59700</v>
      </c>
      <c r="N3566" s="22">
        <v>24300</v>
      </c>
      <c r="O3566" s="18">
        <v>25.99</v>
      </c>
      <c r="P3566" s="52">
        <f>IF(COUNTIF(TblPurchases[BatchID],TblOutcomes[[#This Row],[BatchID]])&lt;&gt;1,"n.a.",TblOutcomes[[#This Row],[Qty Wasted]]*SUMIFS(TblPurchases[Unit Cost (CLP)],TblPurchases[BatchID],TblOutcomes[[#This Row],[BatchID]]))</f>
        <v>0</v>
      </c>
      <c r="Q3566" s="51">
        <f>IF(COUNTIF(TblPurchases[BatchID],TblOutcomes[[#This Row],[BatchID]])&lt;&gt;1,"n.a.",SUMIFS(TblPurchases[Purchase Date],TblPurchases[BatchID],TblOutcomes[[#This Row],[BatchID]]))</f>
        <v>45568</v>
      </c>
    </row>
    <row r="3567" spans="2:17" x14ac:dyDescent="0.25">
      <c r="B3567" s="2" t="s">
        <v>4372</v>
      </c>
      <c r="C3567" s="2" t="s">
        <v>371</v>
      </c>
      <c r="D3567" s="2" t="s">
        <v>366</v>
      </c>
      <c r="E3567" s="2" t="s">
        <v>4646</v>
      </c>
      <c r="F3567" s="2">
        <v>5</v>
      </c>
      <c r="G3567" s="2">
        <v>4.5999999999999996</v>
      </c>
      <c r="H3567" s="2">
        <v>0.41</v>
      </c>
      <c r="I3567" s="1">
        <v>8.1</v>
      </c>
      <c r="J3567" s="26">
        <v>45765</v>
      </c>
      <c r="K3567" s="22">
        <v>64400</v>
      </c>
      <c r="L3567" s="18">
        <v>68.88</v>
      </c>
      <c r="M3567" s="22">
        <v>49750</v>
      </c>
      <c r="N3567" s="22">
        <v>14650</v>
      </c>
      <c r="O3567" s="18">
        <v>15.67</v>
      </c>
      <c r="P3567" s="52">
        <f>IF(COUNTIF(TblPurchases[BatchID],TblOutcomes[[#This Row],[BatchID]])&lt;&gt;1,"n.a.",TblOutcomes[[#This Row],[Qty Wasted]]*SUMIFS(TblPurchases[Unit Cost (CLP)],TblPurchases[BatchID],TblOutcomes[[#This Row],[BatchID]]))</f>
        <v>4079.4999999999995</v>
      </c>
      <c r="Q3567" s="51">
        <f>IF(COUNTIF(TblPurchases[BatchID],TblOutcomes[[#This Row],[BatchID]])&lt;&gt;1,"n.a.",SUMIFS(TblPurchases[Purchase Date],TblPurchases[BatchID],TblOutcomes[[#This Row],[BatchID]]))</f>
        <v>45585</v>
      </c>
    </row>
    <row r="3568" spans="2:17" x14ac:dyDescent="0.25">
      <c r="B3568" s="2" t="s">
        <v>4373</v>
      </c>
      <c r="C3568" s="2" t="s">
        <v>371</v>
      </c>
      <c r="D3568" s="2" t="s">
        <v>366</v>
      </c>
      <c r="E3568" s="2" t="s">
        <v>4646</v>
      </c>
      <c r="F3568" s="2">
        <v>6</v>
      </c>
      <c r="G3568" s="2">
        <v>5.45</v>
      </c>
      <c r="H3568" s="2">
        <v>0.55000000000000004</v>
      </c>
      <c r="I3568" s="1">
        <v>9.1999999999999993</v>
      </c>
      <c r="J3568" s="26">
        <v>45787</v>
      </c>
      <c r="K3568" s="22">
        <v>76300</v>
      </c>
      <c r="L3568" s="18">
        <v>81.599999999999994</v>
      </c>
      <c r="M3568" s="22">
        <v>59700</v>
      </c>
      <c r="N3568" s="22">
        <v>16600</v>
      </c>
      <c r="O3568" s="18">
        <v>17.75</v>
      </c>
      <c r="P3568" s="52">
        <f>IF(COUNTIF(TblPurchases[BatchID],TblOutcomes[[#This Row],[BatchID]])&lt;&gt;1,"n.a.",TblOutcomes[[#This Row],[Qty Wasted]]*SUMIFS(TblPurchases[Unit Cost (CLP)],TblPurchases[BatchID],TblOutcomes[[#This Row],[BatchID]]))</f>
        <v>5472.5</v>
      </c>
      <c r="Q3568" s="51">
        <f>IF(COUNTIF(TblPurchases[BatchID],TblOutcomes[[#This Row],[BatchID]])&lt;&gt;1,"n.a.",SUMIFS(TblPurchases[Purchase Date],TblPurchases[BatchID],TblOutcomes[[#This Row],[BatchID]]))</f>
        <v>45607</v>
      </c>
    </row>
    <row r="3569" spans="2:17" x14ac:dyDescent="0.25">
      <c r="B3569" s="2" t="s">
        <v>4374</v>
      </c>
      <c r="C3569" s="2" t="s">
        <v>371</v>
      </c>
      <c r="D3569" s="2" t="s">
        <v>366</v>
      </c>
      <c r="E3569" s="2" t="s">
        <v>4646</v>
      </c>
      <c r="F3569" s="2">
        <v>7</v>
      </c>
      <c r="G3569" s="2">
        <v>6.08</v>
      </c>
      <c r="H3569" s="2">
        <v>0.92</v>
      </c>
      <c r="I3569" s="1">
        <v>13.1</v>
      </c>
      <c r="J3569" s="26">
        <v>45810</v>
      </c>
      <c r="K3569" s="22">
        <v>85120</v>
      </c>
      <c r="L3569" s="18">
        <v>91.04</v>
      </c>
      <c r="M3569" s="22">
        <v>69650</v>
      </c>
      <c r="N3569" s="22">
        <v>15470</v>
      </c>
      <c r="O3569" s="18">
        <v>16.55</v>
      </c>
      <c r="P3569" s="52">
        <f>IF(COUNTIF(TblPurchases[BatchID],TblOutcomes[[#This Row],[BatchID]])&lt;&gt;1,"n.a.",TblOutcomes[[#This Row],[Qty Wasted]]*SUMIFS(TblPurchases[Unit Cost (CLP)],TblPurchases[BatchID],TblOutcomes[[#This Row],[BatchID]]))</f>
        <v>9154</v>
      </c>
      <c r="Q3569" s="51">
        <f>IF(COUNTIF(TblPurchases[BatchID],TblOutcomes[[#This Row],[BatchID]])&lt;&gt;1,"n.a.",SUMIFS(TblPurchases[Purchase Date],TblPurchases[BatchID],TblOutcomes[[#This Row],[BatchID]]))</f>
        <v>45630</v>
      </c>
    </row>
    <row r="3570" spans="2:17" x14ac:dyDescent="0.25">
      <c r="B3570" s="2" t="s">
        <v>4375</v>
      </c>
      <c r="C3570" s="2" t="s">
        <v>371</v>
      </c>
      <c r="D3570" s="2" t="s">
        <v>366</v>
      </c>
      <c r="E3570" s="2" t="s">
        <v>4646</v>
      </c>
      <c r="F3570" s="2">
        <v>7</v>
      </c>
      <c r="G3570" s="2">
        <v>6.24</v>
      </c>
      <c r="H3570" s="2">
        <v>0.76</v>
      </c>
      <c r="I3570" s="1">
        <v>10.8</v>
      </c>
      <c r="J3570" s="26">
        <v>45828</v>
      </c>
      <c r="K3570" s="22">
        <v>87360</v>
      </c>
      <c r="L3570" s="18">
        <v>93.43</v>
      </c>
      <c r="M3570" s="22">
        <v>79100</v>
      </c>
      <c r="N3570" s="22">
        <v>8260</v>
      </c>
      <c r="O3570" s="18">
        <v>8.83</v>
      </c>
      <c r="P3570" s="52">
        <f>IF(COUNTIF(TblPurchases[BatchID],TblOutcomes[[#This Row],[BatchID]])&lt;&gt;1,"n.a.",TblOutcomes[[#This Row],[Qty Wasted]]*SUMIFS(TblPurchases[Unit Cost (CLP)],TblPurchases[BatchID],TblOutcomes[[#This Row],[BatchID]]))</f>
        <v>8588</v>
      </c>
      <c r="Q3570" s="51">
        <f>IF(COUNTIF(TblPurchases[BatchID],TblOutcomes[[#This Row],[BatchID]])&lt;&gt;1,"n.a.",SUMIFS(TblPurchases[Purchase Date],TblPurchases[BatchID],TblOutcomes[[#This Row],[BatchID]]))</f>
        <v>45648</v>
      </c>
    </row>
    <row r="3571" spans="2:17" x14ac:dyDescent="0.25">
      <c r="B3571" s="2" t="s">
        <v>4376</v>
      </c>
      <c r="C3571" s="2" t="s">
        <v>371</v>
      </c>
      <c r="D3571" s="2" t="s">
        <v>366</v>
      </c>
      <c r="E3571" s="2" t="s">
        <v>4647</v>
      </c>
      <c r="F3571" s="2">
        <v>7</v>
      </c>
      <c r="G3571" s="2">
        <v>7</v>
      </c>
      <c r="H3571" s="2">
        <v>0</v>
      </c>
      <c r="I3571" s="1">
        <v>0</v>
      </c>
      <c r="J3571" s="26">
        <v>45681</v>
      </c>
      <c r="K3571" s="22">
        <v>98000</v>
      </c>
      <c r="L3571" s="18">
        <v>104.81</v>
      </c>
      <c r="M3571" s="22">
        <v>69650</v>
      </c>
      <c r="N3571" s="22">
        <v>28350</v>
      </c>
      <c r="O3571" s="18">
        <v>30.32</v>
      </c>
      <c r="P3571" s="52">
        <f>IF(COUNTIF(TblPurchases[BatchID],TblOutcomes[[#This Row],[BatchID]])&lt;&gt;1,"n.a.",TblOutcomes[[#This Row],[Qty Wasted]]*SUMIFS(TblPurchases[Unit Cost (CLP)],TblPurchases[BatchID],TblOutcomes[[#This Row],[BatchID]]))</f>
        <v>0</v>
      </c>
      <c r="Q3571" s="51">
        <f>IF(COUNTIF(TblPurchases[BatchID],TblOutcomes[[#This Row],[BatchID]])&lt;&gt;1,"n.a.",SUMIFS(TblPurchases[Purchase Date],TblPurchases[BatchID],TblOutcomes[[#This Row],[BatchID]]))</f>
        <v>45664</v>
      </c>
    </row>
    <row r="3572" spans="2:17" x14ac:dyDescent="0.25">
      <c r="B3572" s="2" t="s">
        <v>4377</v>
      </c>
      <c r="C3572" s="2" t="s">
        <v>371</v>
      </c>
      <c r="D3572" s="2" t="s">
        <v>366</v>
      </c>
      <c r="E3572" s="2" t="s">
        <v>4646</v>
      </c>
      <c r="F3572" s="2">
        <v>6</v>
      </c>
      <c r="G3572" s="2">
        <v>5.45</v>
      </c>
      <c r="H3572" s="2">
        <v>0.55000000000000004</v>
      </c>
      <c r="I3572" s="1">
        <v>9.1999999999999993</v>
      </c>
      <c r="J3572" s="26">
        <v>45865</v>
      </c>
      <c r="K3572" s="22">
        <v>76300</v>
      </c>
      <c r="L3572" s="18">
        <v>81.599999999999994</v>
      </c>
      <c r="M3572" s="22">
        <v>59700</v>
      </c>
      <c r="N3572" s="22">
        <v>16600</v>
      </c>
      <c r="O3572" s="18">
        <v>17.75</v>
      </c>
      <c r="P3572" s="52">
        <f>IF(COUNTIF(TblPurchases[BatchID],TblOutcomes[[#This Row],[BatchID]])&lt;&gt;1,"n.a.",TblOutcomes[[#This Row],[Qty Wasted]]*SUMIFS(TblPurchases[Unit Cost (CLP)],TblPurchases[BatchID],TblOutcomes[[#This Row],[BatchID]]))</f>
        <v>5472.5</v>
      </c>
      <c r="Q3572" s="51">
        <f>IF(COUNTIF(TblPurchases[BatchID],TblOutcomes[[#This Row],[BatchID]])&lt;&gt;1,"n.a.",SUMIFS(TblPurchases[Purchase Date],TblPurchases[BatchID],TblOutcomes[[#This Row],[BatchID]]))</f>
        <v>45685</v>
      </c>
    </row>
    <row r="3573" spans="2:17" x14ac:dyDescent="0.25">
      <c r="B3573" s="2" t="s">
        <v>4378</v>
      </c>
      <c r="C3573" s="2" t="s">
        <v>371</v>
      </c>
      <c r="D3573" s="2" t="s">
        <v>366</v>
      </c>
      <c r="E3573" s="2" t="s">
        <v>4646</v>
      </c>
      <c r="F3573" s="2">
        <v>7</v>
      </c>
      <c r="G3573" s="2">
        <v>6.09</v>
      </c>
      <c r="H3573" s="2">
        <v>0.91</v>
      </c>
      <c r="I3573" s="1">
        <v>13</v>
      </c>
      <c r="J3573" s="26">
        <v>45886</v>
      </c>
      <c r="K3573" s="22">
        <v>85260</v>
      </c>
      <c r="L3573" s="18">
        <v>91.19</v>
      </c>
      <c r="M3573" s="22">
        <v>69650</v>
      </c>
      <c r="N3573" s="22">
        <v>15610</v>
      </c>
      <c r="O3573" s="18">
        <v>16.7</v>
      </c>
      <c r="P3573" s="52">
        <f>IF(COUNTIF(TblPurchases[BatchID],TblOutcomes[[#This Row],[BatchID]])&lt;&gt;1,"n.a.",TblOutcomes[[#This Row],[Qty Wasted]]*SUMIFS(TblPurchases[Unit Cost (CLP)],TblPurchases[BatchID],TblOutcomes[[#This Row],[BatchID]]))</f>
        <v>9054.5</v>
      </c>
      <c r="Q3573" s="51">
        <f>IF(COUNTIF(TblPurchases[BatchID],TblOutcomes[[#This Row],[BatchID]])&lt;&gt;1,"n.a.",SUMIFS(TblPurchases[Purchase Date],TblPurchases[BatchID],TblOutcomes[[#This Row],[BatchID]]))</f>
        <v>45706</v>
      </c>
    </row>
    <row r="3574" spans="2:17" x14ac:dyDescent="0.25">
      <c r="B3574" s="2" t="s">
        <v>4379</v>
      </c>
      <c r="C3574" s="2" t="s">
        <v>371</v>
      </c>
      <c r="D3574" s="2" t="s">
        <v>366</v>
      </c>
      <c r="E3574" s="2" t="s">
        <v>4646</v>
      </c>
      <c r="F3574" s="2">
        <v>7</v>
      </c>
      <c r="G3574" s="2">
        <v>6.59</v>
      </c>
      <c r="H3574" s="2">
        <v>0.41</v>
      </c>
      <c r="I3574" s="1">
        <v>5.8</v>
      </c>
      <c r="J3574" s="26">
        <v>45904</v>
      </c>
      <c r="K3574" s="22">
        <v>92260</v>
      </c>
      <c r="L3574" s="18">
        <v>98.67</v>
      </c>
      <c r="M3574" s="22">
        <v>69650</v>
      </c>
      <c r="N3574" s="22">
        <v>22610</v>
      </c>
      <c r="O3574" s="18">
        <v>24.18</v>
      </c>
      <c r="P3574" s="52">
        <f>IF(COUNTIF(TblPurchases[BatchID],TblOutcomes[[#This Row],[BatchID]])&lt;&gt;1,"n.a.",TblOutcomes[[#This Row],[Qty Wasted]]*SUMIFS(TblPurchases[Unit Cost (CLP)],TblPurchases[BatchID],TblOutcomes[[#This Row],[BatchID]]))</f>
        <v>4079.4999999999995</v>
      </c>
      <c r="Q3574" s="51">
        <f>IF(COUNTIF(TblPurchases[BatchID],TblOutcomes[[#This Row],[BatchID]])&lt;&gt;1,"n.a.",SUMIFS(TblPurchases[Purchase Date],TblPurchases[BatchID],TblOutcomes[[#This Row],[BatchID]]))</f>
        <v>45724</v>
      </c>
    </row>
    <row r="3575" spans="2:17" x14ac:dyDescent="0.25">
      <c r="B3575" s="2" t="s">
        <v>4380</v>
      </c>
      <c r="C3575" s="2" t="s">
        <v>371</v>
      </c>
      <c r="D3575" s="2" t="s">
        <v>366</v>
      </c>
      <c r="E3575" s="2" t="s">
        <v>4647</v>
      </c>
      <c r="F3575" s="2">
        <v>6</v>
      </c>
      <c r="G3575" s="2">
        <v>6</v>
      </c>
      <c r="H3575" s="2">
        <v>0</v>
      </c>
      <c r="I3575" s="1">
        <v>0</v>
      </c>
      <c r="J3575" s="26">
        <v>45758</v>
      </c>
      <c r="K3575" s="22">
        <v>84000</v>
      </c>
      <c r="L3575" s="18">
        <v>89.84</v>
      </c>
      <c r="M3575" s="22">
        <v>67800</v>
      </c>
      <c r="N3575" s="22">
        <v>16200</v>
      </c>
      <c r="O3575" s="18">
        <v>17.329999999999998</v>
      </c>
      <c r="P3575" s="52">
        <f>IF(COUNTIF(TblPurchases[BatchID],TblOutcomes[[#This Row],[BatchID]])&lt;&gt;1,"n.a.",TblOutcomes[[#This Row],[Qty Wasted]]*SUMIFS(TblPurchases[Unit Cost (CLP)],TblPurchases[BatchID],TblOutcomes[[#This Row],[BatchID]]))</f>
        <v>0</v>
      </c>
      <c r="Q3575" s="51">
        <f>IF(COUNTIF(TblPurchases[BatchID],TblOutcomes[[#This Row],[BatchID]])&lt;&gt;1,"n.a.",SUMIFS(TblPurchases[Purchase Date],TblPurchases[BatchID],TblOutcomes[[#This Row],[BatchID]]))</f>
        <v>45747</v>
      </c>
    </row>
    <row r="3576" spans="2:17" x14ac:dyDescent="0.25">
      <c r="B3576" s="2" t="s">
        <v>4381</v>
      </c>
      <c r="C3576" s="2" t="s">
        <v>371</v>
      </c>
      <c r="D3576" s="2" t="s">
        <v>366</v>
      </c>
      <c r="E3576" s="2" t="s">
        <v>4647</v>
      </c>
      <c r="F3576" s="2">
        <v>15</v>
      </c>
      <c r="G3576" s="2">
        <v>15</v>
      </c>
      <c r="H3576" s="2">
        <v>0</v>
      </c>
      <c r="I3576" s="1">
        <v>0</v>
      </c>
      <c r="J3576" s="26">
        <v>45781</v>
      </c>
      <c r="K3576" s="22">
        <v>210000</v>
      </c>
      <c r="L3576" s="18">
        <v>224.6</v>
      </c>
      <c r="M3576" s="22">
        <v>149250</v>
      </c>
      <c r="N3576" s="22">
        <v>60750</v>
      </c>
      <c r="O3576" s="18">
        <v>64.97</v>
      </c>
      <c r="P3576" s="52">
        <f>IF(COUNTIF(TblPurchases[BatchID],TblOutcomes[[#This Row],[BatchID]])&lt;&gt;1,"n.a.",TblOutcomes[[#This Row],[Qty Wasted]]*SUMIFS(TblPurchases[Unit Cost (CLP)],TblPurchases[BatchID],TblOutcomes[[#This Row],[BatchID]]))</f>
        <v>0</v>
      </c>
      <c r="Q3576" s="51">
        <f>IF(COUNTIF(TblPurchases[BatchID],TblOutcomes[[#This Row],[BatchID]])&lt;&gt;1,"n.a.",SUMIFS(TblPurchases[Purchase Date],TblPurchases[BatchID],TblOutcomes[[#This Row],[BatchID]]))</f>
        <v>45764</v>
      </c>
    </row>
    <row r="3577" spans="2:17" x14ac:dyDescent="0.25">
      <c r="B3577" s="2" t="s">
        <v>4382</v>
      </c>
      <c r="C3577" s="2" t="s">
        <v>371</v>
      </c>
      <c r="D3577" s="2" t="s">
        <v>366</v>
      </c>
      <c r="E3577" s="2" t="s">
        <v>4647</v>
      </c>
      <c r="F3577" s="2">
        <v>20</v>
      </c>
      <c r="G3577" s="2">
        <v>20</v>
      </c>
      <c r="H3577" s="2">
        <v>0</v>
      </c>
      <c r="I3577" s="1">
        <v>0</v>
      </c>
      <c r="J3577" s="26">
        <v>45793</v>
      </c>
      <c r="K3577" s="22">
        <v>280000</v>
      </c>
      <c r="L3577" s="18">
        <v>299.47000000000003</v>
      </c>
      <c r="M3577" s="22">
        <v>199000</v>
      </c>
      <c r="N3577" s="22">
        <v>81000</v>
      </c>
      <c r="O3577" s="18">
        <v>86.63</v>
      </c>
      <c r="P3577" s="52">
        <f>IF(COUNTIF(TblPurchases[BatchID],TblOutcomes[[#This Row],[BatchID]])&lt;&gt;1,"n.a.",TblOutcomes[[#This Row],[Qty Wasted]]*SUMIFS(TblPurchases[Unit Cost (CLP)],TblPurchases[BatchID],TblOutcomes[[#This Row],[BatchID]]))</f>
        <v>0</v>
      </c>
      <c r="Q3577" s="51">
        <f>IF(COUNTIF(TblPurchases[BatchID],TblOutcomes[[#This Row],[BatchID]])&lt;&gt;1,"n.a.",SUMIFS(TblPurchases[Purchase Date],TblPurchases[BatchID],TblOutcomes[[#This Row],[BatchID]]))</f>
        <v>45784</v>
      </c>
    </row>
    <row r="3578" spans="2:17" x14ac:dyDescent="0.25">
      <c r="B3578" s="2" t="s">
        <v>4383</v>
      </c>
      <c r="C3578" s="2" t="s">
        <v>371</v>
      </c>
      <c r="D3578" s="2" t="s">
        <v>366</v>
      </c>
      <c r="E3578" s="2" t="s">
        <v>4647</v>
      </c>
      <c r="F3578" s="2">
        <v>16</v>
      </c>
      <c r="G3578" s="2">
        <v>16</v>
      </c>
      <c r="H3578" s="2">
        <v>0</v>
      </c>
      <c r="I3578" s="1">
        <v>0</v>
      </c>
      <c r="J3578" s="26">
        <v>45814</v>
      </c>
      <c r="K3578" s="22">
        <v>224000</v>
      </c>
      <c r="L3578" s="18">
        <v>239.57</v>
      </c>
      <c r="M3578" s="22">
        <v>159200</v>
      </c>
      <c r="N3578" s="22">
        <v>64800</v>
      </c>
      <c r="O3578" s="18">
        <v>69.3</v>
      </c>
      <c r="P3578" s="52">
        <f>IF(COUNTIF(TblPurchases[BatchID],TblOutcomes[[#This Row],[BatchID]])&lt;&gt;1,"n.a.",TblOutcomes[[#This Row],[Qty Wasted]]*SUMIFS(TblPurchases[Unit Cost (CLP)],TblPurchases[BatchID],TblOutcomes[[#This Row],[BatchID]]))</f>
        <v>0</v>
      </c>
      <c r="Q3578" s="51">
        <f>IF(COUNTIF(TblPurchases[BatchID],TblOutcomes[[#This Row],[BatchID]])&lt;&gt;1,"n.a.",SUMIFS(TblPurchases[Purchase Date],TblPurchases[BatchID],TblOutcomes[[#This Row],[BatchID]]))</f>
        <v>45807</v>
      </c>
    </row>
    <row r="3579" spans="2:17" x14ac:dyDescent="0.25">
      <c r="B3579" s="2" t="s">
        <v>4384</v>
      </c>
      <c r="C3579" s="2" t="s">
        <v>371</v>
      </c>
      <c r="D3579" s="2" t="s">
        <v>366</v>
      </c>
      <c r="E3579" s="2" t="s">
        <v>4647</v>
      </c>
      <c r="F3579" s="2">
        <v>18</v>
      </c>
      <c r="G3579" s="2">
        <v>18</v>
      </c>
      <c r="H3579" s="2">
        <v>0</v>
      </c>
      <c r="I3579" s="1">
        <v>0</v>
      </c>
      <c r="J3579" s="26">
        <v>45839</v>
      </c>
      <c r="K3579" s="22">
        <v>252000</v>
      </c>
      <c r="L3579" s="18">
        <v>269.52</v>
      </c>
      <c r="M3579" s="22">
        <v>179100</v>
      </c>
      <c r="N3579" s="22">
        <v>72900</v>
      </c>
      <c r="O3579" s="18">
        <v>77.97</v>
      </c>
      <c r="P3579" s="52">
        <f>IF(COUNTIF(TblPurchases[BatchID],TblOutcomes[[#This Row],[BatchID]])&lt;&gt;1,"n.a.",TblOutcomes[[#This Row],[Qty Wasted]]*SUMIFS(TblPurchases[Unit Cost (CLP)],TblPurchases[BatchID],TblOutcomes[[#This Row],[BatchID]]))</f>
        <v>0</v>
      </c>
      <c r="Q3579" s="51">
        <f>IF(COUNTIF(TblPurchases[BatchID],TblOutcomes[[#This Row],[BatchID]])&lt;&gt;1,"n.a.",SUMIFS(TblPurchases[Purchase Date],TblPurchases[BatchID],TblOutcomes[[#This Row],[BatchID]]))</f>
        <v>45829</v>
      </c>
    </row>
    <row r="3580" spans="2:17" x14ac:dyDescent="0.25">
      <c r="B3580" s="2" t="s">
        <v>4385</v>
      </c>
      <c r="C3580" s="2" t="s">
        <v>373</v>
      </c>
      <c r="D3580" s="2" t="s">
        <v>366</v>
      </c>
      <c r="E3580" s="2" t="s">
        <v>4646</v>
      </c>
      <c r="F3580" s="2">
        <v>10</v>
      </c>
      <c r="G3580" s="2">
        <v>9.59</v>
      </c>
      <c r="H3580" s="2">
        <v>0.41</v>
      </c>
      <c r="I3580" s="1">
        <v>4.0999999999999996</v>
      </c>
      <c r="J3580" s="26">
        <v>45307</v>
      </c>
      <c r="K3580" s="22">
        <v>62335</v>
      </c>
      <c r="L3580" s="18">
        <v>66.67</v>
      </c>
      <c r="M3580" s="22">
        <v>49500</v>
      </c>
      <c r="N3580" s="22">
        <v>12835</v>
      </c>
      <c r="O3580" s="18">
        <v>13.73</v>
      </c>
      <c r="P3580" s="52">
        <f>IF(COUNTIF(TblPurchases[BatchID],TblOutcomes[[#This Row],[BatchID]])&lt;&gt;1,"n.a.",TblOutcomes[[#This Row],[Qty Wasted]]*SUMIFS(TblPurchases[Unit Cost (CLP)],TblPurchases[BatchID],TblOutcomes[[#This Row],[BatchID]]))</f>
        <v>2029.4999999999998</v>
      </c>
      <c r="Q3580" s="51">
        <f>IF(COUNTIF(TblPurchases[BatchID],TblOutcomes[[#This Row],[BatchID]])&lt;&gt;1,"n.a.",SUMIFS(TblPurchases[Purchase Date],TblPurchases[BatchID],TblOutcomes[[#This Row],[BatchID]]))</f>
        <v>45127</v>
      </c>
    </row>
    <row r="3581" spans="2:17" x14ac:dyDescent="0.25">
      <c r="B3581" s="2" t="s">
        <v>4386</v>
      </c>
      <c r="C3581" s="2" t="s">
        <v>373</v>
      </c>
      <c r="D3581" s="2" t="s">
        <v>366</v>
      </c>
      <c r="E3581" s="2" t="s">
        <v>4647</v>
      </c>
      <c r="F3581" s="2">
        <v>10</v>
      </c>
      <c r="G3581" s="2">
        <v>10</v>
      </c>
      <c r="H3581" s="2">
        <v>0</v>
      </c>
      <c r="I3581" s="1">
        <v>0</v>
      </c>
      <c r="J3581" s="26">
        <v>45154</v>
      </c>
      <c r="K3581" s="22">
        <v>65000</v>
      </c>
      <c r="L3581" s="18">
        <v>69.52</v>
      </c>
      <c r="M3581" s="22">
        <v>49500</v>
      </c>
      <c r="N3581" s="22">
        <v>15500</v>
      </c>
      <c r="O3581" s="18">
        <v>16.579999999999998</v>
      </c>
      <c r="P3581" s="52">
        <f>IF(COUNTIF(TblPurchases[BatchID],TblOutcomes[[#This Row],[BatchID]])&lt;&gt;1,"n.a.",TblOutcomes[[#This Row],[Qty Wasted]]*SUMIFS(TblPurchases[Unit Cost (CLP)],TblPurchases[BatchID],TblOutcomes[[#This Row],[BatchID]]))</f>
        <v>0</v>
      </c>
      <c r="Q3581" s="51">
        <f>IF(COUNTIF(TblPurchases[BatchID],TblOutcomes[[#This Row],[BatchID]])&lt;&gt;1,"n.a.",SUMIFS(TblPurchases[Purchase Date],TblPurchases[BatchID],TblOutcomes[[#This Row],[BatchID]]))</f>
        <v>45145</v>
      </c>
    </row>
    <row r="3582" spans="2:17" x14ac:dyDescent="0.25">
      <c r="B3582" s="2" t="s">
        <v>4387</v>
      </c>
      <c r="C3582" s="2" t="s">
        <v>373</v>
      </c>
      <c r="D3582" s="2" t="s">
        <v>366</v>
      </c>
      <c r="E3582" s="2" t="s">
        <v>4646</v>
      </c>
      <c r="F3582" s="2">
        <v>10</v>
      </c>
      <c r="G3582" s="2">
        <v>9.43</v>
      </c>
      <c r="H3582" s="2">
        <v>0.56999999999999995</v>
      </c>
      <c r="I3582" s="1">
        <v>5.7</v>
      </c>
      <c r="J3582" s="26">
        <v>45344</v>
      </c>
      <c r="K3582" s="22">
        <v>61295</v>
      </c>
      <c r="L3582" s="18">
        <v>65.56</v>
      </c>
      <c r="M3582" s="22">
        <v>49500</v>
      </c>
      <c r="N3582" s="22">
        <v>11795</v>
      </c>
      <c r="O3582" s="18">
        <v>12.61</v>
      </c>
      <c r="P3582" s="52">
        <f>IF(COUNTIF(TblPurchases[BatchID],TblOutcomes[[#This Row],[BatchID]])&lt;&gt;1,"n.a.",TblOutcomes[[#This Row],[Qty Wasted]]*SUMIFS(TblPurchases[Unit Cost (CLP)],TblPurchases[BatchID],TblOutcomes[[#This Row],[BatchID]]))</f>
        <v>2821.4999999999995</v>
      </c>
      <c r="Q3582" s="51">
        <f>IF(COUNTIF(TblPurchases[BatchID],TblOutcomes[[#This Row],[BatchID]])&lt;&gt;1,"n.a.",SUMIFS(TblPurchases[Purchase Date],TblPurchases[BatchID],TblOutcomes[[#This Row],[BatchID]]))</f>
        <v>45164</v>
      </c>
    </row>
    <row r="3583" spans="2:17" x14ac:dyDescent="0.25">
      <c r="B3583" s="2" t="s">
        <v>4388</v>
      </c>
      <c r="C3583" s="2" t="s">
        <v>373</v>
      </c>
      <c r="D3583" s="2" t="s">
        <v>366</v>
      </c>
      <c r="E3583" s="2" t="s">
        <v>4647</v>
      </c>
      <c r="F3583" s="2">
        <v>14</v>
      </c>
      <c r="G3583" s="2">
        <v>14</v>
      </c>
      <c r="H3583" s="2">
        <v>0</v>
      </c>
      <c r="I3583" s="1">
        <v>0</v>
      </c>
      <c r="J3583" s="26">
        <v>45208</v>
      </c>
      <c r="K3583" s="22">
        <v>91000</v>
      </c>
      <c r="L3583" s="18">
        <v>97.33</v>
      </c>
      <c r="M3583" s="22">
        <v>69300</v>
      </c>
      <c r="N3583" s="22">
        <v>21700</v>
      </c>
      <c r="O3583" s="18">
        <v>23.21</v>
      </c>
      <c r="P3583" s="52">
        <f>IF(COUNTIF(TblPurchases[BatchID],TblOutcomes[[#This Row],[BatchID]])&lt;&gt;1,"n.a.",TblOutcomes[[#This Row],[Qty Wasted]]*SUMIFS(TblPurchases[Unit Cost (CLP)],TblPurchases[BatchID],TblOutcomes[[#This Row],[BatchID]]))</f>
        <v>0</v>
      </c>
      <c r="Q3583" s="51">
        <f>IF(COUNTIF(TblPurchases[BatchID],TblOutcomes[[#This Row],[BatchID]])&lt;&gt;1,"n.a.",SUMIFS(TblPurchases[Purchase Date],TblPurchases[BatchID],TblOutcomes[[#This Row],[BatchID]]))</f>
        <v>45184</v>
      </c>
    </row>
    <row r="3584" spans="2:17" x14ac:dyDescent="0.25">
      <c r="B3584" s="2" t="s">
        <v>4389</v>
      </c>
      <c r="C3584" s="2" t="s">
        <v>373</v>
      </c>
      <c r="D3584" s="2" t="s">
        <v>366</v>
      </c>
      <c r="E3584" s="2" t="s">
        <v>4647</v>
      </c>
      <c r="F3584" s="2">
        <v>11</v>
      </c>
      <c r="G3584" s="2">
        <v>11</v>
      </c>
      <c r="H3584" s="2">
        <v>0</v>
      </c>
      <c r="I3584" s="1">
        <v>0</v>
      </c>
      <c r="J3584" s="26">
        <v>45232</v>
      </c>
      <c r="K3584" s="22">
        <v>71500</v>
      </c>
      <c r="L3584" s="18">
        <v>76.47</v>
      </c>
      <c r="M3584" s="22">
        <v>54450</v>
      </c>
      <c r="N3584" s="22">
        <v>17050</v>
      </c>
      <c r="O3584" s="18">
        <v>18.239999999999998</v>
      </c>
      <c r="P3584" s="52">
        <f>IF(COUNTIF(TblPurchases[BatchID],TblOutcomes[[#This Row],[BatchID]])&lt;&gt;1,"n.a.",TblOutcomes[[#This Row],[Qty Wasted]]*SUMIFS(TblPurchases[Unit Cost (CLP)],TblPurchases[BatchID],TblOutcomes[[#This Row],[BatchID]]))</f>
        <v>0</v>
      </c>
      <c r="Q3584" s="51">
        <f>IF(COUNTIF(TblPurchases[BatchID],TblOutcomes[[#This Row],[BatchID]])&lt;&gt;1,"n.a.",SUMIFS(TblPurchases[Purchase Date],TblPurchases[BatchID],TblOutcomes[[#This Row],[BatchID]]))</f>
        <v>45208</v>
      </c>
    </row>
    <row r="3585" spans="2:17" x14ac:dyDescent="0.25">
      <c r="B3585" s="2" t="s">
        <v>4390</v>
      </c>
      <c r="C3585" s="2" t="s">
        <v>373</v>
      </c>
      <c r="D3585" s="2" t="s">
        <v>366</v>
      </c>
      <c r="E3585" s="2" t="s">
        <v>4646</v>
      </c>
      <c r="F3585" s="2">
        <v>10</v>
      </c>
      <c r="G3585" s="2">
        <v>9.32</v>
      </c>
      <c r="H3585" s="2">
        <v>0.68</v>
      </c>
      <c r="I3585" s="1">
        <v>6.8</v>
      </c>
      <c r="J3585" s="26">
        <v>45409</v>
      </c>
      <c r="K3585" s="22">
        <v>60580</v>
      </c>
      <c r="L3585" s="18">
        <v>64.790000000000006</v>
      </c>
      <c r="M3585" s="22">
        <v>49500</v>
      </c>
      <c r="N3585" s="22">
        <v>11080</v>
      </c>
      <c r="O3585" s="18">
        <v>11.85</v>
      </c>
      <c r="P3585" s="52">
        <f>IF(COUNTIF(TblPurchases[BatchID],TblOutcomes[[#This Row],[BatchID]])&lt;&gt;1,"n.a.",TblOutcomes[[#This Row],[Qty Wasted]]*SUMIFS(TblPurchases[Unit Cost (CLP)],TblPurchases[BatchID],TblOutcomes[[#This Row],[BatchID]]))</f>
        <v>3366.0000000000005</v>
      </c>
      <c r="Q3585" s="51">
        <f>IF(COUNTIF(TblPurchases[BatchID],TblOutcomes[[#This Row],[BatchID]])&lt;&gt;1,"n.a.",SUMIFS(TblPurchases[Purchase Date],TblPurchases[BatchID],TblOutcomes[[#This Row],[BatchID]]))</f>
        <v>45229</v>
      </c>
    </row>
    <row r="3586" spans="2:17" x14ac:dyDescent="0.25">
      <c r="B3586" s="2" t="s">
        <v>4391</v>
      </c>
      <c r="C3586" s="2" t="s">
        <v>373</v>
      </c>
      <c r="D3586" s="2" t="s">
        <v>366</v>
      </c>
      <c r="E3586" s="2" t="s">
        <v>4647</v>
      </c>
      <c r="F3586" s="2">
        <v>9</v>
      </c>
      <c r="G3586" s="2">
        <v>9</v>
      </c>
      <c r="H3586" s="2">
        <v>0</v>
      </c>
      <c r="I3586" s="1">
        <v>0</v>
      </c>
      <c r="J3586" s="26">
        <v>45271</v>
      </c>
      <c r="K3586" s="22">
        <v>58500</v>
      </c>
      <c r="L3586" s="18">
        <v>62.57</v>
      </c>
      <c r="M3586" s="22">
        <v>45450</v>
      </c>
      <c r="N3586" s="22">
        <v>13050</v>
      </c>
      <c r="O3586" s="18">
        <v>13.96</v>
      </c>
      <c r="P3586" s="52">
        <f>IF(COUNTIF(TblPurchases[BatchID],TblOutcomes[[#This Row],[BatchID]])&lt;&gt;1,"n.a.",TblOutcomes[[#This Row],[Qty Wasted]]*SUMIFS(TblPurchases[Unit Cost (CLP)],TblPurchases[BatchID],TblOutcomes[[#This Row],[BatchID]]))</f>
        <v>0</v>
      </c>
      <c r="Q3586" s="51">
        <f>IF(COUNTIF(TblPurchases[BatchID],TblOutcomes[[#This Row],[BatchID]])&lt;&gt;1,"n.a.",SUMIFS(TblPurchases[Purchase Date],TblPurchases[BatchID],TblOutcomes[[#This Row],[BatchID]]))</f>
        <v>45250</v>
      </c>
    </row>
    <row r="3587" spans="2:17" x14ac:dyDescent="0.25">
      <c r="B3587" s="2" t="s">
        <v>4392</v>
      </c>
      <c r="C3587" s="2" t="s">
        <v>373</v>
      </c>
      <c r="D3587" s="2" t="s">
        <v>366</v>
      </c>
      <c r="E3587" s="2" t="s">
        <v>4647</v>
      </c>
      <c r="F3587" s="2">
        <v>12</v>
      </c>
      <c r="G3587" s="2">
        <v>12</v>
      </c>
      <c r="H3587" s="2">
        <v>0</v>
      </c>
      <c r="I3587" s="1">
        <v>0</v>
      </c>
      <c r="J3587" s="26">
        <v>45287</v>
      </c>
      <c r="K3587" s="22">
        <v>78000</v>
      </c>
      <c r="L3587" s="18">
        <v>83.42</v>
      </c>
      <c r="M3587" s="22">
        <v>59400</v>
      </c>
      <c r="N3587" s="22">
        <v>18600</v>
      </c>
      <c r="O3587" s="18">
        <v>19.89</v>
      </c>
      <c r="P3587" s="52">
        <f>IF(COUNTIF(TblPurchases[BatchID],TblOutcomes[[#This Row],[BatchID]])&lt;&gt;1,"n.a.",TblOutcomes[[#This Row],[Qty Wasted]]*SUMIFS(TblPurchases[Unit Cost (CLP)],TblPurchases[BatchID],TblOutcomes[[#This Row],[BatchID]]))</f>
        <v>0</v>
      </c>
      <c r="Q3587" s="51">
        <f>IF(COUNTIF(TblPurchases[BatchID],TblOutcomes[[#This Row],[BatchID]])&lt;&gt;1,"n.a.",SUMIFS(TblPurchases[Purchase Date],TblPurchases[BatchID],TblOutcomes[[#This Row],[BatchID]]))</f>
        <v>45272</v>
      </c>
    </row>
    <row r="3588" spans="2:17" x14ac:dyDescent="0.25">
      <c r="B3588" s="2" t="s">
        <v>4393</v>
      </c>
      <c r="C3588" s="2" t="s">
        <v>373</v>
      </c>
      <c r="D3588" s="2" t="s">
        <v>366</v>
      </c>
      <c r="E3588" s="2" t="s">
        <v>4646</v>
      </c>
      <c r="F3588" s="2">
        <v>11</v>
      </c>
      <c r="G3588" s="2">
        <v>9.76</v>
      </c>
      <c r="H3588" s="2">
        <v>1.24</v>
      </c>
      <c r="I3588" s="1">
        <v>11.3</v>
      </c>
      <c r="J3588" s="26">
        <v>45473</v>
      </c>
      <c r="K3588" s="22">
        <v>63440</v>
      </c>
      <c r="L3588" s="18">
        <v>67.849999999999994</v>
      </c>
      <c r="M3588" s="22">
        <v>54450</v>
      </c>
      <c r="N3588" s="22">
        <v>8990</v>
      </c>
      <c r="O3588" s="18">
        <v>9.61</v>
      </c>
      <c r="P3588" s="52">
        <f>IF(COUNTIF(TblPurchases[BatchID],TblOutcomes[[#This Row],[BatchID]])&lt;&gt;1,"n.a.",TblOutcomes[[#This Row],[Qty Wasted]]*SUMIFS(TblPurchases[Unit Cost (CLP)],TblPurchases[BatchID],TblOutcomes[[#This Row],[BatchID]]))</f>
        <v>6138</v>
      </c>
      <c r="Q3588" s="51">
        <f>IF(COUNTIF(TblPurchases[BatchID],TblOutcomes[[#This Row],[BatchID]])&lt;&gt;1,"n.a.",SUMIFS(TblPurchases[Purchase Date],TblPurchases[BatchID],TblOutcomes[[#This Row],[BatchID]]))</f>
        <v>45293</v>
      </c>
    </row>
    <row r="3589" spans="2:17" x14ac:dyDescent="0.25">
      <c r="B3589" s="2" t="s">
        <v>4394</v>
      </c>
      <c r="C3589" s="2" t="s">
        <v>373</v>
      </c>
      <c r="D3589" s="2" t="s">
        <v>366</v>
      </c>
      <c r="E3589" s="2" t="s">
        <v>4646</v>
      </c>
      <c r="F3589" s="2">
        <v>9</v>
      </c>
      <c r="G3589" s="2">
        <v>8.2100000000000009</v>
      </c>
      <c r="H3589" s="2">
        <v>0.79</v>
      </c>
      <c r="I3589" s="1">
        <v>8.8000000000000007</v>
      </c>
      <c r="J3589" s="26">
        <v>45496</v>
      </c>
      <c r="K3589" s="22">
        <v>53365</v>
      </c>
      <c r="L3589" s="18">
        <v>57.07</v>
      </c>
      <c r="M3589" s="22">
        <v>44550</v>
      </c>
      <c r="N3589" s="22">
        <v>8815</v>
      </c>
      <c r="O3589" s="18">
        <v>9.43</v>
      </c>
      <c r="P3589" s="52">
        <f>IF(COUNTIF(TblPurchases[BatchID],TblOutcomes[[#This Row],[BatchID]])&lt;&gt;1,"n.a.",TblOutcomes[[#This Row],[Qty Wasted]]*SUMIFS(TblPurchases[Unit Cost (CLP)],TblPurchases[BatchID],TblOutcomes[[#This Row],[BatchID]]))</f>
        <v>3910.5</v>
      </c>
      <c r="Q3589" s="51">
        <f>IF(COUNTIF(TblPurchases[BatchID],TblOutcomes[[#This Row],[BatchID]])&lt;&gt;1,"n.a.",SUMIFS(TblPurchases[Purchase Date],TblPurchases[BatchID],TblOutcomes[[#This Row],[BatchID]]))</f>
        <v>45316</v>
      </c>
    </row>
    <row r="3590" spans="2:17" x14ac:dyDescent="0.25">
      <c r="B3590" s="2" t="s">
        <v>4395</v>
      </c>
      <c r="C3590" s="2" t="s">
        <v>373</v>
      </c>
      <c r="D3590" s="2" t="s">
        <v>366</v>
      </c>
      <c r="E3590" s="2" t="s">
        <v>4647</v>
      </c>
      <c r="F3590" s="2">
        <v>9</v>
      </c>
      <c r="G3590" s="2">
        <v>9</v>
      </c>
      <c r="H3590" s="2">
        <v>0</v>
      </c>
      <c r="I3590" s="1">
        <v>0</v>
      </c>
      <c r="J3590" s="26">
        <v>45344</v>
      </c>
      <c r="K3590" s="22">
        <v>58500</v>
      </c>
      <c r="L3590" s="18">
        <v>62.57</v>
      </c>
      <c r="M3590" s="22">
        <v>44550</v>
      </c>
      <c r="N3590" s="22">
        <v>13950</v>
      </c>
      <c r="O3590" s="18">
        <v>14.92</v>
      </c>
      <c r="P3590" s="52">
        <f>IF(COUNTIF(TblPurchases[BatchID],TblOutcomes[[#This Row],[BatchID]])&lt;&gt;1,"n.a.",TblOutcomes[[#This Row],[Qty Wasted]]*SUMIFS(TblPurchases[Unit Cost (CLP)],TblPurchases[BatchID],TblOutcomes[[#This Row],[BatchID]]))</f>
        <v>0</v>
      </c>
      <c r="Q3590" s="51">
        <f>IF(COUNTIF(TblPurchases[BatchID],TblOutcomes[[#This Row],[BatchID]])&lt;&gt;1,"n.a.",SUMIFS(TblPurchases[Purchase Date],TblPurchases[BatchID],TblOutcomes[[#This Row],[BatchID]]))</f>
        <v>45334</v>
      </c>
    </row>
    <row r="3591" spans="2:17" x14ac:dyDescent="0.25">
      <c r="B3591" s="2" t="s">
        <v>4396</v>
      </c>
      <c r="C3591" s="2" t="s">
        <v>373</v>
      </c>
      <c r="D3591" s="2" t="s">
        <v>366</v>
      </c>
      <c r="E3591" s="2" t="s">
        <v>4646</v>
      </c>
      <c r="F3591" s="2">
        <v>11</v>
      </c>
      <c r="G3591" s="2">
        <v>10.039999999999999</v>
      </c>
      <c r="H3591" s="2">
        <v>0.96</v>
      </c>
      <c r="I3591" s="1">
        <v>8.6999999999999993</v>
      </c>
      <c r="J3591" s="26">
        <v>45531</v>
      </c>
      <c r="K3591" s="22">
        <v>65260</v>
      </c>
      <c r="L3591" s="18">
        <v>69.8</v>
      </c>
      <c r="M3591" s="22">
        <v>54450</v>
      </c>
      <c r="N3591" s="22">
        <v>10810</v>
      </c>
      <c r="O3591" s="18">
        <v>11.56</v>
      </c>
      <c r="P3591" s="52">
        <f>IF(COUNTIF(TblPurchases[BatchID],TblOutcomes[[#This Row],[BatchID]])&lt;&gt;1,"n.a.",TblOutcomes[[#This Row],[Qty Wasted]]*SUMIFS(TblPurchases[Unit Cost (CLP)],TblPurchases[BatchID],TblOutcomes[[#This Row],[BatchID]]))</f>
        <v>4752</v>
      </c>
      <c r="Q3591" s="51">
        <f>IF(COUNTIF(TblPurchases[BatchID],TblOutcomes[[#This Row],[BatchID]])&lt;&gt;1,"n.a.",SUMIFS(TblPurchases[Purchase Date],TblPurchases[BatchID],TblOutcomes[[#This Row],[BatchID]]))</f>
        <v>45351</v>
      </c>
    </row>
    <row r="3592" spans="2:17" x14ac:dyDescent="0.25">
      <c r="B3592" s="2" t="s">
        <v>4397</v>
      </c>
      <c r="C3592" s="2" t="s">
        <v>373</v>
      </c>
      <c r="D3592" s="2" t="s">
        <v>366</v>
      </c>
      <c r="E3592" s="2" t="s">
        <v>4646</v>
      </c>
      <c r="F3592" s="2">
        <v>10</v>
      </c>
      <c r="G3592" s="2">
        <v>9.34</v>
      </c>
      <c r="H3592" s="2">
        <v>0.66</v>
      </c>
      <c r="I3592" s="1">
        <v>6.6</v>
      </c>
      <c r="J3592" s="26">
        <v>45551</v>
      </c>
      <c r="K3592" s="22">
        <v>60710</v>
      </c>
      <c r="L3592" s="18">
        <v>64.930000000000007</v>
      </c>
      <c r="M3592" s="22">
        <v>49500</v>
      </c>
      <c r="N3592" s="22">
        <v>11210</v>
      </c>
      <c r="O3592" s="18">
        <v>11.99</v>
      </c>
      <c r="P3592" s="52">
        <f>IF(COUNTIF(TblPurchases[BatchID],TblOutcomes[[#This Row],[BatchID]])&lt;&gt;1,"n.a.",TblOutcomes[[#This Row],[Qty Wasted]]*SUMIFS(TblPurchases[Unit Cost (CLP)],TblPurchases[BatchID],TblOutcomes[[#This Row],[BatchID]]))</f>
        <v>3267</v>
      </c>
      <c r="Q3592" s="51">
        <f>IF(COUNTIF(TblPurchases[BatchID],TblOutcomes[[#This Row],[BatchID]])&lt;&gt;1,"n.a.",SUMIFS(TblPurchases[Purchase Date],TblPurchases[BatchID],TblOutcomes[[#This Row],[BatchID]]))</f>
        <v>45371</v>
      </c>
    </row>
    <row r="3593" spans="2:17" x14ac:dyDescent="0.25">
      <c r="B3593" s="2" t="s">
        <v>4398</v>
      </c>
      <c r="C3593" s="2" t="s">
        <v>373</v>
      </c>
      <c r="D3593" s="2" t="s">
        <v>366</v>
      </c>
      <c r="E3593" s="2" t="s">
        <v>4647</v>
      </c>
      <c r="F3593" s="2">
        <v>9</v>
      </c>
      <c r="G3593" s="2">
        <v>9</v>
      </c>
      <c r="H3593" s="2">
        <v>0</v>
      </c>
      <c r="I3593" s="1">
        <v>0</v>
      </c>
      <c r="J3593" s="26">
        <v>45401</v>
      </c>
      <c r="K3593" s="22">
        <v>58500</v>
      </c>
      <c r="L3593" s="18">
        <v>62.57</v>
      </c>
      <c r="M3593" s="22">
        <v>44550</v>
      </c>
      <c r="N3593" s="22">
        <v>13950</v>
      </c>
      <c r="O3593" s="18">
        <v>14.92</v>
      </c>
      <c r="P3593" s="52">
        <f>IF(COUNTIF(TblPurchases[BatchID],TblOutcomes[[#This Row],[BatchID]])&lt;&gt;1,"n.a.",TblOutcomes[[#This Row],[Qty Wasted]]*SUMIFS(TblPurchases[Unit Cost (CLP)],TblPurchases[BatchID],TblOutcomes[[#This Row],[BatchID]]))</f>
        <v>0</v>
      </c>
      <c r="Q3593" s="51">
        <f>IF(COUNTIF(TblPurchases[BatchID],TblOutcomes[[#This Row],[BatchID]])&lt;&gt;1,"n.a.",SUMIFS(TblPurchases[Purchase Date],TblPurchases[BatchID],TblOutcomes[[#This Row],[BatchID]]))</f>
        <v>45391</v>
      </c>
    </row>
    <row r="3594" spans="2:17" x14ac:dyDescent="0.25">
      <c r="B3594" s="2" t="s">
        <v>4399</v>
      </c>
      <c r="C3594" s="2" t="s">
        <v>373</v>
      </c>
      <c r="D3594" s="2" t="s">
        <v>366</v>
      </c>
      <c r="E3594" s="2" t="s">
        <v>4646</v>
      </c>
      <c r="F3594" s="2">
        <v>10</v>
      </c>
      <c r="G3594" s="2">
        <v>9.58</v>
      </c>
      <c r="H3594" s="2">
        <v>0.42</v>
      </c>
      <c r="I3594" s="1">
        <v>4.2</v>
      </c>
      <c r="J3594" s="26">
        <v>45590</v>
      </c>
      <c r="K3594" s="22">
        <v>62270</v>
      </c>
      <c r="L3594" s="18">
        <v>66.599999999999994</v>
      </c>
      <c r="M3594" s="22">
        <v>49500</v>
      </c>
      <c r="N3594" s="22">
        <v>12770</v>
      </c>
      <c r="O3594" s="18">
        <v>13.66</v>
      </c>
      <c r="P3594" s="52">
        <f>IF(COUNTIF(TblPurchases[BatchID],TblOutcomes[[#This Row],[BatchID]])&lt;&gt;1,"n.a.",TblOutcomes[[#This Row],[Qty Wasted]]*SUMIFS(TblPurchases[Unit Cost (CLP)],TblPurchases[BatchID],TblOutcomes[[#This Row],[BatchID]]))</f>
        <v>2079</v>
      </c>
      <c r="Q3594" s="51">
        <f>IF(COUNTIF(TblPurchases[BatchID],TblOutcomes[[#This Row],[BatchID]])&lt;&gt;1,"n.a.",SUMIFS(TblPurchases[Purchase Date],TblPurchases[BatchID],TblOutcomes[[#This Row],[BatchID]]))</f>
        <v>45410</v>
      </c>
    </row>
    <row r="3595" spans="2:17" x14ac:dyDescent="0.25">
      <c r="B3595" s="2" t="s">
        <v>4400</v>
      </c>
      <c r="C3595" s="2" t="s">
        <v>373</v>
      </c>
      <c r="D3595" s="2" t="s">
        <v>366</v>
      </c>
      <c r="E3595" s="2" t="s">
        <v>4646</v>
      </c>
      <c r="F3595" s="2">
        <v>11</v>
      </c>
      <c r="G3595" s="2">
        <v>10.039999999999999</v>
      </c>
      <c r="H3595" s="2">
        <v>0.96</v>
      </c>
      <c r="I3595" s="1">
        <v>8.6999999999999993</v>
      </c>
      <c r="J3595" s="26">
        <v>45611</v>
      </c>
      <c r="K3595" s="22">
        <v>65260</v>
      </c>
      <c r="L3595" s="18">
        <v>69.8</v>
      </c>
      <c r="M3595" s="22">
        <v>54450</v>
      </c>
      <c r="N3595" s="22">
        <v>10810</v>
      </c>
      <c r="O3595" s="18">
        <v>11.56</v>
      </c>
      <c r="P3595" s="52">
        <f>IF(COUNTIF(TblPurchases[BatchID],TblOutcomes[[#This Row],[BatchID]])&lt;&gt;1,"n.a.",TblOutcomes[[#This Row],[Qty Wasted]]*SUMIFS(TblPurchases[Unit Cost (CLP)],TblPurchases[BatchID],TblOutcomes[[#This Row],[BatchID]]))</f>
        <v>4752</v>
      </c>
      <c r="Q3595" s="51">
        <f>IF(COUNTIF(TblPurchases[BatchID],TblOutcomes[[#This Row],[BatchID]])&lt;&gt;1,"n.a.",SUMIFS(TblPurchases[Purchase Date],TblPurchases[BatchID],TblOutcomes[[#This Row],[BatchID]]))</f>
        <v>45431</v>
      </c>
    </row>
    <row r="3596" spans="2:17" x14ac:dyDescent="0.25">
      <c r="B3596" s="2" t="s">
        <v>4401</v>
      </c>
      <c r="C3596" s="2" t="s">
        <v>373</v>
      </c>
      <c r="D3596" s="2" t="s">
        <v>366</v>
      </c>
      <c r="E3596" s="2" t="s">
        <v>4646</v>
      </c>
      <c r="F3596" s="2">
        <v>10</v>
      </c>
      <c r="G3596" s="2">
        <v>9.48</v>
      </c>
      <c r="H3596" s="2">
        <v>0.52</v>
      </c>
      <c r="I3596" s="1">
        <v>5.2</v>
      </c>
      <c r="J3596" s="26">
        <v>45630</v>
      </c>
      <c r="K3596" s="22">
        <v>61620</v>
      </c>
      <c r="L3596" s="18">
        <v>65.900000000000006</v>
      </c>
      <c r="M3596" s="22">
        <v>49500</v>
      </c>
      <c r="N3596" s="22">
        <v>12120</v>
      </c>
      <c r="O3596" s="18">
        <v>12.96</v>
      </c>
      <c r="P3596" s="52">
        <f>IF(COUNTIF(TblPurchases[BatchID],TblOutcomes[[#This Row],[BatchID]])&lt;&gt;1,"n.a.",TblOutcomes[[#This Row],[Qty Wasted]]*SUMIFS(TblPurchases[Unit Cost (CLP)],TblPurchases[BatchID],TblOutcomes[[#This Row],[BatchID]]))</f>
        <v>2574</v>
      </c>
      <c r="Q3596" s="51">
        <f>IF(COUNTIF(TblPurchases[BatchID],TblOutcomes[[#This Row],[BatchID]])&lt;&gt;1,"n.a.",SUMIFS(TblPurchases[Purchase Date],TblPurchases[BatchID],TblOutcomes[[#This Row],[BatchID]]))</f>
        <v>45450</v>
      </c>
    </row>
    <row r="3597" spans="2:17" x14ac:dyDescent="0.25">
      <c r="B3597" s="2" t="s">
        <v>4402</v>
      </c>
      <c r="C3597" s="2" t="s">
        <v>373</v>
      </c>
      <c r="D3597" s="2" t="s">
        <v>366</v>
      </c>
      <c r="E3597" s="2" t="s">
        <v>4647</v>
      </c>
      <c r="F3597" s="2">
        <v>11</v>
      </c>
      <c r="G3597" s="2">
        <v>11</v>
      </c>
      <c r="H3597" s="2">
        <v>0</v>
      </c>
      <c r="I3597" s="1">
        <v>0</v>
      </c>
      <c r="J3597" s="26">
        <v>45475</v>
      </c>
      <c r="K3597" s="22">
        <v>71500</v>
      </c>
      <c r="L3597" s="18">
        <v>76.47</v>
      </c>
      <c r="M3597" s="22">
        <v>54450</v>
      </c>
      <c r="N3597" s="22">
        <v>17050</v>
      </c>
      <c r="O3597" s="18">
        <v>18.239999999999998</v>
      </c>
      <c r="P3597" s="52">
        <f>IF(COUNTIF(TblPurchases[BatchID],TblOutcomes[[#This Row],[BatchID]])&lt;&gt;1,"n.a.",TblOutcomes[[#This Row],[Qty Wasted]]*SUMIFS(TblPurchases[Unit Cost (CLP)],TblPurchases[BatchID],TblOutcomes[[#This Row],[BatchID]]))</f>
        <v>0</v>
      </c>
      <c r="Q3597" s="51">
        <f>IF(COUNTIF(TblPurchases[BatchID],TblOutcomes[[#This Row],[BatchID]])&lt;&gt;1,"n.a.",SUMIFS(TblPurchases[Purchase Date],TblPurchases[BatchID],TblOutcomes[[#This Row],[BatchID]]))</f>
        <v>45470</v>
      </c>
    </row>
    <row r="3598" spans="2:17" x14ac:dyDescent="0.25">
      <c r="B3598" s="2" t="s">
        <v>4403</v>
      </c>
      <c r="C3598" s="2" t="s">
        <v>373</v>
      </c>
      <c r="D3598" s="2" t="s">
        <v>366</v>
      </c>
      <c r="E3598" s="2" t="s">
        <v>4647</v>
      </c>
      <c r="F3598" s="2">
        <v>9</v>
      </c>
      <c r="G3598" s="2">
        <v>9</v>
      </c>
      <c r="H3598" s="2">
        <v>0</v>
      </c>
      <c r="I3598" s="1">
        <v>0</v>
      </c>
      <c r="J3598" s="26">
        <v>45497</v>
      </c>
      <c r="K3598" s="22">
        <v>58500</v>
      </c>
      <c r="L3598" s="18">
        <v>62.57</v>
      </c>
      <c r="M3598" s="22">
        <v>44550</v>
      </c>
      <c r="N3598" s="22">
        <v>13950</v>
      </c>
      <c r="O3598" s="18">
        <v>14.92</v>
      </c>
      <c r="P3598" s="52">
        <f>IF(COUNTIF(TblPurchases[BatchID],TblOutcomes[[#This Row],[BatchID]])&lt;&gt;1,"n.a.",TblOutcomes[[#This Row],[Qty Wasted]]*SUMIFS(TblPurchases[Unit Cost (CLP)],TblPurchases[BatchID],TblOutcomes[[#This Row],[BatchID]]))</f>
        <v>0</v>
      </c>
      <c r="Q3598" s="51">
        <f>IF(COUNTIF(TblPurchases[BatchID],TblOutcomes[[#This Row],[BatchID]])&lt;&gt;1,"n.a.",SUMIFS(TblPurchases[Purchase Date],TblPurchases[BatchID],TblOutcomes[[#This Row],[BatchID]]))</f>
        <v>45485</v>
      </c>
    </row>
    <row r="3599" spans="2:17" x14ac:dyDescent="0.25">
      <c r="B3599" s="2" t="s">
        <v>4404</v>
      </c>
      <c r="C3599" s="2" t="s">
        <v>373</v>
      </c>
      <c r="D3599" s="2" t="s">
        <v>366</v>
      </c>
      <c r="E3599" s="2" t="s">
        <v>4646</v>
      </c>
      <c r="F3599" s="2">
        <v>11</v>
      </c>
      <c r="G3599" s="2">
        <v>10.45</v>
      </c>
      <c r="H3599" s="2">
        <v>0.55000000000000004</v>
      </c>
      <c r="I3599" s="1">
        <v>5</v>
      </c>
      <c r="J3599" s="26">
        <v>45685</v>
      </c>
      <c r="K3599" s="22">
        <v>67925</v>
      </c>
      <c r="L3599" s="18">
        <v>72.650000000000006</v>
      </c>
      <c r="M3599" s="22">
        <v>54450</v>
      </c>
      <c r="N3599" s="22">
        <v>13475</v>
      </c>
      <c r="O3599" s="18">
        <v>14.41</v>
      </c>
      <c r="P3599" s="52">
        <f>IF(COUNTIF(TblPurchases[BatchID],TblOutcomes[[#This Row],[BatchID]])&lt;&gt;1,"n.a.",TblOutcomes[[#This Row],[Qty Wasted]]*SUMIFS(TblPurchases[Unit Cost (CLP)],TblPurchases[BatchID],TblOutcomes[[#This Row],[BatchID]]))</f>
        <v>2722.5</v>
      </c>
      <c r="Q3599" s="51">
        <f>IF(COUNTIF(TblPurchases[BatchID],TblOutcomes[[#This Row],[BatchID]])&lt;&gt;1,"n.a.",SUMIFS(TblPurchases[Purchase Date],TblPurchases[BatchID],TblOutcomes[[#This Row],[BatchID]]))</f>
        <v>45505</v>
      </c>
    </row>
    <row r="3600" spans="2:17" x14ac:dyDescent="0.25">
      <c r="B3600" s="2" t="s">
        <v>4405</v>
      </c>
      <c r="C3600" s="2" t="s">
        <v>373</v>
      </c>
      <c r="D3600" s="2" t="s">
        <v>366</v>
      </c>
      <c r="E3600" s="2" t="s">
        <v>4646</v>
      </c>
      <c r="F3600" s="2">
        <v>11</v>
      </c>
      <c r="G3600" s="2">
        <v>10.7</v>
      </c>
      <c r="H3600" s="2">
        <v>0.3</v>
      </c>
      <c r="I3600" s="1">
        <v>2.7</v>
      </c>
      <c r="J3600" s="26">
        <v>45705</v>
      </c>
      <c r="K3600" s="22">
        <v>69550</v>
      </c>
      <c r="L3600" s="18">
        <v>74.39</v>
      </c>
      <c r="M3600" s="22">
        <v>54450</v>
      </c>
      <c r="N3600" s="22">
        <v>15100</v>
      </c>
      <c r="O3600" s="18">
        <v>16.149999999999999</v>
      </c>
      <c r="P3600" s="52">
        <f>IF(COUNTIF(TblPurchases[BatchID],TblOutcomes[[#This Row],[BatchID]])&lt;&gt;1,"n.a.",TblOutcomes[[#This Row],[Qty Wasted]]*SUMIFS(TblPurchases[Unit Cost (CLP)],TblPurchases[BatchID],TblOutcomes[[#This Row],[BatchID]]))</f>
        <v>1485</v>
      </c>
      <c r="Q3600" s="51">
        <f>IF(COUNTIF(TblPurchases[BatchID],TblOutcomes[[#This Row],[BatchID]])&lt;&gt;1,"n.a.",SUMIFS(TblPurchases[Purchase Date],TblPurchases[BatchID],TblOutcomes[[#This Row],[BatchID]]))</f>
        <v>45525</v>
      </c>
    </row>
    <row r="3601" spans="2:17" x14ac:dyDescent="0.25">
      <c r="B3601" s="2" t="s">
        <v>4406</v>
      </c>
      <c r="C3601" s="2" t="s">
        <v>373</v>
      </c>
      <c r="D3601" s="2" t="s">
        <v>366</v>
      </c>
      <c r="E3601" s="2" t="s">
        <v>4646</v>
      </c>
      <c r="F3601" s="2">
        <v>13</v>
      </c>
      <c r="G3601" s="2">
        <v>12.06</v>
      </c>
      <c r="H3601" s="2">
        <v>0.94</v>
      </c>
      <c r="I3601" s="1">
        <v>7.2</v>
      </c>
      <c r="J3601" s="26">
        <v>45729</v>
      </c>
      <c r="K3601" s="22">
        <v>78390</v>
      </c>
      <c r="L3601" s="18">
        <v>83.84</v>
      </c>
      <c r="M3601" s="22">
        <v>64350</v>
      </c>
      <c r="N3601" s="22">
        <v>14040</v>
      </c>
      <c r="O3601" s="18">
        <v>15.02</v>
      </c>
      <c r="P3601" s="52">
        <f>IF(COUNTIF(TblPurchases[BatchID],TblOutcomes[[#This Row],[BatchID]])&lt;&gt;1,"n.a.",TblOutcomes[[#This Row],[Qty Wasted]]*SUMIFS(TblPurchases[Unit Cost (CLP)],TblPurchases[BatchID],TblOutcomes[[#This Row],[BatchID]]))</f>
        <v>4653</v>
      </c>
      <c r="Q3601" s="51">
        <f>IF(COUNTIF(TblPurchases[BatchID],TblOutcomes[[#This Row],[BatchID]])&lt;&gt;1,"n.a.",SUMIFS(TblPurchases[Purchase Date],TblPurchases[BatchID],TblOutcomes[[#This Row],[BatchID]]))</f>
        <v>45549</v>
      </c>
    </row>
    <row r="3602" spans="2:17" x14ac:dyDescent="0.25">
      <c r="B3602" s="2" t="s">
        <v>4407</v>
      </c>
      <c r="C3602" s="2" t="s">
        <v>373</v>
      </c>
      <c r="D3602" s="2" t="s">
        <v>366</v>
      </c>
      <c r="E3602" s="2" t="s">
        <v>4647</v>
      </c>
      <c r="F3602" s="2">
        <v>11</v>
      </c>
      <c r="G3602" s="2">
        <v>11</v>
      </c>
      <c r="H3602" s="2">
        <v>0</v>
      </c>
      <c r="I3602" s="1">
        <v>0</v>
      </c>
      <c r="J3602" s="26">
        <v>45579</v>
      </c>
      <c r="K3602" s="22">
        <v>71500</v>
      </c>
      <c r="L3602" s="18">
        <v>76.47</v>
      </c>
      <c r="M3602" s="22">
        <v>54450</v>
      </c>
      <c r="N3602" s="22">
        <v>17050</v>
      </c>
      <c r="O3602" s="18">
        <v>18.239999999999998</v>
      </c>
      <c r="P3602" s="52">
        <f>IF(COUNTIF(TblPurchases[BatchID],TblOutcomes[[#This Row],[BatchID]])&lt;&gt;1,"n.a.",TblOutcomes[[#This Row],[Qty Wasted]]*SUMIFS(TblPurchases[Unit Cost (CLP)],TblPurchases[BatchID],TblOutcomes[[#This Row],[BatchID]]))</f>
        <v>0</v>
      </c>
      <c r="Q3602" s="51">
        <f>IF(COUNTIF(TblPurchases[BatchID],TblOutcomes[[#This Row],[BatchID]])&lt;&gt;1,"n.a.",SUMIFS(TblPurchases[Purchase Date],TblPurchases[BatchID],TblOutcomes[[#This Row],[BatchID]]))</f>
        <v>45576</v>
      </c>
    </row>
    <row r="3603" spans="2:17" x14ac:dyDescent="0.25">
      <c r="B3603" s="2" t="s">
        <v>4408</v>
      </c>
      <c r="C3603" s="2" t="s">
        <v>373</v>
      </c>
      <c r="D3603" s="2" t="s">
        <v>366</v>
      </c>
      <c r="E3603" s="2" t="s">
        <v>4647</v>
      </c>
      <c r="F3603" s="2">
        <v>11</v>
      </c>
      <c r="G3603" s="2">
        <v>11</v>
      </c>
      <c r="H3603" s="2">
        <v>0</v>
      </c>
      <c r="I3603" s="1">
        <v>0</v>
      </c>
      <c r="J3603" s="26">
        <v>45613</v>
      </c>
      <c r="K3603" s="22">
        <v>71500</v>
      </c>
      <c r="L3603" s="18">
        <v>76.47</v>
      </c>
      <c r="M3603" s="22">
        <v>54450</v>
      </c>
      <c r="N3603" s="22">
        <v>17050</v>
      </c>
      <c r="O3603" s="18">
        <v>18.239999999999998</v>
      </c>
      <c r="P3603" s="52">
        <f>IF(COUNTIF(TblPurchases[BatchID],TblOutcomes[[#This Row],[BatchID]])&lt;&gt;1,"n.a.",TblOutcomes[[#This Row],[Qty Wasted]]*SUMIFS(TblPurchases[Unit Cost (CLP)],TblPurchases[BatchID],TblOutcomes[[#This Row],[BatchID]]))</f>
        <v>0</v>
      </c>
      <c r="Q3603" s="51">
        <f>IF(COUNTIF(TblPurchases[BatchID],TblOutcomes[[#This Row],[BatchID]])&lt;&gt;1,"n.a.",SUMIFS(TblPurchases[Purchase Date],TblPurchases[BatchID],TblOutcomes[[#This Row],[BatchID]]))</f>
        <v>45602</v>
      </c>
    </row>
    <row r="3604" spans="2:17" x14ac:dyDescent="0.25">
      <c r="B3604" s="2" t="s">
        <v>4409</v>
      </c>
      <c r="C3604" s="2" t="s">
        <v>373</v>
      </c>
      <c r="D3604" s="2" t="s">
        <v>366</v>
      </c>
      <c r="E3604" s="2" t="s">
        <v>4647</v>
      </c>
      <c r="F3604" s="2">
        <v>11</v>
      </c>
      <c r="G3604" s="2">
        <v>11</v>
      </c>
      <c r="H3604" s="2">
        <v>0</v>
      </c>
      <c r="I3604" s="1">
        <v>0</v>
      </c>
      <c r="J3604" s="26">
        <v>45632</v>
      </c>
      <c r="K3604" s="22">
        <v>71500</v>
      </c>
      <c r="L3604" s="18">
        <v>76.47</v>
      </c>
      <c r="M3604" s="22">
        <v>54450</v>
      </c>
      <c r="N3604" s="22">
        <v>17050</v>
      </c>
      <c r="O3604" s="18">
        <v>18.239999999999998</v>
      </c>
      <c r="P3604" s="52">
        <f>IF(COUNTIF(TblPurchases[BatchID],TblOutcomes[[#This Row],[BatchID]])&lt;&gt;1,"n.a.",TblOutcomes[[#This Row],[Qty Wasted]]*SUMIFS(TblPurchases[Unit Cost (CLP)],TblPurchases[BatchID],TblOutcomes[[#This Row],[BatchID]]))</f>
        <v>0</v>
      </c>
      <c r="Q3604" s="51">
        <f>IF(COUNTIF(TblPurchases[BatchID],TblOutcomes[[#This Row],[BatchID]])&lt;&gt;1,"n.a.",SUMIFS(TblPurchases[Purchase Date],TblPurchases[BatchID],TblOutcomes[[#This Row],[BatchID]]))</f>
        <v>45622</v>
      </c>
    </row>
    <row r="3605" spans="2:17" x14ac:dyDescent="0.25">
      <c r="B3605" s="2" t="s">
        <v>4410</v>
      </c>
      <c r="C3605" s="2" t="s">
        <v>373</v>
      </c>
      <c r="D3605" s="2" t="s">
        <v>366</v>
      </c>
      <c r="E3605" s="2" t="s">
        <v>4646</v>
      </c>
      <c r="F3605" s="2">
        <v>12</v>
      </c>
      <c r="G3605" s="2">
        <v>10.6</v>
      </c>
      <c r="H3605" s="2">
        <v>1.4</v>
      </c>
      <c r="I3605" s="1">
        <v>11.7</v>
      </c>
      <c r="J3605" s="26">
        <v>45823</v>
      </c>
      <c r="K3605" s="22">
        <v>68900</v>
      </c>
      <c r="L3605" s="18">
        <v>73.69</v>
      </c>
      <c r="M3605" s="22">
        <v>59400</v>
      </c>
      <c r="N3605" s="22">
        <v>9500</v>
      </c>
      <c r="O3605" s="18">
        <v>10.16</v>
      </c>
      <c r="P3605" s="52">
        <f>IF(COUNTIF(TblPurchases[BatchID],TblOutcomes[[#This Row],[BatchID]])&lt;&gt;1,"n.a.",TblOutcomes[[#This Row],[Qty Wasted]]*SUMIFS(TblPurchases[Unit Cost (CLP)],TblPurchases[BatchID],TblOutcomes[[#This Row],[BatchID]]))</f>
        <v>6930</v>
      </c>
      <c r="Q3605" s="51">
        <f>IF(COUNTIF(TblPurchases[BatchID],TblOutcomes[[#This Row],[BatchID]])&lt;&gt;1,"n.a.",SUMIFS(TblPurchases[Purchase Date],TblPurchases[BatchID],TblOutcomes[[#This Row],[BatchID]]))</f>
        <v>45643</v>
      </c>
    </row>
    <row r="3606" spans="2:17" x14ac:dyDescent="0.25">
      <c r="B3606" s="2" t="s">
        <v>4411</v>
      </c>
      <c r="C3606" s="2" t="s">
        <v>373</v>
      </c>
      <c r="D3606" s="2" t="s">
        <v>366</v>
      </c>
      <c r="E3606" s="2" t="s">
        <v>4646</v>
      </c>
      <c r="F3606" s="2">
        <v>12</v>
      </c>
      <c r="G3606" s="2">
        <v>10.26</v>
      </c>
      <c r="H3606" s="2">
        <v>1.74</v>
      </c>
      <c r="I3606" s="1">
        <v>14.5</v>
      </c>
      <c r="J3606" s="26">
        <v>45842</v>
      </c>
      <c r="K3606" s="22">
        <v>66690</v>
      </c>
      <c r="L3606" s="18">
        <v>71.33</v>
      </c>
      <c r="M3606" s="22">
        <v>60600</v>
      </c>
      <c r="N3606" s="22">
        <v>6090</v>
      </c>
      <c r="O3606" s="18">
        <v>6.51</v>
      </c>
      <c r="P3606" s="52">
        <f>IF(COUNTIF(TblPurchases[BatchID],TblOutcomes[[#This Row],[BatchID]])&lt;&gt;1,"n.a.",TblOutcomes[[#This Row],[Qty Wasted]]*SUMIFS(TblPurchases[Unit Cost (CLP)],TblPurchases[BatchID],TblOutcomes[[#This Row],[BatchID]]))</f>
        <v>8787</v>
      </c>
      <c r="Q3606" s="51">
        <f>IF(COUNTIF(TblPurchases[BatchID],TblOutcomes[[#This Row],[BatchID]])&lt;&gt;1,"n.a.",SUMIFS(TblPurchases[Purchase Date],TblPurchases[BatchID],TblOutcomes[[#This Row],[BatchID]]))</f>
        <v>45662</v>
      </c>
    </row>
    <row r="3607" spans="2:17" x14ac:dyDescent="0.25">
      <c r="B3607" s="2" t="s">
        <v>4412</v>
      </c>
      <c r="C3607" s="2" t="s">
        <v>373</v>
      </c>
      <c r="D3607" s="2" t="s">
        <v>366</v>
      </c>
      <c r="E3607" s="2" t="s">
        <v>4646</v>
      </c>
      <c r="F3607" s="2">
        <v>12</v>
      </c>
      <c r="G3607" s="2">
        <v>11.09</v>
      </c>
      <c r="H3607" s="2">
        <v>0.91</v>
      </c>
      <c r="I3607" s="1">
        <v>7.6</v>
      </c>
      <c r="J3607" s="26">
        <v>45866</v>
      </c>
      <c r="K3607" s="22">
        <v>72085</v>
      </c>
      <c r="L3607" s="18">
        <v>77.099999999999994</v>
      </c>
      <c r="M3607" s="22">
        <v>59400</v>
      </c>
      <c r="N3607" s="22">
        <v>12685</v>
      </c>
      <c r="O3607" s="18">
        <v>13.57</v>
      </c>
      <c r="P3607" s="52">
        <f>IF(COUNTIF(TblPurchases[BatchID],TblOutcomes[[#This Row],[BatchID]])&lt;&gt;1,"n.a.",TblOutcomes[[#This Row],[Qty Wasted]]*SUMIFS(TblPurchases[Unit Cost (CLP)],TblPurchases[BatchID],TblOutcomes[[#This Row],[BatchID]]))</f>
        <v>4504.5</v>
      </c>
      <c r="Q3607" s="51">
        <f>IF(COUNTIF(TblPurchases[BatchID],TblOutcomes[[#This Row],[BatchID]])&lt;&gt;1,"n.a.",SUMIFS(TblPurchases[Purchase Date],TblPurchases[BatchID],TblOutcomes[[#This Row],[BatchID]]))</f>
        <v>45686</v>
      </c>
    </row>
    <row r="3608" spans="2:17" x14ac:dyDescent="0.25">
      <c r="B3608" s="2" t="s">
        <v>4413</v>
      </c>
      <c r="C3608" s="2" t="s">
        <v>373</v>
      </c>
      <c r="D3608" s="2" t="s">
        <v>366</v>
      </c>
      <c r="E3608" s="2" t="s">
        <v>4647</v>
      </c>
      <c r="F3608" s="2">
        <v>12</v>
      </c>
      <c r="G3608" s="2">
        <v>12</v>
      </c>
      <c r="H3608" s="2">
        <v>0</v>
      </c>
      <c r="I3608" s="1">
        <v>0</v>
      </c>
      <c r="J3608" s="26">
        <v>45728</v>
      </c>
      <c r="K3608" s="22">
        <v>78000</v>
      </c>
      <c r="L3608" s="18">
        <v>83.42</v>
      </c>
      <c r="M3608" s="22">
        <v>59400</v>
      </c>
      <c r="N3608" s="22">
        <v>18600</v>
      </c>
      <c r="O3608" s="18">
        <v>19.89</v>
      </c>
      <c r="P3608" s="52">
        <f>IF(COUNTIF(TblPurchases[BatchID],TblOutcomes[[#This Row],[BatchID]])&lt;&gt;1,"n.a.",TblOutcomes[[#This Row],[Qty Wasted]]*SUMIFS(TblPurchases[Unit Cost (CLP)],TblPurchases[BatchID],TblOutcomes[[#This Row],[BatchID]]))</f>
        <v>0</v>
      </c>
      <c r="Q3608" s="51">
        <f>IF(COUNTIF(TblPurchases[BatchID],TblOutcomes[[#This Row],[BatchID]])&lt;&gt;1,"n.a.",SUMIFS(TblPurchases[Purchase Date],TblPurchases[BatchID],TblOutcomes[[#This Row],[BatchID]]))</f>
        <v>45707</v>
      </c>
    </row>
    <row r="3609" spans="2:17" x14ac:dyDescent="0.25">
      <c r="B3609" s="2" t="s">
        <v>4414</v>
      </c>
      <c r="C3609" s="2" t="s">
        <v>373</v>
      </c>
      <c r="D3609" s="2" t="s">
        <v>366</v>
      </c>
      <c r="E3609" s="2" t="s">
        <v>4647</v>
      </c>
      <c r="F3609" s="2">
        <v>11</v>
      </c>
      <c r="G3609" s="2">
        <v>11</v>
      </c>
      <c r="H3609" s="2">
        <v>0</v>
      </c>
      <c r="I3609" s="1">
        <v>0</v>
      </c>
      <c r="J3609" s="26">
        <v>45743</v>
      </c>
      <c r="K3609" s="22">
        <v>71500</v>
      </c>
      <c r="L3609" s="18">
        <v>76.47</v>
      </c>
      <c r="M3609" s="22">
        <v>54450</v>
      </c>
      <c r="N3609" s="22">
        <v>17050</v>
      </c>
      <c r="O3609" s="18">
        <v>18.239999999999998</v>
      </c>
      <c r="P3609" s="52">
        <f>IF(COUNTIF(TblPurchases[BatchID],TblOutcomes[[#This Row],[BatchID]])&lt;&gt;1,"n.a.",TblOutcomes[[#This Row],[Qty Wasted]]*SUMIFS(TblPurchases[Unit Cost (CLP)],TblPurchases[BatchID],TblOutcomes[[#This Row],[BatchID]]))</f>
        <v>0</v>
      </c>
      <c r="Q3609" s="51">
        <f>IF(COUNTIF(TblPurchases[BatchID],TblOutcomes[[#This Row],[BatchID]])&lt;&gt;1,"n.a.",SUMIFS(TblPurchases[Purchase Date],TblPurchases[BatchID],TblOutcomes[[#This Row],[BatchID]]))</f>
        <v>45727</v>
      </c>
    </row>
    <row r="3610" spans="2:17" x14ac:dyDescent="0.25">
      <c r="B3610" s="2" t="s">
        <v>4415</v>
      </c>
      <c r="C3610" s="2" t="s">
        <v>373</v>
      </c>
      <c r="D3610" s="2" t="s">
        <v>366</v>
      </c>
      <c r="E3610" s="2" t="s">
        <v>4646</v>
      </c>
      <c r="F3610" s="2">
        <v>10</v>
      </c>
      <c r="G3610" s="2">
        <v>9.4</v>
      </c>
      <c r="H3610" s="2">
        <v>0.6</v>
      </c>
      <c r="I3610" s="1">
        <v>6</v>
      </c>
      <c r="J3610" s="26">
        <v>45923</v>
      </c>
      <c r="K3610" s="22">
        <v>61100</v>
      </c>
      <c r="L3610" s="18">
        <v>65.349999999999994</v>
      </c>
      <c r="M3610" s="22">
        <v>49500</v>
      </c>
      <c r="N3610" s="22">
        <v>11600</v>
      </c>
      <c r="O3610" s="18">
        <v>12.41</v>
      </c>
      <c r="P3610" s="52">
        <f>IF(COUNTIF(TblPurchases[BatchID],TblOutcomes[[#This Row],[BatchID]])&lt;&gt;1,"n.a.",TblOutcomes[[#This Row],[Qty Wasted]]*SUMIFS(TblPurchases[Unit Cost (CLP)],TblPurchases[BatchID],TblOutcomes[[#This Row],[BatchID]]))</f>
        <v>2970</v>
      </c>
      <c r="Q3610" s="51">
        <f>IF(COUNTIF(TblPurchases[BatchID],TblOutcomes[[#This Row],[BatchID]])&lt;&gt;1,"n.a.",SUMIFS(TblPurchases[Purchase Date],TblPurchases[BatchID],TblOutcomes[[#This Row],[BatchID]]))</f>
        <v>45743</v>
      </c>
    </row>
    <row r="3611" spans="2:17" x14ac:dyDescent="0.25">
      <c r="B3611" s="2" t="s">
        <v>4416</v>
      </c>
      <c r="C3611" s="2" t="s">
        <v>373</v>
      </c>
      <c r="D3611" s="2" t="s">
        <v>366</v>
      </c>
      <c r="E3611" s="2" t="s">
        <v>4647</v>
      </c>
      <c r="F3611" s="2">
        <v>10</v>
      </c>
      <c r="G3611" s="2">
        <v>10</v>
      </c>
      <c r="H3611" s="2">
        <v>0</v>
      </c>
      <c r="I3611" s="1">
        <v>0</v>
      </c>
      <c r="J3611" s="26">
        <v>45946</v>
      </c>
      <c r="K3611" s="22">
        <v>65000</v>
      </c>
      <c r="L3611" s="18">
        <v>69.52</v>
      </c>
      <c r="M3611" s="22">
        <v>49500</v>
      </c>
      <c r="N3611" s="22">
        <v>15500</v>
      </c>
      <c r="O3611" s="18">
        <v>16.579999999999998</v>
      </c>
      <c r="P3611" s="52">
        <f>IF(COUNTIF(TblPurchases[BatchID],TblOutcomes[[#This Row],[BatchID]])&lt;&gt;1,"n.a.",TblOutcomes[[#This Row],[Qty Wasted]]*SUMIFS(TblPurchases[Unit Cost (CLP)],TblPurchases[BatchID],TblOutcomes[[#This Row],[BatchID]]))</f>
        <v>0</v>
      </c>
      <c r="Q3611" s="51">
        <f>IF(COUNTIF(TblPurchases[BatchID],TblOutcomes[[#This Row],[BatchID]])&lt;&gt;1,"n.a.",SUMIFS(TblPurchases[Purchase Date],TblPurchases[BatchID],TblOutcomes[[#This Row],[BatchID]]))</f>
        <v>45766</v>
      </c>
    </row>
    <row r="3612" spans="2:17" x14ac:dyDescent="0.25">
      <c r="B3612" s="2" t="s">
        <v>4417</v>
      </c>
      <c r="C3612" s="2" t="s">
        <v>373</v>
      </c>
      <c r="D3612" s="2" t="s">
        <v>366</v>
      </c>
      <c r="E3612" s="2" t="s">
        <v>4646</v>
      </c>
      <c r="F3612" s="2">
        <v>11</v>
      </c>
      <c r="G3612" s="2">
        <v>10.44</v>
      </c>
      <c r="H3612" s="2">
        <v>0.56000000000000005</v>
      </c>
      <c r="I3612" s="1">
        <v>5.0999999999999996</v>
      </c>
      <c r="J3612" s="26">
        <v>45971</v>
      </c>
      <c r="K3612" s="22">
        <v>67860</v>
      </c>
      <c r="L3612" s="18">
        <v>72.58</v>
      </c>
      <c r="M3612" s="22">
        <v>54450</v>
      </c>
      <c r="N3612" s="22">
        <v>13410</v>
      </c>
      <c r="O3612" s="18">
        <v>14.34</v>
      </c>
      <c r="P3612" s="52">
        <f>IF(COUNTIF(TblPurchases[BatchID],TblOutcomes[[#This Row],[BatchID]])&lt;&gt;1,"n.a.",TblOutcomes[[#This Row],[Qty Wasted]]*SUMIFS(TblPurchases[Unit Cost (CLP)],TblPurchases[BatchID],TblOutcomes[[#This Row],[BatchID]]))</f>
        <v>2772.0000000000005</v>
      </c>
      <c r="Q3612" s="51">
        <f>IF(COUNTIF(TblPurchases[BatchID],TblOutcomes[[#This Row],[BatchID]])&lt;&gt;1,"n.a.",SUMIFS(TblPurchases[Purchase Date],TblPurchases[BatchID],TblOutcomes[[#This Row],[BatchID]]))</f>
        <v>45791</v>
      </c>
    </row>
    <row r="3613" spans="2:17" x14ac:dyDescent="0.25">
      <c r="B3613" s="2" t="s">
        <v>4418</v>
      </c>
      <c r="C3613" s="2" t="s">
        <v>373</v>
      </c>
      <c r="D3613" s="2" t="s">
        <v>366</v>
      </c>
      <c r="E3613" s="2" t="s">
        <v>4646</v>
      </c>
      <c r="F3613" s="2">
        <v>9</v>
      </c>
      <c r="G3613" s="2">
        <v>8.75</v>
      </c>
      <c r="H3613" s="2">
        <v>0.25</v>
      </c>
      <c r="I3613" s="1">
        <v>2.8</v>
      </c>
      <c r="J3613" s="26">
        <v>45998</v>
      </c>
      <c r="K3613" s="22">
        <v>56875</v>
      </c>
      <c r="L3613" s="18">
        <v>60.83</v>
      </c>
      <c r="M3613" s="22">
        <v>44550</v>
      </c>
      <c r="N3613" s="22">
        <v>12325</v>
      </c>
      <c r="O3613" s="18">
        <v>13.18</v>
      </c>
      <c r="P3613" s="52">
        <f>IF(COUNTIF(TblPurchases[BatchID],TblOutcomes[[#This Row],[BatchID]])&lt;&gt;1,"n.a.",TblOutcomes[[#This Row],[Qty Wasted]]*SUMIFS(TblPurchases[Unit Cost (CLP)],TblPurchases[BatchID],TblOutcomes[[#This Row],[BatchID]]))</f>
        <v>1237.5</v>
      </c>
      <c r="Q3613" s="51">
        <f>IF(COUNTIF(TblPurchases[BatchID],TblOutcomes[[#This Row],[BatchID]])&lt;&gt;1,"n.a.",SUMIFS(TblPurchases[Purchase Date],TblPurchases[BatchID],TblOutcomes[[#This Row],[BatchID]]))</f>
        <v>45818</v>
      </c>
    </row>
    <row r="3614" spans="2:17" x14ac:dyDescent="0.25">
      <c r="B3614" s="2" t="s">
        <v>4419</v>
      </c>
      <c r="C3614" s="2" t="s">
        <v>375</v>
      </c>
      <c r="D3614" s="2" t="s">
        <v>377</v>
      </c>
      <c r="E3614" s="2" t="s">
        <v>4647</v>
      </c>
      <c r="F3614" s="2">
        <v>23</v>
      </c>
      <c r="G3614" s="2">
        <v>23</v>
      </c>
      <c r="H3614" s="2">
        <v>0</v>
      </c>
      <c r="I3614" s="1">
        <v>0</v>
      </c>
      <c r="J3614" s="26">
        <v>45179</v>
      </c>
      <c r="K3614" s="22">
        <v>34500</v>
      </c>
      <c r="L3614" s="18">
        <v>36.9</v>
      </c>
      <c r="M3614" s="22">
        <v>23000</v>
      </c>
      <c r="N3614" s="22">
        <v>11500</v>
      </c>
      <c r="O3614" s="18">
        <v>12.3</v>
      </c>
      <c r="P3614" s="52">
        <f>IF(COUNTIF(TblPurchases[BatchID],TblOutcomes[[#This Row],[BatchID]])&lt;&gt;1,"n.a.",TblOutcomes[[#This Row],[Qty Wasted]]*SUMIFS(TblPurchases[Unit Cost (CLP)],TblPurchases[BatchID],TblOutcomes[[#This Row],[BatchID]]))</f>
        <v>0</v>
      </c>
      <c r="Q3614" s="51">
        <f>IF(COUNTIF(TblPurchases[BatchID],TblOutcomes[[#This Row],[BatchID]])&lt;&gt;1,"n.a.",SUMIFS(TblPurchases[Purchase Date],TblPurchases[BatchID],TblOutcomes[[#This Row],[BatchID]]))</f>
        <v>45153</v>
      </c>
    </row>
    <row r="3615" spans="2:17" x14ac:dyDescent="0.25">
      <c r="B3615" s="2" t="s">
        <v>4420</v>
      </c>
      <c r="C3615" s="2" t="s">
        <v>375</v>
      </c>
      <c r="D3615" s="2" t="s">
        <v>377</v>
      </c>
      <c r="E3615" s="2" t="s">
        <v>4647</v>
      </c>
      <c r="F3615" s="2">
        <v>19</v>
      </c>
      <c r="G3615" s="2">
        <v>19</v>
      </c>
      <c r="H3615" s="2">
        <v>0</v>
      </c>
      <c r="I3615" s="1">
        <v>0</v>
      </c>
      <c r="J3615" s="26">
        <v>45294</v>
      </c>
      <c r="K3615" s="22">
        <v>28500</v>
      </c>
      <c r="L3615" s="18">
        <v>30.48</v>
      </c>
      <c r="M3615" s="22">
        <v>19000</v>
      </c>
      <c r="N3615" s="22">
        <v>9500</v>
      </c>
      <c r="O3615" s="18">
        <v>10.16</v>
      </c>
      <c r="P3615" s="52">
        <f>IF(COUNTIF(TblPurchases[BatchID],TblOutcomes[[#This Row],[BatchID]])&lt;&gt;1,"n.a.",TblOutcomes[[#This Row],[Qty Wasted]]*SUMIFS(TblPurchases[Unit Cost (CLP)],TblPurchases[BatchID],TblOutcomes[[#This Row],[BatchID]]))</f>
        <v>0</v>
      </c>
      <c r="Q3615" s="51">
        <f>IF(COUNTIF(TblPurchases[BatchID],TblOutcomes[[#This Row],[BatchID]])&lt;&gt;1,"n.a.",SUMIFS(TblPurchases[Purchase Date],TblPurchases[BatchID],TblOutcomes[[#This Row],[BatchID]]))</f>
        <v>45227</v>
      </c>
    </row>
    <row r="3616" spans="2:17" x14ac:dyDescent="0.25">
      <c r="B3616" s="2" t="s">
        <v>4421</v>
      </c>
      <c r="C3616" s="2" t="s">
        <v>375</v>
      </c>
      <c r="D3616" s="2" t="s">
        <v>377</v>
      </c>
      <c r="E3616" s="2" t="s">
        <v>4647</v>
      </c>
      <c r="F3616" s="2">
        <v>20</v>
      </c>
      <c r="G3616" s="2">
        <v>20</v>
      </c>
      <c r="H3616" s="2">
        <v>0</v>
      </c>
      <c r="I3616" s="1">
        <v>0</v>
      </c>
      <c r="J3616" s="26">
        <v>48952</v>
      </c>
      <c r="K3616" s="22">
        <v>30000</v>
      </c>
      <c r="L3616" s="18">
        <v>32.090000000000003</v>
      </c>
      <c r="M3616" s="22">
        <v>20000</v>
      </c>
      <c r="N3616" s="22">
        <v>10000</v>
      </c>
      <c r="O3616" s="18">
        <v>10.7</v>
      </c>
      <c r="P3616" s="52">
        <f>IF(COUNTIF(TblPurchases[BatchID],TblOutcomes[[#This Row],[BatchID]])&lt;&gt;1,"n.a.",TblOutcomes[[#This Row],[Qty Wasted]]*SUMIFS(TblPurchases[Unit Cost (CLP)],TblPurchases[BatchID],TblOutcomes[[#This Row],[BatchID]]))</f>
        <v>0</v>
      </c>
      <c r="Q3616" s="51">
        <f>IF(COUNTIF(TblPurchases[BatchID],TblOutcomes[[#This Row],[BatchID]])&lt;&gt;1,"n.a.",SUMIFS(TblPurchases[Purchase Date],TblPurchases[BatchID],TblOutcomes[[#This Row],[BatchID]]))</f>
        <v>45302</v>
      </c>
    </row>
    <row r="3617" spans="2:17" x14ac:dyDescent="0.25">
      <c r="B3617" s="2" t="s">
        <v>4422</v>
      </c>
      <c r="C3617" s="2" t="s">
        <v>375</v>
      </c>
      <c r="D3617" s="2" t="s">
        <v>377</v>
      </c>
      <c r="E3617" s="2" t="s">
        <v>4647</v>
      </c>
      <c r="F3617" s="2">
        <v>18</v>
      </c>
      <c r="G3617" s="2">
        <v>18</v>
      </c>
      <c r="H3617" s="2">
        <v>0</v>
      </c>
      <c r="I3617" s="1">
        <v>0</v>
      </c>
      <c r="J3617" s="26">
        <v>45426</v>
      </c>
      <c r="K3617" s="22">
        <v>27000</v>
      </c>
      <c r="L3617" s="18">
        <v>28.88</v>
      </c>
      <c r="M3617" s="22">
        <v>18000</v>
      </c>
      <c r="N3617" s="22">
        <v>9000</v>
      </c>
      <c r="O3617" s="18">
        <v>9.6300000000000008</v>
      </c>
      <c r="P3617" s="52">
        <f>IF(COUNTIF(TblPurchases[BatchID],TblOutcomes[[#This Row],[BatchID]])&lt;&gt;1,"n.a.",TblOutcomes[[#This Row],[Qty Wasted]]*SUMIFS(TblPurchases[Unit Cost (CLP)],TblPurchases[BatchID],TblOutcomes[[#This Row],[BatchID]]))</f>
        <v>0</v>
      </c>
      <c r="Q3617" s="51">
        <f>IF(COUNTIF(TblPurchases[BatchID],TblOutcomes[[#This Row],[BatchID]])&lt;&gt;1,"n.a.",SUMIFS(TblPurchases[Purchase Date],TblPurchases[BatchID],TblOutcomes[[#This Row],[BatchID]]))</f>
        <v>45363</v>
      </c>
    </row>
    <row r="3618" spans="2:17" x14ac:dyDescent="0.25">
      <c r="B3618" s="2" t="s">
        <v>4423</v>
      </c>
      <c r="C3618" s="2" t="s">
        <v>375</v>
      </c>
      <c r="D3618" s="2" t="s">
        <v>377</v>
      </c>
      <c r="E3618" s="2" t="s">
        <v>4647</v>
      </c>
      <c r="F3618" s="2">
        <v>20</v>
      </c>
      <c r="G3618" s="2">
        <v>20</v>
      </c>
      <c r="H3618" s="2">
        <v>0</v>
      </c>
      <c r="I3618" s="1">
        <v>0</v>
      </c>
      <c r="J3618" s="26">
        <v>45481</v>
      </c>
      <c r="K3618" s="22">
        <v>30000</v>
      </c>
      <c r="L3618" s="18">
        <v>32.090000000000003</v>
      </c>
      <c r="M3618" s="22">
        <v>20000</v>
      </c>
      <c r="N3618" s="22">
        <v>10000</v>
      </c>
      <c r="O3618" s="18">
        <v>10.7</v>
      </c>
      <c r="P3618" s="52">
        <f>IF(COUNTIF(TblPurchases[BatchID],TblOutcomes[[#This Row],[BatchID]])&lt;&gt;1,"n.a.",TblOutcomes[[#This Row],[Qty Wasted]]*SUMIFS(TblPurchases[Unit Cost (CLP)],TblPurchases[BatchID],TblOutcomes[[#This Row],[BatchID]]))</f>
        <v>0</v>
      </c>
      <c r="Q3618" s="51">
        <f>IF(COUNTIF(TblPurchases[BatchID],TblOutcomes[[#This Row],[BatchID]])&lt;&gt;1,"n.a.",SUMIFS(TblPurchases[Purchase Date],TblPurchases[BatchID],TblOutcomes[[#This Row],[BatchID]]))</f>
        <v>45404</v>
      </c>
    </row>
    <row r="3619" spans="2:17" x14ac:dyDescent="0.25">
      <c r="B3619" s="2" t="s">
        <v>4424</v>
      </c>
      <c r="C3619" s="2" t="s">
        <v>375</v>
      </c>
      <c r="D3619" s="2" t="s">
        <v>377</v>
      </c>
      <c r="E3619" s="2" t="s">
        <v>4647</v>
      </c>
      <c r="F3619" s="2">
        <v>17</v>
      </c>
      <c r="G3619" s="2">
        <v>17</v>
      </c>
      <c r="H3619" s="2">
        <v>0</v>
      </c>
      <c r="I3619" s="1">
        <v>0</v>
      </c>
      <c r="J3619" s="26">
        <v>45508</v>
      </c>
      <c r="K3619" s="22">
        <v>25500</v>
      </c>
      <c r="L3619" s="18">
        <v>27.27</v>
      </c>
      <c r="M3619" s="22">
        <v>17850</v>
      </c>
      <c r="N3619" s="22">
        <v>7650</v>
      </c>
      <c r="O3619" s="18">
        <v>8.18</v>
      </c>
      <c r="P3619" s="52">
        <f>IF(COUNTIF(TblPurchases[BatchID],TblOutcomes[[#This Row],[BatchID]])&lt;&gt;1,"n.a.",TblOutcomes[[#This Row],[Qty Wasted]]*SUMIFS(TblPurchases[Unit Cost (CLP)],TblPurchases[BatchID],TblOutcomes[[#This Row],[BatchID]]))</f>
        <v>0</v>
      </c>
      <c r="Q3619" s="51">
        <f>IF(COUNTIF(TblPurchases[BatchID],TblOutcomes[[#This Row],[BatchID]])&lt;&gt;1,"n.a.",SUMIFS(TblPurchases[Purchase Date],TblPurchases[BatchID],TblOutcomes[[#This Row],[BatchID]]))</f>
        <v>45458</v>
      </c>
    </row>
    <row r="3620" spans="2:17" x14ac:dyDescent="0.25">
      <c r="B3620" s="2" t="s">
        <v>4425</v>
      </c>
      <c r="C3620" s="2" t="s">
        <v>375</v>
      </c>
      <c r="D3620" s="2" t="s">
        <v>377</v>
      </c>
      <c r="E3620" s="2" t="s">
        <v>4647</v>
      </c>
      <c r="F3620" s="2">
        <v>19</v>
      </c>
      <c r="G3620" s="2">
        <v>19</v>
      </c>
      <c r="H3620" s="2">
        <v>0</v>
      </c>
      <c r="I3620" s="1">
        <v>0</v>
      </c>
      <c r="J3620" s="26">
        <v>49171</v>
      </c>
      <c r="K3620" s="22">
        <v>28500</v>
      </c>
      <c r="L3620" s="18">
        <v>30.48</v>
      </c>
      <c r="M3620" s="22">
        <v>19000</v>
      </c>
      <c r="N3620" s="22">
        <v>9500</v>
      </c>
      <c r="O3620" s="18">
        <v>10.16</v>
      </c>
      <c r="P3620" s="52">
        <f>IF(COUNTIF(TblPurchases[BatchID],TblOutcomes[[#This Row],[BatchID]])&lt;&gt;1,"n.a.",TblOutcomes[[#This Row],[Qty Wasted]]*SUMIFS(TblPurchases[Unit Cost (CLP)],TblPurchases[BatchID],TblOutcomes[[#This Row],[BatchID]]))</f>
        <v>0</v>
      </c>
      <c r="Q3620" s="51">
        <f>IF(COUNTIF(TblPurchases[BatchID],TblOutcomes[[#This Row],[BatchID]])&lt;&gt;1,"n.a.",SUMIFS(TblPurchases[Purchase Date],TblPurchases[BatchID],TblOutcomes[[#This Row],[BatchID]]))</f>
        <v>45521</v>
      </c>
    </row>
    <row r="3621" spans="2:17" x14ac:dyDescent="0.25">
      <c r="B3621" s="2" t="s">
        <v>4426</v>
      </c>
      <c r="C3621" s="2" t="s">
        <v>375</v>
      </c>
      <c r="D3621" s="2" t="s">
        <v>377</v>
      </c>
      <c r="E3621" s="2" t="s">
        <v>4647</v>
      </c>
      <c r="F3621" s="2">
        <v>23</v>
      </c>
      <c r="G3621" s="2">
        <v>23</v>
      </c>
      <c r="H3621" s="2">
        <v>0</v>
      </c>
      <c r="I3621" s="1">
        <v>0</v>
      </c>
      <c r="J3621" s="26">
        <v>45607</v>
      </c>
      <c r="K3621" s="22">
        <v>34500</v>
      </c>
      <c r="L3621" s="18">
        <v>36.9</v>
      </c>
      <c r="M3621" s="22">
        <v>23000</v>
      </c>
      <c r="N3621" s="22">
        <v>11500</v>
      </c>
      <c r="O3621" s="18">
        <v>12.3</v>
      </c>
      <c r="P3621" s="52">
        <f>IF(COUNTIF(TblPurchases[BatchID],TblOutcomes[[#This Row],[BatchID]])&lt;&gt;1,"n.a.",TblOutcomes[[#This Row],[Qty Wasted]]*SUMIFS(TblPurchases[Unit Cost (CLP)],TblPurchases[BatchID],TblOutcomes[[#This Row],[BatchID]]))</f>
        <v>0</v>
      </c>
      <c r="Q3621" s="51">
        <f>IF(COUNTIF(TblPurchases[BatchID],TblOutcomes[[#This Row],[BatchID]])&lt;&gt;1,"n.a.",SUMIFS(TblPurchases[Purchase Date],TblPurchases[BatchID],TblOutcomes[[#This Row],[BatchID]]))</f>
        <v>45581</v>
      </c>
    </row>
    <row r="3622" spans="2:17" x14ac:dyDescent="0.25">
      <c r="B3622" s="2" t="s">
        <v>4427</v>
      </c>
      <c r="C3622" s="2" t="s">
        <v>375</v>
      </c>
      <c r="D3622" s="2" t="s">
        <v>377</v>
      </c>
      <c r="E3622" s="2" t="s">
        <v>4647</v>
      </c>
      <c r="F3622" s="2">
        <v>28</v>
      </c>
      <c r="G3622" s="2">
        <v>28</v>
      </c>
      <c r="H3622" s="2">
        <v>0</v>
      </c>
      <c r="I3622" s="1">
        <v>0</v>
      </c>
      <c r="J3622" s="26">
        <v>49294</v>
      </c>
      <c r="K3622" s="22">
        <v>42000</v>
      </c>
      <c r="L3622" s="18">
        <v>44.92</v>
      </c>
      <c r="M3622" s="22">
        <v>28000</v>
      </c>
      <c r="N3622" s="22">
        <v>14000</v>
      </c>
      <c r="O3622" s="18">
        <v>14.97</v>
      </c>
      <c r="P3622" s="52">
        <f>IF(COUNTIF(TblPurchases[BatchID],TblOutcomes[[#This Row],[BatchID]])&lt;&gt;1,"n.a.",TblOutcomes[[#This Row],[Qty Wasted]]*SUMIFS(TblPurchases[Unit Cost (CLP)],TblPurchases[BatchID],TblOutcomes[[#This Row],[BatchID]]))</f>
        <v>0</v>
      </c>
      <c r="Q3622" s="51">
        <f>IF(COUNTIF(TblPurchases[BatchID],TblOutcomes[[#This Row],[BatchID]])&lt;&gt;1,"n.a.",SUMIFS(TblPurchases[Purchase Date],TblPurchases[BatchID],TblOutcomes[[#This Row],[BatchID]]))</f>
        <v>45644</v>
      </c>
    </row>
    <row r="3623" spans="2:17" x14ac:dyDescent="0.25">
      <c r="B3623" s="2" t="s">
        <v>4428</v>
      </c>
      <c r="C3623" s="2" t="s">
        <v>375</v>
      </c>
      <c r="D3623" s="2" t="s">
        <v>377</v>
      </c>
      <c r="E3623" s="2" t="s">
        <v>4647</v>
      </c>
      <c r="F3623" s="2">
        <v>20</v>
      </c>
      <c r="G3623" s="2">
        <v>20</v>
      </c>
      <c r="H3623" s="2">
        <v>0</v>
      </c>
      <c r="I3623" s="1">
        <v>0</v>
      </c>
      <c r="J3623" s="26">
        <v>49366</v>
      </c>
      <c r="K3623" s="22">
        <v>30000</v>
      </c>
      <c r="L3623" s="18">
        <v>32.090000000000003</v>
      </c>
      <c r="M3623" s="22">
        <v>20000</v>
      </c>
      <c r="N3623" s="22">
        <v>10000</v>
      </c>
      <c r="O3623" s="18">
        <v>10.7</v>
      </c>
      <c r="P3623" s="52">
        <f>IF(COUNTIF(TblPurchases[BatchID],TblOutcomes[[#This Row],[BatchID]])&lt;&gt;1,"n.a.",TblOutcomes[[#This Row],[Qty Wasted]]*SUMIFS(TblPurchases[Unit Cost (CLP)],TblPurchases[BatchID],TblOutcomes[[#This Row],[BatchID]]))</f>
        <v>0</v>
      </c>
      <c r="Q3623" s="51">
        <f>IF(COUNTIF(TblPurchases[BatchID],TblOutcomes[[#This Row],[BatchID]])&lt;&gt;1,"n.a.",SUMIFS(TblPurchases[Purchase Date],TblPurchases[BatchID],TblOutcomes[[#This Row],[BatchID]]))</f>
        <v>45716</v>
      </c>
    </row>
    <row r="3624" spans="2:17" x14ac:dyDescent="0.25">
      <c r="B3624" s="2" t="s">
        <v>4429</v>
      </c>
      <c r="C3624" s="2" t="s">
        <v>375</v>
      </c>
      <c r="D3624" s="2" t="s">
        <v>377</v>
      </c>
      <c r="E3624" s="2" t="s">
        <v>4647</v>
      </c>
      <c r="F3624" s="2">
        <v>19</v>
      </c>
      <c r="G3624" s="2">
        <v>19</v>
      </c>
      <c r="H3624" s="2">
        <v>0</v>
      </c>
      <c r="I3624" s="1">
        <v>0</v>
      </c>
      <c r="J3624" s="26">
        <v>49417</v>
      </c>
      <c r="K3624" s="22">
        <v>28500</v>
      </c>
      <c r="L3624" s="18">
        <v>30.48</v>
      </c>
      <c r="M3624" s="22">
        <v>19000</v>
      </c>
      <c r="N3624" s="22">
        <v>9500</v>
      </c>
      <c r="O3624" s="18">
        <v>10.16</v>
      </c>
      <c r="P3624" s="52">
        <f>IF(COUNTIF(TblPurchases[BatchID],TblOutcomes[[#This Row],[BatchID]])&lt;&gt;1,"n.a.",TblOutcomes[[#This Row],[Qty Wasted]]*SUMIFS(TblPurchases[Unit Cost (CLP)],TblPurchases[BatchID],TblOutcomes[[#This Row],[BatchID]]))</f>
        <v>0</v>
      </c>
      <c r="Q3624" s="51">
        <f>IF(COUNTIF(TblPurchases[BatchID],TblOutcomes[[#This Row],[BatchID]])&lt;&gt;1,"n.a.",SUMIFS(TblPurchases[Purchase Date],TblPurchases[BatchID],TblOutcomes[[#This Row],[BatchID]]))</f>
        <v>45767</v>
      </c>
    </row>
    <row r="3625" spans="2:17" x14ac:dyDescent="0.25">
      <c r="B3625" s="2" t="s">
        <v>4430</v>
      </c>
      <c r="C3625" s="2" t="s">
        <v>375</v>
      </c>
      <c r="D3625" s="2" t="s">
        <v>377</v>
      </c>
      <c r="E3625" s="2" t="s">
        <v>4647</v>
      </c>
      <c r="F3625" s="2">
        <v>20</v>
      </c>
      <c r="G3625" s="2">
        <v>20</v>
      </c>
      <c r="H3625" s="2">
        <v>0</v>
      </c>
      <c r="I3625" s="1">
        <v>0</v>
      </c>
      <c r="J3625" s="26">
        <v>45847</v>
      </c>
      <c r="K3625" s="22">
        <v>30000</v>
      </c>
      <c r="L3625" s="18">
        <v>32.090000000000003</v>
      </c>
      <c r="M3625" s="22">
        <v>20000</v>
      </c>
      <c r="N3625" s="22">
        <v>10000</v>
      </c>
      <c r="O3625" s="18">
        <v>10.7</v>
      </c>
      <c r="P3625" s="52">
        <f>IF(COUNTIF(TblPurchases[BatchID],TblOutcomes[[#This Row],[BatchID]])&lt;&gt;1,"n.a.",TblOutcomes[[#This Row],[Qty Wasted]]*SUMIFS(TblPurchases[Unit Cost (CLP)],TblPurchases[BatchID],TblOutcomes[[#This Row],[BatchID]]))</f>
        <v>0</v>
      </c>
      <c r="Q3625" s="51">
        <f>IF(COUNTIF(TblPurchases[BatchID],TblOutcomes[[#This Row],[BatchID]])&lt;&gt;1,"n.a.",SUMIFS(TblPurchases[Purchase Date],TblPurchases[BatchID],TblOutcomes[[#This Row],[BatchID]]))</f>
        <v>45824</v>
      </c>
    </row>
    <row r="3626" spans="2:17" x14ac:dyDescent="0.25">
      <c r="B3626" s="2" t="s">
        <v>4431</v>
      </c>
      <c r="C3626" s="2" t="s">
        <v>379</v>
      </c>
      <c r="D3626" s="2" t="s">
        <v>377</v>
      </c>
      <c r="E3626" s="2" t="s">
        <v>4647</v>
      </c>
      <c r="F3626" s="2">
        <v>18</v>
      </c>
      <c r="G3626" s="2">
        <v>18</v>
      </c>
      <c r="H3626" s="2">
        <v>0</v>
      </c>
      <c r="I3626" s="1">
        <v>0</v>
      </c>
      <c r="J3626" s="26">
        <v>48805</v>
      </c>
      <c r="K3626" s="22">
        <v>36000</v>
      </c>
      <c r="L3626" s="18">
        <v>38.5</v>
      </c>
      <c r="M3626" s="22">
        <v>25200</v>
      </c>
      <c r="N3626" s="22">
        <v>10800</v>
      </c>
      <c r="O3626" s="18">
        <v>11.55</v>
      </c>
      <c r="P3626" s="52">
        <f>IF(COUNTIF(TblPurchases[BatchID],TblOutcomes[[#This Row],[BatchID]])&lt;&gt;1,"n.a.",TblOutcomes[[#This Row],[Qty Wasted]]*SUMIFS(TblPurchases[Unit Cost (CLP)],TblPurchases[BatchID],TblOutcomes[[#This Row],[BatchID]]))</f>
        <v>0</v>
      </c>
      <c r="Q3626" s="51">
        <f>IF(COUNTIF(TblPurchases[BatchID],TblOutcomes[[#This Row],[BatchID]])&lt;&gt;1,"n.a.",SUMIFS(TblPurchases[Purchase Date],TblPurchases[BatchID],TblOutcomes[[#This Row],[BatchID]]))</f>
        <v>45155</v>
      </c>
    </row>
    <row r="3627" spans="2:17" x14ac:dyDescent="0.25">
      <c r="B3627" s="2" t="s">
        <v>4432</v>
      </c>
      <c r="C3627" s="2" t="s">
        <v>379</v>
      </c>
      <c r="D3627" s="2" t="s">
        <v>377</v>
      </c>
      <c r="E3627" s="2" t="s">
        <v>4647</v>
      </c>
      <c r="F3627" s="2">
        <v>23</v>
      </c>
      <c r="G3627" s="2">
        <v>23</v>
      </c>
      <c r="H3627" s="2">
        <v>0</v>
      </c>
      <c r="I3627" s="1">
        <v>0</v>
      </c>
      <c r="J3627" s="26">
        <v>48865</v>
      </c>
      <c r="K3627" s="22">
        <v>46000</v>
      </c>
      <c r="L3627" s="18">
        <v>49.2</v>
      </c>
      <c r="M3627" s="22">
        <v>31050</v>
      </c>
      <c r="N3627" s="22">
        <v>14950</v>
      </c>
      <c r="O3627" s="18">
        <v>15.99</v>
      </c>
      <c r="P3627" s="52">
        <f>IF(COUNTIF(TblPurchases[BatchID],TblOutcomes[[#This Row],[BatchID]])&lt;&gt;1,"n.a.",TblOutcomes[[#This Row],[Qty Wasted]]*SUMIFS(TblPurchases[Unit Cost (CLP)],TblPurchases[BatchID],TblOutcomes[[#This Row],[BatchID]]))</f>
        <v>0</v>
      </c>
      <c r="Q3627" s="51">
        <f>IF(COUNTIF(TblPurchases[BatchID],TblOutcomes[[#This Row],[BatchID]])&lt;&gt;1,"n.a.",SUMIFS(TblPurchases[Purchase Date],TblPurchases[BatchID],TblOutcomes[[#This Row],[BatchID]]))</f>
        <v>45215</v>
      </c>
    </row>
    <row r="3628" spans="2:17" x14ac:dyDescent="0.25">
      <c r="B3628" s="2" t="s">
        <v>4433</v>
      </c>
      <c r="C3628" s="2" t="s">
        <v>379</v>
      </c>
      <c r="D3628" s="2" t="s">
        <v>377</v>
      </c>
      <c r="E3628" s="2" t="s">
        <v>4647</v>
      </c>
      <c r="F3628" s="2">
        <v>23</v>
      </c>
      <c r="G3628" s="2">
        <v>23</v>
      </c>
      <c r="H3628" s="2">
        <v>0</v>
      </c>
      <c r="I3628" s="1">
        <v>0</v>
      </c>
      <c r="J3628" s="26">
        <v>45350</v>
      </c>
      <c r="K3628" s="22">
        <v>46000</v>
      </c>
      <c r="L3628" s="18">
        <v>49.2</v>
      </c>
      <c r="M3628" s="22">
        <v>31050</v>
      </c>
      <c r="N3628" s="22">
        <v>14950</v>
      </c>
      <c r="O3628" s="18">
        <v>15.99</v>
      </c>
      <c r="P3628" s="52">
        <f>IF(COUNTIF(TblPurchases[BatchID],TblOutcomes[[#This Row],[BatchID]])&lt;&gt;1,"n.a.",TblOutcomes[[#This Row],[Qty Wasted]]*SUMIFS(TblPurchases[Unit Cost (CLP)],TblPurchases[BatchID],TblOutcomes[[#This Row],[BatchID]]))</f>
        <v>0</v>
      </c>
      <c r="Q3628" s="51">
        <f>IF(COUNTIF(TblPurchases[BatchID],TblOutcomes[[#This Row],[BatchID]])&lt;&gt;1,"n.a.",SUMIFS(TblPurchases[Purchase Date],TblPurchases[BatchID],TblOutcomes[[#This Row],[BatchID]]))</f>
        <v>45271</v>
      </c>
    </row>
    <row r="3629" spans="2:17" x14ac:dyDescent="0.25">
      <c r="B3629" s="2" t="s">
        <v>4434</v>
      </c>
      <c r="C3629" s="2" t="s">
        <v>379</v>
      </c>
      <c r="D3629" s="2" t="s">
        <v>377</v>
      </c>
      <c r="E3629" s="2" t="s">
        <v>4647</v>
      </c>
      <c r="F3629" s="2">
        <v>19</v>
      </c>
      <c r="G3629" s="2">
        <v>19</v>
      </c>
      <c r="H3629" s="2">
        <v>0</v>
      </c>
      <c r="I3629" s="1">
        <v>0</v>
      </c>
      <c r="J3629" s="26">
        <v>45378</v>
      </c>
      <c r="K3629" s="22">
        <v>38000</v>
      </c>
      <c r="L3629" s="18">
        <v>40.64</v>
      </c>
      <c r="M3629" s="22">
        <v>25650</v>
      </c>
      <c r="N3629" s="22">
        <v>12350</v>
      </c>
      <c r="O3629" s="18">
        <v>13.21</v>
      </c>
      <c r="P3629" s="52">
        <f>IF(COUNTIF(TblPurchases[BatchID],TblOutcomes[[#This Row],[BatchID]])&lt;&gt;1,"n.a.",TblOutcomes[[#This Row],[Qty Wasted]]*SUMIFS(TblPurchases[Unit Cost (CLP)],TblPurchases[BatchID],TblOutcomes[[#This Row],[BatchID]]))</f>
        <v>0</v>
      </c>
      <c r="Q3629" s="51">
        <f>IF(COUNTIF(TblPurchases[BatchID],TblOutcomes[[#This Row],[BatchID]])&lt;&gt;1,"n.a.",SUMIFS(TblPurchases[Purchase Date],TblPurchases[BatchID],TblOutcomes[[#This Row],[BatchID]]))</f>
        <v>45330</v>
      </c>
    </row>
    <row r="3630" spans="2:17" x14ac:dyDescent="0.25">
      <c r="B3630" s="2" t="s">
        <v>4435</v>
      </c>
      <c r="C3630" s="2" t="s">
        <v>379</v>
      </c>
      <c r="D3630" s="2" t="s">
        <v>377</v>
      </c>
      <c r="E3630" s="2" t="s">
        <v>4647</v>
      </c>
      <c r="F3630" s="2">
        <v>21</v>
      </c>
      <c r="G3630" s="2">
        <v>21</v>
      </c>
      <c r="H3630" s="2">
        <v>0</v>
      </c>
      <c r="I3630" s="1">
        <v>0</v>
      </c>
      <c r="J3630" s="26">
        <v>45447</v>
      </c>
      <c r="K3630" s="22">
        <v>42000</v>
      </c>
      <c r="L3630" s="18">
        <v>44.92</v>
      </c>
      <c r="M3630" s="22">
        <v>28350</v>
      </c>
      <c r="N3630" s="22">
        <v>13650</v>
      </c>
      <c r="O3630" s="18">
        <v>14.6</v>
      </c>
      <c r="P3630" s="52">
        <f>IF(COUNTIF(TblPurchases[BatchID],TblOutcomes[[#This Row],[BatchID]])&lt;&gt;1,"n.a.",TblOutcomes[[#This Row],[Qty Wasted]]*SUMIFS(TblPurchases[Unit Cost (CLP)],TblPurchases[BatchID],TblOutcomes[[#This Row],[BatchID]]))</f>
        <v>0</v>
      </c>
      <c r="Q3630" s="51">
        <f>IF(COUNTIF(TblPurchases[BatchID],TblOutcomes[[#This Row],[BatchID]])&lt;&gt;1,"n.a.",SUMIFS(TblPurchases[Purchase Date],TblPurchases[BatchID],TblOutcomes[[#This Row],[BatchID]]))</f>
        <v>45403</v>
      </c>
    </row>
    <row r="3631" spans="2:17" x14ac:dyDescent="0.25">
      <c r="B3631" s="2" t="s">
        <v>4436</v>
      </c>
      <c r="C3631" s="2" t="s">
        <v>379</v>
      </c>
      <c r="D3631" s="2" t="s">
        <v>377</v>
      </c>
      <c r="E3631" s="2" t="s">
        <v>4647</v>
      </c>
      <c r="F3631" s="2">
        <v>19</v>
      </c>
      <c r="G3631" s="2">
        <v>19</v>
      </c>
      <c r="H3631" s="2">
        <v>0</v>
      </c>
      <c r="I3631" s="1">
        <v>0</v>
      </c>
      <c r="J3631" s="26">
        <v>49118</v>
      </c>
      <c r="K3631" s="22">
        <v>38000</v>
      </c>
      <c r="L3631" s="18">
        <v>40.64</v>
      </c>
      <c r="M3631" s="22">
        <v>25650</v>
      </c>
      <c r="N3631" s="22">
        <v>12350</v>
      </c>
      <c r="O3631" s="18">
        <v>13.21</v>
      </c>
      <c r="P3631" s="52">
        <f>IF(COUNTIF(TblPurchases[BatchID],TblOutcomes[[#This Row],[BatchID]])&lt;&gt;1,"n.a.",TblOutcomes[[#This Row],[Qty Wasted]]*SUMIFS(TblPurchases[Unit Cost (CLP)],TblPurchases[BatchID],TblOutcomes[[#This Row],[BatchID]]))</f>
        <v>0</v>
      </c>
      <c r="Q3631" s="51">
        <f>IF(COUNTIF(TblPurchases[BatchID],TblOutcomes[[#This Row],[BatchID]])&lt;&gt;1,"n.a.",SUMIFS(TblPurchases[Purchase Date],TblPurchases[BatchID],TblOutcomes[[#This Row],[BatchID]]))</f>
        <v>45468</v>
      </c>
    </row>
    <row r="3632" spans="2:17" x14ac:dyDescent="0.25">
      <c r="B3632" s="2" t="s">
        <v>4437</v>
      </c>
      <c r="C3632" s="2" t="s">
        <v>379</v>
      </c>
      <c r="D3632" s="2" t="s">
        <v>377</v>
      </c>
      <c r="E3632" s="2" t="s">
        <v>4647</v>
      </c>
      <c r="F3632" s="2">
        <v>22</v>
      </c>
      <c r="G3632" s="2">
        <v>22</v>
      </c>
      <c r="H3632" s="2">
        <v>0</v>
      </c>
      <c r="I3632" s="1">
        <v>0</v>
      </c>
      <c r="J3632" s="26">
        <v>45596</v>
      </c>
      <c r="K3632" s="22">
        <v>44000</v>
      </c>
      <c r="L3632" s="18">
        <v>47.06</v>
      </c>
      <c r="M3632" s="22">
        <v>29700</v>
      </c>
      <c r="N3632" s="22">
        <v>14300</v>
      </c>
      <c r="O3632" s="18">
        <v>15.29</v>
      </c>
      <c r="P3632" s="52">
        <f>IF(COUNTIF(TblPurchases[BatchID],TblOutcomes[[#This Row],[BatchID]])&lt;&gt;1,"n.a.",TblOutcomes[[#This Row],[Qty Wasted]]*SUMIFS(TblPurchases[Unit Cost (CLP)],TblPurchases[BatchID],TblOutcomes[[#This Row],[BatchID]]))</f>
        <v>0</v>
      </c>
      <c r="Q3632" s="51">
        <f>IF(COUNTIF(TblPurchases[BatchID],TblOutcomes[[#This Row],[BatchID]])&lt;&gt;1,"n.a.",SUMIFS(TblPurchases[Purchase Date],TblPurchases[BatchID],TblOutcomes[[#This Row],[BatchID]]))</f>
        <v>45527</v>
      </c>
    </row>
    <row r="3633" spans="2:17" x14ac:dyDescent="0.25">
      <c r="B3633" s="2" t="s">
        <v>4438</v>
      </c>
      <c r="C3633" s="2" t="s">
        <v>379</v>
      </c>
      <c r="D3633" s="2" t="s">
        <v>377</v>
      </c>
      <c r="E3633" s="2" t="s">
        <v>4647</v>
      </c>
      <c r="F3633" s="2">
        <v>21</v>
      </c>
      <c r="G3633" s="2">
        <v>21</v>
      </c>
      <c r="H3633" s="2">
        <v>0</v>
      </c>
      <c r="I3633" s="1">
        <v>0</v>
      </c>
      <c r="J3633" s="26">
        <v>49223</v>
      </c>
      <c r="K3633" s="22">
        <v>42000</v>
      </c>
      <c r="L3633" s="18">
        <v>44.92</v>
      </c>
      <c r="M3633" s="22">
        <v>28350</v>
      </c>
      <c r="N3633" s="22">
        <v>13650</v>
      </c>
      <c r="O3633" s="18">
        <v>14.6</v>
      </c>
      <c r="P3633" s="52">
        <f>IF(COUNTIF(TblPurchases[BatchID],TblOutcomes[[#This Row],[BatchID]])&lt;&gt;1,"n.a.",TblOutcomes[[#This Row],[Qty Wasted]]*SUMIFS(TblPurchases[Unit Cost (CLP)],TblPurchases[BatchID],TblOutcomes[[#This Row],[BatchID]]))</f>
        <v>0</v>
      </c>
      <c r="Q3633" s="51">
        <f>IF(COUNTIF(TblPurchases[BatchID],TblOutcomes[[#This Row],[BatchID]])&lt;&gt;1,"n.a.",SUMIFS(TblPurchases[Purchase Date],TblPurchases[BatchID],TblOutcomes[[#This Row],[BatchID]]))</f>
        <v>45573</v>
      </c>
    </row>
    <row r="3634" spans="2:17" x14ac:dyDescent="0.25">
      <c r="B3634" s="2" t="s">
        <v>4439</v>
      </c>
      <c r="C3634" s="2" t="s">
        <v>379</v>
      </c>
      <c r="D3634" s="2" t="s">
        <v>377</v>
      </c>
      <c r="E3634" s="2" t="s">
        <v>4647</v>
      </c>
      <c r="F3634" s="2">
        <v>23</v>
      </c>
      <c r="G3634" s="2">
        <v>23</v>
      </c>
      <c r="H3634" s="2">
        <v>0</v>
      </c>
      <c r="I3634" s="1">
        <v>0</v>
      </c>
      <c r="J3634" s="26">
        <v>45684</v>
      </c>
      <c r="K3634" s="22">
        <v>46000</v>
      </c>
      <c r="L3634" s="18">
        <v>49.2</v>
      </c>
      <c r="M3634" s="22">
        <v>31050</v>
      </c>
      <c r="N3634" s="22">
        <v>14950</v>
      </c>
      <c r="O3634" s="18">
        <v>15.99</v>
      </c>
      <c r="P3634" s="52">
        <f>IF(COUNTIF(TblPurchases[BatchID],TblOutcomes[[#This Row],[BatchID]])&lt;&gt;1,"n.a.",TblOutcomes[[#This Row],[Qty Wasted]]*SUMIFS(TblPurchases[Unit Cost (CLP)],TblPurchases[BatchID],TblOutcomes[[#This Row],[BatchID]]))</f>
        <v>0</v>
      </c>
      <c r="Q3634" s="51">
        <f>IF(COUNTIF(TblPurchases[BatchID],TblOutcomes[[#This Row],[BatchID]])&lt;&gt;1,"n.a.",SUMIFS(TblPurchases[Purchase Date],TblPurchases[BatchID],TblOutcomes[[#This Row],[BatchID]]))</f>
        <v>45630</v>
      </c>
    </row>
    <row r="3635" spans="2:17" x14ac:dyDescent="0.25">
      <c r="B3635" s="2" t="s">
        <v>4440</v>
      </c>
      <c r="C3635" s="2" t="s">
        <v>379</v>
      </c>
      <c r="D3635" s="2" t="s">
        <v>377</v>
      </c>
      <c r="E3635" s="2" t="s">
        <v>4647</v>
      </c>
      <c r="F3635" s="2">
        <v>21</v>
      </c>
      <c r="G3635" s="2">
        <v>21</v>
      </c>
      <c r="H3635" s="2">
        <v>0</v>
      </c>
      <c r="I3635" s="1">
        <v>0</v>
      </c>
      <c r="J3635" s="26">
        <v>45781</v>
      </c>
      <c r="K3635" s="22">
        <v>42000</v>
      </c>
      <c r="L3635" s="18">
        <v>44.92</v>
      </c>
      <c r="M3635" s="22">
        <v>28350</v>
      </c>
      <c r="N3635" s="22">
        <v>13650</v>
      </c>
      <c r="O3635" s="18">
        <v>14.6</v>
      </c>
      <c r="P3635" s="52">
        <f>IF(COUNTIF(TblPurchases[BatchID],TblOutcomes[[#This Row],[BatchID]])&lt;&gt;1,"n.a.",TblOutcomes[[#This Row],[Qty Wasted]]*SUMIFS(TblPurchases[Unit Cost (CLP)],TblPurchases[BatchID],TblOutcomes[[#This Row],[BatchID]]))</f>
        <v>0</v>
      </c>
      <c r="Q3635" s="51">
        <f>IF(COUNTIF(TblPurchases[BatchID],TblOutcomes[[#This Row],[BatchID]])&lt;&gt;1,"n.a.",SUMIFS(TblPurchases[Purchase Date],TblPurchases[BatchID],TblOutcomes[[#This Row],[BatchID]]))</f>
        <v>45705</v>
      </c>
    </row>
    <row r="3636" spans="2:17" x14ac:dyDescent="0.25">
      <c r="B3636" s="2" t="s">
        <v>4441</v>
      </c>
      <c r="C3636" s="2" t="s">
        <v>379</v>
      </c>
      <c r="D3636" s="2" t="s">
        <v>377</v>
      </c>
      <c r="E3636" s="2" t="s">
        <v>4647</v>
      </c>
      <c r="F3636" s="2">
        <v>20</v>
      </c>
      <c r="G3636" s="2">
        <v>20</v>
      </c>
      <c r="H3636" s="2">
        <v>0</v>
      </c>
      <c r="I3636" s="1">
        <v>0</v>
      </c>
      <c r="J3636" s="26">
        <v>45812</v>
      </c>
      <c r="K3636" s="22">
        <v>40000</v>
      </c>
      <c r="L3636" s="18">
        <v>42.78</v>
      </c>
      <c r="M3636" s="22">
        <v>28000</v>
      </c>
      <c r="N3636" s="22">
        <v>12000</v>
      </c>
      <c r="O3636" s="18">
        <v>12.83</v>
      </c>
      <c r="P3636" s="52">
        <f>IF(COUNTIF(TblPurchases[BatchID],TblOutcomes[[#This Row],[BatchID]])&lt;&gt;1,"n.a.",TblOutcomes[[#This Row],[Qty Wasted]]*SUMIFS(TblPurchases[Unit Cost (CLP)],TblPurchases[BatchID],TblOutcomes[[#This Row],[BatchID]]))</f>
        <v>0</v>
      </c>
      <c r="Q3636" s="51">
        <f>IF(COUNTIF(TblPurchases[BatchID],TblOutcomes[[#This Row],[BatchID]])&lt;&gt;1,"n.a.",SUMIFS(TblPurchases[Purchase Date],TblPurchases[BatchID],TblOutcomes[[#This Row],[BatchID]]))</f>
        <v>45776</v>
      </c>
    </row>
    <row r="3637" spans="2:17" x14ac:dyDescent="0.25">
      <c r="B3637" s="2" t="s">
        <v>4442</v>
      </c>
      <c r="C3637" s="2" t="s">
        <v>379</v>
      </c>
      <c r="D3637" s="2" t="s">
        <v>377</v>
      </c>
      <c r="E3637" s="2" t="s">
        <v>4647</v>
      </c>
      <c r="F3637" s="2">
        <v>20</v>
      </c>
      <c r="G3637" s="2">
        <v>20</v>
      </c>
      <c r="H3637" s="2">
        <v>0</v>
      </c>
      <c r="I3637" s="1">
        <v>0</v>
      </c>
      <c r="J3637" s="26">
        <v>45854</v>
      </c>
      <c r="K3637" s="22">
        <v>40000</v>
      </c>
      <c r="L3637" s="18">
        <v>42.78</v>
      </c>
      <c r="M3637" s="22">
        <v>28000</v>
      </c>
      <c r="N3637" s="22">
        <v>12000</v>
      </c>
      <c r="O3637" s="18">
        <v>12.83</v>
      </c>
      <c r="P3637" s="52">
        <f>IF(COUNTIF(TblPurchases[BatchID],TblOutcomes[[#This Row],[BatchID]])&lt;&gt;1,"n.a.",TblOutcomes[[#This Row],[Qty Wasted]]*SUMIFS(TblPurchases[Unit Cost (CLP)],TblPurchases[BatchID],TblOutcomes[[#This Row],[BatchID]]))</f>
        <v>0</v>
      </c>
      <c r="Q3637" s="51">
        <f>IF(COUNTIF(TblPurchases[BatchID],TblOutcomes[[#This Row],[BatchID]])&lt;&gt;1,"n.a.",SUMIFS(TblPurchases[Purchase Date],TblPurchases[BatchID],TblOutcomes[[#This Row],[BatchID]]))</f>
        <v>45829</v>
      </c>
    </row>
    <row r="3638" spans="2:17" x14ac:dyDescent="0.25">
      <c r="B3638" s="2" t="s">
        <v>4443</v>
      </c>
      <c r="C3638" s="2" t="s">
        <v>381</v>
      </c>
      <c r="D3638" s="2" t="s">
        <v>377</v>
      </c>
      <c r="E3638" s="2" t="s">
        <v>4647</v>
      </c>
      <c r="F3638" s="2">
        <v>19</v>
      </c>
      <c r="G3638" s="2">
        <v>19</v>
      </c>
      <c r="H3638" s="2">
        <v>0</v>
      </c>
      <c r="I3638" s="1">
        <v>0</v>
      </c>
      <c r="J3638" s="26">
        <v>45172</v>
      </c>
      <c r="K3638" s="22">
        <v>47500</v>
      </c>
      <c r="L3638" s="18">
        <v>50.8</v>
      </c>
      <c r="M3638" s="22">
        <v>31350</v>
      </c>
      <c r="N3638" s="22">
        <v>16150</v>
      </c>
      <c r="O3638" s="18">
        <v>17.27</v>
      </c>
      <c r="P3638" s="52">
        <f>IF(COUNTIF(TblPurchases[BatchID],TblOutcomes[[#This Row],[BatchID]])&lt;&gt;1,"n.a.",TblOutcomes[[#This Row],[Qty Wasted]]*SUMIFS(TblPurchases[Unit Cost (CLP)],TblPurchases[BatchID],TblOutcomes[[#This Row],[BatchID]]))</f>
        <v>0</v>
      </c>
      <c r="Q3638" s="51">
        <f>IF(COUNTIF(TblPurchases[BatchID],TblOutcomes[[#This Row],[BatchID]])&lt;&gt;1,"n.a.",SUMIFS(TblPurchases[Purchase Date],TblPurchases[BatchID],TblOutcomes[[#This Row],[BatchID]]))</f>
        <v>45121</v>
      </c>
    </row>
    <row r="3639" spans="2:17" x14ac:dyDescent="0.25">
      <c r="B3639" s="2" t="s">
        <v>4444</v>
      </c>
      <c r="C3639" s="2" t="s">
        <v>381</v>
      </c>
      <c r="D3639" s="2" t="s">
        <v>377</v>
      </c>
      <c r="E3639" s="2" t="s">
        <v>4647</v>
      </c>
      <c r="F3639" s="2">
        <v>27</v>
      </c>
      <c r="G3639" s="2">
        <v>27</v>
      </c>
      <c r="H3639" s="2">
        <v>0</v>
      </c>
      <c r="I3639" s="1">
        <v>0</v>
      </c>
      <c r="J3639" s="26">
        <v>45206</v>
      </c>
      <c r="K3639" s="22">
        <v>67500</v>
      </c>
      <c r="L3639" s="18">
        <v>72.19</v>
      </c>
      <c r="M3639" s="22">
        <v>44550</v>
      </c>
      <c r="N3639" s="22">
        <v>22950</v>
      </c>
      <c r="O3639" s="18">
        <v>24.55</v>
      </c>
      <c r="P3639" s="52">
        <f>IF(COUNTIF(TblPurchases[BatchID],TblOutcomes[[#This Row],[BatchID]])&lt;&gt;1,"n.a.",TblOutcomes[[#This Row],[Qty Wasted]]*SUMIFS(TblPurchases[Unit Cost (CLP)],TblPurchases[BatchID],TblOutcomes[[#This Row],[BatchID]]))</f>
        <v>0</v>
      </c>
      <c r="Q3639" s="51">
        <f>IF(COUNTIF(TblPurchases[BatchID],TblOutcomes[[#This Row],[BatchID]])&lt;&gt;1,"n.a.",SUMIFS(TblPurchases[Purchase Date],TblPurchases[BatchID],TblOutcomes[[#This Row],[BatchID]]))</f>
        <v>45175</v>
      </c>
    </row>
    <row r="3640" spans="2:17" x14ac:dyDescent="0.25">
      <c r="B3640" s="2" t="s">
        <v>4445</v>
      </c>
      <c r="C3640" s="2" t="s">
        <v>381</v>
      </c>
      <c r="D3640" s="2" t="s">
        <v>377</v>
      </c>
      <c r="E3640" s="2" t="s">
        <v>4647</v>
      </c>
      <c r="F3640" s="2">
        <v>19</v>
      </c>
      <c r="G3640" s="2">
        <v>19</v>
      </c>
      <c r="H3640" s="2">
        <v>0</v>
      </c>
      <c r="I3640" s="1">
        <v>0</v>
      </c>
      <c r="J3640" s="26">
        <v>48897</v>
      </c>
      <c r="K3640" s="22">
        <v>47500</v>
      </c>
      <c r="L3640" s="18">
        <v>50.8</v>
      </c>
      <c r="M3640" s="22">
        <v>34200</v>
      </c>
      <c r="N3640" s="22">
        <v>13300</v>
      </c>
      <c r="O3640" s="18">
        <v>14.22</v>
      </c>
      <c r="P3640" s="52">
        <f>IF(COUNTIF(TblPurchases[BatchID],TblOutcomes[[#This Row],[BatchID]])&lt;&gt;1,"n.a.",TblOutcomes[[#This Row],[Qty Wasted]]*SUMIFS(TblPurchases[Unit Cost (CLP)],TblPurchases[BatchID],TblOutcomes[[#This Row],[BatchID]]))</f>
        <v>0</v>
      </c>
      <c r="Q3640" s="51">
        <f>IF(COUNTIF(TblPurchases[BatchID],TblOutcomes[[#This Row],[BatchID]])&lt;&gt;1,"n.a.",SUMIFS(TblPurchases[Purchase Date],TblPurchases[BatchID],TblOutcomes[[#This Row],[BatchID]]))</f>
        <v>45247</v>
      </c>
    </row>
    <row r="3641" spans="2:17" x14ac:dyDescent="0.25">
      <c r="B3641" s="2" t="s">
        <v>4446</v>
      </c>
      <c r="C3641" s="2" t="s">
        <v>381</v>
      </c>
      <c r="D3641" s="2" t="s">
        <v>377</v>
      </c>
      <c r="E3641" s="2" t="s">
        <v>4647</v>
      </c>
      <c r="F3641" s="2">
        <v>24</v>
      </c>
      <c r="G3641" s="2">
        <v>24</v>
      </c>
      <c r="H3641" s="2">
        <v>0</v>
      </c>
      <c r="I3641" s="1">
        <v>0</v>
      </c>
      <c r="J3641" s="26">
        <v>45355</v>
      </c>
      <c r="K3641" s="22">
        <v>60000</v>
      </c>
      <c r="L3641" s="18">
        <v>64.17</v>
      </c>
      <c r="M3641" s="22">
        <v>39600</v>
      </c>
      <c r="N3641" s="22">
        <v>20400</v>
      </c>
      <c r="O3641" s="18">
        <v>21.82</v>
      </c>
      <c r="P3641" s="52">
        <f>IF(COUNTIF(TblPurchases[BatchID],TblOutcomes[[#This Row],[BatchID]])&lt;&gt;1,"n.a.",TblOutcomes[[#This Row],[Qty Wasted]]*SUMIFS(TblPurchases[Unit Cost (CLP)],TblPurchases[BatchID],TblOutcomes[[#This Row],[BatchID]]))</f>
        <v>0</v>
      </c>
      <c r="Q3641" s="51">
        <f>IF(COUNTIF(TblPurchases[BatchID],TblOutcomes[[#This Row],[BatchID]])&lt;&gt;1,"n.a.",SUMIFS(TblPurchases[Purchase Date],TblPurchases[BatchID],TblOutcomes[[#This Row],[BatchID]]))</f>
        <v>45283</v>
      </c>
    </row>
    <row r="3642" spans="2:17" x14ac:dyDescent="0.25">
      <c r="B3642" s="2" t="s">
        <v>4447</v>
      </c>
      <c r="C3642" s="2" t="s">
        <v>381</v>
      </c>
      <c r="D3642" s="2" t="s">
        <v>377</v>
      </c>
      <c r="E3642" s="2" t="s">
        <v>4647</v>
      </c>
      <c r="F3642" s="2">
        <v>22</v>
      </c>
      <c r="G3642" s="2">
        <v>22</v>
      </c>
      <c r="H3642" s="2">
        <v>0</v>
      </c>
      <c r="I3642" s="1">
        <v>0</v>
      </c>
      <c r="J3642" s="26">
        <v>45408</v>
      </c>
      <c r="K3642" s="22">
        <v>55000</v>
      </c>
      <c r="L3642" s="18">
        <v>58.82</v>
      </c>
      <c r="M3642" s="22">
        <v>36300</v>
      </c>
      <c r="N3642" s="22">
        <v>18700</v>
      </c>
      <c r="O3642" s="18">
        <v>20</v>
      </c>
      <c r="P3642" s="52">
        <f>IF(COUNTIF(TblPurchases[BatchID],TblOutcomes[[#This Row],[BatchID]])&lt;&gt;1,"n.a.",TblOutcomes[[#This Row],[Qty Wasted]]*SUMIFS(TblPurchases[Unit Cost (CLP)],TblPurchases[BatchID],TblOutcomes[[#This Row],[BatchID]]))</f>
        <v>0</v>
      </c>
      <c r="Q3642" s="51">
        <f>IF(COUNTIF(TblPurchases[BatchID],TblOutcomes[[#This Row],[BatchID]])&lt;&gt;1,"n.a.",SUMIFS(TblPurchases[Purchase Date],TblPurchases[BatchID],TblOutcomes[[#This Row],[BatchID]]))</f>
        <v>45346</v>
      </c>
    </row>
    <row r="3643" spans="2:17" x14ac:dyDescent="0.25">
      <c r="B3643" s="2" t="s">
        <v>4448</v>
      </c>
      <c r="C3643" s="2" t="s">
        <v>381</v>
      </c>
      <c r="D3643" s="2" t="s">
        <v>377</v>
      </c>
      <c r="E3643" s="2" t="s">
        <v>4647</v>
      </c>
      <c r="F3643" s="2">
        <v>23</v>
      </c>
      <c r="G3643" s="2">
        <v>23</v>
      </c>
      <c r="H3643" s="2">
        <v>0</v>
      </c>
      <c r="I3643" s="1">
        <v>0</v>
      </c>
      <c r="J3643" s="26">
        <v>45482</v>
      </c>
      <c r="K3643" s="22">
        <v>57500</v>
      </c>
      <c r="L3643" s="18">
        <v>61.5</v>
      </c>
      <c r="M3643" s="22">
        <v>37950</v>
      </c>
      <c r="N3643" s="22">
        <v>19550</v>
      </c>
      <c r="O3643" s="18">
        <v>20.91</v>
      </c>
      <c r="P3643" s="52">
        <f>IF(COUNTIF(TblPurchases[BatchID],TblOutcomes[[#This Row],[BatchID]])&lt;&gt;1,"n.a.",TblOutcomes[[#This Row],[Qty Wasted]]*SUMIFS(TblPurchases[Unit Cost (CLP)],TblPurchases[BatchID],TblOutcomes[[#This Row],[BatchID]]))</f>
        <v>0</v>
      </c>
      <c r="Q3643" s="51">
        <f>IF(COUNTIF(TblPurchases[BatchID],TblOutcomes[[#This Row],[BatchID]])&lt;&gt;1,"n.a.",SUMIFS(TblPurchases[Purchase Date],TblPurchases[BatchID],TblOutcomes[[#This Row],[BatchID]]))</f>
        <v>45416</v>
      </c>
    </row>
    <row r="3644" spans="2:17" x14ac:dyDescent="0.25">
      <c r="B3644" s="2" t="s">
        <v>4449</v>
      </c>
      <c r="C3644" s="2" t="s">
        <v>381</v>
      </c>
      <c r="D3644" s="2" t="s">
        <v>377</v>
      </c>
      <c r="E3644" s="2" t="s">
        <v>4647</v>
      </c>
      <c r="F3644" s="2">
        <v>21</v>
      </c>
      <c r="G3644" s="2">
        <v>21</v>
      </c>
      <c r="H3644" s="2">
        <v>0</v>
      </c>
      <c r="I3644" s="1">
        <v>0</v>
      </c>
      <c r="J3644" s="26">
        <v>45534</v>
      </c>
      <c r="K3644" s="22">
        <v>52500</v>
      </c>
      <c r="L3644" s="18">
        <v>56.15</v>
      </c>
      <c r="M3644" s="22">
        <v>34650</v>
      </c>
      <c r="N3644" s="22">
        <v>17850</v>
      </c>
      <c r="O3644" s="18">
        <v>19.09</v>
      </c>
      <c r="P3644" s="52">
        <f>IF(COUNTIF(TblPurchases[BatchID],TblOutcomes[[#This Row],[BatchID]])&lt;&gt;1,"n.a.",TblOutcomes[[#This Row],[Qty Wasted]]*SUMIFS(TblPurchases[Unit Cost (CLP)],TblPurchases[BatchID],TblOutcomes[[#This Row],[BatchID]]))</f>
        <v>0</v>
      </c>
      <c r="Q3644" s="51">
        <f>IF(COUNTIF(TblPurchases[BatchID],TblOutcomes[[#This Row],[BatchID]])&lt;&gt;1,"n.a.",SUMIFS(TblPurchases[Purchase Date],TblPurchases[BatchID],TblOutcomes[[#This Row],[BatchID]]))</f>
        <v>45479</v>
      </c>
    </row>
    <row r="3645" spans="2:17" x14ac:dyDescent="0.25">
      <c r="B3645" s="2" t="s">
        <v>4450</v>
      </c>
      <c r="C3645" s="2" t="s">
        <v>381</v>
      </c>
      <c r="D3645" s="2" t="s">
        <v>377</v>
      </c>
      <c r="E3645" s="2" t="s">
        <v>4647</v>
      </c>
      <c r="F3645" s="2">
        <v>23</v>
      </c>
      <c r="G3645" s="2">
        <v>23</v>
      </c>
      <c r="H3645" s="2">
        <v>0</v>
      </c>
      <c r="I3645" s="1">
        <v>0</v>
      </c>
      <c r="J3645" s="26">
        <v>45609</v>
      </c>
      <c r="K3645" s="22">
        <v>57500</v>
      </c>
      <c r="L3645" s="18">
        <v>61.5</v>
      </c>
      <c r="M3645" s="22">
        <v>41400</v>
      </c>
      <c r="N3645" s="22">
        <v>16100</v>
      </c>
      <c r="O3645" s="18">
        <v>17.22</v>
      </c>
      <c r="P3645" s="52">
        <f>IF(COUNTIF(TblPurchases[BatchID],TblOutcomes[[#This Row],[BatchID]])&lt;&gt;1,"n.a.",TblOutcomes[[#This Row],[Qty Wasted]]*SUMIFS(TblPurchases[Unit Cost (CLP)],TblPurchases[BatchID],TblOutcomes[[#This Row],[BatchID]]))</f>
        <v>0</v>
      </c>
      <c r="Q3645" s="51">
        <f>IF(COUNTIF(TblPurchases[BatchID],TblOutcomes[[#This Row],[BatchID]])&lt;&gt;1,"n.a.",SUMIFS(TblPurchases[Purchase Date],TblPurchases[BatchID],TblOutcomes[[#This Row],[BatchID]]))</f>
        <v>45545</v>
      </c>
    </row>
    <row r="3646" spans="2:17" x14ac:dyDescent="0.25">
      <c r="B3646" s="2" t="s">
        <v>4451</v>
      </c>
      <c r="C3646" s="2" t="s">
        <v>381</v>
      </c>
      <c r="D3646" s="2" t="s">
        <v>377</v>
      </c>
      <c r="E3646" s="2" t="s">
        <v>4647</v>
      </c>
      <c r="F3646" s="2">
        <v>20</v>
      </c>
      <c r="G3646" s="2">
        <v>20</v>
      </c>
      <c r="H3646" s="2">
        <v>0</v>
      </c>
      <c r="I3646" s="1">
        <v>0</v>
      </c>
      <c r="J3646" s="26">
        <v>49263</v>
      </c>
      <c r="K3646" s="22">
        <v>50000</v>
      </c>
      <c r="L3646" s="18">
        <v>53.48</v>
      </c>
      <c r="M3646" s="22">
        <v>33000</v>
      </c>
      <c r="N3646" s="22">
        <v>17000</v>
      </c>
      <c r="O3646" s="18">
        <v>18.18</v>
      </c>
      <c r="P3646" s="52">
        <f>IF(COUNTIF(TblPurchases[BatchID],TblOutcomes[[#This Row],[BatchID]])&lt;&gt;1,"n.a.",TblOutcomes[[#This Row],[Qty Wasted]]*SUMIFS(TblPurchases[Unit Cost (CLP)],TblPurchases[BatchID],TblOutcomes[[#This Row],[BatchID]]))</f>
        <v>0</v>
      </c>
      <c r="Q3646" s="51">
        <f>IF(COUNTIF(TblPurchases[BatchID],TblOutcomes[[#This Row],[BatchID]])&lt;&gt;1,"n.a.",SUMIFS(TblPurchases[Purchase Date],TblPurchases[BatchID],TblOutcomes[[#This Row],[BatchID]]))</f>
        <v>45613</v>
      </c>
    </row>
    <row r="3647" spans="2:17" x14ac:dyDescent="0.25">
      <c r="B3647" s="2" t="s">
        <v>4452</v>
      </c>
      <c r="C3647" s="2" t="s">
        <v>381</v>
      </c>
      <c r="D3647" s="2" t="s">
        <v>377</v>
      </c>
      <c r="E3647" s="2" t="s">
        <v>4647</v>
      </c>
      <c r="F3647" s="2">
        <v>24</v>
      </c>
      <c r="G3647" s="2">
        <v>24</v>
      </c>
      <c r="H3647" s="2">
        <v>0</v>
      </c>
      <c r="I3647" s="1">
        <v>0</v>
      </c>
      <c r="J3647" s="26">
        <v>49326</v>
      </c>
      <c r="K3647" s="22">
        <v>60000</v>
      </c>
      <c r="L3647" s="18">
        <v>64.17</v>
      </c>
      <c r="M3647" s="22">
        <v>43200</v>
      </c>
      <c r="N3647" s="22">
        <v>16800</v>
      </c>
      <c r="O3647" s="18">
        <v>17.97</v>
      </c>
      <c r="P3647" s="52">
        <f>IF(COUNTIF(TblPurchases[BatchID],TblOutcomes[[#This Row],[BatchID]])&lt;&gt;1,"n.a.",TblOutcomes[[#This Row],[Qty Wasted]]*SUMIFS(TblPurchases[Unit Cost (CLP)],TblPurchases[BatchID],TblOutcomes[[#This Row],[BatchID]]))</f>
        <v>0</v>
      </c>
      <c r="Q3647" s="51">
        <f>IF(COUNTIF(TblPurchases[BatchID],TblOutcomes[[#This Row],[BatchID]])&lt;&gt;1,"n.a.",SUMIFS(TblPurchases[Purchase Date],TblPurchases[BatchID],TblOutcomes[[#This Row],[BatchID]]))</f>
        <v>45676</v>
      </c>
    </row>
    <row r="3648" spans="2:17" x14ac:dyDescent="0.25">
      <c r="B3648" s="2" t="s">
        <v>4453</v>
      </c>
      <c r="C3648" s="2" t="s">
        <v>381</v>
      </c>
      <c r="D3648" s="2" t="s">
        <v>377</v>
      </c>
      <c r="E3648" s="2" t="s">
        <v>4647</v>
      </c>
      <c r="F3648" s="2">
        <v>20</v>
      </c>
      <c r="G3648" s="2">
        <v>20</v>
      </c>
      <c r="H3648" s="2">
        <v>0</v>
      </c>
      <c r="I3648" s="1">
        <v>0</v>
      </c>
      <c r="J3648" s="26">
        <v>45804</v>
      </c>
      <c r="K3648" s="22">
        <v>50000</v>
      </c>
      <c r="L3648" s="18">
        <v>53.48</v>
      </c>
      <c r="M3648" s="22">
        <v>33000</v>
      </c>
      <c r="N3648" s="22">
        <v>17000</v>
      </c>
      <c r="O3648" s="18">
        <v>18.18</v>
      </c>
      <c r="P3648" s="52">
        <f>IF(COUNTIF(TblPurchases[BatchID],TblOutcomes[[#This Row],[BatchID]])&lt;&gt;1,"n.a.",TblOutcomes[[#This Row],[Qty Wasted]]*SUMIFS(TblPurchases[Unit Cost (CLP)],TblPurchases[BatchID],TblOutcomes[[#This Row],[BatchID]]))</f>
        <v>0</v>
      </c>
      <c r="Q3648" s="51">
        <f>IF(COUNTIF(TblPurchases[BatchID],TblOutcomes[[#This Row],[BatchID]])&lt;&gt;1,"n.a.",SUMIFS(TblPurchases[Purchase Date],TblPurchases[BatchID],TblOutcomes[[#This Row],[BatchID]]))</f>
        <v>45731</v>
      </c>
    </row>
    <row r="3649" spans="2:17" x14ac:dyDescent="0.25">
      <c r="B3649" s="2" t="s">
        <v>4454</v>
      </c>
      <c r="C3649" s="2" t="s">
        <v>381</v>
      </c>
      <c r="D3649" s="2" t="s">
        <v>377</v>
      </c>
      <c r="E3649" s="2" t="s">
        <v>4647</v>
      </c>
      <c r="F3649" s="2">
        <v>24</v>
      </c>
      <c r="G3649" s="2">
        <v>24</v>
      </c>
      <c r="H3649" s="2">
        <v>0</v>
      </c>
      <c r="I3649" s="1">
        <v>0</v>
      </c>
      <c r="J3649" s="26">
        <v>45819</v>
      </c>
      <c r="K3649" s="22">
        <v>60000</v>
      </c>
      <c r="L3649" s="18">
        <v>64.17</v>
      </c>
      <c r="M3649" s="22">
        <v>39600</v>
      </c>
      <c r="N3649" s="22">
        <v>20400</v>
      </c>
      <c r="O3649" s="18">
        <v>21.82</v>
      </c>
      <c r="P3649" s="52">
        <f>IF(COUNTIF(TblPurchases[BatchID],TblOutcomes[[#This Row],[BatchID]])&lt;&gt;1,"n.a.",TblOutcomes[[#This Row],[Qty Wasted]]*SUMIFS(TblPurchases[Unit Cost (CLP)],TblPurchases[BatchID],TblOutcomes[[#This Row],[BatchID]]))</f>
        <v>0</v>
      </c>
      <c r="Q3649" s="51">
        <f>IF(COUNTIF(TblPurchases[BatchID],TblOutcomes[[#This Row],[BatchID]])&lt;&gt;1,"n.a.",SUMIFS(TblPurchases[Purchase Date],TblPurchases[BatchID],TblOutcomes[[#This Row],[BatchID]]))</f>
        <v>45792</v>
      </c>
    </row>
    <row r="3650" spans="2:17" x14ac:dyDescent="0.25">
      <c r="B3650" s="2" t="s">
        <v>4455</v>
      </c>
      <c r="C3650" s="2" t="s">
        <v>383</v>
      </c>
      <c r="D3650" s="2" t="s">
        <v>377</v>
      </c>
      <c r="E3650" s="2" t="s">
        <v>4647</v>
      </c>
      <c r="F3650" s="2">
        <v>20</v>
      </c>
      <c r="G3650" s="2">
        <v>20</v>
      </c>
      <c r="H3650" s="2">
        <v>0</v>
      </c>
      <c r="I3650" s="1">
        <v>0</v>
      </c>
      <c r="J3650" s="26">
        <v>45210</v>
      </c>
      <c r="K3650" s="22">
        <v>60000</v>
      </c>
      <c r="L3650" s="18">
        <v>64.17</v>
      </c>
      <c r="M3650" s="22">
        <v>41000</v>
      </c>
      <c r="N3650" s="22">
        <v>19000</v>
      </c>
      <c r="O3650" s="18">
        <v>20.32</v>
      </c>
      <c r="P3650" s="52">
        <f>IF(COUNTIF(TblPurchases[BatchID],TblOutcomes[[#This Row],[BatchID]])&lt;&gt;1,"n.a.",TblOutcomes[[#This Row],[Qty Wasted]]*SUMIFS(TblPurchases[Unit Cost (CLP)],TblPurchases[BatchID],TblOutcomes[[#This Row],[BatchID]]))</f>
        <v>0</v>
      </c>
      <c r="Q3650" s="51">
        <f>IF(COUNTIF(TblPurchases[BatchID],TblOutcomes[[#This Row],[BatchID]])&lt;&gt;1,"n.a.",SUMIFS(TblPurchases[Purchase Date],TblPurchases[BatchID],TblOutcomes[[#This Row],[BatchID]]))</f>
        <v>45163</v>
      </c>
    </row>
    <row r="3651" spans="2:17" x14ac:dyDescent="0.25">
      <c r="B3651" s="2" t="s">
        <v>4456</v>
      </c>
      <c r="C3651" s="2" t="s">
        <v>383</v>
      </c>
      <c r="D3651" s="2" t="s">
        <v>377</v>
      </c>
      <c r="E3651" s="2" t="s">
        <v>4647</v>
      </c>
      <c r="F3651" s="2">
        <v>22</v>
      </c>
      <c r="G3651" s="2">
        <v>22</v>
      </c>
      <c r="H3651" s="2">
        <v>0</v>
      </c>
      <c r="I3651" s="1">
        <v>0</v>
      </c>
      <c r="J3651" s="26">
        <v>48852</v>
      </c>
      <c r="K3651" s="22">
        <v>66000</v>
      </c>
      <c r="L3651" s="18">
        <v>70.59</v>
      </c>
      <c r="M3651" s="22">
        <v>45100</v>
      </c>
      <c r="N3651" s="22">
        <v>20900</v>
      </c>
      <c r="O3651" s="18">
        <v>22.35</v>
      </c>
      <c r="P3651" s="52">
        <f>IF(COUNTIF(TblPurchases[BatchID],TblOutcomes[[#This Row],[BatchID]])&lt;&gt;1,"n.a.",TblOutcomes[[#This Row],[Qty Wasted]]*SUMIFS(TblPurchases[Unit Cost (CLP)],TblPurchases[BatchID],TblOutcomes[[#This Row],[BatchID]]))</f>
        <v>0</v>
      </c>
      <c r="Q3651" s="51">
        <f>IF(COUNTIF(TblPurchases[BatchID],TblOutcomes[[#This Row],[BatchID]])&lt;&gt;1,"n.a.",SUMIFS(TblPurchases[Purchase Date],TblPurchases[BatchID],TblOutcomes[[#This Row],[BatchID]]))</f>
        <v>45202</v>
      </c>
    </row>
    <row r="3652" spans="2:17" x14ac:dyDescent="0.25">
      <c r="B3652" s="2" t="s">
        <v>4457</v>
      </c>
      <c r="C3652" s="2" t="s">
        <v>383</v>
      </c>
      <c r="D3652" s="2" t="s">
        <v>377</v>
      </c>
      <c r="E3652" s="2" t="s">
        <v>4647</v>
      </c>
      <c r="F3652" s="2">
        <v>23</v>
      </c>
      <c r="G3652" s="2">
        <v>23</v>
      </c>
      <c r="H3652" s="2">
        <v>0</v>
      </c>
      <c r="I3652" s="1">
        <v>0</v>
      </c>
      <c r="J3652" s="26">
        <v>45293</v>
      </c>
      <c r="K3652" s="22">
        <v>69000</v>
      </c>
      <c r="L3652" s="18">
        <v>73.8</v>
      </c>
      <c r="M3652" s="22">
        <v>47150</v>
      </c>
      <c r="N3652" s="22">
        <v>21850</v>
      </c>
      <c r="O3652" s="18">
        <v>23.37</v>
      </c>
      <c r="P3652" s="52">
        <f>IF(COUNTIF(TblPurchases[BatchID],TblOutcomes[[#This Row],[BatchID]])&lt;&gt;1,"n.a.",TblOutcomes[[#This Row],[Qty Wasted]]*SUMIFS(TblPurchases[Unit Cost (CLP)],TblPurchases[BatchID],TblOutcomes[[#This Row],[BatchID]]))</f>
        <v>0</v>
      </c>
      <c r="Q3652" s="51">
        <f>IF(COUNTIF(TblPurchases[BatchID],TblOutcomes[[#This Row],[BatchID]])&lt;&gt;1,"n.a.",SUMIFS(TblPurchases[Purchase Date],TblPurchases[BatchID],TblOutcomes[[#This Row],[BatchID]]))</f>
        <v>45267</v>
      </c>
    </row>
    <row r="3653" spans="2:17" x14ac:dyDescent="0.25">
      <c r="B3653" s="2" t="s">
        <v>4458</v>
      </c>
      <c r="C3653" s="2" t="s">
        <v>383</v>
      </c>
      <c r="D3653" s="2" t="s">
        <v>377</v>
      </c>
      <c r="E3653" s="2" t="s">
        <v>4647</v>
      </c>
      <c r="F3653" s="2">
        <v>19</v>
      </c>
      <c r="G3653" s="2">
        <v>19</v>
      </c>
      <c r="H3653" s="2">
        <v>0</v>
      </c>
      <c r="I3653" s="1">
        <v>0</v>
      </c>
      <c r="J3653" s="26">
        <v>48969</v>
      </c>
      <c r="K3653" s="22">
        <v>57000</v>
      </c>
      <c r="L3653" s="18">
        <v>60.96</v>
      </c>
      <c r="M3653" s="22">
        <v>38950</v>
      </c>
      <c r="N3653" s="22">
        <v>18050</v>
      </c>
      <c r="O3653" s="18">
        <v>19.3</v>
      </c>
      <c r="P3653" s="52">
        <f>IF(COUNTIF(TblPurchases[BatchID],TblOutcomes[[#This Row],[BatchID]])&lt;&gt;1,"n.a.",TblOutcomes[[#This Row],[Qty Wasted]]*SUMIFS(TblPurchases[Unit Cost (CLP)],TblPurchases[BatchID],TblOutcomes[[#This Row],[BatchID]]))</f>
        <v>0</v>
      </c>
      <c r="Q3653" s="51">
        <f>IF(COUNTIF(TblPurchases[BatchID],TblOutcomes[[#This Row],[BatchID]])&lt;&gt;1,"n.a.",SUMIFS(TblPurchases[Purchase Date],TblPurchases[BatchID],TblOutcomes[[#This Row],[BatchID]]))</f>
        <v>45319</v>
      </c>
    </row>
    <row r="3654" spans="2:17" x14ac:dyDescent="0.25">
      <c r="B3654" s="2" t="s">
        <v>4459</v>
      </c>
      <c r="C3654" s="2" t="s">
        <v>383</v>
      </c>
      <c r="D3654" s="2" t="s">
        <v>377</v>
      </c>
      <c r="E3654" s="2" t="s">
        <v>4647</v>
      </c>
      <c r="F3654" s="2">
        <v>23</v>
      </c>
      <c r="G3654" s="2">
        <v>23</v>
      </c>
      <c r="H3654" s="2">
        <v>0</v>
      </c>
      <c r="I3654" s="1">
        <v>0</v>
      </c>
      <c r="J3654" s="26">
        <v>45410</v>
      </c>
      <c r="K3654" s="22">
        <v>69000</v>
      </c>
      <c r="L3654" s="18">
        <v>73.8</v>
      </c>
      <c r="M3654" s="22">
        <v>47150</v>
      </c>
      <c r="N3654" s="22">
        <v>21850</v>
      </c>
      <c r="O3654" s="18">
        <v>23.37</v>
      </c>
      <c r="P3654" s="52">
        <f>IF(COUNTIF(TblPurchases[BatchID],TblOutcomes[[#This Row],[BatchID]])&lt;&gt;1,"n.a.",TblOutcomes[[#This Row],[Qty Wasted]]*SUMIFS(TblPurchases[Unit Cost (CLP)],TblPurchases[BatchID],TblOutcomes[[#This Row],[BatchID]]))</f>
        <v>0</v>
      </c>
      <c r="Q3654" s="51">
        <f>IF(COUNTIF(TblPurchases[BatchID],TblOutcomes[[#This Row],[BatchID]])&lt;&gt;1,"n.a.",SUMIFS(TblPurchases[Purchase Date],TblPurchases[BatchID],TblOutcomes[[#This Row],[BatchID]]))</f>
        <v>45374</v>
      </c>
    </row>
    <row r="3655" spans="2:17" x14ac:dyDescent="0.25">
      <c r="B3655" s="2" t="s">
        <v>4460</v>
      </c>
      <c r="C3655" s="2" t="s">
        <v>383</v>
      </c>
      <c r="D3655" s="2" t="s">
        <v>377</v>
      </c>
      <c r="E3655" s="2" t="s">
        <v>4647</v>
      </c>
      <c r="F3655" s="2">
        <v>20</v>
      </c>
      <c r="G3655" s="2">
        <v>20</v>
      </c>
      <c r="H3655" s="2">
        <v>0</v>
      </c>
      <c r="I3655" s="1">
        <v>0</v>
      </c>
      <c r="J3655" s="26">
        <v>45485</v>
      </c>
      <c r="K3655" s="22">
        <v>60000</v>
      </c>
      <c r="L3655" s="18">
        <v>64.17</v>
      </c>
      <c r="M3655" s="22">
        <v>41000</v>
      </c>
      <c r="N3655" s="22">
        <v>19000</v>
      </c>
      <c r="O3655" s="18">
        <v>20.32</v>
      </c>
      <c r="P3655" s="52">
        <f>IF(COUNTIF(TblPurchases[BatchID],TblOutcomes[[#This Row],[BatchID]])&lt;&gt;1,"n.a.",TblOutcomes[[#This Row],[Qty Wasted]]*SUMIFS(TblPurchases[Unit Cost (CLP)],TblPurchases[BatchID],TblOutcomes[[#This Row],[BatchID]]))</f>
        <v>0</v>
      </c>
      <c r="Q3655" s="51">
        <f>IF(COUNTIF(TblPurchases[BatchID],TblOutcomes[[#This Row],[BatchID]])&lt;&gt;1,"n.a.",SUMIFS(TblPurchases[Purchase Date],TblPurchases[BatchID],TblOutcomes[[#This Row],[BatchID]]))</f>
        <v>45425</v>
      </c>
    </row>
    <row r="3656" spans="2:17" x14ac:dyDescent="0.25">
      <c r="B3656" s="2" t="s">
        <v>4461</v>
      </c>
      <c r="C3656" s="2" t="s">
        <v>383</v>
      </c>
      <c r="D3656" s="2" t="s">
        <v>377</v>
      </c>
      <c r="E3656" s="2" t="s">
        <v>4647</v>
      </c>
      <c r="F3656" s="2">
        <v>18</v>
      </c>
      <c r="G3656" s="2">
        <v>18</v>
      </c>
      <c r="H3656" s="2">
        <v>0</v>
      </c>
      <c r="I3656" s="1">
        <v>0</v>
      </c>
      <c r="J3656" s="26">
        <v>45514</v>
      </c>
      <c r="K3656" s="22">
        <v>54000</v>
      </c>
      <c r="L3656" s="18">
        <v>57.75</v>
      </c>
      <c r="M3656" s="22">
        <v>36900</v>
      </c>
      <c r="N3656" s="22">
        <v>17100</v>
      </c>
      <c r="O3656" s="18">
        <v>18.29</v>
      </c>
      <c r="P3656" s="52">
        <f>IF(COUNTIF(TblPurchases[BatchID],TblOutcomes[[#This Row],[BatchID]])&lt;&gt;1,"n.a.",TblOutcomes[[#This Row],[Qty Wasted]]*SUMIFS(TblPurchases[Unit Cost (CLP)],TblPurchases[BatchID],TblOutcomes[[#This Row],[BatchID]]))</f>
        <v>0</v>
      </c>
      <c r="Q3656" s="51">
        <f>IF(COUNTIF(TblPurchases[BatchID],TblOutcomes[[#This Row],[BatchID]])&lt;&gt;1,"n.a.",SUMIFS(TblPurchases[Purchase Date],TblPurchases[BatchID],TblOutcomes[[#This Row],[BatchID]]))</f>
        <v>45484</v>
      </c>
    </row>
    <row r="3657" spans="2:17" x14ac:dyDescent="0.25">
      <c r="B3657" s="2" t="s">
        <v>4462</v>
      </c>
      <c r="C3657" s="2" t="s">
        <v>383</v>
      </c>
      <c r="D3657" s="2" t="s">
        <v>377</v>
      </c>
      <c r="E3657" s="2" t="s">
        <v>4647</v>
      </c>
      <c r="F3657" s="2">
        <v>28</v>
      </c>
      <c r="G3657" s="2">
        <v>28</v>
      </c>
      <c r="H3657" s="2">
        <v>0</v>
      </c>
      <c r="I3657" s="1">
        <v>0</v>
      </c>
      <c r="J3657" s="26">
        <v>45580</v>
      </c>
      <c r="K3657" s="22">
        <v>84000</v>
      </c>
      <c r="L3657" s="18">
        <v>89.84</v>
      </c>
      <c r="M3657" s="22">
        <v>57400</v>
      </c>
      <c r="N3657" s="22">
        <v>26600</v>
      </c>
      <c r="O3657" s="18">
        <v>28.45</v>
      </c>
      <c r="P3657" s="52">
        <f>IF(COUNTIF(TblPurchases[BatchID],TblOutcomes[[#This Row],[BatchID]])&lt;&gt;1,"n.a.",TblOutcomes[[#This Row],[Qty Wasted]]*SUMIFS(TblPurchases[Unit Cost (CLP)],TblPurchases[BatchID],TblOutcomes[[#This Row],[BatchID]]))</f>
        <v>0</v>
      </c>
      <c r="Q3657" s="51">
        <f>IF(COUNTIF(TblPurchases[BatchID],TblOutcomes[[#This Row],[BatchID]])&lt;&gt;1,"n.a.",SUMIFS(TblPurchases[Purchase Date],TblPurchases[BatchID],TblOutcomes[[#This Row],[BatchID]]))</f>
        <v>45551</v>
      </c>
    </row>
    <row r="3658" spans="2:17" x14ac:dyDescent="0.25">
      <c r="B3658" s="2" t="s">
        <v>4463</v>
      </c>
      <c r="C3658" s="2" t="s">
        <v>383</v>
      </c>
      <c r="D3658" s="2" t="s">
        <v>377</v>
      </c>
      <c r="E3658" s="2" t="s">
        <v>4647</v>
      </c>
      <c r="F3658" s="2">
        <v>18</v>
      </c>
      <c r="G3658" s="2">
        <v>18</v>
      </c>
      <c r="H3658" s="2">
        <v>0</v>
      </c>
      <c r="I3658" s="1">
        <v>0</v>
      </c>
      <c r="J3658" s="26">
        <v>49265</v>
      </c>
      <c r="K3658" s="22">
        <v>54000</v>
      </c>
      <c r="L3658" s="18">
        <v>57.75</v>
      </c>
      <c r="M3658" s="22">
        <v>36900</v>
      </c>
      <c r="N3658" s="22">
        <v>17100</v>
      </c>
      <c r="O3658" s="18">
        <v>18.29</v>
      </c>
      <c r="P3658" s="52">
        <f>IF(COUNTIF(TblPurchases[BatchID],TblOutcomes[[#This Row],[BatchID]])&lt;&gt;1,"n.a.",TblOutcomes[[#This Row],[Qty Wasted]]*SUMIFS(TblPurchases[Unit Cost (CLP)],TblPurchases[BatchID],TblOutcomes[[#This Row],[BatchID]]))</f>
        <v>0</v>
      </c>
      <c r="Q3658" s="51">
        <f>IF(COUNTIF(TblPurchases[BatchID],TblOutcomes[[#This Row],[BatchID]])&lt;&gt;1,"n.a.",SUMIFS(TblPurchases[Purchase Date],TblPurchases[BatchID],TblOutcomes[[#This Row],[BatchID]]))</f>
        <v>45615</v>
      </c>
    </row>
    <row r="3659" spans="2:17" x14ac:dyDescent="0.25">
      <c r="B3659" s="2" t="s">
        <v>4464</v>
      </c>
      <c r="C3659" s="2" t="s">
        <v>383</v>
      </c>
      <c r="D3659" s="2" t="s">
        <v>377</v>
      </c>
      <c r="E3659" s="2" t="s">
        <v>4647</v>
      </c>
      <c r="F3659" s="2">
        <v>19</v>
      </c>
      <c r="G3659" s="2">
        <v>19</v>
      </c>
      <c r="H3659" s="2">
        <v>0</v>
      </c>
      <c r="I3659" s="1">
        <v>0</v>
      </c>
      <c r="J3659" s="26">
        <v>45715</v>
      </c>
      <c r="K3659" s="22">
        <v>57000</v>
      </c>
      <c r="L3659" s="18">
        <v>60.96</v>
      </c>
      <c r="M3659" s="22">
        <v>38950</v>
      </c>
      <c r="N3659" s="22">
        <v>18050</v>
      </c>
      <c r="O3659" s="18">
        <v>19.3</v>
      </c>
      <c r="P3659" s="52">
        <f>IF(COUNTIF(TblPurchases[BatchID],TblOutcomes[[#This Row],[BatchID]])&lt;&gt;1,"n.a.",TblOutcomes[[#This Row],[Qty Wasted]]*SUMIFS(TblPurchases[Unit Cost (CLP)],TblPurchases[BatchID],TblOutcomes[[#This Row],[BatchID]]))</f>
        <v>0</v>
      </c>
      <c r="Q3659" s="51">
        <f>IF(COUNTIF(TblPurchases[BatchID],TblOutcomes[[#This Row],[BatchID]])&lt;&gt;1,"n.a.",SUMIFS(TblPurchases[Purchase Date],TblPurchases[BatchID],TblOutcomes[[#This Row],[BatchID]]))</f>
        <v>45678</v>
      </c>
    </row>
    <row r="3660" spans="2:17" x14ac:dyDescent="0.25">
      <c r="B3660" s="2" t="s">
        <v>4465</v>
      </c>
      <c r="C3660" s="2" t="s">
        <v>383</v>
      </c>
      <c r="D3660" s="2" t="s">
        <v>377</v>
      </c>
      <c r="E3660" s="2" t="s">
        <v>4647</v>
      </c>
      <c r="F3660" s="2">
        <v>23</v>
      </c>
      <c r="G3660" s="2">
        <v>23</v>
      </c>
      <c r="H3660" s="2">
        <v>0</v>
      </c>
      <c r="I3660" s="1">
        <v>0</v>
      </c>
      <c r="J3660" s="26">
        <v>45785</v>
      </c>
      <c r="K3660" s="22">
        <v>69000</v>
      </c>
      <c r="L3660" s="18">
        <v>73.8</v>
      </c>
      <c r="M3660" s="22">
        <v>47150</v>
      </c>
      <c r="N3660" s="22">
        <v>21850</v>
      </c>
      <c r="O3660" s="18">
        <v>23.37</v>
      </c>
      <c r="P3660" s="52">
        <f>IF(COUNTIF(TblPurchases[BatchID],TblOutcomes[[#This Row],[BatchID]])&lt;&gt;1,"n.a.",TblOutcomes[[#This Row],[Qty Wasted]]*SUMIFS(TblPurchases[Unit Cost (CLP)],TblPurchases[BatchID],TblOutcomes[[#This Row],[BatchID]]))</f>
        <v>0</v>
      </c>
      <c r="Q3660" s="51">
        <f>IF(COUNTIF(TblPurchases[BatchID],TblOutcomes[[#This Row],[BatchID]])&lt;&gt;1,"n.a.",SUMIFS(TblPurchases[Purchase Date],TblPurchases[BatchID],TblOutcomes[[#This Row],[BatchID]]))</f>
        <v>45735</v>
      </c>
    </row>
    <row r="3661" spans="2:17" x14ac:dyDescent="0.25">
      <c r="B3661" s="2" t="s">
        <v>4466</v>
      </c>
      <c r="C3661" s="2" t="s">
        <v>383</v>
      </c>
      <c r="D3661" s="2" t="s">
        <v>377</v>
      </c>
      <c r="E3661" s="2" t="s">
        <v>4647</v>
      </c>
      <c r="F3661" s="2">
        <v>25</v>
      </c>
      <c r="G3661" s="2">
        <v>25</v>
      </c>
      <c r="H3661" s="2">
        <v>0</v>
      </c>
      <c r="I3661" s="1">
        <v>0</v>
      </c>
      <c r="J3661" s="26">
        <v>49447</v>
      </c>
      <c r="K3661" s="22">
        <v>75000</v>
      </c>
      <c r="L3661" s="18">
        <v>80.209999999999994</v>
      </c>
      <c r="M3661" s="22">
        <v>51250</v>
      </c>
      <c r="N3661" s="22">
        <v>23750</v>
      </c>
      <c r="O3661" s="18">
        <v>25.4</v>
      </c>
      <c r="P3661" s="52">
        <f>IF(COUNTIF(TblPurchases[BatchID],TblOutcomes[[#This Row],[BatchID]])&lt;&gt;1,"n.a.",TblOutcomes[[#This Row],[Qty Wasted]]*SUMIFS(TblPurchases[Unit Cost (CLP)],TblPurchases[BatchID],TblOutcomes[[#This Row],[BatchID]]))</f>
        <v>0</v>
      </c>
      <c r="Q3661" s="51">
        <f>IF(COUNTIF(TblPurchases[BatchID],TblOutcomes[[#This Row],[BatchID]])&lt;&gt;1,"n.a.",SUMIFS(TblPurchases[Purchase Date],TblPurchases[BatchID],TblOutcomes[[#This Row],[BatchID]]))</f>
        <v>45797</v>
      </c>
    </row>
    <row r="3662" spans="2:17" x14ac:dyDescent="0.25">
      <c r="B3662" s="2" t="s">
        <v>4467</v>
      </c>
      <c r="C3662" s="2" t="s">
        <v>385</v>
      </c>
      <c r="D3662" s="2" t="s">
        <v>377</v>
      </c>
      <c r="E3662" s="2" t="s">
        <v>4647</v>
      </c>
      <c r="F3662" s="2">
        <v>21</v>
      </c>
      <c r="G3662" s="2">
        <v>21</v>
      </c>
      <c r="H3662" s="2">
        <v>0</v>
      </c>
      <c r="I3662" s="1">
        <v>0</v>
      </c>
      <c r="J3662" s="26">
        <v>45197</v>
      </c>
      <c r="K3662" s="22">
        <v>73500</v>
      </c>
      <c r="L3662" s="18">
        <v>78.61</v>
      </c>
      <c r="M3662" s="22">
        <v>49350</v>
      </c>
      <c r="N3662" s="22">
        <v>24150</v>
      </c>
      <c r="O3662" s="18">
        <v>25.83</v>
      </c>
      <c r="P3662" s="52">
        <f>IF(COUNTIF(TblPurchases[BatchID],TblOutcomes[[#This Row],[BatchID]])&lt;&gt;1,"n.a.",TblOutcomes[[#This Row],[Qty Wasted]]*SUMIFS(TblPurchases[Unit Cost (CLP)],TblPurchases[BatchID],TblOutcomes[[#This Row],[BatchID]]))</f>
        <v>0</v>
      </c>
      <c r="Q3662" s="51">
        <f>IF(COUNTIF(TblPurchases[BatchID],TblOutcomes[[#This Row],[BatchID]])&lt;&gt;1,"n.a.",SUMIFS(TblPurchases[Purchase Date],TblPurchases[BatchID],TblOutcomes[[#This Row],[BatchID]]))</f>
        <v>45151</v>
      </c>
    </row>
    <row r="3663" spans="2:17" x14ac:dyDescent="0.25">
      <c r="B3663" s="2" t="s">
        <v>4468</v>
      </c>
      <c r="C3663" s="2" t="s">
        <v>385</v>
      </c>
      <c r="D3663" s="2" t="s">
        <v>377</v>
      </c>
      <c r="E3663" s="2" t="s">
        <v>4647</v>
      </c>
      <c r="F3663" s="2">
        <v>19</v>
      </c>
      <c r="G3663" s="2">
        <v>19</v>
      </c>
      <c r="H3663" s="2">
        <v>0</v>
      </c>
      <c r="I3663" s="1">
        <v>0</v>
      </c>
      <c r="J3663" s="26">
        <v>45253</v>
      </c>
      <c r="K3663" s="22">
        <v>66500</v>
      </c>
      <c r="L3663" s="18">
        <v>71.12</v>
      </c>
      <c r="M3663" s="22">
        <v>44650</v>
      </c>
      <c r="N3663" s="22">
        <v>21850</v>
      </c>
      <c r="O3663" s="18">
        <v>23.37</v>
      </c>
      <c r="P3663" s="52">
        <f>IF(COUNTIF(TblPurchases[BatchID],TblOutcomes[[#This Row],[BatchID]])&lt;&gt;1,"n.a.",TblOutcomes[[#This Row],[Qty Wasted]]*SUMIFS(TblPurchases[Unit Cost (CLP)],TblPurchases[BatchID],TblOutcomes[[#This Row],[BatchID]]))</f>
        <v>0</v>
      </c>
      <c r="Q3663" s="51">
        <f>IF(COUNTIF(TblPurchases[BatchID],TblOutcomes[[#This Row],[BatchID]])&lt;&gt;1,"n.a.",SUMIFS(TblPurchases[Purchase Date],TblPurchases[BatchID],TblOutcomes[[#This Row],[BatchID]]))</f>
        <v>45202</v>
      </c>
    </row>
    <row r="3664" spans="2:17" x14ac:dyDescent="0.25">
      <c r="B3664" s="2" t="s">
        <v>4469</v>
      </c>
      <c r="C3664" s="2" t="s">
        <v>385</v>
      </c>
      <c r="D3664" s="2" t="s">
        <v>377</v>
      </c>
      <c r="E3664" s="2" t="s">
        <v>4647</v>
      </c>
      <c r="F3664" s="2">
        <v>18</v>
      </c>
      <c r="G3664" s="2">
        <v>18</v>
      </c>
      <c r="H3664" s="2">
        <v>0</v>
      </c>
      <c r="I3664" s="1">
        <v>0</v>
      </c>
      <c r="J3664" s="26">
        <v>45303</v>
      </c>
      <c r="K3664" s="22">
        <v>63000</v>
      </c>
      <c r="L3664" s="18">
        <v>67.38</v>
      </c>
      <c r="M3664" s="22">
        <v>42300</v>
      </c>
      <c r="N3664" s="22">
        <v>20700</v>
      </c>
      <c r="O3664" s="18">
        <v>22.14</v>
      </c>
      <c r="P3664" s="52">
        <f>IF(COUNTIF(TblPurchases[BatchID],TblOutcomes[[#This Row],[BatchID]])&lt;&gt;1,"n.a.",TblOutcomes[[#This Row],[Qty Wasted]]*SUMIFS(TblPurchases[Unit Cost (CLP)],TblPurchases[BatchID],TblOutcomes[[#This Row],[BatchID]]))</f>
        <v>0</v>
      </c>
      <c r="Q3664" s="51">
        <f>IF(COUNTIF(TblPurchases[BatchID],TblOutcomes[[#This Row],[BatchID]])&lt;&gt;1,"n.a.",SUMIFS(TblPurchases[Purchase Date],TblPurchases[BatchID],TblOutcomes[[#This Row],[BatchID]]))</f>
        <v>45246</v>
      </c>
    </row>
    <row r="3665" spans="2:17" x14ac:dyDescent="0.25">
      <c r="B3665" s="2" t="s">
        <v>4470</v>
      </c>
      <c r="C3665" s="2" t="s">
        <v>385</v>
      </c>
      <c r="D3665" s="2" t="s">
        <v>377</v>
      </c>
      <c r="E3665" s="2" t="s">
        <v>4647</v>
      </c>
      <c r="F3665" s="2">
        <v>19</v>
      </c>
      <c r="G3665" s="2">
        <v>19</v>
      </c>
      <c r="H3665" s="2">
        <v>0</v>
      </c>
      <c r="I3665" s="1">
        <v>0</v>
      </c>
      <c r="J3665" s="26">
        <v>45349</v>
      </c>
      <c r="K3665" s="22">
        <v>66500</v>
      </c>
      <c r="L3665" s="18">
        <v>71.12</v>
      </c>
      <c r="M3665" s="22">
        <v>44650</v>
      </c>
      <c r="N3665" s="22">
        <v>21850</v>
      </c>
      <c r="O3665" s="18">
        <v>23.37</v>
      </c>
      <c r="P3665" s="52">
        <f>IF(COUNTIF(TblPurchases[BatchID],TblOutcomes[[#This Row],[BatchID]])&lt;&gt;1,"n.a.",TblOutcomes[[#This Row],[Qty Wasted]]*SUMIFS(TblPurchases[Unit Cost (CLP)],TblPurchases[BatchID],TblOutcomes[[#This Row],[BatchID]]))</f>
        <v>0</v>
      </c>
      <c r="Q3665" s="51">
        <f>IF(COUNTIF(TblPurchases[BatchID],TblOutcomes[[#This Row],[BatchID]])&lt;&gt;1,"n.a.",SUMIFS(TblPurchases[Purchase Date],TblPurchases[BatchID],TblOutcomes[[#This Row],[BatchID]]))</f>
        <v>45309</v>
      </c>
    </row>
    <row r="3666" spans="2:17" x14ac:dyDescent="0.25">
      <c r="B3666" s="2" t="s">
        <v>4471</v>
      </c>
      <c r="C3666" s="2" t="s">
        <v>385</v>
      </c>
      <c r="D3666" s="2" t="s">
        <v>377</v>
      </c>
      <c r="E3666" s="2" t="s">
        <v>4647</v>
      </c>
      <c r="F3666" s="2">
        <v>21</v>
      </c>
      <c r="G3666" s="2">
        <v>21</v>
      </c>
      <c r="H3666" s="2">
        <v>0</v>
      </c>
      <c r="I3666" s="1">
        <v>0</v>
      </c>
      <c r="J3666" s="26">
        <v>45460</v>
      </c>
      <c r="K3666" s="22">
        <v>73500</v>
      </c>
      <c r="L3666" s="18">
        <v>78.61</v>
      </c>
      <c r="M3666" s="22">
        <v>50400</v>
      </c>
      <c r="N3666" s="22">
        <v>23100</v>
      </c>
      <c r="O3666" s="18">
        <v>24.71</v>
      </c>
      <c r="P3666" s="52">
        <f>IF(COUNTIF(TblPurchases[BatchID],TblOutcomes[[#This Row],[BatchID]])&lt;&gt;1,"n.a.",TblOutcomes[[#This Row],[Qty Wasted]]*SUMIFS(TblPurchases[Unit Cost (CLP)],TblPurchases[BatchID],TblOutcomes[[#This Row],[BatchID]]))</f>
        <v>0</v>
      </c>
      <c r="Q3666" s="51">
        <f>IF(COUNTIF(TblPurchases[BatchID],TblOutcomes[[#This Row],[BatchID]])&lt;&gt;1,"n.a.",SUMIFS(TblPurchases[Purchase Date],TblPurchases[BatchID],TblOutcomes[[#This Row],[BatchID]]))</f>
        <v>45374</v>
      </c>
    </row>
    <row r="3667" spans="2:17" x14ac:dyDescent="0.25">
      <c r="B3667" s="2" t="s">
        <v>4472</v>
      </c>
      <c r="C3667" s="2" t="s">
        <v>385</v>
      </c>
      <c r="D3667" s="2" t="s">
        <v>377</v>
      </c>
      <c r="E3667" s="2" t="s">
        <v>4647</v>
      </c>
      <c r="F3667" s="2">
        <v>21</v>
      </c>
      <c r="G3667" s="2">
        <v>21</v>
      </c>
      <c r="H3667" s="2">
        <v>0</v>
      </c>
      <c r="I3667" s="1">
        <v>0</v>
      </c>
      <c r="J3667" s="26">
        <v>45478</v>
      </c>
      <c r="K3667" s="22">
        <v>73500</v>
      </c>
      <c r="L3667" s="18">
        <v>78.61</v>
      </c>
      <c r="M3667" s="22">
        <v>49350</v>
      </c>
      <c r="N3667" s="22">
        <v>24150</v>
      </c>
      <c r="O3667" s="18">
        <v>25.83</v>
      </c>
      <c r="P3667" s="52">
        <f>IF(COUNTIF(TblPurchases[BatchID],TblOutcomes[[#This Row],[BatchID]])&lt;&gt;1,"n.a.",TblOutcomes[[#This Row],[Qty Wasted]]*SUMIFS(TblPurchases[Unit Cost (CLP)],TblPurchases[BatchID],TblOutcomes[[#This Row],[BatchID]]))</f>
        <v>0</v>
      </c>
      <c r="Q3667" s="51">
        <f>IF(COUNTIF(TblPurchases[BatchID],TblOutcomes[[#This Row],[BatchID]])&lt;&gt;1,"n.a.",SUMIFS(TblPurchases[Purchase Date],TblPurchases[BatchID],TblOutcomes[[#This Row],[BatchID]]))</f>
        <v>45420</v>
      </c>
    </row>
    <row r="3668" spans="2:17" x14ac:dyDescent="0.25">
      <c r="B3668" s="2" t="s">
        <v>4473</v>
      </c>
      <c r="C3668" s="2" t="s">
        <v>385</v>
      </c>
      <c r="D3668" s="2" t="s">
        <v>377</v>
      </c>
      <c r="E3668" s="2" t="s">
        <v>4647</v>
      </c>
      <c r="F3668" s="2">
        <v>19</v>
      </c>
      <c r="G3668" s="2">
        <v>19</v>
      </c>
      <c r="H3668" s="2">
        <v>0</v>
      </c>
      <c r="I3668" s="1">
        <v>0</v>
      </c>
      <c r="J3668" s="26">
        <v>49115</v>
      </c>
      <c r="K3668" s="22">
        <v>66500</v>
      </c>
      <c r="L3668" s="18">
        <v>71.12</v>
      </c>
      <c r="M3668" s="22">
        <v>44650</v>
      </c>
      <c r="N3668" s="22">
        <v>21850</v>
      </c>
      <c r="O3668" s="18">
        <v>23.37</v>
      </c>
      <c r="P3668" s="52">
        <f>IF(COUNTIF(TblPurchases[BatchID],TblOutcomes[[#This Row],[BatchID]])&lt;&gt;1,"n.a.",TblOutcomes[[#This Row],[Qty Wasted]]*SUMIFS(TblPurchases[Unit Cost (CLP)],TblPurchases[BatchID],TblOutcomes[[#This Row],[BatchID]]))</f>
        <v>0</v>
      </c>
      <c r="Q3668" s="51">
        <f>IF(COUNTIF(TblPurchases[BatchID],TblOutcomes[[#This Row],[BatchID]])&lt;&gt;1,"n.a.",SUMIFS(TblPurchases[Purchase Date],TblPurchases[BatchID],TblOutcomes[[#This Row],[BatchID]]))</f>
        <v>45465</v>
      </c>
    </row>
    <row r="3669" spans="2:17" x14ac:dyDescent="0.25">
      <c r="B3669" s="2" t="s">
        <v>4474</v>
      </c>
      <c r="C3669" s="2" t="s">
        <v>385</v>
      </c>
      <c r="D3669" s="2" t="s">
        <v>377</v>
      </c>
      <c r="E3669" s="2" t="s">
        <v>4647</v>
      </c>
      <c r="F3669" s="2">
        <v>21</v>
      </c>
      <c r="G3669" s="2">
        <v>21</v>
      </c>
      <c r="H3669" s="2">
        <v>0</v>
      </c>
      <c r="I3669" s="1">
        <v>0</v>
      </c>
      <c r="J3669" s="26">
        <v>45573</v>
      </c>
      <c r="K3669" s="22">
        <v>73500</v>
      </c>
      <c r="L3669" s="18">
        <v>78.61</v>
      </c>
      <c r="M3669" s="22">
        <v>49350</v>
      </c>
      <c r="N3669" s="22">
        <v>24150</v>
      </c>
      <c r="O3669" s="18">
        <v>25.83</v>
      </c>
      <c r="P3669" s="52">
        <f>IF(COUNTIF(TblPurchases[BatchID],TblOutcomes[[#This Row],[BatchID]])&lt;&gt;1,"n.a.",TblOutcomes[[#This Row],[Qty Wasted]]*SUMIFS(TblPurchases[Unit Cost (CLP)],TblPurchases[BatchID],TblOutcomes[[#This Row],[BatchID]]))</f>
        <v>0</v>
      </c>
      <c r="Q3669" s="51">
        <f>IF(COUNTIF(TblPurchases[BatchID],TblOutcomes[[#This Row],[BatchID]])&lt;&gt;1,"n.a.",SUMIFS(TblPurchases[Purchase Date],TblPurchases[BatchID],TblOutcomes[[#This Row],[BatchID]]))</f>
        <v>45521</v>
      </c>
    </row>
    <row r="3670" spans="2:17" x14ac:dyDescent="0.25">
      <c r="B3670" s="2" t="s">
        <v>4475</v>
      </c>
      <c r="C3670" s="2" t="s">
        <v>385</v>
      </c>
      <c r="D3670" s="2" t="s">
        <v>377</v>
      </c>
      <c r="E3670" s="2" t="s">
        <v>4647</v>
      </c>
      <c r="F3670" s="2">
        <v>23</v>
      </c>
      <c r="G3670" s="2">
        <v>23</v>
      </c>
      <c r="H3670" s="2">
        <v>0</v>
      </c>
      <c r="I3670" s="1">
        <v>0</v>
      </c>
      <c r="J3670" s="26">
        <v>45658</v>
      </c>
      <c r="K3670" s="22">
        <v>80500</v>
      </c>
      <c r="L3670" s="18">
        <v>86.1</v>
      </c>
      <c r="M3670" s="22">
        <v>54050</v>
      </c>
      <c r="N3670" s="22">
        <v>26450</v>
      </c>
      <c r="O3670" s="18">
        <v>28.29</v>
      </c>
      <c r="P3670" s="52">
        <f>IF(COUNTIF(TblPurchases[BatchID],TblOutcomes[[#This Row],[BatchID]])&lt;&gt;1,"n.a.",TblOutcomes[[#This Row],[Qty Wasted]]*SUMIFS(TblPurchases[Unit Cost (CLP)],TblPurchases[BatchID],TblOutcomes[[#This Row],[BatchID]]))</f>
        <v>0</v>
      </c>
      <c r="Q3670" s="51">
        <f>IF(COUNTIF(TblPurchases[BatchID],TblOutcomes[[#This Row],[BatchID]])&lt;&gt;1,"n.a.",SUMIFS(TblPurchases[Purchase Date],TblPurchases[BatchID],TblOutcomes[[#This Row],[BatchID]]))</f>
        <v>45583</v>
      </c>
    </row>
    <row r="3671" spans="2:17" x14ac:dyDescent="0.25">
      <c r="B3671" s="2" t="s">
        <v>4476</v>
      </c>
      <c r="C3671" s="2" t="s">
        <v>385</v>
      </c>
      <c r="D3671" s="2" t="s">
        <v>377</v>
      </c>
      <c r="E3671" s="2" t="s">
        <v>4647</v>
      </c>
      <c r="F3671" s="2">
        <v>21</v>
      </c>
      <c r="G3671" s="2">
        <v>21</v>
      </c>
      <c r="H3671" s="2">
        <v>0</v>
      </c>
      <c r="I3671" s="1">
        <v>0</v>
      </c>
      <c r="J3671" s="26">
        <v>45641</v>
      </c>
      <c r="K3671" s="22">
        <v>73500</v>
      </c>
      <c r="L3671" s="18">
        <v>78.61</v>
      </c>
      <c r="M3671" s="22">
        <v>49350</v>
      </c>
      <c r="N3671" s="22">
        <v>24150</v>
      </c>
      <c r="O3671" s="18">
        <v>25.83</v>
      </c>
      <c r="P3671" s="52">
        <f>IF(COUNTIF(TblPurchases[BatchID],TblOutcomes[[#This Row],[BatchID]])&lt;&gt;1,"n.a.",TblOutcomes[[#This Row],[Qty Wasted]]*SUMIFS(TblPurchases[Unit Cost (CLP)],TblPurchases[BatchID],TblOutcomes[[#This Row],[BatchID]]))</f>
        <v>0</v>
      </c>
      <c r="Q3671" s="51">
        <f>IF(COUNTIF(TblPurchases[BatchID],TblOutcomes[[#This Row],[BatchID]])&lt;&gt;1,"n.a.",SUMIFS(TblPurchases[Purchase Date],TblPurchases[BatchID],TblOutcomes[[#This Row],[BatchID]]))</f>
        <v>45619</v>
      </c>
    </row>
    <row r="3672" spans="2:17" x14ac:dyDescent="0.25">
      <c r="B3672" s="2" t="s">
        <v>4477</v>
      </c>
      <c r="C3672" s="2" t="s">
        <v>385</v>
      </c>
      <c r="D3672" s="2" t="s">
        <v>377</v>
      </c>
      <c r="E3672" s="2" t="s">
        <v>4647</v>
      </c>
      <c r="F3672" s="2">
        <v>21</v>
      </c>
      <c r="G3672" s="2">
        <v>21</v>
      </c>
      <c r="H3672" s="2">
        <v>0</v>
      </c>
      <c r="I3672" s="1">
        <v>0</v>
      </c>
      <c r="J3672" s="26">
        <v>45690</v>
      </c>
      <c r="K3672" s="22">
        <v>73500</v>
      </c>
      <c r="L3672" s="18">
        <v>78.61</v>
      </c>
      <c r="M3672" s="22">
        <v>49350</v>
      </c>
      <c r="N3672" s="22">
        <v>24150</v>
      </c>
      <c r="O3672" s="18">
        <v>25.83</v>
      </c>
      <c r="P3672" s="52">
        <f>IF(COUNTIF(TblPurchases[BatchID],TblOutcomes[[#This Row],[BatchID]])&lt;&gt;1,"n.a.",TblOutcomes[[#This Row],[Qty Wasted]]*SUMIFS(TblPurchases[Unit Cost (CLP)],TblPurchases[BatchID],TblOutcomes[[#This Row],[BatchID]]))</f>
        <v>0</v>
      </c>
      <c r="Q3672" s="51">
        <f>IF(COUNTIF(TblPurchases[BatchID],TblOutcomes[[#This Row],[BatchID]])&lt;&gt;1,"n.a.",SUMIFS(TblPurchases[Purchase Date],TblPurchases[BatchID],TblOutcomes[[#This Row],[BatchID]]))</f>
        <v>45663</v>
      </c>
    </row>
    <row r="3673" spans="2:17" x14ac:dyDescent="0.25">
      <c r="B3673" s="2" t="s">
        <v>4478</v>
      </c>
      <c r="C3673" s="2" t="s">
        <v>385</v>
      </c>
      <c r="D3673" s="2" t="s">
        <v>377</v>
      </c>
      <c r="E3673" s="2" t="s">
        <v>4647</v>
      </c>
      <c r="F3673" s="2">
        <v>23</v>
      </c>
      <c r="G3673" s="2">
        <v>23</v>
      </c>
      <c r="H3673" s="2">
        <v>0</v>
      </c>
      <c r="I3673" s="1">
        <v>0</v>
      </c>
      <c r="J3673" s="26">
        <v>49371</v>
      </c>
      <c r="K3673" s="22">
        <v>80500</v>
      </c>
      <c r="L3673" s="18">
        <v>86.1</v>
      </c>
      <c r="M3673" s="22">
        <v>54050</v>
      </c>
      <c r="N3673" s="22">
        <v>26450</v>
      </c>
      <c r="O3673" s="18">
        <v>28.29</v>
      </c>
      <c r="P3673" s="52">
        <f>IF(COUNTIF(TblPurchases[BatchID],TblOutcomes[[#This Row],[BatchID]])&lt;&gt;1,"n.a.",TblOutcomes[[#This Row],[Qty Wasted]]*SUMIFS(TblPurchases[Unit Cost (CLP)],TblPurchases[BatchID],TblOutcomes[[#This Row],[BatchID]]))</f>
        <v>0</v>
      </c>
      <c r="Q3673" s="51">
        <f>IF(COUNTIF(TblPurchases[BatchID],TblOutcomes[[#This Row],[BatchID]])&lt;&gt;1,"n.a.",SUMIFS(TblPurchases[Purchase Date],TblPurchases[BatchID],TblOutcomes[[#This Row],[BatchID]]))</f>
        <v>45721</v>
      </c>
    </row>
    <row r="3674" spans="2:17" x14ac:dyDescent="0.25">
      <c r="B3674" s="2" t="s">
        <v>4479</v>
      </c>
      <c r="C3674" s="2" t="s">
        <v>385</v>
      </c>
      <c r="D3674" s="2" t="s">
        <v>377</v>
      </c>
      <c r="E3674" s="2" t="s">
        <v>4647</v>
      </c>
      <c r="F3674" s="2">
        <v>24</v>
      </c>
      <c r="G3674" s="2">
        <v>24</v>
      </c>
      <c r="H3674" s="2">
        <v>0</v>
      </c>
      <c r="I3674" s="1">
        <v>0</v>
      </c>
      <c r="J3674" s="26">
        <v>45817</v>
      </c>
      <c r="K3674" s="22">
        <v>84000</v>
      </c>
      <c r="L3674" s="18">
        <v>89.84</v>
      </c>
      <c r="M3674" s="22">
        <v>56400</v>
      </c>
      <c r="N3674" s="22">
        <v>27600</v>
      </c>
      <c r="O3674" s="18">
        <v>29.52</v>
      </c>
      <c r="P3674" s="52">
        <f>IF(COUNTIF(TblPurchases[BatchID],TblOutcomes[[#This Row],[BatchID]])&lt;&gt;1,"n.a.",TblOutcomes[[#This Row],[Qty Wasted]]*SUMIFS(TblPurchases[Unit Cost (CLP)],TblPurchases[BatchID],TblOutcomes[[#This Row],[BatchID]]))</f>
        <v>0</v>
      </c>
      <c r="Q3674" s="51">
        <f>IF(COUNTIF(TblPurchases[BatchID],TblOutcomes[[#This Row],[BatchID]])&lt;&gt;1,"n.a.",SUMIFS(TblPurchases[Purchase Date],TblPurchases[BatchID],TblOutcomes[[#This Row],[BatchID]]))</f>
        <v>45769</v>
      </c>
    </row>
    <row r="3675" spans="2:17" x14ac:dyDescent="0.25">
      <c r="B3675" s="2" t="s">
        <v>4480</v>
      </c>
      <c r="C3675" s="2" t="s">
        <v>385</v>
      </c>
      <c r="D3675" s="2" t="s">
        <v>377</v>
      </c>
      <c r="E3675" s="2" t="s">
        <v>4647</v>
      </c>
      <c r="F3675" s="2">
        <v>20</v>
      </c>
      <c r="G3675" s="2">
        <v>20</v>
      </c>
      <c r="H3675" s="2">
        <v>0</v>
      </c>
      <c r="I3675" s="1">
        <v>0</v>
      </c>
      <c r="J3675" s="26">
        <v>45918</v>
      </c>
      <c r="K3675" s="22">
        <v>70000</v>
      </c>
      <c r="L3675" s="18">
        <v>74.87</v>
      </c>
      <c r="M3675" s="22">
        <v>47000</v>
      </c>
      <c r="N3675" s="22">
        <v>23000</v>
      </c>
      <c r="O3675" s="18">
        <v>24.6</v>
      </c>
      <c r="P3675" s="52">
        <f>IF(COUNTIF(TblPurchases[BatchID],TblOutcomes[[#This Row],[BatchID]])&lt;&gt;1,"n.a.",TblOutcomes[[#This Row],[Qty Wasted]]*SUMIFS(TblPurchases[Unit Cost (CLP)],TblPurchases[BatchID],TblOutcomes[[#This Row],[BatchID]]))</f>
        <v>0</v>
      </c>
      <c r="Q3675" s="51">
        <f>IF(COUNTIF(TblPurchases[BatchID],TblOutcomes[[#This Row],[BatchID]])&lt;&gt;1,"n.a.",SUMIFS(TblPurchases[Purchase Date],TblPurchases[BatchID],TblOutcomes[[#This Row],[BatchID]]))</f>
        <v>45836</v>
      </c>
    </row>
    <row r="3676" spans="2:17" x14ac:dyDescent="0.25">
      <c r="B3676" s="2" t="s">
        <v>4481</v>
      </c>
      <c r="C3676" s="2" t="s">
        <v>387</v>
      </c>
      <c r="D3676" s="2" t="s">
        <v>377</v>
      </c>
      <c r="E3676" s="2" t="s">
        <v>4647</v>
      </c>
      <c r="F3676" s="2">
        <v>18</v>
      </c>
      <c r="G3676" s="2">
        <v>18</v>
      </c>
      <c r="H3676" s="2">
        <v>0</v>
      </c>
      <c r="I3676" s="1">
        <v>0</v>
      </c>
      <c r="J3676" s="26">
        <v>45166</v>
      </c>
      <c r="K3676" s="22">
        <v>81000</v>
      </c>
      <c r="L3676" s="18">
        <v>86.63</v>
      </c>
      <c r="M3676" s="22">
        <v>55800</v>
      </c>
      <c r="N3676" s="22">
        <v>25200</v>
      </c>
      <c r="O3676" s="18">
        <v>26.95</v>
      </c>
      <c r="P3676" s="52">
        <f>IF(COUNTIF(TblPurchases[BatchID],TblOutcomes[[#This Row],[BatchID]])&lt;&gt;1,"n.a.",TblOutcomes[[#This Row],[Qty Wasted]]*SUMIFS(TblPurchases[Unit Cost (CLP)],TblPurchases[BatchID],TblOutcomes[[#This Row],[BatchID]]))</f>
        <v>0</v>
      </c>
      <c r="Q3676" s="51">
        <f>IF(COUNTIF(TblPurchases[BatchID],TblOutcomes[[#This Row],[BatchID]])&lt;&gt;1,"n.a.",SUMIFS(TblPurchases[Purchase Date],TblPurchases[BatchID],TblOutcomes[[#This Row],[BatchID]]))</f>
        <v>45112</v>
      </c>
    </row>
    <row r="3677" spans="2:17" x14ac:dyDescent="0.25">
      <c r="B3677" s="2" t="s">
        <v>4482</v>
      </c>
      <c r="C3677" s="2" t="s">
        <v>387</v>
      </c>
      <c r="D3677" s="2" t="s">
        <v>377</v>
      </c>
      <c r="E3677" s="2" t="s">
        <v>4647</v>
      </c>
      <c r="F3677" s="2">
        <v>29</v>
      </c>
      <c r="G3677" s="2">
        <v>29</v>
      </c>
      <c r="H3677" s="2">
        <v>0</v>
      </c>
      <c r="I3677" s="1">
        <v>0</v>
      </c>
      <c r="J3677" s="26">
        <v>48824</v>
      </c>
      <c r="K3677" s="22">
        <v>130500</v>
      </c>
      <c r="L3677" s="18">
        <v>139.57</v>
      </c>
      <c r="M3677" s="22">
        <v>89900</v>
      </c>
      <c r="N3677" s="22">
        <v>40600</v>
      </c>
      <c r="O3677" s="18">
        <v>43.42</v>
      </c>
      <c r="P3677" s="52">
        <f>IF(COUNTIF(TblPurchases[BatchID],TblOutcomes[[#This Row],[BatchID]])&lt;&gt;1,"n.a.",TblOutcomes[[#This Row],[Qty Wasted]]*SUMIFS(TblPurchases[Unit Cost (CLP)],TblPurchases[BatchID],TblOutcomes[[#This Row],[BatchID]]))</f>
        <v>0</v>
      </c>
      <c r="Q3677" s="51">
        <f>IF(COUNTIF(TblPurchases[BatchID],TblOutcomes[[#This Row],[BatchID]])&lt;&gt;1,"n.a.",SUMIFS(TblPurchases[Purchase Date],TblPurchases[BatchID],TblOutcomes[[#This Row],[BatchID]]))</f>
        <v>45174</v>
      </c>
    </row>
    <row r="3678" spans="2:17" x14ac:dyDescent="0.25">
      <c r="B3678" s="2" t="s">
        <v>4483</v>
      </c>
      <c r="C3678" s="2" t="s">
        <v>387</v>
      </c>
      <c r="D3678" s="2" t="s">
        <v>377</v>
      </c>
      <c r="E3678" s="2" t="s">
        <v>4647</v>
      </c>
      <c r="F3678" s="2">
        <v>20</v>
      </c>
      <c r="G3678" s="2">
        <v>20</v>
      </c>
      <c r="H3678" s="2">
        <v>0</v>
      </c>
      <c r="I3678" s="1">
        <v>0</v>
      </c>
      <c r="J3678" s="26">
        <v>45277</v>
      </c>
      <c r="K3678" s="22">
        <v>90000</v>
      </c>
      <c r="L3678" s="18">
        <v>96.26</v>
      </c>
      <c r="M3678" s="22">
        <v>62000</v>
      </c>
      <c r="N3678" s="22">
        <v>28000</v>
      </c>
      <c r="O3678" s="18">
        <v>29.95</v>
      </c>
      <c r="P3678" s="52">
        <f>IF(COUNTIF(TblPurchases[BatchID],TblOutcomes[[#This Row],[BatchID]])&lt;&gt;1,"n.a.",TblOutcomes[[#This Row],[Qty Wasted]]*SUMIFS(TblPurchases[Unit Cost (CLP)],TblPurchases[BatchID],TblOutcomes[[#This Row],[BatchID]]))</f>
        <v>0</v>
      </c>
      <c r="Q3678" s="51">
        <f>IF(COUNTIF(TblPurchases[BatchID],TblOutcomes[[#This Row],[BatchID]])&lt;&gt;1,"n.a.",SUMIFS(TblPurchases[Purchase Date],TblPurchases[BatchID],TblOutcomes[[#This Row],[BatchID]]))</f>
        <v>45229</v>
      </c>
    </row>
    <row r="3679" spans="2:17" x14ac:dyDescent="0.25">
      <c r="B3679" s="2" t="s">
        <v>4484</v>
      </c>
      <c r="C3679" s="2" t="s">
        <v>387</v>
      </c>
      <c r="D3679" s="2" t="s">
        <v>377</v>
      </c>
      <c r="E3679" s="2" t="s">
        <v>4647</v>
      </c>
      <c r="F3679" s="2">
        <v>28</v>
      </c>
      <c r="G3679" s="2">
        <v>28</v>
      </c>
      <c r="H3679" s="2">
        <v>0</v>
      </c>
      <c r="I3679" s="1">
        <v>0</v>
      </c>
      <c r="J3679" s="26">
        <v>45323</v>
      </c>
      <c r="K3679" s="22">
        <v>126000</v>
      </c>
      <c r="L3679" s="18">
        <v>134.76</v>
      </c>
      <c r="M3679" s="22">
        <v>86800</v>
      </c>
      <c r="N3679" s="22">
        <v>39200</v>
      </c>
      <c r="O3679" s="18">
        <v>41.93</v>
      </c>
      <c r="P3679" s="52">
        <f>IF(COUNTIF(TblPurchases[BatchID],TblOutcomes[[#This Row],[BatchID]])&lt;&gt;1,"n.a.",TblOutcomes[[#This Row],[Qty Wasted]]*SUMIFS(TblPurchases[Unit Cost (CLP)],TblPurchases[BatchID],TblOutcomes[[#This Row],[BatchID]]))</f>
        <v>0</v>
      </c>
      <c r="Q3679" s="51">
        <f>IF(COUNTIF(TblPurchases[BatchID],TblOutcomes[[#This Row],[BatchID]])&lt;&gt;1,"n.a.",SUMIFS(TblPurchases[Purchase Date],TblPurchases[BatchID],TblOutcomes[[#This Row],[BatchID]]))</f>
        <v>45267</v>
      </c>
    </row>
    <row r="3680" spans="2:17" x14ac:dyDescent="0.25">
      <c r="B3680" s="2" t="s">
        <v>4485</v>
      </c>
      <c r="C3680" s="2" t="s">
        <v>387</v>
      </c>
      <c r="D3680" s="2" t="s">
        <v>377</v>
      </c>
      <c r="E3680" s="2" t="s">
        <v>4647</v>
      </c>
      <c r="F3680" s="2">
        <v>23</v>
      </c>
      <c r="G3680" s="2">
        <v>23</v>
      </c>
      <c r="H3680" s="2">
        <v>0</v>
      </c>
      <c r="I3680" s="1">
        <v>0</v>
      </c>
      <c r="J3680" s="26">
        <v>45367</v>
      </c>
      <c r="K3680" s="22">
        <v>103500</v>
      </c>
      <c r="L3680" s="18">
        <v>110.7</v>
      </c>
      <c r="M3680" s="22">
        <v>71300</v>
      </c>
      <c r="N3680" s="22">
        <v>32200</v>
      </c>
      <c r="O3680" s="18">
        <v>34.44</v>
      </c>
      <c r="P3680" s="52">
        <f>IF(COUNTIF(TblPurchases[BatchID],TblOutcomes[[#This Row],[BatchID]])&lt;&gt;1,"n.a.",TblOutcomes[[#This Row],[Qty Wasted]]*SUMIFS(TblPurchases[Unit Cost (CLP)],TblPurchases[BatchID],TblOutcomes[[#This Row],[BatchID]]))</f>
        <v>0</v>
      </c>
      <c r="Q3680" s="51">
        <f>IF(COUNTIF(TblPurchases[BatchID],TblOutcomes[[#This Row],[BatchID]])&lt;&gt;1,"n.a.",SUMIFS(TblPurchases[Purchase Date],TblPurchases[BatchID],TblOutcomes[[#This Row],[BatchID]]))</f>
        <v>45328</v>
      </c>
    </row>
    <row r="3681" spans="2:17" x14ac:dyDescent="0.25">
      <c r="B3681" s="2" t="s">
        <v>4486</v>
      </c>
      <c r="C3681" s="2" t="s">
        <v>387</v>
      </c>
      <c r="D3681" s="2" t="s">
        <v>377</v>
      </c>
      <c r="E3681" s="2" t="s">
        <v>4647</v>
      </c>
      <c r="F3681" s="2">
        <v>19</v>
      </c>
      <c r="G3681" s="2">
        <v>19</v>
      </c>
      <c r="H3681" s="2">
        <v>0</v>
      </c>
      <c r="I3681" s="1">
        <v>0</v>
      </c>
      <c r="J3681" s="26">
        <v>45441</v>
      </c>
      <c r="K3681" s="22">
        <v>85500</v>
      </c>
      <c r="L3681" s="18">
        <v>91.44</v>
      </c>
      <c r="M3681" s="22">
        <v>58900</v>
      </c>
      <c r="N3681" s="22">
        <v>26600</v>
      </c>
      <c r="O3681" s="18">
        <v>28.45</v>
      </c>
      <c r="P3681" s="52">
        <f>IF(COUNTIF(TblPurchases[BatchID],TblOutcomes[[#This Row],[BatchID]])&lt;&gt;1,"n.a.",TblOutcomes[[#This Row],[Qty Wasted]]*SUMIFS(TblPurchases[Unit Cost (CLP)],TblPurchases[BatchID],TblOutcomes[[#This Row],[BatchID]]))</f>
        <v>0</v>
      </c>
      <c r="Q3681" s="51">
        <f>IF(COUNTIF(TblPurchases[BatchID],TblOutcomes[[#This Row],[BatchID]])&lt;&gt;1,"n.a.",SUMIFS(TblPurchases[Purchase Date],TblPurchases[BatchID],TblOutcomes[[#This Row],[BatchID]]))</f>
        <v>45390</v>
      </c>
    </row>
    <row r="3682" spans="2:17" x14ac:dyDescent="0.25">
      <c r="B3682" s="2" t="s">
        <v>4487</v>
      </c>
      <c r="C3682" s="2" t="s">
        <v>387</v>
      </c>
      <c r="D3682" s="2" t="s">
        <v>377</v>
      </c>
      <c r="E3682" s="2" t="s">
        <v>4647</v>
      </c>
      <c r="F3682" s="2">
        <v>18</v>
      </c>
      <c r="G3682" s="2">
        <v>18</v>
      </c>
      <c r="H3682" s="2">
        <v>0</v>
      </c>
      <c r="I3682" s="1">
        <v>0</v>
      </c>
      <c r="J3682" s="26">
        <v>45511</v>
      </c>
      <c r="K3682" s="22">
        <v>81000</v>
      </c>
      <c r="L3682" s="18">
        <v>86.63</v>
      </c>
      <c r="M3682" s="22">
        <v>55800</v>
      </c>
      <c r="N3682" s="22">
        <v>25200</v>
      </c>
      <c r="O3682" s="18">
        <v>26.95</v>
      </c>
      <c r="P3682" s="52">
        <f>IF(COUNTIF(TblPurchases[BatchID],TblOutcomes[[#This Row],[BatchID]])&lt;&gt;1,"n.a.",TblOutcomes[[#This Row],[Qty Wasted]]*SUMIFS(TblPurchases[Unit Cost (CLP)],TblPurchases[BatchID],TblOutcomes[[#This Row],[BatchID]]))</f>
        <v>0</v>
      </c>
      <c r="Q3682" s="51">
        <f>IF(COUNTIF(TblPurchases[BatchID],TblOutcomes[[#This Row],[BatchID]])&lt;&gt;1,"n.a.",SUMIFS(TblPurchases[Purchase Date],TblPurchases[BatchID],TblOutcomes[[#This Row],[BatchID]]))</f>
        <v>45462</v>
      </c>
    </row>
    <row r="3683" spans="2:17" x14ac:dyDescent="0.25">
      <c r="B3683" s="2" t="s">
        <v>4488</v>
      </c>
      <c r="C3683" s="2" t="s">
        <v>387</v>
      </c>
      <c r="D3683" s="2" t="s">
        <v>377</v>
      </c>
      <c r="E3683" s="2" t="s">
        <v>4647</v>
      </c>
      <c r="F3683" s="2">
        <v>22</v>
      </c>
      <c r="G3683" s="2">
        <v>22</v>
      </c>
      <c r="H3683" s="2">
        <v>0</v>
      </c>
      <c r="I3683" s="1">
        <v>0</v>
      </c>
      <c r="J3683" s="26">
        <v>45570</v>
      </c>
      <c r="K3683" s="22">
        <v>99000</v>
      </c>
      <c r="L3683" s="18">
        <v>105.88</v>
      </c>
      <c r="M3683" s="22">
        <v>68200</v>
      </c>
      <c r="N3683" s="22">
        <v>30800</v>
      </c>
      <c r="O3683" s="18">
        <v>32.94</v>
      </c>
      <c r="P3683" s="52">
        <f>IF(COUNTIF(TblPurchases[BatchID],TblOutcomes[[#This Row],[BatchID]])&lt;&gt;1,"n.a.",TblOutcomes[[#This Row],[Qty Wasted]]*SUMIFS(TblPurchases[Unit Cost (CLP)],TblPurchases[BatchID],TblOutcomes[[#This Row],[BatchID]]))</f>
        <v>0</v>
      </c>
      <c r="Q3683" s="51">
        <f>IF(COUNTIF(TblPurchases[BatchID],TblOutcomes[[#This Row],[BatchID]])&lt;&gt;1,"n.a.",SUMIFS(TblPurchases[Purchase Date],TblPurchases[BatchID],TblOutcomes[[#This Row],[BatchID]]))</f>
        <v>45522</v>
      </c>
    </row>
    <row r="3684" spans="2:17" x14ac:dyDescent="0.25">
      <c r="B3684" s="2" t="s">
        <v>4489</v>
      </c>
      <c r="C3684" s="2" t="s">
        <v>387</v>
      </c>
      <c r="D3684" s="2" t="s">
        <v>377</v>
      </c>
      <c r="E3684" s="2" t="s">
        <v>4647</v>
      </c>
      <c r="F3684" s="2">
        <v>22</v>
      </c>
      <c r="G3684" s="2">
        <v>22</v>
      </c>
      <c r="H3684" s="2">
        <v>0</v>
      </c>
      <c r="I3684" s="1">
        <v>0</v>
      </c>
      <c r="J3684" s="26">
        <v>45617</v>
      </c>
      <c r="K3684" s="22">
        <v>99000</v>
      </c>
      <c r="L3684" s="18">
        <v>105.88</v>
      </c>
      <c r="M3684" s="22">
        <v>68200</v>
      </c>
      <c r="N3684" s="22">
        <v>30800</v>
      </c>
      <c r="O3684" s="18">
        <v>32.94</v>
      </c>
      <c r="P3684" s="52">
        <f>IF(COUNTIF(TblPurchases[BatchID],TblOutcomes[[#This Row],[BatchID]])&lt;&gt;1,"n.a.",TblOutcomes[[#This Row],[Qty Wasted]]*SUMIFS(TblPurchases[Unit Cost (CLP)],TblPurchases[BatchID],TblOutcomes[[#This Row],[BatchID]]))</f>
        <v>0</v>
      </c>
      <c r="Q3684" s="51">
        <f>IF(COUNTIF(TblPurchases[BatchID],TblOutcomes[[#This Row],[BatchID]])&lt;&gt;1,"n.a.",SUMIFS(TblPurchases[Purchase Date],TblPurchases[BatchID],TblOutcomes[[#This Row],[BatchID]]))</f>
        <v>45570</v>
      </c>
    </row>
    <row r="3685" spans="2:17" x14ac:dyDescent="0.25">
      <c r="B3685" s="2" t="s">
        <v>4490</v>
      </c>
      <c r="C3685" s="2" t="s">
        <v>387</v>
      </c>
      <c r="D3685" s="2" t="s">
        <v>377</v>
      </c>
      <c r="E3685" s="2" t="s">
        <v>4647</v>
      </c>
      <c r="F3685" s="2">
        <v>17</v>
      </c>
      <c r="G3685" s="2">
        <v>17</v>
      </c>
      <c r="H3685" s="2">
        <v>0</v>
      </c>
      <c r="I3685" s="1">
        <v>0</v>
      </c>
      <c r="J3685" s="26">
        <v>45682</v>
      </c>
      <c r="K3685" s="22">
        <v>76500</v>
      </c>
      <c r="L3685" s="18">
        <v>81.819999999999993</v>
      </c>
      <c r="M3685" s="22">
        <v>52700</v>
      </c>
      <c r="N3685" s="22">
        <v>23800</v>
      </c>
      <c r="O3685" s="18">
        <v>25.45</v>
      </c>
      <c r="P3685" s="52">
        <f>IF(COUNTIF(TblPurchases[BatchID],TblOutcomes[[#This Row],[BatchID]])&lt;&gt;1,"n.a.",TblOutcomes[[#This Row],[Qty Wasted]]*SUMIFS(TblPurchases[Unit Cost (CLP)],TblPurchases[BatchID],TblOutcomes[[#This Row],[BatchID]]))</f>
        <v>0</v>
      </c>
      <c r="Q3685" s="51">
        <f>IF(COUNTIF(TblPurchases[BatchID],TblOutcomes[[#This Row],[BatchID]])&lt;&gt;1,"n.a.",SUMIFS(TblPurchases[Purchase Date],TblPurchases[BatchID],TblOutcomes[[#This Row],[BatchID]]))</f>
        <v>45623</v>
      </c>
    </row>
    <row r="3686" spans="2:17" x14ac:dyDescent="0.25">
      <c r="B3686" s="2" t="s">
        <v>4491</v>
      </c>
      <c r="C3686" s="2" t="s">
        <v>387</v>
      </c>
      <c r="D3686" s="2" t="s">
        <v>377</v>
      </c>
      <c r="E3686" s="2" t="s">
        <v>4647</v>
      </c>
      <c r="F3686" s="2">
        <v>19</v>
      </c>
      <c r="G3686" s="2">
        <v>19</v>
      </c>
      <c r="H3686" s="2">
        <v>0</v>
      </c>
      <c r="I3686" s="1">
        <v>0</v>
      </c>
      <c r="J3686" s="26">
        <v>45735</v>
      </c>
      <c r="K3686" s="22">
        <v>85500</v>
      </c>
      <c r="L3686" s="18">
        <v>91.44</v>
      </c>
      <c r="M3686" s="22">
        <v>58900</v>
      </c>
      <c r="N3686" s="22">
        <v>26600</v>
      </c>
      <c r="O3686" s="18">
        <v>28.45</v>
      </c>
      <c r="P3686" s="52">
        <f>IF(COUNTIF(TblPurchases[BatchID],TblOutcomes[[#This Row],[BatchID]])&lt;&gt;1,"n.a.",TblOutcomes[[#This Row],[Qty Wasted]]*SUMIFS(TblPurchases[Unit Cost (CLP)],TblPurchases[BatchID],TblOutcomes[[#This Row],[BatchID]]))</f>
        <v>0</v>
      </c>
      <c r="Q3686" s="51">
        <f>IF(COUNTIF(TblPurchases[BatchID],TblOutcomes[[#This Row],[BatchID]])&lt;&gt;1,"n.a.",SUMIFS(TblPurchases[Purchase Date],TblPurchases[BatchID],TblOutcomes[[#This Row],[BatchID]]))</f>
        <v>45676</v>
      </c>
    </row>
    <row r="3687" spans="2:17" x14ac:dyDescent="0.25">
      <c r="B3687" s="2" t="s">
        <v>4492</v>
      </c>
      <c r="C3687" s="2" t="s">
        <v>387</v>
      </c>
      <c r="D3687" s="2" t="s">
        <v>377</v>
      </c>
      <c r="E3687" s="2" t="s">
        <v>4647</v>
      </c>
      <c r="F3687" s="2">
        <v>20</v>
      </c>
      <c r="G3687" s="2">
        <v>20</v>
      </c>
      <c r="H3687" s="2">
        <v>0</v>
      </c>
      <c r="I3687" s="1">
        <v>0</v>
      </c>
      <c r="J3687" s="26">
        <v>45798</v>
      </c>
      <c r="K3687" s="22">
        <v>90000</v>
      </c>
      <c r="L3687" s="18">
        <v>96.26</v>
      </c>
      <c r="M3687" s="22">
        <v>62000</v>
      </c>
      <c r="N3687" s="22">
        <v>28000</v>
      </c>
      <c r="O3687" s="18">
        <v>29.95</v>
      </c>
      <c r="P3687" s="52">
        <f>IF(COUNTIF(TblPurchases[BatchID],TblOutcomes[[#This Row],[BatchID]])&lt;&gt;1,"n.a.",TblOutcomes[[#This Row],[Qty Wasted]]*SUMIFS(TblPurchases[Unit Cost (CLP)],TblPurchases[BatchID],TblOutcomes[[#This Row],[BatchID]]))</f>
        <v>0</v>
      </c>
      <c r="Q3687" s="51">
        <f>IF(COUNTIF(TblPurchases[BatchID],TblOutcomes[[#This Row],[BatchID]])&lt;&gt;1,"n.a.",SUMIFS(TblPurchases[Purchase Date],TblPurchases[BatchID],TblOutcomes[[#This Row],[BatchID]]))</f>
        <v>45733</v>
      </c>
    </row>
    <row r="3688" spans="2:17" x14ac:dyDescent="0.25">
      <c r="B3688" s="2" t="s">
        <v>4493</v>
      </c>
      <c r="C3688" s="2" t="s">
        <v>387</v>
      </c>
      <c r="D3688" s="2" t="s">
        <v>377</v>
      </c>
      <c r="E3688" s="2" t="s">
        <v>4647</v>
      </c>
      <c r="F3688" s="2">
        <v>25</v>
      </c>
      <c r="G3688" s="2">
        <v>25</v>
      </c>
      <c r="H3688" s="2">
        <v>0</v>
      </c>
      <c r="I3688" s="1">
        <v>0</v>
      </c>
      <c r="J3688" s="26">
        <v>49453</v>
      </c>
      <c r="K3688" s="22">
        <v>112500</v>
      </c>
      <c r="L3688" s="18">
        <v>120.32</v>
      </c>
      <c r="M3688" s="22">
        <v>77500</v>
      </c>
      <c r="N3688" s="22">
        <v>35000</v>
      </c>
      <c r="O3688" s="18">
        <v>37.43</v>
      </c>
      <c r="P3688" s="52">
        <f>IF(COUNTIF(TblPurchases[BatchID],TblOutcomes[[#This Row],[BatchID]])&lt;&gt;1,"n.a.",TblOutcomes[[#This Row],[Qty Wasted]]*SUMIFS(TblPurchases[Unit Cost (CLP)],TblPurchases[BatchID],TblOutcomes[[#This Row],[BatchID]]))</f>
        <v>0</v>
      </c>
      <c r="Q3688" s="51">
        <f>IF(COUNTIF(TblPurchases[BatchID],TblOutcomes[[#This Row],[BatchID]])&lt;&gt;1,"n.a.",SUMIFS(TblPurchases[Purchase Date],TblPurchases[BatchID],TblOutcomes[[#This Row],[BatchID]]))</f>
        <v>45803</v>
      </c>
    </row>
    <row r="3689" spans="2:17" x14ac:dyDescent="0.25">
      <c r="B3689" s="2" t="s">
        <v>4494</v>
      </c>
      <c r="C3689" s="2" t="s">
        <v>389</v>
      </c>
      <c r="D3689" s="2" t="s">
        <v>377</v>
      </c>
      <c r="E3689" s="2" t="s">
        <v>4647</v>
      </c>
      <c r="F3689" s="2">
        <v>20</v>
      </c>
      <c r="G3689" s="2">
        <v>20</v>
      </c>
      <c r="H3689" s="2">
        <v>0</v>
      </c>
      <c r="I3689" s="1">
        <v>0</v>
      </c>
      <c r="J3689" s="26">
        <v>48790</v>
      </c>
      <c r="K3689" s="22">
        <v>110000</v>
      </c>
      <c r="L3689" s="18">
        <v>117.65</v>
      </c>
      <c r="M3689" s="22">
        <v>72000</v>
      </c>
      <c r="N3689" s="22">
        <v>38000</v>
      </c>
      <c r="O3689" s="18">
        <v>40.64</v>
      </c>
      <c r="P3689" s="52">
        <f>IF(COUNTIF(TblPurchases[BatchID],TblOutcomes[[#This Row],[BatchID]])&lt;&gt;1,"n.a.",TblOutcomes[[#This Row],[Qty Wasted]]*SUMIFS(TblPurchases[Unit Cost (CLP)],TblPurchases[BatchID],TblOutcomes[[#This Row],[BatchID]]))</f>
        <v>0</v>
      </c>
      <c r="Q3689" s="51">
        <f>IF(COUNTIF(TblPurchases[BatchID],TblOutcomes[[#This Row],[BatchID]])&lt;&gt;1,"n.a.",SUMIFS(TblPurchases[Purchase Date],TblPurchases[BatchID],TblOutcomes[[#This Row],[BatchID]]))</f>
        <v>45140</v>
      </c>
    </row>
    <row r="3690" spans="2:17" x14ac:dyDescent="0.25">
      <c r="B3690" s="2" t="s">
        <v>4495</v>
      </c>
      <c r="C3690" s="2" t="s">
        <v>389</v>
      </c>
      <c r="D3690" s="2" t="s">
        <v>377</v>
      </c>
      <c r="E3690" s="2" t="s">
        <v>4647</v>
      </c>
      <c r="F3690" s="2">
        <v>27</v>
      </c>
      <c r="G3690" s="2">
        <v>27</v>
      </c>
      <c r="H3690" s="2">
        <v>0</v>
      </c>
      <c r="I3690" s="1">
        <v>0</v>
      </c>
      <c r="J3690" s="26">
        <v>45241</v>
      </c>
      <c r="K3690" s="22">
        <v>148500</v>
      </c>
      <c r="L3690" s="18">
        <v>158.82</v>
      </c>
      <c r="M3690" s="22">
        <v>97200</v>
      </c>
      <c r="N3690" s="22">
        <v>51300</v>
      </c>
      <c r="O3690" s="18">
        <v>54.87</v>
      </c>
      <c r="P3690" s="52">
        <f>IF(COUNTIF(TblPurchases[BatchID],TblOutcomes[[#This Row],[BatchID]])&lt;&gt;1,"n.a.",TblOutcomes[[#This Row],[Qty Wasted]]*SUMIFS(TblPurchases[Unit Cost (CLP)],TblPurchases[BatchID],TblOutcomes[[#This Row],[BatchID]]))</f>
        <v>0</v>
      </c>
      <c r="Q3690" s="51">
        <f>IF(COUNTIF(TblPurchases[BatchID],TblOutcomes[[#This Row],[BatchID]])&lt;&gt;1,"n.a.",SUMIFS(TblPurchases[Purchase Date],TblPurchases[BatchID],TblOutcomes[[#This Row],[BatchID]]))</f>
        <v>45194</v>
      </c>
    </row>
    <row r="3691" spans="2:17" x14ac:dyDescent="0.25">
      <c r="B3691" s="2" t="s">
        <v>4496</v>
      </c>
      <c r="C3691" s="2" t="s">
        <v>389</v>
      </c>
      <c r="D3691" s="2" t="s">
        <v>377</v>
      </c>
      <c r="E3691" s="2" t="s">
        <v>4647</v>
      </c>
      <c r="F3691" s="2">
        <v>21</v>
      </c>
      <c r="G3691" s="2">
        <v>21</v>
      </c>
      <c r="H3691" s="2">
        <v>0</v>
      </c>
      <c r="I3691" s="1">
        <v>0</v>
      </c>
      <c r="J3691" s="26">
        <v>45320</v>
      </c>
      <c r="K3691" s="22">
        <v>115500</v>
      </c>
      <c r="L3691" s="18">
        <v>123.53</v>
      </c>
      <c r="M3691" s="22">
        <v>77700</v>
      </c>
      <c r="N3691" s="22">
        <v>37800</v>
      </c>
      <c r="O3691" s="18">
        <v>40.43</v>
      </c>
      <c r="P3691" s="52">
        <f>IF(COUNTIF(TblPurchases[BatchID],TblOutcomes[[#This Row],[BatchID]])&lt;&gt;1,"n.a.",TblOutcomes[[#This Row],[Qty Wasted]]*SUMIFS(TblPurchases[Unit Cost (CLP)],TblPurchases[BatchID],TblOutcomes[[#This Row],[BatchID]]))</f>
        <v>0</v>
      </c>
      <c r="Q3691" s="51">
        <f>IF(COUNTIF(TblPurchases[BatchID],TblOutcomes[[#This Row],[BatchID]])&lt;&gt;1,"n.a.",SUMIFS(TblPurchases[Purchase Date],TblPurchases[BatchID],TblOutcomes[[#This Row],[BatchID]]))</f>
        <v>45254</v>
      </c>
    </row>
    <row r="3692" spans="2:17" x14ac:dyDescent="0.25">
      <c r="B3692" s="2" t="s">
        <v>4497</v>
      </c>
      <c r="C3692" s="2" t="s">
        <v>389</v>
      </c>
      <c r="D3692" s="2" t="s">
        <v>377</v>
      </c>
      <c r="E3692" s="2" t="s">
        <v>4647</v>
      </c>
      <c r="F3692" s="2">
        <v>21</v>
      </c>
      <c r="G3692" s="2">
        <v>21</v>
      </c>
      <c r="H3692" s="2">
        <v>0</v>
      </c>
      <c r="I3692" s="1">
        <v>0</v>
      </c>
      <c r="J3692" s="26">
        <v>45355</v>
      </c>
      <c r="K3692" s="22">
        <v>115500</v>
      </c>
      <c r="L3692" s="18">
        <v>123.53</v>
      </c>
      <c r="M3692" s="22">
        <v>75600</v>
      </c>
      <c r="N3692" s="22">
        <v>39900</v>
      </c>
      <c r="O3692" s="18">
        <v>42.67</v>
      </c>
      <c r="P3692" s="52">
        <f>IF(COUNTIF(TblPurchases[BatchID],TblOutcomes[[#This Row],[BatchID]])&lt;&gt;1,"n.a.",TblOutcomes[[#This Row],[Qty Wasted]]*SUMIFS(TblPurchases[Unit Cost (CLP)],TblPurchases[BatchID],TblOutcomes[[#This Row],[BatchID]]))</f>
        <v>0</v>
      </c>
      <c r="Q3692" s="51">
        <f>IF(COUNTIF(TblPurchases[BatchID],TblOutcomes[[#This Row],[BatchID]])&lt;&gt;1,"n.a.",SUMIFS(TblPurchases[Purchase Date],TblPurchases[BatchID],TblOutcomes[[#This Row],[BatchID]]))</f>
        <v>45311</v>
      </c>
    </row>
    <row r="3693" spans="2:17" x14ac:dyDescent="0.25">
      <c r="B3693" s="2" t="s">
        <v>4498</v>
      </c>
      <c r="C3693" s="2" t="s">
        <v>389</v>
      </c>
      <c r="D3693" s="2" t="s">
        <v>377</v>
      </c>
      <c r="E3693" s="2" t="s">
        <v>4647</v>
      </c>
      <c r="F3693" s="2">
        <v>18</v>
      </c>
      <c r="G3693" s="2">
        <v>18</v>
      </c>
      <c r="H3693" s="2">
        <v>0</v>
      </c>
      <c r="I3693" s="1">
        <v>0</v>
      </c>
      <c r="J3693" s="26">
        <v>45420</v>
      </c>
      <c r="K3693" s="22">
        <v>99000</v>
      </c>
      <c r="L3693" s="18">
        <v>105.88</v>
      </c>
      <c r="M3693" s="22">
        <v>64800</v>
      </c>
      <c r="N3693" s="22">
        <v>34200</v>
      </c>
      <c r="O3693" s="18">
        <v>36.58</v>
      </c>
      <c r="P3693" s="52">
        <f>IF(COUNTIF(TblPurchases[BatchID],TblOutcomes[[#This Row],[BatchID]])&lt;&gt;1,"n.a.",TblOutcomes[[#This Row],[Qty Wasted]]*SUMIFS(TblPurchases[Unit Cost (CLP)],TblPurchases[BatchID],TblOutcomes[[#This Row],[BatchID]]))</f>
        <v>0</v>
      </c>
      <c r="Q3693" s="51">
        <f>IF(COUNTIF(TblPurchases[BatchID],TblOutcomes[[#This Row],[BatchID]])&lt;&gt;1,"n.a.",SUMIFS(TblPurchases[Purchase Date],TblPurchases[BatchID],TblOutcomes[[#This Row],[BatchID]]))</f>
        <v>45371</v>
      </c>
    </row>
    <row r="3694" spans="2:17" x14ac:dyDescent="0.25">
      <c r="B3694" s="2" t="s">
        <v>4499</v>
      </c>
      <c r="C3694" s="2" t="s">
        <v>389</v>
      </c>
      <c r="D3694" s="2" t="s">
        <v>377</v>
      </c>
      <c r="E3694" s="2" t="s">
        <v>4647</v>
      </c>
      <c r="F3694" s="2">
        <v>22</v>
      </c>
      <c r="G3694" s="2">
        <v>22</v>
      </c>
      <c r="H3694" s="2">
        <v>0</v>
      </c>
      <c r="I3694" s="1">
        <v>0</v>
      </c>
      <c r="J3694" s="26">
        <v>45504</v>
      </c>
      <c r="K3694" s="22">
        <v>121000</v>
      </c>
      <c r="L3694" s="18">
        <v>129.41</v>
      </c>
      <c r="M3694" s="22">
        <v>79200</v>
      </c>
      <c r="N3694" s="22">
        <v>41800</v>
      </c>
      <c r="O3694" s="18">
        <v>44.71</v>
      </c>
      <c r="P3694" s="52">
        <f>IF(COUNTIF(TblPurchases[BatchID],TblOutcomes[[#This Row],[BatchID]])&lt;&gt;1,"n.a.",TblOutcomes[[#This Row],[Qty Wasted]]*SUMIFS(TblPurchases[Unit Cost (CLP)],TblPurchases[BatchID],TblOutcomes[[#This Row],[BatchID]]))</f>
        <v>0</v>
      </c>
      <c r="Q3694" s="51">
        <f>IF(COUNTIF(TblPurchases[BatchID],TblOutcomes[[#This Row],[BatchID]])&lt;&gt;1,"n.a.",SUMIFS(TblPurchases[Purchase Date],TblPurchases[BatchID],TblOutcomes[[#This Row],[BatchID]]))</f>
        <v>45436</v>
      </c>
    </row>
    <row r="3695" spans="2:17" x14ac:dyDescent="0.25">
      <c r="B3695" s="2" t="s">
        <v>4500</v>
      </c>
      <c r="C3695" s="2" t="s">
        <v>389</v>
      </c>
      <c r="D3695" s="2" t="s">
        <v>377</v>
      </c>
      <c r="E3695" s="2" t="s">
        <v>4647</v>
      </c>
      <c r="F3695" s="2">
        <v>17</v>
      </c>
      <c r="G3695" s="2">
        <v>17</v>
      </c>
      <c r="H3695" s="2">
        <v>0</v>
      </c>
      <c r="I3695" s="1">
        <v>0</v>
      </c>
      <c r="J3695" s="26">
        <v>49149</v>
      </c>
      <c r="K3695" s="22">
        <v>93500</v>
      </c>
      <c r="L3695" s="18">
        <v>100</v>
      </c>
      <c r="M3695" s="22">
        <v>61200</v>
      </c>
      <c r="N3695" s="22">
        <v>32300</v>
      </c>
      <c r="O3695" s="18">
        <v>34.549999999999997</v>
      </c>
      <c r="P3695" s="52">
        <f>IF(COUNTIF(TblPurchases[BatchID],TblOutcomes[[#This Row],[BatchID]])&lt;&gt;1,"n.a.",TblOutcomes[[#This Row],[Qty Wasted]]*SUMIFS(TblPurchases[Unit Cost (CLP)],TblPurchases[BatchID],TblOutcomes[[#This Row],[BatchID]]))</f>
        <v>0</v>
      </c>
      <c r="Q3695" s="51">
        <f>IF(COUNTIF(TblPurchases[BatchID],TblOutcomes[[#This Row],[BatchID]])&lt;&gt;1,"n.a.",SUMIFS(TblPurchases[Purchase Date],TblPurchases[BatchID],TblOutcomes[[#This Row],[BatchID]]))</f>
        <v>45499</v>
      </c>
    </row>
    <row r="3696" spans="2:17" x14ac:dyDescent="0.25">
      <c r="B3696" s="2" t="s">
        <v>4501</v>
      </c>
      <c r="C3696" s="2" t="s">
        <v>389</v>
      </c>
      <c r="D3696" s="2" t="s">
        <v>377</v>
      </c>
      <c r="E3696" s="2" t="s">
        <v>4647</v>
      </c>
      <c r="F3696" s="2">
        <v>22</v>
      </c>
      <c r="G3696" s="2">
        <v>22</v>
      </c>
      <c r="H3696" s="2">
        <v>0</v>
      </c>
      <c r="I3696" s="1">
        <v>0</v>
      </c>
      <c r="J3696" s="26">
        <v>45602</v>
      </c>
      <c r="K3696" s="22">
        <v>121000</v>
      </c>
      <c r="L3696" s="18">
        <v>129.41</v>
      </c>
      <c r="M3696" s="22">
        <v>79200</v>
      </c>
      <c r="N3696" s="22">
        <v>41800</v>
      </c>
      <c r="O3696" s="18">
        <v>44.71</v>
      </c>
      <c r="P3696" s="52">
        <f>IF(COUNTIF(TblPurchases[BatchID],TblOutcomes[[#This Row],[BatchID]])&lt;&gt;1,"n.a.",TblOutcomes[[#This Row],[Qty Wasted]]*SUMIFS(TblPurchases[Unit Cost (CLP)],TblPurchases[BatchID],TblOutcomes[[#This Row],[BatchID]]))</f>
        <v>0</v>
      </c>
      <c r="Q3696" s="51">
        <f>IF(COUNTIF(TblPurchases[BatchID],TblOutcomes[[#This Row],[BatchID]])&lt;&gt;1,"n.a.",SUMIFS(TblPurchases[Purchase Date],TblPurchases[BatchID],TblOutcomes[[#This Row],[BatchID]]))</f>
        <v>45556</v>
      </c>
    </row>
    <row r="3697" spans="2:17" x14ac:dyDescent="0.25">
      <c r="B3697" s="2" t="s">
        <v>4502</v>
      </c>
      <c r="C3697" s="2" t="s">
        <v>389</v>
      </c>
      <c r="D3697" s="2" t="s">
        <v>377</v>
      </c>
      <c r="E3697" s="2" t="s">
        <v>4647</v>
      </c>
      <c r="F3697" s="2">
        <v>19</v>
      </c>
      <c r="G3697" s="2">
        <v>19</v>
      </c>
      <c r="H3697" s="2">
        <v>0</v>
      </c>
      <c r="I3697" s="1">
        <v>0</v>
      </c>
      <c r="J3697" s="26">
        <v>45690</v>
      </c>
      <c r="K3697" s="22">
        <v>104500</v>
      </c>
      <c r="L3697" s="18">
        <v>111.76</v>
      </c>
      <c r="M3697" s="22">
        <v>70300</v>
      </c>
      <c r="N3697" s="22">
        <v>34200</v>
      </c>
      <c r="O3697" s="18">
        <v>36.58</v>
      </c>
      <c r="P3697" s="52">
        <f>IF(COUNTIF(TblPurchases[BatchID],TblOutcomes[[#This Row],[BatchID]])&lt;&gt;1,"n.a.",TblOutcomes[[#This Row],[Qty Wasted]]*SUMIFS(TblPurchases[Unit Cost (CLP)],TblPurchases[BatchID],TblOutcomes[[#This Row],[BatchID]]))</f>
        <v>0</v>
      </c>
      <c r="Q3697" s="51">
        <f>IF(COUNTIF(TblPurchases[BatchID],TblOutcomes[[#This Row],[BatchID]])&lt;&gt;1,"n.a.",SUMIFS(TblPurchases[Purchase Date],TblPurchases[BatchID],TblOutcomes[[#This Row],[BatchID]]))</f>
        <v>45620</v>
      </c>
    </row>
    <row r="3698" spans="2:17" x14ac:dyDescent="0.25">
      <c r="B3698" s="2" t="s">
        <v>4503</v>
      </c>
      <c r="C3698" s="2" t="s">
        <v>389</v>
      </c>
      <c r="D3698" s="2" t="s">
        <v>377</v>
      </c>
      <c r="E3698" s="2" t="s">
        <v>4647</v>
      </c>
      <c r="F3698" s="2">
        <v>21</v>
      </c>
      <c r="G3698" s="2">
        <v>21</v>
      </c>
      <c r="H3698" s="2">
        <v>0</v>
      </c>
      <c r="I3698" s="1">
        <v>0</v>
      </c>
      <c r="J3698" s="26">
        <v>45697</v>
      </c>
      <c r="K3698" s="22">
        <v>115500</v>
      </c>
      <c r="L3698" s="18">
        <v>123.53</v>
      </c>
      <c r="M3698" s="22">
        <v>75600</v>
      </c>
      <c r="N3698" s="22">
        <v>39900</v>
      </c>
      <c r="O3698" s="18">
        <v>42.67</v>
      </c>
      <c r="P3698" s="52">
        <f>IF(COUNTIF(TblPurchases[BatchID],TblOutcomes[[#This Row],[BatchID]])&lt;&gt;1,"n.a.",TblOutcomes[[#This Row],[Qty Wasted]]*SUMIFS(TblPurchases[Unit Cost (CLP)],TblPurchases[BatchID],TblOutcomes[[#This Row],[BatchID]]))</f>
        <v>0</v>
      </c>
      <c r="Q3698" s="51">
        <f>IF(COUNTIF(TblPurchases[BatchID],TblOutcomes[[#This Row],[BatchID]])&lt;&gt;1,"n.a.",SUMIFS(TblPurchases[Purchase Date],TblPurchases[BatchID],TblOutcomes[[#This Row],[BatchID]]))</f>
        <v>45678</v>
      </c>
    </row>
    <row r="3699" spans="2:17" x14ac:dyDescent="0.25">
      <c r="B3699" s="2" t="s">
        <v>4504</v>
      </c>
      <c r="C3699" s="2" t="s">
        <v>389</v>
      </c>
      <c r="D3699" s="2" t="s">
        <v>377</v>
      </c>
      <c r="E3699" s="2" t="s">
        <v>4647</v>
      </c>
      <c r="F3699" s="2">
        <v>25</v>
      </c>
      <c r="G3699" s="2">
        <v>25</v>
      </c>
      <c r="H3699" s="2">
        <v>0</v>
      </c>
      <c r="I3699" s="1">
        <v>0</v>
      </c>
      <c r="J3699" s="26">
        <v>45812</v>
      </c>
      <c r="K3699" s="22">
        <v>137500</v>
      </c>
      <c r="L3699" s="18">
        <v>147.06</v>
      </c>
      <c r="M3699" s="22">
        <v>90000</v>
      </c>
      <c r="N3699" s="22">
        <v>47500</v>
      </c>
      <c r="O3699" s="18">
        <v>50.8</v>
      </c>
      <c r="P3699" s="52">
        <f>IF(COUNTIF(TblPurchases[BatchID],TblOutcomes[[#This Row],[BatchID]])&lt;&gt;1,"n.a.",TblOutcomes[[#This Row],[Qty Wasted]]*SUMIFS(TblPurchases[Unit Cost (CLP)],TblPurchases[BatchID],TblOutcomes[[#This Row],[BatchID]]))</f>
        <v>0</v>
      </c>
      <c r="Q3699" s="51">
        <f>IF(COUNTIF(TblPurchases[BatchID],TblOutcomes[[#This Row],[BatchID]])&lt;&gt;1,"n.a.",SUMIFS(TblPurchases[Purchase Date],TblPurchases[BatchID],TblOutcomes[[#This Row],[BatchID]]))</f>
        <v>45751</v>
      </c>
    </row>
    <row r="3700" spans="2:17" x14ac:dyDescent="0.25">
      <c r="B3700" s="2" t="s">
        <v>4505</v>
      </c>
      <c r="C3700" s="2" t="s">
        <v>389</v>
      </c>
      <c r="D3700" s="2" t="s">
        <v>377</v>
      </c>
      <c r="E3700" s="2" t="s">
        <v>4647</v>
      </c>
      <c r="F3700" s="2">
        <v>22</v>
      </c>
      <c r="G3700" s="2">
        <v>22</v>
      </c>
      <c r="H3700" s="2">
        <v>0</v>
      </c>
      <c r="I3700" s="1">
        <v>0</v>
      </c>
      <c r="J3700" s="26">
        <v>49470</v>
      </c>
      <c r="K3700" s="22">
        <v>121000</v>
      </c>
      <c r="L3700" s="18">
        <v>129.41</v>
      </c>
      <c r="M3700" s="22">
        <v>79200</v>
      </c>
      <c r="N3700" s="22">
        <v>41800</v>
      </c>
      <c r="O3700" s="18">
        <v>44.71</v>
      </c>
      <c r="P3700" s="52">
        <f>IF(COUNTIF(TblPurchases[BatchID],TblOutcomes[[#This Row],[BatchID]])&lt;&gt;1,"n.a.",TblOutcomes[[#This Row],[Qty Wasted]]*SUMIFS(TblPurchases[Unit Cost (CLP)],TblPurchases[BatchID],TblOutcomes[[#This Row],[BatchID]]))</f>
        <v>0</v>
      </c>
      <c r="Q3700" s="51">
        <f>IF(COUNTIF(TblPurchases[BatchID],TblOutcomes[[#This Row],[BatchID]])&lt;&gt;1,"n.a.",SUMIFS(TblPurchases[Purchase Date],TblPurchases[BatchID],TblOutcomes[[#This Row],[BatchID]]))</f>
        <v>45820</v>
      </c>
    </row>
    <row r="3701" spans="2:17" x14ac:dyDescent="0.25">
      <c r="B3701" s="2" t="s">
        <v>4506</v>
      </c>
      <c r="C3701" s="2" t="s">
        <v>391</v>
      </c>
      <c r="D3701" s="2" t="s">
        <v>377</v>
      </c>
      <c r="E3701" s="2" t="s">
        <v>4647</v>
      </c>
      <c r="F3701" s="2">
        <v>21</v>
      </c>
      <c r="G3701" s="2">
        <v>21</v>
      </c>
      <c r="H3701" s="2">
        <v>0</v>
      </c>
      <c r="I3701" s="1">
        <v>0</v>
      </c>
      <c r="J3701" s="26">
        <v>45194</v>
      </c>
      <c r="K3701" s="22">
        <v>21000</v>
      </c>
      <c r="L3701" s="18">
        <v>22.46</v>
      </c>
      <c r="M3701" s="22">
        <v>13650</v>
      </c>
      <c r="N3701" s="22">
        <v>7350</v>
      </c>
      <c r="O3701" s="18">
        <v>7.86</v>
      </c>
      <c r="P3701" s="52">
        <f>IF(COUNTIF(TblPurchases[BatchID],TblOutcomes[[#This Row],[BatchID]])&lt;&gt;1,"n.a.",TblOutcomes[[#This Row],[Qty Wasted]]*SUMIFS(TblPurchases[Unit Cost (CLP)],TblPurchases[BatchID],TblOutcomes[[#This Row],[BatchID]]))</f>
        <v>0</v>
      </c>
      <c r="Q3701" s="51">
        <f>IF(COUNTIF(TblPurchases[BatchID],TblOutcomes[[#This Row],[BatchID]])&lt;&gt;1,"n.a.",SUMIFS(TblPurchases[Purchase Date],TblPurchases[BatchID],TblOutcomes[[#This Row],[BatchID]]))</f>
        <v>45121</v>
      </c>
    </row>
    <row r="3702" spans="2:17" x14ac:dyDescent="0.25">
      <c r="B3702" s="2" t="s">
        <v>4507</v>
      </c>
      <c r="C3702" s="2" t="s">
        <v>391</v>
      </c>
      <c r="D3702" s="2" t="s">
        <v>377</v>
      </c>
      <c r="E3702" s="2" t="s">
        <v>4647</v>
      </c>
      <c r="F3702" s="2">
        <v>25</v>
      </c>
      <c r="G3702" s="2">
        <v>25</v>
      </c>
      <c r="H3702" s="2">
        <v>0</v>
      </c>
      <c r="I3702" s="1">
        <v>0</v>
      </c>
      <c r="J3702" s="26">
        <v>48832</v>
      </c>
      <c r="K3702" s="22">
        <v>25000</v>
      </c>
      <c r="L3702" s="18">
        <v>26.74</v>
      </c>
      <c r="M3702" s="22">
        <v>16250</v>
      </c>
      <c r="N3702" s="22">
        <v>8750</v>
      </c>
      <c r="O3702" s="18">
        <v>9.36</v>
      </c>
      <c r="P3702" s="52">
        <f>IF(COUNTIF(TblPurchases[BatchID],TblOutcomes[[#This Row],[BatchID]])&lt;&gt;1,"n.a.",TblOutcomes[[#This Row],[Qty Wasted]]*SUMIFS(TblPurchases[Unit Cost (CLP)],TblPurchases[BatchID],TblOutcomes[[#This Row],[BatchID]]))</f>
        <v>0</v>
      </c>
      <c r="Q3702" s="51">
        <f>IF(COUNTIF(TblPurchases[BatchID],TblOutcomes[[#This Row],[BatchID]])&lt;&gt;1,"n.a.",SUMIFS(TblPurchases[Purchase Date],TblPurchases[BatchID],TblOutcomes[[#This Row],[BatchID]]))</f>
        <v>45182</v>
      </c>
    </row>
    <row r="3703" spans="2:17" x14ac:dyDescent="0.25">
      <c r="B3703" s="2" t="s">
        <v>4508</v>
      </c>
      <c r="C3703" s="2" t="s">
        <v>391</v>
      </c>
      <c r="D3703" s="2" t="s">
        <v>377</v>
      </c>
      <c r="E3703" s="2" t="s">
        <v>4647</v>
      </c>
      <c r="F3703" s="2">
        <v>22</v>
      </c>
      <c r="G3703" s="2">
        <v>22</v>
      </c>
      <c r="H3703" s="2">
        <v>0</v>
      </c>
      <c r="I3703" s="1">
        <v>0</v>
      </c>
      <c r="J3703" s="26">
        <v>45300</v>
      </c>
      <c r="K3703" s="22">
        <v>22000</v>
      </c>
      <c r="L3703" s="18">
        <v>23.53</v>
      </c>
      <c r="M3703" s="22">
        <v>14300</v>
      </c>
      <c r="N3703" s="22">
        <v>7700</v>
      </c>
      <c r="O3703" s="18">
        <v>8.24</v>
      </c>
      <c r="P3703" s="52">
        <f>IF(COUNTIF(TblPurchases[BatchID],TblOutcomes[[#This Row],[BatchID]])&lt;&gt;1,"n.a.",TblOutcomes[[#This Row],[Qty Wasted]]*SUMIFS(TblPurchases[Unit Cost (CLP)],TblPurchases[BatchID],TblOutcomes[[#This Row],[BatchID]]))</f>
        <v>0</v>
      </c>
      <c r="Q3703" s="51">
        <f>IF(COUNTIF(TblPurchases[BatchID],TblOutcomes[[#This Row],[BatchID]])&lt;&gt;1,"n.a.",SUMIFS(TblPurchases[Purchase Date],TblPurchases[BatchID],TblOutcomes[[#This Row],[BatchID]]))</f>
        <v>45240</v>
      </c>
    </row>
    <row r="3704" spans="2:17" x14ac:dyDescent="0.25">
      <c r="B3704" s="2" t="s">
        <v>4509</v>
      </c>
      <c r="C3704" s="2" t="s">
        <v>391</v>
      </c>
      <c r="D3704" s="2" t="s">
        <v>377</v>
      </c>
      <c r="E3704" s="2" t="s">
        <v>4647</v>
      </c>
      <c r="F3704" s="2">
        <v>17</v>
      </c>
      <c r="G3704" s="2">
        <v>17</v>
      </c>
      <c r="H3704" s="2">
        <v>0</v>
      </c>
      <c r="I3704" s="1">
        <v>0</v>
      </c>
      <c r="J3704" s="26">
        <v>48954</v>
      </c>
      <c r="K3704" s="22">
        <v>17000</v>
      </c>
      <c r="L3704" s="18">
        <v>18.18</v>
      </c>
      <c r="M3704" s="22">
        <v>11050</v>
      </c>
      <c r="N3704" s="22">
        <v>5950</v>
      </c>
      <c r="O3704" s="18">
        <v>6.36</v>
      </c>
      <c r="P3704" s="52">
        <f>IF(COUNTIF(TblPurchases[BatchID],TblOutcomes[[#This Row],[BatchID]])&lt;&gt;1,"n.a.",TblOutcomes[[#This Row],[Qty Wasted]]*SUMIFS(TblPurchases[Unit Cost (CLP)],TblPurchases[BatchID],TblOutcomes[[#This Row],[BatchID]]))</f>
        <v>0</v>
      </c>
      <c r="Q3704" s="51">
        <f>IF(COUNTIF(TblPurchases[BatchID],TblOutcomes[[#This Row],[BatchID]])&lt;&gt;1,"n.a.",SUMIFS(TblPurchases[Purchase Date],TblPurchases[BatchID],TblOutcomes[[#This Row],[BatchID]]))</f>
        <v>45304</v>
      </c>
    </row>
    <row r="3705" spans="2:17" x14ac:dyDescent="0.25">
      <c r="B3705" s="2" t="s">
        <v>4510</v>
      </c>
      <c r="C3705" s="2" t="s">
        <v>391</v>
      </c>
      <c r="D3705" s="2" t="s">
        <v>377</v>
      </c>
      <c r="E3705" s="2" t="s">
        <v>4647</v>
      </c>
      <c r="F3705" s="2">
        <v>22</v>
      </c>
      <c r="G3705" s="2">
        <v>22</v>
      </c>
      <c r="H3705" s="2">
        <v>0</v>
      </c>
      <c r="I3705" s="1">
        <v>0</v>
      </c>
      <c r="J3705" s="26">
        <v>45418</v>
      </c>
      <c r="K3705" s="22">
        <v>22000</v>
      </c>
      <c r="L3705" s="18">
        <v>23.53</v>
      </c>
      <c r="M3705" s="22">
        <v>14300</v>
      </c>
      <c r="N3705" s="22">
        <v>7700</v>
      </c>
      <c r="O3705" s="18">
        <v>8.24</v>
      </c>
      <c r="P3705" s="52">
        <f>IF(COUNTIF(TblPurchases[BatchID],TblOutcomes[[#This Row],[BatchID]])&lt;&gt;1,"n.a.",TblOutcomes[[#This Row],[Qty Wasted]]*SUMIFS(TblPurchases[Unit Cost (CLP)],TblPurchases[BatchID],TblOutcomes[[#This Row],[BatchID]]))</f>
        <v>0</v>
      </c>
      <c r="Q3705" s="51">
        <f>IF(COUNTIF(TblPurchases[BatchID],TblOutcomes[[#This Row],[BatchID]])&lt;&gt;1,"n.a.",SUMIFS(TblPurchases[Purchase Date],TblPurchases[BatchID],TblOutcomes[[#This Row],[BatchID]]))</f>
        <v>45350</v>
      </c>
    </row>
    <row r="3706" spans="2:17" x14ac:dyDescent="0.25">
      <c r="B3706" s="2" t="s">
        <v>4511</v>
      </c>
      <c r="C3706" s="2" t="s">
        <v>391</v>
      </c>
      <c r="D3706" s="2" t="s">
        <v>377</v>
      </c>
      <c r="E3706" s="2" t="s">
        <v>4647</v>
      </c>
      <c r="F3706" s="2">
        <v>21</v>
      </c>
      <c r="G3706" s="2">
        <v>21</v>
      </c>
      <c r="H3706" s="2">
        <v>0</v>
      </c>
      <c r="I3706" s="1">
        <v>0</v>
      </c>
      <c r="J3706" s="26">
        <v>45487</v>
      </c>
      <c r="K3706" s="22">
        <v>21000</v>
      </c>
      <c r="L3706" s="18">
        <v>22.46</v>
      </c>
      <c r="M3706" s="22">
        <v>13650</v>
      </c>
      <c r="N3706" s="22">
        <v>7350</v>
      </c>
      <c r="O3706" s="18">
        <v>7.86</v>
      </c>
      <c r="P3706" s="52">
        <f>IF(COUNTIF(TblPurchases[BatchID],TblOutcomes[[#This Row],[BatchID]])&lt;&gt;1,"n.a.",TblOutcomes[[#This Row],[Qty Wasted]]*SUMIFS(TblPurchases[Unit Cost (CLP)],TblPurchases[BatchID],TblOutcomes[[#This Row],[BatchID]]))</f>
        <v>0</v>
      </c>
      <c r="Q3706" s="51">
        <f>IF(COUNTIF(TblPurchases[BatchID],TblOutcomes[[#This Row],[BatchID]])&lt;&gt;1,"n.a.",SUMIFS(TblPurchases[Purchase Date],TblPurchases[BatchID],TblOutcomes[[#This Row],[BatchID]]))</f>
        <v>45404</v>
      </c>
    </row>
    <row r="3707" spans="2:17" x14ac:dyDescent="0.25">
      <c r="B3707" s="2" t="s">
        <v>4512</v>
      </c>
      <c r="C3707" s="2" t="s">
        <v>391</v>
      </c>
      <c r="D3707" s="2" t="s">
        <v>377</v>
      </c>
      <c r="E3707" s="2" t="s">
        <v>4647</v>
      </c>
      <c r="F3707" s="2">
        <v>18</v>
      </c>
      <c r="G3707" s="2">
        <v>18</v>
      </c>
      <c r="H3707" s="2">
        <v>0</v>
      </c>
      <c r="I3707" s="1">
        <v>0</v>
      </c>
      <c r="J3707" s="26">
        <v>45501</v>
      </c>
      <c r="K3707" s="22">
        <v>18000</v>
      </c>
      <c r="L3707" s="18">
        <v>19.25</v>
      </c>
      <c r="M3707" s="22">
        <v>12600</v>
      </c>
      <c r="N3707" s="22">
        <v>5400</v>
      </c>
      <c r="O3707" s="18">
        <v>5.78</v>
      </c>
      <c r="P3707" s="52">
        <f>IF(COUNTIF(TblPurchases[BatchID],TblOutcomes[[#This Row],[BatchID]])&lt;&gt;1,"n.a.",TblOutcomes[[#This Row],[Qty Wasted]]*SUMIFS(TblPurchases[Unit Cost (CLP)],TblPurchases[BatchID],TblOutcomes[[#This Row],[BatchID]]))</f>
        <v>0</v>
      </c>
      <c r="Q3707" s="51">
        <f>IF(COUNTIF(TblPurchases[BatchID],TblOutcomes[[#This Row],[BatchID]])&lt;&gt;1,"n.a.",SUMIFS(TblPurchases[Purchase Date],TblPurchases[BatchID],TblOutcomes[[#This Row],[BatchID]]))</f>
        <v>45467</v>
      </c>
    </row>
    <row r="3708" spans="2:17" x14ac:dyDescent="0.25">
      <c r="B3708" s="2" t="s">
        <v>4513</v>
      </c>
      <c r="C3708" s="2" t="s">
        <v>391</v>
      </c>
      <c r="D3708" s="2" t="s">
        <v>377</v>
      </c>
      <c r="E3708" s="2" t="s">
        <v>4647</v>
      </c>
      <c r="F3708" s="2">
        <v>26</v>
      </c>
      <c r="G3708" s="2">
        <v>26</v>
      </c>
      <c r="H3708" s="2">
        <v>0</v>
      </c>
      <c r="I3708" s="1">
        <v>0</v>
      </c>
      <c r="J3708" s="26">
        <v>49187</v>
      </c>
      <c r="K3708" s="22">
        <v>26000</v>
      </c>
      <c r="L3708" s="18">
        <v>27.81</v>
      </c>
      <c r="M3708" s="22">
        <v>16900</v>
      </c>
      <c r="N3708" s="22">
        <v>9100</v>
      </c>
      <c r="O3708" s="18">
        <v>9.73</v>
      </c>
      <c r="P3708" s="52">
        <f>IF(COUNTIF(TblPurchases[BatchID],TblOutcomes[[#This Row],[BatchID]])&lt;&gt;1,"n.a.",TblOutcomes[[#This Row],[Qty Wasted]]*SUMIFS(TblPurchases[Unit Cost (CLP)],TblPurchases[BatchID],TblOutcomes[[#This Row],[BatchID]]))</f>
        <v>0</v>
      </c>
      <c r="Q3708" s="51">
        <f>IF(COUNTIF(TblPurchases[BatchID],TblOutcomes[[#This Row],[BatchID]])&lt;&gt;1,"n.a.",SUMIFS(TblPurchases[Purchase Date],TblPurchases[BatchID],TblOutcomes[[#This Row],[BatchID]]))</f>
        <v>45537</v>
      </c>
    </row>
    <row r="3709" spans="2:17" x14ac:dyDescent="0.25">
      <c r="B3709" s="2" t="s">
        <v>4514</v>
      </c>
      <c r="C3709" s="2" t="s">
        <v>391</v>
      </c>
      <c r="D3709" s="2" t="s">
        <v>377</v>
      </c>
      <c r="E3709" s="2" t="s">
        <v>4647</v>
      </c>
      <c r="F3709" s="2">
        <v>21</v>
      </c>
      <c r="G3709" s="2">
        <v>21</v>
      </c>
      <c r="H3709" s="2">
        <v>0</v>
      </c>
      <c r="I3709" s="1">
        <v>0</v>
      </c>
      <c r="J3709" s="26">
        <v>45617</v>
      </c>
      <c r="K3709" s="22">
        <v>21000</v>
      </c>
      <c r="L3709" s="18">
        <v>22.46</v>
      </c>
      <c r="M3709" s="22">
        <v>13650</v>
      </c>
      <c r="N3709" s="22">
        <v>7350</v>
      </c>
      <c r="O3709" s="18">
        <v>7.86</v>
      </c>
      <c r="P3709" s="52">
        <f>IF(COUNTIF(TblPurchases[BatchID],TblOutcomes[[#This Row],[BatchID]])&lt;&gt;1,"n.a.",TblOutcomes[[#This Row],[Qty Wasted]]*SUMIFS(TblPurchases[Unit Cost (CLP)],TblPurchases[BatchID],TblOutcomes[[#This Row],[BatchID]]))</f>
        <v>0</v>
      </c>
      <c r="Q3709" s="51">
        <f>IF(COUNTIF(TblPurchases[BatchID],TblOutcomes[[#This Row],[BatchID]])&lt;&gt;1,"n.a.",SUMIFS(TblPurchases[Purchase Date],TblPurchases[BatchID],TblOutcomes[[#This Row],[BatchID]]))</f>
        <v>45592</v>
      </c>
    </row>
    <row r="3710" spans="2:17" x14ac:dyDescent="0.25">
      <c r="B3710" s="2" t="s">
        <v>4515</v>
      </c>
      <c r="C3710" s="2" t="s">
        <v>391</v>
      </c>
      <c r="D3710" s="2" t="s">
        <v>377</v>
      </c>
      <c r="E3710" s="2" t="s">
        <v>4647</v>
      </c>
      <c r="F3710" s="2">
        <v>28</v>
      </c>
      <c r="G3710" s="2">
        <v>28</v>
      </c>
      <c r="H3710" s="2">
        <v>0</v>
      </c>
      <c r="I3710" s="1">
        <v>0</v>
      </c>
      <c r="J3710" s="26">
        <v>45672</v>
      </c>
      <c r="K3710" s="22">
        <v>28000</v>
      </c>
      <c r="L3710" s="18">
        <v>29.95</v>
      </c>
      <c r="M3710" s="22">
        <v>18200</v>
      </c>
      <c r="N3710" s="22">
        <v>9800</v>
      </c>
      <c r="O3710" s="18">
        <v>10.48</v>
      </c>
      <c r="P3710" s="52">
        <f>IF(COUNTIF(TblPurchases[BatchID],TblOutcomes[[#This Row],[BatchID]])&lt;&gt;1,"n.a.",TblOutcomes[[#This Row],[Qty Wasted]]*SUMIFS(TblPurchases[Unit Cost (CLP)],TblPurchases[BatchID],TblOutcomes[[#This Row],[BatchID]]))</f>
        <v>0</v>
      </c>
      <c r="Q3710" s="51">
        <f>IF(COUNTIF(TblPurchases[BatchID],TblOutcomes[[#This Row],[BatchID]])&lt;&gt;1,"n.a.",SUMIFS(TblPurchases[Purchase Date],TblPurchases[BatchID],TblOutcomes[[#This Row],[BatchID]]))</f>
        <v>45649</v>
      </c>
    </row>
    <row r="3711" spans="2:17" x14ac:dyDescent="0.25">
      <c r="B3711" s="2" t="s">
        <v>4516</v>
      </c>
      <c r="C3711" s="2" t="s">
        <v>391</v>
      </c>
      <c r="D3711" s="2" t="s">
        <v>377</v>
      </c>
      <c r="E3711" s="2" t="s">
        <v>4647</v>
      </c>
      <c r="F3711" s="2">
        <v>23</v>
      </c>
      <c r="G3711" s="2">
        <v>23</v>
      </c>
      <c r="H3711" s="2">
        <v>0</v>
      </c>
      <c r="I3711" s="1">
        <v>0</v>
      </c>
      <c r="J3711" s="26">
        <v>49364</v>
      </c>
      <c r="K3711" s="22">
        <v>23000</v>
      </c>
      <c r="L3711" s="18">
        <v>24.6</v>
      </c>
      <c r="M3711" s="22">
        <v>14950</v>
      </c>
      <c r="N3711" s="22">
        <v>8050</v>
      </c>
      <c r="O3711" s="18">
        <v>8.61</v>
      </c>
      <c r="P3711" s="52">
        <f>IF(COUNTIF(TblPurchases[BatchID],TblOutcomes[[#This Row],[BatchID]])&lt;&gt;1,"n.a.",TblOutcomes[[#This Row],[Qty Wasted]]*SUMIFS(TblPurchases[Unit Cost (CLP)],TblPurchases[BatchID],TblOutcomes[[#This Row],[BatchID]]))</f>
        <v>0</v>
      </c>
      <c r="Q3711" s="51">
        <f>IF(COUNTIF(TblPurchases[BatchID],TblOutcomes[[#This Row],[BatchID]])&lt;&gt;1,"n.a.",SUMIFS(TblPurchases[Purchase Date],TblPurchases[BatchID],TblOutcomes[[#This Row],[BatchID]]))</f>
        <v>45714</v>
      </c>
    </row>
    <row r="3712" spans="2:17" x14ac:dyDescent="0.25">
      <c r="B3712" s="2" t="s">
        <v>4517</v>
      </c>
      <c r="C3712" s="2" t="s">
        <v>391</v>
      </c>
      <c r="D3712" s="2" t="s">
        <v>377</v>
      </c>
      <c r="E3712" s="2" t="s">
        <v>4647</v>
      </c>
      <c r="F3712" s="2">
        <v>24</v>
      </c>
      <c r="G3712" s="2">
        <v>24</v>
      </c>
      <c r="H3712" s="2">
        <v>0</v>
      </c>
      <c r="I3712" s="1">
        <v>0</v>
      </c>
      <c r="J3712" s="26">
        <v>49414</v>
      </c>
      <c r="K3712" s="22">
        <v>24000</v>
      </c>
      <c r="L3712" s="18">
        <v>25.67</v>
      </c>
      <c r="M3712" s="22">
        <v>16800</v>
      </c>
      <c r="N3712" s="22">
        <v>7200</v>
      </c>
      <c r="O3712" s="18">
        <v>7.7</v>
      </c>
      <c r="P3712" s="52">
        <f>IF(COUNTIF(TblPurchases[BatchID],TblOutcomes[[#This Row],[BatchID]])&lt;&gt;1,"n.a.",TblOutcomes[[#This Row],[Qty Wasted]]*SUMIFS(TblPurchases[Unit Cost (CLP)],TblPurchases[BatchID],TblOutcomes[[#This Row],[BatchID]]))</f>
        <v>0</v>
      </c>
      <c r="Q3712" s="51">
        <f>IF(COUNTIF(TblPurchases[BatchID],TblOutcomes[[#This Row],[BatchID]])&lt;&gt;1,"n.a.",SUMIFS(TblPurchases[Purchase Date],TblPurchases[BatchID],TblOutcomes[[#This Row],[BatchID]]))</f>
        <v>45764</v>
      </c>
    </row>
    <row r="3713" spans="2:17" x14ac:dyDescent="0.25">
      <c r="B3713" s="2" t="s">
        <v>4518</v>
      </c>
      <c r="C3713" s="2" t="s">
        <v>391</v>
      </c>
      <c r="D3713" s="2" t="s">
        <v>377</v>
      </c>
      <c r="E3713" s="2" t="s">
        <v>4647</v>
      </c>
      <c r="F3713" s="2">
        <v>25</v>
      </c>
      <c r="G3713" s="2">
        <v>25</v>
      </c>
      <c r="H3713" s="2">
        <v>0</v>
      </c>
      <c r="I3713" s="1">
        <v>0</v>
      </c>
      <c r="J3713" s="26">
        <v>49466</v>
      </c>
      <c r="K3713" s="22">
        <v>25000</v>
      </c>
      <c r="L3713" s="18">
        <v>26.74</v>
      </c>
      <c r="M3713" s="22">
        <v>16250</v>
      </c>
      <c r="N3713" s="22">
        <v>8750</v>
      </c>
      <c r="O3713" s="18">
        <v>9.36</v>
      </c>
      <c r="P3713" s="52">
        <f>IF(COUNTIF(TblPurchases[BatchID],TblOutcomes[[#This Row],[BatchID]])&lt;&gt;1,"n.a.",TblOutcomes[[#This Row],[Qty Wasted]]*SUMIFS(TblPurchases[Unit Cost (CLP)],TblPurchases[BatchID],TblOutcomes[[#This Row],[BatchID]]))</f>
        <v>0</v>
      </c>
      <c r="Q3713" s="51">
        <f>IF(COUNTIF(TblPurchases[BatchID],TblOutcomes[[#This Row],[BatchID]])&lt;&gt;1,"n.a.",SUMIFS(TblPurchases[Purchase Date],TblPurchases[BatchID],TblOutcomes[[#This Row],[BatchID]]))</f>
        <v>45816</v>
      </c>
    </row>
    <row r="3714" spans="2:17" x14ac:dyDescent="0.25">
      <c r="B3714" s="2" t="s">
        <v>4519</v>
      </c>
      <c r="C3714" s="2" t="s">
        <v>394</v>
      </c>
      <c r="D3714" s="2" t="s">
        <v>377</v>
      </c>
      <c r="E3714" s="2" t="s">
        <v>4647</v>
      </c>
      <c r="F3714" s="2">
        <v>19</v>
      </c>
      <c r="G3714" s="2">
        <v>19</v>
      </c>
      <c r="H3714" s="2">
        <v>0</v>
      </c>
      <c r="I3714" s="1">
        <v>0</v>
      </c>
      <c r="J3714" s="26">
        <v>45155</v>
      </c>
      <c r="K3714" s="22">
        <v>28500</v>
      </c>
      <c r="L3714" s="18">
        <v>30.48</v>
      </c>
      <c r="M3714" s="22">
        <v>18050</v>
      </c>
      <c r="N3714" s="22">
        <v>10450</v>
      </c>
      <c r="O3714" s="18">
        <v>11.18</v>
      </c>
      <c r="P3714" s="52">
        <f>IF(COUNTIF(TblPurchases[BatchID],TblOutcomes[[#This Row],[BatchID]])&lt;&gt;1,"n.a.",TblOutcomes[[#This Row],[Qty Wasted]]*SUMIFS(TblPurchases[Unit Cost (CLP)],TblPurchases[BatchID],TblOutcomes[[#This Row],[BatchID]]))</f>
        <v>0</v>
      </c>
      <c r="Q3714" s="51">
        <f>IF(COUNTIF(TblPurchases[BatchID],TblOutcomes[[#This Row],[BatchID]])&lt;&gt;1,"n.a.",SUMIFS(TblPurchases[Purchase Date],TblPurchases[BatchID],TblOutcomes[[#This Row],[BatchID]]))</f>
        <v>45108</v>
      </c>
    </row>
    <row r="3715" spans="2:17" x14ac:dyDescent="0.25">
      <c r="B3715" s="2" t="s">
        <v>4520</v>
      </c>
      <c r="C3715" s="2" t="s">
        <v>394</v>
      </c>
      <c r="D3715" s="2" t="s">
        <v>377</v>
      </c>
      <c r="E3715" s="2" t="s">
        <v>4647</v>
      </c>
      <c r="F3715" s="2">
        <v>17</v>
      </c>
      <c r="G3715" s="2">
        <v>17</v>
      </c>
      <c r="H3715" s="2">
        <v>0</v>
      </c>
      <c r="I3715" s="1">
        <v>0</v>
      </c>
      <c r="J3715" s="26">
        <v>48814</v>
      </c>
      <c r="K3715" s="22">
        <v>25500</v>
      </c>
      <c r="L3715" s="18">
        <v>27.27</v>
      </c>
      <c r="M3715" s="22">
        <v>18700</v>
      </c>
      <c r="N3715" s="22">
        <v>6800</v>
      </c>
      <c r="O3715" s="18">
        <v>7.27</v>
      </c>
      <c r="P3715" s="52">
        <f>IF(COUNTIF(TblPurchases[BatchID],TblOutcomes[[#This Row],[BatchID]])&lt;&gt;1,"n.a.",TblOutcomes[[#This Row],[Qty Wasted]]*SUMIFS(TblPurchases[Unit Cost (CLP)],TblPurchases[BatchID],TblOutcomes[[#This Row],[BatchID]]))</f>
        <v>0</v>
      </c>
      <c r="Q3715" s="51">
        <f>IF(COUNTIF(TblPurchases[BatchID],TblOutcomes[[#This Row],[BatchID]])&lt;&gt;1,"n.a.",SUMIFS(TblPurchases[Purchase Date],TblPurchases[BatchID],TblOutcomes[[#This Row],[BatchID]]))</f>
        <v>45164</v>
      </c>
    </row>
    <row r="3716" spans="2:17" x14ac:dyDescent="0.25">
      <c r="B3716" s="2" t="s">
        <v>4521</v>
      </c>
      <c r="C3716" s="2" t="s">
        <v>394</v>
      </c>
      <c r="D3716" s="2" t="s">
        <v>377</v>
      </c>
      <c r="E3716" s="2" t="s">
        <v>4647</v>
      </c>
      <c r="F3716" s="2">
        <v>22</v>
      </c>
      <c r="G3716" s="2">
        <v>22</v>
      </c>
      <c r="H3716" s="2">
        <v>0</v>
      </c>
      <c r="I3716" s="1">
        <v>0</v>
      </c>
      <c r="J3716" s="26">
        <v>45264</v>
      </c>
      <c r="K3716" s="22">
        <v>33000</v>
      </c>
      <c r="L3716" s="18">
        <v>35.29</v>
      </c>
      <c r="M3716" s="22">
        <v>20900</v>
      </c>
      <c r="N3716" s="22">
        <v>12100</v>
      </c>
      <c r="O3716" s="18">
        <v>12.94</v>
      </c>
      <c r="P3716" s="52">
        <f>IF(COUNTIF(TblPurchases[BatchID],TblOutcomes[[#This Row],[BatchID]])&lt;&gt;1,"n.a.",TblOutcomes[[#This Row],[Qty Wasted]]*SUMIFS(TblPurchases[Unit Cost (CLP)],TblPurchases[BatchID],TblOutcomes[[#This Row],[BatchID]]))</f>
        <v>0</v>
      </c>
      <c r="Q3716" s="51">
        <f>IF(COUNTIF(TblPurchases[BatchID],TblOutcomes[[#This Row],[BatchID]])&lt;&gt;1,"n.a.",SUMIFS(TblPurchases[Purchase Date],TblPurchases[BatchID],TblOutcomes[[#This Row],[BatchID]]))</f>
        <v>45222</v>
      </c>
    </row>
    <row r="3717" spans="2:17" x14ac:dyDescent="0.25">
      <c r="B3717" s="2" t="s">
        <v>4522</v>
      </c>
      <c r="C3717" s="2" t="s">
        <v>394</v>
      </c>
      <c r="D3717" s="2" t="s">
        <v>377</v>
      </c>
      <c r="E3717" s="2" t="s">
        <v>4647</v>
      </c>
      <c r="F3717" s="2">
        <v>29</v>
      </c>
      <c r="G3717" s="2">
        <v>29</v>
      </c>
      <c r="H3717" s="2">
        <v>0</v>
      </c>
      <c r="I3717" s="1">
        <v>0</v>
      </c>
      <c r="J3717" s="26">
        <v>45340</v>
      </c>
      <c r="K3717" s="22">
        <v>43500</v>
      </c>
      <c r="L3717" s="18">
        <v>46.52</v>
      </c>
      <c r="M3717" s="22">
        <v>27550</v>
      </c>
      <c r="N3717" s="22">
        <v>15950</v>
      </c>
      <c r="O3717" s="18">
        <v>17.059999999999999</v>
      </c>
      <c r="P3717" s="52">
        <f>IF(COUNTIF(TblPurchases[BatchID],TblOutcomes[[#This Row],[BatchID]])&lt;&gt;1,"n.a.",TblOutcomes[[#This Row],[Qty Wasted]]*SUMIFS(TblPurchases[Unit Cost (CLP)],TblPurchases[BatchID],TblOutcomes[[#This Row],[BatchID]]))</f>
        <v>0</v>
      </c>
      <c r="Q3717" s="51">
        <f>IF(COUNTIF(TblPurchases[BatchID],TblOutcomes[[#This Row],[BatchID]])&lt;&gt;1,"n.a.",SUMIFS(TblPurchases[Purchase Date],TblPurchases[BatchID],TblOutcomes[[#This Row],[BatchID]]))</f>
        <v>45288</v>
      </c>
    </row>
    <row r="3718" spans="2:17" x14ac:dyDescent="0.25">
      <c r="B3718" s="2" t="s">
        <v>4523</v>
      </c>
      <c r="C3718" s="2" t="s">
        <v>394</v>
      </c>
      <c r="D3718" s="2" t="s">
        <v>377</v>
      </c>
      <c r="E3718" s="2" t="s">
        <v>4647</v>
      </c>
      <c r="F3718" s="2">
        <v>22</v>
      </c>
      <c r="G3718" s="2">
        <v>22</v>
      </c>
      <c r="H3718" s="2">
        <v>0</v>
      </c>
      <c r="I3718" s="1">
        <v>0</v>
      </c>
      <c r="J3718" s="26">
        <v>48991</v>
      </c>
      <c r="K3718" s="22">
        <v>33000</v>
      </c>
      <c r="L3718" s="18">
        <v>35.29</v>
      </c>
      <c r="M3718" s="22">
        <v>20900</v>
      </c>
      <c r="N3718" s="22">
        <v>12100</v>
      </c>
      <c r="O3718" s="18">
        <v>12.94</v>
      </c>
      <c r="P3718" s="52">
        <f>IF(COUNTIF(TblPurchases[BatchID],TblOutcomes[[#This Row],[BatchID]])&lt;&gt;1,"n.a.",TblOutcomes[[#This Row],[Qty Wasted]]*SUMIFS(TblPurchases[Unit Cost (CLP)],TblPurchases[BatchID],TblOutcomes[[#This Row],[BatchID]]))</f>
        <v>0</v>
      </c>
      <c r="Q3718" s="51">
        <f>IF(COUNTIF(TblPurchases[BatchID],TblOutcomes[[#This Row],[BatchID]])&lt;&gt;1,"n.a.",SUMIFS(TblPurchases[Purchase Date],TblPurchases[BatchID],TblOutcomes[[#This Row],[BatchID]]))</f>
        <v>45341</v>
      </c>
    </row>
    <row r="3719" spans="2:17" x14ac:dyDescent="0.25">
      <c r="B3719" s="2" t="s">
        <v>4524</v>
      </c>
      <c r="C3719" s="2" t="s">
        <v>394</v>
      </c>
      <c r="D3719" s="2" t="s">
        <v>377</v>
      </c>
      <c r="E3719" s="2" t="s">
        <v>4647</v>
      </c>
      <c r="F3719" s="2">
        <v>23</v>
      </c>
      <c r="G3719" s="2">
        <v>23</v>
      </c>
      <c r="H3719" s="2">
        <v>0</v>
      </c>
      <c r="I3719" s="1">
        <v>0</v>
      </c>
      <c r="J3719" s="26">
        <v>45463</v>
      </c>
      <c r="K3719" s="22">
        <v>34500</v>
      </c>
      <c r="L3719" s="18">
        <v>36.9</v>
      </c>
      <c r="M3719" s="22">
        <v>25300</v>
      </c>
      <c r="N3719" s="22">
        <v>9200</v>
      </c>
      <c r="O3719" s="18">
        <v>9.84</v>
      </c>
      <c r="P3719" s="52">
        <f>IF(COUNTIF(TblPurchases[BatchID],TblOutcomes[[#This Row],[BatchID]])&lt;&gt;1,"n.a.",TblOutcomes[[#This Row],[Qty Wasted]]*SUMIFS(TblPurchases[Unit Cost (CLP)],TblPurchases[BatchID],TblOutcomes[[#This Row],[BatchID]]))</f>
        <v>0</v>
      </c>
      <c r="Q3719" s="51">
        <f>IF(COUNTIF(TblPurchases[BatchID],TblOutcomes[[#This Row],[BatchID]])&lt;&gt;1,"n.a.",SUMIFS(TblPurchases[Purchase Date],TblPurchases[BatchID],TblOutcomes[[#This Row],[BatchID]]))</f>
        <v>45395</v>
      </c>
    </row>
    <row r="3720" spans="2:17" x14ac:dyDescent="0.25">
      <c r="B3720" s="2" t="s">
        <v>4525</v>
      </c>
      <c r="C3720" s="2" t="s">
        <v>394</v>
      </c>
      <c r="D3720" s="2" t="s">
        <v>377</v>
      </c>
      <c r="E3720" s="2" t="s">
        <v>4647</v>
      </c>
      <c r="F3720" s="2">
        <v>19</v>
      </c>
      <c r="G3720" s="2">
        <v>19</v>
      </c>
      <c r="H3720" s="2">
        <v>0</v>
      </c>
      <c r="I3720" s="1">
        <v>0</v>
      </c>
      <c r="J3720" s="26">
        <v>45487</v>
      </c>
      <c r="K3720" s="22">
        <v>28500</v>
      </c>
      <c r="L3720" s="18">
        <v>30.48</v>
      </c>
      <c r="M3720" s="22">
        <v>18050</v>
      </c>
      <c r="N3720" s="22">
        <v>10450</v>
      </c>
      <c r="O3720" s="18">
        <v>11.18</v>
      </c>
      <c r="P3720" s="52">
        <f>IF(COUNTIF(TblPurchases[BatchID],TblOutcomes[[#This Row],[BatchID]])&lt;&gt;1,"n.a.",TblOutcomes[[#This Row],[Qty Wasted]]*SUMIFS(TblPurchases[Unit Cost (CLP)],TblPurchases[BatchID],TblOutcomes[[#This Row],[BatchID]]))</f>
        <v>0</v>
      </c>
      <c r="Q3720" s="51">
        <f>IF(COUNTIF(TblPurchases[BatchID],TblOutcomes[[#This Row],[BatchID]])&lt;&gt;1,"n.a.",SUMIFS(TblPurchases[Purchase Date],TblPurchases[BatchID],TblOutcomes[[#This Row],[BatchID]]))</f>
        <v>45462</v>
      </c>
    </row>
    <row r="3721" spans="2:17" x14ac:dyDescent="0.25">
      <c r="B3721" s="2" t="s">
        <v>4526</v>
      </c>
      <c r="C3721" s="2" t="s">
        <v>394</v>
      </c>
      <c r="D3721" s="2" t="s">
        <v>377</v>
      </c>
      <c r="E3721" s="2" t="s">
        <v>4647</v>
      </c>
      <c r="F3721" s="2">
        <v>18</v>
      </c>
      <c r="G3721" s="2">
        <v>18</v>
      </c>
      <c r="H3721" s="2">
        <v>0</v>
      </c>
      <c r="I3721" s="1">
        <v>0</v>
      </c>
      <c r="J3721" s="26">
        <v>45564</v>
      </c>
      <c r="K3721" s="22">
        <v>27000</v>
      </c>
      <c r="L3721" s="18">
        <v>28.88</v>
      </c>
      <c r="M3721" s="22">
        <v>17100</v>
      </c>
      <c r="N3721" s="22">
        <v>9900</v>
      </c>
      <c r="O3721" s="18">
        <v>10.59</v>
      </c>
      <c r="P3721" s="52">
        <f>IF(COUNTIF(TblPurchases[BatchID],TblOutcomes[[#This Row],[BatchID]])&lt;&gt;1,"n.a.",TblOutcomes[[#This Row],[Qty Wasted]]*SUMIFS(TblPurchases[Unit Cost (CLP)],TblPurchases[BatchID],TblOutcomes[[#This Row],[BatchID]]))</f>
        <v>0</v>
      </c>
      <c r="Q3721" s="51">
        <f>IF(COUNTIF(TblPurchases[BatchID],TblOutcomes[[#This Row],[BatchID]])&lt;&gt;1,"n.a.",SUMIFS(TblPurchases[Purchase Date],TblPurchases[BatchID],TblOutcomes[[#This Row],[BatchID]]))</f>
        <v>45523</v>
      </c>
    </row>
    <row r="3722" spans="2:17" x14ac:dyDescent="0.25">
      <c r="B3722" s="2" t="s">
        <v>4527</v>
      </c>
      <c r="C3722" s="2" t="s">
        <v>394</v>
      </c>
      <c r="D3722" s="2" t="s">
        <v>377</v>
      </c>
      <c r="E3722" s="2" t="s">
        <v>4647</v>
      </c>
      <c r="F3722" s="2">
        <v>20</v>
      </c>
      <c r="G3722" s="2">
        <v>20</v>
      </c>
      <c r="H3722" s="2">
        <v>0</v>
      </c>
      <c r="I3722" s="1">
        <v>0</v>
      </c>
      <c r="J3722" s="26">
        <v>45638</v>
      </c>
      <c r="K3722" s="22">
        <v>30000</v>
      </c>
      <c r="L3722" s="18">
        <v>32.090000000000003</v>
      </c>
      <c r="M3722" s="22">
        <v>19000</v>
      </c>
      <c r="N3722" s="22">
        <v>11000</v>
      </c>
      <c r="O3722" s="18">
        <v>11.76</v>
      </c>
      <c r="P3722" s="52">
        <f>IF(COUNTIF(TblPurchases[BatchID],TblOutcomes[[#This Row],[BatchID]])&lt;&gt;1,"n.a.",TblOutcomes[[#This Row],[Qty Wasted]]*SUMIFS(TblPurchases[Unit Cost (CLP)],TblPurchases[BatchID],TblOutcomes[[#This Row],[BatchID]]))</f>
        <v>0</v>
      </c>
      <c r="Q3722" s="51">
        <f>IF(COUNTIF(TblPurchases[BatchID],TblOutcomes[[#This Row],[BatchID]])&lt;&gt;1,"n.a.",SUMIFS(TblPurchases[Purchase Date],TblPurchases[BatchID],TblOutcomes[[#This Row],[BatchID]]))</f>
        <v>45592</v>
      </c>
    </row>
    <row r="3723" spans="2:17" x14ac:dyDescent="0.25">
      <c r="B3723" s="2" t="s">
        <v>4528</v>
      </c>
      <c r="C3723" s="2" t="s">
        <v>394</v>
      </c>
      <c r="D3723" s="2" t="s">
        <v>377</v>
      </c>
      <c r="E3723" s="2" t="s">
        <v>4647</v>
      </c>
      <c r="F3723" s="2">
        <v>28</v>
      </c>
      <c r="G3723" s="2">
        <v>28</v>
      </c>
      <c r="H3723" s="2">
        <v>0</v>
      </c>
      <c r="I3723" s="1">
        <v>0</v>
      </c>
      <c r="J3723" s="26">
        <v>45698</v>
      </c>
      <c r="K3723" s="22">
        <v>42000</v>
      </c>
      <c r="L3723" s="18">
        <v>44.92</v>
      </c>
      <c r="M3723" s="22">
        <v>26600</v>
      </c>
      <c r="N3723" s="22">
        <v>15400</v>
      </c>
      <c r="O3723" s="18">
        <v>16.47</v>
      </c>
      <c r="P3723" s="52">
        <f>IF(COUNTIF(TblPurchases[BatchID],TblOutcomes[[#This Row],[BatchID]])&lt;&gt;1,"n.a.",TblOutcomes[[#This Row],[Qty Wasted]]*SUMIFS(TblPurchases[Unit Cost (CLP)],TblPurchases[BatchID],TblOutcomes[[#This Row],[BatchID]]))</f>
        <v>0</v>
      </c>
      <c r="Q3723" s="51">
        <f>IF(COUNTIF(TblPurchases[BatchID],TblOutcomes[[#This Row],[BatchID]])&lt;&gt;1,"n.a.",SUMIFS(TblPurchases[Purchase Date],TblPurchases[BatchID],TblOutcomes[[#This Row],[BatchID]]))</f>
        <v>45646</v>
      </c>
    </row>
    <row r="3724" spans="2:17" x14ac:dyDescent="0.25">
      <c r="B3724" s="2" t="s">
        <v>4529</v>
      </c>
      <c r="C3724" s="2" t="s">
        <v>394</v>
      </c>
      <c r="D3724" s="2" t="s">
        <v>377</v>
      </c>
      <c r="E3724" s="2" t="s">
        <v>4647</v>
      </c>
      <c r="F3724" s="2">
        <v>21</v>
      </c>
      <c r="G3724" s="2">
        <v>21</v>
      </c>
      <c r="H3724" s="2">
        <v>0</v>
      </c>
      <c r="I3724" s="1">
        <v>0</v>
      </c>
      <c r="J3724" s="26">
        <v>45757</v>
      </c>
      <c r="K3724" s="22">
        <v>31500</v>
      </c>
      <c r="L3724" s="18">
        <v>33.69</v>
      </c>
      <c r="M3724" s="22">
        <v>23100</v>
      </c>
      <c r="N3724" s="22">
        <v>8400</v>
      </c>
      <c r="O3724" s="18">
        <v>8.98</v>
      </c>
      <c r="P3724" s="52">
        <f>IF(COUNTIF(TblPurchases[BatchID],TblOutcomes[[#This Row],[BatchID]])&lt;&gt;1,"n.a.",TblOutcomes[[#This Row],[Qty Wasted]]*SUMIFS(TblPurchases[Unit Cost (CLP)],TblPurchases[BatchID],TblOutcomes[[#This Row],[BatchID]]))</f>
        <v>0</v>
      </c>
      <c r="Q3724" s="51">
        <f>IF(COUNTIF(TblPurchases[BatchID],TblOutcomes[[#This Row],[BatchID]])&lt;&gt;1,"n.a.",SUMIFS(TblPurchases[Purchase Date],TblPurchases[BatchID],TblOutcomes[[#This Row],[BatchID]]))</f>
        <v>45713</v>
      </c>
    </row>
    <row r="3725" spans="2:17" x14ac:dyDescent="0.25">
      <c r="B3725" s="2" t="s">
        <v>4530</v>
      </c>
      <c r="C3725" s="2" t="s">
        <v>394</v>
      </c>
      <c r="D3725" s="2" t="s">
        <v>377</v>
      </c>
      <c r="E3725" s="2" t="s">
        <v>4647</v>
      </c>
      <c r="F3725" s="2">
        <v>20</v>
      </c>
      <c r="G3725" s="2">
        <v>20</v>
      </c>
      <c r="H3725" s="2">
        <v>0</v>
      </c>
      <c r="I3725" s="1">
        <v>0</v>
      </c>
      <c r="J3725" s="26">
        <v>45786</v>
      </c>
      <c r="K3725" s="22">
        <v>30000</v>
      </c>
      <c r="L3725" s="18">
        <v>32.090000000000003</v>
      </c>
      <c r="M3725" s="22">
        <v>19000</v>
      </c>
      <c r="N3725" s="22">
        <v>11000</v>
      </c>
      <c r="O3725" s="18">
        <v>11.76</v>
      </c>
      <c r="P3725" s="52">
        <f>IF(COUNTIF(TblPurchases[BatchID],TblOutcomes[[#This Row],[BatchID]])&lt;&gt;1,"n.a.",TblOutcomes[[#This Row],[Qty Wasted]]*SUMIFS(TblPurchases[Unit Cost (CLP)],TblPurchases[BatchID],TblOutcomes[[#This Row],[BatchID]]))</f>
        <v>0</v>
      </c>
      <c r="Q3725" s="51">
        <f>IF(COUNTIF(TblPurchases[BatchID],TblOutcomes[[#This Row],[BatchID]])&lt;&gt;1,"n.a.",SUMIFS(TblPurchases[Purchase Date],TblPurchases[BatchID],TblOutcomes[[#This Row],[BatchID]]))</f>
        <v>45759</v>
      </c>
    </row>
    <row r="3726" spans="2:17" x14ac:dyDescent="0.25">
      <c r="B3726" s="2" t="s">
        <v>4531</v>
      </c>
      <c r="C3726" s="2" t="s">
        <v>394</v>
      </c>
      <c r="D3726" s="2" t="s">
        <v>377</v>
      </c>
      <c r="E3726" s="2" t="s">
        <v>4647</v>
      </c>
      <c r="F3726" s="2">
        <v>19</v>
      </c>
      <c r="G3726" s="2">
        <v>19</v>
      </c>
      <c r="H3726" s="2">
        <v>0</v>
      </c>
      <c r="I3726" s="1">
        <v>0</v>
      </c>
      <c r="J3726" s="26">
        <v>45865</v>
      </c>
      <c r="K3726" s="22">
        <v>28500</v>
      </c>
      <c r="L3726" s="18">
        <v>30.48</v>
      </c>
      <c r="M3726" s="22">
        <v>18050</v>
      </c>
      <c r="N3726" s="22">
        <v>10450</v>
      </c>
      <c r="O3726" s="18">
        <v>11.18</v>
      </c>
      <c r="P3726" s="52">
        <f>IF(COUNTIF(TblPurchases[BatchID],TblOutcomes[[#This Row],[BatchID]])&lt;&gt;1,"n.a.",TblOutcomes[[#This Row],[Qty Wasted]]*SUMIFS(TblPurchases[Unit Cost (CLP)],TblPurchases[BatchID],TblOutcomes[[#This Row],[BatchID]]))</f>
        <v>0</v>
      </c>
      <c r="Q3726" s="51">
        <f>IF(COUNTIF(TblPurchases[BatchID],TblOutcomes[[#This Row],[BatchID]])&lt;&gt;1,"n.a.",SUMIFS(TblPurchases[Purchase Date],TblPurchases[BatchID],TblOutcomes[[#This Row],[BatchID]]))</f>
        <v>45817</v>
      </c>
    </row>
    <row r="3727" spans="2:17" x14ac:dyDescent="0.25">
      <c r="B3727" s="2" t="s">
        <v>4532</v>
      </c>
      <c r="C3727" s="2" t="s">
        <v>396</v>
      </c>
      <c r="D3727" s="2" t="s">
        <v>377</v>
      </c>
      <c r="E3727" s="2" t="s">
        <v>4647</v>
      </c>
      <c r="F3727" s="2">
        <v>19</v>
      </c>
      <c r="G3727" s="2">
        <v>19</v>
      </c>
      <c r="H3727" s="2">
        <v>0</v>
      </c>
      <c r="I3727" s="1">
        <v>0</v>
      </c>
      <c r="J3727" s="26">
        <v>45188</v>
      </c>
      <c r="K3727" s="22">
        <v>38000</v>
      </c>
      <c r="L3727" s="18">
        <v>40.64</v>
      </c>
      <c r="M3727" s="22">
        <v>24700</v>
      </c>
      <c r="N3727" s="22">
        <v>13300</v>
      </c>
      <c r="O3727" s="18">
        <v>14.22</v>
      </c>
      <c r="P3727" s="52">
        <f>IF(COUNTIF(TblPurchases[BatchID],TblOutcomes[[#This Row],[BatchID]])&lt;&gt;1,"n.a.",TblOutcomes[[#This Row],[Qty Wasted]]*SUMIFS(TblPurchases[Unit Cost (CLP)],TblPurchases[BatchID],TblOutcomes[[#This Row],[BatchID]]))</f>
        <v>0</v>
      </c>
      <c r="Q3727" s="51">
        <f>IF(COUNTIF(TblPurchases[BatchID],TblOutcomes[[#This Row],[BatchID]])&lt;&gt;1,"n.a.",SUMIFS(TblPurchases[Purchase Date],TblPurchases[BatchID],TblOutcomes[[#This Row],[BatchID]]))</f>
        <v>45129</v>
      </c>
    </row>
    <row r="3728" spans="2:17" x14ac:dyDescent="0.25">
      <c r="B3728" s="2" t="s">
        <v>4533</v>
      </c>
      <c r="C3728" s="2" t="s">
        <v>396</v>
      </c>
      <c r="D3728" s="2" t="s">
        <v>377</v>
      </c>
      <c r="E3728" s="2" t="s">
        <v>4647</v>
      </c>
      <c r="F3728" s="2">
        <v>24</v>
      </c>
      <c r="G3728" s="2">
        <v>24</v>
      </c>
      <c r="H3728" s="2">
        <v>0</v>
      </c>
      <c r="I3728" s="1">
        <v>0</v>
      </c>
      <c r="J3728" s="26">
        <v>45207</v>
      </c>
      <c r="K3728" s="22">
        <v>48000</v>
      </c>
      <c r="L3728" s="18">
        <v>51.34</v>
      </c>
      <c r="M3728" s="22">
        <v>31200</v>
      </c>
      <c r="N3728" s="22">
        <v>16800</v>
      </c>
      <c r="O3728" s="18">
        <v>17.97</v>
      </c>
      <c r="P3728" s="52">
        <f>IF(COUNTIF(TblPurchases[BatchID],TblOutcomes[[#This Row],[BatchID]])&lt;&gt;1,"n.a.",TblOutcomes[[#This Row],[Qty Wasted]]*SUMIFS(TblPurchases[Unit Cost (CLP)],TblPurchases[BatchID],TblOutcomes[[#This Row],[BatchID]]))</f>
        <v>0</v>
      </c>
      <c r="Q3728" s="51">
        <f>IF(COUNTIF(TblPurchases[BatchID],TblOutcomes[[#This Row],[BatchID]])&lt;&gt;1,"n.a.",SUMIFS(TblPurchases[Purchase Date],TblPurchases[BatchID],TblOutcomes[[#This Row],[BatchID]]))</f>
        <v>45184</v>
      </c>
    </row>
    <row r="3729" spans="2:17" x14ac:dyDescent="0.25">
      <c r="B3729" s="2" t="s">
        <v>4534</v>
      </c>
      <c r="C3729" s="2" t="s">
        <v>396</v>
      </c>
      <c r="D3729" s="2" t="s">
        <v>377</v>
      </c>
      <c r="E3729" s="2" t="s">
        <v>4647</v>
      </c>
      <c r="F3729" s="2">
        <v>21</v>
      </c>
      <c r="G3729" s="2">
        <v>21</v>
      </c>
      <c r="H3729" s="2">
        <v>0</v>
      </c>
      <c r="I3729" s="1">
        <v>0</v>
      </c>
      <c r="J3729" s="26">
        <v>45256</v>
      </c>
      <c r="K3729" s="22">
        <v>42000</v>
      </c>
      <c r="L3729" s="18">
        <v>44.92</v>
      </c>
      <c r="M3729" s="22">
        <v>27300</v>
      </c>
      <c r="N3729" s="22">
        <v>14700</v>
      </c>
      <c r="O3729" s="18">
        <v>15.72</v>
      </c>
      <c r="P3729" s="52">
        <f>IF(COUNTIF(TblPurchases[BatchID],TblOutcomes[[#This Row],[BatchID]])&lt;&gt;1,"n.a.",TblOutcomes[[#This Row],[Qty Wasted]]*SUMIFS(TblPurchases[Unit Cost (CLP)],TblPurchases[BatchID],TblOutcomes[[#This Row],[BatchID]]))</f>
        <v>0</v>
      </c>
      <c r="Q3729" s="51">
        <f>IF(COUNTIF(TblPurchases[BatchID],TblOutcomes[[#This Row],[BatchID]])&lt;&gt;1,"n.a.",SUMIFS(TblPurchases[Purchase Date],TblPurchases[BatchID],TblOutcomes[[#This Row],[BatchID]]))</f>
        <v>45226</v>
      </c>
    </row>
    <row r="3730" spans="2:17" x14ac:dyDescent="0.25">
      <c r="B3730" s="2" t="s">
        <v>4535</v>
      </c>
      <c r="C3730" s="2" t="s">
        <v>396</v>
      </c>
      <c r="D3730" s="2" t="s">
        <v>377</v>
      </c>
      <c r="E3730" s="2" t="s">
        <v>4647</v>
      </c>
      <c r="F3730" s="2">
        <v>22</v>
      </c>
      <c r="G3730" s="2">
        <v>22</v>
      </c>
      <c r="H3730" s="2">
        <v>0</v>
      </c>
      <c r="I3730" s="1">
        <v>0</v>
      </c>
      <c r="J3730" s="26">
        <v>48945</v>
      </c>
      <c r="K3730" s="22">
        <v>44000</v>
      </c>
      <c r="L3730" s="18">
        <v>47.06</v>
      </c>
      <c r="M3730" s="22">
        <v>28600</v>
      </c>
      <c r="N3730" s="22">
        <v>15400</v>
      </c>
      <c r="O3730" s="18">
        <v>16.47</v>
      </c>
      <c r="P3730" s="52">
        <f>IF(COUNTIF(TblPurchases[BatchID],TblOutcomes[[#This Row],[BatchID]])&lt;&gt;1,"n.a.",TblOutcomes[[#This Row],[Qty Wasted]]*SUMIFS(TblPurchases[Unit Cost (CLP)],TblPurchases[BatchID],TblOutcomes[[#This Row],[BatchID]]))</f>
        <v>0</v>
      </c>
      <c r="Q3730" s="51">
        <f>IF(COUNTIF(TblPurchases[BatchID],TblOutcomes[[#This Row],[BatchID]])&lt;&gt;1,"n.a.",SUMIFS(TblPurchases[Purchase Date],TblPurchases[BatchID],TblOutcomes[[#This Row],[BatchID]]))</f>
        <v>45295</v>
      </c>
    </row>
    <row r="3731" spans="2:17" x14ac:dyDescent="0.25">
      <c r="B3731" s="2" t="s">
        <v>4536</v>
      </c>
      <c r="C3731" s="2" t="s">
        <v>396</v>
      </c>
      <c r="D3731" s="2" t="s">
        <v>377</v>
      </c>
      <c r="E3731" s="2" t="s">
        <v>4647</v>
      </c>
      <c r="F3731" s="2">
        <v>23</v>
      </c>
      <c r="G3731" s="2">
        <v>23</v>
      </c>
      <c r="H3731" s="2">
        <v>0</v>
      </c>
      <c r="I3731" s="1">
        <v>0</v>
      </c>
      <c r="J3731" s="26">
        <v>45379</v>
      </c>
      <c r="K3731" s="22">
        <v>46000</v>
      </c>
      <c r="L3731" s="18">
        <v>49.2</v>
      </c>
      <c r="M3731" s="22">
        <v>29900</v>
      </c>
      <c r="N3731" s="22">
        <v>16100</v>
      </c>
      <c r="O3731" s="18">
        <v>17.22</v>
      </c>
      <c r="P3731" s="52">
        <f>IF(COUNTIF(TblPurchases[BatchID],TblOutcomes[[#This Row],[BatchID]])&lt;&gt;1,"n.a.",TblOutcomes[[#This Row],[Qty Wasted]]*SUMIFS(TblPurchases[Unit Cost (CLP)],TblPurchases[BatchID],TblOutcomes[[#This Row],[BatchID]]))</f>
        <v>0</v>
      </c>
      <c r="Q3731" s="51">
        <f>IF(COUNTIF(TblPurchases[BatchID],TblOutcomes[[#This Row],[BatchID]])&lt;&gt;1,"n.a.",SUMIFS(TblPurchases[Purchase Date],TblPurchases[BatchID],TblOutcomes[[#This Row],[BatchID]]))</f>
        <v>45359</v>
      </c>
    </row>
    <row r="3732" spans="2:17" x14ac:dyDescent="0.25">
      <c r="B3732" s="2" t="s">
        <v>4537</v>
      </c>
      <c r="C3732" s="2" t="s">
        <v>396</v>
      </c>
      <c r="D3732" s="2" t="s">
        <v>377</v>
      </c>
      <c r="E3732" s="2" t="s">
        <v>4647</v>
      </c>
      <c r="F3732" s="2">
        <v>22</v>
      </c>
      <c r="G3732" s="2">
        <v>22</v>
      </c>
      <c r="H3732" s="2">
        <v>0</v>
      </c>
      <c r="I3732" s="1">
        <v>0</v>
      </c>
      <c r="J3732" s="26">
        <v>45473</v>
      </c>
      <c r="K3732" s="22">
        <v>44000</v>
      </c>
      <c r="L3732" s="18">
        <v>47.06</v>
      </c>
      <c r="M3732" s="22">
        <v>30800</v>
      </c>
      <c r="N3732" s="22">
        <v>13200</v>
      </c>
      <c r="O3732" s="18">
        <v>14.12</v>
      </c>
      <c r="P3732" s="52">
        <f>IF(COUNTIF(TblPurchases[BatchID],TblOutcomes[[#This Row],[BatchID]])&lt;&gt;1,"n.a.",TblOutcomes[[#This Row],[Qty Wasted]]*SUMIFS(TblPurchases[Unit Cost (CLP)],TblPurchases[BatchID],TblOutcomes[[#This Row],[BatchID]]))</f>
        <v>0</v>
      </c>
      <c r="Q3732" s="51">
        <f>IF(COUNTIF(TblPurchases[BatchID],TblOutcomes[[#This Row],[BatchID]])&lt;&gt;1,"n.a.",SUMIFS(TblPurchases[Purchase Date],TblPurchases[BatchID],TblOutcomes[[#This Row],[BatchID]]))</f>
        <v>45433</v>
      </c>
    </row>
    <row r="3733" spans="2:17" x14ac:dyDescent="0.25">
      <c r="B3733" s="2" t="s">
        <v>4538</v>
      </c>
      <c r="C3733" s="2" t="s">
        <v>396</v>
      </c>
      <c r="D3733" s="2" t="s">
        <v>377</v>
      </c>
      <c r="E3733" s="2" t="s">
        <v>4647</v>
      </c>
      <c r="F3733" s="2">
        <v>18</v>
      </c>
      <c r="G3733" s="2">
        <v>18</v>
      </c>
      <c r="H3733" s="2">
        <v>0</v>
      </c>
      <c r="I3733" s="1">
        <v>0</v>
      </c>
      <c r="J3733" s="26">
        <v>45536</v>
      </c>
      <c r="K3733" s="22">
        <v>36000</v>
      </c>
      <c r="L3733" s="18">
        <v>38.5</v>
      </c>
      <c r="M3733" s="22">
        <v>23400</v>
      </c>
      <c r="N3733" s="22">
        <v>12600</v>
      </c>
      <c r="O3733" s="18">
        <v>13.48</v>
      </c>
      <c r="P3733" s="52">
        <f>IF(COUNTIF(TblPurchases[BatchID],TblOutcomes[[#This Row],[BatchID]])&lt;&gt;1,"n.a.",TblOutcomes[[#This Row],[Qty Wasted]]*SUMIFS(TblPurchases[Unit Cost (CLP)],TblPurchases[BatchID],TblOutcomes[[#This Row],[BatchID]]))</f>
        <v>0</v>
      </c>
      <c r="Q3733" s="51">
        <f>IF(COUNTIF(TblPurchases[BatchID],TblOutcomes[[#This Row],[BatchID]])&lt;&gt;1,"n.a.",SUMIFS(TblPurchases[Purchase Date],TblPurchases[BatchID],TblOutcomes[[#This Row],[BatchID]]))</f>
        <v>45489</v>
      </c>
    </row>
    <row r="3734" spans="2:17" x14ac:dyDescent="0.25">
      <c r="B3734" s="2" t="s">
        <v>4539</v>
      </c>
      <c r="C3734" s="2" t="s">
        <v>396</v>
      </c>
      <c r="D3734" s="2" t="s">
        <v>377</v>
      </c>
      <c r="E3734" s="2" t="s">
        <v>4647</v>
      </c>
      <c r="F3734" s="2">
        <v>21</v>
      </c>
      <c r="G3734" s="2">
        <v>21</v>
      </c>
      <c r="H3734" s="2">
        <v>0</v>
      </c>
      <c r="I3734" s="1">
        <v>0</v>
      </c>
      <c r="J3734" s="26">
        <v>45607</v>
      </c>
      <c r="K3734" s="22">
        <v>42000</v>
      </c>
      <c r="L3734" s="18">
        <v>44.92</v>
      </c>
      <c r="M3734" s="22">
        <v>27300</v>
      </c>
      <c r="N3734" s="22">
        <v>14700</v>
      </c>
      <c r="O3734" s="18">
        <v>15.72</v>
      </c>
      <c r="P3734" s="52">
        <f>IF(COUNTIF(TblPurchases[BatchID],TblOutcomes[[#This Row],[BatchID]])&lt;&gt;1,"n.a.",TblOutcomes[[#This Row],[Qty Wasted]]*SUMIFS(TblPurchases[Unit Cost (CLP)],TblPurchases[BatchID],TblOutcomes[[#This Row],[BatchID]]))</f>
        <v>0</v>
      </c>
      <c r="Q3734" s="51">
        <f>IF(COUNTIF(TblPurchases[BatchID],TblOutcomes[[#This Row],[BatchID]])&lt;&gt;1,"n.a.",SUMIFS(TblPurchases[Purchase Date],TblPurchases[BatchID],TblOutcomes[[#This Row],[BatchID]]))</f>
        <v>45532</v>
      </c>
    </row>
    <row r="3735" spans="2:17" x14ac:dyDescent="0.25">
      <c r="B3735" s="2" t="s">
        <v>4540</v>
      </c>
      <c r="C3735" s="2" t="s">
        <v>396</v>
      </c>
      <c r="D3735" s="2" t="s">
        <v>377</v>
      </c>
      <c r="E3735" s="2" t="s">
        <v>4647</v>
      </c>
      <c r="F3735" s="2">
        <v>23</v>
      </c>
      <c r="G3735" s="2">
        <v>23</v>
      </c>
      <c r="H3735" s="2">
        <v>0</v>
      </c>
      <c r="I3735" s="1">
        <v>0</v>
      </c>
      <c r="J3735" s="26">
        <v>45648</v>
      </c>
      <c r="K3735" s="22">
        <v>46000</v>
      </c>
      <c r="L3735" s="18">
        <v>49.2</v>
      </c>
      <c r="M3735" s="22">
        <v>29900</v>
      </c>
      <c r="N3735" s="22">
        <v>16100</v>
      </c>
      <c r="O3735" s="18">
        <v>17.22</v>
      </c>
      <c r="P3735" s="52">
        <f>IF(COUNTIF(TblPurchases[BatchID],TblOutcomes[[#This Row],[BatchID]])&lt;&gt;1,"n.a.",TblOutcomes[[#This Row],[Qty Wasted]]*SUMIFS(TblPurchases[Unit Cost (CLP)],TblPurchases[BatchID],TblOutcomes[[#This Row],[BatchID]]))</f>
        <v>0</v>
      </c>
      <c r="Q3735" s="51">
        <f>IF(COUNTIF(TblPurchases[BatchID],TblOutcomes[[#This Row],[BatchID]])&lt;&gt;1,"n.a.",SUMIFS(TblPurchases[Purchase Date],TblPurchases[BatchID],TblOutcomes[[#This Row],[BatchID]]))</f>
        <v>45580</v>
      </c>
    </row>
    <row r="3736" spans="2:17" x14ac:dyDescent="0.25">
      <c r="B3736" s="2" t="s">
        <v>4541</v>
      </c>
      <c r="C3736" s="2" t="s">
        <v>396</v>
      </c>
      <c r="D3736" s="2" t="s">
        <v>377</v>
      </c>
      <c r="E3736" s="2" t="s">
        <v>4647</v>
      </c>
      <c r="F3736" s="2">
        <v>24</v>
      </c>
      <c r="G3736" s="2">
        <v>24</v>
      </c>
      <c r="H3736" s="2">
        <v>0</v>
      </c>
      <c r="I3736" s="1">
        <v>0</v>
      </c>
      <c r="J3736" s="26">
        <v>45676</v>
      </c>
      <c r="K3736" s="22">
        <v>48000</v>
      </c>
      <c r="L3736" s="18">
        <v>51.34</v>
      </c>
      <c r="M3736" s="22">
        <v>31200</v>
      </c>
      <c r="N3736" s="22">
        <v>16800</v>
      </c>
      <c r="O3736" s="18">
        <v>17.97</v>
      </c>
      <c r="P3736" s="52">
        <f>IF(COUNTIF(TblPurchases[BatchID],TblOutcomes[[#This Row],[BatchID]])&lt;&gt;1,"n.a.",TblOutcomes[[#This Row],[Qty Wasted]]*SUMIFS(TblPurchases[Unit Cost (CLP)],TblPurchases[BatchID],TblOutcomes[[#This Row],[BatchID]]))</f>
        <v>0</v>
      </c>
      <c r="Q3736" s="51">
        <f>IF(COUNTIF(TblPurchases[BatchID],TblOutcomes[[#This Row],[BatchID]])&lt;&gt;1,"n.a.",SUMIFS(TblPurchases[Purchase Date],TblPurchases[BatchID],TblOutcomes[[#This Row],[BatchID]]))</f>
        <v>45643</v>
      </c>
    </row>
    <row r="3737" spans="2:17" x14ac:dyDescent="0.25">
      <c r="B3737" s="2" t="s">
        <v>4542</v>
      </c>
      <c r="C3737" s="2" t="s">
        <v>396</v>
      </c>
      <c r="D3737" s="2" t="s">
        <v>377</v>
      </c>
      <c r="E3737" s="2" t="s">
        <v>4647</v>
      </c>
      <c r="F3737" s="2">
        <v>19</v>
      </c>
      <c r="G3737" s="2">
        <v>19</v>
      </c>
      <c r="H3737" s="2">
        <v>0</v>
      </c>
      <c r="I3737" s="1">
        <v>0</v>
      </c>
      <c r="J3737" s="26">
        <v>45734</v>
      </c>
      <c r="K3737" s="22">
        <v>38000</v>
      </c>
      <c r="L3737" s="18">
        <v>40.64</v>
      </c>
      <c r="M3737" s="22">
        <v>26600</v>
      </c>
      <c r="N3737" s="22">
        <v>11400</v>
      </c>
      <c r="O3737" s="18">
        <v>12.19</v>
      </c>
      <c r="P3737" s="52">
        <f>IF(COUNTIF(TblPurchases[BatchID],TblOutcomes[[#This Row],[BatchID]])&lt;&gt;1,"n.a.",TblOutcomes[[#This Row],[Qty Wasted]]*SUMIFS(TblPurchases[Unit Cost (CLP)],TblPurchases[BatchID],TblOutcomes[[#This Row],[BatchID]]))</f>
        <v>0</v>
      </c>
      <c r="Q3737" s="51">
        <f>IF(COUNTIF(TblPurchases[BatchID],TblOutcomes[[#This Row],[BatchID]])&lt;&gt;1,"n.a.",SUMIFS(TblPurchases[Purchase Date],TblPurchases[BatchID],TblOutcomes[[#This Row],[BatchID]]))</f>
        <v>45692</v>
      </c>
    </row>
    <row r="3738" spans="2:17" x14ac:dyDescent="0.25">
      <c r="B3738" s="2" t="s">
        <v>4543</v>
      </c>
      <c r="C3738" s="2" t="s">
        <v>396</v>
      </c>
      <c r="D3738" s="2" t="s">
        <v>377</v>
      </c>
      <c r="E3738" s="2" t="s">
        <v>4647</v>
      </c>
      <c r="F3738" s="2">
        <v>23</v>
      </c>
      <c r="G3738" s="2">
        <v>23</v>
      </c>
      <c r="H3738" s="2">
        <v>0</v>
      </c>
      <c r="I3738" s="1">
        <v>0</v>
      </c>
      <c r="J3738" s="26">
        <v>49401</v>
      </c>
      <c r="K3738" s="22">
        <v>46000</v>
      </c>
      <c r="L3738" s="18">
        <v>49.2</v>
      </c>
      <c r="M3738" s="22">
        <v>32200</v>
      </c>
      <c r="N3738" s="22">
        <v>13800</v>
      </c>
      <c r="O3738" s="18">
        <v>14.76</v>
      </c>
      <c r="P3738" s="52">
        <f>IF(COUNTIF(TblPurchases[BatchID],TblOutcomes[[#This Row],[BatchID]])&lt;&gt;1,"n.a.",TblOutcomes[[#This Row],[Qty Wasted]]*SUMIFS(TblPurchases[Unit Cost (CLP)],TblPurchases[BatchID],TblOutcomes[[#This Row],[BatchID]]))</f>
        <v>0</v>
      </c>
      <c r="Q3738" s="51">
        <f>IF(COUNTIF(TblPurchases[BatchID],TblOutcomes[[#This Row],[BatchID]])&lt;&gt;1,"n.a.",SUMIFS(TblPurchases[Purchase Date],TblPurchases[BatchID],TblOutcomes[[#This Row],[BatchID]]))</f>
        <v>45751</v>
      </c>
    </row>
    <row r="3739" spans="2:17" x14ac:dyDescent="0.25">
      <c r="B3739" s="2" t="s">
        <v>4544</v>
      </c>
      <c r="C3739" s="2" t="s">
        <v>396</v>
      </c>
      <c r="D3739" s="2" t="s">
        <v>377</v>
      </c>
      <c r="E3739" s="2" t="s">
        <v>4647</v>
      </c>
      <c r="F3739" s="2">
        <v>22</v>
      </c>
      <c r="G3739" s="2">
        <v>22</v>
      </c>
      <c r="H3739" s="2">
        <v>0</v>
      </c>
      <c r="I3739" s="1">
        <v>0</v>
      </c>
      <c r="J3739" s="26">
        <v>45842</v>
      </c>
      <c r="K3739" s="22">
        <v>44000</v>
      </c>
      <c r="L3739" s="18">
        <v>47.06</v>
      </c>
      <c r="M3739" s="22">
        <v>28600</v>
      </c>
      <c r="N3739" s="22">
        <v>15400</v>
      </c>
      <c r="O3739" s="18">
        <v>16.47</v>
      </c>
      <c r="P3739" s="52">
        <f>IF(COUNTIF(TblPurchases[BatchID],TblOutcomes[[#This Row],[BatchID]])&lt;&gt;1,"n.a.",TblOutcomes[[#This Row],[Qty Wasted]]*SUMIFS(TblPurchases[Unit Cost (CLP)],TblPurchases[BatchID],TblOutcomes[[#This Row],[BatchID]]))</f>
        <v>0</v>
      </c>
      <c r="Q3739" s="51">
        <f>IF(COUNTIF(TblPurchases[BatchID],TblOutcomes[[#This Row],[BatchID]])&lt;&gt;1,"n.a.",SUMIFS(TblPurchases[Purchase Date],TblPurchases[BatchID],TblOutcomes[[#This Row],[BatchID]]))</f>
        <v>45803</v>
      </c>
    </row>
    <row r="3740" spans="2:17" x14ac:dyDescent="0.25">
      <c r="B3740" s="2" t="s">
        <v>4545</v>
      </c>
      <c r="C3740" s="2" t="s">
        <v>398</v>
      </c>
      <c r="D3740" s="2" t="s">
        <v>377</v>
      </c>
      <c r="E3740" s="2" t="s">
        <v>4647</v>
      </c>
      <c r="F3740" s="2">
        <v>22</v>
      </c>
      <c r="G3740" s="2">
        <v>22</v>
      </c>
      <c r="H3740" s="2">
        <v>0</v>
      </c>
      <c r="I3740" s="1">
        <v>0</v>
      </c>
      <c r="J3740" s="26">
        <v>45156</v>
      </c>
      <c r="K3740" s="22">
        <v>55000</v>
      </c>
      <c r="L3740" s="18">
        <v>58.82</v>
      </c>
      <c r="M3740" s="22">
        <v>38500</v>
      </c>
      <c r="N3740" s="22">
        <v>16500</v>
      </c>
      <c r="O3740" s="18">
        <v>17.649999999999999</v>
      </c>
      <c r="P3740" s="52">
        <f>IF(COUNTIF(TblPurchases[BatchID],TblOutcomes[[#This Row],[BatchID]])&lt;&gt;1,"n.a.",TblOutcomes[[#This Row],[Qty Wasted]]*SUMIFS(TblPurchases[Unit Cost (CLP)],TblPurchases[BatchID],TblOutcomes[[#This Row],[BatchID]]))</f>
        <v>0</v>
      </c>
      <c r="Q3740" s="51">
        <f>IF(COUNTIF(TblPurchases[BatchID],TblOutcomes[[#This Row],[BatchID]])&lt;&gt;1,"n.a.",SUMIFS(TblPurchases[Purchase Date],TblPurchases[BatchID],TblOutcomes[[#This Row],[BatchID]]))</f>
        <v>45110</v>
      </c>
    </row>
    <row r="3741" spans="2:17" x14ac:dyDescent="0.25">
      <c r="B3741" s="2" t="s">
        <v>4546</v>
      </c>
      <c r="C3741" s="2" t="s">
        <v>398</v>
      </c>
      <c r="D3741" s="2" t="s">
        <v>377</v>
      </c>
      <c r="E3741" s="2" t="s">
        <v>4647</v>
      </c>
      <c r="F3741" s="2">
        <v>22</v>
      </c>
      <c r="G3741" s="2">
        <v>22</v>
      </c>
      <c r="H3741" s="2">
        <v>0</v>
      </c>
      <c r="I3741" s="1">
        <v>0</v>
      </c>
      <c r="J3741" s="26">
        <v>45217</v>
      </c>
      <c r="K3741" s="22">
        <v>55000</v>
      </c>
      <c r="L3741" s="18">
        <v>58.82</v>
      </c>
      <c r="M3741" s="22">
        <v>38500</v>
      </c>
      <c r="N3741" s="22">
        <v>16500</v>
      </c>
      <c r="O3741" s="18">
        <v>17.649999999999999</v>
      </c>
      <c r="P3741" s="52">
        <f>IF(COUNTIF(TblPurchases[BatchID],TblOutcomes[[#This Row],[BatchID]])&lt;&gt;1,"n.a.",TblOutcomes[[#This Row],[Qty Wasted]]*SUMIFS(TblPurchases[Unit Cost (CLP)],TblPurchases[BatchID],TblOutcomes[[#This Row],[BatchID]]))</f>
        <v>0</v>
      </c>
      <c r="Q3741" s="51">
        <f>IF(COUNTIF(TblPurchases[BatchID],TblOutcomes[[#This Row],[BatchID]])&lt;&gt;1,"n.a.",SUMIFS(TblPurchases[Purchase Date],TblPurchases[BatchID],TblOutcomes[[#This Row],[BatchID]]))</f>
        <v>45162</v>
      </c>
    </row>
    <row r="3742" spans="2:17" x14ac:dyDescent="0.25">
      <c r="B3742" s="2" t="s">
        <v>4547</v>
      </c>
      <c r="C3742" s="2" t="s">
        <v>398</v>
      </c>
      <c r="D3742" s="2" t="s">
        <v>377</v>
      </c>
      <c r="E3742" s="2" t="s">
        <v>4647</v>
      </c>
      <c r="F3742" s="2">
        <v>22</v>
      </c>
      <c r="G3742" s="2">
        <v>22</v>
      </c>
      <c r="H3742" s="2">
        <v>0</v>
      </c>
      <c r="I3742" s="1">
        <v>0</v>
      </c>
      <c r="J3742" s="26">
        <v>45283</v>
      </c>
      <c r="K3742" s="22">
        <v>55000</v>
      </c>
      <c r="L3742" s="18">
        <v>58.82</v>
      </c>
      <c r="M3742" s="22">
        <v>38500</v>
      </c>
      <c r="N3742" s="22">
        <v>16500</v>
      </c>
      <c r="O3742" s="18">
        <v>17.649999999999999</v>
      </c>
      <c r="P3742" s="52">
        <f>IF(COUNTIF(TblPurchases[BatchID],TblOutcomes[[#This Row],[BatchID]])&lt;&gt;1,"n.a.",TblOutcomes[[#This Row],[Qty Wasted]]*SUMIFS(TblPurchases[Unit Cost (CLP)],TblPurchases[BatchID],TblOutcomes[[#This Row],[BatchID]]))</f>
        <v>0</v>
      </c>
      <c r="Q3742" s="51">
        <f>IF(COUNTIF(TblPurchases[BatchID],TblOutcomes[[#This Row],[BatchID]])&lt;&gt;1,"n.a.",SUMIFS(TblPurchases[Purchase Date],TblPurchases[BatchID],TblOutcomes[[#This Row],[BatchID]]))</f>
        <v>45235</v>
      </c>
    </row>
    <row r="3743" spans="2:17" x14ac:dyDescent="0.25">
      <c r="B3743" s="2" t="s">
        <v>4548</v>
      </c>
      <c r="C3743" s="2" t="s">
        <v>398</v>
      </c>
      <c r="D3743" s="2" t="s">
        <v>377</v>
      </c>
      <c r="E3743" s="2" t="s">
        <v>4647</v>
      </c>
      <c r="F3743" s="2">
        <v>26</v>
      </c>
      <c r="G3743" s="2">
        <v>26</v>
      </c>
      <c r="H3743" s="2">
        <v>0</v>
      </c>
      <c r="I3743" s="1">
        <v>0</v>
      </c>
      <c r="J3743" s="26">
        <v>45382</v>
      </c>
      <c r="K3743" s="22">
        <v>65000</v>
      </c>
      <c r="L3743" s="18">
        <v>69.52</v>
      </c>
      <c r="M3743" s="22">
        <v>45500</v>
      </c>
      <c r="N3743" s="22">
        <v>19500</v>
      </c>
      <c r="O3743" s="18">
        <v>20.86</v>
      </c>
      <c r="P3743" s="52">
        <f>IF(COUNTIF(TblPurchases[BatchID],TblOutcomes[[#This Row],[BatchID]])&lt;&gt;1,"n.a.",TblOutcomes[[#This Row],[Qty Wasted]]*SUMIFS(TblPurchases[Unit Cost (CLP)],TblPurchases[BatchID],TblOutcomes[[#This Row],[BatchID]]))</f>
        <v>0</v>
      </c>
      <c r="Q3743" s="51">
        <f>IF(COUNTIF(TblPurchases[BatchID],TblOutcomes[[#This Row],[BatchID]])&lt;&gt;1,"n.a.",SUMIFS(TblPurchases[Purchase Date],TblPurchases[BatchID],TblOutcomes[[#This Row],[BatchID]]))</f>
        <v>45286</v>
      </c>
    </row>
    <row r="3744" spans="2:17" x14ac:dyDescent="0.25">
      <c r="B3744" s="2" t="s">
        <v>4549</v>
      </c>
      <c r="C3744" s="2" t="s">
        <v>398</v>
      </c>
      <c r="D3744" s="2" t="s">
        <v>377</v>
      </c>
      <c r="E3744" s="2" t="s">
        <v>4647</v>
      </c>
      <c r="F3744" s="2">
        <v>18</v>
      </c>
      <c r="G3744" s="2">
        <v>18</v>
      </c>
      <c r="H3744" s="2">
        <v>0</v>
      </c>
      <c r="I3744" s="1">
        <v>0</v>
      </c>
      <c r="J3744" s="26">
        <v>45406</v>
      </c>
      <c r="K3744" s="22">
        <v>45000</v>
      </c>
      <c r="L3744" s="18">
        <v>48.13</v>
      </c>
      <c r="M3744" s="22">
        <v>31500</v>
      </c>
      <c r="N3744" s="22">
        <v>13500</v>
      </c>
      <c r="O3744" s="18">
        <v>14.44</v>
      </c>
      <c r="P3744" s="52">
        <f>IF(COUNTIF(TblPurchases[BatchID],TblOutcomes[[#This Row],[BatchID]])&lt;&gt;1,"n.a.",TblOutcomes[[#This Row],[Qty Wasted]]*SUMIFS(TblPurchases[Unit Cost (CLP)],TblPurchases[BatchID],TblOutcomes[[#This Row],[BatchID]]))</f>
        <v>0</v>
      </c>
      <c r="Q3744" s="51">
        <f>IF(COUNTIF(TblPurchases[BatchID],TblOutcomes[[#This Row],[BatchID]])&lt;&gt;1,"n.a.",SUMIFS(TblPurchases[Purchase Date],TblPurchases[BatchID],TblOutcomes[[#This Row],[BatchID]]))</f>
        <v>45328</v>
      </c>
    </row>
    <row r="3745" spans="2:17" x14ac:dyDescent="0.25">
      <c r="B3745" s="2" t="s">
        <v>4550</v>
      </c>
      <c r="C3745" s="2" t="s">
        <v>398</v>
      </c>
      <c r="D3745" s="2" t="s">
        <v>377</v>
      </c>
      <c r="E3745" s="2" t="s">
        <v>4647</v>
      </c>
      <c r="F3745" s="2">
        <v>21</v>
      </c>
      <c r="G3745" s="2">
        <v>21</v>
      </c>
      <c r="H3745" s="2">
        <v>0</v>
      </c>
      <c r="I3745" s="1">
        <v>0</v>
      </c>
      <c r="J3745" s="26">
        <v>45453</v>
      </c>
      <c r="K3745" s="22">
        <v>52500</v>
      </c>
      <c r="L3745" s="18">
        <v>56.15</v>
      </c>
      <c r="M3745" s="22">
        <v>36750</v>
      </c>
      <c r="N3745" s="22">
        <v>15750</v>
      </c>
      <c r="O3745" s="18">
        <v>16.84</v>
      </c>
      <c r="P3745" s="52">
        <f>IF(COUNTIF(TblPurchases[BatchID],TblOutcomes[[#This Row],[BatchID]])&lt;&gt;1,"n.a.",TblOutcomes[[#This Row],[Qty Wasted]]*SUMIFS(TblPurchases[Unit Cost (CLP)],TblPurchases[BatchID],TblOutcomes[[#This Row],[BatchID]]))</f>
        <v>0</v>
      </c>
      <c r="Q3745" s="51">
        <f>IF(COUNTIF(TblPurchases[BatchID],TblOutcomes[[#This Row],[BatchID]])&lt;&gt;1,"n.a.",SUMIFS(TblPurchases[Purchase Date],TblPurchases[BatchID],TblOutcomes[[#This Row],[BatchID]]))</f>
        <v>45386</v>
      </c>
    </row>
    <row r="3746" spans="2:17" x14ac:dyDescent="0.25">
      <c r="B3746" s="2" t="s">
        <v>4551</v>
      </c>
      <c r="C3746" s="2" t="s">
        <v>398</v>
      </c>
      <c r="D3746" s="2" t="s">
        <v>377</v>
      </c>
      <c r="E3746" s="2" t="s">
        <v>4647</v>
      </c>
      <c r="F3746" s="2">
        <v>18</v>
      </c>
      <c r="G3746" s="2">
        <v>18</v>
      </c>
      <c r="H3746" s="2">
        <v>0</v>
      </c>
      <c r="I3746" s="1">
        <v>0</v>
      </c>
      <c r="J3746" s="26">
        <v>45519</v>
      </c>
      <c r="K3746" s="22">
        <v>45000</v>
      </c>
      <c r="L3746" s="18">
        <v>48.13</v>
      </c>
      <c r="M3746" s="22">
        <v>30600</v>
      </c>
      <c r="N3746" s="22">
        <v>14400</v>
      </c>
      <c r="O3746" s="18">
        <v>15.4</v>
      </c>
      <c r="P3746" s="52">
        <f>IF(COUNTIF(TblPurchases[BatchID],TblOutcomes[[#This Row],[BatchID]])&lt;&gt;1,"n.a.",TblOutcomes[[#This Row],[Qty Wasted]]*SUMIFS(TblPurchases[Unit Cost (CLP)],TblPurchases[BatchID],TblOutcomes[[#This Row],[BatchID]]))</f>
        <v>0</v>
      </c>
      <c r="Q3746" s="51">
        <f>IF(COUNTIF(TblPurchases[BatchID],TblOutcomes[[#This Row],[BatchID]])&lt;&gt;1,"n.a.",SUMIFS(TblPurchases[Purchase Date],TblPurchases[BatchID],TblOutcomes[[#This Row],[BatchID]]))</f>
        <v>45450</v>
      </c>
    </row>
    <row r="3747" spans="2:17" x14ac:dyDescent="0.25">
      <c r="B3747" s="2" t="s">
        <v>4552</v>
      </c>
      <c r="C3747" s="2" t="s">
        <v>398</v>
      </c>
      <c r="D3747" s="2" t="s">
        <v>377</v>
      </c>
      <c r="E3747" s="2" t="s">
        <v>4647</v>
      </c>
      <c r="F3747" s="2">
        <v>19</v>
      </c>
      <c r="G3747" s="2">
        <v>19</v>
      </c>
      <c r="H3747" s="2">
        <v>0</v>
      </c>
      <c r="I3747" s="1">
        <v>0</v>
      </c>
      <c r="J3747" s="26">
        <v>45509</v>
      </c>
      <c r="K3747" s="22">
        <v>47500</v>
      </c>
      <c r="L3747" s="18">
        <v>50.8</v>
      </c>
      <c r="M3747" s="22">
        <v>33250</v>
      </c>
      <c r="N3747" s="22">
        <v>14250</v>
      </c>
      <c r="O3747" s="18">
        <v>15.24</v>
      </c>
      <c r="P3747" s="52">
        <f>IF(COUNTIF(TblPurchases[BatchID],TblOutcomes[[#This Row],[BatchID]])&lt;&gt;1,"n.a.",TblOutcomes[[#This Row],[Qty Wasted]]*SUMIFS(TblPurchases[Unit Cost (CLP)],TblPurchases[BatchID],TblOutcomes[[#This Row],[BatchID]]))</f>
        <v>0</v>
      </c>
      <c r="Q3747" s="51">
        <f>IF(COUNTIF(TblPurchases[BatchID],TblOutcomes[[#This Row],[BatchID]])&lt;&gt;1,"n.a.",SUMIFS(TblPurchases[Purchase Date],TblPurchases[BatchID],TblOutcomes[[#This Row],[BatchID]]))</f>
        <v>45486</v>
      </c>
    </row>
    <row r="3748" spans="2:17" x14ac:dyDescent="0.25">
      <c r="B3748" s="2" t="s">
        <v>4553</v>
      </c>
      <c r="C3748" s="2" t="s">
        <v>398</v>
      </c>
      <c r="D3748" s="2" t="s">
        <v>377</v>
      </c>
      <c r="E3748" s="2" t="s">
        <v>4647</v>
      </c>
      <c r="F3748" s="2">
        <v>23</v>
      </c>
      <c r="G3748" s="2">
        <v>23</v>
      </c>
      <c r="H3748" s="2">
        <v>0</v>
      </c>
      <c r="I3748" s="1">
        <v>0</v>
      </c>
      <c r="J3748" s="26">
        <v>45620</v>
      </c>
      <c r="K3748" s="22">
        <v>57500</v>
      </c>
      <c r="L3748" s="18">
        <v>61.5</v>
      </c>
      <c r="M3748" s="22">
        <v>40250</v>
      </c>
      <c r="N3748" s="22">
        <v>17250</v>
      </c>
      <c r="O3748" s="18">
        <v>18.45</v>
      </c>
      <c r="P3748" s="52">
        <f>IF(COUNTIF(TblPurchases[BatchID],TblOutcomes[[#This Row],[BatchID]])&lt;&gt;1,"n.a.",TblOutcomes[[#This Row],[Qty Wasted]]*SUMIFS(TblPurchases[Unit Cost (CLP)],TblPurchases[BatchID],TblOutcomes[[#This Row],[BatchID]]))</f>
        <v>0</v>
      </c>
      <c r="Q3748" s="51">
        <f>IF(COUNTIF(TblPurchases[BatchID],TblOutcomes[[#This Row],[BatchID]])&lt;&gt;1,"n.a.",SUMIFS(TblPurchases[Purchase Date],TblPurchases[BatchID],TblOutcomes[[#This Row],[BatchID]]))</f>
        <v>45558</v>
      </c>
    </row>
    <row r="3749" spans="2:17" x14ac:dyDescent="0.25">
      <c r="B3749" s="2" t="s">
        <v>4554</v>
      </c>
      <c r="C3749" s="2" t="s">
        <v>398</v>
      </c>
      <c r="D3749" s="2" t="s">
        <v>377</v>
      </c>
      <c r="E3749" s="2" t="s">
        <v>4647</v>
      </c>
      <c r="F3749" s="2">
        <v>19</v>
      </c>
      <c r="G3749" s="2">
        <v>19</v>
      </c>
      <c r="H3749" s="2">
        <v>0</v>
      </c>
      <c r="I3749" s="1">
        <v>0</v>
      </c>
      <c r="J3749" s="26">
        <v>45677</v>
      </c>
      <c r="K3749" s="22">
        <v>47500</v>
      </c>
      <c r="L3749" s="18">
        <v>50.8</v>
      </c>
      <c r="M3749" s="22">
        <v>32300</v>
      </c>
      <c r="N3749" s="22">
        <v>15200</v>
      </c>
      <c r="O3749" s="18">
        <v>16.260000000000002</v>
      </c>
      <c r="P3749" s="52">
        <f>IF(COUNTIF(TblPurchases[BatchID],TblOutcomes[[#This Row],[BatchID]])&lt;&gt;1,"n.a.",TblOutcomes[[#This Row],[Qty Wasted]]*SUMIFS(TblPurchases[Unit Cost (CLP)],TblPurchases[BatchID],TblOutcomes[[#This Row],[BatchID]]))</f>
        <v>0</v>
      </c>
      <c r="Q3749" s="51">
        <f>IF(COUNTIF(TblPurchases[BatchID],TblOutcomes[[#This Row],[BatchID]])&lt;&gt;1,"n.a.",SUMIFS(TblPurchases[Purchase Date],TblPurchases[BatchID],TblOutcomes[[#This Row],[BatchID]]))</f>
        <v>45625</v>
      </c>
    </row>
    <row r="3750" spans="2:17" x14ac:dyDescent="0.25">
      <c r="B3750" s="2" t="s">
        <v>4555</v>
      </c>
      <c r="C3750" s="2" t="s">
        <v>398</v>
      </c>
      <c r="D3750" s="2" t="s">
        <v>377</v>
      </c>
      <c r="E3750" s="2" t="s">
        <v>4647</v>
      </c>
      <c r="F3750" s="2">
        <v>21</v>
      </c>
      <c r="G3750" s="2">
        <v>21</v>
      </c>
      <c r="H3750" s="2">
        <v>0</v>
      </c>
      <c r="I3750" s="1">
        <v>0</v>
      </c>
      <c r="J3750" s="26">
        <v>45705</v>
      </c>
      <c r="K3750" s="22">
        <v>52500</v>
      </c>
      <c r="L3750" s="18">
        <v>56.15</v>
      </c>
      <c r="M3750" s="22">
        <v>36750</v>
      </c>
      <c r="N3750" s="22">
        <v>15750</v>
      </c>
      <c r="O3750" s="18">
        <v>16.84</v>
      </c>
      <c r="P3750" s="52">
        <f>IF(COUNTIF(TblPurchases[BatchID],TblOutcomes[[#This Row],[BatchID]])&lt;&gt;1,"n.a.",TblOutcomes[[#This Row],[Qty Wasted]]*SUMIFS(TblPurchases[Unit Cost (CLP)],TblPurchases[BatchID],TblOutcomes[[#This Row],[BatchID]]))</f>
        <v>0</v>
      </c>
      <c r="Q3750" s="51">
        <f>IF(COUNTIF(TblPurchases[BatchID],TblOutcomes[[#This Row],[BatchID]])&lt;&gt;1,"n.a.",SUMIFS(TblPurchases[Purchase Date],TblPurchases[BatchID],TblOutcomes[[#This Row],[BatchID]]))</f>
        <v>45669</v>
      </c>
    </row>
    <row r="3751" spans="2:17" x14ac:dyDescent="0.25">
      <c r="B3751" s="2" t="s">
        <v>4556</v>
      </c>
      <c r="C3751" s="2" t="s">
        <v>398</v>
      </c>
      <c r="D3751" s="2" t="s">
        <v>377</v>
      </c>
      <c r="E3751" s="2" t="s">
        <v>4647</v>
      </c>
      <c r="F3751" s="2">
        <v>22</v>
      </c>
      <c r="G3751" s="2">
        <v>22</v>
      </c>
      <c r="H3751" s="2">
        <v>0</v>
      </c>
      <c r="I3751" s="1">
        <v>0</v>
      </c>
      <c r="J3751" s="26">
        <v>45722</v>
      </c>
      <c r="K3751" s="22">
        <v>55000</v>
      </c>
      <c r="L3751" s="18">
        <v>58.82</v>
      </c>
      <c r="M3751" s="22">
        <v>38500</v>
      </c>
      <c r="N3751" s="22">
        <v>16500</v>
      </c>
      <c r="O3751" s="18">
        <v>17.649999999999999</v>
      </c>
      <c r="P3751" s="52">
        <f>IF(COUNTIF(TblPurchases[BatchID],TblOutcomes[[#This Row],[BatchID]])&lt;&gt;1,"n.a.",TblOutcomes[[#This Row],[Qty Wasted]]*SUMIFS(TblPurchases[Unit Cost (CLP)],TblPurchases[BatchID],TblOutcomes[[#This Row],[BatchID]]))</f>
        <v>0</v>
      </c>
      <c r="Q3751" s="51">
        <f>IF(COUNTIF(TblPurchases[BatchID],TblOutcomes[[#This Row],[BatchID]])&lt;&gt;1,"n.a.",SUMIFS(TblPurchases[Purchase Date],TblPurchases[BatchID],TblOutcomes[[#This Row],[BatchID]]))</f>
        <v>45718</v>
      </c>
    </row>
    <row r="3752" spans="2:17" x14ac:dyDescent="0.25">
      <c r="B3752" s="2" t="s">
        <v>4557</v>
      </c>
      <c r="C3752" s="2" t="s">
        <v>398</v>
      </c>
      <c r="D3752" s="2" t="s">
        <v>377</v>
      </c>
      <c r="E3752" s="2" t="s">
        <v>4647</v>
      </c>
      <c r="F3752" s="2">
        <v>23</v>
      </c>
      <c r="G3752" s="2">
        <v>23</v>
      </c>
      <c r="H3752" s="2">
        <v>0</v>
      </c>
      <c r="I3752" s="1">
        <v>0</v>
      </c>
      <c r="J3752" s="26">
        <v>45853</v>
      </c>
      <c r="K3752" s="22">
        <v>57500</v>
      </c>
      <c r="L3752" s="18">
        <v>61.5</v>
      </c>
      <c r="M3752" s="22">
        <v>40250</v>
      </c>
      <c r="N3752" s="22">
        <v>17250</v>
      </c>
      <c r="O3752" s="18">
        <v>18.45</v>
      </c>
      <c r="P3752" s="52">
        <f>IF(COUNTIF(TblPurchases[BatchID],TblOutcomes[[#This Row],[BatchID]])&lt;&gt;1,"n.a.",TblOutcomes[[#This Row],[Qty Wasted]]*SUMIFS(TblPurchases[Unit Cost (CLP)],TblPurchases[BatchID],TblOutcomes[[#This Row],[BatchID]]))</f>
        <v>0</v>
      </c>
      <c r="Q3752" s="51">
        <f>IF(COUNTIF(TblPurchases[BatchID],TblOutcomes[[#This Row],[BatchID]])&lt;&gt;1,"n.a.",SUMIFS(TblPurchases[Purchase Date],TblPurchases[BatchID],TblOutcomes[[#This Row],[BatchID]]))</f>
        <v>45788</v>
      </c>
    </row>
    <row r="3753" spans="2:17" x14ac:dyDescent="0.25">
      <c r="B3753" s="2" t="s">
        <v>4558</v>
      </c>
      <c r="C3753" s="2" t="s">
        <v>398</v>
      </c>
      <c r="D3753" s="2" t="s">
        <v>377</v>
      </c>
      <c r="E3753" s="2" t="s">
        <v>4647</v>
      </c>
      <c r="F3753" s="2">
        <v>21</v>
      </c>
      <c r="G3753" s="2">
        <v>21</v>
      </c>
      <c r="H3753" s="2">
        <v>0</v>
      </c>
      <c r="I3753" s="1">
        <v>0</v>
      </c>
      <c r="J3753" s="26">
        <v>45872</v>
      </c>
      <c r="K3753" s="22">
        <v>52500</v>
      </c>
      <c r="L3753" s="18">
        <v>56.15</v>
      </c>
      <c r="M3753" s="22">
        <v>36750</v>
      </c>
      <c r="N3753" s="22">
        <v>15750</v>
      </c>
      <c r="O3753" s="18">
        <v>16.84</v>
      </c>
      <c r="P3753" s="52">
        <f>IF(COUNTIF(TblPurchases[BatchID],TblOutcomes[[#This Row],[BatchID]])&lt;&gt;1,"n.a.",TblOutcomes[[#This Row],[Qty Wasted]]*SUMIFS(TblPurchases[Unit Cost (CLP)],TblPurchases[BatchID],TblOutcomes[[#This Row],[BatchID]]))</f>
        <v>0</v>
      </c>
      <c r="Q3753" s="51">
        <f>IF(COUNTIF(TblPurchases[BatchID],TblOutcomes[[#This Row],[BatchID]])&lt;&gt;1,"n.a.",SUMIFS(TblPurchases[Purchase Date],TblPurchases[BatchID],TblOutcomes[[#This Row],[BatchID]]))</f>
        <v>45836</v>
      </c>
    </row>
    <row r="3754" spans="2:17" x14ac:dyDescent="0.25">
      <c r="B3754" s="2" t="s">
        <v>4559</v>
      </c>
      <c r="C3754" s="2" t="s">
        <v>400</v>
      </c>
      <c r="D3754" s="2" t="s">
        <v>377</v>
      </c>
      <c r="E3754" s="2" t="s">
        <v>4647</v>
      </c>
      <c r="F3754" s="2">
        <v>19</v>
      </c>
      <c r="G3754" s="2">
        <v>19</v>
      </c>
      <c r="H3754" s="2">
        <v>0</v>
      </c>
      <c r="I3754" s="1">
        <v>0</v>
      </c>
      <c r="J3754" s="26">
        <v>48790</v>
      </c>
      <c r="K3754" s="22">
        <v>57000</v>
      </c>
      <c r="L3754" s="18">
        <v>60.96</v>
      </c>
      <c r="M3754" s="22">
        <v>37050</v>
      </c>
      <c r="N3754" s="22">
        <v>19950</v>
      </c>
      <c r="O3754" s="18">
        <v>21.34</v>
      </c>
      <c r="P3754" s="52">
        <f>IF(COUNTIF(TblPurchases[BatchID],TblOutcomes[[#This Row],[BatchID]])&lt;&gt;1,"n.a.",TblOutcomes[[#This Row],[Qty Wasted]]*SUMIFS(TblPurchases[Unit Cost (CLP)],TblPurchases[BatchID],TblOutcomes[[#This Row],[BatchID]]))</f>
        <v>0</v>
      </c>
      <c r="Q3754" s="51">
        <f>IF(COUNTIF(TblPurchases[BatchID],TblOutcomes[[#This Row],[BatchID]])&lt;&gt;1,"n.a.",SUMIFS(TblPurchases[Purchase Date],TblPurchases[BatchID],TblOutcomes[[#This Row],[BatchID]]))</f>
        <v>45140</v>
      </c>
    </row>
    <row r="3755" spans="2:17" x14ac:dyDescent="0.25">
      <c r="B3755" s="2" t="s">
        <v>4560</v>
      </c>
      <c r="C3755" s="2" t="s">
        <v>400</v>
      </c>
      <c r="D3755" s="2" t="s">
        <v>377</v>
      </c>
      <c r="E3755" s="2" t="s">
        <v>4647</v>
      </c>
      <c r="F3755" s="2">
        <v>28</v>
      </c>
      <c r="G3755" s="2">
        <v>28</v>
      </c>
      <c r="H3755" s="2">
        <v>0</v>
      </c>
      <c r="I3755" s="1">
        <v>0</v>
      </c>
      <c r="J3755" s="26">
        <v>45226</v>
      </c>
      <c r="K3755" s="22">
        <v>84000</v>
      </c>
      <c r="L3755" s="18">
        <v>89.84</v>
      </c>
      <c r="M3755" s="22">
        <v>54600</v>
      </c>
      <c r="N3755" s="22">
        <v>29400</v>
      </c>
      <c r="O3755" s="18">
        <v>31.44</v>
      </c>
      <c r="P3755" s="52">
        <f>IF(COUNTIF(TblPurchases[BatchID],TblOutcomes[[#This Row],[BatchID]])&lt;&gt;1,"n.a.",TblOutcomes[[#This Row],[Qty Wasted]]*SUMIFS(TblPurchases[Unit Cost (CLP)],TblPurchases[BatchID],TblOutcomes[[#This Row],[BatchID]]))</f>
        <v>0</v>
      </c>
      <c r="Q3755" s="51">
        <f>IF(COUNTIF(TblPurchases[BatchID],TblOutcomes[[#This Row],[BatchID]])&lt;&gt;1,"n.a.",SUMIFS(TblPurchases[Purchase Date],TblPurchases[BatchID],TblOutcomes[[#This Row],[BatchID]]))</f>
        <v>45197</v>
      </c>
    </row>
    <row r="3756" spans="2:17" x14ac:dyDescent="0.25">
      <c r="B3756" s="2" t="s">
        <v>4561</v>
      </c>
      <c r="C3756" s="2" t="s">
        <v>400</v>
      </c>
      <c r="D3756" s="2" t="s">
        <v>377</v>
      </c>
      <c r="E3756" s="2" t="s">
        <v>4647</v>
      </c>
      <c r="F3756" s="2">
        <v>23</v>
      </c>
      <c r="G3756" s="2">
        <v>23</v>
      </c>
      <c r="H3756" s="2">
        <v>0</v>
      </c>
      <c r="I3756" s="1">
        <v>0</v>
      </c>
      <c r="J3756" s="26">
        <v>45304</v>
      </c>
      <c r="K3756" s="22">
        <v>69000</v>
      </c>
      <c r="L3756" s="18">
        <v>73.8</v>
      </c>
      <c r="M3756" s="22">
        <v>44850</v>
      </c>
      <c r="N3756" s="22">
        <v>24150</v>
      </c>
      <c r="O3756" s="18">
        <v>25.83</v>
      </c>
      <c r="P3756" s="52">
        <f>IF(COUNTIF(TblPurchases[BatchID],TblOutcomes[[#This Row],[BatchID]])&lt;&gt;1,"n.a.",TblOutcomes[[#This Row],[Qty Wasted]]*SUMIFS(TblPurchases[Unit Cost (CLP)],TblPurchases[BatchID],TblOutcomes[[#This Row],[BatchID]]))</f>
        <v>0</v>
      </c>
      <c r="Q3756" s="51">
        <f>IF(COUNTIF(TblPurchases[BatchID],TblOutcomes[[#This Row],[BatchID]])&lt;&gt;1,"n.a.",SUMIFS(TblPurchases[Purchase Date],TblPurchases[BatchID],TblOutcomes[[#This Row],[BatchID]]))</f>
        <v>45250</v>
      </c>
    </row>
    <row r="3757" spans="2:17" x14ac:dyDescent="0.25">
      <c r="B3757" s="2" t="s">
        <v>4562</v>
      </c>
      <c r="C3757" s="2" t="s">
        <v>400</v>
      </c>
      <c r="D3757" s="2" t="s">
        <v>377</v>
      </c>
      <c r="E3757" s="2" t="s">
        <v>4647</v>
      </c>
      <c r="F3757" s="2">
        <v>18</v>
      </c>
      <c r="G3757" s="2">
        <v>18</v>
      </c>
      <c r="H3757" s="2">
        <v>0</v>
      </c>
      <c r="I3757" s="1">
        <v>0</v>
      </c>
      <c r="J3757" s="26">
        <v>45341</v>
      </c>
      <c r="K3757" s="22">
        <v>54000</v>
      </c>
      <c r="L3757" s="18">
        <v>57.75</v>
      </c>
      <c r="M3757" s="22">
        <v>35100</v>
      </c>
      <c r="N3757" s="22">
        <v>18900</v>
      </c>
      <c r="O3757" s="18">
        <v>20.21</v>
      </c>
      <c r="P3757" s="52">
        <f>IF(COUNTIF(TblPurchases[BatchID],TblOutcomes[[#This Row],[BatchID]])&lt;&gt;1,"n.a.",TblOutcomes[[#This Row],[Qty Wasted]]*SUMIFS(TblPurchases[Unit Cost (CLP)],TblPurchases[BatchID],TblOutcomes[[#This Row],[BatchID]]))</f>
        <v>0</v>
      </c>
      <c r="Q3757" s="51">
        <f>IF(COUNTIF(TblPurchases[BatchID],TblOutcomes[[#This Row],[BatchID]])&lt;&gt;1,"n.a.",SUMIFS(TblPurchases[Purchase Date],TblPurchases[BatchID],TblOutcomes[[#This Row],[BatchID]]))</f>
        <v>45300</v>
      </c>
    </row>
    <row r="3758" spans="2:17" x14ac:dyDescent="0.25">
      <c r="B3758" s="2" t="s">
        <v>4563</v>
      </c>
      <c r="C3758" s="2" t="s">
        <v>400</v>
      </c>
      <c r="D3758" s="2" t="s">
        <v>377</v>
      </c>
      <c r="E3758" s="2" t="s">
        <v>4647</v>
      </c>
      <c r="F3758" s="2">
        <v>18</v>
      </c>
      <c r="G3758" s="2">
        <v>18</v>
      </c>
      <c r="H3758" s="2">
        <v>0</v>
      </c>
      <c r="I3758" s="1">
        <v>0</v>
      </c>
      <c r="J3758" s="26">
        <v>45406</v>
      </c>
      <c r="K3758" s="22">
        <v>54000</v>
      </c>
      <c r="L3758" s="18">
        <v>57.75</v>
      </c>
      <c r="M3758" s="22">
        <v>35100</v>
      </c>
      <c r="N3758" s="22">
        <v>18900</v>
      </c>
      <c r="O3758" s="18">
        <v>20.21</v>
      </c>
      <c r="P3758" s="52">
        <f>IF(COUNTIF(TblPurchases[BatchID],TblOutcomes[[#This Row],[BatchID]])&lt;&gt;1,"n.a.",TblOutcomes[[#This Row],[Qty Wasted]]*SUMIFS(TblPurchases[Unit Cost (CLP)],TblPurchases[BatchID],TblOutcomes[[#This Row],[BatchID]]))</f>
        <v>0</v>
      </c>
      <c r="Q3758" s="51">
        <f>IF(COUNTIF(TblPurchases[BatchID],TblOutcomes[[#This Row],[BatchID]])&lt;&gt;1,"n.a.",SUMIFS(TblPurchases[Purchase Date],TblPurchases[BatchID],TblOutcomes[[#This Row],[BatchID]]))</f>
        <v>45368</v>
      </c>
    </row>
    <row r="3759" spans="2:17" x14ac:dyDescent="0.25">
      <c r="B3759" s="2" t="s">
        <v>4564</v>
      </c>
      <c r="C3759" s="2" t="s">
        <v>400</v>
      </c>
      <c r="D3759" s="2" t="s">
        <v>377</v>
      </c>
      <c r="E3759" s="2" t="s">
        <v>4647</v>
      </c>
      <c r="F3759" s="2">
        <v>18</v>
      </c>
      <c r="G3759" s="2">
        <v>18</v>
      </c>
      <c r="H3759" s="2">
        <v>0</v>
      </c>
      <c r="I3759" s="1">
        <v>0</v>
      </c>
      <c r="J3759" s="26">
        <v>45476</v>
      </c>
      <c r="K3759" s="22">
        <v>54000</v>
      </c>
      <c r="L3759" s="18">
        <v>57.75</v>
      </c>
      <c r="M3759" s="22">
        <v>39600</v>
      </c>
      <c r="N3759" s="22">
        <v>14400</v>
      </c>
      <c r="O3759" s="18">
        <v>15.4</v>
      </c>
      <c r="P3759" s="52">
        <f>IF(COUNTIF(TblPurchases[BatchID],TblOutcomes[[#This Row],[BatchID]])&lt;&gt;1,"n.a.",TblOutcomes[[#This Row],[Qty Wasted]]*SUMIFS(TblPurchases[Unit Cost (CLP)],TblPurchases[BatchID],TblOutcomes[[#This Row],[BatchID]]))</f>
        <v>0</v>
      </c>
      <c r="Q3759" s="51">
        <f>IF(COUNTIF(TblPurchases[BatchID],TblOutcomes[[#This Row],[BatchID]])&lt;&gt;1,"n.a.",SUMIFS(TblPurchases[Purchase Date],TblPurchases[BatchID],TblOutcomes[[#This Row],[BatchID]]))</f>
        <v>45419</v>
      </c>
    </row>
    <row r="3760" spans="2:17" x14ac:dyDescent="0.25">
      <c r="B3760" s="2" t="s">
        <v>4565</v>
      </c>
      <c r="C3760" s="2" t="s">
        <v>400</v>
      </c>
      <c r="D3760" s="2" t="s">
        <v>377</v>
      </c>
      <c r="E3760" s="2" t="s">
        <v>4647</v>
      </c>
      <c r="F3760" s="2">
        <v>23</v>
      </c>
      <c r="G3760" s="2">
        <v>23</v>
      </c>
      <c r="H3760" s="2">
        <v>0</v>
      </c>
      <c r="I3760" s="1">
        <v>0</v>
      </c>
      <c r="J3760" s="26">
        <v>45520</v>
      </c>
      <c r="K3760" s="22">
        <v>69000</v>
      </c>
      <c r="L3760" s="18">
        <v>73.8</v>
      </c>
      <c r="M3760" s="22">
        <v>44850</v>
      </c>
      <c r="N3760" s="22">
        <v>24150</v>
      </c>
      <c r="O3760" s="18">
        <v>25.83</v>
      </c>
      <c r="P3760" s="52">
        <f>IF(COUNTIF(TblPurchases[BatchID],TblOutcomes[[#This Row],[BatchID]])&lt;&gt;1,"n.a.",TblOutcomes[[#This Row],[Qty Wasted]]*SUMIFS(TblPurchases[Unit Cost (CLP)],TblPurchases[BatchID],TblOutcomes[[#This Row],[BatchID]]))</f>
        <v>0</v>
      </c>
      <c r="Q3760" s="51">
        <f>IF(COUNTIF(TblPurchases[BatchID],TblOutcomes[[#This Row],[BatchID]])&lt;&gt;1,"n.a.",SUMIFS(TblPurchases[Purchase Date],TblPurchases[BatchID],TblOutcomes[[#This Row],[BatchID]]))</f>
        <v>45475</v>
      </c>
    </row>
    <row r="3761" spans="2:17" x14ac:dyDescent="0.25">
      <c r="B3761" s="2" t="s">
        <v>4566</v>
      </c>
      <c r="C3761" s="2" t="s">
        <v>400</v>
      </c>
      <c r="D3761" s="2" t="s">
        <v>377</v>
      </c>
      <c r="E3761" s="2" t="s">
        <v>4647</v>
      </c>
      <c r="F3761" s="2">
        <v>23</v>
      </c>
      <c r="G3761" s="2">
        <v>23</v>
      </c>
      <c r="H3761" s="2">
        <v>0</v>
      </c>
      <c r="I3761" s="1">
        <v>0</v>
      </c>
      <c r="J3761" s="26">
        <v>45586</v>
      </c>
      <c r="K3761" s="22">
        <v>69000</v>
      </c>
      <c r="L3761" s="18">
        <v>73.8</v>
      </c>
      <c r="M3761" s="22">
        <v>44850</v>
      </c>
      <c r="N3761" s="22">
        <v>24150</v>
      </c>
      <c r="O3761" s="18">
        <v>25.83</v>
      </c>
      <c r="P3761" s="52">
        <f>IF(COUNTIF(TblPurchases[BatchID],TblOutcomes[[#This Row],[BatchID]])&lt;&gt;1,"n.a.",TblOutcomes[[#This Row],[Qty Wasted]]*SUMIFS(TblPurchases[Unit Cost (CLP)],TblPurchases[BatchID],TblOutcomes[[#This Row],[BatchID]]))</f>
        <v>0</v>
      </c>
      <c r="Q3761" s="51">
        <f>IF(COUNTIF(TblPurchases[BatchID],TblOutcomes[[#This Row],[BatchID]])&lt;&gt;1,"n.a.",SUMIFS(TblPurchases[Purchase Date],TblPurchases[BatchID],TblOutcomes[[#This Row],[BatchID]]))</f>
        <v>45533</v>
      </c>
    </row>
    <row r="3762" spans="2:17" x14ac:dyDescent="0.25">
      <c r="B3762" s="2" t="s">
        <v>4567</v>
      </c>
      <c r="C3762" s="2" t="s">
        <v>400</v>
      </c>
      <c r="D3762" s="2" t="s">
        <v>377</v>
      </c>
      <c r="E3762" s="2" t="s">
        <v>4647</v>
      </c>
      <c r="F3762" s="2">
        <v>21</v>
      </c>
      <c r="G3762" s="2">
        <v>21</v>
      </c>
      <c r="H3762" s="2">
        <v>0</v>
      </c>
      <c r="I3762" s="1">
        <v>0</v>
      </c>
      <c r="J3762" s="26">
        <v>45617</v>
      </c>
      <c r="K3762" s="22">
        <v>63000</v>
      </c>
      <c r="L3762" s="18">
        <v>67.38</v>
      </c>
      <c r="M3762" s="22">
        <v>46200</v>
      </c>
      <c r="N3762" s="22">
        <v>16800</v>
      </c>
      <c r="O3762" s="18">
        <v>17.97</v>
      </c>
      <c r="P3762" s="52">
        <f>IF(COUNTIF(TblPurchases[BatchID],TblOutcomes[[#This Row],[BatchID]])&lt;&gt;1,"n.a.",TblOutcomes[[#This Row],[Qty Wasted]]*SUMIFS(TblPurchases[Unit Cost (CLP)],TblPurchases[BatchID],TblOutcomes[[#This Row],[BatchID]]))</f>
        <v>0</v>
      </c>
      <c r="Q3762" s="51">
        <f>IF(COUNTIF(TblPurchases[BatchID],TblOutcomes[[#This Row],[BatchID]])&lt;&gt;1,"n.a.",SUMIFS(TblPurchases[Purchase Date],TblPurchases[BatchID],TblOutcomes[[#This Row],[BatchID]]))</f>
        <v>45593</v>
      </c>
    </row>
    <row r="3763" spans="2:17" x14ac:dyDescent="0.25">
      <c r="B3763" s="2" t="s">
        <v>4568</v>
      </c>
      <c r="C3763" s="2" t="s">
        <v>400</v>
      </c>
      <c r="D3763" s="2" t="s">
        <v>377</v>
      </c>
      <c r="E3763" s="2" t="s">
        <v>4647</v>
      </c>
      <c r="F3763" s="2">
        <v>22</v>
      </c>
      <c r="G3763" s="2">
        <v>22</v>
      </c>
      <c r="H3763" s="2">
        <v>0</v>
      </c>
      <c r="I3763" s="1">
        <v>0</v>
      </c>
      <c r="J3763" s="26">
        <v>45714</v>
      </c>
      <c r="K3763" s="22">
        <v>66000</v>
      </c>
      <c r="L3763" s="18">
        <v>70.59</v>
      </c>
      <c r="M3763" s="22">
        <v>42900</v>
      </c>
      <c r="N3763" s="22">
        <v>23100</v>
      </c>
      <c r="O3763" s="18">
        <v>24.71</v>
      </c>
      <c r="P3763" s="52">
        <f>IF(COUNTIF(TblPurchases[BatchID],TblOutcomes[[#This Row],[BatchID]])&lt;&gt;1,"n.a.",TblOutcomes[[#This Row],[Qty Wasted]]*SUMIFS(TblPurchases[Unit Cost (CLP)],TblPurchases[BatchID],TblOutcomes[[#This Row],[BatchID]]))</f>
        <v>0</v>
      </c>
      <c r="Q3763" s="51">
        <f>IF(COUNTIF(TblPurchases[BatchID],TblOutcomes[[#This Row],[BatchID]])&lt;&gt;1,"n.a.",SUMIFS(TblPurchases[Purchase Date],TblPurchases[BatchID],TblOutcomes[[#This Row],[BatchID]]))</f>
        <v>45646</v>
      </c>
    </row>
    <row r="3764" spans="2:17" x14ac:dyDescent="0.25">
      <c r="B3764" s="2" t="s">
        <v>4569</v>
      </c>
      <c r="C3764" s="2" t="s">
        <v>400</v>
      </c>
      <c r="D3764" s="2" t="s">
        <v>377</v>
      </c>
      <c r="E3764" s="2" t="s">
        <v>4647</v>
      </c>
      <c r="F3764" s="2">
        <v>24</v>
      </c>
      <c r="G3764" s="2">
        <v>24</v>
      </c>
      <c r="H3764" s="2">
        <v>0</v>
      </c>
      <c r="I3764" s="1">
        <v>0</v>
      </c>
      <c r="J3764" s="26">
        <v>45745</v>
      </c>
      <c r="K3764" s="22">
        <v>72000</v>
      </c>
      <c r="L3764" s="18">
        <v>77.010000000000005</v>
      </c>
      <c r="M3764" s="22">
        <v>46800</v>
      </c>
      <c r="N3764" s="22">
        <v>25200</v>
      </c>
      <c r="O3764" s="18">
        <v>26.95</v>
      </c>
      <c r="P3764" s="52">
        <f>IF(COUNTIF(TblPurchases[BatchID],TblOutcomes[[#This Row],[BatchID]])&lt;&gt;1,"n.a.",TblOutcomes[[#This Row],[Qty Wasted]]*SUMIFS(TblPurchases[Unit Cost (CLP)],TblPurchases[BatchID],TblOutcomes[[#This Row],[BatchID]]))</f>
        <v>0</v>
      </c>
      <c r="Q3764" s="51">
        <f>IF(COUNTIF(TblPurchases[BatchID],TblOutcomes[[#This Row],[BatchID]])&lt;&gt;1,"n.a.",SUMIFS(TblPurchases[Purchase Date],TblPurchases[BatchID],TblOutcomes[[#This Row],[BatchID]]))</f>
        <v>45707</v>
      </c>
    </row>
    <row r="3765" spans="2:17" x14ac:dyDescent="0.25">
      <c r="B3765" s="2" t="s">
        <v>4570</v>
      </c>
      <c r="C3765" s="2" t="s">
        <v>400</v>
      </c>
      <c r="D3765" s="2" t="s">
        <v>377</v>
      </c>
      <c r="E3765" s="2" t="s">
        <v>4647</v>
      </c>
      <c r="F3765" s="2">
        <v>24</v>
      </c>
      <c r="G3765" s="2">
        <v>24</v>
      </c>
      <c r="H3765" s="2">
        <v>0</v>
      </c>
      <c r="I3765" s="1">
        <v>0</v>
      </c>
      <c r="J3765" s="26">
        <v>45815</v>
      </c>
      <c r="K3765" s="22">
        <v>72000</v>
      </c>
      <c r="L3765" s="18">
        <v>77.010000000000005</v>
      </c>
      <c r="M3765" s="22">
        <v>46800</v>
      </c>
      <c r="N3765" s="22">
        <v>25200</v>
      </c>
      <c r="O3765" s="18">
        <v>26.95</v>
      </c>
      <c r="P3765" s="52">
        <f>IF(COUNTIF(TblPurchases[BatchID],TblOutcomes[[#This Row],[BatchID]])&lt;&gt;1,"n.a.",TblOutcomes[[#This Row],[Qty Wasted]]*SUMIFS(TblPurchases[Unit Cost (CLP)],TblPurchases[BatchID],TblOutcomes[[#This Row],[BatchID]]))</f>
        <v>0</v>
      </c>
      <c r="Q3765" s="51">
        <f>IF(COUNTIF(TblPurchases[BatchID],TblOutcomes[[#This Row],[BatchID]])&lt;&gt;1,"n.a.",SUMIFS(TblPurchases[Purchase Date],TblPurchases[BatchID],TblOutcomes[[#This Row],[BatchID]]))</f>
        <v>45766</v>
      </c>
    </row>
    <row r="3766" spans="2:17" x14ac:dyDescent="0.25">
      <c r="B3766" s="2" t="s">
        <v>4571</v>
      </c>
      <c r="C3766" s="2" t="s">
        <v>400</v>
      </c>
      <c r="D3766" s="2" t="s">
        <v>377</v>
      </c>
      <c r="E3766" s="2" t="s">
        <v>4647</v>
      </c>
      <c r="F3766" s="2">
        <v>20</v>
      </c>
      <c r="G3766" s="2">
        <v>20</v>
      </c>
      <c r="H3766" s="2">
        <v>0</v>
      </c>
      <c r="I3766" s="1">
        <v>0</v>
      </c>
      <c r="J3766" s="26">
        <v>49462</v>
      </c>
      <c r="K3766" s="22">
        <v>60000</v>
      </c>
      <c r="L3766" s="18">
        <v>64.17</v>
      </c>
      <c r="M3766" s="22">
        <v>39000</v>
      </c>
      <c r="N3766" s="22">
        <v>21000</v>
      </c>
      <c r="O3766" s="18">
        <v>22.46</v>
      </c>
      <c r="P3766" s="52">
        <f>IF(COUNTIF(TblPurchases[BatchID],TblOutcomes[[#This Row],[BatchID]])&lt;&gt;1,"n.a.",TblOutcomes[[#This Row],[Qty Wasted]]*SUMIFS(TblPurchases[Unit Cost (CLP)],TblPurchases[BatchID],TblOutcomes[[#This Row],[BatchID]]))</f>
        <v>0</v>
      </c>
      <c r="Q3766" s="51">
        <f>IF(COUNTIF(TblPurchases[BatchID],TblOutcomes[[#This Row],[BatchID]])&lt;&gt;1,"n.a.",SUMIFS(TblPurchases[Purchase Date],TblPurchases[BatchID],TblOutcomes[[#This Row],[BatchID]]))</f>
        <v>45812</v>
      </c>
    </row>
    <row r="3767" spans="2:17" x14ac:dyDescent="0.25">
      <c r="B3767" s="2" t="s">
        <v>4572</v>
      </c>
      <c r="C3767" s="2" t="s">
        <v>402</v>
      </c>
      <c r="D3767" s="2" t="s">
        <v>377</v>
      </c>
      <c r="E3767" s="2" t="s">
        <v>4647</v>
      </c>
      <c r="F3767" s="2">
        <v>19</v>
      </c>
      <c r="G3767" s="2">
        <v>19</v>
      </c>
      <c r="H3767" s="2">
        <v>0</v>
      </c>
      <c r="I3767" s="1">
        <v>0</v>
      </c>
      <c r="J3767" s="26">
        <v>45149</v>
      </c>
      <c r="K3767" s="22">
        <v>76000</v>
      </c>
      <c r="L3767" s="18">
        <v>81.28</v>
      </c>
      <c r="M3767" s="22">
        <v>48450</v>
      </c>
      <c r="N3767" s="22">
        <v>27550</v>
      </c>
      <c r="O3767" s="18">
        <v>29.47</v>
      </c>
      <c r="P3767" s="52">
        <f>IF(COUNTIF(TblPurchases[BatchID],TblOutcomes[[#This Row],[BatchID]])&lt;&gt;1,"n.a.",TblOutcomes[[#This Row],[Qty Wasted]]*SUMIFS(TblPurchases[Unit Cost (CLP)],TblPurchases[BatchID],TblOutcomes[[#This Row],[BatchID]]))</f>
        <v>0</v>
      </c>
      <c r="Q3767" s="51">
        <f>IF(COUNTIF(TblPurchases[BatchID],TblOutcomes[[#This Row],[BatchID]])&lt;&gt;1,"n.a.",SUMIFS(TblPurchases[Purchase Date],TblPurchases[BatchID],TblOutcomes[[#This Row],[BatchID]]))</f>
        <v>45115</v>
      </c>
    </row>
    <row r="3768" spans="2:17" x14ac:dyDescent="0.25">
      <c r="B3768" s="2" t="s">
        <v>4573</v>
      </c>
      <c r="C3768" s="2" t="s">
        <v>402</v>
      </c>
      <c r="D3768" s="2" t="s">
        <v>377</v>
      </c>
      <c r="E3768" s="2" t="s">
        <v>4647</v>
      </c>
      <c r="F3768" s="2">
        <v>23</v>
      </c>
      <c r="G3768" s="2">
        <v>23</v>
      </c>
      <c r="H3768" s="2">
        <v>0</v>
      </c>
      <c r="I3768" s="1">
        <v>0</v>
      </c>
      <c r="J3768" s="26">
        <v>48830</v>
      </c>
      <c r="K3768" s="22">
        <v>92000</v>
      </c>
      <c r="L3768" s="18">
        <v>98.4</v>
      </c>
      <c r="M3768" s="22">
        <v>58650</v>
      </c>
      <c r="N3768" s="22">
        <v>33350</v>
      </c>
      <c r="O3768" s="18">
        <v>35.67</v>
      </c>
      <c r="P3768" s="52">
        <f>IF(COUNTIF(TblPurchases[BatchID],TblOutcomes[[#This Row],[BatchID]])&lt;&gt;1,"n.a.",TblOutcomes[[#This Row],[Qty Wasted]]*SUMIFS(TblPurchases[Unit Cost (CLP)],TblPurchases[BatchID],TblOutcomes[[#This Row],[BatchID]]))</f>
        <v>0</v>
      </c>
      <c r="Q3768" s="51">
        <f>IF(COUNTIF(TblPurchases[BatchID],TblOutcomes[[#This Row],[BatchID]])&lt;&gt;1,"n.a.",SUMIFS(TblPurchases[Purchase Date],TblPurchases[BatchID],TblOutcomes[[#This Row],[BatchID]]))</f>
        <v>45180</v>
      </c>
    </row>
    <row r="3769" spans="2:17" x14ac:dyDescent="0.25">
      <c r="B3769" s="2" t="s">
        <v>4574</v>
      </c>
      <c r="C3769" s="2" t="s">
        <v>402</v>
      </c>
      <c r="D3769" s="2" t="s">
        <v>377</v>
      </c>
      <c r="E3769" s="2" t="s">
        <v>4647</v>
      </c>
      <c r="F3769" s="2">
        <v>19</v>
      </c>
      <c r="G3769" s="2">
        <v>19</v>
      </c>
      <c r="H3769" s="2">
        <v>0</v>
      </c>
      <c r="I3769" s="1">
        <v>0</v>
      </c>
      <c r="J3769" s="26">
        <v>45293</v>
      </c>
      <c r="K3769" s="22">
        <v>76000</v>
      </c>
      <c r="L3769" s="18">
        <v>81.28</v>
      </c>
      <c r="M3769" s="22">
        <v>48450</v>
      </c>
      <c r="N3769" s="22">
        <v>27550</v>
      </c>
      <c r="O3769" s="18">
        <v>29.47</v>
      </c>
      <c r="P3769" s="52">
        <f>IF(COUNTIF(TblPurchases[BatchID],TblOutcomes[[#This Row],[BatchID]])&lt;&gt;1,"n.a.",TblOutcomes[[#This Row],[Qty Wasted]]*SUMIFS(TblPurchases[Unit Cost (CLP)],TblPurchases[BatchID],TblOutcomes[[#This Row],[BatchID]]))</f>
        <v>0</v>
      </c>
      <c r="Q3769" s="51">
        <f>IF(COUNTIF(TblPurchases[BatchID],TblOutcomes[[#This Row],[BatchID]])&lt;&gt;1,"n.a.",SUMIFS(TblPurchases[Purchase Date],TblPurchases[BatchID],TblOutcomes[[#This Row],[BatchID]]))</f>
        <v>45239</v>
      </c>
    </row>
    <row r="3770" spans="2:17" x14ac:dyDescent="0.25">
      <c r="B3770" s="2" t="s">
        <v>4575</v>
      </c>
      <c r="C3770" s="2" t="s">
        <v>402</v>
      </c>
      <c r="D3770" s="2" t="s">
        <v>377</v>
      </c>
      <c r="E3770" s="2" t="s">
        <v>4647</v>
      </c>
      <c r="F3770" s="2">
        <v>20</v>
      </c>
      <c r="G3770" s="2">
        <v>20</v>
      </c>
      <c r="H3770" s="2">
        <v>0</v>
      </c>
      <c r="I3770" s="1">
        <v>0</v>
      </c>
      <c r="J3770" s="26">
        <v>45352</v>
      </c>
      <c r="K3770" s="22">
        <v>80000</v>
      </c>
      <c r="L3770" s="18">
        <v>85.56</v>
      </c>
      <c r="M3770" s="22">
        <v>51000</v>
      </c>
      <c r="N3770" s="22">
        <v>29000</v>
      </c>
      <c r="O3770" s="18">
        <v>31.02</v>
      </c>
      <c r="P3770" s="52">
        <f>IF(COUNTIF(TblPurchases[BatchID],TblOutcomes[[#This Row],[BatchID]])&lt;&gt;1,"n.a.",TblOutcomes[[#This Row],[Qty Wasted]]*SUMIFS(TblPurchases[Unit Cost (CLP)],TblPurchases[BatchID],TblOutcomes[[#This Row],[BatchID]]))</f>
        <v>0</v>
      </c>
      <c r="Q3770" s="51">
        <f>IF(COUNTIF(TblPurchases[BatchID],TblOutcomes[[#This Row],[BatchID]])&lt;&gt;1,"n.a.",SUMIFS(TblPurchases[Purchase Date],TblPurchases[BatchID],TblOutcomes[[#This Row],[BatchID]]))</f>
        <v>45295</v>
      </c>
    </row>
    <row r="3771" spans="2:17" x14ac:dyDescent="0.25">
      <c r="B3771" s="2" t="s">
        <v>4576</v>
      </c>
      <c r="C3771" s="2" t="s">
        <v>402</v>
      </c>
      <c r="D3771" s="2" t="s">
        <v>377</v>
      </c>
      <c r="E3771" s="2" t="s">
        <v>4647</v>
      </c>
      <c r="F3771" s="2">
        <v>23</v>
      </c>
      <c r="G3771" s="2">
        <v>23</v>
      </c>
      <c r="H3771" s="2">
        <v>0</v>
      </c>
      <c r="I3771" s="1">
        <v>0</v>
      </c>
      <c r="J3771" s="26">
        <v>45378</v>
      </c>
      <c r="K3771" s="22">
        <v>92000</v>
      </c>
      <c r="L3771" s="18">
        <v>98.4</v>
      </c>
      <c r="M3771" s="22">
        <v>58650</v>
      </c>
      <c r="N3771" s="22">
        <v>33350</v>
      </c>
      <c r="O3771" s="18">
        <v>35.67</v>
      </c>
      <c r="P3771" s="52">
        <f>IF(COUNTIF(TblPurchases[BatchID],TblOutcomes[[#This Row],[BatchID]])&lt;&gt;1,"n.a.",TblOutcomes[[#This Row],[Qty Wasted]]*SUMIFS(TblPurchases[Unit Cost (CLP)],TblPurchases[BatchID],TblOutcomes[[#This Row],[BatchID]]))</f>
        <v>0</v>
      </c>
      <c r="Q3771" s="51">
        <f>IF(COUNTIF(TblPurchases[BatchID],TblOutcomes[[#This Row],[BatchID]])&lt;&gt;1,"n.a.",SUMIFS(TblPurchases[Purchase Date],TblPurchases[BatchID],TblOutcomes[[#This Row],[BatchID]]))</f>
        <v>45331</v>
      </c>
    </row>
    <row r="3772" spans="2:17" x14ac:dyDescent="0.25">
      <c r="B3772" s="2" t="s">
        <v>4577</v>
      </c>
      <c r="C3772" s="2" t="s">
        <v>402</v>
      </c>
      <c r="D3772" s="2" t="s">
        <v>377</v>
      </c>
      <c r="E3772" s="2" t="s">
        <v>4647</v>
      </c>
      <c r="F3772" s="2">
        <v>23</v>
      </c>
      <c r="G3772" s="2">
        <v>23</v>
      </c>
      <c r="H3772" s="2">
        <v>0</v>
      </c>
      <c r="I3772" s="1">
        <v>0</v>
      </c>
      <c r="J3772" s="26">
        <v>45411</v>
      </c>
      <c r="K3772" s="22">
        <v>92000</v>
      </c>
      <c r="L3772" s="18">
        <v>98.4</v>
      </c>
      <c r="M3772" s="22">
        <v>58650</v>
      </c>
      <c r="N3772" s="22">
        <v>33350</v>
      </c>
      <c r="O3772" s="18">
        <v>35.67</v>
      </c>
      <c r="P3772" s="52">
        <f>IF(COUNTIF(TblPurchases[BatchID],TblOutcomes[[#This Row],[BatchID]])&lt;&gt;1,"n.a.",TblOutcomes[[#This Row],[Qty Wasted]]*SUMIFS(TblPurchases[Unit Cost (CLP)],TblPurchases[BatchID],TblOutcomes[[#This Row],[BatchID]]))</f>
        <v>0</v>
      </c>
      <c r="Q3772" s="51">
        <f>IF(COUNTIF(TblPurchases[BatchID],TblOutcomes[[#This Row],[BatchID]])&lt;&gt;1,"n.a.",SUMIFS(TblPurchases[Purchase Date],TblPurchases[BatchID],TblOutcomes[[#This Row],[BatchID]]))</f>
        <v>45377</v>
      </c>
    </row>
    <row r="3773" spans="2:17" x14ac:dyDescent="0.25">
      <c r="B3773" s="2" t="s">
        <v>4578</v>
      </c>
      <c r="C3773" s="2" t="s">
        <v>402</v>
      </c>
      <c r="D3773" s="2" t="s">
        <v>377</v>
      </c>
      <c r="E3773" s="2" t="s">
        <v>4647</v>
      </c>
      <c r="F3773" s="2">
        <v>23</v>
      </c>
      <c r="G3773" s="2">
        <v>23</v>
      </c>
      <c r="H3773" s="2">
        <v>0</v>
      </c>
      <c r="I3773" s="1">
        <v>0</v>
      </c>
      <c r="J3773" s="26">
        <v>45473</v>
      </c>
      <c r="K3773" s="22">
        <v>92000</v>
      </c>
      <c r="L3773" s="18">
        <v>98.4</v>
      </c>
      <c r="M3773" s="22">
        <v>58650</v>
      </c>
      <c r="N3773" s="22">
        <v>33350</v>
      </c>
      <c r="O3773" s="18">
        <v>35.67</v>
      </c>
      <c r="P3773" s="52">
        <f>IF(COUNTIF(TblPurchases[BatchID],TblOutcomes[[#This Row],[BatchID]])&lt;&gt;1,"n.a.",TblOutcomes[[#This Row],[Qty Wasted]]*SUMIFS(TblPurchases[Unit Cost (CLP)],TblPurchases[BatchID],TblOutcomes[[#This Row],[BatchID]]))</f>
        <v>0</v>
      </c>
      <c r="Q3773" s="51">
        <f>IF(COUNTIF(TblPurchases[BatchID],TblOutcomes[[#This Row],[BatchID]])&lt;&gt;1,"n.a.",SUMIFS(TblPurchases[Purchase Date],TblPurchases[BatchID],TblOutcomes[[#This Row],[BatchID]]))</f>
        <v>45438</v>
      </c>
    </row>
    <row r="3774" spans="2:17" x14ac:dyDescent="0.25">
      <c r="B3774" s="2" t="s">
        <v>4579</v>
      </c>
      <c r="C3774" s="2" t="s">
        <v>402</v>
      </c>
      <c r="D3774" s="2" t="s">
        <v>377</v>
      </c>
      <c r="E3774" s="2" t="s">
        <v>4647</v>
      </c>
      <c r="F3774" s="2">
        <v>20</v>
      </c>
      <c r="G3774" s="2">
        <v>20</v>
      </c>
      <c r="H3774" s="2">
        <v>0</v>
      </c>
      <c r="I3774" s="1">
        <v>0</v>
      </c>
      <c r="J3774" s="26">
        <v>45554</v>
      </c>
      <c r="K3774" s="22">
        <v>80000</v>
      </c>
      <c r="L3774" s="18">
        <v>85.56</v>
      </c>
      <c r="M3774" s="22">
        <v>51000</v>
      </c>
      <c r="N3774" s="22">
        <v>29000</v>
      </c>
      <c r="O3774" s="18">
        <v>31.02</v>
      </c>
      <c r="P3774" s="52">
        <f>IF(COUNTIF(TblPurchases[BatchID],TblOutcomes[[#This Row],[BatchID]])&lt;&gt;1,"n.a.",TblOutcomes[[#This Row],[Qty Wasted]]*SUMIFS(TblPurchases[Unit Cost (CLP)],TblPurchases[BatchID],TblOutcomes[[#This Row],[BatchID]]))</f>
        <v>0</v>
      </c>
      <c r="Q3774" s="51">
        <f>IF(COUNTIF(TblPurchases[BatchID],TblOutcomes[[#This Row],[BatchID]])&lt;&gt;1,"n.a.",SUMIFS(TblPurchases[Purchase Date],TblPurchases[BatchID],TblOutcomes[[#This Row],[BatchID]]))</f>
        <v>45502</v>
      </c>
    </row>
    <row r="3775" spans="2:17" x14ac:dyDescent="0.25">
      <c r="B3775" s="2" t="s">
        <v>4580</v>
      </c>
      <c r="C3775" s="2" t="s">
        <v>402</v>
      </c>
      <c r="D3775" s="2" t="s">
        <v>377</v>
      </c>
      <c r="E3775" s="2" t="s">
        <v>4647</v>
      </c>
      <c r="F3775" s="2">
        <v>21</v>
      </c>
      <c r="G3775" s="2">
        <v>21</v>
      </c>
      <c r="H3775" s="2">
        <v>0</v>
      </c>
      <c r="I3775" s="1">
        <v>0</v>
      </c>
      <c r="J3775" s="26">
        <v>45595</v>
      </c>
      <c r="K3775" s="22">
        <v>84000</v>
      </c>
      <c r="L3775" s="18">
        <v>89.84</v>
      </c>
      <c r="M3775" s="22">
        <v>53550</v>
      </c>
      <c r="N3775" s="22">
        <v>30450</v>
      </c>
      <c r="O3775" s="18">
        <v>32.57</v>
      </c>
      <c r="P3775" s="52">
        <f>IF(COUNTIF(TblPurchases[BatchID],TblOutcomes[[#This Row],[BatchID]])&lt;&gt;1,"n.a.",TblOutcomes[[#This Row],[Qty Wasted]]*SUMIFS(TblPurchases[Unit Cost (CLP)],TblPurchases[BatchID],TblOutcomes[[#This Row],[BatchID]]))</f>
        <v>0</v>
      </c>
      <c r="Q3775" s="51">
        <f>IF(COUNTIF(TblPurchases[BatchID],TblOutcomes[[#This Row],[BatchID]])&lt;&gt;1,"n.a.",SUMIFS(TblPurchases[Purchase Date],TblPurchases[BatchID],TblOutcomes[[#This Row],[BatchID]]))</f>
        <v>45571</v>
      </c>
    </row>
    <row r="3776" spans="2:17" x14ac:dyDescent="0.25">
      <c r="B3776" s="2" t="s">
        <v>4581</v>
      </c>
      <c r="C3776" s="2" t="s">
        <v>402</v>
      </c>
      <c r="D3776" s="2" t="s">
        <v>377</v>
      </c>
      <c r="E3776" s="2" t="s">
        <v>4647</v>
      </c>
      <c r="F3776" s="2">
        <v>19</v>
      </c>
      <c r="G3776" s="2">
        <v>19</v>
      </c>
      <c r="H3776" s="2">
        <v>0</v>
      </c>
      <c r="I3776" s="1">
        <v>0</v>
      </c>
      <c r="J3776" s="26">
        <v>45665</v>
      </c>
      <c r="K3776" s="22">
        <v>76000</v>
      </c>
      <c r="L3776" s="18">
        <v>81.28</v>
      </c>
      <c r="M3776" s="22">
        <v>48450</v>
      </c>
      <c r="N3776" s="22">
        <v>27550</v>
      </c>
      <c r="O3776" s="18">
        <v>29.47</v>
      </c>
      <c r="P3776" s="52">
        <f>IF(COUNTIF(TblPurchases[BatchID],TblOutcomes[[#This Row],[BatchID]])&lt;&gt;1,"n.a.",TblOutcomes[[#This Row],[Qty Wasted]]*SUMIFS(TblPurchases[Unit Cost (CLP)],TblPurchases[BatchID],TblOutcomes[[#This Row],[BatchID]]))</f>
        <v>0</v>
      </c>
      <c r="Q3776" s="51">
        <f>IF(COUNTIF(TblPurchases[BatchID],TblOutcomes[[#This Row],[BatchID]])&lt;&gt;1,"n.a.",SUMIFS(TblPurchases[Purchase Date],TblPurchases[BatchID],TblOutcomes[[#This Row],[BatchID]]))</f>
        <v>45612</v>
      </c>
    </row>
    <row r="3777" spans="2:17" x14ac:dyDescent="0.25">
      <c r="B3777" s="2" t="s">
        <v>4582</v>
      </c>
      <c r="C3777" s="2" t="s">
        <v>402</v>
      </c>
      <c r="D3777" s="2" t="s">
        <v>377</v>
      </c>
      <c r="E3777" s="2" t="s">
        <v>4647</v>
      </c>
      <c r="F3777" s="2">
        <v>19</v>
      </c>
      <c r="G3777" s="2">
        <v>19</v>
      </c>
      <c r="H3777" s="2">
        <v>0</v>
      </c>
      <c r="I3777" s="1">
        <v>0</v>
      </c>
      <c r="J3777" s="26">
        <v>45704</v>
      </c>
      <c r="K3777" s="22">
        <v>76000</v>
      </c>
      <c r="L3777" s="18">
        <v>81.28</v>
      </c>
      <c r="M3777" s="22">
        <v>48450</v>
      </c>
      <c r="N3777" s="22">
        <v>27550</v>
      </c>
      <c r="O3777" s="18">
        <v>29.47</v>
      </c>
      <c r="P3777" s="52">
        <f>IF(COUNTIF(TblPurchases[BatchID],TblOutcomes[[#This Row],[BatchID]])&lt;&gt;1,"n.a.",TblOutcomes[[#This Row],[Qty Wasted]]*SUMIFS(TblPurchases[Unit Cost (CLP)],TblPurchases[BatchID],TblOutcomes[[#This Row],[BatchID]]))</f>
        <v>0</v>
      </c>
      <c r="Q3777" s="51">
        <f>IF(COUNTIF(TblPurchases[BatchID],TblOutcomes[[#This Row],[BatchID]])&lt;&gt;1,"n.a.",SUMIFS(TblPurchases[Purchase Date],TblPurchases[BatchID],TblOutcomes[[#This Row],[BatchID]]))</f>
        <v>45667</v>
      </c>
    </row>
    <row r="3778" spans="2:17" x14ac:dyDescent="0.25">
      <c r="B3778" s="2" t="s">
        <v>4583</v>
      </c>
      <c r="C3778" s="2" t="s">
        <v>402</v>
      </c>
      <c r="D3778" s="2" t="s">
        <v>377</v>
      </c>
      <c r="E3778" s="2" t="s">
        <v>4647</v>
      </c>
      <c r="F3778" s="2">
        <v>22</v>
      </c>
      <c r="G3778" s="2">
        <v>22</v>
      </c>
      <c r="H3778" s="2">
        <v>0</v>
      </c>
      <c r="I3778" s="1">
        <v>0</v>
      </c>
      <c r="J3778" s="26">
        <v>49364</v>
      </c>
      <c r="K3778" s="22">
        <v>88000</v>
      </c>
      <c r="L3778" s="18">
        <v>94.12</v>
      </c>
      <c r="M3778" s="22">
        <v>56100</v>
      </c>
      <c r="N3778" s="22">
        <v>31900</v>
      </c>
      <c r="O3778" s="18">
        <v>34.119999999999997</v>
      </c>
      <c r="P3778" s="52">
        <f>IF(COUNTIF(TblPurchases[BatchID],TblOutcomes[[#This Row],[BatchID]])&lt;&gt;1,"n.a.",TblOutcomes[[#This Row],[Qty Wasted]]*SUMIFS(TblPurchases[Unit Cost (CLP)],TblPurchases[BatchID],TblOutcomes[[#This Row],[BatchID]]))</f>
        <v>0</v>
      </c>
      <c r="Q3778" s="51">
        <f>IF(COUNTIF(TblPurchases[BatchID],TblOutcomes[[#This Row],[BatchID]])&lt;&gt;1,"n.a.",SUMIFS(TblPurchases[Purchase Date],TblPurchases[BatchID],TblOutcomes[[#This Row],[BatchID]]))</f>
        <v>45714</v>
      </c>
    </row>
    <row r="3779" spans="2:17" x14ac:dyDescent="0.25">
      <c r="B3779" s="2" t="s">
        <v>4584</v>
      </c>
      <c r="C3779" s="2" t="s">
        <v>402</v>
      </c>
      <c r="D3779" s="2" t="s">
        <v>377</v>
      </c>
      <c r="E3779" s="2" t="s">
        <v>4647</v>
      </c>
      <c r="F3779" s="2">
        <v>23</v>
      </c>
      <c r="G3779" s="2">
        <v>23</v>
      </c>
      <c r="H3779" s="2">
        <v>0</v>
      </c>
      <c r="I3779" s="1">
        <v>0</v>
      </c>
      <c r="J3779" s="26">
        <v>45828</v>
      </c>
      <c r="K3779" s="22">
        <v>92000</v>
      </c>
      <c r="L3779" s="18">
        <v>98.4</v>
      </c>
      <c r="M3779" s="22">
        <v>60950</v>
      </c>
      <c r="N3779" s="22">
        <v>31050</v>
      </c>
      <c r="O3779" s="18">
        <v>33.21</v>
      </c>
      <c r="P3779" s="52">
        <f>IF(COUNTIF(TblPurchases[BatchID],TblOutcomes[[#This Row],[BatchID]])&lt;&gt;1,"n.a.",TblOutcomes[[#This Row],[Qty Wasted]]*SUMIFS(TblPurchases[Unit Cost (CLP)],TblPurchases[BatchID],TblOutcomes[[#This Row],[BatchID]]))</f>
        <v>0</v>
      </c>
      <c r="Q3779" s="51">
        <f>IF(COUNTIF(TblPurchases[BatchID],TblOutcomes[[#This Row],[BatchID]])&lt;&gt;1,"n.a.",SUMIFS(TblPurchases[Purchase Date],TblPurchases[BatchID],TblOutcomes[[#This Row],[BatchID]]))</f>
        <v>45774</v>
      </c>
    </row>
    <row r="3780" spans="2:17" x14ac:dyDescent="0.25">
      <c r="B3780" s="2" t="s">
        <v>4585</v>
      </c>
      <c r="C3780" s="2" t="s">
        <v>402</v>
      </c>
      <c r="D3780" s="2" t="s">
        <v>377</v>
      </c>
      <c r="E3780" s="2" t="s">
        <v>4647</v>
      </c>
      <c r="F3780" s="2">
        <v>21</v>
      </c>
      <c r="G3780" s="2">
        <v>21</v>
      </c>
      <c r="H3780" s="2">
        <v>0</v>
      </c>
      <c r="I3780" s="1">
        <v>0</v>
      </c>
      <c r="J3780" s="26">
        <v>45868</v>
      </c>
      <c r="K3780" s="22">
        <v>84000</v>
      </c>
      <c r="L3780" s="18">
        <v>89.84</v>
      </c>
      <c r="M3780" s="22">
        <v>53550</v>
      </c>
      <c r="N3780" s="22">
        <v>30450</v>
      </c>
      <c r="O3780" s="18">
        <v>32.57</v>
      </c>
      <c r="P3780" s="52">
        <f>IF(COUNTIF(TblPurchases[BatchID],TblOutcomes[[#This Row],[BatchID]])&lt;&gt;1,"n.a.",TblOutcomes[[#This Row],[Qty Wasted]]*SUMIFS(TblPurchases[Unit Cost (CLP)],TblPurchases[BatchID],TblOutcomes[[#This Row],[BatchID]]))</f>
        <v>0</v>
      </c>
      <c r="Q3780" s="51">
        <f>IF(COUNTIF(TblPurchases[BatchID],TblOutcomes[[#This Row],[BatchID]])&lt;&gt;1,"n.a.",SUMIFS(TblPurchases[Purchase Date],TblPurchases[BatchID],TblOutcomes[[#This Row],[BatchID]]))</f>
        <v>45830</v>
      </c>
    </row>
    <row r="3781" spans="2:17" x14ac:dyDescent="0.25">
      <c r="B3781" s="2" t="s">
        <v>4586</v>
      </c>
      <c r="C3781" s="2" t="s">
        <v>404</v>
      </c>
      <c r="D3781" s="2" t="s">
        <v>377</v>
      </c>
      <c r="E3781" s="2" t="s">
        <v>4647</v>
      </c>
      <c r="F3781" s="2">
        <v>21</v>
      </c>
      <c r="G3781" s="2">
        <v>21</v>
      </c>
      <c r="H3781" s="2">
        <v>0</v>
      </c>
      <c r="I3781" s="1">
        <v>0</v>
      </c>
      <c r="J3781" s="26">
        <v>48806</v>
      </c>
      <c r="K3781" s="22">
        <v>105000</v>
      </c>
      <c r="L3781" s="18">
        <v>112.3</v>
      </c>
      <c r="M3781" s="22">
        <v>69300</v>
      </c>
      <c r="N3781" s="22">
        <v>35700</v>
      </c>
      <c r="O3781" s="18">
        <v>38.18</v>
      </c>
      <c r="P3781" s="52">
        <f>IF(COUNTIF(TblPurchases[BatchID],TblOutcomes[[#This Row],[BatchID]])&lt;&gt;1,"n.a.",TblOutcomes[[#This Row],[Qty Wasted]]*SUMIFS(TblPurchases[Unit Cost (CLP)],TblPurchases[BatchID],TblOutcomes[[#This Row],[BatchID]]))</f>
        <v>0</v>
      </c>
      <c r="Q3781" s="51">
        <f>IF(COUNTIF(TblPurchases[BatchID],TblOutcomes[[#This Row],[BatchID]])&lt;&gt;1,"n.a.",SUMIFS(TblPurchases[Purchase Date],TblPurchases[BatchID],TblOutcomes[[#This Row],[BatchID]]))</f>
        <v>45156</v>
      </c>
    </row>
    <row r="3782" spans="2:17" x14ac:dyDescent="0.25">
      <c r="B3782" s="2" t="s">
        <v>4587</v>
      </c>
      <c r="C3782" s="2" t="s">
        <v>404</v>
      </c>
      <c r="D3782" s="2" t="s">
        <v>377</v>
      </c>
      <c r="E3782" s="2" t="s">
        <v>4647</v>
      </c>
      <c r="F3782" s="2">
        <v>20</v>
      </c>
      <c r="G3782" s="2">
        <v>20</v>
      </c>
      <c r="H3782" s="2">
        <v>0</v>
      </c>
      <c r="I3782" s="1">
        <v>0</v>
      </c>
      <c r="J3782" s="26">
        <v>45267</v>
      </c>
      <c r="K3782" s="22">
        <v>100000</v>
      </c>
      <c r="L3782" s="18">
        <v>106.95</v>
      </c>
      <c r="M3782" s="22">
        <v>66000</v>
      </c>
      <c r="N3782" s="22">
        <v>34000</v>
      </c>
      <c r="O3782" s="18">
        <v>36.36</v>
      </c>
      <c r="P3782" s="52">
        <f>IF(COUNTIF(TblPurchases[BatchID],TblOutcomes[[#This Row],[BatchID]])&lt;&gt;1,"n.a.",TblOutcomes[[#This Row],[Qty Wasted]]*SUMIFS(TblPurchases[Unit Cost (CLP)],TblPurchases[BatchID],TblOutcomes[[#This Row],[BatchID]]))</f>
        <v>0</v>
      </c>
      <c r="Q3782" s="51">
        <f>IF(COUNTIF(TblPurchases[BatchID],TblOutcomes[[#This Row],[BatchID]])&lt;&gt;1,"n.a.",SUMIFS(TblPurchases[Purchase Date],TblPurchases[BatchID],TblOutcomes[[#This Row],[BatchID]]))</f>
        <v>45219</v>
      </c>
    </row>
    <row r="3783" spans="2:17" x14ac:dyDescent="0.25">
      <c r="B3783" s="2" t="s">
        <v>4588</v>
      </c>
      <c r="C3783" s="2" t="s">
        <v>404</v>
      </c>
      <c r="D3783" s="2" t="s">
        <v>377</v>
      </c>
      <c r="E3783" s="2" t="s">
        <v>4647</v>
      </c>
      <c r="F3783" s="2">
        <v>25</v>
      </c>
      <c r="G3783" s="2">
        <v>25</v>
      </c>
      <c r="H3783" s="2">
        <v>0</v>
      </c>
      <c r="I3783" s="1">
        <v>0</v>
      </c>
      <c r="J3783" s="26">
        <v>48939</v>
      </c>
      <c r="K3783" s="22">
        <v>125000</v>
      </c>
      <c r="L3783" s="18">
        <v>133.69</v>
      </c>
      <c r="M3783" s="22">
        <v>82500</v>
      </c>
      <c r="N3783" s="22">
        <v>42500</v>
      </c>
      <c r="O3783" s="18">
        <v>45.45</v>
      </c>
      <c r="P3783" s="52">
        <f>IF(COUNTIF(TblPurchases[BatchID],TblOutcomes[[#This Row],[BatchID]])&lt;&gt;1,"n.a.",TblOutcomes[[#This Row],[Qty Wasted]]*SUMIFS(TblPurchases[Unit Cost (CLP)],TblPurchases[BatchID],TblOutcomes[[#This Row],[BatchID]]))</f>
        <v>0</v>
      </c>
      <c r="Q3783" s="51">
        <f>IF(COUNTIF(TblPurchases[BatchID],TblOutcomes[[#This Row],[BatchID]])&lt;&gt;1,"n.a.",SUMIFS(TblPurchases[Purchase Date],TblPurchases[BatchID],TblOutcomes[[#This Row],[BatchID]]))</f>
        <v>45289</v>
      </c>
    </row>
    <row r="3784" spans="2:17" x14ac:dyDescent="0.25">
      <c r="B3784" s="2" t="s">
        <v>4589</v>
      </c>
      <c r="C3784" s="2" t="s">
        <v>404</v>
      </c>
      <c r="D3784" s="2" t="s">
        <v>377</v>
      </c>
      <c r="E3784" s="2" t="s">
        <v>4647</v>
      </c>
      <c r="F3784" s="2">
        <v>19</v>
      </c>
      <c r="G3784" s="2">
        <v>19</v>
      </c>
      <c r="H3784" s="2">
        <v>0</v>
      </c>
      <c r="I3784" s="1">
        <v>0</v>
      </c>
      <c r="J3784" s="26">
        <v>45393</v>
      </c>
      <c r="K3784" s="22">
        <v>95000</v>
      </c>
      <c r="L3784" s="18">
        <v>101.6</v>
      </c>
      <c r="M3784" s="22">
        <v>62700</v>
      </c>
      <c r="N3784" s="22">
        <v>32300</v>
      </c>
      <c r="O3784" s="18">
        <v>34.549999999999997</v>
      </c>
      <c r="P3784" s="52">
        <f>IF(COUNTIF(TblPurchases[BatchID],TblOutcomes[[#This Row],[BatchID]])&lt;&gt;1,"n.a.",TblOutcomes[[#This Row],[Qty Wasted]]*SUMIFS(TblPurchases[Unit Cost (CLP)],TblPurchases[BatchID],TblOutcomes[[#This Row],[BatchID]]))</f>
        <v>0</v>
      </c>
      <c r="Q3784" s="51">
        <f>IF(COUNTIF(TblPurchases[BatchID],TblOutcomes[[#This Row],[BatchID]])&lt;&gt;1,"n.a.",SUMIFS(TblPurchases[Purchase Date],TblPurchases[BatchID],TblOutcomes[[#This Row],[BatchID]]))</f>
        <v>45355</v>
      </c>
    </row>
    <row r="3785" spans="2:17" x14ac:dyDescent="0.25">
      <c r="B3785" s="2" t="s">
        <v>4590</v>
      </c>
      <c r="C3785" s="2" t="s">
        <v>404</v>
      </c>
      <c r="D3785" s="2" t="s">
        <v>377</v>
      </c>
      <c r="E3785" s="2" t="s">
        <v>4647</v>
      </c>
      <c r="F3785" s="2">
        <v>18</v>
      </c>
      <c r="G3785" s="2">
        <v>18</v>
      </c>
      <c r="H3785" s="2">
        <v>0</v>
      </c>
      <c r="I3785" s="1">
        <v>0</v>
      </c>
      <c r="J3785" s="26">
        <v>45476</v>
      </c>
      <c r="K3785" s="22">
        <v>90000</v>
      </c>
      <c r="L3785" s="18">
        <v>96.26</v>
      </c>
      <c r="M3785" s="22">
        <v>59400</v>
      </c>
      <c r="N3785" s="22">
        <v>30600</v>
      </c>
      <c r="O3785" s="18">
        <v>32.729999999999997</v>
      </c>
      <c r="P3785" s="52">
        <f>IF(COUNTIF(TblPurchases[BatchID],TblOutcomes[[#This Row],[BatchID]])&lt;&gt;1,"n.a.",TblOutcomes[[#This Row],[Qty Wasted]]*SUMIFS(TblPurchases[Unit Cost (CLP)],TblPurchases[BatchID],TblOutcomes[[#This Row],[BatchID]]))</f>
        <v>0</v>
      </c>
      <c r="Q3785" s="51">
        <f>IF(COUNTIF(TblPurchases[BatchID],TblOutcomes[[#This Row],[BatchID]])&lt;&gt;1,"n.a.",SUMIFS(TblPurchases[Purchase Date],TblPurchases[BatchID],TblOutcomes[[#This Row],[BatchID]]))</f>
        <v>45421</v>
      </c>
    </row>
    <row r="3786" spans="2:17" x14ac:dyDescent="0.25">
      <c r="B3786" s="2" t="s">
        <v>4591</v>
      </c>
      <c r="C3786" s="2" t="s">
        <v>404</v>
      </c>
      <c r="D3786" s="2" t="s">
        <v>377</v>
      </c>
      <c r="E3786" s="2" t="s">
        <v>4647</v>
      </c>
      <c r="F3786" s="2">
        <v>18</v>
      </c>
      <c r="G3786" s="2">
        <v>18</v>
      </c>
      <c r="H3786" s="2">
        <v>0</v>
      </c>
      <c r="I3786" s="1">
        <v>0</v>
      </c>
      <c r="J3786" s="26">
        <v>45536</v>
      </c>
      <c r="K3786" s="22">
        <v>90000</v>
      </c>
      <c r="L3786" s="18">
        <v>96.26</v>
      </c>
      <c r="M3786" s="22">
        <v>59400</v>
      </c>
      <c r="N3786" s="22">
        <v>30600</v>
      </c>
      <c r="O3786" s="18">
        <v>32.729999999999997</v>
      </c>
      <c r="P3786" s="52">
        <f>IF(COUNTIF(TblPurchases[BatchID],TblOutcomes[[#This Row],[BatchID]])&lt;&gt;1,"n.a.",TblOutcomes[[#This Row],[Qty Wasted]]*SUMIFS(TblPurchases[Unit Cost (CLP)],TblPurchases[BatchID],TblOutcomes[[#This Row],[BatchID]]))</f>
        <v>0</v>
      </c>
      <c r="Q3786" s="51">
        <f>IF(COUNTIF(TblPurchases[BatchID],TblOutcomes[[#This Row],[BatchID]])&lt;&gt;1,"n.a.",SUMIFS(TblPurchases[Purchase Date],TblPurchases[BatchID],TblOutcomes[[#This Row],[BatchID]]))</f>
        <v>45479</v>
      </c>
    </row>
    <row r="3787" spans="2:17" x14ac:dyDescent="0.25">
      <c r="B3787" s="2" t="s">
        <v>4592</v>
      </c>
      <c r="C3787" s="2" t="s">
        <v>404</v>
      </c>
      <c r="D3787" s="2" t="s">
        <v>377</v>
      </c>
      <c r="E3787" s="2" t="s">
        <v>4647</v>
      </c>
      <c r="F3787" s="2">
        <v>19</v>
      </c>
      <c r="G3787" s="2">
        <v>19</v>
      </c>
      <c r="H3787" s="2">
        <v>0</v>
      </c>
      <c r="I3787" s="1">
        <v>0</v>
      </c>
      <c r="J3787" s="26">
        <v>45549</v>
      </c>
      <c r="K3787" s="22">
        <v>95000</v>
      </c>
      <c r="L3787" s="18">
        <v>101.6</v>
      </c>
      <c r="M3787" s="22">
        <v>62700</v>
      </c>
      <c r="N3787" s="22">
        <v>32300</v>
      </c>
      <c r="O3787" s="18">
        <v>34.549999999999997</v>
      </c>
      <c r="P3787" s="52">
        <f>IF(COUNTIF(TblPurchases[BatchID],TblOutcomes[[#This Row],[BatchID]])&lt;&gt;1,"n.a.",TblOutcomes[[#This Row],[Qty Wasted]]*SUMIFS(TblPurchases[Unit Cost (CLP)],TblPurchases[BatchID],TblOutcomes[[#This Row],[BatchID]]))</f>
        <v>0</v>
      </c>
      <c r="Q3787" s="51">
        <f>IF(COUNTIF(TblPurchases[BatchID],TblOutcomes[[#This Row],[BatchID]])&lt;&gt;1,"n.a.",SUMIFS(TblPurchases[Purchase Date],TblPurchases[BatchID],TblOutcomes[[#This Row],[BatchID]]))</f>
        <v>45518</v>
      </c>
    </row>
    <row r="3788" spans="2:17" x14ac:dyDescent="0.25">
      <c r="B3788" s="2" t="s">
        <v>4593</v>
      </c>
      <c r="C3788" s="2" t="s">
        <v>404</v>
      </c>
      <c r="D3788" s="2" t="s">
        <v>377</v>
      </c>
      <c r="E3788" s="2" t="s">
        <v>4647</v>
      </c>
      <c r="F3788" s="2">
        <v>23</v>
      </c>
      <c r="G3788" s="2">
        <v>23</v>
      </c>
      <c r="H3788" s="2">
        <v>0</v>
      </c>
      <c r="I3788" s="1">
        <v>0</v>
      </c>
      <c r="J3788" s="26">
        <v>45648</v>
      </c>
      <c r="K3788" s="22">
        <v>115000</v>
      </c>
      <c r="L3788" s="18">
        <v>122.99</v>
      </c>
      <c r="M3788" s="22">
        <v>75900</v>
      </c>
      <c r="N3788" s="22">
        <v>39100</v>
      </c>
      <c r="O3788" s="18">
        <v>41.82</v>
      </c>
      <c r="P3788" s="52">
        <f>IF(COUNTIF(TblPurchases[BatchID],TblOutcomes[[#This Row],[BatchID]])&lt;&gt;1,"n.a.",TblOutcomes[[#This Row],[Qty Wasted]]*SUMIFS(TblPurchases[Unit Cost (CLP)],TblPurchases[BatchID],TblOutcomes[[#This Row],[BatchID]]))</f>
        <v>0</v>
      </c>
      <c r="Q3788" s="51">
        <f>IF(COUNTIF(TblPurchases[BatchID],TblOutcomes[[#This Row],[BatchID]])&lt;&gt;1,"n.a.",SUMIFS(TblPurchases[Purchase Date],TblPurchases[BatchID],TblOutcomes[[#This Row],[BatchID]]))</f>
        <v>45572</v>
      </c>
    </row>
    <row r="3789" spans="2:17" x14ac:dyDescent="0.25">
      <c r="B3789" s="2" t="s">
        <v>4594</v>
      </c>
      <c r="C3789" s="2" t="s">
        <v>404</v>
      </c>
      <c r="D3789" s="2" t="s">
        <v>377</v>
      </c>
      <c r="E3789" s="2" t="s">
        <v>4647</v>
      </c>
      <c r="F3789" s="2">
        <v>22</v>
      </c>
      <c r="G3789" s="2">
        <v>22</v>
      </c>
      <c r="H3789" s="2">
        <v>0</v>
      </c>
      <c r="I3789" s="1">
        <v>0</v>
      </c>
      <c r="J3789" s="26">
        <v>45684</v>
      </c>
      <c r="K3789" s="22">
        <v>110000</v>
      </c>
      <c r="L3789" s="18">
        <v>117.65</v>
      </c>
      <c r="M3789" s="22">
        <v>72600</v>
      </c>
      <c r="N3789" s="22">
        <v>37400</v>
      </c>
      <c r="O3789" s="18">
        <v>40</v>
      </c>
      <c r="P3789" s="52">
        <f>IF(COUNTIF(TblPurchases[BatchID],TblOutcomes[[#This Row],[BatchID]])&lt;&gt;1,"n.a.",TblOutcomes[[#This Row],[Qty Wasted]]*SUMIFS(TblPurchases[Unit Cost (CLP)],TblPurchases[BatchID],TblOutcomes[[#This Row],[BatchID]]))</f>
        <v>0</v>
      </c>
      <c r="Q3789" s="51">
        <f>IF(COUNTIF(TblPurchases[BatchID],TblOutcomes[[#This Row],[BatchID]])&lt;&gt;1,"n.a.",SUMIFS(TblPurchases[Purchase Date],TblPurchases[BatchID],TblOutcomes[[#This Row],[BatchID]]))</f>
        <v>45614</v>
      </c>
    </row>
    <row r="3790" spans="2:17" x14ac:dyDescent="0.25">
      <c r="B3790" s="2" t="s">
        <v>4595</v>
      </c>
      <c r="C3790" s="2" t="s">
        <v>404</v>
      </c>
      <c r="D3790" s="2" t="s">
        <v>377</v>
      </c>
      <c r="E3790" s="2" t="s">
        <v>4647</v>
      </c>
      <c r="F3790" s="2">
        <v>21</v>
      </c>
      <c r="G3790" s="2">
        <v>21</v>
      </c>
      <c r="H3790" s="2">
        <v>0</v>
      </c>
      <c r="I3790" s="1">
        <v>0</v>
      </c>
      <c r="J3790" s="26">
        <v>45715</v>
      </c>
      <c r="K3790" s="22">
        <v>105000</v>
      </c>
      <c r="L3790" s="18">
        <v>112.3</v>
      </c>
      <c r="M3790" s="22">
        <v>69300</v>
      </c>
      <c r="N3790" s="22">
        <v>35700</v>
      </c>
      <c r="O3790" s="18">
        <v>38.18</v>
      </c>
      <c r="P3790" s="52">
        <f>IF(COUNTIF(TblPurchases[BatchID],TblOutcomes[[#This Row],[BatchID]])&lt;&gt;1,"n.a.",TblOutcomes[[#This Row],[Qty Wasted]]*SUMIFS(TblPurchases[Unit Cost (CLP)],TblPurchases[BatchID],TblOutcomes[[#This Row],[BatchID]]))</f>
        <v>0</v>
      </c>
      <c r="Q3790" s="51">
        <f>IF(COUNTIF(TblPurchases[BatchID],TblOutcomes[[#This Row],[BatchID]])&lt;&gt;1,"n.a.",SUMIFS(TblPurchases[Purchase Date],TblPurchases[BatchID],TblOutcomes[[#This Row],[BatchID]]))</f>
        <v>45684</v>
      </c>
    </row>
    <row r="3791" spans="2:17" x14ac:dyDescent="0.25">
      <c r="B3791" s="2" t="s">
        <v>4596</v>
      </c>
      <c r="C3791" s="2" t="s">
        <v>404</v>
      </c>
      <c r="D3791" s="2" t="s">
        <v>377</v>
      </c>
      <c r="E3791" s="2" t="s">
        <v>4647</v>
      </c>
      <c r="F3791" s="2">
        <v>22</v>
      </c>
      <c r="G3791" s="2">
        <v>22</v>
      </c>
      <c r="H3791" s="2">
        <v>0</v>
      </c>
      <c r="I3791" s="1">
        <v>0</v>
      </c>
      <c r="J3791" s="26">
        <v>49399</v>
      </c>
      <c r="K3791" s="22">
        <v>110000</v>
      </c>
      <c r="L3791" s="18">
        <v>117.65</v>
      </c>
      <c r="M3791" s="22">
        <v>72600</v>
      </c>
      <c r="N3791" s="22">
        <v>37400</v>
      </c>
      <c r="O3791" s="18">
        <v>40</v>
      </c>
      <c r="P3791" s="52">
        <f>IF(COUNTIF(TblPurchases[BatchID],TblOutcomes[[#This Row],[BatchID]])&lt;&gt;1,"n.a.",TblOutcomes[[#This Row],[Qty Wasted]]*SUMIFS(TblPurchases[Unit Cost (CLP)],TblPurchases[BatchID],TblOutcomes[[#This Row],[BatchID]]))</f>
        <v>0</v>
      </c>
      <c r="Q3791" s="51">
        <f>IF(COUNTIF(TblPurchases[BatchID],TblOutcomes[[#This Row],[BatchID]])&lt;&gt;1,"n.a.",SUMIFS(TblPurchases[Purchase Date],TblPurchases[BatchID],TblOutcomes[[#This Row],[BatchID]]))</f>
        <v>45749</v>
      </c>
    </row>
    <row r="3792" spans="2:17" x14ac:dyDescent="0.25">
      <c r="B3792" s="2" t="s">
        <v>4597</v>
      </c>
      <c r="C3792" s="2" t="s">
        <v>404</v>
      </c>
      <c r="D3792" s="2" t="s">
        <v>377</v>
      </c>
      <c r="E3792" s="2" t="s">
        <v>4647</v>
      </c>
      <c r="F3792" s="2">
        <v>19</v>
      </c>
      <c r="G3792" s="2">
        <v>19</v>
      </c>
      <c r="H3792" s="2">
        <v>0</v>
      </c>
      <c r="I3792" s="1">
        <v>0</v>
      </c>
      <c r="J3792" s="26">
        <v>45847</v>
      </c>
      <c r="K3792" s="22">
        <v>95000</v>
      </c>
      <c r="L3792" s="18">
        <v>101.6</v>
      </c>
      <c r="M3792" s="22">
        <v>62700</v>
      </c>
      <c r="N3792" s="22">
        <v>32300</v>
      </c>
      <c r="O3792" s="18">
        <v>34.549999999999997</v>
      </c>
      <c r="P3792" s="52">
        <f>IF(COUNTIF(TblPurchases[BatchID],TblOutcomes[[#This Row],[BatchID]])&lt;&gt;1,"n.a.",TblOutcomes[[#This Row],[Qty Wasted]]*SUMIFS(TblPurchases[Unit Cost (CLP)],TblPurchases[BatchID],TblOutcomes[[#This Row],[BatchID]]))</f>
        <v>0</v>
      </c>
      <c r="Q3792" s="51">
        <f>IF(COUNTIF(TblPurchases[BatchID],TblOutcomes[[#This Row],[BatchID]])&lt;&gt;1,"n.a.",SUMIFS(TblPurchases[Purchase Date],TblPurchases[BatchID],TblOutcomes[[#This Row],[BatchID]]))</f>
        <v>45810</v>
      </c>
    </row>
    <row r="3793" spans="2:17" x14ac:dyDescent="0.25">
      <c r="B3793" s="2" t="s">
        <v>4598</v>
      </c>
      <c r="C3793" s="2" t="s">
        <v>406</v>
      </c>
      <c r="D3793" s="2" t="s">
        <v>377</v>
      </c>
      <c r="E3793" s="2" t="s">
        <v>4647</v>
      </c>
      <c r="F3793" s="2">
        <v>18</v>
      </c>
      <c r="G3793" s="2">
        <v>18</v>
      </c>
      <c r="H3793" s="2">
        <v>0</v>
      </c>
      <c r="I3793" s="1">
        <v>0</v>
      </c>
      <c r="J3793" s="26">
        <v>45160</v>
      </c>
      <c r="K3793" s="22">
        <v>45000</v>
      </c>
      <c r="L3793" s="18">
        <v>48.13</v>
      </c>
      <c r="M3793" s="22">
        <v>30600</v>
      </c>
      <c r="N3793" s="22">
        <v>14400</v>
      </c>
      <c r="O3793" s="18">
        <v>15.4</v>
      </c>
      <c r="P3793" s="52">
        <f>IF(COUNTIF(TblPurchases[BatchID],TblOutcomes[[#This Row],[BatchID]])&lt;&gt;1,"n.a.",TblOutcomes[[#This Row],[Qty Wasted]]*SUMIFS(TblPurchases[Unit Cost (CLP)],TblPurchases[BatchID],TblOutcomes[[#This Row],[BatchID]]))</f>
        <v>0</v>
      </c>
      <c r="Q3793" s="51">
        <f>IF(COUNTIF(TblPurchases[BatchID],TblOutcomes[[#This Row],[BatchID]])&lt;&gt;1,"n.a.",SUMIFS(TblPurchases[Purchase Date],TblPurchases[BatchID],TblOutcomes[[#This Row],[BatchID]]))</f>
        <v>45150</v>
      </c>
    </row>
    <row r="3794" spans="2:17" x14ac:dyDescent="0.25">
      <c r="B3794" s="2" t="s">
        <v>4599</v>
      </c>
      <c r="C3794" s="2" t="s">
        <v>406</v>
      </c>
      <c r="D3794" s="2" t="s">
        <v>377</v>
      </c>
      <c r="E3794" s="2" t="s">
        <v>4647</v>
      </c>
      <c r="F3794" s="2">
        <v>23</v>
      </c>
      <c r="G3794" s="2">
        <v>23</v>
      </c>
      <c r="H3794" s="2">
        <v>0</v>
      </c>
      <c r="I3794" s="1">
        <v>0</v>
      </c>
      <c r="J3794" s="26">
        <v>45246</v>
      </c>
      <c r="K3794" s="22">
        <v>57500</v>
      </c>
      <c r="L3794" s="18">
        <v>61.5</v>
      </c>
      <c r="M3794" s="22">
        <v>39100</v>
      </c>
      <c r="N3794" s="22">
        <v>18400</v>
      </c>
      <c r="O3794" s="18">
        <v>19.68</v>
      </c>
      <c r="P3794" s="52">
        <f>IF(COUNTIF(TblPurchases[BatchID],TblOutcomes[[#This Row],[BatchID]])&lt;&gt;1,"n.a.",TblOutcomes[[#This Row],[Qty Wasted]]*SUMIFS(TblPurchases[Unit Cost (CLP)],TblPurchases[BatchID],TblOutcomes[[#This Row],[BatchID]]))</f>
        <v>0</v>
      </c>
      <c r="Q3794" s="51">
        <f>IF(COUNTIF(TblPurchases[BatchID],TblOutcomes[[#This Row],[BatchID]])&lt;&gt;1,"n.a.",SUMIFS(TblPurchases[Purchase Date],TblPurchases[BatchID],TblOutcomes[[#This Row],[BatchID]]))</f>
        <v>45203</v>
      </c>
    </row>
    <row r="3795" spans="2:17" x14ac:dyDescent="0.25">
      <c r="B3795" s="2" t="s">
        <v>4600</v>
      </c>
      <c r="C3795" s="2" t="s">
        <v>406</v>
      </c>
      <c r="D3795" s="2" t="s">
        <v>377</v>
      </c>
      <c r="E3795" s="2" t="s">
        <v>4647</v>
      </c>
      <c r="F3795" s="2">
        <v>22</v>
      </c>
      <c r="G3795" s="2">
        <v>22</v>
      </c>
      <c r="H3795" s="2">
        <v>0</v>
      </c>
      <c r="I3795" s="1">
        <v>0</v>
      </c>
      <c r="J3795" s="26">
        <v>45292</v>
      </c>
      <c r="K3795" s="22">
        <v>55000</v>
      </c>
      <c r="L3795" s="18">
        <v>58.82</v>
      </c>
      <c r="M3795" s="22">
        <v>37400</v>
      </c>
      <c r="N3795" s="22">
        <v>17600</v>
      </c>
      <c r="O3795" s="18">
        <v>18.82</v>
      </c>
      <c r="P3795" s="52">
        <f>IF(COUNTIF(TblPurchases[BatchID],TblOutcomes[[#This Row],[BatchID]])&lt;&gt;1,"n.a.",TblOutcomes[[#This Row],[Qty Wasted]]*SUMIFS(TblPurchases[Unit Cost (CLP)],TblPurchases[BatchID],TblOutcomes[[#This Row],[BatchID]]))</f>
        <v>0</v>
      </c>
      <c r="Q3795" s="51">
        <f>IF(COUNTIF(TblPurchases[BatchID],TblOutcomes[[#This Row],[BatchID]])&lt;&gt;1,"n.a.",SUMIFS(TblPurchases[Purchase Date],TblPurchases[BatchID],TblOutcomes[[#This Row],[BatchID]]))</f>
        <v>45251</v>
      </c>
    </row>
    <row r="3796" spans="2:17" x14ac:dyDescent="0.25">
      <c r="B3796" s="2" t="s">
        <v>4601</v>
      </c>
      <c r="C3796" s="2" t="s">
        <v>406</v>
      </c>
      <c r="D3796" s="2" t="s">
        <v>377</v>
      </c>
      <c r="E3796" s="2" t="s">
        <v>4647</v>
      </c>
      <c r="F3796" s="2">
        <v>22</v>
      </c>
      <c r="G3796" s="2">
        <v>22</v>
      </c>
      <c r="H3796" s="2">
        <v>0</v>
      </c>
      <c r="I3796" s="1">
        <v>0</v>
      </c>
      <c r="J3796" s="26">
        <v>45380</v>
      </c>
      <c r="K3796" s="22">
        <v>55000</v>
      </c>
      <c r="L3796" s="18">
        <v>58.82</v>
      </c>
      <c r="M3796" s="22">
        <v>37400</v>
      </c>
      <c r="N3796" s="22">
        <v>17600</v>
      </c>
      <c r="O3796" s="18">
        <v>18.82</v>
      </c>
      <c r="P3796" s="52">
        <f>IF(COUNTIF(TblPurchases[BatchID],TblOutcomes[[#This Row],[BatchID]])&lt;&gt;1,"n.a.",TblOutcomes[[#This Row],[Qty Wasted]]*SUMIFS(TblPurchases[Unit Cost (CLP)],TblPurchases[BatchID],TblOutcomes[[#This Row],[BatchID]]))</f>
        <v>0</v>
      </c>
      <c r="Q3796" s="51">
        <f>IF(COUNTIF(TblPurchases[BatchID],TblOutcomes[[#This Row],[BatchID]])&lt;&gt;1,"n.a.",SUMIFS(TblPurchases[Purchase Date],TblPurchases[BatchID],TblOutcomes[[#This Row],[BatchID]]))</f>
        <v>45320</v>
      </c>
    </row>
    <row r="3797" spans="2:17" x14ac:dyDescent="0.25">
      <c r="B3797" s="2" t="s">
        <v>4602</v>
      </c>
      <c r="C3797" s="2" t="s">
        <v>406</v>
      </c>
      <c r="D3797" s="2" t="s">
        <v>377</v>
      </c>
      <c r="E3797" s="2" t="s">
        <v>4647</v>
      </c>
      <c r="F3797" s="2">
        <v>22</v>
      </c>
      <c r="G3797" s="2">
        <v>22</v>
      </c>
      <c r="H3797" s="2">
        <v>0</v>
      </c>
      <c r="I3797" s="1">
        <v>0</v>
      </c>
      <c r="J3797" s="26">
        <v>45438</v>
      </c>
      <c r="K3797" s="22">
        <v>55000</v>
      </c>
      <c r="L3797" s="18">
        <v>58.82</v>
      </c>
      <c r="M3797" s="22">
        <v>37400</v>
      </c>
      <c r="N3797" s="22">
        <v>17600</v>
      </c>
      <c r="O3797" s="18">
        <v>18.82</v>
      </c>
      <c r="P3797" s="52">
        <f>IF(COUNTIF(TblPurchases[BatchID],TblOutcomes[[#This Row],[BatchID]])&lt;&gt;1,"n.a.",TblOutcomes[[#This Row],[Qty Wasted]]*SUMIFS(TblPurchases[Unit Cost (CLP)],TblPurchases[BatchID],TblOutcomes[[#This Row],[BatchID]]))</f>
        <v>0</v>
      </c>
      <c r="Q3797" s="51">
        <f>IF(COUNTIF(TblPurchases[BatchID],TblOutcomes[[#This Row],[BatchID]])&lt;&gt;1,"n.a.",SUMIFS(TblPurchases[Purchase Date],TblPurchases[BatchID],TblOutcomes[[#This Row],[BatchID]]))</f>
        <v>45383</v>
      </c>
    </row>
    <row r="3798" spans="2:17" x14ac:dyDescent="0.25">
      <c r="B3798" s="2" t="s">
        <v>4603</v>
      </c>
      <c r="C3798" s="2" t="s">
        <v>406</v>
      </c>
      <c r="D3798" s="2" t="s">
        <v>377</v>
      </c>
      <c r="E3798" s="2" t="s">
        <v>4647</v>
      </c>
      <c r="F3798" s="2">
        <v>22</v>
      </c>
      <c r="G3798" s="2">
        <v>22</v>
      </c>
      <c r="H3798" s="2">
        <v>0</v>
      </c>
      <c r="I3798" s="1">
        <v>0</v>
      </c>
      <c r="J3798" s="26">
        <v>45473</v>
      </c>
      <c r="K3798" s="22">
        <v>55000</v>
      </c>
      <c r="L3798" s="18">
        <v>58.82</v>
      </c>
      <c r="M3798" s="22">
        <v>37400</v>
      </c>
      <c r="N3798" s="22">
        <v>17600</v>
      </c>
      <c r="O3798" s="18">
        <v>18.82</v>
      </c>
      <c r="P3798" s="52">
        <f>IF(COUNTIF(TblPurchases[BatchID],TblOutcomes[[#This Row],[BatchID]])&lt;&gt;1,"n.a.",TblOutcomes[[#This Row],[Qty Wasted]]*SUMIFS(TblPurchases[Unit Cost (CLP)],TblPurchases[BatchID],TblOutcomes[[#This Row],[BatchID]]))</f>
        <v>0</v>
      </c>
      <c r="Q3798" s="51">
        <f>IF(COUNTIF(TblPurchases[BatchID],TblOutcomes[[#This Row],[BatchID]])&lt;&gt;1,"n.a.",SUMIFS(TblPurchases[Purchase Date],TblPurchases[BatchID],TblOutcomes[[#This Row],[BatchID]]))</f>
        <v>45438</v>
      </c>
    </row>
    <row r="3799" spans="2:17" x14ac:dyDescent="0.25">
      <c r="B3799" s="2" t="s">
        <v>4604</v>
      </c>
      <c r="C3799" s="2" t="s">
        <v>406</v>
      </c>
      <c r="D3799" s="2" t="s">
        <v>377</v>
      </c>
      <c r="E3799" s="2" t="s">
        <v>4647</v>
      </c>
      <c r="F3799" s="2">
        <v>21</v>
      </c>
      <c r="G3799" s="2">
        <v>21</v>
      </c>
      <c r="H3799" s="2">
        <v>0</v>
      </c>
      <c r="I3799" s="1">
        <v>0</v>
      </c>
      <c r="J3799" s="26">
        <v>45523</v>
      </c>
      <c r="K3799" s="22">
        <v>52500</v>
      </c>
      <c r="L3799" s="18">
        <v>56.15</v>
      </c>
      <c r="M3799" s="22">
        <v>35700</v>
      </c>
      <c r="N3799" s="22">
        <v>16800</v>
      </c>
      <c r="O3799" s="18">
        <v>17.97</v>
      </c>
      <c r="P3799" s="52">
        <f>IF(COUNTIF(TblPurchases[BatchID],TblOutcomes[[#This Row],[BatchID]])&lt;&gt;1,"n.a.",TblOutcomes[[#This Row],[Qty Wasted]]*SUMIFS(TblPurchases[Unit Cost (CLP)],TblPurchases[BatchID],TblOutcomes[[#This Row],[BatchID]]))</f>
        <v>0</v>
      </c>
      <c r="Q3799" s="51">
        <f>IF(COUNTIF(TblPurchases[BatchID],TblOutcomes[[#This Row],[BatchID]])&lt;&gt;1,"n.a.",SUMIFS(TblPurchases[Purchase Date],TblPurchases[BatchID],TblOutcomes[[#This Row],[BatchID]]))</f>
        <v>45482</v>
      </c>
    </row>
    <row r="3800" spans="2:17" x14ac:dyDescent="0.25">
      <c r="B3800" s="2" t="s">
        <v>4605</v>
      </c>
      <c r="C3800" s="2" t="s">
        <v>406</v>
      </c>
      <c r="D3800" s="2" t="s">
        <v>377</v>
      </c>
      <c r="E3800" s="2" t="s">
        <v>4647</v>
      </c>
      <c r="F3800" s="2">
        <v>22</v>
      </c>
      <c r="G3800" s="2">
        <v>22</v>
      </c>
      <c r="H3800" s="2">
        <v>0</v>
      </c>
      <c r="I3800" s="1">
        <v>0</v>
      </c>
      <c r="J3800" s="26">
        <v>45581</v>
      </c>
      <c r="K3800" s="22">
        <v>55000</v>
      </c>
      <c r="L3800" s="18">
        <v>58.82</v>
      </c>
      <c r="M3800" s="22">
        <v>37400</v>
      </c>
      <c r="N3800" s="22">
        <v>17600</v>
      </c>
      <c r="O3800" s="18">
        <v>18.82</v>
      </c>
      <c r="P3800" s="52">
        <f>IF(COUNTIF(TblPurchases[BatchID],TblOutcomes[[#This Row],[BatchID]])&lt;&gt;1,"n.a.",TblOutcomes[[#This Row],[Qty Wasted]]*SUMIFS(TblPurchases[Unit Cost (CLP)],TblPurchases[BatchID],TblOutcomes[[#This Row],[BatchID]]))</f>
        <v>0</v>
      </c>
      <c r="Q3800" s="51">
        <f>IF(COUNTIF(TblPurchases[BatchID],TblOutcomes[[#This Row],[BatchID]])&lt;&gt;1,"n.a.",SUMIFS(TblPurchases[Purchase Date],TblPurchases[BatchID],TblOutcomes[[#This Row],[BatchID]]))</f>
        <v>45546</v>
      </c>
    </row>
    <row r="3801" spans="2:17" x14ac:dyDescent="0.25">
      <c r="B3801" s="2" t="s">
        <v>4606</v>
      </c>
      <c r="C3801" s="2" t="s">
        <v>406</v>
      </c>
      <c r="D3801" s="2" t="s">
        <v>377</v>
      </c>
      <c r="E3801" s="2" t="s">
        <v>4647</v>
      </c>
      <c r="F3801" s="2">
        <v>18</v>
      </c>
      <c r="G3801" s="2">
        <v>18</v>
      </c>
      <c r="H3801" s="2">
        <v>0</v>
      </c>
      <c r="I3801" s="1">
        <v>0</v>
      </c>
      <c r="J3801" s="26">
        <v>45670</v>
      </c>
      <c r="K3801" s="22">
        <v>45000</v>
      </c>
      <c r="L3801" s="18">
        <v>48.13</v>
      </c>
      <c r="M3801" s="22">
        <v>30600</v>
      </c>
      <c r="N3801" s="22">
        <v>14400</v>
      </c>
      <c r="O3801" s="18">
        <v>15.4</v>
      </c>
      <c r="P3801" s="52">
        <f>IF(COUNTIF(TblPurchases[BatchID],TblOutcomes[[#This Row],[BatchID]])&lt;&gt;1,"n.a.",TblOutcomes[[#This Row],[Qty Wasted]]*SUMIFS(TblPurchases[Unit Cost (CLP)],TblPurchases[BatchID],TblOutcomes[[#This Row],[BatchID]]))</f>
        <v>0</v>
      </c>
      <c r="Q3801" s="51">
        <f>IF(COUNTIF(TblPurchases[BatchID],TblOutcomes[[#This Row],[BatchID]])&lt;&gt;1,"n.a.",SUMIFS(TblPurchases[Purchase Date],TblPurchases[BatchID],TblOutcomes[[#This Row],[BatchID]]))</f>
        <v>45611</v>
      </c>
    </row>
    <row r="3802" spans="2:17" x14ac:dyDescent="0.25">
      <c r="B3802" s="2" t="s">
        <v>4607</v>
      </c>
      <c r="C3802" s="2" t="s">
        <v>406</v>
      </c>
      <c r="D3802" s="2" t="s">
        <v>377</v>
      </c>
      <c r="E3802" s="2" t="s">
        <v>4647</v>
      </c>
      <c r="F3802" s="2">
        <v>25</v>
      </c>
      <c r="G3802" s="2">
        <v>25</v>
      </c>
      <c r="H3802" s="2">
        <v>0</v>
      </c>
      <c r="I3802" s="1">
        <v>0</v>
      </c>
      <c r="J3802" s="26">
        <v>45718</v>
      </c>
      <c r="K3802" s="22">
        <v>62500</v>
      </c>
      <c r="L3802" s="18">
        <v>66.84</v>
      </c>
      <c r="M3802" s="22">
        <v>42500</v>
      </c>
      <c r="N3802" s="22">
        <v>20000</v>
      </c>
      <c r="O3802" s="18">
        <v>21.39</v>
      </c>
      <c r="P3802" s="52">
        <f>IF(COUNTIF(TblPurchases[BatchID],TblOutcomes[[#This Row],[BatchID]])&lt;&gt;1,"n.a.",TblOutcomes[[#This Row],[Qty Wasted]]*SUMIFS(TblPurchases[Unit Cost (CLP)],TblPurchases[BatchID],TblOutcomes[[#This Row],[BatchID]]))</f>
        <v>0</v>
      </c>
      <c r="Q3802" s="51">
        <f>IF(COUNTIF(TblPurchases[BatchID],TblOutcomes[[#This Row],[BatchID]])&lt;&gt;1,"n.a.",SUMIFS(TblPurchases[Purchase Date],TblPurchases[BatchID],TblOutcomes[[#This Row],[BatchID]]))</f>
        <v>45666</v>
      </c>
    </row>
    <row r="3803" spans="2:17" x14ac:dyDescent="0.25">
      <c r="B3803" s="2" t="s">
        <v>4608</v>
      </c>
      <c r="C3803" s="2" t="s">
        <v>406</v>
      </c>
      <c r="D3803" s="2" t="s">
        <v>377</v>
      </c>
      <c r="E3803" s="2" t="s">
        <v>4647</v>
      </c>
      <c r="F3803" s="2">
        <v>21</v>
      </c>
      <c r="G3803" s="2">
        <v>21</v>
      </c>
      <c r="H3803" s="2">
        <v>0</v>
      </c>
      <c r="I3803" s="1">
        <v>0</v>
      </c>
      <c r="J3803" s="26">
        <v>45785</v>
      </c>
      <c r="K3803" s="22">
        <v>52500</v>
      </c>
      <c r="L3803" s="18">
        <v>56.15</v>
      </c>
      <c r="M3803" s="22">
        <v>35700</v>
      </c>
      <c r="N3803" s="22">
        <v>16800</v>
      </c>
      <c r="O3803" s="18">
        <v>17.97</v>
      </c>
      <c r="P3803" s="52">
        <f>IF(COUNTIF(TblPurchases[BatchID],TblOutcomes[[#This Row],[BatchID]])&lt;&gt;1,"n.a.",TblOutcomes[[#This Row],[Qty Wasted]]*SUMIFS(TblPurchases[Unit Cost (CLP)],TblPurchases[BatchID],TblOutcomes[[#This Row],[BatchID]]))</f>
        <v>0</v>
      </c>
      <c r="Q3803" s="51">
        <f>IF(COUNTIF(TblPurchases[BatchID],TblOutcomes[[#This Row],[BatchID]])&lt;&gt;1,"n.a.",SUMIFS(TblPurchases[Purchase Date],TblPurchases[BatchID],TblOutcomes[[#This Row],[BatchID]]))</f>
        <v>45717</v>
      </c>
    </row>
    <row r="3804" spans="2:17" x14ac:dyDescent="0.25">
      <c r="B3804" s="2" t="s">
        <v>4609</v>
      </c>
      <c r="C3804" s="2" t="s">
        <v>406</v>
      </c>
      <c r="D3804" s="2" t="s">
        <v>377</v>
      </c>
      <c r="E3804" s="2" t="s">
        <v>4647</v>
      </c>
      <c r="F3804" s="2">
        <v>24</v>
      </c>
      <c r="G3804" s="2">
        <v>24</v>
      </c>
      <c r="H3804" s="2">
        <v>0</v>
      </c>
      <c r="I3804" s="1">
        <v>0</v>
      </c>
      <c r="J3804" s="26">
        <v>45808</v>
      </c>
      <c r="K3804" s="22">
        <v>60000</v>
      </c>
      <c r="L3804" s="18">
        <v>64.17</v>
      </c>
      <c r="M3804" s="22">
        <v>43200</v>
      </c>
      <c r="N3804" s="22">
        <v>16800</v>
      </c>
      <c r="O3804" s="18">
        <v>17.97</v>
      </c>
      <c r="P3804" s="52">
        <f>IF(COUNTIF(TblPurchases[BatchID],TblOutcomes[[#This Row],[BatchID]])&lt;&gt;1,"n.a.",TblOutcomes[[#This Row],[Qty Wasted]]*SUMIFS(TblPurchases[Unit Cost (CLP)],TblPurchases[BatchID],TblOutcomes[[#This Row],[BatchID]]))</f>
        <v>0</v>
      </c>
      <c r="Q3804" s="51">
        <f>IF(COUNTIF(TblPurchases[BatchID],TblOutcomes[[#This Row],[BatchID]])&lt;&gt;1,"n.a.",SUMIFS(TblPurchases[Purchase Date],TblPurchases[BatchID],TblOutcomes[[#This Row],[BatchID]]))</f>
        <v>45782</v>
      </c>
    </row>
    <row r="3805" spans="2:17" x14ac:dyDescent="0.25">
      <c r="B3805" s="2" t="s">
        <v>4610</v>
      </c>
      <c r="C3805" s="2" t="s">
        <v>406</v>
      </c>
      <c r="D3805" s="2" t="s">
        <v>377</v>
      </c>
      <c r="E3805" s="2" t="s">
        <v>4647</v>
      </c>
      <c r="F3805" s="2">
        <v>24</v>
      </c>
      <c r="G3805" s="2">
        <v>24</v>
      </c>
      <c r="H3805" s="2">
        <v>0</v>
      </c>
      <c r="I3805" s="1">
        <v>0</v>
      </c>
      <c r="J3805" s="26">
        <v>49488</v>
      </c>
      <c r="K3805" s="22">
        <v>60000</v>
      </c>
      <c r="L3805" s="18">
        <v>64.17</v>
      </c>
      <c r="M3805" s="22">
        <v>40800</v>
      </c>
      <c r="N3805" s="22">
        <v>19200</v>
      </c>
      <c r="O3805" s="18">
        <v>20.53</v>
      </c>
      <c r="P3805" s="52">
        <f>IF(COUNTIF(TblPurchases[BatchID],TblOutcomes[[#This Row],[BatchID]])&lt;&gt;1,"n.a.",TblOutcomes[[#This Row],[Qty Wasted]]*SUMIFS(TblPurchases[Unit Cost (CLP)],TblPurchases[BatchID],TblOutcomes[[#This Row],[BatchID]]))</f>
        <v>0</v>
      </c>
      <c r="Q3805" s="51">
        <f>IF(COUNTIF(TblPurchases[BatchID],TblOutcomes[[#This Row],[BatchID]])&lt;&gt;1,"n.a.",SUMIFS(TblPurchases[Purchase Date],TblPurchases[BatchID],TblOutcomes[[#This Row],[BatchID]]))</f>
        <v>45838</v>
      </c>
    </row>
    <row r="3806" spans="2:17" x14ac:dyDescent="0.25">
      <c r="B3806" s="2" t="s">
        <v>4611</v>
      </c>
      <c r="C3806" s="2" t="s">
        <v>409</v>
      </c>
      <c r="D3806" s="2" t="s">
        <v>377</v>
      </c>
      <c r="E3806" s="2" t="s">
        <v>4647</v>
      </c>
      <c r="F3806" s="2">
        <v>18</v>
      </c>
      <c r="G3806" s="2">
        <v>18</v>
      </c>
      <c r="H3806" s="2">
        <v>0</v>
      </c>
      <c r="I3806" s="1">
        <v>0</v>
      </c>
      <c r="J3806" s="26">
        <v>45181</v>
      </c>
      <c r="K3806" s="22">
        <v>63000</v>
      </c>
      <c r="L3806" s="18">
        <v>67.38</v>
      </c>
      <c r="M3806" s="22">
        <v>43200</v>
      </c>
      <c r="N3806" s="22">
        <v>19800</v>
      </c>
      <c r="O3806" s="18">
        <v>21.18</v>
      </c>
      <c r="P3806" s="52">
        <f>IF(COUNTIF(TblPurchases[BatchID],TblOutcomes[[#This Row],[BatchID]])&lt;&gt;1,"n.a.",TblOutcomes[[#This Row],[Qty Wasted]]*SUMIFS(TblPurchases[Unit Cost (CLP)],TblPurchases[BatchID],TblOutcomes[[#This Row],[BatchID]]))</f>
        <v>0</v>
      </c>
      <c r="Q3806" s="51">
        <f>IF(COUNTIF(TblPurchases[BatchID],TblOutcomes[[#This Row],[BatchID]])&lt;&gt;1,"n.a.",SUMIFS(TblPurchases[Purchase Date],TblPurchases[BatchID],TblOutcomes[[#This Row],[BatchID]]))</f>
        <v>45132</v>
      </c>
    </row>
    <row r="3807" spans="2:17" x14ac:dyDescent="0.25">
      <c r="B3807" s="2" t="s">
        <v>4612</v>
      </c>
      <c r="C3807" s="2" t="s">
        <v>409</v>
      </c>
      <c r="D3807" s="2" t="s">
        <v>377</v>
      </c>
      <c r="E3807" s="2" t="s">
        <v>4647</v>
      </c>
      <c r="F3807" s="2">
        <v>28</v>
      </c>
      <c r="G3807" s="2">
        <v>28</v>
      </c>
      <c r="H3807" s="2">
        <v>0</v>
      </c>
      <c r="I3807" s="1">
        <v>0</v>
      </c>
      <c r="J3807" s="26">
        <v>48845</v>
      </c>
      <c r="K3807" s="22">
        <v>98000</v>
      </c>
      <c r="L3807" s="18">
        <v>104.81</v>
      </c>
      <c r="M3807" s="22">
        <v>67200</v>
      </c>
      <c r="N3807" s="22">
        <v>30800</v>
      </c>
      <c r="O3807" s="18">
        <v>32.94</v>
      </c>
      <c r="P3807" s="52">
        <f>IF(COUNTIF(TblPurchases[BatchID],TblOutcomes[[#This Row],[BatchID]])&lt;&gt;1,"n.a.",TblOutcomes[[#This Row],[Qty Wasted]]*SUMIFS(TblPurchases[Unit Cost (CLP)],TblPurchases[BatchID],TblOutcomes[[#This Row],[BatchID]]))</f>
        <v>0</v>
      </c>
      <c r="Q3807" s="51">
        <f>IF(COUNTIF(TblPurchases[BatchID],TblOutcomes[[#This Row],[BatchID]])&lt;&gt;1,"n.a.",SUMIFS(TblPurchases[Purchase Date],TblPurchases[BatchID],TblOutcomes[[#This Row],[BatchID]]))</f>
        <v>45195</v>
      </c>
    </row>
    <row r="3808" spans="2:17" x14ac:dyDescent="0.25">
      <c r="B3808" s="2" t="s">
        <v>4613</v>
      </c>
      <c r="C3808" s="2" t="s">
        <v>409</v>
      </c>
      <c r="D3808" s="2" t="s">
        <v>377</v>
      </c>
      <c r="E3808" s="2" t="s">
        <v>4647</v>
      </c>
      <c r="F3808" s="2">
        <v>17</v>
      </c>
      <c r="G3808" s="2">
        <v>17</v>
      </c>
      <c r="H3808" s="2">
        <v>0</v>
      </c>
      <c r="I3808" s="1">
        <v>0</v>
      </c>
      <c r="J3808" s="26">
        <v>45302</v>
      </c>
      <c r="K3808" s="22">
        <v>59500</v>
      </c>
      <c r="L3808" s="18">
        <v>63.64</v>
      </c>
      <c r="M3808" s="22">
        <v>40800</v>
      </c>
      <c r="N3808" s="22">
        <v>18700</v>
      </c>
      <c r="O3808" s="18">
        <v>20</v>
      </c>
      <c r="P3808" s="52">
        <f>IF(COUNTIF(TblPurchases[BatchID],TblOutcomes[[#This Row],[BatchID]])&lt;&gt;1,"n.a.",TblOutcomes[[#This Row],[Qty Wasted]]*SUMIFS(TblPurchases[Unit Cost (CLP)],TblPurchases[BatchID],TblOutcomes[[#This Row],[BatchID]]))</f>
        <v>0</v>
      </c>
      <c r="Q3808" s="51">
        <f>IF(COUNTIF(TblPurchases[BatchID],TblOutcomes[[#This Row],[BatchID]])&lt;&gt;1,"n.a.",SUMIFS(TblPurchases[Purchase Date],TblPurchases[BatchID],TblOutcomes[[#This Row],[BatchID]]))</f>
        <v>45252</v>
      </c>
    </row>
    <row r="3809" spans="2:17" x14ac:dyDescent="0.25">
      <c r="B3809" s="2" t="s">
        <v>4614</v>
      </c>
      <c r="C3809" s="2" t="s">
        <v>409</v>
      </c>
      <c r="D3809" s="2" t="s">
        <v>377</v>
      </c>
      <c r="E3809" s="2" t="s">
        <v>4647</v>
      </c>
      <c r="F3809" s="2">
        <v>21</v>
      </c>
      <c r="G3809" s="2">
        <v>21</v>
      </c>
      <c r="H3809" s="2">
        <v>0</v>
      </c>
      <c r="I3809" s="1">
        <v>0</v>
      </c>
      <c r="J3809" s="26">
        <v>45360</v>
      </c>
      <c r="K3809" s="22">
        <v>73500</v>
      </c>
      <c r="L3809" s="18">
        <v>78.61</v>
      </c>
      <c r="M3809" s="22">
        <v>50400</v>
      </c>
      <c r="N3809" s="22">
        <v>23100</v>
      </c>
      <c r="O3809" s="18">
        <v>24.71</v>
      </c>
      <c r="P3809" s="52">
        <f>IF(COUNTIF(TblPurchases[BatchID],TblOutcomes[[#This Row],[BatchID]])&lt;&gt;1,"n.a.",TblOutcomes[[#This Row],[Qty Wasted]]*SUMIFS(TblPurchases[Unit Cost (CLP)],TblPurchases[BatchID],TblOutcomes[[#This Row],[BatchID]]))</f>
        <v>0</v>
      </c>
      <c r="Q3809" s="51">
        <f>IF(COUNTIF(TblPurchases[BatchID],TblOutcomes[[#This Row],[BatchID]])&lt;&gt;1,"n.a.",SUMIFS(TblPurchases[Purchase Date],TblPurchases[BatchID],TblOutcomes[[#This Row],[BatchID]]))</f>
        <v>45313</v>
      </c>
    </row>
    <row r="3810" spans="2:17" x14ac:dyDescent="0.25">
      <c r="B3810" s="2" t="s">
        <v>4615</v>
      </c>
      <c r="C3810" s="2" t="s">
        <v>409</v>
      </c>
      <c r="D3810" s="2" t="s">
        <v>377</v>
      </c>
      <c r="E3810" s="2" t="s">
        <v>4647</v>
      </c>
      <c r="F3810" s="2">
        <v>21</v>
      </c>
      <c r="G3810" s="2">
        <v>21</v>
      </c>
      <c r="H3810" s="2">
        <v>0</v>
      </c>
      <c r="I3810" s="1">
        <v>0</v>
      </c>
      <c r="J3810" s="26">
        <v>45436</v>
      </c>
      <c r="K3810" s="22">
        <v>73500</v>
      </c>
      <c r="L3810" s="18">
        <v>78.61</v>
      </c>
      <c r="M3810" s="22">
        <v>50400</v>
      </c>
      <c r="N3810" s="22">
        <v>23100</v>
      </c>
      <c r="O3810" s="18">
        <v>24.71</v>
      </c>
      <c r="P3810" s="52">
        <f>IF(COUNTIF(TblPurchases[BatchID],TblOutcomes[[#This Row],[BatchID]])&lt;&gt;1,"n.a.",TblOutcomes[[#This Row],[Qty Wasted]]*SUMIFS(TblPurchases[Unit Cost (CLP)],TblPurchases[BatchID],TblOutcomes[[#This Row],[BatchID]]))</f>
        <v>0</v>
      </c>
      <c r="Q3810" s="51">
        <f>IF(COUNTIF(TblPurchases[BatchID],TblOutcomes[[#This Row],[BatchID]])&lt;&gt;1,"n.a.",SUMIFS(TblPurchases[Purchase Date],TblPurchases[BatchID],TblOutcomes[[#This Row],[BatchID]]))</f>
        <v>45379</v>
      </c>
    </row>
    <row r="3811" spans="2:17" x14ac:dyDescent="0.25">
      <c r="B3811" s="2" t="s">
        <v>4616</v>
      </c>
      <c r="C3811" s="2" t="s">
        <v>409</v>
      </c>
      <c r="D3811" s="2" t="s">
        <v>377</v>
      </c>
      <c r="E3811" s="2" t="s">
        <v>4647</v>
      </c>
      <c r="F3811" s="2">
        <v>20</v>
      </c>
      <c r="G3811" s="2">
        <v>20</v>
      </c>
      <c r="H3811" s="2">
        <v>0</v>
      </c>
      <c r="I3811" s="1">
        <v>0</v>
      </c>
      <c r="J3811" s="26">
        <v>45501</v>
      </c>
      <c r="K3811" s="22">
        <v>70000</v>
      </c>
      <c r="L3811" s="18">
        <v>74.87</v>
      </c>
      <c r="M3811" s="22">
        <v>48000</v>
      </c>
      <c r="N3811" s="22">
        <v>22000</v>
      </c>
      <c r="O3811" s="18">
        <v>23.53</v>
      </c>
      <c r="P3811" s="52">
        <f>IF(COUNTIF(TblPurchases[BatchID],TblOutcomes[[#This Row],[BatchID]])&lt;&gt;1,"n.a.",TblOutcomes[[#This Row],[Qty Wasted]]*SUMIFS(TblPurchases[Unit Cost (CLP)],TblPurchases[BatchID],TblOutcomes[[#This Row],[BatchID]]))</f>
        <v>0</v>
      </c>
      <c r="Q3811" s="51">
        <f>IF(COUNTIF(TblPurchases[BatchID],TblOutcomes[[#This Row],[BatchID]])&lt;&gt;1,"n.a.",SUMIFS(TblPurchases[Purchase Date],TblPurchases[BatchID],TblOutcomes[[#This Row],[BatchID]]))</f>
        <v>45441</v>
      </c>
    </row>
    <row r="3812" spans="2:17" x14ac:dyDescent="0.25">
      <c r="B3812" s="2" t="s">
        <v>4617</v>
      </c>
      <c r="C3812" s="2" t="s">
        <v>409</v>
      </c>
      <c r="D3812" s="2" t="s">
        <v>377</v>
      </c>
      <c r="E3812" s="2" t="s">
        <v>4647</v>
      </c>
      <c r="F3812" s="2">
        <v>23</v>
      </c>
      <c r="G3812" s="2">
        <v>23</v>
      </c>
      <c r="H3812" s="2">
        <v>0</v>
      </c>
      <c r="I3812" s="1">
        <v>0</v>
      </c>
      <c r="J3812" s="26">
        <v>45546</v>
      </c>
      <c r="K3812" s="22">
        <v>80500</v>
      </c>
      <c r="L3812" s="18">
        <v>86.1</v>
      </c>
      <c r="M3812" s="22">
        <v>55200</v>
      </c>
      <c r="N3812" s="22">
        <v>25300</v>
      </c>
      <c r="O3812" s="18">
        <v>27.06</v>
      </c>
      <c r="P3812" s="52">
        <f>IF(COUNTIF(TblPurchases[BatchID],TblOutcomes[[#This Row],[BatchID]])&lt;&gt;1,"n.a.",TblOutcomes[[#This Row],[Qty Wasted]]*SUMIFS(TblPurchases[Unit Cost (CLP)],TblPurchases[BatchID],TblOutcomes[[#This Row],[BatchID]]))</f>
        <v>0</v>
      </c>
      <c r="Q3812" s="51">
        <f>IF(COUNTIF(TblPurchases[BatchID],TblOutcomes[[#This Row],[BatchID]])&lt;&gt;1,"n.a.",SUMIFS(TblPurchases[Purchase Date],TblPurchases[BatchID],TblOutcomes[[#This Row],[BatchID]]))</f>
        <v>45488</v>
      </c>
    </row>
    <row r="3813" spans="2:17" x14ac:dyDescent="0.25">
      <c r="B3813" s="2" t="s">
        <v>4618</v>
      </c>
      <c r="C3813" s="2" t="s">
        <v>409</v>
      </c>
      <c r="D3813" s="2" t="s">
        <v>377</v>
      </c>
      <c r="E3813" s="2" t="s">
        <v>4647</v>
      </c>
      <c r="F3813" s="2">
        <v>27</v>
      </c>
      <c r="G3813" s="2">
        <v>27</v>
      </c>
      <c r="H3813" s="2">
        <v>0</v>
      </c>
      <c r="I3813" s="1">
        <v>0</v>
      </c>
      <c r="J3813" s="26">
        <v>45601</v>
      </c>
      <c r="K3813" s="22">
        <v>94500</v>
      </c>
      <c r="L3813" s="18">
        <v>101.07</v>
      </c>
      <c r="M3813" s="22">
        <v>64800</v>
      </c>
      <c r="N3813" s="22">
        <v>29700</v>
      </c>
      <c r="O3813" s="18">
        <v>31.76</v>
      </c>
      <c r="P3813" s="52">
        <f>IF(COUNTIF(TblPurchases[BatchID],TblOutcomes[[#This Row],[BatchID]])&lt;&gt;1,"n.a.",TblOutcomes[[#This Row],[Qty Wasted]]*SUMIFS(TblPurchases[Unit Cost (CLP)],TblPurchases[BatchID],TblOutcomes[[#This Row],[BatchID]]))</f>
        <v>0</v>
      </c>
      <c r="Q3813" s="51">
        <f>IF(COUNTIF(TblPurchases[BatchID],TblOutcomes[[#This Row],[BatchID]])&lt;&gt;1,"n.a.",SUMIFS(TblPurchases[Purchase Date],TblPurchases[BatchID],TblOutcomes[[#This Row],[BatchID]]))</f>
        <v>45560</v>
      </c>
    </row>
    <row r="3814" spans="2:17" x14ac:dyDescent="0.25">
      <c r="B3814" s="2" t="s">
        <v>4619</v>
      </c>
      <c r="C3814" s="2" t="s">
        <v>409</v>
      </c>
      <c r="D3814" s="2" t="s">
        <v>377</v>
      </c>
      <c r="E3814" s="2" t="s">
        <v>4647</v>
      </c>
      <c r="F3814" s="2">
        <v>21</v>
      </c>
      <c r="G3814" s="2">
        <v>21</v>
      </c>
      <c r="H3814" s="2">
        <v>0</v>
      </c>
      <c r="I3814" s="1">
        <v>0</v>
      </c>
      <c r="J3814" s="26">
        <v>45628</v>
      </c>
      <c r="K3814" s="22">
        <v>73500</v>
      </c>
      <c r="L3814" s="18">
        <v>78.61</v>
      </c>
      <c r="M3814" s="22">
        <v>50400</v>
      </c>
      <c r="N3814" s="22">
        <v>23100</v>
      </c>
      <c r="O3814" s="18">
        <v>24.71</v>
      </c>
      <c r="P3814" s="52">
        <f>IF(COUNTIF(TblPurchases[BatchID],TblOutcomes[[#This Row],[BatchID]])&lt;&gt;1,"n.a.",TblOutcomes[[#This Row],[Qty Wasted]]*SUMIFS(TblPurchases[Unit Cost (CLP)],TblPurchases[BatchID],TblOutcomes[[#This Row],[BatchID]]))</f>
        <v>0</v>
      </c>
      <c r="Q3814" s="51">
        <f>IF(COUNTIF(TblPurchases[BatchID],TblOutcomes[[#This Row],[BatchID]])&lt;&gt;1,"n.a.",SUMIFS(TblPurchases[Purchase Date],TblPurchases[BatchID],TblOutcomes[[#This Row],[BatchID]]))</f>
        <v>45615</v>
      </c>
    </row>
    <row r="3815" spans="2:17" x14ac:dyDescent="0.25">
      <c r="B3815" s="2" t="s">
        <v>4620</v>
      </c>
      <c r="C3815" s="2" t="s">
        <v>409</v>
      </c>
      <c r="D3815" s="2" t="s">
        <v>377</v>
      </c>
      <c r="E3815" s="2" t="s">
        <v>4647</v>
      </c>
      <c r="F3815" s="2">
        <v>21</v>
      </c>
      <c r="G3815" s="2">
        <v>21</v>
      </c>
      <c r="H3815" s="2">
        <v>0</v>
      </c>
      <c r="I3815" s="1">
        <v>0</v>
      </c>
      <c r="J3815" s="26">
        <v>45691</v>
      </c>
      <c r="K3815" s="22">
        <v>73500</v>
      </c>
      <c r="L3815" s="18">
        <v>78.61</v>
      </c>
      <c r="M3815" s="22">
        <v>50400</v>
      </c>
      <c r="N3815" s="22">
        <v>23100</v>
      </c>
      <c r="O3815" s="18">
        <v>24.71</v>
      </c>
      <c r="P3815" s="52">
        <f>IF(COUNTIF(TblPurchases[BatchID],TblOutcomes[[#This Row],[BatchID]])&lt;&gt;1,"n.a.",TblOutcomes[[#This Row],[Qty Wasted]]*SUMIFS(TblPurchases[Unit Cost (CLP)],TblPurchases[BatchID],TblOutcomes[[#This Row],[BatchID]]))</f>
        <v>0</v>
      </c>
      <c r="Q3815" s="51">
        <f>IF(COUNTIF(TblPurchases[BatchID],TblOutcomes[[#This Row],[BatchID]])&lt;&gt;1,"n.a.",SUMIFS(TblPurchases[Purchase Date],TblPurchases[BatchID],TblOutcomes[[#This Row],[BatchID]]))</f>
        <v>45665</v>
      </c>
    </row>
    <row r="3816" spans="2:17" x14ac:dyDescent="0.25">
      <c r="B3816" s="2" t="s">
        <v>4621</v>
      </c>
      <c r="C3816" s="2" t="s">
        <v>409</v>
      </c>
      <c r="D3816" s="2" t="s">
        <v>377</v>
      </c>
      <c r="E3816" s="2" t="s">
        <v>4647</v>
      </c>
      <c r="F3816" s="2">
        <v>21</v>
      </c>
      <c r="G3816" s="2">
        <v>21</v>
      </c>
      <c r="H3816" s="2">
        <v>0</v>
      </c>
      <c r="I3816" s="1">
        <v>0</v>
      </c>
      <c r="J3816" s="26">
        <v>45790</v>
      </c>
      <c r="K3816" s="22">
        <v>73500</v>
      </c>
      <c r="L3816" s="18">
        <v>78.61</v>
      </c>
      <c r="M3816" s="22">
        <v>50400</v>
      </c>
      <c r="N3816" s="22">
        <v>23100</v>
      </c>
      <c r="O3816" s="18">
        <v>24.71</v>
      </c>
      <c r="P3816" s="52">
        <f>IF(COUNTIF(TblPurchases[BatchID],TblOutcomes[[#This Row],[BatchID]])&lt;&gt;1,"n.a.",TblOutcomes[[#This Row],[Qty Wasted]]*SUMIFS(TblPurchases[Unit Cost (CLP)],TblPurchases[BatchID],TblOutcomes[[#This Row],[BatchID]]))</f>
        <v>0</v>
      </c>
      <c r="Q3816" s="51">
        <f>IF(COUNTIF(TblPurchases[BatchID],TblOutcomes[[#This Row],[BatchID]])&lt;&gt;1,"n.a.",SUMIFS(TblPurchases[Purchase Date],TblPurchases[BatchID],TblOutcomes[[#This Row],[BatchID]]))</f>
        <v>45738</v>
      </c>
    </row>
    <row r="3817" spans="2:17" x14ac:dyDescent="0.25">
      <c r="B3817" s="2" t="s">
        <v>4622</v>
      </c>
      <c r="C3817" s="2" t="s">
        <v>409</v>
      </c>
      <c r="D3817" s="2" t="s">
        <v>377</v>
      </c>
      <c r="E3817" s="2" t="s">
        <v>4647</v>
      </c>
      <c r="F3817" s="2">
        <v>23</v>
      </c>
      <c r="G3817" s="2">
        <v>23</v>
      </c>
      <c r="H3817" s="2">
        <v>0</v>
      </c>
      <c r="I3817" s="1">
        <v>0</v>
      </c>
      <c r="J3817" s="26">
        <v>45868</v>
      </c>
      <c r="K3817" s="22">
        <v>80500</v>
      </c>
      <c r="L3817" s="18">
        <v>86.1</v>
      </c>
      <c r="M3817" s="22">
        <v>55200</v>
      </c>
      <c r="N3817" s="22">
        <v>25300</v>
      </c>
      <c r="O3817" s="18">
        <v>27.06</v>
      </c>
      <c r="P3817" s="52">
        <f>IF(COUNTIF(TblPurchases[BatchID],TblOutcomes[[#This Row],[BatchID]])&lt;&gt;1,"n.a.",TblOutcomes[[#This Row],[Qty Wasted]]*SUMIFS(TblPurchases[Unit Cost (CLP)],TblPurchases[BatchID],TblOutcomes[[#This Row],[BatchID]]))</f>
        <v>0</v>
      </c>
      <c r="Q3817" s="51">
        <f>IF(COUNTIF(TblPurchases[BatchID],TblOutcomes[[#This Row],[BatchID]])&lt;&gt;1,"n.a.",SUMIFS(TblPurchases[Purchase Date],TblPurchases[BatchID],TblOutcomes[[#This Row],[BatchID]]))</f>
        <v>45806</v>
      </c>
    </row>
    <row r="3818" spans="2:17" x14ac:dyDescent="0.25">
      <c r="B3818" s="2" t="s">
        <v>4623</v>
      </c>
      <c r="C3818" s="2" t="s">
        <v>411</v>
      </c>
      <c r="D3818" s="2" t="s">
        <v>377</v>
      </c>
      <c r="E3818" s="2" t="s">
        <v>4647</v>
      </c>
      <c r="F3818" s="2">
        <v>17</v>
      </c>
      <c r="G3818" s="2">
        <v>17</v>
      </c>
      <c r="H3818" s="2">
        <v>0</v>
      </c>
      <c r="I3818" s="1">
        <v>0</v>
      </c>
      <c r="J3818" s="26">
        <v>45174</v>
      </c>
      <c r="K3818" s="22">
        <v>76500</v>
      </c>
      <c r="L3818" s="18">
        <v>81.819999999999993</v>
      </c>
      <c r="M3818" s="22">
        <v>51850</v>
      </c>
      <c r="N3818" s="22">
        <v>24650</v>
      </c>
      <c r="O3818" s="18">
        <v>26.36</v>
      </c>
      <c r="P3818" s="52">
        <f>IF(COUNTIF(TblPurchases[BatchID],TblOutcomes[[#This Row],[BatchID]])&lt;&gt;1,"n.a.",TblOutcomes[[#This Row],[Qty Wasted]]*SUMIFS(TblPurchases[Unit Cost (CLP)],TblPurchases[BatchID],TblOutcomes[[#This Row],[BatchID]]))</f>
        <v>0</v>
      </c>
      <c r="Q3818" s="51">
        <f>IF(COUNTIF(TblPurchases[BatchID],TblOutcomes[[#This Row],[BatchID]])&lt;&gt;1,"n.a.",SUMIFS(TblPurchases[Purchase Date],TblPurchases[BatchID],TblOutcomes[[#This Row],[BatchID]]))</f>
        <v>45137</v>
      </c>
    </row>
    <row r="3819" spans="2:17" x14ac:dyDescent="0.25">
      <c r="B3819" s="2" t="s">
        <v>4624</v>
      </c>
      <c r="C3819" s="2" t="s">
        <v>411</v>
      </c>
      <c r="D3819" s="2" t="s">
        <v>377</v>
      </c>
      <c r="E3819" s="2" t="s">
        <v>4647</v>
      </c>
      <c r="F3819" s="2">
        <v>20</v>
      </c>
      <c r="G3819" s="2">
        <v>20</v>
      </c>
      <c r="H3819" s="2">
        <v>0</v>
      </c>
      <c r="I3819" s="1">
        <v>0</v>
      </c>
      <c r="J3819" s="26">
        <v>45216</v>
      </c>
      <c r="K3819" s="22">
        <v>90000</v>
      </c>
      <c r="L3819" s="18">
        <v>96.26</v>
      </c>
      <c r="M3819" s="22">
        <v>61000</v>
      </c>
      <c r="N3819" s="22">
        <v>29000</v>
      </c>
      <c r="O3819" s="18">
        <v>31.02</v>
      </c>
      <c r="P3819" s="52">
        <f>IF(COUNTIF(TblPurchases[BatchID],TblOutcomes[[#This Row],[BatchID]])&lt;&gt;1,"n.a.",TblOutcomes[[#This Row],[Qty Wasted]]*SUMIFS(TblPurchases[Unit Cost (CLP)],TblPurchases[BatchID],TblOutcomes[[#This Row],[BatchID]]))</f>
        <v>0</v>
      </c>
      <c r="Q3819" s="51">
        <f>IF(COUNTIF(TblPurchases[BatchID],TblOutcomes[[#This Row],[BatchID]])&lt;&gt;1,"n.a.",SUMIFS(TblPurchases[Purchase Date],TblPurchases[BatchID],TblOutcomes[[#This Row],[BatchID]]))</f>
        <v>45202</v>
      </c>
    </row>
    <row r="3820" spans="2:17" x14ac:dyDescent="0.25">
      <c r="B3820" s="2" t="s">
        <v>4625</v>
      </c>
      <c r="C3820" s="2" t="s">
        <v>411</v>
      </c>
      <c r="D3820" s="2" t="s">
        <v>377</v>
      </c>
      <c r="E3820" s="2" t="s">
        <v>4647</v>
      </c>
      <c r="F3820" s="2">
        <v>20</v>
      </c>
      <c r="G3820" s="2">
        <v>20</v>
      </c>
      <c r="H3820" s="2">
        <v>0</v>
      </c>
      <c r="I3820" s="1">
        <v>0</v>
      </c>
      <c r="J3820" s="26">
        <v>45310</v>
      </c>
      <c r="K3820" s="22">
        <v>90000</v>
      </c>
      <c r="L3820" s="18">
        <v>96.26</v>
      </c>
      <c r="M3820" s="22">
        <v>61000</v>
      </c>
      <c r="N3820" s="22">
        <v>29000</v>
      </c>
      <c r="O3820" s="18">
        <v>31.02</v>
      </c>
      <c r="P3820" s="52">
        <f>IF(COUNTIF(TblPurchases[BatchID],TblOutcomes[[#This Row],[BatchID]])&lt;&gt;1,"n.a.",TblOutcomes[[#This Row],[Qty Wasted]]*SUMIFS(TblPurchases[Unit Cost (CLP)],TblPurchases[BatchID],TblOutcomes[[#This Row],[BatchID]]))</f>
        <v>0</v>
      </c>
      <c r="Q3820" s="51">
        <f>IF(COUNTIF(TblPurchases[BatchID],TblOutcomes[[#This Row],[BatchID]])&lt;&gt;1,"n.a.",SUMIFS(TblPurchases[Purchase Date],TblPurchases[BatchID],TblOutcomes[[#This Row],[BatchID]]))</f>
        <v>45252</v>
      </c>
    </row>
    <row r="3821" spans="2:17" x14ac:dyDescent="0.25">
      <c r="B3821" s="2" t="s">
        <v>4626</v>
      </c>
      <c r="C3821" s="2" t="s">
        <v>411</v>
      </c>
      <c r="D3821" s="2" t="s">
        <v>377</v>
      </c>
      <c r="E3821" s="2" t="s">
        <v>4647</v>
      </c>
      <c r="F3821" s="2">
        <v>18</v>
      </c>
      <c r="G3821" s="2">
        <v>18</v>
      </c>
      <c r="H3821" s="2">
        <v>0</v>
      </c>
      <c r="I3821" s="1">
        <v>0</v>
      </c>
      <c r="J3821" s="26">
        <v>45337</v>
      </c>
      <c r="K3821" s="22">
        <v>81000</v>
      </c>
      <c r="L3821" s="18">
        <v>86.63</v>
      </c>
      <c r="M3821" s="22">
        <v>54900</v>
      </c>
      <c r="N3821" s="22">
        <v>26100</v>
      </c>
      <c r="O3821" s="18">
        <v>27.91</v>
      </c>
      <c r="P3821" s="52">
        <f>IF(COUNTIF(TblPurchases[BatchID],TblOutcomes[[#This Row],[BatchID]])&lt;&gt;1,"n.a.",TblOutcomes[[#This Row],[Qty Wasted]]*SUMIFS(TblPurchases[Unit Cost (CLP)],TblPurchases[BatchID],TblOutcomes[[#This Row],[BatchID]]))</f>
        <v>0</v>
      </c>
      <c r="Q3821" s="51">
        <f>IF(COUNTIF(TblPurchases[BatchID],TblOutcomes[[#This Row],[BatchID]])&lt;&gt;1,"n.a.",SUMIFS(TblPurchases[Purchase Date],TblPurchases[BatchID],TblOutcomes[[#This Row],[BatchID]]))</f>
        <v>45301</v>
      </c>
    </row>
    <row r="3822" spans="2:17" x14ac:dyDescent="0.25">
      <c r="B3822" s="2" t="s">
        <v>4627</v>
      </c>
      <c r="C3822" s="2" t="s">
        <v>411</v>
      </c>
      <c r="D3822" s="2" t="s">
        <v>377</v>
      </c>
      <c r="E3822" s="2" t="s">
        <v>4647</v>
      </c>
      <c r="F3822" s="2">
        <v>17</v>
      </c>
      <c r="G3822" s="2">
        <v>17</v>
      </c>
      <c r="H3822" s="2">
        <v>0</v>
      </c>
      <c r="I3822" s="1">
        <v>0</v>
      </c>
      <c r="J3822" s="26">
        <v>45418</v>
      </c>
      <c r="K3822" s="22">
        <v>76500</v>
      </c>
      <c r="L3822" s="18">
        <v>81.819999999999993</v>
      </c>
      <c r="M3822" s="22">
        <v>51850</v>
      </c>
      <c r="N3822" s="22">
        <v>24650</v>
      </c>
      <c r="O3822" s="18">
        <v>26.36</v>
      </c>
      <c r="P3822" s="52">
        <f>IF(COUNTIF(TblPurchases[BatchID],TblOutcomes[[#This Row],[BatchID]])&lt;&gt;1,"n.a.",TblOutcomes[[#This Row],[Qty Wasted]]*SUMIFS(TblPurchases[Unit Cost (CLP)],TblPurchases[BatchID],TblOutcomes[[#This Row],[BatchID]]))</f>
        <v>0</v>
      </c>
      <c r="Q3822" s="51">
        <f>IF(COUNTIF(TblPurchases[BatchID],TblOutcomes[[#This Row],[BatchID]])&lt;&gt;1,"n.a.",SUMIFS(TblPurchases[Purchase Date],TblPurchases[BatchID],TblOutcomes[[#This Row],[BatchID]]))</f>
        <v>45370</v>
      </c>
    </row>
    <row r="3823" spans="2:17" x14ac:dyDescent="0.25">
      <c r="B3823" s="2" t="s">
        <v>4628</v>
      </c>
      <c r="C3823" s="2" t="s">
        <v>411</v>
      </c>
      <c r="D3823" s="2" t="s">
        <v>377</v>
      </c>
      <c r="E3823" s="2" t="s">
        <v>4647</v>
      </c>
      <c r="F3823" s="2">
        <v>19</v>
      </c>
      <c r="G3823" s="2">
        <v>19</v>
      </c>
      <c r="H3823" s="2">
        <v>0</v>
      </c>
      <c r="I3823" s="1">
        <v>0</v>
      </c>
      <c r="J3823" s="26">
        <v>45466</v>
      </c>
      <c r="K3823" s="22">
        <v>85500</v>
      </c>
      <c r="L3823" s="18">
        <v>91.44</v>
      </c>
      <c r="M3823" s="22">
        <v>57950</v>
      </c>
      <c r="N3823" s="22">
        <v>27550</v>
      </c>
      <c r="O3823" s="18">
        <v>29.47</v>
      </c>
      <c r="P3823" s="52">
        <f>IF(COUNTIF(TblPurchases[BatchID],TblOutcomes[[#This Row],[BatchID]])&lt;&gt;1,"n.a.",TblOutcomes[[#This Row],[Qty Wasted]]*SUMIFS(TblPurchases[Unit Cost (CLP)],TblPurchases[BatchID],TblOutcomes[[#This Row],[BatchID]]))</f>
        <v>0</v>
      </c>
      <c r="Q3823" s="51">
        <f>IF(COUNTIF(TblPurchases[BatchID],TblOutcomes[[#This Row],[BatchID]])&lt;&gt;1,"n.a.",SUMIFS(TblPurchases[Purchase Date],TblPurchases[BatchID],TblOutcomes[[#This Row],[BatchID]]))</f>
        <v>45429</v>
      </c>
    </row>
    <row r="3824" spans="2:17" x14ac:dyDescent="0.25">
      <c r="B3824" s="2" t="s">
        <v>4629</v>
      </c>
      <c r="C3824" s="2" t="s">
        <v>411</v>
      </c>
      <c r="D3824" s="2" t="s">
        <v>377</v>
      </c>
      <c r="E3824" s="2" t="s">
        <v>4647</v>
      </c>
      <c r="F3824" s="2">
        <v>23</v>
      </c>
      <c r="G3824" s="2">
        <v>23</v>
      </c>
      <c r="H3824" s="2">
        <v>0</v>
      </c>
      <c r="I3824" s="1">
        <v>0</v>
      </c>
      <c r="J3824" s="26">
        <v>45534</v>
      </c>
      <c r="K3824" s="22">
        <v>103500</v>
      </c>
      <c r="L3824" s="18">
        <v>110.7</v>
      </c>
      <c r="M3824" s="22">
        <v>70150</v>
      </c>
      <c r="N3824" s="22">
        <v>33350</v>
      </c>
      <c r="O3824" s="18">
        <v>35.67</v>
      </c>
      <c r="P3824" s="52">
        <f>IF(COUNTIF(TblPurchases[BatchID],TblOutcomes[[#This Row],[BatchID]])&lt;&gt;1,"n.a.",TblOutcomes[[#This Row],[Qty Wasted]]*SUMIFS(TblPurchases[Unit Cost (CLP)],TblPurchases[BatchID],TblOutcomes[[#This Row],[BatchID]]))</f>
        <v>0</v>
      </c>
      <c r="Q3824" s="51">
        <f>IF(COUNTIF(TblPurchases[BatchID],TblOutcomes[[#This Row],[BatchID]])&lt;&gt;1,"n.a.",SUMIFS(TblPurchases[Purchase Date],TblPurchases[BatchID],TblOutcomes[[#This Row],[BatchID]]))</f>
        <v>45490</v>
      </c>
    </row>
    <row r="3825" spans="2:17" x14ac:dyDescent="0.25">
      <c r="B3825" s="2" t="s">
        <v>4630</v>
      </c>
      <c r="C3825" s="2" t="s">
        <v>411</v>
      </c>
      <c r="D3825" s="2" t="s">
        <v>377</v>
      </c>
      <c r="E3825" s="2" t="s">
        <v>4647</v>
      </c>
      <c r="F3825" s="2">
        <v>23</v>
      </c>
      <c r="G3825" s="2">
        <v>23</v>
      </c>
      <c r="H3825" s="2">
        <v>0</v>
      </c>
      <c r="I3825" s="1">
        <v>0</v>
      </c>
      <c r="J3825" s="26">
        <v>45591</v>
      </c>
      <c r="K3825" s="22">
        <v>103500</v>
      </c>
      <c r="L3825" s="18">
        <v>110.7</v>
      </c>
      <c r="M3825" s="22">
        <v>70150</v>
      </c>
      <c r="N3825" s="22">
        <v>33350</v>
      </c>
      <c r="O3825" s="18">
        <v>35.67</v>
      </c>
      <c r="P3825" s="52">
        <f>IF(COUNTIF(TblPurchases[BatchID],TblOutcomes[[#This Row],[BatchID]])&lt;&gt;1,"n.a.",TblOutcomes[[#This Row],[Qty Wasted]]*SUMIFS(TblPurchases[Unit Cost (CLP)],TblPurchases[BatchID],TblOutcomes[[#This Row],[BatchID]]))</f>
        <v>0</v>
      </c>
      <c r="Q3825" s="51">
        <f>IF(COUNTIF(TblPurchases[BatchID],TblOutcomes[[#This Row],[BatchID]])&lt;&gt;1,"n.a.",SUMIFS(TblPurchases[Purchase Date],TblPurchases[BatchID],TblOutcomes[[#This Row],[BatchID]]))</f>
        <v>45550</v>
      </c>
    </row>
    <row r="3826" spans="2:17" x14ac:dyDescent="0.25">
      <c r="B3826" s="2" t="s">
        <v>4631</v>
      </c>
      <c r="C3826" s="2" t="s">
        <v>411</v>
      </c>
      <c r="D3826" s="2" t="s">
        <v>377</v>
      </c>
      <c r="E3826" s="2" t="s">
        <v>4647</v>
      </c>
      <c r="F3826" s="2">
        <v>17</v>
      </c>
      <c r="G3826" s="2">
        <v>17</v>
      </c>
      <c r="H3826" s="2">
        <v>0</v>
      </c>
      <c r="I3826" s="1">
        <v>0</v>
      </c>
      <c r="J3826" s="26">
        <v>45655</v>
      </c>
      <c r="K3826" s="22">
        <v>76500</v>
      </c>
      <c r="L3826" s="18">
        <v>81.819999999999993</v>
      </c>
      <c r="M3826" s="22">
        <v>51850</v>
      </c>
      <c r="N3826" s="22">
        <v>24650</v>
      </c>
      <c r="O3826" s="18">
        <v>26.36</v>
      </c>
      <c r="P3826" s="52">
        <f>IF(COUNTIF(TblPurchases[BatchID],TblOutcomes[[#This Row],[BatchID]])&lt;&gt;1,"n.a.",TblOutcomes[[#This Row],[Qty Wasted]]*SUMIFS(TblPurchases[Unit Cost (CLP)],TblPurchases[BatchID],TblOutcomes[[#This Row],[BatchID]]))</f>
        <v>0</v>
      </c>
      <c r="Q3826" s="51">
        <f>IF(COUNTIF(TblPurchases[BatchID],TblOutcomes[[#This Row],[BatchID]])&lt;&gt;1,"n.a.",SUMIFS(TblPurchases[Purchase Date],TblPurchases[BatchID],TblOutcomes[[#This Row],[BatchID]]))</f>
        <v>45608</v>
      </c>
    </row>
    <row r="3827" spans="2:17" x14ac:dyDescent="0.25">
      <c r="B3827" s="2" t="s">
        <v>4632</v>
      </c>
      <c r="C3827" s="2" t="s">
        <v>411</v>
      </c>
      <c r="D3827" s="2" t="s">
        <v>377</v>
      </c>
      <c r="E3827" s="2" t="s">
        <v>4647</v>
      </c>
      <c r="F3827" s="2">
        <v>19</v>
      </c>
      <c r="G3827" s="2">
        <v>19</v>
      </c>
      <c r="H3827" s="2">
        <v>0</v>
      </c>
      <c r="I3827" s="1">
        <v>0</v>
      </c>
      <c r="J3827" s="26">
        <v>45697</v>
      </c>
      <c r="K3827" s="22">
        <v>85500</v>
      </c>
      <c r="L3827" s="18">
        <v>91.44</v>
      </c>
      <c r="M3827" s="22">
        <v>60800</v>
      </c>
      <c r="N3827" s="22">
        <v>24700</v>
      </c>
      <c r="O3827" s="18">
        <v>26.42</v>
      </c>
      <c r="P3827" s="52">
        <f>IF(COUNTIF(TblPurchases[BatchID],TblOutcomes[[#This Row],[BatchID]])&lt;&gt;1,"n.a.",TblOutcomes[[#This Row],[Qty Wasted]]*SUMIFS(TblPurchases[Unit Cost (CLP)],TblPurchases[BatchID],TblOutcomes[[#This Row],[BatchID]]))</f>
        <v>0</v>
      </c>
      <c r="Q3827" s="51">
        <f>IF(COUNTIF(TblPurchases[BatchID],TblOutcomes[[#This Row],[BatchID]])&lt;&gt;1,"n.a.",SUMIFS(TblPurchases[Purchase Date],TblPurchases[BatchID],TblOutcomes[[#This Row],[BatchID]]))</f>
        <v>45668</v>
      </c>
    </row>
    <row r="3828" spans="2:17" x14ac:dyDescent="0.25">
      <c r="B3828" s="2" t="s">
        <v>4633</v>
      </c>
      <c r="C3828" s="2" t="s">
        <v>411</v>
      </c>
      <c r="D3828" s="2" t="s">
        <v>377</v>
      </c>
      <c r="E3828" s="2" t="s">
        <v>4647</v>
      </c>
      <c r="F3828" s="2">
        <v>23</v>
      </c>
      <c r="G3828" s="2">
        <v>23</v>
      </c>
      <c r="H3828" s="2">
        <v>0</v>
      </c>
      <c r="I3828" s="1">
        <v>0</v>
      </c>
      <c r="J3828" s="26">
        <v>49367</v>
      </c>
      <c r="K3828" s="22">
        <v>103500</v>
      </c>
      <c r="L3828" s="18">
        <v>110.7</v>
      </c>
      <c r="M3828" s="22">
        <v>70150</v>
      </c>
      <c r="N3828" s="22">
        <v>33350</v>
      </c>
      <c r="O3828" s="18">
        <v>35.67</v>
      </c>
      <c r="P3828" s="52">
        <f>IF(COUNTIF(TblPurchases[BatchID],TblOutcomes[[#This Row],[BatchID]])&lt;&gt;1,"n.a.",TblOutcomes[[#This Row],[Qty Wasted]]*SUMIFS(TblPurchases[Unit Cost (CLP)],TblPurchases[BatchID],TblOutcomes[[#This Row],[BatchID]]))</f>
        <v>0</v>
      </c>
      <c r="Q3828" s="51">
        <f>IF(COUNTIF(TblPurchases[BatchID],TblOutcomes[[#This Row],[BatchID]])&lt;&gt;1,"n.a.",SUMIFS(TblPurchases[Purchase Date],TblPurchases[BatchID],TblOutcomes[[#This Row],[BatchID]]))</f>
        <v>45717</v>
      </c>
    </row>
    <row r="3829" spans="2:17" x14ac:dyDescent="0.25">
      <c r="B3829" s="2" t="s">
        <v>4634</v>
      </c>
      <c r="C3829" s="2" t="s">
        <v>411</v>
      </c>
      <c r="D3829" s="2" t="s">
        <v>377</v>
      </c>
      <c r="E3829" s="2" t="s">
        <v>4647</v>
      </c>
      <c r="F3829" s="2">
        <v>21</v>
      </c>
      <c r="G3829" s="2">
        <v>21</v>
      </c>
      <c r="H3829" s="2">
        <v>0</v>
      </c>
      <c r="I3829" s="1">
        <v>0</v>
      </c>
      <c r="J3829" s="26">
        <v>45842</v>
      </c>
      <c r="K3829" s="22">
        <v>94500</v>
      </c>
      <c r="L3829" s="18">
        <v>101.07</v>
      </c>
      <c r="M3829" s="22">
        <v>64050</v>
      </c>
      <c r="N3829" s="22">
        <v>30450</v>
      </c>
      <c r="O3829" s="18">
        <v>32.57</v>
      </c>
      <c r="P3829" s="52">
        <f>IF(COUNTIF(TblPurchases[BatchID],TblOutcomes[[#This Row],[BatchID]])&lt;&gt;1,"n.a.",TblOutcomes[[#This Row],[Qty Wasted]]*SUMIFS(TblPurchases[Unit Cost (CLP)],TblPurchases[BatchID],TblOutcomes[[#This Row],[BatchID]]))</f>
        <v>0</v>
      </c>
      <c r="Q3829" s="51">
        <f>IF(COUNTIF(TblPurchases[BatchID],TblOutcomes[[#This Row],[BatchID]])&lt;&gt;1,"n.a.",SUMIFS(TblPurchases[Purchase Date],TblPurchases[BatchID],TblOutcomes[[#This Row],[BatchID]]))</f>
        <v>45787</v>
      </c>
    </row>
  </sheetData>
  <conditionalFormatting sqref="E5:E3829">
    <cfRule type="cellIs" dxfId="10" priority="2" operator="equal">
      <formula>"Sold Out"</formula>
    </cfRule>
    <cfRule type="cellIs" dxfId="9" priority="3" operator="equal">
      <formula>"Partial Loss"</formula>
    </cfRule>
  </conditionalFormatting>
  <conditionalFormatting sqref="I5:I3829">
    <cfRule type="colorScale" priority="4">
      <colorScale>
        <cfvo type="num" val="0"/>
        <cfvo type="num" val="15"/>
        <cfvo type="num" val="50"/>
        <color rgb="FFC6EFCE"/>
        <color rgb="FFFFEB84"/>
        <color rgb="FFF8696B"/>
      </colorScale>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B1:H14"/>
  <sheetViews>
    <sheetView showGridLines="0" workbookViewId="0"/>
  </sheetViews>
  <sheetFormatPr defaultColWidth="8.7109375" defaultRowHeight="15" x14ac:dyDescent="0.25"/>
  <cols>
    <col min="2" max="2" width="26" customWidth="1"/>
    <col min="3" max="3" width="18" customWidth="1"/>
    <col min="4" max="4" width="12" customWidth="1"/>
    <col min="5" max="5" width="18" customWidth="1"/>
    <col min="6" max="6" width="14" customWidth="1"/>
    <col min="7" max="7" width="11" customWidth="1"/>
    <col min="8" max="8" width="16" customWidth="1"/>
  </cols>
  <sheetData>
    <row r="1" spans="2:8" ht="20.25" x14ac:dyDescent="0.3">
      <c r="B1" s="3" t="s">
        <v>4648</v>
      </c>
    </row>
    <row r="2" spans="2:8" x14ac:dyDescent="0.25">
      <c r="B2" s="4" t="s">
        <v>4649</v>
      </c>
    </row>
    <row r="4" spans="2:8" ht="30" x14ac:dyDescent="0.25">
      <c r="B4" s="8" t="s">
        <v>414</v>
      </c>
      <c r="C4" s="8" t="s">
        <v>4650</v>
      </c>
      <c r="D4" s="8" t="s">
        <v>73</v>
      </c>
      <c r="E4" s="8" t="s">
        <v>88</v>
      </c>
      <c r="F4" s="8" t="s">
        <v>4651</v>
      </c>
      <c r="G4" s="8" t="s">
        <v>98</v>
      </c>
      <c r="H4" s="8" t="s">
        <v>4652</v>
      </c>
    </row>
    <row r="5" spans="2:8" x14ac:dyDescent="0.25">
      <c r="B5" s="14" t="s">
        <v>446</v>
      </c>
      <c r="C5" s="2">
        <f>COUNTIFS(TblSupply[Supplier],B5,TblSupply[SupplierRole],"Primary")</f>
        <v>9</v>
      </c>
      <c r="D5" s="2">
        <f>SUMPRODUCT((TblSupply[Supplier]=B5)*(TblSupply[SupplierRole]="Primary")*COUNTIFS(TblProducts[ID],TblSupply[ProductID],TblProducts[Essential],"Yes"))</f>
        <v>2</v>
      </c>
      <c r="E5" s="1">
        <f>IFERROR(AVERAGEIFS(TblSupply[Lead Time (days)],TblSupply[Supplier],B5,TblSupply[SupplierRole],"Primary"),0)</f>
        <v>1.6666666666666667</v>
      </c>
      <c r="F5" s="21">
        <f>IFERROR(SUMPRODUCT((TblSupply[Supplier]=B5)*(TblSupply[SupplierRole]="Primary")*SUMIFS(TblProducts[Margin (%)],TblProducts[ID],TblSupply[ProductID]))/C5,0)</f>
        <v>0.29537037037037034</v>
      </c>
      <c r="G5" s="2" t="str">
        <f>IFERROR(INDEX(TblSuppliers[Delivery?],MATCH(B5,TblSuppliers[Supplier],0)),"")</f>
        <v>No</v>
      </c>
      <c r="H5" s="2" t="str">
        <f t="shared" ref="H5:H14" si="0">IF(D5&gt;=3,"High",IF(D5&gt;=1,"Medium","Low"))</f>
        <v>Medium</v>
      </c>
    </row>
    <row r="6" spans="2:8" x14ac:dyDescent="0.25">
      <c r="B6" s="14" t="s">
        <v>436</v>
      </c>
      <c r="C6" s="2">
        <f>COUNTIFS(TblSupply[Supplier],B6,TblSupply[SupplierRole],"Primary")</f>
        <v>5</v>
      </c>
      <c r="D6" s="2">
        <f>SUMPRODUCT((TblSupply[Supplier]=B6)*(TblSupply[SupplierRole]="Primary")*COUNTIFS(TblProducts[ID],TblSupply[ProductID],TblProducts[Essential],"Yes"))</f>
        <v>0</v>
      </c>
      <c r="E6" s="1">
        <f>IFERROR(AVERAGEIFS(TblSupply[Lead Time (days)],TblSupply[Supplier],B6,TblSupply[SupplierRole],"Primary"),0)</f>
        <v>2.2000000000000002</v>
      </c>
      <c r="F6" s="21">
        <f>IFERROR(SUMPRODUCT((TblSupply[Supplier]=B6)*(TblSupply[SupplierRole]="Primary")*SUMIFS(TblProducts[Margin (%)],TblProducts[ID],TblSupply[ProductID]))/C6,0)</f>
        <v>0.29933333333333334</v>
      </c>
      <c r="G6" s="2" t="str">
        <f>IFERROR(INDEX(TblSuppliers[Delivery?],MATCH(B6,TblSuppliers[Supplier],0)),"")</f>
        <v>Yes</v>
      </c>
      <c r="H6" s="2" t="str">
        <f t="shared" si="0"/>
        <v>Low</v>
      </c>
    </row>
    <row r="7" spans="2:8" x14ac:dyDescent="0.25">
      <c r="B7" s="14" t="s">
        <v>94</v>
      </c>
      <c r="C7" s="2">
        <f>COUNTIFS(TblSupply[Supplier],B7,TblSupply[SupplierRole],"Primary")</f>
        <v>11</v>
      </c>
      <c r="D7" s="2">
        <f>SUMPRODUCT((TblSupply[Supplier]=B7)*(TblSupply[SupplierRole]="Primary")*COUNTIFS(TblProducts[ID],TblSupply[ProductID],TblProducts[Essential],"Yes"))</f>
        <v>4</v>
      </c>
      <c r="E7" s="1">
        <f>IFERROR(AVERAGEIFS(TblSupply[Lead Time (days)],TblSupply[Supplier],B7,TblSupply[SupplierRole],"Primary"),0)</f>
        <v>2.1818181818181817</v>
      </c>
      <c r="F7" s="21">
        <f>IFERROR(SUMPRODUCT((TblSupply[Supplier]=B7)*(TblSupply[SupplierRole]="Primary")*SUMIFS(TblProducts[Margin (%)],TblProducts[ID],TblSupply[ProductID]))/C7,0)</f>
        <v>0.28732683982683976</v>
      </c>
      <c r="G7" s="2" t="str">
        <f>IFERROR(INDEX(TblSuppliers[Delivery?],MATCH(B7,TblSuppliers[Supplier],0)),"")</f>
        <v>Yes</v>
      </c>
      <c r="H7" s="2" t="str">
        <f t="shared" si="0"/>
        <v>High</v>
      </c>
    </row>
    <row r="8" spans="2:8" x14ac:dyDescent="0.25">
      <c r="B8" s="14" t="s">
        <v>466</v>
      </c>
      <c r="C8" s="2">
        <f>COUNTIFS(TblSupply[Supplier],B8,TblSupply[SupplierRole],"Primary")</f>
        <v>5</v>
      </c>
      <c r="D8" s="2">
        <f>SUMPRODUCT((TblSupply[Supplier]=B8)*(TblSupply[SupplierRole]="Primary")*COUNTIFS(TblProducts[ID],TblSupply[ProductID],TblProducts[Essential],"Yes"))</f>
        <v>1</v>
      </c>
      <c r="E8" s="1">
        <f>IFERROR(AVERAGEIFS(TblSupply[Lead Time (days)],TblSupply[Supplier],B8,TblSupply[SupplierRole],"Primary"),0)</f>
        <v>2.2000000000000002</v>
      </c>
      <c r="F8" s="21">
        <f>IFERROR(SUMPRODUCT((TblSupply[Supplier]=B8)*(TblSupply[SupplierRole]="Primary")*SUMIFS(TblProducts[Margin (%)],TblProducts[ID],TblSupply[ProductID]))/C8,0)</f>
        <v>0.29526340326340328</v>
      </c>
      <c r="G8" s="2" t="str">
        <f>IFERROR(INDEX(TblSuppliers[Delivery?],MATCH(B8,TblSuppliers[Supplier],0)),"")</f>
        <v>No</v>
      </c>
      <c r="H8" s="2" t="str">
        <f t="shared" si="0"/>
        <v>Medium</v>
      </c>
    </row>
    <row r="9" spans="2:8" x14ac:dyDescent="0.25">
      <c r="B9" s="14" t="s">
        <v>476</v>
      </c>
      <c r="C9" s="2">
        <f>COUNTIFS(TblSupply[Supplier],B9,TblSupply[SupplierRole],"Primary")</f>
        <v>34</v>
      </c>
      <c r="D9" s="2">
        <f>SUMPRODUCT((TblSupply[Supplier]=B9)*(TblSupply[SupplierRole]="Primary")*COUNTIFS(TblProducts[ID],TblSupply[ProductID],TblProducts[Essential],"Yes"))</f>
        <v>2</v>
      </c>
      <c r="E9" s="1">
        <f>IFERROR(AVERAGEIFS(TblSupply[Lead Time (days)],TblSupply[Supplier],B9,TblSupply[SupplierRole],"Primary"),0)</f>
        <v>1.6176470588235294</v>
      </c>
      <c r="F9" s="21">
        <f>IFERROR(SUMPRODUCT((TblSupply[Supplier]=B9)*(TblSupply[SupplierRole]="Primary")*SUMIFS(TblProducts[Margin (%)],TblProducts[ID],TblSupply[ProductID]))/C9,0)</f>
        <v>0.26483908272619339</v>
      </c>
      <c r="G9" s="2" t="str">
        <f>IFERROR(INDEX(TblSuppliers[Delivery?],MATCH(B9,TblSuppliers[Supplier],0)),"")</f>
        <v>Yes</v>
      </c>
      <c r="H9" s="2" t="str">
        <f t="shared" si="0"/>
        <v>Medium</v>
      </c>
    </row>
    <row r="10" spans="2:8" x14ac:dyDescent="0.25">
      <c r="B10" s="14" t="s">
        <v>496</v>
      </c>
      <c r="C10" s="2">
        <f>COUNTIFS(TblSupply[Supplier],B10,TblSupply[SupplierRole],"Primary")</f>
        <v>17</v>
      </c>
      <c r="D10" s="2">
        <f>SUMPRODUCT((TblSupply[Supplier]=B10)*(TblSupply[SupplierRole]="Primary")*COUNTIFS(TblProducts[ID],TblSupply[ProductID],TblProducts[Essential],"Yes"))</f>
        <v>0</v>
      </c>
      <c r="E10" s="1">
        <f>IFERROR(AVERAGEIFS(TblSupply[Lead Time (days)],TblSupply[Supplier],B10,TblSupply[SupplierRole],"Primary"),0)</f>
        <v>2.1764705882352939</v>
      </c>
      <c r="F10" s="21">
        <f>IFERROR(SUMPRODUCT((TblSupply[Supplier]=B10)*(TblSupply[SupplierRole]="Primary")*SUMIFS(TblProducts[Margin (%)],TblProducts[ID],TblSupply[ProductID]))/C10,0)</f>
        <v>0.31323529411764695</v>
      </c>
      <c r="G10" s="2" t="str">
        <f>IFERROR(INDEX(TblSuppliers[Delivery?],MATCH(B10,TblSuppliers[Supplier],0)),"")</f>
        <v>No</v>
      </c>
      <c r="H10" s="2" t="str">
        <f t="shared" si="0"/>
        <v>Low</v>
      </c>
    </row>
    <row r="11" spans="2:8" x14ac:dyDescent="0.25">
      <c r="B11" s="14" t="s">
        <v>516</v>
      </c>
      <c r="C11" s="2">
        <f>COUNTIFS(TblSupply[Supplier],B11,TblSupply[SupplierRole],"Primary")</f>
        <v>17</v>
      </c>
      <c r="D11" s="2">
        <f>SUMPRODUCT((TblSupply[Supplier]=B11)*(TblSupply[SupplierRole]="Primary")*COUNTIFS(TblProducts[ID],TblSupply[ProductID],TblProducts[Essential],"Yes"))</f>
        <v>0</v>
      </c>
      <c r="E11" s="1">
        <f>IFERROR(AVERAGEIFS(TblSupply[Lead Time (days)],TblSupply[Supplier],B11,TblSupply[SupplierRole],"Primary"),0)</f>
        <v>1.411764705882353</v>
      </c>
      <c r="F11" s="21">
        <f>IFERROR(SUMPRODUCT((TblSupply[Supplier]=B11)*(TblSupply[SupplierRole]="Primary")*SUMIFS(TblProducts[Margin (%)],TblProducts[ID],TblSupply[ProductID]))/C11,0)</f>
        <v>0.33387127578304049</v>
      </c>
      <c r="G11" s="2" t="str">
        <f>IFERROR(INDEX(TblSuppliers[Delivery?],MATCH(B11,TblSuppliers[Supplier],0)),"")</f>
        <v>Yes</v>
      </c>
      <c r="H11" s="2" t="str">
        <f t="shared" si="0"/>
        <v>Low</v>
      </c>
    </row>
    <row r="12" spans="2:8" x14ac:dyDescent="0.25">
      <c r="B12" s="14" t="s">
        <v>506</v>
      </c>
      <c r="C12" s="2">
        <f>COUNTIFS(TblSupply[Supplier],B12,TblSupply[SupplierRole],"Primary")</f>
        <v>15</v>
      </c>
      <c r="D12" s="2">
        <f>SUMPRODUCT((TblSupply[Supplier]=B12)*(TblSupply[SupplierRole]="Primary")*COUNTIFS(TblProducts[ID],TblSupply[ProductID],TblProducts[Essential],"Yes"))</f>
        <v>3</v>
      </c>
      <c r="E12" s="1">
        <f>IFERROR(AVERAGEIFS(TblSupply[Lead Time (days)],TblSupply[Supplier],B12,TblSupply[SupplierRole],"Primary"),0)</f>
        <v>1.6</v>
      </c>
      <c r="F12" s="21">
        <f>IFERROR(SUMPRODUCT((TblSupply[Supplier]=B12)*(TblSupply[SupplierRole]="Primary")*SUMIFS(TblProducts[Margin (%)],TblProducts[ID],TblSupply[ProductID]))/C12,0)</f>
        <v>0.27682852659323243</v>
      </c>
      <c r="G12" s="2" t="str">
        <f>IFERROR(INDEX(TblSuppliers[Delivery?],MATCH(B12,TblSuppliers[Supplier],0)),"")</f>
        <v>Yes</v>
      </c>
      <c r="H12" s="2" t="str">
        <f t="shared" si="0"/>
        <v>High</v>
      </c>
    </row>
    <row r="13" spans="2:8" x14ac:dyDescent="0.25">
      <c r="B13" s="14" t="s">
        <v>426</v>
      </c>
      <c r="C13" s="2">
        <f>COUNTIFS(TblSupply[Supplier],B13,TblSupply[SupplierRole],"Primary")</f>
        <v>4</v>
      </c>
      <c r="D13" s="2">
        <f>SUMPRODUCT((TblSupply[Supplier]=B13)*(TblSupply[SupplierRole]="Primary")*COUNTIFS(TblProducts[ID],TblSupply[ProductID],TblProducts[Essential],"Yes"))</f>
        <v>1</v>
      </c>
      <c r="E13" s="1">
        <f>IFERROR(AVERAGEIFS(TblSupply[Lead Time (days)],TblSupply[Supplier],B13,TblSupply[SupplierRole],"Primary"),0)</f>
        <v>1.75</v>
      </c>
      <c r="F13" s="21">
        <f>IFERROR(SUMPRODUCT((TblSupply[Supplier]=B13)*(TblSupply[SupplierRole]="Primary")*SUMIFS(TblProducts[Margin (%)],TblProducts[ID],TblSupply[ProductID]))/C13,0)</f>
        <v>0.26041666666666663</v>
      </c>
      <c r="G13" s="2" t="str">
        <f>IFERROR(INDEX(TblSuppliers[Delivery?],MATCH(B13,TblSuppliers[Supplier],0)),"")</f>
        <v>No</v>
      </c>
      <c r="H13" s="2" t="str">
        <f t="shared" si="0"/>
        <v>Medium</v>
      </c>
    </row>
    <row r="14" spans="2:8" x14ac:dyDescent="0.25">
      <c r="B14" s="14" t="s">
        <v>456</v>
      </c>
      <c r="C14" s="2">
        <f>COUNTIFS(TblSupply[Supplier],B14,TblSupply[SupplierRole],"Primary")</f>
        <v>11</v>
      </c>
      <c r="D14" s="2">
        <f>SUMPRODUCT((TblSupply[Supplier]=B14)*(TblSupply[SupplierRole]="Primary")*COUNTIFS(TblProducts[ID],TblSupply[ProductID],TblProducts[Essential],"Yes"))</f>
        <v>2</v>
      </c>
      <c r="E14" s="1">
        <f>IFERROR(AVERAGEIFS(TblSupply[Lead Time (days)],TblSupply[Supplier],B14,TblSupply[SupplierRole],"Primary"),0)</f>
        <v>1.6363636363636365</v>
      </c>
      <c r="F14" s="21">
        <f>IFERROR(SUMPRODUCT((TblSupply[Supplier]=B14)*(TblSupply[SupplierRole]="Primary")*SUMIFS(TblProducts[Margin (%)],TblProducts[ID],TblSupply[ProductID]))/C14,0)</f>
        <v>0.30757575757575756</v>
      </c>
      <c r="G14" s="2" t="str">
        <f>IFERROR(INDEX(TblSuppliers[Delivery?],MATCH(B14,TblSuppliers[Supplier],0)),"")</f>
        <v>Yes</v>
      </c>
      <c r="H14" s="2" t="str">
        <f t="shared" si="0"/>
        <v>Medium</v>
      </c>
    </row>
  </sheetData>
  <conditionalFormatting sqref="H5:H14">
    <cfRule type="cellIs" dxfId="8" priority="2" operator="equal">
      <formula>"High"</formula>
    </cfRule>
    <cfRule type="cellIs" dxfId="7" priority="3" operator="equal">
      <formula>"Medium"</formula>
    </cfRule>
    <cfRule type="cellIs" dxfId="6" priority="4" operator="equal">
      <formula>"Low"</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B1:K19"/>
  <sheetViews>
    <sheetView showGridLines="0" workbookViewId="0"/>
  </sheetViews>
  <sheetFormatPr defaultColWidth="8.7109375" defaultRowHeight="15" x14ac:dyDescent="0.25"/>
  <cols>
    <col min="2" max="2" width="16" customWidth="1"/>
    <col min="3" max="4" width="12" customWidth="1"/>
    <col min="5" max="5" width="15" customWidth="1"/>
    <col min="6" max="6" width="14" customWidth="1"/>
    <col min="7" max="7" width="17" customWidth="1"/>
    <col min="8" max="8" width="13" customWidth="1"/>
    <col min="9" max="11" width="11" customWidth="1"/>
  </cols>
  <sheetData>
    <row r="1" spans="2:11" ht="20.25" x14ac:dyDescent="0.3">
      <c r="B1" s="3" t="s">
        <v>4653</v>
      </c>
    </row>
    <row r="2" spans="2:11" x14ac:dyDescent="0.25">
      <c r="B2" s="4" t="s">
        <v>4654</v>
      </c>
    </row>
    <row r="4" spans="2:11" ht="30" x14ac:dyDescent="0.25">
      <c r="B4" s="8" t="s">
        <v>109</v>
      </c>
      <c r="C4" s="8" t="s">
        <v>72</v>
      </c>
      <c r="D4" s="8" t="s">
        <v>73</v>
      </c>
      <c r="E4" s="8" t="s">
        <v>74</v>
      </c>
      <c r="F4" s="8" t="s">
        <v>4651</v>
      </c>
      <c r="G4" s="8" t="s">
        <v>4703</v>
      </c>
      <c r="H4" s="8" t="s">
        <v>4669</v>
      </c>
      <c r="I4" s="8" t="s">
        <v>4655</v>
      </c>
      <c r="J4" s="8" t="s">
        <v>4656</v>
      </c>
      <c r="K4" s="8" t="s">
        <v>4657</v>
      </c>
    </row>
    <row r="5" spans="2:11" x14ac:dyDescent="0.25">
      <c r="B5" s="14" t="s">
        <v>71</v>
      </c>
      <c r="C5" s="2">
        <f>COUNTIFS(TblProducts[Category],B5)</f>
        <v>17</v>
      </c>
      <c r="D5" s="2">
        <f>COUNTIFS(TblProducts[Category],B5,TblProducts[Essential],"Yes")</f>
        <v>0</v>
      </c>
      <c r="E5" s="22">
        <f>AVERAGEIFS(TblProducts[Sale Price (CLP)],TblProducts[Category],B5)</f>
        <v>1088.2352941176471</v>
      </c>
      <c r="F5" s="21">
        <f>AVERAGEIFS(TblProducts[Margin (%)],TblProducts[Category],B5)</f>
        <v>0.31323529411764695</v>
      </c>
      <c r="G5" s="22">
        <f>SUMIFS(TblOutcomes[Revenue (CLP)],TblOutcomes[Category],B5)</f>
        <v>15758630</v>
      </c>
      <c r="H5" s="21">
        <f>IF(SUMIFS(TblOutcomes[Batch Cost (CLP)],TblOutcomes[Category],B5)=0,"n.a.",SUMIFS(TblOutcomes[Waste Cost (CLP)],TblOutcomes[Category],B5)/SUMIFS(TblOutcomes[Batch Cost (CLP)],TblOutcomes[Category],B5))</f>
        <v>1.4816193472918689E-2</v>
      </c>
      <c r="I5" s="2">
        <f>COUNTIFS(TblProducts[Category],B5,TblProducts[Current Stock],"High")</f>
        <v>8</v>
      </c>
      <c r="J5" s="2">
        <f>COUNTIFS(TblProducts[Category],B5,TblProducts[Current Stock],"Medium")</f>
        <v>7</v>
      </c>
      <c r="K5" s="2">
        <f>COUNTIFS(TblProducts[Category],B5,TblProducts[Current Stock],"Low")</f>
        <v>2</v>
      </c>
    </row>
    <row r="6" spans="2:11" x14ac:dyDescent="0.25">
      <c r="B6" s="14" t="s">
        <v>176</v>
      </c>
      <c r="C6" s="2">
        <f>COUNTIFS(TblProducts[Category],B6)</f>
        <v>9</v>
      </c>
      <c r="D6" s="2">
        <f>COUNTIFS(TblProducts[Category],B6,TblProducts[Essential],"Yes")</f>
        <v>2</v>
      </c>
      <c r="E6" s="22">
        <f>AVERAGEIFS(TblProducts[Sale Price (CLP)],TblProducts[Category],B6)</f>
        <v>1888.8888888888889</v>
      </c>
      <c r="F6" s="21">
        <f>AVERAGEIFS(TblProducts[Margin (%)],TblProducts[Category],B6)</f>
        <v>0.29537037037037034</v>
      </c>
      <c r="G6" s="22">
        <f>SUMIFS(TblOutcomes[Revenue (CLP)],TblOutcomes[Category],B6)</f>
        <v>17309965</v>
      </c>
      <c r="H6" s="21">
        <f>IF(SUMIFS(TblOutcomes[Batch Cost (CLP)],TblOutcomes[Category],B6)=0,"n.a.",SUMIFS(TblOutcomes[Waste Cost (CLP)],TblOutcomes[Category],B6)/SUMIFS(TblOutcomes[Batch Cost (CLP)],TblOutcomes[Category],B6))</f>
        <v>7.1600042129824678E-3</v>
      </c>
      <c r="I6" s="2">
        <f>COUNTIFS(TblProducts[Category],B6,TblProducts[Current Stock],"High")</f>
        <v>4</v>
      </c>
      <c r="J6" s="2">
        <f>COUNTIFS(TblProducts[Category],B6,TblProducts[Current Stock],"Medium")</f>
        <v>5</v>
      </c>
      <c r="K6" s="2">
        <f>COUNTIFS(TblProducts[Category],B6,TblProducts[Current Stock],"Low")</f>
        <v>0</v>
      </c>
    </row>
    <row r="7" spans="2:11" x14ac:dyDescent="0.25">
      <c r="B7" s="14" t="s">
        <v>341</v>
      </c>
      <c r="C7" s="2">
        <f>COUNTIFS(TblProducts[Category],B7)</f>
        <v>12</v>
      </c>
      <c r="D7" s="2">
        <f>COUNTIFS(TblProducts[Category],B7,TblProducts[Essential],"Yes")</f>
        <v>2</v>
      </c>
      <c r="E7" s="22">
        <f>AVERAGEIFS(TblProducts[Sale Price (CLP)],TblProducts[Category],B7)</f>
        <v>6458.333333333333</v>
      </c>
      <c r="F7" s="21">
        <f>AVERAGEIFS(TblProducts[Margin (%)],TblProducts[Category],B7)</f>
        <v>0.27928962649550887</v>
      </c>
      <c r="G7" s="22">
        <f>SUMIFS(TblOutcomes[Revenue (CLP)],TblOutcomes[Category],B7)</f>
        <v>29169700</v>
      </c>
      <c r="H7" s="21">
        <f>IF(SUMIFS(TblOutcomes[Batch Cost (CLP)],TblOutcomes[Category],B7)=0,"n.a.",SUMIFS(TblOutcomes[Waste Cost (CLP)],TblOutcomes[Category],B7)/SUMIFS(TblOutcomes[Batch Cost (CLP)],TblOutcomes[Category],B7))</f>
        <v>1.4679420745167841E-2</v>
      </c>
      <c r="I7" s="2">
        <f>COUNTIFS(TblProducts[Category],B7,TblProducts[Current Stock],"High")</f>
        <v>6</v>
      </c>
      <c r="J7" s="2">
        <f>COUNTIFS(TblProducts[Category],B7,TblProducts[Current Stock],"Medium")</f>
        <v>5</v>
      </c>
      <c r="K7" s="2">
        <f>COUNTIFS(TblProducts[Category],B7,TblProducts[Current Stock],"Low")</f>
        <v>1</v>
      </c>
    </row>
    <row r="8" spans="2:11" x14ac:dyDescent="0.25">
      <c r="B8" s="14" t="s">
        <v>155</v>
      </c>
      <c r="C8" s="2">
        <f>COUNTIFS(TblProducts[Category],B8)</f>
        <v>4</v>
      </c>
      <c r="D8" s="2">
        <f>COUNTIFS(TblProducts[Category],B8,TblProducts[Essential],"Yes")</f>
        <v>1</v>
      </c>
      <c r="E8" s="22">
        <f>AVERAGEIFS(TblProducts[Sale Price (CLP)],TblProducts[Category],B8)</f>
        <v>1625</v>
      </c>
      <c r="F8" s="21">
        <f>AVERAGEIFS(TblProducts[Margin (%)],TblProducts[Category],B8)</f>
        <v>0.26041666666666663</v>
      </c>
      <c r="G8" s="22">
        <f>SUMIFS(TblOutcomes[Revenue (CLP)],TblOutcomes[Category],B8)</f>
        <v>22779295</v>
      </c>
      <c r="H8" s="21">
        <f>IF(SUMIFS(TblOutcomes[Batch Cost (CLP)],TblOutcomes[Category],B8)=0,"n.a.",SUMIFS(TblOutcomes[Waste Cost (CLP)],TblOutcomes[Category],B8)/SUMIFS(TblOutcomes[Batch Cost (CLP)],TblOutcomes[Category],B8))</f>
        <v>9.1796683582417993E-2</v>
      </c>
      <c r="I8" s="2">
        <f>COUNTIFS(TblProducts[Category],B8,TblProducts[Current Stock],"High")</f>
        <v>2</v>
      </c>
      <c r="J8" s="2">
        <f>COUNTIFS(TblProducts[Category],B8,TblProducts[Current Stock],"Medium")</f>
        <v>0</v>
      </c>
      <c r="K8" s="2">
        <f>COUNTIFS(TblProducts[Category],B8,TblProducts[Current Stock],"Low")</f>
        <v>2</v>
      </c>
    </row>
    <row r="9" spans="2:11" x14ac:dyDescent="0.25">
      <c r="B9" s="14" t="s">
        <v>224</v>
      </c>
      <c r="C9" s="2">
        <f>COUNTIFS(TblProducts[Category],B9)</f>
        <v>5</v>
      </c>
      <c r="D9" s="2">
        <f>COUNTIFS(TblProducts[Category],B9,TblProducts[Essential],"Yes")</f>
        <v>1</v>
      </c>
      <c r="E9" s="22">
        <f>AVERAGEIFS(TblProducts[Sale Price (CLP)],TblProducts[Category],B9)</f>
        <v>5500</v>
      </c>
      <c r="F9" s="21">
        <f>AVERAGEIFS(TblProducts[Margin (%)],TblProducts[Category],B9)</f>
        <v>0.29526340326340328</v>
      </c>
      <c r="G9" s="22">
        <f>SUMIFS(TblOutcomes[Revenue (CLP)],TblOutcomes[Category],B9)</f>
        <v>8856595</v>
      </c>
      <c r="H9" s="21">
        <f>IF(SUMIFS(TblOutcomes[Batch Cost (CLP)],TblOutcomes[Category],B9)=0,"n.a.",SUMIFS(TblOutcomes[Waste Cost (CLP)],TblOutcomes[Category],B9)/SUMIFS(TblOutcomes[Batch Cost (CLP)],TblOutcomes[Category],B9))</f>
        <v>8.7380766100033976E-3</v>
      </c>
      <c r="I9" s="2">
        <f>COUNTIFS(TblProducts[Category],B9,TblProducts[Current Stock],"High")</f>
        <v>3</v>
      </c>
      <c r="J9" s="2">
        <f>COUNTIFS(TblProducts[Category],B9,TblProducts[Current Stock],"Medium")</f>
        <v>1</v>
      </c>
      <c r="K9" s="2">
        <f>COUNTIFS(TblProducts[Category],B9,TblProducts[Current Stock],"Low")</f>
        <v>1</v>
      </c>
    </row>
    <row r="10" spans="2:11" x14ac:dyDescent="0.25">
      <c r="B10" s="14" t="s">
        <v>256</v>
      </c>
      <c r="C10" s="2">
        <f>COUNTIFS(TblProducts[Category],B10)</f>
        <v>15</v>
      </c>
      <c r="D10" s="2">
        <f>COUNTIFS(TblProducts[Category],B10,TblProducts[Essential],"Yes")</f>
        <v>1</v>
      </c>
      <c r="E10" s="22">
        <f>AVERAGEIFS(TblProducts[Sale Price (CLP)],TblProducts[Category],B10)</f>
        <v>17366.666666666668</v>
      </c>
      <c r="F10" s="21">
        <f>AVERAGEIFS(TblProducts[Margin (%)],TblProducts[Category],B10)</f>
        <v>0.24806928256928254</v>
      </c>
      <c r="G10" s="22">
        <f>SUMIFS(TblOutcomes[Revenue (CLP)],TblOutcomes[Category],B10)</f>
        <v>127910830</v>
      </c>
      <c r="H10" s="21">
        <f>IF(SUMIFS(TblOutcomes[Batch Cost (CLP)],TblOutcomes[Category],B10)=0,"n.a.",SUMIFS(TblOutcomes[Waste Cost (CLP)],TblOutcomes[Category],B10)/SUMIFS(TblOutcomes[Batch Cost (CLP)],TblOutcomes[Category],B10))</f>
        <v>1.9496347095956518E-2</v>
      </c>
      <c r="I10" s="2">
        <f>COUNTIFS(TblProducts[Category],B10,TblProducts[Current Stock],"High")</f>
        <v>10</v>
      </c>
      <c r="J10" s="2">
        <f>COUNTIFS(TblProducts[Category],B10,TblProducts[Current Stock],"Medium")</f>
        <v>2</v>
      </c>
      <c r="K10" s="2">
        <f>COUNTIFS(TblProducts[Category],B10,TblProducts[Current Stock],"Low")</f>
        <v>3</v>
      </c>
    </row>
    <row r="11" spans="2:11" x14ac:dyDescent="0.25">
      <c r="B11" s="14" t="s">
        <v>122</v>
      </c>
      <c r="C11" s="2">
        <f>COUNTIFS(TblProducts[Category],B11)</f>
        <v>11</v>
      </c>
      <c r="D11" s="2">
        <f>COUNTIFS(TblProducts[Category],B11,TblProducts[Essential],"Yes")</f>
        <v>4</v>
      </c>
      <c r="E11" s="22">
        <f>AVERAGEIFS(TblProducts[Sale Price (CLP)],TblProducts[Category],B11)</f>
        <v>3227.2727272727275</v>
      </c>
      <c r="F11" s="21">
        <f>AVERAGEIFS(TblProducts[Margin (%)],TblProducts[Category],B11)</f>
        <v>0.28732683982683976</v>
      </c>
      <c r="G11" s="22">
        <f>SUMIFS(TblOutcomes[Revenue (CLP)],TblOutcomes[Category],B11)</f>
        <v>74726140</v>
      </c>
      <c r="H11" s="21">
        <f>IF(SUMIFS(TblOutcomes[Batch Cost (CLP)],TblOutcomes[Category],B11)=0,"n.a.",SUMIFS(TblOutcomes[Waste Cost (CLP)],TblOutcomes[Category],B11)/SUMIFS(TblOutcomes[Batch Cost (CLP)],TblOutcomes[Category],B11))</f>
        <v>5.2821244376165914E-2</v>
      </c>
      <c r="I11" s="2">
        <f>COUNTIFS(TblProducts[Category],B11,TblProducts[Current Stock],"High")</f>
        <v>5</v>
      </c>
      <c r="J11" s="2">
        <f>COUNTIFS(TblProducts[Category],B11,TblProducts[Current Stock],"Medium")</f>
        <v>4</v>
      </c>
      <c r="K11" s="2">
        <f>COUNTIFS(TblProducts[Category],B11,TblProducts[Current Stock],"Low")</f>
        <v>2</v>
      </c>
    </row>
    <row r="12" spans="2:11" x14ac:dyDescent="0.25">
      <c r="B12" s="14" t="s">
        <v>377</v>
      </c>
      <c r="C12" s="2">
        <f>COUNTIFS(TblProducts[Category],B12)</f>
        <v>17</v>
      </c>
      <c r="D12" s="2">
        <f>COUNTIFS(TblProducts[Category],B12,TblProducts[Essential],"Yes")</f>
        <v>0</v>
      </c>
      <c r="E12" s="22">
        <f>AVERAGEIFS(TblProducts[Sale Price (CLP)],TblProducts[Category],B12)</f>
        <v>3058.8235294117649</v>
      </c>
      <c r="F12" s="21">
        <f>AVERAGEIFS(TblProducts[Margin (%)],TblProducts[Category],B12)</f>
        <v>0.33387127578304049</v>
      </c>
      <c r="G12" s="22">
        <f>SUMIFS(TblOutcomes[Revenue (CLP)],TblOutcomes[Category],B12)</f>
        <v>13950000</v>
      </c>
      <c r="H12" s="21">
        <f>IF(SUMIFS(TblOutcomes[Batch Cost (CLP)],TblOutcomes[Category],B12)=0,"n.a.",SUMIFS(TblOutcomes[Waste Cost (CLP)],TblOutcomes[Category],B12)/SUMIFS(TblOutcomes[Batch Cost (CLP)],TblOutcomes[Category],B12))</f>
        <v>0</v>
      </c>
      <c r="I12" s="2">
        <f>COUNTIFS(TblProducts[Category],B12,TblProducts[Current Stock],"High")</f>
        <v>6</v>
      </c>
      <c r="J12" s="2">
        <f>COUNTIFS(TblProducts[Category],B12,TblProducts[Current Stock],"Medium")</f>
        <v>2</v>
      </c>
      <c r="K12" s="2">
        <f>COUNTIFS(TblProducts[Category],B12,TblProducts[Current Stock],"Low")</f>
        <v>9</v>
      </c>
    </row>
    <row r="13" spans="2:11" x14ac:dyDescent="0.25">
      <c r="B13" s="14" t="s">
        <v>237</v>
      </c>
      <c r="C13" s="2">
        <f>COUNTIFS(TblProducts[Category],B13)</f>
        <v>9</v>
      </c>
      <c r="D13" s="2">
        <f>COUNTIFS(TblProducts[Category],B13,TblProducts[Essential],"Yes")</f>
        <v>1</v>
      </c>
      <c r="E13" s="22">
        <f>AVERAGEIFS(TblProducts[Sale Price (CLP)],TblProducts[Category],B13)</f>
        <v>7944.4444444444443</v>
      </c>
      <c r="F13" s="21">
        <f>AVERAGEIFS(TblProducts[Margin (%)],TblProducts[Category],B13)</f>
        <v>0.28595588507353209</v>
      </c>
      <c r="G13" s="22">
        <f>SUMIFS(TblOutcomes[Revenue (CLP)],TblOutcomes[Category],B13)</f>
        <v>54233565</v>
      </c>
      <c r="H13" s="21">
        <f>IF(SUMIFS(TblOutcomes[Batch Cost (CLP)],TblOutcomes[Category],B13)=0,"n.a.",SUMIFS(TblOutcomes[Waste Cost (CLP)],TblOutcomes[Category],B13)/SUMIFS(TblOutcomes[Batch Cost (CLP)],TblOutcomes[Category],B13))</f>
        <v>2.8639709511474973E-2</v>
      </c>
      <c r="I13" s="2">
        <f>COUNTIFS(TblProducts[Category],B13,TblProducts[Current Stock],"High")</f>
        <v>2</v>
      </c>
      <c r="J13" s="2">
        <f>COUNTIFS(TblProducts[Category],B13,TblProducts[Current Stock],"Medium")</f>
        <v>4</v>
      </c>
      <c r="K13" s="2">
        <f>COUNTIFS(TblProducts[Category],B13,TblProducts[Current Stock],"Low")</f>
        <v>3</v>
      </c>
    </row>
    <row r="14" spans="2:11" x14ac:dyDescent="0.25">
      <c r="B14" s="14" t="s">
        <v>164</v>
      </c>
      <c r="C14" s="2">
        <f>COUNTIFS(TblProducts[Category],B14)</f>
        <v>5</v>
      </c>
      <c r="D14" s="2">
        <f>COUNTIFS(TblProducts[Category],B14,TblProducts[Essential],"Yes")</f>
        <v>0</v>
      </c>
      <c r="E14" s="22">
        <f>AVERAGEIFS(TblProducts[Sale Price (CLP)],TblProducts[Category],B14)</f>
        <v>2800</v>
      </c>
      <c r="F14" s="21">
        <f>AVERAGEIFS(TblProducts[Margin (%)],TblProducts[Category],B14)</f>
        <v>0.29933333333333334</v>
      </c>
      <c r="G14" s="22">
        <f>SUMIFS(TblOutcomes[Revenue (CLP)],TblOutcomes[Category],B14)</f>
        <v>7479415</v>
      </c>
      <c r="H14" s="21">
        <f>IF(SUMIFS(TblOutcomes[Batch Cost (CLP)],TblOutcomes[Category],B14)=0,"n.a.",SUMIFS(TblOutcomes[Waste Cost (CLP)],TblOutcomes[Category],B14)/SUMIFS(TblOutcomes[Batch Cost (CLP)],TblOutcomes[Category],B14))</f>
        <v>1.1721292236628393E-2</v>
      </c>
      <c r="I14" s="2">
        <f>COUNTIFS(TblProducts[Category],B14,TblProducts[Current Stock],"High")</f>
        <v>4</v>
      </c>
      <c r="J14" s="2">
        <f>COUNTIFS(TblProducts[Category],B14,TblProducts[Current Stock],"Medium")</f>
        <v>1</v>
      </c>
      <c r="K14" s="2">
        <f>COUNTIFS(TblProducts[Category],B14,TblProducts[Current Stock],"Low")</f>
        <v>0</v>
      </c>
    </row>
    <row r="15" spans="2:11" x14ac:dyDescent="0.25">
      <c r="B15" s="14" t="s">
        <v>334</v>
      </c>
      <c r="C15" s="2">
        <f>COUNTIFS(TblProducts[Category],B15)</f>
        <v>3</v>
      </c>
      <c r="D15" s="2">
        <f>COUNTIFS(TblProducts[Category],B15,TblProducts[Essential],"Yes")</f>
        <v>1</v>
      </c>
      <c r="E15" s="22">
        <f>AVERAGEIFS(TblProducts[Sale Price (CLP)],TblProducts[Category],B15)</f>
        <v>7500</v>
      </c>
      <c r="F15" s="21">
        <f>AVERAGEIFS(TblProducts[Margin (%)],TblProducts[Category],B15)</f>
        <v>0.26698412698412699</v>
      </c>
      <c r="G15" s="22">
        <f>SUMIFS(TblOutcomes[Revenue (CLP)],TblOutcomes[Category],B15)</f>
        <v>8632580</v>
      </c>
      <c r="H15" s="21">
        <f>IF(SUMIFS(TblOutcomes[Batch Cost (CLP)],TblOutcomes[Category],B15)=0,"n.a.",SUMIFS(TblOutcomes[Waste Cost (CLP)],TblOutcomes[Category],B15)/SUMIFS(TblOutcomes[Batch Cost (CLP)],TblOutcomes[Category],B15))</f>
        <v>8.8712807750700416E-3</v>
      </c>
      <c r="I15" s="2">
        <f>COUNTIFS(TblProducts[Category],B15,TblProducts[Current Stock],"High")</f>
        <v>0</v>
      </c>
      <c r="J15" s="2">
        <f>COUNTIFS(TblProducts[Category],B15,TblProducts[Current Stock],"Medium")</f>
        <v>3</v>
      </c>
      <c r="K15" s="2">
        <f>COUNTIFS(TblProducts[Category],B15,TblProducts[Current Stock],"Low")</f>
        <v>0</v>
      </c>
    </row>
    <row r="16" spans="2:11" x14ac:dyDescent="0.25">
      <c r="B16" s="14" t="s">
        <v>201</v>
      </c>
      <c r="C16" s="2">
        <f>COUNTIFS(TblProducts[Category],B16)</f>
        <v>11</v>
      </c>
      <c r="D16" s="2">
        <f>COUNTIFS(TblProducts[Category],B16,TblProducts[Essential],"Yes")</f>
        <v>2</v>
      </c>
      <c r="E16" s="22">
        <f>AVERAGEIFS(TblProducts[Sale Price (CLP)],TblProducts[Category],B16)</f>
        <v>1500</v>
      </c>
      <c r="F16" s="21">
        <f>AVERAGEIFS(TblProducts[Margin (%)],TblProducts[Category],B16)</f>
        <v>0.30757575757575756</v>
      </c>
      <c r="G16" s="22">
        <f>SUMIFS(TblOutcomes[Revenue (CLP)],TblOutcomes[Category],B16)</f>
        <v>10703465</v>
      </c>
      <c r="H16" s="21">
        <f>IF(SUMIFS(TblOutcomes[Batch Cost (CLP)],TblOutcomes[Category],B16)=0,"n.a.",SUMIFS(TblOutcomes[Waste Cost (CLP)],TblOutcomes[Category],B16)/SUMIFS(TblOutcomes[Batch Cost (CLP)],TblOutcomes[Category],B16))</f>
        <v>4.1870371364173013E-3</v>
      </c>
      <c r="I16" s="2">
        <f>COUNTIFS(TblProducts[Category],B16,TblProducts[Current Stock],"High")</f>
        <v>6</v>
      </c>
      <c r="J16" s="2">
        <f>COUNTIFS(TblProducts[Category],B16,TblProducts[Current Stock],"Medium")</f>
        <v>2</v>
      </c>
      <c r="K16" s="2">
        <f>COUNTIFS(TblProducts[Category],B16,TblProducts[Current Stock],"Low")</f>
        <v>3</v>
      </c>
    </row>
    <row r="17" spans="2:11" x14ac:dyDescent="0.25">
      <c r="B17" s="14" t="s">
        <v>287</v>
      </c>
      <c r="C17" s="2">
        <f>COUNTIFS(TblProducts[Category],B17)</f>
        <v>5</v>
      </c>
      <c r="D17" s="2">
        <f>COUNTIFS(TblProducts[Category],B17,TblProducts[Essential],"Yes")</f>
        <v>0</v>
      </c>
      <c r="E17" s="22">
        <f>AVERAGEIFS(TblProducts[Sale Price (CLP)],TblProducts[Category],B17)</f>
        <v>4600</v>
      </c>
      <c r="F17" s="21">
        <f>AVERAGEIFS(TblProducts[Margin (%)],TblProducts[Category],B17)</f>
        <v>0.2796190476190476</v>
      </c>
      <c r="G17" s="22">
        <f>SUMIFS(TblOutcomes[Revenue (CLP)],TblOutcomes[Category],B17)</f>
        <v>5091555</v>
      </c>
      <c r="H17" s="21">
        <f>IF(SUMIFS(TblOutcomes[Batch Cost (CLP)],TblOutcomes[Category],B17)=0,"n.a.",SUMIFS(TblOutcomes[Waste Cost (CLP)],TblOutcomes[Category],B17)/SUMIFS(TblOutcomes[Batch Cost (CLP)],TblOutcomes[Category],B17))</f>
        <v>2.0672014307831936E-2</v>
      </c>
      <c r="I17" s="2">
        <f>COUNTIFS(TblProducts[Category],B17,TblProducts[Current Stock],"High")</f>
        <v>2</v>
      </c>
      <c r="J17" s="2">
        <f>COUNTIFS(TblProducts[Category],B17,TblProducts[Current Stock],"Medium")</f>
        <v>1</v>
      </c>
      <c r="K17" s="2">
        <f>COUNTIFS(TblProducts[Category],B17,TblProducts[Current Stock],"Low")</f>
        <v>2</v>
      </c>
    </row>
    <row r="18" spans="2:11" x14ac:dyDescent="0.25">
      <c r="B18" s="14" t="s">
        <v>366</v>
      </c>
      <c r="C18" s="2">
        <f>COUNTIFS(TblProducts[Category],B18)</f>
        <v>5</v>
      </c>
      <c r="D18" s="2">
        <f>COUNTIFS(TblProducts[Category],B18,TblProducts[Essential],"Yes")</f>
        <v>0</v>
      </c>
      <c r="E18" s="22">
        <f>AVERAGEIFS(TblProducts[Sale Price (CLP)],TblProducts[Category],B18)</f>
        <v>8900</v>
      </c>
      <c r="F18" s="21">
        <f>AVERAGEIFS(TblProducts[Margin (%)],TblProducts[Category],B18)</f>
        <v>0.26235827407886231</v>
      </c>
      <c r="G18" s="22">
        <f>SUMIFS(TblOutcomes[Revenue (CLP)],TblOutcomes[Category],B18)</f>
        <v>16325210</v>
      </c>
      <c r="H18" s="21">
        <f>IF(SUMIFS(TblOutcomes[Batch Cost (CLP)],TblOutcomes[Category],B18)=0,"n.a.",SUMIFS(TblOutcomes[Waste Cost (CLP)],TblOutcomes[Category],B18)/SUMIFS(TblOutcomes[Batch Cost (CLP)],TblOutcomes[Category],B18))</f>
        <v>3.0593672949812471E-2</v>
      </c>
      <c r="I18" s="2">
        <f>COUNTIFS(TblProducts[Category],B18,TblProducts[Current Stock],"High")</f>
        <v>4</v>
      </c>
      <c r="J18" s="2">
        <f>COUNTIFS(TblProducts[Category],B18,TblProducts[Current Stock],"Medium")</f>
        <v>1</v>
      </c>
      <c r="K18" s="2">
        <f>COUNTIFS(TblProducts[Category],B18,TblProducts[Current Stock],"Low")</f>
        <v>0</v>
      </c>
    </row>
    <row r="19" spans="2:11" x14ac:dyDescent="0.25">
      <c r="B19" s="23" t="s">
        <v>4658</v>
      </c>
      <c r="C19" s="23">
        <f>SUM(C5:C18)</f>
        <v>128</v>
      </c>
      <c r="D19" s="23">
        <f>SUM(D5:D18)</f>
        <v>15</v>
      </c>
      <c r="E19" s="24">
        <f>AVERAGE(TblProducts[Sale Price (CLP)])</f>
        <v>5367.1875</v>
      </c>
      <c r="F19" s="25">
        <f>AVERAGE(TblProducts[Margin (%)])</f>
        <v>0.29198969261182078</v>
      </c>
      <c r="G19" s="24">
        <f>SUM(G5:G18)</f>
        <v>412926945</v>
      </c>
      <c r="H19" s="25" t="str">
        <f>IF(SUMIFS(TblOutcomes[Batch Cost (CLP)],TblOutcomes[Category],B19)=0,"n.a.",SUMIFS(TblOutcomes[Waste Cost (CLP)],TblOutcomes[Category],B19)/SUMIFS(TblOutcomes[Batch Cost (CLP)],TblOutcomes[Category],B19))</f>
        <v>n.a.</v>
      </c>
      <c r="I19" s="23">
        <f>SUM(I5:I18)</f>
        <v>62</v>
      </c>
      <c r="J19" s="23">
        <f>SUM(J5:J18)</f>
        <v>38</v>
      </c>
      <c r="K19" s="23">
        <f>SUM(K5:K18)</f>
        <v>28</v>
      </c>
    </row>
  </sheetData>
  <conditionalFormatting sqref="F5:F18">
    <cfRule type="colorScale" priority="2">
      <colorScale>
        <cfvo type="min"/>
        <cfvo type="percentile" val="50"/>
        <cfvo type="max"/>
        <color rgb="FFF8696B"/>
        <color rgb="FFFFEB84"/>
        <color rgb="FF63BE7B"/>
      </colorScale>
    </cfRule>
  </conditionalFormatting>
  <conditionalFormatting sqref="H5:H18">
    <cfRule type="colorScale" priority="3">
      <colorScale>
        <cfvo type="num" val="0"/>
        <cfvo type="num" val="5"/>
        <cfvo type="num" val="12"/>
        <color rgb="FFC6EFCE"/>
        <color rgb="FFFFEB84"/>
        <color rgb="FFF8696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B1:J7"/>
  <sheetViews>
    <sheetView showGridLines="0" workbookViewId="0"/>
  </sheetViews>
  <sheetFormatPr defaultColWidth="8.7109375" defaultRowHeight="15" x14ac:dyDescent="0.25"/>
  <cols>
    <col min="2" max="2" width="16" customWidth="1"/>
    <col min="3" max="4" width="12" customWidth="1"/>
    <col min="5" max="5" width="14" customWidth="1"/>
    <col min="6" max="6" width="15" customWidth="1"/>
    <col min="7" max="7" width="14" customWidth="1"/>
    <col min="8" max="10" width="11" customWidth="1"/>
  </cols>
  <sheetData>
    <row r="1" spans="2:10" ht="20.25" x14ac:dyDescent="0.3">
      <c r="B1" s="3" t="s">
        <v>4659</v>
      </c>
    </row>
    <row r="2" spans="2:10" x14ac:dyDescent="0.25">
      <c r="B2" s="4" t="s">
        <v>4670</v>
      </c>
    </row>
    <row r="4" spans="2:10" ht="30" x14ac:dyDescent="0.25">
      <c r="B4" s="8" t="s">
        <v>113</v>
      </c>
      <c r="C4" s="8" t="s">
        <v>72</v>
      </c>
      <c r="D4" s="8" t="s">
        <v>73</v>
      </c>
      <c r="E4" s="8" t="s">
        <v>84</v>
      </c>
      <c r="F4" s="8" t="s">
        <v>74</v>
      </c>
      <c r="G4" s="8" t="s">
        <v>4651</v>
      </c>
      <c r="H4" s="8" t="s">
        <v>4655</v>
      </c>
      <c r="I4" s="8" t="s">
        <v>4656</v>
      </c>
      <c r="J4" s="8" t="s">
        <v>4657</v>
      </c>
    </row>
    <row r="5" spans="2:10" x14ac:dyDescent="0.25">
      <c r="B5" s="14" t="s">
        <v>83</v>
      </c>
      <c r="C5" s="2">
        <f>COUNTIFS(TblProducts[Peak Season],B5)</f>
        <v>13</v>
      </c>
      <c r="D5" s="2">
        <f>COUNTIFS(TblProducts[Peak Season],B5,TblProducts[Essential],"Yes")</f>
        <v>5</v>
      </c>
      <c r="E5" s="21">
        <f>C5/COUNTA(TblProducts[ID])</f>
        <v>0.1015625</v>
      </c>
      <c r="F5" s="22">
        <f>AVERAGEIFS(TblProducts[Sale Price (CLP)],TblProducts[Peak Season],B5)</f>
        <v>2807.6923076923076</v>
      </c>
      <c r="G5" s="21">
        <f>AVERAGEIFS(TblProducts[Margin (%)],TblProducts[Peak Season],B5)</f>
        <v>0.2801190476190476</v>
      </c>
      <c r="H5" s="2">
        <f>COUNTIFS(TblProducts[Peak Season],B5,TblProducts[Current Stock],"High")</f>
        <v>5</v>
      </c>
      <c r="I5" s="2">
        <f>COUNTIFS(TblProducts[Peak Season],B5,TblProducts[Current Stock],"Medium")</f>
        <v>4</v>
      </c>
      <c r="J5" s="2">
        <f>COUNTIFS(TblProducts[Peak Season],B5,TblProducts[Current Stock],"Low")</f>
        <v>4</v>
      </c>
    </row>
    <row r="6" spans="2:10" x14ac:dyDescent="0.25">
      <c r="B6" s="14" t="s">
        <v>189</v>
      </c>
      <c r="C6" s="2">
        <f>COUNTIFS(TblProducts[Peak Season],B6)</f>
        <v>40</v>
      </c>
      <c r="D6" s="2">
        <f>COUNTIFS(TblProducts[Peak Season],B6,TblProducts[Essential],"Yes")</f>
        <v>4</v>
      </c>
      <c r="E6" s="21">
        <f>C6/COUNTA(TblProducts[ID])</f>
        <v>0.3125</v>
      </c>
      <c r="F6" s="22">
        <f>AVERAGEIFS(TblProducts[Sale Price (CLP)],TblProducts[Peak Season],B6)</f>
        <v>9687.5</v>
      </c>
      <c r="G6" s="21">
        <f>AVERAGEIFS(TblProducts[Margin (%)],TblProducts[Peak Season],B6)</f>
        <v>0.27087437684864163</v>
      </c>
      <c r="H6" s="2">
        <f>COUNTIFS(TblProducts[Peak Season],B6,TblProducts[Current Stock],"High")</f>
        <v>21</v>
      </c>
      <c r="I6" s="2">
        <f>COUNTIFS(TblProducts[Peak Season],B6,TblProducts[Current Stock],"Medium")</f>
        <v>15</v>
      </c>
      <c r="J6" s="2">
        <f>COUNTIFS(TblProducts[Peak Season],B6,TblProducts[Current Stock],"Low")</f>
        <v>4</v>
      </c>
    </row>
    <row r="7" spans="2:10" x14ac:dyDescent="0.25">
      <c r="B7" s="14" t="s">
        <v>152</v>
      </c>
      <c r="C7" s="2">
        <f>COUNTIFS(TblProducts[Peak Season],B7)</f>
        <v>75</v>
      </c>
      <c r="D7" s="2">
        <f>COUNTIFS(TblProducts[Peak Season],B7,TblProducts[Essential],"Yes")</f>
        <v>6</v>
      </c>
      <c r="E7" s="21">
        <f>C7/COUNTA(TblProducts[ID])</f>
        <v>0.5859375</v>
      </c>
      <c r="F7" s="22">
        <f>AVERAGEIFS(TblProducts[Sale Price (CLP)],TblProducts[Peak Season],B7)</f>
        <v>3506.6666666666665</v>
      </c>
      <c r="G7" s="21">
        <f>AVERAGEIFS(TblProducts[Margin (%)],TblProducts[Peak Season],B7)</f>
        <v>0.3053087728175965</v>
      </c>
      <c r="H7" s="2">
        <f>COUNTIFS(TblProducts[Peak Season],B7,TblProducts[Current Stock],"High")</f>
        <v>36</v>
      </c>
      <c r="I7" s="2">
        <f>COUNTIFS(TblProducts[Peak Season],B7,TblProducts[Current Stock],"Medium")</f>
        <v>19</v>
      </c>
      <c r="J7" s="2">
        <f>COUNTIFS(TblProducts[Peak Season],B7,TblProducts[Current Stock],"Low")</f>
        <v>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B1:K132"/>
  <sheetViews>
    <sheetView showGridLines="0" workbookViewId="0">
      <pane xSplit="1" ySplit="4" topLeftCell="B5" activePane="bottomRight" state="frozen"/>
      <selection pane="topRight"/>
      <selection pane="bottomLeft"/>
      <selection pane="bottomRight" activeCell="B5" sqref="B5"/>
    </sheetView>
  </sheetViews>
  <sheetFormatPr defaultColWidth="8.7109375" defaultRowHeight="15" x14ac:dyDescent="0.25"/>
  <cols>
    <col min="2" max="2" width="9" customWidth="1"/>
    <col min="3" max="3" width="34" customWidth="1"/>
    <col min="4" max="4" width="14" customWidth="1"/>
    <col min="5" max="5" width="10" customWidth="1"/>
    <col min="6" max="6" width="13" customWidth="1"/>
    <col min="7" max="7" width="15" customWidth="1"/>
    <col min="8" max="8" width="16" customWidth="1"/>
    <col min="9" max="9" width="26" customWidth="1"/>
    <col min="10" max="10" width="16" customWidth="1"/>
    <col min="11" max="11" width="10" customWidth="1"/>
  </cols>
  <sheetData>
    <row r="1" spans="2:11" ht="20.25" x14ac:dyDescent="0.3">
      <c r="B1" s="3" t="s">
        <v>4660</v>
      </c>
    </row>
    <row r="2" spans="2:11" x14ac:dyDescent="0.25">
      <c r="B2" s="4" t="s">
        <v>4671</v>
      </c>
    </row>
    <row r="4" spans="2:11" ht="30" x14ac:dyDescent="0.25">
      <c r="B4" s="8" t="s">
        <v>107</v>
      </c>
      <c r="C4" s="8" t="s">
        <v>108</v>
      </c>
      <c r="D4" s="8" t="s">
        <v>109</v>
      </c>
      <c r="E4" s="8" t="s">
        <v>112</v>
      </c>
      <c r="F4" s="8" t="s">
        <v>114</v>
      </c>
      <c r="G4" s="8" t="s">
        <v>113</v>
      </c>
      <c r="H4" s="8" t="s">
        <v>4661</v>
      </c>
      <c r="I4" s="8" t="s">
        <v>4662</v>
      </c>
      <c r="J4" s="8" t="s">
        <v>96</v>
      </c>
      <c r="K4" s="8" t="s">
        <v>98</v>
      </c>
    </row>
    <row r="5" spans="2:11" x14ac:dyDescent="0.25">
      <c r="B5" s="2" t="str">
        <f>Products!B4</f>
        <v>P001</v>
      </c>
      <c r="C5" s="2" t="str">
        <f>Products!C4</f>
        <v>Olives 120/140 (extra large), brined</v>
      </c>
      <c r="D5" s="2" t="str">
        <f>Products!D4</f>
        <v>Olives</v>
      </c>
      <c r="E5" s="2" t="str">
        <f>Products!G4</f>
        <v>Yes</v>
      </c>
      <c r="F5" s="2" t="str">
        <f>Products!I4</f>
        <v>High</v>
      </c>
      <c r="G5" s="2" t="str">
        <f>Products!H4</f>
        <v>Spring-Summer</v>
      </c>
      <c r="H5" s="2" t="str">
        <f t="shared" ref="H5:H36" si="0">IF(E5="Yes",IF(F5="Low","URGENT",IF(F5="Medium","Watch","OK")),"Low priority")</f>
        <v>OK</v>
      </c>
      <c r="I5" s="2" t="str">
        <f>IFERROR(INDEX(TblSupply[Supplier],MATCH(1,INDEX((TblSupply[ProductID]=B5)*(TblSupply[SupplierRole]="Primary"),0),0)),"")</f>
        <v>El Olivar Olives Ltd.</v>
      </c>
      <c r="J5" s="2" t="str">
        <f>IFERROR(INDEX(TblSuppliers[Phone],MATCH(I5,TblSuppliers[Supplier],0)),"")</f>
        <v>+56 9 5511 2233</v>
      </c>
      <c r="K5" s="2" t="str">
        <f>IFERROR(INDEX(TblSuppliers[Delivery?],MATCH(I5,TblSuppliers[Supplier],0)),"")</f>
        <v>Yes</v>
      </c>
    </row>
    <row r="6" spans="2:11" x14ac:dyDescent="0.25">
      <c r="B6" s="2" t="str">
        <f>Products!B5</f>
        <v>P002</v>
      </c>
      <c r="C6" s="2" t="str">
        <f>Products!C5</f>
        <v>Olives 140/160 (large), brined</v>
      </c>
      <c r="D6" s="2" t="str">
        <f>Products!D5</f>
        <v>Olives</v>
      </c>
      <c r="E6" s="2" t="str">
        <f>Products!G5</f>
        <v>Yes</v>
      </c>
      <c r="F6" s="2" t="str">
        <f>Products!I5</f>
        <v>Low</v>
      </c>
      <c r="G6" s="2" t="str">
        <f>Products!H5</f>
        <v>Spring-Summer</v>
      </c>
      <c r="H6" s="2" t="str">
        <f t="shared" si="0"/>
        <v>URGENT</v>
      </c>
      <c r="I6" s="2" t="str">
        <f>IFERROR(INDEX(TblSupply[Supplier],MATCH(1,INDEX((TblSupply[ProductID]=B6)*(TblSupply[SupplierRole]="Primary"),0),0)),"")</f>
        <v>El Olivar Olives Ltd.</v>
      </c>
      <c r="J6" s="2" t="str">
        <f>IFERROR(INDEX(TblSuppliers[Phone],MATCH(I6,TblSuppliers[Supplier],0)),"")</f>
        <v>+56 9 5511 2233</v>
      </c>
      <c r="K6" s="2" t="str">
        <f>IFERROR(INDEX(TblSuppliers[Delivery?],MATCH(I6,TblSuppliers[Supplier],0)),"")</f>
        <v>Yes</v>
      </c>
    </row>
    <row r="7" spans="2:11" x14ac:dyDescent="0.25">
      <c r="B7" s="2" t="str">
        <f>Products!B6</f>
        <v>P003</v>
      </c>
      <c r="C7" s="2" t="str">
        <f>Products!C6</f>
        <v>Olives 160/180, brined</v>
      </c>
      <c r="D7" s="2" t="str">
        <f>Products!D6</f>
        <v>Olives</v>
      </c>
      <c r="E7" s="2" t="str">
        <f>Products!G6</f>
        <v>Yes</v>
      </c>
      <c r="F7" s="2" t="str">
        <f>Products!I6</f>
        <v>Medium</v>
      </c>
      <c r="G7" s="2" t="str">
        <f>Products!H6</f>
        <v>Spring-Summer</v>
      </c>
      <c r="H7" s="2" t="str">
        <f t="shared" si="0"/>
        <v>Watch</v>
      </c>
      <c r="I7" s="2" t="str">
        <f>IFERROR(INDEX(TblSupply[Supplier],MATCH(1,INDEX((TblSupply[ProductID]=B7)*(TblSupply[SupplierRole]="Primary"),0),0)),"")</f>
        <v>El Olivar Olives Ltd.</v>
      </c>
      <c r="J7" s="2" t="str">
        <f>IFERROR(INDEX(TblSuppliers[Phone],MATCH(I7,TblSuppliers[Supplier],0)),"")</f>
        <v>+56 9 5511 2233</v>
      </c>
      <c r="K7" s="2" t="str">
        <f>IFERROR(INDEX(TblSuppliers[Delivery?],MATCH(I7,TblSuppliers[Supplier],0)),"")</f>
        <v>Yes</v>
      </c>
    </row>
    <row r="8" spans="2:11" x14ac:dyDescent="0.25">
      <c r="B8" s="2" t="str">
        <f>Products!B7</f>
        <v>P004</v>
      </c>
      <c r="C8" s="2" t="str">
        <f>Products!C7</f>
        <v>Olives 180/200, brined</v>
      </c>
      <c r="D8" s="2" t="str">
        <f>Products!D7</f>
        <v>Olives</v>
      </c>
      <c r="E8" s="2" t="str">
        <f>Products!G7</f>
        <v>No</v>
      </c>
      <c r="F8" s="2" t="str">
        <f>Products!I7</f>
        <v>Medium</v>
      </c>
      <c r="G8" s="2" t="str">
        <f>Products!H7</f>
        <v>Spring-Summer</v>
      </c>
      <c r="H8" s="2" t="str">
        <f t="shared" si="0"/>
        <v>Low priority</v>
      </c>
      <c r="I8" s="2" t="str">
        <f>IFERROR(INDEX(TblSupply[Supplier],MATCH(1,INDEX((TblSupply[ProductID]=B8)*(TblSupply[SupplierRole]="Primary"),0),0)),"")</f>
        <v>El Olivar Olives Ltd.</v>
      </c>
      <c r="J8" s="2" t="str">
        <f>IFERROR(INDEX(TblSuppliers[Phone],MATCH(I8,TblSuppliers[Supplier],0)),"")</f>
        <v>+56 9 5511 2233</v>
      </c>
      <c r="K8" s="2" t="str">
        <f>IFERROR(INDEX(TblSuppliers[Delivery?],MATCH(I8,TblSuppliers[Supplier],0)),"")</f>
        <v>Yes</v>
      </c>
    </row>
    <row r="9" spans="2:11" x14ac:dyDescent="0.25">
      <c r="B9" s="2" t="str">
        <f>Products!B8</f>
        <v>P005</v>
      </c>
      <c r="C9" s="2" t="str">
        <f>Products!C8</f>
        <v>Olives 200/220, brined</v>
      </c>
      <c r="D9" s="2" t="str">
        <f>Products!D8</f>
        <v>Olives</v>
      </c>
      <c r="E9" s="2" t="str">
        <f>Products!G8</f>
        <v>Yes</v>
      </c>
      <c r="F9" s="2" t="str">
        <f>Products!I8</f>
        <v>High</v>
      </c>
      <c r="G9" s="2" t="str">
        <f>Products!H8</f>
        <v>Spring-Summer</v>
      </c>
      <c r="H9" s="2" t="str">
        <f t="shared" si="0"/>
        <v>OK</v>
      </c>
      <c r="I9" s="2" t="str">
        <f>IFERROR(INDEX(TblSupply[Supplier],MATCH(1,INDEX((TblSupply[ProductID]=B9)*(TblSupply[SupplierRole]="Primary"),0),0)),"")</f>
        <v>El Olivar Olives Ltd.</v>
      </c>
      <c r="J9" s="2" t="str">
        <f>IFERROR(INDEX(TblSuppliers[Phone],MATCH(I9,TblSuppliers[Supplier],0)),"")</f>
        <v>+56 9 5511 2233</v>
      </c>
      <c r="K9" s="2" t="str">
        <f>IFERROR(INDEX(TblSuppliers[Delivery?],MATCH(I9,TblSuppliers[Supplier],0)),"")</f>
        <v>Yes</v>
      </c>
    </row>
    <row r="10" spans="2:11" x14ac:dyDescent="0.25">
      <c r="B10" s="2" t="str">
        <f>Products!B9</f>
        <v>P006</v>
      </c>
      <c r="C10" s="2" t="str">
        <f>Products!C9</f>
        <v>Olives 220/240, brined</v>
      </c>
      <c r="D10" s="2" t="str">
        <f>Products!D9</f>
        <v>Olives</v>
      </c>
      <c r="E10" s="2" t="str">
        <f>Products!G9</f>
        <v>No</v>
      </c>
      <c r="F10" s="2" t="str">
        <f>Products!I9</f>
        <v>High</v>
      </c>
      <c r="G10" s="2" t="str">
        <f>Products!H9</f>
        <v>Spring-Summer</v>
      </c>
      <c r="H10" s="2" t="str">
        <f t="shared" si="0"/>
        <v>Low priority</v>
      </c>
      <c r="I10" s="2" t="str">
        <f>IFERROR(INDEX(TblSupply[Supplier],MATCH(1,INDEX((TblSupply[ProductID]=B10)*(TblSupply[SupplierRole]="Primary"),0),0)),"")</f>
        <v>El Olivar Olives Ltd.</v>
      </c>
      <c r="J10" s="2" t="str">
        <f>IFERROR(INDEX(TblSuppliers[Phone],MATCH(I10,TblSuppliers[Supplier],0)),"")</f>
        <v>+56 9 5511 2233</v>
      </c>
      <c r="K10" s="2" t="str">
        <f>IFERROR(INDEX(TblSuppliers[Delivery?],MATCH(I10,TblSuppliers[Supplier],0)),"")</f>
        <v>Yes</v>
      </c>
    </row>
    <row r="11" spans="2:11" x14ac:dyDescent="0.25">
      <c r="B11" s="2" t="str">
        <f>Products!B10</f>
        <v>P007</v>
      </c>
      <c r="C11" s="2" t="str">
        <f>Products!C10</f>
        <v>Olives 240/260 (small), brined</v>
      </c>
      <c r="D11" s="2" t="str">
        <f>Products!D10</f>
        <v>Olives</v>
      </c>
      <c r="E11" s="2" t="str">
        <f>Products!G10</f>
        <v>No</v>
      </c>
      <c r="F11" s="2" t="str">
        <f>Products!I10</f>
        <v>High</v>
      </c>
      <c r="G11" s="2" t="str">
        <f>Products!H10</f>
        <v>Spring-Summer</v>
      </c>
      <c r="H11" s="2" t="str">
        <f t="shared" si="0"/>
        <v>Low priority</v>
      </c>
      <c r="I11" s="2" t="str">
        <f>IFERROR(INDEX(TblSupply[Supplier],MATCH(1,INDEX((TblSupply[ProductID]=B11)*(TblSupply[SupplierRole]="Primary"),0),0)),"")</f>
        <v>El Olivar Olives Ltd.</v>
      </c>
      <c r="J11" s="2" t="str">
        <f>IFERROR(INDEX(TblSuppliers[Phone],MATCH(I11,TblSuppliers[Supplier],0)),"")</f>
        <v>+56 9 5511 2233</v>
      </c>
      <c r="K11" s="2" t="str">
        <f>IFERROR(INDEX(TblSuppliers[Delivery?],MATCH(I11,TblSuppliers[Supplier],0)),"")</f>
        <v>Yes</v>
      </c>
    </row>
    <row r="12" spans="2:11" x14ac:dyDescent="0.25">
      <c r="B12" s="2" t="str">
        <f>Products!B11</f>
        <v>P008</v>
      </c>
      <c r="C12" s="2" t="str">
        <f>Products!C11</f>
        <v>Pitted olives</v>
      </c>
      <c r="D12" s="2" t="str">
        <f>Products!D11</f>
        <v>Olives</v>
      </c>
      <c r="E12" s="2" t="str">
        <f>Products!G11</f>
        <v>No</v>
      </c>
      <c r="F12" s="2" t="str">
        <f>Products!I11</f>
        <v>Low</v>
      </c>
      <c r="G12" s="2" t="str">
        <f>Products!H11</f>
        <v>Spring-Summer</v>
      </c>
      <c r="H12" s="2" t="str">
        <f t="shared" si="0"/>
        <v>Low priority</v>
      </c>
      <c r="I12" s="2" t="str">
        <f>IFERROR(INDEX(TblSupply[Supplier],MATCH(1,INDEX((TblSupply[ProductID]=B12)*(TblSupply[SupplierRole]="Primary"),0),0)),"")</f>
        <v>El Olivar Olives Ltd.</v>
      </c>
      <c r="J12" s="2" t="str">
        <f>IFERROR(INDEX(TblSuppliers[Phone],MATCH(I12,TblSuppliers[Supplier],0)),"")</f>
        <v>+56 9 5511 2233</v>
      </c>
      <c r="K12" s="2" t="str">
        <f>IFERROR(INDEX(TblSuppliers[Delivery?],MATCH(I12,TblSuppliers[Supplier],0)),"")</f>
        <v>Yes</v>
      </c>
    </row>
    <row r="13" spans="2:11" x14ac:dyDescent="0.25">
      <c r="B13" s="2" t="str">
        <f>Products!B12</f>
        <v>P009</v>
      </c>
      <c r="C13" s="2" t="str">
        <f>Products!C12</f>
        <v>Sliced olives (for salads)</v>
      </c>
      <c r="D13" s="2" t="str">
        <f>Products!D12</f>
        <v>Olives</v>
      </c>
      <c r="E13" s="2" t="str">
        <f>Products!G12</f>
        <v>No</v>
      </c>
      <c r="F13" s="2" t="str">
        <f>Products!I12</f>
        <v>Medium</v>
      </c>
      <c r="G13" s="2" t="str">
        <f>Products!H12</f>
        <v>Spring-Summer</v>
      </c>
      <c r="H13" s="2" t="str">
        <f t="shared" si="0"/>
        <v>Low priority</v>
      </c>
      <c r="I13" s="2" t="str">
        <f>IFERROR(INDEX(TblSupply[Supplier],MATCH(1,INDEX((TblSupply[ProductID]=B13)*(TblSupply[SupplierRole]="Primary"),0),0)),"")</f>
        <v>El Olivar Olives Ltd.</v>
      </c>
      <c r="J13" s="2" t="str">
        <f>IFERROR(INDEX(TblSuppliers[Phone],MATCH(I13,TblSuppliers[Supplier],0)),"")</f>
        <v>+56 9 5511 2233</v>
      </c>
      <c r="K13" s="2" t="str">
        <f>IFERROR(INDEX(TblSuppliers[Delivery?],MATCH(I13,TblSuppliers[Supplier],0)),"")</f>
        <v>Yes</v>
      </c>
    </row>
    <row r="14" spans="2:11" x14ac:dyDescent="0.25">
      <c r="B14" s="2" t="str">
        <f>Products!B13</f>
        <v>P010</v>
      </c>
      <c r="C14" s="2" t="str">
        <f>Products!C13</f>
        <v>Cracked green olives with garlic</v>
      </c>
      <c r="D14" s="2" t="str">
        <f>Products!D13</f>
        <v>Olives</v>
      </c>
      <c r="E14" s="2" t="str">
        <f>Products!G13</f>
        <v>No</v>
      </c>
      <c r="F14" s="2" t="str">
        <f>Products!I13</f>
        <v>Medium</v>
      </c>
      <c r="G14" s="2" t="str">
        <f>Products!H13</f>
        <v>Spring-Summer</v>
      </c>
      <c r="H14" s="2" t="str">
        <f t="shared" si="0"/>
        <v>Low priority</v>
      </c>
      <c r="I14" s="2" t="str">
        <f>IFERROR(INDEX(TblSupply[Supplier],MATCH(1,INDEX((TblSupply[ProductID]=B14)*(TblSupply[SupplierRole]="Primary"),0),0)),"")</f>
        <v>El Olivar Olives Ltd.</v>
      </c>
      <c r="J14" s="2" t="str">
        <f>IFERROR(INDEX(TblSuppliers[Phone],MATCH(I14,TblSuppliers[Supplier],0)),"")</f>
        <v>+56 9 5511 2233</v>
      </c>
      <c r="K14" s="2" t="str">
        <f>IFERROR(INDEX(TblSuppliers[Delivery?],MATCH(I14,TblSuppliers[Supplier],0)),"")</f>
        <v>Yes</v>
      </c>
    </row>
    <row r="15" spans="2:11" x14ac:dyDescent="0.25">
      <c r="B15" s="2" t="str">
        <f>Products!B14</f>
        <v>P011</v>
      </c>
      <c r="C15" s="2" t="str">
        <f>Products!C14</f>
        <v>Black olive pate, jar 250g</v>
      </c>
      <c r="D15" s="2" t="str">
        <f>Products!D14</f>
        <v>Olives</v>
      </c>
      <c r="E15" s="2" t="str">
        <f>Products!G14</f>
        <v>No</v>
      </c>
      <c r="F15" s="2" t="str">
        <f>Products!I14</f>
        <v>High</v>
      </c>
      <c r="G15" s="2" t="str">
        <f>Products!H14</f>
        <v>All year</v>
      </c>
      <c r="H15" s="2" t="str">
        <f t="shared" si="0"/>
        <v>Low priority</v>
      </c>
      <c r="I15" s="2" t="str">
        <f>IFERROR(INDEX(TblSupply[Supplier],MATCH(1,INDEX((TblSupply[ProductID]=B15)*(TblSupply[SupplierRole]="Primary"),0),0)),"")</f>
        <v>El Olivar Olives Ltd.</v>
      </c>
      <c r="J15" s="2" t="str">
        <f>IFERROR(INDEX(TblSuppliers[Phone],MATCH(I15,TblSuppliers[Supplier],0)),"")</f>
        <v>+56 9 5511 2233</v>
      </c>
      <c r="K15" s="2" t="str">
        <f>IFERROR(INDEX(TblSuppliers[Delivery?],MATCH(I15,TblSuppliers[Supplier],0)),"")</f>
        <v>Yes</v>
      </c>
    </row>
    <row r="16" spans="2:11" x14ac:dyDescent="0.25">
      <c r="B16" s="2" t="str">
        <f>Products!B15</f>
        <v>P012</v>
      </c>
      <c r="C16" s="2" t="str">
        <f>Products!C15</f>
        <v>Cooked mote (hominy wheat)</v>
      </c>
      <c r="D16" s="2" t="str">
        <f>Products!D15</f>
        <v>Grains</v>
      </c>
      <c r="E16" s="2" t="str">
        <f>Products!G15</f>
        <v>Yes</v>
      </c>
      <c r="F16" s="2" t="str">
        <f>Products!I15</f>
        <v>Low</v>
      </c>
      <c r="G16" s="2" t="str">
        <f>Products!H15</f>
        <v>Spring-Summer</v>
      </c>
      <c r="H16" s="2" t="str">
        <f t="shared" si="0"/>
        <v>URGENT</v>
      </c>
      <c r="I16" s="2" t="str">
        <f>IFERROR(INDEX(TblSupply[Supplier],MATCH(1,INDEX((TblSupply[ProductID]=B16)*(TblSupply[SupplierRole]="Primary"),0),0)),"")</f>
        <v>San Vicente Grains &amp; Legumes</v>
      </c>
      <c r="J16" s="2" t="str">
        <f>IFERROR(INDEX(TblSuppliers[Phone],MATCH(I16,TblSuppliers[Supplier],0)),"")</f>
        <v>+56 9 4422 1188</v>
      </c>
      <c r="K16" s="2" t="str">
        <f>IFERROR(INDEX(TblSuppliers[Delivery?],MATCH(I16,TblSuppliers[Supplier],0)),"")</f>
        <v>No</v>
      </c>
    </row>
    <row r="17" spans="2:11" x14ac:dyDescent="0.25">
      <c r="B17" s="2" t="str">
        <f>Products!B16</f>
        <v>P013</v>
      </c>
      <c r="C17" s="2" t="str">
        <f>Products!C16</f>
        <v>Dry mote (raw)</v>
      </c>
      <c r="D17" s="2" t="str">
        <f>Products!D16</f>
        <v>Grains</v>
      </c>
      <c r="E17" s="2" t="str">
        <f>Products!G16</f>
        <v>No</v>
      </c>
      <c r="F17" s="2" t="str">
        <f>Products!I16</f>
        <v>Low</v>
      </c>
      <c r="G17" s="2" t="str">
        <f>Products!H16</f>
        <v>Spring-Summer</v>
      </c>
      <c r="H17" s="2" t="str">
        <f t="shared" si="0"/>
        <v>Low priority</v>
      </c>
      <c r="I17" s="2" t="str">
        <f>IFERROR(INDEX(TblSupply[Supplier],MATCH(1,INDEX((TblSupply[ProductID]=B17)*(TblSupply[SupplierRole]="Primary"),0),0)),"")</f>
        <v>San Vicente Grains &amp; Legumes</v>
      </c>
      <c r="J17" s="2" t="str">
        <f>IFERROR(INDEX(TblSuppliers[Phone],MATCH(I17,TblSuppliers[Supplier],0)),"")</f>
        <v>+56 9 4422 1188</v>
      </c>
      <c r="K17" s="2" t="str">
        <f>IFERROR(INDEX(TblSuppliers[Delivery?],MATCH(I17,TblSuppliers[Supplier],0)),"")</f>
        <v>No</v>
      </c>
    </row>
    <row r="18" spans="2:11" x14ac:dyDescent="0.25">
      <c r="B18" s="2" t="str">
        <f>Products!B17</f>
        <v>P014</v>
      </c>
      <c r="C18" s="2" t="str">
        <f>Products!C17</f>
        <v>Premium pearled mote</v>
      </c>
      <c r="D18" s="2" t="str">
        <f>Products!D17</f>
        <v>Grains</v>
      </c>
      <c r="E18" s="2" t="str">
        <f>Products!G17</f>
        <v>No</v>
      </c>
      <c r="F18" s="2" t="str">
        <f>Products!I17</f>
        <v>High</v>
      </c>
      <c r="G18" s="2" t="str">
        <f>Products!H17</f>
        <v>Spring-Summer</v>
      </c>
      <c r="H18" s="2" t="str">
        <f t="shared" si="0"/>
        <v>Low priority</v>
      </c>
      <c r="I18" s="2" t="str">
        <f>IFERROR(INDEX(TblSupply[Supplier],MATCH(1,INDEX((TblSupply[ProductID]=B18)*(TblSupply[SupplierRole]="Primary"),0),0)),"")</f>
        <v>San Vicente Grains &amp; Legumes</v>
      </c>
      <c r="J18" s="2" t="str">
        <f>IFERROR(INDEX(TblSuppliers[Phone],MATCH(I18,TblSuppliers[Supplier],0)),"")</f>
        <v>+56 9 4422 1188</v>
      </c>
      <c r="K18" s="2" t="str">
        <f>IFERROR(INDEX(TblSuppliers[Delivery?],MATCH(I18,TblSuppliers[Supplier],0)),"")</f>
        <v>No</v>
      </c>
    </row>
    <row r="19" spans="2:11" x14ac:dyDescent="0.25">
      <c r="B19" s="2" t="str">
        <f>Products!B18</f>
        <v>P015</v>
      </c>
      <c r="C19" s="2" t="str">
        <f>Products!C18</f>
        <v>Pearl barley</v>
      </c>
      <c r="D19" s="2" t="str">
        <f>Products!D18</f>
        <v>Grains</v>
      </c>
      <c r="E19" s="2" t="str">
        <f>Products!G18</f>
        <v>No</v>
      </c>
      <c r="F19" s="2" t="str">
        <f>Products!I18</f>
        <v>High</v>
      </c>
      <c r="G19" s="2" t="str">
        <f>Products!H18</f>
        <v>All year</v>
      </c>
      <c r="H19" s="2" t="str">
        <f t="shared" si="0"/>
        <v>Low priority</v>
      </c>
      <c r="I19" s="2" t="str">
        <f>IFERROR(INDEX(TblSupply[Supplier],MATCH(1,INDEX((TblSupply[ProductID]=B19)*(TblSupply[SupplierRole]="Primary"),0),0)),"")</f>
        <v>San Vicente Grains &amp; Legumes</v>
      </c>
      <c r="J19" s="2" t="str">
        <f>IFERROR(INDEX(TblSuppliers[Phone],MATCH(I19,TblSuppliers[Supplier],0)),"")</f>
        <v>+56 9 4422 1188</v>
      </c>
      <c r="K19" s="2" t="str">
        <f>IFERROR(INDEX(TblSuppliers[Delivery?],MATCH(I19,TblSuppliers[Supplier],0)),"")</f>
        <v>No</v>
      </c>
    </row>
    <row r="20" spans="2:11" x14ac:dyDescent="0.25">
      <c r="B20" s="2" t="str">
        <f>Products!B19</f>
        <v>P016</v>
      </c>
      <c r="C20" s="2" t="str">
        <f>Products!C19</f>
        <v>Mixed pickles, jar 500g</v>
      </c>
      <c r="D20" s="2" t="str">
        <f>Products!D19</f>
        <v>Pickles</v>
      </c>
      <c r="E20" s="2" t="str">
        <f>Products!G19</f>
        <v>No</v>
      </c>
      <c r="F20" s="2" t="str">
        <f>Products!I19</f>
        <v>High</v>
      </c>
      <c r="G20" s="2" t="str">
        <f>Products!H19</f>
        <v>All year</v>
      </c>
      <c r="H20" s="2" t="str">
        <f t="shared" si="0"/>
        <v>Low priority</v>
      </c>
      <c r="I20" s="2" t="str">
        <f>IFERROR(INDEX(TblSupply[Supplier],MATCH(1,INDEX((TblSupply[ProductID]=B20)*(TblSupply[SupplierRole]="Primary"),0),0)),"")</f>
        <v>Doña Rosa Pickles</v>
      </c>
      <c r="J20" s="2" t="str">
        <f>IFERROR(INDEX(TblSuppliers[Phone],MATCH(I20,TblSuppliers[Supplier],0)),"")</f>
        <v>+56 9 6633 9944</v>
      </c>
      <c r="K20" s="2" t="str">
        <f>IFERROR(INDEX(TblSuppliers[Delivery?],MATCH(I20,TblSuppliers[Supplier],0)),"")</f>
        <v>Yes</v>
      </c>
    </row>
    <row r="21" spans="2:11" x14ac:dyDescent="0.25">
      <c r="B21" s="2" t="str">
        <f>Products!B20</f>
        <v>P017</v>
      </c>
      <c r="C21" s="2" t="str">
        <f>Products!C20</f>
        <v>Pickled onions, jar 500g</v>
      </c>
      <c r="D21" s="2" t="str">
        <f>Products!D20</f>
        <v>Pickles</v>
      </c>
      <c r="E21" s="2" t="str">
        <f>Products!G20</f>
        <v>No</v>
      </c>
      <c r="F21" s="2" t="str">
        <f>Products!I20</f>
        <v>High</v>
      </c>
      <c r="G21" s="2" t="str">
        <f>Products!H20</f>
        <v>All year</v>
      </c>
      <c r="H21" s="2" t="str">
        <f t="shared" si="0"/>
        <v>Low priority</v>
      </c>
      <c r="I21" s="2" t="str">
        <f>IFERROR(INDEX(TblSupply[Supplier],MATCH(1,INDEX((TblSupply[ProductID]=B21)*(TblSupply[SupplierRole]="Primary"),0),0)),"")</f>
        <v>Doña Rosa Pickles</v>
      </c>
      <c r="J21" s="2" t="str">
        <f>IFERROR(INDEX(TblSuppliers[Phone],MATCH(I21,TblSuppliers[Supplier],0)),"")</f>
        <v>+56 9 6633 9944</v>
      </c>
      <c r="K21" s="2" t="str">
        <f>IFERROR(INDEX(TblSuppliers[Delivery?],MATCH(I21,TblSuppliers[Supplier],0)),"")</f>
        <v>Yes</v>
      </c>
    </row>
    <row r="22" spans="2:11" x14ac:dyDescent="0.25">
      <c r="B22" s="2" t="str">
        <f>Products!B21</f>
        <v>P018</v>
      </c>
      <c r="C22" s="2" t="str">
        <f>Products!C21</f>
        <v>Pickled cauliflower, jar 500g</v>
      </c>
      <c r="D22" s="2" t="str">
        <f>Products!D21</f>
        <v>Pickles</v>
      </c>
      <c r="E22" s="2" t="str">
        <f>Products!G21</f>
        <v>No</v>
      </c>
      <c r="F22" s="2" t="str">
        <f>Products!I21</f>
        <v>Medium</v>
      </c>
      <c r="G22" s="2" t="str">
        <f>Products!H21</f>
        <v>All year</v>
      </c>
      <c r="H22" s="2" t="str">
        <f t="shared" si="0"/>
        <v>Low priority</v>
      </c>
      <c r="I22" s="2" t="str">
        <f>IFERROR(INDEX(TblSupply[Supplier],MATCH(1,INDEX((TblSupply[ProductID]=B22)*(TblSupply[SupplierRole]="Primary"),0),0)),"")</f>
        <v>Doña Rosa Pickles</v>
      </c>
      <c r="J22" s="2" t="str">
        <f>IFERROR(INDEX(TblSuppliers[Phone],MATCH(I22,TblSuppliers[Supplier],0)),"")</f>
        <v>+56 9 6633 9944</v>
      </c>
      <c r="K22" s="2" t="str">
        <f>IFERROR(INDEX(TblSuppliers[Delivery?],MATCH(I22,TblSuppliers[Supplier],0)),"")</f>
        <v>Yes</v>
      </c>
    </row>
    <row r="23" spans="2:11" x14ac:dyDescent="0.25">
      <c r="B23" s="2" t="str">
        <f>Products!B22</f>
        <v>P019</v>
      </c>
      <c r="C23" s="2" t="str">
        <f>Products!C22</f>
        <v>Pickled gherkins, jar 500g</v>
      </c>
      <c r="D23" s="2" t="str">
        <f>Products!D22</f>
        <v>Pickles</v>
      </c>
      <c r="E23" s="2" t="str">
        <f>Products!G22</f>
        <v>No</v>
      </c>
      <c r="F23" s="2" t="str">
        <f>Products!I22</f>
        <v>High</v>
      </c>
      <c r="G23" s="2" t="str">
        <f>Products!H22</f>
        <v>All year</v>
      </c>
      <c r="H23" s="2" t="str">
        <f t="shared" si="0"/>
        <v>Low priority</v>
      </c>
      <c r="I23" s="2" t="str">
        <f>IFERROR(INDEX(TblSupply[Supplier],MATCH(1,INDEX((TblSupply[ProductID]=B23)*(TblSupply[SupplierRole]="Primary"),0),0)),"")</f>
        <v>Doña Rosa Pickles</v>
      </c>
      <c r="J23" s="2" t="str">
        <f>IFERROR(INDEX(TblSuppliers[Phone],MATCH(I23,TblSuppliers[Supplier],0)),"")</f>
        <v>+56 9 6633 9944</v>
      </c>
      <c r="K23" s="2" t="str">
        <f>IFERROR(INDEX(TblSuppliers[Delivery?],MATCH(I23,TblSuppliers[Supplier],0)),"")</f>
        <v>Yes</v>
      </c>
    </row>
    <row r="24" spans="2:11" x14ac:dyDescent="0.25">
      <c r="B24" s="2" t="str">
        <f>Products!B23</f>
        <v>P020</v>
      </c>
      <c r="C24" s="2" t="str">
        <f>Products!C23</f>
        <v>Pickled jalapeños, jar 500g</v>
      </c>
      <c r="D24" s="2" t="str">
        <f>Products!D23</f>
        <v>Pickles</v>
      </c>
      <c r="E24" s="2" t="str">
        <f>Products!G23</f>
        <v>No</v>
      </c>
      <c r="F24" s="2" t="str">
        <f>Products!I23</f>
        <v>High</v>
      </c>
      <c r="G24" s="2" t="str">
        <f>Products!H23</f>
        <v>All year</v>
      </c>
      <c r="H24" s="2" t="str">
        <f t="shared" si="0"/>
        <v>Low priority</v>
      </c>
      <c r="I24" s="2" t="str">
        <f>IFERROR(INDEX(TblSupply[Supplier],MATCH(1,INDEX((TblSupply[ProductID]=B24)*(TblSupply[SupplierRole]="Primary"),0),0)),"")</f>
        <v>Doña Rosa Pickles</v>
      </c>
      <c r="J24" s="2" t="str">
        <f>IFERROR(INDEX(TblSuppliers[Phone],MATCH(I24,TblSuppliers[Supplier],0)),"")</f>
        <v>+56 9 6633 9944</v>
      </c>
      <c r="K24" s="2" t="str">
        <f>IFERROR(INDEX(TblSuppliers[Delivery?],MATCH(I24,TblSuppliers[Supplier],0)),"")</f>
        <v>Yes</v>
      </c>
    </row>
    <row r="25" spans="2:11" x14ac:dyDescent="0.25">
      <c r="B25" s="2" t="str">
        <f>Products!B24</f>
        <v>P021</v>
      </c>
      <c r="C25" s="2" t="str">
        <f>Products!C24</f>
        <v>Ground golden chili (aji de color), bag 100g</v>
      </c>
      <c r="D25" s="2" t="str">
        <f>Products!D24</f>
        <v>Chili</v>
      </c>
      <c r="E25" s="2" t="str">
        <f>Products!G24</f>
        <v>Yes</v>
      </c>
      <c r="F25" s="2" t="str">
        <f>Products!I24</f>
        <v>Medium</v>
      </c>
      <c r="G25" s="2" t="str">
        <f>Products!H24</f>
        <v>All year</v>
      </c>
      <c r="H25" s="2" t="str">
        <f t="shared" si="0"/>
        <v>Watch</v>
      </c>
      <c r="I25" s="2" t="str">
        <f>IFERROR(INDEX(TblSupply[Supplier],MATCH(1,INDEX((TblSupply[ProductID]=B25)*(TblSupply[SupplierRole]="Primary"),0),0)),"")</f>
        <v>Curico Chili &amp; Sauces</v>
      </c>
      <c r="J25" s="2" t="str">
        <f>IFERROR(INDEX(TblSuppliers[Phone],MATCH(I25,TblSuppliers[Supplier],0)),"")</f>
        <v>+56 9 7788 1122</v>
      </c>
      <c r="K25" s="2" t="str">
        <f>IFERROR(INDEX(TblSuppliers[Delivery?],MATCH(I25,TblSuppliers[Supplier],0)),"")</f>
        <v>No</v>
      </c>
    </row>
    <row r="26" spans="2:11" x14ac:dyDescent="0.25">
      <c r="B26" s="2" t="str">
        <f>Products!B25</f>
        <v>P022</v>
      </c>
      <c r="C26" s="2" t="str">
        <f>Products!C25</f>
        <v>Bottled chili sauce, bottle 200ml</v>
      </c>
      <c r="D26" s="2" t="str">
        <f>Products!D25</f>
        <v>Chili</v>
      </c>
      <c r="E26" s="2" t="str">
        <f>Products!G25</f>
        <v>Yes</v>
      </c>
      <c r="F26" s="2" t="str">
        <f>Products!I25</f>
        <v>High</v>
      </c>
      <c r="G26" s="2" t="str">
        <f>Products!H25</f>
        <v>All year</v>
      </c>
      <c r="H26" s="2" t="str">
        <f t="shared" si="0"/>
        <v>OK</v>
      </c>
      <c r="I26" s="2" t="str">
        <f>IFERROR(INDEX(TblSupply[Supplier],MATCH(1,INDEX((TblSupply[ProductID]=B26)*(TblSupply[SupplierRole]="Primary"),0),0)),"")</f>
        <v>Curico Chili &amp; Sauces</v>
      </c>
      <c r="J26" s="2" t="str">
        <f>IFERROR(INDEX(TblSuppliers[Phone],MATCH(I26,TblSuppliers[Supplier],0)),"")</f>
        <v>+56 9 7788 1122</v>
      </c>
      <c r="K26" s="2" t="str">
        <f>IFERROR(INDEX(TblSuppliers[Delivery?],MATCH(I26,TblSuppliers[Supplier],0)),"")</f>
        <v>No</v>
      </c>
    </row>
    <row r="27" spans="2:11" x14ac:dyDescent="0.25">
      <c r="B27" s="2" t="str">
        <f>Products!B26</f>
        <v>P023</v>
      </c>
      <c r="C27" s="2" t="str">
        <f>Products!C26</f>
        <v>Chili paste, bag 250g</v>
      </c>
      <c r="D27" s="2" t="str">
        <f>Products!D26</f>
        <v>Chili</v>
      </c>
      <c r="E27" s="2" t="str">
        <f>Products!G26</f>
        <v>No</v>
      </c>
      <c r="F27" s="2" t="str">
        <f>Products!I26</f>
        <v>High</v>
      </c>
      <c r="G27" s="2" t="str">
        <f>Products!H26</f>
        <v>All year</v>
      </c>
      <c r="H27" s="2" t="str">
        <f t="shared" si="0"/>
        <v>Low priority</v>
      </c>
      <c r="I27" s="2" t="str">
        <f>IFERROR(INDEX(TblSupply[Supplier],MATCH(1,INDEX((TblSupply[ProductID]=B27)*(TblSupply[SupplierRole]="Primary"),0),0)),"")</f>
        <v>Curico Chili &amp; Sauces</v>
      </c>
      <c r="J27" s="2" t="str">
        <f>IFERROR(INDEX(TblSuppliers[Phone],MATCH(I27,TblSuppliers[Supplier],0)),"")</f>
        <v>+56 9 7788 1122</v>
      </c>
      <c r="K27" s="2" t="str">
        <f>IFERROR(INDEX(TblSuppliers[Delivery?],MATCH(I27,TblSuppliers[Supplier],0)),"")</f>
        <v>No</v>
      </c>
    </row>
    <row r="28" spans="2:11" x14ac:dyDescent="0.25">
      <c r="B28" s="2" t="str">
        <f>Products!B27</f>
        <v>P024</v>
      </c>
      <c r="C28" s="2" t="str">
        <f>Products!C27</f>
        <v>Chili paste, bottle 200ml</v>
      </c>
      <c r="D28" s="2" t="str">
        <f>Products!D27</f>
        <v>Chili</v>
      </c>
      <c r="E28" s="2" t="str">
        <f>Products!G27</f>
        <v>No</v>
      </c>
      <c r="F28" s="2" t="str">
        <f>Products!I27</f>
        <v>High</v>
      </c>
      <c r="G28" s="2" t="str">
        <f>Products!H27</f>
        <v>All year</v>
      </c>
      <c r="H28" s="2" t="str">
        <f t="shared" si="0"/>
        <v>Low priority</v>
      </c>
      <c r="I28" s="2" t="str">
        <f>IFERROR(INDEX(TblSupply[Supplier],MATCH(1,INDEX((TblSupply[ProductID]=B28)*(TblSupply[SupplierRole]="Primary"),0),0)),"")</f>
        <v>Curico Chili &amp; Sauces</v>
      </c>
      <c r="J28" s="2" t="str">
        <f>IFERROR(INDEX(TblSuppliers[Phone],MATCH(I28,TblSuppliers[Supplier],0)),"")</f>
        <v>+56 9 7788 1122</v>
      </c>
      <c r="K28" s="2" t="str">
        <f>IFERROR(INDEX(TblSuppliers[Delivery?],MATCH(I28,TblSuppliers[Supplier],0)),"")</f>
        <v>No</v>
      </c>
    </row>
    <row r="29" spans="2:11" x14ac:dyDescent="0.25">
      <c r="B29" s="2" t="str">
        <f>Products!B28</f>
        <v>P025</v>
      </c>
      <c r="C29" s="2" t="str">
        <f>Products!C28</f>
        <v>Sliced green chili, bag 200g</v>
      </c>
      <c r="D29" s="2" t="str">
        <f>Products!D28</f>
        <v>Chili</v>
      </c>
      <c r="E29" s="2" t="str">
        <f>Products!G28</f>
        <v>No</v>
      </c>
      <c r="F29" s="2" t="str">
        <f>Products!I28</f>
        <v>Medium</v>
      </c>
      <c r="G29" s="2" t="str">
        <f>Products!H28</f>
        <v>Fall-Winter</v>
      </c>
      <c r="H29" s="2" t="str">
        <f t="shared" si="0"/>
        <v>Low priority</v>
      </c>
      <c r="I29" s="2" t="str">
        <f>IFERROR(INDEX(TblSupply[Supplier],MATCH(1,INDEX((TblSupply[ProductID]=B29)*(TblSupply[SupplierRole]="Primary"),0),0)),"")</f>
        <v>Curico Chili &amp; Sauces</v>
      </c>
      <c r="J29" s="2" t="str">
        <f>IFERROR(INDEX(TblSuppliers[Phone],MATCH(I29,TblSuppliers[Supplier],0)),"")</f>
        <v>+56 9 7788 1122</v>
      </c>
      <c r="K29" s="2" t="str">
        <f>IFERROR(INDEX(TblSuppliers[Delivery?],MATCH(I29,TblSuppliers[Supplier],0)),"")</f>
        <v>No</v>
      </c>
    </row>
    <row r="30" spans="2:11" x14ac:dyDescent="0.25">
      <c r="B30" s="2" t="str">
        <f>Products!B29</f>
        <v>P026</v>
      </c>
      <c r="C30" s="2" t="str">
        <f>Products!C29</f>
        <v>Dried cacho de cabra chili, bag 50g</v>
      </c>
      <c r="D30" s="2" t="str">
        <f>Products!D29</f>
        <v>Chili</v>
      </c>
      <c r="E30" s="2" t="str">
        <f>Products!G29</f>
        <v>No</v>
      </c>
      <c r="F30" s="2" t="str">
        <f>Products!I29</f>
        <v>Medium</v>
      </c>
      <c r="G30" s="2" t="str">
        <f>Products!H29</f>
        <v>Fall-Winter</v>
      </c>
      <c r="H30" s="2" t="str">
        <f t="shared" si="0"/>
        <v>Low priority</v>
      </c>
      <c r="I30" s="2" t="str">
        <f>IFERROR(INDEX(TblSupply[Supplier],MATCH(1,INDEX((TblSupply[ProductID]=B30)*(TblSupply[SupplierRole]="Primary"),0),0)),"")</f>
        <v>Curico Chili &amp; Sauces</v>
      </c>
      <c r="J30" s="2" t="str">
        <f>IFERROR(INDEX(TblSuppliers[Phone],MATCH(I30,TblSuppliers[Supplier],0)),"")</f>
        <v>+56 9 7788 1122</v>
      </c>
      <c r="K30" s="2" t="str">
        <f>IFERROR(INDEX(TblSuppliers[Delivery?],MATCH(I30,TblSuppliers[Supplier],0)),"")</f>
        <v>No</v>
      </c>
    </row>
    <row r="31" spans="2:11" x14ac:dyDescent="0.25">
      <c r="B31" s="2" t="str">
        <f>Products!B30</f>
        <v>P027</v>
      </c>
      <c r="C31" s="2" t="str">
        <f>Products!C30</f>
        <v>Ground panca chili, bag 100g</v>
      </c>
      <c r="D31" s="2" t="str">
        <f>Products!D30</f>
        <v>Chili</v>
      </c>
      <c r="E31" s="2" t="str">
        <f>Products!G30</f>
        <v>No</v>
      </c>
      <c r="F31" s="2" t="str">
        <f>Products!I30</f>
        <v>High</v>
      </c>
      <c r="G31" s="2" t="str">
        <f>Products!H30</f>
        <v>Fall-Winter</v>
      </c>
      <c r="H31" s="2" t="str">
        <f t="shared" si="0"/>
        <v>Low priority</v>
      </c>
      <c r="I31" s="2" t="str">
        <f>IFERROR(INDEX(TblSupply[Supplier],MATCH(1,INDEX((TblSupply[ProductID]=B31)*(TblSupply[SupplierRole]="Primary"),0),0)),"")</f>
        <v>Curico Chili &amp; Sauces</v>
      </c>
      <c r="J31" s="2" t="str">
        <f>IFERROR(INDEX(TblSuppliers[Phone],MATCH(I31,TblSuppliers[Supplier],0)),"")</f>
        <v>+56 9 7788 1122</v>
      </c>
      <c r="K31" s="2" t="str">
        <f>IFERROR(INDEX(TblSuppliers[Delivery?],MATCH(I31,TblSuppliers[Supplier],0)),"")</f>
        <v>No</v>
      </c>
    </row>
    <row r="32" spans="2:11" x14ac:dyDescent="0.25">
      <c r="B32" s="2" t="str">
        <f>Products!B31</f>
        <v>P028</v>
      </c>
      <c r="C32" s="2" t="str">
        <f>Products!C31</f>
        <v>Merken (smoked chili), bag 100g</v>
      </c>
      <c r="D32" s="2" t="str">
        <f>Products!D31</f>
        <v>Chili</v>
      </c>
      <c r="E32" s="2" t="str">
        <f>Products!G31</f>
        <v>No</v>
      </c>
      <c r="F32" s="2" t="str">
        <f>Products!I31</f>
        <v>Medium</v>
      </c>
      <c r="G32" s="2" t="str">
        <f>Products!H31</f>
        <v>Fall-Winter</v>
      </c>
      <c r="H32" s="2" t="str">
        <f t="shared" si="0"/>
        <v>Low priority</v>
      </c>
      <c r="I32" s="2" t="str">
        <f>IFERROR(INDEX(TblSupply[Supplier],MATCH(1,INDEX((TblSupply[ProductID]=B32)*(TblSupply[SupplierRole]="Primary"),0),0)),"")</f>
        <v>Curico Chili &amp; Sauces</v>
      </c>
      <c r="J32" s="2" t="str">
        <f>IFERROR(INDEX(TblSuppliers[Phone],MATCH(I32,TblSuppliers[Supplier],0)),"")</f>
        <v>+56 9 7788 1122</v>
      </c>
      <c r="K32" s="2" t="str">
        <f>IFERROR(INDEX(TblSuppliers[Delivery?],MATCH(I32,TblSuppliers[Supplier],0)),"")</f>
        <v>No</v>
      </c>
    </row>
    <row r="33" spans="2:11" x14ac:dyDescent="0.25">
      <c r="B33" s="2" t="str">
        <f>Products!B32</f>
        <v>P029</v>
      </c>
      <c r="C33" s="2" t="str">
        <f>Products!C32</f>
        <v>Whole dried red chili, bag 100g</v>
      </c>
      <c r="D33" s="2" t="str">
        <f>Products!D32</f>
        <v>Chili</v>
      </c>
      <c r="E33" s="2" t="str">
        <f>Products!G32</f>
        <v>No</v>
      </c>
      <c r="F33" s="2" t="str">
        <f>Products!I32</f>
        <v>Medium</v>
      </c>
      <c r="G33" s="2" t="str">
        <f>Products!H32</f>
        <v>Fall-Winter</v>
      </c>
      <c r="H33" s="2" t="str">
        <f t="shared" si="0"/>
        <v>Low priority</v>
      </c>
      <c r="I33" s="2" t="str">
        <f>IFERROR(INDEX(TblSupply[Supplier],MATCH(1,INDEX((TblSupply[ProductID]=B33)*(TblSupply[SupplierRole]="Primary"),0),0)),"")</f>
        <v>Curico Chili &amp; Sauces</v>
      </c>
      <c r="J33" s="2" t="str">
        <f>IFERROR(INDEX(TblSuppliers[Phone],MATCH(I33,TblSuppliers[Supplier],0)),"")</f>
        <v>+56 9 7788 1122</v>
      </c>
      <c r="K33" s="2" t="str">
        <f>IFERROR(INDEX(TblSuppliers[Delivery?],MATCH(I33,TblSuppliers[Supplier],0)),"")</f>
        <v>No</v>
      </c>
    </row>
    <row r="34" spans="2:11" x14ac:dyDescent="0.25">
      <c r="B34" s="2" t="str">
        <f>Products!B33</f>
        <v>P030</v>
      </c>
      <c r="C34" s="2" t="str">
        <f>Products!C33</f>
        <v>All-purpose seasoning, bag 100g</v>
      </c>
      <c r="D34" s="2" t="str">
        <f>Products!D33</f>
        <v>Seasonings</v>
      </c>
      <c r="E34" s="2" t="str">
        <f>Products!G33</f>
        <v>Yes</v>
      </c>
      <c r="F34" s="2" t="str">
        <f>Products!I33</f>
        <v>High</v>
      </c>
      <c r="G34" s="2" t="str">
        <f>Products!H33</f>
        <v>All year</v>
      </c>
      <c r="H34" s="2" t="str">
        <f t="shared" si="0"/>
        <v>OK</v>
      </c>
      <c r="I34" s="2" t="str">
        <f>IFERROR(INDEX(TblSupply[Supplier],MATCH(1,INDEX((TblSupply[ProductID]=B34)*(TblSupply[SupplierRole]="Primary"),0),0)),"")</f>
        <v>Valley Spices SpA</v>
      </c>
      <c r="J34" s="2" t="str">
        <f>IFERROR(INDEX(TblSuppliers[Phone],MATCH(I34,TblSuppliers[Supplier],0)),"")</f>
        <v>+56 9 3344 5566</v>
      </c>
      <c r="K34" s="2" t="str">
        <f>IFERROR(INDEX(TblSuppliers[Delivery?],MATCH(I34,TblSuppliers[Supplier],0)),"")</f>
        <v>Yes</v>
      </c>
    </row>
    <row r="35" spans="2:11" x14ac:dyDescent="0.25">
      <c r="B35" s="2" t="str">
        <f>Products!B34</f>
        <v>P031</v>
      </c>
      <c r="C35" s="2" t="str">
        <f>Products!C34</f>
        <v>Ground cumin, bag 100g</v>
      </c>
      <c r="D35" s="2" t="str">
        <f>Products!D34</f>
        <v>Seasonings</v>
      </c>
      <c r="E35" s="2" t="str">
        <f>Products!G34</f>
        <v>Yes</v>
      </c>
      <c r="F35" s="2" t="str">
        <f>Products!I34</f>
        <v>Medium</v>
      </c>
      <c r="G35" s="2" t="str">
        <f>Products!H34</f>
        <v>All year</v>
      </c>
      <c r="H35" s="2" t="str">
        <f t="shared" si="0"/>
        <v>Watch</v>
      </c>
      <c r="I35" s="2" t="str">
        <f>IFERROR(INDEX(TblSupply[Supplier],MATCH(1,INDEX((TblSupply[ProductID]=B35)*(TblSupply[SupplierRole]="Primary"),0),0)),"")</f>
        <v>Valley Spices SpA</v>
      </c>
      <c r="J35" s="2" t="str">
        <f>IFERROR(INDEX(TblSuppliers[Phone],MATCH(I35,TblSuppliers[Supplier],0)),"")</f>
        <v>+56 9 3344 5566</v>
      </c>
      <c r="K35" s="2" t="str">
        <f>IFERROR(INDEX(TblSuppliers[Delivery?],MATCH(I35,TblSuppliers[Supplier],0)),"")</f>
        <v>Yes</v>
      </c>
    </row>
    <row r="36" spans="2:11" x14ac:dyDescent="0.25">
      <c r="B36" s="2" t="str">
        <f>Products!B35</f>
        <v>P032</v>
      </c>
      <c r="C36" s="2" t="str">
        <f>Products!C35</f>
        <v>Oregano, bag 50g</v>
      </c>
      <c r="D36" s="2" t="str">
        <f>Products!D35</f>
        <v>Seasonings</v>
      </c>
      <c r="E36" s="2" t="str">
        <f>Products!G35</f>
        <v>No</v>
      </c>
      <c r="F36" s="2" t="str">
        <f>Products!I35</f>
        <v>High</v>
      </c>
      <c r="G36" s="2" t="str">
        <f>Products!H35</f>
        <v>All year</v>
      </c>
      <c r="H36" s="2" t="str">
        <f t="shared" si="0"/>
        <v>Low priority</v>
      </c>
      <c r="I36" s="2" t="str">
        <f>IFERROR(INDEX(TblSupply[Supplier],MATCH(1,INDEX((TblSupply[ProductID]=B36)*(TblSupply[SupplierRole]="Primary"),0),0)),"")</f>
        <v>Valley Spices SpA</v>
      </c>
      <c r="J36" s="2" t="str">
        <f>IFERROR(INDEX(TblSuppliers[Phone],MATCH(I36,TblSuppliers[Supplier],0)),"")</f>
        <v>+56 9 3344 5566</v>
      </c>
      <c r="K36" s="2" t="str">
        <f>IFERROR(INDEX(TblSuppliers[Delivery?],MATCH(I36,TblSuppliers[Supplier],0)),"")</f>
        <v>Yes</v>
      </c>
    </row>
    <row r="37" spans="2:11" x14ac:dyDescent="0.25">
      <c r="B37" s="2" t="str">
        <f>Products!B36</f>
        <v>P033</v>
      </c>
      <c r="C37" s="2" t="str">
        <f>Products!C36</f>
        <v>Ground pepper, bag 100g</v>
      </c>
      <c r="D37" s="2" t="str">
        <f>Products!D36</f>
        <v>Seasonings</v>
      </c>
      <c r="E37" s="2" t="str">
        <f>Products!G36</f>
        <v>No</v>
      </c>
      <c r="F37" s="2" t="str">
        <f>Products!I36</f>
        <v>High</v>
      </c>
      <c r="G37" s="2" t="str">
        <f>Products!H36</f>
        <v>All year</v>
      </c>
      <c r="H37" s="2" t="str">
        <f t="shared" ref="H37:H68" si="1">IF(E37="Yes",IF(F37="Low","URGENT",IF(F37="Medium","Watch","OK")),"Low priority")</f>
        <v>Low priority</v>
      </c>
      <c r="I37" s="2" t="str">
        <f>IFERROR(INDEX(TblSupply[Supplier],MATCH(1,INDEX((TblSupply[ProductID]=B37)*(TblSupply[SupplierRole]="Primary"),0),0)),"")</f>
        <v>Valley Spices SpA</v>
      </c>
      <c r="J37" s="2" t="str">
        <f>IFERROR(INDEX(TblSuppliers[Phone],MATCH(I37,TblSuppliers[Supplier],0)),"")</f>
        <v>+56 9 3344 5566</v>
      </c>
      <c r="K37" s="2" t="str">
        <f>IFERROR(INDEX(TblSuppliers[Delivery?],MATCH(I37,TblSuppliers[Supplier],0)),"")</f>
        <v>Yes</v>
      </c>
    </row>
    <row r="38" spans="2:11" x14ac:dyDescent="0.25">
      <c r="B38" s="2" t="str">
        <f>Products!B37</f>
        <v>P034</v>
      </c>
      <c r="C38" s="2" t="str">
        <f>Products!C37</f>
        <v>Bay leaves, bag 50g</v>
      </c>
      <c r="D38" s="2" t="str">
        <f>Products!D37</f>
        <v>Seasonings</v>
      </c>
      <c r="E38" s="2" t="str">
        <f>Products!G37</f>
        <v>No</v>
      </c>
      <c r="F38" s="2" t="str">
        <f>Products!I37</f>
        <v>Low</v>
      </c>
      <c r="G38" s="2" t="str">
        <f>Products!H37</f>
        <v>All year</v>
      </c>
      <c r="H38" s="2" t="str">
        <f t="shared" si="1"/>
        <v>Low priority</v>
      </c>
      <c r="I38" s="2" t="str">
        <f>IFERROR(INDEX(TblSupply[Supplier],MATCH(1,INDEX((TblSupply[ProductID]=B38)*(TblSupply[SupplierRole]="Primary"),0),0)),"")</f>
        <v>Valley Spices SpA</v>
      </c>
      <c r="J38" s="2" t="str">
        <f>IFERROR(INDEX(TblSuppliers[Phone],MATCH(I38,TblSuppliers[Supplier],0)),"")</f>
        <v>+56 9 3344 5566</v>
      </c>
      <c r="K38" s="2" t="str">
        <f>IFERROR(INDEX(TblSuppliers[Delivery?],MATCH(I38,TblSuppliers[Supplier],0)),"")</f>
        <v>Yes</v>
      </c>
    </row>
    <row r="39" spans="2:11" x14ac:dyDescent="0.25">
      <c r="B39" s="2" t="str">
        <f>Products!B38</f>
        <v>P035</v>
      </c>
      <c r="C39" s="2" t="str">
        <f>Products!C38</f>
        <v>Paprika, bag 100g</v>
      </c>
      <c r="D39" s="2" t="str">
        <f>Products!D38</f>
        <v>Seasonings</v>
      </c>
      <c r="E39" s="2" t="str">
        <f>Products!G38</f>
        <v>No</v>
      </c>
      <c r="F39" s="2" t="str">
        <f>Products!I38</f>
        <v>Low</v>
      </c>
      <c r="G39" s="2" t="str">
        <f>Products!H38</f>
        <v>All year</v>
      </c>
      <c r="H39" s="2" t="str">
        <f t="shared" si="1"/>
        <v>Low priority</v>
      </c>
      <c r="I39" s="2" t="str">
        <f>IFERROR(INDEX(TblSupply[Supplier],MATCH(1,INDEX((TblSupply[ProductID]=B39)*(TblSupply[SupplierRole]="Primary"),0),0)),"")</f>
        <v>Valley Spices SpA</v>
      </c>
      <c r="J39" s="2" t="str">
        <f>IFERROR(INDEX(TblSuppliers[Phone],MATCH(I39,TblSuppliers[Supplier],0)),"")</f>
        <v>+56 9 3344 5566</v>
      </c>
      <c r="K39" s="2" t="str">
        <f>IFERROR(INDEX(TblSuppliers[Delivery?],MATCH(I39,TblSuppliers[Supplier],0)),"")</f>
        <v>Yes</v>
      </c>
    </row>
    <row r="40" spans="2:11" x14ac:dyDescent="0.25">
      <c r="B40" s="2" t="str">
        <f>Products!B39</f>
        <v>P036</v>
      </c>
      <c r="C40" s="2" t="str">
        <f>Products!C39</f>
        <v>Garlic powder, bag 100g</v>
      </c>
      <c r="D40" s="2" t="str">
        <f>Products!D39</f>
        <v>Seasonings</v>
      </c>
      <c r="E40" s="2" t="str">
        <f>Products!G39</f>
        <v>No</v>
      </c>
      <c r="F40" s="2" t="str">
        <f>Products!I39</f>
        <v>Low</v>
      </c>
      <c r="G40" s="2" t="str">
        <f>Products!H39</f>
        <v>All year</v>
      </c>
      <c r="H40" s="2" t="str">
        <f t="shared" si="1"/>
        <v>Low priority</v>
      </c>
      <c r="I40" s="2" t="str">
        <f>IFERROR(INDEX(TblSupply[Supplier],MATCH(1,INDEX((TblSupply[ProductID]=B40)*(TblSupply[SupplierRole]="Primary"),0),0)),"")</f>
        <v>Valley Spices SpA</v>
      </c>
      <c r="J40" s="2" t="str">
        <f>IFERROR(INDEX(TblSuppliers[Phone],MATCH(I40,TblSuppliers[Supplier],0)),"")</f>
        <v>+56 9 3344 5566</v>
      </c>
      <c r="K40" s="2" t="str">
        <f>IFERROR(INDEX(TblSuppliers[Delivery?],MATCH(I40,TblSuppliers[Supplier],0)),"")</f>
        <v>Yes</v>
      </c>
    </row>
    <row r="41" spans="2:11" x14ac:dyDescent="0.25">
      <c r="B41" s="2" t="str">
        <f>Products!B40</f>
        <v>P037</v>
      </c>
      <c r="C41" s="2" t="str">
        <f>Products!C40</f>
        <v>Curry powder, bag 100g</v>
      </c>
      <c r="D41" s="2" t="str">
        <f>Products!D40</f>
        <v>Seasonings</v>
      </c>
      <c r="E41" s="2" t="str">
        <f>Products!G40</f>
        <v>No</v>
      </c>
      <c r="F41" s="2" t="str">
        <f>Products!I40</f>
        <v>High</v>
      </c>
      <c r="G41" s="2" t="str">
        <f>Products!H40</f>
        <v>All year</v>
      </c>
      <c r="H41" s="2" t="str">
        <f t="shared" si="1"/>
        <v>Low priority</v>
      </c>
      <c r="I41" s="2" t="str">
        <f>IFERROR(INDEX(TblSupply[Supplier],MATCH(1,INDEX((TblSupply[ProductID]=B41)*(TblSupply[SupplierRole]="Primary"),0),0)),"")</f>
        <v>Valley Spices SpA</v>
      </c>
      <c r="J41" s="2" t="str">
        <f>IFERROR(INDEX(TblSuppliers[Phone],MATCH(I41,TblSuppliers[Supplier],0)),"")</f>
        <v>+56 9 3344 5566</v>
      </c>
      <c r="K41" s="2" t="str">
        <f>IFERROR(INDEX(TblSuppliers[Delivery?],MATCH(I41,TblSuppliers[Supplier],0)),"")</f>
        <v>Yes</v>
      </c>
    </row>
    <row r="42" spans="2:11" x14ac:dyDescent="0.25">
      <c r="B42" s="2" t="str">
        <f>Products!B41</f>
        <v>P038</v>
      </c>
      <c r="C42" s="2" t="str">
        <f>Products!C41</f>
        <v>Ground cinnamon, bag 100g</v>
      </c>
      <c r="D42" s="2" t="str">
        <f>Products!D41</f>
        <v>Seasonings</v>
      </c>
      <c r="E42" s="2" t="str">
        <f>Products!G41</f>
        <v>No</v>
      </c>
      <c r="F42" s="2" t="str">
        <f>Products!I41</f>
        <v>High</v>
      </c>
      <c r="G42" s="2" t="str">
        <f>Products!H41</f>
        <v>Fall-Winter</v>
      </c>
      <c r="H42" s="2" t="str">
        <f t="shared" si="1"/>
        <v>Low priority</v>
      </c>
      <c r="I42" s="2" t="str">
        <f>IFERROR(INDEX(TblSupply[Supplier],MATCH(1,INDEX((TblSupply[ProductID]=B42)*(TblSupply[SupplierRole]="Primary"),0),0)),"")</f>
        <v>Valley Spices SpA</v>
      </c>
      <c r="J42" s="2" t="str">
        <f>IFERROR(INDEX(TblSuppliers[Phone],MATCH(I42,TblSuppliers[Supplier],0)),"")</f>
        <v>+56 9 3344 5566</v>
      </c>
      <c r="K42" s="2" t="str">
        <f>IFERROR(INDEX(TblSuppliers[Delivery?],MATCH(I42,TblSuppliers[Supplier],0)),"")</f>
        <v>Yes</v>
      </c>
    </row>
    <row r="43" spans="2:11" x14ac:dyDescent="0.25">
      <c r="B43" s="2" t="str">
        <f>Products!B42</f>
        <v>P039</v>
      </c>
      <c r="C43" s="2" t="str">
        <f>Products!C42</f>
        <v>Ground turmeric, bag 100g</v>
      </c>
      <c r="D43" s="2" t="str">
        <f>Products!D42</f>
        <v>Seasonings</v>
      </c>
      <c r="E43" s="2" t="str">
        <f>Products!G42</f>
        <v>No</v>
      </c>
      <c r="F43" s="2" t="str">
        <f>Products!I42</f>
        <v>Medium</v>
      </c>
      <c r="G43" s="2" t="str">
        <f>Products!H42</f>
        <v>All year</v>
      </c>
      <c r="H43" s="2" t="str">
        <f t="shared" si="1"/>
        <v>Low priority</v>
      </c>
      <c r="I43" s="2" t="str">
        <f>IFERROR(INDEX(TblSupply[Supplier],MATCH(1,INDEX((TblSupply[ProductID]=B43)*(TblSupply[SupplierRole]="Primary"),0),0)),"")</f>
        <v>Valley Spices SpA</v>
      </c>
      <c r="J43" s="2" t="str">
        <f>IFERROR(INDEX(TblSuppliers[Phone],MATCH(I43,TblSuppliers[Supplier],0)),"")</f>
        <v>+56 9 3344 5566</v>
      </c>
      <c r="K43" s="2" t="str">
        <f>IFERROR(INDEX(TblSuppliers[Delivery?],MATCH(I43,TblSuppliers[Supplier],0)),"")</f>
        <v>Yes</v>
      </c>
    </row>
    <row r="44" spans="2:11" x14ac:dyDescent="0.25">
      <c r="B44" s="2" t="str">
        <f>Products!B43</f>
        <v>P040</v>
      </c>
      <c r="C44" s="2" t="str">
        <f>Products!C43</f>
        <v>Herbs de Provence mix, bag 50g</v>
      </c>
      <c r="D44" s="2" t="str">
        <f>Products!D43</f>
        <v>Seasonings</v>
      </c>
      <c r="E44" s="2" t="str">
        <f>Products!G43</f>
        <v>No</v>
      </c>
      <c r="F44" s="2" t="str">
        <f>Products!I43</f>
        <v>High</v>
      </c>
      <c r="G44" s="2" t="str">
        <f>Products!H43</f>
        <v>All year</v>
      </c>
      <c r="H44" s="2" t="str">
        <f t="shared" si="1"/>
        <v>Low priority</v>
      </c>
      <c r="I44" s="2" t="str">
        <f>IFERROR(INDEX(TblSupply[Supplier],MATCH(1,INDEX((TblSupply[ProductID]=B44)*(TblSupply[SupplierRole]="Primary"),0),0)),"")</f>
        <v>Valley Spices SpA</v>
      </c>
      <c r="J44" s="2" t="str">
        <f>IFERROR(INDEX(TblSuppliers[Phone],MATCH(I44,TblSuppliers[Supplier],0)),"")</f>
        <v>+56 9 3344 5566</v>
      </c>
      <c r="K44" s="2" t="str">
        <f>IFERROR(INDEX(TblSuppliers[Delivery?],MATCH(I44,TblSuppliers[Supplier],0)),"")</f>
        <v>Yes</v>
      </c>
    </row>
    <row r="45" spans="2:11" x14ac:dyDescent="0.25">
      <c r="B45" s="2" t="str">
        <f>Products!B44</f>
        <v>P041</v>
      </c>
      <c r="C45" s="2" t="str">
        <f>Products!C44</f>
        <v>Multiflora honey, bottle 500g</v>
      </c>
      <c r="D45" s="2" t="str">
        <f>Products!D44</f>
        <v>Honey</v>
      </c>
      <c r="E45" s="2" t="str">
        <f>Products!G44</f>
        <v>Yes</v>
      </c>
      <c r="F45" s="2" t="str">
        <f>Products!I44</f>
        <v>High</v>
      </c>
      <c r="G45" s="2" t="str">
        <f>Products!H44</f>
        <v>All year</v>
      </c>
      <c r="H45" s="2" t="str">
        <f t="shared" si="1"/>
        <v>OK</v>
      </c>
      <c r="I45" s="2" t="str">
        <f>IFERROR(INDEX(TblSupply[Supplier],MATCH(1,INDEX((TblSupply[ProductID]=B45)*(TblSupply[SupplierRole]="Primary"),0),0)),"")</f>
        <v>Los Ulmos Apiary</v>
      </c>
      <c r="J45" s="2" t="str">
        <f>IFERROR(INDEX(TblSuppliers[Phone],MATCH(I45,TblSuppliers[Supplier],0)),"")</f>
        <v>+56 9 8899 0011</v>
      </c>
      <c r="K45" s="2" t="str">
        <f>IFERROR(INDEX(TblSuppliers[Delivery?],MATCH(I45,TblSuppliers[Supplier],0)),"")</f>
        <v>No</v>
      </c>
    </row>
    <row r="46" spans="2:11" x14ac:dyDescent="0.25">
      <c r="B46" s="2" t="str">
        <f>Products!B45</f>
        <v>P042</v>
      </c>
      <c r="C46" s="2" t="str">
        <f>Products!C45</f>
        <v>Ulmo honey, bottle 500g</v>
      </c>
      <c r="D46" s="2" t="str">
        <f>Products!D45</f>
        <v>Honey</v>
      </c>
      <c r="E46" s="2" t="str">
        <f>Products!G45</f>
        <v>No</v>
      </c>
      <c r="F46" s="2" t="str">
        <f>Products!I45</f>
        <v>Medium</v>
      </c>
      <c r="G46" s="2" t="str">
        <f>Products!H45</f>
        <v>All year</v>
      </c>
      <c r="H46" s="2" t="str">
        <f t="shared" si="1"/>
        <v>Low priority</v>
      </c>
      <c r="I46" s="2" t="str">
        <f>IFERROR(INDEX(TblSupply[Supplier],MATCH(1,INDEX((TblSupply[ProductID]=B46)*(TblSupply[SupplierRole]="Primary"),0),0)),"")</f>
        <v>Los Ulmos Apiary</v>
      </c>
      <c r="J46" s="2" t="str">
        <f>IFERROR(INDEX(TblSuppliers[Phone],MATCH(I46,TblSuppliers[Supplier],0)),"")</f>
        <v>+56 9 8899 0011</v>
      </c>
      <c r="K46" s="2" t="str">
        <f>IFERROR(INDEX(TblSuppliers[Delivery?],MATCH(I46,TblSuppliers[Supplier],0)),"")</f>
        <v>No</v>
      </c>
    </row>
    <row r="47" spans="2:11" x14ac:dyDescent="0.25">
      <c r="B47" s="2" t="str">
        <f>Products!B46</f>
        <v>P043</v>
      </c>
      <c r="C47" s="2" t="str">
        <f>Products!C46</f>
        <v>Quillay honey, bottle 500g</v>
      </c>
      <c r="D47" s="2" t="str">
        <f>Products!D46</f>
        <v>Honey</v>
      </c>
      <c r="E47" s="2" t="str">
        <f>Products!G46</f>
        <v>No</v>
      </c>
      <c r="F47" s="2" t="str">
        <f>Products!I46</f>
        <v>High</v>
      </c>
      <c r="G47" s="2" t="str">
        <f>Products!H46</f>
        <v>All year</v>
      </c>
      <c r="H47" s="2" t="str">
        <f t="shared" si="1"/>
        <v>Low priority</v>
      </c>
      <c r="I47" s="2" t="str">
        <f>IFERROR(INDEX(TblSupply[Supplier],MATCH(1,INDEX((TblSupply[ProductID]=B47)*(TblSupply[SupplierRole]="Primary"),0),0)),"")</f>
        <v>Los Ulmos Apiary</v>
      </c>
      <c r="J47" s="2" t="str">
        <f>IFERROR(INDEX(TblSuppliers[Phone],MATCH(I47,TblSuppliers[Supplier],0)),"")</f>
        <v>+56 9 8899 0011</v>
      </c>
      <c r="K47" s="2" t="str">
        <f>IFERROR(INDEX(TblSuppliers[Delivery?],MATCH(I47,TblSuppliers[Supplier],0)),"")</f>
        <v>No</v>
      </c>
    </row>
    <row r="48" spans="2:11" x14ac:dyDescent="0.25">
      <c r="B48" s="2" t="str">
        <f>Products!B47</f>
        <v>P044</v>
      </c>
      <c r="C48" s="2" t="str">
        <f>Products!C47</f>
        <v>Organic wildflower honey, bottle 500g</v>
      </c>
      <c r="D48" s="2" t="str">
        <f>Products!D47</f>
        <v>Honey</v>
      </c>
      <c r="E48" s="2" t="str">
        <f>Products!G47</f>
        <v>No</v>
      </c>
      <c r="F48" s="2" t="str">
        <f>Products!I47</f>
        <v>Low</v>
      </c>
      <c r="G48" s="2" t="str">
        <f>Products!H47</f>
        <v>All year</v>
      </c>
      <c r="H48" s="2" t="str">
        <f t="shared" si="1"/>
        <v>Low priority</v>
      </c>
      <c r="I48" s="2" t="str">
        <f>IFERROR(INDEX(TblSupply[Supplier],MATCH(1,INDEX((TblSupply[ProductID]=B48)*(TblSupply[SupplierRole]="Primary"),0),0)),"")</f>
        <v>Los Ulmos Apiary</v>
      </c>
      <c r="J48" s="2" t="str">
        <f>IFERROR(INDEX(TblSuppliers[Phone],MATCH(I48,TblSuppliers[Supplier],0)),"")</f>
        <v>+56 9 8899 0011</v>
      </c>
      <c r="K48" s="2" t="str">
        <f>IFERROR(INDEX(TblSuppliers[Delivery?],MATCH(I48,TblSuppliers[Supplier],0)),"")</f>
        <v>No</v>
      </c>
    </row>
    <row r="49" spans="2:11" x14ac:dyDescent="0.25">
      <c r="B49" s="2" t="str">
        <f>Products!B48</f>
        <v>P045</v>
      </c>
      <c r="C49" s="2" t="str">
        <f>Products!C48</f>
        <v>Honeycomb, box 400g</v>
      </c>
      <c r="D49" s="2" t="str">
        <f>Products!D48</f>
        <v>Honey</v>
      </c>
      <c r="E49" s="2" t="str">
        <f>Products!G48</f>
        <v>No</v>
      </c>
      <c r="F49" s="2" t="str">
        <f>Products!I48</f>
        <v>High</v>
      </c>
      <c r="G49" s="2" t="str">
        <f>Products!H48</f>
        <v>All year</v>
      </c>
      <c r="H49" s="2" t="str">
        <f t="shared" si="1"/>
        <v>Low priority</v>
      </c>
      <c r="I49" s="2" t="str">
        <f>IFERROR(INDEX(TblSupply[Supplier],MATCH(1,INDEX((TblSupply[ProductID]=B49)*(TblSupply[SupplierRole]="Primary"),0),0)),"")</f>
        <v>Los Ulmos Apiary</v>
      </c>
      <c r="J49" s="2" t="str">
        <f>IFERROR(INDEX(TblSuppliers[Phone],MATCH(I49,TblSuppliers[Supplier],0)),"")</f>
        <v>+56 9 8899 0011</v>
      </c>
      <c r="K49" s="2" t="str">
        <f>IFERROR(INDEX(TblSuppliers[Delivery?],MATCH(I49,TblSuppliers[Supplier],0)),"")</f>
        <v>No</v>
      </c>
    </row>
    <row r="50" spans="2:11" x14ac:dyDescent="0.25">
      <c r="B50" s="2" t="str">
        <f>Products!B49</f>
        <v>P046</v>
      </c>
      <c r="C50" s="2" t="str">
        <f>Products!C49</f>
        <v>Roasted salted peanuts</v>
      </c>
      <c r="D50" s="2" t="str">
        <f>Products!D49</f>
        <v>Peanuts</v>
      </c>
      <c r="E50" s="2" t="str">
        <f>Products!G49</f>
        <v>Yes</v>
      </c>
      <c r="F50" s="2" t="str">
        <f>Products!I49</f>
        <v>Medium</v>
      </c>
      <c r="G50" s="2" t="str">
        <f>Products!H49</f>
        <v>All year</v>
      </c>
      <c r="H50" s="2" t="str">
        <f t="shared" si="1"/>
        <v>Watch</v>
      </c>
      <c r="I50" s="2" t="str">
        <f>IFERROR(INDEX(TblSupply[Supplier],MATCH(1,INDEX((TblSupply[ProductID]=B50)*(TblSupply[SupplierRole]="Primary"),0),0)),"")</f>
        <v>Maipo Nuts Ltd.</v>
      </c>
      <c r="J50" s="2" t="str">
        <f>IFERROR(INDEX(TblSuppliers[Phone],MATCH(I50,TblSuppliers[Supplier],0)),"")</f>
        <v>+56 9 2211 3344</v>
      </c>
      <c r="K50" s="2" t="str">
        <f>IFERROR(INDEX(TblSuppliers[Delivery?],MATCH(I50,TblSuppliers[Supplier],0)),"")</f>
        <v>Yes</v>
      </c>
    </row>
    <row r="51" spans="2:11" x14ac:dyDescent="0.25">
      <c r="B51" s="2" t="str">
        <f>Products!B50</f>
        <v>P047</v>
      </c>
      <c r="C51" s="2" t="str">
        <f>Products!C50</f>
        <v>Roasted unsalted peanuts</v>
      </c>
      <c r="D51" s="2" t="str">
        <f>Products!D50</f>
        <v>Peanuts</v>
      </c>
      <c r="E51" s="2" t="str">
        <f>Products!G50</f>
        <v>No</v>
      </c>
      <c r="F51" s="2" t="str">
        <f>Products!I50</f>
        <v>High</v>
      </c>
      <c r="G51" s="2" t="str">
        <f>Products!H50</f>
        <v>All year</v>
      </c>
      <c r="H51" s="2" t="str">
        <f t="shared" si="1"/>
        <v>Low priority</v>
      </c>
      <c r="I51" s="2" t="str">
        <f>IFERROR(INDEX(TblSupply[Supplier],MATCH(1,INDEX((TblSupply[ProductID]=B51)*(TblSupply[SupplierRole]="Primary"),0),0)),"")</f>
        <v>Maipo Nuts Ltd.</v>
      </c>
      <c r="J51" s="2" t="str">
        <f>IFERROR(INDEX(TblSuppliers[Phone],MATCH(I51,TblSuppliers[Supplier],0)),"")</f>
        <v>+56 9 2211 3344</v>
      </c>
      <c r="K51" s="2" t="str">
        <f>IFERROR(INDEX(TblSuppliers[Delivery?],MATCH(I51,TblSuppliers[Supplier],0)),"")</f>
        <v>Yes</v>
      </c>
    </row>
    <row r="52" spans="2:11" x14ac:dyDescent="0.25">
      <c r="B52" s="2" t="str">
        <f>Products!B51</f>
        <v>P048</v>
      </c>
      <c r="C52" s="2" t="str">
        <f>Products!C51</f>
        <v>Fried peanuts with salt</v>
      </c>
      <c r="D52" s="2" t="str">
        <f>Products!D51</f>
        <v>Peanuts</v>
      </c>
      <c r="E52" s="2" t="str">
        <f>Products!G51</f>
        <v>No</v>
      </c>
      <c r="F52" s="2" t="str">
        <f>Products!I51</f>
        <v>Medium</v>
      </c>
      <c r="G52" s="2" t="str">
        <f>Products!H51</f>
        <v>All year</v>
      </c>
      <c r="H52" s="2" t="str">
        <f t="shared" si="1"/>
        <v>Low priority</v>
      </c>
      <c r="I52" s="2" t="str">
        <f>IFERROR(INDEX(TblSupply[Supplier],MATCH(1,INDEX((TblSupply[ProductID]=B52)*(TblSupply[SupplierRole]="Primary"),0),0)),"")</f>
        <v>Maipo Nuts Ltd.</v>
      </c>
      <c r="J52" s="2" t="str">
        <f>IFERROR(INDEX(TblSuppliers[Phone],MATCH(I52,TblSuppliers[Supplier],0)),"")</f>
        <v>+56 9 2211 3344</v>
      </c>
      <c r="K52" s="2" t="str">
        <f>IFERROR(INDEX(TblSuppliers[Delivery?],MATCH(I52,TblSuppliers[Supplier],0)),"")</f>
        <v>Yes</v>
      </c>
    </row>
    <row r="53" spans="2:11" x14ac:dyDescent="0.25">
      <c r="B53" s="2" t="str">
        <f>Products!B52</f>
        <v>P049</v>
      </c>
      <c r="C53" s="2" t="str">
        <f>Products!C52</f>
        <v>Japanese peanuts</v>
      </c>
      <c r="D53" s="2" t="str">
        <f>Products!D52</f>
        <v>Peanuts</v>
      </c>
      <c r="E53" s="2" t="str">
        <f>Products!G52</f>
        <v>No</v>
      </c>
      <c r="F53" s="2" t="str">
        <f>Products!I52</f>
        <v>Medium</v>
      </c>
      <c r="G53" s="2" t="str">
        <f>Products!H52</f>
        <v>All year</v>
      </c>
      <c r="H53" s="2" t="str">
        <f t="shared" si="1"/>
        <v>Low priority</v>
      </c>
      <c r="I53" s="2" t="str">
        <f>IFERROR(INDEX(TblSupply[Supplier],MATCH(1,INDEX((TblSupply[ProductID]=B53)*(TblSupply[SupplierRole]="Primary"),0),0)),"")</f>
        <v>Maipo Nuts Ltd.</v>
      </c>
      <c r="J53" s="2" t="str">
        <f>IFERROR(INDEX(TblSuppliers[Phone],MATCH(I53,TblSuppliers[Supplier],0)),"")</f>
        <v>+56 9 2211 3344</v>
      </c>
      <c r="K53" s="2" t="str">
        <f>IFERROR(INDEX(TblSuppliers[Delivery?],MATCH(I53,TblSuppliers[Supplier],0)),"")</f>
        <v>Yes</v>
      </c>
    </row>
    <row r="54" spans="2:11" x14ac:dyDescent="0.25">
      <c r="B54" s="2" t="str">
        <f>Products!B53</f>
        <v>P050</v>
      </c>
      <c r="C54" s="2" t="str">
        <f>Products!C53</f>
        <v>Candied peanuts (natural)</v>
      </c>
      <c r="D54" s="2" t="str">
        <f>Products!D53</f>
        <v>Peanuts</v>
      </c>
      <c r="E54" s="2" t="str">
        <f>Products!G53</f>
        <v>No</v>
      </c>
      <c r="F54" s="2" t="str">
        <f>Products!I53</f>
        <v>High</v>
      </c>
      <c r="G54" s="2" t="str">
        <f>Products!H53</f>
        <v>All year</v>
      </c>
      <c r="H54" s="2" t="str">
        <f t="shared" si="1"/>
        <v>Low priority</v>
      </c>
      <c r="I54" s="2" t="str">
        <f>IFERROR(INDEX(TblSupply[Supplier],MATCH(1,INDEX((TblSupply[ProductID]=B54)*(TblSupply[SupplierRole]="Primary"),0),0)),"")</f>
        <v>Maipo Nuts Ltd.</v>
      </c>
      <c r="J54" s="2" t="str">
        <f>IFERROR(INDEX(TblSuppliers[Phone],MATCH(I54,TblSuppliers[Supplier],0)),"")</f>
        <v>+56 9 2211 3344</v>
      </c>
      <c r="K54" s="2" t="str">
        <f>IFERROR(INDEX(TblSuppliers[Delivery?],MATCH(I54,TblSuppliers[Supplier],0)),"")</f>
        <v>Yes</v>
      </c>
    </row>
    <row r="55" spans="2:11" x14ac:dyDescent="0.25">
      <c r="B55" s="2" t="str">
        <f>Products!B54</f>
        <v>P051</v>
      </c>
      <c r="C55" s="2" t="str">
        <f>Products!C54</f>
        <v>Chocolate-coated peanuts</v>
      </c>
      <c r="D55" s="2" t="str">
        <f>Products!D54</f>
        <v>Peanuts</v>
      </c>
      <c r="E55" s="2" t="str">
        <f>Products!G54</f>
        <v>No</v>
      </c>
      <c r="F55" s="2" t="str">
        <f>Products!I54</f>
        <v>Low</v>
      </c>
      <c r="G55" s="2" t="str">
        <f>Products!H54</f>
        <v>Fall-Winter</v>
      </c>
      <c r="H55" s="2" t="str">
        <f t="shared" si="1"/>
        <v>Low priority</v>
      </c>
      <c r="I55" s="2" t="str">
        <f>IFERROR(INDEX(TblSupply[Supplier],MATCH(1,INDEX((TblSupply[ProductID]=B55)*(TblSupply[SupplierRole]="Primary"),0),0)),"")</f>
        <v>Maipo Nuts Ltd.</v>
      </c>
      <c r="J55" s="2" t="str">
        <f>IFERROR(INDEX(TblSuppliers[Phone],MATCH(I55,TblSuppliers[Supplier],0)),"")</f>
        <v>+56 9 2211 3344</v>
      </c>
      <c r="K55" s="2" t="str">
        <f>IFERROR(INDEX(TblSuppliers[Delivery?],MATCH(I55,TblSuppliers[Supplier],0)),"")</f>
        <v>Yes</v>
      </c>
    </row>
    <row r="56" spans="2:11" x14ac:dyDescent="0.25">
      <c r="B56" s="2" t="str">
        <f>Products!B55</f>
        <v>P052</v>
      </c>
      <c r="C56" s="2" t="str">
        <f>Products!C55</f>
        <v>Peanuts with merken</v>
      </c>
      <c r="D56" s="2" t="str">
        <f>Products!D55</f>
        <v>Peanuts</v>
      </c>
      <c r="E56" s="2" t="str">
        <f>Products!G55</f>
        <v>No</v>
      </c>
      <c r="F56" s="2" t="str">
        <f>Products!I55</f>
        <v>Medium</v>
      </c>
      <c r="G56" s="2" t="str">
        <f>Products!H55</f>
        <v>All year</v>
      </c>
      <c r="H56" s="2" t="str">
        <f t="shared" si="1"/>
        <v>Low priority</v>
      </c>
      <c r="I56" s="2" t="str">
        <f>IFERROR(INDEX(TblSupply[Supplier],MATCH(1,INDEX((TblSupply[ProductID]=B56)*(TblSupply[SupplierRole]="Primary"),0),0)),"")</f>
        <v>Maipo Nuts Ltd.</v>
      </c>
      <c r="J56" s="2" t="str">
        <f>IFERROR(INDEX(TblSuppliers[Phone],MATCH(I56,TblSuppliers[Supplier],0)),"")</f>
        <v>+56 9 2211 3344</v>
      </c>
      <c r="K56" s="2" t="str">
        <f>IFERROR(INDEX(TblSuppliers[Delivery?],MATCH(I56,TblSuppliers[Supplier],0)),"")</f>
        <v>Yes</v>
      </c>
    </row>
    <row r="57" spans="2:11" x14ac:dyDescent="0.25">
      <c r="B57" s="2" t="str">
        <f>Products!B56</f>
        <v>P053</v>
      </c>
      <c r="C57" s="2" t="str">
        <f>Products!C56</f>
        <v>Honey-glazed peanuts</v>
      </c>
      <c r="D57" s="2" t="str">
        <f>Products!D56</f>
        <v>Peanuts</v>
      </c>
      <c r="E57" s="2" t="str">
        <f>Products!G56</f>
        <v>No</v>
      </c>
      <c r="F57" s="2" t="str">
        <f>Products!I56</f>
        <v>Low</v>
      </c>
      <c r="G57" s="2" t="str">
        <f>Products!H56</f>
        <v>All year</v>
      </c>
      <c r="H57" s="2" t="str">
        <f t="shared" si="1"/>
        <v>Low priority</v>
      </c>
      <c r="I57" s="2" t="str">
        <f>IFERROR(INDEX(TblSupply[Supplier],MATCH(1,INDEX((TblSupply[ProductID]=B57)*(TblSupply[SupplierRole]="Primary"),0),0)),"")</f>
        <v>Maipo Nuts Ltd.</v>
      </c>
      <c r="J57" s="2" t="str">
        <f>IFERROR(INDEX(TblSuppliers[Phone],MATCH(I57,TblSuppliers[Supplier],0)),"")</f>
        <v>+56 9 2211 3344</v>
      </c>
      <c r="K57" s="2" t="str">
        <f>IFERROR(INDEX(TblSuppliers[Delivery?],MATCH(I57,TblSuppliers[Supplier],0)),"")</f>
        <v>Yes</v>
      </c>
    </row>
    <row r="58" spans="2:11" x14ac:dyDescent="0.25">
      <c r="B58" s="2" t="str">
        <f>Products!B57</f>
        <v>P054</v>
      </c>
      <c r="C58" s="2" t="str">
        <f>Products!C57</f>
        <v>Salted peanuts in shell</v>
      </c>
      <c r="D58" s="2" t="str">
        <f>Products!D57</f>
        <v>Peanuts</v>
      </c>
      <c r="E58" s="2" t="str">
        <f>Products!G57</f>
        <v>No</v>
      </c>
      <c r="F58" s="2" t="str">
        <f>Products!I57</f>
        <v>Low</v>
      </c>
      <c r="G58" s="2" t="str">
        <f>Products!H57</f>
        <v>All year</v>
      </c>
      <c r="H58" s="2" t="str">
        <f t="shared" si="1"/>
        <v>Low priority</v>
      </c>
      <c r="I58" s="2" t="str">
        <f>IFERROR(INDEX(TblSupply[Supplier],MATCH(1,INDEX((TblSupply[ProductID]=B58)*(TblSupply[SupplierRole]="Primary"),0),0)),"")</f>
        <v>Maipo Nuts Ltd.</v>
      </c>
      <c r="J58" s="2" t="str">
        <f>IFERROR(INDEX(TblSuppliers[Phone],MATCH(I58,TblSuppliers[Supplier],0)),"")</f>
        <v>+56 9 2211 3344</v>
      </c>
      <c r="K58" s="2" t="str">
        <f>IFERROR(INDEX(TblSuppliers[Delivery?],MATCH(I58,TblSuppliers[Supplier],0)),"")</f>
        <v>Yes</v>
      </c>
    </row>
    <row r="59" spans="2:11" x14ac:dyDescent="0.25">
      <c r="B59" s="2" t="str">
        <f>Products!B58</f>
        <v>P055</v>
      </c>
      <c r="C59" s="2" t="str">
        <f>Products!C58</f>
        <v>Walnuts (shelled)</v>
      </c>
      <c r="D59" s="2" t="str">
        <f>Products!D58</f>
        <v>Nuts</v>
      </c>
      <c r="E59" s="2" t="str">
        <f>Products!G58</f>
        <v>Yes</v>
      </c>
      <c r="F59" s="2" t="str">
        <f>Products!I58</f>
        <v>Medium</v>
      </c>
      <c r="G59" s="2" t="str">
        <f>Products!H58</f>
        <v>Fall-Winter</v>
      </c>
      <c r="H59" s="2" t="str">
        <f t="shared" si="1"/>
        <v>Watch</v>
      </c>
      <c r="I59" s="2" t="str">
        <f>IFERROR(INDEX(TblSupply[Supplier],MATCH(1,INDEX((TblSupply[ProductID]=B59)*(TblSupply[SupplierRole]="Primary"),0),0)),"")</f>
        <v>Maipo Nuts Ltd.</v>
      </c>
      <c r="J59" s="2" t="str">
        <f>IFERROR(INDEX(TblSuppliers[Phone],MATCH(I59,TblSuppliers[Supplier],0)),"")</f>
        <v>+56 9 2211 3344</v>
      </c>
      <c r="K59" s="2" t="str">
        <f>IFERROR(INDEX(TblSuppliers[Delivery?],MATCH(I59,TblSuppliers[Supplier],0)),"")</f>
        <v>Yes</v>
      </c>
    </row>
    <row r="60" spans="2:11" x14ac:dyDescent="0.25">
      <c r="B60" s="2" t="str">
        <f>Products!B59</f>
        <v>P056</v>
      </c>
      <c r="C60" s="2" t="str">
        <f>Products!C59</f>
        <v>Premium light-half walnuts</v>
      </c>
      <c r="D60" s="2" t="str">
        <f>Products!D59</f>
        <v>Nuts</v>
      </c>
      <c r="E60" s="2" t="str">
        <f>Products!G59</f>
        <v>No</v>
      </c>
      <c r="F60" s="2" t="str">
        <f>Products!I59</f>
        <v>Low</v>
      </c>
      <c r="G60" s="2" t="str">
        <f>Products!H59</f>
        <v>Fall-Winter</v>
      </c>
      <c r="H60" s="2" t="str">
        <f t="shared" si="1"/>
        <v>Low priority</v>
      </c>
      <c r="I60" s="2" t="str">
        <f>IFERROR(INDEX(TblSupply[Supplier],MATCH(1,INDEX((TblSupply[ProductID]=B60)*(TblSupply[SupplierRole]="Primary"),0),0)),"")</f>
        <v>Maipo Nuts Ltd.</v>
      </c>
      <c r="J60" s="2" t="str">
        <f>IFERROR(INDEX(TblSuppliers[Phone],MATCH(I60,TblSuppliers[Supplier],0)),"")</f>
        <v>+56 9 2211 3344</v>
      </c>
      <c r="K60" s="2" t="str">
        <f>IFERROR(INDEX(TblSuppliers[Delivery?],MATCH(I60,TblSuppliers[Supplier],0)),"")</f>
        <v>Yes</v>
      </c>
    </row>
    <row r="61" spans="2:11" x14ac:dyDescent="0.25">
      <c r="B61" s="2" t="str">
        <f>Products!B60</f>
        <v>P057</v>
      </c>
      <c r="C61" s="2" t="str">
        <f>Products!C60</f>
        <v>Walnuts in shell</v>
      </c>
      <c r="D61" s="2" t="str">
        <f>Products!D60</f>
        <v>Nuts</v>
      </c>
      <c r="E61" s="2" t="str">
        <f>Products!G60</f>
        <v>No</v>
      </c>
      <c r="F61" s="2" t="str">
        <f>Products!I60</f>
        <v>High</v>
      </c>
      <c r="G61" s="2" t="str">
        <f>Products!H60</f>
        <v>Fall-Winter</v>
      </c>
      <c r="H61" s="2" t="str">
        <f t="shared" si="1"/>
        <v>Low priority</v>
      </c>
      <c r="I61" s="2" t="str">
        <f>IFERROR(INDEX(TblSupply[Supplier],MATCH(1,INDEX((TblSupply[ProductID]=B61)*(TblSupply[SupplierRole]="Primary"),0),0)),"")</f>
        <v>Maipo Nuts Ltd.</v>
      </c>
      <c r="J61" s="2" t="str">
        <f>IFERROR(INDEX(TblSuppliers[Phone],MATCH(I61,TblSuppliers[Supplier],0)),"")</f>
        <v>+56 9 2211 3344</v>
      </c>
      <c r="K61" s="2" t="str">
        <f>IFERROR(INDEX(TblSuppliers[Delivery?],MATCH(I61,TblSuppliers[Supplier],0)),"")</f>
        <v>Yes</v>
      </c>
    </row>
    <row r="62" spans="2:11" x14ac:dyDescent="0.25">
      <c r="B62" s="2" t="str">
        <f>Products!B61</f>
        <v>P058</v>
      </c>
      <c r="C62" s="2" t="str">
        <f>Products!C61</f>
        <v>Almonds (shelled)</v>
      </c>
      <c r="D62" s="2" t="str">
        <f>Products!D61</f>
        <v>Nuts</v>
      </c>
      <c r="E62" s="2" t="str">
        <f>Products!G61</f>
        <v>No</v>
      </c>
      <c r="F62" s="2" t="str">
        <f>Products!I61</f>
        <v>High</v>
      </c>
      <c r="G62" s="2" t="str">
        <f>Products!H61</f>
        <v>Fall-Winter</v>
      </c>
      <c r="H62" s="2" t="str">
        <f t="shared" si="1"/>
        <v>Low priority</v>
      </c>
      <c r="I62" s="2" t="str">
        <f>IFERROR(INDEX(TblSupply[Supplier],MATCH(1,INDEX((TblSupply[ProductID]=B62)*(TblSupply[SupplierRole]="Primary"),0),0)),"")</f>
        <v>Maipo Nuts Ltd.</v>
      </c>
      <c r="J62" s="2" t="str">
        <f>IFERROR(INDEX(TblSuppliers[Phone],MATCH(I62,TblSuppliers[Supplier],0)),"")</f>
        <v>+56 9 2211 3344</v>
      </c>
      <c r="K62" s="2" t="str">
        <f>IFERROR(INDEX(TblSuppliers[Delivery?],MATCH(I62,TblSuppliers[Supplier],0)),"")</f>
        <v>Yes</v>
      </c>
    </row>
    <row r="63" spans="2:11" x14ac:dyDescent="0.25">
      <c r="B63" s="2" t="str">
        <f>Products!B62</f>
        <v>P059</v>
      </c>
      <c r="C63" s="2" t="str">
        <f>Products!C62</f>
        <v>Sliced almonds</v>
      </c>
      <c r="D63" s="2" t="str">
        <f>Products!D62</f>
        <v>Nuts</v>
      </c>
      <c r="E63" s="2" t="str">
        <f>Products!G62</f>
        <v>No</v>
      </c>
      <c r="F63" s="2" t="str">
        <f>Products!I62</f>
        <v>High</v>
      </c>
      <c r="G63" s="2" t="str">
        <f>Products!H62</f>
        <v>Fall-Winter</v>
      </c>
      <c r="H63" s="2" t="str">
        <f t="shared" si="1"/>
        <v>Low priority</v>
      </c>
      <c r="I63" s="2" t="str">
        <f>IFERROR(INDEX(TblSupply[Supplier],MATCH(1,INDEX((TblSupply[ProductID]=B63)*(TblSupply[SupplierRole]="Primary"),0),0)),"")</f>
        <v>Maipo Nuts Ltd.</v>
      </c>
      <c r="J63" s="2" t="str">
        <f>IFERROR(INDEX(TblSuppliers[Phone],MATCH(I63,TblSuppliers[Supplier],0)),"")</f>
        <v>+56 9 2211 3344</v>
      </c>
      <c r="K63" s="2" t="str">
        <f>IFERROR(INDEX(TblSuppliers[Delivery?],MATCH(I63,TblSuppliers[Supplier],0)),"")</f>
        <v>Yes</v>
      </c>
    </row>
    <row r="64" spans="2:11" x14ac:dyDescent="0.25">
      <c r="B64" s="2" t="str">
        <f>Products!B63</f>
        <v>P060</v>
      </c>
      <c r="C64" s="2" t="str">
        <f>Products!C63</f>
        <v>Roasted salted almonds</v>
      </c>
      <c r="D64" s="2" t="str">
        <f>Products!D63</f>
        <v>Nuts</v>
      </c>
      <c r="E64" s="2" t="str">
        <f>Products!G63</f>
        <v>No</v>
      </c>
      <c r="F64" s="2" t="str">
        <f>Products!I63</f>
        <v>High</v>
      </c>
      <c r="G64" s="2" t="str">
        <f>Products!H63</f>
        <v>Fall-Winter</v>
      </c>
      <c r="H64" s="2" t="str">
        <f t="shared" si="1"/>
        <v>Low priority</v>
      </c>
      <c r="I64" s="2" t="str">
        <f>IFERROR(INDEX(TblSupply[Supplier],MATCH(1,INDEX((TblSupply[ProductID]=B64)*(TblSupply[SupplierRole]="Primary"),0),0)),"")</f>
        <v>Maipo Nuts Ltd.</v>
      </c>
      <c r="J64" s="2" t="str">
        <f>IFERROR(INDEX(TblSuppliers[Phone],MATCH(I64,TblSuppliers[Supplier],0)),"")</f>
        <v>+56 9 2211 3344</v>
      </c>
      <c r="K64" s="2" t="str">
        <f>IFERROR(INDEX(TblSuppliers[Delivery?],MATCH(I64,TblSuppliers[Supplier],0)),"")</f>
        <v>Yes</v>
      </c>
    </row>
    <row r="65" spans="2:11" x14ac:dyDescent="0.25">
      <c r="B65" s="2" t="str">
        <f>Products!B64</f>
        <v>P061</v>
      </c>
      <c r="C65" s="2" t="str">
        <f>Products!C64</f>
        <v>Hazelnuts</v>
      </c>
      <c r="D65" s="2" t="str">
        <f>Products!D64</f>
        <v>Nuts</v>
      </c>
      <c r="E65" s="2" t="str">
        <f>Products!G64</f>
        <v>No</v>
      </c>
      <c r="F65" s="2" t="str">
        <f>Products!I64</f>
        <v>High</v>
      </c>
      <c r="G65" s="2" t="str">
        <f>Products!H64</f>
        <v>Fall-Winter</v>
      </c>
      <c r="H65" s="2" t="str">
        <f t="shared" si="1"/>
        <v>Low priority</v>
      </c>
      <c r="I65" s="2" t="str">
        <f>IFERROR(INDEX(TblSupply[Supplier],MATCH(1,INDEX((TblSupply[ProductID]=B65)*(TblSupply[SupplierRole]="Primary"),0),0)),"")</f>
        <v>Maipo Nuts Ltd.</v>
      </c>
      <c r="J65" s="2" t="str">
        <f>IFERROR(INDEX(TblSuppliers[Phone],MATCH(I65,TblSuppliers[Supplier],0)),"")</f>
        <v>+56 9 2211 3344</v>
      </c>
      <c r="K65" s="2" t="str">
        <f>IFERROR(INDEX(TblSuppliers[Delivery?],MATCH(I65,TblSuppliers[Supplier],0)),"")</f>
        <v>Yes</v>
      </c>
    </row>
    <row r="66" spans="2:11" x14ac:dyDescent="0.25">
      <c r="B66" s="2" t="str">
        <f>Products!B65</f>
        <v>P062</v>
      </c>
      <c r="C66" s="2" t="str">
        <f>Products!C65</f>
        <v>European hazelnuts (premium)</v>
      </c>
      <c r="D66" s="2" t="str">
        <f>Products!D65</f>
        <v>Nuts</v>
      </c>
      <c r="E66" s="2" t="str">
        <f>Products!G65</f>
        <v>No</v>
      </c>
      <c r="F66" s="2" t="str">
        <f>Products!I65</f>
        <v>High</v>
      </c>
      <c r="G66" s="2" t="str">
        <f>Products!H65</f>
        <v>Fall-Winter</v>
      </c>
      <c r="H66" s="2" t="str">
        <f t="shared" si="1"/>
        <v>Low priority</v>
      </c>
      <c r="I66" s="2" t="str">
        <f>IFERROR(INDEX(TblSupply[Supplier],MATCH(1,INDEX((TblSupply[ProductID]=B66)*(TblSupply[SupplierRole]="Primary"),0),0)),"")</f>
        <v>Maipo Nuts Ltd.</v>
      </c>
      <c r="J66" s="2" t="str">
        <f>IFERROR(INDEX(TblSuppliers[Phone],MATCH(I66,TblSuppliers[Supplier],0)),"")</f>
        <v>+56 9 2211 3344</v>
      </c>
      <c r="K66" s="2" t="str">
        <f>IFERROR(INDEX(TblSuppliers[Delivery?],MATCH(I66,TblSuppliers[Supplier],0)),"")</f>
        <v>Yes</v>
      </c>
    </row>
    <row r="67" spans="2:11" x14ac:dyDescent="0.25">
      <c r="B67" s="2" t="str">
        <f>Products!B66</f>
        <v>P063</v>
      </c>
      <c r="C67" s="2" t="str">
        <f>Products!C66</f>
        <v>Cashews (salted)</v>
      </c>
      <c r="D67" s="2" t="str">
        <f>Products!D66</f>
        <v>Nuts</v>
      </c>
      <c r="E67" s="2" t="str">
        <f>Products!G66</f>
        <v>No</v>
      </c>
      <c r="F67" s="2" t="str">
        <f>Products!I66</f>
        <v>Low</v>
      </c>
      <c r="G67" s="2" t="str">
        <f>Products!H66</f>
        <v>Fall-Winter</v>
      </c>
      <c r="H67" s="2" t="str">
        <f t="shared" si="1"/>
        <v>Low priority</v>
      </c>
      <c r="I67" s="2" t="str">
        <f>IFERROR(INDEX(TblSupply[Supplier],MATCH(1,INDEX((TblSupply[ProductID]=B67)*(TblSupply[SupplierRole]="Primary"),0),0)),"")</f>
        <v>Maipo Nuts Ltd.</v>
      </c>
      <c r="J67" s="2" t="str">
        <f>IFERROR(INDEX(TblSuppliers[Phone],MATCH(I67,TblSuppliers[Supplier],0)),"")</f>
        <v>+56 9 2211 3344</v>
      </c>
      <c r="K67" s="2" t="str">
        <f>IFERROR(INDEX(TblSuppliers[Delivery?],MATCH(I67,TblSuppliers[Supplier],0)),"")</f>
        <v>Yes</v>
      </c>
    </row>
    <row r="68" spans="2:11" x14ac:dyDescent="0.25">
      <c r="B68" s="2" t="str">
        <f>Products!B67</f>
        <v>P064</v>
      </c>
      <c r="C68" s="2" t="str">
        <f>Products!C67</f>
        <v>Cashews (unsalted)</v>
      </c>
      <c r="D68" s="2" t="str">
        <f>Products!D67</f>
        <v>Nuts</v>
      </c>
      <c r="E68" s="2" t="str">
        <f>Products!G67</f>
        <v>No</v>
      </c>
      <c r="F68" s="2" t="str">
        <f>Products!I67</f>
        <v>High</v>
      </c>
      <c r="G68" s="2" t="str">
        <f>Products!H67</f>
        <v>Fall-Winter</v>
      </c>
      <c r="H68" s="2" t="str">
        <f t="shared" si="1"/>
        <v>Low priority</v>
      </c>
      <c r="I68" s="2" t="str">
        <f>IFERROR(INDEX(TblSupply[Supplier],MATCH(1,INDEX((TblSupply[ProductID]=B68)*(TblSupply[SupplierRole]="Primary"),0),0)),"")</f>
        <v>Maipo Nuts Ltd.</v>
      </c>
      <c r="J68" s="2" t="str">
        <f>IFERROR(INDEX(TblSuppliers[Phone],MATCH(I68,TblSuppliers[Supplier],0)),"")</f>
        <v>+56 9 2211 3344</v>
      </c>
      <c r="K68" s="2" t="str">
        <f>IFERROR(INDEX(TblSuppliers[Delivery?],MATCH(I68,TblSuppliers[Supplier],0)),"")</f>
        <v>Yes</v>
      </c>
    </row>
    <row r="69" spans="2:11" x14ac:dyDescent="0.25">
      <c r="B69" s="2" t="str">
        <f>Products!B68</f>
        <v>P065</v>
      </c>
      <c r="C69" s="2" t="str">
        <f>Products!C68</f>
        <v>Pistachios (roasted, salted)</v>
      </c>
      <c r="D69" s="2" t="str">
        <f>Products!D68</f>
        <v>Nuts</v>
      </c>
      <c r="E69" s="2" t="str">
        <f>Products!G68</f>
        <v>No</v>
      </c>
      <c r="F69" s="2" t="str">
        <f>Products!I68</f>
        <v>High</v>
      </c>
      <c r="G69" s="2" t="str">
        <f>Products!H68</f>
        <v>Fall-Winter</v>
      </c>
      <c r="H69" s="2" t="str">
        <f t="shared" ref="H69:H100" si="2">IF(E69="Yes",IF(F69="Low","URGENT",IF(F69="Medium","Watch","OK")),"Low priority")</f>
        <v>Low priority</v>
      </c>
      <c r="I69" s="2" t="str">
        <f>IFERROR(INDEX(TblSupply[Supplier],MATCH(1,INDEX((TblSupply[ProductID]=B69)*(TblSupply[SupplierRole]="Primary"),0),0)),"")</f>
        <v>Maipo Nuts Ltd.</v>
      </c>
      <c r="J69" s="2" t="str">
        <f>IFERROR(INDEX(TblSuppliers[Phone],MATCH(I69,TblSuppliers[Supplier],0)),"")</f>
        <v>+56 9 2211 3344</v>
      </c>
      <c r="K69" s="2" t="str">
        <f>IFERROR(INDEX(TblSuppliers[Delivery?],MATCH(I69,TblSuppliers[Supplier],0)),"")</f>
        <v>Yes</v>
      </c>
    </row>
    <row r="70" spans="2:11" x14ac:dyDescent="0.25">
      <c r="B70" s="2" t="str">
        <f>Products!B69</f>
        <v>P066</v>
      </c>
      <c r="C70" s="2" t="str">
        <f>Products!C69</f>
        <v>Pistachios (unsalted)</v>
      </c>
      <c r="D70" s="2" t="str">
        <f>Products!D69</f>
        <v>Nuts</v>
      </c>
      <c r="E70" s="2" t="str">
        <f>Products!G69</f>
        <v>No</v>
      </c>
      <c r="F70" s="2" t="str">
        <f>Products!I69</f>
        <v>Medium</v>
      </c>
      <c r="G70" s="2" t="str">
        <f>Products!H69</f>
        <v>Fall-Winter</v>
      </c>
      <c r="H70" s="2" t="str">
        <f t="shared" si="2"/>
        <v>Low priority</v>
      </c>
      <c r="I70" s="2" t="str">
        <f>IFERROR(INDEX(TblSupply[Supplier],MATCH(1,INDEX((TblSupply[ProductID]=B70)*(TblSupply[SupplierRole]="Primary"),0),0)),"")</f>
        <v>Maipo Nuts Ltd.</v>
      </c>
      <c r="J70" s="2" t="str">
        <f>IFERROR(INDEX(TblSuppliers[Phone],MATCH(I70,TblSuppliers[Supplier],0)),"")</f>
        <v>+56 9 2211 3344</v>
      </c>
      <c r="K70" s="2" t="str">
        <f>IFERROR(INDEX(TblSuppliers[Delivery?],MATCH(I70,TblSuppliers[Supplier],0)),"")</f>
        <v>Yes</v>
      </c>
    </row>
    <row r="71" spans="2:11" x14ac:dyDescent="0.25">
      <c r="B71" s="2" t="str">
        <f>Products!B70</f>
        <v>P067</v>
      </c>
      <c r="C71" s="2" t="str">
        <f>Products!C70</f>
        <v>Pecans (shelled)</v>
      </c>
      <c r="D71" s="2" t="str">
        <f>Products!D70</f>
        <v>Nuts</v>
      </c>
      <c r="E71" s="2" t="str">
        <f>Products!G70</f>
        <v>No</v>
      </c>
      <c r="F71" s="2" t="str">
        <f>Products!I70</f>
        <v>High</v>
      </c>
      <c r="G71" s="2" t="str">
        <f>Products!H70</f>
        <v>Fall-Winter</v>
      </c>
      <c r="H71" s="2" t="str">
        <f t="shared" si="2"/>
        <v>Low priority</v>
      </c>
      <c r="I71" s="2" t="str">
        <f>IFERROR(INDEX(TblSupply[Supplier],MATCH(1,INDEX((TblSupply[ProductID]=B71)*(TblSupply[SupplierRole]="Primary"),0),0)),"")</f>
        <v>Maipo Nuts Ltd.</v>
      </c>
      <c r="J71" s="2" t="str">
        <f>IFERROR(INDEX(TblSuppliers[Phone],MATCH(I71,TblSuppliers[Supplier],0)),"")</f>
        <v>+56 9 2211 3344</v>
      </c>
      <c r="K71" s="2" t="str">
        <f>IFERROR(INDEX(TblSuppliers[Delivery?],MATCH(I71,TblSuppliers[Supplier],0)),"")</f>
        <v>Yes</v>
      </c>
    </row>
    <row r="72" spans="2:11" x14ac:dyDescent="0.25">
      <c r="B72" s="2" t="str">
        <f>Products!B71</f>
        <v>P068</v>
      </c>
      <c r="C72" s="2" t="str">
        <f>Products!C71</f>
        <v>Brazil nuts</v>
      </c>
      <c r="D72" s="2" t="str">
        <f>Products!D71</f>
        <v>Nuts</v>
      </c>
      <c r="E72" s="2" t="str">
        <f>Products!G71</f>
        <v>No</v>
      </c>
      <c r="F72" s="2" t="str">
        <f>Products!I71</f>
        <v>Low</v>
      </c>
      <c r="G72" s="2" t="str">
        <f>Products!H71</f>
        <v>Fall-Winter</v>
      </c>
      <c r="H72" s="2" t="str">
        <f t="shared" si="2"/>
        <v>Low priority</v>
      </c>
      <c r="I72" s="2" t="str">
        <f>IFERROR(INDEX(TblSupply[Supplier],MATCH(1,INDEX((TblSupply[ProductID]=B72)*(TblSupply[SupplierRole]="Primary"),0),0)),"")</f>
        <v>Maipo Nuts Ltd.</v>
      </c>
      <c r="J72" s="2" t="str">
        <f>IFERROR(INDEX(TblSuppliers[Phone],MATCH(I72,TblSuppliers[Supplier],0)),"")</f>
        <v>+56 9 2211 3344</v>
      </c>
      <c r="K72" s="2" t="str">
        <f>IFERROR(INDEX(TblSuppliers[Delivery?],MATCH(I72,TblSuppliers[Supplier],0)),"")</f>
        <v>Yes</v>
      </c>
    </row>
    <row r="73" spans="2:11" x14ac:dyDescent="0.25">
      <c r="B73" s="2" t="str">
        <f>Products!B72</f>
        <v>P069</v>
      </c>
      <c r="C73" s="2" t="str">
        <f>Products!C72</f>
        <v>Macadamia nuts</v>
      </c>
      <c r="D73" s="2" t="str">
        <f>Products!D72</f>
        <v>Nuts</v>
      </c>
      <c r="E73" s="2" t="str">
        <f>Products!G72</f>
        <v>No</v>
      </c>
      <c r="F73" s="2" t="str">
        <f>Products!I72</f>
        <v>High</v>
      </c>
      <c r="G73" s="2" t="str">
        <f>Products!H72</f>
        <v>Fall-Winter</v>
      </c>
      <c r="H73" s="2" t="str">
        <f t="shared" si="2"/>
        <v>Low priority</v>
      </c>
      <c r="I73" s="2" t="str">
        <f>IFERROR(INDEX(TblSupply[Supplier],MATCH(1,INDEX((TblSupply[ProductID]=B73)*(TblSupply[SupplierRole]="Primary"),0),0)),"")</f>
        <v>Maipo Nuts Ltd.</v>
      </c>
      <c r="J73" s="2" t="str">
        <f>IFERROR(INDEX(TblSuppliers[Phone],MATCH(I73,TblSuppliers[Supplier],0)),"")</f>
        <v>+56 9 2211 3344</v>
      </c>
      <c r="K73" s="2" t="str">
        <f>IFERROR(INDEX(TblSuppliers[Delivery?],MATCH(I73,TblSuppliers[Supplier],0)),"")</f>
        <v>Yes</v>
      </c>
    </row>
    <row r="74" spans="2:11" x14ac:dyDescent="0.25">
      <c r="B74" s="2" t="str">
        <f>Products!B73</f>
        <v>P070</v>
      </c>
      <c r="C74" s="2" t="str">
        <f>Products!C73</f>
        <v>Sunflower seeds</v>
      </c>
      <c r="D74" s="2" t="str">
        <f>Products!D73</f>
        <v>Seeds</v>
      </c>
      <c r="E74" s="2" t="str">
        <f>Products!G73</f>
        <v>No</v>
      </c>
      <c r="F74" s="2" t="str">
        <f>Products!I73</f>
        <v>Low</v>
      </c>
      <c r="G74" s="2" t="str">
        <f>Products!H73</f>
        <v>All year</v>
      </c>
      <c r="H74" s="2" t="str">
        <f t="shared" si="2"/>
        <v>Low priority</v>
      </c>
      <c r="I74" s="2" t="str">
        <f>IFERROR(INDEX(TblSupply[Supplier],MATCH(1,INDEX((TblSupply[ProductID]=B74)*(TblSupply[SupplierRole]="Primary"),0),0)),"")</f>
        <v>Maipo Nuts Ltd.</v>
      </c>
      <c r="J74" s="2" t="str">
        <f>IFERROR(INDEX(TblSuppliers[Phone],MATCH(I74,TblSuppliers[Supplier],0)),"")</f>
        <v>+56 9 2211 3344</v>
      </c>
      <c r="K74" s="2" t="str">
        <f>IFERROR(INDEX(TblSuppliers[Delivery?],MATCH(I74,TblSuppliers[Supplier],0)),"")</f>
        <v>Yes</v>
      </c>
    </row>
    <row r="75" spans="2:11" x14ac:dyDescent="0.25">
      <c r="B75" s="2" t="str">
        <f>Products!B74</f>
        <v>P071</v>
      </c>
      <c r="C75" s="2" t="str">
        <f>Products!C74</f>
        <v>Pumpkin seeds</v>
      </c>
      <c r="D75" s="2" t="str">
        <f>Products!D74</f>
        <v>Seeds</v>
      </c>
      <c r="E75" s="2" t="str">
        <f>Products!G74</f>
        <v>No</v>
      </c>
      <c r="F75" s="2" t="str">
        <f>Products!I74</f>
        <v>Medium</v>
      </c>
      <c r="G75" s="2" t="str">
        <f>Products!H74</f>
        <v>All year</v>
      </c>
      <c r="H75" s="2" t="str">
        <f t="shared" si="2"/>
        <v>Low priority</v>
      </c>
      <c r="I75" s="2" t="str">
        <f>IFERROR(INDEX(TblSupply[Supplier],MATCH(1,INDEX((TblSupply[ProductID]=B75)*(TblSupply[SupplierRole]="Primary"),0),0)),"")</f>
        <v>Maipo Nuts Ltd.</v>
      </c>
      <c r="J75" s="2" t="str">
        <f>IFERROR(INDEX(TblSuppliers[Phone],MATCH(I75,TblSuppliers[Supplier],0)),"")</f>
        <v>+56 9 2211 3344</v>
      </c>
      <c r="K75" s="2" t="str">
        <f>IFERROR(INDEX(TblSuppliers[Delivery?],MATCH(I75,TblSuppliers[Supplier],0)),"")</f>
        <v>Yes</v>
      </c>
    </row>
    <row r="76" spans="2:11" x14ac:dyDescent="0.25">
      <c r="B76" s="2" t="str">
        <f>Products!B75</f>
        <v>P072</v>
      </c>
      <c r="C76" s="2" t="str">
        <f>Products!C75</f>
        <v>Chia seeds</v>
      </c>
      <c r="D76" s="2" t="str">
        <f>Products!D75</f>
        <v>Seeds</v>
      </c>
      <c r="E76" s="2" t="str">
        <f>Products!G75</f>
        <v>No</v>
      </c>
      <c r="F76" s="2" t="str">
        <f>Products!I75</f>
        <v>High</v>
      </c>
      <c r="G76" s="2" t="str">
        <f>Products!H75</f>
        <v>All year</v>
      </c>
      <c r="H76" s="2" t="str">
        <f t="shared" si="2"/>
        <v>Low priority</v>
      </c>
      <c r="I76" s="2" t="str">
        <f>IFERROR(INDEX(TblSupply[Supplier],MATCH(1,INDEX((TblSupply[ProductID]=B76)*(TblSupply[SupplierRole]="Primary"),0),0)),"")</f>
        <v>Maipo Nuts Ltd.</v>
      </c>
      <c r="J76" s="2" t="str">
        <f>IFERROR(INDEX(TblSuppliers[Phone],MATCH(I76,TblSuppliers[Supplier],0)),"")</f>
        <v>+56 9 2211 3344</v>
      </c>
      <c r="K76" s="2" t="str">
        <f>IFERROR(INDEX(TblSuppliers[Delivery?],MATCH(I76,TblSuppliers[Supplier],0)),"")</f>
        <v>Yes</v>
      </c>
    </row>
    <row r="77" spans="2:11" x14ac:dyDescent="0.25">
      <c r="B77" s="2" t="str">
        <f>Products!B76</f>
        <v>P073</v>
      </c>
      <c r="C77" s="2" t="str">
        <f>Products!C76</f>
        <v>Flax seeds</v>
      </c>
      <c r="D77" s="2" t="str">
        <f>Products!D76</f>
        <v>Seeds</v>
      </c>
      <c r="E77" s="2" t="str">
        <f>Products!G76</f>
        <v>No</v>
      </c>
      <c r="F77" s="2" t="str">
        <f>Products!I76</f>
        <v>High</v>
      </c>
      <c r="G77" s="2" t="str">
        <f>Products!H76</f>
        <v>All year</v>
      </c>
      <c r="H77" s="2" t="str">
        <f t="shared" si="2"/>
        <v>Low priority</v>
      </c>
      <c r="I77" s="2" t="str">
        <f>IFERROR(INDEX(TblSupply[Supplier],MATCH(1,INDEX((TblSupply[ProductID]=B77)*(TblSupply[SupplierRole]="Primary"),0),0)),"")</f>
        <v>Maipo Nuts Ltd.</v>
      </c>
      <c r="J77" s="2" t="str">
        <f>IFERROR(INDEX(TblSuppliers[Phone],MATCH(I77,TblSuppliers[Supplier],0)),"")</f>
        <v>+56 9 2211 3344</v>
      </c>
      <c r="K77" s="2" t="str">
        <f>IFERROR(INDEX(TblSuppliers[Delivery?],MATCH(I77,TblSuppliers[Supplier],0)),"")</f>
        <v>Yes</v>
      </c>
    </row>
    <row r="78" spans="2:11" x14ac:dyDescent="0.25">
      <c r="B78" s="2" t="str">
        <f>Products!B77</f>
        <v>P074</v>
      </c>
      <c r="C78" s="2" t="str">
        <f>Products!C77</f>
        <v>Sesame seeds</v>
      </c>
      <c r="D78" s="2" t="str">
        <f>Products!D77</f>
        <v>Seeds</v>
      </c>
      <c r="E78" s="2" t="str">
        <f>Products!G77</f>
        <v>No</v>
      </c>
      <c r="F78" s="2" t="str">
        <f>Products!I77</f>
        <v>Low</v>
      </c>
      <c r="G78" s="2" t="str">
        <f>Products!H77</f>
        <v>All year</v>
      </c>
      <c r="H78" s="2" t="str">
        <f t="shared" si="2"/>
        <v>Low priority</v>
      </c>
      <c r="I78" s="2" t="str">
        <f>IFERROR(INDEX(TblSupply[Supplier],MATCH(1,INDEX((TblSupply[ProductID]=B78)*(TblSupply[SupplierRole]="Primary"),0),0)),"")</f>
        <v>Maipo Nuts Ltd.</v>
      </c>
      <c r="J78" s="2" t="str">
        <f>IFERROR(INDEX(TblSuppliers[Phone],MATCH(I78,TblSuppliers[Supplier],0)),"")</f>
        <v>+56 9 2211 3344</v>
      </c>
      <c r="K78" s="2" t="str">
        <f>IFERROR(INDEX(TblSuppliers[Delivery?],MATCH(I78,TblSuppliers[Supplier],0)),"")</f>
        <v>Yes</v>
      </c>
    </row>
    <row r="79" spans="2:11" x14ac:dyDescent="0.25">
      <c r="B79" s="2" t="str">
        <f>Products!B78</f>
        <v>P075</v>
      </c>
      <c r="C79" s="2" t="str">
        <f>Products!C78</f>
        <v>Artisanal alfajores</v>
      </c>
      <c r="D79" s="2" t="str">
        <f>Products!D78</f>
        <v>Candy</v>
      </c>
      <c r="E79" s="2" t="str">
        <f>Products!G78</f>
        <v>No</v>
      </c>
      <c r="F79" s="2" t="str">
        <f>Products!I78</f>
        <v>Medium</v>
      </c>
      <c r="G79" s="2" t="str">
        <f>Products!H78</f>
        <v>All year</v>
      </c>
      <c r="H79" s="2" t="str">
        <f t="shared" si="2"/>
        <v>Low priority</v>
      </c>
      <c r="I79" s="2" t="str">
        <f>IFERROR(INDEX(TblSupply[Supplier],MATCH(1,INDEX((TblSupply[ProductID]=B79)*(TblSupply[SupplierRole]="Primary"),0),0)),"")</f>
        <v>Molina Artisan Sweets</v>
      </c>
      <c r="J79" s="2" t="str">
        <f>IFERROR(INDEX(TblSuppliers[Phone],MATCH(I79,TblSuppliers[Supplier],0)),"")</f>
        <v>+56 9 9900 1122</v>
      </c>
      <c r="K79" s="2" t="str">
        <f>IFERROR(INDEX(TblSuppliers[Delivery?],MATCH(I79,TblSuppliers[Supplier],0)),"")</f>
        <v>No</v>
      </c>
    </row>
    <row r="80" spans="2:11" x14ac:dyDescent="0.25">
      <c r="B80" s="2" t="str">
        <f>Products!B79</f>
        <v>P076</v>
      </c>
      <c r="C80" s="2" t="str">
        <f>Products!C79</f>
        <v>Candied quince (membrillo)</v>
      </c>
      <c r="D80" s="2" t="str">
        <f>Products!D79</f>
        <v>Candy</v>
      </c>
      <c r="E80" s="2" t="str">
        <f>Products!G79</f>
        <v>No</v>
      </c>
      <c r="F80" s="2" t="str">
        <f>Products!I79</f>
        <v>Medium</v>
      </c>
      <c r="G80" s="2" t="str">
        <f>Products!H79</f>
        <v>Fall-Winter</v>
      </c>
      <c r="H80" s="2" t="str">
        <f t="shared" si="2"/>
        <v>Low priority</v>
      </c>
      <c r="I80" s="2" t="str">
        <f>IFERROR(INDEX(TblSupply[Supplier],MATCH(1,INDEX((TblSupply[ProductID]=B80)*(TblSupply[SupplierRole]="Primary"),0),0)),"")</f>
        <v>Molina Artisan Sweets</v>
      </c>
      <c r="J80" s="2" t="str">
        <f>IFERROR(INDEX(TblSuppliers[Phone],MATCH(I80,TblSuppliers[Supplier],0)),"")</f>
        <v>+56 9 9900 1122</v>
      </c>
      <c r="K80" s="2" t="str">
        <f>IFERROR(INDEX(TblSuppliers[Delivery?],MATCH(I80,TblSuppliers[Supplier],0)),"")</f>
        <v>No</v>
      </c>
    </row>
    <row r="81" spans="2:11" x14ac:dyDescent="0.25">
      <c r="B81" s="2" t="str">
        <f>Products!B80</f>
        <v>P077</v>
      </c>
      <c r="C81" s="2" t="str">
        <f>Products!C80</f>
        <v>Homemade jam, jar 350g</v>
      </c>
      <c r="D81" s="2" t="str">
        <f>Products!D80</f>
        <v>Candy</v>
      </c>
      <c r="E81" s="2" t="str">
        <f>Products!G80</f>
        <v>No</v>
      </c>
      <c r="F81" s="2" t="str">
        <f>Products!I80</f>
        <v>Medium</v>
      </c>
      <c r="G81" s="2" t="str">
        <f>Products!H80</f>
        <v>All year</v>
      </c>
      <c r="H81" s="2" t="str">
        <f t="shared" si="2"/>
        <v>Low priority</v>
      </c>
      <c r="I81" s="2" t="str">
        <f>IFERROR(INDEX(TblSupply[Supplier],MATCH(1,INDEX((TblSupply[ProductID]=B81)*(TblSupply[SupplierRole]="Primary"),0),0)),"")</f>
        <v>Molina Artisan Sweets</v>
      </c>
      <c r="J81" s="2" t="str">
        <f>IFERROR(INDEX(TblSuppliers[Phone],MATCH(I81,TblSuppliers[Supplier],0)),"")</f>
        <v>+56 9 9900 1122</v>
      </c>
      <c r="K81" s="2" t="str">
        <f>IFERROR(INDEX(TblSuppliers[Delivery?],MATCH(I81,TblSuppliers[Supplier],0)),"")</f>
        <v>No</v>
      </c>
    </row>
    <row r="82" spans="2:11" x14ac:dyDescent="0.25">
      <c r="B82" s="2" t="str">
        <f>Products!B81</f>
        <v>P078</v>
      </c>
      <c r="C82" s="2" t="str">
        <f>Products!C81</f>
        <v>Artisanal nougat (turron)</v>
      </c>
      <c r="D82" s="2" t="str">
        <f>Products!D81</f>
        <v>Candy</v>
      </c>
      <c r="E82" s="2" t="str">
        <f>Products!G81</f>
        <v>No</v>
      </c>
      <c r="F82" s="2" t="str">
        <f>Products!I81</f>
        <v>High</v>
      </c>
      <c r="G82" s="2" t="str">
        <f>Products!H81</f>
        <v>All year</v>
      </c>
      <c r="H82" s="2" t="str">
        <f t="shared" si="2"/>
        <v>Low priority</v>
      </c>
      <c r="I82" s="2" t="str">
        <f>IFERROR(INDEX(TblSupply[Supplier],MATCH(1,INDEX((TblSupply[ProductID]=B82)*(TblSupply[SupplierRole]="Primary"),0),0)),"")</f>
        <v>Molina Artisan Sweets</v>
      </c>
      <c r="J82" s="2" t="str">
        <f>IFERROR(INDEX(TblSuppliers[Phone],MATCH(I82,TblSuppliers[Supplier],0)),"")</f>
        <v>+56 9 9900 1122</v>
      </c>
      <c r="K82" s="2" t="str">
        <f>IFERROR(INDEX(TblSuppliers[Delivery?],MATCH(I82,TblSuppliers[Supplier],0)),"")</f>
        <v>No</v>
      </c>
    </row>
    <row r="83" spans="2:11" x14ac:dyDescent="0.25">
      <c r="B83" s="2" t="str">
        <f>Products!B82</f>
        <v>P079</v>
      </c>
      <c r="C83" s="2" t="str">
        <f>Products!C82</f>
        <v>Raw cane sugar loaf (chancaca)</v>
      </c>
      <c r="D83" s="2" t="str">
        <f>Products!D82</f>
        <v>Candy</v>
      </c>
      <c r="E83" s="2" t="str">
        <f>Products!G82</f>
        <v>No</v>
      </c>
      <c r="F83" s="2" t="str">
        <f>Products!I82</f>
        <v>High</v>
      </c>
      <c r="G83" s="2" t="str">
        <f>Products!H82</f>
        <v>Fall-Winter</v>
      </c>
      <c r="H83" s="2" t="str">
        <f t="shared" si="2"/>
        <v>Low priority</v>
      </c>
      <c r="I83" s="2" t="str">
        <f>IFERROR(INDEX(TblSupply[Supplier],MATCH(1,INDEX((TblSupply[ProductID]=B83)*(TblSupply[SupplierRole]="Primary"),0),0)),"")</f>
        <v>Molina Artisan Sweets</v>
      </c>
      <c r="J83" s="2" t="str">
        <f>IFERROR(INDEX(TblSuppliers[Phone],MATCH(I83,TblSuppliers[Supplier],0)),"")</f>
        <v>+56 9 9900 1122</v>
      </c>
      <c r="K83" s="2" t="str">
        <f>IFERROR(INDEX(TblSuppliers[Delivery?],MATCH(I83,TblSuppliers[Supplier],0)),"")</f>
        <v>No</v>
      </c>
    </row>
    <row r="84" spans="2:11" x14ac:dyDescent="0.25">
      <c r="B84" s="2" t="str">
        <f>Products!B83</f>
        <v>P080</v>
      </c>
      <c r="C84" s="2" t="str">
        <f>Products!C83</f>
        <v>Gummy candy bag 100g</v>
      </c>
      <c r="D84" s="2" t="str">
        <f>Products!D83</f>
        <v>Candy</v>
      </c>
      <c r="E84" s="2" t="str">
        <f>Products!G83</f>
        <v>No</v>
      </c>
      <c r="F84" s="2" t="str">
        <f>Products!I83</f>
        <v>High</v>
      </c>
      <c r="G84" s="2" t="str">
        <f>Products!H83</f>
        <v>All year</v>
      </c>
      <c r="H84" s="2" t="str">
        <f t="shared" si="2"/>
        <v>Low priority</v>
      </c>
      <c r="I84" s="2" t="str">
        <f>IFERROR(INDEX(TblSupply[Supplier],MATCH(1,INDEX((TblSupply[ProductID]=B84)*(TblSupply[SupplierRole]="Primary"),0),0)),"")</f>
        <v>Molina Artisan Sweets</v>
      </c>
      <c r="J84" s="2" t="str">
        <f>IFERROR(INDEX(TblSuppliers[Phone],MATCH(I84,TblSuppliers[Supplier],0)),"")</f>
        <v>+56 9 9900 1122</v>
      </c>
      <c r="K84" s="2" t="str">
        <f>IFERROR(INDEX(TblSuppliers[Delivery?],MATCH(I84,TblSuppliers[Supplier],0)),"")</f>
        <v>No</v>
      </c>
    </row>
    <row r="85" spans="2:11" x14ac:dyDescent="0.25">
      <c r="B85" s="2" t="str">
        <f>Products!B84</f>
        <v>P081</v>
      </c>
      <c r="C85" s="2" t="str">
        <f>Products!C84</f>
        <v>Gummy candy bag 50g</v>
      </c>
      <c r="D85" s="2" t="str">
        <f>Products!D84</f>
        <v>Candy</v>
      </c>
      <c r="E85" s="2" t="str">
        <f>Products!G84</f>
        <v>No</v>
      </c>
      <c r="F85" s="2" t="str">
        <f>Products!I84</f>
        <v>Low</v>
      </c>
      <c r="G85" s="2" t="str">
        <f>Products!H84</f>
        <v>All year</v>
      </c>
      <c r="H85" s="2" t="str">
        <f t="shared" si="2"/>
        <v>Low priority</v>
      </c>
      <c r="I85" s="2" t="str">
        <f>IFERROR(INDEX(TblSupply[Supplier],MATCH(1,INDEX((TblSupply[ProductID]=B85)*(TblSupply[SupplierRole]="Primary"),0),0)),"")</f>
        <v>Molina Artisan Sweets</v>
      </c>
      <c r="J85" s="2" t="str">
        <f>IFERROR(INDEX(TblSuppliers[Phone],MATCH(I85,TblSuppliers[Supplier],0)),"")</f>
        <v>+56 9 9900 1122</v>
      </c>
      <c r="K85" s="2" t="str">
        <f>IFERROR(INDEX(TblSuppliers[Delivery?],MATCH(I85,TblSuppliers[Supplier],0)),"")</f>
        <v>No</v>
      </c>
    </row>
    <row r="86" spans="2:11" x14ac:dyDescent="0.25">
      <c r="B86" s="2" t="str">
        <f>Products!B85</f>
        <v>P082</v>
      </c>
      <c r="C86" s="2" t="str">
        <f>Products!C85</f>
        <v>Sour gummy bag 100g</v>
      </c>
      <c r="D86" s="2" t="str">
        <f>Products!D85</f>
        <v>Candy</v>
      </c>
      <c r="E86" s="2" t="str">
        <f>Products!G85</f>
        <v>No</v>
      </c>
      <c r="F86" s="2" t="str">
        <f>Products!I85</f>
        <v>Medium</v>
      </c>
      <c r="G86" s="2" t="str">
        <f>Products!H85</f>
        <v>All year</v>
      </c>
      <c r="H86" s="2" t="str">
        <f t="shared" si="2"/>
        <v>Low priority</v>
      </c>
      <c r="I86" s="2" t="str">
        <f>IFERROR(INDEX(TblSupply[Supplier],MATCH(1,INDEX((TblSupply[ProductID]=B86)*(TblSupply[SupplierRole]="Primary"),0),0)),"")</f>
        <v>Molina Artisan Sweets</v>
      </c>
      <c r="J86" s="2" t="str">
        <f>IFERROR(INDEX(TblSuppliers[Phone],MATCH(I86,TblSuppliers[Supplier],0)),"")</f>
        <v>+56 9 9900 1122</v>
      </c>
      <c r="K86" s="2" t="str">
        <f>IFERROR(INDEX(TblSuppliers[Delivery?],MATCH(I86,TblSuppliers[Supplier],0)),"")</f>
        <v>No</v>
      </c>
    </row>
    <row r="87" spans="2:11" x14ac:dyDescent="0.25">
      <c r="B87" s="2" t="str">
        <f>Products!B86</f>
        <v>P083</v>
      </c>
      <c r="C87" s="2" t="str">
        <f>Products!C86</f>
        <v>Wine gums bag 50g</v>
      </c>
      <c r="D87" s="2" t="str">
        <f>Products!D86</f>
        <v>Candy</v>
      </c>
      <c r="E87" s="2" t="str">
        <f>Products!G86</f>
        <v>No</v>
      </c>
      <c r="F87" s="2" t="str">
        <f>Products!I86</f>
        <v>High</v>
      </c>
      <c r="G87" s="2" t="str">
        <f>Products!H86</f>
        <v>All year</v>
      </c>
      <c r="H87" s="2" t="str">
        <f t="shared" si="2"/>
        <v>Low priority</v>
      </c>
      <c r="I87" s="2" t="str">
        <f>IFERROR(INDEX(TblSupply[Supplier],MATCH(1,INDEX((TblSupply[ProductID]=B87)*(TblSupply[SupplierRole]="Primary"),0),0)),"")</f>
        <v>Molina Artisan Sweets</v>
      </c>
      <c r="J87" s="2" t="str">
        <f>IFERROR(INDEX(TblSuppliers[Phone],MATCH(I87,TblSuppliers[Supplier],0)),"")</f>
        <v>+56 9 9900 1122</v>
      </c>
      <c r="K87" s="2" t="str">
        <f>IFERROR(INDEX(TblSuppliers[Delivery?],MATCH(I87,TblSuppliers[Supplier],0)),"")</f>
        <v>No</v>
      </c>
    </row>
    <row r="88" spans="2:11" x14ac:dyDescent="0.25">
      <c r="B88" s="2" t="str">
        <f>Products!B87</f>
        <v>P084</v>
      </c>
      <c r="C88" s="2" t="str">
        <f>Products!C87</f>
        <v>Chocolate-coated raisins bag 100g</v>
      </c>
      <c r="D88" s="2" t="str">
        <f>Products!D87</f>
        <v>Candy</v>
      </c>
      <c r="E88" s="2" t="str">
        <f>Products!G87</f>
        <v>No</v>
      </c>
      <c r="F88" s="2" t="str">
        <f>Products!I87</f>
        <v>High</v>
      </c>
      <c r="G88" s="2" t="str">
        <f>Products!H87</f>
        <v>Fall-Winter</v>
      </c>
      <c r="H88" s="2" t="str">
        <f t="shared" si="2"/>
        <v>Low priority</v>
      </c>
      <c r="I88" s="2" t="str">
        <f>IFERROR(INDEX(TblSupply[Supplier],MATCH(1,INDEX((TblSupply[ProductID]=B88)*(TblSupply[SupplierRole]="Primary"),0),0)),"")</f>
        <v>Molina Artisan Sweets</v>
      </c>
      <c r="J88" s="2" t="str">
        <f>IFERROR(INDEX(TblSuppliers[Phone],MATCH(I88,TblSuppliers[Supplier],0)),"")</f>
        <v>+56 9 9900 1122</v>
      </c>
      <c r="K88" s="2" t="str">
        <f>IFERROR(INDEX(TblSuppliers[Delivery?],MATCH(I88,TblSuppliers[Supplier],0)),"")</f>
        <v>No</v>
      </c>
    </row>
    <row r="89" spans="2:11" x14ac:dyDescent="0.25">
      <c r="B89" s="2" t="str">
        <f>Products!B88</f>
        <v>P085</v>
      </c>
      <c r="C89" s="2" t="str">
        <f>Products!C88</f>
        <v>Chocolate-coated peanuts bag 100g</v>
      </c>
      <c r="D89" s="2" t="str">
        <f>Products!D88</f>
        <v>Candy</v>
      </c>
      <c r="E89" s="2" t="str">
        <f>Products!G88</f>
        <v>No</v>
      </c>
      <c r="F89" s="2" t="str">
        <f>Products!I88</f>
        <v>High</v>
      </c>
      <c r="G89" s="2" t="str">
        <f>Products!H88</f>
        <v>Fall-Winter</v>
      </c>
      <c r="H89" s="2" t="str">
        <f t="shared" si="2"/>
        <v>Low priority</v>
      </c>
      <c r="I89" s="2" t="str">
        <f>IFERROR(INDEX(TblSupply[Supplier],MATCH(1,INDEX((TblSupply[ProductID]=B89)*(TblSupply[SupplierRole]="Primary"),0),0)),"")</f>
        <v>Molina Artisan Sweets</v>
      </c>
      <c r="J89" s="2" t="str">
        <f>IFERROR(INDEX(TblSuppliers[Phone],MATCH(I89,TblSuppliers[Supplier],0)),"")</f>
        <v>+56 9 9900 1122</v>
      </c>
      <c r="K89" s="2" t="str">
        <f>IFERROR(INDEX(TblSuppliers[Delivery?],MATCH(I89,TblSuppliers[Supplier],0)),"")</f>
        <v>No</v>
      </c>
    </row>
    <row r="90" spans="2:11" x14ac:dyDescent="0.25">
      <c r="B90" s="2" t="str">
        <f>Products!B89</f>
        <v>P086</v>
      </c>
      <c r="C90" s="2" t="str">
        <f>Products!C89</f>
        <v>Toffee caramels bag 100g</v>
      </c>
      <c r="D90" s="2" t="str">
        <f>Products!D89</f>
        <v>Candy</v>
      </c>
      <c r="E90" s="2" t="str">
        <f>Products!G89</f>
        <v>No</v>
      </c>
      <c r="F90" s="2" t="str">
        <f>Products!I89</f>
        <v>High</v>
      </c>
      <c r="G90" s="2" t="str">
        <f>Products!H89</f>
        <v>All year</v>
      </c>
      <c r="H90" s="2" t="str">
        <f t="shared" si="2"/>
        <v>Low priority</v>
      </c>
      <c r="I90" s="2" t="str">
        <f>IFERROR(INDEX(TblSupply[Supplier],MATCH(1,INDEX((TblSupply[ProductID]=B90)*(TblSupply[SupplierRole]="Primary"),0),0)),"")</f>
        <v>Molina Artisan Sweets</v>
      </c>
      <c r="J90" s="2" t="str">
        <f>IFERROR(INDEX(TblSuppliers[Phone],MATCH(I90,TblSuppliers[Supplier],0)),"")</f>
        <v>+56 9 9900 1122</v>
      </c>
      <c r="K90" s="2" t="str">
        <f>IFERROR(INDEX(TblSuppliers[Delivery?],MATCH(I90,TblSuppliers[Supplier],0)),"")</f>
        <v>No</v>
      </c>
    </row>
    <row r="91" spans="2:11" x14ac:dyDescent="0.25">
      <c r="B91" s="2" t="str">
        <f>Products!B90</f>
        <v>P087</v>
      </c>
      <c r="C91" s="2" t="str">
        <f>Products!C90</f>
        <v>Mint candy bag 50g</v>
      </c>
      <c r="D91" s="2" t="str">
        <f>Products!D90</f>
        <v>Candy</v>
      </c>
      <c r="E91" s="2" t="str">
        <f>Products!G90</f>
        <v>No</v>
      </c>
      <c r="F91" s="2" t="str">
        <f>Products!I90</f>
        <v>Medium</v>
      </c>
      <c r="G91" s="2" t="str">
        <f>Products!H90</f>
        <v>All year</v>
      </c>
      <c r="H91" s="2" t="str">
        <f t="shared" si="2"/>
        <v>Low priority</v>
      </c>
      <c r="I91" s="2" t="str">
        <f>IFERROR(INDEX(TblSupply[Supplier],MATCH(1,INDEX((TblSupply[ProductID]=B91)*(TblSupply[SupplierRole]="Primary"),0),0)),"")</f>
        <v>Molina Artisan Sweets</v>
      </c>
      <c r="J91" s="2" t="str">
        <f>IFERROR(INDEX(TblSuppliers[Phone],MATCH(I91,TblSuppliers[Supplier],0)),"")</f>
        <v>+56 9 9900 1122</v>
      </c>
      <c r="K91" s="2" t="str">
        <f>IFERROR(INDEX(TblSuppliers[Delivery?],MATCH(I91,TblSuppliers[Supplier],0)),"")</f>
        <v>No</v>
      </c>
    </row>
    <row r="92" spans="2:11" x14ac:dyDescent="0.25">
      <c r="B92" s="2" t="str">
        <f>Products!B91</f>
        <v>P088</v>
      </c>
      <c r="C92" s="2" t="str">
        <f>Products!C91</f>
        <v>Licorice bag 100g</v>
      </c>
      <c r="D92" s="2" t="str">
        <f>Products!D91</f>
        <v>Candy</v>
      </c>
      <c r="E92" s="2" t="str">
        <f>Products!G91</f>
        <v>No</v>
      </c>
      <c r="F92" s="2" t="str">
        <f>Products!I91</f>
        <v>Medium</v>
      </c>
      <c r="G92" s="2" t="str">
        <f>Products!H91</f>
        <v>All year</v>
      </c>
      <c r="H92" s="2" t="str">
        <f t="shared" si="2"/>
        <v>Low priority</v>
      </c>
      <c r="I92" s="2" t="str">
        <f>IFERROR(INDEX(TblSupply[Supplier],MATCH(1,INDEX((TblSupply[ProductID]=B92)*(TblSupply[SupplierRole]="Primary"),0),0)),"")</f>
        <v>Molina Artisan Sweets</v>
      </c>
      <c r="J92" s="2" t="str">
        <f>IFERROR(INDEX(TblSuppliers[Phone],MATCH(I92,TblSuppliers[Supplier],0)),"")</f>
        <v>+56 9 9900 1122</v>
      </c>
      <c r="K92" s="2" t="str">
        <f>IFERROR(INDEX(TblSuppliers[Delivery?],MATCH(I92,TblSuppliers[Supplier],0)),"")</f>
        <v>No</v>
      </c>
    </row>
    <row r="93" spans="2:11" x14ac:dyDescent="0.25">
      <c r="B93" s="2" t="str">
        <f>Products!B92</f>
        <v>P089</v>
      </c>
      <c r="C93" s="2" t="str">
        <f>Products!C92</f>
        <v>Mixed hard candy bag 50g</v>
      </c>
      <c r="D93" s="2" t="str">
        <f>Products!D92</f>
        <v>Candy</v>
      </c>
      <c r="E93" s="2" t="str">
        <f>Products!G92</f>
        <v>No</v>
      </c>
      <c r="F93" s="2" t="str">
        <f>Products!I92</f>
        <v>Low</v>
      </c>
      <c r="G93" s="2" t="str">
        <f>Products!H92</f>
        <v>All year</v>
      </c>
      <c r="H93" s="2" t="str">
        <f t="shared" si="2"/>
        <v>Low priority</v>
      </c>
      <c r="I93" s="2" t="str">
        <f>IFERROR(INDEX(TblSupply[Supplier],MATCH(1,INDEX((TblSupply[ProductID]=B93)*(TblSupply[SupplierRole]="Primary"),0),0)),"")</f>
        <v>Molina Artisan Sweets</v>
      </c>
      <c r="J93" s="2" t="str">
        <f>IFERROR(INDEX(TblSuppliers[Phone],MATCH(I93,TblSuppliers[Supplier],0)),"")</f>
        <v>+56 9 9900 1122</v>
      </c>
      <c r="K93" s="2" t="str">
        <f>IFERROR(INDEX(TblSuppliers[Delivery?],MATCH(I93,TblSuppliers[Supplier],0)),"")</f>
        <v>No</v>
      </c>
    </row>
    <row r="94" spans="2:11" x14ac:dyDescent="0.25">
      <c r="B94" s="2" t="str">
        <f>Products!B93</f>
        <v>P090</v>
      </c>
      <c r="C94" s="2" t="str">
        <f>Products!C93</f>
        <v>Coconut candy bag 100g</v>
      </c>
      <c r="D94" s="2" t="str">
        <f>Products!D93</f>
        <v>Candy</v>
      </c>
      <c r="E94" s="2" t="str">
        <f>Products!G93</f>
        <v>No</v>
      </c>
      <c r="F94" s="2" t="str">
        <f>Products!I93</f>
        <v>Medium</v>
      </c>
      <c r="G94" s="2" t="str">
        <f>Products!H93</f>
        <v>All year</v>
      </c>
      <c r="H94" s="2" t="str">
        <f t="shared" si="2"/>
        <v>Low priority</v>
      </c>
      <c r="I94" s="2" t="str">
        <f>IFERROR(INDEX(TblSupply[Supplier],MATCH(1,INDEX((TblSupply[ProductID]=B94)*(TblSupply[SupplierRole]="Primary"),0),0)),"")</f>
        <v>Molina Artisan Sweets</v>
      </c>
      <c r="J94" s="2" t="str">
        <f>IFERROR(INDEX(TblSuppliers[Phone],MATCH(I94,TblSuppliers[Supplier],0)),"")</f>
        <v>+56 9 9900 1122</v>
      </c>
      <c r="K94" s="2" t="str">
        <f>IFERROR(INDEX(TblSuppliers[Delivery?],MATCH(I94,TblSuppliers[Supplier],0)),"")</f>
        <v>No</v>
      </c>
    </row>
    <row r="95" spans="2:11" x14ac:dyDescent="0.25">
      <c r="B95" s="2" t="str">
        <f>Products!B94</f>
        <v>P091</v>
      </c>
      <c r="C95" s="2" t="str">
        <f>Products!C94</f>
        <v>Dulce de leche cookies bag 100g</v>
      </c>
      <c r="D95" s="2" t="str">
        <f>Products!D94</f>
        <v>Candy</v>
      </c>
      <c r="E95" s="2" t="str">
        <f>Products!G94</f>
        <v>No</v>
      </c>
      <c r="F95" s="2" t="str">
        <f>Products!I94</f>
        <v>High</v>
      </c>
      <c r="G95" s="2" t="str">
        <f>Products!H94</f>
        <v>All year</v>
      </c>
      <c r="H95" s="2" t="str">
        <f t="shared" si="2"/>
        <v>Low priority</v>
      </c>
      <c r="I95" s="2" t="str">
        <f>IFERROR(INDEX(TblSupply[Supplier],MATCH(1,INDEX((TblSupply[ProductID]=B95)*(TblSupply[SupplierRole]="Primary"),0),0)),"")</f>
        <v>Molina Artisan Sweets</v>
      </c>
      <c r="J95" s="2" t="str">
        <f>IFERROR(INDEX(TblSuppliers[Phone],MATCH(I95,TblSuppliers[Supplier],0)),"")</f>
        <v>+56 9 9900 1122</v>
      </c>
      <c r="K95" s="2" t="str">
        <f>IFERROR(INDEX(TblSuppliers[Delivery?],MATCH(I95,TblSuppliers[Supplier],0)),"")</f>
        <v>No</v>
      </c>
    </row>
    <row r="96" spans="2:11" x14ac:dyDescent="0.25">
      <c r="B96" s="2" t="str">
        <f>Products!B95</f>
        <v>P092</v>
      </c>
      <c r="C96" s="2" t="str">
        <f>Products!C95</f>
        <v>Golden raisins</v>
      </c>
      <c r="D96" s="2" t="str">
        <f>Products!D95</f>
        <v>Raisins</v>
      </c>
      <c r="E96" s="2" t="str">
        <f>Products!G95</f>
        <v>Yes</v>
      </c>
      <c r="F96" s="2" t="str">
        <f>Products!I95</f>
        <v>Medium</v>
      </c>
      <c r="G96" s="2" t="str">
        <f>Products!H95</f>
        <v>Fall-Winter</v>
      </c>
      <c r="H96" s="2" t="str">
        <f t="shared" si="2"/>
        <v>Watch</v>
      </c>
      <c r="I96" s="2" t="str">
        <f>IFERROR(INDEX(TblSupply[Supplier],MATCH(1,INDEX((TblSupply[ProductID]=B96)*(TblSupply[SupplierRole]="Primary"),0),0)),"")</f>
        <v>San Fernando Dried Goods</v>
      </c>
      <c r="J96" s="2" t="str">
        <f>IFERROR(INDEX(TblSuppliers[Phone],MATCH(I96,TblSuppliers[Supplier],0)),"")</f>
        <v>+56 9 5566 7788</v>
      </c>
      <c r="K96" s="2" t="str">
        <f>IFERROR(INDEX(TblSuppliers[Delivery?],MATCH(I96,TblSuppliers[Supplier],0)),"")</f>
        <v>Yes</v>
      </c>
    </row>
    <row r="97" spans="2:11" x14ac:dyDescent="0.25">
      <c r="B97" s="2" t="str">
        <f>Products!B96</f>
        <v>P093</v>
      </c>
      <c r="C97" s="2" t="str">
        <f>Products!C96</f>
        <v>Brown raisins</v>
      </c>
      <c r="D97" s="2" t="str">
        <f>Products!D96</f>
        <v>Raisins</v>
      </c>
      <c r="E97" s="2" t="str">
        <f>Products!G96</f>
        <v>No</v>
      </c>
      <c r="F97" s="2" t="str">
        <f>Products!I96</f>
        <v>Medium</v>
      </c>
      <c r="G97" s="2" t="str">
        <f>Products!H96</f>
        <v>Fall-Winter</v>
      </c>
      <c r="H97" s="2" t="str">
        <f t="shared" si="2"/>
        <v>Low priority</v>
      </c>
      <c r="I97" s="2" t="str">
        <f>IFERROR(INDEX(TblSupply[Supplier],MATCH(1,INDEX((TblSupply[ProductID]=B97)*(TblSupply[SupplierRole]="Primary"),0),0)),"")</f>
        <v>San Fernando Dried Goods</v>
      </c>
      <c r="J97" s="2" t="str">
        <f>IFERROR(INDEX(TblSuppliers[Phone],MATCH(I97,TblSuppliers[Supplier],0)),"")</f>
        <v>+56 9 5566 7788</v>
      </c>
      <c r="K97" s="2" t="str">
        <f>IFERROR(INDEX(TblSuppliers[Delivery?],MATCH(I97,TblSuppliers[Supplier],0)),"")</f>
        <v>Yes</v>
      </c>
    </row>
    <row r="98" spans="2:11" x14ac:dyDescent="0.25">
      <c r="B98" s="2" t="str">
        <f>Products!B97</f>
        <v>P094</v>
      </c>
      <c r="C98" s="2" t="str">
        <f>Products!C97</f>
        <v>Jumbo raisins</v>
      </c>
      <c r="D98" s="2" t="str">
        <f>Products!D97</f>
        <v>Raisins</v>
      </c>
      <c r="E98" s="2" t="str">
        <f>Products!G97</f>
        <v>No</v>
      </c>
      <c r="F98" s="2" t="str">
        <f>Products!I97</f>
        <v>Medium</v>
      </c>
      <c r="G98" s="2" t="str">
        <f>Products!H97</f>
        <v>Fall-Winter</v>
      </c>
      <c r="H98" s="2" t="str">
        <f t="shared" si="2"/>
        <v>Low priority</v>
      </c>
      <c r="I98" s="2" t="str">
        <f>IFERROR(INDEX(TblSupply[Supplier],MATCH(1,INDEX((TblSupply[ProductID]=B98)*(TblSupply[SupplierRole]="Primary"),0),0)),"")</f>
        <v>San Fernando Dried Goods</v>
      </c>
      <c r="J98" s="2" t="str">
        <f>IFERROR(INDEX(TblSuppliers[Phone],MATCH(I98,TblSuppliers[Supplier],0)),"")</f>
        <v>+56 9 5566 7788</v>
      </c>
      <c r="K98" s="2" t="str">
        <f>IFERROR(INDEX(TblSuppliers[Delivery?],MATCH(I98,TblSuppliers[Supplier],0)),"")</f>
        <v>Yes</v>
      </c>
    </row>
    <row r="99" spans="2:11" x14ac:dyDescent="0.25">
      <c r="B99" s="2" t="str">
        <f>Products!B98</f>
        <v>P095</v>
      </c>
      <c r="C99" s="2" t="str">
        <f>Products!C98</f>
        <v>Dried prunes (with pit)</v>
      </c>
      <c r="D99" s="2" t="str">
        <f>Products!D98</f>
        <v>Dried Fruit</v>
      </c>
      <c r="E99" s="2" t="str">
        <f>Products!G98</f>
        <v>Yes</v>
      </c>
      <c r="F99" s="2" t="str">
        <f>Products!I98</f>
        <v>Medium</v>
      </c>
      <c r="G99" s="2" t="str">
        <f>Products!H98</f>
        <v>Fall-Winter</v>
      </c>
      <c r="H99" s="2" t="str">
        <f t="shared" si="2"/>
        <v>Watch</v>
      </c>
      <c r="I99" s="2" t="str">
        <f>IFERROR(INDEX(TblSupply[Supplier],MATCH(1,INDEX((TblSupply[ProductID]=B99)*(TblSupply[SupplierRole]="Primary"),0),0)),"")</f>
        <v>San Fernando Dried Goods</v>
      </c>
      <c r="J99" s="2" t="str">
        <f>IFERROR(INDEX(TblSuppliers[Phone],MATCH(I99,TblSuppliers[Supplier],0)),"")</f>
        <v>+56 9 5566 7788</v>
      </c>
      <c r="K99" s="2" t="str">
        <f>IFERROR(INDEX(TblSuppliers[Delivery?],MATCH(I99,TblSuppliers[Supplier],0)),"")</f>
        <v>Yes</v>
      </c>
    </row>
    <row r="100" spans="2:11" x14ac:dyDescent="0.25">
      <c r="B100" s="2" t="str">
        <f>Products!B99</f>
        <v>P096</v>
      </c>
      <c r="C100" s="2" t="str">
        <f>Products!C99</f>
        <v>Pitted prunes</v>
      </c>
      <c r="D100" s="2" t="str">
        <f>Products!D99</f>
        <v>Dried Fruit</v>
      </c>
      <c r="E100" s="2" t="str">
        <f>Products!G99</f>
        <v>No</v>
      </c>
      <c r="F100" s="2" t="str">
        <f>Products!I99</f>
        <v>Medium</v>
      </c>
      <c r="G100" s="2" t="str">
        <f>Products!H99</f>
        <v>Fall-Winter</v>
      </c>
      <c r="H100" s="2" t="str">
        <f t="shared" si="2"/>
        <v>Low priority</v>
      </c>
      <c r="I100" s="2" t="str">
        <f>IFERROR(INDEX(TblSupply[Supplier],MATCH(1,INDEX((TblSupply[ProductID]=B100)*(TblSupply[SupplierRole]="Primary"),0),0)),"")</f>
        <v>San Fernando Dried Goods</v>
      </c>
      <c r="J100" s="2" t="str">
        <f>IFERROR(INDEX(TblSuppliers[Phone],MATCH(I100,TblSuppliers[Supplier],0)),"")</f>
        <v>+56 9 5566 7788</v>
      </c>
      <c r="K100" s="2" t="str">
        <f>IFERROR(INDEX(TblSuppliers[Delivery?],MATCH(I100,TblSuppliers[Supplier],0)),"")</f>
        <v>Yes</v>
      </c>
    </row>
    <row r="101" spans="2:11" x14ac:dyDescent="0.25">
      <c r="B101" s="2" t="str">
        <f>Products!B100</f>
        <v>P097</v>
      </c>
      <c r="C101" s="2" t="str">
        <f>Products!C100</f>
        <v>Dried peaches (huesillos), large</v>
      </c>
      <c r="D101" s="2" t="str">
        <f>Products!D100</f>
        <v>Dried Fruit</v>
      </c>
      <c r="E101" s="2" t="str">
        <f>Products!G100</f>
        <v>Yes</v>
      </c>
      <c r="F101" s="2" t="str">
        <f>Products!I100</f>
        <v>Medium</v>
      </c>
      <c r="G101" s="2" t="str">
        <f>Products!H100</f>
        <v>Fall-Winter</v>
      </c>
      <c r="H101" s="2" t="str">
        <f t="shared" ref="H101:H132" si="3">IF(E101="Yes",IF(F101="Low","URGENT",IF(F101="Medium","Watch","OK")),"Low priority")</f>
        <v>Watch</v>
      </c>
      <c r="I101" s="2" t="str">
        <f>IFERROR(INDEX(TblSupply[Supplier],MATCH(1,INDEX((TblSupply[ProductID]=B101)*(TblSupply[SupplierRole]="Primary"),0),0)),"")</f>
        <v>San Fernando Dried Goods</v>
      </c>
      <c r="J101" s="2" t="str">
        <f>IFERROR(INDEX(TblSuppliers[Phone],MATCH(I101,TblSuppliers[Supplier],0)),"")</f>
        <v>+56 9 5566 7788</v>
      </c>
      <c r="K101" s="2" t="str">
        <f>IFERROR(INDEX(TblSuppliers[Delivery?],MATCH(I101,TblSuppliers[Supplier],0)),"")</f>
        <v>Yes</v>
      </c>
    </row>
    <row r="102" spans="2:11" x14ac:dyDescent="0.25">
      <c r="B102" s="2" t="str">
        <f>Products!B101</f>
        <v>P098</v>
      </c>
      <c r="C102" s="2" t="str">
        <f>Products!C101</f>
        <v>Dried peaches (huesillos), medium</v>
      </c>
      <c r="D102" s="2" t="str">
        <f>Products!D101</f>
        <v>Dried Fruit</v>
      </c>
      <c r="E102" s="2" t="str">
        <f>Products!G101</f>
        <v>No</v>
      </c>
      <c r="F102" s="2" t="str">
        <f>Products!I101</f>
        <v>High</v>
      </c>
      <c r="G102" s="2" t="str">
        <f>Products!H101</f>
        <v>Fall-Winter</v>
      </c>
      <c r="H102" s="2" t="str">
        <f t="shared" si="3"/>
        <v>Low priority</v>
      </c>
      <c r="I102" s="2" t="str">
        <f>IFERROR(INDEX(TblSupply[Supplier],MATCH(1,INDEX((TblSupply[ProductID]=B102)*(TblSupply[SupplierRole]="Primary"),0),0)),"")</f>
        <v>San Fernando Dried Goods</v>
      </c>
      <c r="J102" s="2" t="str">
        <f>IFERROR(INDEX(TblSuppliers[Phone],MATCH(I102,TblSuppliers[Supplier],0)),"")</f>
        <v>+56 9 5566 7788</v>
      </c>
      <c r="K102" s="2" t="str">
        <f>IFERROR(INDEX(TblSuppliers[Delivery?],MATCH(I102,TblSuppliers[Supplier],0)),"")</f>
        <v>Yes</v>
      </c>
    </row>
    <row r="103" spans="2:11" x14ac:dyDescent="0.25">
      <c r="B103" s="2" t="str">
        <f>Products!B102</f>
        <v>P099</v>
      </c>
      <c r="C103" s="2" t="str">
        <f>Products!C102</f>
        <v>Dried apricots</v>
      </c>
      <c r="D103" s="2" t="str">
        <f>Products!D102</f>
        <v>Dried Fruit</v>
      </c>
      <c r="E103" s="2" t="str">
        <f>Products!G102</f>
        <v>No</v>
      </c>
      <c r="F103" s="2" t="str">
        <f>Products!I102</f>
        <v>High</v>
      </c>
      <c r="G103" s="2" t="str">
        <f>Products!H102</f>
        <v>Fall-Winter</v>
      </c>
      <c r="H103" s="2" t="str">
        <f t="shared" si="3"/>
        <v>Low priority</v>
      </c>
      <c r="I103" s="2" t="str">
        <f>IFERROR(INDEX(TblSupply[Supplier],MATCH(1,INDEX((TblSupply[ProductID]=B103)*(TblSupply[SupplierRole]="Primary"),0),0)),"")</f>
        <v>San Fernando Dried Goods</v>
      </c>
      <c r="J103" s="2" t="str">
        <f>IFERROR(INDEX(TblSuppliers[Phone],MATCH(I103,TblSuppliers[Supplier],0)),"")</f>
        <v>+56 9 5566 7788</v>
      </c>
      <c r="K103" s="2" t="str">
        <f>IFERROR(INDEX(TblSuppliers[Delivery?],MATCH(I103,TblSuppliers[Supplier],0)),"")</f>
        <v>Yes</v>
      </c>
    </row>
    <row r="104" spans="2:11" x14ac:dyDescent="0.25">
      <c r="B104" s="2" t="str">
        <f>Products!B103</f>
        <v>P100</v>
      </c>
      <c r="C104" s="2" t="str">
        <f>Products!C103</f>
        <v>Dried figs</v>
      </c>
      <c r="D104" s="2" t="str">
        <f>Products!D103</f>
        <v>Dried Fruit</v>
      </c>
      <c r="E104" s="2" t="str">
        <f>Products!G103</f>
        <v>No</v>
      </c>
      <c r="F104" s="2" t="str">
        <f>Products!I103</f>
        <v>High</v>
      </c>
      <c r="G104" s="2" t="str">
        <f>Products!H103</f>
        <v>Fall-Winter</v>
      </c>
      <c r="H104" s="2" t="str">
        <f t="shared" si="3"/>
        <v>Low priority</v>
      </c>
      <c r="I104" s="2" t="str">
        <f>IFERROR(INDEX(TblSupply[Supplier],MATCH(1,INDEX((TblSupply[ProductID]=B104)*(TblSupply[SupplierRole]="Primary"),0),0)),"")</f>
        <v>San Fernando Dried Goods</v>
      </c>
      <c r="J104" s="2" t="str">
        <f>IFERROR(INDEX(TblSuppliers[Phone],MATCH(I104,TblSuppliers[Supplier],0)),"")</f>
        <v>+56 9 5566 7788</v>
      </c>
      <c r="K104" s="2" t="str">
        <f>IFERROR(INDEX(TblSuppliers[Delivery?],MATCH(I104,TblSuppliers[Supplier],0)),"")</f>
        <v>Yes</v>
      </c>
    </row>
    <row r="105" spans="2:11" x14ac:dyDescent="0.25">
      <c r="B105" s="2" t="str">
        <f>Products!B104</f>
        <v>P101</v>
      </c>
      <c r="C105" s="2" t="str">
        <f>Products!C104</f>
        <v>Dried apple rings</v>
      </c>
      <c r="D105" s="2" t="str">
        <f>Products!D104</f>
        <v>Dried Fruit</v>
      </c>
      <c r="E105" s="2" t="str">
        <f>Products!G104</f>
        <v>No</v>
      </c>
      <c r="F105" s="2" t="str">
        <f>Products!I104</f>
        <v>High</v>
      </c>
      <c r="G105" s="2" t="str">
        <f>Products!H104</f>
        <v>Fall-Winter</v>
      </c>
      <c r="H105" s="2" t="str">
        <f t="shared" si="3"/>
        <v>Low priority</v>
      </c>
      <c r="I105" s="2" t="str">
        <f>IFERROR(INDEX(TblSupply[Supplier],MATCH(1,INDEX((TblSupply[ProductID]=B105)*(TblSupply[SupplierRole]="Primary"),0),0)),"")</f>
        <v>San Fernando Dried Goods</v>
      </c>
      <c r="J105" s="2" t="str">
        <f>IFERROR(INDEX(TblSuppliers[Phone],MATCH(I105,TblSuppliers[Supplier],0)),"")</f>
        <v>+56 9 5566 7788</v>
      </c>
      <c r="K105" s="2" t="str">
        <f>IFERROR(INDEX(TblSuppliers[Delivery?],MATCH(I105,TblSuppliers[Supplier],0)),"")</f>
        <v>Yes</v>
      </c>
    </row>
    <row r="106" spans="2:11" x14ac:dyDescent="0.25">
      <c r="B106" s="2" t="str">
        <f>Products!B105</f>
        <v>P102</v>
      </c>
      <c r="C106" s="2" t="str">
        <f>Products!C105</f>
        <v>Dried pear halves</v>
      </c>
      <c r="D106" s="2" t="str">
        <f>Products!D105</f>
        <v>Dried Fruit</v>
      </c>
      <c r="E106" s="2" t="str">
        <f>Products!G105</f>
        <v>No</v>
      </c>
      <c r="F106" s="2" t="str">
        <f>Products!I105</f>
        <v>Medium</v>
      </c>
      <c r="G106" s="2" t="str">
        <f>Products!H105</f>
        <v>Fall-Winter</v>
      </c>
      <c r="H106" s="2" t="str">
        <f t="shared" si="3"/>
        <v>Low priority</v>
      </c>
      <c r="I106" s="2" t="str">
        <f>IFERROR(INDEX(TblSupply[Supplier],MATCH(1,INDEX((TblSupply[ProductID]=B106)*(TblSupply[SupplierRole]="Primary"),0),0)),"")</f>
        <v>San Fernando Dried Goods</v>
      </c>
      <c r="J106" s="2" t="str">
        <f>IFERROR(INDEX(TblSuppliers[Phone],MATCH(I106,TblSuppliers[Supplier],0)),"")</f>
        <v>+56 9 5566 7788</v>
      </c>
      <c r="K106" s="2" t="str">
        <f>IFERROR(INDEX(TblSuppliers[Delivery?],MATCH(I106,TblSuppliers[Supplier],0)),"")</f>
        <v>Yes</v>
      </c>
    </row>
    <row r="107" spans="2:11" x14ac:dyDescent="0.25">
      <c r="B107" s="2" t="str">
        <f>Products!B106</f>
        <v>P103</v>
      </c>
      <c r="C107" s="2" t="str">
        <f>Products!C106</f>
        <v>Cranberries (dried)</v>
      </c>
      <c r="D107" s="2" t="str">
        <f>Products!D106</f>
        <v>Dried Fruit</v>
      </c>
      <c r="E107" s="2" t="str">
        <f>Products!G106</f>
        <v>No</v>
      </c>
      <c r="F107" s="2" t="str">
        <f>Products!I106</f>
        <v>High</v>
      </c>
      <c r="G107" s="2" t="str">
        <f>Products!H106</f>
        <v>Fall-Winter</v>
      </c>
      <c r="H107" s="2" t="str">
        <f t="shared" si="3"/>
        <v>Low priority</v>
      </c>
      <c r="I107" s="2" t="str">
        <f>IFERROR(INDEX(TblSupply[Supplier],MATCH(1,INDEX((TblSupply[ProductID]=B107)*(TblSupply[SupplierRole]="Primary"),0),0)),"")</f>
        <v>San Fernando Dried Goods</v>
      </c>
      <c r="J107" s="2" t="str">
        <f>IFERROR(INDEX(TblSuppliers[Phone],MATCH(I107,TblSuppliers[Supplier],0)),"")</f>
        <v>+56 9 5566 7788</v>
      </c>
      <c r="K107" s="2" t="str">
        <f>IFERROR(INDEX(TblSuppliers[Delivery?],MATCH(I107,TblSuppliers[Supplier],0)),"")</f>
        <v>Yes</v>
      </c>
    </row>
    <row r="108" spans="2:11" x14ac:dyDescent="0.25">
      <c r="B108" s="2" t="str">
        <f>Products!B107</f>
        <v>P104</v>
      </c>
      <c r="C108" s="2" t="str">
        <f>Products!C107</f>
        <v>Dried dates</v>
      </c>
      <c r="D108" s="2" t="str">
        <f>Products!D107</f>
        <v>Dried Fruit</v>
      </c>
      <c r="E108" s="2" t="str">
        <f>Products!G107</f>
        <v>No</v>
      </c>
      <c r="F108" s="2" t="str">
        <f>Products!I107</f>
        <v>Medium</v>
      </c>
      <c r="G108" s="2" t="str">
        <f>Products!H107</f>
        <v>Fall-Winter</v>
      </c>
      <c r="H108" s="2" t="str">
        <f t="shared" si="3"/>
        <v>Low priority</v>
      </c>
      <c r="I108" s="2" t="str">
        <f>IFERROR(INDEX(TblSupply[Supplier],MATCH(1,INDEX((TblSupply[ProductID]=B108)*(TblSupply[SupplierRole]="Primary"),0),0)),"")</f>
        <v>San Fernando Dried Goods</v>
      </c>
      <c r="J108" s="2" t="str">
        <f>IFERROR(INDEX(TblSuppliers[Phone],MATCH(I108,TblSuppliers[Supplier],0)),"")</f>
        <v>+56 9 5566 7788</v>
      </c>
      <c r="K108" s="2" t="str">
        <f>IFERROR(INDEX(TblSuppliers[Delivery?],MATCH(I108,TblSuppliers[Supplier],0)),"")</f>
        <v>Yes</v>
      </c>
    </row>
    <row r="109" spans="2:11" x14ac:dyDescent="0.25">
      <c r="B109" s="2" t="str">
        <f>Products!B108</f>
        <v>P105</v>
      </c>
      <c r="C109" s="2" t="str">
        <f>Products!C108</f>
        <v>Banana chips</v>
      </c>
      <c r="D109" s="2" t="str">
        <f>Products!D108</f>
        <v>Dried Fruit</v>
      </c>
      <c r="E109" s="2" t="str">
        <f>Products!G108</f>
        <v>No</v>
      </c>
      <c r="F109" s="2" t="str">
        <f>Products!I108</f>
        <v>Low</v>
      </c>
      <c r="G109" s="2" t="str">
        <f>Products!H108</f>
        <v>All year</v>
      </c>
      <c r="H109" s="2" t="str">
        <f t="shared" si="3"/>
        <v>Low priority</v>
      </c>
      <c r="I109" s="2" t="str">
        <f>IFERROR(INDEX(TblSupply[Supplier],MATCH(1,INDEX((TblSupply[ProductID]=B109)*(TblSupply[SupplierRole]="Primary"),0),0)),"")</f>
        <v>San Fernando Dried Goods</v>
      </c>
      <c r="J109" s="2" t="str">
        <f>IFERROR(INDEX(TblSuppliers[Phone],MATCH(I109,TblSuppliers[Supplier],0)),"")</f>
        <v>+56 9 5566 7788</v>
      </c>
      <c r="K109" s="2" t="str">
        <f>IFERROR(INDEX(TblSuppliers[Delivery?],MATCH(I109,TblSuppliers[Supplier],0)),"")</f>
        <v>Yes</v>
      </c>
    </row>
    <row r="110" spans="2:11" x14ac:dyDescent="0.25">
      <c r="B110" s="2" t="str">
        <f>Products!B109</f>
        <v>P106</v>
      </c>
      <c r="C110" s="2" t="str">
        <f>Products!C109</f>
        <v>Dried mango</v>
      </c>
      <c r="D110" s="2" t="str">
        <f>Products!D109</f>
        <v>Dried Fruit</v>
      </c>
      <c r="E110" s="2" t="str">
        <f>Products!G109</f>
        <v>No</v>
      </c>
      <c r="F110" s="2" t="str">
        <f>Products!I109</f>
        <v>High</v>
      </c>
      <c r="G110" s="2" t="str">
        <f>Products!H109</f>
        <v>All year</v>
      </c>
      <c r="H110" s="2" t="str">
        <f t="shared" si="3"/>
        <v>Low priority</v>
      </c>
      <c r="I110" s="2" t="str">
        <f>IFERROR(INDEX(TblSupply[Supplier],MATCH(1,INDEX((TblSupply[ProductID]=B110)*(TblSupply[SupplierRole]="Primary"),0),0)),"")</f>
        <v>San Fernando Dried Goods</v>
      </c>
      <c r="J110" s="2" t="str">
        <f>IFERROR(INDEX(TblSuppliers[Phone],MATCH(I110,TblSuppliers[Supplier],0)),"")</f>
        <v>+56 9 5566 7788</v>
      </c>
      <c r="K110" s="2" t="str">
        <f>IFERROR(INDEX(TblSuppliers[Delivery?],MATCH(I110,TblSuppliers[Supplier],0)),"")</f>
        <v>Yes</v>
      </c>
    </row>
    <row r="111" spans="2:11" x14ac:dyDescent="0.25">
      <c r="B111" s="2" t="str">
        <f>Products!B110</f>
        <v>P107</v>
      </c>
      <c r="C111" s="2" t="str">
        <f>Products!C110</f>
        <v>Classic trail mix (nuts &amp; raisins)</v>
      </c>
      <c r="D111" s="2" t="str">
        <f>Products!D110</f>
        <v>Trail Mix</v>
      </c>
      <c r="E111" s="2" t="str">
        <f>Products!G110</f>
        <v>No</v>
      </c>
      <c r="F111" s="2" t="str">
        <f>Products!I110</f>
        <v>High</v>
      </c>
      <c r="G111" s="2" t="str">
        <f>Products!H110</f>
        <v>All year</v>
      </c>
      <c r="H111" s="2" t="str">
        <f t="shared" si="3"/>
        <v>Low priority</v>
      </c>
      <c r="I111" s="2" t="str">
        <f>IFERROR(INDEX(TblSupply[Supplier],MATCH(1,INDEX((TblSupply[ProductID]=B111)*(TblSupply[SupplierRole]="Primary"),0),0)),"")</f>
        <v>Maipo Nuts Ltd.</v>
      </c>
      <c r="J111" s="2" t="str">
        <f>IFERROR(INDEX(TblSuppliers[Phone],MATCH(I111,TblSuppliers[Supplier],0)),"")</f>
        <v>+56 9 2211 3344</v>
      </c>
      <c r="K111" s="2" t="str">
        <f>IFERROR(INDEX(TblSuppliers[Delivery?],MATCH(I111,TblSuppliers[Supplier],0)),"")</f>
        <v>Yes</v>
      </c>
    </row>
    <row r="112" spans="2:11" x14ac:dyDescent="0.25">
      <c r="B112" s="2" t="str">
        <f>Products!B111</f>
        <v>P108</v>
      </c>
      <c r="C112" s="2" t="str">
        <f>Products!C111</f>
        <v>Tropical trail mix</v>
      </c>
      <c r="D112" s="2" t="str">
        <f>Products!D111</f>
        <v>Trail Mix</v>
      </c>
      <c r="E112" s="2" t="str">
        <f>Products!G111</f>
        <v>No</v>
      </c>
      <c r="F112" s="2" t="str">
        <f>Products!I111</f>
        <v>Medium</v>
      </c>
      <c r="G112" s="2" t="str">
        <f>Products!H111</f>
        <v>All year</v>
      </c>
      <c r="H112" s="2" t="str">
        <f t="shared" si="3"/>
        <v>Low priority</v>
      </c>
      <c r="I112" s="2" t="str">
        <f>IFERROR(INDEX(TblSupply[Supplier],MATCH(1,INDEX((TblSupply[ProductID]=B112)*(TblSupply[SupplierRole]="Primary"),0),0)),"")</f>
        <v>Maipo Nuts Ltd.</v>
      </c>
      <c r="J112" s="2" t="str">
        <f>IFERROR(INDEX(TblSuppliers[Phone],MATCH(I112,TblSuppliers[Supplier],0)),"")</f>
        <v>+56 9 2211 3344</v>
      </c>
      <c r="K112" s="2" t="str">
        <f>IFERROR(INDEX(TblSuppliers[Delivery?],MATCH(I112,TblSuppliers[Supplier],0)),"")</f>
        <v>Yes</v>
      </c>
    </row>
    <row r="113" spans="2:11" x14ac:dyDescent="0.25">
      <c r="B113" s="2" t="str">
        <f>Products!B112</f>
        <v>P109</v>
      </c>
      <c r="C113" s="2" t="str">
        <f>Products!C112</f>
        <v>Energy mix (seeds &amp; fruit)</v>
      </c>
      <c r="D113" s="2" t="str">
        <f>Products!D112</f>
        <v>Trail Mix</v>
      </c>
      <c r="E113" s="2" t="str">
        <f>Products!G112</f>
        <v>No</v>
      </c>
      <c r="F113" s="2" t="str">
        <f>Products!I112</f>
        <v>High</v>
      </c>
      <c r="G113" s="2" t="str">
        <f>Products!H112</f>
        <v>All year</v>
      </c>
      <c r="H113" s="2" t="str">
        <f t="shared" si="3"/>
        <v>Low priority</v>
      </c>
      <c r="I113" s="2" t="str">
        <f>IFERROR(INDEX(TblSupply[Supplier],MATCH(1,INDEX((TblSupply[ProductID]=B113)*(TblSupply[SupplierRole]="Primary"),0),0)),"")</f>
        <v>Maipo Nuts Ltd.</v>
      </c>
      <c r="J113" s="2" t="str">
        <f>IFERROR(INDEX(TblSuppliers[Phone],MATCH(I113,TblSuppliers[Supplier],0)),"")</f>
        <v>+56 9 2211 3344</v>
      </c>
      <c r="K113" s="2" t="str">
        <f>IFERROR(INDEX(TblSuppliers[Delivery?],MATCH(I113,TblSuppliers[Supplier],0)),"")</f>
        <v>Yes</v>
      </c>
    </row>
    <row r="114" spans="2:11" x14ac:dyDescent="0.25">
      <c r="B114" s="2" t="str">
        <f>Products!B113</f>
        <v>P110</v>
      </c>
      <c r="C114" s="2" t="str">
        <f>Products!C113</f>
        <v>Premium nut mix</v>
      </c>
      <c r="D114" s="2" t="str">
        <f>Products!D113</f>
        <v>Trail Mix</v>
      </c>
      <c r="E114" s="2" t="str">
        <f>Products!G113</f>
        <v>No</v>
      </c>
      <c r="F114" s="2" t="str">
        <f>Products!I113</f>
        <v>High</v>
      </c>
      <c r="G114" s="2" t="str">
        <f>Products!H113</f>
        <v>Fall-Winter</v>
      </c>
      <c r="H114" s="2" t="str">
        <f t="shared" si="3"/>
        <v>Low priority</v>
      </c>
      <c r="I114" s="2" t="str">
        <f>IFERROR(INDEX(TblSupply[Supplier],MATCH(1,INDEX((TblSupply[ProductID]=B114)*(TblSupply[SupplierRole]="Primary"),0),0)),"")</f>
        <v>Maipo Nuts Ltd.</v>
      </c>
      <c r="J114" s="2" t="str">
        <f>IFERROR(INDEX(TblSuppliers[Phone],MATCH(I114,TblSuppliers[Supplier],0)),"")</f>
        <v>+56 9 2211 3344</v>
      </c>
      <c r="K114" s="2" t="str">
        <f>IFERROR(INDEX(TblSuppliers[Delivery?],MATCH(I114,TblSuppliers[Supplier],0)),"")</f>
        <v>Yes</v>
      </c>
    </row>
    <row r="115" spans="2:11" x14ac:dyDescent="0.25">
      <c r="B115" s="2" t="str">
        <f>Products!B114</f>
        <v>P111</v>
      </c>
      <c r="C115" s="2" t="str">
        <f>Products!C114</f>
        <v>Student mix (peanut, raisin, choc)</v>
      </c>
      <c r="D115" s="2" t="str">
        <f>Products!D114</f>
        <v>Trail Mix</v>
      </c>
      <c r="E115" s="2" t="str">
        <f>Products!G114</f>
        <v>No</v>
      </c>
      <c r="F115" s="2" t="str">
        <f>Products!I114</f>
        <v>High</v>
      </c>
      <c r="G115" s="2" t="str">
        <f>Products!H114</f>
        <v>All year</v>
      </c>
      <c r="H115" s="2" t="str">
        <f t="shared" si="3"/>
        <v>Low priority</v>
      </c>
      <c r="I115" s="2" t="str">
        <f>IFERROR(INDEX(TblSupply[Supplier],MATCH(1,INDEX((TblSupply[ProductID]=B115)*(TblSupply[SupplierRole]="Primary"),0),0)),"")</f>
        <v>Maipo Nuts Ltd.</v>
      </c>
      <c r="J115" s="2" t="str">
        <f>IFERROR(INDEX(TblSuppliers[Phone],MATCH(I115,TblSuppliers[Supplier],0)),"")</f>
        <v>+56 9 2211 3344</v>
      </c>
      <c r="K115" s="2" t="str">
        <f>IFERROR(INDEX(TblSuppliers[Delivery?],MATCH(I115,TblSuppliers[Supplier],0)),"")</f>
        <v>Yes</v>
      </c>
    </row>
    <row r="116" spans="2:11" x14ac:dyDescent="0.25">
      <c r="B116" s="2" t="str">
        <f>Products!B115</f>
        <v>P112</v>
      </c>
      <c r="C116" s="2" t="str">
        <f>Products!C115</f>
        <v>Empty PET bottle 200ml (pack of 10)</v>
      </c>
      <c r="D116" s="2" t="str">
        <f>Products!D115</f>
        <v>Packaging</v>
      </c>
      <c r="E116" s="2" t="str">
        <f>Products!G115</f>
        <v>No</v>
      </c>
      <c r="F116" s="2" t="str">
        <f>Products!I115</f>
        <v>High</v>
      </c>
      <c r="G116" s="2" t="str">
        <f>Products!H115</f>
        <v>All year</v>
      </c>
      <c r="H116" s="2" t="str">
        <f t="shared" si="3"/>
        <v>Low priority</v>
      </c>
      <c r="I116" s="2" t="str">
        <f>IFERROR(INDEX(TblSupply[Supplier],MATCH(1,INDEX((TblSupply[ProductID]=B116)*(TblSupply[SupplierRole]="Primary"),0),0)),"")</f>
        <v>PackChile Wholesale</v>
      </c>
      <c r="J116" s="2" t="str">
        <f>IFERROR(INDEX(TblSuppliers[Phone],MATCH(I116,TblSuppliers[Supplier],0)),"")</f>
        <v>+56 9 3011 5567</v>
      </c>
      <c r="K116" s="2" t="str">
        <f>IFERROR(INDEX(TblSuppliers[Delivery?],MATCH(I116,TblSuppliers[Supplier],0)),"")</f>
        <v>Yes</v>
      </c>
    </row>
    <row r="117" spans="2:11" x14ac:dyDescent="0.25">
      <c r="B117" s="2" t="str">
        <f>Products!B116</f>
        <v>P113</v>
      </c>
      <c r="C117" s="2" t="str">
        <f>Products!C116</f>
        <v>Empty PET bottle 350ml (pack of 10)</v>
      </c>
      <c r="D117" s="2" t="str">
        <f>Products!D116</f>
        <v>Packaging</v>
      </c>
      <c r="E117" s="2" t="str">
        <f>Products!G116</f>
        <v>No</v>
      </c>
      <c r="F117" s="2" t="str">
        <f>Products!I116</f>
        <v>Low</v>
      </c>
      <c r="G117" s="2" t="str">
        <f>Products!H116</f>
        <v>All year</v>
      </c>
      <c r="H117" s="2" t="str">
        <f t="shared" si="3"/>
        <v>Low priority</v>
      </c>
      <c r="I117" s="2" t="str">
        <f>IFERROR(INDEX(TblSupply[Supplier],MATCH(1,INDEX((TblSupply[ProductID]=B117)*(TblSupply[SupplierRole]="Primary"),0),0)),"")</f>
        <v>PackChile Wholesale</v>
      </c>
      <c r="J117" s="2" t="str">
        <f>IFERROR(INDEX(TblSuppliers[Phone],MATCH(I117,TblSuppliers[Supplier],0)),"")</f>
        <v>+56 9 3011 5567</v>
      </c>
      <c r="K117" s="2" t="str">
        <f>IFERROR(INDEX(TblSuppliers[Delivery?],MATCH(I117,TblSuppliers[Supplier],0)),"")</f>
        <v>Yes</v>
      </c>
    </row>
    <row r="118" spans="2:11" x14ac:dyDescent="0.25">
      <c r="B118" s="2" t="str">
        <f>Products!B117</f>
        <v>P114</v>
      </c>
      <c r="C118" s="2" t="str">
        <f>Products!C117</f>
        <v>Empty PET bottle 500ml (pack of 10)</v>
      </c>
      <c r="D118" s="2" t="str">
        <f>Products!D117</f>
        <v>Packaging</v>
      </c>
      <c r="E118" s="2" t="str">
        <f>Products!G117</f>
        <v>No</v>
      </c>
      <c r="F118" s="2" t="str">
        <f>Products!I117</f>
        <v>Low</v>
      </c>
      <c r="G118" s="2" t="str">
        <f>Products!H117</f>
        <v>All year</v>
      </c>
      <c r="H118" s="2" t="str">
        <f t="shared" si="3"/>
        <v>Low priority</v>
      </c>
      <c r="I118" s="2" t="str">
        <f>IFERROR(INDEX(TblSupply[Supplier],MATCH(1,INDEX((TblSupply[ProductID]=B118)*(TblSupply[SupplierRole]="Primary"),0),0)),"")</f>
        <v>PackChile Wholesale</v>
      </c>
      <c r="J118" s="2" t="str">
        <f>IFERROR(INDEX(TblSuppliers[Phone],MATCH(I118,TblSuppliers[Supplier],0)),"")</f>
        <v>+56 9 3011 5567</v>
      </c>
      <c r="K118" s="2" t="str">
        <f>IFERROR(INDEX(TblSuppliers[Delivery?],MATCH(I118,TblSuppliers[Supplier],0)),"")</f>
        <v>Yes</v>
      </c>
    </row>
    <row r="119" spans="2:11" x14ac:dyDescent="0.25">
      <c r="B119" s="2" t="str">
        <f>Products!B118</f>
        <v>P115</v>
      </c>
      <c r="C119" s="2" t="str">
        <f>Products!C118</f>
        <v>Empty PET bottle 750ml (pack of 10)</v>
      </c>
      <c r="D119" s="2" t="str">
        <f>Products!D118</f>
        <v>Packaging</v>
      </c>
      <c r="E119" s="2" t="str">
        <f>Products!G118</f>
        <v>No</v>
      </c>
      <c r="F119" s="2" t="str">
        <f>Products!I118</f>
        <v>Medium</v>
      </c>
      <c r="G119" s="2" t="str">
        <f>Products!H118</f>
        <v>All year</v>
      </c>
      <c r="H119" s="2" t="str">
        <f t="shared" si="3"/>
        <v>Low priority</v>
      </c>
      <c r="I119" s="2" t="str">
        <f>IFERROR(INDEX(TblSupply[Supplier],MATCH(1,INDEX((TblSupply[ProductID]=B119)*(TblSupply[SupplierRole]="Primary"),0),0)),"")</f>
        <v>PackChile Wholesale</v>
      </c>
      <c r="J119" s="2" t="str">
        <f>IFERROR(INDEX(TblSuppliers[Phone],MATCH(I119,TblSuppliers[Supplier],0)),"")</f>
        <v>+56 9 3011 5567</v>
      </c>
      <c r="K119" s="2" t="str">
        <f>IFERROR(INDEX(TblSuppliers[Delivery?],MATCH(I119,TblSuppliers[Supplier],0)),"")</f>
        <v>Yes</v>
      </c>
    </row>
    <row r="120" spans="2:11" x14ac:dyDescent="0.25">
      <c r="B120" s="2" t="str">
        <f>Products!B119</f>
        <v>P116</v>
      </c>
      <c r="C120" s="2" t="str">
        <f>Products!C119</f>
        <v>Empty PET bottle 1L (pack of 10)</v>
      </c>
      <c r="D120" s="2" t="str">
        <f>Products!D119</f>
        <v>Packaging</v>
      </c>
      <c r="E120" s="2" t="str">
        <f>Products!G119</f>
        <v>No</v>
      </c>
      <c r="F120" s="2" t="str">
        <f>Products!I119</f>
        <v>Low</v>
      </c>
      <c r="G120" s="2" t="str">
        <f>Products!H119</f>
        <v>All year</v>
      </c>
      <c r="H120" s="2" t="str">
        <f t="shared" si="3"/>
        <v>Low priority</v>
      </c>
      <c r="I120" s="2" t="str">
        <f>IFERROR(INDEX(TblSupply[Supplier],MATCH(1,INDEX((TblSupply[ProductID]=B120)*(TblSupply[SupplierRole]="Primary"),0),0)),"")</f>
        <v>PackChile Wholesale</v>
      </c>
      <c r="J120" s="2" t="str">
        <f>IFERROR(INDEX(TblSuppliers[Phone],MATCH(I120,TblSuppliers[Supplier],0)),"")</f>
        <v>+56 9 3011 5567</v>
      </c>
      <c r="K120" s="2" t="str">
        <f>IFERROR(INDEX(TblSuppliers[Delivery?],MATCH(I120,TblSuppliers[Supplier],0)),"")</f>
        <v>Yes</v>
      </c>
    </row>
    <row r="121" spans="2:11" x14ac:dyDescent="0.25">
      <c r="B121" s="2" t="str">
        <f>Products!B120</f>
        <v>P117</v>
      </c>
      <c r="C121" s="2" t="str">
        <f>Products!C120</f>
        <v>Empty PET bottle 1.5L (pack of 10)</v>
      </c>
      <c r="D121" s="2" t="str">
        <f>Products!D120</f>
        <v>Packaging</v>
      </c>
      <c r="E121" s="2" t="str">
        <f>Products!G120</f>
        <v>No</v>
      </c>
      <c r="F121" s="2" t="str">
        <f>Products!I120</f>
        <v>Low</v>
      </c>
      <c r="G121" s="2" t="str">
        <f>Products!H120</f>
        <v>All year</v>
      </c>
      <c r="H121" s="2" t="str">
        <f t="shared" si="3"/>
        <v>Low priority</v>
      </c>
      <c r="I121" s="2" t="str">
        <f>IFERROR(INDEX(TblSupply[Supplier],MATCH(1,INDEX((TblSupply[ProductID]=B121)*(TblSupply[SupplierRole]="Primary"),0),0)),"")</f>
        <v>PackChile Wholesale</v>
      </c>
      <c r="J121" s="2" t="str">
        <f>IFERROR(INDEX(TblSuppliers[Phone],MATCH(I121,TblSuppliers[Supplier],0)),"")</f>
        <v>+56 9 3011 5567</v>
      </c>
      <c r="K121" s="2" t="str">
        <f>IFERROR(INDEX(TblSuppliers[Delivery?],MATCH(I121,TblSuppliers[Supplier],0)),"")</f>
        <v>Yes</v>
      </c>
    </row>
    <row r="122" spans="2:11" x14ac:dyDescent="0.25">
      <c r="B122" s="2" t="str">
        <f>Products!B121</f>
        <v>P118</v>
      </c>
      <c r="C122" s="2" t="str">
        <f>Products!C121</f>
        <v>Empty PET bottle 2L (pack of 10)</v>
      </c>
      <c r="D122" s="2" t="str">
        <f>Products!D121</f>
        <v>Packaging</v>
      </c>
      <c r="E122" s="2" t="str">
        <f>Products!G121</f>
        <v>No</v>
      </c>
      <c r="F122" s="2" t="str">
        <f>Products!I121</f>
        <v>High</v>
      </c>
      <c r="G122" s="2" t="str">
        <f>Products!H121</f>
        <v>All year</v>
      </c>
      <c r="H122" s="2" t="str">
        <f t="shared" si="3"/>
        <v>Low priority</v>
      </c>
      <c r="I122" s="2" t="str">
        <f>IFERROR(INDEX(TblSupply[Supplier],MATCH(1,INDEX((TblSupply[ProductID]=B122)*(TblSupply[SupplierRole]="Primary"),0),0)),"")</f>
        <v>PackChile Wholesale</v>
      </c>
      <c r="J122" s="2" t="str">
        <f>IFERROR(INDEX(TblSuppliers[Phone],MATCH(I122,TblSuppliers[Supplier],0)),"")</f>
        <v>+56 9 3011 5567</v>
      </c>
      <c r="K122" s="2" t="str">
        <f>IFERROR(INDEX(TblSuppliers[Delivery?],MATCH(I122,TblSuppliers[Supplier],0)),"")</f>
        <v>Yes</v>
      </c>
    </row>
    <row r="123" spans="2:11" x14ac:dyDescent="0.25">
      <c r="B123" s="2" t="str">
        <f>Products!B122</f>
        <v>P119</v>
      </c>
      <c r="C123" s="2" t="str">
        <f>Products!C122</f>
        <v>Poly bag 10x15cm (pack of 100)</v>
      </c>
      <c r="D123" s="2" t="str">
        <f>Products!D122</f>
        <v>Packaging</v>
      </c>
      <c r="E123" s="2" t="str">
        <f>Products!G122</f>
        <v>No</v>
      </c>
      <c r="F123" s="2" t="str">
        <f>Products!I122</f>
        <v>Low</v>
      </c>
      <c r="G123" s="2" t="str">
        <f>Products!H122</f>
        <v>All year</v>
      </c>
      <c r="H123" s="2" t="str">
        <f t="shared" si="3"/>
        <v>Low priority</v>
      </c>
      <c r="I123" s="2" t="str">
        <f>IFERROR(INDEX(TblSupply[Supplier],MATCH(1,INDEX((TblSupply[ProductID]=B123)*(TblSupply[SupplierRole]="Primary"),0),0)),"")</f>
        <v>PackChile Wholesale</v>
      </c>
      <c r="J123" s="2" t="str">
        <f>IFERROR(INDEX(TblSuppliers[Phone],MATCH(I123,TblSuppliers[Supplier],0)),"")</f>
        <v>+56 9 3011 5567</v>
      </c>
      <c r="K123" s="2" t="str">
        <f>IFERROR(INDEX(TblSuppliers[Delivery?],MATCH(I123,TblSuppliers[Supplier],0)),"")</f>
        <v>Yes</v>
      </c>
    </row>
    <row r="124" spans="2:11" x14ac:dyDescent="0.25">
      <c r="B124" s="2" t="str">
        <f>Products!B123</f>
        <v>P120</v>
      </c>
      <c r="C124" s="2" t="str">
        <f>Products!C123</f>
        <v>Poly bag 12x20cm (pack of 100)</v>
      </c>
      <c r="D124" s="2" t="str">
        <f>Products!D123</f>
        <v>Packaging</v>
      </c>
      <c r="E124" s="2" t="str">
        <f>Products!G123</f>
        <v>No</v>
      </c>
      <c r="F124" s="2" t="str">
        <f>Products!I123</f>
        <v>Medium</v>
      </c>
      <c r="G124" s="2" t="str">
        <f>Products!H123</f>
        <v>All year</v>
      </c>
      <c r="H124" s="2" t="str">
        <f t="shared" si="3"/>
        <v>Low priority</v>
      </c>
      <c r="I124" s="2" t="str">
        <f>IFERROR(INDEX(TblSupply[Supplier],MATCH(1,INDEX((TblSupply[ProductID]=B124)*(TblSupply[SupplierRole]="Primary"),0),0)),"")</f>
        <v>PackChile Wholesale</v>
      </c>
      <c r="J124" s="2" t="str">
        <f>IFERROR(INDEX(TblSuppliers[Phone],MATCH(I124,TblSuppliers[Supplier],0)),"")</f>
        <v>+56 9 3011 5567</v>
      </c>
      <c r="K124" s="2" t="str">
        <f>IFERROR(INDEX(TblSuppliers[Delivery?],MATCH(I124,TblSuppliers[Supplier],0)),"")</f>
        <v>Yes</v>
      </c>
    </row>
    <row r="125" spans="2:11" x14ac:dyDescent="0.25">
      <c r="B125" s="2" t="str">
        <f>Products!B124</f>
        <v>P121</v>
      </c>
      <c r="C125" s="2" t="str">
        <f>Products!C124</f>
        <v>Poly bag 15x25cm (pack of 100)</v>
      </c>
      <c r="D125" s="2" t="str">
        <f>Products!D124</f>
        <v>Packaging</v>
      </c>
      <c r="E125" s="2" t="str">
        <f>Products!G124</f>
        <v>No</v>
      </c>
      <c r="F125" s="2" t="str">
        <f>Products!I124</f>
        <v>Low</v>
      </c>
      <c r="G125" s="2" t="str">
        <f>Products!H124</f>
        <v>All year</v>
      </c>
      <c r="H125" s="2" t="str">
        <f t="shared" si="3"/>
        <v>Low priority</v>
      </c>
      <c r="I125" s="2" t="str">
        <f>IFERROR(INDEX(TblSupply[Supplier],MATCH(1,INDEX((TblSupply[ProductID]=B125)*(TblSupply[SupplierRole]="Primary"),0),0)),"")</f>
        <v>PackChile Wholesale</v>
      </c>
      <c r="J125" s="2" t="str">
        <f>IFERROR(INDEX(TblSuppliers[Phone],MATCH(I125,TblSuppliers[Supplier],0)),"")</f>
        <v>+56 9 3011 5567</v>
      </c>
      <c r="K125" s="2" t="str">
        <f>IFERROR(INDEX(TblSuppliers[Delivery?],MATCH(I125,TblSuppliers[Supplier],0)),"")</f>
        <v>Yes</v>
      </c>
    </row>
    <row r="126" spans="2:11" x14ac:dyDescent="0.25">
      <c r="B126" s="2" t="str">
        <f>Products!B125</f>
        <v>P122</v>
      </c>
      <c r="C126" s="2" t="str">
        <f>Products!C125</f>
        <v>Poly bag 20x30cm (pack of 100)</v>
      </c>
      <c r="D126" s="2" t="str">
        <f>Products!D125</f>
        <v>Packaging</v>
      </c>
      <c r="E126" s="2" t="str">
        <f>Products!G125</f>
        <v>No</v>
      </c>
      <c r="F126" s="2" t="str">
        <f>Products!I125</f>
        <v>Low</v>
      </c>
      <c r="G126" s="2" t="str">
        <f>Products!H125</f>
        <v>All year</v>
      </c>
      <c r="H126" s="2" t="str">
        <f t="shared" si="3"/>
        <v>Low priority</v>
      </c>
      <c r="I126" s="2" t="str">
        <f>IFERROR(INDEX(TblSupply[Supplier],MATCH(1,INDEX((TblSupply[ProductID]=B126)*(TblSupply[SupplierRole]="Primary"),0),0)),"")</f>
        <v>PackChile Wholesale</v>
      </c>
      <c r="J126" s="2" t="str">
        <f>IFERROR(INDEX(TblSuppliers[Phone],MATCH(I126,TblSuppliers[Supplier],0)),"")</f>
        <v>+56 9 3011 5567</v>
      </c>
      <c r="K126" s="2" t="str">
        <f>IFERROR(INDEX(TblSuppliers[Delivery?],MATCH(I126,TblSuppliers[Supplier],0)),"")</f>
        <v>Yes</v>
      </c>
    </row>
    <row r="127" spans="2:11" x14ac:dyDescent="0.25">
      <c r="B127" s="2" t="str">
        <f>Products!B126</f>
        <v>P123</v>
      </c>
      <c r="C127" s="2" t="str">
        <f>Products!C126</f>
        <v>Poly bag 25x35cm (pack of 100)</v>
      </c>
      <c r="D127" s="2" t="str">
        <f>Products!D126</f>
        <v>Packaging</v>
      </c>
      <c r="E127" s="2" t="str">
        <f>Products!G126</f>
        <v>No</v>
      </c>
      <c r="F127" s="2" t="str">
        <f>Products!I126</f>
        <v>High</v>
      </c>
      <c r="G127" s="2" t="str">
        <f>Products!H126</f>
        <v>All year</v>
      </c>
      <c r="H127" s="2" t="str">
        <f t="shared" si="3"/>
        <v>Low priority</v>
      </c>
      <c r="I127" s="2" t="str">
        <f>IFERROR(INDEX(TblSupply[Supplier],MATCH(1,INDEX((TblSupply[ProductID]=B127)*(TblSupply[SupplierRole]="Primary"),0),0)),"")</f>
        <v>PackChile Wholesale</v>
      </c>
      <c r="J127" s="2" t="str">
        <f>IFERROR(INDEX(TblSuppliers[Phone],MATCH(I127,TblSuppliers[Supplier],0)),"")</f>
        <v>+56 9 3011 5567</v>
      </c>
      <c r="K127" s="2" t="str">
        <f>IFERROR(INDEX(TblSuppliers[Delivery?],MATCH(I127,TblSuppliers[Supplier],0)),"")</f>
        <v>Yes</v>
      </c>
    </row>
    <row r="128" spans="2:11" x14ac:dyDescent="0.25">
      <c r="B128" s="2" t="str">
        <f>Products!B127</f>
        <v>P124</v>
      </c>
      <c r="C128" s="2" t="str">
        <f>Products!C127</f>
        <v>Poly bag 30x40cm (pack of 100)</v>
      </c>
      <c r="D128" s="2" t="str">
        <f>Products!D127</f>
        <v>Packaging</v>
      </c>
      <c r="E128" s="2" t="str">
        <f>Products!G127</f>
        <v>No</v>
      </c>
      <c r="F128" s="2" t="str">
        <f>Products!I127</f>
        <v>High</v>
      </c>
      <c r="G128" s="2" t="str">
        <f>Products!H127</f>
        <v>All year</v>
      </c>
      <c r="H128" s="2" t="str">
        <f t="shared" si="3"/>
        <v>Low priority</v>
      </c>
      <c r="I128" s="2" t="str">
        <f>IFERROR(INDEX(TblSupply[Supplier],MATCH(1,INDEX((TblSupply[ProductID]=B128)*(TblSupply[SupplierRole]="Primary"),0),0)),"")</f>
        <v>PackChile Wholesale</v>
      </c>
      <c r="J128" s="2" t="str">
        <f>IFERROR(INDEX(TblSuppliers[Phone],MATCH(I128,TblSuppliers[Supplier],0)),"")</f>
        <v>+56 9 3011 5567</v>
      </c>
      <c r="K128" s="2" t="str">
        <f>IFERROR(INDEX(TblSuppliers[Delivery?],MATCH(I128,TblSuppliers[Supplier],0)),"")</f>
        <v>Yes</v>
      </c>
    </row>
    <row r="129" spans="2:11" x14ac:dyDescent="0.25">
      <c r="B129" s="2" t="str">
        <f>Products!B128</f>
        <v>P125</v>
      </c>
      <c r="C129" s="2" t="str">
        <f>Products!C128</f>
        <v>Poly bag 35x50cm (pack of 100)</v>
      </c>
      <c r="D129" s="2" t="str">
        <f>Products!D128</f>
        <v>Packaging</v>
      </c>
      <c r="E129" s="2" t="str">
        <f>Products!G128</f>
        <v>No</v>
      </c>
      <c r="F129" s="2" t="str">
        <f>Products!I128</f>
        <v>High</v>
      </c>
      <c r="G129" s="2" t="str">
        <f>Products!H128</f>
        <v>All year</v>
      </c>
      <c r="H129" s="2" t="str">
        <f t="shared" si="3"/>
        <v>Low priority</v>
      </c>
      <c r="I129" s="2" t="str">
        <f>IFERROR(INDEX(TblSupply[Supplier],MATCH(1,INDEX((TblSupply[ProductID]=B129)*(TblSupply[SupplierRole]="Primary"),0),0)),"")</f>
        <v>PackChile Wholesale</v>
      </c>
      <c r="J129" s="2" t="str">
        <f>IFERROR(INDEX(TblSuppliers[Phone],MATCH(I129,TblSuppliers[Supplier],0)),"")</f>
        <v>+56 9 3011 5567</v>
      </c>
      <c r="K129" s="2" t="str">
        <f>IFERROR(INDEX(TblSuppliers[Delivery?],MATCH(I129,TblSuppliers[Supplier],0)),"")</f>
        <v>Yes</v>
      </c>
    </row>
    <row r="130" spans="2:11" x14ac:dyDescent="0.25">
      <c r="B130" s="2" t="str">
        <f>Products!B129</f>
        <v>P126</v>
      </c>
      <c r="C130" s="2" t="str">
        <f>Products!C129</f>
        <v>Zipper bag 12x18cm (pack of 50)</v>
      </c>
      <c r="D130" s="2" t="str">
        <f>Products!D129</f>
        <v>Packaging</v>
      </c>
      <c r="E130" s="2" t="str">
        <f>Products!G129</f>
        <v>No</v>
      </c>
      <c r="F130" s="2" t="str">
        <f>Products!I129</f>
        <v>High</v>
      </c>
      <c r="G130" s="2" t="str">
        <f>Products!H129</f>
        <v>All year</v>
      </c>
      <c r="H130" s="2" t="str">
        <f t="shared" si="3"/>
        <v>Low priority</v>
      </c>
      <c r="I130" s="2" t="str">
        <f>IFERROR(INDEX(TblSupply[Supplier],MATCH(1,INDEX((TblSupply[ProductID]=B130)*(TblSupply[SupplierRole]="Primary"),0),0)),"")</f>
        <v>PackChile Wholesale</v>
      </c>
      <c r="J130" s="2" t="str">
        <f>IFERROR(INDEX(TblSuppliers[Phone],MATCH(I130,TblSuppliers[Supplier],0)),"")</f>
        <v>+56 9 3011 5567</v>
      </c>
      <c r="K130" s="2" t="str">
        <f>IFERROR(INDEX(TblSuppliers[Delivery?],MATCH(I130,TblSuppliers[Supplier],0)),"")</f>
        <v>Yes</v>
      </c>
    </row>
    <row r="131" spans="2:11" x14ac:dyDescent="0.25">
      <c r="B131" s="2" t="str">
        <f>Products!B130</f>
        <v>P127</v>
      </c>
      <c r="C131" s="2" t="str">
        <f>Products!C130</f>
        <v>Zipper bag 18x25cm (pack of 50)</v>
      </c>
      <c r="D131" s="2" t="str">
        <f>Products!D130</f>
        <v>Packaging</v>
      </c>
      <c r="E131" s="2" t="str">
        <f>Products!G130</f>
        <v>No</v>
      </c>
      <c r="F131" s="2" t="str">
        <f>Products!I130</f>
        <v>Low</v>
      </c>
      <c r="G131" s="2" t="str">
        <f>Products!H130</f>
        <v>All year</v>
      </c>
      <c r="H131" s="2" t="str">
        <f t="shared" si="3"/>
        <v>Low priority</v>
      </c>
      <c r="I131" s="2" t="str">
        <f>IFERROR(INDEX(TblSupply[Supplier],MATCH(1,INDEX((TblSupply[ProductID]=B131)*(TblSupply[SupplierRole]="Primary"),0),0)),"")</f>
        <v>PackChile Wholesale</v>
      </c>
      <c r="J131" s="2" t="str">
        <f>IFERROR(INDEX(TblSuppliers[Phone],MATCH(I131,TblSuppliers[Supplier],0)),"")</f>
        <v>+56 9 3011 5567</v>
      </c>
      <c r="K131" s="2" t="str">
        <f>IFERROR(INDEX(TblSuppliers[Delivery?],MATCH(I131,TblSuppliers[Supplier],0)),"")</f>
        <v>Yes</v>
      </c>
    </row>
    <row r="132" spans="2:11" x14ac:dyDescent="0.25">
      <c r="B132" s="2" t="str">
        <f>Products!B131</f>
        <v>P128</v>
      </c>
      <c r="C132" s="2" t="str">
        <f>Products!C131</f>
        <v>Vacuum bag 20x30cm (pack of 50)</v>
      </c>
      <c r="D132" s="2" t="str">
        <f>Products!D131</f>
        <v>Packaging</v>
      </c>
      <c r="E132" s="2" t="str">
        <f>Products!G131</f>
        <v>No</v>
      </c>
      <c r="F132" s="2" t="str">
        <f>Products!I131</f>
        <v>Low</v>
      </c>
      <c r="G132" s="2" t="str">
        <f>Products!H131</f>
        <v>All year</v>
      </c>
      <c r="H132" s="2" t="str">
        <f t="shared" si="3"/>
        <v>Low priority</v>
      </c>
      <c r="I132" s="2" t="str">
        <f>IFERROR(INDEX(TblSupply[Supplier],MATCH(1,INDEX((TblSupply[ProductID]=B132)*(TblSupply[SupplierRole]="Primary"),0),0)),"")</f>
        <v>PackChile Wholesale</v>
      </c>
      <c r="J132" s="2" t="str">
        <f>IFERROR(INDEX(TblSuppliers[Phone],MATCH(I132,TblSuppliers[Supplier],0)),"")</f>
        <v>+56 9 3011 5567</v>
      </c>
      <c r="K132" s="2" t="str">
        <f>IFERROR(INDEX(TblSuppliers[Delivery?],MATCH(I132,TblSuppliers[Supplier],0)),"")</f>
        <v>Yes</v>
      </c>
    </row>
  </sheetData>
  <conditionalFormatting sqref="H5:H132">
    <cfRule type="cellIs" dxfId="5" priority="2" operator="equal">
      <formula>"URGENT"</formula>
    </cfRule>
    <cfRule type="cellIs" dxfId="4" priority="3" operator="equal">
      <formula>"Watch"</formula>
    </cfRule>
    <cfRule type="cellIs" dxfId="3" priority="4" operator="equal">
      <formula>"OK"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2EEE-DC59-4D56-A71C-B2674F8C007B}">
  <dimension ref="A1:D25"/>
  <sheetViews>
    <sheetView workbookViewId="0"/>
  </sheetViews>
  <sheetFormatPr defaultRowHeight="15" x14ac:dyDescent="0.25"/>
  <cols>
    <col min="1" max="1" width="13.140625" bestFit="1" customWidth="1"/>
    <col min="2" max="2" width="12.42578125" bestFit="1" customWidth="1"/>
    <col min="3" max="3" width="16.7109375" bestFit="1" customWidth="1"/>
    <col min="4" max="4" width="15.140625" bestFit="1" customWidth="1"/>
  </cols>
  <sheetData>
    <row r="1" spans="1:4" x14ac:dyDescent="0.25">
      <c r="A1" t="s">
        <v>4694</v>
      </c>
    </row>
    <row r="2" spans="1:4" x14ac:dyDescent="0.25">
      <c r="A2" t="s">
        <v>4695</v>
      </c>
    </row>
    <row r="3" spans="1:4" x14ac:dyDescent="0.25">
      <c r="A3" s="33" t="s">
        <v>4642</v>
      </c>
      <c r="B3" t="s">
        <v>4698</v>
      </c>
    </row>
    <row r="5" spans="1:4" x14ac:dyDescent="0.25">
      <c r="A5" s="33" t="s">
        <v>4696</v>
      </c>
      <c r="B5" t="s">
        <v>4699</v>
      </c>
      <c r="C5" t="s">
        <v>4700</v>
      </c>
      <c r="D5" t="s">
        <v>4701</v>
      </c>
    </row>
    <row r="6" spans="1:4" x14ac:dyDescent="0.25">
      <c r="A6" s="34" t="s">
        <v>71</v>
      </c>
      <c r="B6" s="35">
        <v>15758630</v>
      </c>
      <c r="C6" s="35">
        <v>11027900</v>
      </c>
      <c r="D6" s="35">
        <v>4730730</v>
      </c>
    </row>
    <row r="7" spans="1:4" x14ac:dyDescent="0.25">
      <c r="A7" s="34" t="s">
        <v>176</v>
      </c>
      <c r="B7" s="35">
        <v>17309965</v>
      </c>
      <c r="C7" s="35">
        <v>12342800</v>
      </c>
      <c r="D7" s="35">
        <v>4967165</v>
      </c>
    </row>
    <row r="8" spans="1:4" x14ac:dyDescent="0.25">
      <c r="A8" s="34" t="s">
        <v>341</v>
      </c>
      <c r="B8" s="35">
        <v>29169700</v>
      </c>
      <c r="C8" s="35">
        <v>21517300</v>
      </c>
      <c r="D8" s="35">
        <v>7652400</v>
      </c>
    </row>
    <row r="9" spans="1:4" x14ac:dyDescent="0.25">
      <c r="A9" s="34" t="s">
        <v>155</v>
      </c>
      <c r="B9" s="35">
        <v>22779295</v>
      </c>
      <c r="C9" s="35">
        <v>18631550</v>
      </c>
      <c r="D9" s="35">
        <v>4147745</v>
      </c>
    </row>
    <row r="10" spans="1:4" x14ac:dyDescent="0.25">
      <c r="A10" s="34" t="s">
        <v>224</v>
      </c>
      <c r="B10" s="35">
        <v>8856595</v>
      </c>
      <c r="C10" s="35">
        <v>6326850</v>
      </c>
      <c r="D10" s="35">
        <v>2529745</v>
      </c>
    </row>
    <row r="11" spans="1:4" x14ac:dyDescent="0.25">
      <c r="A11" s="34" t="s">
        <v>256</v>
      </c>
      <c r="B11" s="35">
        <v>127910830</v>
      </c>
      <c r="C11" s="35">
        <v>98469600</v>
      </c>
      <c r="D11" s="35">
        <v>29441230</v>
      </c>
    </row>
    <row r="12" spans="1:4" x14ac:dyDescent="0.25">
      <c r="A12" s="34" t="s">
        <v>122</v>
      </c>
      <c r="B12" s="35">
        <v>74726140</v>
      </c>
      <c r="C12" s="35">
        <v>56500600</v>
      </c>
      <c r="D12" s="35">
        <v>18225540</v>
      </c>
    </row>
    <row r="13" spans="1:4" x14ac:dyDescent="0.25">
      <c r="A13" s="34" t="s">
        <v>377</v>
      </c>
      <c r="B13" s="35">
        <v>13950000</v>
      </c>
      <c r="C13" s="35">
        <v>9358950</v>
      </c>
      <c r="D13" s="35">
        <v>4591050</v>
      </c>
    </row>
    <row r="14" spans="1:4" x14ac:dyDescent="0.25">
      <c r="A14" s="34" t="s">
        <v>237</v>
      </c>
      <c r="B14" s="35">
        <v>54233565</v>
      </c>
      <c r="C14" s="35">
        <v>40015350</v>
      </c>
      <c r="D14" s="35">
        <v>14218215</v>
      </c>
    </row>
    <row r="15" spans="1:4" x14ac:dyDescent="0.25">
      <c r="A15" s="34" t="s">
        <v>164</v>
      </c>
      <c r="B15" s="35">
        <v>7479415</v>
      </c>
      <c r="C15" s="35">
        <v>5325650</v>
      </c>
      <c r="D15" s="35">
        <v>2153765</v>
      </c>
    </row>
    <row r="16" spans="1:4" x14ac:dyDescent="0.25">
      <c r="A16" s="34" t="s">
        <v>334</v>
      </c>
      <c r="B16" s="35">
        <v>8632580</v>
      </c>
      <c r="C16" s="35">
        <v>6389100</v>
      </c>
      <c r="D16" s="35">
        <v>2243480</v>
      </c>
    </row>
    <row r="17" spans="1:4" x14ac:dyDescent="0.25">
      <c r="A17" s="34" t="s">
        <v>201</v>
      </c>
      <c r="B17" s="35">
        <v>10703465</v>
      </c>
      <c r="C17" s="35">
        <v>7453600</v>
      </c>
      <c r="D17" s="35">
        <v>3249865</v>
      </c>
    </row>
    <row r="18" spans="1:4" x14ac:dyDescent="0.25">
      <c r="A18" s="34" t="s">
        <v>287</v>
      </c>
      <c r="B18" s="35">
        <v>5091555</v>
      </c>
      <c r="C18" s="35">
        <v>3746200</v>
      </c>
      <c r="D18" s="35">
        <v>1345355</v>
      </c>
    </row>
    <row r="19" spans="1:4" x14ac:dyDescent="0.25">
      <c r="A19" s="34" t="s">
        <v>366</v>
      </c>
      <c r="B19" s="35">
        <v>16325210</v>
      </c>
      <c r="C19" s="35">
        <v>12451300</v>
      </c>
      <c r="D19" s="35">
        <v>3873910</v>
      </c>
    </row>
    <row r="20" spans="1:4" x14ac:dyDescent="0.25">
      <c r="A20" s="34" t="s">
        <v>4697</v>
      </c>
      <c r="B20" s="35">
        <v>412926945</v>
      </c>
      <c r="C20" s="35">
        <v>309556750</v>
      </c>
      <c r="D20" s="35">
        <v>103370195</v>
      </c>
    </row>
    <row r="21" spans="1:4" x14ac:dyDescent="0.25">
      <c r="B21" s="35"/>
      <c r="C21" s="35"/>
      <c r="D21" s="35"/>
    </row>
    <row r="22" spans="1:4" x14ac:dyDescent="0.25">
      <c r="B22" s="35"/>
      <c r="C22" s="35"/>
      <c r="D22" s="35"/>
    </row>
    <row r="23" spans="1:4" x14ac:dyDescent="0.25">
      <c r="B23" s="35"/>
      <c r="C23" s="35"/>
      <c r="D23" s="35"/>
    </row>
    <row r="24" spans="1:4" x14ac:dyDescent="0.25">
      <c r="B24" s="35"/>
      <c r="C24" s="35"/>
      <c r="D24" s="35"/>
    </row>
    <row r="25" spans="1:4" x14ac:dyDescent="0.25">
      <c r="B25" s="35"/>
      <c r="C25" s="35"/>
      <c r="D25" s="3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H35"/>
  <sheetViews>
    <sheetView showGridLines="0" tabSelected="1" zoomScale="90" zoomScaleNormal="90" workbookViewId="0">
      <selection activeCell="B2" sqref="B2"/>
    </sheetView>
  </sheetViews>
  <sheetFormatPr defaultRowHeight="15" x14ac:dyDescent="0.25"/>
  <cols>
    <col min="2" max="2" width="56" customWidth="1"/>
    <col min="3" max="3" width="23" customWidth="1"/>
  </cols>
  <sheetData>
    <row r="2" spans="2:8" ht="20.25" x14ac:dyDescent="0.3">
      <c r="B2" s="28" t="s">
        <v>4672</v>
      </c>
      <c r="C2" s="27"/>
      <c r="D2" s="27"/>
      <c r="E2" s="27"/>
      <c r="F2" s="27"/>
      <c r="G2" s="27"/>
      <c r="H2" s="27"/>
    </row>
    <row r="3" spans="2:8" x14ac:dyDescent="0.25">
      <c r="B3" s="27"/>
      <c r="C3" s="27"/>
      <c r="D3" s="27"/>
      <c r="E3" s="27"/>
      <c r="F3" s="27"/>
      <c r="G3" s="27"/>
      <c r="H3" s="27"/>
    </row>
    <row r="4" spans="2:8" x14ac:dyDescent="0.25">
      <c r="B4" s="27" t="s">
        <v>4673</v>
      </c>
      <c r="C4" s="27"/>
      <c r="D4" s="27"/>
      <c r="E4" s="27"/>
      <c r="F4" s="27"/>
      <c r="G4" s="27"/>
      <c r="H4" s="27"/>
    </row>
    <row r="5" spans="2:8" x14ac:dyDescent="0.25">
      <c r="B5" s="27" t="s">
        <v>4674</v>
      </c>
      <c r="C5" s="27"/>
      <c r="D5" s="27"/>
      <c r="E5" s="27"/>
      <c r="F5" s="27"/>
      <c r="G5" s="27"/>
      <c r="H5" s="27"/>
    </row>
    <row r="6" spans="2:8" x14ac:dyDescent="0.25">
      <c r="B6" s="27"/>
      <c r="C6" s="27"/>
      <c r="D6" s="27"/>
      <c r="E6" s="27"/>
      <c r="F6" s="27"/>
      <c r="G6" s="27"/>
      <c r="H6" s="27"/>
    </row>
    <row r="7" spans="2:8" x14ac:dyDescent="0.25">
      <c r="B7" s="31" t="s">
        <v>4675</v>
      </c>
      <c r="C7" s="31" t="s">
        <v>4676</v>
      </c>
      <c r="D7" s="27"/>
      <c r="E7" s="27"/>
      <c r="F7" s="27"/>
      <c r="G7" s="27"/>
      <c r="H7" s="27"/>
    </row>
    <row r="8" spans="2:8" x14ac:dyDescent="0.25">
      <c r="B8" s="27" t="s">
        <v>4677</v>
      </c>
      <c r="C8" s="29">
        <f>SUM(TblOutcomes[Revenue (CLP)])</f>
        <v>412926945</v>
      </c>
      <c r="D8" s="27"/>
      <c r="E8" s="27"/>
      <c r="F8" s="27"/>
      <c r="G8" s="27"/>
      <c r="H8" s="27"/>
    </row>
    <row r="9" spans="2:8" x14ac:dyDescent="0.25">
      <c r="B9" s="27" t="s">
        <v>4678</v>
      </c>
      <c r="C9" s="29">
        <f>SUM(TblOutcomes[Gross Profit (CLP)])</f>
        <v>103370195</v>
      </c>
      <c r="D9" s="27"/>
      <c r="E9" s="27"/>
      <c r="F9" s="27"/>
      <c r="G9" s="27"/>
      <c r="H9" s="27"/>
    </row>
    <row r="10" spans="2:8" x14ac:dyDescent="0.25">
      <c r="B10" s="27" t="s">
        <v>4679</v>
      </c>
      <c r="C10" s="30">
        <f>C9/C8</f>
        <v>0.25033531052326946</v>
      </c>
      <c r="D10" s="27"/>
      <c r="E10" s="27"/>
      <c r="F10" s="27"/>
      <c r="G10" s="27"/>
      <c r="H10" s="27"/>
    </row>
    <row r="11" spans="2:8" x14ac:dyDescent="0.25">
      <c r="B11" s="27" t="s">
        <v>4680</v>
      </c>
      <c r="C11" s="29">
        <f>SUMIFS(TblOutcomes[Revenue (CLP)],TblOutcomes[Close Date],"&lt;="&amp;DATE(2025,6,30))</f>
        <v>366555045</v>
      </c>
      <c r="D11" s="27"/>
      <c r="E11" s="27"/>
      <c r="F11" s="27"/>
      <c r="G11" s="27"/>
      <c r="H11" s="27"/>
    </row>
    <row r="12" spans="2:8" x14ac:dyDescent="0.25">
      <c r="B12" s="27" t="s">
        <v>4681</v>
      </c>
      <c r="C12" s="29">
        <f>C8-C11</f>
        <v>46371900</v>
      </c>
      <c r="D12" s="27"/>
      <c r="E12" s="27"/>
      <c r="F12" s="27"/>
      <c r="G12" s="27"/>
      <c r="H12" s="27"/>
    </row>
    <row r="13" spans="2:8" x14ac:dyDescent="0.25">
      <c r="B13" s="27" t="s">
        <v>4682</v>
      </c>
      <c r="C13" s="27">
        <f>COUNTIF(TblOutcomes[Close Date],"&gt;"&amp;DATE(2025,6,30))</f>
        <v>498</v>
      </c>
      <c r="D13" s="27"/>
      <c r="E13" s="27"/>
      <c r="F13" s="27"/>
      <c r="G13" s="27"/>
      <c r="H13" s="27"/>
    </row>
    <row r="14" spans="2:8" x14ac:dyDescent="0.25">
      <c r="B14" s="27"/>
      <c r="C14" s="27"/>
      <c r="D14" s="27"/>
      <c r="E14" s="27"/>
      <c r="F14" s="27"/>
      <c r="G14" s="27"/>
      <c r="H14" s="27"/>
    </row>
    <row r="15" spans="2:8" x14ac:dyDescent="0.25">
      <c r="B15" s="32" t="s">
        <v>4683</v>
      </c>
      <c r="C15" s="27"/>
      <c r="D15" s="27"/>
      <c r="E15" s="27"/>
      <c r="F15" s="27"/>
      <c r="G15" s="27"/>
      <c r="H15" s="27"/>
    </row>
    <row r="16" spans="2:8" x14ac:dyDescent="0.25">
      <c r="B16" s="27" t="s">
        <v>4684</v>
      </c>
      <c r="C16" s="27"/>
      <c r="D16" s="27"/>
      <c r="E16" s="27"/>
      <c r="F16" s="27"/>
      <c r="G16" s="27"/>
      <c r="H16" s="27"/>
    </row>
    <row r="17" spans="2:8" x14ac:dyDescent="0.25">
      <c r="B17" s="27" t="s">
        <v>4685</v>
      </c>
      <c r="C17" s="27"/>
      <c r="D17" s="27"/>
      <c r="E17" s="27"/>
      <c r="F17" s="27"/>
      <c r="G17" s="27"/>
      <c r="H17" s="27"/>
    </row>
    <row r="18" spans="2:8" x14ac:dyDescent="0.25">
      <c r="B18" s="27"/>
      <c r="C18" s="27"/>
      <c r="D18" s="27"/>
      <c r="E18" s="27"/>
      <c r="F18" s="27"/>
      <c r="G18" s="27"/>
      <c r="H18" s="27"/>
    </row>
    <row r="19" spans="2:8" x14ac:dyDescent="0.25">
      <c r="B19" s="27" t="s">
        <v>4686</v>
      </c>
      <c r="C19" s="27"/>
      <c r="D19" s="27"/>
      <c r="E19" s="27"/>
      <c r="F19" s="27"/>
      <c r="G19" s="27"/>
      <c r="H19" s="27"/>
    </row>
    <row r="20" spans="2:8" x14ac:dyDescent="0.25">
      <c r="B20" s="27" t="s">
        <v>4687</v>
      </c>
      <c r="C20" s="27"/>
      <c r="D20" s="27"/>
      <c r="E20" s="27"/>
      <c r="F20" s="27"/>
      <c r="G20" s="27"/>
      <c r="H20" s="27"/>
    </row>
    <row r="21" spans="2:8" x14ac:dyDescent="0.25">
      <c r="B21" s="27"/>
      <c r="C21" s="27"/>
      <c r="D21" s="27"/>
      <c r="E21" s="27"/>
      <c r="F21" s="27"/>
      <c r="G21" s="27"/>
      <c r="H21" s="27"/>
    </row>
    <row r="22" spans="2:8" x14ac:dyDescent="0.25">
      <c r="B22" s="32" t="s">
        <v>4688</v>
      </c>
      <c r="C22" s="27"/>
      <c r="D22" s="27"/>
      <c r="E22" s="27"/>
      <c r="F22" s="27"/>
      <c r="G22" s="27"/>
      <c r="H22" s="27"/>
    </row>
    <row r="23" spans="2:8" x14ac:dyDescent="0.25">
      <c r="B23" s="27" t="s">
        <v>4689</v>
      </c>
      <c r="C23" s="27"/>
      <c r="D23" s="27"/>
      <c r="E23" s="27"/>
      <c r="F23" s="27"/>
      <c r="G23" s="27"/>
      <c r="H23" s="27"/>
    </row>
    <row r="24" spans="2:8" x14ac:dyDescent="0.25">
      <c r="B24" s="27" t="s">
        <v>4690</v>
      </c>
      <c r="C24" s="27"/>
      <c r="D24" s="27"/>
      <c r="E24" s="27"/>
      <c r="F24" s="27"/>
      <c r="G24" s="27"/>
      <c r="H24" s="27"/>
    </row>
    <row r="25" spans="2:8" x14ac:dyDescent="0.25">
      <c r="B25" s="27"/>
      <c r="C25" s="27"/>
      <c r="D25" s="27"/>
      <c r="E25" s="27"/>
      <c r="F25" s="27"/>
      <c r="G25" s="27"/>
      <c r="H25" s="27"/>
    </row>
    <row r="26" spans="2:8" x14ac:dyDescent="0.25">
      <c r="B26" s="27" t="s">
        <v>4691</v>
      </c>
      <c r="C26" s="27"/>
      <c r="D26" s="27"/>
      <c r="E26" s="27"/>
      <c r="F26" s="27"/>
      <c r="G26" s="27"/>
      <c r="H26" s="27"/>
    </row>
    <row r="27" spans="2:8" x14ac:dyDescent="0.25">
      <c r="B27" s="27" t="s">
        <v>4692</v>
      </c>
      <c r="C27" s="27"/>
      <c r="D27" s="27"/>
      <c r="E27" s="27"/>
      <c r="F27" s="27"/>
      <c r="G27" s="27"/>
      <c r="H27" s="27"/>
    </row>
    <row r="28" spans="2:8" x14ac:dyDescent="0.25">
      <c r="B28" s="27"/>
      <c r="C28" s="27"/>
      <c r="D28" s="27"/>
      <c r="E28" s="27"/>
      <c r="F28" s="27"/>
      <c r="G28" s="27"/>
      <c r="H28" s="27"/>
    </row>
    <row r="29" spans="2:8" x14ac:dyDescent="0.25">
      <c r="B29" s="27" t="s">
        <v>4693</v>
      </c>
      <c r="C29" s="27"/>
      <c r="D29" s="27"/>
      <c r="E29" s="27"/>
      <c r="F29" s="27"/>
      <c r="G29" s="27"/>
      <c r="H29" s="27"/>
    </row>
    <row r="30" spans="2:8" x14ac:dyDescent="0.25">
      <c r="B30" s="27"/>
      <c r="C30" s="27"/>
      <c r="D30" s="27"/>
      <c r="E30" s="27"/>
      <c r="F30" s="27"/>
      <c r="G30" s="27"/>
      <c r="H30" s="27"/>
    </row>
    <row r="31" spans="2:8" x14ac:dyDescent="0.25">
      <c r="B31" s="27"/>
      <c r="C31" s="27"/>
      <c r="D31" s="27"/>
      <c r="E31" s="27"/>
      <c r="F31" s="27"/>
      <c r="G31" s="27"/>
      <c r="H31" s="27"/>
    </row>
    <row r="32" spans="2:8" x14ac:dyDescent="0.25">
      <c r="B32" s="27"/>
      <c r="C32" s="27"/>
      <c r="D32" s="27"/>
      <c r="E32" s="27"/>
      <c r="F32" s="27"/>
      <c r="G32" s="27"/>
      <c r="H32" s="27"/>
    </row>
    <row r="33" spans="2:8" x14ac:dyDescent="0.25">
      <c r="B33" s="27"/>
      <c r="C33" s="27"/>
      <c r="D33" s="27"/>
      <c r="E33" s="27"/>
      <c r="F33" s="27"/>
      <c r="G33" s="27"/>
      <c r="H33" s="27"/>
    </row>
    <row r="34" spans="2:8" x14ac:dyDescent="0.25">
      <c r="B34" s="27"/>
      <c r="C34" s="27"/>
      <c r="D34" s="27"/>
      <c r="E34" s="27"/>
      <c r="F34" s="27"/>
      <c r="G34" s="27"/>
      <c r="H34" s="27"/>
    </row>
    <row r="35" spans="2:8" x14ac:dyDescent="0.25">
      <c r="B35" s="27"/>
      <c r="C35" s="27"/>
      <c r="D35" s="27"/>
      <c r="E35" s="27"/>
      <c r="F35" s="27"/>
      <c r="G35" s="27"/>
      <c r="H35"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Dashboard</vt:lpstr>
      <vt:lpstr>Supply_Dashboard</vt:lpstr>
      <vt:lpstr>Products</vt:lpstr>
      <vt:lpstr>Suppliers</vt:lpstr>
      <vt:lpstr>Supply_Links</vt:lpstr>
      <vt:lpstr>Purchases</vt:lpstr>
      <vt:lpstr>Batch_Outcomes</vt:lpstr>
      <vt:lpstr>Supplier_Scorecard</vt:lpstr>
      <vt:lpstr>Category_Summary</vt:lpstr>
      <vt:lpstr>Season_Demand</vt:lpstr>
      <vt:lpstr>Restock_Alerts</vt:lpstr>
      <vt:lpstr>Cohort_Pivot</vt:lpstr>
      <vt:lpstr>Decision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Camilo Vergara</cp:lastModifiedBy>
  <dcterms:modified xsi:type="dcterms:W3CDTF">2026-09-09T01:49:52Z</dcterms:modified>
</cp:coreProperties>
</file>